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/>
  <workbookPr codeName="ThisWorkbook"/>
  <mc:AlternateContent xmlns:mc="http://schemas.openxmlformats.org/markup-compatibility/2006">
    <mc:Choice Requires="x15">
      <x15ac:absPath xmlns:x15ac="http://schemas.microsoft.com/office/spreadsheetml/2010/11/ac" url="C:\HACH\svn\infineon\MXS40-SAS\Configuration\"/>
    </mc:Choice>
  </mc:AlternateContent>
  <xr:revisionPtr revIDLastSave="0" documentId="13_ncr:1_{73597925-2A0A-4F1E-AF1E-A665759F004D}" xr6:coauthVersionLast="36" xr6:coauthVersionMax="41" xr10:uidLastSave="{00000000-0000-0000-0000-000000000000}"/>
  <bookViews>
    <workbookView xWindow="-28920" yWindow="5460" windowWidth="29040" windowHeight="16440" tabRatio="915" firstSheet="3" activeTab="8" xr2:uid="{00000000-000D-0000-FFFF-FFFF00000000}"/>
  </bookViews>
  <sheets>
    <sheet name="Summary" sheetId="1" r:id="rId1"/>
    <sheet name="Interfaces" sheetId="2" r:id="rId2"/>
    <sheet name="Parameters" sheetId="3" r:id="rId3"/>
    <sheet name="Prerequisites" sheetId="4" r:id="rId4"/>
    <sheet name="SFLASH.512_ver2" sheetId="25" r:id="rId5"/>
    <sheet name="SFLASH.512_ver2_Regs" sheetId="26" r:id="rId6"/>
    <sheet name="TVIIBE1M_SR_Layout" sheetId="13" r:id="rId7"/>
    <sheet name="TVIIBE1M_SR_Details" sheetId="20" r:id="rId8"/>
    <sheet name="TVIIBE1M_ByteMap" sheetId="29" r:id="rId9"/>
    <sheet name="TVIIBE1M_CalPairs" sheetId="30" r:id="rId10"/>
  </sheets>
  <definedNames>
    <definedName name="_xlnm._FilterDatabase" localSheetId="8" hidden="1">TVIIBE1M_ByteMap!$A$7:$IT$519</definedName>
    <definedName name="_xlnm.Print_Area" localSheetId="4">SFLASH.512_ver2!$A$1:$G$32</definedName>
    <definedName name="Z_ED165065_8EC0_42CA_A88C_1E585E2D8F93_.wvu.Cols" localSheetId="4" hidden="1">SFLASH.512_ver2!$P:$Y</definedName>
    <definedName name="Z_ED165065_8EC0_42CA_A88C_1E585E2D8F93_.wvu.FilterData" localSheetId="8" hidden="1">TVIIBE1M_ByteMap!$A$7:$IT$519</definedName>
    <definedName name="Z_ED165065_8EC0_42CA_A88C_1E585E2D8F93_.wvu.PrintArea" localSheetId="4" hidden="1">SFLASH.512_ver2!$A$1:$G$32</definedName>
    <definedName name="Z_ED165065_8EC0_42CA_A88C_1E585E2D8F93_.wvu.Rows" localSheetId="7" hidden="1">TVIIBE1M_SR_Details!$14:$19</definedName>
  </definedNames>
  <calcPr calcId="191029"/>
  <customWorkbookViews>
    <customWorkbookView name="Sharatchandra Vijaykumar Kashimath - Personal View" guid="{ED165065-8EC0-42CA-A88C-1E585E2D8F93}" mergeInterval="0" personalView="1" maximized="1" xWindow="-8" yWindow="-8" windowWidth="1616" windowHeight="876" tabRatio="915" activeSheetId="10"/>
  </customWorkbookViews>
  <fileRecoveryPr autoRecover="0"/>
</workbook>
</file>

<file path=xl/calcChain.xml><?xml version="1.0" encoding="utf-8"?>
<calcChain xmlns="http://schemas.openxmlformats.org/spreadsheetml/2006/main">
  <c r="C805" i="26" l="1"/>
  <c r="C804" i="26"/>
  <c r="C803" i="26"/>
  <c r="C526" i="26" l="1"/>
  <c r="C610" i="26" l="1"/>
  <c r="C609" i="26"/>
  <c r="C608" i="26"/>
  <c r="C602" i="26"/>
  <c r="C601" i="26"/>
  <c r="C600" i="26"/>
  <c r="C594" i="26"/>
  <c r="C593" i="26"/>
  <c r="C592" i="26"/>
  <c r="C616" i="26"/>
  <c r="C618" i="26"/>
  <c r="C527" i="26" l="1"/>
  <c r="C528" i="26"/>
  <c r="C88" i="25"/>
  <c r="C617" i="26" s="1"/>
  <c r="A78" i="25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T113" i="30" l="1"/>
  <c r="T109" i="30"/>
  <c r="T105" i="30"/>
  <c r="T101" i="30"/>
  <c r="T97" i="30"/>
  <c r="T93" i="30"/>
  <c r="T89" i="30"/>
  <c r="T85" i="30"/>
  <c r="T81" i="30"/>
  <c r="T77" i="30"/>
  <c r="T73" i="30"/>
  <c r="T69" i="30"/>
  <c r="T65" i="30"/>
  <c r="G445" i="26" l="1"/>
  <c r="C441" i="26"/>
  <c r="C439" i="26"/>
  <c r="G437" i="26"/>
  <c r="C433" i="26"/>
  <c r="C431" i="26"/>
  <c r="G429" i="26"/>
  <c r="C426" i="26"/>
  <c r="C424" i="26"/>
  <c r="G422" i="26"/>
  <c r="C419" i="26"/>
  <c r="C417" i="26"/>
  <c r="G415" i="26"/>
  <c r="C412" i="26"/>
  <c r="C410" i="26"/>
  <c r="G408" i="26"/>
  <c r="C405" i="26"/>
  <c r="C403" i="26"/>
  <c r="G401" i="26"/>
  <c r="C398" i="26"/>
  <c r="C396" i="26"/>
  <c r="G394" i="26"/>
  <c r="C391" i="26"/>
  <c r="C389" i="26"/>
  <c r="G387" i="26"/>
  <c r="C383" i="26"/>
  <c r="C381" i="26"/>
  <c r="G379" i="26"/>
  <c r="C375" i="26"/>
  <c r="C373" i="26"/>
  <c r="G371" i="26"/>
  <c r="C367" i="26"/>
  <c r="C365" i="26"/>
  <c r="G363" i="26"/>
  <c r="C359" i="26"/>
  <c r="C357" i="26"/>
  <c r="G355" i="26"/>
  <c r="C351" i="26"/>
  <c r="C349" i="26"/>
  <c r="G347" i="26"/>
  <c r="C344" i="26"/>
  <c r="C342" i="26"/>
  <c r="G340" i="26"/>
  <c r="C337" i="26"/>
  <c r="C335" i="26"/>
  <c r="G333" i="26"/>
  <c r="C330" i="26"/>
  <c r="C328" i="26"/>
  <c r="G326" i="26"/>
  <c r="C323" i="26"/>
  <c r="C321" i="26"/>
  <c r="G319" i="26"/>
  <c r="C316" i="26"/>
  <c r="C314" i="26"/>
  <c r="G312" i="26"/>
  <c r="C309" i="26"/>
  <c r="C307" i="26"/>
  <c r="G305" i="26"/>
  <c r="C302" i="26"/>
  <c r="C300" i="26"/>
  <c r="G298" i="26"/>
  <c r="C295" i="26"/>
  <c r="C293" i="26"/>
  <c r="G291" i="26"/>
  <c r="C288" i="26"/>
  <c r="C286" i="26"/>
  <c r="G284" i="26"/>
  <c r="C280" i="26"/>
  <c r="C278" i="26"/>
  <c r="G276" i="26"/>
  <c r="C272" i="26"/>
  <c r="C270" i="26"/>
  <c r="G268" i="26"/>
  <c r="C264" i="26"/>
  <c r="C262" i="26"/>
  <c r="JX105" i="29" l="1"/>
  <c r="JX104" i="29"/>
  <c r="JX101" i="29"/>
  <c r="JX100" i="29"/>
  <c r="JX97" i="29"/>
  <c r="JX96" i="29"/>
  <c r="JX93" i="29"/>
  <c r="JX92" i="29"/>
  <c r="JX89" i="29"/>
  <c r="JX88" i="29"/>
  <c r="JX85" i="29"/>
  <c r="JX84" i="29"/>
  <c r="JX81" i="29"/>
  <c r="JX80" i="29"/>
  <c r="JX77" i="29"/>
  <c r="JX76" i="29"/>
  <c r="JX73" i="29"/>
  <c r="JX72" i="29"/>
  <c r="JX69" i="29"/>
  <c r="JX68" i="29"/>
  <c r="JX65" i="29"/>
  <c r="JX64" i="29"/>
  <c r="JX61" i="29"/>
  <c r="JX60" i="29"/>
  <c r="JX57" i="29"/>
  <c r="JX56" i="29"/>
  <c r="JX53" i="29"/>
  <c r="JX52" i="29"/>
  <c r="C137" i="26" l="1"/>
  <c r="C129" i="26"/>
  <c r="C121" i="26"/>
  <c r="G117" i="26"/>
  <c r="C113" i="26"/>
  <c r="C112" i="26"/>
  <c r="C111" i="26"/>
  <c r="G109" i="26"/>
  <c r="C105" i="26"/>
  <c r="C104" i="26"/>
  <c r="C103" i="26"/>
  <c r="G101" i="26"/>
  <c r="C97" i="26"/>
  <c r="C96" i="26"/>
  <c r="C95" i="26"/>
  <c r="C119" i="26"/>
  <c r="C127" i="26"/>
  <c r="G125" i="26"/>
  <c r="G133" i="26"/>
  <c r="F17" i="13" l="1"/>
  <c r="E51" i="20"/>
  <c r="E57" i="20"/>
  <c r="E65" i="20"/>
  <c r="I135" i="29" l="1"/>
  <c r="I134" i="29"/>
  <c r="I133" i="29"/>
  <c r="I132" i="29"/>
  <c r="I131" i="29"/>
  <c r="I130" i="29"/>
  <c r="I129" i="29"/>
  <c r="I128" i="29"/>
  <c r="I127" i="29"/>
  <c r="G135" i="29"/>
  <c r="G134" i="29"/>
  <c r="G133" i="29"/>
  <c r="G132" i="29"/>
  <c r="G131" i="29"/>
  <c r="G130" i="29"/>
  <c r="G129" i="29"/>
  <c r="G128" i="29"/>
  <c r="G127" i="29"/>
  <c r="G79" i="29"/>
  <c r="G78" i="29"/>
  <c r="G77" i="29"/>
  <c r="G76" i="29"/>
  <c r="G75" i="29"/>
  <c r="G74" i="29"/>
  <c r="G73" i="29"/>
  <c r="G72" i="29"/>
  <c r="G71" i="29"/>
  <c r="I79" i="29"/>
  <c r="I78" i="29"/>
  <c r="I77" i="29"/>
  <c r="I76" i="29"/>
  <c r="I75" i="29"/>
  <c r="I74" i="29"/>
  <c r="I73" i="29"/>
  <c r="I72" i="29"/>
  <c r="I71" i="29"/>
  <c r="G192" i="30"/>
  <c r="G191" i="30"/>
  <c r="G190" i="30"/>
  <c r="G189" i="30"/>
  <c r="G188" i="30"/>
  <c r="G187" i="30"/>
  <c r="G186" i="30"/>
  <c r="G185" i="30"/>
  <c r="G184" i="30"/>
  <c r="G183" i="30"/>
  <c r="G182" i="30"/>
  <c r="G181" i="30"/>
  <c r="G180" i="30"/>
  <c r="G179" i="30"/>
  <c r="G178" i="30"/>
  <c r="G177" i="30"/>
  <c r="G176" i="30"/>
  <c r="G175" i="30"/>
  <c r="G174" i="30"/>
  <c r="G173" i="30"/>
  <c r="G172" i="30"/>
  <c r="G171" i="30"/>
  <c r="G170" i="30"/>
  <c r="G169" i="30"/>
  <c r="G168" i="30"/>
  <c r="G167" i="30"/>
  <c r="G166" i="30"/>
  <c r="G165" i="30"/>
  <c r="G164" i="30"/>
  <c r="G163" i="30"/>
  <c r="G162" i="30"/>
  <c r="G161" i="30"/>
  <c r="G160" i="30"/>
  <c r="G159" i="30"/>
  <c r="G158" i="30"/>
  <c r="G157" i="30"/>
  <c r="G156" i="30"/>
  <c r="G155" i="30"/>
  <c r="G154" i="30"/>
  <c r="G153" i="30"/>
  <c r="G152" i="30"/>
  <c r="G151" i="30"/>
  <c r="G150" i="30"/>
  <c r="G149" i="30"/>
  <c r="G148" i="30"/>
  <c r="G147" i="30"/>
  <c r="G146" i="30"/>
  <c r="G145" i="30"/>
  <c r="G144" i="30"/>
  <c r="G143" i="30"/>
  <c r="G142" i="30"/>
  <c r="G141" i="30"/>
  <c r="G140" i="30"/>
  <c r="G139" i="30"/>
  <c r="G138" i="30"/>
  <c r="G137" i="30"/>
  <c r="G136" i="30"/>
  <c r="G135" i="30"/>
  <c r="G134" i="30"/>
  <c r="G133" i="30"/>
  <c r="G132" i="30"/>
  <c r="G131" i="30"/>
  <c r="G130" i="30"/>
  <c r="G129" i="30"/>
  <c r="G128" i="30"/>
  <c r="G127" i="30"/>
  <c r="G126" i="30"/>
  <c r="G125" i="30"/>
  <c r="G124" i="30"/>
  <c r="G123" i="30"/>
  <c r="G122" i="30"/>
  <c r="G121" i="30"/>
  <c r="G120" i="30"/>
  <c r="G119" i="30"/>
  <c r="G118" i="30"/>
  <c r="G117" i="30"/>
  <c r="G116" i="30"/>
  <c r="G115" i="30"/>
  <c r="G114" i="30"/>
  <c r="G113" i="30"/>
  <c r="G112" i="30"/>
  <c r="G111" i="30"/>
  <c r="G110" i="30"/>
  <c r="G109" i="30"/>
  <c r="G108" i="30"/>
  <c r="G107" i="30"/>
  <c r="G106" i="30"/>
  <c r="G105" i="30"/>
  <c r="G104" i="30"/>
  <c r="G103" i="30"/>
  <c r="G102" i="30"/>
  <c r="G101" i="30"/>
  <c r="G100" i="30"/>
  <c r="G99" i="30"/>
  <c r="G98" i="30"/>
  <c r="G97" i="30"/>
  <c r="G96" i="30"/>
  <c r="G95" i="30"/>
  <c r="G94" i="30"/>
  <c r="G93" i="30"/>
  <c r="G92" i="30"/>
  <c r="G91" i="30"/>
  <c r="G90" i="30"/>
  <c r="G89" i="30"/>
  <c r="G88" i="30"/>
  <c r="G87" i="30"/>
  <c r="G86" i="30"/>
  <c r="G85" i="30"/>
  <c r="G84" i="30"/>
  <c r="G83" i="30"/>
  <c r="G82" i="30"/>
  <c r="G81" i="30"/>
  <c r="G80" i="30"/>
  <c r="G79" i="30"/>
  <c r="G78" i="30"/>
  <c r="G77" i="30"/>
  <c r="G76" i="30"/>
  <c r="G75" i="30"/>
  <c r="G74" i="30"/>
  <c r="G73" i="30"/>
  <c r="G72" i="30"/>
  <c r="G71" i="30"/>
  <c r="G70" i="30"/>
  <c r="G69" i="30"/>
  <c r="G68" i="30"/>
  <c r="B183" i="30" l="1"/>
  <c r="B184" i="30" s="1"/>
  <c r="B185" i="30" s="1"/>
  <c r="B186" i="30" s="1"/>
  <c r="B187" i="30" s="1"/>
  <c r="B188" i="30" s="1"/>
  <c r="B189" i="30" s="1"/>
  <c r="B190" i="30" s="1"/>
  <c r="B191" i="30" s="1"/>
  <c r="F183" i="30"/>
  <c r="F184" i="30" s="1"/>
  <c r="F185" i="30" s="1"/>
  <c r="F186" i="30" s="1"/>
  <c r="F187" i="30" s="1"/>
  <c r="F188" i="30" s="1"/>
  <c r="F189" i="30" s="1"/>
  <c r="F190" i="30" s="1"/>
  <c r="F191" i="30" s="1"/>
  <c r="E135" i="30"/>
  <c r="E134" i="30"/>
  <c r="D134" i="30"/>
  <c r="E132" i="30"/>
  <c r="E131" i="30"/>
  <c r="E130" i="30"/>
  <c r="E129" i="30"/>
  <c r="E128" i="30"/>
  <c r="E127" i="30"/>
  <c r="E126" i="30"/>
  <c r="E125" i="30"/>
  <c r="E76" i="30"/>
  <c r="E75" i="30"/>
  <c r="E74" i="30"/>
  <c r="E73" i="30"/>
  <c r="E72" i="30"/>
  <c r="E71" i="30"/>
  <c r="E70" i="30"/>
  <c r="E69" i="30"/>
  <c r="E79" i="30"/>
  <c r="D78" i="30"/>
  <c r="E78" i="30"/>
  <c r="B182" i="30"/>
  <c r="B181" i="30"/>
  <c r="B180" i="30"/>
  <c r="B179" i="30"/>
  <c r="B178" i="30"/>
  <c r="B177" i="30"/>
  <c r="B176" i="30"/>
  <c r="B175" i="30"/>
  <c r="B174" i="30"/>
  <c r="F182" i="30"/>
  <c r="F181" i="30"/>
  <c r="F180" i="30"/>
  <c r="F179" i="30"/>
  <c r="F178" i="30"/>
  <c r="F177" i="30"/>
  <c r="F176" i="30"/>
  <c r="F175" i="30"/>
  <c r="F174" i="30"/>
  <c r="G193" i="30" l="1"/>
  <c r="G149" i="26"/>
  <c r="G141" i="26"/>
  <c r="G194" i="30" l="1"/>
  <c r="C143" i="26"/>
  <c r="C145" i="26"/>
  <c r="C144" i="26"/>
  <c r="G195" i="30" l="1"/>
  <c r="C136" i="26"/>
  <c r="C135" i="26"/>
  <c r="C128" i="26"/>
  <c r="C120" i="26"/>
  <c r="G196" i="30" l="1"/>
  <c r="C153" i="26"/>
  <c r="C152" i="26"/>
  <c r="C151" i="26"/>
  <c r="G197" i="30" l="1"/>
  <c r="JX107" i="29"/>
  <c r="JV107" i="29"/>
  <c r="JX106" i="29"/>
  <c r="JV106" i="29"/>
  <c r="JV105" i="29"/>
  <c r="JV104" i="29"/>
  <c r="C833" i="26"/>
  <c r="C832" i="26"/>
  <c r="C831" i="26"/>
  <c r="G198" i="30" l="1"/>
  <c r="G65" i="20"/>
  <c r="G63" i="20"/>
  <c r="G62" i="20"/>
  <c r="G61" i="20"/>
  <c r="G60" i="20"/>
  <c r="G59" i="20"/>
  <c r="G58" i="20"/>
  <c r="F65" i="20"/>
  <c r="F64" i="20"/>
  <c r="F63" i="20"/>
  <c r="F62" i="20"/>
  <c r="F61" i="20"/>
  <c r="F60" i="20"/>
  <c r="F59" i="20"/>
  <c r="F58" i="20"/>
  <c r="G200" i="30" l="1"/>
  <c r="G199" i="30"/>
  <c r="O5" i="30"/>
  <c r="E32" i="30" l="1"/>
  <c r="C73" i="26" l="1"/>
  <c r="C72" i="26"/>
  <c r="C71" i="26"/>
  <c r="C65" i="26" l="1"/>
  <c r="C64" i="26"/>
  <c r="C63" i="26"/>
  <c r="C449" i="26" l="1"/>
  <c r="C448" i="26"/>
  <c r="C447" i="26"/>
  <c r="G724" i="26"/>
  <c r="C720" i="26"/>
  <c r="C719" i="26"/>
  <c r="C718" i="26"/>
  <c r="G716" i="26"/>
  <c r="C712" i="26"/>
  <c r="C711" i="26"/>
  <c r="C710" i="26"/>
  <c r="G708" i="26"/>
  <c r="C704" i="26"/>
  <c r="C703" i="26"/>
  <c r="C702" i="26"/>
  <c r="E31" i="30"/>
  <c r="G34" i="29" s="1"/>
  <c r="E30" i="30"/>
  <c r="E29" i="30"/>
  <c r="JX103" i="29"/>
  <c r="JX102" i="29"/>
  <c r="JV103" i="29"/>
  <c r="JV102" i="29"/>
  <c r="JV101" i="29"/>
  <c r="JV100" i="29"/>
  <c r="JV52" i="29"/>
  <c r="R7" i="30"/>
  <c r="Q3" i="30"/>
  <c r="JV48" i="29" s="1"/>
  <c r="P105" i="30"/>
  <c r="P106" i="30" s="1"/>
  <c r="P107" i="30" s="1"/>
  <c r="P108" i="30" s="1"/>
  <c r="P109" i="30" s="1"/>
  <c r="P110" i="30" s="1"/>
  <c r="P111" i="30" s="1"/>
  <c r="P112" i="30" s="1"/>
  <c r="P113" i="30" s="1"/>
  <c r="P114" i="30" s="1"/>
  <c r="P115" i="30" s="1"/>
  <c r="P116" i="30" s="1"/>
  <c r="JX99" i="29"/>
  <c r="JV99" i="29"/>
  <c r="JX98" i="29"/>
  <c r="JV98" i="29"/>
  <c r="JV97" i="29"/>
  <c r="JV96" i="29"/>
  <c r="E184" i="30"/>
  <c r="G187" i="29" s="1"/>
  <c r="I136" i="29"/>
  <c r="C455" i="26"/>
  <c r="C457" i="26"/>
  <c r="C456" i="26"/>
  <c r="G186" i="29"/>
  <c r="I194" i="29"/>
  <c r="I193" i="29"/>
  <c r="I192" i="29"/>
  <c r="I191" i="29"/>
  <c r="I190" i="29"/>
  <c r="I189" i="29"/>
  <c r="I188" i="29"/>
  <c r="I187" i="29"/>
  <c r="I186" i="29"/>
  <c r="E187" i="30"/>
  <c r="G190" i="29" s="1"/>
  <c r="E186" i="30"/>
  <c r="G189" i="29" s="1"/>
  <c r="E185" i="30"/>
  <c r="G188" i="29" s="1"/>
  <c r="E191" i="30"/>
  <c r="G194" i="29" s="1"/>
  <c r="E190" i="30"/>
  <c r="G193" i="29" s="1"/>
  <c r="E189" i="30"/>
  <c r="G192" i="29" s="1"/>
  <c r="E188" i="30"/>
  <c r="G191" i="29" s="1"/>
  <c r="JX78" i="29"/>
  <c r="JX79" i="29"/>
  <c r="JX82" i="29"/>
  <c r="JX83" i="29"/>
  <c r="JX86" i="29"/>
  <c r="JX87" i="29"/>
  <c r="JX90" i="29"/>
  <c r="JX91" i="29"/>
  <c r="JX94" i="29"/>
  <c r="JX95" i="29"/>
  <c r="JV90" i="29"/>
  <c r="JV91" i="29"/>
  <c r="JV92" i="29"/>
  <c r="JV93" i="29"/>
  <c r="JV94" i="29"/>
  <c r="JV95" i="29"/>
  <c r="JV76" i="29"/>
  <c r="JV77" i="29"/>
  <c r="JV78" i="29"/>
  <c r="JV79" i="29"/>
  <c r="JV80" i="29"/>
  <c r="JV81" i="29"/>
  <c r="JV82" i="29"/>
  <c r="JV83" i="29"/>
  <c r="JV84" i="29"/>
  <c r="JV85" i="29"/>
  <c r="JV86" i="29"/>
  <c r="JV87" i="29"/>
  <c r="JV88" i="29"/>
  <c r="JV89" i="29"/>
  <c r="C485" i="26"/>
  <c r="C484" i="26"/>
  <c r="C826" i="26"/>
  <c r="C825" i="26"/>
  <c r="C824" i="26"/>
  <c r="G177" i="29"/>
  <c r="I185" i="29"/>
  <c r="I184" i="29"/>
  <c r="I183" i="29"/>
  <c r="I182" i="29"/>
  <c r="I181" i="29"/>
  <c r="I180" i="29"/>
  <c r="I179" i="29"/>
  <c r="I178" i="29"/>
  <c r="I177" i="29"/>
  <c r="B6" i="30"/>
  <c r="B7" i="30" s="1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115" i="30" s="1"/>
  <c r="B116" i="30" s="1"/>
  <c r="B117" i="30" s="1"/>
  <c r="B118" i="30" s="1"/>
  <c r="B119" i="30" s="1"/>
  <c r="B120" i="30" s="1"/>
  <c r="B121" i="30" s="1"/>
  <c r="B122" i="30" s="1"/>
  <c r="B123" i="30" s="1"/>
  <c r="B124" i="30" s="1"/>
  <c r="B125" i="30" s="1"/>
  <c r="B126" i="30" s="1"/>
  <c r="B127" i="30" s="1"/>
  <c r="B128" i="30" s="1"/>
  <c r="B129" i="30" s="1"/>
  <c r="B130" i="30" s="1"/>
  <c r="B131" i="30" s="1"/>
  <c r="B132" i="30" s="1"/>
  <c r="B133" i="30" s="1"/>
  <c r="B134" i="30" s="1"/>
  <c r="B135" i="30" s="1"/>
  <c r="B136" i="30" s="1"/>
  <c r="B137" i="30" s="1"/>
  <c r="B138" i="30" s="1"/>
  <c r="B139" i="30" s="1"/>
  <c r="B140" i="30" s="1"/>
  <c r="B141" i="30" s="1"/>
  <c r="B142" i="30" s="1"/>
  <c r="B143" i="30" s="1"/>
  <c r="B144" i="30" s="1"/>
  <c r="B145" i="30" s="1"/>
  <c r="B146" i="30" s="1"/>
  <c r="B147" i="30" s="1"/>
  <c r="B148" i="30" s="1"/>
  <c r="B149" i="30" s="1"/>
  <c r="B150" i="30" s="1"/>
  <c r="B151" i="30" s="1"/>
  <c r="B152" i="30" s="1"/>
  <c r="B153" i="30" s="1"/>
  <c r="B154" i="30" s="1"/>
  <c r="B155" i="30" s="1"/>
  <c r="B156" i="30" s="1"/>
  <c r="B157" i="30" s="1"/>
  <c r="B158" i="30" s="1"/>
  <c r="B159" i="30" s="1"/>
  <c r="B160" i="30" s="1"/>
  <c r="B161" i="30" s="1"/>
  <c r="B162" i="30" s="1"/>
  <c r="B163" i="30" s="1"/>
  <c r="B164" i="30" s="1"/>
  <c r="B165" i="30" s="1"/>
  <c r="B166" i="30" s="1"/>
  <c r="B167" i="30" s="1"/>
  <c r="B168" i="30" s="1"/>
  <c r="B169" i="30" s="1"/>
  <c r="B170" i="30" s="1"/>
  <c r="B171" i="30" s="1"/>
  <c r="B172" i="30" s="1"/>
  <c r="B173" i="30" s="1"/>
  <c r="F9" i="30"/>
  <c r="F10" i="30" s="1"/>
  <c r="E182" i="30"/>
  <c r="G185" i="29" s="1"/>
  <c r="E181" i="30"/>
  <c r="G184" i="29" s="1"/>
  <c r="E180" i="30"/>
  <c r="G183" i="29" s="1"/>
  <c r="E179" i="30"/>
  <c r="G182" i="29" s="1"/>
  <c r="E178" i="30"/>
  <c r="G181" i="29" s="1"/>
  <c r="E177" i="30"/>
  <c r="G180" i="29" s="1"/>
  <c r="E176" i="30"/>
  <c r="G179" i="29" s="1"/>
  <c r="E175" i="30"/>
  <c r="G178" i="29" s="1"/>
  <c r="E83" i="30"/>
  <c r="G86" i="29" s="1"/>
  <c r="E82" i="30"/>
  <c r="G85" i="29" s="1"/>
  <c r="E81" i="30"/>
  <c r="G84" i="29" s="1"/>
  <c r="E80" i="30"/>
  <c r="G83" i="29" s="1"/>
  <c r="E173" i="30"/>
  <c r="E172" i="30"/>
  <c r="G175" i="29" s="1"/>
  <c r="E171" i="30"/>
  <c r="G174" i="29" s="1"/>
  <c r="E170" i="30"/>
  <c r="G173" i="29" s="1"/>
  <c r="E169" i="30"/>
  <c r="E168" i="30"/>
  <c r="G171" i="29" s="1"/>
  <c r="E167" i="30"/>
  <c r="G170" i="29" s="1"/>
  <c r="E166" i="30"/>
  <c r="E165" i="30"/>
  <c r="G168" i="29" s="1"/>
  <c r="E164" i="30"/>
  <c r="G167" i="29" s="1"/>
  <c r="D164" i="30"/>
  <c r="E162" i="30"/>
  <c r="G165" i="29" s="1"/>
  <c r="E161" i="30"/>
  <c r="G164" i="29" s="1"/>
  <c r="E160" i="30"/>
  <c r="G163" i="29" s="1"/>
  <c r="E159" i="30"/>
  <c r="E158" i="30"/>
  <c r="E157" i="30"/>
  <c r="G160" i="29" s="1"/>
  <c r="E156" i="30"/>
  <c r="G159" i="29" s="1"/>
  <c r="E155" i="30"/>
  <c r="G158" i="29" s="1"/>
  <c r="E154" i="30"/>
  <c r="G157" i="29" s="1"/>
  <c r="E153" i="30"/>
  <c r="D153" i="30"/>
  <c r="E151" i="30"/>
  <c r="G154" i="29" s="1"/>
  <c r="E150" i="30"/>
  <c r="G153" i="29" s="1"/>
  <c r="E149" i="30"/>
  <c r="G152" i="29"/>
  <c r="E148" i="30"/>
  <c r="G151" i="29" s="1"/>
  <c r="E147" i="30"/>
  <c r="G150" i="29" s="1"/>
  <c r="E146" i="30"/>
  <c r="E145" i="30"/>
  <c r="G148" i="29" s="1"/>
  <c r="E144" i="30"/>
  <c r="G147" i="29" s="1"/>
  <c r="E143" i="30"/>
  <c r="G146" i="29" s="1"/>
  <c r="E141" i="30"/>
  <c r="E142" i="30"/>
  <c r="G145" i="29" s="1"/>
  <c r="D141" i="30"/>
  <c r="E139" i="30"/>
  <c r="G142" i="29" s="1"/>
  <c r="E138" i="30"/>
  <c r="G141" i="29" s="1"/>
  <c r="E137" i="30"/>
  <c r="G140" i="29" s="1"/>
  <c r="E136" i="30"/>
  <c r="G139" i="29" s="1"/>
  <c r="E123" i="30"/>
  <c r="G126" i="29" s="1"/>
  <c r="E122" i="30"/>
  <c r="G125" i="29" s="1"/>
  <c r="E121" i="30"/>
  <c r="G124" i="29" s="1"/>
  <c r="E120" i="30"/>
  <c r="G123" i="29" s="1"/>
  <c r="G138" i="29"/>
  <c r="G137" i="29"/>
  <c r="E119" i="30"/>
  <c r="G122" i="29" s="1"/>
  <c r="E118" i="30"/>
  <c r="G121" i="29" s="1"/>
  <c r="E117" i="30"/>
  <c r="G120" i="29" s="1"/>
  <c r="E116" i="30"/>
  <c r="G119" i="29" s="1"/>
  <c r="E115" i="30"/>
  <c r="G118" i="29" s="1"/>
  <c r="E114" i="30"/>
  <c r="G117" i="29" s="1"/>
  <c r="E113" i="30"/>
  <c r="G116" i="29" s="1"/>
  <c r="E112" i="30"/>
  <c r="G115" i="29" s="1"/>
  <c r="E111" i="30"/>
  <c r="G114" i="29" s="1"/>
  <c r="E110" i="30"/>
  <c r="G113" i="29" s="1"/>
  <c r="E109" i="30"/>
  <c r="G112" i="29" s="1"/>
  <c r="E108" i="30"/>
  <c r="G111" i="29" s="1"/>
  <c r="E107" i="30"/>
  <c r="G110" i="29" s="1"/>
  <c r="E106" i="30"/>
  <c r="G109" i="29" s="1"/>
  <c r="E105" i="30"/>
  <c r="E104" i="30"/>
  <c r="G107" i="29" s="1"/>
  <c r="E103" i="30"/>
  <c r="G106" i="29"/>
  <c r="E102" i="30"/>
  <c r="G105" i="29" s="1"/>
  <c r="E101" i="30"/>
  <c r="G104" i="29" s="1"/>
  <c r="E100" i="30"/>
  <c r="G103" i="29" s="1"/>
  <c r="E99" i="30"/>
  <c r="G102" i="29" s="1"/>
  <c r="E98" i="30"/>
  <c r="G101" i="29" s="1"/>
  <c r="E97" i="30"/>
  <c r="E96" i="30"/>
  <c r="E95" i="30"/>
  <c r="E94" i="30"/>
  <c r="E93" i="30"/>
  <c r="G96" i="29" s="1"/>
  <c r="E92" i="30"/>
  <c r="G95" i="29" s="1"/>
  <c r="E91" i="30"/>
  <c r="G94" i="29" s="1"/>
  <c r="E90" i="30"/>
  <c r="E89" i="30"/>
  <c r="E88" i="30"/>
  <c r="G91" i="29" s="1"/>
  <c r="E87" i="30"/>
  <c r="G90" i="29" s="1"/>
  <c r="E86" i="30"/>
  <c r="G89" i="29" s="1"/>
  <c r="E85" i="30"/>
  <c r="G88" i="29" s="1"/>
  <c r="E84" i="30"/>
  <c r="G87" i="29" s="1"/>
  <c r="G82" i="29"/>
  <c r="G81" i="29"/>
  <c r="E67" i="30"/>
  <c r="G70" i="29" s="1"/>
  <c r="E66" i="30"/>
  <c r="G69" i="29" s="1"/>
  <c r="E65" i="30"/>
  <c r="G68" i="29" s="1"/>
  <c r="E64" i="30"/>
  <c r="G67" i="29" s="1"/>
  <c r="E63" i="30"/>
  <c r="E62" i="30"/>
  <c r="G65" i="29" s="1"/>
  <c r="E61" i="30"/>
  <c r="G64" i="29" s="1"/>
  <c r="E60" i="30"/>
  <c r="E59" i="30"/>
  <c r="G62" i="29" s="1"/>
  <c r="E58" i="30"/>
  <c r="G61" i="29" s="1"/>
  <c r="E57" i="30"/>
  <c r="G60" i="29" s="1"/>
  <c r="E56" i="30"/>
  <c r="E55" i="30"/>
  <c r="G58" i="29" s="1"/>
  <c r="E54" i="30"/>
  <c r="G57" i="29" s="1"/>
  <c r="E53" i="30"/>
  <c r="E52" i="30"/>
  <c r="E51" i="30"/>
  <c r="G54" i="29" s="1"/>
  <c r="E50" i="30"/>
  <c r="G53" i="29" s="1"/>
  <c r="E49" i="30"/>
  <c r="G52" i="29" s="1"/>
  <c r="E48" i="30"/>
  <c r="G51" i="29" s="1"/>
  <c r="E47" i="30"/>
  <c r="G50" i="29" s="1"/>
  <c r="E46" i="30"/>
  <c r="G49" i="29" s="1"/>
  <c r="E45" i="30"/>
  <c r="E44" i="30"/>
  <c r="E43" i="30"/>
  <c r="G46" i="29" s="1"/>
  <c r="E42" i="30"/>
  <c r="G45" i="29" s="1"/>
  <c r="E41" i="30"/>
  <c r="G44" i="29" s="1"/>
  <c r="E40" i="30"/>
  <c r="E39" i="30"/>
  <c r="G42" i="29" s="1"/>
  <c r="E38" i="30"/>
  <c r="G41" i="29" s="1"/>
  <c r="E37" i="30"/>
  <c r="G40" i="29" s="1"/>
  <c r="E36" i="30"/>
  <c r="E35" i="30"/>
  <c r="G38" i="29" s="1"/>
  <c r="E34" i="30"/>
  <c r="E33" i="30"/>
  <c r="G36" i="29" s="1"/>
  <c r="G32" i="29"/>
  <c r="E16" i="30"/>
  <c r="G19" i="29" s="1"/>
  <c r="E15" i="30"/>
  <c r="G18" i="29" s="1"/>
  <c r="E14" i="30"/>
  <c r="G17" i="29" s="1"/>
  <c r="E13" i="30"/>
  <c r="G16" i="29" s="1"/>
  <c r="E12" i="30"/>
  <c r="G15" i="29"/>
  <c r="E11" i="30"/>
  <c r="E10" i="30"/>
  <c r="G13" i="29" s="1"/>
  <c r="E9" i="30"/>
  <c r="D29" i="30"/>
  <c r="E20" i="30"/>
  <c r="E21" i="30"/>
  <c r="G24" i="29" s="1"/>
  <c r="E22" i="30"/>
  <c r="E23" i="30"/>
  <c r="G26" i="29" s="1"/>
  <c r="E24" i="30"/>
  <c r="G27" i="29" s="1"/>
  <c r="E25" i="30"/>
  <c r="G28" i="29" s="1"/>
  <c r="E26" i="30"/>
  <c r="G29" i="29" s="1"/>
  <c r="E27" i="30"/>
  <c r="G30" i="29" s="1"/>
  <c r="E19" i="30"/>
  <c r="E18" i="30"/>
  <c r="G21" i="29" s="1"/>
  <c r="D18" i="30"/>
  <c r="Q4" i="30"/>
  <c r="JV108" i="29"/>
  <c r="C510" i="26"/>
  <c r="C509" i="26"/>
  <c r="C492" i="26"/>
  <c r="C491" i="26"/>
  <c r="C508" i="26"/>
  <c r="C490" i="26"/>
  <c r="C476" i="26"/>
  <c r="C477" i="26"/>
  <c r="G780" i="26"/>
  <c r="F19" i="13"/>
  <c r="F18" i="13"/>
  <c r="C163" i="26"/>
  <c r="JX75" i="29"/>
  <c r="JV75" i="29"/>
  <c r="JX74" i="29"/>
  <c r="JV74" i="29"/>
  <c r="JV73" i="29"/>
  <c r="JV72" i="29"/>
  <c r="JX71" i="29"/>
  <c r="JV71" i="29"/>
  <c r="JX70" i="29"/>
  <c r="JV70" i="29"/>
  <c r="JV69" i="29"/>
  <c r="JV68" i="29"/>
  <c r="JX67" i="29"/>
  <c r="JV67" i="29"/>
  <c r="JX66" i="29"/>
  <c r="JV66" i="29"/>
  <c r="JV65" i="29"/>
  <c r="JV64" i="29"/>
  <c r="JX63" i="29"/>
  <c r="JV63" i="29"/>
  <c r="JX62" i="29"/>
  <c r="JV62" i="29"/>
  <c r="JV61" i="29"/>
  <c r="JV60" i="29"/>
  <c r="JX59" i="29"/>
  <c r="JV59" i="29"/>
  <c r="JX58" i="29"/>
  <c r="JV58" i="29"/>
  <c r="JV57" i="29"/>
  <c r="JV56" i="29"/>
  <c r="JX55" i="29"/>
  <c r="JV55" i="29"/>
  <c r="JV37" i="29"/>
  <c r="JX36" i="29"/>
  <c r="JX35" i="29"/>
  <c r="JV35" i="29"/>
  <c r="JX34" i="29"/>
  <c r="JV34" i="29"/>
  <c r="JX33" i="29"/>
  <c r="JV33" i="29"/>
  <c r="JX32" i="29"/>
  <c r="JV32" i="29"/>
  <c r="JX31" i="29"/>
  <c r="JV31" i="29"/>
  <c r="JX30" i="29"/>
  <c r="JV30" i="29"/>
  <c r="JX29" i="29"/>
  <c r="JV29" i="29"/>
  <c r="JX28" i="29"/>
  <c r="JV28" i="29"/>
  <c r="JX27" i="29"/>
  <c r="JV27" i="29"/>
  <c r="JX26" i="29"/>
  <c r="JV26" i="29"/>
  <c r="JX25" i="29"/>
  <c r="JV25" i="29"/>
  <c r="JX24" i="29"/>
  <c r="JV24" i="29"/>
  <c r="JX23" i="29"/>
  <c r="JV23" i="29"/>
  <c r="JX22" i="29"/>
  <c r="JV22" i="29"/>
  <c r="JX21" i="29"/>
  <c r="JV21" i="29"/>
  <c r="JX20" i="29"/>
  <c r="JV20" i="29"/>
  <c r="JX19" i="29"/>
  <c r="JV19" i="29"/>
  <c r="JX18" i="29"/>
  <c r="JV18" i="29"/>
  <c r="JX17" i="29"/>
  <c r="JV17" i="29"/>
  <c r="JX16" i="29"/>
  <c r="JV16" i="29"/>
  <c r="JX54" i="29"/>
  <c r="JV54" i="29"/>
  <c r="JV53" i="29"/>
  <c r="JX47" i="29"/>
  <c r="JV47" i="29"/>
  <c r="JX46" i="29"/>
  <c r="JV46" i="29"/>
  <c r="JX45" i="29"/>
  <c r="JV45" i="29"/>
  <c r="JX44" i="29"/>
  <c r="JV44" i="29"/>
  <c r="JX43" i="29"/>
  <c r="JV43" i="29"/>
  <c r="JX42" i="29"/>
  <c r="JV42" i="29"/>
  <c r="JX41" i="29"/>
  <c r="JV41" i="29"/>
  <c r="JX40" i="29"/>
  <c r="JV40" i="29"/>
  <c r="JX39" i="29"/>
  <c r="JV39" i="29"/>
  <c r="JX38" i="29"/>
  <c r="JV38" i="29"/>
  <c r="JX37" i="29"/>
  <c r="JV36" i="29"/>
  <c r="G27" i="20"/>
  <c r="G10" i="13"/>
  <c r="G26" i="20"/>
  <c r="G9" i="13"/>
  <c r="C41" i="26"/>
  <c r="C33" i="26"/>
  <c r="C25" i="26"/>
  <c r="C17" i="26"/>
  <c r="C840" i="26"/>
  <c r="C839" i="26"/>
  <c r="C838" i="26"/>
  <c r="C819" i="26"/>
  <c r="C818" i="26"/>
  <c r="C817" i="26"/>
  <c r="C812" i="26"/>
  <c r="C811" i="26"/>
  <c r="C810" i="26"/>
  <c r="C798" i="26"/>
  <c r="C797" i="26"/>
  <c r="C796" i="26"/>
  <c r="C791" i="26"/>
  <c r="C790" i="26"/>
  <c r="C789" i="26"/>
  <c r="C784" i="26"/>
  <c r="C783" i="26"/>
  <c r="C782" i="26"/>
  <c r="C777" i="26"/>
  <c r="C776" i="26"/>
  <c r="C775" i="26"/>
  <c r="C770" i="26"/>
  <c r="C769" i="26"/>
  <c r="C768" i="26"/>
  <c r="C763" i="26"/>
  <c r="C762" i="26"/>
  <c r="C761" i="26"/>
  <c r="C756" i="26"/>
  <c r="C755" i="26"/>
  <c r="C754" i="26"/>
  <c r="C749" i="26"/>
  <c r="C748" i="26"/>
  <c r="C747" i="26"/>
  <c r="C742" i="26"/>
  <c r="C741" i="26"/>
  <c r="C740" i="26"/>
  <c r="C735" i="26"/>
  <c r="C734" i="26"/>
  <c r="C733" i="26"/>
  <c r="C728" i="26"/>
  <c r="C727" i="26"/>
  <c r="C726" i="26"/>
  <c r="G700" i="26"/>
  <c r="C696" i="26"/>
  <c r="C695" i="26"/>
  <c r="C694" i="26"/>
  <c r="G692" i="26"/>
  <c r="C688" i="26"/>
  <c r="C687" i="26"/>
  <c r="C686" i="26"/>
  <c r="G684" i="26"/>
  <c r="C680" i="26"/>
  <c r="C679" i="26"/>
  <c r="C678" i="26"/>
  <c r="C672" i="26"/>
  <c r="C671" i="26"/>
  <c r="C670" i="26"/>
  <c r="C664" i="26"/>
  <c r="C663" i="26"/>
  <c r="C662" i="26"/>
  <c r="C656" i="26"/>
  <c r="C655" i="26"/>
  <c r="C654" i="26"/>
  <c r="C648" i="26"/>
  <c r="C647" i="26"/>
  <c r="C646" i="26"/>
  <c r="C641" i="26"/>
  <c r="C640" i="26"/>
  <c r="C639" i="26"/>
  <c r="C633" i="26"/>
  <c r="C632" i="26"/>
  <c r="C631" i="26"/>
  <c r="C626" i="26"/>
  <c r="C625" i="26"/>
  <c r="C624" i="26"/>
  <c r="C586" i="26"/>
  <c r="C585" i="26"/>
  <c r="C584" i="26"/>
  <c r="C578" i="26"/>
  <c r="C577" i="26"/>
  <c r="C576" i="26"/>
  <c r="C570" i="26"/>
  <c r="C569" i="26"/>
  <c r="C568" i="26"/>
  <c r="C562" i="26"/>
  <c r="C561" i="26"/>
  <c r="C560" i="26"/>
  <c r="C554" i="26"/>
  <c r="C553" i="26"/>
  <c r="C552" i="26"/>
  <c r="C544" i="26"/>
  <c r="C543" i="26"/>
  <c r="C542" i="26"/>
  <c r="C536" i="26"/>
  <c r="C535" i="26"/>
  <c r="C534" i="26"/>
  <c r="C478" i="26"/>
  <c r="C471" i="26"/>
  <c r="C470" i="26"/>
  <c r="C469" i="26"/>
  <c r="C464" i="26"/>
  <c r="C463" i="26"/>
  <c r="C462" i="26"/>
  <c r="C256" i="26"/>
  <c r="C255" i="26"/>
  <c r="C254" i="26"/>
  <c r="C248" i="26"/>
  <c r="C247" i="26"/>
  <c r="C246" i="26"/>
  <c r="C240" i="26"/>
  <c r="C239" i="26"/>
  <c r="C238" i="26"/>
  <c r="C232" i="26"/>
  <c r="C231" i="26"/>
  <c r="C230" i="26"/>
  <c r="C219" i="26"/>
  <c r="C218" i="26"/>
  <c r="C217" i="26"/>
  <c r="C211" i="26"/>
  <c r="C210" i="26"/>
  <c r="C209" i="26"/>
  <c r="C203" i="26"/>
  <c r="C202" i="26"/>
  <c r="C201" i="26"/>
  <c r="C195" i="26"/>
  <c r="C194" i="26"/>
  <c r="C193" i="26"/>
  <c r="C187" i="26"/>
  <c r="C186" i="26"/>
  <c r="C185" i="26"/>
  <c r="G183" i="26"/>
  <c r="C179" i="26"/>
  <c r="C178" i="26"/>
  <c r="C177" i="26"/>
  <c r="G175" i="26"/>
  <c r="C171" i="26"/>
  <c r="C170" i="26"/>
  <c r="C169" i="26"/>
  <c r="G167" i="26"/>
  <c r="C162" i="26"/>
  <c r="C161" i="26"/>
  <c r="C89" i="26"/>
  <c r="C88" i="26"/>
  <c r="C87" i="26"/>
  <c r="C81" i="26"/>
  <c r="C80" i="26"/>
  <c r="C79" i="26"/>
  <c r="C32" i="26"/>
  <c r="C31" i="26"/>
  <c r="C24" i="26"/>
  <c r="C23" i="26"/>
  <c r="C16" i="26"/>
  <c r="C15" i="26"/>
  <c r="C10" i="26"/>
  <c r="C9" i="26"/>
  <c r="C8" i="26"/>
  <c r="C3" i="26"/>
  <c r="C2" i="26"/>
  <c r="C1" i="26"/>
  <c r="C57" i="26"/>
  <c r="C56" i="26"/>
  <c r="C55" i="26"/>
  <c r="C49" i="26"/>
  <c r="C48" i="26"/>
  <c r="C47" i="26"/>
  <c r="C39" i="26"/>
  <c r="C40" i="26"/>
  <c r="E73" i="20"/>
  <c r="E69" i="20"/>
  <c r="F20" i="13"/>
  <c r="Q6" i="30"/>
  <c r="JV132" i="29" s="1"/>
  <c r="Q5" i="30"/>
  <c r="JV112" i="29" s="1"/>
  <c r="G201" i="30"/>
  <c r="G202" i="30"/>
  <c r="G203" i="30"/>
  <c r="G204" i="30"/>
  <c r="G205" i="30"/>
  <c r="G206" i="30"/>
  <c r="G207" i="30"/>
  <c r="G208" i="30"/>
  <c r="G209" i="30"/>
  <c r="G210" i="30"/>
  <c r="G211" i="30"/>
  <c r="G212" i="30"/>
  <c r="G213" i="30"/>
  <c r="G214" i="30"/>
  <c r="G215" i="30"/>
  <c r="G216" i="30"/>
  <c r="G217" i="30"/>
  <c r="G218" i="30"/>
  <c r="G219" i="30"/>
  <c r="G220" i="30"/>
  <c r="G221" i="30"/>
  <c r="G222" i="30"/>
  <c r="G223" i="30"/>
  <c r="G224" i="30"/>
  <c r="G225" i="30"/>
  <c r="G226" i="30"/>
  <c r="G227" i="30"/>
  <c r="G228" i="30"/>
  <c r="G229" i="30"/>
  <c r="G230" i="30"/>
  <c r="G231" i="30"/>
  <c r="G232" i="30"/>
  <c r="G233" i="30"/>
  <c r="G234" i="30"/>
  <c r="G235" i="30"/>
  <c r="G236" i="30"/>
  <c r="G237" i="30"/>
  <c r="G238" i="30"/>
  <c r="G239" i="30"/>
  <c r="G240" i="30"/>
  <c r="G241" i="30"/>
  <c r="G242" i="30"/>
  <c r="G243" i="30"/>
  <c r="G244" i="30"/>
  <c r="G245" i="30"/>
  <c r="G246" i="30"/>
  <c r="G247" i="30"/>
  <c r="G248" i="30"/>
  <c r="G249" i="30"/>
  <c r="G250" i="30"/>
  <c r="G251" i="30"/>
  <c r="G252" i="30"/>
  <c r="G253" i="30"/>
  <c r="G254" i="30"/>
  <c r="G255" i="30"/>
  <c r="G256" i="30"/>
  <c r="G257" i="30"/>
  <c r="G258" i="30"/>
  <c r="G259" i="30"/>
  <c r="G260" i="30"/>
  <c r="G261" i="30"/>
  <c r="G262" i="30"/>
  <c r="G263" i="30"/>
  <c r="G264" i="30"/>
  <c r="G265" i="30"/>
  <c r="G266" i="30"/>
  <c r="G267" i="30"/>
  <c r="G268" i="30"/>
  <c r="G269" i="30"/>
  <c r="G270" i="30"/>
  <c r="G271" i="30"/>
  <c r="G272" i="30"/>
  <c r="G273" i="30"/>
  <c r="G274" i="30"/>
  <c r="G275" i="30"/>
  <c r="G276" i="30"/>
  <c r="G277" i="30"/>
  <c r="G278" i="30"/>
  <c r="G279" i="30"/>
  <c r="G280" i="30"/>
  <c r="G281" i="30"/>
  <c r="G282" i="30"/>
  <c r="G283" i="30"/>
  <c r="G284" i="30"/>
  <c r="G285" i="30"/>
  <c r="G286" i="30"/>
  <c r="G287" i="30"/>
  <c r="G288" i="30"/>
  <c r="G289" i="30"/>
  <c r="G290" i="30"/>
  <c r="G291" i="30"/>
  <c r="G292" i="30"/>
  <c r="G293" i="30"/>
  <c r="G294" i="30"/>
  <c r="G295" i="30"/>
  <c r="G296" i="30"/>
  <c r="G297" i="30"/>
  <c r="G298" i="30"/>
  <c r="G299" i="30"/>
  <c r="G300" i="30"/>
  <c r="G301" i="30"/>
  <c r="G302" i="30"/>
  <c r="G303" i="30"/>
  <c r="G304" i="30"/>
  <c r="G305" i="30"/>
  <c r="G306" i="30"/>
  <c r="G307" i="30"/>
  <c r="G308" i="30"/>
  <c r="G309" i="30"/>
  <c r="G310" i="30"/>
  <c r="G311" i="30"/>
  <c r="G312" i="30"/>
  <c r="G313" i="30"/>
  <c r="G314" i="30"/>
  <c r="G315" i="30"/>
  <c r="G316" i="30"/>
  <c r="G317" i="30"/>
  <c r="G318" i="30"/>
  <c r="G319" i="30"/>
  <c r="G320" i="30"/>
  <c r="G321" i="30"/>
  <c r="G322" i="30"/>
  <c r="G323" i="30"/>
  <c r="G324" i="30"/>
  <c r="G325" i="30"/>
  <c r="G326" i="30"/>
  <c r="G327" i="30"/>
  <c r="G328" i="30"/>
  <c r="G329" i="30"/>
  <c r="G330" i="30"/>
  <c r="G331" i="30"/>
  <c r="G332" i="30"/>
  <c r="G333" i="30"/>
  <c r="G334" i="30"/>
  <c r="G335" i="30"/>
  <c r="G336" i="30"/>
  <c r="G337" i="30"/>
  <c r="G338" i="30"/>
  <c r="G339" i="30"/>
  <c r="G340" i="30"/>
  <c r="G341" i="30"/>
  <c r="G342" i="30"/>
  <c r="G343" i="30"/>
  <c r="G344" i="30"/>
  <c r="G345" i="30"/>
  <c r="G346" i="30"/>
  <c r="G347" i="30"/>
  <c r="G348" i="30"/>
  <c r="G349" i="30"/>
  <c r="G350" i="30"/>
  <c r="G351" i="30"/>
  <c r="G352" i="30"/>
  <c r="G353" i="30"/>
  <c r="G354" i="30"/>
  <c r="G355" i="30"/>
  <c r="G356" i="30"/>
  <c r="G357" i="30"/>
  <c r="G358" i="30"/>
  <c r="G359" i="30"/>
  <c r="G360" i="30"/>
  <c r="G361" i="30"/>
  <c r="G362" i="30"/>
  <c r="G363" i="30"/>
  <c r="G364" i="30"/>
  <c r="G365" i="30"/>
  <c r="G366" i="30"/>
  <c r="G367" i="30"/>
  <c r="G368" i="30"/>
  <c r="G369" i="30"/>
  <c r="G370" i="30"/>
  <c r="G371" i="30"/>
  <c r="G372" i="30"/>
  <c r="G373" i="30"/>
  <c r="G374" i="30"/>
  <c r="G375" i="30"/>
  <c r="G376" i="30"/>
  <c r="G377" i="30"/>
  <c r="G378" i="30"/>
  <c r="G379" i="30"/>
  <c r="G380" i="30"/>
  <c r="G381" i="30"/>
  <c r="G382" i="30"/>
  <c r="G383" i="30"/>
  <c r="G384" i="30"/>
  <c r="G385" i="30"/>
  <c r="G386" i="30"/>
  <c r="G387" i="30"/>
  <c r="G388" i="30"/>
  <c r="G389" i="30"/>
  <c r="G390" i="30"/>
  <c r="G391" i="30"/>
  <c r="G392" i="30"/>
  <c r="G393" i="30"/>
  <c r="G394" i="30"/>
  <c r="G395" i="30"/>
  <c r="G396" i="30"/>
  <c r="G397" i="30"/>
  <c r="G398" i="30"/>
  <c r="G399" i="30"/>
  <c r="G400" i="30"/>
  <c r="G401" i="30"/>
  <c r="G402" i="30"/>
  <c r="G403" i="30"/>
  <c r="G404" i="30"/>
  <c r="G405" i="30"/>
  <c r="G406" i="30"/>
  <c r="G407" i="30"/>
  <c r="G408" i="30"/>
  <c r="G409" i="30"/>
  <c r="G410" i="30"/>
  <c r="G411" i="30"/>
  <c r="G412" i="30"/>
  <c r="G413" i="30"/>
  <c r="G414" i="30"/>
  <c r="G415" i="30"/>
  <c r="G416" i="30"/>
  <c r="G417" i="30"/>
  <c r="G418" i="30"/>
  <c r="G419" i="30"/>
  <c r="G420" i="30"/>
  <c r="G421" i="30"/>
  <c r="G422" i="30"/>
  <c r="G423" i="30"/>
  <c r="G424" i="30"/>
  <c r="G425" i="30"/>
  <c r="G426" i="30"/>
  <c r="G427" i="30"/>
  <c r="G428" i="30"/>
  <c r="G429" i="30"/>
  <c r="G430" i="30"/>
  <c r="G431" i="30"/>
  <c r="G432" i="30"/>
  <c r="G433" i="30"/>
  <c r="G434" i="30"/>
  <c r="G435" i="30"/>
  <c r="G436" i="30"/>
  <c r="G437" i="30"/>
  <c r="G438" i="30"/>
  <c r="G439" i="30"/>
  <c r="G440" i="30"/>
  <c r="G441" i="30"/>
  <c r="G442" i="30"/>
  <c r="G443" i="30"/>
  <c r="G444" i="30"/>
  <c r="G445" i="30"/>
  <c r="G446" i="30"/>
  <c r="G447" i="30"/>
  <c r="G448" i="30"/>
  <c r="G449" i="30"/>
  <c r="G450" i="30"/>
  <c r="G451" i="30"/>
  <c r="G452" i="30"/>
  <c r="G453" i="30"/>
  <c r="G454" i="30"/>
  <c r="G455" i="30"/>
  <c r="G456" i="30"/>
  <c r="G457" i="30"/>
  <c r="G458" i="30"/>
  <c r="G459" i="30"/>
  <c r="G460" i="30"/>
  <c r="G461" i="30"/>
  <c r="G462" i="30"/>
  <c r="G463" i="30"/>
  <c r="G464" i="30"/>
  <c r="G465" i="30"/>
  <c r="G466" i="30"/>
  <c r="G467" i="30"/>
  <c r="G468" i="30"/>
  <c r="G469" i="30"/>
  <c r="G470" i="30"/>
  <c r="G471" i="30"/>
  <c r="G472" i="30"/>
  <c r="G473" i="30"/>
  <c r="G474" i="30"/>
  <c r="G475" i="30"/>
  <c r="G476" i="30"/>
  <c r="G477" i="30"/>
  <c r="G478" i="30"/>
  <c r="G479" i="30"/>
  <c r="G480" i="30"/>
  <c r="G481" i="30"/>
  <c r="G482" i="30"/>
  <c r="G483" i="30"/>
  <c r="G484" i="30"/>
  <c r="G485" i="30"/>
  <c r="G486" i="30"/>
  <c r="G487" i="30"/>
  <c r="G488" i="30"/>
  <c r="G489" i="30"/>
  <c r="G490" i="30"/>
  <c r="G491" i="30"/>
  <c r="G492" i="30"/>
  <c r="G493" i="30"/>
  <c r="G494" i="30"/>
  <c r="G495" i="30"/>
  <c r="G496" i="30"/>
  <c r="G497" i="30"/>
  <c r="G498" i="30"/>
  <c r="G499" i="30"/>
  <c r="G500" i="30"/>
  <c r="G501" i="30"/>
  <c r="G502" i="30"/>
  <c r="G503" i="30"/>
  <c r="G504" i="30"/>
  <c r="G505" i="30"/>
  <c r="G506" i="30"/>
  <c r="G507" i="30"/>
  <c r="G508" i="30"/>
  <c r="G509" i="30"/>
  <c r="G510" i="30"/>
  <c r="G511" i="30"/>
  <c r="G512" i="30"/>
  <c r="G513" i="30"/>
  <c r="G514" i="30"/>
  <c r="G515" i="30"/>
  <c r="G516" i="30"/>
  <c r="G517" i="30"/>
  <c r="G518" i="30"/>
  <c r="G519" i="30"/>
  <c r="G520" i="30"/>
  <c r="I7" i="30"/>
  <c r="I6" i="30"/>
  <c r="I5" i="30"/>
  <c r="G31" i="29"/>
  <c r="G33" i="29"/>
  <c r="G37" i="29"/>
  <c r="G48" i="29"/>
  <c r="G56" i="29"/>
  <c r="G66" i="29"/>
  <c r="G80" i="29"/>
  <c r="G93" i="29"/>
  <c r="G97" i="29"/>
  <c r="G98" i="29"/>
  <c r="G99" i="29"/>
  <c r="G136" i="29"/>
  <c r="G143" i="29"/>
  <c r="G144" i="29"/>
  <c r="G149" i="29"/>
  <c r="G155" i="29"/>
  <c r="G156" i="29"/>
  <c r="G161" i="29"/>
  <c r="G162" i="29"/>
  <c r="G166" i="29"/>
  <c r="G169" i="29"/>
  <c r="G172" i="29"/>
  <c r="G176" i="29"/>
  <c r="I34" i="29"/>
  <c r="I31" i="29"/>
  <c r="I32" i="29"/>
  <c r="I33" i="29"/>
  <c r="I35" i="29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I51" i="29"/>
  <c r="I52" i="29"/>
  <c r="I53" i="29"/>
  <c r="I54" i="29"/>
  <c r="I55" i="29"/>
  <c r="I56" i="29"/>
  <c r="I57" i="29"/>
  <c r="I58" i="29"/>
  <c r="I59" i="29"/>
  <c r="I60" i="29"/>
  <c r="I61" i="29"/>
  <c r="I62" i="29"/>
  <c r="I63" i="29"/>
  <c r="I64" i="29"/>
  <c r="I65" i="29"/>
  <c r="I66" i="29"/>
  <c r="I67" i="29"/>
  <c r="I68" i="29"/>
  <c r="I69" i="29"/>
  <c r="I70" i="29"/>
  <c r="I80" i="29"/>
  <c r="I81" i="29"/>
  <c r="I82" i="29"/>
  <c r="I83" i="29"/>
  <c r="I84" i="29"/>
  <c r="I85" i="29"/>
  <c r="I86" i="29"/>
  <c r="I87" i="29"/>
  <c r="I88" i="29"/>
  <c r="I89" i="29"/>
  <c r="I90" i="29"/>
  <c r="I91" i="29"/>
  <c r="I92" i="29"/>
  <c r="I93" i="29"/>
  <c r="I94" i="29"/>
  <c r="I95" i="29"/>
  <c r="I96" i="29"/>
  <c r="I97" i="29"/>
  <c r="I98" i="29"/>
  <c r="I99" i="29"/>
  <c r="I100" i="29"/>
  <c r="I101" i="29"/>
  <c r="I102" i="29"/>
  <c r="I103" i="29"/>
  <c r="I104" i="29"/>
  <c r="I105" i="29"/>
  <c r="I106" i="29"/>
  <c r="I107" i="29"/>
  <c r="I108" i="29"/>
  <c r="I109" i="29"/>
  <c r="I110" i="29"/>
  <c r="I111" i="29"/>
  <c r="I112" i="29"/>
  <c r="I113" i="29"/>
  <c r="I114" i="29"/>
  <c r="I115" i="29"/>
  <c r="I116" i="29"/>
  <c r="I117" i="29"/>
  <c r="I118" i="29"/>
  <c r="I119" i="29"/>
  <c r="I120" i="29"/>
  <c r="I121" i="29"/>
  <c r="I122" i="29"/>
  <c r="I123" i="29"/>
  <c r="I124" i="29"/>
  <c r="I125" i="29"/>
  <c r="I126" i="29"/>
  <c r="I137" i="29"/>
  <c r="I138" i="29"/>
  <c r="I139" i="29"/>
  <c r="I140" i="29"/>
  <c r="I141" i="29"/>
  <c r="I142" i="29"/>
  <c r="I143" i="29"/>
  <c r="I144" i="29"/>
  <c r="I145" i="29"/>
  <c r="I146" i="29"/>
  <c r="I147" i="29"/>
  <c r="I148" i="29"/>
  <c r="I149" i="29"/>
  <c r="I150" i="29"/>
  <c r="I151" i="29"/>
  <c r="I152" i="29"/>
  <c r="I153" i="29"/>
  <c r="I154" i="29"/>
  <c r="I155" i="29"/>
  <c r="I156" i="29"/>
  <c r="I157" i="29"/>
  <c r="I158" i="29"/>
  <c r="I159" i="29"/>
  <c r="I160" i="29"/>
  <c r="I161" i="29"/>
  <c r="I162" i="29"/>
  <c r="I163" i="29"/>
  <c r="I164" i="29"/>
  <c r="I165" i="29"/>
  <c r="I166" i="29"/>
  <c r="I167" i="29"/>
  <c r="I168" i="29"/>
  <c r="I169" i="29"/>
  <c r="I170" i="29"/>
  <c r="I171" i="29"/>
  <c r="I172" i="29"/>
  <c r="I173" i="29"/>
  <c r="I174" i="29"/>
  <c r="I175" i="29"/>
  <c r="I176" i="29"/>
  <c r="I12" i="29"/>
  <c r="I13" i="29"/>
  <c r="I14" i="29"/>
  <c r="I15" i="29"/>
  <c r="I16" i="29"/>
  <c r="I17" i="29"/>
  <c r="I18" i="29"/>
  <c r="I19" i="29"/>
  <c r="I20" i="29"/>
  <c r="I21" i="29"/>
  <c r="I22" i="29"/>
  <c r="I23" i="29"/>
  <c r="I24" i="29"/>
  <c r="I25" i="29"/>
  <c r="I26" i="29"/>
  <c r="I27" i="29"/>
  <c r="I28" i="29"/>
  <c r="I29" i="29"/>
  <c r="I30" i="29"/>
  <c r="I11" i="29"/>
  <c r="G12" i="29"/>
  <c r="G14" i="29"/>
  <c r="G20" i="29"/>
  <c r="G22" i="29"/>
  <c r="G23" i="29"/>
  <c r="G25" i="29"/>
  <c r="G11" i="29"/>
  <c r="V399" i="30"/>
  <c r="V398" i="30"/>
  <c r="V397" i="30"/>
  <c r="V396" i="30"/>
  <c r="V395" i="30"/>
  <c r="V394" i="30"/>
  <c r="V393" i="30"/>
  <c r="V392" i="30"/>
  <c r="V391" i="30"/>
  <c r="V390" i="30"/>
  <c r="V389" i="30"/>
  <c r="V388" i="30"/>
  <c r="V387" i="30"/>
  <c r="V386" i="30"/>
  <c r="V385" i="30"/>
  <c r="V384" i="30"/>
  <c r="V383" i="30"/>
  <c r="V382" i="30"/>
  <c r="V381" i="30"/>
  <c r="V380" i="30"/>
  <c r="V379" i="30"/>
  <c r="V378" i="30"/>
  <c r="V377" i="30"/>
  <c r="V376" i="30"/>
  <c r="V375" i="30"/>
  <c r="V374" i="30"/>
  <c r="V373" i="30"/>
  <c r="V372" i="30"/>
  <c r="V371" i="30"/>
  <c r="V370" i="30"/>
  <c r="V369" i="30"/>
  <c r="V368" i="30"/>
  <c r="V367" i="30"/>
  <c r="V366" i="30"/>
  <c r="V365" i="30"/>
  <c r="V364" i="30"/>
  <c r="V363" i="30"/>
  <c r="V362" i="30"/>
  <c r="V361" i="30"/>
  <c r="V360" i="30"/>
  <c r="V359" i="30"/>
  <c r="V358" i="30"/>
  <c r="V357" i="30"/>
  <c r="V356" i="30"/>
  <c r="V355" i="30"/>
  <c r="V354" i="30"/>
  <c r="V353" i="30"/>
  <c r="V352" i="30"/>
  <c r="V351" i="30"/>
  <c r="V350" i="30"/>
  <c r="V349" i="30"/>
  <c r="V348" i="30"/>
  <c r="V347" i="30"/>
  <c r="V346" i="30"/>
  <c r="V345" i="30"/>
  <c r="V344" i="30"/>
  <c r="V343" i="30"/>
  <c r="V342" i="30"/>
  <c r="V341" i="30"/>
  <c r="V340" i="30"/>
  <c r="V339" i="30"/>
  <c r="V338" i="30"/>
  <c r="V337" i="30"/>
  <c r="V336" i="30"/>
  <c r="V335" i="30"/>
  <c r="V334" i="30"/>
  <c r="V333" i="30"/>
  <c r="V332" i="30"/>
  <c r="V331" i="30"/>
  <c r="V330" i="30"/>
  <c r="V329" i="30"/>
  <c r="V328" i="30"/>
  <c r="V327" i="30"/>
  <c r="V326" i="30"/>
  <c r="V325" i="30"/>
  <c r="V324" i="30"/>
  <c r="V323" i="30"/>
  <c r="V322" i="30"/>
  <c r="V321" i="30"/>
  <c r="V320" i="30"/>
  <c r="V319" i="30"/>
  <c r="V318" i="30"/>
  <c r="V317" i="30"/>
  <c r="V316" i="30"/>
  <c r="V315" i="30"/>
  <c r="V314" i="30"/>
  <c r="V313" i="30"/>
  <c r="V312" i="30"/>
  <c r="V311" i="30"/>
  <c r="V310" i="30"/>
  <c r="V309" i="30"/>
  <c r="V308" i="30"/>
  <c r="V307" i="30"/>
  <c r="V306" i="30"/>
  <c r="V305" i="30"/>
  <c r="V304" i="30"/>
  <c r="V303" i="30"/>
  <c r="V302" i="30"/>
  <c r="V301" i="30"/>
  <c r="V300" i="30"/>
  <c r="V299" i="30"/>
  <c r="V298" i="30"/>
  <c r="V297" i="30"/>
  <c r="V296" i="30"/>
  <c r="V295" i="30"/>
  <c r="V294" i="30"/>
  <c r="V293" i="30"/>
  <c r="V292" i="30"/>
  <c r="V291" i="30"/>
  <c r="V290" i="30"/>
  <c r="V289" i="30"/>
  <c r="V288" i="30"/>
  <c r="V287" i="30"/>
  <c r="V286" i="30"/>
  <c r="V285" i="30"/>
  <c r="V284" i="30"/>
  <c r="V283" i="30"/>
  <c r="V282" i="30"/>
  <c r="V281" i="30"/>
  <c r="V280" i="30"/>
  <c r="V279" i="30"/>
  <c r="V278" i="30"/>
  <c r="V277" i="30"/>
  <c r="V276" i="30"/>
  <c r="V275" i="30"/>
  <c r="V274" i="30"/>
  <c r="V273" i="30"/>
  <c r="V272" i="30"/>
  <c r="V271" i="30"/>
  <c r="V270" i="30"/>
  <c r="V269" i="30"/>
  <c r="V268" i="30"/>
  <c r="V267" i="30"/>
  <c r="V266" i="30"/>
  <c r="V265" i="30"/>
  <c r="V264" i="30"/>
  <c r="V263" i="30"/>
  <c r="V262" i="30"/>
  <c r="V261" i="30"/>
  <c r="V260" i="30"/>
  <c r="V259" i="30"/>
  <c r="V258" i="30"/>
  <c r="V257" i="30"/>
  <c r="V256" i="30"/>
  <c r="V255" i="30"/>
  <c r="V254" i="30"/>
  <c r="V253" i="30"/>
  <c r="V252" i="30"/>
  <c r="V251" i="30"/>
  <c r="V250" i="30"/>
  <c r="V249" i="30"/>
  <c r="V248" i="30"/>
  <c r="V247" i="30"/>
  <c r="V246" i="30"/>
  <c r="V245" i="30"/>
  <c r="V244" i="30"/>
  <c r="V243" i="30"/>
  <c r="V242" i="30"/>
  <c r="V241" i="30"/>
  <c r="V240" i="30"/>
  <c r="V239" i="30"/>
  <c r="V238" i="30"/>
  <c r="V237" i="30"/>
  <c r="V236" i="30"/>
  <c r="V235" i="30"/>
  <c r="V234" i="30"/>
  <c r="V233" i="30"/>
  <c r="V232" i="30"/>
  <c r="V231" i="30"/>
  <c r="V230" i="30"/>
  <c r="V229" i="30"/>
  <c r="V228" i="30"/>
  <c r="V227" i="30"/>
  <c r="V226" i="30"/>
  <c r="V225" i="30"/>
  <c r="V224" i="30"/>
  <c r="V223" i="30"/>
  <c r="V222" i="30"/>
  <c r="V221" i="30"/>
  <c r="V220" i="30"/>
  <c r="V219" i="30"/>
  <c r="V218" i="30"/>
  <c r="V217" i="30"/>
  <c r="V216" i="30"/>
  <c r="V215" i="30"/>
  <c r="V214" i="30"/>
  <c r="V213" i="30"/>
  <c r="V212" i="30"/>
  <c r="V211" i="30"/>
  <c r="V210" i="30"/>
  <c r="V209" i="30"/>
  <c r="V208" i="30"/>
  <c r="V207" i="30"/>
  <c r="V206" i="30"/>
  <c r="V205" i="30"/>
  <c r="V204" i="30"/>
  <c r="V203" i="30"/>
  <c r="V202" i="30"/>
  <c r="V201" i="30"/>
  <c r="V200" i="30"/>
  <c r="V199" i="30"/>
  <c r="V198" i="30"/>
  <c r="V197" i="30"/>
  <c r="V196" i="30"/>
  <c r="V195" i="30"/>
  <c r="V194" i="30"/>
  <c r="V193" i="30"/>
  <c r="V192" i="30"/>
  <c r="V191" i="30"/>
  <c r="V190" i="30"/>
  <c r="V189" i="30"/>
  <c r="V188" i="30"/>
  <c r="V187" i="30"/>
  <c r="V186" i="30"/>
  <c r="V185" i="30"/>
  <c r="V184" i="30"/>
  <c r="V183" i="30"/>
  <c r="V182" i="30"/>
  <c r="V181" i="30"/>
  <c r="V180" i="30"/>
  <c r="V179" i="30"/>
  <c r="V178" i="30"/>
  <c r="V177" i="30"/>
  <c r="V176" i="30"/>
  <c r="V175" i="30"/>
  <c r="V174" i="30"/>
  <c r="V173" i="30"/>
  <c r="V172" i="30"/>
  <c r="V171" i="30"/>
  <c r="V170" i="30"/>
  <c r="V169" i="30"/>
  <c r="V168" i="30"/>
  <c r="V167" i="30"/>
  <c r="V166" i="30"/>
  <c r="V165" i="30"/>
  <c r="V164" i="30"/>
  <c r="V163" i="30"/>
  <c r="V162" i="30"/>
  <c r="V161" i="30"/>
  <c r="V160" i="30"/>
  <c r="V159" i="30"/>
  <c r="V158" i="30"/>
  <c r="V157" i="30"/>
  <c r="V156" i="30"/>
  <c r="V155" i="30"/>
  <c r="V154" i="30"/>
  <c r="V153" i="30"/>
  <c r="V152" i="30"/>
  <c r="V151" i="30"/>
  <c r="V150" i="30"/>
  <c r="V149" i="30"/>
  <c r="V148" i="30"/>
  <c r="V147" i="30"/>
  <c r="V146" i="30"/>
  <c r="V145" i="30"/>
  <c r="V144" i="30"/>
  <c r="V143" i="30"/>
  <c r="V142" i="30"/>
  <c r="V141" i="30"/>
  <c r="V140" i="30"/>
  <c r="V139" i="30"/>
  <c r="V138" i="30"/>
  <c r="V137" i="30"/>
  <c r="V136" i="30"/>
  <c r="V135" i="30"/>
  <c r="V134" i="30"/>
  <c r="V133" i="30"/>
  <c r="V132" i="30"/>
  <c r="V131" i="30"/>
  <c r="V130" i="30"/>
  <c r="V129" i="30"/>
  <c r="V128" i="30"/>
  <c r="V127" i="30"/>
  <c r="V126" i="30"/>
  <c r="V125" i="30"/>
  <c r="V124" i="30"/>
  <c r="V123" i="30"/>
  <c r="V122" i="30"/>
  <c r="V121" i="30"/>
  <c r="V120" i="30"/>
  <c r="V119" i="30"/>
  <c r="V118" i="30"/>
  <c r="V117" i="30"/>
  <c r="V116" i="30"/>
  <c r="V115" i="30"/>
  <c r="V114" i="30"/>
  <c r="V113" i="30"/>
  <c r="V112" i="30"/>
  <c r="V111" i="30"/>
  <c r="V110" i="30"/>
  <c r="V109" i="30"/>
  <c r="V108" i="30"/>
  <c r="V107" i="30"/>
  <c r="V106" i="30"/>
  <c r="V105" i="30"/>
  <c r="V104" i="30"/>
  <c r="V103" i="30"/>
  <c r="V102" i="30"/>
  <c r="V101" i="30"/>
  <c r="V100" i="30"/>
  <c r="V99" i="30"/>
  <c r="V98" i="30"/>
  <c r="V97" i="30"/>
  <c r="V96" i="30"/>
  <c r="V95" i="30"/>
  <c r="V94" i="30"/>
  <c r="V93" i="30"/>
  <c r="V92" i="30"/>
  <c r="V91" i="30"/>
  <c r="V90" i="30"/>
  <c r="V89" i="30"/>
  <c r="V88" i="30"/>
  <c r="V87" i="30"/>
  <c r="V86" i="30"/>
  <c r="V85" i="30"/>
  <c r="V84" i="30"/>
  <c r="V83" i="30"/>
  <c r="V82" i="30"/>
  <c r="V81" i="30"/>
  <c r="V80" i="30"/>
  <c r="V79" i="30"/>
  <c r="V78" i="30"/>
  <c r="V77" i="30"/>
  <c r="V76" i="30"/>
  <c r="V75" i="30"/>
  <c r="V74" i="30"/>
  <c r="V73" i="30"/>
  <c r="V72" i="30"/>
  <c r="V71" i="30"/>
  <c r="V70" i="30"/>
  <c r="V69" i="30"/>
  <c r="V68" i="30"/>
  <c r="V67" i="30"/>
  <c r="V66" i="30"/>
  <c r="V65" i="30"/>
  <c r="V64" i="30"/>
  <c r="V63" i="30"/>
  <c r="V62" i="30"/>
  <c r="V61" i="30"/>
  <c r="V60" i="30"/>
  <c r="V59" i="30"/>
  <c r="V58" i="30"/>
  <c r="V57" i="30"/>
  <c r="V56" i="30"/>
  <c r="V55" i="30"/>
  <c r="V54" i="30"/>
  <c r="V53" i="30"/>
  <c r="V52" i="30"/>
  <c r="V51" i="30"/>
  <c r="V50" i="30"/>
  <c r="V49" i="30"/>
  <c r="V48" i="30"/>
  <c r="V47" i="30"/>
  <c r="V46" i="30"/>
  <c r="V45" i="30"/>
  <c r="V44" i="30"/>
  <c r="V43" i="30"/>
  <c r="V42" i="30"/>
  <c r="V41" i="30"/>
  <c r="V40" i="30"/>
  <c r="V39" i="30"/>
  <c r="V38" i="30"/>
  <c r="V37" i="30"/>
  <c r="V36" i="30"/>
  <c r="V35" i="30"/>
  <c r="V34" i="30"/>
  <c r="V33" i="30"/>
  <c r="V32" i="30"/>
  <c r="V31" i="30"/>
  <c r="V30" i="30"/>
  <c r="V29" i="30"/>
  <c r="V28" i="30"/>
  <c r="V27" i="30"/>
  <c r="V26" i="30"/>
  <c r="V25" i="30"/>
  <c r="V24" i="30"/>
  <c r="V23" i="30"/>
  <c r="V22" i="30"/>
  <c r="V21" i="30"/>
  <c r="V20" i="30"/>
  <c r="V19" i="30"/>
  <c r="V18" i="30"/>
  <c r="V17" i="30"/>
  <c r="V16" i="30"/>
  <c r="V15" i="30"/>
  <c r="V14" i="30"/>
  <c r="V13" i="30"/>
  <c r="V12" i="30"/>
  <c r="V11" i="30"/>
  <c r="V10" i="30"/>
  <c r="V9" i="30"/>
  <c r="V8" i="30"/>
  <c r="V7" i="30"/>
  <c r="V6" i="30"/>
  <c r="V5" i="30"/>
  <c r="H8" i="30"/>
  <c r="H9" i="30" s="1"/>
  <c r="G8" i="30"/>
  <c r="V4" i="30"/>
  <c r="Q7" i="30"/>
  <c r="JV8" i="29" s="1"/>
  <c r="Q2" i="30"/>
  <c r="JV12" i="29" s="1"/>
  <c r="G9" i="30"/>
  <c r="G35" i="29"/>
  <c r="G39" i="29"/>
  <c r="G43" i="29"/>
  <c r="G47" i="29"/>
  <c r="G55" i="29"/>
  <c r="G59" i="29"/>
  <c r="G63" i="29"/>
  <c r="G92" i="29"/>
  <c r="G100" i="29"/>
  <c r="G108" i="29"/>
  <c r="F11" i="30"/>
  <c r="F12" i="30" s="1"/>
  <c r="G12" i="30" s="1"/>
  <c r="G10" i="30"/>
  <c r="I8" i="30" l="1"/>
  <c r="H10" i="30"/>
  <c r="I9" i="30"/>
  <c r="G11" i="30"/>
  <c r="F13" i="30"/>
  <c r="G13" i="30" l="1"/>
  <c r="F14" i="30"/>
  <c r="H11" i="30"/>
  <c r="I10" i="30"/>
  <c r="G14" i="30" l="1"/>
  <c r="F15" i="30"/>
  <c r="I11" i="30"/>
  <c r="H12" i="30"/>
  <c r="I12" i="30" l="1"/>
  <c r="H13" i="30"/>
  <c r="F16" i="30"/>
  <c r="G15" i="30"/>
  <c r="H14" i="30" l="1"/>
  <c r="I13" i="30"/>
  <c r="G16" i="30"/>
  <c r="F17" i="30"/>
  <c r="G17" i="30" l="1"/>
  <c r="F18" i="30"/>
  <c r="H15" i="30"/>
  <c r="I14" i="30"/>
  <c r="F19" i="30" l="1"/>
  <c r="G18" i="30"/>
  <c r="H16" i="30"/>
  <c r="I15" i="30"/>
  <c r="I16" i="30" l="1"/>
  <c r="H17" i="30"/>
  <c r="G19" i="30"/>
  <c r="F20" i="30"/>
  <c r="H18" i="30" l="1"/>
  <c r="I17" i="30"/>
  <c r="G20" i="30"/>
  <c r="F21" i="30"/>
  <c r="F22" i="30" l="1"/>
  <c r="G21" i="30"/>
  <c r="H19" i="30"/>
  <c r="I18" i="30"/>
  <c r="H20" i="30" l="1"/>
  <c r="I19" i="30"/>
  <c r="G22" i="30"/>
  <c r="F23" i="30"/>
  <c r="G23" i="30" l="1"/>
  <c r="F24" i="30"/>
  <c r="H21" i="30"/>
  <c r="I20" i="30"/>
  <c r="I21" i="30" l="1"/>
  <c r="H22" i="30"/>
  <c r="G24" i="30"/>
  <c r="F25" i="30"/>
  <c r="H23" i="30" l="1"/>
  <c r="I22" i="30"/>
  <c r="F26" i="30"/>
  <c r="G25" i="30"/>
  <c r="G26" i="30" l="1"/>
  <c r="F27" i="30"/>
  <c r="H24" i="30"/>
  <c r="I23" i="30"/>
  <c r="F28" i="30" l="1"/>
  <c r="G27" i="30"/>
  <c r="H25" i="30"/>
  <c r="I24" i="30"/>
  <c r="I25" i="30" l="1"/>
  <c r="H26" i="30"/>
  <c r="G28" i="30"/>
  <c r="F29" i="30"/>
  <c r="F30" i="30" l="1"/>
  <c r="G29" i="30"/>
  <c r="H27" i="30"/>
  <c r="I26" i="30"/>
  <c r="I27" i="30" l="1"/>
  <c r="H28" i="30"/>
  <c r="F31" i="30"/>
  <c r="G30" i="30"/>
  <c r="I28" i="30" l="1"/>
  <c r="H29" i="30"/>
  <c r="G31" i="30"/>
  <c r="F32" i="30"/>
  <c r="F33" i="30" l="1"/>
  <c r="G32" i="30"/>
  <c r="H30" i="30"/>
  <c r="I29" i="30"/>
  <c r="H31" i="30" l="1"/>
  <c r="I30" i="30"/>
  <c r="G33" i="30"/>
  <c r="F34" i="30"/>
  <c r="F35" i="30" l="1"/>
  <c r="G34" i="30"/>
  <c r="H32" i="30"/>
  <c r="I31" i="30"/>
  <c r="F36" i="30" l="1"/>
  <c r="G35" i="30"/>
  <c r="H33" i="30"/>
  <c r="I32" i="30"/>
  <c r="F37" i="30" l="1"/>
  <c r="G36" i="30"/>
  <c r="I33" i="30"/>
  <c r="H34" i="30"/>
  <c r="F38" i="30" l="1"/>
  <c r="G37" i="30"/>
  <c r="I34" i="30"/>
  <c r="H35" i="30"/>
  <c r="I35" i="30" l="1"/>
  <c r="H36" i="30"/>
  <c r="G38" i="30"/>
  <c r="F39" i="30"/>
  <c r="F40" i="30" l="1"/>
  <c r="G39" i="30"/>
  <c r="H37" i="30"/>
  <c r="I36" i="30"/>
  <c r="I37" i="30" l="1"/>
  <c r="H38" i="30"/>
  <c r="G40" i="30"/>
  <c r="F41" i="30"/>
  <c r="I38" i="30" l="1"/>
  <c r="H39" i="30"/>
  <c r="G41" i="30"/>
  <c r="F42" i="30"/>
  <c r="G42" i="30" l="1"/>
  <c r="F43" i="30"/>
  <c r="I39" i="30"/>
  <c r="H40" i="30"/>
  <c r="G43" i="30" l="1"/>
  <c r="F44" i="30"/>
  <c r="H41" i="30"/>
  <c r="I40" i="30"/>
  <c r="I41" i="30" l="1"/>
  <c r="H42" i="30"/>
  <c r="G44" i="30"/>
  <c r="F45" i="30"/>
  <c r="H43" i="30" l="1"/>
  <c r="I42" i="30"/>
  <c r="G45" i="30"/>
  <c r="F46" i="30"/>
  <c r="G46" i="30" l="1"/>
  <c r="F47" i="30"/>
  <c r="H44" i="30"/>
  <c r="I43" i="30"/>
  <c r="F48" i="30" l="1"/>
  <c r="G47" i="30"/>
  <c r="H45" i="30"/>
  <c r="I44" i="30"/>
  <c r="I45" i="30" l="1"/>
  <c r="H46" i="30"/>
  <c r="F49" i="30"/>
  <c r="G48" i="30"/>
  <c r="F50" i="30" l="1"/>
  <c r="G49" i="30"/>
  <c r="H47" i="30"/>
  <c r="I46" i="30"/>
  <c r="I47" i="30" l="1"/>
  <c r="H48" i="30"/>
  <c r="F51" i="30"/>
  <c r="G50" i="30"/>
  <c r="I48" i="30" l="1"/>
  <c r="H49" i="30"/>
  <c r="F52" i="30"/>
  <c r="G51" i="30"/>
  <c r="I49" i="30" l="1"/>
  <c r="H50" i="30"/>
  <c r="F53" i="30"/>
  <c r="G52" i="30"/>
  <c r="G53" i="30" l="1"/>
  <c r="F54" i="30"/>
  <c r="I50" i="30"/>
  <c r="H51" i="30"/>
  <c r="H52" i="30" l="1"/>
  <c r="I51" i="30"/>
  <c r="F55" i="30"/>
  <c r="G54" i="30"/>
  <c r="F56" i="30" l="1"/>
  <c r="G55" i="30"/>
  <c r="I52" i="30"/>
  <c r="H53" i="30"/>
  <c r="F57" i="30" l="1"/>
  <c r="G56" i="30"/>
  <c r="H54" i="30"/>
  <c r="I53" i="30"/>
  <c r="I54" i="30" l="1"/>
  <c r="H55" i="30"/>
  <c r="F58" i="30"/>
  <c r="G57" i="30"/>
  <c r="F59" i="30" l="1"/>
  <c r="G58" i="30"/>
  <c r="H56" i="30"/>
  <c r="I55" i="30"/>
  <c r="I56" i="30" l="1"/>
  <c r="H57" i="30"/>
  <c r="F60" i="30"/>
  <c r="G59" i="30"/>
  <c r="H58" i="30" l="1"/>
  <c r="I57" i="30"/>
  <c r="G60" i="30"/>
  <c r="F61" i="30"/>
  <c r="F62" i="30" l="1"/>
  <c r="G61" i="30"/>
  <c r="I58" i="30"/>
  <c r="H59" i="30"/>
  <c r="H60" i="30" l="1"/>
  <c r="I59" i="30"/>
  <c r="F63" i="30"/>
  <c r="G62" i="30"/>
  <c r="H61" i="30" l="1"/>
  <c r="I60" i="30"/>
  <c r="F64" i="30"/>
  <c r="G63" i="30"/>
  <c r="F65" i="30" l="1"/>
  <c r="G64" i="30"/>
  <c r="H62" i="30"/>
  <c r="I61" i="30"/>
  <c r="G65" i="30" l="1"/>
  <c r="F66" i="30"/>
  <c r="I62" i="30"/>
  <c r="H63" i="30"/>
  <c r="H64" i="30" l="1"/>
  <c r="I63" i="30"/>
  <c r="G66" i="30"/>
  <c r="F67" i="30"/>
  <c r="I64" i="30" l="1"/>
  <c r="H65" i="30"/>
  <c r="G67" i="30"/>
  <c r="F68" i="30"/>
  <c r="I65" i="30" l="1"/>
  <c r="H66" i="30"/>
  <c r="F69" i="30"/>
  <c r="F70" i="30" l="1"/>
  <c r="H67" i="30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H100" i="30" s="1"/>
  <c r="H101" i="30" s="1"/>
  <c r="H102" i="30" s="1"/>
  <c r="H103" i="30" s="1"/>
  <c r="H104" i="30" s="1"/>
  <c r="H105" i="30" s="1"/>
  <c r="H106" i="30" s="1"/>
  <c r="H107" i="30" s="1"/>
  <c r="H108" i="30" s="1"/>
  <c r="H109" i="30" s="1"/>
  <c r="H110" i="30" s="1"/>
  <c r="H111" i="30" s="1"/>
  <c r="H112" i="30" s="1"/>
  <c r="H113" i="30" s="1"/>
  <c r="H114" i="30" s="1"/>
  <c r="H115" i="30" s="1"/>
  <c r="H116" i="30" s="1"/>
  <c r="H117" i="30" s="1"/>
  <c r="H118" i="30" s="1"/>
  <c r="H119" i="30" s="1"/>
  <c r="H120" i="30" s="1"/>
  <c r="H121" i="30" s="1"/>
  <c r="H122" i="30" s="1"/>
  <c r="H123" i="30" s="1"/>
  <c r="H124" i="30" s="1"/>
  <c r="H125" i="30" s="1"/>
  <c r="H126" i="30" s="1"/>
  <c r="H127" i="30" s="1"/>
  <c r="H128" i="30" s="1"/>
  <c r="H129" i="30" s="1"/>
  <c r="H130" i="30" s="1"/>
  <c r="H131" i="30" s="1"/>
  <c r="H132" i="30" s="1"/>
  <c r="H133" i="30" s="1"/>
  <c r="H134" i="30" s="1"/>
  <c r="H135" i="30" s="1"/>
  <c r="H136" i="30" s="1"/>
  <c r="H137" i="30" s="1"/>
  <c r="H138" i="30" s="1"/>
  <c r="H139" i="30" s="1"/>
  <c r="H140" i="30" s="1"/>
  <c r="H141" i="30" s="1"/>
  <c r="H142" i="30" s="1"/>
  <c r="H143" i="30" s="1"/>
  <c r="H144" i="30" s="1"/>
  <c r="H145" i="30" s="1"/>
  <c r="H146" i="30" s="1"/>
  <c r="H147" i="30" s="1"/>
  <c r="H148" i="30" s="1"/>
  <c r="H149" i="30" s="1"/>
  <c r="H150" i="30" s="1"/>
  <c r="H151" i="30" s="1"/>
  <c r="H152" i="30" s="1"/>
  <c r="H153" i="30" s="1"/>
  <c r="H154" i="30" s="1"/>
  <c r="H155" i="30" s="1"/>
  <c r="H156" i="30" s="1"/>
  <c r="H157" i="30" s="1"/>
  <c r="H158" i="30" s="1"/>
  <c r="H159" i="30" s="1"/>
  <c r="H160" i="30" s="1"/>
  <c r="H161" i="30" s="1"/>
  <c r="H162" i="30" s="1"/>
  <c r="H163" i="30" s="1"/>
  <c r="H164" i="30" s="1"/>
  <c r="H165" i="30" s="1"/>
  <c r="H166" i="30" s="1"/>
  <c r="H167" i="30" s="1"/>
  <c r="H168" i="30" s="1"/>
  <c r="H169" i="30" s="1"/>
  <c r="H170" i="30" s="1"/>
  <c r="H171" i="30" s="1"/>
  <c r="H172" i="30" s="1"/>
  <c r="H173" i="30" s="1"/>
  <c r="H174" i="30" s="1"/>
  <c r="H175" i="30" s="1"/>
  <c r="H176" i="30" s="1"/>
  <c r="H177" i="30" s="1"/>
  <c r="H178" i="30" s="1"/>
  <c r="H179" i="30" s="1"/>
  <c r="H180" i="30" s="1"/>
  <c r="H181" i="30" s="1"/>
  <c r="H182" i="30" s="1"/>
  <c r="H183" i="30" s="1"/>
  <c r="H184" i="30" s="1"/>
  <c r="H185" i="30" s="1"/>
  <c r="H186" i="30" s="1"/>
  <c r="H187" i="30" s="1"/>
  <c r="H188" i="30" s="1"/>
  <c r="H189" i="30" s="1"/>
  <c r="H190" i="30" s="1"/>
  <c r="H191" i="30" s="1"/>
  <c r="H192" i="30" s="1"/>
  <c r="H193" i="30" s="1"/>
  <c r="H194" i="30" s="1"/>
  <c r="H195" i="30" s="1"/>
  <c r="H196" i="30" s="1"/>
  <c r="H197" i="30" s="1"/>
  <c r="H198" i="30" s="1"/>
  <c r="H199" i="30" s="1"/>
  <c r="H200" i="30" s="1"/>
  <c r="H201" i="30" s="1"/>
  <c r="H202" i="30" s="1"/>
  <c r="H203" i="30" s="1"/>
  <c r="H204" i="30" s="1"/>
  <c r="H205" i="30" s="1"/>
  <c r="H206" i="30" s="1"/>
  <c r="H207" i="30" s="1"/>
  <c r="H208" i="30" s="1"/>
  <c r="H209" i="30" s="1"/>
  <c r="H210" i="30" s="1"/>
  <c r="H211" i="30" s="1"/>
  <c r="H212" i="30" s="1"/>
  <c r="H213" i="30" s="1"/>
  <c r="H214" i="30" s="1"/>
  <c r="H215" i="30" s="1"/>
  <c r="H216" i="30" s="1"/>
  <c r="H217" i="30" s="1"/>
  <c r="H218" i="30" s="1"/>
  <c r="H219" i="30" s="1"/>
  <c r="H220" i="30" s="1"/>
  <c r="H221" i="30" s="1"/>
  <c r="H222" i="30" s="1"/>
  <c r="H223" i="30" s="1"/>
  <c r="H224" i="30" s="1"/>
  <c r="H225" i="30" s="1"/>
  <c r="H226" i="30" s="1"/>
  <c r="H227" i="30" s="1"/>
  <c r="H228" i="30" s="1"/>
  <c r="H229" i="30" s="1"/>
  <c r="H230" i="30" s="1"/>
  <c r="H231" i="30" s="1"/>
  <c r="H232" i="30" s="1"/>
  <c r="H233" i="30" s="1"/>
  <c r="H234" i="30" s="1"/>
  <c r="H235" i="30" s="1"/>
  <c r="H236" i="30" s="1"/>
  <c r="H237" i="30" s="1"/>
  <c r="H238" i="30" s="1"/>
  <c r="H239" i="30" s="1"/>
  <c r="H240" i="30" s="1"/>
  <c r="H241" i="30" s="1"/>
  <c r="H242" i="30" s="1"/>
  <c r="H243" i="30" s="1"/>
  <c r="H244" i="30" s="1"/>
  <c r="H245" i="30" s="1"/>
  <c r="H246" i="30" s="1"/>
  <c r="H247" i="30" s="1"/>
  <c r="H248" i="30" s="1"/>
  <c r="H249" i="30" s="1"/>
  <c r="H250" i="30" s="1"/>
  <c r="H251" i="30" s="1"/>
  <c r="H252" i="30" s="1"/>
  <c r="H253" i="30" s="1"/>
  <c r="H254" i="30" s="1"/>
  <c r="H255" i="30" s="1"/>
  <c r="H256" i="30" s="1"/>
  <c r="H257" i="30" s="1"/>
  <c r="H258" i="30" s="1"/>
  <c r="H259" i="30" s="1"/>
  <c r="H260" i="30" s="1"/>
  <c r="H261" i="30" s="1"/>
  <c r="H262" i="30" s="1"/>
  <c r="H263" i="30" s="1"/>
  <c r="H264" i="30" s="1"/>
  <c r="H265" i="30" s="1"/>
  <c r="H266" i="30" s="1"/>
  <c r="H267" i="30" s="1"/>
  <c r="H268" i="30" s="1"/>
  <c r="H269" i="30" s="1"/>
  <c r="H270" i="30" s="1"/>
  <c r="H271" i="30" s="1"/>
  <c r="H272" i="30" s="1"/>
  <c r="H273" i="30" s="1"/>
  <c r="H274" i="30" s="1"/>
  <c r="H275" i="30" s="1"/>
  <c r="H276" i="30" s="1"/>
  <c r="H277" i="30" s="1"/>
  <c r="H278" i="30" s="1"/>
  <c r="H279" i="30" s="1"/>
  <c r="H280" i="30" s="1"/>
  <c r="H281" i="30" s="1"/>
  <c r="H282" i="30" s="1"/>
  <c r="H283" i="30" s="1"/>
  <c r="H284" i="30" s="1"/>
  <c r="H285" i="30" s="1"/>
  <c r="H286" i="30" s="1"/>
  <c r="H287" i="30" s="1"/>
  <c r="H288" i="30" s="1"/>
  <c r="H289" i="30" s="1"/>
  <c r="H290" i="30" s="1"/>
  <c r="H291" i="30" s="1"/>
  <c r="H292" i="30" s="1"/>
  <c r="H293" i="30" s="1"/>
  <c r="H294" i="30" s="1"/>
  <c r="H295" i="30" s="1"/>
  <c r="H296" i="30" s="1"/>
  <c r="H297" i="30" s="1"/>
  <c r="H298" i="30" s="1"/>
  <c r="H299" i="30" s="1"/>
  <c r="H300" i="30" s="1"/>
  <c r="H301" i="30" s="1"/>
  <c r="H302" i="30" s="1"/>
  <c r="H303" i="30" s="1"/>
  <c r="H304" i="30" s="1"/>
  <c r="H305" i="30" s="1"/>
  <c r="H306" i="30" s="1"/>
  <c r="H307" i="30" s="1"/>
  <c r="H308" i="30" s="1"/>
  <c r="H309" i="30" s="1"/>
  <c r="H310" i="30" s="1"/>
  <c r="H311" i="30" s="1"/>
  <c r="H312" i="30" s="1"/>
  <c r="H313" i="30" s="1"/>
  <c r="H314" i="30" s="1"/>
  <c r="H315" i="30" s="1"/>
  <c r="H316" i="30" s="1"/>
  <c r="H317" i="30" s="1"/>
  <c r="H318" i="30" s="1"/>
  <c r="H319" i="30" s="1"/>
  <c r="H320" i="30" s="1"/>
  <c r="H321" i="30" s="1"/>
  <c r="H322" i="30" s="1"/>
  <c r="H323" i="30" s="1"/>
  <c r="H324" i="30" s="1"/>
  <c r="H325" i="30" s="1"/>
  <c r="H326" i="30" s="1"/>
  <c r="H327" i="30" s="1"/>
  <c r="H328" i="30" s="1"/>
  <c r="H329" i="30" s="1"/>
  <c r="H330" i="30" s="1"/>
  <c r="H331" i="30" s="1"/>
  <c r="H332" i="30" s="1"/>
  <c r="H333" i="30" s="1"/>
  <c r="H334" i="30" s="1"/>
  <c r="H335" i="30" s="1"/>
  <c r="H336" i="30" s="1"/>
  <c r="H337" i="30" s="1"/>
  <c r="H338" i="30" s="1"/>
  <c r="H339" i="30" s="1"/>
  <c r="H340" i="30" s="1"/>
  <c r="H341" i="30" s="1"/>
  <c r="H342" i="30" s="1"/>
  <c r="H343" i="30" s="1"/>
  <c r="H344" i="30" s="1"/>
  <c r="H345" i="30" s="1"/>
  <c r="H346" i="30" s="1"/>
  <c r="H347" i="30" s="1"/>
  <c r="H348" i="30" s="1"/>
  <c r="H349" i="30" s="1"/>
  <c r="H350" i="30" s="1"/>
  <c r="H351" i="30" s="1"/>
  <c r="H352" i="30" s="1"/>
  <c r="H353" i="30" s="1"/>
  <c r="H354" i="30" s="1"/>
  <c r="H355" i="30" s="1"/>
  <c r="H356" i="30" s="1"/>
  <c r="H357" i="30" s="1"/>
  <c r="H358" i="30" s="1"/>
  <c r="H359" i="30" s="1"/>
  <c r="H360" i="30" s="1"/>
  <c r="H361" i="30" s="1"/>
  <c r="H362" i="30" s="1"/>
  <c r="H363" i="30" s="1"/>
  <c r="H364" i="30" s="1"/>
  <c r="H365" i="30" s="1"/>
  <c r="H366" i="30" s="1"/>
  <c r="H367" i="30" s="1"/>
  <c r="H368" i="30" s="1"/>
  <c r="H369" i="30" s="1"/>
  <c r="H370" i="30" s="1"/>
  <c r="H371" i="30" s="1"/>
  <c r="H372" i="30" s="1"/>
  <c r="H373" i="30" s="1"/>
  <c r="H374" i="30" s="1"/>
  <c r="H375" i="30" s="1"/>
  <c r="H376" i="30" s="1"/>
  <c r="H377" i="30" s="1"/>
  <c r="H378" i="30" s="1"/>
  <c r="H379" i="30" s="1"/>
  <c r="H380" i="30" s="1"/>
  <c r="H381" i="30" s="1"/>
  <c r="H382" i="30" s="1"/>
  <c r="H383" i="30" s="1"/>
  <c r="H384" i="30" s="1"/>
  <c r="H385" i="30" s="1"/>
  <c r="H386" i="30" s="1"/>
  <c r="H387" i="30" s="1"/>
  <c r="H388" i="30" s="1"/>
  <c r="H389" i="30" s="1"/>
  <c r="H390" i="30" s="1"/>
  <c r="H391" i="30" s="1"/>
  <c r="H392" i="30" s="1"/>
  <c r="H393" i="30" s="1"/>
  <c r="H394" i="30" s="1"/>
  <c r="H395" i="30" s="1"/>
  <c r="H396" i="30" s="1"/>
  <c r="H397" i="30" s="1"/>
  <c r="H398" i="30" s="1"/>
  <c r="H399" i="30" s="1"/>
  <c r="H400" i="30" s="1"/>
  <c r="H401" i="30" s="1"/>
  <c r="H402" i="30" s="1"/>
  <c r="H403" i="30" s="1"/>
  <c r="H404" i="30" s="1"/>
  <c r="H405" i="30" s="1"/>
  <c r="H406" i="30" s="1"/>
  <c r="H407" i="30" s="1"/>
  <c r="H408" i="30" s="1"/>
  <c r="H409" i="30" s="1"/>
  <c r="H410" i="30" s="1"/>
  <c r="H411" i="30" s="1"/>
  <c r="H412" i="30" s="1"/>
  <c r="H413" i="30" s="1"/>
  <c r="H414" i="30" s="1"/>
  <c r="H415" i="30" s="1"/>
  <c r="H416" i="30" s="1"/>
  <c r="H417" i="30" s="1"/>
  <c r="H418" i="30" s="1"/>
  <c r="H419" i="30" s="1"/>
  <c r="H420" i="30" s="1"/>
  <c r="H421" i="30" s="1"/>
  <c r="H422" i="30" s="1"/>
  <c r="H423" i="30" s="1"/>
  <c r="H424" i="30" s="1"/>
  <c r="H425" i="30" s="1"/>
  <c r="H426" i="30" s="1"/>
  <c r="H427" i="30" s="1"/>
  <c r="H428" i="30" s="1"/>
  <c r="H429" i="30" s="1"/>
  <c r="H430" i="30" s="1"/>
  <c r="H431" i="30" s="1"/>
  <c r="H432" i="30" s="1"/>
  <c r="H433" i="30" s="1"/>
  <c r="H434" i="30" s="1"/>
  <c r="H435" i="30" s="1"/>
  <c r="H436" i="30" s="1"/>
  <c r="H437" i="30" s="1"/>
  <c r="H438" i="30" s="1"/>
  <c r="H439" i="30" s="1"/>
  <c r="H440" i="30" s="1"/>
  <c r="H441" i="30" s="1"/>
  <c r="H442" i="30" s="1"/>
  <c r="H443" i="30" s="1"/>
  <c r="H444" i="30" s="1"/>
  <c r="H445" i="30" s="1"/>
  <c r="H446" i="30" s="1"/>
  <c r="H447" i="30" s="1"/>
  <c r="H448" i="30" s="1"/>
  <c r="H449" i="30" s="1"/>
  <c r="H450" i="30" s="1"/>
  <c r="H451" i="30" s="1"/>
  <c r="H452" i="30" s="1"/>
  <c r="H453" i="30" s="1"/>
  <c r="H454" i="30" s="1"/>
  <c r="H455" i="30" s="1"/>
  <c r="H456" i="30" s="1"/>
  <c r="H457" i="30" s="1"/>
  <c r="H458" i="30" s="1"/>
  <c r="H459" i="30" s="1"/>
  <c r="H460" i="30" s="1"/>
  <c r="H461" i="30" s="1"/>
  <c r="H462" i="30" s="1"/>
  <c r="H463" i="30" s="1"/>
  <c r="H464" i="30" s="1"/>
  <c r="H465" i="30" s="1"/>
  <c r="H466" i="30" s="1"/>
  <c r="H467" i="30" s="1"/>
  <c r="H468" i="30" s="1"/>
  <c r="H469" i="30" s="1"/>
  <c r="H470" i="30" s="1"/>
  <c r="H471" i="30" s="1"/>
  <c r="H472" i="30" s="1"/>
  <c r="H473" i="30" s="1"/>
  <c r="H474" i="30" s="1"/>
  <c r="H475" i="30" s="1"/>
  <c r="H476" i="30" s="1"/>
  <c r="H477" i="30" s="1"/>
  <c r="H478" i="30" s="1"/>
  <c r="H479" i="30" s="1"/>
  <c r="H480" i="30" s="1"/>
  <c r="H481" i="30" s="1"/>
  <c r="H482" i="30" s="1"/>
  <c r="H483" i="30" s="1"/>
  <c r="H484" i="30" s="1"/>
  <c r="H485" i="30" s="1"/>
  <c r="H486" i="30" s="1"/>
  <c r="H487" i="30" s="1"/>
  <c r="H488" i="30" s="1"/>
  <c r="H489" i="30" s="1"/>
  <c r="H490" i="30" s="1"/>
  <c r="H491" i="30" s="1"/>
  <c r="H492" i="30" s="1"/>
  <c r="H493" i="30" s="1"/>
  <c r="H494" i="30" s="1"/>
  <c r="H495" i="30" s="1"/>
  <c r="H496" i="30" s="1"/>
  <c r="H497" i="30" s="1"/>
  <c r="H498" i="30" s="1"/>
  <c r="H499" i="30" s="1"/>
  <c r="H500" i="30" s="1"/>
  <c r="H501" i="30" s="1"/>
  <c r="H502" i="30" s="1"/>
  <c r="H503" i="30" s="1"/>
  <c r="H504" i="30" s="1"/>
  <c r="H505" i="30" s="1"/>
  <c r="H506" i="30" s="1"/>
  <c r="H507" i="30" s="1"/>
  <c r="H508" i="30" s="1"/>
  <c r="H509" i="30" s="1"/>
  <c r="H510" i="30" s="1"/>
  <c r="H511" i="30" s="1"/>
  <c r="H512" i="30" s="1"/>
  <c r="H513" i="30" s="1"/>
  <c r="H514" i="30" s="1"/>
  <c r="H515" i="30" s="1"/>
  <c r="H516" i="30" s="1"/>
  <c r="H517" i="30" s="1"/>
  <c r="H518" i="30" s="1"/>
  <c r="H519" i="30" s="1"/>
  <c r="H520" i="30" s="1"/>
  <c r="I66" i="30"/>
  <c r="F71" i="30" l="1"/>
  <c r="I67" i="30"/>
  <c r="I68" i="30" l="1"/>
  <c r="F72" i="30"/>
  <c r="I69" i="30" l="1"/>
  <c r="F73" i="30"/>
  <c r="F74" i="30" l="1"/>
  <c r="I70" i="30"/>
  <c r="I71" i="30" l="1"/>
  <c r="F75" i="30"/>
  <c r="I72" i="30" l="1"/>
  <c r="F76" i="30"/>
  <c r="I73" i="30" l="1"/>
  <c r="F77" i="30"/>
  <c r="I74" i="30" l="1"/>
  <c r="F78" i="30"/>
  <c r="F79" i="30" l="1"/>
  <c r="I75" i="30"/>
  <c r="F80" i="30" l="1"/>
  <c r="I76" i="30"/>
  <c r="I77" i="30" l="1"/>
  <c r="F81" i="30"/>
  <c r="I78" i="30" l="1"/>
  <c r="F82" i="30"/>
  <c r="I79" i="30" l="1"/>
  <c r="F83" i="30"/>
  <c r="I80" i="30" l="1"/>
  <c r="F84" i="30"/>
  <c r="I81" i="30" l="1"/>
  <c r="F85" i="30"/>
  <c r="I82" i="30" l="1"/>
  <c r="F86" i="30"/>
  <c r="F87" i="30" l="1"/>
  <c r="I83" i="30"/>
  <c r="I84" i="30" l="1"/>
  <c r="F88" i="30"/>
  <c r="I85" i="30" l="1"/>
  <c r="F89" i="30"/>
  <c r="F90" i="30" l="1"/>
  <c r="I86" i="30"/>
  <c r="I87" i="30" l="1"/>
  <c r="F91" i="30"/>
  <c r="F92" i="30" l="1"/>
  <c r="I88" i="30"/>
  <c r="I89" i="30" l="1"/>
  <c r="F93" i="30"/>
  <c r="I90" i="30" l="1"/>
  <c r="F94" i="30"/>
  <c r="F95" i="30" l="1"/>
  <c r="I91" i="30"/>
  <c r="I92" i="30" l="1"/>
  <c r="F96" i="30"/>
  <c r="I93" i="30" l="1"/>
  <c r="F97" i="30"/>
  <c r="F98" i="30" l="1"/>
  <c r="I94" i="30"/>
  <c r="I95" i="30" l="1"/>
  <c r="F99" i="30"/>
  <c r="I96" i="30" l="1"/>
  <c r="F100" i="30"/>
  <c r="I97" i="30" l="1"/>
  <c r="F101" i="30"/>
  <c r="I98" i="30" l="1"/>
  <c r="F102" i="30"/>
  <c r="F103" i="30" l="1"/>
  <c r="I99" i="30"/>
  <c r="I100" i="30" l="1"/>
  <c r="F104" i="30"/>
  <c r="I101" i="30" l="1"/>
  <c r="F105" i="30"/>
  <c r="F106" i="30" l="1"/>
  <c r="I102" i="30"/>
  <c r="I103" i="30" l="1"/>
  <c r="F107" i="30"/>
  <c r="F108" i="30" l="1"/>
  <c r="I104" i="30"/>
  <c r="F109" i="30" l="1"/>
  <c r="I105" i="30"/>
  <c r="I106" i="30" l="1"/>
  <c r="F110" i="30"/>
  <c r="F111" i="30" l="1"/>
  <c r="I107" i="30"/>
  <c r="I108" i="30" l="1"/>
  <c r="F112" i="30"/>
  <c r="F113" i="30" l="1"/>
  <c r="I109" i="30"/>
  <c r="F114" i="30" l="1"/>
  <c r="I110" i="30"/>
  <c r="I111" i="30" l="1"/>
  <c r="F115" i="30"/>
  <c r="I112" i="30" l="1"/>
  <c r="F116" i="30"/>
  <c r="I113" i="30" l="1"/>
  <c r="F117" i="30"/>
  <c r="I114" i="30" l="1"/>
  <c r="F118" i="30"/>
  <c r="F119" i="30" l="1"/>
  <c r="I115" i="30"/>
  <c r="I116" i="30" l="1"/>
  <c r="F120" i="30"/>
  <c r="I117" i="30" l="1"/>
  <c r="F121" i="30"/>
  <c r="I118" i="30" l="1"/>
  <c r="F122" i="30"/>
  <c r="I119" i="30" l="1"/>
  <c r="F123" i="30"/>
  <c r="I120" i="30" l="1"/>
  <c r="F124" i="30"/>
  <c r="I121" i="30" l="1"/>
  <c r="F125" i="30"/>
  <c r="F126" i="30" l="1"/>
  <c r="I122" i="30"/>
  <c r="F127" i="30" l="1"/>
  <c r="I123" i="30"/>
  <c r="I124" i="30" l="1"/>
  <c r="I125" i="30"/>
  <c r="F128" i="30"/>
  <c r="F129" i="30" l="1"/>
  <c r="F130" i="30" l="1"/>
  <c r="I126" i="30"/>
  <c r="I127" i="30" l="1"/>
  <c r="F131" i="30"/>
  <c r="F132" i="30" l="1"/>
  <c r="I128" i="30"/>
  <c r="F133" i="30" l="1"/>
  <c r="I129" i="30"/>
  <c r="F134" i="30" l="1"/>
  <c r="I130" i="30"/>
  <c r="F135" i="30" l="1"/>
  <c r="I131" i="30"/>
  <c r="I132" i="30" l="1"/>
  <c r="F136" i="30"/>
  <c r="F137" i="30" l="1"/>
  <c r="I133" i="30"/>
  <c r="I134" i="30" l="1"/>
  <c r="F138" i="30"/>
  <c r="F139" i="30" l="1"/>
  <c r="I135" i="30"/>
  <c r="F140" i="30" l="1"/>
  <c r="I136" i="30"/>
  <c r="F141" i="30" l="1"/>
  <c r="I137" i="30"/>
  <c r="F142" i="30" l="1"/>
  <c r="I138" i="30"/>
  <c r="I139" i="30" l="1"/>
  <c r="F143" i="30"/>
  <c r="I140" i="30" l="1"/>
  <c r="F144" i="30"/>
  <c r="I141" i="30" l="1"/>
  <c r="F145" i="30"/>
  <c r="F146" i="30" l="1"/>
  <c r="I142" i="30"/>
  <c r="F147" i="30" l="1"/>
  <c r="I143" i="30"/>
  <c r="F148" i="30" l="1"/>
  <c r="I144" i="30"/>
  <c r="F149" i="30" l="1"/>
  <c r="I145" i="30"/>
  <c r="F150" i="30" l="1"/>
  <c r="I146" i="30"/>
  <c r="I147" i="30" l="1"/>
  <c r="F151" i="30"/>
  <c r="I148" i="30" l="1"/>
  <c r="F152" i="30"/>
  <c r="F153" i="30" l="1"/>
  <c r="I149" i="30"/>
  <c r="I150" i="30" l="1"/>
  <c r="F154" i="30"/>
  <c r="I151" i="30" l="1"/>
  <c r="F155" i="30"/>
  <c r="F156" i="30" l="1"/>
  <c r="I152" i="30"/>
  <c r="I153" i="30" l="1"/>
  <c r="F157" i="30"/>
  <c r="F158" i="30" l="1"/>
  <c r="I154" i="30"/>
  <c r="F159" i="30" l="1"/>
  <c r="I155" i="30"/>
  <c r="F160" i="30" l="1"/>
  <c r="I156" i="30"/>
  <c r="F161" i="30" l="1"/>
  <c r="I157" i="30"/>
  <c r="F162" i="30" l="1"/>
  <c r="I158" i="30"/>
  <c r="I159" i="30" l="1"/>
  <c r="F163" i="30"/>
  <c r="F164" i="30" l="1"/>
  <c r="I160" i="30"/>
  <c r="F165" i="30" l="1"/>
  <c r="I161" i="30"/>
  <c r="I162" i="30" l="1"/>
  <c r="F166" i="30"/>
  <c r="F167" i="30" l="1"/>
  <c r="I163" i="30"/>
  <c r="F168" i="30" l="1"/>
  <c r="I164" i="30"/>
  <c r="I165" i="30" l="1"/>
  <c r="F169" i="30"/>
  <c r="F170" i="30" l="1"/>
  <c r="I166" i="30"/>
  <c r="F171" i="30" l="1"/>
  <c r="I167" i="30"/>
  <c r="F172" i="30" l="1"/>
  <c r="I168" i="30"/>
  <c r="I169" i="30" l="1"/>
  <c r="F173" i="30"/>
  <c r="F6" i="30" l="1"/>
  <c r="G6" i="30" s="1"/>
  <c r="G9" i="29" s="1"/>
  <c r="F5" i="30"/>
  <c r="I170" i="30"/>
  <c r="G5" i="30" l="1"/>
  <c r="G8" i="29" s="1"/>
  <c r="I171" i="30"/>
  <c r="I172" i="30" l="1"/>
  <c r="I173" i="30" l="1"/>
  <c r="I174" i="30" l="1"/>
  <c r="I175" i="30" l="1"/>
  <c r="I176" i="30" l="1"/>
  <c r="I177" i="30" l="1"/>
  <c r="I178" i="30" l="1"/>
  <c r="I179" i="30" l="1"/>
  <c r="I180" i="30" l="1"/>
  <c r="I181" i="30" l="1"/>
  <c r="F7" i="30" l="1"/>
  <c r="G7" i="30" s="1"/>
  <c r="I182" i="30"/>
  <c r="I183" i="30" l="1"/>
  <c r="I184" i="30" l="1"/>
  <c r="I185" i="30" l="1"/>
  <c r="I186" i="30" l="1"/>
  <c r="I187" i="30" l="1"/>
  <c r="I188" i="30" l="1"/>
  <c r="I189" i="30" l="1"/>
  <c r="I190" i="30" l="1"/>
  <c r="I191" i="30" l="1"/>
  <c r="I192" i="30" l="1"/>
  <c r="I193" i="30" l="1"/>
  <c r="I194" i="30" l="1"/>
  <c r="I195" i="30" l="1"/>
  <c r="I196" i="30" l="1"/>
  <c r="I197" i="30" l="1"/>
  <c r="I198" i="30" l="1"/>
  <c r="G10" i="29" l="1"/>
  <c r="I199" i="30"/>
  <c r="I200" i="30" l="1"/>
  <c r="I201" i="30" l="1"/>
  <c r="I202" i="30" l="1"/>
  <c r="I203" i="30" l="1"/>
  <c r="I204" i="30" l="1"/>
  <c r="I205" i="30" l="1"/>
  <c r="I206" i="30" l="1"/>
  <c r="I207" i="30" l="1"/>
  <c r="I208" i="30" l="1"/>
  <c r="I209" i="30" l="1"/>
  <c r="I210" i="30" l="1"/>
  <c r="I211" i="30" l="1"/>
  <c r="I212" i="30" l="1"/>
  <c r="I213" i="30" l="1"/>
  <c r="I214" i="30" l="1"/>
  <c r="I215" i="30" l="1"/>
  <c r="I216" i="30" l="1"/>
  <c r="I217" i="30" l="1"/>
  <c r="I218" i="30" l="1"/>
  <c r="I219" i="30" l="1"/>
  <c r="I220" i="30" l="1"/>
  <c r="I221" i="30" l="1"/>
  <c r="I222" i="30" l="1"/>
  <c r="I223" i="30" l="1"/>
  <c r="I224" i="30" l="1"/>
  <c r="I225" i="30" l="1"/>
  <c r="I226" i="30" l="1"/>
  <c r="I227" i="30" l="1"/>
  <c r="I228" i="30" l="1"/>
  <c r="I229" i="30" l="1"/>
  <c r="I230" i="30" l="1"/>
  <c r="I231" i="30" l="1"/>
  <c r="I232" i="30" l="1"/>
  <c r="I233" i="30" l="1"/>
  <c r="I234" i="30" l="1"/>
  <c r="I235" i="30" l="1"/>
  <c r="I236" i="30" l="1"/>
  <c r="I237" i="30" l="1"/>
  <c r="I238" i="30" l="1"/>
  <c r="I239" i="30" l="1"/>
  <c r="I240" i="30" l="1"/>
  <c r="I241" i="30" l="1"/>
  <c r="I242" i="30" l="1"/>
  <c r="I243" i="30" l="1"/>
  <c r="I244" i="30" l="1"/>
  <c r="I245" i="30" l="1"/>
  <c r="I246" i="30" l="1"/>
  <c r="I247" i="30" l="1"/>
  <c r="I248" i="30" l="1"/>
  <c r="I249" i="30" l="1"/>
  <c r="I250" i="30" l="1"/>
  <c r="I251" i="30" l="1"/>
  <c r="I252" i="30" l="1"/>
  <c r="I253" i="30" l="1"/>
  <c r="I254" i="30" l="1"/>
  <c r="I255" i="30" l="1"/>
  <c r="I256" i="30" l="1"/>
  <c r="I257" i="30" l="1"/>
  <c r="I258" i="30" l="1"/>
  <c r="I259" i="30" l="1"/>
  <c r="I260" i="30" l="1"/>
  <c r="I261" i="30" l="1"/>
  <c r="I262" i="30" l="1"/>
  <c r="I263" i="30" l="1"/>
  <c r="I264" i="30" l="1"/>
  <c r="I265" i="30" l="1"/>
  <c r="I266" i="30" l="1"/>
  <c r="I267" i="30" l="1"/>
  <c r="I268" i="30" l="1"/>
  <c r="I269" i="30" l="1"/>
  <c r="I270" i="30" l="1"/>
  <c r="I271" i="30" l="1"/>
  <c r="I272" i="30" l="1"/>
  <c r="I273" i="30" l="1"/>
  <c r="I274" i="30" l="1"/>
  <c r="I275" i="30" l="1"/>
  <c r="I276" i="30" l="1"/>
  <c r="I277" i="30" l="1"/>
  <c r="I278" i="30" l="1"/>
  <c r="I279" i="30" l="1"/>
  <c r="I280" i="30" l="1"/>
  <c r="I281" i="30" l="1"/>
  <c r="I282" i="30" l="1"/>
  <c r="I283" i="30" l="1"/>
  <c r="I284" i="30" l="1"/>
  <c r="I285" i="30" l="1"/>
  <c r="I286" i="30" l="1"/>
  <c r="I287" i="30" l="1"/>
  <c r="I288" i="30" l="1"/>
  <c r="I289" i="30" l="1"/>
  <c r="I290" i="30" l="1"/>
  <c r="I291" i="30" l="1"/>
  <c r="I292" i="30" l="1"/>
  <c r="I293" i="30" l="1"/>
  <c r="I294" i="30" l="1"/>
  <c r="I295" i="30" l="1"/>
  <c r="I296" i="30" l="1"/>
  <c r="I297" i="30" l="1"/>
  <c r="I298" i="30" l="1"/>
  <c r="I299" i="30" l="1"/>
  <c r="I300" i="30" l="1"/>
  <c r="I301" i="30" l="1"/>
  <c r="I302" i="30" l="1"/>
  <c r="I303" i="30" l="1"/>
  <c r="I304" i="30" l="1"/>
  <c r="I305" i="30" l="1"/>
  <c r="I306" i="30" l="1"/>
  <c r="I307" i="30" l="1"/>
  <c r="I308" i="30" l="1"/>
  <c r="I309" i="30" l="1"/>
  <c r="I310" i="30" l="1"/>
  <c r="I311" i="30" l="1"/>
  <c r="I312" i="30" l="1"/>
  <c r="I313" i="30" l="1"/>
  <c r="I314" i="30" l="1"/>
  <c r="I315" i="30" l="1"/>
  <c r="I316" i="30" l="1"/>
  <c r="I317" i="30" l="1"/>
  <c r="I318" i="30" l="1"/>
  <c r="I319" i="30" l="1"/>
  <c r="I320" i="30" l="1"/>
  <c r="I321" i="30" l="1"/>
  <c r="I322" i="30" l="1"/>
  <c r="I323" i="30" l="1"/>
  <c r="I324" i="30" l="1"/>
  <c r="I325" i="30" l="1"/>
  <c r="I326" i="30" l="1"/>
  <c r="I327" i="30" l="1"/>
  <c r="I328" i="30" l="1"/>
  <c r="I329" i="30" l="1"/>
  <c r="I330" i="30" l="1"/>
  <c r="I331" i="30" l="1"/>
  <c r="I332" i="30" l="1"/>
  <c r="I333" i="30" l="1"/>
  <c r="I334" i="30" l="1"/>
  <c r="I335" i="30" l="1"/>
  <c r="I336" i="30" l="1"/>
  <c r="I337" i="30" l="1"/>
  <c r="I338" i="30" l="1"/>
  <c r="I339" i="30" l="1"/>
  <c r="I340" i="30" l="1"/>
  <c r="I341" i="30" l="1"/>
  <c r="I342" i="30" l="1"/>
  <c r="I343" i="30" l="1"/>
  <c r="I344" i="30" l="1"/>
  <c r="I345" i="30" l="1"/>
  <c r="I346" i="30" l="1"/>
  <c r="I347" i="30" l="1"/>
  <c r="I348" i="30" l="1"/>
  <c r="I349" i="30" l="1"/>
  <c r="I350" i="30" l="1"/>
  <c r="I351" i="30" l="1"/>
  <c r="I352" i="30" l="1"/>
  <c r="I353" i="30" l="1"/>
  <c r="I354" i="30" l="1"/>
  <c r="I355" i="30" l="1"/>
  <c r="I356" i="30" l="1"/>
  <c r="I357" i="30" l="1"/>
  <c r="I358" i="30" l="1"/>
  <c r="I359" i="30" l="1"/>
  <c r="I360" i="30" l="1"/>
  <c r="I361" i="30" l="1"/>
  <c r="I362" i="30" l="1"/>
  <c r="I363" i="30" l="1"/>
  <c r="I364" i="30" l="1"/>
  <c r="I365" i="30" l="1"/>
  <c r="I366" i="30" l="1"/>
  <c r="I367" i="30" l="1"/>
  <c r="I368" i="30" l="1"/>
  <c r="I369" i="30" l="1"/>
  <c r="I370" i="30" l="1"/>
  <c r="I371" i="30" l="1"/>
  <c r="I372" i="30" l="1"/>
  <c r="I373" i="30" l="1"/>
  <c r="I374" i="30" l="1"/>
  <c r="I375" i="30" l="1"/>
  <c r="I376" i="30" l="1"/>
  <c r="I377" i="30" l="1"/>
  <c r="I378" i="30" l="1"/>
  <c r="I379" i="30" l="1"/>
  <c r="I380" i="30" l="1"/>
  <c r="I381" i="30" l="1"/>
  <c r="I382" i="30" l="1"/>
  <c r="I383" i="30" l="1"/>
  <c r="I384" i="30" l="1"/>
  <c r="I385" i="30" l="1"/>
  <c r="I386" i="30" l="1"/>
  <c r="I387" i="30" l="1"/>
  <c r="I388" i="30" l="1"/>
  <c r="I389" i="30" l="1"/>
  <c r="I390" i="30" l="1"/>
  <c r="I391" i="30" l="1"/>
  <c r="I392" i="30" l="1"/>
  <c r="I393" i="30" l="1"/>
  <c r="I394" i="30" l="1"/>
  <c r="I395" i="30" l="1"/>
  <c r="I396" i="30" l="1"/>
  <c r="I397" i="30" l="1"/>
  <c r="I398" i="30" l="1"/>
  <c r="I399" i="30" l="1"/>
  <c r="I400" i="30" l="1"/>
  <c r="I401" i="30" l="1"/>
  <c r="I402" i="30" l="1"/>
  <c r="I403" i="30" l="1"/>
  <c r="I404" i="30" l="1"/>
  <c r="I405" i="30" l="1"/>
  <c r="I406" i="30" l="1"/>
  <c r="I407" i="30" l="1"/>
  <c r="I408" i="30" l="1"/>
  <c r="I409" i="30" l="1"/>
  <c r="I410" i="30" l="1"/>
  <c r="I411" i="30" l="1"/>
  <c r="I412" i="30" l="1"/>
  <c r="I413" i="30" l="1"/>
  <c r="I414" i="30" l="1"/>
  <c r="I415" i="30" l="1"/>
  <c r="I416" i="30" l="1"/>
  <c r="I417" i="30" l="1"/>
  <c r="I418" i="30" l="1"/>
  <c r="I419" i="30" l="1"/>
  <c r="I420" i="30" l="1"/>
  <c r="I421" i="30" l="1"/>
  <c r="I422" i="30" l="1"/>
  <c r="I423" i="30" l="1"/>
  <c r="I424" i="30" l="1"/>
  <c r="I425" i="30" l="1"/>
  <c r="I426" i="30" l="1"/>
  <c r="I427" i="30" l="1"/>
  <c r="I428" i="30" l="1"/>
  <c r="I429" i="30" l="1"/>
  <c r="I430" i="30" l="1"/>
  <c r="I431" i="30" l="1"/>
  <c r="I432" i="30" l="1"/>
  <c r="I433" i="30" l="1"/>
  <c r="I434" i="30" l="1"/>
  <c r="I435" i="30" l="1"/>
  <c r="I436" i="30" l="1"/>
  <c r="I437" i="30" l="1"/>
  <c r="I438" i="30" l="1"/>
  <c r="I439" i="30" l="1"/>
  <c r="I440" i="30" l="1"/>
  <c r="I441" i="30" l="1"/>
  <c r="I442" i="30" l="1"/>
  <c r="I443" i="30" l="1"/>
  <c r="I444" i="30" l="1"/>
  <c r="I445" i="30" l="1"/>
  <c r="I446" i="30" l="1"/>
  <c r="I447" i="30" l="1"/>
  <c r="I448" i="30" l="1"/>
  <c r="I449" i="30" l="1"/>
  <c r="I450" i="30" l="1"/>
  <c r="I451" i="30" l="1"/>
  <c r="I452" i="30" l="1"/>
  <c r="I453" i="30" l="1"/>
  <c r="I454" i="30" l="1"/>
  <c r="I455" i="30" l="1"/>
  <c r="I456" i="30" l="1"/>
  <c r="I457" i="30" l="1"/>
  <c r="I458" i="30" l="1"/>
  <c r="I459" i="30" l="1"/>
  <c r="I460" i="30" l="1"/>
  <c r="I461" i="30" l="1"/>
  <c r="I462" i="30" l="1"/>
  <c r="I463" i="30" l="1"/>
  <c r="I464" i="30" l="1"/>
  <c r="I465" i="30" l="1"/>
  <c r="I466" i="30" l="1"/>
  <c r="I467" i="30" l="1"/>
  <c r="I468" i="30" l="1"/>
  <c r="I469" i="30" l="1"/>
  <c r="I470" i="30" l="1"/>
  <c r="I471" i="30" l="1"/>
  <c r="I472" i="30" l="1"/>
  <c r="I473" i="30" l="1"/>
  <c r="I474" i="30" l="1"/>
  <c r="I475" i="30" l="1"/>
  <c r="I476" i="30" l="1"/>
  <c r="I477" i="30" l="1"/>
  <c r="I478" i="30" l="1"/>
  <c r="I479" i="30" l="1"/>
  <c r="I480" i="30" l="1"/>
  <c r="I481" i="30" l="1"/>
  <c r="I482" i="30" l="1"/>
  <c r="I483" i="30" l="1"/>
  <c r="I484" i="30" l="1"/>
  <c r="I485" i="30" l="1"/>
  <c r="I486" i="30" l="1"/>
  <c r="I487" i="30" l="1"/>
  <c r="I488" i="30" l="1"/>
  <c r="I489" i="30" l="1"/>
  <c r="I490" i="30" l="1"/>
  <c r="I491" i="30" l="1"/>
  <c r="I492" i="30" l="1"/>
  <c r="I493" i="30" l="1"/>
  <c r="I494" i="30" l="1"/>
  <c r="I495" i="30" l="1"/>
  <c r="I496" i="30" l="1"/>
  <c r="I497" i="30" l="1"/>
  <c r="I498" i="30" l="1"/>
  <c r="I499" i="30" l="1"/>
  <c r="I500" i="30" l="1"/>
  <c r="I501" i="30" l="1"/>
  <c r="I502" i="30" l="1"/>
  <c r="I503" i="30" l="1"/>
  <c r="I504" i="30" l="1"/>
  <c r="I505" i="30" l="1"/>
  <c r="I506" i="30" l="1"/>
  <c r="I507" i="30" l="1"/>
  <c r="I508" i="30" l="1"/>
  <c r="I509" i="30" l="1"/>
  <c r="I510" i="30" l="1"/>
  <c r="I511" i="30" l="1"/>
  <c r="I512" i="30" l="1"/>
  <c r="I513" i="30" l="1"/>
  <c r="I514" i="30" l="1"/>
  <c r="I515" i="30" l="1"/>
  <c r="I516" i="30" l="1"/>
  <c r="I517" i="30" l="1"/>
  <c r="I518" i="30" l="1"/>
  <c r="I519" i="30" l="1"/>
  <c r="I520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Sharatchandra Vijaykumar Kashimath</author>
  </authors>
  <commentList>
    <comment ref="JV116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Sharatchandra Vijaykumar Kashimath:</t>
        </r>
        <r>
          <rPr>
            <sz val="9"/>
            <color indexed="81"/>
            <rFont val="Tahoma"/>
            <family val="2"/>
          </rPr>
          <t xml:space="preserve">
protect device secret key</t>
        </r>
      </text>
    </comment>
    <comment ref="JV140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Sharatchandra Vijaykumar Kashimath:</t>
        </r>
        <r>
          <rPr>
            <sz val="9"/>
            <color indexed="81"/>
            <rFont val="Tahoma"/>
            <family val="2"/>
          </rPr>
          <t xml:space="preserve">
protect CY fuses</t>
        </r>
      </text>
    </comment>
    <comment ref="JV15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Sharatchandra Vijaykumar Kashimath:</t>
        </r>
        <r>
          <rPr>
            <sz val="9"/>
            <color indexed="81"/>
            <rFont val="Tahoma"/>
            <family val="2"/>
          </rPr>
          <t xml:space="preserve">
Only PC0 &amp; PC1 can write CY fuses using BlowFuseBit API</t>
        </r>
      </text>
    </comment>
  </commentList>
</comments>
</file>

<file path=xl/sharedStrings.xml><?xml version="1.0" encoding="utf-8"?>
<sst xmlns="http://schemas.openxmlformats.org/spreadsheetml/2006/main" count="134351" uniqueCount="34812">
  <si>
    <t>Product</t>
  </si>
  <si>
    <t>Tab</t>
  </si>
  <si>
    <t>IP</t>
  </si>
  <si>
    <t>FileType</t>
  </si>
  <si>
    <t>FileTag</t>
  </si>
  <si>
    <t>DefaultTab</t>
  </si>
  <si>
    <t>ActiveTab</t>
  </si>
  <si>
    <t>Section</t>
  </si>
  <si>
    <t>PE/TE Data</t>
  </si>
  <si>
    <t>Minor Revision Number</t>
  </si>
  <si>
    <t>DIE_MINOR</t>
  </si>
  <si>
    <t>Sort1/2/3 Pass/Fail Bin</t>
  </si>
  <si>
    <t>DIE_SORT</t>
  </si>
  <si>
    <t>Y Position on Wafer, CHI Pass/Fail Bin</t>
  </si>
  <si>
    <t>DIE_Y</t>
  </si>
  <si>
    <t>X Position on Wafer, CRI Pass/Fail Bin</t>
  </si>
  <si>
    <t>DIE_X</t>
  </si>
  <si>
    <t>Wafer Number</t>
  </si>
  <si>
    <t>DIE_WAFER</t>
  </si>
  <si>
    <t>Lot Number (3 bytes)</t>
  </si>
  <si>
    <t>DIE_LOT</t>
  </si>
  <si>
    <t>SILICON_ID</t>
  </si>
  <si>
    <t>Parameter</t>
  </si>
  <si>
    <t>Description</t>
  </si>
  <si>
    <t>Name</t>
  </si>
  <si>
    <t>Width</t>
  </si>
  <si>
    <t>Qty</t>
  </si>
  <si>
    <t>Size</t>
  </si>
  <si>
    <t>Offset</t>
  </si>
  <si>
    <t>Flags</t>
  </si>
  <si>
    <t>RegisterWidth</t>
  </si>
  <si>
    <t>reg_sflash</t>
  </si>
  <si>
    <t>FileName</t>
  </si>
  <si>
    <t>IPName</t>
  </si>
  <si>
    <t>SFLASH</t>
  </si>
  <si>
    <t>SectionPrefix</t>
  </si>
  <si>
    <t>AddressMap</t>
  </si>
  <si>
    <t>X</t>
  </si>
  <si>
    <t>RW</t>
  </si>
  <si>
    <t>Sync</t>
  </si>
  <si>
    <t>Default</t>
  </si>
  <si>
    <t>SW</t>
  </si>
  <si>
    <t>HW</t>
  </si>
  <si>
    <t>Bits</t>
  </si>
  <si>
    <t>Comments</t>
  </si>
  <si>
    <t>7:0</t>
  </si>
  <si>
    <t>5:4</t>
  </si>
  <si>
    <t>Quantity</t>
  </si>
  <si>
    <t>15:0</t>
  </si>
  <si>
    <t>0</t>
  </si>
  <si>
    <t>ID</t>
  </si>
  <si>
    <t>0x400</t>
  </si>
  <si>
    <t>0x00</t>
  </si>
  <si>
    <t>AddressWidth</t>
  </si>
  <si>
    <t>1</t>
  </si>
  <si>
    <t>2</t>
  </si>
  <si>
    <t>3</t>
  </si>
  <si>
    <t>4</t>
  </si>
  <si>
    <t>5</t>
  </si>
  <si>
    <t>Value</t>
  </si>
  <si>
    <t>Purpose</t>
  </si>
  <si>
    <t>Where does it come from?</t>
  </si>
  <si>
    <t>History</t>
  </si>
  <si>
    <t>Macro #0</t>
  </si>
  <si>
    <t>Macro</t>
  </si>
  <si>
    <t>Row</t>
  </si>
  <si>
    <t>Bytes</t>
  </si>
  <si>
    <t>Unused</t>
  </si>
  <si>
    <t>Die Identification</t>
  </si>
  <si>
    <t>n/a</t>
  </si>
  <si>
    <t>F</t>
  </si>
  <si>
    <t>Fixed Value - left at default</t>
  </si>
  <si>
    <t>V</t>
  </si>
  <si>
    <t>Device specific value, changed during manufacture</t>
  </si>
  <si>
    <t>W</t>
  </si>
  <si>
    <t>M</t>
  </si>
  <si>
    <t>Changed during manufacture, not device specific</t>
  </si>
  <si>
    <t>System Protection Data</t>
  </si>
  <si>
    <t>Field Name</t>
  </si>
  <si>
    <t>Goes to Register</t>
  </si>
  <si>
    <t>Default Value</t>
  </si>
  <si>
    <t>Type</t>
  </si>
  <si>
    <t>Boot Script Registers</t>
  </si>
  <si>
    <t>16b Silicon ID in accordance with 40-95002</t>
  </si>
  <si>
    <t>SiliconID is programmed at end of class test and may depend on packing marking.  See 40-95002 for values.</t>
  </si>
  <si>
    <t>0x07</t>
  </si>
  <si>
    <t>0x30</t>
  </si>
  <si>
    <t>0x04</t>
  </si>
  <si>
    <t>0x08</t>
  </si>
  <si>
    <t>0x38</t>
  </si>
  <si>
    <t>0x80</t>
  </si>
  <si>
    <t>Address</t>
  </si>
  <si>
    <t>0x10</t>
  </si>
  <si>
    <t>0x18</t>
  </si>
  <si>
    <t>Supervisory Flash Default Values</t>
  </si>
  <si>
    <t>FlashMacroCnt</t>
  </si>
  <si>
    <t>FlashRowSize</t>
  </si>
  <si>
    <t>Row 0</t>
  </si>
  <si>
    <t>Row 1</t>
  </si>
  <si>
    <t>Row 2</t>
  </si>
  <si>
    <t>ProductId</t>
  </si>
  <si>
    <t>256 bytes/row</t>
  </si>
  <si>
    <t>Die ID</t>
  </si>
  <si>
    <t>0x06</t>
  </si>
  <si>
    <t>0x000</t>
  </si>
  <si>
    <t>0x200</t>
  </si>
  <si>
    <t>SharedWith</t>
  </si>
  <si>
    <t>BoolParamList</t>
  </si>
  <si>
    <t>Interfaces</t>
  </si>
  <si>
    <t>Lists all interfaces on peripheral</t>
  </si>
  <si>
    <t>Interface Name</t>
  </si>
  <si>
    <t>Interface Type</t>
  </si>
  <si>
    <t>Connected</t>
  </si>
  <si>
    <t>Attribute</t>
  </si>
  <si>
    <t>Mandatory</t>
  </si>
  <si>
    <t>None</t>
  </si>
  <si>
    <t>Cannot be connected in XLS (usually because connection is fixed)</t>
  </si>
  <si>
    <t>Optional</t>
  </si>
  <si>
    <t>Can be connected or not</t>
  </si>
  <si>
    <t>Must be connected exactly once</t>
  </si>
  <si>
    <t>Multiple</t>
  </si>
  <si>
    <t>Can be connected once, or connected multiple times (provided that :0, :1 designations are used)</t>
  </si>
  <si>
    <t>ZeroOrMore</t>
  </si>
  <si>
    <t>Can be not connected, connected once, or connected multiple times (provided that :0, :1 designations are used)</t>
  </si>
  <si>
    <t>Parameters</t>
  </si>
  <si>
    <t>Lists all verilog and register table parameters for peripheral.</t>
  </si>
  <si>
    <t>Max</t>
  </si>
  <si>
    <t>Array</t>
  </si>
  <si>
    <t>*</t>
  </si>
  <si>
    <t>[]</t>
  </si>
  <si>
    <t>Gray: derived parameters (formulas in XLS, not to be changed)</t>
  </si>
  <si>
    <t>&lt;blank&gt;</t>
  </si>
  <si>
    <t>A normal parameter</t>
  </si>
  <si>
    <t>A parameter that specifies the number of instances of something</t>
  </si>
  <si>
    <t>A parameter which has a different value for each instance of the preceding '*' parameter</t>
  </si>
  <si>
    <t>Prerequisite IP</t>
  </si>
  <si>
    <t>Lists all other DDC's used in this IP</t>
  </si>
  <si>
    <t>DDC</t>
  </si>
  <si>
    <t>Public Cell</t>
  </si>
  <si>
    <t>Count</t>
  </si>
  <si>
    <t>Hard/Soft</t>
  </si>
  <si>
    <t>sflash</t>
  </si>
  <si>
    <t>mmio</t>
  </si>
  <si>
    <t>ahbslv</t>
  </si>
  <si>
    <t>FlashSupervisoryRows</t>
  </si>
  <si>
    <t>0xFF</t>
  </si>
  <si>
    <t>0x40</t>
  </si>
  <si>
    <t>Unused[7:6]/ENG_PASS[5]/CHI_PASS[4]/CRI_PASS[3]/SORT3_PASS[2]/SORT2_PASS[1]/SORT1_PASS[0]</t>
  </si>
  <si>
    <t>0x01</t>
  </si>
  <si>
    <t>0x05</t>
  </si>
  <si>
    <t>Available for firmware usage (keys/ids)</t>
  </si>
  <si>
    <t>0x001</t>
  </si>
  <si>
    <t>0x002</t>
  </si>
  <si>
    <t>0x004</t>
  </si>
  <si>
    <t>0x008</t>
  </si>
  <si>
    <t>0x009</t>
  </si>
  <si>
    <t>0x00A</t>
  </si>
  <si>
    <t>0x00B</t>
  </si>
  <si>
    <t>0x00C</t>
  </si>
  <si>
    <t>0x010</t>
  </si>
  <si>
    <t>0x012</t>
  </si>
  <si>
    <t>0x014</t>
  </si>
  <si>
    <t>0x018</t>
  </si>
  <si>
    <t>0x02</t>
  </si>
  <si>
    <t>0x03</t>
  </si>
  <si>
    <t>0x33</t>
  </si>
  <si>
    <t>FLASH Supervisory Region</t>
  </si>
  <si>
    <t>NORMAL_ACCESS_RESTRICTIONS</t>
  </si>
  <si>
    <t>SYSCALL_TABLE_ADDRESS</t>
  </si>
  <si>
    <t>GENERAL_TRIM_TABLE</t>
  </si>
  <si>
    <t>Loads IP trim registers with stored values if hash is good</t>
  </si>
  <si>
    <t>0x404</t>
  </si>
  <si>
    <t>SYS_AP_MPU_ENABLE</t>
  </si>
  <si>
    <t>SFLASH_ALLOWED</t>
  </si>
  <si>
    <t>MMIO_ALLOWED</t>
  </si>
  <si>
    <t>10:8</t>
  </si>
  <si>
    <t>FLASH_ALLOWED</t>
  </si>
  <si>
    <t>13:11</t>
  </si>
  <si>
    <t>SRAM_ALLOWED</t>
  </si>
  <si>
    <t>SMIF_XIP_ALLOWED</t>
  </si>
  <si>
    <t>DIRECT_EXECUTE_DISABLE</t>
  </si>
  <si>
    <t>SYSCALL_TABLE_ADDR</t>
  </si>
  <si>
    <t>DATA</t>
  </si>
  <si>
    <t xml:space="preserve">MXS40 Flash Supervisory Rows Details </t>
  </si>
  <si>
    <t>Categories and Color coding</t>
  </si>
  <si>
    <t>Trim descriptors , SWJ configuration , listen window</t>
  </si>
  <si>
    <t xml:space="preserve">Flash(SPC) Parameters </t>
  </si>
  <si>
    <t>Flash operation parameters</t>
  </si>
  <si>
    <t>Boot flash</t>
  </si>
  <si>
    <t>Address 1024 bytes</t>
  </si>
  <si>
    <t xml:space="preserve">Row id (512 bytes/row)
</t>
  </si>
  <si>
    <t xml:space="preserve">Row id (1024 bytes/row)
</t>
  </si>
  <si>
    <t>Indicates that this device does not allow access to the M0+ debug port.</t>
  </si>
  <si>
    <t>CPUSS.AP_CTL</t>
  </si>
  <si>
    <t>XIP_ALLOWED</t>
  </si>
  <si>
    <t xml:space="preserve">This field will indicate the system call table location.                                                 0xF0F0F0F0- Jump table is located in SROM                                                               if not 0xF0F0F0F0 - Jump table is located in the address provided  </t>
  </si>
  <si>
    <t>boot ROM</t>
  </si>
  <si>
    <t>Based on the system requirements or if a ROM API needs to be patched then APIs can be added in flash &amp; its table location needs to be provided here .</t>
  </si>
  <si>
    <t>peripheral IP's</t>
  </si>
  <si>
    <t>IP which needs to be trimmed during boot up</t>
  </si>
  <si>
    <t>System requirement</t>
  </si>
  <si>
    <t>GENERAL_TRIM_TABLE_LENGTH</t>
  </si>
  <si>
    <t>GENERAL_TRIM_TABLE_HASH</t>
  </si>
  <si>
    <t>0xF0</t>
  </si>
  <si>
    <t>0x25</t>
  </si>
  <si>
    <t>0x32</t>
  </si>
  <si>
    <t>0x78</t>
  </si>
  <si>
    <t>BACKUP_CMD</t>
  </si>
  <si>
    <t>BACKUP_ADDR0</t>
  </si>
  <si>
    <t>BACKUP_ADDR1</t>
  </si>
  <si>
    <t>BACKUP_TRIM_VAL0</t>
  </si>
  <si>
    <t>0x45</t>
  </si>
  <si>
    <t>General Trim</t>
  </si>
  <si>
    <t>Byte offset</t>
  </si>
  <si>
    <t>CPUSS</t>
  </si>
  <si>
    <t>SRSS</t>
  </si>
  <si>
    <t>CLK_TRIM_IMO_CTL</t>
  </si>
  <si>
    <t>PWR_TRIM_LVD_CTL</t>
  </si>
  <si>
    <t>CLK_TRIM_ECO_CTL</t>
  </si>
  <si>
    <t>BACKUP</t>
  </si>
  <si>
    <t>PASS</t>
  </si>
  <si>
    <t>CTB</t>
  </si>
  <si>
    <t>0x4110_0F00</t>
  </si>
  <si>
    <t>NR_CTBS=1</t>
  </si>
  <si>
    <t>0x4110_0F08</t>
  </si>
  <si>
    <t>0x4110_0F0C</t>
  </si>
  <si>
    <t>0x4110_0F10</t>
  </si>
  <si>
    <t>0x4110_0F14</t>
  </si>
  <si>
    <t>SAR</t>
  </si>
  <si>
    <t>0x411D_0F00</t>
  </si>
  <si>
    <t>0x600</t>
  </si>
  <si>
    <t>0x000000</t>
  </si>
  <si>
    <t>Filled with die information during sort 
Die_Imprint test.</t>
  </si>
  <si>
    <t>X Position on Wafer [7:0]</t>
  </si>
  <si>
    <t>Y Position on Wafer [7:0]</t>
  </si>
  <si>
    <t>bit0: Sort1 Pass Bin
bit1: Sort2 Pass Bin
bit2: Sort3 Pass Bin
bit3: CRI Pass Bin
bit4: CHI Pass Bin
bit5: ENG Pass Bin
bit6/7: Unused</t>
  </si>
  <si>
    <t>0x603</t>
  </si>
  <si>
    <t>0x604</t>
  </si>
  <si>
    <t>Hidden</t>
  </si>
  <si>
    <t>Manufacturing Data, can be used to form Unique DieID.</t>
  </si>
  <si>
    <t>LOT</t>
  </si>
  <si>
    <t>Lot Number Byte</t>
  </si>
  <si>
    <t>Manufacturing Data, can be used to form Unique DieID</t>
  </si>
  <si>
    <t>WAFER</t>
  </si>
  <si>
    <t>X Position</t>
  </si>
  <si>
    <t>Y</t>
  </si>
  <si>
    <t>Y Position</t>
  </si>
  <si>
    <t>S1_PASS</t>
  </si>
  <si>
    <t>SORT1 Pass Bin (1) or 0 (Fail Bin)</t>
  </si>
  <si>
    <t>S2_PASS</t>
  </si>
  <si>
    <t>SORT2 Pass Bin (1) or 0 (Fail Bin)</t>
  </si>
  <si>
    <t>S3_PASS</t>
  </si>
  <si>
    <t>SORT3 Pass Bin (1) or 0 (Fail Bin)</t>
  </si>
  <si>
    <t>CRI_PASS</t>
  </si>
  <si>
    <t>CRI Pass Bin (1) or 0 (Fail Bin)</t>
  </si>
  <si>
    <t>CHI_PASS</t>
  </si>
  <si>
    <t>CHI Pass Bin (1) or 0 (Fail Bin)</t>
  </si>
  <si>
    <t>ENG_PASS</t>
  </si>
  <si>
    <t>ENG Pass Bin</t>
  </si>
  <si>
    <t>MINOR</t>
  </si>
  <si>
    <t>Minor revision number</t>
  </si>
  <si>
    <t>Indicates access restrictions to be applied on DAP in NORMAL state</t>
  </si>
  <si>
    <t>Indicates the system call table location</t>
  </si>
  <si>
    <t>Used during NORMAL state bootup</t>
  </si>
  <si>
    <t>Used to store silicon ID</t>
  </si>
  <si>
    <t>Used to extend system calls into FLASH</t>
  </si>
  <si>
    <t>Read during bootup.First 2 bytes indicate length,next byte contains the hash of the tuples follwed by tuples indicated by length</t>
  </si>
  <si>
    <t xml:space="preserve">MXS40 FLASH Supervisory Rows Layout </t>
  </si>
  <si>
    <t>NORMAL access restrictions</t>
  </si>
  <si>
    <t>Boot (Syscall table address)</t>
  </si>
  <si>
    <t>Silicon ID</t>
  </si>
  <si>
    <t>System call table address</t>
  </si>
  <si>
    <t>General trims applied during boot</t>
  </si>
  <si>
    <t>FLASH Boot</t>
  </si>
  <si>
    <t>0x800</t>
  </si>
  <si>
    <t>FLASH_BOOT_ATTRIBUTE</t>
  </si>
  <si>
    <t>31:0</t>
  </si>
  <si>
    <t>USER_FREE_ROW1</t>
  </si>
  <si>
    <t>USER_FREE_ROW2</t>
  </si>
  <si>
    <t>USER_FREE_ROW3</t>
  </si>
  <si>
    <t xml:space="preserve"> </t>
  </si>
  <si>
    <t>0xA00</t>
  </si>
  <si>
    <t>0xC00</t>
  </si>
  <si>
    <t>0xE00</t>
  </si>
  <si>
    <t>Address 
512 bytes/row</t>
  </si>
  <si>
    <t>Flash Boot</t>
  </si>
  <si>
    <t>0x0A</t>
  </si>
  <si>
    <t>0x19</t>
  </si>
  <si>
    <t>0x67</t>
  </si>
  <si>
    <t>SAR_ANA_TRIM0(8b)</t>
  </si>
  <si>
    <t>SAR_ANA_TRIM1(8b)</t>
  </si>
  <si>
    <t>0x411D_0F04</t>
  </si>
  <si>
    <t>0x34</t>
  </si>
  <si>
    <t>0x8E</t>
  </si>
  <si>
    <t>SRSS1_CMD</t>
  </si>
  <si>
    <t>SRSS1_ADDR0</t>
  </si>
  <si>
    <t>SRSS1_ADDR1</t>
  </si>
  <si>
    <t>CLK_TRIM_IMO_CTL_VAL0</t>
  </si>
  <si>
    <t>CLK_TRIM_IMO_CTL_VAL1</t>
  </si>
  <si>
    <t>CLK_TRIM_IMO_CTL_VAL2</t>
  </si>
  <si>
    <t>CLK_TRIM_IMO_CTL_VAL3</t>
  </si>
  <si>
    <t>CLK_TRIM_ECO_CTL_VAL0</t>
  </si>
  <si>
    <t>CLK_TRIM_ECO_CTL_VAL1</t>
  </si>
  <si>
    <t>CLK_TRIM_ECO_CTL_VAL2</t>
  </si>
  <si>
    <t>CLK_TRIM_ECO_CTL_VAL3</t>
  </si>
  <si>
    <t>0x41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</si>
  <si>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</si>
  <si>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</si>
  <si>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</si>
  <si>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</si>
  <si>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</si>
  <si>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</si>
  <si>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</si>
  <si>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</si>
  <si>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</si>
  <si>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</si>
  <si>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</si>
  <si>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</si>
  <si>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</si>
  <si>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</si>
  <si>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</si>
  <si>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</si>
  <si>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</si>
  <si>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</si>
  <si>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</si>
  <si>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</si>
  <si>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</si>
  <si>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</si>
  <si>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Row 25</t>
  </si>
  <si>
    <t>Row 26</t>
  </si>
  <si>
    <t>Row 27</t>
  </si>
  <si>
    <t>Row 28</t>
  </si>
  <si>
    <t>Row 29</t>
  </si>
  <si>
    <t>Row 30</t>
  </si>
  <si>
    <t>Row 31</t>
  </si>
  <si>
    <t>Row 32</t>
  </si>
  <si>
    <t>Row 33</t>
  </si>
  <si>
    <t>Row 34</t>
  </si>
  <si>
    <t>Row 35</t>
  </si>
  <si>
    <t>Row 36</t>
  </si>
  <si>
    <t>Row 37</t>
  </si>
  <si>
    <t>Row 38</t>
  </si>
  <si>
    <t>Row 39</t>
  </si>
  <si>
    <t>Row 40</t>
  </si>
  <si>
    <t>Row 41</t>
  </si>
  <si>
    <t>Row 42</t>
  </si>
  <si>
    <t>Row 43</t>
  </si>
  <si>
    <t>Row 44</t>
  </si>
  <si>
    <t>Row 45</t>
  </si>
  <si>
    <t>Row 46</t>
  </si>
  <si>
    <t>Row 47</t>
  </si>
  <si>
    <t>Row 48</t>
  </si>
  <si>
    <t>Row 49</t>
  </si>
  <si>
    <t>row id</t>
  </si>
  <si>
    <t>row size</t>
  </si>
  <si>
    <t>FLASH_BOOT_ATTRIBUTE0</t>
  </si>
  <si>
    <t>FLASH_BOOT_ATTRIBUTE1</t>
  </si>
  <si>
    <t>FLASH_BOOT_ATTRIBUTE2</t>
  </si>
  <si>
    <t>FLASH_BOOT_ATTRIBUTE3</t>
  </si>
  <si>
    <t>FLASH_BOOT_MSP0</t>
  </si>
  <si>
    <t>FLASH_BOOT_MSP1</t>
  </si>
  <si>
    <t>FLASH_BOOT_MSP2</t>
  </si>
  <si>
    <t>FLASH_BOOT_MSP3</t>
  </si>
  <si>
    <t>FLASH_BOOT_PC0</t>
  </si>
  <si>
    <t>FLASH_BOOT_PC1</t>
  </si>
  <si>
    <t>FLASH_BOOT_PC2</t>
  </si>
  <si>
    <t>FLASH_BOOT_PC3</t>
  </si>
  <si>
    <t>FLASH_BOOT_CODE0</t>
  </si>
  <si>
    <t>FLASH_BOOT_CODE1</t>
  </si>
  <si>
    <t>FLASH_BOOT_CODE2</t>
  </si>
  <si>
    <t>FLASH_BOOT_CODE3</t>
  </si>
  <si>
    <t>FLASH_BOOT_CODE4</t>
  </si>
  <si>
    <t>FLASH_BOOT_CODE5</t>
  </si>
  <si>
    <t>FLASH_BOOT_CODE6</t>
  </si>
  <si>
    <t>FLASH_BOOT_CODE7</t>
  </si>
  <si>
    <t>FLASH_BOOT_CODE8</t>
  </si>
  <si>
    <t>FLASH_BOOT_CODE9</t>
  </si>
  <si>
    <t>FLASH_BOOT_CODE10</t>
  </si>
  <si>
    <t>FLASH_BOOT_CODE11</t>
  </si>
  <si>
    <t>FLASH_BOOT_CODE12</t>
  </si>
  <si>
    <t>FLASH_BOOT_CODE13</t>
  </si>
  <si>
    <t>FLASH_BOOT_CODE14</t>
  </si>
  <si>
    <t>FLASH_BOOT_CODE15</t>
  </si>
  <si>
    <t>FLASH_BOOT_CODE16</t>
  </si>
  <si>
    <t>FLASH_BOOT_CODE17</t>
  </si>
  <si>
    <t>FLASH_BOOT_CODE18</t>
  </si>
  <si>
    <t>FLASH_BOOT_CODE19</t>
  </si>
  <si>
    <t>FLASH_BOOT_CODE20</t>
  </si>
  <si>
    <t>FLASH_BOOT_CODE21</t>
  </si>
  <si>
    <t>FLASH_BOOT_CODE22</t>
  </si>
  <si>
    <t>FLASH_BOOT_CODE23</t>
  </si>
  <si>
    <t>FLASH_BOOT_CODE24</t>
  </si>
  <si>
    <t>FLASH_BOOT_CODE25</t>
  </si>
  <si>
    <t>FLASH_BOOT_CODE26</t>
  </si>
  <si>
    <t>FLASH_BOOT_CODE27</t>
  </si>
  <si>
    <t>FLASH_BOOT_CODE28</t>
  </si>
  <si>
    <t>FLASH_BOOT_CODE29</t>
  </si>
  <si>
    <t>FLASH_BOOT_CODE30</t>
  </si>
  <si>
    <t>FLASH_BOOT_CODE31</t>
  </si>
  <si>
    <t>FLASH_BOOT_CODE32</t>
  </si>
  <si>
    <t>FLASH_BOOT_CODE33</t>
  </si>
  <si>
    <t>FLASH_BOOT_CODE34</t>
  </si>
  <si>
    <t>FLASH_BOOT_CODE35</t>
  </si>
  <si>
    <t>FLASH_BOOT_CODE36</t>
  </si>
  <si>
    <t>FLASH_BOOT_CODE37</t>
  </si>
  <si>
    <t>FLASH_BOOT_CODE38</t>
  </si>
  <si>
    <t>FLASH_BOOT_CODE39</t>
  </si>
  <si>
    <t>FLASH_BOOT_CODE40</t>
  </si>
  <si>
    <t>FLASH_BOOT_CODE41</t>
  </si>
  <si>
    <t>FLASH_BOOT_CODE42</t>
  </si>
  <si>
    <t>FLASH_BOOT_CODE43</t>
  </si>
  <si>
    <t>FLASH_BOOT_CODE44</t>
  </si>
  <si>
    <t>FLASH_BOOT_CODE45</t>
  </si>
  <si>
    <t>FLASH_BOOT_CODE46</t>
  </si>
  <si>
    <t>FLASH_BOOT_CODE47</t>
  </si>
  <si>
    <t>FLASH_BOOT_CODE48</t>
  </si>
  <si>
    <t>FLASH_BOOT_CODE49</t>
  </si>
  <si>
    <t>FLASH_BOOT_CODE50</t>
  </si>
  <si>
    <t>FLASH_BOOT_CODE51</t>
  </si>
  <si>
    <t>FLASH_BOOT_CODE52</t>
  </si>
  <si>
    <t>FLASH_BOOT_CODE53</t>
  </si>
  <si>
    <t>FLASH_BOOT_CODE54</t>
  </si>
  <si>
    <t>FLASH_BOOT_CODE55</t>
  </si>
  <si>
    <t>FLASH_BOOT_CODE56</t>
  </si>
  <si>
    <t>FLASH_BOOT_CODE57</t>
  </si>
  <si>
    <t>FLASH_BOOT_CODE58</t>
  </si>
  <si>
    <t>FLASH_BOOT_CODE59</t>
  </si>
  <si>
    <t>FLASH_BOOT_CODE60</t>
  </si>
  <si>
    <t>FLASH_BOOT_CODE61</t>
  </si>
  <si>
    <t>FLASH_BOOT_CODE62</t>
  </si>
  <si>
    <t>FLASH_BOOT_CODE63</t>
  </si>
  <si>
    <t>FLASH_BOOT_CODE64</t>
  </si>
  <si>
    <t>FLASH_BOOT_CODE65</t>
  </si>
  <si>
    <t>FLASH_BOOT_CODE66</t>
  </si>
  <si>
    <t>FLASH_BOOT_CODE67</t>
  </si>
  <si>
    <t>FLASH_BOOT_CODE68</t>
  </si>
  <si>
    <t>FLASH_BOOT_CODE69</t>
  </si>
  <si>
    <t>FLASH_BOOT_CODE70</t>
  </si>
  <si>
    <t>FLASH_BOOT_CODE71</t>
  </si>
  <si>
    <t>FLASH_BOOT_CODE72</t>
  </si>
  <si>
    <t>FLASH_BOOT_CODE73</t>
  </si>
  <si>
    <t>FLASH_BOOT_CODE74</t>
  </si>
  <si>
    <t>FLASH_BOOT_CODE75</t>
  </si>
  <si>
    <t>FLASH_BOOT_CODE76</t>
  </si>
  <si>
    <t>FLASH_BOOT_CODE77</t>
  </si>
  <si>
    <t>FLASH_BOOT_CODE78</t>
  </si>
  <si>
    <t>FLASH_BOOT_CODE79</t>
  </si>
  <si>
    <t>FLASH_BOOT_CODE80</t>
  </si>
  <si>
    <t>FLASH_BOOT_CODE81</t>
  </si>
  <si>
    <t>FLASH_BOOT_CODE82</t>
  </si>
  <si>
    <t>FLASH_BOOT_CODE83</t>
  </si>
  <si>
    <t>FLASH_BOOT_CODE84</t>
  </si>
  <si>
    <t>FLASH_BOOT_CODE85</t>
  </si>
  <si>
    <t>FLASH_BOOT_CODE86</t>
  </si>
  <si>
    <t>FLASH_BOOT_CODE87</t>
  </si>
  <si>
    <t>FLASH_BOOT_CODE88</t>
  </si>
  <si>
    <t>FLASH_BOOT_CODE89</t>
  </si>
  <si>
    <t>FLASH_BOOT_CODE90</t>
  </si>
  <si>
    <t>FLASH_BOOT_CODE91</t>
  </si>
  <si>
    <t>FLASH_BOOT_CODE92</t>
  </si>
  <si>
    <t>FLASH_BOOT_CODE93</t>
  </si>
  <si>
    <t>FLASH_BOOT_CODE94</t>
  </si>
  <si>
    <t>FLASH_BOOT_CODE95</t>
  </si>
  <si>
    <t>FLASH_BOOT_CODE96</t>
  </si>
  <si>
    <t>FLASH_BOOT_CODE97</t>
  </si>
  <si>
    <t>FLASH_BOOT_CODE98</t>
  </si>
  <si>
    <t>FLASH_BOOT_CODE99</t>
  </si>
  <si>
    <t>0x16</t>
  </si>
  <si>
    <t>0x20</t>
  </si>
  <si>
    <t>FLASH_BOOT_DATA0</t>
  </si>
  <si>
    <t>FLASH_BOOT_DATA1</t>
  </si>
  <si>
    <t>FLASH_BOOT_DATA2</t>
  </si>
  <si>
    <t>FLASH_BOOT_DATA3</t>
  </si>
  <si>
    <t>FLASH_BOOT_DATA4</t>
  </si>
  <si>
    <t>FLASH_BOOT_DATA5</t>
  </si>
  <si>
    <t>FLASH_BOOT_DATA6</t>
  </si>
  <si>
    <t>FLASH_BOOT_DATA7</t>
  </si>
  <si>
    <t>FLASH_BOOT_DATA8</t>
  </si>
  <si>
    <t>FLASH_BOOT_DATA9</t>
  </si>
  <si>
    <t>FLASH_BOOT_DATA10</t>
  </si>
  <si>
    <t>FLASH_BOOT_DATA11</t>
  </si>
  <si>
    <t>0x70</t>
  </si>
  <si>
    <t>0xB5</t>
  </si>
  <si>
    <t>0x0E</t>
  </si>
  <si>
    <t>0x68</t>
  </si>
  <si>
    <t>0x28</t>
  </si>
  <si>
    <t>0x43</t>
  </si>
  <si>
    <t>0x47</t>
  </si>
  <si>
    <t>0x60</t>
  </si>
  <si>
    <t>0xF5</t>
  </si>
  <si>
    <t>0xF8</t>
  </si>
  <si>
    <t>0x48</t>
  </si>
  <si>
    <t>0x49</t>
  </si>
  <si>
    <t>0xD4</t>
  </si>
  <si>
    <t>0xDA</t>
  </si>
  <si>
    <t>0xA0</t>
  </si>
  <si>
    <t>0xBD</t>
  </si>
  <si>
    <t>0x26</t>
  </si>
  <si>
    <t>0x81</t>
  </si>
  <si>
    <t>0xF3</t>
  </si>
  <si>
    <t>0x88</t>
  </si>
  <si>
    <t>0x42</t>
  </si>
  <si>
    <t>0x21</t>
  </si>
  <si>
    <t>0xFC</t>
  </si>
  <si>
    <t>PWR_TRIM_LVD_CTL_VAL0</t>
  </si>
  <si>
    <t>PWR_TRIM_LVD_CTL_VAL1</t>
  </si>
  <si>
    <t>PWR_TRIM_LVD_CTL_VAL2</t>
  </si>
  <si>
    <t>PWR_TRIM_LVD_CTL_VAL3</t>
  </si>
  <si>
    <t>CPUSS_DP_CTL</t>
  </si>
  <si>
    <t>CPUSS_DP_CTL_ADDR0</t>
  </si>
  <si>
    <t>CPUSS_DP_CTL_ADDR1</t>
  </si>
  <si>
    <t>CPUSS_DP_CTL_ADDR2</t>
  </si>
  <si>
    <t>CPUSS_DP_CTL_ADDR3</t>
  </si>
  <si>
    <t>CPUSS_DP_CTL_VAL0</t>
  </si>
  <si>
    <t>CPUSS_DP_CTL_VAL1</t>
  </si>
  <si>
    <t>CPUSS_DP_CTL_VAL2</t>
  </si>
  <si>
    <t>CPUSS_DP_CTL_VAL3</t>
  </si>
  <si>
    <t>CPUSS_DP_CTL_CMD</t>
  </si>
  <si>
    <t>0xB0</t>
  </si>
  <si>
    <t>0x71</t>
  </si>
  <si>
    <t>0x605</t>
  </si>
  <si>
    <t>0x606</t>
  </si>
  <si>
    <t>0x607</t>
  </si>
  <si>
    <t>CSP Panel ID</t>
  </si>
  <si>
    <t>CSP Panel ID to record panel id of CSP die</t>
  </si>
  <si>
    <t>SKIP_HASH</t>
  </si>
  <si>
    <t>Skips hash validation of general trims during boot</t>
  </si>
  <si>
    <t>Used to bypass hash check</t>
  </si>
  <si>
    <t>8</t>
  </si>
  <si>
    <t>0x09</t>
  </si>
  <si>
    <t>FLASH_BOOT_RESERVED</t>
  </si>
  <si>
    <t>0x23</t>
  </si>
  <si>
    <t>FLASH_BOOT_CODE100</t>
  </si>
  <si>
    <t>FLASH_BOOT_CODE101</t>
  </si>
  <si>
    <t>FLASH_BOOT_CODE102</t>
  </si>
  <si>
    <t>FLASH_BOOT_CODE103</t>
  </si>
  <si>
    <t>FLASH_BOOT_CODE104</t>
  </si>
  <si>
    <t>FLASH_BOOT_CODE105</t>
  </si>
  <si>
    <t>FLASH_BOOT_CODE106</t>
  </si>
  <si>
    <t>FLASH_BOOT_CODE107</t>
  </si>
  <si>
    <t>FLASH_BOOT_CODE108</t>
  </si>
  <si>
    <t>FLASH_BOOT_CODE109</t>
  </si>
  <si>
    <t>FLASH_BOOT_CODE110</t>
  </si>
  <si>
    <t>FLASH_BOOT_CODE111</t>
  </si>
  <si>
    <t>FLASH_BOOT_CODE112</t>
  </si>
  <si>
    <t>FLASH_BOOT_CODE113</t>
  </si>
  <si>
    <t>FLASH_BOOT_CODE114</t>
  </si>
  <si>
    <t>FLASH_BOOT_CODE115</t>
  </si>
  <si>
    <t>FLASH_BOOT_CODE116</t>
  </si>
  <si>
    <t>FLASH_BOOT_CODE117</t>
  </si>
  <si>
    <t>FLASH_BOOT_CODE118</t>
  </si>
  <si>
    <t>FLASH_BOOT_CODE119</t>
  </si>
  <si>
    <t>FLASH_BOOT_CODE120</t>
  </si>
  <si>
    <t>FLASH_BOOT_CODE121</t>
  </si>
  <si>
    <t>FLASH_BOOT_CODE122</t>
  </si>
  <si>
    <t>FLASH_BOOT_CODE123</t>
  </si>
  <si>
    <t>FLASH_BOOT_CODE124</t>
  </si>
  <si>
    <t>FLASH_BOOT_CODE125</t>
  </si>
  <si>
    <t>FLASH_BOOT_CODE126</t>
  </si>
  <si>
    <t>FLASH_BOOT_CODE127</t>
  </si>
  <si>
    <t>FLASH_BOOT_CODE128</t>
  </si>
  <si>
    <t>FLASH_BOOT_CODE129</t>
  </si>
  <si>
    <t>FLASH_BOOT_CODE130</t>
  </si>
  <si>
    <t>FLASH_BOOT_CODE131</t>
  </si>
  <si>
    <t>FLASH_BOOT_CODE132</t>
  </si>
  <si>
    <t>FLASH_BOOT_CODE133</t>
  </si>
  <si>
    <t>FLASH_BOOT_CODE134</t>
  </si>
  <si>
    <t>FLASH_BOOT_CODE135</t>
  </si>
  <si>
    <t>CTBM0_OA0_SLOPE_TRIM</t>
  </si>
  <si>
    <t>CTBM0_OA0_COMP_TRIM</t>
  </si>
  <si>
    <t>CTBM0_OA1_OFFSET_TRIM</t>
  </si>
  <si>
    <t>CTBM0_OA1_SLOPE_OFFSET_TRIM</t>
  </si>
  <si>
    <t>CTBM0_OA1_COMP_TRIM</t>
  </si>
  <si>
    <t>CTBM0_OA0_OFFSET_TRIM(8b)</t>
  </si>
  <si>
    <t>0x608</t>
  </si>
  <si>
    <t>0x609</t>
  </si>
  <si>
    <t>0x60A</t>
  </si>
  <si>
    <t>DIE_DAY</t>
  </si>
  <si>
    <t>DIE_MONTH</t>
  </si>
  <si>
    <t>DIE_YEAR</t>
  </si>
  <si>
    <t>Year number</t>
  </si>
  <si>
    <t>Month number</t>
  </si>
  <si>
    <t>Day number</t>
  </si>
  <si>
    <t>Day Number</t>
  </si>
  <si>
    <t>Month Number</t>
  </si>
  <si>
    <t>Year Number</t>
  </si>
  <si>
    <t>HardIP Trim Parameters</t>
  </si>
  <si>
    <t>0x1800</t>
  </si>
  <si>
    <t>CLK_TRIM_CCO_CTL_VAL0</t>
  </si>
  <si>
    <t>CLK_TRIM_CCO_CTL_VAL1</t>
  </si>
  <si>
    <t>CLK_TRIM_CCO_CTL_VAL2</t>
  </si>
  <si>
    <t>CLK_TRIM_CCO_CTL_VAL3</t>
  </si>
  <si>
    <t>CLK_TRIM_CCO_CTL2_VAL0</t>
  </si>
  <si>
    <t>CLK_TRIM_CCO_CTL2_VAL1</t>
  </si>
  <si>
    <t>CLK_TRIM_CCO_CTL2_VAL2</t>
  </si>
  <si>
    <t>CLK_TRIM_CCO_CTL2_VAL3</t>
  </si>
  <si>
    <t>CLK_TRIM_CCO_CTL</t>
  </si>
  <si>
    <t>CLK_TRIM_CCO_CTL2</t>
  </si>
  <si>
    <t>0x1F</t>
  </si>
  <si>
    <t>0x22</t>
  </si>
  <si>
    <t>0x12</t>
  </si>
  <si>
    <t>0x17</t>
  </si>
  <si>
    <t>0x50</t>
  </si>
  <si>
    <t>0x91</t>
  </si>
  <si>
    <t>0x31</t>
  </si>
  <si>
    <t>DATA32</t>
  </si>
  <si>
    <t>TRIM_ROM_CTL</t>
  </si>
  <si>
    <t>TRIM_RAM_CTL</t>
  </si>
  <si>
    <t>CPUSS_TRIM_CTL_CMD</t>
  </si>
  <si>
    <t>CPUSS_TRIM_CTL_ADDR0</t>
  </si>
  <si>
    <t>CPUSS_TRIM_CTL_ADDR1</t>
  </si>
  <si>
    <t>CPUSS_TRIM_ROM_CTL_VAL0</t>
  </si>
  <si>
    <t>CPUSS_TRIM_ROM_CTL_VAL1</t>
  </si>
  <si>
    <t>CPUSS_TRIM_ROM_CTL_VAL2</t>
  </si>
  <si>
    <t>CPUSS_TRIM_ROM_CTL_VAL3</t>
  </si>
  <si>
    <t>CPUSS_TRIM_RAM_CTL_0</t>
  </si>
  <si>
    <t>CPUSS_TRIM_RAM_CTL_1</t>
  </si>
  <si>
    <t>CPUSS_TRIM_RAM_CTL_2</t>
  </si>
  <si>
    <t>CPUSS_TRIM_RAM_CTL_3</t>
  </si>
  <si>
    <t>VREF_TRIM0</t>
  </si>
  <si>
    <t>VREF_TRIM1</t>
  </si>
  <si>
    <t>VREF_TRIM2</t>
  </si>
  <si>
    <t>VREF_TRIM3</t>
  </si>
  <si>
    <t>IZTAT_TRIM0</t>
  </si>
  <si>
    <t>IZTAT_TRIM1</t>
  </si>
  <si>
    <t>IPTAT_TRIM0</t>
  </si>
  <si>
    <t>ICTAT_TRIM0</t>
  </si>
  <si>
    <t>0x411F_0F00</t>
  </si>
  <si>
    <t>0x411F_0F04</t>
  </si>
  <si>
    <t>PASS6Ax (8b)</t>
  </si>
  <si>
    <t>0x411F_0F08</t>
  </si>
  <si>
    <t>0x411F_0F10</t>
  </si>
  <si>
    <t>0x411F_0F14</t>
  </si>
  <si>
    <t>0x411F_0F18</t>
  </si>
  <si>
    <t>0x411F_0F1C</t>
  </si>
  <si>
    <t>CLK_TRIM_ECO_CTL2</t>
  </si>
  <si>
    <t>0x3A</t>
  </si>
  <si>
    <t>CLK_TRIM_ECO_CTL2_VAL0</t>
  </si>
  <si>
    <t>CLK_TRIM_ECO_CTL2_VAL1</t>
  </si>
  <si>
    <t>CLK_TRIM_ECO_CTL2_VAL2</t>
  </si>
  <si>
    <t>CLK_TRIM_ECO_CTL2_VAL3</t>
  </si>
  <si>
    <t>0x44</t>
  </si>
  <si>
    <t>0x52</t>
  </si>
  <si>
    <t>0x411F_0F0C</t>
  </si>
  <si>
    <t>PWR_TRIM_WAKE_CTL</t>
  </si>
  <si>
    <t>PWR_TRIM_WAKE_CTL_VAL0</t>
  </si>
  <si>
    <t>SRSS2_CMD</t>
  </si>
  <si>
    <t>SRSS2_ADDR0</t>
  </si>
  <si>
    <t>SRSS2_ADDR1</t>
  </si>
  <si>
    <t>0x7F</t>
  </si>
  <si>
    <t>SRSS3_CMD</t>
  </si>
  <si>
    <t>SRSS3_ADDR0</t>
  </si>
  <si>
    <t>SRSS3_ADDR1</t>
  </si>
  <si>
    <t>0x97</t>
  </si>
  <si>
    <t>Row 50</t>
  </si>
  <si>
    <t>0x0B</t>
  </si>
  <si>
    <t>FW_KEY_IDS</t>
  </si>
  <si>
    <t>4-7</t>
  </si>
  <si>
    <t>Attributes</t>
  </si>
  <si>
    <t>Updated in VIRGIN lifecycle stage</t>
  </si>
  <si>
    <t>Updated in NORMAL lifecycle stage</t>
  </si>
  <si>
    <t>FLASH_BOOT_CODE136</t>
  </si>
  <si>
    <t>FLASH_BOOT_CODE137</t>
  </si>
  <si>
    <t>FLASH_BOOT_CODE138</t>
  </si>
  <si>
    <t>FLASH_BOOT_CODE139</t>
  </si>
  <si>
    <t>FLASH_BOOT_CODE140</t>
  </si>
  <si>
    <t>FLASH_BOOT_CODE141</t>
  </si>
  <si>
    <t>FLASH_BOOT_CODE142</t>
  </si>
  <si>
    <t>FLASH_BOOT_CODE143</t>
  </si>
  <si>
    <t>FLASH_BOOT_CODE144</t>
  </si>
  <si>
    <t>FLASH_BOOT_CODE145</t>
  </si>
  <si>
    <t>FLASH_BOOT_CODE146</t>
  </si>
  <si>
    <t>FLASH_BOOT_CODE147</t>
  </si>
  <si>
    <t>FLASH_BOOT_CODE148</t>
  </si>
  <si>
    <t>FLASH_BOOT_CODE149</t>
  </si>
  <si>
    <t>FLASH_BOOT_CODE150</t>
  </si>
  <si>
    <t>FLASH_BOOT_CODE151</t>
  </si>
  <si>
    <t>FLASH_BOOT_CODE152</t>
  </si>
  <si>
    <t>FLASH_BOOT_CODE153</t>
  </si>
  <si>
    <t>FLASH_BOOT_CODE154</t>
  </si>
  <si>
    <t>FLASH_BOOT_CODE155</t>
  </si>
  <si>
    <t>FLASH_BOOT_CODE156</t>
  </si>
  <si>
    <t>FLASH_BOOT_CODE157</t>
  </si>
  <si>
    <t>FLASH_BOOT_CODE158</t>
  </si>
  <si>
    <t>FLASH_BOOT_CODE159</t>
  </si>
  <si>
    <t>FLASH_BOOT_CODE160</t>
  </si>
  <si>
    <t>FLASH_BOOT_CODE161</t>
  </si>
  <si>
    <t>FLASH_BOOT_CODE162</t>
  </si>
  <si>
    <t>FLASH_BOOT_CODE163</t>
  </si>
  <si>
    <t>FLASH_BOOT_CODE164</t>
  </si>
  <si>
    <t>FLASH_BOOT_CODE165</t>
  </si>
  <si>
    <t>FLASH_BOOT_CODE166</t>
  </si>
  <si>
    <t>FLASH_BOOT_CODE167</t>
  </si>
  <si>
    <t>FLASH_BOOT_CODE168</t>
  </si>
  <si>
    <t>FLASH_BOOT_CODE169</t>
  </si>
  <si>
    <t>FLASH_BOOT_CODE170</t>
  </si>
  <si>
    <t>FLASH_BOOT_CODE171</t>
  </si>
  <si>
    <t>FLASH_BOOT_CODE172</t>
  </si>
  <si>
    <t>FLASH_BOOT_CODE173</t>
  </si>
  <si>
    <t>FLASH_BOOT_CODE174</t>
  </si>
  <si>
    <t>FLASH_BOOT_CODE175</t>
  </si>
  <si>
    <t>FLASH_BOOT_CODE176</t>
  </si>
  <si>
    <t>FLASH_BOOT_CODE177</t>
  </si>
  <si>
    <t>FLASH_BOOT_CODE178</t>
  </si>
  <si>
    <t>FLASH_BOOT_CODE179</t>
  </si>
  <si>
    <t>FLASH_BOOT_CODE180</t>
  </si>
  <si>
    <t>FLASH_BOOT_CODE181</t>
  </si>
  <si>
    <t>FLASH_BOOT_CODE182</t>
  </si>
  <si>
    <t>FLASH_BOOT_CODE183</t>
  </si>
  <si>
    <t>FLASH_BOOT_CODE184</t>
  </si>
  <si>
    <t>FLASH_BOOT_CODE185</t>
  </si>
  <si>
    <t>FLASH_BOOT_CODE186</t>
  </si>
  <si>
    <t>FLASH_BOOT_CODE187</t>
  </si>
  <si>
    <t>FLASH_BOOT_CODE188</t>
  </si>
  <si>
    <t>FLASH_BOOT_CODE189</t>
  </si>
  <si>
    <t>FLASH_BOOT_CODE190</t>
  </si>
  <si>
    <t>FLASH_BOOT_CODE191</t>
  </si>
  <si>
    <t>FLASH_BOOT_CODE192</t>
  </si>
  <si>
    <t>FLASH_BOOT_CODE193</t>
  </si>
  <si>
    <t>FLASH_BOOT_CODE194</t>
  </si>
  <si>
    <t>FLASH_BOOT_CODE195</t>
  </si>
  <si>
    <t>FLASH_BOOT_CODE196</t>
  </si>
  <si>
    <t>FLASH_BOOT_CODE197</t>
  </si>
  <si>
    <t>FLASH_BOOT_CODE198</t>
  </si>
  <si>
    <t>FLASH_BOOT_CODE199</t>
  </si>
  <si>
    <t>FLASH_BOOT_CODE200</t>
  </si>
  <si>
    <t>FLASH_BOOT_CODE201</t>
  </si>
  <si>
    <t>FLASH_BOOT_CODE202</t>
  </si>
  <si>
    <t>FLASH_BOOT_CODE203</t>
  </si>
  <si>
    <t>FLASH_BOOT_CODE204</t>
  </si>
  <si>
    <t>FLASH_BOOT_CODE205</t>
  </si>
  <si>
    <t>FLASH_BOOT_CODE206</t>
  </si>
  <si>
    <t>FLASH_BOOT_CODE207</t>
  </si>
  <si>
    <t>FLASH_BOOT_CODE208</t>
  </si>
  <si>
    <t>FLASH_BOOT_CODE209</t>
  </si>
  <si>
    <t>FLASH_BOOT_CODE210</t>
  </si>
  <si>
    <t>FLASH_BOOT_CODE211</t>
  </si>
  <si>
    <t>FLASH_BOOT_CODE212</t>
  </si>
  <si>
    <t>FLASH_BOOT_CODE213</t>
  </si>
  <si>
    <t>FLASH_BOOT_CODE214</t>
  </si>
  <si>
    <t>FLASH_BOOT_CODE215</t>
  </si>
  <si>
    <t>FLASH_BOOT_CODE216</t>
  </si>
  <si>
    <t>FLASH_BOOT_CODE217</t>
  </si>
  <si>
    <t>FLASH_BOOT_CODE218</t>
  </si>
  <si>
    <t>FLASH_BOOT_CODE219</t>
  </si>
  <si>
    <t>FLASH_BOOT_CODE220</t>
  </si>
  <si>
    <t>FLASH_BOOT_CODE221</t>
  </si>
  <si>
    <t>FLASH_BOOT_CODE222</t>
  </si>
  <si>
    <t>FLASH_BOOT_CODE223</t>
  </si>
  <si>
    <t>FLASH_BOOT_CODE224</t>
  </si>
  <si>
    <t>FLASH_BOOT_CODE225</t>
  </si>
  <si>
    <t>FLASH_BOOT_CODE226</t>
  </si>
  <si>
    <t>FLASH_BOOT_CODE227</t>
  </si>
  <si>
    <t>FLASH_BOOT_CODE228</t>
  </si>
  <si>
    <t>FLASH_BOOT_CODE229</t>
  </si>
  <si>
    <t>FLASH_BOOT_CODE230</t>
  </si>
  <si>
    <t>FLASH_BOOT_CODE231</t>
  </si>
  <si>
    <t>FLASH_BOOT_CODE232</t>
  </si>
  <si>
    <t>FLASH_BOOT_CODE233</t>
  </si>
  <si>
    <t>FLASH_BOOT_CODE234</t>
  </si>
  <si>
    <t>FLASH_BOOT_CODE235</t>
  </si>
  <si>
    <t>FLASH_BOOT_CODE236</t>
  </si>
  <si>
    <t>FLASH_BOOT_CODE237</t>
  </si>
  <si>
    <t>FLASH_BOOT_CODE238</t>
  </si>
  <si>
    <t>FLASH_BOOT_CODE239</t>
  </si>
  <si>
    <t>0x1B</t>
  </si>
  <si>
    <t>FLASH_BOOT_CODE240</t>
  </si>
  <si>
    <t>FLASH_BOOT_CODE241</t>
  </si>
  <si>
    <t>FLASH_BOOT_CODE242</t>
  </si>
  <si>
    <t>FLASH_BOOT_CODE243</t>
  </si>
  <si>
    <t>ACT_REF_TCTRIM1_S1_MSB</t>
  </si>
  <si>
    <t>ACT_REF_TCTRIM1_S1_LSB</t>
  </si>
  <si>
    <t>ACT_REF_TCTRIM5_S1_MSB</t>
  </si>
  <si>
    <t>ACT_REF_TCTRIM5_S1_LSB</t>
  </si>
  <si>
    <t>ACT_REF_TCTRIM8_S1_MSB</t>
  </si>
  <si>
    <t>ACT_REF_TCTRIM8_S1_LSB</t>
  </si>
  <si>
    <t>DPSLPT_REF_TCTRIM1_S1_MSB</t>
  </si>
  <si>
    <t>DPSLPT_REF_TCTRIM1_S1_LSB</t>
  </si>
  <si>
    <t>DPSLPT_REF_TCTRIM5_S1_MSB</t>
  </si>
  <si>
    <t>DPSLPT_REF_TCTRIM5_S1_LSB</t>
  </si>
  <si>
    <t>DPSLPT_REF_TCTRIM8_S1_MSB</t>
  </si>
  <si>
    <t>DPSLPT_REF_TCTRIM8_S1_LSB</t>
  </si>
  <si>
    <t>ACT_REF_TCTRIM1_S2_MSB</t>
  </si>
  <si>
    <t>ACT_REF_TCTRIM1_S2_LSB</t>
  </si>
  <si>
    <t>ACT_REF_TCTRIM5_S2_MSB</t>
  </si>
  <si>
    <t>ACT_REF_TCTRIM5_S2_LSB</t>
  </si>
  <si>
    <t>ACT_REF_TCTRIM8_S2_MSB</t>
  </si>
  <si>
    <t>ACT_REF_TCTRIM8_S2_LSB</t>
  </si>
  <si>
    <t>DPSLPT_REF_TCTRIM1_S2_MSB</t>
  </si>
  <si>
    <t>DPSLPT_REF_TCTRIM1_S2_LSB</t>
  </si>
  <si>
    <t>DPSLPT_REF_TCTRIM5_S2_MSB</t>
  </si>
  <si>
    <t>DPSLPT_REF_TCTRIM5_S2_LSB</t>
  </si>
  <si>
    <t>DPSLPT_REF_TCTRIM8_S2_MSB</t>
  </si>
  <si>
    <t>DPSLPT_REF_TCTRIM8_S2_LSB</t>
  </si>
  <si>
    <t>FLL_OFF</t>
  </si>
  <si>
    <t>FLL_CONTROL</t>
  </si>
  <si>
    <t>Controls FLL settings during ROM boot</t>
  </si>
  <si>
    <t>1: Turn off FLL at the end of ROM boot 0: Retains the FLL settings</t>
  </si>
  <si>
    <t>0x4C</t>
  </si>
  <si>
    <t>TOC1_OBJECT_SIZE</t>
  </si>
  <si>
    <t>0x7804</t>
  </si>
  <si>
    <t>Object size in bytes for CRC calculation starting from offset 0x00</t>
  </si>
  <si>
    <t>0x7810</t>
  </si>
  <si>
    <t>TOC1_UNIQUE_ID_ADDR</t>
  </si>
  <si>
    <t>Address of Unique ID stored in SFLASH</t>
  </si>
  <si>
    <t>0x7814</t>
  </si>
  <si>
    <t>TOC1_FB_OBJECT_ADDR</t>
  </si>
  <si>
    <t>Addresss of FLASH Boot(FB) object that include FLASH patch also</t>
  </si>
  <si>
    <t>0x7818</t>
  </si>
  <si>
    <t>0x7C00</t>
  </si>
  <si>
    <t>TOC2_OBJECT_SIZE</t>
  </si>
  <si>
    <t>0x7C04</t>
  </si>
  <si>
    <t>TOC2_MAGIC_NUMBER</t>
  </si>
  <si>
    <t>TOC1_MAGIC_NUMBER</t>
  </si>
  <si>
    <t>0x7C08</t>
  </si>
  <si>
    <t>0x7C0C</t>
  </si>
  <si>
    <t>Magic number(0x01211219)</t>
  </si>
  <si>
    <t>Magic number(0x01211220)</t>
  </si>
  <si>
    <t>TOC2_SMIF_CFG_STRUCT_ADDR</t>
  </si>
  <si>
    <t>Null terminated table of pointers representing the SMIF configuration structure</t>
  </si>
  <si>
    <t>0x7C10</t>
  </si>
  <si>
    <t>Address of First User Application Object</t>
  </si>
  <si>
    <t>0x7C14</t>
  </si>
  <si>
    <t>TOC2_FIRST_USER_APP_ADDR</t>
  </si>
  <si>
    <t>TOC2_FIRST_USER_APP_FORMAT</t>
  </si>
  <si>
    <t>Format of First User Application Object. 0 - Basic, 1 - Cypress standard &amp; 2 - Simplified</t>
  </si>
  <si>
    <t>0x7C18</t>
  </si>
  <si>
    <t>TOC2_SECOND_USER_APP_ADDR</t>
  </si>
  <si>
    <t>Address of Second User Application Object</t>
  </si>
  <si>
    <t>0x7C1C</t>
  </si>
  <si>
    <t>TOC2_SECOND_USER_APP_FORMAT</t>
  </si>
  <si>
    <t>Format of Second User Application Object. 0 - Basic, 1 - Cypress standard &amp; 2 - Simplified</t>
  </si>
  <si>
    <t>0x7C20</t>
  </si>
  <si>
    <t>0x7C24</t>
  </si>
  <si>
    <t>TOC2_SIGNATURE_VERIF_KEY</t>
  </si>
  <si>
    <t>Address of  signature verification key (0 if none).The object is signature specific key. It is the public key in case of RSA</t>
  </si>
  <si>
    <t>NORMAL_ACCESS_CTL</t>
  </si>
  <si>
    <t>Specifies if Normal Access Restriction can be modified to be less restrictive</t>
  </si>
  <si>
    <t>ACCESS_WIDEN_ENABLE</t>
  </si>
  <si>
    <t>1: Enable
0: Disable</t>
  </si>
  <si>
    <t>Public Key</t>
  </si>
  <si>
    <t>PUBLIC_KEY</t>
  </si>
  <si>
    <t>Public key for signature verification (max RSA key size 4096)</t>
  </si>
  <si>
    <t>Secure boot requirement</t>
  </si>
  <si>
    <t>WORD_ALIGN_PADDING</t>
  </si>
  <si>
    <t>APP_ID</t>
  </si>
  <si>
    <t>MINOR_VERSION</t>
  </si>
  <si>
    <t>MAJOR_VERSION</t>
  </si>
  <si>
    <t>23:16</t>
  </si>
  <si>
    <t>27:24</t>
  </si>
  <si>
    <t>Row 51</t>
  </si>
  <si>
    <t>Row 52</t>
  </si>
  <si>
    <t>Row 53</t>
  </si>
  <si>
    <t>Row 54</t>
  </si>
  <si>
    <t>Row 55</t>
  </si>
  <si>
    <t>Row 56</t>
  </si>
  <si>
    <t>Row 57</t>
  </si>
  <si>
    <t>Row 58</t>
  </si>
  <si>
    <t>Row 59</t>
  </si>
  <si>
    <t>Row 60</t>
  </si>
  <si>
    <t>Row 61</t>
  </si>
  <si>
    <t>Row 62</t>
  </si>
  <si>
    <t>Row 63</t>
  </si>
  <si>
    <t>Table Of Contents</t>
  </si>
  <si>
    <t>TOC1</t>
  </si>
  <si>
    <t>TOC2</t>
  </si>
  <si>
    <t>Table of Content part 1</t>
  </si>
  <si>
    <t>Table of Content part 2</t>
  </si>
  <si>
    <t>0x1A00</t>
  </si>
  <si>
    <t>13</t>
  </si>
  <si>
    <t>Table of contents</t>
  </si>
  <si>
    <t>60-63</t>
  </si>
  <si>
    <t>Firmware may change this value after manufacture (can be updated in NORMAL state)</t>
  </si>
  <si>
    <t>FLASH_BOOT_OBJECT_SIZE</t>
  </si>
  <si>
    <t>Flash Boot - Object Size</t>
  </si>
  <si>
    <t>FLASH_BOOT_APP_ID</t>
  </si>
  <si>
    <t>Flash Boot - Application ID/Version</t>
  </si>
  <si>
    <t>Flash Boot - Reserved for future use. Should be zero for now</t>
  </si>
  <si>
    <t>FLASH_BOOT_N_CORES</t>
  </si>
  <si>
    <t>Flash Boot - Number of Cores(N)</t>
  </si>
  <si>
    <t>FLASH_BOOT_VT_OFFSET</t>
  </si>
  <si>
    <t>Flash Boot - Core Vector Table offset</t>
  </si>
  <si>
    <t>FLASH_BOOT_CORE_CPUID</t>
  </si>
  <si>
    <t>Flash Boot - Core CPU ID/Core Index</t>
  </si>
  <si>
    <t>Flash Boot - Core0 Vector Table. Note that FLASH boot stack pointer needs to be updated accordingly when SRAM wounding is applied.</t>
  </si>
  <si>
    <t>FLASH_BOOT_OBJECT_SIZE0</t>
  </si>
  <si>
    <t>FLASH_BOOT_OBJECT_SIZE1</t>
  </si>
  <si>
    <t>FLASH_BOOT_OBJECT_SIZE2</t>
  </si>
  <si>
    <t>FLASH_BOOT_OBJECT_SIZE3</t>
  </si>
  <si>
    <t>FLASH_BOOT_APP_ID0</t>
  </si>
  <si>
    <t>FLASH_BOOT_APP_ID1</t>
  </si>
  <si>
    <t>FLASH_BOOT_APP_ID2</t>
  </si>
  <si>
    <t>FLASH_BOOT_APP_ID3</t>
  </si>
  <si>
    <t>FLASH_BOOT_N_CORES0</t>
  </si>
  <si>
    <t>FLASH_BOOT_N_CORES1</t>
  </si>
  <si>
    <t>FLASH_BOOT_N_CORES2</t>
  </si>
  <si>
    <t>FLASH_BOOT_N_CORES3</t>
  </si>
  <si>
    <t>FLASH_BOOT_VT_OFFSET0</t>
  </si>
  <si>
    <t>FLASH_BOOT_VT_OFFSET1</t>
  </si>
  <si>
    <t>FLASH_BOOT_VT_OFFSET2</t>
  </si>
  <si>
    <t>FLASH_BOOT_VT_OFFSET3</t>
  </si>
  <si>
    <t>FLASH_BOOT_CORE_CPUID0</t>
  </si>
  <si>
    <t>FLASH_BOOT_CORE_CPUID1</t>
  </si>
  <si>
    <t>FLASH_BOOT_CORE_CPUID2</t>
  </si>
  <si>
    <t>FLASH_BOOT_CORE_CPUID3</t>
  </si>
  <si>
    <t>0x84</t>
  </si>
  <si>
    <t>1024 bytes/row</t>
  </si>
  <si>
    <t>512 bytes/row</t>
  </si>
  <si>
    <t>SONOS Flash is used or not ('0': no, '1': yes)</t>
  </si>
  <si>
    <t>FLASHC_IS_SONOS</t>
  </si>
  <si>
    <t>0x69</t>
  </si>
  <si>
    <t>0x73</t>
  </si>
  <si>
    <t>0x61</t>
  </si>
  <si>
    <t>0x85</t>
  </si>
  <si>
    <t>0x93</t>
  </si>
  <si>
    <t>0x11</t>
  </si>
  <si>
    <t>0x13</t>
  </si>
  <si>
    <t>0x14</t>
  </si>
  <si>
    <t>0x15</t>
  </si>
  <si>
    <t>0x24</t>
  </si>
  <si>
    <t>0x27</t>
  </si>
  <si>
    <t>0x29</t>
  </si>
  <si>
    <t>0x35</t>
  </si>
  <si>
    <t>0x36</t>
  </si>
  <si>
    <t>0x37</t>
  </si>
  <si>
    <t>0x39</t>
  </si>
  <si>
    <t>0x46</t>
  </si>
  <si>
    <t>0x51</t>
  </si>
  <si>
    <t>0x53</t>
  </si>
  <si>
    <t>0x54</t>
  </si>
  <si>
    <t>0x55</t>
  </si>
  <si>
    <t>0x56</t>
  </si>
  <si>
    <t>0x57</t>
  </si>
  <si>
    <t>0x58</t>
  </si>
  <si>
    <t>0x59</t>
  </si>
  <si>
    <t>0x62</t>
  </si>
  <si>
    <t>0x63</t>
  </si>
  <si>
    <t>0x64</t>
  </si>
  <si>
    <t>0x65</t>
  </si>
  <si>
    <t>0x72</t>
  </si>
  <si>
    <t>0x74</t>
  </si>
  <si>
    <t>0x75</t>
  </si>
  <si>
    <t>0x76</t>
  </si>
  <si>
    <t>0x77</t>
  </si>
  <si>
    <t>0x79</t>
  </si>
  <si>
    <t>0x82</t>
  </si>
  <si>
    <t>0x83</t>
  </si>
  <si>
    <t>0x86</t>
  </si>
  <si>
    <t>0x87</t>
  </si>
  <si>
    <t>0x89</t>
  </si>
  <si>
    <t>0x90</t>
  </si>
  <si>
    <t>0x92</t>
  </si>
  <si>
    <t>0x94</t>
  </si>
  <si>
    <t>0x95</t>
  </si>
  <si>
    <t>0x96</t>
  </si>
  <si>
    <t>0x98</t>
  </si>
  <si>
    <t>0x99</t>
  </si>
  <si>
    <t>Used to copy FLASH boot into respective product bytemap. CDT-279932</t>
  </si>
  <si>
    <t>NORMAL_DEAD_ACCESS_RESTRICTIONS</t>
  </si>
  <si>
    <t>Updated in VIRGIN/NORMAL lifecycle stage</t>
  </si>
  <si>
    <t>1:0</t>
  </si>
  <si>
    <t>AP_CTL_CM0_DISABLE</t>
  </si>
  <si>
    <t>3:2</t>
  </si>
  <si>
    <t>AP_CTL_CM4_DISABLE</t>
  </si>
  <si>
    <t>AP_CTL_SYS_DISABLE</t>
  </si>
  <si>
    <t>6</t>
  </si>
  <si>
    <t>15:14</t>
  </si>
  <si>
    <t>WORK_FLASH_ALLOWED</t>
  </si>
  <si>
    <t>17:16</t>
  </si>
  <si>
    <t>19:18</t>
  </si>
  <si>
    <t xml:space="preserve"> 20</t>
  </si>
  <si>
    <t>Indicates access restrictions to be applied on DAP in NORMAL DEAD state</t>
  </si>
  <si>
    <t>Boot Protection Settings</t>
  </si>
  <si>
    <t>BOOT_PROT_SETTINGS</t>
  </si>
  <si>
    <t>Boot protection settings</t>
  </si>
  <si>
    <t>APP_PROT_SETTINGS</t>
  </si>
  <si>
    <t>Boot (General trim table)</t>
  </si>
  <si>
    <t>Boot (Silicon ID)</t>
  </si>
  <si>
    <t>TVIIBE1M</t>
  </si>
  <si>
    <t>SINGLE_CORE_WOUND</t>
  </si>
  <si>
    <t>0x1700_0002</t>
  </si>
  <si>
    <t>0x1700_0004</t>
  </si>
  <si>
    <t>0x1700_200</t>
  </si>
  <si>
    <t>0x1700_0600</t>
  </si>
  <si>
    <t>0x1700_0603</t>
  </si>
  <si>
    <t>0x1700_0604</t>
  </si>
  <si>
    <t>0x1700_0605</t>
  </si>
  <si>
    <t>0x1700_0606</t>
  </si>
  <si>
    <t>0x1700_0607</t>
  </si>
  <si>
    <t>0x1700_0608</t>
  </si>
  <si>
    <t>0x1700_0609</t>
  </si>
  <si>
    <t>0x1700_060A</t>
  </si>
  <si>
    <t>0x1700_0800</t>
  </si>
  <si>
    <t>0x1700_0A00</t>
  </si>
  <si>
    <t>0x1700_0C00</t>
  </si>
  <si>
    <t>0x1700_0E00</t>
  </si>
  <si>
    <t>0x1700_066C</t>
  </si>
  <si>
    <t>0x1700_1800</t>
  </si>
  <si>
    <t>0x1700_2000</t>
  </si>
  <si>
    <t>0x1700_2004</t>
  </si>
  <si>
    <t>0x1700_2008</t>
  </si>
  <si>
    <t>0x1700_200C</t>
  </si>
  <si>
    <t>0x1700_2010</t>
  </si>
  <si>
    <t>0x1700_2014</t>
  </si>
  <si>
    <t>0x1700_2018</t>
  </si>
  <si>
    <t>0x1700_20D8</t>
  </si>
  <si>
    <t>CLK_TRIM_PLL_CTL0_VAL0</t>
  </si>
  <si>
    <t>CLK_TRIM_PLL_CTL0_VAL1</t>
  </si>
  <si>
    <t>CLK_TRIM_PLL_CTL0_VAL2</t>
  </si>
  <si>
    <t>CLK_TRIM_PLL_CTL0_VAL3</t>
  </si>
  <si>
    <t>0x781C</t>
  </si>
  <si>
    <t>TOC1_BOOT_PROTECTION_ADDR</t>
  </si>
  <si>
    <t>Address of boot protection object</t>
  </si>
  <si>
    <t>0x7820</t>
  </si>
  <si>
    <t>0x1700_0200</t>
  </si>
  <si>
    <t>0x1700_7800</t>
  </si>
  <si>
    <t>TOC1_FHASH_OBJECTS</t>
  </si>
  <si>
    <t>TOC2_SHASH_OBJECTS</t>
  </si>
  <si>
    <t>contains row level protection Bytes , MasterAttribute-MPU-SMPU-PPU settings , HASH header</t>
  </si>
  <si>
    <t>Refer 8.2.11 Protection settings SAS RevI.</t>
  </si>
  <si>
    <t>FLASH Boot (header, code segment)</t>
  </si>
  <si>
    <t>SI_REVISION_ID</t>
  </si>
  <si>
    <t>Silicon Revision ID</t>
  </si>
  <si>
    <t>FAMILY_ID</t>
  </si>
  <si>
    <t>Indicates Family ID of the device</t>
  </si>
  <si>
    <t>Indicates Silicon ID of the device</t>
  </si>
  <si>
    <t>Indicates Silicon Revision ID of the device</t>
  </si>
  <si>
    <t>Used to store Silicon Revision ID</t>
  </si>
  <si>
    <t>0x2F</t>
  </si>
  <si>
    <t>1700_0000</t>
  </si>
  <si>
    <t>1700_0200</t>
  </si>
  <si>
    <t>1700_0400</t>
  </si>
  <si>
    <t>1700_0600</t>
  </si>
  <si>
    <t>1700_0800</t>
  </si>
  <si>
    <t>1700_0A00</t>
  </si>
  <si>
    <t>1700_0C00</t>
  </si>
  <si>
    <t>1700_0E00</t>
  </si>
  <si>
    <t>1700_1000</t>
  </si>
  <si>
    <t>1700_1200</t>
  </si>
  <si>
    <t>1700_1400</t>
  </si>
  <si>
    <t>1700_1600</t>
  </si>
  <si>
    <t>1700_1800</t>
  </si>
  <si>
    <t>1700_1A00</t>
  </si>
  <si>
    <t>1700_1C00</t>
  </si>
  <si>
    <t>1700_1E00</t>
  </si>
  <si>
    <t>1700_2000</t>
  </si>
  <si>
    <t>1700_2200</t>
  </si>
  <si>
    <t>1700_2400</t>
  </si>
  <si>
    <t>1700_2600</t>
  </si>
  <si>
    <t>1700_2800</t>
  </si>
  <si>
    <t>1700_2A00</t>
  </si>
  <si>
    <t>1700_2C00</t>
  </si>
  <si>
    <t>1700_2E00</t>
  </si>
  <si>
    <t>1700_3000</t>
  </si>
  <si>
    <t>1700_3200</t>
  </si>
  <si>
    <t>1700_3400</t>
  </si>
  <si>
    <t>1700_3600</t>
  </si>
  <si>
    <t>1700_3800</t>
  </si>
  <si>
    <t>1700_3A00</t>
  </si>
  <si>
    <t>1700_3C00</t>
  </si>
  <si>
    <t>1700_3E00</t>
  </si>
  <si>
    <t>1700_4000</t>
  </si>
  <si>
    <t>1700_4200</t>
  </si>
  <si>
    <t>1700_4400</t>
  </si>
  <si>
    <t>1700_4600</t>
  </si>
  <si>
    <t>1700_4800</t>
  </si>
  <si>
    <t>1700_4A00</t>
  </si>
  <si>
    <t>1700_4C00</t>
  </si>
  <si>
    <t>1700_4E00</t>
  </si>
  <si>
    <t>1700_5000</t>
  </si>
  <si>
    <t>1700_5200</t>
  </si>
  <si>
    <t>1700_5400</t>
  </si>
  <si>
    <t>1700_5600</t>
  </si>
  <si>
    <t>1700_5800</t>
  </si>
  <si>
    <t>1700_5A00</t>
  </si>
  <si>
    <t>1700_5C00</t>
  </si>
  <si>
    <t>1700_5E00</t>
  </si>
  <si>
    <t>1700_6000</t>
  </si>
  <si>
    <t>1700_6200</t>
  </si>
  <si>
    <t>1700_6400</t>
  </si>
  <si>
    <t>1700_6600</t>
  </si>
  <si>
    <t>PU_OBJECT_SIZE</t>
  </si>
  <si>
    <t>1700_6800</t>
  </si>
  <si>
    <t>Boot Protection</t>
  </si>
  <si>
    <t>1700_6A00</t>
  </si>
  <si>
    <t>1700_6C00</t>
  </si>
  <si>
    <t>1700_6E00</t>
  </si>
  <si>
    <t>1700_7000</t>
  </si>
  <si>
    <t>1700_7200</t>
  </si>
  <si>
    <t>1700_7400</t>
  </si>
  <si>
    <t>1700_7600</t>
  </si>
  <si>
    <t>1700_7800</t>
  </si>
  <si>
    <t>1700_7A00</t>
  </si>
  <si>
    <t>1700_7C00</t>
  </si>
  <si>
    <t>1700_7E00</t>
  </si>
  <si>
    <t>1700_0001</t>
  </si>
  <si>
    <t>1700_0201</t>
  </si>
  <si>
    <t>1700_0401</t>
  </si>
  <si>
    <t>1700_0601</t>
  </si>
  <si>
    <t>1700_0801</t>
  </si>
  <si>
    <t>1700_0A01</t>
  </si>
  <si>
    <t>1700_0C01</t>
  </si>
  <si>
    <t>1700_0E01</t>
  </si>
  <si>
    <t>1700_1001</t>
  </si>
  <si>
    <t>1700_1201</t>
  </si>
  <si>
    <t>1700_1401</t>
  </si>
  <si>
    <t>1700_1601</t>
  </si>
  <si>
    <t>1700_1801</t>
  </si>
  <si>
    <t>1700_1A01</t>
  </si>
  <si>
    <t>1700_1C01</t>
  </si>
  <si>
    <t>1700_1E01</t>
  </si>
  <si>
    <t>1700_2001</t>
  </si>
  <si>
    <t>1700_2201</t>
  </si>
  <si>
    <t>1700_2401</t>
  </si>
  <si>
    <t>1700_2601</t>
  </si>
  <si>
    <t>1700_2801</t>
  </si>
  <si>
    <t>1700_2A01</t>
  </si>
  <si>
    <t>1700_2C01</t>
  </si>
  <si>
    <t>1700_2E01</t>
  </si>
  <si>
    <t>1700_3001</t>
  </si>
  <si>
    <t>1700_3201</t>
  </si>
  <si>
    <t>1700_3401</t>
  </si>
  <si>
    <t>1700_3601</t>
  </si>
  <si>
    <t>1700_3801</t>
  </si>
  <si>
    <t>1700_3A01</t>
  </si>
  <si>
    <t>1700_3C01</t>
  </si>
  <si>
    <t>1700_3E01</t>
  </si>
  <si>
    <t>1700_4001</t>
  </si>
  <si>
    <t>1700_4201</t>
  </si>
  <si>
    <t>1700_4401</t>
  </si>
  <si>
    <t>1700_4601</t>
  </si>
  <si>
    <t>1700_4801</t>
  </si>
  <si>
    <t>1700_4A01</t>
  </si>
  <si>
    <t>1700_4C01</t>
  </si>
  <si>
    <t>1700_4E01</t>
  </si>
  <si>
    <t>1700_5001</t>
  </si>
  <si>
    <t>1700_5201</t>
  </si>
  <si>
    <t>1700_5401</t>
  </si>
  <si>
    <t>1700_5601</t>
  </si>
  <si>
    <t>1700_5801</t>
  </si>
  <si>
    <t>1700_5A01</t>
  </si>
  <si>
    <t>1700_5C01</t>
  </si>
  <si>
    <t>1700_5E01</t>
  </si>
  <si>
    <t>1700_6001</t>
  </si>
  <si>
    <t>1700_6201</t>
  </si>
  <si>
    <t>1700_6401</t>
  </si>
  <si>
    <t>1700_6601</t>
  </si>
  <si>
    <t>1700_6801</t>
  </si>
  <si>
    <t>1700_6A01</t>
  </si>
  <si>
    <t>1700_6C01</t>
  </si>
  <si>
    <t>1700_6E01</t>
  </si>
  <si>
    <t>1700_7001</t>
  </si>
  <si>
    <t>1700_7201</t>
  </si>
  <si>
    <t>1700_7401</t>
  </si>
  <si>
    <t>1700_7601</t>
  </si>
  <si>
    <t>1700_7801</t>
  </si>
  <si>
    <t>1700_7A01</t>
  </si>
  <si>
    <t>1700_7C01</t>
  </si>
  <si>
    <t>1700_7E01</t>
  </si>
  <si>
    <t>1700_0002</t>
  </si>
  <si>
    <t>1700_0202</t>
  </si>
  <si>
    <t>1700_0402</t>
  </si>
  <si>
    <t>1700_0602</t>
  </si>
  <si>
    <t>1700_0802</t>
  </si>
  <si>
    <t>1700_0A02</t>
  </si>
  <si>
    <t>1700_0C02</t>
  </si>
  <si>
    <t>1700_0E02</t>
  </si>
  <si>
    <t>1700_1002</t>
  </si>
  <si>
    <t>1700_1202</t>
  </si>
  <si>
    <t>1700_1402</t>
  </si>
  <si>
    <t>1700_1602</t>
  </si>
  <si>
    <t>1700_1802</t>
  </si>
  <si>
    <t>1700_1A02</t>
  </si>
  <si>
    <t>1700_1C02</t>
  </si>
  <si>
    <t>1700_1E02</t>
  </si>
  <si>
    <t>1700_2002</t>
  </si>
  <si>
    <t>1700_2202</t>
  </si>
  <si>
    <t>1700_2402</t>
  </si>
  <si>
    <t>1700_2602</t>
  </si>
  <si>
    <t>1700_2802</t>
  </si>
  <si>
    <t>1700_2A02</t>
  </si>
  <si>
    <t>1700_2C02</t>
  </si>
  <si>
    <t>1700_2E02</t>
  </si>
  <si>
    <t>1700_3002</t>
  </si>
  <si>
    <t>1700_3202</t>
  </si>
  <si>
    <t>1700_3402</t>
  </si>
  <si>
    <t>1700_3602</t>
  </si>
  <si>
    <t>1700_3802</t>
  </si>
  <si>
    <t>1700_3A02</t>
  </si>
  <si>
    <t>1700_3C02</t>
  </si>
  <si>
    <t>1700_3E02</t>
  </si>
  <si>
    <t>1700_4002</t>
  </si>
  <si>
    <t>1700_4202</t>
  </si>
  <si>
    <t>1700_4402</t>
  </si>
  <si>
    <t>1700_4602</t>
  </si>
  <si>
    <t>1700_4802</t>
  </si>
  <si>
    <t>1700_4A02</t>
  </si>
  <si>
    <t>1700_4C02</t>
  </si>
  <si>
    <t>1700_4E02</t>
  </si>
  <si>
    <t>1700_5002</t>
  </si>
  <si>
    <t>1700_5202</t>
  </si>
  <si>
    <t>1700_5402</t>
  </si>
  <si>
    <t>1700_5602</t>
  </si>
  <si>
    <t>1700_5802</t>
  </si>
  <si>
    <t>1700_5A02</t>
  </si>
  <si>
    <t>1700_5C02</t>
  </si>
  <si>
    <t>1700_5E02</t>
  </si>
  <si>
    <t>1700_6002</t>
  </si>
  <si>
    <t>1700_6202</t>
  </si>
  <si>
    <t>1700_6402</t>
  </si>
  <si>
    <t>1700_6602</t>
  </si>
  <si>
    <t>1700_6802</t>
  </si>
  <si>
    <t>1700_6A02</t>
  </si>
  <si>
    <t>1700_6C02</t>
  </si>
  <si>
    <t>1700_6E02</t>
  </si>
  <si>
    <t>1700_7002</t>
  </si>
  <si>
    <t>1700_7202</t>
  </si>
  <si>
    <t>1700_7402</t>
  </si>
  <si>
    <t>1700_7602</t>
  </si>
  <si>
    <t>1700_7802</t>
  </si>
  <si>
    <t>1700_7A02</t>
  </si>
  <si>
    <t>1700_7C02</t>
  </si>
  <si>
    <t>1700_7E02</t>
  </si>
  <si>
    <t>1700_0003</t>
  </si>
  <si>
    <t>0xE3</t>
  </si>
  <si>
    <t>1700_0203</t>
  </si>
  <si>
    <t>1700_0403</t>
  </si>
  <si>
    <t>1700_0603</t>
  </si>
  <si>
    <t>1700_0803</t>
  </si>
  <si>
    <t>1700_0A03</t>
  </si>
  <si>
    <t>1700_0C03</t>
  </si>
  <si>
    <t>1700_0E03</t>
  </si>
  <si>
    <t>1700_1003</t>
  </si>
  <si>
    <t>1700_1203</t>
  </si>
  <si>
    <t>1700_1403</t>
  </si>
  <si>
    <t>1700_1603</t>
  </si>
  <si>
    <t>1700_1803</t>
  </si>
  <si>
    <t>1700_1A03</t>
  </si>
  <si>
    <t>1700_1C03</t>
  </si>
  <si>
    <t>1700_1E03</t>
  </si>
  <si>
    <t>1700_2003</t>
  </si>
  <si>
    <t>1700_2203</t>
  </si>
  <si>
    <t>1700_2403</t>
  </si>
  <si>
    <t>1700_2603</t>
  </si>
  <si>
    <t>1700_2803</t>
  </si>
  <si>
    <t>1700_2A03</t>
  </si>
  <si>
    <t>1700_2C03</t>
  </si>
  <si>
    <t>1700_2E03</t>
  </si>
  <si>
    <t>1700_3003</t>
  </si>
  <si>
    <t>1700_3203</t>
  </si>
  <si>
    <t>1700_3403</t>
  </si>
  <si>
    <t>1700_3603</t>
  </si>
  <si>
    <t>1700_3803</t>
  </si>
  <si>
    <t>1700_3A03</t>
  </si>
  <si>
    <t>1700_3C03</t>
  </si>
  <si>
    <t>1700_3E03</t>
  </si>
  <si>
    <t>1700_4003</t>
  </si>
  <si>
    <t>1700_4203</t>
  </si>
  <si>
    <t>1700_4403</t>
  </si>
  <si>
    <t>1700_4603</t>
  </si>
  <si>
    <t>1700_4803</t>
  </si>
  <si>
    <t>1700_4A03</t>
  </si>
  <si>
    <t>1700_4C03</t>
  </si>
  <si>
    <t>1700_4E03</t>
  </si>
  <si>
    <t>1700_5003</t>
  </si>
  <si>
    <t>1700_5203</t>
  </si>
  <si>
    <t>1700_5403</t>
  </si>
  <si>
    <t>1700_5603</t>
  </si>
  <si>
    <t>1700_5803</t>
  </si>
  <si>
    <t>1700_5A03</t>
  </si>
  <si>
    <t>1700_5C03</t>
  </si>
  <si>
    <t>1700_5E03</t>
  </si>
  <si>
    <t>1700_6003</t>
  </si>
  <si>
    <t>1700_6203</t>
  </si>
  <si>
    <t>1700_6403</t>
  </si>
  <si>
    <t>1700_6603</t>
  </si>
  <si>
    <t>1700_6803</t>
  </si>
  <si>
    <t>1700_6A03</t>
  </si>
  <si>
    <t>1700_6C03</t>
  </si>
  <si>
    <t>1700_6E03</t>
  </si>
  <si>
    <t>1700_7003</t>
  </si>
  <si>
    <t>1700_7203</t>
  </si>
  <si>
    <t>1700_7403</t>
  </si>
  <si>
    <t>1700_7603</t>
  </si>
  <si>
    <t>1700_7803</t>
  </si>
  <si>
    <t>1700_7A03</t>
  </si>
  <si>
    <t>1700_7C03</t>
  </si>
  <si>
    <t>1700_7E03</t>
  </si>
  <si>
    <t>1700_0004</t>
  </si>
  <si>
    <t>1700_0204</t>
  </si>
  <si>
    <t>1700_0404</t>
  </si>
  <si>
    <t>1700_0604</t>
  </si>
  <si>
    <t>1700_0804</t>
  </si>
  <si>
    <t>1700_0A04</t>
  </si>
  <si>
    <t>1700_0C04</t>
  </si>
  <si>
    <t>1700_0E04</t>
  </si>
  <si>
    <t>1700_1004</t>
  </si>
  <si>
    <t>1700_1204</t>
  </si>
  <si>
    <t>1700_1404</t>
  </si>
  <si>
    <t>1700_1604</t>
  </si>
  <si>
    <t>1700_1804</t>
  </si>
  <si>
    <t>1700_1A04</t>
  </si>
  <si>
    <t>1700_1C04</t>
  </si>
  <si>
    <t>1700_1E04</t>
  </si>
  <si>
    <t>1700_2004</t>
  </si>
  <si>
    <t>1700_2204</t>
  </si>
  <si>
    <t>1700_2404</t>
  </si>
  <si>
    <t>1700_2604</t>
  </si>
  <si>
    <t>1700_2804</t>
  </si>
  <si>
    <t>1700_2A04</t>
  </si>
  <si>
    <t>1700_2C04</t>
  </si>
  <si>
    <t>1700_2E04</t>
  </si>
  <si>
    <t>1700_3004</t>
  </si>
  <si>
    <t>1700_3204</t>
  </si>
  <si>
    <t>1700_3404</t>
  </si>
  <si>
    <t>1700_3604</t>
  </si>
  <si>
    <t>1700_3804</t>
  </si>
  <si>
    <t>1700_3A04</t>
  </si>
  <si>
    <t>1700_3C04</t>
  </si>
  <si>
    <t>1700_3E04</t>
  </si>
  <si>
    <t>1700_4004</t>
  </si>
  <si>
    <t>1700_4204</t>
  </si>
  <si>
    <t>1700_4404</t>
  </si>
  <si>
    <t>1700_4604</t>
  </si>
  <si>
    <t>1700_4804</t>
  </si>
  <si>
    <t>1700_4A04</t>
  </si>
  <si>
    <t>1700_4C04</t>
  </si>
  <si>
    <t>1700_4E04</t>
  </si>
  <si>
    <t>1700_5004</t>
  </si>
  <si>
    <t>1700_5204</t>
  </si>
  <si>
    <t>1700_5404</t>
  </si>
  <si>
    <t>1700_5604</t>
  </si>
  <si>
    <t>1700_5804</t>
  </si>
  <si>
    <t>1700_5A04</t>
  </si>
  <si>
    <t>1700_5C04</t>
  </si>
  <si>
    <t>1700_5E04</t>
  </si>
  <si>
    <t>1700_6004</t>
  </si>
  <si>
    <t>1700_6204</t>
  </si>
  <si>
    <t>1700_6404</t>
  </si>
  <si>
    <t>1700_6604</t>
  </si>
  <si>
    <t>N_SMPU0</t>
  </si>
  <si>
    <t>1700_6804</t>
  </si>
  <si>
    <t>1700_6A04</t>
  </si>
  <si>
    <t>1700_6C04</t>
  </si>
  <si>
    <t>1700_6E04</t>
  </si>
  <si>
    <t>1700_7004</t>
  </si>
  <si>
    <t>1700_7204</t>
  </si>
  <si>
    <t>1700_7404</t>
  </si>
  <si>
    <t>1700_7604</t>
  </si>
  <si>
    <t>1700_7804</t>
  </si>
  <si>
    <t>1700_7A04</t>
  </si>
  <si>
    <t>1700_7C04</t>
  </si>
  <si>
    <t>1700_7E04</t>
  </si>
  <si>
    <t>1700_0005</t>
  </si>
  <si>
    <t>1700_0205</t>
  </si>
  <si>
    <t>1700_0405</t>
  </si>
  <si>
    <t>1700_0605</t>
  </si>
  <si>
    <t>1700_0805</t>
  </si>
  <si>
    <t>1700_0A05</t>
  </si>
  <si>
    <t>1700_0C05</t>
  </si>
  <si>
    <t>1700_0E05</t>
  </si>
  <si>
    <t>1700_1005</t>
  </si>
  <si>
    <t>1700_1205</t>
  </si>
  <si>
    <t>1700_1405</t>
  </si>
  <si>
    <t>1700_1605</t>
  </si>
  <si>
    <t>1700_1805</t>
  </si>
  <si>
    <t>1700_1A05</t>
  </si>
  <si>
    <t>1700_1C05</t>
  </si>
  <si>
    <t>1700_1E05</t>
  </si>
  <si>
    <t>1700_2005</t>
  </si>
  <si>
    <t>1700_2205</t>
  </si>
  <si>
    <t>1700_2405</t>
  </si>
  <si>
    <t>1700_2605</t>
  </si>
  <si>
    <t>1700_2805</t>
  </si>
  <si>
    <t>1700_2A05</t>
  </si>
  <si>
    <t>1700_2C05</t>
  </si>
  <si>
    <t>1700_2E05</t>
  </si>
  <si>
    <t>1700_3005</t>
  </si>
  <si>
    <t>1700_3205</t>
  </si>
  <si>
    <t>1700_3405</t>
  </si>
  <si>
    <t>1700_3605</t>
  </si>
  <si>
    <t>1700_3805</t>
  </si>
  <si>
    <t>1700_3A05</t>
  </si>
  <si>
    <t>1700_3C05</t>
  </si>
  <si>
    <t>1700_3E05</t>
  </si>
  <si>
    <t>1700_4005</t>
  </si>
  <si>
    <t>1700_4205</t>
  </si>
  <si>
    <t>1700_4405</t>
  </si>
  <si>
    <t>1700_4605</t>
  </si>
  <si>
    <t>1700_4805</t>
  </si>
  <si>
    <t>1700_4A05</t>
  </si>
  <si>
    <t>1700_4C05</t>
  </si>
  <si>
    <t>1700_4E05</t>
  </si>
  <si>
    <t>1700_5005</t>
  </si>
  <si>
    <t>1700_5205</t>
  </si>
  <si>
    <t>1700_5405</t>
  </si>
  <si>
    <t>1700_5605</t>
  </si>
  <si>
    <t>1700_5805</t>
  </si>
  <si>
    <t>1700_5A05</t>
  </si>
  <si>
    <t>1700_5C05</t>
  </si>
  <si>
    <t>1700_5E05</t>
  </si>
  <si>
    <t>1700_6005</t>
  </si>
  <si>
    <t>1700_6205</t>
  </si>
  <si>
    <t>1700_6405</t>
  </si>
  <si>
    <t>1700_6605</t>
  </si>
  <si>
    <t>N_SMPU1</t>
  </si>
  <si>
    <t>1700_6805</t>
  </si>
  <si>
    <t>1700_6A05</t>
  </si>
  <si>
    <t>1700_6C05</t>
  </si>
  <si>
    <t>1700_6E05</t>
  </si>
  <si>
    <t>1700_7005</t>
  </si>
  <si>
    <t>1700_7205</t>
  </si>
  <si>
    <t>1700_7405</t>
  </si>
  <si>
    <t>1700_7605</t>
  </si>
  <si>
    <t>1700_7805</t>
  </si>
  <si>
    <t>1700_7A05</t>
  </si>
  <si>
    <t>1700_7C05</t>
  </si>
  <si>
    <t>1700_7E05</t>
  </si>
  <si>
    <t>1700_0006</t>
  </si>
  <si>
    <t>1700_0206</t>
  </si>
  <si>
    <t>1700_0406</t>
  </si>
  <si>
    <t>1700_0606</t>
  </si>
  <si>
    <t>1700_0806</t>
  </si>
  <si>
    <t>1700_0A06</t>
  </si>
  <si>
    <t>1700_0C06</t>
  </si>
  <si>
    <t>1700_0E06</t>
  </si>
  <si>
    <t>1700_1006</t>
  </si>
  <si>
    <t>1700_1206</t>
  </si>
  <si>
    <t>1700_1406</t>
  </si>
  <si>
    <t>1700_1606</t>
  </si>
  <si>
    <t>1700_1806</t>
  </si>
  <si>
    <t>1700_1A06</t>
  </si>
  <si>
    <t>1700_1C06</t>
  </si>
  <si>
    <t>1700_1E06</t>
  </si>
  <si>
    <t>1700_2006</t>
  </si>
  <si>
    <t>1700_2206</t>
  </si>
  <si>
    <t>1700_2406</t>
  </si>
  <si>
    <t>1700_2606</t>
  </si>
  <si>
    <t>1700_2806</t>
  </si>
  <si>
    <t>1700_2A06</t>
  </si>
  <si>
    <t>1700_2C06</t>
  </si>
  <si>
    <t>1700_2E06</t>
  </si>
  <si>
    <t>1700_3006</t>
  </si>
  <si>
    <t>1700_3206</t>
  </si>
  <si>
    <t>1700_3406</t>
  </si>
  <si>
    <t>1700_3606</t>
  </si>
  <si>
    <t>1700_3806</t>
  </si>
  <si>
    <t>1700_3A06</t>
  </si>
  <si>
    <t>1700_3C06</t>
  </si>
  <si>
    <t>1700_3E06</t>
  </si>
  <si>
    <t>1700_4006</t>
  </si>
  <si>
    <t>1700_4206</t>
  </si>
  <si>
    <t>1700_4406</t>
  </si>
  <si>
    <t>1700_4606</t>
  </si>
  <si>
    <t>1700_4806</t>
  </si>
  <si>
    <t>1700_4A06</t>
  </si>
  <si>
    <t>1700_4C06</t>
  </si>
  <si>
    <t>1700_4E06</t>
  </si>
  <si>
    <t>1700_5006</t>
  </si>
  <si>
    <t>1700_5206</t>
  </si>
  <si>
    <t>1700_5406</t>
  </si>
  <si>
    <t>1700_5606</t>
  </si>
  <si>
    <t>1700_5806</t>
  </si>
  <si>
    <t>1700_5A06</t>
  </si>
  <si>
    <t>1700_5C06</t>
  </si>
  <si>
    <t>1700_5E06</t>
  </si>
  <si>
    <t>1700_6006</t>
  </si>
  <si>
    <t>1700_6206</t>
  </si>
  <si>
    <t>1700_6406</t>
  </si>
  <si>
    <t>1700_6606</t>
  </si>
  <si>
    <t>N_SMPU2</t>
  </si>
  <si>
    <t>1700_6806</t>
  </si>
  <si>
    <t>1700_6A06</t>
  </si>
  <si>
    <t>1700_6C06</t>
  </si>
  <si>
    <t>1700_6E06</t>
  </si>
  <si>
    <t>1700_7006</t>
  </si>
  <si>
    <t>1700_7206</t>
  </si>
  <si>
    <t>1700_7406</t>
  </si>
  <si>
    <t>1700_7606</t>
  </si>
  <si>
    <t>1700_7806</t>
  </si>
  <si>
    <t>1700_7A06</t>
  </si>
  <si>
    <t>1700_7C06</t>
  </si>
  <si>
    <t>1700_7E06</t>
  </si>
  <si>
    <t>1700_0007</t>
  </si>
  <si>
    <t>1700_0207</t>
  </si>
  <si>
    <t>1700_0407</t>
  </si>
  <si>
    <t>1700_0607</t>
  </si>
  <si>
    <t>1700_0807</t>
  </si>
  <si>
    <t>1700_0A07</t>
  </si>
  <si>
    <t>1700_0C07</t>
  </si>
  <si>
    <t>1700_0E07</t>
  </si>
  <si>
    <t>1700_1007</t>
  </si>
  <si>
    <t>1700_1207</t>
  </si>
  <si>
    <t>1700_1407</t>
  </si>
  <si>
    <t>1700_1607</t>
  </si>
  <si>
    <t>1700_1807</t>
  </si>
  <si>
    <t>1700_1A07</t>
  </si>
  <si>
    <t>1700_1C07</t>
  </si>
  <si>
    <t>1700_1E07</t>
  </si>
  <si>
    <t>1700_2007</t>
  </si>
  <si>
    <t>1700_2207</t>
  </si>
  <si>
    <t>1700_2407</t>
  </si>
  <si>
    <t>1700_2607</t>
  </si>
  <si>
    <t>1700_2807</t>
  </si>
  <si>
    <t>1700_2A07</t>
  </si>
  <si>
    <t>1700_2C07</t>
  </si>
  <si>
    <t>1700_2E07</t>
  </si>
  <si>
    <t>1700_3007</t>
  </si>
  <si>
    <t>1700_3207</t>
  </si>
  <si>
    <t>1700_3407</t>
  </si>
  <si>
    <t>1700_3607</t>
  </si>
  <si>
    <t>1700_3807</t>
  </si>
  <si>
    <t>1700_3A07</t>
  </si>
  <si>
    <t>1700_3C07</t>
  </si>
  <si>
    <t>1700_3E07</t>
  </si>
  <si>
    <t>1700_4007</t>
  </si>
  <si>
    <t>1700_4207</t>
  </si>
  <si>
    <t>1700_4407</t>
  </si>
  <si>
    <t>1700_4607</t>
  </si>
  <si>
    <t>1700_4807</t>
  </si>
  <si>
    <t>1700_4A07</t>
  </si>
  <si>
    <t>1700_4C07</t>
  </si>
  <si>
    <t>1700_4E07</t>
  </si>
  <si>
    <t>1700_5007</t>
  </si>
  <si>
    <t>1700_5207</t>
  </si>
  <si>
    <t>1700_5407</t>
  </si>
  <si>
    <t>1700_5607</t>
  </si>
  <si>
    <t>1700_5807</t>
  </si>
  <si>
    <t>1700_5A07</t>
  </si>
  <si>
    <t>1700_5C07</t>
  </si>
  <si>
    <t>1700_5E07</t>
  </si>
  <si>
    <t>1700_6007</t>
  </si>
  <si>
    <t>1700_6207</t>
  </si>
  <si>
    <t>1700_6407</t>
  </si>
  <si>
    <t>1700_6607</t>
  </si>
  <si>
    <t>N_SMPU3</t>
  </si>
  <si>
    <t>1700_6807</t>
  </si>
  <si>
    <t>1700_6A07</t>
  </si>
  <si>
    <t>1700_6C07</t>
  </si>
  <si>
    <t>1700_6E07</t>
  </si>
  <si>
    <t>1700_7007</t>
  </si>
  <si>
    <t>1700_7207</t>
  </si>
  <si>
    <t>1700_7407</t>
  </si>
  <si>
    <t>1700_7607</t>
  </si>
  <si>
    <t>1700_7807</t>
  </si>
  <si>
    <t>1700_7A07</t>
  </si>
  <si>
    <t>1700_7C07</t>
  </si>
  <si>
    <t>1700_7E07</t>
  </si>
  <si>
    <t>1700_0008</t>
  </si>
  <si>
    <t>1700_0208</t>
  </si>
  <si>
    <t>1700_0408</t>
  </si>
  <si>
    <t>1700_0608</t>
  </si>
  <si>
    <t>1700_0808</t>
  </si>
  <si>
    <t>1700_0A08</t>
  </si>
  <si>
    <t>1700_0C08</t>
  </si>
  <si>
    <t>1700_0E08</t>
  </si>
  <si>
    <t>1700_1008</t>
  </si>
  <si>
    <t>1700_1208</t>
  </si>
  <si>
    <t>1700_1408</t>
  </si>
  <si>
    <t>1700_1608</t>
  </si>
  <si>
    <t>1700_1808</t>
  </si>
  <si>
    <t>1700_1A08</t>
  </si>
  <si>
    <t>1700_1C08</t>
  </si>
  <si>
    <t>1700_1E08</t>
  </si>
  <si>
    <t>1700_2008</t>
  </si>
  <si>
    <t>1700_2208</t>
  </si>
  <si>
    <t>1700_2408</t>
  </si>
  <si>
    <t>1700_2608</t>
  </si>
  <si>
    <t>1700_2808</t>
  </si>
  <si>
    <t>1700_2A08</t>
  </si>
  <si>
    <t>1700_2C08</t>
  </si>
  <si>
    <t>1700_2E08</t>
  </si>
  <si>
    <t>1700_3008</t>
  </si>
  <si>
    <t>1700_3208</t>
  </si>
  <si>
    <t>1700_3408</t>
  </si>
  <si>
    <t>1700_3608</t>
  </si>
  <si>
    <t>1700_3808</t>
  </si>
  <si>
    <t>1700_3A08</t>
  </si>
  <si>
    <t>1700_3C08</t>
  </si>
  <si>
    <t>1700_3E08</t>
  </si>
  <si>
    <t>1700_4008</t>
  </si>
  <si>
    <t>1700_4208</t>
  </si>
  <si>
    <t>1700_4408</t>
  </si>
  <si>
    <t>1700_4608</t>
  </si>
  <si>
    <t>1700_4808</t>
  </si>
  <si>
    <t>1700_4A08</t>
  </si>
  <si>
    <t>1700_4C08</t>
  </si>
  <si>
    <t>1700_4E08</t>
  </si>
  <si>
    <t>1700_5008</t>
  </si>
  <si>
    <t>1700_5208</t>
  </si>
  <si>
    <t>1700_5408</t>
  </si>
  <si>
    <t>1700_5608</t>
  </si>
  <si>
    <t>1700_5808</t>
  </si>
  <si>
    <t>1700_5A08</t>
  </si>
  <si>
    <t>1700_5C08</t>
  </si>
  <si>
    <t>1700_5E08</t>
  </si>
  <si>
    <t>1700_6008</t>
  </si>
  <si>
    <t>1700_6208</t>
  </si>
  <si>
    <t>1700_6408</t>
  </si>
  <si>
    <t>1700_6608</t>
  </si>
  <si>
    <t>1700_6808</t>
  </si>
  <si>
    <t>1700_6A08</t>
  </si>
  <si>
    <t>1700_6C08</t>
  </si>
  <si>
    <t>1700_6E08</t>
  </si>
  <si>
    <t>1700_7008</t>
  </si>
  <si>
    <t>1700_7208</t>
  </si>
  <si>
    <t>1700_7408</t>
  </si>
  <si>
    <t>1700_7608</t>
  </si>
  <si>
    <t>1700_7808</t>
  </si>
  <si>
    <t>1700_7A08</t>
  </si>
  <si>
    <t>1700_7C08</t>
  </si>
  <si>
    <t>1700_7E08</t>
  </si>
  <si>
    <t>1700_0009</t>
  </si>
  <si>
    <t>1700_0209</t>
  </si>
  <si>
    <t>1700_0409</t>
  </si>
  <si>
    <t>1700_0609</t>
  </si>
  <si>
    <t>1700_0809</t>
  </si>
  <si>
    <t>1700_0A09</t>
  </si>
  <si>
    <t>1700_0C09</t>
  </si>
  <si>
    <t>1700_0E09</t>
  </si>
  <si>
    <t>1700_1009</t>
  </si>
  <si>
    <t>1700_1209</t>
  </si>
  <si>
    <t>1700_1409</t>
  </si>
  <si>
    <t>1700_1609</t>
  </si>
  <si>
    <t>1700_1809</t>
  </si>
  <si>
    <t>1700_1A09</t>
  </si>
  <si>
    <t>1700_1C09</t>
  </si>
  <si>
    <t>1700_1E09</t>
  </si>
  <si>
    <t>1700_2009</t>
  </si>
  <si>
    <t>1700_2209</t>
  </si>
  <si>
    <t>1700_2409</t>
  </si>
  <si>
    <t>1700_2609</t>
  </si>
  <si>
    <t>1700_2809</t>
  </si>
  <si>
    <t>1700_2A09</t>
  </si>
  <si>
    <t>1700_2C09</t>
  </si>
  <si>
    <t>1700_2E09</t>
  </si>
  <si>
    <t>1700_3009</t>
  </si>
  <si>
    <t>1700_3209</t>
  </si>
  <si>
    <t>1700_3409</t>
  </si>
  <si>
    <t>1700_3609</t>
  </si>
  <si>
    <t>1700_3809</t>
  </si>
  <si>
    <t>1700_3A09</t>
  </si>
  <si>
    <t>1700_3C09</t>
  </si>
  <si>
    <t>1700_3E09</t>
  </si>
  <si>
    <t>1700_4009</t>
  </si>
  <si>
    <t>1700_4209</t>
  </si>
  <si>
    <t>1700_4409</t>
  </si>
  <si>
    <t>1700_4609</t>
  </si>
  <si>
    <t>1700_4809</t>
  </si>
  <si>
    <t>1700_4A09</t>
  </si>
  <si>
    <t>1700_4C09</t>
  </si>
  <si>
    <t>1700_4E09</t>
  </si>
  <si>
    <t>1700_5009</t>
  </si>
  <si>
    <t>1700_5209</t>
  </si>
  <si>
    <t>1700_5409</t>
  </si>
  <si>
    <t>1700_5609</t>
  </si>
  <si>
    <t>1700_5809</t>
  </si>
  <si>
    <t>1700_5A09</t>
  </si>
  <si>
    <t>1700_5C09</t>
  </si>
  <si>
    <t>1700_5E09</t>
  </si>
  <si>
    <t>1700_6009</t>
  </si>
  <si>
    <t>1700_6209</t>
  </si>
  <si>
    <t>1700_6409</t>
  </si>
  <si>
    <t>1700_6609</t>
  </si>
  <si>
    <t>1700_6809</t>
  </si>
  <si>
    <t>1700_6A09</t>
  </si>
  <si>
    <t>1700_6C09</t>
  </si>
  <si>
    <t>1700_6E09</t>
  </si>
  <si>
    <t>1700_7009</t>
  </si>
  <si>
    <t>1700_7209</t>
  </si>
  <si>
    <t>1700_7409</t>
  </si>
  <si>
    <t>1700_7609</t>
  </si>
  <si>
    <t>1700_7809</t>
  </si>
  <si>
    <t>1700_7A09</t>
  </si>
  <si>
    <t>1700_7C09</t>
  </si>
  <si>
    <t>1700_7E09</t>
  </si>
  <si>
    <t>1700_000A</t>
  </si>
  <si>
    <t>1700_020A</t>
  </si>
  <si>
    <t>1700_040A</t>
  </si>
  <si>
    <t>1700_060A</t>
  </si>
  <si>
    <t>1700_080A</t>
  </si>
  <si>
    <t>1700_0A0A</t>
  </si>
  <si>
    <t>1700_0C0A</t>
  </si>
  <si>
    <t>1700_0E0A</t>
  </si>
  <si>
    <t>1700_100A</t>
  </si>
  <si>
    <t>1700_120A</t>
  </si>
  <si>
    <t>1700_140A</t>
  </si>
  <si>
    <t>1700_160A</t>
  </si>
  <si>
    <t>1700_180A</t>
  </si>
  <si>
    <t>1700_1A0A</t>
  </si>
  <si>
    <t>1700_1C0A</t>
  </si>
  <si>
    <t>1700_1E0A</t>
  </si>
  <si>
    <t>1700_200A</t>
  </si>
  <si>
    <t>1700_220A</t>
  </si>
  <si>
    <t>1700_240A</t>
  </si>
  <si>
    <t>1700_260A</t>
  </si>
  <si>
    <t>1700_280A</t>
  </si>
  <si>
    <t>1700_2A0A</t>
  </si>
  <si>
    <t>1700_2C0A</t>
  </si>
  <si>
    <t>1700_2E0A</t>
  </si>
  <si>
    <t>1700_300A</t>
  </si>
  <si>
    <t>1700_320A</t>
  </si>
  <si>
    <t>1700_340A</t>
  </si>
  <si>
    <t>1700_360A</t>
  </si>
  <si>
    <t>1700_380A</t>
  </si>
  <si>
    <t>1700_3A0A</t>
  </si>
  <si>
    <t>1700_3C0A</t>
  </si>
  <si>
    <t>1700_3E0A</t>
  </si>
  <si>
    <t>1700_400A</t>
  </si>
  <si>
    <t>1700_420A</t>
  </si>
  <si>
    <t>1700_440A</t>
  </si>
  <si>
    <t>1700_460A</t>
  </si>
  <si>
    <t>1700_480A</t>
  </si>
  <si>
    <t>1700_4A0A</t>
  </si>
  <si>
    <t>1700_4C0A</t>
  </si>
  <si>
    <t>1700_4E0A</t>
  </si>
  <si>
    <t>1700_500A</t>
  </si>
  <si>
    <t>1700_520A</t>
  </si>
  <si>
    <t>1700_540A</t>
  </si>
  <si>
    <t>1700_560A</t>
  </si>
  <si>
    <t>1700_580A</t>
  </si>
  <si>
    <t>1700_5A0A</t>
  </si>
  <si>
    <t>1700_5C0A</t>
  </si>
  <si>
    <t>1700_5E0A</t>
  </si>
  <si>
    <t>1700_600A</t>
  </si>
  <si>
    <t>1700_620A</t>
  </si>
  <si>
    <t>1700_640A</t>
  </si>
  <si>
    <t>1700_660A</t>
  </si>
  <si>
    <t>1700_680A</t>
  </si>
  <si>
    <t>1700_6A0A</t>
  </si>
  <si>
    <t>1700_6C0A</t>
  </si>
  <si>
    <t>1700_6E0A</t>
  </si>
  <si>
    <t>1700_700A</t>
  </si>
  <si>
    <t>1700_720A</t>
  </si>
  <si>
    <t>1700_740A</t>
  </si>
  <si>
    <t>1700_760A</t>
  </si>
  <si>
    <t>1700_780A</t>
  </si>
  <si>
    <t>1700_7A0A</t>
  </si>
  <si>
    <t>1700_7C0A</t>
  </si>
  <si>
    <t>1700_7E0A</t>
  </si>
  <si>
    <t>1700_000B</t>
  </si>
  <si>
    <t>1700_020B</t>
  </si>
  <si>
    <t>1700_040B</t>
  </si>
  <si>
    <t>1700_060B</t>
  </si>
  <si>
    <t>1700_080B</t>
  </si>
  <si>
    <t>1700_0A0B</t>
  </si>
  <si>
    <t>1700_0C0B</t>
  </si>
  <si>
    <t>1700_0E0B</t>
  </si>
  <si>
    <t>1700_100B</t>
  </si>
  <si>
    <t>1700_120B</t>
  </si>
  <si>
    <t>1700_140B</t>
  </si>
  <si>
    <t>1700_160B</t>
  </si>
  <si>
    <t>1700_180B</t>
  </si>
  <si>
    <t>1700_1A0B</t>
  </si>
  <si>
    <t>1700_1C0B</t>
  </si>
  <si>
    <t>1700_1E0B</t>
  </si>
  <si>
    <t>1700_200B</t>
  </si>
  <si>
    <t>1700_220B</t>
  </si>
  <si>
    <t>1700_240B</t>
  </si>
  <si>
    <t>1700_260B</t>
  </si>
  <si>
    <t>1700_280B</t>
  </si>
  <si>
    <t>1700_2A0B</t>
  </si>
  <si>
    <t>1700_2C0B</t>
  </si>
  <si>
    <t>1700_2E0B</t>
  </si>
  <si>
    <t>1700_300B</t>
  </si>
  <si>
    <t>1700_320B</t>
  </si>
  <si>
    <t>1700_340B</t>
  </si>
  <si>
    <t>1700_360B</t>
  </si>
  <si>
    <t>1700_380B</t>
  </si>
  <si>
    <t>1700_3A0B</t>
  </si>
  <si>
    <t>1700_3C0B</t>
  </si>
  <si>
    <t>1700_3E0B</t>
  </si>
  <si>
    <t>1700_400B</t>
  </si>
  <si>
    <t>1700_420B</t>
  </si>
  <si>
    <t>1700_440B</t>
  </si>
  <si>
    <t>1700_460B</t>
  </si>
  <si>
    <t>1700_480B</t>
  </si>
  <si>
    <t>1700_4A0B</t>
  </si>
  <si>
    <t>1700_4C0B</t>
  </si>
  <si>
    <t>1700_4E0B</t>
  </si>
  <si>
    <t>1700_500B</t>
  </si>
  <si>
    <t>1700_520B</t>
  </si>
  <si>
    <t>1700_540B</t>
  </si>
  <si>
    <t>1700_560B</t>
  </si>
  <si>
    <t>1700_580B</t>
  </si>
  <si>
    <t>1700_5A0B</t>
  </si>
  <si>
    <t>1700_5C0B</t>
  </si>
  <si>
    <t>1700_5E0B</t>
  </si>
  <si>
    <t>1700_600B</t>
  </si>
  <si>
    <t>1700_620B</t>
  </si>
  <si>
    <t>1700_640B</t>
  </si>
  <si>
    <t>1700_660B</t>
  </si>
  <si>
    <t>1700_680B</t>
  </si>
  <si>
    <t>1700_6A0B</t>
  </si>
  <si>
    <t>1700_6C0B</t>
  </si>
  <si>
    <t>1700_6E0B</t>
  </si>
  <si>
    <t>1700_700B</t>
  </si>
  <si>
    <t>1700_720B</t>
  </si>
  <si>
    <t>1700_740B</t>
  </si>
  <si>
    <t>1700_760B</t>
  </si>
  <si>
    <t>1700_780B</t>
  </si>
  <si>
    <t>1700_7A0B</t>
  </si>
  <si>
    <t>1700_7C0B</t>
  </si>
  <si>
    <t>1700_7E0B</t>
  </si>
  <si>
    <t>1700_000C</t>
  </si>
  <si>
    <t>1700_020C</t>
  </si>
  <si>
    <t>1700_040C</t>
  </si>
  <si>
    <t>1700_060C</t>
  </si>
  <si>
    <t>1700_080C</t>
  </si>
  <si>
    <t>1700_0A0C</t>
  </si>
  <si>
    <t>1700_0C0C</t>
  </si>
  <si>
    <t>1700_0E0C</t>
  </si>
  <si>
    <t>1700_100C</t>
  </si>
  <si>
    <t>1700_120C</t>
  </si>
  <si>
    <t>1700_140C</t>
  </si>
  <si>
    <t>1700_160C</t>
  </si>
  <si>
    <t>1700_180C</t>
  </si>
  <si>
    <t>1700_1A0C</t>
  </si>
  <si>
    <t>1700_1C0C</t>
  </si>
  <si>
    <t>1700_1E0C</t>
  </si>
  <si>
    <t>1700_200C</t>
  </si>
  <si>
    <t>1700_220C</t>
  </si>
  <si>
    <t>1700_240C</t>
  </si>
  <si>
    <t>1700_260C</t>
  </si>
  <si>
    <t>1700_280C</t>
  </si>
  <si>
    <t>1700_2A0C</t>
  </si>
  <si>
    <t>1700_2C0C</t>
  </si>
  <si>
    <t>1700_2E0C</t>
  </si>
  <si>
    <t>1700_300C</t>
  </si>
  <si>
    <t>1700_320C</t>
  </si>
  <si>
    <t>1700_340C</t>
  </si>
  <si>
    <t>1700_360C</t>
  </si>
  <si>
    <t>1700_380C</t>
  </si>
  <si>
    <t>1700_3A0C</t>
  </si>
  <si>
    <t>1700_3C0C</t>
  </si>
  <si>
    <t>1700_3E0C</t>
  </si>
  <si>
    <t>1700_400C</t>
  </si>
  <si>
    <t>1700_420C</t>
  </si>
  <si>
    <t>1700_440C</t>
  </si>
  <si>
    <t>1700_460C</t>
  </si>
  <si>
    <t>1700_480C</t>
  </si>
  <si>
    <t>1700_4A0C</t>
  </si>
  <si>
    <t>1700_4C0C</t>
  </si>
  <si>
    <t>1700_4E0C</t>
  </si>
  <si>
    <t>1700_500C</t>
  </si>
  <si>
    <t>1700_520C</t>
  </si>
  <si>
    <t>1700_540C</t>
  </si>
  <si>
    <t>1700_560C</t>
  </si>
  <si>
    <t>1700_580C</t>
  </si>
  <si>
    <t>1700_5A0C</t>
  </si>
  <si>
    <t>1700_5C0C</t>
  </si>
  <si>
    <t>1700_5E0C</t>
  </si>
  <si>
    <t>1700_600C</t>
  </si>
  <si>
    <t>1700_620C</t>
  </si>
  <si>
    <t>1700_640C</t>
  </si>
  <si>
    <t>1700_660C</t>
  </si>
  <si>
    <t>1700_680C</t>
  </si>
  <si>
    <t>1700_6A0C</t>
  </si>
  <si>
    <t>1700_6C0C</t>
  </si>
  <si>
    <t>1700_6E0C</t>
  </si>
  <si>
    <t>1700_700C</t>
  </si>
  <si>
    <t>1700_720C</t>
  </si>
  <si>
    <t>1700_740C</t>
  </si>
  <si>
    <t>1700_760C</t>
  </si>
  <si>
    <t>1700_780C</t>
  </si>
  <si>
    <t>1700_7A0C</t>
  </si>
  <si>
    <t>1700_7C0C</t>
  </si>
  <si>
    <t>1700_7E0C</t>
  </si>
  <si>
    <t>1700_000D</t>
  </si>
  <si>
    <t>1700_020D</t>
  </si>
  <si>
    <t>1700_040D</t>
  </si>
  <si>
    <t>1700_060D</t>
  </si>
  <si>
    <t>1700_080D</t>
  </si>
  <si>
    <t>1700_0A0D</t>
  </si>
  <si>
    <t>1700_0C0D</t>
  </si>
  <si>
    <t>1700_0E0D</t>
  </si>
  <si>
    <t>1700_100D</t>
  </si>
  <si>
    <t>1700_120D</t>
  </si>
  <si>
    <t>1700_140D</t>
  </si>
  <si>
    <t>1700_160D</t>
  </si>
  <si>
    <t>1700_180D</t>
  </si>
  <si>
    <t>1700_1A0D</t>
  </si>
  <si>
    <t>1700_1C0D</t>
  </si>
  <si>
    <t>1700_1E0D</t>
  </si>
  <si>
    <t>1700_200D</t>
  </si>
  <si>
    <t>1700_220D</t>
  </si>
  <si>
    <t>1700_240D</t>
  </si>
  <si>
    <t>1700_260D</t>
  </si>
  <si>
    <t>1700_280D</t>
  </si>
  <si>
    <t>1700_2A0D</t>
  </si>
  <si>
    <t>1700_2C0D</t>
  </si>
  <si>
    <t>1700_2E0D</t>
  </si>
  <si>
    <t>1700_300D</t>
  </si>
  <si>
    <t>1700_320D</t>
  </si>
  <si>
    <t>1700_340D</t>
  </si>
  <si>
    <t>1700_360D</t>
  </si>
  <si>
    <t>1700_380D</t>
  </si>
  <si>
    <t>1700_3A0D</t>
  </si>
  <si>
    <t>1700_3C0D</t>
  </si>
  <si>
    <t>1700_3E0D</t>
  </si>
  <si>
    <t>1700_400D</t>
  </si>
  <si>
    <t>1700_420D</t>
  </si>
  <si>
    <t>1700_440D</t>
  </si>
  <si>
    <t>1700_460D</t>
  </si>
  <si>
    <t>1700_480D</t>
  </si>
  <si>
    <t>1700_4A0D</t>
  </si>
  <si>
    <t>1700_4C0D</t>
  </si>
  <si>
    <t>1700_4E0D</t>
  </si>
  <si>
    <t>1700_500D</t>
  </si>
  <si>
    <t>1700_520D</t>
  </si>
  <si>
    <t>1700_540D</t>
  </si>
  <si>
    <t>1700_560D</t>
  </si>
  <si>
    <t>1700_580D</t>
  </si>
  <si>
    <t>1700_5A0D</t>
  </si>
  <si>
    <t>1700_5C0D</t>
  </si>
  <si>
    <t>1700_5E0D</t>
  </si>
  <si>
    <t>1700_600D</t>
  </si>
  <si>
    <t>1700_620D</t>
  </si>
  <si>
    <t>1700_640D</t>
  </si>
  <si>
    <t>1700_660D</t>
  </si>
  <si>
    <t>1700_680D</t>
  </si>
  <si>
    <t>1700_6A0D</t>
  </si>
  <si>
    <t>1700_6C0D</t>
  </si>
  <si>
    <t>1700_6E0D</t>
  </si>
  <si>
    <t>1700_700D</t>
  </si>
  <si>
    <t>1700_720D</t>
  </si>
  <si>
    <t>1700_740D</t>
  </si>
  <si>
    <t>1700_760D</t>
  </si>
  <si>
    <t>1700_780D</t>
  </si>
  <si>
    <t>1700_7A0D</t>
  </si>
  <si>
    <t>1700_7C0D</t>
  </si>
  <si>
    <t>1700_7E0D</t>
  </si>
  <si>
    <t>1700_000E</t>
  </si>
  <si>
    <t>1700_020E</t>
  </si>
  <si>
    <t>1700_040E</t>
  </si>
  <si>
    <t>1700_060E</t>
  </si>
  <si>
    <t>1700_080E</t>
  </si>
  <si>
    <t>1700_0A0E</t>
  </si>
  <si>
    <t>1700_0C0E</t>
  </si>
  <si>
    <t>1700_0E0E</t>
  </si>
  <si>
    <t>1700_100E</t>
  </si>
  <si>
    <t>1700_120E</t>
  </si>
  <si>
    <t>1700_140E</t>
  </si>
  <si>
    <t>1700_160E</t>
  </si>
  <si>
    <t>1700_180E</t>
  </si>
  <si>
    <t>1700_1A0E</t>
  </si>
  <si>
    <t>1700_1C0E</t>
  </si>
  <si>
    <t>1700_1E0E</t>
  </si>
  <si>
    <t>1700_200E</t>
  </si>
  <si>
    <t>1700_220E</t>
  </si>
  <si>
    <t>1700_240E</t>
  </si>
  <si>
    <t>1700_260E</t>
  </si>
  <si>
    <t>1700_280E</t>
  </si>
  <si>
    <t>1700_2A0E</t>
  </si>
  <si>
    <t>1700_2C0E</t>
  </si>
  <si>
    <t>1700_2E0E</t>
  </si>
  <si>
    <t>1700_300E</t>
  </si>
  <si>
    <t>1700_320E</t>
  </si>
  <si>
    <t>1700_340E</t>
  </si>
  <si>
    <t>1700_360E</t>
  </si>
  <si>
    <t>1700_380E</t>
  </si>
  <si>
    <t>1700_3A0E</t>
  </si>
  <si>
    <t>1700_3C0E</t>
  </si>
  <si>
    <t>1700_3E0E</t>
  </si>
  <si>
    <t>1700_400E</t>
  </si>
  <si>
    <t>1700_420E</t>
  </si>
  <si>
    <t>1700_440E</t>
  </si>
  <si>
    <t>1700_460E</t>
  </si>
  <si>
    <t>1700_480E</t>
  </si>
  <si>
    <t>1700_4A0E</t>
  </si>
  <si>
    <t>1700_4C0E</t>
  </si>
  <si>
    <t>1700_4E0E</t>
  </si>
  <si>
    <t>1700_500E</t>
  </si>
  <si>
    <t>1700_520E</t>
  </si>
  <si>
    <t>1700_540E</t>
  </si>
  <si>
    <t>1700_560E</t>
  </si>
  <si>
    <t>1700_580E</t>
  </si>
  <si>
    <t>1700_5A0E</t>
  </si>
  <si>
    <t>1700_5C0E</t>
  </si>
  <si>
    <t>1700_5E0E</t>
  </si>
  <si>
    <t>1700_600E</t>
  </si>
  <si>
    <t>1700_620E</t>
  </si>
  <si>
    <t>1700_640E</t>
  </si>
  <si>
    <t>1700_660E</t>
  </si>
  <si>
    <t>1700_680E</t>
  </si>
  <si>
    <t>1700_6A0E</t>
  </si>
  <si>
    <t>1700_6C0E</t>
  </si>
  <si>
    <t>1700_6E0E</t>
  </si>
  <si>
    <t>1700_700E</t>
  </si>
  <si>
    <t>1700_720E</t>
  </si>
  <si>
    <t>1700_740E</t>
  </si>
  <si>
    <t>1700_760E</t>
  </si>
  <si>
    <t>1700_780E</t>
  </si>
  <si>
    <t>1700_7A0E</t>
  </si>
  <si>
    <t>1700_7C0E</t>
  </si>
  <si>
    <t>1700_7E0E</t>
  </si>
  <si>
    <t>1700_000F</t>
  </si>
  <si>
    <t>1700_020F</t>
  </si>
  <si>
    <t>1700_040F</t>
  </si>
  <si>
    <t>1700_060F</t>
  </si>
  <si>
    <t>1700_080F</t>
  </si>
  <si>
    <t>1700_0A0F</t>
  </si>
  <si>
    <t>1700_0C0F</t>
  </si>
  <si>
    <t>1700_0E0F</t>
  </si>
  <si>
    <t>1700_100F</t>
  </si>
  <si>
    <t>1700_120F</t>
  </si>
  <si>
    <t>1700_140F</t>
  </si>
  <si>
    <t>1700_160F</t>
  </si>
  <si>
    <t>1700_180F</t>
  </si>
  <si>
    <t>1700_1A0F</t>
  </si>
  <si>
    <t>1700_1C0F</t>
  </si>
  <si>
    <t>1700_1E0F</t>
  </si>
  <si>
    <t>1700_200F</t>
  </si>
  <si>
    <t>1700_220F</t>
  </si>
  <si>
    <t>1700_240F</t>
  </si>
  <si>
    <t>1700_260F</t>
  </si>
  <si>
    <t>1700_280F</t>
  </si>
  <si>
    <t>1700_2A0F</t>
  </si>
  <si>
    <t>1700_2C0F</t>
  </si>
  <si>
    <t>1700_2E0F</t>
  </si>
  <si>
    <t>1700_300F</t>
  </si>
  <si>
    <t>1700_320F</t>
  </si>
  <si>
    <t>1700_340F</t>
  </si>
  <si>
    <t>1700_360F</t>
  </si>
  <si>
    <t>1700_380F</t>
  </si>
  <si>
    <t>1700_3A0F</t>
  </si>
  <si>
    <t>1700_3C0F</t>
  </si>
  <si>
    <t>1700_3E0F</t>
  </si>
  <si>
    <t>1700_400F</t>
  </si>
  <si>
    <t>1700_420F</t>
  </si>
  <si>
    <t>1700_440F</t>
  </si>
  <si>
    <t>1700_460F</t>
  </si>
  <si>
    <t>1700_480F</t>
  </si>
  <si>
    <t>1700_4A0F</t>
  </si>
  <si>
    <t>1700_4C0F</t>
  </si>
  <si>
    <t>1700_4E0F</t>
  </si>
  <si>
    <t>1700_500F</t>
  </si>
  <si>
    <t>1700_520F</t>
  </si>
  <si>
    <t>1700_540F</t>
  </si>
  <si>
    <t>1700_560F</t>
  </si>
  <si>
    <t>1700_580F</t>
  </si>
  <si>
    <t>1700_5A0F</t>
  </si>
  <si>
    <t>1700_5C0F</t>
  </si>
  <si>
    <t>1700_5E0F</t>
  </si>
  <si>
    <t>1700_600F</t>
  </si>
  <si>
    <t>1700_620F</t>
  </si>
  <si>
    <t>1700_640F</t>
  </si>
  <si>
    <t>1700_660F</t>
  </si>
  <si>
    <t>1700_680F</t>
  </si>
  <si>
    <t>1700_6A0F</t>
  </si>
  <si>
    <t>1700_6C0F</t>
  </si>
  <si>
    <t>1700_6E0F</t>
  </si>
  <si>
    <t>1700_700F</t>
  </si>
  <si>
    <t>1700_720F</t>
  </si>
  <si>
    <t>1700_740F</t>
  </si>
  <si>
    <t>1700_760F</t>
  </si>
  <si>
    <t>1700_780F</t>
  </si>
  <si>
    <t>1700_7A0F</t>
  </si>
  <si>
    <t>1700_7C0F</t>
  </si>
  <si>
    <t>1700_7E0F</t>
  </si>
  <si>
    <t>1700_0010</t>
  </si>
  <si>
    <t>1700_0210</t>
  </si>
  <si>
    <t>1700_0410</t>
  </si>
  <si>
    <t>1700_0610</t>
  </si>
  <si>
    <t>1700_0810</t>
  </si>
  <si>
    <t>1700_0A10</t>
  </si>
  <si>
    <t>1700_0C10</t>
  </si>
  <si>
    <t>1700_0E10</t>
  </si>
  <si>
    <t>1700_1010</t>
  </si>
  <si>
    <t>1700_1210</t>
  </si>
  <si>
    <t>1700_1410</t>
  </si>
  <si>
    <t>1700_1610</t>
  </si>
  <si>
    <t>1700_1810</t>
  </si>
  <si>
    <t>1700_1A10</t>
  </si>
  <si>
    <t>1700_1C10</t>
  </si>
  <si>
    <t>1700_1E10</t>
  </si>
  <si>
    <t>1700_2010</t>
  </si>
  <si>
    <t>1700_2210</t>
  </si>
  <si>
    <t>1700_2410</t>
  </si>
  <si>
    <t>1700_2610</t>
  </si>
  <si>
    <t>1700_2810</t>
  </si>
  <si>
    <t>1700_2A10</t>
  </si>
  <si>
    <t>1700_2C10</t>
  </si>
  <si>
    <t>1700_2E10</t>
  </si>
  <si>
    <t>1700_3010</t>
  </si>
  <si>
    <t>1700_3210</t>
  </si>
  <si>
    <t>1700_3410</t>
  </si>
  <si>
    <t>1700_3610</t>
  </si>
  <si>
    <t>1700_3810</t>
  </si>
  <si>
    <t>1700_3A10</t>
  </si>
  <si>
    <t>1700_3C10</t>
  </si>
  <si>
    <t>1700_3E10</t>
  </si>
  <si>
    <t>1700_4010</t>
  </si>
  <si>
    <t>1700_4210</t>
  </si>
  <si>
    <t>1700_4410</t>
  </si>
  <si>
    <t>1700_4610</t>
  </si>
  <si>
    <t>1700_4810</t>
  </si>
  <si>
    <t>1700_4A10</t>
  </si>
  <si>
    <t>1700_4C10</t>
  </si>
  <si>
    <t>1700_4E10</t>
  </si>
  <si>
    <t>1700_5010</t>
  </si>
  <si>
    <t>1700_5210</t>
  </si>
  <si>
    <t>1700_5410</t>
  </si>
  <si>
    <t>1700_5610</t>
  </si>
  <si>
    <t>1700_5810</t>
  </si>
  <si>
    <t>1700_5A10</t>
  </si>
  <si>
    <t>1700_5C10</t>
  </si>
  <si>
    <t>1700_5E10</t>
  </si>
  <si>
    <t>1700_6010</t>
  </si>
  <si>
    <t>1700_6210</t>
  </si>
  <si>
    <t>1700_6410</t>
  </si>
  <si>
    <t>1700_6610</t>
  </si>
  <si>
    <t>1700_6810</t>
  </si>
  <si>
    <t>1700_6A10</t>
  </si>
  <si>
    <t>1700_6C10</t>
  </si>
  <si>
    <t>1700_6E10</t>
  </si>
  <si>
    <t>1700_7010</t>
  </si>
  <si>
    <t>1700_7210</t>
  </si>
  <si>
    <t>1700_7410</t>
  </si>
  <si>
    <t>1700_7610</t>
  </si>
  <si>
    <t>1700_7810</t>
  </si>
  <si>
    <t>1700_7A10</t>
  </si>
  <si>
    <t>1700_7C10</t>
  </si>
  <si>
    <t>1700_7E10</t>
  </si>
  <si>
    <t>1700_0011</t>
  </si>
  <si>
    <t>1700_0211</t>
  </si>
  <si>
    <t>1700_0411</t>
  </si>
  <si>
    <t>1700_0611</t>
  </si>
  <si>
    <t>1700_0811</t>
  </si>
  <si>
    <t>1700_0A11</t>
  </si>
  <si>
    <t>1700_0C11</t>
  </si>
  <si>
    <t>1700_0E11</t>
  </si>
  <si>
    <t>1700_1011</t>
  </si>
  <si>
    <t>1700_1211</t>
  </si>
  <si>
    <t>1700_1411</t>
  </si>
  <si>
    <t>1700_1611</t>
  </si>
  <si>
    <t>1700_1811</t>
  </si>
  <si>
    <t>1700_1A11</t>
  </si>
  <si>
    <t>1700_1C11</t>
  </si>
  <si>
    <t>1700_1E11</t>
  </si>
  <si>
    <t>1700_2011</t>
  </si>
  <si>
    <t>1700_2211</t>
  </si>
  <si>
    <t>1700_2411</t>
  </si>
  <si>
    <t>1700_2611</t>
  </si>
  <si>
    <t>1700_2811</t>
  </si>
  <si>
    <t>1700_2A11</t>
  </si>
  <si>
    <t>1700_2C11</t>
  </si>
  <si>
    <t>1700_2E11</t>
  </si>
  <si>
    <t>1700_3011</t>
  </si>
  <si>
    <t>1700_3211</t>
  </si>
  <si>
    <t>1700_3411</t>
  </si>
  <si>
    <t>1700_3611</t>
  </si>
  <si>
    <t>1700_3811</t>
  </si>
  <si>
    <t>1700_3A11</t>
  </si>
  <si>
    <t>1700_3C11</t>
  </si>
  <si>
    <t>1700_3E11</t>
  </si>
  <si>
    <t>1700_4011</t>
  </si>
  <si>
    <t>1700_4211</t>
  </si>
  <si>
    <t>1700_4411</t>
  </si>
  <si>
    <t>1700_4611</t>
  </si>
  <si>
    <t>1700_4811</t>
  </si>
  <si>
    <t>1700_4A11</t>
  </si>
  <si>
    <t>1700_4C11</t>
  </si>
  <si>
    <t>1700_4E11</t>
  </si>
  <si>
    <t>1700_5011</t>
  </si>
  <si>
    <t>1700_5211</t>
  </si>
  <si>
    <t>1700_5411</t>
  </si>
  <si>
    <t>1700_5611</t>
  </si>
  <si>
    <t>1700_5811</t>
  </si>
  <si>
    <t>1700_5A11</t>
  </si>
  <si>
    <t>1700_5C11</t>
  </si>
  <si>
    <t>1700_5E11</t>
  </si>
  <si>
    <t>1700_6011</t>
  </si>
  <si>
    <t>1700_6211</t>
  </si>
  <si>
    <t>1700_6411</t>
  </si>
  <si>
    <t>1700_6611</t>
  </si>
  <si>
    <t>1700_6811</t>
  </si>
  <si>
    <t>1700_6A11</t>
  </si>
  <si>
    <t>1700_6C11</t>
  </si>
  <si>
    <t>1700_6E11</t>
  </si>
  <si>
    <t>1700_7011</t>
  </si>
  <si>
    <t>1700_7211</t>
  </si>
  <si>
    <t>1700_7411</t>
  </si>
  <si>
    <t>1700_7611</t>
  </si>
  <si>
    <t>1700_7811</t>
  </si>
  <si>
    <t>1700_7A11</t>
  </si>
  <si>
    <t>1700_7C11</t>
  </si>
  <si>
    <t>1700_7E11</t>
  </si>
  <si>
    <t>1700_0012</t>
  </si>
  <si>
    <t>1700_0212</t>
  </si>
  <si>
    <t>1700_0412</t>
  </si>
  <si>
    <t>1700_0612</t>
  </si>
  <si>
    <t>1700_0812</t>
  </si>
  <si>
    <t>1700_0A12</t>
  </si>
  <si>
    <t>1700_0C12</t>
  </si>
  <si>
    <t>1700_0E12</t>
  </si>
  <si>
    <t>1700_1012</t>
  </si>
  <si>
    <t>1700_1212</t>
  </si>
  <si>
    <t>1700_1412</t>
  </si>
  <si>
    <t>1700_1612</t>
  </si>
  <si>
    <t>1700_1812</t>
  </si>
  <si>
    <t>1700_1A12</t>
  </si>
  <si>
    <t>1700_1C12</t>
  </si>
  <si>
    <t>1700_1E12</t>
  </si>
  <si>
    <t>1700_2012</t>
  </si>
  <si>
    <t>1700_2212</t>
  </si>
  <si>
    <t>1700_2412</t>
  </si>
  <si>
    <t>1700_2612</t>
  </si>
  <si>
    <t>1700_2812</t>
  </si>
  <si>
    <t>1700_2A12</t>
  </si>
  <si>
    <t>1700_2C12</t>
  </si>
  <si>
    <t>1700_2E12</t>
  </si>
  <si>
    <t>1700_3012</t>
  </si>
  <si>
    <t>1700_3212</t>
  </si>
  <si>
    <t>1700_3412</t>
  </si>
  <si>
    <t>1700_3612</t>
  </si>
  <si>
    <t>1700_3812</t>
  </si>
  <si>
    <t>1700_3A12</t>
  </si>
  <si>
    <t>1700_3C12</t>
  </si>
  <si>
    <t>1700_3E12</t>
  </si>
  <si>
    <t>1700_4012</t>
  </si>
  <si>
    <t>1700_4212</t>
  </si>
  <si>
    <t>1700_4412</t>
  </si>
  <si>
    <t>1700_4612</t>
  </si>
  <si>
    <t>1700_4812</t>
  </si>
  <si>
    <t>1700_4A12</t>
  </si>
  <si>
    <t>1700_4C12</t>
  </si>
  <si>
    <t>1700_4E12</t>
  </si>
  <si>
    <t>1700_5012</t>
  </si>
  <si>
    <t>1700_5212</t>
  </si>
  <si>
    <t>1700_5412</t>
  </si>
  <si>
    <t>1700_5612</t>
  </si>
  <si>
    <t>1700_5812</t>
  </si>
  <si>
    <t>1700_5A12</t>
  </si>
  <si>
    <t>1700_5C12</t>
  </si>
  <si>
    <t>1700_5E12</t>
  </si>
  <si>
    <t>1700_6012</t>
  </si>
  <si>
    <t>1700_6212</t>
  </si>
  <si>
    <t>1700_6412</t>
  </si>
  <si>
    <t>1700_6612</t>
  </si>
  <si>
    <t>1700_6812</t>
  </si>
  <si>
    <t>1700_6A12</t>
  </si>
  <si>
    <t>1700_6C12</t>
  </si>
  <si>
    <t>1700_6E12</t>
  </si>
  <si>
    <t>1700_7012</t>
  </si>
  <si>
    <t>1700_7212</t>
  </si>
  <si>
    <t>1700_7412</t>
  </si>
  <si>
    <t>1700_7612</t>
  </si>
  <si>
    <t>1700_7812</t>
  </si>
  <si>
    <t>1700_7A12</t>
  </si>
  <si>
    <t>1700_7C12</t>
  </si>
  <si>
    <t>1700_7E12</t>
  </si>
  <si>
    <t>1700_0013</t>
  </si>
  <si>
    <t>1700_0213</t>
  </si>
  <si>
    <t>1700_0413</t>
  </si>
  <si>
    <t>1700_0613</t>
  </si>
  <si>
    <t>1700_0813</t>
  </si>
  <si>
    <t>1700_0A13</t>
  </si>
  <si>
    <t>1700_0C13</t>
  </si>
  <si>
    <t>1700_0E13</t>
  </si>
  <si>
    <t>1700_1013</t>
  </si>
  <si>
    <t>1700_1213</t>
  </si>
  <si>
    <t>1700_1413</t>
  </si>
  <si>
    <t>1700_1613</t>
  </si>
  <si>
    <t>1700_1813</t>
  </si>
  <si>
    <t>1700_1A13</t>
  </si>
  <si>
    <t>1700_1C13</t>
  </si>
  <si>
    <t>1700_1E13</t>
  </si>
  <si>
    <t>1700_2013</t>
  </si>
  <si>
    <t>1700_2213</t>
  </si>
  <si>
    <t>1700_2413</t>
  </si>
  <si>
    <t>1700_2613</t>
  </si>
  <si>
    <t>1700_2813</t>
  </si>
  <si>
    <t>1700_2A13</t>
  </si>
  <si>
    <t>1700_2C13</t>
  </si>
  <si>
    <t>1700_2E13</t>
  </si>
  <si>
    <t>1700_3013</t>
  </si>
  <si>
    <t>1700_3213</t>
  </si>
  <si>
    <t>1700_3413</t>
  </si>
  <si>
    <t>1700_3613</t>
  </si>
  <si>
    <t>1700_3813</t>
  </si>
  <si>
    <t>1700_3A13</t>
  </si>
  <si>
    <t>1700_3C13</t>
  </si>
  <si>
    <t>1700_3E13</t>
  </si>
  <si>
    <t>1700_4013</t>
  </si>
  <si>
    <t>1700_4213</t>
  </si>
  <si>
    <t>1700_4413</t>
  </si>
  <si>
    <t>1700_4613</t>
  </si>
  <si>
    <t>1700_4813</t>
  </si>
  <si>
    <t>1700_4A13</t>
  </si>
  <si>
    <t>1700_4C13</t>
  </si>
  <si>
    <t>1700_4E13</t>
  </si>
  <si>
    <t>1700_5013</t>
  </si>
  <si>
    <t>1700_5213</t>
  </si>
  <si>
    <t>1700_5413</t>
  </si>
  <si>
    <t>1700_5613</t>
  </si>
  <si>
    <t>1700_5813</t>
  </si>
  <si>
    <t>1700_5A13</t>
  </si>
  <si>
    <t>1700_5C13</t>
  </si>
  <si>
    <t>1700_5E13</t>
  </si>
  <si>
    <t>1700_6013</t>
  </si>
  <si>
    <t>1700_6213</t>
  </si>
  <si>
    <t>1700_6413</t>
  </si>
  <si>
    <t>1700_6613</t>
  </si>
  <si>
    <t>1700_6813</t>
  </si>
  <si>
    <t>1700_6A13</t>
  </si>
  <si>
    <t>1700_6C13</t>
  </si>
  <si>
    <t>1700_6E13</t>
  </si>
  <si>
    <t>1700_7013</t>
  </si>
  <si>
    <t>1700_7213</t>
  </si>
  <si>
    <t>1700_7413</t>
  </si>
  <si>
    <t>1700_7613</t>
  </si>
  <si>
    <t>1700_7813</t>
  </si>
  <si>
    <t>1700_7A13</t>
  </si>
  <si>
    <t>1700_7C13</t>
  </si>
  <si>
    <t>1700_7E13</t>
  </si>
  <si>
    <t>1700_0014</t>
  </si>
  <si>
    <t>1700_0214</t>
  </si>
  <si>
    <t>1700_0414</t>
  </si>
  <si>
    <t>1700_0614</t>
  </si>
  <si>
    <t>1700_0814</t>
  </si>
  <si>
    <t>1700_0A14</t>
  </si>
  <si>
    <t>1700_0C14</t>
  </si>
  <si>
    <t>1700_0E14</t>
  </si>
  <si>
    <t>1700_1014</t>
  </si>
  <si>
    <t>1700_1214</t>
  </si>
  <si>
    <t>1700_1414</t>
  </si>
  <si>
    <t>1700_1614</t>
  </si>
  <si>
    <t>1700_1814</t>
  </si>
  <si>
    <t>1700_1A14</t>
  </si>
  <si>
    <t>1700_1C14</t>
  </si>
  <si>
    <t>1700_1E14</t>
  </si>
  <si>
    <t>1700_2014</t>
  </si>
  <si>
    <t>1700_2214</t>
  </si>
  <si>
    <t>1700_2414</t>
  </si>
  <si>
    <t>1700_2614</t>
  </si>
  <si>
    <t>1700_2814</t>
  </si>
  <si>
    <t>1700_2A14</t>
  </si>
  <si>
    <t>1700_2C14</t>
  </si>
  <si>
    <t>1700_2E14</t>
  </si>
  <si>
    <t>1700_3014</t>
  </si>
  <si>
    <t>1700_3214</t>
  </si>
  <si>
    <t>1700_3414</t>
  </si>
  <si>
    <t>1700_3614</t>
  </si>
  <si>
    <t>1700_3814</t>
  </si>
  <si>
    <t>1700_3A14</t>
  </si>
  <si>
    <t>1700_3C14</t>
  </si>
  <si>
    <t>1700_3E14</t>
  </si>
  <si>
    <t>1700_4014</t>
  </si>
  <si>
    <t>1700_4214</t>
  </si>
  <si>
    <t>1700_4414</t>
  </si>
  <si>
    <t>1700_4614</t>
  </si>
  <si>
    <t>1700_4814</t>
  </si>
  <si>
    <t>1700_4A14</t>
  </si>
  <si>
    <t>1700_4C14</t>
  </si>
  <si>
    <t>1700_4E14</t>
  </si>
  <si>
    <t>1700_5014</t>
  </si>
  <si>
    <t>1700_5214</t>
  </si>
  <si>
    <t>1700_5414</t>
  </si>
  <si>
    <t>1700_5614</t>
  </si>
  <si>
    <t>1700_5814</t>
  </si>
  <si>
    <t>1700_5A14</t>
  </si>
  <si>
    <t>1700_5C14</t>
  </si>
  <si>
    <t>1700_5E14</t>
  </si>
  <si>
    <t>1700_6014</t>
  </si>
  <si>
    <t>1700_6214</t>
  </si>
  <si>
    <t>1700_6414</t>
  </si>
  <si>
    <t>1700_6614</t>
  </si>
  <si>
    <t>1700_6814</t>
  </si>
  <si>
    <t>1700_6A14</t>
  </si>
  <si>
    <t>1700_6C14</t>
  </si>
  <si>
    <t>1700_6E14</t>
  </si>
  <si>
    <t>1700_7014</t>
  </si>
  <si>
    <t>1700_7214</t>
  </si>
  <si>
    <t>1700_7414</t>
  </si>
  <si>
    <t>1700_7614</t>
  </si>
  <si>
    <t>1700_7814</t>
  </si>
  <si>
    <t>1700_7A14</t>
  </si>
  <si>
    <t>1700_7C14</t>
  </si>
  <si>
    <t>1700_7E14</t>
  </si>
  <si>
    <t>1700_0015</t>
  </si>
  <si>
    <t>1700_0215</t>
  </si>
  <si>
    <t>1700_0415</t>
  </si>
  <si>
    <t>1700_0615</t>
  </si>
  <si>
    <t>1700_0815</t>
  </si>
  <si>
    <t>1700_0A15</t>
  </si>
  <si>
    <t>1700_0C15</t>
  </si>
  <si>
    <t>1700_0E15</t>
  </si>
  <si>
    <t>1700_1015</t>
  </si>
  <si>
    <t>1700_1215</t>
  </si>
  <si>
    <t>1700_1415</t>
  </si>
  <si>
    <t>1700_1615</t>
  </si>
  <si>
    <t>1700_1815</t>
  </si>
  <si>
    <t>1700_1A15</t>
  </si>
  <si>
    <t>1700_1C15</t>
  </si>
  <si>
    <t>1700_1E15</t>
  </si>
  <si>
    <t>1700_2015</t>
  </si>
  <si>
    <t>1700_2215</t>
  </si>
  <si>
    <t>1700_2415</t>
  </si>
  <si>
    <t>1700_2615</t>
  </si>
  <si>
    <t>1700_2815</t>
  </si>
  <si>
    <t>1700_2A15</t>
  </si>
  <si>
    <t>1700_2C15</t>
  </si>
  <si>
    <t>1700_2E15</t>
  </si>
  <si>
    <t>1700_3015</t>
  </si>
  <si>
    <t>1700_3215</t>
  </si>
  <si>
    <t>1700_3415</t>
  </si>
  <si>
    <t>1700_3615</t>
  </si>
  <si>
    <t>1700_3815</t>
  </si>
  <si>
    <t>1700_3A15</t>
  </si>
  <si>
    <t>1700_3C15</t>
  </si>
  <si>
    <t>1700_3E15</t>
  </si>
  <si>
    <t>1700_4015</t>
  </si>
  <si>
    <t>1700_4215</t>
  </si>
  <si>
    <t>1700_4415</t>
  </si>
  <si>
    <t>1700_4615</t>
  </si>
  <si>
    <t>1700_4815</t>
  </si>
  <si>
    <t>1700_4A15</t>
  </si>
  <si>
    <t>1700_4C15</t>
  </si>
  <si>
    <t>1700_4E15</t>
  </si>
  <si>
    <t>1700_5015</t>
  </si>
  <si>
    <t>1700_5215</t>
  </si>
  <si>
    <t>1700_5415</t>
  </si>
  <si>
    <t>1700_5615</t>
  </si>
  <si>
    <t>1700_5815</t>
  </si>
  <si>
    <t>1700_5A15</t>
  </si>
  <si>
    <t>1700_5C15</t>
  </si>
  <si>
    <t>1700_5E15</t>
  </si>
  <si>
    <t>1700_6015</t>
  </si>
  <si>
    <t>1700_6215</t>
  </si>
  <si>
    <t>1700_6415</t>
  </si>
  <si>
    <t>1700_6615</t>
  </si>
  <si>
    <t>1700_6815</t>
  </si>
  <si>
    <t>1700_6A15</t>
  </si>
  <si>
    <t>1700_6C15</t>
  </si>
  <si>
    <t>1700_6E15</t>
  </si>
  <si>
    <t>1700_7015</t>
  </si>
  <si>
    <t>1700_7215</t>
  </si>
  <si>
    <t>1700_7415</t>
  </si>
  <si>
    <t>1700_7615</t>
  </si>
  <si>
    <t>1700_7815</t>
  </si>
  <si>
    <t>1700_7A15</t>
  </si>
  <si>
    <t>1700_7C15</t>
  </si>
  <si>
    <t>1700_7E15</t>
  </si>
  <si>
    <t>1700_0016</t>
  </si>
  <si>
    <t>1700_0216</t>
  </si>
  <si>
    <t>1700_0416</t>
  </si>
  <si>
    <t>1700_0616</t>
  </si>
  <si>
    <t>1700_0816</t>
  </si>
  <si>
    <t>1700_0A16</t>
  </si>
  <si>
    <t>1700_0C16</t>
  </si>
  <si>
    <t>1700_0E16</t>
  </si>
  <si>
    <t>1700_1016</t>
  </si>
  <si>
    <t>1700_1216</t>
  </si>
  <si>
    <t>1700_1416</t>
  </si>
  <si>
    <t>1700_1616</t>
  </si>
  <si>
    <t>1700_1816</t>
  </si>
  <si>
    <t>1700_1A16</t>
  </si>
  <si>
    <t>1700_1C16</t>
  </si>
  <si>
    <t>1700_1E16</t>
  </si>
  <si>
    <t>1700_2016</t>
  </si>
  <si>
    <t>1700_2216</t>
  </si>
  <si>
    <t>1700_2416</t>
  </si>
  <si>
    <t>1700_2616</t>
  </si>
  <si>
    <t>1700_2816</t>
  </si>
  <si>
    <t>1700_2A16</t>
  </si>
  <si>
    <t>1700_2C16</t>
  </si>
  <si>
    <t>1700_2E16</t>
  </si>
  <si>
    <t>1700_3016</t>
  </si>
  <si>
    <t>1700_3216</t>
  </si>
  <si>
    <t>1700_3416</t>
  </si>
  <si>
    <t>1700_3616</t>
  </si>
  <si>
    <t>1700_3816</t>
  </si>
  <si>
    <t>1700_3A16</t>
  </si>
  <si>
    <t>1700_3C16</t>
  </si>
  <si>
    <t>1700_3E16</t>
  </si>
  <si>
    <t>1700_4016</t>
  </si>
  <si>
    <t>1700_4216</t>
  </si>
  <si>
    <t>1700_4416</t>
  </si>
  <si>
    <t>1700_4616</t>
  </si>
  <si>
    <t>1700_4816</t>
  </si>
  <si>
    <t>1700_4A16</t>
  </si>
  <si>
    <t>1700_4C16</t>
  </si>
  <si>
    <t>1700_4E16</t>
  </si>
  <si>
    <t>1700_5016</t>
  </si>
  <si>
    <t>1700_5216</t>
  </si>
  <si>
    <t>1700_5416</t>
  </si>
  <si>
    <t>1700_5616</t>
  </si>
  <si>
    <t>1700_5816</t>
  </si>
  <si>
    <t>1700_5A16</t>
  </si>
  <si>
    <t>1700_5C16</t>
  </si>
  <si>
    <t>1700_5E16</t>
  </si>
  <si>
    <t>1700_6016</t>
  </si>
  <si>
    <t>1700_6216</t>
  </si>
  <si>
    <t>1700_6416</t>
  </si>
  <si>
    <t>1700_6616</t>
  </si>
  <si>
    <t>1700_6816</t>
  </si>
  <si>
    <t>1700_6A16</t>
  </si>
  <si>
    <t>1700_6C16</t>
  </si>
  <si>
    <t>1700_6E16</t>
  </si>
  <si>
    <t>1700_7016</t>
  </si>
  <si>
    <t>1700_7216</t>
  </si>
  <si>
    <t>1700_7416</t>
  </si>
  <si>
    <t>1700_7616</t>
  </si>
  <si>
    <t>1700_7816</t>
  </si>
  <si>
    <t>1700_7A16</t>
  </si>
  <si>
    <t>1700_7C16</t>
  </si>
  <si>
    <t>1700_7E16</t>
  </si>
  <si>
    <t>1700_0017</t>
  </si>
  <si>
    <t>1700_0217</t>
  </si>
  <si>
    <t>1700_0417</t>
  </si>
  <si>
    <t>1700_0617</t>
  </si>
  <si>
    <t>1700_0817</t>
  </si>
  <si>
    <t>1700_0A17</t>
  </si>
  <si>
    <t>1700_0C17</t>
  </si>
  <si>
    <t>1700_0E17</t>
  </si>
  <si>
    <t>1700_1017</t>
  </si>
  <si>
    <t>1700_1217</t>
  </si>
  <si>
    <t>1700_1417</t>
  </si>
  <si>
    <t>1700_1617</t>
  </si>
  <si>
    <t>1700_1817</t>
  </si>
  <si>
    <t>1700_1A17</t>
  </si>
  <si>
    <t>1700_1C17</t>
  </si>
  <si>
    <t>1700_1E17</t>
  </si>
  <si>
    <t>1700_2017</t>
  </si>
  <si>
    <t>1700_2217</t>
  </si>
  <si>
    <t>1700_2417</t>
  </si>
  <si>
    <t>1700_2617</t>
  </si>
  <si>
    <t>1700_2817</t>
  </si>
  <si>
    <t>1700_2A17</t>
  </si>
  <si>
    <t>1700_2C17</t>
  </si>
  <si>
    <t>1700_2E17</t>
  </si>
  <si>
    <t>1700_3017</t>
  </si>
  <si>
    <t>1700_3217</t>
  </si>
  <si>
    <t>1700_3417</t>
  </si>
  <si>
    <t>1700_3617</t>
  </si>
  <si>
    <t>1700_3817</t>
  </si>
  <si>
    <t>1700_3A17</t>
  </si>
  <si>
    <t>1700_3C17</t>
  </si>
  <si>
    <t>1700_3E17</t>
  </si>
  <si>
    <t>1700_4017</t>
  </si>
  <si>
    <t>1700_4217</t>
  </si>
  <si>
    <t>1700_4417</t>
  </si>
  <si>
    <t>1700_4617</t>
  </si>
  <si>
    <t>1700_4817</t>
  </si>
  <si>
    <t>1700_4A17</t>
  </si>
  <si>
    <t>1700_4C17</t>
  </si>
  <si>
    <t>1700_4E17</t>
  </si>
  <si>
    <t>1700_5017</t>
  </si>
  <si>
    <t>1700_5217</t>
  </si>
  <si>
    <t>1700_5417</t>
  </si>
  <si>
    <t>1700_5617</t>
  </si>
  <si>
    <t>1700_5817</t>
  </si>
  <si>
    <t>1700_5A17</t>
  </si>
  <si>
    <t>1700_5C17</t>
  </si>
  <si>
    <t>1700_5E17</t>
  </si>
  <si>
    <t>1700_6017</t>
  </si>
  <si>
    <t>1700_6217</t>
  </si>
  <si>
    <t>1700_6417</t>
  </si>
  <si>
    <t>1700_6617</t>
  </si>
  <si>
    <t>1700_6817</t>
  </si>
  <si>
    <t>1700_6A17</t>
  </si>
  <si>
    <t>1700_6C17</t>
  </si>
  <si>
    <t>1700_6E17</t>
  </si>
  <si>
    <t>1700_7017</t>
  </si>
  <si>
    <t>1700_7217</t>
  </si>
  <si>
    <t>1700_7417</t>
  </si>
  <si>
    <t>1700_7617</t>
  </si>
  <si>
    <t>1700_7817</t>
  </si>
  <si>
    <t>1700_7A17</t>
  </si>
  <si>
    <t>1700_7C17</t>
  </si>
  <si>
    <t>1700_7E17</t>
  </si>
  <si>
    <t>1700_0018</t>
  </si>
  <si>
    <t>1700_0218</t>
  </si>
  <si>
    <t>1700_0418</t>
  </si>
  <si>
    <t>1700_0618</t>
  </si>
  <si>
    <t>1700_0818</t>
  </si>
  <si>
    <t>1700_0A18</t>
  </si>
  <si>
    <t>1700_0C18</t>
  </si>
  <si>
    <t>1700_0E18</t>
  </si>
  <si>
    <t>1700_1018</t>
  </si>
  <si>
    <t>1700_1218</t>
  </si>
  <si>
    <t>1700_1418</t>
  </si>
  <si>
    <t>1700_1618</t>
  </si>
  <si>
    <t>1700_1818</t>
  </si>
  <si>
    <t>1700_1A18</t>
  </si>
  <si>
    <t>1700_1C18</t>
  </si>
  <si>
    <t>1700_1E18</t>
  </si>
  <si>
    <t>1700_2018</t>
  </si>
  <si>
    <t>1700_2218</t>
  </si>
  <si>
    <t>1700_2418</t>
  </si>
  <si>
    <t>1700_2618</t>
  </si>
  <si>
    <t>1700_2818</t>
  </si>
  <si>
    <t>1700_2A18</t>
  </si>
  <si>
    <t>1700_2C18</t>
  </si>
  <si>
    <t>1700_2E18</t>
  </si>
  <si>
    <t>1700_3018</t>
  </si>
  <si>
    <t>1700_3218</t>
  </si>
  <si>
    <t>1700_3418</t>
  </si>
  <si>
    <t>1700_3618</t>
  </si>
  <si>
    <t>1700_3818</t>
  </si>
  <si>
    <t>1700_3A18</t>
  </si>
  <si>
    <t>1700_3C18</t>
  </si>
  <si>
    <t>1700_3E18</t>
  </si>
  <si>
    <t>1700_4018</t>
  </si>
  <si>
    <t>1700_4218</t>
  </si>
  <si>
    <t>1700_4418</t>
  </si>
  <si>
    <t>1700_4618</t>
  </si>
  <si>
    <t>1700_4818</t>
  </si>
  <si>
    <t>1700_4A18</t>
  </si>
  <si>
    <t>1700_4C18</t>
  </si>
  <si>
    <t>1700_4E18</t>
  </si>
  <si>
    <t>1700_5018</t>
  </si>
  <si>
    <t>1700_5218</t>
  </si>
  <si>
    <t>1700_5418</t>
  </si>
  <si>
    <t>1700_5618</t>
  </si>
  <si>
    <t>1700_5818</t>
  </si>
  <si>
    <t>1700_5A18</t>
  </si>
  <si>
    <t>1700_5C18</t>
  </si>
  <si>
    <t>1700_5E18</t>
  </si>
  <si>
    <t>1700_6018</t>
  </si>
  <si>
    <t>1700_6218</t>
  </si>
  <si>
    <t>1700_6418</t>
  </si>
  <si>
    <t>1700_6618</t>
  </si>
  <si>
    <t>1700_6818</t>
  </si>
  <si>
    <t>1700_6A18</t>
  </si>
  <si>
    <t>1700_6C18</t>
  </si>
  <si>
    <t>1700_6E18</t>
  </si>
  <si>
    <t>1700_7018</t>
  </si>
  <si>
    <t>1700_7218</t>
  </si>
  <si>
    <t>1700_7418</t>
  </si>
  <si>
    <t>1700_7618</t>
  </si>
  <si>
    <t>1700_7818</t>
  </si>
  <si>
    <t>1700_7A18</t>
  </si>
  <si>
    <t>1700_7C18</t>
  </si>
  <si>
    <t>1700_7E18</t>
  </si>
  <si>
    <t>1700_0019</t>
  </si>
  <si>
    <t>1700_0219</t>
  </si>
  <si>
    <t>1700_0419</t>
  </si>
  <si>
    <t>1700_0619</t>
  </si>
  <si>
    <t>1700_0819</t>
  </si>
  <si>
    <t>1700_0A19</t>
  </si>
  <si>
    <t>1700_0C19</t>
  </si>
  <si>
    <t>1700_0E19</t>
  </si>
  <si>
    <t>1700_1019</t>
  </si>
  <si>
    <t>1700_1219</t>
  </si>
  <si>
    <t>1700_1419</t>
  </si>
  <si>
    <t>1700_1619</t>
  </si>
  <si>
    <t>1700_1819</t>
  </si>
  <si>
    <t>1700_1A19</t>
  </si>
  <si>
    <t>1700_1C19</t>
  </si>
  <si>
    <t>1700_1E19</t>
  </si>
  <si>
    <t>1700_2019</t>
  </si>
  <si>
    <t>1700_2219</t>
  </si>
  <si>
    <t>1700_2419</t>
  </si>
  <si>
    <t>1700_2619</t>
  </si>
  <si>
    <t>1700_2819</t>
  </si>
  <si>
    <t>1700_2A19</t>
  </si>
  <si>
    <t>1700_2C19</t>
  </si>
  <si>
    <t>1700_2E19</t>
  </si>
  <si>
    <t>1700_3019</t>
  </si>
  <si>
    <t>1700_3219</t>
  </si>
  <si>
    <t>1700_3419</t>
  </si>
  <si>
    <t>1700_3619</t>
  </si>
  <si>
    <t>1700_3819</t>
  </si>
  <si>
    <t>1700_3A19</t>
  </si>
  <si>
    <t>1700_3C19</t>
  </si>
  <si>
    <t>1700_3E19</t>
  </si>
  <si>
    <t>1700_4019</t>
  </si>
  <si>
    <t>1700_4219</t>
  </si>
  <si>
    <t>1700_4419</t>
  </si>
  <si>
    <t>1700_4619</t>
  </si>
  <si>
    <t>1700_4819</t>
  </si>
  <si>
    <t>1700_4A19</t>
  </si>
  <si>
    <t>1700_4C19</t>
  </si>
  <si>
    <t>1700_4E19</t>
  </si>
  <si>
    <t>1700_5019</t>
  </si>
  <si>
    <t>1700_5219</t>
  </si>
  <si>
    <t>1700_5419</t>
  </si>
  <si>
    <t>1700_5619</t>
  </si>
  <si>
    <t>1700_5819</t>
  </si>
  <si>
    <t>1700_5A19</t>
  </si>
  <si>
    <t>1700_5C19</t>
  </si>
  <si>
    <t>1700_5E19</t>
  </si>
  <si>
    <t>1700_6019</t>
  </si>
  <si>
    <t>1700_6219</t>
  </si>
  <si>
    <t>1700_6419</t>
  </si>
  <si>
    <t>1700_6619</t>
  </si>
  <si>
    <t>1700_6819</t>
  </si>
  <si>
    <t>1700_6A19</t>
  </si>
  <si>
    <t>1700_6C19</t>
  </si>
  <si>
    <t>1700_6E19</t>
  </si>
  <si>
    <t>1700_7019</t>
  </si>
  <si>
    <t>1700_7219</t>
  </si>
  <si>
    <t>1700_7419</t>
  </si>
  <si>
    <t>1700_7619</t>
  </si>
  <si>
    <t>1700_7819</t>
  </si>
  <si>
    <t>1700_7A19</t>
  </si>
  <si>
    <t>1700_7C19</t>
  </si>
  <si>
    <t>1700_7E19</t>
  </si>
  <si>
    <t>1700_001A</t>
  </si>
  <si>
    <t>1700_021A</t>
  </si>
  <si>
    <t>1700_041A</t>
  </si>
  <si>
    <t>1700_061A</t>
  </si>
  <si>
    <t>1700_081A</t>
  </si>
  <si>
    <t>1700_0A1A</t>
  </si>
  <si>
    <t>1700_0C1A</t>
  </si>
  <si>
    <t>1700_0E1A</t>
  </si>
  <si>
    <t>1700_101A</t>
  </si>
  <si>
    <t>1700_121A</t>
  </si>
  <si>
    <t>1700_141A</t>
  </si>
  <si>
    <t>1700_161A</t>
  </si>
  <si>
    <t>1700_181A</t>
  </si>
  <si>
    <t>1700_1A1A</t>
  </si>
  <si>
    <t>1700_1C1A</t>
  </si>
  <si>
    <t>1700_1E1A</t>
  </si>
  <si>
    <t>1700_201A</t>
  </si>
  <si>
    <t>1700_221A</t>
  </si>
  <si>
    <t>1700_241A</t>
  </si>
  <si>
    <t>1700_261A</t>
  </si>
  <si>
    <t>1700_281A</t>
  </si>
  <si>
    <t>1700_2A1A</t>
  </si>
  <si>
    <t>1700_2C1A</t>
  </si>
  <si>
    <t>1700_2E1A</t>
  </si>
  <si>
    <t>1700_301A</t>
  </si>
  <si>
    <t>1700_321A</t>
  </si>
  <si>
    <t>1700_341A</t>
  </si>
  <si>
    <t>1700_361A</t>
  </si>
  <si>
    <t>1700_381A</t>
  </si>
  <si>
    <t>1700_3A1A</t>
  </si>
  <si>
    <t>1700_3C1A</t>
  </si>
  <si>
    <t>1700_3E1A</t>
  </si>
  <si>
    <t>1700_401A</t>
  </si>
  <si>
    <t>1700_421A</t>
  </si>
  <si>
    <t>1700_441A</t>
  </si>
  <si>
    <t>1700_461A</t>
  </si>
  <si>
    <t>1700_481A</t>
  </si>
  <si>
    <t>1700_4A1A</t>
  </si>
  <si>
    <t>1700_4C1A</t>
  </si>
  <si>
    <t>1700_4E1A</t>
  </si>
  <si>
    <t>1700_501A</t>
  </si>
  <si>
    <t>1700_521A</t>
  </si>
  <si>
    <t>1700_541A</t>
  </si>
  <si>
    <t>1700_561A</t>
  </si>
  <si>
    <t>1700_581A</t>
  </si>
  <si>
    <t>1700_5A1A</t>
  </si>
  <si>
    <t>1700_5C1A</t>
  </si>
  <si>
    <t>1700_5E1A</t>
  </si>
  <si>
    <t>1700_601A</t>
  </si>
  <si>
    <t>1700_621A</t>
  </si>
  <si>
    <t>1700_641A</t>
  </si>
  <si>
    <t>1700_661A</t>
  </si>
  <si>
    <t>1700_681A</t>
  </si>
  <si>
    <t>1700_6A1A</t>
  </si>
  <si>
    <t>1700_6C1A</t>
  </si>
  <si>
    <t>1700_6E1A</t>
  </si>
  <si>
    <t>1700_701A</t>
  </si>
  <si>
    <t>1700_721A</t>
  </si>
  <si>
    <t>1700_741A</t>
  </si>
  <si>
    <t>1700_761A</t>
  </si>
  <si>
    <t>1700_781A</t>
  </si>
  <si>
    <t>1700_7A1A</t>
  </si>
  <si>
    <t>1700_7C1A</t>
  </si>
  <si>
    <t>1700_7E1A</t>
  </si>
  <si>
    <t>1700_001B</t>
  </si>
  <si>
    <t>1700_021B</t>
  </si>
  <si>
    <t>1700_041B</t>
  </si>
  <si>
    <t>1700_061B</t>
  </si>
  <si>
    <t>1700_081B</t>
  </si>
  <si>
    <t>1700_0A1B</t>
  </si>
  <si>
    <t>1700_0C1B</t>
  </si>
  <si>
    <t>1700_0E1B</t>
  </si>
  <si>
    <t>1700_101B</t>
  </si>
  <si>
    <t>1700_121B</t>
  </si>
  <si>
    <t>1700_141B</t>
  </si>
  <si>
    <t>1700_161B</t>
  </si>
  <si>
    <t>1700_181B</t>
  </si>
  <si>
    <t>1700_1A1B</t>
  </si>
  <si>
    <t>1700_1C1B</t>
  </si>
  <si>
    <t>1700_1E1B</t>
  </si>
  <si>
    <t>1700_201B</t>
  </si>
  <si>
    <t>1700_221B</t>
  </si>
  <si>
    <t>1700_241B</t>
  </si>
  <si>
    <t>1700_261B</t>
  </si>
  <si>
    <t>1700_281B</t>
  </si>
  <si>
    <t>1700_2A1B</t>
  </si>
  <si>
    <t>1700_2C1B</t>
  </si>
  <si>
    <t>1700_2E1B</t>
  </si>
  <si>
    <t>1700_301B</t>
  </si>
  <si>
    <t>1700_321B</t>
  </si>
  <si>
    <t>1700_341B</t>
  </si>
  <si>
    <t>1700_361B</t>
  </si>
  <si>
    <t>1700_381B</t>
  </si>
  <si>
    <t>1700_3A1B</t>
  </si>
  <si>
    <t>1700_3C1B</t>
  </si>
  <si>
    <t>1700_3E1B</t>
  </si>
  <si>
    <t>1700_401B</t>
  </si>
  <si>
    <t>1700_421B</t>
  </si>
  <si>
    <t>1700_441B</t>
  </si>
  <si>
    <t>1700_461B</t>
  </si>
  <si>
    <t>1700_481B</t>
  </si>
  <si>
    <t>1700_4A1B</t>
  </si>
  <si>
    <t>1700_4C1B</t>
  </si>
  <si>
    <t>1700_4E1B</t>
  </si>
  <si>
    <t>1700_501B</t>
  </si>
  <si>
    <t>1700_521B</t>
  </si>
  <si>
    <t>1700_541B</t>
  </si>
  <si>
    <t>1700_561B</t>
  </si>
  <si>
    <t>1700_581B</t>
  </si>
  <si>
    <t>1700_5A1B</t>
  </si>
  <si>
    <t>1700_5C1B</t>
  </si>
  <si>
    <t>1700_5E1B</t>
  </si>
  <si>
    <t>1700_601B</t>
  </si>
  <si>
    <t>1700_621B</t>
  </si>
  <si>
    <t>1700_641B</t>
  </si>
  <si>
    <t>1700_661B</t>
  </si>
  <si>
    <t>1700_681B</t>
  </si>
  <si>
    <t>1700_6A1B</t>
  </si>
  <si>
    <t>1700_6C1B</t>
  </si>
  <si>
    <t>1700_6E1B</t>
  </si>
  <si>
    <t>1700_701B</t>
  </si>
  <si>
    <t>1700_721B</t>
  </si>
  <si>
    <t>1700_741B</t>
  </si>
  <si>
    <t>1700_761B</t>
  </si>
  <si>
    <t>1700_781B</t>
  </si>
  <si>
    <t>1700_7A1B</t>
  </si>
  <si>
    <t>1700_7C1B</t>
  </si>
  <si>
    <t>1700_7E1B</t>
  </si>
  <si>
    <t>1700_001C</t>
  </si>
  <si>
    <t>1700_021C</t>
  </si>
  <si>
    <t>1700_041C</t>
  </si>
  <si>
    <t>1700_061C</t>
  </si>
  <si>
    <t>1700_081C</t>
  </si>
  <si>
    <t>1700_0A1C</t>
  </si>
  <si>
    <t>1700_0C1C</t>
  </si>
  <si>
    <t>1700_0E1C</t>
  </si>
  <si>
    <t>1700_101C</t>
  </si>
  <si>
    <t>1700_121C</t>
  </si>
  <si>
    <t>1700_141C</t>
  </si>
  <si>
    <t>1700_161C</t>
  </si>
  <si>
    <t>1700_181C</t>
  </si>
  <si>
    <t>1700_1A1C</t>
  </si>
  <si>
    <t>1700_1C1C</t>
  </si>
  <si>
    <t>1700_1E1C</t>
  </si>
  <si>
    <t>1700_201C</t>
  </si>
  <si>
    <t>1700_221C</t>
  </si>
  <si>
    <t>1700_241C</t>
  </si>
  <si>
    <t>1700_261C</t>
  </si>
  <si>
    <t>1700_281C</t>
  </si>
  <si>
    <t>1700_2A1C</t>
  </si>
  <si>
    <t>1700_2C1C</t>
  </si>
  <si>
    <t>1700_2E1C</t>
  </si>
  <si>
    <t>1700_301C</t>
  </si>
  <si>
    <t>1700_321C</t>
  </si>
  <si>
    <t>1700_341C</t>
  </si>
  <si>
    <t>1700_361C</t>
  </si>
  <si>
    <t>1700_381C</t>
  </si>
  <si>
    <t>1700_3A1C</t>
  </si>
  <si>
    <t>1700_3C1C</t>
  </si>
  <si>
    <t>1700_3E1C</t>
  </si>
  <si>
    <t>1700_401C</t>
  </si>
  <si>
    <t>1700_421C</t>
  </si>
  <si>
    <t>1700_441C</t>
  </si>
  <si>
    <t>1700_461C</t>
  </si>
  <si>
    <t>1700_481C</t>
  </si>
  <si>
    <t>1700_4A1C</t>
  </si>
  <si>
    <t>1700_4C1C</t>
  </si>
  <si>
    <t>1700_4E1C</t>
  </si>
  <si>
    <t>1700_501C</t>
  </si>
  <si>
    <t>1700_521C</t>
  </si>
  <si>
    <t>1700_541C</t>
  </si>
  <si>
    <t>1700_561C</t>
  </si>
  <si>
    <t>1700_581C</t>
  </si>
  <si>
    <t>1700_5A1C</t>
  </si>
  <si>
    <t>1700_5C1C</t>
  </si>
  <si>
    <t>1700_5E1C</t>
  </si>
  <si>
    <t>1700_601C</t>
  </si>
  <si>
    <t>1700_621C</t>
  </si>
  <si>
    <t>1700_641C</t>
  </si>
  <si>
    <t>1700_661C</t>
  </si>
  <si>
    <t>1700_681C</t>
  </si>
  <si>
    <t>1700_6A1C</t>
  </si>
  <si>
    <t>1700_6C1C</t>
  </si>
  <si>
    <t>1700_6E1C</t>
  </si>
  <si>
    <t>1700_701C</t>
  </si>
  <si>
    <t>1700_721C</t>
  </si>
  <si>
    <t>1700_741C</t>
  </si>
  <si>
    <t>1700_761C</t>
  </si>
  <si>
    <t>1700_781C</t>
  </si>
  <si>
    <t>1700_7A1C</t>
  </si>
  <si>
    <t>1700_7C1C</t>
  </si>
  <si>
    <t>1700_7E1C</t>
  </si>
  <si>
    <t>1700_001D</t>
  </si>
  <si>
    <t>1700_021D</t>
  </si>
  <si>
    <t>1700_041D</t>
  </si>
  <si>
    <t>1700_061D</t>
  </si>
  <si>
    <t>1700_081D</t>
  </si>
  <si>
    <t>1700_0A1D</t>
  </si>
  <si>
    <t>1700_0C1D</t>
  </si>
  <si>
    <t>1700_0E1D</t>
  </si>
  <si>
    <t>1700_101D</t>
  </si>
  <si>
    <t>1700_121D</t>
  </si>
  <si>
    <t>1700_141D</t>
  </si>
  <si>
    <t>1700_161D</t>
  </si>
  <si>
    <t>1700_181D</t>
  </si>
  <si>
    <t>1700_1A1D</t>
  </si>
  <si>
    <t>1700_1C1D</t>
  </si>
  <si>
    <t>1700_1E1D</t>
  </si>
  <si>
    <t>1700_201D</t>
  </si>
  <si>
    <t>1700_221D</t>
  </si>
  <si>
    <t>1700_241D</t>
  </si>
  <si>
    <t>1700_261D</t>
  </si>
  <si>
    <t>1700_281D</t>
  </si>
  <si>
    <t>1700_2A1D</t>
  </si>
  <si>
    <t>1700_2C1D</t>
  </si>
  <si>
    <t>1700_2E1D</t>
  </si>
  <si>
    <t>1700_301D</t>
  </si>
  <si>
    <t>1700_321D</t>
  </si>
  <si>
    <t>1700_341D</t>
  </si>
  <si>
    <t>1700_361D</t>
  </si>
  <si>
    <t>1700_381D</t>
  </si>
  <si>
    <t>1700_3A1D</t>
  </si>
  <si>
    <t>1700_3C1D</t>
  </si>
  <si>
    <t>1700_3E1D</t>
  </si>
  <si>
    <t>1700_401D</t>
  </si>
  <si>
    <t>1700_421D</t>
  </si>
  <si>
    <t>1700_441D</t>
  </si>
  <si>
    <t>1700_461D</t>
  </si>
  <si>
    <t>1700_481D</t>
  </si>
  <si>
    <t>1700_4A1D</t>
  </si>
  <si>
    <t>1700_4C1D</t>
  </si>
  <si>
    <t>1700_4E1D</t>
  </si>
  <si>
    <t>1700_501D</t>
  </si>
  <si>
    <t>1700_521D</t>
  </si>
  <si>
    <t>1700_541D</t>
  </si>
  <si>
    <t>1700_561D</t>
  </si>
  <si>
    <t>1700_581D</t>
  </si>
  <si>
    <t>1700_5A1D</t>
  </si>
  <si>
    <t>1700_5C1D</t>
  </si>
  <si>
    <t>1700_5E1D</t>
  </si>
  <si>
    <t>1700_601D</t>
  </si>
  <si>
    <t>1700_621D</t>
  </si>
  <si>
    <t>1700_641D</t>
  </si>
  <si>
    <t>1700_661D</t>
  </si>
  <si>
    <t>1700_681D</t>
  </si>
  <si>
    <t>1700_6A1D</t>
  </si>
  <si>
    <t>1700_6C1D</t>
  </si>
  <si>
    <t>1700_6E1D</t>
  </si>
  <si>
    <t>1700_701D</t>
  </si>
  <si>
    <t>1700_721D</t>
  </si>
  <si>
    <t>1700_741D</t>
  </si>
  <si>
    <t>1700_761D</t>
  </si>
  <si>
    <t>1700_781D</t>
  </si>
  <si>
    <t>1700_7A1D</t>
  </si>
  <si>
    <t>1700_7C1D</t>
  </si>
  <si>
    <t>1700_7E1D</t>
  </si>
  <si>
    <t>1700_001E</t>
  </si>
  <si>
    <t>1700_021E</t>
  </si>
  <si>
    <t>1700_041E</t>
  </si>
  <si>
    <t>1700_061E</t>
  </si>
  <si>
    <t>1700_081E</t>
  </si>
  <si>
    <t>1700_0A1E</t>
  </si>
  <si>
    <t>1700_0C1E</t>
  </si>
  <si>
    <t>1700_0E1E</t>
  </si>
  <si>
    <t>1700_101E</t>
  </si>
  <si>
    <t>1700_121E</t>
  </si>
  <si>
    <t>1700_141E</t>
  </si>
  <si>
    <t>1700_161E</t>
  </si>
  <si>
    <t>1700_181E</t>
  </si>
  <si>
    <t>1700_1A1E</t>
  </si>
  <si>
    <t>1700_1C1E</t>
  </si>
  <si>
    <t>1700_1E1E</t>
  </si>
  <si>
    <t>1700_201E</t>
  </si>
  <si>
    <t>1700_221E</t>
  </si>
  <si>
    <t>1700_241E</t>
  </si>
  <si>
    <t>1700_261E</t>
  </si>
  <si>
    <t>1700_281E</t>
  </si>
  <si>
    <t>1700_2A1E</t>
  </si>
  <si>
    <t>1700_2C1E</t>
  </si>
  <si>
    <t>1700_2E1E</t>
  </si>
  <si>
    <t>1700_301E</t>
  </si>
  <si>
    <t>1700_321E</t>
  </si>
  <si>
    <t>1700_341E</t>
  </si>
  <si>
    <t>1700_361E</t>
  </si>
  <si>
    <t>1700_381E</t>
  </si>
  <si>
    <t>1700_3A1E</t>
  </si>
  <si>
    <t>1700_3C1E</t>
  </si>
  <si>
    <t>1700_3E1E</t>
  </si>
  <si>
    <t>1700_401E</t>
  </si>
  <si>
    <t>1700_421E</t>
  </si>
  <si>
    <t>1700_441E</t>
  </si>
  <si>
    <t>1700_461E</t>
  </si>
  <si>
    <t>1700_481E</t>
  </si>
  <si>
    <t>1700_4A1E</t>
  </si>
  <si>
    <t>1700_4C1E</t>
  </si>
  <si>
    <t>1700_4E1E</t>
  </si>
  <si>
    <t>1700_501E</t>
  </si>
  <si>
    <t>1700_521E</t>
  </si>
  <si>
    <t>1700_541E</t>
  </si>
  <si>
    <t>1700_561E</t>
  </si>
  <si>
    <t>1700_581E</t>
  </si>
  <si>
    <t>1700_5A1E</t>
  </si>
  <si>
    <t>1700_5C1E</t>
  </si>
  <si>
    <t>1700_5E1E</t>
  </si>
  <si>
    <t>1700_601E</t>
  </si>
  <si>
    <t>1700_621E</t>
  </si>
  <si>
    <t>1700_641E</t>
  </si>
  <si>
    <t>1700_661E</t>
  </si>
  <si>
    <t>1700_681E</t>
  </si>
  <si>
    <t>1700_6A1E</t>
  </si>
  <si>
    <t>1700_6C1E</t>
  </si>
  <si>
    <t>1700_6E1E</t>
  </si>
  <si>
    <t>1700_701E</t>
  </si>
  <si>
    <t>1700_721E</t>
  </si>
  <si>
    <t>1700_741E</t>
  </si>
  <si>
    <t>1700_761E</t>
  </si>
  <si>
    <t>1700_781E</t>
  </si>
  <si>
    <t>1700_7A1E</t>
  </si>
  <si>
    <t>1700_7C1E</t>
  </si>
  <si>
    <t>1700_7E1E</t>
  </si>
  <si>
    <t>1700_001F</t>
  </si>
  <si>
    <t>1700_021F</t>
  </si>
  <si>
    <t>1700_041F</t>
  </si>
  <si>
    <t>1700_061F</t>
  </si>
  <si>
    <t>1700_081F</t>
  </si>
  <si>
    <t>1700_0A1F</t>
  </si>
  <si>
    <t>1700_0C1F</t>
  </si>
  <si>
    <t>1700_0E1F</t>
  </si>
  <si>
    <t>1700_101F</t>
  </si>
  <si>
    <t>1700_121F</t>
  </si>
  <si>
    <t>1700_141F</t>
  </si>
  <si>
    <t>1700_161F</t>
  </si>
  <si>
    <t>1700_181F</t>
  </si>
  <si>
    <t>1700_1A1F</t>
  </si>
  <si>
    <t>1700_1C1F</t>
  </si>
  <si>
    <t>1700_1E1F</t>
  </si>
  <si>
    <t>1700_201F</t>
  </si>
  <si>
    <t>1700_221F</t>
  </si>
  <si>
    <t>1700_241F</t>
  </si>
  <si>
    <t>1700_261F</t>
  </si>
  <si>
    <t>1700_281F</t>
  </si>
  <si>
    <t>1700_2A1F</t>
  </si>
  <si>
    <t>1700_2C1F</t>
  </si>
  <si>
    <t>1700_2E1F</t>
  </si>
  <si>
    <t>1700_301F</t>
  </si>
  <si>
    <t>1700_321F</t>
  </si>
  <si>
    <t>1700_341F</t>
  </si>
  <si>
    <t>1700_361F</t>
  </si>
  <si>
    <t>1700_381F</t>
  </si>
  <si>
    <t>1700_3A1F</t>
  </si>
  <si>
    <t>1700_3C1F</t>
  </si>
  <si>
    <t>1700_3E1F</t>
  </si>
  <si>
    <t>1700_401F</t>
  </si>
  <si>
    <t>1700_421F</t>
  </si>
  <si>
    <t>1700_441F</t>
  </si>
  <si>
    <t>1700_461F</t>
  </si>
  <si>
    <t>1700_481F</t>
  </si>
  <si>
    <t>1700_4A1F</t>
  </si>
  <si>
    <t>1700_4C1F</t>
  </si>
  <si>
    <t>1700_4E1F</t>
  </si>
  <si>
    <t>1700_501F</t>
  </si>
  <si>
    <t>1700_521F</t>
  </si>
  <si>
    <t>1700_541F</t>
  </si>
  <si>
    <t>1700_561F</t>
  </si>
  <si>
    <t>1700_581F</t>
  </si>
  <si>
    <t>1700_5A1F</t>
  </si>
  <si>
    <t>1700_5C1F</t>
  </si>
  <si>
    <t>1700_5E1F</t>
  </si>
  <si>
    <t>1700_601F</t>
  </si>
  <si>
    <t>1700_621F</t>
  </si>
  <si>
    <t>1700_641F</t>
  </si>
  <si>
    <t>1700_661F</t>
  </si>
  <si>
    <t>1700_681F</t>
  </si>
  <si>
    <t>1700_6A1F</t>
  </si>
  <si>
    <t>1700_6C1F</t>
  </si>
  <si>
    <t>1700_6E1F</t>
  </si>
  <si>
    <t>1700_701F</t>
  </si>
  <si>
    <t>1700_721F</t>
  </si>
  <si>
    <t>1700_741F</t>
  </si>
  <si>
    <t>1700_761F</t>
  </si>
  <si>
    <t>1700_781F</t>
  </si>
  <si>
    <t>1700_7A1F</t>
  </si>
  <si>
    <t>1700_7C1F</t>
  </si>
  <si>
    <t>1700_7E1F</t>
  </si>
  <si>
    <t>1700_0020</t>
  </si>
  <si>
    <t>1700_0220</t>
  </si>
  <si>
    <t>1700_0420</t>
  </si>
  <si>
    <t>1700_0620</t>
  </si>
  <si>
    <t>1700_0820</t>
  </si>
  <si>
    <t>1700_0A20</t>
  </si>
  <si>
    <t>1700_0C20</t>
  </si>
  <si>
    <t>1700_0E20</t>
  </si>
  <si>
    <t>1700_1020</t>
  </si>
  <si>
    <t>1700_1220</t>
  </si>
  <si>
    <t>1700_1420</t>
  </si>
  <si>
    <t>1700_1620</t>
  </si>
  <si>
    <t>1700_1820</t>
  </si>
  <si>
    <t>1700_1A20</t>
  </si>
  <si>
    <t>1700_1C20</t>
  </si>
  <si>
    <t>1700_1E20</t>
  </si>
  <si>
    <t>1700_2020</t>
  </si>
  <si>
    <t>1700_2220</t>
  </si>
  <si>
    <t>1700_2420</t>
  </si>
  <si>
    <t>1700_2620</t>
  </si>
  <si>
    <t>1700_2820</t>
  </si>
  <si>
    <t>1700_2A20</t>
  </si>
  <si>
    <t>1700_2C20</t>
  </si>
  <si>
    <t>1700_2E20</t>
  </si>
  <si>
    <t>1700_3020</t>
  </si>
  <si>
    <t>1700_3220</t>
  </si>
  <si>
    <t>1700_3420</t>
  </si>
  <si>
    <t>1700_3620</t>
  </si>
  <si>
    <t>1700_3820</t>
  </si>
  <si>
    <t>1700_3A20</t>
  </si>
  <si>
    <t>1700_3C20</t>
  </si>
  <si>
    <t>1700_3E20</t>
  </si>
  <si>
    <t>1700_4020</t>
  </si>
  <si>
    <t>1700_4220</t>
  </si>
  <si>
    <t>1700_4420</t>
  </si>
  <si>
    <t>1700_4620</t>
  </si>
  <si>
    <t>1700_4820</t>
  </si>
  <si>
    <t>1700_4A20</t>
  </si>
  <si>
    <t>1700_4C20</t>
  </si>
  <si>
    <t>1700_4E20</t>
  </si>
  <si>
    <t>1700_5020</t>
  </si>
  <si>
    <t>1700_5220</t>
  </si>
  <si>
    <t>1700_5420</t>
  </si>
  <si>
    <t>1700_5620</t>
  </si>
  <si>
    <t>1700_5820</t>
  </si>
  <si>
    <t>1700_5A20</t>
  </si>
  <si>
    <t>1700_5C20</t>
  </si>
  <si>
    <t>1700_5E20</t>
  </si>
  <si>
    <t>1700_6020</t>
  </si>
  <si>
    <t>1700_6220</t>
  </si>
  <si>
    <t>1700_6420</t>
  </si>
  <si>
    <t>1700_6620</t>
  </si>
  <si>
    <t>1700_6820</t>
  </si>
  <si>
    <t>1700_6A20</t>
  </si>
  <si>
    <t>1700_6C20</t>
  </si>
  <si>
    <t>1700_6E20</t>
  </si>
  <si>
    <t>1700_7020</t>
  </si>
  <si>
    <t>1700_7220</t>
  </si>
  <si>
    <t>1700_7420</t>
  </si>
  <si>
    <t>1700_7620</t>
  </si>
  <si>
    <t>1700_7820</t>
  </si>
  <si>
    <t>1700_7A20</t>
  </si>
  <si>
    <t>1700_7C20</t>
  </si>
  <si>
    <t>1700_7E20</t>
  </si>
  <si>
    <t>1700_0021</t>
  </si>
  <si>
    <t>1700_0221</t>
  </si>
  <si>
    <t>1700_0421</t>
  </si>
  <si>
    <t>1700_0621</t>
  </si>
  <si>
    <t>1700_0821</t>
  </si>
  <si>
    <t>1700_0A21</t>
  </si>
  <si>
    <t>1700_0C21</t>
  </si>
  <si>
    <t>1700_0E21</t>
  </si>
  <si>
    <t>1700_1021</t>
  </si>
  <si>
    <t>1700_1221</t>
  </si>
  <si>
    <t>1700_1421</t>
  </si>
  <si>
    <t>1700_1621</t>
  </si>
  <si>
    <t>1700_1821</t>
  </si>
  <si>
    <t>1700_1A21</t>
  </si>
  <si>
    <t>1700_1C21</t>
  </si>
  <si>
    <t>1700_1E21</t>
  </si>
  <si>
    <t>1700_2021</t>
  </si>
  <si>
    <t>1700_2221</t>
  </si>
  <si>
    <t>1700_2421</t>
  </si>
  <si>
    <t>1700_2621</t>
  </si>
  <si>
    <t>1700_2821</t>
  </si>
  <si>
    <t>1700_2A21</t>
  </si>
  <si>
    <t>1700_2C21</t>
  </si>
  <si>
    <t>1700_2E21</t>
  </si>
  <si>
    <t>1700_3021</t>
  </si>
  <si>
    <t>1700_3221</t>
  </si>
  <si>
    <t>1700_3421</t>
  </si>
  <si>
    <t>1700_3621</t>
  </si>
  <si>
    <t>1700_3821</t>
  </si>
  <si>
    <t>1700_3A21</t>
  </si>
  <si>
    <t>1700_3C21</t>
  </si>
  <si>
    <t>1700_3E21</t>
  </si>
  <si>
    <t>1700_4021</t>
  </si>
  <si>
    <t>1700_4221</t>
  </si>
  <si>
    <t>1700_4421</t>
  </si>
  <si>
    <t>1700_4621</t>
  </si>
  <si>
    <t>1700_4821</t>
  </si>
  <si>
    <t>1700_4A21</t>
  </si>
  <si>
    <t>1700_4C21</t>
  </si>
  <si>
    <t>1700_4E21</t>
  </si>
  <si>
    <t>1700_5021</t>
  </si>
  <si>
    <t>1700_5221</t>
  </si>
  <si>
    <t>1700_5421</t>
  </si>
  <si>
    <t>1700_5621</t>
  </si>
  <si>
    <t>1700_5821</t>
  </si>
  <si>
    <t>1700_5A21</t>
  </si>
  <si>
    <t>1700_5C21</t>
  </si>
  <si>
    <t>1700_5E21</t>
  </si>
  <si>
    <t>1700_6021</t>
  </si>
  <si>
    <t>1700_6221</t>
  </si>
  <si>
    <t>1700_6421</t>
  </si>
  <si>
    <t>1700_6621</t>
  </si>
  <si>
    <t>1700_6821</t>
  </si>
  <si>
    <t>1700_6A21</t>
  </si>
  <si>
    <t>1700_6C21</t>
  </si>
  <si>
    <t>1700_6E21</t>
  </si>
  <si>
    <t>1700_7021</t>
  </si>
  <si>
    <t>1700_7221</t>
  </si>
  <si>
    <t>1700_7421</t>
  </si>
  <si>
    <t>1700_7621</t>
  </si>
  <si>
    <t>1700_7821</t>
  </si>
  <si>
    <t>1700_7A21</t>
  </si>
  <si>
    <t>1700_7C21</t>
  </si>
  <si>
    <t>1700_7E21</t>
  </si>
  <si>
    <t>1700_0022</t>
  </si>
  <si>
    <t>1700_0222</t>
  </si>
  <si>
    <t>1700_0422</t>
  </si>
  <si>
    <t>1700_0622</t>
  </si>
  <si>
    <t>1700_0822</t>
  </si>
  <si>
    <t>1700_0A22</t>
  </si>
  <si>
    <t>1700_0C22</t>
  </si>
  <si>
    <t>1700_0E22</t>
  </si>
  <si>
    <t>1700_1022</t>
  </si>
  <si>
    <t>1700_1222</t>
  </si>
  <si>
    <t>1700_1422</t>
  </si>
  <si>
    <t>1700_1622</t>
  </si>
  <si>
    <t>1700_1822</t>
  </si>
  <si>
    <t>1700_1A22</t>
  </si>
  <si>
    <t>1700_1C22</t>
  </si>
  <si>
    <t>1700_1E22</t>
  </si>
  <si>
    <t>1700_2022</t>
  </si>
  <si>
    <t>1700_2222</t>
  </si>
  <si>
    <t>1700_2422</t>
  </si>
  <si>
    <t>1700_2622</t>
  </si>
  <si>
    <t>1700_2822</t>
  </si>
  <si>
    <t>1700_2A22</t>
  </si>
  <si>
    <t>1700_2C22</t>
  </si>
  <si>
    <t>1700_2E22</t>
  </si>
  <si>
    <t>1700_3022</t>
  </si>
  <si>
    <t>1700_3222</t>
  </si>
  <si>
    <t>1700_3422</t>
  </si>
  <si>
    <t>1700_3622</t>
  </si>
  <si>
    <t>1700_3822</t>
  </si>
  <si>
    <t>1700_3A22</t>
  </si>
  <si>
    <t>1700_3C22</t>
  </si>
  <si>
    <t>1700_3E22</t>
  </si>
  <si>
    <t>1700_4022</t>
  </si>
  <si>
    <t>1700_4222</t>
  </si>
  <si>
    <t>1700_4422</t>
  </si>
  <si>
    <t>1700_4622</t>
  </si>
  <si>
    <t>1700_4822</t>
  </si>
  <si>
    <t>1700_4A22</t>
  </si>
  <si>
    <t>1700_4C22</t>
  </si>
  <si>
    <t>1700_4E22</t>
  </si>
  <si>
    <t>1700_5022</t>
  </si>
  <si>
    <t>1700_5222</t>
  </si>
  <si>
    <t>1700_5422</t>
  </si>
  <si>
    <t>1700_5622</t>
  </si>
  <si>
    <t>1700_5822</t>
  </si>
  <si>
    <t>1700_5A22</t>
  </si>
  <si>
    <t>1700_5C22</t>
  </si>
  <si>
    <t>1700_5E22</t>
  </si>
  <si>
    <t>1700_6022</t>
  </si>
  <si>
    <t>1700_6222</t>
  </si>
  <si>
    <t>1700_6422</t>
  </si>
  <si>
    <t>1700_6622</t>
  </si>
  <si>
    <t>1700_6822</t>
  </si>
  <si>
    <t>1700_6A22</t>
  </si>
  <si>
    <t>1700_6C22</t>
  </si>
  <si>
    <t>1700_6E22</t>
  </si>
  <si>
    <t>1700_7022</t>
  </si>
  <si>
    <t>1700_7222</t>
  </si>
  <si>
    <t>1700_7422</t>
  </si>
  <si>
    <t>1700_7622</t>
  </si>
  <si>
    <t>1700_7822</t>
  </si>
  <si>
    <t>1700_7A22</t>
  </si>
  <si>
    <t>1700_7C22</t>
  </si>
  <si>
    <t>1700_7E22</t>
  </si>
  <si>
    <t>1700_0023</t>
  </si>
  <si>
    <t>1700_0223</t>
  </si>
  <si>
    <t>1700_0423</t>
  </si>
  <si>
    <t>1700_0623</t>
  </si>
  <si>
    <t>1700_0823</t>
  </si>
  <si>
    <t>1700_0A23</t>
  </si>
  <si>
    <t>1700_0C23</t>
  </si>
  <si>
    <t>1700_0E23</t>
  </si>
  <si>
    <t>1700_1023</t>
  </si>
  <si>
    <t>1700_1223</t>
  </si>
  <si>
    <t>1700_1423</t>
  </si>
  <si>
    <t>1700_1623</t>
  </si>
  <si>
    <t>1700_1823</t>
  </si>
  <si>
    <t>1700_1A23</t>
  </si>
  <si>
    <t>1700_1C23</t>
  </si>
  <si>
    <t>1700_1E23</t>
  </si>
  <si>
    <t>1700_2023</t>
  </si>
  <si>
    <t>1700_2223</t>
  </si>
  <si>
    <t>1700_2423</t>
  </si>
  <si>
    <t>1700_2623</t>
  </si>
  <si>
    <t>1700_2823</t>
  </si>
  <si>
    <t>1700_2A23</t>
  </si>
  <si>
    <t>1700_2C23</t>
  </si>
  <si>
    <t>1700_2E23</t>
  </si>
  <si>
    <t>1700_3023</t>
  </si>
  <si>
    <t>1700_3223</t>
  </si>
  <si>
    <t>1700_3423</t>
  </si>
  <si>
    <t>1700_3623</t>
  </si>
  <si>
    <t>1700_3823</t>
  </si>
  <si>
    <t>1700_3A23</t>
  </si>
  <si>
    <t>1700_3C23</t>
  </si>
  <si>
    <t>1700_3E23</t>
  </si>
  <si>
    <t>1700_4023</t>
  </si>
  <si>
    <t>1700_4223</t>
  </si>
  <si>
    <t>1700_4423</t>
  </si>
  <si>
    <t>1700_4623</t>
  </si>
  <si>
    <t>1700_4823</t>
  </si>
  <si>
    <t>1700_4A23</t>
  </si>
  <si>
    <t>1700_4C23</t>
  </si>
  <si>
    <t>1700_4E23</t>
  </si>
  <si>
    <t>1700_5023</t>
  </si>
  <si>
    <t>1700_5223</t>
  </si>
  <si>
    <t>1700_5423</t>
  </si>
  <si>
    <t>1700_5623</t>
  </si>
  <si>
    <t>1700_5823</t>
  </si>
  <si>
    <t>1700_5A23</t>
  </si>
  <si>
    <t>1700_5C23</t>
  </si>
  <si>
    <t>1700_5E23</t>
  </si>
  <si>
    <t>1700_6023</t>
  </si>
  <si>
    <t>1700_6223</t>
  </si>
  <si>
    <t>1700_6423</t>
  </si>
  <si>
    <t>1700_6623</t>
  </si>
  <si>
    <t>1700_6823</t>
  </si>
  <si>
    <t>1700_6A23</t>
  </si>
  <si>
    <t>1700_6C23</t>
  </si>
  <si>
    <t>1700_6E23</t>
  </si>
  <si>
    <t>1700_7023</t>
  </si>
  <si>
    <t>1700_7223</t>
  </si>
  <si>
    <t>1700_7423</t>
  </si>
  <si>
    <t>1700_7623</t>
  </si>
  <si>
    <t>1700_7823</t>
  </si>
  <si>
    <t>1700_7A23</t>
  </si>
  <si>
    <t>1700_7C23</t>
  </si>
  <si>
    <t>1700_7E23</t>
  </si>
  <si>
    <t>1700_0024</t>
  </si>
  <si>
    <t>1700_0224</t>
  </si>
  <si>
    <t>1700_0424</t>
  </si>
  <si>
    <t>1700_0624</t>
  </si>
  <si>
    <t>1700_0824</t>
  </si>
  <si>
    <t>1700_0A24</t>
  </si>
  <si>
    <t>1700_0C24</t>
  </si>
  <si>
    <t>1700_0E24</t>
  </si>
  <si>
    <t>1700_1024</t>
  </si>
  <si>
    <t>1700_1224</t>
  </si>
  <si>
    <t>1700_1424</t>
  </si>
  <si>
    <t>1700_1624</t>
  </si>
  <si>
    <t>1700_1824</t>
  </si>
  <si>
    <t>1700_1A24</t>
  </si>
  <si>
    <t>1700_1C24</t>
  </si>
  <si>
    <t>1700_1E24</t>
  </si>
  <si>
    <t>1700_2024</t>
  </si>
  <si>
    <t>1700_2224</t>
  </si>
  <si>
    <t>1700_2424</t>
  </si>
  <si>
    <t>1700_2624</t>
  </si>
  <si>
    <t>1700_2824</t>
  </si>
  <si>
    <t>1700_2A24</t>
  </si>
  <si>
    <t>1700_2C24</t>
  </si>
  <si>
    <t>1700_2E24</t>
  </si>
  <si>
    <t>1700_3024</t>
  </si>
  <si>
    <t>1700_3224</t>
  </si>
  <si>
    <t>1700_3424</t>
  </si>
  <si>
    <t>1700_3624</t>
  </si>
  <si>
    <t>1700_3824</t>
  </si>
  <si>
    <t>1700_3A24</t>
  </si>
  <si>
    <t>1700_3C24</t>
  </si>
  <si>
    <t>1700_3E24</t>
  </si>
  <si>
    <t>1700_4024</t>
  </si>
  <si>
    <t>1700_4224</t>
  </si>
  <si>
    <t>1700_4424</t>
  </si>
  <si>
    <t>1700_4624</t>
  </si>
  <si>
    <t>1700_4824</t>
  </si>
  <si>
    <t>1700_4A24</t>
  </si>
  <si>
    <t>1700_4C24</t>
  </si>
  <si>
    <t>1700_4E24</t>
  </si>
  <si>
    <t>1700_5024</t>
  </si>
  <si>
    <t>1700_5224</t>
  </si>
  <si>
    <t>1700_5424</t>
  </si>
  <si>
    <t>1700_5624</t>
  </si>
  <si>
    <t>1700_5824</t>
  </si>
  <si>
    <t>1700_5A24</t>
  </si>
  <si>
    <t>1700_5C24</t>
  </si>
  <si>
    <t>1700_5E24</t>
  </si>
  <si>
    <t>1700_6024</t>
  </si>
  <si>
    <t>1700_6224</t>
  </si>
  <si>
    <t>1700_6424</t>
  </si>
  <si>
    <t>1700_6624</t>
  </si>
  <si>
    <t>1700_6824</t>
  </si>
  <si>
    <t>1700_6A24</t>
  </si>
  <si>
    <t>1700_6C24</t>
  </si>
  <si>
    <t>1700_6E24</t>
  </si>
  <si>
    <t>1700_7024</t>
  </si>
  <si>
    <t>1700_7224</t>
  </si>
  <si>
    <t>1700_7424</t>
  </si>
  <si>
    <t>1700_7624</t>
  </si>
  <si>
    <t>1700_7824</t>
  </si>
  <si>
    <t>1700_7A24</t>
  </si>
  <si>
    <t>1700_7C24</t>
  </si>
  <si>
    <t>1700_7E24</t>
  </si>
  <si>
    <t>1700_0025</t>
  </si>
  <si>
    <t>1700_0225</t>
  </si>
  <si>
    <t>1700_0425</t>
  </si>
  <si>
    <t>1700_0625</t>
  </si>
  <si>
    <t>1700_0825</t>
  </si>
  <si>
    <t>1700_0A25</t>
  </si>
  <si>
    <t>1700_0C25</t>
  </si>
  <si>
    <t>1700_0E25</t>
  </si>
  <si>
    <t>1700_1025</t>
  </si>
  <si>
    <t>1700_1225</t>
  </si>
  <si>
    <t>1700_1425</t>
  </si>
  <si>
    <t>1700_1625</t>
  </si>
  <si>
    <t>1700_1825</t>
  </si>
  <si>
    <t>1700_1A25</t>
  </si>
  <si>
    <t>1700_1C25</t>
  </si>
  <si>
    <t>1700_1E25</t>
  </si>
  <si>
    <t>1700_2025</t>
  </si>
  <si>
    <t>1700_2225</t>
  </si>
  <si>
    <t>1700_2425</t>
  </si>
  <si>
    <t>1700_2625</t>
  </si>
  <si>
    <t>1700_2825</t>
  </si>
  <si>
    <t>1700_2A25</t>
  </si>
  <si>
    <t>1700_2C25</t>
  </si>
  <si>
    <t>1700_2E25</t>
  </si>
  <si>
    <t>1700_3025</t>
  </si>
  <si>
    <t>1700_3225</t>
  </si>
  <si>
    <t>1700_3425</t>
  </si>
  <si>
    <t>1700_3625</t>
  </si>
  <si>
    <t>1700_3825</t>
  </si>
  <si>
    <t>1700_3A25</t>
  </si>
  <si>
    <t>1700_3C25</t>
  </si>
  <si>
    <t>1700_3E25</t>
  </si>
  <si>
    <t>1700_4025</t>
  </si>
  <si>
    <t>1700_4225</t>
  </si>
  <si>
    <t>1700_4425</t>
  </si>
  <si>
    <t>1700_4625</t>
  </si>
  <si>
    <t>1700_4825</t>
  </si>
  <si>
    <t>1700_4A25</t>
  </si>
  <si>
    <t>1700_4C25</t>
  </si>
  <si>
    <t>1700_4E25</t>
  </si>
  <si>
    <t>1700_5025</t>
  </si>
  <si>
    <t>1700_5225</t>
  </si>
  <si>
    <t>1700_5425</t>
  </si>
  <si>
    <t>1700_5625</t>
  </si>
  <si>
    <t>1700_5825</t>
  </si>
  <si>
    <t>1700_5A25</t>
  </si>
  <si>
    <t>1700_5C25</t>
  </si>
  <si>
    <t>1700_5E25</t>
  </si>
  <si>
    <t>1700_6025</t>
  </si>
  <si>
    <t>1700_6225</t>
  </si>
  <si>
    <t>1700_6425</t>
  </si>
  <si>
    <t>1700_6625</t>
  </si>
  <si>
    <t>1700_6825</t>
  </si>
  <si>
    <t>1700_6A25</t>
  </si>
  <si>
    <t>1700_6C25</t>
  </si>
  <si>
    <t>1700_6E25</t>
  </si>
  <si>
    <t>1700_7025</t>
  </si>
  <si>
    <t>1700_7225</t>
  </si>
  <si>
    <t>1700_7425</t>
  </si>
  <si>
    <t>1700_7625</t>
  </si>
  <si>
    <t>1700_7825</t>
  </si>
  <si>
    <t>1700_7A25</t>
  </si>
  <si>
    <t>1700_7C25</t>
  </si>
  <si>
    <t>1700_7E25</t>
  </si>
  <si>
    <t>1700_0026</t>
  </si>
  <si>
    <t>1700_0226</t>
  </si>
  <si>
    <t>1700_0426</t>
  </si>
  <si>
    <t>1700_0626</t>
  </si>
  <si>
    <t>1700_0826</t>
  </si>
  <si>
    <t>1700_0A26</t>
  </si>
  <si>
    <t>1700_0C26</t>
  </si>
  <si>
    <t>1700_0E26</t>
  </si>
  <si>
    <t>1700_1026</t>
  </si>
  <si>
    <t>1700_1226</t>
  </si>
  <si>
    <t>1700_1426</t>
  </si>
  <si>
    <t>1700_1626</t>
  </si>
  <si>
    <t>1700_1826</t>
  </si>
  <si>
    <t>1700_1A26</t>
  </si>
  <si>
    <t>1700_1C26</t>
  </si>
  <si>
    <t>1700_1E26</t>
  </si>
  <si>
    <t>1700_2026</t>
  </si>
  <si>
    <t>1700_2226</t>
  </si>
  <si>
    <t>1700_2426</t>
  </si>
  <si>
    <t>1700_2626</t>
  </si>
  <si>
    <t>1700_2826</t>
  </si>
  <si>
    <t>1700_2A26</t>
  </si>
  <si>
    <t>1700_2C26</t>
  </si>
  <si>
    <t>1700_2E26</t>
  </si>
  <si>
    <t>1700_3026</t>
  </si>
  <si>
    <t>1700_3226</t>
  </si>
  <si>
    <t>1700_3426</t>
  </si>
  <si>
    <t>1700_3626</t>
  </si>
  <si>
    <t>1700_3826</t>
  </si>
  <si>
    <t>1700_3A26</t>
  </si>
  <si>
    <t>1700_3C26</t>
  </si>
  <si>
    <t>1700_3E26</t>
  </si>
  <si>
    <t>1700_4026</t>
  </si>
  <si>
    <t>1700_4226</t>
  </si>
  <si>
    <t>1700_4426</t>
  </si>
  <si>
    <t>1700_4626</t>
  </si>
  <si>
    <t>1700_4826</t>
  </si>
  <si>
    <t>1700_4A26</t>
  </si>
  <si>
    <t>1700_4C26</t>
  </si>
  <si>
    <t>1700_4E26</t>
  </si>
  <si>
    <t>1700_5026</t>
  </si>
  <si>
    <t>1700_5226</t>
  </si>
  <si>
    <t>1700_5426</t>
  </si>
  <si>
    <t>1700_5626</t>
  </si>
  <si>
    <t>1700_5826</t>
  </si>
  <si>
    <t>1700_5A26</t>
  </si>
  <si>
    <t>1700_5C26</t>
  </si>
  <si>
    <t>1700_5E26</t>
  </si>
  <si>
    <t>1700_6026</t>
  </si>
  <si>
    <t>1700_6226</t>
  </si>
  <si>
    <t>1700_6426</t>
  </si>
  <si>
    <t>1700_6626</t>
  </si>
  <si>
    <t>1700_6826</t>
  </si>
  <si>
    <t>1700_6A26</t>
  </si>
  <si>
    <t>1700_6C26</t>
  </si>
  <si>
    <t>1700_6E26</t>
  </si>
  <si>
    <t>1700_7026</t>
  </si>
  <si>
    <t>1700_7226</t>
  </si>
  <si>
    <t>1700_7426</t>
  </si>
  <si>
    <t>1700_7626</t>
  </si>
  <si>
    <t>1700_7826</t>
  </si>
  <si>
    <t>1700_7A26</t>
  </si>
  <si>
    <t>1700_7C26</t>
  </si>
  <si>
    <t>1700_7E26</t>
  </si>
  <si>
    <t>1700_0027</t>
  </si>
  <si>
    <t>1700_0227</t>
  </si>
  <si>
    <t>1700_0427</t>
  </si>
  <si>
    <t>1700_0627</t>
  </si>
  <si>
    <t>1700_0827</t>
  </si>
  <si>
    <t>1700_0A27</t>
  </si>
  <si>
    <t>1700_0C27</t>
  </si>
  <si>
    <t>1700_0E27</t>
  </si>
  <si>
    <t>1700_1027</t>
  </si>
  <si>
    <t>1700_1227</t>
  </si>
  <si>
    <t>1700_1427</t>
  </si>
  <si>
    <t>1700_1627</t>
  </si>
  <si>
    <t>1700_1827</t>
  </si>
  <si>
    <t>1700_1A27</t>
  </si>
  <si>
    <t>1700_1C27</t>
  </si>
  <si>
    <t>1700_1E27</t>
  </si>
  <si>
    <t>1700_2027</t>
  </si>
  <si>
    <t>1700_2227</t>
  </si>
  <si>
    <t>1700_2427</t>
  </si>
  <si>
    <t>1700_2627</t>
  </si>
  <si>
    <t>1700_2827</t>
  </si>
  <si>
    <t>1700_2A27</t>
  </si>
  <si>
    <t>1700_2C27</t>
  </si>
  <si>
    <t>1700_2E27</t>
  </si>
  <si>
    <t>1700_3027</t>
  </si>
  <si>
    <t>1700_3227</t>
  </si>
  <si>
    <t>1700_3427</t>
  </si>
  <si>
    <t>1700_3627</t>
  </si>
  <si>
    <t>1700_3827</t>
  </si>
  <si>
    <t>1700_3A27</t>
  </si>
  <si>
    <t>1700_3C27</t>
  </si>
  <si>
    <t>1700_3E27</t>
  </si>
  <si>
    <t>1700_4027</t>
  </si>
  <si>
    <t>1700_4227</t>
  </si>
  <si>
    <t>1700_4427</t>
  </si>
  <si>
    <t>1700_4627</t>
  </si>
  <si>
    <t>1700_4827</t>
  </si>
  <si>
    <t>1700_4A27</t>
  </si>
  <si>
    <t>1700_4C27</t>
  </si>
  <si>
    <t>1700_4E27</t>
  </si>
  <si>
    <t>1700_5027</t>
  </si>
  <si>
    <t>1700_5227</t>
  </si>
  <si>
    <t>1700_5427</t>
  </si>
  <si>
    <t>1700_5627</t>
  </si>
  <si>
    <t>1700_5827</t>
  </si>
  <si>
    <t>1700_5A27</t>
  </si>
  <si>
    <t>1700_5C27</t>
  </si>
  <si>
    <t>1700_5E27</t>
  </si>
  <si>
    <t>1700_6027</t>
  </si>
  <si>
    <t>1700_6227</t>
  </si>
  <si>
    <t>1700_6427</t>
  </si>
  <si>
    <t>1700_6627</t>
  </si>
  <si>
    <t>1700_6827</t>
  </si>
  <si>
    <t>1700_6A27</t>
  </si>
  <si>
    <t>1700_6C27</t>
  </si>
  <si>
    <t>1700_6E27</t>
  </si>
  <si>
    <t>1700_7027</t>
  </si>
  <si>
    <t>1700_7227</t>
  </si>
  <si>
    <t>1700_7427</t>
  </si>
  <si>
    <t>1700_7627</t>
  </si>
  <si>
    <t>1700_7827</t>
  </si>
  <si>
    <t>1700_7A27</t>
  </si>
  <si>
    <t>1700_7C27</t>
  </si>
  <si>
    <t>1700_7E27</t>
  </si>
  <si>
    <t>1700_0028</t>
  </si>
  <si>
    <t>1700_0228</t>
  </si>
  <si>
    <t>1700_0428</t>
  </si>
  <si>
    <t>1700_0628</t>
  </si>
  <si>
    <t>1700_0828</t>
  </si>
  <si>
    <t>1700_0A28</t>
  </si>
  <si>
    <t>1700_0C28</t>
  </si>
  <si>
    <t>1700_0E28</t>
  </si>
  <si>
    <t>1700_1028</t>
  </si>
  <si>
    <t>1700_1228</t>
  </si>
  <si>
    <t>1700_1428</t>
  </si>
  <si>
    <t>1700_1628</t>
  </si>
  <si>
    <t>1700_1828</t>
  </si>
  <si>
    <t>1700_1A28</t>
  </si>
  <si>
    <t>1700_1C28</t>
  </si>
  <si>
    <t>1700_1E28</t>
  </si>
  <si>
    <t>1700_2028</t>
  </si>
  <si>
    <t>1700_2228</t>
  </si>
  <si>
    <t>1700_2428</t>
  </si>
  <si>
    <t>1700_2628</t>
  </si>
  <si>
    <t>1700_2828</t>
  </si>
  <si>
    <t>1700_2A28</t>
  </si>
  <si>
    <t>1700_2C28</t>
  </si>
  <si>
    <t>1700_2E28</t>
  </si>
  <si>
    <t>1700_3028</t>
  </si>
  <si>
    <t>1700_3228</t>
  </si>
  <si>
    <t>1700_3428</t>
  </si>
  <si>
    <t>1700_3628</t>
  </si>
  <si>
    <t>1700_3828</t>
  </si>
  <si>
    <t>1700_3A28</t>
  </si>
  <si>
    <t>1700_3C28</t>
  </si>
  <si>
    <t>1700_3E28</t>
  </si>
  <si>
    <t>1700_4028</t>
  </si>
  <si>
    <t>1700_4228</t>
  </si>
  <si>
    <t>1700_4428</t>
  </si>
  <si>
    <t>1700_4628</t>
  </si>
  <si>
    <t>1700_4828</t>
  </si>
  <si>
    <t>1700_4A28</t>
  </si>
  <si>
    <t>1700_4C28</t>
  </si>
  <si>
    <t>1700_4E28</t>
  </si>
  <si>
    <t>1700_5028</t>
  </si>
  <si>
    <t>1700_5228</t>
  </si>
  <si>
    <t>1700_5428</t>
  </si>
  <si>
    <t>1700_5628</t>
  </si>
  <si>
    <t>1700_5828</t>
  </si>
  <si>
    <t>1700_5A28</t>
  </si>
  <si>
    <t>1700_5C28</t>
  </si>
  <si>
    <t>1700_5E28</t>
  </si>
  <si>
    <t>1700_6028</t>
  </si>
  <si>
    <t>1700_6228</t>
  </si>
  <si>
    <t>1700_6428</t>
  </si>
  <si>
    <t>1700_6628</t>
  </si>
  <si>
    <t>N_PPU0</t>
  </si>
  <si>
    <t>1700_6828</t>
  </si>
  <si>
    <t>1700_6A28</t>
  </si>
  <si>
    <t>1700_6C28</t>
  </si>
  <si>
    <t>1700_6E28</t>
  </si>
  <si>
    <t>1700_7028</t>
  </si>
  <si>
    <t>1700_7228</t>
  </si>
  <si>
    <t>1700_7428</t>
  </si>
  <si>
    <t>1700_7628</t>
  </si>
  <si>
    <t>1700_7828</t>
  </si>
  <si>
    <t>1700_7A28</t>
  </si>
  <si>
    <t>1700_7C28</t>
  </si>
  <si>
    <t>1700_7E28</t>
  </si>
  <si>
    <t>1700_0029</t>
  </si>
  <si>
    <t>1700_0229</t>
  </si>
  <si>
    <t>1700_0429</t>
  </si>
  <si>
    <t>1700_0629</t>
  </si>
  <si>
    <t>1700_0829</t>
  </si>
  <si>
    <t>1700_0A29</t>
  </si>
  <si>
    <t>1700_0C29</t>
  </si>
  <si>
    <t>1700_0E29</t>
  </si>
  <si>
    <t>1700_1029</t>
  </si>
  <si>
    <t>1700_1229</t>
  </si>
  <si>
    <t>1700_1429</t>
  </si>
  <si>
    <t>1700_1629</t>
  </si>
  <si>
    <t>1700_1829</t>
  </si>
  <si>
    <t>1700_1A29</t>
  </si>
  <si>
    <t>1700_1C29</t>
  </si>
  <si>
    <t>1700_1E29</t>
  </si>
  <si>
    <t>1700_2029</t>
  </si>
  <si>
    <t>1700_2229</t>
  </si>
  <si>
    <t>1700_2429</t>
  </si>
  <si>
    <t>1700_2629</t>
  </si>
  <si>
    <t>1700_2829</t>
  </si>
  <si>
    <t>1700_2A29</t>
  </si>
  <si>
    <t>1700_2C29</t>
  </si>
  <si>
    <t>1700_2E29</t>
  </si>
  <si>
    <t>1700_3029</t>
  </si>
  <si>
    <t>1700_3229</t>
  </si>
  <si>
    <t>1700_3429</t>
  </si>
  <si>
    <t>1700_3629</t>
  </si>
  <si>
    <t>1700_3829</t>
  </si>
  <si>
    <t>1700_3A29</t>
  </si>
  <si>
    <t>1700_3C29</t>
  </si>
  <si>
    <t>1700_3E29</t>
  </si>
  <si>
    <t>1700_4029</t>
  </si>
  <si>
    <t>1700_4229</t>
  </si>
  <si>
    <t>1700_4429</t>
  </si>
  <si>
    <t>1700_4629</t>
  </si>
  <si>
    <t>1700_4829</t>
  </si>
  <si>
    <t>1700_4A29</t>
  </si>
  <si>
    <t>1700_4C29</t>
  </si>
  <si>
    <t>1700_4E29</t>
  </si>
  <si>
    <t>1700_5029</t>
  </si>
  <si>
    <t>1700_5229</t>
  </si>
  <si>
    <t>1700_5429</t>
  </si>
  <si>
    <t>1700_5629</t>
  </si>
  <si>
    <t>1700_5829</t>
  </si>
  <si>
    <t>1700_5A29</t>
  </si>
  <si>
    <t>1700_5C29</t>
  </si>
  <si>
    <t>1700_5E29</t>
  </si>
  <si>
    <t>1700_6029</t>
  </si>
  <si>
    <t>1700_6229</t>
  </si>
  <si>
    <t>1700_6429</t>
  </si>
  <si>
    <t>1700_6629</t>
  </si>
  <si>
    <t>N_PPU1</t>
  </si>
  <si>
    <t>1700_6829</t>
  </si>
  <si>
    <t>1700_6A29</t>
  </si>
  <si>
    <t>1700_6C29</t>
  </si>
  <si>
    <t>1700_6E29</t>
  </si>
  <si>
    <t>1700_7029</t>
  </si>
  <si>
    <t>1700_7229</t>
  </si>
  <si>
    <t>1700_7429</t>
  </si>
  <si>
    <t>1700_7629</t>
  </si>
  <si>
    <t>1700_7829</t>
  </si>
  <si>
    <t>1700_7A29</t>
  </si>
  <si>
    <t>1700_7C29</t>
  </si>
  <si>
    <t>1700_7E29</t>
  </si>
  <si>
    <t>1700_002A</t>
  </si>
  <si>
    <t>1700_022A</t>
  </si>
  <si>
    <t>1700_042A</t>
  </si>
  <si>
    <t>1700_062A</t>
  </si>
  <si>
    <t>1700_082A</t>
  </si>
  <si>
    <t>1700_0A2A</t>
  </si>
  <si>
    <t>1700_0C2A</t>
  </si>
  <si>
    <t>1700_0E2A</t>
  </si>
  <si>
    <t>1700_102A</t>
  </si>
  <si>
    <t>1700_122A</t>
  </si>
  <si>
    <t>1700_142A</t>
  </si>
  <si>
    <t>1700_162A</t>
  </si>
  <si>
    <t>1700_182A</t>
  </si>
  <si>
    <t>1700_1A2A</t>
  </si>
  <si>
    <t>1700_1C2A</t>
  </si>
  <si>
    <t>1700_1E2A</t>
  </si>
  <si>
    <t>1700_202A</t>
  </si>
  <si>
    <t>1700_222A</t>
  </si>
  <si>
    <t>1700_242A</t>
  </si>
  <si>
    <t>1700_262A</t>
  </si>
  <si>
    <t>1700_282A</t>
  </si>
  <si>
    <t>1700_2A2A</t>
  </si>
  <si>
    <t>1700_2C2A</t>
  </si>
  <si>
    <t>1700_2E2A</t>
  </si>
  <si>
    <t>1700_302A</t>
  </si>
  <si>
    <t>1700_322A</t>
  </si>
  <si>
    <t>1700_342A</t>
  </si>
  <si>
    <t>1700_362A</t>
  </si>
  <si>
    <t>1700_382A</t>
  </si>
  <si>
    <t>1700_3A2A</t>
  </si>
  <si>
    <t>1700_3C2A</t>
  </si>
  <si>
    <t>1700_3E2A</t>
  </si>
  <si>
    <t>1700_402A</t>
  </si>
  <si>
    <t>1700_422A</t>
  </si>
  <si>
    <t>1700_442A</t>
  </si>
  <si>
    <t>1700_462A</t>
  </si>
  <si>
    <t>1700_482A</t>
  </si>
  <si>
    <t>1700_4A2A</t>
  </si>
  <si>
    <t>1700_4C2A</t>
  </si>
  <si>
    <t>1700_4E2A</t>
  </si>
  <si>
    <t>1700_502A</t>
  </si>
  <si>
    <t>1700_522A</t>
  </si>
  <si>
    <t>1700_542A</t>
  </si>
  <si>
    <t>1700_562A</t>
  </si>
  <si>
    <t>1700_582A</t>
  </si>
  <si>
    <t>1700_5A2A</t>
  </si>
  <si>
    <t>1700_5C2A</t>
  </si>
  <si>
    <t>1700_5E2A</t>
  </si>
  <si>
    <t>1700_602A</t>
  </si>
  <si>
    <t>1700_622A</t>
  </si>
  <si>
    <t>1700_642A</t>
  </si>
  <si>
    <t>1700_662A</t>
  </si>
  <si>
    <t>N_PPU2</t>
  </si>
  <si>
    <t>1700_682A</t>
  </si>
  <si>
    <t>1700_6A2A</t>
  </si>
  <si>
    <t>1700_6C2A</t>
  </si>
  <si>
    <t>1700_6E2A</t>
  </si>
  <si>
    <t>1700_702A</t>
  </si>
  <si>
    <t>1700_722A</t>
  </si>
  <si>
    <t>1700_742A</t>
  </si>
  <si>
    <t>1700_762A</t>
  </si>
  <si>
    <t>1700_782A</t>
  </si>
  <si>
    <t>1700_7A2A</t>
  </si>
  <si>
    <t>1700_7C2A</t>
  </si>
  <si>
    <t>1700_7E2A</t>
  </si>
  <si>
    <t>1700_002B</t>
  </si>
  <si>
    <t>1700_022B</t>
  </si>
  <si>
    <t>1700_042B</t>
  </si>
  <si>
    <t>1700_062B</t>
  </si>
  <si>
    <t>1700_082B</t>
  </si>
  <si>
    <t>1700_0A2B</t>
  </si>
  <si>
    <t>1700_0C2B</t>
  </si>
  <si>
    <t>1700_0E2B</t>
  </si>
  <si>
    <t>1700_102B</t>
  </si>
  <si>
    <t>1700_122B</t>
  </si>
  <si>
    <t>1700_142B</t>
  </si>
  <si>
    <t>1700_162B</t>
  </si>
  <si>
    <t>1700_182B</t>
  </si>
  <si>
    <t>1700_1A2B</t>
  </si>
  <si>
    <t>1700_1C2B</t>
  </si>
  <si>
    <t>1700_1E2B</t>
  </si>
  <si>
    <t>1700_202B</t>
  </si>
  <si>
    <t>1700_222B</t>
  </si>
  <si>
    <t>1700_242B</t>
  </si>
  <si>
    <t>1700_262B</t>
  </si>
  <si>
    <t>1700_282B</t>
  </si>
  <si>
    <t>1700_2A2B</t>
  </si>
  <si>
    <t>1700_2C2B</t>
  </si>
  <si>
    <t>1700_2E2B</t>
  </si>
  <si>
    <t>1700_302B</t>
  </si>
  <si>
    <t>1700_322B</t>
  </si>
  <si>
    <t>1700_342B</t>
  </si>
  <si>
    <t>1700_362B</t>
  </si>
  <si>
    <t>1700_382B</t>
  </si>
  <si>
    <t>1700_3A2B</t>
  </si>
  <si>
    <t>1700_3C2B</t>
  </si>
  <si>
    <t>1700_3E2B</t>
  </si>
  <si>
    <t>1700_402B</t>
  </si>
  <si>
    <t>1700_422B</t>
  </si>
  <si>
    <t>1700_442B</t>
  </si>
  <si>
    <t>1700_462B</t>
  </si>
  <si>
    <t>1700_482B</t>
  </si>
  <si>
    <t>1700_4A2B</t>
  </si>
  <si>
    <t>1700_4C2B</t>
  </si>
  <si>
    <t>1700_4E2B</t>
  </si>
  <si>
    <t>1700_502B</t>
  </si>
  <si>
    <t>1700_522B</t>
  </si>
  <si>
    <t>1700_542B</t>
  </si>
  <si>
    <t>1700_562B</t>
  </si>
  <si>
    <t>1700_582B</t>
  </si>
  <si>
    <t>1700_5A2B</t>
  </si>
  <si>
    <t>1700_5C2B</t>
  </si>
  <si>
    <t>1700_5E2B</t>
  </si>
  <si>
    <t>1700_602B</t>
  </si>
  <si>
    <t>1700_622B</t>
  </si>
  <si>
    <t>1700_642B</t>
  </si>
  <si>
    <t>1700_662B</t>
  </si>
  <si>
    <t>N_PPU3</t>
  </si>
  <si>
    <t>1700_682B</t>
  </si>
  <si>
    <t>1700_6A2B</t>
  </si>
  <si>
    <t>1700_6C2B</t>
  </si>
  <si>
    <t>1700_6E2B</t>
  </si>
  <si>
    <t>1700_702B</t>
  </si>
  <si>
    <t>1700_722B</t>
  </si>
  <si>
    <t>1700_742B</t>
  </si>
  <si>
    <t>1700_762B</t>
  </si>
  <si>
    <t>1700_782B</t>
  </si>
  <si>
    <t>1700_7A2B</t>
  </si>
  <si>
    <t>1700_7C2B</t>
  </si>
  <si>
    <t>1700_7E2B</t>
  </si>
  <si>
    <t>1700_002C</t>
  </si>
  <si>
    <t>1700_022C</t>
  </si>
  <si>
    <t>1700_042C</t>
  </si>
  <si>
    <t>1700_062C</t>
  </si>
  <si>
    <t>1700_082C</t>
  </si>
  <si>
    <t>1700_0A2C</t>
  </si>
  <si>
    <t>1700_0C2C</t>
  </si>
  <si>
    <t>1700_0E2C</t>
  </si>
  <si>
    <t>1700_102C</t>
  </si>
  <si>
    <t>1700_122C</t>
  </si>
  <si>
    <t>1700_142C</t>
  </si>
  <si>
    <t>1700_162C</t>
  </si>
  <si>
    <t>1700_182C</t>
  </si>
  <si>
    <t>1700_1A2C</t>
  </si>
  <si>
    <t>1700_1C2C</t>
  </si>
  <si>
    <t>1700_1E2C</t>
  </si>
  <si>
    <t>1700_202C</t>
  </si>
  <si>
    <t>1700_222C</t>
  </si>
  <si>
    <t>1700_242C</t>
  </si>
  <si>
    <t>1700_262C</t>
  </si>
  <si>
    <t>1700_282C</t>
  </si>
  <si>
    <t>1700_2A2C</t>
  </si>
  <si>
    <t>1700_2C2C</t>
  </si>
  <si>
    <t>1700_2E2C</t>
  </si>
  <si>
    <t>1700_302C</t>
  </si>
  <si>
    <t>1700_322C</t>
  </si>
  <si>
    <t>1700_342C</t>
  </si>
  <si>
    <t>1700_362C</t>
  </si>
  <si>
    <t>1700_382C</t>
  </si>
  <si>
    <t>1700_3A2C</t>
  </si>
  <si>
    <t>1700_3C2C</t>
  </si>
  <si>
    <t>1700_3E2C</t>
  </si>
  <si>
    <t>1700_402C</t>
  </si>
  <si>
    <t>1700_422C</t>
  </si>
  <si>
    <t>1700_442C</t>
  </si>
  <si>
    <t>1700_462C</t>
  </si>
  <si>
    <t>1700_482C</t>
  </si>
  <si>
    <t>1700_4A2C</t>
  </si>
  <si>
    <t>1700_4C2C</t>
  </si>
  <si>
    <t>1700_4E2C</t>
  </si>
  <si>
    <t>1700_502C</t>
  </si>
  <si>
    <t>1700_522C</t>
  </si>
  <si>
    <t>1700_542C</t>
  </si>
  <si>
    <t>1700_562C</t>
  </si>
  <si>
    <t>1700_582C</t>
  </si>
  <si>
    <t>1700_5A2C</t>
  </si>
  <si>
    <t>1700_5C2C</t>
  </si>
  <si>
    <t>1700_5E2C</t>
  </si>
  <si>
    <t>1700_602C</t>
  </si>
  <si>
    <t>1700_622C</t>
  </si>
  <si>
    <t>1700_642C</t>
  </si>
  <si>
    <t>1700_662C</t>
  </si>
  <si>
    <t>1700_682C</t>
  </si>
  <si>
    <t>1700_6A2C</t>
  </si>
  <si>
    <t>1700_6C2C</t>
  </si>
  <si>
    <t>1700_6E2C</t>
  </si>
  <si>
    <t>1700_702C</t>
  </si>
  <si>
    <t>1700_722C</t>
  </si>
  <si>
    <t>1700_742C</t>
  </si>
  <si>
    <t>1700_762C</t>
  </si>
  <si>
    <t>1700_782C</t>
  </si>
  <si>
    <t>1700_7A2C</t>
  </si>
  <si>
    <t>1700_7C2C</t>
  </si>
  <si>
    <t>1700_7E2C</t>
  </si>
  <si>
    <t>1700_002D</t>
  </si>
  <si>
    <t>1700_022D</t>
  </si>
  <si>
    <t>1700_042D</t>
  </si>
  <si>
    <t>1700_062D</t>
  </si>
  <si>
    <t>1700_082D</t>
  </si>
  <si>
    <t>1700_0A2D</t>
  </si>
  <si>
    <t>1700_0C2D</t>
  </si>
  <si>
    <t>1700_0E2D</t>
  </si>
  <si>
    <t>1700_102D</t>
  </si>
  <si>
    <t>1700_122D</t>
  </si>
  <si>
    <t>1700_142D</t>
  </si>
  <si>
    <t>1700_162D</t>
  </si>
  <si>
    <t>1700_182D</t>
  </si>
  <si>
    <t>1700_1A2D</t>
  </si>
  <si>
    <t>1700_1C2D</t>
  </si>
  <si>
    <t>1700_1E2D</t>
  </si>
  <si>
    <t>1700_202D</t>
  </si>
  <si>
    <t>1700_222D</t>
  </si>
  <si>
    <t>1700_242D</t>
  </si>
  <si>
    <t>1700_262D</t>
  </si>
  <si>
    <t>1700_282D</t>
  </si>
  <si>
    <t>1700_2A2D</t>
  </si>
  <si>
    <t>1700_2C2D</t>
  </si>
  <si>
    <t>1700_2E2D</t>
  </si>
  <si>
    <t>1700_302D</t>
  </si>
  <si>
    <t>1700_322D</t>
  </si>
  <si>
    <t>1700_342D</t>
  </si>
  <si>
    <t>1700_362D</t>
  </si>
  <si>
    <t>1700_382D</t>
  </si>
  <si>
    <t>1700_3A2D</t>
  </si>
  <si>
    <t>1700_3C2D</t>
  </si>
  <si>
    <t>1700_3E2D</t>
  </si>
  <si>
    <t>1700_402D</t>
  </si>
  <si>
    <t>1700_422D</t>
  </si>
  <si>
    <t>1700_442D</t>
  </si>
  <si>
    <t>1700_462D</t>
  </si>
  <si>
    <t>1700_482D</t>
  </si>
  <si>
    <t>1700_4A2D</t>
  </si>
  <si>
    <t>1700_4C2D</t>
  </si>
  <si>
    <t>1700_4E2D</t>
  </si>
  <si>
    <t>1700_502D</t>
  </si>
  <si>
    <t>1700_522D</t>
  </si>
  <si>
    <t>1700_542D</t>
  </si>
  <si>
    <t>1700_562D</t>
  </si>
  <si>
    <t>1700_582D</t>
  </si>
  <si>
    <t>1700_5A2D</t>
  </si>
  <si>
    <t>1700_5C2D</t>
  </si>
  <si>
    <t>1700_5E2D</t>
  </si>
  <si>
    <t>1700_602D</t>
  </si>
  <si>
    <t>1700_622D</t>
  </si>
  <si>
    <t>1700_642D</t>
  </si>
  <si>
    <t>1700_662D</t>
  </si>
  <si>
    <t>1700_682D</t>
  </si>
  <si>
    <t>1700_6A2D</t>
  </si>
  <si>
    <t>1700_6C2D</t>
  </si>
  <si>
    <t>1700_6E2D</t>
  </si>
  <si>
    <t>1700_702D</t>
  </si>
  <si>
    <t>1700_722D</t>
  </si>
  <si>
    <t>1700_742D</t>
  </si>
  <si>
    <t>1700_762D</t>
  </si>
  <si>
    <t>1700_782D</t>
  </si>
  <si>
    <t>1700_7A2D</t>
  </si>
  <si>
    <t>1700_7C2D</t>
  </si>
  <si>
    <t>1700_7E2D</t>
  </si>
  <si>
    <t>1700_002E</t>
  </si>
  <si>
    <t>1700_022E</t>
  </si>
  <si>
    <t>1700_042E</t>
  </si>
  <si>
    <t>1700_062E</t>
  </si>
  <si>
    <t>1700_082E</t>
  </si>
  <si>
    <t>1700_0A2E</t>
  </si>
  <si>
    <t>1700_0C2E</t>
  </si>
  <si>
    <t>1700_0E2E</t>
  </si>
  <si>
    <t>1700_102E</t>
  </si>
  <si>
    <t>1700_122E</t>
  </si>
  <si>
    <t>1700_142E</t>
  </si>
  <si>
    <t>1700_162E</t>
  </si>
  <si>
    <t>1700_182E</t>
  </si>
  <si>
    <t>1700_1A2E</t>
  </si>
  <si>
    <t>1700_1C2E</t>
  </si>
  <si>
    <t>1700_1E2E</t>
  </si>
  <si>
    <t>1700_202E</t>
  </si>
  <si>
    <t>1700_222E</t>
  </si>
  <si>
    <t>1700_242E</t>
  </si>
  <si>
    <t>1700_262E</t>
  </si>
  <si>
    <t>1700_282E</t>
  </si>
  <si>
    <t>1700_2A2E</t>
  </si>
  <si>
    <t>1700_2C2E</t>
  </si>
  <si>
    <t>1700_2E2E</t>
  </si>
  <si>
    <t>1700_302E</t>
  </si>
  <si>
    <t>1700_322E</t>
  </si>
  <si>
    <t>1700_342E</t>
  </si>
  <si>
    <t>1700_362E</t>
  </si>
  <si>
    <t>1700_382E</t>
  </si>
  <si>
    <t>1700_3A2E</t>
  </si>
  <si>
    <t>1700_3C2E</t>
  </si>
  <si>
    <t>1700_3E2E</t>
  </si>
  <si>
    <t>1700_402E</t>
  </si>
  <si>
    <t>1700_422E</t>
  </si>
  <si>
    <t>1700_442E</t>
  </si>
  <si>
    <t>1700_462E</t>
  </si>
  <si>
    <t>1700_482E</t>
  </si>
  <si>
    <t>1700_4A2E</t>
  </si>
  <si>
    <t>1700_4C2E</t>
  </si>
  <si>
    <t>1700_4E2E</t>
  </si>
  <si>
    <t>1700_502E</t>
  </si>
  <si>
    <t>1700_522E</t>
  </si>
  <si>
    <t>1700_542E</t>
  </si>
  <si>
    <t>1700_562E</t>
  </si>
  <si>
    <t>1700_582E</t>
  </si>
  <si>
    <t>1700_5A2E</t>
  </si>
  <si>
    <t>1700_5C2E</t>
  </si>
  <si>
    <t>1700_5E2E</t>
  </si>
  <si>
    <t>1700_602E</t>
  </si>
  <si>
    <t>1700_622E</t>
  </si>
  <si>
    <t>1700_642E</t>
  </si>
  <si>
    <t>1700_662E</t>
  </si>
  <si>
    <t>1700_682E</t>
  </si>
  <si>
    <t>1700_6A2E</t>
  </si>
  <si>
    <t>1700_6C2E</t>
  </si>
  <si>
    <t>1700_6E2E</t>
  </si>
  <si>
    <t>1700_702E</t>
  </si>
  <si>
    <t>1700_722E</t>
  </si>
  <si>
    <t>1700_742E</t>
  </si>
  <si>
    <t>1700_762E</t>
  </si>
  <si>
    <t>1700_782E</t>
  </si>
  <si>
    <t>1700_7A2E</t>
  </si>
  <si>
    <t>1700_7C2E</t>
  </si>
  <si>
    <t>1700_7E2E</t>
  </si>
  <si>
    <t>1700_002F</t>
  </si>
  <si>
    <t>1700_022F</t>
  </si>
  <si>
    <t>1700_042F</t>
  </si>
  <si>
    <t>1700_062F</t>
  </si>
  <si>
    <t>1700_082F</t>
  </si>
  <si>
    <t>1700_0A2F</t>
  </si>
  <si>
    <t>1700_0C2F</t>
  </si>
  <si>
    <t>1700_0E2F</t>
  </si>
  <si>
    <t>1700_102F</t>
  </si>
  <si>
    <t>1700_122F</t>
  </si>
  <si>
    <t>1700_142F</t>
  </si>
  <si>
    <t>1700_162F</t>
  </si>
  <si>
    <t>1700_182F</t>
  </si>
  <si>
    <t>1700_1A2F</t>
  </si>
  <si>
    <t>1700_1C2F</t>
  </si>
  <si>
    <t>1700_1E2F</t>
  </si>
  <si>
    <t>1700_202F</t>
  </si>
  <si>
    <t>1700_222F</t>
  </si>
  <si>
    <t>1700_242F</t>
  </si>
  <si>
    <t>1700_262F</t>
  </si>
  <si>
    <t>1700_282F</t>
  </si>
  <si>
    <t>1700_2A2F</t>
  </si>
  <si>
    <t>1700_2C2F</t>
  </si>
  <si>
    <t>1700_2E2F</t>
  </si>
  <si>
    <t>1700_302F</t>
  </si>
  <si>
    <t>1700_322F</t>
  </si>
  <si>
    <t>1700_342F</t>
  </si>
  <si>
    <t>1700_362F</t>
  </si>
  <si>
    <t>1700_382F</t>
  </si>
  <si>
    <t>1700_3A2F</t>
  </si>
  <si>
    <t>1700_3C2F</t>
  </si>
  <si>
    <t>1700_3E2F</t>
  </si>
  <si>
    <t>1700_402F</t>
  </si>
  <si>
    <t>1700_422F</t>
  </si>
  <si>
    <t>1700_442F</t>
  </si>
  <si>
    <t>1700_462F</t>
  </si>
  <si>
    <t>1700_482F</t>
  </si>
  <si>
    <t>1700_4A2F</t>
  </si>
  <si>
    <t>1700_4C2F</t>
  </si>
  <si>
    <t>1700_4E2F</t>
  </si>
  <si>
    <t>1700_502F</t>
  </si>
  <si>
    <t>1700_522F</t>
  </si>
  <si>
    <t>1700_542F</t>
  </si>
  <si>
    <t>1700_562F</t>
  </si>
  <si>
    <t>1700_582F</t>
  </si>
  <si>
    <t>1700_5A2F</t>
  </si>
  <si>
    <t>1700_5C2F</t>
  </si>
  <si>
    <t>1700_5E2F</t>
  </si>
  <si>
    <t>1700_602F</t>
  </si>
  <si>
    <t>1700_622F</t>
  </si>
  <si>
    <t>1700_642F</t>
  </si>
  <si>
    <t>1700_662F</t>
  </si>
  <si>
    <t>1700_682F</t>
  </si>
  <si>
    <t>1700_6A2F</t>
  </si>
  <si>
    <t>1700_6C2F</t>
  </si>
  <si>
    <t>1700_6E2F</t>
  </si>
  <si>
    <t>1700_702F</t>
  </si>
  <si>
    <t>1700_722F</t>
  </si>
  <si>
    <t>1700_742F</t>
  </si>
  <si>
    <t>1700_762F</t>
  </si>
  <si>
    <t>1700_782F</t>
  </si>
  <si>
    <t>1700_7A2F</t>
  </si>
  <si>
    <t>1700_7C2F</t>
  </si>
  <si>
    <t>1700_7E2F</t>
  </si>
  <si>
    <t>1700_0030</t>
  </si>
  <si>
    <t>1700_0230</t>
  </si>
  <si>
    <t>1700_0430</t>
  </si>
  <si>
    <t>1700_0630</t>
  </si>
  <si>
    <t>1700_0830</t>
  </si>
  <si>
    <t>1700_0A30</t>
  </si>
  <si>
    <t>1700_0C30</t>
  </si>
  <si>
    <t>1700_0E30</t>
  </si>
  <si>
    <t>1700_1030</t>
  </si>
  <si>
    <t>1700_1230</t>
  </si>
  <si>
    <t>1700_1430</t>
  </si>
  <si>
    <t>1700_1630</t>
  </si>
  <si>
    <t>1700_1830</t>
  </si>
  <si>
    <t>1700_1A30</t>
  </si>
  <si>
    <t>1700_1C30</t>
  </si>
  <si>
    <t>1700_1E30</t>
  </si>
  <si>
    <t>1700_2030</t>
  </si>
  <si>
    <t>1700_2230</t>
  </si>
  <si>
    <t>1700_2430</t>
  </si>
  <si>
    <t>1700_2630</t>
  </si>
  <si>
    <t>1700_2830</t>
  </si>
  <si>
    <t>1700_2A30</t>
  </si>
  <si>
    <t>1700_2C30</t>
  </si>
  <si>
    <t>1700_2E30</t>
  </si>
  <si>
    <t>1700_3030</t>
  </si>
  <si>
    <t>1700_3230</t>
  </si>
  <si>
    <t>1700_3430</t>
  </si>
  <si>
    <t>1700_3630</t>
  </si>
  <si>
    <t>1700_3830</t>
  </si>
  <si>
    <t>1700_3A30</t>
  </si>
  <si>
    <t>1700_3C30</t>
  </si>
  <si>
    <t>1700_3E30</t>
  </si>
  <si>
    <t>1700_4030</t>
  </si>
  <si>
    <t>1700_4230</t>
  </si>
  <si>
    <t>1700_4430</t>
  </si>
  <si>
    <t>1700_4630</t>
  </si>
  <si>
    <t>1700_4830</t>
  </si>
  <si>
    <t>1700_4A30</t>
  </si>
  <si>
    <t>1700_4C30</t>
  </si>
  <si>
    <t>1700_4E30</t>
  </si>
  <si>
    <t>1700_5030</t>
  </si>
  <si>
    <t>1700_5230</t>
  </si>
  <si>
    <t>1700_5430</t>
  </si>
  <si>
    <t>1700_5630</t>
  </si>
  <si>
    <t>1700_5830</t>
  </si>
  <si>
    <t>1700_5A30</t>
  </si>
  <si>
    <t>1700_5C30</t>
  </si>
  <si>
    <t>1700_5E30</t>
  </si>
  <si>
    <t>1700_6030</t>
  </si>
  <si>
    <t>1700_6230</t>
  </si>
  <si>
    <t>1700_6430</t>
  </si>
  <si>
    <t>1700_6630</t>
  </si>
  <si>
    <t>1700_6830</t>
  </si>
  <si>
    <t>1700_6A30</t>
  </si>
  <si>
    <t>1700_6C30</t>
  </si>
  <si>
    <t>1700_6E30</t>
  </si>
  <si>
    <t>1700_7030</t>
  </si>
  <si>
    <t>1700_7230</t>
  </si>
  <si>
    <t>1700_7430</t>
  </si>
  <si>
    <t>1700_7630</t>
  </si>
  <si>
    <t>1700_7830</t>
  </si>
  <si>
    <t>1700_7A30</t>
  </si>
  <si>
    <t>1700_7C30</t>
  </si>
  <si>
    <t>1700_7E30</t>
  </si>
  <si>
    <t>1700_0031</t>
  </si>
  <si>
    <t>1700_0231</t>
  </si>
  <si>
    <t>1700_0431</t>
  </si>
  <si>
    <t>1700_0631</t>
  </si>
  <si>
    <t>1700_0831</t>
  </si>
  <si>
    <t>1700_0A31</t>
  </si>
  <si>
    <t>1700_0C31</t>
  </si>
  <si>
    <t>1700_0E31</t>
  </si>
  <si>
    <t>1700_1031</t>
  </si>
  <si>
    <t>1700_1231</t>
  </si>
  <si>
    <t>1700_1431</t>
  </si>
  <si>
    <t>1700_1631</t>
  </si>
  <si>
    <t>1700_1831</t>
  </si>
  <si>
    <t>1700_1A31</t>
  </si>
  <si>
    <t>1700_1C31</t>
  </si>
  <si>
    <t>1700_1E31</t>
  </si>
  <si>
    <t>1700_2031</t>
  </si>
  <si>
    <t>1700_2231</t>
  </si>
  <si>
    <t>1700_2431</t>
  </si>
  <si>
    <t>1700_2631</t>
  </si>
  <si>
    <t>1700_2831</t>
  </si>
  <si>
    <t>1700_2A31</t>
  </si>
  <si>
    <t>1700_2C31</t>
  </si>
  <si>
    <t>1700_2E31</t>
  </si>
  <si>
    <t>1700_3031</t>
  </si>
  <si>
    <t>1700_3231</t>
  </si>
  <si>
    <t>1700_3431</t>
  </si>
  <si>
    <t>1700_3631</t>
  </si>
  <si>
    <t>1700_3831</t>
  </si>
  <si>
    <t>1700_3A31</t>
  </si>
  <si>
    <t>1700_3C31</t>
  </si>
  <si>
    <t>1700_3E31</t>
  </si>
  <si>
    <t>1700_4031</t>
  </si>
  <si>
    <t>1700_4231</t>
  </si>
  <si>
    <t>1700_4431</t>
  </si>
  <si>
    <t>1700_4631</t>
  </si>
  <si>
    <t>1700_4831</t>
  </si>
  <si>
    <t>1700_4A31</t>
  </si>
  <si>
    <t>1700_4C31</t>
  </si>
  <si>
    <t>1700_4E31</t>
  </si>
  <si>
    <t>1700_5031</t>
  </si>
  <si>
    <t>1700_5231</t>
  </si>
  <si>
    <t>1700_5431</t>
  </si>
  <si>
    <t>1700_5631</t>
  </si>
  <si>
    <t>1700_5831</t>
  </si>
  <si>
    <t>1700_5A31</t>
  </si>
  <si>
    <t>1700_5C31</t>
  </si>
  <si>
    <t>1700_5E31</t>
  </si>
  <si>
    <t>1700_6031</t>
  </si>
  <si>
    <t>1700_6231</t>
  </si>
  <si>
    <t>1700_6431</t>
  </si>
  <si>
    <t>1700_6631</t>
  </si>
  <si>
    <t>1700_6831</t>
  </si>
  <si>
    <t>1700_6A31</t>
  </si>
  <si>
    <t>1700_6C31</t>
  </si>
  <si>
    <t>1700_6E31</t>
  </si>
  <si>
    <t>1700_7031</t>
  </si>
  <si>
    <t>1700_7231</t>
  </si>
  <si>
    <t>1700_7431</t>
  </si>
  <si>
    <t>1700_7631</t>
  </si>
  <si>
    <t>1700_7831</t>
  </si>
  <si>
    <t>1700_7A31</t>
  </si>
  <si>
    <t>1700_7C31</t>
  </si>
  <si>
    <t>1700_7E31</t>
  </si>
  <si>
    <t>1700_0032</t>
  </si>
  <si>
    <t>1700_0232</t>
  </si>
  <si>
    <t>1700_0432</t>
  </si>
  <si>
    <t>1700_0632</t>
  </si>
  <si>
    <t>1700_0832</t>
  </si>
  <si>
    <t>1700_0A32</t>
  </si>
  <si>
    <t>1700_0C32</t>
  </si>
  <si>
    <t>1700_0E32</t>
  </si>
  <si>
    <t>1700_1032</t>
  </si>
  <si>
    <t>1700_1232</t>
  </si>
  <si>
    <t>1700_1432</t>
  </si>
  <si>
    <t>1700_1632</t>
  </si>
  <si>
    <t>1700_1832</t>
  </si>
  <si>
    <t>1700_1A32</t>
  </si>
  <si>
    <t>1700_1C32</t>
  </si>
  <si>
    <t>1700_1E32</t>
  </si>
  <si>
    <t>1700_2032</t>
  </si>
  <si>
    <t>1700_2232</t>
  </si>
  <si>
    <t>1700_2432</t>
  </si>
  <si>
    <t>1700_2632</t>
  </si>
  <si>
    <t>1700_2832</t>
  </si>
  <si>
    <t>1700_2A32</t>
  </si>
  <si>
    <t>1700_2C32</t>
  </si>
  <si>
    <t>1700_2E32</t>
  </si>
  <si>
    <t>1700_3032</t>
  </si>
  <si>
    <t>1700_3232</t>
  </si>
  <si>
    <t>1700_3432</t>
  </si>
  <si>
    <t>1700_3632</t>
  </si>
  <si>
    <t>1700_3832</t>
  </si>
  <si>
    <t>1700_3A32</t>
  </si>
  <si>
    <t>1700_3C32</t>
  </si>
  <si>
    <t>1700_3E32</t>
  </si>
  <si>
    <t>1700_4032</t>
  </si>
  <si>
    <t>1700_4232</t>
  </si>
  <si>
    <t>1700_4432</t>
  </si>
  <si>
    <t>1700_4632</t>
  </si>
  <si>
    <t>1700_4832</t>
  </si>
  <si>
    <t>1700_4A32</t>
  </si>
  <si>
    <t>1700_4C32</t>
  </si>
  <si>
    <t>1700_4E32</t>
  </si>
  <si>
    <t>1700_5032</t>
  </si>
  <si>
    <t>1700_5232</t>
  </si>
  <si>
    <t>1700_5432</t>
  </si>
  <si>
    <t>1700_5632</t>
  </si>
  <si>
    <t>1700_5832</t>
  </si>
  <si>
    <t>1700_5A32</t>
  </si>
  <si>
    <t>1700_5C32</t>
  </si>
  <si>
    <t>1700_5E32</t>
  </si>
  <si>
    <t>1700_6032</t>
  </si>
  <si>
    <t>1700_6232</t>
  </si>
  <si>
    <t>1700_6432</t>
  </si>
  <si>
    <t>1700_6632</t>
  </si>
  <si>
    <t>1700_6832</t>
  </si>
  <si>
    <t>1700_6A32</t>
  </si>
  <si>
    <t>1700_6C32</t>
  </si>
  <si>
    <t>1700_6E32</t>
  </si>
  <si>
    <t>1700_7032</t>
  </si>
  <si>
    <t>1700_7232</t>
  </si>
  <si>
    <t>1700_7432</t>
  </si>
  <si>
    <t>1700_7632</t>
  </si>
  <si>
    <t>1700_7832</t>
  </si>
  <si>
    <t>1700_7A32</t>
  </si>
  <si>
    <t>1700_7C32</t>
  </si>
  <si>
    <t>1700_7E32</t>
  </si>
  <si>
    <t>1700_0033</t>
  </si>
  <si>
    <t>1700_0233</t>
  </si>
  <si>
    <t>1700_0433</t>
  </si>
  <si>
    <t>1700_0633</t>
  </si>
  <si>
    <t>1700_0833</t>
  </si>
  <si>
    <t>1700_0A33</t>
  </si>
  <si>
    <t>1700_0C33</t>
  </si>
  <si>
    <t>1700_0E33</t>
  </si>
  <si>
    <t>1700_1033</t>
  </si>
  <si>
    <t>1700_1233</t>
  </si>
  <si>
    <t>1700_1433</t>
  </si>
  <si>
    <t>1700_1633</t>
  </si>
  <si>
    <t>1700_1833</t>
  </si>
  <si>
    <t>1700_1A33</t>
  </si>
  <si>
    <t>1700_1C33</t>
  </si>
  <si>
    <t>1700_1E33</t>
  </si>
  <si>
    <t>1700_2033</t>
  </si>
  <si>
    <t>1700_2233</t>
  </si>
  <si>
    <t>1700_2433</t>
  </si>
  <si>
    <t>1700_2633</t>
  </si>
  <si>
    <t>1700_2833</t>
  </si>
  <si>
    <t>1700_2A33</t>
  </si>
  <si>
    <t>1700_2C33</t>
  </si>
  <si>
    <t>1700_2E33</t>
  </si>
  <si>
    <t>1700_3033</t>
  </si>
  <si>
    <t>1700_3233</t>
  </si>
  <si>
    <t>1700_3433</t>
  </si>
  <si>
    <t>1700_3633</t>
  </si>
  <si>
    <t>1700_3833</t>
  </si>
  <si>
    <t>1700_3A33</t>
  </si>
  <si>
    <t>1700_3C33</t>
  </si>
  <si>
    <t>1700_3E33</t>
  </si>
  <si>
    <t>1700_4033</t>
  </si>
  <si>
    <t>1700_4233</t>
  </si>
  <si>
    <t>1700_4433</t>
  </si>
  <si>
    <t>1700_4633</t>
  </si>
  <si>
    <t>1700_4833</t>
  </si>
  <si>
    <t>1700_4A33</t>
  </si>
  <si>
    <t>1700_4C33</t>
  </si>
  <si>
    <t>1700_4E33</t>
  </si>
  <si>
    <t>1700_5033</t>
  </si>
  <si>
    <t>1700_5233</t>
  </si>
  <si>
    <t>1700_5433</t>
  </si>
  <si>
    <t>1700_5633</t>
  </si>
  <si>
    <t>1700_5833</t>
  </si>
  <si>
    <t>1700_5A33</t>
  </si>
  <si>
    <t>1700_5C33</t>
  </si>
  <si>
    <t>1700_5E33</t>
  </si>
  <si>
    <t>1700_6033</t>
  </si>
  <si>
    <t>1700_6233</t>
  </si>
  <si>
    <t>1700_6433</t>
  </si>
  <si>
    <t>1700_6633</t>
  </si>
  <si>
    <t>1700_6833</t>
  </si>
  <si>
    <t>1700_6A33</t>
  </si>
  <si>
    <t>1700_6C33</t>
  </si>
  <si>
    <t>1700_6E33</t>
  </si>
  <si>
    <t>1700_7033</t>
  </si>
  <si>
    <t>1700_7233</t>
  </si>
  <si>
    <t>1700_7433</t>
  </si>
  <si>
    <t>1700_7633</t>
  </si>
  <si>
    <t>1700_7833</t>
  </si>
  <si>
    <t>1700_7A33</t>
  </si>
  <si>
    <t>1700_7C33</t>
  </si>
  <si>
    <t>1700_7E33</t>
  </si>
  <si>
    <t>1700_0034</t>
  </si>
  <si>
    <t>1700_0234</t>
  </si>
  <si>
    <t>1700_0434</t>
  </si>
  <si>
    <t>1700_0634</t>
  </si>
  <si>
    <t>1700_0834</t>
  </si>
  <si>
    <t>1700_0A34</t>
  </si>
  <si>
    <t>1700_0C34</t>
  </si>
  <si>
    <t>1700_0E34</t>
  </si>
  <si>
    <t>1700_1034</t>
  </si>
  <si>
    <t>1700_1234</t>
  </si>
  <si>
    <t>1700_1434</t>
  </si>
  <si>
    <t>1700_1634</t>
  </si>
  <si>
    <t>1700_1834</t>
  </si>
  <si>
    <t>1700_1A34</t>
  </si>
  <si>
    <t>1700_1C34</t>
  </si>
  <si>
    <t>1700_1E34</t>
  </si>
  <si>
    <t>1700_2034</t>
  </si>
  <si>
    <t>1700_2234</t>
  </si>
  <si>
    <t>1700_2434</t>
  </si>
  <si>
    <t>1700_2634</t>
  </si>
  <si>
    <t>1700_2834</t>
  </si>
  <si>
    <t>1700_2A34</t>
  </si>
  <si>
    <t>1700_2C34</t>
  </si>
  <si>
    <t>1700_2E34</t>
  </si>
  <si>
    <t>1700_3034</t>
  </si>
  <si>
    <t>1700_3234</t>
  </si>
  <si>
    <t>1700_3434</t>
  </si>
  <si>
    <t>1700_3634</t>
  </si>
  <si>
    <t>1700_3834</t>
  </si>
  <si>
    <t>1700_3A34</t>
  </si>
  <si>
    <t>1700_3C34</t>
  </si>
  <si>
    <t>1700_3E34</t>
  </si>
  <si>
    <t>1700_4034</t>
  </si>
  <si>
    <t>1700_4234</t>
  </si>
  <si>
    <t>1700_4434</t>
  </si>
  <si>
    <t>1700_4634</t>
  </si>
  <si>
    <t>1700_4834</t>
  </si>
  <si>
    <t>1700_4A34</t>
  </si>
  <si>
    <t>1700_4C34</t>
  </si>
  <si>
    <t>1700_4E34</t>
  </si>
  <si>
    <t>1700_5034</t>
  </si>
  <si>
    <t>1700_5234</t>
  </si>
  <si>
    <t>1700_5434</t>
  </si>
  <si>
    <t>1700_5634</t>
  </si>
  <si>
    <t>1700_5834</t>
  </si>
  <si>
    <t>1700_5A34</t>
  </si>
  <si>
    <t>1700_5C34</t>
  </si>
  <si>
    <t>1700_5E34</t>
  </si>
  <si>
    <t>1700_6034</t>
  </si>
  <si>
    <t>1700_6234</t>
  </si>
  <si>
    <t>1700_6434</t>
  </si>
  <si>
    <t>1700_6634</t>
  </si>
  <si>
    <t>1700_6834</t>
  </si>
  <si>
    <t>1700_6A34</t>
  </si>
  <si>
    <t>1700_6C34</t>
  </si>
  <si>
    <t>1700_6E34</t>
  </si>
  <si>
    <t>1700_7034</t>
  </si>
  <si>
    <t>1700_7234</t>
  </si>
  <si>
    <t>1700_7434</t>
  </si>
  <si>
    <t>1700_7634</t>
  </si>
  <si>
    <t>1700_7834</t>
  </si>
  <si>
    <t>1700_7A34</t>
  </si>
  <si>
    <t>1700_7C34</t>
  </si>
  <si>
    <t>1700_7E34</t>
  </si>
  <si>
    <t>1700_0035</t>
  </si>
  <si>
    <t>1700_0235</t>
  </si>
  <si>
    <t>1700_0435</t>
  </si>
  <si>
    <t>1700_0635</t>
  </si>
  <si>
    <t>1700_0835</t>
  </si>
  <si>
    <t>1700_0A35</t>
  </si>
  <si>
    <t>1700_0C35</t>
  </si>
  <si>
    <t>1700_0E35</t>
  </si>
  <si>
    <t>1700_1035</t>
  </si>
  <si>
    <t>1700_1235</t>
  </si>
  <si>
    <t>1700_1435</t>
  </si>
  <si>
    <t>1700_1635</t>
  </si>
  <si>
    <t>1700_1835</t>
  </si>
  <si>
    <t>1700_1A35</t>
  </si>
  <si>
    <t>1700_1C35</t>
  </si>
  <si>
    <t>1700_1E35</t>
  </si>
  <si>
    <t>1700_2035</t>
  </si>
  <si>
    <t>1700_2235</t>
  </si>
  <si>
    <t>1700_2435</t>
  </si>
  <si>
    <t>1700_2635</t>
  </si>
  <si>
    <t>1700_2835</t>
  </si>
  <si>
    <t>1700_2A35</t>
  </si>
  <si>
    <t>1700_2C35</t>
  </si>
  <si>
    <t>1700_2E35</t>
  </si>
  <si>
    <t>1700_3035</t>
  </si>
  <si>
    <t>1700_3235</t>
  </si>
  <si>
    <t>1700_3435</t>
  </si>
  <si>
    <t>1700_3635</t>
  </si>
  <si>
    <t>1700_3835</t>
  </si>
  <si>
    <t>1700_3A35</t>
  </si>
  <si>
    <t>1700_3C35</t>
  </si>
  <si>
    <t>1700_3E35</t>
  </si>
  <si>
    <t>1700_4035</t>
  </si>
  <si>
    <t>1700_4235</t>
  </si>
  <si>
    <t>1700_4435</t>
  </si>
  <si>
    <t>1700_4635</t>
  </si>
  <si>
    <t>1700_4835</t>
  </si>
  <si>
    <t>1700_4A35</t>
  </si>
  <si>
    <t>1700_4C35</t>
  </si>
  <si>
    <t>1700_4E35</t>
  </si>
  <si>
    <t>1700_5035</t>
  </si>
  <si>
    <t>1700_5235</t>
  </si>
  <si>
    <t>1700_5435</t>
  </si>
  <si>
    <t>1700_5635</t>
  </si>
  <si>
    <t>1700_5835</t>
  </si>
  <si>
    <t>1700_5A35</t>
  </si>
  <si>
    <t>1700_5C35</t>
  </si>
  <si>
    <t>1700_5E35</t>
  </si>
  <si>
    <t>1700_6035</t>
  </si>
  <si>
    <t>1700_6235</t>
  </si>
  <si>
    <t>1700_6435</t>
  </si>
  <si>
    <t>1700_6635</t>
  </si>
  <si>
    <t>1700_6835</t>
  </si>
  <si>
    <t>1700_6A35</t>
  </si>
  <si>
    <t>1700_6C35</t>
  </si>
  <si>
    <t>1700_6E35</t>
  </si>
  <si>
    <t>1700_7035</t>
  </si>
  <si>
    <t>1700_7235</t>
  </si>
  <si>
    <t>1700_7435</t>
  </si>
  <si>
    <t>1700_7635</t>
  </si>
  <si>
    <t>1700_7835</t>
  </si>
  <si>
    <t>1700_7A35</t>
  </si>
  <si>
    <t>1700_7C35</t>
  </si>
  <si>
    <t>1700_7E35</t>
  </si>
  <si>
    <t>1700_0036</t>
  </si>
  <si>
    <t>1700_0236</t>
  </si>
  <si>
    <t>1700_0436</t>
  </si>
  <si>
    <t>1700_0636</t>
  </si>
  <si>
    <t>1700_0836</t>
  </si>
  <si>
    <t>1700_0A36</t>
  </si>
  <si>
    <t>1700_0C36</t>
  </si>
  <si>
    <t>1700_0E36</t>
  </si>
  <si>
    <t>1700_1036</t>
  </si>
  <si>
    <t>1700_1236</t>
  </si>
  <si>
    <t>1700_1436</t>
  </si>
  <si>
    <t>1700_1636</t>
  </si>
  <si>
    <t>1700_1836</t>
  </si>
  <si>
    <t>1700_1A36</t>
  </si>
  <si>
    <t>1700_1C36</t>
  </si>
  <si>
    <t>1700_1E36</t>
  </si>
  <si>
    <t>1700_2036</t>
  </si>
  <si>
    <t>1700_2236</t>
  </si>
  <si>
    <t>1700_2436</t>
  </si>
  <si>
    <t>1700_2636</t>
  </si>
  <si>
    <t>1700_2836</t>
  </si>
  <si>
    <t>1700_2A36</t>
  </si>
  <si>
    <t>1700_2C36</t>
  </si>
  <si>
    <t>1700_2E36</t>
  </si>
  <si>
    <t>1700_3036</t>
  </si>
  <si>
    <t>1700_3236</t>
  </si>
  <si>
    <t>1700_3436</t>
  </si>
  <si>
    <t>1700_3636</t>
  </si>
  <si>
    <t>1700_3836</t>
  </si>
  <si>
    <t>1700_3A36</t>
  </si>
  <si>
    <t>1700_3C36</t>
  </si>
  <si>
    <t>1700_3E36</t>
  </si>
  <si>
    <t>1700_4036</t>
  </si>
  <si>
    <t>1700_4236</t>
  </si>
  <si>
    <t>1700_4436</t>
  </si>
  <si>
    <t>1700_4636</t>
  </si>
  <si>
    <t>1700_4836</t>
  </si>
  <si>
    <t>1700_4A36</t>
  </si>
  <si>
    <t>1700_4C36</t>
  </si>
  <si>
    <t>1700_4E36</t>
  </si>
  <si>
    <t>1700_5036</t>
  </si>
  <si>
    <t>1700_5236</t>
  </si>
  <si>
    <t>1700_5436</t>
  </si>
  <si>
    <t>1700_5636</t>
  </si>
  <si>
    <t>1700_5836</t>
  </si>
  <si>
    <t>1700_5A36</t>
  </si>
  <si>
    <t>1700_5C36</t>
  </si>
  <si>
    <t>1700_5E36</t>
  </si>
  <si>
    <t>1700_6036</t>
  </si>
  <si>
    <t>1700_6236</t>
  </si>
  <si>
    <t>1700_6436</t>
  </si>
  <si>
    <t>1700_6636</t>
  </si>
  <si>
    <t>1700_6836</t>
  </si>
  <si>
    <t>1700_6A36</t>
  </si>
  <si>
    <t>1700_6C36</t>
  </si>
  <si>
    <t>1700_6E36</t>
  </si>
  <si>
    <t>1700_7036</t>
  </si>
  <si>
    <t>1700_7236</t>
  </si>
  <si>
    <t>1700_7436</t>
  </si>
  <si>
    <t>1700_7636</t>
  </si>
  <si>
    <t>1700_7836</t>
  </si>
  <si>
    <t>1700_7A36</t>
  </si>
  <si>
    <t>1700_7C36</t>
  </si>
  <si>
    <t>1700_7E36</t>
  </si>
  <si>
    <t>1700_0037</t>
  </si>
  <si>
    <t>1700_0237</t>
  </si>
  <si>
    <t>1700_0437</t>
  </si>
  <si>
    <t>1700_0637</t>
  </si>
  <si>
    <t>1700_0837</t>
  </si>
  <si>
    <t>1700_0A37</t>
  </si>
  <si>
    <t>1700_0C37</t>
  </si>
  <si>
    <t>1700_0E37</t>
  </si>
  <si>
    <t>1700_1037</t>
  </si>
  <si>
    <t>1700_1237</t>
  </si>
  <si>
    <t>1700_1437</t>
  </si>
  <si>
    <t>1700_1637</t>
  </si>
  <si>
    <t>1700_1837</t>
  </si>
  <si>
    <t>1700_1A37</t>
  </si>
  <si>
    <t>1700_1C37</t>
  </si>
  <si>
    <t>1700_1E37</t>
  </si>
  <si>
    <t>1700_2037</t>
  </si>
  <si>
    <t>1700_2237</t>
  </si>
  <si>
    <t>1700_2437</t>
  </si>
  <si>
    <t>1700_2637</t>
  </si>
  <si>
    <t>1700_2837</t>
  </si>
  <si>
    <t>1700_2A37</t>
  </si>
  <si>
    <t>1700_2C37</t>
  </si>
  <si>
    <t>1700_2E37</t>
  </si>
  <si>
    <t>1700_3037</t>
  </si>
  <si>
    <t>1700_3237</t>
  </si>
  <si>
    <t>1700_3437</t>
  </si>
  <si>
    <t>1700_3637</t>
  </si>
  <si>
    <t>1700_3837</t>
  </si>
  <si>
    <t>1700_3A37</t>
  </si>
  <si>
    <t>1700_3C37</t>
  </si>
  <si>
    <t>1700_3E37</t>
  </si>
  <si>
    <t>1700_4037</t>
  </si>
  <si>
    <t>1700_4237</t>
  </si>
  <si>
    <t>1700_4437</t>
  </si>
  <si>
    <t>1700_4637</t>
  </si>
  <si>
    <t>1700_4837</t>
  </si>
  <si>
    <t>1700_4A37</t>
  </si>
  <si>
    <t>1700_4C37</t>
  </si>
  <si>
    <t>1700_4E37</t>
  </si>
  <si>
    <t>1700_5037</t>
  </si>
  <si>
    <t>1700_5237</t>
  </si>
  <si>
    <t>1700_5437</t>
  </si>
  <si>
    <t>1700_5637</t>
  </si>
  <si>
    <t>1700_5837</t>
  </si>
  <si>
    <t>1700_5A37</t>
  </si>
  <si>
    <t>1700_5C37</t>
  </si>
  <si>
    <t>1700_5E37</t>
  </si>
  <si>
    <t>1700_6037</t>
  </si>
  <si>
    <t>1700_6237</t>
  </si>
  <si>
    <t>1700_6437</t>
  </si>
  <si>
    <t>1700_6637</t>
  </si>
  <si>
    <t>1700_6837</t>
  </si>
  <si>
    <t>1700_6A37</t>
  </si>
  <si>
    <t>1700_6C37</t>
  </si>
  <si>
    <t>1700_6E37</t>
  </si>
  <si>
    <t>1700_7037</t>
  </si>
  <si>
    <t>1700_7237</t>
  </si>
  <si>
    <t>1700_7437</t>
  </si>
  <si>
    <t>1700_7637</t>
  </si>
  <si>
    <t>1700_7837</t>
  </si>
  <si>
    <t>1700_7A37</t>
  </si>
  <si>
    <t>1700_7C37</t>
  </si>
  <si>
    <t>1700_7E37</t>
  </si>
  <si>
    <t>1700_0038</t>
  </si>
  <si>
    <t>1700_0238</t>
  </si>
  <si>
    <t>1700_0438</t>
  </si>
  <si>
    <t>1700_0638</t>
  </si>
  <si>
    <t>1700_0838</t>
  </si>
  <si>
    <t>1700_0A38</t>
  </si>
  <si>
    <t>1700_0C38</t>
  </si>
  <si>
    <t>1700_0E38</t>
  </si>
  <si>
    <t>1700_1038</t>
  </si>
  <si>
    <t>1700_1238</t>
  </si>
  <si>
    <t>1700_1438</t>
  </si>
  <si>
    <t>1700_1638</t>
  </si>
  <si>
    <t>1700_1838</t>
  </si>
  <si>
    <t>1700_1A38</t>
  </si>
  <si>
    <t>1700_1C38</t>
  </si>
  <si>
    <t>1700_1E38</t>
  </si>
  <si>
    <t>1700_2038</t>
  </si>
  <si>
    <t>1700_2238</t>
  </si>
  <si>
    <t>1700_2438</t>
  </si>
  <si>
    <t>1700_2638</t>
  </si>
  <si>
    <t>1700_2838</t>
  </si>
  <si>
    <t>1700_2A38</t>
  </si>
  <si>
    <t>1700_2C38</t>
  </si>
  <si>
    <t>1700_2E38</t>
  </si>
  <si>
    <t>1700_3038</t>
  </si>
  <si>
    <t>1700_3238</t>
  </si>
  <si>
    <t>1700_3438</t>
  </si>
  <si>
    <t>1700_3638</t>
  </si>
  <si>
    <t>1700_3838</t>
  </si>
  <si>
    <t>1700_3A38</t>
  </si>
  <si>
    <t>1700_3C38</t>
  </si>
  <si>
    <t>1700_3E38</t>
  </si>
  <si>
    <t>1700_4038</t>
  </si>
  <si>
    <t>1700_4238</t>
  </si>
  <si>
    <t>1700_4438</t>
  </si>
  <si>
    <t>1700_4638</t>
  </si>
  <si>
    <t>1700_4838</t>
  </si>
  <si>
    <t>1700_4A38</t>
  </si>
  <si>
    <t>1700_4C38</t>
  </si>
  <si>
    <t>1700_4E38</t>
  </si>
  <si>
    <t>1700_5038</t>
  </si>
  <si>
    <t>1700_5238</t>
  </si>
  <si>
    <t>1700_5438</t>
  </si>
  <si>
    <t>1700_5638</t>
  </si>
  <si>
    <t>1700_5838</t>
  </si>
  <si>
    <t>1700_5A38</t>
  </si>
  <si>
    <t>1700_5C38</t>
  </si>
  <si>
    <t>1700_5E38</t>
  </si>
  <si>
    <t>1700_6038</t>
  </si>
  <si>
    <t>1700_6238</t>
  </si>
  <si>
    <t>1700_6438</t>
  </si>
  <si>
    <t>1700_6638</t>
  </si>
  <si>
    <t>1700_6838</t>
  </si>
  <si>
    <t>1700_6A38</t>
  </si>
  <si>
    <t>1700_6C38</t>
  </si>
  <si>
    <t>1700_6E38</t>
  </si>
  <si>
    <t>1700_7038</t>
  </si>
  <si>
    <t>1700_7238</t>
  </si>
  <si>
    <t>1700_7438</t>
  </si>
  <si>
    <t>1700_7638</t>
  </si>
  <si>
    <t>1700_7838</t>
  </si>
  <si>
    <t>1700_7A38</t>
  </si>
  <si>
    <t>1700_7C38</t>
  </si>
  <si>
    <t>1700_7E38</t>
  </si>
  <si>
    <t>1700_0039</t>
  </si>
  <si>
    <t>1700_0239</t>
  </si>
  <si>
    <t>1700_0439</t>
  </si>
  <si>
    <t>1700_0639</t>
  </si>
  <si>
    <t>1700_0839</t>
  </si>
  <si>
    <t>1700_0A39</t>
  </si>
  <si>
    <t>1700_0C39</t>
  </si>
  <si>
    <t>1700_0E39</t>
  </si>
  <si>
    <t>1700_1039</t>
  </si>
  <si>
    <t>1700_1239</t>
  </si>
  <si>
    <t>1700_1439</t>
  </si>
  <si>
    <t>1700_1639</t>
  </si>
  <si>
    <t>1700_1839</t>
  </si>
  <si>
    <t>1700_1A39</t>
  </si>
  <si>
    <t>1700_1C39</t>
  </si>
  <si>
    <t>1700_1E39</t>
  </si>
  <si>
    <t>1700_2039</t>
  </si>
  <si>
    <t>1700_2239</t>
  </si>
  <si>
    <t>1700_2439</t>
  </si>
  <si>
    <t>1700_2639</t>
  </si>
  <si>
    <t>1700_2839</t>
  </si>
  <si>
    <t>1700_2A39</t>
  </si>
  <si>
    <t>1700_2C39</t>
  </si>
  <si>
    <t>1700_2E39</t>
  </si>
  <si>
    <t>1700_3039</t>
  </si>
  <si>
    <t>1700_3239</t>
  </si>
  <si>
    <t>1700_3439</t>
  </si>
  <si>
    <t>1700_3639</t>
  </si>
  <si>
    <t>1700_3839</t>
  </si>
  <si>
    <t>1700_3A39</t>
  </si>
  <si>
    <t>1700_3C39</t>
  </si>
  <si>
    <t>1700_3E39</t>
  </si>
  <si>
    <t>1700_4039</t>
  </si>
  <si>
    <t>1700_4239</t>
  </si>
  <si>
    <t>1700_4439</t>
  </si>
  <si>
    <t>1700_4639</t>
  </si>
  <si>
    <t>1700_4839</t>
  </si>
  <si>
    <t>1700_4A39</t>
  </si>
  <si>
    <t>1700_4C39</t>
  </si>
  <si>
    <t>1700_4E39</t>
  </si>
  <si>
    <t>1700_5039</t>
  </si>
  <si>
    <t>1700_5239</t>
  </si>
  <si>
    <t>1700_5439</t>
  </si>
  <si>
    <t>1700_5639</t>
  </si>
  <si>
    <t>1700_5839</t>
  </si>
  <si>
    <t>1700_5A39</t>
  </si>
  <si>
    <t>1700_5C39</t>
  </si>
  <si>
    <t>1700_5E39</t>
  </si>
  <si>
    <t>1700_6039</t>
  </si>
  <si>
    <t>1700_6239</t>
  </si>
  <si>
    <t>1700_6439</t>
  </si>
  <si>
    <t>1700_6639</t>
  </si>
  <si>
    <t>1700_6839</t>
  </si>
  <si>
    <t>1700_6A39</t>
  </si>
  <si>
    <t>1700_6C39</t>
  </si>
  <si>
    <t>1700_6E39</t>
  </si>
  <si>
    <t>1700_7039</t>
  </si>
  <si>
    <t>1700_7239</t>
  </si>
  <si>
    <t>1700_7439</t>
  </si>
  <si>
    <t>1700_7639</t>
  </si>
  <si>
    <t>1700_7839</t>
  </si>
  <si>
    <t>1700_7A39</t>
  </si>
  <si>
    <t>1700_7C39</t>
  </si>
  <si>
    <t>1700_7E39</t>
  </si>
  <si>
    <t>1700_003A</t>
  </si>
  <si>
    <t>1700_023A</t>
  </si>
  <si>
    <t>1700_043A</t>
  </si>
  <si>
    <t>1700_063A</t>
  </si>
  <si>
    <t>1700_083A</t>
  </si>
  <si>
    <t>1700_0A3A</t>
  </si>
  <si>
    <t>1700_0C3A</t>
  </si>
  <si>
    <t>1700_0E3A</t>
  </si>
  <si>
    <t>1700_103A</t>
  </si>
  <si>
    <t>1700_123A</t>
  </si>
  <si>
    <t>1700_143A</t>
  </si>
  <si>
    <t>1700_163A</t>
  </si>
  <si>
    <t>1700_183A</t>
  </si>
  <si>
    <t>1700_1A3A</t>
  </si>
  <si>
    <t>1700_1C3A</t>
  </si>
  <si>
    <t>1700_1E3A</t>
  </si>
  <si>
    <t>1700_203A</t>
  </si>
  <si>
    <t>1700_223A</t>
  </si>
  <si>
    <t>1700_243A</t>
  </si>
  <si>
    <t>1700_263A</t>
  </si>
  <si>
    <t>1700_283A</t>
  </si>
  <si>
    <t>1700_2A3A</t>
  </si>
  <si>
    <t>1700_2C3A</t>
  </si>
  <si>
    <t>1700_2E3A</t>
  </si>
  <si>
    <t>1700_303A</t>
  </si>
  <si>
    <t>1700_323A</t>
  </si>
  <si>
    <t>1700_343A</t>
  </si>
  <si>
    <t>1700_363A</t>
  </si>
  <si>
    <t>1700_383A</t>
  </si>
  <si>
    <t>1700_3A3A</t>
  </si>
  <si>
    <t>1700_3C3A</t>
  </si>
  <si>
    <t>1700_3E3A</t>
  </si>
  <si>
    <t>1700_403A</t>
  </si>
  <si>
    <t>1700_423A</t>
  </si>
  <si>
    <t>1700_443A</t>
  </si>
  <si>
    <t>1700_463A</t>
  </si>
  <si>
    <t>1700_483A</t>
  </si>
  <si>
    <t>1700_4A3A</t>
  </si>
  <si>
    <t>1700_4C3A</t>
  </si>
  <si>
    <t>1700_4E3A</t>
  </si>
  <si>
    <t>1700_503A</t>
  </si>
  <si>
    <t>1700_523A</t>
  </si>
  <si>
    <t>1700_543A</t>
  </si>
  <si>
    <t>1700_563A</t>
  </si>
  <si>
    <t>1700_583A</t>
  </si>
  <si>
    <t>1700_5A3A</t>
  </si>
  <si>
    <t>1700_5C3A</t>
  </si>
  <si>
    <t>1700_5E3A</t>
  </si>
  <si>
    <t>1700_603A</t>
  </si>
  <si>
    <t>1700_623A</t>
  </si>
  <si>
    <t>1700_643A</t>
  </si>
  <si>
    <t>1700_663A</t>
  </si>
  <si>
    <t>1700_683A</t>
  </si>
  <si>
    <t>1700_6A3A</t>
  </si>
  <si>
    <t>1700_6C3A</t>
  </si>
  <si>
    <t>1700_6E3A</t>
  </si>
  <si>
    <t>1700_703A</t>
  </si>
  <si>
    <t>1700_723A</t>
  </si>
  <si>
    <t>1700_743A</t>
  </si>
  <si>
    <t>1700_763A</t>
  </si>
  <si>
    <t>1700_783A</t>
  </si>
  <si>
    <t>1700_7A3A</t>
  </si>
  <si>
    <t>1700_7C3A</t>
  </si>
  <si>
    <t>1700_7E3A</t>
  </si>
  <si>
    <t>1700_003B</t>
  </si>
  <si>
    <t>1700_023B</t>
  </si>
  <si>
    <t>1700_043B</t>
  </si>
  <si>
    <t>1700_063B</t>
  </si>
  <si>
    <t>1700_083B</t>
  </si>
  <si>
    <t>1700_0A3B</t>
  </si>
  <si>
    <t>1700_0C3B</t>
  </si>
  <si>
    <t>1700_0E3B</t>
  </si>
  <si>
    <t>1700_103B</t>
  </si>
  <si>
    <t>1700_123B</t>
  </si>
  <si>
    <t>1700_143B</t>
  </si>
  <si>
    <t>1700_163B</t>
  </si>
  <si>
    <t>1700_183B</t>
  </si>
  <si>
    <t>1700_1A3B</t>
  </si>
  <si>
    <t>1700_1C3B</t>
  </si>
  <si>
    <t>1700_1E3B</t>
  </si>
  <si>
    <t>1700_203B</t>
  </si>
  <si>
    <t>1700_223B</t>
  </si>
  <si>
    <t>1700_243B</t>
  </si>
  <si>
    <t>1700_263B</t>
  </si>
  <si>
    <t>1700_283B</t>
  </si>
  <si>
    <t>1700_2A3B</t>
  </si>
  <si>
    <t>1700_2C3B</t>
  </si>
  <si>
    <t>1700_2E3B</t>
  </si>
  <si>
    <t>1700_303B</t>
  </si>
  <si>
    <t>1700_323B</t>
  </si>
  <si>
    <t>1700_343B</t>
  </si>
  <si>
    <t>1700_363B</t>
  </si>
  <si>
    <t>1700_383B</t>
  </si>
  <si>
    <t>1700_3A3B</t>
  </si>
  <si>
    <t>1700_3C3B</t>
  </si>
  <si>
    <t>1700_3E3B</t>
  </si>
  <si>
    <t>1700_403B</t>
  </si>
  <si>
    <t>1700_423B</t>
  </si>
  <si>
    <t>1700_443B</t>
  </si>
  <si>
    <t>1700_463B</t>
  </si>
  <si>
    <t>1700_483B</t>
  </si>
  <si>
    <t>1700_4A3B</t>
  </si>
  <si>
    <t>1700_4C3B</t>
  </si>
  <si>
    <t>1700_4E3B</t>
  </si>
  <si>
    <t>1700_503B</t>
  </si>
  <si>
    <t>1700_523B</t>
  </si>
  <si>
    <t>1700_543B</t>
  </si>
  <si>
    <t>1700_563B</t>
  </si>
  <si>
    <t>1700_583B</t>
  </si>
  <si>
    <t>1700_5A3B</t>
  </si>
  <si>
    <t>1700_5C3B</t>
  </si>
  <si>
    <t>1700_5E3B</t>
  </si>
  <si>
    <t>1700_603B</t>
  </si>
  <si>
    <t>1700_623B</t>
  </si>
  <si>
    <t>1700_643B</t>
  </si>
  <si>
    <t>1700_663B</t>
  </si>
  <si>
    <t>1700_683B</t>
  </si>
  <si>
    <t>1700_6A3B</t>
  </si>
  <si>
    <t>1700_6C3B</t>
  </si>
  <si>
    <t>1700_6E3B</t>
  </si>
  <si>
    <t>1700_703B</t>
  </si>
  <si>
    <t>1700_723B</t>
  </si>
  <si>
    <t>1700_743B</t>
  </si>
  <si>
    <t>1700_763B</t>
  </si>
  <si>
    <t>1700_783B</t>
  </si>
  <si>
    <t>1700_7A3B</t>
  </si>
  <si>
    <t>1700_7C3B</t>
  </si>
  <si>
    <t>1700_7E3B</t>
  </si>
  <si>
    <t>1700_003C</t>
  </si>
  <si>
    <t>1700_023C</t>
  </si>
  <si>
    <t>1700_043C</t>
  </si>
  <si>
    <t>1700_063C</t>
  </si>
  <si>
    <t>1700_083C</t>
  </si>
  <si>
    <t>1700_0A3C</t>
  </si>
  <si>
    <t>1700_0C3C</t>
  </si>
  <si>
    <t>1700_0E3C</t>
  </si>
  <si>
    <t>1700_103C</t>
  </si>
  <si>
    <t>1700_123C</t>
  </si>
  <si>
    <t>1700_143C</t>
  </si>
  <si>
    <t>1700_163C</t>
  </si>
  <si>
    <t>1700_183C</t>
  </si>
  <si>
    <t>1700_1A3C</t>
  </si>
  <si>
    <t>1700_1C3C</t>
  </si>
  <si>
    <t>1700_1E3C</t>
  </si>
  <si>
    <t>1700_203C</t>
  </si>
  <si>
    <t>1700_223C</t>
  </si>
  <si>
    <t>1700_243C</t>
  </si>
  <si>
    <t>1700_263C</t>
  </si>
  <si>
    <t>1700_283C</t>
  </si>
  <si>
    <t>1700_2A3C</t>
  </si>
  <si>
    <t>1700_2C3C</t>
  </si>
  <si>
    <t>1700_2E3C</t>
  </si>
  <si>
    <t>1700_303C</t>
  </si>
  <si>
    <t>1700_323C</t>
  </si>
  <si>
    <t>1700_343C</t>
  </si>
  <si>
    <t>1700_363C</t>
  </si>
  <si>
    <t>1700_383C</t>
  </si>
  <si>
    <t>1700_3A3C</t>
  </si>
  <si>
    <t>1700_3C3C</t>
  </si>
  <si>
    <t>1700_3E3C</t>
  </si>
  <si>
    <t>1700_403C</t>
  </si>
  <si>
    <t>1700_423C</t>
  </si>
  <si>
    <t>1700_443C</t>
  </si>
  <si>
    <t>1700_463C</t>
  </si>
  <si>
    <t>1700_483C</t>
  </si>
  <si>
    <t>1700_4A3C</t>
  </si>
  <si>
    <t>1700_4C3C</t>
  </si>
  <si>
    <t>1700_4E3C</t>
  </si>
  <si>
    <t>1700_503C</t>
  </si>
  <si>
    <t>1700_523C</t>
  </si>
  <si>
    <t>1700_543C</t>
  </si>
  <si>
    <t>1700_563C</t>
  </si>
  <si>
    <t>1700_583C</t>
  </si>
  <si>
    <t>1700_5A3C</t>
  </si>
  <si>
    <t>1700_5C3C</t>
  </si>
  <si>
    <t>1700_5E3C</t>
  </si>
  <si>
    <t>1700_603C</t>
  </si>
  <si>
    <t>1700_623C</t>
  </si>
  <si>
    <t>1700_643C</t>
  </si>
  <si>
    <t>1700_663C</t>
  </si>
  <si>
    <t>1700_683C</t>
  </si>
  <si>
    <t>1700_6A3C</t>
  </si>
  <si>
    <t>1700_6C3C</t>
  </si>
  <si>
    <t>1700_6E3C</t>
  </si>
  <si>
    <t>1700_703C</t>
  </si>
  <si>
    <t>1700_723C</t>
  </si>
  <si>
    <t>1700_743C</t>
  </si>
  <si>
    <t>1700_763C</t>
  </si>
  <si>
    <t>1700_783C</t>
  </si>
  <si>
    <t>1700_7A3C</t>
  </si>
  <si>
    <t>1700_7C3C</t>
  </si>
  <si>
    <t>1700_7E3C</t>
  </si>
  <si>
    <t>1700_003D</t>
  </si>
  <si>
    <t>1700_023D</t>
  </si>
  <si>
    <t>1700_043D</t>
  </si>
  <si>
    <t>1700_063D</t>
  </si>
  <si>
    <t>1700_083D</t>
  </si>
  <si>
    <t>1700_0A3D</t>
  </si>
  <si>
    <t>1700_0C3D</t>
  </si>
  <si>
    <t>1700_0E3D</t>
  </si>
  <si>
    <t>1700_103D</t>
  </si>
  <si>
    <t>1700_123D</t>
  </si>
  <si>
    <t>1700_143D</t>
  </si>
  <si>
    <t>1700_163D</t>
  </si>
  <si>
    <t>1700_183D</t>
  </si>
  <si>
    <t>1700_1A3D</t>
  </si>
  <si>
    <t>1700_1C3D</t>
  </si>
  <si>
    <t>1700_1E3D</t>
  </si>
  <si>
    <t>1700_203D</t>
  </si>
  <si>
    <t>1700_223D</t>
  </si>
  <si>
    <t>1700_243D</t>
  </si>
  <si>
    <t>1700_263D</t>
  </si>
  <si>
    <t>1700_283D</t>
  </si>
  <si>
    <t>1700_2A3D</t>
  </si>
  <si>
    <t>1700_2C3D</t>
  </si>
  <si>
    <t>1700_2E3D</t>
  </si>
  <si>
    <t>1700_303D</t>
  </si>
  <si>
    <t>1700_323D</t>
  </si>
  <si>
    <t>1700_343D</t>
  </si>
  <si>
    <t>1700_363D</t>
  </si>
  <si>
    <t>1700_383D</t>
  </si>
  <si>
    <t>1700_3A3D</t>
  </si>
  <si>
    <t>1700_3C3D</t>
  </si>
  <si>
    <t>1700_3E3D</t>
  </si>
  <si>
    <t>1700_403D</t>
  </si>
  <si>
    <t>1700_423D</t>
  </si>
  <si>
    <t>1700_443D</t>
  </si>
  <si>
    <t>1700_463D</t>
  </si>
  <si>
    <t>1700_483D</t>
  </si>
  <si>
    <t>1700_4A3D</t>
  </si>
  <si>
    <t>1700_4C3D</t>
  </si>
  <si>
    <t>1700_4E3D</t>
  </si>
  <si>
    <t>1700_503D</t>
  </si>
  <si>
    <t>1700_523D</t>
  </si>
  <si>
    <t>1700_543D</t>
  </si>
  <si>
    <t>1700_563D</t>
  </si>
  <si>
    <t>1700_583D</t>
  </si>
  <si>
    <t>1700_5A3D</t>
  </si>
  <si>
    <t>1700_5C3D</t>
  </si>
  <si>
    <t>1700_5E3D</t>
  </si>
  <si>
    <t>1700_603D</t>
  </si>
  <si>
    <t>1700_623D</t>
  </si>
  <si>
    <t>1700_643D</t>
  </si>
  <si>
    <t>1700_663D</t>
  </si>
  <si>
    <t>1700_683D</t>
  </si>
  <si>
    <t>1700_6A3D</t>
  </si>
  <si>
    <t>1700_6C3D</t>
  </si>
  <si>
    <t>1700_6E3D</t>
  </si>
  <si>
    <t>1700_703D</t>
  </si>
  <si>
    <t>1700_723D</t>
  </si>
  <si>
    <t>1700_743D</t>
  </si>
  <si>
    <t>1700_763D</t>
  </si>
  <si>
    <t>1700_783D</t>
  </si>
  <si>
    <t>1700_7A3D</t>
  </si>
  <si>
    <t>1700_7C3D</t>
  </si>
  <si>
    <t>1700_7E3D</t>
  </si>
  <si>
    <t>1700_003E</t>
  </si>
  <si>
    <t>1700_023E</t>
  </si>
  <si>
    <t>1700_043E</t>
  </si>
  <si>
    <t>1700_063E</t>
  </si>
  <si>
    <t>1700_083E</t>
  </si>
  <si>
    <t>1700_0A3E</t>
  </si>
  <si>
    <t>1700_0C3E</t>
  </si>
  <si>
    <t>1700_0E3E</t>
  </si>
  <si>
    <t>1700_103E</t>
  </si>
  <si>
    <t>1700_123E</t>
  </si>
  <si>
    <t>1700_143E</t>
  </si>
  <si>
    <t>1700_163E</t>
  </si>
  <si>
    <t>1700_183E</t>
  </si>
  <si>
    <t>1700_1A3E</t>
  </si>
  <si>
    <t>1700_1C3E</t>
  </si>
  <si>
    <t>1700_1E3E</t>
  </si>
  <si>
    <t>1700_203E</t>
  </si>
  <si>
    <t>1700_223E</t>
  </si>
  <si>
    <t>1700_243E</t>
  </si>
  <si>
    <t>1700_263E</t>
  </si>
  <si>
    <t>1700_283E</t>
  </si>
  <si>
    <t>1700_2A3E</t>
  </si>
  <si>
    <t>1700_2C3E</t>
  </si>
  <si>
    <t>1700_2E3E</t>
  </si>
  <si>
    <t>1700_303E</t>
  </si>
  <si>
    <t>1700_323E</t>
  </si>
  <si>
    <t>1700_343E</t>
  </si>
  <si>
    <t>1700_363E</t>
  </si>
  <si>
    <t>1700_383E</t>
  </si>
  <si>
    <t>1700_3A3E</t>
  </si>
  <si>
    <t>1700_3C3E</t>
  </si>
  <si>
    <t>1700_3E3E</t>
  </si>
  <si>
    <t>1700_403E</t>
  </si>
  <si>
    <t>1700_423E</t>
  </si>
  <si>
    <t>1700_443E</t>
  </si>
  <si>
    <t>1700_463E</t>
  </si>
  <si>
    <t>1700_483E</t>
  </si>
  <si>
    <t>1700_4A3E</t>
  </si>
  <si>
    <t>1700_4C3E</t>
  </si>
  <si>
    <t>1700_4E3E</t>
  </si>
  <si>
    <t>1700_503E</t>
  </si>
  <si>
    <t>1700_523E</t>
  </si>
  <si>
    <t>1700_543E</t>
  </si>
  <si>
    <t>1700_563E</t>
  </si>
  <si>
    <t>1700_583E</t>
  </si>
  <si>
    <t>1700_5A3E</t>
  </si>
  <si>
    <t>1700_5C3E</t>
  </si>
  <si>
    <t>1700_5E3E</t>
  </si>
  <si>
    <t>1700_603E</t>
  </si>
  <si>
    <t>1700_623E</t>
  </si>
  <si>
    <t>1700_643E</t>
  </si>
  <si>
    <t>1700_663E</t>
  </si>
  <si>
    <t>1700_683E</t>
  </si>
  <si>
    <t>1700_6A3E</t>
  </si>
  <si>
    <t>1700_6C3E</t>
  </si>
  <si>
    <t>1700_6E3E</t>
  </si>
  <si>
    <t>1700_703E</t>
  </si>
  <si>
    <t>1700_723E</t>
  </si>
  <si>
    <t>1700_743E</t>
  </si>
  <si>
    <t>1700_763E</t>
  </si>
  <si>
    <t>1700_783E</t>
  </si>
  <si>
    <t>1700_7A3E</t>
  </si>
  <si>
    <t>1700_7C3E</t>
  </si>
  <si>
    <t>1700_7E3E</t>
  </si>
  <si>
    <t>1700_003F</t>
  </si>
  <si>
    <t>1700_023F</t>
  </si>
  <si>
    <t>1700_043F</t>
  </si>
  <si>
    <t>1700_063F</t>
  </si>
  <si>
    <t>1700_083F</t>
  </si>
  <si>
    <t>1700_0A3F</t>
  </si>
  <si>
    <t>1700_0C3F</t>
  </si>
  <si>
    <t>1700_0E3F</t>
  </si>
  <si>
    <t>1700_103F</t>
  </si>
  <si>
    <t>1700_123F</t>
  </si>
  <si>
    <t>1700_143F</t>
  </si>
  <si>
    <t>1700_163F</t>
  </si>
  <si>
    <t>1700_183F</t>
  </si>
  <si>
    <t>1700_1A3F</t>
  </si>
  <si>
    <t>1700_1C3F</t>
  </si>
  <si>
    <t>1700_1E3F</t>
  </si>
  <si>
    <t>1700_203F</t>
  </si>
  <si>
    <t>1700_223F</t>
  </si>
  <si>
    <t>1700_243F</t>
  </si>
  <si>
    <t>1700_263F</t>
  </si>
  <si>
    <t>1700_283F</t>
  </si>
  <si>
    <t>1700_2A3F</t>
  </si>
  <si>
    <t>1700_2C3F</t>
  </si>
  <si>
    <t>1700_2E3F</t>
  </si>
  <si>
    <t>1700_303F</t>
  </si>
  <si>
    <t>1700_323F</t>
  </si>
  <si>
    <t>1700_343F</t>
  </si>
  <si>
    <t>1700_363F</t>
  </si>
  <si>
    <t>1700_383F</t>
  </si>
  <si>
    <t>1700_3A3F</t>
  </si>
  <si>
    <t>1700_3C3F</t>
  </si>
  <si>
    <t>1700_3E3F</t>
  </si>
  <si>
    <t>1700_403F</t>
  </si>
  <si>
    <t>1700_423F</t>
  </si>
  <si>
    <t>1700_443F</t>
  </si>
  <si>
    <t>1700_463F</t>
  </si>
  <si>
    <t>1700_483F</t>
  </si>
  <si>
    <t>1700_4A3F</t>
  </si>
  <si>
    <t>1700_4C3F</t>
  </si>
  <si>
    <t>1700_4E3F</t>
  </si>
  <si>
    <t>1700_503F</t>
  </si>
  <si>
    <t>1700_523F</t>
  </si>
  <si>
    <t>1700_543F</t>
  </si>
  <si>
    <t>1700_563F</t>
  </si>
  <si>
    <t>1700_583F</t>
  </si>
  <si>
    <t>1700_5A3F</t>
  </si>
  <si>
    <t>1700_5C3F</t>
  </si>
  <si>
    <t>1700_5E3F</t>
  </si>
  <si>
    <t>1700_603F</t>
  </si>
  <si>
    <t>1700_623F</t>
  </si>
  <si>
    <t>1700_643F</t>
  </si>
  <si>
    <t>1700_663F</t>
  </si>
  <si>
    <t>1700_683F</t>
  </si>
  <si>
    <t>1700_6A3F</t>
  </si>
  <si>
    <t>1700_6C3F</t>
  </si>
  <si>
    <t>1700_6E3F</t>
  </si>
  <si>
    <t>1700_703F</t>
  </si>
  <si>
    <t>1700_723F</t>
  </si>
  <si>
    <t>1700_743F</t>
  </si>
  <si>
    <t>1700_763F</t>
  </si>
  <si>
    <t>1700_783F</t>
  </si>
  <si>
    <t>1700_7A3F</t>
  </si>
  <si>
    <t>1700_7C3F</t>
  </si>
  <si>
    <t>1700_7E3F</t>
  </si>
  <si>
    <t>1700_0040</t>
  </si>
  <si>
    <t>1700_0240</t>
  </si>
  <si>
    <t>1700_0440</t>
  </si>
  <si>
    <t>1700_0640</t>
  </si>
  <si>
    <t>1700_0840</t>
  </si>
  <si>
    <t>1700_0A40</t>
  </si>
  <si>
    <t>1700_0C40</t>
  </si>
  <si>
    <t>1700_0E40</t>
  </si>
  <si>
    <t>1700_1040</t>
  </si>
  <si>
    <t>1700_1240</t>
  </si>
  <si>
    <t>1700_1440</t>
  </si>
  <si>
    <t>1700_1640</t>
  </si>
  <si>
    <t>1700_1840</t>
  </si>
  <si>
    <t>1700_1A40</t>
  </si>
  <si>
    <t>1700_1C40</t>
  </si>
  <si>
    <t>1700_1E40</t>
  </si>
  <si>
    <t>1700_2040</t>
  </si>
  <si>
    <t>1700_2240</t>
  </si>
  <si>
    <t>1700_2440</t>
  </si>
  <si>
    <t>1700_2640</t>
  </si>
  <si>
    <t>1700_2840</t>
  </si>
  <si>
    <t>1700_2A40</t>
  </si>
  <si>
    <t>1700_2C40</t>
  </si>
  <si>
    <t>1700_2E40</t>
  </si>
  <si>
    <t>1700_3040</t>
  </si>
  <si>
    <t>1700_3240</t>
  </si>
  <si>
    <t>1700_3440</t>
  </si>
  <si>
    <t>1700_3640</t>
  </si>
  <si>
    <t>1700_3840</t>
  </si>
  <si>
    <t>1700_3A40</t>
  </si>
  <si>
    <t>1700_3C40</t>
  </si>
  <si>
    <t>1700_3E40</t>
  </si>
  <si>
    <t>1700_4040</t>
  </si>
  <si>
    <t>1700_4240</t>
  </si>
  <si>
    <t>1700_4440</t>
  </si>
  <si>
    <t>1700_4640</t>
  </si>
  <si>
    <t>1700_4840</t>
  </si>
  <si>
    <t>1700_4A40</t>
  </si>
  <si>
    <t>1700_4C40</t>
  </si>
  <si>
    <t>1700_4E40</t>
  </si>
  <si>
    <t>1700_5040</t>
  </si>
  <si>
    <t>1700_5240</t>
  </si>
  <si>
    <t>1700_5440</t>
  </si>
  <si>
    <t>1700_5640</t>
  </si>
  <si>
    <t>1700_5840</t>
  </si>
  <si>
    <t>1700_5A40</t>
  </si>
  <si>
    <t>1700_5C40</t>
  </si>
  <si>
    <t>1700_5E40</t>
  </si>
  <si>
    <t>1700_6040</t>
  </si>
  <si>
    <t>1700_6240</t>
  </si>
  <si>
    <t>1700_6440</t>
  </si>
  <si>
    <t>1700_6640</t>
  </si>
  <si>
    <t>N_FWPU0</t>
  </si>
  <si>
    <t>1700_6840</t>
  </si>
  <si>
    <t>1700_6A40</t>
  </si>
  <si>
    <t>1700_6C40</t>
  </si>
  <si>
    <t>1700_6E40</t>
  </si>
  <si>
    <t>1700_7040</t>
  </si>
  <si>
    <t>1700_7240</t>
  </si>
  <si>
    <t>1700_7440</t>
  </si>
  <si>
    <t>1700_7640</t>
  </si>
  <si>
    <t>1700_7840</t>
  </si>
  <si>
    <t>1700_7A40</t>
  </si>
  <si>
    <t>1700_7C40</t>
  </si>
  <si>
    <t>1700_7E40</t>
  </si>
  <si>
    <t>1700_0041</t>
  </si>
  <si>
    <t>1700_0241</t>
  </si>
  <si>
    <t>1700_0441</t>
  </si>
  <si>
    <t>1700_0641</t>
  </si>
  <si>
    <t>1700_0841</t>
  </si>
  <si>
    <t>1700_0A41</t>
  </si>
  <si>
    <t>1700_0C41</t>
  </si>
  <si>
    <t>1700_0E41</t>
  </si>
  <si>
    <t>1700_1041</t>
  </si>
  <si>
    <t>1700_1241</t>
  </si>
  <si>
    <t>1700_1441</t>
  </si>
  <si>
    <t>1700_1641</t>
  </si>
  <si>
    <t>1700_1841</t>
  </si>
  <si>
    <t>1700_1A41</t>
  </si>
  <si>
    <t>1700_1C41</t>
  </si>
  <si>
    <t>1700_1E41</t>
  </si>
  <si>
    <t>1700_2041</t>
  </si>
  <si>
    <t>1700_2241</t>
  </si>
  <si>
    <t>1700_2441</t>
  </si>
  <si>
    <t>1700_2641</t>
  </si>
  <si>
    <t>1700_2841</t>
  </si>
  <si>
    <t>1700_2A41</t>
  </si>
  <si>
    <t>1700_2C41</t>
  </si>
  <si>
    <t>1700_2E41</t>
  </si>
  <si>
    <t>1700_3041</t>
  </si>
  <si>
    <t>1700_3241</t>
  </si>
  <si>
    <t>1700_3441</t>
  </si>
  <si>
    <t>1700_3641</t>
  </si>
  <si>
    <t>1700_3841</t>
  </si>
  <si>
    <t>1700_3A41</t>
  </si>
  <si>
    <t>1700_3C41</t>
  </si>
  <si>
    <t>1700_3E41</t>
  </si>
  <si>
    <t>1700_4041</t>
  </si>
  <si>
    <t>1700_4241</t>
  </si>
  <si>
    <t>1700_4441</t>
  </si>
  <si>
    <t>1700_4641</t>
  </si>
  <si>
    <t>1700_4841</t>
  </si>
  <si>
    <t>1700_4A41</t>
  </si>
  <si>
    <t>1700_4C41</t>
  </si>
  <si>
    <t>1700_4E41</t>
  </si>
  <si>
    <t>1700_5041</t>
  </si>
  <si>
    <t>1700_5241</t>
  </si>
  <si>
    <t>1700_5441</t>
  </si>
  <si>
    <t>1700_5641</t>
  </si>
  <si>
    <t>1700_5841</t>
  </si>
  <si>
    <t>1700_5A41</t>
  </si>
  <si>
    <t>1700_5C41</t>
  </si>
  <si>
    <t>1700_5E41</t>
  </si>
  <si>
    <t>1700_6041</t>
  </si>
  <si>
    <t>1700_6241</t>
  </si>
  <si>
    <t>1700_6441</t>
  </si>
  <si>
    <t>1700_6641</t>
  </si>
  <si>
    <t>N_FWPU1</t>
  </si>
  <si>
    <t>1700_6841</t>
  </si>
  <si>
    <t>1700_6A41</t>
  </si>
  <si>
    <t>1700_6C41</t>
  </si>
  <si>
    <t>1700_6E41</t>
  </si>
  <si>
    <t>1700_7041</t>
  </si>
  <si>
    <t>1700_7241</t>
  </si>
  <si>
    <t>1700_7441</t>
  </si>
  <si>
    <t>1700_7641</t>
  </si>
  <si>
    <t>1700_7841</t>
  </si>
  <si>
    <t>1700_7A41</t>
  </si>
  <si>
    <t>1700_7C41</t>
  </si>
  <si>
    <t>1700_7E41</t>
  </si>
  <si>
    <t>1700_0042</t>
  </si>
  <si>
    <t>1700_0242</t>
  </si>
  <si>
    <t>1700_0442</t>
  </si>
  <si>
    <t>1700_0642</t>
  </si>
  <si>
    <t>1700_0842</t>
  </si>
  <si>
    <t>1700_0A42</t>
  </si>
  <si>
    <t>1700_0C42</t>
  </si>
  <si>
    <t>1700_0E42</t>
  </si>
  <si>
    <t>1700_1042</t>
  </si>
  <si>
    <t>1700_1242</t>
  </si>
  <si>
    <t>1700_1442</t>
  </si>
  <si>
    <t>1700_1642</t>
  </si>
  <si>
    <t>1700_1842</t>
  </si>
  <si>
    <t>1700_1A42</t>
  </si>
  <si>
    <t>1700_1C42</t>
  </si>
  <si>
    <t>1700_1E42</t>
  </si>
  <si>
    <t>1700_2042</t>
  </si>
  <si>
    <t>1700_2242</t>
  </si>
  <si>
    <t>1700_2442</t>
  </si>
  <si>
    <t>1700_2642</t>
  </si>
  <si>
    <t>1700_2842</t>
  </si>
  <si>
    <t>1700_2A42</t>
  </si>
  <si>
    <t>1700_2C42</t>
  </si>
  <si>
    <t>1700_2E42</t>
  </si>
  <si>
    <t>1700_3042</t>
  </si>
  <si>
    <t>1700_3242</t>
  </si>
  <si>
    <t>1700_3442</t>
  </si>
  <si>
    <t>1700_3642</t>
  </si>
  <si>
    <t>1700_3842</t>
  </si>
  <si>
    <t>1700_3A42</t>
  </si>
  <si>
    <t>1700_3C42</t>
  </si>
  <si>
    <t>1700_3E42</t>
  </si>
  <si>
    <t>1700_4042</t>
  </si>
  <si>
    <t>1700_4242</t>
  </si>
  <si>
    <t>1700_4442</t>
  </si>
  <si>
    <t>1700_4642</t>
  </si>
  <si>
    <t>1700_4842</t>
  </si>
  <si>
    <t>1700_4A42</t>
  </si>
  <si>
    <t>1700_4C42</t>
  </si>
  <si>
    <t>1700_4E42</t>
  </si>
  <si>
    <t>1700_5042</t>
  </si>
  <si>
    <t>1700_5242</t>
  </si>
  <si>
    <t>1700_5442</t>
  </si>
  <si>
    <t>1700_5642</t>
  </si>
  <si>
    <t>1700_5842</t>
  </si>
  <si>
    <t>1700_5A42</t>
  </si>
  <si>
    <t>1700_5C42</t>
  </si>
  <si>
    <t>1700_5E42</t>
  </si>
  <si>
    <t>1700_6042</t>
  </si>
  <si>
    <t>1700_6242</t>
  </si>
  <si>
    <t>1700_6442</t>
  </si>
  <si>
    <t>1700_6642</t>
  </si>
  <si>
    <t>N_FWPU2</t>
  </si>
  <si>
    <t>1700_6842</t>
  </si>
  <si>
    <t>1700_6A42</t>
  </si>
  <si>
    <t>1700_6C42</t>
  </si>
  <si>
    <t>1700_6E42</t>
  </si>
  <si>
    <t>1700_7042</t>
  </si>
  <si>
    <t>1700_7242</t>
  </si>
  <si>
    <t>1700_7442</t>
  </si>
  <si>
    <t>1700_7642</t>
  </si>
  <si>
    <t>1700_7842</t>
  </si>
  <si>
    <t>1700_7A42</t>
  </si>
  <si>
    <t>1700_7C42</t>
  </si>
  <si>
    <t>1700_7E42</t>
  </si>
  <si>
    <t>1700_0043</t>
  </si>
  <si>
    <t>1700_0243</t>
  </si>
  <si>
    <t>1700_0443</t>
  </si>
  <si>
    <t>1700_0643</t>
  </si>
  <si>
    <t>1700_0843</t>
  </si>
  <si>
    <t>1700_0A43</t>
  </si>
  <si>
    <t>1700_0C43</t>
  </si>
  <si>
    <t>1700_0E43</t>
  </si>
  <si>
    <t>1700_1043</t>
  </si>
  <si>
    <t>1700_1243</t>
  </si>
  <si>
    <t>1700_1443</t>
  </si>
  <si>
    <t>1700_1643</t>
  </si>
  <si>
    <t>1700_1843</t>
  </si>
  <si>
    <t>1700_1A43</t>
  </si>
  <si>
    <t>1700_1C43</t>
  </si>
  <si>
    <t>1700_1E43</t>
  </si>
  <si>
    <t>1700_2043</t>
  </si>
  <si>
    <t>1700_2243</t>
  </si>
  <si>
    <t>1700_2443</t>
  </si>
  <si>
    <t>1700_2643</t>
  </si>
  <si>
    <t>1700_2843</t>
  </si>
  <si>
    <t>1700_2A43</t>
  </si>
  <si>
    <t>1700_2C43</t>
  </si>
  <si>
    <t>1700_2E43</t>
  </si>
  <si>
    <t>1700_3043</t>
  </si>
  <si>
    <t>1700_3243</t>
  </si>
  <si>
    <t>1700_3443</t>
  </si>
  <si>
    <t>1700_3643</t>
  </si>
  <si>
    <t>1700_3843</t>
  </si>
  <si>
    <t>1700_3A43</t>
  </si>
  <si>
    <t>1700_3C43</t>
  </si>
  <si>
    <t>1700_3E43</t>
  </si>
  <si>
    <t>1700_4043</t>
  </si>
  <si>
    <t>1700_4243</t>
  </si>
  <si>
    <t>1700_4443</t>
  </si>
  <si>
    <t>1700_4643</t>
  </si>
  <si>
    <t>1700_4843</t>
  </si>
  <si>
    <t>1700_4A43</t>
  </si>
  <si>
    <t>1700_4C43</t>
  </si>
  <si>
    <t>1700_4E43</t>
  </si>
  <si>
    <t>1700_5043</t>
  </si>
  <si>
    <t>1700_5243</t>
  </si>
  <si>
    <t>1700_5443</t>
  </si>
  <si>
    <t>1700_5643</t>
  </si>
  <si>
    <t>1700_5843</t>
  </si>
  <si>
    <t>1700_5A43</t>
  </si>
  <si>
    <t>1700_5C43</t>
  </si>
  <si>
    <t>1700_5E43</t>
  </si>
  <si>
    <t>1700_6043</t>
  </si>
  <si>
    <t>1700_6243</t>
  </si>
  <si>
    <t>1700_6443</t>
  </si>
  <si>
    <t>1700_6643</t>
  </si>
  <si>
    <t>N_FWPU3</t>
  </si>
  <si>
    <t>1700_6843</t>
  </si>
  <si>
    <t>1700_6A43</t>
  </si>
  <si>
    <t>1700_6C43</t>
  </si>
  <si>
    <t>1700_6E43</t>
  </si>
  <si>
    <t>1700_7043</t>
  </si>
  <si>
    <t>1700_7243</t>
  </si>
  <si>
    <t>1700_7443</t>
  </si>
  <si>
    <t>1700_7643</t>
  </si>
  <si>
    <t>1700_7843</t>
  </si>
  <si>
    <t>1700_7A43</t>
  </si>
  <si>
    <t>1700_7C43</t>
  </si>
  <si>
    <t>1700_7E43</t>
  </si>
  <si>
    <t>1700_0044</t>
  </si>
  <si>
    <t>1700_0244</t>
  </si>
  <si>
    <t>1700_0444</t>
  </si>
  <si>
    <t>1700_0644</t>
  </si>
  <si>
    <t>1700_0844</t>
  </si>
  <si>
    <t>1700_0A44</t>
  </si>
  <si>
    <t>1700_0C44</t>
  </si>
  <si>
    <t>1700_0E44</t>
  </si>
  <si>
    <t>1700_1044</t>
  </si>
  <si>
    <t>1700_1244</t>
  </si>
  <si>
    <t>1700_1444</t>
  </si>
  <si>
    <t>1700_1644</t>
  </si>
  <si>
    <t>1700_1844</t>
  </si>
  <si>
    <t>1700_1A44</t>
  </si>
  <si>
    <t>1700_1C44</t>
  </si>
  <si>
    <t>1700_1E44</t>
  </si>
  <si>
    <t>1700_2044</t>
  </si>
  <si>
    <t>1700_2244</t>
  </si>
  <si>
    <t>1700_2444</t>
  </si>
  <si>
    <t>1700_2644</t>
  </si>
  <si>
    <t>1700_2844</t>
  </si>
  <si>
    <t>1700_2A44</t>
  </si>
  <si>
    <t>1700_2C44</t>
  </si>
  <si>
    <t>1700_2E44</t>
  </si>
  <si>
    <t>1700_3044</t>
  </si>
  <si>
    <t>1700_3244</t>
  </si>
  <si>
    <t>1700_3444</t>
  </si>
  <si>
    <t>1700_3644</t>
  </si>
  <si>
    <t>1700_3844</t>
  </si>
  <si>
    <t>1700_3A44</t>
  </si>
  <si>
    <t>1700_3C44</t>
  </si>
  <si>
    <t>1700_3E44</t>
  </si>
  <si>
    <t>1700_4044</t>
  </si>
  <si>
    <t>1700_4244</t>
  </si>
  <si>
    <t>1700_4444</t>
  </si>
  <si>
    <t>1700_4644</t>
  </si>
  <si>
    <t>1700_4844</t>
  </si>
  <si>
    <t>1700_4A44</t>
  </si>
  <si>
    <t>1700_4C44</t>
  </si>
  <si>
    <t>1700_4E44</t>
  </si>
  <si>
    <t>1700_5044</t>
  </si>
  <si>
    <t>1700_5244</t>
  </si>
  <si>
    <t>1700_5444</t>
  </si>
  <si>
    <t>1700_5644</t>
  </si>
  <si>
    <t>1700_5844</t>
  </si>
  <si>
    <t>1700_5A44</t>
  </si>
  <si>
    <t>1700_5C44</t>
  </si>
  <si>
    <t>1700_5E44</t>
  </si>
  <si>
    <t>1700_6044</t>
  </si>
  <si>
    <t>1700_6244</t>
  </si>
  <si>
    <t>1700_6444</t>
  </si>
  <si>
    <t>1700_6644</t>
  </si>
  <si>
    <t>N_ERPU0</t>
  </si>
  <si>
    <t>1700_6844</t>
  </si>
  <si>
    <t>1700_6A44</t>
  </si>
  <si>
    <t>1700_6C44</t>
  </si>
  <si>
    <t>1700_6E44</t>
  </si>
  <si>
    <t>1700_7044</t>
  </si>
  <si>
    <t>1700_7244</t>
  </si>
  <si>
    <t>1700_7444</t>
  </si>
  <si>
    <t>1700_7644</t>
  </si>
  <si>
    <t>1700_7844</t>
  </si>
  <si>
    <t>1700_7A44</t>
  </si>
  <si>
    <t>1700_7C44</t>
  </si>
  <si>
    <t>1700_7E44</t>
  </si>
  <si>
    <t>1700_0045</t>
  </si>
  <si>
    <t>1700_0245</t>
  </si>
  <si>
    <t>1700_0445</t>
  </si>
  <si>
    <t>1700_0645</t>
  </si>
  <si>
    <t>1700_0845</t>
  </si>
  <si>
    <t>1700_0A45</t>
  </si>
  <si>
    <t>1700_0C45</t>
  </si>
  <si>
    <t>1700_0E45</t>
  </si>
  <si>
    <t>1700_1045</t>
  </si>
  <si>
    <t>1700_1245</t>
  </si>
  <si>
    <t>1700_1445</t>
  </si>
  <si>
    <t>1700_1645</t>
  </si>
  <si>
    <t>1700_1845</t>
  </si>
  <si>
    <t>1700_1A45</t>
  </si>
  <si>
    <t>1700_1C45</t>
  </si>
  <si>
    <t>1700_1E45</t>
  </si>
  <si>
    <t>1700_2045</t>
  </si>
  <si>
    <t>1700_2245</t>
  </si>
  <si>
    <t>1700_2445</t>
  </si>
  <si>
    <t>1700_2645</t>
  </si>
  <si>
    <t>1700_2845</t>
  </si>
  <si>
    <t>1700_2A45</t>
  </si>
  <si>
    <t>1700_2C45</t>
  </si>
  <si>
    <t>1700_2E45</t>
  </si>
  <si>
    <t>1700_3045</t>
  </si>
  <si>
    <t>1700_3245</t>
  </si>
  <si>
    <t>1700_3445</t>
  </si>
  <si>
    <t>1700_3645</t>
  </si>
  <si>
    <t>1700_3845</t>
  </si>
  <si>
    <t>1700_3A45</t>
  </si>
  <si>
    <t>1700_3C45</t>
  </si>
  <si>
    <t>1700_3E45</t>
  </si>
  <si>
    <t>1700_4045</t>
  </si>
  <si>
    <t>1700_4245</t>
  </si>
  <si>
    <t>1700_4445</t>
  </si>
  <si>
    <t>1700_4645</t>
  </si>
  <si>
    <t>1700_4845</t>
  </si>
  <si>
    <t>1700_4A45</t>
  </si>
  <si>
    <t>1700_4C45</t>
  </si>
  <si>
    <t>1700_4E45</t>
  </si>
  <si>
    <t>1700_5045</t>
  </si>
  <si>
    <t>1700_5245</t>
  </si>
  <si>
    <t>1700_5445</t>
  </si>
  <si>
    <t>1700_5645</t>
  </si>
  <si>
    <t>1700_5845</t>
  </si>
  <si>
    <t>1700_5A45</t>
  </si>
  <si>
    <t>1700_5C45</t>
  </si>
  <si>
    <t>1700_5E45</t>
  </si>
  <si>
    <t>1700_6045</t>
  </si>
  <si>
    <t>1700_6245</t>
  </si>
  <si>
    <t>1700_6445</t>
  </si>
  <si>
    <t>1700_6645</t>
  </si>
  <si>
    <t>N_ERPU1</t>
  </si>
  <si>
    <t>1700_6845</t>
  </si>
  <si>
    <t>1700_6A45</t>
  </si>
  <si>
    <t>1700_6C45</t>
  </si>
  <si>
    <t>1700_6E45</t>
  </si>
  <si>
    <t>1700_7045</t>
  </si>
  <si>
    <t>1700_7245</t>
  </si>
  <si>
    <t>1700_7445</t>
  </si>
  <si>
    <t>1700_7645</t>
  </si>
  <si>
    <t>1700_7845</t>
  </si>
  <si>
    <t>1700_7A45</t>
  </si>
  <si>
    <t>1700_7C45</t>
  </si>
  <si>
    <t>1700_7E45</t>
  </si>
  <si>
    <t>1700_0046</t>
  </si>
  <si>
    <t>1700_0246</t>
  </si>
  <si>
    <t>1700_0446</t>
  </si>
  <si>
    <t>1700_0646</t>
  </si>
  <si>
    <t>1700_0846</t>
  </si>
  <si>
    <t>1700_0A46</t>
  </si>
  <si>
    <t>1700_0C46</t>
  </si>
  <si>
    <t>1700_0E46</t>
  </si>
  <si>
    <t>1700_1046</t>
  </si>
  <si>
    <t>1700_1246</t>
  </si>
  <si>
    <t>1700_1446</t>
  </si>
  <si>
    <t>1700_1646</t>
  </si>
  <si>
    <t>1700_1846</t>
  </si>
  <si>
    <t>1700_1A46</t>
  </si>
  <si>
    <t>1700_1C46</t>
  </si>
  <si>
    <t>1700_1E46</t>
  </si>
  <si>
    <t>1700_2046</t>
  </si>
  <si>
    <t>1700_2246</t>
  </si>
  <si>
    <t>1700_2446</t>
  </si>
  <si>
    <t>1700_2646</t>
  </si>
  <si>
    <t>1700_2846</t>
  </si>
  <si>
    <t>1700_2A46</t>
  </si>
  <si>
    <t>1700_2C46</t>
  </si>
  <si>
    <t>1700_2E46</t>
  </si>
  <si>
    <t>1700_3046</t>
  </si>
  <si>
    <t>1700_3246</t>
  </si>
  <si>
    <t>1700_3446</t>
  </si>
  <si>
    <t>1700_3646</t>
  </si>
  <si>
    <t>1700_3846</t>
  </si>
  <si>
    <t>1700_3A46</t>
  </si>
  <si>
    <t>1700_3C46</t>
  </si>
  <si>
    <t>1700_3E46</t>
  </si>
  <si>
    <t>1700_4046</t>
  </si>
  <si>
    <t>1700_4246</t>
  </si>
  <si>
    <t>1700_4446</t>
  </si>
  <si>
    <t>1700_4646</t>
  </si>
  <si>
    <t>1700_4846</t>
  </si>
  <si>
    <t>1700_4A46</t>
  </si>
  <si>
    <t>1700_4C46</t>
  </si>
  <si>
    <t>1700_4E46</t>
  </si>
  <si>
    <t>1700_5046</t>
  </si>
  <si>
    <t>1700_5246</t>
  </si>
  <si>
    <t>1700_5446</t>
  </si>
  <si>
    <t>1700_5646</t>
  </si>
  <si>
    <t>1700_5846</t>
  </si>
  <si>
    <t>1700_5A46</t>
  </si>
  <si>
    <t>1700_5C46</t>
  </si>
  <si>
    <t>1700_5E46</t>
  </si>
  <si>
    <t>1700_6046</t>
  </si>
  <si>
    <t>1700_6246</t>
  </si>
  <si>
    <t>1700_6446</t>
  </si>
  <si>
    <t>1700_6646</t>
  </si>
  <si>
    <t>N_ERPU2</t>
  </si>
  <si>
    <t>1700_6846</t>
  </si>
  <si>
    <t>1700_6A46</t>
  </si>
  <si>
    <t>1700_6C46</t>
  </si>
  <si>
    <t>1700_6E46</t>
  </si>
  <si>
    <t>1700_7046</t>
  </si>
  <si>
    <t>1700_7246</t>
  </si>
  <si>
    <t>1700_7446</t>
  </si>
  <si>
    <t>1700_7646</t>
  </si>
  <si>
    <t>1700_7846</t>
  </si>
  <si>
    <t>1700_7A46</t>
  </si>
  <si>
    <t>1700_7C46</t>
  </si>
  <si>
    <t>1700_7E46</t>
  </si>
  <si>
    <t>1700_0047</t>
  </si>
  <si>
    <t>1700_0247</t>
  </si>
  <si>
    <t>1700_0447</t>
  </si>
  <si>
    <t>1700_0647</t>
  </si>
  <si>
    <t>1700_0847</t>
  </si>
  <si>
    <t>1700_0A47</t>
  </si>
  <si>
    <t>1700_0C47</t>
  </si>
  <si>
    <t>1700_0E47</t>
  </si>
  <si>
    <t>1700_1047</t>
  </si>
  <si>
    <t>1700_1247</t>
  </si>
  <si>
    <t>1700_1447</t>
  </si>
  <si>
    <t>1700_1647</t>
  </si>
  <si>
    <t>1700_1847</t>
  </si>
  <si>
    <t>1700_1A47</t>
  </si>
  <si>
    <t>1700_1C47</t>
  </si>
  <si>
    <t>1700_1E47</t>
  </si>
  <si>
    <t>1700_2047</t>
  </si>
  <si>
    <t>1700_2247</t>
  </si>
  <si>
    <t>1700_2447</t>
  </si>
  <si>
    <t>1700_2647</t>
  </si>
  <si>
    <t>1700_2847</t>
  </si>
  <si>
    <t>1700_2A47</t>
  </si>
  <si>
    <t>1700_2C47</t>
  </si>
  <si>
    <t>1700_2E47</t>
  </si>
  <si>
    <t>1700_3047</t>
  </si>
  <si>
    <t>1700_3247</t>
  </si>
  <si>
    <t>1700_3447</t>
  </si>
  <si>
    <t>1700_3647</t>
  </si>
  <si>
    <t>1700_3847</t>
  </si>
  <si>
    <t>1700_3A47</t>
  </si>
  <si>
    <t>1700_3C47</t>
  </si>
  <si>
    <t>1700_3E47</t>
  </si>
  <si>
    <t>1700_4047</t>
  </si>
  <si>
    <t>1700_4247</t>
  </si>
  <si>
    <t>1700_4447</t>
  </si>
  <si>
    <t>1700_4647</t>
  </si>
  <si>
    <t>1700_4847</t>
  </si>
  <si>
    <t>1700_4A47</t>
  </si>
  <si>
    <t>1700_4C47</t>
  </si>
  <si>
    <t>1700_4E47</t>
  </si>
  <si>
    <t>1700_5047</t>
  </si>
  <si>
    <t>1700_5247</t>
  </si>
  <si>
    <t>1700_5447</t>
  </si>
  <si>
    <t>1700_5647</t>
  </si>
  <si>
    <t>1700_5847</t>
  </si>
  <si>
    <t>1700_5A47</t>
  </si>
  <si>
    <t>1700_5C47</t>
  </si>
  <si>
    <t>1700_5E47</t>
  </si>
  <si>
    <t>1700_6047</t>
  </si>
  <si>
    <t>1700_6247</t>
  </si>
  <si>
    <t>1700_6447</t>
  </si>
  <si>
    <t>1700_6647</t>
  </si>
  <si>
    <t>N_ERPU3</t>
  </si>
  <si>
    <t>1700_6847</t>
  </si>
  <si>
    <t>1700_6A47</t>
  </si>
  <si>
    <t>1700_6C47</t>
  </si>
  <si>
    <t>1700_6E47</t>
  </si>
  <si>
    <t>1700_7047</t>
  </si>
  <si>
    <t>1700_7247</t>
  </si>
  <si>
    <t>1700_7447</t>
  </si>
  <si>
    <t>1700_7647</t>
  </si>
  <si>
    <t>1700_7847</t>
  </si>
  <si>
    <t>1700_7A47</t>
  </si>
  <si>
    <t>1700_7C47</t>
  </si>
  <si>
    <t>1700_7E47</t>
  </si>
  <si>
    <t>1700_0048</t>
  </si>
  <si>
    <t>1700_0248</t>
  </si>
  <si>
    <t>1700_0448</t>
  </si>
  <si>
    <t>1700_0648</t>
  </si>
  <si>
    <t>1700_0848</t>
  </si>
  <si>
    <t>1700_0A48</t>
  </si>
  <si>
    <t>1700_0C48</t>
  </si>
  <si>
    <t>1700_0E48</t>
  </si>
  <si>
    <t>1700_1048</t>
  </si>
  <si>
    <t>1700_1248</t>
  </si>
  <si>
    <t>1700_1448</t>
  </si>
  <si>
    <t>1700_1648</t>
  </si>
  <si>
    <t>1700_1848</t>
  </si>
  <si>
    <t>1700_1A48</t>
  </si>
  <si>
    <t>1700_1C48</t>
  </si>
  <si>
    <t>1700_1E48</t>
  </si>
  <si>
    <t>1700_2048</t>
  </si>
  <si>
    <t>1700_2248</t>
  </si>
  <si>
    <t>1700_2448</t>
  </si>
  <si>
    <t>1700_2648</t>
  </si>
  <si>
    <t>1700_2848</t>
  </si>
  <si>
    <t>1700_2A48</t>
  </si>
  <si>
    <t>1700_2C48</t>
  </si>
  <si>
    <t>1700_2E48</t>
  </si>
  <si>
    <t>1700_3048</t>
  </si>
  <si>
    <t>1700_3248</t>
  </si>
  <si>
    <t>1700_3448</t>
  </si>
  <si>
    <t>1700_3648</t>
  </si>
  <si>
    <t>1700_3848</t>
  </si>
  <si>
    <t>1700_3A48</t>
  </si>
  <si>
    <t>1700_3C48</t>
  </si>
  <si>
    <t>1700_3E48</t>
  </si>
  <si>
    <t>1700_4048</t>
  </si>
  <si>
    <t>1700_4248</t>
  </si>
  <si>
    <t>1700_4448</t>
  </si>
  <si>
    <t>1700_4648</t>
  </si>
  <si>
    <t>1700_4848</t>
  </si>
  <si>
    <t>1700_4A48</t>
  </si>
  <si>
    <t>1700_4C48</t>
  </si>
  <si>
    <t>1700_4E48</t>
  </si>
  <si>
    <t>1700_5048</t>
  </si>
  <si>
    <t>1700_5248</t>
  </si>
  <si>
    <t>1700_5448</t>
  </si>
  <si>
    <t>1700_5648</t>
  </si>
  <si>
    <t>1700_5848</t>
  </si>
  <si>
    <t>1700_5A48</t>
  </si>
  <si>
    <t>1700_5C48</t>
  </si>
  <si>
    <t>1700_5E48</t>
  </si>
  <si>
    <t>1700_6048</t>
  </si>
  <si>
    <t>1700_6248</t>
  </si>
  <si>
    <t>1700_6448</t>
  </si>
  <si>
    <t>1700_6648</t>
  </si>
  <si>
    <t>N_EWPU0</t>
  </si>
  <si>
    <t>1700_6848</t>
  </si>
  <si>
    <t>1700_6A48</t>
  </si>
  <si>
    <t>1700_6C48</t>
  </si>
  <si>
    <t>1700_6E48</t>
  </si>
  <si>
    <t>1700_7048</t>
  </si>
  <si>
    <t>1700_7248</t>
  </si>
  <si>
    <t>1700_7448</t>
  </si>
  <si>
    <t>1700_7648</t>
  </si>
  <si>
    <t>1700_7848</t>
  </si>
  <si>
    <t>1700_7A48</t>
  </si>
  <si>
    <t>1700_7C48</t>
  </si>
  <si>
    <t>1700_7E48</t>
  </si>
  <si>
    <t>1700_0049</t>
  </si>
  <si>
    <t>1700_0249</t>
  </si>
  <si>
    <t>1700_0449</t>
  </si>
  <si>
    <t>1700_0649</t>
  </si>
  <si>
    <t>1700_0849</t>
  </si>
  <si>
    <t>1700_0A49</t>
  </si>
  <si>
    <t>1700_0C49</t>
  </si>
  <si>
    <t>1700_0E49</t>
  </si>
  <si>
    <t>1700_1049</t>
  </si>
  <si>
    <t>1700_1249</t>
  </si>
  <si>
    <t>1700_1449</t>
  </si>
  <si>
    <t>1700_1649</t>
  </si>
  <si>
    <t>1700_1849</t>
  </si>
  <si>
    <t>1700_1A49</t>
  </si>
  <si>
    <t>1700_1C49</t>
  </si>
  <si>
    <t>1700_1E49</t>
  </si>
  <si>
    <t>1700_2049</t>
  </si>
  <si>
    <t>1700_2249</t>
  </si>
  <si>
    <t>1700_2449</t>
  </si>
  <si>
    <t>1700_2649</t>
  </si>
  <si>
    <t>1700_2849</t>
  </si>
  <si>
    <t>1700_2A49</t>
  </si>
  <si>
    <t>1700_2C49</t>
  </si>
  <si>
    <t>1700_2E49</t>
  </si>
  <si>
    <t>1700_3049</t>
  </si>
  <si>
    <t>1700_3249</t>
  </si>
  <si>
    <t>1700_3449</t>
  </si>
  <si>
    <t>1700_3649</t>
  </si>
  <si>
    <t>1700_3849</t>
  </si>
  <si>
    <t>1700_3A49</t>
  </si>
  <si>
    <t>1700_3C49</t>
  </si>
  <si>
    <t>1700_3E49</t>
  </si>
  <si>
    <t>1700_4049</t>
  </si>
  <si>
    <t>1700_4249</t>
  </si>
  <si>
    <t>1700_4449</t>
  </si>
  <si>
    <t>1700_4649</t>
  </si>
  <si>
    <t>1700_4849</t>
  </si>
  <si>
    <t>1700_4A49</t>
  </si>
  <si>
    <t>1700_4C49</t>
  </si>
  <si>
    <t>1700_4E49</t>
  </si>
  <si>
    <t>1700_5049</t>
  </si>
  <si>
    <t>1700_5249</t>
  </si>
  <si>
    <t>1700_5449</t>
  </si>
  <si>
    <t>1700_5649</t>
  </si>
  <si>
    <t>1700_5849</t>
  </si>
  <si>
    <t>1700_5A49</t>
  </si>
  <si>
    <t>1700_5C49</t>
  </si>
  <si>
    <t>1700_5E49</t>
  </si>
  <si>
    <t>1700_6049</t>
  </si>
  <si>
    <t>1700_6249</t>
  </si>
  <si>
    <t>1700_6449</t>
  </si>
  <si>
    <t>1700_6649</t>
  </si>
  <si>
    <t>N_EWPU1</t>
  </si>
  <si>
    <t>1700_6849</t>
  </si>
  <si>
    <t>1700_6A49</t>
  </si>
  <si>
    <t>1700_6C49</t>
  </si>
  <si>
    <t>1700_6E49</t>
  </si>
  <si>
    <t>1700_7049</t>
  </si>
  <si>
    <t>1700_7249</t>
  </si>
  <si>
    <t>1700_7449</t>
  </si>
  <si>
    <t>1700_7649</t>
  </si>
  <si>
    <t>1700_7849</t>
  </si>
  <si>
    <t>1700_7A49</t>
  </si>
  <si>
    <t>1700_7C49</t>
  </si>
  <si>
    <t>1700_7E49</t>
  </si>
  <si>
    <t>1700_004A</t>
  </si>
  <si>
    <t>1700_024A</t>
  </si>
  <si>
    <t>1700_044A</t>
  </si>
  <si>
    <t>1700_064A</t>
  </si>
  <si>
    <t>1700_084A</t>
  </si>
  <si>
    <t>1700_0A4A</t>
  </si>
  <si>
    <t>1700_0C4A</t>
  </si>
  <si>
    <t>1700_0E4A</t>
  </si>
  <si>
    <t>1700_104A</t>
  </si>
  <si>
    <t>1700_124A</t>
  </si>
  <si>
    <t>1700_144A</t>
  </si>
  <si>
    <t>1700_164A</t>
  </si>
  <si>
    <t>1700_184A</t>
  </si>
  <si>
    <t>1700_1A4A</t>
  </si>
  <si>
    <t>1700_1C4A</t>
  </si>
  <si>
    <t>1700_1E4A</t>
  </si>
  <si>
    <t>1700_204A</t>
  </si>
  <si>
    <t>1700_224A</t>
  </si>
  <si>
    <t>1700_244A</t>
  </si>
  <si>
    <t>1700_264A</t>
  </si>
  <si>
    <t>1700_284A</t>
  </si>
  <si>
    <t>1700_2A4A</t>
  </si>
  <si>
    <t>1700_2C4A</t>
  </si>
  <si>
    <t>1700_2E4A</t>
  </si>
  <si>
    <t>1700_304A</t>
  </si>
  <si>
    <t>1700_324A</t>
  </si>
  <si>
    <t>1700_344A</t>
  </si>
  <si>
    <t>1700_364A</t>
  </si>
  <si>
    <t>1700_384A</t>
  </si>
  <si>
    <t>1700_3A4A</t>
  </si>
  <si>
    <t>1700_3C4A</t>
  </si>
  <si>
    <t>1700_3E4A</t>
  </si>
  <si>
    <t>1700_404A</t>
  </si>
  <si>
    <t>1700_424A</t>
  </si>
  <si>
    <t>1700_444A</t>
  </si>
  <si>
    <t>1700_464A</t>
  </si>
  <si>
    <t>1700_484A</t>
  </si>
  <si>
    <t>1700_4A4A</t>
  </si>
  <si>
    <t>1700_4C4A</t>
  </si>
  <si>
    <t>1700_4E4A</t>
  </si>
  <si>
    <t>1700_504A</t>
  </si>
  <si>
    <t>1700_524A</t>
  </si>
  <si>
    <t>1700_544A</t>
  </si>
  <si>
    <t>1700_564A</t>
  </si>
  <si>
    <t>1700_584A</t>
  </si>
  <si>
    <t>1700_5A4A</t>
  </si>
  <si>
    <t>1700_5C4A</t>
  </si>
  <si>
    <t>1700_5E4A</t>
  </si>
  <si>
    <t>1700_604A</t>
  </si>
  <si>
    <t>1700_624A</t>
  </si>
  <si>
    <t>1700_644A</t>
  </si>
  <si>
    <t>1700_664A</t>
  </si>
  <si>
    <t>N_EWPU2</t>
  </si>
  <si>
    <t>1700_684A</t>
  </si>
  <si>
    <t>1700_6A4A</t>
  </si>
  <si>
    <t>1700_6C4A</t>
  </si>
  <si>
    <t>1700_6E4A</t>
  </si>
  <si>
    <t>1700_704A</t>
  </si>
  <si>
    <t>1700_724A</t>
  </si>
  <si>
    <t>1700_744A</t>
  </si>
  <si>
    <t>1700_764A</t>
  </si>
  <si>
    <t>1700_784A</t>
  </si>
  <si>
    <t>1700_7A4A</t>
  </si>
  <si>
    <t>1700_7C4A</t>
  </si>
  <si>
    <t>1700_7E4A</t>
  </si>
  <si>
    <t>1700_004B</t>
  </si>
  <si>
    <t>1700_024B</t>
  </si>
  <si>
    <t>1700_044B</t>
  </si>
  <si>
    <t>1700_064B</t>
  </si>
  <si>
    <t>1700_084B</t>
  </si>
  <si>
    <t>1700_0A4B</t>
  </si>
  <si>
    <t>1700_0C4B</t>
  </si>
  <si>
    <t>1700_0E4B</t>
  </si>
  <si>
    <t>1700_104B</t>
  </si>
  <si>
    <t>1700_124B</t>
  </si>
  <si>
    <t>1700_144B</t>
  </si>
  <si>
    <t>1700_164B</t>
  </si>
  <si>
    <t>1700_184B</t>
  </si>
  <si>
    <t>1700_1A4B</t>
  </si>
  <si>
    <t>1700_1C4B</t>
  </si>
  <si>
    <t>1700_1E4B</t>
  </si>
  <si>
    <t>1700_204B</t>
  </si>
  <si>
    <t>1700_224B</t>
  </si>
  <si>
    <t>1700_244B</t>
  </si>
  <si>
    <t>1700_264B</t>
  </si>
  <si>
    <t>1700_284B</t>
  </si>
  <si>
    <t>1700_2A4B</t>
  </si>
  <si>
    <t>1700_2C4B</t>
  </si>
  <si>
    <t>1700_2E4B</t>
  </si>
  <si>
    <t>1700_304B</t>
  </si>
  <si>
    <t>1700_324B</t>
  </si>
  <si>
    <t>1700_344B</t>
  </si>
  <si>
    <t>1700_364B</t>
  </si>
  <si>
    <t>1700_384B</t>
  </si>
  <si>
    <t>1700_3A4B</t>
  </si>
  <si>
    <t>1700_3C4B</t>
  </si>
  <si>
    <t>1700_3E4B</t>
  </si>
  <si>
    <t>1700_404B</t>
  </si>
  <si>
    <t>1700_424B</t>
  </si>
  <si>
    <t>1700_444B</t>
  </si>
  <si>
    <t>1700_464B</t>
  </si>
  <si>
    <t>1700_484B</t>
  </si>
  <si>
    <t>1700_4A4B</t>
  </si>
  <si>
    <t>1700_4C4B</t>
  </si>
  <si>
    <t>1700_4E4B</t>
  </si>
  <si>
    <t>1700_504B</t>
  </si>
  <si>
    <t>1700_524B</t>
  </si>
  <si>
    <t>1700_544B</t>
  </si>
  <si>
    <t>1700_564B</t>
  </si>
  <si>
    <t>1700_584B</t>
  </si>
  <si>
    <t>1700_5A4B</t>
  </si>
  <si>
    <t>1700_5C4B</t>
  </si>
  <si>
    <t>1700_5E4B</t>
  </si>
  <si>
    <t>1700_604B</t>
  </si>
  <si>
    <t>1700_624B</t>
  </si>
  <si>
    <t>1700_644B</t>
  </si>
  <si>
    <t>1700_664B</t>
  </si>
  <si>
    <t>N_EWPU3</t>
  </si>
  <si>
    <t>1700_684B</t>
  </si>
  <si>
    <t>1700_6A4B</t>
  </si>
  <si>
    <t>1700_6C4B</t>
  </si>
  <si>
    <t>1700_6E4B</t>
  </si>
  <si>
    <t>1700_704B</t>
  </si>
  <si>
    <t>1700_724B</t>
  </si>
  <si>
    <t>1700_744B</t>
  </si>
  <si>
    <t>1700_764B</t>
  </si>
  <si>
    <t>1700_784B</t>
  </si>
  <si>
    <t>1700_7A4B</t>
  </si>
  <si>
    <t>1700_7C4B</t>
  </si>
  <si>
    <t>1700_7E4B</t>
  </si>
  <si>
    <t>1700_004C</t>
  </si>
  <si>
    <t>1700_024C</t>
  </si>
  <si>
    <t>1700_044C</t>
  </si>
  <si>
    <t>1700_064C</t>
  </si>
  <si>
    <t>1700_084C</t>
  </si>
  <si>
    <t>1700_0A4C</t>
  </si>
  <si>
    <t>1700_0C4C</t>
  </si>
  <si>
    <t>1700_0E4C</t>
  </si>
  <si>
    <t>1700_104C</t>
  </si>
  <si>
    <t>1700_124C</t>
  </si>
  <si>
    <t>1700_144C</t>
  </si>
  <si>
    <t>1700_164C</t>
  </si>
  <si>
    <t>1700_184C</t>
  </si>
  <si>
    <t>1700_1A4C</t>
  </si>
  <si>
    <t>1700_1C4C</t>
  </si>
  <si>
    <t>1700_1E4C</t>
  </si>
  <si>
    <t>1700_204C</t>
  </si>
  <si>
    <t>1700_224C</t>
  </si>
  <si>
    <t>1700_244C</t>
  </si>
  <si>
    <t>1700_264C</t>
  </si>
  <si>
    <t>1700_284C</t>
  </si>
  <si>
    <t>1700_2A4C</t>
  </si>
  <si>
    <t>1700_2C4C</t>
  </si>
  <si>
    <t>1700_2E4C</t>
  </si>
  <si>
    <t>1700_304C</t>
  </si>
  <si>
    <t>1700_324C</t>
  </si>
  <si>
    <t>1700_344C</t>
  </si>
  <si>
    <t>1700_364C</t>
  </si>
  <si>
    <t>1700_384C</t>
  </si>
  <si>
    <t>1700_3A4C</t>
  </si>
  <si>
    <t>1700_3C4C</t>
  </si>
  <si>
    <t>1700_3E4C</t>
  </si>
  <si>
    <t>1700_404C</t>
  </si>
  <si>
    <t>1700_424C</t>
  </si>
  <si>
    <t>1700_444C</t>
  </si>
  <si>
    <t>1700_464C</t>
  </si>
  <si>
    <t>1700_484C</t>
  </si>
  <si>
    <t>1700_4A4C</t>
  </si>
  <si>
    <t>1700_4C4C</t>
  </si>
  <si>
    <t>1700_4E4C</t>
  </si>
  <si>
    <t>1700_504C</t>
  </si>
  <si>
    <t>1700_524C</t>
  </si>
  <si>
    <t>1700_544C</t>
  </si>
  <si>
    <t>1700_564C</t>
  </si>
  <si>
    <t>1700_584C</t>
  </si>
  <si>
    <t>1700_5A4C</t>
  </si>
  <si>
    <t>1700_5C4C</t>
  </si>
  <si>
    <t>1700_5E4C</t>
  </si>
  <si>
    <t>1700_604C</t>
  </si>
  <si>
    <t>1700_624C</t>
  </si>
  <si>
    <t>1700_644C</t>
  </si>
  <si>
    <t>1700_664C</t>
  </si>
  <si>
    <t>1700_684C</t>
  </si>
  <si>
    <t>1700_6A4C</t>
  </si>
  <si>
    <t>1700_6C4C</t>
  </si>
  <si>
    <t>1700_6E4C</t>
  </si>
  <si>
    <t>1700_704C</t>
  </si>
  <si>
    <t>1700_724C</t>
  </si>
  <si>
    <t>1700_744C</t>
  </si>
  <si>
    <t>1700_764C</t>
  </si>
  <si>
    <t>1700_784C</t>
  </si>
  <si>
    <t>1700_7A4C</t>
  </si>
  <si>
    <t>1700_7C4C</t>
  </si>
  <si>
    <t>1700_7E4C</t>
  </si>
  <si>
    <t>1700_004D</t>
  </si>
  <si>
    <t>1700_024D</t>
  </si>
  <si>
    <t>1700_044D</t>
  </si>
  <si>
    <t>1700_064D</t>
  </si>
  <si>
    <t>1700_084D</t>
  </si>
  <si>
    <t>1700_0A4D</t>
  </si>
  <si>
    <t>1700_0C4D</t>
  </si>
  <si>
    <t>1700_0E4D</t>
  </si>
  <si>
    <t>1700_104D</t>
  </si>
  <si>
    <t>1700_124D</t>
  </si>
  <si>
    <t>1700_144D</t>
  </si>
  <si>
    <t>1700_164D</t>
  </si>
  <si>
    <t>1700_184D</t>
  </si>
  <si>
    <t>1700_1A4D</t>
  </si>
  <si>
    <t>1700_1C4D</t>
  </si>
  <si>
    <t>1700_1E4D</t>
  </si>
  <si>
    <t>1700_204D</t>
  </si>
  <si>
    <t>1700_224D</t>
  </si>
  <si>
    <t>1700_244D</t>
  </si>
  <si>
    <t>1700_264D</t>
  </si>
  <si>
    <t>1700_284D</t>
  </si>
  <si>
    <t>1700_2A4D</t>
  </si>
  <si>
    <t>1700_2C4D</t>
  </si>
  <si>
    <t>1700_2E4D</t>
  </si>
  <si>
    <t>1700_304D</t>
  </si>
  <si>
    <t>1700_324D</t>
  </si>
  <si>
    <t>1700_344D</t>
  </si>
  <si>
    <t>1700_364D</t>
  </si>
  <si>
    <t>1700_384D</t>
  </si>
  <si>
    <t>1700_3A4D</t>
  </si>
  <si>
    <t>1700_3C4D</t>
  </si>
  <si>
    <t>1700_3E4D</t>
  </si>
  <si>
    <t>1700_404D</t>
  </si>
  <si>
    <t>1700_424D</t>
  </si>
  <si>
    <t>1700_444D</t>
  </si>
  <si>
    <t>1700_464D</t>
  </si>
  <si>
    <t>1700_484D</t>
  </si>
  <si>
    <t>1700_4A4D</t>
  </si>
  <si>
    <t>1700_4C4D</t>
  </si>
  <si>
    <t>1700_4E4D</t>
  </si>
  <si>
    <t>1700_504D</t>
  </si>
  <si>
    <t>1700_524D</t>
  </si>
  <si>
    <t>1700_544D</t>
  </si>
  <si>
    <t>1700_564D</t>
  </si>
  <si>
    <t>1700_584D</t>
  </si>
  <si>
    <t>1700_5A4D</t>
  </si>
  <si>
    <t>1700_5C4D</t>
  </si>
  <si>
    <t>1700_5E4D</t>
  </si>
  <si>
    <t>1700_604D</t>
  </si>
  <si>
    <t>1700_624D</t>
  </si>
  <si>
    <t>1700_644D</t>
  </si>
  <si>
    <t>1700_664D</t>
  </si>
  <si>
    <t>1700_684D</t>
  </si>
  <si>
    <t>1700_6A4D</t>
  </si>
  <si>
    <t>1700_6C4D</t>
  </si>
  <si>
    <t>1700_6E4D</t>
  </si>
  <si>
    <t>1700_704D</t>
  </si>
  <si>
    <t>1700_724D</t>
  </si>
  <si>
    <t>1700_744D</t>
  </si>
  <si>
    <t>1700_764D</t>
  </si>
  <si>
    <t>1700_784D</t>
  </si>
  <si>
    <t>1700_7A4D</t>
  </si>
  <si>
    <t>1700_7C4D</t>
  </si>
  <si>
    <t>1700_7E4D</t>
  </si>
  <si>
    <t>1700_004E</t>
  </si>
  <si>
    <t>1700_024E</t>
  </si>
  <si>
    <t>1700_044E</t>
  </si>
  <si>
    <t>1700_064E</t>
  </si>
  <si>
    <t>1700_084E</t>
  </si>
  <si>
    <t>1700_0A4E</t>
  </si>
  <si>
    <t>1700_0C4E</t>
  </si>
  <si>
    <t>1700_0E4E</t>
  </si>
  <si>
    <t>1700_104E</t>
  </si>
  <si>
    <t>1700_124E</t>
  </si>
  <si>
    <t>1700_144E</t>
  </si>
  <si>
    <t>1700_164E</t>
  </si>
  <si>
    <t>1700_184E</t>
  </si>
  <si>
    <t>1700_1A4E</t>
  </si>
  <si>
    <t>1700_1C4E</t>
  </si>
  <si>
    <t>1700_1E4E</t>
  </si>
  <si>
    <t>1700_204E</t>
  </si>
  <si>
    <t>1700_224E</t>
  </si>
  <si>
    <t>1700_244E</t>
  </si>
  <si>
    <t>1700_264E</t>
  </si>
  <si>
    <t>1700_284E</t>
  </si>
  <si>
    <t>1700_2A4E</t>
  </si>
  <si>
    <t>1700_2C4E</t>
  </si>
  <si>
    <t>1700_2E4E</t>
  </si>
  <si>
    <t>1700_304E</t>
  </si>
  <si>
    <t>1700_324E</t>
  </si>
  <si>
    <t>1700_344E</t>
  </si>
  <si>
    <t>1700_364E</t>
  </si>
  <si>
    <t>1700_384E</t>
  </si>
  <si>
    <t>1700_3A4E</t>
  </si>
  <si>
    <t>1700_3C4E</t>
  </si>
  <si>
    <t>1700_3E4E</t>
  </si>
  <si>
    <t>1700_404E</t>
  </si>
  <si>
    <t>1700_424E</t>
  </si>
  <si>
    <t>1700_444E</t>
  </si>
  <si>
    <t>1700_464E</t>
  </si>
  <si>
    <t>1700_484E</t>
  </si>
  <si>
    <t>1700_4A4E</t>
  </si>
  <si>
    <t>1700_4C4E</t>
  </si>
  <si>
    <t>1700_4E4E</t>
  </si>
  <si>
    <t>1700_504E</t>
  </si>
  <si>
    <t>1700_524E</t>
  </si>
  <si>
    <t>1700_544E</t>
  </si>
  <si>
    <t>1700_564E</t>
  </si>
  <si>
    <t>1700_584E</t>
  </si>
  <si>
    <t>1700_5A4E</t>
  </si>
  <si>
    <t>1700_5C4E</t>
  </si>
  <si>
    <t>1700_5E4E</t>
  </si>
  <si>
    <t>1700_604E</t>
  </si>
  <si>
    <t>1700_624E</t>
  </si>
  <si>
    <t>1700_644E</t>
  </si>
  <si>
    <t>1700_664E</t>
  </si>
  <si>
    <t>1700_684E</t>
  </si>
  <si>
    <t>1700_6A4E</t>
  </si>
  <si>
    <t>1700_6C4E</t>
  </si>
  <si>
    <t>1700_6E4E</t>
  </si>
  <si>
    <t>1700_704E</t>
  </si>
  <si>
    <t>1700_724E</t>
  </si>
  <si>
    <t>1700_744E</t>
  </si>
  <si>
    <t>1700_764E</t>
  </si>
  <si>
    <t>1700_784E</t>
  </si>
  <si>
    <t>1700_7A4E</t>
  </si>
  <si>
    <t>1700_7C4E</t>
  </si>
  <si>
    <t>1700_7E4E</t>
  </si>
  <si>
    <t>1700_004F</t>
  </si>
  <si>
    <t>1700_024F</t>
  </si>
  <si>
    <t>1700_044F</t>
  </si>
  <si>
    <t>1700_064F</t>
  </si>
  <si>
    <t>1700_084F</t>
  </si>
  <si>
    <t>1700_0A4F</t>
  </si>
  <si>
    <t>1700_0C4F</t>
  </si>
  <si>
    <t>1700_0E4F</t>
  </si>
  <si>
    <t>1700_104F</t>
  </si>
  <si>
    <t>1700_124F</t>
  </si>
  <si>
    <t>1700_144F</t>
  </si>
  <si>
    <t>1700_164F</t>
  </si>
  <si>
    <t>1700_184F</t>
  </si>
  <si>
    <t>1700_1A4F</t>
  </si>
  <si>
    <t>1700_1C4F</t>
  </si>
  <si>
    <t>1700_1E4F</t>
  </si>
  <si>
    <t>1700_204F</t>
  </si>
  <si>
    <t>1700_224F</t>
  </si>
  <si>
    <t>1700_244F</t>
  </si>
  <si>
    <t>1700_264F</t>
  </si>
  <si>
    <t>1700_284F</t>
  </si>
  <si>
    <t>1700_2A4F</t>
  </si>
  <si>
    <t>1700_2C4F</t>
  </si>
  <si>
    <t>1700_2E4F</t>
  </si>
  <si>
    <t>1700_304F</t>
  </si>
  <si>
    <t>1700_324F</t>
  </si>
  <si>
    <t>1700_344F</t>
  </si>
  <si>
    <t>1700_364F</t>
  </si>
  <si>
    <t>1700_384F</t>
  </si>
  <si>
    <t>1700_3A4F</t>
  </si>
  <si>
    <t>1700_3C4F</t>
  </si>
  <si>
    <t>1700_3E4F</t>
  </si>
  <si>
    <t>1700_404F</t>
  </si>
  <si>
    <t>1700_424F</t>
  </si>
  <si>
    <t>1700_444F</t>
  </si>
  <si>
    <t>1700_464F</t>
  </si>
  <si>
    <t>1700_484F</t>
  </si>
  <si>
    <t>1700_4A4F</t>
  </si>
  <si>
    <t>1700_4C4F</t>
  </si>
  <si>
    <t>1700_4E4F</t>
  </si>
  <si>
    <t>1700_504F</t>
  </si>
  <si>
    <t>1700_524F</t>
  </si>
  <si>
    <t>1700_544F</t>
  </si>
  <si>
    <t>1700_564F</t>
  </si>
  <si>
    <t>1700_584F</t>
  </si>
  <si>
    <t>1700_5A4F</t>
  </si>
  <si>
    <t>1700_5C4F</t>
  </si>
  <si>
    <t>1700_5E4F</t>
  </si>
  <si>
    <t>1700_604F</t>
  </si>
  <si>
    <t>1700_624F</t>
  </si>
  <si>
    <t>1700_644F</t>
  </si>
  <si>
    <t>1700_664F</t>
  </si>
  <si>
    <t>1700_684F</t>
  </si>
  <si>
    <t>1700_6A4F</t>
  </si>
  <si>
    <t>1700_6C4F</t>
  </si>
  <si>
    <t>1700_6E4F</t>
  </si>
  <si>
    <t>1700_704F</t>
  </si>
  <si>
    <t>1700_724F</t>
  </si>
  <si>
    <t>1700_744F</t>
  </si>
  <si>
    <t>1700_764F</t>
  </si>
  <si>
    <t>1700_784F</t>
  </si>
  <si>
    <t>1700_7A4F</t>
  </si>
  <si>
    <t>1700_7C4F</t>
  </si>
  <si>
    <t>1700_7E4F</t>
  </si>
  <si>
    <t>1700_0050</t>
  </si>
  <si>
    <t>1700_0250</t>
  </si>
  <si>
    <t>1700_0450</t>
  </si>
  <si>
    <t>1700_0650</t>
  </si>
  <si>
    <t>1700_0850</t>
  </si>
  <si>
    <t>1700_0A50</t>
  </si>
  <si>
    <t>1700_0C50</t>
  </si>
  <si>
    <t>1700_0E50</t>
  </si>
  <si>
    <t>1700_1050</t>
  </si>
  <si>
    <t>1700_1250</t>
  </si>
  <si>
    <t>1700_1450</t>
  </si>
  <si>
    <t>1700_1650</t>
  </si>
  <si>
    <t>1700_1850</t>
  </si>
  <si>
    <t>1700_1A50</t>
  </si>
  <si>
    <t>1700_1C50</t>
  </si>
  <si>
    <t>1700_1E50</t>
  </si>
  <si>
    <t>1700_2050</t>
  </si>
  <si>
    <t>1700_2250</t>
  </si>
  <si>
    <t>1700_2450</t>
  </si>
  <si>
    <t>1700_2650</t>
  </si>
  <si>
    <t>1700_2850</t>
  </si>
  <si>
    <t>1700_2A50</t>
  </si>
  <si>
    <t>1700_2C50</t>
  </si>
  <si>
    <t>1700_2E50</t>
  </si>
  <si>
    <t>1700_3050</t>
  </si>
  <si>
    <t>1700_3250</t>
  </si>
  <si>
    <t>1700_3450</t>
  </si>
  <si>
    <t>1700_3650</t>
  </si>
  <si>
    <t>1700_3850</t>
  </si>
  <si>
    <t>1700_3A50</t>
  </si>
  <si>
    <t>1700_3C50</t>
  </si>
  <si>
    <t>1700_3E50</t>
  </si>
  <si>
    <t>1700_4050</t>
  </si>
  <si>
    <t>1700_4250</t>
  </si>
  <si>
    <t>1700_4450</t>
  </si>
  <si>
    <t>1700_4650</t>
  </si>
  <si>
    <t>1700_4850</t>
  </si>
  <si>
    <t>1700_4A50</t>
  </si>
  <si>
    <t>1700_4C50</t>
  </si>
  <si>
    <t>1700_4E50</t>
  </si>
  <si>
    <t>1700_5050</t>
  </si>
  <si>
    <t>1700_5250</t>
  </si>
  <si>
    <t>1700_5450</t>
  </si>
  <si>
    <t>1700_5650</t>
  </si>
  <si>
    <t>1700_5850</t>
  </si>
  <si>
    <t>1700_5A50</t>
  </si>
  <si>
    <t>1700_5C50</t>
  </si>
  <si>
    <t>1700_5E50</t>
  </si>
  <si>
    <t>1700_6050</t>
  </si>
  <si>
    <t>1700_6250</t>
  </si>
  <si>
    <t>1700_6450</t>
  </si>
  <si>
    <t>1700_6650</t>
  </si>
  <si>
    <t>1700_6850</t>
  </si>
  <si>
    <t>1700_6A50</t>
  </si>
  <si>
    <t>1700_6C50</t>
  </si>
  <si>
    <t>1700_6E50</t>
  </si>
  <si>
    <t>1700_7050</t>
  </si>
  <si>
    <t>1700_7250</t>
  </si>
  <si>
    <t>1700_7450</t>
  </si>
  <si>
    <t>1700_7650</t>
  </si>
  <si>
    <t>1700_7850</t>
  </si>
  <si>
    <t>1700_7A50</t>
  </si>
  <si>
    <t>1700_7C50</t>
  </si>
  <si>
    <t>1700_7E50</t>
  </si>
  <si>
    <t>1700_0051</t>
  </si>
  <si>
    <t>1700_0251</t>
  </si>
  <si>
    <t>1700_0451</t>
  </si>
  <si>
    <t>1700_0651</t>
  </si>
  <si>
    <t>1700_0851</t>
  </si>
  <si>
    <t>1700_0A51</t>
  </si>
  <si>
    <t>1700_0C51</t>
  </si>
  <si>
    <t>1700_0E51</t>
  </si>
  <si>
    <t>1700_1051</t>
  </si>
  <si>
    <t>1700_1251</t>
  </si>
  <si>
    <t>1700_1451</t>
  </si>
  <si>
    <t>1700_1651</t>
  </si>
  <si>
    <t>1700_1851</t>
  </si>
  <si>
    <t>1700_1A51</t>
  </si>
  <si>
    <t>1700_1C51</t>
  </si>
  <si>
    <t>1700_1E51</t>
  </si>
  <si>
    <t>1700_2051</t>
  </si>
  <si>
    <t>1700_2251</t>
  </si>
  <si>
    <t>1700_2451</t>
  </si>
  <si>
    <t>1700_2651</t>
  </si>
  <si>
    <t>1700_2851</t>
  </si>
  <si>
    <t>1700_2A51</t>
  </si>
  <si>
    <t>1700_2C51</t>
  </si>
  <si>
    <t>1700_2E51</t>
  </si>
  <si>
    <t>1700_3051</t>
  </si>
  <si>
    <t>1700_3251</t>
  </si>
  <si>
    <t>1700_3451</t>
  </si>
  <si>
    <t>1700_3651</t>
  </si>
  <si>
    <t>1700_3851</t>
  </si>
  <si>
    <t>1700_3A51</t>
  </si>
  <si>
    <t>1700_3C51</t>
  </si>
  <si>
    <t>1700_3E51</t>
  </si>
  <si>
    <t>1700_4051</t>
  </si>
  <si>
    <t>1700_4251</t>
  </si>
  <si>
    <t>1700_4451</t>
  </si>
  <si>
    <t>1700_4651</t>
  </si>
  <si>
    <t>1700_4851</t>
  </si>
  <si>
    <t>1700_4A51</t>
  </si>
  <si>
    <t>1700_4C51</t>
  </si>
  <si>
    <t>1700_4E51</t>
  </si>
  <si>
    <t>1700_5051</t>
  </si>
  <si>
    <t>1700_5251</t>
  </si>
  <si>
    <t>1700_5451</t>
  </si>
  <si>
    <t>1700_5651</t>
  </si>
  <si>
    <t>1700_5851</t>
  </si>
  <si>
    <t>1700_5A51</t>
  </si>
  <si>
    <t>1700_5C51</t>
  </si>
  <si>
    <t>1700_5E51</t>
  </si>
  <si>
    <t>1700_6051</t>
  </si>
  <si>
    <t>1700_6251</t>
  </si>
  <si>
    <t>1700_6451</t>
  </si>
  <si>
    <t>1700_6651</t>
  </si>
  <si>
    <t>1700_6851</t>
  </si>
  <si>
    <t>1700_6A51</t>
  </si>
  <si>
    <t>1700_6C51</t>
  </si>
  <si>
    <t>1700_6E51</t>
  </si>
  <si>
    <t>1700_7051</t>
  </si>
  <si>
    <t>1700_7251</t>
  </si>
  <si>
    <t>1700_7451</t>
  </si>
  <si>
    <t>1700_7651</t>
  </si>
  <si>
    <t>1700_7851</t>
  </si>
  <si>
    <t>1700_7A51</t>
  </si>
  <si>
    <t>1700_7C51</t>
  </si>
  <si>
    <t>1700_7E51</t>
  </si>
  <si>
    <t>1700_0052</t>
  </si>
  <si>
    <t>1700_0252</t>
  </si>
  <si>
    <t>1700_0452</t>
  </si>
  <si>
    <t>1700_0652</t>
  </si>
  <si>
    <t>1700_0852</t>
  </si>
  <si>
    <t>1700_0A52</t>
  </si>
  <si>
    <t>1700_0C52</t>
  </si>
  <si>
    <t>1700_0E52</t>
  </si>
  <si>
    <t>1700_1052</t>
  </si>
  <si>
    <t>1700_1252</t>
  </si>
  <si>
    <t>1700_1452</t>
  </si>
  <si>
    <t>1700_1652</t>
  </si>
  <si>
    <t>1700_1852</t>
  </si>
  <si>
    <t>1700_1A52</t>
  </si>
  <si>
    <t>1700_1C52</t>
  </si>
  <si>
    <t>1700_1E52</t>
  </si>
  <si>
    <t>1700_2052</t>
  </si>
  <si>
    <t>1700_2252</t>
  </si>
  <si>
    <t>1700_2452</t>
  </si>
  <si>
    <t>1700_2652</t>
  </si>
  <si>
    <t>1700_2852</t>
  </si>
  <si>
    <t>1700_2A52</t>
  </si>
  <si>
    <t>1700_2C52</t>
  </si>
  <si>
    <t>1700_2E52</t>
  </si>
  <si>
    <t>1700_3052</t>
  </si>
  <si>
    <t>1700_3252</t>
  </si>
  <si>
    <t>1700_3452</t>
  </si>
  <si>
    <t>1700_3652</t>
  </si>
  <si>
    <t>1700_3852</t>
  </si>
  <si>
    <t>1700_3A52</t>
  </si>
  <si>
    <t>1700_3C52</t>
  </si>
  <si>
    <t>1700_3E52</t>
  </si>
  <si>
    <t>1700_4052</t>
  </si>
  <si>
    <t>1700_4252</t>
  </si>
  <si>
    <t>1700_4452</t>
  </si>
  <si>
    <t>1700_4652</t>
  </si>
  <si>
    <t>1700_4852</t>
  </si>
  <si>
    <t>1700_4A52</t>
  </si>
  <si>
    <t>1700_4C52</t>
  </si>
  <si>
    <t>1700_4E52</t>
  </si>
  <si>
    <t>1700_5052</t>
  </si>
  <si>
    <t>1700_5252</t>
  </si>
  <si>
    <t>1700_5452</t>
  </si>
  <si>
    <t>1700_5652</t>
  </si>
  <si>
    <t>1700_5852</t>
  </si>
  <si>
    <t>1700_5A52</t>
  </si>
  <si>
    <t>1700_5C52</t>
  </si>
  <si>
    <t>1700_5E52</t>
  </si>
  <si>
    <t>1700_6052</t>
  </si>
  <si>
    <t>1700_6252</t>
  </si>
  <si>
    <t>1700_6452</t>
  </si>
  <si>
    <t>1700_6652</t>
  </si>
  <si>
    <t>1700_6852</t>
  </si>
  <si>
    <t>1700_6A52</t>
  </si>
  <si>
    <t>1700_6C52</t>
  </si>
  <si>
    <t>1700_6E52</t>
  </si>
  <si>
    <t>1700_7052</t>
  </si>
  <si>
    <t>1700_7252</t>
  </si>
  <si>
    <t>1700_7452</t>
  </si>
  <si>
    <t>1700_7652</t>
  </si>
  <si>
    <t>1700_7852</t>
  </si>
  <si>
    <t>1700_7A52</t>
  </si>
  <si>
    <t>1700_7C52</t>
  </si>
  <si>
    <t>1700_7E52</t>
  </si>
  <si>
    <t>1700_0053</t>
  </si>
  <si>
    <t>1700_0253</t>
  </si>
  <si>
    <t>1700_0453</t>
  </si>
  <si>
    <t>1700_0653</t>
  </si>
  <si>
    <t>1700_0853</t>
  </si>
  <si>
    <t>1700_0A53</t>
  </si>
  <si>
    <t>1700_0C53</t>
  </si>
  <si>
    <t>1700_0E53</t>
  </si>
  <si>
    <t>1700_1053</t>
  </si>
  <si>
    <t>1700_1253</t>
  </si>
  <si>
    <t>1700_1453</t>
  </si>
  <si>
    <t>1700_1653</t>
  </si>
  <si>
    <t>1700_1853</t>
  </si>
  <si>
    <t>1700_1A53</t>
  </si>
  <si>
    <t>1700_1C53</t>
  </si>
  <si>
    <t>1700_1E53</t>
  </si>
  <si>
    <t>1700_2053</t>
  </si>
  <si>
    <t>1700_2253</t>
  </si>
  <si>
    <t>1700_2453</t>
  </si>
  <si>
    <t>1700_2653</t>
  </si>
  <si>
    <t>1700_2853</t>
  </si>
  <si>
    <t>1700_2A53</t>
  </si>
  <si>
    <t>1700_2C53</t>
  </si>
  <si>
    <t>1700_2E53</t>
  </si>
  <si>
    <t>1700_3053</t>
  </si>
  <si>
    <t>1700_3253</t>
  </si>
  <si>
    <t>1700_3453</t>
  </si>
  <si>
    <t>1700_3653</t>
  </si>
  <si>
    <t>1700_3853</t>
  </si>
  <si>
    <t>1700_3A53</t>
  </si>
  <si>
    <t>1700_3C53</t>
  </si>
  <si>
    <t>1700_3E53</t>
  </si>
  <si>
    <t>1700_4053</t>
  </si>
  <si>
    <t>1700_4253</t>
  </si>
  <si>
    <t>1700_4453</t>
  </si>
  <si>
    <t>1700_4653</t>
  </si>
  <si>
    <t>1700_4853</t>
  </si>
  <si>
    <t>1700_4A53</t>
  </si>
  <si>
    <t>1700_4C53</t>
  </si>
  <si>
    <t>1700_4E53</t>
  </si>
  <si>
    <t>1700_5053</t>
  </si>
  <si>
    <t>1700_5253</t>
  </si>
  <si>
    <t>1700_5453</t>
  </si>
  <si>
    <t>1700_5653</t>
  </si>
  <si>
    <t>1700_5853</t>
  </si>
  <si>
    <t>1700_5A53</t>
  </si>
  <si>
    <t>1700_5C53</t>
  </si>
  <si>
    <t>1700_5E53</t>
  </si>
  <si>
    <t>1700_6053</t>
  </si>
  <si>
    <t>1700_6253</t>
  </si>
  <si>
    <t>1700_6453</t>
  </si>
  <si>
    <t>1700_6653</t>
  </si>
  <si>
    <t>1700_6853</t>
  </si>
  <si>
    <t>1700_6A53</t>
  </si>
  <si>
    <t>1700_6C53</t>
  </si>
  <si>
    <t>1700_6E53</t>
  </si>
  <si>
    <t>1700_7053</t>
  </si>
  <si>
    <t>1700_7253</t>
  </si>
  <si>
    <t>1700_7453</t>
  </si>
  <si>
    <t>1700_7653</t>
  </si>
  <si>
    <t>1700_7853</t>
  </si>
  <si>
    <t>1700_7A53</t>
  </si>
  <si>
    <t>1700_7C53</t>
  </si>
  <si>
    <t>1700_7E53</t>
  </si>
  <si>
    <t>1700_0054</t>
  </si>
  <si>
    <t>1700_0254</t>
  </si>
  <si>
    <t>1700_0454</t>
  </si>
  <si>
    <t>1700_0654</t>
  </si>
  <si>
    <t>1700_0854</t>
  </si>
  <si>
    <t>1700_0A54</t>
  </si>
  <si>
    <t>1700_0C54</t>
  </si>
  <si>
    <t>1700_0E54</t>
  </si>
  <si>
    <t>1700_1054</t>
  </si>
  <si>
    <t>1700_1254</t>
  </si>
  <si>
    <t>1700_1454</t>
  </si>
  <si>
    <t>1700_1654</t>
  </si>
  <si>
    <t>1700_1854</t>
  </si>
  <si>
    <t>1700_1A54</t>
  </si>
  <si>
    <t>1700_1C54</t>
  </si>
  <si>
    <t>1700_1E54</t>
  </si>
  <si>
    <t>1700_2054</t>
  </si>
  <si>
    <t>1700_2254</t>
  </si>
  <si>
    <t>1700_2454</t>
  </si>
  <si>
    <t>1700_2654</t>
  </si>
  <si>
    <t>1700_2854</t>
  </si>
  <si>
    <t>1700_2A54</t>
  </si>
  <si>
    <t>1700_2C54</t>
  </si>
  <si>
    <t>1700_2E54</t>
  </si>
  <si>
    <t>1700_3054</t>
  </si>
  <si>
    <t>1700_3254</t>
  </si>
  <si>
    <t>1700_3454</t>
  </si>
  <si>
    <t>1700_3654</t>
  </si>
  <si>
    <t>1700_3854</t>
  </si>
  <si>
    <t>1700_3A54</t>
  </si>
  <si>
    <t>1700_3C54</t>
  </si>
  <si>
    <t>1700_3E54</t>
  </si>
  <si>
    <t>1700_4054</t>
  </si>
  <si>
    <t>1700_4254</t>
  </si>
  <si>
    <t>1700_4454</t>
  </si>
  <si>
    <t>1700_4654</t>
  </si>
  <si>
    <t>1700_4854</t>
  </si>
  <si>
    <t>1700_4A54</t>
  </si>
  <si>
    <t>1700_4C54</t>
  </si>
  <si>
    <t>1700_4E54</t>
  </si>
  <si>
    <t>1700_5054</t>
  </si>
  <si>
    <t>1700_5254</t>
  </si>
  <si>
    <t>1700_5454</t>
  </si>
  <si>
    <t>1700_5654</t>
  </si>
  <si>
    <t>1700_5854</t>
  </si>
  <si>
    <t>1700_5A54</t>
  </si>
  <si>
    <t>1700_5C54</t>
  </si>
  <si>
    <t>1700_5E54</t>
  </si>
  <si>
    <t>1700_6054</t>
  </si>
  <si>
    <t>1700_6254</t>
  </si>
  <si>
    <t>1700_6454</t>
  </si>
  <si>
    <t>1700_6654</t>
  </si>
  <si>
    <t>1700_6854</t>
  </si>
  <si>
    <t>1700_6A54</t>
  </si>
  <si>
    <t>1700_6C54</t>
  </si>
  <si>
    <t>1700_6E54</t>
  </si>
  <si>
    <t>1700_7054</t>
  </si>
  <si>
    <t>1700_7254</t>
  </si>
  <si>
    <t>1700_7454</t>
  </si>
  <si>
    <t>1700_7654</t>
  </si>
  <si>
    <t>1700_7854</t>
  </si>
  <si>
    <t>1700_7A54</t>
  </si>
  <si>
    <t>1700_7C54</t>
  </si>
  <si>
    <t>1700_7E54</t>
  </si>
  <si>
    <t>1700_0055</t>
  </si>
  <si>
    <t>1700_0255</t>
  </si>
  <si>
    <t>1700_0455</t>
  </si>
  <si>
    <t>1700_0655</t>
  </si>
  <si>
    <t>1700_0855</t>
  </si>
  <si>
    <t>1700_0A55</t>
  </si>
  <si>
    <t>1700_0C55</t>
  </si>
  <si>
    <t>1700_0E55</t>
  </si>
  <si>
    <t>1700_1055</t>
  </si>
  <si>
    <t>1700_1255</t>
  </si>
  <si>
    <t>1700_1455</t>
  </si>
  <si>
    <t>1700_1655</t>
  </si>
  <si>
    <t>1700_1855</t>
  </si>
  <si>
    <t>1700_1A55</t>
  </si>
  <si>
    <t>1700_1C55</t>
  </si>
  <si>
    <t>1700_1E55</t>
  </si>
  <si>
    <t>1700_2055</t>
  </si>
  <si>
    <t>1700_2255</t>
  </si>
  <si>
    <t>1700_2455</t>
  </si>
  <si>
    <t>1700_2655</t>
  </si>
  <si>
    <t>1700_2855</t>
  </si>
  <si>
    <t>1700_2A55</t>
  </si>
  <si>
    <t>1700_2C55</t>
  </si>
  <si>
    <t>1700_2E55</t>
  </si>
  <si>
    <t>1700_3055</t>
  </si>
  <si>
    <t>1700_3255</t>
  </si>
  <si>
    <t>1700_3455</t>
  </si>
  <si>
    <t>1700_3655</t>
  </si>
  <si>
    <t>1700_3855</t>
  </si>
  <si>
    <t>1700_3A55</t>
  </si>
  <si>
    <t>1700_3C55</t>
  </si>
  <si>
    <t>1700_3E55</t>
  </si>
  <si>
    <t>1700_4055</t>
  </si>
  <si>
    <t>1700_4255</t>
  </si>
  <si>
    <t>1700_4455</t>
  </si>
  <si>
    <t>1700_4655</t>
  </si>
  <si>
    <t>1700_4855</t>
  </si>
  <si>
    <t>1700_4A55</t>
  </si>
  <si>
    <t>1700_4C55</t>
  </si>
  <si>
    <t>1700_4E55</t>
  </si>
  <si>
    <t>1700_5055</t>
  </si>
  <si>
    <t>1700_5255</t>
  </si>
  <si>
    <t>1700_5455</t>
  </si>
  <si>
    <t>1700_5655</t>
  </si>
  <si>
    <t>1700_5855</t>
  </si>
  <si>
    <t>1700_5A55</t>
  </si>
  <si>
    <t>1700_5C55</t>
  </si>
  <si>
    <t>1700_5E55</t>
  </si>
  <si>
    <t>1700_6055</t>
  </si>
  <si>
    <t>1700_6255</t>
  </si>
  <si>
    <t>1700_6455</t>
  </si>
  <si>
    <t>1700_6655</t>
  </si>
  <si>
    <t>1700_6855</t>
  </si>
  <si>
    <t>1700_6A55</t>
  </si>
  <si>
    <t>1700_6C55</t>
  </si>
  <si>
    <t>1700_6E55</t>
  </si>
  <si>
    <t>1700_7055</t>
  </si>
  <si>
    <t>1700_7255</t>
  </si>
  <si>
    <t>1700_7455</t>
  </si>
  <si>
    <t>1700_7655</t>
  </si>
  <si>
    <t>1700_7855</t>
  </si>
  <si>
    <t>1700_7A55</t>
  </si>
  <si>
    <t>1700_7C55</t>
  </si>
  <si>
    <t>1700_7E55</t>
  </si>
  <si>
    <t>1700_0056</t>
  </si>
  <si>
    <t>1700_0256</t>
  </si>
  <si>
    <t>1700_0456</t>
  </si>
  <si>
    <t>1700_0656</t>
  </si>
  <si>
    <t>1700_0856</t>
  </si>
  <si>
    <t>1700_0A56</t>
  </si>
  <si>
    <t>1700_0C56</t>
  </si>
  <si>
    <t>1700_0E56</t>
  </si>
  <si>
    <t>1700_1056</t>
  </si>
  <si>
    <t>1700_1256</t>
  </si>
  <si>
    <t>1700_1456</t>
  </si>
  <si>
    <t>1700_1656</t>
  </si>
  <si>
    <t>1700_1856</t>
  </si>
  <si>
    <t>1700_1A56</t>
  </si>
  <si>
    <t>1700_1C56</t>
  </si>
  <si>
    <t>1700_1E56</t>
  </si>
  <si>
    <t>1700_2056</t>
  </si>
  <si>
    <t>1700_2256</t>
  </si>
  <si>
    <t>1700_2456</t>
  </si>
  <si>
    <t>1700_2656</t>
  </si>
  <si>
    <t>1700_2856</t>
  </si>
  <si>
    <t>1700_2A56</t>
  </si>
  <si>
    <t>1700_2C56</t>
  </si>
  <si>
    <t>1700_2E56</t>
  </si>
  <si>
    <t>1700_3056</t>
  </si>
  <si>
    <t>1700_3256</t>
  </si>
  <si>
    <t>1700_3456</t>
  </si>
  <si>
    <t>1700_3656</t>
  </si>
  <si>
    <t>1700_3856</t>
  </si>
  <si>
    <t>1700_3A56</t>
  </si>
  <si>
    <t>1700_3C56</t>
  </si>
  <si>
    <t>1700_3E56</t>
  </si>
  <si>
    <t>1700_4056</t>
  </si>
  <si>
    <t>1700_4256</t>
  </si>
  <si>
    <t>1700_4456</t>
  </si>
  <si>
    <t>1700_4656</t>
  </si>
  <si>
    <t>1700_4856</t>
  </si>
  <si>
    <t>1700_4A56</t>
  </si>
  <si>
    <t>1700_4C56</t>
  </si>
  <si>
    <t>1700_4E56</t>
  </si>
  <si>
    <t>1700_5056</t>
  </si>
  <si>
    <t>1700_5256</t>
  </si>
  <si>
    <t>1700_5456</t>
  </si>
  <si>
    <t>1700_5656</t>
  </si>
  <si>
    <t>1700_5856</t>
  </si>
  <si>
    <t>1700_5A56</t>
  </si>
  <si>
    <t>1700_5C56</t>
  </si>
  <si>
    <t>1700_5E56</t>
  </si>
  <si>
    <t>1700_6056</t>
  </si>
  <si>
    <t>1700_6256</t>
  </si>
  <si>
    <t>1700_6456</t>
  </si>
  <si>
    <t>1700_6656</t>
  </si>
  <si>
    <t>1700_6856</t>
  </si>
  <si>
    <t>1700_6A56</t>
  </si>
  <si>
    <t>1700_6C56</t>
  </si>
  <si>
    <t>1700_6E56</t>
  </si>
  <si>
    <t>1700_7056</t>
  </si>
  <si>
    <t>1700_7256</t>
  </si>
  <si>
    <t>1700_7456</t>
  </si>
  <si>
    <t>1700_7656</t>
  </si>
  <si>
    <t>1700_7856</t>
  </si>
  <si>
    <t>1700_7A56</t>
  </si>
  <si>
    <t>1700_7C56</t>
  </si>
  <si>
    <t>1700_7E56</t>
  </si>
  <si>
    <t>1700_0057</t>
  </si>
  <si>
    <t>1700_0257</t>
  </si>
  <si>
    <t>1700_0457</t>
  </si>
  <si>
    <t>1700_0657</t>
  </si>
  <si>
    <t>1700_0857</t>
  </si>
  <si>
    <t>1700_0A57</t>
  </si>
  <si>
    <t>1700_0C57</t>
  </si>
  <si>
    <t>1700_0E57</t>
  </si>
  <si>
    <t>1700_1057</t>
  </si>
  <si>
    <t>1700_1257</t>
  </si>
  <si>
    <t>1700_1457</t>
  </si>
  <si>
    <t>1700_1657</t>
  </si>
  <si>
    <t>1700_1857</t>
  </si>
  <si>
    <t>1700_1A57</t>
  </si>
  <si>
    <t>1700_1C57</t>
  </si>
  <si>
    <t>1700_1E57</t>
  </si>
  <si>
    <t>1700_2057</t>
  </si>
  <si>
    <t>1700_2257</t>
  </si>
  <si>
    <t>1700_2457</t>
  </si>
  <si>
    <t>1700_2657</t>
  </si>
  <si>
    <t>1700_2857</t>
  </si>
  <si>
    <t>1700_2A57</t>
  </si>
  <si>
    <t>1700_2C57</t>
  </si>
  <si>
    <t>1700_2E57</t>
  </si>
  <si>
    <t>1700_3057</t>
  </si>
  <si>
    <t>1700_3257</t>
  </si>
  <si>
    <t>1700_3457</t>
  </si>
  <si>
    <t>1700_3657</t>
  </si>
  <si>
    <t>1700_3857</t>
  </si>
  <si>
    <t>1700_3A57</t>
  </si>
  <si>
    <t>1700_3C57</t>
  </si>
  <si>
    <t>1700_3E57</t>
  </si>
  <si>
    <t>1700_4057</t>
  </si>
  <si>
    <t>1700_4257</t>
  </si>
  <si>
    <t>1700_4457</t>
  </si>
  <si>
    <t>1700_4657</t>
  </si>
  <si>
    <t>1700_4857</t>
  </si>
  <si>
    <t>1700_4A57</t>
  </si>
  <si>
    <t>1700_4C57</t>
  </si>
  <si>
    <t>1700_4E57</t>
  </si>
  <si>
    <t>1700_5057</t>
  </si>
  <si>
    <t>1700_5257</t>
  </si>
  <si>
    <t>1700_5457</t>
  </si>
  <si>
    <t>1700_5657</t>
  </si>
  <si>
    <t>1700_5857</t>
  </si>
  <si>
    <t>1700_5A57</t>
  </si>
  <si>
    <t>1700_5C57</t>
  </si>
  <si>
    <t>1700_5E57</t>
  </si>
  <si>
    <t>1700_6057</t>
  </si>
  <si>
    <t>1700_6257</t>
  </si>
  <si>
    <t>1700_6457</t>
  </si>
  <si>
    <t>1700_6657</t>
  </si>
  <si>
    <t>1700_6857</t>
  </si>
  <si>
    <t>1700_6A57</t>
  </si>
  <si>
    <t>1700_6C57</t>
  </si>
  <si>
    <t>1700_6E57</t>
  </si>
  <si>
    <t>1700_7057</t>
  </si>
  <si>
    <t>1700_7257</t>
  </si>
  <si>
    <t>1700_7457</t>
  </si>
  <si>
    <t>1700_7657</t>
  </si>
  <si>
    <t>1700_7857</t>
  </si>
  <si>
    <t>1700_7A57</t>
  </si>
  <si>
    <t>1700_7C57</t>
  </si>
  <si>
    <t>1700_7E57</t>
  </si>
  <si>
    <t>1700_0058</t>
  </si>
  <si>
    <t>1700_0258</t>
  </si>
  <si>
    <t>1700_0458</t>
  </si>
  <si>
    <t>1700_0658</t>
  </si>
  <si>
    <t>1700_0858</t>
  </si>
  <si>
    <t>1700_0A58</t>
  </si>
  <si>
    <t>1700_0C58</t>
  </si>
  <si>
    <t>1700_0E58</t>
  </si>
  <si>
    <t>1700_1058</t>
  </si>
  <si>
    <t>1700_1258</t>
  </si>
  <si>
    <t>1700_1458</t>
  </si>
  <si>
    <t>1700_1658</t>
  </si>
  <si>
    <t>1700_1858</t>
  </si>
  <si>
    <t>1700_1A58</t>
  </si>
  <si>
    <t>1700_1C58</t>
  </si>
  <si>
    <t>1700_1E58</t>
  </si>
  <si>
    <t>1700_2058</t>
  </si>
  <si>
    <t>1700_2258</t>
  </si>
  <si>
    <t>1700_2458</t>
  </si>
  <si>
    <t>1700_2658</t>
  </si>
  <si>
    <t>1700_2858</t>
  </si>
  <si>
    <t>1700_2A58</t>
  </si>
  <si>
    <t>1700_2C58</t>
  </si>
  <si>
    <t>1700_2E58</t>
  </si>
  <si>
    <t>1700_3058</t>
  </si>
  <si>
    <t>1700_3258</t>
  </si>
  <si>
    <t>1700_3458</t>
  </si>
  <si>
    <t>1700_3658</t>
  </si>
  <si>
    <t>1700_3858</t>
  </si>
  <si>
    <t>1700_3A58</t>
  </si>
  <si>
    <t>1700_3C58</t>
  </si>
  <si>
    <t>1700_3E58</t>
  </si>
  <si>
    <t>1700_4058</t>
  </si>
  <si>
    <t>1700_4258</t>
  </si>
  <si>
    <t>1700_4458</t>
  </si>
  <si>
    <t>1700_4658</t>
  </si>
  <si>
    <t>1700_4858</t>
  </si>
  <si>
    <t>1700_4A58</t>
  </si>
  <si>
    <t>1700_4C58</t>
  </si>
  <si>
    <t>1700_4E58</t>
  </si>
  <si>
    <t>1700_5058</t>
  </si>
  <si>
    <t>1700_5258</t>
  </si>
  <si>
    <t>1700_5458</t>
  </si>
  <si>
    <t>1700_5658</t>
  </si>
  <si>
    <t>1700_5858</t>
  </si>
  <si>
    <t>1700_5A58</t>
  </si>
  <si>
    <t>1700_5C58</t>
  </si>
  <si>
    <t>1700_5E58</t>
  </si>
  <si>
    <t>1700_6058</t>
  </si>
  <si>
    <t>1700_6258</t>
  </si>
  <si>
    <t>1700_6458</t>
  </si>
  <si>
    <t>1700_6658</t>
  </si>
  <si>
    <t>1700_6858</t>
  </si>
  <si>
    <t>1700_6A58</t>
  </si>
  <si>
    <t>1700_6C58</t>
  </si>
  <si>
    <t>1700_6E58</t>
  </si>
  <si>
    <t>1700_7058</t>
  </si>
  <si>
    <t>1700_7258</t>
  </si>
  <si>
    <t>1700_7458</t>
  </si>
  <si>
    <t>1700_7658</t>
  </si>
  <si>
    <t>1700_7858</t>
  </si>
  <si>
    <t>1700_7A58</t>
  </si>
  <si>
    <t>1700_7C58</t>
  </si>
  <si>
    <t>1700_7E58</t>
  </si>
  <si>
    <t>1700_0059</t>
  </si>
  <si>
    <t>1700_0259</t>
  </si>
  <si>
    <t>1700_0459</t>
  </si>
  <si>
    <t>1700_0659</t>
  </si>
  <si>
    <t>1700_0859</t>
  </si>
  <si>
    <t>1700_0A59</t>
  </si>
  <si>
    <t>1700_0C59</t>
  </si>
  <si>
    <t>1700_0E59</t>
  </si>
  <si>
    <t>1700_1059</t>
  </si>
  <si>
    <t>1700_1259</t>
  </si>
  <si>
    <t>1700_1459</t>
  </si>
  <si>
    <t>1700_1659</t>
  </si>
  <si>
    <t>1700_1859</t>
  </si>
  <si>
    <t>1700_1A59</t>
  </si>
  <si>
    <t>1700_1C59</t>
  </si>
  <si>
    <t>1700_1E59</t>
  </si>
  <si>
    <t>1700_2059</t>
  </si>
  <si>
    <t>1700_2259</t>
  </si>
  <si>
    <t>1700_2459</t>
  </si>
  <si>
    <t>1700_2659</t>
  </si>
  <si>
    <t>1700_2859</t>
  </si>
  <si>
    <t>1700_2A59</t>
  </si>
  <si>
    <t>1700_2C59</t>
  </si>
  <si>
    <t>1700_2E59</t>
  </si>
  <si>
    <t>1700_3059</t>
  </si>
  <si>
    <t>1700_3259</t>
  </si>
  <si>
    <t>1700_3459</t>
  </si>
  <si>
    <t>1700_3659</t>
  </si>
  <si>
    <t>1700_3859</t>
  </si>
  <si>
    <t>1700_3A59</t>
  </si>
  <si>
    <t>1700_3C59</t>
  </si>
  <si>
    <t>1700_3E59</t>
  </si>
  <si>
    <t>1700_4059</t>
  </si>
  <si>
    <t>1700_4259</t>
  </si>
  <si>
    <t>1700_4459</t>
  </si>
  <si>
    <t>1700_4659</t>
  </si>
  <si>
    <t>1700_4859</t>
  </si>
  <si>
    <t>1700_4A59</t>
  </si>
  <si>
    <t>1700_4C59</t>
  </si>
  <si>
    <t>1700_4E59</t>
  </si>
  <si>
    <t>1700_5059</t>
  </si>
  <si>
    <t>1700_5259</t>
  </si>
  <si>
    <t>1700_5459</t>
  </si>
  <si>
    <t>1700_5659</t>
  </si>
  <si>
    <t>1700_5859</t>
  </si>
  <si>
    <t>1700_5A59</t>
  </si>
  <si>
    <t>1700_5C59</t>
  </si>
  <si>
    <t>1700_5E59</t>
  </si>
  <si>
    <t>1700_6059</t>
  </si>
  <si>
    <t>1700_6259</t>
  </si>
  <si>
    <t>1700_6459</t>
  </si>
  <si>
    <t>1700_6659</t>
  </si>
  <si>
    <t>1700_6859</t>
  </si>
  <si>
    <t>1700_6A59</t>
  </si>
  <si>
    <t>1700_6C59</t>
  </si>
  <si>
    <t>1700_6E59</t>
  </si>
  <si>
    <t>1700_7059</t>
  </si>
  <si>
    <t>1700_7259</t>
  </si>
  <si>
    <t>1700_7459</t>
  </si>
  <si>
    <t>1700_7659</t>
  </si>
  <si>
    <t>1700_7859</t>
  </si>
  <si>
    <t>1700_7A59</t>
  </si>
  <si>
    <t>1700_7C59</t>
  </si>
  <si>
    <t>1700_7E59</t>
  </si>
  <si>
    <t>1700_005A</t>
  </si>
  <si>
    <t>1700_025A</t>
  </si>
  <si>
    <t>1700_045A</t>
  </si>
  <si>
    <t>1700_065A</t>
  </si>
  <si>
    <t>1700_085A</t>
  </si>
  <si>
    <t>1700_0A5A</t>
  </si>
  <si>
    <t>1700_0C5A</t>
  </si>
  <si>
    <t>1700_0E5A</t>
  </si>
  <si>
    <t>1700_105A</t>
  </si>
  <si>
    <t>1700_125A</t>
  </si>
  <si>
    <t>1700_145A</t>
  </si>
  <si>
    <t>1700_165A</t>
  </si>
  <si>
    <t>1700_185A</t>
  </si>
  <si>
    <t>1700_1A5A</t>
  </si>
  <si>
    <t>1700_1C5A</t>
  </si>
  <si>
    <t>1700_1E5A</t>
  </si>
  <si>
    <t>1700_205A</t>
  </si>
  <si>
    <t>1700_225A</t>
  </si>
  <si>
    <t>1700_245A</t>
  </si>
  <si>
    <t>1700_265A</t>
  </si>
  <si>
    <t>1700_285A</t>
  </si>
  <si>
    <t>1700_2A5A</t>
  </si>
  <si>
    <t>1700_2C5A</t>
  </si>
  <si>
    <t>1700_2E5A</t>
  </si>
  <si>
    <t>1700_305A</t>
  </si>
  <si>
    <t>1700_325A</t>
  </si>
  <si>
    <t>1700_345A</t>
  </si>
  <si>
    <t>1700_365A</t>
  </si>
  <si>
    <t>1700_385A</t>
  </si>
  <si>
    <t>1700_3A5A</t>
  </si>
  <si>
    <t>1700_3C5A</t>
  </si>
  <si>
    <t>1700_3E5A</t>
  </si>
  <si>
    <t>1700_405A</t>
  </si>
  <si>
    <t>1700_425A</t>
  </si>
  <si>
    <t>1700_445A</t>
  </si>
  <si>
    <t>1700_465A</t>
  </si>
  <si>
    <t>1700_485A</t>
  </si>
  <si>
    <t>1700_4A5A</t>
  </si>
  <si>
    <t>1700_4C5A</t>
  </si>
  <si>
    <t>1700_4E5A</t>
  </si>
  <si>
    <t>1700_505A</t>
  </si>
  <si>
    <t>1700_525A</t>
  </si>
  <si>
    <t>1700_545A</t>
  </si>
  <si>
    <t>1700_565A</t>
  </si>
  <si>
    <t>1700_585A</t>
  </si>
  <si>
    <t>1700_5A5A</t>
  </si>
  <si>
    <t>1700_5C5A</t>
  </si>
  <si>
    <t>1700_5E5A</t>
  </si>
  <si>
    <t>1700_605A</t>
  </si>
  <si>
    <t>1700_625A</t>
  </si>
  <si>
    <t>1700_645A</t>
  </si>
  <si>
    <t>1700_665A</t>
  </si>
  <si>
    <t>1700_685A</t>
  </si>
  <si>
    <t>1700_6A5A</t>
  </si>
  <si>
    <t>1700_6C5A</t>
  </si>
  <si>
    <t>1700_6E5A</t>
  </si>
  <si>
    <t>1700_705A</t>
  </si>
  <si>
    <t>1700_725A</t>
  </si>
  <si>
    <t>1700_745A</t>
  </si>
  <si>
    <t>1700_765A</t>
  </si>
  <si>
    <t>1700_785A</t>
  </si>
  <si>
    <t>1700_7A5A</t>
  </si>
  <si>
    <t>1700_7C5A</t>
  </si>
  <si>
    <t>1700_7E5A</t>
  </si>
  <si>
    <t>1700_005B</t>
  </si>
  <si>
    <t>1700_025B</t>
  </si>
  <si>
    <t>1700_045B</t>
  </si>
  <si>
    <t>1700_065B</t>
  </si>
  <si>
    <t>1700_085B</t>
  </si>
  <si>
    <t>1700_0A5B</t>
  </si>
  <si>
    <t>1700_0C5B</t>
  </si>
  <si>
    <t>1700_0E5B</t>
  </si>
  <si>
    <t>1700_105B</t>
  </si>
  <si>
    <t>1700_125B</t>
  </si>
  <si>
    <t>1700_145B</t>
  </si>
  <si>
    <t>1700_165B</t>
  </si>
  <si>
    <t>1700_185B</t>
  </si>
  <si>
    <t>1700_1A5B</t>
  </si>
  <si>
    <t>1700_1C5B</t>
  </si>
  <si>
    <t>1700_1E5B</t>
  </si>
  <si>
    <t>1700_205B</t>
  </si>
  <si>
    <t>1700_225B</t>
  </si>
  <si>
    <t>1700_245B</t>
  </si>
  <si>
    <t>1700_265B</t>
  </si>
  <si>
    <t>1700_285B</t>
  </si>
  <si>
    <t>1700_2A5B</t>
  </si>
  <si>
    <t>1700_2C5B</t>
  </si>
  <si>
    <t>1700_2E5B</t>
  </si>
  <si>
    <t>1700_305B</t>
  </si>
  <si>
    <t>1700_325B</t>
  </si>
  <si>
    <t>1700_345B</t>
  </si>
  <si>
    <t>1700_365B</t>
  </si>
  <si>
    <t>1700_385B</t>
  </si>
  <si>
    <t>1700_3A5B</t>
  </si>
  <si>
    <t>1700_3C5B</t>
  </si>
  <si>
    <t>1700_3E5B</t>
  </si>
  <si>
    <t>1700_405B</t>
  </si>
  <si>
    <t>1700_425B</t>
  </si>
  <si>
    <t>1700_445B</t>
  </si>
  <si>
    <t>1700_465B</t>
  </si>
  <si>
    <t>1700_485B</t>
  </si>
  <si>
    <t>1700_4A5B</t>
  </si>
  <si>
    <t>1700_4C5B</t>
  </si>
  <si>
    <t>1700_4E5B</t>
  </si>
  <si>
    <t>1700_505B</t>
  </si>
  <si>
    <t>1700_525B</t>
  </si>
  <si>
    <t>1700_545B</t>
  </si>
  <si>
    <t>1700_565B</t>
  </si>
  <si>
    <t>1700_585B</t>
  </si>
  <si>
    <t>1700_5A5B</t>
  </si>
  <si>
    <t>1700_5C5B</t>
  </si>
  <si>
    <t>1700_5E5B</t>
  </si>
  <si>
    <t>1700_605B</t>
  </si>
  <si>
    <t>1700_625B</t>
  </si>
  <si>
    <t>1700_645B</t>
  </si>
  <si>
    <t>1700_665B</t>
  </si>
  <si>
    <t>1700_685B</t>
  </si>
  <si>
    <t>1700_6A5B</t>
  </si>
  <si>
    <t>1700_6C5B</t>
  </si>
  <si>
    <t>1700_6E5B</t>
  </si>
  <si>
    <t>1700_705B</t>
  </si>
  <si>
    <t>1700_725B</t>
  </si>
  <si>
    <t>1700_745B</t>
  </si>
  <si>
    <t>1700_765B</t>
  </si>
  <si>
    <t>1700_785B</t>
  </si>
  <si>
    <t>1700_7A5B</t>
  </si>
  <si>
    <t>1700_7C5B</t>
  </si>
  <si>
    <t>1700_7E5B</t>
  </si>
  <si>
    <t>1700_005C</t>
  </si>
  <si>
    <t>1700_025C</t>
  </si>
  <si>
    <t>1700_045C</t>
  </si>
  <si>
    <t>1700_065C</t>
  </si>
  <si>
    <t>1700_085C</t>
  </si>
  <si>
    <t>1700_0A5C</t>
  </si>
  <si>
    <t>1700_0C5C</t>
  </si>
  <si>
    <t>1700_0E5C</t>
  </si>
  <si>
    <t>1700_105C</t>
  </si>
  <si>
    <t>1700_125C</t>
  </si>
  <si>
    <t>1700_145C</t>
  </si>
  <si>
    <t>1700_165C</t>
  </si>
  <si>
    <t>1700_185C</t>
  </si>
  <si>
    <t>1700_1A5C</t>
  </si>
  <si>
    <t>1700_1C5C</t>
  </si>
  <si>
    <t>1700_1E5C</t>
  </si>
  <si>
    <t>1700_205C</t>
  </si>
  <si>
    <t>1700_225C</t>
  </si>
  <si>
    <t>1700_245C</t>
  </si>
  <si>
    <t>1700_265C</t>
  </si>
  <si>
    <t>1700_285C</t>
  </si>
  <si>
    <t>1700_2A5C</t>
  </si>
  <si>
    <t>1700_2C5C</t>
  </si>
  <si>
    <t>1700_2E5C</t>
  </si>
  <si>
    <t>1700_305C</t>
  </si>
  <si>
    <t>1700_325C</t>
  </si>
  <si>
    <t>1700_345C</t>
  </si>
  <si>
    <t>1700_365C</t>
  </si>
  <si>
    <t>1700_385C</t>
  </si>
  <si>
    <t>1700_3A5C</t>
  </si>
  <si>
    <t>1700_3C5C</t>
  </si>
  <si>
    <t>1700_3E5C</t>
  </si>
  <si>
    <t>1700_405C</t>
  </si>
  <si>
    <t>1700_425C</t>
  </si>
  <si>
    <t>1700_445C</t>
  </si>
  <si>
    <t>1700_465C</t>
  </si>
  <si>
    <t>1700_485C</t>
  </si>
  <si>
    <t>1700_4A5C</t>
  </si>
  <si>
    <t>1700_4C5C</t>
  </si>
  <si>
    <t>1700_4E5C</t>
  </si>
  <si>
    <t>1700_505C</t>
  </si>
  <si>
    <t>1700_525C</t>
  </si>
  <si>
    <t>1700_545C</t>
  </si>
  <si>
    <t>1700_565C</t>
  </si>
  <si>
    <t>1700_585C</t>
  </si>
  <si>
    <t>1700_5A5C</t>
  </si>
  <si>
    <t>1700_5C5C</t>
  </si>
  <si>
    <t>1700_5E5C</t>
  </si>
  <si>
    <t>1700_605C</t>
  </si>
  <si>
    <t>1700_625C</t>
  </si>
  <si>
    <t>1700_645C</t>
  </si>
  <si>
    <t>1700_665C</t>
  </si>
  <si>
    <t>1700_685C</t>
  </si>
  <si>
    <t>1700_6A5C</t>
  </si>
  <si>
    <t>1700_6C5C</t>
  </si>
  <si>
    <t>1700_6E5C</t>
  </si>
  <si>
    <t>1700_705C</t>
  </si>
  <si>
    <t>1700_725C</t>
  </si>
  <si>
    <t>1700_745C</t>
  </si>
  <si>
    <t>1700_765C</t>
  </si>
  <si>
    <t>1700_785C</t>
  </si>
  <si>
    <t>1700_7A5C</t>
  </si>
  <si>
    <t>1700_7C5C</t>
  </si>
  <si>
    <t>1700_7E5C</t>
  </si>
  <si>
    <t>1700_005D</t>
  </si>
  <si>
    <t>1700_025D</t>
  </si>
  <si>
    <t>1700_045D</t>
  </si>
  <si>
    <t>1700_065D</t>
  </si>
  <si>
    <t>1700_085D</t>
  </si>
  <si>
    <t>1700_0A5D</t>
  </si>
  <si>
    <t>1700_0C5D</t>
  </si>
  <si>
    <t>1700_0E5D</t>
  </si>
  <si>
    <t>1700_105D</t>
  </si>
  <si>
    <t>1700_125D</t>
  </si>
  <si>
    <t>1700_145D</t>
  </si>
  <si>
    <t>1700_165D</t>
  </si>
  <si>
    <t>1700_185D</t>
  </si>
  <si>
    <t>1700_1A5D</t>
  </si>
  <si>
    <t>1700_1C5D</t>
  </si>
  <si>
    <t>1700_1E5D</t>
  </si>
  <si>
    <t>1700_205D</t>
  </si>
  <si>
    <t>1700_225D</t>
  </si>
  <si>
    <t>1700_245D</t>
  </si>
  <si>
    <t>1700_265D</t>
  </si>
  <si>
    <t>1700_285D</t>
  </si>
  <si>
    <t>1700_2A5D</t>
  </si>
  <si>
    <t>1700_2C5D</t>
  </si>
  <si>
    <t>1700_2E5D</t>
  </si>
  <si>
    <t>1700_305D</t>
  </si>
  <si>
    <t>1700_325D</t>
  </si>
  <si>
    <t>1700_345D</t>
  </si>
  <si>
    <t>1700_365D</t>
  </si>
  <si>
    <t>1700_385D</t>
  </si>
  <si>
    <t>1700_3A5D</t>
  </si>
  <si>
    <t>1700_3C5D</t>
  </si>
  <si>
    <t>1700_3E5D</t>
  </si>
  <si>
    <t>1700_405D</t>
  </si>
  <si>
    <t>1700_425D</t>
  </si>
  <si>
    <t>1700_445D</t>
  </si>
  <si>
    <t>1700_465D</t>
  </si>
  <si>
    <t>1700_485D</t>
  </si>
  <si>
    <t>1700_4A5D</t>
  </si>
  <si>
    <t>1700_4C5D</t>
  </si>
  <si>
    <t>1700_4E5D</t>
  </si>
  <si>
    <t>1700_505D</t>
  </si>
  <si>
    <t>1700_525D</t>
  </si>
  <si>
    <t>1700_545D</t>
  </si>
  <si>
    <t>1700_565D</t>
  </si>
  <si>
    <t>1700_585D</t>
  </si>
  <si>
    <t>1700_5A5D</t>
  </si>
  <si>
    <t>1700_5C5D</t>
  </si>
  <si>
    <t>1700_5E5D</t>
  </si>
  <si>
    <t>1700_605D</t>
  </si>
  <si>
    <t>1700_625D</t>
  </si>
  <si>
    <t>1700_645D</t>
  </si>
  <si>
    <t>1700_665D</t>
  </si>
  <si>
    <t>1700_685D</t>
  </si>
  <si>
    <t>1700_6A5D</t>
  </si>
  <si>
    <t>1700_6C5D</t>
  </si>
  <si>
    <t>1700_6E5D</t>
  </si>
  <si>
    <t>1700_705D</t>
  </si>
  <si>
    <t>1700_725D</t>
  </si>
  <si>
    <t>1700_745D</t>
  </si>
  <si>
    <t>1700_765D</t>
  </si>
  <si>
    <t>1700_785D</t>
  </si>
  <si>
    <t>1700_7A5D</t>
  </si>
  <si>
    <t>1700_7C5D</t>
  </si>
  <si>
    <t>1700_7E5D</t>
  </si>
  <si>
    <t>1700_005E</t>
  </si>
  <si>
    <t>1700_025E</t>
  </si>
  <si>
    <t>1700_045E</t>
  </si>
  <si>
    <t>1700_065E</t>
  </si>
  <si>
    <t>1700_085E</t>
  </si>
  <si>
    <t>1700_0A5E</t>
  </si>
  <si>
    <t>1700_0C5E</t>
  </si>
  <si>
    <t>1700_0E5E</t>
  </si>
  <si>
    <t>1700_105E</t>
  </si>
  <si>
    <t>1700_125E</t>
  </si>
  <si>
    <t>1700_145E</t>
  </si>
  <si>
    <t>1700_165E</t>
  </si>
  <si>
    <t>1700_185E</t>
  </si>
  <si>
    <t>1700_1A5E</t>
  </si>
  <si>
    <t>1700_1C5E</t>
  </si>
  <si>
    <t>1700_1E5E</t>
  </si>
  <si>
    <t>1700_205E</t>
  </si>
  <si>
    <t>1700_225E</t>
  </si>
  <si>
    <t>1700_245E</t>
  </si>
  <si>
    <t>1700_265E</t>
  </si>
  <si>
    <t>1700_285E</t>
  </si>
  <si>
    <t>1700_2A5E</t>
  </si>
  <si>
    <t>1700_2C5E</t>
  </si>
  <si>
    <t>1700_2E5E</t>
  </si>
  <si>
    <t>1700_305E</t>
  </si>
  <si>
    <t>1700_325E</t>
  </si>
  <si>
    <t>1700_345E</t>
  </si>
  <si>
    <t>1700_365E</t>
  </si>
  <si>
    <t>1700_385E</t>
  </si>
  <si>
    <t>1700_3A5E</t>
  </si>
  <si>
    <t>1700_3C5E</t>
  </si>
  <si>
    <t>1700_3E5E</t>
  </si>
  <si>
    <t>1700_405E</t>
  </si>
  <si>
    <t>1700_425E</t>
  </si>
  <si>
    <t>1700_445E</t>
  </si>
  <si>
    <t>1700_465E</t>
  </si>
  <si>
    <t>1700_485E</t>
  </si>
  <si>
    <t>1700_4A5E</t>
  </si>
  <si>
    <t>1700_4C5E</t>
  </si>
  <si>
    <t>1700_4E5E</t>
  </si>
  <si>
    <t>1700_505E</t>
  </si>
  <si>
    <t>1700_525E</t>
  </si>
  <si>
    <t>1700_545E</t>
  </si>
  <si>
    <t>1700_565E</t>
  </si>
  <si>
    <t>1700_585E</t>
  </si>
  <si>
    <t>1700_5A5E</t>
  </si>
  <si>
    <t>1700_5C5E</t>
  </si>
  <si>
    <t>1700_5E5E</t>
  </si>
  <si>
    <t>1700_605E</t>
  </si>
  <si>
    <t>1700_625E</t>
  </si>
  <si>
    <t>1700_645E</t>
  </si>
  <si>
    <t>1700_665E</t>
  </si>
  <si>
    <t>1700_685E</t>
  </si>
  <si>
    <t>1700_6A5E</t>
  </si>
  <si>
    <t>1700_6C5E</t>
  </si>
  <si>
    <t>1700_6E5E</t>
  </si>
  <si>
    <t>1700_705E</t>
  </si>
  <si>
    <t>1700_725E</t>
  </si>
  <si>
    <t>1700_745E</t>
  </si>
  <si>
    <t>1700_765E</t>
  </si>
  <si>
    <t>1700_785E</t>
  </si>
  <si>
    <t>1700_7A5E</t>
  </si>
  <si>
    <t>1700_7C5E</t>
  </si>
  <si>
    <t>1700_7E5E</t>
  </si>
  <si>
    <t>1700_005F</t>
  </si>
  <si>
    <t>1700_025F</t>
  </si>
  <si>
    <t>1700_045F</t>
  </si>
  <si>
    <t>1700_065F</t>
  </si>
  <si>
    <t>1700_085F</t>
  </si>
  <si>
    <t>1700_0A5F</t>
  </si>
  <si>
    <t>1700_0C5F</t>
  </si>
  <si>
    <t>1700_0E5F</t>
  </si>
  <si>
    <t>1700_105F</t>
  </si>
  <si>
    <t>1700_125F</t>
  </si>
  <si>
    <t>1700_145F</t>
  </si>
  <si>
    <t>1700_165F</t>
  </si>
  <si>
    <t>1700_185F</t>
  </si>
  <si>
    <t>1700_1A5F</t>
  </si>
  <si>
    <t>1700_1C5F</t>
  </si>
  <si>
    <t>1700_1E5F</t>
  </si>
  <si>
    <t>1700_205F</t>
  </si>
  <si>
    <t>1700_225F</t>
  </si>
  <si>
    <t>1700_245F</t>
  </si>
  <si>
    <t>1700_265F</t>
  </si>
  <si>
    <t>1700_285F</t>
  </si>
  <si>
    <t>1700_2A5F</t>
  </si>
  <si>
    <t>1700_2C5F</t>
  </si>
  <si>
    <t>1700_2E5F</t>
  </si>
  <si>
    <t>1700_305F</t>
  </si>
  <si>
    <t>1700_325F</t>
  </si>
  <si>
    <t>1700_345F</t>
  </si>
  <si>
    <t>1700_365F</t>
  </si>
  <si>
    <t>1700_385F</t>
  </si>
  <si>
    <t>1700_3A5F</t>
  </si>
  <si>
    <t>1700_3C5F</t>
  </si>
  <si>
    <t>1700_3E5F</t>
  </si>
  <si>
    <t>1700_405F</t>
  </si>
  <si>
    <t>1700_425F</t>
  </si>
  <si>
    <t>1700_445F</t>
  </si>
  <si>
    <t>1700_465F</t>
  </si>
  <si>
    <t>1700_485F</t>
  </si>
  <si>
    <t>1700_4A5F</t>
  </si>
  <si>
    <t>1700_4C5F</t>
  </si>
  <si>
    <t>1700_4E5F</t>
  </si>
  <si>
    <t>1700_505F</t>
  </si>
  <si>
    <t>1700_525F</t>
  </si>
  <si>
    <t>1700_545F</t>
  </si>
  <si>
    <t>1700_565F</t>
  </si>
  <si>
    <t>1700_585F</t>
  </si>
  <si>
    <t>1700_5A5F</t>
  </si>
  <si>
    <t>1700_5C5F</t>
  </si>
  <si>
    <t>1700_5E5F</t>
  </si>
  <si>
    <t>1700_605F</t>
  </si>
  <si>
    <t>1700_625F</t>
  </si>
  <si>
    <t>1700_645F</t>
  </si>
  <si>
    <t>1700_665F</t>
  </si>
  <si>
    <t>1700_685F</t>
  </si>
  <si>
    <t>1700_6A5F</t>
  </si>
  <si>
    <t>1700_6C5F</t>
  </si>
  <si>
    <t>1700_6E5F</t>
  </si>
  <si>
    <t>1700_705F</t>
  </si>
  <si>
    <t>1700_725F</t>
  </si>
  <si>
    <t>1700_745F</t>
  </si>
  <si>
    <t>1700_765F</t>
  </si>
  <si>
    <t>1700_785F</t>
  </si>
  <si>
    <t>1700_7A5F</t>
  </si>
  <si>
    <t>1700_7C5F</t>
  </si>
  <si>
    <t>1700_7E5F</t>
  </si>
  <si>
    <t>1700_0060</t>
  </si>
  <si>
    <t>1700_0260</t>
  </si>
  <si>
    <t>1700_0460</t>
  </si>
  <si>
    <t>1700_0660</t>
  </si>
  <si>
    <t>1700_0860</t>
  </si>
  <si>
    <t>1700_0A60</t>
  </si>
  <si>
    <t>1700_0C60</t>
  </si>
  <si>
    <t>1700_0E60</t>
  </si>
  <si>
    <t>1700_1060</t>
  </si>
  <si>
    <t>1700_1260</t>
  </si>
  <si>
    <t>1700_1460</t>
  </si>
  <si>
    <t>1700_1660</t>
  </si>
  <si>
    <t>1700_1860</t>
  </si>
  <si>
    <t>1700_1A60</t>
  </si>
  <si>
    <t>1700_1C60</t>
  </si>
  <si>
    <t>1700_1E60</t>
  </si>
  <si>
    <t>1700_2060</t>
  </si>
  <si>
    <t>1700_2260</t>
  </si>
  <si>
    <t>1700_2460</t>
  </si>
  <si>
    <t>1700_2660</t>
  </si>
  <si>
    <t>1700_2860</t>
  </si>
  <si>
    <t>1700_2A60</t>
  </si>
  <si>
    <t>1700_2C60</t>
  </si>
  <si>
    <t>1700_2E60</t>
  </si>
  <si>
    <t>1700_3060</t>
  </si>
  <si>
    <t>1700_3260</t>
  </si>
  <si>
    <t>1700_3460</t>
  </si>
  <si>
    <t>1700_3660</t>
  </si>
  <si>
    <t>1700_3860</t>
  </si>
  <si>
    <t>1700_3A60</t>
  </si>
  <si>
    <t>1700_3C60</t>
  </si>
  <si>
    <t>1700_3E60</t>
  </si>
  <si>
    <t>1700_4060</t>
  </si>
  <si>
    <t>1700_4260</t>
  </si>
  <si>
    <t>1700_4460</t>
  </si>
  <si>
    <t>1700_4660</t>
  </si>
  <si>
    <t>1700_4860</t>
  </si>
  <si>
    <t>1700_4A60</t>
  </si>
  <si>
    <t>1700_4C60</t>
  </si>
  <si>
    <t>1700_4E60</t>
  </si>
  <si>
    <t>1700_5060</t>
  </si>
  <si>
    <t>1700_5260</t>
  </si>
  <si>
    <t>1700_5460</t>
  </si>
  <si>
    <t>1700_5660</t>
  </si>
  <si>
    <t>1700_5860</t>
  </si>
  <si>
    <t>1700_5A60</t>
  </si>
  <si>
    <t>1700_5C60</t>
  </si>
  <si>
    <t>1700_5E60</t>
  </si>
  <si>
    <t>1700_6060</t>
  </si>
  <si>
    <t>1700_6260</t>
  </si>
  <si>
    <t>1700_6460</t>
  </si>
  <si>
    <t>1700_6660</t>
  </si>
  <si>
    <t>1700_6860</t>
  </si>
  <si>
    <t>1700_6A60</t>
  </si>
  <si>
    <t>1700_6C60</t>
  </si>
  <si>
    <t>1700_6E60</t>
  </si>
  <si>
    <t>1700_7060</t>
  </si>
  <si>
    <t>1700_7260</t>
  </si>
  <si>
    <t>1700_7460</t>
  </si>
  <si>
    <t>1700_7660</t>
  </si>
  <si>
    <t>1700_7860</t>
  </si>
  <si>
    <t>1700_7A60</t>
  </si>
  <si>
    <t>1700_7C60</t>
  </si>
  <si>
    <t>1700_7E60</t>
  </si>
  <si>
    <t>1700_0061</t>
  </si>
  <si>
    <t>1700_0261</t>
  </si>
  <si>
    <t>1700_0461</t>
  </si>
  <si>
    <t>1700_0661</t>
  </si>
  <si>
    <t>1700_0861</t>
  </si>
  <si>
    <t>1700_0A61</t>
  </si>
  <si>
    <t>1700_0C61</t>
  </si>
  <si>
    <t>1700_0E61</t>
  </si>
  <si>
    <t>1700_1061</t>
  </si>
  <si>
    <t>1700_1261</t>
  </si>
  <si>
    <t>1700_1461</t>
  </si>
  <si>
    <t>1700_1661</t>
  </si>
  <si>
    <t>1700_1861</t>
  </si>
  <si>
    <t>1700_1A61</t>
  </si>
  <si>
    <t>1700_1C61</t>
  </si>
  <si>
    <t>1700_1E61</t>
  </si>
  <si>
    <t>1700_2061</t>
  </si>
  <si>
    <t>1700_2261</t>
  </si>
  <si>
    <t>1700_2461</t>
  </si>
  <si>
    <t>1700_2661</t>
  </si>
  <si>
    <t>1700_2861</t>
  </si>
  <si>
    <t>1700_2A61</t>
  </si>
  <si>
    <t>1700_2C61</t>
  </si>
  <si>
    <t>1700_2E61</t>
  </si>
  <si>
    <t>1700_3061</t>
  </si>
  <si>
    <t>1700_3261</t>
  </si>
  <si>
    <t>1700_3461</t>
  </si>
  <si>
    <t>1700_3661</t>
  </si>
  <si>
    <t>1700_3861</t>
  </si>
  <si>
    <t>1700_3A61</t>
  </si>
  <si>
    <t>1700_3C61</t>
  </si>
  <si>
    <t>1700_3E61</t>
  </si>
  <si>
    <t>1700_4061</t>
  </si>
  <si>
    <t>1700_4261</t>
  </si>
  <si>
    <t>1700_4461</t>
  </si>
  <si>
    <t>1700_4661</t>
  </si>
  <si>
    <t>1700_4861</t>
  </si>
  <si>
    <t>1700_4A61</t>
  </si>
  <si>
    <t>1700_4C61</t>
  </si>
  <si>
    <t>1700_4E61</t>
  </si>
  <si>
    <t>1700_5061</t>
  </si>
  <si>
    <t>1700_5261</t>
  </si>
  <si>
    <t>1700_5461</t>
  </si>
  <si>
    <t>1700_5661</t>
  </si>
  <si>
    <t>1700_5861</t>
  </si>
  <si>
    <t>1700_5A61</t>
  </si>
  <si>
    <t>1700_5C61</t>
  </si>
  <si>
    <t>1700_5E61</t>
  </si>
  <si>
    <t>1700_6061</t>
  </si>
  <si>
    <t>1700_6261</t>
  </si>
  <si>
    <t>1700_6461</t>
  </si>
  <si>
    <t>1700_6661</t>
  </si>
  <si>
    <t>1700_6861</t>
  </si>
  <si>
    <t>1700_6A61</t>
  </si>
  <si>
    <t>1700_6C61</t>
  </si>
  <si>
    <t>1700_6E61</t>
  </si>
  <si>
    <t>1700_7061</t>
  </si>
  <si>
    <t>1700_7261</t>
  </si>
  <si>
    <t>1700_7461</t>
  </si>
  <si>
    <t>1700_7661</t>
  </si>
  <si>
    <t>1700_7861</t>
  </si>
  <si>
    <t>1700_7A61</t>
  </si>
  <si>
    <t>1700_7C61</t>
  </si>
  <si>
    <t>1700_7E61</t>
  </si>
  <si>
    <t>1700_0062</t>
  </si>
  <si>
    <t>1700_0262</t>
  </si>
  <si>
    <t>1700_0462</t>
  </si>
  <si>
    <t>1700_0662</t>
  </si>
  <si>
    <t>1700_0862</t>
  </si>
  <si>
    <t>1700_0A62</t>
  </si>
  <si>
    <t>1700_0C62</t>
  </si>
  <si>
    <t>1700_0E62</t>
  </si>
  <si>
    <t>1700_1062</t>
  </si>
  <si>
    <t>1700_1262</t>
  </si>
  <si>
    <t>1700_1462</t>
  </si>
  <si>
    <t>1700_1662</t>
  </si>
  <si>
    <t>1700_1862</t>
  </si>
  <si>
    <t>1700_1A62</t>
  </si>
  <si>
    <t>1700_1C62</t>
  </si>
  <si>
    <t>1700_1E62</t>
  </si>
  <si>
    <t>1700_2062</t>
  </si>
  <si>
    <t>1700_2262</t>
  </si>
  <si>
    <t>1700_2462</t>
  </si>
  <si>
    <t>1700_2662</t>
  </si>
  <si>
    <t>1700_2862</t>
  </si>
  <si>
    <t>1700_2A62</t>
  </si>
  <si>
    <t>1700_2C62</t>
  </si>
  <si>
    <t>1700_2E62</t>
  </si>
  <si>
    <t>1700_3062</t>
  </si>
  <si>
    <t>1700_3262</t>
  </si>
  <si>
    <t>1700_3462</t>
  </si>
  <si>
    <t>1700_3662</t>
  </si>
  <si>
    <t>1700_3862</t>
  </si>
  <si>
    <t>1700_3A62</t>
  </si>
  <si>
    <t>1700_3C62</t>
  </si>
  <si>
    <t>1700_3E62</t>
  </si>
  <si>
    <t>1700_4062</t>
  </si>
  <si>
    <t>1700_4262</t>
  </si>
  <si>
    <t>1700_4462</t>
  </si>
  <si>
    <t>1700_4662</t>
  </si>
  <si>
    <t>1700_4862</t>
  </si>
  <si>
    <t>1700_4A62</t>
  </si>
  <si>
    <t>1700_4C62</t>
  </si>
  <si>
    <t>1700_4E62</t>
  </si>
  <si>
    <t>1700_5062</t>
  </si>
  <si>
    <t>1700_5262</t>
  </si>
  <si>
    <t>1700_5462</t>
  </si>
  <si>
    <t>1700_5662</t>
  </si>
  <si>
    <t>1700_5862</t>
  </si>
  <si>
    <t>1700_5A62</t>
  </si>
  <si>
    <t>1700_5C62</t>
  </si>
  <si>
    <t>1700_5E62</t>
  </si>
  <si>
    <t>1700_6062</t>
  </si>
  <si>
    <t>1700_6262</t>
  </si>
  <si>
    <t>1700_6462</t>
  </si>
  <si>
    <t>1700_6662</t>
  </si>
  <si>
    <t>1700_6862</t>
  </si>
  <si>
    <t>1700_6A62</t>
  </si>
  <si>
    <t>1700_6C62</t>
  </si>
  <si>
    <t>1700_6E62</t>
  </si>
  <si>
    <t>1700_7062</t>
  </si>
  <si>
    <t>1700_7262</t>
  </si>
  <si>
    <t>1700_7462</t>
  </si>
  <si>
    <t>1700_7662</t>
  </si>
  <si>
    <t>1700_7862</t>
  </si>
  <si>
    <t>1700_7A62</t>
  </si>
  <si>
    <t>1700_7C62</t>
  </si>
  <si>
    <t>1700_7E62</t>
  </si>
  <si>
    <t>1700_0063</t>
  </si>
  <si>
    <t>1700_0263</t>
  </si>
  <si>
    <t>1700_0463</t>
  </si>
  <si>
    <t>1700_0663</t>
  </si>
  <si>
    <t>1700_0863</t>
  </si>
  <si>
    <t>1700_0A63</t>
  </si>
  <si>
    <t>1700_0C63</t>
  </si>
  <si>
    <t>1700_0E63</t>
  </si>
  <si>
    <t>1700_1063</t>
  </si>
  <si>
    <t>1700_1263</t>
  </si>
  <si>
    <t>1700_1463</t>
  </si>
  <si>
    <t>1700_1663</t>
  </si>
  <si>
    <t>1700_1863</t>
  </si>
  <si>
    <t>1700_1A63</t>
  </si>
  <si>
    <t>1700_1C63</t>
  </si>
  <si>
    <t>1700_1E63</t>
  </si>
  <si>
    <t>1700_2063</t>
  </si>
  <si>
    <t>1700_2263</t>
  </si>
  <si>
    <t>1700_2463</t>
  </si>
  <si>
    <t>1700_2663</t>
  </si>
  <si>
    <t>1700_2863</t>
  </si>
  <si>
    <t>1700_2A63</t>
  </si>
  <si>
    <t>1700_2C63</t>
  </si>
  <si>
    <t>1700_2E63</t>
  </si>
  <si>
    <t>1700_3063</t>
  </si>
  <si>
    <t>1700_3263</t>
  </si>
  <si>
    <t>1700_3463</t>
  </si>
  <si>
    <t>1700_3663</t>
  </si>
  <si>
    <t>1700_3863</t>
  </si>
  <si>
    <t>1700_3A63</t>
  </si>
  <si>
    <t>1700_3C63</t>
  </si>
  <si>
    <t>1700_3E63</t>
  </si>
  <si>
    <t>1700_4063</t>
  </si>
  <si>
    <t>1700_4263</t>
  </si>
  <si>
    <t>1700_4463</t>
  </si>
  <si>
    <t>1700_4663</t>
  </si>
  <si>
    <t>1700_4863</t>
  </si>
  <si>
    <t>1700_4A63</t>
  </si>
  <si>
    <t>1700_4C63</t>
  </si>
  <si>
    <t>1700_4E63</t>
  </si>
  <si>
    <t>1700_5063</t>
  </si>
  <si>
    <t>1700_5263</t>
  </si>
  <si>
    <t>1700_5463</t>
  </si>
  <si>
    <t>1700_5663</t>
  </si>
  <si>
    <t>1700_5863</t>
  </si>
  <si>
    <t>1700_5A63</t>
  </si>
  <si>
    <t>1700_5C63</t>
  </si>
  <si>
    <t>1700_5E63</t>
  </si>
  <si>
    <t>1700_6063</t>
  </si>
  <si>
    <t>1700_6263</t>
  </si>
  <si>
    <t>1700_6463</t>
  </si>
  <si>
    <t>1700_6663</t>
  </si>
  <si>
    <t>1700_6863</t>
  </si>
  <si>
    <t>1700_6A63</t>
  </si>
  <si>
    <t>1700_6C63</t>
  </si>
  <si>
    <t>1700_6E63</t>
  </si>
  <si>
    <t>1700_7063</t>
  </si>
  <si>
    <t>1700_7263</t>
  </si>
  <si>
    <t>1700_7463</t>
  </si>
  <si>
    <t>1700_7663</t>
  </si>
  <si>
    <t>1700_7863</t>
  </si>
  <si>
    <t>1700_7A63</t>
  </si>
  <si>
    <t>1700_7C63</t>
  </si>
  <si>
    <t>1700_7E63</t>
  </si>
  <si>
    <t>1700_0064</t>
  </si>
  <si>
    <t>1700_0264</t>
  </si>
  <si>
    <t>1700_0464</t>
  </si>
  <si>
    <t>1700_0664</t>
  </si>
  <si>
    <t>1700_0864</t>
  </si>
  <si>
    <t>1700_0A64</t>
  </si>
  <si>
    <t>1700_0C64</t>
  </si>
  <si>
    <t>1700_0E64</t>
  </si>
  <si>
    <t>1700_1064</t>
  </si>
  <si>
    <t>1700_1264</t>
  </si>
  <si>
    <t>1700_1464</t>
  </si>
  <si>
    <t>1700_1664</t>
  </si>
  <si>
    <t>1700_1864</t>
  </si>
  <si>
    <t>1700_1A64</t>
  </si>
  <si>
    <t>1700_1C64</t>
  </si>
  <si>
    <t>1700_1E64</t>
  </si>
  <si>
    <t>1700_2064</t>
  </si>
  <si>
    <t>1700_2264</t>
  </si>
  <si>
    <t>1700_2464</t>
  </si>
  <si>
    <t>1700_2664</t>
  </si>
  <si>
    <t>1700_2864</t>
  </si>
  <si>
    <t>1700_2A64</t>
  </si>
  <si>
    <t>1700_2C64</t>
  </si>
  <si>
    <t>1700_2E64</t>
  </si>
  <si>
    <t>1700_3064</t>
  </si>
  <si>
    <t>1700_3264</t>
  </si>
  <si>
    <t>1700_3464</t>
  </si>
  <si>
    <t>1700_3664</t>
  </si>
  <si>
    <t>1700_3864</t>
  </si>
  <si>
    <t>1700_3A64</t>
  </si>
  <si>
    <t>1700_3C64</t>
  </si>
  <si>
    <t>1700_3E64</t>
  </si>
  <si>
    <t>1700_4064</t>
  </si>
  <si>
    <t>1700_4264</t>
  </si>
  <si>
    <t>1700_4464</t>
  </si>
  <si>
    <t>1700_4664</t>
  </si>
  <si>
    <t>1700_4864</t>
  </si>
  <si>
    <t>1700_4A64</t>
  </si>
  <si>
    <t>1700_4C64</t>
  </si>
  <si>
    <t>1700_4E64</t>
  </si>
  <si>
    <t>1700_5064</t>
  </si>
  <si>
    <t>1700_5264</t>
  </si>
  <si>
    <t>1700_5464</t>
  </si>
  <si>
    <t>1700_5664</t>
  </si>
  <si>
    <t>1700_5864</t>
  </si>
  <si>
    <t>1700_5A64</t>
  </si>
  <si>
    <t>1700_5C64</t>
  </si>
  <si>
    <t>1700_5E64</t>
  </si>
  <si>
    <t>1700_6064</t>
  </si>
  <si>
    <t>1700_6264</t>
  </si>
  <si>
    <t>1700_6464</t>
  </si>
  <si>
    <t>1700_6664</t>
  </si>
  <si>
    <t>1700_6864</t>
  </si>
  <si>
    <t>1700_6A64</t>
  </si>
  <si>
    <t>1700_6C64</t>
  </si>
  <si>
    <t>1700_6E64</t>
  </si>
  <si>
    <t>1700_7064</t>
  </si>
  <si>
    <t>1700_7264</t>
  </si>
  <si>
    <t>1700_7464</t>
  </si>
  <si>
    <t>1700_7664</t>
  </si>
  <si>
    <t>1700_7864</t>
  </si>
  <si>
    <t>1700_7A64</t>
  </si>
  <si>
    <t>1700_7C64</t>
  </si>
  <si>
    <t>1700_7E64</t>
  </si>
  <si>
    <t>1700_0065</t>
  </si>
  <si>
    <t>1700_0265</t>
  </si>
  <si>
    <t>1700_0465</t>
  </si>
  <si>
    <t>1700_0665</t>
  </si>
  <si>
    <t>1700_0865</t>
  </si>
  <si>
    <t>1700_0A65</t>
  </si>
  <si>
    <t>1700_0C65</t>
  </si>
  <si>
    <t>1700_0E65</t>
  </si>
  <si>
    <t>1700_1065</t>
  </si>
  <si>
    <t>1700_1265</t>
  </si>
  <si>
    <t>1700_1465</t>
  </si>
  <si>
    <t>1700_1665</t>
  </si>
  <si>
    <t>1700_1865</t>
  </si>
  <si>
    <t>1700_1A65</t>
  </si>
  <si>
    <t>1700_1C65</t>
  </si>
  <si>
    <t>1700_1E65</t>
  </si>
  <si>
    <t>1700_2065</t>
  </si>
  <si>
    <t>1700_2265</t>
  </si>
  <si>
    <t>1700_2465</t>
  </si>
  <si>
    <t>1700_2665</t>
  </si>
  <si>
    <t>1700_2865</t>
  </si>
  <si>
    <t>1700_2A65</t>
  </si>
  <si>
    <t>1700_2C65</t>
  </si>
  <si>
    <t>1700_2E65</t>
  </si>
  <si>
    <t>1700_3065</t>
  </si>
  <si>
    <t>1700_3265</t>
  </si>
  <si>
    <t>1700_3465</t>
  </si>
  <si>
    <t>1700_3665</t>
  </si>
  <si>
    <t>1700_3865</t>
  </si>
  <si>
    <t>1700_3A65</t>
  </si>
  <si>
    <t>1700_3C65</t>
  </si>
  <si>
    <t>1700_3E65</t>
  </si>
  <si>
    <t>1700_4065</t>
  </si>
  <si>
    <t>1700_4265</t>
  </si>
  <si>
    <t>1700_4465</t>
  </si>
  <si>
    <t>1700_4665</t>
  </si>
  <si>
    <t>1700_4865</t>
  </si>
  <si>
    <t>1700_4A65</t>
  </si>
  <si>
    <t>1700_4C65</t>
  </si>
  <si>
    <t>1700_4E65</t>
  </si>
  <si>
    <t>1700_5065</t>
  </si>
  <si>
    <t>1700_5265</t>
  </si>
  <si>
    <t>1700_5465</t>
  </si>
  <si>
    <t>1700_5665</t>
  </si>
  <si>
    <t>1700_5865</t>
  </si>
  <si>
    <t>1700_5A65</t>
  </si>
  <si>
    <t>1700_5C65</t>
  </si>
  <si>
    <t>1700_5E65</t>
  </si>
  <si>
    <t>1700_6065</t>
  </si>
  <si>
    <t>1700_6265</t>
  </si>
  <si>
    <t>1700_6465</t>
  </si>
  <si>
    <t>1700_6665</t>
  </si>
  <si>
    <t>1700_6865</t>
  </si>
  <si>
    <t>1700_6A65</t>
  </si>
  <si>
    <t>1700_6C65</t>
  </si>
  <si>
    <t>1700_6E65</t>
  </si>
  <si>
    <t>1700_7065</t>
  </si>
  <si>
    <t>1700_7265</t>
  </si>
  <si>
    <t>1700_7465</t>
  </si>
  <si>
    <t>1700_7665</t>
  </si>
  <si>
    <t>1700_7865</t>
  </si>
  <si>
    <t>1700_7A65</t>
  </si>
  <si>
    <t>1700_7C65</t>
  </si>
  <si>
    <t>1700_7E65</t>
  </si>
  <si>
    <t>1700_0066</t>
  </si>
  <si>
    <t>1700_0266</t>
  </si>
  <si>
    <t>1700_0466</t>
  </si>
  <si>
    <t>1700_0666</t>
  </si>
  <si>
    <t>1700_0866</t>
  </si>
  <si>
    <t>1700_0A66</t>
  </si>
  <si>
    <t>1700_0C66</t>
  </si>
  <si>
    <t>1700_0E66</t>
  </si>
  <si>
    <t>1700_1066</t>
  </si>
  <si>
    <t>1700_1266</t>
  </si>
  <si>
    <t>1700_1466</t>
  </si>
  <si>
    <t>1700_1666</t>
  </si>
  <si>
    <t>1700_1866</t>
  </si>
  <si>
    <t>1700_1A66</t>
  </si>
  <si>
    <t>1700_1C66</t>
  </si>
  <si>
    <t>1700_1E66</t>
  </si>
  <si>
    <t>1700_2066</t>
  </si>
  <si>
    <t>1700_2266</t>
  </si>
  <si>
    <t>1700_2466</t>
  </si>
  <si>
    <t>1700_2666</t>
  </si>
  <si>
    <t>1700_2866</t>
  </si>
  <si>
    <t>1700_2A66</t>
  </si>
  <si>
    <t>1700_2C66</t>
  </si>
  <si>
    <t>1700_2E66</t>
  </si>
  <si>
    <t>1700_3066</t>
  </si>
  <si>
    <t>1700_3266</t>
  </si>
  <si>
    <t>1700_3466</t>
  </si>
  <si>
    <t>1700_3666</t>
  </si>
  <si>
    <t>1700_3866</t>
  </si>
  <si>
    <t>1700_3A66</t>
  </si>
  <si>
    <t>1700_3C66</t>
  </si>
  <si>
    <t>1700_3E66</t>
  </si>
  <si>
    <t>1700_4066</t>
  </si>
  <si>
    <t>1700_4266</t>
  </si>
  <si>
    <t>1700_4466</t>
  </si>
  <si>
    <t>1700_4666</t>
  </si>
  <si>
    <t>1700_4866</t>
  </si>
  <si>
    <t>1700_4A66</t>
  </si>
  <si>
    <t>1700_4C66</t>
  </si>
  <si>
    <t>1700_4E66</t>
  </si>
  <si>
    <t>1700_5066</t>
  </si>
  <si>
    <t>1700_5266</t>
  </si>
  <si>
    <t>1700_5466</t>
  </si>
  <si>
    <t>1700_5666</t>
  </si>
  <si>
    <t>1700_5866</t>
  </si>
  <si>
    <t>1700_5A66</t>
  </si>
  <si>
    <t>1700_5C66</t>
  </si>
  <si>
    <t>1700_5E66</t>
  </si>
  <si>
    <t>1700_6066</t>
  </si>
  <si>
    <t>1700_6266</t>
  </si>
  <si>
    <t>1700_6466</t>
  </si>
  <si>
    <t>1700_6666</t>
  </si>
  <si>
    <t>1700_6866</t>
  </si>
  <si>
    <t>1700_6A66</t>
  </si>
  <si>
    <t>1700_6C66</t>
  </si>
  <si>
    <t>1700_6E66</t>
  </si>
  <si>
    <t>1700_7066</t>
  </si>
  <si>
    <t>1700_7266</t>
  </si>
  <si>
    <t>1700_7466</t>
  </si>
  <si>
    <t>1700_7666</t>
  </si>
  <si>
    <t>1700_7866</t>
  </si>
  <si>
    <t>1700_7A66</t>
  </si>
  <si>
    <t>1700_7C66</t>
  </si>
  <si>
    <t>1700_7E66</t>
  </si>
  <si>
    <t>1700_0067</t>
  </si>
  <si>
    <t>1700_0267</t>
  </si>
  <si>
    <t>1700_0467</t>
  </si>
  <si>
    <t>1700_0667</t>
  </si>
  <si>
    <t>1700_0867</t>
  </si>
  <si>
    <t>1700_0A67</t>
  </si>
  <si>
    <t>1700_0C67</t>
  </si>
  <si>
    <t>1700_0E67</t>
  </si>
  <si>
    <t>1700_1067</t>
  </si>
  <si>
    <t>1700_1267</t>
  </si>
  <si>
    <t>1700_1467</t>
  </si>
  <si>
    <t>1700_1667</t>
  </si>
  <si>
    <t>1700_1867</t>
  </si>
  <si>
    <t>1700_1A67</t>
  </si>
  <si>
    <t>1700_1C67</t>
  </si>
  <si>
    <t>1700_1E67</t>
  </si>
  <si>
    <t>1700_2067</t>
  </si>
  <si>
    <t>1700_2267</t>
  </si>
  <si>
    <t>1700_2467</t>
  </si>
  <si>
    <t>1700_2667</t>
  </si>
  <si>
    <t>1700_2867</t>
  </si>
  <si>
    <t>1700_2A67</t>
  </si>
  <si>
    <t>1700_2C67</t>
  </si>
  <si>
    <t>1700_2E67</t>
  </si>
  <si>
    <t>1700_3067</t>
  </si>
  <si>
    <t>1700_3267</t>
  </si>
  <si>
    <t>1700_3467</t>
  </si>
  <si>
    <t>1700_3667</t>
  </si>
  <si>
    <t>1700_3867</t>
  </si>
  <si>
    <t>1700_3A67</t>
  </si>
  <si>
    <t>1700_3C67</t>
  </si>
  <si>
    <t>1700_3E67</t>
  </si>
  <si>
    <t>1700_4067</t>
  </si>
  <si>
    <t>1700_4267</t>
  </si>
  <si>
    <t>1700_4467</t>
  </si>
  <si>
    <t>1700_4667</t>
  </si>
  <si>
    <t>1700_4867</t>
  </si>
  <si>
    <t>1700_4A67</t>
  </si>
  <si>
    <t>1700_4C67</t>
  </si>
  <si>
    <t>1700_4E67</t>
  </si>
  <si>
    <t>1700_5067</t>
  </si>
  <si>
    <t>1700_5267</t>
  </si>
  <si>
    <t>1700_5467</t>
  </si>
  <si>
    <t>1700_5667</t>
  </si>
  <si>
    <t>1700_5867</t>
  </si>
  <si>
    <t>1700_5A67</t>
  </si>
  <si>
    <t>1700_5C67</t>
  </si>
  <si>
    <t>1700_5E67</t>
  </si>
  <si>
    <t>1700_6067</t>
  </si>
  <si>
    <t>1700_6267</t>
  </si>
  <si>
    <t>1700_6467</t>
  </si>
  <si>
    <t>1700_6667</t>
  </si>
  <si>
    <t>1700_6867</t>
  </si>
  <si>
    <t>1700_6A67</t>
  </si>
  <si>
    <t>1700_6C67</t>
  </si>
  <si>
    <t>1700_6E67</t>
  </si>
  <si>
    <t>1700_7067</t>
  </si>
  <si>
    <t>1700_7267</t>
  </si>
  <si>
    <t>1700_7467</t>
  </si>
  <si>
    <t>1700_7667</t>
  </si>
  <si>
    <t>1700_7867</t>
  </si>
  <si>
    <t>1700_7A67</t>
  </si>
  <si>
    <t>1700_7C67</t>
  </si>
  <si>
    <t>1700_7E67</t>
  </si>
  <si>
    <t>1700_0068</t>
  </si>
  <si>
    <t>1700_0268</t>
  </si>
  <si>
    <t>1700_0468</t>
  </si>
  <si>
    <t>1700_0668</t>
  </si>
  <si>
    <t>1700_0868</t>
  </si>
  <si>
    <t>1700_0A68</t>
  </si>
  <si>
    <t>1700_0C68</t>
  </si>
  <si>
    <t>1700_0E68</t>
  </si>
  <si>
    <t>1700_1068</t>
  </si>
  <si>
    <t>1700_1268</t>
  </si>
  <si>
    <t>1700_1468</t>
  </si>
  <si>
    <t>1700_1668</t>
  </si>
  <si>
    <t>1700_1868</t>
  </si>
  <si>
    <t>1700_1A68</t>
  </si>
  <si>
    <t>1700_1C68</t>
  </si>
  <si>
    <t>1700_1E68</t>
  </si>
  <si>
    <t>1700_2068</t>
  </si>
  <si>
    <t>1700_2268</t>
  </si>
  <si>
    <t>1700_2468</t>
  </si>
  <si>
    <t>1700_2668</t>
  </si>
  <si>
    <t>1700_2868</t>
  </si>
  <si>
    <t>1700_2A68</t>
  </si>
  <si>
    <t>1700_2C68</t>
  </si>
  <si>
    <t>1700_2E68</t>
  </si>
  <si>
    <t>1700_3068</t>
  </si>
  <si>
    <t>1700_3268</t>
  </si>
  <si>
    <t>1700_3468</t>
  </si>
  <si>
    <t>1700_3668</t>
  </si>
  <si>
    <t>1700_3868</t>
  </si>
  <si>
    <t>1700_3A68</t>
  </si>
  <si>
    <t>1700_3C68</t>
  </si>
  <si>
    <t>1700_3E68</t>
  </si>
  <si>
    <t>1700_4068</t>
  </si>
  <si>
    <t>1700_4268</t>
  </si>
  <si>
    <t>1700_4468</t>
  </si>
  <si>
    <t>1700_4668</t>
  </si>
  <si>
    <t>1700_4868</t>
  </si>
  <si>
    <t>1700_4A68</t>
  </si>
  <si>
    <t>1700_4C68</t>
  </si>
  <si>
    <t>1700_4E68</t>
  </si>
  <si>
    <t>1700_5068</t>
  </si>
  <si>
    <t>1700_5268</t>
  </si>
  <si>
    <t>1700_5468</t>
  </si>
  <si>
    <t>1700_5668</t>
  </si>
  <si>
    <t>1700_5868</t>
  </si>
  <si>
    <t>1700_5A68</t>
  </si>
  <si>
    <t>1700_5C68</t>
  </si>
  <si>
    <t>1700_5E68</t>
  </si>
  <si>
    <t>1700_6068</t>
  </si>
  <si>
    <t>1700_6268</t>
  </si>
  <si>
    <t>1700_6468</t>
  </si>
  <si>
    <t>1700_6668</t>
  </si>
  <si>
    <t>1700_6868</t>
  </si>
  <si>
    <t>1700_6A68</t>
  </si>
  <si>
    <t>1700_6C68</t>
  </si>
  <si>
    <t>1700_6E68</t>
  </si>
  <si>
    <t>1700_7068</t>
  </si>
  <si>
    <t>1700_7268</t>
  </si>
  <si>
    <t>1700_7468</t>
  </si>
  <si>
    <t>1700_7668</t>
  </si>
  <si>
    <t>1700_7868</t>
  </si>
  <si>
    <t>1700_7A68</t>
  </si>
  <si>
    <t>1700_7C68</t>
  </si>
  <si>
    <t>1700_7E68</t>
  </si>
  <si>
    <t>1700_0069</t>
  </si>
  <si>
    <t>1700_0269</t>
  </si>
  <si>
    <t>1700_0469</t>
  </si>
  <si>
    <t>1700_0669</t>
  </si>
  <si>
    <t>1700_0869</t>
  </si>
  <si>
    <t>1700_0A69</t>
  </si>
  <si>
    <t>1700_0C69</t>
  </si>
  <si>
    <t>1700_0E69</t>
  </si>
  <si>
    <t>1700_1069</t>
  </si>
  <si>
    <t>1700_1269</t>
  </si>
  <si>
    <t>1700_1469</t>
  </si>
  <si>
    <t>1700_1669</t>
  </si>
  <si>
    <t>1700_1869</t>
  </si>
  <si>
    <t>1700_1A69</t>
  </si>
  <si>
    <t>1700_1C69</t>
  </si>
  <si>
    <t>1700_1E69</t>
  </si>
  <si>
    <t>1700_2069</t>
  </si>
  <si>
    <t>1700_2269</t>
  </si>
  <si>
    <t>1700_2469</t>
  </si>
  <si>
    <t>1700_2669</t>
  </si>
  <si>
    <t>1700_2869</t>
  </si>
  <si>
    <t>1700_2A69</t>
  </si>
  <si>
    <t>1700_2C69</t>
  </si>
  <si>
    <t>1700_2E69</t>
  </si>
  <si>
    <t>1700_3069</t>
  </si>
  <si>
    <t>1700_3269</t>
  </si>
  <si>
    <t>1700_3469</t>
  </si>
  <si>
    <t>1700_3669</t>
  </si>
  <si>
    <t>1700_3869</t>
  </si>
  <si>
    <t>1700_3A69</t>
  </si>
  <si>
    <t>1700_3C69</t>
  </si>
  <si>
    <t>1700_3E69</t>
  </si>
  <si>
    <t>1700_4069</t>
  </si>
  <si>
    <t>1700_4269</t>
  </si>
  <si>
    <t>1700_4469</t>
  </si>
  <si>
    <t>1700_4669</t>
  </si>
  <si>
    <t>1700_4869</t>
  </si>
  <si>
    <t>1700_4A69</t>
  </si>
  <si>
    <t>1700_4C69</t>
  </si>
  <si>
    <t>1700_4E69</t>
  </si>
  <si>
    <t>1700_5069</t>
  </si>
  <si>
    <t>1700_5269</t>
  </si>
  <si>
    <t>1700_5469</t>
  </si>
  <si>
    <t>1700_5669</t>
  </si>
  <si>
    <t>1700_5869</t>
  </si>
  <si>
    <t>1700_5A69</t>
  </si>
  <si>
    <t>1700_5C69</t>
  </si>
  <si>
    <t>1700_5E69</t>
  </si>
  <si>
    <t>1700_6069</t>
  </si>
  <si>
    <t>1700_6269</t>
  </si>
  <si>
    <t>1700_6469</t>
  </si>
  <si>
    <t>1700_6669</t>
  </si>
  <si>
    <t>1700_6869</t>
  </si>
  <si>
    <t>1700_6A69</t>
  </si>
  <si>
    <t>1700_6C69</t>
  </si>
  <si>
    <t>1700_6E69</t>
  </si>
  <si>
    <t>1700_7069</t>
  </si>
  <si>
    <t>1700_7269</t>
  </si>
  <si>
    <t>1700_7469</t>
  </si>
  <si>
    <t>1700_7669</t>
  </si>
  <si>
    <t>1700_7869</t>
  </si>
  <si>
    <t>1700_7A69</t>
  </si>
  <si>
    <t>1700_7C69</t>
  </si>
  <si>
    <t>1700_7E69</t>
  </si>
  <si>
    <t>1700_006A</t>
  </si>
  <si>
    <t>1700_026A</t>
  </si>
  <si>
    <t>1700_046A</t>
  </si>
  <si>
    <t>1700_066A</t>
  </si>
  <si>
    <t>1700_086A</t>
  </si>
  <si>
    <t>1700_0A6A</t>
  </si>
  <si>
    <t>1700_0C6A</t>
  </si>
  <si>
    <t>1700_0E6A</t>
  </si>
  <si>
    <t>1700_106A</t>
  </si>
  <si>
    <t>1700_126A</t>
  </si>
  <si>
    <t>1700_146A</t>
  </si>
  <si>
    <t>1700_166A</t>
  </si>
  <si>
    <t>1700_186A</t>
  </si>
  <si>
    <t>1700_1A6A</t>
  </si>
  <si>
    <t>1700_1C6A</t>
  </si>
  <si>
    <t>1700_1E6A</t>
  </si>
  <si>
    <t>1700_206A</t>
  </si>
  <si>
    <t>1700_226A</t>
  </si>
  <si>
    <t>1700_246A</t>
  </si>
  <si>
    <t>1700_266A</t>
  </si>
  <si>
    <t>1700_286A</t>
  </si>
  <si>
    <t>1700_2A6A</t>
  </si>
  <si>
    <t>1700_2C6A</t>
  </si>
  <si>
    <t>1700_2E6A</t>
  </si>
  <si>
    <t>1700_306A</t>
  </si>
  <si>
    <t>1700_326A</t>
  </si>
  <si>
    <t>1700_346A</t>
  </si>
  <si>
    <t>1700_366A</t>
  </si>
  <si>
    <t>1700_386A</t>
  </si>
  <si>
    <t>1700_3A6A</t>
  </si>
  <si>
    <t>1700_3C6A</t>
  </si>
  <si>
    <t>1700_3E6A</t>
  </si>
  <si>
    <t>1700_406A</t>
  </si>
  <si>
    <t>1700_426A</t>
  </si>
  <si>
    <t>1700_446A</t>
  </si>
  <si>
    <t>1700_466A</t>
  </si>
  <si>
    <t>1700_486A</t>
  </si>
  <si>
    <t>1700_4A6A</t>
  </si>
  <si>
    <t>1700_4C6A</t>
  </si>
  <si>
    <t>1700_4E6A</t>
  </si>
  <si>
    <t>1700_506A</t>
  </si>
  <si>
    <t>1700_526A</t>
  </si>
  <si>
    <t>1700_546A</t>
  </si>
  <si>
    <t>1700_566A</t>
  </si>
  <si>
    <t>1700_586A</t>
  </si>
  <si>
    <t>1700_5A6A</t>
  </si>
  <si>
    <t>1700_5C6A</t>
  </si>
  <si>
    <t>1700_5E6A</t>
  </si>
  <si>
    <t>1700_606A</t>
  </si>
  <si>
    <t>1700_626A</t>
  </si>
  <si>
    <t>1700_646A</t>
  </si>
  <si>
    <t>1700_666A</t>
  </si>
  <si>
    <t>1700_686A</t>
  </si>
  <si>
    <t>1700_6A6A</t>
  </si>
  <si>
    <t>1700_6C6A</t>
  </si>
  <si>
    <t>1700_6E6A</t>
  </si>
  <si>
    <t>1700_706A</t>
  </si>
  <si>
    <t>1700_726A</t>
  </si>
  <si>
    <t>1700_746A</t>
  </si>
  <si>
    <t>1700_766A</t>
  </si>
  <si>
    <t>1700_786A</t>
  </si>
  <si>
    <t>1700_7A6A</t>
  </si>
  <si>
    <t>1700_7C6A</t>
  </si>
  <si>
    <t>1700_7E6A</t>
  </si>
  <si>
    <t>1700_006B</t>
  </si>
  <si>
    <t>1700_026B</t>
  </si>
  <si>
    <t>1700_046B</t>
  </si>
  <si>
    <t>1700_066B</t>
  </si>
  <si>
    <t>1700_086B</t>
  </si>
  <si>
    <t>1700_0A6B</t>
  </si>
  <si>
    <t>1700_0C6B</t>
  </si>
  <si>
    <t>1700_0E6B</t>
  </si>
  <si>
    <t>1700_106B</t>
  </si>
  <si>
    <t>1700_126B</t>
  </si>
  <si>
    <t>1700_146B</t>
  </si>
  <si>
    <t>1700_166B</t>
  </si>
  <si>
    <t>1700_186B</t>
  </si>
  <si>
    <t>1700_1A6B</t>
  </si>
  <si>
    <t>1700_1C6B</t>
  </si>
  <si>
    <t>1700_1E6B</t>
  </si>
  <si>
    <t>1700_206B</t>
  </si>
  <si>
    <t>1700_226B</t>
  </si>
  <si>
    <t>1700_246B</t>
  </si>
  <si>
    <t>1700_266B</t>
  </si>
  <si>
    <t>1700_286B</t>
  </si>
  <si>
    <t>1700_2A6B</t>
  </si>
  <si>
    <t>1700_2C6B</t>
  </si>
  <si>
    <t>1700_2E6B</t>
  </si>
  <si>
    <t>1700_306B</t>
  </si>
  <si>
    <t>1700_326B</t>
  </si>
  <si>
    <t>1700_346B</t>
  </si>
  <si>
    <t>1700_366B</t>
  </si>
  <si>
    <t>1700_386B</t>
  </si>
  <si>
    <t>1700_3A6B</t>
  </si>
  <si>
    <t>1700_3C6B</t>
  </si>
  <si>
    <t>1700_3E6B</t>
  </si>
  <si>
    <t>1700_406B</t>
  </si>
  <si>
    <t>1700_426B</t>
  </si>
  <si>
    <t>1700_446B</t>
  </si>
  <si>
    <t>1700_466B</t>
  </si>
  <si>
    <t>1700_486B</t>
  </si>
  <si>
    <t>1700_4A6B</t>
  </si>
  <si>
    <t>1700_4C6B</t>
  </si>
  <si>
    <t>1700_4E6B</t>
  </si>
  <si>
    <t>1700_506B</t>
  </si>
  <si>
    <t>1700_526B</t>
  </si>
  <si>
    <t>1700_546B</t>
  </si>
  <si>
    <t>1700_566B</t>
  </si>
  <si>
    <t>1700_586B</t>
  </si>
  <si>
    <t>1700_5A6B</t>
  </si>
  <si>
    <t>1700_5C6B</t>
  </si>
  <si>
    <t>1700_5E6B</t>
  </si>
  <si>
    <t>1700_606B</t>
  </si>
  <si>
    <t>1700_626B</t>
  </si>
  <si>
    <t>1700_646B</t>
  </si>
  <si>
    <t>1700_666B</t>
  </si>
  <si>
    <t>1700_686B</t>
  </si>
  <si>
    <t>1700_6A6B</t>
  </si>
  <si>
    <t>1700_6C6B</t>
  </si>
  <si>
    <t>1700_6E6B</t>
  </si>
  <si>
    <t>1700_706B</t>
  </si>
  <si>
    <t>1700_726B</t>
  </si>
  <si>
    <t>1700_746B</t>
  </si>
  <si>
    <t>1700_766B</t>
  </si>
  <si>
    <t>1700_786B</t>
  </si>
  <si>
    <t>1700_7A6B</t>
  </si>
  <si>
    <t>1700_7C6B</t>
  </si>
  <si>
    <t>1700_7E6B</t>
  </si>
  <si>
    <t>1700_006C</t>
  </si>
  <si>
    <t>1700_026C</t>
  </si>
  <si>
    <t>1700_046C</t>
  </si>
  <si>
    <t>1700_066C</t>
  </si>
  <si>
    <t>1700_086C</t>
  </si>
  <si>
    <t>1700_0A6C</t>
  </si>
  <si>
    <t>1700_0C6C</t>
  </si>
  <si>
    <t>1700_0E6C</t>
  </si>
  <si>
    <t>1700_106C</t>
  </si>
  <si>
    <t>1700_126C</t>
  </si>
  <si>
    <t>1700_146C</t>
  </si>
  <si>
    <t>1700_166C</t>
  </si>
  <si>
    <t>1700_186C</t>
  </si>
  <si>
    <t>1700_1A6C</t>
  </si>
  <si>
    <t>1700_1C6C</t>
  </si>
  <si>
    <t>1700_1E6C</t>
  </si>
  <si>
    <t>1700_206C</t>
  </si>
  <si>
    <t>1700_226C</t>
  </si>
  <si>
    <t>1700_246C</t>
  </si>
  <si>
    <t>1700_266C</t>
  </si>
  <si>
    <t>1700_286C</t>
  </si>
  <si>
    <t>1700_2A6C</t>
  </si>
  <si>
    <t>1700_2C6C</t>
  </si>
  <si>
    <t>1700_2E6C</t>
  </si>
  <si>
    <t>1700_306C</t>
  </si>
  <si>
    <t>1700_326C</t>
  </si>
  <si>
    <t>1700_346C</t>
  </si>
  <si>
    <t>1700_366C</t>
  </si>
  <si>
    <t>1700_386C</t>
  </si>
  <si>
    <t>1700_3A6C</t>
  </si>
  <si>
    <t>1700_3C6C</t>
  </si>
  <si>
    <t>1700_3E6C</t>
  </si>
  <si>
    <t>1700_406C</t>
  </si>
  <si>
    <t>1700_426C</t>
  </si>
  <si>
    <t>1700_446C</t>
  </si>
  <si>
    <t>1700_466C</t>
  </si>
  <si>
    <t>1700_486C</t>
  </si>
  <si>
    <t>1700_4A6C</t>
  </si>
  <si>
    <t>1700_4C6C</t>
  </si>
  <si>
    <t>1700_4E6C</t>
  </si>
  <si>
    <t>1700_506C</t>
  </si>
  <si>
    <t>1700_526C</t>
  </si>
  <si>
    <t>1700_546C</t>
  </si>
  <si>
    <t>1700_566C</t>
  </si>
  <si>
    <t>1700_586C</t>
  </si>
  <si>
    <t>1700_5A6C</t>
  </si>
  <si>
    <t>1700_5C6C</t>
  </si>
  <si>
    <t>1700_5E6C</t>
  </si>
  <si>
    <t>1700_606C</t>
  </si>
  <si>
    <t>1700_626C</t>
  </si>
  <si>
    <t>1700_646C</t>
  </si>
  <si>
    <t>1700_666C</t>
  </si>
  <si>
    <t>1700_686C</t>
  </si>
  <si>
    <t>1700_6A6C</t>
  </si>
  <si>
    <t>1700_6C6C</t>
  </si>
  <si>
    <t>1700_6E6C</t>
  </si>
  <si>
    <t>1700_706C</t>
  </si>
  <si>
    <t>1700_726C</t>
  </si>
  <si>
    <t>1700_746C</t>
  </si>
  <si>
    <t>1700_766C</t>
  </si>
  <si>
    <t>1700_786C</t>
  </si>
  <si>
    <t>1700_7A6C</t>
  </si>
  <si>
    <t>1700_7C6C</t>
  </si>
  <si>
    <t>1700_7E6C</t>
  </si>
  <si>
    <t>1700_006D</t>
  </si>
  <si>
    <t>1700_026D</t>
  </si>
  <si>
    <t>1700_046D</t>
  </si>
  <si>
    <t>1700_066D</t>
  </si>
  <si>
    <t>1700_086D</t>
  </si>
  <si>
    <t>1700_0A6D</t>
  </si>
  <si>
    <t>1700_0C6D</t>
  </si>
  <si>
    <t>1700_0E6D</t>
  </si>
  <si>
    <t>1700_106D</t>
  </si>
  <si>
    <t>1700_126D</t>
  </si>
  <si>
    <t>1700_146D</t>
  </si>
  <si>
    <t>1700_166D</t>
  </si>
  <si>
    <t>1700_186D</t>
  </si>
  <si>
    <t>1700_1A6D</t>
  </si>
  <si>
    <t>1700_1C6D</t>
  </si>
  <si>
    <t>1700_1E6D</t>
  </si>
  <si>
    <t>1700_206D</t>
  </si>
  <si>
    <t>1700_226D</t>
  </si>
  <si>
    <t>1700_246D</t>
  </si>
  <si>
    <t>1700_266D</t>
  </si>
  <si>
    <t>1700_286D</t>
  </si>
  <si>
    <t>1700_2A6D</t>
  </si>
  <si>
    <t>1700_2C6D</t>
  </si>
  <si>
    <t>1700_2E6D</t>
  </si>
  <si>
    <t>1700_306D</t>
  </si>
  <si>
    <t>1700_326D</t>
  </si>
  <si>
    <t>1700_346D</t>
  </si>
  <si>
    <t>1700_366D</t>
  </si>
  <si>
    <t>1700_386D</t>
  </si>
  <si>
    <t>1700_3A6D</t>
  </si>
  <si>
    <t>1700_3C6D</t>
  </si>
  <si>
    <t>1700_3E6D</t>
  </si>
  <si>
    <t>1700_406D</t>
  </si>
  <si>
    <t>1700_426D</t>
  </si>
  <si>
    <t>1700_446D</t>
  </si>
  <si>
    <t>1700_466D</t>
  </si>
  <si>
    <t>1700_486D</t>
  </si>
  <si>
    <t>1700_4A6D</t>
  </si>
  <si>
    <t>1700_4C6D</t>
  </si>
  <si>
    <t>1700_4E6D</t>
  </si>
  <si>
    <t>1700_506D</t>
  </si>
  <si>
    <t>1700_526D</t>
  </si>
  <si>
    <t>1700_546D</t>
  </si>
  <si>
    <t>1700_566D</t>
  </si>
  <si>
    <t>1700_586D</t>
  </si>
  <si>
    <t>1700_5A6D</t>
  </si>
  <si>
    <t>1700_5C6D</t>
  </si>
  <si>
    <t>1700_5E6D</t>
  </si>
  <si>
    <t>1700_606D</t>
  </si>
  <si>
    <t>1700_626D</t>
  </si>
  <si>
    <t>1700_646D</t>
  </si>
  <si>
    <t>1700_666D</t>
  </si>
  <si>
    <t>1700_686D</t>
  </si>
  <si>
    <t>1700_6A6D</t>
  </si>
  <si>
    <t>1700_6C6D</t>
  </si>
  <si>
    <t>1700_6E6D</t>
  </si>
  <si>
    <t>1700_706D</t>
  </si>
  <si>
    <t>1700_726D</t>
  </si>
  <si>
    <t>1700_746D</t>
  </si>
  <si>
    <t>1700_766D</t>
  </si>
  <si>
    <t>1700_786D</t>
  </si>
  <si>
    <t>1700_7A6D</t>
  </si>
  <si>
    <t>1700_7C6D</t>
  </si>
  <si>
    <t>1700_7E6D</t>
  </si>
  <si>
    <t>1700_006E</t>
  </si>
  <si>
    <t>1700_026E</t>
  </si>
  <si>
    <t>1700_046E</t>
  </si>
  <si>
    <t>1700_066E</t>
  </si>
  <si>
    <t>1700_086E</t>
  </si>
  <si>
    <t>1700_0A6E</t>
  </si>
  <si>
    <t>1700_0C6E</t>
  </si>
  <si>
    <t>1700_0E6E</t>
  </si>
  <si>
    <t>1700_106E</t>
  </si>
  <si>
    <t>1700_126E</t>
  </si>
  <si>
    <t>1700_146E</t>
  </si>
  <si>
    <t>1700_166E</t>
  </si>
  <si>
    <t>1700_186E</t>
  </si>
  <si>
    <t>1700_1A6E</t>
  </si>
  <si>
    <t>1700_1C6E</t>
  </si>
  <si>
    <t>1700_1E6E</t>
  </si>
  <si>
    <t>1700_206E</t>
  </si>
  <si>
    <t>1700_226E</t>
  </si>
  <si>
    <t>1700_246E</t>
  </si>
  <si>
    <t>1700_266E</t>
  </si>
  <si>
    <t>1700_286E</t>
  </si>
  <si>
    <t>1700_2A6E</t>
  </si>
  <si>
    <t>1700_2C6E</t>
  </si>
  <si>
    <t>1700_2E6E</t>
  </si>
  <si>
    <t>1700_306E</t>
  </si>
  <si>
    <t>1700_326E</t>
  </si>
  <si>
    <t>1700_346E</t>
  </si>
  <si>
    <t>1700_366E</t>
  </si>
  <si>
    <t>1700_386E</t>
  </si>
  <si>
    <t>1700_3A6E</t>
  </si>
  <si>
    <t>1700_3C6E</t>
  </si>
  <si>
    <t>1700_3E6E</t>
  </si>
  <si>
    <t>1700_406E</t>
  </si>
  <si>
    <t>1700_426E</t>
  </si>
  <si>
    <t>1700_446E</t>
  </si>
  <si>
    <t>1700_466E</t>
  </si>
  <si>
    <t>1700_486E</t>
  </si>
  <si>
    <t>1700_4A6E</t>
  </si>
  <si>
    <t>1700_4C6E</t>
  </si>
  <si>
    <t>1700_4E6E</t>
  </si>
  <si>
    <t>1700_506E</t>
  </si>
  <si>
    <t>1700_526E</t>
  </si>
  <si>
    <t>1700_546E</t>
  </si>
  <si>
    <t>1700_566E</t>
  </si>
  <si>
    <t>1700_586E</t>
  </si>
  <si>
    <t>1700_5A6E</t>
  </si>
  <si>
    <t>1700_5C6E</t>
  </si>
  <si>
    <t>1700_5E6E</t>
  </si>
  <si>
    <t>1700_606E</t>
  </si>
  <si>
    <t>1700_626E</t>
  </si>
  <si>
    <t>1700_646E</t>
  </si>
  <si>
    <t>1700_666E</t>
  </si>
  <si>
    <t>1700_686E</t>
  </si>
  <si>
    <t>1700_6A6E</t>
  </si>
  <si>
    <t>1700_6C6E</t>
  </si>
  <si>
    <t>1700_6E6E</t>
  </si>
  <si>
    <t>1700_706E</t>
  </si>
  <si>
    <t>1700_726E</t>
  </si>
  <si>
    <t>1700_746E</t>
  </si>
  <si>
    <t>1700_766E</t>
  </si>
  <si>
    <t>1700_786E</t>
  </si>
  <si>
    <t>1700_7A6E</t>
  </si>
  <si>
    <t>1700_7C6E</t>
  </si>
  <si>
    <t>1700_7E6E</t>
  </si>
  <si>
    <t>1700_006F</t>
  </si>
  <si>
    <t>1700_026F</t>
  </si>
  <si>
    <t>1700_046F</t>
  </si>
  <si>
    <t>1700_066F</t>
  </si>
  <si>
    <t>1700_086F</t>
  </si>
  <si>
    <t>1700_0A6F</t>
  </si>
  <si>
    <t>1700_0C6F</t>
  </si>
  <si>
    <t>1700_0E6F</t>
  </si>
  <si>
    <t>1700_106F</t>
  </si>
  <si>
    <t>1700_126F</t>
  </si>
  <si>
    <t>1700_146F</t>
  </si>
  <si>
    <t>1700_166F</t>
  </si>
  <si>
    <t>1700_186F</t>
  </si>
  <si>
    <t>1700_1A6F</t>
  </si>
  <si>
    <t>1700_1C6F</t>
  </si>
  <si>
    <t>1700_1E6F</t>
  </si>
  <si>
    <t>1700_206F</t>
  </si>
  <si>
    <t>1700_226F</t>
  </si>
  <si>
    <t>1700_246F</t>
  </si>
  <si>
    <t>1700_266F</t>
  </si>
  <si>
    <t>1700_286F</t>
  </si>
  <si>
    <t>1700_2A6F</t>
  </si>
  <si>
    <t>1700_2C6F</t>
  </si>
  <si>
    <t>1700_2E6F</t>
  </si>
  <si>
    <t>1700_306F</t>
  </si>
  <si>
    <t>1700_326F</t>
  </si>
  <si>
    <t>1700_346F</t>
  </si>
  <si>
    <t>1700_366F</t>
  </si>
  <si>
    <t>1700_386F</t>
  </si>
  <si>
    <t>1700_3A6F</t>
  </si>
  <si>
    <t>1700_3C6F</t>
  </si>
  <si>
    <t>1700_3E6F</t>
  </si>
  <si>
    <t>1700_406F</t>
  </si>
  <si>
    <t>1700_426F</t>
  </si>
  <si>
    <t>1700_446F</t>
  </si>
  <si>
    <t>1700_466F</t>
  </si>
  <si>
    <t>1700_486F</t>
  </si>
  <si>
    <t>1700_4A6F</t>
  </si>
  <si>
    <t>1700_4C6F</t>
  </si>
  <si>
    <t>1700_4E6F</t>
  </si>
  <si>
    <t>1700_506F</t>
  </si>
  <si>
    <t>1700_526F</t>
  </si>
  <si>
    <t>1700_546F</t>
  </si>
  <si>
    <t>1700_566F</t>
  </si>
  <si>
    <t>1700_586F</t>
  </si>
  <si>
    <t>1700_5A6F</t>
  </si>
  <si>
    <t>1700_5C6F</t>
  </si>
  <si>
    <t>1700_5E6F</t>
  </si>
  <si>
    <t>1700_606F</t>
  </si>
  <si>
    <t>1700_626F</t>
  </si>
  <si>
    <t>1700_646F</t>
  </si>
  <si>
    <t>1700_666F</t>
  </si>
  <si>
    <t>1700_686F</t>
  </si>
  <si>
    <t>1700_6A6F</t>
  </si>
  <si>
    <t>1700_6C6F</t>
  </si>
  <si>
    <t>1700_6E6F</t>
  </si>
  <si>
    <t>1700_706F</t>
  </si>
  <si>
    <t>1700_726F</t>
  </si>
  <si>
    <t>1700_746F</t>
  </si>
  <si>
    <t>1700_766F</t>
  </si>
  <si>
    <t>1700_786F</t>
  </si>
  <si>
    <t>1700_7A6F</t>
  </si>
  <si>
    <t>1700_7C6F</t>
  </si>
  <si>
    <t>1700_7E6F</t>
  </si>
  <si>
    <t>1700_0070</t>
  </si>
  <si>
    <t>1700_0270</t>
  </si>
  <si>
    <t>1700_0470</t>
  </si>
  <si>
    <t>1700_0670</t>
  </si>
  <si>
    <t>1700_0870</t>
  </si>
  <si>
    <t>1700_0A70</t>
  </si>
  <si>
    <t>1700_0C70</t>
  </si>
  <si>
    <t>1700_0E70</t>
  </si>
  <si>
    <t>1700_1070</t>
  </si>
  <si>
    <t>1700_1270</t>
  </si>
  <si>
    <t>1700_1470</t>
  </si>
  <si>
    <t>1700_1670</t>
  </si>
  <si>
    <t>1700_1870</t>
  </si>
  <si>
    <t>1700_1A70</t>
  </si>
  <si>
    <t>1700_1C70</t>
  </si>
  <si>
    <t>1700_1E70</t>
  </si>
  <si>
    <t>1700_2070</t>
  </si>
  <si>
    <t>1700_2270</t>
  </si>
  <si>
    <t>1700_2470</t>
  </si>
  <si>
    <t>1700_2670</t>
  </si>
  <si>
    <t>1700_2870</t>
  </si>
  <si>
    <t>1700_2A70</t>
  </si>
  <si>
    <t>1700_2C70</t>
  </si>
  <si>
    <t>1700_2E70</t>
  </si>
  <si>
    <t>1700_3070</t>
  </si>
  <si>
    <t>1700_3270</t>
  </si>
  <si>
    <t>1700_3470</t>
  </si>
  <si>
    <t>1700_3670</t>
  </si>
  <si>
    <t>1700_3870</t>
  </si>
  <si>
    <t>1700_3A70</t>
  </si>
  <si>
    <t>1700_3C70</t>
  </si>
  <si>
    <t>1700_3E70</t>
  </si>
  <si>
    <t>1700_4070</t>
  </si>
  <si>
    <t>1700_4270</t>
  </si>
  <si>
    <t>1700_4470</t>
  </si>
  <si>
    <t>1700_4670</t>
  </si>
  <si>
    <t>1700_4870</t>
  </si>
  <si>
    <t>1700_4A70</t>
  </si>
  <si>
    <t>1700_4C70</t>
  </si>
  <si>
    <t>1700_4E70</t>
  </si>
  <si>
    <t>1700_5070</t>
  </si>
  <si>
    <t>1700_5270</t>
  </si>
  <si>
    <t>1700_5470</t>
  </si>
  <si>
    <t>1700_5670</t>
  </si>
  <si>
    <t>1700_5870</t>
  </si>
  <si>
    <t>1700_5A70</t>
  </si>
  <si>
    <t>1700_5C70</t>
  </si>
  <si>
    <t>1700_5E70</t>
  </si>
  <si>
    <t>1700_6070</t>
  </si>
  <si>
    <t>1700_6270</t>
  </si>
  <si>
    <t>1700_6470</t>
  </si>
  <si>
    <t>1700_6670</t>
  </si>
  <si>
    <t>1700_6870</t>
  </si>
  <si>
    <t>1700_6A70</t>
  </si>
  <si>
    <t>1700_6C70</t>
  </si>
  <si>
    <t>1700_6E70</t>
  </si>
  <si>
    <t>1700_7070</t>
  </si>
  <si>
    <t>1700_7270</t>
  </si>
  <si>
    <t>1700_7470</t>
  </si>
  <si>
    <t>1700_7670</t>
  </si>
  <si>
    <t>1700_7870</t>
  </si>
  <si>
    <t>1700_7A70</t>
  </si>
  <si>
    <t>1700_7C70</t>
  </si>
  <si>
    <t>1700_7E70</t>
  </si>
  <si>
    <t>1700_0071</t>
  </si>
  <si>
    <t>1700_0271</t>
  </si>
  <si>
    <t>1700_0471</t>
  </si>
  <si>
    <t>1700_0671</t>
  </si>
  <si>
    <t>1700_0871</t>
  </si>
  <si>
    <t>1700_0A71</t>
  </si>
  <si>
    <t>1700_0C71</t>
  </si>
  <si>
    <t>1700_0E71</t>
  </si>
  <si>
    <t>1700_1071</t>
  </si>
  <si>
    <t>1700_1271</t>
  </si>
  <si>
    <t>1700_1471</t>
  </si>
  <si>
    <t>1700_1671</t>
  </si>
  <si>
    <t>1700_1871</t>
  </si>
  <si>
    <t>1700_1A71</t>
  </si>
  <si>
    <t>1700_1C71</t>
  </si>
  <si>
    <t>1700_1E71</t>
  </si>
  <si>
    <t>1700_2071</t>
  </si>
  <si>
    <t>1700_2271</t>
  </si>
  <si>
    <t>1700_2471</t>
  </si>
  <si>
    <t>1700_2671</t>
  </si>
  <si>
    <t>1700_2871</t>
  </si>
  <si>
    <t>1700_2A71</t>
  </si>
  <si>
    <t>1700_2C71</t>
  </si>
  <si>
    <t>1700_2E71</t>
  </si>
  <si>
    <t>1700_3071</t>
  </si>
  <si>
    <t>1700_3271</t>
  </si>
  <si>
    <t>1700_3471</t>
  </si>
  <si>
    <t>1700_3671</t>
  </si>
  <si>
    <t>1700_3871</t>
  </si>
  <si>
    <t>1700_3A71</t>
  </si>
  <si>
    <t>1700_3C71</t>
  </si>
  <si>
    <t>1700_3E71</t>
  </si>
  <si>
    <t>1700_4071</t>
  </si>
  <si>
    <t>1700_4271</t>
  </si>
  <si>
    <t>1700_4471</t>
  </si>
  <si>
    <t>1700_4671</t>
  </si>
  <si>
    <t>1700_4871</t>
  </si>
  <si>
    <t>1700_4A71</t>
  </si>
  <si>
    <t>1700_4C71</t>
  </si>
  <si>
    <t>1700_4E71</t>
  </si>
  <si>
    <t>1700_5071</t>
  </si>
  <si>
    <t>1700_5271</t>
  </si>
  <si>
    <t>1700_5471</t>
  </si>
  <si>
    <t>1700_5671</t>
  </si>
  <si>
    <t>1700_5871</t>
  </si>
  <si>
    <t>1700_5A71</t>
  </si>
  <si>
    <t>1700_5C71</t>
  </si>
  <si>
    <t>1700_5E71</t>
  </si>
  <si>
    <t>1700_6071</t>
  </si>
  <si>
    <t>1700_6271</t>
  </si>
  <si>
    <t>1700_6471</t>
  </si>
  <si>
    <t>1700_6671</t>
  </si>
  <si>
    <t>1700_6871</t>
  </si>
  <si>
    <t>1700_6A71</t>
  </si>
  <si>
    <t>1700_6C71</t>
  </si>
  <si>
    <t>1700_6E71</t>
  </si>
  <si>
    <t>1700_7071</t>
  </si>
  <si>
    <t>1700_7271</t>
  </si>
  <si>
    <t>1700_7471</t>
  </si>
  <si>
    <t>1700_7671</t>
  </si>
  <si>
    <t>1700_7871</t>
  </si>
  <si>
    <t>1700_7A71</t>
  </si>
  <si>
    <t>1700_7C71</t>
  </si>
  <si>
    <t>1700_7E71</t>
  </si>
  <si>
    <t>1700_0072</t>
  </si>
  <si>
    <t>1700_0272</t>
  </si>
  <si>
    <t>1700_0472</t>
  </si>
  <si>
    <t>1700_0672</t>
  </si>
  <si>
    <t>1700_0872</t>
  </si>
  <si>
    <t>1700_0A72</t>
  </si>
  <si>
    <t>1700_0C72</t>
  </si>
  <si>
    <t>1700_0E72</t>
  </si>
  <si>
    <t>1700_1072</t>
  </si>
  <si>
    <t>1700_1272</t>
  </si>
  <si>
    <t>1700_1472</t>
  </si>
  <si>
    <t>1700_1672</t>
  </si>
  <si>
    <t>1700_1872</t>
  </si>
  <si>
    <t>1700_1A72</t>
  </si>
  <si>
    <t>1700_1C72</t>
  </si>
  <si>
    <t>1700_1E72</t>
  </si>
  <si>
    <t>1700_2072</t>
  </si>
  <si>
    <t>1700_2272</t>
  </si>
  <si>
    <t>1700_2472</t>
  </si>
  <si>
    <t>1700_2672</t>
  </si>
  <si>
    <t>1700_2872</t>
  </si>
  <si>
    <t>1700_2A72</t>
  </si>
  <si>
    <t>1700_2C72</t>
  </si>
  <si>
    <t>1700_2E72</t>
  </si>
  <si>
    <t>1700_3072</t>
  </si>
  <si>
    <t>1700_3272</t>
  </si>
  <si>
    <t>1700_3472</t>
  </si>
  <si>
    <t>1700_3672</t>
  </si>
  <si>
    <t>1700_3872</t>
  </si>
  <si>
    <t>1700_3A72</t>
  </si>
  <si>
    <t>1700_3C72</t>
  </si>
  <si>
    <t>1700_3E72</t>
  </si>
  <si>
    <t>1700_4072</t>
  </si>
  <si>
    <t>1700_4272</t>
  </si>
  <si>
    <t>1700_4472</t>
  </si>
  <si>
    <t>1700_4672</t>
  </si>
  <si>
    <t>1700_4872</t>
  </si>
  <si>
    <t>1700_4A72</t>
  </si>
  <si>
    <t>1700_4C72</t>
  </si>
  <si>
    <t>1700_4E72</t>
  </si>
  <si>
    <t>1700_5072</t>
  </si>
  <si>
    <t>1700_5272</t>
  </si>
  <si>
    <t>1700_5472</t>
  </si>
  <si>
    <t>1700_5672</t>
  </si>
  <si>
    <t>1700_5872</t>
  </si>
  <si>
    <t>1700_5A72</t>
  </si>
  <si>
    <t>1700_5C72</t>
  </si>
  <si>
    <t>1700_5E72</t>
  </si>
  <si>
    <t>1700_6072</t>
  </si>
  <si>
    <t>1700_6272</t>
  </si>
  <si>
    <t>1700_6472</t>
  </si>
  <si>
    <t>1700_6672</t>
  </si>
  <si>
    <t>1700_6872</t>
  </si>
  <si>
    <t>1700_6A72</t>
  </si>
  <si>
    <t>1700_6C72</t>
  </si>
  <si>
    <t>1700_6E72</t>
  </si>
  <si>
    <t>1700_7072</t>
  </si>
  <si>
    <t>1700_7272</t>
  </si>
  <si>
    <t>1700_7472</t>
  </si>
  <si>
    <t>1700_7672</t>
  </si>
  <si>
    <t>1700_7872</t>
  </si>
  <si>
    <t>1700_7A72</t>
  </si>
  <si>
    <t>1700_7C72</t>
  </si>
  <si>
    <t>1700_7E72</t>
  </si>
  <si>
    <t>1700_0073</t>
  </si>
  <si>
    <t>1700_0273</t>
  </si>
  <si>
    <t>1700_0473</t>
  </si>
  <si>
    <t>1700_0673</t>
  </si>
  <si>
    <t>1700_0873</t>
  </si>
  <si>
    <t>1700_0A73</t>
  </si>
  <si>
    <t>1700_0C73</t>
  </si>
  <si>
    <t>1700_0E73</t>
  </si>
  <si>
    <t>1700_1073</t>
  </si>
  <si>
    <t>1700_1273</t>
  </si>
  <si>
    <t>1700_1473</t>
  </si>
  <si>
    <t>1700_1673</t>
  </si>
  <si>
    <t>1700_1873</t>
  </si>
  <si>
    <t>1700_1A73</t>
  </si>
  <si>
    <t>1700_1C73</t>
  </si>
  <si>
    <t>1700_1E73</t>
  </si>
  <si>
    <t>1700_2073</t>
  </si>
  <si>
    <t>1700_2273</t>
  </si>
  <si>
    <t>1700_2473</t>
  </si>
  <si>
    <t>1700_2673</t>
  </si>
  <si>
    <t>1700_2873</t>
  </si>
  <si>
    <t>1700_2A73</t>
  </si>
  <si>
    <t>1700_2C73</t>
  </si>
  <si>
    <t>1700_2E73</t>
  </si>
  <si>
    <t>1700_3073</t>
  </si>
  <si>
    <t>1700_3273</t>
  </si>
  <si>
    <t>1700_3473</t>
  </si>
  <si>
    <t>1700_3673</t>
  </si>
  <si>
    <t>1700_3873</t>
  </si>
  <si>
    <t>1700_3A73</t>
  </si>
  <si>
    <t>1700_3C73</t>
  </si>
  <si>
    <t>1700_3E73</t>
  </si>
  <si>
    <t>1700_4073</t>
  </si>
  <si>
    <t>1700_4273</t>
  </si>
  <si>
    <t>1700_4473</t>
  </si>
  <si>
    <t>1700_4673</t>
  </si>
  <si>
    <t>1700_4873</t>
  </si>
  <si>
    <t>1700_4A73</t>
  </si>
  <si>
    <t>1700_4C73</t>
  </si>
  <si>
    <t>1700_4E73</t>
  </si>
  <si>
    <t>1700_5073</t>
  </si>
  <si>
    <t>1700_5273</t>
  </si>
  <si>
    <t>1700_5473</t>
  </si>
  <si>
    <t>1700_5673</t>
  </si>
  <si>
    <t>1700_5873</t>
  </si>
  <si>
    <t>1700_5A73</t>
  </si>
  <si>
    <t>1700_5C73</t>
  </si>
  <si>
    <t>1700_5E73</t>
  </si>
  <si>
    <t>1700_6073</t>
  </si>
  <si>
    <t>1700_6273</t>
  </si>
  <si>
    <t>1700_6473</t>
  </si>
  <si>
    <t>1700_6673</t>
  </si>
  <si>
    <t>1700_6873</t>
  </si>
  <si>
    <t>1700_6A73</t>
  </si>
  <si>
    <t>1700_6C73</t>
  </si>
  <si>
    <t>1700_6E73</t>
  </si>
  <si>
    <t>1700_7073</t>
  </si>
  <si>
    <t>1700_7273</t>
  </si>
  <si>
    <t>1700_7473</t>
  </si>
  <si>
    <t>1700_7673</t>
  </si>
  <si>
    <t>1700_7873</t>
  </si>
  <si>
    <t>1700_7A73</t>
  </si>
  <si>
    <t>1700_7C73</t>
  </si>
  <si>
    <t>1700_7E73</t>
  </si>
  <si>
    <t>1700_0074</t>
  </si>
  <si>
    <t>1700_0274</t>
  </si>
  <si>
    <t>1700_0474</t>
  </si>
  <si>
    <t>1700_0674</t>
  </si>
  <si>
    <t>1700_0874</t>
  </si>
  <si>
    <t>1700_0A74</t>
  </si>
  <si>
    <t>1700_0C74</t>
  </si>
  <si>
    <t>1700_0E74</t>
  </si>
  <si>
    <t>1700_1074</t>
  </si>
  <si>
    <t>1700_1274</t>
  </si>
  <si>
    <t>1700_1474</t>
  </si>
  <si>
    <t>1700_1674</t>
  </si>
  <si>
    <t>1700_1874</t>
  </si>
  <si>
    <t>1700_1A74</t>
  </si>
  <si>
    <t>1700_1C74</t>
  </si>
  <si>
    <t>1700_1E74</t>
  </si>
  <si>
    <t>1700_2074</t>
  </si>
  <si>
    <t>1700_2274</t>
  </si>
  <si>
    <t>1700_2474</t>
  </si>
  <si>
    <t>1700_2674</t>
  </si>
  <si>
    <t>1700_2874</t>
  </si>
  <si>
    <t>1700_2A74</t>
  </si>
  <si>
    <t>1700_2C74</t>
  </si>
  <si>
    <t>1700_2E74</t>
  </si>
  <si>
    <t>1700_3074</t>
  </si>
  <si>
    <t>1700_3274</t>
  </si>
  <si>
    <t>1700_3474</t>
  </si>
  <si>
    <t>1700_3674</t>
  </si>
  <si>
    <t>1700_3874</t>
  </si>
  <si>
    <t>1700_3A74</t>
  </si>
  <si>
    <t>1700_3C74</t>
  </si>
  <si>
    <t>1700_3E74</t>
  </si>
  <si>
    <t>1700_4074</t>
  </si>
  <si>
    <t>1700_4274</t>
  </si>
  <si>
    <t>1700_4474</t>
  </si>
  <si>
    <t>1700_4674</t>
  </si>
  <si>
    <t>1700_4874</t>
  </si>
  <si>
    <t>1700_4A74</t>
  </si>
  <si>
    <t>1700_4C74</t>
  </si>
  <si>
    <t>1700_4E74</t>
  </si>
  <si>
    <t>1700_5074</t>
  </si>
  <si>
    <t>1700_5274</t>
  </si>
  <si>
    <t>1700_5474</t>
  </si>
  <si>
    <t>1700_5674</t>
  </si>
  <si>
    <t>1700_5874</t>
  </si>
  <si>
    <t>1700_5A74</t>
  </si>
  <si>
    <t>1700_5C74</t>
  </si>
  <si>
    <t>1700_5E74</t>
  </si>
  <si>
    <t>1700_6074</t>
  </si>
  <si>
    <t>1700_6274</t>
  </si>
  <si>
    <t>1700_6474</t>
  </si>
  <si>
    <t>1700_6674</t>
  </si>
  <si>
    <t>1700_6874</t>
  </si>
  <si>
    <t>1700_6A74</t>
  </si>
  <si>
    <t>1700_6C74</t>
  </si>
  <si>
    <t>1700_6E74</t>
  </si>
  <si>
    <t>1700_7074</t>
  </si>
  <si>
    <t>1700_7274</t>
  </si>
  <si>
    <t>1700_7474</t>
  </si>
  <si>
    <t>1700_7674</t>
  </si>
  <si>
    <t>1700_7874</t>
  </si>
  <si>
    <t>1700_7A74</t>
  </si>
  <si>
    <t>1700_7C74</t>
  </si>
  <si>
    <t>1700_7E74</t>
  </si>
  <si>
    <t>1700_0075</t>
  </si>
  <si>
    <t>1700_0275</t>
  </si>
  <si>
    <t>1700_0475</t>
  </si>
  <si>
    <t>1700_0675</t>
  </si>
  <si>
    <t>1700_0875</t>
  </si>
  <si>
    <t>1700_0A75</t>
  </si>
  <si>
    <t>1700_0C75</t>
  </si>
  <si>
    <t>1700_0E75</t>
  </si>
  <si>
    <t>1700_1075</t>
  </si>
  <si>
    <t>1700_1275</t>
  </si>
  <si>
    <t>1700_1475</t>
  </si>
  <si>
    <t>1700_1675</t>
  </si>
  <si>
    <t>1700_1875</t>
  </si>
  <si>
    <t>1700_1A75</t>
  </si>
  <si>
    <t>1700_1C75</t>
  </si>
  <si>
    <t>1700_1E75</t>
  </si>
  <si>
    <t>1700_2075</t>
  </si>
  <si>
    <t>1700_2275</t>
  </si>
  <si>
    <t>1700_2475</t>
  </si>
  <si>
    <t>1700_2675</t>
  </si>
  <si>
    <t>1700_2875</t>
  </si>
  <si>
    <t>1700_2A75</t>
  </si>
  <si>
    <t>1700_2C75</t>
  </si>
  <si>
    <t>1700_2E75</t>
  </si>
  <si>
    <t>1700_3075</t>
  </si>
  <si>
    <t>1700_3275</t>
  </si>
  <si>
    <t>1700_3475</t>
  </si>
  <si>
    <t>1700_3675</t>
  </si>
  <si>
    <t>1700_3875</t>
  </si>
  <si>
    <t>1700_3A75</t>
  </si>
  <si>
    <t>1700_3C75</t>
  </si>
  <si>
    <t>1700_3E75</t>
  </si>
  <si>
    <t>1700_4075</t>
  </si>
  <si>
    <t>1700_4275</t>
  </si>
  <si>
    <t>1700_4475</t>
  </si>
  <si>
    <t>1700_4675</t>
  </si>
  <si>
    <t>1700_4875</t>
  </si>
  <si>
    <t>1700_4A75</t>
  </si>
  <si>
    <t>1700_4C75</t>
  </si>
  <si>
    <t>1700_4E75</t>
  </si>
  <si>
    <t>1700_5075</t>
  </si>
  <si>
    <t>1700_5275</t>
  </si>
  <si>
    <t>1700_5475</t>
  </si>
  <si>
    <t>1700_5675</t>
  </si>
  <si>
    <t>1700_5875</t>
  </si>
  <si>
    <t>1700_5A75</t>
  </si>
  <si>
    <t>1700_5C75</t>
  </si>
  <si>
    <t>1700_5E75</t>
  </si>
  <si>
    <t>1700_6075</t>
  </si>
  <si>
    <t>1700_6275</t>
  </si>
  <si>
    <t>1700_6475</t>
  </si>
  <si>
    <t>1700_6675</t>
  </si>
  <si>
    <t>1700_6875</t>
  </si>
  <si>
    <t>1700_6A75</t>
  </si>
  <si>
    <t>1700_6C75</t>
  </si>
  <si>
    <t>1700_6E75</t>
  </si>
  <si>
    <t>1700_7075</t>
  </si>
  <si>
    <t>1700_7275</t>
  </si>
  <si>
    <t>1700_7475</t>
  </si>
  <si>
    <t>1700_7675</t>
  </si>
  <si>
    <t>1700_7875</t>
  </si>
  <si>
    <t>1700_7A75</t>
  </si>
  <si>
    <t>1700_7C75</t>
  </si>
  <si>
    <t>1700_7E75</t>
  </si>
  <si>
    <t>1700_0076</t>
  </si>
  <si>
    <t>1700_0276</t>
  </si>
  <si>
    <t>1700_0476</t>
  </si>
  <si>
    <t>1700_0676</t>
  </si>
  <si>
    <t>1700_0876</t>
  </si>
  <si>
    <t>1700_0A76</t>
  </si>
  <si>
    <t>1700_0C76</t>
  </si>
  <si>
    <t>1700_0E76</t>
  </si>
  <si>
    <t>1700_1076</t>
  </si>
  <si>
    <t>1700_1276</t>
  </si>
  <si>
    <t>1700_1476</t>
  </si>
  <si>
    <t>1700_1676</t>
  </si>
  <si>
    <t>1700_1876</t>
  </si>
  <si>
    <t>1700_1A76</t>
  </si>
  <si>
    <t>1700_1C76</t>
  </si>
  <si>
    <t>1700_1E76</t>
  </si>
  <si>
    <t>1700_2076</t>
  </si>
  <si>
    <t>1700_2276</t>
  </si>
  <si>
    <t>1700_2476</t>
  </si>
  <si>
    <t>1700_2676</t>
  </si>
  <si>
    <t>1700_2876</t>
  </si>
  <si>
    <t>1700_2A76</t>
  </si>
  <si>
    <t>1700_2C76</t>
  </si>
  <si>
    <t>1700_2E76</t>
  </si>
  <si>
    <t>1700_3076</t>
  </si>
  <si>
    <t>1700_3276</t>
  </si>
  <si>
    <t>1700_3476</t>
  </si>
  <si>
    <t>1700_3676</t>
  </si>
  <si>
    <t>1700_3876</t>
  </si>
  <si>
    <t>1700_3A76</t>
  </si>
  <si>
    <t>1700_3C76</t>
  </si>
  <si>
    <t>1700_3E76</t>
  </si>
  <si>
    <t>1700_4076</t>
  </si>
  <si>
    <t>1700_4276</t>
  </si>
  <si>
    <t>1700_4476</t>
  </si>
  <si>
    <t>1700_4676</t>
  </si>
  <si>
    <t>1700_4876</t>
  </si>
  <si>
    <t>1700_4A76</t>
  </si>
  <si>
    <t>1700_4C76</t>
  </si>
  <si>
    <t>1700_4E76</t>
  </si>
  <si>
    <t>1700_5076</t>
  </si>
  <si>
    <t>1700_5276</t>
  </si>
  <si>
    <t>1700_5476</t>
  </si>
  <si>
    <t>1700_5676</t>
  </si>
  <si>
    <t>1700_5876</t>
  </si>
  <si>
    <t>1700_5A76</t>
  </si>
  <si>
    <t>1700_5C76</t>
  </si>
  <si>
    <t>1700_5E76</t>
  </si>
  <si>
    <t>1700_6076</t>
  </si>
  <si>
    <t>1700_6276</t>
  </si>
  <si>
    <t>1700_6476</t>
  </si>
  <si>
    <t>1700_6676</t>
  </si>
  <si>
    <t>1700_6876</t>
  </si>
  <si>
    <t>1700_6A76</t>
  </si>
  <si>
    <t>1700_6C76</t>
  </si>
  <si>
    <t>1700_6E76</t>
  </si>
  <si>
    <t>1700_7076</t>
  </si>
  <si>
    <t>1700_7276</t>
  </si>
  <si>
    <t>1700_7476</t>
  </si>
  <si>
    <t>1700_7676</t>
  </si>
  <si>
    <t>1700_7876</t>
  </si>
  <si>
    <t>1700_7A76</t>
  </si>
  <si>
    <t>1700_7C76</t>
  </si>
  <si>
    <t>1700_7E76</t>
  </si>
  <si>
    <t>1700_0077</t>
  </si>
  <si>
    <t>1700_0277</t>
  </si>
  <si>
    <t>1700_0477</t>
  </si>
  <si>
    <t>1700_0677</t>
  </si>
  <si>
    <t>1700_0877</t>
  </si>
  <si>
    <t>1700_0A77</t>
  </si>
  <si>
    <t>1700_0C77</t>
  </si>
  <si>
    <t>1700_0E77</t>
  </si>
  <si>
    <t>1700_1077</t>
  </si>
  <si>
    <t>1700_1277</t>
  </si>
  <si>
    <t>1700_1477</t>
  </si>
  <si>
    <t>1700_1677</t>
  </si>
  <si>
    <t>1700_1877</t>
  </si>
  <si>
    <t>1700_1A77</t>
  </si>
  <si>
    <t>1700_1C77</t>
  </si>
  <si>
    <t>1700_1E77</t>
  </si>
  <si>
    <t>1700_2077</t>
  </si>
  <si>
    <t>1700_2277</t>
  </si>
  <si>
    <t>1700_2477</t>
  </si>
  <si>
    <t>1700_2677</t>
  </si>
  <si>
    <t>1700_2877</t>
  </si>
  <si>
    <t>1700_2A77</t>
  </si>
  <si>
    <t>1700_2C77</t>
  </si>
  <si>
    <t>1700_2E77</t>
  </si>
  <si>
    <t>1700_3077</t>
  </si>
  <si>
    <t>1700_3277</t>
  </si>
  <si>
    <t>1700_3477</t>
  </si>
  <si>
    <t>1700_3677</t>
  </si>
  <si>
    <t>1700_3877</t>
  </si>
  <si>
    <t>1700_3A77</t>
  </si>
  <si>
    <t>1700_3C77</t>
  </si>
  <si>
    <t>1700_3E77</t>
  </si>
  <si>
    <t>1700_4077</t>
  </si>
  <si>
    <t>1700_4277</t>
  </si>
  <si>
    <t>1700_4477</t>
  </si>
  <si>
    <t>1700_4677</t>
  </si>
  <si>
    <t>1700_4877</t>
  </si>
  <si>
    <t>1700_4A77</t>
  </si>
  <si>
    <t>1700_4C77</t>
  </si>
  <si>
    <t>1700_4E77</t>
  </si>
  <si>
    <t>1700_5077</t>
  </si>
  <si>
    <t>1700_5277</t>
  </si>
  <si>
    <t>1700_5477</t>
  </si>
  <si>
    <t>1700_5677</t>
  </si>
  <si>
    <t>1700_5877</t>
  </si>
  <si>
    <t>1700_5A77</t>
  </si>
  <si>
    <t>1700_5C77</t>
  </si>
  <si>
    <t>1700_5E77</t>
  </si>
  <si>
    <t>1700_6077</t>
  </si>
  <si>
    <t>1700_6277</t>
  </si>
  <si>
    <t>1700_6477</t>
  </si>
  <si>
    <t>1700_6677</t>
  </si>
  <si>
    <t>1700_6877</t>
  </si>
  <si>
    <t>1700_6A77</t>
  </si>
  <si>
    <t>1700_6C77</t>
  </si>
  <si>
    <t>1700_6E77</t>
  </si>
  <si>
    <t>1700_7077</t>
  </si>
  <si>
    <t>1700_7277</t>
  </si>
  <si>
    <t>1700_7477</t>
  </si>
  <si>
    <t>1700_7677</t>
  </si>
  <si>
    <t>1700_7877</t>
  </si>
  <si>
    <t>1700_7A77</t>
  </si>
  <si>
    <t>1700_7C77</t>
  </si>
  <si>
    <t>1700_7E77</t>
  </si>
  <si>
    <t>1700_0078</t>
  </si>
  <si>
    <t>1700_0278</t>
  </si>
  <si>
    <t>1700_0478</t>
  </si>
  <si>
    <t>1700_0678</t>
  </si>
  <si>
    <t>1700_0878</t>
  </si>
  <si>
    <t>1700_0A78</t>
  </si>
  <si>
    <t>1700_0C78</t>
  </si>
  <si>
    <t>1700_0E78</t>
  </si>
  <si>
    <t>1700_1078</t>
  </si>
  <si>
    <t>1700_1278</t>
  </si>
  <si>
    <t>1700_1478</t>
  </si>
  <si>
    <t>1700_1678</t>
  </si>
  <si>
    <t>1700_1878</t>
  </si>
  <si>
    <t>1700_1A78</t>
  </si>
  <si>
    <t>1700_1C78</t>
  </si>
  <si>
    <t>1700_1E78</t>
  </si>
  <si>
    <t>1700_2078</t>
  </si>
  <si>
    <t>1700_2278</t>
  </si>
  <si>
    <t>1700_2478</t>
  </si>
  <si>
    <t>1700_2678</t>
  </si>
  <si>
    <t>1700_2878</t>
  </si>
  <si>
    <t>1700_2A78</t>
  </si>
  <si>
    <t>1700_2C78</t>
  </si>
  <si>
    <t>1700_2E78</t>
  </si>
  <si>
    <t>1700_3078</t>
  </si>
  <si>
    <t>1700_3278</t>
  </si>
  <si>
    <t>1700_3478</t>
  </si>
  <si>
    <t>1700_3678</t>
  </si>
  <si>
    <t>1700_3878</t>
  </si>
  <si>
    <t>1700_3A78</t>
  </si>
  <si>
    <t>1700_3C78</t>
  </si>
  <si>
    <t>1700_3E78</t>
  </si>
  <si>
    <t>1700_4078</t>
  </si>
  <si>
    <t>1700_4278</t>
  </si>
  <si>
    <t>1700_4478</t>
  </si>
  <si>
    <t>1700_4678</t>
  </si>
  <si>
    <t>1700_4878</t>
  </si>
  <si>
    <t>1700_4A78</t>
  </si>
  <si>
    <t>1700_4C78</t>
  </si>
  <si>
    <t>1700_4E78</t>
  </si>
  <si>
    <t>1700_5078</t>
  </si>
  <si>
    <t>1700_5278</t>
  </si>
  <si>
    <t>1700_5478</t>
  </si>
  <si>
    <t>1700_5678</t>
  </si>
  <si>
    <t>1700_5878</t>
  </si>
  <si>
    <t>1700_5A78</t>
  </si>
  <si>
    <t>1700_5C78</t>
  </si>
  <si>
    <t>1700_5E78</t>
  </si>
  <si>
    <t>1700_6078</t>
  </si>
  <si>
    <t>1700_6278</t>
  </si>
  <si>
    <t>1700_6478</t>
  </si>
  <si>
    <t>1700_6678</t>
  </si>
  <si>
    <t>1700_6878</t>
  </si>
  <si>
    <t>1700_6A78</t>
  </si>
  <si>
    <t>1700_6C78</t>
  </si>
  <si>
    <t>1700_6E78</t>
  </si>
  <si>
    <t>1700_7078</t>
  </si>
  <si>
    <t>1700_7278</t>
  </si>
  <si>
    <t>1700_7478</t>
  </si>
  <si>
    <t>1700_7678</t>
  </si>
  <si>
    <t>1700_7878</t>
  </si>
  <si>
    <t>1700_7A78</t>
  </si>
  <si>
    <t>1700_7C78</t>
  </si>
  <si>
    <t>1700_7E78</t>
  </si>
  <si>
    <t>1700_0079</t>
  </si>
  <si>
    <t>1700_0279</t>
  </si>
  <si>
    <t>1700_0479</t>
  </si>
  <si>
    <t>1700_0679</t>
  </si>
  <si>
    <t>1700_0879</t>
  </si>
  <si>
    <t>1700_0A79</t>
  </si>
  <si>
    <t>1700_0C79</t>
  </si>
  <si>
    <t>1700_0E79</t>
  </si>
  <si>
    <t>1700_1079</t>
  </si>
  <si>
    <t>1700_1279</t>
  </si>
  <si>
    <t>1700_1479</t>
  </si>
  <si>
    <t>1700_1679</t>
  </si>
  <si>
    <t>1700_1879</t>
  </si>
  <si>
    <t>1700_1A79</t>
  </si>
  <si>
    <t>1700_1C79</t>
  </si>
  <si>
    <t>1700_1E79</t>
  </si>
  <si>
    <t>1700_2079</t>
  </si>
  <si>
    <t>1700_2279</t>
  </si>
  <si>
    <t>1700_2479</t>
  </si>
  <si>
    <t>1700_2679</t>
  </si>
  <si>
    <t>1700_2879</t>
  </si>
  <si>
    <t>1700_2A79</t>
  </si>
  <si>
    <t>1700_2C79</t>
  </si>
  <si>
    <t>1700_2E79</t>
  </si>
  <si>
    <t>1700_3079</t>
  </si>
  <si>
    <t>1700_3279</t>
  </si>
  <si>
    <t>1700_3479</t>
  </si>
  <si>
    <t>1700_3679</t>
  </si>
  <si>
    <t>1700_3879</t>
  </si>
  <si>
    <t>1700_3A79</t>
  </si>
  <si>
    <t>1700_3C79</t>
  </si>
  <si>
    <t>1700_3E79</t>
  </si>
  <si>
    <t>1700_4079</t>
  </si>
  <si>
    <t>1700_4279</t>
  </si>
  <si>
    <t>1700_4479</t>
  </si>
  <si>
    <t>1700_4679</t>
  </si>
  <si>
    <t>1700_4879</t>
  </si>
  <si>
    <t>1700_4A79</t>
  </si>
  <si>
    <t>1700_4C79</t>
  </si>
  <si>
    <t>1700_4E79</t>
  </si>
  <si>
    <t>1700_5079</t>
  </si>
  <si>
    <t>1700_5279</t>
  </si>
  <si>
    <t>1700_5479</t>
  </si>
  <si>
    <t>1700_5679</t>
  </si>
  <si>
    <t>1700_5879</t>
  </si>
  <si>
    <t>1700_5A79</t>
  </si>
  <si>
    <t>1700_5C79</t>
  </si>
  <si>
    <t>1700_5E79</t>
  </si>
  <si>
    <t>1700_6079</t>
  </si>
  <si>
    <t>1700_6279</t>
  </si>
  <si>
    <t>1700_6479</t>
  </si>
  <si>
    <t>1700_6679</t>
  </si>
  <si>
    <t>1700_6879</t>
  </si>
  <si>
    <t>1700_6A79</t>
  </si>
  <si>
    <t>1700_6C79</t>
  </si>
  <si>
    <t>1700_6E79</t>
  </si>
  <si>
    <t>1700_7079</t>
  </si>
  <si>
    <t>1700_7279</t>
  </si>
  <si>
    <t>1700_7479</t>
  </si>
  <si>
    <t>1700_7679</t>
  </si>
  <si>
    <t>1700_7879</t>
  </si>
  <si>
    <t>1700_7A79</t>
  </si>
  <si>
    <t>1700_7C79</t>
  </si>
  <si>
    <t>1700_7E79</t>
  </si>
  <si>
    <t>1700_007A</t>
  </si>
  <si>
    <t>1700_027A</t>
  </si>
  <si>
    <t>1700_047A</t>
  </si>
  <si>
    <t>1700_067A</t>
  </si>
  <si>
    <t>1700_087A</t>
  </si>
  <si>
    <t>1700_0A7A</t>
  </si>
  <si>
    <t>1700_0C7A</t>
  </si>
  <si>
    <t>1700_0E7A</t>
  </si>
  <si>
    <t>1700_107A</t>
  </si>
  <si>
    <t>1700_127A</t>
  </si>
  <si>
    <t>1700_147A</t>
  </si>
  <si>
    <t>1700_167A</t>
  </si>
  <si>
    <t>1700_187A</t>
  </si>
  <si>
    <t>1700_1A7A</t>
  </si>
  <si>
    <t>1700_1C7A</t>
  </si>
  <si>
    <t>1700_1E7A</t>
  </si>
  <si>
    <t>1700_207A</t>
  </si>
  <si>
    <t>1700_227A</t>
  </si>
  <si>
    <t>1700_247A</t>
  </si>
  <si>
    <t>1700_267A</t>
  </si>
  <si>
    <t>1700_287A</t>
  </si>
  <si>
    <t>1700_2A7A</t>
  </si>
  <si>
    <t>1700_2C7A</t>
  </si>
  <si>
    <t>1700_2E7A</t>
  </si>
  <si>
    <t>1700_307A</t>
  </si>
  <si>
    <t>1700_327A</t>
  </si>
  <si>
    <t>1700_347A</t>
  </si>
  <si>
    <t>1700_367A</t>
  </si>
  <si>
    <t>1700_387A</t>
  </si>
  <si>
    <t>1700_3A7A</t>
  </si>
  <si>
    <t>1700_3C7A</t>
  </si>
  <si>
    <t>1700_3E7A</t>
  </si>
  <si>
    <t>1700_407A</t>
  </si>
  <si>
    <t>1700_427A</t>
  </si>
  <si>
    <t>1700_447A</t>
  </si>
  <si>
    <t>1700_467A</t>
  </si>
  <si>
    <t>1700_487A</t>
  </si>
  <si>
    <t>1700_4A7A</t>
  </si>
  <si>
    <t>1700_4C7A</t>
  </si>
  <si>
    <t>1700_4E7A</t>
  </si>
  <si>
    <t>1700_507A</t>
  </si>
  <si>
    <t>1700_527A</t>
  </si>
  <si>
    <t>1700_547A</t>
  </si>
  <si>
    <t>1700_567A</t>
  </si>
  <si>
    <t>1700_587A</t>
  </si>
  <si>
    <t>1700_5A7A</t>
  </si>
  <si>
    <t>1700_5C7A</t>
  </si>
  <si>
    <t>1700_5E7A</t>
  </si>
  <si>
    <t>1700_607A</t>
  </si>
  <si>
    <t>1700_627A</t>
  </si>
  <si>
    <t>1700_647A</t>
  </si>
  <si>
    <t>1700_667A</t>
  </si>
  <si>
    <t>1700_687A</t>
  </si>
  <si>
    <t>1700_6A7A</t>
  </si>
  <si>
    <t>1700_6C7A</t>
  </si>
  <si>
    <t>1700_6E7A</t>
  </si>
  <si>
    <t>1700_707A</t>
  </si>
  <si>
    <t>1700_727A</t>
  </si>
  <si>
    <t>1700_747A</t>
  </si>
  <si>
    <t>1700_767A</t>
  </si>
  <si>
    <t>1700_787A</t>
  </si>
  <si>
    <t>1700_7A7A</t>
  </si>
  <si>
    <t>1700_7C7A</t>
  </si>
  <si>
    <t>1700_7E7A</t>
  </si>
  <si>
    <t>1700_007B</t>
  </si>
  <si>
    <t>1700_027B</t>
  </si>
  <si>
    <t>1700_047B</t>
  </si>
  <si>
    <t>1700_067B</t>
  </si>
  <si>
    <t>1700_087B</t>
  </si>
  <si>
    <t>1700_0A7B</t>
  </si>
  <si>
    <t>1700_0C7B</t>
  </si>
  <si>
    <t>1700_0E7B</t>
  </si>
  <si>
    <t>1700_107B</t>
  </si>
  <si>
    <t>1700_127B</t>
  </si>
  <si>
    <t>1700_147B</t>
  </si>
  <si>
    <t>1700_167B</t>
  </si>
  <si>
    <t>1700_187B</t>
  </si>
  <si>
    <t>1700_1A7B</t>
  </si>
  <si>
    <t>1700_1C7B</t>
  </si>
  <si>
    <t>1700_1E7B</t>
  </si>
  <si>
    <t>1700_207B</t>
  </si>
  <si>
    <t>1700_227B</t>
  </si>
  <si>
    <t>1700_247B</t>
  </si>
  <si>
    <t>1700_267B</t>
  </si>
  <si>
    <t>1700_287B</t>
  </si>
  <si>
    <t>1700_2A7B</t>
  </si>
  <si>
    <t>1700_2C7B</t>
  </si>
  <si>
    <t>1700_2E7B</t>
  </si>
  <si>
    <t>1700_307B</t>
  </si>
  <si>
    <t>1700_327B</t>
  </si>
  <si>
    <t>1700_347B</t>
  </si>
  <si>
    <t>1700_367B</t>
  </si>
  <si>
    <t>1700_387B</t>
  </si>
  <si>
    <t>1700_3A7B</t>
  </si>
  <si>
    <t>1700_3C7B</t>
  </si>
  <si>
    <t>1700_3E7B</t>
  </si>
  <si>
    <t>1700_407B</t>
  </si>
  <si>
    <t>1700_427B</t>
  </si>
  <si>
    <t>1700_447B</t>
  </si>
  <si>
    <t>1700_467B</t>
  </si>
  <si>
    <t>1700_487B</t>
  </si>
  <si>
    <t>1700_4A7B</t>
  </si>
  <si>
    <t>1700_4C7B</t>
  </si>
  <si>
    <t>1700_4E7B</t>
  </si>
  <si>
    <t>1700_507B</t>
  </si>
  <si>
    <t>1700_527B</t>
  </si>
  <si>
    <t>1700_547B</t>
  </si>
  <si>
    <t>1700_567B</t>
  </si>
  <si>
    <t>1700_587B</t>
  </si>
  <si>
    <t>1700_5A7B</t>
  </si>
  <si>
    <t>1700_5C7B</t>
  </si>
  <si>
    <t>1700_5E7B</t>
  </si>
  <si>
    <t>1700_607B</t>
  </si>
  <si>
    <t>1700_627B</t>
  </si>
  <si>
    <t>1700_647B</t>
  </si>
  <si>
    <t>1700_667B</t>
  </si>
  <si>
    <t>1700_687B</t>
  </si>
  <si>
    <t>1700_6A7B</t>
  </si>
  <si>
    <t>1700_6C7B</t>
  </si>
  <si>
    <t>1700_6E7B</t>
  </si>
  <si>
    <t>1700_707B</t>
  </si>
  <si>
    <t>1700_727B</t>
  </si>
  <si>
    <t>1700_747B</t>
  </si>
  <si>
    <t>1700_767B</t>
  </si>
  <si>
    <t>1700_787B</t>
  </si>
  <si>
    <t>1700_7A7B</t>
  </si>
  <si>
    <t>1700_7C7B</t>
  </si>
  <si>
    <t>1700_7E7B</t>
  </si>
  <si>
    <t>1700_007C</t>
  </si>
  <si>
    <t>1700_027C</t>
  </si>
  <si>
    <t>1700_047C</t>
  </si>
  <si>
    <t>1700_067C</t>
  </si>
  <si>
    <t>1700_087C</t>
  </si>
  <si>
    <t>1700_0A7C</t>
  </si>
  <si>
    <t>1700_0C7C</t>
  </si>
  <si>
    <t>1700_0E7C</t>
  </si>
  <si>
    <t>1700_107C</t>
  </si>
  <si>
    <t>1700_127C</t>
  </si>
  <si>
    <t>1700_147C</t>
  </si>
  <si>
    <t>1700_167C</t>
  </si>
  <si>
    <t>1700_187C</t>
  </si>
  <si>
    <t>1700_1A7C</t>
  </si>
  <si>
    <t>1700_1C7C</t>
  </si>
  <si>
    <t>1700_1E7C</t>
  </si>
  <si>
    <t>1700_207C</t>
  </si>
  <si>
    <t>1700_227C</t>
  </si>
  <si>
    <t>1700_247C</t>
  </si>
  <si>
    <t>1700_267C</t>
  </si>
  <si>
    <t>1700_287C</t>
  </si>
  <si>
    <t>1700_2A7C</t>
  </si>
  <si>
    <t>1700_2C7C</t>
  </si>
  <si>
    <t>1700_2E7C</t>
  </si>
  <si>
    <t>1700_307C</t>
  </si>
  <si>
    <t>1700_327C</t>
  </si>
  <si>
    <t>1700_347C</t>
  </si>
  <si>
    <t>1700_367C</t>
  </si>
  <si>
    <t>1700_387C</t>
  </si>
  <si>
    <t>1700_3A7C</t>
  </si>
  <si>
    <t>1700_3C7C</t>
  </si>
  <si>
    <t>1700_3E7C</t>
  </si>
  <si>
    <t>1700_407C</t>
  </si>
  <si>
    <t>1700_427C</t>
  </si>
  <si>
    <t>1700_447C</t>
  </si>
  <si>
    <t>1700_467C</t>
  </si>
  <si>
    <t>1700_487C</t>
  </si>
  <si>
    <t>1700_4A7C</t>
  </si>
  <si>
    <t>1700_4C7C</t>
  </si>
  <si>
    <t>1700_4E7C</t>
  </si>
  <si>
    <t>1700_507C</t>
  </si>
  <si>
    <t>1700_527C</t>
  </si>
  <si>
    <t>1700_547C</t>
  </si>
  <si>
    <t>1700_567C</t>
  </si>
  <si>
    <t>1700_587C</t>
  </si>
  <si>
    <t>1700_5A7C</t>
  </si>
  <si>
    <t>1700_5C7C</t>
  </si>
  <si>
    <t>1700_5E7C</t>
  </si>
  <si>
    <t>1700_607C</t>
  </si>
  <si>
    <t>1700_627C</t>
  </si>
  <si>
    <t>1700_647C</t>
  </si>
  <si>
    <t>1700_667C</t>
  </si>
  <si>
    <t>1700_687C</t>
  </si>
  <si>
    <t>1700_6A7C</t>
  </si>
  <si>
    <t>1700_6C7C</t>
  </si>
  <si>
    <t>1700_6E7C</t>
  </si>
  <si>
    <t>1700_707C</t>
  </si>
  <si>
    <t>1700_727C</t>
  </si>
  <si>
    <t>1700_747C</t>
  </si>
  <si>
    <t>1700_767C</t>
  </si>
  <si>
    <t>1700_787C</t>
  </si>
  <si>
    <t>1700_7A7C</t>
  </si>
  <si>
    <t>1700_7C7C</t>
  </si>
  <si>
    <t>1700_7E7C</t>
  </si>
  <si>
    <t>1700_007D</t>
  </si>
  <si>
    <t>1700_027D</t>
  </si>
  <si>
    <t>1700_047D</t>
  </si>
  <si>
    <t>1700_067D</t>
  </si>
  <si>
    <t>1700_087D</t>
  </si>
  <si>
    <t>1700_0A7D</t>
  </si>
  <si>
    <t>1700_0C7D</t>
  </si>
  <si>
    <t>1700_0E7D</t>
  </si>
  <si>
    <t>1700_107D</t>
  </si>
  <si>
    <t>1700_127D</t>
  </si>
  <si>
    <t>1700_147D</t>
  </si>
  <si>
    <t>1700_167D</t>
  </si>
  <si>
    <t>1700_187D</t>
  </si>
  <si>
    <t>1700_1A7D</t>
  </si>
  <si>
    <t>1700_1C7D</t>
  </si>
  <si>
    <t>1700_1E7D</t>
  </si>
  <si>
    <t>1700_207D</t>
  </si>
  <si>
    <t>1700_227D</t>
  </si>
  <si>
    <t>1700_247D</t>
  </si>
  <si>
    <t>1700_267D</t>
  </si>
  <si>
    <t>1700_287D</t>
  </si>
  <si>
    <t>1700_2A7D</t>
  </si>
  <si>
    <t>1700_2C7D</t>
  </si>
  <si>
    <t>1700_2E7D</t>
  </si>
  <si>
    <t>1700_307D</t>
  </si>
  <si>
    <t>1700_327D</t>
  </si>
  <si>
    <t>1700_347D</t>
  </si>
  <si>
    <t>1700_367D</t>
  </si>
  <si>
    <t>1700_387D</t>
  </si>
  <si>
    <t>1700_3A7D</t>
  </si>
  <si>
    <t>1700_3C7D</t>
  </si>
  <si>
    <t>1700_3E7D</t>
  </si>
  <si>
    <t>1700_407D</t>
  </si>
  <si>
    <t>1700_427D</t>
  </si>
  <si>
    <t>1700_447D</t>
  </si>
  <si>
    <t>1700_467D</t>
  </si>
  <si>
    <t>1700_487D</t>
  </si>
  <si>
    <t>1700_4A7D</t>
  </si>
  <si>
    <t>1700_4C7D</t>
  </si>
  <si>
    <t>1700_4E7D</t>
  </si>
  <si>
    <t>1700_507D</t>
  </si>
  <si>
    <t>1700_527D</t>
  </si>
  <si>
    <t>1700_547D</t>
  </si>
  <si>
    <t>1700_567D</t>
  </si>
  <si>
    <t>1700_587D</t>
  </si>
  <si>
    <t>1700_5A7D</t>
  </si>
  <si>
    <t>1700_5C7D</t>
  </si>
  <si>
    <t>1700_5E7D</t>
  </si>
  <si>
    <t>1700_607D</t>
  </si>
  <si>
    <t>1700_627D</t>
  </si>
  <si>
    <t>1700_647D</t>
  </si>
  <si>
    <t>1700_667D</t>
  </si>
  <si>
    <t>1700_687D</t>
  </si>
  <si>
    <t>1700_6A7D</t>
  </si>
  <si>
    <t>1700_6C7D</t>
  </si>
  <si>
    <t>1700_6E7D</t>
  </si>
  <si>
    <t>1700_707D</t>
  </si>
  <si>
    <t>1700_727D</t>
  </si>
  <si>
    <t>1700_747D</t>
  </si>
  <si>
    <t>1700_767D</t>
  </si>
  <si>
    <t>1700_787D</t>
  </si>
  <si>
    <t>1700_7A7D</t>
  </si>
  <si>
    <t>1700_7C7D</t>
  </si>
  <si>
    <t>1700_7E7D</t>
  </si>
  <si>
    <t>1700_007E</t>
  </si>
  <si>
    <t>1700_027E</t>
  </si>
  <si>
    <t>1700_047E</t>
  </si>
  <si>
    <t>1700_067E</t>
  </si>
  <si>
    <t>1700_087E</t>
  </si>
  <si>
    <t>1700_0A7E</t>
  </si>
  <si>
    <t>1700_0C7E</t>
  </si>
  <si>
    <t>1700_0E7E</t>
  </si>
  <si>
    <t>1700_107E</t>
  </si>
  <si>
    <t>1700_127E</t>
  </si>
  <si>
    <t>1700_147E</t>
  </si>
  <si>
    <t>1700_167E</t>
  </si>
  <si>
    <t>1700_187E</t>
  </si>
  <si>
    <t>1700_1A7E</t>
  </si>
  <si>
    <t>1700_1C7E</t>
  </si>
  <si>
    <t>1700_1E7E</t>
  </si>
  <si>
    <t>1700_207E</t>
  </si>
  <si>
    <t>1700_227E</t>
  </si>
  <si>
    <t>1700_247E</t>
  </si>
  <si>
    <t>1700_267E</t>
  </si>
  <si>
    <t>1700_287E</t>
  </si>
  <si>
    <t>1700_2A7E</t>
  </si>
  <si>
    <t>1700_2C7E</t>
  </si>
  <si>
    <t>1700_2E7E</t>
  </si>
  <si>
    <t>1700_307E</t>
  </si>
  <si>
    <t>1700_327E</t>
  </si>
  <si>
    <t>1700_347E</t>
  </si>
  <si>
    <t>1700_367E</t>
  </si>
  <si>
    <t>1700_387E</t>
  </si>
  <si>
    <t>1700_3A7E</t>
  </si>
  <si>
    <t>1700_3C7E</t>
  </si>
  <si>
    <t>1700_3E7E</t>
  </si>
  <si>
    <t>1700_407E</t>
  </si>
  <si>
    <t>1700_427E</t>
  </si>
  <si>
    <t>1700_447E</t>
  </si>
  <si>
    <t>1700_467E</t>
  </si>
  <si>
    <t>1700_487E</t>
  </si>
  <si>
    <t>1700_4A7E</t>
  </si>
  <si>
    <t>1700_4C7E</t>
  </si>
  <si>
    <t>1700_4E7E</t>
  </si>
  <si>
    <t>1700_507E</t>
  </si>
  <si>
    <t>1700_527E</t>
  </si>
  <si>
    <t>1700_547E</t>
  </si>
  <si>
    <t>1700_567E</t>
  </si>
  <si>
    <t>1700_587E</t>
  </si>
  <si>
    <t>1700_5A7E</t>
  </si>
  <si>
    <t>1700_5C7E</t>
  </si>
  <si>
    <t>1700_5E7E</t>
  </si>
  <si>
    <t>1700_607E</t>
  </si>
  <si>
    <t>1700_627E</t>
  </si>
  <si>
    <t>1700_647E</t>
  </si>
  <si>
    <t>1700_667E</t>
  </si>
  <si>
    <t>1700_687E</t>
  </si>
  <si>
    <t>1700_6A7E</t>
  </si>
  <si>
    <t>1700_6C7E</t>
  </si>
  <si>
    <t>1700_6E7E</t>
  </si>
  <si>
    <t>1700_707E</t>
  </si>
  <si>
    <t>1700_727E</t>
  </si>
  <si>
    <t>1700_747E</t>
  </si>
  <si>
    <t>1700_767E</t>
  </si>
  <si>
    <t>1700_787E</t>
  </si>
  <si>
    <t>1700_7A7E</t>
  </si>
  <si>
    <t>1700_7C7E</t>
  </si>
  <si>
    <t>1700_7E7E</t>
  </si>
  <si>
    <t>1700_007F</t>
  </si>
  <si>
    <t>1700_027F</t>
  </si>
  <si>
    <t>1700_047F</t>
  </si>
  <si>
    <t>1700_067F</t>
  </si>
  <si>
    <t>1700_087F</t>
  </si>
  <si>
    <t>1700_0A7F</t>
  </si>
  <si>
    <t>1700_0C7F</t>
  </si>
  <si>
    <t>1700_0E7F</t>
  </si>
  <si>
    <t>1700_107F</t>
  </si>
  <si>
    <t>1700_127F</t>
  </si>
  <si>
    <t>1700_147F</t>
  </si>
  <si>
    <t>1700_167F</t>
  </si>
  <si>
    <t>1700_187F</t>
  </si>
  <si>
    <t>1700_1A7F</t>
  </si>
  <si>
    <t>1700_1C7F</t>
  </si>
  <si>
    <t>1700_1E7F</t>
  </si>
  <si>
    <t>1700_207F</t>
  </si>
  <si>
    <t>1700_227F</t>
  </si>
  <si>
    <t>1700_247F</t>
  </si>
  <si>
    <t>1700_267F</t>
  </si>
  <si>
    <t>1700_287F</t>
  </si>
  <si>
    <t>1700_2A7F</t>
  </si>
  <si>
    <t>1700_2C7F</t>
  </si>
  <si>
    <t>1700_2E7F</t>
  </si>
  <si>
    <t>1700_307F</t>
  </si>
  <si>
    <t>1700_327F</t>
  </si>
  <si>
    <t>1700_347F</t>
  </si>
  <si>
    <t>1700_367F</t>
  </si>
  <si>
    <t>1700_387F</t>
  </si>
  <si>
    <t>1700_3A7F</t>
  </si>
  <si>
    <t>1700_3C7F</t>
  </si>
  <si>
    <t>1700_3E7F</t>
  </si>
  <si>
    <t>1700_407F</t>
  </si>
  <si>
    <t>1700_427F</t>
  </si>
  <si>
    <t>1700_447F</t>
  </si>
  <si>
    <t>1700_467F</t>
  </si>
  <si>
    <t>1700_487F</t>
  </si>
  <si>
    <t>1700_4A7F</t>
  </si>
  <si>
    <t>1700_4C7F</t>
  </si>
  <si>
    <t>1700_4E7F</t>
  </si>
  <si>
    <t>1700_507F</t>
  </si>
  <si>
    <t>1700_527F</t>
  </si>
  <si>
    <t>1700_547F</t>
  </si>
  <si>
    <t>1700_567F</t>
  </si>
  <si>
    <t>1700_587F</t>
  </si>
  <si>
    <t>1700_5A7F</t>
  </si>
  <si>
    <t>1700_5C7F</t>
  </si>
  <si>
    <t>1700_5E7F</t>
  </si>
  <si>
    <t>1700_607F</t>
  </si>
  <si>
    <t>1700_627F</t>
  </si>
  <si>
    <t>1700_647F</t>
  </si>
  <si>
    <t>1700_667F</t>
  </si>
  <si>
    <t>1700_687F</t>
  </si>
  <si>
    <t>1700_6A7F</t>
  </si>
  <si>
    <t>1700_6C7F</t>
  </si>
  <si>
    <t>1700_6E7F</t>
  </si>
  <si>
    <t>1700_707F</t>
  </si>
  <si>
    <t>1700_727F</t>
  </si>
  <si>
    <t>1700_747F</t>
  </si>
  <si>
    <t>1700_767F</t>
  </si>
  <si>
    <t>1700_787F</t>
  </si>
  <si>
    <t>1700_7A7F</t>
  </si>
  <si>
    <t>1700_7C7F</t>
  </si>
  <si>
    <t>1700_7E7F</t>
  </si>
  <si>
    <t>1700_0080</t>
  </si>
  <si>
    <t>1700_0280</t>
  </si>
  <si>
    <t>1700_0480</t>
  </si>
  <si>
    <t>1700_0680</t>
  </si>
  <si>
    <t>1700_0880</t>
  </si>
  <si>
    <t>1700_0A80</t>
  </si>
  <si>
    <t>1700_0C80</t>
  </si>
  <si>
    <t>1700_0E80</t>
  </si>
  <si>
    <t>1700_1080</t>
  </si>
  <si>
    <t>1700_1280</t>
  </si>
  <si>
    <t>1700_1480</t>
  </si>
  <si>
    <t>1700_1680</t>
  </si>
  <si>
    <t>1700_1880</t>
  </si>
  <si>
    <t>1700_1A80</t>
  </si>
  <si>
    <t>1700_1C80</t>
  </si>
  <si>
    <t>1700_1E80</t>
  </si>
  <si>
    <t>1700_2080</t>
  </si>
  <si>
    <t>1700_2280</t>
  </si>
  <si>
    <t>1700_2480</t>
  </si>
  <si>
    <t>1700_2680</t>
  </si>
  <si>
    <t>1700_2880</t>
  </si>
  <si>
    <t>1700_2A80</t>
  </si>
  <si>
    <t>1700_2C80</t>
  </si>
  <si>
    <t>1700_2E80</t>
  </si>
  <si>
    <t>1700_3080</t>
  </si>
  <si>
    <t>1700_3280</t>
  </si>
  <si>
    <t>1700_3480</t>
  </si>
  <si>
    <t>1700_3680</t>
  </si>
  <si>
    <t>1700_3880</t>
  </si>
  <si>
    <t>1700_3A80</t>
  </si>
  <si>
    <t>1700_3C80</t>
  </si>
  <si>
    <t>1700_3E80</t>
  </si>
  <si>
    <t>1700_4080</t>
  </si>
  <si>
    <t>1700_4280</t>
  </si>
  <si>
    <t>1700_4480</t>
  </si>
  <si>
    <t>1700_4680</t>
  </si>
  <si>
    <t>1700_4880</t>
  </si>
  <si>
    <t>1700_4A80</t>
  </si>
  <si>
    <t>1700_4C80</t>
  </si>
  <si>
    <t>1700_4E80</t>
  </si>
  <si>
    <t>1700_5080</t>
  </si>
  <si>
    <t>1700_5280</t>
  </si>
  <si>
    <t>1700_5480</t>
  </si>
  <si>
    <t>1700_5680</t>
  </si>
  <si>
    <t>1700_5880</t>
  </si>
  <si>
    <t>1700_5A80</t>
  </si>
  <si>
    <t>1700_5C80</t>
  </si>
  <si>
    <t>1700_5E80</t>
  </si>
  <si>
    <t>1700_6080</t>
  </si>
  <si>
    <t>1700_6280</t>
  </si>
  <si>
    <t>1700_6480</t>
  </si>
  <si>
    <t>1700_6680</t>
  </si>
  <si>
    <t>1700_6880</t>
  </si>
  <si>
    <t>1700_6A80</t>
  </si>
  <si>
    <t>1700_6C80</t>
  </si>
  <si>
    <t>1700_6E80</t>
  </si>
  <si>
    <t>1700_7080</t>
  </si>
  <si>
    <t>1700_7280</t>
  </si>
  <si>
    <t>1700_7480</t>
  </si>
  <si>
    <t>1700_7680</t>
  </si>
  <si>
    <t>1700_7880</t>
  </si>
  <si>
    <t>1700_7A80</t>
  </si>
  <si>
    <t>1700_7C80</t>
  </si>
  <si>
    <t>1700_7E80</t>
  </si>
  <si>
    <t>1700_0081</t>
  </si>
  <si>
    <t>1700_0281</t>
  </si>
  <si>
    <t>1700_0481</t>
  </si>
  <si>
    <t>1700_0681</t>
  </si>
  <si>
    <t>1700_0881</t>
  </si>
  <si>
    <t>1700_0A81</t>
  </si>
  <si>
    <t>1700_0C81</t>
  </si>
  <si>
    <t>1700_0E81</t>
  </si>
  <si>
    <t>1700_1081</t>
  </si>
  <si>
    <t>1700_1281</t>
  </si>
  <si>
    <t>1700_1481</t>
  </si>
  <si>
    <t>1700_1681</t>
  </si>
  <si>
    <t>1700_1881</t>
  </si>
  <si>
    <t>1700_1A81</t>
  </si>
  <si>
    <t>1700_1C81</t>
  </si>
  <si>
    <t>1700_1E81</t>
  </si>
  <si>
    <t>1700_2081</t>
  </si>
  <si>
    <t>1700_2281</t>
  </si>
  <si>
    <t>1700_2481</t>
  </si>
  <si>
    <t>1700_2681</t>
  </si>
  <si>
    <t>1700_2881</t>
  </si>
  <si>
    <t>1700_2A81</t>
  </si>
  <si>
    <t>1700_2C81</t>
  </si>
  <si>
    <t>1700_2E81</t>
  </si>
  <si>
    <t>1700_3081</t>
  </si>
  <si>
    <t>1700_3281</t>
  </si>
  <si>
    <t>1700_3481</t>
  </si>
  <si>
    <t>1700_3681</t>
  </si>
  <si>
    <t>1700_3881</t>
  </si>
  <si>
    <t>1700_3A81</t>
  </si>
  <si>
    <t>1700_3C81</t>
  </si>
  <si>
    <t>1700_3E81</t>
  </si>
  <si>
    <t>1700_4081</t>
  </si>
  <si>
    <t>1700_4281</t>
  </si>
  <si>
    <t>1700_4481</t>
  </si>
  <si>
    <t>1700_4681</t>
  </si>
  <si>
    <t>1700_4881</t>
  </si>
  <si>
    <t>1700_4A81</t>
  </si>
  <si>
    <t>1700_4C81</t>
  </si>
  <si>
    <t>1700_4E81</t>
  </si>
  <si>
    <t>1700_5081</t>
  </si>
  <si>
    <t>1700_5281</t>
  </si>
  <si>
    <t>1700_5481</t>
  </si>
  <si>
    <t>1700_5681</t>
  </si>
  <si>
    <t>1700_5881</t>
  </si>
  <si>
    <t>1700_5A81</t>
  </si>
  <si>
    <t>1700_5C81</t>
  </si>
  <si>
    <t>1700_5E81</t>
  </si>
  <si>
    <t>1700_6081</t>
  </si>
  <si>
    <t>1700_6281</t>
  </si>
  <si>
    <t>1700_6481</t>
  </si>
  <si>
    <t>1700_6681</t>
  </si>
  <si>
    <t>1700_6881</t>
  </si>
  <si>
    <t>1700_6A81</t>
  </si>
  <si>
    <t>1700_6C81</t>
  </si>
  <si>
    <t>1700_6E81</t>
  </si>
  <si>
    <t>1700_7081</t>
  </si>
  <si>
    <t>1700_7281</t>
  </si>
  <si>
    <t>1700_7481</t>
  </si>
  <si>
    <t>1700_7681</t>
  </si>
  <si>
    <t>1700_7881</t>
  </si>
  <si>
    <t>1700_7A81</t>
  </si>
  <si>
    <t>1700_7C81</t>
  </si>
  <si>
    <t>1700_7E81</t>
  </si>
  <si>
    <t>1700_0082</t>
  </si>
  <si>
    <t>1700_0282</t>
  </si>
  <si>
    <t>1700_0482</t>
  </si>
  <si>
    <t>1700_0682</t>
  </si>
  <si>
    <t>1700_0882</t>
  </si>
  <si>
    <t>1700_0A82</t>
  </si>
  <si>
    <t>1700_0C82</t>
  </si>
  <si>
    <t>1700_0E82</t>
  </si>
  <si>
    <t>1700_1082</t>
  </si>
  <si>
    <t>1700_1282</t>
  </si>
  <si>
    <t>1700_1482</t>
  </si>
  <si>
    <t>1700_1682</t>
  </si>
  <si>
    <t>1700_1882</t>
  </si>
  <si>
    <t>1700_1A82</t>
  </si>
  <si>
    <t>1700_1C82</t>
  </si>
  <si>
    <t>1700_1E82</t>
  </si>
  <si>
    <t>1700_2082</t>
  </si>
  <si>
    <t>1700_2282</t>
  </si>
  <si>
    <t>1700_2482</t>
  </si>
  <si>
    <t>1700_2682</t>
  </si>
  <si>
    <t>1700_2882</t>
  </si>
  <si>
    <t>1700_2A82</t>
  </si>
  <si>
    <t>1700_2C82</t>
  </si>
  <si>
    <t>1700_2E82</t>
  </si>
  <si>
    <t>1700_3082</t>
  </si>
  <si>
    <t>1700_3282</t>
  </si>
  <si>
    <t>1700_3482</t>
  </si>
  <si>
    <t>1700_3682</t>
  </si>
  <si>
    <t>1700_3882</t>
  </si>
  <si>
    <t>1700_3A82</t>
  </si>
  <si>
    <t>1700_3C82</t>
  </si>
  <si>
    <t>1700_3E82</t>
  </si>
  <si>
    <t>1700_4082</t>
  </si>
  <si>
    <t>1700_4282</t>
  </si>
  <si>
    <t>1700_4482</t>
  </si>
  <si>
    <t>1700_4682</t>
  </si>
  <si>
    <t>1700_4882</t>
  </si>
  <si>
    <t>1700_4A82</t>
  </si>
  <si>
    <t>1700_4C82</t>
  </si>
  <si>
    <t>1700_4E82</t>
  </si>
  <si>
    <t>1700_5082</t>
  </si>
  <si>
    <t>1700_5282</t>
  </si>
  <si>
    <t>1700_5482</t>
  </si>
  <si>
    <t>1700_5682</t>
  </si>
  <si>
    <t>1700_5882</t>
  </si>
  <si>
    <t>1700_5A82</t>
  </si>
  <si>
    <t>1700_5C82</t>
  </si>
  <si>
    <t>1700_5E82</t>
  </si>
  <si>
    <t>1700_6082</t>
  </si>
  <si>
    <t>1700_6282</t>
  </si>
  <si>
    <t>1700_6482</t>
  </si>
  <si>
    <t>1700_6682</t>
  </si>
  <si>
    <t>1700_6882</t>
  </si>
  <si>
    <t>1700_6A82</t>
  </si>
  <si>
    <t>1700_6C82</t>
  </si>
  <si>
    <t>1700_6E82</t>
  </si>
  <si>
    <t>1700_7082</t>
  </si>
  <si>
    <t>1700_7282</t>
  </si>
  <si>
    <t>1700_7482</t>
  </si>
  <si>
    <t>1700_7682</t>
  </si>
  <si>
    <t>1700_7882</t>
  </si>
  <si>
    <t>1700_7A82</t>
  </si>
  <si>
    <t>1700_7C82</t>
  </si>
  <si>
    <t>1700_7E82</t>
  </si>
  <si>
    <t>1700_0083</t>
  </si>
  <si>
    <t>1700_0283</t>
  </si>
  <si>
    <t>1700_0483</t>
  </si>
  <si>
    <t>1700_0683</t>
  </si>
  <si>
    <t>1700_0883</t>
  </si>
  <si>
    <t>1700_0A83</t>
  </si>
  <si>
    <t>1700_0C83</t>
  </si>
  <si>
    <t>1700_0E83</t>
  </si>
  <si>
    <t>1700_1083</t>
  </si>
  <si>
    <t>1700_1283</t>
  </si>
  <si>
    <t>1700_1483</t>
  </si>
  <si>
    <t>1700_1683</t>
  </si>
  <si>
    <t>1700_1883</t>
  </si>
  <si>
    <t>1700_1A83</t>
  </si>
  <si>
    <t>1700_1C83</t>
  </si>
  <si>
    <t>1700_1E83</t>
  </si>
  <si>
    <t>1700_2083</t>
  </si>
  <si>
    <t>1700_2283</t>
  </si>
  <si>
    <t>1700_2483</t>
  </si>
  <si>
    <t>1700_2683</t>
  </si>
  <si>
    <t>1700_2883</t>
  </si>
  <si>
    <t>1700_2A83</t>
  </si>
  <si>
    <t>1700_2C83</t>
  </si>
  <si>
    <t>1700_2E83</t>
  </si>
  <si>
    <t>1700_3083</t>
  </si>
  <si>
    <t>1700_3283</t>
  </si>
  <si>
    <t>1700_3483</t>
  </si>
  <si>
    <t>1700_3683</t>
  </si>
  <si>
    <t>1700_3883</t>
  </si>
  <si>
    <t>1700_3A83</t>
  </si>
  <si>
    <t>1700_3C83</t>
  </si>
  <si>
    <t>1700_3E83</t>
  </si>
  <si>
    <t>1700_4083</t>
  </si>
  <si>
    <t>1700_4283</t>
  </si>
  <si>
    <t>1700_4483</t>
  </si>
  <si>
    <t>1700_4683</t>
  </si>
  <si>
    <t>1700_4883</t>
  </si>
  <si>
    <t>1700_4A83</t>
  </si>
  <si>
    <t>1700_4C83</t>
  </si>
  <si>
    <t>1700_4E83</t>
  </si>
  <si>
    <t>1700_5083</t>
  </si>
  <si>
    <t>1700_5283</t>
  </si>
  <si>
    <t>1700_5483</t>
  </si>
  <si>
    <t>1700_5683</t>
  </si>
  <si>
    <t>1700_5883</t>
  </si>
  <si>
    <t>1700_5A83</t>
  </si>
  <si>
    <t>1700_5C83</t>
  </si>
  <si>
    <t>1700_5E83</t>
  </si>
  <si>
    <t>1700_6083</t>
  </si>
  <si>
    <t>1700_6283</t>
  </si>
  <si>
    <t>1700_6483</t>
  </si>
  <si>
    <t>1700_6683</t>
  </si>
  <si>
    <t>1700_6883</t>
  </si>
  <si>
    <t>1700_6A83</t>
  </si>
  <si>
    <t>1700_6C83</t>
  </si>
  <si>
    <t>1700_6E83</t>
  </si>
  <si>
    <t>1700_7083</t>
  </si>
  <si>
    <t>1700_7283</t>
  </si>
  <si>
    <t>1700_7483</t>
  </si>
  <si>
    <t>1700_7683</t>
  </si>
  <si>
    <t>1700_7883</t>
  </si>
  <si>
    <t>1700_7A83</t>
  </si>
  <si>
    <t>1700_7C83</t>
  </si>
  <si>
    <t>1700_7E83</t>
  </si>
  <si>
    <t>1700_0084</t>
  </si>
  <si>
    <t>1700_0284</t>
  </si>
  <si>
    <t>1700_0484</t>
  </si>
  <si>
    <t>1700_0684</t>
  </si>
  <si>
    <t>1700_0884</t>
  </si>
  <si>
    <t>1700_0A84</t>
  </si>
  <si>
    <t>1700_0C84</t>
  </si>
  <si>
    <t>1700_0E84</t>
  </si>
  <si>
    <t>1700_1084</t>
  </si>
  <si>
    <t>1700_1284</t>
  </si>
  <si>
    <t>1700_1484</t>
  </si>
  <si>
    <t>1700_1684</t>
  </si>
  <si>
    <t>1700_1884</t>
  </si>
  <si>
    <t>1700_1A84</t>
  </si>
  <si>
    <t>1700_1C84</t>
  </si>
  <si>
    <t>1700_1E84</t>
  </si>
  <si>
    <t>1700_2084</t>
  </si>
  <si>
    <t>1700_2284</t>
  </si>
  <si>
    <t>1700_2484</t>
  </si>
  <si>
    <t>1700_2684</t>
  </si>
  <si>
    <t>1700_2884</t>
  </si>
  <si>
    <t>1700_2A84</t>
  </si>
  <si>
    <t>1700_2C84</t>
  </si>
  <si>
    <t>1700_2E84</t>
  </si>
  <si>
    <t>1700_3084</t>
  </si>
  <si>
    <t>1700_3284</t>
  </si>
  <si>
    <t>1700_3484</t>
  </si>
  <si>
    <t>1700_3684</t>
  </si>
  <si>
    <t>1700_3884</t>
  </si>
  <si>
    <t>1700_3A84</t>
  </si>
  <si>
    <t>1700_3C84</t>
  </si>
  <si>
    <t>1700_3E84</t>
  </si>
  <si>
    <t>1700_4084</t>
  </si>
  <si>
    <t>1700_4284</t>
  </si>
  <si>
    <t>1700_4484</t>
  </si>
  <si>
    <t>1700_4684</t>
  </si>
  <si>
    <t>1700_4884</t>
  </si>
  <si>
    <t>1700_4A84</t>
  </si>
  <si>
    <t>1700_4C84</t>
  </si>
  <si>
    <t>1700_4E84</t>
  </si>
  <si>
    <t>1700_5084</t>
  </si>
  <si>
    <t>1700_5284</t>
  </si>
  <si>
    <t>1700_5484</t>
  </si>
  <si>
    <t>1700_5684</t>
  </si>
  <si>
    <t>1700_5884</t>
  </si>
  <si>
    <t>1700_5A84</t>
  </si>
  <si>
    <t>1700_5C84</t>
  </si>
  <si>
    <t>1700_5E84</t>
  </si>
  <si>
    <t>1700_6084</t>
  </si>
  <si>
    <t>1700_6284</t>
  </si>
  <si>
    <t>1700_6484</t>
  </si>
  <si>
    <t>1700_6684</t>
  </si>
  <si>
    <t>1700_6884</t>
  </si>
  <si>
    <t>1700_6A84</t>
  </si>
  <si>
    <t>1700_6C84</t>
  </si>
  <si>
    <t>1700_6E84</t>
  </si>
  <si>
    <t>1700_7084</t>
  </si>
  <si>
    <t>1700_7284</t>
  </si>
  <si>
    <t>1700_7484</t>
  </si>
  <si>
    <t>1700_7684</t>
  </si>
  <si>
    <t>1700_7884</t>
  </si>
  <si>
    <t>1700_7A84</t>
  </si>
  <si>
    <t>1700_7C84</t>
  </si>
  <si>
    <t>1700_7E84</t>
  </si>
  <si>
    <t>1700_0085</t>
  </si>
  <si>
    <t>1700_0285</t>
  </si>
  <si>
    <t>1700_0485</t>
  </si>
  <si>
    <t>1700_0685</t>
  </si>
  <si>
    <t>1700_0885</t>
  </si>
  <si>
    <t>1700_0A85</t>
  </si>
  <si>
    <t>1700_0C85</t>
  </si>
  <si>
    <t>1700_0E85</t>
  </si>
  <si>
    <t>1700_1085</t>
  </si>
  <si>
    <t>1700_1285</t>
  </si>
  <si>
    <t>1700_1485</t>
  </si>
  <si>
    <t>1700_1685</t>
  </si>
  <si>
    <t>1700_1885</t>
  </si>
  <si>
    <t>1700_1A85</t>
  </si>
  <si>
    <t>1700_1C85</t>
  </si>
  <si>
    <t>1700_1E85</t>
  </si>
  <si>
    <t>1700_2085</t>
  </si>
  <si>
    <t>1700_2285</t>
  </si>
  <si>
    <t>1700_2485</t>
  </si>
  <si>
    <t>1700_2685</t>
  </si>
  <si>
    <t>1700_2885</t>
  </si>
  <si>
    <t>1700_2A85</t>
  </si>
  <si>
    <t>1700_2C85</t>
  </si>
  <si>
    <t>1700_2E85</t>
  </si>
  <si>
    <t>1700_3085</t>
  </si>
  <si>
    <t>1700_3285</t>
  </si>
  <si>
    <t>1700_3485</t>
  </si>
  <si>
    <t>1700_3685</t>
  </si>
  <si>
    <t>1700_3885</t>
  </si>
  <si>
    <t>1700_3A85</t>
  </si>
  <si>
    <t>1700_3C85</t>
  </si>
  <si>
    <t>1700_3E85</t>
  </si>
  <si>
    <t>1700_4085</t>
  </si>
  <si>
    <t>1700_4285</t>
  </si>
  <si>
    <t>1700_4485</t>
  </si>
  <si>
    <t>1700_4685</t>
  </si>
  <si>
    <t>1700_4885</t>
  </si>
  <si>
    <t>1700_4A85</t>
  </si>
  <si>
    <t>1700_4C85</t>
  </si>
  <si>
    <t>1700_4E85</t>
  </si>
  <si>
    <t>1700_5085</t>
  </si>
  <si>
    <t>1700_5285</t>
  </si>
  <si>
    <t>1700_5485</t>
  </si>
  <si>
    <t>1700_5685</t>
  </si>
  <si>
    <t>1700_5885</t>
  </si>
  <si>
    <t>1700_5A85</t>
  </si>
  <si>
    <t>1700_5C85</t>
  </si>
  <si>
    <t>1700_5E85</t>
  </si>
  <si>
    <t>1700_6085</t>
  </si>
  <si>
    <t>1700_6285</t>
  </si>
  <si>
    <t>1700_6485</t>
  </si>
  <si>
    <t>1700_6685</t>
  </si>
  <si>
    <t>1700_6885</t>
  </si>
  <si>
    <t>1700_6A85</t>
  </si>
  <si>
    <t>1700_6C85</t>
  </si>
  <si>
    <t>1700_6E85</t>
  </si>
  <si>
    <t>1700_7085</t>
  </si>
  <si>
    <t>1700_7285</t>
  </si>
  <si>
    <t>1700_7485</t>
  </si>
  <si>
    <t>1700_7685</t>
  </si>
  <si>
    <t>1700_7885</t>
  </si>
  <si>
    <t>1700_7A85</t>
  </si>
  <si>
    <t>1700_7C85</t>
  </si>
  <si>
    <t>1700_7E85</t>
  </si>
  <si>
    <t>1700_0086</t>
  </si>
  <si>
    <t>1700_0286</t>
  </si>
  <si>
    <t>1700_0486</t>
  </si>
  <si>
    <t>1700_0686</t>
  </si>
  <si>
    <t>1700_0886</t>
  </si>
  <si>
    <t>1700_0A86</t>
  </si>
  <si>
    <t>1700_0C86</t>
  </si>
  <si>
    <t>1700_0E86</t>
  </si>
  <si>
    <t>1700_1086</t>
  </si>
  <si>
    <t>1700_1286</t>
  </si>
  <si>
    <t>1700_1486</t>
  </si>
  <si>
    <t>1700_1686</t>
  </si>
  <si>
    <t>1700_1886</t>
  </si>
  <si>
    <t>1700_1A86</t>
  </si>
  <si>
    <t>1700_1C86</t>
  </si>
  <si>
    <t>1700_1E86</t>
  </si>
  <si>
    <t>1700_2086</t>
  </si>
  <si>
    <t>1700_2286</t>
  </si>
  <si>
    <t>1700_2486</t>
  </si>
  <si>
    <t>1700_2686</t>
  </si>
  <si>
    <t>1700_2886</t>
  </si>
  <si>
    <t>1700_2A86</t>
  </si>
  <si>
    <t>1700_2C86</t>
  </si>
  <si>
    <t>1700_2E86</t>
  </si>
  <si>
    <t>1700_3086</t>
  </si>
  <si>
    <t>1700_3286</t>
  </si>
  <si>
    <t>1700_3486</t>
  </si>
  <si>
    <t>1700_3686</t>
  </si>
  <si>
    <t>1700_3886</t>
  </si>
  <si>
    <t>1700_3A86</t>
  </si>
  <si>
    <t>1700_3C86</t>
  </si>
  <si>
    <t>1700_3E86</t>
  </si>
  <si>
    <t>1700_4086</t>
  </si>
  <si>
    <t>1700_4286</t>
  </si>
  <si>
    <t>1700_4486</t>
  </si>
  <si>
    <t>1700_4686</t>
  </si>
  <si>
    <t>1700_4886</t>
  </si>
  <si>
    <t>1700_4A86</t>
  </si>
  <si>
    <t>1700_4C86</t>
  </si>
  <si>
    <t>1700_4E86</t>
  </si>
  <si>
    <t>1700_5086</t>
  </si>
  <si>
    <t>1700_5286</t>
  </si>
  <si>
    <t>1700_5486</t>
  </si>
  <si>
    <t>1700_5686</t>
  </si>
  <si>
    <t>1700_5886</t>
  </si>
  <si>
    <t>1700_5A86</t>
  </si>
  <si>
    <t>1700_5C86</t>
  </si>
  <si>
    <t>1700_5E86</t>
  </si>
  <si>
    <t>1700_6086</t>
  </si>
  <si>
    <t>1700_6286</t>
  </si>
  <si>
    <t>1700_6486</t>
  </si>
  <si>
    <t>1700_6686</t>
  </si>
  <si>
    <t>1700_6886</t>
  </si>
  <si>
    <t>1700_6A86</t>
  </si>
  <si>
    <t>1700_6C86</t>
  </si>
  <si>
    <t>1700_6E86</t>
  </si>
  <si>
    <t>1700_7086</t>
  </si>
  <si>
    <t>1700_7286</t>
  </si>
  <si>
    <t>1700_7486</t>
  </si>
  <si>
    <t>1700_7686</t>
  </si>
  <si>
    <t>1700_7886</t>
  </si>
  <si>
    <t>1700_7A86</t>
  </si>
  <si>
    <t>1700_7C86</t>
  </si>
  <si>
    <t>1700_7E86</t>
  </si>
  <si>
    <t>1700_0087</t>
  </si>
  <si>
    <t>1700_0287</t>
  </si>
  <si>
    <t>1700_0487</t>
  </si>
  <si>
    <t>1700_0687</t>
  </si>
  <si>
    <t>1700_0887</t>
  </si>
  <si>
    <t>1700_0A87</t>
  </si>
  <si>
    <t>1700_0C87</t>
  </si>
  <si>
    <t>1700_0E87</t>
  </si>
  <si>
    <t>1700_1087</t>
  </si>
  <si>
    <t>1700_1287</t>
  </si>
  <si>
    <t>1700_1487</t>
  </si>
  <si>
    <t>1700_1687</t>
  </si>
  <si>
    <t>1700_1887</t>
  </si>
  <si>
    <t>1700_1A87</t>
  </si>
  <si>
    <t>1700_1C87</t>
  </si>
  <si>
    <t>1700_1E87</t>
  </si>
  <si>
    <t>1700_2087</t>
  </si>
  <si>
    <t>1700_2287</t>
  </si>
  <si>
    <t>1700_2487</t>
  </si>
  <si>
    <t>1700_2687</t>
  </si>
  <si>
    <t>1700_2887</t>
  </si>
  <si>
    <t>1700_2A87</t>
  </si>
  <si>
    <t>1700_2C87</t>
  </si>
  <si>
    <t>1700_2E87</t>
  </si>
  <si>
    <t>1700_3087</t>
  </si>
  <si>
    <t>1700_3287</t>
  </si>
  <si>
    <t>1700_3487</t>
  </si>
  <si>
    <t>1700_3687</t>
  </si>
  <si>
    <t>1700_3887</t>
  </si>
  <si>
    <t>1700_3A87</t>
  </si>
  <si>
    <t>1700_3C87</t>
  </si>
  <si>
    <t>1700_3E87</t>
  </si>
  <si>
    <t>1700_4087</t>
  </si>
  <si>
    <t>1700_4287</t>
  </si>
  <si>
    <t>1700_4487</t>
  </si>
  <si>
    <t>1700_4687</t>
  </si>
  <si>
    <t>1700_4887</t>
  </si>
  <si>
    <t>1700_4A87</t>
  </si>
  <si>
    <t>1700_4C87</t>
  </si>
  <si>
    <t>1700_4E87</t>
  </si>
  <si>
    <t>1700_5087</t>
  </si>
  <si>
    <t>1700_5287</t>
  </si>
  <si>
    <t>1700_5487</t>
  </si>
  <si>
    <t>1700_5687</t>
  </si>
  <si>
    <t>1700_5887</t>
  </si>
  <si>
    <t>1700_5A87</t>
  </si>
  <si>
    <t>1700_5C87</t>
  </si>
  <si>
    <t>1700_5E87</t>
  </si>
  <si>
    <t>1700_6087</t>
  </si>
  <si>
    <t>1700_6287</t>
  </si>
  <si>
    <t>1700_6487</t>
  </si>
  <si>
    <t>1700_6687</t>
  </si>
  <si>
    <t>1700_6887</t>
  </si>
  <si>
    <t>1700_6A87</t>
  </si>
  <si>
    <t>1700_6C87</t>
  </si>
  <si>
    <t>1700_6E87</t>
  </si>
  <si>
    <t>1700_7087</t>
  </si>
  <si>
    <t>1700_7287</t>
  </si>
  <si>
    <t>1700_7487</t>
  </si>
  <si>
    <t>1700_7687</t>
  </si>
  <si>
    <t>1700_7887</t>
  </si>
  <si>
    <t>1700_7A87</t>
  </si>
  <si>
    <t>1700_7C87</t>
  </si>
  <si>
    <t>1700_7E87</t>
  </si>
  <si>
    <t>1700_0088</t>
  </si>
  <si>
    <t>1700_0288</t>
  </si>
  <si>
    <t>1700_0488</t>
  </si>
  <si>
    <t>1700_0688</t>
  </si>
  <si>
    <t>1700_0888</t>
  </si>
  <si>
    <t>1700_0A88</t>
  </si>
  <si>
    <t>1700_0C88</t>
  </si>
  <si>
    <t>1700_0E88</t>
  </si>
  <si>
    <t>1700_1088</t>
  </si>
  <si>
    <t>1700_1288</t>
  </si>
  <si>
    <t>1700_1488</t>
  </si>
  <si>
    <t>1700_1688</t>
  </si>
  <si>
    <t>1700_1888</t>
  </si>
  <si>
    <t>1700_1A88</t>
  </si>
  <si>
    <t>1700_1C88</t>
  </si>
  <si>
    <t>1700_1E88</t>
  </si>
  <si>
    <t>1700_2088</t>
  </si>
  <si>
    <t>1700_2288</t>
  </si>
  <si>
    <t>1700_2488</t>
  </si>
  <si>
    <t>1700_2688</t>
  </si>
  <si>
    <t>1700_2888</t>
  </si>
  <si>
    <t>1700_2A88</t>
  </si>
  <si>
    <t>1700_2C88</t>
  </si>
  <si>
    <t>1700_2E88</t>
  </si>
  <si>
    <t>1700_3088</t>
  </si>
  <si>
    <t>1700_3288</t>
  </si>
  <si>
    <t>1700_3488</t>
  </si>
  <si>
    <t>1700_3688</t>
  </si>
  <si>
    <t>1700_3888</t>
  </si>
  <si>
    <t>1700_3A88</t>
  </si>
  <si>
    <t>1700_3C88</t>
  </si>
  <si>
    <t>1700_3E88</t>
  </si>
  <si>
    <t>1700_4088</t>
  </si>
  <si>
    <t>1700_4288</t>
  </si>
  <si>
    <t>1700_4488</t>
  </si>
  <si>
    <t>1700_4688</t>
  </si>
  <si>
    <t>1700_4888</t>
  </si>
  <si>
    <t>1700_4A88</t>
  </si>
  <si>
    <t>1700_4C88</t>
  </si>
  <si>
    <t>1700_4E88</t>
  </si>
  <si>
    <t>1700_5088</t>
  </si>
  <si>
    <t>1700_5288</t>
  </si>
  <si>
    <t>1700_5488</t>
  </si>
  <si>
    <t>1700_5688</t>
  </si>
  <si>
    <t>1700_5888</t>
  </si>
  <si>
    <t>1700_5A88</t>
  </si>
  <si>
    <t>1700_5C88</t>
  </si>
  <si>
    <t>1700_5E88</t>
  </si>
  <si>
    <t>1700_6088</t>
  </si>
  <si>
    <t>1700_6288</t>
  </si>
  <si>
    <t>1700_6488</t>
  </si>
  <si>
    <t>1700_6688</t>
  </si>
  <si>
    <t>1700_6888</t>
  </si>
  <si>
    <t>1700_6A88</t>
  </si>
  <si>
    <t>1700_6C88</t>
  </si>
  <si>
    <t>1700_6E88</t>
  </si>
  <si>
    <t>1700_7088</t>
  </si>
  <si>
    <t>1700_7288</t>
  </si>
  <si>
    <t>1700_7488</t>
  </si>
  <si>
    <t>1700_7688</t>
  </si>
  <si>
    <t>1700_7888</t>
  </si>
  <si>
    <t>1700_7A88</t>
  </si>
  <si>
    <t>1700_7C88</t>
  </si>
  <si>
    <t>1700_7E88</t>
  </si>
  <si>
    <t>1700_0089</t>
  </si>
  <si>
    <t>1700_0289</t>
  </si>
  <si>
    <t>1700_0489</t>
  </si>
  <si>
    <t>1700_0689</t>
  </si>
  <si>
    <t>1700_0889</t>
  </si>
  <si>
    <t>1700_0A89</t>
  </si>
  <si>
    <t>1700_0C89</t>
  </si>
  <si>
    <t>1700_0E89</t>
  </si>
  <si>
    <t>1700_1089</t>
  </si>
  <si>
    <t>1700_1289</t>
  </si>
  <si>
    <t>1700_1489</t>
  </si>
  <si>
    <t>1700_1689</t>
  </si>
  <si>
    <t>1700_1889</t>
  </si>
  <si>
    <t>1700_1A89</t>
  </si>
  <si>
    <t>1700_1C89</t>
  </si>
  <si>
    <t>1700_1E89</t>
  </si>
  <si>
    <t>1700_2089</t>
  </si>
  <si>
    <t>1700_2289</t>
  </si>
  <si>
    <t>1700_2489</t>
  </si>
  <si>
    <t>1700_2689</t>
  </si>
  <si>
    <t>1700_2889</t>
  </si>
  <si>
    <t>1700_2A89</t>
  </si>
  <si>
    <t>1700_2C89</t>
  </si>
  <si>
    <t>1700_2E89</t>
  </si>
  <si>
    <t>1700_3089</t>
  </si>
  <si>
    <t>1700_3289</t>
  </si>
  <si>
    <t>1700_3489</t>
  </si>
  <si>
    <t>1700_3689</t>
  </si>
  <si>
    <t>1700_3889</t>
  </si>
  <si>
    <t>1700_3A89</t>
  </si>
  <si>
    <t>1700_3C89</t>
  </si>
  <si>
    <t>1700_3E89</t>
  </si>
  <si>
    <t>1700_4089</t>
  </si>
  <si>
    <t>1700_4289</t>
  </si>
  <si>
    <t>1700_4489</t>
  </si>
  <si>
    <t>1700_4689</t>
  </si>
  <si>
    <t>1700_4889</t>
  </si>
  <si>
    <t>1700_4A89</t>
  </si>
  <si>
    <t>1700_4C89</t>
  </si>
  <si>
    <t>1700_4E89</t>
  </si>
  <si>
    <t>1700_5089</t>
  </si>
  <si>
    <t>1700_5289</t>
  </si>
  <si>
    <t>1700_5489</t>
  </si>
  <si>
    <t>1700_5689</t>
  </si>
  <si>
    <t>1700_5889</t>
  </si>
  <si>
    <t>1700_5A89</t>
  </si>
  <si>
    <t>1700_5C89</t>
  </si>
  <si>
    <t>1700_5E89</t>
  </si>
  <si>
    <t>1700_6089</t>
  </si>
  <si>
    <t>1700_6289</t>
  </si>
  <si>
    <t>1700_6489</t>
  </si>
  <si>
    <t>1700_6689</t>
  </si>
  <si>
    <t>1700_6889</t>
  </si>
  <si>
    <t>1700_6A89</t>
  </si>
  <si>
    <t>1700_6C89</t>
  </si>
  <si>
    <t>1700_6E89</t>
  </si>
  <si>
    <t>1700_7089</t>
  </si>
  <si>
    <t>1700_7289</t>
  </si>
  <si>
    <t>1700_7489</t>
  </si>
  <si>
    <t>1700_7689</t>
  </si>
  <si>
    <t>1700_7889</t>
  </si>
  <si>
    <t>1700_7A89</t>
  </si>
  <si>
    <t>1700_7C89</t>
  </si>
  <si>
    <t>1700_7E89</t>
  </si>
  <si>
    <t>1700_008A</t>
  </si>
  <si>
    <t>1700_028A</t>
  </si>
  <si>
    <t>1700_048A</t>
  </si>
  <si>
    <t>1700_068A</t>
  </si>
  <si>
    <t>1700_088A</t>
  </si>
  <si>
    <t>1700_0A8A</t>
  </si>
  <si>
    <t>1700_0C8A</t>
  </si>
  <si>
    <t>1700_0E8A</t>
  </si>
  <si>
    <t>1700_108A</t>
  </si>
  <si>
    <t>1700_128A</t>
  </si>
  <si>
    <t>1700_148A</t>
  </si>
  <si>
    <t>1700_168A</t>
  </si>
  <si>
    <t>1700_188A</t>
  </si>
  <si>
    <t>1700_1A8A</t>
  </si>
  <si>
    <t>1700_1C8A</t>
  </si>
  <si>
    <t>1700_1E8A</t>
  </si>
  <si>
    <t>1700_208A</t>
  </si>
  <si>
    <t>1700_228A</t>
  </si>
  <si>
    <t>1700_248A</t>
  </si>
  <si>
    <t>1700_268A</t>
  </si>
  <si>
    <t>1700_288A</t>
  </si>
  <si>
    <t>1700_2A8A</t>
  </si>
  <si>
    <t>1700_2C8A</t>
  </si>
  <si>
    <t>1700_2E8A</t>
  </si>
  <si>
    <t>1700_308A</t>
  </si>
  <si>
    <t>1700_328A</t>
  </si>
  <si>
    <t>1700_348A</t>
  </si>
  <si>
    <t>1700_368A</t>
  </si>
  <si>
    <t>1700_388A</t>
  </si>
  <si>
    <t>1700_3A8A</t>
  </si>
  <si>
    <t>1700_3C8A</t>
  </si>
  <si>
    <t>1700_3E8A</t>
  </si>
  <si>
    <t>1700_408A</t>
  </si>
  <si>
    <t>1700_428A</t>
  </si>
  <si>
    <t>1700_448A</t>
  </si>
  <si>
    <t>1700_468A</t>
  </si>
  <si>
    <t>1700_488A</t>
  </si>
  <si>
    <t>1700_4A8A</t>
  </si>
  <si>
    <t>1700_4C8A</t>
  </si>
  <si>
    <t>1700_4E8A</t>
  </si>
  <si>
    <t>1700_508A</t>
  </si>
  <si>
    <t>1700_528A</t>
  </si>
  <si>
    <t>1700_548A</t>
  </si>
  <si>
    <t>1700_568A</t>
  </si>
  <si>
    <t>1700_588A</t>
  </si>
  <si>
    <t>1700_5A8A</t>
  </si>
  <si>
    <t>1700_5C8A</t>
  </si>
  <si>
    <t>1700_5E8A</t>
  </si>
  <si>
    <t>1700_608A</t>
  </si>
  <si>
    <t>1700_628A</t>
  </si>
  <si>
    <t>1700_648A</t>
  </si>
  <si>
    <t>1700_668A</t>
  </si>
  <si>
    <t>1700_688A</t>
  </si>
  <si>
    <t>1700_6A8A</t>
  </si>
  <si>
    <t>1700_6C8A</t>
  </si>
  <si>
    <t>1700_6E8A</t>
  </si>
  <si>
    <t>1700_708A</t>
  </si>
  <si>
    <t>1700_728A</t>
  </si>
  <si>
    <t>1700_748A</t>
  </si>
  <si>
    <t>1700_768A</t>
  </si>
  <si>
    <t>1700_788A</t>
  </si>
  <si>
    <t>1700_7A8A</t>
  </si>
  <si>
    <t>1700_7C8A</t>
  </si>
  <si>
    <t>1700_7E8A</t>
  </si>
  <si>
    <t>1700_008B</t>
  </si>
  <si>
    <t>1700_028B</t>
  </si>
  <si>
    <t>1700_048B</t>
  </si>
  <si>
    <t>1700_068B</t>
  </si>
  <si>
    <t>1700_088B</t>
  </si>
  <si>
    <t>1700_0A8B</t>
  </si>
  <si>
    <t>1700_0C8B</t>
  </si>
  <si>
    <t>1700_0E8B</t>
  </si>
  <si>
    <t>1700_108B</t>
  </si>
  <si>
    <t>1700_128B</t>
  </si>
  <si>
    <t>1700_148B</t>
  </si>
  <si>
    <t>1700_168B</t>
  </si>
  <si>
    <t>1700_188B</t>
  </si>
  <si>
    <t>1700_1A8B</t>
  </si>
  <si>
    <t>1700_1C8B</t>
  </si>
  <si>
    <t>1700_1E8B</t>
  </si>
  <si>
    <t>1700_208B</t>
  </si>
  <si>
    <t>1700_228B</t>
  </si>
  <si>
    <t>1700_248B</t>
  </si>
  <si>
    <t>1700_268B</t>
  </si>
  <si>
    <t>1700_288B</t>
  </si>
  <si>
    <t>1700_2A8B</t>
  </si>
  <si>
    <t>1700_2C8B</t>
  </si>
  <si>
    <t>1700_2E8B</t>
  </si>
  <si>
    <t>1700_308B</t>
  </si>
  <si>
    <t>1700_328B</t>
  </si>
  <si>
    <t>1700_348B</t>
  </si>
  <si>
    <t>1700_368B</t>
  </si>
  <si>
    <t>1700_388B</t>
  </si>
  <si>
    <t>1700_3A8B</t>
  </si>
  <si>
    <t>1700_3C8B</t>
  </si>
  <si>
    <t>1700_3E8B</t>
  </si>
  <si>
    <t>1700_408B</t>
  </si>
  <si>
    <t>1700_428B</t>
  </si>
  <si>
    <t>1700_448B</t>
  </si>
  <si>
    <t>1700_468B</t>
  </si>
  <si>
    <t>1700_488B</t>
  </si>
  <si>
    <t>1700_4A8B</t>
  </si>
  <si>
    <t>1700_4C8B</t>
  </si>
  <si>
    <t>1700_4E8B</t>
  </si>
  <si>
    <t>1700_508B</t>
  </si>
  <si>
    <t>1700_528B</t>
  </si>
  <si>
    <t>1700_548B</t>
  </si>
  <si>
    <t>1700_568B</t>
  </si>
  <si>
    <t>1700_588B</t>
  </si>
  <si>
    <t>1700_5A8B</t>
  </si>
  <si>
    <t>1700_5C8B</t>
  </si>
  <si>
    <t>1700_5E8B</t>
  </si>
  <si>
    <t>1700_608B</t>
  </si>
  <si>
    <t>1700_628B</t>
  </si>
  <si>
    <t>1700_648B</t>
  </si>
  <si>
    <t>1700_668B</t>
  </si>
  <si>
    <t>1700_688B</t>
  </si>
  <si>
    <t>1700_6A8B</t>
  </si>
  <si>
    <t>1700_6C8B</t>
  </si>
  <si>
    <t>1700_6E8B</t>
  </si>
  <si>
    <t>1700_708B</t>
  </si>
  <si>
    <t>1700_728B</t>
  </si>
  <si>
    <t>1700_748B</t>
  </si>
  <si>
    <t>1700_768B</t>
  </si>
  <si>
    <t>1700_788B</t>
  </si>
  <si>
    <t>1700_7A8B</t>
  </si>
  <si>
    <t>1700_7C8B</t>
  </si>
  <si>
    <t>1700_7E8B</t>
  </si>
  <si>
    <t>1700_008C</t>
  </si>
  <si>
    <t>1700_028C</t>
  </si>
  <si>
    <t>1700_048C</t>
  </si>
  <si>
    <t>1700_068C</t>
  </si>
  <si>
    <t>1700_088C</t>
  </si>
  <si>
    <t>1700_0A8C</t>
  </si>
  <si>
    <t>1700_0C8C</t>
  </si>
  <si>
    <t>1700_0E8C</t>
  </si>
  <si>
    <t>1700_108C</t>
  </si>
  <si>
    <t>1700_128C</t>
  </si>
  <si>
    <t>1700_148C</t>
  </si>
  <si>
    <t>1700_168C</t>
  </si>
  <si>
    <t>1700_188C</t>
  </si>
  <si>
    <t>1700_1A8C</t>
  </si>
  <si>
    <t>1700_1C8C</t>
  </si>
  <si>
    <t>1700_1E8C</t>
  </si>
  <si>
    <t>1700_208C</t>
  </si>
  <si>
    <t>1700_228C</t>
  </si>
  <si>
    <t>1700_248C</t>
  </si>
  <si>
    <t>1700_268C</t>
  </si>
  <si>
    <t>1700_288C</t>
  </si>
  <si>
    <t>1700_2A8C</t>
  </si>
  <si>
    <t>1700_2C8C</t>
  </si>
  <si>
    <t>1700_2E8C</t>
  </si>
  <si>
    <t>1700_308C</t>
  </si>
  <si>
    <t>1700_328C</t>
  </si>
  <si>
    <t>1700_348C</t>
  </si>
  <si>
    <t>1700_368C</t>
  </si>
  <si>
    <t>1700_388C</t>
  </si>
  <si>
    <t>1700_3A8C</t>
  </si>
  <si>
    <t>1700_3C8C</t>
  </si>
  <si>
    <t>1700_3E8C</t>
  </si>
  <si>
    <t>1700_408C</t>
  </si>
  <si>
    <t>1700_428C</t>
  </si>
  <si>
    <t>1700_448C</t>
  </si>
  <si>
    <t>1700_468C</t>
  </si>
  <si>
    <t>1700_488C</t>
  </si>
  <si>
    <t>1700_4A8C</t>
  </si>
  <si>
    <t>1700_4C8C</t>
  </si>
  <si>
    <t>1700_4E8C</t>
  </si>
  <si>
    <t>1700_508C</t>
  </si>
  <si>
    <t>1700_528C</t>
  </si>
  <si>
    <t>1700_548C</t>
  </si>
  <si>
    <t>1700_568C</t>
  </si>
  <si>
    <t>1700_588C</t>
  </si>
  <si>
    <t>1700_5A8C</t>
  </si>
  <si>
    <t>1700_5C8C</t>
  </si>
  <si>
    <t>1700_5E8C</t>
  </si>
  <si>
    <t>1700_608C</t>
  </si>
  <si>
    <t>1700_628C</t>
  </si>
  <si>
    <t>1700_648C</t>
  </si>
  <si>
    <t>1700_668C</t>
  </si>
  <si>
    <t>1700_688C</t>
  </si>
  <si>
    <t>1700_6A8C</t>
  </si>
  <si>
    <t>1700_6C8C</t>
  </si>
  <si>
    <t>1700_6E8C</t>
  </si>
  <si>
    <t>1700_708C</t>
  </si>
  <si>
    <t>1700_728C</t>
  </si>
  <si>
    <t>1700_748C</t>
  </si>
  <si>
    <t>1700_768C</t>
  </si>
  <si>
    <t>1700_788C</t>
  </si>
  <si>
    <t>1700_7A8C</t>
  </si>
  <si>
    <t>1700_7C8C</t>
  </si>
  <si>
    <t>1700_7E8C</t>
  </si>
  <si>
    <t>1700_008D</t>
  </si>
  <si>
    <t>1700_028D</t>
  </si>
  <si>
    <t>1700_048D</t>
  </si>
  <si>
    <t>1700_068D</t>
  </si>
  <si>
    <t>1700_088D</t>
  </si>
  <si>
    <t>1700_0A8D</t>
  </si>
  <si>
    <t>1700_0C8D</t>
  </si>
  <si>
    <t>1700_0E8D</t>
  </si>
  <si>
    <t>1700_108D</t>
  </si>
  <si>
    <t>1700_128D</t>
  </si>
  <si>
    <t>1700_148D</t>
  </si>
  <si>
    <t>1700_168D</t>
  </si>
  <si>
    <t>1700_188D</t>
  </si>
  <si>
    <t>1700_1A8D</t>
  </si>
  <si>
    <t>1700_1C8D</t>
  </si>
  <si>
    <t>1700_1E8D</t>
  </si>
  <si>
    <t>1700_208D</t>
  </si>
  <si>
    <t>1700_228D</t>
  </si>
  <si>
    <t>1700_248D</t>
  </si>
  <si>
    <t>1700_268D</t>
  </si>
  <si>
    <t>1700_288D</t>
  </si>
  <si>
    <t>1700_2A8D</t>
  </si>
  <si>
    <t>1700_2C8D</t>
  </si>
  <si>
    <t>1700_2E8D</t>
  </si>
  <si>
    <t>1700_308D</t>
  </si>
  <si>
    <t>1700_328D</t>
  </si>
  <si>
    <t>1700_348D</t>
  </si>
  <si>
    <t>1700_368D</t>
  </si>
  <si>
    <t>1700_388D</t>
  </si>
  <si>
    <t>1700_3A8D</t>
  </si>
  <si>
    <t>1700_3C8D</t>
  </si>
  <si>
    <t>1700_3E8D</t>
  </si>
  <si>
    <t>1700_408D</t>
  </si>
  <si>
    <t>1700_428D</t>
  </si>
  <si>
    <t>1700_448D</t>
  </si>
  <si>
    <t>1700_468D</t>
  </si>
  <si>
    <t>1700_488D</t>
  </si>
  <si>
    <t>1700_4A8D</t>
  </si>
  <si>
    <t>1700_4C8D</t>
  </si>
  <si>
    <t>1700_4E8D</t>
  </si>
  <si>
    <t>1700_508D</t>
  </si>
  <si>
    <t>1700_528D</t>
  </si>
  <si>
    <t>1700_548D</t>
  </si>
  <si>
    <t>1700_568D</t>
  </si>
  <si>
    <t>1700_588D</t>
  </si>
  <si>
    <t>1700_5A8D</t>
  </si>
  <si>
    <t>1700_5C8D</t>
  </si>
  <si>
    <t>1700_5E8D</t>
  </si>
  <si>
    <t>1700_608D</t>
  </si>
  <si>
    <t>1700_628D</t>
  </si>
  <si>
    <t>1700_648D</t>
  </si>
  <si>
    <t>1700_668D</t>
  </si>
  <si>
    <t>1700_688D</t>
  </si>
  <si>
    <t>1700_6A8D</t>
  </si>
  <si>
    <t>1700_6C8D</t>
  </si>
  <si>
    <t>1700_6E8D</t>
  </si>
  <si>
    <t>1700_708D</t>
  </si>
  <si>
    <t>1700_728D</t>
  </si>
  <si>
    <t>1700_748D</t>
  </si>
  <si>
    <t>1700_768D</t>
  </si>
  <si>
    <t>1700_788D</t>
  </si>
  <si>
    <t>1700_7A8D</t>
  </si>
  <si>
    <t>1700_7C8D</t>
  </si>
  <si>
    <t>1700_7E8D</t>
  </si>
  <si>
    <t>1700_008E</t>
  </si>
  <si>
    <t>1700_028E</t>
  </si>
  <si>
    <t>1700_048E</t>
  </si>
  <si>
    <t>1700_068E</t>
  </si>
  <si>
    <t>1700_088E</t>
  </si>
  <si>
    <t>1700_0A8E</t>
  </si>
  <si>
    <t>1700_0C8E</t>
  </si>
  <si>
    <t>1700_0E8E</t>
  </si>
  <si>
    <t>1700_108E</t>
  </si>
  <si>
    <t>1700_128E</t>
  </si>
  <si>
    <t>1700_148E</t>
  </si>
  <si>
    <t>1700_168E</t>
  </si>
  <si>
    <t>1700_188E</t>
  </si>
  <si>
    <t>1700_1A8E</t>
  </si>
  <si>
    <t>1700_1C8E</t>
  </si>
  <si>
    <t>1700_1E8E</t>
  </si>
  <si>
    <t>1700_208E</t>
  </si>
  <si>
    <t>1700_228E</t>
  </si>
  <si>
    <t>1700_248E</t>
  </si>
  <si>
    <t>1700_268E</t>
  </si>
  <si>
    <t>1700_288E</t>
  </si>
  <si>
    <t>1700_2A8E</t>
  </si>
  <si>
    <t>1700_2C8E</t>
  </si>
  <si>
    <t>1700_2E8E</t>
  </si>
  <si>
    <t>1700_308E</t>
  </si>
  <si>
    <t>1700_328E</t>
  </si>
  <si>
    <t>1700_348E</t>
  </si>
  <si>
    <t>1700_368E</t>
  </si>
  <si>
    <t>1700_388E</t>
  </si>
  <si>
    <t>1700_3A8E</t>
  </si>
  <si>
    <t>1700_3C8E</t>
  </si>
  <si>
    <t>1700_3E8E</t>
  </si>
  <si>
    <t>1700_408E</t>
  </si>
  <si>
    <t>1700_428E</t>
  </si>
  <si>
    <t>1700_448E</t>
  </si>
  <si>
    <t>1700_468E</t>
  </si>
  <si>
    <t>1700_488E</t>
  </si>
  <si>
    <t>1700_4A8E</t>
  </si>
  <si>
    <t>1700_4C8E</t>
  </si>
  <si>
    <t>1700_4E8E</t>
  </si>
  <si>
    <t>1700_508E</t>
  </si>
  <si>
    <t>1700_528E</t>
  </si>
  <si>
    <t>1700_548E</t>
  </si>
  <si>
    <t>1700_568E</t>
  </si>
  <si>
    <t>1700_588E</t>
  </si>
  <si>
    <t>1700_5A8E</t>
  </si>
  <si>
    <t>1700_5C8E</t>
  </si>
  <si>
    <t>1700_5E8E</t>
  </si>
  <si>
    <t>1700_608E</t>
  </si>
  <si>
    <t>1700_628E</t>
  </si>
  <si>
    <t>1700_648E</t>
  </si>
  <si>
    <t>1700_668E</t>
  </si>
  <si>
    <t>1700_688E</t>
  </si>
  <si>
    <t>1700_6A8E</t>
  </si>
  <si>
    <t>1700_6C8E</t>
  </si>
  <si>
    <t>1700_6E8E</t>
  </si>
  <si>
    <t>1700_708E</t>
  </si>
  <si>
    <t>1700_728E</t>
  </si>
  <si>
    <t>1700_748E</t>
  </si>
  <si>
    <t>1700_768E</t>
  </si>
  <si>
    <t>1700_788E</t>
  </si>
  <si>
    <t>1700_7A8E</t>
  </si>
  <si>
    <t>1700_7C8E</t>
  </si>
  <si>
    <t>1700_7E8E</t>
  </si>
  <si>
    <t>1700_008F</t>
  </si>
  <si>
    <t>1700_028F</t>
  </si>
  <si>
    <t>1700_048F</t>
  </si>
  <si>
    <t>1700_068F</t>
  </si>
  <si>
    <t>1700_088F</t>
  </si>
  <si>
    <t>1700_0A8F</t>
  </si>
  <si>
    <t>1700_0C8F</t>
  </si>
  <si>
    <t>1700_0E8F</t>
  </si>
  <si>
    <t>1700_108F</t>
  </si>
  <si>
    <t>1700_128F</t>
  </si>
  <si>
    <t>1700_148F</t>
  </si>
  <si>
    <t>1700_168F</t>
  </si>
  <si>
    <t>1700_188F</t>
  </si>
  <si>
    <t>1700_1A8F</t>
  </si>
  <si>
    <t>1700_1C8F</t>
  </si>
  <si>
    <t>1700_1E8F</t>
  </si>
  <si>
    <t>1700_208F</t>
  </si>
  <si>
    <t>1700_228F</t>
  </si>
  <si>
    <t>1700_248F</t>
  </si>
  <si>
    <t>1700_268F</t>
  </si>
  <si>
    <t>1700_288F</t>
  </si>
  <si>
    <t>1700_2A8F</t>
  </si>
  <si>
    <t>1700_2C8F</t>
  </si>
  <si>
    <t>1700_2E8F</t>
  </si>
  <si>
    <t>1700_308F</t>
  </si>
  <si>
    <t>1700_328F</t>
  </si>
  <si>
    <t>1700_348F</t>
  </si>
  <si>
    <t>1700_368F</t>
  </si>
  <si>
    <t>1700_388F</t>
  </si>
  <si>
    <t>1700_3A8F</t>
  </si>
  <si>
    <t>1700_3C8F</t>
  </si>
  <si>
    <t>1700_3E8F</t>
  </si>
  <si>
    <t>1700_408F</t>
  </si>
  <si>
    <t>1700_428F</t>
  </si>
  <si>
    <t>1700_448F</t>
  </si>
  <si>
    <t>1700_468F</t>
  </si>
  <si>
    <t>1700_488F</t>
  </si>
  <si>
    <t>1700_4A8F</t>
  </si>
  <si>
    <t>1700_4C8F</t>
  </si>
  <si>
    <t>1700_4E8F</t>
  </si>
  <si>
    <t>1700_508F</t>
  </si>
  <si>
    <t>1700_528F</t>
  </si>
  <si>
    <t>1700_548F</t>
  </si>
  <si>
    <t>1700_568F</t>
  </si>
  <si>
    <t>1700_588F</t>
  </si>
  <si>
    <t>1700_5A8F</t>
  </si>
  <si>
    <t>1700_5C8F</t>
  </si>
  <si>
    <t>1700_5E8F</t>
  </si>
  <si>
    <t>1700_608F</t>
  </si>
  <si>
    <t>1700_628F</t>
  </si>
  <si>
    <t>1700_648F</t>
  </si>
  <si>
    <t>1700_668F</t>
  </si>
  <si>
    <t>1700_688F</t>
  </si>
  <si>
    <t>1700_6A8F</t>
  </si>
  <si>
    <t>1700_6C8F</t>
  </si>
  <si>
    <t>1700_6E8F</t>
  </si>
  <si>
    <t>1700_708F</t>
  </si>
  <si>
    <t>1700_728F</t>
  </si>
  <si>
    <t>1700_748F</t>
  </si>
  <si>
    <t>1700_768F</t>
  </si>
  <si>
    <t>1700_788F</t>
  </si>
  <si>
    <t>1700_7A8F</t>
  </si>
  <si>
    <t>1700_7C8F</t>
  </si>
  <si>
    <t>1700_7E8F</t>
  </si>
  <si>
    <t>1700_0090</t>
  </si>
  <si>
    <t>1700_0290</t>
  </si>
  <si>
    <t>1700_0490</t>
  </si>
  <si>
    <t>1700_0690</t>
  </si>
  <si>
    <t>1700_0890</t>
  </si>
  <si>
    <t>1700_0A90</t>
  </si>
  <si>
    <t>1700_0C90</t>
  </si>
  <si>
    <t>1700_0E90</t>
  </si>
  <si>
    <t>1700_1090</t>
  </si>
  <si>
    <t>1700_1290</t>
  </si>
  <si>
    <t>1700_1490</t>
  </si>
  <si>
    <t>1700_1690</t>
  </si>
  <si>
    <t>1700_1890</t>
  </si>
  <si>
    <t>1700_1A90</t>
  </si>
  <si>
    <t>1700_1C90</t>
  </si>
  <si>
    <t>1700_1E90</t>
  </si>
  <si>
    <t>1700_2090</t>
  </si>
  <si>
    <t>1700_2290</t>
  </si>
  <si>
    <t>1700_2490</t>
  </si>
  <si>
    <t>1700_2690</t>
  </si>
  <si>
    <t>1700_2890</t>
  </si>
  <si>
    <t>1700_2A90</t>
  </si>
  <si>
    <t>1700_2C90</t>
  </si>
  <si>
    <t>1700_2E90</t>
  </si>
  <si>
    <t>1700_3090</t>
  </si>
  <si>
    <t>1700_3290</t>
  </si>
  <si>
    <t>1700_3490</t>
  </si>
  <si>
    <t>1700_3690</t>
  </si>
  <si>
    <t>1700_3890</t>
  </si>
  <si>
    <t>1700_3A90</t>
  </si>
  <si>
    <t>1700_3C90</t>
  </si>
  <si>
    <t>1700_3E90</t>
  </si>
  <si>
    <t>1700_4090</t>
  </si>
  <si>
    <t>1700_4290</t>
  </si>
  <si>
    <t>1700_4490</t>
  </si>
  <si>
    <t>1700_4690</t>
  </si>
  <si>
    <t>1700_4890</t>
  </si>
  <si>
    <t>1700_4A90</t>
  </si>
  <si>
    <t>1700_4C90</t>
  </si>
  <si>
    <t>1700_4E90</t>
  </si>
  <si>
    <t>1700_5090</t>
  </si>
  <si>
    <t>1700_5290</t>
  </si>
  <si>
    <t>1700_5490</t>
  </si>
  <si>
    <t>1700_5690</t>
  </si>
  <si>
    <t>1700_5890</t>
  </si>
  <si>
    <t>1700_5A90</t>
  </si>
  <si>
    <t>1700_5C90</t>
  </si>
  <si>
    <t>1700_5E90</t>
  </si>
  <si>
    <t>1700_6090</t>
  </si>
  <si>
    <t>1700_6290</t>
  </si>
  <si>
    <t>1700_6490</t>
  </si>
  <si>
    <t>1700_6690</t>
  </si>
  <si>
    <t>1700_6890</t>
  </si>
  <si>
    <t>1700_6A90</t>
  </si>
  <si>
    <t>1700_6C90</t>
  </si>
  <si>
    <t>1700_6E90</t>
  </si>
  <si>
    <t>1700_7090</t>
  </si>
  <si>
    <t>1700_7290</t>
  </si>
  <si>
    <t>1700_7490</t>
  </si>
  <si>
    <t>1700_7690</t>
  </si>
  <si>
    <t>1700_7890</t>
  </si>
  <si>
    <t>1700_7A90</t>
  </si>
  <si>
    <t>1700_7C90</t>
  </si>
  <si>
    <t>1700_7E90</t>
  </si>
  <si>
    <t>1700_0091</t>
  </si>
  <si>
    <t>1700_0291</t>
  </si>
  <si>
    <t>1700_0491</t>
  </si>
  <si>
    <t>1700_0691</t>
  </si>
  <si>
    <t>1700_0891</t>
  </si>
  <si>
    <t>1700_0A91</t>
  </si>
  <si>
    <t>1700_0C91</t>
  </si>
  <si>
    <t>1700_0E91</t>
  </si>
  <si>
    <t>1700_1091</t>
  </si>
  <si>
    <t>1700_1291</t>
  </si>
  <si>
    <t>1700_1491</t>
  </si>
  <si>
    <t>1700_1691</t>
  </si>
  <si>
    <t>1700_1891</t>
  </si>
  <si>
    <t>1700_1A91</t>
  </si>
  <si>
    <t>1700_1C91</t>
  </si>
  <si>
    <t>1700_1E91</t>
  </si>
  <si>
    <t>1700_2091</t>
  </si>
  <si>
    <t>1700_2291</t>
  </si>
  <si>
    <t>1700_2491</t>
  </si>
  <si>
    <t>1700_2691</t>
  </si>
  <si>
    <t>1700_2891</t>
  </si>
  <si>
    <t>1700_2A91</t>
  </si>
  <si>
    <t>1700_2C91</t>
  </si>
  <si>
    <t>1700_2E91</t>
  </si>
  <si>
    <t>1700_3091</t>
  </si>
  <si>
    <t>1700_3291</t>
  </si>
  <si>
    <t>1700_3491</t>
  </si>
  <si>
    <t>1700_3691</t>
  </si>
  <si>
    <t>1700_3891</t>
  </si>
  <si>
    <t>1700_3A91</t>
  </si>
  <si>
    <t>1700_3C91</t>
  </si>
  <si>
    <t>1700_3E91</t>
  </si>
  <si>
    <t>1700_4091</t>
  </si>
  <si>
    <t>1700_4291</t>
  </si>
  <si>
    <t>1700_4491</t>
  </si>
  <si>
    <t>1700_4691</t>
  </si>
  <si>
    <t>1700_4891</t>
  </si>
  <si>
    <t>1700_4A91</t>
  </si>
  <si>
    <t>1700_4C91</t>
  </si>
  <si>
    <t>1700_4E91</t>
  </si>
  <si>
    <t>1700_5091</t>
  </si>
  <si>
    <t>1700_5291</t>
  </si>
  <si>
    <t>1700_5491</t>
  </si>
  <si>
    <t>1700_5691</t>
  </si>
  <si>
    <t>1700_5891</t>
  </si>
  <si>
    <t>1700_5A91</t>
  </si>
  <si>
    <t>1700_5C91</t>
  </si>
  <si>
    <t>1700_5E91</t>
  </si>
  <si>
    <t>1700_6091</t>
  </si>
  <si>
    <t>1700_6291</t>
  </si>
  <si>
    <t>1700_6491</t>
  </si>
  <si>
    <t>1700_6691</t>
  </si>
  <si>
    <t>1700_6891</t>
  </si>
  <si>
    <t>1700_6A91</t>
  </si>
  <si>
    <t>1700_6C91</t>
  </si>
  <si>
    <t>1700_6E91</t>
  </si>
  <si>
    <t>1700_7091</t>
  </si>
  <si>
    <t>1700_7291</t>
  </si>
  <si>
    <t>1700_7491</t>
  </si>
  <si>
    <t>1700_7691</t>
  </si>
  <si>
    <t>1700_7891</t>
  </si>
  <si>
    <t>1700_7A91</t>
  </si>
  <si>
    <t>1700_7C91</t>
  </si>
  <si>
    <t>1700_7E91</t>
  </si>
  <si>
    <t>1700_0092</t>
  </si>
  <si>
    <t>1700_0292</t>
  </si>
  <si>
    <t>1700_0492</t>
  </si>
  <si>
    <t>1700_0692</t>
  </si>
  <si>
    <t>1700_0892</t>
  </si>
  <si>
    <t>1700_0A92</t>
  </si>
  <si>
    <t>1700_0C92</t>
  </si>
  <si>
    <t>1700_0E92</t>
  </si>
  <si>
    <t>1700_1092</t>
  </si>
  <si>
    <t>1700_1292</t>
  </si>
  <si>
    <t>1700_1492</t>
  </si>
  <si>
    <t>1700_1692</t>
  </si>
  <si>
    <t>1700_1892</t>
  </si>
  <si>
    <t>1700_1A92</t>
  </si>
  <si>
    <t>1700_1C92</t>
  </si>
  <si>
    <t>1700_1E92</t>
  </si>
  <si>
    <t>1700_2092</t>
  </si>
  <si>
    <t>1700_2292</t>
  </si>
  <si>
    <t>1700_2492</t>
  </si>
  <si>
    <t>1700_2692</t>
  </si>
  <si>
    <t>1700_2892</t>
  </si>
  <si>
    <t>1700_2A92</t>
  </si>
  <si>
    <t>1700_2C92</t>
  </si>
  <si>
    <t>1700_2E92</t>
  </si>
  <si>
    <t>1700_3092</t>
  </si>
  <si>
    <t>1700_3292</t>
  </si>
  <si>
    <t>1700_3492</t>
  </si>
  <si>
    <t>1700_3692</t>
  </si>
  <si>
    <t>1700_3892</t>
  </si>
  <si>
    <t>1700_3A92</t>
  </si>
  <si>
    <t>1700_3C92</t>
  </si>
  <si>
    <t>1700_3E92</t>
  </si>
  <si>
    <t>1700_4092</t>
  </si>
  <si>
    <t>1700_4292</t>
  </si>
  <si>
    <t>1700_4492</t>
  </si>
  <si>
    <t>1700_4692</t>
  </si>
  <si>
    <t>1700_4892</t>
  </si>
  <si>
    <t>1700_4A92</t>
  </si>
  <si>
    <t>1700_4C92</t>
  </si>
  <si>
    <t>1700_4E92</t>
  </si>
  <si>
    <t>1700_5092</t>
  </si>
  <si>
    <t>1700_5292</t>
  </si>
  <si>
    <t>1700_5492</t>
  </si>
  <si>
    <t>1700_5692</t>
  </si>
  <si>
    <t>1700_5892</t>
  </si>
  <si>
    <t>1700_5A92</t>
  </si>
  <si>
    <t>1700_5C92</t>
  </si>
  <si>
    <t>1700_5E92</t>
  </si>
  <si>
    <t>1700_6092</t>
  </si>
  <si>
    <t>1700_6292</t>
  </si>
  <si>
    <t>1700_6492</t>
  </si>
  <si>
    <t>1700_6692</t>
  </si>
  <si>
    <t>1700_6892</t>
  </si>
  <si>
    <t>1700_6A92</t>
  </si>
  <si>
    <t>1700_6C92</t>
  </si>
  <si>
    <t>1700_6E92</t>
  </si>
  <si>
    <t>1700_7092</t>
  </si>
  <si>
    <t>1700_7292</t>
  </si>
  <si>
    <t>1700_7492</t>
  </si>
  <si>
    <t>1700_7692</t>
  </si>
  <si>
    <t>1700_7892</t>
  </si>
  <si>
    <t>1700_7A92</t>
  </si>
  <si>
    <t>1700_7C92</t>
  </si>
  <si>
    <t>1700_7E92</t>
  </si>
  <si>
    <t>1700_0093</t>
  </si>
  <si>
    <t>1700_0293</t>
  </si>
  <si>
    <t>1700_0493</t>
  </si>
  <si>
    <t>1700_0693</t>
  </si>
  <si>
    <t>1700_0893</t>
  </si>
  <si>
    <t>1700_0A93</t>
  </si>
  <si>
    <t>1700_0C93</t>
  </si>
  <si>
    <t>1700_0E93</t>
  </si>
  <si>
    <t>1700_1093</t>
  </si>
  <si>
    <t>1700_1293</t>
  </si>
  <si>
    <t>1700_1493</t>
  </si>
  <si>
    <t>1700_1693</t>
  </si>
  <si>
    <t>1700_1893</t>
  </si>
  <si>
    <t>1700_1A93</t>
  </si>
  <si>
    <t>1700_1C93</t>
  </si>
  <si>
    <t>1700_1E93</t>
  </si>
  <si>
    <t>1700_2093</t>
  </si>
  <si>
    <t>1700_2293</t>
  </si>
  <si>
    <t>1700_2493</t>
  </si>
  <si>
    <t>1700_2693</t>
  </si>
  <si>
    <t>1700_2893</t>
  </si>
  <si>
    <t>1700_2A93</t>
  </si>
  <si>
    <t>1700_2C93</t>
  </si>
  <si>
    <t>1700_2E93</t>
  </si>
  <si>
    <t>1700_3093</t>
  </si>
  <si>
    <t>1700_3293</t>
  </si>
  <si>
    <t>1700_3493</t>
  </si>
  <si>
    <t>1700_3693</t>
  </si>
  <si>
    <t>1700_3893</t>
  </si>
  <si>
    <t>1700_3A93</t>
  </si>
  <si>
    <t>1700_3C93</t>
  </si>
  <si>
    <t>1700_3E93</t>
  </si>
  <si>
    <t>1700_4093</t>
  </si>
  <si>
    <t>1700_4293</t>
  </si>
  <si>
    <t>1700_4493</t>
  </si>
  <si>
    <t>1700_4693</t>
  </si>
  <si>
    <t>1700_4893</t>
  </si>
  <si>
    <t>1700_4A93</t>
  </si>
  <si>
    <t>1700_4C93</t>
  </si>
  <si>
    <t>1700_4E93</t>
  </si>
  <si>
    <t>1700_5093</t>
  </si>
  <si>
    <t>1700_5293</t>
  </si>
  <si>
    <t>1700_5493</t>
  </si>
  <si>
    <t>1700_5693</t>
  </si>
  <si>
    <t>1700_5893</t>
  </si>
  <si>
    <t>1700_5A93</t>
  </si>
  <si>
    <t>1700_5C93</t>
  </si>
  <si>
    <t>1700_5E93</t>
  </si>
  <si>
    <t>1700_6093</t>
  </si>
  <si>
    <t>1700_6293</t>
  </si>
  <si>
    <t>1700_6493</t>
  </si>
  <si>
    <t>1700_6693</t>
  </si>
  <si>
    <t>1700_6893</t>
  </si>
  <si>
    <t>1700_6A93</t>
  </si>
  <si>
    <t>1700_6C93</t>
  </si>
  <si>
    <t>1700_6E93</t>
  </si>
  <si>
    <t>1700_7093</t>
  </si>
  <si>
    <t>1700_7293</t>
  </si>
  <si>
    <t>1700_7493</t>
  </si>
  <si>
    <t>1700_7693</t>
  </si>
  <si>
    <t>1700_7893</t>
  </si>
  <si>
    <t>1700_7A93</t>
  </si>
  <si>
    <t>1700_7C93</t>
  </si>
  <si>
    <t>1700_7E93</t>
  </si>
  <si>
    <t>1700_0094</t>
  </si>
  <si>
    <t>1700_0294</t>
  </si>
  <si>
    <t>1700_0494</t>
  </si>
  <si>
    <t>1700_0694</t>
  </si>
  <si>
    <t>1700_0894</t>
  </si>
  <si>
    <t>1700_0A94</t>
  </si>
  <si>
    <t>1700_0C94</t>
  </si>
  <si>
    <t>1700_0E94</t>
  </si>
  <si>
    <t>1700_1094</t>
  </si>
  <si>
    <t>1700_1294</t>
  </si>
  <si>
    <t>1700_1494</t>
  </si>
  <si>
    <t>1700_1694</t>
  </si>
  <si>
    <t>1700_1894</t>
  </si>
  <si>
    <t>1700_1A94</t>
  </si>
  <si>
    <t>1700_1C94</t>
  </si>
  <si>
    <t>1700_1E94</t>
  </si>
  <si>
    <t>1700_2094</t>
  </si>
  <si>
    <t>0x0C</t>
  </si>
  <si>
    <t>1700_2294</t>
  </si>
  <si>
    <t>1700_2494</t>
  </si>
  <si>
    <t>1700_2694</t>
  </si>
  <si>
    <t>1700_2894</t>
  </si>
  <si>
    <t>1700_2A94</t>
  </si>
  <si>
    <t>1700_2C94</t>
  </si>
  <si>
    <t>1700_2E94</t>
  </si>
  <si>
    <t>1700_3094</t>
  </si>
  <si>
    <t>1700_3294</t>
  </si>
  <si>
    <t>1700_3494</t>
  </si>
  <si>
    <t>1700_3694</t>
  </si>
  <si>
    <t>1700_3894</t>
  </si>
  <si>
    <t>1700_3A94</t>
  </si>
  <si>
    <t>1700_3C94</t>
  </si>
  <si>
    <t>1700_3E94</t>
  </si>
  <si>
    <t>1700_4094</t>
  </si>
  <si>
    <t>1700_4294</t>
  </si>
  <si>
    <t>1700_4494</t>
  </si>
  <si>
    <t>1700_4694</t>
  </si>
  <si>
    <t>1700_4894</t>
  </si>
  <si>
    <t>1700_4A94</t>
  </si>
  <si>
    <t>1700_4C94</t>
  </si>
  <si>
    <t>1700_4E94</t>
  </si>
  <si>
    <t>1700_5094</t>
  </si>
  <si>
    <t>1700_5294</t>
  </si>
  <si>
    <t>1700_5494</t>
  </si>
  <si>
    <t>1700_5694</t>
  </si>
  <si>
    <t>1700_5894</t>
  </si>
  <si>
    <t>1700_5A94</t>
  </si>
  <si>
    <t>1700_5C94</t>
  </si>
  <si>
    <t>1700_5E94</t>
  </si>
  <si>
    <t>1700_6094</t>
  </si>
  <si>
    <t>1700_6294</t>
  </si>
  <si>
    <t>1700_6494</t>
  </si>
  <si>
    <t>1700_6694</t>
  </si>
  <si>
    <t>1700_6894</t>
  </si>
  <si>
    <t>1700_6A94</t>
  </si>
  <si>
    <t>1700_6C94</t>
  </si>
  <si>
    <t>1700_6E94</t>
  </si>
  <si>
    <t>1700_7094</t>
  </si>
  <si>
    <t>1700_7294</t>
  </si>
  <si>
    <t>1700_7494</t>
  </si>
  <si>
    <t>1700_7694</t>
  </si>
  <si>
    <t>1700_7894</t>
  </si>
  <si>
    <t>1700_7A94</t>
  </si>
  <si>
    <t>1700_7C94</t>
  </si>
  <si>
    <t>1700_7E94</t>
  </si>
  <si>
    <t>1700_0095</t>
  </si>
  <si>
    <t>1700_0295</t>
  </si>
  <si>
    <t>1700_0495</t>
  </si>
  <si>
    <t>1700_0695</t>
  </si>
  <si>
    <t>1700_0895</t>
  </si>
  <si>
    <t>1700_0A95</t>
  </si>
  <si>
    <t>1700_0C95</t>
  </si>
  <si>
    <t>1700_0E95</t>
  </si>
  <si>
    <t>1700_1095</t>
  </si>
  <si>
    <t>1700_1295</t>
  </si>
  <si>
    <t>1700_1495</t>
  </si>
  <si>
    <t>1700_1695</t>
  </si>
  <si>
    <t>1700_1895</t>
  </si>
  <si>
    <t>1700_1A95</t>
  </si>
  <si>
    <t>1700_1C95</t>
  </si>
  <si>
    <t>1700_1E95</t>
  </si>
  <si>
    <t>1700_2095</t>
  </si>
  <si>
    <t>1700_2295</t>
  </si>
  <si>
    <t>1700_2495</t>
  </si>
  <si>
    <t>1700_2695</t>
  </si>
  <si>
    <t>1700_2895</t>
  </si>
  <si>
    <t>1700_2A95</t>
  </si>
  <si>
    <t>1700_2C95</t>
  </si>
  <si>
    <t>1700_2E95</t>
  </si>
  <si>
    <t>1700_3095</t>
  </si>
  <si>
    <t>1700_3295</t>
  </si>
  <si>
    <t>1700_3495</t>
  </si>
  <si>
    <t>1700_3695</t>
  </si>
  <si>
    <t>1700_3895</t>
  </si>
  <si>
    <t>1700_3A95</t>
  </si>
  <si>
    <t>1700_3C95</t>
  </si>
  <si>
    <t>1700_3E95</t>
  </si>
  <si>
    <t>1700_4095</t>
  </si>
  <si>
    <t>1700_4295</t>
  </si>
  <si>
    <t>1700_4495</t>
  </si>
  <si>
    <t>1700_4695</t>
  </si>
  <si>
    <t>1700_4895</t>
  </si>
  <si>
    <t>1700_4A95</t>
  </si>
  <si>
    <t>1700_4C95</t>
  </si>
  <si>
    <t>1700_4E95</t>
  </si>
  <si>
    <t>1700_5095</t>
  </si>
  <si>
    <t>1700_5295</t>
  </si>
  <si>
    <t>1700_5495</t>
  </si>
  <si>
    <t>1700_5695</t>
  </si>
  <si>
    <t>1700_5895</t>
  </si>
  <si>
    <t>1700_5A95</t>
  </si>
  <si>
    <t>1700_5C95</t>
  </si>
  <si>
    <t>1700_5E95</t>
  </si>
  <si>
    <t>1700_6095</t>
  </si>
  <si>
    <t>1700_6295</t>
  </si>
  <si>
    <t>1700_6495</t>
  </si>
  <si>
    <t>1700_6695</t>
  </si>
  <si>
    <t>1700_6895</t>
  </si>
  <si>
    <t>1700_6A95</t>
  </si>
  <si>
    <t>1700_6C95</t>
  </si>
  <si>
    <t>1700_6E95</t>
  </si>
  <si>
    <t>1700_7095</t>
  </si>
  <si>
    <t>1700_7295</t>
  </si>
  <si>
    <t>1700_7495</t>
  </si>
  <si>
    <t>1700_7695</t>
  </si>
  <si>
    <t>1700_7895</t>
  </si>
  <si>
    <t>1700_7A95</t>
  </si>
  <si>
    <t>1700_7C95</t>
  </si>
  <si>
    <t>1700_7E95</t>
  </si>
  <si>
    <t>1700_0096</t>
  </si>
  <si>
    <t>1700_0296</t>
  </si>
  <si>
    <t>1700_0496</t>
  </si>
  <si>
    <t>1700_0696</t>
  </si>
  <si>
    <t>1700_0896</t>
  </si>
  <si>
    <t>1700_0A96</t>
  </si>
  <si>
    <t>1700_0C96</t>
  </si>
  <si>
    <t>1700_0E96</t>
  </si>
  <si>
    <t>1700_1096</t>
  </si>
  <si>
    <t>1700_1296</t>
  </si>
  <si>
    <t>1700_1496</t>
  </si>
  <si>
    <t>1700_1696</t>
  </si>
  <si>
    <t>1700_1896</t>
  </si>
  <si>
    <t>1700_1A96</t>
  </si>
  <si>
    <t>1700_1C96</t>
  </si>
  <si>
    <t>1700_1E96</t>
  </si>
  <si>
    <t>1700_2096</t>
  </si>
  <si>
    <t>1700_2296</t>
  </si>
  <si>
    <t>1700_2496</t>
  </si>
  <si>
    <t>1700_2696</t>
  </si>
  <si>
    <t>1700_2896</t>
  </si>
  <si>
    <t>1700_2A96</t>
  </si>
  <si>
    <t>1700_2C96</t>
  </si>
  <si>
    <t>1700_2E96</t>
  </si>
  <si>
    <t>1700_3096</t>
  </si>
  <si>
    <t>1700_3296</t>
  </si>
  <si>
    <t>1700_3496</t>
  </si>
  <si>
    <t>1700_3696</t>
  </si>
  <si>
    <t>1700_3896</t>
  </si>
  <si>
    <t>1700_3A96</t>
  </si>
  <si>
    <t>1700_3C96</t>
  </si>
  <si>
    <t>1700_3E96</t>
  </si>
  <si>
    <t>1700_4096</t>
  </si>
  <si>
    <t>1700_4296</t>
  </si>
  <si>
    <t>1700_4496</t>
  </si>
  <si>
    <t>1700_4696</t>
  </si>
  <si>
    <t>1700_4896</t>
  </si>
  <si>
    <t>1700_4A96</t>
  </si>
  <si>
    <t>1700_4C96</t>
  </si>
  <si>
    <t>1700_4E96</t>
  </si>
  <si>
    <t>1700_5096</t>
  </si>
  <si>
    <t>1700_5296</t>
  </si>
  <si>
    <t>1700_5496</t>
  </si>
  <si>
    <t>1700_5696</t>
  </si>
  <si>
    <t>1700_5896</t>
  </si>
  <si>
    <t>1700_5A96</t>
  </si>
  <si>
    <t>1700_5C96</t>
  </si>
  <si>
    <t>1700_5E96</t>
  </si>
  <si>
    <t>1700_6096</t>
  </si>
  <si>
    <t>1700_6296</t>
  </si>
  <si>
    <t>1700_6496</t>
  </si>
  <si>
    <t>1700_6696</t>
  </si>
  <si>
    <t>1700_6896</t>
  </si>
  <si>
    <t>1700_6A96</t>
  </si>
  <si>
    <t>1700_6C96</t>
  </si>
  <si>
    <t>1700_6E96</t>
  </si>
  <si>
    <t>1700_7096</t>
  </si>
  <si>
    <t>1700_7296</t>
  </si>
  <si>
    <t>1700_7496</t>
  </si>
  <si>
    <t>1700_7696</t>
  </si>
  <si>
    <t>1700_7896</t>
  </si>
  <si>
    <t>1700_7A96</t>
  </si>
  <si>
    <t>1700_7C96</t>
  </si>
  <si>
    <t>1700_7E96</t>
  </si>
  <si>
    <t>1700_0097</t>
  </si>
  <si>
    <t>1700_0297</t>
  </si>
  <si>
    <t>1700_0497</t>
  </si>
  <si>
    <t>1700_0697</t>
  </si>
  <si>
    <t>1700_0897</t>
  </si>
  <si>
    <t>1700_0A97</t>
  </si>
  <si>
    <t>1700_0C97</t>
  </si>
  <si>
    <t>1700_0E97</t>
  </si>
  <si>
    <t>1700_1097</t>
  </si>
  <si>
    <t>1700_1297</t>
  </si>
  <si>
    <t>1700_1497</t>
  </si>
  <si>
    <t>1700_1697</t>
  </si>
  <si>
    <t>1700_1897</t>
  </si>
  <si>
    <t>1700_1A97</t>
  </si>
  <si>
    <t>1700_1C97</t>
  </si>
  <si>
    <t>1700_1E97</t>
  </si>
  <si>
    <t>1700_2097</t>
  </si>
  <si>
    <t>1700_2297</t>
  </si>
  <si>
    <t>1700_2497</t>
  </si>
  <si>
    <t>1700_2697</t>
  </si>
  <si>
    <t>1700_2897</t>
  </si>
  <si>
    <t>1700_2A97</t>
  </si>
  <si>
    <t>1700_2C97</t>
  </si>
  <si>
    <t>1700_2E97</t>
  </si>
  <si>
    <t>1700_3097</t>
  </si>
  <si>
    <t>1700_3297</t>
  </si>
  <si>
    <t>1700_3497</t>
  </si>
  <si>
    <t>1700_3697</t>
  </si>
  <si>
    <t>1700_3897</t>
  </si>
  <si>
    <t>1700_3A97</t>
  </si>
  <si>
    <t>1700_3C97</t>
  </si>
  <si>
    <t>1700_3E97</t>
  </si>
  <si>
    <t>1700_4097</t>
  </si>
  <si>
    <t>1700_4297</t>
  </si>
  <si>
    <t>1700_4497</t>
  </si>
  <si>
    <t>1700_4697</t>
  </si>
  <si>
    <t>1700_4897</t>
  </si>
  <si>
    <t>1700_4A97</t>
  </si>
  <si>
    <t>1700_4C97</t>
  </si>
  <si>
    <t>1700_4E97</t>
  </si>
  <si>
    <t>1700_5097</t>
  </si>
  <si>
    <t>1700_5297</t>
  </si>
  <si>
    <t>1700_5497</t>
  </si>
  <si>
    <t>1700_5697</t>
  </si>
  <si>
    <t>1700_5897</t>
  </si>
  <si>
    <t>1700_5A97</t>
  </si>
  <si>
    <t>1700_5C97</t>
  </si>
  <si>
    <t>1700_5E97</t>
  </si>
  <si>
    <t>1700_6097</t>
  </si>
  <si>
    <t>1700_6297</t>
  </si>
  <si>
    <t>1700_6497</t>
  </si>
  <si>
    <t>1700_6697</t>
  </si>
  <si>
    <t>1700_6897</t>
  </si>
  <si>
    <t>1700_6A97</t>
  </si>
  <si>
    <t>1700_6C97</t>
  </si>
  <si>
    <t>1700_6E97</t>
  </si>
  <si>
    <t>1700_7097</t>
  </si>
  <si>
    <t>1700_7297</t>
  </si>
  <si>
    <t>1700_7497</t>
  </si>
  <si>
    <t>1700_7697</t>
  </si>
  <si>
    <t>1700_7897</t>
  </si>
  <si>
    <t>1700_7A97</t>
  </si>
  <si>
    <t>1700_7C97</t>
  </si>
  <si>
    <t>1700_7E97</t>
  </si>
  <si>
    <t>1700_0098</t>
  </si>
  <si>
    <t>1700_0298</t>
  </si>
  <si>
    <t>1700_0498</t>
  </si>
  <si>
    <t>1700_0698</t>
  </si>
  <si>
    <t>1700_0898</t>
  </si>
  <si>
    <t>1700_0A98</t>
  </si>
  <si>
    <t>1700_0C98</t>
  </si>
  <si>
    <t>1700_0E98</t>
  </si>
  <si>
    <t>1700_1098</t>
  </si>
  <si>
    <t>1700_1298</t>
  </si>
  <si>
    <t>1700_1498</t>
  </si>
  <si>
    <t>1700_1698</t>
  </si>
  <si>
    <t>1700_1898</t>
  </si>
  <si>
    <t>1700_1A98</t>
  </si>
  <si>
    <t>1700_1C98</t>
  </si>
  <si>
    <t>1700_1E98</t>
  </si>
  <si>
    <t>1700_2098</t>
  </si>
  <si>
    <t>1700_2298</t>
  </si>
  <si>
    <t>1700_2498</t>
  </si>
  <si>
    <t>1700_2698</t>
  </si>
  <si>
    <t>1700_2898</t>
  </si>
  <si>
    <t>1700_2A98</t>
  </si>
  <si>
    <t>1700_2C98</t>
  </si>
  <si>
    <t>1700_2E98</t>
  </si>
  <si>
    <t>1700_3098</t>
  </si>
  <si>
    <t>1700_3298</t>
  </si>
  <si>
    <t>1700_3498</t>
  </si>
  <si>
    <t>1700_3698</t>
  </si>
  <si>
    <t>1700_3898</t>
  </si>
  <si>
    <t>1700_3A98</t>
  </si>
  <si>
    <t>1700_3C98</t>
  </si>
  <si>
    <t>1700_3E98</t>
  </si>
  <si>
    <t>1700_4098</t>
  </si>
  <si>
    <t>1700_4298</t>
  </si>
  <si>
    <t>1700_4498</t>
  </si>
  <si>
    <t>1700_4698</t>
  </si>
  <si>
    <t>1700_4898</t>
  </si>
  <si>
    <t>1700_4A98</t>
  </si>
  <si>
    <t>1700_4C98</t>
  </si>
  <si>
    <t>1700_4E98</t>
  </si>
  <si>
    <t>1700_5098</t>
  </si>
  <si>
    <t>1700_5298</t>
  </si>
  <si>
    <t>1700_5498</t>
  </si>
  <si>
    <t>1700_5698</t>
  </si>
  <si>
    <t>1700_5898</t>
  </si>
  <si>
    <t>1700_5A98</t>
  </si>
  <si>
    <t>1700_5C98</t>
  </si>
  <si>
    <t>1700_5E98</t>
  </si>
  <si>
    <t>1700_6098</t>
  </si>
  <si>
    <t>1700_6298</t>
  </si>
  <si>
    <t>1700_6498</t>
  </si>
  <si>
    <t>1700_6698</t>
  </si>
  <si>
    <t>1700_6898</t>
  </si>
  <si>
    <t>1700_6A98</t>
  </si>
  <si>
    <t>1700_6C98</t>
  </si>
  <si>
    <t>1700_6E98</t>
  </si>
  <si>
    <t>1700_7098</t>
  </si>
  <si>
    <t>1700_7298</t>
  </si>
  <si>
    <t>1700_7498</t>
  </si>
  <si>
    <t>1700_7698</t>
  </si>
  <si>
    <t>1700_7898</t>
  </si>
  <si>
    <t>1700_7A98</t>
  </si>
  <si>
    <t>1700_7C98</t>
  </si>
  <si>
    <t>1700_7E98</t>
  </si>
  <si>
    <t>1700_0099</t>
  </si>
  <si>
    <t>1700_0299</t>
  </si>
  <si>
    <t>1700_0499</t>
  </si>
  <si>
    <t>1700_0699</t>
  </si>
  <si>
    <t>1700_0899</t>
  </si>
  <si>
    <t>1700_0A99</t>
  </si>
  <si>
    <t>1700_0C99</t>
  </si>
  <si>
    <t>1700_0E99</t>
  </si>
  <si>
    <t>1700_1099</t>
  </si>
  <si>
    <t>1700_1299</t>
  </si>
  <si>
    <t>1700_1499</t>
  </si>
  <si>
    <t>1700_1699</t>
  </si>
  <si>
    <t>1700_1899</t>
  </si>
  <si>
    <t>1700_1A99</t>
  </si>
  <si>
    <t>1700_1C99</t>
  </si>
  <si>
    <t>1700_1E99</t>
  </si>
  <si>
    <t>1700_2099</t>
  </si>
  <si>
    <t>1700_2299</t>
  </si>
  <si>
    <t>1700_2499</t>
  </si>
  <si>
    <t>1700_2699</t>
  </si>
  <si>
    <t>1700_2899</t>
  </si>
  <si>
    <t>1700_2A99</t>
  </si>
  <si>
    <t>1700_2C99</t>
  </si>
  <si>
    <t>1700_2E99</t>
  </si>
  <si>
    <t>1700_3099</t>
  </si>
  <si>
    <t>1700_3299</t>
  </si>
  <si>
    <t>1700_3499</t>
  </si>
  <si>
    <t>1700_3699</t>
  </si>
  <si>
    <t>1700_3899</t>
  </si>
  <si>
    <t>1700_3A99</t>
  </si>
  <si>
    <t>1700_3C99</t>
  </si>
  <si>
    <t>1700_3E99</t>
  </si>
  <si>
    <t>1700_4099</t>
  </si>
  <si>
    <t>1700_4299</t>
  </si>
  <si>
    <t>1700_4499</t>
  </si>
  <si>
    <t>1700_4699</t>
  </si>
  <si>
    <t>1700_4899</t>
  </si>
  <si>
    <t>1700_4A99</t>
  </si>
  <si>
    <t>1700_4C99</t>
  </si>
  <si>
    <t>1700_4E99</t>
  </si>
  <si>
    <t>1700_5099</t>
  </si>
  <si>
    <t>1700_5299</t>
  </si>
  <si>
    <t>1700_5499</t>
  </si>
  <si>
    <t>1700_5699</t>
  </si>
  <si>
    <t>1700_5899</t>
  </si>
  <si>
    <t>1700_5A99</t>
  </si>
  <si>
    <t>1700_5C99</t>
  </si>
  <si>
    <t>1700_5E99</t>
  </si>
  <si>
    <t>1700_6099</t>
  </si>
  <si>
    <t>1700_6299</t>
  </si>
  <si>
    <t>1700_6499</t>
  </si>
  <si>
    <t>1700_6699</t>
  </si>
  <si>
    <t>1700_6899</t>
  </si>
  <si>
    <t>1700_6A99</t>
  </si>
  <si>
    <t>1700_6C99</t>
  </si>
  <si>
    <t>1700_6E99</t>
  </si>
  <si>
    <t>1700_7099</t>
  </si>
  <si>
    <t>1700_7299</t>
  </si>
  <si>
    <t>1700_7499</t>
  </si>
  <si>
    <t>1700_7699</t>
  </si>
  <si>
    <t>1700_7899</t>
  </si>
  <si>
    <t>1700_7A99</t>
  </si>
  <si>
    <t>1700_7C99</t>
  </si>
  <si>
    <t>1700_7E99</t>
  </si>
  <si>
    <t>1700_009A</t>
  </si>
  <si>
    <t>1700_029A</t>
  </si>
  <si>
    <t>1700_049A</t>
  </si>
  <si>
    <t>1700_069A</t>
  </si>
  <si>
    <t>1700_089A</t>
  </si>
  <si>
    <t>1700_0A9A</t>
  </si>
  <si>
    <t>1700_0C9A</t>
  </si>
  <si>
    <t>1700_0E9A</t>
  </si>
  <si>
    <t>1700_109A</t>
  </si>
  <si>
    <t>1700_129A</t>
  </si>
  <si>
    <t>1700_149A</t>
  </si>
  <si>
    <t>1700_169A</t>
  </si>
  <si>
    <t>1700_189A</t>
  </si>
  <si>
    <t>1700_1A9A</t>
  </si>
  <si>
    <t>1700_1C9A</t>
  </si>
  <si>
    <t>1700_1E9A</t>
  </si>
  <si>
    <t>1700_209A</t>
  </si>
  <si>
    <t>1700_229A</t>
  </si>
  <si>
    <t>1700_249A</t>
  </si>
  <si>
    <t>1700_269A</t>
  </si>
  <si>
    <t>1700_289A</t>
  </si>
  <si>
    <t>1700_2A9A</t>
  </si>
  <si>
    <t>1700_2C9A</t>
  </si>
  <si>
    <t>1700_2E9A</t>
  </si>
  <si>
    <t>1700_309A</t>
  </si>
  <si>
    <t>1700_329A</t>
  </si>
  <si>
    <t>1700_349A</t>
  </si>
  <si>
    <t>1700_369A</t>
  </si>
  <si>
    <t>1700_389A</t>
  </si>
  <si>
    <t>1700_3A9A</t>
  </si>
  <si>
    <t>1700_3C9A</t>
  </si>
  <si>
    <t>1700_3E9A</t>
  </si>
  <si>
    <t>1700_409A</t>
  </si>
  <si>
    <t>1700_429A</t>
  </si>
  <si>
    <t>1700_449A</t>
  </si>
  <si>
    <t>1700_469A</t>
  </si>
  <si>
    <t>1700_489A</t>
  </si>
  <si>
    <t>1700_4A9A</t>
  </si>
  <si>
    <t>1700_4C9A</t>
  </si>
  <si>
    <t>1700_4E9A</t>
  </si>
  <si>
    <t>1700_509A</t>
  </si>
  <si>
    <t>1700_529A</t>
  </si>
  <si>
    <t>1700_549A</t>
  </si>
  <si>
    <t>1700_569A</t>
  </si>
  <si>
    <t>1700_589A</t>
  </si>
  <si>
    <t>1700_5A9A</t>
  </si>
  <si>
    <t>1700_5C9A</t>
  </si>
  <si>
    <t>1700_5E9A</t>
  </si>
  <si>
    <t>1700_609A</t>
  </si>
  <si>
    <t>1700_629A</t>
  </si>
  <si>
    <t>1700_649A</t>
  </si>
  <si>
    <t>1700_669A</t>
  </si>
  <si>
    <t>1700_689A</t>
  </si>
  <si>
    <t>1700_6A9A</t>
  </si>
  <si>
    <t>1700_6C9A</t>
  </si>
  <si>
    <t>1700_6E9A</t>
  </si>
  <si>
    <t>1700_709A</t>
  </si>
  <si>
    <t>1700_729A</t>
  </si>
  <si>
    <t>1700_749A</t>
  </si>
  <si>
    <t>1700_769A</t>
  </si>
  <si>
    <t>1700_789A</t>
  </si>
  <si>
    <t>1700_7A9A</t>
  </si>
  <si>
    <t>1700_7C9A</t>
  </si>
  <si>
    <t>1700_7E9A</t>
  </si>
  <si>
    <t>1700_009B</t>
  </si>
  <si>
    <t>1700_029B</t>
  </si>
  <si>
    <t>1700_049B</t>
  </si>
  <si>
    <t>1700_069B</t>
  </si>
  <si>
    <t>1700_089B</t>
  </si>
  <si>
    <t>1700_0A9B</t>
  </si>
  <si>
    <t>1700_0C9B</t>
  </si>
  <si>
    <t>1700_0E9B</t>
  </si>
  <si>
    <t>1700_109B</t>
  </si>
  <si>
    <t>1700_129B</t>
  </si>
  <si>
    <t>1700_149B</t>
  </si>
  <si>
    <t>1700_169B</t>
  </si>
  <si>
    <t>1700_189B</t>
  </si>
  <si>
    <t>1700_1A9B</t>
  </si>
  <si>
    <t>1700_1C9B</t>
  </si>
  <si>
    <t>1700_1E9B</t>
  </si>
  <si>
    <t>1700_209B</t>
  </si>
  <si>
    <t>1700_229B</t>
  </si>
  <si>
    <t>1700_249B</t>
  </si>
  <si>
    <t>1700_269B</t>
  </si>
  <si>
    <t>1700_289B</t>
  </si>
  <si>
    <t>1700_2A9B</t>
  </si>
  <si>
    <t>1700_2C9B</t>
  </si>
  <si>
    <t>1700_2E9B</t>
  </si>
  <si>
    <t>1700_309B</t>
  </si>
  <si>
    <t>1700_329B</t>
  </si>
  <si>
    <t>1700_349B</t>
  </si>
  <si>
    <t>1700_369B</t>
  </si>
  <si>
    <t>1700_389B</t>
  </si>
  <si>
    <t>1700_3A9B</t>
  </si>
  <si>
    <t>1700_3C9B</t>
  </si>
  <si>
    <t>1700_3E9B</t>
  </si>
  <si>
    <t>1700_409B</t>
  </si>
  <si>
    <t>1700_429B</t>
  </si>
  <si>
    <t>1700_449B</t>
  </si>
  <si>
    <t>1700_469B</t>
  </si>
  <si>
    <t>1700_489B</t>
  </si>
  <si>
    <t>1700_4A9B</t>
  </si>
  <si>
    <t>1700_4C9B</t>
  </si>
  <si>
    <t>1700_4E9B</t>
  </si>
  <si>
    <t>1700_509B</t>
  </si>
  <si>
    <t>1700_529B</t>
  </si>
  <si>
    <t>1700_549B</t>
  </si>
  <si>
    <t>1700_569B</t>
  </si>
  <si>
    <t>1700_589B</t>
  </si>
  <si>
    <t>1700_5A9B</t>
  </si>
  <si>
    <t>1700_5C9B</t>
  </si>
  <si>
    <t>1700_5E9B</t>
  </si>
  <si>
    <t>1700_609B</t>
  </si>
  <si>
    <t>1700_629B</t>
  </si>
  <si>
    <t>1700_649B</t>
  </si>
  <si>
    <t>1700_669B</t>
  </si>
  <si>
    <t>1700_689B</t>
  </si>
  <si>
    <t>1700_6A9B</t>
  </si>
  <si>
    <t>1700_6C9B</t>
  </si>
  <si>
    <t>1700_6E9B</t>
  </si>
  <si>
    <t>1700_709B</t>
  </si>
  <si>
    <t>1700_729B</t>
  </si>
  <si>
    <t>1700_749B</t>
  </si>
  <si>
    <t>1700_769B</t>
  </si>
  <si>
    <t>1700_789B</t>
  </si>
  <si>
    <t>1700_7A9B</t>
  </si>
  <si>
    <t>1700_7C9B</t>
  </si>
  <si>
    <t>1700_7E9B</t>
  </si>
  <si>
    <t>1700_009C</t>
  </si>
  <si>
    <t>1700_029C</t>
  </si>
  <si>
    <t>1700_049C</t>
  </si>
  <si>
    <t>1700_069C</t>
  </si>
  <si>
    <t>1700_089C</t>
  </si>
  <si>
    <t>1700_0A9C</t>
  </si>
  <si>
    <t>1700_0C9C</t>
  </si>
  <si>
    <t>1700_0E9C</t>
  </si>
  <si>
    <t>1700_109C</t>
  </si>
  <si>
    <t>1700_129C</t>
  </si>
  <si>
    <t>1700_149C</t>
  </si>
  <si>
    <t>1700_169C</t>
  </si>
  <si>
    <t>1700_189C</t>
  </si>
  <si>
    <t>1700_1A9C</t>
  </si>
  <si>
    <t>1700_1C9C</t>
  </si>
  <si>
    <t>1700_1E9C</t>
  </si>
  <si>
    <t>1700_209C</t>
  </si>
  <si>
    <t>1700_229C</t>
  </si>
  <si>
    <t>1700_249C</t>
  </si>
  <si>
    <t>1700_269C</t>
  </si>
  <si>
    <t>1700_289C</t>
  </si>
  <si>
    <t>1700_2A9C</t>
  </si>
  <si>
    <t>1700_2C9C</t>
  </si>
  <si>
    <t>1700_2E9C</t>
  </si>
  <si>
    <t>1700_309C</t>
  </si>
  <si>
    <t>1700_329C</t>
  </si>
  <si>
    <t>1700_349C</t>
  </si>
  <si>
    <t>1700_369C</t>
  </si>
  <si>
    <t>1700_389C</t>
  </si>
  <si>
    <t>1700_3A9C</t>
  </si>
  <si>
    <t>1700_3C9C</t>
  </si>
  <si>
    <t>1700_3E9C</t>
  </si>
  <si>
    <t>1700_409C</t>
  </si>
  <si>
    <t>1700_429C</t>
  </si>
  <si>
    <t>1700_449C</t>
  </si>
  <si>
    <t>1700_469C</t>
  </si>
  <si>
    <t>1700_489C</t>
  </si>
  <si>
    <t>1700_4A9C</t>
  </si>
  <si>
    <t>1700_4C9C</t>
  </si>
  <si>
    <t>1700_4E9C</t>
  </si>
  <si>
    <t>1700_509C</t>
  </si>
  <si>
    <t>1700_529C</t>
  </si>
  <si>
    <t>1700_549C</t>
  </si>
  <si>
    <t>1700_569C</t>
  </si>
  <si>
    <t>1700_589C</t>
  </si>
  <si>
    <t>1700_5A9C</t>
  </si>
  <si>
    <t>1700_5C9C</t>
  </si>
  <si>
    <t>1700_5E9C</t>
  </si>
  <si>
    <t>1700_609C</t>
  </si>
  <si>
    <t>1700_629C</t>
  </si>
  <si>
    <t>1700_649C</t>
  </si>
  <si>
    <t>1700_669C</t>
  </si>
  <si>
    <t>1700_689C</t>
  </si>
  <si>
    <t>1700_6A9C</t>
  </si>
  <si>
    <t>1700_6C9C</t>
  </si>
  <si>
    <t>1700_6E9C</t>
  </si>
  <si>
    <t>1700_709C</t>
  </si>
  <si>
    <t>1700_729C</t>
  </si>
  <si>
    <t>1700_749C</t>
  </si>
  <si>
    <t>1700_769C</t>
  </si>
  <si>
    <t>1700_789C</t>
  </si>
  <si>
    <t>1700_7A9C</t>
  </si>
  <si>
    <t>1700_7C9C</t>
  </si>
  <si>
    <t>1700_7E9C</t>
  </si>
  <si>
    <t>1700_009D</t>
  </si>
  <si>
    <t>1700_029D</t>
  </si>
  <si>
    <t>1700_049D</t>
  </si>
  <si>
    <t>1700_069D</t>
  </si>
  <si>
    <t>1700_089D</t>
  </si>
  <si>
    <t>1700_0A9D</t>
  </si>
  <si>
    <t>1700_0C9D</t>
  </si>
  <si>
    <t>1700_0E9D</t>
  </si>
  <si>
    <t>1700_109D</t>
  </si>
  <si>
    <t>1700_129D</t>
  </si>
  <si>
    <t>1700_149D</t>
  </si>
  <si>
    <t>1700_169D</t>
  </si>
  <si>
    <t>1700_189D</t>
  </si>
  <si>
    <t>1700_1A9D</t>
  </si>
  <si>
    <t>1700_1C9D</t>
  </si>
  <si>
    <t>1700_1E9D</t>
  </si>
  <si>
    <t>1700_209D</t>
  </si>
  <si>
    <t>1700_229D</t>
  </si>
  <si>
    <t>1700_249D</t>
  </si>
  <si>
    <t>1700_269D</t>
  </si>
  <si>
    <t>1700_289D</t>
  </si>
  <si>
    <t>1700_2A9D</t>
  </si>
  <si>
    <t>1700_2C9D</t>
  </si>
  <si>
    <t>1700_2E9D</t>
  </si>
  <si>
    <t>1700_309D</t>
  </si>
  <si>
    <t>1700_329D</t>
  </si>
  <si>
    <t>1700_349D</t>
  </si>
  <si>
    <t>1700_369D</t>
  </si>
  <si>
    <t>1700_389D</t>
  </si>
  <si>
    <t>1700_3A9D</t>
  </si>
  <si>
    <t>1700_3C9D</t>
  </si>
  <si>
    <t>1700_3E9D</t>
  </si>
  <si>
    <t>1700_409D</t>
  </si>
  <si>
    <t>1700_429D</t>
  </si>
  <si>
    <t>1700_449D</t>
  </si>
  <si>
    <t>1700_469D</t>
  </si>
  <si>
    <t>1700_489D</t>
  </si>
  <si>
    <t>1700_4A9D</t>
  </si>
  <si>
    <t>1700_4C9D</t>
  </si>
  <si>
    <t>1700_4E9D</t>
  </si>
  <si>
    <t>1700_509D</t>
  </si>
  <si>
    <t>1700_529D</t>
  </si>
  <si>
    <t>1700_549D</t>
  </si>
  <si>
    <t>1700_569D</t>
  </si>
  <si>
    <t>1700_589D</t>
  </si>
  <si>
    <t>1700_5A9D</t>
  </si>
  <si>
    <t>1700_5C9D</t>
  </si>
  <si>
    <t>1700_5E9D</t>
  </si>
  <si>
    <t>1700_609D</t>
  </si>
  <si>
    <t>1700_629D</t>
  </si>
  <si>
    <t>1700_649D</t>
  </si>
  <si>
    <t>1700_669D</t>
  </si>
  <si>
    <t>1700_689D</t>
  </si>
  <si>
    <t>1700_6A9D</t>
  </si>
  <si>
    <t>1700_6C9D</t>
  </si>
  <si>
    <t>1700_6E9D</t>
  </si>
  <si>
    <t>1700_709D</t>
  </si>
  <si>
    <t>1700_729D</t>
  </si>
  <si>
    <t>1700_749D</t>
  </si>
  <si>
    <t>1700_769D</t>
  </si>
  <si>
    <t>1700_789D</t>
  </si>
  <si>
    <t>1700_7A9D</t>
  </si>
  <si>
    <t>1700_7C9D</t>
  </si>
  <si>
    <t>1700_7E9D</t>
  </si>
  <si>
    <t>1700_009E</t>
  </si>
  <si>
    <t>1700_029E</t>
  </si>
  <si>
    <t>1700_049E</t>
  </si>
  <si>
    <t>1700_069E</t>
  </si>
  <si>
    <t>1700_089E</t>
  </si>
  <si>
    <t>1700_0A9E</t>
  </si>
  <si>
    <t>1700_0C9E</t>
  </si>
  <si>
    <t>1700_0E9E</t>
  </si>
  <si>
    <t>1700_109E</t>
  </si>
  <si>
    <t>1700_129E</t>
  </si>
  <si>
    <t>1700_149E</t>
  </si>
  <si>
    <t>1700_169E</t>
  </si>
  <si>
    <t>1700_189E</t>
  </si>
  <si>
    <t>1700_1A9E</t>
  </si>
  <si>
    <t>1700_1C9E</t>
  </si>
  <si>
    <t>1700_1E9E</t>
  </si>
  <si>
    <t>1700_209E</t>
  </si>
  <si>
    <t>1700_229E</t>
  </si>
  <si>
    <t>1700_249E</t>
  </si>
  <si>
    <t>1700_269E</t>
  </si>
  <si>
    <t>1700_289E</t>
  </si>
  <si>
    <t>1700_2A9E</t>
  </si>
  <si>
    <t>1700_2C9E</t>
  </si>
  <si>
    <t>1700_2E9E</t>
  </si>
  <si>
    <t>1700_309E</t>
  </si>
  <si>
    <t>1700_329E</t>
  </si>
  <si>
    <t>1700_349E</t>
  </si>
  <si>
    <t>1700_369E</t>
  </si>
  <si>
    <t>1700_389E</t>
  </si>
  <si>
    <t>1700_3A9E</t>
  </si>
  <si>
    <t>1700_3C9E</t>
  </si>
  <si>
    <t>1700_3E9E</t>
  </si>
  <si>
    <t>1700_409E</t>
  </si>
  <si>
    <t>1700_429E</t>
  </si>
  <si>
    <t>1700_449E</t>
  </si>
  <si>
    <t>1700_469E</t>
  </si>
  <si>
    <t>1700_489E</t>
  </si>
  <si>
    <t>1700_4A9E</t>
  </si>
  <si>
    <t>1700_4C9E</t>
  </si>
  <si>
    <t>1700_4E9E</t>
  </si>
  <si>
    <t>1700_509E</t>
  </si>
  <si>
    <t>1700_529E</t>
  </si>
  <si>
    <t>1700_549E</t>
  </si>
  <si>
    <t>1700_569E</t>
  </si>
  <si>
    <t>1700_589E</t>
  </si>
  <si>
    <t>1700_5A9E</t>
  </si>
  <si>
    <t>1700_5C9E</t>
  </si>
  <si>
    <t>1700_5E9E</t>
  </si>
  <si>
    <t>1700_609E</t>
  </si>
  <si>
    <t>1700_629E</t>
  </si>
  <si>
    <t>1700_649E</t>
  </si>
  <si>
    <t>1700_669E</t>
  </si>
  <si>
    <t>1700_689E</t>
  </si>
  <si>
    <t>1700_6A9E</t>
  </si>
  <si>
    <t>1700_6C9E</t>
  </si>
  <si>
    <t>1700_6E9E</t>
  </si>
  <si>
    <t>1700_709E</t>
  </si>
  <si>
    <t>1700_729E</t>
  </si>
  <si>
    <t>1700_749E</t>
  </si>
  <si>
    <t>1700_769E</t>
  </si>
  <si>
    <t>1700_789E</t>
  </si>
  <si>
    <t>1700_7A9E</t>
  </si>
  <si>
    <t>1700_7C9E</t>
  </si>
  <si>
    <t>1700_7E9E</t>
  </si>
  <si>
    <t>1700_009F</t>
  </si>
  <si>
    <t>1700_029F</t>
  </si>
  <si>
    <t>1700_049F</t>
  </si>
  <si>
    <t>1700_069F</t>
  </si>
  <si>
    <t>1700_089F</t>
  </si>
  <si>
    <t>1700_0A9F</t>
  </si>
  <si>
    <t>1700_0C9F</t>
  </si>
  <si>
    <t>1700_0E9F</t>
  </si>
  <si>
    <t>1700_109F</t>
  </si>
  <si>
    <t>1700_129F</t>
  </si>
  <si>
    <t>1700_149F</t>
  </si>
  <si>
    <t>1700_169F</t>
  </si>
  <si>
    <t>1700_189F</t>
  </si>
  <si>
    <t>1700_1A9F</t>
  </si>
  <si>
    <t>1700_1C9F</t>
  </si>
  <si>
    <t>1700_1E9F</t>
  </si>
  <si>
    <t>1700_209F</t>
  </si>
  <si>
    <t>1700_229F</t>
  </si>
  <si>
    <t>1700_249F</t>
  </si>
  <si>
    <t>1700_269F</t>
  </si>
  <si>
    <t>1700_289F</t>
  </si>
  <si>
    <t>1700_2A9F</t>
  </si>
  <si>
    <t>1700_2C9F</t>
  </si>
  <si>
    <t>1700_2E9F</t>
  </si>
  <si>
    <t>1700_309F</t>
  </si>
  <si>
    <t>1700_329F</t>
  </si>
  <si>
    <t>1700_349F</t>
  </si>
  <si>
    <t>1700_369F</t>
  </si>
  <si>
    <t>1700_389F</t>
  </si>
  <si>
    <t>1700_3A9F</t>
  </si>
  <si>
    <t>1700_3C9F</t>
  </si>
  <si>
    <t>1700_3E9F</t>
  </si>
  <si>
    <t>1700_409F</t>
  </si>
  <si>
    <t>1700_429F</t>
  </si>
  <si>
    <t>1700_449F</t>
  </si>
  <si>
    <t>1700_469F</t>
  </si>
  <si>
    <t>1700_489F</t>
  </si>
  <si>
    <t>1700_4A9F</t>
  </si>
  <si>
    <t>1700_4C9F</t>
  </si>
  <si>
    <t>1700_4E9F</t>
  </si>
  <si>
    <t>1700_509F</t>
  </si>
  <si>
    <t>1700_529F</t>
  </si>
  <si>
    <t>1700_549F</t>
  </si>
  <si>
    <t>1700_569F</t>
  </si>
  <si>
    <t>1700_589F</t>
  </si>
  <si>
    <t>1700_5A9F</t>
  </si>
  <si>
    <t>1700_5C9F</t>
  </si>
  <si>
    <t>1700_5E9F</t>
  </si>
  <si>
    <t>1700_609F</t>
  </si>
  <si>
    <t>1700_629F</t>
  </si>
  <si>
    <t>1700_649F</t>
  </si>
  <si>
    <t>1700_669F</t>
  </si>
  <si>
    <t>1700_689F</t>
  </si>
  <si>
    <t>1700_6A9F</t>
  </si>
  <si>
    <t>1700_6C9F</t>
  </si>
  <si>
    <t>1700_6E9F</t>
  </si>
  <si>
    <t>1700_709F</t>
  </si>
  <si>
    <t>1700_729F</t>
  </si>
  <si>
    <t>1700_749F</t>
  </si>
  <si>
    <t>1700_769F</t>
  </si>
  <si>
    <t>1700_789F</t>
  </si>
  <si>
    <t>1700_7A9F</t>
  </si>
  <si>
    <t>1700_7C9F</t>
  </si>
  <si>
    <t>1700_7E9F</t>
  </si>
  <si>
    <t>1700_00A0</t>
  </si>
  <si>
    <t>1700_02A0</t>
  </si>
  <si>
    <t>1700_04A0</t>
  </si>
  <si>
    <t>1700_06A0</t>
  </si>
  <si>
    <t>1700_08A0</t>
  </si>
  <si>
    <t>1700_0AA0</t>
  </si>
  <si>
    <t>1700_0CA0</t>
  </si>
  <si>
    <t>1700_0EA0</t>
  </si>
  <si>
    <t>1700_10A0</t>
  </si>
  <si>
    <t>1700_12A0</t>
  </si>
  <si>
    <t>1700_14A0</t>
  </si>
  <si>
    <t>1700_16A0</t>
  </si>
  <si>
    <t>1700_18A0</t>
  </si>
  <si>
    <t>1700_1AA0</t>
  </si>
  <si>
    <t>1700_1CA0</t>
  </si>
  <si>
    <t>1700_1EA0</t>
  </si>
  <si>
    <t>1700_20A0</t>
  </si>
  <si>
    <t>1700_22A0</t>
  </si>
  <si>
    <t>1700_24A0</t>
  </si>
  <si>
    <t>1700_26A0</t>
  </si>
  <si>
    <t>1700_28A0</t>
  </si>
  <si>
    <t>1700_2AA0</t>
  </si>
  <si>
    <t>1700_2CA0</t>
  </si>
  <si>
    <t>1700_2EA0</t>
  </si>
  <si>
    <t>1700_30A0</t>
  </si>
  <si>
    <t>1700_32A0</t>
  </si>
  <si>
    <t>1700_34A0</t>
  </si>
  <si>
    <t>1700_36A0</t>
  </si>
  <si>
    <t>1700_38A0</t>
  </si>
  <si>
    <t>1700_3AA0</t>
  </si>
  <si>
    <t>1700_3CA0</t>
  </si>
  <si>
    <t>1700_3EA0</t>
  </si>
  <si>
    <t>1700_40A0</t>
  </si>
  <si>
    <t>1700_42A0</t>
  </si>
  <si>
    <t>1700_44A0</t>
  </si>
  <si>
    <t>1700_46A0</t>
  </si>
  <si>
    <t>1700_48A0</t>
  </si>
  <si>
    <t>1700_4AA0</t>
  </si>
  <si>
    <t>1700_4CA0</t>
  </si>
  <si>
    <t>1700_4EA0</t>
  </si>
  <si>
    <t>1700_50A0</t>
  </si>
  <si>
    <t>1700_52A0</t>
  </si>
  <si>
    <t>1700_54A0</t>
  </si>
  <si>
    <t>1700_56A0</t>
  </si>
  <si>
    <t>1700_58A0</t>
  </si>
  <si>
    <t>1700_5AA0</t>
  </si>
  <si>
    <t>1700_5CA0</t>
  </si>
  <si>
    <t>1700_5EA0</t>
  </si>
  <si>
    <t>1700_60A0</t>
  </si>
  <si>
    <t>1700_62A0</t>
  </si>
  <si>
    <t>1700_64A0</t>
  </si>
  <si>
    <t>1700_66A0</t>
  </si>
  <si>
    <t>1700_68A0</t>
  </si>
  <si>
    <t>1700_6AA0</t>
  </si>
  <si>
    <t>1700_6CA0</t>
  </si>
  <si>
    <t>1700_6EA0</t>
  </si>
  <si>
    <t>1700_70A0</t>
  </si>
  <si>
    <t>1700_72A0</t>
  </si>
  <si>
    <t>1700_74A0</t>
  </si>
  <si>
    <t>1700_76A0</t>
  </si>
  <si>
    <t>1700_78A0</t>
  </si>
  <si>
    <t>1700_7AA0</t>
  </si>
  <si>
    <t>1700_7CA0</t>
  </si>
  <si>
    <t>1700_7EA0</t>
  </si>
  <si>
    <t>1700_00A1</t>
  </si>
  <si>
    <t>1700_02A1</t>
  </si>
  <si>
    <t>1700_04A1</t>
  </si>
  <si>
    <t>1700_06A1</t>
  </si>
  <si>
    <t>1700_08A1</t>
  </si>
  <si>
    <t>1700_0AA1</t>
  </si>
  <si>
    <t>1700_0CA1</t>
  </si>
  <si>
    <t>1700_0EA1</t>
  </si>
  <si>
    <t>1700_10A1</t>
  </si>
  <si>
    <t>1700_12A1</t>
  </si>
  <si>
    <t>1700_14A1</t>
  </si>
  <si>
    <t>1700_16A1</t>
  </si>
  <si>
    <t>1700_18A1</t>
  </si>
  <si>
    <t>1700_1AA1</t>
  </si>
  <si>
    <t>1700_1CA1</t>
  </si>
  <si>
    <t>1700_1EA1</t>
  </si>
  <si>
    <t>1700_20A1</t>
  </si>
  <si>
    <t>1700_22A1</t>
  </si>
  <si>
    <t>1700_24A1</t>
  </si>
  <si>
    <t>1700_26A1</t>
  </si>
  <si>
    <t>1700_28A1</t>
  </si>
  <si>
    <t>1700_2AA1</t>
  </si>
  <si>
    <t>1700_2CA1</t>
  </si>
  <si>
    <t>1700_2EA1</t>
  </si>
  <si>
    <t>1700_30A1</t>
  </si>
  <si>
    <t>1700_32A1</t>
  </si>
  <si>
    <t>1700_34A1</t>
  </si>
  <si>
    <t>1700_36A1</t>
  </si>
  <si>
    <t>1700_38A1</t>
  </si>
  <si>
    <t>1700_3AA1</t>
  </si>
  <si>
    <t>1700_3CA1</t>
  </si>
  <si>
    <t>1700_3EA1</t>
  </si>
  <si>
    <t>1700_40A1</t>
  </si>
  <si>
    <t>1700_42A1</t>
  </si>
  <si>
    <t>1700_44A1</t>
  </si>
  <si>
    <t>1700_46A1</t>
  </si>
  <si>
    <t>1700_48A1</t>
  </si>
  <si>
    <t>1700_4AA1</t>
  </si>
  <si>
    <t>1700_4CA1</t>
  </si>
  <si>
    <t>1700_4EA1</t>
  </si>
  <si>
    <t>1700_50A1</t>
  </si>
  <si>
    <t>1700_52A1</t>
  </si>
  <si>
    <t>1700_54A1</t>
  </si>
  <si>
    <t>1700_56A1</t>
  </si>
  <si>
    <t>1700_58A1</t>
  </si>
  <si>
    <t>1700_5AA1</t>
  </si>
  <si>
    <t>1700_5CA1</t>
  </si>
  <si>
    <t>1700_5EA1</t>
  </si>
  <si>
    <t>1700_60A1</t>
  </si>
  <si>
    <t>1700_62A1</t>
  </si>
  <si>
    <t>1700_64A1</t>
  </si>
  <si>
    <t>1700_66A1</t>
  </si>
  <si>
    <t>1700_68A1</t>
  </si>
  <si>
    <t>1700_6AA1</t>
  </si>
  <si>
    <t>1700_6CA1</t>
  </si>
  <si>
    <t>1700_6EA1</t>
  </si>
  <si>
    <t>1700_70A1</t>
  </si>
  <si>
    <t>1700_72A1</t>
  </si>
  <si>
    <t>1700_74A1</t>
  </si>
  <si>
    <t>1700_76A1</t>
  </si>
  <si>
    <t>1700_78A1</t>
  </si>
  <si>
    <t>1700_7AA1</t>
  </si>
  <si>
    <t>1700_7CA1</t>
  </si>
  <si>
    <t>1700_7EA1</t>
  </si>
  <si>
    <t>1700_00A2</t>
  </si>
  <si>
    <t>1700_02A2</t>
  </si>
  <si>
    <t>1700_04A2</t>
  </si>
  <si>
    <t>1700_06A2</t>
  </si>
  <si>
    <t>1700_08A2</t>
  </si>
  <si>
    <t>1700_0AA2</t>
  </si>
  <si>
    <t>1700_0CA2</t>
  </si>
  <si>
    <t>1700_0EA2</t>
  </si>
  <si>
    <t>1700_10A2</t>
  </si>
  <si>
    <t>1700_12A2</t>
  </si>
  <si>
    <t>1700_14A2</t>
  </si>
  <si>
    <t>1700_16A2</t>
  </si>
  <si>
    <t>1700_18A2</t>
  </si>
  <si>
    <t>1700_1AA2</t>
  </si>
  <si>
    <t>1700_1CA2</t>
  </si>
  <si>
    <t>1700_1EA2</t>
  </si>
  <si>
    <t>1700_20A2</t>
  </si>
  <si>
    <t>1700_22A2</t>
  </si>
  <si>
    <t>1700_24A2</t>
  </si>
  <si>
    <t>1700_26A2</t>
  </si>
  <si>
    <t>1700_28A2</t>
  </si>
  <si>
    <t>1700_2AA2</t>
  </si>
  <si>
    <t>1700_2CA2</t>
  </si>
  <si>
    <t>1700_2EA2</t>
  </si>
  <si>
    <t>1700_30A2</t>
  </si>
  <si>
    <t>1700_32A2</t>
  </si>
  <si>
    <t>1700_34A2</t>
  </si>
  <si>
    <t>1700_36A2</t>
  </si>
  <si>
    <t>1700_38A2</t>
  </si>
  <si>
    <t>1700_3AA2</t>
  </si>
  <si>
    <t>1700_3CA2</t>
  </si>
  <si>
    <t>1700_3EA2</t>
  </si>
  <si>
    <t>1700_40A2</t>
  </si>
  <si>
    <t>1700_42A2</t>
  </si>
  <si>
    <t>1700_44A2</t>
  </si>
  <si>
    <t>1700_46A2</t>
  </si>
  <si>
    <t>1700_48A2</t>
  </si>
  <si>
    <t>1700_4AA2</t>
  </si>
  <si>
    <t>1700_4CA2</t>
  </si>
  <si>
    <t>1700_4EA2</t>
  </si>
  <si>
    <t>1700_50A2</t>
  </si>
  <si>
    <t>1700_52A2</t>
  </si>
  <si>
    <t>1700_54A2</t>
  </si>
  <si>
    <t>1700_56A2</t>
  </si>
  <si>
    <t>1700_58A2</t>
  </si>
  <si>
    <t>1700_5AA2</t>
  </si>
  <si>
    <t>1700_5CA2</t>
  </si>
  <si>
    <t>1700_5EA2</t>
  </si>
  <si>
    <t>1700_60A2</t>
  </si>
  <si>
    <t>1700_62A2</t>
  </si>
  <si>
    <t>1700_64A2</t>
  </si>
  <si>
    <t>1700_66A2</t>
  </si>
  <si>
    <t>1700_68A2</t>
  </si>
  <si>
    <t>1700_6AA2</t>
  </si>
  <si>
    <t>1700_6CA2</t>
  </si>
  <si>
    <t>1700_6EA2</t>
  </si>
  <si>
    <t>1700_70A2</t>
  </si>
  <si>
    <t>1700_72A2</t>
  </si>
  <si>
    <t>1700_74A2</t>
  </si>
  <si>
    <t>1700_76A2</t>
  </si>
  <si>
    <t>1700_78A2</t>
  </si>
  <si>
    <t>1700_7AA2</t>
  </si>
  <si>
    <t>1700_7CA2</t>
  </si>
  <si>
    <t>1700_7EA2</t>
  </si>
  <si>
    <t>1700_00A3</t>
  </si>
  <si>
    <t>1700_02A3</t>
  </si>
  <si>
    <t>1700_04A3</t>
  </si>
  <si>
    <t>1700_06A3</t>
  </si>
  <si>
    <t>1700_08A3</t>
  </si>
  <si>
    <t>1700_0AA3</t>
  </si>
  <si>
    <t>1700_0CA3</t>
  </si>
  <si>
    <t>1700_0EA3</t>
  </si>
  <si>
    <t>1700_10A3</t>
  </si>
  <si>
    <t>1700_12A3</t>
  </si>
  <si>
    <t>1700_14A3</t>
  </si>
  <si>
    <t>1700_16A3</t>
  </si>
  <si>
    <t>1700_18A3</t>
  </si>
  <si>
    <t>1700_1AA3</t>
  </si>
  <si>
    <t>1700_1CA3</t>
  </si>
  <si>
    <t>1700_1EA3</t>
  </si>
  <si>
    <t>1700_20A3</t>
  </si>
  <si>
    <t>1700_22A3</t>
  </si>
  <si>
    <t>1700_24A3</t>
  </si>
  <si>
    <t>1700_26A3</t>
  </si>
  <si>
    <t>1700_28A3</t>
  </si>
  <si>
    <t>1700_2AA3</t>
  </si>
  <si>
    <t>1700_2CA3</t>
  </si>
  <si>
    <t>1700_2EA3</t>
  </si>
  <si>
    <t>1700_30A3</t>
  </si>
  <si>
    <t>1700_32A3</t>
  </si>
  <si>
    <t>1700_34A3</t>
  </si>
  <si>
    <t>1700_36A3</t>
  </si>
  <si>
    <t>1700_38A3</t>
  </si>
  <si>
    <t>1700_3AA3</t>
  </si>
  <si>
    <t>1700_3CA3</t>
  </si>
  <si>
    <t>1700_3EA3</t>
  </si>
  <si>
    <t>1700_40A3</t>
  </si>
  <si>
    <t>1700_42A3</t>
  </si>
  <si>
    <t>1700_44A3</t>
  </si>
  <si>
    <t>1700_46A3</t>
  </si>
  <si>
    <t>1700_48A3</t>
  </si>
  <si>
    <t>1700_4AA3</t>
  </si>
  <si>
    <t>1700_4CA3</t>
  </si>
  <si>
    <t>1700_4EA3</t>
  </si>
  <si>
    <t>1700_50A3</t>
  </si>
  <si>
    <t>1700_52A3</t>
  </si>
  <si>
    <t>1700_54A3</t>
  </si>
  <si>
    <t>1700_56A3</t>
  </si>
  <si>
    <t>1700_58A3</t>
  </si>
  <si>
    <t>1700_5AA3</t>
  </si>
  <si>
    <t>1700_5CA3</t>
  </si>
  <si>
    <t>1700_5EA3</t>
  </si>
  <si>
    <t>1700_60A3</t>
  </si>
  <si>
    <t>1700_62A3</t>
  </si>
  <si>
    <t>1700_64A3</t>
  </si>
  <si>
    <t>1700_66A3</t>
  </si>
  <si>
    <t>1700_68A3</t>
  </si>
  <si>
    <t>1700_6AA3</t>
  </si>
  <si>
    <t>1700_6CA3</t>
  </si>
  <si>
    <t>1700_6EA3</t>
  </si>
  <si>
    <t>1700_70A3</t>
  </si>
  <si>
    <t>1700_72A3</t>
  </si>
  <si>
    <t>1700_74A3</t>
  </si>
  <si>
    <t>1700_76A3</t>
  </si>
  <si>
    <t>1700_78A3</t>
  </si>
  <si>
    <t>1700_7AA3</t>
  </si>
  <si>
    <t>1700_7CA3</t>
  </si>
  <si>
    <t>1700_7EA3</t>
  </si>
  <si>
    <t>1700_00A4</t>
  </si>
  <si>
    <t>1700_02A4</t>
  </si>
  <si>
    <t>1700_04A4</t>
  </si>
  <si>
    <t>1700_06A4</t>
  </si>
  <si>
    <t>1700_08A4</t>
  </si>
  <si>
    <t>1700_0AA4</t>
  </si>
  <si>
    <t>1700_0CA4</t>
  </si>
  <si>
    <t>1700_0EA4</t>
  </si>
  <si>
    <t>1700_10A4</t>
  </si>
  <si>
    <t>1700_12A4</t>
  </si>
  <si>
    <t>1700_14A4</t>
  </si>
  <si>
    <t>1700_16A4</t>
  </si>
  <si>
    <t>1700_18A4</t>
  </si>
  <si>
    <t>1700_1AA4</t>
  </si>
  <si>
    <t>1700_1CA4</t>
  </si>
  <si>
    <t>1700_1EA4</t>
  </si>
  <si>
    <t>1700_20A4</t>
  </si>
  <si>
    <t>1700_22A4</t>
  </si>
  <si>
    <t>1700_24A4</t>
  </si>
  <si>
    <t>1700_26A4</t>
  </si>
  <si>
    <t>1700_28A4</t>
  </si>
  <si>
    <t>1700_2AA4</t>
  </si>
  <si>
    <t>1700_2CA4</t>
  </si>
  <si>
    <t>1700_2EA4</t>
  </si>
  <si>
    <t>1700_30A4</t>
  </si>
  <si>
    <t>1700_32A4</t>
  </si>
  <si>
    <t>1700_34A4</t>
  </si>
  <si>
    <t>1700_36A4</t>
  </si>
  <si>
    <t>1700_38A4</t>
  </si>
  <si>
    <t>1700_3AA4</t>
  </si>
  <si>
    <t>1700_3CA4</t>
  </si>
  <si>
    <t>1700_3EA4</t>
  </si>
  <si>
    <t>1700_40A4</t>
  </si>
  <si>
    <t>1700_42A4</t>
  </si>
  <si>
    <t>1700_44A4</t>
  </si>
  <si>
    <t>1700_46A4</t>
  </si>
  <si>
    <t>1700_48A4</t>
  </si>
  <si>
    <t>1700_4AA4</t>
  </si>
  <si>
    <t>1700_4CA4</t>
  </si>
  <si>
    <t>1700_4EA4</t>
  </si>
  <si>
    <t>1700_50A4</t>
  </si>
  <si>
    <t>1700_52A4</t>
  </si>
  <si>
    <t>1700_54A4</t>
  </si>
  <si>
    <t>1700_56A4</t>
  </si>
  <si>
    <t>1700_58A4</t>
  </si>
  <si>
    <t>1700_5AA4</t>
  </si>
  <si>
    <t>1700_5CA4</t>
  </si>
  <si>
    <t>1700_5EA4</t>
  </si>
  <si>
    <t>1700_60A4</t>
  </si>
  <si>
    <t>1700_62A4</t>
  </si>
  <si>
    <t>1700_64A4</t>
  </si>
  <si>
    <t>1700_66A4</t>
  </si>
  <si>
    <t>1700_68A4</t>
  </si>
  <si>
    <t>1700_6AA4</t>
  </si>
  <si>
    <t>1700_6CA4</t>
  </si>
  <si>
    <t>1700_6EA4</t>
  </si>
  <si>
    <t>1700_70A4</t>
  </si>
  <si>
    <t>1700_72A4</t>
  </si>
  <si>
    <t>1700_74A4</t>
  </si>
  <si>
    <t>1700_76A4</t>
  </si>
  <si>
    <t>1700_78A4</t>
  </si>
  <si>
    <t>1700_7AA4</t>
  </si>
  <si>
    <t>1700_7CA4</t>
  </si>
  <si>
    <t>1700_7EA4</t>
  </si>
  <si>
    <t>1700_00A5</t>
  </si>
  <si>
    <t>1700_02A5</t>
  </si>
  <si>
    <t>1700_04A5</t>
  </si>
  <si>
    <t>1700_06A5</t>
  </si>
  <si>
    <t>1700_08A5</t>
  </si>
  <si>
    <t>1700_0AA5</t>
  </si>
  <si>
    <t>1700_0CA5</t>
  </si>
  <si>
    <t>1700_0EA5</t>
  </si>
  <si>
    <t>1700_10A5</t>
  </si>
  <si>
    <t>1700_12A5</t>
  </si>
  <si>
    <t>1700_14A5</t>
  </si>
  <si>
    <t>1700_16A5</t>
  </si>
  <si>
    <t>1700_18A5</t>
  </si>
  <si>
    <t>1700_1AA5</t>
  </si>
  <si>
    <t>1700_1CA5</t>
  </si>
  <si>
    <t>1700_1EA5</t>
  </si>
  <si>
    <t>1700_20A5</t>
  </si>
  <si>
    <t>1700_22A5</t>
  </si>
  <si>
    <t>1700_24A5</t>
  </si>
  <si>
    <t>1700_26A5</t>
  </si>
  <si>
    <t>1700_28A5</t>
  </si>
  <si>
    <t>1700_2AA5</t>
  </si>
  <si>
    <t>1700_2CA5</t>
  </si>
  <si>
    <t>1700_2EA5</t>
  </si>
  <si>
    <t>1700_30A5</t>
  </si>
  <si>
    <t>1700_32A5</t>
  </si>
  <si>
    <t>1700_34A5</t>
  </si>
  <si>
    <t>1700_36A5</t>
  </si>
  <si>
    <t>1700_38A5</t>
  </si>
  <si>
    <t>1700_3AA5</t>
  </si>
  <si>
    <t>1700_3CA5</t>
  </si>
  <si>
    <t>1700_3EA5</t>
  </si>
  <si>
    <t>1700_40A5</t>
  </si>
  <si>
    <t>1700_42A5</t>
  </si>
  <si>
    <t>1700_44A5</t>
  </si>
  <si>
    <t>1700_46A5</t>
  </si>
  <si>
    <t>1700_48A5</t>
  </si>
  <si>
    <t>1700_4AA5</t>
  </si>
  <si>
    <t>1700_4CA5</t>
  </si>
  <si>
    <t>1700_4EA5</t>
  </si>
  <si>
    <t>1700_50A5</t>
  </si>
  <si>
    <t>1700_52A5</t>
  </si>
  <si>
    <t>1700_54A5</t>
  </si>
  <si>
    <t>1700_56A5</t>
  </si>
  <si>
    <t>1700_58A5</t>
  </si>
  <si>
    <t>1700_5AA5</t>
  </si>
  <si>
    <t>1700_5CA5</t>
  </si>
  <si>
    <t>1700_5EA5</t>
  </si>
  <si>
    <t>1700_60A5</t>
  </si>
  <si>
    <t>1700_62A5</t>
  </si>
  <si>
    <t>1700_64A5</t>
  </si>
  <si>
    <t>1700_66A5</t>
  </si>
  <si>
    <t>1700_68A5</t>
  </si>
  <si>
    <t>1700_6AA5</t>
  </si>
  <si>
    <t>1700_6CA5</t>
  </si>
  <si>
    <t>1700_6EA5</t>
  </si>
  <si>
    <t>1700_70A5</t>
  </si>
  <si>
    <t>1700_72A5</t>
  </si>
  <si>
    <t>1700_74A5</t>
  </si>
  <si>
    <t>1700_76A5</t>
  </si>
  <si>
    <t>1700_78A5</t>
  </si>
  <si>
    <t>1700_7AA5</t>
  </si>
  <si>
    <t>1700_7CA5</t>
  </si>
  <si>
    <t>1700_7EA5</t>
  </si>
  <si>
    <t>1700_00A6</t>
  </si>
  <si>
    <t>1700_02A6</t>
  </si>
  <si>
    <t>1700_04A6</t>
  </si>
  <si>
    <t>1700_06A6</t>
  </si>
  <si>
    <t>1700_08A6</t>
  </si>
  <si>
    <t>1700_0AA6</t>
  </si>
  <si>
    <t>1700_0CA6</t>
  </si>
  <si>
    <t>1700_0EA6</t>
  </si>
  <si>
    <t>1700_10A6</t>
  </si>
  <si>
    <t>1700_12A6</t>
  </si>
  <si>
    <t>1700_14A6</t>
  </si>
  <si>
    <t>1700_16A6</t>
  </si>
  <si>
    <t>1700_18A6</t>
  </si>
  <si>
    <t>1700_1AA6</t>
  </si>
  <si>
    <t>1700_1CA6</t>
  </si>
  <si>
    <t>1700_1EA6</t>
  </si>
  <si>
    <t>1700_20A6</t>
  </si>
  <si>
    <t>1700_22A6</t>
  </si>
  <si>
    <t>1700_24A6</t>
  </si>
  <si>
    <t>1700_26A6</t>
  </si>
  <si>
    <t>1700_28A6</t>
  </si>
  <si>
    <t>1700_2AA6</t>
  </si>
  <si>
    <t>1700_2CA6</t>
  </si>
  <si>
    <t>1700_2EA6</t>
  </si>
  <si>
    <t>1700_30A6</t>
  </si>
  <si>
    <t>1700_32A6</t>
  </si>
  <si>
    <t>1700_34A6</t>
  </si>
  <si>
    <t>1700_36A6</t>
  </si>
  <si>
    <t>1700_38A6</t>
  </si>
  <si>
    <t>1700_3AA6</t>
  </si>
  <si>
    <t>1700_3CA6</t>
  </si>
  <si>
    <t>1700_3EA6</t>
  </si>
  <si>
    <t>1700_40A6</t>
  </si>
  <si>
    <t>1700_42A6</t>
  </si>
  <si>
    <t>1700_44A6</t>
  </si>
  <si>
    <t>1700_46A6</t>
  </si>
  <si>
    <t>1700_48A6</t>
  </si>
  <si>
    <t>1700_4AA6</t>
  </si>
  <si>
    <t>1700_4CA6</t>
  </si>
  <si>
    <t>1700_4EA6</t>
  </si>
  <si>
    <t>1700_50A6</t>
  </si>
  <si>
    <t>1700_52A6</t>
  </si>
  <si>
    <t>1700_54A6</t>
  </si>
  <si>
    <t>1700_56A6</t>
  </si>
  <si>
    <t>1700_58A6</t>
  </si>
  <si>
    <t>1700_5AA6</t>
  </si>
  <si>
    <t>1700_5CA6</t>
  </si>
  <si>
    <t>1700_5EA6</t>
  </si>
  <si>
    <t>1700_60A6</t>
  </si>
  <si>
    <t>1700_62A6</t>
  </si>
  <si>
    <t>1700_64A6</t>
  </si>
  <si>
    <t>1700_66A6</t>
  </si>
  <si>
    <t>1700_68A6</t>
  </si>
  <si>
    <t>1700_6AA6</t>
  </si>
  <si>
    <t>1700_6CA6</t>
  </si>
  <si>
    <t>1700_6EA6</t>
  </si>
  <si>
    <t>1700_70A6</t>
  </si>
  <si>
    <t>1700_72A6</t>
  </si>
  <si>
    <t>1700_74A6</t>
  </si>
  <si>
    <t>1700_76A6</t>
  </si>
  <si>
    <t>1700_78A6</t>
  </si>
  <si>
    <t>1700_7AA6</t>
  </si>
  <si>
    <t>1700_7CA6</t>
  </si>
  <si>
    <t>1700_7EA6</t>
  </si>
  <si>
    <t>1700_00A7</t>
  </si>
  <si>
    <t>1700_02A7</t>
  </si>
  <si>
    <t>1700_04A7</t>
  </si>
  <si>
    <t>1700_06A7</t>
  </si>
  <si>
    <t>1700_08A7</t>
  </si>
  <si>
    <t>1700_0AA7</t>
  </si>
  <si>
    <t>1700_0CA7</t>
  </si>
  <si>
    <t>1700_0EA7</t>
  </si>
  <si>
    <t>1700_10A7</t>
  </si>
  <si>
    <t>1700_12A7</t>
  </si>
  <si>
    <t>1700_14A7</t>
  </si>
  <si>
    <t>1700_16A7</t>
  </si>
  <si>
    <t>1700_18A7</t>
  </si>
  <si>
    <t>1700_1AA7</t>
  </si>
  <si>
    <t>1700_1CA7</t>
  </si>
  <si>
    <t>1700_1EA7</t>
  </si>
  <si>
    <t>1700_20A7</t>
  </si>
  <si>
    <t>1700_22A7</t>
  </si>
  <si>
    <t>1700_24A7</t>
  </si>
  <si>
    <t>1700_26A7</t>
  </si>
  <si>
    <t>1700_28A7</t>
  </si>
  <si>
    <t>1700_2AA7</t>
  </si>
  <si>
    <t>1700_2CA7</t>
  </si>
  <si>
    <t>1700_2EA7</t>
  </si>
  <si>
    <t>1700_30A7</t>
  </si>
  <si>
    <t>1700_32A7</t>
  </si>
  <si>
    <t>1700_34A7</t>
  </si>
  <si>
    <t>1700_36A7</t>
  </si>
  <si>
    <t>1700_38A7</t>
  </si>
  <si>
    <t>1700_3AA7</t>
  </si>
  <si>
    <t>1700_3CA7</t>
  </si>
  <si>
    <t>1700_3EA7</t>
  </si>
  <si>
    <t>1700_40A7</t>
  </si>
  <si>
    <t>1700_42A7</t>
  </si>
  <si>
    <t>1700_44A7</t>
  </si>
  <si>
    <t>1700_46A7</t>
  </si>
  <si>
    <t>1700_48A7</t>
  </si>
  <si>
    <t>1700_4AA7</t>
  </si>
  <si>
    <t>1700_4CA7</t>
  </si>
  <si>
    <t>1700_4EA7</t>
  </si>
  <si>
    <t>1700_50A7</t>
  </si>
  <si>
    <t>1700_52A7</t>
  </si>
  <si>
    <t>1700_54A7</t>
  </si>
  <si>
    <t>1700_56A7</t>
  </si>
  <si>
    <t>1700_58A7</t>
  </si>
  <si>
    <t>1700_5AA7</t>
  </si>
  <si>
    <t>1700_5CA7</t>
  </si>
  <si>
    <t>1700_5EA7</t>
  </si>
  <si>
    <t>1700_60A7</t>
  </si>
  <si>
    <t>1700_62A7</t>
  </si>
  <si>
    <t>1700_64A7</t>
  </si>
  <si>
    <t>1700_66A7</t>
  </si>
  <si>
    <t>1700_68A7</t>
  </si>
  <si>
    <t>1700_6AA7</t>
  </si>
  <si>
    <t>1700_6CA7</t>
  </si>
  <si>
    <t>1700_6EA7</t>
  </si>
  <si>
    <t>1700_70A7</t>
  </si>
  <si>
    <t>1700_72A7</t>
  </si>
  <si>
    <t>1700_74A7</t>
  </si>
  <si>
    <t>1700_76A7</t>
  </si>
  <si>
    <t>1700_78A7</t>
  </si>
  <si>
    <t>1700_7AA7</t>
  </si>
  <si>
    <t>1700_7CA7</t>
  </si>
  <si>
    <t>1700_7EA7</t>
  </si>
  <si>
    <t>1700_00A8</t>
  </si>
  <si>
    <t>1700_02A8</t>
  </si>
  <si>
    <t>1700_04A8</t>
  </si>
  <si>
    <t>1700_06A8</t>
  </si>
  <si>
    <t>1700_08A8</t>
  </si>
  <si>
    <t>1700_0AA8</t>
  </si>
  <si>
    <t>1700_0CA8</t>
  </si>
  <si>
    <t>1700_0EA8</t>
  </si>
  <si>
    <t>1700_10A8</t>
  </si>
  <si>
    <t>1700_12A8</t>
  </si>
  <si>
    <t>1700_14A8</t>
  </si>
  <si>
    <t>1700_16A8</t>
  </si>
  <si>
    <t>1700_18A8</t>
  </si>
  <si>
    <t>1700_1AA8</t>
  </si>
  <si>
    <t>1700_1CA8</t>
  </si>
  <si>
    <t>1700_1EA8</t>
  </si>
  <si>
    <t>1700_20A8</t>
  </si>
  <si>
    <t>1700_22A8</t>
  </si>
  <si>
    <t>1700_24A8</t>
  </si>
  <si>
    <t>1700_26A8</t>
  </si>
  <si>
    <t>1700_28A8</t>
  </si>
  <si>
    <t>1700_2AA8</t>
  </si>
  <si>
    <t>1700_2CA8</t>
  </si>
  <si>
    <t>1700_2EA8</t>
  </si>
  <si>
    <t>1700_30A8</t>
  </si>
  <si>
    <t>1700_32A8</t>
  </si>
  <si>
    <t>1700_34A8</t>
  </si>
  <si>
    <t>1700_36A8</t>
  </si>
  <si>
    <t>1700_38A8</t>
  </si>
  <si>
    <t>1700_3AA8</t>
  </si>
  <si>
    <t>1700_3CA8</t>
  </si>
  <si>
    <t>1700_3EA8</t>
  </si>
  <si>
    <t>1700_40A8</t>
  </si>
  <si>
    <t>1700_42A8</t>
  </si>
  <si>
    <t>1700_44A8</t>
  </si>
  <si>
    <t>1700_46A8</t>
  </si>
  <si>
    <t>1700_48A8</t>
  </si>
  <si>
    <t>1700_4AA8</t>
  </si>
  <si>
    <t>1700_4CA8</t>
  </si>
  <si>
    <t>1700_4EA8</t>
  </si>
  <si>
    <t>1700_50A8</t>
  </si>
  <si>
    <t>1700_52A8</t>
  </si>
  <si>
    <t>1700_54A8</t>
  </si>
  <si>
    <t>1700_56A8</t>
  </si>
  <si>
    <t>1700_58A8</t>
  </si>
  <si>
    <t>1700_5AA8</t>
  </si>
  <si>
    <t>1700_5CA8</t>
  </si>
  <si>
    <t>1700_5EA8</t>
  </si>
  <si>
    <t>1700_60A8</t>
  </si>
  <si>
    <t>1700_62A8</t>
  </si>
  <si>
    <t>1700_64A8</t>
  </si>
  <si>
    <t>1700_66A8</t>
  </si>
  <si>
    <t>1700_68A8</t>
  </si>
  <si>
    <t>1700_6AA8</t>
  </si>
  <si>
    <t>1700_6CA8</t>
  </si>
  <si>
    <t>1700_6EA8</t>
  </si>
  <si>
    <t>1700_70A8</t>
  </si>
  <si>
    <t>1700_72A8</t>
  </si>
  <si>
    <t>1700_74A8</t>
  </si>
  <si>
    <t>1700_76A8</t>
  </si>
  <si>
    <t>1700_78A8</t>
  </si>
  <si>
    <t>1700_7AA8</t>
  </si>
  <si>
    <t>1700_7CA8</t>
  </si>
  <si>
    <t>1700_7EA8</t>
  </si>
  <si>
    <t>1700_00A9</t>
  </si>
  <si>
    <t>1700_02A9</t>
  </si>
  <si>
    <t>1700_04A9</t>
  </si>
  <si>
    <t>1700_06A9</t>
  </si>
  <si>
    <t>1700_08A9</t>
  </si>
  <si>
    <t>1700_0AA9</t>
  </si>
  <si>
    <t>1700_0CA9</t>
  </si>
  <si>
    <t>1700_0EA9</t>
  </si>
  <si>
    <t>1700_10A9</t>
  </si>
  <si>
    <t>1700_12A9</t>
  </si>
  <si>
    <t>1700_14A9</t>
  </si>
  <si>
    <t>1700_16A9</t>
  </si>
  <si>
    <t>1700_18A9</t>
  </si>
  <si>
    <t>1700_1AA9</t>
  </si>
  <si>
    <t>1700_1CA9</t>
  </si>
  <si>
    <t>1700_1EA9</t>
  </si>
  <si>
    <t>1700_20A9</t>
  </si>
  <si>
    <t>1700_22A9</t>
  </si>
  <si>
    <t>1700_24A9</t>
  </si>
  <si>
    <t>1700_26A9</t>
  </si>
  <si>
    <t>1700_28A9</t>
  </si>
  <si>
    <t>1700_2AA9</t>
  </si>
  <si>
    <t>1700_2CA9</t>
  </si>
  <si>
    <t>1700_2EA9</t>
  </si>
  <si>
    <t>1700_30A9</t>
  </si>
  <si>
    <t>1700_32A9</t>
  </si>
  <si>
    <t>1700_34A9</t>
  </si>
  <si>
    <t>1700_36A9</t>
  </si>
  <si>
    <t>1700_38A9</t>
  </si>
  <si>
    <t>1700_3AA9</t>
  </si>
  <si>
    <t>1700_3CA9</t>
  </si>
  <si>
    <t>1700_3EA9</t>
  </si>
  <si>
    <t>1700_40A9</t>
  </si>
  <si>
    <t>1700_42A9</t>
  </si>
  <si>
    <t>1700_44A9</t>
  </si>
  <si>
    <t>1700_46A9</t>
  </si>
  <si>
    <t>1700_48A9</t>
  </si>
  <si>
    <t>1700_4AA9</t>
  </si>
  <si>
    <t>1700_4CA9</t>
  </si>
  <si>
    <t>1700_4EA9</t>
  </si>
  <si>
    <t>1700_50A9</t>
  </si>
  <si>
    <t>1700_52A9</t>
  </si>
  <si>
    <t>1700_54A9</t>
  </si>
  <si>
    <t>1700_56A9</t>
  </si>
  <si>
    <t>1700_58A9</t>
  </si>
  <si>
    <t>1700_5AA9</t>
  </si>
  <si>
    <t>1700_5CA9</t>
  </si>
  <si>
    <t>1700_5EA9</t>
  </si>
  <si>
    <t>1700_60A9</t>
  </si>
  <si>
    <t>1700_62A9</t>
  </si>
  <si>
    <t>1700_64A9</t>
  </si>
  <si>
    <t>1700_66A9</t>
  </si>
  <si>
    <t>1700_68A9</t>
  </si>
  <si>
    <t>1700_6AA9</t>
  </si>
  <si>
    <t>1700_6CA9</t>
  </si>
  <si>
    <t>1700_6EA9</t>
  </si>
  <si>
    <t>1700_70A9</t>
  </si>
  <si>
    <t>1700_72A9</t>
  </si>
  <si>
    <t>1700_74A9</t>
  </si>
  <si>
    <t>1700_76A9</t>
  </si>
  <si>
    <t>1700_78A9</t>
  </si>
  <si>
    <t>1700_7AA9</t>
  </si>
  <si>
    <t>1700_7CA9</t>
  </si>
  <si>
    <t>1700_7EA9</t>
  </si>
  <si>
    <t>1700_00AA</t>
  </si>
  <si>
    <t>1700_02AA</t>
  </si>
  <si>
    <t>1700_04AA</t>
  </si>
  <si>
    <t>1700_06AA</t>
  </si>
  <si>
    <t>1700_08AA</t>
  </si>
  <si>
    <t>1700_0AAA</t>
  </si>
  <si>
    <t>1700_0CAA</t>
  </si>
  <si>
    <t>1700_0EAA</t>
  </si>
  <si>
    <t>1700_10AA</t>
  </si>
  <si>
    <t>1700_12AA</t>
  </si>
  <si>
    <t>1700_14AA</t>
  </si>
  <si>
    <t>1700_16AA</t>
  </si>
  <si>
    <t>1700_18AA</t>
  </si>
  <si>
    <t>1700_1AAA</t>
  </si>
  <si>
    <t>1700_1CAA</t>
  </si>
  <si>
    <t>1700_1EAA</t>
  </si>
  <si>
    <t>1700_20AA</t>
  </si>
  <si>
    <t>1700_22AA</t>
  </si>
  <si>
    <t>1700_24AA</t>
  </si>
  <si>
    <t>1700_26AA</t>
  </si>
  <si>
    <t>1700_28AA</t>
  </si>
  <si>
    <t>1700_2AAA</t>
  </si>
  <si>
    <t>1700_2CAA</t>
  </si>
  <si>
    <t>1700_2EAA</t>
  </si>
  <si>
    <t>1700_30AA</t>
  </si>
  <si>
    <t>1700_32AA</t>
  </si>
  <si>
    <t>1700_34AA</t>
  </si>
  <si>
    <t>1700_36AA</t>
  </si>
  <si>
    <t>1700_38AA</t>
  </si>
  <si>
    <t>1700_3AAA</t>
  </si>
  <si>
    <t>1700_3CAA</t>
  </si>
  <si>
    <t>1700_3EAA</t>
  </si>
  <si>
    <t>1700_40AA</t>
  </si>
  <si>
    <t>1700_42AA</t>
  </si>
  <si>
    <t>1700_44AA</t>
  </si>
  <si>
    <t>1700_46AA</t>
  </si>
  <si>
    <t>1700_48AA</t>
  </si>
  <si>
    <t>1700_4AAA</t>
  </si>
  <si>
    <t>1700_4CAA</t>
  </si>
  <si>
    <t>1700_4EAA</t>
  </si>
  <si>
    <t>1700_50AA</t>
  </si>
  <si>
    <t>1700_52AA</t>
  </si>
  <si>
    <t>1700_54AA</t>
  </si>
  <si>
    <t>1700_56AA</t>
  </si>
  <si>
    <t>1700_58AA</t>
  </si>
  <si>
    <t>1700_5AAA</t>
  </si>
  <si>
    <t>1700_5CAA</t>
  </si>
  <si>
    <t>1700_5EAA</t>
  </si>
  <si>
    <t>1700_60AA</t>
  </si>
  <si>
    <t>1700_62AA</t>
  </si>
  <si>
    <t>1700_64AA</t>
  </si>
  <si>
    <t>1700_66AA</t>
  </si>
  <si>
    <t>1700_68AA</t>
  </si>
  <si>
    <t>1700_6AAA</t>
  </si>
  <si>
    <t>1700_6CAA</t>
  </si>
  <si>
    <t>1700_6EAA</t>
  </si>
  <si>
    <t>1700_70AA</t>
  </si>
  <si>
    <t>1700_72AA</t>
  </si>
  <si>
    <t>1700_74AA</t>
  </si>
  <si>
    <t>1700_76AA</t>
  </si>
  <si>
    <t>1700_78AA</t>
  </si>
  <si>
    <t>1700_7AAA</t>
  </si>
  <si>
    <t>1700_7CAA</t>
  </si>
  <si>
    <t>1700_7EAA</t>
  </si>
  <si>
    <t>1700_00AB</t>
  </si>
  <si>
    <t>1700_02AB</t>
  </si>
  <si>
    <t>1700_04AB</t>
  </si>
  <si>
    <t>1700_06AB</t>
  </si>
  <si>
    <t>1700_08AB</t>
  </si>
  <si>
    <t>1700_0AAB</t>
  </si>
  <si>
    <t>1700_0CAB</t>
  </si>
  <si>
    <t>1700_0EAB</t>
  </si>
  <si>
    <t>1700_10AB</t>
  </si>
  <si>
    <t>1700_12AB</t>
  </si>
  <si>
    <t>1700_14AB</t>
  </si>
  <si>
    <t>1700_16AB</t>
  </si>
  <si>
    <t>1700_18AB</t>
  </si>
  <si>
    <t>1700_1AAB</t>
  </si>
  <si>
    <t>1700_1CAB</t>
  </si>
  <si>
    <t>1700_1EAB</t>
  </si>
  <si>
    <t>1700_20AB</t>
  </si>
  <si>
    <t>1700_22AB</t>
  </si>
  <si>
    <t>1700_24AB</t>
  </si>
  <si>
    <t>1700_26AB</t>
  </si>
  <si>
    <t>1700_28AB</t>
  </si>
  <si>
    <t>1700_2AAB</t>
  </si>
  <si>
    <t>1700_2CAB</t>
  </si>
  <si>
    <t>1700_2EAB</t>
  </si>
  <si>
    <t>1700_30AB</t>
  </si>
  <si>
    <t>1700_32AB</t>
  </si>
  <si>
    <t>1700_34AB</t>
  </si>
  <si>
    <t>1700_36AB</t>
  </si>
  <si>
    <t>1700_38AB</t>
  </si>
  <si>
    <t>1700_3AAB</t>
  </si>
  <si>
    <t>1700_3CAB</t>
  </si>
  <si>
    <t>1700_3EAB</t>
  </si>
  <si>
    <t>1700_40AB</t>
  </si>
  <si>
    <t>1700_42AB</t>
  </si>
  <si>
    <t>1700_44AB</t>
  </si>
  <si>
    <t>1700_46AB</t>
  </si>
  <si>
    <t>1700_48AB</t>
  </si>
  <si>
    <t>1700_4AAB</t>
  </si>
  <si>
    <t>1700_4CAB</t>
  </si>
  <si>
    <t>1700_4EAB</t>
  </si>
  <si>
    <t>1700_50AB</t>
  </si>
  <si>
    <t>1700_52AB</t>
  </si>
  <si>
    <t>1700_54AB</t>
  </si>
  <si>
    <t>1700_56AB</t>
  </si>
  <si>
    <t>1700_58AB</t>
  </si>
  <si>
    <t>1700_5AAB</t>
  </si>
  <si>
    <t>1700_5CAB</t>
  </si>
  <si>
    <t>1700_5EAB</t>
  </si>
  <si>
    <t>1700_60AB</t>
  </si>
  <si>
    <t>1700_62AB</t>
  </si>
  <si>
    <t>1700_64AB</t>
  </si>
  <si>
    <t>1700_66AB</t>
  </si>
  <si>
    <t>1700_68AB</t>
  </si>
  <si>
    <t>1700_6AAB</t>
  </si>
  <si>
    <t>1700_6CAB</t>
  </si>
  <si>
    <t>1700_6EAB</t>
  </si>
  <si>
    <t>1700_70AB</t>
  </si>
  <si>
    <t>1700_72AB</t>
  </si>
  <si>
    <t>1700_74AB</t>
  </si>
  <si>
    <t>1700_76AB</t>
  </si>
  <si>
    <t>1700_78AB</t>
  </si>
  <si>
    <t>1700_7AAB</t>
  </si>
  <si>
    <t>1700_7CAB</t>
  </si>
  <si>
    <t>1700_7EAB</t>
  </si>
  <si>
    <t>1700_00AC</t>
  </si>
  <si>
    <t>1700_02AC</t>
  </si>
  <si>
    <t>1700_04AC</t>
  </si>
  <si>
    <t>1700_06AC</t>
  </si>
  <si>
    <t>1700_08AC</t>
  </si>
  <si>
    <t>1700_0AAC</t>
  </si>
  <si>
    <t>1700_0CAC</t>
  </si>
  <si>
    <t>1700_0EAC</t>
  </si>
  <si>
    <t>1700_10AC</t>
  </si>
  <si>
    <t>1700_12AC</t>
  </si>
  <si>
    <t>1700_14AC</t>
  </si>
  <si>
    <t>1700_16AC</t>
  </si>
  <si>
    <t>1700_18AC</t>
  </si>
  <si>
    <t>1700_1AAC</t>
  </si>
  <si>
    <t>1700_1CAC</t>
  </si>
  <si>
    <t>1700_1EAC</t>
  </si>
  <si>
    <t>1700_20AC</t>
  </si>
  <si>
    <t>1700_22AC</t>
  </si>
  <si>
    <t>1700_24AC</t>
  </si>
  <si>
    <t>1700_26AC</t>
  </si>
  <si>
    <t>1700_28AC</t>
  </si>
  <si>
    <t>1700_2AAC</t>
  </si>
  <si>
    <t>1700_2CAC</t>
  </si>
  <si>
    <t>1700_2EAC</t>
  </si>
  <si>
    <t>1700_30AC</t>
  </si>
  <si>
    <t>1700_32AC</t>
  </si>
  <si>
    <t>1700_34AC</t>
  </si>
  <si>
    <t>1700_36AC</t>
  </si>
  <si>
    <t>1700_38AC</t>
  </si>
  <si>
    <t>1700_3AAC</t>
  </si>
  <si>
    <t>1700_3CAC</t>
  </si>
  <si>
    <t>1700_3EAC</t>
  </si>
  <si>
    <t>1700_40AC</t>
  </si>
  <si>
    <t>1700_42AC</t>
  </si>
  <si>
    <t>1700_44AC</t>
  </si>
  <si>
    <t>1700_46AC</t>
  </si>
  <si>
    <t>1700_48AC</t>
  </si>
  <si>
    <t>1700_4AAC</t>
  </si>
  <si>
    <t>1700_4CAC</t>
  </si>
  <si>
    <t>1700_4EAC</t>
  </si>
  <si>
    <t>1700_50AC</t>
  </si>
  <si>
    <t>1700_52AC</t>
  </si>
  <si>
    <t>1700_54AC</t>
  </si>
  <si>
    <t>1700_56AC</t>
  </si>
  <si>
    <t>1700_58AC</t>
  </si>
  <si>
    <t>1700_5AAC</t>
  </si>
  <si>
    <t>1700_5CAC</t>
  </si>
  <si>
    <t>1700_5EAC</t>
  </si>
  <si>
    <t>1700_60AC</t>
  </si>
  <si>
    <t>1700_62AC</t>
  </si>
  <si>
    <t>1700_64AC</t>
  </si>
  <si>
    <t>1700_66AC</t>
  </si>
  <si>
    <t>1700_68AC</t>
  </si>
  <si>
    <t>1700_6AAC</t>
  </si>
  <si>
    <t>1700_6CAC</t>
  </si>
  <si>
    <t>1700_6EAC</t>
  </si>
  <si>
    <t>1700_70AC</t>
  </si>
  <si>
    <t>1700_72AC</t>
  </si>
  <si>
    <t>1700_74AC</t>
  </si>
  <si>
    <t>1700_76AC</t>
  </si>
  <si>
    <t>1700_78AC</t>
  </si>
  <si>
    <t>1700_7AAC</t>
  </si>
  <si>
    <t>1700_7CAC</t>
  </si>
  <si>
    <t>1700_7EAC</t>
  </si>
  <si>
    <t>1700_00AD</t>
  </si>
  <si>
    <t>1700_02AD</t>
  </si>
  <si>
    <t>1700_04AD</t>
  </si>
  <si>
    <t>1700_06AD</t>
  </si>
  <si>
    <t>1700_08AD</t>
  </si>
  <si>
    <t>1700_0AAD</t>
  </si>
  <si>
    <t>1700_0CAD</t>
  </si>
  <si>
    <t>1700_0EAD</t>
  </si>
  <si>
    <t>1700_10AD</t>
  </si>
  <si>
    <t>1700_12AD</t>
  </si>
  <si>
    <t>1700_14AD</t>
  </si>
  <si>
    <t>1700_16AD</t>
  </si>
  <si>
    <t>1700_18AD</t>
  </si>
  <si>
    <t>1700_1AAD</t>
  </si>
  <si>
    <t>1700_1CAD</t>
  </si>
  <si>
    <t>1700_1EAD</t>
  </si>
  <si>
    <t>1700_20AD</t>
  </si>
  <si>
    <t>1700_22AD</t>
  </si>
  <si>
    <t>1700_24AD</t>
  </si>
  <si>
    <t>1700_26AD</t>
  </si>
  <si>
    <t>1700_28AD</t>
  </si>
  <si>
    <t>1700_2AAD</t>
  </si>
  <si>
    <t>1700_2CAD</t>
  </si>
  <si>
    <t>1700_2EAD</t>
  </si>
  <si>
    <t>1700_30AD</t>
  </si>
  <si>
    <t>1700_32AD</t>
  </si>
  <si>
    <t>1700_34AD</t>
  </si>
  <si>
    <t>1700_36AD</t>
  </si>
  <si>
    <t>1700_38AD</t>
  </si>
  <si>
    <t>1700_3AAD</t>
  </si>
  <si>
    <t>1700_3CAD</t>
  </si>
  <si>
    <t>1700_3EAD</t>
  </si>
  <si>
    <t>1700_40AD</t>
  </si>
  <si>
    <t>1700_42AD</t>
  </si>
  <si>
    <t>1700_44AD</t>
  </si>
  <si>
    <t>1700_46AD</t>
  </si>
  <si>
    <t>1700_48AD</t>
  </si>
  <si>
    <t>1700_4AAD</t>
  </si>
  <si>
    <t>1700_4CAD</t>
  </si>
  <si>
    <t>1700_4EAD</t>
  </si>
  <si>
    <t>1700_50AD</t>
  </si>
  <si>
    <t>1700_52AD</t>
  </si>
  <si>
    <t>1700_54AD</t>
  </si>
  <si>
    <t>1700_56AD</t>
  </si>
  <si>
    <t>1700_58AD</t>
  </si>
  <si>
    <t>1700_5AAD</t>
  </si>
  <si>
    <t>1700_5CAD</t>
  </si>
  <si>
    <t>1700_5EAD</t>
  </si>
  <si>
    <t>1700_60AD</t>
  </si>
  <si>
    <t>1700_62AD</t>
  </si>
  <si>
    <t>1700_64AD</t>
  </si>
  <si>
    <t>1700_66AD</t>
  </si>
  <si>
    <t>1700_68AD</t>
  </si>
  <si>
    <t>1700_6AAD</t>
  </si>
  <si>
    <t>1700_6CAD</t>
  </si>
  <si>
    <t>1700_6EAD</t>
  </si>
  <si>
    <t>1700_70AD</t>
  </si>
  <si>
    <t>1700_72AD</t>
  </si>
  <si>
    <t>1700_74AD</t>
  </si>
  <si>
    <t>1700_76AD</t>
  </si>
  <si>
    <t>1700_78AD</t>
  </si>
  <si>
    <t>1700_7AAD</t>
  </si>
  <si>
    <t>1700_7CAD</t>
  </si>
  <si>
    <t>1700_7EAD</t>
  </si>
  <si>
    <t>1700_00AE</t>
  </si>
  <si>
    <t>1700_02AE</t>
  </si>
  <si>
    <t>1700_04AE</t>
  </si>
  <si>
    <t>1700_06AE</t>
  </si>
  <si>
    <t>1700_08AE</t>
  </si>
  <si>
    <t>1700_0AAE</t>
  </si>
  <si>
    <t>1700_0CAE</t>
  </si>
  <si>
    <t>1700_0EAE</t>
  </si>
  <si>
    <t>1700_10AE</t>
  </si>
  <si>
    <t>1700_12AE</t>
  </si>
  <si>
    <t>1700_14AE</t>
  </si>
  <si>
    <t>1700_16AE</t>
  </si>
  <si>
    <t>1700_18AE</t>
  </si>
  <si>
    <t>1700_1AAE</t>
  </si>
  <si>
    <t>1700_1CAE</t>
  </si>
  <si>
    <t>1700_1EAE</t>
  </si>
  <si>
    <t>1700_20AE</t>
  </si>
  <si>
    <t>1700_22AE</t>
  </si>
  <si>
    <t>1700_24AE</t>
  </si>
  <si>
    <t>1700_26AE</t>
  </si>
  <si>
    <t>1700_28AE</t>
  </si>
  <si>
    <t>1700_2AAE</t>
  </si>
  <si>
    <t>1700_2CAE</t>
  </si>
  <si>
    <t>1700_2EAE</t>
  </si>
  <si>
    <t>1700_30AE</t>
  </si>
  <si>
    <t>1700_32AE</t>
  </si>
  <si>
    <t>1700_34AE</t>
  </si>
  <si>
    <t>1700_36AE</t>
  </si>
  <si>
    <t>1700_38AE</t>
  </si>
  <si>
    <t>1700_3AAE</t>
  </si>
  <si>
    <t>1700_3CAE</t>
  </si>
  <si>
    <t>1700_3EAE</t>
  </si>
  <si>
    <t>1700_40AE</t>
  </si>
  <si>
    <t>1700_42AE</t>
  </si>
  <si>
    <t>1700_44AE</t>
  </si>
  <si>
    <t>1700_46AE</t>
  </si>
  <si>
    <t>1700_48AE</t>
  </si>
  <si>
    <t>1700_4AAE</t>
  </si>
  <si>
    <t>1700_4CAE</t>
  </si>
  <si>
    <t>1700_4EAE</t>
  </si>
  <si>
    <t>1700_50AE</t>
  </si>
  <si>
    <t>1700_52AE</t>
  </si>
  <si>
    <t>1700_54AE</t>
  </si>
  <si>
    <t>1700_56AE</t>
  </si>
  <si>
    <t>1700_58AE</t>
  </si>
  <si>
    <t>1700_5AAE</t>
  </si>
  <si>
    <t>1700_5CAE</t>
  </si>
  <si>
    <t>1700_5EAE</t>
  </si>
  <si>
    <t>1700_60AE</t>
  </si>
  <si>
    <t>1700_62AE</t>
  </si>
  <si>
    <t>1700_64AE</t>
  </si>
  <si>
    <t>1700_66AE</t>
  </si>
  <si>
    <t>1700_68AE</t>
  </si>
  <si>
    <t>1700_6AAE</t>
  </si>
  <si>
    <t>1700_6CAE</t>
  </si>
  <si>
    <t>1700_6EAE</t>
  </si>
  <si>
    <t>1700_70AE</t>
  </si>
  <si>
    <t>1700_72AE</t>
  </si>
  <si>
    <t>1700_74AE</t>
  </si>
  <si>
    <t>1700_76AE</t>
  </si>
  <si>
    <t>1700_78AE</t>
  </si>
  <si>
    <t>1700_7AAE</t>
  </si>
  <si>
    <t>1700_7CAE</t>
  </si>
  <si>
    <t>1700_7EAE</t>
  </si>
  <si>
    <t>1700_00AF</t>
  </si>
  <si>
    <t>1700_02AF</t>
  </si>
  <si>
    <t>1700_04AF</t>
  </si>
  <si>
    <t>1700_06AF</t>
  </si>
  <si>
    <t>1700_08AF</t>
  </si>
  <si>
    <t>1700_0AAF</t>
  </si>
  <si>
    <t>1700_0CAF</t>
  </si>
  <si>
    <t>1700_0EAF</t>
  </si>
  <si>
    <t>1700_10AF</t>
  </si>
  <si>
    <t>1700_12AF</t>
  </si>
  <si>
    <t>1700_14AF</t>
  </si>
  <si>
    <t>1700_16AF</t>
  </si>
  <si>
    <t>1700_18AF</t>
  </si>
  <si>
    <t>1700_1AAF</t>
  </si>
  <si>
    <t>1700_1CAF</t>
  </si>
  <si>
    <t>1700_1EAF</t>
  </si>
  <si>
    <t>1700_20AF</t>
  </si>
  <si>
    <t>1700_22AF</t>
  </si>
  <si>
    <t>1700_24AF</t>
  </si>
  <si>
    <t>1700_26AF</t>
  </si>
  <si>
    <t>1700_28AF</t>
  </si>
  <si>
    <t>1700_2AAF</t>
  </si>
  <si>
    <t>1700_2CAF</t>
  </si>
  <si>
    <t>1700_2EAF</t>
  </si>
  <si>
    <t>1700_30AF</t>
  </si>
  <si>
    <t>1700_32AF</t>
  </si>
  <si>
    <t>1700_34AF</t>
  </si>
  <si>
    <t>1700_36AF</t>
  </si>
  <si>
    <t>1700_38AF</t>
  </si>
  <si>
    <t>1700_3AAF</t>
  </si>
  <si>
    <t>1700_3CAF</t>
  </si>
  <si>
    <t>1700_3EAF</t>
  </si>
  <si>
    <t>1700_40AF</t>
  </si>
  <si>
    <t>1700_42AF</t>
  </si>
  <si>
    <t>1700_44AF</t>
  </si>
  <si>
    <t>1700_46AF</t>
  </si>
  <si>
    <t>1700_48AF</t>
  </si>
  <si>
    <t>1700_4AAF</t>
  </si>
  <si>
    <t>1700_4CAF</t>
  </si>
  <si>
    <t>1700_4EAF</t>
  </si>
  <si>
    <t>1700_50AF</t>
  </si>
  <si>
    <t>1700_52AF</t>
  </si>
  <si>
    <t>1700_54AF</t>
  </si>
  <si>
    <t>1700_56AF</t>
  </si>
  <si>
    <t>1700_58AF</t>
  </si>
  <si>
    <t>1700_5AAF</t>
  </si>
  <si>
    <t>1700_5CAF</t>
  </si>
  <si>
    <t>1700_5EAF</t>
  </si>
  <si>
    <t>1700_60AF</t>
  </si>
  <si>
    <t>1700_62AF</t>
  </si>
  <si>
    <t>1700_64AF</t>
  </si>
  <si>
    <t>1700_66AF</t>
  </si>
  <si>
    <t>1700_68AF</t>
  </si>
  <si>
    <t>1700_6AAF</t>
  </si>
  <si>
    <t>1700_6CAF</t>
  </si>
  <si>
    <t>1700_6EAF</t>
  </si>
  <si>
    <t>1700_70AF</t>
  </si>
  <si>
    <t>1700_72AF</t>
  </si>
  <si>
    <t>1700_74AF</t>
  </si>
  <si>
    <t>1700_76AF</t>
  </si>
  <si>
    <t>1700_78AF</t>
  </si>
  <si>
    <t>1700_7AAF</t>
  </si>
  <si>
    <t>1700_7CAF</t>
  </si>
  <si>
    <t>1700_7EAF</t>
  </si>
  <si>
    <t>1700_00B0</t>
  </si>
  <si>
    <t>1700_02B0</t>
  </si>
  <si>
    <t>1700_04B0</t>
  </si>
  <si>
    <t>1700_06B0</t>
  </si>
  <si>
    <t>1700_08B0</t>
  </si>
  <si>
    <t>1700_0AB0</t>
  </si>
  <si>
    <t>1700_0CB0</t>
  </si>
  <si>
    <t>1700_0EB0</t>
  </si>
  <si>
    <t>1700_10B0</t>
  </si>
  <si>
    <t>1700_12B0</t>
  </si>
  <si>
    <t>1700_14B0</t>
  </si>
  <si>
    <t>1700_16B0</t>
  </si>
  <si>
    <t>1700_18B0</t>
  </si>
  <si>
    <t>1700_1AB0</t>
  </si>
  <si>
    <t>1700_1CB0</t>
  </si>
  <si>
    <t>1700_1EB0</t>
  </si>
  <si>
    <t>1700_20B0</t>
  </si>
  <si>
    <t>1700_22B0</t>
  </si>
  <si>
    <t>1700_24B0</t>
  </si>
  <si>
    <t>1700_26B0</t>
  </si>
  <si>
    <t>1700_28B0</t>
  </si>
  <si>
    <t>1700_2AB0</t>
  </si>
  <si>
    <t>1700_2CB0</t>
  </si>
  <si>
    <t>1700_2EB0</t>
  </si>
  <si>
    <t>1700_30B0</t>
  </si>
  <si>
    <t>1700_32B0</t>
  </si>
  <si>
    <t>1700_34B0</t>
  </si>
  <si>
    <t>1700_36B0</t>
  </si>
  <si>
    <t>1700_38B0</t>
  </si>
  <si>
    <t>1700_3AB0</t>
  </si>
  <si>
    <t>1700_3CB0</t>
  </si>
  <si>
    <t>1700_3EB0</t>
  </si>
  <si>
    <t>1700_40B0</t>
  </si>
  <si>
    <t>1700_42B0</t>
  </si>
  <si>
    <t>1700_44B0</t>
  </si>
  <si>
    <t>1700_46B0</t>
  </si>
  <si>
    <t>1700_48B0</t>
  </si>
  <si>
    <t>1700_4AB0</t>
  </si>
  <si>
    <t>1700_4CB0</t>
  </si>
  <si>
    <t>1700_4EB0</t>
  </si>
  <si>
    <t>1700_50B0</t>
  </si>
  <si>
    <t>1700_52B0</t>
  </si>
  <si>
    <t>1700_54B0</t>
  </si>
  <si>
    <t>1700_56B0</t>
  </si>
  <si>
    <t>1700_58B0</t>
  </si>
  <si>
    <t>1700_5AB0</t>
  </si>
  <si>
    <t>1700_5CB0</t>
  </si>
  <si>
    <t>1700_5EB0</t>
  </si>
  <si>
    <t>1700_60B0</t>
  </si>
  <si>
    <t>1700_62B0</t>
  </si>
  <si>
    <t>1700_64B0</t>
  </si>
  <si>
    <t>1700_66B0</t>
  </si>
  <si>
    <t>1700_68B0</t>
  </si>
  <si>
    <t>1700_6AB0</t>
  </si>
  <si>
    <t>1700_6CB0</t>
  </si>
  <si>
    <t>1700_6EB0</t>
  </si>
  <si>
    <t>1700_70B0</t>
  </si>
  <si>
    <t>1700_72B0</t>
  </si>
  <si>
    <t>1700_74B0</t>
  </si>
  <si>
    <t>1700_76B0</t>
  </si>
  <si>
    <t>1700_78B0</t>
  </si>
  <si>
    <t>1700_7AB0</t>
  </si>
  <si>
    <t>1700_7CB0</t>
  </si>
  <si>
    <t>1700_7EB0</t>
  </si>
  <si>
    <t>1700_00B1</t>
  </si>
  <si>
    <t>1700_02B1</t>
  </si>
  <si>
    <t>1700_04B1</t>
  </si>
  <si>
    <t>1700_06B1</t>
  </si>
  <si>
    <t>1700_08B1</t>
  </si>
  <si>
    <t>1700_0AB1</t>
  </si>
  <si>
    <t>1700_0CB1</t>
  </si>
  <si>
    <t>1700_0EB1</t>
  </si>
  <si>
    <t>1700_10B1</t>
  </si>
  <si>
    <t>1700_12B1</t>
  </si>
  <si>
    <t>1700_14B1</t>
  </si>
  <si>
    <t>1700_16B1</t>
  </si>
  <si>
    <t>1700_18B1</t>
  </si>
  <si>
    <t>1700_1AB1</t>
  </si>
  <si>
    <t>1700_1CB1</t>
  </si>
  <si>
    <t>1700_1EB1</t>
  </si>
  <si>
    <t>1700_20B1</t>
  </si>
  <si>
    <t>1700_22B1</t>
  </si>
  <si>
    <t>1700_24B1</t>
  </si>
  <si>
    <t>1700_26B1</t>
  </si>
  <si>
    <t>1700_28B1</t>
  </si>
  <si>
    <t>1700_2AB1</t>
  </si>
  <si>
    <t>1700_2CB1</t>
  </si>
  <si>
    <t>1700_2EB1</t>
  </si>
  <si>
    <t>1700_30B1</t>
  </si>
  <si>
    <t>1700_32B1</t>
  </si>
  <si>
    <t>1700_34B1</t>
  </si>
  <si>
    <t>1700_36B1</t>
  </si>
  <si>
    <t>1700_38B1</t>
  </si>
  <si>
    <t>1700_3AB1</t>
  </si>
  <si>
    <t>1700_3CB1</t>
  </si>
  <si>
    <t>1700_3EB1</t>
  </si>
  <si>
    <t>1700_40B1</t>
  </si>
  <si>
    <t>1700_42B1</t>
  </si>
  <si>
    <t>1700_44B1</t>
  </si>
  <si>
    <t>1700_46B1</t>
  </si>
  <si>
    <t>1700_48B1</t>
  </si>
  <si>
    <t>1700_4AB1</t>
  </si>
  <si>
    <t>1700_4CB1</t>
  </si>
  <si>
    <t>1700_4EB1</t>
  </si>
  <si>
    <t>1700_50B1</t>
  </si>
  <si>
    <t>1700_52B1</t>
  </si>
  <si>
    <t>1700_54B1</t>
  </si>
  <si>
    <t>1700_56B1</t>
  </si>
  <si>
    <t>1700_58B1</t>
  </si>
  <si>
    <t>1700_5AB1</t>
  </si>
  <si>
    <t>1700_5CB1</t>
  </si>
  <si>
    <t>1700_5EB1</t>
  </si>
  <si>
    <t>1700_60B1</t>
  </si>
  <si>
    <t>1700_62B1</t>
  </si>
  <si>
    <t>1700_64B1</t>
  </si>
  <si>
    <t>1700_66B1</t>
  </si>
  <si>
    <t>1700_68B1</t>
  </si>
  <si>
    <t>1700_6AB1</t>
  </si>
  <si>
    <t>1700_6CB1</t>
  </si>
  <si>
    <t>1700_6EB1</t>
  </si>
  <si>
    <t>1700_70B1</t>
  </si>
  <si>
    <t>1700_72B1</t>
  </si>
  <si>
    <t>1700_74B1</t>
  </si>
  <si>
    <t>1700_76B1</t>
  </si>
  <si>
    <t>1700_78B1</t>
  </si>
  <si>
    <t>1700_7AB1</t>
  </si>
  <si>
    <t>1700_7CB1</t>
  </si>
  <si>
    <t>1700_7EB1</t>
  </si>
  <si>
    <t>1700_00B2</t>
  </si>
  <si>
    <t>1700_02B2</t>
  </si>
  <si>
    <t>1700_04B2</t>
  </si>
  <si>
    <t>1700_06B2</t>
  </si>
  <si>
    <t>1700_08B2</t>
  </si>
  <si>
    <t>1700_0AB2</t>
  </si>
  <si>
    <t>1700_0CB2</t>
  </si>
  <si>
    <t>1700_0EB2</t>
  </si>
  <si>
    <t>1700_10B2</t>
  </si>
  <si>
    <t>1700_12B2</t>
  </si>
  <si>
    <t>1700_14B2</t>
  </si>
  <si>
    <t>1700_16B2</t>
  </si>
  <si>
    <t>1700_18B2</t>
  </si>
  <si>
    <t>1700_1AB2</t>
  </si>
  <si>
    <t>1700_1CB2</t>
  </si>
  <si>
    <t>1700_1EB2</t>
  </si>
  <si>
    <t>1700_20B2</t>
  </si>
  <si>
    <t>1700_22B2</t>
  </si>
  <si>
    <t>1700_24B2</t>
  </si>
  <si>
    <t>1700_26B2</t>
  </si>
  <si>
    <t>1700_28B2</t>
  </si>
  <si>
    <t>1700_2AB2</t>
  </si>
  <si>
    <t>1700_2CB2</t>
  </si>
  <si>
    <t>1700_2EB2</t>
  </si>
  <si>
    <t>1700_30B2</t>
  </si>
  <si>
    <t>1700_32B2</t>
  </si>
  <si>
    <t>1700_34B2</t>
  </si>
  <si>
    <t>1700_36B2</t>
  </si>
  <si>
    <t>1700_38B2</t>
  </si>
  <si>
    <t>1700_3AB2</t>
  </si>
  <si>
    <t>1700_3CB2</t>
  </si>
  <si>
    <t>1700_3EB2</t>
  </si>
  <si>
    <t>1700_40B2</t>
  </si>
  <si>
    <t>1700_42B2</t>
  </si>
  <si>
    <t>1700_44B2</t>
  </si>
  <si>
    <t>1700_46B2</t>
  </si>
  <si>
    <t>1700_48B2</t>
  </si>
  <si>
    <t>1700_4AB2</t>
  </si>
  <si>
    <t>1700_4CB2</t>
  </si>
  <si>
    <t>1700_4EB2</t>
  </si>
  <si>
    <t>1700_50B2</t>
  </si>
  <si>
    <t>1700_52B2</t>
  </si>
  <si>
    <t>1700_54B2</t>
  </si>
  <si>
    <t>1700_56B2</t>
  </si>
  <si>
    <t>1700_58B2</t>
  </si>
  <si>
    <t>1700_5AB2</t>
  </si>
  <si>
    <t>1700_5CB2</t>
  </si>
  <si>
    <t>1700_5EB2</t>
  </si>
  <si>
    <t>1700_60B2</t>
  </si>
  <si>
    <t>1700_62B2</t>
  </si>
  <si>
    <t>1700_64B2</t>
  </si>
  <si>
    <t>1700_66B2</t>
  </si>
  <si>
    <t>1700_68B2</t>
  </si>
  <si>
    <t>1700_6AB2</t>
  </si>
  <si>
    <t>1700_6CB2</t>
  </si>
  <si>
    <t>1700_6EB2</t>
  </si>
  <si>
    <t>1700_70B2</t>
  </si>
  <si>
    <t>1700_72B2</t>
  </si>
  <si>
    <t>1700_74B2</t>
  </si>
  <si>
    <t>1700_76B2</t>
  </si>
  <si>
    <t>1700_78B2</t>
  </si>
  <si>
    <t>1700_7AB2</t>
  </si>
  <si>
    <t>1700_7CB2</t>
  </si>
  <si>
    <t>1700_7EB2</t>
  </si>
  <si>
    <t>1700_00B3</t>
  </si>
  <si>
    <t>1700_02B3</t>
  </si>
  <si>
    <t>1700_04B3</t>
  </si>
  <si>
    <t>1700_06B3</t>
  </si>
  <si>
    <t>1700_08B3</t>
  </si>
  <si>
    <t>1700_0AB3</t>
  </si>
  <si>
    <t>1700_0CB3</t>
  </si>
  <si>
    <t>1700_0EB3</t>
  </si>
  <si>
    <t>1700_10B3</t>
  </si>
  <si>
    <t>1700_12B3</t>
  </si>
  <si>
    <t>1700_14B3</t>
  </si>
  <si>
    <t>1700_16B3</t>
  </si>
  <si>
    <t>1700_18B3</t>
  </si>
  <si>
    <t>1700_1AB3</t>
  </si>
  <si>
    <t>1700_1CB3</t>
  </si>
  <si>
    <t>1700_1EB3</t>
  </si>
  <si>
    <t>1700_20B3</t>
  </si>
  <si>
    <t>1700_22B3</t>
  </si>
  <si>
    <t>1700_24B3</t>
  </si>
  <si>
    <t>1700_26B3</t>
  </si>
  <si>
    <t>1700_28B3</t>
  </si>
  <si>
    <t>1700_2AB3</t>
  </si>
  <si>
    <t>1700_2CB3</t>
  </si>
  <si>
    <t>1700_2EB3</t>
  </si>
  <si>
    <t>1700_30B3</t>
  </si>
  <si>
    <t>1700_32B3</t>
  </si>
  <si>
    <t>1700_34B3</t>
  </si>
  <si>
    <t>1700_36B3</t>
  </si>
  <si>
    <t>1700_38B3</t>
  </si>
  <si>
    <t>1700_3AB3</t>
  </si>
  <si>
    <t>1700_3CB3</t>
  </si>
  <si>
    <t>1700_3EB3</t>
  </si>
  <si>
    <t>1700_40B3</t>
  </si>
  <si>
    <t>1700_42B3</t>
  </si>
  <si>
    <t>1700_44B3</t>
  </si>
  <si>
    <t>1700_46B3</t>
  </si>
  <si>
    <t>1700_48B3</t>
  </si>
  <si>
    <t>1700_4AB3</t>
  </si>
  <si>
    <t>1700_4CB3</t>
  </si>
  <si>
    <t>1700_4EB3</t>
  </si>
  <si>
    <t>1700_50B3</t>
  </si>
  <si>
    <t>1700_52B3</t>
  </si>
  <si>
    <t>1700_54B3</t>
  </si>
  <si>
    <t>1700_56B3</t>
  </si>
  <si>
    <t>1700_58B3</t>
  </si>
  <si>
    <t>1700_5AB3</t>
  </si>
  <si>
    <t>1700_5CB3</t>
  </si>
  <si>
    <t>1700_5EB3</t>
  </si>
  <si>
    <t>1700_60B3</t>
  </si>
  <si>
    <t>1700_62B3</t>
  </si>
  <si>
    <t>1700_64B3</t>
  </si>
  <si>
    <t>1700_66B3</t>
  </si>
  <si>
    <t>1700_68B3</t>
  </si>
  <si>
    <t>1700_6AB3</t>
  </si>
  <si>
    <t>1700_6CB3</t>
  </si>
  <si>
    <t>1700_6EB3</t>
  </si>
  <si>
    <t>1700_70B3</t>
  </si>
  <si>
    <t>1700_72B3</t>
  </si>
  <si>
    <t>1700_74B3</t>
  </si>
  <si>
    <t>1700_76B3</t>
  </si>
  <si>
    <t>1700_78B3</t>
  </si>
  <si>
    <t>1700_7AB3</t>
  </si>
  <si>
    <t>1700_7CB3</t>
  </si>
  <si>
    <t>1700_7EB3</t>
  </si>
  <si>
    <t>1700_00B4</t>
  </si>
  <si>
    <t>1700_02B4</t>
  </si>
  <si>
    <t>1700_04B4</t>
  </si>
  <si>
    <t>1700_06B4</t>
  </si>
  <si>
    <t>1700_08B4</t>
  </si>
  <si>
    <t>1700_0AB4</t>
  </si>
  <si>
    <t>1700_0CB4</t>
  </si>
  <si>
    <t>1700_0EB4</t>
  </si>
  <si>
    <t>1700_10B4</t>
  </si>
  <si>
    <t>1700_12B4</t>
  </si>
  <si>
    <t>1700_14B4</t>
  </si>
  <si>
    <t>1700_16B4</t>
  </si>
  <si>
    <t>1700_18B4</t>
  </si>
  <si>
    <t>1700_1AB4</t>
  </si>
  <si>
    <t>1700_1CB4</t>
  </si>
  <si>
    <t>1700_1EB4</t>
  </si>
  <si>
    <t>1700_20B4</t>
  </si>
  <si>
    <t>1700_22B4</t>
  </si>
  <si>
    <t>1700_24B4</t>
  </si>
  <si>
    <t>1700_26B4</t>
  </si>
  <si>
    <t>1700_28B4</t>
  </si>
  <si>
    <t>1700_2AB4</t>
  </si>
  <si>
    <t>1700_2CB4</t>
  </si>
  <si>
    <t>1700_2EB4</t>
  </si>
  <si>
    <t>1700_30B4</t>
  </si>
  <si>
    <t>1700_32B4</t>
  </si>
  <si>
    <t>1700_34B4</t>
  </si>
  <si>
    <t>1700_36B4</t>
  </si>
  <si>
    <t>1700_38B4</t>
  </si>
  <si>
    <t>1700_3AB4</t>
  </si>
  <si>
    <t>1700_3CB4</t>
  </si>
  <si>
    <t>1700_3EB4</t>
  </si>
  <si>
    <t>1700_40B4</t>
  </si>
  <si>
    <t>1700_42B4</t>
  </si>
  <si>
    <t>1700_44B4</t>
  </si>
  <si>
    <t>1700_46B4</t>
  </si>
  <si>
    <t>1700_48B4</t>
  </si>
  <si>
    <t>1700_4AB4</t>
  </si>
  <si>
    <t>1700_4CB4</t>
  </si>
  <si>
    <t>1700_4EB4</t>
  </si>
  <si>
    <t>1700_50B4</t>
  </si>
  <si>
    <t>1700_52B4</t>
  </si>
  <si>
    <t>1700_54B4</t>
  </si>
  <si>
    <t>1700_56B4</t>
  </si>
  <si>
    <t>1700_58B4</t>
  </si>
  <si>
    <t>1700_5AB4</t>
  </si>
  <si>
    <t>1700_5CB4</t>
  </si>
  <si>
    <t>1700_5EB4</t>
  </si>
  <si>
    <t>1700_60B4</t>
  </si>
  <si>
    <t>1700_62B4</t>
  </si>
  <si>
    <t>1700_64B4</t>
  </si>
  <si>
    <t>1700_66B4</t>
  </si>
  <si>
    <t>1700_68B4</t>
  </si>
  <si>
    <t>1700_6AB4</t>
  </si>
  <si>
    <t>1700_6CB4</t>
  </si>
  <si>
    <t>1700_6EB4</t>
  </si>
  <si>
    <t>1700_70B4</t>
  </si>
  <si>
    <t>1700_72B4</t>
  </si>
  <si>
    <t>1700_74B4</t>
  </si>
  <si>
    <t>1700_76B4</t>
  </si>
  <si>
    <t>1700_78B4</t>
  </si>
  <si>
    <t>1700_7AB4</t>
  </si>
  <si>
    <t>1700_7CB4</t>
  </si>
  <si>
    <t>1700_7EB4</t>
  </si>
  <si>
    <t>1700_00B5</t>
  </si>
  <si>
    <t>1700_02B5</t>
  </si>
  <si>
    <t>1700_04B5</t>
  </si>
  <si>
    <t>1700_06B5</t>
  </si>
  <si>
    <t>1700_08B5</t>
  </si>
  <si>
    <t>1700_0AB5</t>
  </si>
  <si>
    <t>1700_0CB5</t>
  </si>
  <si>
    <t>1700_0EB5</t>
  </si>
  <si>
    <t>1700_10B5</t>
  </si>
  <si>
    <t>1700_12B5</t>
  </si>
  <si>
    <t>1700_14B5</t>
  </si>
  <si>
    <t>1700_16B5</t>
  </si>
  <si>
    <t>1700_18B5</t>
  </si>
  <si>
    <t>1700_1AB5</t>
  </si>
  <si>
    <t>1700_1CB5</t>
  </si>
  <si>
    <t>1700_1EB5</t>
  </si>
  <si>
    <t>1700_20B5</t>
  </si>
  <si>
    <t>1700_22B5</t>
  </si>
  <si>
    <t>1700_24B5</t>
  </si>
  <si>
    <t>1700_26B5</t>
  </si>
  <si>
    <t>1700_28B5</t>
  </si>
  <si>
    <t>1700_2AB5</t>
  </si>
  <si>
    <t>1700_2CB5</t>
  </si>
  <si>
    <t>1700_2EB5</t>
  </si>
  <si>
    <t>1700_30B5</t>
  </si>
  <si>
    <t>1700_32B5</t>
  </si>
  <si>
    <t>1700_34B5</t>
  </si>
  <si>
    <t>1700_36B5</t>
  </si>
  <si>
    <t>1700_38B5</t>
  </si>
  <si>
    <t>1700_3AB5</t>
  </si>
  <si>
    <t>1700_3CB5</t>
  </si>
  <si>
    <t>1700_3EB5</t>
  </si>
  <si>
    <t>1700_40B5</t>
  </si>
  <si>
    <t>1700_42B5</t>
  </si>
  <si>
    <t>1700_44B5</t>
  </si>
  <si>
    <t>1700_46B5</t>
  </si>
  <si>
    <t>1700_48B5</t>
  </si>
  <si>
    <t>1700_4AB5</t>
  </si>
  <si>
    <t>1700_4CB5</t>
  </si>
  <si>
    <t>1700_4EB5</t>
  </si>
  <si>
    <t>1700_50B5</t>
  </si>
  <si>
    <t>1700_52B5</t>
  </si>
  <si>
    <t>1700_54B5</t>
  </si>
  <si>
    <t>1700_56B5</t>
  </si>
  <si>
    <t>1700_58B5</t>
  </si>
  <si>
    <t>1700_5AB5</t>
  </si>
  <si>
    <t>1700_5CB5</t>
  </si>
  <si>
    <t>1700_5EB5</t>
  </si>
  <si>
    <t>1700_60B5</t>
  </si>
  <si>
    <t>1700_62B5</t>
  </si>
  <si>
    <t>1700_64B5</t>
  </si>
  <si>
    <t>1700_66B5</t>
  </si>
  <si>
    <t>1700_68B5</t>
  </si>
  <si>
    <t>1700_6AB5</t>
  </si>
  <si>
    <t>1700_6CB5</t>
  </si>
  <si>
    <t>1700_6EB5</t>
  </si>
  <si>
    <t>1700_70B5</t>
  </si>
  <si>
    <t>1700_72B5</t>
  </si>
  <si>
    <t>1700_74B5</t>
  </si>
  <si>
    <t>1700_76B5</t>
  </si>
  <si>
    <t>1700_78B5</t>
  </si>
  <si>
    <t>1700_7AB5</t>
  </si>
  <si>
    <t>1700_7CB5</t>
  </si>
  <si>
    <t>1700_7EB5</t>
  </si>
  <si>
    <t>1700_00B6</t>
  </si>
  <si>
    <t>1700_02B6</t>
  </si>
  <si>
    <t>1700_04B6</t>
  </si>
  <si>
    <t>1700_06B6</t>
  </si>
  <si>
    <t>1700_08B6</t>
  </si>
  <si>
    <t>1700_0AB6</t>
  </si>
  <si>
    <t>1700_0CB6</t>
  </si>
  <si>
    <t>1700_0EB6</t>
  </si>
  <si>
    <t>1700_10B6</t>
  </si>
  <si>
    <t>1700_12B6</t>
  </si>
  <si>
    <t>1700_14B6</t>
  </si>
  <si>
    <t>1700_16B6</t>
  </si>
  <si>
    <t>1700_18B6</t>
  </si>
  <si>
    <t>1700_1AB6</t>
  </si>
  <si>
    <t>1700_1CB6</t>
  </si>
  <si>
    <t>1700_1EB6</t>
  </si>
  <si>
    <t>1700_20B6</t>
  </si>
  <si>
    <t>1700_22B6</t>
  </si>
  <si>
    <t>1700_24B6</t>
  </si>
  <si>
    <t>1700_26B6</t>
  </si>
  <si>
    <t>1700_28B6</t>
  </si>
  <si>
    <t>1700_2AB6</t>
  </si>
  <si>
    <t>1700_2CB6</t>
  </si>
  <si>
    <t>1700_2EB6</t>
  </si>
  <si>
    <t>1700_30B6</t>
  </si>
  <si>
    <t>1700_32B6</t>
  </si>
  <si>
    <t>1700_34B6</t>
  </si>
  <si>
    <t>1700_36B6</t>
  </si>
  <si>
    <t>1700_38B6</t>
  </si>
  <si>
    <t>1700_3AB6</t>
  </si>
  <si>
    <t>1700_3CB6</t>
  </si>
  <si>
    <t>1700_3EB6</t>
  </si>
  <si>
    <t>1700_40B6</t>
  </si>
  <si>
    <t>1700_42B6</t>
  </si>
  <si>
    <t>1700_44B6</t>
  </si>
  <si>
    <t>1700_46B6</t>
  </si>
  <si>
    <t>1700_48B6</t>
  </si>
  <si>
    <t>1700_4AB6</t>
  </si>
  <si>
    <t>1700_4CB6</t>
  </si>
  <si>
    <t>1700_4EB6</t>
  </si>
  <si>
    <t>1700_50B6</t>
  </si>
  <si>
    <t>1700_52B6</t>
  </si>
  <si>
    <t>1700_54B6</t>
  </si>
  <si>
    <t>1700_56B6</t>
  </si>
  <si>
    <t>1700_58B6</t>
  </si>
  <si>
    <t>1700_5AB6</t>
  </si>
  <si>
    <t>1700_5CB6</t>
  </si>
  <si>
    <t>1700_5EB6</t>
  </si>
  <si>
    <t>1700_60B6</t>
  </si>
  <si>
    <t>1700_62B6</t>
  </si>
  <si>
    <t>1700_64B6</t>
  </si>
  <si>
    <t>1700_66B6</t>
  </si>
  <si>
    <t>1700_68B6</t>
  </si>
  <si>
    <t>1700_6AB6</t>
  </si>
  <si>
    <t>1700_6CB6</t>
  </si>
  <si>
    <t>1700_6EB6</t>
  </si>
  <si>
    <t>1700_70B6</t>
  </si>
  <si>
    <t>1700_72B6</t>
  </si>
  <si>
    <t>1700_74B6</t>
  </si>
  <si>
    <t>1700_76B6</t>
  </si>
  <si>
    <t>1700_78B6</t>
  </si>
  <si>
    <t>1700_7AB6</t>
  </si>
  <si>
    <t>1700_7CB6</t>
  </si>
  <si>
    <t>1700_7EB6</t>
  </si>
  <si>
    <t>1700_00B7</t>
  </si>
  <si>
    <t>1700_02B7</t>
  </si>
  <si>
    <t>1700_04B7</t>
  </si>
  <si>
    <t>1700_06B7</t>
  </si>
  <si>
    <t>1700_08B7</t>
  </si>
  <si>
    <t>1700_0AB7</t>
  </si>
  <si>
    <t>1700_0CB7</t>
  </si>
  <si>
    <t>1700_0EB7</t>
  </si>
  <si>
    <t>1700_10B7</t>
  </si>
  <si>
    <t>1700_12B7</t>
  </si>
  <si>
    <t>1700_14B7</t>
  </si>
  <si>
    <t>1700_16B7</t>
  </si>
  <si>
    <t>1700_18B7</t>
  </si>
  <si>
    <t>1700_1AB7</t>
  </si>
  <si>
    <t>1700_1CB7</t>
  </si>
  <si>
    <t>1700_1EB7</t>
  </si>
  <si>
    <t>1700_20B7</t>
  </si>
  <si>
    <t>1700_22B7</t>
  </si>
  <si>
    <t>1700_24B7</t>
  </si>
  <si>
    <t>1700_26B7</t>
  </si>
  <si>
    <t>1700_28B7</t>
  </si>
  <si>
    <t>1700_2AB7</t>
  </si>
  <si>
    <t>1700_2CB7</t>
  </si>
  <si>
    <t>1700_2EB7</t>
  </si>
  <si>
    <t>1700_30B7</t>
  </si>
  <si>
    <t>1700_32B7</t>
  </si>
  <si>
    <t>1700_34B7</t>
  </si>
  <si>
    <t>1700_36B7</t>
  </si>
  <si>
    <t>1700_38B7</t>
  </si>
  <si>
    <t>1700_3AB7</t>
  </si>
  <si>
    <t>1700_3CB7</t>
  </si>
  <si>
    <t>1700_3EB7</t>
  </si>
  <si>
    <t>1700_40B7</t>
  </si>
  <si>
    <t>1700_42B7</t>
  </si>
  <si>
    <t>1700_44B7</t>
  </si>
  <si>
    <t>1700_46B7</t>
  </si>
  <si>
    <t>1700_48B7</t>
  </si>
  <si>
    <t>1700_4AB7</t>
  </si>
  <si>
    <t>1700_4CB7</t>
  </si>
  <si>
    <t>1700_4EB7</t>
  </si>
  <si>
    <t>1700_50B7</t>
  </si>
  <si>
    <t>1700_52B7</t>
  </si>
  <si>
    <t>1700_54B7</t>
  </si>
  <si>
    <t>1700_56B7</t>
  </si>
  <si>
    <t>1700_58B7</t>
  </si>
  <si>
    <t>1700_5AB7</t>
  </si>
  <si>
    <t>1700_5CB7</t>
  </si>
  <si>
    <t>1700_5EB7</t>
  </si>
  <si>
    <t>1700_60B7</t>
  </si>
  <si>
    <t>1700_62B7</t>
  </si>
  <si>
    <t>1700_64B7</t>
  </si>
  <si>
    <t>1700_66B7</t>
  </si>
  <si>
    <t>1700_68B7</t>
  </si>
  <si>
    <t>1700_6AB7</t>
  </si>
  <si>
    <t>1700_6CB7</t>
  </si>
  <si>
    <t>1700_6EB7</t>
  </si>
  <si>
    <t>1700_70B7</t>
  </si>
  <si>
    <t>1700_72B7</t>
  </si>
  <si>
    <t>1700_74B7</t>
  </si>
  <si>
    <t>1700_76B7</t>
  </si>
  <si>
    <t>1700_78B7</t>
  </si>
  <si>
    <t>1700_7AB7</t>
  </si>
  <si>
    <t>1700_7CB7</t>
  </si>
  <si>
    <t>1700_7EB7</t>
  </si>
  <si>
    <t>1700_00B8</t>
  </si>
  <si>
    <t>1700_02B8</t>
  </si>
  <si>
    <t>1700_04B8</t>
  </si>
  <si>
    <t>1700_06B8</t>
  </si>
  <si>
    <t>1700_08B8</t>
  </si>
  <si>
    <t>1700_0AB8</t>
  </si>
  <si>
    <t>1700_0CB8</t>
  </si>
  <si>
    <t>1700_0EB8</t>
  </si>
  <si>
    <t>1700_10B8</t>
  </si>
  <si>
    <t>1700_12B8</t>
  </si>
  <si>
    <t>1700_14B8</t>
  </si>
  <si>
    <t>1700_16B8</t>
  </si>
  <si>
    <t>1700_18B8</t>
  </si>
  <si>
    <t>1700_1AB8</t>
  </si>
  <si>
    <t>1700_1CB8</t>
  </si>
  <si>
    <t>1700_1EB8</t>
  </si>
  <si>
    <t>1700_20B8</t>
  </si>
  <si>
    <t>1700_22B8</t>
  </si>
  <si>
    <t>1700_24B8</t>
  </si>
  <si>
    <t>1700_26B8</t>
  </si>
  <si>
    <t>1700_28B8</t>
  </si>
  <si>
    <t>1700_2AB8</t>
  </si>
  <si>
    <t>1700_2CB8</t>
  </si>
  <si>
    <t>1700_2EB8</t>
  </si>
  <si>
    <t>1700_30B8</t>
  </si>
  <si>
    <t>1700_32B8</t>
  </si>
  <si>
    <t>1700_34B8</t>
  </si>
  <si>
    <t>1700_36B8</t>
  </si>
  <si>
    <t>1700_38B8</t>
  </si>
  <si>
    <t>1700_3AB8</t>
  </si>
  <si>
    <t>1700_3CB8</t>
  </si>
  <si>
    <t>1700_3EB8</t>
  </si>
  <si>
    <t>1700_40B8</t>
  </si>
  <si>
    <t>1700_42B8</t>
  </si>
  <si>
    <t>1700_44B8</t>
  </si>
  <si>
    <t>1700_46B8</t>
  </si>
  <si>
    <t>1700_48B8</t>
  </si>
  <si>
    <t>1700_4AB8</t>
  </si>
  <si>
    <t>1700_4CB8</t>
  </si>
  <si>
    <t>1700_4EB8</t>
  </si>
  <si>
    <t>1700_50B8</t>
  </si>
  <si>
    <t>1700_52B8</t>
  </si>
  <si>
    <t>1700_54B8</t>
  </si>
  <si>
    <t>1700_56B8</t>
  </si>
  <si>
    <t>1700_58B8</t>
  </si>
  <si>
    <t>1700_5AB8</t>
  </si>
  <si>
    <t>1700_5CB8</t>
  </si>
  <si>
    <t>1700_5EB8</t>
  </si>
  <si>
    <t>1700_60B8</t>
  </si>
  <si>
    <t>1700_62B8</t>
  </si>
  <si>
    <t>1700_64B8</t>
  </si>
  <si>
    <t>1700_66B8</t>
  </si>
  <si>
    <t>1700_68B8</t>
  </si>
  <si>
    <t>1700_6AB8</t>
  </si>
  <si>
    <t>1700_6CB8</t>
  </si>
  <si>
    <t>1700_6EB8</t>
  </si>
  <si>
    <t>1700_70B8</t>
  </si>
  <si>
    <t>1700_72B8</t>
  </si>
  <si>
    <t>1700_74B8</t>
  </si>
  <si>
    <t>1700_76B8</t>
  </si>
  <si>
    <t>1700_78B8</t>
  </si>
  <si>
    <t>1700_7AB8</t>
  </si>
  <si>
    <t>1700_7CB8</t>
  </si>
  <si>
    <t>1700_7EB8</t>
  </si>
  <si>
    <t>1700_00B9</t>
  </si>
  <si>
    <t>1700_02B9</t>
  </si>
  <si>
    <t>1700_04B9</t>
  </si>
  <si>
    <t>1700_06B9</t>
  </si>
  <si>
    <t>1700_08B9</t>
  </si>
  <si>
    <t>1700_0AB9</t>
  </si>
  <si>
    <t>1700_0CB9</t>
  </si>
  <si>
    <t>1700_0EB9</t>
  </si>
  <si>
    <t>1700_10B9</t>
  </si>
  <si>
    <t>1700_12B9</t>
  </si>
  <si>
    <t>1700_14B9</t>
  </si>
  <si>
    <t>1700_16B9</t>
  </si>
  <si>
    <t>1700_18B9</t>
  </si>
  <si>
    <t>1700_1AB9</t>
  </si>
  <si>
    <t>1700_1CB9</t>
  </si>
  <si>
    <t>1700_1EB9</t>
  </si>
  <si>
    <t>1700_20B9</t>
  </si>
  <si>
    <t>1700_22B9</t>
  </si>
  <si>
    <t>1700_24B9</t>
  </si>
  <si>
    <t>1700_26B9</t>
  </si>
  <si>
    <t>1700_28B9</t>
  </si>
  <si>
    <t>1700_2AB9</t>
  </si>
  <si>
    <t>1700_2CB9</t>
  </si>
  <si>
    <t>1700_2EB9</t>
  </si>
  <si>
    <t>1700_30B9</t>
  </si>
  <si>
    <t>1700_32B9</t>
  </si>
  <si>
    <t>1700_34B9</t>
  </si>
  <si>
    <t>1700_36B9</t>
  </si>
  <si>
    <t>1700_38B9</t>
  </si>
  <si>
    <t>1700_3AB9</t>
  </si>
  <si>
    <t>1700_3CB9</t>
  </si>
  <si>
    <t>1700_3EB9</t>
  </si>
  <si>
    <t>1700_40B9</t>
  </si>
  <si>
    <t>1700_42B9</t>
  </si>
  <si>
    <t>1700_44B9</t>
  </si>
  <si>
    <t>1700_46B9</t>
  </si>
  <si>
    <t>1700_48B9</t>
  </si>
  <si>
    <t>1700_4AB9</t>
  </si>
  <si>
    <t>1700_4CB9</t>
  </si>
  <si>
    <t>1700_4EB9</t>
  </si>
  <si>
    <t>1700_50B9</t>
  </si>
  <si>
    <t>1700_52B9</t>
  </si>
  <si>
    <t>1700_54B9</t>
  </si>
  <si>
    <t>1700_56B9</t>
  </si>
  <si>
    <t>1700_58B9</t>
  </si>
  <si>
    <t>1700_5AB9</t>
  </si>
  <si>
    <t>1700_5CB9</t>
  </si>
  <si>
    <t>1700_5EB9</t>
  </si>
  <si>
    <t>1700_60B9</t>
  </si>
  <si>
    <t>1700_62B9</t>
  </si>
  <si>
    <t>1700_64B9</t>
  </si>
  <si>
    <t>1700_66B9</t>
  </si>
  <si>
    <t>1700_68B9</t>
  </si>
  <si>
    <t>1700_6AB9</t>
  </si>
  <si>
    <t>1700_6CB9</t>
  </si>
  <si>
    <t>1700_6EB9</t>
  </si>
  <si>
    <t>1700_70B9</t>
  </si>
  <si>
    <t>1700_72B9</t>
  </si>
  <si>
    <t>1700_74B9</t>
  </si>
  <si>
    <t>1700_76B9</t>
  </si>
  <si>
    <t>1700_78B9</t>
  </si>
  <si>
    <t>1700_7AB9</t>
  </si>
  <si>
    <t>1700_7CB9</t>
  </si>
  <si>
    <t>1700_7EB9</t>
  </si>
  <si>
    <t>1700_00BA</t>
  </si>
  <si>
    <t>1700_02BA</t>
  </si>
  <si>
    <t>1700_04BA</t>
  </si>
  <si>
    <t>1700_06BA</t>
  </si>
  <si>
    <t>1700_08BA</t>
  </si>
  <si>
    <t>1700_0ABA</t>
  </si>
  <si>
    <t>1700_0CBA</t>
  </si>
  <si>
    <t>1700_0EBA</t>
  </si>
  <si>
    <t>1700_10BA</t>
  </si>
  <si>
    <t>1700_12BA</t>
  </si>
  <si>
    <t>1700_14BA</t>
  </si>
  <si>
    <t>1700_16BA</t>
  </si>
  <si>
    <t>1700_18BA</t>
  </si>
  <si>
    <t>1700_1ABA</t>
  </si>
  <si>
    <t>1700_1CBA</t>
  </si>
  <si>
    <t>1700_1EBA</t>
  </si>
  <si>
    <t>1700_20BA</t>
  </si>
  <si>
    <t>1700_22BA</t>
  </si>
  <si>
    <t>1700_24BA</t>
  </si>
  <si>
    <t>1700_26BA</t>
  </si>
  <si>
    <t>1700_28BA</t>
  </si>
  <si>
    <t>1700_2ABA</t>
  </si>
  <si>
    <t>1700_2CBA</t>
  </si>
  <si>
    <t>1700_2EBA</t>
  </si>
  <si>
    <t>1700_30BA</t>
  </si>
  <si>
    <t>1700_32BA</t>
  </si>
  <si>
    <t>1700_34BA</t>
  </si>
  <si>
    <t>1700_36BA</t>
  </si>
  <si>
    <t>1700_38BA</t>
  </si>
  <si>
    <t>1700_3ABA</t>
  </si>
  <si>
    <t>1700_3CBA</t>
  </si>
  <si>
    <t>1700_3EBA</t>
  </si>
  <si>
    <t>1700_40BA</t>
  </si>
  <si>
    <t>1700_42BA</t>
  </si>
  <si>
    <t>1700_44BA</t>
  </si>
  <si>
    <t>1700_46BA</t>
  </si>
  <si>
    <t>1700_48BA</t>
  </si>
  <si>
    <t>1700_4ABA</t>
  </si>
  <si>
    <t>1700_4CBA</t>
  </si>
  <si>
    <t>1700_4EBA</t>
  </si>
  <si>
    <t>1700_50BA</t>
  </si>
  <si>
    <t>1700_52BA</t>
  </si>
  <si>
    <t>1700_54BA</t>
  </si>
  <si>
    <t>1700_56BA</t>
  </si>
  <si>
    <t>1700_58BA</t>
  </si>
  <si>
    <t>1700_5ABA</t>
  </si>
  <si>
    <t>1700_5CBA</t>
  </si>
  <si>
    <t>1700_5EBA</t>
  </si>
  <si>
    <t>1700_60BA</t>
  </si>
  <si>
    <t>1700_62BA</t>
  </si>
  <si>
    <t>1700_64BA</t>
  </si>
  <si>
    <t>1700_66BA</t>
  </si>
  <si>
    <t>1700_68BA</t>
  </si>
  <si>
    <t>1700_6ABA</t>
  </si>
  <si>
    <t>1700_6CBA</t>
  </si>
  <si>
    <t>1700_6EBA</t>
  </si>
  <si>
    <t>1700_70BA</t>
  </si>
  <si>
    <t>1700_72BA</t>
  </si>
  <si>
    <t>1700_74BA</t>
  </si>
  <si>
    <t>1700_76BA</t>
  </si>
  <si>
    <t>1700_78BA</t>
  </si>
  <si>
    <t>1700_7ABA</t>
  </si>
  <si>
    <t>1700_7CBA</t>
  </si>
  <si>
    <t>1700_7EBA</t>
  </si>
  <si>
    <t>1700_00BB</t>
  </si>
  <si>
    <t>1700_02BB</t>
  </si>
  <si>
    <t>1700_04BB</t>
  </si>
  <si>
    <t>1700_06BB</t>
  </si>
  <si>
    <t>1700_08BB</t>
  </si>
  <si>
    <t>1700_0ABB</t>
  </si>
  <si>
    <t>1700_0CBB</t>
  </si>
  <si>
    <t>1700_0EBB</t>
  </si>
  <si>
    <t>1700_10BB</t>
  </si>
  <si>
    <t>1700_12BB</t>
  </si>
  <si>
    <t>1700_14BB</t>
  </si>
  <si>
    <t>1700_16BB</t>
  </si>
  <si>
    <t>1700_18BB</t>
  </si>
  <si>
    <t>1700_1ABB</t>
  </si>
  <si>
    <t>1700_1CBB</t>
  </si>
  <si>
    <t>1700_1EBB</t>
  </si>
  <si>
    <t>1700_20BB</t>
  </si>
  <si>
    <t>1700_22BB</t>
  </si>
  <si>
    <t>1700_24BB</t>
  </si>
  <si>
    <t>1700_26BB</t>
  </si>
  <si>
    <t>1700_28BB</t>
  </si>
  <si>
    <t>1700_2ABB</t>
  </si>
  <si>
    <t>1700_2CBB</t>
  </si>
  <si>
    <t>1700_2EBB</t>
  </si>
  <si>
    <t>1700_30BB</t>
  </si>
  <si>
    <t>1700_32BB</t>
  </si>
  <si>
    <t>1700_34BB</t>
  </si>
  <si>
    <t>1700_36BB</t>
  </si>
  <si>
    <t>1700_38BB</t>
  </si>
  <si>
    <t>1700_3ABB</t>
  </si>
  <si>
    <t>1700_3CBB</t>
  </si>
  <si>
    <t>1700_3EBB</t>
  </si>
  <si>
    <t>1700_40BB</t>
  </si>
  <si>
    <t>1700_42BB</t>
  </si>
  <si>
    <t>1700_44BB</t>
  </si>
  <si>
    <t>1700_46BB</t>
  </si>
  <si>
    <t>1700_48BB</t>
  </si>
  <si>
    <t>1700_4ABB</t>
  </si>
  <si>
    <t>1700_4CBB</t>
  </si>
  <si>
    <t>1700_4EBB</t>
  </si>
  <si>
    <t>1700_50BB</t>
  </si>
  <si>
    <t>1700_52BB</t>
  </si>
  <si>
    <t>1700_54BB</t>
  </si>
  <si>
    <t>1700_56BB</t>
  </si>
  <si>
    <t>1700_58BB</t>
  </si>
  <si>
    <t>1700_5ABB</t>
  </si>
  <si>
    <t>1700_5CBB</t>
  </si>
  <si>
    <t>1700_5EBB</t>
  </si>
  <si>
    <t>1700_60BB</t>
  </si>
  <si>
    <t>1700_62BB</t>
  </si>
  <si>
    <t>1700_64BB</t>
  </si>
  <si>
    <t>1700_66BB</t>
  </si>
  <si>
    <t>1700_68BB</t>
  </si>
  <si>
    <t>1700_6ABB</t>
  </si>
  <si>
    <t>1700_6CBB</t>
  </si>
  <si>
    <t>1700_6EBB</t>
  </si>
  <si>
    <t>1700_70BB</t>
  </si>
  <si>
    <t>1700_72BB</t>
  </si>
  <si>
    <t>1700_74BB</t>
  </si>
  <si>
    <t>1700_76BB</t>
  </si>
  <si>
    <t>1700_78BB</t>
  </si>
  <si>
    <t>1700_7ABB</t>
  </si>
  <si>
    <t>1700_7CBB</t>
  </si>
  <si>
    <t>1700_7EBB</t>
  </si>
  <si>
    <t>1700_00BC</t>
  </si>
  <si>
    <t>1700_02BC</t>
  </si>
  <si>
    <t>1700_04BC</t>
  </si>
  <si>
    <t>1700_06BC</t>
  </si>
  <si>
    <t>1700_08BC</t>
  </si>
  <si>
    <t>1700_0ABC</t>
  </si>
  <si>
    <t>1700_0CBC</t>
  </si>
  <si>
    <t>1700_0EBC</t>
  </si>
  <si>
    <t>1700_10BC</t>
  </si>
  <si>
    <t>1700_12BC</t>
  </si>
  <si>
    <t>1700_14BC</t>
  </si>
  <si>
    <t>1700_16BC</t>
  </si>
  <si>
    <t>1700_18BC</t>
  </si>
  <si>
    <t>1700_1ABC</t>
  </si>
  <si>
    <t>1700_1CBC</t>
  </si>
  <si>
    <t>1700_1EBC</t>
  </si>
  <si>
    <t>1700_20BC</t>
  </si>
  <si>
    <t>1700_22BC</t>
  </si>
  <si>
    <t>1700_24BC</t>
  </si>
  <si>
    <t>1700_26BC</t>
  </si>
  <si>
    <t>1700_28BC</t>
  </si>
  <si>
    <t>1700_2ABC</t>
  </si>
  <si>
    <t>1700_2CBC</t>
  </si>
  <si>
    <t>1700_2EBC</t>
  </si>
  <si>
    <t>1700_30BC</t>
  </si>
  <si>
    <t>1700_32BC</t>
  </si>
  <si>
    <t>1700_34BC</t>
  </si>
  <si>
    <t>1700_36BC</t>
  </si>
  <si>
    <t>1700_38BC</t>
  </si>
  <si>
    <t>1700_3ABC</t>
  </si>
  <si>
    <t>1700_3CBC</t>
  </si>
  <si>
    <t>1700_3EBC</t>
  </si>
  <si>
    <t>1700_40BC</t>
  </si>
  <si>
    <t>1700_42BC</t>
  </si>
  <si>
    <t>1700_44BC</t>
  </si>
  <si>
    <t>1700_46BC</t>
  </si>
  <si>
    <t>1700_48BC</t>
  </si>
  <si>
    <t>1700_4ABC</t>
  </si>
  <si>
    <t>1700_4CBC</t>
  </si>
  <si>
    <t>1700_4EBC</t>
  </si>
  <si>
    <t>1700_50BC</t>
  </si>
  <si>
    <t>1700_52BC</t>
  </si>
  <si>
    <t>1700_54BC</t>
  </si>
  <si>
    <t>1700_56BC</t>
  </si>
  <si>
    <t>1700_58BC</t>
  </si>
  <si>
    <t>1700_5ABC</t>
  </si>
  <si>
    <t>1700_5CBC</t>
  </si>
  <si>
    <t>1700_5EBC</t>
  </si>
  <si>
    <t>1700_60BC</t>
  </si>
  <si>
    <t>1700_62BC</t>
  </si>
  <si>
    <t>1700_64BC</t>
  </si>
  <si>
    <t>1700_66BC</t>
  </si>
  <si>
    <t>1700_68BC</t>
  </si>
  <si>
    <t>1700_6ABC</t>
  </si>
  <si>
    <t>1700_6CBC</t>
  </si>
  <si>
    <t>1700_6EBC</t>
  </si>
  <si>
    <t>1700_70BC</t>
  </si>
  <si>
    <t>1700_72BC</t>
  </si>
  <si>
    <t>1700_74BC</t>
  </si>
  <si>
    <t>1700_76BC</t>
  </si>
  <si>
    <t>1700_78BC</t>
  </si>
  <si>
    <t>1700_7ABC</t>
  </si>
  <si>
    <t>1700_7CBC</t>
  </si>
  <si>
    <t>1700_7EBC</t>
  </si>
  <si>
    <t>1700_00BD</t>
  </si>
  <si>
    <t>1700_02BD</t>
  </si>
  <si>
    <t>1700_04BD</t>
  </si>
  <si>
    <t>1700_06BD</t>
  </si>
  <si>
    <t>1700_08BD</t>
  </si>
  <si>
    <t>1700_0ABD</t>
  </si>
  <si>
    <t>1700_0CBD</t>
  </si>
  <si>
    <t>1700_0EBD</t>
  </si>
  <si>
    <t>1700_10BD</t>
  </si>
  <si>
    <t>1700_12BD</t>
  </si>
  <si>
    <t>1700_14BD</t>
  </si>
  <si>
    <t>1700_16BD</t>
  </si>
  <si>
    <t>1700_18BD</t>
  </si>
  <si>
    <t>1700_1ABD</t>
  </si>
  <si>
    <t>1700_1CBD</t>
  </si>
  <si>
    <t>1700_1EBD</t>
  </si>
  <si>
    <t>1700_20BD</t>
  </si>
  <si>
    <t>1700_22BD</t>
  </si>
  <si>
    <t>1700_24BD</t>
  </si>
  <si>
    <t>1700_26BD</t>
  </si>
  <si>
    <t>1700_28BD</t>
  </si>
  <si>
    <t>1700_2ABD</t>
  </si>
  <si>
    <t>1700_2CBD</t>
  </si>
  <si>
    <t>1700_2EBD</t>
  </si>
  <si>
    <t>1700_30BD</t>
  </si>
  <si>
    <t>1700_32BD</t>
  </si>
  <si>
    <t>1700_34BD</t>
  </si>
  <si>
    <t>1700_36BD</t>
  </si>
  <si>
    <t>1700_38BD</t>
  </si>
  <si>
    <t>1700_3ABD</t>
  </si>
  <si>
    <t>1700_3CBD</t>
  </si>
  <si>
    <t>1700_3EBD</t>
  </si>
  <si>
    <t>1700_40BD</t>
  </si>
  <si>
    <t>1700_42BD</t>
  </si>
  <si>
    <t>1700_44BD</t>
  </si>
  <si>
    <t>1700_46BD</t>
  </si>
  <si>
    <t>1700_48BD</t>
  </si>
  <si>
    <t>1700_4ABD</t>
  </si>
  <si>
    <t>1700_4CBD</t>
  </si>
  <si>
    <t>1700_4EBD</t>
  </si>
  <si>
    <t>1700_50BD</t>
  </si>
  <si>
    <t>1700_52BD</t>
  </si>
  <si>
    <t>1700_54BD</t>
  </si>
  <si>
    <t>1700_56BD</t>
  </si>
  <si>
    <t>1700_58BD</t>
  </si>
  <si>
    <t>1700_5ABD</t>
  </si>
  <si>
    <t>1700_5CBD</t>
  </si>
  <si>
    <t>1700_5EBD</t>
  </si>
  <si>
    <t>1700_60BD</t>
  </si>
  <si>
    <t>1700_62BD</t>
  </si>
  <si>
    <t>1700_64BD</t>
  </si>
  <si>
    <t>1700_66BD</t>
  </si>
  <si>
    <t>1700_68BD</t>
  </si>
  <si>
    <t>1700_6ABD</t>
  </si>
  <si>
    <t>1700_6CBD</t>
  </si>
  <si>
    <t>1700_6EBD</t>
  </si>
  <si>
    <t>1700_70BD</t>
  </si>
  <si>
    <t>1700_72BD</t>
  </si>
  <si>
    <t>1700_74BD</t>
  </si>
  <si>
    <t>1700_76BD</t>
  </si>
  <si>
    <t>1700_78BD</t>
  </si>
  <si>
    <t>1700_7ABD</t>
  </si>
  <si>
    <t>1700_7CBD</t>
  </si>
  <si>
    <t>1700_7EBD</t>
  </si>
  <si>
    <t>1700_00BE</t>
  </si>
  <si>
    <t>1700_02BE</t>
  </si>
  <si>
    <t>1700_04BE</t>
  </si>
  <si>
    <t>1700_06BE</t>
  </si>
  <si>
    <t>1700_08BE</t>
  </si>
  <si>
    <t>1700_0ABE</t>
  </si>
  <si>
    <t>1700_0CBE</t>
  </si>
  <si>
    <t>1700_0EBE</t>
  </si>
  <si>
    <t>1700_10BE</t>
  </si>
  <si>
    <t>1700_12BE</t>
  </si>
  <si>
    <t>1700_14BE</t>
  </si>
  <si>
    <t>1700_16BE</t>
  </si>
  <si>
    <t>1700_18BE</t>
  </si>
  <si>
    <t>1700_1ABE</t>
  </si>
  <si>
    <t>1700_1CBE</t>
  </si>
  <si>
    <t>1700_1EBE</t>
  </si>
  <si>
    <t>1700_20BE</t>
  </si>
  <si>
    <t>1700_22BE</t>
  </si>
  <si>
    <t>1700_24BE</t>
  </si>
  <si>
    <t>1700_26BE</t>
  </si>
  <si>
    <t>1700_28BE</t>
  </si>
  <si>
    <t>1700_2ABE</t>
  </si>
  <si>
    <t>1700_2CBE</t>
  </si>
  <si>
    <t>1700_2EBE</t>
  </si>
  <si>
    <t>1700_30BE</t>
  </si>
  <si>
    <t>1700_32BE</t>
  </si>
  <si>
    <t>1700_34BE</t>
  </si>
  <si>
    <t>1700_36BE</t>
  </si>
  <si>
    <t>1700_38BE</t>
  </si>
  <si>
    <t>1700_3ABE</t>
  </si>
  <si>
    <t>1700_3CBE</t>
  </si>
  <si>
    <t>1700_3EBE</t>
  </si>
  <si>
    <t>1700_40BE</t>
  </si>
  <si>
    <t>1700_42BE</t>
  </si>
  <si>
    <t>1700_44BE</t>
  </si>
  <si>
    <t>1700_46BE</t>
  </si>
  <si>
    <t>1700_48BE</t>
  </si>
  <si>
    <t>1700_4ABE</t>
  </si>
  <si>
    <t>1700_4CBE</t>
  </si>
  <si>
    <t>1700_4EBE</t>
  </si>
  <si>
    <t>1700_50BE</t>
  </si>
  <si>
    <t>1700_52BE</t>
  </si>
  <si>
    <t>1700_54BE</t>
  </si>
  <si>
    <t>1700_56BE</t>
  </si>
  <si>
    <t>1700_58BE</t>
  </si>
  <si>
    <t>1700_5ABE</t>
  </si>
  <si>
    <t>1700_5CBE</t>
  </si>
  <si>
    <t>1700_5EBE</t>
  </si>
  <si>
    <t>1700_60BE</t>
  </si>
  <si>
    <t>1700_62BE</t>
  </si>
  <si>
    <t>1700_64BE</t>
  </si>
  <si>
    <t>1700_66BE</t>
  </si>
  <si>
    <t>1700_68BE</t>
  </si>
  <si>
    <t>1700_6ABE</t>
  </si>
  <si>
    <t>1700_6CBE</t>
  </si>
  <si>
    <t>1700_6EBE</t>
  </si>
  <si>
    <t>1700_70BE</t>
  </si>
  <si>
    <t>1700_72BE</t>
  </si>
  <si>
    <t>1700_74BE</t>
  </si>
  <si>
    <t>1700_76BE</t>
  </si>
  <si>
    <t>1700_78BE</t>
  </si>
  <si>
    <t>1700_7ABE</t>
  </si>
  <si>
    <t>1700_7CBE</t>
  </si>
  <si>
    <t>1700_7EBE</t>
  </si>
  <si>
    <t>1700_00BF</t>
  </si>
  <si>
    <t>1700_02BF</t>
  </si>
  <si>
    <t>1700_04BF</t>
  </si>
  <si>
    <t>1700_06BF</t>
  </si>
  <si>
    <t>1700_08BF</t>
  </si>
  <si>
    <t>1700_0ABF</t>
  </si>
  <si>
    <t>1700_0CBF</t>
  </si>
  <si>
    <t>1700_0EBF</t>
  </si>
  <si>
    <t>1700_10BF</t>
  </si>
  <si>
    <t>1700_12BF</t>
  </si>
  <si>
    <t>1700_14BF</t>
  </si>
  <si>
    <t>1700_16BF</t>
  </si>
  <si>
    <t>1700_18BF</t>
  </si>
  <si>
    <t>1700_1ABF</t>
  </si>
  <si>
    <t>1700_1CBF</t>
  </si>
  <si>
    <t>1700_1EBF</t>
  </si>
  <si>
    <t>1700_20BF</t>
  </si>
  <si>
    <t>1700_22BF</t>
  </si>
  <si>
    <t>1700_24BF</t>
  </si>
  <si>
    <t>1700_26BF</t>
  </si>
  <si>
    <t>1700_28BF</t>
  </si>
  <si>
    <t>1700_2ABF</t>
  </si>
  <si>
    <t>1700_2CBF</t>
  </si>
  <si>
    <t>1700_2EBF</t>
  </si>
  <si>
    <t>1700_30BF</t>
  </si>
  <si>
    <t>1700_32BF</t>
  </si>
  <si>
    <t>1700_34BF</t>
  </si>
  <si>
    <t>1700_36BF</t>
  </si>
  <si>
    <t>1700_38BF</t>
  </si>
  <si>
    <t>1700_3ABF</t>
  </si>
  <si>
    <t>1700_3CBF</t>
  </si>
  <si>
    <t>1700_3EBF</t>
  </si>
  <si>
    <t>1700_40BF</t>
  </si>
  <si>
    <t>1700_42BF</t>
  </si>
  <si>
    <t>1700_44BF</t>
  </si>
  <si>
    <t>1700_46BF</t>
  </si>
  <si>
    <t>1700_48BF</t>
  </si>
  <si>
    <t>1700_4ABF</t>
  </si>
  <si>
    <t>1700_4CBF</t>
  </si>
  <si>
    <t>1700_4EBF</t>
  </si>
  <si>
    <t>1700_50BF</t>
  </si>
  <si>
    <t>1700_52BF</t>
  </si>
  <si>
    <t>1700_54BF</t>
  </si>
  <si>
    <t>1700_56BF</t>
  </si>
  <si>
    <t>1700_58BF</t>
  </si>
  <si>
    <t>1700_5ABF</t>
  </si>
  <si>
    <t>1700_5CBF</t>
  </si>
  <si>
    <t>1700_5EBF</t>
  </si>
  <si>
    <t>1700_60BF</t>
  </si>
  <si>
    <t>1700_62BF</t>
  </si>
  <si>
    <t>1700_64BF</t>
  </si>
  <si>
    <t>1700_66BF</t>
  </si>
  <si>
    <t>1700_68BF</t>
  </si>
  <si>
    <t>1700_6ABF</t>
  </si>
  <si>
    <t>1700_6CBF</t>
  </si>
  <si>
    <t>1700_6EBF</t>
  </si>
  <si>
    <t>1700_70BF</t>
  </si>
  <si>
    <t>1700_72BF</t>
  </si>
  <si>
    <t>1700_74BF</t>
  </si>
  <si>
    <t>1700_76BF</t>
  </si>
  <si>
    <t>1700_78BF</t>
  </si>
  <si>
    <t>1700_7ABF</t>
  </si>
  <si>
    <t>1700_7CBF</t>
  </si>
  <si>
    <t>1700_7EBF</t>
  </si>
  <si>
    <t>1700_00C0</t>
  </si>
  <si>
    <t>1700_02C0</t>
  </si>
  <si>
    <t>1700_04C0</t>
  </si>
  <si>
    <t>1700_06C0</t>
  </si>
  <si>
    <t>1700_08C0</t>
  </si>
  <si>
    <t>1700_0AC0</t>
  </si>
  <si>
    <t>1700_0CC0</t>
  </si>
  <si>
    <t>1700_0EC0</t>
  </si>
  <si>
    <t>1700_10C0</t>
  </si>
  <si>
    <t>1700_12C0</t>
  </si>
  <si>
    <t>1700_14C0</t>
  </si>
  <si>
    <t>1700_16C0</t>
  </si>
  <si>
    <t>1700_18C0</t>
  </si>
  <si>
    <t>1700_1AC0</t>
  </si>
  <si>
    <t>1700_1CC0</t>
  </si>
  <si>
    <t>1700_1EC0</t>
  </si>
  <si>
    <t>1700_20C0</t>
  </si>
  <si>
    <t>1700_22C0</t>
  </si>
  <si>
    <t>1700_24C0</t>
  </si>
  <si>
    <t>1700_26C0</t>
  </si>
  <si>
    <t>1700_28C0</t>
  </si>
  <si>
    <t>1700_2AC0</t>
  </si>
  <si>
    <t>1700_2CC0</t>
  </si>
  <si>
    <t>1700_2EC0</t>
  </si>
  <si>
    <t>1700_30C0</t>
  </si>
  <si>
    <t>1700_32C0</t>
  </si>
  <si>
    <t>1700_34C0</t>
  </si>
  <si>
    <t>1700_36C0</t>
  </si>
  <si>
    <t>1700_38C0</t>
  </si>
  <si>
    <t>1700_3AC0</t>
  </si>
  <si>
    <t>1700_3CC0</t>
  </si>
  <si>
    <t>1700_3EC0</t>
  </si>
  <si>
    <t>1700_40C0</t>
  </si>
  <si>
    <t>1700_42C0</t>
  </si>
  <si>
    <t>1700_44C0</t>
  </si>
  <si>
    <t>1700_46C0</t>
  </si>
  <si>
    <t>1700_48C0</t>
  </si>
  <si>
    <t>1700_4AC0</t>
  </si>
  <si>
    <t>1700_4CC0</t>
  </si>
  <si>
    <t>1700_4EC0</t>
  </si>
  <si>
    <t>1700_50C0</t>
  </si>
  <si>
    <t>1700_52C0</t>
  </si>
  <si>
    <t>1700_54C0</t>
  </si>
  <si>
    <t>1700_56C0</t>
  </si>
  <si>
    <t>1700_58C0</t>
  </si>
  <si>
    <t>1700_5AC0</t>
  </si>
  <si>
    <t>1700_5CC0</t>
  </si>
  <si>
    <t>1700_5EC0</t>
  </si>
  <si>
    <t>1700_60C0</t>
  </si>
  <si>
    <t>1700_62C0</t>
  </si>
  <si>
    <t>1700_64C0</t>
  </si>
  <si>
    <t>1700_66C0</t>
  </si>
  <si>
    <t>1700_68C0</t>
  </si>
  <si>
    <t>1700_6AC0</t>
  </si>
  <si>
    <t>1700_6CC0</t>
  </si>
  <si>
    <t>1700_6EC0</t>
  </si>
  <si>
    <t>1700_70C0</t>
  </si>
  <si>
    <t>1700_72C0</t>
  </si>
  <si>
    <t>1700_74C0</t>
  </si>
  <si>
    <t>1700_76C0</t>
  </si>
  <si>
    <t>1700_78C0</t>
  </si>
  <si>
    <t>1700_7AC0</t>
  </si>
  <si>
    <t>1700_7CC0</t>
  </si>
  <si>
    <t>1700_7EC0</t>
  </si>
  <si>
    <t>1700_00C1</t>
  </si>
  <si>
    <t>1700_02C1</t>
  </si>
  <si>
    <t>1700_04C1</t>
  </si>
  <si>
    <t>1700_06C1</t>
  </si>
  <si>
    <t>1700_08C1</t>
  </si>
  <si>
    <t>1700_0AC1</t>
  </si>
  <si>
    <t>1700_0CC1</t>
  </si>
  <si>
    <t>1700_0EC1</t>
  </si>
  <si>
    <t>1700_10C1</t>
  </si>
  <si>
    <t>1700_12C1</t>
  </si>
  <si>
    <t>1700_14C1</t>
  </si>
  <si>
    <t>1700_16C1</t>
  </si>
  <si>
    <t>1700_18C1</t>
  </si>
  <si>
    <t>1700_1AC1</t>
  </si>
  <si>
    <t>1700_1CC1</t>
  </si>
  <si>
    <t>1700_1EC1</t>
  </si>
  <si>
    <t>1700_20C1</t>
  </si>
  <si>
    <t>1700_22C1</t>
  </si>
  <si>
    <t>1700_24C1</t>
  </si>
  <si>
    <t>1700_26C1</t>
  </si>
  <si>
    <t>1700_28C1</t>
  </si>
  <si>
    <t>1700_2AC1</t>
  </si>
  <si>
    <t>1700_2CC1</t>
  </si>
  <si>
    <t>1700_2EC1</t>
  </si>
  <si>
    <t>1700_30C1</t>
  </si>
  <si>
    <t>1700_32C1</t>
  </si>
  <si>
    <t>1700_34C1</t>
  </si>
  <si>
    <t>1700_36C1</t>
  </si>
  <si>
    <t>1700_38C1</t>
  </si>
  <si>
    <t>1700_3AC1</t>
  </si>
  <si>
    <t>1700_3CC1</t>
  </si>
  <si>
    <t>1700_3EC1</t>
  </si>
  <si>
    <t>1700_40C1</t>
  </si>
  <si>
    <t>1700_42C1</t>
  </si>
  <si>
    <t>1700_44C1</t>
  </si>
  <si>
    <t>1700_46C1</t>
  </si>
  <si>
    <t>1700_48C1</t>
  </si>
  <si>
    <t>1700_4AC1</t>
  </si>
  <si>
    <t>1700_4CC1</t>
  </si>
  <si>
    <t>1700_4EC1</t>
  </si>
  <si>
    <t>1700_50C1</t>
  </si>
  <si>
    <t>1700_52C1</t>
  </si>
  <si>
    <t>1700_54C1</t>
  </si>
  <si>
    <t>1700_56C1</t>
  </si>
  <si>
    <t>1700_58C1</t>
  </si>
  <si>
    <t>1700_5AC1</t>
  </si>
  <si>
    <t>1700_5CC1</t>
  </si>
  <si>
    <t>1700_5EC1</t>
  </si>
  <si>
    <t>1700_60C1</t>
  </si>
  <si>
    <t>1700_62C1</t>
  </si>
  <si>
    <t>1700_64C1</t>
  </si>
  <si>
    <t>1700_66C1</t>
  </si>
  <si>
    <t>1700_68C1</t>
  </si>
  <si>
    <t>1700_6AC1</t>
  </si>
  <si>
    <t>1700_6CC1</t>
  </si>
  <si>
    <t>1700_6EC1</t>
  </si>
  <si>
    <t>1700_70C1</t>
  </si>
  <si>
    <t>1700_72C1</t>
  </si>
  <si>
    <t>1700_74C1</t>
  </si>
  <si>
    <t>1700_76C1</t>
  </si>
  <si>
    <t>1700_78C1</t>
  </si>
  <si>
    <t>1700_7AC1</t>
  </si>
  <si>
    <t>1700_7CC1</t>
  </si>
  <si>
    <t>1700_7EC1</t>
  </si>
  <si>
    <t>1700_00C2</t>
  </si>
  <si>
    <t>1700_02C2</t>
  </si>
  <si>
    <t>1700_04C2</t>
  </si>
  <si>
    <t>1700_06C2</t>
  </si>
  <si>
    <t>1700_08C2</t>
  </si>
  <si>
    <t>1700_0AC2</t>
  </si>
  <si>
    <t>1700_0CC2</t>
  </si>
  <si>
    <t>1700_0EC2</t>
  </si>
  <si>
    <t>1700_10C2</t>
  </si>
  <si>
    <t>1700_12C2</t>
  </si>
  <si>
    <t>1700_14C2</t>
  </si>
  <si>
    <t>1700_16C2</t>
  </si>
  <si>
    <t>1700_18C2</t>
  </si>
  <si>
    <t>1700_1AC2</t>
  </si>
  <si>
    <t>1700_1CC2</t>
  </si>
  <si>
    <t>1700_1EC2</t>
  </si>
  <si>
    <t>1700_20C2</t>
  </si>
  <si>
    <t>1700_22C2</t>
  </si>
  <si>
    <t>1700_24C2</t>
  </si>
  <si>
    <t>1700_26C2</t>
  </si>
  <si>
    <t>1700_28C2</t>
  </si>
  <si>
    <t>1700_2AC2</t>
  </si>
  <si>
    <t>1700_2CC2</t>
  </si>
  <si>
    <t>1700_2EC2</t>
  </si>
  <si>
    <t>1700_30C2</t>
  </si>
  <si>
    <t>1700_32C2</t>
  </si>
  <si>
    <t>1700_34C2</t>
  </si>
  <si>
    <t>1700_36C2</t>
  </si>
  <si>
    <t>1700_38C2</t>
  </si>
  <si>
    <t>1700_3AC2</t>
  </si>
  <si>
    <t>1700_3CC2</t>
  </si>
  <si>
    <t>1700_3EC2</t>
  </si>
  <si>
    <t>1700_40C2</t>
  </si>
  <si>
    <t>1700_42C2</t>
  </si>
  <si>
    <t>1700_44C2</t>
  </si>
  <si>
    <t>1700_46C2</t>
  </si>
  <si>
    <t>1700_48C2</t>
  </si>
  <si>
    <t>1700_4AC2</t>
  </si>
  <si>
    <t>1700_4CC2</t>
  </si>
  <si>
    <t>1700_4EC2</t>
  </si>
  <si>
    <t>1700_50C2</t>
  </si>
  <si>
    <t>1700_52C2</t>
  </si>
  <si>
    <t>1700_54C2</t>
  </si>
  <si>
    <t>1700_56C2</t>
  </si>
  <si>
    <t>1700_58C2</t>
  </si>
  <si>
    <t>1700_5AC2</t>
  </si>
  <si>
    <t>1700_5CC2</t>
  </si>
  <si>
    <t>1700_5EC2</t>
  </si>
  <si>
    <t>1700_60C2</t>
  </si>
  <si>
    <t>1700_62C2</t>
  </si>
  <si>
    <t>1700_64C2</t>
  </si>
  <si>
    <t>1700_66C2</t>
  </si>
  <si>
    <t>1700_68C2</t>
  </si>
  <si>
    <t>1700_6AC2</t>
  </si>
  <si>
    <t>1700_6CC2</t>
  </si>
  <si>
    <t>1700_6EC2</t>
  </si>
  <si>
    <t>1700_70C2</t>
  </si>
  <si>
    <t>1700_72C2</t>
  </si>
  <si>
    <t>1700_74C2</t>
  </si>
  <si>
    <t>1700_76C2</t>
  </si>
  <si>
    <t>1700_78C2</t>
  </si>
  <si>
    <t>1700_7AC2</t>
  </si>
  <si>
    <t>1700_7CC2</t>
  </si>
  <si>
    <t>1700_7EC2</t>
  </si>
  <si>
    <t>1700_00C3</t>
  </si>
  <si>
    <t>1700_02C3</t>
  </si>
  <si>
    <t>1700_04C3</t>
  </si>
  <si>
    <t>1700_06C3</t>
  </si>
  <si>
    <t>1700_08C3</t>
  </si>
  <si>
    <t>1700_0AC3</t>
  </si>
  <si>
    <t>1700_0CC3</t>
  </si>
  <si>
    <t>1700_0EC3</t>
  </si>
  <si>
    <t>1700_10C3</t>
  </si>
  <si>
    <t>1700_12C3</t>
  </si>
  <si>
    <t>1700_14C3</t>
  </si>
  <si>
    <t>1700_16C3</t>
  </si>
  <si>
    <t>1700_18C3</t>
  </si>
  <si>
    <t>1700_1AC3</t>
  </si>
  <si>
    <t>1700_1CC3</t>
  </si>
  <si>
    <t>1700_1EC3</t>
  </si>
  <si>
    <t>1700_20C3</t>
  </si>
  <si>
    <t>1700_22C3</t>
  </si>
  <si>
    <t>1700_24C3</t>
  </si>
  <si>
    <t>1700_26C3</t>
  </si>
  <si>
    <t>1700_28C3</t>
  </si>
  <si>
    <t>1700_2AC3</t>
  </si>
  <si>
    <t>1700_2CC3</t>
  </si>
  <si>
    <t>1700_2EC3</t>
  </si>
  <si>
    <t>1700_30C3</t>
  </si>
  <si>
    <t>1700_32C3</t>
  </si>
  <si>
    <t>1700_34C3</t>
  </si>
  <si>
    <t>1700_36C3</t>
  </si>
  <si>
    <t>1700_38C3</t>
  </si>
  <si>
    <t>1700_3AC3</t>
  </si>
  <si>
    <t>1700_3CC3</t>
  </si>
  <si>
    <t>1700_3EC3</t>
  </si>
  <si>
    <t>1700_40C3</t>
  </si>
  <si>
    <t>1700_42C3</t>
  </si>
  <si>
    <t>1700_44C3</t>
  </si>
  <si>
    <t>1700_46C3</t>
  </si>
  <si>
    <t>1700_48C3</t>
  </si>
  <si>
    <t>1700_4AC3</t>
  </si>
  <si>
    <t>1700_4CC3</t>
  </si>
  <si>
    <t>1700_4EC3</t>
  </si>
  <si>
    <t>1700_50C3</t>
  </si>
  <si>
    <t>1700_52C3</t>
  </si>
  <si>
    <t>1700_54C3</t>
  </si>
  <si>
    <t>1700_56C3</t>
  </si>
  <si>
    <t>1700_58C3</t>
  </si>
  <si>
    <t>1700_5AC3</t>
  </si>
  <si>
    <t>1700_5CC3</t>
  </si>
  <si>
    <t>1700_5EC3</t>
  </si>
  <si>
    <t>1700_60C3</t>
  </si>
  <si>
    <t>1700_62C3</t>
  </si>
  <si>
    <t>1700_64C3</t>
  </si>
  <si>
    <t>1700_66C3</t>
  </si>
  <si>
    <t>1700_68C3</t>
  </si>
  <si>
    <t>1700_6AC3</t>
  </si>
  <si>
    <t>1700_6CC3</t>
  </si>
  <si>
    <t>1700_6EC3</t>
  </si>
  <si>
    <t>1700_70C3</t>
  </si>
  <si>
    <t>1700_72C3</t>
  </si>
  <si>
    <t>1700_74C3</t>
  </si>
  <si>
    <t>1700_76C3</t>
  </si>
  <si>
    <t>1700_78C3</t>
  </si>
  <si>
    <t>1700_7AC3</t>
  </si>
  <si>
    <t>1700_7CC3</t>
  </si>
  <si>
    <t>1700_7EC3</t>
  </si>
  <si>
    <t>1700_00C4</t>
  </si>
  <si>
    <t>1700_02C4</t>
  </si>
  <si>
    <t>1700_04C4</t>
  </si>
  <si>
    <t>1700_06C4</t>
  </si>
  <si>
    <t>1700_08C4</t>
  </si>
  <si>
    <t>1700_0AC4</t>
  </si>
  <si>
    <t>1700_0CC4</t>
  </si>
  <si>
    <t>1700_0EC4</t>
  </si>
  <si>
    <t>1700_10C4</t>
  </si>
  <si>
    <t>1700_12C4</t>
  </si>
  <si>
    <t>1700_14C4</t>
  </si>
  <si>
    <t>1700_16C4</t>
  </si>
  <si>
    <t>1700_18C4</t>
  </si>
  <si>
    <t>1700_1AC4</t>
  </si>
  <si>
    <t>1700_1CC4</t>
  </si>
  <si>
    <t>1700_1EC4</t>
  </si>
  <si>
    <t>1700_20C4</t>
  </si>
  <si>
    <t>1700_22C4</t>
  </si>
  <si>
    <t>1700_24C4</t>
  </si>
  <si>
    <t>1700_26C4</t>
  </si>
  <si>
    <t>1700_28C4</t>
  </si>
  <si>
    <t>1700_2AC4</t>
  </si>
  <si>
    <t>1700_2CC4</t>
  </si>
  <si>
    <t>1700_2EC4</t>
  </si>
  <si>
    <t>1700_30C4</t>
  </si>
  <si>
    <t>1700_32C4</t>
  </si>
  <si>
    <t>1700_34C4</t>
  </si>
  <si>
    <t>1700_36C4</t>
  </si>
  <si>
    <t>1700_38C4</t>
  </si>
  <si>
    <t>1700_3AC4</t>
  </si>
  <si>
    <t>1700_3CC4</t>
  </si>
  <si>
    <t>1700_3EC4</t>
  </si>
  <si>
    <t>1700_40C4</t>
  </si>
  <si>
    <t>1700_42C4</t>
  </si>
  <si>
    <t>1700_44C4</t>
  </si>
  <si>
    <t>1700_46C4</t>
  </si>
  <si>
    <t>1700_48C4</t>
  </si>
  <si>
    <t>1700_4AC4</t>
  </si>
  <si>
    <t>1700_4CC4</t>
  </si>
  <si>
    <t>1700_4EC4</t>
  </si>
  <si>
    <t>1700_50C4</t>
  </si>
  <si>
    <t>1700_52C4</t>
  </si>
  <si>
    <t>1700_54C4</t>
  </si>
  <si>
    <t>1700_56C4</t>
  </si>
  <si>
    <t>1700_58C4</t>
  </si>
  <si>
    <t>1700_5AC4</t>
  </si>
  <si>
    <t>1700_5CC4</t>
  </si>
  <si>
    <t>1700_5EC4</t>
  </si>
  <si>
    <t>1700_60C4</t>
  </si>
  <si>
    <t>1700_62C4</t>
  </si>
  <si>
    <t>1700_64C4</t>
  </si>
  <si>
    <t>1700_66C4</t>
  </si>
  <si>
    <t>1700_68C4</t>
  </si>
  <si>
    <t>1700_6AC4</t>
  </si>
  <si>
    <t>1700_6CC4</t>
  </si>
  <si>
    <t>1700_6EC4</t>
  </si>
  <si>
    <t>1700_70C4</t>
  </si>
  <si>
    <t>1700_72C4</t>
  </si>
  <si>
    <t>1700_74C4</t>
  </si>
  <si>
    <t>1700_76C4</t>
  </si>
  <si>
    <t>1700_78C4</t>
  </si>
  <si>
    <t>1700_7AC4</t>
  </si>
  <si>
    <t>1700_7CC4</t>
  </si>
  <si>
    <t>1700_7EC4</t>
  </si>
  <si>
    <t>1700_00C5</t>
  </si>
  <si>
    <t>1700_02C5</t>
  </si>
  <si>
    <t>1700_04C5</t>
  </si>
  <si>
    <t>1700_06C5</t>
  </si>
  <si>
    <t>1700_08C5</t>
  </si>
  <si>
    <t>1700_0AC5</t>
  </si>
  <si>
    <t>1700_0CC5</t>
  </si>
  <si>
    <t>1700_0EC5</t>
  </si>
  <si>
    <t>1700_10C5</t>
  </si>
  <si>
    <t>1700_12C5</t>
  </si>
  <si>
    <t>1700_14C5</t>
  </si>
  <si>
    <t>1700_16C5</t>
  </si>
  <si>
    <t>1700_18C5</t>
  </si>
  <si>
    <t>1700_1AC5</t>
  </si>
  <si>
    <t>1700_1CC5</t>
  </si>
  <si>
    <t>1700_1EC5</t>
  </si>
  <si>
    <t>1700_20C5</t>
  </si>
  <si>
    <t>1700_22C5</t>
  </si>
  <si>
    <t>1700_24C5</t>
  </si>
  <si>
    <t>1700_26C5</t>
  </si>
  <si>
    <t>1700_28C5</t>
  </si>
  <si>
    <t>1700_2AC5</t>
  </si>
  <si>
    <t>1700_2CC5</t>
  </si>
  <si>
    <t>1700_2EC5</t>
  </si>
  <si>
    <t>1700_30C5</t>
  </si>
  <si>
    <t>1700_32C5</t>
  </si>
  <si>
    <t>1700_34C5</t>
  </si>
  <si>
    <t>1700_36C5</t>
  </si>
  <si>
    <t>1700_38C5</t>
  </si>
  <si>
    <t>1700_3AC5</t>
  </si>
  <si>
    <t>1700_3CC5</t>
  </si>
  <si>
    <t>1700_3EC5</t>
  </si>
  <si>
    <t>1700_40C5</t>
  </si>
  <si>
    <t>1700_42C5</t>
  </si>
  <si>
    <t>1700_44C5</t>
  </si>
  <si>
    <t>1700_46C5</t>
  </si>
  <si>
    <t>1700_48C5</t>
  </si>
  <si>
    <t>1700_4AC5</t>
  </si>
  <si>
    <t>1700_4CC5</t>
  </si>
  <si>
    <t>1700_4EC5</t>
  </si>
  <si>
    <t>1700_50C5</t>
  </si>
  <si>
    <t>1700_52C5</t>
  </si>
  <si>
    <t>1700_54C5</t>
  </si>
  <si>
    <t>1700_56C5</t>
  </si>
  <si>
    <t>1700_58C5</t>
  </si>
  <si>
    <t>1700_5AC5</t>
  </si>
  <si>
    <t>1700_5CC5</t>
  </si>
  <si>
    <t>1700_5EC5</t>
  </si>
  <si>
    <t>1700_60C5</t>
  </si>
  <si>
    <t>1700_62C5</t>
  </si>
  <si>
    <t>1700_64C5</t>
  </si>
  <si>
    <t>1700_66C5</t>
  </si>
  <si>
    <t>1700_68C5</t>
  </si>
  <si>
    <t>1700_6AC5</t>
  </si>
  <si>
    <t>1700_6CC5</t>
  </si>
  <si>
    <t>1700_6EC5</t>
  </si>
  <si>
    <t>1700_70C5</t>
  </si>
  <si>
    <t>1700_72C5</t>
  </si>
  <si>
    <t>1700_74C5</t>
  </si>
  <si>
    <t>1700_76C5</t>
  </si>
  <si>
    <t>1700_78C5</t>
  </si>
  <si>
    <t>1700_7AC5</t>
  </si>
  <si>
    <t>1700_7CC5</t>
  </si>
  <si>
    <t>1700_7EC5</t>
  </si>
  <si>
    <t>1700_00C6</t>
  </si>
  <si>
    <t>1700_02C6</t>
  </si>
  <si>
    <t>1700_04C6</t>
  </si>
  <si>
    <t>1700_06C6</t>
  </si>
  <si>
    <t>1700_08C6</t>
  </si>
  <si>
    <t>1700_0AC6</t>
  </si>
  <si>
    <t>1700_0CC6</t>
  </si>
  <si>
    <t>1700_0EC6</t>
  </si>
  <si>
    <t>1700_10C6</t>
  </si>
  <si>
    <t>1700_12C6</t>
  </si>
  <si>
    <t>1700_14C6</t>
  </si>
  <si>
    <t>1700_16C6</t>
  </si>
  <si>
    <t>1700_18C6</t>
  </si>
  <si>
    <t>1700_1AC6</t>
  </si>
  <si>
    <t>1700_1CC6</t>
  </si>
  <si>
    <t>1700_1EC6</t>
  </si>
  <si>
    <t>1700_20C6</t>
  </si>
  <si>
    <t>1700_22C6</t>
  </si>
  <si>
    <t>1700_24C6</t>
  </si>
  <si>
    <t>1700_26C6</t>
  </si>
  <si>
    <t>1700_28C6</t>
  </si>
  <si>
    <t>1700_2AC6</t>
  </si>
  <si>
    <t>1700_2CC6</t>
  </si>
  <si>
    <t>1700_2EC6</t>
  </si>
  <si>
    <t>1700_30C6</t>
  </si>
  <si>
    <t>1700_32C6</t>
  </si>
  <si>
    <t>1700_34C6</t>
  </si>
  <si>
    <t>1700_36C6</t>
  </si>
  <si>
    <t>1700_38C6</t>
  </si>
  <si>
    <t>1700_3AC6</t>
  </si>
  <si>
    <t>1700_3CC6</t>
  </si>
  <si>
    <t>1700_3EC6</t>
  </si>
  <si>
    <t>1700_40C6</t>
  </si>
  <si>
    <t>1700_42C6</t>
  </si>
  <si>
    <t>1700_44C6</t>
  </si>
  <si>
    <t>1700_46C6</t>
  </si>
  <si>
    <t>1700_48C6</t>
  </si>
  <si>
    <t>1700_4AC6</t>
  </si>
  <si>
    <t>1700_4CC6</t>
  </si>
  <si>
    <t>1700_4EC6</t>
  </si>
  <si>
    <t>1700_50C6</t>
  </si>
  <si>
    <t>1700_52C6</t>
  </si>
  <si>
    <t>1700_54C6</t>
  </si>
  <si>
    <t>1700_56C6</t>
  </si>
  <si>
    <t>1700_58C6</t>
  </si>
  <si>
    <t>1700_5AC6</t>
  </si>
  <si>
    <t>1700_5CC6</t>
  </si>
  <si>
    <t>1700_5EC6</t>
  </si>
  <si>
    <t>1700_60C6</t>
  </si>
  <si>
    <t>1700_62C6</t>
  </si>
  <si>
    <t>1700_64C6</t>
  </si>
  <si>
    <t>1700_66C6</t>
  </si>
  <si>
    <t>1700_68C6</t>
  </si>
  <si>
    <t>1700_6AC6</t>
  </si>
  <si>
    <t>1700_6CC6</t>
  </si>
  <si>
    <t>1700_6EC6</t>
  </si>
  <si>
    <t>1700_70C6</t>
  </si>
  <si>
    <t>1700_72C6</t>
  </si>
  <si>
    <t>1700_74C6</t>
  </si>
  <si>
    <t>1700_76C6</t>
  </si>
  <si>
    <t>1700_78C6</t>
  </si>
  <si>
    <t>1700_7AC6</t>
  </si>
  <si>
    <t>1700_7CC6</t>
  </si>
  <si>
    <t>1700_7EC6</t>
  </si>
  <si>
    <t>1700_00C7</t>
  </si>
  <si>
    <t>1700_02C7</t>
  </si>
  <si>
    <t>1700_04C7</t>
  </si>
  <si>
    <t>1700_06C7</t>
  </si>
  <si>
    <t>1700_08C7</t>
  </si>
  <si>
    <t>1700_0AC7</t>
  </si>
  <si>
    <t>1700_0CC7</t>
  </si>
  <si>
    <t>1700_0EC7</t>
  </si>
  <si>
    <t>1700_10C7</t>
  </si>
  <si>
    <t>1700_12C7</t>
  </si>
  <si>
    <t>1700_14C7</t>
  </si>
  <si>
    <t>1700_16C7</t>
  </si>
  <si>
    <t>1700_18C7</t>
  </si>
  <si>
    <t>1700_1AC7</t>
  </si>
  <si>
    <t>1700_1CC7</t>
  </si>
  <si>
    <t>1700_1EC7</t>
  </si>
  <si>
    <t>1700_20C7</t>
  </si>
  <si>
    <t>1700_22C7</t>
  </si>
  <si>
    <t>1700_24C7</t>
  </si>
  <si>
    <t>1700_26C7</t>
  </si>
  <si>
    <t>1700_28C7</t>
  </si>
  <si>
    <t>1700_2AC7</t>
  </si>
  <si>
    <t>1700_2CC7</t>
  </si>
  <si>
    <t>1700_2EC7</t>
  </si>
  <si>
    <t>1700_30C7</t>
  </si>
  <si>
    <t>1700_32C7</t>
  </si>
  <si>
    <t>1700_34C7</t>
  </si>
  <si>
    <t>1700_36C7</t>
  </si>
  <si>
    <t>1700_38C7</t>
  </si>
  <si>
    <t>1700_3AC7</t>
  </si>
  <si>
    <t>1700_3CC7</t>
  </si>
  <si>
    <t>1700_3EC7</t>
  </si>
  <si>
    <t>1700_40C7</t>
  </si>
  <si>
    <t>1700_42C7</t>
  </si>
  <si>
    <t>1700_44C7</t>
  </si>
  <si>
    <t>1700_46C7</t>
  </si>
  <si>
    <t>1700_48C7</t>
  </si>
  <si>
    <t>1700_4AC7</t>
  </si>
  <si>
    <t>1700_4CC7</t>
  </si>
  <si>
    <t>1700_4EC7</t>
  </si>
  <si>
    <t>1700_50C7</t>
  </si>
  <si>
    <t>1700_52C7</t>
  </si>
  <si>
    <t>1700_54C7</t>
  </si>
  <si>
    <t>1700_56C7</t>
  </si>
  <si>
    <t>1700_58C7</t>
  </si>
  <si>
    <t>1700_5AC7</t>
  </si>
  <si>
    <t>1700_5CC7</t>
  </si>
  <si>
    <t>1700_5EC7</t>
  </si>
  <si>
    <t>1700_60C7</t>
  </si>
  <si>
    <t>1700_62C7</t>
  </si>
  <si>
    <t>1700_64C7</t>
  </si>
  <si>
    <t>1700_66C7</t>
  </si>
  <si>
    <t>1700_68C7</t>
  </si>
  <si>
    <t>1700_6AC7</t>
  </si>
  <si>
    <t>1700_6CC7</t>
  </si>
  <si>
    <t>1700_6EC7</t>
  </si>
  <si>
    <t>1700_70C7</t>
  </si>
  <si>
    <t>1700_72C7</t>
  </si>
  <si>
    <t>1700_74C7</t>
  </si>
  <si>
    <t>1700_76C7</t>
  </si>
  <si>
    <t>1700_78C7</t>
  </si>
  <si>
    <t>1700_7AC7</t>
  </si>
  <si>
    <t>1700_7CC7</t>
  </si>
  <si>
    <t>1700_7EC7</t>
  </si>
  <si>
    <t>1700_00C8</t>
  </si>
  <si>
    <t>1700_02C8</t>
  </si>
  <si>
    <t>1700_04C8</t>
  </si>
  <si>
    <t>1700_06C8</t>
  </si>
  <si>
    <t>1700_08C8</t>
  </si>
  <si>
    <t>1700_0AC8</t>
  </si>
  <si>
    <t>1700_0CC8</t>
  </si>
  <si>
    <t>1700_0EC8</t>
  </si>
  <si>
    <t>1700_10C8</t>
  </si>
  <si>
    <t>1700_12C8</t>
  </si>
  <si>
    <t>1700_14C8</t>
  </si>
  <si>
    <t>1700_16C8</t>
  </si>
  <si>
    <t>1700_18C8</t>
  </si>
  <si>
    <t>1700_1AC8</t>
  </si>
  <si>
    <t>1700_1CC8</t>
  </si>
  <si>
    <t>1700_1EC8</t>
  </si>
  <si>
    <t>1700_20C8</t>
  </si>
  <si>
    <t>1700_22C8</t>
  </si>
  <si>
    <t>1700_24C8</t>
  </si>
  <si>
    <t>1700_26C8</t>
  </si>
  <si>
    <t>1700_28C8</t>
  </si>
  <si>
    <t>1700_2AC8</t>
  </si>
  <si>
    <t>1700_2CC8</t>
  </si>
  <si>
    <t>1700_2EC8</t>
  </si>
  <si>
    <t>1700_30C8</t>
  </si>
  <si>
    <t>1700_32C8</t>
  </si>
  <si>
    <t>1700_34C8</t>
  </si>
  <si>
    <t>1700_36C8</t>
  </si>
  <si>
    <t>1700_38C8</t>
  </si>
  <si>
    <t>1700_3AC8</t>
  </si>
  <si>
    <t>1700_3CC8</t>
  </si>
  <si>
    <t>1700_3EC8</t>
  </si>
  <si>
    <t>1700_40C8</t>
  </si>
  <si>
    <t>1700_42C8</t>
  </si>
  <si>
    <t>1700_44C8</t>
  </si>
  <si>
    <t>1700_46C8</t>
  </si>
  <si>
    <t>1700_48C8</t>
  </si>
  <si>
    <t>1700_4AC8</t>
  </si>
  <si>
    <t>1700_4CC8</t>
  </si>
  <si>
    <t>1700_4EC8</t>
  </si>
  <si>
    <t>1700_50C8</t>
  </si>
  <si>
    <t>1700_52C8</t>
  </si>
  <si>
    <t>1700_54C8</t>
  </si>
  <si>
    <t>1700_56C8</t>
  </si>
  <si>
    <t>1700_58C8</t>
  </si>
  <si>
    <t>1700_5AC8</t>
  </si>
  <si>
    <t>1700_5CC8</t>
  </si>
  <si>
    <t>1700_5EC8</t>
  </si>
  <si>
    <t>1700_60C8</t>
  </si>
  <si>
    <t>1700_62C8</t>
  </si>
  <si>
    <t>1700_64C8</t>
  </si>
  <si>
    <t>1700_66C8</t>
  </si>
  <si>
    <t>1700_68C8</t>
  </si>
  <si>
    <t>1700_6AC8</t>
  </si>
  <si>
    <t>1700_6CC8</t>
  </si>
  <si>
    <t>1700_6EC8</t>
  </si>
  <si>
    <t>1700_70C8</t>
  </si>
  <si>
    <t>1700_72C8</t>
  </si>
  <si>
    <t>1700_74C8</t>
  </si>
  <si>
    <t>1700_76C8</t>
  </si>
  <si>
    <t>1700_78C8</t>
  </si>
  <si>
    <t>1700_7AC8</t>
  </si>
  <si>
    <t>1700_7CC8</t>
  </si>
  <si>
    <t>1700_7EC8</t>
  </si>
  <si>
    <t>1700_00C9</t>
  </si>
  <si>
    <t>1700_02C9</t>
  </si>
  <si>
    <t>1700_04C9</t>
  </si>
  <si>
    <t>1700_06C9</t>
  </si>
  <si>
    <t>1700_08C9</t>
  </si>
  <si>
    <t>1700_0AC9</t>
  </si>
  <si>
    <t>1700_0CC9</t>
  </si>
  <si>
    <t>1700_0EC9</t>
  </si>
  <si>
    <t>1700_10C9</t>
  </si>
  <si>
    <t>1700_12C9</t>
  </si>
  <si>
    <t>1700_14C9</t>
  </si>
  <si>
    <t>1700_16C9</t>
  </si>
  <si>
    <t>1700_18C9</t>
  </si>
  <si>
    <t>1700_1AC9</t>
  </si>
  <si>
    <t>1700_1CC9</t>
  </si>
  <si>
    <t>1700_1EC9</t>
  </si>
  <si>
    <t>1700_20C9</t>
  </si>
  <si>
    <t>1700_22C9</t>
  </si>
  <si>
    <t>1700_24C9</t>
  </si>
  <si>
    <t>1700_26C9</t>
  </si>
  <si>
    <t>1700_28C9</t>
  </si>
  <si>
    <t>1700_2AC9</t>
  </si>
  <si>
    <t>1700_2CC9</t>
  </si>
  <si>
    <t>1700_2EC9</t>
  </si>
  <si>
    <t>1700_30C9</t>
  </si>
  <si>
    <t>1700_32C9</t>
  </si>
  <si>
    <t>1700_34C9</t>
  </si>
  <si>
    <t>1700_36C9</t>
  </si>
  <si>
    <t>1700_38C9</t>
  </si>
  <si>
    <t>1700_3AC9</t>
  </si>
  <si>
    <t>1700_3CC9</t>
  </si>
  <si>
    <t>1700_3EC9</t>
  </si>
  <si>
    <t>1700_40C9</t>
  </si>
  <si>
    <t>1700_42C9</t>
  </si>
  <si>
    <t>1700_44C9</t>
  </si>
  <si>
    <t>1700_46C9</t>
  </si>
  <si>
    <t>1700_48C9</t>
  </si>
  <si>
    <t>1700_4AC9</t>
  </si>
  <si>
    <t>1700_4CC9</t>
  </si>
  <si>
    <t>1700_4EC9</t>
  </si>
  <si>
    <t>1700_50C9</t>
  </si>
  <si>
    <t>1700_52C9</t>
  </si>
  <si>
    <t>1700_54C9</t>
  </si>
  <si>
    <t>1700_56C9</t>
  </si>
  <si>
    <t>1700_58C9</t>
  </si>
  <si>
    <t>1700_5AC9</t>
  </si>
  <si>
    <t>1700_5CC9</t>
  </si>
  <si>
    <t>1700_5EC9</t>
  </si>
  <si>
    <t>1700_60C9</t>
  </si>
  <si>
    <t>1700_62C9</t>
  </si>
  <si>
    <t>1700_64C9</t>
  </si>
  <si>
    <t>1700_66C9</t>
  </si>
  <si>
    <t>1700_68C9</t>
  </si>
  <si>
    <t>1700_6AC9</t>
  </si>
  <si>
    <t>1700_6CC9</t>
  </si>
  <si>
    <t>1700_6EC9</t>
  </si>
  <si>
    <t>1700_70C9</t>
  </si>
  <si>
    <t>1700_72C9</t>
  </si>
  <si>
    <t>1700_74C9</t>
  </si>
  <si>
    <t>1700_76C9</t>
  </si>
  <si>
    <t>1700_78C9</t>
  </si>
  <si>
    <t>1700_7AC9</t>
  </si>
  <si>
    <t>1700_7CC9</t>
  </si>
  <si>
    <t>1700_7EC9</t>
  </si>
  <si>
    <t>1700_00CA</t>
  </si>
  <si>
    <t>1700_02CA</t>
  </si>
  <si>
    <t>1700_04CA</t>
  </si>
  <si>
    <t>1700_06CA</t>
  </si>
  <si>
    <t>1700_08CA</t>
  </si>
  <si>
    <t>1700_0ACA</t>
  </si>
  <si>
    <t>1700_0CCA</t>
  </si>
  <si>
    <t>1700_0ECA</t>
  </si>
  <si>
    <t>1700_10CA</t>
  </si>
  <si>
    <t>1700_12CA</t>
  </si>
  <si>
    <t>1700_14CA</t>
  </si>
  <si>
    <t>1700_16CA</t>
  </si>
  <si>
    <t>1700_18CA</t>
  </si>
  <si>
    <t>1700_1ACA</t>
  </si>
  <si>
    <t>1700_1CCA</t>
  </si>
  <si>
    <t>1700_1ECA</t>
  </si>
  <si>
    <t>1700_20CA</t>
  </si>
  <si>
    <t>1700_22CA</t>
  </si>
  <si>
    <t>1700_24CA</t>
  </si>
  <si>
    <t>1700_26CA</t>
  </si>
  <si>
    <t>1700_28CA</t>
  </si>
  <si>
    <t>1700_2ACA</t>
  </si>
  <si>
    <t>1700_2CCA</t>
  </si>
  <si>
    <t>1700_2ECA</t>
  </si>
  <si>
    <t>1700_30CA</t>
  </si>
  <si>
    <t>1700_32CA</t>
  </si>
  <si>
    <t>1700_34CA</t>
  </si>
  <si>
    <t>1700_36CA</t>
  </si>
  <si>
    <t>1700_38CA</t>
  </si>
  <si>
    <t>1700_3ACA</t>
  </si>
  <si>
    <t>1700_3CCA</t>
  </si>
  <si>
    <t>1700_3ECA</t>
  </si>
  <si>
    <t>1700_40CA</t>
  </si>
  <si>
    <t>1700_42CA</t>
  </si>
  <si>
    <t>1700_44CA</t>
  </si>
  <si>
    <t>1700_46CA</t>
  </si>
  <si>
    <t>1700_48CA</t>
  </si>
  <si>
    <t>1700_4ACA</t>
  </si>
  <si>
    <t>1700_4CCA</t>
  </si>
  <si>
    <t>1700_4ECA</t>
  </si>
  <si>
    <t>1700_50CA</t>
  </si>
  <si>
    <t>1700_52CA</t>
  </si>
  <si>
    <t>1700_54CA</t>
  </si>
  <si>
    <t>1700_56CA</t>
  </si>
  <si>
    <t>1700_58CA</t>
  </si>
  <si>
    <t>1700_5ACA</t>
  </si>
  <si>
    <t>1700_5CCA</t>
  </si>
  <si>
    <t>1700_5ECA</t>
  </si>
  <si>
    <t>1700_60CA</t>
  </si>
  <si>
    <t>1700_62CA</t>
  </si>
  <si>
    <t>1700_64CA</t>
  </si>
  <si>
    <t>1700_66CA</t>
  </si>
  <si>
    <t>1700_68CA</t>
  </si>
  <si>
    <t>1700_6ACA</t>
  </si>
  <si>
    <t>1700_6CCA</t>
  </si>
  <si>
    <t>1700_6ECA</t>
  </si>
  <si>
    <t>1700_70CA</t>
  </si>
  <si>
    <t>1700_72CA</t>
  </si>
  <si>
    <t>1700_74CA</t>
  </si>
  <si>
    <t>1700_76CA</t>
  </si>
  <si>
    <t>1700_78CA</t>
  </si>
  <si>
    <t>1700_7ACA</t>
  </si>
  <si>
    <t>1700_7CCA</t>
  </si>
  <si>
    <t>1700_7ECA</t>
  </si>
  <si>
    <t>1700_00CB</t>
  </si>
  <si>
    <t>1700_02CB</t>
  </si>
  <si>
    <t>1700_04CB</t>
  </si>
  <si>
    <t>1700_06CB</t>
  </si>
  <si>
    <t>1700_08CB</t>
  </si>
  <si>
    <t>1700_0ACB</t>
  </si>
  <si>
    <t>1700_0CCB</t>
  </si>
  <si>
    <t>1700_0ECB</t>
  </si>
  <si>
    <t>1700_10CB</t>
  </si>
  <si>
    <t>1700_12CB</t>
  </si>
  <si>
    <t>1700_14CB</t>
  </si>
  <si>
    <t>1700_16CB</t>
  </si>
  <si>
    <t>1700_18CB</t>
  </si>
  <si>
    <t>1700_1ACB</t>
  </si>
  <si>
    <t>1700_1CCB</t>
  </si>
  <si>
    <t>1700_1ECB</t>
  </si>
  <si>
    <t>1700_20CB</t>
  </si>
  <si>
    <t>1700_22CB</t>
  </si>
  <si>
    <t>1700_24CB</t>
  </si>
  <si>
    <t>1700_26CB</t>
  </si>
  <si>
    <t>1700_28CB</t>
  </si>
  <si>
    <t>1700_2ACB</t>
  </si>
  <si>
    <t>1700_2CCB</t>
  </si>
  <si>
    <t>1700_2ECB</t>
  </si>
  <si>
    <t>1700_30CB</t>
  </si>
  <si>
    <t>1700_32CB</t>
  </si>
  <si>
    <t>1700_34CB</t>
  </si>
  <si>
    <t>1700_36CB</t>
  </si>
  <si>
    <t>1700_38CB</t>
  </si>
  <si>
    <t>1700_3ACB</t>
  </si>
  <si>
    <t>1700_3CCB</t>
  </si>
  <si>
    <t>1700_3ECB</t>
  </si>
  <si>
    <t>1700_40CB</t>
  </si>
  <si>
    <t>1700_42CB</t>
  </si>
  <si>
    <t>1700_44CB</t>
  </si>
  <si>
    <t>1700_46CB</t>
  </si>
  <si>
    <t>1700_48CB</t>
  </si>
  <si>
    <t>1700_4ACB</t>
  </si>
  <si>
    <t>1700_4CCB</t>
  </si>
  <si>
    <t>1700_4ECB</t>
  </si>
  <si>
    <t>1700_50CB</t>
  </si>
  <si>
    <t>1700_52CB</t>
  </si>
  <si>
    <t>1700_54CB</t>
  </si>
  <si>
    <t>1700_56CB</t>
  </si>
  <si>
    <t>1700_58CB</t>
  </si>
  <si>
    <t>1700_5ACB</t>
  </si>
  <si>
    <t>1700_5CCB</t>
  </si>
  <si>
    <t>1700_5ECB</t>
  </si>
  <si>
    <t>1700_60CB</t>
  </si>
  <si>
    <t>1700_62CB</t>
  </si>
  <si>
    <t>1700_64CB</t>
  </si>
  <si>
    <t>1700_66CB</t>
  </si>
  <si>
    <t>1700_68CB</t>
  </si>
  <si>
    <t>1700_6ACB</t>
  </si>
  <si>
    <t>1700_6CCB</t>
  </si>
  <si>
    <t>1700_6ECB</t>
  </si>
  <si>
    <t>1700_70CB</t>
  </si>
  <si>
    <t>1700_72CB</t>
  </si>
  <si>
    <t>1700_74CB</t>
  </si>
  <si>
    <t>1700_76CB</t>
  </si>
  <si>
    <t>1700_78CB</t>
  </si>
  <si>
    <t>1700_7ACB</t>
  </si>
  <si>
    <t>1700_7CCB</t>
  </si>
  <si>
    <t>1700_7ECB</t>
  </si>
  <si>
    <t>1700_00CC</t>
  </si>
  <si>
    <t>1700_02CC</t>
  </si>
  <si>
    <t>1700_04CC</t>
  </si>
  <si>
    <t>1700_06CC</t>
  </si>
  <si>
    <t>1700_08CC</t>
  </si>
  <si>
    <t>1700_0ACC</t>
  </si>
  <si>
    <t>1700_0CCC</t>
  </si>
  <si>
    <t>1700_0ECC</t>
  </si>
  <si>
    <t>1700_10CC</t>
  </si>
  <si>
    <t>1700_12CC</t>
  </si>
  <si>
    <t>1700_14CC</t>
  </si>
  <si>
    <t>1700_16CC</t>
  </si>
  <si>
    <t>1700_18CC</t>
  </si>
  <si>
    <t>1700_1ACC</t>
  </si>
  <si>
    <t>1700_1CCC</t>
  </si>
  <si>
    <t>1700_1ECC</t>
  </si>
  <si>
    <t>1700_20CC</t>
  </si>
  <si>
    <t>1700_22CC</t>
  </si>
  <si>
    <t>1700_24CC</t>
  </si>
  <si>
    <t>1700_26CC</t>
  </si>
  <si>
    <t>1700_28CC</t>
  </si>
  <si>
    <t>1700_2ACC</t>
  </si>
  <si>
    <t>1700_2CCC</t>
  </si>
  <si>
    <t>1700_2ECC</t>
  </si>
  <si>
    <t>1700_30CC</t>
  </si>
  <si>
    <t>1700_32CC</t>
  </si>
  <si>
    <t>1700_34CC</t>
  </si>
  <si>
    <t>1700_36CC</t>
  </si>
  <si>
    <t>1700_38CC</t>
  </si>
  <si>
    <t>1700_3ACC</t>
  </si>
  <si>
    <t>1700_3CCC</t>
  </si>
  <si>
    <t>1700_3ECC</t>
  </si>
  <si>
    <t>1700_40CC</t>
  </si>
  <si>
    <t>1700_42CC</t>
  </si>
  <si>
    <t>1700_44CC</t>
  </si>
  <si>
    <t>1700_46CC</t>
  </si>
  <si>
    <t>1700_48CC</t>
  </si>
  <si>
    <t>1700_4ACC</t>
  </si>
  <si>
    <t>1700_4CCC</t>
  </si>
  <si>
    <t>1700_4ECC</t>
  </si>
  <si>
    <t>1700_50CC</t>
  </si>
  <si>
    <t>1700_52CC</t>
  </si>
  <si>
    <t>1700_54CC</t>
  </si>
  <si>
    <t>1700_56CC</t>
  </si>
  <si>
    <t>1700_58CC</t>
  </si>
  <si>
    <t>1700_5ACC</t>
  </si>
  <si>
    <t>1700_5CCC</t>
  </si>
  <si>
    <t>1700_5ECC</t>
  </si>
  <si>
    <t>1700_60CC</t>
  </si>
  <si>
    <t>1700_62CC</t>
  </si>
  <si>
    <t>1700_64CC</t>
  </si>
  <si>
    <t>1700_66CC</t>
  </si>
  <si>
    <t>1700_68CC</t>
  </si>
  <si>
    <t>1700_6ACC</t>
  </si>
  <si>
    <t>1700_6CCC</t>
  </si>
  <si>
    <t>1700_6ECC</t>
  </si>
  <si>
    <t>1700_70CC</t>
  </si>
  <si>
    <t>1700_72CC</t>
  </si>
  <si>
    <t>1700_74CC</t>
  </si>
  <si>
    <t>1700_76CC</t>
  </si>
  <si>
    <t>1700_78CC</t>
  </si>
  <si>
    <t>1700_7ACC</t>
  </si>
  <si>
    <t>1700_7CCC</t>
  </si>
  <si>
    <t>1700_7ECC</t>
  </si>
  <si>
    <t>1700_00CD</t>
  </si>
  <si>
    <t>1700_02CD</t>
  </si>
  <si>
    <t>1700_04CD</t>
  </si>
  <si>
    <t>1700_06CD</t>
  </si>
  <si>
    <t>1700_08CD</t>
  </si>
  <si>
    <t>1700_0ACD</t>
  </si>
  <si>
    <t>1700_0CCD</t>
  </si>
  <si>
    <t>1700_0ECD</t>
  </si>
  <si>
    <t>1700_10CD</t>
  </si>
  <si>
    <t>1700_12CD</t>
  </si>
  <si>
    <t>1700_14CD</t>
  </si>
  <si>
    <t>1700_16CD</t>
  </si>
  <si>
    <t>1700_18CD</t>
  </si>
  <si>
    <t>1700_1ACD</t>
  </si>
  <si>
    <t>1700_1CCD</t>
  </si>
  <si>
    <t>1700_1ECD</t>
  </si>
  <si>
    <t>1700_20CD</t>
  </si>
  <si>
    <t>1700_22CD</t>
  </si>
  <si>
    <t>1700_24CD</t>
  </si>
  <si>
    <t>1700_26CD</t>
  </si>
  <si>
    <t>1700_28CD</t>
  </si>
  <si>
    <t>1700_2ACD</t>
  </si>
  <si>
    <t>1700_2CCD</t>
  </si>
  <si>
    <t>1700_2ECD</t>
  </si>
  <si>
    <t>1700_30CD</t>
  </si>
  <si>
    <t>1700_32CD</t>
  </si>
  <si>
    <t>1700_34CD</t>
  </si>
  <si>
    <t>1700_36CD</t>
  </si>
  <si>
    <t>1700_38CD</t>
  </si>
  <si>
    <t>1700_3ACD</t>
  </si>
  <si>
    <t>1700_3CCD</t>
  </si>
  <si>
    <t>1700_3ECD</t>
  </si>
  <si>
    <t>1700_40CD</t>
  </si>
  <si>
    <t>1700_42CD</t>
  </si>
  <si>
    <t>1700_44CD</t>
  </si>
  <si>
    <t>1700_46CD</t>
  </si>
  <si>
    <t>1700_48CD</t>
  </si>
  <si>
    <t>1700_4ACD</t>
  </si>
  <si>
    <t>1700_4CCD</t>
  </si>
  <si>
    <t>1700_4ECD</t>
  </si>
  <si>
    <t>1700_50CD</t>
  </si>
  <si>
    <t>1700_52CD</t>
  </si>
  <si>
    <t>1700_54CD</t>
  </si>
  <si>
    <t>1700_56CD</t>
  </si>
  <si>
    <t>1700_58CD</t>
  </si>
  <si>
    <t>1700_5ACD</t>
  </si>
  <si>
    <t>1700_5CCD</t>
  </si>
  <si>
    <t>1700_5ECD</t>
  </si>
  <si>
    <t>1700_60CD</t>
  </si>
  <si>
    <t>1700_62CD</t>
  </si>
  <si>
    <t>1700_64CD</t>
  </si>
  <si>
    <t>1700_66CD</t>
  </si>
  <si>
    <t>1700_68CD</t>
  </si>
  <si>
    <t>1700_6ACD</t>
  </si>
  <si>
    <t>1700_6CCD</t>
  </si>
  <si>
    <t>1700_6ECD</t>
  </si>
  <si>
    <t>1700_70CD</t>
  </si>
  <si>
    <t>1700_72CD</t>
  </si>
  <si>
    <t>1700_74CD</t>
  </si>
  <si>
    <t>1700_76CD</t>
  </si>
  <si>
    <t>1700_78CD</t>
  </si>
  <si>
    <t>1700_7ACD</t>
  </si>
  <si>
    <t>1700_7CCD</t>
  </si>
  <si>
    <t>1700_7ECD</t>
  </si>
  <si>
    <t>1700_00CE</t>
  </si>
  <si>
    <t>1700_02CE</t>
  </si>
  <si>
    <t>1700_04CE</t>
  </si>
  <si>
    <t>1700_06CE</t>
  </si>
  <si>
    <t>1700_08CE</t>
  </si>
  <si>
    <t>1700_0ACE</t>
  </si>
  <si>
    <t>1700_0CCE</t>
  </si>
  <si>
    <t>1700_0ECE</t>
  </si>
  <si>
    <t>1700_10CE</t>
  </si>
  <si>
    <t>1700_12CE</t>
  </si>
  <si>
    <t>1700_14CE</t>
  </si>
  <si>
    <t>1700_16CE</t>
  </si>
  <si>
    <t>1700_18CE</t>
  </si>
  <si>
    <t>1700_1ACE</t>
  </si>
  <si>
    <t>1700_1CCE</t>
  </si>
  <si>
    <t>1700_1ECE</t>
  </si>
  <si>
    <t>1700_20CE</t>
  </si>
  <si>
    <t>1700_22CE</t>
  </si>
  <si>
    <t>1700_24CE</t>
  </si>
  <si>
    <t>1700_26CE</t>
  </si>
  <si>
    <t>1700_28CE</t>
  </si>
  <si>
    <t>1700_2ACE</t>
  </si>
  <si>
    <t>1700_2CCE</t>
  </si>
  <si>
    <t>1700_2ECE</t>
  </si>
  <si>
    <t>1700_30CE</t>
  </si>
  <si>
    <t>1700_32CE</t>
  </si>
  <si>
    <t>1700_34CE</t>
  </si>
  <si>
    <t>1700_36CE</t>
  </si>
  <si>
    <t>1700_38CE</t>
  </si>
  <si>
    <t>1700_3ACE</t>
  </si>
  <si>
    <t>1700_3CCE</t>
  </si>
  <si>
    <t>1700_3ECE</t>
  </si>
  <si>
    <t>1700_40CE</t>
  </si>
  <si>
    <t>1700_42CE</t>
  </si>
  <si>
    <t>1700_44CE</t>
  </si>
  <si>
    <t>1700_46CE</t>
  </si>
  <si>
    <t>1700_48CE</t>
  </si>
  <si>
    <t>1700_4ACE</t>
  </si>
  <si>
    <t>1700_4CCE</t>
  </si>
  <si>
    <t>1700_4ECE</t>
  </si>
  <si>
    <t>1700_50CE</t>
  </si>
  <si>
    <t>1700_52CE</t>
  </si>
  <si>
    <t>1700_54CE</t>
  </si>
  <si>
    <t>1700_56CE</t>
  </si>
  <si>
    <t>1700_58CE</t>
  </si>
  <si>
    <t>1700_5ACE</t>
  </si>
  <si>
    <t>1700_5CCE</t>
  </si>
  <si>
    <t>1700_5ECE</t>
  </si>
  <si>
    <t>1700_60CE</t>
  </si>
  <si>
    <t>1700_62CE</t>
  </si>
  <si>
    <t>1700_64CE</t>
  </si>
  <si>
    <t>1700_66CE</t>
  </si>
  <si>
    <t>1700_68CE</t>
  </si>
  <si>
    <t>1700_6ACE</t>
  </si>
  <si>
    <t>1700_6CCE</t>
  </si>
  <si>
    <t>1700_6ECE</t>
  </si>
  <si>
    <t>1700_70CE</t>
  </si>
  <si>
    <t>1700_72CE</t>
  </si>
  <si>
    <t>1700_74CE</t>
  </si>
  <si>
    <t>1700_76CE</t>
  </si>
  <si>
    <t>1700_78CE</t>
  </si>
  <si>
    <t>1700_7ACE</t>
  </si>
  <si>
    <t>1700_7CCE</t>
  </si>
  <si>
    <t>1700_7ECE</t>
  </si>
  <si>
    <t>1700_00CF</t>
  </si>
  <si>
    <t>1700_02CF</t>
  </si>
  <si>
    <t>1700_04CF</t>
  </si>
  <si>
    <t>1700_06CF</t>
  </si>
  <si>
    <t>1700_08CF</t>
  </si>
  <si>
    <t>1700_0ACF</t>
  </si>
  <si>
    <t>1700_0CCF</t>
  </si>
  <si>
    <t>1700_0ECF</t>
  </si>
  <si>
    <t>1700_10CF</t>
  </si>
  <si>
    <t>1700_12CF</t>
  </si>
  <si>
    <t>1700_14CF</t>
  </si>
  <si>
    <t>1700_16CF</t>
  </si>
  <si>
    <t>1700_18CF</t>
  </si>
  <si>
    <t>1700_1ACF</t>
  </si>
  <si>
    <t>1700_1CCF</t>
  </si>
  <si>
    <t>1700_1ECF</t>
  </si>
  <si>
    <t>1700_20CF</t>
  </si>
  <si>
    <t>1700_22CF</t>
  </si>
  <si>
    <t>1700_24CF</t>
  </si>
  <si>
    <t>1700_26CF</t>
  </si>
  <si>
    <t>1700_28CF</t>
  </si>
  <si>
    <t>1700_2ACF</t>
  </si>
  <si>
    <t>1700_2CCF</t>
  </si>
  <si>
    <t>1700_2ECF</t>
  </si>
  <si>
    <t>1700_30CF</t>
  </si>
  <si>
    <t>1700_32CF</t>
  </si>
  <si>
    <t>1700_34CF</t>
  </si>
  <si>
    <t>1700_36CF</t>
  </si>
  <si>
    <t>1700_38CF</t>
  </si>
  <si>
    <t>1700_3ACF</t>
  </si>
  <si>
    <t>1700_3CCF</t>
  </si>
  <si>
    <t>1700_3ECF</t>
  </si>
  <si>
    <t>1700_40CF</t>
  </si>
  <si>
    <t>1700_42CF</t>
  </si>
  <si>
    <t>1700_44CF</t>
  </si>
  <si>
    <t>1700_46CF</t>
  </si>
  <si>
    <t>1700_48CF</t>
  </si>
  <si>
    <t>1700_4ACF</t>
  </si>
  <si>
    <t>1700_4CCF</t>
  </si>
  <si>
    <t>1700_4ECF</t>
  </si>
  <si>
    <t>1700_50CF</t>
  </si>
  <si>
    <t>1700_52CF</t>
  </si>
  <si>
    <t>1700_54CF</t>
  </si>
  <si>
    <t>1700_56CF</t>
  </si>
  <si>
    <t>1700_58CF</t>
  </si>
  <si>
    <t>1700_5ACF</t>
  </si>
  <si>
    <t>1700_5CCF</t>
  </si>
  <si>
    <t>1700_5ECF</t>
  </si>
  <si>
    <t>1700_60CF</t>
  </si>
  <si>
    <t>1700_62CF</t>
  </si>
  <si>
    <t>1700_64CF</t>
  </si>
  <si>
    <t>1700_66CF</t>
  </si>
  <si>
    <t>1700_68CF</t>
  </si>
  <si>
    <t>1700_6ACF</t>
  </si>
  <si>
    <t>1700_6CCF</t>
  </si>
  <si>
    <t>1700_6ECF</t>
  </si>
  <si>
    <t>1700_70CF</t>
  </si>
  <si>
    <t>1700_72CF</t>
  </si>
  <si>
    <t>1700_74CF</t>
  </si>
  <si>
    <t>1700_76CF</t>
  </si>
  <si>
    <t>1700_78CF</t>
  </si>
  <si>
    <t>1700_7ACF</t>
  </si>
  <si>
    <t>1700_7CCF</t>
  </si>
  <si>
    <t>1700_7ECF</t>
  </si>
  <si>
    <t>1700_00D0</t>
  </si>
  <si>
    <t>1700_02D0</t>
  </si>
  <si>
    <t>1700_04D0</t>
  </si>
  <si>
    <t>1700_06D0</t>
  </si>
  <si>
    <t>1700_08D0</t>
  </si>
  <si>
    <t>1700_0AD0</t>
  </si>
  <si>
    <t>1700_0CD0</t>
  </si>
  <si>
    <t>1700_0ED0</t>
  </si>
  <si>
    <t>1700_10D0</t>
  </si>
  <si>
    <t>1700_12D0</t>
  </si>
  <si>
    <t>1700_14D0</t>
  </si>
  <si>
    <t>1700_16D0</t>
  </si>
  <si>
    <t>1700_18D0</t>
  </si>
  <si>
    <t>1700_1AD0</t>
  </si>
  <si>
    <t>1700_1CD0</t>
  </si>
  <si>
    <t>1700_1ED0</t>
  </si>
  <si>
    <t>1700_20D0</t>
  </si>
  <si>
    <t>1700_22D0</t>
  </si>
  <si>
    <t>1700_24D0</t>
  </si>
  <si>
    <t>1700_26D0</t>
  </si>
  <si>
    <t>1700_28D0</t>
  </si>
  <si>
    <t>1700_2AD0</t>
  </si>
  <si>
    <t>1700_2CD0</t>
  </si>
  <si>
    <t>1700_2ED0</t>
  </si>
  <si>
    <t>1700_30D0</t>
  </si>
  <si>
    <t>1700_32D0</t>
  </si>
  <si>
    <t>1700_34D0</t>
  </si>
  <si>
    <t>1700_36D0</t>
  </si>
  <si>
    <t>1700_38D0</t>
  </si>
  <si>
    <t>1700_3AD0</t>
  </si>
  <si>
    <t>1700_3CD0</t>
  </si>
  <si>
    <t>1700_3ED0</t>
  </si>
  <si>
    <t>1700_40D0</t>
  </si>
  <si>
    <t>1700_42D0</t>
  </si>
  <si>
    <t>1700_44D0</t>
  </si>
  <si>
    <t>1700_46D0</t>
  </si>
  <si>
    <t>1700_48D0</t>
  </si>
  <si>
    <t>1700_4AD0</t>
  </si>
  <si>
    <t>1700_4CD0</t>
  </si>
  <si>
    <t>1700_4ED0</t>
  </si>
  <si>
    <t>1700_50D0</t>
  </si>
  <si>
    <t>1700_52D0</t>
  </si>
  <si>
    <t>1700_54D0</t>
  </si>
  <si>
    <t>1700_56D0</t>
  </si>
  <si>
    <t>1700_58D0</t>
  </si>
  <si>
    <t>1700_5AD0</t>
  </si>
  <si>
    <t>1700_5CD0</t>
  </si>
  <si>
    <t>1700_5ED0</t>
  </si>
  <si>
    <t>1700_60D0</t>
  </si>
  <si>
    <t>1700_62D0</t>
  </si>
  <si>
    <t>1700_64D0</t>
  </si>
  <si>
    <t>1700_66D0</t>
  </si>
  <si>
    <t>1700_68D0</t>
  </si>
  <si>
    <t>1700_6AD0</t>
  </si>
  <si>
    <t>1700_6CD0</t>
  </si>
  <si>
    <t>1700_6ED0</t>
  </si>
  <si>
    <t>1700_70D0</t>
  </si>
  <si>
    <t>1700_72D0</t>
  </si>
  <si>
    <t>1700_74D0</t>
  </si>
  <si>
    <t>1700_76D0</t>
  </si>
  <si>
    <t>1700_78D0</t>
  </si>
  <si>
    <t>1700_7AD0</t>
  </si>
  <si>
    <t>1700_7CD0</t>
  </si>
  <si>
    <t>1700_7ED0</t>
  </si>
  <si>
    <t>1700_00D1</t>
  </si>
  <si>
    <t>1700_02D1</t>
  </si>
  <si>
    <t>1700_04D1</t>
  </si>
  <si>
    <t>1700_06D1</t>
  </si>
  <si>
    <t>1700_08D1</t>
  </si>
  <si>
    <t>1700_0AD1</t>
  </si>
  <si>
    <t>1700_0CD1</t>
  </si>
  <si>
    <t>1700_0ED1</t>
  </si>
  <si>
    <t>1700_10D1</t>
  </si>
  <si>
    <t>1700_12D1</t>
  </si>
  <si>
    <t>1700_14D1</t>
  </si>
  <si>
    <t>1700_16D1</t>
  </si>
  <si>
    <t>1700_18D1</t>
  </si>
  <si>
    <t>1700_1AD1</t>
  </si>
  <si>
    <t>1700_1CD1</t>
  </si>
  <si>
    <t>1700_1ED1</t>
  </si>
  <si>
    <t>1700_20D1</t>
  </si>
  <si>
    <t>1700_22D1</t>
  </si>
  <si>
    <t>1700_24D1</t>
  </si>
  <si>
    <t>1700_26D1</t>
  </si>
  <si>
    <t>1700_28D1</t>
  </si>
  <si>
    <t>1700_2AD1</t>
  </si>
  <si>
    <t>1700_2CD1</t>
  </si>
  <si>
    <t>1700_2ED1</t>
  </si>
  <si>
    <t>1700_30D1</t>
  </si>
  <si>
    <t>1700_32D1</t>
  </si>
  <si>
    <t>1700_34D1</t>
  </si>
  <si>
    <t>1700_36D1</t>
  </si>
  <si>
    <t>1700_38D1</t>
  </si>
  <si>
    <t>1700_3AD1</t>
  </si>
  <si>
    <t>1700_3CD1</t>
  </si>
  <si>
    <t>1700_3ED1</t>
  </si>
  <si>
    <t>1700_40D1</t>
  </si>
  <si>
    <t>1700_42D1</t>
  </si>
  <si>
    <t>1700_44D1</t>
  </si>
  <si>
    <t>1700_46D1</t>
  </si>
  <si>
    <t>1700_48D1</t>
  </si>
  <si>
    <t>1700_4AD1</t>
  </si>
  <si>
    <t>1700_4CD1</t>
  </si>
  <si>
    <t>1700_4ED1</t>
  </si>
  <si>
    <t>1700_50D1</t>
  </si>
  <si>
    <t>1700_52D1</t>
  </si>
  <si>
    <t>1700_54D1</t>
  </si>
  <si>
    <t>1700_56D1</t>
  </si>
  <si>
    <t>1700_58D1</t>
  </si>
  <si>
    <t>1700_5AD1</t>
  </si>
  <si>
    <t>1700_5CD1</t>
  </si>
  <si>
    <t>1700_5ED1</t>
  </si>
  <si>
    <t>1700_60D1</t>
  </si>
  <si>
    <t>1700_62D1</t>
  </si>
  <si>
    <t>1700_64D1</t>
  </si>
  <si>
    <t>1700_66D1</t>
  </si>
  <si>
    <t>1700_68D1</t>
  </si>
  <si>
    <t>1700_6AD1</t>
  </si>
  <si>
    <t>1700_6CD1</t>
  </si>
  <si>
    <t>1700_6ED1</t>
  </si>
  <si>
    <t>1700_70D1</t>
  </si>
  <si>
    <t>1700_72D1</t>
  </si>
  <si>
    <t>1700_74D1</t>
  </si>
  <si>
    <t>1700_76D1</t>
  </si>
  <si>
    <t>1700_78D1</t>
  </si>
  <si>
    <t>1700_7AD1</t>
  </si>
  <si>
    <t>1700_7CD1</t>
  </si>
  <si>
    <t>1700_7ED1</t>
  </si>
  <si>
    <t>1700_00D2</t>
  </si>
  <si>
    <t>1700_02D2</t>
  </si>
  <si>
    <t>1700_04D2</t>
  </si>
  <si>
    <t>1700_06D2</t>
  </si>
  <si>
    <t>1700_08D2</t>
  </si>
  <si>
    <t>1700_0AD2</t>
  </si>
  <si>
    <t>1700_0CD2</t>
  </si>
  <si>
    <t>1700_0ED2</t>
  </si>
  <si>
    <t>1700_10D2</t>
  </si>
  <si>
    <t>1700_12D2</t>
  </si>
  <si>
    <t>1700_14D2</t>
  </si>
  <si>
    <t>1700_16D2</t>
  </si>
  <si>
    <t>1700_18D2</t>
  </si>
  <si>
    <t>1700_1AD2</t>
  </si>
  <si>
    <t>1700_1CD2</t>
  </si>
  <si>
    <t>1700_1ED2</t>
  </si>
  <si>
    <t>1700_20D2</t>
  </si>
  <si>
    <t>1700_22D2</t>
  </si>
  <si>
    <t>1700_24D2</t>
  </si>
  <si>
    <t>1700_26D2</t>
  </si>
  <si>
    <t>1700_28D2</t>
  </si>
  <si>
    <t>1700_2AD2</t>
  </si>
  <si>
    <t>1700_2CD2</t>
  </si>
  <si>
    <t>1700_2ED2</t>
  </si>
  <si>
    <t>1700_30D2</t>
  </si>
  <si>
    <t>1700_32D2</t>
  </si>
  <si>
    <t>1700_34D2</t>
  </si>
  <si>
    <t>1700_36D2</t>
  </si>
  <si>
    <t>1700_38D2</t>
  </si>
  <si>
    <t>1700_3AD2</t>
  </si>
  <si>
    <t>1700_3CD2</t>
  </si>
  <si>
    <t>1700_3ED2</t>
  </si>
  <si>
    <t>1700_40D2</t>
  </si>
  <si>
    <t>1700_42D2</t>
  </si>
  <si>
    <t>1700_44D2</t>
  </si>
  <si>
    <t>1700_46D2</t>
  </si>
  <si>
    <t>1700_48D2</t>
  </si>
  <si>
    <t>1700_4AD2</t>
  </si>
  <si>
    <t>1700_4CD2</t>
  </si>
  <si>
    <t>1700_4ED2</t>
  </si>
  <si>
    <t>1700_50D2</t>
  </si>
  <si>
    <t>1700_52D2</t>
  </si>
  <si>
    <t>1700_54D2</t>
  </si>
  <si>
    <t>1700_56D2</t>
  </si>
  <si>
    <t>1700_58D2</t>
  </si>
  <si>
    <t>1700_5AD2</t>
  </si>
  <si>
    <t>1700_5CD2</t>
  </si>
  <si>
    <t>1700_5ED2</t>
  </si>
  <si>
    <t>1700_60D2</t>
  </si>
  <si>
    <t>1700_62D2</t>
  </si>
  <si>
    <t>1700_64D2</t>
  </si>
  <si>
    <t>1700_66D2</t>
  </si>
  <si>
    <t>1700_68D2</t>
  </si>
  <si>
    <t>1700_6AD2</t>
  </si>
  <si>
    <t>1700_6CD2</t>
  </si>
  <si>
    <t>1700_6ED2</t>
  </si>
  <si>
    <t>1700_70D2</t>
  </si>
  <si>
    <t>1700_72D2</t>
  </si>
  <si>
    <t>1700_74D2</t>
  </si>
  <si>
    <t>1700_76D2</t>
  </si>
  <si>
    <t>1700_78D2</t>
  </si>
  <si>
    <t>1700_7AD2</t>
  </si>
  <si>
    <t>1700_7CD2</t>
  </si>
  <si>
    <t>1700_7ED2</t>
  </si>
  <si>
    <t>1700_00D3</t>
  </si>
  <si>
    <t>1700_02D3</t>
  </si>
  <si>
    <t>1700_04D3</t>
  </si>
  <si>
    <t>1700_06D3</t>
  </si>
  <si>
    <t>1700_08D3</t>
  </si>
  <si>
    <t>1700_0AD3</t>
  </si>
  <si>
    <t>1700_0CD3</t>
  </si>
  <si>
    <t>1700_0ED3</t>
  </si>
  <si>
    <t>1700_10D3</t>
  </si>
  <si>
    <t>1700_12D3</t>
  </si>
  <si>
    <t>1700_14D3</t>
  </si>
  <si>
    <t>1700_16D3</t>
  </si>
  <si>
    <t>1700_18D3</t>
  </si>
  <si>
    <t>1700_1AD3</t>
  </si>
  <si>
    <t>1700_1CD3</t>
  </si>
  <si>
    <t>1700_1ED3</t>
  </si>
  <si>
    <t>1700_20D3</t>
  </si>
  <si>
    <t>1700_22D3</t>
  </si>
  <si>
    <t>1700_24D3</t>
  </si>
  <si>
    <t>1700_26D3</t>
  </si>
  <si>
    <t>1700_28D3</t>
  </si>
  <si>
    <t>1700_2AD3</t>
  </si>
  <si>
    <t>1700_2CD3</t>
  </si>
  <si>
    <t>1700_2ED3</t>
  </si>
  <si>
    <t>1700_30D3</t>
  </si>
  <si>
    <t>1700_32D3</t>
  </si>
  <si>
    <t>1700_34D3</t>
  </si>
  <si>
    <t>1700_36D3</t>
  </si>
  <si>
    <t>1700_38D3</t>
  </si>
  <si>
    <t>1700_3AD3</t>
  </si>
  <si>
    <t>1700_3CD3</t>
  </si>
  <si>
    <t>1700_3ED3</t>
  </si>
  <si>
    <t>1700_40D3</t>
  </si>
  <si>
    <t>1700_42D3</t>
  </si>
  <si>
    <t>1700_44D3</t>
  </si>
  <si>
    <t>1700_46D3</t>
  </si>
  <si>
    <t>1700_48D3</t>
  </si>
  <si>
    <t>1700_4AD3</t>
  </si>
  <si>
    <t>1700_4CD3</t>
  </si>
  <si>
    <t>1700_4ED3</t>
  </si>
  <si>
    <t>1700_50D3</t>
  </si>
  <si>
    <t>1700_52D3</t>
  </si>
  <si>
    <t>1700_54D3</t>
  </si>
  <si>
    <t>1700_56D3</t>
  </si>
  <si>
    <t>1700_58D3</t>
  </si>
  <si>
    <t>1700_5AD3</t>
  </si>
  <si>
    <t>1700_5CD3</t>
  </si>
  <si>
    <t>1700_5ED3</t>
  </si>
  <si>
    <t>1700_60D3</t>
  </si>
  <si>
    <t>1700_62D3</t>
  </si>
  <si>
    <t>1700_64D3</t>
  </si>
  <si>
    <t>1700_66D3</t>
  </si>
  <si>
    <t>1700_68D3</t>
  </si>
  <si>
    <t>1700_6AD3</t>
  </si>
  <si>
    <t>1700_6CD3</t>
  </si>
  <si>
    <t>1700_6ED3</t>
  </si>
  <si>
    <t>1700_70D3</t>
  </si>
  <si>
    <t>1700_72D3</t>
  </si>
  <si>
    <t>1700_74D3</t>
  </si>
  <si>
    <t>1700_76D3</t>
  </si>
  <si>
    <t>1700_78D3</t>
  </si>
  <si>
    <t>1700_7AD3</t>
  </si>
  <si>
    <t>1700_7CD3</t>
  </si>
  <si>
    <t>1700_7ED3</t>
  </si>
  <si>
    <t>1700_00D4</t>
  </si>
  <si>
    <t>1700_02D4</t>
  </si>
  <si>
    <t>1700_04D4</t>
  </si>
  <si>
    <t>1700_06D4</t>
  </si>
  <si>
    <t>1700_08D4</t>
  </si>
  <si>
    <t>1700_0AD4</t>
  </si>
  <si>
    <t>1700_0CD4</t>
  </si>
  <si>
    <t>1700_0ED4</t>
  </si>
  <si>
    <t>1700_10D4</t>
  </si>
  <si>
    <t>1700_12D4</t>
  </si>
  <si>
    <t>1700_14D4</t>
  </si>
  <si>
    <t>1700_16D4</t>
  </si>
  <si>
    <t>1700_18D4</t>
  </si>
  <si>
    <t>1700_1AD4</t>
  </si>
  <si>
    <t>1700_1CD4</t>
  </si>
  <si>
    <t>1700_1ED4</t>
  </si>
  <si>
    <t>1700_20D4</t>
  </si>
  <si>
    <t>1700_22D4</t>
  </si>
  <si>
    <t>1700_24D4</t>
  </si>
  <si>
    <t>1700_26D4</t>
  </si>
  <si>
    <t>1700_28D4</t>
  </si>
  <si>
    <t>1700_2AD4</t>
  </si>
  <si>
    <t>1700_2CD4</t>
  </si>
  <si>
    <t>1700_2ED4</t>
  </si>
  <si>
    <t>1700_30D4</t>
  </si>
  <si>
    <t>1700_32D4</t>
  </si>
  <si>
    <t>1700_34D4</t>
  </si>
  <si>
    <t>1700_36D4</t>
  </si>
  <si>
    <t>1700_38D4</t>
  </si>
  <si>
    <t>1700_3AD4</t>
  </si>
  <si>
    <t>1700_3CD4</t>
  </si>
  <si>
    <t>1700_3ED4</t>
  </si>
  <si>
    <t>1700_40D4</t>
  </si>
  <si>
    <t>1700_42D4</t>
  </si>
  <si>
    <t>1700_44D4</t>
  </si>
  <si>
    <t>1700_46D4</t>
  </si>
  <si>
    <t>1700_48D4</t>
  </si>
  <si>
    <t>1700_4AD4</t>
  </si>
  <si>
    <t>1700_4CD4</t>
  </si>
  <si>
    <t>1700_4ED4</t>
  </si>
  <si>
    <t>1700_50D4</t>
  </si>
  <si>
    <t>1700_52D4</t>
  </si>
  <si>
    <t>1700_54D4</t>
  </si>
  <si>
    <t>1700_56D4</t>
  </si>
  <si>
    <t>1700_58D4</t>
  </si>
  <si>
    <t>1700_5AD4</t>
  </si>
  <si>
    <t>1700_5CD4</t>
  </si>
  <si>
    <t>1700_5ED4</t>
  </si>
  <si>
    <t>1700_60D4</t>
  </si>
  <si>
    <t>1700_62D4</t>
  </si>
  <si>
    <t>1700_64D4</t>
  </si>
  <si>
    <t>1700_66D4</t>
  </si>
  <si>
    <t>1700_68D4</t>
  </si>
  <si>
    <t>1700_6AD4</t>
  </si>
  <si>
    <t>1700_6CD4</t>
  </si>
  <si>
    <t>1700_6ED4</t>
  </si>
  <si>
    <t>1700_70D4</t>
  </si>
  <si>
    <t>1700_72D4</t>
  </si>
  <si>
    <t>1700_74D4</t>
  </si>
  <si>
    <t>1700_76D4</t>
  </si>
  <si>
    <t>1700_78D4</t>
  </si>
  <si>
    <t>1700_7AD4</t>
  </si>
  <si>
    <t>1700_7CD4</t>
  </si>
  <si>
    <t>1700_7ED4</t>
  </si>
  <si>
    <t>1700_00D5</t>
  </si>
  <si>
    <t>1700_02D5</t>
  </si>
  <si>
    <t>1700_04D5</t>
  </si>
  <si>
    <t>1700_06D5</t>
  </si>
  <si>
    <t>1700_08D5</t>
  </si>
  <si>
    <t>1700_0AD5</t>
  </si>
  <si>
    <t>1700_0CD5</t>
  </si>
  <si>
    <t>1700_0ED5</t>
  </si>
  <si>
    <t>1700_10D5</t>
  </si>
  <si>
    <t>1700_12D5</t>
  </si>
  <si>
    <t>1700_14D5</t>
  </si>
  <si>
    <t>1700_16D5</t>
  </si>
  <si>
    <t>1700_18D5</t>
  </si>
  <si>
    <t>1700_1AD5</t>
  </si>
  <si>
    <t>1700_1CD5</t>
  </si>
  <si>
    <t>1700_1ED5</t>
  </si>
  <si>
    <t>1700_20D5</t>
  </si>
  <si>
    <t>1700_22D5</t>
  </si>
  <si>
    <t>1700_24D5</t>
  </si>
  <si>
    <t>1700_26D5</t>
  </si>
  <si>
    <t>1700_28D5</t>
  </si>
  <si>
    <t>1700_2AD5</t>
  </si>
  <si>
    <t>1700_2CD5</t>
  </si>
  <si>
    <t>1700_2ED5</t>
  </si>
  <si>
    <t>1700_30D5</t>
  </si>
  <si>
    <t>1700_32D5</t>
  </si>
  <si>
    <t>1700_34D5</t>
  </si>
  <si>
    <t>1700_36D5</t>
  </si>
  <si>
    <t>1700_38D5</t>
  </si>
  <si>
    <t>1700_3AD5</t>
  </si>
  <si>
    <t>1700_3CD5</t>
  </si>
  <si>
    <t>1700_3ED5</t>
  </si>
  <si>
    <t>1700_40D5</t>
  </si>
  <si>
    <t>1700_42D5</t>
  </si>
  <si>
    <t>1700_44D5</t>
  </si>
  <si>
    <t>1700_46D5</t>
  </si>
  <si>
    <t>1700_48D5</t>
  </si>
  <si>
    <t>1700_4AD5</t>
  </si>
  <si>
    <t>1700_4CD5</t>
  </si>
  <si>
    <t>1700_4ED5</t>
  </si>
  <si>
    <t>1700_50D5</t>
  </si>
  <si>
    <t>1700_52D5</t>
  </si>
  <si>
    <t>1700_54D5</t>
  </si>
  <si>
    <t>1700_56D5</t>
  </si>
  <si>
    <t>1700_58D5</t>
  </si>
  <si>
    <t>1700_5AD5</t>
  </si>
  <si>
    <t>1700_5CD5</t>
  </si>
  <si>
    <t>1700_5ED5</t>
  </si>
  <si>
    <t>1700_60D5</t>
  </si>
  <si>
    <t>1700_62D5</t>
  </si>
  <si>
    <t>1700_64D5</t>
  </si>
  <si>
    <t>1700_66D5</t>
  </si>
  <si>
    <t>1700_68D5</t>
  </si>
  <si>
    <t>1700_6AD5</t>
  </si>
  <si>
    <t>1700_6CD5</t>
  </si>
  <si>
    <t>1700_6ED5</t>
  </si>
  <si>
    <t>1700_70D5</t>
  </si>
  <si>
    <t>1700_72D5</t>
  </si>
  <si>
    <t>1700_74D5</t>
  </si>
  <si>
    <t>1700_76D5</t>
  </si>
  <si>
    <t>1700_78D5</t>
  </si>
  <si>
    <t>1700_7AD5</t>
  </si>
  <si>
    <t>1700_7CD5</t>
  </si>
  <si>
    <t>1700_7ED5</t>
  </si>
  <si>
    <t>1700_00D6</t>
  </si>
  <si>
    <t>1700_02D6</t>
  </si>
  <si>
    <t>1700_04D6</t>
  </si>
  <si>
    <t>1700_06D6</t>
  </si>
  <si>
    <t>1700_08D6</t>
  </si>
  <si>
    <t>1700_0AD6</t>
  </si>
  <si>
    <t>1700_0CD6</t>
  </si>
  <si>
    <t>1700_0ED6</t>
  </si>
  <si>
    <t>1700_10D6</t>
  </si>
  <si>
    <t>1700_12D6</t>
  </si>
  <si>
    <t>1700_14D6</t>
  </si>
  <si>
    <t>1700_16D6</t>
  </si>
  <si>
    <t>1700_18D6</t>
  </si>
  <si>
    <t>1700_1AD6</t>
  </si>
  <si>
    <t>1700_1CD6</t>
  </si>
  <si>
    <t>1700_1ED6</t>
  </si>
  <si>
    <t>1700_20D6</t>
  </si>
  <si>
    <t>1700_22D6</t>
  </si>
  <si>
    <t>1700_24D6</t>
  </si>
  <si>
    <t>1700_26D6</t>
  </si>
  <si>
    <t>1700_28D6</t>
  </si>
  <si>
    <t>1700_2AD6</t>
  </si>
  <si>
    <t>1700_2CD6</t>
  </si>
  <si>
    <t>1700_2ED6</t>
  </si>
  <si>
    <t>1700_30D6</t>
  </si>
  <si>
    <t>1700_32D6</t>
  </si>
  <si>
    <t>1700_34D6</t>
  </si>
  <si>
    <t>1700_36D6</t>
  </si>
  <si>
    <t>1700_38D6</t>
  </si>
  <si>
    <t>1700_3AD6</t>
  </si>
  <si>
    <t>1700_3CD6</t>
  </si>
  <si>
    <t>1700_3ED6</t>
  </si>
  <si>
    <t>1700_40D6</t>
  </si>
  <si>
    <t>1700_42D6</t>
  </si>
  <si>
    <t>1700_44D6</t>
  </si>
  <si>
    <t>1700_46D6</t>
  </si>
  <si>
    <t>1700_48D6</t>
  </si>
  <si>
    <t>1700_4AD6</t>
  </si>
  <si>
    <t>1700_4CD6</t>
  </si>
  <si>
    <t>1700_4ED6</t>
  </si>
  <si>
    <t>1700_50D6</t>
  </si>
  <si>
    <t>1700_52D6</t>
  </si>
  <si>
    <t>1700_54D6</t>
  </si>
  <si>
    <t>1700_56D6</t>
  </si>
  <si>
    <t>1700_58D6</t>
  </si>
  <si>
    <t>1700_5AD6</t>
  </si>
  <si>
    <t>1700_5CD6</t>
  </si>
  <si>
    <t>1700_5ED6</t>
  </si>
  <si>
    <t>1700_60D6</t>
  </si>
  <si>
    <t>1700_62D6</t>
  </si>
  <si>
    <t>1700_64D6</t>
  </si>
  <si>
    <t>1700_66D6</t>
  </si>
  <si>
    <t>1700_68D6</t>
  </si>
  <si>
    <t>1700_6AD6</t>
  </si>
  <si>
    <t>1700_6CD6</t>
  </si>
  <si>
    <t>1700_6ED6</t>
  </si>
  <si>
    <t>1700_70D6</t>
  </si>
  <si>
    <t>1700_72D6</t>
  </si>
  <si>
    <t>1700_74D6</t>
  </si>
  <si>
    <t>1700_76D6</t>
  </si>
  <si>
    <t>1700_78D6</t>
  </si>
  <si>
    <t>1700_7AD6</t>
  </si>
  <si>
    <t>1700_7CD6</t>
  </si>
  <si>
    <t>1700_7ED6</t>
  </si>
  <si>
    <t>1700_00D7</t>
  </si>
  <si>
    <t>1700_02D7</t>
  </si>
  <si>
    <t>1700_04D7</t>
  </si>
  <si>
    <t>1700_06D7</t>
  </si>
  <si>
    <t>1700_08D7</t>
  </si>
  <si>
    <t>1700_0AD7</t>
  </si>
  <si>
    <t>1700_0CD7</t>
  </si>
  <si>
    <t>1700_0ED7</t>
  </si>
  <si>
    <t>1700_10D7</t>
  </si>
  <si>
    <t>1700_12D7</t>
  </si>
  <si>
    <t>1700_14D7</t>
  </si>
  <si>
    <t>1700_16D7</t>
  </si>
  <si>
    <t>1700_18D7</t>
  </si>
  <si>
    <t>1700_1AD7</t>
  </si>
  <si>
    <t>1700_1CD7</t>
  </si>
  <si>
    <t>1700_1ED7</t>
  </si>
  <si>
    <t>1700_20D7</t>
  </si>
  <si>
    <t>1700_22D7</t>
  </si>
  <si>
    <t>1700_24D7</t>
  </si>
  <si>
    <t>1700_26D7</t>
  </si>
  <si>
    <t>1700_28D7</t>
  </si>
  <si>
    <t>1700_2AD7</t>
  </si>
  <si>
    <t>1700_2CD7</t>
  </si>
  <si>
    <t>1700_2ED7</t>
  </si>
  <si>
    <t>1700_30D7</t>
  </si>
  <si>
    <t>1700_32D7</t>
  </si>
  <si>
    <t>1700_34D7</t>
  </si>
  <si>
    <t>1700_36D7</t>
  </si>
  <si>
    <t>1700_38D7</t>
  </si>
  <si>
    <t>1700_3AD7</t>
  </si>
  <si>
    <t>1700_3CD7</t>
  </si>
  <si>
    <t>1700_3ED7</t>
  </si>
  <si>
    <t>1700_40D7</t>
  </si>
  <si>
    <t>1700_42D7</t>
  </si>
  <si>
    <t>1700_44D7</t>
  </si>
  <si>
    <t>1700_46D7</t>
  </si>
  <si>
    <t>1700_48D7</t>
  </si>
  <si>
    <t>1700_4AD7</t>
  </si>
  <si>
    <t>1700_4CD7</t>
  </si>
  <si>
    <t>1700_4ED7</t>
  </si>
  <si>
    <t>1700_50D7</t>
  </si>
  <si>
    <t>1700_52D7</t>
  </si>
  <si>
    <t>1700_54D7</t>
  </si>
  <si>
    <t>1700_56D7</t>
  </si>
  <si>
    <t>1700_58D7</t>
  </si>
  <si>
    <t>1700_5AD7</t>
  </si>
  <si>
    <t>1700_5CD7</t>
  </si>
  <si>
    <t>1700_5ED7</t>
  </si>
  <si>
    <t>1700_60D7</t>
  </si>
  <si>
    <t>1700_62D7</t>
  </si>
  <si>
    <t>1700_64D7</t>
  </si>
  <si>
    <t>1700_66D7</t>
  </si>
  <si>
    <t>1700_68D7</t>
  </si>
  <si>
    <t>1700_6AD7</t>
  </si>
  <si>
    <t>1700_6CD7</t>
  </si>
  <si>
    <t>1700_6ED7</t>
  </si>
  <si>
    <t>1700_70D7</t>
  </si>
  <si>
    <t>1700_72D7</t>
  </si>
  <si>
    <t>1700_74D7</t>
  </si>
  <si>
    <t>1700_76D7</t>
  </si>
  <si>
    <t>1700_78D7</t>
  </si>
  <si>
    <t>1700_7AD7</t>
  </si>
  <si>
    <t>1700_7CD7</t>
  </si>
  <si>
    <t>1700_7ED7</t>
  </si>
  <si>
    <t>1700_00D8</t>
  </si>
  <si>
    <t>1700_02D8</t>
  </si>
  <si>
    <t>1700_04D8</t>
  </si>
  <si>
    <t>1700_06D8</t>
  </si>
  <si>
    <t>1700_08D8</t>
  </si>
  <si>
    <t>1700_0AD8</t>
  </si>
  <si>
    <t>1700_0CD8</t>
  </si>
  <si>
    <t>1700_0ED8</t>
  </si>
  <si>
    <t>1700_10D8</t>
  </si>
  <si>
    <t>1700_12D8</t>
  </si>
  <si>
    <t>1700_14D8</t>
  </si>
  <si>
    <t>1700_16D8</t>
  </si>
  <si>
    <t>1700_18D8</t>
  </si>
  <si>
    <t>1700_1AD8</t>
  </si>
  <si>
    <t>1700_1CD8</t>
  </si>
  <si>
    <t>1700_1ED8</t>
  </si>
  <si>
    <t>1700_20D8</t>
  </si>
  <si>
    <t>1700_22D8</t>
  </si>
  <si>
    <t>1700_24D8</t>
  </si>
  <si>
    <t>1700_26D8</t>
  </si>
  <si>
    <t>1700_28D8</t>
  </si>
  <si>
    <t>1700_2AD8</t>
  </si>
  <si>
    <t>1700_2CD8</t>
  </si>
  <si>
    <t>1700_2ED8</t>
  </si>
  <si>
    <t>1700_30D8</t>
  </si>
  <si>
    <t>1700_32D8</t>
  </si>
  <si>
    <t>1700_34D8</t>
  </si>
  <si>
    <t>1700_36D8</t>
  </si>
  <si>
    <t>1700_38D8</t>
  </si>
  <si>
    <t>1700_3AD8</t>
  </si>
  <si>
    <t>1700_3CD8</t>
  </si>
  <si>
    <t>1700_3ED8</t>
  </si>
  <si>
    <t>1700_40D8</t>
  </si>
  <si>
    <t>1700_42D8</t>
  </si>
  <si>
    <t>1700_44D8</t>
  </si>
  <si>
    <t>1700_46D8</t>
  </si>
  <si>
    <t>1700_48D8</t>
  </si>
  <si>
    <t>1700_4AD8</t>
  </si>
  <si>
    <t>1700_4CD8</t>
  </si>
  <si>
    <t>1700_4ED8</t>
  </si>
  <si>
    <t>1700_50D8</t>
  </si>
  <si>
    <t>1700_52D8</t>
  </si>
  <si>
    <t>1700_54D8</t>
  </si>
  <si>
    <t>1700_56D8</t>
  </si>
  <si>
    <t>1700_58D8</t>
  </si>
  <si>
    <t>1700_5AD8</t>
  </si>
  <si>
    <t>1700_5CD8</t>
  </si>
  <si>
    <t>1700_5ED8</t>
  </si>
  <si>
    <t>1700_60D8</t>
  </si>
  <si>
    <t>1700_62D8</t>
  </si>
  <si>
    <t>1700_64D8</t>
  </si>
  <si>
    <t>1700_66D8</t>
  </si>
  <si>
    <t>1700_68D8</t>
  </si>
  <si>
    <t>1700_6AD8</t>
  </si>
  <si>
    <t>1700_6CD8</t>
  </si>
  <si>
    <t>1700_6ED8</t>
  </si>
  <si>
    <t>1700_70D8</t>
  </si>
  <si>
    <t>1700_72D8</t>
  </si>
  <si>
    <t>1700_74D8</t>
  </si>
  <si>
    <t>1700_76D8</t>
  </si>
  <si>
    <t>1700_78D8</t>
  </si>
  <si>
    <t>1700_7AD8</t>
  </si>
  <si>
    <t>1700_7CD8</t>
  </si>
  <si>
    <t>1700_7ED8</t>
  </si>
  <si>
    <t>1700_00D9</t>
  </si>
  <si>
    <t>1700_02D9</t>
  </si>
  <si>
    <t>1700_04D9</t>
  </si>
  <si>
    <t>1700_06D9</t>
  </si>
  <si>
    <t>1700_08D9</t>
  </si>
  <si>
    <t>1700_0AD9</t>
  </si>
  <si>
    <t>1700_0CD9</t>
  </si>
  <si>
    <t>1700_0ED9</t>
  </si>
  <si>
    <t>1700_10D9</t>
  </si>
  <si>
    <t>1700_12D9</t>
  </si>
  <si>
    <t>1700_14D9</t>
  </si>
  <si>
    <t>1700_16D9</t>
  </si>
  <si>
    <t>1700_18D9</t>
  </si>
  <si>
    <t>1700_1AD9</t>
  </si>
  <si>
    <t>1700_1CD9</t>
  </si>
  <si>
    <t>1700_1ED9</t>
  </si>
  <si>
    <t>1700_20D9</t>
  </si>
  <si>
    <t>1700_22D9</t>
  </si>
  <si>
    <t>1700_24D9</t>
  </si>
  <si>
    <t>1700_26D9</t>
  </si>
  <si>
    <t>1700_28D9</t>
  </si>
  <si>
    <t>1700_2AD9</t>
  </si>
  <si>
    <t>1700_2CD9</t>
  </si>
  <si>
    <t>1700_2ED9</t>
  </si>
  <si>
    <t>1700_30D9</t>
  </si>
  <si>
    <t>1700_32D9</t>
  </si>
  <si>
    <t>1700_34D9</t>
  </si>
  <si>
    <t>1700_36D9</t>
  </si>
  <si>
    <t>1700_38D9</t>
  </si>
  <si>
    <t>1700_3AD9</t>
  </si>
  <si>
    <t>1700_3CD9</t>
  </si>
  <si>
    <t>1700_3ED9</t>
  </si>
  <si>
    <t>1700_40D9</t>
  </si>
  <si>
    <t>1700_42D9</t>
  </si>
  <si>
    <t>1700_44D9</t>
  </si>
  <si>
    <t>1700_46D9</t>
  </si>
  <si>
    <t>1700_48D9</t>
  </si>
  <si>
    <t>1700_4AD9</t>
  </si>
  <si>
    <t>1700_4CD9</t>
  </si>
  <si>
    <t>1700_4ED9</t>
  </si>
  <si>
    <t>1700_50D9</t>
  </si>
  <si>
    <t>1700_52D9</t>
  </si>
  <si>
    <t>1700_54D9</t>
  </si>
  <si>
    <t>1700_56D9</t>
  </si>
  <si>
    <t>1700_58D9</t>
  </si>
  <si>
    <t>1700_5AD9</t>
  </si>
  <si>
    <t>1700_5CD9</t>
  </si>
  <si>
    <t>1700_5ED9</t>
  </si>
  <si>
    <t>1700_60D9</t>
  </si>
  <si>
    <t>1700_62D9</t>
  </si>
  <si>
    <t>1700_64D9</t>
  </si>
  <si>
    <t>1700_66D9</t>
  </si>
  <si>
    <t>1700_68D9</t>
  </si>
  <si>
    <t>1700_6AD9</t>
  </si>
  <si>
    <t>1700_6CD9</t>
  </si>
  <si>
    <t>1700_6ED9</t>
  </si>
  <si>
    <t>1700_70D9</t>
  </si>
  <si>
    <t>1700_72D9</t>
  </si>
  <si>
    <t>1700_74D9</t>
  </si>
  <si>
    <t>1700_76D9</t>
  </si>
  <si>
    <t>1700_78D9</t>
  </si>
  <si>
    <t>1700_7AD9</t>
  </si>
  <si>
    <t>1700_7CD9</t>
  </si>
  <si>
    <t>1700_7ED9</t>
  </si>
  <si>
    <t>1700_00DA</t>
  </si>
  <si>
    <t>1700_02DA</t>
  </si>
  <si>
    <t>1700_04DA</t>
  </si>
  <si>
    <t>1700_06DA</t>
  </si>
  <si>
    <t>1700_08DA</t>
  </si>
  <si>
    <t>1700_0ADA</t>
  </si>
  <si>
    <t>1700_0CDA</t>
  </si>
  <si>
    <t>1700_0EDA</t>
  </si>
  <si>
    <t>1700_10DA</t>
  </si>
  <si>
    <t>1700_12DA</t>
  </si>
  <si>
    <t>1700_14DA</t>
  </si>
  <si>
    <t>1700_16DA</t>
  </si>
  <si>
    <t>1700_18DA</t>
  </si>
  <si>
    <t>1700_1ADA</t>
  </si>
  <si>
    <t>1700_1CDA</t>
  </si>
  <si>
    <t>1700_1EDA</t>
  </si>
  <si>
    <t>1700_20DA</t>
  </si>
  <si>
    <t>1700_22DA</t>
  </si>
  <si>
    <t>1700_24DA</t>
  </si>
  <si>
    <t>1700_26DA</t>
  </si>
  <si>
    <t>1700_28DA</t>
  </si>
  <si>
    <t>1700_2ADA</t>
  </si>
  <si>
    <t>1700_2CDA</t>
  </si>
  <si>
    <t>1700_2EDA</t>
  </si>
  <si>
    <t>1700_30DA</t>
  </si>
  <si>
    <t>1700_32DA</t>
  </si>
  <si>
    <t>1700_34DA</t>
  </si>
  <si>
    <t>1700_36DA</t>
  </si>
  <si>
    <t>1700_38DA</t>
  </si>
  <si>
    <t>1700_3ADA</t>
  </si>
  <si>
    <t>1700_3CDA</t>
  </si>
  <si>
    <t>1700_3EDA</t>
  </si>
  <si>
    <t>1700_40DA</t>
  </si>
  <si>
    <t>1700_42DA</t>
  </si>
  <si>
    <t>1700_44DA</t>
  </si>
  <si>
    <t>1700_46DA</t>
  </si>
  <si>
    <t>1700_48DA</t>
  </si>
  <si>
    <t>1700_4ADA</t>
  </si>
  <si>
    <t>1700_4CDA</t>
  </si>
  <si>
    <t>1700_4EDA</t>
  </si>
  <si>
    <t>1700_50DA</t>
  </si>
  <si>
    <t>1700_52DA</t>
  </si>
  <si>
    <t>1700_54DA</t>
  </si>
  <si>
    <t>1700_56DA</t>
  </si>
  <si>
    <t>1700_58DA</t>
  </si>
  <si>
    <t>1700_5ADA</t>
  </si>
  <si>
    <t>1700_5CDA</t>
  </si>
  <si>
    <t>1700_5EDA</t>
  </si>
  <si>
    <t>1700_60DA</t>
  </si>
  <si>
    <t>1700_62DA</t>
  </si>
  <si>
    <t>1700_64DA</t>
  </si>
  <si>
    <t>1700_66DA</t>
  </si>
  <si>
    <t>1700_68DA</t>
  </si>
  <si>
    <t>1700_6ADA</t>
  </si>
  <si>
    <t>1700_6CDA</t>
  </si>
  <si>
    <t>1700_6EDA</t>
  </si>
  <si>
    <t>1700_70DA</t>
  </si>
  <si>
    <t>1700_72DA</t>
  </si>
  <si>
    <t>1700_74DA</t>
  </si>
  <si>
    <t>1700_76DA</t>
  </si>
  <si>
    <t>1700_78DA</t>
  </si>
  <si>
    <t>1700_7ADA</t>
  </si>
  <si>
    <t>1700_7CDA</t>
  </si>
  <si>
    <t>1700_7EDA</t>
  </si>
  <si>
    <t>1700_00DB</t>
  </si>
  <si>
    <t>1700_02DB</t>
  </si>
  <si>
    <t>1700_04DB</t>
  </si>
  <si>
    <t>1700_06DB</t>
  </si>
  <si>
    <t>1700_08DB</t>
  </si>
  <si>
    <t>1700_0ADB</t>
  </si>
  <si>
    <t>1700_0CDB</t>
  </si>
  <si>
    <t>1700_0EDB</t>
  </si>
  <si>
    <t>1700_10DB</t>
  </si>
  <si>
    <t>1700_12DB</t>
  </si>
  <si>
    <t>1700_14DB</t>
  </si>
  <si>
    <t>1700_16DB</t>
  </si>
  <si>
    <t>1700_18DB</t>
  </si>
  <si>
    <t>1700_1ADB</t>
  </si>
  <si>
    <t>1700_1CDB</t>
  </si>
  <si>
    <t>1700_1EDB</t>
  </si>
  <si>
    <t>1700_20DB</t>
  </si>
  <si>
    <t>1700_22DB</t>
  </si>
  <si>
    <t>1700_24DB</t>
  </si>
  <si>
    <t>1700_26DB</t>
  </si>
  <si>
    <t>1700_28DB</t>
  </si>
  <si>
    <t>1700_2ADB</t>
  </si>
  <si>
    <t>1700_2CDB</t>
  </si>
  <si>
    <t>1700_2EDB</t>
  </si>
  <si>
    <t>1700_30DB</t>
  </si>
  <si>
    <t>1700_32DB</t>
  </si>
  <si>
    <t>1700_34DB</t>
  </si>
  <si>
    <t>1700_36DB</t>
  </si>
  <si>
    <t>1700_38DB</t>
  </si>
  <si>
    <t>1700_3ADB</t>
  </si>
  <si>
    <t>1700_3CDB</t>
  </si>
  <si>
    <t>1700_3EDB</t>
  </si>
  <si>
    <t>1700_40DB</t>
  </si>
  <si>
    <t>1700_42DB</t>
  </si>
  <si>
    <t>1700_44DB</t>
  </si>
  <si>
    <t>1700_46DB</t>
  </si>
  <si>
    <t>1700_48DB</t>
  </si>
  <si>
    <t>1700_4ADB</t>
  </si>
  <si>
    <t>1700_4CDB</t>
  </si>
  <si>
    <t>1700_4EDB</t>
  </si>
  <si>
    <t>1700_50DB</t>
  </si>
  <si>
    <t>1700_52DB</t>
  </si>
  <si>
    <t>1700_54DB</t>
  </si>
  <si>
    <t>1700_56DB</t>
  </si>
  <si>
    <t>1700_58DB</t>
  </si>
  <si>
    <t>1700_5ADB</t>
  </si>
  <si>
    <t>1700_5CDB</t>
  </si>
  <si>
    <t>1700_5EDB</t>
  </si>
  <si>
    <t>1700_60DB</t>
  </si>
  <si>
    <t>1700_62DB</t>
  </si>
  <si>
    <t>1700_64DB</t>
  </si>
  <si>
    <t>1700_66DB</t>
  </si>
  <si>
    <t>1700_68DB</t>
  </si>
  <si>
    <t>1700_6ADB</t>
  </si>
  <si>
    <t>1700_6CDB</t>
  </si>
  <si>
    <t>1700_6EDB</t>
  </si>
  <si>
    <t>1700_70DB</t>
  </si>
  <si>
    <t>1700_72DB</t>
  </si>
  <si>
    <t>1700_74DB</t>
  </si>
  <si>
    <t>1700_76DB</t>
  </si>
  <si>
    <t>1700_78DB</t>
  </si>
  <si>
    <t>1700_7ADB</t>
  </si>
  <si>
    <t>1700_7CDB</t>
  </si>
  <si>
    <t>1700_7EDB</t>
  </si>
  <si>
    <t>1700_00DC</t>
  </si>
  <si>
    <t>1700_02DC</t>
  </si>
  <si>
    <t>1700_04DC</t>
  </si>
  <si>
    <t>1700_06DC</t>
  </si>
  <si>
    <t>1700_08DC</t>
  </si>
  <si>
    <t>1700_0ADC</t>
  </si>
  <si>
    <t>1700_0CDC</t>
  </si>
  <si>
    <t>1700_0EDC</t>
  </si>
  <si>
    <t>1700_10DC</t>
  </si>
  <si>
    <t>1700_12DC</t>
  </si>
  <si>
    <t>1700_14DC</t>
  </si>
  <si>
    <t>1700_16DC</t>
  </si>
  <si>
    <t>1700_18DC</t>
  </si>
  <si>
    <t>1700_1ADC</t>
  </si>
  <si>
    <t>1700_1CDC</t>
  </si>
  <si>
    <t>1700_1EDC</t>
  </si>
  <si>
    <t>1700_20DC</t>
  </si>
  <si>
    <t>1700_22DC</t>
  </si>
  <si>
    <t>1700_24DC</t>
  </si>
  <si>
    <t>1700_26DC</t>
  </si>
  <si>
    <t>1700_28DC</t>
  </si>
  <si>
    <t>1700_2ADC</t>
  </si>
  <si>
    <t>1700_2CDC</t>
  </si>
  <si>
    <t>1700_2EDC</t>
  </si>
  <si>
    <t>1700_30DC</t>
  </si>
  <si>
    <t>1700_32DC</t>
  </si>
  <si>
    <t>1700_34DC</t>
  </si>
  <si>
    <t>1700_36DC</t>
  </si>
  <si>
    <t>1700_38DC</t>
  </si>
  <si>
    <t>1700_3ADC</t>
  </si>
  <si>
    <t>1700_3CDC</t>
  </si>
  <si>
    <t>1700_3EDC</t>
  </si>
  <si>
    <t>1700_40DC</t>
  </si>
  <si>
    <t>1700_42DC</t>
  </si>
  <si>
    <t>1700_44DC</t>
  </si>
  <si>
    <t>1700_46DC</t>
  </si>
  <si>
    <t>1700_48DC</t>
  </si>
  <si>
    <t>1700_4ADC</t>
  </si>
  <si>
    <t>1700_4CDC</t>
  </si>
  <si>
    <t>1700_4EDC</t>
  </si>
  <si>
    <t>1700_50DC</t>
  </si>
  <si>
    <t>1700_52DC</t>
  </si>
  <si>
    <t>1700_54DC</t>
  </si>
  <si>
    <t>1700_56DC</t>
  </si>
  <si>
    <t>1700_58DC</t>
  </si>
  <si>
    <t>1700_5ADC</t>
  </si>
  <si>
    <t>1700_5CDC</t>
  </si>
  <si>
    <t>1700_5EDC</t>
  </si>
  <si>
    <t>1700_60DC</t>
  </si>
  <si>
    <t>1700_62DC</t>
  </si>
  <si>
    <t>1700_64DC</t>
  </si>
  <si>
    <t>1700_66DC</t>
  </si>
  <si>
    <t>1700_68DC</t>
  </si>
  <si>
    <t>1700_6ADC</t>
  </si>
  <si>
    <t>1700_6CDC</t>
  </si>
  <si>
    <t>1700_6EDC</t>
  </si>
  <si>
    <t>1700_70DC</t>
  </si>
  <si>
    <t>1700_72DC</t>
  </si>
  <si>
    <t>1700_74DC</t>
  </si>
  <si>
    <t>1700_76DC</t>
  </si>
  <si>
    <t>1700_78DC</t>
  </si>
  <si>
    <t>1700_7ADC</t>
  </si>
  <si>
    <t>1700_7CDC</t>
  </si>
  <si>
    <t>1700_7EDC</t>
  </si>
  <si>
    <t>1700_00DD</t>
  </si>
  <si>
    <t>1700_02DD</t>
  </si>
  <si>
    <t>1700_04DD</t>
  </si>
  <si>
    <t>1700_06DD</t>
  </si>
  <si>
    <t>1700_08DD</t>
  </si>
  <si>
    <t>1700_0ADD</t>
  </si>
  <si>
    <t>1700_0CDD</t>
  </si>
  <si>
    <t>1700_0EDD</t>
  </si>
  <si>
    <t>1700_10DD</t>
  </si>
  <si>
    <t>1700_12DD</t>
  </si>
  <si>
    <t>1700_14DD</t>
  </si>
  <si>
    <t>1700_16DD</t>
  </si>
  <si>
    <t>1700_18DD</t>
  </si>
  <si>
    <t>1700_1ADD</t>
  </si>
  <si>
    <t>1700_1CDD</t>
  </si>
  <si>
    <t>1700_1EDD</t>
  </si>
  <si>
    <t>1700_20DD</t>
  </si>
  <si>
    <t>1700_22DD</t>
  </si>
  <si>
    <t>1700_24DD</t>
  </si>
  <si>
    <t>1700_26DD</t>
  </si>
  <si>
    <t>1700_28DD</t>
  </si>
  <si>
    <t>1700_2ADD</t>
  </si>
  <si>
    <t>1700_2CDD</t>
  </si>
  <si>
    <t>1700_2EDD</t>
  </si>
  <si>
    <t>1700_30DD</t>
  </si>
  <si>
    <t>1700_32DD</t>
  </si>
  <si>
    <t>1700_34DD</t>
  </si>
  <si>
    <t>1700_36DD</t>
  </si>
  <si>
    <t>1700_38DD</t>
  </si>
  <si>
    <t>1700_3ADD</t>
  </si>
  <si>
    <t>1700_3CDD</t>
  </si>
  <si>
    <t>1700_3EDD</t>
  </si>
  <si>
    <t>1700_40DD</t>
  </si>
  <si>
    <t>1700_42DD</t>
  </si>
  <si>
    <t>1700_44DD</t>
  </si>
  <si>
    <t>1700_46DD</t>
  </si>
  <si>
    <t>1700_48DD</t>
  </si>
  <si>
    <t>1700_4ADD</t>
  </si>
  <si>
    <t>1700_4CDD</t>
  </si>
  <si>
    <t>1700_4EDD</t>
  </si>
  <si>
    <t>1700_50DD</t>
  </si>
  <si>
    <t>1700_52DD</t>
  </si>
  <si>
    <t>1700_54DD</t>
  </si>
  <si>
    <t>1700_56DD</t>
  </si>
  <si>
    <t>1700_58DD</t>
  </si>
  <si>
    <t>1700_5ADD</t>
  </si>
  <si>
    <t>1700_5CDD</t>
  </si>
  <si>
    <t>1700_5EDD</t>
  </si>
  <si>
    <t>1700_60DD</t>
  </si>
  <si>
    <t>1700_62DD</t>
  </si>
  <si>
    <t>1700_64DD</t>
  </si>
  <si>
    <t>1700_66DD</t>
  </si>
  <si>
    <t>1700_68DD</t>
  </si>
  <si>
    <t>1700_6ADD</t>
  </si>
  <si>
    <t>1700_6CDD</t>
  </si>
  <si>
    <t>1700_6EDD</t>
  </si>
  <si>
    <t>1700_70DD</t>
  </si>
  <si>
    <t>1700_72DD</t>
  </si>
  <si>
    <t>1700_74DD</t>
  </si>
  <si>
    <t>1700_76DD</t>
  </si>
  <si>
    <t>1700_78DD</t>
  </si>
  <si>
    <t>1700_7ADD</t>
  </si>
  <si>
    <t>1700_7CDD</t>
  </si>
  <si>
    <t>1700_7EDD</t>
  </si>
  <si>
    <t>1700_00DE</t>
  </si>
  <si>
    <t>1700_02DE</t>
  </si>
  <si>
    <t>1700_04DE</t>
  </si>
  <si>
    <t>1700_06DE</t>
  </si>
  <si>
    <t>1700_08DE</t>
  </si>
  <si>
    <t>1700_0ADE</t>
  </si>
  <si>
    <t>1700_0CDE</t>
  </si>
  <si>
    <t>1700_0EDE</t>
  </si>
  <si>
    <t>1700_10DE</t>
  </si>
  <si>
    <t>1700_12DE</t>
  </si>
  <si>
    <t>1700_14DE</t>
  </si>
  <si>
    <t>1700_16DE</t>
  </si>
  <si>
    <t>1700_18DE</t>
  </si>
  <si>
    <t>1700_1ADE</t>
  </si>
  <si>
    <t>1700_1CDE</t>
  </si>
  <si>
    <t>1700_1EDE</t>
  </si>
  <si>
    <t>1700_20DE</t>
  </si>
  <si>
    <t>1700_22DE</t>
  </si>
  <si>
    <t>1700_24DE</t>
  </si>
  <si>
    <t>1700_26DE</t>
  </si>
  <si>
    <t>1700_28DE</t>
  </si>
  <si>
    <t>1700_2ADE</t>
  </si>
  <si>
    <t>1700_2CDE</t>
  </si>
  <si>
    <t>1700_2EDE</t>
  </si>
  <si>
    <t>1700_30DE</t>
  </si>
  <si>
    <t>1700_32DE</t>
  </si>
  <si>
    <t>1700_34DE</t>
  </si>
  <si>
    <t>1700_36DE</t>
  </si>
  <si>
    <t>1700_38DE</t>
  </si>
  <si>
    <t>1700_3ADE</t>
  </si>
  <si>
    <t>1700_3CDE</t>
  </si>
  <si>
    <t>1700_3EDE</t>
  </si>
  <si>
    <t>1700_40DE</t>
  </si>
  <si>
    <t>1700_42DE</t>
  </si>
  <si>
    <t>1700_44DE</t>
  </si>
  <si>
    <t>1700_46DE</t>
  </si>
  <si>
    <t>1700_48DE</t>
  </si>
  <si>
    <t>1700_4ADE</t>
  </si>
  <si>
    <t>1700_4CDE</t>
  </si>
  <si>
    <t>1700_4EDE</t>
  </si>
  <si>
    <t>1700_50DE</t>
  </si>
  <si>
    <t>1700_52DE</t>
  </si>
  <si>
    <t>1700_54DE</t>
  </si>
  <si>
    <t>1700_56DE</t>
  </si>
  <si>
    <t>1700_58DE</t>
  </si>
  <si>
    <t>1700_5ADE</t>
  </si>
  <si>
    <t>1700_5CDE</t>
  </si>
  <si>
    <t>1700_5EDE</t>
  </si>
  <si>
    <t>1700_60DE</t>
  </si>
  <si>
    <t>1700_62DE</t>
  </si>
  <si>
    <t>1700_64DE</t>
  </si>
  <si>
    <t>1700_66DE</t>
  </si>
  <si>
    <t>1700_68DE</t>
  </si>
  <si>
    <t>1700_6ADE</t>
  </si>
  <si>
    <t>1700_6CDE</t>
  </si>
  <si>
    <t>1700_6EDE</t>
  </si>
  <si>
    <t>1700_70DE</t>
  </si>
  <si>
    <t>1700_72DE</t>
  </si>
  <si>
    <t>1700_74DE</t>
  </si>
  <si>
    <t>1700_76DE</t>
  </si>
  <si>
    <t>1700_78DE</t>
  </si>
  <si>
    <t>1700_7ADE</t>
  </si>
  <si>
    <t>1700_7CDE</t>
  </si>
  <si>
    <t>1700_7EDE</t>
  </si>
  <si>
    <t>1700_00DF</t>
  </si>
  <si>
    <t>1700_02DF</t>
  </si>
  <si>
    <t>1700_04DF</t>
  </si>
  <si>
    <t>1700_06DF</t>
  </si>
  <si>
    <t>1700_08DF</t>
  </si>
  <si>
    <t>1700_0ADF</t>
  </si>
  <si>
    <t>1700_0CDF</t>
  </si>
  <si>
    <t>1700_0EDF</t>
  </si>
  <si>
    <t>1700_10DF</t>
  </si>
  <si>
    <t>1700_12DF</t>
  </si>
  <si>
    <t>1700_14DF</t>
  </si>
  <si>
    <t>1700_16DF</t>
  </si>
  <si>
    <t>1700_18DF</t>
  </si>
  <si>
    <t>1700_1ADF</t>
  </si>
  <si>
    <t>1700_1CDF</t>
  </si>
  <si>
    <t>1700_1EDF</t>
  </si>
  <si>
    <t>1700_20DF</t>
  </si>
  <si>
    <t>1700_22DF</t>
  </si>
  <si>
    <t>1700_24DF</t>
  </si>
  <si>
    <t>1700_26DF</t>
  </si>
  <si>
    <t>1700_28DF</t>
  </si>
  <si>
    <t>1700_2ADF</t>
  </si>
  <si>
    <t>1700_2CDF</t>
  </si>
  <si>
    <t>1700_2EDF</t>
  </si>
  <si>
    <t>1700_30DF</t>
  </si>
  <si>
    <t>1700_32DF</t>
  </si>
  <si>
    <t>1700_34DF</t>
  </si>
  <si>
    <t>1700_36DF</t>
  </si>
  <si>
    <t>1700_38DF</t>
  </si>
  <si>
    <t>1700_3ADF</t>
  </si>
  <si>
    <t>1700_3CDF</t>
  </si>
  <si>
    <t>1700_3EDF</t>
  </si>
  <si>
    <t>1700_40DF</t>
  </si>
  <si>
    <t>1700_42DF</t>
  </si>
  <si>
    <t>1700_44DF</t>
  </si>
  <si>
    <t>1700_46DF</t>
  </si>
  <si>
    <t>1700_48DF</t>
  </si>
  <si>
    <t>1700_4ADF</t>
  </si>
  <si>
    <t>1700_4CDF</t>
  </si>
  <si>
    <t>1700_4EDF</t>
  </si>
  <si>
    <t>1700_50DF</t>
  </si>
  <si>
    <t>1700_52DF</t>
  </si>
  <si>
    <t>1700_54DF</t>
  </si>
  <si>
    <t>1700_56DF</t>
  </si>
  <si>
    <t>1700_58DF</t>
  </si>
  <si>
    <t>1700_5ADF</t>
  </si>
  <si>
    <t>1700_5CDF</t>
  </si>
  <si>
    <t>1700_5EDF</t>
  </si>
  <si>
    <t>1700_60DF</t>
  </si>
  <si>
    <t>1700_62DF</t>
  </si>
  <si>
    <t>1700_64DF</t>
  </si>
  <si>
    <t>1700_66DF</t>
  </si>
  <si>
    <t>1700_68DF</t>
  </si>
  <si>
    <t>1700_6ADF</t>
  </si>
  <si>
    <t>1700_6CDF</t>
  </si>
  <si>
    <t>1700_6EDF</t>
  </si>
  <si>
    <t>1700_70DF</t>
  </si>
  <si>
    <t>1700_72DF</t>
  </si>
  <si>
    <t>1700_74DF</t>
  </si>
  <si>
    <t>1700_76DF</t>
  </si>
  <si>
    <t>1700_78DF</t>
  </si>
  <si>
    <t>1700_7ADF</t>
  </si>
  <si>
    <t>1700_7CDF</t>
  </si>
  <si>
    <t>1700_7EDF</t>
  </si>
  <si>
    <t>1700_00E0</t>
  </si>
  <si>
    <t>1700_02E0</t>
  </si>
  <si>
    <t>1700_04E0</t>
  </si>
  <si>
    <t>1700_06E0</t>
  </si>
  <si>
    <t>1700_08E0</t>
  </si>
  <si>
    <t>1700_0AE0</t>
  </si>
  <si>
    <t>1700_0CE0</t>
  </si>
  <si>
    <t>1700_0EE0</t>
  </si>
  <si>
    <t>1700_10E0</t>
  </si>
  <si>
    <t>1700_12E0</t>
  </si>
  <si>
    <t>1700_14E0</t>
  </si>
  <si>
    <t>1700_16E0</t>
  </si>
  <si>
    <t>1700_18E0</t>
  </si>
  <si>
    <t>1700_1AE0</t>
  </si>
  <si>
    <t>1700_1CE0</t>
  </si>
  <si>
    <t>1700_1EE0</t>
  </si>
  <si>
    <t>1700_20E0</t>
  </si>
  <si>
    <t>1700_22E0</t>
  </si>
  <si>
    <t>1700_24E0</t>
  </si>
  <si>
    <t>1700_26E0</t>
  </si>
  <si>
    <t>1700_28E0</t>
  </si>
  <si>
    <t>1700_2AE0</t>
  </si>
  <si>
    <t>1700_2CE0</t>
  </si>
  <si>
    <t>1700_2EE0</t>
  </si>
  <si>
    <t>1700_30E0</t>
  </si>
  <si>
    <t>1700_32E0</t>
  </si>
  <si>
    <t>1700_34E0</t>
  </si>
  <si>
    <t>1700_36E0</t>
  </si>
  <si>
    <t>1700_38E0</t>
  </si>
  <si>
    <t>1700_3AE0</t>
  </si>
  <si>
    <t>1700_3CE0</t>
  </si>
  <si>
    <t>1700_3EE0</t>
  </si>
  <si>
    <t>1700_40E0</t>
  </si>
  <si>
    <t>1700_42E0</t>
  </si>
  <si>
    <t>1700_44E0</t>
  </si>
  <si>
    <t>1700_46E0</t>
  </si>
  <si>
    <t>1700_48E0</t>
  </si>
  <si>
    <t>1700_4AE0</t>
  </si>
  <si>
    <t>1700_4CE0</t>
  </si>
  <si>
    <t>1700_4EE0</t>
  </si>
  <si>
    <t>1700_50E0</t>
  </si>
  <si>
    <t>1700_52E0</t>
  </si>
  <si>
    <t>1700_54E0</t>
  </si>
  <si>
    <t>1700_56E0</t>
  </si>
  <si>
    <t>1700_58E0</t>
  </si>
  <si>
    <t>1700_5AE0</t>
  </si>
  <si>
    <t>1700_5CE0</t>
  </si>
  <si>
    <t>1700_5EE0</t>
  </si>
  <si>
    <t>1700_60E0</t>
  </si>
  <si>
    <t>1700_62E0</t>
  </si>
  <si>
    <t>1700_64E0</t>
  </si>
  <si>
    <t>1700_66E0</t>
  </si>
  <si>
    <t>1700_68E0</t>
  </si>
  <si>
    <t>1700_6AE0</t>
  </si>
  <si>
    <t>1700_6CE0</t>
  </si>
  <si>
    <t>1700_6EE0</t>
  </si>
  <si>
    <t>1700_70E0</t>
  </si>
  <si>
    <t>1700_72E0</t>
  </si>
  <si>
    <t>1700_74E0</t>
  </si>
  <si>
    <t>1700_76E0</t>
  </si>
  <si>
    <t>1700_78E0</t>
  </si>
  <si>
    <t>1700_7AE0</t>
  </si>
  <si>
    <t>1700_7CE0</t>
  </si>
  <si>
    <t>1700_7EE0</t>
  </si>
  <si>
    <t>1700_00E1</t>
  </si>
  <si>
    <t>1700_02E1</t>
  </si>
  <si>
    <t>1700_04E1</t>
  </si>
  <si>
    <t>1700_06E1</t>
  </si>
  <si>
    <t>1700_08E1</t>
  </si>
  <si>
    <t>1700_0AE1</t>
  </si>
  <si>
    <t>1700_0CE1</t>
  </si>
  <si>
    <t>1700_0EE1</t>
  </si>
  <si>
    <t>1700_10E1</t>
  </si>
  <si>
    <t>1700_12E1</t>
  </si>
  <si>
    <t>1700_14E1</t>
  </si>
  <si>
    <t>1700_16E1</t>
  </si>
  <si>
    <t>1700_18E1</t>
  </si>
  <si>
    <t>1700_1AE1</t>
  </si>
  <si>
    <t>1700_1CE1</t>
  </si>
  <si>
    <t>1700_1EE1</t>
  </si>
  <si>
    <t>1700_20E1</t>
  </si>
  <si>
    <t>1700_22E1</t>
  </si>
  <si>
    <t>1700_24E1</t>
  </si>
  <si>
    <t>1700_26E1</t>
  </si>
  <si>
    <t>1700_28E1</t>
  </si>
  <si>
    <t>1700_2AE1</t>
  </si>
  <si>
    <t>1700_2CE1</t>
  </si>
  <si>
    <t>1700_2EE1</t>
  </si>
  <si>
    <t>1700_30E1</t>
  </si>
  <si>
    <t>1700_32E1</t>
  </si>
  <si>
    <t>1700_34E1</t>
  </si>
  <si>
    <t>1700_36E1</t>
  </si>
  <si>
    <t>1700_38E1</t>
  </si>
  <si>
    <t>1700_3AE1</t>
  </si>
  <si>
    <t>1700_3CE1</t>
  </si>
  <si>
    <t>1700_3EE1</t>
  </si>
  <si>
    <t>1700_40E1</t>
  </si>
  <si>
    <t>1700_42E1</t>
  </si>
  <si>
    <t>1700_44E1</t>
  </si>
  <si>
    <t>1700_46E1</t>
  </si>
  <si>
    <t>1700_48E1</t>
  </si>
  <si>
    <t>1700_4AE1</t>
  </si>
  <si>
    <t>1700_4CE1</t>
  </si>
  <si>
    <t>1700_4EE1</t>
  </si>
  <si>
    <t>1700_50E1</t>
  </si>
  <si>
    <t>1700_52E1</t>
  </si>
  <si>
    <t>1700_54E1</t>
  </si>
  <si>
    <t>1700_56E1</t>
  </si>
  <si>
    <t>1700_58E1</t>
  </si>
  <si>
    <t>1700_5AE1</t>
  </si>
  <si>
    <t>1700_5CE1</t>
  </si>
  <si>
    <t>1700_5EE1</t>
  </si>
  <si>
    <t>1700_60E1</t>
  </si>
  <si>
    <t>1700_62E1</t>
  </si>
  <si>
    <t>1700_64E1</t>
  </si>
  <si>
    <t>1700_66E1</t>
  </si>
  <si>
    <t>1700_68E1</t>
  </si>
  <si>
    <t>1700_6AE1</t>
  </si>
  <si>
    <t>1700_6CE1</t>
  </si>
  <si>
    <t>1700_6EE1</t>
  </si>
  <si>
    <t>1700_70E1</t>
  </si>
  <si>
    <t>1700_72E1</t>
  </si>
  <si>
    <t>1700_74E1</t>
  </si>
  <si>
    <t>1700_76E1</t>
  </si>
  <si>
    <t>1700_78E1</t>
  </si>
  <si>
    <t>1700_7AE1</t>
  </si>
  <si>
    <t>1700_7CE1</t>
  </si>
  <si>
    <t>1700_7EE1</t>
  </si>
  <si>
    <t>1700_00E2</t>
  </si>
  <si>
    <t>1700_02E2</t>
  </si>
  <si>
    <t>1700_04E2</t>
  </si>
  <si>
    <t>1700_06E2</t>
  </si>
  <si>
    <t>1700_08E2</t>
  </si>
  <si>
    <t>1700_0AE2</t>
  </si>
  <si>
    <t>1700_0CE2</t>
  </si>
  <si>
    <t>1700_0EE2</t>
  </si>
  <si>
    <t>1700_10E2</t>
  </si>
  <si>
    <t>1700_12E2</t>
  </si>
  <si>
    <t>1700_14E2</t>
  </si>
  <si>
    <t>1700_16E2</t>
  </si>
  <si>
    <t>1700_18E2</t>
  </si>
  <si>
    <t>1700_1AE2</t>
  </si>
  <si>
    <t>1700_1CE2</t>
  </si>
  <si>
    <t>1700_1EE2</t>
  </si>
  <si>
    <t>1700_20E2</t>
  </si>
  <si>
    <t>1700_22E2</t>
  </si>
  <si>
    <t>1700_24E2</t>
  </si>
  <si>
    <t>1700_26E2</t>
  </si>
  <si>
    <t>1700_28E2</t>
  </si>
  <si>
    <t>1700_2AE2</t>
  </si>
  <si>
    <t>1700_2CE2</t>
  </si>
  <si>
    <t>1700_2EE2</t>
  </si>
  <si>
    <t>1700_30E2</t>
  </si>
  <si>
    <t>1700_32E2</t>
  </si>
  <si>
    <t>1700_34E2</t>
  </si>
  <si>
    <t>1700_36E2</t>
  </si>
  <si>
    <t>1700_38E2</t>
  </si>
  <si>
    <t>1700_3AE2</t>
  </si>
  <si>
    <t>1700_3CE2</t>
  </si>
  <si>
    <t>1700_3EE2</t>
  </si>
  <si>
    <t>1700_40E2</t>
  </si>
  <si>
    <t>1700_42E2</t>
  </si>
  <si>
    <t>1700_44E2</t>
  </si>
  <si>
    <t>1700_46E2</t>
  </si>
  <si>
    <t>1700_48E2</t>
  </si>
  <si>
    <t>1700_4AE2</t>
  </si>
  <si>
    <t>1700_4CE2</t>
  </si>
  <si>
    <t>1700_4EE2</t>
  </si>
  <si>
    <t>1700_50E2</t>
  </si>
  <si>
    <t>1700_52E2</t>
  </si>
  <si>
    <t>1700_54E2</t>
  </si>
  <si>
    <t>1700_56E2</t>
  </si>
  <si>
    <t>1700_58E2</t>
  </si>
  <si>
    <t>1700_5AE2</t>
  </si>
  <si>
    <t>1700_5CE2</t>
  </si>
  <si>
    <t>1700_5EE2</t>
  </si>
  <si>
    <t>1700_60E2</t>
  </si>
  <si>
    <t>1700_62E2</t>
  </si>
  <si>
    <t>1700_64E2</t>
  </si>
  <si>
    <t>1700_66E2</t>
  </si>
  <si>
    <t>1700_68E2</t>
  </si>
  <si>
    <t>1700_6AE2</t>
  </si>
  <si>
    <t>1700_6CE2</t>
  </si>
  <si>
    <t>1700_6EE2</t>
  </si>
  <si>
    <t>1700_70E2</t>
  </si>
  <si>
    <t>1700_72E2</t>
  </si>
  <si>
    <t>1700_74E2</t>
  </si>
  <si>
    <t>1700_76E2</t>
  </si>
  <si>
    <t>1700_78E2</t>
  </si>
  <si>
    <t>1700_7AE2</t>
  </si>
  <si>
    <t>1700_7CE2</t>
  </si>
  <si>
    <t>1700_7EE2</t>
  </si>
  <si>
    <t>1700_00E3</t>
  </si>
  <si>
    <t>1700_02E3</t>
  </si>
  <si>
    <t>1700_04E3</t>
  </si>
  <si>
    <t>1700_06E3</t>
  </si>
  <si>
    <t>1700_08E3</t>
  </si>
  <si>
    <t>1700_0AE3</t>
  </si>
  <si>
    <t>1700_0CE3</t>
  </si>
  <si>
    <t>1700_0EE3</t>
  </si>
  <si>
    <t>1700_10E3</t>
  </si>
  <si>
    <t>1700_12E3</t>
  </si>
  <si>
    <t>1700_14E3</t>
  </si>
  <si>
    <t>1700_16E3</t>
  </si>
  <si>
    <t>1700_18E3</t>
  </si>
  <si>
    <t>1700_1AE3</t>
  </si>
  <si>
    <t>1700_1CE3</t>
  </si>
  <si>
    <t>1700_1EE3</t>
  </si>
  <si>
    <t>1700_20E3</t>
  </si>
  <si>
    <t>1700_22E3</t>
  </si>
  <si>
    <t>1700_24E3</t>
  </si>
  <si>
    <t>1700_26E3</t>
  </si>
  <si>
    <t>1700_28E3</t>
  </si>
  <si>
    <t>1700_2AE3</t>
  </si>
  <si>
    <t>1700_2CE3</t>
  </si>
  <si>
    <t>1700_2EE3</t>
  </si>
  <si>
    <t>1700_30E3</t>
  </si>
  <si>
    <t>1700_32E3</t>
  </si>
  <si>
    <t>1700_34E3</t>
  </si>
  <si>
    <t>1700_36E3</t>
  </si>
  <si>
    <t>1700_38E3</t>
  </si>
  <si>
    <t>1700_3AE3</t>
  </si>
  <si>
    <t>1700_3CE3</t>
  </si>
  <si>
    <t>1700_3EE3</t>
  </si>
  <si>
    <t>1700_40E3</t>
  </si>
  <si>
    <t>1700_42E3</t>
  </si>
  <si>
    <t>1700_44E3</t>
  </si>
  <si>
    <t>1700_46E3</t>
  </si>
  <si>
    <t>1700_48E3</t>
  </si>
  <si>
    <t>1700_4AE3</t>
  </si>
  <si>
    <t>1700_4CE3</t>
  </si>
  <si>
    <t>1700_4EE3</t>
  </si>
  <si>
    <t>1700_50E3</t>
  </si>
  <si>
    <t>1700_52E3</t>
  </si>
  <si>
    <t>1700_54E3</t>
  </si>
  <si>
    <t>1700_56E3</t>
  </si>
  <si>
    <t>1700_58E3</t>
  </si>
  <si>
    <t>1700_5AE3</t>
  </si>
  <si>
    <t>1700_5CE3</t>
  </si>
  <si>
    <t>1700_5EE3</t>
  </si>
  <si>
    <t>1700_60E3</t>
  </si>
  <si>
    <t>1700_62E3</t>
  </si>
  <si>
    <t>1700_64E3</t>
  </si>
  <si>
    <t>1700_66E3</t>
  </si>
  <si>
    <t>1700_68E3</t>
  </si>
  <si>
    <t>1700_6AE3</t>
  </si>
  <si>
    <t>1700_6CE3</t>
  </si>
  <si>
    <t>1700_6EE3</t>
  </si>
  <si>
    <t>1700_70E3</t>
  </si>
  <si>
    <t>1700_72E3</t>
  </si>
  <si>
    <t>1700_74E3</t>
  </si>
  <si>
    <t>1700_76E3</t>
  </si>
  <si>
    <t>1700_78E3</t>
  </si>
  <si>
    <t>1700_7AE3</t>
  </si>
  <si>
    <t>1700_7CE3</t>
  </si>
  <si>
    <t>1700_7EE3</t>
  </si>
  <si>
    <t>1700_00E4</t>
  </si>
  <si>
    <t>1700_02E4</t>
  </si>
  <si>
    <t>1700_04E4</t>
  </si>
  <si>
    <t>1700_06E4</t>
  </si>
  <si>
    <t>1700_08E4</t>
  </si>
  <si>
    <t>1700_0AE4</t>
  </si>
  <si>
    <t>1700_0CE4</t>
  </si>
  <si>
    <t>1700_0EE4</t>
  </si>
  <si>
    <t>1700_10E4</t>
  </si>
  <si>
    <t>1700_12E4</t>
  </si>
  <si>
    <t>1700_14E4</t>
  </si>
  <si>
    <t>1700_16E4</t>
  </si>
  <si>
    <t>1700_18E4</t>
  </si>
  <si>
    <t>1700_1AE4</t>
  </si>
  <si>
    <t>1700_1CE4</t>
  </si>
  <si>
    <t>1700_1EE4</t>
  </si>
  <si>
    <t>1700_20E4</t>
  </si>
  <si>
    <t>1700_22E4</t>
  </si>
  <si>
    <t>1700_24E4</t>
  </si>
  <si>
    <t>1700_26E4</t>
  </si>
  <si>
    <t>1700_28E4</t>
  </si>
  <si>
    <t>1700_2AE4</t>
  </si>
  <si>
    <t>1700_2CE4</t>
  </si>
  <si>
    <t>1700_2EE4</t>
  </si>
  <si>
    <t>1700_30E4</t>
  </si>
  <si>
    <t>1700_32E4</t>
  </si>
  <si>
    <t>1700_34E4</t>
  </si>
  <si>
    <t>1700_36E4</t>
  </si>
  <si>
    <t>1700_38E4</t>
  </si>
  <si>
    <t>1700_3AE4</t>
  </si>
  <si>
    <t>1700_3CE4</t>
  </si>
  <si>
    <t>1700_3EE4</t>
  </si>
  <si>
    <t>1700_40E4</t>
  </si>
  <si>
    <t>1700_42E4</t>
  </si>
  <si>
    <t>1700_44E4</t>
  </si>
  <si>
    <t>1700_46E4</t>
  </si>
  <si>
    <t>1700_48E4</t>
  </si>
  <si>
    <t>1700_4AE4</t>
  </si>
  <si>
    <t>1700_4CE4</t>
  </si>
  <si>
    <t>1700_4EE4</t>
  </si>
  <si>
    <t>1700_50E4</t>
  </si>
  <si>
    <t>1700_52E4</t>
  </si>
  <si>
    <t>1700_54E4</t>
  </si>
  <si>
    <t>1700_56E4</t>
  </si>
  <si>
    <t>1700_58E4</t>
  </si>
  <si>
    <t>1700_5AE4</t>
  </si>
  <si>
    <t>1700_5CE4</t>
  </si>
  <si>
    <t>1700_5EE4</t>
  </si>
  <si>
    <t>1700_60E4</t>
  </si>
  <si>
    <t>1700_62E4</t>
  </si>
  <si>
    <t>1700_64E4</t>
  </si>
  <si>
    <t>1700_66E4</t>
  </si>
  <si>
    <t>1700_68E4</t>
  </si>
  <si>
    <t>1700_6AE4</t>
  </si>
  <si>
    <t>1700_6CE4</t>
  </si>
  <si>
    <t>1700_6EE4</t>
  </si>
  <si>
    <t>1700_70E4</t>
  </si>
  <si>
    <t>1700_72E4</t>
  </si>
  <si>
    <t>1700_74E4</t>
  </si>
  <si>
    <t>1700_76E4</t>
  </si>
  <si>
    <t>1700_78E4</t>
  </si>
  <si>
    <t>1700_7AE4</t>
  </si>
  <si>
    <t>1700_7CE4</t>
  </si>
  <si>
    <t>1700_7EE4</t>
  </si>
  <si>
    <t>1700_00E5</t>
  </si>
  <si>
    <t>1700_02E5</t>
  </si>
  <si>
    <t>1700_04E5</t>
  </si>
  <si>
    <t>1700_06E5</t>
  </si>
  <si>
    <t>1700_08E5</t>
  </si>
  <si>
    <t>1700_0AE5</t>
  </si>
  <si>
    <t>1700_0CE5</t>
  </si>
  <si>
    <t>1700_0EE5</t>
  </si>
  <si>
    <t>1700_10E5</t>
  </si>
  <si>
    <t>1700_12E5</t>
  </si>
  <si>
    <t>1700_14E5</t>
  </si>
  <si>
    <t>1700_16E5</t>
  </si>
  <si>
    <t>1700_18E5</t>
  </si>
  <si>
    <t>1700_1AE5</t>
  </si>
  <si>
    <t>1700_1CE5</t>
  </si>
  <si>
    <t>1700_1EE5</t>
  </si>
  <si>
    <t>1700_20E5</t>
  </si>
  <si>
    <t>1700_22E5</t>
  </si>
  <si>
    <t>1700_24E5</t>
  </si>
  <si>
    <t>1700_26E5</t>
  </si>
  <si>
    <t>1700_28E5</t>
  </si>
  <si>
    <t>1700_2AE5</t>
  </si>
  <si>
    <t>1700_2CE5</t>
  </si>
  <si>
    <t>1700_2EE5</t>
  </si>
  <si>
    <t>1700_30E5</t>
  </si>
  <si>
    <t>1700_32E5</t>
  </si>
  <si>
    <t>1700_34E5</t>
  </si>
  <si>
    <t>1700_36E5</t>
  </si>
  <si>
    <t>1700_38E5</t>
  </si>
  <si>
    <t>1700_3AE5</t>
  </si>
  <si>
    <t>1700_3CE5</t>
  </si>
  <si>
    <t>1700_3EE5</t>
  </si>
  <si>
    <t>1700_40E5</t>
  </si>
  <si>
    <t>1700_42E5</t>
  </si>
  <si>
    <t>1700_44E5</t>
  </si>
  <si>
    <t>1700_46E5</t>
  </si>
  <si>
    <t>1700_48E5</t>
  </si>
  <si>
    <t>1700_4AE5</t>
  </si>
  <si>
    <t>1700_4CE5</t>
  </si>
  <si>
    <t>1700_4EE5</t>
  </si>
  <si>
    <t>1700_50E5</t>
  </si>
  <si>
    <t>1700_52E5</t>
  </si>
  <si>
    <t>1700_54E5</t>
  </si>
  <si>
    <t>1700_56E5</t>
  </si>
  <si>
    <t>1700_58E5</t>
  </si>
  <si>
    <t>1700_5AE5</t>
  </si>
  <si>
    <t>1700_5CE5</t>
  </si>
  <si>
    <t>1700_5EE5</t>
  </si>
  <si>
    <t>1700_60E5</t>
  </si>
  <si>
    <t>1700_62E5</t>
  </si>
  <si>
    <t>1700_64E5</t>
  </si>
  <si>
    <t>1700_66E5</t>
  </si>
  <si>
    <t>1700_68E5</t>
  </si>
  <si>
    <t>1700_6AE5</t>
  </si>
  <si>
    <t>1700_6CE5</t>
  </si>
  <si>
    <t>1700_6EE5</t>
  </si>
  <si>
    <t>1700_70E5</t>
  </si>
  <si>
    <t>1700_72E5</t>
  </si>
  <si>
    <t>1700_74E5</t>
  </si>
  <si>
    <t>1700_76E5</t>
  </si>
  <si>
    <t>1700_78E5</t>
  </si>
  <si>
    <t>1700_7AE5</t>
  </si>
  <si>
    <t>1700_7CE5</t>
  </si>
  <si>
    <t>1700_7EE5</t>
  </si>
  <si>
    <t>1700_00E6</t>
  </si>
  <si>
    <t>1700_02E6</t>
  </si>
  <si>
    <t>1700_04E6</t>
  </si>
  <si>
    <t>1700_06E6</t>
  </si>
  <si>
    <t>1700_08E6</t>
  </si>
  <si>
    <t>1700_0AE6</t>
  </si>
  <si>
    <t>1700_0CE6</t>
  </si>
  <si>
    <t>1700_0EE6</t>
  </si>
  <si>
    <t>1700_10E6</t>
  </si>
  <si>
    <t>1700_12E6</t>
  </si>
  <si>
    <t>1700_14E6</t>
  </si>
  <si>
    <t>1700_16E6</t>
  </si>
  <si>
    <t>1700_18E6</t>
  </si>
  <si>
    <t>1700_1AE6</t>
  </si>
  <si>
    <t>1700_1CE6</t>
  </si>
  <si>
    <t>1700_1EE6</t>
  </si>
  <si>
    <t>1700_20E6</t>
  </si>
  <si>
    <t>1700_22E6</t>
  </si>
  <si>
    <t>1700_24E6</t>
  </si>
  <si>
    <t>1700_26E6</t>
  </si>
  <si>
    <t>1700_28E6</t>
  </si>
  <si>
    <t>1700_2AE6</t>
  </si>
  <si>
    <t>1700_2CE6</t>
  </si>
  <si>
    <t>1700_2EE6</t>
  </si>
  <si>
    <t>1700_30E6</t>
  </si>
  <si>
    <t>1700_32E6</t>
  </si>
  <si>
    <t>1700_34E6</t>
  </si>
  <si>
    <t>1700_36E6</t>
  </si>
  <si>
    <t>1700_38E6</t>
  </si>
  <si>
    <t>1700_3AE6</t>
  </si>
  <si>
    <t>1700_3CE6</t>
  </si>
  <si>
    <t>1700_3EE6</t>
  </si>
  <si>
    <t>1700_40E6</t>
  </si>
  <si>
    <t>1700_42E6</t>
  </si>
  <si>
    <t>1700_44E6</t>
  </si>
  <si>
    <t>1700_46E6</t>
  </si>
  <si>
    <t>1700_48E6</t>
  </si>
  <si>
    <t>1700_4AE6</t>
  </si>
  <si>
    <t>1700_4CE6</t>
  </si>
  <si>
    <t>1700_4EE6</t>
  </si>
  <si>
    <t>1700_50E6</t>
  </si>
  <si>
    <t>1700_52E6</t>
  </si>
  <si>
    <t>1700_54E6</t>
  </si>
  <si>
    <t>1700_56E6</t>
  </si>
  <si>
    <t>1700_58E6</t>
  </si>
  <si>
    <t>1700_5AE6</t>
  </si>
  <si>
    <t>1700_5CE6</t>
  </si>
  <si>
    <t>1700_5EE6</t>
  </si>
  <si>
    <t>1700_60E6</t>
  </si>
  <si>
    <t>1700_62E6</t>
  </si>
  <si>
    <t>1700_64E6</t>
  </si>
  <si>
    <t>1700_66E6</t>
  </si>
  <si>
    <t>1700_68E6</t>
  </si>
  <si>
    <t>1700_6AE6</t>
  </si>
  <si>
    <t>1700_6CE6</t>
  </si>
  <si>
    <t>1700_6EE6</t>
  </si>
  <si>
    <t>1700_70E6</t>
  </si>
  <si>
    <t>1700_72E6</t>
  </si>
  <si>
    <t>1700_74E6</t>
  </si>
  <si>
    <t>1700_76E6</t>
  </si>
  <si>
    <t>1700_78E6</t>
  </si>
  <si>
    <t>1700_7AE6</t>
  </si>
  <si>
    <t>1700_7CE6</t>
  </si>
  <si>
    <t>1700_7EE6</t>
  </si>
  <si>
    <t>1700_00E7</t>
  </si>
  <si>
    <t>1700_02E7</t>
  </si>
  <si>
    <t>1700_04E7</t>
  </si>
  <si>
    <t>1700_06E7</t>
  </si>
  <si>
    <t>1700_08E7</t>
  </si>
  <si>
    <t>1700_0AE7</t>
  </si>
  <si>
    <t>1700_0CE7</t>
  </si>
  <si>
    <t>1700_0EE7</t>
  </si>
  <si>
    <t>1700_10E7</t>
  </si>
  <si>
    <t>1700_12E7</t>
  </si>
  <si>
    <t>1700_14E7</t>
  </si>
  <si>
    <t>1700_16E7</t>
  </si>
  <si>
    <t>1700_18E7</t>
  </si>
  <si>
    <t>1700_1AE7</t>
  </si>
  <si>
    <t>1700_1CE7</t>
  </si>
  <si>
    <t>1700_1EE7</t>
  </si>
  <si>
    <t>1700_20E7</t>
  </si>
  <si>
    <t>1700_22E7</t>
  </si>
  <si>
    <t>1700_24E7</t>
  </si>
  <si>
    <t>1700_26E7</t>
  </si>
  <si>
    <t>1700_28E7</t>
  </si>
  <si>
    <t>1700_2AE7</t>
  </si>
  <si>
    <t>1700_2CE7</t>
  </si>
  <si>
    <t>1700_2EE7</t>
  </si>
  <si>
    <t>1700_30E7</t>
  </si>
  <si>
    <t>1700_32E7</t>
  </si>
  <si>
    <t>1700_34E7</t>
  </si>
  <si>
    <t>1700_36E7</t>
  </si>
  <si>
    <t>1700_38E7</t>
  </si>
  <si>
    <t>1700_3AE7</t>
  </si>
  <si>
    <t>1700_3CE7</t>
  </si>
  <si>
    <t>1700_3EE7</t>
  </si>
  <si>
    <t>1700_40E7</t>
  </si>
  <si>
    <t>1700_42E7</t>
  </si>
  <si>
    <t>1700_44E7</t>
  </si>
  <si>
    <t>1700_46E7</t>
  </si>
  <si>
    <t>1700_48E7</t>
  </si>
  <si>
    <t>1700_4AE7</t>
  </si>
  <si>
    <t>1700_4CE7</t>
  </si>
  <si>
    <t>1700_4EE7</t>
  </si>
  <si>
    <t>1700_50E7</t>
  </si>
  <si>
    <t>1700_52E7</t>
  </si>
  <si>
    <t>1700_54E7</t>
  </si>
  <si>
    <t>1700_56E7</t>
  </si>
  <si>
    <t>1700_58E7</t>
  </si>
  <si>
    <t>1700_5AE7</t>
  </si>
  <si>
    <t>1700_5CE7</t>
  </si>
  <si>
    <t>1700_5EE7</t>
  </si>
  <si>
    <t>1700_60E7</t>
  </si>
  <si>
    <t>1700_62E7</t>
  </si>
  <si>
    <t>1700_64E7</t>
  </si>
  <si>
    <t>1700_66E7</t>
  </si>
  <si>
    <t>1700_68E7</t>
  </si>
  <si>
    <t>1700_6AE7</t>
  </si>
  <si>
    <t>1700_6CE7</t>
  </si>
  <si>
    <t>1700_6EE7</t>
  </si>
  <si>
    <t>1700_70E7</t>
  </si>
  <si>
    <t>1700_72E7</t>
  </si>
  <si>
    <t>1700_74E7</t>
  </si>
  <si>
    <t>1700_76E7</t>
  </si>
  <si>
    <t>1700_78E7</t>
  </si>
  <si>
    <t>1700_7AE7</t>
  </si>
  <si>
    <t>1700_7CE7</t>
  </si>
  <si>
    <t>1700_7EE7</t>
  </si>
  <si>
    <t>1700_00E8</t>
  </si>
  <si>
    <t>1700_02E8</t>
  </si>
  <si>
    <t>1700_04E8</t>
  </si>
  <si>
    <t>1700_06E8</t>
  </si>
  <si>
    <t>1700_08E8</t>
  </si>
  <si>
    <t>1700_0AE8</t>
  </si>
  <si>
    <t>1700_0CE8</t>
  </si>
  <si>
    <t>1700_0EE8</t>
  </si>
  <si>
    <t>1700_10E8</t>
  </si>
  <si>
    <t>1700_12E8</t>
  </si>
  <si>
    <t>1700_14E8</t>
  </si>
  <si>
    <t>1700_16E8</t>
  </si>
  <si>
    <t>1700_18E8</t>
  </si>
  <si>
    <t>1700_1AE8</t>
  </si>
  <si>
    <t>1700_1CE8</t>
  </si>
  <si>
    <t>1700_1EE8</t>
  </si>
  <si>
    <t>1700_20E8</t>
  </si>
  <si>
    <t>1700_22E8</t>
  </si>
  <si>
    <t>1700_24E8</t>
  </si>
  <si>
    <t>1700_26E8</t>
  </si>
  <si>
    <t>1700_28E8</t>
  </si>
  <si>
    <t>1700_2AE8</t>
  </si>
  <si>
    <t>1700_2CE8</t>
  </si>
  <si>
    <t>1700_2EE8</t>
  </si>
  <si>
    <t>1700_30E8</t>
  </si>
  <si>
    <t>1700_32E8</t>
  </si>
  <si>
    <t>1700_34E8</t>
  </si>
  <si>
    <t>1700_36E8</t>
  </si>
  <si>
    <t>1700_38E8</t>
  </si>
  <si>
    <t>1700_3AE8</t>
  </si>
  <si>
    <t>1700_3CE8</t>
  </si>
  <si>
    <t>1700_3EE8</t>
  </si>
  <si>
    <t>1700_40E8</t>
  </si>
  <si>
    <t>1700_42E8</t>
  </si>
  <si>
    <t>1700_44E8</t>
  </si>
  <si>
    <t>1700_46E8</t>
  </si>
  <si>
    <t>1700_48E8</t>
  </si>
  <si>
    <t>1700_4AE8</t>
  </si>
  <si>
    <t>1700_4CE8</t>
  </si>
  <si>
    <t>1700_4EE8</t>
  </si>
  <si>
    <t>1700_50E8</t>
  </si>
  <si>
    <t>1700_52E8</t>
  </si>
  <si>
    <t>1700_54E8</t>
  </si>
  <si>
    <t>1700_56E8</t>
  </si>
  <si>
    <t>1700_58E8</t>
  </si>
  <si>
    <t>1700_5AE8</t>
  </si>
  <si>
    <t>1700_5CE8</t>
  </si>
  <si>
    <t>1700_5EE8</t>
  </si>
  <si>
    <t>1700_60E8</t>
  </si>
  <si>
    <t>1700_62E8</t>
  </si>
  <si>
    <t>1700_64E8</t>
  </si>
  <si>
    <t>1700_66E8</t>
  </si>
  <si>
    <t>1700_68E8</t>
  </si>
  <si>
    <t>1700_6AE8</t>
  </si>
  <si>
    <t>1700_6CE8</t>
  </si>
  <si>
    <t>1700_6EE8</t>
  </si>
  <si>
    <t>1700_70E8</t>
  </si>
  <si>
    <t>1700_72E8</t>
  </si>
  <si>
    <t>1700_74E8</t>
  </si>
  <si>
    <t>1700_76E8</t>
  </si>
  <si>
    <t>1700_78E8</t>
  </si>
  <si>
    <t>1700_7AE8</t>
  </si>
  <si>
    <t>1700_7CE8</t>
  </si>
  <si>
    <t>1700_7EE8</t>
  </si>
  <si>
    <t>1700_00E9</t>
  </si>
  <si>
    <t>1700_02E9</t>
  </si>
  <si>
    <t>1700_04E9</t>
  </si>
  <si>
    <t>1700_06E9</t>
  </si>
  <si>
    <t>1700_08E9</t>
  </si>
  <si>
    <t>1700_0AE9</t>
  </si>
  <si>
    <t>1700_0CE9</t>
  </si>
  <si>
    <t>1700_0EE9</t>
  </si>
  <si>
    <t>1700_10E9</t>
  </si>
  <si>
    <t>1700_12E9</t>
  </si>
  <si>
    <t>1700_14E9</t>
  </si>
  <si>
    <t>1700_16E9</t>
  </si>
  <si>
    <t>1700_18E9</t>
  </si>
  <si>
    <t>1700_1AE9</t>
  </si>
  <si>
    <t>1700_1CE9</t>
  </si>
  <si>
    <t>1700_1EE9</t>
  </si>
  <si>
    <t>1700_20E9</t>
  </si>
  <si>
    <t>1700_22E9</t>
  </si>
  <si>
    <t>1700_24E9</t>
  </si>
  <si>
    <t>1700_26E9</t>
  </si>
  <si>
    <t>1700_28E9</t>
  </si>
  <si>
    <t>1700_2AE9</t>
  </si>
  <si>
    <t>1700_2CE9</t>
  </si>
  <si>
    <t>1700_2EE9</t>
  </si>
  <si>
    <t>1700_30E9</t>
  </si>
  <si>
    <t>1700_32E9</t>
  </si>
  <si>
    <t>1700_34E9</t>
  </si>
  <si>
    <t>1700_36E9</t>
  </si>
  <si>
    <t>1700_38E9</t>
  </si>
  <si>
    <t>1700_3AE9</t>
  </si>
  <si>
    <t>1700_3CE9</t>
  </si>
  <si>
    <t>1700_3EE9</t>
  </si>
  <si>
    <t>1700_40E9</t>
  </si>
  <si>
    <t>1700_42E9</t>
  </si>
  <si>
    <t>1700_44E9</t>
  </si>
  <si>
    <t>1700_46E9</t>
  </si>
  <si>
    <t>1700_48E9</t>
  </si>
  <si>
    <t>1700_4AE9</t>
  </si>
  <si>
    <t>1700_4CE9</t>
  </si>
  <si>
    <t>1700_4EE9</t>
  </si>
  <si>
    <t>1700_50E9</t>
  </si>
  <si>
    <t>1700_52E9</t>
  </si>
  <si>
    <t>1700_54E9</t>
  </si>
  <si>
    <t>1700_56E9</t>
  </si>
  <si>
    <t>1700_58E9</t>
  </si>
  <si>
    <t>1700_5AE9</t>
  </si>
  <si>
    <t>1700_5CE9</t>
  </si>
  <si>
    <t>1700_5EE9</t>
  </si>
  <si>
    <t>1700_60E9</t>
  </si>
  <si>
    <t>1700_62E9</t>
  </si>
  <si>
    <t>1700_64E9</t>
  </si>
  <si>
    <t>1700_66E9</t>
  </si>
  <si>
    <t>1700_68E9</t>
  </si>
  <si>
    <t>1700_6AE9</t>
  </si>
  <si>
    <t>1700_6CE9</t>
  </si>
  <si>
    <t>1700_6EE9</t>
  </si>
  <si>
    <t>1700_70E9</t>
  </si>
  <si>
    <t>1700_72E9</t>
  </si>
  <si>
    <t>1700_74E9</t>
  </si>
  <si>
    <t>1700_76E9</t>
  </si>
  <si>
    <t>1700_78E9</t>
  </si>
  <si>
    <t>1700_7AE9</t>
  </si>
  <si>
    <t>1700_7CE9</t>
  </si>
  <si>
    <t>1700_7EE9</t>
  </si>
  <si>
    <t>1700_00EA</t>
  </si>
  <si>
    <t>1700_02EA</t>
  </si>
  <si>
    <t>1700_04EA</t>
  </si>
  <si>
    <t>1700_06EA</t>
  </si>
  <si>
    <t>1700_08EA</t>
  </si>
  <si>
    <t>1700_0AEA</t>
  </si>
  <si>
    <t>1700_0CEA</t>
  </si>
  <si>
    <t>1700_0EEA</t>
  </si>
  <si>
    <t>1700_10EA</t>
  </si>
  <si>
    <t>1700_12EA</t>
  </si>
  <si>
    <t>1700_14EA</t>
  </si>
  <si>
    <t>1700_16EA</t>
  </si>
  <si>
    <t>1700_18EA</t>
  </si>
  <si>
    <t>1700_1AEA</t>
  </si>
  <si>
    <t>1700_1CEA</t>
  </si>
  <si>
    <t>1700_1EEA</t>
  </si>
  <si>
    <t>1700_20EA</t>
  </si>
  <si>
    <t>1700_22EA</t>
  </si>
  <si>
    <t>1700_24EA</t>
  </si>
  <si>
    <t>1700_26EA</t>
  </si>
  <si>
    <t>1700_28EA</t>
  </si>
  <si>
    <t>1700_2AEA</t>
  </si>
  <si>
    <t>1700_2CEA</t>
  </si>
  <si>
    <t>1700_2EEA</t>
  </si>
  <si>
    <t>1700_30EA</t>
  </si>
  <si>
    <t>1700_32EA</t>
  </si>
  <si>
    <t>1700_34EA</t>
  </si>
  <si>
    <t>1700_36EA</t>
  </si>
  <si>
    <t>1700_38EA</t>
  </si>
  <si>
    <t>1700_3AEA</t>
  </si>
  <si>
    <t>1700_3CEA</t>
  </si>
  <si>
    <t>1700_3EEA</t>
  </si>
  <si>
    <t>1700_40EA</t>
  </si>
  <si>
    <t>1700_42EA</t>
  </si>
  <si>
    <t>1700_44EA</t>
  </si>
  <si>
    <t>1700_46EA</t>
  </si>
  <si>
    <t>1700_48EA</t>
  </si>
  <si>
    <t>1700_4AEA</t>
  </si>
  <si>
    <t>1700_4CEA</t>
  </si>
  <si>
    <t>1700_4EEA</t>
  </si>
  <si>
    <t>1700_50EA</t>
  </si>
  <si>
    <t>1700_52EA</t>
  </si>
  <si>
    <t>1700_54EA</t>
  </si>
  <si>
    <t>1700_56EA</t>
  </si>
  <si>
    <t>1700_58EA</t>
  </si>
  <si>
    <t>1700_5AEA</t>
  </si>
  <si>
    <t>1700_5CEA</t>
  </si>
  <si>
    <t>1700_5EEA</t>
  </si>
  <si>
    <t>1700_60EA</t>
  </si>
  <si>
    <t>1700_62EA</t>
  </si>
  <si>
    <t>1700_64EA</t>
  </si>
  <si>
    <t>1700_66EA</t>
  </si>
  <si>
    <t>1700_68EA</t>
  </si>
  <si>
    <t>1700_6AEA</t>
  </si>
  <si>
    <t>1700_6CEA</t>
  </si>
  <si>
    <t>1700_6EEA</t>
  </si>
  <si>
    <t>1700_70EA</t>
  </si>
  <si>
    <t>1700_72EA</t>
  </si>
  <si>
    <t>1700_74EA</t>
  </si>
  <si>
    <t>1700_76EA</t>
  </si>
  <si>
    <t>1700_78EA</t>
  </si>
  <si>
    <t>1700_7AEA</t>
  </si>
  <si>
    <t>1700_7CEA</t>
  </si>
  <si>
    <t>1700_7EEA</t>
  </si>
  <si>
    <t>1700_00EB</t>
  </si>
  <si>
    <t>1700_02EB</t>
  </si>
  <si>
    <t>1700_04EB</t>
  </si>
  <si>
    <t>1700_06EB</t>
  </si>
  <si>
    <t>1700_08EB</t>
  </si>
  <si>
    <t>1700_0AEB</t>
  </si>
  <si>
    <t>1700_0CEB</t>
  </si>
  <si>
    <t>1700_0EEB</t>
  </si>
  <si>
    <t>1700_10EB</t>
  </si>
  <si>
    <t>1700_12EB</t>
  </si>
  <si>
    <t>1700_14EB</t>
  </si>
  <si>
    <t>1700_16EB</t>
  </si>
  <si>
    <t>1700_18EB</t>
  </si>
  <si>
    <t>1700_1AEB</t>
  </si>
  <si>
    <t>1700_1CEB</t>
  </si>
  <si>
    <t>1700_1EEB</t>
  </si>
  <si>
    <t>1700_20EB</t>
  </si>
  <si>
    <t>1700_22EB</t>
  </si>
  <si>
    <t>1700_24EB</t>
  </si>
  <si>
    <t>1700_26EB</t>
  </si>
  <si>
    <t>1700_28EB</t>
  </si>
  <si>
    <t>1700_2AEB</t>
  </si>
  <si>
    <t>1700_2CEB</t>
  </si>
  <si>
    <t>1700_2EEB</t>
  </si>
  <si>
    <t>1700_30EB</t>
  </si>
  <si>
    <t>1700_32EB</t>
  </si>
  <si>
    <t>1700_34EB</t>
  </si>
  <si>
    <t>1700_36EB</t>
  </si>
  <si>
    <t>1700_38EB</t>
  </si>
  <si>
    <t>1700_3AEB</t>
  </si>
  <si>
    <t>1700_3CEB</t>
  </si>
  <si>
    <t>1700_3EEB</t>
  </si>
  <si>
    <t>1700_40EB</t>
  </si>
  <si>
    <t>1700_42EB</t>
  </si>
  <si>
    <t>1700_44EB</t>
  </si>
  <si>
    <t>1700_46EB</t>
  </si>
  <si>
    <t>1700_48EB</t>
  </si>
  <si>
    <t>1700_4AEB</t>
  </si>
  <si>
    <t>1700_4CEB</t>
  </si>
  <si>
    <t>1700_4EEB</t>
  </si>
  <si>
    <t>1700_50EB</t>
  </si>
  <si>
    <t>1700_52EB</t>
  </si>
  <si>
    <t>1700_54EB</t>
  </si>
  <si>
    <t>1700_56EB</t>
  </si>
  <si>
    <t>1700_58EB</t>
  </si>
  <si>
    <t>1700_5AEB</t>
  </si>
  <si>
    <t>1700_5CEB</t>
  </si>
  <si>
    <t>1700_5EEB</t>
  </si>
  <si>
    <t>1700_60EB</t>
  </si>
  <si>
    <t>1700_62EB</t>
  </si>
  <si>
    <t>1700_64EB</t>
  </si>
  <si>
    <t>1700_66EB</t>
  </si>
  <si>
    <t>1700_68EB</t>
  </si>
  <si>
    <t>1700_6AEB</t>
  </si>
  <si>
    <t>1700_6CEB</t>
  </si>
  <si>
    <t>1700_6EEB</t>
  </si>
  <si>
    <t>1700_70EB</t>
  </si>
  <si>
    <t>1700_72EB</t>
  </si>
  <si>
    <t>1700_74EB</t>
  </si>
  <si>
    <t>1700_76EB</t>
  </si>
  <si>
    <t>1700_78EB</t>
  </si>
  <si>
    <t>1700_7AEB</t>
  </si>
  <si>
    <t>1700_7CEB</t>
  </si>
  <si>
    <t>1700_7EEB</t>
  </si>
  <si>
    <t>1700_00EC</t>
  </si>
  <si>
    <t>1700_02EC</t>
  </si>
  <si>
    <t>1700_04EC</t>
  </si>
  <si>
    <t>1700_06EC</t>
  </si>
  <si>
    <t>1700_08EC</t>
  </si>
  <si>
    <t>1700_0AEC</t>
  </si>
  <si>
    <t>1700_0CEC</t>
  </si>
  <si>
    <t>1700_0EEC</t>
  </si>
  <si>
    <t>1700_10EC</t>
  </si>
  <si>
    <t>1700_12EC</t>
  </si>
  <si>
    <t>1700_14EC</t>
  </si>
  <si>
    <t>1700_16EC</t>
  </si>
  <si>
    <t>1700_18EC</t>
  </si>
  <si>
    <t>1700_1AEC</t>
  </si>
  <si>
    <t>1700_1CEC</t>
  </si>
  <si>
    <t>1700_1EEC</t>
  </si>
  <si>
    <t>1700_20EC</t>
  </si>
  <si>
    <t>1700_22EC</t>
  </si>
  <si>
    <t>1700_24EC</t>
  </si>
  <si>
    <t>1700_26EC</t>
  </si>
  <si>
    <t>1700_28EC</t>
  </si>
  <si>
    <t>1700_2AEC</t>
  </si>
  <si>
    <t>1700_2CEC</t>
  </si>
  <si>
    <t>1700_2EEC</t>
  </si>
  <si>
    <t>1700_30EC</t>
  </si>
  <si>
    <t>1700_32EC</t>
  </si>
  <si>
    <t>1700_34EC</t>
  </si>
  <si>
    <t>1700_36EC</t>
  </si>
  <si>
    <t>1700_38EC</t>
  </si>
  <si>
    <t>1700_3AEC</t>
  </si>
  <si>
    <t>1700_3CEC</t>
  </si>
  <si>
    <t>1700_3EEC</t>
  </si>
  <si>
    <t>1700_40EC</t>
  </si>
  <si>
    <t>1700_42EC</t>
  </si>
  <si>
    <t>1700_44EC</t>
  </si>
  <si>
    <t>1700_46EC</t>
  </si>
  <si>
    <t>1700_48EC</t>
  </si>
  <si>
    <t>1700_4AEC</t>
  </si>
  <si>
    <t>1700_4CEC</t>
  </si>
  <si>
    <t>1700_4EEC</t>
  </si>
  <si>
    <t>1700_50EC</t>
  </si>
  <si>
    <t>1700_52EC</t>
  </si>
  <si>
    <t>1700_54EC</t>
  </si>
  <si>
    <t>1700_56EC</t>
  </si>
  <si>
    <t>1700_58EC</t>
  </si>
  <si>
    <t>1700_5AEC</t>
  </si>
  <si>
    <t>1700_5CEC</t>
  </si>
  <si>
    <t>1700_5EEC</t>
  </si>
  <si>
    <t>1700_60EC</t>
  </si>
  <si>
    <t>1700_62EC</t>
  </si>
  <si>
    <t>1700_64EC</t>
  </si>
  <si>
    <t>1700_66EC</t>
  </si>
  <si>
    <t>1700_68EC</t>
  </si>
  <si>
    <t>1700_6AEC</t>
  </si>
  <si>
    <t>1700_6CEC</t>
  </si>
  <si>
    <t>1700_6EEC</t>
  </si>
  <si>
    <t>1700_70EC</t>
  </si>
  <si>
    <t>1700_72EC</t>
  </si>
  <si>
    <t>1700_74EC</t>
  </si>
  <si>
    <t>1700_76EC</t>
  </si>
  <si>
    <t>1700_78EC</t>
  </si>
  <si>
    <t>1700_7AEC</t>
  </si>
  <si>
    <t>1700_7CEC</t>
  </si>
  <si>
    <t>1700_7EEC</t>
  </si>
  <si>
    <t>1700_00ED</t>
  </si>
  <si>
    <t>1700_02ED</t>
  </si>
  <si>
    <t>1700_04ED</t>
  </si>
  <si>
    <t>1700_06ED</t>
  </si>
  <si>
    <t>1700_08ED</t>
  </si>
  <si>
    <t>1700_0AED</t>
  </si>
  <si>
    <t>1700_0CED</t>
  </si>
  <si>
    <t>1700_0EED</t>
  </si>
  <si>
    <t>1700_10ED</t>
  </si>
  <si>
    <t>1700_12ED</t>
  </si>
  <si>
    <t>1700_14ED</t>
  </si>
  <si>
    <t>1700_16ED</t>
  </si>
  <si>
    <t>1700_18ED</t>
  </si>
  <si>
    <t>1700_1AED</t>
  </si>
  <si>
    <t>1700_1CED</t>
  </si>
  <si>
    <t>1700_1EED</t>
  </si>
  <si>
    <t>1700_20ED</t>
  </si>
  <si>
    <t>1700_22ED</t>
  </si>
  <si>
    <t>1700_24ED</t>
  </si>
  <si>
    <t>1700_26ED</t>
  </si>
  <si>
    <t>1700_28ED</t>
  </si>
  <si>
    <t>1700_2AED</t>
  </si>
  <si>
    <t>1700_2CED</t>
  </si>
  <si>
    <t>1700_2EED</t>
  </si>
  <si>
    <t>1700_30ED</t>
  </si>
  <si>
    <t>1700_32ED</t>
  </si>
  <si>
    <t>1700_34ED</t>
  </si>
  <si>
    <t>1700_36ED</t>
  </si>
  <si>
    <t>1700_38ED</t>
  </si>
  <si>
    <t>1700_3AED</t>
  </si>
  <si>
    <t>1700_3CED</t>
  </si>
  <si>
    <t>1700_3EED</t>
  </si>
  <si>
    <t>1700_40ED</t>
  </si>
  <si>
    <t>1700_42ED</t>
  </si>
  <si>
    <t>1700_44ED</t>
  </si>
  <si>
    <t>1700_46ED</t>
  </si>
  <si>
    <t>1700_48ED</t>
  </si>
  <si>
    <t>1700_4AED</t>
  </si>
  <si>
    <t>1700_4CED</t>
  </si>
  <si>
    <t>1700_4EED</t>
  </si>
  <si>
    <t>1700_50ED</t>
  </si>
  <si>
    <t>1700_52ED</t>
  </si>
  <si>
    <t>1700_54ED</t>
  </si>
  <si>
    <t>1700_56ED</t>
  </si>
  <si>
    <t>1700_58ED</t>
  </si>
  <si>
    <t>1700_5AED</t>
  </si>
  <si>
    <t>1700_5CED</t>
  </si>
  <si>
    <t>1700_5EED</t>
  </si>
  <si>
    <t>1700_60ED</t>
  </si>
  <si>
    <t>1700_62ED</t>
  </si>
  <si>
    <t>1700_64ED</t>
  </si>
  <si>
    <t>1700_66ED</t>
  </si>
  <si>
    <t>1700_68ED</t>
  </si>
  <si>
    <t>1700_6AED</t>
  </si>
  <si>
    <t>1700_6CED</t>
  </si>
  <si>
    <t>1700_6EED</t>
  </si>
  <si>
    <t>1700_70ED</t>
  </si>
  <si>
    <t>1700_72ED</t>
  </si>
  <si>
    <t>1700_74ED</t>
  </si>
  <si>
    <t>1700_76ED</t>
  </si>
  <si>
    <t>1700_78ED</t>
  </si>
  <si>
    <t>1700_7AED</t>
  </si>
  <si>
    <t>1700_7CED</t>
  </si>
  <si>
    <t>1700_7EED</t>
  </si>
  <si>
    <t>1700_00EE</t>
  </si>
  <si>
    <t>1700_02EE</t>
  </si>
  <si>
    <t>1700_04EE</t>
  </si>
  <si>
    <t>1700_06EE</t>
  </si>
  <si>
    <t>1700_08EE</t>
  </si>
  <si>
    <t>1700_0AEE</t>
  </si>
  <si>
    <t>1700_0CEE</t>
  </si>
  <si>
    <t>1700_0EEE</t>
  </si>
  <si>
    <t>1700_10EE</t>
  </si>
  <si>
    <t>1700_12EE</t>
  </si>
  <si>
    <t>1700_14EE</t>
  </si>
  <si>
    <t>1700_16EE</t>
  </si>
  <si>
    <t>1700_18EE</t>
  </si>
  <si>
    <t>1700_1AEE</t>
  </si>
  <si>
    <t>1700_1CEE</t>
  </si>
  <si>
    <t>1700_1EEE</t>
  </si>
  <si>
    <t>1700_20EE</t>
  </si>
  <si>
    <t>1700_22EE</t>
  </si>
  <si>
    <t>1700_24EE</t>
  </si>
  <si>
    <t>1700_26EE</t>
  </si>
  <si>
    <t>1700_28EE</t>
  </si>
  <si>
    <t>1700_2AEE</t>
  </si>
  <si>
    <t>1700_2CEE</t>
  </si>
  <si>
    <t>1700_2EEE</t>
  </si>
  <si>
    <t>1700_30EE</t>
  </si>
  <si>
    <t>1700_32EE</t>
  </si>
  <si>
    <t>1700_34EE</t>
  </si>
  <si>
    <t>1700_36EE</t>
  </si>
  <si>
    <t>1700_38EE</t>
  </si>
  <si>
    <t>1700_3AEE</t>
  </si>
  <si>
    <t>1700_3CEE</t>
  </si>
  <si>
    <t>1700_3EEE</t>
  </si>
  <si>
    <t>1700_40EE</t>
  </si>
  <si>
    <t>1700_42EE</t>
  </si>
  <si>
    <t>1700_44EE</t>
  </si>
  <si>
    <t>1700_46EE</t>
  </si>
  <si>
    <t>1700_48EE</t>
  </si>
  <si>
    <t>1700_4AEE</t>
  </si>
  <si>
    <t>1700_4CEE</t>
  </si>
  <si>
    <t>1700_4EEE</t>
  </si>
  <si>
    <t>1700_50EE</t>
  </si>
  <si>
    <t>1700_52EE</t>
  </si>
  <si>
    <t>1700_54EE</t>
  </si>
  <si>
    <t>1700_56EE</t>
  </si>
  <si>
    <t>1700_58EE</t>
  </si>
  <si>
    <t>1700_5AEE</t>
  </si>
  <si>
    <t>1700_5CEE</t>
  </si>
  <si>
    <t>1700_5EEE</t>
  </si>
  <si>
    <t>1700_60EE</t>
  </si>
  <si>
    <t>1700_62EE</t>
  </si>
  <si>
    <t>1700_64EE</t>
  </si>
  <si>
    <t>1700_66EE</t>
  </si>
  <si>
    <t>1700_68EE</t>
  </si>
  <si>
    <t>1700_6AEE</t>
  </si>
  <si>
    <t>1700_6CEE</t>
  </si>
  <si>
    <t>1700_6EEE</t>
  </si>
  <si>
    <t>1700_70EE</t>
  </si>
  <si>
    <t>1700_72EE</t>
  </si>
  <si>
    <t>1700_74EE</t>
  </si>
  <si>
    <t>1700_76EE</t>
  </si>
  <si>
    <t>1700_78EE</t>
  </si>
  <si>
    <t>1700_7AEE</t>
  </si>
  <si>
    <t>1700_7CEE</t>
  </si>
  <si>
    <t>1700_7EEE</t>
  </si>
  <si>
    <t>1700_00EF</t>
  </si>
  <si>
    <t>1700_02EF</t>
  </si>
  <si>
    <t>1700_04EF</t>
  </si>
  <si>
    <t>1700_06EF</t>
  </si>
  <si>
    <t>1700_08EF</t>
  </si>
  <si>
    <t>1700_0AEF</t>
  </si>
  <si>
    <t>1700_0CEF</t>
  </si>
  <si>
    <t>1700_0EEF</t>
  </si>
  <si>
    <t>1700_10EF</t>
  </si>
  <si>
    <t>1700_12EF</t>
  </si>
  <si>
    <t>1700_14EF</t>
  </si>
  <si>
    <t>1700_16EF</t>
  </si>
  <si>
    <t>1700_18EF</t>
  </si>
  <si>
    <t>1700_1AEF</t>
  </si>
  <si>
    <t>1700_1CEF</t>
  </si>
  <si>
    <t>1700_1EEF</t>
  </si>
  <si>
    <t>1700_20EF</t>
  </si>
  <si>
    <t>1700_22EF</t>
  </si>
  <si>
    <t>1700_24EF</t>
  </si>
  <si>
    <t>1700_26EF</t>
  </si>
  <si>
    <t>1700_28EF</t>
  </si>
  <si>
    <t>1700_2AEF</t>
  </si>
  <si>
    <t>1700_2CEF</t>
  </si>
  <si>
    <t>1700_2EEF</t>
  </si>
  <si>
    <t>1700_30EF</t>
  </si>
  <si>
    <t>1700_32EF</t>
  </si>
  <si>
    <t>1700_34EF</t>
  </si>
  <si>
    <t>1700_36EF</t>
  </si>
  <si>
    <t>1700_38EF</t>
  </si>
  <si>
    <t>1700_3AEF</t>
  </si>
  <si>
    <t>1700_3CEF</t>
  </si>
  <si>
    <t>1700_3EEF</t>
  </si>
  <si>
    <t>1700_40EF</t>
  </si>
  <si>
    <t>1700_42EF</t>
  </si>
  <si>
    <t>1700_44EF</t>
  </si>
  <si>
    <t>1700_46EF</t>
  </si>
  <si>
    <t>1700_48EF</t>
  </si>
  <si>
    <t>1700_4AEF</t>
  </si>
  <si>
    <t>1700_4CEF</t>
  </si>
  <si>
    <t>1700_4EEF</t>
  </si>
  <si>
    <t>1700_50EF</t>
  </si>
  <si>
    <t>1700_52EF</t>
  </si>
  <si>
    <t>1700_54EF</t>
  </si>
  <si>
    <t>1700_56EF</t>
  </si>
  <si>
    <t>1700_58EF</t>
  </si>
  <si>
    <t>1700_5AEF</t>
  </si>
  <si>
    <t>1700_5CEF</t>
  </si>
  <si>
    <t>1700_5EEF</t>
  </si>
  <si>
    <t>1700_60EF</t>
  </si>
  <si>
    <t>1700_62EF</t>
  </si>
  <si>
    <t>1700_64EF</t>
  </si>
  <si>
    <t>1700_66EF</t>
  </si>
  <si>
    <t>1700_68EF</t>
  </si>
  <si>
    <t>1700_6AEF</t>
  </si>
  <si>
    <t>1700_6CEF</t>
  </si>
  <si>
    <t>1700_6EEF</t>
  </si>
  <si>
    <t>1700_70EF</t>
  </si>
  <si>
    <t>1700_72EF</t>
  </si>
  <si>
    <t>1700_74EF</t>
  </si>
  <si>
    <t>1700_76EF</t>
  </si>
  <si>
    <t>1700_78EF</t>
  </si>
  <si>
    <t>1700_7AEF</t>
  </si>
  <si>
    <t>1700_7CEF</t>
  </si>
  <si>
    <t>1700_7EEF</t>
  </si>
  <si>
    <t>1700_00F0</t>
  </si>
  <si>
    <t>1700_02F0</t>
  </si>
  <si>
    <t>1700_04F0</t>
  </si>
  <si>
    <t>1700_06F0</t>
  </si>
  <si>
    <t>1700_08F0</t>
  </si>
  <si>
    <t>1700_0AF0</t>
  </si>
  <si>
    <t>1700_0CF0</t>
  </si>
  <si>
    <t>1700_0EF0</t>
  </si>
  <si>
    <t>1700_10F0</t>
  </si>
  <si>
    <t>1700_12F0</t>
  </si>
  <si>
    <t>1700_14F0</t>
  </si>
  <si>
    <t>1700_16F0</t>
  </si>
  <si>
    <t>1700_18F0</t>
  </si>
  <si>
    <t>1700_1AF0</t>
  </si>
  <si>
    <t>1700_1CF0</t>
  </si>
  <si>
    <t>1700_1EF0</t>
  </si>
  <si>
    <t>1700_20F0</t>
  </si>
  <si>
    <t>1700_22F0</t>
  </si>
  <si>
    <t>1700_24F0</t>
  </si>
  <si>
    <t>1700_26F0</t>
  </si>
  <si>
    <t>1700_28F0</t>
  </si>
  <si>
    <t>1700_2AF0</t>
  </si>
  <si>
    <t>1700_2CF0</t>
  </si>
  <si>
    <t>1700_2EF0</t>
  </si>
  <si>
    <t>1700_30F0</t>
  </si>
  <si>
    <t>1700_32F0</t>
  </si>
  <si>
    <t>1700_34F0</t>
  </si>
  <si>
    <t>1700_36F0</t>
  </si>
  <si>
    <t>1700_38F0</t>
  </si>
  <si>
    <t>1700_3AF0</t>
  </si>
  <si>
    <t>1700_3CF0</t>
  </si>
  <si>
    <t>1700_3EF0</t>
  </si>
  <si>
    <t>1700_40F0</t>
  </si>
  <si>
    <t>1700_42F0</t>
  </si>
  <si>
    <t>1700_44F0</t>
  </si>
  <si>
    <t>1700_46F0</t>
  </si>
  <si>
    <t>1700_48F0</t>
  </si>
  <si>
    <t>1700_4AF0</t>
  </si>
  <si>
    <t>1700_4CF0</t>
  </si>
  <si>
    <t>1700_4EF0</t>
  </si>
  <si>
    <t>1700_50F0</t>
  </si>
  <si>
    <t>1700_52F0</t>
  </si>
  <si>
    <t>1700_54F0</t>
  </si>
  <si>
    <t>1700_56F0</t>
  </si>
  <si>
    <t>1700_58F0</t>
  </si>
  <si>
    <t>1700_5AF0</t>
  </si>
  <si>
    <t>1700_5CF0</t>
  </si>
  <si>
    <t>1700_5EF0</t>
  </si>
  <si>
    <t>1700_60F0</t>
  </si>
  <si>
    <t>1700_62F0</t>
  </si>
  <si>
    <t>1700_64F0</t>
  </si>
  <si>
    <t>1700_66F0</t>
  </si>
  <si>
    <t>1700_68F0</t>
  </si>
  <si>
    <t>1700_6AF0</t>
  </si>
  <si>
    <t>1700_6CF0</t>
  </si>
  <si>
    <t>1700_6EF0</t>
  </si>
  <si>
    <t>1700_70F0</t>
  </si>
  <si>
    <t>1700_72F0</t>
  </si>
  <si>
    <t>1700_74F0</t>
  </si>
  <si>
    <t>1700_76F0</t>
  </si>
  <si>
    <t>1700_78F0</t>
  </si>
  <si>
    <t>1700_7AF0</t>
  </si>
  <si>
    <t>1700_7CF0</t>
  </si>
  <si>
    <t>1700_7EF0</t>
  </si>
  <si>
    <t>1700_00F1</t>
  </si>
  <si>
    <t>1700_02F1</t>
  </si>
  <si>
    <t>1700_04F1</t>
  </si>
  <si>
    <t>1700_06F1</t>
  </si>
  <si>
    <t>1700_08F1</t>
  </si>
  <si>
    <t>1700_0AF1</t>
  </si>
  <si>
    <t>1700_0CF1</t>
  </si>
  <si>
    <t>1700_0EF1</t>
  </si>
  <si>
    <t>1700_10F1</t>
  </si>
  <si>
    <t>1700_12F1</t>
  </si>
  <si>
    <t>1700_14F1</t>
  </si>
  <si>
    <t>1700_16F1</t>
  </si>
  <si>
    <t>1700_18F1</t>
  </si>
  <si>
    <t>1700_1AF1</t>
  </si>
  <si>
    <t>1700_1CF1</t>
  </si>
  <si>
    <t>1700_1EF1</t>
  </si>
  <si>
    <t>1700_20F1</t>
  </si>
  <si>
    <t>1700_22F1</t>
  </si>
  <si>
    <t>1700_24F1</t>
  </si>
  <si>
    <t>1700_26F1</t>
  </si>
  <si>
    <t>1700_28F1</t>
  </si>
  <si>
    <t>1700_2AF1</t>
  </si>
  <si>
    <t>1700_2CF1</t>
  </si>
  <si>
    <t>1700_2EF1</t>
  </si>
  <si>
    <t>1700_30F1</t>
  </si>
  <si>
    <t>1700_32F1</t>
  </si>
  <si>
    <t>1700_34F1</t>
  </si>
  <si>
    <t>1700_36F1</t>
  </si>
  <si>
    <t>1700_38F1</t>
  </si>
  <si>
    <t>1700_3AF1</t>
  </si>
  <si>
    <t>1700_3CF1</t>
  </si>
  <si>
    <t>1700_3EF1</t>
  </si>
  <si>
    <t>1700_40F1</t>
  </si>
  <si>
    <t>1700_42F1</t>
  </si>
  <si>
    <t>1700_44F1</t>
  </si>
  <si>
    <t>1700_46F1</t>
  </si>
  <si>
    <t>1700_48F1</t>
  </si>
  <si>
    <t>1700_4AF1</t>
  </si>
  <si>
    <t>1700_4CF1</t>
  </si>
  <si>
    <t>1700_4EF1</t>
  </si>
  <si>
    <t>1700_50F1</t>
  </si>
  <si>
    <t>1700_52F1</t>
  </si>
  <si>
    <t>1700_54F1</t>
  </si>
  <si>
    <t>1700_56F1</t>
  </si>
  <si>
    <t>1700_58F1</t>
  </si>
  <si>
    <t>1700_5AF1</t>
  </si>
  <si>
    <t>1700_5CF1</t>
  </si>
  <si>
    <t>1700_5EF1</t>
  </si>
  <si>
    <t>1700_60F1</t>
  </si>
  <si>
    <t>1700_62F1</t>
  </si>
  <si>
    <t>1700_64F1</t>
  </si>
  <si>
    <t>1700_66F1</t>
  </si>
  <si>
    <t>1700_68F1</t>
  </si>
  <si>
    <t>1700_6AF1</t>
  </si>
  <si>
    <t>1700_6CF1</t>
  </si>
  <si>
    <t>1700_6EF1</t>
  </si>
  <si>
    <t>1700_70F1</t>
  </si>
  <si>
    <t>1700_72F1</t>
  </si>
  <si>
    <t>1700_74F1</t>
  </si>
  <si>
    <t>1700_76F1</t>
  </si>
  <si>
    <t>1700_78F1</t>
  </si>
  <si>
    <t>1700_7AF1</t>
  </si>
  <si>
    <t>1700_7CF1</t>
  </si>
  <si>
    <t>1700_7EF1</t>
  </si>
  <si>
    <t>1700_00F2</t>
  </si>
  <si>
    <t>1700_02F2</t>
  </si>
  <si>
    <t>1700_04F2</t>
  </si>
  <si>
    <t>1700_06F2</t>
  </si>
  <si>
    <t>1700_08F2</t>
  </si>
  <si>
    <t>1700_0AF2</t>
  </si>
  <si>
    <t>1700_0CF2</t>
  </si>
  <si>
    <t>1700_0EF2</t>
  </si>
  <si>
    <t>1700_10F2</t>
  </si>
  <si>
    <t>1700_12F2</t>
  </si>
  <si>
    <t>1700_14F2</t>
  </si>
  <si>
    <t>1700_16F2</t>
  </si>
  <si>
    <t>1700_18F2</t>
  </si>
  <si>
    <t>1700_1AF2</t>
  </si>
  <si>
    <t>1700_1CF2</t>
  </si>
  <si>
    <t>1700_1EF2</t>
  </si>
  <si>
    <t>1700_20F2</t>
  </si>
  <si>
    <t>1700_22F2</t>
  </si>
  <si>
    <t>1700_24F2</t>
  </si>
  <si>
    <t>1700_26F2</t>
  </si>
  <si>
    <t>1700_28F2</t>
  </si>
  <si>
    <t>1700_2AF2</t>
  </si>
  <si>
    <t>1700_2CF2</t>
  </si>
  <si>
    <t>1700_2EF2</t>
  </si>
  <si>
    <t>1700_30F2</t>
  </si>
  <si>
    <t>1700_32F2</t>
  </si>
  <si>
    <t>1700_34F2</t>
  </si>
  <si>
    <t>1700_36F2</t>
  </si>
  <si>
    <t>1700_38F2</t>
  </si>
  <si>
    <t>1700_3AF2</t>
  </si>
  <si>
    <t>1700_3CF2</t>
  </si>
  <si>
    <t>1700_3EF2</t>
  </si>
  <si>
    <t>1700_40F2</t>
  </si>
  <si>
    <t>1700_42F2</t>
  </si>
  <si>
    <t>1700_44F2</t>
  </si>
  <si>
    <t>1700_46F2</t>
  </si>
  <si>
    <t>1700_48F2</t>
  </si>
  <si>
    <t>1700_4AF2</t>
  </si>
  <si>
    <t>1700_4CF2</t>
  </si>
  <si>
    <t>1700_4EF2</t>
  </si>
  <si>
    <t>1700_50F2</t>
  </si>
  <si>
    <t>1700_52F2</t>
  </si>
  <si>
    <t>1700_54F2</t>
  </si>
  <si>
    <t>1700_56F2</t>
  </si>
  <si>
    <t>1700_58F2</t>
  </si>
  <si>
    <t>1700_5AF2</t>
  </si>
  <si>
    <t>1700_5CF2</t>
  </si>
  <si>
    <t>1700_5EF2</t>
  </si>
  <si>
    <t>1700_60F2</t>
  </si>
  <si>
    <t>1700_62F2</t>
  </si>
  <si>
    <t>1700_64F2</t>
  </si>
  <si>
    <t>1700_66F2</t>
  </si>
  <si>
    <t>1700_68F2</t>
  </si>
  <si>
    <t>1700_6AF2</t>
  </si>
  <si>
    <t>1700_6CF2</t>
  </si>
  <si>
    <t>1700_6EF2</t>
  </si>
  <si>
    <t>1700_70F2</t>
  </si>
  <si>
    <t>1700_72F2</t>
  </si>
  <si>
    <t>1700_74F2</t>
  </si>
  <si>
    <t>1700_76F2</t>
  </si>
  <si>
    <t>1700_78F2</t>
  </si>
  <si>
    <t>1700_7AF2</t>
  </si>
  <si>
    <t>1700_7CF2</t>
  </si>
  <si>
    <t>1700_7EF2</t>
  </si>
  <si>
    <t>1700_00F3</t>
  </si>
  <si>
    <t>1700_02F3</t>
  </si>
  <si>
    <t>1700_04F3</t>
  </si>
  <si>
    <t>1700_06F3</t>
  </si>
  <si>
    <t>1700_08F3</t>
  </si>
  <si>
    <t>1700_0AF3</t>
  </si>
  <si>
    <t>1700_0CF3</t>
  </si>
  <si>
    <t>1700_0EF3</t>
  </si>
  <si>
    <t>1700_10F3</t>
  </si>
  <si>
    <t>1700_12F3</t>
  </si>
  <si>
    <t>1700_14F3</t>
  </si>
  <si>
    <t>1700_16F3</t>
  </si>
  <si>
    <t>1700_18F3</t>
  </si>
  <si>
    <t>1700_1AF3</t>
  </si>
  <si>
    <t>1700_1CF3</t>
  </si>
  <si>
    <t>1700_1EF3</t>
  </si>
  <si>
    <t>1700_20F3</t>
  </si>
  <si>
    <t>1700_22F3</t>
  </si>
  <si>
    <t>1700_24F3</t>
  </si>
  <si>
    <t>1700_26F3</t>
  </si>
  <si>
    <t>1700_28F3</t>
  </si>
  <si>
    <t>1700_2AF3</t>
  </si>
  <si>
    <t>1700_2CF3</t>
  </si>
  <si>
    <t>1700_2EF3</t>
  </si>
  <si>
    <t>1700_30F3</t>
  </si>
  <si>
    <t>1700_32F3</t>
  </si>
  <si>
    <t>1700_34F3</t>
  </si>
  <si>
    <t>1700_36F3</t>
  </si>
  <si>
    <t>1700_38F3</t>
  </si>
  <si>
    <t>1700_3AF3</t>
  </si>
  <si>
    <t>1700_3CF3</t>
  </si>
  <si>
    <t>1700_3EF3</t>
  </si>
  <si>
    <t>1700_40F3</t>
  </si>
  <si>
    <t>1700_42F3</t>
  </si>
  <si>
    <t>1700_44F3</t>
  </si>
  <si>
    <t>1700_46F3</t>
  </si>
  <si>
    <t>1700_48F3</t>
  </si>
  <si>
    <t>1700_4AF3</t>
  </si>
  <si>
    <t>1700_4CF3</t>
  </si>
  <si>
    <t>1700_4EF3</t>
  </si>
  <si>
    <t>1700_50F3</t>
  </si>
  <si>
    <t>1700_52F3</t>
  </si>
  <si>
    <t>1700_54F3</t>
  </si>
  <si>
    <t>1700_56F3</t>
  </si>
  <si>
    <t>1700_58F3</t>
  </si>
  <si>
    <t>1700_5AF3</t>
  </si>
  <si>
    <t>1700_5CF3</t>
  </si>
  <si>
    <t>1700_5EF3</t>
  </si>
  <si>
    <t>1700_60F3</t>
  </si>
  <si>
    <t>1700_62F3</t>
  </si>
  <si>
    <t>1700_64F3</t>
  </si>
  <si>
    <t>1700_66F3</t>
  </si>
  <si>
    <t>1700_68F3</t>
  </si>
  <si>
    <t>1700_6AF3</t>
  </si>
  <si>
    <t>1700_6CF3</t>
  </si>
  <si>
    <t>1700_6EF3</t>
  </si>
  <si>
    <t>1700_70F3</t>
  </si>
  <si>
    <t>1700_72F3</t>
  </si>
  <si>
    <t>1700_74F3</t>
  </si>
  <si>
    <t>1700_76F3</t>
  </si>
  <si>
    <t>1700_78F3</t>
  </si>
  <si>
    <t>1700_7AF3</t>
  </si>
  <si>
    <t>1700_7CF3</t>
  </si>
  <si>
    <t>1700_7EF3</t>
  </si>
  <si>
    <t>1700_00F4</t>
  </si>
  <si>
    <t>1700_02F4</t>
  </si>
  <si>
    <t>1700_04F4</t>
  </si>
  <si>
    <t>1700_06F4</t>
  </si>
  <si>
    <t>1700_08F4</t>
  </si>
  <si>
    <t>1700_0AF4</t>
  </si>
  <si>
    <t>1700_0CF4</t>
  </si>
  <si>
    <t>1700_0EF4</t>
  </si>
  <si>
    <t>1700_10F4</t>
  </si>
  <si>
    <t>1700_12F4</t>
  </si>
  <si>
    <t>1700_14F4</t>
  </si>
  <si>
    <t>1700_16F4</t>
  </si>
  <si>
    <t>1700_18F4</t>
  </si>
  <si>
    <t>1700_1AF4</t>
  </si>
  <si>
    <t>1700_1CF4</t>
  </si>
  <si>
    <t>1700_1EF4</t>
  </si>
  <si>
    <t>1700_20F4</t>
  </si>
  <si>
    <t>1700_22F4</t>
  </si>
  <si>
    <t>1700_24F4</t>
  </si>
  <si>
    <t>1700_26F4</t>
  </si>
  <si>
    <t>1700_28F4</t>
  </si>
  <si>
    <t>1700_2AF4</t>
  </si>
  <si>
    <t>1700_2CF4</t>
  </si>
  <si>
    <t>1700_2EF4</t>
  </si>
  <si>
    <t>1700_30F4</t>
  </si>
  <si>
    <t>1700_32F4</t>
  </si>
  <si>
    <t>1700_34F4</t>
  </si>
  <si>
    <t>1700_36F4</t>
  </si>
  <si>
    <t>1700_38F4</t>
  </si>
  <si>
    <t>1700_3AF4</t>
  </si>
  <si>
    <t>1700_3CF4</t>
  </si>
  <si>
    <t>1700_3EF4</t>
  </si>
  <si>
    <t>1700_40F4</t>
  </si>
  <si>
    <t>1700_42F4</t>
  </si>
  <si>
    <t>1700_44F4</t>
  </si>
  <si>
    <t>1700_46F4</t>
  </si>
  <si>
    <t>1700_48F4</t>
  </si>
  <si>
    <t>1700_4AF4</t>
  </si>
  <si>
    <t>1700_4CF4</t>
  </si>
  <si>
    <t>1700_4EF4</t>
  </si>
  <si>
    <t>1700_50F4</t>
  </si>
  <si>
    <t>1700_52F4</t>
  </si>
  <si>
    <t>1700_54F4</t>
  </si>
  <si>
    <t>1700_56F4</t>
  </si>
  <si>
    <t>1700_58F4</t>
  </si>
  <si>
    <t>1700_5AF4</t>
  </si>
  <si>
    <t>1700_5CF4</t>
  </si>
  <si>
    <t>1700_5EF4</t>
  </si>
  <si>
    <t>1700_60F4</t>
  </si>
  <si>
    <t>1700_62F4</t>
  </si>
  <si>
    <t>1700_64F4</t>
  </si>
  <si>
    <t>1700_66F4</t>
  </si>
  <si>
    <t>1700_68F4</t>
  </si>
  <si>
    <t>1700_6AF4</t>
  </si>
  <si>
    <t>1700_6CF4</t>
  </si>
  <si>
    <t>1700_6EF4</t>
  </si>
  <si>
    <t>1700_70F4</t>
  </si>
  <si>
    <t>1700_72F4</t>
  </si>
  <si>
    <t>1700_74F4</t>
  </si>
  <si>
    <t>1700_76F4</t>
  </si>
  <si>
    <t>1700_78F4</t>
  </si>
  <si>
    <t>1700_7AF4</t>
  </si>
  <si>
    <t>1700_7CF4</t>
  </si>
  <si>
    <t>1700_7EF4</t>
  </si>
  <si>
    <t>1700_00F5</t>
  </si>
  <si>
    <t>1700_02F5</t>
  </si>
  <si>
    <t>1700_04F5</t>
  </si>
  <si>
    <t>1700_06F5</t>
  </si>
  <si>
    <t>1700_08F5</t>
  </si>
  <si>
    <t>1700_0AF5</t>
  </si>
  <si>
    <t>1700_0CF5</t>
  </si>
  <si>
    <t>1700_0EF5</t>
  </si>
  <si>
    <t>1700_10F5</t>
  </si>
  <si>
    <t>1700_12F5</t>
  </si>
  <si>
    <t>1700_14F5</t>
  </si>
  <si>
    <t>1700_16F5</t>
  </si>
  <si>
    <t>1700_18F5</t>
  </si>
  <si>
    <t>1700_1AF5</t>
  </si>
  <si>
    <t>1700_1CF5</t>
  </si>
  <si>
    <t>1700_1EF5</t>
  </si>
  <si>
    <t>1700_20F5</t>
  </si>
  <si>
    <t>1700_22F5</t>
  </si>
  <si>
    <t>1700_24F5</t>
  </si>
  <si>
    <t>1700_26F5</t>
  </si>
  <si>
    <t>1700_28F5</t>
  </si>
  <si>
    <t>1700_2AF5</t>
  </si>
  <si>
    <t>1700_2CF5</t>
  </si>
  <si>
    <t>1700_2EF5</t>
  </si>
  <si>
    <t>1700_30F5</t>
  </si>
  <si>
    <t>1700_32F5</t>
  </si>
  <si>
    <t>1700_34F5</t>
  </si>
  <si>
    <t>1700_36F5</t>
  </si>
  <si>
    <t>1700_38F5</t>
  </si>
  <si>
    <t>1700_3AF5</t>
  </si>
  <si>
    <t>1700_3CF5</t>
  </si>
  <si>
    <t>1700_3EF5</t>
  </si>
  <si>
    <t>1700_40F5</t>
  </si>
  <si>
    <t>1700_42F5</t>
  </si>
  <si>
    <t>1700_44F5</t>
  </si>
  <si>
    <t>1700_46F5</t>
  </si>
  <si>
    <t>1700_48F5</t>
  </si>
  <si>
    <t>1700_4AF5</t>
  </si>
  <si>
    <t>1700_4CF5</t>
  </si>
  <si>
    <t>1700_4EF5</t>
  </si>
  <si>
    <t>1700_50F5</t>
  </si>
  <si>
    <t>1700_52F5</t>
  </si>
  <si>
    <t>1700_54F5</t>
  </si>
  <si>
    <t>1700_56F5</t>
  </si>
  <si>
    <t>1700_58F5</t>
  </si>
  <si>
    <t>1700_5AF5</t>
  </si>
  <si>
    <t>1700_5CF5</t>
  </si>
  <si>
    <t>1700_5EF5</t>
  </si>
  <si>
    <t>1700_60F5</t>
  </si>
  <si>
    <t>1700_62F5</t>
  </si>
  <si>
    <t>1700_64F5</t>
  </si>
  <si>
    <t>1700_66F5</t>
  </si>
  <si>
    <t>1700_68F5</t>
  </si>
  <si>
    <t>1700_6AF5</t>
  </si>
  <si>
    <t>1700_6CF5</t>
  </si>
  <si>
    <t>1700_6EF5</t>
  </si>
  <si>
    <t>1700_70F5</t>
  </si>
  <si>
    <t>1700_72F5</t>
  </si>
  <si>
    <t>1700_74F5</t>
  </si>
  <si>
    <t>1700_76F5</t>
  </si>
  <si>
    <t>1700_78F5</t>
  </si>
  <si>
    <t>1700_7AF5</t>
  </si>
  <si>
    <t>1700_7CF5</t>
  </si>
  <si>
    <t>1700_7EF5</t>
  </si>
  <si>
    <t>1700_00F6</t>
  </si>
  <si>
    <t>1700_02F6</t>
  </si>
  <si>
    <t>1700_04F6</t>
  </si>
  <si>
    <t>1700_06F6</t>
  </si>
  <si>
    <t>1700_08F6</t>
  </si>
  <si>
    <t>1700_0AF6</t>
  </si>
  <si>
    <t>1700_0CF6</t>
  </si>
  <si>
    <t>1700_0EF6</t>
  </si>
  <si>
    <t>1700_10F6</t>
  </si>
  <si>
    <t>1700_12F6</t>
  </si>
  <si>
    <t>1700_14F6</t>
  </si>
  <si>
    <t>1700_16F6</t>
  </si>
  <si>
    <t>1700_18F6</t>
  </si>
  <si>
    <t>1700_1AF6</t>
  </si>
  <si>
    <t>1700_1CF6</t>
  </si>
  <si>
    <t>1700_1EF6</t>
  </si>
  <si>
    <t>1700_20F6</t>
  </si>
  <si>
    <t>1700_22F6</t>
  </si>
  <si>
    <t>1700_24F6</t>
  </si>
  <si>
    <t>1700_26F6</t>
  </si>
  <si>
    <t>1700_28F6</t>
  </si>
  <si>
    <t>1700_2AF6</t>
  </si>
  <si>
    <t>1700_2CF6</t>
  </si>
  <si>
    <t>1700_2EF6</t>
  </si>
  <si>
    <t>1700_30F6</t>
  </si>
  <si>
    <t>1700_32F6</t>
  </si>
  <si>
    <t>1700_34F6</t>
  </si>
  <si>
    <t>1700_36F6</t>
  </si>
  <si>
    <t>1700_38F6</t>
  </si>
  <si>
    <t>1700_3AF6</t>
  </si>
  <si>
    <t>1700_3CF6</t>
  </si>
  <si>
    <t>1700_3EF6</t>
  </si>
  <si>
    <t>1700_40F6</t>
  </si>
  <si>
    <t>1700_42F6</t>
  </si>
  <si>
    <t>1700_44F6</t>
  </si>
  <si>
    <t>1700_46F6</t>
  </si>
  <si>
    <t>1700_48F6</t>
  </si>
  <si>
    <t>1700_4AF6</t>
  </si>
  <si>
    <t>1700_4CF6</t>
  </si>
  <si>
    <t>1700_4EF6</t>
  </si>
  <si>
    <t>1700_50F6</t>
  </si>
  <si>
    <t>1700_52F6</t>
  </si>
  <si>
    <t>1700_54F6</t>
  </si>
  <si>
    <t>1700_56F6</t>
  </si>
  <si>
    <t>1700_58F6</t>
  </si>
  <si>
    <t>1700_5AF6</t>
  </si>
  <si>
    <t>1700_5CF6</t>
  </si>
  <si>
    <t>1700_5EF6</t>
  </si>
  <si>
    <t>1700_60F6</t>
  </si>
  <si>
    <t>1700_62F6</t>
  </si>
  <si>
    <t>1700_64F6</t>
  </si>
  <si>
    <t>1700_66F6</t>
  </si>
  <si>
    <t>1700_68F6</t>
  </si>
  <si>
    <t>1700_6AF6</t>
  </si>
  <si>
    <t>1700_6CF6</t>
  </si>
  <si>
    <t>1700_6EF6</t>
  </si>
  <si>
    <t>1700_70F6</t>
  </si>
  <si>
    <t>1700_72F6</t>
  </si>
  <si>
    <t>1700_74F6</t>
  </si>
  <si>
    <t>1700_76F6</t>
  </si>
  <si>
    <t>1700_78F6</t>
  </si>
  <si>
    <t>1700_7AF6</t>
  </si>
  <si>
    <t>1700_7CF6</t>
  </si>
  <si>
    <t>1700_7EF6</t>
  </si>
  <si>
    <t>1700_00F7</t>
  </si>
  <si>
    <t>1700_02F7</t>
  </si>
  <si>
    <t>1700_04F7</t>
  </si>
  <si>
    <t>1700_06F7</t>
  </si>
  <si>
    <t>1700_08F7</t>
  </si>
  <si>
    <t>1700_0AF7</t>
  </si>
  <si>
    <t>1700_0CF7</t>
  </si>
  <si>
    <t>1700_0EF7</t>
  </si>
  <si>
    <t>1700_10F7</t>
  </si>
  <si>
    <t>1700_12F7</t>
  </si>
  <si>
    <t>1700_14F7</t>
  </si>
  <si>
    <t>1700_16F7</t>
  </si>
  <si>
    <t>1700_18F7</t>
  </si>
  <si>
    <t>1700_1AF7</t>
  </si>
  <si>
    <t>1700_1CF7</t>
  </si>
  <si>
    <t>1700_1EF7</t>
  </si>
  <si>
    <t>1700_20F7</t>
  </si>
  <si>
    <t>1700_22F7</t>
  </si>
  <si>
    <t>1700_24F7</t>
  </si>
  <si>
    <t>1700_26F7</t>
  </si>
  <si>
    <t>1700_28F7</t>
  </si>
  <si>
    <t>1700_2AF7</t>
  </si>
  <si>
    <t>1700_2CF7</t>
  </si>
  <si>
    <t>1700_2EF7</t>
  </si>
  <si>
    <t>1700_30F7</t>
  </si>
  <si>
    <t>1700_32F7</t>
  </si>
  <si>
    <t>1700_34F7</t>
  </si>
  <si>
    <t>1700_36F7</t>
  </si>
  <si>
    <t>1700_38F7</t>
  </si>
  <si>
    <t>1700_3AF7</t>
  </si>
  <si>
    <t>1700_3CF7</t>
  </si>
  <si>
    <t>1700_3EF7</t>
  </si>
  <si>
    <t>1700_40F7</t>
  </si>
  <si>
    <t>1700_42F7</t>
  </si>
  <si>
    <t>1700_44F7</t>
  </si>
  <si>
    <t>1700_46F7</t>
  </si>
  <si>
    <t>1700_48F7</t>
  </si>
  <si>
    <t>1700_4AF7</t>
  </si>
  <si>
    <t>1700_4CF7</t>
  </si>
  <si>
    <t>1700_4EF7</t>
  </si>
  <si>
    <t>1700_50F7</t>
  </si>
  <si>
    <t>1700_52F7</t>
  </si>
  <si>
    <t>1700_54F7</t>
  </si>
  <si>
    <t>1700_56F7</t>
  </si>
  <si>
    <t>1700_58F7</t>
  </si>
  <si>
    <t>1700_5AF7</t>
  </si>
  <si>
    <t>1700_5CF7</t>
  </si>
  <si>
    <t>1700_5EF7</t>
  </si>
  <si>
    <t>1700_60F7</t>
  </si>
  <si>
    <t>1700_62F7</t>
  </si>
  <si>
    <t>1700_64F7</t>
  </si>
  <si>
    <t>1700_66F7</t>
  </si>
  <si>
    <t>1700_68F7</t>
  </si>
  <si>
    <t>1700_6AF7</t>
  </si>
  <si>
    <t>1700_6CF7</t>
  </si>
  <si>
    <t>1700_6EF7</t>
  </si>
  <si>
    <t>1700_70F7</t>
  </si>
  <si>
    <t>1700_72F7</t>
  </si>
  <si>
    <t>1700_74F7</t>
  </si>
  <si>
    <t>1700_76F7</t>
  </si>
  <si>
    <t>1700_78F7</t>
  </si>
  <si>
    <t>1700_7AF7</t>
  </si>
  <si>
    <t>1700_7CF7</t>
  </si>
  <si>
    <t>1700_7EF7</t>
  </si>
  <si>
    <t>1700_00F8</t>
  </si>
  <si>
    <t>1700_02F8</t>
  </si>
  <si>
    <t>1700_04F8</t>
  </si>
  <si>
    <t>1700_06F8</t>
  </si>
  <si>
    <t>1700_08F8</t>
  </si>
  <si>
    <t>1700_0AF8</t>
  </si>
  <si>
    <t>1700_0CF8</t>
  </si>
  <si>
    <t>1700_0EF8</t>
  </si>
  <si>
    <t>1700_10F8</t>
  </si>
  <si>
    <t>1700_12F8</t>
  </si>
  <si>
    <t>1700_14F8</t>
  </si>
  <si>
    <t>1700_16F8</t>
  </si>
  <si>
    <t>1700_18F8</t>
  </si>
  <si>
    <t>1700_1AF8</t>
  </si>
  <si>
    <t>1700_1CF8</t>
  </si>
  <si>
    <t>1700_1EF8</t>
  </si>
  <si>
    <t>1700_20F8</t>
  </si>
  <si>
    <t>1700_22F8</t>
  </si>
  <si>
    <t>1700_24F8</t>
  </si>
  <si>
    <t>1700_26F8</t>
  </si>
  <si>
    <t>1700_28F8</t>
  </si>
  <si>
    <t>1700_2AF8</t>
  </si>
  <si>
    <t>1700_2CF8</t>
  </si>
  <si>
    <t>1700_2EF8</t>
  </si>
  <si>
    <t>1700_30F8</t>
  </si>
  <si>
    <t>1700_32F8</t>
  </si>
  <si>
    <t>1700_34F8</t>
  </si>
  <si>
    <t>1700_36F8</t>
  </si>
  <si>
    <t>1700_38F8</t>
  </si>
  <si>
    <t>1700_3AF8</t>
  </si>
  <si>
    <t>1700_3CF8</t>
  </si>
  <si>
    <t>1700_3EF8</t>
  </si>
  <si>
    <t>1700_40F8</t>
  </si>
  <si>
    <t>1700_42F8</t>
  </si>
  <si>
    <t>1700_44F8</t>
  </si>
  <si>
    <t>1700_46F8</t>
  </si>
  <si>
    <t>1700_48F8</t>
  </si>
  <si>
    <t>1700_4AF8</t>
  </si>
  <si>
    <t>1700_4CF8</t>
  </si>
  <si>
    <t>1700_4EF8</t>
  </si>
  <si>
    <t>1700_50F8</t>
  </si>
  <si>
    <t>1700_52F8</t>
  </si>
  <si>
    <t>1700_54F8</t>
  </si>
  <si>
    <t>1700_56F8</t>
  </si>
  <si>
    <t>1700_58F8</t>
  </si>
  <si>
    <t>1700_5AF8</t>
  </si>
  <si>
    <t>1700_5CF8</t>
  </si>
  <si>
    <t>1700_5EF8</t>
  </si>
  <si>
    <t>1700_60F8</t>
  </si>
  <si>
    <t>1700_62F8</t>
  </si>
  <si>
    <t>1700_64F8</t>
  </si>
  <si>
    <t>1700_66F8</t>
  </si>
  <si>
    <t>1700_68F8</t>
  </si>
  <si>
    <t>1700_6AF8</t>
  </si>
  <si>
    <t>1700_6CF8</t>
  </si>
  <si>
    <t>1700_6EF8</t>
  </si>
  <si>
    <t>1700_70F8</t>
  </si>
  <si>
    <t>1700_72F8</t>
  </si>
  <si>
    <t>1700_74F8</t>
  </si>
  <si>
    <t>1700_76F8</t>
  </si>
  <si>
    <t>1700_78F8</t>
  </si>
  <si>
    <t>1700_7AF8</t>
  </si>
  <si>
    <t>1700_7CF8</t>
  </si>
  <si>
    <t>1700_7EF8</t>
  </si>
  <si>
    <t>1700_00F9</t>
  </si>
  <si>
    <t>1700_02F9</t>
  </si>
  <si>
    <t>1700_04F9</t>
  </si>
  <si>
    <t>1700_06F9</t>
  </si>
  <si>
    <t>1700_08F9</t>
  </si>
  <si>
    <t>1700_0AF9</t>
  </si>
  <si>
    <t>1700_0CF9</t>
  </si>
  <si>
    <t>1700_0EF9</t>
  </si>
  <si>
    <t>1700_10F9</t>
  </si>
  <si>
    <t>1700_12F9</t>
  </si>
  <si>
    <t>1700_14F9</t>
  </si>
  <si>
    <t>1700_16F9</t>
  </si>
  <si>
    <t>1700_18F9</t>
  </si>
  <si>
    <t>1700_1AF9</t>
  </si>
  <si>
    <t>1700_1CF9</t>
  </si>
  <si>
    <t>1700_1EF9</t>
  </si>
  <si>
    <t>1700_20F9</t>
  </si>
  <si>
    <t>1700_22F9</t>
  </si>
  <si>
    <t>1700_24F9</t>
  </si>
  <si>
    <t>1700_26F9</t>
  </si>
  <si>
    <t>1700_28F9</t>
  </si>
  <si>
    <t>1700_2AF9</t>
  </si>
  <si>
    <t>1700_2CF9</t>
  </si>
  <si>
    <t>1700_2EF9</t>
  </si>
  <si>
    <t>1700_30F9</t>
  </si>
  <si>
    <t>1700_32F9</t>
  </si>
  <si>
    <t>1700_34F9</t>
  </si>
  <si>
    <t>1700_36F9</t>
  </si>
  <si>
    <t>1700_38F9</t>
  </si>
  <si>
    <t>1700_3AF9</t>
  </si>
  <si>
    <t>1700_3CF9</t>
  </si>
  <si>
    <t>1700_3EF9</t>
  </si>
  <si>
    <t>1700_40F9</t>
  </si>
  <si>
    <t>1700_42F9</t>
  </si>
  <si>
    <t>1700_44F9</t>
  </si>
  <si>
    <t>1700_46F9</t>
  </si>
  <si>
    <t>1700_48F9</t>
  </si>
  <si>
    <t>1700_4AF9</t>
  </si>
  <si>
    <t>1700_4CF9</t>
  </si>
  <si>
    <t>1700_4EF9</t>
  </si>
  <si>
    <t>1700_50F9</t>
  </si>
  <si>
    <t>1700_52F9</t>
  </si>
  <si>
    <t>1700_54F9</t>
  </si>
  <si>
    <t>1700_56F9</t>
  </si>
  <si>
    <t>1700_58F9</t>
  </si>
  <si>
    <t>1700_5AF9</t>
  </si>
  <si>
    <t>1700_5CF9</t>
  </si>
  <si>
    <t>1700_5EF9</t>
  </si>
  <si>
    <t>1700_60F9</t>
  </si>
  <si>
    <t>1700_62F9</t>
  </si>
  <si>
    <t>1700_64F9</t>
  </si>
  <si>
    <t>1700_66F9</t>
  </si>
  <si>
    <t>1700_68F9</t>
  </si>
  <si>
    <t>1700_6AF9</t>
  </si>
  <si>
    <t>1700_6CF9</t>
  </si>
  <si>
    <t>1700_6EF9</t>
  </si>
  <si>
    <t>1700_70F9</t>
  </si>
  <si>
    <t>1700_72F9</t>
  </si>
  <si>
    <t>1700_74F9</t>
  </si>
  <si>
    <t>1700_76F9</t>
  </si>
  <si>
    <t>1700_78F9</t>
  </si>
  <si>
    <t>1700_7AF9</t>
  </si>
  <si>
    <t>1700_7CF9</t>
  </si>
  <si>
    <t>1700_7EF9</t>
  </si>
  <si>
    <t>1700_00FA</t>
  </si>
  <si>
    <t>1700_02FA</t>
  </si>
  <si>
    <t>1700_04FA</t>
  </si>
  <si>
    <t>1700_06FA</t>
  </si>
  <si>
    <t>1700_08FA</t>
  </si>
  <si>
    <t>1700_0AFA</t>
  </si>
  <si>
    <t>1700_0CFA</t>
  </si>
  <si>
    <t>1700_0EFA</t>
  </si>
  <si>
    <t>1700_10FA</t>
  </si>
  <si>
    <t>1700_12FA</t>
  </si>
  <si>
    <t>1700_14FA</t>
  </si>
  <si>
    <t>1700_16FA</t>
  </si>
  <si>
    <t>1700_18FA</t>
  </si>
  <si>
    <t>1700_1AFA</t>
  </si>
  <si>
    <t>1700_1CFA</t>
  </si>
  <si>
    <t>1700_1EFA</t>
  </si>
  <si>
    <t>1700_20FA</t>
  </si>
  <si>
    <t>1700_22FA</t>
  </si>
  <si>
    <t>1700_24FA</t>
  </si>
  <si>
    <t>1700_26FA</t>
  </si>
  <si>
    <t>1700_28FA</t>
  </si>
  <si>
    <t>1700_2AFA</t>
  </si>
  <si>
    <t>1700_2CFA</t>
  </si>
  <si>
    <t>1700_2EFA</t>
  </si>
  <si>
    <t>1700_30FA</t>
  </si>
  <si>
    <t>1700_32FA</t>
  </si>
  <si>
    <t>1700_34FA</t>
  </si>
  <si>
    <t>1700_36FA</t>
  </si>
  <si>
    <t>1700_38FA</t>
  </si>
  <si>
    <t>1700_3AFA</t>
  </si>
  <si>
    <t>1700_3CFA</t>
  </si>
  <si>
    <t>1700_3EFA</t>
  </si>
  <si>
    <t>1700_40FA</t>
  </si>
  <si>
    <t>1700_42FA</t>
  </si>
  <si>
    <t>1700_44FA</t>
  </si>
  <si>
    <t>1700_46FA</t>
  </si>
  <si>
    <t>1700_48FA</t>
  </si>
  <si>
    <t>1700_4AFA</t>
  </si>
  <si>
    <t>1700_4CFA</t>
  </si>
  <si>
    <t>1700_4EFA</t>
  </si>
  <si>
    <t>1700_50FA</t>
  </si>
  <si>
    <t>1700_52FA</t>
  </si>
  <si>
    <t>1700_54FA</t>
  </si>
  <si>
    <t>1700_56FA</t>
  </si>
  <si>
    <t>1700_58FA</t>
  </si>
  <si>
    <t>1700_5AFA</t>
  </si>
  <si>
    <t>1700_5CFA</t>
  </si>
  <si>
    <t>1700_5EFA</t>
  </si>
  <si>
    <t>1700_60FA</t>
  </si>
  <si>
    <t>1700_62FA</t>
  </si>
  <si>
    <t>1700_64FA</t>
  </si>
  <si>
    <t>1700_66FA</t>
  </si>
  <si>
    <t>1700_68FA</t>
  </si>
  <si>
    <t>1700_6AFA</t>
  </si>
  <si>
    <t>1700_6CFA</t>
  </si>
  <si>
    <t>1700_6EFA</t>
  </si>
  <si>
    <t>1700_70FA</t>
  </si>
  <si>
    <t>1700_72FA</t>
  </si>
  <si>
    <t>1700_74FA</t>
  </si>
  <si>
    <t>1700_76FA</t>
  </si>
  <si>
    <t>1700_78FA</t>
  </si>
  <si>
    <t>1700_7AFA</t>
  </si>
  <si>
    <t>1700_7CFA</t>
  </si>
  <si>
    <t>1700_7EFA</t>
  </si>
  <si>
    <t>1700_00FB</t>
  </si>
  <si>
    <t>1700_02FB</t>
  </si>
  <si>
    <t>1700_04FB</t>
  </si>
  <si>
    <t>1700_06FB</t>
  </si>
  <si>
    <t>1700_08FB</t>
  </si>
  <si>
    <t>1700_0AFB</t>
  </si>
  <si>
    <t>1700_0CFB</t>
  </si>
  <si>
    <t>1700_0EFB</t>
  </si>
  <si>
    <t>1700_10FB</t>
  </si>
  <si>
    <t>1700_12FB</t>
  </si>
  <si>
    <t>1700_14FB</t>
  </si>
  <si>
    <t>1700_16FB</t>
  </si>
  <si>
    <t>1700_18FB</t>
  </si>
  <si>
    <t>1700_1AFB</t>
  </si>
  <si>
    <t>1700_1CFB</t>
  </si>
  <si>
    <t>1700_1EFB</t>
  </si>
  <si>
    <t>1700_20FB</t>
  </si>
  <si>
    <t>1700_22FB</t>
  </si>
  <si>
    <t>1700_24FB</t>
  </si>
  <si>
    <t>1700_26FB</t>
  </si>
  <si>
    <t>1700_28FB</t>
  </si>
  <si>
    <t>1700_2AFB</t>
  </si>
  <si>
    <t>1700_2CFB</t>
  </si>
  <si>
    <t>1700_2EFB</t>
  </si>
  <si>
    <t>1700_30FB</t>
  </si>
  <si>
    <t>1700_32FB</t>
  </si>
  <si>
    <t>1700_34FB</t>
  </si>
  <si>
    <t>1700_36FB</t>
  </si>
  <si>
    <t>1700_38FB</t>
  </si>
  <si>
    <t>1700_3AFB</t>
  </si>
  <si>
    <t>1700_3CFB</t>
  </si>
  <si>
    <t>1700_3EFB</t>
  </si>
  <si>
    <t>1700_40FB</t>
  </si>
  <si>
    <t>1700_42FB</t>
  </si>
  <si>
    <t>1700_44FB</t>
  </si>
  <si>
    <t>1700_46FB</t>
  </si>
  <si>
    <t>1700_48FB</t>
  </si>
  <si>
    <t>1700_4AFB</t>
  </si>
  <si>
    <t>1700_4CFB</t>
  </si>
  <si>
    <t>1700_4EFB</t>
  </si>
  <si>
    <t>1700_50FB</t>
  </si>
  <si>
    <t>1700_52FB</t>
  </si>
  <si>
    <t>1700_54FB</t>
  </si>
  <si>
    <t>1700_56FB</t>
  </si>
  <si>
    <t>1700_58FB</t>
  </si>
  <si>
    <t>1700_5AFB</t>
  </si>
  <si>
    <t>1700_5CFB</t>
  </si>
  <si>
    <t>1700_5EFB</t>
  </si>
  <si>
    <t>1700_60FB</t>
  </si>
  <si>
    <t>1700_62FB</t>
  </si>
  <si>
    <t>1700_64FB</t>
  </si>
  <si>
    <t>1700_66FB</t>
  </si>
  <si>
    <t>1700_68FB</t>
  </si>
  <si>
    <t>1700_6AFB</t>
  </si>
  <si>
    <t>1700_6CFB</t>
  </si>
  <si>
    <t>1700_6EFB</t>
  </si>
  <si>
    <t>1700_70FB</t>
  </si>
  <si>
    <t>1700_72FB</t>
  </si>
  <si>
    <t>1700_74FB</t>
  </si>
  <si>
    <t>1700_76FB</t>
  </si>
  <si>
    <t>1700_78FB</t>
  </si>
  <si>
    <t>1700_7AFB</t>
  </si>
  <si>
    <t>1700_7CFB</t>
  </si>
  <si>
    <t>1700_7EFB</t>
  </si>
  <si>
    <t>1700_00FC</t>
  </si>
  <si>
    <t>1700_02FC</t>
  </si>
  <si>
    <t>1700_04FC</t>
  </si>
  <si>
    <t>1700_06FC</t>
  </si>
  <si>
    <t>1700_08FC</t>
  </si>
  <si>
    <t>1700_0AFC</t>
  </si>
  <si>
    <t>1700_0CFC</t>
  </si>
  <si>
    <t>1700_0EFC</t>
  </si>
  <si>
    <t>1700_10FC</t>
  </si>
  <si>
    <t>1700_12FC</t>
  </si>
  <si>
    <t>1700_14FC</t>
  </si>
  <si>
    <t>1700_16FC</t>
  </si>
  <si>
    <t>1700_18FC</t>
  </si>
  <si>
    <t>1700_1AFC</t>
  </si>
  <si>
    <t>1700_1CFC</t>
  </si>
  <si>
    <t>1700_1EFC</t>
  </si>
  <si>
    <t>1700_20FC</t>
  </si>
  <si>
    <t>1700_22FC</t>
  </si>
  <si>
    <t>1700_24FC</t>
  </si>
  <si>
    <t>1700_26FC</t>
  </si>
  <si>
    <t>1700_28FC</t>
  </si>
  <si>
    <t>1700_2AFC</t>
  </si>
  <si>
    <t>1700_2CFC</t>
  </si>
  <si>
    <t>1700_2EFC</t>
  </si>
  <si>
    <t>1700_30FC</t>
  </si>
  <si>
    <t>1700_32FC</t>
  </si>
  <si>
    <t>1700_34FC</t>
  </si>
  <si>
    <t>1700_36FC</t>
  </si>
  <si>
    <t>1700_38FC</t>
  </si>
  <si>
    <t>1700_3AFC</t>
  </si>
  <si>
    <t>1700_3CFC</t>
  </si>
  <si>
    <t>1700_3EFC</t>
  </si>
  <si>
    <t>1700_40FC</t>
  </si>
  <si>
    <t>1700_42FC</t>
  </si>
  <si>
    <t>1700_44FC</t>
  </si>
  <si>
    <t>1700_46FC</t>
  </si>
  <si>
    <t>1700_48FC</t>
  </si>
  <si>
    <t>1700_4AFC</t>
  </si>
  <si>
    <t>1700_4CFC</t>
  </si>
  <si>
    <t>1700_4EFC</t>
  </si>
  <si>
    <t>1700_50FC</t>
  </si>
  <si>
    <t>1700_52FC</t>
  </si>
  <si>
    <t>1700_54FC</t>
  </si>
  <si>
    <t>1700_56FC</t>
  </si>
  <si>
    <t>1700_58FC</t>
  </si>
  <si>
    <t>1700_5AFC</t>
  </si>
  <si>
    <t>1700_5CFC</t>
  </si>
  <si>
    <t>1700_5EFC</t>
  </si>
  <si>
    <t>1700_60FC</t>
  </si>
  <si>
    <t>1700_62FC</t>
  </si>
  <si>
    <t>1700_64FC</t>
  </si>
  <si>
    <t>1700_66FC</t>
  </si>
  <si>
    <t>1700_68FC</t>
  </si>
  <si>
    <t>1700_6AFC</t>
  </si>
  <si>
    <t>1700_6CFC</t>
  </si>
  <si>
    <t>1700_6EFC</t>
  </si>
  <si>
    <t>1700_70FC</t>
  </si>
  <si>
    <t>1700_72FC</t>
  </si>
  <si>
    <t>1700_74FC</t>
  </si>
  <si>
    <t>1700_76FC</t>
  </si>
  <si>
    <t>1700_78FC</t>
  </si>
  <si>
    <t>1700_7AFC</t>
  </si>
  <si>
    <t>1700_7CFC</t>
  </si>
  <si>
    <t>1700_7EFC</t>
  </si>
  <si>
    <t>1700_00FD</t>
  </si>
  <si>
    <t>1700_02FD</t>
  </si>
  <si>
    <t>1700_04FD</t>
  </si>
  <si>
    <t>1700_06FD</t>
  </si>
  <si>
    <t>1700_08FD</t>
  </si>
  <si>
    <t>1700_0AFD</t>
  </si>
  <si>
    <t>1700_0CFD</t>
  </si>
  <si>
    <t>1700_0EFD</t>
  </si>
  <si>
    <t>1700_10FD</t>
  </si>
  <si>
    <t>1700_12FD</t>
  </si>
  <si>
    <t>1700_14FD</t>
  </si>
  <si>
    <t>1700_16FD</t>
  </si>
  <si>
    <t>1700_18FD</t>
  </si>
  <si>
    <t>1700_1AFD</t>
  </si>
  <si>
    <t>1700_1CFD</t>
  </si>
  <si>
    <t>1700_1EFD</t>
  </si>
  <si>
    <t>1700_20FD</t>
  </si>
  <si>
    <t>1700_22FD</t>
  </si>
  <si>
    <t>1700_24FD</t>
  </si>
  <si>
    <t>1700_26FD</t>
  </si>
  <si>
    <t>1700_28FD</t>
  </si>
  <si>
    <t>1700_2AFD</t>
  </si>
  <si>
    <t>1700_2CFD</t>
  </si>
  <si>
    <t>1700_2EFD</t>
  </si>
  <si>
    <t>1700_30FD</t>
  </si>
  <si>
    <t>1700_32FD</t>
  </si>
  <si>
    <t>1700_34FD</t>
  </si>
  <si>
    <t>1700_36FD</t>
  </si>
  <si>
    <t>1700_38FD</t>
  </si>
  <si>
    <t>1700_3AFD</t>
  </si>
  <si>
    <t>1700_3CFD</t>
  </si>
  <si>
    <t>1700_3EFD</t>
  </si>
  <si>
    <t>1700_40FD</t>
  </si>
  <si>
    <t>1700_42FD</t>
  </si>
  <si>
    <t>1700_44FD</t>
  </si>
  <si>
    <t>1700_46FD</t>
  </si>
  <si>
    <t>1700_48FD</t>
  </si>
  <si>
    <t>1700_4AFD</t>
  </si>
  <si>
    <t>1700_4CFD</t>
  </si>
  <si>
    <t>1700_4EFD</t>
  </si>
  <si>
    <t>1700_50FD</t>
  </si>
  <si>
    <t>1700_52FD</t>
  </si>
  <si>
    <t>1700_54FD</t>
  </si>
  <si>
    <t>1700_56FD</t>
  </si>
  <si>
    <t>1700_58FD</t>
  </si>
  <si>
    <t>1700_5AFD</t>
  </si>
  <si>
    <t>1700_5CFD</t>
  </si>
  <si>
    <t>1700_5EFD</t>
  </si>
  <si>
    <t>1700_60FD</t>
  </si>
  <si>
    <t>1700_62FD</t>
  </si>
  <si>
    <t>1700_64FD</t>
  </si>
  <si>
    <t>1700_66FD</t>
  </si>
  <si>
    <t>1700_68FD</t>
  </si>
  <si>
    <t>1700_6AFD</t>
  </si>
  <si>
    <t>1700_6CFD</t>
  </si>
  <si>
    <t>1700_6EFD</t>
  </si>
  <si>
    <t>1700_70FD</t>
  </si>
  <si>
    <t>1700_72FD</t>
  </si>
  <si>
    <t>1700_74FD</t>
  </si>
  <si>
    <t>1700_76FD</t>
  </si>
  <si>
    <t>1700_78FD</t>
  </si>
  <si>
    <t>1700_7AFD</t>
  </si>
  <si>
    <t>1700_7CFD</t>
  </si>
  <si>
    <t>1700_7EFD</t>
  </si>
  <si>
    <t>1700_00FE</t>
  </si>
  <si>
    <t>1700_02FE</t>
  </si>
  <si>
    <t>1700_04FE</t>
  </si>
  <si>
    <t>1700_06FE</t>
  </si>
  <si>
    <t>1700_08FE</t>
  </si>
  <si>
    <t>1700_0AFE</t>
  </si>
  <si>
    <t>1700_0CFE</t>
  </si>
  <si>
    <t>1700_0EFE</t>
  </si>
  <si>
    <t>1700_10FE</t>
  </si>
  <si>
    <t>1700_12FE</t>
  </si>
  <si>
    <t>1700_14FE</t>
  </si>
  <si>
    <t>1700_16FE</t>
  </si>
  <si>
    <t>1700_18FE</t>
  </si>
  <si>
    <t>1700_1AFE</t>
  </si>
  <si>
    <t>1700_1CFE</t>
  </si>
  <si>
    <t>1700_1EFE</t>
  </si>
  <si>
    <t>1700_20FE</t>
  </si>
  <si>
    <t>1700_22FE</t>
  </si>
  <si>
    <t>1700_24FE</t>
  </si>
  <si>
    <t>1700_26FE</t>
  </si>
  <si>
    <t>1700_28FE</t>
  </si>
  <si>
    <t>1700_2AFE</t>
  </si>
  <si>
    <t>1700_2CFE</t>
  </si>
  <si>
    <t>1700_2EFE</t>
  </si>
  <si>
    <t>1700_30FE</t>
  </si>
  <si>
    <t>1700_32FE</t>
  </si>
  <si>
    <t>1700_34FE</t>
  </si>
  <si>
    <t>1700_36FE</t>
  </si>
  <si>
    <t>1700_38FE</t>
  </si>
  <si>
    <t>1700_3AFE</t>
  </si>
  <si>
    <t>1700_3CFE</t>
  </si>
  <si>
    <t>1700_3EFE</t>
  </si>
  <si>
    <t>1700_40FE</t>
  </si>
  <si>
    <t>1700_42FE</t>
  </si>
  <si>
    <t>1700_44FE</t>
  </si>
  <si>
    <t>1700_46FE</t>
  </si>
  <si>
    <t>1700_48FE</t>
  </si>
  <si>
    <t>1700_4AFE</t>
  </si>
  <si>
    <t>1700_4CFE</t>
  </si>
  <si>
    <t>1700_4EFE</t>
  </si>
  <si>
    <t>1700_50FE</t>
  </si>
  <si>
    <t>1700_52FE</t>
  </si>
  <si>
    <t>1700_54FE</t>
  </si>
  <si>
    <t>1700_56FE</t>
  </si>
  <si>
    <t>1700_58FE</t>
  </si>
  <si>
    <t>1700_5AFE</t>
  </si>
  <si>
    <t>1700_5CFE</t>
  </si>
  <si>
    <t>1700_5EFE</t>
  </si>
  <si>
    <t>1700_60FE</t>
  </si>
  <si>
    <t>1700_62FE</t>
  </si>
  <si>
    <t>1700_64FE</t>
  </si>
  <si>
    <t>1700_66FE</t>
  </si>
  <si>
    <t>1700_68FE</t>
  </si>
  <si>
    <t>1700_6AFE</t>
  </si>
  <si>
    <t>1700_6CFE</t>
  </si>
  <si>
    <t>1700_6EFE</t>
  </si>
  <si>
    <t>1700_70FE</t>
  </si>
  <si>
    <t>1700_72FE</t>
  </si>
  <si>
    <t>1700_74FE</t>
  </si>
  <si>
    <t>1700_76FE</t>
  </si>
  <si>
    <t>1700_78FE</t>
  </si>
  <si>
    <t>1700_7AFE</t>
  </si>
  <si>
    <t>1700_7CFE</t>
  </si>
  <si>
    <t>1700_7EFE</t>
  </si>
  <si>
    <t>1700_00FF</t>
  </si>
  <si>
    <t>1700_02FF</t>
  </si>
  <si>
    <t>1700_04FF</t>
  </si>
  <si>
    <t>1700_06FF</t>
  </si>
  <si>
    <t>1700_08FF</t>
  </si>
  <si>
    <t>1700_0AFF</t>
  </si>
  <si>
    <t>1700_0CFF</t>
  </si>
  <si>
    <t>1700_0EFF</t>
  </si>
  <si>
    <t>1700_10FF</t>
  </si>
  <si>
    <t>1700_12FF</t>
  </si>
  <si>
    <t>1700_14FF</t>
  </si>
  <si>
    <t>1700_16FF</t>
  </si>
  <si>
    <t>1700_18FF</t>
  </si>
  <si>
    <t>1700_1AFF</t>
  </si>
  <si>
    <t>1700_1CFF</t>
  </si>
  <si>
    <t>1700_1EFF</t>
  </si>
  <si>
    <t>1700_20FF</t>
  </si>
  <si>
    <t>1700_22FF</t>
  </si>
  <si>
    <t>1700_24FF</t>
  </si>
  <si>
    <t>1700_26FF</t>
  </si>
  <si>
    <t>1700_28FF</t>
  </si>
  <si>
    <t>1700_2AFF</t>
  </si>
  <si>
    <t>1700_2CFF</t>
  </si>
  <si>
    <t>1700_2EFF</t>
  </si>
  <si>
    <t>1700_30FF</t>
  </si>
  <si>
    <t>1700_32FF</t>
  </si>
  <si>
    <t>1700_34FF</t>
  </si>
  <si>
    <t>1700_36FF</t>
  </si>
  <si>
    <t>1700_38FF</t>
  </si>
  <si>
    <t>1700_3AFF</t>
  </si>
  <si>
    <t>1700_3CFF</t>
  </si>
  <si>
    <t>1700_3EFF</t>
  </si>
  <si>
    <t>1700_40FF</t>
  </si>
  <si>
    <t>1700_42FF</t>
  </si>
  <si>
    <t>1700_44FF</t>
  </si>
  <si>
    <t>1700_46FF</t>
  </si>
  <si>
    <t>1700_48FF</t>
  </si>
  <si>
    <t>1700_4AFF</t>
  </si>
  <si>
    <t>1700_4CFF</t>
  </si>
  <si>
    <t>1700_4EFF</t>
  </si>
  <si>
    <t>1700_50FF</t>
  </si>
  <si>
    <t>1700_52FF</t>
  </si>
  <si>
    <t>1700_54FF</t>
  </si>
  <si>
    <t>1700_56FF</t>
  </si>
  <si>
    <t>1700_58FF</t>
  </si>
  <si>
    <t>1700_5AFF</t>
  </si>
  <si>
    <t>1700_5CFF</t>
  </si>
  <si>
    <t>1700_5EFF</t>
  </si>
  <si>
    <t>1700_60FF</t>
  </si>
  <si>
    <t>1700_62FF</t>
  </si>
  <si>
    <t>1700_64FF</t>
  </si>
  <si>
    <t>1700_66FF</t>
  </si>
  <si>
    <t>1700_68FF</t>
  </si>
  <si>
    <t>1700_6AFF</t>
  </si>
  <si>
    <t>1700_6CFF</t>
  </si>
  <si>
    <t>1700_6EFF</t>
  </si>
  <si>
    <t>1700_70FF</t>
  </si>
  <si>
    <t>1700_72FF</t>
  </si>
  <si>
    <t>1700_74FF</t>
  </si>
  <si>
    <t>1700_76FF</t>
  </si>
  <si>
    <t>1700_78FF</t>
  </si>
  <si>
    <t>1700_7AFF</t>
  </si>
  <si>
    <t>1700_7CFF</t>
  </si>
  <si>
    <t>1700_7EFF</t>
  </si>
  <si>
    <t>1700_0100</t>
  </si>
  <si>
    <t>1700_0300</t>
  </si>
  <si>
    <t>1700_0500</t>
  </si>
  <si>
    <t>1700_0700</t>
  </si>
  <si>
    <t>1700_0900</t>
  </si>
  <si>
    <t>1700_0B00</t>
  </si>
  <si>
    <t>1700_0D00</t>
  </si>
  <si>
    <t>1700_0F00</t>
  </si>
  <si>
    <t>1700_1100</t>
  </si>
  <si>
    <t>1700_1300</t>
  </si>
  <si>
    <t>1700_1500</t>
  </si>
  <si>
    <t>1700_1700</t>
  </si>
  <si>
    <t>1700_1900</t>
  </si>
  <si>
    <t>1700_1B00</t>
  </si>
  <si>
    <t>1700_1D00</t>
  </si>
  <si>
    <t>1700_1F00</t>
  </si>
  <si>
    <t>1700_2100</t>
  </si>
  <si>
    <t>1700_2300</t>
  </si>
  <si>
    <t>1700_2500</t>
  </si>
  <si>
    <t>1700_2700</t>
  </si>
  <si>
    <t>1700_2900</t>
  </si>
  <si>
    <t>1700_2B00</t>
  </si>
  <si>
    <t>1700_2D00</t>
  </si>
  <si>
    <t>1700_2F00</t>
  </si>
  <si>
    <t>1700_3100</t>
  </si>
  <si>
    <t>1700_3300</t>
  </si>
  <si>
    <t>1700_3500</t>
  </si>
  <si>
    <t>1700_3700</t>
  </si>
  <si>
    <t>1700_3900</t>
  </si>
  <si>
    <t>1700_3B00</t>
  </si>
  <si>
    <t>1700_3D00</t>
  </si>
  <si>
    <t>1700_3F00</t>
  </si>
  <si>
    <t>1700_4100</t>
  </si>
  <si>
    <t>1700_4300</t>
  </si>
  <si>
    <t>1700_4500</t>
  </si>
  <si>
    <t>1700_4700</t>
  </si>
  <si>
    <t>1700_4900</t>
  </si>
  <si>
    <t>1700_4B00</t>
  </si>
  <si>
    <t>1700_4D00</t>
  </si>
  <si>
    <t>1700_4F00</t>
  </si>
  <si>
    <t>1700_5100</t>
  </si>
  <si>
    <t>1700_5300</t>
  </si>
  <si>
    <t>1700_5500</t>
  </si>
  <si>
    <t>1700_5700</t>
  </si>
  <si>
    <t>1700_5900</t>
  </si>
  <si>
    <t>1700_5B00</t>
  </si>
  <si>
    <t>1700_5D00</t>
  </si>
  <si>
    <t>1700_5F00</t>
  </si>
  <si>
    <t>1700_6100</t>
  </si>
  <si>
    <t>1700_6300</t>
  </si>
  <si>
    <t>1700_6500</t>
  </si>
  <si>
    <t>1700_6700</t>
  </si>
  <si>
    <t>1700_6900</t>
  </si>
  <si>
    <t>1700_6B00</t>
  </si>
  <si>
    <t>1700_6D00</t>
  </si>
  <si>
    <t>1700_6F00</t>
  </si>
  <si>
    <t>1700_7100</t>
  </si>
  <si>
    <t>1700_7300</t>
  </si>
  <si>
    <t>1700_7500</t>
  </si>
  <si>
    <t>1700_7700</t>
  </si>
  <si>
    <t>1700_7900</t>
  </si>
  <si>
    <t>1700_7B00</t>
  </si>
  <si>
    <t>1700_7D00</t>
  </si>
  <si>
    <t>1700_7F00</t>
  </si>
  <si>
    <t>1700_0101</t>
  </si>
  <si>
    <t>1700_0301</t>
  </si>
  <si>
    <t>1700_0501</t>
  </si>
  <si>
    <t>1700_0701</t>
  </si>
  <si>
    <t>1700_0901</t>
  </si>
  <si>
    <t>1700_0B01</t>
  </si>
  <si>
    <t>1700_0D01</t>
  </si>
  <si>
    <t>1700_0F01</t>
  </si>
  <si>
    <t>1700_1101</t>
  </si>
  <si>
    <t>1700_1301</t>
  </si>
  <si>
    <t>1700_1501</t>
  </si>
  <si>
    <t>1700_1701</t>
  </si>
  <si>
    <t>1700_1901</t>
  </si>
  <si>
    <t>1700_1B01</t>
  </si>
  <si>
    <t>1700_1D01</t>
  </si>
  <si>
    <t>1700_1F01</t>
  </si>
  <si>
    <t>1700_2101</t>
  </si>
  <si>
    <t>1700_2301</t>
  </si>
  <si>
    <t>1700_2501</t>
  </si>
  <si>
    <t>1700_2701</t>
  </si>
  <si>
    <t>1700_2901</t>
  </si>
  <si>
    <t>1700_2B01</t>
  </si>
  <si>
    <t>1700_2D01</t>
  </si>
  <si>
    <t>1700_2F01</t>
  </si>
  <si>
    <t>1700_3101</t>
  </si>
  <si>
    <t>1700_3301</t>
  </si>
  <si>
    <t>1700_3501</t>
  </si>
  <si>
    <t>1700_3701</t>
  </si>
  <si>
    <t>1700_3901</t>
  </si>
  <si>
    <t>1700_3B01</t>
  </si>
  <si>
    <t>1700_3D01</t>
  </si>
  <si>
    <t>1700_3F01</t>
  </si>
  <si>
    <t>1700_4101</t>
  </si>
  <si>
    <t>1700_4301</t>
  </si>
  <si>
    <t>1700_4501</t>
  </si>
  <si>
    <t>1700_4701</t>
  </si>
  <si>
    <t>1700_4901</t>
  </si>
  <si>
    <t>1700_4B01</t>
  </si>
  <si>
    <t>1700_4D01</t>
  </si>
  <si>
    <t>1700_4F01</t>
  </si>
  <si>
    <t>1700_5101</t>
  </si>
  <si>
    <t>1700_5301</t>
  </si>
  <si>
    <t>1700_5501</t>
  </si>
  <si>
    <t>1700_5701</t>
  </si>
  <si>
    <t>1700_5901</t>
  </si>
  <si>
    <t>1700_5B01</t>
  </si>
  <si>
    <t>1700_5D01</t>
  </si>
  <si>
    <t>1700_5F01</t>
  </si>
  <si>
    <t>1700_6101</t>
  </si>
  <si>
    <t>1700_6301</t>
  </si>
  <si>
    <t>1700_6501</t>
  </si>
  <si>
    <t>1700_6701</t>
  </si>
  <si>
    <t>1700_6901</t>
  </si>
  <si>
    <t>1700_6B01</t>
  </si>
  <si>
    <t>1700_6D01</t>
  </si>
  <si>
    <t>1700_6F01</t>
  </si>
  <si>
    <t>1700_7101</t>
  </si>
  <si>
    <t>1700_7301</t>
  </si>
  <si>
    <t>1700_7501</t>
  </si>
  <si>
    <t>1700_7701</t>
  </si>
  <si>
    <t>1700_7901</t>
  </si>
  <si>
    <t>1700_7B01</t>
  </si>
  <si>
    <t>1700_7D01</t>
  </si>
  <si>
    <t>1700_7F01</t>
  </si>
  <si>
    <t>1700_0102</t>
  </si>
  <si>
    <t>1700_0302</t>
  </si>
  <si>
    <t>1700_0502</t>
  </si>
  <si>
    <t>1700_0702</t>
  </si>
  <si>
    <t>1700_0902</t>
  </si>
  <si>
    <t>1700_0B02</t>
  </si>
  <si>
    <t>1700_0D02</t>
  </si>
  <si>
    <t>1700_0F02</t>
  </si>
  <si>
    <t>1700_1102</t>
  </si>
  <si>
    <t>1700_1302</t>
  </si>
  <si>
    <t>1700_1502</t>
  </si>
  <si>
    <t>1700_1702</t>
  </si>
  <si>
    <t>1700_1902</t>
  </si>
  <si>
    <t>1700_1B02</t>
  </si>
  <si>
    <t>1700_1D02</t>
  </si>
  <si>
    <t>1700_1F02</t>
  </si>
  <si>
    <t>1700_2102</t>
  </si>
  <si>
    <t>1700_2302</t>
  </si>
  <si>
    <t>1700_2502</t>
  </si>
  <si>
    <t>1700_2702</t>
  </si>
  <si>
    <t>1700_2902</t>
  </si>
  <si>
    <t>1700_2B02</t>
  </si>
  <si>
    <t>1700_2D02</t>
  </si>
  <si>
    <t>1700_2F02</t>
  </si>
  <si>
    <t>1700_3102</t>
  </si>
  <si>
    <t>1700_3302</t>
  </si>
  <si>
    <t>1700_3502</t>
  </si>
  <si>
    <t>1700_3702</t>
  </si>
  <si>
    <t>1700_3902</t>
  </si>
  <si>
    <t>1700_3B02</t>
  </si>
  <si>
    <t>1700_3D02</t>
  </si>
  <si>
    <t>1700_3F02</t>
  </si>
  <si>
    <t>1700_4102</t>
  </si>
  <si>
    <t>1700_4302</t>
  </si>
  <si>
    <t>1700_4502</t>
  </si>
  <si>
    <t>1700_4702</t>
  </si>
  <si>
    <t>1700_4902</t>
  </si>
  <si>
    <t>1700_4B02</t>
  </si>
  <si>
    <t>1700_4D02</t>
  </si>
  <si>
    <t>1700_4F02</t>
  </si>
  <si>
    <t>1700_5102</t>
  </si>
  <si>
    <t>1700_5302</t>
  </si>
  <si>
    <t>1700_5502</t>
  </si>
  <si>
    <t>1700_5702</t>
  </si>
  <si>
    <t>1700_5902</t>
  </si>
  <si>
    <t>1700_5B02</t>
  </si>
  <si>
    <t>1700_5D02</t>
  </si>
  <si>
    <t>1700_5F02</t>
  </si>
  <si>
    <t>1700_6102</t>
  </si>
  <si>
    <t>1700_6302</t>
  </si>
  <si>
    <t>1700_6502</t>
  </si>
  <si>
    <t>1700_6702</t>
  </si>
  <si>
    <t>1700_6902</t>
  </si>
  <si>
    <t>1700_6B02</t>
  </si>
  <si>
    <t>1700_6D02</t>
  </si>
  <si>
    <t>1700_6F02</t>
  </si>
  <si>
    <t>1700_7102</t>
  </si>
  <si>
    <t>1700_7302</t>
  </si>
  <si>
    <t>1700_7502</t>
  </si>
  <si>
    <t>1700_7702</t>
  </si>
  <si>
    <t>1700_7902</t>
  </si>
  <si>
    <t>1700_7B02</t>
  </si>
  <si>
    <t>1700_7D02</t>
  </si>
  <si>
    <t>1700_7F02</t>
  </si>
  <si>
    <t>1700_0103</t>
  </si>
  <si>
    <t>1700_0303</t>
  </si>
  <si>
    <t>1700_0503</t>
  </si>
  <si>
    <t>1700_0703</t>
  </si>
  <si>
    <t>1700_0903</t>
  </si>
  <si>
    <t>1700_0B03</t>
  </si>
  <si>
    <t>1700_0D03</t>
  </si>
  <si>
    <t>1700_0F03</t>
  </si>
  <si>
    <t>1700_1103</t>
  </si>
  <si>
    <t>1700_1303</t>
  </si>
  <si>
    <t>1700_1503</t>
  </si>
  <si>
    <t>1700_1703</t>
  </si>
  <si>
    <t>1700_1903</t>
  </si>
  <si>
    <t>1700_1B03</t>
  </si>
  <si>
    <t>1700_1D03</t>
  </si>
  <si>
    <t>1700_1F03</t>
  </si>
  <si>
    <t>1700_2103</t>
  </si>
  <si>
    <t>1700_2303</t>
  </si>
  <si>
    <t>1700_2503</t>
  </si>
  <si>
    <t>1700_2703</t>
  </si>
  <si>
    <t>1700_2903</t>
  </si>
  <si>
    <t>1700_2B03</t>
  </si>
  <si>
    <t>1700_2D03</t>
  </si>
  <si>
    <t>1700_2F03</t>
  </si>
  <si>
    <t>1700_3103</t>
  </si>
  <si>
    <t>1700_3303</t>
  </si>
  <si>
    <t>1700_3503</t>
  </si>
  <si>
    <t>1700_3703</t>
  </si>
  <si>
    <t>1700_3903</t>
  </si>
  <si>
    <t>1700_3B03</t>
  </si>
  <si>
    <t>1700_3D03</t>
  </si>
  <si>
    <t>1700_3F03</t>
  </si>
  <si>
    <t>1700_4103</t>
  </si>
  <si>
    <t>1700_4303</t>
  </si>
  <si>
    <t>1700_4503</t>
  </si>
  <si>
    <t>1700_4703</t>
  </si>
  <si>
    <t>1700_4903</t>
  </si>
  <si>
    <t>1700_4B03</t>
  </si>
  <si>
    <t>1700_4D03</t>
  </si>
  <si>
    <t>1700_4F03</t>
  </si>
  <si>
    <t>1700_5103</t>
  </si>
  <si>
    <t>1700_5303</t>
  </si>
  <si>
    <t>1700_5503</t>
  </si>
  <si>
    <t>1700_5703</t>
  </si>
  <si>
    <t>1700_5903</t>
  </si>
  <si>
    <t>1700_5B03</t>
  </si>
  <si>
    <t>1700_5D03</t>
  </si>
  <si>
    <t>1700_5F03</t>
  </si>
  <si>
    <t>1700_6103</t>
  </si>
  <si>
    <t>1700_6303</t>
  </si>
  <si>
    <t>1700_6503</t>
  </si>
  <si>
    <t>1700_6703</t>
  </si>
  <si>
    <t>1700_6903</t>
  </si>
  <si>
    <t>1700_6B03</t>
  </si>
  <si>
    <t>1700_6D03</t>
  </si>
  <si>
    <t>1700_6F03</t>
  </si>
  <si>
    <t>1700_7103</t>
  </si>
  <si>
    <t>1700_7303</t>
  </si>
  <si>
    <t>1700_7503</t>
  </si>
  <si>
    <t>1700_7703</t>
  </si>
  <si>
    <t>1700_7903</t>
  </si>
  <si>
    <t>1700_7B03</t>
  </si>
  <si>
    <t>1700_7D03</t>
  </si>
  <si>
    <t>1700_7F03</t>
  </si>
  <si>
    <t>1700_0104</t>
  </si>
  <si>
    <t>1700_0304</t>
  </si>
  <si>
    <t>1700_0504</t>
  </si>
  <si>
    <t>1700_0704</t>
  </si>
  <si>
    <t>1700_0904</t>
  </si>
  <si>
    <t>1700_0B04</t>
  </si>
  <si>
    <t>1700_0D04</t>
  </si>
  <si>
    <t>1700_0F04</t>
  </si>
  <si>
    <t>1700_1104</t>
  </si>
  <si>
    <t>1700_1304</t>
  </si>
  <si>
    <t>1700_1504</t>
  </si>
  <si>
    <t>1700_1704</t>
  </si>
  <si>
    <t>1700_1904</t>
  </si>
  <si>
    <t>1700_1B04</t>
  </si>
  <si>
    <t>1700_1D04</t>
  </si>
  <si>
    <t>1700_1F04</t>
  </si>
  <si>
    <t>1700_2104</t>
  </si>
  <si>
    <t>1700_2304</t>
  </si>
  <si>
    <t>1700_2504</t>
  </si>
  <si>
    <t>1700_2704</t>
  </si>
  <si>
    <t>1700_2904</t>
  </si>
  <si>
    <t>1700_2B04</t>
  </si>
  <si>
    <t>1700_2D04</t>
  </si>
  <si>
    <t>1700_2F04</t>
  </si>
  <si>
    <t>1700_3104</t>
  </si>
  <si>
    <t>1700_3304</t>
  </si>
  <si>
    <t>1700_3504</t>
  </si>
  <si>
    <t>1700_3704</t>
  </si>
  <si>
    <t>1700_3904</t>
  </si>
  <si>
    <t>1700_3B04</t>
  </si>
  <si>
    <t>1700_3D04</t>
  </si>
  <si>
    <t>1700_3F04</t>
  </si>
  <si>
    <t>1700_4104</t>
  </si>
  <si>
    <t>1700_4304</t>
  </si>
  <si>
    <t>1700_4504</t>
  </si>
  <si>
    <t>1700_4704</t>
  </si>
  <si>
    <t>1700_4904</t>
  </si>
  <si>
    <t>1700_4B04</t>
  </si>
  <si>
    <t>1700_4D04</t>
  </si>
  <si>
    <t>1700_4F04</t>
  </si>
  <si>
    <t>1700_5104</t>
  </si>
  <si>
    <t>1700_5304</t>
  </si>
  <si>
    <t>1700_5504</t>
  </si>
  <si>
    <t>1700_5704</t>
  </si>
  <si>
    <t>1700_5904</t>
  </si>
  <si>
    <t>1700_5B04</t>
  </si>
  <si>
    <t>1700_5D04</t>
  </si>
  <si>
    <t>1700_5F04</t>
  </si>
  <si>
    <t>1700_6104</t>
  </si>
  <si>
    <t>1700_6304</t>
  </si>
  <si>
    <t>1700_6504</t>
  </si>
  <si>
    <t>1700_6704</t>
  </si>
  <si>
    <t>1700_6904</t>
  </si>
  <si>
    <t>1700_6B04</t>
  </si>
  <si>
    <t>1700_6D04</t>
  </si>
  <si>
    <t>1700_6F04</t>
  </si>
  <si>
    <t>1700_7104</t>
  </si>
  <si>
    <t>1700_7304</t>
  </si>
  <si>
    <t>1700_7504</t>
  </si>
  <si>
    <t>1700_7704</t>
  </si>
  <si>
    <t>1700_7904</t>
  </si>
  <si>
    <t>1700_7B04</t>
  </si>
  <si>
    <t>1700_7D04</t>
  </si>
  <si>
    <t>1700_7F04</t>
  </si>
  <si>
    <t>1700_0105</t>
  </si>
  <si>
    <t>1700_0305</t>
  </si>
  <si>
    <t>1700_0505</t>
  </si>
  <si>
    <t>1700_0705</t>
  </si>
  <si>
    <t>1700_0905</t>
  </si>
  <si>
    <t>1700_0B05</t>
  </si>
  <si>
    <t>1700_0D05</t>
  </si>
  <si>
    <t>1700_0F05</t>
  </si>
  <si>
    <t>1700_1105</t>
  </si>
  <si>
    <t>1700_1305</t>
  </si>
  <si>
    <t>1700_1505</t>
  </si>
  <si>
    <t>1700_1705</t>
  </si>
  <si>
    <t>1700_1905</t>
  </si>
  <si>
    <t>1700_1B05</t>
  </si>
  <si>
    <t>1700_1D05</t>
  </si>
  <si>
    <t>1700_1F05</t>
  </si>
  <si>
    <t>1700_2105</t>
  </si>
  <si>
    <t>1700_2305</t>
  </si>
  <si>
    <t>1700_2505</t>
  </si>
  <si>
    <t>1700_2705</t>
  </si>
  <si>
    <t>1700_2905</t>
  </si>
  <si>
    <t>1700_2B05</t>
  </si>
  <si>
    <t>1700_2D05</t>
  </si>
  <si>
    <t>1700_2F05</t>
  </si>
  <si>
    <t>1700_3105</t>
  </si>
  <si>
    <t>1700_3305</t>
  </si>
  <si>
    <t>1700_3505</t>
  </si>
  <si>
    <t>1700_3705</t>
  </si>
  <si>
    <t>1700_3905</t>
  </si>
  <si>
    <t>1700_3B05</t>
  </si>
  <si>
    <t>1700_3D05</t>
  </si>
  <si>
    <t>1700_3F05</t>
  </si>
  <si>
    <t>1700_4105</t>
  </si>
  <si>
    <t>1700_4305</t>
  </si>
  <si>
    <t>1700_4505</t>
  </si>
  <si>
    <t>1700_4705</t>
  </si>
  <si>
    <t>1700_4905</t>
  </si>
  <si>
    <t>1700_4B05</t>
  </si>
  <si>
    <t>1700_4D05</t>
  </si>
  <si>
    <t>1700_4F05</t>
  </si>
  <si>
    <t>1700_5105</t>
  </si>
  <si>
    <t>1700_5305</t>
  </si>
  <si>
    <t>1700_5505</t>
  </si>
  <si>
    <t>1700_5705</t>
  </si>
  <si>
    <t>1700_5905</t>
  </si>
  <si>
    <t>1700_5B05</t>
  </si>
  <si>
    <t>1700_5D05</t>
  </si>
  <si>
    <t>1700_5F05</t>
  </si>
  <si>
    <t>1700_6105</t>
  </si>
  <si>
    <t>1700_6305</t>
  </si>
  <si>
    <t>1700_6505</t>
  </si>
  <si>
    <t>1700_6705</t>
  </si>
  <si>
    <t>1700_6905</t>
  </si>
  <si>
    <t>1700_6B05</t>
  </si>
  <si>
    <t>1700_6D05</t>
  </si>
  <si>
    <t>1700_6F05</t>
  </si>
  <si>
    <t>1700_7105</t>
  </si>
  <si>
    <t>1700_7305</t>
  </si>
  <si>
    <t>1700_7505</t>
  </si>
  <si>
    <t>1700_7705</t>
  </si>
  <si>
    <t>1700_7905</t>
  </si>
  <si>
    <t>1700_7B05</t>
  </si>
  <si>
    <t>1700_7D05</t>
  </si>
  <si>
    <t>1700_7F05</t>
  </si>
  <si>
    <t>1700_0106</t>
  </si>
  <si>
    <t>1700_0306</t>
  </si>
  <si>
    <t>1700_0506</t>
  </si>
  <si>
    <t>1700_0706</t>
  </si>
  <si>
    <t>1700_0906</t>
  </si>
  <si>
    <t>1700_0B06</t>
  </si>
  <si>
    <t>1700_0D06</t>
  </si>
  <si>
    <t>1700_0F06</t>
  </si>
  <si>
    <t>1700_1106</t>
  </si>
  <si>
    <t>1700_1306</t>
  </si>
  <si>
    <t>1700_1506</t>
  </si>
  <si>
    <t>1700_1706</t>
  </si>
  <si>
    <t>1700_1906</t>
  </si>
  <si>
    <t>1700_1B06</t>
  </si>
  <si>
    <t>1700_1D06</t>
  </si>
  <si>
    <t>1700_1F06</t>
  </si>
  <si>
    <t>1700_2106</t>
  </si>
  <si>
    <t>1700_2306</t>
  </si>
  <si>
    <t>1700_2506</t>
  </si>
  <si>
    <t>1700_2706</t>
  </si>
  <si>
    <t>1700_2906</t>
  </si>
  <si>
    <t>1700_2B06</t>
  </si>
  <si>
    <t>1700_2D06</t>
  </si>
  <si>
    <t>1700_2F06</t>
  </si>
  <si>
    <t>1700_3106</t>
  </si>
  <si>
    <t>1700_3306</t>
  </si>
  <si>
    <t>1700_3506</t>
  </si>
  <si>
    <t>1700_3706</t>
  </si>
  <si>
    <t>1700_3906</t>
  </si>
  <si>
    <t>1700_3B06</t>
  </si>
  <si>
    <t>1700_3D06</t>
  </si>
  <si>
    <t>1700_3F06</t>
  </si>
  <si>
    <t>1700_4106</t>
  </si>
  <si>
    <t>1700_4306</t>
  </si>
  <si>
    <t>1700_4506</t>
  </si>
  <si>
    <t>1700_4706</t>
  </si>
  <si>
    <t>1700_4906</t>
  </si>
  <si>
    <t>1700_4B06</t>
  </si>
  <si>
    <t>1700_4D06</t>
  </si>
  <si>
    <t>1700_4F06</t>
  </si>
  <si>
    <t>1700_5106</t>
  </si>
  <si>
    <t>1700_5306</t>
  </si>
  <si>
    <t>1700_5506</t>
  </si>
  <si>
    <t>1700_5706</t>
  </si>
  <si>
    <t>1700_5906</t>
  </si>
  <si>
    <t>1700_5B06</t>
  </si>
  <si>
    <t>1700_5D06</t>
  </si>
  <si>
    <t>1700_5F06</t>
  </si>
  <si>
    <t>1700_6106</t>
  </si>
  <si>
    <t>1700_6306</t>
  </si>
  <si>
    <t>1700_6506</t>
  </si>
  <si>
    <t>1700_6706</t>
  </si>
  <si>
    <t>1700_6906</t>
  </si>
  <si>
    <t>1700_6B06</t>
  </si>
  <si>
    <t>1700_6D06</t>
  </si>
  <si>
    <t>1700_6F06</t>
  </si>
  <si>
    <t>1700_7106</t>
  </si>
  <si>
    <t>1700_7306</t>
  </si>
  <si>
    <t>1700_7506</t>
  </si>
  <si>
    <t>1700_7706</t>
  </si>
  <si>
    <t>1700_7906</t>
  </si>
  <si>
    <t>1700_7B06</t>
  </si>
  <si>
    <t>1700_7D06</t>
  </si>
  <si>
    <t>1700_7F06</t>
  </si>
  <si>
    <t>1700_0107</t>
  </si>
  <si>
    <t>1700_0307</t>
  </si>
  <si>
    <t>1700_0507</t>
  </si>
  <si>
    <t>1700_0707</t>
  </si>
  <si>
    <t>1700_0907</t>
  </si>
  <si>
    <t>1700_0B07</t>
  </si>
  <si>
    <t>1700_0D07</t>
  </si>
  <si>
    <t>1700_0F07</t>
  </si>
  <si>
    <t>1700_1107</t>
  </si>
  <si>
    <t>1700_1307</t>
  </si>
  <si>
    <t>1700_1507</t>
  </si>
  <si>
    <t>1700_1707</t>
  </si>
  <si>
    <t>1700_1907</t>
  </si>
  <si>
    <t>1700_1B07</t>
  </si>
  <si>
    <t>1700_1D07</t>
  </si>
  <si>
    <t>1700_1F07</t>
  </si>
  <si>
    <t>1700_2107</t>
  </si>
  <si>
    <t>1700_2307</t>
  </si>
  <si>
    <t>1700_2507</t>
  </si>
  <si>
    <t>1700_2707</t>
  </si>
  <si>
    <t>1700_2907</t>
  </si>
  <si>
    <t>1700_2B07</t>
  </si>
  <si>
    <t>1700_2D07</t>
  </si>
  <si>
    <t>1700_2F07</t>
  </si>
  <si>
    <t>1700_3107</t>
  </si>
  <si>
    <t>1700_3307</t>
  </si>
  <si>
    <t>1700_3507</t>
  </si>
  <si>
    <t>1700_3707</t>
  </si>
  <si>
    <t>1700_3907</t>
  </si>
  <si>
    <t>1700_3B07</t>
  </si>
  <si>
    <t>1700_3D07</t>
  </si>
  <si>
    <t>1700_3F07</t>
  </si>
  <si>
    <t>1700_4107</t>
  </si>
  <si>
    <t>1700_4307</t>
  </si>
  <si>
    <t>1700_4507</t>
  </si>
  <si>
    <t>1700_4707</t>
  </si>
  <si>
    <t>1700_4907</t>
  </si>
  <si>
    <t>1700_4B07</t>
  </si>
  <si>
    <t>1700_4D07</t>
  </si>
  <si>
    <t>1700_4F07</t>
  </si>
  <si>
    <t>1700_5107</t>
  </si>
  <si>
    <t>1700_5307</t>
  </si>
  <si>
    <t>1700_5507</t>
  </si>
  <si>
    <t>1700_5707</t>
  </si>
  <si>
    <t>1700_5907</t>
  </si>
  <si>
    <t>1700_5B07</t>
  </si>
  <si>
    <t>1700_5D07</t>
  </si>
  <si>
    <t>1700_5F07</t>
  </si>
  <si>
    <t>1700_6107</t>
  </si>
  <si>
    <t>1700_6307</t>
  </si>
  <si>
    <t>1700_6507</t>
  </si>
  <si>
    <t>1700_6707</t>
  </si>
  <si>
    <t>1700_6907</t>
  </si>
  <si>
    <t>1700_6B07</t>
  </si>
  <si>
    <t>1700_6D07</t>
  </si>
  <si>
    <t>1700_6F07</t>
  </si>
  <si>
    <t>1700_7107</t>
  </si>
  <si>
    <t>1700_7307</t>
  </si>
  <si>
    <t>1700_7507</t>
  </si>
  <si>
    <t>1700_7707</t>
  </si>
  <si>
    <t>1700_7907</t>
  </si>
  <si>
    <t>1700_7B07</t>
  </si>
  <si>
    <t>1700_7D07</t>
  </si>
  <si>
    <t>1700_7F07</t>
  </si>
  <si>
    <t>1700_0108</t>
  </si>
  <si>
    <t>1700_0308</t>
  </si>
  <si>
    <t>1700_0508</t>
  </si>
  <si>
    <t>1700_0708</t>
  </si>
  <si>
    <t>1700_0908</t>
  </si>
  <si>
    <t>1700_0B08</t>
  </si>
  <si>
    <t>1700_0D08</t>
  </si>
  <si>
    <t>1700_0F08</t>
  </si>
  <si>
    <t>1700_1108</t>
  </si>
  <si>
    <t>1700_1308</t>
  </si>
  <si>
    <t>1700_1508</t>
  </si>
  <si>
    <t>1700_1708</t>
  </si>
  <si>
    <t>1700_1908</t>
  </si>
  <si>
    <t>1700_1B08</t>
  </si>
  <si>
    <t>1700_1D08</t>
  </si>
  <si>
    <t>1700_1F08</t>
  </si>
  <si>
    <t>1700_2108</t>
  </si>
  <si>
    <t>1700_2308</t>
  </si>
  <si>
    <t>1700_2508</t>
  </si>
  <si>
    <t>1700_2708</t>
  </si>
  <si>
    <t>1700_2908</t>
  </si>
  <si>
    <t>1700_2B08</t>
  </si>
  <si>
    <t>1700_2D08</t>
  </si>
  <si>
    <t>1700_2F08</t>
  </si>
  <si>
    <t>1700_3108</t>
  </si>
  <si>
    <t>1700_3308</t>
  </si>
  <si>
    <t>1700_3508</t>
  </si>
  <si>
    <t>1700_3708</t>
  </si>
  <si>
    <t>1700_3908</t>
  </si>
  <si>
    <t>1700_3B08</t>
  </si>
  <si>
    <t>1700_3D08</t>
  </si>
  <si>
    <t>1700_3F08</t>
  </si>
  <si>
    <t>1700_4108</t>
  </si>
  <si>
    <t>1700_4308</t>
  </si>
  <si>
    <t>1700_4508</t>
  </si>
  <si>
    <t>1700_4708</t>
  </si>
  <si>
    <t>1700_4908</t>
  </si>
  <si>
    <t>1700_4B08</t>
  </si>
  <si>
    <t>1700_4D08</t>
  </si>
  <si>
    <t>1700_4F08</t>
  </si>
  <si>
    <t>1700_5108</t>
  </si>
  <si>
    <t>1700_5308</t>
  </si>
  <si>
    <t>1700_5508</t>
  </si>
  <si>
    <t>1700_5708</t>
  </si>
  <si>
    <t>1700_5908</t>
  </si>
  <si>
    <t>1700_5B08</t>
  </si>
  <si>
    <t>1700_5D08</t>
  </si>
  <si>
    <t>1700_5F08</t>
  </si>
  <si>
    <t>1700_6108</t>
  </si>
  <si>
    <t>1700_6308</t>
  </si>
  <si>
    <t>1700_6508</t>
  </si>
  <si>
    <t>1700_6708</t>
  </si>
  <si>
    <t>1700_6908</t>
  </si>
  <si>
    <t>1700_6B08</t>
  </si>
  <si>
    <t>1700_6D08</t>
  </si>
  <si>
    <t>1700_6F08</t>
  </si>
  <si>
    <t>1700_7108</t>
  </si>
  <si>
    <t>1700_7308</t>
  </si>
  <si>
    <t>1700_7508</t>
  </si>
  <si>
    <t>1700_7708</t>
  </si>
  <si>
    <t>1700_7908</t>
  </si>
  <si>
    <t>1700_7B08</t>
  </si>
  <si>
    <t>1700_7D08</t>
  </si>
  <si>
    <t>1700_7F08</t>
  </si>
  <si>
    <t>1700_0109</t>
  </si>
  <si>
    <t>1700_0309</t>
  </si>
  <si>
    <t>1700_0509</t>
  </si>
  <si>
    <t>1700_0709</t>
  </si>
  <si>
    <t>1700_0909</t>
  </si>
  <si>
    <t>1700_0B09</t>
  </si>
  <si>
    <t>1700_0D09</t>
  </si>
  <si>
    <t>1700_0F09</t>
  </si>
  <si>
    <t>1700_1109</t>
  </si>
  <si>
    <t>1700_1309</t>
  </si>
  <si>
    <t>1700_1509</t>
  </si>
  <si>
    <t>1700_1709</t>
  </si>
  <si>
    <t>1700_1909</t>
  </si>
  <si>
    <t>1700_1B09</t>
  </si>
  <si>
    <t>1700_1D09</t>
  </si>
  <si>
    <t>1700_1F09</t>
  </si>
  <si>
    <t>1700_2109</t>
  </si>
  <si>
    <t>1700_2309</t>
  </si>
  <si>
    <t>1700_2509</t>
  </si>
  <si>
    <t>1700_2709</t>
  </si>
  <si>
    <t>1700_2909</t>
  </si>
  <si>
    <t>1700_2B09</t>
  </si>
  <si>
    <t>1700_2D09</t>
  </si>
  <si>
    <t>1700_2F09</t>
  </si>
  <si>
    <t>1700_3109</t>
  </si>
  <si>
    <t>1700_3309</t>
  </si>
  <si>
    <t>1700_3509</t>
  </si>
  <si>
    <t>1700_3709</t>
  </si>
  <si>
    <t>1700_3909</t>
  </si>
  <si>
    <t>1700_3B09</t>
  </si>
  <si>
    <t>1700_3D09</t>
  </si>
  <si>
    <t>1700_3F09</t>
  </si>
  <si>
    <t>1700_4109</t>
  </si>
  <si>
    <t>1700_4309</t>
  </si>
  <si>
    <t>1700_4509</t>
  </si>
  <si>
    <t>1700_4709</t>
  </si>
  <si>
    <t>1700_4909</t>
  </si>
  <si>
    <t>1700_4B09</t>
  </si>
  <si>
    <t>1700_4D09</t>
  </si>
  <si>
    <t>1700_4F09</t>
  </si>
  <si>
    <t>1700_5109</t>
  </si>
  <si>
    <t>1700_5309</t>
  </si>
  <si>
    <t>1700_5509</t>
  </si>
  <si>
    <t>1700_5709</t>
  </si>
  <si>
    <t>1700_5909</t>
  </si>
  <si>
    <t>1700_5B09</t>
  </si>
  <si>
    <t>1700_5D09</t>
  </si>
  <si>
    <t>1700_5F09</t>
  </si>
  <si>
    <t>1700_6109</t>
  </si>
  <si>
    <t>1700_6309</t>
  </si>
  <si>
    <t>1700_6509</t>
  </si>
  <si>
    <t>1700_6709</t>
  </si>
  <si>
    <t>1700_6909</t>
  </si>
  <si>
    <t>1700_6B09</t>
  </si>
  <si>
    <t>1700_6D09</t>
  </si>
  <si>
    <t>1700_6F09</t>
  </si>
  <si>
    <t>1700_7109</t>
  </si>
  <si>
    <t>1700_7309</t>
  </si>
  <si>
    <t>1700_7509</t>
  </si>
  <si>
    <t>1700_7709</t>
  </si>
  <si>
    <t>1700_7909</t>
  </si>
  <si>
    <t>1700_7B09</t>
  </si>
  <si>
    <t>1700_7D09</t>
  </si>
  <si>
    <t>1700_7F09</t>
  </si>
  <si>
    <t>1700_010A</t>
  </si>
  <si>
    <t>1700_030A</t>
  </si>
  <si>
    <t>1700_050A</t>
  </si>
  <si>
    <t>1700_070A</t>
  </si>
  <si>
    <t>1700_090A</t>
  </si>
  <si>
    <t>1700_0B0A</t>
  </si>
  <si>
    <t>1700_0D0A</t>
  </si>
  <si>
    <t>1700_0F0A</t>
  </si>
  <si>
    <t>1700_110A</t>
  </si>
  <si>
    <t>1700_130A</t>
  </si>
  <si>
    <t>1700_150A</t>
  </si>
  <si>
    <t>1700_170A</t>
  </si>
  <si>
    <t>1700_190A</t>
  </si>
  <si>
    <t>1700_1B0A</t>
  </si>
  <si>
    <t>1700_1D0A</t>
  </si>
  <si>
    <t>1700_1F0A</t>
  </si>
  <si>
    <t>1700_210A</t>
  </si>
  <si>
    <t>1700_230A</t>
  </si>
  <si>
    <t>1700_250A</t>
  </si>
  <si>
    <t>1700_270A</t>
  </si>
  <si>
    <t>1700_290A</t>
  </si>
  <si>
    <t>1700_2B0A</t>
  </si>
  <si>
    <t>1700_2D0A</t>
  </si>
  <si>
    <t>1700_2F0A</t>
  </si>
  <si>
    <t>1700_310A</t>
  </si>
  <si>
    <t>1700_330A</t>
  </si>
  <si>
    <t>1700_350A</t>
  </si>
  <si>
    <t>1700_370A</t>
  </si>
  <si>
    <t>1700_390A</t>
  </si>
  <si>
    <t>1700_3B0A</t>
  </si>
  <si>
    <t>1700_3D0A</t>
  </si>
  <si>
    <t>1700_3F0A</t>
  </si>
  <si>
    <t>1700_410A</t>
  </si>
  <si>
    <t>1700_430A</t>
  </si>
  <si>
    <t>1700_450A</t>
  </si>
  <si>
    <t>1700_470A</t>
  </si>
  <si>
    <t>1700_490A</t>
  </si>
  <si>
    <t>1700_4B0A</t>
  </si>
  <si>
    <t>1700_4D0A</t>
  </si>
  <si>
    <t>1700_4F0A</t>
  </si>
  <si>
    <t>1700_510A</t>
  </si>
  <si>
    <t>1700_530A</t>
  </si>
  <si>
    <t>1700_550A</t>
  </si>
  <si>
    <t>1700_570A</t>
  </si>
  <si>
    <t>1700_590A</t>
  </si>
  <si>
    <t>1700_5B0A</t>
  </si>
  <si>
    <t>1700_5D0A</t>
  </si>
  <si>
    <t>1700_5F0A</t>
  </si>
  <si>
    <t>1700_610A</t>
  </si>
  <si>
    <t>1700_630A</t>
  </si>
  <si>
    <t>1700_650A</t>
  </si>
  <si>
    <t>1700_670A</t>
  </si>
  <si>
    <t>1700_690A</t>
  </si>
  <si>
    <t>1700_6B0A</t>
  </si>
  <si>
    <t>1700_6D0A</t>
  </si>
  <si>
    <t>1700_6F0A</t>
  </si>
  <si>
    <t>1700_710A</t>
  </si>
  <si>
    <t>1700_730A</t>
  </si>
  <si>
    <t>1700_750A</t>
  </si>
  <si>
    <t>1700_770A</t>
  </si>
  <si>
    <t>1700_790A</t>
  </si>
  <si>
    <t>1700_7B0A</t>
  </si>
  <si>
    <t>1700_7D0A</t>
  </si>
  <si>
    <t>1700_7F0A</t>
  </si>
  <si>
    <t>1700_010B</t>
  </si>
  <si>
    <t>1700_030B</t>
  </si>
  <si>
    <t>1700_050B</t>
  </si>
  <si>
    <t>1700_070B</t>
  </si>
  <si>
    <t>1700_090B</t>
  </si>
  <si>
    <t>1700_0B0B</t>
  </si>
  <si>
    <t>1700_0D0B</t>
  </si>
  <si>
    <t>1700_0F0B</t>
  </si>
  <si>
    <t>1700_110B</t>
  </si>
  <si>
    <t>1700_130B</t>
  </si>
  <si>
    <t>1700_150B</t>
  </si>
  <si>
    <t>1700_170B</t>
  </si>
  <si>
    <t>1700_190B</t>
  </si>
  <si>
    <t>1700_1B0B</t>
  </si>
  <si>
    <t>1700_1D0B</t>
  </si>
  <si>
    <t>1700_1F0B</t>
  </si>
  <si>
    <t>1700_210B</t>
  </si>
  <si>
    <t>1700_230B</t>
  </si>
  <si>
    <t>1700_250B</t>
  </si>
  <si>
    <t>1700_270B</t>
  </si>
  <si>
    <t>1700_290B</t>
  </si>
  <si>
    <t>1700_2B0B</t>
  </si>
  <si>
    <t>1700_2D0B</t>
  </si>
  <si>
    <t>1700_2F0B</t>
  </si>
  <si>
    <t>1700_310B</t>
  </si>
  <si>
    <t>1700_330B</t>
  </si>
  <si>
    <t>1700_350B</t>
  </si>
  <si>
    <t>1700_370B</t>
  </si>
  <si>
    <t>1700_390B</t>
  </si>
  <si>
    <t>1700_3B0B</t>
  </si>
  <si>
    <t>1700_3D0B</t>
  </si>
  <si>
    <t>1700_3F0B</t>
  </si>
  <si>
    <t>1700_410B</t>
  </si>
  <si>
    <t>1700_430B</t>
  </si>
  <si>
    <t>1700_450B</t>
  </si>
  <si>
    <t>1700_470B</t>
  </si>
  <si>
    <t>1700_490B</t>
  </si>
  <si>
    <t>1700_4B0B</t>
  </si>
  <si>
    <t>1700_4D0B</t>
  </si>
  <si>
    <t>1700_4F0B</t>
  </si>
  <si>
    <t>1700_510B</t>
  </si>
  <si>
    <t>1700_530B</t>
  </si>
  <si>
    <t>1700_550B</t>
  </si>
  <si>
    <t>1700_570B</t>
  </si>
  <si>
    <t>1700_590B</t>
  </si>
  <si>
    <t>1700_5B0B</t>
  </si>
  <si>
    <t>1700_5D0B</t>
  </si>
  <si>
    <t>1700_5F0B</t>
  </si>
  <si>
    <t>1700_610B</t>
  </si>
  <si>
    <t>1700_630B</t>
  </si>
  <si>
    <t>1700_650B</t>
  </si>
  <si>
    <t>1700_670B</t>
  </si>
  <si>
    <t>1700_690B</t>
  </si>
  <si>
    <t>1700_6B0B</t>
  </si>
  <si>
    <t>1700_6D0B</t>
  </si>
  <si>
    <t>1700_6F0B</t>
  </si>
  <si>
    <t>1700_710B</t>
  </si>
  <si>
    <t>1700_730B</t>
  </si>
  <si>
    <t>1700_750B</t>
  </si>
  <si>
    <t>1700_770B</t>
  </si>
  <si>
    <t>1700_790B</t>
  </si>
  <si>
    <t>1700_7B0B</t>
  </si>
  <si>
    <t>1700_7D0B</t>
  </si>
  <si>
    <t>1700_7F0B</t>
  </si>
  <si>
    <t>1700_010C</t>
  </si>
  <si>
    <t>1700_030C</t>
  </si>
  <si>
    <t>1700_050C</t>
  </si>
  <si>
    <t>1700_070C</t>
  </si>
  <si>
    <t>1700_090C</t>
  </si>
  <si>
    <t>1700_0B0C</t>
  </si>
  <si>
    <t>1700_0D0C</t>
  </si>
  <si>
    <t>1700_0F0C</t>
  </si>
  <si>
    <t>1700_110C</t>
  </si>
  <si>
    <t>1700_130C</t>
  </si>
  <si>
    <t>1700_150C</t>
  </si>
  <si>
    <t>1700_170C</t>
  </si>
  <si>
    <t>1700_190C</t>
  </si>
  <si>
    <t>1700_1B0C</t>
  </si>
  <si>
    <t>1700_1D0C</t>
  </si>
  <si>
    <t>1700_1F0C</t>
  </si>
  <si>
    <t>1700_210C</t>
  </si>
  <si>
    <t>1700_230C</t>
  </si>
  <si>
    <t>1700_250C</t>
  </si>
  <si>
    <t>1700_270C</t>
  </si>
  <si>
    <t>1700_290C</t>
  </si>
  <si>
    <t>1700_2B0C</t>
  </si>
  <si>
    <t>1700_2D0C</t>
  </si>
  <si>
    <t>1700_2F0C</t>
  </si>
  <si>
    <t>1700_310C</t>
  </si>
  <si>
    <t>1700_330C</t>
  </si>
  <si>
    <t>1700_350C</t>
  </si>
  <si>
    <t>1700_370C</t>
  </si>
  <si>
    <t>1700_390C</t>
  </si>
  <si>
    <t>1700_3B0C</t>
  </si>
  <si>
    <t>1700_3D0C</t>
  </si>
  <si>
    <t>1700_3F0C</t>
  </si>
  <si>
    <t>1700_410C</t>
  </si>
  <si>
    <t>1700_430C</t>
  </si>
  <si>
    <t>1700_450C</t>
  </si>
  <si>
    <t>1700_470C</t>
  </si>
  <si>
    <t>1700_490C</t>
  </si>
  <si>
    <t>1700_4B0C</t>
  </si>
  <si>
    <t>1700_4D0C</t>
  </si>
  <si>
    <t>1700_4F0C</t>
  </si>
  <si>
    <t>1700_510C</t>
  </si>
  <si>
    <t>1700_530C</t>
  </si>
  <si>
    <t>1700_550C</t>
  </si>
  <si>
    <t>1700_570C</t>
  </si>
  <si>
    <t>1700_590C</t>
  </si>
  <si>
    <t>1700_5B0C</t>
  </si>
  <si>
    <t>1700_5D0C</t>
  </si>
  <si>
    <t>1700_5F0C</t>
  </si>
  <si>
    <t>1700_610C</t>
  </si>
  <si>
    <t>1700_630C</t>
  </si>
  <si>
    <t>1700_650C</t>
  </si>
  <si>
    <t>1700_670C</t>
  </si>
  <si>
    <t>1700_690C</t>
  </si>
  <si>
    <t>1700_6B0C</t>
  </si>
  <si>
    <t>1700_6D0C</t>
  </si>
  <si>
    <t>1700_6F0C</t>
  </si>
  <si>
    <t>1700_710C</t>
  </si>
  <si>
    <t>1700_730C</t>
  </si>
  <si>
    <t>1700_750C</t>
  </si>
  <si>
    <t>1700_770C</t>
  </si>
  <si>
    <t>1700_790C</t>
  </si>
  <si>
    <t>1700_7B0C</t>
  </si>
  <si>
    <t>1700_7D0C</t>
  </si>
  <si>
    <t>1700_7F0C</t>
  </si>
  <si>
    <t>1700_010D</t>
  </si>
  <si>
    <t>1700_030D</t>
  </si>
  <si>
    <t>1700_050D</t>
  </si>
  <si>
    <t>1700_070D</t>
  </si>
  <si>
    <t>1700_090D</t>
  </si>
  <si>
    <t>1700_0B0D</t>
  </si>
  <si>
    <t>1700_0D0D</t>
  </si>
  <si>
    <t>1700_0F0D</t>
  </si>
  <si>
    <t>1700_110D</t>
  </si>
  <si>
    <t>1700_130D</t>
  </si>
  <si>
    <t>1700_150D</t>
  </si>
  <si>
    <t>1700_170D</t>
  </si>
  <si>
    <t>1700_190D</t>
  </si>
  <si>
    <t>1700_1B0D</t>
  </si>
  <si>
    <t>1700_1D0D</t>
  </si>
  <si>
    <t>1700_1F0D</t>
  </si>
  <si>
    <t>1700_210D</t>
  </si>
  <si>
    <t>1700_230D</t>
  </si>
  <si>
    <t>1700_250D</t>
  </si>
  <si>
    <t>1700_270D</t>
  </si>
  <si>
    <t>1700_290D</t>
  </si>
  <si>
    <t>1700_2B0D</t>
  </si>
  <si>
    <t>1700_2D0D</t>
  </si>
  <si>
    <t>1700_2F0D</t>
  </si>
  <si>
    <t>1700_310D</t>
  </si>
  <si>
    <t>1700_330D</t>
  </si>
  <si>
    <t>1700_350D</t>
  </si>
  <si>
    <t>1700_370D</t>
  </si>
  <si>
    <t>1700_390D</t>
  </si>
  <si>
    <t>1700_3B0D</t>
  </si>
  <si>
    <t>1700_3D0D</t>
  </si>
  <si>
    <t>1700_3F0D</t>
  </si>
  <si>
    <t>1700_410D</t>
  </si>
  <si>
    <t>1700_430D</t>
  </si>
  <si>
    <t>1700_450D</t>
  </si>
  <si>
    <t>1700_470D</t>
  </si>
  <si>
    <t>1700_490D</t>
  </si>
  <si>
    <t>1700_4B0D</t>
  </si>
  <si>
    <t>1700_4D0D</t>
  </si>
  <si>
    <t>1700_4F0D</t>
  </si>
  <si>
    <t>1700_510D</t>
  </si>
  <si>
    <t>1700_530D</t>
  </si>
  <si>
    <t>1700_550D</t>
  </si>
  <si>
    <t>1700_570D</t>
  </si>
  <si>
    <t>1700_590D</t>
  </si>
  <si>
    <t>1700_5B0D</t>
  </si>
  <si>
    <t>1700_5D0D</t>
  </si>
  <si>
    <t>1700_5F0D</t>
  </si>
  <si>
    <t>1700_610D</t>
  </si>
  <si>
    <t>1700_630D</t>
  </si>
  <si>
    <t>1700_650D</t>
  </si>
  <si>
    <t>1700_670D</t>
  </si>
  <si>
    <t>1700_690D</t>
  </si>
  <si>
    <t>1700_6B0D</t>
  </si>
  <si>
    <t>1700_6D0D</t>
  </si>
  <si>
    <t>1700_6F0D</t>
  </si>
  <si>
    <t>1700_710D</t>
  </si>
  <si>
    <t>1700_730D</t>
  </si>
  <si>
    <t>1700_750D</t>
  </si>
  <si>
    <t>1700_770D</t>
  </si>
  <si>
    <t>1700_790D</t>
  </si>
  <si>
    <t>1700_7B0D</t>
  </si>
  <si>
    <t>1700_7D0D</t>
  </si>
  <si>
    <t>1700_7F0D</t>
  </si>
  <si>
    <t>1700_010E</t>
  </si>
  <si>
    <t>1700_030E</t>
  </si>
  <si>
    <t>1700_050E</t>
  </si>
  <si>
    <t>1700_070E</t>
  </si>
  <si>
    <t>1700_090E</t>
  </si>
  <si>
    <t>1700_0B0E</t>
  </si>
  <si>
    <t>1700_0D0E</t>
  </si>
  <si>
    <t>1700_0F0E</t>
  </si>
  <si>
    <t>1700_110E</t>
  </si>
  <si>
    <t>1700_130E</t>
  </si>
  <si>
    <t>1700_150E</t>
  </si>
  <si>
    <t>1700_170E</t>
  </si>
  <si>
    <t>1700_190E</t>
  </si>
  <si>
    <t>1700_1B0E</t>
  </si>
  <si>
    <t>1700_1D0E</t>
  </si>
  <si>
    <t>1700_1F0E</t>
  </si>
  <si>
    <t>1700_210E</t>
  </si>
  <si>
    <t>1700_230E</t>
  </si>
  <si>
    <t>1700_250E</t>
  </si>
  <si>
    <t>1700_270E</t>
  </si>
  <si>
    <t>1700_290E</t>
  </si>
  <si>
    <t>1700_2B0E</t>
  </si>
  <si>
    <t>1700_2D0E</t>
  </si>
  <si>
    <t>1700_2F0E</t>
  </si>
  <si>
    <t>1700_310E</t>
  </si>
  <si>
    <t>1700_330E</t>
  </si>
  <si>
    <t>1700_350E</t>
  </si>
  <si>
    <t>1700_370E</t>
  </si>
  <si>
    <t>1700_390E</t>
  </si>
  <si>
    <t>1700_3B0E</t>
  </si>
  <si>
    <t>1700_3D0E</t>
  </si>
  <si>
    <t>1700_3F0E</t>
  </si>
  <si>
    <t>1700_410E</t>
  </si>
  <si>
    <t>1700_430E</t>
  </si>
  <si>
    <t>1700_450E</t>
  </si>
  <si>
    <t>1700_470E</t>
  </si>
  <si>
    <t>1700_490E</t>
  </si>
  <si>
    <t>1700_4B0E</t>
  </si>
  <si>
    <t>1700_4D0E</t>
  </si>
  <si>
    <t>1700_4F0E</t>
  </si>
  <si>
    <t>1700_510E</t>
  </si>
  <si>
    <t>1700_530E</t>
  </si>
  <si>
    <t>1700_550E</t>
  </si>
  <si>
    <t>1700_570E</t>
  </si>
  <si>
    <t>1700_590E</t>
  </si>
  <si>
    <t>1700_5B0E</t>
  </si>
  <si>
    <t>1700_5D0E</t>
  </si>
  <si>
    <t>1700_5F0E</t>
  </si>
  <si>
    <t>1700_610E</t>
  </si>
  <si>
    <t>1700_630E</t>
  </si>
  <si>
    <t>1700_650E</t>
  </si>
  <si>
    <t>1700_670E</t>
  </si>
  <si>
    <t>1700_690E</t>
  </si>
  <si>
    <t>1700_6B0E</t>
  </si>
  <si>
    <t>1700_6D0E</t>
  </si>
  <si>
    <t>1700_6F0E</t>
  </si>
  <si>
    <t>1700_710E</t>
  </si>
  <si>
    <t>1700_730E</t>
  </si>
  <si>
    <t>1700_750E</t>
  </si>
  <si>
    <t>1700_770E</t>
  </si>
  <si>
    <t>1700_790E</t>
  </si>
  <si>
    <t>1700_7B0E</t>
  </si>
  <si>
    <t>1700_7D0E</t>
  </si>
  <si>
    <t>1700_7F0E</t>
  </si>
  <si>
    <t>1700_010F</t>
  </si>
  <si>
    <t>1700_030F</t>
  </si>
  <si>
    <t>1700_050F</t>
  </si>
  <si>
    <t>1700_070F</t>
  </si>
  <si>
    <t>1700_090F</t>
  </si>
  <si>
    <t>1700_0B0F</t>
  </si>
  <si>
    <t>1700_0D0F</t>
  </si>
  <si>
    <t>1700_0F0F</t>
  </si>
  <si>
    <t>1700_110F</t>
  </si>
  <si>
    <t>1700_130F</t>
  </si>
  <si>
    <t>1700_150F</t>
  </si>
  <si>
    <t>1700_170F</t>
  </si>
  <si>
    <t>1700_190F</t>
  </si>
  <si>
    <t>1700_1B0F</t>
  </si>
  <si>
    <t>1700_1D0F</t>
  </si>
  <si>
    <t>1700_1F0F</t>
  </si>
  <si>
    <t>1700_210F</t>
  </si>
  <si>
    <t>1700_230F</t>
  </si>
  <si>
    <t>1700_250F</t>
  </si>
  <si>
    <t>1700_270F</t>
  </si>
  <si>
    <t>1700_290F</t>
  </si>
  <si>
    <t>1700_2B0F</t>
  </si>
  <si>
    <t>1700_2D0F</t>
  </si>
  <si>
    <t>1700_2F0F</t>
  </si>
  <si>
    <t>1700_310F</t>
  </si>
  <si>
    <t>1700_330F</t>
  </si>
  <si>
    <t>1700_350F</t>
  </si>
  <si>
    <t>1700_370F</t>
  </si>
  <si>
    <t>1700_390F</t>
  </si>
  <si>
    <t>1700_3B0F</t>
  </si>
  <si>
    <t>1700_3D0F</t>
  </si>
  <si>
    <t>1700_3F0F</t>
  </si>
  <si>
    <t>1700_410F</t>
  </si>
  <si>
    <t>1700_430F</t>
  </si>
  <si>
    <t>1700_450F</t>
  </si>
  <si>
    <t>1700_470F</t>
  </si>
  <si>
    <t>1700_490F</t>
  </si>
  <si>
    <t>1700_4B0F</t>
  </si>
  <si>
    <t>1700_4D0F</t>
  </si>
  <si>
    <t>1700_4F0F</t>
  </si>
  <si>
    <t>1700_510F</t>
  </si>
  <si>
    <t>1700_530F</t>
  </si>
  <si>
    <t>1700_550F</t>
  </si>
  <si>
    <t>1700_570F</t>
  </si>
  <si>
    <t>1700_590F</t>
  </si>
  <si>
    <t>1700_5B0F</t>
  </si>
  <si>
    <t>1700_5D0F</t>
  </si>
  <si>
    <t>1700_5F0F</t>
  </si>
  <si>
    <t>1700_610F</t>
  </si>
  <si>
    <t>1700_630F</t>
  </si>
  <si>
    <t>1700_650F</t>
  </si>
  <si>
    <t>1700_670F</t>
  </si>
  <si>
    <t>1700_690F</t>
  </si>
  <si>
    <t>1700_6B0F</t>
  </si>
  <si>
    <t>1700_6D0F</t>
  </si>
  <si>
    <t>1700_6F0F</t>
  </si>
  <si>
    <t>1700_710F</t>
  </si>
  <si>
    <t>1700_730F</t>
  </si>
  <si>
    <t>1700_750F</t>
  </si>
  <si>
    <t>1700_770F</t>
  </si>
  <si>
    <t>1700_790F</t>
  </si>
  <si>
    <t>1700_7B0F</t>
  </si>
  <si>
    <t>1700_7D0F</t>
  </si>
  <si>
    <t>1700_7F0F</t>
  </si>
  <si>
    <t>1700_0110</t>
  </si>
  <si>
    <t>1700_0310</t>
  </si>
  <si>
    <t>1700_0510</t>
  </si>
  <si>
    <t>1700_0710</t>
  </si>
  <si>
    <t>1700_0910</t>
  </si>
  <si>
    <t>1700_0B10</t>
  </si>
  <si>
    <t>1700_0D10</t>
  </si>
  <si>
    <t>1700_0F10</t>
  </si>
  <si>
    <t>1700_1110</t>
  </si>
  <si>
    <t>1700_1310</t>
  </si>
  <si>
    <t>1700_1510</t>
  </si>
  <si>
    <t>1700_1710</t>
  </si>
  <si>
    <t>1700_1910</t>
  </si>
  <si>
    <t>1700_1B10</t>
  </si>
  <si>
    <t>1700_1D10</t>
  </si>
  <si>
    <t>1700_1F10</t>
  </si>
  <si>
    <t>1700_2110</t>
  </si>
  <si>
    <t>1700_2310</t>
  </si>
  <si>
    <t>1700_2510</t>
  </si>
  <si>
    <t>1700_2710</t>
  </si>
  <si>
    <t>1700_2910</t>
  </si>
  <si>
    <t>1700_2B10</t>
  </si>
  <si>
    <t>1700_2D10</t>
  </si>
  <si>
    <t>1700_2F10</t>
  </si>
  <si>
    <t>1700_3110</t>
  </si>
  <si>
    <t>1700_3310</t>
  </si>
  <si>
    <t>1700_3510</t>
  </si>
  <si>
    <t>1700_3710</t>
  </si>
  <si>
    <t>1700_3910</t>
  </si>
  <si>
    <t>1700_3B10</t>
  </si>
  <si>
    <t>1700_3D10</t>
  </si>
  <si>
    <t>1700_3F10</t>
  </si>
  <si>
    <t>1700_4110</t>
  </si>
  <si>
    <t>1700_4310</t>
  </si>
  <si>
    <t>1700_4510</t>
  </si>
  <si>
    <t>1700_4710</t>
  </si>
  <si>
    <t>1700_4910</t>
  </si>
  <si>
    <t>1700_4B10</t>
  </si>
  <si>
    <t>1700_4D10</t>
  </si>
  <si>
    <t>1700_4F10</t>
  </si>
  <si>
    <t>1700_5110</t>
  </si>
  <si>
    <t>1700_5310</t>
  </si>
  <si>
    <t>1700_5510</t>
  </si>
  <si>
    <t>1700_5710</t>
  </si>
  <si>
    <t>1700_5910</t>
  </si>
  <si>
    <t>1700_5B10</t>
  </si>
  <si>
    <t>1700_5D10</t>
  </si>
  <si>
    <t>1700_5F10</t>
  </si>
  <si>
    <t>1700_6110</t>
  </si>
  <si>
    <t>1700_6310</t>
  </si>
  <si>
    <t>1700_6510</t>
  </si>
  <si>
    <t>1700_6710</t>
  </si>
  <si>
    <t>1700_6910</t>
  </si>
  <si>
    <t>1700_6B10</t>
  </si>
  <si>
    <t>1700_6D10</t>
  </si>
  <si>
    <t>1700_6F10</t>
  </si>
  <si>
    <t>1700_7110</t>
  </si>
  <si>
    <t>1700_7310</t>
  </si>
  <si>
    <t>1700_7510</t>
  </si>
  <si>
    <t>1700_7710</t>
  </si>
  <si>
    <t>1700_7910</t>
  </si>
  <si>
    <t>1700_7B10</t>
  </si>
  <si>
    <t>1700_7D10</t>
  </si>
  <si>
    <t>1700_7F10</t>
  </si>
  <si>
    <t>1700_0111</t>
  </si>
  <si>
    <t>1700_0311</t>
  </si>
  <si>
    <t>1700_0511</t>
  </si>
  <si>
    <t>1700_0711</t>
  </si>
  <si>
    <t>1700_0911</t>
  </si>
  <si>
    <t>1700_0B11</t>
  </si>
  <si>
    <t>1700_0D11</t>
  </si>
  <si>
    <t>1700_0F11</t>
  </si>
  <si>
    <t>1700_1111</t>
  </si>
  <si>
    <t>1700_1311</t>
  </si>
  <si>
    <t>1700_1511</t>
  </si>
  <si>
    <t>1700_1711</t>
  </si>
  <si>
    <t>1700_1911</t>
  </si>
  <si>
    <t>1700_1B11</t>
  </si>
  <si>
    <t>1700_1D11</t>
  </si>
  <si>
    <t>1700_1F11</t>
  </si>
  <si>
    <t>1700_2111</t>
  </si>
  <si>
    <t>1700_2311</t>
  </si>
  <si>
    <t>1700_2511</t>
  </si>
  <si>
    <t>1700_2711</t>
  </si>
  <si>
    <t>1700_2911</t>
  </si>
  <si>
    <t>1700_2B11</t>
  </si>
  <si>
    <t>1700_2D11</t>
  </si>
  <si>
    <t>1700_2F11</t>
  </si>
  <si>
    <t>1700_3111</t>
  </si>
  <si>
    <t>1700_3311</t>
  </si>
  <si>
    <t>1700_3511</t>
  </si>
  <si>
    <t>1700_3711</t>
  </si>
  <si>
    <t>1700_3911</t>
  </si>
  <si>
    <t>1700_3B11</t>
  </si>
  <si>
    <t>1700_3D11</t>
  </si>
  <si>
    <t>1700_3F11</t>
  </si>
  <si>
    <t>1700_4111</t>
  </si>
  <si>
    <t>1700_4311</t>
  </si>
  <si>
    <t>1700_4511</t>
  </si>
  <si>
    <t>1700_4711</t>
  </si>
  <si>
    <t>1700_4911</t>
  </si>
  <si>
    <t>1700_4B11</t>
  </si>
  <si>
    <t>1700_4D11</t>
  </si>
  <si>
    <t>1700_4F11</t>
  </si>
  <si>
    <t>1700_5111</t>
  </si>
  <si>
    <t>1700_5311</t>
  </si>
  <si>
    <t>1700_5511</t>
  </si>
  <si>
    <t>1700_5711</t>
  </si>
  <si>
    <t>1700_5911</t>
  </si>
  <si>
    <t>1700_5B11</t>
  </si>
  <si>
    <t>1700_5D11</t>
  </si>
  <si>
    <t>1700_5F11</t>
  </si>
  <si>
    <t>1700_6111</t>
  </si>
  <si>
    <t>1700_6311</t>
  </si>
  <si>
    <t>1700_6511</t>
  </si>
  <si>
    <t>1700_6711</t>
  </si>
  <si>
    <t>1700_6911</t>
  </si>
  <si>
    <t>1700_6B11</t>
  </si>
  <si>
    <t>1700_6D11</t>
  </si>
  <si>
    <t>1700_6F11</t>
  </si>
  <si>
    <t>1700_7111</t>
  </si>
  <si>
    <t>1700_7311</t>
  </si>
  <si>
    <t>1700_7511</t>
  </si>
  <si>
    <t>1700_7711</t>
  </si>
  <si>
    <t>1700_7911</t>
  </si>
  <si>
    <t>1700_7B11</t>
  </si>
  <si>
    <t>1700_7D11</t>
  </si>
  <si>
    <t>1700_7F11</t>
  </si>
  <si>
    <t>1700_0112</t>
  </si>
  <si>
    <t>1700_0312</t>
  </si>
  <si>
    <t>1700_0512</t>
  </si>
  <si>
    <t>1700_0712</t>
  </si>
  <si>
    <t>1700_0912</t>
  </si>
  <si>
    <t>1700_0B12</t>
  </si>
  <si>
    <t>1700_0D12</t>
  </si>
  <si>
    <t>1700_0F12</t>
  </si>
  <si>
    <t>1700_1112</t>
  </si>
  <si>
    <t>1700_1312</t>
  </si>
  <si>
    <t>1700_1512</t>
  </si>
  <si>
    <t>1700_1712</t>
  </si>
  <si>
    <t>1700_1912</t>
  </si>
  <si>
    <t>1700_1B12</t>
  </si>
  <si>
    <t>1700_1D12</t>
  </si>
  <si>
    <t>1700_1F12</t>
  </si>
  <si>
    <t>1700_2112</t>
  </si>
  <si>
    <t>1700_2312</t>
  </si>
  <si>
    <t>1700_2512</t>
  </si>
  <si>
    <t>1700_2712</t>
  </si>
  <si>
    <t>1700_2912</t>
  </si>
  <si>
    <t>1700_2B12</t>
  </si>
  <si>
    <t>1700_2D12</t>
  </si>
  <si>
    <t>1700_2F12</t>
  </si>
  <si>
    <t>1700_3112</t>
  </si>
  <si>
    <t>1700_3312</t>
  </si>
  <si>
    <t>1700_3512</t>
  </si>
  <si>
    <t>1700_3712</t>
  </si>
  <si>
    <t>1700_3912</t>
  </si>
  <si>
    <t>1700_3B12</t>
  </si>
  <si>
    <t>1700_3D12</t>
  </si>
  <si>
    <t>1700_3F12</t>
  </si>
  <si>
    <t>1700_4112</t>
  </si>
  <si>
    <t>1700_4312</t>
  </si>
  <si>
    <t>1700_4512</t>
  </si>
  <si>
    <t>1700_4712</t>
  </si>
  <si>
    <t>1700_4912</t>
  </si>
  <si>
    <t>1700_4B12</t>
  </si>
  <si>
    <t>1700_4D12</t>
  </si>
  <si>
    <t>1700_4F12</t>
  </si>
  <si>
    <t>1700_5112</t>
  </si>
  <si>
    <t>1700_5312</t>
  </si>
  <si>
    <t>1700_5512</t>
  </si>
  <si>
    <t>1700_5712</t>
  </si>
  <si>
    <t>1700_5912</t>
  </si>
  <si>
    <t>1700_5B12</t>
  </si>
  <si>
    <t>1700_5D12</t>
  </si>
  <si>
    <t>1700_5F12</t>
  </si>
  <si>
    <t>1700_6112</t>
  </si>
  <si>
    <t>1700_6312</t>
  </si>
  <si>
    <t>1700_6512</t>
  </si>
  <si>
    <t>1700_6712</t>
  </si>
  <si>
    <t>1700_6912</t>
  </si>
  <si>
    <t>1700_6B12</t>
  </si>
  <si>
    <t>1700_6D12</t>
  </si>
  <si>
    <t>1700_6F12</t>
  </si>
  <si>
    <t>1700_7112</t>
  </si>
  <si>
    <t>1700_7312</t>
  </si>
  <si>
    <t>1700_7512</t>
  </si>
  <si>
    <t>1700_7712</t>
  </si>
  <si>
    <t>1700_7912</t>
  </si>
  <si>
    <t>1700_7B12</t>
  </si>
  <si>
    <t>1700_7D12</t>
  </si>
  <si>
    <t>1700_7F12</t>
  </si>
  <si>
    <t>1700_0113</t>
  </si>
  <si>
    <t>1700_0313</t>
  </si>
  <si>
    <t>1700_0513</t>
  </si>
  <si>
    <t>1700_0713</t>
  </si>
  <si>
    <t>1700_0913</t>
  </si>
  <si>
    <t>1700_0B13</t>
  </si>
  <si>
    <t>1700_0D13</t>
  </si>
  <si>
    <t>1700_0F13</t>
  </si>
  <si>
    <t>1700_1113</t>
  </si>
  <si>
    <t>1700_1313</t>
  </si>
  <si>
    <t>1700_1513</t>
  </si>
  <si>
    <t>1700_1713</t>
  </si>
  <si>
    <t>1700_1913</t>
  </si>
  <si>
    <t>1700_1B13</t>
  </si>
  <si>
    <t>1700_1D13</t>
  </si>
  <si>
    <t>1700_1F13</t>
  </si>
  <si>
    <t>1700_2113</t>
  </si>
  <si>
    <t>1700_2313</t>
  </si>
  <si>
    <t>1700_2513</t>
  </si>
  <si>
    <t>1700_2713</t>
  </si>
  <si>
    <t>1700_2913</t>
  </si>
  <si>
    <t>1700_2B13</t>
  </si>
  <si>
    <t>1700_2D13</t>
  </si>
  <si>
    <t>1700_2F13</t>
  </si>
  <si>
    <t>1700_3113</t>
  </si>
  <si>
    <t>1700_3313</t>
  </si>
  <si>
    <t>1700_3513</t>
  </si>
  <si>
    <t>1700_3713</t>
  </si>
  <si>
    <t>1700_3913</t>
  </si>
  <si>
    <t>1700_3B13</t>
  </si>
  <si>
    <t>1700_3D13</t>
  </si>
  <si>
    <t>1700_3F13</t>
  </si>
  <si>
    <t>1700_4113</t>
  </si>
  <si>
    <t>1700_4313</t>
  </si>
  <si>
    <t>1700_4513</t>
  </si>
  <si>
    <t>1700_4713</t>
  </si>
  <si>
    <t>1700_4913</t>
  </si>
  <si>
    <t>1700_4B13</t>
  </si>
  <si>
    <t>1700_4D13</t>
  </si>
  <si>
    <t>1700_4F13</t>
  </si>
  <si>
    <t>1700_5113</t>
  </si>
  <si>
    <t>1700_5313</t>
  </si>
  <si>
    <t>1700_5513</t>
  </si>
  <si>
    <t>1700_5713</t>
  </si>
  <si>
    <t>1700_5913</t>
  </si>
  <si>
    <t>1700_5B13</t>
  </si>
  <si>
    <t>1700_5D13</t>
  </si>
  <si>
    <t>1700_5F13</t>
  </si>
  <si>
    <t>1700_6113</t>
  </si>
  <si>
    <t>1700_6313</t>
  </si>
  <si>
    <t>1700_6513</t>
  </si>
  <si>
    <t>1700_6713</t>
  </si>
  <si>
    <t>1700_6913</t>
  </si>
  <si>
    <t>1700_6B13</t>
  </si>
  <si>
    <t>1700_6D13</t>
  </si>
  <si>
    <t>1700_6F13</t>
  </si>
  <si>
    <t>1700_7113</t>
  </si>
  <si>
    <t>1700_7313</t>
  </si>
  <si>
    <t>1700_7513</t>
  </si>
  <si>
    <t>1700_7713</t>
  </si>
  <si>
    <t>1700_7913</t>
  </si>
  <si>
    <t>1700_7B13</t>
  </si>
  <si>
    <t>1700_7D13</t>
  </si>
  <si>
    <t>1700_7F13</t>
  </si>
  <si>
    <t>1700_0114</t>
  </si>
  <si>
    <t>1700_0314</t>
  </si>
  <si>
    <t>1700_0514</t>
  </si>
  <si>
    <t>1700_0714</t>
  </si>
  <si>
    <t>1700_0914</t>
  </si>
  <si>
    <t>1700_0B14</t>
  </si>
  <si>
    <t>1700_0D14</t>
  </si>
  <si>
    <t>1700_0F14</t>
  </si>
  <si>
    <t>1700_1114</t>
  </si>
  <si>
    <t>1700_1314</t>
  </si>
  <si>
    <t>1700_1514</t>
  </si>
  <si>
    <t>1700_1714</t>
  </si>
  <si>
    <t>1700_1914</t>
  </si>
  <si>
    <t>1700_1B14</t>
  </si>
  <si>
    <t>1700_1D14</t>
  </si>
  <si>
    <t>1700_1F14</t>
  </si>
  <si>
    <t>1700_2114</t>
  </si>
  <si>
    <t>1700_2314</t>
  </si>
  <si>
    <t>1700_2514</t>
  </si>
  <si>
    <t>1700_2714</t>
  </si>
  <si>
    <t>1700_2914</t>
  </si>
  <si>
    <t>1700_2B14</t>
  </si>
  <si>
    <t>1700_2D14</t>
  </si>
  <si>
    <t>1700_2F14</t>
  </si>
  <si>
    <t>1700_3114</t>
  </si>
  <si>
    <t>1700_3314</t>
  </si>
  <si>
    <t>1700_3514</t>
  </si>
  <si>
    <t>1700_3714</t>
  </si>
  <si>
    <t>1700_3914</t>
  </si>
  <si>
    <t>1700_3B14</t>
  </si>
  <si>
    <t>1700_3D14</t>
  </si>
  <si>
    <t>1700_3F14</t>
  </si>
  <si>
    <t>1700_4114</t>
  </si>
  <si>
    <t>1700_4314</t>
  </si>
  <si>
    <t>1700_4514</t>
  </si>
  <si>
    <t>1700_4714</t>
  </si>
  <si>
    <t>1700_4914</t>
  </si>
  <si>
    <t>1700_4B14</t>
  </si>
  <si>
    <t>1700_4D14</t>
  </si>
  <si>
    <t>1700_4F14</t>
  </si>
  <si>
    <t>1700_5114</t>
  </si>
  <si>
    <t>1700_5314</t>
  </si>
  <si>
    <t>1700_5514</t>
  </si>
  <si>
    <t>1700_5714</t>
  </si>
  <si>
    <t>1700_5914</t>
  </si>
  <si>
    <t>1700_5B14</t>
  </si>
  <si>
    <t>1700_5D14</t>
  </si>
  <si>
    <t>1700_5F14</t>
  </si>
  <si>
    <t>1700_6114</t>
  </si>
  <si>
    <t>1700_6314</t>
  </si>
  <si>
    <t>1700_6514</t>
  </si>
  <si>
    <t>1700_6714</t>
  </si>
  <si>
    <t>1700_6914</t>
  </si>
  <si>
    <t>1700_6B14</t>
  </si>
  <si>
    <t>1700_6D14</t>
  </si>
  <si>
    <t>1700_6F14</t>
  </si>
  <si>
    <t>1700_7114</t>
  </si>
  <si>
    <t>1700_7314</t>
  </si>
  <si>
    <t>1700_7514</t>
  </si>
  <si>
    <t>1700_7714</t>
  </si>
  <si>
    <t>1700_7914</t>
  </si>
  <si>
    <t>1700_7B14</t>
  </si>
  <si>
    <t>1700_7D14</t>
  </si>
  <si>
    <t>1700_7F14</t>
  </si>
  <si>
    <t>1700_0115</t>
  </si>
  <si>
    <t>1700_0315</t>
  </si>
  <si>
    <t>1700_0515</t>
  </si>
  <si>
    <t>1700_0715</t>
  </si>
  <si>
    <t>1700_0915</t>
  </si>
  <si>
    <t>1700_0B15</t>
  </si>
  <si>
    <t>1700_0D15</t>
  </si>
  <si>
    <t>1700_0F15</t>
  </si>
  <si>
    <t>1700_1115</t>
  </si>
  <si>
    <t>1700_1315</t>
  </si>
  <si>
    <t>1700_1515</t>
  </si>
  <si>
    <t>1700_1715</t>
  </si>
  <si>
    <t>1700_1915</t>
  </si>
  <si>
    <t>1700_1B15</t>
  </si>
  <si>
    <t>1700_1D15</t>
  </si>
  <si>
    <t>1700_1F15</t>
  </si>
  <si>
    <t>1700_2115</t>
  </si>
  <si>
    <t>1700_2315</t>
  </si>
  <si>
    <t>1700_2515</t>
  </si>
  <si>
    <t>1700_2715</t>
  </si>
  <si>
    <t>1700_2915</t>
  </si>
  <si>
    <t>1700_2B15</t>
  </si>
  <si>
    <t>1700_2D15</t>
  </si>
  <si>
    <t>1700_2F15</t>
  </si>
  <si>
    <t>1700_3115</t>
  </si>
  <si>
    <t>1700_3315</t>
  </si>
  <si>
    <t>1700_3515</t>
  </si>
  <si>
    <t>1700_3715</t>
  </si>
  <si>
    <t>1700_3915</t>
  </si>
  <si>
    <t>1700_3B15</t>
  </si>
  <si>
    <t>1700_3D15</t>
  </si>
  <si>
    <t>1700_3F15</t>
  </si>
  <si>
    <t>1700_4115</t>
  </si>
  <si>
    <t>1700_4315</t>
  </si>
  <si>
    <t>1700_4515</t>
  </si>
  <si>
    <t>1700_4715</t>
  </si>
  <si>
    <t>1700_4915</t>
  </si>
  <si>
    <t>1700_4B15</t>
  </si>
  <si>
    <t>1700_4D15</t>
  </si>
  <si>
    <t>1700_4F15</t>
  </si>
  <si>
    <t>1700_5115</t>
  </si>
  <si>
    <t>1700_5315</t>
  </si>
  <si>
    <t>1700_5515</t>
  </si>
  <si>
    <t>1700_5715</t>
  </si>
  <si>
    <t>1700_5915</t>
  </si>
  <si>
    <t>1700_5B15</t>
  </si>
  <si>
    <t>1700_5D15</t>
  </si>
  <si>
    <t>1700_5F15</t>
  </si>
  <si>
    <t>1700_6115</t>
  </si>
  <si>
    <t>1700_6315</t>
  </si>
  <si>
    <t>1700_6515</t>
  </si>
  <si>
    <t>1700_6715</t>
  </si>
  <si>
    <t>1700_6915</t>
  </si>
  <si>
    <t>1700_6B15</t>
  </si>
  <si>
    <t>1700_6D15</t>
  </si>
  <si>
    <t>1700_6F15</t>
  </si>
  <si>
    <t>1700_7115</t>
  </si>
  <si>
    <t>1700_7315</t>
  </si>
  <si>
    <t>1700_7515</t>
  </si>
  <si>
    <t>1700_7715</t>
  </si>
  <si>
    <t>1700_7915</t>
  </si>
  <si>
    <t>1700_7B15</t>
  </si>
  <si>
    <t>1700_7D15</t>
  </si>
  <si>
    <t>1700_7F15</t>
  </si>
  <si>
    <t>1700_0116</t>
  </si>
  <si>
    <t>1700_0316</t>
  </si>
  <si>
    <t>1700_0516</t>
  </si>
  <si>
    <t>1700_0716</t>
  </si>
  <si>
    <t>1700_0916</t>
  </si>
  <si>
    <t>1700_0B16</t>
  </si>
  <si>
    <t>1700_0D16</t>
  </si>
  <si>
    <t>1700_0F16</t>
  </si>
  <si>
    <t>1700_1116</t>
  </si>
  <si>
    <t>1700_1316</t>
  </si>
  <si>
    <t>1700_1516</t>
  </si>
  <si>
    <t>1700_1716</t>
  </si>
  <si>
    <t>1700_1916</t>
  </si>
  <si>
    <t>1700_1B16</t>
  </si>
  <si>
    <t>1700_1D16</t>
  </si>
  <si>
    <t>1700_1F16</t>
  </si>
  <si>
    <t>1700_2116</t>
  </si>
  <si>
    <t>1700_2316</t>
  </si>
  <si>
    <t>1700_2516</t>
  </si>
  <si>
    <t>1700_2716</t>
  </si>
  <si>
    <t>1700_2916</t>
  </si>
  <si>
    <t>1700_2B16</t>
  </si>
  <si>
    <t>1700_2D16</t>
  </si>
  <si>
    <t>1700_2F16</t>
  </si>
  <si>
    <t>1700_3116</t>
  </si>
  <si>
    <t>1700_3316</t>
  </si>
  <si>
    <t>1700_3516</t>
  </si>
  <si>
    <t>1700_3716</t>
  </si>
  <si>
    <t>1700_3916</t>
  </si>
  <si>
    <t>1700_3B16</t>
  </si>
  <si>
    <t>1700_3D16</t>
  </si>
  <si>
    <t>1700_3F16</t>
  </si>
  <si>
    <t>1700_4116</t>
  </si>
  <si>
    <t>1700_4316</t>
  </si>
  <si>
    <t>1700_4516</t>
  </si>
  <si>
    <t>1700_4716</t>
  </si>
  <si>
    <t>1700_4916</t>
  </si>
  <si>
    <t>1700_4B16</t>
  </si>
  <si>
    <t>1700_4D16</t>
  </si>
  <si>
    <t>1700_4F16</t>
  </si>
  <si>
    <t>1700_5116</t>
  </si>
  <si>
    <t>1700_5316</t>
  </si>
  <si>
    <t>1700_5516</t>
  </si>
  <si>
    <t>1700_5716</t>
  </si>
  <si>
    <t>1700_5916</t>
  </si>
  <si>
    <t>1700_5B16</t>
  </si>
  <si>
    <t>1700_5D16</t>
  </si>
  <si>
    <t>1700_5F16</t>
  </si>
  <si>
    <t>1700_6116</t>
  </si>
  <si>
    <t>1700_6316</t>
  </si>
  <si>
    <t>1700_6516</t>
  </si>
  <si>
    <t>1700_6716</t>
  </si>
  <si>
    <t>1700_6916</t>
  </si>
  <si>
    <t>1700_6B16</t>
  </si>
  <si>
    <t>1700_6D16</t>
  </si>
  <si>
    <t>1700_6F16</t>
  </si>
  <si>
    <t>1700_7116</t>
  </si>
  <si>
    <t>1700_7316</t>
  </si>
  <si>
    <t>1700_7516</t>
  </si>
  <si>
    <t>1700_7716</t>
  </si>
  <si>
    <t>1700_7916</t>
  </si>
  <si>
    <t>1700_7B16</t>
  </si>
  <si>
    <t>1700_7D16</t>
  </si>
  <si>
    <t>1700_7F16</t>
  </si>
  <si>
    <t>1700_0117</t>
  </si>
  <si>
    <t>1700_0317</t>
  </si>
  <si>
    <t>1700_0517</t>
  </si>
  <si>
    <t>1700_0717</t>
  </si>
  <si>
    <t>1700_0917</t>
  </si>
  <si>
    <t>1700_0B17</t>
  </si>
  <si>
    <t>1700_0D17</t>
  </si>
  <si>
    <t>1700_0F17</t>
  </si>
  <si>
    <t>1700_1117</t>
  </si>
  <si>
    <t>1700_1317</t>
  </si>
  <si>
    <t>1700_1517</t>
  </si>
  <si>
    <t>1700_1717</t>
  </si>
  <si>
    <t>1700_1917</t>
  </si>
  <si>
    <t>1700_1B17</t>
  </si>
  <si>
    <t>1700_1D17</t>
  </si>
  <si>
    <t>1700_1F17</t>
  </si>
  <si>
    <t>1700_2117</t>
  </si>
  <si>
    <t>1700_2317</t>
  </si>
  <si>
    <t>1700_2517</t>
  </si>
  <si>
    <t>1700_2717</t>
  </si>
  <si>
    <t>1700_2917</t>
  </si>
  <si>
    <t>1700_2B17</t>
  </si>
  <si>
    <t>1700_2D17</t>
  </si>
  <si>
    <t>1700_2F17</t>
  </si>
  <si>
    <t>1700_3117</t>
  </si>
  <si>
    <t>1700_3317</t>
  </si>
  <si>
    <t>1700_3517</t>
  </si>
  <si>
    <t>1700_3717</t>
  </si>
  <si>
    <t>1700_3917</t>
  </si>
  <si>
    <t>1700_3B17</t>
  </si>
  <si>
    <t>1700_3D17</t>
  </si>
  <si>
    <t>1700_3F17</t>
  </si>
  <si>
    <t>1700_4117</t>
  </si>
  <si>
    <t>1700_4317</t>
  </si>
  <si>
    <t>1700_4517</t>
  </si>
  <si>
    <t>1700_4717</t>
  </si>
  <si>
    <t>1700_4917</t>
  </si>
  <si>
    <t>1700_4B17</t>
  </si>
  <si>
    <t>1700_4D17</t>
  </si>
  <si>
    <t>1700_4F17</t>
  </si>
  <si>
    <t>1700_5117</t>
  </si>
  <si>
    <t>1700_5317</t>
  </si>
  <si>
    <t>1700_5517</t>
  </si>
  <si>
    <t>1700_5717</t>
  </si>
  <si>
    <t>1700_5917</t>
  </si>
  <si>
    <t>1700_5B17</t>
  </si>
  <si>
    <t>1700_5D17</t>
  </si>
  <si>
    <t>1700_5F17</t>
  </si>
  <si>
    <t>1700_6117</t>
  </si>
  <si>
    <t>1700_6317</t>
  </si>
  <si>
    <t>1700_6517</t>
  </si>
  <si>
    <t>1700_6717</t>
  </si>
  <si>
    <t>1700_6917</t>
  </si>
  <si>
    <t>1700_6B17</t>
  </si>
  <si>
    <t>1700_6D17</t>
  </si>
  <si>
    <t>1700_6F17</t>
  </si>
  <si>
    <t>1700_7117</t>
  </si>
  <si>
    <t>1700_7317</t>
  </si>
  <si>
    <t>1700_7517</t>
  </si>
  <si>
    <t>1700_7717</t>
  </si>
  <si>
    <t>1700_7917</t>
  </si>
  <si>
    <t>1700_7B17</t>
  </si>
  <si>
    <t>1700_7D17</t>
  </si>
  <si>
    <t>1700_7F17</t>
  </si>
  <si>
    <t>1700_0118</t>
  </si>
  <si>
    <t>1700_0318</t>
  </si>
  <si>
    <t>1700_0518</t>
  </si>
  <si>
    <t>1700_0718</t>
  </si>
  <si>
    <t>1700_0918</t>
  </si>
  <si>
    <t>1700_0B18</t>
  </si>
  <si>
    <t>1700_0D18</t>
  </si>
  <si>
    <t>1700_0F18</t>
  </si>
  <si>
    <t>1700_1118</t>
  </si>
  <si>
    <t>1700_1318</t>
  </si>
  <si>
    <t>1700_1518</t>
  </si>
  <si>
    <t>1700_1718</t>
  </si>
  <si>
    <t>1700_1918</t>
  </si>
  <si>
    <t>1700_1B18</t>
  </si>
  <si>
    <t>1700_1D18</t>
  </si>
  <si>
    <t>1700_1F18</t>
  </si>
  <si>
    <t>1700_2118</t>
  </si>
  <si>
    <t>1700_2318</t>
  </si>
  <si>
    <t>1700_2518</t>
  </si>
  <si>
    <t>1700_2718</t>
  </si>
  <si>
    <t>1700_2918</t>
  </si>
  <si>
    <t>1700_2B18</t>
  </si>
  <si>
    <t>1700_2D18</t>
  </si>
  <si>
    <t>1700_2F18</t>
  </si>
  <si>
    <t>1700_3118</t>
  </si>
  <si>
    <t>1700_3318</t>
  </si>
  <si>
    <t>1700_3518</t>
  </si>
  <si>
    <t>1700_3718</t>
  </si>
  <si>
    <t>1700_3918</t>
  </si>
  <si>
    <t>1700_3B18</t>
  </si>
  <si>
    <t>1700_3D18</t>
  </si>
  <si>
    <t>1700_3F18</t>
  </si>
  <si>
    <t>1700_4118</t>
  </si>
  <si>
    <t>1700_4318</t>
  </si>
  <si>
    <t>1700_4518</t>
  </si>
  <si>
    <t>1700_4718</t>
  </si>
  <si>
    <t>1700_4918</t>
  </si>
  <si>
    <t>1700_4B18</t>
  </si>
  <si>
    <t>1700_4D18</t>
  </si>
  <si>
    <t>1700_4F18</t>
  </si>
  <si>
    <t>1700_5118</t>
  </si>
  <si>
    <t>1700_5318</t>
  </si>
  <si>
    <t>1700_5518</t>
  </si>
  <si>
    <t>1700_5718</t>
  </si>
  <si>
    <t>1700_5918</t>
  </si>
  <si>
    <t>1700_5B18</t>
  </si>
  <si>
    <t>1700_5D18</t>
  </si>
  <si>
    <t>1700_5F18</t>
  </si>
  <si>
    <t>1700_6118</t>
  </si>
  <si>
    <t>1700_6318</t>
  </si>
  <si>
    <t>1700_6518</t>
  </si>
  <si>
    <t>1700_6718</t>
  </si>
  <si>
    <t>1700_6918</t>
  </si>
  <si>
    <t>1700_6B18</t>
  </si>
  <si>
    <t>1700_6D18</t>
  </si>
  <si>
    <t>1700_6F18</t>
  </si>
  <si>
    <t>1700_7118</t>
  </si>
  <si>
    <t>1700_7318</t>
  </si>
  <si>
    <t>1700_7518</t>
  </si>
  <si>
    <t>1700_7718</t>
  </si>
  <si>
    <t>1700_7918</t>
  </si>
  <si>
    <t>1700_7B18</t>
  </si>
  <si>
    <t>1700_7D18</t>
  </si>
  <si>
    <t>1700_7F18</t>
  </si>
  <si>
    <t>1700_0119</t>
  </si>
  <si>
    <t>1700_0319</t>
  </si>
  <si>
    <t>1700_0519</t>
  </si>
  <si>
    <t>1700_0719</t>
  </si>
  <si>
    <t>1700_0919</t>
  </si>
  <si>
    <t>1700_0B19</t>
  </si>
  <si>
    <t>1700_0D19</t>
  </si>
  <si>
    <t>1700_0F19</t>
  </si>
  <si>
    <t>1700_1119</t>
  </si>
  <si>
    <t>1700_1319</t>
  </si>
  <si>
    <t>1700_1519</t>
  </si>
  <si>
    <t>1700_1719</t>
  </si>
  <si>
    <t>1700_1919</t>
  </si>
  <si>
    <t>1700_1B19</t>
  </si>
  <si>
    <t>1700_1D19</t>
  </si>
  <si>
    <t>1700_1F19</t>
  </si>
  <si>
    <t>1700_2119</t>
  </si>
  <si>
    <t>1700_2319</t>
  </si>
  <si>
    <t>1700_2519</t>
  </si>
  <si>
    <t>1700_2719</t>
  </si>
  <si>
    <t>1700_2919</t>
  </si>
  <si>
    <t>1700_2B19</t>
  </si>
  <si>
    <t>1700_2D19</t>
  </si>
  <si>
    <t>1700_2F19</t>
  </si>
  <si>
    <t>1700_3119</t>
  </si>
  <si>
    <t>1700_3319</t>
  </si>
  <si>
    <t>1700_3519</t>
  </si>
  <si>
    <t>1700_3719</t>
  </si>
  <si>
    <t>1700_3919</t>
  </si>
  <si>
    <t>1700_3B19</t>
  </si>
  <si>
    <t>1700_3D19</t>
  </si>
  <si>
    <t>1700_3F19</t>
  </si>
  <si>
    <t>1700_4119</t>
  </si>
  <si>
    <t>1700_4319</t>
  </si>
  <si>
    <t>1700_4519</t>
  </si>
  <si>
    <t>1700_4719</t>
  </si>
  <si>
    <t>1700_4919</t>
  </si>
  <si>
    <t>1700_4B19</t>
  </si>
  <si>
    <t>1700_4D19</t>
  </si>
  <si>
    <t>1700_4F19</t>
  </si>
  <si>
    <t>1700_5119</t>
  </si>
  <si>
    <t>1700_5319</t>
  </si>
  <si>
    <t>1700_5519</t>
  </si>
  <si>
    <t>1700_5719</t>
  </si>
  <si>
    <t>1700_5919</t>
  </si>
  <si>
    <t>1700_5B19</t>
  </si>
  <si>
    <t>1700_5D19</t>
  </si>
  <si>
    <t>1700_5F19</t>
  </si>
  <si>
    <t>1700_6119</t>
  </si>
  <si>
    <t>1700_6319</t>
  </si>
  <si>
    <t>1700_6519</t>
  </si>
  <si>
    <t>1700_6719</t>
  </si>
  <si>
    <t>1700_6919</t>
  </si>
  <si>
    <t>1700_6B19</t>
  </si>
  <si>
    <t>1700_6D19</t>
  </si>
  <si>
    <t>1700_6F19</t>
  </si>
  <si>
    <t>1700_7119</t>
  </si>
  <si>
    <t>1700_7319</t>
  </si>
  <si>
    <t>1700_7519</t>
  </si>
  <si>
    <t>1700_7719</t>
  </si>
  <si>
    <t>1700_7919</t>
  </si>
  <si>
    <t>1700_7B19</t>
  </si>
  <si>
    <t>1700_7D19</t>
  </si>
  <si>
    <t>1700_7F19</t>
  </si>
  <si>
    <t>1700_011A</t>
  </si>
  <si>
    <t>1700_031A</t>
  </si>
  <si>
    <t>1700_051A</t>
  </si>
  <si>
    <t>1700_071A</t>
  </si>
  <si>
    <t>1700_091A</t>
  </si>
  <si>
    <t>1700_0B1A</t>
  </si>
  <si>
    <t>1700_0D1A</t>
  </si>
  <si>
    <t>1700_0F1A</t>
  </si>
  <si>
    <t>1700_111A</t>
  </si>
  <si>
    <t>1700_131A</t>
  </si>
  <si>
    <t>1700_151A</t>
  </si>
  <si>
    <t>1700_171A</t>
  </si>
  <si>
    <t>1700_191A</t>
  </si>
  <si>
    <t>1700_1B1A</t>
  </si>
  <si>
    <t>1700_1D1A</t>
  </si>
  <si>
    <t>1700_1F1A</t>
  </si>
  <si>
    <t>1700_211A</t>
  </si>
  <si>
    <t>1700_231A</t>
  </si>
  <si>
    <t>1700_251A</t>
  </si>
  <si>
    <t>1700_271A</t>
  </si>
  <si>
    <t>1700_291A</t>
  </si>
  <si>
    <t>1700_2B1A</t>
  </si>
  <si>
    <t>1700_2D1A</t>
  </si>
  <si>
    <t>1700_2F1A</t>
  </si>
  <si>
    <t>1700_311A</t>
  </si>
  <si>
    <t>1700_331A</t>
  </si>
  <si>
    <t>1700_351A</t>
  </si>
  <si>
    <t>1700_371A</t>
  </si>
  <si>
    <t>1700_391A</t>
  </si>
  <si>
    <t>1700_3B1A</t>
  </si>
  <si>
    <t>1700_3D1A</t>
  </si>
  <si>
    <t>1700_3F1A</t>
  </si>
  <si>
    <t>1700_411A</t>
  </si>
  <si>
    <t>1700_431A</t>
  </si>
  <si>
    <t>1700_451A</t>
  </si>
  <si>
    <t>1700_471A</t>
  </si>
  <si>
    <t>1700_491A</t>
  </si>
  <si>
    <t>1700_4B1A</t>
  </si>
  <si>
    <t>1700_4D1A</t>
  </si>
  <si>
    <t>1700_4F1A</t>
  </si>
  <si>
    <t>1700_511A</t>
  </si>
  <si>
    <t>1700_531A</t>
  </si>
  <si>
    <t>1700_551A</t>
  </si>
  <si>
    <t>1700_571A</t>
  </si>
  <si>
    <t>1700_591A</t>
  </si>
  <si>
    <t>1700_5B1A</t>
  </si>
  <si>
    <t>1700_5D1A</t>
  </si>
  <si>
    <t>1700_5F1A</t>
  </si>
  <si>
    <t>1700_611A</t>
  </si>
  <si>
    <t>1700_631A</t>
  </si>
  <si>
    <t>1700_651A</t>
  </si>
  <si>
    <t>1700_671A</t>
  </si>
  <si>
    <t>1700_691A</t>
  </si>
  <si>
    <t>1700_6B1A</t>
  </si>
  <si>
    <t>1700_6D1A</t>
  </si>
  <si>
    <t>1700_6F1A</t>
  </si>
  <si>
    <t>1700_711A</t>
  </si>
  <si>
    <t>1700_731A</t>
  </si>
  <si>
    <t>1700_751A</t>
  </si>
  <si>
    <t>1700_771A</t>
  </si>
  <si>
    <t>1700_791A</t>
  </si>
  <si>
    <t>1700_7B1A</t>
  </si>
  <si>
    <t>1700_7D1A</t>
  </si>
  <si>
    <t>1700_7F1A</t>
  </si>
  <si>
    <t>1700_011B</t>
  </si>
  <si>
    <t>1700_031B</t>
  </si>
  <si>
    <t>1700_051B</t>
  </si>
  <si>
    <t>1700_071B</t>
  </si>
  <si>
    <t>1700_091B</t>
  </si>
  <si>
    <t>1700_0B1B</t>
  </si>
  <si>
    <t>1700_0D1B</t>
  </si>
  <si>
    <t>1700_0F1B</t>
  </si>
  <si>
    <t>1700_111B</t>
  </si>
  <si>
    <t>1700_131B</t>
  </si>
  <si>
    <t>1700_151B</t>
  </si>
  <si>
    <t>1700_171B</t>
  </si>
  <si>
    <t>1700_191B</t>
  </si>
  <si>
    <t>1700_1B1B</t>
  </si>
  <si>
    <t>1700_1D1B</t>
  </si>
  <si>
    <t>1700_1F1B</t>
  </si>
  <si>
    <t>1700_211B</t>
  </si>
  <si>
    <t>1700_231B</t>
  </si>
  <si>
    <t>1700_251B</t>
  </si>
  <si>
    <t>1700_271B</t>
  </si>
  <si>
    <t>1700_291B</t>
  </si>
  <si>
    <t>1700_2B1B</t>
  </si>
  <si>
    <t>1700_2D1B</t>
  </si>
  <si>
    <t>1700_2F1B</t>
  </si>
  <si>
    <t>1700_311B</t>
  </si>
  <si>
    <t>1700_331B</t>
  </si>
  <si>
    <t>1700_351B</t>
  </si>
  <si>
    <t>1700_371B</t>
  </si>
  <si>
    <t>1700_391B</t>
  </si>
  <si>
    <t>1700_3B1B</t>
  </si>
  <si>
    <t>1700_3D1B</t>
  </si>
  <si>
    <t>1700_3F1B</t>
  </si>
  <si>
    <t>1700_411B</t>
  </si>
  <si>
    <t>1700_431B</t>
  </si>
  <si>
    <t>1700_451B</t>
  </si>
  <si>
    <t>1700_471B</t>
  </si>
  <si>
    <t>1700_491B</t>
  </si>
  <si>
    <t>1700_4B1B</t>
  </si>
  <si>
    <t>1700_4D1B</t>
  </si>
  <si>
    <t>1700_4F1B</t>
  </si>
  <si>
    <t>1700_511B</t>
  </si>
  <si>
    <t>1700_531B</t>
  </si>
  <si>
    <t>1700_551B</t>
  </si>
  <si>
    <t>1700_571B</t>
  </si>
  <si>
    <t>1700_591B</t>
  </si>
  <si>
    <t>1700_5B1B</t>
  </si>
  <si>
    <t>1700_5D1B</t>
  </si>
  <si>
    <t>1700_5F1B</t>
  </si>
  <si>
    <t>1700_611B</t>
  </si>
  <si>
    <t>1700_631B</t>
  </si>
  <si>
    <t>1700_651B</t>
  </si>
  <si>
    <t>1700_671B</t>
  </si>
  <si>
    <t>1700_691B</t>
  </si>
  <si>
    <t>1700_6B1B</t>
  </si>
  <si>
    <t>1700_6D1B</t>
  </si>
  <si>
    <t>1700_6F1B</t>
  </si>
  <si>
    <t>1700_711B</t>
  </si>
  <si>
    <t>1700_731B</t>
  </si>
  <si>
    <t>1700_751B</t>
  </si>
  <si>
    <t>1700_771B</t>
  </si>
  <si>
    <t>1700_791B</t>
  </si>
  <si>
    <t>1700_7B1B</t>
  </si>
  <si>
    <t>1700_7D1B</t>
  </si>
  <si>
    <t>1700_7F1B</t>
  </si>
  <si>
    <t>1700_011C</t>
  </si>
  <si>
    <t>1700_031C</t>
  </si>
  <si>
    <t>1700_051C</t>
  </si>
  <si>
    <t>1700_071C</t>
  </si>
  <si>
    <t>1700_091C</t>
  </si>
  <si>
    <t>1700_0B1C</t>
  </si>
  <si>
    <t>1700_0D1C</t>
  </si>
  <si>
    <t>1700_0F1C</t>
  </si>
  <si>
    <t>1700_111C</t>
  </si>
  <si>
    <t>1700_131C</t>
  </si>
  <si>
    <t>1700_151C</t>
  </si>
  <si>
    <t>1700_171C</t>
  </si>
  <si>
    <t>1700_191C</t>
  </si>
  <si>
    <t>1700_1B1C</t>
  </si>
  <si>
    <t>1700_1D1C</t>
  </si>
  <si>
    <t>1700_1F1C</t>
  </si>
  <si>
    <t>1700_211C</t>
  </si>
  <si>
    <t>1700_231C</t>
  </si>
  <si>
    <t>1700_251C</t>
  </si>
  <si>
    <t>1700_271C</t>
  </si>
  <si>
    <t>1700_291C</t>
  </si>
  <si>
    <t>1700_2B1C</t>
  </si>
  <si>
    <t>1700_2D1C</t>
  </si>
  <si>
    <t>1700_2F1C</t>
  </si>
  <si>
    <t>1700_311C</t>
  </si>
  <si>
    <t>1700_331C</t>
  </si>
  <si>
    <t>1700_351C</t>
  </si>
  <si>
    <t>1700_371C</t>
  </si>
  <si>
    <t>1700_391C</t>
  </si>
  <si>
    <t>1700_3B1C</t>
  </si>
  <si>
    <t>1700_3D1C</t>
  </si>
  <si>
    <t>1700_3F1C</t>
  </si>
  <si>
    <t>1700_411C</t>
  </si>
  <si>
    <t>1700_431C</t>
  </si>
  <si>
    <t>1700_451C</t>
  </si>
  <si>
    <t>1700_471C</t>
  </si>
  <si>
    <t>1700_491C</t>
  </si>
  <si>
    <t>1700_4B1C</t>
  </si>
  <si>
    <t>1700_4D1C</t>
  </si>
  <si>
    <t>1700_4F1C</t>
  </si>
  <si>
    <t>1700_511C</t>
  </si>
  <si>
    <t>1700_531C</t>
  </si>
  <si>
    <t>1700_551C</t>
  </si>
  <si>
    <t>1700_571C</t>
  </si>
  <si>
    <t>1700_591C</t>
  </si>
  <si>
    <t>1700_5B1C</t>
  </si>
  <si>
    <t>1700_5D1C</t>
  </si>
  <si>
    <t>1700_5F1C</t>
  </si>
  <si>
    <t>1700_611C</t>
  </si>
  <si>
    <t>1700_631C</t>
  </si>
  <si>
    <t>1700_651C</t>
  </si>
  <si>
    <t>1700_671C</t>
  </si>
  <si>
    <t>1700_691C</t>
  </si>
  <si>
    <t>1700_6B1C</t>
  </si>
  <si>
    <t>1700_6D1C</t>
  </si>
  <si>
    <t>1700_6F1C</t>
  </si>
  <si>
    <t>1700_711C</t>
  </si>
  <si>
    <t>1700_731C</t>
  </si>
  <si>
    <t>1700_751C</t>
  </si>
  <si>
    <t>1700_771C</t>
  </si>
  <si>
    <t>1700_791C</t>
  </si>
  <si>
    <t>1700_7B1C</t>
  </si>
  <si>
    <t>1700_7D1C</t>
  </si>
  <si>
    <t>1700_7F1C</t>
  </si>
  <si>
    <t>1700_011D</t>
  </si>
  <si>
    <t>1700_031D</t>
  </si>
  <si>
    <t>1700_051D</t>
  </si>
  <si>
    <t>1700_071D</t>
  </si>
  <si>
    <t>1700_091D</t>
  </si>
  <si>
    <t>1700_0B1D</t>
  </si>
  <si>
    <t>1700_0D1D</t>
  </si>
  <si>
    <t>1700_0F1D</t>
  </si>
  <si>
    <t>1700_111D</t>
  </si>
  <si>
    <t>1700_131D</t>
  </si>
  <si>
    <t>1700_151D</t>
  </si>
  <si>
    <t>1700_171D</t>
  </si>
  <si>
    <t>1700_191D</t>
  </si>
  <si>
    <t>1700_1B1D</t>
  </si>
  <si>
    <t>1700_1D1D</t>
  </si>
  <si>
    <t>1700_1F1D</t>
  </si>
  <si>
    <t>1700_211D</t>
  </si>
  <si>
    <t>1700_231D</t>
  </si>
  <si>
    <t>1700_251D</t>
  </si>
  <si>
    <t>1700_271D</t>
  </si>
  <si>
    <t>1700_291D</t>
  </si>
  <si>
    <t>1700_2B1D</t>
  </si>
  <si>
    <t>1700_2D1D</t>
  </si>
  <si>
    <t>1700_2F1D</t>
  </si>
  <si>
    <t>1700_311D</t>
  </si>
  <si>
    <t>1700_331D</t>
  </si>
  <si>
    <t>1700_351D</t>
  </si>
  <si>
    <t>1700_371D</t>
  </si>
  <si>
    <t>1700_391D</t>
  </si>
  <si>
    <t>1700_3B1D</t>
  </si>
  <si>
    <t>1700_3D1D</t>
  </si>
  <si>
    <t>1700_3F1D</t>
  </si>
  <si>
    <t>1700_411D</t>
  </si>
  <si>
    <t>1700_431D</t>
  </si>
  <si>
    <t>1700_451D</t>
  </si>
  <si>
    <t>1700_471D</t>
  </si>
  <si>
    <t>1700_491D</t>
  </si>
  <si>
    <t>1700_4B1D</t>
  </si>
  <si>
    <t>1700_4D1D</t>
  </si>
  <si>
    <t>1700_4F1D</t>
  </si>
  <si>
    <t>1700_511D</t>
  </si>
  <si>
    <t>1700_531D</t>
  </si>
  <si>
    <t>1700_551D</t>
  </si>
  <si>
    <t>1700_571D</t>
  </si>
  <si>
    <t>1700_591D</t>
  </si>
  <si>
    <t>1700_5B1D</t>
  </si>
  <si>
    <t>1700_5D1D</t>
  </si>
  <si>
    <t>1700_5F1D</t>
  </si>
  <si>
    <t>1700_611D</t>
  </si>
  <si>
    <t>1700_631D</t>
  </si>
  <si>
    <t>1700_651D</t>
  </si>
  <si>
    <t>1700_671D</t>
  </si>
  <si>
    <t>1700_691D</t>
  </si>
  <si>
    <t>1700_6B1D</t>
  </si>
  <si>
    <t>1700_6D1D</t>
  </si>
  <si>
    <t>1700_6F1D</t>
  </si>
  <si>
    <t>1700_711D</t>
  </si>
  <si>
    <t>1700_731D</t>
  </si>
  <si>
    <t>1700_751D</t>
  </si>
  <si>
    <t>1700_771D</t>
  </si>
  <si>
    <t>1700_791D</t>
  </si>
  <si>
    <t>1700_7B1D</t>
  </si>
  <si>
    <t>1700_7D1D</t>
  </si>
  <si>
    <t>1700_7F1D</t>
  </si>
  <si>
    <t>1700_011E</t>
  </si>
  <si>
    <t>1700_031E</t>
  </si>
  <si>
    <t>1700_051E</t>
  </si>
  <si>
    <t>1700_071E</t>
  </si>
  <si>
    <t>1700_091E</t>
  </si>
  <si>
    <t>1700_0B1E</t>
  </si>
  <si>
    <t>1700_0D1E</t>
  </si>
  <si>
    <t>1700_0F1E</t>
  </si>
  <si>
    <t>1700_111E</t>
  </si>
  <si>
    <t>1700_131E</t>
  </si>
  <si>
    <t>1700_151E</t>
  </si>
  <si>
    <t>1700_171E</t>
  </si>
  <si>
    <t>1700_191E</t>
  </si>
  <si>
    <t>1700_1B1E</t>
  </si>
  <si>
    <t>1700_1D1E</t>
  </si>
  <si>
    <t>1700_1F1E</t>
  </si>
  <si>
    <t>1700_211E</t>
  </si>
  <si>
    <t>1700_231E</t>
  </si>
  <si>
    <t>1700_251E</t>
  </si>
  <si>
    <t>1700_271E</t>
  </si>
  <si>
    <t>1700_291E</t>
  </si>
  <si>
    <t>1700_2B1E</t>
  </si>
  <si>
    <t>1700_2D1E</t>
  </si>
  <si>
    <t>1700_2F1E</t>
  </si>
  <si>
    <t>1700_311E</t>
  </si>
  <si>
    <t>1700_331E</t>
  </si>
  <si>
    <t>1700_351E</t>
  </si>
  <si>
    <t>1700_371E</t>
  </si>
  <si>
    <t>1700_391E</t>
  </si>
  <si>
    <t>1700_3B1E</t>
  </si>
  <si>
    <t>1700_3D1E</t>
  </si>
  <si>
    <t>1700_3F1E</t>
  </si>
  <si>
    <t>1700_411E</t>
  </si>
  <si>
    <t>1700_431E</t>
  </si>
  <si>
    <t>1700_451E</t>
  </si>
  <si>
    <t>1700_471E</t>
  </si>
  <si>
    <t>1700_491E</t>
  </si>
  <si>
    <t>1700_4B1E</t>
  </si>
  <si>
    <t>1700_4D1E</t>
  </si>
  <si>
    <t>1700_4F1E</t>
  </si>
  <si>
    <t>1700_511E</t>
  </si>
  <si>
    <t>1700_531E</t>
  </si>
  <si>
    <t>1700_551E</t>
  </si>
  <si>
    <t>1700_571E</t>
  </si>
  <si>
    <t>1700_591E</t>
  </si>
  <si>
    <t>1700_5B1E</t>
  </si>
  <si>
    <t>1700_5D1E</t>
  </si>
  <si>
    <t>1700_5F1E</t>
  </si>
  <si>
    <t>1700_611E</t>
  </si>
  <si>
    <t>1700_631E</t>
  </si>
  <si>
    <t>1700_651E</t>
  </si>
  <si>
    <t>1700_671E</t>
  </si>
  <si>
    <t>1700_691E</t>
  </si>
  <si>
    <t>1700_6B1E</t>
  </si>
  <si>
    <t>1700_6D1E</t>
  </si>
  <si>
    <t>1700_6F1E</t>
  </si>
  <si>
    <t>1700_711E</t>
  </si>
  <si>
    <t>1700_731E</t>
  </si>
  <si>
    <t>1700_751E</t>
  </si>
  <si>
    <t>1700_771E</t>
  </si>
  <si>
    <t>1700_791E</t>
  </si>
  <si>
    <t>1700_7B1E</t>
  </si>
  <si>
    <t>1700_7D1E</t>
  </si>
  <si>
    <t>1700_7F1E</t>
  </si>
  <si>
    <t>1700_011F</t>
  </si>
  <si>
    <t>1700_031F</t>
  </si>
  <si>
    <t>1700_051F</t>
  </si>
  <si>
    <t>1700_071F</t>
  </si>
  <si>
    <t>1700_091F</t>
  </si>
  <si>
    <t>1700_0B1F</t>
  </si>
  <si>
    <t>1700_0D1F</t>
  </si>
  <si>
    <t>1700_0F1F</t>
  </si>
  <si>
    <t>1700_111F</t>
  </si>
  <si>
    <t>1700_131F</t>
  </si>
  <si>
    <t>1700_151F</t>
  </si>
  <si>
    <t>1700_171F</t>
  </si>
  <si>
    <t>1700_191F</t>
  </si>
  <si>
    <t>1700_1B1F</t>
  </si>
  <si>
    <t>1700_1D1F</t>
  </si>
  <si>
    <t>1700_1F1F</t>
  </si>
  <si>
    <t>1700_211F</t>
  </si>
  <si>
    <t>1700_231F</t>
  </si>
  <si>
    <t>1700_251F</t>
  </si>
  <si>
    <t>1700_271F</t>
  </si>
  <si>
    <t>1700_291F</t>
  </si>
  <si>
    <t>1700_2B1F</t>
  </si>
  <si>
    <t>1700_2D1F</t>
  </si>
  <si>
    <t>1700_2F1F</t>
  </si>
  <si>
    <t>1700_311F</t>
  </si>
  <si>
    <t>1700_331F</t>
  </si>
  <si>
    <t>1700_351F</t>
  </si>
  <si>
    <t>1700_371F</t>
  </si>
  <si>
    <t>1700_391F</t>
  </si>
  <si>
    <t>1700_3B1F</t>
  </si>
  <si>
    <t>1700_3D1F</t>
  </si>
  <si>
    <t>1700_3F1F</t>
  </si>
  <si>
    <t>1700_411F</t>
  </si>
  <si>
    <t>1700_431F</t>
  </si>
  <si>
    <t>1700_451F</t>
  </si>
  <si>
    <t>1700_471F</t>
  </si>
  <si>
    <t>1700_491F</t>
  </si>
  <si>
    <t>1700_4B1F</t>
  </si>
  <si>
    <t>1700_4D1F</t>
  </si>
  <si>
    <t>1700_4F1F</t>
  </si>
  <si>
    <t>1700_511F</t>
  </si>
  <si>
    <t>1700_531F</t>
  </si>
  <si>
    <t>1700_551F</t>
  </si>
  <si>
    <t>1700_571F</t>
  </si>
  <si>
    <t>1700_591F</t>
  </si>
  <si>
    <t>1700_5B1F</t>
  </si>
  <si>
    <t>1700_5D1F</t>
  </si>
  <si>
    <t>1700_5F1F</t>
  </si>
  <si>
    <t>1700_611F</t>
  </si>
  <si>
    <t>1700_631F</t>
  </si>
  <si>
    <t>1700_651F</t>
  </si>
  <si>
    <t>1700_671F</t>
  </si>
  <si>
    <t>1700_691F</t>
  </si>
  <si>
    <t>1700_6B1F</t>
  </si>
  <si>
    <t>1700_6D1F</t>
  </si>
  <si>
    <t>1700_6F1F</t>
  </si>
  <si>
    <t>1700_711F</t>
  </si>
  <si>
    <t>1700_731F</t>
  </si>
  <si>
    <t>1700_751F</t>
  </si>
  <si>
    <t>1700_771F</t>
  </si>
  <si>
    <t>1700_791F</t>
  </si>
  <si>
    <t>1700_7B1F</t>
  </si>
  <si>
    <t>1700_7D1F</t>
  </si>
  <si>
    <t>1700_7F1F</t>
  </si>
  <si>
    <t>1700_0120</t>
  </si>
  <si>
    <t>1700_0320</t>
  </si>
  <si>
    <t>1700_0520</t>
  </si>
  <si>
    <t>1700_0720</t>
  </si>
  <si>
    <t>1700_0920</t>
  </si>
  <si>
    <t>1700_0B20</t>
  </si>
  <si>
    <t>1700_0D20</t>
  </si>
  <si>
    <t>1700_0F20</t>
  </si>
  <si>
    <t>1700_1120</t>
  </si>
  <si>
    <t>1700_1320</t>
  </si>
  <si>
    <t>1700_1520</t>
  </si>
  <si>
    <t>1700_1720</t>
  </si>
  <si>
    <t>1700_1920</t>
  </si>
  <si>
    <t>1700_1B20</t>
  </si>
  <si>
    <t>1700_1D20</t>
  </si>
  <si>
    <t>1700_1F20</t>
  </si>
  <si>
    <t>1700_2120</t>
  </si>
  <si>
    <t>1700_2320</t>
  </si>
  <si>
    <t>1700_2520</t>
  </si>
  <si>
    <t>1700_2720</t>
  </si>
  <si>
    <t>1700_2920</t>
  </si>
  <si>
    <t>1700_2B20</t>
  </si>
  <si>
    <t>1700_2D20</t>
  </si>
  <si>
    <t>1700_2F20</t>
  </si>
  <si>
    <t>1700_3120</t>
  </si>
  <si>
    <t>1700_3320</t>
  </si>
  <si>
    <t>1700_3520</t>
  </si>
  <si>
    <t>1700_3720</t>
  </si>
  <si>
    <t>1700_3920</t>
  </si>
  <si>
    <t>1700_3B20</t>
  </si>
  <si>
    <t>1700_3D20</t>
  </si>
  <si>
    <t>1700_3F20</t>
  </si>
  <si>
    <t>1700_4120</t>
  </si>
  <si>
    <t>1700_4320</t>
  </si>
  <si>
    <t>1700_4520</t>
  </si>
  <si>
    <t>1700_4720</t>
  </si>
  <si>
    <t>1700_4920</t>
  </si>
  <si>
    <t>1700_4B20</t>
  </si>
  <si>
    <t>1700_4D20</t>
  </si>
  <si>
    <t>1700_4F20</t>
  </si>
  <si>
    <t>1700_5120</t>
  </si>
  <si>
    <t>1700_5320</t>
  </si>
  <si>
    <t>1700_5520</t>
  </si>
  <si>
    <t>1700_5720</t>
  </si>
  <si>
    <t>1700_5920</t>
  </si>
  <si>
    <t>1700_5B20</t>
  </si>
  <si>
    <t>1700_5D20</t>
  </si>
  <si>
    <t>1700_5F20</t>
  </si>
  <si>
    <t>1700_6120</t>
  </si>
  <si>
    <t>1700_6320</t>
  </si>
  <si>
    <t>1700_6520</t>
  </si>
  <si>
    <t>1700_6720</t>
  </si>
  <si>
    <t>1700_6920</t>
  </si>
  <si>
    <t>1700_6B20</t>
  </si>
  <si>
    <t>1700_6D20</t>
  </si>
  <si>
    <t>1700_6F20</t>
  </si>
  <si>
    <t>1700_7120</t>
  </si>
  <si>
    <t>1700_7320</t>
  </si>
  <si>
    <t>1700_7520</t>
  </si>
  <si>
    <t>1700_7720</t>
  </si>
  <si>
    <t>1700_7920</t>
  </si>
  <si>
    <t>1700_7B20</t>
  </si>
  <si>
    <t>1700_7D20</t>
  </si>
  <si>
    <t>1700_7F20</t>
  </si>
  <si>
    <t>1700_0121</t>
  </si>
  <si>
    <t>1700_0321</t>
  </si>
  <si>
    <t>1700_0521</t>
  </si>
  <si>
    <t>1700_0721</t>
  </si>
  <si>
    <t>1700_0921</t>
  </si>
  <si>
    <t>1700_0B21</t>
  </si>
  <si>
    <t>1700_0D21</t>
  </si>
  <si>
    <t>1700_0F21</t>
  </si>
  <si>
    <t>1700_1121</t>
  </si>
  <si>
    <t>1700_1321</t>
  </si>
  <si>
    <t>1700_1521</t>
  </si>
  <si>
    <t>1700_1721</t>
  </si>
  <si>
    <t>1700_1921</t>
  </si>
  <si>
    <t>1700_1B21</t>
  </si>
  <si>
    <t>1700_1D21</t>
  </si>
  <si>
    <t>1700_1F21</t>
  </si>
  <si>
    <t>1700_2121</t>
  </si>
  <si>
    <t>1700_2321</t>
  </si>
  <si>
    <t>1700_2521</t>
  </si>
  <si>
    <t>1700_2721</t>
  </si>
  <si>
    <t>1700_2921</t>
  </si>
  <si>
    <t>1700_2B21</t>
  </si>
  <si>
    <t>1700_2D21</t>
  </si>
  <si>
    <t>1700_2F21</t>
  </si>
  <si>
    <t>1700_3121</t>
  </si>
  <si>
    <t>1700_3321</t>
  </si>
  <si>
    <t>1700_3521</t>
  </si>
  <si>
    <t>1700_3721</t>
  </si>
  <si>
    <t>1700_3921</t>
  </si>
  <si>
    <t>1700_3B21</t>
  </si>
  <si>
    <t>1700_3D21</t>
  </si>
  <si>
    <t>1700_3F21</t>
  </si>
  <si>
    <t>1700_4121</t>
  </si>
  <si>
    <t>1700_4321</t>
  </si>
  <si>
    <t>1700_4521</t>
  </si>
  <si>
    <t>1700_4721</t>
  </si>
  <si>
    <t>1700_4921</t>
  </si>
  <si>
    <t>1700_4B21</t>
  </si>
  <si>
    <t>1700_4D21</t>
  </si>
  <si>
    <t>1700_4F21</t>
  </si>
  <si>
    <t>1700_5121</t>
  </si>
  <si>
    <t>1700_5321</t>
  </si>
  <si>
    <t>1700_5521</t>
  </si>
  <si>
    <t>1700_5721</t>
  </si>
  <si>
    <t>1700_5921</t>
  </si>
  <si>
    <t>1700_5B21</t>
  </si>
  <si>
    <t>1700_5D21</t>
  </si>
  <si>
    <t>1700_5F21</t>
  </si>
  <si>
    <t>1700_6121</t>
  </si>
  <si>
    <t>1700_6321</t>
  </si>
  <si>
    <t>1700_6521</t>
  </si>
  <si>
    <t>1700_6721</t>
  </si>
  <si>
    <t>1700_6921</t>
  </si>
  <si>
    <t>1700_6B21</t>
  </si>
  <si>
    <t>1700_6D21</t>
  </si>
  <si>
    <t>1700_6F21</t>
  </si>
  <si>
    <t>1700_7121</t>
  </si>
  <si>
    <t>1700_7321</t>
  </si>
  <si>
    <t>1700_7521</t>
  </si>
  <si>
    <t>1700_7721</t>
  </si>
  <si>
    <t>1700_7921</t>
  </si>
  <si>
    <t>1700_7B21</t>
  </si>
  <si>
    <t>1700_7D21</t>
  </si>
  <si>
    <t>1700_7F21</t>
  </si>
  <si>
    <t>1700_0122</t>
  </si>
  <si>
    <t>1700_0322</t>
  </si>
  <si>
    <t>1700_0522</t>
  </si>
  <si>
    <t>1700_0722</t>
  </si>
  <si>
    <t>1700_0922</t>
  </si>
  <si>
    <t>1700_0B22</t>
  </si>
  <si>
    <t>1700_0D22</t>
  </si>
  <si>
    <t>1700_0F22</t>
  </si>
  <si>
    <t>1700_1122</t>
  </si>
  <si>
    <t>1700_1322</t>
  </si>
  <si>
    <t>1700_1522</t>
  </si>
  <si>
    <t>1700_1722</t>
  </si>
  <si>
    <t>1700_1922</t>
  </si>
  <si>
    <t>1700_1B22</t>
  </si>
  <si>
    <t>1700_1D22</t>
  </si>
  <si>
    <t>1700_1F22</t>
  </si>
  <si>
    <t>1700_2122</t>
  </si>
  <si>
    <t>1700_2322</t>
  </si>
  <si>
    <t>1700_2522</t>
  </si>
  <si>
    <t>1700_2722</t>
  </si>
  <si>
    <t>1700_2922</t>
  </si>
  <si>
    <t>1700_2B22</t>
  </si>
  <si>
    <t>1700_2D22</t>
  </si>
  <si>
    <t>1700_2F22</t>
  </si>
  <si>
    <t>1700_3122</t>
  </si>
  <si>
    <t>1700_3322</t>
  </si>
  <si>
    <t>1700_3522</t>
  </si>
  <si>
    <t>1700_3722</t>
  </si>
  <si>
    <t>1700_3922</t>
  </si>
  <si>
    <t>1700_3B22</t>
  </si>
  <si>
    <t>1700_3D22</t>
  </si>
  <si>
    <t>1700_3F22</t>
  </si>
  <si>
    <t>1700_4122</t>
  </si>
  <si>
    <t>1700_4322</t>
  </si>
  <si>
    <t>1700_4522</t>
  </si>
  <si>
    <t>1700_4722</t>
  </si>
  <si>
    <t>1700_4922</t>
  </si>
  <si>
    <t>1700_4B22</t>
  </si>
  <si>
    <t>1700_4D22</t>
  </si>
  <si>
    <t>1700_4F22</t>
  </si>
  <si>
    <t>1700_5122</t>
  </si>
  <si>
    <t>1700_5322</t>
  </si>
  <si>
    <t>1700_5522</t>
  </si>
  <si>
    <t>1700_5722</t>
  </si>
  <si>
    <t>1700_5922</t>
  </si>
  <si>
    <t>1700_5B22</t>
  </si>
  <si>
    <t>1700_5D22</t>
  </si>
  <si>
    <t>1700_5F22</t>
  </si>
  <si>
    <t>1700_6122</t>
  </si>
  <si>
    <t>1700_6322</t>
  </si>
  <si>
    <t>1700_6522</t>
  </si>
  <si>
    <t>1700_6722</t>
  </si>
  <si>
    <t>1700_6922</t>
  </si>
  <si>
    <t>1700_6B22</t>
  </si>
  <si>
    <t>1700_6D22</t>
  </si>
  <si>
    <t>1700_6F22</t>
  </si>
  <si>
    <t>1700_7122</t>
  </si>
  <si>
    <t>1700_7322</t>
  </si>
  <si>
    <t>1700_7522</t>
  </si>
  <si>
    <t>1700_7722</t>
  </si>
  <si>
    <t>1700_7922</t>
  </si>
  <si>
    <t>1700_7B22</t>
  </si>
  <si>
    <t>1700_7D22</t>
  </si>
  <si>
    <t>1700_7F22</t>
  </si>
  <si>
    <t>1700_0123</t>
  </si>
  <si>
    <t>1700_0323</t>
  </si>
  <si>
    <t>1700_0523</t>
  </si>
  <si>
    <t>1700_0723</t>
  </si>
  <si>
    <t>1700_0923</t>
  </si>
  <si>
    <t>1700_0B23</t>
  </si>
  <si>
    <t>1700_0D23</t>
  </si>
  <si>
    <t>1700_0F23</t>
  </si>
  <si>
    <t>1700_1123</t>
  </si>
  <si>
    <t>1700_1323</t>
  </si>
  <si>
    <t>1700_1523</t>
  </si>
  <si>
    <t>1700_1723</t>
  </si>
  <si>
    <t>1700_1923</t>
  </si>
  <si>
    <t>1700_1B23</t>
  </si>
  <si>
    <t>1700_1D23</t>
  </si>
  <si>
    <t>1700_1F23</t>
  </si>
  <si>
    <t>1700_2123</t>
  </si>
  <si>
    <t>1700_2323</t>
  </si>
  <si>
    <t>1700_2523</t>
  </si>
  <si>
    <t>1700_2723</t>
  </si>
  <si>
    <t>1700_2923</t>
  </si>
  <si>
    <t>1700_2B23</t>
  </si>
  <si>
    <t>1700_2D23</t>
  </si>
  <si>
    <t>1700_2F23</t>
  </si>
  <si>
    <t>1700_3123</t>
  </si>
  <si>
    <t>1700_3323</t>
  </si>
  <si>
    <t>1700_3523</t>
  </si>
  <si>
    <t>1700_3723</t>
  </si>
  <si>
    <t>1700_3923</t>
  </si>
  <si>
    <t>1700_3B23</t>
  </si>
  <si>
    <t>1700_3D23</t>
  </si>
  <si>
    <t>1700_3F23</t>
  </si>
  <si>
    <t>1700_4123</t>
  </si>
  <si>
    <t>1700_4323</t>
  </si>
  <si>
    <t>1700_4523</t>
  </si>
  <si>
    <t>1700_4723</t>
  </si>
  <si>
    <t>1700_4923</t>
  </si>
  <si>
    <t>1700_4B23</t>
  </si>
  <si>
    <t>1700_4D23</t>
  </si>
  <si>
    <t>1700_4F23</t>
  </si>
  <si>
    <t>1700_5123</t>
  </si>
  <si>
    <t>1700_5323</t>
  </si>
  <si>
    <t>1700_5523</t>
  </si>
  <si>
    <t>1700_5723</t>
  </si>
  <si>
    <t>1700_5923</t>
  </si>
  <si>
    <t>1700_5B23</t>
  </si>
  <si>
    <t>1700_5D23</t>
  </si>
  <si>
    <t>1700_5F23</t>
  </si>
  <si>
    <t>1700_6123</t>
  </si>
  <si>
    <t>1700_6323</t>
  </si>
  <si>
    <t>1700_6523</t>
  </si>
  <si>
    <t>1700_6723</t>
  </si>
  <si>
    <t>1700_6923</t>
  </si>
  <si>
    <t>1700_6B23</t>
  </si>
  <si>
    <t>1700_6D23</t>
  </si>
  <si>
    <t>1700_6F23</t>
  </si>
  <si>
    <t>1700_7123</t>
  </si>
  <si>
    <t>1700_7323</t>
  </si>
  <si>
    <t>1700_7523</t>
  </si>
  <si>
    <t>1700_7723</t>
  </si>
  <si>
    <t>1700_7923</t>
  </si>
  <si>
    <t>1700_7B23</t>
  </si>
  <si>
    <t>1700_7D23</t>
  </si>
  <si>
    <t>1700_7F23</t>
  </si>
  <si>
    <t>1700_0124</t>
  </si>
  <si>
    <t>1700_0324</t>
  </si>
  <si>
    <t>1700_0524</t>
  </si>
  <si>
    <t>1700_0724</t>
  </si>
  <si>
    <t>1700_0924</t>
  </si>
  <si>
    <t>1700_0B24</t>
  </si>
  <si>
    <t>1700_0D24</t>
  </si>
  <si>
    <t>1700_0F24</t>
  </si>
  <si>
    <t>1700_1124</t>
  </si>
  <si>
    <t>1700_1324</t>
  </si>
  <si>
    <t>1700_1524</t>
  </si>
  <si>
    <t>1700_1724</t>
  </si>
  <si>
    <t>1700_1924</t>
  </si>
  <si>
    <t>1700_1B24</t>
  </si>
  <si>
    <t>1700_1D24</t>
  </si>
  <si>
    <t>1700_1F24</t>
  </si>
  <si>
    <t>1700_2124</t>
  </si>
  <si>
    <t>1700_2324</t>
  </si>
  <si>
    <t>1700_2524</t>
  </si>
  <si>
    <t>1700_2724</t>
  </si>
  <si>
    <t>1700_2924</t>
  </si>
  <si>
    <t>1700_2B24</t>
  </si>
  <si>
    <t>1700_2D24</t>
  </si>
  <si>
    <t>1700_2F24</t>
  </si>
  <si>
    <t>1700_3124</t>
  </si>
  <si>
    <t>1700_3324</t>
  </si>
  <si>
    <t>1700_3524</t>
  </si>
  <si>
    <t>1700_3724</t>
  </si>
  <si>
    <t>1700_3924</t>
  </si>
  <si>
    <t>1700_3B24</t>
  </si>
  <si>
    <t>1700_3D24</t>
  </si>
  <si>
    <t>1700_3F24</t>
  </si>
  <si>
    <t>1700_4124</t>
  </si>
  <si>
    <t>1700_4324</t>
  </si>
  <si>
    <t>1700_4524</t>
  </si>
  <si>
    <t>1700_4724</t>
  </si>
  <si>
    <t>1700_4924</t>
  </si>
  <si>
    <t>1700_4B24</t>
  </si>
  <si>
    <t>1700_4D24</t>
  </si>
  <si>
    <t>1700_4F24</t>
  </si>
  <si>
    <t>1700_5124</t>
  </si>
  <si>
    <t>1700_5324</t>
  </si>
  <si>
    <t>1700_5524</t>
  </si>
  <si>
    <t>1700_5724</t>
  </si>
  <si>
    <t>1700_5924</t>
  </si>
  <si>
    <t>1700_5B24</t>
  </si>
  <si>
    <t>1700_5D24</t>
  </si>
  <si>
    <t>1700_5F24</t>
  </si>
  <si>
    <t>1700_6124</t>
  </si>
  <si>
    <t>1700_6324</t>
  </si>
  <si>
    <t>1700_6524</t>
  </si>
  <si>
    <t>1700_6724</t>
  </si>
  <si>
    <t>1700_6924</t>
  </si>
  <si>
    <t>1700_6B24</t>
  </si>
  <si>
    <t>1700_6D24</t>
  </si>
  <si>
    <t>1700_6F24</t>
  </si>
  <si>
    <t>1700_7124</t>
  </si>
  <si>
    <t>1700_7324</t>
  </si>
  <si>
    <t>1700_7524</t>
  </si>
  <si>
    <t>1700_7724</t>
  </si>
  <si>
    <t>1700_7924</t>
  </si>
  <si>
    <t>1700_7B24</t>
  </si>
  <si>
    <t>1700_7D24</t>
  </si>
  <si>
    <t>1700_7F24</t>
  </si>
  <si>
    <t>1700_0125</t>
  </si>
  <si>
    <t>1700_0325</t>
  </si>
  <si>
    <t>1700_0525</t>
  </si>
  <si>
    <t>1700_0725</t>
  </si>
  <si>
    <t>1700_0925</t>
  </si>
  <si>
    <t>1700_0B25</t>
  </si>
  <si>
    <t>1700_0D25</t>
  </si>
  <si>
    <t>1700_0F25</t>
  </si>
  <si>
    <t>1700_1125</t>
  </si>
  <si>
    <t>1700_1325</t>
  </si>
  <si>
    <t>1700_1525</t>
  </si>
  <si>
    <t>1700_1725</t>
  </si>
  <si>
    <t>1700_1925</t>
  </si>
  <si>
    <t>1700_1B25</t>
  </si>
  <si>
    <t>1700_1D25</t>
  </si>
  <si>
    <t>1700_1F25</t>
  </si>
  <si>
    <t>1700_2125</t>
  </si>
  <si>
    <t>1700_2325</t>
  </si>
  <si>
    <t>1700_2525</t>
  </si>
  <si>
    <t>1700_2725</t>
  </si>
  <si>
    <t>1700_2925</t>
  </si>
  <si>
    <t>1700_2B25</t>
  </si>
  <si>
    <t>1700_2D25</t>
  </si>
  <si>
    <t>1700_2F25</t>
  </si>
  <si>
    <t>1700_3125</t>
  </si>
  <si>
    <t>1700_3325</t>
  </si>
  <si>
    <t>1700_3525</t>
  </si>
  <si>
    <t>1700_3725</t>
  </si>
  <si>
    <t>1700_3925</t>
  </si>
  <si>
    <t>1700_3B25</t>
  </si>
  <si>
    <t>1700_3D25</t>
  </si>
  <si>
    <t>1700_3F25</t>
  </si>
  <si>
    <t>1700_4125</t>
  </si>
  <si>
    <t>1700_4325</t>
  </si>
  <si>
    <t>1700_4525</t>
  </si>
  <si>
    <t>1700_4725</t>
  </si>
  <si>
    <t>1700_4925</t>
  </si>
  <si>
    <t>1700_4B25</t>
  </si>
  <si>
    <t>1700_4D25</t>
  </si>
  <si>
    <t>1700_4F25</t>
  </si>
  <si>
    <t>1700_5125</t>
  </si>
  <si>
    <t>1700_5325</t>
  </si>
  <si>
    <t>1700_5525</t>
  </si>
  <si>
    <t>1700_5725</t>
  </si>
  <si>
    <t>1700_5925</t>
  </si>
  <si>
    <t>1700_5B25</t>
  </si>
  <si>
    <t>1700_5D25</t>
  </si>
  <si>
    <t>1700_5F25</t>
  </si>
  <si>
    <t>1700_6125</t>
  </si>
  <si>
    <t>1700_6325</t>
  </si>
  <si>
    <t>1700_6525</t>
  </si>
  <si>
    <t>1700_6725</t>
  </si>
  <si>
    <t>1700_6925</t>
  </si>
  <si>
    <t>1700_6B25</t>
  </si>
  <si>
    <t>1700_6D25</t>
  </si>
  <si>
    <t>1700_6F25</t>
  </si>
  <si>
    <t>1700_7125</t>
  </si>
  <si>
    <t>1700_7325</t>
  </si>
  <si>
    <t>1700_7525</t>
  </si>
  <si>
    <t>1700_7725</t>
  </si>
  <si>
    <t>1700_7925</t>
  </si>
  <si>
    <t>1700_7B25</t>
  </si>
  <si>
    <t>1700_7D25</t>
  </si>
  <si>
    <t>1700_7F25</t>
  </si>
  <si>
    <t>1700_0126</t>
  </si>
  <si>
    <t>1700_0326</t>
  </si>
  <si>
    <t>1700_0526</t>
  </si>
  <si>
    <t>1700_0726</t>
  </si>
  <si>
    <t>1700_0926</t>
  </si>
  <si>
    <t>1700_0B26</t>
  </si>
  <si>
    <t>1700_0D26</t>
  </si>
  <si>
    <t>1700_0F26</t>
  </si>
  <si>
    <t>1700_1126</t>
  </si>
  <si>
    <t>1700_1326</t>
  </si>
  <si>
    <t>1700_1526</t>
  </si>
  <si>
    <t>1700_1726</t>
  </si>
  <si>
    <t>1700_1926</t>
  </si>
  <si>
    <t>1700_1B26</t>
  </si>
  <si>
    <t>1700_1D26</t>
  </si>
  <si>
    <t>1700_1F26</t>
  </si>
  <si>
    <t>1700_2126</t>
  </si>
  <si>
    <t>1700_2326</t>
  </si>
  <si>
    <t>1700_2526</t>
  </si>
  <si>
    <t>1700_2726</t>
  </si>
  <si>
    <t>1700_2926</t>
  </si>
  <si>
    <t>1700_2B26</t>
  </si>
  <si>
    <t>1700_2D26</t>
  </si>
  <si>
    <t>1700_2F26</t>
  </si>
  <si>
    <t>1700_3126</t>
  </si>
  <si>
    <t>1700_3326</t>
  </si>
  <si>
    <t>1700_3526</t>
  </si>
  <si>
    <t>1700_3726</t>
  </si>
  <si>
    <t>1700_3926</t>
  </si>
  <si>
    <t>1700_3B26</t>
  </si>
  <si>
    <t>1700_3D26</t>
  </si>
  <si>
    <t>1700_3F26</t>
  </si>
  <si>
    <t>1700_4126</t>
  </si>
  <si>
    <t>1700_4326</t>
  </si>
  <si>
    <t>1700_4526</t>
  </si>
  <si>
    <t>1700_4726</t>
  </si>
  <si>
    <t>1700_4926</t>
  </si>
  <si>
    <t>1700_4B26</t>
  </si>
  <si>
    <t>1700_4D26</t>
  </si>
  <si>
    <t>1700_4F26</t>
  </si>
  <si>
    <t>1700_5126</t>
  </si>
  <si>
    <t>1700_5326</t>
  </si>
  <si>
    <t>1700_5526</t>
  </si>
  <si>
    <t>1700_5726</t>
  </si>
  <si>
    <t>1700_5926</t>
  </si>
  <si>
    <t>1700_5B26</t>
  </si>
  <si>
    <t>1700_5D26</t>
  </si>
  <si>
    <t>1700_5F26</t>
  </si>
  <si>
    <t>1700_6126</t>
  </si>
  <si>
    <t>1700_6326</t>
  </si>
  <si>
    <t>1700_6526</t>
  </si>
  <si>
    <t>1700_6726</t>
  </si>
  <si>
    <t>1700_6926</t>
  </si>
  <si>
    <t>1700_6B26</t>
  </si>
  <si>
    <t>1700_6D26</t>
  </si>
  <si>
    <t>1700_6F26</t>
  </si>
  <si>
    <t>1700_7126</t>
  </si>
  <si>
    <t>1700_7326</t>
  </si>
  <si>
    <t>1700_7526</t>
  </si>
  <si>
    <t>1700_7726</t>
  </si>
  <si>
    <t>1700_7926</t>
  </si>
  <si>
    <t>1700_7B26</t>
  </si>
  <si>
    <t>1700_7D26</t>
  </si>
  <si>
    <t>1700_7F26</t>
  </si>
  <si>
    <t>1700_0127</t>
  </si>
  <si>
    <t>1700_0327</t>
  </si>
  <si>
    <t>1700_0527</t>
  </si>
  <si>
    <t>1700_0727</t>
  </si>
  <si>
    <t>1700_0927</t>
  </si>
  <si>
    <t>1700_0B27</t>
  </si>
  <si>
    <t>1700_0D27</t>
  </si>
  <si>
    <t>1700_0F27</t>
  </si>
  <si>
    <t>1700_1127</t>
  </si>
  <si>
    <t>1700_1327</t>
  </si>
  <si>
    <t>1700_1527</t>
  </si>
  <si>
    <t>1700_1727</t>
  </si>
  <si>
    <t>1700_1927</t>
  </si>
  <si>
    <t>1700_1B27</t>
  </si>
  <si>
    <t>1700_1D27</t>
  </si>
  <si>
    <t>1700_1F27</t>
  </si>
  <si>
    <t>1700_2127</t>
  </si>
  <si>
    <t>1700_2327</t>
  </si>
  <si>
    <t>1700_2527</t>
  </si>
  <si>
    <t>1700_2727</t>
  </si>
  <si>
    <t>1700_2927</t>
  </si>
  <si>
    <t>1700_2B27</t>
  </si>
  <si>
    <t>1700_2D27</t>
  </si>
  <si>
    <t>1700_2F27</t>
  </si>
  <si>
    <t>1700_3127</t>
  </si>
  <si>
    <t>1700_3327</t>
  </si>
  <si>
    <t>1700_3527</t>
  </si>
  <si>
    <t>1700_3727</t>
  </si>
  <si>
    <t>1700_3927</t>
  </si>
  <si>
    <t>1700_3B27</t>
  </si>
  <si>
    <t>1700_3D27</t>
  </si>
  <si>
    <t>1700_3F27</t>
  </si>
  <si>
    <t>1700_4127</t>
  </si>
  <si>
    <t>1700_4327</t>
  </si>
  <si>
    <t>1700_4527</t>
  </si>
  <si>
    <t>1700_4727</t>
  </si>
  <si>
    <t>1700_4927</t>
  </si>
  <si>
    <t>1700_4B27</t>
  </si>
  <si>
    <t>1700_4D27</t>
  </si>
  <si>
    <t>1700_4F27</t>
  </si>
  <si>
    <t>1700_5127</t>
  </si>
  <si>
    <t>1700_5327</t>
  </si>
  <si>
    <t>1700_5527</t>
  </si>
  <si>
    <t>1700_5727</t>
  </si>
  <si>
    <t>1700_5927</t>
  </si>
  <si>
    <t>1700_5B27</t>
  </si>
  <si>
    <t>1700_5D27</t>
  </si>
  <si>
    <t>1700_5F27</t>
  </si>
  <si>
    <t>1700_6127</t>
  </si>
  <si>
    <t>1700_6327</t>
  </si>
  <si>
    <t>1700_6527</t>
  </si>
  <si>
    <t>1700_6727</t>
  </si>
  <si>
    <t>1700_6927</t>
  </si>
  <si>
    <t>1700_6B27</t>
  </si>
  <si>
    <t>1700_6D27</t>
  </si>
  <si>
    <t>1700_6F27</t>
  </si>
  <si>
    <t>1700_7127</t>
  </si>
  <si>
    <t>1700_7327</t>
  </si>
  <si>
    <t>1700_7527</t>
  </si>
  <si>
    <t>1700_7727</t>
  </si>
  <si>
    <t>1700_7927</t>
  </si>
  <si>
    <t>1700_7B27</t>
  </si>
  <si>
    <t>1700_7D27</t>
  </si>
  <si>
    <t>1700_7F27</t>
  </si>
  <si>
    <t>1700_0128</t>
  </si>
  <si>
    <t>1700_0328</t>
  </si>
  <si>
    <t>1700_0528</t>
  </si>
  <si>
    <t>1700_0728</t>
  </si>
  <si>
    <t>1700_0928</t>
  </si>
  <si>
    <t>1700_0B28</t>
  </si>
  <si>
    <t>1700_0D28</t>
  </si>
  <si>
    <t>1700_0F28</t>
  </si>
  <si>
    <t>1700_1128</t>
  </si>
  <si>
    <t>1700_1328</t>
  </si>
  <si>
    <t>1700_1528</t>
  </si>
  <si>
    <t>1700_1728</t>
  </si>
  <si>
    <t>1700_1928</t>
  </si>
  <si>
    <t>1700_1B28</t>
  </si>
  <si>
    <t>1700_1D28</t>
  </si>
  <si>
    <t>1700_1F28</t>
  </si>
  <si>
    <t>1700_2128</t>
  </si>
  <si>
    <t>1700_2328</t>
  </si>
  <si>
    <t>1700_2528</t>
  </si>
  <si>
    <t>1700_2728</t>
  </si>
  <si>
    <t>1700_2928</t>
  </si>
  <si>
    <t>1700_2B28</t>
  </si>
  <si>
    <t>1700_2D28</t>
  </si>
  <si>
    <t>1700_2F28</t>
  </si>
  <si>
    <t>1700_3128</t>
  </si>
  <si>
    <t>1700_3328</t>
  </si>
  <si>
    <t>1700_3528</t>
  </si>
  <si>
    <t>1700_3728</t>
  </si>
  <si>
    <t>1700_3928</t>
  </si>
  <si>
    <t>1700_3B28</t>
  </si>
  <si>
    <t>1700_3D28</t>
  </si>
  <si>
    <t>1700_3F28</t>
  </si>
  <si>
    <t>1700_4128</t>
  </si>
  <si>
    <t>1700_4328</t>
  </si>
  <si>
    <t>1700_4528</t>
  </si>
  <si>
    <t>1700_4728</t>
  </si>
  <si>
    <t>1700_4928</t>
  </si>
  <si>
    <t>1700_4B28</t>
  </si>
  <si>
    <t>1700_4D28</t>
  </si>
  <si>
    <t>1700_4F28</t>
  </si>
  <si>
    <t>1700_5128</t>
  </si>
  <si>
    <t>1700_5328</t>
  </si>
  <si>
    <t>1700_5528</t>
  </si>
  <si>
    <t>1700_5728</t>
  </si>
  <si>
    <t>1700_5928</t>
  </si>
  <si>
    <t>1700_5B28</t>
  </si>
  <si>
    <t>1700_5D28</t>
  </si>
  <si>
    <t>1700_5F28</t>
  </si>
  <si>
    <t>1700_6128</t>
  </si>
  <si>
    <t>1700_6328</t>
  </si>
  <si>
    <t>1700_6528</t>
  </si>
  <si>
    <t>1700_6728</t>
  </si>
  <si>
    <t>1700_6928</t>
  </si>
  <si>
    <t>1700_6B28</t>
  </si>
  <si>
    <t>1700_6D28</t>
  </si>
  <si>
    <t>1700_6F28</t>
  </si>
  <si>
    <t>1700_7128</t>
  </si>
  <si>
    <t>1700_7328</t>
  </si>
  <si>
    <t>1700_7528</t>
  </si>
  <si>
    <t>1700_7728</t>
  </si>
  <si>
    <t>1700_7928</t>
  </si>
  <si>
    <t>1700_7B28</t>
  </si>
  <si>
    <t>1700_7D28</t>
  </si>
  <si>
    <t>1700_7F28</t>
  </si>
  <si>
    <t>1700_0129</t>
  </si>
  <si>
    <t>1700_0329</t>
  </si>
  <si>
    <t>1700_0529</t>
  </si>
  <si>
    <t>1700_0729</t>
  </si>
  <si>
    <t>1700_0929</t>
  </si>
  <si>
    <t>1700_0B29</t>
  </si>
  <si>
    <t>1700_0D29</t>
  </si>
  <si>
    <t>1700_0F29</t>
  </si>
  <si>
    <t>1700_1129</t>
  </si>
  <si>
    <t>1700_1329</t>
  </si>
  <si>
    <t>1700_1529</t>
  </si>
  <si>
    <t>1700_1729</t>
  </si>
  <si>
    <t>1700_1929</t>
  </si>
  <si>
    <t>1700_1B29</t>
  </si>
  <si>
    <t>1700_1D29</t>
  </si>
  <si>
    <t>1700_1F29</t>
  </si>
  <si>
    <t>1700_2129</t>
  </si>
  <si>
    <t>1700_2329</t>
  </si>
  <si>
    <t>1700_2529</t>
  </si>
  <si>
    <t>1700_2729</t>
  </si>
  <si>
    <t>1700_2929</t>
  </si>
  <si>
    <t>1700_2B29</t>
  </si>
  <si>
    <t>1700_2D29</t>
  </si>
  <si>
    <t>1700_2F29</t>
  </si>
  <si>
    <t>1700_3129</t>
  </si>
  <si>
    <t>1700_3329</t>
  </si>
  <si>
    <t>1700_3529</t>
  </si>
  <si>
    <t>1700_3729</t>
  </si>
  <si>
    <t>1700_3929</t>
  </si>
  <si>
    <t>1700_3B29</t>
  </si>
  <si>
    <t>1700_3D29</t>
  </si>
  <si>
    <t>1700_3F29</t>
  </si>
  <si>
    <t>1700_4129</t>
  </si>
  <si>
    <t>1700_4329</t>
  </si>
  <si>
    <t>1700_4529</t>
  </si>
  <si>
    <t>1700_4729</t>
  </si>
  <si>
    <t>1700_4929</t>
  </si>
  <si>
    <t>1700_4B29</t>
  </si>
  <si>
    <t>1700_4D29</t>
  </si>
  <si>
    <t>1700_4F29</t>
  </si>
  <si>
    <t>1700_5129</t>
  </si>
  <si>
    <t>1700_5329</t>
  </si>
  <si>
    <t>1700_5529</t>
  </si>
  <si>
    <t>1700_5729</t>
  </si>
  <si>
    <t>1700_5929</t>
  </si>
  <si>
    <t>1700_5B29</t>
  </si>
  <si>
    <t>1700_5D29</t>
  </si>
  <si>
    <t>1700_5F29</t>
  </si>
  <si>
    <t>1700_6129</t>
  </si>
  <si>
    <t>1700_6329</t>
  </si>
  <si>
    <t>1700_6529</t>
  </si>
  <si>
    <t>1700_6729</t>
  </si>
  <si>
    <t>1700_6929</t>
  </si>
  <si>
    <t>1700_6B29</t>
  </si>
  <si>
    <t>1700_6D29</t>
  </si>
  <si>
    <t>1700_6F29</t>
  </si>
  <si>
    <t>1700_7129</t>
  </si>
  <si>
    <t>1700_7329</t>
  </si>
  <si>
    <t>1700_7529</t>
  </si>
  <si>
    <t>1700_7729</t>
  </si>
  <si>
    <t>1700_7929</t>
  </si>
  <si>
    <t>1700_7B29</t>
  </si>
  <si>
    <t>1700_7D29</t>
  </si>
  <si>
    <t>1700_7F29</t>
  </si>
  <si>
    <t>1700_012A</t>
  </si>
  <si>
    <t>1700_032A</t>
  </si>
  <si>
    <t>1700_052A</t>
  </si>
  <si>
    <t>1700_072A</t>
  </si>
  <si>
    <t>1700_092A</t>
  </si>
  <si>
    <t>1700_0B2A</t>
  </si>
  <si>
    <t>1700_0D2A</t>
  </si>
  <si>
    <t>1700_0F2A</t>
  </si>
  <si>
    <t>1700_112A</t>
  </si>
  <si>
    <t>1700_132A</t>
  </si>
  <si>
    <t>1700_152A</t>
  </si>
  <si>
    <t>1700_172A</t>
  </si>
  <si>
    <t>1700_192A</t>
  </si>
  <si>
    <t>1700_1B2A</t>
  </si>
  <si>
    <t>1700_1D2A</t>
  </si>
  <si>
    <t>1700_1F2A</t>
  </si>
  <si>
    <t>1700_212A</t>
  </si>
  <si>
    <t>1700_232A</t>
  </si>
  <si>
    <t>1700_252A</t>
  </si>
  <si>
    <t>1700_272A</t>
  </si>
  <si>
    <t>1700_292A</t>
  </si>
  <si>
    <t>1700_2B2A</t>
  </si>
  <si>
    <t>1700_2D2A</t>
  </si>
  <si>
    <t>1700_2F2A</t>
  </si>
  <si>
    <t>1700_312A</t>
  </si>
  <si>
    <t>1700_332A</t>
  </si>
  <si>
    <t>1700_352A</t>
  </si>
  <si>
    <t>1700_372A</t>
  </si>
  <si>
    <t>1700_392A</t>
  </si>
  <si>
    <t>1700_3B2A</t>
  </si>
  <si>
    <t>1700_3D2A</t>
  </si>
  <si>
    <t>1700_3F2A</t>
  </si>
  <si>
    <t>1700_412A</t>
  </si>
  <si>
    <t>1700_432A</t>
  </si>
  <si>
    <t>1700_452A</t>
  </si>
  <si>
    <t>1700_472A</t>
  </si>
  <si>
    <t>1700_492A</t>
  </si>
  <si>
    <t>1700_4B2A</t>
  </si>
  <si>
    <t>1700_4D2A</t>
  </si>
  <si>
    <t>1700_4F2A</t>
  </si>
  <si>
    <t>1700_512A</t>
  </si>
  <si>
    <t>1700_532A</t>
  </si>
  <si>
    <t>1700_552A</t>
  </si>
  <si>
    <t>1700_572A</t>
  </si>
  <si>
    <t>1700_592A</t>
  </si>
  <si>
    <t>1700_5B2A</t>
  </si>
  <si>
    <t>1700_5D2A</t>
  </si>
  <si>
    <t>1700_5F2A</t>
  </si>
  <si>
    <t>1700_612A</t>
  </si>
  <si>
    <t>1700_632A</t>
  </si>
  <si>
    <t>1700_652A</t>
  </si>
  <si>
    <t>1700_672A</t>
  </si>
  <si>
    <t>1700_692A</t>
  </si>
  <si>
    <t>1700_6B2A</t>
  </si>
  <si>
    <t>1700_6D2A</t>
  </si>
  <si>
    <t>1700_6F2A</t>
  </si>
  <si>
    <t>1700_712A</t>
  </si>
  <si>
    <t>1700_732A</t>
  </si>
  <si>
    <t>1700_752A</t>
  </si>
  <si>
    <t>1700_772A</t>
  </si>
  <si>
    <t>1700_792A</t>
  </si>
  <si>
    <t>1700_7B2A</t>
  </si>
  <si>
    <t>1700_7D2A</t>
  </si>
  <si>
    <t>1700_7F2A</t>
  </si>
  <si>
    <t>1700_012B</t>
  </si>
  <si>
    <t>1700_032B</t>
  </si>
  <si>
    <t>1700_052B</t>
  </si>
  <si>
    <t>1700_072B</t>
  </si>
  <si>
    <t>1700_092B</t>
  </si>
  <si>
    <t>1700_0B2B</t>
  </si>
  <si>
    <t>1700_0D2B</t>
  </si>
  <si>
    <t>1700_0F2B</t>
  </si>
  <si>
    <t>1700_112B</t>
  </si>
  <si>
    <t>1700_132B</t>
  </si>
  <si>
    <t>1700_152B</t>
  </si>
  <si>
    <t>1700_172B</t>
  </si>
  <si>
    <t>1700_192B</t>
  </si>
  <si>
    <t>1700_1B2B</t>
  </si>
  <si>
    <t>1700_1D2B</t>
  </si>
  <si>
    <t>1700_1F2B</t>
  </si>
  <si>
    <t>1700_212B</t>
  </si>
  <si>
    <t>1700_232B</t>
  </si>
  <si>
    <t>1700_252B</t>
  </si>
  <si>
    <t>1700_272B</t>
  </si>
  <si>
    <t>1700_292B</t>
  </si>
  <si>
    <t>1700_2B2B</t>
  </si>
  <si>
    <t>1700_2D2B</t>
  </si>
  <si>
    <t>1700_2F2B</t>
  </si>
  <si>
    <t>1700_312B</t>
  </si>
  <si>
    <t>1700_332B</t>
  </si>
  <si>
    <t>1700_352B</t>
  </si>
  <si>
    <t>1700_372B</t>
  </si>
  <si>
    <t>1700_392B</t>
  </si>
  <si>
    <t>1700_3B2B</t>
  </si>
  <si>
    <t>1700_3D2B</t>
  </si>
  <si>
    <t>1700_3F2B</t>
  </si>
  <si>
    <t>1700_412B</t>
  </si>
  <si>
    <t>1700_432B</t>
  </si>
  <si>
    <t>1700_452B</t>
  </si>
  <si>
    <t>1700_472B</t>
  </si>
  <si>
    <t>1700_492B</t>
  </si>
  <si>
    <t>1700_4B2B</t>
  </si>
  <si>
    <t>1700_4D2B</t>
  </si>
  <si>
    <t>1700_4F2B</t>
  </si>
  <si>
    <t>1700_512B</t>
  </si>
  <si>
    <t>1700_532B</t>
  </si>
  <si>
    <t>1700_552B</t>
  </si>
  <si>
    <t>1700_572B</t>
  </si>
  <si>
    <t>1700_592B</t>
  </si>
  <si>
    <t>1700_5B2B</t>
  </si>
  <si>
    <t>1700_5D2B</t>
  </si>
  <si>
    <t>1700_5F2B</t>
  </si>
  <si>
    <t>1700_612B</t>
  </si>
  <si>
    <t>1700_632B</t>
  </si>
  <si>
    <t>1700_652B</t>
  </si>
  <si>
    <t>1700_672B</t>
  </si>
  <si>
    <t>1700_692B</t>
  </si>
  <si>
    <t>1700_6B2B</t>
  </si>
  <si>
    <t>1700_6D2B</t>
  </si>
  <si>
    <t>1700_6F2B</t>
  </si>
  <si>
    <t>1700_712B</t>
  </si>
  <si>
    <t>1700_732B</t>
  </si>
  <si>
    <t>1700_752B</t>
  </si>
  <si>
    <t>1700_772B</t>
  </si>
  <si>
    <t>1700_792B</t>
  </si>
  <si>
    <t>1700_7B2B</t>
  </si>
  <si>
    <t>1700_7D2B</t>
  </si>
  <si>
    <t>1700_7F2B</t>
  </si>
  <si>
    <t>1700_012C</t>
  </si>
  <si>
    <t>1700_032C</t>
  </si>
  <si>
    <t>1700_052C</t>
  </si>
  <si>
    <t>1700_072C</t>
  </si>
  <si>
    <t>1700_092C</t>
  </si>
  <si>
    <t>1700_0B2C</t>
  </si>
  <si>
    <t>1700_0D2C</t>
  </si>
  <si>
    <t>1700_0F2C</t>
  </si>
  <si>
    <t>1700_112C</t>
  </si>
  <si>
    <t>1700_132C</t>
  </si>
  <si>
    <t>1700_152C</t>
  </si>
  <si>
    <t>1700_172C</t>
  </si>
  <si>
    <t>1700_192C</t>
  </si>
  <si>
    <t>1700_1B2C</t>
  </si>
  <si>
    <t>1700_1D2C</t>
  </si>
  <si>
    <t>1700_1F2C</t>
  </si>
  <si>
    <t>1700_212C</t>
  </si>
  <si>
    <t>1700_232C</t>
  </si>
  <si>
    <t>1700_252C</t>
  </si>
  <si>
    <t>1700_272C</t>
  </si>
  <si>
    <t>1700_292C</t>
  </si>
  <si>
    <t>1700_2B2C</t>
  </si>
  <si>
    <t>1700_2D2C</t>
  </si>
  <si>
    <t>1700_2F2C</t>
  </si>
  <si>
    <t>1700_312C</t>
  </si>
  <si>
    <t>1700_332C</t>
  </si>
  <si>
    <t>1700_352C</t>
  </si>
  <si>
    <t>1700_372C</t>
  </si>
  <si>
    <t>1700_392C</t>
  </si>
  <si>
    <t>1700_3B2C</t>
  </si>
  <si>
    <t>1700_3D2C</t>
  </si>
  <si>
    <t>1700_3F2C</t>
  </si>
  <si>
    <t>1700_412C</t>
  </si>
  <si>
    <t>1700_432C</t>
  </si>
  <si>
    <t>1700_452C</t>
  </si>
  <si>
    <t>1700_472C</t>
  </si>
  <si>
    <t>1700_492C</t>
  </si>
  <si>
    <t>1700_4B2C</t>
  </si>
  <si>
    <t>1700_4D2C</t>
  </si>
  <si>
    <t>1700_4F2C</t>
  </si>
  <si>
    <t>1700_512C</t>
  </si>
  <si>
    <t>1700_532C</t>
  </si>
  <si>
    <t>1700_552C</t>
  </si>
  <si>
    <t>1700_572C</t>
  </si>
  <si>
    <t>1700_592C</t>
  </si>
  <si>
    <t>1700_5B2C</t>
  </si>
  <si>
    <t>1700_5D2C</t>
  </si>
  <si>
    <t>1700_5F2C</t>
  </si>
  <si>
    <t>1700_612C</t>
  </si>
  <si>
    <t>1700_632C</t>
  </si>
  <si>
    <t>1700_652C</t>
  </si>
  <si>
    <t>1700_672C</t>
  </si>
  <si>
    <t>1700_692C</t>
  </si>
  <si>
    <t>1700_6B2C</t>
  </si>
  <si>
    <t>1700_6D2C</t>
  </si>
  <si>
    <t>1700_6F2C</t>
  </si>
  <si>
    <t>1700_712C</t>
  </si>
  <si>
    <t>1700_732C</t>
  </si>
  <si>
    <t>1700_752C</t>
  </si>
  <si>
    <t>1700_772C</t>
  </si>
  <si>
    <t>1700_792C</t>
  </si>
  <si>
    <t>1700_7B2C</t>
  </si>
  <si>
    <t>1700_7D2C</t>
  </si>
  <si>
    <t>1700_7F2C</t>
  </si>
  <si>
    <t>1700_012D</t>
  </si>
  <si>
    <t>1700_032D</t>
  </si>
  <si>
    <t>1700_052D</t>
  </si>
  <si>
    <t>1700_072D</t>
  </si>
  <si>
    <t>1700_092D</t>
  </si>
  <si>
    <t>1700_0B2D</t>
  </si>
  <si>
    <t>1700_0D2D</t>
  </si>
  <si>
    <t>1700_0F2D</t>
  </si>
  <si>
    <t>1700_112D</t>
  </si>
  <si>
    <t>1700_132D</t>
  </si>
  <si>
    <t>1700_152D</t>
  </si>
  <si>
    <t>1700_172D</t>
  </si>
  <si>
    <t>1700_192D</t>
  </si>
  <si>
    <t>1700_1B2D</t>
  </si>
  <si>
    <t>1700_1D2D</t>
  </si>
  <si>
    <t>1700_1F2D</t>
  </si>
  <si>
    <t>1700_212D</t>
  </si>
  <si>
    <t>1700_232D</t>
  </si>
  <si>
    <t>1700_252D</t>
  </si>
  <si>
    <t>1700_272D</t>
  </si>
  <si>
    <t>1700_292D</t>
  </si>
  <si>
    <t>1700_2B2D</t>
  </si>
  <si>
    <t>1700_2D2D</t>
  </si>
  <si>
    <t>1700_2F2D</t>
  </si>
  <si>
    <t>1700_312D</t>
  </si>
  <si>
    <t>1700_332D</t>
  </si>
  <si>
    <t>1700_352D</t>
  </si>
  <si>
    <t>1700_372D</t>
  </si>
  <si>
    <t>1700_392D</t>
  </si>
  <si>
    <t>1700_3B2D</t>
  </si>
  <si>
    <t>1700_3D2D</t>
  </si>
  <si>
    <t>1700_3F2D</t>
  </si>
  <si>
    <t>1700_412D</t>
  </si>
  <si>
    <t>1700_432D</t>
  </si>
  <si>
    <t>1700_452D</t>
  </si>
  <si>
    <t>1700_472D</t>
  </si>
  <si>
    <t>1700_492D</t>
  </si>
  <si>
    <t>1700_4B2D</t>
  </si>
  <si>
    <t>1700_4D2D</t>
  </si>
  <si>
    <t>1700_4F2D</t>
  </si>
  <si>
    <t>1700_512D</t>
  </si>
  <si>
    <t>1700_532D</t>
  </si>
  <si>
    <t>1700_552D</t>
  </si>
  <si>
    <t>1700_572D</t>
  </si>
  <si>
    <t>1700_592D</t>
  </si>
  <si>
    <t>1700_5B2D</t>
  </si>
  <si>
    <t>1700_5D2D</t>
  </si>
  <si>
    <t>1700_5F2D</t>
  </si>
  <si>
    <t>1700_612D</t>
  </si>
  <si>
    <t>1700_632D</t>
  </si>
  <si>
    <t>1700_652D</t>
  </si>
  <si>
    <t>1700_672D</t>
  </si>
  <si>
    <t>1700_692D</t>
  </si>
  <si>
    <t>1700_6B2D</t>
  </si>
  <si>
    <t>1700_6D2D</t>
  </si>
  <si>
    <t>1700_6F2D</t>
  </si>
  <si>
    <t>1700_712D</t>
  </si>
  <si>
    <t>1700_732D</t>
  </si>
  <si>
    <t>1700_752D</t>
  </si>
  <si>
    <t>1700_772D</t>
  </si>
  <si>
    <t>1700_792D</t>
  </si>
  <si>
    <t>1700_7B2D</t>
  </si>
  <si>
    <t>1700_7D2D</t>
  </si>
  <si>
    <t>1700_7F2D</t>
  </si>
  <si>
    <t>1700_012E</t>
  </si>
  <si>
    <t>1700_032E</t>
  </si>
  <si>
    <t>1700_052E</t>
  </si>
  <si>
    <t>1700_072E</t>
  </si>
  <si>
    <t>1700_092E</t>
  </si>
  <si>
    <t>1700_0B2E</t>
  </si>
  <si>
    <t>1700_0D2E</t>
  </si>
  <si>
    <t>1700_0F2E</t>
  </si>
  <si>
    <t>1700_112E</t>
  </si>
  <si>
    <t>1700_132E</t>
  </si>
  <si>
    <t>1700_152E</t>
  </si>
  <si>
    <t>1700_172E</t>
  </si>
  <si>
    <t>1700_192E</t>
  </si>
  <si>
    <t>1700_1B2E</t>
  </si>
  <si>
    <t>1700_1D2E</t>
  </si>
  <si>
    <t>1700_1F2E</t>
  </si>
  <si>
    <t>1700_212E</t>
  </si>
  <si>
    <t>1700_232E</t>
  </si>
  <si>
    <t>1700_252E</t>
  </si>
  <si>
    <t>1700_272E</t>
  </si>
  <si>
    <t>1700_292E</t>
  </si>
  <si>
    <t>1700_2B2E</t>
  </si>
  <si>
    <t>1700_2D2E</t>
  </si>
  <si>
    <t>1700_2F2E</t>
  </si>
  <si>
    <t>1700_312E</t>
  </si>
  <si>
    <t>1700_332E</t>
  </si>
  <si>
    <t>1700_352E</t>
  </si>
  <si>
    <t>1700_372E</t>
  </si>
  <si>
    <t>1700_392E</t>
  </si>
  <si>
    <t>1700_3B2E</t>
  </si>
  <si>
    <t>1700_3D2E</t>
  </si>
  <si>
    <t>1700_3F2E</t>
  </si>
  <si>
    <t>1700_412E</t>
  </si>
  <si>
    <t>1700_432E</t>
  </si>
  <si>
    <t>1700_452E</t>
  </si>
  <si>
    <t>1700_472E</t>
  </si>
  <si>
    <t>1700_492E</t>
  </si>
  <si>
    <t>1700_4B2E</t>
  </si>
  <si>
    <t>1700_4D2E</t>
  </si>
  <si>
    <t>1700_4F2E</t>
  </si>
  <si>
    <t>1700_512E</t>
  </si>
  <si>
    <t>1700_532E</t>
  </si>
  <si>
    <t>1700_552E</t>
  </si>
  <si>
    <t>1700_572E</t>
  </si>
  <si>
    <t>1700_592E</t>
  </si>
  <si>
    <t>1700_5B2E</t>
  </si>
  <si>
    <t>1700_5D2E</t>
  </si>
  <si>
    <t>1700_5F2E</t>
  </si>
  <si>
    <t>1700_612E</t>
  </si>
  <si>
    <t>1700_632E</t>
  </si>
  <si>
    <t>1700_652E</t>
  </si>
  <si>
    <t>1700_672E</t>
  </si>
  <si>
    <t>1700_692E</t>
  </si>
  <si>
    <t>1700_6B2E</t>
  </si>
  <si>
    <t>1700_6D2E</t>
  </si>
  <si>
    <t>1700_6F2E</t>
  </si>
  <si>
    <t>1700_712E</t>
  </si>
  <si>
    <t>1700_732E</t>
  </si>
  <si>
    <t>1700_752E</t>
  </si>
  <si>
    <t>1700_772E</t>
  </si>
  <si>
    <t>1700_792E</t>
  </si>
  <si>
    <t>1700_7B2E</t>
  </si>
  <si>
    <t>1700_7D2E</t>
  </si>
  <si>
    <t>1700_7F2E</t>
  </si>
  <si>
    <t>1700_012F</t>
  </si>
  <si>
    <t>1700_032F</t>
  </si>
  <si>
    <t>1700_052F</t>
  </si>
  <si>
    <t>1700_072F</t>
  </si>
  <si>
    <t>1700_092F</t>
  </si>
  <si>
    <t>1700_0B2F</t>
  </si>
  <si>
    <t>1700_0D2F</t>
  </si>
  <si>
    <t>1700_0F2F</t>
  </si>
  <si>
    <t>1700_112F</t>
  </si>
  <si>
    <t>1700_132F</t>
  </si>
  <si>
    <t>1700_152F</t>
  </si>
  <si>
    <t>1700_172F</t>
  </si>
  <si>
    <t>1700_192F</t>
  </si>
  <si>
    <t>1700_1B2F</t>
  </si>
  <si>
    <t>1700_1D2F</t>
  </si>
  <si>
    <t>1700_1F2F</t>
  </si>
  <si>
    <t>1700_212F</t>
  </si>
  <si>
    <t>1700_232F</t>
  </si>
  <si>
    <t>1700_252F</t>
  </si>
  <si>
    <t>1700_272F</t>
  </si>
  <si>
    <t>1700_292F</t>
  </si>
  <si>
    <t>1700_2B2F</t>
  </si>
  <si>
    <t>1700_2D2F</t>
  </si>
  <si>
    <t>1700_2F2F</t>
  </si>
  <si>
    <t>1700_312F</t>
  </si>
  <si>
    <t>1700_332F</t>
  </si>
  <si>
    <t>1700_352F</t>
  </si>
  <si>
    <t>1700_372F</t>
  </si>
  <si>
    <t>1700_392F</t>
  </si>
  <si>
    <t>1700_3B2F</t>
  </si>
  <si>
    <t>1700_3D2F</t>
  </si>
  <si>
    <t>1700_3F2F</t>
  </si>
  <si>
    <t>1700_412F</t>
  </si>
  <si>
    <t>1700_432F</t>
  </si>
  <si>
    <t>1700_452F</t>
  </si>
  <si>
    <t>1700_472F</t>
  </si>
  <si>
    <t>1700_492F</t>
  </si>
  <si>
    <t>1700_4B2F</t>
  </si>
  <si>
    <t>1700_4D2F</t>
  </si>
  <si>
    <t>1700_4F2F</t>
  </si>
  <si>
    <t>1700_512F</t>
  </si>
  <si>
    <t>1700_532F</t>
  </si>
  <si>
    <t>1700_552F</t>
  </si>
  <si>
    <t>1700_572F</t>
  </si>
  <si>
    <t>1700_592F</t>
  </si>
  <si>
    <t>1700_5B2F</t>
  </si>
  <si>
    <t>1700_5D2F</t>
  </si>
  <si>
    <t>1700_5F2F</t>
  </si>
  <si>
    <t>1700_612F</t>
  </si>
  <si>
    <t>1700_632F</t>
  </si>
  <si>
    <t>1700_652F</t>
  </si>
  <si>
    <t>1700_672F</t>
  </si>
  <si>
    <t>1700_692F</t>
  </si>
  <si>
    <t>1700_6B2F</t>
  </si>
  <si>
    <t>1700_6D2F</t>
  </si>
  <si>
    <t>1700_6F2F</t>
  </si>
  <si>
    <t>1700_712F</t>
  </si>
  <si>
    <t>1700_732F</t>
  </si>
  <si>
    <t>1700_752F</t>
  </si>
  <si>
    <t>1700_772F</t>
  </si>
  <si>
    <t>1700_792F</t>
  </si>
  <si>
    <t>1700_7B2F</t>
  </si>
  <si>
    <t>1700_7D2F</t>
  </si>
  <si>
    <t>1700_7F2F</t>
  </si>
  <si>
    <t>1700_0130</t>
  </si>
  <si>
    <t>1700_0330</t>
  </si>
  <si>
    <t>1700_0530</t>
  </si>
  <si>
    <t>1700_0730</t>
  </si>
  <si>
    <t>1700_0930</t>
  </si>
  <si>
    <t>1700_0B30</t>
  </si>
  <si>
    <t>1700_0D30</t>
  </si>
  <si>
    <t>1700_0F30</t>
  </si>
  <si>
    <t>1700_1130</t>
  </si>
  <si>
    <t>1700_1330</t>
  </si>
  <si>
    <t>1700_1530</t>
  </si>
  <si>
    <t>1700_1730</t>
  </si>
  <si>
    <t>1700_1930</t>
  </si>
  <si>
    <t>1700_1B30</t>
  </si>
  <si>
    <t>1700_1D30</t>
  </si>
  <si>
    <t>1700_1F30</t>
  </si>
  <si>
    <t>1700_2130</t>
  </si>
  <si>
    <t>1700_2330</t>
  </si>
  <si>
    <t>1700_2530</t>
  </si>
  <si>
    <t>1700_2730</t>
  </si>
  <si>
    <t>1700_2930</t>
  </si>
  <si>
    <t>1700_2B30</t>
  </si>
  <si>
    <t>1700_2D30</t>
  </si>
  <si>
    <t>1700_2F30</t>
  </si>
  <si>
    <t>1700_3130</t>
  </si>
  <si>
    <t>1700_3330</t>
  </si>
  <si>
    <t>1700_3530</t>
  </si>
  <si>
    <t>1700_3730</t>
  </si>
  <si>
    <t>1700_3930</t>
  </si>
  <si>
    <t>1700_3B30</t>
  </si>
  <si>
    <t>1700_3D30</t>
  </si>
  <si>
    <t>1700_3F30</t>
  </si>
  <si>
    <t>1700_4130</t>
  </si>
  <si>
    <t>1700_4330</t>
  </si>
  <si>
    <t>1700_4530</t>
  </si>
  <si>
    <t>1700_4730</t>
  </si>
  <si>
    <t>1700_4930</t>
  </si>
  <si>
    <t>1700_4B30</t>
  </si>
  <si>
    <t>1700_4D30</t>
  </si>
  <si>
    <t>1700_4F30</t>
  </si>
  <si>
    <t>1700_5130</t>
  </si>
  <si>
    <t>1700_5330</t>
  </si>
  <si>
    <t>1700_5530</t>
  </si>
  <si>
    <t>1700_5730</t>
  </si>
  <si>
    <t>1700_5930</t>
  </si>
  <si>
    <t>1700_5B30</t>
  </si>
  <si>
    <t>1700_5D30</t>
  </si>
  <si>
    <t>1700_5F30</t>
  </si>
  <si>
    <t>1700_6130</t>
  </si>
  <si>
    <t>1700_6330</t>
  </si>
  <si>
    <t>1700_6530</t>
  </si>
  <si>
    <t>1700_6730</t>
  </si>
  <si>
    <t>1700_6930</t>
  </si>
  <si>
    <t>1700_6B30</t>
  </si>
  <si>
    <t>1700_6D30</t>
  </si>
  <si>
    <t>1700_6F30</t>
  </si>
  <si>
    <t>1700_7130</t>
  </si>
  <si>
    <t>1700_7330</t>
  </si>
  <si>
    <t>1700_7530</t>
  </si>
  <si>
    <t>1700_7730</t>
  </si>
  <si>
    <t>1700_7930</t>
  </si>
  <si>
    <t>1700_7B30</t>
  </si>
  <si>
    <t>1700_7D30</t>
  </si>
  <si>
    <t>1700_7F30</t>
  </si>
  <si>
    <t>1700_0131</t>
  </si>
  <si>
    <t>1700_0331</t>
  </si>
  <si>
    <t>1700_0531</t>
  </si>
  <si>
    <t>1700_0731</t>
  </si>
  <si>
    <t>1700_0931</t>
  </si>
  <si>
    <t>1700_0B31</t>
  </si>
  <si>
    <t>1700_0D31</t>
  </si>
  <si>
    <t>1700_0F31</t>
  </si>
  <si>
    <t>1700_1131</t>
  </si>
  <si>
    <t>1700_1331</t>
  </si>
  <si>
    <t>1700_1531</t>
  </si>
  <si>
    <t>1700_1731</t>
  </si>
  <si>
    <t>1700_1931</t>
  </si>
  <si>
    <t>1700_1B31</t>
  </si>
  <si>
    <t>1700_1D31</t>
  </si>
  <si>
    <t>1700_1F31</t>
  </si>
  <si>
    <t>1700_2131</t>
  </si>
  <si>
    <t>1700_2331</t>
  </si>
  <si>
    <t>1700_2531</t>
  </si>
  <si>
    <t>1700_2731</t>
  </si>
  <si>
    <t>1700_2931</t>
  </si>
  <si>
    <t>1700_2B31</t>
  </si>
  <si>
    <t>1700_2D31</t>
  </si>
  <si>
    <t>1700_2F31</t>
  </si>
  <si>
    <t>1700_3131</t>
  </si>
  <si>
    <t>1700_3331</t>
  </si>
  <si>
    <t>1700_3531</t>
  </si>
  <si>
    <t>1700_3731</t>
  </si>
  <si>
    <t>1700_3931</t>
  </si>
  <si>
    <t>1700_3B31</t>
  </si>
  <si>
    <t>1700_3D31</t>
  </si>
  <si>
    <t>1700_3F31</t>
  </si>
  <si>
    <t>1700_4131</t>
  </si>
  <si>
    <t>1700_4331</t>
  </si>
  <si>
    <t>1700_4531</t>
  </si>
  <si>
    <t>1700_4731</t>
  </si>
  <si>
    <t>1700_4931</t>
  </si>
  <si>
    <t>1700_4B31</t>
  </si>
  <si>
    <t>1700_4D31</t>
  </si>
  <si>
    <t>1700_4F31</t>
  </si>
  <si>
    <t>1700_5131</t>
  </si>
  <si>
    <t>1700_5331</t>
  </si>
  <si>
    <t>1700_5531</t>
  </si>
  <si>
    <t>1700_5731</t>
  </si>
  <si>
    <t>1700_5931</t>
  </si>
  <si>
    <t>1700_5B31</t>
  </si>
  <si>
    <t>1700_5D31</t>
  </si>
  <si>
    <t>1700_5F31</t>
  </si>
  <si>
    <t>1700_6131</t>
  </si>
  <si>
    <t>1700_6331</t>
  </si>
  <si>
    <t>1700_6531</t>
  </si>
  <si>
    <t>1700_6731</t>
  </si>
  <si>
    <t>1700_6931</t>
  </si>
  <si>
    <t>1700_6B31</t>
  </si>
  <si>
    <t>1700_6D31</t>
  </si>
  <si>
    <t>1700_6F31</t>
  </si>
  <si>
    <t>1700_7131</t>
  </si>
  <si>
    <t>1700_7331</t>
  </si>
  <si>
    <t>1700_7531</t>
  </si>
  <si>
    <t>1700_7731</t>
  </si>
  <si>
    <t>1700_7931</t>
  </si>
  <si>
    <t>1700_7B31</t>
  </si>
  <si>
    <t>1700_7D31</t>
  </si>
  <si>
    <t>1700_7F31</t>
  </si>
  <si>
    <t>1700_0132</t>
  </si>
  <si>
    <t>1700_0332</t>
  </si>
  <si>
    <t>1700_0532</t>
  </si>
  <si>
    <t>1700_0732</t>
  </si>
  <si>
    <t>1700_0932</t>
  </si>
  <si>
    <t>1700_0B32</t>
  </si>
  <si>
    <t>1700_0D32</t>
  </si>
  <si>
    <t>1700_0F32</t>
  </si>
  <si>
    <t>1700_1132</t>
  </si>
  <si>
    <t>1700_1332</t>
  </si>
  <si>
    <t>1700_1532</t>
  </si>
  <si>
    <t>1700_1732</t>
  </si>
  <si>
    <t>1700_1932</t>
  </si>
  <si>
    <t>1700_1B32</t>
  </si>
  <si>
    <t>1700_1D32</t>
  </si>
  <si>
    <t>1700_1F32</t>
  </si>
  <si>
    <t>1700_2132</t>
  </si>
  <si>
    <t>1700_2332</t>
  </si>
  <si>
    <t>1700_2532</t>
  </si>
  <si>
    <t>1700_2732</t>
  </si>
  <si>
    <t>1700_2932</t>
  </si>
  <si>
    <t>1700_2B32</t>
  </si>
  <si>
    <t>1700_2D32</t>
  </si>
  <si>
    <t>1700_2F32</t>
  </si>
  <si>
    <t>1700_3132</t>
  </si>
  <si>
    <t>1700_3332</t>
  </si>
  <si>
    <t>1700_3532</t>
  </si>
  <si>
    <t>1700_3732</t>
  </si>
  <si>
    <t>1700_3932</t>
  </si>
  <si>
    <t>1700_3B32</t>
  </si>
  <si>
    <t>1700_3D32</t>
  </si>
  <si>
    <t>1700_3F32</t>
  </si>
  <si>
    <t>1700_4132</t>
  </si>
  <si>
    <t>1700_4332</t>
  </si>
  <si>
    <t>1700_4532</t>
  </si>
  <si>
    <t>1700_4732</t>
  </si>
  <si>
    <t>1700_4932</t>
  </si>
  <si>
    <t>1700_4B32</t>
  </si>
  <si>
    <t>1700_4D32</t>
  </si>
  <si>
    <t>1700_4F32</t>
  </si>
  <si>
    <t>1700_5132</t>
  </si>
  <si>
    <t>1700_5332</t>
  </si>
  <si>
    <t>1700_5532</t>
  </si>
  <si>
    <t>1700_5732</t>
  </si>
  <si>
    <t>1700_5932</t>
  </si>
  <si>
    <t>1700_5B32</t>
  </si>
  <si>
    <t>1700_5D32</t>
  </si>
  <si>
    <t>1700_5F32</t>
  </si>
  <si>
    <t>1700_6132</t>
  </si>
  <si>
    <t>1700_6332</t>
  </si>
  <si>
    <t>1700_6532</t>
  </si>
  <si>
    <t>1700_6732</t>
  </si>
  <si>
    <t>1700_6932</t>
  </si>
  <si>
    <t>1700_6B32</t>
  </si>
  <si>
    <t>1700_6D32</t>
  </si>
  <si>
    <t>1700_6F32</t>
  </si>
  <si>
    <t>1700_7132</t>
  </si>
  <si>
    <t>1700_7332</t>
  </si>
  <si>
    <t>1700_7532</t>
  </si>
  <si>
    <t>1700_7732</t>
  </si>
  <si>
    <t>1700_7932</t>
  </si>
  <si>
    <t>1700_7B32</t>
  </si>
  <si>
    <t>1700_7D32</t>
  </si>
  <si>
    <t>1700_7F32</t>
  </si>
  <si>
    <t>1700_0133</t>
  </si>
  <si>
    <t>1700_0333</t>
  </si>
  <si>
    <t>1700_0533</t>
  </si>
  <si>
    <t>1700_0733</t>
  </si>
  <si>
    <t>1700_0933</t>
  </si>
  <si>
    <t>1700_0B33</t>
  </si>
  <si>
    <t>1700_0D33</t>
  </si>
  <si>
    <t>1700_0F33</t>
  </si>
  <si>
    <t>1700_1133</t>
  </si>
  <si>
    <t>1700_1333</t>
  </si>
  <si>
    <t>1700_1533</t>
  </si>
  <si>
    <t>1700_1733</t>
  </si>
  <si>
    <t>1700_1933</t>
  </si>
  <si>
    <t>1700_1B33</t>
  </si>
  <si>
    <t>1700_1D33</t>
  </si>
  <si>
    <t>1700_1F33</t>
  </si>
  <si>
    <t>1700_2133</t>
  </si>
  <si>
    <t>1700_2333</t>
  </si>
  <si>
    <t>1700_2533</t>
  </si>
  <si>
    <t>1700_2733</t>
  </si>
  <si>
    <t>1700_2933</t>
  </si>
  <si>
    <t>1700_2B33</t>
  </si>
  <si>
    <t>1700_2D33</t>
  </si>
  <si>
    <t>1700_2F33</t>
  </si>
  <si>
    <t>1700_3133</t>
  </si>
  <si>
    <t>1700_3333</t>
  </si>
  <si>
    <t>1700_3533</t>
  </si>
  <si>
    <t>1700_3733</t>
  </si>
  <si>
    <t>1700_3933</t>
  </si>
  <si>
    <t>1700_3B33</t>
  </si>
  <si>
    <t>1700_3D33</t>
  </si>
  <si>
    <t>1700_3F33</t>
  </si>
  <si>
    <t>1700_4133</t>
  </si>
  <si>
    <t>1700_4333</t>
  </si>
  <si>
    <t>1700_4533</t>
  </si>
  <si>
    <t>1700_4733</t>
  </si>
  <si>
    <t>1700_4933</t>
  </si>
  <si>
    <t>1700_4B33</t>
  </si>
  <si>
    <t>1700_4D33</t>
  </si>
  <si>
    <t>1700_4F33</t>
  </si>
  <si>
    <t>1700_5133</t>
  </si>
  <si>
    <t>1700_5333</t>
  </si>
  <si>
    <t>1700_5533</t>
  </si>
  <si>
    <t>1700_5733</t>
  </si>
  <si>
    <t>1700_5933</t>
  </si>
  <si>
    <t>1700_5B33</t>
  </si>
  <si>
    <t>1700_5D33</t>
  </si>
  <si>
    <t>1700_5F33</t>
  </si>
  <si>
    <t>1700_6133</t>
  </si>
  <si>
    <t>1700_6333</t>
  </si>
  <si>
    <t>1700_6533</t>
  </si>
  <si>
    <t>1700_6733</t>
  </si>
  <si>
    <t>1700_6933</t>
  </si>
  <si>
    <t>1700_6B33</t>
  </si>
  <si>
    <t>1700_6D33</t>
  </si>
  <si>
    <t>1700_6F33</t>
  </si>
  <si>
    <t>1700_7133</t>
  </si>
  <si>
    <t>1700_7333</t>
  </si>
  <si>
    <t>1700_7533</t>
  </si>
  <si>
    <t>1700_7733</t>
  </si>
  <si>
    <t>1700_7933</t>
  </si>
  <si>
    <t>1700_7B33</t>
  </si>
  <si>
    <t>1700_7D33</t>
  </si>
  <si>
    <t>1700_7F33</t>
  </si>
  <si>
    <t>1700_0134</t>
  </si>
  <si>
    <t>1700_0334</t>
  </si>
  <si>
    <t>1700_0534</t>
  </si>
  <si>
    <t>1700_0734</t>
  </si>
  <si>
    <t>1700_0934</t>
  </si>
  <si>
    <t>1700_0B34</t>
  </si>
  <si>
    <t>1700_0D34</t>
  </si>
  <si>
    <t>1700_0F34</t>
  </si>
  <si>
    <t>1700_1134</t>
  </si>
  <si>
    <t>1700_1334</t>
  </si>
  <si>
    <t>1700_1534</t>
  </si>
  <si>
    <t>1700_1734</t>
  </si>
  <si>
    <t>1700_1934</t>
  </si>
  <si>
    <t>1700_1B34</t>
  </si>
  <si>
    <t>1700_1D34</t>
  </si>
  <si>
    <t>1700_1F34</t>
  </si>
  <si>
    <t>1700_2134</t>
  </si>
  <si>
    <t>1700_2334</t>
  </si>
  <si>
    <t>1700_2534</t>
  </si>
  <si>
    <t>1700_2734</t>
  </si>
  <si>
    <t>1700_2934</t>
  </si>
  <si>
    <t>1700_2B34</t>
  </si>
  <si>
    <t>1700_2D34</t>
  </si>
  <si>
    <t>1700_2F34</t>
  </si>
  <si>
    <t>1700_3134</t>
  </si>
  <si>
    <t>1700_3334</t>
  </si>
  <si>
    <t>1700_3534</t>
  </si>
  <si>
    <t>1700_3734</t>
  </si>
  <si>
    <t>1700_3934</t>
  </si>
  <si>
    <t>1700_3B34</t>
  </si>
  <si>
    <t>1700_3D34</t>
  </si>
  <si>
    <t>1700_3F34</t>
  </si>
  <si>
    <t>1700_4134</t>
  </si>
  <si>
    <t>1700_4334</t>
  </si>
  <si>
    <t>1700_4534</t>
  </si>
  <si>
    <t>1700_4734</t>
  </si>
  <si>
    <t>1700_4934</t>
  </si>
  <si>
    <t>1700_4B34</t>
  </si>
  <si>
    <t>1700_4D34</t>
  </si>
  <si>
    <t>1700_4F34</t>
  </si>
  <si>
    <t>1700_5134</t>
  </si>
  <si>
    <t>1700_5334</t>
  </si>
  <si>
    <t>1700_5534</t>
  </si>
  <si>
    <t>1700_5734</t>
  </si>
  <si>
    <t>1700_5934</t>
  </si>
  <si>
    <t>1700_5B34</t>
  </si>
  <si>
    <t>1700_5D34</t>
  </si>
  <si>
    <t>1700_5F34</t>
  </si>
  <si>
    <t>1700_6134</t>
  </si>
  <si>
    <t>1700_6334</t>
  </si>
  <si>
    <t>1700_6534</t>
  </si>
  <si>
    <t>1700_6734</t>
  </si>
  <si>
    <t>1700_6934</t>
  </si>
  <si>
    <t>1700_6B34</t>
  </si>
  <si>
    <t>1700_6D34</t>
  </si>
  <si>
    <t>1700_6F34</t>
  </si>
  <si>
    <t>1700_7134</t>
  </si>
  <si>
    <t>1700_7334</t>
  </si>
  <si>
    <t>1700_7534</t>
  </si>
  <si>
    <t>1700_7734</t>
  </si>
  <si>
    <t>1700_7934</t>
  </si>
  <si>
    <t>1700_7B34</t>
  </si>
  <si>
    <t>1700_7D34</t>
  </si>
  <si>
    <t>1700_7F34</t>
  </si>
  <si>
    <t>1700_0135</t>
  </si>
  <si>
    <t>1700_0335</t>
  </si>
  <si>
    <t>1700_0535</t>
  </si>
  <si>
    <t>1700_0735</t>
  </si>
  <si>
    <t>1700_0935</t>
  </si>
  <si>
    <t>1700_0B35</t>
  </si>
  <si>
    <t>1700_0D35</t>
  </si>
  <si>
    <t>1700_0F35</t>
  </si>
  <si>
    <t>1700_1135</t>
  </si>
  <si>
    <t>1700_1335</t>
  </si>
  <si>
    <t>1700_1535</t>
  </si>
  <si>
    <t>1700_1735</t>
  </si>
  <si>
    <t>1700_1935</t>
  </si>
  <si>
    <t>1700_1B35</t>
  </si>
  <si>
    <t>1700_1D35</t>
  </si>
  <si>
    <t>1700_1F35</t>
  </si>
  <si>
    <t>1700_2135</t>
  </si>
  <si>
    <t>1700_2335</t>
  </si>
  <si>
    <t>1700_2535</t>
  </si>
  <si>
    <t>1700_2735</t>
  </si>
  <si>
    <t>1700_2935</t>
  </si>
  <si>
    <t>1700_2B35</t>
  </si>
  <si>
    <t>1700_2D35</t>
  </si>
  <si>
    <t>1700_2F35</t>
  </si>
  <si>
    <t>1700_3135</t>
  </si>
  <si>
    <t>1700_3335</t>
  </si>
  <si>
    <t>1700_3535</t>
  </si>
  <si>
    <t>1700_3735</t>
  </si>
  <si>
    <t>1700_3935</t>
  </si>
  <si>
    <t>1700_3B35</t>
  </si>
  <si>
    <t>1700_3D35</t>
  </si>
  <si>
    <t>1700_3F35</t>
  </si>
  <si>
    <t>1700_4135</t>
  </si>
  <si>
    <t>1700_4335</t>
  </si>
  <si>
    <t>1700_4535</t>
  </si>
  <si>
    <t>1700_4735</t>
  </si>
  <si>
    <t>1700_4935</t>
  </si>
  <si>
    <t>1700_4B35</t>
  </si>
  <si>
    <t>1700_4D35</t>
  </si>
  <si>
    <t>1700_4F35</t>
  </si>
  <si>
    <t>1700_5135</t>
  </si>
  <si>
    <t>1700_5335</t>
  </si>
  <si>
    <t>1700_5535</t>
  </si>
  <si>
    <t>1700_5735</t>
  </si>
  <si>
    <t>1700_5935</t>
  </si>
  <si>
    <t>1700_5B35</t>
  </si>
  <si>
    <t>1700_5D35</t>
  </si>
  <si>
    <t>1700_5F35</t>
  </si>
  <si>
    <t>1700_6135</t>
  </si>
  <si>
    <t>1700_6335</t>
  </si>
  <si>
    <t>1700_6535</t>
  </si>
  <si>
    <t>1700_6735</t>
  </si>
  <si>
    <t>1700_6935</t>
  </si>
  <si>
    <t>1700_6B35</t>
  </si>
  <si>
    <t>1700_6D35</t>
  </si>
  <si>
    <t>1700_6F35</t>
  </si>
  <si>
    <t>1700_7135</t>
  </si>
  <si>
    <t>1700_7335</t>
  </si>
  <si>
    <t>1700_7535</t>
  </si>
  <si>
    <t>1700_7735</t>
  </si>
  <si>
    <t>1700_7935</t>
  </si>
  <si>
    <t>1700_7B35</t>
  </si>
  <si>
    <t>1700_7D35</t>
  </si>
  <si>
    <t>1700_7F35</t>
  </si>
  <si>
    <t>1700_0136</t>
  </si>
  <si>
    <t>1700_0336</t>
  </si>
  <si>
    <t>1700_0536</t>
  </si>
  <si>
    <t>1700_0736</t>
  </si>
  <si>
    <t>1700_0936</t>
  </si>
  <si>
    <t>1700_0B36</t>
  </si>
  <si>
    <t>1700_0D36</t>
  </si>
  <si>
    <t>1700_0F36</t>
  </si>
  <si>
    <t>1700_1136</t>
  </si>
  <si>
    <t>1700_1336</t>
  </si>
  <si>
    <t>1700_1536</t>
  </si>
  <si>
    <t>1700_1736</t>
  </si>
  <si>
    <t>1700_1936</t>
  </si>
  <si>
    <t>1700_1B36</t>
  </si>
  <si>
    <t>1700_1D36</t>
  </si>
  <si>
    <t>1700_1F36</t>
  </si>
  <si>
    <t>1700_2136</t>
  </si>
  <si>
    <t>1700_2336</t>
  </si>
  <si>
    <t>1700_2536</t>
  </si>
  <si>
    <t>1700_2736</t>
  </si>
  <si>
    <t>1700_2936</t>
  </si>
  <si>
    <t>1700_2B36</t>
  </si>
  <si>
    <t>1700_2D36</t>
  </si>
  <si>
    <t>1700_2F36</t>
  </si>
  <si>
    <t>1700_3136</t>
  </si>
  <si>
    <t>1700_3336</t>
  </si>
  <si>
    <t>1700_3536</t>
  </si>
  <si>
    <t>1700_3736</t>
  </si>
  <si>
    <t>1700_3936</t>
  </si>
  <si>
    <t>1700_3B36</t>
  </si>
  <si>
    <t>1700_3D36</t>
  </si>
  <si>
    <t>1700_3F36</t>
  </si>
  <si>
    <t>1700_4136</t>
  </si>
  <si>
    <t>1700_4336</t>
  </si>
  <si>
    <t>1700_4536</t>
  </si>
  <si>
    <t>1700_4736</t>
  </si>
  <si>
    <t>1700_4936</t>
  </si>
  <si>
    <t>1700_4B36</t>
  </si>
  <si>
    <t>1700_4D36</t>
  </si>
  <si>
    <t>1700_4F36</t>
  </si>
  <si>
    <t>1700_5136</t>
  </si>
  <si>
    <t>1700_5336</t>
  </si>
  <si>
    <t>1700_5536</t>
  </si>
  <si>
    <t>1700_5736</t>
  </si>
  <si>
    <t>1700_5936</t>
  </si>
  <si>
    <t>1700_5B36</t>
  </si>
  <si>
    <t>1700_5D36</t>
  </si>
  <si>
    <t>1700_5F36</t>
  </si>
  <si>
    <t>1700_6136</t>
  </si>
  <si>
    <t>1700_6336</t>
  </si>
  <si>
    <t>1700_6536</t>
  </si>
  <si>
    <t>1700_6736</t>
  </si>
  <si>
    <t>1700_6936</t>
  </si>
  <si>
    <t>1700_6B36</t>
  </si>
  <si>
    <t>1700_6D36</t>
  </si>
  <si>
    <t>1700_6F36</t>
  </si>
  <si>
    <t>1700_7136</t>
  </si>
  <si>
    <t>1700_7336</t>
  </si>
  <si>
    <t>1700_7536</t>
  </si>
  <si>
    <t>1700_7736</t>
  </si>
  <si>
    <t>1700_7936</t>
  </si>
  <si>
    <t>1700_7B36</t>
  </si>
  <si>
    <t>1700_7D36</t>
  </si>
  <si>
    <t>1700_7F36</t>
  </si>
  <si>
    <t>1700_0137</t>
  </si>
  <si>
    <t>1700_0337</t>
  </si>
  <si>
    <t>1700_0537</t>
  </si>
  <si>
    <t>1700_0737</t>
  </si>
  <si>
    <t>1700_0937</t>
  </si>
  <si>
    <t>1700_0B37</t>
  </si>
  <si>
    <t>1700_0D37</t>
  </si>
  <si>
    <t>1700_0F37</t>
  </si>
  <si>
    <t>1700_1137</t>
  </si>
  <si>
    <t>1700_1337</t>
  </si>
  <si>
    <t>1700_1537</t>
  </si>
  <si>
    <t>1700_1737</t>
  </si>
  <si>
    <t>1700_1937</t>
  </si>
  <si>
    <t>1700_1B37</t>
  </si>
  <si>
    <t>1700_1D37</t>
  </si>
  <si>
    <t>1700_1F37</t>
  </si>
  <si>
    <t>1700_2137</t>
  </si>
  <si>
    <t>1700_2337</t>
  </si>
  <si>
    <t>1700_2537</t>
  </si>
  <si>
    <t>1700_2737</t>
  </si>
  <si>
    <t>1700_2937</t>
  </si>
  <si>
    <t>1700_2B37</t>
  </si>
  <si>
    <t>1700_2D37</t>
  </si>
  <si>
    <t>1700_2F37</t>
  </si>
  <si>
    <t>1700_3137</t>
  </si>
  <si>
    <t>1700_3337</t>
  </si>
  <si>
    <t>1700_3537</t>
  </si>
  <si>
    <t>1700_3737</t>
  </si>
  <si>
    <t>1700_3937</t>
  </si>
  <si>
    <t>1700_3B37</t>
  </si>
  <si>
    <t>1700_3D37</t>
  </si>
  <si>
    <t>1700_3F37</t>
  </si>
  <si>
    <t>1700_4137</t>
  </si>
  <si>
    <t>1700_4337</t>
  </si>
  <si>
    <t>1700_4537</t>
  </si>
  <si>
    <t>1700_4737</t>
  </si>
  <si>
    <t>1700_4937</t>
  </si>
  <si>
    <t>1700_4B37</t>
  </si>
  <si>
    <t>1700_4D37</t>
  </si>
  <si>
    <t>1700_4F37</t>
  </si>
  <si>
    <t>1700_5137</t>
  </si>
  <si>
    <t>1700_5337</t>
  </si>
  <si>
    <t>1700_5537</t>
  </si>
  <si>
    <t>1700_5737</t>
  </si>
  <si>
    <t>1700_5937</t>
  </si>
  <si>
    <t>1700_5B37</t>
  </si>
  <si>
    <t>1700_5D37</t>
  </si>
  <si>
    <t>1700_5F37</t>
  </si>
  <si>
    <t>1700_6137</t>
  </si>
  <si>
    <t>1700_6337</t>
  </si>
  <si>
    <t>1700_6537</t>
  </si>
  <si>
    <t>1700_6737</t>
  </si>
  <si>
    <t>1700_6937</t>
  </si>
  <si>
    <t>1700_6B37</t>
  </si>
  <si>
    <t>1700_6D37</t>
  </si>
  <si>
    <t>1700_6F37</t>
  </si>
  <si>
    <t>1700_7137</t>
  </si>
  <si>
    <t>1700_7337</t>
  </si>
  <si>
    <t>1700_7537</t>
  </si>
  <si>
    <t>1700_7737</t>
  </si>
  <si>
    <t>1700_7937</t>
  </si>
  <si>
    <t>1700_7B37</t>
  </si>
  <si>
    <t>1700_7D37</t>
  </si>
  <si>
    <t>1700_7F37</t>
  </si>
  <si>
    <t>1700_0138</t>
  </si>
  <si>
    <t>1700_0338</t>
  </si>
  <si>
    <t>1700_0538</t>
  </si>
  <si>
    <t>1700_0738</t>
  </si>
  <si>
    <t>1700_0938</t>
  </si>
  <si>
    <t>1700_0B38</t>
  </si>
  <si>
    <t>1700_0D38</t>
  </si>
  <si>
    <t>1700_0F38</t>
  </si>
  <si>
    <t>1700_1138</t>
  </si>
  <si>
    <t>1700_1338</t>
  </si>
  <si>
    <t>1700_1538</t>
  </si>
  <si>
    <t>1700_1738</t>
  </si>
  <si>
    <t>1700_1938</t>
  </si>
  <si>
    <t>1700_1B38</t>
  </si>
  <si>
    <t>1700_1D38</t>
  </si>
  <si>
    <t>1700_1F38</t>
  </si>
  <si>
    <t>1700_2138</t>
  </si>
  <si>
    <t>1700_2338</t>
  </si>
  <si>
    <t>1700_2538</t>
  </si>
  <si>
    <t>1700_2738</t>
  </si>
  <si>
    <t>1700_2938</t>
  </si>
  <si>
    <t>1700_2B38</t>
  </si>
  <si>
    <t>1700_2D38</t>
  </si>
  <si>
    <t>1700_2F38</t>
  </si>
  <si>
    <t>1700_3138</t>
  </si>
  <si>
    <t>1700_3338</t>
  </si>
  <si>
    <t>1700_3538</t>
  </si>
  <si>
    <t>1700_3738</t>
  </si>
  <si>
    <t>1700_3938</t>
  </si>
  <si>
    <t>1700_3B38</t>
  </si>
  <si>
    <t>1700_3D38</t>
  </si>
  <si>
    <t>1700_3F38</t>
  </si>
  <si>
    <t>1700_4138</t>
  </si>
  <si>
    <t>1700_4338</t>
  </si>
  <si>
    <t>1700_4538</t>
  </si>
  <si>
    <t>1700_4738</t>
  </si>
  <si>
    <t>1700_4938</t>
  </si>
  <si>
    <t>1700_4B38</t>
  </si>
  <si>
    <t>1700_4D38</t>
  </si>
  <si>
    <t>1700_4F38</t>
  </si>
  <si>
    <t>1700_5138</t>
  </si>
  <si>
    <t>1700_5338</t>
  </si>
  <si>
    <t>1700_5538</t>
  </si>
  <si>
    <t>1700_5738</t>
  </si>
  <si>
    <t>1700_5938</t>
  </si>
  <si>
    <t>1700_5B38</t>
  </si>
  <si>
    <t>1700_5D38</t>
  </si>
  <si>
    <t>1700_5F38</t>
  </si>
  <si>
    <t>1700_6138</t>
  </si>
  <si>
    <t>1700_6338</t>
  </si>
  <si>
    <t>1700_6538</t>
  </si>
  <si>
    <t>1700_6738</t>
  </si>
  <si>
    <t>1700_6938</t>
  </si>
  <si>
    <t>1700_6B38</t>
  </si>
  <si>
    <t>1700_6D38</t>
  </si>
  <si>
    <t>1700_6F38</t>
  </si>
  <si>
    <t>1700_7138</t>
  </si>
  <si>
    <t>1700_7338</t>
  </si>
  <si>
    <t>1700_7538</t>
  </si>
  <si>
    <t>1700_7738</t>
  </si>
  <si>
    <t>1700_7938</t>
  </si>
  <si>
    <t>1700_7B38</t>
  </si>
  <si>
    <t>1700_7D38</t>
  </si>
  <si>
    <t>1700_7F38</t>
  </si>
  <si>
    <t>1700_0139</t>
  </si>
  <si>
    <t>1700_0339</t>
  </si>
  <si>
    <t>1700_0539</t>
  </si>
  <si>
    <t>1700_0739</t>
  </si>
  <si>
    <t>1700_0939</t>
  </si>
  <si>
    <t>1700_0B39</t>
  </si>
  <si>
    <t>1700_0D39</t>
  </si>
  <si>
    <t>1700_0F39</t>
  </si>
  <si>
    <t>1700_1139</t>
  </si>
  <si>
    <t>1700_1339</t>
  </si>
  <si>
    <t>1700_1539</t>
  </si>
  <si>
    <t>1700_1739</t>
  </si>
  <si>
    <t>1700_1939</t>
  </si>
  <si>
    <t>1700_1B39</t>
  </si>
  <si>
    <t>1700_1D39</t>
  </si>
  <si>
    <t>1700_1F39</t>
  </si>
  <si>
    <t>1700_2139</t>
  </si>
  <si>
    <t>1700_2339</t>
  </si>
  <si>
    <t>1700_2539</t>
  </si>
  <si>
    <t>1700_2739</t>
  </si>
  <si>
    <t>1700_2939</t>
  </si>
  <si>
    <t>1700_2B39</t>
  </si>
  <si>
    <t>1700_2D39</t>
  </si>
  <si>
    <t>1700_2F39</t>
  </si>
  <si>
    <t>1700_3139</t>
  </si>
  <si>
    <t>1700_3339</t>
  </si>
  <si>
    <t>1700_3539</t>
  </si>
  <si>
    <t>1700_3739</t>
  </si>
  <si>
    <t>1700_3939</t>
  </si>
  <si>
    <t>1700_3B39</t>
  </si>
  <si>
    <t>1700_3D39</t>
  </si>
  <si>
    <t>1700_3F39</t>
  </si>
  <si>
    <t>1700_4139</t>
  </si>
  <si>
    <t>1700_4339</t>
  </si>
  <si>
    <t>1700_4539</t>
  </si>
  <si>
    <t>1700_4739</t>
  </si>
  <si>
    <t>1700_4939</t>
  </si>
  <si>
    <t>1700_4B39</t>
  </si>
  <si>
    <t>1700_4D39</t>
  </si>
  <si>
    <t>1700_4F39</t>
  </si>
  <si>
    <t>1700_5139</t>
  </si>
  <si>
    <t>1700_5339</t>
  </si>
  <si>
    <t>1700_5539</t>
  </si>
  <si>
    <t>1700_5739</t>
  </si>
  <si>
    <t>1700_5939</t>
  </si>
  <si>
    <t>1700_5B39</t>
  </si>
  <si>
    <t>1700_5D39</t>
  </si>
  <si>
    <t>1700_5F39</t>
  </si>
  <si>
    <t>1700_6139</t>
  </si>
  <si>
    <t>1700_6339</t>
  </si>
  <si>
    <t>1700_6539</t>
  </si>
  <si>
    <t>1700_6739</t>
  </si>
  <si>
    <t>1700_6939</t>
  </si>
  <si>
    <t>1700_6B39</t>
  </si>
  <si>
    <t>1700_6D39</t>
  </si>
  <si>
    <t>1700_6F39</t>
  </si>
  <si>
    <t>1700_7139</t>
  </si>
  <si>
    <t>1700_7339</t>
  </si>
  <si>
    <t>1700_7539</t>
  </si>
  <si>
    <t>1700_7739</t>
  </si>
  <si>
    <t>1700_7939</t>
  </si>
  <si>
    <t>1700_7B39</t>
  </si>
  <si>
    <t>1700_7D39</t>
  </si>
  <si>
    <t>1700_7F39</t>
  </si>
  <si>
    <t>1700_013A</t>
  </si>
  <si>
    <t>1700_033A</t>
  </si>
  <si>
    <t>1700_053A</t>
  </si>
  <si>
    <t>1700_073A</t>
  </si>
  <si>
    <t>1700_093A</t>
  </si>
  <si>
    <t>1700_0B3A</t>
  </si>
  <si>
    <t>1700_0D3A</t>
  </si>
  <si>
    <t>1700_0F3A</t>
  </si>
  <si>
    <t>1700_113A</t>
  </si>
  <si>
    <t>1700_133A</t>
  </si>
  <si>
    <t>1700_153A</t>
  </si>
  <si>
    <t>1700_173A</t>
  </si>
  <si>
    <t>1700_193A</t>
  </si>
  <si>
    <t>1700_1B3A</t>
  </si>
  <si>
    <t>1700_1D3A</t>
  </si>
  <si>
    <t>1700_1F3A</t>
  </si>
  <si>
    <t>1700_213A</t>
  </si>
  <si>
    <t>1700_233A</t>
  </si>
  <si>
    <t>1700_253A</t>
  </si>
  <si>
    <t>1700_273A</t>
  </si>
  <si>
    <t>1700_293A</t>
  </si>
  <si>
    <t>1700_2B3A</t>
  </si>
  <si>
    <t>1700_2D3A</t>
  </si>
  <si>
    <t>1700_2F3A</t>
  </si>
  <si>
    <t>1700_313A</t>
  </si>
  <si>
    <t>1700_333A</t>
  </si>
  <si>
    <t>1700_353A</t>
  </si>
  <si>
    <t>1700_373A</t>
  </si>
  <si>
    <t>1700_393A</t>
  </si>
  <si>
    <t>1700_3B3A</t>
  </si>
  <si>
    <t>1700_3D3A</t>
  </si>
  <si>
    <t>1700_3F3A</t>
  </si>
  <si>
    <t>1700_413A</t>
  </si>
  <si>
    <t>1700_433A</t>
  </si>
  <si>
    <t>1700_453A</t>
  </si>
  <si>
    <t>1700_473A</t>
  </si>
  <si>
    <t>1700_493A</t>
  </si>
  <si>
    <t>1700_4B3A</t>
  </si>
  <si>
    <t>1700_4D3A</t>
  </si>
  <si>
    <t>1700_4F3A</t>
  </si>
  <si>
    <t>1700_513A</t>
  </si>
  <si>
    <t>1700_533A</t>
  </si>
  <si>
    <t>1700_553A</t>
  </si>
  <si>
    <t>1700_573A</t>
  </si>
  <si>
    <t>1700_593A</t>
  </si>
  <si>
    <t>1700_5B3A</t>
  </si>
  <si>
    <t>1700_5D3A</t>
  </si>
  <si>
    <t>1700_5F3A</t>
  </si>
  <si>
    <t>1700_613A</t>
  </si>
  <si>
    <t>1700_633A</t>
  </si>
  <si>
    <t>1700_653A</t>
  </si>
  <si>
    <t>1700_673A</t>
  </si>
  <si>
    <t>1700_693A</t>
  </si>
  <si>
    <t>1700_6B3A</t>
  </si>
  <si>
    <t>1700_6D3A</t>
  </si>
  <si>
    <t>1700_6F3A</t>
  </si>
  <si>
    <t>1700_713A</t>
  </si>
  <si>
    <t>1700_733A</t>
  </si>
  <si>
    <t>1700_753A</t>
  </si>
  <si>
    <t>1700_773A</t>
  </si>
  <si>
    <t>1700_793A</t>
  </si>
  <si>
    <t>1700_7B3A</t>
  </si>
  <si>
    <t>1700_7D3A</t>
  </si>
  <si>
    <t>1700_7F3A</t>
  </si>
  <si>
    <t>1700_013B</t>
  </si>
  <si>
    <t>1700_033B</t>
  </si>
  <si>
    <t>1700_053B</t>
  </si>
  <si>
    <t>1700_073B</t>
  </si>
  <si>
    <t>1700_093B</t>
  </si>
  <si>
    <t>1700_0B3B</t>
  </si>
  <si>
    <t>1700_0D3B</t>
  </si>
  <si>
    <t>1700_0F3B</t>
  </si>
  <si>
    <t>1700_113B</t>
  </si>
  <si>
    <t>1700_133B</t>
  </si>
  <si>
    <t>1700_153B</t>
  </si>
  <si>
    <t>1700_173B</t>
  </si>
  <si>
    <t>1700_193B</t>
  </si>
  <si>
    <t>1700_1B3B</t>
  </si>
  <si>
    <t>1700_1D3B</t>
  </si>
  <si>
    <t>1700_1F3B</t>
  </si>
  <si>
    <t>1700_213B</t>
  </si>
  <si>
    <t>1700_233B</t>
  </si>
  <si>
    <t>1700_253B</t>
  </si>
  <si>
    <t>1700_273B</t>
  </si>
  <si>
    <t>1700_293B</t>
  </si>
  <si>
    <t>1700_2B3B</t>
  </si>
  <si>
    <t>1700_2D3B</t>
  </si>
  <si>
    <t>1700_2F3B</t>
  </si>
  <si>
    <t>1700_313B</t>
  </si>
  <si>
    <t>1700_333B</t>
  </si>
  <si>
    <t>1700_353B</t>
  </si>
  <si>
    <t>1700_373B</t>
  </si>
  <si>
    <t>1700_393B</t>
  </si>
  <si>
    <t>1700_3B3B</t>
  </si>
  <si>
    <t>1700_3D3B</t>
  </si>
  <si>
    <t>1700_3F3B</t>
  </si>
  <si>
    <t>1700_413B</t>
  </si>
  <si>
    <t>1700_433B</t>
  </si>
  <si>
    <t>1700_453B</t>
  </si>
  <si>
    <t>1700_473B</t>
  </si>
  <si>
    <t>1700_493B</t>
  </si>
  <si>
    <t>1700_4B3B</t>
  </si>
  <si>
    <t>1700_4D3B</t>
  </si>
  <si>
    <t>1700_4F3B</t>
  </si>
  <si>
    <t>1700_513B</t>
  </si>
  <si>
    <t>1700_533B</t>
  </si>
  <si>
    <t>1700_553B</t>
  </si>
  <si>
    <t>1700_573B</t>
  </si>
  <si>
    <t>1700_593B</t>
  </si>
  <si>
    <t>1700_5B3B</t>
  </si>
  <si>
    <t>1700_5D3B</t>
  </si>
  <si>
    <t>1700_5F3B</t>
  </si>
  <si>
    <t>1700_613B</t>
  </si>
  <si>
    <t>1700_633B</t>
  </si>
  <si>
    <t>1700_653B</t>
  </si>
  <si>
    <t>1700_673B</t>
  </si>
  <si>
    <t>1700_693B</t>
  </si>
  <si>
    <t>1700_6B3B</t>
  </si>
  <si>
    <t>1700_6D3B</t>
  </si>
  <si>
    <t>1700_6F3B</t>
  </si>
  <si>
    <t>1700_713B</t>
  </si>
  <si>
    <t>1700_733B</t>
  </si>
  <si>
    <t>1700_753B</t>
  </si>
  <si>
    <t>1700_773B</t>
  </si>
  <si>
    <t>1700_793B</t>
  </si>
  <si>
    <t>1700_7B3B</t>
  </si>
  <si>
    <t>1700_7D3B</t>
  </si>
  <si>
    <t>1700_7F3B</t>
  </si>
  <si>
    <t>1700_013C</t>
  </si>
  <si>
    <t>1700_033C</t>
  </si>
  <si>
    <t>1700_053C</t>
  </si>
  <si>
    <t>1700_073C</t>
  </si>
  <si>
    <t>1700_093C</t>
  </si>
  <si>
    <t>1700_0B3C</t>
  </si>
  <si>
    <t>1700_0D3C</t>
  </si>
  <si>
    <t>1700_0F3C</t>
  </si>
  <si>
    <t>1700_113C</t>
  </si>
  <si>
    <t>1700_133C</t>
  </si>
  <si>
    <t>1700_153C</t>
  </si>
  <si>
    <t>1700_173C</t>
  </si>
  <si>
    <t>1700_193C</t>
  </si>
  <si>
    <t>1700_1B3C</t>
  </si>
  <si>
    <t>1700_1D3C</t>
  </si>
  <si>
    <t>1700_1F3C</t>
  </si>
  <si>
    <t>1700_213C</t>
  </si>
  <si>
    <t>1700_233C</t>
  </si>
  <si>
    <t>1700_253C</t>
  </si>
  <si>
    <t>1700_273C</t>
  </si>
  <si>
    <t>1700_293C</t>
  </si>
  <si>
    <t>1700_2B3C</t>
  </si>
  <si>
    <t>1700_2D3C</t>
  </si>
  <si>
    <t>1700_2F3C</t>
  </si>
  <si>
    <t>1700_313C</t>
  </si>
  <si>
    <t>1700_333C</t>
  </si>
  <si>
    <t>1700_353C</t>
  </si>
  <si>
    <t>1700_373C</t>
  </si>
  <si>
    <t>1700_393C</t>
  </si>
  <si>
    <t>1700_3B3C</t>
  </si>
  <si>
    <t>1700_3D3C</t>
  </si>
  <si>
    <t>1700_3F3C</t>
  </si>
  <si>
    <t>1700_413C</t>
  </si>
  <si>
    <t>1700_433C</t>
  </si>
  <si>
    <t>1700_453C</t>
  </si>
  <si>
    <t>1700_473C</t>
  </si>
  <si>
    <t>1700_493C</t>
  </si>
  <si>
    <t>1700_4B3C</t>
  </si>
  <si>
    <t>1700_4D3C</t>
  </si>
  <si>
    <t>1700_4F3C</t>
  </si>
  <si>
    <t>1700_513C</t>
  </si>
  <si>
    <t>1700_533C</t>
  </si>
  <si>
    <t>1700_553C</t>
  </si>
  <si>
    <t>1700_573C</t>
  </si>
  <si>
    <t>1700_593C</t>
  </si>
  <si>
    <t>1700_5B3C</t>
  </si>
  <si>
    <t>1700_5D3C</t>
  </si>
  <si>
    <t>1700_5F3C</t>
  </si>
  <si>
    <t>1700_613C</t>
  </si>
  <si>
    <t>1700_633C</t>
  </si>
  <si>
    <t>1700_653C</t>
  </si>
  <si>
    <t>1700_673C</t>
  </si>
  <si>
    <t>1700_693C</t>
  </si>
  <si>
    <t>1700_6B3C</t>
  </si>
  <si>
    <t>1700_6D3C</t>
  </si>
  <si>
    <t>1700_6F3C</t>
  </si>
  <si>
    <t>1700_713C</t>
  </si>
  <si>
    <t>1700_733C</t>
  </si>
  <si>
    <t>1700_753C</t>
  </si>
  <si>
    <t>1700_773C</t>
  </si>
  <si>
    <t>1700_793C</t>
  </si>
  <si>
    <t>1700_7B3C</t>
  </si>
  <si>
    <t>1700_7D3C</t>
  </si>
  <si>
    <t>1700_7F3C</t>
  </si>
  <si>
    <t>1700_013D</t>
  </si>
  <si>
    <t>1700_033D</t>
  </si>
  <si>
    <t>1700_053D</t>
  </si>
  <si>
    <t>1700_073D</t>
  </si>
  <si>
    <t>1700_093D</t>
  </si>
  <si>
    <t>1700_0B3D</t>
  </si>
  <si>
    <t>1700_0D3D</t>
  </si>
  <si>
    <t>1700_0F3D</t>
  </si>
  <si>
    <t>1700_113D</t>
  </si>
  <si>
    <t>1700_133D</t>
  </si>
  <si>
    <t>1700_153D</t>
  </si>
  <si>
    <t>1700_173D</t>
  </si>
  <si>
    <t>1700_193D</t>
  </si>
  <si>
    <t>1700_1B3D</t>
  </si>
  <si>
    <t>1700_1D3D</t>
  </si>
  <si>
    <t>1700_1F3D</t>
  </si>
  <si>
    <t>1700_213D</t>
  </si>
  <si>
    <t>1700_233D</t>
  </si>
  <si>
    <t>1700_253D</t>
  </si>
  <si>
    <t>1700_273D</t>
  </si>
  <si>
    <t>1700_293D</t>
  </si>
  <si>
    <t>1700_2B3D</t>
  </si>
  <si>
    <t>1700_2D3D</t>
  </si>
  <si>
    <t>1700_2F3D</t>
  </si>
  <si>
    <t>1700_313D</t>
  </si>
  <si>
    <t>1700_333D</t>
  </si>
  <si>
    <t>1700_353D</t>
  </si>
  <si>
    <t>1700_373D</t>
  </si>
  <si>
    <t>1700_393D</t>
  </si>
  <si>
    <t>1700_3B3D</t>
  </si>
  <si>
    <t>1700_3D3D</t>
  </si>
  <si>
    <t>1700_3F3D</t>
  </si>
  <si>
    <t>1700_413D</t>
  </si>
  <si>
    <t>1700_433D</t>
  </si>
  <si>
    <t>1700_453D</t>
  </si>
  <si>
    <t>1700_473D</t>
  </si>
  <si>
    <t>1700_493D</t>
  </si>
  <si>
    <t>1700_4B3D</t>
  </si>
  <si>
    <t>1700_4D3D</t>
  </si>
  <si>
    <t>1700_4F3D</t>
  </si>
  <si>
    <t>1700_513D</t>
  </si>
  <si>
    <t>1700_533D</t>
  </si>
  <si>
    <t>1700_553D</t>
  </si>
  <si>
    <t>1700_573D</t>
  </si>
  <si>
    <t>1700_593D</t>
  </si>
  <si>
    <t>1700_5B3D</t>
  </si>
  <si>
    <t>1700_5D3D</t>
  </si>
  <si>
    <t>1700_5F3D</t>
  </si>
  <si>
    <t>1700_613D</t>
  </si>
  <si>
    <t>1700_633D</t>
  </si>
  <si>
    <t>1700_653D</t>
  </si>
  <si>
    <t>1700_673D</t>
  </si>
  <si>
    <t>1700_693D</t>
  </si>
  <si>
    <t>1700_6B3D</t>
  </si>
  <si>
    <t>1700_6D3D</t>
  </si>
  <si>
    <t>1700_6F3D</t>
  </si>
  <si>
    <t>1700_713D</t>
  </si>
  <si>
    <t>1700_733D</t>
  </si>
  <si>
    <t>1700_753D</t>
  </si>
  <si>
    <t>1700_773D</t>
  </si>
  <si>
    <t>1700_793D</t>
  </si>
  <si>
    <t>1700_7B3D</t>
  </si>
  <si>
    <t>1700_7D3D</t>
  </si>
  <si>
    <t>1700_7F3D</t>
  </si>
  <si>
    <t>1700_013E</t>
  </si>
  <si>
    <t>1700_033E</t>
  </si>
  <si>
    <t>1700_053E</t>
  </si>
  <si>
    <t>1700_073E</t>
  </si>
  <si>
    <t>1700_093E</t>
  </si>
  <si>
    <t>1700_0B3E</t>
  </si>
  <si>
    <t>1700_0D3E</t>
  </si>
  <si>
    <t>1700_0F3E</t>
  </si>
  <si>
    <t>1700_113E</t>
  </si>
  <si>
    <t>1700_133E</t>
  </si>
  <si>
    <t>1700_153E</t>
  </si>
  <si>
    <t>1700_173E</t>
  </si>
  <si>
    <t>1700_193E</t>
  </si>
  <si>
    <t>1700_1B3E</t>
  </si>
  <si>
    <t>1700_1D3E</t>
  </si>
  <si>
    <t>1700_1F3E</t>
  </si>
  <si>
    <t>1700_213E</t>
  </si>
  <si>
    <t>1700_233E</t>
  </si>
  <si>
    <t>1700_253E</t>
  </si>
  <si>
    <t>1700_273E</t>
  </si>
  <si>
    <t>1700_293E</t>
  </si>
  <si>
    <t>1700_2B3E</t>
  </si>
  <si>
    <t>1700_2D3E</t>
  </si>
  <si>
    <t>1700_2F3E</t>
  </si>
  <si>
    <t>1700_313E</t>
  </si>
  <si>
    <t>1700_333E</t>
  </si>
  <si>
    <t>1700_353E</t>
  </si>
  <si>
    <t>1700_373E</t>
  </si>
  <si>
    <t>1700_393E</t>
  </si>
  <si>
    <t>1700_3B3E</t>
  </si>
  <si>
    <t>1700_3D3E</t>
  </si>
  <si>
    <t>1700_3F3E</t>
  </si>
  <si>
    <t>1700_413E</t>
  </si>
  <si>
    <t>1700_433E</t>
  </si>
  <si>
    <t>1700_453E</t>
  </si>
  <si>
    <t>1700_473E</t>
  </si>
  <si>
    <t>1700_493E</t>
  </si>
  <si>
    <t>1700_4B3E</t>
  </si>
  <si>
    <t>1700_4D3E</t>
  </si>
  <si>
    <t>1700_4F3E</t>
  </si>
  <si>
    <t>1700_513E</t>
  </si>
  <si>
    <t>1700_533E</t>
  </si>
  <si>
    <t>1700_553E</t>
  </si>
  <si>
    <t>1700_573E</t>
  </si>
  <si>
    <t>1700_593E</t>
  </si>
  <si>
    <t>1700_5B3E</t>
  </si>
  <si>
    <t>1700_5D3E</t>
  </si>
  <si>
    <t>1700_5F3E</t>
  </si>
  <si>
    <t>1700_613E</t>
  </si>
  <si>
    <t>1700_633E</t>
  </si>
  <si>
    <t>1700_653E</t>
  </si>
  <si>
    <t>1700_673E</t>
  </si>
  <si>
    <t>1700_693E</t>
  </si>
  <si>
    <t>1700_6B3E</t>
  </si>
  <si>
    <t>1700_6D3E</t>
  </si>
  <si>
    <t>1700_6F3E</t>
  </si>
  <si>
    <t>1700_713E</t>
  </si>
  <si>
    <t>1700_733E</t>
  </si>
  <si>
    <t>1700_753E</t>
  </si>
  <si>
    <t>1700_773E</t>
  </si>
  <si>
    <t>1700_793E</t>
  </si>
  <si>
    <t>1700_7B3E</t>
  </si>
  <si>
    <t>1700_7D3E</t>
  </si>
  <si>
    <t>1700_7F3E</t>
  </si>
  <si>
    <t>1700_013F</t>
  </si>
  <si>
    <t>1700_033F</t>
  </si>
  <si>
    <t>1700_053F</t>
  </si>
  <si>
    <t>1700_073F</t>
  </si>
  <si>
    <t>1700_093F</t>
  </si>
  <si>
    <t>1700_0B3F</t>
  </si>
  <si>
    <t>1700_0D3F</t>
  </si>
  <si>
    <t>1700_0F3F</t>
  </si>
  <si>
    <t>1700_113F</t>
  </si>
  <si>
    <t>1700_133F</t>
  </si>
  <si>
    <t>1700_153F</t>
  </si>
  <si>
    <t>1700_173F</t>
  </si>
  <si>
    <t>1700_193F</t>
  </si>
  <si>
    <t>1700_1B3F</t>
  </si>
  <si>
    <t>1700_1D3F</t>
  </si>
  <si>
    <t>1700_1F3F</t>
  </si>
  <si>
    <t>1700_213F</t>
  </si>
  <si>
    <t>1700_233F</t>
  </si>
  <si>
    <t>1700_253F</t>
  </si>
  <si>
    <t>1700_273F</t>
  </si>
  <si>
    <t>1700_293F</t>
  </si>
  <si>
    <t>1700_2B3F</t>
  </si>
  <si>
    <t>1700_2D3F</t>
  </si>
  <si>
    <t>1700_2F3F</t>
  </si>
  <si>
    <t>1700_313F</t>
  </si>
  <si>
    <t>1700_333F</t>
  </si>
  <si>
    <t>1700_353F</t>
  </si>
  <si>
    <t>1700_373F</t>
  </si>
  <si>
    <t>1700_393F</t>
  </si>
  <si>
    <t>1700_3B3F</t>
  </si>
  <si>
    <t>1700_3D3F</t>
  </si>
  <si>
    <t>1700_3F3F</t>
  </si>
  <si>
    <t>1700_413F</t>
  </si>
  <si>
    <t>1700_433F</t>
  </si>
  <si>
    <t>1700_453F</t>
  </si>
  <si>
    <t>1700_473F</t>
  </si>
  <si>
    <t>1700_493F</t>
  </si>
  <si>
    <t>1700_4B3F</t>
  </si>
  <si>
    <t>1700_4D3F</t>
  </si>
  <si>
    <t>1700_4F3F</t>
  </si>
  <si>
    <t>1700_513F</t>
  </si>
  <si>
    <t>1700_533F</t>
  </si>
  <si>
    <t>1700_553F</t>
  </si>
  <si>
    <t>1700_573F</t>
  </si>
  <si>
    <t>1700_593F</t>
  </si>
  <si>
    <t>1700_5B3F</t>
  </si>
  <si>
    <t>1700_5D3F</t>
  </si>
  <si>
    <t>1700_5F3F</t>
  </si>
  <si>
    <t>1700_613F</t>
  </si>
  <si>
    <t>1700_633F</t>
  </si>
  <si>
    <t>1700_653F</t>
  </si>
  <si>
    <t>1700_673F</t>
  </si>
  <si>
    <t>1700_693F</t>
  </si>
  <si>
    <t>1700_6B3F</t>
  </si>
  <si>
    <t>1700_6D3F</t>
  </si>
  <si>
    <t>1700_6F3F</t>
  </si>
  <si>
    <t>1700_713F</t>
  </si>
  <si>
    <t>1700_733F</t>
  </si>
  <si>
    <t>1700_753F</t>
  </si>
  <si>
    <t>1700_773F</t>
  </si>
  <si>
    <t>1700_793F</t>
  </si>
  <si>
    <t>1700_7B3F</t>
  </si>
  <si>
    <t>1700_7D3F</t>
  </si>
  <si>
    <t>1700_7F3F</t>
  </si>
  <si>
    <t>1700_0140</t>
  </si>
  <si>
    <t>1700_0340</t>
  </si>
  <si>
    <t>1700_0540</t>
  </si>
  <si>
    <t>1700_0740</t>
  </si>
  <si>
    <t>1700_0940</t>
  </si>
  <si>
    <t>1700_0B40</t>
  </si>
  <si>
    <t>1700_0D40</t>
  </si>
  <si>
    <t>1700_0F40</t>
  </si>
  <si>
    <t>1700_1140</t>
  </si>
  <si>
    <t>1700_1340</t>
  </si>
  <si>
    <t>1700_1540</t>
  </si>
  <si>
    <t>1700_1740</t>
  </si>
  <si>
    <t>1700_1940</t>
  </si>
  <si>
    <t>1700_1B40</t>
  </si>
  <si>
    <t>1700_1D40</t>
  </si>
  <si>
    <t>1700_1F40</t>
  </si>
  <si>
    <t>1700_2140</t>
  </si>
  <si>
    <t>1700_2340</t>
  </si>
  <si>
    <t>1700_2540</t>
  </si>
  <si>
    <t>1700_2740</t>
  </si>
  <si>
    <t>1700_2940</t>
  </si>
  <si>
    <t>1700_2B40</t>
  </si>
  <si>
    <t>1700_2D40</t>
  </si>
  <si>
    <t>1700_2F40</t>
  </si>
  <si>
    <t>1700_3140</t>
  </si>
  <si>
    <t>1700_3340</t>
  </si>
  <si>
    <t>1700_3540</t>
  </si>
  <si>
    <t>1700_3740</t>
  </si>
  <si>
    <t>1700_3940</t>
  </si>
  <si>
    <t>1700_3B40</t>
  </si>
  <si>
    <t>1700_3D40</t>
  </si>
  <si>
    <t>1700_3F40</t>
  </si>
  <si>
    <t>1700_4140</t>
  </si>
  <si>
    <t>1700_4340</t>
  </si>
  <si>
    <t>1700_4540</t>
  </si>
  <si>
    <t>1700_4740</t>
  </si>
  <si>
    <t>1700_4940</t>
  </si>
  <si>
    <t>1700_4B40</t>
  </si>
  <si>
    <t>1700_4D40</t>
  </si>
  <si>
    <t>1700_4F40</t>
  </si>
  <si>
    <t>1700_5140</t>
  </si>
  <si>
    <t>1700_5340</t>
  </si>
  <si>
    <t>1700_5540</t>
  </si>
  <si>
    <t>1700_5740</t>
  </si>
  <si>
    <t>1700_5940</t>
  </si>
  <si>
    <t>1700_5B40</t>
  </si>
  <si>
    <t>1700_5D40</t>
  </si>
  <si>
    <t>1700_5F40</t>
  </si>
  <si>
    <t>1700_6140</t>
  </si>
  <si>
    <t>1700_6340</t>
  </si>
  <si>
    <t>1700_6540</t>
  </si>
  <si>
    <t>1700_6740</t>
  </si>
  <si>
    <t>1700_6940</t>
  </si>
  <si>
    <t>1700_6B40</t>
  </si>
  <si>
    <t>1700_6D40</t>
  </si>
  <si>
    <t>1700_6F40</t>
  </si>
  <si>
    <t>1700_7140</t>
  </si>
  <si>
    <t>1700_7340</t>
  </si>
  <si>
    <t>1700_7540</t>
  </si>
  <si>
    <t>1700_7740</t>
  </si>
  <si>
    <t>1700_7940</t>
  </si>
  <si>
    <t>1700_7B40</t>
  </si>
  <si>
    <t>1700_7D40</t>
  </si>
  <si>
    <t>1700_7F40</t>
  </si>
  <si>
    <t>1700_0141</t>
  </si>
  <si>
    <t>1700_0341</t>
  </si>
  <si>
    <t>1700_0541</t>
  </si>
  <si>
    <t>1700_0741</t>
  </si>
  <si>
    <t>1700_0941</t>
  </si>
  <si>
    <t>1700_0B41</t>
  </si>
  <si>
    <t>1700_0D41</t>
  </si>
  <si>
    <t>1700_0F41</t>
  </si>
  <si>
    <t>1700_1141</t>
  </si>
  <si>
    <t>1700_1341</t>
  </si>
  <si>
    <t>1700_1541</t>
  </si>
  <si>
    <t>1700_1741</t>
  </si>
  <si>
    <t>1700_1941</t>
  </si>
  <si>
    <t>1700_1B41</t>
  </si>
  <si>
    <t>1700_1D41</t>
  </si>
  <si>
    <t>1700_1F41</t>
  </si>
  <si>
    <t>1700_2141</t>
  </si>
  <si>
    <t>1700_2341</t>
  </si>
  <si>
    <t>1700_2541</t>
  </si>
  <si>
    <t>1700_2741</t>
  </si>
  <si>
    <t>1700_2941</t>
  </si>
  <si>
    <t>1700_2B41</t>
  </si>
  <si>
    <t>1700_2D41</t>
  </si>
  <si>
    <t>1700_2F41</t>
  </si>
  <si>
    <t>1700_3141</t>
  </si>
  <si>
    <t>1700_3341</t>
  </si>
  <si>
    <t>1700_3541</t>
  </si>
  <si>
    <t>1700_3741</t>
  </si>
  <si>
    <t>1700_3941</t>
  </si>
  <si>
    <t>1700_3B41</t>
  </si>
  <si>
    <t>1700_3D41</t>
  </si>
  <si>
    <t>1700_3F41</t>
  </si>
  <si>
    <t>1700_4141</t>
  </si>
  <si>
    <t>1700_4341</t>
  </si>
  <si>
    <t>1700_4541</t>
  </si>
  <si>
    <t>1700_4741</t>
  </si>
  <si>
    <t>1700_4941</t>
  </si>
  <si>
    <t>1700_4B41</t>
  </si>
  <si>
    <t>1700_4D41</t>
  </si>
  <si>
    <t>1700_4F41</t>
  </si>
  <si>
    <t>1700_5141</t>
  </si>
  <si>
    <t>1700_5341</t>
  </si>
  <si>
    <t>1700_5541</t>
  </si>
  <si>
    <t>1700_5741</t>
  </si>
  <si>
    <t>1700_5941</t>
  </si>
  <si>
    <t>1700_5B41</t>
  </si>
  <si>
    <t>1700_5D41</t>
  </si>
  <si>
    <t>1700_5F41</t>
  </si>
  <si>
    <t>1700_6141</t>
  </si>
  <si>
    <t>1700_6341</t>
  </si>
  <si>
    <t>1700_6541</t>
  </si>
  <si>
    <t>1700_6741</t>
  </si>
  <si>
    <t>1700_6941</t>
  </si>
  <si>
    <t>1700_6B41</t>
  </si>
  <si>
    <t>1700_6D41</t>
  </si>
  <si>
    <t>1700_6F41</t>
  </si>
  <si>
    <t>1700_7141</t>
  </si>
  <si>
    <t>1700_7341</t>
  </si>
  <si>
    <t>1700_7541</t>
  </si>
  <si>
    <t>1700_7741</t>
  </si>
  <si>
    <t>1700_7941</t>
  </si>
  <si>
    <t>1700_7B41</t>
  </si>
  <si>
    <t>1700_7D41</t>
  </si>
  <si>
    <t>1700_7F41</t>
  </si>
  <si>
    <t>1700_0142</t>
  </si>
  <si>
    <t>1700_0342</t>
  </si>
  <si>
    <t>1700_0542</t>
  </si>
  <si>
    <t>1700_0742</t>
  </si>
  <si>
    <t>1700_0942</t>
  </si>
  <si>
    <t>1700_0B42</t>
  </si>
  <si>
    <t>1700_0D42</t>
  </si>
  <si>
    <t>1700_0F42</t>
  </si>
  <si>
    <t>1700_1142</t>
  </si>
  <si>
    <t>1700_1342</t>
  </si>
  <si>
    <t>1700_1542</t>
  </si>
  <si>
    <t>1700_1742</t>
  </si>
  <si>
    <t>1700_1942</t>
  </si>
  <si>
    <t>1700_1B42</t>
  </si>
  <si>
    <t>1700_1D42</t>
  </si>
  <si>
    <t>1700_1F42</t>
  </si>
  <si>
    <t>1700_2142</t>
  </si>
  <si>
    <t>1700_2342</t>
  </si>
  <si>
    <t>1700_2542</t>
  </si>
  <si>
    <t>1700_2742</t>
  </si>
  <si>
    <t>1700_2942</t>
  </si>
  <si>
    <t>1700_2B42</t>
  </si>
  <si>
    <t>1700_2D42</t>
  </si>
  <si>
    <t>1700_2F42</t>
  </si>
  <si>
    <t>1700_3142</t>
  </si>
  <si>
    <t>1700_3342</t>
  </si>
  <si>
    <t>1700_3542</t>
  </si>
  <si>
    <t>1700_3742</t>
  </si>
  <si>
    <t>1700_3942</t>
  </si>
  <si>
    <t>1700_3B42</t>
  </si>
  <si>
    <t>1700_3D42</t>
  </si>
  <si>
    <t>1700_3F42</t>
  </si>
  <si>
    <t>1700_4142</t>
  </si>
  <si>
    <t>1700_4342</t>
  </si>
  <si>
    <t>1700_4542</t>
  </si>
  <si>
    <t>1700_4742</t>
  </si>
  <si>
    <t>1700_4942</t>
  </si>
  <si>
    <t>1700_4B42</t>
  </si>
  <si>
    <t>1700_4D42</t>
  </si>
  <si>
    <t>1700_4F42</t>
  </si>
  <si>
    <t>1700_5142</t>
  </si>
  <si>
    <t>1700_5342</t>
  </si>
  <si>
    <t>1700_5542</t>
  </si>
  <si>
    <t>1700_5742</t>
  </si>
  <si>
    <t>1700_5942</t>
  </si>
  <si>
    <t>1700_5B42</t>
  </si>
  <si>
    <t>1700_5D42</t>
  </si>
  <si>
    <t>1700_5F42</t>
  </si>
  <si>
    <t>1700_6142</t>
  </si>
  <si>
    <t>1700_6342</t>
  </si>
  <si>
    <t>1700_6542</t>
  </si>
  <si>
    <t>1700_6742</t>
  </si>
  <si>
    <t>1700_6942</t>
  </si>
  <si>
    <t>1700_6B42</t>
  </si>
  <si>
    <t>1700_6D42</t>
  </si>
  <si>
    <t>1700_6F42</t>
  </si>
  <si>
    <t>1700_7142</t>
  </si>
  <si>
    <t>1700_7342</t>
  </si>
  <si>
    <t>1700_7542</t>
  </si>
  <si>
    <t>1700_7742</t>
  </si>
  <si>
    <t>1700_7942</t>
  </si>
  <si>
    <t>1700_7B42</t>
  </si>
  <si>
    <t>1700_7D42</t>
  </si>
  <si>
    <t>1700_7F42</t>
  </si>
  <si>
    <t>1700_0143</t>
  </si>
  <si>
    <t>1700_0343</t>
  </si>
  <si>
    <t>1700_0543</t>
  </si>
  <si>
    <t>1700_0743</t>
  </si>
  <si>
    <t>1700_0943</t>
  </si>
  <si>
    <t>1700_0B43</t>
  </si>
  <si>
    <t>1700_0D43</t>
  </si>
  <si>
    <t>1700_0F43</t>
  </si>
  <si>
    <t>1700_1143</t>
  </si>
  <si>
    <t>1700_1343</t>
  </si>
  <si>
    <t>1700_1543</t>
  </si>
  <si>
    <t>1700_1743</t>
  </si>
  <si>
    <t>1700_1943</t>
  </si>
  <si>
    <t>1700_1B43</t>
  </si>
  <si>
    <t>1700_1D43</t>
  </si>
  <si>
    <t>1700_1F43</t>
  </si>
  <si>
    <t>1700_2143</t>
  </si>
  <si>
    <t>0x8A</t>
  </si>
  <si>
    <t>1700_2343</t>
  </si>
  <si>
    <t>1700_2543</t>
  </si>
  <si>
    <t>1700_2743</t>
  </si>
  <si>
    <t>1700_2943</t>
  </si>
  <si>
    <t>1700_2B43</t>
  </si>
  <si>
    <t>1700_2D43</t>
  </si>
  <si>
    <t>1700_2F43</t>
  </si>
  <si>
    <t>1700_3143</t>
  </si>
  <si>
    <t>1700_3343</t>
  </si>
  <si>
    <t>1700_3543</t>
  </si>
  <si>
    <t>1700_3743</t>
  </si>
  <si>
    <t>1700_3943</t>
  </si>
  <si>
    <t>1700_3B43</t>
  </si>
  <si>
    <t>1700_3D43</t>
  </si>
  <si>
    <t>1700_3F43</t>
  </si>
  <si>
    <t>1700_4143</t>
  </si>
  <si>
    <t>1700_4343</t>
  </si>
  <si>
    <t>1700_4543</t>
  </si>
  <si>
    <t>1700_4743</t>
  </si>
  <si>
    <t>1700_4943</t>
  </si>
  <si>
    <t>1700_4B43</t>
  </si>
  <si>
    <t>1700_4D43</t>
  </si>
  <si>
    <t>1700_4F43</t>
  </si>
  <si>
    <t>1700_5143</t>
  </si>
  <si>
    <t>1700_5343</t>
  </si>
  <si>
    <t>1700_5543</t>
  </si>
  <si>
    <t>1700_5743</t>
  </si>
  <si>
    <t>1700_5943</t>
  </si>
  <si>
    <t>1700_5B43</t>
  </si>
  <si>
    <t>1700_5D43</t>
  </si>
  <si>
    <t>1700_5F43</t>
  </si>
  <si>
    <t>1700_6143</t>
  </si>
  <si>
    <t>1700_6343</t>
  </si>
  <si>
    <t>1700_6543</t>
  </si>
  <si>
    <t>1700_6743</t>
  </si>
  <si>
    <t>1700_6943</t>
  </si>
  <si>
    <t>1700_6B43</t>
  </si>
  <si>
    <t>1700_6D43</t>
  </si>
  <si>
    <t>1700_6F43</t>
  </si>
  <si>
    <t>1700_7143</t>
  </si>
  <si>
    <t>1700_7343</t>
  </si>
  <si>
    <t>1700_7543</t>
  </si>
  <si>
    <t>1700_7743</t>
  </si>
  <si>
    <t>1700_7943</t>
  </si>
  <si>
    <t>1700_7B43</t>
  </si>
  <si>
    <t>1700_7D43</t>
  </si>
  <si>
    <t>1700_7F43</t>
  </si>
  <si>
    <t>1700_0144</t>
  </si>
  <si>
    <t>1700_0344</t>
  </si>
  <si>
    <t>1700_0544</t>
  </si>
  <si>
    <t>1700_0744</t>
  </si>
  <si>
    <t>1700_0944</t>
  </si>
  <si>
    <t>1700_0B44</t>
  </si>
  <si>
    <t>1700_0D44</t>
  </si>
  <si>
    <t>1700_0F44</t>
  </si>
  <si>
    <t>1700_1144</t>
  </si>
  <si>
    <t>1700_1344</t>
  </si>
  <si>
    <t>1700_1544</t>
  </si>
  <si>
    <t>1700_1744</t>
  </si>
  <si>
    <t>1700_1944</t>
  </si>
  <si>
    <t>1700_1B44</t>
  </si>
  <si>
    <t>1700_1D44</t>
  </si>
  <si>
    <t>1700_1F44</t>
  </si>
  <si>
    <t>1700_2144</t>
  </si>
  <si>
    <t>1700_2344</t>
  </si>
  <si>
    <t>1700_2544</t>
  </si>
  <si>
    <t>1700_2744</t>
  </si>
  <si>
    <t>1700_2944</t>
  </si>
  <si>
    <t>1700_2B44</t>
  </si>
  <si>
    <t>1700_2D44</t>
  </si>
  <si>
    <t>1700_2F44</t>
  </si>
  <si>
    <t>1700_3144</t>
  </si>
  <si>
    <t>1700_3344</t>
  </si>
  <si>
    <t>1700_3544</t>
  </si>
  <si>
    <t>1700_3744</t>
  </si>
  <si>
    <t>1700_3944</t>
  </si>
  <si>
    <t>1700_3B44</t>
  </si>
  <si>
    <t>1700_3D44</t>
  </si>
  <si>
    <t>1700_3F44</t>
  </si>
  <si>
    <t>1700_4144</t>
  </si>
  <si>
    <t>1700_4344</t>
  </si>
  <si>
    <t>1700_4544</t>
  </si>
  <si>
    <t>1700_4744</t>
  </si>
  <si>
    <t>1700_4944</t>
  </si>
  <si>
    <t>1700_4B44</t>
  </si>
  <si>
    <t>1700_4D44</t>
  </si>
  <si>
    <t>1700_4F44</t>
  </si>
  <si>
    <t>1700_5144</t>
  </si>
  <si>
    <t>1700_5344</t>
  </si>
  <si>
    <t>1700_5544</t>
  </si>
  <si>
    <t>1700_5744</t>
  </si>
  <si>
    <t>1700_5944</t>
  </si>
  <si>
    <t>1700_5B44</t>
  </si>
  <si>
    <t>1700_5D44</t>
  </si>
  <si>
    <t>1700_5F44</t>
  </si>
  <si>
    <t>1700_6144</t>
  </si>
  <si>
    <t>1700_6344</t>
  </si>
  <si>
    <t>1700_6544</t>
  </si>
  <si>
    <t>1700_6744</t>
  </si>
  <si>
    <t>1700_6944</t>
  </si>
  <si>
    <t>1700_6B44</t>
  </si>
  <si>
    <t>1700_6D44</t>
  </si>
  <si>
    <t>1700_6F44</t>
  </si>
  <si>
    <t>1700_7144</t>
  </si>
  <si>
    <t>1700_7344</t>
  </si>
  <si>
    <t>1700_7544</t>
  </si>
  <si>
    <t>1700_7744</t>
  </si>
  <si>
    <t>1700_7944</t>
  </si>
  <si>
    <t>1700_7B44</t>
  </si>
  <si>
    <t>1700_7D44</t>
  </si>
  <si>
    <t>1700_7F44</t>
  </si>
  <si>
    <t>1700_0145</t>
  </si>
  <si>
    <t>1700_0345</t>
  </si>
  <si>
    <t>1700_0545</t>
  </si>
  <si>
    <t>1700_0745</t>
  </si>
  <si>
    <t>1700_0945</t>
  </si>
  <si>
    <t>1700_0B45</t>
  </si>
  <si>
    <t>1700_0D45</t>
  </si>
  <si>
    <t>1700_0F45</t>
  </si>
  <si>
    <t>1700_1145</t>
  </si>
  <si>
    <t>1700_1345</t>
  </si>
  <si>
    <t>1700_1545</t>
  </si>
  <si>
    <t>1700_1745</t>
  </si>
  <si>
    <t>1700_1945</t>
  </si>
  <si>
    <t>1700_1B45</t>
  </si>
  <si>
    <t>1700_1D45</t>
  </si>
  <si>
    <t>1700_1F45</t>
  </si>
  <si>
    <t>1700_2145</t>
  </si>
  <si>
    <t>1700_2345</t>
  </si>
  <si>
    <t>1700_2545</t>
  </si>
  <si>
    <t>1700_2745</t>
  </si>
  <si>
    <t>1700_2945</t>
  </si>
  <si>
    <t>1700_2B45</t>
  </si>
  <si>
    <t>1700_2D45</t>
  </si>
  <si>
    <t>1700_2F45</t>
  </si>
  <si>
    <t>1700_3145</t>
  </si>
  <si>
    <t>1700_3345</t>
  </si>
  <si>
    <t>1700_3545</t>
  </si>
  <si>
    <t>1700_3745</t>
  </si>
  <si>
    <t>1700_3945</t>
  </si>
  <si>
    <t>1700_3B45</t>
  </si>
  <si>
    <t>1700_3D45</t>
  </si>
  <si>
    <t>1700_3F45</t>
  </si>
  <si>
    <t>1700_4145</t>
  </si>
  <si>
    <t>1700_4345</t>
  </si>
  <si>
    <t>1700_4545</t>
  </si>
  <si>
    <t>1700_4745</t>
  </si>
  <si>
    <t>1700_4945</t>
  </si>
  <si>
    <t>1700_4B45</t>
  </si>
  <si>
    <t>1700_4D45</t>
  </si>
  <si>
    <t>1700_4F45</t>
  </si>
  <si>
    <t>1700_5145</t>
  </si>
  <si>
    <t>1700_5345</t>
  </si>
  <si>
    <t>1700_5545</t>
  </si>
  <si>
    <t>1700_5745</t>
  </si>
  <si>
    <t>1700_5945</t>
  </si>
  <si>
    <t>1700_5B45</t>
  </si>
  <si>
    <t>1700_5D45</t>
  </si>
  <si>
    <t>1700_5F45</t>
  </si>
  <si>
    <t>1700_6145</t>
  </si>
  <si>
    <t>1700_6345</t>
  </si>
  <si>
    <t>1700_6545</t>
  </si>
  <si>
    <t>1700_6745</t>
  </si>
  <si>
    <t>1700_6945</t>
  </si>
  <si>
    <t>1700_6B45</t>
  </si>
  <si>
    <t>1700_6D45</t>
  </si>
  <si>
    <t>1700_6F45</t>
  </si>
  <si>
    <t>1700_7145</t>
  </si>
  <si>
    <t>1700_7345</t>
  </si>
  <si>
    <t>1700_7545</t>
  </si>
  <si>
    <t>1700_7745</t>
  </si>
  <si>
    <t>1700_7945</t>
  </si>
  <si>
    <t>1700_7B45</t>
  </si>
  <si>
    <t>1700_7D45</t>
  </si>
  <si>
    <t>1700_7F45</t>
  </si>
  <si>
    <t>1700_0146</t>
  </si>
  <si>
    <t>1700_0346</t>
  </si>
  <si>
    <t>1700_0546</t>
  </si>
  <si>
    <t>1700_0746</t>
  </si>
  <si>
    <t>1700_0946</t>
  </si>
  <si>
    <t>1700_0B46</t>
  </si>
  <si>
    <t>1700_0D46</t>
  </si>
  <si>
    <t>1700_0F46</t>
  </si>
  <si>
    <t>1700_1146</t>
  </si>
  <si>
    <t>1700_1346</t>
  </si>
  <si>
    <t>1700_1546</t>
  </si>
  <si>
    <t>1700_1746</t>
  </si>
  <si>
    <t>1700_1946</t>
  </si>
  <si>
    <t>1700_1B46</t>
  </si>
  <si>
    <t>1700_1D46</t>
  </si>
  <si>
    <t>1700_1F46</t>
  </si>
  <si>
    <t>1700_2146</t>
  </si>
  <si>
    <t>1700_2346</t>
  </si>
  <si>
    <t>1700_2546</t>
  </si>
  <si>
    <t>1700_2746</t>
  </si>
  <si>
    <t>1700_2946</t>
  </si>
  <si>
    <t>1700_2B46</t>
  </si>
  <si>
    <t>1700_2D46</t>
  </si>
  <si>
    <t>1700_2F46</t>
  </si>
  <si>
    <t>1700_3146</t>
  </si>
  <si>
    <t>1700_3346</t>
  </si>
  <si>
    <t>1700_3546</t>
  </si>
  <si>
    <t>1700_3746</t>
  </si>
  <si>
    <t>1700_3946</t>
  </si>
  <si>
    <t>1700_3B46</t>
  </si>
  <si>
    <t>1700_3D46</t>
  </si>
  <si>
    <t>1700_3F46</t>
  </si>
  <si>
    <t>1700_4146</t>
  </si>
  <si>
    <t>1700_4346</t>
  </si>
  <si>
    <t>1700_4546</t>
  </si>
  <si>
    <t>1700_4746</t>
  </si>
  <si>
    <t>1700_4946</t>
  </si>
  <si>
    <t>1700_4B46</t>
  </si>
  <si>
    <t>1700_4D46</t>
  </si>
  <si>
    <t>1700_4F46</t>
  </si>
  <si>
    <t>1700_5146</t>
  </si>
  <si>
    <t>1700_5346</t>
  </si>
  <si>
    <t>1700_5546</t>
  </si>
  <si>
    <t>1700_5746</t>
  </si>
  <si>
    <t>1700_5946</t>
  </si>
  <si>
    <t>1700_5B46</t>
  </si>
  <si>
    <t>1700_5D46</t>
  </si>
  <si>
    <t>1700_5F46</t>
  </si>
  <si>
    <t>1700_6146</t>
  </si>
  <si>
    <t>1700_6346</t>
  </si>
  <si>
    <t>1700_6546</t>
  </si>
  <si>
    <t>1700_6746</t>
  </si>
  <si>
    <t>1700_6946</t>
  </si>
  <si>
    <t>1700_6B46</t>
  </si>
  <si>
    <t>1700_6D46</t>
  </si>
  <si>
    <t>1700_6F46</t>
  </si>
  <si>
    <t>1700_7146</t>
  </si>
  <si>
    <t>1700_7346</t>
  </si>
  <si>
    <t>1700_7546</t>
  </si>
  <si>
    <t>1700_7746</t>
  </si>
  <si>
    <t>1700_7946</t>
  </si>
  <si>
    <t>1700_7B46</t>
  </si>
  <si>
    <t>1700_7D46</t>
  </si>
  <si>
    <t>1700_7F46</t>
  </si>
  <si>
    <t>1700_0147</t>
  </si>
  <si>
    <t>1700_0347</t>
  </si>
  <si>
    <t>1700_0547</t>
  </si>
  <si>
    <t>1700_0747</t>
  </si>
  <si>
    <t>1700_0947</t>
  </si>
  <si>
    <t>1700_0B47</t>
  </si>
  <si>
    <t>1700_0D47</t>
  </si>
  <si>
    <t>1700_0F47</t>
  </si>
  <si>
    <t>1700_1147</t>
  </si>
  <si>
    <t>1700_1347</t>
  </si>
  <si>
    <t>1700_1547</t>
  </si>
  <si>
    <t>1700_1747</t>
  </si>
  <si>
    <t>1700_1947</t>
  </si>
  <si>
    <t>1700_1B47</t>
  </si>
  <si>
    <t>1700_1D47</t>
  </si>
  <si>
    <t>1700_1F47</t>
  </si>
  <si>
    <t>1700_2147</t>
  </si>
  <si>
    <t>1700_2347</t>
  </si>
  <si>
    <t>1700_2547</t>
  </si>
  <si>
    <t>1700_2747</t>
  </si>
  <si>
    <t>1700_2947</t>
  </si>
  <si>
    <t>1700_2B47</t>
  </si>
  <si>
    <t>1700_2D47</t>
  </si>
  <si>
    <t>1700_2F47</t>
  </si>
  <si>
    <t>1700_3147</t>
  </si>
  <si>
    <t>1700_3347</t>
  </si>
  <si>
    <t>1700_3547</t>
  </si>
  <si>
    <t>1700_3747</t>
  </si>
  <si>
    <t>1700_3947</t>
  </si>
  <si>
    <t>1700_3B47</t>
  </si>
  <si>
    <t>1700_3D47</t>
  </si>
  <si>
    <t>1700_3F47</t>
  </si>
  <si>
    <t>1700_4147</t>
  </si>
  <si>
    <t>1700_4347</t>
  </si>
  <si>
    <t>1700_4547</t>
  </si>
  <si>
    <t>1700_4747</t>
  </si>
  <si>
    <t>1700_4947</t>
  </si>
  <si>
    <t>1700_4B47</t>
  </si>
  <si>
    <t>1700_4D47</t>
  </si>
  <si>
    <t>1700_4F47</t>
  </si>
  <si>
    <t>1700_5147</t>
  </si>
  <si>
    <t>1700_5347</t>
  </si>
  <si>
    <t>1700_5547</t>
  </si>
  <si>
    <t>1700_5747</t>
  </si>
  <si>
    <t>1700_5947</t>
  </si>
  <si>
    <t>1700_5B47</t>
  </si>
  <si>
    <t>1700_5D47</t>
  </si>
  <si>
    <t>1700_5F47</t>
  </si>
  <si>
    <t>1700_6147</t>
  </si>
  <si>
    <t>1700_6347</t>
  </si>
  <si>
    <t>1700_6547</t>
  </si>
  <si>
    <t>1700_6747</t>
  </si>
  <si>
    <t>1700_6947</t>
  </si>
  <si>
    <t>1700_6B47</t>
  </si>
  <si>
    <t>1700_6D47</t>
  </si>
  <si>
    <t>1700_6F47</t>
  </si>
  <si>
    <t>1700_7147</t>
  </si>
  <si>
    <t>1700_7347</t>
  </si>
  <si>
    <t>1700_7547</t>
  </si>
  <si>
    <t>1700_7747</t>
  </si>
  <si>
    <t>1700_7947</t>
  </si>
  <si>
    <t>1700_7B47</t>
  </si>
  <si>
    <t>1700_7D47</t>
  </si>
  <si>
    <t>1700_7F47</t>
  </si>
  <si>
    <t>1700_0148</t>
  </si>
  <si>
    <t>1700_0348</t>
  </si>
  <si>
    <t>1700_0548</t>
  </si>
  <si>
    <t>1700_0748</t>
  </si>
  <si>
    <t>1700_0948</t>
  </si>
  <si>
    <t>1700_0B48</t>
  </si>
  <si>
    <t>1700_0D48</t>
  </si>
  <si>
    <t>1700_0F48</t>
  </si>
  <si>
    <t>1700_1148</t>
  </si>
  <si>
    <t>1700_1348</t>
  </si>
  <si>
    <t>1700_1548</t>
  </si>
  <si>
    <t>1700_1748</t>
  </si>
  <si>
    <t>1700_1948</t>
  </si>
  <si>
    <t>1700_1B48</t>
  </si>
  <si>
    <t>1700_1D48</t>
  </si>
  <si>
    <t>1700_1F48</t>
  </si>
  <si>
    <t>1700_2148</t>
  </si>
  <si>
    <t>1700_2348</t>
  </si>
  <si>
    <t>1700_2548</t>
  </si>
  <si>
    <t>1700_2748</t>
  </si>
  <si>
    <t>1700_2948</t>
  </si>
  <si>
    <t>1700_2B48</t>
  </si>
  <si>
    <t>1700_2D48</t>
  </si>
  <si>
    <t>1700_2F48</t>
  </si>
  <si>
    <t>1700_3148</t>
  </si>
  <si>
    <t>1700_3348</t>
  </si>
  <si>
    <t>1700_3548</t>
  </si>
  <si>
    <t>1700_3748</t>
  </si>
  <si>
    <t>1700_3948</t>
  </si>
  <si>
    <t>1700_3B48</t>
  </si>
  <si>
    <t>1700_3D48</t>
  </si>
  <si>
    <t>1700_3F48</t>
  </si>
  <si>
    <t>1700_4148</t>
  </si>
  <si>
    <t>1700_4348</t>
  </si>
  <si>
    <t>1700_4548</t>
  </si>
  <si>
    <t>1700_4748</t>
  </si>
  <si>
    <t>1700_4948</t>
  </si>
  <si>
    <t>1700_4B48</t>
  </si>
  <si>
    <t>1700_4D48</t>
  </si>
  <si>
    <t>1700_4F48</t>
  </si>
  <si>
    <t>1700_5148</t>
  </si>
  <si>
    <t>1700_5348</t>
  </si>
  <si>
    <t>1700_5548</t>
  </si>
  <si>
    <t>1700_5748</t>
  </si>
  <si>
    <t>1700_5948</t>
  </si>
  <si>
    <t>1700_5B48</t>
  </si>
  <si>
    <t>1700_5D48</t>
  </si>
  <si>
    <t>1700_5F48</t>
  </si>
  <si>
    <t>1700_6148</t>
  </si>
  <si>
    <t>1700_6348</t>
  </si>
  <si>
    <t>1700_6548</t>
  </si>
  <si>
    <t>1700_6748</t>
  </si>
  <si>
    <t>1700_6948</t>
  </si>
  <si>
    <t>1700_6B48</t>
  </si>
  <si>
    <t>1700_6D48</t>
  </si>
  <si>
    <t>1700_6F48</t>
  </si>
  <si>
    <t>1700_7148</t>
  </si>
  <si>
    <t>1700_7348</t>
  </si>
  <si>
    <t>1700_7548</t>
  </si>
  <si>
    <t>1700_7748</t>
  </si>
  <si>
    <t>1700_7948</t>
  </si>
  <si>
    <t>1700_7B48</t>
  </si>
  <si>
    <t>1700_7D48</t>
  </si>
  <si>
    <t>1700_7F48</t>
  </si>
  <si>
    <t>1700_0149</t>
  </si>
  <si>
    <t>1700_0349</t>
  </si>
  <si>
    <t>1700_0549</t>
  </si>
  <si>
    <t>1700_0749</t>
  </si>
  <si>
    <t>1700_0949</t>
  </si>
  <si>
    <t>1700_0B49</t>
  </si>
  <si>
    <t>1700_0D49</t>
  </si>
  <si>
    <t>1700_0F49</t>
  </si>
  <si>
    <t>1700_1149</t>
  </si>
  <si>
    <t>1700_1349</t>
  </si>
  <si>
    <t>1700_1549</t>
  </si>
  <si>
    <t>1700_1749</t>
  </si>
  <si>
    <t>1700_1949</t>
  </si>
  <si>
    <t>1700_1B49</t>
  </si>
  <si>
    <t>1700_1D49</t>
  </si>
  <si>
    <t>1700_1F49</t>
  </si>
  <si>
    <t>1700_2149</t>
  </si>
  <si>
    <t>1700_2349</t>
  </si>
  <si>
    <t>1700_2549</t>
  </si>
  <si>
    <t>1700_2749</t>
  </si>
  <si>
    <t>1700_2949</t>
  </si>
  <si>
    <t>1700_2B49</t>
  </si>
  <si>
    <t>1700_2D49</t>
  </si>
  <si>
    <t>1700_2F49</t>
  </si>
  <si>
    <t>1700_3149</t>
  </si>
  <si>
    <t>1700_3349</t>
  </si>
  <si>
    <t>1700_3549</t>
  </si>
  <si>
    <t>1700_3749</t>
  </si>
  <si>
    <t>1700_3949</t>
  </si>
  <si>
    <t>1700_3B49</t>
  </si>
  <si>
    <t>1700_3D49</t>
  </si>
  <si>
    <t>1700_3F49</t>
  </si>
  <si>
    <t>1700_4149</t>
  </si>
  <si>
    <t>1700_4349</t>
  </si>
  <si>
    <t>1700_4549</t>
  </si>
  <si>
    <t>1700_4749</t>
  </si>
  <si>
    <t>1700_4949</t>
  </si>
  <si>
    <t>1700_4B49</t>
  </si>
  <si>
    <t>1700_4D49</t>
  </si>
  <si>
    <t>1700_4F49</t>
  </si>
  <si>
    <t>1700_5149</t>
  </si>
  <si>
    <t>1700_5349</t>
  </si>
  <si>
    <t>1700_5549</t>
  </si>
  <si>
    <t>1700_5749</t>
  </si>
  <si>
    <t>1700_5949</t>
  </si>
  <si>
    <t>1700_5B49</t>
  </si>
  <si>
    <t>1700_5D49</t>
  </si>
  <si>
    <t>1700_5F49</t>
  </si>
  <si>
    <t>1700_6149</t>
  </si>
  <si>
    <t>1700_6349</t>
  </si>
  <si>
    <t>1700_6549</t>
  </si>
  <si>
    <t>1700_6749</t>
  </si>
  <si>
    <t>1700_6949</t>
  </si>
  <si>
    <t>1700_6B49</t>
  </si>
  <si>
    <t>1700_6D49</t>
  </si>
  <si>
    <t>1700_6F49</t>
  </si>
  <si>
    <t>1700_7149</t>
  </si>
  <si>
    <t>1700_7349</t>
  </si>
  <si>
    <t>1700_7549</t>
  </si>
  <si>
    <t>1700_7749</t>
  </si>
  <si>
    <t>1700_7949</t>
  </si>
  <si>
    <t>1700_7B49</t>
  </si>
  <si>
    <t>1700_7D49</t>
  </si>
  <si>
    <t>1700_7F49</t>
  </si>
  <si>
    <t>1700_014A</t>
  </si>
  <si>
    <t>1700_034A</t>
  </si>
  <si>
    <t>1700_054A</t>
  </si>
  <si>
    <t>1700_074A</t>
  </si>
  <si>
    <t>1700_094A</t>
  </si>
  <si>
    <t>1700_0B4A</t>
  </si>
  <si>
    <t>1700_0D4A</t>
  </si>
  <si>
    <t>1700_0F4A</t>
  </si>
  <si>
    <t>1700_114A</t>
  </si>
  <si>
    <t>1700_134A</t>
  </si>
  <si>
    <t>1700_154A</t>
  </si>
  <si>
    <t>1700_174A</t>
  </si>
  <si>
    <t>1700_194A</t>
  </si>
  <si>
    <t>1700_1B4A</t>
  </si>
  <si>
    <t>1700_1D4A</t>
  </si>
  <si>
    <t>1700_1F4A</t>
  </si>
  <si>
    <t>1700_214A</t>
  </si>
  <si>
    <t>1700_234A</t>
  </si>
  <si>
    <t>1700_254A</t>
  </si>
  <si>
    <t>1700_274A</t>
  </si>
  <si>
    <t>1700_294A</t>
  </si>
  <si>
    <t>1700_2B4A</t>
  </si>
  <si>
    <t>1700_2D4A</t>
  </si>
  <si>
    <t>1700_2F4A</t>
  </si>
  <si>
    <t>1700_314A</t>
  </si>
  <si>
    <t>1700_334A</t>
  </si>
  <si>
    <t>1700_354A</t>
  </si>
  <si>
    <t>1700_374A</t>
  </si>
  <si>
    <t>1700_394A</t>
  </si>
  <si>
    <t>1700_3B4A</t>
  </si>
  <si>
    <t>1700_3D4A</t>
  </si>
  <si>
    <t>1700_3F4A</t>
  </si>
  <si>
    <t>1700_414A</t>
  </si>
  <si>
    <t>1700_434A</t>
  </si>
  <si>
    <t>1700_454A</t>
  </si>
  <si>
    <t>1700_474A</t>
  </si>
  <si>
    <t>1700_494A</t>
  </si>
  <si>
    <t>1700_4B4A</t>
  </si>
  <si>
    <t>1700_4D4A</t>
  </si>
  <si>
    <t>1700_4F4A</t>
  </si>
  <si>
    <t>1700_514A</t>
  </si>
  <si>
    <t>1700_534A</t>
  </si>
  <si>
    <t>1700_554A</t>
  </si>
  <si>
    <t>1700_574A</t>
  </si>
  <si>
    <t>1700_594A</t>
  </si>
  <si>
    <t>1700_5B4A</t>
  </si>
  <si>
    <t>1700_5D4A</t>
  </si>
  <si>
    <t>1700_5F4A</t>
  </si>
  <si>
    <t>1700_614A</t>
  </si>
  <si>
    <t>1700_634A</t>
  </si>
  <si>
    <t>1700_654A</t>
  </si>
  <si>
    <t>1700_674A</t>
  </si>
  <si>
    <t>1700_694A</t>
  </si>
  <si>
    <t>1700_6B4A</t>
  </si>
  <si>
    <t>1700_6D4A</t>
  </si>
  <si>
    <t>1700_6F4A</t>
  </si>
  <si>
    <t>1700_714A</t>
  </si>
  <si>
    <t>1700_734A</t>
  </si>
  <si>
    <t>1700_754A</t>
  </si>
  <si>
    <t>1700_774A</t>
  </si>
  <si>
    <t>1700_794A</t>
  </si>
  <si>
    <t>1700_7B4A</t>
  </si>
  <si>
    <t>1700_7D4A</t>
  </si>
  <si>
    <t>1700_7F4A</t>
  </si>
  <si>
    <t>1700_014B</t>
  </si>
  <si>
    <t>1700_034B</t>
  </si>
  <si>
    <t>1700_054B</t>
  </si>
  <si>
    <t>1700_074B</t>
  </si>
  <si>
    <t>1700_094B</t>
  </si>
  <si>
    <t>1700_0B4B</t>
  </si>
  <si>
    <t>1700_0D4B</t>
  </si>
  <si>
    <t>1700_0F4B</t>
  </si>
  <si>
    <t>1700_114B</t>
  </si>
  <si>
    <t>1700_134B</t>
  </si>
  <si>
    <t>1700_154B</t>
  </si>
  <si>
    <t>1700_174B</t>
  </si>
  <si>
    <t>1700_194B</t>
  </si>
  <si>
    <t>1700_1B4B</t>
  </si>
  <si>
    <t>1700_1D4B</t>
  </si>
  <si>
    <t>1700_1F4B</t>
  </si>
  <si>
    <t>1700_214B</t>
  </si>
  <si>
    <t>1700_234B</t>
  </si>
  <si>
    <t>1700_254B</t>
  </si>
  <si>
    <t>1700_274B</t>
  </si>
  <si>
    <t>1700_294B</t>
  </si>
  <si>
    <t>1700_2B4B</t>
  </si>
  <si>
    <t>1700_2D4B</t>
  </si>
  <si>
    <t>1700_2F4B</t>
  </si>
  <si>
    <t>1700_314B</t>
  </si>
  <si>
    <t>1700_334B</t>
  </si>
  <si>
    <t>1700_354B</t>
  </si>
  <si>
    <t>1700_374B</t>
  </si>
  <si>
    <t>1700_394B</t>
  </si>
  <si>
    <t>1700_3B4B</t>
  </si>
  <si>
    <t>1700_3D4B</t>
  </si>
  <si>
    <t>1700_3F4B</t>
  </si>
  <si>
    <t>1700_414B</t>
  </si>
  <si>
    <t>1700_434B</t>
  </si>
  <si>
    <t>1700_454B</t>
  </si>
  <si>
    <t>1700_474B</t>
  </si>
  <si>
    <t>1700_494B</t>
  </si>
  <si>
    <t>1700_4B4B</t>
  </si>
  <si>
    <t>1700_4D4B</t>
  </si>
  <si>
    <t>1700_4F4B</t>
  </si>
  <si>
    <t>1700_514B</t>
  </si>
  <si>
    <t>1700_534B</t>
  </si>
  <si>
    <t>1700_554B</t>
  </si>
  <si>
    <t>1700_574B</t>
  </si>
  <si>
    <t>1700_594B</t>
  </si>
  <si>
    <t>1700_5B4B</t>
  </si>
  <si>
    <t>1700_5D4B</t>
  </si>
  <si>
    <t>1700_5F4B</t>
  </si>
  <si>
    <t>1700_614B</t>
  </si>
  <si>
    <t>1700_634B</t>
  </si>
  <si>
    <t>1700_654B</t>
  </si>
  <si>
    <t>1700_674B</t>
  </si>
  <si>
    <t>1700_694B</t>
  </si>
  <si>
    <t>1700_6B4B</t>
  </si>
  <si>
    <t>1700_6D4B</t>
  </si>
  <si>
    <t>1700_6F4B</t>
  </si>
  <si>
    <t>1700_714B</t>
  </si>
  <si>
    <t>1700_734B</t>
  </si>
  <si>
    <t>1700_754B</t>
  </si>
  <si>
    <t>1700_774B</t>
  </si>
  <si>
    <t>1700_794B</t>
  </si>
  <si>
    <t>1700_7B4B</t>
  </si>
  <si>
    <t>1700_7D4B</t>
  </si>
  <si>
    <t>1700_7F4B</t>
  </si>
  <si>
    <t>1700_014C</t>
  </si>
  <si>
    <t>1700_034C</t>
  </si>
  <si>
    <t>1700_054C</t>
  </si>
  <si>
    <t>1700_074C</t>
  </si>
  <si>
    <t>1700_094C</t>
  </si>
  <si>
    <t>1700_0B4C</t>
  </si>
  <si>
    <t>1700_0D4C</t>
  </si>
  <si>
    <t>1700_0F4C</t>
  </si>
  <si>
    <t>1700_114C</t>
  </si>
  <si>
    <t>1700_134C</t>
  </si>
  <si>
    <t>1700_154C</t>
  </si>
  <si>
    <t>1700_174C</t>
  </si>
  <si>
    <t>1700_194C</t>
  </si>
  <si>
    <t>1700_1B4C</t>
  </si>
  <si>
    <t>1700_1D4C</t>
  </si>
  <si>
    <t>1700_1F4C</t>
  </si>
  <si>
    <t>1700_214C</t>
  </si>
  <si>
    <t>1700_234C</t>
  </si>
  <si>
    <t>1700_254C</t>
  </si>
  <si>
    <t>1700_274C</t>
  </si>
  <si>
    <t>1700_294C</t>
  </si>
  <si>
    <t>1700_2B4C</t>
  </si>
  <si>
    <t>1700_2D4C</t>
  </si>
  <si>
    <t>1700_2F4C</t>
  </si>
  <si>
    <t>1700_314C</t>
  </si>
  <si>
    <t>1700_334C</t>
  </si>
  <si>
    <t>1700_354C</t>
  </si>
  <si>
    <t>1700_374C</t>
  </si>
  <si>
    <t>1700_394C</t>
  </si>
  <si>
    <t>1700_3B4C</t>
  </si>
  <si>
    <t>1700_3D4C</t>
  </si>
  <si>
    <t>1700_3F4C</t>
  </si>
  <si>
    <t>1700_414C</t>
  </si>
  <si>
    <t>1700_434C</t>
  </si>
  <si>
    <t>1700_454C</t>
  </si>
  <si>
    <t>1700_474C</t>
  </si>
  <si>
    <t>1700_494C</t>
  </si>
  <si>
    <t>1700_4B4C</t>
  </si>
  <si>
    <t>1700_4D4C</t>
  </si>
  <si>
    <t>1700_4F4C</t>
  </si>
  <si>
    <t>1700_514C</t>
  </si>
  <si>
    <t>1700_534C</t>
  </si>
  <si>
    <t>1700_554C</t>
  </si>
  <si>
    <t>1700_574C</t>
  </si>
  <si>
    <t>1700_594C</t>
  </si>
  <si>
    <t>1700_5B4C</t>
  </si>
  <si>
    <t>1700_5D4C</t>
  </si>
  <si>
    <t>1700_5F4C</t>
  </si>
  <si>
    <t>1700_614C</t>
  </si>
  <si>
    <t>1700_634C</t>
  </si>
  <si>
    <t>1700_654C</t>
  </si>
  <si>
    <t>1700_674C</t>
  </si>
  <si>
    <t>1700_694C</t>
  </si>
  <si>
    <t>1700_6B4C</t>
  </si>
  <si>
    <t>1700_6D4C</t>
  </si>
  <si>
    <t>1700_6F4C</t>
  </si>
  <si>
    <t>1700_714C</t>
  </si>
  <si>
    <t>1700_734C</t>
  </si>
  <si>
    <t>1700_754C</t>
  </si>
  <si>
    <t>1700_774C</t>
  </si>
  <si>
    <t>1700_794C</t>
  </si>
  <si>
    <t>1700_7B4C</t>
  </si>
  <si>
    <t>1700_7D4C</t>
  </si>
  <si>
    <t>1700_7F4C</t>
  </si>
  <si>
    <t>1700_014D</t>
  </si>
  <si>
    <t>1700_034D</t>
  </si>
  <si>
    <t>1700_054D</t>
  </si>
  <si>
    <t>1700_074D</t>
  </si>
  <si>
    <t>1700_094D</t>
  </si>
  <si>
    <t>1700_0B4D</t>
  </si>
  <si>
    <t>1700_0D4D</t>
  </si>
  <si>
    <t>1700_0F4D</t>
  </si>
  <si>
    <t>1700_114D</t>
  </si>
  <si>
    <t>1700_134D</t>
  </si>
  <si>
    <t>1700_154D</t>
  </si>
  <si>
    <t>1700_174D</t>
  </si>
  <si>
    <t>1700_194D</t>
  </si>
  <si>
    <t>1700_1B4D</t>
  </si>
  <si>
    <t>1700_1D4D</t>
  </si>
  <si>
    <t>1700_1F4D</t>
  </si>
  <si>
    <t>1700_214D</t>
  </si>
  <si>
    <t>1700_234D</t>
  </si>
  <si>
    <t>1700_254D</t>
  </si>
  <si>
    <t>1700_274D</t>
  </si>
  <si>
    <t>1700_294D</t>
  </si>
  <si>
    <t>1700_2B4D</t>
  </si>
  <si>
    <t>1700_2D4D</t>
  </si>
  <si>
    <t>1700_2F4D</t>
  </si>
  <si>
    <t>1700_314D</t>
  </si>
  <si>
    <t>1700_334D</t>
  </si>
  <si>
    <t>1700_354D</t>
  </si>
  <si>
    <t>1700_374D</t>
  </si>
  <si>
    <t>1700_394D</t>
  </si>
  <si>
    <t>1700_3B4D</t>
  </si>
  <si>
    <t>1700_3D4D</t>
  </si>
  <si>
    <t>1700_3F4D</t>
  </si>
  <si>
    <t>1700_414D</t>
  </si>
  <si>
    <t>1700_434D</t>
  </si>
  <si>
    <t>1700_454D</t>
  </si>
  <si>
    <t>1700_474D</t>
  </si>
  <si>
    <t>1700_494D</t>
  </si>
  <si>
    <t>1700_4B4D</t>
  </si>
  <si>
    <t>1700_4D4D</t>
  </si>
  <si>
    <t>1700_4F4D</t>
  </si>
  <si>
    <t>1700_514D</t>
  </si>
  <si>
    <t>1700_534D</t>
  </si>
  <si>
    <t>1700_554D</t>
  </si>
  <si>
    <t>1700_574D</t>
  </si>
  <si>
    <t>1700_594D</t>
  </si>
  <si>
    <t>1700_5B4D</t>
  </si>
  <si>
    <t>1700_5D4D</t>
  </si>
  <si>
    <t>1700_5F4D</t>
  </si>
  <si>
    <t>1700_614D</t>
  </si>
  <si>
    <t>1700_634D</t>
  </si>
  <si>
    <t>1700_654D</t>
  </si>
  <si>
    <t>1700_674D</t>
  </si>
  <si>
    <t>1700_694D</t>
  </si>
  <si>
    <t>1700_6B4D</t>
  </si>
  <si>
    <t>1700_6D4D</t>
  </si>
  <si>
    <t>1700_6F4D</t>
  </si>
  <si>
    <t>1700_714D</t>
  </si>
  <si>
    <t>1700_734D</t>
  </si>
  <si>
    <t>1700_754D</t>
  </si>
  <si>
    <t>1700_774D</t>
  </si>
  <si>
    <t>1700_794D</t>
  </si>
  <si>
    <t>1700_7B4D</t>
  </si>
  <si>
    <t>1700_7D4D</t>
  </si>
  <si>
    <t>1700_7F4D</t>
  </si>
  <si>
    <t>1700_014E</t>
  </si>
  <si>
    <t>1700_034E</t>
  </si>
  <si>
    <t>1700_054E</t>
  </si>
  <si>
    <t>1700_074E</t>
  </si>
  <si>
    <t>1700_094E</t>
  </si>
  <si>
    <t>1700_0B4E</t>
  </si>
  <si>
    <t>1700_0D4E</t>
  </si>
  <si>
    <t>1700_0F4E</t>
  </si>
  <si>
    <t>1700_114E</t>
  </si>
  <si>
    <t>1700_134E</t>
  </si>
  <si>
    <t>1700_154E</t>
  </si>
  <si>
    <t>1700_174E</t>
  </si>
  <si>
    <t>1700_194E</t>
  </si>
  <si>
    <t>1700_1B4E</t>
  </si>
  <si>
    <t>1700_1D4E</t>
  </si>
  <si>
    <t>1700_1F4E</t>
  </si>
  <si>
    <t>1700_214E</t>
  </si>
  <si>
    <t>1700_234E</t>
  </si>
  <si>
    <t>1700_254E</t>
  </si>
  <si>
    <t>1700_274E</t>
  </si>
  <si>
    <t>1700_294E</t>
  </si>
  <si>
    <t>1700_2B4E</t>
  </si>
  <si>
    <t>1700_2D4E</t>
  </si>
  <si>
    <t>1700_2F4E</t>
  </si>
  <si>
    <t>1700_314E</t>
  </si>
  <si>
    <t>1700_334E</t>
  </si>
  <si>
    <t>1700_354E</t>
  </si>
  <si>
    <t>1700_374E</t>
  </si>
  <si>
    <t>1700_394E</t>
  </si>
  <si>
    <t>1700_3B4E</t>
  </si>
  <si>
    <t>1700_3D4E</t>
  </si>
  <si>
    <t>1700_3F4E</t>
  </si>
  <si>
    <t>1700_414E</t>
  </si>
  <si>
    <t>1700_434E</t>
  </si>
  <si>
    <t>1700_454E</t>
  </si>
  <si>
    <t>1700_474E</t>
  </si>
  <si>
    <t>1700_494E</t>
  </si>
  <si>
    <t>1700_4B4E</t>
  </si>
  <si>
    <t>1700_4D4E</t>
  </si>
  <si>
    <t>1700_4F4E</t>
  </si>
  <si>
    <t>1700_514E</t>
  </si>
  <si>
    <t>1700_534E</t>
  </si>
  <si>
    <t>1700_554E</t>
  </si>
  <si>
    <t>1700_574E</t>
  </si>
  <si>
    <t>1700_594E</t>
  </si>
  <si>
    <t>1700_5B4E</t>
  </si>
  <si>
    <t>1700_5D4E</t>
  </si>
  <si>
    <t>1700_5F4E</t>
  </si>
  <si>
    <t>1700_614E</t>
  </si>
  <si>
    <t>1700_634E</t>
  </si>
  <si>
    <t>1700_654E</t>
  </si>
  <si>
    <t>1700_674E</t>
  </si>
  <si>
    <t>1700_694E</t>
  </si>
  <si>
    <t>1700_6B4E</t>
  </si>
  <si>
    <t>1700_6D4E</t>
  </si>
  <si>
    <t>1700_6F4E</t>
  </si>
  <si>
    <t>1700_714E</t>
  </si>
  <si>
    <t>1700_734E</t>
  </si>
  <si>
    <t>1700_754E</t>
  </si>
  <si>
    <t>1700_774E</t>
  </si>
  <si>
    <t>1700_794E</t>
  </si>
  <si>
    <t>1700_7B4E</t>
  </si>
  <si>
    <t>1700_7D4E</t>
  </si>
  <si>
    <t>1700_7F4E</t>
  </si>
  <si>
    <t>1700_014F</t>
  </si>
  <si>
    <t>1700_034F</t>
  </si>
  <si>
    <t>1700_054F</t>
  </si>
  <si>
    <t>1700_074F</t>
  </si>
  <si>
    <t>1700_094F</t>
  </si>
  <si>
    <t>1700_0B4F</t>
  </si>
  <si>
    <t>1700_0D4F</t>
  </si>
  <si>
    <t>1700_0F4F</t>
  </si>
  <si>
    <t>1700_114F</t>
  </si>
  <si>
    <t>1700_134F</t>
  </si>
  <si>
    <t>1700_154F</t>
  </si>
  <si>
    <t>1700_174F</t>
  </si>
  <si>
    <t>1700_194F</t>
  </si>
  <si>
    <t>1700_1B4F</t>
  </si>
  <si>
    <t>1700_1D4F</t>
  </si>
  <si>
    <t>1700_1F4F</t>
  </si>
  <si>
    <t>1700_214F</t>
  </si>
  <si>
    <t>1700_234F</t>
  </si>
  <si>
    <t>1700_254F</t>
  </si>
  <si>
    <t>1700_274F</t>
  </si>
  <si>
    <t>1700_294F</t>
  </si>
  <si>
    <t>1700_2B4F</t>
  </si>
  <si>
    <t>1700_2D4F</t>
  </si>
  <si>
    <t>1700_2F4F</t>
  </si>
  <si>
    <t>1700_314F</t>
  </si>
  <si>
    <t>1700_334F</t>
  </si>
  <si>
    <t>1700_354F</t>
  </si>
  <si>
    <t>1700_374F</t>
  </si>
  <si>
    <t>1700_394F</t>
  </si>
  <si>
    <t>1700_3B4F</t>
  </si>
  <si>
    <t>1700_3D4F</t>
  </si>
  <si>
    <t>1700_3F4F</t>
  </si>
  <si>
    <t>1700_414F</t>
  </si>
  <si>
    <t>1700_434F</t>
  </si>
  <si>
    <t>1700_454F</t>
  </si>
  <si>
    <t>1700_474F</t>
  </si>
  <si>
    <t>1700_494F</t>
  </si>
  <si>
    <t>1700_4B4F</t>
  </si>
  <si>
    <t>1700_4D4F</t>
  </si>
  <si>
    <t>1700_4F4F</t>
  </si>
  <si>
    <t>1700_514F</t>
  </si>
  <si>
    <t>1700_534F</t>
  </si>
  <si>
    <t>1700_554F</t>
  </si>
  <si>
    <t>1700_574F</t>
  </si>
  <si>
    <t>1700_594F</t>
  </si>
  <si>
    <t>1700_5B4F</t>
  </si>
  <si>
    <t>1700_5D4F</t>
  </si>
  <si>
    <t>1700_5F4F</t>
  </si>
  <si>
    <t>1700_614F</t>
  </si>
  <si>
    <t>1700_634F</t>
  </si>
  <si>
    <t>1700_654F</t>
  </si>
  <si>
    <t>1700_674F</t>
  </si>
  <si>
    <t>1700_694F</t>
  </si>
  <si>
    <t>1700_6B4F</t>
  </si>
  <si>
    <t>1700_6D4F</t>
  </si>
  <si>
    <t>1700_6F4F</t>
  </si>
  <si>
    <t>1700_714F</t>
  </si>
  <si>
    <t>1700_734F</t>
  </si>
  <si>
    <t>1700_754F</t>
  </si>
  <si>
    <t>1700_774F</t>
  </si>
  <si>
    <t>1700_794F</t>
  </si>
  <si>
    <t>1700_7B4F</t>
  </si>
  <si>
    <t>1700_7D4F</t>
  </si>
  <si>
    <t>1700_7F4F</t>
  </si>
  <si>
    <t>1700_0150</t>
  </si>
  <si>
    <t>1700_0350</t>
  </si>
  <si>
    <t>1700_0550</t>
  </si>
  <si>
    <t>1700_0750</t>
  </si>
  <si>
    <t>1700_0950</t>
  </si>
  <si>
    <t>1700_0B50</t>
  </si>
  <si>
    <t>1700_0D50</t>
  </si>
  <si>
    <t>1700_0F50</t>
  </si>
  <si>
    <t>1700_1150</t>
  </si>
  <si>
    <t>1700_1350</t>
  </si>
  <si>
    <t>1700_1550</t>
  </si>
  <si>
    <t>1700_1750</t>
  </si>
  <si>
    <t>1700_1950</t>
  </si>
  <si>
    <t>1700_1B50</t>
  </si>
  <si>
    <t>1700_1D50</t>
  </si>
  <si>
    <t>1700_1F50</t>
  </si>
  <si>
    <t>1700_2150</t>
  </si>
  <si>
    <t>1700_2350</t>
  </si>
  <si>
    <t>1700_2550</t>
  </si>
  <si>
    <t>1700_2750</t>
  </si>
  <si>
    <t>1700_2950</t>
  </si>
  <si>
    <t>1700_2B50</t>
  </si>
  <si>
    <t>1700_2D50</t>
  </si>
  <si>
    <t>1700_2F50</t>
  </si>
  <si>
    <t>1700_3150</t>
  </si>
  <si>
    <t>1700_3350</t>
  </si>
  <si>
    <t>1700_3550</t>
  </si>
  <si>
    <t>1700_3750</t>
  </si>
  <si>
    <t>1700_3950</t>
  </si>
  <si>
    <t>1700_3B50</t>
  </si>
  <si>
    <t>1700_3D50</t>
  </si>
  <si>
    <t>1700_3F50</t>
  </si>
  <si>
    <t>1700_4150</t>
  </si>
  <si>
    <t>1700_4350</t>
  </si>
  <si>
    <t>1700_4550</t>
  </si>
  <si>
    <t>1700_4750</t>
  </si>
  <si>
    <t>1700_4950</t>
  </si>
  <si>
    <t>1700_4B50</t>
  </si>
  <si>
    <t>1700_4D50</t>
  </si>
  <si>
    <t>1700_4F50</t>
  </si>
  <si>
    <t>1700_5150</t>
  </si>
  <si>
    <t>1700_5350</t>
  </si>
  <si>
    <t>1700_5550</t>
  </si>
  <si>
    <t>1700_5750</t>
  </si>
  <si>
    <t>1700_5950</t>
  </si>
  <si>
    <t>1700_5B50</t>
  </si>
  <si>
    <t>1700_5D50</t>
  </si>
  <si>
    <t>1700_5F50</t>
  </si>
  <si>
    <t>1700_6150</t>
  </si>
  <si>
    <t>1700_6350</t>
  </si>
  <si>
    <t>1700_6550</t>
  </si>
  <si>
    <t>1700_6750</t>
  </si>
  <si>
    <t>1700_6950</t>
  </si>
  <si>
    <t>1700_6B50</t>
  </si>
  <si>
    <t>1700_6D50</t>
  </si>
  <si>
    <t>1700_6F50</t>
  </si>
  <si>
    <t>1700_7150</t>
  </si>
  <si>
    <t>1700_7350</t>
  </si>
  <si>
    <t>1700_7550</t>
  </si>
  <si>
    <t>1700_7750</t>
  </si>
  <si>
    <t>1700_7950</t>
  </si>
  <si>
    <t>1700_7B50</t>
  </si>
  <si>
    <t>1700_7D50</t>
  </si>
  <si>
    <t>1700_7F50</t>
  </si>
  <si>
    <t>1700_0151</t>
  </si>
  <si>
    <t>1700_0351</t>
  </si>
  <si>
    <t>1700_0551</t>
  </si>
  <si>
    <t>1700_0751</t>
  </si>
  <si>
    <t>1700_0951</t>
  </si>
  <si>
    <t>1700_0B51</t>
  </si>
  <si>
    <t>1700_0D51</t>
  </si>
  <si>
    <t>1700_0F51</t>
  </si>
  <si>
    <t>1700_1151</t>
  </si>
  <si>
    <t>1700_1351</t>
  </si>
  <si>
    <t>1700_1551</t>
  </si>
  <si>
    <t>1700_1751</t>
  </si>
  <si>
    <t>1700_1951</t>
  </si>
  <si>
    <t>1700_1B51</t>
  </si>
  <si>
    <t>1700_1D51</t>
  </si>
  <si>
    <t>1700_1F51</t>
  </si>
  <si>
    <t>1700_2151</t>
  </si>
  <si>
    <t>1700_2351</t>
  </si>
  <si>
    <t>1700_2551</t>
  </si>
  <si>
    <t>1700_2751</t>
  </si>
  <si>
    <t>1700_2951</t>
  </si>
  <si>
    <t>1700_2B51</t>
  </si>
  <si>
    <t>1700_2D51</t>
  </si>
  <si>
    <t>1700_2F51</t>
  </si>
  <si>
    <t>1700_3151</t>
  </si>
  <si>
    <t>1700_3351</t>
  </si>
  <si>
    <t>1700_3551</t>
  </si>
  <si>
    <t>1700_3751</t>
  </si>
  <si>
    <t>1700_3951</t>
  </si>
  <si>
    <t>1700_3B51</t>
  </si>
  <si>
    <t>1700_3D51</t>
  </si>
  <si>
    <t>1700_3F51</t>
  </si>
  <si>
    <t>1700_4151</t>
  </si>
  <si>
    <t>1700_4351</t>
  </si>
  <si>
    <t>1700_4551</t>
  </si>
  <si>
    <t>1700_4751</t>
  </si>
  <si>
    <t>1700_4951</t>
  </si>
  <si>
    <t>1700_4B51</t>
  </si>
  <si>
    <t>1700_4D51</t>
  </si>
  <si>
    <t>1700_4F51</t>
  </si>
  <si>
    <t>1700_5151</t>
  </si>
  <si>
    <t>1700_5351</t>
  </si>
  <si>
    <t>1700_5551</t>
  </si>
  <si>
    <t>1700_5751</t>
  </si>
  <si>
    <t>1700_5951</t>
  </si>
  <si>
    <t>1700_5B51</t>
  </si>
  <si>
    <t>1700_5D51</t>
  </si>
  <si>
    <t>1700_5F51</t>
  </si>
  <si>
    <t>1700_6151</t>
  </si>
  <si>
    <t>1700_6351</t>
  </si>
  <si>
    <t>1700_6551</t>
  </si>
  <si>
    <t>1700_6751</t>
  </si>
  <si>
    <t>1700_6951</t>
  </si>
  <si>
    <t>1700_6B51</t>
  </si>
  <si>
    <t>1700_6D51</t>
  </si>
  <si>
    <t>1700_6F51</t>
  </si>
  <si>
    <t>1700_7151</t>
  </si>
  <si>
    <t>1700_7351</t>
  </si>
  <si>
    <t>1700_7551</t>
  </si>
  <si>
    <t>1700_7751</t>
  </si>
  <si>
    <t>1700_7951</t>
  </si>
  <si>
    <t>1700_7B51</t>
  </si>
  <si>
    <t>1700_7D51</t>
  </si>
  <si>
    <t>1700_7F51</t>
  </si>
  <si>
    <t>1700_0152</t>
  </si>
  <si>
    <t>1700_0352</t>
  </si>
  <si>
    <t>1700_0552</t>
  </si>
  <si>
    <t>1700_0752</t>
  </si>
  <si>
    <t>1700_0952</t>
  </si>
  <si>
    <t>1700_0B52</t>
  </si>
  <si>
    <t>1700_0D52</t>
  </si>
  <si>
    <t>1700_0F52</t>
  </si>
  <si>
    <t>1700_1152</t>
  </si>
  <si>
    <t>1700_1352</t>
  </si>
  <si>
    <t>1700_1552</t>
  </si>
  <si>
    <t>1700_1752</t>
  </si>
  <si>
    <t>1700_1952</t>
  </si>
  <si>
    <t>1700_1B52</t>
  </si>
  <si>
    <t>1700_1D52</t>
  </si>
  <si>
    <t>1700_1F52</t>
  </si>
  <si>
    <t>1700_2152</t>
  </si>
  <si>
    <t>1700_2352</t>
  </si>
  <si>
    <t>1700_2552</t>
  </si>
  <si>
    <t>1700_2752</t>
  </si>
  <si>
    <t>1700_2952</t>
  </si>
  <si>
    <t>1700_2B52</t>
  </si>
  <si>
    <t>1700_2D52</t>
  </si>
  <si>
    <t>1700_2F52</t>
  </si>
  <si>
    <t>1700_3152</t>
  </si>
  <si>
    <t>1700_3352</t>
  </si>
  <si>
    <t>1700_3552</t>
  </si>
  <si>
    <t>1700_3752</t>
  </si>
  <si>
    <t>1700_3952</t>
  </si>
  <si>
    <t>1700_3B52</t>
  </si>
  <si>
    <t>1700_3D52</t>
  </si>
  <si>
    <t>1700_3F52</t>
  </si>
  <si>
    <t>1700_4152</t>
  </si>
  <si>
    <t>1700_4352</t>
  </si>
  <si>
    <t>1700_4552</t>
  </si>
  <si>
    <t>1700_4752</t>
  </si>
  <si>
    <t>1700_4952</t>
  </si>
  <si>
    <t>1700_4B52</t>
  </si>
  <si>
    <t>1700_4D52</t>
  </si>
  <si>
    <t>1700_4F52</t>
  </si>
  <si>
    <t>1700_5152</t>
  </si>
  <si>
    <t>1700_5352</t>
  </si>
  <si>
    <t>1700_5552</t>
  </si>
  <si>
    <t>1700_5752</t>
  </si>
  <si>
    <t>1700_5952</t>
  </si>
  <si>
    <t>1700_5B52</t>
  </si>
  <si>
    <t>1700_5D52</t>
  </si>
  <si>
    <t>1700_5F52</t>
  </si>
  <si>
    <t>1700_6152</t>
  </si>
  <si>
    <t>1700_6352</t>
  </si>
  <si>
    <t>1700_6552</t>
  </si>
  <si>
    <t>1700_6752</t>
  </si>
  <si>
    <t>1700_6952</t>
  </si>
  <si>
    <t>1700_6B52</t>
  </si>
  <si>
    <t>1700_6D52</t>
  </si>
  <si>
    <t>1700_6F52</t>
  </si>
  <si>
    <t>1700_7152</t>
  </si>
  <si>
    <t>1700_7352</t>
  </si>
  <si>
    <t>1700_7552</t>
  </si>
  <si>
    <t>1700_7752</t>
  </si>
  <si>
    <t>1700_7952</t>
  </si>
  <si>
    <t>1700_7B52</t>
  </si>
  <si>
    <t>1700_7D52</t>
  </si>
  <si>
    <t>1700_7F52</t>
  </si>
  <si>
    <t>1700_0153</t>
  </si>
  <si>
    <t>1700_0353</t>
  </si>
  <si>
    <t>1700_0553</t>
  </si>
  <si>
    <t>1700_0753</t>
  </si>
  <si>
    <t>1700_0953</t>
  </si>
  <si>
    <t>1700_0B53</t>
  </si>
  <si>
    <t>1700_0D53</t>
  </si>
  <si>
    <t>1700_0F53</t>
  </si>
  <si>
    <t>1700_1153</t>
  </si>
  <si>
    <t>1700_1353</t>
  </si>
  <si>
    <t>1700_1553</t>
  </si>
  <si>
    <t>1700_1753</t>
  </si>
  <si>
    <t>1700_1953</t>
  </si>
  <si>
    <t>1700_1B53</t>
  </si>
  <si>
    <t>1700_1D53</t>
  </si>
  <si>
    <t>1700_1F53</t>
  </si>
  <si>
    <t>1700_2153</t>
  </si>
  <si>
    <t>1700_2353</t>
  </si>
  <si>
    <t>1700_2553</t>
  </si>
  <si>
    <t>1700_2753</t>
  </si>
  <si>
    <t>1700_2953</t>
  </si>
  <si>
    <t>1700_2B53</t>
  </si>
  <si>
    <t>1700_2D53</t>
  </si>
  <si>
    <t>1700_2F53</t>
  </si>
  <si>
    <t>1700_3153</t>
  </si>
  <si>
    <t>1700_3353</t>
  </si>
  <si>
    <t>1700_3553</t>
  </si>
  <si>
    <t>1700_3753</t>
  </si>
  <si>
    <t>1700_3953</t>
  </si>
  <si>
    <t>1700_3B53</t>
  </si>
  <si>
    <t>1700_3D53</t>
  </si>
  <si>
    <t>1700_3F53</t>
  </si>
  <si>
    <t>1700_4153</t>
  </si>
  <si>
    <t>1700_4353</t>
  </si>
  <si>
    <t>1700_4553</t>
  </si>
  <si>
    <t>1700_4753</t>
  </si>
  <si>
    <t>1700_4953</t>
  </si>
  <si>
    <t>1700_4B53</t>
  </si>
  <si>
    <t>1700_4D53</t>
  </si>
  <si>
    <t>1700_4F53</t>
  </si>
  <si>
    <t>1700_5153</t>
  </si>
  <si>
    <t>1700_5353</t>
  </si>
  <si>
    <t>1700_5553</t>
  </si>
  <si>
    <t>1700_5753</t>
  </si>
  <si>
    <t>1700_5953</t>
  </si>
  <si>
    <t>1700_5B53</t>
  </si>
  <si>
    <t>1700_5D53</t>
  </si>
  <si>
    <t>1700_5F53</t>
  </si>
  <si>
    <t>1700_6153</t>
  </si>
  <si>
    <t>1700_6353</t>
  </si>
  <si>
    <t>1700_6553</t>
  </si>
  <si>
    <t>1700_6753</t>
  </si>
  <si>
    <t>1700_6953</t>
  </si>
  <si>
    <t>1700_6B53</t>
  </si>
  <si>
    <t>1700_6D53</t>
  </si>
  <si>
    <t>1700_6F53</t>
  </si>
  <si>
    <t>1700_7153</t>
  </si>
  <si>
    <t>1700_7353</t>
  </si>
  <si>
    <t>1700_7553</t>
  </si>
  <si>
    <t>1700_7753</t>
  </si>
  <si>
    <t>1700_7953</t>
  </si>
  <si>
    <t>1700_7B53</t>
  </si>
  <si>
    <t>1700_7D53</t>
  </si>
  <si>
    <t>1700_7F53</t>
  </si>
  <si>
    <t>1700_0154</t>
  </si>
  <si>
    <t>1700_0354</t>
  </si>
  <si>
    <t>1700_0554</t>
  </si>
  <si>
    <t>1700_0754</t>
  </si>
  <si>
    <t>1700_0954</t>
  </si>
  <si>
    <t>1700_0B54</t>
  </si>
  <si>
    <t>1700_0D54</t>
  </si>
  <si>
    <t>1700_0F54</t>
  </si>
  <si>
    <t>1700_1154</t>
  </si>
  <si>
    <t>1700_1354</t>
  </si>
  <si>
    <t>1700_1554</t>
  </si>
  <si>
    <t>1700_1754</t>
  </si>
  <si>
    <t>1700_1954</t>
  </si>
  <si>
    <t>1700_1B54</t>
  </si>
  <si>
    <t>1700_1D54</t>
  </si>
  <si>
    <t>1700_1F54</t>
  </si>
  <si>
    <t>1700_2154</t>
  </si>
  <si>
    <t>1700_2354</t>
  </si>
  <si>
    <t>1700_2554</t>
  </si>
  <si>
    <t>1700_2754</t>
  </si>
  <si>
    <t>1700_2954</t>
  </si>
  <si>
    <t>1700_2B54</t>
  </si>
  <si>
    <t>1700_2D54</t>
  </si>
  <si>
    <t>1700_2F54</t>
  </si>
  <si>
    <t>1700_3154</t>
  </si>
  <si>
    <t>1700_3354</t>
  </si>
  <si>
    <t>1700_3554</t>
  </si>
  <si>
    <t>1700_3754</t>
  </si>
  <si>
    <t>1700_3954</t>
  </si>
  <si>
    <t>1700_3B54</t>
  </si>
  <si>
    <t>1700_3D54</t>
  </si>
  <si>
    <t>1700_3F54</t>
  </si>
  <si>
    <t>1700_4154</t>
  </si>
  <si>
    <t>1700_4354</t>
  </si>
  <si>
    <t>1700_4554</t>
  </si>
  <si>
    <t>1700_4754</t>
  </si>
  <si>
    <t>1700_4954</t>
  </si>
  <si>
    <t>1700_4B54</t>
  </si>
  <si>
    <t>1700_4D54</t>
  </si>
  <si>
    <t>1700_4F54</t>
  </si>
  <si>
    <t>1700_5154</t>
  </si>
  <si>
    <t>1700_5354</t>
  </si>
  <si>
    <t>1700_5554</t>
  </si>
  <si>
    <t>1700_5754</t>
  </si>
  <si>
    <t>1700_5954</t>
  </si>
  <si>
    <t>1700_5B54</t>
  </si>
  <si>
    <t>1700_5D54</t>
  </si>
  <si>
    <t>1700_5F54</t>
  </si>
  <si>
    <t>1700_6154</t>
  </si>
  <si>
    <t>1700_6354</t>
  </si>
  <si>
    <t>1700_6554</t>
  </si>
  <si>
    <t>1700_6754</t>
  </si>
  <si>
    <t>1700_6954</t>
  </si>
  <si>
    <t>1700_6B54</t>
  </si>
  <si>
    <t>1700_6D54</t>
  </si>
  <si>
    <t>1700_6F54</t>
  </si>
  <si>
    <t>1700_7154</t>
  </si>
  <si>
    <t>1700_7354</t>
  </si>
  <si>
    <t>1700_7554</t>
  </si>
  <si>
    <t>1700_7754</t>
  </si>
  <si>
    <t>1700_7954</t>
  </si>
  <si>
    <t>1700_7B54</t>
  </si>
  <si>
    <t>1700_7D54</t>
  </si>
  <si>
    <t>1700_7F54</t>
  </si>
  <si>
    <t>1700_0155</t>
  </si>
  <si>
    <t>1700_0355</t>
  </si>
  <si>
    <t>1700_0555</t>
  </si>
  <si>
    <t>1700_0755</t>
  </si>
  <si>
    <t>1700_0955</t>
  </si>
  <si>
    <t>1700_0B55</t>
  </si>
  <si>
    <t>1700_0D55</t>
  </si>
  <si>
    <t>1700_0F55</t>
  </si>
  <si>
    <t>1700_1155</t>
  </si>
  <si>
    <t>1700_1355</t>
  </si>
  <si>
    <t>1700_1555</t>
  </si>
  <si>
    <t>1700_1755</t>
  </si>
  <si>
    <t>1700_1955</t>
  </si>
  <si>
    <t>1700_1B55</t>
  </si>
  <si>
    <t>1700_1D55</t>
  </si>
  <si>
    <t>1700_1F55</t>
  </si>
  <si>
    <t>1700_2155</t>
  </si>
  <si>
    <t>1700_2355</t>
  </si>
  <si>
    <t>1700_2555</t>
  </si>
  <si>
    <t>1700_2755</t>
  </si>
  <si>
    <t>1700_2955</t>
  </si>
  <si>
    <t>1700_2B55</t>
  </si>
  <si>
    <t>1700_2D55</t>
  </si>
  <si>
    <t>1700_2F55</t>
  </si>
  <si>
    <t>1700_3155</t>
  </si>
  <si>
    <t>1700_3355</t>
  </si>
  <si>
    <t>1700_3555</t>
  </si>
  <si>
    <t>1700_3755</t>
  </si>
  <si>
    <t>1700_3955</t>
  </si>
  <si>
    <t>1700_3B55</t>
  </si>
  <si>
    <t>1700_3D55</t>
  </si>
  <si>
    <t>1700_3F55</t>
  </si>
  <si>
    <t>1700_4155</t>
  </si>
  <si>
    <t>1700_4355</t>
  </si>
  <si>
    <t>1700_4555</t>
  </si>
  <si>
    <t>1700_4755</t>
  </si>
  <si>
    <t>1700_4955</t>
  </si>
  <si>
    <t>1700_4B55</t>
  </si>
  <si>
    <t>1700_4D55</t>
  </si>
  <si>
    <t>1700_4F55</t>
  </si>
  <si>
    <t>1700_5155</t>
  </si>
  <si>
    <t>1700_5355</t>
  </si>
  <si>
    <t>1700_5555</t>
  </si>
  <si>
    <t>1700_5755</t>
  </si>
  <si>
    <t>1700_5955</t>
  </si>
  <si>
    <t>1700_5B55</t>
  </si>
  <si>
    <t>1700_5D55</t>
  </si>
  <si>
    <t>1700_5F55</t>
  </si>
  <si>
    <t>1700_6155</t>
  </si>
  <si>
    <t>1700_6355</t>
  </si>
  <si>
    <t>1700_6555</t>
  </si>
  <si>
    <t>1700_6755</t>
  </si>
  <si>
    <t>1700_6955</t>
  </si>
  <si>
    <t>1700_6B55</t>
  </si>
  <si>
    <t>1700_6D55</t>
  </si>
  <si>
    <t>1700_6F55</t>
  </si>
  <si>
    <t>1700_7155</t>
  </si>
  <si>
    <t>1700_7355</t>
  </si>
  <si>
    <t>1700_7555</t>
  </si>
  <si>
    <t>1700_7755</t>
  </si>
  <si>
    <t>1700_7955</t>
  </si>
  <si>
    <t>1700_7B55</t>
  </si>
  <si>
    <t>1700_7D55</t>
  </si>
  <si>
    <t>1700_7F55</t>
  </si>
  <si>
    <t>1700_0156</t>
  </si>
  <si>
    <t>1700_0356</t>
  </si>
  <si>
    <t>1700_0556</t>
  </si>
  <si>
    <t>1700_0756</t>
  </si>
  <si>
    <t>1700_0956</t>
  </si>
  <si>
    <t>1700_0B56</t>
  </si>
  <si>
    <t>1700_0D56</t>
  </si>
  <si>
    <t>1700_0F56</t>
  </si>
  <si>
    <t>1700_1156</t>
  </si>
  <si>
    <t>1700_1356</t>
  </si>
  <si>
    <t>1700_1556</t>
  </si>
  <si>
    <t>1700_1756</t>
  </si>
  <si>
    <t>1700_1956</t>
  </si>
  <si>
    <t>1700_1B56</t>
  </si>
  <si>
    <t>1700_1D56</t>
  </si>
  <si>
    <t>1700_1F56</t>
  </si>
  <si>
    <t>1700_2156</t>
  </si>
  <si>
    <t>1700_2356</t>
  </si>
  <si>
    <t>1700_2556</t>
  </si>
  <si>
    <t>1700_2756</t>
  </si>
  <si>
    <t>1700_2956</t>
  </si>
  <si>
    <t>1700_2B56</t>
  </si>
  <si>
    <t>1700_2D56</t>
  </si>
  <si>
    <t>1700_2F56</t>
  </si>
  <si>
    <t>1700_3156</t>
  </si>
  <si>
    <t>1700_3356</t>
  </si>
  <si>
    <t>1700_3556</t>
  </si>
  <si>
    <t>1700_3756</t>
  </si>
  <si>
    <t>1700_3956</t>
  </si>
  <si>
    <t>1700_3B56</t>
  </si>
  <si>
    <t>1700_3D56</t>
  </si>
  <si>
    <t>1700_3F56</t>
  </si>
  <si>
    <t>1700_4156</t>
  </si>
  <si>
    <t>1700_4356</t>
  </si>
  <si>
    <t>1700_4556</t>
  </si>
  <si>
    <t>1700_4756</t>
  </si>
  <si>
    <t>1700_4956</t>
  </si>
  <si>
    <t>1700_4B56</t>
  </si>
  <si>
    <t>1700_4D56</t>
  </si>
  <si>
    <t>1700_4F56</t>
  </si>
  <si>
    <t>1700_5156</t>
  </si>
  <si>
    <t>1700_5356</t>
  </si>
  <si>
    <t>1700_5556</t>
  </si>
  <si>
    <t>1700_5756</t>
  </si>
  <si>
    <t>1700_5956</t>
  </si>
  <si>
    <t>1700_5B56</t>
  </si>
  <si>
    <t>1700_5D56</t>
  </si>
  <si>
    <t>1700_5F56</t>
  </si>
  <si>
    <t>1700_6156</t>
  </si>
  <si>
    <t>1700_6356</t>
  </si>
  <si>
    <t>1700_6556</t>
  </si>
  <si>
    <t>1700_6756</t>
  </si>
  <si>
    <t>1700_6956</t>
  </si>
  <si>
    <t>1700_6B56</t>
  </si>
  <si>
    <t>1700_6D56</t>
  </si>
  <si>
    <t>1700_6F56</t>
  </si>
  <si>
    <t>1700_7156</t>
  </si>
  <si>
    <t>1700_7356</t>
  </si>
  <si>
    <t>1700_7556</t>
  </si>
  <si>
    <t>1700_7756</t>
  </si>
  <si>
    <t>1700_7956</t>
  </si>
  <si>
    <t>1700_7B56</t>
  </si>
  <si>
    <t>1700_7D56</t>
  </si>
  <si>
    <t>1700_7F56</t>
  </si>
  <si>
    <t>1700_0157</t>
  </si>
  <si>
    <t>1700_0357</t>
  </si>
  <si>
    <t>1700_0557</t>
  </si>
  <si>
    <t>1700_0757</t>
  </si>
  <si>
    <t>1700_0957</t>
  </si>
  <si>
    <t>1700_0B57</t>
  </si>
  <si>
    <t>1700_0D57</t>
  </si>
  <si>
    <t>1700_0F57</t>
  </si>
  <si>
    <t>1700_1157</t>
  </si>
  <si>
    <t>1700_1357</t>
  </si>
  <si>
    <t>1700_1557</t>
  </si>
  <si>
    <t>1700_1757</t>
  </si>
  <si>
    <t>1700_1957</t>
  </si>
  <si>
    <t>1700_1B57</t>
  </si>
  <si>
    <t>1700_1D57</t>
  </si>
  <si>
    <t>1700_1F57</t>
  </si>
  <si>
    <t>1700_2157</t>
  </si>
  <si>
    <t>1700_2357</t>
  </si>
  <si>
    <t>1700_2557</t>
  </si>
  <si>
    <t>1700_2757</t>
  </si>
  <si>
    <t>1700_2957</t>
  </si>
  <si>
    <t>1700_2B57</t>
  </si>
  <si>
    <t>1700_2D57</t>
  </si>
  <si>
    <t>1700_2F57</t>
  </si>
  <si>
    <t>1700_3157</t>
  </si>
  <si>
    <t>1700_3357</t>
  </si>
  <si>
    <t>1700_3557</t>
  </si>
  <si>
    <t>1700_3757</t>
  </si>
  <si>
    <t>1700_3957</t>
  </si>
  <si>
    <t>1700_3B57</t>
  </si>
  <si>
    <t>1700_3D57</t>
  </si>
  <si>
    <t>1700_3F57</t>
  </si>
  <si>
    <t>1700_4157</t>
  </si>
  <si>
    <t>1700_4357</t>
  </si>
  <si>
    <t>1700_4557</t>
  </si>
  <si>
    <t>1700_4757</t>
  </si>
  <si>
    <t>1700_4957</t>
  </si>
  <si>
    <t>1700_4B57</t>
  </si>
  <si>
    <t>1700_4D57</t>
  </si>
  <si>
    <t>1700_4F57</t>
  </si>
  <si>
    <t>1700_5157</t>
  </si>
  <si>
    <t>1700_5357</t>
  </si>
  <si>
    <t>1700_5557</t>
  </si>
  <si>
    <t>1700_5757</t>
  </si>
  <si>
    <t>1700_5957</t>
  </si>
  <si>
    <t>1700_5B57</t>
  </si>
  <si>
    <t>1700_5D57</t>
  </si>
  <si>
    <t>1700_5F57</t>
  </si>
  <si>
    <t>1700_6157</t>
  </si>
  <si>
    <t>1700_6357</t>
  </si>
  <si>
    <t>1700_6557</t>
  </si>
  <si>
    <t>1700_6757</t>
  </si>
  <si>
    <t>1700_6957</t>
  </si>
  <si>
    <t>1700_6B57</t>
  </si>
  <si>
    <t>1700_6D57</t>
  </si>
  <si>
    <t>1700_6F57</t>
  </si>
  <si>
    <t>1700_7157</t>
  </si>
  <si>
    <t>1700_7357</t>
  </si>
  <si>
    <t>1700_7557</t>
  </si>
  <si>
    <t>1700_7757</t>
  </si>
  <si>
    <t>1700_7957</t>
  </si>
  <si>
    <t>1700_7B57</t>
  </si>
  <si>
    <t>1700_7D57</t>
  </si>
  <si>
    <t>1700_7F57</t>
  </si>
  <si>
    <t>1700_0158</t>
  </si>
  <si>
    <t>1700_0358</t>
  </si>
  <si>
    <t>1700_0558</t>
  </si>
  <si>
    <t>1700_0758</t>
  </si>
  <si>
    <t>1700_0958</t>
  </si>
  <si>
    <t>1700_0B58</t>
  </si>
  <si>
    <t>1700_0D58</t>
  </si>
  <si>
    <t>1700_0F58</t>
  </si>
  <si>
    <t>1700_1158</t>
  </si>
  <si>
    <t>1700_1358</t>
  </si>
  <si>
    <t>1700_1558</t>
  </si>
  <si>
    <t>1700_1758</t>
  </si>
  <si>
    <t>1700_1958</t>
  </si>
  <si>
    <t>1700_1B58</t>
  </si>
  <si>
    <t>1700_1D58</t>
  </si>
  <si>
    <t>1700_1F58</t>
  </si>
  <si>
    <t>1700_2158</t>
  </si>
  <si>
    <t>1700_2358</t>
  </si>
  <si>
    <t>1700_2558</t>
  </si>
  <si>
    <t>1700_2758</t>
  </si>
  <si>
    <t>1700_2958</t>
  </si>
  <si>
    <t>1700_2B58</t>
  </si>
  <si>
    <t>1700_2D58</t>
  </si>
  <si>
    <t>1700_2F58</t>
  </si>
  <si>
    <t>1700_3158</t>
  </si>
  <si>
    <t>1700_3358</t>
  </si>
  <si>
    <t>1700_3558</t>
  </si>
  <si>
    <t>1700_3758</t>
  </si>
  <si>
    <t>1700_3958</t>
  </si>
  <si>
    <t>1700_3B58</t>
  </si>
  <si>
    <t>1700_3D58</t>
  </si>
  <si>
    <t>1700_3F58</t>
  </si>
  <si>
    <t>1700_4158</t>
  </si>
  <si>
    <t>1700_4358</t>
  </si>
  <si>
    <t>1700_4558</t>
  </si>
  <si>
    <t>1700_4758</t>
  </si>
  <si>
    <t>1700_4958</t>
  </si>
  <si>
    <t>1700_4B58</t>
  </si>
  <si>
    <t>1700_4D58</t>
  </si>
  <si>
    <t>1700_4F58</t>
  </si>
  <si>
    <t>1700_5158</t>
  </si>
  <si>
    <t>1700_5358</t>
  </si>
  <si>
    <t>1700_5558</t>
  </si>
  <si>
    <t>1700_5758</t>
  </si>
  <si>
    <t>1700_5958</t>
  </si>
  <si>
    <t>1700_5B58</t>
  </si>
  <si>
    <t>1700_5D58</t>
  </si>
  <si>
    <t>1700_5F58</t>
  </si>
  <si>
    <t>1700_6158</t>
  </si>
  <si>
    <t>1700_6358</t>
  </si>
  <si>
    <t>1700_6558</t>
  </si>
  <si>
    <t>1700_6758</t>
  </si>
  <si>
    <t>1700_6958</t>
  </si>
  <si>
    <t>1700_6B58</t>
  </si>
  <si>
    <t>1700_6D58</t>
  </si>
  <si>
    <t>1700_6F58</t>
  </si>
  <si>
    <t>1700_7158</t>
  </si>
  <si>
    <t>1700_7358</t>
  </si>
  <si>
    <t>1700_7558</t>
  </si>
  <si>
    <t>1700_7758</t>
  </si>
  <si>
    <t>1700_7958</t>
  </si>
  <si>
    <t>1700_7B58</t>
  </si>
  <si>
    <t>1700_7D58</t>
  </si>
  <si>
    <t>1700_7F58</t>
  </si>
  <si>
    <t>1700_0159</t>
  </si>
  <si>
    <t>1700_0359</t>
  </si>
  <si>
    <t>1700_0559</t>
  </si>
  <si>
    <t>1700_0759</t>
  </si>
  <si>
    <t>1700_0959</t>
  </si>
  <si>
    <t>1700_0B59</t>
  </si>
  <si>
    <t>1700_0D59</t>
  </si>
  <si>
    <t>1700_0F59</t>
  </si>
  <si>
    <t>1700_1159</t>
  </si>
  <si>
    <t>1700_1359</t>
  </si>
  <si>
    <t>1700_1559</t>
  </si>
  <si>
    <t>1700_1759</t>
  </si>
  <si>
    <t>1700_1959</t>
  </si>
  <si>
    <t>1700_1B59</t>
  </si>
  <si>
    <t>1700_1D59</t>
  </si>
  <si>
    <t>1700_1F59</t>
  </si>
  <si>
    <t>1700_2159</t>
  </si>
  <si>
    <t>1700_2359</t>
  </si>
  <si>
    <t>1700_2559</t>
  </si>
  <si>
    <t>1700_2759</t>
  </si>
  <si>
    <t>1700_2959</t>
  </si>
  <si>
    <t>1700_2B59</t>
  </si>
  <si>
    <t>1700_2D59</t>
  </si>
  <si>
    <t>1700_2F59</t>
  </si>
  <si>
    <t>1700_3159</t>
  </si>
  <si>
    <t>1700_3359</t>
  </si>
  <si>
    <t>1700_3559</t>
  </si>
  <si>
    <t>1700_3759</t>
  </si>
  <si>
    <t>1700_3959</t>
  </si>
  <si>
    <t>1700_3B59</t>
  </si>
  <si>
    <t>1700_3D59</t>
  </si>
  <si>
    <t>1700_3F59</t>
  </si>
  <si>
    <t>1700_4159</t>
  </si>
  <si>
    <t>1700_4359</t>
  </si>
  <si>
    <t>1700_4559</t>
  </si>
  <si>
    <t>1700_4759</t>
  </si>
  <si>
    <t>1700_4959</t>
  </si>
  <si>
    <t>1700_4B59</t>
  </si>
  <si>
    <t>1700_4D59</t>
  </si>
  <si>
    <t>1700_4F59</t>
  </si>
  <si>
    <t>1700_5159</t>
  </si>
  <si>
    <t>1700_5359</t>
  </si>
  <si>
    <t>1700_5559</t>
  </si>
  <si>
    <t>1700_5759</t>
  </si>
  <si>
    <t>1700_5959</t>
  </si>
  <si>
    <t>1700_5B59</t>
  </si>
  <si>
    <t>1700_5D59</t>
  </si>
  <si>
    <t>1700_5F59</t>
  </si>
  <si>
    <t>1700_6159</t>
  </si>
  <si>
    <t>1700_6359</t>
  </si>
  <si>
    <t>1700_6559</t>
  </si>
  <si>
    <t>1700_6759</t>
  </si>
  <si>
    <t>1700_6959</t>
  </si>
  <si>
    <t>1700_6B59</t>
  </si>
  <si>
    <t>1700_6D59</t>
  </si>
  <si>
    <t>1700_6F59</t>
  </si>
  <si>
    <t>1700_7159</t>
  </si>
  <si>
    <t>1700_7359</t>
  </si>
  <si>
    <t>1700_7559</t>
  </si>
  <si>
    <t>1700_7759</t>
  </si>
  <si>
    <t>1700_7959</t>
  </si>
  <si>
    <t>1700_7B59</t>
  </si>
  <si>
    <t>1700_7D59</t>
  </si>
  <si>
    <t>1700_7F59</t>
  </si>
  <si>
    <t>1700_015A</t>
  </si>
  <si>
    <t>1700_035A</t>
  </si>
  <si>
    <t>1700_055A</t>
  </si>
  <si>
    <t>1700_075A</t>
  </si>
  <si>
    <t>1700_095A</t>
  </si>
  <si>
    <t>1700_0B5A</t>
  </si>
  <si>
    <t>1700_0D5A</t>
  </si>
  <si>
    <t>1700_0F5A</t>
  </si>
  <si>
    <t>1700_115A</t>
  </si>
  <si>
    <t>1700_135A</t>
  </si>
  <si>
    <t>1700_155A</t>
  </si>
  <si>
    <t>1700_175A</t>
  </si>
  <si>
    <t>1700_195A</t>
  </si>
  <si>
    <t>1700_1B5A</t>
  </si>
  <si>
    <t>1700_1D5A</t>
  </si>
  <si>
    <t>1700_1F5A</t>
  </si>
  <si>
    <t>1700_215A</t>
  </si>
  <si>
    <t>1700_235A</t>
  </si>
  <si>
    <t>1700_255A</t>
  </si>
  <si>
    <t>1700_275A</t>
  </si>
  <si>
    <t>1700_295A</t>
  </si>
  <si>
    <t>1700_2B5A</t>
  </si>
  <si>
    <t>1700_2D5A</t>
  </si>
  <si>
    <t>1700_2F5A</t>
  </si>
  <si>
    <t>1700_315A</t>
  </si>
  <si>
    <t>1700_335A</t>
  </si>
  <si>
    <t>1700_355A</t>
  </si>
  <si>
    <t>1700_375A</t>
  </si>
  <si>
    <t>1700_395A</t>
  </si>
  <si>
    <t>1700_3B5A</t>
  </si>
  <si>
    <t>1700_3D5A</t>
  </si>
  <si>
    <t>1700_3F5A</t>
  </si>
  <si>
    <t>1700_415A</t>
  </si>
  <si>
    <t>1700_435A</t>
  </si>
  <si>
    <t>1700_455A</t>
  </si>
  <si>
    <t>1700_475A</t>
  </si>
  <si>
    <t>1700_495A</t>
  </si>
  <si>
    <t>1700_4B5A</t>
  </si>
  <si>
    <t>1700_4D5A</t>
  </si>
  <si>
    <t>1700_4F5A</t>
  </si>
  <si>
    <t>1700_515A</t>
  </si>
  <si>
    <t>1700_535A</t>
  </si>
  <si>
    <t>1700_555A</t>
  </si>
  <si>
    <t>1700_575A</t>
  </si>
  <si>
    <t>1700_595A</t>
  </si>
  <si>
    <t>1700_5B5A</t>
  </si>
  <si>
    <t>1700_5D5A</t>
  </si>
  <si>
    <t>1700_5F5A</t>
  </si>
  <si>
    <t>1700_615A</t>
  </si>
  <si>
    <t>1700_635A</t>
  </si>
  <si>
    <t>1700_655A</t>
  </si>
  <si>
    <t>1700_675A</t>
  </si>
  <si>
    <t>1700_695A</t>
  </si>
  <si>
    <t>1700_6B5A</t>
  </si>
  <si>
    <t>1700_6D5A</t>
  </si>
  <si>
    <t>1700_6F5A</t>
  </si>
  <si>
    <t>1700_715A</t>
  </si>
  <si>
    <t>1700_735A</t>
  </si>
  <si>
    <t>1700_755A</t>
  </si>
  <si>
    <t>1700_775A</t>
  </si>
  <si>
    <t>1700_795A</t>
  </si>
  <si>
    <t>1700_7B5A</t>
  </si>
  <si>
    <t>1700_7D5A</t>
  </si>
  <si>
    <t>1700_7F5A</t>
  </si>
  <si>
    <t>1700_015B</t>
  </si>
  <si>
    <t>1700_035B</t>
  </si>
  <si>
    <t>1700_055B</t>
  </si>
  <si>
    <t>1700_075B</t>
  </si>
  <si>
    <t>1700_095B</t>
  </si>
  <si>
    <t>1700_0B5B</t>
  </si>
  <si>
    <t>1700_0D5B</t>
  </si>
  <si>
    <t>1700_0F5B</t>
  </si>
  <si>
    <t>1700_115B</t>
  </si>
  <si>
    <t>1700_135B</t>
  </si>
  <si>
    <t>1700_155B</t>
  </si>
  <si>
    <t>1700_175B</t>
  </si>
  <si>
    <t>1700_195B</t>
  </si>
  <si>
    <t>1700_1B5B</t>
  </si>
  <si>
    <t>1700_1D5B</t>
  </si>
  <si>
    <t>1700_1F5B</t>
  </si>
  <si>
    <t>1700_215B</t>
  </si>
  <si>
    <t>1700_235B</t>
  </si>
  <si>
    <t>1700_255B</t>
  </si>
  <si>
    <t>1700_275B</t>
  </si>
  <si>
    <t>1700_295B</t>
  </si>
  <si>
    <t>1700_2B5B</t>
  </si>
  <si>
    <t>1700_2D5B</t>
  </si>
  <si>
    <t>1700_2F5B</t>
  </si>
  <si>
    <t>1700_315B</t>
  </si>
  <si>
    <t>1700_335B</t>
  </si>
  <si>
    <t>1700_355B</t>
  </si>
  <si>
    <t>1700_375B</t>
  </si>
  <si>
    <t>1700_395B</t>
  </si>
  <si>
    <t>1700_3B5B</t>
  </si>
  <si>
    <t>1700_3D5B</t>
  </si>
  <si>
    <t>1700_3F5B</t>
  </si>
  <si>
    <t>1700_415B</t>
  </si>
  <si>
    <t>1700_435B</t>
  </si>
  <si>
    <t>1700_455B</t>
  </si>
  <si>
    <t>1700_475B</t>
  </si>
  <si>
    <t>1700_495B</t>
  </si>
  <si>
    <t>1700_4B5B</t>
  </si>
  <si>
    <t>1700_4D5B</t>
  </si>
  <si>
    <t>1700_4F5B</t>
  </si>
  <si>
    <t>1700_515B</t>
  </si>
  <si>
    <t>1700_535B</t>
  </si>
  <si>
    <t>1700_555B</t>
  </si>
  <si>
    <t>1700_575B</t>
  </si>
  <si>
    <t>1700_595B</t>
  </si>
  <si>
    <t>1700_5B5B</t>
  </si>
  <si>
    <t>1700_5D5B</t>
  </si>
  <si>
    <t>1700_5F5B</t>
  </si>
  <si>
    <t>1700_615B</t>
  </si>
  <si>
    <t>1700_635B</t>
  </si>
  <si>
    <t>1700_655B</t>
  </si>
  <si>
    <t>1700_675B</t>
  </si>
  <si>
    <t>1700_695B</t>
  </si>
  <si>
    <t>1700_6B5B</t>
  </si>
  <si>
    <t>1700_6D5B</t>
  </si>
  <si>
    <t>1700_6F5B</t>
  </si>
  <si>
    <t>1700_715B</t>
  </si>
  <si>
    <t>1700_735B</t>
  </si>
  <si>
    <t>1700_755B</t>
  </si>
  <si>
    <t>1700_775B</t>
  </si>
  <si>
    <t>1700_795B</t>
  </si>
  <si>
    <t>1700_7B5B</t>
  </si>
  <si>
    <t>1700_7D5B</t>
  </si>
  <si>
    <t>1700_7F5B</t>
  </si>
  <si>
    <t>1700_015C</t>
  </si>
  <si>
    <t>1700_035C</t>
  </si>
  <si>
    <t>1700_055C</t>
  </si>
  <si>
    <t>1700_075C</t>
  </si>
  <si>
    <t>1700_095C</t>
  </si>
  <si>
    <t>1700_0B5C</t>
  </si>
  <si>
    <t>1700_0D5C</t>
  </si>
  <si>
    <t>1700_0F5C</t>
  </si>
  <si>
    <t>1700_115C</t>
  </si>
  <si>
    <t>1700_135C</t>
  </si>
  <si>
    <t>1700_155C</t>
  </si>
  <si>
    <t>1700_175C</t>
  </si>
  <si>
    <t>1700_195C</t>
  </si>
  <si>
    <t>1700_1B5C</t>
  </si>
  <si>
    <t>1700_1D5C</t>
  </si>
  <si>
    <t>1700_1F5C</t>
  </si>
  <si>
    <t>1700_215C</t>
  </si>
  <si>
    <t>1700_235C</t>
  </si>
  <si>
    <t>1700_255C</t>
  </si>
  <si>
    <t>1700_275C</t>
  </si>
  <si>
    <t>1700_295C</t>
  </si>
  <si>
    <t>1700_2B5C</t>
  </si>
  <si>
    <t>1700_2D5C</t>
  </si>
  <si>
    <t>1700_2F5C</t>
  </si>
  <si>
    <t>1700_315C</t>
  </si>
  <si>
    <t>1700_335C</t>
  </si>
  <si>
    <t>1700_355C</t>
  </si>
  <si>
    <t>1700_375C</t>
  </si>
  <si>
    <t>1700_395C</t>
  </si>
  <si>
    <t>1700_3B5C</t>
  </si>
  <si>
    <t>1700_3D5C</t>
  </si>
  <si>
    <t>1700_3F5C</t>
  </si>
  <si>
    <t>1700_415C</t>
  </si>
  <si>
    <t>1700_435C</t>
  </si>
  <si>
    <t>1700_455C</t>
  </si>
  <si>
    <t>1700_475C</t>
  </si>
  <si>
    <t>1700_495C</t>
  </si>
  <si>
    <t>1700_4B5C</t>
  </si>
  <si>
    <t>1700_4D5C</t>
  </si>
  <si>
    <t>1700_4F5C</t>
  </si>
  <si>
    <t>1700_515C</t>
  </si>
  <si>
    <t>1700_535C</t>
  </si>
  <si>
    <t>1700_555C</t>
  </si>
  <si>
    <t>1700_575C</t>
  </si>
  <si>
    <t>1700_595C</t>
  </si>
  <si>
    <t>1700_5B5C</t>
  </si>
  <si>
    <t>1700_5D5C</t>
  </si>
  <si>
    <t>1700_5F5C</t>
  </si>
  <si>
    <t>1700_615C</t>
  </si>
  <si>
    <t>1700_635C</t>
  </si>
  <si>
    <t>1700_655C</t>
  </si>
  <si>
    <t>1700_675C</t>
  </si>
  <si>
    <t>1700_695C</t>
  </si>
  <si>
    <t>1700_6B5C</t>
  </si>
  <si>
    <t>1700_6D5C</t>
  </si>
  <si>
    <t>1700_6F5C</t>
  </si>
  <si>
    <t>1700_715C</t>
  </si>
  <si>
    <t>1700_735C</t>
  </si>
  <si>
    <t>1700_755C</t>
  </si>
  <si>
    <t>1700_775C</t>
  </si>
  <si>
    <t>1700_795C</t>
  </si>
  <si>
    <t>1700_7B5C</t>
  </si>
  <si>
    <t>1700_7D5C</t>
  </si>
  <si>
    <t>1700_7F5C</t>
  </si>
  <si>
    <t>1700_015D</t>
  </si>
  <si>
    <t>1700_035D</t>
  </si>
  <si>
    <t>1700_055D</t>
  </si>
  <si>
    <t>1700_075D</t>
  </si>
  <si>
    <t>1700_095D</t>
  </si>
  <si>
    <t>1700_0B5D</t>
  </si>
  <si>
    <t>1700_0D5D</t>
  </si>
  <si>
    <t>1700_0F5D</t>
  </si>
  <si>
    <t>1700_115D</t>
  </si>
  <si>
    <t>1700_135D</t>
  </si>
  <si>
    <t>1700_155D</t>
  </si>
  <si>
    <t>1700_175D</t>
  </si>
  <si>
    <t>1700_195D</t>
  </si>
  <si>
    <t>1700_1B5D</t>
  </si>
  <si>
    <t>1700_1D5D</t>
  </si>
  <si>
    <t>1700_1F5D</t>
  </si>
  <si>
    <t>1700_215D</t>
  </si>
  <si>
    <t>1700_235D</t>
  </si>
  <si>
    <t>1700_255D</t>
  </si>
  <si>
    <t>1700_275D</t>
  </si>
  <si>
    <t>1700_295D</t>
  </si>
  <si>
    <t>1700_2B5D</t>
  </si>
  <si>
    <t>1700_2D5D</t>
  </si>
  <si>
    <t>1700_2F5D</t>
  </si>
  <si>
    <t>1700_315D</t>
  </si>
  <si>
    <t>1700_335D</t>
  </si>
  <si>
    <t>1700_355D</t>
  </si>
  <si>
    <t>1700_375D</t>
  </si>
  <si>
    <t>1700_395D</t>
  </si>
  <si>
    <t>1700_3B5D</t>
  </si>
  <si>
    <t>1700_3D5D</t>
  </si>
  <si>
    <t>1700_3F5D</t>
  </si>
  <si>
    <t>1700_415D</t>
  </si>
  <si>
    <t>1700_435D</t>
  </si>
  <si>
    <t>1700_455D</t>
  </si>
  <si>
    <t>1700_475D</t>
  </si>
  <si>
    <t>1700_495D</t>
  </si>
  <si>
    <t>1700_4B5D</t>
  </si>
  <si>
    <t>1700_4D5D</t>
  </si>
  <si>
    <t>1700_4F5D</t>
  </si>
  <si>
    <t>1700_515D</t>
  </si>
  <si>
    <t>1700_535D</t>
  </si>
  <si>
    <t>1700_555D</t>
  </si>
  <si>
    <t>1700_575D</t>
  </si>
  <si>
    <t>1700_595D</t>
  </si>
  <si>
    <t>1700_5B5D</t>
  </si>
  <si>
    <t>1700_5D5D</t>
  </si>
  <si>
    <t>1700_5F5D</t>
  </si>
  <si>
    <t>1700_615D</t>
  </si>
  <si>
    <t>1700_635D</t>
  </si>
  <si>
    <t>1700_655D</t>
  </si>
  <si>
    <t>1700_675D</t>
  </si>
  <si>
    <t>1700_695D</t>
  </si>
  <si>
    <t>1700_6B5D</t>
  </si>
  <si>
    <t>1700_6D5D</t>
  </si>
  <si>
    <t>1700_6F5D</t>
  </si>
  <si>
    <t>1700_715D</t>
  </si>
  <si>
    <t>1700_735D</t>
  </si>
  <si>
    <t>1700_755D</t>
  </si>
  <si>
    <t>1700_775D</t>
  </si>
  <si>
    <t>1700_795D</t>
  </si>
  <si>
    <t>1700_7B5D</t>
  </si>
  <si>
    <t>1700_7D5D</t>
  </si>
  <si>
    <t>1700_7F5D</t>
  </si>
  <si>
    <t>1700_015E</t>
  </si>
  <si>
    <t>1700_035E</t>
  </si>
  <si>
    <t>1700_055E</t>
  </si>
  <si>
    <t>1700_075E</t>
  </si>
  <si>
    <t>1700_095E</t>
  </si>
  <si>
    <t>1700_0B5E</t>
  </si>
  <si>
    <t>1700_0D5E</t>
  </si>
  <si>
    <t>1700_0F5E</t>
  </si>
  <si>
    <t>1700_115E</t>
  </si>
  <si>
    <t>1700_135E</t>
  </si>
  <si>
    <t>1700_155E</t>
  </si>
  <si>
    <t>1700_175E</t>
  </si>
  <si>
    <t>1700_195E</t>
  </si>
  <si>
    <t>1700_1B5E</t>
  </si>
  <si>
    <t>1700_1D5E</t>
  </si>
  <si>
    <t>1700_1F5E</t>
  </si>
  <si>
    <t>1700_215E</t>
  </si>
  <si>
    <t>1700_235E</t>
  </si>
  <si>
    <t>1700_255E</t>
  </si>
  <si>
    <t>1700_275E</t>
  </si>
  <si>
    <t>1700_295E</t>
  </si>
  <si>
    <t>1700_2B5E</t>
  </si>
  <si>
    <t>1700_2D5E</t>
  </si>
  <si>
    <t>1700_2F5E</t>
  </si>
  <si>
    <t>1700_315E</t>
  </si>
  <si>
    <t>1700_335E</t>
  </si>
  <si>
    <t>1700_355E</t>
  </si>
  <si>
    <t>1700_375E</t>
  </si>
  <si>
    <t>1700_395E</t>
  </si>
  <si>
    <t>1700_3B5E</t>
  </si>
  <si>
    <t>1700_3D5E</t>
  </si>
  <si>
    <t>1700_3F5E</t>
  </si>
  <si>
    <t>1700_415E</t>
  </si>
  <si>
    <t>1700_435E</t>
  </si>
  <si>
    <t>1700_455E</t>
  </si>
  <si>
    <t>1700_475E</t>
  </si>
  <si>
    <t>1700_495E</t>
  </si>
  <si>
    <t>1700_4B5E</t>
  </si>
  <si>
    <t>1700_4D5E</t>
  </si>
  <si>
    <t>1700_4F5E</t>
  </si>
  <si>
    <t>1700_515E</t>
  </si>
  <si>
    <t>1700_535E</t>
  </si>
  <si>
    <t>1700_555E</t>
  </si>
  <si>
    <t>1700_575E</t>
  </si>
  <si>
    <t>1700_595E</t>
  </si>
  <si>
    <t>1700_5B5E</t>
  </si>
  <si>
    <t>1700_5D5E</t>
  </si>
  <si>
    <t>1700_5F5E</t>
  </si>
  <si>
    <t>1700_615E</t>
  </si>
  <si>
    <t>1700_635E</t>
  </si>
  <si>
    <t>1700_655E</t>
  </si>
  <si>
    <t>1700_675E</t>
  </si>
  <si>
    <t>1700_695E</t>
  </si>
  <si>
    <t>1700_6B5E</t>
  </si>
  <si>
    <t>1700_6D5E</t>
  </si>
  <si>
    <t>1700_6F5E</t>
  </si>
  <si>
    <t>1700_715E</t>
  </si>
  <si>
    <t>1700_735E</t>
  </si>
  <si>
    <t>1700_755E</t>
  </si>
  <si>
    <t>1700_775E</t>
  </si>
  <si>
    <t>1700_795E</t>
  </si>
  <si>
    <t>1700_7B5E</t>
  </si>
  <si>
    <t>1700_7D5E</t>
  </si>
  <si>
    <t>1700_7F5E</t>
  </si>
  <si>
    <t>1700_015F</t>
  </si>
  <si>
    <t>1700_035F</t>
  </si>
  <si>
    <t>1700_055F</t>
  </si>
  <si>
    <t>1700_075F</t>
  </si>
  <si>
    <t>1700_095F</t>
  </si>
  <si>
    <t>1700_0B5F</t>
  </si>
  <si>
    <t>1700_0D5F</t>
  </si>
  <si>
    <t>1700_0F5F</t>
  </si>
  <si>
    <t>1700_115F</t>
  </si>
  <si>
    <t>1700_135F</t>
  </si>
  <si>
    <t>1700_155F</t>
  </si>
  <si>
    <t>1700_175F</t>
  </si>
  <si>
    <t>1700_195F</t>
  </si>
  <si>
    <t>1700_1B5F</t>
  </si>
  <si>
    <t>1700_1D5F</t>
  </si>
  <si>
    <t>1700_1F5F</t>
  </si>
  <si>
    <t>1700_215F</t>
  </si>
  <si>
    <t>1700_235F</t>
  </si>
  <si>
    <t>1700_255F</t>
  </si>
  <si>
    <t>1700_275F</t>
  </si>
  <si>
    <t>1700_295F</t>
  </si>
  <si>
    <t>1700_2B5F</t>
  </si>
  <si>
    <t>1700_2D5F</t>
  </si>
  <si>
    <t>1700_2F5F</t>
  </si>
  <si>
    <t>1700_315F</t>
  </si>
  <si>
    <t>1700_335F</t>
  </si>
  <si>
    <t>1700_355F</t>
  </si>
  <si>
    <t>1700_375F</t>
  </si>
  <si>
    <t>1700_395F</t>
  </si>
  <si>
    <t>1700_3B5F</t>
  </si>
  <si>
    <t>1700_3D5F</t>
  </si>
  <si>
    <t>1700_3F5F</t>
  </si>
  <si>
    <t>1700_415F</t>
  </si>
  <si>
    <t>1700_435F</t>
  </si>
  <si>
    <t>1700_455F</t>
  </si>
  <si>
    <t>1700_475F</t>
  </si>
  <si>
    <t>1700_495F</t>
  </si>
  <si>
    <t>1700_4B5F</t>
  </si>
  <si>
    <t>1700_4D5F</t>
  </si>
  <si>
    <t>1700_4F5F</t>
  </si>
  <si>
    <t>1700_515F</t>
  </si>
  <si>
    <t>1700_535F</t>
  </si>
  <si>
    <t>1700_555F</t>
  </si>
  <si>
    <t>1700_575F</t>
  </si>
  <si>
    <t>1700_595F</t>
  </si>
  <si>
    <t>1700_5B5F</t>
  </si>
  <si>
    <t>1700_5D5F</t>
  </si>
  <si>
    <t>1700_5F5F</t>
  </si>
  <si>
    <t>1700_615F</t>
  </si>
  <si>
    <t>1700_635F</t>
  </si>
  <si>
    <t>1700_655F</t>
  </si>
  <si>
    <t>1700_675F</t>
  </si>
  <si>
    <t>1700_695F</t>
  </si>
  <si>
    <t>1700_6B5F</t>
  </si>
  <si>
    <t>1700_6D5F</t>
  </si>
  <si>
    <t>1700_6F5F</t>
  </si>
  <si>
    <t>1700_715F</t>
  </si>
  <si>
    <t>1700_735F</t>
  </si>
  <si>
    <t>1700_755F</t>
  </si>
  <si>
    <t>1700_775F</t>
  </si>
  <si>
    <t>1700_795F</t>
  </si>
  <si>
    <t>1700_7B5F</t>
  </si>
  <si>
    <t>1700_7D5F</t>
  </si>
  <si>
    <t>1700_7F5F</t>
  </si>
  <si>
    <t>1700_0160</t>
  </si>
  <si>
    <t>1700_0360</t>
  </si>
  <si>
    <t>1700_0560</t>
  </si>
  <si>
    <t>1700_0760</t>
  </si>
  <si>
    <t>1700_0960</t>
  </si>
  <si>
    <t>1700_0B60</t>
  </si>
  <si>
    <t>1700_0D60</t>
  </si>
  <si>
    <t>1700_0F60</t>
  </si>
  <si>
    <t>1700_1160</t>
  </si>
  <si>
    <t>1700_1360</t>
  </si>
  <si>
    <t>1700_1560</t>
  </si>
  <si>
    <t>1700_1760</t>
  </si>
  <si>
    <t>1700_1960</t>
  </si>
  <si>
    <t>1700_1B60</t>
  </si>
  <si>
    <t>1700_1D60</t>
  </si>
  <si>
    <t>1700_1F60</t>
  </si>
  <si>
    <t>1700_2160</t>
  </si>
  <si>
    <t>1700_2360</t>
  </si>
  <si>
    <t>1700_2560</t>
  </si>
  <si>
    <t>1700_2760</t>
  </si>
  <si>
    <t>1700_2960</t>
  </si>
  <si>
    <t>1700_2B60</t>
  </si>
  <si>
    <t>1700_2D60</t>
  </si>
  <si>
    <t>1700_2F60</t>
  </si>
  <si>
    <t>1700_3160</t>
  </si>
  <si>
    <t>1700_3360</t>
  </si>
  <si>
    <t>1700_3560</t>
  </si>
  <si>
    <t>1700_3760</t>
  </si>
  <si>
    <t>1700_3960</t>
  </si>
  <si>
    <t>1700_3B60</t>
  </si>
  <si>
    <t>1700_3D60</t>
  </si>
  <si>
    <t>1700_3F60</t>
  </si>
  <si>
    <t>1700_4160</t>
  </si>
  <si>
    <t>1700_4360</t>
  </si>
  <si>
    <t>1700_4560</t>
  </si>
  <si>
    <t>1700_4760</t>
  </si>
  <si>
    <t>1700_4960</t>
  </si>
  <si>
    <t>1700_4B60</t>
  </si>
  <si>
    <t>1700_4D60</t>
  </si>
  <si>
    <t>1700_4F60</t>
  </si>
  <si>
    <t>1700_5160</t>
  </si>
  <si>
    <t>1700_5360</t>
  </si>
  <si>
    <t>1700_5560</t>
  </si>
  <si>
    <t>1700_5760</t>
  </si>
  <si>
    <t>1700_5960</t>
  </si>
  <si>
    <t>1700_5B60</t>
  </si>
  <si>
    <t>1700_5D60</t>
  </si>
  <si>
    <t>1700_5F60</t>
  </si>
  <si>
    <t>1700_6160</t>
  </si>
  <si>
    <t>1700_6360</t>
  </si>
  <si>
    <t>1700_6560</t>
  </si>
  <si>
    <t>1700_6760</t>
  </si>
  <si>
    <t>1700_6960</t>
  </si>
  <si>
    <t>1700_6B60</t>
  </si>
  <si>
    <t>1700_6D60</t>
  </si>
  <si>
    <t>1700_6F60</t>
  </si>
  <si>
    <t>1700_7160</t>
  </si>
  <si>
    <t>1700_7360</t>
  </si>
  <si>
    <t>1700_7560</t>
  </si>
  <si>
    <t>1700_7760</t>
  </si>
  <si>
    <t>1700_7960</t>
  </si>
  <si>
    <t>1700_7B60</t>
  </si>
  <si>
    <t>1700_7D60</t>
  </si>
  <si>
    <t>1700_7F60</t>
  </si>
  <si>
    <t>1700_0161</t>
  </si>
  <si>
    <t>1700_0361</t>
  </si>
  <si>
    <t>1700_0561</t>
  </si>
  <si>
    <t>1700_0761</t>
  </si>
  <si>
    <t>1700_0961</t>
  </si>
  <si>
    <t>1700_0B61</t>
  </si>
  <si>
    <t>1700_0D61</t>
  </si>
  <si>
    <t>1700_0F61</t>
  </si>
  <si>
    <t>1700_1161</t>
  </si>
  <si>
    <t>1700_1361</t>
  </si>
  <si>
    <t>1700_1561</t>
  </si>
  <si>
    <t>1700_1761</t>
  </si>
  <si>
    <t>1700_1961</t>
  </si>
  <si>
    <t>1700_1B61</t>
  </si>
  <si>
    <t>1700_1D61</t>
  </si>
  <si>
    <t>1700_1F61</t>
  </si>
  <si>
    <t>1700_2161</t>
  </si>
  <si>
    <t>1700_2361</t>
  </si>
  <si>
    <t>1700_2561</t>
  </si>
  <si>
    <t>1700_2761</t>
  </si>
  <si>
    <t>1700_2961</t>
  </si>
  <si>
    <t>1700_2B61</t>
  </si>
  <si>
    <t>1700_2D61</t>
  </si>
  <si>
    <t>1700_2F61</t>
  </si>
  <si>
    <t>1700_3161</t>
  </si>
  <si>
    <t>1700_3361</t>
  </si>
  <si>
    <t>1700_3561</t>
  </si>
  <si>
    <t>1700_3761</t>
  </si>
  <si>
    <t>1700_3961</t>
  </si>
  <si>
    <t>1700_3B61</t>
  </si>
  <si>
    <t>1700_3D61</t>
  </si>
  <si>
    <t>1700_3F61</t>
  </si>
  <si>
    <t>1700_4161</t>
  </si>
  <si>
    <t>1700_4361</t>
  </si>
  <si>
    <t>1700_4561</t>
  </si>
  <si>
    <t>1700_4761</t>
  </si>
  <si>
    <t>1700_4961</t>
  </si>
  <si>
    <t>1700_4B61</t>
  </si>
  <si>
    <t>1700_4D61</t>
  </si>
  <si>
    <t>1700_4F61</t>
  </si>
  <si>
    <t>1700_5161</t>
  </si>
  <si>
    <t>1700_5361</t>
  </si>
  <si>
    <t>1700_5561</t>
  </si>
  <si>
    <t>1700_5761</t>
  </si>
  <si>
    <t>1700_5961</t>
  </si>
  <si>
    <t>1700_5B61</t>
  </si>
  <si>
    <t>1700_5D61</t>
  </si>
  <si>
    <t>1700_5F61</t>
  </si>
  <si>
    <t>1700_6161</t>
  </si>
  <si>
    <t>1700_6361</t>
  </si>
  <si>
    <t>1700_6561</t>
  </si>
  <si>
    <t>1700_6761</t>
  </si>
  <si>
    <t>1700_6961</t>
  </si>
  <si>
    <t>1700_6B61</t>
  </si>
  <si>
    <t>1700_6D61</t>
  </si>
  <si>
    <t>1700_6F61</t>
  </si>
  <si>
    <t>1700_7161</t>
  </si>
  <si>
    <t>1700_7361</t>
  </si>
  <si>
    <t>1700_7561</t>
  </si>
  <si>
    <t>1700_7761</t>
  </si>
  <si>
    <t>1700_7961</t>
  </si>
  <si>
    <t>1700_7B61</t>
  </si>
  <si>
    <t>1700_7D61</t>
  </si>
  <si>
    <t>1700_7F61</t>
  </si>
  <si>
    <t>1700_0162</t>
  </si>
  <si>
    <t>1700_0362</t>
  </si>
  <si>
    <t>1700_0562</t>
  </si>
  <si>
    <t>1700_0762</t>
  </si>
  <si>
    <t>1700_0962</t>
  </si>
  <si>
    <t>1700_0B62</t>
  </si>
  <si>
    <t>1700_0D62</t>
  </si>
  <si>
    <t>1700_0F62</t>
  </si>
  <si>
    <t>1700_1162</t>
  </si>
  <si>
    <t>1700_1362</t>
  </si>
  <si>
    <t>1700_1562</t>
  </si>
  <si>
    <t>1700_1762</t>
  </si>
  <si>
    <t>1700_1962</t>
  </si>
  <si>
    <t>1700_1B62</t>
  </si>
  <si>
    <t>1700_1D62</t>
  </si>
  <si>
    <t>1700_1F62</t>
  </si>
  <si>
    <t>1700_2162</t>
  </si>
  <si>
    <t>1700_2362</t>
  </si>
  <si>
    <t>1700_2562</t>
  </si>
  <si>
    <t>1700_2762</t>
  </si>
  <si>
    <t>1700_2962</t>
  </si>
  <si>
    <t>1700_2B62</t>
  </si>
  <si>
    <t>1700_2D62</t>
  </si>
  <si>
    <t>1700_2F62</t>
  </si>
  <si>
    <t>1700_3162</t>
  </si>
  <si>
    <t>1700_3362</t>
  </si>
  <si>
    <t>1700_3562</t>
  </si>
  <si>
    <t>1700_3762</t>
  </si>
  <si>
    <t>1700_3962</t>
  </si>
  <si>
    <t>1700_3B62</t>
  </si>
  <si>
    <t>1700_3D62</t>
  </si>
  <si>
    <t>1700_3F62</t>
  </si>
  <si>
    <t>1700_4162</t>
  </si>
  <si>
    <t>1700_4362</t>
  </si>
  <si>
    <t>1700_4562</t>
  </si>
  <si>
    <t>1700_4762</t>
  </si>
  <si>
    <t>1700_4962</t>
  </si>
  <si>
    <t>1700_4B62</t>
  </si>
  <si>
    <t>1700_4D62</t>
  </si>
  <si>
    <t>1700_4F62</t>
  </si>
  <si>
    <t>1700_5162</t>
  </si>
  <si>
    <t>1700_5362</t>
  </si>
  <si>
    <t>1700_5562</t>
  </si>
  <si>
    <t>1700_5762</t>
  </si>
  <si>
    <t>1700_5962</t>
  </si>
  <si>
    <t>1700_5B62</t>
  </si>
  <si>
    <t>1700_5D62</t>
  </si>
  <si>
    <t>1700_5F62</t>
  </si>
  <si>
    <t>1700_6162</t>
  </si>
  <si>
    <t>1700_6362</t>
  </si>
  <si>
    <t>1700_6562</t>
  </si>
  <si>
    <t>1700_6762</t>
  </si>
  <si>
    <t>1700_6962</t>
  </si>
  <si>
    <t>1700_6B62</t>
  </si>
  <si>
    <t>1700_6D62</t>
  </si>
  <si>
    <t>1700_6F62</t>
  </si>
  <si>
    <t>1700_7162</t>
  </si>
  <si>
    <t>1700_7362</t>
  </si>
  <si>
    <t>1700_7562</t>
  </si>
  <si>
    <t>1700_7762</t>
  </si>
  <si>
    <t>1700_7962</t>
  </si>
  <si>
    <t>1700_7B62</t>
  </si>
  <si>
    <t>1700_7D62</t>
  </si>
  <si>
    <t>1700_7F62</t>
  </si>
  <si>
    <t>1700_0163</t>
  </si>
  <si>
    <t>1700_0363</t>
  </si>
  <si>
    <t>1700_0563</t>
  </si>
  <si>
    <t>1700_0763</t>
  </si>
  <si>
    <t>1700_0963</t>
  </si>
  <si>
    <t>1700_0B63</t>
  </si>
  <si>
    <t>1700_0D63</t>
  </si>
  <si>
    <t>1700_0F63</t>
  </si>
  <si>
    <t>1700_1163</t>
  </si>
  <si>
    <t>1700_1363</t>
  </si>
  <si>
    <t>1700_1563</t>
  </si>
  <si>
    <t>1700_1763</t>
  </si>
  <si>
    <t>1700_1963</t>
  </si>
  <si>
    <t>1700_1B63</t>
  </si>
  <si>
    <t>1700_1D63</t>
  </si>
  <si>
    <t>1700_1F63</t>
  </si>
  <si>
    <t>1700_2163</t>
  </si>
  <si>
    <t>1700_2363</t>
  </si>
  <si>
    <t>1700_2563</t>
  </si>
  <si>
    <t>1700_2763</t>
  </si>
  <si>
    <t>1700_2963</t>
  </si>
  <si>
    <t>1700_2B63</t>
  </si>
  <si>
    <t>1700_2D63</t>
  </si>
  <si>
    <t>1700_2F63</t>
  </si>
  <si>
    <t>1700_3163</t>
  </si>
  <si>
    <t>1700_3363</t>
  </si>
  <si>
    <t>1700_3563</t>
  </si>
  <si>
    <t>1700_3763</t>
  </si>
  <si>
    <t>1700_3963</t>
  </si>
  <si>
    <t>1700_3B63</t>
  </si>
  <si>
    <t>1700_3D63</t>
  </si>
  <si>
    <t>1700_3F63</t>
  </si>
  <si>
    <t>1700_4163</t>
  </si>
  <si>
    <t>1700_4363</t>
  </si>
  <si>
    <t>1700_4563</t>
  </si>
  <si>
    <t>1700_4763</t>
  </si>
  <si>
    <t>1700_4963</t>
  </si>
  <si>
    <t>1700_4B63</t>
  </si>
  <si>
    <t>1700_4D63</t>
  </si>
  <si>
    <t>1700_4F63</t>
  </si>
  <si>
    <t>1700_5163</t>
  </si>
  <si>
    <t>1700_5363</t>
  </si>
  <si>
    <t>1700_5563</t>
  </si>
  <si>
    <t>1700_5763</t>
  </si>
  <si>
    <t>1700_5963</t>
  </si>
  <si>
    <t>1700_5B63</t>
  </si>
  <si>
    <t>1700_5D63</t>
  </si>
  <si>
    <t>1700_5F63</t>
  </si>
  <si>
    <t>1700_6163</t>
  </si>
  <si>
    <t>1700_6363</t>
  </si>
  <si>
    <t>1700_6563</t>
  </si>
  <si>
    <t>1700_6763</t>
  </si>
  <si>
    <t>1700_6963</t>
  </si>
  <si>
    <t>1700_6B63</t>
  </si>
  <si>
    <t>1700_6D63</t>
  </si>
  <si>
    <t>1700_6F63</t>
  </si>
  <si>
    <t>1700_7163</t>
  </si>
  <si>
    <t>1700_7363</t>
  </si>
  <si>
    <t>1700_7563</t>
  </si>
  <si>
    <t>1700_7763</t>
  </si>
  <si>
    <t>1700_7963</t>
  </si>
  <si>
    <t>1700_7B63</t>
  </si>
  <si>
    <t>1700_7D63</t>
  </si>
  <si>
    <t>1700_7F63</t>
  </si>
  <si>
    <t>1700_0164</t>
  </si>
  <si>
    <t>1700_0364</t>
  </si>
  <si>
    <t>1700_0564</t>
  </si>
  <si>
    <t>1700_0764</t>
  </si>
  <si>
    <t>1700_0964</t>
  </si>
  <si>
    <t>1700_0B64</t>
  </si>
  <si>
    <t>1700_0D64</t>
  </si>
  <si>
    <t>1700_0F64</t>
  </si>
  <si>
    <t>1700_1164</t>
  </si>
  <si>
    <t>1700_1364</t>
  </si>
  <si>
    <t>1700_1564</t>
  </si>
  <si>
    <t>1700_1764</t>
  </si>
  <si>
    <t>1700_1964</t>
  </si>
  <si>
    <t>1700_1B64</t>
  </si>
  <si>
    <t>1700_1D64</t>
  </si>
  <si>
    <t>1700_1F64</t>
  </si>
  <si>
    <t>1700_2164</t>
  </si>
  <si>
    <t>1700_2364</t>
  </si>
  <si>
    <t>1700_2564</t>
  </si>
  <si>
    <t>1700_2764</t>
  </si>
  <si>
    <t>1700_2964</t>
  </si>
  <si>
    <t>1700_2B64</t>
  </si>
  <si>
    <t>1700_2D64</t>
  </si>
  <si>
    <t>1700_2F64</t>
  </si>
  <si>
    <t>1700_3164</t>
  </si>
  <si>
    <t>1700_3364</t>
  </si>
  <si>
    <t>1700_3564</t>
  </si>
  <si>
    <t>1700_3764</t>
  </si>
  <si>
    <t>1700_3964</t>
  </si>
  <si>
    <t>1700_3B64</t>
  </si>
  <si>
    <t>1700_3D64</t>
  </si>
  <si>
    <t>1700_3F64</t>
  </si>
  <si>
    <t>1700_4164</t>
  </si>
  <si>
    <t>1700_4364</t>
  </si>
  <si>
    <t>1700_4564</t>
  </si>
  <si>
    <t>1700_4764</t>
  </si>
  <si>
    <t>1700_4964</t>
  </si>
  <si>
    <t>1700_4B64</t>
  </si>
  <si>
    <t>1700_4D64</t>
  </si>
  <si>
    <t>1700_4F64</t>
  </si>
  <si>
    <t>1700_5164</t>
  </si>
  <si>
    <t>1700_5364</t>
  </si>
  <si>
    <t>1700_5564</t>
  </si>
  <si>
    <t>1700_5764</t>
  </si>
  <si>
    <t>1700_5964</t>
  </si>
  <si>
    <t>1700_5B64</t>
  </si>
  <si>
    <t>1700_5D64</t>
  </si>
  <si>
    <t>1700_5F64</t>
  </si>
  <si>
    <t>1700_6164</t>
  </si>
  <si>
    <t>1700_6364</t>
  </si>
  <si>
    <t>1700_6564</t>
  </si>
  <si>
    <t>1700_6764</t>
  </si>
  <si>
    <t>1700_6964</t>
  </si>
  <si>
    <t>1700_6B64</t>
  </si>
  <si>
    <t>1700_6D64</t>
  </si>
  <si>
    <t>1700_6F64</t>
  </si>
  <si>
    <t>1700_7164</t>
  </si>
  <si>
    <t>1700_7364</t>
  </si>
  <si>
    <t>1700_7564</t>
  </si>
  <si>
    <t>1700_7764</t>
  </si>
  <si>
    <t>1700_7964</t>
  </si>
  <si>
    <t>1700_7B64</t>
  </si>
  <si>
    <t>1700_7D64</t>
  </si>
  <si>
    <t>1700_7F64</t>
  </si>
  <si>
    <t>1700_0165</t>
  </si>
  <si>
    <t>1700_0365</t>
  </si>
  <si>
    <t>1700_0565</t>
  </si>
  <si>
    <t>1700_0765</t>
  </si>
  <si>
    <t>1700_0965</t>
  </si>
  <si>
    <t>1700_0B65</t>
  </si>
  <si>
    <t>1700_0D65</t>
  </si>
  <si>
    <t>1700_0F65</t>
  </si>
  <si>
    <t>1700_1165</t>
  </si>
  <si>
    <t>1700_1365</t>
  </si>
  <si>
    <t>1700_1565</t>
  </si>
  <si>
    <t>1700_1765</t>
  </si>
  <si>
    <t>1700_1965</t>
  </si>
  <si>
    <t>1700_1B65</t>
  </si>
  <si>
    <t>1700_1D65</t>
  </si>
  <si>
    <t>1700_1F65</t>
  </si>
  <si>
    <t>1700_2165</t>
  </si>
  <si>
    <t>1700_2365</t>
  </si>
  <si>
    <t>1700_2565</t>
  </si>
  <si>
    <t>1700_2765</t>
  </si>
  <si>
    <t>1700_2965</t>
  </si>
  <si>
    <t>1700_2B65</t>
  </si>
  <si>
    <t>1700_2D65</t>
  </si>
  <si>
    <t>1700_2F65</t>
  </si>
  <si>
    <t>1700_3165</t>
  </si>
  <si>
    <t>1700_3365</t>
  </si>
  <si>
    <t>1700_3565</t>
  </si>
  <si>
    <t>1700_3765</t>
  </si>
  <si>
    <t>1700_3965</t>
  </si>
  <si>
    <t>1700_3B65</t>
  </si>
  <si>
    <t>1700_3D65</t>
  </si>
  <si>
    <t>1700_3F65</t>
  </si>
  <si>
    <t>1700_4165</t>
  </si>
  <si>
    <t>1700_4365</t>
  </si>
  <si>
    <t>1700_4565</t>
  </si>
  <si>
    <t>1700_4765</t>
  </si>
  <si>
    <t>1700_4965</t>
  </si>
  <si>
    <t>1700_4B65</t>
  </si>
  <si>
    <t>1700_4D65</t>
  </si>
  <si>
    <t>1700_4F65</t>
  </si>
  <si>
    <t>1700_5165</t>
  </si>
  <si>
    <t>1700_5365</t>
  </si>
  <si>
    <t>1700_5565</t>
  </si>
  <si>
    <t>1700_5765</t>
  </si>
  <si>
    <t>1700_5965</t>
  </si>
  <si>
    <t>1700_5B65</t>
  </si>
  <si>
    <t>1700_5D65</t>
  </si>
  <si>
    <t>1700_5F65</t>
  </si>
  <si>
    <t>1700_6165</t>
  </si>
  <si>
    <t>1700_6365</t>
  </si>
  <si>
    <t>1700_6565</t>
  </si>
  <si>
    <t>1700_6765</t>
  </si>
  <si>
    <t>1700_6965</t>
  </si>
  <si>
    <t>1700_6B65</t>
  </si>
  <si>
    <t>1700_6D65</t>
  </si>
  <si>
    <t>1700_6F65</t>
  </si>
  <si>
    <t>1700_7165</t>
  </si>
  <si>
    <t>1700_7365</t>
  </si>
  <si>
    <t>1700_7565</t>
  </si>
  <si>
    <t>1700_7765</t>
  </si>
  <si>
    <t>1700_7965</t>
  </si>
  <si>
    <t>1700_7B65</t>
  </si>
  <si>
    <t>1700_7D65</t>
  </si>
  <si>
    <t>1700_7F65</t>
  </si>
  <si>
    <t>1700_0166</t>
  </si>
  <si>
    <t>1700_0366</t>
  </si>
  <si>
    <t>1700_0566</t>
  </si>
  <si>
    <t>1700_0766</t>
  </si>
  <si>
    <t>1700_0966</t>
  </si>
  <si>
    <t>1700_0B66</t>
  </si>
  <si>
    <t>1700_0D66</t>
  </si>
  <si>
    <t>1700_0F66</t>
  </si>
  <si>
    <t>1700_1166</t>
  </si>
  <si>
    <t>1700_1366</t>
  </si>
  <si>
    <t>1700_1566</t>
  </si>
  <si>
    <t>1700_1766</t>
  </si>
  <si>
    <t>1700_1966</t>
  </si>
  <si>
    <t>1700_1B66</t>
  </si>
  <si>
    <t>1700_1D66</t>
  </si>
  <si>
    <t>1700_1F66</t>
  </si>
  <si>
    <t>1700_2166</t>
  </si>
  <si>
    <t>1700_2366</t>
  </si>
  <si>
    <t>1700_2566</t>
  </si>
  <si>
    <t>1700_2766</t>
  </si>
  <si>
    <t>1700_2966</t>
  </si>
  <si>
    <t>1700_2B66</t>
  </si>
  <si>
    <t>1700_2D66</t>
  </si>
  <si>
    <t>1700_2F66</t>
  </si>
  <si>
    <t>1700_3166</t>
  </si>
  <si>
    <t>1700_3366</t>
  </si>
  <si>
    <t>1700_3566</t>
  </si>
  <si>
    <t>1700_3766</t>
  </si>
  <si>
    <t>1700_3966</t>
  </si>
  <si>
    <t>1700_3B66</t>
  </si>
  <si>
    <t>1700_3D66</t>
  </si>
  <si>
    <t>1700_3F66</t>
  </si>
  <si>
    <t>1700_4166</t>
  </si>
  <si>
    <t>1700_4366</t>
  </si>
  <si>
    <t>1700_4566</t>
  </si>
  <si>
    <t>1700_4766</t>
  </si>
  <si>
    <t>1700_4966</t>
  </si>
  <si>
    <t>1700_4B66</t>
  </si>
  <si>
    <t>1700_4D66</t>
  </si>
  <si>
    <t>1700_4F66</t>
  </si>
  <si>
    <t>1700_5166</t>
  </si>
  <si>
    <t>1700_5366</t>
  </si>
  <si>
    <t>1700_5566</t>
  </si>
  <si>
    <t>1700_5766</t>
  </si>
  <si>
    <t>1700_5966</t>
  </si>
  <si>
    <t>1700_5B66</t>
  </si>
  <si>
    <t>1700_5D66</t>
  </si>
  <si>
    <t>1700_5F66</t>
  </si>
  <si>
    <t>1700_6166</t>
  </si>
  <si>
    <t>1700_6366</t>
  </si>
  <si>
    <t>1700_6566</t>
  </si>
  <si>
    <t>1700_6766</t>
  </si>
  <si>
    <t>1700_6966</t>
  </si>
  <si>
    <t>1700_6B66</t>
  </si>
  <si>
    <t>1700_6D66</t>
  </si>
  <si>
    <t>1700_6F66</t>
  </si>
  <si>
    <t>1700_7166</t>
  </si>
  <si>
    <t>1700_7366</t>
  </si>
  <si>
    <t>1700_7566</t>
  </si>
  <si>
    <t>1700_7766</t>
  </si>
  <si>
    <t>1700_7966</t>
  </si>
  <si>
    <t>1700_7B66</t>
  </si>
  <si>
    <t>1700_7D66</t>
  </si>
  <si>
    <t>1700_7F66</t>
  </si>
  <si>
    <t>1700_0167</t>
  </si>
  <si>
    <t>1700_0367</t>
  </si>
  <si>
    <t>1700_0567</t>
  </si>
  <si>
    <t>1700_0767</t>
  </si>
  <si>
    <t>1700_0967</t>
  </si>
  <si>
    <t>1700_0B67</t>
  </si>
  <si>
    <t>1700_0D67</t>
  </si>
  <si>
    <t>1700_0F67</t>
  </si>
  <si>
    <t>1700_1167</t>
  </si>
  <si>
    <t>1700_1367</t>
  </si>
  <si>
    <t>1700_1567</t>
  </si>
  <si>
    <t>1700_1767</t>
  </si>
  <si>
    <t>1700_1967</t>
  </si>
  <si>
    <t>1700_1B67</t>
  </si>
  <si>
    <t>1700_1D67</t>
  </si>
  <si>
    <t>1700_1F67</t>
  </si>
  <si>
    <t>1700_2167</t>
  </si>
  <si>
    <t>1700_2367</t>
  </si>
  <si>
    <t>1700_2567</t>
  </si>
  <si>
    <t>1700_2767</t>
  </si>
  <si>
    <t>1700_2967</t>
  </si>
  <si>
    <t>1700_2B67</t>
  </si>
  <si>
    <t>1700_2D67</t>
  </si>
  <si>
    <t>1700_2F67</t>
  </si>
  <si>
    <t>1700_3167</t>
  </si>
  <si>
    <t>1700_3367</t>
  </si>
  <si>
    <t>1700_3567</t>
  </si>
  <si>
    <t>1700_3767</t>
  </si>
  <si>
    <t>1700_3967</t>
  </si>
  <si>
    <t>1700_3B67</t>
  </si>
  <si>
    <t>1700_3D67</t>
  </si>
  <si>
    <t>1700_3F67</t>
  </si>
  <si>
    <t>1700_4167</t>
  </si>
  <si>
    <t>1700_4367</t>
  </si>
  <si>
    <t>1700_4567</t>
  </si>
  <si>
    <t>1700_4767</t>
  </si>
  <si>
    <t>1700_4967</t>
  </si>
  <si>
    <t>1700_4B67</t>
  </si>
  <si>
    <t>1700_4D67</t>
  </si>
  <si>
    <t>1700_4F67</t>
  </si>
  <si>
    <t>1700_5167</t>
  </si>
  <si>
    <t>1700_5367</t>
  </si>
  <si>
    <t>1700_5567</t>
  </si>
  <si>
    <t>1700_5767</t>
  </si>
  <si>
    <t>1700_5967</t>
  </si>
  <si>
    <t>1700_5B67</t>
  </si>
  <si>
    <t>1700_5D67</t>
  </si>
  <si>
    <t>1700_5F67</t>
  </si>
  <si>
    <t>1700_6167</t>
  </si>
  <si>
    <t>1700_6367</t>
  </si>
  <si>
    <t>1700_6567</t>
  </si>
  <si>
    <t>1700_6767</t>
  </si>
  <si>
    <t>1700_6967</t>
  </si>
  <si>
    <t>1700_6B67</t>
  </si>
  <si>
    <t>1700_6D67</t>
  </si>
  <si>
    <t>1700_6F67</t>
  </si>
  <si>
    <t>1700_7167</t>
  </si>
  <si>
    <t>1700_7367</t>
  </si>
  <si>
    <t>1700_7567</t>
  </si>
  <si>
    <t>1700_7767</t>
  </si>
  <si>
    <t>1700_7967</t>
  </si>
  <si>
    <t>1700_7B67</t>
  </si>
  <si>
    <t>1700_7D67</t>
  </si>
  <si>
    <t>1700_7F67</t>
  </si>
  <si>
    <t>1700_0168</t>
  </si>
  <si>
    <t>1700_0368</t>
  </si>
  <si>
    <t>1700_0568</t>
  </si>
  <si>
    <t>1700_0768</t>
  </si>
  <si>
    <t>1700_0968</t>
  </si>
  <si>
    <t>1700_0B68</t>
  </si>
  <si>
    <t>1700_0D68</t>
  </si>
  <si>
    <t>1700_0F68</t>
  </si>
  <si>
    <t>1700_1168</t>
  </si>
  <si>
    <t>1700_1368</t>
  </si>
  <si>
    <t>1700_1568</t>
  </si>
  <si>
    <t>1700_1768</t>
  </si>
  <si>
    <t>1700_1968</t>
  </si>
  <si>
    <t>1700_1B68</t>
  </si>
  <si>
    <t>1700_1D68</t>
  </si>
  <si>
    <t>1700_1F68</t>
  </si>
  <si>
    <t>1700_2168</t>
  </si>
  <si>
    <t>1700_2368</t>
  </si>
  <si>
    <t>1700_2568</t>
  </si>
  <si>
    <t>1700_2768</t>
  </si>
  <si>
    <t>1700_2968</t>
  </si>
  <si>
    <t>1700_2B68</t>
  </si>
  <si>
    <t>1700_2D68</t>
  </si>
  <si>
    <t>1700_2F68</t>
  </si>
  <si>
    <t>1700_3168</t>
  </si>
  <si>
    <t>1700_3368</t>
  </si>
  <si>
    <t>1700_3568</t>
  </si>
  <si>
    <t>1700_3768</t>
  </si>
  <si>
    <t>1700_3968</t>
  </si>
  <si>
    <t>1700_3B68</t>
  </si>
  <si>
    <t>1700_3D68</t>
  </si>
  <si>
    <t>1700_3F68</t>
  </si>
  <si>
    <t>1700_4168</t>
  </si>
  <si>
    <t>1700_4368</t>
  </si>
  <si>
    <t>1700_4568</t>
  </si>
  <si>
    <t>1700_4768</t>
  </si>
  <si>
    <t>1700_4968</t>
  </si>
  <si>
    <t>1700_4B68</t>
  </si>
  <si>
    <t>1700_4D68</t>
  </si>
  <si>
    <t>1700_4F68</t>
  </si>
  <si>
    <t>1700_5168</t>
  </si>
  <si>
    <t>1700_5368</t>
  </si>
  <si>
    <t>1700_5568</t>
  </si>
  <si>
    <t>1700_5768</t>
  </si>
  <si>
    <t>1700_5968</t>
  </si>
  <si>
    <t>1700_5B68</t>
  </si>
  <si>
    <t>1700_5D68</t>
  </si>
  <si>
    <t>1700_5F68</t>
  </si>
  <si>
    <t>1700_6168</t>
  </si>
  <si>
    <t>1700_6368</t>
  </si>
  <si>
    <t>1700_6568</t>
  </si>
  <si>
    <t>1700_6768</t>
  </si>
  <si>
    <t>1700_6968</t>
  </si>
  <si>
    <t>1700_6B68</t>
  </si>
  <si>
    <t>1700_6D68</t>
  </si>
  <si>
    <t>1700_6F68</t>
  </si>
  <si>
    <t>1700_7168</t>
  </si>
  <si>
    <t>1700_7368</t>
  </si>
  <si>
    <t>1700_7568</t>
  </si>
  <si>
    <t>1700_7768</t>
  </si>
  <si>
    <t>1700_7968</t>
  </si>
  <si>
    <t>1700_7B68</t>
  </si>
  <si>
    <t>1700_7D68</t>
  </si>
  <si>
    <t>1700_7F68</t>
  </si>
  <si>
    <t>1700_0169</t>
  </si>
  <si>
    <t>1700_0369</t>
  </si>
  <si>
    <t>1700_0569</t>
  </si>
  <si>
    <t>1700_0769</t>
  </si>
  <si>
    <t>1700_0969</t>
  </si>
  <si>
    <t>1700_0B69</t>
  </si>
  <si>
    <t>1700_0D69</t>
  </si>
  <si>
    <t>1700_0F69</t>
  </si>
  <si>
    <t>1700_1169</t>
  </si>
  <si>
    <t>1700_1369</t>
  </si>
  <si>
    <t>1700_1569</t>
  </si>
  <si>
    <t>1700_1769</t>
  </si>
  <si>
    <t>1700_1969</t>
  </si>
  <si>
    <t>1700_1B69</t>
  </si>
  <si>
    <t>1700_1D69</t>
  </si>
  <si>
    <t>1700_1F69</t>
  </si>
  <si>
    <t>1700_2169</t>
  </si>
  <si>
    <t>1700_2369</t>
  </si>
  <si>
    <t>1700_2569</t>
  </si>
  <si>
    <t>1700_2769</t>
  </si>
  <si>
    <t>1700_2969</t>
  </si>
  <si>
    <t>1700_2B69</t>
  </si>
  <si>
    <t>1700_2D69</t>
  </si>
  <si>
    <t>1700_2F69</t>
  </si>
  <si>
    <t>1700_3169</t>
  </si>
  <si>
    <t>1700_3369</t>
  </si>
  <si>
    <t>1700_3569</t>
  </si>
  <si>
    <t>1700_3769</t>
  </si>
  <si>
    <t>1700_3969</t>
  </si>
  <si>
    <t>1700_3B69</t>
  </si>
  <si>
    <t>1700_3D69</t>
  </si>
  <si>
    <t>1700_3F69</t>
  </si>
  <si>
    <t>1700_4169</t>
  </si>
  <si>
    <t>1700_4369</t>
  </si>
  <si>
    <t>1700_4569</t>
  </si>
  <si>
    <t>1700_4769</t>
  </si>
  <si>
    <t>1700_4969</t>
  </si>
  <si>
    <t>1700_4B69</t>
  </si>
  <si>
    <t>1700_4D69</t>
  </si>
  <si>
    <t>1700_4F69</t>
  </si>
  <si>
    <t>1700_5169</t>
  </si>
  <si>
    <t>1700_5369</t>
  </si>
  <si>
    <t>1700_5569</t>
  </si>
  <si>
    <t>1700_5769</t>
  </si>
  <si>
    <t>1700_5969</t>
  </si>
  <si>
    <t>1700_5B69</t>
  </si>
  <si>
    <t>1700_5D69</t>
  </si>
  <si>
    <t>1700_5F69</t>
  </si>
  <si>
    <t>1700_6169</t>
  </si>
  <si>
    <t>1700_6369</t>
  </si>
  <si>
    <t>1700_6569</t>
  </si>
  <si>
    <t>1700_6769</t>
  </si>
  <si>
    <t>1700_6969</t>
  </si>
  <si>
    <t>1700_6B69</t>
  </si>
  <si>
    <t>1700_6D69</t>
  </si>
  <si>
    <t>1700_6F69</t>
  </si>
  <si>
    <t>1700_7169</t>
  </si>
  <si>
    <t>1700_7369</t>
  </si>
  <si>
    <t>1700_7569</t>
  </si>
  <si>
    <t>1700_7769</t>
  </si>
  <si>
    <t>1700_7969</t>
  </si>
  <si>
    <t>1700_7B69</t>
  </si>
  <si>
    <t>1700_7D69</t>
  </si>
  <si>
    <t>1700_7F69</t>
  </si>
  <si>
    <t>1700_016A</t>
  </si>
  <si>
    <t>1700_036A</t>
  </si>
  <si>
    <t>1700_056A</t>
  </si>
  <si>
    <t>1700_076A</t>
  </si>
  <si>
    <t>1700_096A</t>
  </si>
  <si>
    <t>1700_0B6A</t>
  </si>
  <si>
    <t>1700_0D6A</t>
  </si>
  <si>
    <t>1700_0F6A</t>
  </si>
  <si>
    <t>1700_116A</t>
  </si>
  <si>
    <t>1700_136A</t>
  </si>
  <si>
    <t>1700_156A</t>
  </si>
  <si>
    <t>1700_176A</t>
  </si>
  <si>
    <t>1700_196A</t>
  </si>
  <si>
    <t>1700_1B6A</t>
  </si>
  <si>
    <t>1700_1D6A</t>
  </si>
  <si>
    <t>1700_1F6A</t>
  </si>
  <si>
    <t>1700_216A</t>
  </si>
  <si>
    <t>1700_236A</t>
  </si>
  <si>
    <t>1700_256A</t>
  </si>
  <si>
    <t>1700_276A</t>
  </si>
  <si>
    <t>1700_296A</t>
  </si>
  <si>
    <t>1700_2B6A</t>
  </si>
  <si>
    <t>1700_2D6A</t>
  </si>
  <si>
    <t>1700_2F6A</t>
  </si>
  <si>
    <t>1700_316A</t>
  </si>
  <si>
    <t>1700_336A</t>
  </si>
  <si>
    <t>1700_356A</t>
  </si>
  <si>
    <t>1700_376A</t>
  </si>
  <si>
    <t>1700_396A</t>
  </si>
  <si>
    <t>1700_3B6A</t>
  </si>
  <si>
    <t>1700_3D6A</t>
  </si>
  <si>
    <t>1700_3F6A</t>
  </si>
  <si>
    <t>1700_416A</t>
  </si>
  <si>
    <t>1700_436A</t>
  </si>
  <si>
    <t>1700_456A</t>
  </si>
  <si>
    <t>1700_476A</t>
  </si>
  <si>
    <t>1700_496A</t>
  </si>
  <si>
    <t>1700_4B6A</t>
  </si>
  <si>
    <t>1700_4D6A</t>
  </si>
  <si>
    <t>1700_4F6A</t>
  </si>
  <si>
    <t>1700_516A</t>
  </si>
  <si>
    <t>1700_536A</t>
  </si>
  <si>
    <t>1700_556A</t>
  </si>
  <si>
    <t>1700_576A</t>
  </si>
  <si>
    <t>1700_596A</t>
  </si>
  <si>
    <t>1700_5B6A</t>
  </si>
  <si>
    <t>1700_5D6A</t>
  </si>
  <si>
    <t>1700_5F6A</t>
  </si>
  <si>
    <t>1700_616A</t>
  </si>
  <si>
    <t>1700_636A</t>
  </si>
  <si>
    <t>1700_656A</t>
  </si>
  <si>
    <t>1700_676A</t>
  </si>
  <si>
    <t>1700_696A</t>
  </si>
  <si>
    <t>1700_6B6A</t>
  </si>
  <si>
    <t>1700_6D6A</t>
  </si>
  <si>
    <t>1700_6F6A</t>
  </si>
  <si>
    <t>1700_716A</t>
  </si>
  <si>
    <t>1700_736A</t>
  </si>
  <si>
    <t>1700_756A</t>
  </si>
  <si>
    <t>1700_776A</t>
  </si>
  <si>
    <t>1700_796A</t>
  </si>
  <si>
    <t>1700_7B6A</t>
  </si>
  <si>
    <t>1700_7D6A</t>
  </si>
  <si>
    <t>1700_7F6A</t>
  </si>
  <si>
    <t>1700_016B</t>
  </si>
  <si>
    <t>1700_036B</t>
  </si>
  <si>
    <t>1700_056B</t>
  </si>
  <si>
    <t>1700_076B</t>
  </si>
  <si>
    <t>1700_096B</t>
  </si>
  <si>
    <t>1700_0B6B</t>
  </si>
  <si>
    <t>1700_0D6B</t>
  </si>
  <si>
    <t>1700_0F6B</t>
  </si>
  <si>
    <t>1700_116B</t>
  </si>
  <si>
    <t>1700_136B</t>
  </si>
  <si>
    <t>1700_156B</t>
  </si>
  <si>
    <t>1700_176B</t>
  </si>
  <si>
    <t>1700_196B</t>
  </si>
  <si>
    <t>1700_1B6B</t>
  </si>
  <si>
    <t>1700_1D6B</t>
  </si>
  <si>
    <t>1700_1F6B</t>
  </si>
  <si>
    <t>1700_216B</t>
  </si>
  <si>
    <t>1700_236B</t>
  </si>
  <si>
    <t>1700_256B</t>
  </si>
  <si>
    <t>1700_276B</t>
  </si>
  <si>
    <t>1700_296B</t>
  </si>
  <si>
    <t>1700_2B6B</t>
  </si>
  <si>
    <t>1700_2D6B</t>
  </si>
  <si>
    <t>1700_2F6B</t>
  </si>
  <si>
    <t>1700_316B</t>
  </si>
  <si>
    <t>1700_336B</t>
  </si>
  <si>
    <t>1700_356B</t>
  </si>
  <si>
    <t>1700_376B</t>
  </si>
  <si>
    <t>1700_396B</t>
  </si>
  <si>
    <t>1700_3B6B</t>
  </si>
  <si>
    <t>1700_3D6B</t>
  </si>
  <si>
    <t>1700_3F6B</t>
  </si>
  <si>
    <t>1700_416B</t>
  </si>
  <si>
    <t>1700_436B</t>
  </si>
  <si>
    <t>1700_456B</t>
  </si>
  <si>
    <t>1700_476B</t>
  </si>
  <si>
    <t>1700_496B</t>
  </si>
  <si>
    <t>1700_4B6B</t>
  </si>
  <si>
    <t>1700_4D6B</t>
  </si>
  <si>
    <t>1700_4F6B</t>
  </si>
  <si>
    <t>1700_516B</t>
  </si>
  <si>
    <t>1700_536B</t>
  </si>
  <si>
    <t>1700_556B</t>
  </si>
  <si>
    <t>1700_576B</t>
  </si>
  <si>
    <t>1700_596B</t>
  </si>
  <si>
    <t>1700_5B6B</t>
  </si>
  <si>
    <t>1700_5D6B</t>
  </si>
  <si>
    <t>1700_5F6B</t>
  </si>
  <si>
    <t>1700_616B</t>
  </si>
  <si>
    <t>1700_636B</t>
  </si>
  <si>
    <t>1700_656B</t>
  </si>
  <si>
    <t>1700_676B</t>
  </si>
  <si>
    <t>1700_696B</t>
  </si>
  <si>
    <t>1700_6B6B</t>
  </si>
  <si>
    <t>1700_6D6B</t>
  </si>
  <si>
    <t>1700_6F6B</t>
  </si>
  <si>
    <t>1700_716B</t>
  </si>
  <si>
    <t>1700_736B</t>
  </si>
  <si>
    <t>1700_756B</t>
  </si>
  <si>
    <t>1700_776B</t>
  </si>
  <si>
    <t>1700_796B</t>
  </si>
  <si>
    <t>1700_7B6B</t>
  </si>
  <si>
    <t>1700_7D6B</t>
  </si>
  <si>
    <t>1700_7F6B</t>
  </si>
  <si>
    <t>1700_016C</t>
  </si>
  <si>
    <t>1700_036C</t>
  </si>
  <si>
    <t>1700_056C</t>
  </si>
  <si>
    <t>1700_076C</t>
  </si>
  <si>
    <t>1700_096C</t>
  </si>
  <si>
    <t>1700_0B6C</t>
  </si>
  <si>
    <t>1700_0D6C</t>
  </si>
  <si>
    <t>1700_0F6C</t>
  </si>
  <si>
    <t>1700_116C</t>
  </si>
  <si>
    <t>1700_136C</t>
  </si>
  <si>
    <t>1700_156C</t>
  </si>
  <si>
    <t>1700_176C</t>
  </si>
  <si>
    <t>1700_196C</t>
  </si>
  <si>
    <t>1700_1B6C</t>
  </si>
  <si>
    <t>1700_1D6C</t>
  </si>
  <si>
    <t>1700_1F6C</t>
  </si>
  <si>
    <t>1700_216C</t>
  </si>
  <si>
    <t>1700_236C</t>
  </si>
  <si>
    <t>1700_256C</t>
  </si>
  <si>
    <t>1700_276C</t>
  </si>
  <si>
    <t>1700_296C</t>
  </si>
  <si>
    <t>1700_2B6C</t>
  </si>
  <si>
    <t>1700_2D6C</t>
  </si>
  <si>
    <t>1700_2F6C</t>
  </si>
  <si>
    <t>1700_316C</t>
  </si>
  <si>
    <t>1700_336C</t>
  </si>
  <si>
    <t>1700_356C</t>
  </si>
  <si>
    <t>1700_376C</t>
  </si>
  <si>
    <t>1700_396C</t>
  </si>
  <si>
    <t>1700_3B6C</t>
  </si>
  <si>
    <t>1700_3D6C</t>
  </si>
  <si>
    <t>1700_3F6C</t>
  </si>
  <si>
    <t>1700_416C</t>
  </si>
  <si>
    <t>1700_436C</t>
  </si>
  <si>
    <t>1700_456C</t>
  </si>
  <si>
    <t>1700_476C</t>
  </si>
  <si>
    <t>1700_496C</t>
  </si>
  <si>
    <t>1700_4B6C</t>
  </si>
  <si>
    <t>1700_4D6C</t>
  </si>
  <si>
    <t>1700_4F6C</t>
  </si>
  <si>
    <t>1700_516C</t>
  </si>
  <si>
    <t>1700_536C</t>
  </si>
  <si>
    <t>1700_556C</t>
  </si>
  <si>
    <t>1700_576C</t>
  </si>
  <si>
    <t>1700_596C</t>
  </si>
  <si>
    <t>1700_5B6C</t>
  </si>
  <si>
    <t>1700_5D6C</t>
  </si>
  <si>
    <t>1700_5F6C</t>
  </si>
  <si>
    <t>1700_616C</t>
  </si>
  <si>
    <t>1700_636C</t>
  </si>
  <si>
    <t>1700_656C</t>
  </si>
  <si>
    <t>1700_676C</t>
  </si>
  <si>
    <t>1700_696C</t>
  </si>
  <si>
    <t>1700_6B6C</t>
  </si>
  <si>
    <t>1700_6D6C</t>
  </si>
  <si>
    <t>1700_6F6C</t>
  </si>
  <si>
    <t>1700_716C</t>
  </si>
  <si>
    <t>1700_736C</t>
  </si>
  <si>
    <t>1700_756C</t>
  </si>
  <si>
    <t>1700_776C</t>
  </si>
  <si>
    <t>1700_796C</t>
  </si>
  <si>
    <t>1700_7B6C</t>
  </si>
  <si>
    <t>1700_7D6C</t>
  </si>
  <si>
    <t>1700_7F6C</t>
  </si>
  <si>
    <t>1700_016D</t>
  </si>
  <si>
    <t>1700_036D</t>
  </si>
  <si>
    <t>1700_056D</t>
  </si>
  <si>
    <t>1700_076D</t>
  </si>
  <si>
    <t>1700_096D</t>
  </si>
  <si>
    <t>1700_0B6D</t>
  </si>
  <si>
    <t>1700_0D6D</t>
  </si>
  <si>
    <t>1700_0F6D</t>
  </si>
  <si>
    <t>1700_116D</t>
  </si>
  <si>
    <t>1700_136D</t>
  </si>
  <si>
    <t>1700_156D</t>
  </si>
  <si>
    <t>1700_176D</t>
  </si>
  <si>
    <t>1700_196D</t>
  </si>
  <si>
    <t>1700_1B6D</t>
  </si>
  <si>
    <t>1700_1D6D</t>
  </si>
  <si>
    <t>1700_1F6D</t>
  </si>
  <si>
    <t>1700_216D</t>
  </si>
  <si>
    <t>1700_236D</t>
  </si>
  <si>
    <t>1700_256D</t>
  </si>
  <si>
    <t>1700_276D</t>
  </si>
  <si>
    <t>1700_296D</t>
  </si>
  <si>
    <t>1700_2B6D</t>
  </si>
  <si>
    <t>1700_2D6D</t>
  </si>
  <si>
    <t>1700_2F6D</t>
  </si>
  <si>
    <t>1700_316D</t>
  </si>
  <si>
    <t>1700_336D</t>
  </si>
  <si>
    <t>1700_356D</t>
  </si>
  <si>
    <t>1700_376D</t>
  </si>
  <si>
    <t>1700_396D</t>
  </si>
  <si>
    <t>1700_3B6D</t>
  </si>
  <si>
    <t>1700_3D6D</t>
  </si>
  <si>
    <t>1700_3F6D</t>
  </si>
  <si>
    <t>1700_416D</t>
  </si>
  <si>
    <t>1700_436D</t>
  </si>
  <si>
    <t>1700_456D</t>
  </si>
  <si>
    <t>1700_476D</t>
  </si>
  <si>
    <t>1700_496D</t>
  </si>
  <si>
    <t>1700_4B6D</t>
  </si>
  <si>
    <t>1700_4D6D</t>
  </si>
  <si>
    <t>1700_4F6D</t>
  </si>
  <si>
    <t>1700_516D</t>
  </si>
  <si>
    <t>1700_536D</t>
  </si>
  <si>
    <t>1700_556D</t>
  </si>
  <si>
    <t>1700_576D</t>
  </si>
  <si>
    <t>1700_596D</t>
  </si>
  <si>
    <t>1700_5B6D</t>
  </si>
  <si>
    <t>1700_5D6D</t>
  </si>
  <si>
    <t>1700_5F6D</t>
  </si>
  <si>
    <t>1700_616D</t>
  </si>
  <si>
    <t>1700_636D</t>
  </si>
  <si>
    <t>1700_656D</t>
  </si>
  <si>
    <t>1700_676D</t>
  </si>
  <si>
    <t>1700_696D</t>
  </si>
  <si>
    <t>1700_6B6D</t>
  </si>
  <si>
    <t>1700_6D6D</t>
  </si>
  <si>
    <t>1700_6F6D</t>
  </si>
  <si>
    <t>1700_716D</t>
  </si>
  <si>
    <t>1700_736D</t>
  </si>
  <si>
    <t>1700_756D</t>
  </si>
  <si>
    <t>1700_776D</t>
  </si>
  <si>
    <t>1700_796D</t>
  </si>
  <si>
    <t>1700_7B6D</t>
  </si>
  <si>
    <t>1700_7D6D</t>
  </si>
  <si>
    <t>1700_7F6D</t>
  </si>
  <si>
    <t>1700_016E</t>
  </si>
  <si>
    <t>1700_036E</t>
  </si>
  <si>
    <t>1700_056E</t>
  </si>
  <si>
    <t>1700_076E</t>
  </si>
  <si>
    <t>1700_096E</t>
  </si>
  <si>
    <t>1700_0B6E</t>
  </si>
  <si>
    <t>1700_0D6E</t>
  </si>
  <si>
    <t>1700_0F6E</t>
  </si>
  <si>
    <t>1700_116E</t>
  </si>
  <si>
    <t>1700_136E</t>
  </si>
  <si>
    <t>1700_156E</t>
  </si>
  <si>
    <t>1700_176E</t>
  </si>
  <si>
    <t>1700_196E</t>
  </si>
  <si>
    <t>1700_1B6E</t>
  </si>
  <si>
    <t>1700_1D6E</t>
  </si>
  <si>
    <t>1700_1F6E</t>
  </si>
  <si>
    <t>1700_216E</t>
  </si>
  <si>
    <t>1700_236E</t>
  </si>
  <si>
    <t>1700_256E</t>
  </si>
  <si>
    <t>1700_276E</t>
  </si>
  <si>
    <t>1700_296E</t>
  </si>
  <si>
    <t>1700_2B6E</t>
  </si>
  <si>
    <t>1700_2D6E</t>
  </si>
  <si>
    <t>1700_2F6E</t>
  </si>
  <si>
    <t>1700_316E</t>
  </si>
  <si>
    <t>1700_336E</t>
  </si>
  <si>
    <t>1700_356E</t>
  </si>
  <si>
    <t>1700_376E</t>
  </si>
  <si>
    <t>1700_396E</t>
  </si>
  <si>
    <t>1700_3B6E</t>
  </si>
  <si>
    <t>1700_3D6E</t>
  </si>
  <si>
    <t>1700_3F6E</t>
  </si>
  <si>
    <t>1700_416E</t>
  </si>
  <si>
    <t>1700_436E</t>
  </si>
  <si>
    <t>1700_456E</t>
  </si>
  <si>
    <t>1700_476E</t>
  </si>
  <si>
    <t>1700_496E</t>
  </si>
  <si>
    <t>1700_4B6E</t>
  </si>
  <si>
    <t>1700_4D6E</t>
  </si>
  <si>
    <t>1700_4F6E</t>
  </si>
  <si>
    <t>1700_516E</t>
  </si>
  <si>
    <t>1700_536E</t>
  </si>
  <si>
    <t>1700_556E</t>
  </si>
  <si>
    <t>1700_576E</t>
  </si>
  <si>
    <t>1700_596E</t>
  </si>
  <si>
    <t>1700_5B6E</t>
  </si>
  <si>
    <t>1700_5D6E</t>
  </si>
  <si>
    <t>1700_5F6E</t>
  </si>
  <si>
    <t>1700_616E</t>
  </si>
  <si>
    <t>1700_636E</t>
  </si>
  <si>
    <t>1700_656E</t>
  </si>
  <si>
    <t>1700_676E</t>
  </si>
  <si>
    <t>1700_696E</t>
  </si>
  <si>
    <t>1700_6B6E</t>
  </si>
  <si>
    <t>1700_6D6E</t>
  </si>
  <si>
    <t>1700_6F6E</t>
  </si>
  <si>
    <t>1700_716E</t>
  </si>
  <si>
    <t>1700_736E</t>
  </si>
  <si>
    <t>1700_756E</t>
  </si>
  <si>
    <t>1700_776E</t>
  </si>
  <si>
    <t>1700_796E</t>
  </si>
  <si>
    <t>1700_7B6E</t>
  </si>
  <si>
    <t>1700_7D6E</t>
  </si>
  <si>
    <t>1700_7F6E</t>
  </si>
  <si>
    <t>1700_016F</t>
  </si>
  <si>
    <t>1700_036F</t>
  </si>
  <si>
    <t>1700_056F</t>
  </si>
  <si>
    <t>1700_076F</t>
  </si>
  <si>
    <t>1700_096F</t>
  </si>
  <si>
    <t>1700_0B6F</t>
  </si>
  <si>
    <t>1700_0D6F</t>
  </si>
  <si>
    <t>1700_0F6F</t>
  </si>
  <si>
    <t>1700_116F</t>
  </si>
  <si>
    <t>1700_136F</t>
  </si>
  <si>
    <t>1700_156F</t>
  </si>
  <si>
    <t>1700_176F</t>
  </si>
  <si>
    <t>1700_196F</t>
  </si>
  <si>
    <t>1700_1B6F</t>
  </si>
  <si>
    <t>1700_1D6F</t>
  </si>
  <si>
    <t>1700_1F6F</t>
  </si>
  <si>
    <t>1700_216F</t>
  </si>
  <si>
    <t>1700_236F</t>
  </si>
  <si>
    <t>1700_256F</t>
  </si>
  <si>
    <t>1700_276F</t>
  </si>
  <si>
    <t>1700_296F</t>
  </si>
  <si>
    <t>1700_2B6F</t>
  </si>
  <si>
    <t>1700_2D6F</t>
  </si>
  <si>
    <t>1700_2F6F</t>
  </si>
  <si>
    <t>1700_316F</t>
  </si>
  <si>
    <t>1700_336F</t>
  </si>
  <si>
    <t>1700_356F</t>
  </si>
  <si>
    <t>1700_376F</t>
  </si>
  <si>
    <t>1700_396F</t>
  </si>
  <si>
    <t>1700_3B6F</t>
  </si>
  <si>
    <t>1700_3D6F</t>
  </si>
  <si>
    <t>1700_3F6F</t>
  </si>
  <si>
    <t>1700_416F</t>
  </si>
  <si>
    <t>1700_436F</t>
  </si>
  <si>
    <t>1700_456F</t>
  </si>
  <si>
    <t>1700_476F</t>
  </si>
  <si>
    <t>1700_496F</t>
  </si>
  <si>
    <t>1700_4B6F</t>
  </si>
  <si>
    <t>1700_4D6F</t>
  </si>
  <si>
    <t>1700_4F6F</t>
  </si>
  <si>
    <t>1700_516F</t>
  </si>
  <si>
    <t>1700_536F</t>
  </si>
  <si>
    <t>1700_556F</t>
  </si>
  <si>
    <t>1700_576F</t>
  </si>
  <si>
    <t>1700_596F</t>
  </si>
  <si>
    <t>1700_5B6F</t>
  </si>
  <si>
    <t>1700_5D6F</t>
  </si>
  <si>
    <t>1700_5F6F</t>
  </si>
  <si>
    <t>1700_616F</t>
  </si>
  <si>
    <t>1700_636F</t>
  </si>
  <si>
    <t>1700_656F</t>
  </si>
  <si>
    <t>1700_676F</t>
  </si>
  <si>
    <t>1700_696F</t>
  </si>
  <si>
    <t>1700_6B6F</t>
  </si>
  <si>
    <t>1700_6D6F</t>
  </si>
  <si>
    <t>1700_6F6F</t>
  </si>
  <si>
    <t>1700_716F</t>
  </si>
  <si>
    <t>1700_736F</t>
  </si>
  <si>
    <t>1700_756F</t>
  </si>
  <si>
    <t>1700_776F</t>
  </si>
  <si>
    <t>1700_796F</t>
  </si>
  <si>
    <t>1700_7B6F</t>
  </si>
  <si>
    <t>1700_7D6F</t>
  </si>
  <si>
    <t>1700_7F6F</t>
  </si>
  <si>
    <t>1700_0170</t>
  </si>
  <si>
    <t>1700_0370</t>
  </si>
  <si>
    <t>1700_0570</t>
  </si>
  <si>
    <t>1700_0770</t>
  </si>
  <si>
    <t>1700_0970</t>
  </si>
  <si>
    <t>1700_0B70</t>
  </si>
  <si>
    <t>1700_0D70</t>
  </si>
  <si>
    <t>1700_0F70</t>
  </si>
  <si>
    <t>1700_1170</t>
  </si>
  <si>
    <t>1700_1370</t>
  </si>
  <si>
    <t>1700_1570</t>
  </si>
  <si>
    <t>1700_1770</t>
  </si>
  <si>
    <t>1700_1970</t>
  </si>
  <si>
    <t>1700_1B70</t>
  </si>
  <si>
    <t>1700_1D70</t>
  </si>
  <si>
    <t>1700_1F70</t>
  </si>
  <si>
    <t>1700_2170</t>
  </si>
  <si>
    <t>1700_2370</t>
  </si>
  <si>
    <t>1700_2570</t>
  </si>
  <si>
    <t>1700_2770</t>
  </si>
  <si>
    <t>1700_2970</t>
  </si>
  <si>
    <t>1700_2B70</t>
  </si>
  <si>
    <t>1700_2D70</t>
  </si>
  <si>
    <t>1700_2F70</t>
  </si>
  <si>
    <t>1700_3170</t>
  </si>
  <si>
    <t>1700_3370</t>
  </si>
  <si>
    <t>1700_3570</t>
  </si>
  <si>
    <t>1700_3770</t>
  </si>
  <si>
    <t>1700_3970</t>
  </si>
  <si>
    <t>1700_3B70</t>
  </si>
  <si>
    <t>1700_3D70</t>
  </si>
  <si>
    <t>1700_3F70</t>
  </si>
  <si>
    <t>1700_4170</t>
  </si>
  <si>
    <t>1700_4370</t>
  </si>
  <si>
    <t>1700_4570</t>
  </si>
  <si>
    <t>1700_4770</t>
  </si>
  <si>
    <t>1700_4970</t>
  </si>
  <si>
    <t>1700_4B70</t>
  </si>
  <si>
    <t>1700_4D70</t>
  </si>
  <si>
    <t>1700_4F70</t>
  </si>
  <si>
    <t>1700_5170</t>
  </si>
  <si>
    <t>1700_5370</t>
  </si>
  <si>
    <t>1700_5570</t>
  </si>
  <si>
    <t>1700_5770</t>
  </si>
  <si>
    <t>1700_5970</t>
  </si>
  <si>
    <t>1700_5B70</t>
  </si>
  <si>
    <t>1700_5D70</t>
  </si>
  <si>
    <t>1700_5F70</t>
  </si>
  <si>
    <t>1700_6170</t>
  </si>
  <si>
    <t>1700_6370</t>
  </si>
  <si>
    <t>1700_6570</t>
  </si>
  <si>
    <t>1700_6770</t>
  </si>
  <si>
    <t>1700_6970</t>
  </si>
  <si>
    <t>1700_6B70</t>
  </si>
  <si>
    <t>1700_6D70</t>
  </si>
  <si>
    <t>1700_6F70</t>
  </si>
  <si>
    <t>1700_7170</t>
  </si>
  <si>
    <t>1700_7370</t>
  </si>
  <si>
    <t>1700_7570</t>
  </si>
  <si>
    <t>1700_7770</t>
  </si>
  <si>
    <t>1700_7970</t>
  </si>
  <si>
    <t>1700_7B70</t>
  </si>
  <si>
    <t>1700_7D70</t>
  </si>
  <si>
    <t>1700_7F70</t>
  </si>
  <si>
    <t>1700_0171</t>
  </si>
  <si>
    <t>1700_0371</t>
  </si>
  <si>
    <t>1700_0571</t>
  </si>
  <si>
    <t>1700_0771</t>
  </si>
  <si>
    <t>1700_0971</t>
  </si>
  <si>
    <t>1700_0B71</t>
  </si>
  <si>
    <t>1700_0D71</t>
  </si>
  <si>
    <t>1700_0F71</t>
  </si>
  <si>
    <t>1700_1171</t>
  </si>
  <si>
    <t>1700_1371</t>
  </si>
  <si>
    <t>1700_1571</t>
  </si>
  <si>
    <t>1700_1771</t>
  </si>
  <si>
    <t>1700_1971</t>
  </si>
  <si>
    <t>1700_1B71</t>
  </si>
  <si>
    <t>1700_1D71</t>
  </si>
  <si>
    <t>1700_1F71</t>
  </si>
  <si>
    <t>1700_2171</t>
  </si>
  <si>
    <t>1700_2371</t>
  </si>
  <si>
    <t>1700_2571</t>
  </si>
  <si>
    <t>1700_2771</t>
  </si>
  <si>
    <t>1700_2971</t>
  </si>
  <si>
    <t>1700_2B71</t>
  </si>
  <si>
    <t>1700_2D71</t>
  </si>
  <si>
    <t>1700_2F71</t>
  </si>
  <si>
    <t>1700_3171</t>
  </si>
  <si>
    <t>1700_3371</t>
  </si>
  <si>
    <t>1700_3571</t>
  </si>
  <si>
    <t>1700_3771</t>
  </si>
  <si>
    <t>1700_3971</t>
  </si>
  <si>
    <t>1700_3B71</t>
  </si>
  <si>
    <t>1700_3D71</t>
  </si>
  <si>
    <t>1700_3F71</t>
  </si>
  <si>
    <t>1700_4171</t>
  </si>
  <si>
    <t>1700_4371</t>
  </si>
  <si>
    <t>1700_4571</t>
  </si>
  <si>
    <t>1700_4771</t>
  </si>
  <si>
    <t>1700_4971</t>
  </si>
  <si>
    <t>1700_4B71</t>
  </si>
  <si>
    <t>1700_4D71</t>
  </si>
  <si>
    <t>1700_4F71</t>
  </si>
  <si>
    <t>1700_5171</t>
  </si>
  <si>
    <t>1700_5371</t>
  </si>
  <si>
    <t>1700_5571</t>
  </si>
  <si>
    <t>1700_5771</t>
  </si>
  <si>
    <t>1700_5971</t>
  </si>
  <si>
    <t>1700_5B71</t>
  </si>
  <si>
    <t>1700_5D71</t>
  </si>
  <si>
    <t>1700_5F71</t>
  </si>
  <si>
    <t>1700_6171</t>
  </si>
  <si>
    <t>1700_6371</t>
  </si>
  <si>
    <t>1700_6571</t>
  </si>
  <si>
    <t>1700_6771</t>
  </si>
  <si>
    <t>1700_6971</t>
  </si>
  <si>
    <t>1700_6B71</t>
  </si>
  <si>
    <t>1700_6D71</t>
  </si>
  <si>
    <t>1700_6F71</t>
  </si>
  <si>
    <t>1700_7171</t>
  </si>
  <si>
    <t>1700_7371</t>
  </si>
  <si>
    <t>1700_7571</t>
  </si>
  <si>
    <t>1700_7771</t>
  </si>
  <si>
    <t>1700_7971</t>
  </si>
  <si>
    <t>1700_7B71</t>
  </si>
  <si>
    <t>1700_7D71</t>
  </si>
  <si>
    <t>1700_7F71</t>
  </si>
  <si>
    <t>1700_0172</t>
  </si>
  <si>
    <t>1700_0372</t>
  </si>
  <si>
    <t>1700_0572</t>
  </si>
  <si>
    <t>1700_0772</t>
  </si>
  <si>
    <t>1700_0972</t>
  </si>
  <si>
    <t>1700_0B72</t>
  </si>
  <si>
    <t>1700_0D72</t>
  </si>
  <si>
    <t>1700_0F72</t>
  </si>
  <si>
    <t>1700_1172</t>
  </si>
  <si>
    <t>1700_1372</t>
  </si>
  <si>
    <t>1700_1572</t>
  </si>
  <si>
    <t>1700_1772</t>
  </si>
  <si>
    <t>1700_1972</t>
  </si>
  <si>
    <t>1700_1B72</t>
  </si>
  <si>
    <t>1700_1D72</t>
  </si>
  <si>
    <t>1700_1F72</t>
  </si>
  <si>
    <t>1700_2172</t>
  </si>
  <si>
    <t>1700_2372</t>
  </si>
  <si>
    <t>1700_2572</t>
  </si>
  <si>
    <t>1700_2772</t>
  </si>
  <si>
    <t>1700_2972</t>
  </si>
  <si>
    <t>1700_2B72</t>
  </si>
  <si>
    <t>1700_2D72</t>
  </si>
  <si>
    <t>1700_2F72</t>
  </si>
  <si>
    <t>1700_3172</t>
  </si>
  <si>
    <t>1700_3372</t>
  </si>
  <si>
    <t>1700_3572</t>
  </si>
  <si>
    <t>1700_3772</t>
  </si>
  <si>
    <t>1700_3972</t>
  </si>
  <si>
    <t>1700_3B72</t>
  </si>
  <si>
    <t>1700_3D72</t>
  </si>
  <si>
    <t>1700_3F72</t>
  </si>
  <si>
    <t>1700_4172</t>
  </si>
  <si>
    <t>1700_4372</t>
  </si>
  <si>
    <t>1700_4572</t>
  </si>
  <si>
    <t>1700_4772</t>
  </si>
  <si>
    <t>1700_4972</t>
  </si>
  <si>
    <t>1700_4B72</t>
  </si>
  <si>
    <t>1700_4D72</t>
  </si>
  <si>
    <t>1700_4F72</t>
  </si>
  <si>
    <t>1700_5172</t>
  </si>
  <si>
    <t>1700_5372</t>
  </si>
  <si>
    <t>1700_5572</t>
  </si>
  <si>
    <t>1700_5772</t>
  </si>
  <si>
    <t>1700_5972</t>
  </si>
  <si>
    <t>1700_5B72</t>
  </si>
  <si>
    <t>1700_5D72</t>
  </si>
  <si>
    <t>1700_5F72</t>
  </si>
  <si>
    <t>1700_6172</t>
  </si>
  <si>
    <t>1700_6372</t>
  </si>
  <si>
    <t>1700_6572</t>
  </si>
  <si>
    <t>1700_6772</t>
  </si>
  <si>
    <t>1700_6972</t>
  </si>
  <si>
    <t>1700_6B72</t>
  </si>
  <si>
    <t>1700_6D72</t>
  </si>
  <si>
    <t>1700_6F72</t>
  </si>
  <si>
    <t>1700_7172</t>
  </si>
  <si>
    <t>1700_7372</t>
  </si>
  <si>
    <t>1700_7572</t>
  </si>
  <si>
    <t>1700_7772</t>
  </si>
  <si>
    <t>1700_7972</t>
  </si>
  <si>
    <t>1700_7B72</t>
  </si>
  <si>
    <t>1700_7D72</t>
  </si>
  <si>
    <t>1700_7F72</t>
  </si>
  <si>
    <t>1700_0173</t>
  </si>
  <si>
    <t>1700_0373</t>
  </si>
  <si>
    <t>1700_0573</t>
  </si>
  <si>
    <t>1700_0773</t>
  </si>
  <si>
    <t>1700_0973</t>
  </si>
  <si>
    <t>1700_0B73</t>
  </si>
  <si>
    <t>1700_0D73</t>
  </si>
  <si>
    <t>1700_0F73</t>
  </si>
  <si>
    <t>1700_1173</t>
  </si>
  <si>
    <t>1700_1373</t>
  </si>
  <si>
    <t>1700_1573</t>
  </si>
  <si>
    <t>1700_1773</t>
  </si>
  <si>
    <t>1700_1973</t>
  </si>
  <si>
    <t>1700_1B73</t>
  </si>
  <si>
    <t>1700_1D73</t>
  </si>
  <si>
    <t>1700_1F73</t>
  </si>
  <si>
    <t>1700_2173</t>
  </si>
  <si>
    <t>1700_2373</t>
  </si>
  <si>
    <t>1700_2573</t>
  </si>
  <si>
    <t>1700_2773</t>
  </si>
  <si>
    <t>1700_2973</t>
  </si>
  <si>
    <t>1700_2B73</t>
  </si>
  <si>
    <t>1700_2D73</t>
  </si>
  <si>
    <t>1700_2F73</t>
  </si>
  <si>
    <t>1700_3173</t>
  </si>
  <si>
    <t>1700_3373</t>
  </si>
  <si>
    <t>1700_3573</t>
  </si>
  <si>
    <t>1700_3773</t>
  </si>
  <si>
    <t>1700_3973</t>
  </si>
  <si>
    <t>1700_3B73</t>
  </si>
  <si>
    <t>1700_3D73</t>
  </si>
  <si>
    <t>1700_3F73</t>
  </si>
  <si>
    <t>1700_4173</t>
  </si>
  <si>
    <t>1700_4373</t>
  </si>
  <si>
    <t>1700_4573</t>
  </si>
  <si>
    <t>1700_4773</t>
  </si>
  <si>
    <t>1700_4973</t>
  </si>
  <si>
    <t>1700_4B73</t>
  </si>
  <si>
    <t>1700_4D73</t>
  </si>
  <si>
    <t>1700_4F73</t>
  </si>
  <si>
    <t>1700_5173</t>
  </si>
  <si>
    <t>1700_5373</t>
  </si>
  <si>
    <t>1700_5573</t>
  </si>
  <si>
    <t>1700_5773</t>
  </si>
  <si>
    <t>1700_5973</t>
  </si>
  <si>
    <t>1700_5B73</t>
  </si>
  <si>
    <t>1700_5D73</t>
  </si>
  <si>
    <t>1700_5F73</t>
  </si>
  <si>
    <t>1700_6173</t>
  </si>
  <si>
    <t>1700_6373</t>
  </si>
  <si>
    <t>1700_6573</t>
  </si>
  <si>
    <t>1700_6773</t>
  </si>
  <si>
    <t>1700_6973</t>
  </si>
  <si>
    <t>1700_6B73</t>
  </si>
  <si>
    <t>1700_6D73</t>
  </si>
  <si>
    <t>1700_6F73</t>
  </si>
  <si>
    <t>1700_7173</t>
  </si>
  <si>
    <t>1700_7373</t>
  </si>
  <si>
    <t>1700_7573</t>
  </si>
  <si>
    <t>1700_7773</t>
  </si>
  <si>
    <t>1700_7973</t>
  </si>
  <si>
    <t>1700_7B73</t>
  </si>
  <si>
    <t>1700_7D73</t>
  </si>
  <si>
    <t>1700_7F73</t>
  </si>
  <si>
    <t>1700_0174</t>
  </si>
  <si>
    <t>1700_0374</t>
  </si>
  <si>
    <t>1700_0574</t>
  </si>
  <si>
    <t>1700_0774</t>
  </si>
  <si>
    <t>1700_0974</t>
  </si>
  <si>
    <t>1700_0B74</t>
  </si>
  <si>
    <t>1700_0D74</t>
  </si>
  <si>
    <t>1700_0F74</t>
  </si>
  <si>
    <t>1700_1174</t>
  </si>
  <si>
    <t>1700_1374</t>
  </si>
  <si>
    <t>1700_1574</t>
  </si>
  <si>
    <t>1700_1774</t>
  </si>
  <si>
    <t>1700_1974</t>
  </si>
  <si>
    <t>1700_1B74</t>
  </si>
  <si>
    <t>1700_1D74</t>
  </si>
  <si>
    <t>1700_1F74</t>
  </si>
  <si>
    <t>1700_2174</t>
  </si>
  <si>
    <t>1700_2374</t>
  </si>
  <si>
    <t>1700_2574</t>
  </si>
  <si>
    <t>1700_2774</t>
  </si>
  <si>
    <t>1700_2974</t>
  </si>
  <si>
    <t>1700_2B74</t>
  </si>
  <si>
    <t>1700_2D74</t>
  </si>
  <si>
    <t>1700_2F74</t>
  </si>
  <si>
    <t>1700_3174</t>
  </si>
  <si>
    <t>1700_3374</t>
  </si>
  <si>
    <t>1700_3574</t>
  </si>
  <si>
    <t>1700_3774</t>
  </si>
  <si>
    <t>1700_3974</t>
  </si>
  <si>
    <t>1700_3B74</t>
  </si>
  <si>
    <t>1700_3D74</t>
  </si>
  <si>
    <t>1700_3F74</t>
  </si>
  <si>
    <t>1700_4174</t>
  </si>
  <si>
    <t>1700_4374</t>
  </si>
  <si>
    <t>1700_4574</t>
  </si>
  <si>
    <t>1700_4774</t>
  </si>
  <si>
    <t>1700_4974</t>
  </si>
  <si>
    <t>1700_4B74</t>
  </si>
  <si>
    <t>1700_4D74</t>
  </si>
  <si>
    <t>1700_4F74</t>
  </si>
  <si>
    <t>1700_5174</t>
  </si>
  <si>
    <t>1700_5374</t>
  </si>
  <si>
    <t>1700_5574</t>
  </si>
  <si>
    <t>1700_5774</t>
  </si>
  <si>
    <t>1700_5974</t>
  </si>
  <si>
    <t>1700_5B74</t>
  </si>
  <si>
    <t>1700_5D74</t>
  </si>
  <si>
    <t>1700_5F74</t>
  </si>
  <si>
    <t>1700_6174</t>
  </si>
  <si>
    <t>1700_6374</t>
  </si>
  <si>
    <t>1700_6574</t>
  </si>
  <si>
    <t>1700_6774</t>
  </si>
  <si>
    <t>1700_6974</t>
  </si>
  <si>
    <t>1700_6B74</t>
  </si>
  <si>
    <t>1700_6D74</t>
  </si>
  <si>
    <t>1700_6F74</t>
  </si>
  <si>
    <t>1700_7174</t>
  </si>
  <si>
    <t>1700_7374</t>
  </si>
  <si>
    <t>1700_7574</t>
  </si>
  <si>
    <t>1700_7774</t>
  </si>
  <si>
    <t>1700_7974</t>
  </si>
  <si>
    <t>1700_7B74</t>
  </si>
  <si>
    <t>1700_7D74</t>
  </si>
  <si>
    <t>1700_7F74</t>
  </si>
  <si>
    <t>1700_0175</t>
  </si>
  <si>
    <t>1700_0375</t>
  </si>
  <si>
    <t>1700_0575</t>
  </si>
  <si>
    <t>1700_0775</t>
  </si>
  <si>
    <t>1700_0975</t>
  </si>
  <si>
    <t>1700_0B75</t>
  </si>
  <si>
    <t>1700_0D75</t>
  </si>
  <si>
    <t>1700_0F75</t>
  </si>
  <si>
    <t>1700_1175</t>
  </si>
  <si>
    <t>1700_1375</t>
  </si>
  <si>
    <t>1700_1575</t>
  </si>
  <si>
    <t>1700_1775</t>
  </si>
  <si>
    <t>1700_1975</t>
  </si>
  <si>
    <t>1700_1B75</t>
  </si>
  <si>
    <t>1700_1D75</t>
  </si>
  <si>
    <t>1700_1F75</t>
  </si>
  <si>
    <t>1700_2175</t>
  </si>
  <si>
    <t>1700_2375</t>
  </si>
  <si>
    <t>1700_2575</t>
  </si>
  <si>
    <t>1700_2775</t>
  </si>
  <si>
    <t>1700_2975</t>
  </si>
  <si>
    <t>1700_2B75</t>
  </si>
  <si>
    <t>1700_2D75</t>
  </si>
  <si>
    <t>1700_2F75</t>
  </si>
  <si>
    <t>1700_3175</t>
  </si>
  <si>
    <t>1700_3375</t>
  </si>
  <si>
    <t>1700_3575</t>
  </si>
  <si>
    <t>1700_3775</t>
  </si>
  <si>
    <t>1700_3975</t>
  </si>
  <si>
    <t>1700_3B75</t>
  </si>
  <si>
    <t>1700_3D75</t>
  </si>
  <si>
    <t>1700_3F75</t>
  </si>
  <si>
    <t>1700_4175</t>
  </si>
  <si>
    <t>1700_4375</t>
  </si>
  <si>
    <t>1700_4575</t>
  </si>
  <si>
    <t>1700_4775</t>
  </si>
  <si>
    <t>1700_4975</t>
  </si>
  <si>
    <t>1700_4B75</t>
  </si>
  <si>
    <t>1700_4D75</t>
  </si>
  <si>
    <t>1700_4F75</t>
  </si>
  <si>
    <t>1700_5175</t>
  </si>
  <si>
    <t>1700_5375</t>
  </si>
  <si>
    <t>1700_5575</t>
  </si>
  <si>
    <t>1700_5775</t>
  </si>
  <si>
    <t>1700_5975</t>
  </si>
  <si>
    <t>1700_5B75</t>
  </si>
  <si>
    <t>1700_5D75</t>
  </si>
  <si>
    <t>1700_5F75</t>
  </si>
  <si>
    <t>1700_6175</t>
  </si>
  <si>
    <t>1700_6375</t>
  </si>
  <si>
    <t>1700_6575</t>
  </si>
  <si>
    <t>1700_6775</t>
  </si>
  <si>
    <t>1700_6975</t>
  </si>
  <si>
    <t>1700_6B75</t>
  </si>
  <si>
    <t>1700_6D75</t>
  </si>
  <si>
    <t>1700_6F75</t>
  </si>
  <si>
    <t>1700_7175</t>
  </si>
  <si>
    <t>1700_7375</t>
  </si>
  <si>
    <t>1700_7575</t>
  </si>
  <si>
    <t>1700_7775</t>
  </si>
  <si>
    <t>1700_7975</t>
  </si>
  <si>
    <t>1700_7B75</t>
  </si>
  <si>
    <t>1700_7D75</t>
  </si>
  <si>
    <t>1700_7F75</t>
  </si>
  <si>
    <t>1700_0176</t>
  </si>
  <si>
    <t>1700_0376</t>
  </si>
  <si>
    <t>1700_0576</t>
  </si>
  <si>
    <t>1700_0776</t>
  </si>
  <si>
    <t>1700_0976</t>
  </si>
  <si>
    <t>1700_0B76</t>
  </si>
  <si>
    <t>1700_0D76</t>
  </si>
  <si>
    <t>1700_0F76</t>
  </si>
  <si>
    <t>1700_1176</t>
  </si>
  <si>
    <t>1700_1376</t>
  </si>
  <si>
    <t>1700_1576</t>
  </si>
  <si>
    <t>1700_1776</t>
  </si>
  <si>
    <t>1700_1976</t>
  </si>
  <si>
    <t>1700_1B76</t>
  </si>
  <si>
    <t>1700_1D76</t>
  </si>
  <si>
    <t>1700_1F76</t>
  </si>
  <si>
    <t>1700_2176</t>
  </si>
  <si>
    <t>1700_2376</t>
  </si>
  <si>
    <t>1700_2576</t>
  </si>
  <si>
    <t>1700_2776</t>
  </si>
  <si>
    <t>1700_2976</t>
  </si>
  <si>
    <t>1700_2B76</t>
  </si>
  <si>
    <t>1700_2D76</t>
  </si>
  <si>
    <t>1700_2F76</t>
  </si>
  <si>
    <t>1700_3176</t>
  </si>
  <si>
    <t>1700_3376</t>
  </si>
  <si>
    <t>1700_3576</t>
  </si>
  <si>
    <t>1700_3776</t>
  </si>
  <si>
    <t>1700_3976</t>
  </si>
  <si>
    <t>1700_3B76</t>
  </si>
  <si>
    <t>1700_3D76</t>
  </si>
  <si>
    <t>1700_3F76</t>
  </si>
  <si>
    <t>1700_4176</t>
  </si>
  <si>
    <t>1700_4376</t>
  </si>
  <si>
    <t>1700_4576</t>
  </si>
  <si>
    <t>1700_4776</t>
  </si>
  <si>
    <t>1700_4976</t>
  </si>
  <si>
    <t>1700_4B76</t>
  </si>
  <si>
    <t>1700_4D76</t>
  </si>
  <si>
    <t>1700_4F76</t>
  </si>
  <si>
    <t>1700_5176</t>
  </si>
  <si>
    <t>1700_5376</t>
  </si>
  <si>
    <t>1700_5576</t>
  </si>
  <si>
    <t>1700_5776</t>
  </si>
  <si>
    <t>1700_5976</t>
  </si>
  <si>
    <t>1700_5B76</t>
  </si>
  <si>
    <t>1700_5D76</t>
  </si>
  <si>
    <t>1700_5F76</t>
  </si>
  <si>
    <t>1700_6176</t>
  </si>
  <si>
    <t>1700_6376</t>
  </si>
  <si>
    <t>1700_6576</t>
  </si>
  <si>
    <t>1700_6776</t>
  </si>
  <si>
    <t>1700_6976</t>
  </si>
  <si>
    <t>1700_6B76</t>
  </si>
  <si>
    <t>1700_6D76</t>
  </si>
  <si>
    <t>1700_6F76</t>
  </si>
  <si>
    <t>1700_7176</t>
  </si>
  <si>
    <t>1700_7376</t>
  </si>
  <si>
    <t>1700_7576</t>
  </si>
  <si>
    <t>1700_7776</t>
  </si>
  <si>
    <t>1700_7976</t>
  </si>
  <si>
    <t>1700_7B76</t>
  </si>
  <si>
    <t>1700_7D76</t>
  </si>
  <si>
    <t>1700_7F76</t>
  </si>
  <si>
    <t>1700_0177</t>
  </si>
  <si>
    <t>1700_0377</t>
  </si>
  <si>
    <t>1700_0577</t>
  </si>
  <si>
    <t>1700_0777</t>
  </si>
  <si>
    <t>1700_0977</t>
  </si>
  <si>
    <t>1700_0B77</t>
  </si>
  <si>
    <t>1700_0D77</t>
  </si>
  <si>
    <t>1700_0F77</t>
  </si>
  <si>
    <t>1700_1177</t>
  </si>
  <si>
    <t>1700_1377</t>
  </si>
  <si>
    <t>1700_1577</t>
  </si>
  <si>
    <t>1700_1777</t>
  </si>
  <si>
    <t>1700_1977</t>
  </si>
  <si>
    <t>1700_1B77</t>
  </si>
  <si>
    <t>1700_1D77</t>
  </si>
  <si>
    <t>1700_1F77</t>
  </si>
  <si>
    <t>1700_2177</t>
  </si>
  <si>
    <t>1700_2377</t>
  </si>
  <si>
    <t>1700_2577</t>
  </si>
  <si>
    <t>1700_2777</t>
  </si>
  <si>
    <t>1700_2977</t>
  </si>
  <si>
    <t>1700_2B77</t>
  </si>
  <si>
    <t>1700_2D77</t>
  </si>
  <si>
    <t>1700_2F77</t>
  </si>
  <si>
    <t>1700_3177</t>
  </si>
  <si>
    <t>1700_3377</t>
  </si>
  <si>
    <t>1700_3577</t>
  </si>
  <si>
    <t>1700_3777</t>
  </si>
  <si>
    <t>1700_3977</t>
  </si>
  <si>
    <t>1700_3B77</t>
  </si>
  <si>
    <t>1700_3D77</t>
  </si>
  <si>
    <t>1700_3F77</t>
  </si>
  <si>
    <t>1700_4177</t>
  </si>
  <si>
    <t>1700_4377</t>
  </si>
  <si>
    <t>1700_4577</t>
  </si>
  <si>
    <t>1700_4777</t>
  </si>
  <si>
    <t>1700_4977</t>
  </si>
  <si>
    <t>1700_4B77</t>
  </si>
  <si>
    <t>1700_4D77</t>
  </si>
  <si>
    <t>1700_4F77</t>
  </si>
  <si>
    <t>1700_5177</t>
  </si>
  <si>
    <t>1700_5377</t>
  </si>
  <si>
    <t>1700_5577</t>
  </si>
  <si>
    <t>1700_5777</t>
  </si>
  <si>
    <t>1700_5977</t>
  </si>
  <si>
    <t>1700_5B77</t>
  </si>
  <si>
    <t>1700_5D77</t>
  </si>
  <si>
    <t>1700_5F77</t>
  </si>
  <si>
    <t>1700_6177</t>
  </si>
  <si>
    <t>1700_6377</t>
  </si>
  <si>
    <t>1700_6577</t>
  </si>
  <si>
    <t>1700_6777</t>
  </si>
  <si>
    <t>1700_6977</t>
  </si>
  <si>
    <t>1700_6B77</t>
  </si>
  <si>
    <t>1700_6D77</t>
  </si>
  <si>
    <t>1700_6F77</t>
  </si>
  <si>
    <t>1700_7177</t>
  </si>
  <si>
    <t>1700_7377</t>
  </si>
  <si>
    <t>1700_7577</t>
  </si>
  <si>
    <t>1700_7777</t>
  </si>
  <si>
    <t>1700_7977</t>
  </si>
  <si>
    <t>1700_7B77</t>
  </si>
  <si>
    <t>1700_7D77</t>
  </si>
  <si>
    <t>1700_7F77</t>
  </si>
  <si>
    <t>1700_0178</t>
  </si>
  <si>
    <t>1700_0378</t>
  </si>
  <si>
    <t>1700_0578</t>
  </si>
  <si>
    <t>1700_0778</t>
  </si>
  <si>
    <t>1700_0978</t>
  </si>
  <si>
    <t>1700_0B78</t>
  </si>
  <si>
    <t>1700_0D78</t>
  </si>
  <si>
    <t>1700_0F78</t>
  </si>
  <si>
    <t>1700_1178</t>
  </si>
  <si>
    <t>1700_1378</t>
  </si>
  <si>
    <t>1700_1578</t>
  </si>
  <si>
    <t>1700_1778</t>
  </si>
  <si>
    <t>1700_1978</t>
  </si>
  <si>
    <t>1700_1B78</t>
  </si>
  <si>
    <t>1700_1D78</t>
  </si>
  <si>
    <t>1700_1F78</t>
  </si>
  <si>
    <t>1700_2178</t>
  </si>
  <si>
    <t>1700_2378</t>
  </si>
  <si>
    <t>1700_2578</t>
  </si>
  <si>
    <t>1700_2778</t>
  </si>
  <si>
    <t>1700_2978</t>
  </si>
  <si>
    <t>1700_2B78</t>
  </si>
  <si>
    <t>1700_2D78</t>
  </si>
  <si>
    <t>1700_2F78</t>
  </si>
  <si>
    <t>1700_3178</t>
  </si>
  <si>
    <t>1700_3378</t>
  </si>
  <si>
    <t>1700_3578</t>
  </si>
  <si>
    <t>1700_3778</t>
  </si>
  <si>
    <t>1700_3978</t>
  </si>
  <si>
    <t>1700_3B78</t>
  </si>
  <si>
    <t>1700_3D78</t>
  </si>
  <si>
    <t>1700_3F78</t>
  </si>
  <si>
    <t>1700_4178</t>
  </si>
  <si>
    <t>1700_4378</t>
  </si>
  <si>
    <t>1700_4578</t>
  </si>
  <si>
    <t>1700_4778</t>
  </si>
  <si>
    <t>1700_4978</t>
  </si>
  <si>
    <t>1700_4B78</t>
  </si>
  <si>
    <t>1700_4D78</t>
  </si>
  <si>
    <t>1700_4F78</t>
  </si>
  <si>
    <t>1700_5178</t>
  </si>
  <si>
    <t>1700_5378</t>
  </si>
  <si>
    <t>1700_5578</t>
  </si>
  <si>
    <t>1700_5778</t>
  </si>
  <si>
    <t>1700_5978</t>
  </si>
  <si>
    <t>1700_5B78</t>
  </si>
  <si>
    <t>1700_5D78</t>
  </si>
  <si>
    <t>1700_5F78</t>
  </si>
  <si>
    <t>1700_6178</t>
  </si>
  <si>
    <t>1700_6378</t>
  </si>
  <si>
    <t>1700_6578</t>
  </si>
  <si>
    <t>1700_6778</t>
  </si>
  <si>
    <t>1700_6978</t>
  </si>
  <si>
    <t>1700_6B78</t>
  </si>
  <si>
    <t>1700_6D78</t>
  </si>
  <si>
    <t>1700_6F78</t>
  </si>
  <si>
    <t>1700_7178</t>
  </si>
  <si>
    <t>1700_7378</t>
  </si>
  <si>
    <t>1700_7578</t>
  </si>
  <si>
    <t>1700_7778</t>
  </si>
  <si>
    <t>1700_7978</t>
  </si>
  <si>
    <t>1700_7B78</t>
  </si>
  <si>
    <t>1700_7D78</t>
  </si>
  <si>
    <t>1700_7F78</t>
  </si>
  <si>
    <t>1700_0179</t>
  </si>
  <si>
    <t>1700_0379</t>
  </si>
  <si>
    <t>1700_0579</t>
  </si>
  <si>
    <t>1700_0779</t>
  </si>
  <si>
    <t>1700_0979</t>
  </si>
  <si>
    <t>1700_0B79</t>
  </si>
  <si>
    <t>1700_0D79</t>
  </si>
  <si>
    <t>1700_0F79</t>
  </si>
  <si>
    <t>1700_1179</t>
  </si>
  <si>
    <t>1700_1379</t>
  </si>
  <si>
    <t>1700_1579</t>
  </si>
  <si>
    <t>1700_1779</t>
  </si>
  <si>
    <t>1700_1979</t>
  </si>
  <si>
    <t>1700_1B79</t>
  </si>
  <si>
    <t>1700_1D79</t>
  </si>
  <si>
    <t>1700_1F79</t>
  </si>
  <si>
    <t>1700_2179</t>
  </si>
  <si>
    <t>1700_2379</t>
  </si>
  <si>
    <t>1700_2579</t>
  </si>
  <si>
    <t>1700_2779</t>
  </si>
  <si>
    <t>1700_2979</t>
  </si>
  <si>
    <t>1700_2B79</t>
  </si>
  <si>
    <t>1700_2D79</t>
  </si>
  <si>
    <t>1700_2F79</t>
  </si>
  <si>
    <t>1700_3179</t>
  </si>
  <si>
    <t>1700_3379</t>
  </si>
  <si>
    <t>1700_3579</t>
  </si>
  <si>
    <t>1700_3779</t>
  </si>
  <si>
    <t>1700_3979</t>
  </si>
  <si>
    <t>1700_3B79</t>
  </si>
  <si>
    <t>1700_3D79</t>
  </si>
  <si>
    <t>1700_3F79</t>
  </si>
  <si>
    <t>1700_4179</t>
  </si>
  <si>
    <t>1700_4379</t>
  </si>
  <si>
    <t>1700_4579</t>
  </si>
  <si>
    <t>1700_4779</t>
  </si>
  <si>
    <t>1700_4979</t>
  </si>
  <si>
    <t>1700_4B79</t>
  </si>
  <si>
    <t>1700_4D79</t>
  </si>
  <si>
    <t>1700_4F79</t>
  </si>
  <si>
    <t>1700_5179</t>
  </si>
  <si>
    <t>1700_5379</t>
  </si>
  <si>
    <t>1700_5579</t>
  </si>
  <si>
    <t>1700_5779</t>
  </si>
  <si>
    <t>1700_5979</t>
  </si>
  <si>
    <t>1700_5B79</t>
  </si>
  <si>
    <t>1700_5D79</t>
  </si>
  <si>
    <t>1700_5F79</t>
  </si>
  <si>
    <t>1700_6179</t>
  </si>
  <si>
    <t>1700_6379</t>
  </si>
  <si>
    <t>1700_6579</t>
  </si>
  <si>
    <t>1700_6779</t>
  </si>
  <si>
    <t>1700_6979</t>
  </si>
  <si>
    <t>1700_6B79</t>
  </si>
  <si>
    <t>1700_6D79</t>
  </si>
  <si>
    <t>1700_6F79</t>
  </si>
  <si>
    <t>1700_7179</t>
  </si>
  <si>
    <t>1700_7379</t>
  </si>
  <si>
    <t>1700_7579</t>
  </si>
  <si>
    <t>1700_7779</t>
  </si>
  <si>
    <t>1700_7979</t>
  </si>
  <si>
    <t>1700_7B79</t>
  </si>
  <si>
    <t>1700_7D79</t>
  </si>
  <si>
    <t>1700_7F79</t>
  </si>
  <si>
    <t>1700_017A</t>
  </si>
  <si>
    <t>1700_037A</t>
  </si>
  <si>
    <t>1700_057A</t>
  </si>
  <si>
    <t>1700_077A</t>
  </si>
  <si>
    <t>1700_097A</t>
  </si>
  <si>
    <t>1700_0B7A</t>
  </si>
  <si>
    <t>1700_0D7A</t>
  </si>
  <si>
    <t>1700_0F7A</t>
  </si>
  <si>
    <t>1700_117A</t>
  </si>
  <si>
    <t>1700_137A</t>
  </si>
  <si>
    <t>1700_157A</t>
  </si>
  <si>
    <t>1700_177A</t>
  </si>
  <si>
    <t>1700_197A</t>
  </si>
  <si>
    <t>1700_1B7A</t>
  </si>
  <si>
    <t>1700_1D7A</t>
  </si>
  <si>
    <t>1700_1F7A</t>
  </si>
  <si>
    <t>1700_217A</t>
  </si>
  <si>
    <t>1700_237A</t>
  </si>
  <si>
    <t>1700_257A</t>
  </si>
  <si>
    <t>1700_277A</t>
  </si>
  <si>
    <t>1700_297A</t>
  </si>
  <si>
    <t>1700_2B7A</t>
  </si>
  <si>
    <t>1700_2D7A</t>
  </si>
  <si>
    <t>1700_2F7A</t>
  </si>
  <si>
    <t>1700_317A</t>
  </si>
  <si>
    <t>1700_337A</t>
  </si>
  <si>
    <t>1700_357A</t>
  </si>
  <si>
    <t>1700_377A</t>
  </si>
  <si>
    <t>1700_397A</t>
  </si>
  <si>
    <t>1700_3B7A</t>
  </si>
  <si>
    <t>1700_3D7A</t>
  </si>
  <si>
    <t>1700_3F7A</t>
  </si>
  <si>
    <t>1700_417A</t>
  </si>
  <si>
    <t>1700_437A</t>
  </si>
  <si>
    <t>1700_457A</t>
  </si>
  <si>
    <t>1700_477A</t>
  </si>
  <si>
    <t>1700_497A</t>
  </si>
  <si>
    <t>1700_4B7A</t>
  </si>
  <si>
    <t>1700_4D7A</t>
  </si>
  <si>
    <t>1700_4F7A</t>
  </si>
  <si>
    <t>1700_517A</t>
  </si>
  <si>
    <t>1700_537A</t>
  </si>
  <si>
    <t>1700_557A</t>
  </si>
  <si>
    <t>1700_577A</t>
  </si>
  <si>
    <t>1700_597A</t>
  </si>
  <si>
    <t>1700_5B7A</t>
  </si>
  <si>
    <t>1700_5D7A</t>
  </si>
  <si>
    <t>1700_5F7A</t>
  </si>
  <si>
    <t>1700_617A</t>
  </si>
  <si>
    <t>1700_637A</t>
  </si>
  <si>
    <t>1700_657A</t>
  </si>
  <si>
    <t>1700_677A</t>
  </si>
  <si>
    <t>1700_697A</t>
  </si>
  <si>
    <t>1700_6B7A</t>
  </si>
  <si>
    <t>1700_6D7A</t>
  </si>
  <si>
    <t>1700_6F7A</t>
  </si>
  <si>
    <t>1700_717A</t>
  </si>
  <si>
    <t>1700_737A</t>
  </si>
  <si>
    <t>1700_757A</t>
  </si>
  <si>
    <t>1700_777A</t>
  </si>
  <si>
    <t>1700_797A</t>
  </si>
  <si>
    <t>1700_7B7A</t>
  </si>
  <si>
    <t>1700_7D7A</t>
  </si>
  <si>
    <t>1700_7F7A</t>
  </si>
  <si>
    <t>1700_017B</t>
  </si>
  <si>
    <t>1700_037B</t>
  </si>
  <si>
    <t>1700_057B</t>
  </si>
  <si>
    <t>1700_077B</t>
  </si>
  <si>
    <t>1700_097B</t>
  </si>
  <si>
    <t>1700_0B7B</t>
  </si>
  <si>
    <t>1700_0D7B</t>
  </si>
  <si>
    <t>1700_0F7B</t>
  </si>
  <si>
    <t>1700_117B</t>
  </si>
  <si>
    <t>1700_137B</t>
  </si>
  <si>
    <t>1700_157B</t>
  </si>
  <si>
    <t>1700_177B</t>
  </si>
  <si>
    <t>1700_197B</t>
  </si>
  <si>
    <t>1700_1B7B</t>
  </si>
  <si>
    <t>1700_1D7B</t>
  </si>
  <si>
    <t>1700_1F7B</t>
  </si>
  <si>
    <t>1700_217B</t>
  </si>
  <si>
    <t>1700_237B</t>
  </si>
  <si>
    <t>1700_257B</t>
  </si>
  <si>
    <t>1700_277B</t>
  </si>
  <si>
    <t>1700_297B</t>
  </si>
  <si>
    <t>1700_2B7B</t>
  </si>
  <si>
    <t>1700_2D7B</t>
  </si>
  <si>
    <t>1700_2F7B</t>
  </si>
  <si>
    <t>1700_317B</t>
  </si>
  <si>
    <t>1700_337B</t>
  </si>
  <si>
    <t>1700_357B</t>
  </si>
  <si>
    <t>1700_377B</t>
  </si>
  <si>
    <t>1700_397B</t>
  </si>
  <si>
    <t>1700_3B7B</t>
  </si>
  <si>
    <t>1700_3D7B</t>
  </si>
  <si>
    <t>1700_3F7B</t>
  </si>
  <si>
    <t>1700_417B</t>
  </si>
  <si>
    <t>1700_437B</t>
  </si>
  <si>
    <t>1700_457B</t>
  </si>
  <si>
    <t>1700_477B</t>
  </si>
  <si>
    <t>1700_497B</t>
  </si>
  <si>
    <t>1700_4B7B</t>
  </si>
  <si>
    <t>1700_4D7B</t>
  </si>
  <si>
    <t>1700_4F7B</t>
  </si>
  <si>
    <t>1700_517B</t>
  </si>
  <si>
    <t>1700_537B</t>
  </si>
  <si>
    <t>1700_557B</t>
  </si>
  <si>
    <t>1700_577B</t>
  </si>
  <si>
    <t>1700_597B</t>
  </si>
  <si>
    <t>1700_5B7B</t>
  </si>
  <si>
    <t>1700_5D7B</t>
  </si>
  <si>
    <t>1700_5F7B</t>
  </si>
  <si>
    <t>1700_617B</t>
  </si>
  <si>
    <t>1700_637B</t>
  </si>
  <si>
    <t>1700_657B</t>
  </si>
  <si>
    <t>1700_677B</t>
  </si>
  <si>
    <t>1700_697B</t>
  </si>
  <si>
    <t>1700_6B7B</t>
  </si>
  <si>
    <t>1700_6D7B</t>
  </si>
  <si>
    <t>1700_6F7B</t>
  </si>
  <si>
    <t>1700_717B</t>
  </si>
  <si>
    <t>1700_737B</t>
  </si>
  <si>
    <t>1700_757B</t>
  </si>
  <si>
    <t>1700_777B</t>
  </si>
  <si>
    <t>1700_797B</t>
  </si>
  <si>
    <t>1700_7B7B</t>
  </si>
  <si>
    <t>1700_7D7B</t>
  </si>
  <si>
    <t>1700_7F7B</t>
  </si>
  <si>
    <t>1700_017C</t>
  </si>
  <si>
    <t>1700_037C</t>
  </si>
  <si>
    <t>1700_057C</t>
  </si>
  <si>
    <t>1700_077C</t>
  </si>
  <si>
    <t>1700_097C</t>
  </si>
  <si>
    <t>1700_0B7C</t>
  </si>
  <si>
    <t>1700_0D7C</t>
  </si>
  <si>
    <t>1700_0F7C</t>
  </si>
  <si>
    <t>1700_117C</t>
  </si>
  <si>
    <t>1700_137C</t>
  </si>
  <si>
    <t>1700_157C</t>
  </si>
  <si>
    <t>1700_177C</t>
  </si>
  <si>
    <t>1700_197C</t>
  </si>
  <si>
    <t>1700_1B7C</t>
  </si>
  <si>
    <t>1700_1D7C</t>
  </si>
  <si>
    <t>1700_1F7C</t>
  </si>
  <si>
    <t>1700_217C</t>
  </si>
  <si>
    <t>1700_237C</t>
  </si>
  <si>
    <t>1700_257C</t>
  </si>
  <si>
    <t>1700_277C</t>
  </si>
  <si>
    <t>1700_297C</t>
  </si>
  <si>
    <t>1700_2B7C</t>
  </si>
  <si>
    <t>1700_2D7C</t>
  </si>
  <si>
    <t>1700_2F7C</t>
  </si>
  <si>
    <t>1700_317C</t>
  </si>
  <si>
    <t>1700_337C</t>
  </si>
  <si>
    <t>1700_357C</t>
  </si>
  <si>
    <t>1700_377C</t>
  </si>
  <si>
    <t>1700_397C</t>
  </si>
  <si>
    <t>1700_3B7C</t>
  </si>
  <si>
    <t>1700_3D7C</t>
  </si>
  <si>
    <t>1700_3F7C</t>
  </si>
  <si>
    <t>1700_417C</t>
  </si>
  <si>
    <t>1700_437C</t>
  </si>
  <si>
    <t>1700_457C</t>
  </si>
  <si>
    <t>1700_477C</t>
  </si>
  <si>
    <t>1700_497C</t>
  </si>
  <si>
    <t>1700_4B7C</t>
  </si>
  <si>
    <t>1700_4D7C</t>
  </si>
  <si>
    <t>1700_4F7C</t>
  </si>
  <si>
    <t>1700_517C</t>
  </si>
  <si>
    <t>1700_537C</t>
  </si>
  <si>
    <t>1700_557C</t>
  </si>
  <si>
    <t>1700_577C</t>
  </si>
  <si>
    <t>1700_597C</t>
  </si>
  <si>
    <t>1700_5B7C</t>
  </si>
  <si>
    <t>1700_5D7C</t>
  </si>
  <si>
    <t>1700_5F7C</t>
  </si>
  <si>
    <t>1700_617C</t>
  </si>
  <si>
    <t>1700_637C</t>
  </si>
  <si>
    <t>1700_657C</t>
  </si>
  <si>
    <t>1700_677C</t>
  </si>
  <si>
    <t>1700_697C</t>
  </si>
  <si>
    <t>1700_6B7C</t>
  </si>
  <si>
    <t>1700_6D7C</t>
  </si>
  <si>
    <t>1700_6F7C</t>
  </si>
  <si>
    <t>1700_717C</t>
  </si>
  <si>
    <t>1700_737C</t>
  </si>
  <si>
    <t>1700_757C</t>
  </si>
  <si>
    <t>1700_777C</t>
  </si>
  <si>
    <t>1700_797C</t>
  </si>
  <si>
    <t>1700_7B7C</t>
  </si>
  <si>
    <t>1700_7D7C</t>
  </si>
  <si>
    <t>1700_7F7C</t>
  </si>
  <si>
    <t>1700_017D</t>
  </si>
  <si>
    <t>1700_037D</t>
  </si>
  <si>
    <t>1700_057D</t>
  </si>
  <si>
    <t>1700_077D</t>
  </si>
  <si>
    <t>1700_097D</t>
  </si>
  <si>
    <t>1700_0B7D</t>
  </si>
  <si>
    <t>1700_0D7D</t>
  </si>
  <si>
    <t>1700_0F7D</t>
  </si>
  <si>
    <t>1700_117D</t>
  </si>
  <si>
    <t>1700_137D</t>
  </si>
  <si>
    <t>1700_157D</t>
  </si>
  <si>
    <t>1700_177D</t>
  </si>
  <si>
    <t>1700_197D</t>
  </si>
  <si>
    <t>1700_1B7D</t>
  </si>
  <si>
    <t>1700_1D7D</t>
  </si>
  <si>
    <t>1700_1F7D</t>
  </si>
  <si>
    <t>1700_217D</t>
  </si>
  <si>
    <t>1700_237D</t>
  </si>
  <si>
    <t>1700_257D</t>
  </si>
  <si>
    <t>1700_277D</t>
  </si>
  <si>
    <t>1700_297D</t>
  </si>
  <si>
    <t>1700_2B7D</t>
  </si>
  <si>
    <t>1700_2D7D</t>
  </si>
  <si>
    <t>1700_2F7D</t>
  </si>
  <si>
    <t>1700_317D</t>
  </si>
  <si>
    <t>1700_337D</t>
  </si>
  <si>
    <t>1700_357D</t>
  </si>
  <si>
    <t>1700_377D</t>
  </si>
  <si>
    <t>1700_397D</t>
  </si>
  <si>
    <t>1700_3B7D</t>
  </si>
  <si>
    <t>1700_3D7D</t>
  </si>
  <si>
    <t>1700_3F7D</t>
  </si>
  <si>
    <t>1700_417D</t>
  </si>
  <si>
    <t>1700_437D</t>
  </si>
  <si>
    <t>1700_457D</t>
  </si>
  <si>
    <t>1700_477D</t>
  </si>
  <si>
    <t>1700_497D</t>
  </si>
  <si>
    <t>1700_4B7D</t>
  </si>
  <si>
    <t>1700_4D7D</t>
  </si>
  <si>
    <t>1700_4F7D</t>
  </si>
  <si>
    <t>1700_517D</t>
  </si>
  <si>
    <t>1700_537D</t>
  </si>
  <si>
    <t>1700_557D</t>
  </si>
  <si>
    <t>1700_577D</t>
  </si>
  <si>
    <t>1700_597D</t>
  </si>
  <si>
    <t>1700_5B7D</t>
  </si>
  <si>
    <t>1700_5D7D</t>
  </si>
  <si>
    <t>1700_5F7D</t>
  </si>
  <si>
    <t>1700_617D</t>
  </si>
  <si>
    <t>1700_637D</t>
  </si>
  <si>
    <t>1700_657D</t>
  </si>
  <si>
    <t>1700_677D</t>
  </si>
  <si>
    <t>1700_697D</t>
  </si>
  <si>
    <t>1700_6B7D</t>
  </si>
  <si>
    <t>1700_6D7D</t>
  </si>
  <si>
    <t>1700_6F7D</t>
  </si>
  <si>
    <t>1700_717D</t>
  </si>
  <si>
    <t>1700_737D</t>
  </si>
  <si>
    <t>1700_757D</t>
  </si>
  <si>
    <t>1700_777D</t>
  </si>
  <si>
    <t>1700_797D</t>
  </si>
  <si>
    <t>1700_7B7D</t>
  </si>
  <si>
    <t>1700_7D7D</t>
  </si>
  <si>
    <t>1700_7F7D</t>
  </si>
  <si>
    <t>1700_017E</t>
  </si>
  <si>
    <t>1700_037E</t>
  </si>
  <si>
    <t>1700_057E</t>
  </si>
  <si>
    <t>1700_077E</t>
  </si>
  <si>
    <t>1700_097E</t>
  </si>
  <si>
    <t>1700_0B7E</t>
  </si>
  <si>
    <t>1700_0D7E</t>
  </si>
  <si>
    <t>1700_0F7E</t>
  </si>
  <si>
    <t>1700_117E</t>
  </si>
  <si>
    <t>1700_137E</t>
  </si>
  <si>
    <t>1700_157E</t>
  </si>
  <si>
    <t>1700_177E</t>
  </si>
  <si>
    <t>1700_197E</t>
  </si>
  <si>
    <t>1700_1B7E</t>
  </si>
  <si>
    <t>1700_1D7E</t>
  </si>
  <si>
    <t>1700_1F7E</t>
  </si>
  <si>
    <t>1700_217E</t>
  </si>
  <si>
    <t>1700_237E</t>
  </si>
  <si>
    <t>1700_257E</t>
  </si>
  <si>
    <t>1700_277E</t>
  </si>
  <si>
    <t>1700_297E</t>
  </si>
  <si>
    <t>1700_2B7E</t>
  </si>
  <si>
    <t>1700_2D7E</t>
  </si>
  <si>
    <t>1700_2F7E</t>
  </si>
  <si>
    <t>1700_317E</t>
  </si>
  <si>
    <t>1700_337E</t>
  </si>
  <si>
    <t>1700_357E</t>
  </si>
  <si>
    <t>1700_377E</t>
  </si>
  <si>
    <t>1700_397E</t>
  </si>
  <si>
    <t>1700_3B7E</t>
  </si>
  <si>
    <t>1700_3D7E</t>
  </si>
  <si>
    <t>1700_3F7E</t>
  </si>
  <si>
    <t>1700_417E</t>
  </si>
  <si>
    <t>1700_437E</t>
  </si>
  <si>
    <t>1700_457E</t>
  </si>
  <si>
    <t>1700_477E</t>
  </si>
  <si>
    <t>1700_497E</t>
  </si>
  <si>
    <t>1700_4B7E</t>
  </si>
  <si>
    <t>1700_4D7E</t>
  </si>
  <si>
    <t>1700_4F7E</t>
  </si>
  <si>
    <t>1700_517E</t>
  </si>
  <si>
    <t>1700_537E</t>
  </si>
  <si>
    <t>1700_557E</t>
  </si>
  <si>
    <t>1700_577E</t>
  </si>
  <si>
    <t>1700_597E</t>
  </si>
  <si>
    <t>1700_5B7E</t>
  </si>
  <si>
    <t>1700_5D7E</t>
  </si>
  <si>
    <t>1700_5F7E</t>
  </si>
  <si>
    <t>1700_617E</t>
  </si>
  <si>
    <t>1700_637E</t>
  </si>
  <si>
    <t>1700_657E</t>
  </si>
  <si>
    <t>1700_677E</t>
  </si>
  <si>
    <t>1700_697E</t>
  </si>
  <si>
    <t>1700_6B7E</t>
  </si>
  <si>
    <t>1700_6D7E</t>
  </si>
  <si>
    <t>1700_6F7E</t>
  </si>
  <si>
    <t>1700_717E</t>
  </si>
  <si>
    <t>1700_737E</t>
  </si>
  <si>
    <t>1700_757E</t>
  </si>
  <si>
    <t>1700_777E</t>
  </si>
  <si>
    <t>1700_797E</t>
  </si>
  <si>
    <t>1700_7B7E</t>
  </si>
  <si>
    <t>1700_7D7E</t>
  </si>
  <si>
    <t>1700_7F7E</t>
  </si>
  <si>
    <t>1700_017F</t>
  </si>
  <si>
    <t>1700_037F</t>
  </si>
  <si>
    <t>1700_057F</t>
  </si>
  <si>
    <t>1700_077F</t>
  </si>
  <si>
    <t>1700_097F</t>
  </si>
  <si>
    <t>1700_0B7F</t>
  </si>
  <si>
    <t>1700_0D7F</t>
  </si>
  <si>
    <t>1700_0F7F</t>
  </si>
  <si>
    <t>1700_117F</t>
  </si>
  <si>
    <t>1700_137F</t>
  </si>
  <si>
    <t>1700_157F</t>
  </si>
  <si>
    <t>1700_177F</t>
  </si>
  <si>
    <t>1700_197F</t>
  </si>
  <si>
    <t>1700_1B7F</t>
  </si>
  <si>
    <t>1700_1D7F</t>
  </si>
  <si>
    <t>1700_1F7F</t>
  </si>
  <si>
    <t>1700_217F</t>
  </si>
  <si>
    <t>1700_237F</t>
  </si>
  <si>
    <t>1700_257F</t>
  </si>
  <si>
    <t>1700_277F</t>
  </si>
  <si>
    <t>1700_297F</t>
  </si>
  <si>
    <t>1700_2B7F</t>
  </si>
  <si>
    <t>1700_2D7F</t>
  </si>
  <si>
    <t>1700_2F7F</t>
  </si>
  <si>
    <t>1700_317F</t>
  </si>
  <si>
    <t>1700_337F</t>
  </si>
  <si>
    <t>1700_357F</t>
  </si>
  <si>
    <t>1700_377F</t>
  </si>
  <si>
    <t>1700_397F</t>
  </si>
  <si>
    <t>1700_3B7F</t>
  </si>
  <si>
    <t>1700_3D7F</t>
  </si>
  <si>
    <t>1700_3F7F</t>
  </si>
  <si>
    <t>1700_417F</t>
  </si>
  <si>
    <t>1700_437F</t>
  </si>
  <si>
    <t>1700_457F</t>
  </si>
  <si>
    <t>1700_477F</t>
  </si>
  <si>
    <t>1700_497F</t>
  </si>
  <si>
    <t>1700_4B7F</t>
  </si>
  <si>
    <t>1700_4D7F</t>
  </si>
  <si>
    <t>1700_4F7F</t>
  </si>
  <si>
    <t>1700_517F</t>
  </si>
  <si>
    <t>1700_537F</t>
  </si>
  <si>
    <t>1700_557F</t>
  </si>
  <si>
    <t>1700_577F</t>
  </si>
  <si>
    <t>1700_597F</t>
  </si>
  <si>
    <t>1700_5B7F</t>
  </si>
  <si>
    <t>1700_5D7F</t>
  </si>
  <si>
    <t>1700_5F7F</t>
  </si>
  <si>
    <t>1700_617F</t>
  </si>
  <si>
    <t>1700_637F</t>
  </si>
  <si>
    <t>1700_657F</t>
  </si>
  <si>
    <t>1700_677F</t>
  </si>
  <si>
    <t>1700_697F</t>
  </si>
  <si>
    <t>1700_6B7F</t>
  </si>
  <si>
    <t>1700_6D7F</t>
  </si>
  <si>
    <t>1700_6F7F</t>
  </si>
  <si>
    <t>1700_717F</t>
  </si>
  <si>
    <t>1700_737F</t>
  </si>
  <si>
    <t>1700_757F</t>
  </si>
  <si>
    <t>1700_777F</t>
  </si>
  <si>
    <t>1700_797F</t>
  </si>
  <si>
    <t>1700_7B7F</t>
  </si>
  <si>
    <t>1700_7D7F</t>
  </si>
  <si>
    <t>1700_7F7F</t>
  </si>
  <si>
    <t>1700_0180</t>
  </si>
  <si>
    <t>1700_0380</t>
  </si>
  <si>
    <t>1700_0580</t>
  </si>
  <si>
    <t>1700_0780</t>
  </si>
  <si>
    <t>1700_0980</t>
  </si>
  <si>
    <t>1700_0B80</t>
  </si>
  <si>
    <t>1700_0D80</t>
  </si>
  <si>
    <t>1700_0F80</t>
  </si>
  <si>
    <t>1700_1180</t>
  </si>
  <si>
    <t>1700_1380</t>
  </si>
  <si>
    <t>1700_1580</t>
  </si>
  <si>
    <t>1700_1780</t>
  </si>
  <si>
    <t>1700_1980</t>
  </si>
  <si>
    <t>1700_1B80</t>
  </si>
  <si>
    <t>1700_1D80</t>
  </si>
  <si>
    <t>1700_1F80</t>
  </si>
  <si>
    <t>1700_2180</t>
  </si>
  <si>
    <t>1700_2380</t>
  </si>
  <si>
    <t>1700_2580</t>
  </si>
  <si>
    <t>1700_2780</t>
  </si>
  <si>
    <t>1700_2980</t>
  </si>
  <si>
    <t>1700_2B80</t>
  </si>
  <si>
    <t>1700_2D80</t>
  </si>
  <si>
    <t>1700_2F80</t>
  </si>
  <si>
    <t>1700_3180</t>
  </si>
  <si>
    <t>1700_3380</t>
  </si>
  <si>
    <t>1700_3580</t>
  </si>
  <si>
    <t>1700_3780</t>
  </si>
  <si>
    <t>1700_3980</t>
  </si>
  <si>
    <t>1700_3B80</t>
  </si>
  <si>
    <t>1700_3D80</t>
  </si>
  <si>
    <t>1700_3F80</t>
  </si>
  <si>
    <t>1700_4180</t>
  </si>
  <si>
    <t>1700_4380</t>
  </si>
  <si>
    <t>1700_4580</t>
  </si>
  <si>
    <t>1700_4780</t>
  </si>
  <si>
    <t>1700_4980</t>
  </si>
  <si>
    <t>1700_4B80</t>
  </si>
  <si>
    <t>1700_4D80</t>
  </si>
  <si>
    <t>1700_4F80</t>
  </si>
  <si>
    <t>1700_5180</t>
  </si>
  <si>
    <t>1700_5380</t>
  </si>
  <si>
    <t>1700_5580</t>
  </si>
  <si>
    <t>1700_5780</t>
  </si>
  <si>
    <t>1700_5980</t>
  </si>
  <si>
    <t>1700_5B80</t>
  </si>
  <si>
    <t>1700_5D80</t>
  </si>
  <si>
    <t>1700_5F80</t>
  </si>
  <si>
    <t>1700_6180</t>
  </si>
  <si>
    <t>1700_6380</t>
  </si>
  <si>
    <t>1700_6580</t>
  </si>
  <si>
    <t>1700_6780</t>
  </si>
  <si>
    <t>1700_6980</t>
  </si>
  <si>
    <t>1700_6B80</t>
  </si>
  <si>
    <t>1700_6D80</t>
  </si>
  <si>
    <t>1700_6F80</t>
  </si>
  <si>
    <t>1700_7180</t>
  </si>
  <si>
    <t>1700_7380</t>
  </si>
  <si>
    <t>1700_7580</t>
  </si>
  <si>
    <t>1700_7780</t>
  </si>
  <si>
    <t>1700_7980</t>
  </si>
  <si>
    <t>1700_7B80</t>
  </si>
  <si>
    <t>1700_7D80</t>
  </si>
  <si>
    <t>1700_7F80</t>
  </si>
  <si>
    <t>1700_0181</t>
  </si>
  <si>
    <t>1700_0381</t>
  </si>
  <si>
    <t>1700_0581</t>
  </si>
  <si>
    <t>1700_0781</t>
  </si>
  <si>
    <t>1700_0981</t>
  </si>
  <si>
    <t>1700_0B81</t>
  </si>
  <si>
    <t>1700_0D81</t>
  </si>
  <si>
    <t>1700_0F81</t>
  </si>
  <si>
    <t>1700_1181</t>
  </si>
  <si>
    <t>1700_1381</t>
  </si>
  <si>
    <t>1700_1581</t>
  </si>
  <si>
    <t>1700_1781</t>
  </si>
  <si>
    <t>1700_1981</t>
  </si>
  <si>
    <t>1700_1B81</t>
  </si>
  <si>
    <t>1700_1D81</t>
  </si>
  <si>
    <t>1700_1F81</t>
  </si>
  <si>
    <t>1700_2181</t>
  </si>
  <si>
    <t>1700_2381</t>
  </si>
  <si>
    <t>1700_2581</t>
  </si>
  <si>
    <t>1700_2781</t>
  </si>
  <si>
    <t>1700_2981</t>
  </si>
  <si>
    <t>1700_2B81</t>
  </si>
  <si>
    <t>1700_2D81</t>
  </si>
  <si>
    <t>1700_2F81</t>
  </si>
  <si>
    <t>1700_3181</t>
  </si>
  <si>
    <t>1700_3381</t>
  </si>
  <si>
    <t>1700_3581</t>
  </si>
  <si>
    <t>1700_3781</t>
  </si>
  <si>
    <t>1700_3981</t>
  </si>
  <si>
    <t>1700_3B81</t>
  </si>
  <si>
    <t>1700_3D81</t>
  </si>
  <si>
    <t>1700_3F81</t>
  </si>
  <si>
    <t>1700_4181</t>
  </si>
  <si>
    <t>1700_4381</t>
  </si>
  <si>
    <t>1700_4581</t>
  </si>
  <si>
    <t>1700_4781</t>
  </si>
  <si>
    <t>1700_4981</t>
  </si>
  <si>
    <t>1700_4B81</t>
  </si>
  <si>
    <t>1700_4D81</t>
  </si>
  <si>
    <t>1700_4F81</t>
  </si>
  <si>
    <t>1700_5181</t>
  </si>
  <si>
    <t>1700_5381</t>
  </si>
  <si>
    <t>1700_5581</t>
  </si>
  <si>
    <t>1700_5781</t>
  </si>
  <si>
    <t>1700_5981</t>
  </si>
  <si>
    <t>1700_5B81</t>
  </si>
  <si>
    <t>1700_5D81</t>
  </si>
  <si>
    <t>1700_5F81</t>
  </si>
  <si>
    <t>1700_6181</t>
  </si>
  <si>
    <t>1700_6381</t>
  </si>
  <si>
    <t>1700_6581</t>
  </si>
  <si>
    <t>1700_6781</t>
  </si>
  <si>
    <t>1700_6981</t>
  </si>
  <si>
    <t>1700_6B81</t>
  </si>
  <si>
    <t>1700_6D81</t>
  </si>
  <si>
    <t>1700_6F81</t>
  </si>
  <si>
    <t>1700_7181</t>
  </si>
  <si>
    <t>1700_7381</t>
  </si>
  <si>
    <t>1700_7581</t>
  </si>
  <si>
    <t>1700_7781</t>
  </si>
  <si>
    <t>1700_7981</t>
  </si>
  <si>
    <t>1700_7B81</t>
  </si>
  <si>
    <t>1700_7D81</t>
  </si>
  <si>
    <t>1700_7F81</t>
  </si>
  <si>
    <t>1700_0182</t>
  </si>
  <si>
    <t>1700_0382</t>
  </si>
  <si>
    <t>1700_0582</t>
  </si>
  <si>
    <t>1700_0782</t>
  </si>
  <si>
    <t>1700_0982</t>
  </si>
  <si>
    <t>1700_0B82</t>
  </si>
  <si>
    <t>1700_0D82</t>
  </si>
  <si>
    <t>1700_0F82</t>
  </si>
  <si>
    <t>1700_1182</t>
  </si>
  <si>
    <t>1700_1382</t>
  </si>
  <si>
    <t>1700_1582</t>
  </si>
  <si>
    <t>1700_1782</t>
  </si>
  <si>
    <t>1700_1982</t>
  </si>
  <si>
    <t>1700_1B82</t>
  </si>
  <si>
    <t>1700_1D82</t>
  </si>
  <si>
    <t>1700_1F82</t>
  </si>
  <si>
    <t>1700_2182</t>
  </si>
  <si>
    <t>1700_2382</t>
  </si>
  <si>
    <t>1700_2582</t>
  </si>
  <si>
    <t>1700_2782</t>
  </si>
  <si>
    <t>1700_2982</t>
  </si>
  <si>
    <t>1700_2B82</t>
  </si>
  <si>
    <t>1700_2D82</t>
  </si>
  <si>
    <t>1700_2F82</t>
  </si>
  <si>
    <t>1700_3182</t>
  </si>
  <si>
    <t>1700_3382</t>
  </si>
  <si>
    <t>1700_3582</t>
  </si>
  <si>
    <t>1700_3782</t>
  </si>
  <si>
    <t>1700_3982</t>
  </si>
  <si>
    <t>1700_3B82</t>
  </si>
  <si>
    <t>1700_3D82</t>
  </si>
  <si>
    <t>1700_3F82</t>
  </si>
  <si>
    <t>1700_4182</t>
  </si>
  <si>
    <t>1700_4382</t>
  </si>
  <si>
    <t>1700_4582</t>
  </si>
  <si>
    <t>1700_4782</t>
  </si>
  <si>
    <t>1700_4982</t>
  </si>
  <si>
    <t>1700_4B82</t>
  </si>
  <si>
    <t>1700_4D82</t>
  </si>
  <si>
    <t>1700_4F82</t>
  </si>
  <si>
    <t>1700_5182</t>
  </si>
  <si>
    <t>1700_5382</t>
  </si>
  <si>
    <t>1700_5582</t>
  </si>
  <si>
    <t>1700_5782</t>
  </si>
  <si>
    <t>1700_5982</t>
  </si>
  <si>
    <t>1700_5B82</t>
  </si>
  <si>
    <t>1700_5D82</t>
  </si>
  <si>
    <t>1700_5F82</t>
  </si>
  <si>
    <t>1700_6182</t>
  </si>
  <si>
    <t>1700_6382</t>
  </si>
  <si>
    <t>1700_6582</t>
  </si>
  <si>
    <t>1700_6782</t>
  </si>
  <si>
    <t>1700_6982</t>
  </si>
  <si>
    <t>1700_6B82</t>
  </si>
  <si>
    <t>1700_6D82</t>
  </si>
  <si>
    <t>1700_6F82</t>
  </si>
  <si>
    <t>1700_7182</t>
  </si>
  <si>
    <t>1700_7382</t>
  </si>
  <si>
    <t>1700_7582</t>
  </si>
  <si>
    <t>1700_7782</t>
  </si>
  <si>
    <t>1700_7982</t>
  </si>
  <si>
    <t>1700_7B82</t>
  </si>
  <si>
    <t>1700_7D82</t>
  </si>
  <si>
    <t>1700_7F82</t>
  </si>
  <si>
    <t>1700_0183</t>
  </si>
  <si>
    <t>1700_0383</t>
  </si>
  <si>
    <t>1700_0583</t>
  </si>
  <si>
    <t>1700_0783</t>
  </si>
  <si>
    <t>1700_0983</t>
  </si>
  <si>
    <t>1700_0B83</t>
  </si>
  <si>
    <t>1700_0D83</t>
  </si>
  <si>
    <t>1700_0F83</t>
  </si>
  <si>
    <t>1700_1183</t>
  </si>
  <si>
    <t>1700_1383</t>
  </si>
  <si>
    <t>1700_1583</t>
  </si>
  <si>
    <t>1700_1783</t>
  </si>
  <si>
    <t>1700_1983</t>
  </si>
  <si>
    <t>1700_1B83</t>
  </si>
  <si>
    <t>1700_1D83</t>
  </si>
  <si>
    <t>1700_1F83</t>
  </si>
  <si>
    <t>1700_2183</t>
  </si>
  <si>
    <t>1700_2383</t>
  </si>
  <si>
    <t>1700_2583</t>
  </si>
  <si>
    <t>1700_2783</t>
  </si>
  <si>
    <t>1700_2983</t>
  </si>
  <si>
    <t>1700_2B83</t>
  </si>
  <si>
    <t>1700_2D83</t>
  </si>
  <si>
    <t>1700_2F83</t>
  </si>
  <si>
    <t>1700_3183</t>
  </si>
  <si>
    <t>1700_3383</t>
  </si>
  <si>
    <t>1700_3583</t>
  </si>
  <si>
    <t>1700_3783</t>
  </si>
  <si>
    <t>1700_3983</t>
  </si>
  <si>
    <t>1700_3B83</t>
  </si>
  <si>
    <t>1700_3D83</t>
  </si>
  <si>
    <t>1700_3F83</t>
  </si>
  <si>
    <t>1700_4183</t>
  </si>
  <si>
    <t>1700_4383</t>
  </si>
  <si>
    <t>1700_4583</t>
  </si>
  <si>
    <t>1700_4783</t>
  </si>
  <si>
    <t>1700_4983</t>
  </si>
  <si>
    <t>1700_4B83</t>
  </si>
  <si>
    <t>1700_4D83</t>
  </si>
  <si>
    <t>1700_4F83</t>
  </si>
  <si>
    <t>1700_5183</t>
  </si>
  <si>
    <t>1700_5383</t>
  </si>
  <si>
    <t>1700_5583</t>
  </si>
  <si>
    <t>1700_5783</t>
  </si>
  <si>
    <t>1700_5983</t>
  </si>
  <si>
    <t>1700_5B83</t>
  </si>
  <si>
    <t>1700_5D83</t>
  </si>
  <si>
    <t>1700_5F83</t>
  </si>
  <si>
    <t>1700_6183</t>
  </si>
  <si>
    <t>1700_6383</t>
  </si>
  <si>
    <t>1700_6583</t>
  </si>
  <si>
    <t>1700_6783</t>
  </si>
  <si>
    <t>1700_6983</t>
  </si>
  <si>
    <t>1700_6B83</t>
  </si>
  <si>
    <t>1700_6D83</t>
  </si>
  <si>
    <t>1700_6F83</t>
  </si>
  <si>
    <t>1700_7183</t>
  </si>
  <si>
    <t>1700_7383</t>
  </si>
  <si>
    <t>1700_7583</t>
  </si>
  <si>
    <t>1700_7783</t>
  </si>
  <si>
    <t>1700_7983</t>
  </si>
  <si>
    <t>1700_7B83</t>
  </si>
  <si>
    <t>1700_7D83</t>
  </si>
  <si>
    <t>1700_7F83</t>
  </si>
  <si>
    <t>1700_0184</t>
  </si>
  <si>
    <t>1700_0384</t>
  </si>
  <si>
    <t>1700_0584</t>
  </si>
  <si>
    <t>1700_0784</t>
  </si>
  <si>
    <t>1700_0984</t>
  </si>
  <si>
    <t>1700_0B84</t>
  </si>
  <si>
    <t>1700_0D84</t>
  </si>
  <si>
    <t>1700_0F84</t>
  </si>
  <si>
    <t>1700_1184</t>
  </si>
  <si>
    <t>1700_1384</t>
  </si>
  <si>
    <t>1700_1584</t>
  </si>
  <si>
    <t>1700_1784</t>
  </si>
  <si>
    <t>1700_1984</t>
  </si>
  <si>
    <t>1700_1B84</t>
  </si>
  <si>
    <t>1700_1D84</t>
  </si>
  <si>
    <t>1700_1F84</t>
  </si>
  <si>
    <t>1700_2184</t>
  </si>
  <si>
    <t>1700_2384</t>
  </si>
  <si>
    <t>1700_2584</t>
  </si>
  <si>
    <t>1700_2784</t>
  </si>
  <si>
    <t>1700_2984</t>
  </si>
  <si>
    <t>1700_2B84</t>
  </si>
  <si>
    <t>1700_2D84</t>
  </si>
  <si>
    <t>1700_2F84</t>
  </si>
  <si>
    <t>1700_3184</t>
  </si>
  <si>
    <t>1700_3384</t>
  </si>
  <si>
    <t>1700_3584</t>
  </si>
  <si>
    <t>1700_3784</t>
  </si>
  <si>
    <t>1700_3984</t>
  </si>
  <si>
    <t>1700_3B84</t>
  </si>
  <si>
    <t>1700_3D84</t>
  </si>
  <si>
    <t>1700_3F84</t>
  </si>
  <si>
    <t>1700_4184</t>
  </si>
  <si>
    <t>1700_4384</t>
  </si>
  <si>
    <t>1700_4584</t>
  </si>
  <si>
    <t>1700_4784</t>
  </si>
  <si>
    <t>1700_4984</t>
  </si>
  <si>
    <t>1700_4B84</t>
  </si>
  <si>
    <t>1700_4D84</t>
  </si>
  <si>
    <t>1700_4F84</t>
  </si>
  <si>
    <t>1700_5184</t>
  </si>
  <si>
    <t>1700_5384</t>
  </si>
  <si>
    <t>1700_5584</t>
  </si>
  <si>
    <t>1700_5784</t>
  </si>
  <si>
    <t>1700_5984</t>
  </si>
  <si>
    <t>1700_5B84</t>
  </si>
  <si>
    <t>1700_5D84</t>
  </si>
  <si>
    <t>1700_5F84</t>
  </si>
  <si>
    <t>1700_6184</t>
  </si>
  <si>
    <t>1700_6384</t>
  </si>
  <si>
    <t>1700_6584</t>
  </si>
  <si>
    <t>1700_6784</t>
  </si>
  <si>
    <t>1700_6984</t>
  </si>
  <si>
    <t>1700_6B84</t>
  </si>
  <si>
    <t>1700_6D84</t>
  </si>
  <si>
    <t>1700_6F84</t>
  </si>
  <si>
    <t>1700_7184</t>
  </si>
  <si>
    <t>1700_7384</t>
  </si>
  <si>
    <t>1700_7584</t>
  </si>
  <si>
    <t>1700_7784</t>
  </si>
  <si>
    <t>1700_7984</t>
  </si>
  <si>
    <t>1700_7B84</t>
  </si>
  <si>
    <t>1700_7D84</t>
  </si>
  <si>
    <t>1700_7F84</t>
  </si>
  <si>
    <t>1700_0185</t>
  </si>
  <si>
    <t>1700_0385</t>
  </si>
  <si>
    <t>1700_0585</t>
  </si>
  <si>
    <t>1700_0785</t>
  </si>
  <si>
    <t>1700_0985</t>
  </si>
  <si>
    <t>1700_0B85</t>
  </si>
  <si>
    <t>1700_0D85</t>
  </si>
  <si>
    <t>1700_0F85</t>
  </si>
  <si>
    <t>1700_1185</t>
  </si>
  <si>
    <t>1700_1385</t>
  </si>
  <si>
    <t>1700_1585</t>
  </si>
  <si>
    <t>1700_1785</t>
  </si>
  <si>
    <t>1700_1985</t>
  </si>
  <si>
    <t>1700_1B85</t>
  </si>
  <si>
    <t>1700_1D85</t>
  </si>
  <si>
    <t>1700_1F85</t>
  </si>
  <si>
    <t>1700_2185</t>
  </si>
  <si>
    <t>1700_2385</t>
  </si>
  <si>
    <t>1700_2585</t>
  </si>
  <si>
    <t>1700_2785</t>
  </si>
  <si>
    <t>1700_2985</t>
  </si>
  <si>
    <t>1700_2B85</t>
  </si>
  <si>
    <t>1700_2D85</t>
  </si>
  <si>
    <t>1700_2F85</t>
  </si>
  <si>
    <t>1700_3185</t>
  </si>
  <si>
    <t>1700_3385</t>
  </si>
  <si>
    <t>1700_3585</t>
  </si>
  <si>
    <t>1700_3785</t>
  </si>
  <si>
    <t>1700_3985</t>
  </si>
  <si>
    <t>1700_3B85</t>
  </si>
  <si>
    <t>1700_3D85</t>
  </si>
  <si>
    <t>1700_3F85</t>
  </si>
  <si>
    <t>1700_4185</t>
  </si>
  <si>
    <t>1700_4385</t>
  </si>
  <si>
    <t>1700_4585</t>
  </si>
  <si>
    <t>1700_4785</t>
  </si>
  <si>
    <t>1700_4985</t>
  </si>
  <si>
    <t>1700_4B85</t>
  </si>
  <si>
    <t>1700_4D85</t>
  </si>
  <si>
    <t>1700_4F85</t>
  </si>
  <si>
    <t>1700_5185</t>
  </si>
  <si>
    <t>1700_5385</t>
  </si>
  <si>
    <t>1700_5585</t>
  </si>
  <si>
    <t>1700_5785</t>
  </si>
  <si>
    <t>1700_5985</t>
  </si>
  <si>
    <t>1700_5B85</t>
  </si>
  <si>
    <t>1700_5D85</t>
  </si>
  <si>
    <t>1700_5F85</t>
  </si>
  <si>
    <t>1700_6185</t>
  </si>
  <si>
    <t>1700_6385</t>
  </si>
  <si>
    <t>1700_6585</t>
  </si>
  <si>
    <t>1700_6785</t>
  </si>
  <si>
    <t>1700_6985</t>
  </si>
  <si>
    <t>1700_6B85</t>
  </si>
  <si>
    <t>1700_6D85</t>
  </si>
  <si>
    <t>1700_6F85</t>
  </si>
  <si>
    <t>1700_7185</t>
  </si>
  <si>
    <t>1700_7385</t>
  </si>
  <si>
    <t>1700_7585</t>
  </si>
  <si>
    <t>1700_7785</t>
  </si>
  <si>
    <t>1700_7985</t>
  </si>
  <si>
    <t>1700_7B85</t>
  </si>
  <si>
    <t>1700_7D85</t>
  </si>
  <si>
    <t>1700_7F85</t>
  </si>
  <si>
    <t>1700_0186</t>
  </si>
  <si>
    <t>1700_0386</t>
  </si>
  <si>
    <t>1700_0586</t>
  </si>
  <si>
    <t>1700_0786</t>
  </si>
  <si>
    <t>1700_0986</t>
  </si>
  <si>
    <t>1700_0B86</t>
  </si>
  <si>
    <t>1700_0D86</t>
  </si>
  <si>
    <t>1700_0F86</t>
  </si>
  <si>
    <t>1700_1186</t>
  </si>
  <si>
    <t>1700_1386</t>
  </si>
  <si>
    <t>1700_1586</t>
  </si>
  <si>
    <t>1700_1786</t>
  </si>
  <si>
    <t>1700_1986</t>
  </si>
  <si>
    <t>1700_1B86</t>
  </si>
  <si>
    <t>1700_1D86</t>
  </si>
  <si>
    <t>1700_1F86</t>
  </si>
  <si>
    <t>1700_2186</t>
  </si>
  <si>
    <t>1700_2386</t>
  </si>
  <si>
    <t>1700_2586</t>
  </si>
  <si>
    <t>1700_2786</t>
  </si>
  <si>
    <t>1700_2986</t>
  </si>
  <si>
    <t>1700_2B86</t>
  </si>
  <si>
    <t>1700_2D86</t>
  </si>
  <si>
    <t>1700_2F86</t>
  </si>
  <si>
    <t>1700_3186</t>
  </si>
  <si>
    <t>1700_3386</t>
  </si>
  <si>
    <t>1700_3586</t>
  </si>
  <si>
    <t>1700_3786</t>
  </si>
  <si>
    <t>1700_3986</t>
  </si>
  <si>
    <t>1700_3B86</t>
  </si>
  <si>
    <t>1700_3D86</t>
  </si>
  <si>
    <t>1700_3F86</t>
  </si>
  <si>
    <t>1700_4186</t>
  </si>
  <si>
    <t>1700_4386</t>
  </si>
  <si>
    <t>1700_4586</t>
  </si>
  <si>
    <t>1700_4786</t>
  </si>
  <si>
    <t>1700_4986</t>
  </si>
  <si>
    <t>1700_4B86</t>
  </si>
  <si>
    <t>1700_4D86</t>
  </si>
  <si>
    <t>1700_4F86</t>
  </si>
  <si>
    <t>1700_5186</t>
  </si>
  <si>
    <t>1700_5386</t>
  </si>
  <si>
    <t>1700_5586</t>
  </si>
  <si>
    <t>1700_5786</t>
  </si>
  <si>
    <t>1700_5986</t>
  </si>
  <si>
    <t>1700_5B86</t>
  </si>
  <si>
    <t>1700_5D86</t>
  </si>
  <si>
    <t>1700_5F86</t>
  </si>
  <si>
    <t>1700_6186</t>
  </si>
  <si>
    <t>1700_6386</t>
  </si>
  <si>
    <t>1700_6586</t>
  </si>
  <si>
    <t>1700_6786</t>
  </si>
  <si>
    <t>1700_6986</t>
  </si>
  <si>
    <t>1700_6B86</t>
  </si>
  <si>
    <t>1700_6D86</t>
  </si>
  <si>
    <t>1700_6F86</t>
  </si>
  <si>
    <t>1700_7186</t>
  </si>
  <si>
    <t>1700_7386</t>
  </si>
  <si>
    <t>1700_7586</t>
  </si>
  <si>
    <t>1700_7786</t>
  </si>
  <si>
    <t>1700_7986</t>
  </si>
  <si>
    <t>1700_7B86</t>
  </si>
  <si>
    <t>1700_7D86</t>
  </si>
  <si>
    <t>1700_7F86</t>
  </si>
  <si>
    <t>1700_0187</t>
  </si>
  <si>
    <t>1700_0387</t>
  </si>
  <si>
    <t>1700_0587</t>
  </si>
  <si>
    <t>1700_0787</t>
  </si>
  <si>
    <t>1700_0987</t>
  </si>
  <si>
    <t>1700_0B87</t>
  </si>
  <si>
    <t>1700_0D87</t>
  </si>
  <si>
    <t>1700_0F87</t>
  </si>
  <si>
    <t>1700_1187</t>
  </si>
  <si>
    <t>1700_1387</t>
  </si>
  <si>
    <t>1700_1587</t>
  </si>
  <si>
    <t>1700_1787</t>
  </si>
  <si>
    <t>1700_1987</t>
  </si>
  <si>
    <t>1700_1B87</t>
  </si>
  <si>
    <t>1700_1D87</t>
  </si>
  <si>
    <t>1700_1F87</t>
  </si>
  <si>
    <t>1700_2187</t>
  </si>
  <si>
    <t>1700_2387</t>
  </si>
  <si>
    <t>1700_2587</t>
  </si>
  <si>
    <t>1700_2787</t>
  </si>
  <si>
    <t>1700_2987</t>
  </si>
  <si>
    <t>1700_2B87</t>
  </si>
  <si>
    <t>1700_2D87</t>
  </si>
  <si>
    <t>1700_2F87</t>
  </si>
  <si>
    <t>1700_3187</t>
  </si>
  <si>
    <t>1700_3387</t>
  </si>
  <si>
    <t>1700_3587</t>
  </si>
  <si>
    <t>1700_3787</t>
  </si>
  <si>
    <t>1700_3987</t>
  </si>
  <si>
    <t>1700_3B87</t>
  </si>
  <si>
    <t>1700_3D87</t>
  </si>
  <si>
    <t>1700_3F87</t>
  </si>
  <si>
    <t>1700_4187</t>
  </si>
  <si>
    <t>1700_4387</t>
  </si>
  <si>
    <t>1700_4587</t>
  </si>
  <si>
    <t>1700_4787</t>
  </si>
  <si>
    <t>1700_4987</t>
  </si>
  <si>
    <t>1700_4B87</t>
  </si>
  <si>
    <t>1700_4D87</t>
  </si>
  <si>
    <t>1700_4F87</t>
  </si>
  <si>
    <t>1700_5187</t>
  </si>
  <si>
    <t>1700_5387</t>
  </si>
  <si>
    <t>1700_5587</t>
  </si>
  <si>
    <t>1700_5787</t>
  </si>
  <si>
    <t>1700_5987</t>
  </si>
  <si>
    <t>1700_5B87</t>
  </si>
  <si>
    <t>1700_5D87</t>
  </si>
  <si>
    <t>1700_5F87</t>
  </si>
  <si>
    <t>1700_6187</t>
  </si>
  <si>
    <t>1700_6387</t>
  </si>
  <si>
    <t>1700_6587</t>
  </si>
  <si>
    <t>1700_6787</t>
  </si>
  <si>
    <t>1700_6987</t>
  </si>
  <si>
    <t>1700_6B87</t>
  </si>
  <si>
    <t>1700_6D87</t>
  </si>
  <si>
    <t>1700_6F87</t>
  </si>
  <si>
    <t>1700_7187</t>
  </si>
  <si>
    <t>1700_7387</t>
  </si>
  <si>
    <t>1700_7587</t>
  </si>
  <si>
    <t>1700_7787</t>
  </si>
  <si>
    <t>1700_7987</t>
  </si>
  <si>
    <t>1700_7B87</t>
  </si>
  <si>
    <t>1700_7D87</t>
  </si>
  <si>
    <t>1700_7F87</t>
  </si>
  <si>
    <t>1700_0188</t>
  </si>
  <si>
    <t>1700_0388</t>
  </si>
  <si>
    <t>1700_0588</t>
  </si>
  <si>
    <t>1700_0788</t>
  </si>
  <si>
    <t>1700_0988</t>
  </si>
  <si>
    <t>1700_0B88</t>
  </si>
  <si>
    <t>1700_0D88</t>
  </si>
  <si>
    <t>1700_0F88</t>
  </si>
  <si>
    <t>1700_1188</t>
  </si>
  <si>
    <t>1700_1388</t>
  </si>
  <si>
    <t>1700_1588</t>
  </si>
  <si>
    <t>1700_1788</t>
  </si>
  <si>
    <t>1700_1988</t>
  </si>
  <si>
    <t>1700_1B88</t>
  </si>
  <si>
    <t>1700_1D88</t>
  </si>
  <si>
    <t>1700_1F88</t>
  </si>
  <si>
    <t>1700_2188</t>
  </si>
  <si>
    <t>1700_2388</t>
  </si>
  <si>
    <t>1700_2588</t>
  </si>
  <si>
    <t>1700_2788</t>
  </si>
  <si>
    <t>1700_2988</t>
  </si>
  <si>
    <t>1700_2B88</t>
  </si>
  <si>
    <t>1700_2D88</t>
  </si>
  <si>
    <t>1700_2F88</t>
  </si>
  <si>
    <t>1700_3188</t>
  </si>
  <si>
    <t>1700_3388</t>
  </si>
  <si>
    <t>1700_3588</t>
  </si>
  <si>
    <t>1700_3788</t>
  </si>
  <si>
    <t>1700_3988</t>
  </si>
  <si>
    <t>1700_3B88</t>
  </si>
  <si>
    <t>1700_3D88</t>
  </si>
  <si>
    <t>1700_3F88</t>
  </si>
  <si>
    <t>1700_4188</t>
  </si>
  <si>
    <t>1700_4388</t>
  </si>
  <si>
    <t>1700_4588</t>
  </si>
  <si>
    <t>1700_4788</t>
  </si>
  <si>
    <t>1700_4988</t>
  </si>
  <si>
    <t>1700_4B88</t>
  </si>
  <si>
    <t>1700_4D88</t>
  </si>
  <si>
    <t>1700_4F88</t>
  </si>
  <si>
    <t>1700_5188</t>
  </si>
  <si>
    <t>1700_5388</t>
  </si>
  <si>
    <t>1700_5588</t>
  </si>
  <si>
    <t>1700_5788</t>
  </si>
  <si>
    <t>1700_5988</t>
  </si>
  <si>
    <t>1700_5B88</t>
  </si>
  <si>
    <t>1700_5D88</t>
  </si>
  <si>
    <t>1700_5F88</t>
  </si>
  <si>
    <t>1700_6188</t>
  </si>
  <si>
    <t>1700_6388</t>
  </si>
  <si>
    <t>1700_6588</t>
  </si>
  <si>
    <t>1700_6788</t>
  </si>
  <si>
    <t>1700_6988</t>
  </si>
  <si>
    <t>1700_6B88</t>
  </si>
  <si>
    <t>1700_6D88</t>
  </si>
  <si>
    <t>1700_6F88</t>
  </si>
  <si>
    <t>1700_7188</t>
  </si>
  <si>
    <t>1700_7388</t>
  </si>
  <si>
    <t>1700_7588</t>
  </si>
  <si>
    <t>1700_7788</t>
  </si>
  <si>
    <t>1700_7988</t>
  </si>
  <si>
    <t>1700_7B88</t>
  </si>
  <si>
    <t>1700_7D88</t>
  </si>
  <si>
    <t>1700_7F88</t>
  </si>
  <si>
    <t>1700_0189</t>
  </si>
  <si>
    <t>1700_0389</t>
  </si>
  <si>
    <t>1700_0589</t>
  </si>
  <si>
    <t>1700_0789</t>
  </si>
  <si>
    <t>1700_0989</t>
  </si>
  <si>
    <t>1700_0B89</t>
  </si>
  <si>
    <t>1700_0D89</t>
  </si>
  <si>
    <t>1700_0F89</t>
  </si>
  <si>
    <t>1700_1189</t>
  </si>
  <si>
    <t>1700_1389</t>
  </si>
  <si>
    <t>1700_1589</t>
  </si>
  <si>
    <t>1700_1789</t>
  </si>
  <si>
    <t>1700_1989</t>
  </si>
  <si>
    <t>1700_1B89</t>
  </si>
  <si>
    <t>1700_1D89</t>
  </si>
  <si>
    <t>1700_1F89</t>
  </si>
  <si>
    <t>1700_2189</t>
  </si>
  <si>
    <t>1700_2389</t>
  </si>
  <si>
    <t>1700_2589</t>
  </si>
  <si>
    <t>1700_2789</t>
  </si>
  <si>
    <t>1700_2989</t>
  </si>
  <si>
    <t>1700_2B89</t>
  </si>
  <si>
    <t>1700_2D89</t>
  </si>
  <si>
    <t>1700_2F89</t>
  </si>
  <si>
    <t>1700_3189</t>
  </si>
  <si>
    <t>1700_3389</t>
  </si>
  <si>
    <t>1700_3589</t>
  </si>
  <si>
    <t>1700_3789</t>
  </si>
  <si>
    <t>1700_3989</t>
  </si>
  <si>
    <t>1700_3B89</t>
  </si>
  <si>
    <t>1700_3D89</t>
  </si>
  <si>
    <t>1700_3F89</t>
  </si>
  <si>
    <t>1700_4189</t>
  </si>
  <si>
    <t>1700_4389</t>
  </si>
  <si>
    <t>1700_4589</t>
  </si>
  <si>
    <t>1700_4789</t>
  </si>
  <si>
    <t>1700_4989</t>
  </si>
  <si>
    <t>1700_4B89</t>
  </si>
  <si>
    <t>1700_4D89</t>
  </si>
  <si>
    <t>1700_4F89</t>
  </si>
  <si>
    <t>1700_5189</t>
  </si>
  <si>
    <t>1700_5389</t>
  </si>
  <si>
    <t>1700_5589</t>
  </si>
  <si>
    <t>1700_5789</t>
  </si>
  <si>
    <t>1700_5989</t>
  </si>
  <si>
    <t>1700_5B89</t>
  </si>
  <si>
    <t>1700_5D89</t>
  </si>
  <si>
    <t>1700_5F89</t>
  </si>
  <si>
    <t>1700_6189</t>
  </si>
  <si>
    <t>1700_6389</t>
  </si>
  <si>
    <t>1700_6589</t>
  </si>
  <si>
    <t>1700_6789</t>
  </si>
  <si>
    <t>1700_6989</t>
  </si>
  <si>
    <t>1700_6B89</t>
  </si>
  <si>
    <t>1700_6D89</t>
  </si>
  <si>
    <t>1700_6F89</t>
  </si>
  <si>
    <t>1700_7189</t>
  </si>
  <si>
    <t>1700_7389</t>
  </si>
  <si>
    <t>1700_7589</t>
  </si>
  <si>
    <t>1700_7789</t>
  </si>
  <si>
    <t>1700_7989</t>
  </si>
  <si>
    <t>1700_7B89</t>
  </si>
  <si>
    <t>1700_7D89</t>
  </si>
  <si>
    <t>1700_7F89</t>
  </si>
  <si>
    <t>1700_018A</t>
  </si>
  <si>
    <t>1700_038A</t>
  </si>
  <si>
    <t>1700_058A</t>
  </si>
  <si>
    <t>1700_078A</t>
  </si>
  <si>
    <t>1700_098A</t>
  </si>
  <si>
    <t>1700_0B8A</t>
  </si>
  <si>
    <t>1700_0D8A</t>
  </si>
  <si>
    <t>1700_0F8A</t>
  </si>
  <si>
    <t>1700_118A</t>
  </si>
  <si>
    <t>1700_138A</t>
  </si>
  <si>
    <t>1700_158A</t>
  </si>
  <si>
    <t>1700_178A</t>
  </si>
  <si>
    <t>1700_198A</t>
  </si>
  <si>
    <t>1700_1B8A</t>
  </si>
  <si>
    <t>1700_1D8A</t>
  </si>
  <si>
    <t>1700_1F8A</t>
  </si>
  <si>
    <t>1700_218A</t>
  </si>
  <si>
    <t>1700_238A</t>
  </si>
  <si>
    <t>1700_258A</t>
  </si>
  <si>
    <t>1700_278A</t>
  </si>
  <si>
    <t>1700_298A</t>
  </si>
  <si>
    <t>1700_2B8A</t>
  </si>
  <si>
    <t>1700_2D8A</t>
  </si>
  <si>
    <t>1700_2F8A</t>
  </si>
  <si>
    <t>1700_318A</t>
  </si>
  <si>
    <t>1700_338A</t>
  </si>
  <si>
    <t>1700_358A</t>
  </si>
  <si>
    <t>1700_378A</t>
  </si>
  <si>
    <t>1700_398A</t>
  </si>
  <si>
    <t>1700_3B8A</t>
  </si>
  <si>
    <t>1700_3D8A</t>
  </si>
  <si>
    <t>1700_3F8A</t>
  </si>
  <si>
    <t>1700_418A</t>
  </si>
  <si>
    <t>1700_438A</t>
  </si>
  <si>
    <t>1700_458A</t>
  </si>
  <si>
    <t>1700_478A</t>
  </si>
  <si>
    <t>1700_498A</t>
  </si>
  <si>
    <t>1700_4B8A</t>
  </si>
  <si>
    <t>1700_4D8A</t>
  </si>
  <si>
    <t>1700_4F8A</t>
  </si>
  <si>
    <t>1700_518A</t>
  </si>
  <si>
    <t>1700_538A</t>
  </si>
  <si>
    <t>1700_558A</t>
  </si>
  <si>
    <t>1700_578A</t>
  </si>
  <si>
    <t>1700_598A</t>
  </si>
  <si>
    <t>1700_5B8A</t>
  </si>
  <si>
    <t>1700_5D8A</t>
  </si>
  <si>
    <t>1700_5F8A</t>
  </si>
  <si>
    <t>1700_618A</t>
  </si>
  <si>
    <t>1700_638A</t>
  </si>
  <si>
    <t>1700_658A</t>
  </si>
  <si>
    <t>1700_678A</t>
  </si>
  <si>
    <t>1700_698A</t>
  </si>
  <si>
    <t>1700_6B8A</t>
  </si>
  <si>
    <t>1700_6D8A</t>
  </si>
  <si>
    <t>1700_6F8A</t>
  </si>
  <si>
    <t>1700_718A</t>
  </si>
  <si>
    <t>1700_738A</t>
  </si>
  <si>
    <t>1700_758A</t>
  </si>
  <si>
    <t>1700_778A</t>
  </si>
  <si>
    <t>1700_798A</t>
  </si>
  <si>
    <t>1700_7B8A</t>
  </si>
  <si>
    <t>1700_7D8A</t>
  </si>
  <si>
    <t>1700_7F8A</t>
  </si>
  <si>
    <t>1700_018B</t>
  </si>
  <si>
    <t>1700_038B</t>
  </si>
  <si>
    <t>1700_058B</t>
  </si>
  <si>
    <t>1700_078B</t>
  </si>
  <si>
    <t>1700_098B</t>
  </si>
  <si>
    <t>1700_0B8B</t>
  </si>
  <si>
    <t>1700_0D8B</t>
  </si>
  <si>
    <t>1700_0F8B</t>
  </si>
  <si>
    <t>1700_118B</t>
  </si>
  <si>
    <t>1700_138B</t>
  </si>
  <si>
    <t>1700_158B</t>
  </si>
  <si>
    <t>1700_178B</t>
  </si>
  <si>
    <t>1700_198B</t>
  </si>
  <si>
    <t>1700_1B8B</t>
  </si>
  <si>
    <t>1700_1D8B</t>
  </si>
  <si>
    <t>1700_1F8B</t>
  </si>
  <si>
    <t>1700_218B</t>
  </si>
  <si>
    <t>1700_238B</t>
  </si>
  <si>
    <t>1700_258B</t>
  </si>
  <si>
    <t>1700_278B</t>
  </si>
  <si>
    <t>1700_298B</t>
  </si>
  <si>
    <t>1700_2B8B</t>
  </si>
  <si>
    <t>1700_2D8B</t>
  </si>
  <si>
    <t>1700_2F8B</t>
  </si>
  <si>
    <t>1700_318B</t>
  </si>
  <si>
    <t>1700_338B</t>
  </si>
  <si>
    <t>1700_358B</t>
  </si>
  <si>
    <t>1700_378B</t>
  </si>
  <si>
    <t>1700_398B</t>
  </si>
  <si>
    <t>1700_3B8B</t>
  </si>
  <si>
    <t>1700_3D8B</t>
  </si>
  <si>
    <t>1700_3F8B</t>
  </si>
  <si>
    <t>1700_418B</t>
  </si>
  <si>
    <t>1700_438B</t>
  </si>
  <si>
    <t>1700_458B</t>
  </si>
  <si>
    <t>1700_478B</t>
  </si>
  <si>
    <t>1700_498B</t>
  </si>
  <si>
    <t>1700_4B8B</t>
  </si>
  <si>
    <t>1700_4D8B</t>
  </si>
  <si>
    <t>1700_4F8B</t>
  </si>
  <si>
    <t>1700_518B</t>
  </si>
  <si>
    <t>1700_538B</t>
  </si>
  <si>
    <t>1700_558B</t>
  </si>
  <si>
    <t>1700_578B</t>
  </si>
  <si>
    <t>1700_598B</t>
  </si>
  <si>
    <t>1700_5B8B</t>
  </si>
  <si>
    <t>1700_5D8B</t>
  </si>
  <si>
    <t>1700_5F8B</t>
  </si>
  <si>
    <t>1700_618B</t>
  </si>
  <si>
    <t>1700_638B</t>
  </si>
  <si>
    <t>1700_658B</t>
  </si>
  <si>
    <t>1700_678B</t>
  </si>
  <si>
    <t>1700_698B</t>
  </si>
  <si>
    <t>1700_6B8B</t>
  </si>
  <si>
    <t>1700_6D8B</t>
  </si>
  <si>
    <t>1700_6F8B</t>
  </si>
  <si>
    <t>1700_718B</t>
  </si>
  <si>
    <t>1700_738B</t>
  </si>
  <si>
    <t>1700_758B</t>
  </si>
  <si>
    <t>1700_778B</t>
  </si>
  <si>
    <t>1700_798B</t>
  </si>
  <si>
    <t>1700_7B8B</t>
  </si>
  <si>
    <t>1700_7D8B</t>
  </si>
  <si>
    <t>1700_7F8B</t>
  </si>
  <si>
    <t>1700_018C</t>
  </si>
  <si>
    <t>1700_038C</t>
  </si>
  <si>
    <t>1700_058C</t>
  </si>
  <si>
    <t>1700_078C</t>
  </si>
  <si>
    <t>1700_098C</t>
  </si>
  <si>
    <t>1700_0B8C</t>
  </si>
  <si>
    <t>1700_0D8C</t>
  </si>
  <si>
    <t>1700_0F8C</t>
  </si>
  <si>
    <t>1700_118C</t>
  </si>
  <si>
    <t>1700_138C</t>
  </si>
  <si>
    <t>1700_158C</t>
  </si>
  <si>
    <t>1700_178C</t>
  </si>
  <si>
    <t>1700_198C</t>
  </si>
  <si>
    <t>1700_1B8C</t>
  </si>
  <si>
    <t>1700_1D8C</t>
  </si>
  <si>
    <t>1700_1F8C</t>
  </si>
  <si>
    <t>1700_218C</t>
  </si>
  <si>
    <t>1700_238C</t>
  </si>
  <si>
    <t>1700_258C</t>
  </si>
  <si>
    <t>1700_278C</t>
  </si>
  <si>
    <t>1700_298C</t>
  </si>
  <si>
    <t>1700_2B8C</t>
  </si>
  <si>
    <t>1700_2D8C</t>
  </si>
  <si>
    <t>1700_2F8C</t>
  </si>
  <si>
    <t>1700_318C</t>
  </si>
  <si>
    <t>1700_338C</t>
  </si>
  <si>
    <t>1700_358C</t>
  </si>
  <si>
    <t>1700_378C</t>
  </si>
  <si>
    <t>1700_398C</t>
  </si>
  <si>
    <t>1700_3B8C</t>
  </si>
  <si>
    <t>1700_3D8C</t>
  </si>
  <si>
    <t>1700_3F8C</t>
  </si>
  <si>
    <t>1700_418C</t>
  </si>
  <si>
    <t>1700_438C</t>
  </si>
  <si>
    <t>1700_458C</t>
  </si>
  <si>
    <t>1700_478C</t>
  </si>
  <si>
    <t>1700_498C</t>
  </si>
  <si>
    <t>1700_4B8C</t>
  </si>
  <si>
    <t>1700_4D8C</t>
  </si>
  <si>
    <t>1700_4F8C</t>
  </si>
  <si>
    <t>1700_518C</t>
  </si>
  <si>
    <t>1700_538C</t>
  </si>
  <si>
    <t>1700_558C</t>
  </si>
  <si>
    <t>1700_578C</t>
  </si>
  <si>
    <t>1700_598C</t>
  </si>
  <si>
    <t>1700_5B8C</t>
  </si>
  <si>
    <t>1700_5D8C</t>
  </si>
  <si>
    <t>1700_5F8C</t>
  </si>
  <si>
    <t>1700_618C</t>
  </si>
  <si>
    <t>1700_638C</t>
  </si>
  <si>
    <t>1700_658C</t>
  </si>
  <si>
    <t>1700_678C</t>
  </si>
  <si>
    <t>1700_698C</t>
  </si>
  <si>
    <t>1700_6B8C</t>
  </si>
  <si>
    <t>1700_6D8C</t>
  </si>
  <si>
    <t>1700_6F8C</t>
  </si>
  <si>
    <t>1700_718C</t>
  </si>
  <si>
    <t>1700_738C</t>
  </si>
  <si>
    <t>1700_758C</t>
  </si>
  <si>
    <t>1700_778C</t>
  </si>
  <si>
    <t>1700_798C</t>
  </si>
  <si>
    <t>1700_7B8C</t>
  </si>
  <si>
    <t>1700_7D8C</t>
  </si>
  <si>
    <t>1700_7F8C</t>
  </si>
  <si>
    <t>1700_018D</t>
  </si>
  <si>
    <t>1700_038D</t>
  </si>
  <si>
    <t>1700_058D</t>
  </si>
  <si>
    <t>1700_078D</t>
  </si>
  <si>
    <t>1700_098D</t>
  </si>
  <si>
    <t>1700_0B8D</t>
  </si>
  <si>
    <t>1700_0D8D</t>
  </si>
  <si>
    <t>1700_0F8D</t>
  </si>
  <si>
    <t>1700_118D</t>
  </si>
  <si>
    <t>1700_138D</t>
  </si>
  <si>
    <t>1700_158D</t>
  </si>
  <si>
    <t>1700_178D</t>
  </si>
  <si>
    <t>1700_198D</t>
  </si>
  <si>
    <t>1700_1B8D</t>
  </si>
  <si>
    <t>1700_1D8D</t>
  </si>
  <si>
    <t>1700_1F8D</t>
  </si>
  <si>
    <t>1700_218D</t>
  </si>
  <si>
    <t>1700_238D</t>
  </si>
  <si>
    <t>1700_258D</t>
  </si>
  <si>
    <t>1700_278D</t>
  </si>
  <si>
    <t>1700_298D</t>
  </si>
  <si>
    <t>1700_2B8D</t>
  </si>
  <si>
    <t>1700_2D8D</t>
  </si>
  <si>
    <t>1700_2F8D</t>
  </si>
  <si>
    <t>1700_318D</t>
  </si>
  <si>
    <t>1700_338D</t>
  </si>
  <si>
    <t>1700_358D</t>
  </si>
  <si>
    <t>1700_378D</t>
  </si>
  <si>
    <t>1700_398D</t>
  </si>
  <si>
    <t>1700_3B8D</t>
  </si>
  <si>
    <t>1700_3D8D</t>
  </si>
  <si>
    <t>1700_3F8D</t>
  </si>
  <si>
    <t>1700_418D</t>
  </si>
  <si>
    <t>1700_438D</t>
  </si>
  <si>
    <t>1700_458D</t>
  </si>
  <si>
    <t>1700_478D</t>
  </si>
  <si>
    <t>1700_498D</t>
  </si>
  <si>
    <t>1700_4B8D</t>
  </si>
  <si>
    <t>1700_4D8D</t>
  </si>
  <si>
    <t>1700_4F8D</t>
  </si>
  <si>
    <t>1700_518D</t>
  </si>
  <si>
    <t>1700_538D</t>
  </si>
  <si>
    <t>1700_558D</t>
  </si>
  <si>
    <t>1700_578D</t>
  </si>
  <si>
    <t>1700_598D</t>
  </si>
  <si>
    <t>1700_5B8D</t>
  </si>
  <si>
    <t>1700_5D8D</t>
  </si>
  <si>
    <t>1700_5F8D</t>
  </si>
  <si>
    <t>1700_618D</t>
  </si>
  <si>
    <t>1700_638D</t>
  </si>
  <si>
    <t>1700_658D</t>
  </si>
  <si>
    <t>1700_678D</t>
  </si>
  <si>
    <t>1700_698D</t>
  </si>
  <si>
    <t>1700_6B8D</t>
  </si>
  <si>
    <t>1700_6D8D</t>
  </si>
  <si>
    <t>1700_6F8D</t>
  </si>
  <si>
    <t>1700_718D</t>
  </si>
  <si>
    <t>1700_738D</t>
  </si>
  <si>
    <t>1700_758D</t>
  </si>
  <si>
    <t>1700_778D</t>
  </si>
  <si>
    <t>1700_798D</t>
  </si>
  <si>
    <t>1700_7B8D</t>
  </si>
  <si>
    <t>1700_7D8D</t>
  </si>
  <si>
    <t>1700_7F8D</t>
  </si>
  <si>
    <t>1700_018E</t>
  </si>
  <si>
    <t>1700_038E</t>
  </si>
  <si>
    <t>1700_058E</t>
  </si>
  <si>
    <t>1700_078E</t>
  </si>
  <si>
    <t>1700_098E</t>
  </si>
  <si>
    <t>1700_0B8E</t>
  </si>
  <si>
    <t>1700_0D8E</t>
  </si>
  <si>
    <t>1700_0F8E</t>
  </si>
  <si>
    <t>1700_118E</t>
  </si>
  <si>
    <t>1700_138E</t>
  </si>
  <si>
    <t>1700_158E</t>
  </si>
  <si>
    <t>1700_178E</t>
  </si>
  <si>
    <t>1700_198E</t>
  </si>
  <si>
    <t>1700_1B8E</t>
  </si>
  <si>
    <t>1700_1D8E</t>
  </si>
  <si>
    <t>1700_1F8E</t>
  </si>
  <si>
    <t>1700_218E</t>
  </si>
  <si>
    <t>1700_238E</t>
  </si>
  <si>
    <t>1700_258E</t>
  </si>
  <si>
    <t>1700_278E</t>
  </si>
  <si>
    <t>1700_298E</t>
  </si>
  <si>
    <t>1700_2B8E</t>
  </si>
  <si>
    <t>1700_2D8E</t>
  </si>
  <si>
    <t>1700_2F8E</t>
  </si>
  <si>
    <t>1700_318E</t>
  </si>
  <si>
    <t>1700_338E</t>
  </si>
  <si>
    <t>1700_358E</t>
  </si>
  <si>
    <t>1700_378E</t>
  </si>
  <si>
    <t>1700_398E</t>
  </si>
  <si>
    <t>1700_3B8E</t>
  </si>
  <si>
    <t>1700_3D8E</t>
  </si>
  <si>
    <t>1700_3F8E</t>
  </si>
  <si>
    <t>1700_418E</t>
  </si>
  <si>
    <t>1700_438E</t>
  </si>
  <si>
    <t>1700_458E</t>
  </si>
  <si>
    <t>1700_478E</t>
  </si>
  <si>
    <t>1700_498E</t>
  </si>
  <si>
    <t>1700_4B8E</t>
  </si>
  <si>
    <t>1700_4D8E</t>
  </si>
  <si>
    <t>1700_4F8E</t>
  </si>
  <si>
    <t>1700_518E</t>
  </si>
  <si>
    <t>1700_538E</t>
  </si>
  <si>
    <t>1700_558E</t>
  </si>
  <si>
    <t>1700_578E</t>
  </si>
  <si>
    <t>1700_598E</t>
  </si>
  <si>
    <t>1700_5B8E</t>
  </si>
  <si>
    <t>1700_5D8E</t>
  </si>
  <si>
    <t>1700_5F8E</t>
  </si>
  <si>
    <t>1700_618E</t>
  </si>
  <si>
    <t>1700_638E</t>
  </si>
  <si>
    <t>1700_658E</t>
  </si>
  <si>
    <t>1700_678E</t>
  </si>
  <si>
    <t>1700_698E</t>
  </si>
  <si>
    <t>1700_6B8E</t>
  </si>
  <si>
    <t>1700_6D8E</t>
  </si>
  <si>
    <t>1700_6F8E</t>
  </si>
  <si>
    <t>1700_718E</t>
  </si>
  <si>
    <t>1700_738E</t>
  </si>
  <si>
    <t>1700_758E</t>
  </si>
  <si>
    <t>1700_778E</t>
  </si>
  <si>
    <t>1700_798E</t>
  </si>
  <si>
    <t>1700_7B8E</t>
  </si>
  <si>
    <t>1700_7D8E</t>
  </si>
  <si>
    <t>1700_7F8E</t>
  </si>
  <si>
    <t>1700_018F</t>
  </si>
  <si>
    <t>1700_038F</t>
  </si>
  <si>
    <t>1700_058F</t>
  </si>
  <si>
    <t>1700_078F</t>
  </si>
  <si>
    <t>1700_098F</t>
  </si>
  <si>
    <t>1700_0B8F</t>
  </si>
  <si>
    <t>1700_0D8F</t>
  </si>
  <si>
    <t>1700_0F8F</t>
  </si>
  <si>
    <t>1700_118F</t>
  </si>
  <si>
    <t>1700_138F</t>
  </si>
  <si>
    <t>1700_158F</t>
  </si>
  <si>
    <t>1700_178F</t>
  </si>
  <si>
    <t>1700_198F</t>
  </si>
  <si>
    <t>1700_1B8F</t>
  </si>
  <si>
    <t>1700_1D8F</t>
  </si>
  <si>
    <t>1700_1F8F</t>
  </si>
  <si>
    <t>1700_218F</t>
  </si>
  <si>
    <t>1700_238F</t>
  </si>
  <si>
    <t>1700_258F</t>
  </si>
  <si>
    <t>1700_278F</t>
  </si>
  <si>
    <t>1700_298F</t>
  </si>
  <si>
    <t>1700_2B8F</t>
  </si>
  <si>
    <t>1700_2D8F</t>
  </si>
  <si>
    <t>1700_2F8F</t>
  </si>
  <si>
    <t>1700_318F</t>
  </si>
  <si>
    <t>1700_338F</t>
  </si>
  <si>
    <t>1700_358F</t>
  </si>
  <si>
    <t>1700_378F</t>
  </si>
  <si>
    <t>1700_398F</t>
  </si>
  <si>
    <t>1700_3B8F</t>
  </si>
  <si>
    <t>1700_3D8F</t>
  </si>
  <si>
    <t>1700_3F8F</t>
  </si>
  <si>
    <t>1700_418F</t>
  </si>
  <si>
    <t>1700_438F</t>
  </si>
  <si>
    <t>1700_458F</t>
  </si>
  <si>
    <t>1700_478F</t>
  </si>
  <si>
    <t>1700_498F</t>
  </si>
  <si>
    <t>1700_4B8F</t>
  </si>
  <si>
    <t>1700_4D8F</t>
  </si>
  <si>
    <t>1700_4F8F</t>
  </si>
  <si>
    <t>1700_518F</t>
  </si>
  <si>
    <t>1700_538F</t>
  </si>
  <si>
    <t>1700_558F</t>
  </si>
  <si>
    <t>1700_578F</t>
  </si>
  <si>
    <t>1700_598F</t>
  </si>
  <si>
    <t>1700_5B8F</t>
  </si>
  <si>
    <t>1700_5D8F</t>
  </si>
  <si>
    <t>1700_5F8F</t>
  </si>
  <si>
    <t>1700_618F</t>
  </si>
  <si>
    <t>1700_638F</t>
  </si>
  <si>
    <t>1700_658F</t>
  </si>
  <si>
    <t>1700_678F</t>
  </si>
  <si>
    <t>1700_698F</t>
  </si>
  <si>
    <t>1700_6B8F</t>
  </si>
  <si>
    <t>1700_6D8F</t>
  </si>
  <si>
    <t>1700_6F8F</t>
  </si>
  <si>
    <t>1700_718F</t>
  </si>
  <si>
    <t>1700_738F</t>
  </si>
  <si>
    <t>1700_758F</t>
  </si>
  <si>
    <t>1700_778F</t>
  </si>
  <si>
    <t>1700_798F</t>
  </si>
  <si>
    <t>1700_7B8F</t>
  </si>
  <si>
    <t>1700_7D8F</t>
  </si>
  <si>
    <t>1700_7F8F</t>
  </si>
  <si>
    <t>1700_0190</t>
  </si>
  <si>
    <t>1700_0390</t>
  </si>
  <si>
    <t>1700_0590</t>
  </si>
  <si>
    <t>1700_0790</t>
  </si>
  <si>
    <t>1700_0990</t>
  </si>
  <si>
    <t>1700_0B90</t>
  </si>
  <si>
    <t>1700_0D90</t>
  </si>
  <si>
    <t>1700_0F90</t>
  </si>
  <si>
    <t>1700_1190</t>
  </si>
  <si>
    <t>1700_1390</t>
  </si>
  <si>
    <t>1700_1590</t>
  </si>
  <si>
    <t>1700_1790</t>
  </si>
  <si>
    <t>1700_1990</t>
  </si>
  <si>
    <t>1700_1B90</t>
  </si>
  <si>
    <t>1700_1D90</t>
  </si>
  <si>
    <t>1700_1F90</t>
  </si>
  <si>
    <t>1700_2190</t>
  </si>
  <si>
    <t>1700_2390</t>
  </si>
  <si>
    <t>1700_2590</t>
  </si>
  <si>
    <t>1700_2790</t>
  </si>
  <si>
    <t>1700_2990</t>
  </si>
  <si>
    <t>1700_2B90</t>
  </si>
  <si>
    <t>1700_2D90</t>
  </si>
  <si>
    <t>1700_2F90</t>
  </si>
  <si>
    <t>1700_3190</t>
  </si>
  <si>
    <t>1700_3390</t>
  </si>
  <si>
    <t>1700_3590</t>
  </si>
  <si>
    <t>1700_3790</t>
  </si>
  <si>
    <t>1700_3990</t>
  </si>
  <si>
    <t>1700_3B90</t>
  </si>
  <si>
    <t>1700_3D90</t>
  </si>
  <si>
    <t>1700_3F90</t>
  </si>
  <si>
    <t>1700_4190</t>
  </si>
  <si>
    <t>1700_4390</t>
  </si>
  <si>
    <t>1700_4590</t>
  </si>
  <si>
    <t>1700_4790</t>
  </si>
  <si>
    <t>1700_4990</t>
  </si>
  <si>
    <t>1700_4B90</t>
  </si>
  <si>
    <t>1700_4D90</t>
  </si>
  <si>
    <t>1700_4F90</t>
  </si>
  <si>
    <t>1700_5190</t>
  </si>
  <si>
    <t>1700_5390</t>
  </si>
  <si>
    <t>1700_5590</t>
  </si>
  <si>
    <t>1700_5790</t>
  </si>
  <si>
    <t>1700_5990</t>
  </si>
  <si>
    <t>1700_5B90</t>
  </si>
  <si>
    <t>1700_5D90</t>
  </si>
  <si>
    <t>1700_5F90</t>
  </si>
  <si>
    <t>1700_6190</t>
  </si>
  <si>
    <t>1700_6390</t>
  </si>
  <si>
    <t>1700_6590</t>
  </si>
  <si>
    <t>1700_6790</t>
  </si>
  <si>
    <t>1700_6990</t>
  </si>
  <si>
    <t>1700_6B90</t>
  </si>
  <si>
    <t>1700_6D90</t>
  </si>
  <si>
    <t>1700_6F90</t>
  </si>
  <si>
    <t>1700_7190</t>
  </si>
  <si>
    <t>1700_7390</t>
  </si>
  <si>
    <t>1700_7590</t>
  </si>
  <si>
    <t>1700_7790</t>
  </si>
  <si>
    <t>1700_7990</t>
  </si>
  <si>
    <t>1700_7B90</t>
  </si>
  <si>
    <t>1700_7D90</t>
  </si>
  <si>
    <t>1700_7F90</t>
  </si>
  <si>
    <t>1700_0191</t>
  </si>
  <si>
    <t>1700_0391</t>
  </si>
  <si>
    <t>1700_0591</t>
  </si>
  <si>
    <t>1700_0791</t>
  </si>
  <si>
    <t>1700_0991</t>
  </si>
  <si>
    <t>1700_0B91</t>
  </si>
  <si>
    <t>1700_0D91</t>
  </si>
  <si>
    <t>1700_0F91</t>
  </si>
  <si>
    <t>1700_1191</t>
  </si>
  <si>
    <t>1700_1391</t>
  </si>
  <si>
    <t>1700_1591</t>
  </si>
  <si>
    <t>1700_1791</t>
  </si>
  <si>
    <t>1700_1991</t>
  </si>
  <si>
    <t>1700_1B91</t>
  </si>
  <si>
    <t>1700_1D91</t>
  </si>
  <si>
    <t>1700_1F91</t>
  </si>
  <si>
    <t>1700_2191</t>
  </si>
  <si>
    <t>1700_2391</t>
  </si>
  <si>
    <t>1700_2591</t>
  </si>
  <si>
    <t>1700_2791</t>
  </si>
  <si>
    <t>1700_2991</t>
  </si>
  <si>
    <t>1700_2B91</t>
  </si>
  <si>
    <t>1700_2D91</t>
  </si>
  <si>
    <t>1700_2F91</t>
  </si>
  <si>
    <t>1700_3191</t>
  </si>
  <si>
    <t>1700_3391</t>
  </si>
  <si>
    <t>1700_3591</t>
  </si>
  <si>
    <t>1700_3791</t>
  </si>
  <si>
    <t>1700_3991</t>
  </si>
  <si>
    <t>1700_3B91</t>
  </si>
  <si>
    <t>1700_3D91</t>
  </si>
  <si>
    <t>1700_3F91</t>
  </si>
  <si>
    <t>1700_4191</t>
  </si>
  <si>
    <t>1700_4391</t>
  </si>
  <si>
    <t>1700_4591</t>
  </si>
  <si>
    <t>1700_4791</t>
  </si>
  <si>
    <t>1700_4991</t>
  </si>
  <si>
    <t>1700_4B91</t>
  </si>
  <si>
    <t>1700_4D91</t>
  </si>
  <si>
    <t>1700_4F91</t>
  </si>
  <si>
    <t>1700_5191</t>
  </si>
  <si>
    <t>1700_5391</t>
  </si>
  <si>
    <t>1700_5591</t>
  </si>
  <si>
    <t>1700_5791</t>
  </si>
  <si>
    <t>1700_5991</t>
  </si>
  <si>
    <t>1700_5B91</t>
  </si>
  <si>
    <t>1700_5D91</t>
  </si>
  <si>
    <t>1700_5F91</t>
  </si>
  <si>
    <t>1700_6191</t>
  </si>
  <si>
    <t>1700_6391</t>
  </si>
  <si>
    <t>1700_6591</t>
  </si>
  <si>
    <t>1700_6791</t>
  </si>
  <si>
    <t>1700_6991</t>
  </si>
  <si>
    <t>1700_6B91</t>
  </si>
  <si>
    <t>1700_6D91</t>
  </si>
  <si>
    <t>1700_6F91</t>
  </si>
  <si>
    <t>1700_7191</t>
  </si>
  <si>
    <t>1700_7391</t>
  </si>
  <si>
    <t>1700_7591</t>
  </si>
  <si>
    <t>1700_7791</t>
  </si>
  <si>
    <t>1700_7991</t>
  </si>
  <si>
    <t>1700_7B91</t>
  </si>
  <si>
    <t>1700_7D91</t>
  </si>
  <si>
    <t>1700_7F91</t>
  </si>
  <si>
    <t>1700_0192</t>
  </si>
  <si>
    <t>1700_0392</t>
  </si>
  <si>
    <t>1700_0592</t>
  </si>
  <si>
    <t>1700_0792</t>
  </si>
  <si>
    <t>1700_0992</t>
  </si>
  <si>
    <t>1700_0B92</t>
  </si>
  <si>
    <t>1700_0D92</t>
  </si>
  <si>
    <t>1700_0F92</t>
  </si>
  <si>
    <t>1700_1192</t>
  </si>
  <si>
    <t>1700_1392</t>
  </si>
  <si>
    <t>1700_1592</t>
  </si>
  <si>
    <t>1700_1792</t>
  </si>
  <si>
    <t>1700_1992</t>
  </si>
  <si>
    <t>1700_1B92</t>
  </si>
  <si>
    <t>1700_1D92</t>
  </si>
  <si>
    <t>1700_1F92</t>
  </si>
  <si>
    <t>1700_2192</t>
  </si>
  <si>
    <t>1700_2392</t>
  </si>
  <si>
    <t>1700_2592</t>
  </si>
  <si>
    <t>1700_2792</t>
  </si>
  <si>
    <t>1700_2992</t>
  </si>
  <si>
    <t>1700_2B92</t>
  </si>
  <si>
    <t>1700_2D92</t>
  </si>
  <si>
    <t>1700_2F92</t>
  </si>
  <si>
    <t>1700_3192</t>
  </si>
  <si>
    <t>1700_3392</t>
  </si>
  <si>
    <t>1700_3592</t>
  </si>
  <si>
    <t>1700_3792</t>
  </si>
  <si>
    <t>1700_3992</t>
  </si>
  <si>
    <t>1700_3B92</t>
  </si>
  <si>
    <t>1700_3D92</t>
  </si>
  <si>
    <t>1700_3F92</t>
  </si>
  <si>
    <t>1700_4192</t>
  </si>
  <si>
    <t>1700_4392</t>
  </si>
  <si>
    <t>1700_4592</t>
  </si>
  <si>
    <t>1700_4792</t>
  </si>
  <si>
    <t>1700_4992</t>
  </si>
  <si>
    <t>1700_4B92</t>
  </si>
  <si>
    <t>1700_4D92</t>
  </si>
  <si>
    <t>1700_4F92</t>
  </si>
  <si>
    <t>1700_5192</t>
  </si>
  <si>
    <t>1700_5392</t>
  </si>
  <si>
    <t>1700_5592</t>
  </si>
  <si>
    <t>1700_5792</t>
  </si>
  <si>
    <t>1700_5992</t>
  </si>
  <si>
    <t>1700_5B92</t>
  </si>
  <si>
    <t>1700_5D92</t>
  </si>
  <si>
    <t>1700_5F92</t>
  </si>
  <si>
    <t>1700_6192</t>
  </si>
  <si>
    <t>1700_6392</t>
  </si>
  <si>
    <t>1700_6592</t>
  </si>
  <si>
    <t>1700_6792</t>
  </si>
  <si>
    <t>1700_6992</t>
  </si>
  <si>
    <t>1700_6B92</t>
  </si>
  <si>
    <t>1700_6D92</t>
  </si>
  <si>
    <t>1700_6F92</t>
  </si>
  <si>
    <t>1700_7192</t>
  </si>
  <si>
    <t>1700_7392</t>
  </si>
  <si>
    <t>1700_7592</t>
  </si>
  <si>
    <t>1700_7792</t>
  </si>
  <si>
    <t>1700_7992</t>
  </si>
  <si>
    <t>1700_7B92</t>
  </si>
  <si>
    <t>1700_7D92</t>
  </si>
  <si>
    <t>1700_7F92</t>
  </si>
  <si>
    <t>1700_0193</t>
  </si>
  <si>
    <t>1700_0393</t>
  </si>
  <si>
    <t>1700_0593</t>
  </si>
  <si>
    <t>1700_0793</t>
  </si>
  <si>
    <t>1700_0993</t>
  </si>
  <si>
    <t>1700_0B93</t>
  </si>
  <si>
    <t>1700_0D93</t>
  </si>
  <si>
    <t>1700_0F93</t>
  </si>
  <si>
    <t>1700_1193</t>
  </si>
  <si>
    <t>1700_1393</t>
  </si>
  <si>
    <t>1700_1593</t>
  </si>
  <si>
    <t>1700_1793</t>
  </si>
  <si>
    <t>1700_1993</t>
  </si>
  <si>
    <t>1700_1B93</t>
  </si>
  <si>
    <t>1700_1D93</t>
  </si>
  <si>
    <t>1700_1F93</t>
  </si>
  <si>
    <t>1700_2193</t>
  </si>
  <si>
    <t>1700_2393</t>
  </si>
  <si>
    <t>1700_2593</t>
  </si>
  <si>
    <t>1700_2793</t>
  </si>
  <si>
    <t>1700_2993</t>
  </si>
  <si>
    <t>1700_2B93</t>
  </si>
  <si>
    <t>1700_2D93</t>
  </si>
  <si>
    <t>1700_2F93</t>
  </si>
  <si>
    <t>1700_3193</t>
  </si>
  <si>
    <t>1700_3393</t>
  </si>
  <si>
    <t>1700_3593</t>
  </si>
  <si>
    <t>1700_3793</t>
  </si>
  <si>
    <t>1700_3993</t>
  </si>
  <si>
    <t>1700_3B93</t>
  </si>
  <si>
    <t>1700_3D93</t>
  </si>
  <si>
    <t>1700_3F93</t>
  </si>
  <si>
    <t>1700_4193</t>
  </si>
  <si>
    <t>1700_4393</t>
  </si>
  <si>
    <t>1700_4593</t>
  </si>
  <si>
    <t>1700_4793</t>
  </si>
  <si>
    <t>1700_4993</t>
  </si>
  <si>
    <t>1700_4B93</t>
  </si>
  <si>
    <t>1700_4D93</t>
  </si>
  <si>
    <t>1700_4F93</t>
  </si>
  <si>
    <t>1700_5193</t>
  </si>
  <si>
    <t>1700_5393</t>
  </si>
  <si>
    <t>1700_5593</t>
  </si>
  <si>
    <t>1700_5793</t>
  </si>
  <si>
    <t>1700_5993</t>
  </si>
  <si>
    <t>1700_5B93</t>
  </si>
  <si>
    <t>1700_5D93</t>
  </si>
  <si>
    <t>1700_5F93</t>
  </si>
  <si>
    <t>1700_6193</t>
  </si>
  <si>
    <t>1700_6393</t>
  </si>
  <si>
    <t>1700_6593</t>
  </si>
  <si>
    <t>1700_6793</t>
  </si>
  <si>
    <t>1700_6993</t>
  </si>
  <si>
    <t>1700_6B93</t>
  </si>
  <si>
    <t>1700_6D93</t>
  </si>
  <si>
    <t>1700_6F93</t>
  </si>
  <si>
    <t>1700_7193</t>
  </si>
  <si>
    <t>1700_7393</t>
  </si>
  <si>
    <t>1700_7593</t>
  </si>
  <si>
    <t>1700_7793</t>
  </si>
  <si>
    <t>1700_7993</t>
  </si>
  <si>
    <t>1700_7B93</t>
  </si>
  <si>
    <t>1700_7D93</t>
  </si>
  <si>
    <t>1700_7F93</t>
  </si>
  <si>
    <t>1700_0194</t>
  </si>
  <si>
    <t>1700_0394</t>
  </si>
  <si>
    <t>1700_0594</t>
  </si>
  <si>
    <t>1700_0794</t>
  </si>
  <si>
    <t>1700_0994</t>
  </si>
  <si>
    <t>1700_0B94</t>
  </si>
  <si>
    <t>1700_0D94</t>
  </si>
  <si>
    <t>1700_0F94</t>
  </si>
  <si>
    <t>1700_1194</t>
  </si>
  <si>
    <t>1700_1394</t>
  </si>
  <si>
    <t>1700_1594</t>
  </si>
  <si>
    <t>1700_1794</t>
  </si>
  <si>
    <t>1700_1994</t>
  </si>
  <si>
    <t>1700_1B94</t>
  </si>
  <si>
    <t>1700_1D94</t>
  </si>
  <si>
    <t>1700_1F94</t>
  </si>
  <si>
    <t>1700_2194</t>
  </si>
  <si>
    <t>1700_2394</t>
  </si>
  <si>
    <t>1700_2594</t>
  </si>
  <si>
    <t>1700_2794</t>
  </si>
  <si>
    <t>1700_2994</t>
  </si>
  <si>
    <t>1700_2B94</t>
  </si>
  <si>
    <t>1700_2D94</t>
  </si>
  <si>
    <t>1700_2F94</t>
  </si>
  <si>
    <t>1700_3194</t>
  </si>
  <si>
    <t>1700_3394</t>
  </si>
  <si>
    <t>1700_3594</t>
  </si>
  <si>
    <t>1700_3794</t>
  </si>
  <si>
    <t>1700_3994</t>
  </si>
  <si>
    <t>1700_3B94</t>
  </si>
  <si>
    <t>1700_3D94</t>
  </si>
  <si>
    <t>1700_3F94</t>
  </si>
  <si>
    <t>1700_4194</t>
  </si>
  <si>
    <t>1700_4394</t>
  </si>
  <si>
    <t>1700_4594</t>
  </si>
  <si>
    <t>1700_4794</t>
  </si>
  <si>
    <t>1700_4994</t>
  </si>
  <si>
    <t>1700_4B94</t>
  </si>
  <si>
    <t>1700_4D94</t>
  </si>
  <si>
    <t>1700_4F94</t>
  </si>
  <si>
    <t>1700_5194</t>
  </si>
  <si>
    <t>1700_5394</t>
  </si>
  <si>
    <t>1700_5594</t>
  </si>
  <si>
    <t>1700_5794</t>
  </si>
  <si>
    <t>1700_5994</t>
  </si>
  <si>
    <t>1700_5B94</t>
  </si>
  <si>
    <t>1700_5D94</t>
  </si>
  <si>
    <t>1700_5F94</t>
  </si>
  <si>
    <t>1700_6194</t>
  </si>
  <si>
    <t>1700_6394</t>
  </si>
  <si>
    <t>1700_6594</t>
  </si>
  <si>
    <t>1700_6794</t>
  </si>
  <si>
    <t>1700_6994</t>
  </si>
  <si>
    <t>1700_6B94</t>
  </si>
  <si>
    <t>1700_6D94</t>
  </si>
  <si>
    <t>1700_6F94</t>
  </si>
  <si>
    <t>1700_7194</t>
  </si>
  <si>
    <t>1700_7394</t>
  </si>
  <si>
    <t>1700_7594</t>
  </si>
  <si>
    <t>1700_7794</t>
  </si>
  <si>
    <t>1700_7994</t>
  </si>
  <si>
    <t>1700_7B94</t>
  </si>
  <si>
    <t>1700_7D94</t>
  </si>
  <si>
    <t>1700_7F94</t>
  </si>
  <si>
    <t>1700_0195</t>
  </si>
  <si>
    <t>1700_0395</t>
  </si>
  <si>
    <t>1700_0595</t>
  </si>
  <si>
    <t>1700_0795</t>
  </si>
  <si>
    <t>1700_0995</t>
  </si>
  <si>
    <t>1700_0B95</t>
  </si>
  <si>
    <t>1700_0D95</t>
  </si>
  <si>
    <t>1700_0F95</t>
  </si>
  <si>
    <t>1700_1195</t>
  </si>
  <si>
    <t>1700_1395</t>
  </si>
  <si>
    <t>1700_1595</t>
  </si>
  <si>
    <t>1700_1795</t>
  </si>
  <si>
    <t>1700_1995</t>
  </si>
  <si>
    <t>1700_1B95</t>
  </si>
  <si>
    <t>1700_1D95</t>
  </si>
  <si>
    <t>1700_1F95</t>
  </si>
  <si>
    <t>1700_2195</t>
  </si>
  <si>
    <t>1700_2395</t>
  </si>
  <si>
    <t>1700_2595</t>
  </si>
  <si>
    <t>1700_2795</t>
  </si>
  <si>
    <t>1700_2995</t>
  </si>
  <si>
    <t>1700_2B95</t>
  </si>
  <si>
    <t>1700_2D95</t>
  </si>
  <si>
    <t>1700_2F95</t>
  </si>
  <si>
    <t>1700_3195</t>
  </si>
  <si>
    <t>1700_3395</t>
  </si>
  <si>
    <t>1700_3595</t>
  </si>
  <si>
    <t>1700_3795</t>
  </si>
  <si>
    <t>1700_3995</t>
  </si>
  <si>
    <t>1700_3B95</t>
  </si>
  <si>
    <t>1700_3D95</t>
  </si>
  <si>
    <t>1700_3F95</t>
  </si>
  <si>
    <t>1700_4195</t>
  </si>
  <si>
    <t>1700_4395</t>
  </si>
  <si>
    <t>1700_4595</t>
  </si>
  <si>
    <t>1700_4795</t>
  </si>
  <si>
    <t>1700_4995</t>
  </si>
  <si>
    <t>1700_4B95</t>
  </si>
  <si>
    <t>1700_4D95</t>
  </si>
  <si>
    <t>1700_4F95</t>
  </si>
  <si>
    <t>1700_5195</t>
  </si>
  <si>
    <t>1700_5395</t>
  </si>
  <si>
    <t>1700_5595</t>
  </si>
  <si>
    <t>1700_5795</t>
  </si>
  <si>
    <t>1700_5995</t>
  </si>
  <si>
    <t>1700_5B95</t>
  </si>
  <si>
    <t>1700_5D95</t>
  </si>
  <si>
    <t>1700_5F95</t>
  </si>
  <si>
    <t>1700_6195</t>
  </si>
  <si>
    <t>1700_6395</t>
  </si>
  <si>
    <t>1700_6595</t>
  </si>
  <si>
    <t>1700_6795</t>
  </si>
  <si>
    <t>1700_6995</t>
  </si>
  <si>
    <t>1700_6B95</t>
  </si>
  <si>
    <t>1700_6D95</t>
  </si>
  <si>
    <t>1700_6F95</t>
  </si>
  <si>
    <t>1700_7195</t>
  </si>
  <si>
    <t>1700_7395</t>
  </si>
  <si>
    <t>1700_7595</t>
  </si>
  <si>
    <t>1700_7795</t>
  </si>
  <si>
    <t>1700_7995</t>
  </si>
  <si>
    <t>1700_7B95</t>
  </si>
  <si>
    <t>1700_7D95</t>
  </si>
  <si>
    <t>1700_7F95</t>
  </si>
  <si>
    <t>1700_0196</t>
  </si>
  <si>
    <t>1700_0396</t>
  </si>
  <si>
    <t>1700_0596</t>
  </si>
  <si>
    <t>1700_0796</t>
  </si>
  <si>
    <t>1700_0996</t>
  </si>
  <si>
    <t>1700_0B96</t>
  </si>
  <si>
    <t>1700_0D96</t>
  </si>
  <si>
    <t>1700_0F96</t>
  </si>
  <si>
    <t>1700_1196</t>
  </si>
  <si>
    <t>1700_1396</t>
  </si>
  <si>
    <t>1700_1596</t>
  </si>
  <si>
    <t>1700_1796</t>
  </si>
  <si>
    <t>1700_1996</t>
  </si>
  <si>
    <t>1700_1B96</t>
  </si>
  <si>
    <t>1700_1D96</t>
  </si>
  <si>
    <t>1700_1F96</t>
  </si>
  <si>
    <t>1700_2196</t>
  </si>
  <si>
    <t>1700_2396</t>
  </si>
  <si>
    <t>1700_2596</t>
  </si>
  <si>
    <t>1700_2796</t>
  </si>
  <si>
    <t>1700_2996</t>
  </si>
  <si>
    <t>1700_2B96</t>
  </si>
  <si>
    <t>1700_2D96</t>
  </si>
  <si>
    <t>1700_2F96</t>
  </si>
  <si>
    <t>1700_3196</t>
  </si>
  <si>
    <t>1700_3396</t>
  </si>
  <si>
    <t>1700_3596</t>
  </si>
  <si>
    <t>1700_3796</t>
  </si>
  <si>
    <t>1700_3996</t>
  </si>
  <si>
    <t>1700_3B96</t>
  </si>
  <si>
    <t>1700_3D96</t>
  </si>
  <si>
    <t>1700_3F96</t>
  </si>
  <si>
    <t>1700_4196</t>
  </si>
  <si>
    <t>1700_4396</t>
  </si>
  <si>
    <t>1700_4596</t>
  </si>
  <si>
    <t>1700_4796</t>
  </si>
  <si>
    <t>1700_4996</t>
  </si>
  <si>
    <t>1700_4B96</t>
  </si>
  <si>
    <t>1700_4D96</t>
  </si>
  <si>
    <t>1700_4F96</t>
  </si>
  <si>
    <t>1700_5196</t>
  </si>
  <si>
    <t>1700_5396</t>
  </si>
  <si>
    <t>1700_5596</t>
  </si>
  <si>
    <t>1700_5796</t>
  </si>
  <si>
    <t>1700_5996</t>
  </si>
  <si>
    <t>1700_5B96</t>
  </si>
  <si>
    <t>1700_5D96</t>
  </si>
  <si>
    <t>1700_5F96</t>
  </si>
  <si>
    <t>1700_6196</t>
  </si>
  <si>
    <t>1700_6396</t>
  </si>
  <si>
    <t>1700_6596</t>
  </si>
  <si>
    <t>1700_6796</t>
  </si>
  <si>
    <t>1700_6996</t>
  </si>
  <si>
    <t>1700_6B96</t>
  </si>
  <si>
    <t>1700_6D96</t>
  </si>
  <si>
    <t>1700_6F96</t>
  </si>
  <si>
    <t>1700_7196</t>
  </si>
  <si>
    <t>1700_7396</t>
  </si>
  <si>
    <t>1700_7596</t>
  </si>
  <si>
    <t>1700_7796</t>
  </si>
  <si>
    <t>1700_7996</t>
  </si>
  <si>
    <t>1700_7B96</t>
  </si>
  <si>
    <t>1700_7D96</t>
  </si>
  <si>
    <t>1700_7F96</t>
  </si>
  <si>
    <t>1700_0197</t>
  </si>
  <si>
    <t>1700_0397</t>
  </si>
  <si>
    <t>1700_0597</t>
  </si>
  <si>
    <t>1700_0797</t>
  </si>
  <si>
    <t>1700_0997</t>
  </si>
  <si>
    <t>1700_0B97</t>
  </si>
  <si>
    <t>1700_0D97</t>
  </si>
  <si>
    <t>1700_0F97</t>
  </si>
  <si>
    <t>1700_1197</t>
  </si>
  <si>
    <t>1700_1397</t>
  </si>
  <si>
    <t>1700_1597</t>
  </si>
  <si>
    <t>1700_1797</t>
  </si>
  <si>
    <t>1700_1997</t>
  </si>
  <si>
    <t>1700_1B97</t>
  </si>
  <si>
    <t>1700_1D97</t>
  </si>
  <si>
    <t>1700_1F97</t>
  </si>
  <si>
    <t>1700_2197</t>
  </si>
  <si>
    <t>1700_2397</t>
  </si>
  <si>
    <t>1700_2597</t>
  </si>
  <si>
    <t>1700_2797</t>
  </si>
  <si>
    <t>1700_2997</t>
  </si>
  <si>
    <t>1700_2B97</t>
  </si>
  <si>
    <t>1700_2D97</t>
  </si>
  <si>
    <t>1700_2F97</t>
  </si>
  <si>
    <t>1700_3197</t>
  </si>
  <si>
    <t>1700_3397</t>
  </si>
  <si>
    <t>1700_3597</t>
  </si>
  <si>
    <t>1700_3797</t>
  </si>
  <si>
    <t>1700_3997</t>
  </si>
  <si>
    <t>1700_3B97</t>
  </si>
  <si>
    <t>1700_3D97</t>
  </si>
  <si>
    <t>1700_3F97</t>
  </si>
  <si>
    <t>1700_4197</t>
  </si>
  <si>
    <t>1700_4397</t>
  </si>
  <si>
    <t>1700_4597</t>
  </si>
  <si>
    <t>1700_4797</t>
  </si>
  <si>
    <t>1700_4997</t>
  </si>
  <si>
    <t>1700_4B97</t>
  </si>
  <si>
    <t>1700_4D97</t>
  </si>
  <si>
    <t>1700_4F97</t>
  </si>
  <si>
    <t>1700_5197</t>
  </si>
  <si>
    <t>1700_5397</t>
  </si>
  <si>
    <t>1700_5597</t>
  </si>
  <si>
    <t>1700_5797</t>
  </si>
  <si>
    <t>1700_5997</t>
  </si>
  <si>
    <t>1700_5B97</t>
  </si>
  <si>
    <t>1700_5D97</t>
  </si>
  <si>
    <t>1700_5F97</t>
  </si>
  <si>
    <t>1700_6197</t>
  </si>
  <si>
    <t>1700_6397</t>
  </si>
  <si>
    <t>1700_6597</t>
  </si>
  <si>
    <t>1700_6797</t>
  </si>
  <si>
    <t>1700_6997</t>
  </si>
  <si>
    <t>1700_6B97</t>
  </si>
  <si>
    <t>1700_6D97</t>
  </si>
  <si>
    <t>1700_6F97</t>
  </si>
  <si>
    <t>1700_7197</t>
  </si>
  <si>
    <t>1700_7397</t>
  </si>
  <si>
    <t>1700_7597</t>
  </si>
  <si>
    <t>1700_7797</t>
  </si>
  <si>
    <t>1700_7997</t>
  </si>
  <si>
    <t>1700_7B97</t>
  </si>
  <si>
    <t>1700_7D97</t>
  </si>
  <si>
    <t>1700_7F97</t>
  </si>
  <si>
    <t>1700_0198</t>
  </si>
  <si>
    <t>1700_0398</t>
  </si>
  <si>
    <t>1700_0598</t>
  </si>
  <si>
    <t>1700_0798</t>
  </si>
  <si>
    <t>1700_0998</t>
  </si>
  <si>
    <t>1700_0B98</t>
  </si>
  <si>
    <t>1700_0D98</t>
  </si>
  <si>
    <t>1700_0F98</t>
  </si>
  <si>
    <t>1700_1198</t>
  </si>
  <si>
    <t>1700_1398</t>
  </si>
  <si>
    <t>1700_1598</t>
  </si>
  <si>
    <t>1700_1798</t>
  </si>
  <si>
    <t>1700_1998</t>
  </si>
  <si>
    <t>1700_1B98</t>
  </si>
  <si>
    <t>1700_1D98</t>
  </si>
  <si>
    <t>1700_1F98</t>
  </si>
  <si>
    <t>1700_2198</t>
  </si>
  <si>
    <t>1700_2398</t>
  </si>
  <si>
    <t>1700_2598</t>
  </si>
  <si>
    <t>1700_2798</t>
  </si>
  <si>
    <t>1700_2998</t>
  </si>
  <si>
    <t>1700_2B98</t>
  </si>
  <si>
    <t>1700_2D98</t>
  </si>
  <si>
    <t>1700_2F98</t>
  </si>
  <si>
    <t>1700_3198</t>
  </si>
  <si>
    <t>1700_3398</t>
  </si>
  <si>
    <t>1700_3598</t>
  </si>
  <si>
    <t>1700_3798</t>
  </si>
  <si>
    <t>1700_3998</t>
  </si>
  <si>
    <t>1700_3B98</t>
  </si>
  <si>
    <t>1700_3D98</t>
  </si>
  <si>
    <t>1700_3F98</t>
  </si>
  <si>
    <t>1700_4198</t>
  </si>
  <si>
    <t>1700_4398</t>
  </si>
  <si>
    <t>1700_4598</t>
  </si>
  <si>
    <t>1700_4798</t>
  </si>
  <si>
    <t>1700_4998</t>
  </si>
  <si>
    <t>1700_4B98</t>
  </si>
  <si>
    <t>1700_4D98</t>
  </si>
  <si>
    <t>1700_4F98</t>
  </si>
  <si>
    <t>1700_5198</t>
  </si>
  <si>
    <t>1700_5398</t>
  </si>
  <si>
    <t>1700_5598</t>
  </si>
  <si>
    <t>1700_5798</t>
  </si>
  <si>
    <t>1700_5998</t>
  </si>
  <si>
    <t>1700_5B98</t>
  </si>
  <si>
    <t>1700_5D98</t>
  </si>
  <si>
    <t>1700_5F98</t>
  </si>
  <si>
    <t>1700_6198</t>
  </si>
  <si>
    <t>1700_6398</t>
  </si>
  <si>
    <t>1700_6598</t>
  </si>
  <si>
    <t>1700_6798</t>
  </si>
  <si>
    <t>1700_6998</t>
  </si>
  <si>
    <t>1700_6B98</t>
  </si>
  <si>
    <t>1700_6D98</t>
  </si>
  <si>
    <t>1700_6F98</t>
  </si>
  <si>
    <t>1700_7198</t>
  </si>
  <si>
    <t>1700_7398</t>
  </si>
  <si>
    <t>1700_7598</t>
  </si>
  <si>
    <t>1700_7798</t>
  </si>
  <si>
    <t>1700_7998</t>
  </si>
  <si>
    <t>1700_7B98</t>
  </si>
  <si>
    <t>1700_7D98</t>
  </si>
  <si>
    <t>1700_7F98</t>
  </si>
  <si>
    <t>1700_0199</t>
  </si>
  <si>
    <t>1700_0399</t>
  </si>
  <si>
    <t>1700_0599</t>
  </si>
  <si>
    <t>1700_0799</t>
  </si>
  <si>
    <t>1700_0999</t>
  </si>
  <si>
    <t>1700_0B99</t>
  </si>
  <si>
    <t>1700_0D99</t>
  </si>
  <si>
    <t>1700_0F99</t>
  </si>
  <si>
    <t>1700_1199</t>
  </si>
  <si>
    <t>1700_1399</t>
  </si>
  <si>
    <t>1700_1599</t>
  </si>
  <si>
    <t>1700_1799</t>
  </si>
  <si>
    <t>1700_1999</t>
  </si>
  <si>
    <t>1700_1B99</t>
  </si>
  <si>
    <t>1700_1D99</t>
  </si>
  <si>
    <t>1700_1F99</t>
  </si>
  <si>
    <t>1700_2199</t>
  </si>
  <si>
    <t>1700_2399</t>
  </si>
  <si>
    <t>1700_2599</t>
  </si>
  <si>
    <t>1700_2799</t>
  </si>
  <si>
    <t>1700_2999</t>
  </si>
  <si>
    <t>1700_2B99</t>
  </si>
  <si>
    <t>1700_2D99</t>
  </si>
  <si>
    <t>1700_2F99</t>
  </si>
  <si>
    <t>1700_3199</t>
  </si>
  <si>
    <t>1700_3399</t>
  </si>
  <si>
    <t>1700_3599</t>
  </si>
  <si>
    <t>1700_3799</t>
  </si>
  <si>
    <t>1700_3999</t>
  </si>
  <si>
    <t>1700_3B99</t>
  </si>
  <si>
    <t>1700_3D99</t>
  </si>
  <si>
    <t>1700_3F99</t>
  </si>
  <si>
    <t>1700_4199</t>
  </si>
  <si>
    <t>1700_4399</t>
  </si>
  <si>
    <t>1700_4599</t>
  </si>
  <si>
    <t>1700_4799</t>
  </si>
  <si>
    <t>1700_4999</t>
  </si>
  <si>
    <t>1700_4B99</t>
  </si>
  <si>
    <t>1700_4D99</t>
  </si>
  <si>
    <t>1700_4F99</t>
  </si>
  <si>
    <t>1700_5199</t>
  </si>
  <si>
    <t>1700_5399</t>
  </si>
  <si>
    <t>1700_5599</t>
  </si>
  <si>
    <t>1700_5799</t>
  </si>
  <si>
    <t>1700_5999</t>
  </si>
  <si>
    <t>1700_5B99</t>
  </si>
  <si>
    <t>1700_5D99</t>
  </si>
  <si>
    <t>1700_5F99</t>
  </si>
  <si>
    <t>1700_6199</t>
  </si>
  <si>
    <t>1700_6399</t>
  </si>
  <si>
    <t>1700_6599</t>
  </si>
  <si>
    <t>1700_6799</t>
  </si>
  <si>
    <t>1700_6999</t>
  </si>
  <si>
    <t>1700_6B99</t>
  </si>
  <si>
    <t>1700_6D99</t>
  </si>
  <si>
    <t>1700_6F99</t>
  </si>
  <si>
    <t>1700_7199</t>
  </si>
  <si>
    <t>1700_7399</t>
  </si>
  <si>
    <t>1700_7599</t>
  </si>
  <si>
    <t>1700_7799</t>
  </si>
  <si>
    <t>1700_7999</t>
  </si>
  <si>
    <t>1700_7B99</t>
  </si>
  <si>
    <t>1700_7D99</t>
  </si>
  <si>
    <t>1700_7F99</t>
  </si>
  <si>
    <t>1700_019A</t>
  </si>
  <si>
    <t>1700_039A</t>
  </si>
  <si>
    <t>1700_059A</t>
  </si>
  <si>
    <t>1700_079A</t>
  </si>
  <si>
    <t>1700_099A</t>
  </si>
  <si>
    <t>1700_0B9A</t>
  </si>
  <si>
    <t>1700_0D9A</t>
  </si>
  <si>
    <t>1700_0F9A</t>
  </si>
  <si>
    <t>1700_119A</t>
  </si>
  <si>
    <t>1700_139A</t>
  </si>
  <si>
    <t>1700_159A</t>
  </si>
  <si>
    <t>1700_179A</t>
  </si>
  <si>
    <t>1700_199A</t>
  </si>
  <si>
    <t>1700_1B9A</t>
  </si>
  <si>
    <t>1700_1D9A</t>
  </si>
  <si>
    <t>1700_1F9A</t>
  </si>
  <si>
    <t>1700_219A</t>
  </si>
  <si>
    <t>1700_239A</t>
  </si>
  <si>
    <t>1700_259A</t>
  </si>
  <si>
    <t>1700_279A</t>
  </si>
  <si>
    <t>1700_299A</t>
  </si>
  <si>
    <t>1700_2B9A</t>
  </si>
  <si>
    <t>1700_2D9A</t>
  </si>
  <si>
    <t>1700_2F9A</t>
  </si>
  <si>
    <t>1700_319A</t>
  </si>
  <si>
    <t>1700_339A</t>
  </si>
  <si>
    <t>1700_359A</t>
  </si>
  <si>
    <t>1700_379A</t>
  </si>
  <si>
    <t>1700_399A</t>
  </si>
  <si>
    <t>1700_3B9A</t>
  </si>
  <si>
    <t>1700_3D9A</t>
  </si>
  <si>
    <t>1700_3F9A</t>
  </si>
  <si>
    <t>1700_419A</t>
  </si>
  <si>
    <t>1700_439A</t>
  </si>
  <si>
    <t>1700_459A</t>
  </si>
  <si>
    <t>1700_479A</t>
  </si>
  <si>
    <t>1700_499A</t>
  </si>
  <si>
    <t>1700_4B9A</t>
  </si>
  <si>
    <t>1700_4D9A</t>
  </si>
  <si>
    <t>1700_4F9A</t>
  </si>
  <si>
    <t>1700_519A</t>
  </si>
  <si>
    <t>1700_539A</t>
  </si>
  <si>
    <t>1700_559A</t>
  </si>
  <si>
    <t>1700_579A</t>
  </si>
  <si>
    <t>1700_599A</t>
  </si>
  <si>
    <t>1700_5B9A</t>
  </si>
  <si>
    <t>1700_5D9A</t>
  </si>
  <si>
    <t>1700_5F9A</t>
  </si>
  <si>
    <t>1700_619A</t>
  </si>
  <si>
    <t>1700_639A</t>
  </si>
  <si>
    <t>1700_659A</t>
  </si>
  <si>
    <t>1700_679A</t>
  </si>
  <si>
    <t>1700_699A</t>
  </si>
  <si>
    <t>1700_6B9A</t>
  </si>
  <si>
    <t>1700_6D9A</t>
  </si>
  <si>
    <t>1700_6F9A</t>
  </si>
  <si>
    <t>1700_719A</t>
  </si>
  <si>
    <t>1700_739A</t>
  </si>
  <si>
    <t>1700_759A</t>
  </si>
  <si>
    <t>1700_779A</t>
  </si>
  <si>
    <t>1700_799A</t>
  </si>
  <si>
    <t>1700_7B9A</t>
  </si>
  <si>
    <t>1700_7D9A</t>
  </si>
  <si>
    <t>1700_7F9A</t>
  </si>
  <si>
    <t>1700_019B</t>
  </si>
  <si>
    <t>1700_039B</t>
  </si>
  <si>
    <t>1700_059B</t>
  </si>
  <si>
    <t>1700_079B</t>
  </si>
  <si>
    <t>1700_099B</t>
  </si>
  <si>
    <t>1700_0B9B</t>
  </si>
  <si>
    <t>1700_0D9B</t>
  </si>
  <si>
    <t>1700_0F9B</t>
  </si>
  <si>
    <t>1700_119B</t>
  </si>
  <si>
    <t>1700_139B</t>
  </si>
  <si>
    <t>1700_159B</t>
  </si>
  <si>
    <t>1700_179B</t>
  </si>
  <si>
    <t>1700_199B</t>
  </si>
  <si>
    <t>1700_1B9B</t>
  </si>
  <si>
    <t>1700_1D9B</t>
  </si>
  <si>
    <t>1700_1F9B</t>
  </si>
  <si>
    <t>1700_219B</t>
  </si>
  <si>
    <t>1700_239B</t>
  </si>
  <si>
    <t>1700_259B</t>
  </si>
  <si>
    <t>1700_279B</t>
  </si>
  <si>
    <t>1700_299B</t>
  </si>
  <si>
    <t>1700_2B9B</t>
  </si>
  <si>
    <t>1700_2D9B</t>
  </si>
  <si>
    <t>1700_2F9B</t>
  </si>
  <si>
    <t>1700_319B</t>
  </si>
  <si>
    <t>1700_339B</t>
  </si>
  <si>
    <t>1700_359B</t>
  </si>
  <si>
    <t>1700_379B</t>
  </si>
  <si>
    <t>1700_399B</t>
  </si>
  <si>
    <t>1700_3B9B</t>
  </si>
  <si>
    <t>1700_3D9B</t>
  </si>
  <si>
    <t>1700_3F9B</t>
  </si>
  <si>
    <t>1700_419B</t>
  </si>
  <si>
    <t>1700_439B</t>
  </si>
  <si>
    <t>1700_459B</t>
  </si>
  <si>
    <t>1700_479B</t>
  </si>
  <si>
    <t>1700_499B</t>
  </si>
  <si>
    <t>1700_4B9B</t>
  </si>
  <si>
    <t>1700_4D9B</t>
  </si>
  <si>
    <t>1700_4F9B</t>
  </si>
  <si>
    <t>1700_519B</t>
  </si>
  <si>
    <t>1700_539B</t>
  </si>
  <si>
    <t>1700_559B</t>
  </si>
  <si>
    <t>1700_579B</t>
  </si>
  <si>
    <t>1700_599B</t>
  </si>
  <si>
    <t>1700_5B9B</t>
  </si>
  <si>
    <t>1700_5D9B</t>
  </si>
  <si>
    <t>1700_5F9B</t>
  </si>
  <si>
    <t>1700_619B</t>
  </si>
  <si>
    <t>1700_639B</t>
  </si>
  <si>
    <t>1700_659B</t>
  </si>
  <si>
    <t>1700_679B</t>
  </si>
  <si>
    <t>1700_699B</t>
  </si>
  <si>
    <t>1700_6B9B</t>
  </si>
  <si>
    <t>1700_6D9B</t>
  </si>
  <si>
    <t>1700_6F9B</t>
  </si>
  <si>
    <t>1700_719B</t>
  </si>
  <si>
    <t>1700_739B</t>
  </si>
  <si>
    <t>1700_759B</t>
  </si>
  <si>
    <t>1700_779B</t>
  </si>
  <si>
    <t>1700_799B</t>
  </si>
  <si>
    <t>1700_7B9B</t>
  </si>
  <si>
    <t>1700_7D9B</t>
  </si>
  <si>
    <t>1700_7F9B</t>
  </si>
  <si>
    <t>1700_019C</t>
  </si>
  <si>
    <t>1700_039C</t>
  </si>
  <si>
    <t>1700_059C</t>
  </si>
  <si>
    <t>1700_079C</t>
  </si>
  <si>
    <t>1700_099C</t>
  </si>
  <si>
    <t>1700_0B9C</t>
  </si>
  <si>
    <t>1700_0D9C</t>
  </si>
  <si>
    <t>1700_0F9C</t>
  </si>
  <si>
    <t>1700_119C</t>
  </si>
  <si>
    <t>1700_139C</t>
  </si>
  <si>
    <t>1700_159C</t>
  </si>
  <si>
    <t>1700_179C</t>
  </si>
  <si>
    <t>1700_199C</t>
  </si>
  <si>
    <t>1700_1B9C</t>
  </si>
  <si>
    <t>1700_1D9C</t>
  </si>
  <si>
    <t>1700_1F9C</t>
  </si>
  <si>
    <t>1700_219C</t>
  </si>
  <si>
    <t>1700_239C</t>
  </si>
  <si>
    <t>1700_259C</t>
  </si>
  <si>
    <t>1700_279C</t>
  </si>
  <si>
    <t>1700_299C</t>
  </si>
  <si>
    <t>1700_2B9C</t>
  </si>
  <si>
    <t>1700_2D9C</t>
  </si>
  <si>
    <t>1700_2F9C</t>
  </si>
  <si>
    <t>1700_319C</t>
  </si>
  <si>
    <t>1700_339C</t>
  </si>
  <si>
    <t>1700_359C</t>
  </si>
  <si>
    <t>1700_379C</t>
  </si>
  <si>
    <t>1700_399C</t>
  </si>
  <si>
    <t>1700_3B9C</t>
  </si>
  <si>
    <t>1700_3D9C</t>
  </si>
  <si>
    <t>1700_3F9C</t>
  </si>
  <si>
    <t>1700_419C</t>
  </si>
  <si>
    <t>1700_439C</t>
  </si>
  <si>
    <t>1700_459C</t>
  </si>
  <si>
    <t>1700_479C</t>
  </si>
  <si>
    <t>1700_499C</t>
  </si>
  <si>
    <t>1700_4B9C</t>
  </si>
  <si>
    <t>1700_4D9C</t>
  </si>
  <si>
    <t>1700_4F9C</t>
  </si>
  <si>
    <t>1700_519C</t>
  </si>
  <si>
    <t>1700_539C</t>
  </si>
  <si>
    <t>1700_559C</t>
  </si>
  <si>
    <t>1700_579C</t>
  </si>
  <si>
    <t>1700_599C</t>
  </si>
  <si>
    <t>1700_5B9C</t>
  </si>
  <si>
    <t>1700_5D9C</t>
  </si>
  <si>
    <t>1700_5F9C</t>
  </si>
  <si>
    <t>1700_619C</t>
  </si>
  <si>
    <t>1700_639C</t>
  </si>
  <si>
    <t>1700_659C</t>
  </si>
  <si>
    <t>1700_679C</t>
  </si>
  <si>
    <t>1700_699C</t>
  </si>
  <si>
    <t>1700_6B9C</t>
  </si>
  <si>
    <t>1700_6D9C</t>
  </si>
  <si>
    <t>1700_6F9C</t>
  </si>
  <si>
    <t>1700_719C</t>
  </si>
  <si>
    <t>1700_739C</t>
  </si>
  <si>
    <t>1700_759C</t>
  </si>
  <si>
    <t>1700_779C</t>
  </si>
  <si>
    <t>1700_799C</t>
  </si>
  <si>
    <t>1700_7B9C</t>
  </si>
  <si>
    <t>1700_7D9C</t>
  </si>
  <si>
    <t>1700_7F9C</t>
  </si>
  <si>
    <t>1700_019D</t>
  </si>
  <si>
    <t>1700_039D</t>
  </si>
  <si>
    <t>1700_059D</t>
  </si>
  <si>
    <t>1700_079D</t>
  </si>
  <si>
    <t>1700_099D</t>
  </si>
  <si>
    <t>1700_0B9D</t>
  </si>
  <si>
    <t>1700_0D9D</t>
  </si>
  <si>
    <t>1700_0F9D</t>
  </si>
  <si>
    <t>1700_119D</t>
  </si>
  <si>
    <t>1700_139D</t>
  </si>
  <si>
    <t>1700_159D</t>
  </si>
  <si>
    <t>1700_179D</t>
  </si>
  <si>
    <t>1700_199D</t>
  </si>
  <si>
    <t>1700_1B9D</t>
  </si>
  <si>
    <t>1700_1D9D</t>
  </si>
  <si>
    <t>1700_1F9D</t>
  </si>
  <si>
    <t>1700_219D</t>
  </si>
  <si>
    <t>1700_239D</t>
  </si>
  <si>
    <t>1700_259D</t>
  </si>
  <si>
    <t>1700_279D</t>
  </si>
  <si>
    <t>1700_299D</t>
  </si>
  <si>
    <t>1700_2B9D</t>
  </si>
  <si>
    <t>1700_2D9D</t>
  </si>
  <si>
    <t>1700_2F9D</t>
  </si>
  <si>
    <t>1700_319D</t>
  </si>
  <si>
    <t>1700_339D</t>
  </si>
  <si>
    <t>1700_359D</t>
  </si>
  <si>
    <t>1700_379D</t>
  </si>
  <si>
    <t>1700_399D</t>
  </si>
  <si>
    <t>1700_3B9D</t>
  </si>
  <si>
    <t>1700_3D9D</t>
  </si>
  <si>
    <t>1700_3F9D</t>
  </si>
  <si>
    <t>1700_419D</t>
  </si>
  <si>
    <t>1700_439D</t>
  </si>
  <si>
    <t>1700_459D</t>
  </si>
  <si>
    <t>1700_479D</t>
  </si>
  <si>
    <t>1700_499D</t>
  </si>
  <si>
    <t>1700_4B9D</t>
  </si>
  <si>
    <t>1700_4D9D</t>
  </si>
  <si>
    <t>1700_4F9D</t>
  </si>
  <si>
    <t>1700_519D</t>
  </si>
  <si>
    <t>1700_539D</t>
  </si>
  <si>
    <t>1700_559D</t>
  </si>
  <si>
    <t>1700_579D</t>
  </si>
  <si>
    <t>1700_599D</t>
  </si>
  <si>
    <t>1700_5B9D</t>
  </si>
  <si>
    <t>1700_5D9D</t>
  </si>
  <si>
    <t>1700_5F9D</t>
  </si>
  <si>
    <t>1700_619D</t>
  </si>
  <si>
    <t>1700_639D</t>
  </si>
  <si>
    <t>1700_659D</t>
  </si>
  <si>
    <t>1700_679D</t>
  </si>
  <si>
    <t>1700_699D</t>
  </si>
  <si>
    <t>1700_6B9D</t>
  </si>
  <si>
    <t>1700_6D9D</t>
  </si>
  <si>
    <t>1700_6F9D</t>
  </si>
  <si>
    <t>1700_719D</t>
  </si>
  <si>
    <t>1700_739D</t>
  </si>
  <si>
    <t>1700_759D</t>
  </si>
  <si>
    <t>1700_779D</t>
  </si>
  <si>
    <t>1700_799D</t>
  </si>
  <si>
    <t>1700_7B9D</t>
  </si>
  <si>
    <t>1700_7D9D</t>
  </si>
  <si>
    <t>1700_7F9D</t>
  </si>
  <si>
    <t>1700_019E</t>
  </si>
  <si>
    <t>1700_039E</t>
  </si>
  <si>
    <t>1700_059E</t>
  </si>
  <si>
    <t>1700_079E</t>
  </si>
  <si>
    <t>1700_099E</t>
  </si>
  <si>
    <t>1700_0B9E</t>
  </si>
  <si>
    <t>1700_0D9E</t>
  </si>
  <si>
    <t>1700_0F9E</t>
  </si>
  <si>
    <t>1700_119E</t>
  </si>
  <si>
    <t>1700_139E</t>
  </si>
  <si>
    <t>1700_159E</t>
  </si>
  <si>
    <t>1700_179E</t>
  </si>
  <si>
    <t>1700_199E</t>
  </si>
  <si>
    <t>1700_1B9E</t>
  </si>
  <si>
    <t>1700_1D9E</t>
  </si>
  <si>
    <t>1700_1F9E</t>
  </si>
  <si>
    <t>1700_219E</t>
  </si>
  <si>
    <t>1700_239E</t>
  </si>
  <si>
    <t>1700_259E</t>
  </si>
  <si>
    <t>1700_279E</t>
  </si>
  <si>
    <t>1700_299E</t>
  </si>
  <si>
    <t>1700_2B9E</t>
  </si>
  <si>
    <t>1700_2D9E</t>
  </si>
  <si>
    <t>1700_2F9E</t>
  </si>
  <si>
    <t>1700_319E</t>
  </si>
  <si>
    <t>1700_339E</t>
  </si>
  <si>
    <t>1700_359E</t>
  </si>
  <si>
    <t>1700_379E</t>
  </si>
  <si>
    <t>1700_399E</t>
  </si>
  <si>
    <t>1700_3B9E</t>
  </si>
  <si>
    <t>1700_3D9E</t>
  </si>
  <si>
    <t>1700_3F9E</t>
  </si>
  <si>
    <t>1700_419E</t>
  </si>
  <si>
    <t>1700_439E</t>
  </si>
  <si>
    <t>1700_459E</t>
  </si>
  <si>
    <t>1700_479E</t>
  </si>
  <si>
    <t>1700_499E</t>
  </si>
  <si>
    <t>1700_4B9E</t>
  </si>
  <si>
    <t>1700_4D9E</t>
  </si>
  <si>
    <t>1700_4F9E</t>
  </si>
  <si>
    <t>1700_519E</t>
  </si>
  <si>
    <t>1700_539E</t>
  </si>
  <si>
    <t>1700_559E</t>
  </si>
  <si>
    <t>1700_579E</t>
  </si>
  <si>
    <t>1700_599E</t>
  </si>
  <si>
    <t>1700_5B9E</t>
  </si>
  <si>
    <t>1700_5D9E</t>
  </si>
  <si>
    <t>1700_5F9E</t>
  </si>
  <si>
    <t>1700_619E</t>
  </si>
  <si>
    <t>1700_639E</t>
  </si>
  <si>
    <t>1700_659E</t>
  </si>
  <si>
    <t>1700_679E</t>
  </si>
  <si>
    <t>1700_699E</t>
  </si>
  <si>
    <t>1700_6B9E</t>
  </si>
  <si>
    <t>1700_6D9E</t>
  </si>
  <si>
    <t>1700_6F9E</t>
  </si>
  <si>
    <t>1700_719E</t>
  </si>
  <si>
    <t>1700_739E</t>
  </si>
  <si>
    <t>1700_759E</t>
  </si>
  <si>
    <t>1700_779E</t>
  </si>
  <si>
    <t>1700_799E</t>
  </si>
  <si>
    <t>1700_7B9E</t>
  </si>
  <si>
    <t>1700_7D9E</t>
  </si>
  <si>
    <t>1700_7F9E</t>
  </si>
  <si>
    <t>1700_019F</t>
  </si>
  <si>
    <t>1700_039F</t>
  </si>
  <si>
    <t>1700_059F</t>
  </si>
  <si>
    <t>1700_079F</t>
  </si>
  <si>
    <t>1700_099F</t>
  </si>
  <si>
    <t>1700_0B9F</t>
  </si>
  <si>
    <t>1700_0D9F</t>
  </si>
  <si>
    <t>1700_0F9F</t>
  </si>
  <si>
    <t>1700_119F</t>
  </si>
  <si>
    <t>1700_139F</t>
  </si>
  <si>
    <t>1700_159F</t>
  </si>
  <si>
    <t>1700_179F</t>
  </si>
  <si>
    <t>1700_199F</t>
  </si>
  <si>
    <t>1700_1B9F</t>
  </si>
  <si>
    <t>1700_1D9F</t>
  </si>
  <si>
    <t>1700_1F9F</t>
  </si>
  <si>
    <t>1700_219F</t>
  </si>
  <si>
    <t>1700_239F</t>
  </si>
  <si>
    <t>1700_259F</t>
  </si>
  <si>
    <t>1700_279F</t>
  </si>
  <si>
    <t>1700_299F</t>
  </si>
  <si>
    <t>1700_2B9F</t>
  </si>
  <si>
    <t>1700_2D9F</t>
  </si>
  <si>
    <t>1700_2F9F</t>
  </si>
  <si>
    <t>1700_319F</t>
  </si>
  <si>
    <t>1700_339F</t>
  </si>
  <si>
    <t>1700_359F</t>
  </si>
  <si>
    <t>1700_379F</t>
  </si>
  <si>
    <t>1700_399F</t>
  </si>
  <si>
    <t>1700_3B9F</t>
  </si>
  <si>
    <t>1700_3D9F</t>
  </si>
  <si>
    <t>1700_3F9F</t>
  </si>
  <si>
    <t>1700_419F</t>
  </si>
  <si>
    <t>1700_439F</t>
  </si>
  <si>
    <t>1700_459F</t>
  </si>
  <si>
    <t>1700_479F</t>
  </si>
  <si>
    <t>1700_499F</t>
  </si>
  <si>
    <t>1700_4B9F</t>
  </si>
  <si>
    <t>1700_4D9F</t>
  </si>
  <si>
    <t>1700_4F9F</t>
  </si>
  <si>
    <t>1700_519F</t>
  </si>
  <si>
    <t>1700_539F</t>
  </si>
  <si>
    <t>1700_559F</t>
  </si>
  <si>
    <t>1700_579F</t>
  </si>
  <si>
    <t>1700_599F</t>
  </si>
  <si>
    <t>1700_5B9F</t>
  </si>
  <si>
    <t>1700_5D9F</t>
  </si>
  <si>
    <t>1700_5F9F</t>
  </si>
  <si>
    <t>1700_619F</t>
  </si>
  <si>
    <t>1700_639F</t>
  </si>
  <si>
    <t>1700_659F</t>
  </si>
  <si>
    <t>1700_679F</t>
  </si>
  <si>
    <t>1700_699F</t>
  </si>
  <si>
    <t>1700_6B9F</t>
  </si>
  <si>
    <t>1700_6D9F</t>
  </si>
  <si>
    <t>1700_6F9F</t>
  </si>
  <si>
    <t>1700_719F</t>
  </si>
  <si>
    <t>1700_739F</t>
  </si>
  <si>
    <t>1700_759F</t>
  </si>
  <si>
    <t>1700_779F</t>
  </si>
  <si>
    <t>1700_799F</t>
  </si>
  <si>
    <t>1700_7B9F</t>
  </si>
  <si>
    <t>1700_7D9F</t>
  </si>
  <si>
    <t>1700_7F9F</t>
  </si>
  <si>
    <t>1700_01A0</t>
  </si>
  <si>
    <t>1700_03A0</t>
  </si>
  <si>
    <t>1700_05A0</t>
  </si>
  <si>
    <t>1700_07A0</t>
  </si>
  <si>
    <t>1700_09A0</t>
  </si>
  <si>
    <t>1700_0BA0</t>
  </si>
  <si>
    <t>1700_0DA0</t>
  </si>
  <si>
    <t>1700_0FA0</t>
  </si>
  <si>
    <t>1700_11A0</t>
  </si>
  <si>
    <t>1700_13A0</t>
  </si>
  <si>
    <t>1700_15A0</t>
  </si>
  <si>
    <t>1700_17A0</t>
  </si>
  <si>
    <t>1700_19A0</t>
  </si>
  <si>
    <t>1700_1BA0</t>
  </si>
  <si>
    <t>1700_1DA0</t>
  </si>
  <si>
    <t>1700_1FA0</t>
  </si>
  <si>
    <t>1700_21A0</t>
  </si>
  <si>
    <t>1700_23A0</t>
  </si>
  <si>
    <t>1700_25A0</t>
  </si>
  <si>
    <t>1700_27A0</t>
  </si>
  <si>
    <t>1700_29A0</t>
  </si>
  <si>
    <t>1700_2BA0</t>
  </si>
  <si>
    <t>1700_2DA0</t>
  </si>
  <si>
    <t>1700_2FA0</t>
  </si>
  <si>
    <t>1700_31A0</t>
  </si>
  <si>
    <t>1700_33A0</t>
  </si>
  <si>
    <t>1700_35A0</t>
  </si>
  <si>
    <t>1700_37A0</t>
  </si>
  <si>
    <t>1700_39A0</t>
  </si>
  <si>
    <t>1700_3BA0</t>
  </si>
  <si>
    <t>1700_3DA0</t>
  </si>
  <si>
    <t>1700_3FA0</t>
  </si>
  <si>
    <t>1700_41A0</t>
  </si>
  <si>
    <t>1700_43A0</t>
  </si>
  <si>
    <t>1700_45A0</t>
  </si>
  <si>
    <t>1700_47A0</t>
  </si>
  <si>
    <t>1700_49A0</t>
  </si>
  <si>
    <t>1700_4BA0</t>
  </si>
  <si>
    <t>1700_4DA0</t>
  </si>
  <si>
    <t>1700_4FA0</t>
  </si>
  <si>
    <t>1700_51A0</t>
  </si>
  <si>
    <t>1700_53A0</t>
  </si>
  <si>
    <t>1700_55A0</t>
  </si>
  <si>
    <t>1700_57A0</t>
  </si>
  <si>
    <t>1700_59A0</t>
  </si>
  <si>
    <t>1700_5BA0</t>
  </si>
  <si>
    <t>1700_5DA0</t>
  </si>
  <si>
    <t>1700_5FA0</t>
  </si>
  <si>
    <t>1700_61A0</t>
  </si>
  <si>
    <t>1700_63A0</t>
  </si>
  <si>
    <t>1700_65A0</t>
  </si>
  <si>
    <t>1700_67A0</t>
  </si>
  <si>
    <t>1700_69A0</t>
  </si>
  <si>
    <t>1700_6BA0</t>
  </si>
  <si>
    <t>1700_6DA0</t>
  </si>
  <si>
    <t>1700_6FA0</t>
  </si>
  <si>
    <t>1700_71A0</t>
  </si>
  <si>
    <t>1700_73A0</t>
  </si>
  <si>
    <t>1700_75A0</t>
  </si>
  <si>
    <t>1700_77A0</t>
  </si>
  <si>
    <t>1700_79A0</t>
  </si>
  <si>
    <t>1700_7BA0</t>
  </si>
  <si>
    <t>1700_7DA0</t>
  </si>
  <si>
    <t>1700_7FA0</t>
  </si>
  <si>
    <t>1700_01A1</t>
  </si>
  <si>
    <t>1700_03A1</t>
  </si>
  <si>
    <t>1700_05A1</t>
  </si>
  <si>
    <t>1700_07A1</t>
  </si>
  <si>
    <t>1700_09A1</t>
  </si>
  <si>
    <t>1700_0BA1</t>
  </si>
  <si>
    <t>1700_0DA1</t>
  </si>
  <si>
    <t>1700_0FA1</t>
  </si>
  <si>
    <t>1700_11A1</t>
  </si>
  <si>
    <t>1700_13A1</t>
  </si>
  <si>
    <t>1700_15A1</t>
  </si>
  <si>
    <t>1700_17A1</t>
  </si>
  <si>
    <t>1700_19A1</t>
  </si>
  <si>
    <t>1700_1BA1</t>
  </si>
  <si>
    <t>1700_1DA1</t>
  </si>
  <si>
    <t>1700_1FA1</t>
  </si>
  <si>
    <t>1700_21A1</t>
  </si>
  <si>
    <t>1700_23A1</t>
  </si>
  <si>
    <t>1700_25A1</t>
  </si>
  <si>
    <t>1700_27A1</t>
  </si>
  <si>
    <t>1700_29A1</t>
  </si>
  <si>
    <t>1700_2BA1</t>
  </si>
  <si>
    <t>1700_2DA1</t>
  </si>
  <si>
    <t>1700_2FA1</t>
  </si>
  <si>
    <t>1700_31A1</t>
  </si>
  <si>
    <t>1700_33A1</t>
  </si>
  <si>
    <t>1700_35A1</t>
  </si>
  <si>
    <t>1700_37A1</t>
  </si>
  <si>
    <t>1700_39A1</t>
  </si>
  <si>
    <t>1700_3BA1</t>
  </si>
  <si>
    <t>1700_3DA1</t>
  </si>
  <si>
    <t>1700_3FA1</t>
  </si>
  <si>
    <t>1700_41A1</t>
  </si>
  <si>
    <t>1700_43A1</t>
  </si>
  <si>
    <t>1700_45A1</t>
  </si>
  <si>
    <t>1700_47A1</t>
  </si>
  <si>
    <t>1700_49A1</t>
  </si>
  <si>
    <t>1700_4BA1</t>
  </si>
  <si>
    <t>1700_4DA1</t>
  </si>
  <si>
    <t>1700_4FA1</t>
  </si>
  <si>
    <t>1700_51A1</t>
  </si>
  <si>
    <t>1700_53A1</t>
  </si>
  <si>
    <t>1700_55A1</t>
  </si>
  <si>
    <t>1700_57A1</t>
  </si>
  <si>
    <t>1700_59A1</t>
  </si>
  <si>
    <t>1700_5BA1</t>
  </si>
  <si>
    <t>1700_5DA1</t>
  </si>
  <si>
    <t>1700_5FA1</t>
  </si>
  <si>
    <t>1700_61A1</t>
  </si>
  <si>
    <t>1700_63A1</t>
  </si>
  <si>
    <t>1700_65A1</t>
  </si>
  <si>
    <t>1700_67A1</t>
  </si>
  <si>
    <t>1700_69A1</t>
  </si>
  <si>
    <t>1700_6BA1</t>
  </si>
  <si>
    <t>1700_6DA1</t>
  </si>
  <si>
    <t>1700_6FA1</t>
  </si>
  <si>
    <t>1700_71A1</t>
  </si>
  <si>
    <t>1700_73A1</t>
  </si>
  <si>
    <t>1700_75A1</t>
  </si>
  <si>
    <t>1700_77A1</t>
  </si>
  <si>
    <t>1700_79A1</t>
  </si>
  <si>
    <t>1700_7BA1</t>
  </si>
  <si>
    <t>1700_7DA1</t>
  </si>
  <si>
    <t>1700_7FA1</t>
  </si>
  <si>
    <t>1700_01A2</t>
  </si>
  <si>
    <t>1700_03A2</t>
  </si>
  <si>
    <t>1700_05A2</t>
  </si>
  <si>
    <t>1700_07A2</t>
  </si>
  <si>
    <t>1700_09A2</t>
  </si>
  <si>
    <t>1700_0BA2</t>
  </si>
  <si>
    <t>1700_0DA2</t>
  </si>
  <si>
    <t>1700_0FA2</t>
  </si>
  <si>
    <t>1700_11A2</t>
  </si>
  <si>
    <t>1700_13A2</t>
  </si>
  <si>
    <t>1700_15A2</t>
  </si>
  <si>
    <t>1700_17A2</t>
  </si>
  <si>
    <t>1700_19A2</t>
  </si>
  <si>
    <t>1700_1BA2</t>
  </si>
  <si>
    <t>1700_1DA2</t>
  </si>
  <si>
    <t>1700_1FA2</t>
  </si>
  <si>
    <t>1700_21A2</t>
  </si>
  <si>
    <t>1700_23A2</t>
  </si>
  <si>
    <t>1700_25A2</t>
  </si>
  <si>
    <t>1700_27A2</t>
  </si>
  <si>
    <t>1700_29A2</t>
  </si>
  <si>
    <t>1700_2BA2</t>
  </si>
  <si>
    <t>1700_2DA2</t>
  </si>
  <si>
    <t>1700_2FA2</t>
  </si>
  <si>
    <t>1700_31A2</t>
  </si>
  <si>
    <t>1700_33A2</t>
  </si>
  <si>
    <t>1700_35A2</t>
  </si>
  <si>
    <t>1700_37A2</t>
  </si>
  <si>
    <t>1700_39A2</t>
  </si>
  <si>
    <t>1700_3BA2</t>
  </si>
  <si>
    <t>1700_3DA2</t>
  </si>
  <si>
    <t>1700_3FA2</t>
  </si>
  <si>
    <t>1700_41A2</t>
  </si>
  <si>
    <t>1700_43A2</t>
  </si>
  <si>
    <t>1700_45A2</t>
  </si>
  <si>
    <t>1700_47A2</t>
  </si>
  <si>
    <t>1700_49A2</t>
  </si>
  <si>
    <t>1700_4BA2</t>
  </si>
  <si>
    <t>1700_4DA2</t>
  </si>
  <si>
    <t>1700_4FA2</t>
  </si>
  <si>
    <t>1700_51A2</t>
  </si>
  <si>
    <t>1700_53A2</t>
  </si>
  <si>
    <t>1700_55A2</t>
  </si>
  <si>
    <t>1700_57A2</t>
  </si>
  <si>
    <t>1700_59A2</t>
  </si>
  <si>
    <t>1700_5BA2</t>
  </si>
  <si>
    <t>1700_5DA2</t>
  </si>
  <si>
    <t>1700_5FA2</t>
  </si>
  <si>
    <t>1700_61A2</t>
  </si>
  <si>
    <t>1700_63A2</t>
  </si>
  <si>
    <t>1700_65A2</t>
  </si>
  <si>
    <t>1700_67A2</t>
  </si>
  <si>
    <t>1700_69A2</t>
  </si>
  <si>
    <t>1700_6BA2</t>
  </si>
  <si>
    <t>1700_6DA2</t>
  </si>
  <si>
    <t>1700_6FA2</t>
  </si>
  <si>
    <t>1700_71A2</t>
  </si>
  <si>
    <t>1700_73A2</t>
  </si>
  <si>
    <t>1700_75A2</t>
  </si>
  <si>
    <t>1700_77A2</t>
  </si>
  <si>
    <t>1700_79A2</t>
  </si>
  <si>
    <t>1700_7BA2</t>
  </si>
  <si>
    <t>1700_7DA2</t>
  </si>
  <si>
    <t>1700_7FA2</t>
  </si>
  <si>
    <t>1700_01A3</t>
  </si>
  <si>
    <t>1700_03A3</t>
  </si>
  <si>
    <t>1700_05A3</t>
  </si>
  <si>
    <t>1700_07A3</t>
  </si>
  <si>
    <t>1700_09A3</t>
  </si>
  <si>
    <t>1700_0BA3</t>
  </si>
  <si>
    <t>1700_0DA3</t>
  </si>
  <si>
    <t>1700_0FA3</t>
  </si>
  <si>
    <t>1700_11A3</t>
  </si>
  <si>
    <t>1700_13A3</t>
  </si>
  <si>
    <t>1700_15A3</t>
  </si>
  <si>
    <t>1700_17A3</t>
  </si>
  <si>
    <t>1700_19A3</t>
  </si>
  <si>
    <t>1700_1BA3</t>
  </si>
  <si>
    <t>1700_1DA3</t>
  </si>
  <si>
    <t>1700_1FA3</t>
  </si>
  <si>
    <t>1700_21A3</t>
  </si>
  <si>
    <t>1700_23A3</t>
  </si>
  <si>
    <t>1700_25A3</t>
  </si>
  <si>
    <t>1700_27A3</t>
  </si>
  <si>
    <t>1700_29A3</t>
  </si>
  <si>
    <t>1700_2BA3</t>
  </si>
  <si>
    <t>1700_2DA3</t>
  </si>
  <si>
    <t>1700_2FA3</t>
  </si>
  <si>
    <t>1700_31A3</t>
  </si>
  <si>
    <t>1700_33A3</t>
  </si>
  <si>
    <t>1700_35A3</t>
  </si>
  <si>
    <t>1700_37A3</t>
  </si>
  <si>
    <t>1700_39A3</t>
  </si>
  <si>
    <t>1700_3BA3</t>
  </si>
  <si>
    <t>1700_3DA3</t>
  </si>
  <si>
    <t>1700_3FA3</t>
  </si>
  <si>
    <t>1700_41A3</t>
  </si>
  <si>
    <t>1700_43A3</t>
  </si>
  <si>
    <t>1700_45A3</t>
  </si>
  <si>
    <t>1700_47A3</t>
  </si>
  <si>
    <t>1700_49A3</t>
  </si>
  <si>
    <t>1700_4BA3</t>
  </si>
  <si>
    <t>1700_4DA3</t>
  </si>
  <si>
    <t>1700_4FA3</t>
  </si>
  <si>
    <t>1700_51A3</t>
  </si>
  <si>
    <t>1700_53A3</t>
  </si>
  <si>
    <t>1700_55A3</t>
  </si>
  <si>
    <t>1700_57A3</t>
  </si>
  <si>
    <t>1700_59A3</t>
  </si>
  <si>
    <t>1700_5BA3</t>
  </si>
  <si>
    <t>1700_5DA3</t>
  </si>
  <si>
    <t>1700_5FA3</t>
  </si>
  <si>
    <t>1700_61A3</t>
  </si>
  <si>
    <t>1700_63A3</t>
  </si>
  <si>
    <t>1700_65A3</t>
  </si>
  <si>
    <t>1700_67A3</t>
  </si>
  <si>
    <t>1700_69A3</t>
  </si>
  <si>
    <t>1700_6BA3</t>
  </si>
  <si>
    <t>1700_6DA3</t>
  </si>
  <si>
    <t>1700_6FA3</t>
  </si>
  <si>
    <t>1700_71A3</t>
  </si>
  <si>
    <t>1700_73A3</t>
  </si>
  <si>
    <t>1700_75A3</t>
  </si>
  <si>
    <t>1700_77A3</t>
  </si>
  <si>
    <t>1700_79A3</t>
  </si>
  <si>
    <t>1700_7BA3</t>
  </si>
  <si>
    <t>1700_7DA3</t>
  </si>
  <si>
    <t>1700_7FA3</t>
  </si>
  <si>
    <t>1700_01A4</t>
  </si>
  <si>
    <t>1700_03A4</t>
  </si>
  <si>
    <t>1700_05A4</t>
  </si>
  <si>
    <t>1700_07A4</t>
  </si>
  <si>
    <t>1700_09A4</t>
  </si>
  <si>
    <t>1700_0BA4</t>
  </si>
  <si>
    <t>1700_0DA4</t>
  </si>
  <si>
    <t>1700_0FA4</t>
  </si>
  <si>
    <t>1700_11A4</t>
  </si>
  <si>
    <t>1700_13A4</t>
  </si>
  <si>
    <t>1700_15A4</t>
  </si>
  <si>
    <t>1700_17A4</t>
  </si>
  <si>
    <t>1700_19A4</t>
  </si>
  <si>
    <t>1700_1BA4</t>
  </si>
  <si>
    <t>1700_1DA4</t>
  </si>
  <si>
    <t>1700_1FA4</t>
  </si>
  <si>
    <t>1700_21A4</t>
  </si>
  <si>
    <t>1700_23A4</t>
  </si>
  <si>
    <t>1700_25A4</t>
  </si>
  <si>
    <t>1700_27A4</t>
  </si>
  <si>
    <t>1700_29A4</t>
  </si>
  <si>
    <t>1700_2BA4</t>
  </si>
  <si>
    <t>1700_2DA4</t>
  </si>
  <si>
    <t>1700_2FA4</t>
  </si>
  <si>
    <t>1700_31A4</t>
  </si>
  <si>
    <t>1700_33A4</t>
  </si>
  <si>
    <t>1700_35A4</t>
  </si>
  <si>
    <t>1700_37A4</t>
  </si>
  <si>
    <t>1700_39A4</t>
  </si>
  <si>
    <t>1700_3BA4</t>
  </si>
  <si>
    <t>1700_3DA4</t>
  </si>
  <si>
    <t>1700_3FA4</t>
  </si>
  <si>
    <t>1700_41A4</t>
  </si>
  <si>
    <t>1700_43A4</t>
  </si>
  <si>
    <t>1700_45A4</t>
  </si>
  <si>
    <t>1700_47A4</t>
  </si>
  <si>
    <t>1700_49A4</t>
  </si>
  <si>
    <t>1700_4BA4</t>
  </si>
  <si>
    <t>1700_4DA4</t>
  </si>
  <si>
    <t>1700_4FA4</t>
  </si>
  <si>
    <t>1700_51A4</t>
  </si>
  <si>
    <t>1700_53A4</t>
  </si>
  <si>
    <t>1700_55A4</t>
  </si>
  <si>
    <t>1700_57A4</t>
  </si>
  <si>
    <t>1700_59A4</t>
  </si>
  <si>
    <t>1700_5BA4</t>
  </si>
  <si>
    <t>1700_5DA4</t>
  </si>
  <si>
    <t>1700_5FA4</t>
  </si>
  <si>
    <t>1700_61A4</t>
  </si>
  <si>
    <t>1700_63A4</t>
  </si>
  <si>
    <t>1700_65A4</t>
  </si>
  <si>
    <t>1700_67A4</t>
  </si>
  <si>
    <t>1700_69A4</t>
  </si>
  <si>
    <t>1700_6BA4</t>
  </si>
  <si>
    <t>1700_6DA4</t>
  </si>
  <si>
    <t>1700_6FA4</t>
  </si>
  <si>
    <t>1700_71A4</t>
  </si>
  <si>
    <t>1700_73A4</t>
  </si>
  <si>
    <t>1700_75A4</t>
  </si>
  <si>
    <t>1700_77A4</t>
  </si>
  <si>
    <t>1700_79A4</t>
  </si>
  <si>
    <t>1700_7BA4</t>
  </si>
  <si>
    <t>1700_7DA4</t>
  </si>
  <si>
    <t>1700_7FA4</t>
  </si>
  <si>
    <t>1700_01A5</t>
  </si>
  <si>
    <t>1700_03A5</t>
  </si>
  <si>
    <t>1700_05A5</t>
  </si>
  <si>
    <t>1700_07A5</t>
  </si>
  <si>
    <t>1700_09A5</t>
  </si>
  <si>
    <t>1700_0BA5</t>
  </si>
  <si>
    <t>1700_0DA5</t>
  </si>
  <si>
    <t>1700_0FA5</t>
  </si>
  <si>
    <t>1700_11A5</t>
  </si>
  <si>
    <t>1700_13A5</t>
  </si>
  <si>
    <t>1700_15A5</t>
  </si>
  <si>
    <t>1700_17A5</t>
  </si>
  <si>
    <t>1700_19A5</t>
  </si>
  <si>
    <t>1700_1BA5</t>
  </si>
  <si>
    <t>1700_1DA5</t>
  </si>
  <si>
    <t>1700_1FA5</t>
  </si>
  <si>
    <t>1700_21A5</t>
  </si>
  <si>
    <t>1700_23A5</t>
  </si>
  <si>
    <t>1700_25A5</t>
  </si>
  <si>
    <t>1700_27A5</t>
  </si>
  <si>
    <t>1700_29A5</t>
  </si>
  <si>
    <t>1700_2BA5</t>
  </si>
  <si>
    <t>1700_2DA5</t>
  </si>
  <si>
    <t>1700_2FA5</t>
  </si>
  <si>
    <t>1700_31A5</t>
  </si>
  <si>
    <t>1700_33A5</t>
  </si>
  <si>
    <t>1700_35A5</t>
  </si>
  <si>
    <t>1700_37A5</t>
  </si>
  <si>
    <t>1700_39A5</t>
  </si>
  <si>
    <t>1700_3BA5</t>
  </si>
  <si>
    <t>1700_3DA5</t>
  </si>
  <si>
    <t>1700_3FA5</t>
  </si>
  <si>
    <t>1700_41A5</t>
  </si>
  <si>
    <t>1700_43A5</t>
  </si>
  <si>
    <t>1700_45A5</t>
  </si>
  <si>
    <t>1700_47A5</t>
  </si>
  <si>
    <t>1700_49A5</t>
  </si>
  <si>
    <t>1700_4BA5</t>
  </si>
  <si>
    <t>1700_4DA5</t>
  </si>
  <si>
    <t>1700_4FA5</t>
  </si>
  <si>
    <t>1700_51A5</t>
  </si>
  <si>
    <t>1700_53A5</t>
  </si>
  <si>
    <t>1700_55A5</t>
  </si>
  <si>
    <t>1700_57A5</t>
  </si>
  <si>
    <t>1700_59A5</t>
  </si>
  <si>
    <t>1700_5BA5</t>
  </si>
  <si>
    <t>1700_5DA5</t>
  </si>
  <si>
    <t>1700_5FA5</t>
  </si>
  <si>
    <t>1700_61A5</t>
  </si>
  <si>
    <t>1700_63A5</t>
  </si>
  <si>
    <t>1700_65A5</t>
  </si>
  <si>
    <t>1700_67A5</t>
  </si>
  <si>
    <t>1700_69A5</t>
  </si>
  <si>
    <t>1700_6BA5</t>
  </si>
  <si>
    <t>1700_6DA5</t>
  </si>
  <si>
    <t>1700_6FA5</t>
  </si>
  <si>
    <t>1700_71A5</t>
  </si>
  <si>
    <t>1700_73A5</t>
  </si>
  <si>
    <t>1700_75A5</t>
  </si>
  <si>
    <t>1700_77A5</t>
  </si>
  <si>
    <t>1700_79A5</t>
  </si>
  <si>
    <t>1700_7BA5</t>
  </si>
  <si>
    <t>1700_7DA5</t>
  </si>
  <si>
    <t>1700_7FA5</t>
  </si>
  <si>
    <t>1700_01A6</t>
  </si>
  <si>
    <t>1700_03A6</t>
  </si>
  <si>
    <t>1700_05A6</t>
  </si>
  <si>
    <t>1700_07A6</t>
  </si>
  <si>
    <t>1700_09A6</t>
  </si>
  <si>
    <t>1700_0BA6</t>
  </si>
  <si>
    <t>1700_0DA6</t>
  </si>
  <si>
    <t>1700_0FA6</t>
  </si>
  <si>
    <t>1700_11A6</t>
  </si>
  <si>
    <t>1700_13A6</t>
  </si>
  <si>
    <t>1700_15A6</t>
  </si>
  <si>
    <t>1700_17A6</t>
  </si>
  <si>
    <t>1700_19A6</t>
  </si>
  <si>
    <t>1700_1BA6</t>
  </si>
  <si>
    <t>1700_1DA6</t>
  </si>
  <si>
    <t>1700_1FA6</t>
  </si>
  <si>
    <t>1700_21A6</t>
  </si>
  <si>
    <t>1700_23A6</t>
  </si>
  <si>
    <t>1700_25A6</t>
  </si>
  <si>
    <t>1700_27A6</t>
  </si>
  <si>
    <t>1700_29A6</t>
  </si>
  <si>
    <t>1700_2BA6</t>
  </si>
  <si>
    <t>1700_2DA6</t>
  </si>
  <si>
    <t>1700_2FA6</t>
  </si>
  <si>
    <t>1700_31A6</t>
  </si>
  <si>
    <t>1700_33A6</t>
  </si>
  <si>
    <t>1700_35A6</t>
  </si>
  <si>
    <t>1700_37A6</t>
  </si>
  <si>
    <t>1700_39A6</t>
  </si>
  <si>
    <t>1700_3BA6</t>
  </si>
  <si>
    <t>1700_3DA6</t>
  </si>
  <si>
    <t>1700_3FA6</t>
  </si>
  <si>
    <t>1700_41A6</t>
  </si>
  <si>
    <t>1700_43A6</t>
  </si>
  <si>
    <t>1700_45A6</t>
  </si>
  <si>
    <t>1700_47A6</t>
  </si>
  <si>
    <t>1700_49A6</t>
  </si>
  <si>
    <t>1700_4BA6</t>
  </si>
  <si>
    <t>1700_4DA6</t>
  </si>
  <si>
    <t>1700_4FA6</t>
  </si>
  <si>
    <t>1700_51A6</t>
  </si>
  <si>
    <t>1700_53A6</t>
  </si>
  <si>
    <t>1700_55A6</t>
  </si>
  <si>
    <t>1700_57A6</t>
  </si>
  <si>
    <t>1700_59A6</t>
  </si>
  <si>
    <t>1700_5BA6</t>
  </si>
  <si>
    <t>1700_5DA6</t>
  </si>
  <si>
    <t>1700_5FA6</t>
  </si>
  <si>
    <t>1700_61A6</t>
  </si>
  <si>
    <t>1700_63A6</t>
  </si>
  <si>
    <t>1700_65A6</t>
  </si>
  <si>
    <t>1700_67A6</t>
  </si>
  <si>
    <t>1700_69A6</t>
  </si>
  <si>
    <t>1700_6BA6</t>
  </si>
  <si>
    <t>1700_6DA6</t>
  </si>
  <si>
    <t>1700_6FA6</t>
  </si>
  <si>
    <t>1700_71A6</t>
  </si>
  <si>
    <t>1700_73A6</t>
  </si>
  <si>
    <t>1700_75A6</t>
  </si>
  <si>
    <t>1700_77A6</t>
  </si>
  <si>
    <t>1700_79A6</t>
  </si>
  <si>
    <t>1700_7BA6</t>
  </si>
  <si>
    <t>1700_7DA6</t>
  </si>
  <si>
    <t>1700_7FA6</t>
  </si>
  <si>
    <t>1700_01A7</t>
  </si>
  <si>
    <t>1700_03A7</t>
  </si>
  <si>
    <t>1700_05A7</t>
  </si>
  <si>
    <t>1700_07A7</t>
  </si>
  <si>
    <t>1700_09A7</t>
  </si>
  <si>
    <t>1700_0BA7</t>
  </si>
  <si>
    <t>1700_0DA7</t>
  </si>
  <si>
    <t>1700_0FA7</t>
  </si>
  <si>
    <t>1700_11A7</t>
  </si>
  <si>
    <t>1700_13A7</t>
  </si>
  <si>
    <t>1700_15A7</t>
  </si>
  <si>
    <t>1700_17A7</t>
  </si>
  <si>
    <t>1700_19A7</t>
  </si>
  <si>
    <t>1700_1BA7</t>
  </si>
  <si>
    <t>1700_1DA7</t>
  </si>
  <si>
    <t>1700_1FA7</t>
  </si>
  <si>
    <t>1700_21A7</t>
  </si>
  <si>
    <t>1700_23A7</t>
  </si>
  <si>
    <t>1700_25A7</t>
  </si>
  <si>
    <t>1700_27A7</t>
  </si>
  <si>
    <t>1700_29A7</t>
  </si>
  <si>
    <t>1700_2BA7</t>
  </si>
  <si>
    <t>1700_2DA7</t>
  </si>
  <si>
    <t>1700_2FA7</t>
  </si>
  <si>
    <t>1700_31A7</t>
  </si>
  <si>
    <t>1700_33A7</t>
  </si>
  <si>
    <t>1700_35A7</t>
  </si>
  <si>
    <t>1700_37A7</t>
  </si>
  <si>
    <t>1700_39A7</t>
  </si>
  <si>
    <t>1700_3BA7</t>
  </si>
  <si>
    <t>1700_3DA7</t>
  </si>
  <si>
    <t>1700_3FA7</t>
  </si>
  <si>
    <t>1700_41A7</t>
  </si>
  <si>
    <t>1700_43A7</t>
  </si>
  <si>
    <t>1700_45A7</t>
  </si>
  <si>
    <t>1700_47A7</t>
  </si>
  <si>
    <t>1700_49A7</t>
  </si>
  <si>
    <t>1700_4BA7</t>
  </si>
  <si>
    <t>1700_4DA7</t>
  </si>
  <si>
    <t>1700_4FA7</t>
  </si>
  <si>
    <t>1700_51A7</t>
  </si>
  <si>
    <t>1700_53A7</t>
  </si>
  <si>
    <t>1700_55A7</t>
  </si>
  <si>
    <t>1700_57A7</t>
  </si>
  <si>
    <t>1700_59A7</t>
  </si>
  <si>
    <t>1700_5BA7</t>
  </si>
  <si>
    <t>1700_5DA7</t>
  </si>
  <si>
    <t>1700_5FA7</t>
  </si>
  <si>
    <t>1700_61A7</t>
  </si>
  <si>
    <t>1700_63A7</t>
  </si>
  <si>
    <t>1700_65A7</t>
  </si>
  <si>
    <t>1700_67A7</t>
  </si>
  <si>
    <t>1700_69A7</t>
  </si>
  <si>
    <t>1700_6BA7</t>
  </si>
  <si>
    <t>1700_6DA7</t>
  </si>
  <si>
    <t>1700_6FA7</t>
  </si>
  <si>
    <t>1700_71A7</t>
  </si>
  <si>
    <t>1700_73A7</t>
  </si>
  <si>
    <t>1700_75A7</t>
  </si>
  <si>
    <t>1700_77A7</t>
  </si>
  <si>
    <t>1700_79A7</t>
  </si>
  <si>
    <t>1700_7BA7</t>
  </si>
  <si>
    <t>1700_7DA7</t>
  </si>
  <si>
    <t>1700_7FA7</t>
  </si>
  <si>
    <t>1700_01A8</t>
  </si>
  <si>
    <t>1700_03A8</t>
  </si>
  <si>
    <t>1700_05A8</t>
  </si>
  <si>
    <t>1700_07A8</t>
  </si>
  <si>
    <t>1700_09A8</t>
  </si>
  <si>
    <t>1700_0BA8</t>
  </si>
  <si>
    <t>1700_0DA8</t>
  </si>
  <si>
    <t>1700_0FA8</t>
  </si>
  <si>
    <t>1700_11A8</t>
  </si>
  <si>
    <t>1700_13A8</t>
  </si>
  <si>
    <t>1700_15A8</t>
  </si>
  <si>
    <t>1700_17A8</t>
  </si>
  <si>
    <t>1700_19A8</t>
  </si>
  <si>
    <t>1700_1BA8</t>
  </si>
  <si>
    <t>1700_1DA8</t>
  </si>
  <si>
    <t>1700_1FA8</t>
  </si>
  <si>
    <t>1700_21A8</t>
  </si>
  <si>
    <t>1700_23A8</t>
  </si>
  <si>
    <t>1700_25A8</t>
  </si>
  <si>
    <t>1700_27A8</t>
  </si>
  <si>
    <t>1700_29A8</t>
  </si>
  <si>
    <t>1700_2BA8</t>
  </si>
  <si>
    <t>1700_2DA8</t>
  </si>
  <si>
    <t>1700_2FA8</t>
  </si>
  <si>
    <t>1700_31A8</t>
  </si>
  <si>
    <t>1700_33A8</t>
  </si>
  <si>
    <t>1700_35A8</t>
  </si>
  <si>
    <t>1700_37A8</t>
  </si>
  <si>
    <t>1700_39A8</t>
  </si>
  <si>
    <t>1700_3BA8</t>
  </si>
  <si>
    <t>1700_3DA8</t>
  </si>
  <si>
    <t>1700_3FA8</t>
  </si>
  <si>
    <t>1700_41A8</t>
  </si>
  <si>
    <t>1700_43A8</t>
  </si>
  <si>
    <t>1700_45A8</t>
  </si>
  <si>
    <t>1700_47A8</t>
  </si>
  <si>
    <t>1700_49A8</t>
  </si>
  <si>
    <t>1700_4BA8</t>
  </si>
  <si>
    <t>1700_4DA8</t>
  </si>
  <si>
    <t>1700_4FA8</t>
  </si>
  <si>
    <t>1700_51A8</t>
  </si>
  <si>
    <t>1700_53A8</t>
  </si>
  <si>
    <t>1700_55A8</t>
  </si>
  <si>
    <t>1700_57A8</t>
  </si>
  <si>
    <t>1700_59A8</t>
  </si>
  <si>
    <t>1700_5BA8</t>
  </si>
  <si>
    <t>1700_5DA8</t>
  </si>
  <si>
    <t>1700_5FA8</t>
  </si>
  <si>
    <t>1700_61A8</t>
  </si>
  <si>
    <t>1700_63A8</t>
  </si>
  <si>
    <t>1700_65A8</t>
  </si>
  <si>
    <t>1700_67A8</t>
  </si>
  <si>
    <t>1700_69A8</t>
  </si>
  <si>
    <t>1700_6BA8</t>
  </si>
  <si>
    <t>1700_6DA8</t>
  </si>
  <si>
    <t>1700_6FA8</t>
  </si>
  <si>
    <t>1700_71A8</t>
  </si>
  <si>
    <t>1700_73A8</t>
  </si>
  <si>
    <t>1700_75A8</t>
  </si>
  <si>
    <t>1700_77A8</t>
  </si>
  <si>
    <t>1700_79A8</t>
  </si>
  <si>
    <t>1700_7BA8</t>
  </si>
  <si>
    <t>1700_7DA8</t>
  </si>
  <si>
    <t>1700_7FA8</t>
  </si>
  <si>
    <t>1700_01A9</t>
  </si>
  <si>
    <t>1700_03A9</t>
  </si>
  <si>
    <t>1700_05A9</t>
  </si>
  <si>
    <t>1700_07A9</t>
  </si>
  <si>
    <t>1700_09A9</t>
  </si>
  <si>
    <t>1700_0BA9</t>
  </si>
  <si>
    <t>1700_0DA9</t>
  </si>
  <si>
    <t>1700_0FA9</t>
  </si>
  <si>
    <t>1700_11A9</t>
  </si>
  <si>
    <t>1700_13A9</t>
  </si>
  <si>
    <t>1700_15A9</t>
  </si>
  <si>
    <t>1700_17A9</t>
  </si>
  <si>
    <t>1700_19A9</t>
  </si>
  <si>
    <t>1700_1BA9</t>
  </si>
  <si>
    <t>1700_1DA9</t>
  </si>
  <si>
    <t>1700_1FA9</t>
  </si>
  <si>
    <t>1700_21A9</t>
  </si>
  <si>
    <t>1700_23A9</t>
  </si>
  <si>
    <t>1700_25A9</t>
  </si>
  <si>
    <t>1700_27A9</t>
  </si>
  <si>
    <t>1700_29A9</t>
  </si>
  <si>
    <t>1700_2BA9</t>
  </si>
  <si>
    <t>1700_2DA9</t>
  </si>
  <si>
    <t>1700_2FA9</t>
  </si>
  <si>
    <t>1700_31A9</t>
  </si>
  <si>
    <t>1700_33A9</t>
  </si>
  <si>
    <t>1700_35A9</t>
  </si>
  <si>
    <t>1700_37A9</t>
  </si>
  <si>
    <t>1700_39A9</t>
  </si>
  <si>
    <t>1700_3BA9</t>
  </si>
  <si>
    <t>1700_3DA9</t>
  </si>
  <si>
    <t>1700_3FA9</t>
  </si>
  <si>
    <t>1700_41A9</t>
  </si>
  <si>
    <t>1700_43A9</t>
  </si>
  <si>
    <t>1700_45A9</t>
  </si>
  <si>
    <t>1700_47A9</t>
  </si>
  <si>
    <t>1700_49A9</t>
  </si>
  <si>
    <t>1700_4BA9</t>
  </si>
  <si>
    <t>1700_4DA9</t>
  </si>
  <si>
    <t>1700_4FA9</t>
  </si>
  <si>
    <t>1700_51A9</t>
  </si>
  <si>
    <t>1700_53A9</t>
  </si>
  <si>
    <t>1700_55A9</t>
  </si>
  <si>
    <t>1700_57A9</t>
  </si>
  <si>
    <t>1700_59A9</t>
  </si>
  <si>
    <t>1700_5BA9</t>
  </si>
  <si>
    <t>1700_5DA9</t>
  </si>
  <si>
    <t>1700_5FA9</t>
  </si>
  <si>
    <t>1700_61A9</t>
  </si>
  <si>
    <t>1700_63A9</t>
  </si>
  <si>
    <t>1700_65A9</t>
  </si>
  <si>
    <t>1700_67A9</t>
  </si>
  <si>
    <t>1700_69A9</t>
  </si>
  <si>
    <t>1700_6BA9</t>
  </si>
  <si>
    <t>1700_6DA9</t>
  </si>
  <si>
    <t>1700_6FA9</t>
  </si>
  <si>
    <t>1700_71A9</t>
  </si>
  <si>
    <t>1700_73A9</t>
  </si>
  <si>
    <t>1700_75A9</t>
  </si>
  <si>
    <t>1700_77A9</t>
  </si>
  <si>
    <t>1700_79A9</t>
  </si>
  <si>
    <t>1700_7BA9</t>
  </si>
  <si>
    <t>1700_7DA9</t>
  </si>
  <si>
    <t>1700_7FA9</t>
  </si>
  <si>
    <t>1700_01AA</t>
  </si>
  <si>
    <t>1700_03AA</t>
  </si>
  <si>
    <t>1700_05AA</t>
  </si>
  <si>
    <t>1700_07AA</t>
  </si>
  <si>
    <t>1700_09AA</t>
  </si>
  <si>
    <t>1700_0BAA</t>
  </si>
  <si>
    <t>1700_0DAA</t>
  </si>
  <si>
    <t>1700_0FAA</t>
  </si>
  <si>
    <t>1700_11AA</t>
  </si>
  <si>
    <t>1700_13AA</t>
  </si>
  <si>
    <t>1700_15AA</t>
  </si>
  <si>
    <t>1700_17AA</t>
  </si>
  <si>
    <t>1700_19AA</t>
  </si>
  <si>
    <t>1700_1BAA</t>
  </si>
  <si>
    <t>1700_1DAA</t>
  </si>
  <si>
    <t>1700_1FAA</t>
  </si>
  <si>
    <t>1700_21AA</t>
  </si>
  <si>
    <t>1700_23AA</t>
  </si>
  <si>
    <t>1700_25AA</t>
  </si>
  <si>
    <t>1700_27AA</t>
  </si>
  <si>
    <t>1700_29AA</t>
  </si>
  <si>
    <t>1700_2BAA</t>
  </si>
  <si>
    <t>1700_2DAA</t>
  </si>
  <si>
    <t>1700_2FAA</t>
  </si>
  <si>
    <t>1700_31AA</t>
  </si>
  <si>
    <t>1700_33AA</t>
  </si>
  <si>
    <t>1700_35AA</t>
  </si>
  <si>
    <t>1700_37AA</t>
  </si>
  <si>
    <t>1700_39AA</t>
  </si>
  <si>
    <t>1700_3BAA</t>
  </si>
  <si>
    <t>1700_3DAA</t>
  </si>
  <si>
    <t>1700_3FAA</t>
  </si>
  <si>
    <t>1700_41AA</t>
  </si>
  <si>
    <t>1700_43AA</t>
  </si>
  <si>
    <t>1700_45AA</t>
  </si>
  <si>
    <t>1700_47AA</t>
  </si>
  <si>
    <t>1700_49AA</t>
  </si>
  <si>
    <t>1700_4BAA</t>
  </si>
  <si>
    <t>1700_4DAA</t>
  </si>
  <si>
    <t>1700_4FAA</t>
  </si>
  <si>
    <t>1700_51AA</t>
  </si>
  <si>
    <t>1700_53AA</t>
  </si>
  <si>
    <t>1700_55AA</t>
  </si>
  <si>
    <t>1700_57AA</t>
  </si>
  <si>
    <t>1700_59AA</t>
  </si>
  <si>
    <t>1700_5BAA</t>
  </si>
  <si>
    <t>1700_5DAA</t>
  </si>
  <si>
    <t>1700_5FAA</t>
  </si>
  <si>
    <t>1700_61AA</t>
  </si>
  <si>
    <t>1700_63AA</t>
  </si>
  <si>
    <t>1700_65AA</t>
  </si>
  <si>
    <t>1700_67AA</t>
  </si>
  <si>
    <t>1700_69AA</t>
  </si>
  <si>
    <t>1700_6BAA</t>
  </si>
  <si>
    <t>1700_6DAA</t>
  </si>
  <si>
    <t>1700_6FAA</t>
  </si>
  <si>
    <t>1700_71AA</t>
  </si>
  <si>
    <t>1700_73AA</t>
  </si>
  <si>
    <t>1700_75AA</t>
  </si>
  <si>
    <t>1700_77AA</t>
  </si>
  <si>
    <t>1700_79AA</t>
  </si>
  <si>
    <t>1700_7BAA</t>
  </si>
  <si>
    <t>1700_7DAA</t>
  </si>
  <si>
    <t>1700_7FAA</t>
  </si>
  <si>
    <t>1700_01AB</t>
  </si>
  <si>
    <t>1700_03AB</t>
  </si>
  <si>
    <t>1700_05AB</t>
  </si>
  <si>
    <t>1700_07AB</t>
  </si>
  <si>
    <t>1700_09AB</t>
  </si>
  <si>
    <t>1700_0BAB</t>
  </si>
  <si>
    <t>1700_0DAB</t>
  </si>
  <si>
    <t>1700_0FAB</t>
  </si>
  <si>
    <t>1700_11AB</t>
  </si>
  <si>
    <t>1700_13AB</t>
  </si>
  <si>
    <t>1700_15AB</t>
  </si>
  <si>
    <t>1700_17AB</t>
  </si>
  <si>
    <t>1700_19AB</t>
  </si>
  <si>
    <t>1700_1BAB</t>
  </si>
  <si>
    <t>1700_1DAB</t>
  </si>
  <si>
    <t>1700_1FAB</t>
  </si>
  <si>
    <t>1700_21AB</t>
  </si>
  <si>
    <t>1700_23AB</t>
  </si>
  <si>
    <t>1700_25AB</t>
  </si>
  <si>
    <t>1700_27AB</t>
  </si>
  <si>
    <t>1700_29AB</t>
  </si>
  <si>
    <t>1700_2BAB</t>
  </si>
  <si>
    <t>1700_2DAB</t>
  </si>
  <si>
    <t>1700_2FAB</t>
  </si>
  <si>
    <t>1700_31AB</t>
  </si>
  <si>
    <t>1700_33AB</t>
  </si>
  <si>
    <t>1700_35AB</t>
  </si>
  <si>
    <t>1700_37AB</t>
  </si>
  <si>
    <t>1700_39AB</t>
  </si>
  <si>
    <t>1700_3BAB</t>
  </si>
  <si>
    <t>1700_3DAB</t>
  </si>
  <si>
    <t>1700_3FAB</t>
  </si>
  <si>
    <t>1700_41AB</t>
  </si>
  <si>
    <t>1700_43AB</t>
  </si>
  <si>
    <t>1700_45AB</t>
  </si>
  <si>
    <t>1700_47AB</t>
  </si>
  <si>
    <t>1700_49AB</t>
  </si>
  <si>
    <t>1700_4BAB</t>
  </si>
  <si>
    <t>1700_4DAB</t>
  </si>
  <si>
    <t>1700_4FAB</t>
  </si>
  <si>
    <t>1700_51AB</t>
  </si>
  <si>
    <t>1700_53AB</t>
  </si>
  <si>
    <t>1700_55AB</t>
  </si>
  <si>
    <t>1700_57AB</t>
  </si>
  <si>
    <t>1700_59AB</t>
  </si>
  <si>
    <t>1700_5BAB</t>
  </si>
  <si>
    <t>1700_5DAB</t>
  </si>
  <si>
    <t>1700_5FAB</t>
  </si>
  <si>
    <t>1700_61AB</t>
  </si>
  <si>
    <t>1700_63AB</t>
  </si>
  <si>
    <t>1700_65AB</t>
  </si>
  <si>
    <t>1700_67AB</t>
  </si>
  <si>
    <t>1700_69AB</t>
  </si>
  <si>
    <t>1700_6BAB</t>
  </si>
  <si>
    <t>1700_6DAB</t>
  </si>
  <si>
    <t>1700_6FAB</t>
  </si>
  <si>
    <t>1700_71AB</t>
  </si>
  <si>
    <t>1700_73AB</t>
  </si>
  <si>
    <t>1700_75AB</t>
  </si>
  <si>
    <t>1700_77AB</t>
  </si>
  <si>
    <t>1700_79AB</t>
  </si>
  <si>
    <t>1700_7BAB</t>
  </si>
  <si>
    <t>1700_7DAB</t>
  </si>
  <si>
    <t>1700_7FAB</t>
  </si>
  <si>
    <t>1700_01AC</t>
  </si>
  <si>
    <t>1700_03AC</t>
  </si>
  <si>
    <t>1700_05AC</t>
  </si>
  <si>
    <t>1700_07AC</t>
  </si>
  <si>
    <t>1700_09AC</t>
  </si>
  <si>
    <t>1700_0BAC</t>
  </si>
  <si>
    <t>1700_0DAC</t>
  </si>
  <si>
    <t>1700_0FAC</t>
  </si>
  <si>
    <t>1700_11AC</t>
  </si>
  <si>
    <t>1700_13AC</t>
  </si>
  <si>
    <t>1700_15AC</t>
  </si>
  <si>
    <t>1700_17AC</t>
  </si>
  <si>
    <t>1700_19AC</t>
  </si>
  <si>
    <t>1700_1BAC</t>
  </si>
  <si>
    <t>1700_1DAC</t>
  </si>
  <si>
    <t>1700_1FAC</t>
  </si>
  <si>
    <t>1700_21AC</t>
  </si>
  <si>
    <t>1700_23AC</t>
  </si>
  <si>
    <t>1700_25AC</t>
  </si>
  <si>
    <t>1700_27AC</t>
  </si>
  <si>
    <t>1700_29AC</t>
  </si>
  <si>
    <t>1700_2BAC</t>
  </si>
  <si>
    <t>1700_2DAC</t>
  </si>
  <si>
    <t>1700_2FAC</t>
  </si>
  <si>
    <t>1700_31AC</t>
  </si>
  <si>
    <t>1700_33AC</t>
  </si>
  <si>
    <t>1700_35AC</t>
  </si>
  <si>
    <t>1700_37AC</t>
  </si>
  <si>
    <t>1700_39AC</t>
  </si>
  <si>
    <t>1700_3BAC</t>
  </si>
  <si>
    <t>1700_3DAC</t>
  </si>
  <si>
    <t>1700_3FAC</t>
  </si>
  <si>
    <t>1700_41AC</t>
  </si>
  <si>
    <t>1700_43AC</t>
  </si>
  <si>
    <t>1700_45AC</t>
  </si>
  <si>
    <t>1700_47AC</t>
  </si>
  <si>
    <t>1700_49AC</t>
  </si>
  <si>
    <t>1700_4BAC</t>
  </si>
  <si>
    <t>1700_4DAC</t>
  </si>
  <si>
    <t>1700_4FAC</t>
  </si>
  <si>
    <t>1700_51AC</t>
  </si>
  <si>
    <t>1700_53AC</t>
  </si>
  <si>
    <t>1700_55AC</t>
  </si>
  <si>
    <t>1700_57AC</t>
  </si>
  <si>
    <t>1700_59AC</t>
  </si>
  <si>
    <t>1700_5BAC</t>
  </si>
  <si>
    <t>1700_5DAC</t>
  </si>
  <si>
    <t>1700_5FAC</t>
  </si>
  <si>
    <t>1700_61AC</t>
  </si>
  <si>
    <t>1700_63AC</t>
  </si>
  <si>
    <t>1700_65AC</t>
  </si>
  <si>
    <t>1700_67AC</t>
  </si>
  <si>
    <t>1700_69AC</t>
  </si>
  <si>
    <t>1700_6BAC</t>
  </si>
  <si>
    <t>1700_6DAC</t>
  </si>
  <si>
    <t>1700_6FAC</t>
  </si>
  <si>
    <t>1700_71AC</t>
  </si>
  <si>
    <t>1700_73AC</t>
  </si>
  <si>
    <t>1700_75AC</t>
  </si>
  <si>
    <t>1700_77AC</t>
  </si>
  <si>
    <t>1700_79AC</t>
  </si>
  <si>
    <t>1700_7BAC</t>
  </si>
  <si>
    <t>1700_7DAC</t>
  </si>
  <si>
    <t>1700_7FAC</t>
  </si>
  <si>
    <t>1700_01AD</t>
  </si>
  <si>
    <t>1700_03AD</t>
  </si>
  <si>
    <t>1700_05AD</t>
  </si>
  <si>
    <t>1700_07AD</t>
  </si>
  <si>
    <t>1700_09AD</t>
  </si>
  <si>
    <t>1700_0BAD</t>
  </si>
  <si>
    <t>1700_0DAD</t>
  </si>
  <si>
    <t>1700_0FAD</t>
  </si>
  <si>
    <t>1700_11AD</t>
  </si>
  <si>
    <t>1700_13AD</t>
  </si>
  <si>
    <t>1700_15AD</t>
  </si>
  <si>
    <t>1700_17AD</t>
  </si>
  <si>
    <t>1700_19AD</t>
  </si>
  <si>
    <t>1700_1BAD</t>
  </si>
  <si>
    <t>1700_1DAD</t>
  </si>
  <si>
    <t>1700_1FAD</t>
  </si>
  <si>
    <t>1700_21AD</t>
  </si>
  <si>
    <t>1700_23AD</t>
  </si>
  <si>
    <t>1700_25AD</t>
  </si>
  <si>
    <t>1700_27AD</t>
  </si>
  <si>
    <t>1700_29AD</t>
  </si>
  <si>
    <t>1700_2BAD</t>
  </si>
  <si>
    <t>1700_2DAD</t>
  </si>
  <si>
    <t>1700_2FAD</t>
  </si>
  <si>
    <t>1700_31AD</t>
  </si>
  <si>
    <t>1700_33AD</t>
  </si>
  <si>
    <t>1700_35AD</t>
  </si>
  <si>
    <t>1700_37AD</t>
  </si>
  <si>
    <t>1700_39AD</t>
  </si>
  <si>
    <t>1700_3BAD</t>
  </si>
  <si>
    <t>1700_3DAD</t>
  </si>
  <si>
    <t>1700_3FAD</t>
  </si>
  <si>
    <t>1700_41AD</t>
  </si>
  <si>
    <t>1700_43AD</t>
  </si>
  <si>
    <t>1700_45AD</t>
  </si>
  <si>
    <t>1700_47AD</t>
  </si>
  <si>
    <t>1700_49AD</t>
  </si>
  <si>
    <t>1700_4BAD</t>
  </si>
  <si>
    <t>1700_4DAD</t>
  </si>
  <si>
    <t>1700_4FAD</t>
  </si>
  <si>
    <t>1700_51AD</t>
  </si>
  <si>
    <t>1700_53AD</t>
  </si>
  <si>
    <t>1700_55AD</t>
  </si>
  <si>
    <t>1700_57AD</t>
  </si>
  <si>
    <t>1700_59AD</t>
  </si>
  <si>
    <t>1700_5BAD</t>
  </si>
  <si>
    <t>1700_5DAD</t>
  </si>
  <si>
    <t>1700_5FAD</t>
  </si>
  <si>
    <t>1700_61AD</t>
  </si>
  <si>
    <t>1700_63AD</t>
  </si>
  <si>
    <t>1700_65AD</t>
  </si>
  <si>
    <t>1700_67AD</t>
  </si>
  <si>
    <t>1700_69AD</t>
  </si>
  <si>
    <t>1700_6BAD</t>
  </si>
  <si>
    <t>1700_6DAD</t>
  </si>
  <si>
    <t>1700_6FAD</t>
  </si>
  <si>
    <t>1700_71AD</t>
  </si>
  <si>
    <t>1700_73AD</t>
  </si>
  <si>
    <t>1700_75AD</t>
  </si>
  <si>
    <t>1700_77AD</t>
  </si>
  <si>
    <t>1700_79AD</t>
  </si>
  <si>
    <t>1700_7BAD</t>
  </si>
  <si>
    <t>1700_7DAD</t>
  </si>
  <si>
    <t>1700_7FAD</t>
  </si>
  <si>
    <t>1700_01AE</t>
  </si>
  <si>
    <t>1700_03AE</t>
  </si>
  <si>
    <t>1700_05AE</t>
  </si>
  <si>
    <t>1700_07AE</t>
  </si>
  <si>
    <t>1700_09AE</t>
  </si>
  <si>
    <t>1700_0BAE</t>
  </si>
  <si>
    <t>1700_0DAE</t>
  </si>
  <si>
    <t>1700_0FAE</t>
  </si>
  <si>
    <t>1700_11AE</t>
  </si>
  <si>
    <t>1700_13AE</t>
  </si>
  <si>
    <t>1700_15AE</t>
  </si>
  <si>
    <t>1700_17AE</t>
  </si>
  <si>
    <t>1700_19AE</t>
  </si>
  <si>
    <t>1700_1BAE</t>
  </si>
  <si>
    <t>1700_1DAE</t>
  </si>
  <si>
    <t>1700_1FAE</t>
  </si>
  <si>
    <t>1700_21AE</t>
  </si>
  <si>
    <t>1700_23AE</t>
  </si>
  <si>
    <t>1700_25AE</t>
  </si>
  <si>
    <t>1700_27AE</t>
  </si>
  <si>
    <t>1700_29AE</t>
  </si>
  <si>
    <t>1700_2BAE</t>
  </si>
  <si>
    <t>1700_2DAE</t>
  </si>
  <si>
    <t>1700_2FAE</t>
  </si>
  <si>
    <t>1700_31AE</t>
  </si>
  <si>
    <t>1700_33AE</t>
  </si>
  <si>
    <t>1700_35AE</t>
  </si>
  <si>
    <t>1700_37AE</t>
  </si>
  <si>
    <t>1700_39AE</t>
  </si>
  <si>
    <t>1700_3BAE</t>
  </si>
  <si>
    <t>1700_3DAE</t>
  </si>
  <si>
    <t>1700_3FAE</t>
  </si>
  <si>
    <t>1700_41AE</t>
  </si>
  <si>
    <t>1700_43AE</t>
  </si>
  <si>
    <t>1700_45AE</t>
  </si>
  <si>
    <t>1700_47AE</t>
  </si>
  <si>
    <t>1700_49AE</t>
  </si>
  <si>
    <t>1700_4BAE</t>
  </si>
  <si>
    <t>1700_4DAE</t>
  </si>
  <si>
    <t>1700_4FAE</t>
  </si>
  <si>
    <t>1700_51AE</t>
  </si>
  <si>
    <t>1700_53AE</t>
  </si>
  <si>
    <t>1700_55AE</t>
  </si>
  <si>
    <t>1700_57AE</t>
  </si>
  <si>
    <t>1700_59AE</t>
  </si>
  <si>
    <t>1700_5BAE</t>
  </si>
  <si>
    <t>1700_5DAE</t>
  </si>
  <si>
    <t>1700_5FAE</t>
  </si>
  <si>
    <t>1700_61AE</t>
  </si>
  <si>
    <t>1700_63AE</t>
  </si>
  <si>
    <t>1700_65AE</t>
  </si>
  <si>
    <t>1700_67AE</t>
  </si>
  <si>
    <t>1700_69AE</t>
  </si>
  <si>
    <t>1700_6BAE</t>
  </si>
  <si>
    <t>1700_6DAE</t>
  </si>
  <si>
    <t>1700_6FAE</t>
  </si>
  <si>
    <t>1700_71AE</t>
  </si>
  <si>
    <t>1700_73AE</t>
  </si>
  <si>
    <t>1700_75AE</t>
  </si>
  <si>
    <t>1700_77AE</t>
  </si>
  <si>
    <t>1700_79AE</t>
  </si>
  <si>
    <t>1700_7BAE</t>
  </si>
  <si>
    <t>1700_7DAE</t>
  </si>
  <si>
    <t>1700_7FAE</t>
  </si>
  <si>
    <t>1700_01AF</t>
  </si>
  <si>
    <t>1700_03AF</t>
  </si>
  <si>
    <t>1700_05AF</t>
  </si>
  <si>
    <t>1700_07AF</t>
  </si>
  <si>
    <t>1700_09AF</t>
  </si>
  <si>
    <t>1700_0BAF</t>
  </si>
  <si>
    <t>1700_0DAF</t>
  </si>
  <si>
    <t>1700_0FAF</t>
  </si>
  <si>
    <t>1700_11AF</t>
  </si>
  <si>
    <t>1700_13AF</t>
  </si>
  <si>
    <t>1700_15AF</t>
  </si>
  <si>
    <t>1700_17AF</t>
  </si>
  <si>
    <t>1700_19AF</t>
  </si>
  <si>
    <t>1700_1BAF</t>
  </si>
  <si>
    <t>1700_1DAF</t>
  </si>
  <si>
    <t>1700_1FAF</t>
  </si>
  <si>
    <t>1700_21AF</t>
  </si>
  <si>
    <t>1700_23AF</t>
  </si>
  <si>
    <t>1700_25AF</t>
  </si>
  <si>
    <t>1700_27AF</t>
  </si>
  <si>
    <t>1700_29AF</t>
  </si>
  <si>
    <t>1700_2BAF</t>
  </si>
  <si>
    <t>1700_2DAF</t>
  </si>
  <si>
    <t>1700_2FAF</t>
  </si>
  <si>
    <t>1700_31AF</t>
  </si>
  <si>
    <t>1700_33AF</t>
  </si>
  <si>
    <t>1700_35AF</t>
  </si>
  <si>
    <t>1700_37AF</t>
  </si>
  <si>
    <t>1700_39AF</t>
  </si>
  <si>
    <t>1700_3BAF</t>
  </si>
  <si>
    <t>1700_3DAF</t>
  </si>
  <si>
    <t>1700_3FAF</t>
  </si>
  <si>
    <t>1700_41AF</t>
  </si>
  <si>
    <t>1700_43AF</t>
  </si>
  <si>
    <t>1700_45AF</t>
  </si>
  <si>
    <t>1700_47AF</t>
  </si>
  <si>
    <t>1700_49AF</t>
  </si>
  <si>
    <t>1700_4BAF</t>
  </si>
  <si>
    <t>1700_4DAF</t>
  </si>
  <si>
    <t>1700_4FAF</t>
  </si>
  <si>
    <t>1700_51AF</t>
  </si>
  <si>
    <t>1700_53AF</t>
  </si>
  <si>
    <t>1700_55AF</t>
  </si>
  <si>
    <t>1700_57AF</t>
  </si>
  <si>
    <t>1700_59AF</t>
  </si>
  <si>
    <t>1700_5BAF</t>
  </si>
  <si>
    <t>1700_5DAF</t>
  </si>
  <si>
    <t>1700_5FAF</t>
  </si>
  <si>
    <t>1700_61AF</t>
  </si>
  <si>
    <t>1700_63AF</t>
  </si>
  <si>
    <t>1700_65AF</t>
  </si>
  <si>
    <t>1700_67AF</t>
  </si>
  <si>
    <t>1700_69AF</t>
  </si>
  <si>
    <t>1700_6BAF</t>
  </si>
  <si>
    <t>1700_6DAF</t>
  </si>
  <si>
    <t>1700_6FAF</t>
  </si>
  <si>
    <t>1700_71AF</t>
  </si>
  <si>
    <t>1700_73AF</t>
  </si>
  <si>
    <t>1700_75AF</t>
  </si>
  <si>
    <t>1700_77AF</t>
  </si>
  <si>
    <t>1700_79AF</t>
  </si>
  <si>
    <t>1700_7BAF</t>
  </si>
  <si>
    <t>1700_7DAF</t>
  </si>
  <si>
    <t>1700_7FAF</t>
  </si>
  <si>
    <t>1700_01B0</t>
  </si>
  <si>
    <t>1700_03B0</t>
  </si>
  <si>
    <t>1700_05B0</t>
  </si>
  <si>
    <t>1700_07B0</t>
  </si>
  <si>
    <t>1700_09B0</t>
  </si>
  <si>
    <t>1700_0BB0</t>
  </si>
  <si>
    <t>1700_0DB0</t>
  </si>
  <si>
    <t>1700_0FB0</t>
  </si>
  <si>
    <t>1700_11B0</t>
  </si>
  <si>
    <t>1700_13B0</t>
  </si>
  <si>
    <t>1700_15B0</t>
  </si>
  <si>
    <t>1700_17B0</t>
  </si>
  <si>
    <t>1700_19B0</t>
  </si>
  <si>
    <t>1700_1BB0</t>
  </si>
  <si>
    <t>1700_1DB0</t>
  </si>
  <si>
    <t>1700_1FB0</t>
  </si>
  <si>
    <t>1700_21B0</t>
  </si>
  <si>
    <t>1700_23B0</t>
  </si>
  <si>
    <t>1700_25B0</t>
  </si>
  <si>
    <t>1700_27B0</t>
  </si>
  <si>
    <t>1700_29B0</t>
  </si>
  <si>
    <t>1700_2BB0</t>
  </si>
  <si>
    <t>1700_2DB0</t>
  </si>
  <si>
    <t>1700_2FB0</t>
  </si>
  <si>
    <t>1700_31B0</t>
  </si>
  <si>
    <t>1700_33B0</t>
  </si>
  <si>
    <t>1700_35B0</t>
  </si>
  <si>
    <t>1700_37B0</t>
  </si>
  <si>
    <t>1700_39B0</t>
  </si>
  <si>
    <t>1700_3BB0</t>
  </si>
  <si>
    <t>1700_3DB0</t>
  </si>
  <si>
    <t>1700_3FB0</t>
  </si>
  <si>
    <t>1700_41B0</t>
  </si>
  <si>
    <t>1700_43B0</t>
  </si>
  <si>
    <t>1700_45B0</t>
  </si>
  <si>
    <t>1700_47B0</t>
  </si>
  <si>
    <t>1700_49B0</t>
  </si>
  <si>
    <t>1700_4BB0</t>
  </si>
  <si>
    <t>1700_4DB0</t>
  </si>
  <si>
    <t>1700_4FB0</t>
  </si>
  <si>
    <t>1700_51B0</t>
  </si>
  <si>
    <t>1700_53B0</t>
  </si>
  <si>
    <t>1700_55B0</t>
  </si>
  <si>
    <t>1700_57B0</t>
  </si>
  <si>
    <t>1700_59B0</t>
  </si>
  <si>
    <t>1700_5BB0</t>
  </si>
  <si>
    <t>1700_5DB0</t>
  </si>
  <si>
    <t>1700_5FB0</t>
  </si>
  <si>
    <t>1700_61B0</t>
  </si>
  <si>
    <t>1700_63B0</t>
  </si>
  <si>
    <t>1700_65B0</t>
  </si>
  <si>
    <t>1700_67B0</t>
  </si>
  <si>
    <t>1700_69B0</t>
  </si>
  <si>
    <t>1700_6BB0</t>
  </si>
  <si>
    <t>1700_6DB0</t>
  </si>
  <si>
    <t>1700_6FB0</t>
  </si>
  <si>
    <t>1700_71B0</t>
  </si>
  <si>
    <t>1700_73B0</t>
  </si>
  <si>
    <t>1700_75B0</t>
  </si>
  <si>
    <t>1700_77B0</t>
  </si>
  <si>
    <t>1700_79B0</t>
  </si>
  <si>
    <t>1700_7BB0</t>
  </si>
  <si>
    <t>1700_7DB0</t>
  </si>
  <si>
    <t>1700_7FB0</t>
  </si>
  <si>
    <t>1700_01B1</t>
  </si>
  <si>
    <t>1700_03B1</t>
  </si>
  <si>
    <t>1700_05B1</t>
  </si>
  <si>
    <t>1700_07B1</t>
  </si>
  <si>
    <t>1700_09B1</t>
  </si>
  <si>
    <t>1700_0BB1</t>
  </si>
  <si>
    <t>1700_0DB1</t>
  </si>
  <si>
    <t>1700_0FB1</t>
  </si>
  <si>
    <t>1700_11B1</t>
  </si>
  <si>
    <t>1700_13B1</t>
  </si>
  <si>
    <t>1700_15B1</t>
  </si>
  <si>
    <t>1700_17B1</t>
  </si>
  <si>
    <t>1700_19B1</t>
  </si>
  <si>
    <t>1700_1BB1</t>
  </si>
  <si>
    <t>1700_1DB1</t>
  </si>
  <si>
    <t>1700_1FB1</t>
  </si>
  <si>
    <t>1700_21B1</t>
  </si>
  <si>
    <t>1700_23B1</t>
  </si>
  <si>
    <t>1700_25B1</t>
  </si>
  <si>
    <t>1700_27B1</t>
  </si>
  <si>
    <t>1700_29B1</t>
  </si>
  <si>
    <t>1700_2BB1</t>
  </si>
  <si>
    <t>1700_2DB1</t>
  </si>
  <si>
    <t>1700_2FB1</t>
  </si>
  <si>
    <t>1700_31B1</t>
  </si>
  <si>
    <t>1700_33B1</t>
  </si>
  <si>
    <t>1700_35B1</t>
  </si>
  <si>
    <t>1700_37B1</t>
  </si>
  <si>
    <t>1700_39B1</t>
  </si>
  <si>
    <t>1700_3BB1</t>
  </si>
  <si>
    <t>1700_3DB1</t>
  </si>
  <si>
    <t>1700_3FB1</t>
  </si>
  <si>
    <t>1700_41B1</t>
  </si>
  <si>
    <t>1700_43B1</t>
  </si>
  <si>
    <t>1700_45B1</t>
  </si>
  <si>
    <t>1700_47B1</t>
  </si>
  <si>
    <t>1700_49B1</t>
  </si>
  <si>
    <t>1700_4BB1</t>
  </si>
  <si>
    <t>1700_4DB1</t>
  </si>
  <si>
    <t>1700_4FB1</t>
  </si>
  <si>
    <t>1700_51B1</t>
  </si>
  <si>
    <t>1700_53B1</t>
  </si>
  <si>
    <t>1700_55B1</t>
  </si>
  <si>
    <t>1700_57B1</t>
  </si>
  <si>
    <t>1700_59B1</t>
  </si>
  <si>
    <t>1700_5BB1</t>
  </si>
  <si>
    <t>1700_5DB1</t>
  </si>
  <si>
    <t>1700_5FB1</t>
  </si>
  <si>
    <t>1700_61B1</t>
  </si>
  <si>
    <t>1700_63B1</t>
  </si>
  <si>
    <t>1700_65B1</t>
  </si>
  <si>
    <t>1700_67B1</t>
  </si>
  <si>
    <t>1700_69B1</t>
  </si>
  <si>
    <t>1700_6BB1</t>
  </si>
  <si>
    <t>1700_6DB1</t>
  </si>
  <si>
    <t>1700_6FB1</t>
  </si>
  <si>
    <t>1700_71B1</t>
  </si>
  <si>
    <t>1700_73B1</t>
  </si>
  <si>
    <t>1700_75B1</t>
  </si>
  <si>
    <t>1700_77B1</t>
  </si>
  <si>
    <t>1700_79B1</t>
  </si>
  <si>
    <t>1700_7BB1</t>
  </si>
  <si>
    <t>1700_7DB1</t>
  </si>
  <si>
    <t>1700_7FB1</t>
  </si>
  <si>
    <t>1700_01B2</t>
  </si>
  <si>
    <t>1700_03B2</t>
  </si>
  <si>
    <t>1700_05B2</t>
  </si>
  <si>
    <t>1700_07B2</t>
  </si>
  <si>
    <t>1700_09B2</t>
  </si>
  <si>
    <t>1700_0BB2</t>
  </si>
  <si>
    <t>1700_0DB2</t>
  </si>
  <si>
    <t>1700_0FB2</t>
  </si>
  <si>
    <t>1700_11B2</t>
  </si>
  <si>
    <t>1700_13B2</t>
  </si>
  <si>
    <t>1700_15B2</t>
  </si>
  <si>
    <t>1700_17B2</t>
  </si>
  <si>
    <t>1700_19B2</t>
  </si>
  <si>
    <t>1700_1BB2</t>
  </si>
  <si>
    <t>1700_1DB2</t>
  </si>
  <si>
    <t>1700_1FB2</t>
  </si>
  <si>
    <t>1700_21B2</t>
  </si>
  <si>
    <t>1700_23B2</t>
  </si>
  <si>
    <t>1700_25B2</t>
  </si>
  <si>
    <t>1700_27B2</t>
  </si>
  <si>
    <t>1700_29B2</t>
  </si>
  <si>
    <t>1700_2BB2</t>
  </si>
  <si>
    <t>1700_2DB2</t>
  </si>
  <si>
    <t>1700_2FB2</t>
  </si>
  <si>
    <t>1700_31B2</t>
  </si>
  <si>
    <t>1700_33B2</t>
  </si>
  <si>
    <t>1700_35B2</t>
  </si>
  <si>
    <t>1700_37B2</t>
  </si>
  <si>
    <t>1700_39B2</t>
  </si>
  <si>
    <t>1700_3BB2</t>
  </si>
  <si>
    <t>1700_3DB2</t>
  </si>
  <si>
    <t>1700_3FB2</t>
  </si>
  <si>
    <t>1700_41B2</t>
  </si>
  <si>
    <t>1700_43B2</t>
  </si>
  <si>
    <t>1700_45B2</t>
  </si>
  <si>
    <t>1700_47B2</t>
  </si>
  <si>
    <t>1700_49B2</t>
  </si>
  <si>
    <t>1700_4BB2</t>
  </si>
  <si>
    <t>1700_4DB2</t>
  </si>
  <si>
    <t>1700_4FB2</t>
  </si>
  <si>
    <t>1700_51B2</t>
  </si>
  <si>
    <t>1700_53B2</t>
  </si>
  <si>
    <t>1700_55B2</t>
  </si>
  <si>
    <t>1700_57B2</t>
  </si>
  <si>
    <t>1700_59B2</t>
  </si>
  <si>
    <t>1700_5BB2</t>
  </si>
  <si>
    <t>1700_5DB2</t>
  </si>
  <si>
    <t>1700_5FB2</t>
  </si>
  <si>
    <t>1700_61B2</t>
  </si>
  <si>
    <t>1700_63B2</t>
  </si>
  <si>
    <t>1700_65B2</t>
  </si>
  <si>
    <t>1700_67B2</t>
  </si>
  <si>
    <t>1700_69B2</t>
  </si>
  <si>
    <t>1700_6BB2</t>
  </si>
  <si>
    <t>1700_6DB2</t>
  </si>
  <si>
    <t>1700_6FB2</t>
  </si>
  <si>
    <t>1700_71B2</t>
  </si>
  <si>
    <t>1700_73B2</t>
  </si>
  <si>
    <t>1700_75B2</t>
  </si>
  <si>
    <t>1700_77B2</t>
  </si>
  <si>
    <t>1700_79B2</t>
  </si>
  <si>
    <t>1700_7BB2</t>
  </si>
  <si>
    <t>1700_7DB2</t>
  </si>
  <si>
    <t>1700_7FB2</t>
  </si>
  <si>
    <t>1700_01B3</t>
  </si>
  <si>
    <t>1700_03B3</t>
  </si>
  <si>
    <t>1700_05B3</t>
  </si>
  <si>
    <t>1700_07B3</t>
  </si>
  <si>
    <t>1700_09B3</t>
  </si>
  <si>
    <t>1700_0BB3</t>
  </si>
  <si>
    <t>1700_0DB3</t>
  </si>
  <si>
    <t>1700_0FB3</t>
  </si>
  <si>
    <t>1700_11B3</t>
  </si>
  <si>
    <t>1700_13B3</t>
  </si>
  <si>
    <t>1700_15B3</t>
  </si>
  <si>
    <t>1700_17B3</t>
  </si>
  <si>
    <t>1700_19B3</t>
  </si>
  <si>
    <t>1700_1BB3</t>
  </si>
  <si>
    <t>1700_1DB3</t>
  </si>
  <si>
    <t>1700_1FB3</t>
  </si>
  <si>
    <t>1700_21B3</t>
  </si>
  <si>
    <t>1700_23B3</t>
  </si>
  <si>
    <t>1700_25B3</t>
  </si>
  <si>
    <t>1700_27B3</t>
  </si>
  <si>
    <t>1700_29B3</t>
  </si>
  <si>
    <t>1700_2BB3</t>
  </si>
  <si>
    <t>1700_2DB3</t>
  </si>
  <si>
    <t>1700_2FB3</t>
  </si>
  <si>
    <t>1700_31B3</t>
  </si>
  <si>
    <t>1700_33B3</t>
  </si>
  <si>
    <t>1700_35B3</t>
  </si>
  <si>
    <t>1700_37B3</t>
  </si>
  <si>
    <t>1700_39B3</t>
  </si>
  <si>
    <t>1700_3BB3</t>
  </si>
  <si>
    <t>1700_3DB3</t>
  </si>
  <si>
    <t>1700_3FB3</t>
  </si>
  <si>
    <t>1700_41B3</t>
  </si>
  <si>
    <t>1700_43B3</t>
  </si>
  <si>
    <t>1700_45B3</t>
  </si>
  <si>
    <t>1700_47B3</t>
  </si>
  <si>
    <t>1700_49B3</t>
  </si>
  <si>
    <t>1700_4BB3</t>
  </si>
  <si>
    <t>1700_4DB3</t>
  </si>
  <si>
    <t>1700_4FB3</t>
  </si>
  <si>
    <t>1700_51B3</t>
  </si>
  <si>
    <t>1700_53B3</t>
  </si>
  <si>
    <t>1700_55B3</t>
  </si>
  <si>
    <t>1700_57B3</t>
  </si>
  <si>
    <t>1700_59B3</t>
  </si>
  <si>
    <t>1700_5BB3</t>
  </si>
  <si>
    <t>1700_5DB3</t>
  </si>
  <si>
    <t>1700_5FB3</t>
  </si>
  <si>
    <t>1700_61B3</t>
  </si>
  <si>
    <t>1700_63B3</t>
  </si>
  <si>
    <t>1700_65B3</t>
  </si>
  <si>
    <t>1700_67B3</t>
  </si>
  <si>
    <t>1700_69B3</t>
  </si>
  <si>
    <t>1700_6BB3</t>
  </si>
  <si>
    <t>1700_6DB3</t>
  </si>
  <si>
    <t>1700_6FB3</t>
  </si>
  <si>
    <t>1700_71B3</t>
  </si>
  <si>
    <t>1700_73B3</t>
  </si>
  <si>
    <t>1700_75B3</t>
  </si>
  <si>
    <t>1700_77B3</t>
  </si>
  <si>
    <t>1700_79B3</t>
  </si>
  <si>
    <t>1700_7BB3</t>
  </si>
  <si>
    <t>1700_7DB3</t>
  </si>
  <si>
    <t>1700_7FB3</t>
  </si>
  <si>
    <t>1700_01B4</t>
  </si>
  <si>
    <t>1700_03B4</t>
  </si>
  <si>
    <t>1700_05B4</t>
  </si>
  <si>
    <t>1700_07B4</t>
  </si>
  <si>
    <t>1700_09B4</t>
  </si>
  <si>
    <t>1700_0BB4</t>
  </si>
  <si>
    <t>1700_0DB4</t>
  </si>
  <si>
    <t>1700_0FB4</t>
  </si>
  <si>
    <t>1700_11B4</t>
  </si>
  <si>
    <t>1700_13B4</t>
  </si>
  <si>
    <t>1700_15B4</t>
  </si>
  <si>
    <t>1700_17B4</t>
  </si>
  <si>
    <t>1700_19B4</t>
  </si>
  <si>
    <t>1700_1BB4</t>
  </si>
  <si>
    <t>1700_1DB4</t>
  </si>
  <si>
    <t>1700_1FB4</t>
  </si>
  <si>
    <t>1700_21B4</t>
  </si>
  <si>
    <t>1700_23B4</t>
  </si>
  <si>
    <t>1700_25B4</t>
  </si>
  <si>
    <t>1700_27B4</t>
  </si>
  <si>
    <t>1700_29B4</t>
  </si>
  <si>
    <t>1700_2BB4</t>
  </si>
  <si>
    <t>1700_2DB4</t>
  </si>
  <si>
    <t>1700_2FB4</t>
  </si>
  <si>
    <t>1700_31B4</t>
  </si>
  <si>
    <t>1700_33B4</t>
  </si>
  <si>
    <t>1700_35B4</t>
  </si>
  <si>
    <t>1700_37B4</t>
  </si>
  <si>
    <t>1700_39B4</t>
  </si>
  <si>
    <t>1700_3BB4</t>
  </si>
  <si>
    <t>1700_3DB4</t>
  </si>
  <si>
    <t>1700_3FB4</t>
  </si>
  <si>
    <t>1700_41B4</t>
  </si>
  <si>
    <t>1700_43B4</t>
  </si>
  <si>
    <t>1700_45B4</t>
  </si>
  <si>
    <t>1700_47B4</t>
  </si>
  <si>
    <t>1700_49B4</t>
  </si>
  <si>
    <t>1700_4BB4</t>
  </si>
  <si>
    <t>1700_4DB4</t>
  </si>
  <si>
    <t>1700_4FB4</t>
  </si>
  <si>
    <t>1700_51B4</t>
  </si>
  <si>
    <t>1700_53B4</t>
  </si>
  <si>
    <t>1700_55B4</t>
  </si>
  <si>
    <t>1700_57B4</t>
  </si>
  <si>
    <t>1700_59B4</t>
  </si>
  <si>
    <t>1700_5BB4</t>
  </si>
  <si>
    <t>1700_5DB4</t>
  </si>
  <si>
    <t>1700_5FB4</t>
  </si>
  <si>
    <t>1700_61B4</t>
  </si>
  <si>
    <t>1700_63B4</t>
  </si>
  <si>
    <t>1700_65B4</t>
  </si>
  <si>
    <t>1700_67B4</t>
  </si>
  <si>
    <t>1700_69B4</t>
  </si>
  <si>
    <t>1700_6BB4</t>
  </si>
  <si>
    <t>1700_6DB4</t>
  </si>
  <si>
    <t>1700_6FB4</t>
  </si>
  <si>
    <t>1700_71B4</t>
  </si>
  <si>
    <t>1700_73B4</t>
  </si>
  <si>
    <t>1700_75B4</t>
  </si>
  <si>
    <t>1700_77B4</t>
  </si>
  <si>
    <t>1700_79B4</t>
  </si>
  <si>
    <t>1700_7BB4</t>
  </si>
  <si>
    <t>1700_7DB4</t>
  </si>
  <si>
    <t>1700_7FB4</t>
  </si>
  <si>
    <t>1700_01B5</t>
  </si>
  <si>
    <t>1700_03B5</t>
  </si>
  <si>
    <t>1700_05B5</t>
  </si>
  <si>
    <t>1700_07B5</t>
  </si>
  <si>
    <t>1700_09B5</t>
  </si>
  <si>
    <t>1700_0BB5</t>
  </si>
  <si>
    <t>1700_0DB5</t>
  </si>
  <si>
    <t>1700_0FB5</t>
  </si>
  <si>
    <t>1700_11B5</t>
  </si>
  <si>
    <t>1700_13B5</t>
  </si>
  <si>
    <t>1700_15B5</t>
  </si>
  <si>
    <t>1700_17B5</t>
  </si>
  <si>
    <t>1700_19B5</t>
  </si>
  <si>
    <t>1700_1BB5</t>
  </si>
  <si>
    <t>1700_1DB5</t>
  </si>
  <si>
    <t>1700_1FB5</t>
  </si>
  <si>
    <t>1700_21B5</t>
  </si>
  <si>
    <t>1700_23B5</t>
  </si>
  <si>
    <t>1700_25B5</t>
  </si>
  <si>
    <t>1700_27B5</t>
  </si>
  <si>
    <t>1700_29B5</t>
  </si>
  <si>
    <t>1700_2BB5</t>
  </si>
  <si>
    <t>1700_2DB5</t>
  </si>
  <si>
    <t>1700_2FB5</t>
  </si>
  <si>
    <t>1700_31B5</t>
  </si>
  <si>
    <t>1700_33B5</t>
  </si>
  <si>
    <t>1700_35B5</t>
  </si>
  <si>
    <t>1700_37B5</t>
  </si>
  <si>
    <t>1700_39B5</t>
  </si>
  <si>
    <t>1700_3BB5</t>
  </si>
  <si>
    <t>1700_3DB5</t>
  </si>
  <si>
    <t>1700_3FB5</t>
  </si>
  <si>
    <t>1700_41B5</t>
  </si>
  <si>
    <t>1700_43B5</t>
  </si>
  <si>
    <t>1700_45B5</t>
  </si>
  <si>
    <t>1700_47B5</t>
  </si>
  <si>
    <t>1700_49B5</t>
  </si>
  <si>
    <t>1700_4BB5</t>
  </si>
  <si>
    <t>1700_4DB5</t>
  </si>
  <si>
    <t>1700_4FB5</t>
  </si>
  <si>
    <t>1700_51B5</t>
  </si>
  <si>
    <t>1700_53B5</t>
  </si>
  <si>
    <t>1700_55B5</t>
  </si>
  <si>
    <t>1700_57B5</t>
  </si>
  <si>
    <t>1700_59B5</t>
  </si>
  <si>
    <t>1700_5BB5</t>
  </si>
  <si>
    <t>1700_5DB5</t>
  </si>
  <si>
    <t>1700_5FB5</t>
  </si>
  <si>
    <t>1700_61B5</t>
  </si>
  <si>
    <t>1700_63B5</t>
  </si>
  <si>
    <t>1700_65B5</t>
  </si>
  <si>
    <t>1700_67B5</t>
  </si>
  <si>
    <t>1700_69B5</t>
  </si>
  <si>
    <t>1700_6BB5</t>
  </si>
  <si>
    <t>1700_6DB5</t>
  </si>
  <si>
    <t>1700_6FB5</t>
  </si>
  <si>
    <t>1700_71B5</t>
  </si>
  <si>
    <t>1700_73B5</t>
  </si>
  <si>
    <t>1700_75B5</t>
  </si>
  <si>
    <t>1700_77B5</t>
  </si>
  <si>
    <t>1700_79B5</t>
  </si>
  <si>
    <t>1700_7BB5</t>
  </si>
  <si>
    <t>1700_7DB5</t>
  </si>
  <si>
    <t>1700_7FB5</t>
  </si>
  <si>
    <t>1700_01B6</t>
  </si>
  <si>
    <t>1700_03B6</t>
  </si>
  <si>
    <t>1700_05B6</t>
  </si>
  <si>
    <t>1700_07B6</t>
  </si>
  <si>
    <t>1700_09B6</t>
  </si>
  <si>
    <t>1700_0BB6</t>
  </si>
  <si>
    <t>1700_0DB6</t>
  </si>
  <si>
    <t>1700_0FB6</t>
  </si>
  <si>
    <t>1700_11B6</t>
  </si>
  <si>
    <t>1700_13B6</t>
  </si>
  <si>
    <t>1700_15B6</t>
  </si>
  <si>
    <t>1700_17B6</t>
  </si>
  <si>
    <t>1700_19B6</t>
  </si>
  <si>
    <t>1700_1BB6</t>
  </si>
  <si>
    <t>1700_1DB6</t>
  </si>
  <si>
    <t>1700_1FB6</t>
  </si>
  <si>
    <t>1700_21B6</t>
  </si>
  <si>
    <t>1700_23B6</t>
  </si>
  <si>
    <t>1700_25B6</t>
  </si>
  <si>
    <t>1700_27B6</t>
  </si>
  <si>
    <t>1700_29B6</t>
  </si>
  <si>
    <t>1700_2BB6</t>
  </si>
  <si>
    <t>1700_2DB6</t>
  </si>
  <si>
    <t>1700_2FB6</t>
  </si>
  <si>
    <t>1700_31B6</t>
  </si>
  <si>
    <t>1700_33B6</t>
  </si>
  <si>
    <t>1700_35B6</t>
  </si>
  <si>
    <t>1700_37B6</t>
  </si>
  <si>
    <t>1700_39B6</t>
  </si>
  <si>
    <t>1700_3BB6</t>
  </si>
  <si>
    <t>1700_3DB6</t>
  </si>
  <si>
    <t>1700_3FB6</t>
  </si>
  <si>
    <t>1700_41B6</t>
  </si>
  <si>
    <t>1700_43B6</t>
  </si>
  <si>
    <t>1700_45B6</t>
  </si>
  <si>
    <t>1700_47B6</t>
  </si>
  <si>
    <t>1700_49B6</t>
  </si>
  <si>
    <t>1700_4BB6</t>
  </si>
  <si>
    <t>1700_4DB6</t>
  </si>
  <si>
    <t>1700_4FB6</t>
  </si>
  <si>
    <t>1700_51B6</t>
  </si>
  <si>
    <t>1700_53B6</t>
  </si>
  <si>
    <t>1700_55B6</t>
  </si>
  <si>
    <t>1700_57B6</t>
  </si>
  <si>
    <t>1700_59B6</t>
  </si>
  <si>
    <t>1700_5BB6</t>
  </si>
  <si>
    <t>1700_5DB6</t>
  </si>
  <si>
    <t>1700_5FB6</t>
  </si>
  <si>
    <t>1700_61B6</t>
  </si>
  <si>
    <t>1700_63B6</t>
  </si>
  <si>
    <t>1700_65B6</t>
  </si>
  <si>
    <t>1700_67B6</t>
  </si>
  <si>
    <t>1700_69B6</t>
  </si>
  <si>
    <t>1700_6BB6</t>
  </si>
  <si>
    <t>1700_6DB6</t>
  </si>
  <si>
    <t>1700_6FB6</t>
  </si>
  <si>
    <t>1700_71B6</t>
  </si>
  <si>
    <t>1700_73B6</t>
  </si>
  <si>
    <t>1700_75B6</t>
  </si>
  <si>
    <t>1700_77B6</t>
  </si>
  <si>
    <t>1700_79B6</t>
  </si>
  <si>
    <t>1700_7BB6</t>
  </si>
  <si>
    <t>1700_7DB6</t>
  </si>
  <si>
    <t>1700_7FB6</t>
  </si>
  <si>
    <t>1700_01B7</t>
  </si>
  <si>
    <t>1700_03B7</t>
  </si>
  <si>
    <t>1700_05B7</t>
  </si>
  <si>
    <t>1700_07B7</t>
  </si>
  <si>
    <t>1700_09B7</t>
  </si>
  <si>
    <t>1700_0BB7</t>
  </si>
  <si>
    <t>1700_0DB7</t>
  </si>
  <si>
    <t>1700_0FB7</t>
  </si>
  <si>
    <t>1700_11B7</t>
  </si>
  <si>
    <t>1700_13B7</t>
  </si>
  <si>
    <t>1700_15B7</t>
  </si>
  <si>
    <t>1700_17B7</t>
  </si>
  <si>
    <t>1700_19B7</t>
  </si>
  <si>
    <t>1700_1BB7</t>
  </si>
  <si>
    <t>1700_1DB7</t>
  </si>
  <si>
    <t>1700_1FB7</t>
  </si>
  <si>
    <t>1700_21B7</t>
  </si>
  <si>
    <t>1700_23B7</t>
  </si>
  <si>
    <t>1700_25B7</t>
  </si>
  <si>
    <t>1700_27B7</t>
  </si>
  <si>
    <t>1700_29B7</t>
  </si>
  <si>
    <t>1700_2BB7</t>
  </si>
  <si>
    <t>1700_2DB7</t>
  </si>
  <si>
    <t>1700_2FB7</t>
  </si>
  <si>
    <t>1700_31B7</t>
  </si>
  <si>
    <t>1700_33B7</t>
  </si>
  <si>
    <t>1700_35B7</t>
  </si>
  <si>
    <t>1700_37B7</t>
  </si>
  <si>
    <t>1700_39B7</t>
  </si>
  <si>
    <t>1700_3BB7</t>
  </si>
  <si>
    <t>1700_3DB7</t>
  </si>
  <si>
    <t>1700_3FB7</t>
  </si>
  <si>
    <t>1700_41B7</t>
  </si>
  <si>
    <t>1700_43B7</t>
  </si>
  <si>
    <t>1700_45B7</t>
  </si>
  <si>
    <t>1700_47B7</t>
  </si>
  <si>
    <t>1700_49B7</t>
  </si>
  <si>
    <t>1700_4BB7</t>
  </si>
  <si>
    <t>1700_4DB7</t>
  </si>
  <si>
    <t>1700_4FB7</t>
  </si>
  <si>
    <t>1700_51B7</t>
  </si>
  <si>
    <t>1700_53B7</t>
  </si>
  <si>
    <t>1700_55B7</t>
  </si>
  <si>
    <t>1700_57B7</t>
  </si>
  <si>
    <t>1700_59B7</t>
  </si>
  <si>
    <t>1700_5BB7</t>
  </si>
  <si>
    <t>1700_5DB7</t>
  </si>
  <si>
    <t>1700_5FB7</t>
  </si>
  <si>
    <t>1700_61B7</t>
  </si>
  <si>
    <t>1700_63B7</t>
  </si>
  <si>
    <t>1700_65B7</t>
  </si>
  <si>
    <t>1700_67B7</t>
  </si>
  <si>
    <t>1700_69B7</t>
  </si>
  <si>
    <t>1700_6BB7</t>
  </si>
  <si>
    <t>1700_6DB7</t>
  </si>
  <si>
    <t>1700_6FB7</t>
  </si>
  <si>
    <t>1700_71B7</t>
  </si>
  <si>
    <t>1700_73B7</t>
  </si>
  <si>
    <t>1700_75B7</t>
  </si>
  <si>
    <t>1700_77B7</t>
  </si>
  <si>
    <t>1700_79B7</t>
  </si>
  <si>
    <t>1700_7BB7</t>
  </si>
  <si>
    <t>1700_7DB7</t>
  </si>
  <si>
    <t>1700_7FB7</t>
  </si>
  <si>
    <t>1700_01B8</t>
  </si>
  <si>
    <t>1700_03B8</t>
  </si>
  <si>
    <t>1700_05B8</t>
  </si>
  <si>
    <t>1700_07B8</t>
  </si>
  <si>
    <t>1700_09B8</t>
  </si>
  <si>
    <t>1700_0BB8</t>
  </si>
  <si>
    <t>1700_0DB8</t>
  </si>
  <si>
    <t>1700_0FB8</t>
  </si>
  <si>
    <t>1700_11B8</t>
  </si>
  <si>
    <t>1700_13B8</t>
  </si>
  <si>
    <t>1700_15B8</t>
  </si>
  <si>
    <t>1700_17B8</t>
  </si>
  <si>
    <t>1700_19B8</t>
  </si>
  <si>
    <t>1700_1BB8</t>
  </si>
  <si>
    <t>1700_1DB8</t>
  </si>
  <si>
    <t>1700_1FB8</t>
  </si>
  <si>
    <t>1700_21B8</t>
  </si>
  <si>
    <t>1700_23B8</t>
  </si>
  <si>
    <t>1700_25B8</t>
  </si>
  <si>
    <t>1700_27B8</t>
  </si>
  <si>
    <t>1700_29B8</t>
  </si>
  <si>
    <t>1700_2BB8</t>
  </si>
  <si>
    <t>1700_2DB8</t>
  </si>
  <si>
    <t>1700_2FB8</t>
  </si>
  <si>
    <t>1700_31B8</t>
  </si>
  <si>
    <t>1700_33B8</t>
  </si>
  <si>
    <t>1700_35B8</t>
  </si>
  <si>
    <t>1700_37B8</t>
  </si>
  <si>
    <t>1700_39B8</t>
  </si>
  <si>
    <t>1700_3BB8</t>
  </si>
  <si>
    <t>1700_3DB8</t>
  </si>
  <si>
    <t>1700_3FB8</t>
  </si>
  <si>
    <t>1700_41B8</t>
  </si>
  <si>
    <t>1700_43B8</t>
  </si>
  <si>
    <t>1700_45B8</t>
  </si>
  <si>
    <t>1700_47B8</t>
  </si>
  <si>
    <t>1700_49B8</t>
  </si>
  <si>
    <t>1700_4BB8</t>
  </si>
  <si>
    <t>1700_4DB8</t>
  </si>
  <si>
    <t>1700_4FB8</t>
  </si>
  <si>
    <t>1700_51B8</t>
  </si>
  <si>
    <t>1700_53B8</t>
  </si>
  <si>
    <t>1700_55B8</t>
  </si>
  <si>
    <t>1700_57B8</t>
  </si>
  <si>
    <t>1700_59B8</t>
  </si>
  <si>
    <t>1700_5BB8</t>
  </si>
  <si>
    <t>1700_5DB8</t>
  </si>
  <si>
    <t>1700_5FB8</t>
  </si>
  <si>
    <t>1700_61B8</t>
  </si>
  <si>
    <t>1700_63B8</t>
  </si>
  <si>
    <t>1700_65B8</t>
  </si>
  <si>
    <t>1700_67B8</t>
  </si>
  <si>
    <t>1700_69B8</t>
  </si>
  <si>
    <t>1700_6BB8</t>
  </si>
  <si>
    <t>1700_6DB8</t>
  </si>
  <si>
    <t>1700_6FB8</t>
  </si>
  <si>
    <t>1700_71B8</t>
  </si>
  <si>
    <t>1700_73B8</t>
  </si>
  <si>
    <t>1700_75B8</t>
  </si>
  <si>
    <t>1700_77B8</t>
  </si>
  <si>
    <t>1700_79B8</t>
  </si>
  <si>
    <t>1700_7BB8</t>
  </si>
  <si>
    <t>1700_7DB8</t>
  </si>
  <si>
    <t>1700_7FB8</t>
  </si>
  <si>
    <t>1700_01B9</t>
  </si>
  <si>
    <t>1700_03B9</t>
  </si>
  <si>
    <t>1700_05B9</t>
  </si>
  <si>
    <t>1700_07B9</t>
  </si>
  <si>
    <t>1700_09B9</t>
  </si>
  <si>
    <t>1700_0BB9</t>
  </si>
  <si>
    <t>1700_0DB9</t>
  </si>
  <si>
    <t>1700_0FB9</t>
  </si>
  <si>
    <t>1700_11B9</t>
  </si>
  <si>
    <t>1700_13B9</t>
  </si>
  <si>
    <t>1700_15B9</t>
  </si>
  <si>
    <t>1700_17B9</t>
  </si>
  <si>
    <t>1700_19B9</t>
  </si>
  <si>
    <t>1700_1BB9</t>
  </si>
  <si>
    <t>1700_1DB9</t>
  </si>
  <si>
    <t>1700_1FB9</t>
  </si>
  <si>
    <t>1700_21B9</t>
  </si>
  <si>
    <t>1700_23B9</t>
  </si>
  <si>
    <t>1700_25B9</t>
  </si>
  <si>
    <t>1700_27B9</t>
  </si>
  <si>
    <t>1700_29B9</t>
  </si>
  <si>
    <t>1700_2BB9</t>
  </si>
  <si>
    <t>1700_2DB9</t>
  </si>
  <si>
    <t>1700_2FB9</t>
  </si>
  <si>
    <t>1700_31B9</t>
  </si>
  <si>
    <t>1700_33B9</t>
  </si>
  <si>
    <t>1700_35B9</t>
  </si>
  <si>
    <t>1700_37B9</t>
  </si>
  <si>
    <t>1700_39B9</t>
  </si>
  <si>
    <t>1700_3BB9</t>
  </si>
  <si>
    <t>1700_3DB9</t>
  </si>
  <si>
    <t>1700_3FB9</t>
  </si>
  <si>
    <t>1700_41B9</t>
  </si>
  <si>
    <t>1700_43B9</t>
  </si>
  <si>
    <t>1700_45B9</t>
  </si>
  <si>
    <t>1700_47B9</t>
  </si>
  <si>
    <t>1700_49B9</t>
  </si>
  <si>
    <t>1700_4BB9</t>
  </si>
  <si>
    <t>1700_4DB9</t>
  </si>
  <si>
    <t>1700_4FB9</t>
  </si>
  <si>
    <t>1700_51B9</t>
  </si>
  <si>
    <t>1700_53B9</t>
  </si>
  <si>
    <t>1700_55B9</t>
  </si>
  <si>
    <t>1700_57B9</t>
  </si>
  <si>
    <t>1700_59B9</t>
  </si>
  <si>
    <t>1700_5BB9</t>
  </si>
  <si>
    <t>1700_5DB9</t>
  </si>
  <si>
    <t>1700_5FB9</t>
  </si>
  <si>
    <t>1700_61B9</t>
  </si>
  <si>
    <t>1700_63B9</t>
  </si>
  <si>
    <t>1700_65B9</t>
  </si>
  <si>
    <t>1700_67B9</t>
  </si>
  <si>
    <t>1700_69B9</t>
  </si>
  <si>
    <t>1700_6BB9</t>
  </si>
  <si>
    <t>1700_6DB9</t>
  </si>
  <si>
    <t>1700_6FB9</t>
  </si>
  <si>
    <t>1700_71B9</t>
  </si>
  <si>
    <t>1700_73B9</t>
  </si>
  <si>
    <t>1700_75B9</t>
  </si>
  <si>
    <t>1700_77B9</t>
  </si>
  <si>
    <t>1700_79B9</t>
  </si>
  <si>
    <t>1700_7BB9</t>
  </si>
  <si>
    <t>1700_7DB9</t>
  </si>
  <si>
    <t>1700_7FB9</t>
  </si>
  <si>
    <t>1700_01BA</t>
  </si>
  <si>
    <t>1700_03BA</t>
  </si>
  <si>
    <t>1700_05BA</t>
  </si>
  <si>
    <t>1700_07BA</t>
  </si>
  <si>
    <t>1700_09BA</t>
  </si>
  <si>
    <t>1700_0BBA</t>
  </si>
  <si>
    <t>1700_0DBA</t>
  </si>
  <si>
    <t>1700_0FBA</t>
  </si>
  <si>
    <t>1700_11BA</t>
  </si>
  <si>
    <t>1700_13BA</t>
  </si>
  <si>
    <t>1700_15BA</t>
  </si>
  <si>
    <t>1700_17BA</t>
  </si>
  <si>
    <t>1700_19BA</t>
  </si>
  <si>
    <t>1700_1BBA</t>
  </si>
  <si>
    <t>1700_1DBA</t>
  </si>
  <si>
    <t>1700_1FBA</t>
  </si>
  <si>
    <t>1700_21BA</t>
  </si>
  <si>
    <t>1700_23BA</t>
  </si>
  <si>
    <t>1700_25BA</t>
  </si>
  <si>
    <t>1700_27BA</t>
  </si>
  <si>
    <t>1700_29BA</t>
  </si>
  <si>
    <t>1700_2BBA</t>
  </si>
  <si>
    <t>1700_2DBA</t>
  </si>
  <si>
    <t>1700_2FBA</t>
  </si>
  <si>
    <t>1700_31BA</t>
  </si>
  <si>
    <t>1700_33BA</t>
  </si>
  <si>
    <t>1700_35BA</t>
  </si>
  <si>
    <t>1700_37BA</t>
  </si>
  <si>
    <t>1700_39BA</t>
  </si>
  <si>
    <t>1700_3BBA</t>
  </si>
  <si>
    <t>1700_3DBA</t>
  </si>
  <si>
    <t>1700_3FBA</t>
  </si>
  <si>
    <t>1700_41BA</t>
  </si>
  <si>
    <t>1700_43BA</t>
  </si>
  <si>
    <t>1700_45BA</t>
  </si>
  <si>
    <t>1700_47BA</t>
  </si>
  <si>
    <t>1700_49BA</t>
  </si>
  <si>
    <t>1700_4BBA</t>
  </si>
  <si>
    <t>1700_4DBA</t>
  </si>
  <si>
    <t>1700_4FBA</t>
  </si>
  <si>
    <t>1700_51BA</t>
  </si>
  <si>
    <t>1700_53BA</t>
  </si>
  <si>
    <t>1700_55BA</t>
  </si>
  <si>
    <t>1700_57BA</t>
  </si>
  <si>
    <t>1700_59BA</t>
  </si>
  <si>
    <t>1700_5BBA</t>
  </si>
  <si>
    <t>1700_5DBA</t>
  </si>
  <si>
    <t>1700_5FBA</t>
  </si>
  <si>
    <t>1700_61BA</t>
  </si>
  <si>
    <t>1700_63BA</t>
  </si>
  <si>
    <t>1700_65BA</t>
  </si>
  <si>
    <t>1700_67BA</t>
  </si>
  <si>
    <t>1700_69BA</t>
  </si>
  <si>
    <t>1700_6BBA</t>
  </si>
  <si>
    <t>1700_6DBA</t>
  </si>
  <si>
    <t>1700_6FBA</t>
  </si>
  <si>
    <t>1700_71BA</t>
  </si>
  <si>
    <t>1700_73BA</t>
  </si>
  <si>
    <t>1700_75BA</t>
  </si>
  <si>
    <t>1700_77BA</t>
  </si>
  <si>
    <t>1700_79BA</t>
  </si>
  <si>
    <t>1700_7BBA</t>
  </si>
  <si>
    <t>1700_7DBA</t>
  </si>
  <si>
    <t>1700_7FBA</t>
  </si>
  <si>
    <t>1700_01BB</t>
  </si>
  <si>
    <t>1700_03BB</t>
  </si>
  <si>
    <t>1700_05BB</t>
  </si>
  <si>
    <t>1700_07BB</t>
  </si>
  <si>
    <t>1700_09BB</t>
  </si>
  <si>
    <t>1700_0BBB</t>
  </si>
  <si>
    <t>1700_0DBB</t>
  </si>
  <si>
    <t>1700_0FBB</t>
  </si>
  <si>
    <t>1700_11BB</t>
  </si>
  <si>
    <t>1700_13BB</t>
  </si>
  <si>
    <t>1700_15BB</t>
  </si>
  <si>
    <t>1700_17BB</t>
  </si>
  <si>
    <t>1700_19BB</t>
  </si>
  <si>
    <t>1700_1BBB</t>
  </si>
  <si>
    <t>1700_1DBB</t>
  </si>
  <si>
    <t>1700_1FBB</t>
  </si>
  <si>
    <t>1700_21BB</t>
  </si>
  <si>
    <t>1700_23BB</t>
  </si>
  <si>
    <t>1700_25BB</t>
  </si>
  <si>
    <t>1700_27BB</t>
  </si>
  <si>
    <t>1700_29BB</t>
  </si>
  <si>
    <t>1700_2BBB</t>
  </si>
  <si>
    <t>1700_2DBB</t>
  </si>
  <si>
    <t>1700_2FBB</t>
  </si>
  <si>
    <t>1700_31BB</t>
  </si>
  <si>
    <t>1700_33BB</t>
  </si>
  <si>
    <t>1700_35BB</t>
  </si>
  <si>
    <t>1700_37BB</t>
  </si>
  <si>
    <t>1700_39BB</t>
  </si>
  <si>
    <t>1700_3BBB</t>
  </si>
  <si>
    <t>1700_3DBB</t>
  </si>
  <si>
    <t>1700_3FBB</t>
  </si>
  <si>
    <t>1700_41BB</t>
  </si>
  <si>
    <t>1700_43BB</t>
  </si>
  <si>
    <t>1700_45BB</t>
  </si>
  <si>
    <t>1700_47BB</t>
  </si>
  <si>
    <t>1700_49BB</t>
  </si>
  <si>
    <t>1700_4BBB</t>
  </si>
  <si>
    <t>1700_4DBB</t>
  </si>
  <si>
    <t>1700_4FBB</t>
  </si>
  <si>
    <t>1700_51BB</t>
  </si>
  <si>
    <t>1700_53BB</t>
  </si>
  <si>
    <t>1700_55BB</t>
  </si>
  <si>
    <t>1700_57BB</t>
  </si>
  <si>
    <t>1700_59BB</t>
  </si>
  <si>
    <t>1700_5BBB</t>
  </si>
  <si>
    <t>1700_5DBB</t>
  </si>
  <si>
    <t>1700_5FBB</t>
  </si>
  <si>
    <t>1700_61BB</t>
  </si>
  <si>
    <t>1700_63BB</t>
  </si>
  <si>
    <t>1700_65BB</t>
  </si>
  <si>
    <t>1700_67BB</t>
  </si>
  <si>
    <t>1700_69BB</t>
  </si>
  <si>
    <t>1700_6BBB</t>
  </si>
  <si>
    <t>1700_6DBB</t>
  </si>
  <si>
    <t>1700_6FBB</t>
  </si>
  <si>
    <t>1700_71BB</t>
  </si>
  <si>
    <t>1700_73BB</t>
  </si>
  <si>
    <t>1700_75BB</t>
  </si>
  <si>
    <t>1700_77BB</t>
  </si>
  <si>
    <t>1700_79BB</t>
  </si>
  <si>
    <t>1700_7BBB</t>
  </si>
  <si>
    <t>1700_7DBB</t>
  </si>
  <si>
    <t>1700_7FBB</t>
  </si>
  <si>
    <t>1700_01BC</t>
  </si>
  <si>
    <t>1700_03BC</t>
  </si>
  <si>
    <t>1700_05BC</t>
  </si>
  <si>
    <t>1700_07BC</t>
  </si>
  <si>
    <t>1700_09BC</t>
  </si>
  <si>
    <t>1700_0BBC</t>
  </si>
  <si>
    <t>1700_0DBC</t>
  </si>
  <si>
    <t>1700_0FBC</t>
  </si>
  <si>
    <t>1700_11BC</t>
  </si>
  <si>
    <t>1700_13BC</t>
  </si>
  <si>
    <t>1700_15BC</t>
  </si>
  <si>
    <t>1700_17BC</t>
  </si>
  <si>
    <t>1700_19BC</t>
  </si>
  <si>
    <t>1700_1BBC</t>
  </si>
  <si>
    <t>1700_1DBC</t>
  </si>
  <si>
    <t>1700_1FBC</t>
  </si>
  <si>
    <t>1700_21BC</t>
  </si>
  <si>
    <t>1700_23BC</t>
  </si>
  <si>
    <t>1700_25BC</t>
  </si>
  <si>
    <t>1700_27BC</t>
  </si>
  <si>
    <t>1700_29BC</t>
  </si>
  <si>
    <t>1700_2BBC</t>
  </si>
  <si>
    <t>1700_2DBC</t>
  </si>
  <si>
    <t>1700_2FBC</t>
  </si>
  <si>
    <t>1700_31BC</t>
  </si>
  <si>
    <t>1700_33BC</t>
  </si>
  <si>
    <t>1700_35BC</t>
  </si>
  <si>
    <t>1700_37BC</t>
  </si>
  <si>
    <t>1700_39BC</t>
  </si>
  <si>
    <t>1700_3BBC</t>
  </si>
  <si>
    <t>1700_3DBC</t>
  </si>
  <si>
    <t>1700_3FBC</t>
  </si>
  <si>
    <t>1700_41BC</t>
  </si>
  <si>
    <t>1700_43BC</t>
  </si>
  <si>
    <t>1700_45BC</t>
  </si>
  <si>
    <t>1700_47BC</t>
  </si>
  <si>
    <t>1700_49BC</t>
  </si>
  <si>
    <t>1700_4BBC</t>
  </si>
  <si>
    <t>1700_4DBC</t>
  </si>
  <si>
    <t>1700_4FBC</t>
  </si>
  <si>
    <t>1700_51BC</t>
  </si>
  <si>
    <t>1700_53BC</t>
  </si>
  <si>
    <t>1700_55BC</t>
  </si>
  <si>
    <t>1700_57BC</t>
  </si>
  <si>
    <t>1700_59BC</t>
  </si>
  <si>
    <t>1700_5BBC</t>
  </si>
  <si>
    <t>1700_5DBC</t>
  </si>
  <si>
    <t>1700_5FBC</t>
  </si>
  <si>
    <t>1700_61BC</t>
  </si>
  <si>
    <t>1700_63BC</t>
  </si>
  <si>
    <t>1700_65BC</t>
  </si>
  <si>
    <t>1700_67BC</t>
  </si>
  <si>
    <t>1700_69BC</t>
  </si>
  <si>
    <t>1700_6BBC</t>
  </si>
  <si>
    <t>1700_6DBC</t>
  </si>
  <si>
    <t>1700_6FBC</t>
  </si>
  <si>
    <t>1700_71BC</t>
  </si>
  <si>
    <t>1700_73BC</t>
  </si>
  <si>
    <t>1700_75BC</t>
  </si>
  <si>
    <t>1700_77BC</t>
  </si>
  <si>
    <t>1700_79BC</t>
  </si>
  <si>
    <t>1700_7BBC</t>
  </si>
  <si>
    <t>1700_7DBC</t>
  </si>
  <si>
    <t>1700_7FBC</t>
  </si>
  <si>
    <t>1700_01BD</t>
  </si>
  <si>
    <t>1700_03BD</t>
  </si>
  <si>
    <t>1700_05BD</t>
  </si>
  <si>
    <t>1700_07BD</t>
  </si>
  <si>
    <t>1700_09BD</t>
  </si>
  <si>
    <t>1700_0BBD</t>
  </si>
  <si>
    <t>1700_0DBD</t>
  </si>
  <si>
    <t>1700_0FBD</t>
  </si>
  <si>
    <t>1700_11BD</t>
  </si>
  <si>
    <t>1700_13BD</t>
  </si>
  <si>
    <t>1700_15BD</t>
  </si>
  <si>
    <t>1700_17BD</t>
  </si>
  <si>
    <t>1700_19BD</t>
  </si>
  <si>
    <t>1700_1BBD</t>
  </si>
  <si>
    <t>1700_1DBD</t>
  </si>
  <si>
    <t>1700_1FBD</t>
  </si>
  <si>
    <t>1700_21BD</t>
  </si>
  <si>
    <t>1700_23BD</t>
  </si>
  <si>
    <t>1700_25BD</t>
  </si>
  <si>
    <t>1700_27BD</t>
  </si>
  <si>
    <t>1700_29BD</t>
  </si>
  <si>
    <t>1700_2BBD</t>
  </si>
  <si>
    <t>1700_2DBD</t>
  </si>
  <si>
    <t>1700_2FBD</t>
  </si>
  <si>
    <t>1700_31BD</t>
  </si>
  <si>
    <t>1700_33BD</t>
  </si>
  <si>
    <t>1700_35BD</t>
  </si>
  <si>
    <t>1700_37BD</t>
  </si>
  <si>
    <t>1700_39BD</t>
  </si>
  <si>
    <t>1700_3BBD</t>
  </si>
  <si>
    <t>1700_3DBD</t>
  </si>
  <si>
    <t>1700_3FBD</t>
  </si>
  <si>
    <t>1700_41BD</t>
  </si>
  <si>
    <t>1700_43BD</t>
  </si>
  <si>
    <t>1700_45BD</t>
  </si>
  <si>
    <t>1700_47BD</t>
  </si>
  <si>
    <t>1700_49BD</t>
  </si>
  <si>
    <t>1700_4BBD</t>
  </si>
  <si>
    <t>1700_4DBD</t>
  </si>
  <si>
    <t>1700_4FBD</t>
  </si>
  <si>
    <t>1700_51BD</t>
  </si>
  <si>
    <t>1700_53BD</t>
  </si>
  <si>
    <t>1700_55BD</t>
  </si>
  <si>
    <t>1700_57BD</t>
  </si>
  <si>
    <t>1700_59BD</t>
  </si>
  <si>
    <t>1700_5BBD</t>
  </si>
  <si>
    <t>1700_5DBD</t>
  </si>
  <si>
    <t>1700_5FBD</t>
  </si>
  <si>
    <t>1700_61BD</t>
  </si>
  <si>
    <t>1700_63BD</t>
  </si>
  <si>
    <t>1700_65BD</t>
  </si>
  <si>
    <t>1700_67BD</t>
  </si>
  <si>
    <t>1700_69BD</t>
  </si>
  <si>
    <t>1700_6BBD</t>
  </si>
  <si>
    <t>1700_6DBD</t>
  </si>
  <si>
    <t>1700_6FBD</t>
  </si>
  <si>
    <t>1700_71BD</t>
  </si>
  <si>
    <t>1700_73BD</t>
  </si>
  <si>
    <t>1700_75BD</t>
  </si>
  <si>
    <t>1700_77BD</t>
  </si>
  <si>
    <t>1700_79BD</t>
  </si>
  <si>
    <t>1700_7BBD</t>
  </si>
  <si>
    <t>1700_7DBD</t>
  </si>
  <si>
    <t>1700_7FBD</t>
  </si>
  <si>
    <t>1700_01BE</t>
  </si>
  <si>
    <t>1700_03BE</t>
  </si>
  <si>
    <t>1700_05BE</t>
  </si>
  <si>
    <t>1700_07BE</t>
  </si>
  <si>
    <t>1700_09BE</t>
  </si>
  <si>
    <t>1700_0BBE</t>
  </si>
  <si>
    <t>1700_0DBE</t>
  </si>
  <si>
    <t>1700_0FBE</t>
  </si>
  <si>
    <t>1700_11BE</t>
  </si>
  <si>
    <t>1700_13BE</t>
  </si>
  <si>
    <t>1700_15BE</t>
  </si>
  <si>
    <t>1700_17BE</t>
  </si>
  <si>
    <t>1700_19BE</t>
  </si>
  <si>
    <t>1700_1BBE</t>
  </si>
  <si>
    <t>1700_1DBE</t>
  </si>
  <si>
    <t>1700_1FBE</t>
  </si>
  <si>
    <t>1700_21BE</t>
  </si>
  <si>
    <t>1700_23BE</t>
  </si>
  <si>
    <t>1700_25BE</t>
  </si>
  <si>
    <t>1700_27BE</t>
  </si>
  <si>
    <t>1700_29BE</t>
  </si>
  <si>
    <t>1700_2BBE</t>
  </si>
  <si>
    <t>1700_2DBE</t>
  </si>
  <si>
    <t>1700_2FBE</t>
  </si>
  <si>
    <t>1700_31BE</t>
  </si>
  <si>
    <t>1700_33BE</t>
  </si>
  <si>
    <t>1700_35BE</t>
  </si>
  <si>
    <t>1700_37BE</t>
  </si>
  <si>
    <t>1700_39BE</t>
  </si>
  <si>
    <t>1700_3BBE</t>
  </si>
  <si>
    <t>1700_3DBE</t>
  </si>
  <si>
    <t>1700_3FBE</t>
  </si>
  <si>
    <t>1700_41BE</t>
  </si>
  <si>
    <t>1700_43BE</t>
  </si>
  <si>
    <t>1700_45BE</t>
  </si>
  <si>
    <t>1700_47BE</t>
  </si>
  <si>
    <t>1700_49BE</t>
  </si>
  <si>
    <t>1700_4BBE</t>
  </si>
  <si>
    <t>1700_4DBE</t>
  </si>
  <si>
    <t>1700_4FBE</t>
  </si>
  <si>
    <t>1700_51BE</t>
  </si>
  <si>
    <t>1700_53BE</t>
  </si>
  <si>
    <t>1700_55BE</t>
  </si>
  <si>
    <t>1700_57BE</t>
  </si>
  <si>
    <t>1700_59BE</t>
  </si>
  <si>
    <t>1700_5BBE</t>
  </si>
  <si>
    <t>1700_5DBE</t>
  </si>
  <si>
    <t>1700_5FBE</t>
  </si>
  <si>
    <t>1700_61BE</t>
  </si>
  <si>
    <t>1700_63BE</t>
  </si>
  <si>
    <t>1700_65BE</t>
  </si>
  <si>
    <t>1700_67BE</t>
  </si>
  <si>
    <t>1700_69BE</t>
  </si>
  <si>
    <t>1700_6BBE</t>
  </si>
  <si>
    <t>1700_6DBE</t>
  </si>
  <si>
    <t>1700_6FBE</t>
  </si>
  <si>
    <t>1700_71BE</t>
  </si>
  <si>
    <t>1700_73BE</t>
  </si>
  <si>
    <t>1700_75BE</t>
  </si>
  <si>
    <t>1700_77BE</t>
  </si>
  <si>
    <t>1700_79BE</t>
  </si>
  <si>
    <t>1700_7BBE</t>
  </si>
  <si>
    <t>1700_7DBE</t>
  </si>
  <si>
    <t>1700_7FBE</t>
  </si>
  <si>
    <t>1700_01BF</t>
  </si>
  <si>
    <t>1700_03BF</t>
  </si>
  <si>
    <t>1700_05BF</t>
  </si>
  <si>
    <t>1700_07BF</t>
  </si>
  <si>
    <t>1700_09BF</t>
  </si>
  <si>
    <t>1700_0BBF</t>
  </si>
  <si>
    <t>1700_0DBF</t>
  </si>
  <si>
    <t>1700_0FBF</t>
  </si>
  <si>
    <t>1700_11BF</t>
  </si>
  <si>
    <t>1700_13BF</t>
  </si>
  <si>
    <t>1700_15BF</t>
  </si>
  <si>
    <t>1700_17BF</t>
  </si>
  <si>
    <t>1700_19BF</t>
  </si>
  <si>
    <t>1700_1BBF</t>
  </si>
  <si>
    <t>1700_1DBF</t>
  </si>
  <si>
    <t>1700_1FBF</t>
  </si>
  <si>
    <t>1700_21BF</t>
  </si>
  <si>
    <t>1700_23BF</t>
  </si>
  <si>
    <t>1700_25BF</t>
  </si>
  <si>
    <t>1700_27BF</t>
  </si>
  <si>
    <t>1700_29BF</t>
  </si>
  <si>
    <t>1700_2BBF</t>
  </si>
  <si>
    <t>1700_2DBF</t>
  </si>
  <si>
    <t>1700_2FBF</t>
  </si>
  <si>
    <t>1700_31BF</t>
  </si>
  <si>
    <t>1700_33BF</t>
  </si>
  <si>
    <t>1700_35BF</t>
  </si>
  <si>
    <t>1700_37BF</t>
  </si>
  <si>
    <t>1700_39BF</t>
  </si>
  <si>
    <t>1700_3BBF</t>
  </si>
  <si>
    <t>1700_3DBF</t>
  </si>
  <si>
    <t>1700_3FBF</t>
  </si>
  <si>
    <t>1700_41BF</t>
  </si>
  <si>
    <t>1700_43BF</t>
  </si>
  <si>
    <t>1700_45BF</t>
  </si>
  <si>
    <t>1700_47BF</t>
  </si>
  <si>
    <t>1700_49BF</t>
  </si>
  <si>
    <t>1700_4BBF</t>
  </si>
  <si>
    <t>1700_4DBF</t>
  </si>
  <si>
    <t>1700_4FBF</t>
  </si>
  <si>
    <t>1700_51BF</t>
  </si>
  <si>
    <t>1700_53BF</t>
  </si>
  <si>
    <t>1700_55BF</t>
  </si>
  <si>
    <t>1700_57BF</t>
  </si>
  <si>
    <t>1700_59BF</t>
  </si>
  <si>
    <t>1700_5BBF</t>
  </si>
  <si>
    <t>1700_5DBF</t>
  </si>
  <si>
    <t>1700_5FBF</t>
  </si>
  <si>
    <t>1700_61BF</t>
  </si>
  <si>
    <t>1700_63BF</t>
  </si>
  <si>
    <t>1700_65BF</t>
  </si>
  <si>
    <t>1700_67BF</t>
  </si>
  <si>
    <t>1700_69BF</t>
  </si>
  <si>
    <t>1700_6BBF</t>
  </si>
  <si>
    <t>1700_6DBF</t>
  </si>
  <si>
    <t>1700_6FBF</t>
  </si>
  <si>
    <t>1700_71BF</t>
  </si>
  <si>
    <t>1700_73BF</t>
  </si>
  <si>
    <t>1700_75BF</t>
  </si>
  <si>
    <t>1700_77BF</t>
  </si>
  <si>
    <t>1700_79BF</t>
  </si>
  <si>
    <t>1700_7BBF</t>
  </si>
  <si>
    <t>1700_7DBF</t>
  </si>
  <si>
    <t>1700_7FBF</t>
  </si>
  <si>
    <t>1700_01C0</t>
  </si>
  <si>
    <t>1700_03C0</t>
  </si>
  <si>
    <t>1700_05C0</t>
  </si>
  <si>
    <t>1700_07C0</t>
  </si>
  <si>
    <t>1700_09C0</t>
  </si>
  <si>
    <t>1700_0BC0</t>
  </si>
  <si>
    <t>1700_0DC0</t>
  </si>
  <si>
    <t>1700_0FC0</t>
  </si>
  <si>
    <t>1700_11C0</t>
  </si>
  <si>
    <t>1700_13C0</t>
  </si>
  <si>
    <t>1700_15C0</t>
  </si>
  <si>
    <t>1700_17C0</t>
  </si>
  <si>
    <t>1700_19C0</t>
  </si>
  <si>
    <t>1700_1BC0</t>
  </si>
  <si>
    <t>1700_1DC0</t>
  </si>
  <si>
    <t>1700_1FC0</t>
  </si>
  <si>
    <t>1700_21C0</t>
  </si>
  <si>
    <t>1700_23C0</t>
  </si>
  <si>
    <t>1700_25C0</t>
  </si>
  <si>
    <t>1700_27C0</t>
  </si>
  <si>
    <t>1700_29C0</t>
  </si>
  <si>
    <t>1700_2BC0</t>
  </si>
  <si>
    <t>1700_2DC0</t>
  </si>
  <si>
    <t>1700_2FC0</t>
  </si>
  <si>
    <t>1700_31C0</t>
  </si>
  <si>
    <t>1700_33C0</t>
  </si>
  <si>
    <t>1700_35C0</t>
  </si>
  <si>
    <t>1700_37C0</t>
  </si>
  <si>
    <t>1700_39C0</t>
  </si>
  <si>
    <t>1700_3BC0</t>
  </si>
  <si>
    <t>1700_3DC0</t>
  </si>
  <si>
    <t>1700_3FC0</t>
  </si>
  <si>
    <t>1700_41C0</t>
  </si>
  <si>
    <t>1700_43C0</t>
  </si>
  <si>
    <t>1700_45C0</t>
  </si>
  <si>
    <t>1700_47C0</t>
  </si>
  <si>
    <t>1700_49C0</t>
  </si>
  <si>
    <t>1700_4BC0</t>
  </si>
  <si>
    <t>1700_4DC0</t>
  </si>
  <si>
    <t>1700_4FC0</t>
  </si>
  <si>
    <t>1700_51C0</t>
  </si>
  <si>
    <t>1700_53C0</t>
  </si>
  <si>
    <t>1700_55C0</t>
  </si>
  <si>
    <t>1700_57C0</t>
  </si>
  <si>
    <t>1700_59C0</t>
  </si>
  <si>
    <t>1700_5BC0</t>
  </si>
  <si>
    <t>1700_5DC0</t>
  </si>
  <si>
    <t>1700_5FC0</t>
  </si>
  <si>
    <t>1700_61C0</t>
  </si>
  <si>
    <t>1700_63C0</t>
  </si>
  <si>
    <t>1700_65C0</t>
  </si>
  <si>
    <t>1700_67C0</t>
  </si>
  <si>
    <t>1700_69C0</t>
  </si>
  <si>
    <t>1700_6BC0</t>
  </si>
  <si>
    <t>1700_6DC0</t>
  </si>
  <si>
    <t>1700_6FC0</t>
  </si>
  <si>
    <t>1700_71C0</t>
  </si>
  <si>
    <t>1700_73C0</t>
  </si>
  <si>
    <t>1700_75C0</t>
  </si>
  <si>
    <t>1700_77C0</t>
  </si>
  <si>
    <t>1700_79C0</t>
  </si>
  <si>
    <t>1700_7BC0</t>
  </si>
  <si>
    <t>1700_7DC0</t>
  </si>
  <si>
    <t>1700_7FC0</t>
  </si>
  <si>
    <t>1700_01C1</t>
  </si>
  <si>
    <t>1700_03C1</t>
  </si>
  <si>
    <t>1700_05C1</t>
  </si>
  <si>
    <t>1700_07C1</t>
  </si>
  <si>
    <t>1700_09C1</t>
  </si>
  <si>
    <t>1700_0BC1</t>
  </si>
  <si>
    <t>1700_0DC1</t>
  </si>
  <si>
    <t>1700_0FC1</t>
  </si>
  <si>
    <t>1700_11C1</t>
  </si>
  <si>
    <t>1700_13C1</t>
  </si>
  <si>
    <t>1700_15C1</t>
  </si>
  <si>
    <t>1700_17C1</t>
  </si>
  <si>
    <t>1700_19C1</t>
  </si>
  <si>
    <t>1700_1BC1</t>
  </si>
  <si>
    <t>1700_1DC1</t>
  </si>
  <si>
    <t>1700_1FC1</t>
  </si>
  <si>
    <t>1700_21C1</t>
  </si>
  <si>
    <t>1700_23C1</t>
  </si>
  <si>
    <t>1700_25C1</t>
  </si>
  <si>
    <t>1700_27C1</t>
  </si>
  <si>
    <t>1700_29C1</t>
  </si>
  <si>
    <t>1700_2BC1</t>
  </si>
  <si>
    <t>1700_2DC1</t>
  </si>
  <si>
    <t>1700_2FC1</t>
  </si>
  <si>
    <t>1700_31C1</t>
  </si>
  <si>
    <t>1700_33C1</t>
  </si>
  <si>
    <t>1700_35C1</t>
  </si>
  <si>
    <t>1700_37C1</t>
  </si>
  <si>
    <t>1700_39C1</t>
  </si>
  <si>
    <t>1700_3BC1</t>
  </si>
  <si>
    <t>1700_3DC1</t>
  </si>
  <si>
    <t>1700_3FC1</t>
  </si>
  <si>
    <t>1700_41C1</t>
  </si>
  <si>
    <t>1700_43C1</t>
  </si>
  <si>
    <t>1700_45C1</t>
  </si>
  <si>
    <t>1700_47C1</t>
  </si>
  <si>
    <t>1700_49C1</t>
  </si>
  <si>
    <t>1700_4BC1</t>
  </si>
  <si>
    <t>1700_4DC1</t>
  </si>
  <si>
    <t>1700_4FC1</t>
  </si>
  <si>
    <t>1700_51C1</t>
  </si>
  <si>
    <t>1700_53C1</t>
  </si>
  <si>
    <t>1700_55C1</t>
  </si>
  <si>
    <t>1700_57C1</t>
  </si>
  <si>
    <t>1700_59C1</t>
  </si>
  <si>
    <t>1700_5BC1</t>
  </si>
  <si>
    <t>1700_5DC1</t>
  </si>
  <si>
    <t>1700_5FC1</t>
  </si>
  <si>
    <t>1700_61C1</t>
  </si>
  <si>
    <t>1700_63C1</t>
  </si>
  <si>
    <t>1700_65C1</t>
  </si>
  <si>
    <t>1700_67C1</t>
  </si>
  <si>
    <t>1700_69C1</t>
  </si>
  <si>
    <t>1700_6BC1</t>
  </si>
  <si>
    <t>1700_6DC1</t>
  </si>
  <si>
    <t>1700_6FC1</t>
  </si>
  <si>
    <t>1700_71C1</t>
  </si>
  <si>
    <t>1700_73C1</t>
  </si>
  <si>
    <t>1700_75C1</t>
  </si>
  <si>
    <t>1700_77C1</t>
  </si>
  <si>
    <t>1700_79C1</t>
  </si>
  <si>
    <t>1700_7BC1</t>
  </si>
  <si>
    <t>1700_7DC1</t>
  </si>
  <si>
    <t>1700_7FC1</t>
  </si>
  <si>
    <t>1700_01C2</t>
  </si>
  <si>
    <t>1700_03C2</t>
  </si>
  <si>
    <t>1700_05C2</t>
  </si>
  <si>
    <t>1700_07C2</t>
  </si>
  <si>
    <t>1700_09C2</t>
  </si>
  <si>
    <t>1700_0BC2</t>
  </si>
  <si>
    <t>1700_0DC2</t>
  </si>
  <si>
    <t>1700_0FC2</t>
  </si>
  <si>
    <t>1700_11C2</t>
  </si>
  <si>
    <t>1700_13C2</t>
  </si>
  <si>
    <t>1700_15C2</t>
  </si>
  <si>
    <t>1700_17C2</t>
  </si>
  <si>
    <t>1700_19C2</t>
  </si>
  <si>
    <t>1700_1BC2</t>
  </si>
  <si>
    <t>1700_1DC2</t>
  </si>
  <si>
    <t>1700_1FC2</t>
  </si>
  <si>
    <t>1700_21C2</t>
  </si>
  <si>
    <t>1700_23C2</t>
  </si>
  <si>
    <t>1700_25C2</t>
  </si>
  <si>
    <t>1700_27C2</t>
  </si>
  <si>
    <t>1700_29C2</t>
  </si>
  <si>
    <t>1700_2BC2</t>
  </si>
  <si>
    <t>1700_2DC2</t>
  </si>
  <si>
    <t>1700_2FC2</t>
  </si>
  <si>
    <t>1700_31C2</t>
  </si>
  <si>
    <t>1700_33C2</t>
  </si>
  <si>
    <t>1700_35C2</t>
  </si>
  <si>
    <t>1700_37C2</t>
  </si>
  <si>
    <t>1700_39C2</t>
  </si>
  <si>
    <t>1700_3BC2</t>
  </si>
  <si>
    <t>1700_3DC2</t>
  </si>
  <si>
    <t>1700_3FC2</t>
  </si>
  <si>
    <t>1700_41C2</t>
  </si>
  <si>
    <t>1700_43C2</t>
  </si>
  <si>
    <t>1700_45C2</t>
  </si>
  <si>
    <t>1700_47C2</t>
  </si>
  <si>
    <t>1700_49C2</t>
  </si>
  <si>
    <t>1700_4BC2</t>
  </si>
  <si>
    <t>1700_4DC2</t>
  </si>
  <si>
    <t>1700_4FC2</t>
  </si>
  <si>
    <t>1700_51C2</t>
  </si>
  <si>
    <t>1700_53C2</t>
  </si>
  <si>
    <t>1700_55C2</t>
  </si>
  <si>
    <t>1700_57C2</t>
  </si>
  <si>
    <t>1700_59C2</t>
  </si>
  <si>
    <t>1700_5BC2</t>
  </si>
  <si>
    <t>1700_5DC2</t>
  </si>
  <si>
    <t>1700_5FC2</t>
  </si>
  <si>
    <t>1700_61C2</t>
  </si>
  <si>
    <t>1700_63C2</t>
  </si>
  <si>
    <t>1700_65C2</t>
  </si>
  <si>
    <t>1700_67C2</t>
  </si>
  <si>
    <t>1700_69C2</t>
  </si>
  <si>
    <t>1700_6BC2</t>
  </si>
  <si>
    <t>1700_6DC2</t>
  </si>
  <si>
    <t>1700_6FC2</t>
  </si>
  <si>
    <t>1700_71C2</t>
  </si>
  <si>
    <t>1700_73C2</t>
  </si>
  <si>
    <t>1700_75C2</t>
  </si>
  <si>
    <t>1700_77C2</t>
  </si>
  <si>
    <t>1700_79C2</t>
  </si>
  <si>
    <t>1700_7BC2</t>
  </si>
  <si>
    <t>1700_7DC2</t>
  </si>
  <si>
    <t>1700_7FC2</t>
  </si>
  <si>
    <t>1700_01C3</t>
  </si>
  <si>
    <t>1700_03C3</t>
  </si>
  <si>
    <t>1700_05C3</t>
  </si>
  <si>
    <t>1700_07C3</t>
  </si>
  <si>
    <t>1700_09C3</t>
  </si>
  <si>
    <t>1700_0BC3</t>
  </si>
  <si>
    <t>1700_0DC3</t>
  </si>
  <si>
    <t>1700_0FC3</t>
  </si>
  <si>
    <t>1700_11C3</t>
  </si>
  <si>
    <t>1700_13C3</t>
  </si>
  <si>
    <t>1700_15C3</t>
  </si>
  <si>
    <t>1700_17C3</t>
  </si>
  <si>
    <t>1700_19C3</t>
  </si>
  <si>
    <t>1700_1BC3</t>
  </si>
  <si>
    <t>1700_1DC3</t>
  </si>
  <si>
    <t>1700_1FC3</t>
  </si>
  <si>
    <t>1700_21C3</t>
  </si>
  <si>
    <t>1700_23C3</t>
  </si>
  <si>
    <t>1700_25C3</t>
  </si>
  <si>
    <t>1700_27C3</t>
  </si>
  <si>
    <t>1700_29C3</t>
  </si>
  <si>
    <t>1700_2BC3</t>
  </si>
  <si>
    <t>1700_2DC3</t>
  </si>
  <si>
    <t>1700_2FC3</t>
  </si>
  <si>
    <t>1700_31C3</t>
  </si>
  <si>
    <t>1700_33C3</t>
  </si>
  <si>
    <t>1700_35C3</t>
  </si>
  <si>
    <t>1700_37C3</t>
  </si>
  <si>
    <t>1700_39C3</t>
  </si>
  <si>
    <t>1700_3BC3</t>
  </si>
  <si>
    <t>1700_3DC3</t>
  </si>
  <si>
    <t>1700_3FC3</t>
  </si>
  <si>
    <t>1700_41C3</t>
  </si>
  <si>
    <t>1700_43C3</t>
  </si>
  <si>
    <t>1700_45C3</t>
  </si>
  <si>
    <t>1700_47C3</t>
  </si>
  <si>
    <t>1700_49C3</t>
  </si>
  <si>
    <t>1700_4BC3</t>
  </si>
  <si>
    <t>1700_4DC3</t>
  </si>
  <si>
    <t>1700_4FC3</t>
  </si>
  <si>
    <t>1700_51C3</t>
  </si>
  <si>
    <t>1700_53C3</t>
  </si>
  <si>
    <t>1700_55C3</t>
  </si>
  <si>
    <t>1700_57C3</t>
  </si>
  <si>
    <t>1700_59C3</t>
  </si>
  <si>
    <t>1700_5BC3</t>
  </si>
  <si>
    <t>1700_5DC3</t>
  </si>
  <si>
    <t>1700_5FC3</t>
  </si>
  <si>
    <t>1700_61C3</t>
  </si>
  <si>
    <t>1700_63C3</t>
  </si>
  <si>
    <t>1700_65C3</t>
  </si>
  <si>
    <t>1700_67C3</t>
  </si>
  <si>
    <t>1700_69C3</t>
  </si>
  <si>
    <t>1700_6BC3</t>
  </si>
  <si>
    <t>1700_6DC3</t>
  </si>
  <si>
    <t>1700_6FC3</t>
  </si>
  <si>
    <t>1700_71C3</t>
  </si>
  <si>
    <t>1700_73C3</t>
  </si>
  <si>
    <t>1700_75C3</t>
  </si>
  <si>
    <t>1700_77C3</t>
  </si>
  <si>
    <t>1700_79C3</t>
  </si>
  <si>
    <t>1700_7BC3</t>
  </si>
  <si>
    <t>1700_7DC3</t>
  </si>
  <si>
    <t>1700_7FC3</t>
  </si>
  <si>
    <t>1700_01C4</t>
  </si>
  <si>
    <t>1700_03C4</t>
  </si>
  <si>
    <t>1700_05C4</t>
  </si>
  <si>
    <t>1700_07C4</t>
  </si>
  <si>
    <t>1700_09C4</t>
  </si>
  <si>
    <t>1700_0BC4</t>
  </si>
  <si>
    <t>1700_0DC4</t>
  </si>
  <si>
    <t>1700_0FC4</t>
  </si>
  <si>
    <t>1700_11C4</t>
  </si>
  <si>
    <t>1700_13C4</t>
  </si>
  <si>
    <t>1700_15C4</t>
  </si>
  <si>
    <t>1700_17C4</t>
  </si>
  <si>
    <t>1700_19C4</t>
  </si>
  <si>
    <t>1700_1BC4</t>
  </si>
  <si>
    <t>1700_1DC4</t>
  </si>
  <si>
    <t>1700_1FC4</t>
  </si>
  <si>
    <t>1700_21C4</t>
  </si>
  <si>
    <t>1700_23C4</t>
  </si>
  <si>
    <t>1700_25C4</t>
  </si>
  <si>
    <t>1700_27C4</t>
  </si>
  <si>
    <t>1700_29C4</t>
  </si>
  <si>
    <t>1700_2BC4</t>
  </si>
  <si>
    <t>1700_2DC4</t>
  </si>
  <si>
    <t>1700_2FC4</t>
  </si>
  <si>
    <t>1700_31C4</t>
  </si>
  <si>
    <t>1700_33C4</t>
  </si>
  <si>
    <t>1700_35C4</t>
  </si>
  <si>
    <t>1700_37C4</t>
  </si>
  <si>
    <t>1700_39C4</t>
  </si>
  <si>
    <t>1700_3BC4</t>
  </si>
  <si>
    <t>1700_3DC4</t>
  </si>
  <si>
    <t>1700_3FC4</t>
  </si>
  <si>
    <t>1700_41C4</t>
  </si>
  <si>
    <t>1700_43C4</t>
  </si>
  <si>
    <t>1700_45C4</t>
  </si>
  <si>
    <t>1700_47C4</t>
  </si>
  <si>
    <t>1700_49C4</t>
  </si>
  <si>
    <t>1700_4BC4</t>
  </si>
  <si>
    <t>1700_4DC4</t>
  </si>
  <si>
    <t>1700_4FC4</t>
  </si>
  <si>
    <t>1700_51C4</t>
  </si>
  <si>
    <t>1700_53C4</t>
  </si>
  <si>
    <t>1700_55C4</t>
  </si>
  <si>
    <t>1700_57C4</t>
  </si>
  <si>
    <t>1700_59C4</t>
  </si>
  <si>
    <t>1700_5BC4</t>
  </si>
  <si>
    <t>1700_5DC4</t>
  </si>
  <si>
    <t>1700_5FC4</t>
  </si>
  <si>
    <t>1700_61C4</t>
  </si>
  <si>
    <t>1700_63C4</t>
  </si>
  <si>
    <t>1700_65C4</t>
  </si>
  <si>
    <t>1700_67C4</t>
  </si>
  <si>
    <t>1700_69C4</t>
  </si>
  <si>
    <t>1700_6BC4</t>
  </si>
  <si>
    <t>1700_6DC4</t>
  </si>
  <si>
    <t>1700_6FC4</t>
  </si>
  <si>
    <t>1700_71C4</t>
  </si>
  <si>
    <t>1700_73C4</t>
  </si>
  <si>
    <t>1700_75C4</t>
  </si>
  <si>
    <t>1700_77C4</t>
  </si>
  <si>
    <t>1700_79C4</t>
  </si>
  <si>
    <t>1700_7BC4</t>
  </si>
  <si>
    <t>1700_7DC4</t>
  </si>
  <si>
    <t>1700_7FC4</t>
  </si>
  <si>
    <t>1700_01C5</t>
  </si>
  <si>
    <t>1700_03C5</t>
  </si>
  <si>
    <t>1700_05C5</t>
  </si>
  <si>
    <t>1700_07C5</t>
  </si>
  <si>
    <t>1700_09C5</t>
  </si>
  <si>
    <t>1700_0BC5</t>
  </si>
  <si>
    <t>1700_0DC5</t>
  </si>
  <si>
    <t>1700_0FC5</t>
  </si>
  <si>
    <t>1700_11C5</t>
  </si>
  <si>
    <t>1700_13C5</t>
  </si>
  <si>
    <t>1700_15C5</t>
  </si>
  <si>
    <t>1700_17C5</t>
  </si>
  <si>
    <t>1700_19C5</t>
  </si>
  <si>
    <t>1700_1BC5</t>
  </si>
  <si>
    <t>1700_1DC5</t>
  </si>
  <si>
    <t>1700_1FC5</t>
  </si>
  <si>
    <t>1700_21C5</t>
  </si>
  <si>
    <t>1700_23C5</t>
  </si>
  <si>
    <t>1700_25C5</t>
  </si>
  <si>
    <t>1700_27C5</t>
  </si>
  <si>
    <t>1700_29C5</t>
  </si>
  <si>
    <t>1700_2BC5</t>
  </si>
  <si>
    <t>1700_2DC5</t>
  </si>
  <si>
    <t>1700_2FC5</t>
  </si>
  <si>
    <t>1700_31C5</t>
  </si>
  <si>
    <t>1700_33C5</t>
  </si>
  <si>
    <t>1700_35C5</t>
  </si>
  <si>
    <t>1700_37C5</t>
  </si>
  <si>
    <t>1700_39C5</t>
  </si>
  <si>
    <t>1700_3BC5</t>
  </si>
  <si>
    <t>1700_3DC5</t>
  </si>
  <si>
    <t>1700_3FC5</t>
  </si>
  <si>
    <t>1700_41C5</t>
  </si>
  <si>
    <t>1700_43C5</t>
  </si>
  <si>
    <t>1700_45C5</t>
  </si>
  <si>
    <t>1700_47C5</t>
  </si>
  <si>
    <t>1700_49C5</t>
  </si>
  <si>
    <t>1700_4BC5</t>
  </si>
  <si>
    <t>1700_4DC5</t>
  </si>
  <si>
    <t>1700_4FC5</t>
  </si>
  <si>
    <t>1700_51C5</t>
  </si>
  <si>
    <t>1700_53C5</t>
  </si>
  <si>
    <t>1700_55C5</t>
  </si>
  <si>
    <t>1700_57C5</t>
  </si>
  <si>
    <t>1700_59C5</t>
  </si>
  <si>
    <t>1700_5BC5</t>
  </si>
  <si>
    <t>1700_5DC5</t>
  </si>
  <si>
    <t>1700_5FC5</t>
  </si>
  <si>
    <t>1700_61C5</t>
  </si>
  <si>
    <t>1700_63C5</t>
  </si>
  <si>
    <t>1700_65C5</t>
  </si>
  <si>
    <t>1700_67C5</t>
  </si>
  <si>
    <t>1700_69C5</t>
  </si>
  <si>
    <t>1700_6BC5</t>
  </si>
  <si>
    <t>1700_6DC5</t>
  </si>
  <si>
    <t>1700_6FC5</t>
  </si>
  <si>
    <t>1700_71C5</t>
  </si>
  <si>
    <t>1700_73C5</t>
  </si>
  <si>
    <t>1700_75C5</t>
  </si>
  <si>
    <t>1700_77C5</t>
  </si>
  <si>
    <t>1700_79C5</t>
  </si>
  <si>
    <t>1700_7BC5</t>
  </si>
  <si>
    <t>1700_7DC5</t>
  </si>
  <si>
    <t>1700_7FC5</t>
  </si>
  <si>
    <t>1700_01C6</t>
  </si>
  <si>
    <t>1700_03C6</t>
  </si>
  <si>
    <t>1700_05C6</t>
  </si>
  <si>
    <t>1700_07C6</t>
  </si>
  <si>
    <t>1700_09C6</t>
  </si>
  <si>
    <t>1700_0BC6</t>
  </si>
  <si>
    <t>1700_0DC6</t>
  </si>
  <si>
    <t>1700_0FC6</t>
  </si>
  <si>
    <t>1700_11C6</t>
  </si>
  <si>
    <t>1700_13C6</t>
  </si>
  <si>
    <t>1700_15C6</t>
  </si>
  <si>
    <t>1700_17C6</t>
  </si>
  <si>
    <t>1700_19C6</t>
  </si>
  <si>
    <t>1700_1BC6</t>
  </si>
  <si>
    <t>1700_1DC6</t>
  </si>
  <si>
    <t>1700_1FC6</t>
  </si>
  <si>
    <t>1700_21C6</t>
  </si>
  <si>
    <t>1700_23C6</t>
  </si>
  <si>
    <t>1700_25C6</t>
  </si>
  <si>
    <t>1700_27C6</t>
  </si>
  <si>
    <t>1700_29C6</t>
  </si>
  <si>
    <t>1700_2BC6</t>
  </si>
  <si>
    <t>1700_2DC6</t>
  </si>
  <si>
    <t>1700_2FC6</t>
  </si>
  <si>
    <t>1700_31C6</t>
  </si>
  <si>
    <t>1700_33C6</t>
  </si>
  <si>
    <t>1700_35C6</t>
  </si>
  <si>
    <t>1700_37C6</t>
  </si>
  <si>
    <t>1700_39C6</t>
  </si>
  <si>
    <t>1700_3BC6</t>
  </si>
  <si>
    <t>1700_3DC6</t>
  </si>
  <si>
    <t>1700_3FC6</t>
  </si>
  <si>
    <t>1700_41C6</t>
  </si>
  <si>
    <t>1700_43C6</t>
  </si>
  <si>
    <t>1700_45C6</t>
  </si>
  <si>
    <t>1700_47C6</t>
  </si>
  <si>
    <t>1700_49C6</t>
  </si>
  <si>
    <t>1700_4BC6</t>
  </si>
  <si>
    <t>1700_4DC6</t>
  </si>
  <si>
    <t>1700_4FC6</t>
  </si>
  <si>
    <t>1700_51C6</t>
  </si>
  <si>
    <t>1700_53C6</t>
  </si>
  <si>
    <t>1700_55C6</t>
  </si>
  <si>
    <t>1700_57C6</t>
  </si>
  <si>
    <t>1700_59C6</t>
  </si>
  <si>
    <t>1700_5BC6</t>
  </si>
  <si>
    <t>1700_5DC6</t>
  </si>
  <si>
    <t>1700_5FC6</t>
  </si>
  <si>
    <t>1700_61C6</t>
  </si>
  <si>
    <t>1700_63C6</t>
  </si>
  <si>
    <t>1700_65C6</t>
  </si>
  <si>
    <t>1700_67C6</t>
  </si>
  <si>
    <t>1700_69C6</t>
  </si>
  <si>
    <t>1700_6BC6</t>
  </si>
  <si>
    <t>1700_6DC6</t>
  </si>
  <si>
    <t>1700_6FC6</t>
  </si>
  <si>
    <t>1700_71C6</t>
  </si>
  <si>
    <t>1700_73C6</t>
  </si>
  <si>
    <t>1700_75C6</t>
  </si>
  <si>
    <t>1700_77C6</t>
  </si>
  <si>
    <t>1700_79C6</t>
  </si>
  <si>
    <t>1700_7BC6</t>
  </si>
  <si>
    <t>1700_7DC6</t>
  </si>
  <si>
    <t>1700_7FC6</t>
  </si>
  <si>
    <t>1700_01C7</t>
  </si>
  <si>
    <t>1700_03C7</t>
  </si>
  <si>
    <t>1700_05C7</t>
  </si>
  <si>
    <t>1700_07C7</t>
  </si>
  <si>
    <t>1700_09C7</t>
  </si>
  <si>
    <t>1700_0BC7</t>
  </si>
  <si>
    <t>1700_0DC7</t>
  </si>
  <si>
    <t>1700_0FC7</t>
  </si>
  <si>
    <t>1700_11C7</t>
  </si>
  <si>
    <t>1700_13C7</t>
  </si>
  <si>
    <t>1700_15C7</t>
  </si>
  <si>
    <t>1700_17C7</t>
  </si>
  <si>
    <t>1700_19C7</t>
  </si>
  <si>
    <t>1700_1BC7</t>
  </si>
  <si>
    <t>1700_1DC7</t>
  </si>
  <si>
    <t>1700_1FC7</t>
  </si>
  <si>
    <t>1700_21C7</t>
  </si>
  <si>
    <t>1700_23C7</t>
  </si>
  <si>
    <t>1700_25C7</t>
  </si>
  <si>
    <t>1700_27C7</t>
  </si>
  <si>
    <t>1700_29C7</t>
  </si>
  <si>
    <t>1700_2BC7</t>
  </si>
  <si>
    <t>1700_2DC7</t>
  </si>
  <si>
    <t>1700_2FC7</t>
  </si>
  <si>
    <t>1700_31C7</t>
  </si>
  <si>
    <t>1700_33C7</t>
  </si>
  <si>
    <t>1700_35C7</t>
  </si>
  <si>
    <t>1700_37C7</t>
  </si>
  <si>
    <t>1700_39C7</t>
  </si>
  <si>
    <t>1700_3BC7</t>
  </si>
  <si>
    <t>1700_3DC7</t>
  </si>
  <si>
    <t>1700_3FC7</t>
  </si>
  <si>
    <t>1700_41C7</t>
  </si>
  <si>
    <t>1700_43C7</t>
  </si>
  <si>
    <t>1700_45C7</t>
  </si>
  <si>
    <t>1700_47C7</t>
  </si>
  <si>
    <t>1700_49C7</t>
  </si>
  <si>
    <t>1700_4BC7</t>
  </si>
  <si>
    <t>1700_4DC7</t>
  </si>
  <si>
    <t>1700_4FC7</t>
  </si>
  <si>
    <t>1700_51C7</t>
  </si>
  <si>
    <t>1700_53C7</t>
  </si>
  <si>
    <t>1700_55C7</t>
  </si>
  <si>
    <t>1700_57C7</t>
  </si>
  <si>
    <t>1700_59C7</t>
  </si>
  <si>
    <t>1700_5BC7</t>
  </si>
  <si>
    <t>1700_5DC7</t>
  </si>
  <si>
    <t>1700_5FC7</t>
  </si>
  <si>
    <t>1700_61C7</t>
  </si>
  <si>
    <t>1700_63C7</t>
  </si>
  <si>
    <t>1700_65C7</t>
  </si>
  <si>
    <t>1700_67C7</t>
  </si>
  <si>
    <t>1700_69C7</t>
  </si>
  <si>
    <t>1700_6BC7</t>
  </si>
  <si>
    <t>1700_6DC7</t>
  </si>
  <si>
    <t>1700_6FC7</t>
  </si>
  <si>
    <t>1700_71C7</t>
  </si>
  <si>
    <t>1700_73C7</t>
  </si>
  <si>
    <t>1700_75C7</t>
  </si>
  <si>
    <t>1700_77C7</t>
  </si>
  <si>
    <t>1700_79C7</t>
  </si>
  <si>
    <t>1700_7BC7</t>
  </si>
  <si>
    <t>1700_7DC7</t>
  </si>
  <si>
    <t>1700_7FC7</t>
  </si>
  <si>
    <t>1700_01C8</t>
  </si>
  <si>
    <t>1700_03C8</t>
  </si>
  <si>
    <t>1700_05C8</t>
  </si>
  <si>
    <t>1700_07C8</t>
  </si>
  <si>
    <t>1700_09C8</t>
  </si>
  <si>
    <t>1700_0BC8</t>
  </si>
  <si>
    <t>1700_0DC8</t>
  </si>
  <si>
    <t>1700_0FC8</t>
  </si>
  <si>
    <t>1700_11C8</t>
  </si>
  <si>
    <t>1700_13C8</t>
  </si>
  <si>
    <t>1700_15C8</t>
  </si>
  <si>
    <t>1700_17C8</t>
  </si>
  <si>
    <t>1700_19C8</t>
  </si>
  <si>
    <t>1700_1BC8</t>
  </si>
  <si>
    <t>1700_1DC8</t>
  </si>
  <si>
    <t>1700_1FC8</t>
  </si>
  <si>
    <t>1700_21C8</t>
  </si>
  <si>
    <t>1700_23C8</t>
  </si>
  <si>
    <t>1700_25C8</t>
  </si>
  <si>
    <t>1700_27C8</t>
  </si>
  <si>
    <t>1700_29C8</t>
  </si>
  <si>
    <t>1700_2BC8</t>
  </si>
  <si>
    <t>1700_2DC8</t>
  </si>
  <si>
    <t>1700_2FC8</t>
  </si>
  <si>
    <t>1700_31C8</t>
  </si>
  <si>
    <t>1700_33C8</t>
  </si>
  <si>
    <t>1700_35C8</t>
  </si>
  <si>
    <t>1700_37C8</t>
  </si>
  <si>
    <t>1700_39C8</t>
  </si>
  <si>
    <t>1700_3BC8</t>
  </si>
  <si>
    <t>1700_3DC8</t>
  </si>
  <si>
    <t>1700_3FC8</t>
  </si>
  <si>
    <t>1700_41C8</t>
  </si>
  <si>
    <t>1700_43C8</t>
  </si>
  <si>
    <t>1700_45C8</t>
  </si>
  <si>
    <t>1700_47C8</t>
  </si>
  <si>
    <t>1700_49C8</t>
  </si>
  <si>
    <t>1700_4BC8</t>
  </si>
  <si>
    <t>1700_4DC8</t>
  </si>
  <si>
    <t>1700_4FC8</t>
  </si>
  <si>
    <t>1700_51C8</t>
  </si>
  <si>
    <t>1700_53C8</t>
  </si>
  <si>
    <t>1700_55C8</t>
  </si>
  <si>
    <t>1700_57C8</t>
  </si>
  <si>
    <t>1700_59C8</t>
  </si>
  <si>
    <t>1700_5BC8</t>
  </si>
  <si>
    <t>1700_5DC8</t>
  </si>
  <si>
    <t>1700_5FC8</t>
  </si>
  <si>
    <t>1700_61C8</t>
  </si>
  <si>
    <t>1700_63C8</t>
  </si>
  <si>
    <t>1700_65C8</t>
  </si>
  <si>
    <t>1700_67C8</t>
  </si>
  <si>
    <t>1700_69C8</t>
  </si>
  <si>
    <t>1700_6BC8</t>
  </si>
  <si>
    <t>1700_6DC8</t>
  </si>
  <si>
    <t>1700_6FC8</t>
  </si>
  <si>
    <t>1700_71C8</t>
  </si>
  <si>
    <t>1700_73C8</t>
  </si>
  <si>
    <t>1700_75C8</t>
  </si>
  <si>
    <t>1700_77C8</t>
  </si>
  <si>
    <t>1700_79C8</t>
  </si>
  <si>
    <t>1700_7BC8</t>
  </si>
  <si>
    <t>1700_7DC8</t>
  </si>
  <si>
    <t>1700_7FC8</t>
  </si>
  <si>
    <t>1700_01C9</t>
  </si>
  <si>
    <t>1700_03C9</t>
  </si>
  <si>
    <t>1700_05C9</t>
  </si>
  <si>
    <t>1700_07C9</t>
  </si>
  <si>
    <t>1700_09C9</t>
  </si>
  <si>
    <t>1700_0BC9</t>
  </si>
  <si>
    <t>1700_0DC9</t>
  </si>
  <si>
    <t>1700_0FC9</t>
  </si>
  <si>
    <t>1700_11C9</t>
  </si>
  <si>
    <t>1700_13C9</t>
  </si>
  <si>
    <t>1700_15C9</t>
  </si>
  <si>
    <t>1700_17C9</t>
  </si>
  <si>
    <t>1700_19C9</t>
  </si>
  <si>
    <t>1700_1BC9</t>
  </si>
  <si>
    <t>1700_1DC9</t>
  </si>
  <si>
    <t>1700_1FC9</t>
  </si>
  <si>
    <t>1700_21C9</t>
  </si>
  <si>
    <t>1700_23C9</t>
  </si>
  <si>
    <t>1700_25C9</t>
  </si>
  <si>
    <t>1700_27C9</t>
  </si>
  <si>
    <t>1700_29C9</t>
  </si>
  <si>
    <t>1700_2BC9</t>
  </si>
  <si>
    <t>1700_2DC9</t>
  </si>
  <si>
    <t>1700_2FC9</t>
  </si>
  <si>
    <t>1700_31C9</t>
  </si>
  <si>
    <t>1700_33C9</t>
  </si>
  <si>
    <t>1700_35C9</t>
  </si>
  <si>
    <t>1700_37C9</t>
  </si>
  <si>
    <t>1700_39C9</t>
  </si>
  <si>
    <t>1700_3BC9</t>
  </si>
  <si>
    <t>1700_3DC9</t>
  </si>
  <si>
    <t>1700_3FC9</t>
  </si>
  <si>
    <t>1700_41C9</t>
  </si>
  <si>
    <t>1700_43C9</t>
  </si>
  <si>
    <t>1700_45C9</t>
  </si>
  <si>
    <t>1700_47C9</t>
  </si>
  <si>
    <t>1700_49C9</t>
  </si>
  <si>
    <t>1700_4BC9</t>
  </si>
  <si>
    <t>1700_4DC9</t>
  </si>
  <si>
    <t>1700_4FC9</t>
  </si>
  <si>
    <t>1700_51C9</t>
  </si>
  <si>
    <t>1700_53C9</t>
  </si>
  <si>
    <t>1700_55C9</t>
  </si>
  <si>
    <t>1700_57C9</t>
  </si>
  <si>
    <t>1700_59C9</t>
  </si>
  <si>
    <t>1700_5BC9</t>
  </si>
  <si>
    <t>1700_5DC9</t>
  </si>
  <si>
    <t>1700_5FC9</t>
  </si>
  <si>
    <t>1700_61C9</t>
  </si>
  <si>
    <t>1700_63C9</t>
  </si>
  <si>
    <t>1700_65C9</t>
  </si>
  <si>
    <t>1700_67C9</t>
  </si>
  <si>
    <t>1700_69C9</t>
  </si>
  <si>
    <t>1700_6BC9</t>
  </si>
  <si>
    <t>1700_6DC9</t>
  </si>
  <si>
    <t>1700_6FC9</t>
  </si>
  <si>
    <t>1700_71C9</t>
  </si>
  <si>
    <t>1700_73C9</t>
  </si>
  <si>
    <t>1700_75C9</t>
  </si>
  <si>
    <t>1700_77C9</t>
  </si>
  <si>
    <t>1700_79C9</t>
  </si>
  <si>
    <t>1700_7BC9</t>
  </si>
  <si>
    <t>1700_7DC9</t>
  </si>
  <si>
    <t>1700_7FC9</t>
  </si>
  <si>
    <t>1700_01CA</t>
  </si>
  <si>
    <t>1700_03CA</t>
  </si>
  <si>
    <t>1700_05CA</t>
  </si>
  <si>
    <t>1700_07CA</t>
  </si>
  <si>
    <t>1700_09CA</t>
  </si>
  <si>
    <t>1700_0BCA</t>
  </si>
  <si>
    <t>1700_0DCA</t>
  </si>
  <si>
    <t>1700_0FCA</t>
  </si>
  <si>
    <t>1700_11CA</t>
  </si>
  <si>
    <t>1700_13CA</t>
  </si>
  <si>
    <t>1700_15CA</t>
  </si>
  <si>
    <t>1700_17CA</t>
  </si>
  <si>
    <t>1700_19CA</t>
  </si>
  <si>
    <t>1700_1BCA</t>
  </si>
  <si>
    <t>1700_1DCA</t>
  </si>
  <si>
    <t>1700_1FCA</t>
  </si>
  <si>
    <t>1700_21CA</t>
  </si>
  <si>
    <t>1700_23CA</t>
  </si>
  <si>
    <t>1700_25CA</t>
  </si>
  <si>
    <t>1700_27CA</t>
  </si>
  <si>
    <t>1700_29CA</t>
  </si>
  <si>
    <t>1700_2BCA</t>
  </si>
  <si>
    <t>1700_2DCA</t>
  </si>
  <si>
    <t>1700_2FCA</t>
  </si>
  <si>
    <t>1700_31CA</t>
  </si>
  <si>
    <t>1700_33CA</t>
  </si>
  <si>
    <t>1700_35CA</t>
  </si>
  <si>
    <t>1700_37CA</t>
  </si>
  <si>
    <t>1700_39CA</t>
  </si>
  <si>
    <t>1700_3BCA</t>
  </si>
  <si>
    <t>1700_3DCA</t>
  </si>
  <si>
    <t>1700_3FCA</t>
  </si>
  <si>
    <t>1700_41CA</t>
  </si>
  <si>
    <t>1700_43CA</t>
  </si>
  <si>
    <t>1700_45CA</t>
  </si>
  <si>
    <t>1700_47CA</t>
  </si>
  <si>
    <t>1700_49CA</t>
  </si>
  <si>
    <t>1700_4BCA</t>
  </si>
  <si>
    <t>1700_4DCA</t>
  </si>
  <si>
    <t>1700_4FCA</t>
  </si>
  <si>
    <t>1700_51CA</t>
  </si>
  <si>
    <t>1700_53CA</t>
  </si>
  <si>
    <t>1700_55CA</t>
  </si>
  <si>
    <t>1700_57CA</t>
  </si>
  <si>
    <t>1700_59CA</t>
  </si>
  <si>
    <t>1700_5BCA</t>
  </si>
  <si>
    <t>1700_5DCA</t>
  </si>
  <si>
    <t>1700_5FCA</t>
  </si>
  <si>
    <t>1700_61CA</t>
  </si>
  <si>
    <t>1700_63CA</t>
  </si>
  <si>
    <t>1700_65CA</t>
  </si>
  <si>
    <t>1700_67CA</t>
  </si>
  <si>
    <t>1700_69CA</t>
  </si>
  <si>
    <t>1700_6BCA</t>
  </si>
  <si>
    <t>1700_6DCA</t>
  </si>
  <si>
    <t>1700_6FCA</t>
  </si>
  <si>
    <t>1700_71CA</t>
  </si>
  <si>
    <t>1700_73CA</t>
  </si>
  <si>
    <t>1700_75CA</t>
  </si>
  <si>
    <t>1700_77CA</t>
  </si>
  <si>
    <t>1700_79CA</t>
  </si>
  <si>
    <t>1700_7BCA</t>
  </si>
  <si>
    <t>1700_7DCA</t>
  </si>
  <si>
    <t>1700_7FCA</t>
  </si>
  <si>
    <t>1700_01CB</t>
  </si>
  <si>
    <t>1700_03CB</t>
  </si>
  <si>
    <t>1700_05CB</t>
  </si>
  <si>
    <t>1700_07CB</t>
  </si>
  <si>
    <t>1700_09CB</t>
  </si>
  <si>
    <t>1700_0BCB</t>
  </si>
  <si>
    <t>1700_0DCB</t>
  </si>
  <si>
    <t>1700_0FCB</t>
  </si>
  <si>
    <t>1700_11CB</t>
  </si>
  <si>
    <t>1700_13CB</t>
  </si>
  <si>
    <t>1700_15CB</t>
  </si>
  <si>
    <t>1700_17CB</t>
  </si>
  <si>
    <t>1700_19CB</t>
  </si>
  <si>
    <t>1700_1BCB</t>
  </si>
  <si>
    <t>1700_1DCB</t>
  </si>
  <si>
    <t>1700_1FCB</t>
  </si>
  <si>
    <t>1700_21CB</t>
  </si>
  <si>
    <t>1700_23CB</t>
  </si>
  <si>
    <t>1700_25CB</t>
  </si>
  <si>
    <t>1700_27CB</t>
  </si>
  <si>
    <t>1700_29CB</t>
  </si>
  <si>
    <t>1700_2BCB</t>
  </si>
  <si>
    <t>1700_2DCB</t>
  </si>
  <si>
    <t>1700_2FCB</t>
  </si>
  <si>
    <t>1700_31CB</t>
  </si>
  <si>
    <t>1700_33CB</t>
  </si>
  <si>
    <t>1700_35CB</t>
  </si>
  <si>
    <t>1700_37CB</t>
  </si>
  <si>
    <t>1700_39CB</t>
  </si>
  <si>
    <t>1700_3BCB</t>
  </si>
  <si>
    <t>1700_3DCB</t>
  </si>
  <si>
    <t>1700_3FCB</t>
  </si>
  <si>
    <t>1700_41CB</t>
  </si>
  <si>
    <t>1700_43CB</t>
  </si>
  <si>
    <t>1700_45CB</t>
  </si>
  <si>
    <t>1700_47CB</t>
  </si>
  <si>
    <t>1700_49CB</t>
  </si>
  <si>
    <t>1700_4BCB</t>
  </si>
  <si>
    <t>1700_4DCB</t>
  </si>
  <si>
    <t>1700_4FCB</t>
  </si>
  <si>
    <t>1700_51CB</t>
  </si>
  <si>
    <t>1700_53CB</t>
  </si>
  <si>
    <t>1700_55CB</t>
  </si>
  <si>
    <t>1700_57CB</t>
  </si>
  <si>
    <t>1700_59CB</t>
  </si>
  <si>
    <t>1700_5BCB</t>
  </si>
  <si>
    <t>1700_5DCB</t>
  </si>
  <si>
    <t>1700_5FCB</t>
  </si>
  <si>
    <t>1700_61CB</t>
  </si>
  <si>
    <t>1700_63CB</t>
  </si>
  <si>
    <t>1700_65CB</t>
  </si>
  <si>
    <t>1700_67CB</t>
  </si>
  <si>
    <t>1700_69CB</t>
  </si>
  <si>
    <t>1700_6BCB</t>
  </si>
  <si>
    <t>1700_6DCB</t>
  </si>
  <si>
    <t>1700_6FCB</t>
  </si>
  <si>
    <t>1700_71CB</t>
  </si>
  <si>
    <t>1700_73CB</t>
  </si>
  <si>
    <t>1700_75CB</t>
  </si>
  <si>
    <t>1700_77CB</t>
  </si>
  <si>
    <t>1700_79CB</t>
  </si>
  <si>
    <t>1700_7BCB</t>
  </si>
  <si>
    <t>1700_7DCB</t>
  </si>
  <si>
    <t>1700_7FCB</t>
  </si>
  <si>
    <t>1700_01CC</t>
  </si>
  <si>
    <t>1700_03CC</t>
  </si>
  <si>
    <t>1700_05CC</t>
  </si>
  <si>
    <t>1700_07CC</t>
  </si>
  <si>
    <t>1700_09CC</t>
  </si>
  <si>
    <t>1700_0BCC</t>
  </si>
  <si>
    <t>1700_0DCC</t>
  </si>
  <si>
    <t>1700_0FCC</t>
  </si>
  <si>
    <t>1700_11CC</t>
  </si>
  <si>
    <t>1700_13CC</t>
  </si>
  <si>
    <t>1700_15CC</t>
  </si>
  <si>
    <t>1700_17CC</t>
  </si>
  <si>
    <t>1700_19CC</t>
  </si>
  <si>
    <t>1700_1BCC</t>
  </si>
  <si>
    <t>1700_1DCC</t>
  </si>
  <si>
    <t>1700_1FCC</t>
  </si>
  <si>
    <t>1700_21CC</t>
  </si>
  <si>
    <t>1700_23CC</t>
  </si>
  <si>
    <t>1700_25CC</t>
  </si>
  <si>
    <t>1700_27CC</t>
  </si>
  <si>
    <t>1700_29CC</t>
  </si>
  <si>
    <t>1700_2BCC</t>
  </si>
  <si>
    <t>1700_2DCC</t>
  </si>
  <si>
    <t>1700_2FCC</t>
  </si>
  <si>
    <t>1700_31CC</t>
  </si>
  <si>
    <t>1700_33CC</t>
  </si>
  <si>
    <t>1700_35CC</t>
  </si>
  <si>
    <t>1700_37CC</t>
  </si>
  <si>
    <t>1700_39CC</t>
  </si>
  <si>
    <t>1700_3BCC</t>
  </si>
  <si>
    <t>1700_3DCC</t>
  </si>
  <si>
    <t>1700_3FCC</t>
  </si>
  <si>
    <t>1700_41CC</t>
  </si>
  <si>
    <t>1700_43CC</t>
  </si>
  <si>
    <t>1700_45CC</t>
  </si>
  <si>
    <t>1700_47CC</t>
  </si>
  <si>
    <t>1700_49CC</t>
  </si>
  <si>
    <t>1700_4BCC</t>
  </si>
  <si>
    <t>1700_4DCC</t>
  </si>
  <si>
    <t>1700_4FCC</t>
  </si>
  <si>
    <t>1700_51CC</t>
  </si>
  <si>
    <t>1700_53CC</t>
  </si>
  <si>
    <t>1700_55CC</t>
  </si>
  <si>
    <t>1700_57CC</t>
  </si>
  <si>
    <t>1700_59CC</t>
  </si>
  <si>
    <t>1700_5BCC</t>
  </si>
  <si>
    <t>1700_5DCC</t>
  </si>
  <si>
    <t>1700_5FCC</t>
  </si>
  <si>
    <t>1700_61CC</t>
  </si>
  <si>
    <t>1700_63CC</t>
  </si>
  <si>
    <t>1700_65CC</t>
  </si>
  <si>
    <t>1700_67CC</t>
  </si>
  <si>
    <t>1700_69CC</t>
  </si>
  <si>
    <t>1700_6BCC</t>
  </si>
  <si>
    <t>1700_6DCC</t>
  </si>
  <si>
    <t>1700_6FCC</t>
  </si>
  <si>
    <t>1700_71CC</t>
  </si>
  <si>
    <t>1700_73CC</t>
  </si>
  <si>
    <t>1700_75CC</t>
  </si>
  <si>
    <t>1700_77CC</t>
  </si>
  <si>
    <t>1700_79CC</t>
  </si>
  <si>
    <t>1700_7BCC</t>
  </si>
  <si>
    <t>1700_7DCC</t>
  </si>
  <si>
    <t>1700_7FCC</t>
  </si>
  <si>
    <t>1700_01CD</t>
  </si>
  <si>
    <t>1700_03CD</t>
  </si>
  <si>
    <t>1700_05CD</t>
  </si>
  <si>
    <t>1700_07CD</t>
  </si>
  <si>
    <t>1700_09CD</t>
  </si>
  <si>
    <t>1700_0BCD</t>
  </si>
  <si>
    <t>1700_0DCD</t>
  </si>
  <si>
    <t>1700_0FCD</t>
  </si>
  <si>
    <t>1700_11CD</t>
  </si>
  <si>
    <t>1700_13CD</t>
  </si>
  <si>
    <t>1700_15CD</t>
  </si>
  <si>
    <t>1700_17CD</t>
  </si>
  <si>
    <t>1700_19CD</t>
  </si>
  <si>
    <t>1700_1BCD</t>
  </si>
  <si>
    <t>1700_1DCD</t>
  </si>
  <si>
    <t>1700_1FCD</t>
  </si>
  <si>
    <t>1700_21CD</t>
  </si>
  <si>
    <t>1700_23CD</t>
  </si>
  <si>
    <t>1700_25CD</t>
  </si>
  <si>
    <t>1700_27CD</t>
  </si>
  <si>
    <t>1700_29CD</t>
  </si>
  <si>
    <t>1700_2BCD</t>
  </si>
  <si>
    <t>1700_2DCD</t>
  </si>
  <si>
    <t>1700_2FCD</t>
  </si>
  <si>
    <t>1700_31CD</t>
  </si>
  <si>
    <t>1700_33CD</t>
  </si>
  <si>
    <t>1700_35CD</t>
  </si>
  <si>
    <t>1700_37CD</t>
  </si>
  <si>
    <t>1700_39CD</t>
  </si>
  <si>
    <t>1700_3BCD</t>
  </si>
  <si>
    <t>1700_3DCD</t>
  </si>
  <si>
    <t>1700_3FCD</t>
  </si>
  <si>
    <t>1700_41CD</t>
  </si>
  <si>
    <t>1700_43CD</t>
  </si>
  <si>
    <t>1700_45CD</t>
  </si>
  <si>
    <t>1700_47CD</t>
  </si>
  <si>
    <t>1700_49CD</t>
  </si>
  <si>
    <t>1700_4BCD</t>
  </si>
  <si>
    <t>1700_4DCD</t>
  </si>
  <si>
    <t>1700_4FCD</t>
  </si>
  <si>
    <t>1700_51CD</t>
  </si>
  <si>
    <t>1700_53CD</t>
  </si>
  <si>
    <t>1700_55CD</t>
  </si>
  <si>
    <t>1700_57CD</t>
  </si>
  <si>
    <t>1700_59CD</t>
  </si>
  <si>
    <t>1700_5BCD</t>
  </si>
  <si>
    <t>1700_5DCD</t>
  </si>
  <si>
    <t>1700_5FCD</t>
  </si>
  <si>
    <t>1700_61CD</t>
  </si>
  <si>
    <t>1700_63CD</t>
  </si>
  <si>
    <t>1700_65CD</t>
  </si>
  <si>
    <t>1700_67CD</t>
  </si>
  <si>
    <t>1700_69CD</t>
  </si>
  <si>
    <t>1700_6BCD</t>
  </si>
  <si>
    <t>1700_6DCD</t>
  </si>
  <si>
    <t>1700_6FCD</t>
  </si>
  <si>
    <t>1700_71CD</t>
  </si>
  <si>
    <t>1700_73CD</t>
  </si>
  <si>
    <t>1700_75CD</t>
  </si>
  <si>
    <t>1700_77CD</t>
  </si>
  <si>
    <t>1700_79CD</t>
  </si>
  <si>
    <t>1700_7BCD</t>
  </si>
  <si>
    <t>1700_7DCD</t>
  </si>
  <si>
    <t>1700_7FCD</t>
  </si>
  <si>
    <t>1700_01CE</t>
  </si>
  <si>
    <t>1700_03CE</t>
  </si>
  <si>
    <t>1700_05CE</t>
  </si>
  <si>
    <t>1700_07CE</t>
  </si>
  <si>
    <t>1700_09CE</t>
  </si>
  <si>
    <t>1700_0BCE</t>
  </si>
  <si>
    <t>1700_0DCE</t>
  </si>
  <si>
    <t>1700_0FCE</t>
  </si>
  <si>
    <t>1700_11CE</t>
  </si>
  <si>
    <t>1700_13CE</t>
  </si>
  <si>
    <t>1700_15CE</t>
  </si>
  <si>
    <t>1700_17CE</t>
  </si>
  <si>
    <t>1700_19CE</t>
  </si>
  <si>
    <t>1700_1BCE</t>
  </si>
  <si>
    <t>1700_1DCE</t>
  </si>
  <si>
    <t>1700_1FCE</t>
  </si>
  <si>
    <t>1700_21CE</t>
  </si>
  <si>
    <t>1700_23CE</t>
  </si>
  <si>
    <t>1700_25CE</t>
  </si>
  <si>
    <t>1700_27CE</t>
  </si>
  <si>
    <t>1700_29CE</t>
  </si>
  <si>
    <t>1700_2BCE</t>
  </si>
  <si>
    <t>1700_2DCE</t>
  </si>
  <si>
    <t>1700_2FCE</t>
  </si>
  <si>
    <t>1700_31CE</t>
  </si>
  <si>
    <t>1700_33CE</t>
  </si>
  <si>
    <t>1700_35CE</t>
  </si>
  <si>
    <t>1700_37CE</t>
  </si>
  <si>
    <t>1700_39CE</t>
  </si>
  <si>
    <t>1700_3BCE</t>
  </si>
  <si>
    <t>1700_3DCE</t>
  </si>
  <si>
    <t>1700_3FCE</t>
  </si>
  <si>
    <t>1700_41CE</t>
  </si>
  <si>
    <t>1700_43CE</t>
  </si>
  <si>
    <t>1700_45CE</t>
  </si>
  <si>
    <t>1700_47CE</t>
  </si>
  <si>
    <t>1700_49CE</t>
  </si>
  <si>
    <t>1700_4BCE</t>
  </si>
  <si>
    <t>1700_4DCE</t>
  </si>
  <si>
    <t>1700_4FCE</t>
  </si>
  <si>
    <t>1700_51CE</t>
  </si>
  <si>
    <t>1700_53CE</t>
  </si>
  <si>
    <t>1700_55CE</t>
  </si>
  <si>
    <t>1700_57CE</t>
  </si>
  <si>
    <t>1700_59CE</t>
  </si>
  <si>
    <t>1700_5BCE</t>
  </si>
  <si>
    <t>1700_5DCE</t>
  </si>
  <si>
    <t>1700_5FCE</t>
  </si>
  <si>
    <t>1700_61CE</t>
  </si>
  <si>
    <t>1700_63CE</t>
  </si>
  <si>
    <t>1700_65CE</t>
  </si>
  <si>
    <t>1700_67CE</t>
  </si>
  <si>
    <t>1700_69CE</t>
  </si>
  <si>
    <t>1700_6BCE</t>
  </si>
  <si>
    <t>1700_6DCE</t>
  </si>
  <si>
    <t>1700_6FCE</t>
  </si>
  <si>
    <t>1700_71CE</t>
  </si>
  <si>
    <t>1700_73CE</t>
  </si>
  <si>
    <t>1700_75CE</t>
  </si>
  <si>
    <t>1700_77CE</t>
  </si>
  <si>
    <t>1700_79CE</t>
  </si>
  <si>
    <t>1700_7BCE</t>
  </si>
  <si>
    <t>1700_7DCE</t>
  </si>
  <si>
    <t>1700_7FCE</t>
  </si>
  <si>
    <t>1700_01CF</t>
  </si>
  <si>
    <t>1700_03CF</t>
  </si>
  <si>
    <t>1700_05CF</t>
  </si>
  <si>
    <t>1700_07CF</t>
  </si>
  <si>
    <t>1700_09CF</t>
  </si>
  <si>
    <t>1700_0BCF</t>
  </si>
  <si>
    <t>1700_0DCF</t>
  </si>
  <si>
    <t>1700_0FCF</t>
  </si>
  <si>
    <t>1700_11CF</t>
  </si>
  <si>
    <t>1700_13CF</t>
  </si>
  <si>
    <t>1700_15CF</t>
  </si>
  <si>
    <t>1700_17CF</t>
  </si>
  <si>
    <t>1700_19CF</t>
  </si>
  <si>
    <t>1700_1BCF</t>
  </si>
  <si>
    <t>1700_1DCF</t>
  </si>
  <si>
    <t>1700_1FCF</t>
  </si>
  <si>
    <t>1700_21CF</t>
  </si>
  <si>
    <t>1700_23CF</t>
  </si>
  <si>
    <t>1700_25CF</t>
  </si>
  <si>
    <t>1700_27CF</t>
  </si>
  <si>
    <t>1700_29CF</t>
  </si>
  <si>
    <t>1700_2BCF</t>
  </si>
  <si>
    <t>1700_2DCF</t>
  </si>
  <si>
    <t>1700_2FCF</t>
  </si>
  <si>
    <t>1700_31CF</t>
  </si>
  <si>
    <t>1700_33CF</t>
  </si>
  <si>
    <t>1700_35CF</t>
  </si>
  <si>
    <t>1700_37CF</t>
  </si>
  <si>
    <t>1700_39CF</t>
  </si>
  <si>
    <t>1700_3BCF</t>
  </si>
  <si>
    <t>1700_3DCF</t>
  </si>
  <si>
    <t>1700_3FCF</t>
  </si>
  <si>
    <t>1700_41CF</t>
  </si>
  <si>
    <t>1700_43CF</t>
  </si>
  <si>
    <t>1700_45CF</t>
  </si>
  <si>
    <t>1700_47CF</t>
  </si>
  <si>
    <t>1700_49CF</t>
  </si>
  <si>
    <t>1700_4BCF</t>
  </si>
  <si>
    <t>1700_4DCF</t>
  </si>
  <si>
    <t>1700_4FCF</t>
  </si>
  <si>
    <t>1700_51CF</t>
  </si>
  <si>
    <t>1700_53CF</t>
  </si>
  <si>
    <t>1700_55CF</t>
  </si>
  <si>
    <t>1700_57CF</t>
  </si>
  <si>
    <t>1700_59CF</t>
  </si>
  <si>
    <t>1700_5BCF</t>
  </si>
  <si>
    <t>1700_5DCF</t>
  </si>
  <si>
    <t>1700_5FCF</t>
  </si>
  <si>
    <t>1700_61CF</t>
  </si>
  <si>
    <t>1700_63CF</t>
  </si>
  <si>
    <t>1700_65CF</t>
  </si>
  <si>
    <t>1700_67CF</t>
  </si>
  <si>
    <t>1700_69CF</t>
  </si>
  <si>
    <t>1700_6BCF</t>
  </si>
  <si>
    <t>1700_6DCF</t>
  </si>
  <si>
    <t>1700_6FCF</t>
  </si>
  <si>
    <t>1700_71CF</t>
  </si>
  <si>
    <t>1700_73CF</t>
  </si>
  <si>
    <t>1700_75CF</t>
  </si>
  <si>
    <t>1700_77CF</t>
  </si>
  <si>
    <t>1700_79CF</t>
  </si>
  <si>
    <t>1700_7BCF</t>
  </si>
  <si>
    <t>1700_7DCF</t>
  </si>
  <si>
    <t>1700_7FCF</t>
  </si>
  <si>
    <t>1700_01D0</t>
  </si>
  <si>
    <t>1700_03D0</t>
  </si>
  <si>
    <t>1700_05D0</t>
  </si>
  <si>
    <t>1700_07D0</t>
  </si>
  <si>
    <t>1700_09D0</t>
  </si>
  <si>
    <t>1700_0BD0</t>
  </si>
  <si>
    <t>1700_0DD0</t>
  </si>
  <si>
    <t>1700_0FD0</t>
  </si>
  <si>
    <t>1700_11D0</t>
  </si>
  <si>
    <t>1700_13D0</t>
  </si>
  <si>
    <t>1700_15D0</t>
  </si>
  <si>
    <t>1700_17D0</t>
  </si>
  <si>
    <t>1700_19D0</t>
  </si>
  <si>
    <t>1700_1BD0</t>
  </si>
  <si>
    <t>1700_1DD0</t>
  </si>
  <si>
    <t>1700_1FD0</t>
  </si>
  <si>
    <t>1700_21D0</t>
  </si>
  <si>
    <t>1700_23D0</t>
  </si>
  <si>
    <t>1700_25D0</t>
  </si>
  <si>
    <t>1700_27D0</t>
  </si>
  <si>
    <t>1700_29D0</t>
  </si>
  <si>
    <t>1700_2BD0</t>
  </si>
  <si>
    <t>1700_2DD0</t>
  </si>
  <si>
    <t>1700_2FD0</t>
  </si>
  <si>
    <t>1700_31D0</t>
  </si>
  <si>
    <t>1700_33D0</t>
  </si>
  <si>
    <t>1700_35D0</t>
  </si>
  <si>
    <t>1700_37D0</t>
  </si>
  <si>
    <t>1700_39D0</t>
  </si>
  <si>
    <t>1700_3BD0</t>
  </si>
  <si>
    <t>1700_3DD0</t>
  </si>
  <si>
    <t>1700_3FD0</t>
  </si>
  <si>
    <t>1700_41D0</t>
  </si>
  <si>
    <t>1700_43D0</t>
  </si>
  <si>
    <t>1700_45D0</t>
  </si>
  <si>
    <t>1700_47D0</t>
  </si>
  <si>
    <t>1700_49D0</t>
  </si>
  <si>
    <t>1700_4BD0</t>
  </si>
  <si>
    <t>1700_4DD0</t>
  </si>
  <si>
    <t>1700_4FD0</t>
  </si>
  <si>
    <t>1700_51D0</t>
  </si>
  <si>
    <t>1700_53D0</t>
  </si>
  <si>
    <t>1700_55D0</t>
  </si>
  <si>
    <t>1700_57D0</t>
  </si>
  <si>
    <t>1700_59D0</t>
  </si>
  <si>
    <t>1700_5BD0</t>
  </si>
  <si>
    <t>1700_5DD0</t>
  </si>
  <si>
    <t>1700_5FD0</t>
  </si>
  <si>
    <t>1700_61D0</t>
  </si>
  <si>
    <t>1700_63D0</t>
  </si>
  <si>
    <t>1700_65D0</t>
  </si>
  <si>
    <t>1700_67D0</t>
  </si>
  <si>
    <t>1700_69D0</t>
  </si>
  <si>
    <t>1700_6BD0</t>
  </si>
  <si>
    <t>1700_6DD0</t>
  </si>
  <si>
    <t>1700_6FD0</t>
  </si>
  <si>
    <t>1700_71D0</t>
  </si>
  <si>
    <t>1700_73D0</t>
  </si>
  <si>
    <t>1700_75D0</t>
  </si>
  <si>
    <t>1700_77D0</t>
  </si>
  <si>
    <t>1700_79D0</t>
  </si>
  <si>
    <t>1700_7BD0</t>
  </si>
  <si>
    <t>1700_7DD0</t>
  </si>
  <si>
    <t>1700_7FD0</t>
  </si>
  <si>
    <t>1700_01D1</t>
  </si>
  <si>
    <t>1700_03D1</t>
  </si>
  <si>
    <t>1700_05D1</t>
  </si>
  <si>
    <t>1700_07D1</t>
  </si>
  <si>
    <t>1700_09D1</t>
  </si>
  <si>
    <t>1700_0BD1</t>
  </si>
  <si>
    <t>1700_0DD1</t>
  </si>
  <si>
    <t>1700_0FD1</t>
  </si>
  <si>
    <t>1700_11D1</t>
  </si>
  <si>
    <t>1700_13D1</t>
  </si>
  <si>
    <t>1700_15D1</t>
  </si>
  <si>
    <t>1700_17D1</t>
  </si>
  <si>
    <t>1700_19D1</t>
  </si>
  <si>
    <t>1700_1BD1</t>
  </si>
  <si>
    <t>1700_1DD1</t>
  </si>
  <si>
    <t>1700_1FD1</t>
  </si>
  <si>
    <t>1700_21D1</t>
  </si>
  <si>
    <t>1700_23D1</t>
  </si>
  <si>
    <t>1700_25D1</t>
  </si>
  <si>
    <t>1700_27D1</t>
  </si>
  <si>
    <t>1700_29D1</t>
  </si>
  <si>
    <t>1700_2BD1</t>
  </si>
  <si>
    <t>1700_2DD1</t>
  </si>
  <si>
    <t>1700_2FD1</t>
  </si>
  <si>
    <t>1700_31D1</t>
  </si>
  <si>
    <t>1700_33D1</t>
  </si>
  <si>
    <t>1700_35D1</t>
  </si>
  <si>
    <t>1700_37D1</t>
  </si>
  <si>
    <t>1700_39D1</t>
  </si>
  <si>
    <t>1700_3BD1</t>
  </si>
  <si>
    <t>1700_3DD1</t>
  </si>
  <si>
    <t>1700_3FD1</t>
  </si>
  <si>
    <t>1700_41D1</t>
  </si>
  <si>
    <t>1700_43D1</t>
  </si>
  <si>
    <t>1700_45D1</t>
  </si>
  <si>
    <t>1700_47D1</t>
  </si>
  <si>
    <t>1700_49D1</t>
  </si>
  <si>
    <t>1700_4BD1</t>
  </si>
  <si>
    <t>1700_4DD1</t>
  </si>
  <si>
    <t>1700_4FD1</t>
  </si>
  <si>
    <t>1700_51D1</t>
  </si>
  <si>
    <t>1700_53D1</t>
  </si>
  <si>
    <t>1700_55D1</t>
  </si>
  <si>
    <t>1700_57D1</t>
  </si>
  <si>
    <t>1700_59D1</t>
  </si>
  <si>
    <t>1700_5BD1</t>
  </si>
  <si>
    <t>1700_5DD1</t>
  </si>
  <si>
    <t>1700_5FD1</t>
  </si>
  <si>
    <t>1700_61D1</t>
  </si>
  <si>
    <t>1700_63D1</t>
  </si>
  <si>
    <t>1700_65D1</t>
  </si>
  <si>
    <t>1700_67D1</t>
  </si>
  <si>
    <t>1700_69D1</t>
  </si>
  <si>
    <t>1700_6BD1</t>
  </si>
  <si>
    <t>1700_6DD1</t>
  </si>
  <si>
    <t>1700_6FD1</t>
  </si>
  <si>
    <t>1700_71D1</t>
  </si>
  <si>
    <t>1700_73D1</t>
  </si>
  <si>
    <t>1700_75D1</t>
  </si>
  <si>
    <t>1700_77D1</t>
  </si>
  <si>
    <t>1700_79D1</t>
  </si>
  <si>
    <t>1700_7BD1</t>
  </si>
  <si>
    <t>1700_7DD1</t>
  </si>
  <si>
    <t>1700_7FD1</t>
  </si>
  <si>
    <t>1700_01D2</t>
  </si>
  <si>
    <t>1700_03D2</t>
  </si>
  <si>
    <t>1700_05D2</t>
  </si>
  <si>
    <t>1700_07D2</t>
  </si>
  <si>
    <t>1700_09D2</t>
  </si>
  <si>
    <t>1700_0BD2</t>
  </si>
  <si>
    <t>1700_0DD2</t>
  </si>
  <si>
    <t>1700_0FD2</t>
  </si>
  <si>
    <t>1700_11D2</t>
  </si>
  <si>
    <t>1700_13D2</t>
  </si>
  <si>
    <t>1700_15D2</t>
  </si>
  <si>
    <t>1700_17D2</t>
  </si>
  <si>
    <t>1700_19D2</t>
  </si>
  <si>
    <t>1700_1BD2</t>
  </si>
  <si>
    <t>1700_1DD2</t>
  </si>
  <si>
    <t>1700_1FD2</t>
  </si>
  <si>
    <t>1700_21D2</t>
  </si>
  <si>
    <t>1700_23D2</t>
  </si>
  <si>
    <t>1700_25D2</t>
  </si>
  <si>
    <t>1700_27D2</t>
  </si>
  <si>
    <t>1700_29D2</t>
  </si>
  <si>
    <t>1700_2BD2</t>
  </si>
  <si>
    <t>1700_2DD2</t>
  </si>
  <si>
    <t>1700_2FD2</t>
  </si>
  <si>
    <t>1700_31D2</t>
  </si>
  <si>
    <t>1700_33D2</t>
  </si>
  <si>
    <t>1700_35D2</t>
  </si>
  <si>
    <t>1700_37D2</t>
  </si>
  <si>
    <t>1700_39D2</t>
  </si>
  <si>
    <t>1700_3BD2</t>
  </si>
  <si>
    <t>1700_3DD2</t>
  </si>
  <si>
    <t>1700_3FD2</t>
  </si>
  <si>
    <t>1700_41D2</t>
  </si>
  <si>
    <t>1700_43D2</t>
  </si>
  <si>
    <t>1700_45D2</t>
  </si>
  <si>
    <t>1700_47D2</t>
  </si>
  <si>
    <t>1700_49D2</t>
  </si>
  <si>
    <t>1700_4BD2</t>
  </si>
  <si>
    <t>1700_4DD2</t>
  </si>
  <si>
    <t>1700_4FD2</t>
  </si>
  <si>
    <t>1700_51D2</t>
  </si>
  <si>
    <t>1700_53D2</t>
  </si>
  <si>
    <t>1700_55D2</t>
  </si>
  <si>
    <t>1700_57D2</t>
  </si>
  <si>
    <t>1700_59D2</t>
  </si>
  <si>
    <t>1700_5BD2</t>
  </si>
  <si>
    <t>1700_5DD2</t>
  </si>
  <si>
    <t>1700_5FD2</t>
  </si>
  <si>
    <t>1700_61D2</t>
  </si>
  <si>
    <t>1700_63D2</t>
  </si>
  <si>
    <t>1700_65D2</t>
  </si>
  <si>
    <t>1700_67D2</t>
  </si>
  <si>
    <t>1700_69D2</t>
  </si>
  <si>
    <t>1700_6BD2</t>
  </si>
  <si>
    <t>1700_6DD2</t>
  </si>
  <si>
    <t>1700_6FD2</t>
  </si>
  <si>
    <t>1700_71D2</t>
  </si>
  <si>
    <t>1700_73D2</t>
  </si>
  <si>
    <t>1700_75D2</t>
  </si>
  <si>
    <t>1700_77D2</t>
  </si>
  <si>
    <t>1700_79D2</t>
  </si>
  <si>
    <t>1700_7BD2</t>
  </si>
  <si>
    <t>1700_7DD2</t>
  </si>
  <si>
    <t>1700_7FD2</t>
  </si>
  <si>
    <t>1700_01D3</t>
  </si>
  <si>
    <t>1700_03D3</t>
  </si>
  <si>
    <t>1700_05D3</t>
  </si>
  <si>
    <t>1700_07D3</t>
  </si>
  <si>
    <t>1700_09D3</t>
  </si>
  <si>
    <t>1700_0BD3</t>
  </si>
  <si>
    <t>1700_0DD3</t>
  </si>
  <si>
    <t>1700_0FD3</t>
  </si>
  <si>
    <t>1700_11D3</t>
  </si>
  <si>
    <t>1700_13D3</t>
  </si>
  <si>
    <t>1700_15D3</t>
  </si>
  <si>
    <t>1700_17D3</t>
  </si>
  <si>
    <t>1700_19D3</t>
  </si>
  <si>
    <t>1700_1BD3</t>
  </si>
  <si>
    <t>1700_1DD3</t>
  </si>
  <si>
    <t>1700_1FD3</t>
  </si>
  <si>
    <t>1700_21D3</t>
  </si>
  <si>
    <t>1700_23D3</t>
  </si>
  <si>
    <t>1700_25D3</t>
  </si>
  <si>
    <t>1700_27D3</t>
  </si>
  <si>
    <t>1700_29D3</t>
  </si>
  <si>
    <t>1700_2BD3</t>
  </si>
  <si>
    <t>1700_2DD3</t>
  </si>
  <si>
    <t>1700_2FD3</t>
  </si>
  <si>
    <t>1700_31D3</t>
  </si>
  <si>
    <t>1700_33D3</t>
  </si>
  <si>
    <t>1700_35D3</t>
  </si>
  <si>
    <t>1700_37D3</t>
  </si>
  <si>
    <t>1700_39D3</t>
  </si>
  <si>
    <t>1700_3BD3</t>
  </si>
  <si>
    <t>1700_3DD3</t>
  </si>
  <si>
    <t>1700_3FD3</t>
  </si>
  <si>
    <t>1700_41D3</t>
  </si>
  <si>
    <t>1700_43D3</t>
  </si>
  <si>
    <t>1700_45D3</t>
  </si>
  <si>
    <t>1700_47D3</t>
  </si>
  <si>
    <t>1700_49D3</t>
  </si>
  <si>
    <t>1700_4BD3</t>
  </si>
  <si>
    <t>1700_4DD3</t>
  </si>
  <si>
    <t>1700_4FD3</t>
  </si>
  <si>
    <t>1700_51D3</t>
  </si>
  <si>
    <t>1700_53D3</t>
  </si>
  <si>
    <t>1700_55D3</t>
  </si>
  <si>
    <t>1700_57D3</t>
  </si>
  <si>
    <t>1700_59D3</t>
  </si>
  <si>
    <t>1700_5BD3</t>
  </si>
  <si>
    <t>1700_5DD3</t>
  </si>
  <si>
    <t>1700_5FD3</t>
  </si>
  <si>
    <t>1700_61D3</t>
  </si>
  <si>
    <t>1700_63D3</t>
  </si>
  <si>
    <t>1700_65D3</t>
  </si>
  <si>
    <t>1700_67D3</t>
  </si>
  <si>
    <t>1700_69D3</t>
  </si>
  <si>
    <t>1700_6BD3</t>
  </si>
  <si>
    <t>1700_6DD3</t>
  </si>
  <si>
    <t>1700_6FD3</t>
  </si>
  <si>
    <t>1700_71D3</t>
  </si>
  <si>
    <t>1700_73D3</t>
  </si>
  <si>
    <t>1700_75D3</t>
  </si>
  <si>
    <t>1700_77D3</t>
  </si>
  <si>
    <t>1700_79D3</t>
  </si>
  <si>
    <t>1700_7BD3</t>
  </si>
  <si>
    <t>1700_7DD3</t>
  </si>
  <si>
    <t>1700_7FD3</t>
  </si>
  <si>
    <t>1700_01D4</t>
  </si>
  <si>
    <t>1700_03D4</t>
  </si>
  <si>
    <t>1700_05D4</t>
  </si>
  <si>
    <t>1700_07D4</t>
  </si>
  <si>
    <t>1700_09D4</t>
  </si>
  <si>
    <t>1700_0BD4</t>
  </si>
  <si>
    <t>1700_0DD4</t>
  </si>
  <si>
    <t>1700_0FD4</t>
  </si>
  <si>
    <t>1700_11D4</t>
  </si>
  <si>
    <t>1700_13D4</t>
  </si>
  <si>
    <t>1700_15D4</t>
  </si>
  <si>
    <t>1700_17D4</t>
  </si>
  <si>
    <t>1700_19D4</t>
  </si>
  <si>
    <t>1700_1BD4</t>
  </si>
  <si>
    <t>1700_1DD4</t>
  </si>
  <si>
    <t>1700_1FD4</t>
  </si>
  <si>
    <t>1700_21D4</t>
  </si>
  <si>
    <t>1700_23D4</t>
  </si>
  <si>
    <t>1700_25D4</t>
  </si>
  <si>
    <t>1700_27D4</t>
  </si>
  <si>
    <t>1700_29D4</t>
  </si>
  <si>
    <t>1700_2BD4</t>
  </si>
  <si>
    <t>1700_2DD4</t>
  </si>
  <si>
    <t>1700_2FD4</t>
  </si>
  <si>
    <t>1700_31D4</t>
  </si>
  <si>
    <t>1700_33D4</t>
  </si>
  <si>
    <t>1700_35D4</t>
  </si>
  <si>
    <t>1700_37D4</t>
  </si>
  <si>
    <t>1700_39D4</t>
  </si>
  <si>
    <t>1700_3BD4</t>
  </si>
  <si>
    <t>1700_3DD4</t>
  </si>
  <si>
    <t>1700_3FD4</t>
  </si>
  <si>
    <t>1700_41D4</t>
  </si>
  <si>
    <t>1700_43D4</t>
  </si>
  <si>
    <t>1700_45D4</t>
  </si>
  <si>
    <t>1700_47D4</t>
  </si>
  <si>
    <t>1700_49D4</t>
  </si>
  <si>
    <t>1700_4BD4</t>
  </si>
  <si>
    <t>1700_4DD4</t>
  </si>
  <si>
    <t>1700_4FD4</t>
  </si>
  <si>
    <t>1700_51D4</t>
  </si>
  <si>
    <t>1700_53D4</t>
  </si>
  <si>
    <t>1700_55D4</t>
  </si>
  <si>
    <t>1700_57D4</t>
  </si>
  <si>
    <t>1700_59D4</t>
  </si>
  <si>
    <t>1700_5BD4</t>
  </si>
  <si>
    <t>1700_5DD4</t>
  </si>
  <si>
    <t>1700_5FD4</t>
  </si>
  <si>
    <t>1700_61D4</t>
  </si>
  <si>
    <t>1700_63D4</t>
  </si>
  <si>
    <t>1700_65D4</t>
  </si>
  <si>
    <t>1700_67D4</t>
  </si>
  <si>
    <t>1700_69D4</t>
  </si>
  <si>
    <t>1700_6BD4</t>
  </si>
  <si>
    <t>1700_6DD4</t>
  </si>
  <si>
    <t>1700_6FD4</t>
  </si>
  <si>
    <t>1700_71D4</t>
  </si>
  <si>
    <t>1700_73D4</t>
  </si>
  <si>
    <t>1700_75D4</t>
  </si>
  <si>
    <t>1700_77D4</t>
  </si>
  <si>
    <t>1700_79D4</t>
  </si>
  <si>
    <t>1700_7BD4</t>
  </si>
  <si>
    <t>1700_7DD4</t>
  </si>
  <si>
    <t>1700_7FD4</t>
  </si>
  <si>
    <t>1700_01D5</t>
  </si>
  <si>
    <t>1700_03D5</t>
  </si>
  <si>
    <t>1700_05D5</t>
  </si>
  <si>
    <t>1700_07D5</t>
  </si>
  <si>
    <t>1700_09D5</t>
  </si>
  <si>
    <t>1700_0BD5</t>
  </si>
  <si>
    <t>1700_0DD5</t>
  </si>
  <si>
    <t>1700_0FD5</t>
  </si>
  <si>
    <t>1700_11D5</t>
  </si>
  <si>
    <t>1700_13D5</t>
  </si>
  <si>
    <t>1700_15D5</t>
  </si>
  <si>
    <t>1700_17D5</t>
  </si>
  <si>
    <t>1700_19D5</t>
  </si>
  <si>
    <t>1700_1BD5</t>
  </si>
  <si>
    <t>1700_1DD5</t>
  </si>
  <si>
    <t>1700_1FD5</t>
  </si>
  <si>
    <t>1700_21D5</t>
  </si>
  <si>
    <t>1700_23D5</t>
  </si>
  <si>
    <t>1700_25D5</t>
  </si>
  <si>
    <t>1700_27D5</t>
  </si>
  <si>
    <t>1700_29D5</t>
  </si>
  <si>
    <t>1700_2BD5</t>
  </si>
  <si>
    <t>1700_2DD5</t>
  </si>
  <si>
    <t>1700_2FD5</t>
  </si>
  <si>
    <t>1700_31D5</t>
  </si>
  <si>
    <t>1700_33D5</t>
  </si>
  <si>
    <t>1700_35D5</t>
  </si>
  <si>
    <t>1700_37D5</t>
  </si>
  <si>
    <t>1700_39D5</t>
  </si>
  <si>
    <t>1700_3BD5</t>
  </si>
  <si>
    <t>1700_3DD5</t>
  </si>
  <si>
    <t>1700_3FD5</t>
  </si>
  <si>
    <t>1700_41D5</t>
  </si>
  <si>
    <t>1700_43D5</t>
  </si>
  <si>
    <t>1700_45D5</t>
  </si>
  <si>
    <t>1700_47D5</t>
  </si>
  <si>
    <t>1700_49D5</t>
  </si>
  <si>
    <t>1700_4BD5</t>
  </si>
  <si>
    <t>1700_4DD5</t>
  </si>
  <si>
    <t>1700_4FD5</t>
  </si>
  <si>
    <t>1700_51D5</t>
  </si>
  <si>
    <t>1700_53D5</t>
  </si>
  <si>
    <t>1700_55D5</t>
  </si>
  <si>
    <t>1700_57D5</t>
  </si>
  <si>
    <t>1700_59D5</t>
  </si>
  <si>
    <t>1700_5BD5</t>
  </si>
  <si>
    <t>1700_5DD5</t>
  </si>
  <si>
    <t>1700_5FD5</t>
  </si>
  <si>
    <t>1700_61D5</t>
  </si>
  <si>
    <t>1700_63D5</t>
  </si>
  <si>
    <t>1700_65D5</t>
  </si>
  <si>
    <t>1700_67D5</t>
  </si>
  <si>
    <t>1700_69D5</t>
  </si>
  <si>
    <t>1700_6BD5</t>
  </si>
  <si>
    <t>1700_6DD5</t>
  </si>
  <si>
    <t>1700_6FD5</t>
  </si>
  <si>
    <t>1700_71D5</t>
  </si>
  <si>
    <t>1700_73D5</t>
  </si>
  <si>
    <t>1700_75D5</t>
  </si>
  <si>
    <t>1700_77D5</t>
  </si>
  <si>
    <t>1700_79D5</t>
  </si>
  <si>
    <t>1700_7BD5</t>
  </si>
  <si>
    <t>1700_7DD5</t>
  </si>
  <si>
    <t>1700_7FD5</t>
  </si>
  <si>
    <t>1700_01D6</t>
  </si>
  <si>
    <t>1700_03D6</t>
  </si>
  <si>
    <t>1700_05D6</t>
  </si>
  <si>
    <t>1700_07D6</t>
  </si>
  <si>
    <t>1700_09D6</t>
  </si>
  <si>
    <t>1700_0BD6</t>
  </si>
  <si>
    <t>1700_0DD6</t>
  </si>
  <si>
    <t>1700_0FD6</t>
  </si>
  <si>
    <t>1700_11D6</t>
  </si>
  <si>
    <t>1700_13D6</t>
  </si>
  <si>
    <t>1700_15D6</t>
  </si>
  <si>
    <t>1700_17D6</t>
  </si>
  <si>
    <t>1700_19D6</t>
  </si>
  <si>
    <t>1700_1BD6</t>
  </si>
  <si>
    <t>1700_1DD6</t>
  </si>
  <si>
    <t>1700_1FD6</t>
  </si>
  <si>
    <t>1700_21D6</t>
  </si>
  <si>
    <t>1700_23D6</t>
  </si>
  <si>
    <t>1700_25D6</t>
  </si>
  <si>
    <t>1700_27D6</t>
  </si>
  <si>
    <t>1700_29D6</t>
  </si>
  <si>
    <t>1700_2BD6</t>
  </si>
  <si>
    <t>1700_2DD6</t>
  </si>
  <si>
    <t>1700_2FD6</t>
  </si>
  <si>
    <t>1700_31D6</t>
  </si>
  <si>
    <t>1700_33D6</t>
  </si>
  <si>
    <t>1700_35D6</t>
  </si>
  <si>
    <t>1700_37D6</t>
  </si>
  <si>
    <t>1700_39D6</t>
  </si>
  <si>
    <t>1700_3BD6</t>
  </si>
  <si>
    <t>1700_3DD6</t>
  </si>
  <si>
    <t>1700_3FD6</t>
  </si>
  <si>
    <t>1700_41D6</t>
  </si>
  <si>
    <t>1700_43D6</t>
  </si>
  <si>
    <t>1700_45D6</t>
  </si>
  <si>
    <t>1700_47D6</t>
  </si>
  <si>
    <t>1700_49D6</t>
  </si>
  <si>
    <t>1700_4BD6</t>
  </si>
  <si>
    <t>1700_4DD6</t>
  </si>
  <si>
    <t>1700_4FD6</t>
  </si>
  <si>
    <t>1700_51D6</t>
  </si>
  <si>
    <t>1700_53D6</t>
  </si>
  <si>
    <t>1700_55D6</t>
  </si>
  <si>
    <t>1700_57D6</t>
  </si>
  <si>
    <t>1700_59D6</t>
  </si>
  <si>
    <t>1700_5BD6</t>
  </si>
  <si>
    <t>1700_5DD6</t>
  </si>
  <si>
    <t>1700_5FD6</t>
  </si>
  <si>
    <t>1700_61D6</t>
  </si>
  <si>
    <t>1700_63D6</t>
  </si>
  <si>
    <t>1700_65D6</t>
  </si>
  <si>
    <t>1700_67D6</t>
  </si>
  <si>
    <t>1700_69D6</t>
  </si>
  <si>
    <t>1700_6BD6</t>
  </si>
  <si>
    <t>1700_6DD6</t>
  </si>
  <si>
    <t>1700_6FD6</t>
  </si>
  <si>
    <t>1700_71D6</t>
  </si>
  <si>
    <t>1700_73D6</t>
  </si>
  <si>
    <t>1700_75D6</t>
  </si>
  <si>
    <t>1700_77D6</t>
  </si>
  <si>
    <t>1700_79D6</t>
  </si>
  <si>
    <t>1700_7BD6</t>
  </si>
  <si>
    <t>1700_7DD6</t>
  </si>
  <si>
    <t>1700_7FD6</t>
  </si>
  <si>
    <t>1700_01D7</t>
  </si>
  <si>
    <t>1700_03D7</t>
  </si>
  <si>
    <t>1700_05D7</t>
  </si>
  <si>
    <t>1700_07D7</t>
  </si>
  <si>
    <t>1700_09D7</t>
  </si>
  <si>
    <t>1700_0BD7</t>
  </si>
  <si>
    <t>1700_0DD7</t>
  </si>
  <si>
    <t>1700_0FD7</t>
  </si>
  <si>
    <t>1700_11D7</t>
  </si>
  <si>
    <t>1700_13D7</t>
  </si>
  <si>
    <t>1700_15D7</t>
  </si>
  <si>
    <t>1700_17D7</t>
  </si>
  <si>
    <t>1700_19D7</t>
  </si>
  <si>
    <t>1700_1BD7</t>
  </si>
  <si>
    <t>1700_1DD7</t>
  </si>
  <si>
    <t>1700_1FD7</t>
  </si>
  <si>
    <t>1700_21D7</t>
  </si>
  <si>
    <t>1700_23D7</t>
  </si>
  <si>
    <t>1700_25D7</t>
  </si>
  <si>
    <t>1700_27D7</t>
  </si>
  <si>
    <t>1700_29D7</t>
  </si>
  <si>
    <t>1700_2BD7</t>
  </si>
  <si>
    <t>1700_2DD7</t>
  </si>
  <si>
    <t>1700_2FD7</t>
  </si>
  <si>
    <t>1700_31D7</t>
  </si>
  <si>
    <t>1700_33D7</t>
  </si>
  <si>
    <t>1700_35D7</t>
  </si>
  <si>
    <t>1700_37D7</t>
  </si>
  <si>
    <t>1700_39D7</t>
  </si>
  <si>
    <t>1700_3BD7</t>
  </si>
  <si>
    <t>1700_3DD7</t>
  </si>
  <si>
    <t>1700_3FD7</t>
  </si>
  <si>
    <t>1700_41D7</t>
  </si>
  <si>
    <t>1700_43D7</t>
  </si>
  <si>
    <t>1700_45D7</t>
  </si>
  <si>
    <t>1700_47D7</t>
  </si>
  <si>
    <t>1700_49D7</t>
  </si>
  <si>
    <t>1700_4BD7</t>
  </si>
  <si>
    <t>1700_4DD7</t>
  </si>
  <si>
    <t>1700_4FD7</t>
  </si>
  <si>
    <t>1700_51D7</t>
  </si>
  <si>
    <t>1700_53D7</t>
  </si>
  <si>
    <t>1700_55D7</t>
  </si>
  <si>
    <t>1700_57D7</t>
  </si>
  <si>
    <t>1700_59D7</t>
  </si>
  <si>
    <t>1700_5BD7</t>
  </si>
  <si>
    <t>1700_5DD7</t>
  </si>
  <si>
    <t>1700_5FD7</t>
  </si>
  <si>
    <t>1700_61D7</t>
  </si>
  <si>
    <t>1700_63D7</t>
  </si>
  <si>
    <t>1700_65D7</t>
  </si>
  <si>
    <t>1700_67D7</t>
  </si>
  <si>
    <t>1700_69D7</t>
  </si>
  <si>
    <t>1700_6BD7</t>
  </si>
  <si>
    <t>1700_6DD7</t>
  </si>
  <si>
    <t>1700_6FD7</t>
  </si>
  <si>
    <t>1700_71D7</t>
  </si>
  <si>
    <t>1700_73D7</t>
  </si>
  <si>
    <t>1700_75D7</t>
  </si>
  <si>
    <t>1700_77D7</t>
  </si>
  <si>
    <t>1700_79D7</t>
  </si>
  <si>
    <t>1700_7BD7</t>
  </si>
  <si>
    <t>1700_7DD7</t>
  </si>
  <si>
    <t>1700_7FD7</t>
  </si>
  <si>
    <t>1700_01D8</t>
  </si>
  <si>
    <t>1700_03D8</t>
  </si>
  <si>
    <t>1700_05D8</t>
  </si>
  <si>
    <t>1700_07D8</t>
  </si>
  <si>
    <t>1700_09D8</t>
  </si>
  <si>
    <t>1700_0BD8</t>
  </si>
  <si>
    <t>1700_0DD8</t>
  </si>
  <si>
    <t>1700_0FD8</t>
  </si>
  <si>
    <t>1700_11D8</t>
  </si>
  <si>
    <t>1700_13D8</t>
  </si>
  <si>
    <t>1700_15D8</t>
  </si>
  <si>
    <t>1700_17D8</t>
  </si>
  <si>
    <t>1700_19D8</t>
  </si>
  <si>
    <t>1700_1BD8</t>
  </si>
  <si>
    <t>1700_1DD8</t>
  </si>
  <si>
    <t>1700_1FD8</t>
  </si>
  <si>
    <t>1700_21D8</t>
  </si>
  <si>
    <t>1700_23D8</t>
  </si>
  <si>
    <t>1700_25D8</t>
  </si>
  <si>
    <t>1700_27D8</t>
  </si>
  <si>
    <t>1700_29D8</t>
  </si>
  <si>
    <t>1700_2BD8</t>
  </si>
  <si>
    <t>1700_2DD8</t>
  </si>
  <si>
    <t>1700_2FD8</t>
  </si>
  <si>
    <t>1700_31D8</t>
  </si>
  <si>
    <t>1700_33D8</t>
  </si>
  <si>
    <t>1700_35D8</t>
  </si>
  <si>
    <t>1700_37D8</t>
  </si>
  <si>
    <t>1700_39D8</t>
  </si>
  <si>
    <t>1700_3BD8</t>
  </si>
  <si>
    <t>1700_3DD8</t>
  </si>
  <si>
    <t>1700_3FD8</t>
  </si>
  <si>
    <t>1700_41D8</t>
  </si>
  <si>
    <t>1700_43D8</t>
  </si>
  <si>
    <t>1700_45D8</t>
  </si>
  <si>
    <t>1700_47D8</t>
  </si>
  <si>
    <t>1700_49D8</t>
  </si>
  <si>
    <t>1700_4BD8</t>
  </si>
  <si>
    <t>1700_4DD8</t>
  </si>
  <si>
    <t>1700_4FD8</t>
  </si>
  <si>
    <t>1700_51D8</t>
  </si>
  <si>
    <t>1700_53D8</t>
  </si>
  <si>
    <t>1700_55D8</t>
  </si>
  <si>
    <t>1700_57D8</t>
  </si>
  <si>
    <t>1700_59D8</t>
  </si>
  <si>
    <t>1700_5BD8</t>
  </si>
  <si>
    <t>1700_5DD8</t>
  </si>
  <si>
    <t>1700_5FD8</t>
  </si>
  <si>
    <t>1700_61D8</t>
  </si>
  <si>
    <t>1700_63D8</t>
  </si>
  <si>
    <t>1700_65D8</t>
  </si>
  <si>
    <t>1700_67D8</t>
  </si>
  <si>
    <t>1700_69D8</t>
  </si>
  <si>
    <t>1700_6BD8</t>
  </si>
  <si>
    <t>1700_6DD8</t>
  </si>
  <si>
    <t>1700_6FD8</t>
  </si>
  <si>
    <t>1700_71D8</t>
  </si>
  <si>
    <t>1700_73D8</t>
  </si>
  <si>
    <t>1700_75D8</t>
  </si>
  <si>
    <t>1700_77D8</t>
  </si>
  <si>
    <t>1700_79D8</t>
  </si>
  <si>
    <t>1700_7BD8</t>
  </si>
  <si>
    <t>1700_7DD8</t>
  </si>
  <si>
    <t>1700_7FD8</t>
  </si>
  <si>
    <t>1700_01D9</t>
  </si>
  <si>
    <t>1700_03D9</t>
  </si>
  <si>
    <t>1700_05D9</t>
  </si>
  <si>
    <t>1700_07D9</t>
  </si>
  <si>
    <t>1700_09D9</t>
  </si>
  <si>
    <t>1700_0BD9</t>
  </si>
  <si>
    <t>1700_0DD9</t>
  </si>
  <si>
    <t>1700_0FD9</t>
  </si>
  <si>
    <t>1700_11D9</t>
  </si>
  <si>
    <t>1700_13D9</t>
  </si>
  <si>
    <t>1700_15D9</t>
  </si>
  <si>
    <t>1700_17D9</t>
  </si>
  <si>
    <t>1700_19D9</t>
  </si>
  <si>
    <t>1700_1BD9</t>
  </si>
  <si>
    <t>1700_1DD9</t>
  </si>
  <si>
    <t>1700_1FD9</t>
  </si>
  <si>
    <t>1700_21D9</t>
  </si>
  <si>
    <t>1700_23D9</t>
  </si>
  <si>
    <t>1700_25D9</t>
  </si>
  <si>
    <t>1700_27D9</t>
  </si>
  <si>
    <t>1700_29D9</t>
  </si>
  <si>
    <t>1700_2BD9</t>
  </si>
  <si>
    <t>1700_2DD9</t>
  </si>
  <si>
    <t>1700_2FD9</t>
  </si>
  <si>
    <t>1700_31D9</t>
  </si>
  <si>
    <t>1700_33D9</t>
  </si>
  <si>
    <t>1700_35D9</t>
  </si>
  <si>
    <t>1700_37D9</t>
  </si>
  <si>
    <t>1700_39D9</t>
  </si>
  <si>
    <t>1700_3BD9</t>
  </si>
  <si>
    <t>1700_3DD9</t>
  </si>
  <si>
    <t>1700_3FD9</t>
  </si>
  <si>
    <t>1700_41D9</t>
  </si>
  <si>
    <t>1700_43D9</t>
  </si>
  <si>
    <t>1700_45D9</t>
  </si>
  <si>
    <t>1700_47D9</t>
  </si>
  <si>
    <t>1700_49D9</t>
  </si>
  <si>
    <t>1700_4BD9</t>
  </si>
  <si>
    <t>1700_4DD9</t>
  </si>
  <si>
    <t>1700_4FD9</t>
  </si>
  <si>
    <t>1700_51D9</t>
  </si>
  <si>
    <t>1700_53D9</t>
  </si>
  <si>
    <t>1700_55D9</t>
  </si>
  <si>
    <t>1700_57D9</t>
  </si>
  <si>
    <t>1700_59D9</t>
  </si>
  <si>
    <t>1700_5BD9</t>
  </si>
  <si>
    <t>1700_5DD9</t>
  </si>
  <si>
    <t>1700_5FD9</t>
  </si>
  <si>
    <t>1700_61D9</t>
  </si>
  <si>
    <t>1700_63D9</t>
  </si>
  <si>
    <t>1700_65D9</t>
  </si>
  <si>
    <t>1700_67D9</t>
  </si>
  <si>
    <t>1700_69D9</t>
  </si>
  <si>
    <t>1700_6BD9</t>
  </si>
  <si>
    <t>1700_6DD9</t>
  </si>
  <si>
    <t>1700_6FD9</t>
  </si>
  <si>
    <t>1700_71D9</t>
  </si>
  <si>
    <t>1700_73D9</t>
  </si>
  <si>
    <t>1700_75D9</t>
  </si>
  <si>
    <t>1700_77D9</t>
  </si>
  <si>
    <t>1700_79D9</t>
  </si>
  <si>
    <t>1700_7BD9</t>
  </si>
  <si>
    <t>1700_7DD9</t>
  </si>
  <si>
    <t>1700_7FD9</t>
  </si>
  <si>
    <t>1700_01DA</t>
  </si>
  <si>
    <t>1700_03DA</t>
  </si>
  <si>
    <t>1700_05DA</t>
  </si>
  <si>
    <t>1700_07DA</t>
  </si>
  <si>
    <t>1700_09DA</t>
  </si>
  <si>
    <t>1700_0BDA</t>
  </si>
  <si>
    <t>1700_0DDA</t>
  </si>
  <si>
    <t>1700_0FDA</t>
  </si>
  <si>
    <t>1700_11DA</t>
  </si>
  <si>
    <t>1700_13DA</t>
  </si>
  <si>
    <t>1700_15DA</t>
  </si>
  <si>
    <t>1700_17DA</t>
  </si>
  <si>
    <t>1700_19DA</t>
  </si>
  <si>
    <t>1700_1BDA</t>
  </si>
  <si>
    <t>1700_1DDA</t>
  </si>
  <si>
    <t>1700_1FDA</t>
  </si>
  <si>
    <t>1700_21DA</t>
  </si>
  <si>
    <t>1700_23DA</t>
  </si>
  <si>
    <t>1700_25DA</t>
  </si>
  <si>
    <t>1700_27DA</t>
  </si>
  <si>
    <t>1700_29DA</t>
  </si>
  <si>
    <t>1700_2BDA</t>
  </si>
  <si>
    <t>1700_2DDA</t>
  </si>
  <si>
    <t>1700_2FDA</t>
  </si>
  <si>
    <t>1700_31DA</t>
  </si>
  <si>
    <t>1700_33DA</t>
  </si>
  <si>
    <t>1700_35DA</t>
  </si>
  <si>
    <t>1700_37DA</t>
  </si>
  <si>
    <t>1700_39DA</t>
  </si>
  <si>
    <t>1700_3BDA</t>
  </si>
  <si>
    <t>1700_3DDA</t>
  </si>
  <si>
    <t>1700_3FDA</t>
  </si>
  <si>
    <t>1700_41DA</t>
  </si>
  <si>
    <t>1700_43DA</t>
  </si>
  <si>
    <t>1700_45DA</t>
  </si>
  <si>
    <t>1700_47DA</t>
  </si>
  <si>
    <t>1700_49DA</t>
  </si>
  <si>
    <t>1700_4BDA</t>
  </si>
  <si>
    <t>1700_4DDA</t>
  </si>
  <si>
    <t>1700_4FDA</t>
  </si>
  <si>
    <t>1700_51DA</t>
  </si>
  <si>
    <t>1700_53DA</t>
  </si>
  <si>
    <t>1700_55DA</t>
  </si>
  <si>
    <t>1700_57DA</t>
  </si>
  <si>
    <t>1700_59DA</t>
  </si>
  <si>
    <t>1700_5BDA</t>
  </si>
  <si>
    <t>1700_5DDA</t>
  </si>
  <si>
    <t>1700_5FDA</t>
  </si>
  <si>
    <t>1700_61DA</t>
  </si>
  <si>
    <t>1700_63DA</t>
  </si>
  <si>
    <t>1700_65DA</t>
  </si>
  <si>
    <t>1700_67DA</t>
  </si>
  <si>
    <t>1700_69DA</t>
  </si>
  <si>
    <t>1700_6BDA</t>
  </si>
  <si>
    <t>1700_6DDA</t>
  </si>
  <si>
    <t>1700_6FDA</t>
  </si>
  <si>
    <t>1700_71DA</t>
  </si>
  <si>
    <t>1700_73DA</t>
  </si>
  <si>
    <t>1700_75DA</t>
  </si>
  <si>
    <t>1700_77DA</t>
  </si>
  <si>
    <t>1700_79DA</t>
  </si>
  <si>
    <t>1700_7BDA</t>
  </si>
  <si>
    <t>1700_7DDA</t>
  </si>
  <si>
    <t>1700_7FDA</t>
  </si>
  <si>
    <t>1700_01DB</t>
  </si>
  <si>
    <t>1700_03DB</t>
  </si>
  <si>
    <t>1700_05DB</t>
  </si>
  <si>
    <t>1700_07DB</t>
  </si>
  <si>
    <t>1700_09DB</t>
  </si>
  <si>
    <t>1700_0BDB</t>
  </si>
  <si>
    <t>1700_0DDB</t>
  </si>
  <si>
    <t>1700_0FDB</t>
  </si>
  <si>
    <t>1700_11DB</t>
  </si>
  <si>
    <t>1700_13DB</t>
  </si>
  <si>
    <t>1700_15DB</t>
  </si>
  <si>
    <t>1700_17DB</t>
  </si>
  <si>
    <t>1700_19DB</t>
  </si>
  <si>
    <t>1700_1BDB</t>
  </si>
  <si>
    <t>1700_1DDB</t>
  </si>
  <si>
    <t>1700_1FDB</t>
  </si>
  <si>
    <t>1700_21DB</t>
  </si>
  <si>
    <t>1700_23DB</t>
  </si>
  <si>
    <t>1700_25DB</t>
  </si>
  <si>
    <t>1700_27DB</t>
  </si>
  <si>
    <t>1700_29DB</t>
  </si>
  <si>
    <t>1700_2BDB</t>
  </si>
  <si>
    <t>1700_2DDB</t>
  </si>
  <si>
    <t>1700_2FDB</t>
  </si>
  <si>
    <t>1700_31DB</t>
  </si>
  <si>
    <t>1700_33DB</t>
  </si>
  <si>
    <t>1700_35DB</t>
  </si>
  <si>
    <t>1700_37DB</t>
  </si>
  <si>
    <t>1700_39DB</t>
  </si>
  <si>
    <t>1700_3BDB</t>
  </si>
  <si>
    <t>1700_3DDB</t>
  </si>
  <si>
    <t>1700_3FDB</t>
  </si>
  <si>
    <t>1700_41DB</t>
  </si>
  <si>
    <t>1700_43DB</t>
  </si>
  <si>
    <t>1700_45DB</t>
  </si>
  <si>
    <t>1700_47DB</t>
  </si>
  <si>
    <t>1700_49DB</t>
  </si>
  <si>
    <t>1700_4BDB</t>
  </si>
  <si>
    <t>1700_4DDB</t>
  </si>
  <si>
    <t>1700_4FDB</t>
  </si>
  <si>
    <t>1700_51DB</t>
  </si>
  <si>
    <t>1700_53DB</t>
  </si>
  <si>
    <t>1700_55DB</t>
  </si>
  <si>
    <t>1700_57DB</t>
  </si>
  <si>
    <t>1700_59DB</t>
  </si>
  <si>
    <t>1700_5BDB</t>
  </si>
  <si>
    <t>1700_5DDB</t>
  </si>
  <si>
    <t>1700_5FDB</t>
  </si>
  <si>
    <t>1700_61DB</t>
  </si>
  <si>
    <t>1700_63DB</t>
  </si>
  <si>
    <t>1700_65DB</t>
  </si>
  <si>
    <t>1700_67DB</t>
  </si>
  <si>
    <t>1700_69DB</t>
  </si>
  <si>
    <t>1700_6BDB</t>
  </si>
  <si>
    <t>1700_6DDB</t>
  </si>
  <si>
    <t>1700_6FDB</t>
  </si>
  <si>
    <t>1700_71DB</t>
  </si>
  <si>
    <t>1700_73DB</t>
  </si>
  <si>
    <t>1700_75DB</t>
  </si>
  <si>
    <t>1700_77DB</t>
  </si>
  <si>
    <t>1700_79DB</t>
  </si>
  <si>
    <t>1700_7BDB</t>
  </si>
  <si>
    <t>1700_7DDB</t>
  </si>
  <si>
    <t>1700_7FDB</t>
  </si>
  <si>
    <t>1700_01DC</t>
  </si>
  <si>
    <t>1700_03DC</t>
  </si>
  <si>
    <t>1700_05DC</t>
  </si>
  <si>
    <t>1700_07DC</t>
  </si>
  <si>
    <t>1700_09DC</t>
  </si>
  <si>
    <t>1700_0BDC</t>
  </si>
  <si>
    <t>1700_0DDC</t>
  </si>
  <si>
    <t>1700_0FDC</t>
  </si>
  <si>
    <t>1700_11DC</t>
  </si>
  <si>
    <t>1700_13DC</t>
  </si>
  <si>
    <t>1700_15DC</t>
  </si>
  <si>
    <t>1700_17DC</t>
  </si>
  <si>
    <t>1700_19DC</t>
  </si>
  <si>
    <t>1700_1BDC</t>
  </si>
  <si>
    <t>1700_1DDC</t>
  </si>
  <si>
    <t>1700_1FDC</t>
  </si>
  <si>
    <t>1700_21DC</t>
  </si>
  <si>
    <t>1700_23DC</t>
  </si>
  <si>
    <t>1700_25DC</t>
  </si>
  <si>
    <t>1700_27DC</t>
  </si>
  <si>
    <t>1700_29DC</t>
  </si>
  <si>
    <t>1700_2BDC</t>
  </si>
  <si>
    <t>1700_2DDC</t>
  </si>
  <si>
    <t>1700_2FDC</t>
  </si>
  <si>
    <t>1700_31DC</t>
  </si>
  <si>
    <t>1700_33DC</t>
  </si>
  <si>
    <t>1700_35DC</t>
  </si>
  <si>
    <t>1700_37DC</t>
  </si>
  <si>
    <t>1700_39DC</t>
  </si>
  <si>
    <t>1700_3BDC</t>
  </si>
  <si>
    <t>1700_3DDC</t>
  </si>
  <si>
    <t>1700_3FDC</t>
  </si>
  <si>
    <t>1700_41DC</t>
  </si>
  <si>
    <t>1700_43DC</t>
  </si>
  <si>
    <t>1700_45DC</t>
  </si>
  <si>
    <t>1700_47DC</t>
  </si>
  <si>
    <t>1700_49DC</t>
  </si>
  <si>
    <t>1700_4BDC</t>
  </si>
  <si>
    <t>1700_4DDC</t>
  </si>
  <si>
    <t>1700_4FDC</t>
  </si>
  <si>
    <t>1700_51DC</t>
  </si>
  <si>
    <t>1700_53DC</t>
  </si>
  <si>
    <t>1700_55DC</t>
  </si>
  <si>
    <t>1700_57DC</t>
  </si>
  <si>
    <t>1700_59DC</t>
  </si>
  <si>
    <t>1700_5BDC</t>
  </si>
  <si>
    <t>1700_5DDC</t>
  </si>
  <si>
    <t>1700_5FDC</t>
  </si>
  <si>
    <t>1700_61DC</t>
  </si>
  <si>
    <t>1700_63DC</t>
  </si>
  <si>
    <t>1700_65DC</t>
  </si>
  <si>
    <t>1700_67DC</t>
  </si>
  <si>
    <t>1700_69DC</t>
  </si>
  <si>
    <t>1700_6BDC</t>
  </si>
  <si>
    <t>1700_6DDC</t>
  </si>
  <si>
    <t>1700_6FDC</t>
  </si>
  <si>
    <t>1700_71DC</t>
  </si>
  <si>
    <t>1700_73DC</t>
  </si>
  <si>
    <t>1700_75DC</t>
  </si>
  <si>
    <t>1700_77DC</t>
  </si>
  <si>
    <t>1700_79DC</t>
  </si>
  <si>
    <t>1700_7BDC</t>
  </si>
  <si>
    <t>1700_7DDC</t>
  </si>
  <si>
    <t>1700_7FDC</t>
  </si>
  <si>
    <t>1700_01DD</t>
  </si>
  <si>
    <t>1700_03DD</t>
  </si>
  <si>
    <t>1700_05DD</t>
  </si>
  <si>
    <t>1700_07DD</t>
  </si>
  <si>
    <t>1700_09DD</t>
  </si>
  <si>
    <t>1700_0BDD</t>
  </si>
  <si>
    <t>1700_0DDD</t>
  </si>
  <si>
    <t>1700_0FDD</t>
  </si>
  <si>
    <t>1700_11DD</t>
  </si>
  <si>
    <t>1700_13DD</t>
  </si>
  <si>
    <t>1700_15DD</t>
  </si>
  <si>
    <t>1700_17DD</t>
  </si>
  <si>
    <t>1700_19DD</t>
  </si>
  <si>
    <t>1700_1BDD</t>
  </si>
  <si>
    <t>1700_1DDD</t>
  </si>
  <si>
    <t>1700_1FDD</t>
  </si>
  <si>
    <t>1700_21DD</t>
  </si>
  <si>
    <t>1700_23DD</t>
  </si>
  <si>
    <t>1700_25DD</t>
  </si>
  <si>
    <t>1700_27DD</t>
  </si>
  <si>
    <t>1700_29DD</t>
  </si>
  <si>
    <t>1700_2BDD</t>
  </si>
  <si>
    <t>1700_2DDD</t>
  </si>
  <si>
    <t>1700_2FDD</t>
  </si>
  <si>
    <t>1700_31DD</t>
  </si>
  <si>
    <t>1700_33DD</t>
  </si>
  <si>
    <t>1700_35DD</t>
  </si>
  <si>
    <t>1700_37DD</t>
  </si>
  <si>
    <t>1700_39DD</t>
  </si>
  <si>
    <t>1700_3BDD</t>
  </si>
  <si>
    <t>1700_3DDD</t>
  </si>
  <si>
    <t>1700_3FDD</t>
  </si>
  <si>
    <t>1700_41DD</t>
  </si>
  <si>
    <t>1700_43DD</t>
  </si>
  <si>
    <t>1700_45DD</t>
  </si>
  <si>
    <t>1700_47DD</t>
  </si>
  <si>
    <t>1700_49DD</t>
  </si>
  <si>
    <t>1700_4BDD</t>
  </si>
  <si>
    <t>1700_4DDD</t>
  </si>
  <si>
    <t>1700_4FDD</t>
  </si>
  <si>
    <t>1700_51DD</t>
  </si>
  <si>
    <t>1700_53DD</t>
  </si>
  <si>
    <t>1700_55DD</t>
  </si>
  <si>
    <t>1700_57DD</t>
  </si>
  <si>
    <t>1700_59DD</t>
  </si>
  <si>
    <t>1700_5BDD</t>
  </si>
  <si>
    <t>1700_5DDD</t>
  </si>
  <si>
    <t>1700_5FDD</t>
  </si>
  <si>
    <t>1700_61DD</t>
  </si>
  <si>
    <t>1700_63DD</t>
  </si>
  <si>
    <t>1700_65DD</t>
  </si>
  <si>
    <t>1700_67DD</t>
  </si>
  <si>
    <t>1700_69DD</t>
  </si>
  <si>
    <t>1700_6BDD</t>
  </si>
  <si>
    <t>1700_6DDD</t>
  </si>
  <si>
    <t>1700_6FDD</t>
  </si>
  <si>
    <t>1700_71DD</t>
  </si>
  <si>
    <t>1700_73DD</t>
  </si>
  <si>
    <t>1700_75DD</t>
  </si>
  <si>
    <t>1700_77DD</t>
  </si>
  <si>
    <t>1700_79DD</t>
  </si>
  <si>
    <t>1700_7BDD</t>
  </si>
  <si>
    <t>1700_7DDD</t>
  </si>
  <si>
    <t>1700_7FDD</t>
  </si>
  <si>
    <t>1700_01DE</t>
  </si>
  <si>
    <t>1700_03DE</t>
  </si>
  <si>
    <t>1700_05DE</t>
  </si>
  <si>
    <t>1700_07DE</t>
  </si>
  <si>
    <t>1700_09DE</t>
  </si>
  <si>
    <t>1700_0BDE</t>
  </si>
  <si>
    <t>1700_0DDE</t>
  </si>
  <si>
    <t>1700_0FDE</t>
  </si>
  <si>
    <t>1700_11DE</t>
  </si>
  <si>
    <t>1700_13DE</t>
  </si>
  <si>
    <t>1700_15DE</t>
  </si>
  <si>
    <t>1700_17DE</t>
  </si>
  <si>
    <t>1700_19DE</t>
  </si>
  <si>
    <t>1700_1BDE</t>
  </si>
  <si>
    <t>1700_1DDE</t>
  </si>
  <si>
    <t>1700_1FDE</t>
  </si>
  <si>
    <t>1700_21DE</t>
  </si>
  <si>
    <t>1700_23DE</t>
  </si>
  <si>
    <t>1700_25DE</t>
  </si>
  <si>
    <t>1700_27DE</t>
  </si>
  <si>
    <t>1700_29DE</t>
  </si>
  <si>
    <t>1700_2BDE</t>
  </si>
  <si>
    <t>1700_2DDE</t>
  </si>
  <si>
    <t>1700_2FDE</t>
  </si>
  <si>
    <t>1700_31DE</t>
  </si>
  <si>
    <t>1700_33DE</t>
  </si>
  <si>
    <t>1700_35DE</t>
  </si>
  <si>
    <t>1700_37DE</t>
  </si>
  <si>
    <t>1700_39DE</t>
  </si>
  <si>
    <t>1700_3BDE</t>
  </si>
  <si>
    <t>1700_3DDE</t>
  </si>
  <si>
    <t>1700_3FDE</t>
  </si>
  <si>
    <t>1700_41DE</t>
  </si>
  <si>
    <t>1700_43DE</t>
  </si>
  <si>
    <t>1700_45DE</t>
  </si>
  <si>
    <t>1700_47DE</t>
  </si>
  <si>
    <t>1700_49DE</t>
  </si>
  <si>
    <t>1700_4BDE</t>
  </si>
  <si>
    <t>1700_4DDE</t>
  </si>
  <si>
    <t>1700_4FDE</t>
  </si>
  <si>
    <t>1700_51DE</t>
  </si>
  <si>
    <t>1700_53DE</t>
  </si>
  <si>
    <t>1700_55DE</t>
  </si>
  <si>
    <t>1700_57DE</t>
  </si>
  <si>
    <t>1700_59DE</t>
  </si>
  <si>
    <t>1700_5BDE</t>
  </si>
  <si>
    <t>1700_5DDE</t>
  </si>
  <si>
    <t>1700_5FDE</t>
  </si>
  <si>
    <t>1700_61DE</t>
  </si>
  <si>
    <t>1700_63DE</t>
  </si>
  <si>
    <t>1700_65DE</t>
  </si>
  <si>
    <t>1700_67DE</t>
  </si>
  <si>
    <t>1700_69DE</t>
  </si>
  <si>
    <t>1700_6BDE</t>
  </si>
  <si>
    <t>1700_6DDE</t>
  </si>
  <si>
    <t>1700_6FDE</t>
  </si>
  <si>
    <t>1700_71DE</t>
  </si>
  <si>
    <t>1700_73DE</t>
  </si>
  <si>
    <t>1700_75DE</t>
  </si>
  <si>
    <t>1700_77DE</t>
  </si>
  <si>
    <t>1700_79DE</t>
  </si>
  <si>
    <t>1700_7BDE</t>
  </si>
  <si>
    <t>1700_7DDE</t>
  </si>
  <si>
    <t>1700_7FDE</t>
  </si>
  <si>
    <t>1700_01DF</t>
  </si>
  <si>
    <t>1700_03DF</t>
  </si>
  <si>
    <t>1700_05DF</t>
  </si>
  <si>
    <t>1700_07DF</t>
  </si>
  <si>
    <t>1700_09DF</t>
  </si>
  <si>
    <t>1700_0BDF</t>
  </si>
  <si>
    <t>1700_0DDF</t>
  </si>
  <si>
    <t>1700_0FDF</t>
  </si>
  <si>
    <t>1700_11DF</t>
  </si>
  <si>
    <t>1700_13DF</t>
  </si>
  <si>
    <t>1700_15DF</t>
  </si>
  <si>
    <t>1700_17DF</t>
  </si>
  <si>
    <t>1700_19DF</t>
  </si>
  <si>
    <t>1700_1BDF</t>
  </si>
  <si>
    <t>1700_1DDF</t>
  </si>
  <si>
    <t>1700_1FDF</t>
  </si>
  <si>
    <t>1700_21DF</t>
  </si>
  <si>
    <t>1700_23DF</t>
  </si>
  <si>
    <t>1700_25DF</t>
  </si>
  <si>
    <t>1700_27DF</t>
  </si>
  <si>
    <t>1700_29DF</t>
  </si>
  <si>
    <t>1700_2BDF</t>
  </si>
  <si>
    <t>1700_2DDF</t>
  </si>
  <si>
    <t>1700_2FDF</t>
  </si>
  <si>
    <t>1700_31DF</t>
  </si>
  <si>
    <t>1700_33DF</t>
  </si>
  <si>
    <t>1700_35DF</t>
  </si>
  <si>
    <t>1700_37DF</t>
  </si>
  <si>
    <t>1700_39DF</t>
  </si>
  <si>
    <t>1700_3BDF</t>
  </si>
  <si>
    <t>1700_3DDF</t>
  </si>
  <si>
    <t>1700_3FDF</t>
  </si>
  <si>
    <t>1700_41DF</t>
  </si>
  <si>
    <t>1700_43DF</t>
  </si>
  <si>
    <t>1700_45DF</t>
  </si>
  <si>
    <t>1700_47DF</t>
  </si>
  <si>
    <t>1700_49DF</t>
  </si>
  <si>
    <t>1700_4BDF</t>
  </si>
  <si>
    <t>1700_4DDF</t>
  </si>
  <si>
    <t>1700_4FDF</t>
  </si>
  <si>
    <t>1700_51DF</t>
  </si>
  <si>
    <t>1700_53DF</t>
  </si>
  <si>
    <t>1700_55DF</t>
  </si>
  <si>
    <t>1700_57DF</t>
  </si>
  <si>
    <t>1700_59DF</t>
  </si>
  <si>
    <t>1700_5BDF</t>
  </si>
  <si>
    <t>1700_5DDF</t>
  </si>
  <si>
    <t>1700_5FDF</t>
  </si>
  <si>
    <t>1700_61DF</t>
  </si>
  <si>
    <t>1700_63DF</t>
  </si>
  <si>
    <t>1700_65DF</t>
  </si>
  <si>
    <t>1700_67DF</t>
  </si>
  <si>
    <t>1700_69DF</t>
  </si>
  <si>
    <t>1700_6BDF</t>
  </si>
  <si>
    <t>1700_6DDF</t>
  </si>
  <si>
    <t>1700_6FDF</t>
  </si>
  <si>
    <t>1700_71DF</t>
  </si>
  <si>
    <t>1700_73DF</t>
  </si>
  <si>
    <t>1700_75DF</t>
  </si>
  <si>
    <t>1700_77DF</t>
  </si>
  <si>
    <t>1700_79DF</t>
  </si>
  <si>
    <t>1700_7BDF</t>
  </si>
  <si>
    <t>1700_7DDF</t>
  </si>
  <si>
    <t>1700_7FDF</t>
  </si>
  <si>
    <t>1700_01E0</t>
  </si>
  <si>
    <t>1700_03E0</t>
  </si>
  <si>
    <t>1700_05E0</t>
  </si>
  <si>
    <t>1700_07E0</t>
  </si>
  <si>
    <t>1700_09E0</t>
  </si>
  <si>
    <t>1700_0BE0</t>
  </si>
  <si>
    <t>1700_0DE0</t>
  </si>
  <si>
    <t>1700_0FE0</t>
  </si>
  <si>
    <t>1700_11E0</t>
  </si>
  <si>
    <t>1700_13E0</t>
  </si>
  <si>
    <t>1700_15E0</t>
  </si>
  <si>
    <t>1700_17E0</t>
  </si>
  <si>
    <t>1700_19E0</t>
  </si>
  <si>
    <t>1700_1BE0</t>
  </si>
  <si>
    <t>1700_1DE0</t>
  </si>
  <si>
    <t>1700_1FE0</t>
  </si>
  <si>
    <t>1700_21E0</t>
  </si>
  <si>
    <t>1700_23E0</t>
  </si>
  <si>
    <t>1700_25E0</t>
  </si>
  <si>
    <t>1700_27E0</t>
  </si>
  <si>
    <t>1700_29E0</t>
  </si>
  <si>
    <t>1700_2BE0</t>
  </si>
  <si>
    <t>1700_2DE0</t>
  </si>
  <si>
    <t>1700_2FE0</t>
  </si>
  <si>
    <t>1700_31E0</t>
  </si>
  <si>
    <t>1700_33E0</t>
  </si>
  <si>
    <t>1700_35E0</t>
  </si>
  <si>
    <t>1700_37E0</t>
  </si>
  <si>
    <t>1700_39E0</t>
  </si>
  <si>
    <t>1700_3BE0</t>
  </si>
  <si>
    <t>1700_3DE0</t>
  </si>
  <si>
    <t>1700_3FE0</t>
  </si>
  <si>
    <t>1700_41E0</t>
  </si>
  <si>
    <t>1700_43E0</t>
  </si>
  <si>
    <t>1700_45E0</t>
  </si>
  <si>
    <t>1700_47E0</t>
  </si>
  <si>
    <t>1700_49E0</t>
  </si>
  <si>
    <t>1700_4BE0</t>
  </si>
  <si>
    <t>1700_4DE0</t>
  </si>
  <si>
    <t>1700_4FE0</t>
  </si>
  <si>
    <t>1700_51E0</t>
  </si>
  <si>
    <t>1700_53E0</t>
  </si>
  <si>
    <t>1700_55E0</t>
  </si>
  <si>
    <t>1700_57E0</t>
  </si>
  <si>
    <t>1700_59E0</t>
  </si>
  <si>
    <t>1700_5BE0</t>
  </si>
  <si>
    <t>1700_5DE0</t>
  </si>
  <si>
    <t>1700_5FE0</t>
  </si>
  <si>
    <t>1700_61E0</t>
  </si>
  <si>
    <t>1700_63E0</t>
  </si>
  <si>
    <t>1700_65E0</t>
  </si>
  <si>
    <t>1700_67E0</t>
  </si>
  <si>
    <t>1700_69E0</t>
  </si>
  <si>
    <t>1700_6BE0</t>
  </si>
  <si>
    <t>1700_6DE0</t>
  </si>
  <si>
    <t>1700_6FE0</t>
  </si>
  <si>
    <t>1700_71E0</t>
  </si>
  <si>
    <t>1700_73E0</t>
  </si>
  <si>
    <t>1700_75E0</t>
  </si>
  <si>
    <t>1700_77E0</t>
  </si>
  <si>
    <t>1700_79E0</t>
  </si>
  <si>
    <t>1700_7BE0</t>
  </si>
  <si>
    <t>1700_7DE0</t>
  </si>
  <si>
    <t>1700_7FE0</t>
  </si>
  <si>
    <t>1700_01E1</t>
  </si>
  <si>
    <t>1700_03E1</t>
  </si>
  <si>
    <t>1700_05E1</t>
  </si>
  <si>
    <t>1700_07E1</t>
  </si>
  <si>
    <t>1700_09E1</t>
  </si>
  <si>
    <t>1700_0BE1</t>
  </si>
  <si>
    <t>1700_0DE1</t>
  </si>
  <si>
    <t>1700_0FE1</t>
  </si>
  <si>
    <t>1700_11E1</t>
  </si>
  <si>
    <t>1700_13E1</t>
  </si>
  <si>
    <t>1700_15E1</t>
  </si>
  <si>
    <t>1700_17E1</t>
  </si>
  <si>
    <t>1700_19E1</t>
  </si>
  <si>
    <t>1700_1BE1</t>
  </si>
  <si>
    <t>1700_1DE1</t>
  </si>
  <si>
    <t>1700_1FE1</t>
  </si>
  <si>
    <t>1700_21E1</t>
  </si>
  <si>
    <t>1700_23E1</t>
  </si>
  <si>
    <t>1700_25E1</t>
  </si>
  <si>
    <t>1700_27E1</t>
  </si>
  <si>
    <t>1700_29E1</t>
  </si>
  <si>
    <t>1700_2BE1</t>
  </si>
  <si>
    <t>1700_2DE1</t>
  </si>
  <si>
    <t>1700_2FE1</t>
  </si>
  <si>
    <t>1700_31E1</t>
  </si>
  <si>
    <t>1700_33E1</t>
  </si>
  <si>
    <t>1700_35E1</t>
  </si>
  <si>
    <t>1700_37E1</t>
  </si>
  <si>
    <t>1700_39E1</t>
  </si>
  <si>
    <t>1700_3BE1</t>
  </si>
  <si>
    <t>1700_3DE1</t>
  </si>
  <si>
    <t>1700_3FE1</t>
  </si>
  <si>
    <t>1700_41E1</t>
  </si>
  <si>
    <t>1700_43E1</t>
  </si>
  <si>
    <t>1700_45E1</t>
  </si>
  <si>
    <t>1700_47E1</t>
  </si>
  <si>
    <t>1700_49E1</t>
  </si>
  <si>
    <t>1700_4BE1</t>
  </si>
  <si>
    <t>1700_4DE1</t>
  </si>
  <si>
    <t>1700_4FE1</t>
  </si>
  <si>
    <t>1700_51E1</t>
  </si>
  <si>
    <t>1700_53E1</t>
  </si>
  <si>
    <t>1700_55E1</t>
  </si>
  <si>
    <t>1700_57E1</t>
  </si>
  <si>
    <t>1700_59E1</t>
  </si>
  <si>
    <t>1700_5BE1</t>
  </si>
  <si>
    <t>1700_5DE1</t>
  </si>
  <si>
    <t>1700_5FE1</t>
  </si>
  <si>
    <t>1700_61E1</t>
  </si>
  <si>
    <t>1700_63E1</t>
  </si>
  <si>
    <t>1700_65E1</t>
  </si>
  <si>
    <t>1700_67E1</t>
  </si>
  <si>
    <t>1700_69E1</t>
  </si>
  <si>
    <t>1700_6BE1</t>
  </si>
  <si>
    <t>1700_6DE1</t>
  </si>
  <si>
    <t>1700_6FE1</t>
  </si>
  <si>
    <t>1700_71E1</t>
  </si>
  <si>
    <t>1700_73E1</t>
  </si>
  <si>
    <t>1700_75E1</t>
  </si>
  <si>
    <t>1700_77E1</t>
  </si>
  <si>
    <t>1700_79E1</t>
  </si>
  <si>
    <t>1700_7BE1</t>
  </si>
  <si>
    <t>1700_7DE1</t>
  </si>
  <si>
    <t>1700_7FE1</t>
  </si>
  <si>
    <t>1700_01E2</t>
  </si>
  <si>
    <t>1700_03E2</t>
  </si>
  <si>
    <t>1700_05E2</t>
  </si>
  <si>
    <t>1700_07E2</t>
  </si>
  <si>
    <t>1700_09E2</t>
  </si>
  <si>
    <t>1700_0BE2</t>
  </si>
  <si>
    <t>1700_0DE2</t>
  </si>
  <si>
    <t>1700_0FE2</t>
  </si>
  <si>
    <t>1700_11E2</t>
  </si>
  <si>
    <t>1700_13E2</t>
  </si>
  <si>
    <t>1700_15E2</t>
  </si>
  <si>
    <t>1700_17E2</t>
  </si>
  <si>
    <t>1700_19E2</t>
  </si>
  <si>
    <t>1700_1BE2</t>
  </si>
  <si>
    <t>1700_1DE2</t>
  </si>
  <si>
    <t>1700_1FE2</t>
  </si>
  <si>
    <t>1700_21E2</t>
  </si>
  <si>
    <t>1700_23E2</t>
  </si>
  <si>
    <t>1700_25E2</t>
  </si>
  <si>
    <t>1700_27E2</t>
  </si>
  <si>
    <t>1700_29E2</t>
  </si>
  <si>
    <t>1700_2BE2</t>
  </si>
  <si>
    <t>1700_2DE2</t>
  </si>
  <si>
    <t>1700_2FE2</t>
  </si>
  <si>
    <t>1700_31E2</t>
  </si>
  <si>
    <t>1700_33E2</t>
  </si>
  <si>
    <t>1700_35E2</t>
  </si>
  <si>
    <t>1700_37E2</t>
  </si>
  <si>
    <t>1700_39E2</t>
  </si>
  <si>
    <t>1700_3BE2</t>
  </si>
  <si>
    <t>1700_3DE2</t>
  </si>
  <si>
    <t>1700_3FE2</t>
  </si>
  <si>
    <t>1700_41E2</t>
  </si>
  <si>
    <t>1700_43E2</t>
  </si>
  <si>
    <t>1700_45E2</t>
  </si>
  <si>
    <t>1700_47E2</t>
  </si>
  <si>
    <t>1700_49E2</t>
  </si>
  <si>
    <t>1700_4BE2</t>
  </si>
  <si>
    <t>1700_4DE2</t>
  </si>
  <si>
    <t>1700_4FE2</t>
  </si>
  <si>
    <t>1700_51E2</t>
  </si>
  <si>
    <t>1700_53E2</t>
  </si>
  <si>
    <t>1700_55E2</t>
  </si>
  <si>
    <t>1700_57E2</t>
  </si>
  <si>
    <t>1700_59E2</t>
  </si>
  <si>
    <t>1700_5BE2</t>
  </si>
  <si>
    <t>1700_5DE2</t>
  </si>
  <si>
    <t>1700_5FE2</t>
  </si>
  <si>
    <t>1700_61E2</t>
  </si>
  <si>
    <t>1700_63E2</t>
  </si>
  <si>
    <t>1700_65E2</t>
  </si>
  <si>
    <t>1700_67E2</t>
  </si>
  <si>
    <t>1700_69E2</t>
  </si>
  <si>
    <t>1700_6BE2</t>
  </si>
  <si>
    <t>1700_6DE2</t>
  </si>
  <si>
    <t>1700_6FE2</t>
  </si>
  <si>
    <t>1700_71E2</t>
  </si>
  <si>
    <t>1700_73E2</t>
  </si>
  <si>
    <t>1700_75E2</t>
  </si>
  <si>
    <t>1700_77E2</t>
  </si>
  <si>
    <t>1700_79E2</t>
  </si>
  <si>
    <t>1700_7BE2</t>
  </si>
  <si>
    <t>1700_7DE2</t>
  </si>
  <si>
    <t>1700_7FE2</t>
  </si>
  <si>
    <t>1700_01E3</t>
  </si>
  <si>
    <t>1700_03E3</t>
  </si>
  <si>
    <t>1700_05E3</t>
  </si>
  <si>
    <t>1700_07E3</t>
  </si>
  <si>
    <t>1700_09E3</t>
  </si>
  <si>
    <t>1700_0BE3</t>
  </si>
  <si>
    <t>1700_0DE3</t>
  </si>
  <si>
    <t>1700_0FE3</t>
  </si>
  <si>
    <t>1700_11E3</t>
  </si>
  <si>
    <t>1700_13E3</t>
  </si>
  <si>
    <t>1700_15E3</t>
  </si>
  <si>
    <t>1700_17E3</t>
  </si>
  <si>
    <t>1700_19E3</t>
  </si>
  <si>
    <t>1700_1BE3</t>
  </si>
  <si>
    <t>1700_1DE3</t>
  </si>
  <si>
    <t>1700_1FE3</t>
  </si>
  <si>
    <t>1700_21E3</t>
  </si>
  <si>
    <t>1700_23E3</t>
  </si>
  <si>
    <t>1700_25E3</t>
  </si>
  <si>
    <t>1700_27E3</t>
  </si>
  <si>
    <t>1700_29E3</t>
  </si>
  <si>
    <t>1700_2BE3</t>
  </si>
  <si>
    <t>1700_2DE3</t>
  </si>
  <si>
    <t>1700_2FE3</t>
  </si>
  <si>
    <t>1700_31E3</t>
  </si>
  <si>
    <t>1700_33E3</t>
  </si>
  <si>
    <t>1700_35E3</t>
  </si>
  <si>
    <t>1700_37E3</t>
  </si>
  <si>
    <t>1700_39E3</t>
  </si>
  <si>
    <t>1700_3BE3</t>
  </si>
  <si>
    <t>1700_3DE3</t>
  </si>
  <si>
    <t>1700_3FE3</t>
  </si>
  <si>
    <t>1700_41E3</t>
  </si>
  <si>
    <t>1700_43E3</t>
  </si>
  <si>
    <t>1700_45E3</t>
  </si>
  <si>
    <t>1700_47E3</t>
  </si>
  <si>
    <t>1700_49E3</t>
  </si>
  <si>
    <t>1700_4BE3</t>
  </si>
  <si>
    <t>1700_4DE3</t>
  </si>
  <si>
    <t>1700_4FE3</t>
  </si>
  <si>
    <t>1700_51E3</t>
  </si>
  <si>
    <t>1700_53E3</t>
  </si>
  <si>
    <t>1700_55E3</t>
  </si>
  <si>
    <t>1700_57E3</t>
  </si>
  <si>
    <t>1700_59E3</t>
  </si>
  <si>
    <t>1700_5BE3</t>
  </si>
  <si>
    <t>1700_5DE3</t>
  </si>
  <si>
    <t>1700_5FE3</t>
  </si>
  <si>
    <t>1700_61E3</t>
  </si>
  <si>
    <t>1700_63E3</t>
  </si>
  <si>
    <t>1700_65E3</t>
  </si>
  <si>
    <t>1700_67E3</t>
  </si>
  <si>
    <t>1700_69E3</t>
  </si>
  <si>
    <t>1700_6BE3</t>
  </si>
  <si>
    <t>1700_6DE3</t>
  </si>
  <si>
    <t>1700_6FE3</t>
  </si>
  <si>
    <t>1700_71E3</t>
  </si>
  <si>
    <t>1700_73E3</t>
  </si>
  <si>
    <t>1700_75E3</t>
  </si>
  <si>
    <t>1700_77E3</t>
  </si>
  <si>
    <t>1700_79E3</t>
  </si>
  <si>
    <t>1700_7BE3</t>
  </si>
  <si>
    <t>1700_7DE3</t>
  </si>
  <si>
    <t>1700_7FE3</t>
  </si>
  <si>
    <t>1700_01E4</t>
  </si>
  <si>
    <t>1700_03E4</t>
  </si>
  <si>
    <t>1700_05E4</t>
  </si>
  <si>
    <t>1700_07E4</t>
  </si>
  <si>
    <t>1700_09E4</t>
  </si>
  <si>
    <t>1700_0BE4</t>
  </si>
  <si>
    <t>1700_0DE4</t>
  </si>
  <si>
    <t>1700_0FE4</t>
  </si>
  <si>
    <t>1700_11E4</t>
  </si>
  <si>
    <t>1700_13E4</t>
  </si>
  <si>
    <t>1700_15E4</t>
  </si>
  <si>
    <t>1700_17E4</t>
  </si>
  <si>
    <t>1700_19E4</t>
  </si>
  <si>
    <t>1700_1BE4</t>
  </si>
  <si>
    <t>1700_1DE4</t>
  </si>
  <si>
    <t>1700_1FE4</t>
  </si>
  <si>
    <t>1700_21E4</t>
  </si>
  <si>
    <t>1700_23E4</t>
  </si>
  <si>
    <t>1700_25E4</t>
  </si>
  <si>
    <t>1700_27E4</t>
  </si>
  <si>
    <t>1700_29E4</t>
  </si>
  <si>
    <t>1700_2BE4</t>
  </si>
  <si>
    <t>1700_2DE4</t>
  </si>
  <si>
    <t>1700_2FE4</t>
  </si>
  <si>
    <t>1700_31E4</t>
  </si>
  <si>
    <t>1700_33E4</t>
  </si>
  <si>
    <t>1700_35E4</t>
  </si>
  <si>
    <t>1700_37E4</t>
  </si>
  <si>
    <t>1700_39E4</t>
  </si>
  <si>
    <t>1700_3BE4</t>
  </si>
  <si>
    <t>1700_3DE4</t>
  </si>
  <si>
    <t>1700_3FE4</t>
  </si>
  <si>
    <t>1700_41E4</t>
  </si>
  <si>
    <t>1700_43E4</t>
  </si>
  <si>
    <t>1700_45E4</t>
  </si>
  <si>
    <t>1700_47E4</t>
  </si>
  <si>
    <t>1700_49E4</t>
  </si>
  <si>
    <t>1700_4BE4</t>
  </si>
  <si>
    <t>1700_4DE4</t>
  </si>
  <si>
    <t>1700_4FE4</t>
  </si>
  <si>
    <t>1700_51E4</t>
  </si>
  <si>
    <t>1700_53E4</t>
  </si>
  <si>
    <t>1700_55E4</t>
  </si>
  <si>
    <t>1700_57E4</t>
  </si>
  <si>
    <t>1700_59E4</t>
  </si>
  <si>
    <t>1700_5BE4</t>
  </si>
  <si>
    <t>1700_5DE4</t>
  </si>
  <si>
    <t>1700_5FE4</t>
  </si>
  <si>
    <t>1700_61E4</t>
  </si>
  <si>
    <t>1700_63E4</t>
  </si>
  <si>
    <t>1700_65E4</t>
  </si>
  <si>
    <t>1700_67E4</t>
  </si>
  <si>
    <t>1700_69E4</t>
  </si>
  <si>
    <t>1700_6BE4</t>
  </si>
  <si>
    <t>1700_6DE4</t>
  </si>
  <si>
    <t>1700_6FE4</t>
  </si>
  <si>
    <t>1700_71E4</t>
  </si>
  <si>
    <t>1700_73E4</t>
  </si>
  <si>
    <t>1700_75E4</t>
  </si>
  <si>
    <t>1700_77E4</t>
  </si>
  <si>
    <t>1700_79E4</t>
  </si>
  <si>
    <t>1700_7BE4</t>
  </si>
  <si>
    <t>1700_7DE4</t>
  </si>
  <si>
    <t>1700_7FE4</t>
  </si>
  <si>
    <t>1700_01E5</t>
  </si>
  <si>
    <t>1700_03E5</t>
  </si>
  <si>
    <t>1700_05E5</t>
  </si>
  <si>
    <t>1700_07E5</t>
  </si>
  <si>
    <t>1700_09E5</t>
  </si>
  <si>
    <t>1700_0BE5</t>
  </si>
  <si>
    <t>1700_0DE5</t>
  </si>
  <si>
    <t>1700_0FE5</t>
  </si>
  <si>
    <t>1700_11E5</t>
  </si>
  <si>
    <t>1700_13E5</t>
  </si>
  <si>
    <t>1700_15E5</t>
  </si>
  <si>
    <t>1700_17E5</t>
  </si>
  <si>
    <t>1700_19E5</t>
  </si>
  <si>
    <t>1700_1BE5</t>
  </si>
  <si>
    <t>1700_1DE5</t>
  </si>
  <si>
    <t>1700_1FE5</t>
  </si>
  <si>
    <t>1700_21E5</t>
  </si>
  <si>
    <t>1700_23E5</t>
  </si>
  <si>
    <t>1700_25E5</t>
  </si>
  <si>
    <t>1700_27E5</t>
  </si>
  <si>
    <t>1700_29E5</t>
  </si>
  <si>
    <t>1700_2BE5</t>
  </si>
  <si>
    <t>1700_2DE5</t>
  </si>
  <si>
    <t>1700_2FE5</t>
  </si>
  <si>
    <t>1700_31E5</t>
  </si>
  <si>
    <t>1700_33E5</t>
  </si>
  <si>
    <t>1700_35E5</t>
  </si>
  <si>
    <t>1700_37E5</t>
  </si>
  <si>
    <t>1700_39E5</t>
  </si>
  <si>
    <t>1700_3BE5</t>
  </si>
  <si>
    <t>1700_3DE5</t>
  </si>
  <si>
    <t>1700_3FE5</t>
  </si>
  <si>
    <t>1700_41E5</t>
  </si>
  <si>
    <t>1700_43E5</t>
  </si>
  <si>
    <t>1700_45E5</t>
  </si>
  <si>
    <t>1700_47E5</t>
  </si>
  <si>
    <t>1700_49E5</t>
  </si>
  <si>
    <t>1700_4BE5</t>
  </si>
  <si>
    <t>1700_4DE5</t>
  </si>
  <si>
    <t>1700_4FE5</t>
  </si>
  <si>
    <t>1700_51E5</t>
  </si>
  <si>
    <t>1700_53E5</t>
  </si>
  <si>
    <t>1700_55E5</t>
  </si>
  <si>
    <t>1700_57E5</t>
  </si>
  <si>
    <t>1700_59E5</t>
  </si>
  <si>
    <t>1700_5BE5</t>
  </si>
  <si>
    <t>1700_5DE5</t>
  </si>
  <si>
    <t>1700_5FE5</t>
  </si>
  <si>
    <t>1700_61E5</t>
  </si>
  <si>
    <t>1700_63E5</t>
  </si>
  <si>
    <t>1700_65E5</t>
  </si>
  <si>
    <t>1700_67E5</t>
  </si>
  <si>
    <t>1700_69E5</t>
  </si>
  <si>
    <t>1700_6BE5</t>
  </si>
  <si>
    <t>1700_6DE5</t>
  </si>
  <si>
    <t>1700_6FE5</t>
  </si>
  <si>
    <t>1700_71E5</t>
  </si>
  <si>
    <t>1700_73E5</t>
  </si>
  <si>
    <t>1700_75E5</t>
  </si>
  <si>
    <t>1700_77E5</t>
  </si>
  <si>
    <t>1700_79E5</t>
  </si>
  <si>
    <t>1700_7BE5</t>
  </si>
  <si>
    <t>1700_7DE5</t>
  </si>
  <si>
    <t>1700_7FE5</t>
  </si>
  <si>
    <t>1700_01E6</t>
  </si>
  <si>
    <t>1700_03E6</t>
  </si>
  <si>
    <t>1700_05E6</t>
  </si>
  <si>
    <t>1700_07E6</t>
  </si>
  <si>
    <t>1700_09E6</t>
  </si>
  <si>
    <t>1700_0BE6</t>
  </si>
  <si>
    <t>1700_0DE6</t>
  </si>
  <si>
    <t>1700_0FE6</t>
  </si>
  <si>
    <t>1700_11E6</t>
  </si>
  <si>
    <t>1700_13E6</t>
  </si>
  <si>
    <t>1700_15E6</t>
  </si>
  <si>
    <t>1700_17E6</t>
  </si>
  <si>
    <t>1700_19E6</t>
  </si>
  <si>
    <t>1700_1BE6</t>
  </si>
  <si>
    <t>1700_1DE6</t>
  </si>
  <si>
    <t>1700_1FE6</t>
  </si>
  <si>
    <t>1700_21E6</t>
  </si>
  <si>
    <t>1700_23E6</t>
  </si>
  <si>
    <t>1700_25E6</t>
  </si>
  <si>
    <t>1700_27E6</t>
  </si>
  <si>
    <t>1700_29E6</t>
  </si>
  <si>
    <t>1700_2BE6</t>
  </si>
  <si>
    <t>1700_2DE6</t>
  </si>
  <si>
    <t>1700_2FE6</t>
  </si>
  <si>
    <t>1700_31E6</t>
  </si>
  <si>
    <t>1700_33E6</t>
  </si>
  <si>
    <t>1700_35E6</t>
  </si>
  <si>
    <t>1700_37E6</t>
  </si>
  <si>
    <t>1700_39E6</t>
  </si>
  <si>
    <t>1700_3BE6</t>
  </si>
  <si>
    <t>1700_3DE6</t>
  </si>
  <si>
    <t>1700_3FE6</t>
  </si>
  <si>
    <t>1700_41E6</t>
  </si>
  <si>
    <t>1700_43E6</t>
  </si>
  <si>
    <t>1700_45E6</t>
  </si>
  <si>
    <t>1700_47E6</t>
  </si>
  <si>
    <t>1700_49E6</t>
  </si>
  <si>
    <t>1700_4BE6</t>
  </si>
  <si>
    <t>1700_4DE6</t>
  </si>
  <si>
    <t>1700_4FE6</t>
  </si>
  <si>
    <t>1700_51E6</t>
  </si>
  <si>
    <t>1700_53E6</t>
  </si>
  <si>
    <t>1700_55E6</t>
  </si>
  <si>
    <t>1700_57E6</t>
  </si>
  <si>
    <t>1700_59E6</t>
  </si>
  <si>
    <t>1700_5BE6</t>
  </si>
  <si>
    <t>1700_5DE6</t>
  </si>
  <si>
    <t>1700_5FE6</t>
  </si>
  <si>
    <t>1700_61E6</t>
  </si>
  <si>
    <t>1700_63E6</t>
  </si>
  <si>
    <t>1700_65E6</t>
  </si>
  <si>
    <t>1700_67E6</t>
  </si>
  <si>
    <t>1700_69E6</t>
  </si>
  <si>
    <t>1700_6BE6</t>
  </si>
  <si>
    <t>1700_6DE6</t>
  </si>
  <si>
    <t>1700_6FE6</t>
  </si>
  <si>
    <t>1700_71E6</t>
  </si>
  <si>
    <t>1700_73E6</t>
  </si>
  <si>
    <t>1700_75E6</t>
  </si>
  <si>
    <t>1700_77E6</t>
  </si>
  <si>
    <t>1700_79E6</t>
  </si>
  <si>
    <t>1700_7BE6</t>
  </si>
  <si>
    <t>1700_7DE6</t>
  </si>
  <si>
    <t>1700_7FE6</t>
  </si>
  <si>
    <t>1700_01E7</t>
  </si>
  <si>
    <t>1700_03E7</t>
  </si>
  <si>
    <t>1700_05E7</t>
  </si>
  <si>
    <t>1700_07E7</t>
  </si>
  <si>
    <t>1700_09E7</t>
  </si>
  <si>
    <t>1700_0BE7</t>
  </si>
  <si>
    <t>1700_0DE7</t>
  </si>
  <si>
    <t>1700_0FE7</t>
  </si>
  <si>
    <t>1700_11E7</t>
  </si>
  <si>
    <t>1700_13E7</t>
  </si>
  <si>
    <t>1700_15E7</t>
  </si>
  <si>
    <t>1700_17E7</t>
  </si>
  <si>
    <t>1700_19E7</t>
  </si>
  <si>
    <t>1700_1BE7</t>
  </si>
  <si>
    <t>1700_1DE7</t>
  </si>
  <si>
    <t>1700_1FE7</t>
  </si>
  <si>
    <t>1700_21E7</t>
  </si>
  <si>
    <t>1700_23E7</t>
  </si>
  <si>
    <t>1700_25E7</t>
  </si>
  <si>
    <t>1700_27E7</t>
  </si>
  <si>
    <t>1700_29E7</t>
  </si>
  <si>
    <t>1700_2BE7</t>
  </si>
  <si>
    <t>1700_2DE7</t>
  </si>
  <si>
    <t>1700_2FE7</t>
  </si>
  <si>
    <t>1700_31E7</t>
  </si>
  <si>
    <t>1700_33E7</t>
  </si>
  <si>
    <t>1700_35E7</t>
  </si>
  <si>
    <t>1700_37E7</t>
  </si>
  <si>
    <t>1700_39E7</t>
  </si>
  <si>
    <t>1700_3BE7</t>
  </si>
  <si>
    <t>1700_3DE7</t>
  </si>
  <si>
    <t>1700_3FE7</t>
  </si>
  <si>
    <t>1700_41E7</t>
  </si>
  <si>
    <t>1700_43E7</t>
  </si>
  <si>
    <t>1700_45E7</t>
  </si>
  <si>
    <t>1700_47E7</t>
  </si>
  <si>
    <t>1700_49E7</t>
  </si>
  <si>
    <t>1700_4BE7</t>
  </si>
  <si>
    <t>1700_4DE7</t>
  </si>
  <si>
    <t>1700_4FE7</t>
  </si>
  <si>
    <t>1700_51E7</t>
  </si>
  <si>
    <t>1700_53E7</t>
  </si>
  <si>
    <t>1700_55E7</t>
  </si>
  <si>
    <t>1700_57E7</t>
  </si>
  <si>
    <t>1700_59E7</t>
  </si>
  <si>
    <t>1700_5BE7</t>
  </si>
  <si>
    <t>1700_5DE7</t>
  </si>
  <si>
    <t>1700_5FE7</t>
  </si>
  <si>
    <t>1700_61E7</t>
  </si>
  <si>
    <t>1700_63E7</t>
  </si>
  <si>
    <t>1700_65E7</t>
  </si>
  <si>
    <t>1700_67E7</t>
  </si>
  <si>
    <t>1700_69E7</t>
  </si>
  <si>
    <t>1700_6BE7</t>
  </si>
  <si>
    <t>1700_6DE7</t>
  </si>
  <si>
    <t>1700_6FE7</t>
  </si>
  <si>
    <t>1700_71E7</t>
  </si>
  <si>
    <t>1700_73E7</t>
  </si>
  <si>
    <t>1700_75E7</t>
  </si>
  <si>
    <t>1700_77E7</t>
  </si>
  <si>
    <t>1700_79E7</t>
  </si>
  <si>
    <t>1700_7BE7</t>
  </si>
  <si>
    <t>1700_7DE7</t>
  </si>
  <si>
    <t>1700_7FE7</t>
  </si>
  <si>
    <t>1700_01E8</t>
  </si>
  <si>
    <t>1700_03E8</t>
  </si>
  <si>
    <t>1700_05E8</t>
  </si>
  <si>
    <t>1700_07E8</t>
  </si>
  <si>
    <t>1700_09E8</t>
  </si>
  <si>
    <t>1700_0BE8</t>
  </si>
  <si>
    <t>1700_0DE8</t>
  </si>
  <si>
    <t>1700_0FE8</t>
  </si>
  <si>
    <t>1700_11E8</t>
  </si>
  <si>
    <t>1700_13E8</t>
  </si>
  <si>
    <t>1700_15E8</t>
  </si>
  <si>
    <t>1700_17E8</t>
  </si>
  <si>
    <t>1700_19E8</t>
  </si>
  <si>
    <t>1700_1BE8</t>
  </si>
  <si>
    <t>1700_1DE8</t>
  </si>
  <si>
    <t>1700_1FE8</t>
  </si>
  <si>
    <t>1700_21E8</t>
  </si>
  <si>
    <t>1700_23E8</t>
  </si>
  <si>
    <t>1700_25E8</t>
  </si>
  <si>
    <t>1700_27E8</t>
  </si>
  <si>
    <t>1700_29E8</t>
  </si>
  <si>
    <t>1700_2BE8</t>
  </si>
  <si>
    <t>1700_2DE8</t>
  </si>
  <si>
    <t>1700_2FE8</t>
  </si>
  <si>
    <t>1700_31E8</t>
  </si>
  <si>
    <t>1700_33E8</t>
  </si>
  <si>
    <t>1700_35E8</t>
  </si>
  <si>
    <t>1700_37E8</t>
  </si>
  <si>
    <t>1700_39E8</t>
  </si>
  <si>
    <t>1700_3BE8</t>
  </si>
  <si>
    <t>1700_3DE8</t>
  </si>
  <si>
    <t>1700_3FE8</t>
  </si>
  <si>
    <t>1700_41E8</t>
  </si>
  <si>
    <t>1700_43E8</t>
  </si>
  <si>
    <t>1700_45E8</t>
  </si>
  <si>
    <t>1700_47E8</t>
  </si>
  <si>
    <t>1700_49E8</t>
  </si>
  <si>
    <t>1700_4BE8</t>
  </si>
  <si>
    <t>1700_4DE8</t>
  </si>
  <si>
    <t>1700_4FE8</t>
  </si>
  <si>
    <t>1700_51E8</t>
  </si>
  <si>
    <t>1700_53E8</t>
  </si>
  <si>
    <t>1700_55E8</t>
  </si>
  <si>
    <t>1700_57E8</t>
  </si>
  <si>
    <t>1700_59E8</t>
  </si>
  <si>
    <t>1700_5BE8</t>
  </si>
  <si>
    <t>1700_5DE8</t>
  </si>
  <si>
    <t>1700_5FE8</t>
  </si>
  <si>
    <t>1700_61E8</t>
  </si>
  <si>
    <t>1700_63E8</t>
  </si>
  <si>
    <t>1700_65E8</t>
  </si>
  <si>
    <t>1700_67E8</t>
  </si>
  <si>
    <t>1700_69E8</t>
  </si>
  <si>
    <t>1700_6BE8</t>
  </si>
  <si>
    <t>1700_6DE8</t>
  </si>
  <si>
    <t>1700_6FE8</t>
  </si>
  <si>
    <t>1700_71E8</t>
  </si>
  <si>
    <t>1700_73E8</t>
  </si>
  <si>
    <t>1700_75E8</t>
  </si>
  <si>
    <t>1700_77E8</t>
  </si>
  <si>
    <t>1700_79E8</t>
  </si>
  <si>
    <t>1700_7BE8</t>
  </si>
  <si>
    <t>1700_7DE8</t>
  </si>
  <si>
    <t>1700_7FE8</t>
  </si>
  <si>
    <t>1700_01E9</t>
  </si>
  <si>
    <t>1700_03E9</t>
  </si>
  <si>
    <t>1700_05E9</t>
  </si>
  <si>
    <t>1700_07E9</t>
  </si>
  <si>
    <t>1700_09E9</t>
  </si>
  <si>
    <t>1700_0BE9</t>
  </si>
  <si>
    <t>1700_0DE9</t>
  </si>
  <si>
    <t>1700_0FE9</t>
  </si>
  <si>
    <t>1700_11E9</t>
  </si>
  <si>
    <t>1700_13E9</t>
  </si>
  <si>
    <t>1700_15E9</t>
  </si>
  <si>
    <t>1700_17E9</t>
  </si>
  <si>
    <t>1700_19E9</t>
  </si>
  <si>
    <t>1700_1BE9</t>
  </si>
  <si>
    <t>1700_1DE9</t>
  </si>
  <si>
    <t>1700_1FE9</t>
  </si>
  <si>
    <t>1700_21E9</t>
  </si>
  <si>
    <t>1700_23E9</t>
  </si>
  <si>
    <t>1700_25E9</t>
  </si>
  <si>
    <t>1700_27E9</t>
  </si>
  <si>
    <t>1700_29E9</t>
  </si>
  <si>
    <t>1700_2BE9</t>
  </si>
  <si>
    <t>1700_2DE9</t>
  </si>
  <si>
    <t>1700_2FE9</t>
  </si>
  <si>
    <t>1700_31E9</t>
  </si>
  <si>
    <t>1700_33E9</t>
  </si>
  <si>
    <t>1700_35E9</t>
  </si>
  <si>
    <t>1700_37E9</t>
  </si>
  <si>
    <t>1700_39E9</t>
  </si>
  <si>
    <t>1700_3BE9</t>
  </si>
  <si>
    <t>1700_3DE9</t>
  </si>
  <si>
    <t>1700_3FE9</t>
  </si>
  <si>
    <t>1700_41E9</t>
  </si>
  <si>
    <t>1700_43E9</t>
  </si>
  <si>
    <t>1700_45E9</t>
  </si>
  <si>
    <t>1700_47E9</t>
  </si>
  <si>
    <t>1700_49E9</t>
  </si>
  <si>
    <t>1700_4BE9</t>
  </si>
  <si>
    <t>1700_4DE9</t>
  </si>
  <si>
    <t>1700_4FE9</t>
  </si>
  <si>
    <t>1700_51E9</t>
  </si>
  <si>
    <t>1700_53E9</t>
  </si>
  <si>
    <t>1700_55E9</t>
  </si>
  <si>
    <t>1700_57E9</t>
  </si>
  <si>
    <t>1700_59E9</t>
  </si>
  <si>
    <t>1700_5BE9</t>
  </si>
  <si>
    <t>1700_5DE9</t>
  </si>
  <si>
    <t>1700_5FE9</t>
  </si>
  <si>
    <t>1700_61E9</t>
  </si>
  <si>
    <t>1700_63E9</t>
  </si>
  <si>
    <t>1700_65E9</t>
  </si>
  <si>
    <t>1700_67E9</t>
  </si>
  <si>
    <t>1700_69E9</t>
  </si>
  <si>
    <t>1700_6BE9</t>
  </si>
  <si>
    <t>1700_6DE9</t>
  </si>
  <si>
    <t>1700_6FE9</t>
  </si>
  <si>
    <t>1700_71E9</t>
  </si>
  <si>
    <t>1700_73E9</t>
  </si>
  <si>
    <t>1700_75E9</t>
  </si>
  <si>
    <t>1700_77E9</t>
  </si>
  <si>
    <t>1700_79E9</t>
  </si>
  <si>
    <t>1700_7BE9</t>
  </si>
  <si>
    <t>1700_7DE9</t>
  </si>
  <si>
    <t>1700_7FE9</t>
  </si>
  <si>
    <t>1700_01EA</t>
  </si>
  <si>
    <t>1700_03EA</t>
  </si>
  <si>
    <t>1700_05EA</t>
  </si>
  <si>
    <t>1700_07EA</t>
  </si>
  <si>
    <t>1700_09EA</t>
  </si>
  <si>
    <t>1700_0BEA</t>
  </si>
  <si>
    <t>1700_0DEA</t>
  </si>
  <si>
    <t>1700_0FEA</t>
  </si>
  <si>
    <t>1700_11EA</t>
  </si>
  <si>
    <t>1700_13EA</t>
  </si>
  <si>
    <t>1700_15EA</t>
  </si>
  <si>
    <t>1700_17EA</t>
  </si>
  <si>
    <t>1700_19EA</t>
  </si>
  <si>
    <t>1700_1BEA</t>
  </si>
  <si>
    <t>1700_1DEA</t>
  </si>
  <si>
    <t>1700_1FEA</t>
  </si>
  <si>
    <t>1700_21EA</t>
  </si>
  <si>
    <t>1700_23EA</t>
  </si>
  <si>
    <t>1700_25EA</t>
  </si>
  <si>
    <t>1700_27EA</t>
  </si>
  <si>
    <t>1700_29EA</t>
  </si>
  <si>
    <t>1700_2BEA</t>
  </si>
  <si>
    <t>1700_2DEA</t>
  </si>
  <si>
    <t>1700_2FEA</t>
  </si>
  <si>
    <t>1700_31EA</t>
  </si>
  <si>
    <t>1700_33EA</t>
  </si>
  <si>
    <t>1700_35EA</t>
  </si>
  <si>
    <t>1700_37EA</t>
  </si>
  <si>
    <t>1700_39EA</t>
  </si>
  <si>
    <t>1700_3BEA</t>
  </si>
  <si>
    <t>1700_3DEA</t>
  </si>
  <si>
    <t>1700_3FEA</t>
  </si>
  <si>
    <t>1700_41EA</t>
  </si>
  <si>
    <t>1700_43EA</t>
  </si>
  <si>
    <t>1700_45EA</t>
  </si>
  <si>
    <t>1700_47EA</t>
  </si>
  <si>
    <t>1700_49EA</t>
  </si>
  <si>
    <t>1700_4BEA</t>
  </si>
  <si>
    <t>1700_4DEA</t>
  </si>
  <si>
    <t>1700_4FEA</t>
  </si>
  <si>
    <t>1700_51EA</t>
  </si>
  <si>
    <t>1700_53EA</t>
  </si>
  <si>
    <t>1700_55EA</t>
  </si>
  <si>
    <t>1700_57EA</t>
  </si>
  <si>
    <t>1700_59EA</t>
  </si>
  <si>
    <t>1700_5BEA</t>
  </si>
  <si>
    <t>1700_5DEA</t>
  </si>
  <si>
    <t>1700_5FEA</t>
  </si>
  <si>
    <t>1700_61EA</t>
  </si>
  <si>
    <t>1700_63EA</t>
  </si>
  <si>
    <t>1700_65EA</t>
  </si>
  <si>
    <t>1700_67EA</t>
  </si>
  <si>
    <t>1700_69EA</t>
  </si>
  <si>
    <t>1700_6BEA</t>
  </si>
  <si>
    <t>1700_6DEA</t>
  </si>
  <si>
    <t>1700_6FEA</t>
  </si>
  <si>
    <t>1700_71EA</t>
  </si>
  <si>
    <t>1700_73EA</t>
  </si>
  <si>
    <t>1700_75EA</t>
  </si>
  <si>
    <t>1700_77EA</t>
  </si>
  <si>
    <t>1700_79EA</t>
  </si>
  <si>
    <t>1700_7BEA</t>
  </si>
  <si>
    <t>1700_7DEA</t>
  </si>
  <si>
    <t>1700_7FEA</t>
  </si>
  <si>
    <t>1700_01EB</t>
  </si>
  <si>
    <t>1700_03EB</t>
  </si>
  <si>
    <t>1700_05EB</t>
  </si>
  <si>
    <t>1700_07EB</t>
  </si>
  <si>
    <t>1700_09EB</t>
  </si>
  <si>
    <t>1700_0BEB</t>
  </si>
  <si>
    <t>1700_0DEB</t>
  </si>
  <si>
    <t>1700_0FEB</t>
  </si>
  <si>
    <t>1700_11EB</t>
  </si>
  <si>
    <t>1700_13EB</t>
  </si>
  <si>
    <t>1700_15EB</t>
  </si>
  <si>
    <t>1700_17EB</t>
  </si>
  <si>
    <t>1700_19EB</t>
  </si>
  <si>
    <t>1700_1BEB</t>
  </si>
  <si>
    <t>1700_1DEB</t>
  </si>
  <si>
    <t>1700_1FEB</t>
  </si>
  <si>
    <t>1700_21EB</t>
  </si>
  <si>
    <t>1700_23EB</t>
  </si>
  <si>
    <t>1700_25EB</t>
  </si>
  <si>
    <t>1700_27EB</t>
  </si>
  <si>
    <t>1700_29EB</t>
  </si>
  <si>
    <t>1700_2BEB</t>
  </si>
  <si>
    <t>1700_2DEB</t>
  </si>
  <si>
    <t>1700_2FEB</t>
  </si>
  <si>
    <t>1700_31EB</t>
  </si>
  <si>
    <t>1700_33EB</t>
  </si>
  <si>
    <t>1700_35EB</t>
  </si>
  <si>
    <t>1700_37EB</t>
  </si>
  <si>
    <t>1700_39EB</t>
  </si>
  <si>
    <t>1700_3BEB</t>
  </si>
  <si>
    <t>1700_3DEB</t>
  </si>
  <si>
    <t>1700_3FEB</t>
  </si>
  <si>
    <t>1700_41EB</t>
  </si>
  <si>
    <t>1700_43EB</t>
  </si>
  <si>
    <t>1700_45EB</t>
  </si>
  <si>
    <t>1700_47EB</t>
  </si>
  <si>
    <t>1700_49EB</t>
  </si>
  <si>
    <t>1700_4BEB</t>
  </si>
  <si>
    <t>1700_4DEB</t>
  </si>
  <si>
    <t>1700_4FEB</t>
  </si>
  <si>
    <t>1700_51EB</t>
  </si>
  <si>
    <t>1700_53EB</t>
  </si>
  <si>
    <t>1700_55EB</t>
  </si>
  <si>
    <t>1700_57EB</t>
  </si>
  <si>
    <t>1700_59EB</t>
  </si>
  <si>
    <t>1700_5BEB</t>
  </si>
  <si>
    <t>1700_5DEB</t>
  </si>
  <si>
    <t>1700_5FEB</t>
  </si>
  <si>
    <t>1700_61EB</t>
  </si>
  <si>
    <t>1700_63EB</t>
  </si>
  <si>
    <t>1700_65EB</t>
  </si>
  <si>
    <t>1700_67EB</t>
  </si>
  <si>
    <t>1700_69EB</t>
  </si>
  <si>
    <t>1700_6BEB</t>
  </si>
  <si>
    <t>1700_6DEB</t>
  </si>
  <si>
    <t>1700_6FEB</t>
  </si>
  <si>
    <t>1700_71EB</t>
  </si>
  <si>
    <t>1700_73EB</t>
  </si>
  <si>
    <t>1700_75EB</t>
  </si>
  <si>
    <t>1700_77EB</t>
  </si>
  <si>
    <t>1700_79EB</t>
  </si>
  <si>
    <t>1700_7BEB</t>
  </si>
  <si>
    <t>1700_7DEB</t>
  </si>
  <si>
    <t>1700_7FEB</t>
  </si>
  <si>
    <t>1700_01EC</t>
  </si>
  <si>
    <t>1700_03EC</t>
  </si>
  <si>
    <t>1700_05EC</t>
  </si>
  <si>
    <t>1700_07EC</t>
  </si>
  <si>
    <t>1700_09EC</t>
  </si>
  <si>
    <t>1700_0BEC</t>
  </si>
  <si>
    <t>1700_0DEC</t>
  </si>
  <si>
    <t>1700_0FEC</t>
  </si>
  <si>
    <t>1700_11EC</t>
  </si>
  <si>
    <t>1700_13EC</t>
  </si>
  <si>
    <t>1700_15EC</t>
  </si>
  <si>
    <t>1700_17EC</t>
  </si>
  <si>
    <t>1700_19EC</t>
  </si>
  <si>
    <t>1700_1BEC</t>
  </si>
  <si>
    <t>1700_1DEC</t>
  </si>
  <si>
    <t>1700_1FEC</t>
  </si>
  <si>
    <t>1700_21EC</t>
  </si>
  <si>
    <t>1700_23EC</t>
  </si>
  <si>
    <t>1700_25EC</t>
  </si>
  <si>
    <t>1700_27EC</t>
  </si>
  <si>
    <t>1700_29EC</t>
  </si>
  <si>
    <t>1700_2BEC</t>
  </si>
  <si>
    <t>1700_2DEC</t>
  </si>
  <si>
    <t>1700_2FEC</t>
  </si>
  <si>
    <t>1700_31EC</t>
  </si>
  <si>
    <t>1700_33EC</t>
  </si>
  <si>
    <t>1700_35EC</t>
  </si>
  <si>
    <t>1700_37EC</t>
  </si>
  <si>
    <t>1700_39EC</t>
  </si>
  <si>
    <t>1700_3BEC</t>
  </si>
  <si>
    <t>1700_3DEC</t>
  </si>
  <si>
    <t>1700_3FEC</t>
  </si>
  <si>
    <t>1700_41EC</t>
  </si>
  <si>
    <t>1700_43EC</t>
  </si>
  <si>
    <t>1700_45EC</t>
  </si>
  <si>
    <t>1700_47EC</t>
  </si>
  <si>
    <t>1700_49EC</t>
  </si>
  <si>
    <t>1700_4BEC</t>
  </si>
  <si>
    <t>1700_4DEC</t>
  </si>
  <si>
    <t>1700_4FEC</t>
  </si>
  <si>
    <t>1700_51EC</t>
  </si>
  <si>
    <t>1700_53EC</t>
  </si>
  <si>
    <t>1700_55EC</t>
  </si>
  <si>
    <t>1700_57EC</t>
  </si>
  <si>
    <t>1700_59EC</t>
  </si>
  <si>
    <t>1700_5BEC</t>
  </si>
  <si>
    <t>1700_5DEC</t>
  </si>
  <si>
    <t>1700_5FEC</t>
  </si>
  <si>
    <t>1700_61EC</t>
  </si>
  <si>
    <t>1700_63EC</t>
  </si>
  <si>
    <t>1700_65EC</t>
  </si>
  <si>
    <t>1700_67EC</t>
  </si>
  <si>
    <t>1700_69EC</t>
  </si>
  <si>
    <t>1700_6BEC</t>
  </si>
  <si>
    <t>1700_6DEC</t>
  </si>
  <si>
    <t>1700_6FEC</t>
  </si>
  <si>
    <t>1700_71EC</t>
  </si>
  <si>
    <t>1700_73EC</t>
  </si>
  <si>
    <t>1700_75EC</t>
  </si>
  <si>
    <t>1700_77EC</t>
  </si>
  <si>
    <t>1700_79EC</t>
  </si>
  <si>
    <t>1700_7BEC</t>
  </si>
  <si>
    <t>1700_7DEC</t>
  </si>
  <si>
    <t>1700_7FEC</t>
  </si>
  <si>
    <t>1700_01ED</t>
  </si>
  <si>
    <t>1700_03ED</t>
  </si>
  <si>
    <t>1700_05ED</t>
  </si>
  <si>
    <t>1700_07ED</t>
  </si>
  <si>
    <t>1700_09ED</t>
  </si>
  <si>
    <t>1700_0BED</t>
  </si>
  <si>
    <t>1700_0DED</t>
  </si>
  <si>
    <t>1700_0FED</t>
  </si>
  <si>
    <t>1700_11ED</t>
  </si>
  <si>
    <t>1700_13ED</t>
  </si>
  <si>
    <t>1700_15ED</t>
  </si>
  <si>
    <t>1700_17ED</t>
  </si>
  <si>
    <t>1700_19ED</t>
  </si>
  <si>
    <t>1700_1BED</t>
  </si>
  <si>
    <t>1700_1DED</t>
  </si>
  <si>
    <t>1700_1FED</t>
  </si>
  <si>
    <t>1700_21ED</t>
  </si>
  <si>
    <t>1700_23ED</t>
  </si>
  <si>
    <t>1700_25ED</t>
  </si>
  <si>
    <t>1700_27ED</t>
  </si>
  <si>
    <t>1700_29ED</t>
  </si>
  <si>
    <t>1700_2BED</t>
  </si>
  <si>
    <t>1700_2DED</t>
  </si>
  <si>
    <t>1700_2FED</t>
  </si>
  <si>
    <t>1700_31ED</t>
  </si>
  <si>
    <t>1700_33ED</t>
  </si>
  <si>
    <t>1700_35ED</t>
  </si>
  <si>
    <t>1700_37ED</t>
  </si>
  <si>
    <t>1700_39ED</t>
  </si>
  <si>
    <t>1700_3BED</t>
  </si>
  <si>
    <t>1700_3DED</t>
  </si>
  <si>
    <t>1700_3FED</t>
  </si>
  <si>
    <t>1700_41ED</t>
  </si>
  <si>
    <t>1700_43ED</t>
  </si>
  <si>
    <t>1700_45ED</t>
  </si>
  <si>
    <t>1700_47ED</t>
  </si>
  <si>
    <t>1700_49ED</t>
  </si>
  <si>
    <t>1700_4BED</t>
  </si>
  <si>
    <t>1700_4DED</t>
  </si>
  <si>
    <t>1700_4FED</t>
  </si>
  <si>
    <t>1700_51ED</t>
  </si>
  <si>
    <t>1700_53ED</t>
  </si>
  <si>
    <t>1700_55ED</t>
  </si>
  <si>
    <t>1700_57ED</t>
  </si>
  <si>
    <t>1700_59ED</t>
  </si>
  <si>
    <t>1700_5BED</t>
  </si>
  <si>
    <t>1700_5DED</t>
  </si>
  <si>
    <t>1700_5FED</t>
  </si>
  <si>
    <t>1700_61ED</t>
  </si>
  <si>
    <t>1700_63ED</t>
  </si>
  <si>
    <t>1700_65ED</t>
  </si>
  <si>
    <t>1700_67ED</t>
  </si>
  <si>
    <t>1700_69ED</t>
  </si>
  <si>
    <t>1700_6BED</t>
  </si>
  <si>
    <t>1700_6DED</t>
  </si>
  <si>
    <t>1700_6FED</t>
  </si>
  <si>
    <t>1700_71ED</t>
  </si>
  <si>
    <t>1700_73ED</t>
  </si>
  <si>
    <t>1700_75ED</t>
  </si>
  <si>
    <t>1700_77ED</t>
  </si>
  <si>
    <t>1700_79ED</t>
  </si>
  <si>
    <t>1700_7BED</t>
  </si>
  <si>
    <t>1700_7DED</t>
  </si>
  <si>
    <t>1700_7FED</t>
  </si>
  <si>
    <t>1700_01EE</t>
  </si>
  <si>
    <t>1700_03EE</t>
  </si>
  <si>
    <t>1700_05EE</t>
  </si>
  <si>
    <t>1700_07EE</t>
  </si>
  <si>
    <t>1700_09EE</t>
  </si>
  <si>
    <t>1700_0BEE</t>
  </si>
  <si>
    <t>1700_0DEE</t>
  </si>
  <si>
    <t>1700_0FEE</t>
  </si>
  <si>
    <t>1700_11EE</t>
  </si>
  <si>
    <t>1700_13EE</t>
  </si>
  <si>
    <t>1700_15EE</t>
  </si>
  <si>
    <t>1700_17EE</t>
  </si>
  <si>
    <t>1700_19EE</t>
  </si>
  <si>
    <t>1700_1BEE</t>
  </si>
  <si>
    <t>1700_1DEE</t>
  </si>
  <si>
    <t>1700_1FEE</t>
  </si>
  <si>
    <t>1700_21EE</t>
  </si>
  <si>
    <t>1700_23EE</t>
  </si>
  <si>
    <t>1700_25EE</t>
  </si>
  <si>
    <t>1700_27EE</t>
  </si>
  <si>
    <t>1700_29EE</t>
  </si>
  <si>
    <t>1700_2BEE</t>
  </si>
  <si>
    <t>1700_2DEE</t>
  </si>
  <si>
    <t>1700_2FEE</t>
  </si>
  <si>
    <t>1700_31EE</t>
  </si>
  <si>
    <t>1700_33EE</t>
  </si>
  <si>
    <t>1700_35EE</t>
  </si>
  <si>
    <t>1700_37EE</t>
  </si>
  <si>
    <t>1700_39EE</t>
  </si>
  <si>
    <t>1700_3BEE</t>
  </si>
  <si>
    <t>1700_3DEE</t>
  </si>
  <si>
    <t>1700_3FEE</t>
  </si>
  <si>
    <t>1700_41EE</t>
  </si>
  <si>
    <t>1700_43EE</t>
  </si>
  <si>
    <t>1700_45EE</t>
  </si>
  <si>
    <t>1700_47EE</t>
  </si>
  <si>
    <t>1700_49EE</t>
  </si>
  <si>
    <t>1700_4BEE</t>
  </si>
  <si>
    <t>1700_4DEE</t>
  </si>
  <si>
    <t>1700_4FEE</t>
  </si>
  <si>
    <t>1700_51EE</t>
  </si>
  <si>
    <t>1700_53EE</t>
  </si>
  <si>
    <t>1700_55EE</t>
  </si>
  <si>
    <t>1700_57EE</t>
  </si>
  <si>
    <t>1700_59EE</t>
  </si>
  <si>
    <t>1700_5BEE</t>
  </si>
  <si>
    <t>1700_5DEE</t>
  </si>
  <si>
    <t>1700_5FEE</t>
  </si>
  <si>
    <t>1700_61EE</t>
  </si>
  <si>
    <t>1700_63EE</t>
  </si>
  <si>
    <t>1700_65EE</t>
  </si>
  <si>
    <t>1700_67EE</t>
  </si>
  <si>
    <t>1700_69EE</t>
  </si>
  <si>
    <t>1700_6BEE</t>
  </si>
  <si>
    <t>1700_6DEE</t>
  </si>
  <si>
    <t>1700_6FEE</t>
  </si>
  <si>
    <t>1700_71EE</t>
  </si>
  <si>
    <t>1700_73EE</t>
  </si>
  <si>
    <t>1700_75EE</t>
  </si>
  <si>
    <t>1700_77EE</t>
  </si>
  <si>
    <t>1700_79EE</t>
  </si>
  <si>
    <t>1700_7BEE</t>
  </si>
  <si>
    <t>1700_7DEE</t>
  </si>
  <si>
    <t>1700_7FEE</t>
  </si>
  <si>
    <t>1700_01EF</t>
  </si>
  <si>
    <t>1700_03EF</t>
  </si>
  <si>
    <t>1700_05EF</t>
  </si>
  <si>
    <t>1700_07EF</t>
  </si>
  <si>
    <t>1700_09EF</t>
  </si>
  <si>
    <t>1700_0BEF</t>
  </si>
  <si>
    <t>1700_0DEF</t>
  </si>
  <si>
    <t>1700_0FEF</t>
  </si>
  <si>
    <t>1700_11EF</t>
  </si>
  <si>
    <t>1700_13EF</t>
  </si>
  <si>
    <t>1700_15EF</t>
  </si>
  <si>
    <t>1700_17EF</t>
  </si>
  <si>
    <t>1700_19EF</t>
  </si>
  <si>
    <t>1700_1BEF</t>
  </si>
  <si>
    <t>1700_1DEF</t>
  </si>
  <si>
    <t>1700_1FEF</t>
  </si>
  <si>
    <t>1700_21EF</t>
  </si>
  <si>
    <t>1700_23EF</t>
  </si>
  <si>
    <t>1700_25EF</t>
  </si>
  <si>
    <t>1700_27EF</t>
  </si>
  <si>
    <t>1700_29EF</t>
  </si>
  <si>
    <t>1700_2BEF</t>
  </si>
  <si>
    <t>1700_2DEF</t>
  </si>
  <si>
    <t>1700_2FEF</t>
  </si>
  <si>
    <t>1700_31EF</t>
  </si>
  <si>
    <t>1700_33EF</t>
  </si>
  <si>
    <t>1700_35EF</t>
  </si>
  <si>
    <t>1700_37EF</t>
  </si>
  <si>
    <t>1700_39EF</t>
  </si>
  <si>
    <t>1700_3BEF</t>
  </si>
  <si>
    <t>1700_3DEF</t>
  </si>
  <si>
    <t>1700_3FEF</t>
  </si>
  <si>
    <t>1700_41EF</t>
  </si>
  <si>
    <t>1700_43EF</t>
  </si>
  <si>
    <t>1700_45EF</t>
  </si>
  <si>
    <t>1700_47EF</t>
  </si>
  <si>
    <t>1700_49EF</t>
  </si>
  <si>
    <t>1700_4BEF</t>
  </si>
  <si>
    <t>1700_4DEF</t>
  </si>
  <si>
    <t>1700_4FEF</t>
  </si>
  <si>
    <t>1700_51EF</t>
  </si>
  <si>
    <t>1700_53EF</t>
  </si>
  <si>
    <t>1700_55EF</t>
  </si>
  <si>
    <t>1700_57EF</t>
  </si>
  <si>
    <t>1700_59EF</t>
  </si>
  <si>
    <t>1700_5BEF</t>
  </si>
  <si>
    <t>1700_5DEF</t>
  </si>
  <si>
    <t>1700_5FEF</t>
  </si>
  <si>
    <t>1700_61EF</t>
  </si>
  <si>
    <t>1700_63EF</t>
  </si>
  <si>
    <t>1700_65EF</t>
  </si>
  <si>
    <t>1700_67EF</t>
  </si>
  <si>
    <t>1700_69EF</t>
  </si>
  <si>
    <t>1700_6BEF</t>
  </si>
  <si>
    <t>1700_6DEF</t>
  </si>
  <si>
    <t>1700_6FEF</t>
  </si>
  <si>
    <t>1700_71EF</t>
  </si>
  <si>
    <t>1700_73EF</t>
  </si>
  <si>
    <t>1700_75EF</t>
  </si>
  <si>
    <t>1700_77EF</t>
  </si>
  <si>
    <t>1700_79EF</t>
  </si>
  <si>
    <t>1700_7BEF</t>
  </si>
  <si>
    <t>1700_7DEF</t>
  </si>
  <si>
    <t>1700_7FEF</t>
  </si>
  <si>
    <t>1700_01F0</t>
  </si>
  <si>
    <t>1700_03F0</t>
  </si>
  <si>
    <t>1700_05F0</t>
  </si>
  <si>
    <t>1700_07F0</t>
  </si>
  <si>
    <t>1700_09F0</t>
  </si>
  <si>
    <t>1700_0BF0</t>
  </si>
  <si>
    <t>1700_0DF0</t>
  </si>
  <si>
    <t>1700_0FF0</t>
  </si>
  <si>
    <t>1700_11F0</t>
  </si>
  <si>
    <t>1700_13F0</t>
  </si>
  <si>
    <t>1700_15F0</t>
  </si>
  <si>
    <t>1700_17F0</t>
  </si>
  <si>
    <t>1700_19F0</t>
  </si>
  <si>
    <t>1700_1BF0</t>
  </si>
  <si>
    <t>1700_1DF0</t>
  </si>
  <si>
    <t>1700_1FF0</t>
  </si>
  <si>
    <t>1700_21F0</t>
  </si>
  <si>
    <t>1700_23F0</t>
  </si>
  <si>
    <t>1700_25F0</t>
  </si>
  <si>
    <t>1700_27F0</t>
  </si>
  <si>
    <t>1700_29F0</t>
  </si>
  <si>
    <t>1700_2BF0</t>
  </si>
  <si>
    <t>1700_2DF0</t>
  </si>
  <si>
    <t>1700_2FF0</t>
  </si>
  <si>
    <t>1700_31F0</t>
  </si>
  <si>
    <t>1700_33F0</t>
  </si>
  <si>
    <t>1700_35F0</t>
  </si>
  <si>
    <t>1700_37F0</t>
  </si>
  <si>
    <t>1700_39F0</t>
  </si>
  <si>
    <t>1700_3BF0</t>
  </si>
  <si>
    <t>1700_3DF0</t>
  </si>
  <si>
    <t>1700_3FF0</t>
  </si>
  <si>
    <t>1700_41F0</t>
  </si>
  <si>
    <t>1700_43F0</t>
  </si>
  <si>
    <t>1700_45F0</t>
  </si>
  <si>
    <t>1700_47F0</t>
  </si>
  <si>
    <t>1700_49F0</t>
  </si>
  <si>
    <t>1700_4BF0</t>
  </si>
  <si>
    <t>1700_4DF0</t>
  </si>
  <si>
    <t>1700_4FF0</t>
  </si>
  <si>
    <t>1700_51F0</t>
  </si>
  <si>
    <t>1700_53F0</t>
  </si>
  <si>
    <t>1700_55F0</t>
  </si>
  <si>
    <t>1700_57F0</t>
  </si>
  <si>
    <t>1700_59F0</t>
  </si>
  <si>
    <t>1700_5BF0</t>
  </si>
  <si>
    <t>1700_5DF0</t>
  </si>
  <si>
    <t>1700_5FF0</t>
  </si>
  <si>
    <t>1700_61F0</t>
  </si>
  <si>
    <t>1700_63F0</t>
  </si>
  <si>
    <t>1700_65F0</t>
  </si>
  <si>
    <t>1700_67F0</t>
  </si>
  <si>
    <t>1700_69F0</t>
  </si>
  <si>
    <t>1700_6BF0</t>
  </si>
  <si>
    <t>1700_6DF0</t>
  </si>
  <si>
    <t>1700_6FF0</t>
  </si>
  <si>
    <t>1700_71F0</t>
  </si>
  <si>
    <t>1700_73F0</t>
  </si>
  <si>
    <t>1700_75F0</t>
  </si>
  <si>
    <t>1700_77F0</t>
  </si>
  <si>
    <t>1700_79F0</t>
  </si>
  <si>
    <t>1700_7BF0</t>
  </si>
  <si>
    <t>1700_7DF0</t>
  </si>
  <si>
    <t>1700_7FF0</t>
  </si>
  <si>
    <t>1700_01F1</t>
  </si>
  <si>
    <t>1700_03F1</t>
  </si>
  <si>
    <t>1700_05F1</t>
  </si>
  <si>
    <t>1700_07F1</t>
  </si>
  <si>
    <t>1700_09F1</t>
  </si>
  <si>
    <t>1700_0BF1</t>
  </si>
  <si>
    <t>1700_0DF1</t>
  </si>
  <si>
    <t>1700_0FF1</t>
  </si>
  <si>
    <t>1700_11F1</t>
  </si>
  <si>
    <t>1700_13F1</t>
  </si>
  <si>
    <t>1700_15F1</t>
  </si>
  <si>
    <t>1700_17F1</t>
  </si>
  <si>
    <t>1700_19F1</t>
  </si>
  <si>
    <t>1700_1BF1</t>
  </si>
  <si>
    <t>1700_1DF1</t>
  </si>
  <si>
    <t>1700_1FF1</t>
  </si>
  <si>
    <t>1700_21F1</t>
  </si>
  <si>
    <t>1700_23F1</t>
  </si>
  <si>
    <t>1700_25F1</t>
  </si>
  <si>
    <t>1700_27F1</t>
  </si>
  <si>
    <t>1700_29F1</t>
  </si>
  <si>
    <t>1700_2BF1</t>
  </si>
  <si>
    <t>1700_2DF1</t>
  </si>
  <si>
    <t>1700_2FF1</t>
  </si>
  <si>
    <t>1700_31F1</t>
  </si>
  <si>
    <t>1700_33F1</t>
  </si>
  <si>
    <t>1700_35F1</t>
  </si>
  <si>
    <t>1700_37F1</t>
  </si>
  <si>
    <t>1700_39F1</t>
  </si>
  <si>
    <t>1700_3BF1</t>
  </si>
  <si>
    <t>1700_3DF1</t>
  </si>
  <si>
    <t>1700_3FF1</t>
  </si>
  <si>
    <t>1700_41F1</t>
  </si>
  <si>
    <t>1700_43F1</t>
  </si>
  <si>
    <t>1700_45F1</t>
  </si>
  <si>
    <t>1700_47F1</t>
  </si>
  <si>
    <t>1700_49F1</t>
  </si>
  <si>
    <t>1700_4BF1</t>
  </si>
  <si>
    <t>1700_4DF1</t>
  </si>
  <si>
    <t>1700_4FF1</t>
  </si>
  <si>
    <t>1700_51F1</t>
  </si>
  <si>
    <t>1700_53F1</t>
  </si>
  <si>
    <t>1700_55F1</t>
  </si>
  <si>
    <t>1700_57F1</t>
  </si>
  <si>
    <t>1700_59F1</t>
  </si>
  <si>
    <t>1700_5BF1</t>
  </si>
  <si>
    <t>1700_5DF1</t>
  </si>
  <si>
    <t>1700_5FF1</t>
  </si>
  <si>
    <t>1700_61F1</t>
  </si>
  <si>
    <t>1700_63F1</t>
  </si>
  <si>
    <t>1700_65F1</t>
  </si>
  <si>
    <t>1700_67F1</t>
  </si>
  <si>
    <t>1700_69F1</t>
  </si>
  <si>
    <t>1700_6BF1</t>
  </si>
  <si>
    <t>1700_6DF1</t>
  </si>
  <si>
    <t>1700_6FF1</t>
  </si>
  <si>
    <t>1700_71F1</t>
  </si>
  <si>
    <t>1700_73F1</t>
  </si>
  <si>
    <t>1700_75F1</t>
  </si>
  <si>
    <t>1700_77F1</t>
  </si>
  <si>
    <t>1700_79F1</t>
  </si>
  <si>
    <t>1700_7BF1</t>
  </si>
  <si>
    <t>1700_7DF1</t>
  </si>
  <si>
    <t>1700_7FF1</t>
  </si>
  <si>
    <t>1700_01F2</t>
  </si>
  <si>
    <t>1700_03F2</t>
  </si>
  <si>
    <t>1700_05F2</t>
  </si>
  <si>
    <t>1700_07F2</t>
  </si>
  <si>
    <t>1700_09F2</t>
  </si>
  <si>
    <t>1700_0BF2</t>
  </si>
  <si>
    <t>1700_0DF2</t>
  </si>
  <si>
    <t>1700_0FF2</t>
  </si>
  <si>
    <t>1700_11F2</t>
  </si>
  <si>
    <t>1700_13F2</t>
  </si>
  <si>
    <t>1700_15F2</t>
  </si>
  <si>
    <t>1700_17F2</t>
  </si>
  <si>
    <t>1700_19F2</t>
  </si>
  <si>
    <t>1700_1BF2</t>
  </si>
  <si>
    <t>1700_1DF2</t>
  </si>
  <si>
    <t>1700_1FF2</t>
  </si>
  <si>
    <t>1700_21F2</t>
  </si>
  <si>
    <t>1700_23F2</t>
  </si>
  <si>
    <t>1700_25F2</t>
  </si>
  <si>
    <t>1700_27F2</t>
  </si>
  <si>
    <t>1700_29F2</t>
  </si>
  <si>
    <t>1700_2BF2</t>
  </si>
  <si>
    <t>1700_2DF2</t>
  </si>
  <si>
    <t>1700_2FF2</t>
  </si>
  <si>
    <t>1700_31F2</t>
  </si>
  <si>
    <t>1700_33F2</t>
  </si>
  <si>
    <t>1700_35F2</t>
  </si>
  <si>
    <t>1700_37F2</t>
  </si>
  <si>
    <t>1700_39F2</t>
  </si>
  <si>
    <t>1700_3BF2</t>
  </si>
  <si>
    <t>1700_3DF2</t>
  </si>
  <si>
    <t>1700_3FF2</t>
  </si>
  <si>
    <t>1700_41F2</t>
  </si>
  <si>
    <t>1700_43F2</t>
  </si>
  <si>
    <t>1700_45F2</t>
  </si>
  <si>
    <t>1700_47F2</t>
  </si>
  <si>
    <t>1700_49F2</t>
  </si>
  <si>
    <t>1700_4BF2</t>
  </si>
  <si>
    <t>1700_4DF2</t>
  </si>
  <si>
    <t>1700_4FF2</t>
  </si>
  <si>
    <t>1700_51F2</t>
  </si>
  <si>
    <t>1700_53F2</t>
  </si>
  <si>
    <t>1700_55F2</t>
  </si>
  <si>
    <t>1700_57F2</t>
  </si>
  <si>
    <t>1700_59F2</t>
  </si>
  <si>
    <t>1700_5BF2</t>
  </si>
  <si>
    <t>1700_5DF2</t>
  </si>
  <si>
    <t>1700_5FF2</t>
  </si>
  <si>
    <t>1700_61F2</t>
  </si>
  <si>
    <t>1700_63F2</t>
  </si>
  <si>
    <t>1700_65F2</t>
  </si>
  <si>
    <t>1700_67F2</t>
  </si>
  <si>
    <t>1700_69F2</t>
  </si>
  <si>
    <t>1700_6BF2</t>
  </si>
  <si>
    <t>1700_6DF2</t>
  </si>
  <si>
    <t>1700_6FF2</t>
  </si>
  <si>
    <t>1700_71F2</t>
  </si>
  <si>
    <t>1700_73F2</t>
  </si>
  <si>
    <t>1700_75F2</t>
  </si>
  <si>
    <t>1700_77F2</t>
  </si>
  <si>
    <t>1700_79F2</t>
  </si>
  <si>
    <t>1700_7BF2</t>
  </si>
  <si>
    <t>1700_7DF2</t>
  </si>
  <si>
    <t>1700_7FF2</t>
  </si>
  <si>
    <t>1700_01F3</t>
  </si>
  <si>
    <t>1700_03F3</t>
  </si>
  <si>
    <t>1700_05F3</t>
  </si>
  <si>
    <t>1700_07F3</t>
  </si>
  <si>
    <t>1700_09F3</t>
  </si>
  <si>
    <t>1700_0BF3</t>
  </si>
  <si>
    <t>1700_0DF3</t>
  </si>
  <si>
    <t>1700_0FF3</t>
  </si>
  <si>
    <t>1700_11F3</t>
  </si>
  <si>
    <t>1700_13F3</t>
  </si>
  <si>
    <t>1700_15F3</t>
  </si>
  <si>
    <t>1700_17F3</t>
  </si>
  <si>
    <t>1700_19F3</t>
  </si>
  <si>
    <t>1700_1BF3</t>
  </si>
  <si>
    <t>1700_1DF3</t>
  </si>
  <si>
    <t>1700_1FF3</t>
  </si>
  <si>
    <t>1700_21F3</t>
  </si>
  <si>
    <t>1700_23F3</t>
  </si>
  <si>
    <t>1700_25F3</t>
  </si>
  <si>
    <t>1700_27F3</t>
  </si>
  <si>
    <t>1700_29F3</t>
  </si>
  <si>
    <t>1700_2BF3</t>
  </si>
  <si>
    <t>1700_2DF3</t>
  </si>
  <si>
    <t>1700_2FF3</t>
  </si>
  <si>
    <t>1700_31F3</t>
  </si>
  <si>
    <t>1700_33F3</t>
  </si>
  <si>
    <t>1700_35F3</t>
  </si>
  <si>
    <t>1700_37F3</t>
  </si>
  <si>
    <t>1700_39F3</t>
  </si>
  <si>
    <t>1700_3BF3</t>
  </si>
  <si>
    <t>1700_3DF3</t>
  </si>
  <si>
    <t>1700_3FF3</t>
  </si>
  <si>
    <t>1700_41F3</t>
  </si>
  <si>
    <t>1700_43F3</t>
  </si>
  <si>
    <t>1700_45F3</t>
  </si>
  <si>
    <t>1700_47F3</t>
  </si>
  <si>
    <t>1700_49F3</t>
  </si>
  <si>
    <t>1700_4BF3</t>
  </si>
  <si>
    <t>1700_4DF3</t>
  </si>
  <si>
    <t>1700_4FF3</t>
  </si>
  <si>
    <t>1700_51F3</t>
  </si>
  <si>
    <t>1700_53F3</t>
  </si>
  <si>
    <t>1700_55F3</t>
  </si>
  <si>
    <t>1700_57F3</t>
  </si>
  <si>
    <t>1700_59F3</t>
  </si>
  <si>
    <t>1700_5BF3</t>
  </si>
  <si>
    <t>1700_5DF3</t>
  </si>
  <si>
    <t>1700_5FF3</t>
  </si>
  <si>
    <t>1700_61F3</t>
  </si>
  <si>
    <t>1700_63F3</t>
  </si>
  <si>
    <t>1700_65F3</t>
  </si>
  <si>
    <t>1700_67F3</t>
  </si>
  <si>
    <t>1700_69F3</t>
  </si>
  <si>
    <t>1700_6BF3</t>
  </si>
  <si>
    <t>1700_6DF3</t>
  </si>
  <si>
    <t>1700_6FF3</t>
  </si>
  <si>
    <t>1700_71F3</t>
  </si>
  <si>
    <t>1700_73F3</t>
  </si>
  <si>
    <t>1700_75F3</t>
  </si>
  <si>
    <t>1700_77F3</t>
  </si>
  <si>
    <t>1700_79F3</t>
  </si>
  <si>
    <t>1700_7BF3</t>
  </si>
  <si>
    <t>1700_7DF3</t>
  </si>
  <si>
    <t>1700_7FF3</t>
  </si>
  <si>
    <t>1700_01F4</t>
  </si>
  <si>
    <t>1700_03F4</t>
  </si>
  <si>
    <t>1700_05F4</t>
  </si>
  <si>
    <t>1700_07F4</t>
  </si>
  <si>
    <t>1700_09F4</t>
  </si>
  <si>
    <t>1700_0BF4</t>
  </si>
  <si>
    <t>1700_0DF4</t>
  </si>
  <si>
    <t>1700_0FF4</t>
  </si>
  <si>
    <t>1700_11F4</t>
  </si>
  <si>
    <t>1700_13F4</t>
  </si>
  <si>
    <t>1700_15F4</t>
  </si>
  <si>
    <t>1700_17F4</t>
  </si>
  <si>
    <t>1700_19F4</t>
  </si>
  <si>
    <t>1700_1BF4</t>
  </si>
  <si>
    <t>1700_1DF4</t>
  </si>
  <si>
    <t>1700_1FF4</t>
  </si>
  <si>
    <t>1700_21F4</t>
  </si>
  <si>
    <t>1700_23F4</t>
  </si>
  <si>
    <t>1700_25F4</t>
  </si>
  <si>
    <t>1700_27F4</t>
  </si>
  <si>
    <t>1700_29F4</t>
  </si>
  <si>
    <t>1700_2BF4</t>
  </si>
  <si>
    <t>1700_2DF4</t>
  </si>
  <si>
    <t>1700_2FF4</t>
  </si>
  <si>
    <t>1700_31F4</t>
  </si>
  <si>
    <t>1700_33F4</t>
  </si>
  <si>
    <t>1700_35F4</t>
  </si>
  <si>
    <t>1700_37F4</t>
  </si>
  <si>
    <t>1700_39F4</t>
  </si>
  <si>
    <t>1700_3BF4</t>
  </si>
  <si>
    <t>1700_3DF4</t>
  </si>
  <si>
    <t>1700_3FF4</t>
  </si>
  <si>
    <t>1700_41F4</t>
  </si>
  <si>
    <t>1700_43F4</t>
  </si>
  <si>
    <t>1700_45F4</t>
  </si>
  <si>
    <t>1700_47F4</t>
  </si>
  <si>
    <t>1700_49F4</t>
  </si>
  <si>
    <t>1700_4BF4</t>
  </si>
  <si>
    <t>1700_4DF4</t>
  </si>
  <si>
    <t>1700_4FF4</t>
  </si>
  <si>
    <t>1700_51F4</t>
  </si>
  <si>
    <t>1700_53F4</t>
  </si>
  <si>
    <t>1700_55F4</t>
  </si>
  <si>
    <t>1700_57F4</t>
  </si>
  <si>
    <t>1700_59F4</t>
  </si>
  <si>
    <t>1700_5BF4</t>
  </si>
  <si>
    <t>1700_5DF4</t>
  </si>
  <si>
    <t>1700_5FF4</t>
  </si>
  <si>
    <t>1700_61F4</t>
  </si>
  <si>
    <t>1700_63F4</t>
  </si>
  <si>
    <t>1700_65F4</t>
  </si>
  <si>
    <t>1700_67F4</t>
  </si>
  <si>
    <t>1700_69F4</t>
  </si>
  <si>
    <t>1700_6BF4</t>
  </si>
  <si>
    <t>1700_6DF4</t>
  </si>
  <si>
    <t>1700_6FF4</t>
  </si>
  <si>
    <t>1700_71F4</t>
  </si>
  <si>
    <t>1700_73F4</t>
  </si>
  <si>
    <t>1700_75F4</t>
  </si>
  <si>
    <t>1700_77F4</t>
  </si>
  <si>
    <t>1700_79F4</t>
  </si>
  <si>
    <t>1700_7BF4</t>
  </si>
  <si>
    <t>1700_7DF4</t>
  </si>
  <si>
    <t>1700_7FF4</t>
  </si>
  <si>
    <t>1700_01F5</t>
  </si>
  <si>
    <t>1700_03F5</t>
  </si>
  <si>
    <t>1700_05F5</t>
  </si>
  <si>
    <t>1700_07F5</t>
  </si>
  <si>
    <t>1700_09F5</t>
  </si>
  <si>
    <t>1700_0BF5</t>
  </si>
  <si>
    <t>1700_0DF5</t>
  </si>
  <si>
    <t>1700_0FF5</t>
  </si>
  <si>
    <t>1700_11F5</t>
  </si>
  <si>
    <t>1700_13F5</t>
  </si>
  <si>
    <t>1700_15F5</t>
  </si>
  <si>
    <t>1700_17F5</t>
  </si>
  <si>
    <t>1700_19F5</t>
  </si>
  <si>
    <t>1700_1BF5</t>
  </si>
  <si>
    <t>1700_1DF5</t>
  </si>
  <si>
    <t>1700_1FF5</t>
  </si>
  <si>
    <t>1700_21F5</t>
  </si>
  <si>
    <t>1700_23F5</t>
  </si>
  <si>
    <t>1700_25F5</t>
  </si>
  <si>
    <t>1700_27F5</t>
  </si>
  <si>
    <t>1700_29F5</t>
  </si>
  <si>
    <t>1700_2BF5</t>
  </si>
  <si>
    <t>1700_2DF5</t>
  </si>
  <si>
    <t>1700_2FF5</t>
  </si>
  <si>
    <t>1700_31F5</t>
  </si>
  <si>
    <t>1700_33F5</t>
  </si>
  <si>
    <t>1700_35F5</t>
  </si>
  <si>
    <t>1700_37F5</t>
  </si>
  <si>
    <t>1700_39F5</t>
  </si>
  <si>
    <t>1700_3BF5</t>
  </si>
  <si>
    <t>1700_3DF5</t>
  </si>
  <si>
    <t>1700_3FF5</t>
  </si>
  <si>
    <t>1700_41F5</t>
  </si>
  <si>
    <t>1700_43F5</t>
  </si>
  <si>
    <t>1700_45F5</t>
  </si>
  <si>
    <t>1700_47F5</t>
  </si>
  <si>
    <t>1700_49F5</t>
  </si>
  <si>
    <t>1700_4BF5</t>
  </si>
  <si>
    <t>1700_4DF5</t>
  </si>
  <si>
    <t>1700_4FF5</t>
  </si>
  <si>
    <t>1700_51F5</t>
  </si>
  <si>
    <t>1700_53F5</t>
  </si>
  <si>
    <t>1700_55F5</t>
  </si>
  <si>
    <t>1700_57F5</t>
  </si>
  <si>
    <t>1700_59F5</t>
  </si>
  <si>
    <t>1700_5BF5</t>
  </si>
  <si>
    <t>1700_5DF5</t>
  </si>
  <si>
    <t>1700_5FF5</t>
  </si>
  <si>
    <t>1700_61F5</t>
  </si>
  <si>
    <t>1700_63F5</t>
  </si>
  <si>
    <t>1700_65F5</t>
  </si>
  <si>
    <t>1700_67F5</t>
  </si>
  <si>
    <t>1700_69F5</t>
  </si>
  <si>
    <t>1700_6BF5</t>
  </si>
  <si>
    <t>1700_6DF5</t>
  </si>
  <si>
    <t>1700_6FF5</t>
  </si>
  <si>
    <t>1700_71F5</t>
  </si>
  <si>
    <t>1700_73F5</t>
  </si>
  <si>
    <t>1700_75F5</t>
  </si>
  <si>
    <t>1700_77F5</t>
  </si>
  <si>
    <t>1700_79F5</t>
  </si>
  <si>
    <t>1700_7BF5</t>
  </si>
  <si>
    <t>1700_7DF5</t>
  </si>
  <si>
    <t>1700_7FF5</t>
  </si>
  <si>
    <t>1700_01F6</t>
  </si>
  <si>
    <t>1700_03F6</t>
  </si>
  <si>
    <t>1700_05F6</t>
  </si>
  <si>
    <t>1700_07F6</t>
  </si>
  <si>
    <t>1700_09F6</t>
  </si>
  <si>
    <t>1700_0BF6</t>
  </si>
  <si>
    <t>1700_0DF6</t>
  </si>
  <si>
    <t>1700_0FF6</t>
  </si>
  <si>
    <t>1700_11F6</t>
  </si>
  <si>
    <t>1700_13F6</t>
  </si>
  <si>
    <t>1700_15F6</t>
  </si>
  <si>
    <t>1700_17F6</t>
  </si>
  <si>
    <t>1700_19F6</t>
  </si>
  <si>
    <t>1700_1BF6</t>
  </si>
  <si>
    <t>1700_1DF6</t>
  </si>
  <si>
    <t>1700_1FF6</t>
  </si>
  <si>
    <t>1700_21F6</t>
  </si>
  <si>
    <t>1700_23F6</t>
  </si>
  <si>
    <t>1700_25F6</t>
  </si>
  <si>
    <t>1700_27F6</t>
  </si>
  <si>
    <t>1700_29F6</t>
  </si>
  <si>
    <t>1700_2BF6</t>
  </si>
  <si>
    <t>1700_2DF6</t>
  </si>
  <si>
    <t>1700_2FF6</t>
  </si>
  <si>
    <t>1700_31F6</t>
  </si>
  <si>
    <t>1700_33F6</t>
  </si>
  <si>
    <t>1700_35F6</t>
  </si>
  <si>
    <t>1700_37F6</t>
  </si>
  <si>
    <t>1700_39F6</t>
  </si>
  <si>
    <t>1700_3BF6</t>
  </si>
  <si>
    <t>1700_3DF6</t>
  </si>
  <si>
    <t>1700_3FF6</t>
  </si>
  <si>
    <t>1700_41F6</t>
  </si>
  <si>
    <t>1700_43F6</t>
  </si>
  <si>
    <t>1700_45F6</t>
  </si>
  <si>
    <t>1700_47F6</t>
  </si>
  <si>
    <t>1700_49F6</t>
  </si>
  <si>
    <t>1700_4BF6</t>
  </si>
  <si>
    <t>1700_4DF6</t>
  </si>
  <si>
    <t>1700_4FF6</t>
  </si>
  <si>
    <t>1700_51F6</t>
  </si>
  <si>
    <t>1700_53F6</t>
  </si>
  <si>
    <t>1700_55F6</t>
  </si>
  <si>
    <t>1700_57F6</t>
  </si>
  <si>
    <t>1700_59F6</t>
  </si>
  <si>
    <t>1700_5BF6</t>
  </si>
  <si>
    <t>1700_5DF6</t>
  </si>
  <si>
    <t>1700_5FF6</t>
  </si>
  <si>
    <t>1700_61F6</t>
  </si>
  <si>
    <t>1700_63F6</t>
  </si>
  <si>
    <t>1700_65F6</t>
  </si>
  <si>
    <t>1700_67F6</t>
  </si>
  <si>
    <t>1700_69F6</t>
  </si>
  <si>
    <t>1700_6BF6</t>
  </si>
  <si>
    <t>1700_6DF6</t>
  </si>
  <si>
    <t>1700_6FF6</t>
  </si>
  <si>
    <t>1700_71F6</t>
  </si>
  <si>
    <t>1700_73F6</t>
  </si>
  <si>
    <t>1700_75F6</t>
  </si>
  <si>
    <t>1700_77F6</t>
  </si>
  <si>
    <t>1700_79F6</t>
  </si>
  <si>
    <t>1700_7BF6</t>
  </si>
  <si>
    <t>1700_7DF6</t>
  </si>
  <si>
    <t>1700_7FF6</t>
  </si>
  <si>
    <t>1700_01F7</t>
  </si>
  <si>
    <t>1700_03F7</t>
  </si>
  <si>
    <t>1700_05F7</t>
  </si>
  <si>
    <t>1700_07F7</t>
  </si>
  <si>
    <t>1700_09F7</t>
  </si>
  <si>
    <t>1700_0BF7</t>
  </si>
  <si>
    <t>1700_0DF7</t>
  </si>
  <si>
    <t>1700_0FF7</t>
  </si>
  <si>
    <t>1700_11F7</t>
  </si>
  <si>
    <t>1700_13F7</t>
  </si>
  <si>
    <t>1700_15F7</t>
  </si>
  <si>
    <t>1700_17F7</t>
  </si>
  <si>
    <t>1700_19F7</t>
  </si>
  <si>
    <t>1700_1BF7</t>
  </si>
  <si>
    <t>1700_1DF7</t>
  </si>
  <si>
    <t>1700_1FF7</t>
  </si>
  <si>
    <t>1700_21F7</t>
  </si>
  <si>
    <t>1700_23F7</t>
  </si>
  <si>
    <t>1700_25F7</t>
  </si>
  <si>
    <t>1700_27F7</t>
  </si>
  <si>
    <t>1700_29F7</t>
  </si>
  <si>
    <t>1700_2BF7</t>
  </si>
  <si>
    <t>1700_2DF7</t>
  </si>
  <si>
    <t>1700_2FF7</t>
  </si>
  <si>
    <t>1700_31F7</t>
  </si>
  <si>
    <t>1700_33F7</t>
  </si>
  <si>
    <t>1700_35F7</t>
  </si>
  <si>
    <t>1700_37F7</t>
  </si>
  <si>
    <t>1700_39F7</t>
  </si>
  <si>
    <t>1700_3BF7</t>
  </si>
  <si>
    <t>1700_3DF7</t>
  </si>
  <si>
    <t>1700_3FF7</t>
  </si>
  <si>
    <t>1700_41F7</t>
  </si>
  <si>
    <t>1700_43F7</t>
  </si>
  <si>
    <t>1700_45F7</t>
  </si>
  <si>
    <t>1700_47F7</t>
  </si>
  <si>
    <t>1700_49F7</t>
  </si>
  <si>
    <t>1700_4BF7</t>
  </si>
  <si>
    <t>1700_4DF7</t>
  </si>
  <si>
    <t>1700_4FF7</t>
  </si>
  <si>
    <t>1700_51F7</t>
  </si>
  <si>
    <t>1700_53F7</t>
  </si>
  <si>
    <t>1700_55F7</t>
  </si>
  <si>
    <t>1700_57F7</t>
  </si>
  <si>
    <t>1700_59F7</t>
  </si>
  <si>
    <t>1700_5BF7</t>
  </si>
  <si>
    <t>1700_5DF7</t>
  </si>
  <si>
    <t>1700_5FF7</t>
  </si>
  <si>
    <t>1700_61F7</t>
  </si>
  <si>
    <t>1700_63F7</t>
  </si>
  <si>
    <t>1700_65F7</t>
  </si>
  <si>
    <t>1700_67F7</t>
  </si>
  <si>
    <t>1700_69F7</t>
  </si>
  <si>
    <t>1700_6BF7</t>
  </si>
  <si>
    <t>1700_6DF7</t>
  </si>
  <si>
    <t>1700_6FF7</t>
  </si>
  <si>
    <t>1700_71F7</t>
  </si>
  <si>
    <t>1700_73F7</t>
  </si>
  <si>
    <t>1700_75F7</t>
  </si>
  <si>
    <t>1700_77F7</t>
  </si>
  <si>
    <t>1700_79F7</t>
  </si>
  <si>
    <t>1700_7BF7</t>
  </si>
  <si>
    <t>1700_7DF7</t>
  </si>
  <si>
    <t>1700_7FF7</t>
  </si>
  <si>
    <t>1700_01F8</t>
  </si>
  <si>
    <t>1700_03F8</t>
  </si>
  <si>
    <t>1700_05F8</t>
  </si>
  <si>
    <t>1700_07F8</t>
  </si>
  <si>
    <t>1700_09F8</t>
  </si>
  <si>
    <t>1700_0BF8</t>
  </si>
  <si>
    <t>1700_0DF8</t>
  </si>
  <si>
    <t>1700_0FF8</t>
  </si>
  <si>
    <t>1700_11F8</t>
  </si>
  <si>
    <t>1700_13F8</t>
  </si>
  <si>
    <t>1700_15F8</t>
  </si>
  <si>
    <t>1700_17F8</t>
  </si>
  <si>
    <t>1700_19F8</t>
  </si>
  <si>
    <t>1700_1BF8</t>
  </si>
  <si>
    <t>1700_1DF8</t>
  </si>
  <si>
    <t>1700_1FF8</t>
  </si>
  <si>
    <t>1700_21F8</t>
  </si>
  <si>
    <t>1700_23F8</t>
  </si>
  <si>
    <t>1700_25F8</t>
  </si>
  <si>
    <t>1700_27F8</t>
  </si>
  <si>
    <t>1700_29F8</t>
  </si>
  <si>
    <t>1700_2BF8</t>
  </si>
  <si>
    <t>1700_2DF8</t>
  </si>
  <si>
    <t>1700_2FF8</t>
  </si>
  <si>
    <t>1700_31F8</t>
  </si>
  <si>
    <t>1700_33F8</t>
  </si>
  <si>
    <t>1700_35F8</t>
  </si>
  <si>
    <t>1700_37F8</t>
  </si>
  <si>
    <t>1700_39F8</t>
  </si>
  <si>
    <t>1700_3BF8</t>
  </si>
  <si>
    <t>1700_3DF8</t>
  </si>
  <si>
    <t>1700_3FF8</t>
  </si>
  <si>
    <t>1700_41F8</t>
  </si>
  <si>
    <t>1700_43F8</t>
  </si>
  <si>
    <t>1700_45F8</t>
  </si>
  <si>
    <t>1700_47F8</t>
  </si>
  <si>
    <t>1700_49F8</t>
  </si>
  <si>
    <t>1700_4BF8</t>
  </si>
  <si>
    <t>1700_4DF8</t>
  </si>
  <si>
    <t>1700_4FF8</t>
  </si>
  <si>
    <t>1700_51F8</t>
  </si>
  <si>
    <t>1700_53F8</t>
  </si>
  <si>
    <t>1700_55F8</t>
  </si>
  <si>
    <t>1700_57F8</t>
  </si>
  <si>
    <t>1700_59F8</t>
  </si>
  <si>
    <t>1700_5BF8</t>
  </si>
  <si>
    <t>1700_5DF8</t>
  </si>
  <si>
    <t>1700_5FF8</t>
  </si>
  <si>
    <t>1700_61F8</t>
  </si>
  <si>
    <t>1700_63F8</t>
  </si>
  <si>
    <t>1700_65F8</t>
  </si>
  <si>
    <t>1700_67F8</t>
  </si>
  <si>
    <t>1700_69F8</t>
  </si>
  <si>
    <t>1700_6BF8</t>
  </si>
  <si>
    <t>1700_6DF8</t>
  </si>
  <si>
    <t>1700_6FF8</t>
  </si>
  <si>
    <t>1700_71F8</t>
  </si>
  <si>
    <t>1700_73F8</t>
  </si>
  <si>
    <t>1700_75F8</t>
  </si>
  <si>
    <t>1700_77F8</t>
  </si>
  <si>
    <t>1700_79F8</t>
  </si>
  <si>
    <t>1700_7BF8</t>
  </si>
  <si>
    <t>1700_7DF8</t>
  </si>
  <si>
    <t>1700_7FF8</t>
  </si>
  <si>
    <t>1700_01F9</t>
  </si>
  <si>
    <t>1700_03F9</t>
  </si>
  <si>
    <t>1700_05F9</t>
  </si>
  <si>
    <t>1700_07F9</t>
  </si>
  <si>
    <t>1700_09F9</t>
  </si>
  <si>
    <t>1700_0BF9</t>
  </si>
  <si>
    <t>1700_0DF9</t>
  </si>
  <si>
    <t>1700_0FF9</t>
  </si>
  <si>
    <t>1700_11F9</t>
  </si>
  <si>
    <t>1700_13F9</t>
  </si>
  <si>
    <t>1700_15F9</t>
  </si>
  <si>
    <t>1700_17F9</t>
  </si>
  <si>
    <t>1700_19F9</t>
  </si>
  <si>
    <t>1700_1BF9</t>
  </si>
  <si>
    <t>1700_1DF9</t>
  </si>
  <si>
    <t>1700_1FF9</t>
  </si>
  <si>
    <t>1700_21F9</t>
  </si>
  <si>
    <t>1700_23F9</t>
  </si>
  <si>
    <t>1700_25F9</t>
  </si>
  <si>
    <t>1700_27F9</t>
  </si>
  <si>
    <t>1700_29F9</t>
  </si>
  <si>
    <t>1700_2BF9</t>
  </si>
  <si>
    <t>1700_2DF9</t>
  </si>
  <si>
    <t>1700_2FF9</t>
  </si>
  <si>
    <t>1700_31F9</t>
  </si>
  <si>
    <t>1700_33F9</t>
  </si>
  <si>
    <t>1700_35F9</t>
  </si>
  <si>
    <t>1700_37F9</t>
  </si>
  <si>
    <t>1700_39F9</t>
  </si>
  <si>
    <t>1700_3BF9</t>
  </si>
  <si>
    <t>1700_3DF9</t>
  </si>
  <si>
    <t>1700_3FF9</t>
  </si>
  <si>
    <t>1700_41F9</t>
  </si>
  <si>
    <t>1700_43F9</t>
  </si>
  <si>
    <t>1700_45F9</t>
  </si>
  <si>
    <t>1700_47F9</t>
  </si>
  <si>
    <t>1700_49F9</t>
  </si>
  <si>
    <t>1700_4BF9</t>
  </si>
  <si>
    <t>1700_4DF9</t>
  </si>
  <si>
    <t>1700_4FF9</t>
  </si>
  <si>
    <t>1700_51F9</t>
  </si>
  <si>
    <t>1700_53F9</t>
  </si>
  <si>
    <t>1700_55F9</t>
  </si>
  <si>
    <t>1700_57F9</t>
  </si>
  <si>
    <t>1700_59F9</t>
  </si>
  <si>
    <t>1700_5BF9</t>
  </si>
  <si>
    <t>1700_5DF9</t>
  </si>
  <si>
    <t>1700_5FF9</t>
  </si>
  <si>
    <t>1700_61F9</t>
  </si>
  <si>
    <t>1700_63F9</t>
  </si>
  <si>
    <t>1700_65F9</t>
  </si>
  <si>
    <t>1700_67F9</t>
  </si>
  <si>
    <t>1700_69F9</t>
  </si>
  <si>
    <t>1700_6BF9</t>
  </si>
  <si>
    <t>1700_6DF9</t>
  </si>
  <si>
    <t>1700_6FF9</t>
  </si>
  <si>
    <t>1700_71F9</t>
  </si>
  <si>
    <t>1700_73F9</t>
  </si>
  <si>
    <t>1700_75F9</t>
  </si>
  <si>
    <t>1700_77F9</t>
  </si>
  <si>
    <t>1700_79F9</t>
  </si>
  <si>
    <t>1700_7BF9</t>
  </si>
  <si>
    <t>1700_7DF9</t>
  </si>
  <si>
    <t>1700_7FF9</t>
  </si>
  <si>
    <t>1700_01FA</t>
  </si>
  <si>
    <t>1700_03FA</t>
  </si>
  <si>
    <t>1700_05FA</t>
  </si>
  <si>
    <t>1700_07FA</t>
  </si>
  <si>
    <t>1700_09FA</t>
  </si>
  <si>
    <t>1700_0BFA</t>
  </si>
  <si>
    <t>1700_0DFA</t>
  </si>
  <si>
    <t>1700_0FFA</t>
  </si>
  <si>
    <t>1700_11FA</t>
  </si>
  <si>
    <t>1700_13FA</t>
  </si>
  <si>
    <t>1700_15FA</t>
  </si>
  <si>
    <t>1700_17FA</t>
  </si>
  <si>
    <t>1700_19FA</t>
  </si>
  <si>
    <t>1700_1BFA</t>
  </si>
  <si>
    <t>1700_1DFA</t>
  </si>
  <si>
    <t>1700_1FFA</t>
  </si>
  <si>
    <t>1700_21FA</t>
  </si>
  <si>
    <t>1700_23FA</t>
  </si>
  <si>
    <t>1700_25FA</t>
  </si>
  <si>
    <t>1700_27FA</t>
  </si>
  <si>
    <t>1700_29FA</t>
  </si>
  <si>
    <t>1700_2BFA</t>
  </si>
  <si>
    <t>1700_2DFA</t>
  </si>
  <si>
    <t>1700_2FFA</t>
  </si>
  <si>
    <t>1700_31FA</t>
  </si>
  <si>
    <t>1700_33FA</t>
  </si>
  <si>
    <t>1700_35FA</t>
  </si>
  <si>
    <t>1700_37FA</t>
  </si>
  <si>
    <t>1700_39FA</t>
  </si>
  <si>
    <t>1700_3BFA</t>
  </si>
  <si>
    <t>1700_3DFA</t>
  </si>
  <si>
    <t>1700_3FFA</t>
  </si>
  <si>
    <t>1700_41FA</t>
  </si>
  <si>
    <t>1700_43FA</t>
  </si>
  <si>
    <t>1700_45FA</t>
  </si>
  <si>
    <t>1700_47FA</t>
  </si>
  <si>
    <t>1700_49FA</t>
  </si>
  <si>
    <t>1700_4BFA</t>
  </si>
  <si>
    <t>1700_4DFA</t>
  </si>
  <si>
    <t>1700_4FFA</t>
  </si>
  <si>
    <t>1700_51FA</t>
  </si>
  <si>
    <t>1700_53FA</t>
  </si>
  <si>
    <t>1700_55FA</t>
  </si>
  <si>
    <t>1700_57FA</t>
  </si>
  <si>
    <t>1700_59FA</t>
  </si>
  <si>
    <t>1700_5BFA</t>
  </si>
  <si>
    <t>1700_5DFA</t>
  </si>
  <si>
    <t>1700_5FFA</t>
  </si>
  <si>
    <t>1700_61FA</t>
  </si>
  <si>
    <t>1700_63FA</t>
  </si>
  <si>
    <t>1700_65FA</t>
  </si>
  <si>
    <t>1700_67FA</t>
  </si>
  <si>
    <t>1700_69FA</t>
  </si>
  <si>
    <t>1700_6BFA</t>
  </si>
  <si>
    <t>1700_6DFA</t>
  </si>
  <si>
    <t>1700_6FFA</t>
  </si>
  <si>
    <t>1700_71FA</t>
  </si>
  <si>
    <t>1700_73FA</t>
  </si>
  <si>
    <t>1700_75FA</t>
  </si>
  <si>
    <t>1700_77FA</t>
  </si>
  <si>
    <t>1700_79FA</t>
  </si>
  <si>
    <t>1700_7BFA</t>
  </si>
  <si>
    <t>1700_7DFA</t>
  </si>
  <si>
    <t>1700_7FFA</t>
  </si>
  <si>
    <t>1700_01FB</t>
  </si>
  <si>
    <t>1700_03FB</t>
  </si>
  <si>
    <t>1700_05FB</t>
  </si>
  <si>
    <t>1700_07FB</t>
  </si>
  <si>
    <t>1700_09FB</t>
  </si>
  <si>
    <t>1700_0BFB</t>
  </si>
  <si>
    <t>1700_0DFB</t>
  </si>
  <si>
    <t>1700_0FFB</t>
  </si>
  <si>
    <t>1700_11FB</t>
  </si>
  <si>
    <t>1700_13FB</t>
  </si>
  <si>
    <t>1700_15FB</t>
  </si>
  <si>
    <t>1700_17FB</t>
  </si>
  <si>
    <t>1700_19FB</t>
  </si>
  <si>
    <t>1700_1BFB</t>
  </si>
  <si>
    <t>1700_1DFB</t>
  </si>
  <si>
    <t>1700_1FFB</t>
  </si>
  <si>
    <t>1700_21FB</t>
  </si>
  <si>
    <t>1700_23FB</t>
  </si>
  <si>
    <t>1700_25FB</t>
  </si>
  <si>
    <t>1700_27FB</t>
  </si>
  <si>
    <t>1700_29FB</t>
  </si>
  <si>
    <t>1700_2BFB</t>
  </si>
  <si>
    <t>1700_2DFB</t>
  </si>
  <si>
    <t>1700_2FFB</t>
  </si>
  <si>
    <t>1700_31FB</t>
  </si>
  <si>
    <t>1700_33FB</t>
  </si>
  <si>
    <t>1700_35FB</t>
  </si>
  <si>
    <t>1700_37FB</t>
  </si>
  <si>
    <t>1700_39FB</t>
  </si>
  <si>
    <t>1700_3BFB</t>
  </si>
  <si>
    <t>1700_3DFB</t>
  </si>
  <si>
    <t>1700_3FFB</t>
  </si>
  <si>
    <t>1700_41FB</t>
  </si>
  <si>
    <t>1700_43FB</t>
  </si>
  <si>
    <t>1700_45FB</t>
  </si>
  <si>
    <t>1700_47FB</t>
  </si>
  <si>
    <t>1700_49FB</t>
  </si>
  <si>
    <t>1700_4BFB</t>
  </si>
  <si>
    <t>1700_4DFB</t>
  </si>
  <si>
    <t>1700_4FFB</t>
  </si>
  <si>
    <t>1700_51FB</t>
  </si>
  <si>
    <t>1700_53FB</t>
  </si>
  <si>
    <t>1700_55FB</t>
  </si>
  <si>
    <t>1700_57FB</t>
  </si>
  <si>
    <t>1700_59FB</t>
  </si>
  <si>
    <t>1700_5BFB</t>
  </si>
  <si>
    <t>1700_5DFB</t>
  </si>
  <si>
    <t>1700_5FFB</t>
  </si>
  <si>
    <t>1700_61FB</t>
  </si>
  <si>
    <t>1700_63FB</t>
  </si>
  <si>
    <t>1700_65FB</t>
  </si>
  <si>
    <t>1700_67FB</t>
  </si>
  <si>
    <t>1700_69FB</t>
  </si>
  <si>
    <t>1700_6BFB</t>
  </si>
  <si>
    <t>1700_6DFB</t>
  </si>
  <si>
    <t>1700_6FFB</t>
  </si>
  <si>
    <t>1700_71FB</t>
  </si>
  <si>
    <t>1700_73FB</t>
  </si>
  <si>
    <t>1700_75FB</t>
  </si>
  <si>
    <t>1700_77FB</t>
  </si>
  <si>
    <t>1700_79FB</t>
  </si>
  <si>
    <t>1700_7BFB</t>
  </si>
  <si>
    <t>1700_7DFB</t>
  </si>
  <si>
    <t>1700_7FFB</t>
  </si>
  <si>
    <t>1700_01FC</t>
  </si>
  <si>
    <t>1700_03FC</t>
  </si>
  <si>
    <t>1700_05FC</t>
  </si>
  <si>
    <t>1700_07FC</t>
  </si>
  <si>
    <t>1700_09FC</t>
  </si>
  <si>
    <t>1700_0BFC</t>
  </si>
  <si>
    <t>1700_0DFC</t>
  </si>
  <si>
    <t>1700_0FFC</t>
  </si>
  <si>
    <t>1700_11FC</t>
  </si>
  <si>
    <t>1700_13FC</t>
  </si>
  <si>
    <t>1700_15FC</t>
  </si>
  <si>
    <t>1700_17FC</t>
  </si>
  <si>
    <t>1700_19FC</t>
  </si>
  <si>
    <t>1700_1BFC</t>
  </si>
  <si>
    <t>1700_1DFC</t>
  </si>
  <si>
    <t>1700_1FFC</t>
  </si>
  <si>
    <t>1700_21FC</t>
  </si>
  <si>
    <t>1700_23FC</t>
  </si>
  <si>
    <t>1700_25FC</t>
  </si>
  <si>
    <t>1700_27FC</t>
  </si>
  <si>
    <t>1700_29FC</t>
  </si>
  <si>
    <t>1700_2BFC</t>
  </si>
  <si>
    <t>1700_2DFC</t>
  </si>
  <si>
    <t>1700_2FFC</t>
  </si>
  <si>
    <t>1700_31FC</t>
  </si>
  <si>
    <t>1700_33FC</t>
  </si>
  <si>
    <t>1700_35FC</t>
  </si>
  <si>
    <t>1700_37FC</t>
  </si>
  <si>
    <t>1700_39FC</t>
  </si>
  <si>
    <t>1700_3BFC</t>
  </si>
  <si>
    <t>1700_3DFC</t>
  </si>
  <si>
    <t>1700_3FFC</t>
  </si>
  <si>
    <t>1700_41FC</t>
  </si>
  <si>
    <t>1700_43FC</t>
  </si>
  <si>
    <t>1700_45FC</t>
  </si>
  <si>
    <t>1700_47FC</t>
  </si>
  <si>
    <t>1700_49FC</t>
  </si>
  <si>
    <t>1700_4BFC</t>
  </si>
  <si>
    <t>1700_4DFC</t>
  </si>
  <si>
    <t>1700_4FFC</t>
  </si>
  <si>
    <t>1700_51FC</t>
  </si>
  <si>
    <t>1700_53FC</t>
  </si>
  <si>
    <t>1700_55FC</t>
  </si>
  <si>
    <t>1700_57FC</t>
  </si>
  <si>
    <t>1700_59FC</t>
  </si>
  <si>
    <t>1700_5BFC</t>
  </si>
  <si>
    <t>1700_5DFC</t>
  </si>
  <si>
    <t>1700_5FFC</t>
  </si>
  <si>
    <t>1700_61FC</t>
  </si>
  <si>
    <t>1700_63FC</t>
  </si>
  <si>
    <t>1700_65FC</t>
  </si>
  <si>
    <t>1700_67FC</t>
  </si>
  <si>
    <t>1700_69FC</t>
  </si>
  <si>
    <t>1700_6BFC</t>
  </si>
  <si>
    <t>1700_6DFC</t>
  </si>
  <si>
    <t>1700_6FFC</t>
  </si>
  <si>
    <t>1700_71FC</t>
  </si>
  <si>
    <t>1700_73FC</t>
  </si>
  <si>
    <t>1700_75FC</t>
  </si>
  <si>
    <t>1700_77FC</t>
  </si>
  <si>
    <t>1700_79FC</t>
  </si>
  <si>
    <t>1700_7BFC</t>
  </si>
  <si>
    <t>1700_7DFC</t>
  </si>
  <si>
    <t>1700_7FFC</t>
  </si>
  <si>
    <t>1700_01FD</t>
  </si>
  <si>
    <t>1700_03FD</t>
  </si>
  <si>
    <t>1700_05FD</t>
  </si>
  <si>
    <t>1700_07FD</t>
  </si>
  <si>
    <t>1700_09FD</t>
  </si>
  <si>
    <t>1700_0BFD</t>
  </si>
  <si>
    <t>1700_0DFD</t>
  </si>
  <si>
    <t>1700_0FFD</t>
  </si>
  <si>
    <t>1700_11FD</t>
  </si>
  <si>
    <t>1700_13FD</t>
  </si>
  <si>
    <t>1700_15FD</t>
  </si>
  <si>
    <t>1700_17FD</t>
  </si>
  <si>
    <t>1700_19FD</t>
  </si>
  <si>
    <t>1700_1BFD</t>
  </si>
  <si>
    <t>1700_1DFD</t>
  </si>
  <si>
    <t>1700_1FFD</t>
  </si>
  <si>
    <t>1700_21FD</t>
  </si>
  <si>
    <t>1700_23FD</t>
  </si>
  <si>
    <t>1700_25FD</t>
  </si>
  <si>
    <t>1700_27FD</t>
  </si>
  <si>
    <t>1700_29FD</t>
  </si>
  <si>
    <t>1700_2BFD</t>
  </si>
  <si>
    <t>1700_2DFD</t>
  </si>
  <si>
    <t>1700_2FFD</t>
  </si>
  <si>
    <t>1700_31FD</t>
  </si>
  <si>
    <t>1700_33FD</t>
  </si>
  <si>
    <t>1700_35FD</t>
  </si>
  <si>
    <t>1700_37FD</t>
  </si>
  <si>
    <t>1700_39FD</t>
  </si>
  <si>
    <t>1700_3BFD</t>
  </si>
  <si>
    <t>1700_3DFD</t>
  </si>
  <si>
    <t>1700_3FFD</t>
  </si>
  <si>
    <t>1700_41FD</t>
  </si>
  <si>
    <t>1700_43FD</t>
  </si>
  <si>
    <t>1700_45FD</t>
  </si>
  <si>
    <t>1700_47FD</t>
  </si>
  <si>
    <t>1700_49FD</t>
  </si>
  <si>
    <t>1700_4BFD</t>
  </si>
  <si>
    <t>1700_4DFD</t>
  </si>
  <si>
    <t>1700_4FFD</t>
  </si>
  <si>
    <t>1700_51FD</t>
  </si>
  <si>
    <t>1700_53FD</t>
  </si>
  <si>
    <t>1700_55FD</t>
  </si>
  <si>
    <t>1700_57FD</t>
  </si>
  <si>
    <t>1700_59FD</t>
  </si>
  <si>
    <t>1700_5BFD</t>
  </si>
  <si>
    <t>1700_5DFD</t>
  </si>
  <si>
    <t>1700_5FFD</t>
  </si>
  <si>
    <t>1700_61FD</t>
  </si>
  <si>
    <t>1700_63FD</t>
  </si>
  <si>
    <t>1700_65FD</t>
  </si>
  <si>
    <t>1700_67FD</t>
  </si>
  <si>
    <t>1700_69FD</t>
  </si>
  <si>
    <t>1700_6BFD</t>
  </si>
  <si>
    <t>1700_6DFD</t>
  </si>
  <si>
    <t>1700_6FFD</t>
  </si>
  <si>
    <t>1700_71FD</t>
  </si>
  <si>
    <t>1700_73FD</t>
  </si>
  <si>
    <t>1700_75FD</t>
  </si>
  <si>
    <t>1700_77FD</t>
  </si>
  <si>
    <t>1700_79FD</t>
  </si>
  <si>
    <t>1700_7BFD</t>
  </si>
  <si>
    <t>1700_7DFD</t>
  </si>
  <si>
    <t>1700_7FFD</t>
  </si>
  <si>
    <t>1700_01FE</t>
  </si>
  <si>
    <t>1700_03FE</t>
  </si>
  <si>
    <t>1700_05FE</t>
  </si>
  <si>
    <t>1700_07FE</t>
  </si>
  <si>
    <t>1700_09FE</t>
  </si>
  <si>
    <t>1700_0BFE</t>
  </si>
  <si>
    <t>1700_0DFE</t>
  </si>
  <si>
    <t>1700_0FFE</t>
  </si>
  <si>
    <t>1700_11FE</t>
  </si>
  <si>
    <t>1700_13FE</t>
  </si>
  <si>
    <t>1700_15FE</t>
  </si>
  <si>
    <t>1700_17FE</t>
  </si>
  <si>
    <t>1700_19FE</t>
  </si>
  <si>
    <t>1700_1BFE</t>
  </si>
  <si>
    <t>1700_1DFE</t>
  </si>
  <si>
    <t>1700_1FFE</t>
  </si>
  <si>
    <t>1700_21FE</t>
  </si>
  <si>
    <t>1700_23FE</t>
  </si>
  <si>
    <t>1700_25FE</t>
  </si>
  <si>
    <t>1700_27FE</t>
  </si>
  <si>
    <t>1700_29FE</t>
  </si>
  <si>
    <t>1700_2BFE</t>
  </si>
  <si>
    <t>1700_2DFE</t>
  </si>
  <si>
    <t>1700_2FFE</t>
  </si>
  <si>
    <t>1700_31FE</t>
  </si>
  <si>
    <t>1700_33FE</t>
  </si>
  <si>
    <t>1700_35FE</t>
  </si>
  <si>
    <t>1700_37FE</t>
  </si>
  <si>
    <t>1700_39FE</t>
  </si>
  <si>
    <t>1700_3BFE</t>
  </si>
  <si>
    <t>1700_3DFE</t>
  </si>
  <si>
    <t>1700_3FFE</t>
  </si>
  <si>
    <t>1700_41FE</t>
  </si>
  <si>
    <t>1700_43FE</t>
  </si>
  <si>
    <t>1700_45FE</t>
  </si>
  <si>
    <t>1700_47FE</t>
  </si>
  <si>
    <t>1700_49FE</t>
  </si>
  <si>
    <t>1700_4BFE</t>
  </si>
  <si>
    <t>1700_4DFE</t>
  </si>
  <si>
    <t>1700_4FFE</t>
  </si>
  <si>
    <t>1700_51FE</t>
  </si>
  <si>
    <t>1700_53FE</t>
  </si>
  <si>
    <t>1700_55FE</t>
  </si>
  <si>
    <t>1700_57FE</t>
  </si>
  <si>
    <t>1700_59FE</t>
  </si>
  <si>
    <t>1700_5BFE</t>
  </si>
  <si>
    <t>1700_5DFE</t>
  </si>
  <si>
    <t>1700_5FFE</t>
  </si>
  <si>
    <t>1700_61FE</t>
  </si>
  <si>
    <t>1700_63FE</t>
  </si>
  <si>
    <t>1700_65FE</t>
  </si>
  <si>
    <t>1700_67FE</t>
  </si>
  <si>
    <t>1700_69FE</t>
  </si>
  <si>
    <t>1700_6BFE</t>
  </si>
  <si>
    <t>1700_6DFE</t>
  </si>
  <si>
    <t>1700_6FFE</t>
  </si>
  <si>
    <t>1700_71FE</t>
  </si>
  <si>
    <t>1700_73FE</t>
  </si>
  <si>
    <t>1700_75FE</t>
  </si>
  <si>
    <t>1700_77FE</t>
  </si>
  <si>
    <t>1700_79FE</t>
  </si>
  <si>
    <t>1700_7BFE</t>
  </si>
  <si>
    <t>1700_7DFE</t>
  </si>
  <si>
    <t>1700_7FFE</t>
  </si>
  <si>
    <t>1700_01FF</t>
  </si>
  <si>
    <t>1700_03FF</t>
  </si>
  <si>
    <t>1700_05FF</t>
  </si>
  <si>
    <t>1700_07FF</t>
  </si>
  <si>
    <t>1700_09FF</t>
  </si>
  <si>
    <t>1700_0BFF</t>
  </si>
  <si>
    <t>1700_0DFF</t>
  </si>
  <si>
    <t>1700_0FFF</t>
  </si>
  <si>
    <t>1700_11FF</t>
  </si>
  <si>
    <t>1700_13FF</t>
  </si>
  <si>
    <t>1700_15FF</t>
  </si>
  <si>
    <t>1700_17FF</t>
  </si>
  <si>
    <t>1700_19FF</t>
  </si>
  <si>
    <t>1700_1BFF</t>
  </si>
  <si>
    <t>1700_1DFF</t>
  </si>
  <si>
    <t>1700_1FFF</t>
  </si>
  <si>
    <t>1700_21FF</t>
  </si>
  <si>
    <t>1700_23FF</t>
  </si>
  <si>
    <t>1700_25FF</t>
  </si>
  <si>
    <t>1700_27FF</t>
  </si>
  <si>
    <t>1700_29FF</t>
  </si>
  <si>
    <t>1700_2BFF</t>
  </si>
  <si>
    <t>1700_2DFF</t>
  </si>
  <si>
    <t>1700_2FFF</t>
  </si>
  <si>
    <t>1700_31FF</t>
  </si>
  <si>
    <t>1700_33FF</t>
  </si>
  <si>
    <t>1700_35FF</t>
  </si>
  <si>
    <t>1700_37FF</t>
  </si>
  <si>
    <t>1700_39FF</t>
  </si>
  <si>
    <t>1700_3BFF</t>
  </si>
  <si>
    <t>1700_3DFF</t>
  </si>
  <si>
    <t>1700_3FFF</t>
  </si>
  <si>
    <t>1700_41FF</t>
  </si>
  <si>
    <t>1700_43FF</t>
  </si>
  <si>
    <t>1700_45FF</t>
  </si>
  <si>
    <t>1700_47FF</t>
  </si>
  <si>
    <t>1700_49FF</t>
  </si>
  <si>
    <t>1700_4BFF</t>
  </si>
  <si>
    <t>1700_4DFF</t>
  </si>
  <si>
    <t>1700_4FFF</t>
  </si>
  <si>
    <t>1700_51FF</t>
  </si>
  <si>
    <t>1700_53FF</t>
  </si>
  <si>
    <t>1700_55FF</t>
  </si>
  <si>
    <t>1700_57FF</t>
  </si>
  <si>
    <t>1700_59FF</t>
  </si>
  <si>
    <t>1700_5BFF</t>
  </si>
  <si>
    <t>1700_5DFF</t>
  </si>
  <si>
    <t>1700_5FFF</t>
  </si>
  <si>
    <t>1700_61FF</t>
  </si>
  <si>
    <t>1700_63FF</t>
  </si>
  <si>
    <t>1700_65FF</t>
  </si>
  <si>
    <t>1700_67FF</t>
  </si>
  <si>
    <t>1700_69FF</t>
  </si>
  <si>
    <t>1700_6BFF</t>
  </si>
  <si>
    <t>1700_6DFF</t>
  </si>
  <si>
    <t>1700_6FFF</t>
  </si>
  <si>
    <t>1700_71FF</t>
  </si>
  <si>
    <t>1700_73FF</t>
  </si>
  <si>
    <t>1700_75FF</t>
  </si>
  <si>
    <t>1700_77FF</t>
  </si>
  <si>
    <t>1700_79FF</t>
  </si>
  <si>
    <t>1700_7BFF</t>
  </si>
  <si>
    <t>1700_7DFF</t>
  </si>
  <si>
    <t>1700_7FFF</t>
  </si>
  <si>
    <t>Computed cells do not change</t>
  </si>
  <si>
    <t>N_SMPU</t>
  </si>
  <si>
    <t>N_PPU</t>
  </si>
  <si>
    <t>CDT</t>
  </si>
  <si>
    <t>N_FWPU</t>
  </si>
  <si>
    <t>N_ERPU</t>
  </si>
  <si>
    <t>N_EWPU</t>
  </si>
  <si>
    <t>PU_OBJ_SIZE</t>
  </si>
  <si>
    <t>SMPU</t>
  </si>
  <si>
    <t>SMPU15_ADDR0_B0</t>
  </si>
  <si>
    <t>SMPU15_ADDR0_B1</t>
  </si>
  <si>
    <t>SMPU15_ADDR0_B2</t>
  </si>
  <si>
    <t>SMPU15_ADDR0_B3</t>
  </si>
  <si>
    <t>SMPU15_ATT0_B0</t>
  </si>
  <si>
    <t>UR=UW=PR=PW=NS=1</t>
  </si>
  <si>
    <t>SMPU15_ATT0_B1</t>
  </si>
  <si>
    <t>PWR_TRIM_REF_CTL2</t>
  </si>
  <si>
    <t>SMPU15_ATT0_B2</t>
  </si>
  <si>
    <t>SMPU15_ATT0_B3</t>
  </si>
  <si>
    <t>SMPU15_ADDR1_B0</t>
  </si>
  <si>
    <t>SMPU15_ADDR1_B1</t>
  </si>
  <si>
    <t>PWR_TRIM_HT_REF_CTL</t>
  </si>
  <si>
    <t>SMPU15_ADDR1_B2</t>
  </si>
  <si>
    <t>PWR_TRIM_HT_BODVDDD_CTL</t>
  </si>
  <si>
    <t>SMPU15_ADDR1_B3</t>
  </si>
  <si>
    <t>PWR_TRIM_HT_BODVDDA_CTL</t>
  </si>
  <si>
    <t>SMPU15_ATT1_B0</t>
  </si>
  <si>
    <t>PWR_TRIM_HT_BODVCCD_CTL</t>
  </si>
  <si>
    <t>SMPU15_ATT1_B1</t>
  </si>
  <si>
    <t>PWR_TRIM_HT_OVDVDDD_CTL</t>
  </si>
  <si>
    <t>SMPU15_ATT1_B2</t>
  </si>
  <si>
    <t>PWR_TRIM_HT_OVDVDDA_CTL</t>
  </si>
  <si>
    <t>SMPU15_ATT1_B3</t>
  </si>
  <si>
    <t>PWR_TRIM_HT_OVDVCCD_CTL</t>
  </si>
  <si>
    <t>SMPU14_ADDR0_B0</t>
  </si>
  <si>
    <t>PWR_TRIM_HT_PWRSYS_CTL</t>
  </si>
  <si>
    <t>SMPU14_ADDR0_B1</t>
  </si>
  <si>
    <t>CLK_TRIM_ILO1_CTL</t>
  </si>
  <si>
    <t>SMPU14_ADDR0_B2</t>
  </si>
  <si>
    <t>SMPU14_ADDR0_B3</t>
  </si>
  <si>
    <t>CLK_TRIM_PLL_CTL0</t>
  </si>
  <si>
    <t>SMPU14_ATT0_B0</t>
  </si>
  <si>
    <t>SMPU14_ATT0_B1</t>
  </si>
  <si>
    <t>0x4090_0080</t>
  </si>
  <si>
    <t>SMPU14_ATT0_B2</t>
  </si>
  <si>
    <t>0x4090_0084</t>
  </si>
  <si>
    <t>SMPU14_ATT0_B3</t>
  </si>
  <si>
    <t>0x4090_1080</t>
  </si>
  <si>
    <t>SMPU14_ADDR1_B0</t>
  </si>
  <si>
    <t>0x4090_1084</t>
  </si>
  <si>
    <t>SMPU14_ADDR1_B1</t>
  </si>
  <si>
    <t>0x4090_2080</t>
  </si>
  <si>
    <t>SMPU14_ADDR1_B2</t>
  </si>
  <si>
    <t>0x4090_2084</t>
  </si>
  <si>
    <t>SMPU14_ADDR1_B3</t>
  </si>
  <si>
    <t>PWR_TRIM_WAKE_CTL_VAL1</t>
  </si>
  <si>
    <t>SMPU14_ATT1_B0</t>
  </si>
  <si>
    <t>PWR_TRIM_WAKE_CTL_VAL2</t>
  </si>
  <si>
    <t>SMPU14_ATT1_B1</t>
  </si>
  <si>
    <t>PWR_TRIM_WAKE_CTL_VAL3</t>
  </si>
  <si>
    <t>SMPU14_ATT1_B2</t>
  </si>
  <si>
    <t>SMPU14_ATT1_B3</t>
  </si>
  <si>
    <t>PPU</t>
  </si>
  <si>
    <t>PPU region name</t>
  </si>
  <si>
    <t>PPU0_ID_B0</t>
  </si>
  <si>
    <t>CRYPTO_BOOT</t>
  </si>
  <si>
    <t>PPU0_ID_B1</t>
  </si>
  <si>
    <t>PPU0_SL_CONFIG</t>
  </si>
  <si>
    <t>CLK_TRIM_ILO0_CTL_VAL0</t>
  </si>
  <si>
    <t>PPU0_MS_CONFIG</t>
  </si>
  <si>
    <t>CLK_TRIM_ILO0_CTL_VAL1</t>
  </si>
  <si>
    <t>PPU1_ID_B0</t>
  </si>
  <si>
    <t>CPUSS_BOOT</t>
  </si>
  <si>
    <t>CLK_TRIM_ILO0_CTL_VAL2</t>
  </si>
  <si>
    <t>PPU1_ID_B1</t>
  </si>
  <si>
    <t>CLK_TRIM_ILO0_CTL_VAL3</t>
  </si>
  <si>
    <t>PPU1_SL_CONFIG</t>
  </si>
  <si>
    <t>PWR_TRIM_REF_CTL2_VAL0</t>
  </si>
  <si>
    <t>PPU1_MS_CONFIG</t>
  </si>
  <si>
    <t>PWR_TRIM_REF_CTL2_VAL1</t>
  </si>
  <si>
    <t>PPU2_ID_B0</t>
  </si>
  <si>
    <t>FLASHC_FlashMgmt</t>
  </si>
  <si>
    <t>PWR_TRIM_REF_CTL2_VAL2</t>
  </si>
  <si>
    <t>PPU2_ID_B1</t>
  </si>
  <si>
    <t>PWR_TRIM_REF_CTL2_VAL3</t>
  </si>
  <si>
    <t>PPU2_SL_CONFIG</t>
  </si>
  <si>
    <t>PPU2_MS_CONFIG</t>
  </si>
  <si>
    <t>EFUSE_CTL</t>
  </si>
  <si>
    <t>0xBF</t>
  </si>
  <si>
    <t>EFUSE_DATA</t>
  </si>
  <si>
    <t>FWPU</t>
  </si>
  <si>
    <t>PWR_TRIM_HT_REF_CTL_VAL0</t>
  </si>
  <si>
    <t>PWR_TRIM_HT_REF_CTL_VAL1</t>
  </si>
  <si>
    <t>PWR_TRIM_HT_REF_CTL_VAL2</t>
  </si>
  <si>
    <t>ERPU</t>
  </si>
  <si>
    <t>PWR_TRIM_HT_REF_CTL_VAL3</t>
  </si>
  <si>
    <t>PWR_TRIM_HT_BODVDDD_CTL_VAL0</t>
  </si>
  <si>
    <t>PWR_TRIM_HT_BODVDDD_CTL_VAL1</t>
  </si>
  <si>
    <t>EWPU</t>
  </si>
  <si>
    <t>PWR_TRIM_HT_BODVDDD_CTL_VAL2</t>
  </si>
  <si>
    <t>PWR_TRIM_HT_BODVDDD_CTL_VAL3</t>
  </si>
  <si>
    <t>PWR_TRIM_HT_BODVDDA_CTL_VAL0</t>
  </si>
  <si>
    <t>PWR_TRIM_HT_BODVDDA_CTL_VAL1</t>
  </si>
  <si>
    <t>PWR_TRIM_HT_BODVDDA_CTL_VAL2</t>
  </si>
  <si>
    <t>PWR_TRIM_HT_BODVDDA_CTL_VAL3</t>
  </si>
  <si>
    <t>PWR_TRIM_HT_BODVCCD_CTL_VAL0</t>
  </si>
  <si>
    <t>PWR_TRIM_HT_BODVCCD_CTL_VAL1</t>
  </si>
  <si>
    <t>PWR_TRIM_HT_BODVCCD_CTL_VAL2</t>
  </si>
  <si>
    <t>PWR_TRIM_HT_BODVCCD_CTL_VAL3</t>
  </si>
  <si>
    <t>PWR_TRIM_HT_OVDVDDD_CTL_VAL0</t>
  </si>
  <si>
    <t>PWR_TRIM_HT_OVDVDDD_CTL_VAL1</t>
  </si>
  <si>
    <t>PWR_TRIM_HT_OVDVDDD_CTL_VAL2</t>
  </si>
  <si>
    <t>PWR_TRIM_HT_OVDVDDD_CTL_VAL3</t>
  </si>
  <si>
    <t>PWR_TRIM_HT_OVDVDDA_CTL_VAL0</t>
  </si>
  <si>
    <t>PWR_TRIM_HT_OVDVDDA_CTL_VAL1</t>
  </si>
  <si>
    <t>PWR_TRIM_HT_OVDVDDA_CTL_VAL2</t>
  </si>
  <si>
    <t>PWR_TRIM_HT_OVDVDDA_CTL_VAL3</t>
  </si>
  <si>
    <t>PWR_TRIM_HT_OVDVCCD_CTL_VAL0</t>
  </si>
  <si>
    <t>PWR_TRIM_HT_OVDVCCD_CTL_VAL1</t>
  </si>
  <si>
    <t>PWR_TRIM_HT_OVDVCCD_CTL_VAL2</t>
  </si>
  <si>
    <t>PWR_TRIM_HT_OVDVCCD_CTL_VAL3</t>
  </si>
  <si>
    <t>PWR_TRIM_HT_PWRSYS_CTL_VAL0</t>
  </si>
  <si>
    <t>PWR_TRIM_HT_PWRSYS_CTL_VAL1</t>
  </si>
  <si>
    <t>PWR_TRIM_HT_PWRSYS_CTL_VAL2</t>
  </si>
  <si>
    <t>PWR_TRIM_HT_PWRSYS_CTL_VAL3</t>
  </si>
  <si>
    <t>CLK_TRIM_ILO1_CTL_VAL0</t>
  </si>
  <si>
    <t>CLK_TRIM_ILO1_CTL_VAL1</t>
  </si>
  <si>
    <t>CLK_TRIM_ILO1_CTL_VAL2</t>
  </si>
  <si>
    <t>CLK_TRIM_ILO1_CTL_VAL3</t>
  </si>
  <si>
    <t>PASS0_CMD</t>
  </si>
  <si>
    <t>DefaultVersionSuffix</t>
  </si>
  <si>
    <t>_ver2</t>
  </si>
  <si>
    <t>DefaultDdcSuffix</t>
  </si>
  <si>
    <t>ver2</t>
  </si>
  <si>
    <t>SFLASH.512_ver2</t>
  </si>
  <si>
    <t>0x7DF8</t>
  </si>
  <si>
    <t>CLOCK_CONFIG</t>
  </si>
  <si>
    <t>4:2</t>
  </si>
  <si>
    <t>LISTEN_WINDOW</t>
  </si>
  <si>
    <t>BEST_TC0_VREF_OSTRIM</t>
  </si>
  <si>
    <t>BEST_TC1_VREF_OSTRIM</t>
  </si>
  <si>
    <t>BEST_TC2_VREF_OSTRIM</t>
  </si>
  <si>
    <t>BEST_TC3_VREF_OSTRIM</t>
  </si>
  <si>
    <t>BEST_TC4_VREF_OSTRIM</t>
  </si>
  <si>
    <t>BEST_TC5_VREF_OSTRIM</t>
  </si>
  <si>
    <t>BEST_TC6_VREF_OSTRIM</t>
  </si>
  <si>
    <t>BEST_TC7_VREF_OSTRIM</t>
  </si>
  <si>
    <t>BEST_TC8_VREF_OSTRIM</t>
  </si>
  <si>
    <t>BEST_TC9_VREF_OSTRIM</t>
  </si>
  <si>
    <t>BEST_TC10_VREF_OSTRIM</t>
  </si>
  <si>
    <t>BEST_TC11_VREF_OSTRIM</t>
  </si>
  <si>
    <t>BEST_TC12_VREF_OSTRIM</t>
  </si>
  <si>
    <t>BEST_TC13_VREF_OSTRIM</t>
  </si>
  <si>
    <t>BEST_TC14_VREF_OSTRIM</t>
  </si>
  <si>
    <t>BEST_TC15_VREF_OSTRIM</t>
  </si>
  <si>
    <t>BEST_TC0_VREF_MEAS_MSB</t>
  </si>
  <si>
    <t>BEST_TC0_VREF_MEAS_LSB</t>
  </si>
  <si>
    <t>BEST_TC1_VREF_MEAS_MSB</t>
  </si>
  <si>
    <t>BEST_TC1_VREF_MEAS_LSB</t>
  </si>
  <si>
    <t>BEST_TC2_VREF_MEAS_MSB</t>
  </si>
  <si>
    <t>BEST_TC2_VREF_MEAS_LSB</t>
  </si>
  <si>
    <t>BEST_TC3_VREF_MEAS_MSB</t>
  </si>
  <si>
    <t>BEST_TC3_VREF_MEAS_LSB</t>
  </si>
  <si>
    <t>BEST_TC4_VREF_MEAS_MSB</t>
  </si>
  <si>
    <t>BEST_TC4_VREF_MEAS_LSB</t>
  </si>
  <si>
    <t>BEST_TC5_VREF_MEAS_MSB</t>
  </si>
  <si>
    <t>BEST_TC5_VREF_MEAS_LSB</t>
  </si>
  <si>
    <t>BEST_TC6_VREF_MEAS_MSB</t>
  </si>
  <si>
    <t>BEST_TC6_VREF_MEAS_LSB</t>
  </si>
  <si>
    <t>BEST_TC7_VREF_MEAS_MSB</t>
  </si>
  <si>
    <t>BEST_TC7_VREF_MEAS_LSB</t>
  </si>
  <si>
    <t>BEST_TC8_VREF_MEAS_MSB</t>
  </si>
  <si>
    <t>BEST_TC8_VREF_MEAS_LSB</t>
  </si>
  <si>
    <t>BEST_TC9_VREF_MEAS_MSB</t>
  </si>
  <si>
    <t>BEST_TC9_VREF_MEAS_LSB</t>
  </si>
  <si>
    <t>BEST_TC10_VREF_MEAS_MSB</t>
  </si>
  <si>
    <t>BEST_TC10_VREF_MEAS_LSB</t>
  </si>
  <si>
    <t>BEST_TC11_VREF_MEAS_MSB</t>
  </si>
  <si>
    <t>BEST_TC11_VREF_MEAS_LSB</t>
  </si>
  <si>
    <t>BEST_TC12_VREF_MEAS_MSB</t>
  </si>
  <si>
    <t>BEST_TC12_VREF_MEAS_LSB</t>
  </si>
  <si>
    <t>BEST_TC13_VREF_MEAS_MSB</t>
  </si>
  <si>
    <t>BEST_TC13_VREF_MEAS_LSB</t>
  </si>
  <si>
    <t>BEST_TC14_VREF_MEAS_MSB</t>
  </si>
  <si>
    <t>BEST_TC14_VREF_MEAS_LSB</t>
  </si>
  <si>
    <t>BEST_TC15_VREF_MEAS_MSB</t>
  </si>
  <si>
    <t>BEST_TC15_VREF_MEAS_LSB</t>
  </si>
  <si>
    <t>BEST_TC0_IREF_OSTRIM</t>
  </si>
  <si>
    <t>BEST_TC1_IREF_OSTRIM</t>
  </si>
  <si>
    <t>BEST_TC2_IREF_OSTRIM</t>
  </si>
  <si>
    <t>BEST_TC3_IREF_OSTRIM</t>
  </si>
  <si>
    <t>BEST_TC4_IREF_OSTRIM</t>
  </si>
  <si>
    <t>BEST_TC5_IREF_OSTRIM</t>
  </si>
  <si>
    <t>BEST_TC6_IREF_OSTRIM</t>
  </si>
  <si>
    <t>BEST_TC7_IREF_OSTRIM</t>
  </si>
  <si>
    <t>BEST_TC8_IREF_OSTRIM</t>
  </si>
  <si>
    <t>BEST_TC9_IREF_OSTRIM</t>
  </si>
  <si>
    <t>BEST_TC10_IREF_OSTRIM</t>
  </si>
  <si>
    <t>BEST_TC11_IREF_OSTRIM</t>
  </si>
  <si>
    <t>BEST_TC12_IREF_OSTRIM</t>
  </si>
  <si>
    <t>BEST_TC13_IREF_OSTRIM</t>
  </si>
  <si>
    <t>BEST_TC14_IREF_OSTRIM</t>
  </si>
  <si>
    <t>BEST_TC15_IREF_OSTRIM</t>
  </si>
  <si>
    <t>BEST_TC16_IREF_OSTRIM</t>
  </si>
  <si>
    <t>BEST_TC17_IREF_OSTRIM</t>
  </si>
  <si>
    <t>BEST_TC18_IREF_OSTRIM</t>
  </si>
  <si>
    <t>BEST_TC19_IREF_OSTRIM</t>
  </si>
  <si>
    <t>BEST_TC20_IREF_OSTRIM</t>
  </si>
  <si>
    <t>BEST_TC21_IREF_OSTRIM</t>
  </si>
  <si>
    <t>BEST_TC22_IREF_OSTRIM</t>
  </si>
  <si>
    <t>BEST_TC23_IREF_OSTRIM</t>
  </si>
  <si>
    <t>BEST_TC24_IREF_OSTRIM</t>
  </si>
  <si>
    <t>BEST_TC25_IREF_OSTRIM</t>
  </si>
  <si>
    <t>BEST_TC26_IREF_OSTRIM</t>
  </si>
  <si>
    <t>BEST_TC27_IREF_OSTRIM</t>
  </si>
  <si>
    <t>BEST_TC28_IREF_OSTRIM</t>
  </si>
  <si>
    <t>BEST_TC29_IREF_OSTRIM</t>
  </si>
  <si>
    <t>BEST_TC30_IREF_OSTRIM</t>
  </si>
  <si>
    <t>BEST_TC31_IREF_OSTRIM</t>
  </si>
  <si>
    <t>BEST_TC0_IREF_MEAS</t>
  </si>
  <si>
    <t>BEST_TC1_IREF_MEAS</t>
  </si>
  <si>
    <t>BEST_TC2_IREF_MEAS</t>
  </si>
  <si>
    <t>BEST_TC3_IREF_MEAS</t>
  </si>
  <si>
    <t>BEST_TC4_IREF_MEAS</t>
  </si>
  <si>
    <t>BEST_TC5_IREF_MEAS</t>
  </si>
  <si>
    <t>BEST_TC6_IREF_MEAS</t>
  </si>
  <si>
    <t>BEST_TC7_IREF_MEAS</t>
  </si>
  <si>
    <t>BEST_TC8_IREF_MEAS</t>
  </si>
  <si>
    <t>BEST_TC9_IREF_MEAS</t>
  </si>
  <si>
    <t>BEST_TC10_IREF_MEAS</t>
  </si>
  <si>
    <t>BEST_TC11_IREF_MEAS</t>
  </si>
  <si>
    <t>BEST_TC12_IREF_MEAS</t>
  </si>
  <si>
    <t>BEST_TC13_IREF_MEAS</t>
  </si>
  <si>
    <t>BEST_TC14_IREF_MEAS</t>
  </si>
  <si>
    <t>BEST_TC15_IREF_MEAS</t>
  </si>
  <si>
    <t>BEST_TC16_IREF_MEAS</t>
  </si>
  <si>
    <t>BEST_TC17_IREF_MEAS</t>
  </si>
  <si>
    <t>BEST_TC18_IREF_MEAS</t>
  </si>
  <si>
    <t>BEST_TC19_IREF_MEAS</t>
  </si>
  <si>
    <t>BEST_TC20_IREF_MEAS</t>
  </si>
  <si>
    <t>BEST_TC21_IREF_MEAS</t>
  </si>
  <si>
    <t>BEST_TC22_IREF_MEAS</t>
  </si>
  <si>
    <t>BEST_TC23_IREF_MEAS</t>
  </si>
  <si>
    <t>BEST_TC24_IREF_MEAS</t>
  </si>
  <si>
    <t>BEST_TC25_IREF_MEAS</t>
  </si>
  <si>
    <t>BEST_TC26_IREF_MEAS</t>
  </si>
  <si>
    <t>BEST_TC27_IREF_MEAS</t>
  </si>
  <si>
    <t>BEST_TC28_IREF_MEAS</t>
  </si>
  <si>
    <t>BEST_TC29_IREF_MEAS</t>
  </si>
  <si>
    <t>BEST_TC30_IREF_MEAS</t>
  </si>
  <si>
    <t>BEST_TC31_IREF_MEAS</t>
  </si>
  <si>
    <t>0x66</t>
  </si>
  <si>
    <t>App Protection</t>
  </si>
  <si>
    <t>TOC2_APP_PROTECTION_ADDR</t>
  </si>
  <si>
    <t>TOC2_FLAGS</t>
  </si>
  <si>
    <t>PWR_TRIM_HT_BODVDDA_CTL2</t>
  </si>
  <si>
    <t>PWR_TRIM_HT_OVDVDDA_CTL2</t>
  </si>
  <si>
    <t>PWR_TRIM_HT_BODVDDA_CTL2_VAL0</t>
  </si>
  <si>
    <t>PWR_TRIM_HT_BODVDDA_CTL2_VAL1</t>
  </si>
  <si>
    <t>PWR_TRIM_HT_BODVDDA_CTL2_VAL2</t>
  </si>
  <si>
    <t>PWR_TRIM_HT_BODVDDA_CTL2_VAL3</t>
  </si>
  <si>
    <t>PWR_TRIM_HT_OVDVDDA_CTL2_VAL0</t>
  </si>
  <si>
    <t>PWR_TRIM_HT_OVDVDDA_CTL2_VAL1</t>
  </si>
  <si>
    <t>PWR_TRIM_HT_OVDVDDA_CTL2_VAL2</t>
  </si>
  <si>
    <t>PWR_TRIM_HT_OVDVDDA_CTL2_VAL3</t>
  </si>
  <si>
    <t>PWR_CTL2 (write this in the end)</t>
  </si>
  <si>
    <t>CLK_TRIM_ILO0_CTL(need to be accurate)</t>
  </si>
  <si>
    <t>EPASS_TEMP_TRIM_TEMP_HOTSORT</t>
  </si>
  <si>
    <t>EPASS_TEMP_TRIM_DIODE_HOTSORT</t>
  </si>
  <si>
    <t>EPASS_TEMP_TRIM_VBG_HOTSORT</t>
  </si>
  <si>
    <t>EPASS_TEMP_TRIM_TEMP_ROOMSORT</t>
  </si>
  <si>
    <t>EPASS_TEMP_TRIM_DIODE_ROOMSORT</t>
  </si>
  <si>
    <t>EPASS_TEMP_TRIM_VBG_ROOMSORT</t>
  </si>
  <si>
    <t>EPASS_TEMP_TRIM_TEMP_COLDSORT</t>
  </si>
  <si>
    <t>EPASS_TEMP_TRIM_DIODE_COLDSORT</t>
  </si>
  <si>
    <t>EPASS_TEMP_TRIM_VBG_COLDSORT</t>
  </si>
  <si>
    <t>DEVICE_SECRET_KEY_TEST</t>
  </si>
  <si>
    <t>CDT 295942</t>
  </si>
  <si>
    <t>0x1700_0400</t>
  </si>
  <si>
    <t>Written immediately after provisioning the device secret keys. </t>
  </si>
  <si>
    <t xml:space="preserve">Used to monitor the quality of the generated device secret keys. </t>
  </si>
  <si>
    <t>DEVICE_SECRET_KEY_TEST_OBJECT_SIZE0</t>
  </si>
  <si>
    <t>DEVICE_SECRET_KEY_TEST_OBJECT_SIZE1</t>
  </si>
  <si>
    <t>DEVICE_SECRET_KEY_TEST_OBJECT_SIZE2</t>
  </si>
  <si>
    <t>DEVICE_SECRET_KEY_TEST_OBJECT_SIZE3</t>
  </si>
  <si>
    <t>DEVICE_SECRET_KEY_TEST_OBJECT_SIZE</t>
  </si>
  <si>
    <t>Specifies DEVICE_SECRET_KEY_TEST object size</t>
  </si>
  <si>
    <t>0x1700_0404</t>
  </si>
  <si>
    <t>TOC2_SECOND_CMx_1_USER_APP_ADDR</t>
  </si>
  <si>
    <t>TOC2_FIRST_CMx_1_USER_APP_ADDR</t>
  </si>
  <si>
    <t>TOC2_FIRST_CMx_2_USER_APP_ADDR</t>
  </si>
  <si>
    <t>TOC2_SECOND_CMx_2_USER_APP_ADDR</t>
  </si>
  <si>
    <t>Address of Second CM4 or CM7 core1 User Application Object</t>
  </si>
  <si>
    <t>Address of First CM4 or CM7 core2 User Application Object</t>
  </si>
  <si>
    <t>Address of Second CM4 or CM7 core2 User Application Object</t>
  </si>
  <si>
    <t>Address of First CM4 or CM7 core1 User Application Object</t>
  </si>
  <si>
    <t>TOC2_SIGNATURE_VERIF_KEY_ADDR</t>
  </si>
  <si>
    <t>Number of objects to be verified for FACTORY_HASH</t>
  </si>
  <si>
    <t>Number of additional objects to be verified for SECURE_HASH</t>
  </si>
  <si>
    <t>FLASH_BOOT_CM4</t>
  </si>
  <si>
    <t>FLASH_BOOT_CODE244</t>
  </si>
  <si>
    <t>FLASH_BOOT_CODE245</t>
  </si>
  <si>
    <t>FLASH_BOOT_CODE246</t>
  </si>
  <si>
    <t>FLASH_BOOT_CODE247</t>
  </si>
  <si>
    <t>FLASH_BOOT_CODE248</t>
  </si>
  <si>
    <t>FLASH_BOOT_CODE249</t>
  </si>
  <si>
    <t>FLASH_BOOT_CODE250</t>
  </si>
  <si>
    <t>FLASH_BOOT_CODE251</t>
  </si>
  <si>
    <t>FLASH_BOOT_CODE252</t>
  </si>
  <si>
    <t>FLASH_BOOT_CODE253</t>
  </si>
  <si>
    <t>FLASH_BOOT_CODE254</t>
  </si>
  <si>
    <t>FLASH_BOOT_CODE255</t>
  </si>
  <si>
    <t>FLASH_BOOT_CODE256</t>
  </si>
  <si>
    <t>FLASH_BOOT_CODE257</t>
  </si>
  <si>
    <t>FLASH_BOOT_CODE258</t>
  </si>
  <si>
    <t>FLASH_BOOT_CODE259</t>
  </si>
  <si>
    <t>FLASH_BOOT_CODE260</t>
  </si>
  <si>
    <t>FLASH_BOOT_CODE261</t>
  </si>
  <si>
    <t>FLASH_BOOT_CODE262</t>
  </si>
  <si>
    <t>FLASH_BOOT_CODE263</t>
  </si>
  <si>
    <t>FLASH_BOOT_CODE264</t>
  </si>
  <si>
    <t>FLASH_BOOT_CODE265</t>
  </si>
  <si>
    <t>FLASH_BOOT_CODE266</t>
  </si>
  <si>
    <t>FLASH_BOOT_CODE267</t>
  </si>
  <si>
    <t>FLASH_BOOT_CODE268</t>
  </si>
  <si>
    <t>FLASH_BOOT_CODE269</t>
  </si>
  <si>
    <t>FLASH_BOOT_CODE270</t>
  </si>
  <si>
    <t>FLASH_BOOT_CODE271</t>
  </si>
  <si>
    <t>FLASH_BOOT_CODE272</t>
  </si>
  <si>
    <t>FLASH_BOOT_CODE273</t>
  </si>
  <si>
    <t>FLASH_BOOT_CODE274</t>
  </si>
  <si>
    <t>FLASH_BOOT_CODE275</t>
  </si>
  <si>
    <t>FLASH_BOOT_CODE276</t>
  </si>
  <si>
    <t>FLASH_BOOT_CODE277</t>
  </si>
  <si>
    <t>FLASH_BOOT_CODE278</t>
  </si>
  <si>
    <t>FLASH_BOOT_CODE279</t>
  </si>
  <si>
    <t>FLASH_BOOT_CODE280</t>
  </si>
  <si>
    <t>FLASH_BOOT_CODE281</t>
  </si>
  <si>
    <t>FLASH_BOOT_CODE282</t>
  </si>
  <si>
    <t>FLASH_BOOT_CODE283</t>
  </si>
  <si>
    <t>FLASH_BOOT_CODE284</t>
  </si>
  <si>
    <t>FLASH_BOOT_CODE285</t>
  </si>
  <si>
    <t>FLASH_BOOT_CODE286</t>
  </si>
  <si>
    <t>FLASH_BOOT_CODE287</t>
  </si>
  <si>
    <t>FLASH_BOOT_CODE288</t>
  </si>
  <si>
    <t>FLASH_BOOT_CODE289</t>
  </si>
  <si>
    <t>FLASH_BOOT_CODE290</t>
  </si>
  <si>
    <t>FLASH_BOOT_CODE291</t>
  </si>
  <si>
    <t>FLASH_BOOT_CODE292</t>
  </si>
  <si>
    <t>FLASH_BOOT_CODE293</t>
  </si>
  <si>
    <t>FLASH_BOOT_CODE294</t>
  </si>
  <si>
    <t>FLASH_BOOT_CODE295</t>
  </si>
  <si>
    <t>FLASH_BOOT_CODE296</t>
  </si>
  <si>
    <t>FLASH_BOOT_CODE297</t>
  </si>
  <si>
    <t>FLASH_BOOT_CODE298</t>
  </si>
  <si>
    <t>FLASH_BOOT_CODE299</t>
  </si>
  <si>
    <t>FLASH_BOOT_CODE300</t>
  </si>
  <si>
    <t>FLASH_BOOT_CODE301</t>
  </si>
  <si>
    <t>FLASH_BOOT_CODE302</t>
  </si>
  <si>
    <t>FLASH_BOOT_CODE303</t>
  </si>
  <si>
    <t>FLASH_BOOT_CODE304</t>
  </si>
  <si>
    <t>FLASH_BOOT_CODE305</t>
  </si>
  <si>
    <t>FLASH_BOOT_CODE306</t>
  </si>
  <si>
    <t>FLASH_BOOT_CODE307</t>
  </si>
  <si>
    <t>FLASH_BOOT_CODE308</t>
  </si>
  <si>
    <t>FLASH_BOOT_CODE309</t>
  </si>
  <si>
    <t>FLASH_BOOT_CODE310</t>
  </si>
  <si>
    <t>FLASH_BOOT_CODE311</t>
  </si>
  <si>
    <t>FLASH_BOOT_CODE312</t>
  </si>
  <si>
    <t>FLASH_BOOT_CODE313</t>
  </si>
  <si>
    <t>FLASH_BOOT_CODE314</t>
  </si>
  <si>
    <t>FLASH_BOOT_CODE315</t>
  </si>
  <si>
    <t>0x4020_2080</t>
  </si>
  <si>
    <t>0x4020_2100</t>
  </si>
  <si>
    <t>0x4020_2104</t>
  </si>
  <si>
    <t>0x7824</t>
  </si>
  <si>
    <t>0x7828</t>
  </si>
  <si>
    <t>I/P Suffix</t>
  </si>
  <si>
    <t>DDC Suffix</t>
  </si>
  <si>
    <t>EPASS_TEMP_TRIM_TEMP_HOTCLASS</t>
  </si>
  <si>
    <t>EPASS_TEMP_TRIM_DIODE_HOTCLASS</t>
  </si>
  <si>
    <t>EPASS_TEMP_TRIM_VBG_HOTCLASS</t>
  </si>
  <si>
    <t>EPASS_TEMP_TRIM_TEMP_ROOMCLASS</t>
  </si>
  <si>
    <t>EPASS_TEMP_TRIM_DIODE_ROOMCLASS</t>
  </si>
  <si>
    <t>EPASS_TEMP_TRIM_VBG_ROOMCLASS</t>
  </si>
  <si>
    <t>Controls default configuration</t>
  </si>
  <si>
    <t>Address of  Application Protection</t>
  </si>
  <si>
    <t>Single core wound configuration</t>
  </si>
  <si>
    <t>0: multi core
1: single core</t>
  </si>
  <si>
    <t>Family Identity</t>
  </si>
  <si>
    <t>0xC6</t>
  </si>
  <si>
    <t>0xC7</t>
  </si>
  <si>
    <t>PPU3_ID_B0</t>
  </si>
  <si>
    <t>PPU3_ID_B1</t>
  </si>
  <si>
    <t>PPU3_SL_CONFIG</t>
  </si>
  <si>
    <t>PPU3_MS_CONFIG</t>
  </si>
  <si>
    <t>PPU4_ID_B0</t>
  </si>
  <si>
    <t>PPU4_ID_B1</t>
  </si>
  <si>
    <t>PPU4_SL_CONFIG</t>
  </si>
  <si>
    <t>PPU4_MS_CONFIG</t>
  </si>
  <si>
    <t>PPU5_ID_B0</t>
  </si>
  <si>
    <t>PPU5_ID_B1</t>
  </si>
  <si>
    <t>PPU5_SL_CONFIG</t>
  </si>
  <si>
    <t>PPU5_MS_CONFIG</t>
  </si>
  <si>
    <t>0x3B</t>
  </si>
  <si>
    <t>SRSS_SECURE</t>
  </si>
  <si>
    <t>ERPU0_SL_OFFSET_0</t>
  </si>
  <si>
    <t>ERPU0_SL_OFFSET_1</t>
  </si>
  <si>
    <t>ERPU0_SL_OFFSET_2</t>
  </si>
  <si>
    <t>ERPU0_SL_OFFSET_3</t>
  </si>
  <si>
    <t>ERPU0_FUSE_SIZE_0</t>
  </si>
  <si>
    <t>ERPU0_FUSE_SIZE_1</t>
  </si>
  <si>
    <t>ERPU0_FUSE_SIZE_2</t>
  </si>
  <si>
    <t>ERPU0_FUSE_SIZE_3</t>
  </si>
  <si>
    <t>ERPU0_SL_ATT_0</t>
  </si>
  <si>
    <t>ERPU0_SL_ATT_1</t>
  </si>
  <si>
    <t>ERPU0_SL_ATT_2</t>
  </si>
  <si>
    <t>ERPU0_SL_ATT_3</t>
  </si>
  <si>
    <t>ERPU0_MS_ATT_0</t>
  </si>
  <si>
    <t>ERPU0_MS_ATT_1</t>
  </si>
  <si>
    <t>ERPU0_MS_ATT_2</t>
  </si>
  <si>
    <t>ERPU0_MS_ATT_3</t>
  </si>
  <si>
    <t>EWPU0_SL_OFFSET_0</t>
  </si>
  <si>
    <t>EWPU0_SL_OFFSET_1</t>
  </si>
  <si>
    <t>EWPU0_SL_OFFSET_2</t>
  </si>
  <si>
    <t>EWPU0_SL_OFFSET_3</t>
  </si>
  <si>
    <t>EWPU0_FUSE_SIZE_0</t>
  </si>
  <si>
    <t>EWPU0_FUSE_SIZE_1</t>
  </si>
  <si>
    <t>EWPU0_FUSE_SIZE_2</t>
  </si>
  <si>
    <t>EWPU0_FUSE_SIZE_3</t>
  </si>
  <si>
    <t>EWPU0_SL_ATT_0</t>
  </si>
  <si>
    <t>EWPU0_SL_ATT_1</t>
  </si>
  <si>
    <t>EWPU0_SL_ATT_2</t>
  </si>
  <si>
    <t>EWPU0_SL_ATT_3</t>
  </si>
  <si>
    <t>EWPU0_MS_ATT_0</t>
  </si>
  <si>
    <t>EWPU0_MS_ATT_1</t>
  </si>
  <si>
    <t>EWPU0_MS_ATT_2</t>
  </si>
  <si>
    <t>EWPU0_MS_ATT_3</t>
  </si>
  <si>
    <t>TOC1_8051_CODE_OTP_FLASH_ADDR</t>
  </si>
  <si>
    <t>IDDQ0_PRE_BURNIN</t>
  </si>
  <si>
    <t>IDDQ1_PRE_BURNIN</t>
  </si>
  <si>
    <t>IDDQ2_PRE_BURNIN</t>
  </si>
  <si>
    <t>IDDQ3_PRE_BURNIN</t>
  </si>
  <si>
    <t>IDDQ4_PRE_BURNIN</t>
  </si>
  <si>
    <t>IDDQ5_PRE_BURNIN</t>
  </si>
  <si>
    <t>IDDQ6_PRE_BURNIN</t>
  </si>
  <si>
    <t>IDDQ7_PRE_BURNIN</t>
  </si>
  <si>
    <t>IDDQ8_PRE_BURNIN</t>
  </si>
  <si>
    <t>IDDQ9_PRE_BURNIN</t>
  </si>
  <si>
    <t>Wounding Programmable PPU slave</t>
  </si>
  <si>
    <t>Wounding Fixed PPU slave</t>
  </si>
  <si>
    <t>WOUND_PRESENT</t>
  </si>
  <si>
    <t>WOUND_PRESENT or not ('0': no, '1': yes)</t>
  </si>
  <si>
    <t>WOUND_PROG_PPU</t>
  </si>
  <si>
    <t>WOUND_FIXED_PPU</t>
  </si>
  <si>
    <t>FLASHC_IS_SONOS, WOUND_PRESENT</t>
  </si>
  <si>
    <t>need to update PPUx_ID if the ID of PPU region changes as generated by Hobto</t>
  </si>
  <si>
    <t>Boot protection settings (4*384=1536 bytes)</t>
  </si>
  <si>
    <t>Application protection settings (4*128=512 bytes)</t>
  </si>
  <si>
    <t>Address of 8051 code OTP flash</t>
  </si>
  <si>
    <t>0x1700_7000</t>
  </si>
  <si>
    <t>56 - 59</t>
  </si>
  <si>
    <t>Table of contents (TOC1 and TOC2)</t>
  </si>
  <si>
    <t>TOC1 is updated in VIRGIN, TOC2 is updated in NORMAL</t>
  </si>
  <si>
    <t>0x1700_6400</t>
  </si>
  <si>
    <t>50-55</t>
  </si>
  <si>
    <t>56-59</t>
  </si>
  <si>
    <t>Boot and App Protection Settings</t>
  </si>
  <si>
    <t>Boot and Application Protection Settings for SWPU, SMPU, PPU</t>
  </si>
  <si>
    <t>50 - 55</t>
  </si>
  <si>
    <t>0x0000_0000</t>
  </si>
  <si>
    <t>0x4027_FF00</t>
  </si>
  <si>
    <t>0x0088_4110</t>
  </si>
  <si>
    <t>SRSS1</t>
  </si>
  <si>
    <t>SRSS2</t>
  </si>
  <si>
    <t>SRSS3</t>
  </si>
  <si>
    <t>RAM_VEND_PRESENT or not ('0': no, '1': yes)</t>
  </si>
  <si>
    <t>RAM_VEND_PRESENT</t>
  </si>
  <si>
    <t>Boot Protection Settings for SWPU, SMPU, PPU. The detail settings are described in
https://svn.design.cypress.com:18080/svn/chips/trunk/s40/MXS40/Platform/mxs40srompsoc/Design/MXS40-IP-BPROT.xlsx</t>
  </si>
  <si>
    <t>CDT 248316</t>
  </si>
  <si>
    <t>SRSS4</t>
  </si>
  <si>
    <t>0x0000_0400</t>
  </si>
  <si>
    <t>0x1A04</t>
  </si>
  <si>
    <t>0x7C28</t>
  </si>
  <si>
    <t>0x7D04</t>
  </si>
  <si>
    <t>0x7D08</t>
  </si>
  <si>
    <t>NotAPeripheral,ShuffledAddr</t>
  </si>
  <si>
    <t>0x1700_1A00</t>
  </si>
  <si>
    <t>0x1700_1A03</t>
  </si>
  <si>
    <t>NORMAL DEAD access restrictions</t>
  </si>
  <si>
    <t>0x1700_1A04</t>
  </si>
  <si>
    <t>SRSS_ILO0_HOT_TOP</t>
  </si>
  <si>
    <t>SRSS_ILO0_HOT_BOT</t>
  </si>
  <si>
    <t>SRSS_ILO1_HOT_TOP</t>
  </si>
  <si>
    <t>SRSS_ILO1_HOT_BOT</t>
  </si>
  <si>
    <t>SWJ_PINS_CTL</t>
  </si>
  <si>
    <t>0x4026_204C</t>
  </si>
  <si>
    <t>0x4026_3000</t>
  </si>
  <si>
    <t>0x4026_3004</t>
  </si>
  <si>
    <t>0x4026_3008</t>
  </si>
  <si>
    <t>0x4026_300C</t>
  </si>
  <si>
    <t>0x4026_3010</t>
  </si>
  <si>
    <t>0x4026_3014</t>
  </si>
  <si>
    <t>0x4026_3018</t>
  </si>
  <si>
    <t>0x4026_301C</t>
  </si>
  <si>
    <t>0x4026_3020</t>
  </si>
  <si>
    <t>0x4026_3200</t>
  </si>
  <si>
    <t>0x4026_3204</t>
  </si>
  <si>
    <t>0x4026_3208</t>
  </si>
  <si>
    <t>0x4026_320C</t>
  </si>
  <si>
    <t>0x4026_3210</t>
  </si>
  <si>
    <t>0x4026_3214</t>
  </si>
  <si>
    <t>0x4026_3218</t>
  </si>
  <si>
    <t>0x4026_321C</t>
  </si>
  <si>
    <t>0x4026_3220</t>
  </si>
  <si>
    <t>0x4026_3224</t>
  </si>
  <si>
    <t>0x4026_3228</t>
  </si>
  <si>
    <t>0x4026_3300</t>
  </si>
  <si>
    <t>0x0000_0002</t>
  </si>
  <si>
    <t>0x0000_4000</t>
  </si>
  <si>
    <t>0x9000_0020</t>
  </si>
  <si>
    <t>0xA220_0020</t>
  </si>
  <si>
    <t>0x8080_8085</t>
  </si>
  <si>
    <t>0x0000_052C</t>
  </si>
  <si>
    <t>0x0000_00A2</t>
  </si>
  <si>
    <t>0x9900_0000</t>
  </si>
  <si>
    <t>PASS0</t>
  </si>
  <si>
    <t>PASS1</t>
  </si>
  <si>
    <t>PASS2</t>
  </si>
  <si>
    <t>BACKUP_ADDR2</t>
  </si>
  <si>
    <t>BACKUP_ADDR3</t>
  </si>
  <si>
    <t>TRIM</t>
  </si>
  <si>
    <t>BACKUP_TRIM_VAL1</t>
  </si>
  <si>
    <t>BACKUP_TRIM_VAL2</t>
  </si>
  <si>
    <t>BACKUP_TRIM_VAL3</t>
  </si>
  <si>
    <t>PASS0_SAR0_ANA_CAL</t>
  </si>
  <si>
    <t>PASS0_SAR0_DIG_CAL</t>
  </si>
  <si>
    <t>PASS0_SAR1_ANA_CAL</t>
  </si>
  <si>
    <t>PASS0_SAR1_DIG_CAL</t>
  </si>
  <si>
    <t>PASS0_SAR2_ANA_CAL</t>
  </si>
  <si>
    <t>PASS0_SAR2_DIG_CAL</t>
  </si>
  <si>
    <t>PASS0_SAR0_ANA_CAL_VAL0</t>
  </si>
  <si>
    <t>PASS0_SAR0_ANA_CAL_VAL1</t>
  </si>
  <si>
    <t>PASS0_SAR0_ANA_CAL_VAL2</t>
  </si>
  <si>
    <t>PASS0_SAR0_ANA_CAL_VAL3</t>
  </si>
  <si>
    <t>PASS0_SAR0_DIG_CAL_VAL0</t>
  </si>
  <si>
    <t>PASS0_SAR0_DIG_CAL_VAL1</t>
  </si>
  <si>
    <t>PASS0_SAR0_DIG_CAL_VAL2</t>
  </si>
  <si>
    <t>PASS0_SAR0_DIG_CAL_VAL3</t>
  </si>
  <si>
    <t>PASS0_SAR0_ADDR0</t>
  </si>
  <si>
    <t>PASS0_SAR0_ADDR1</t>
  </si>
  <si>
    <t>PASS0_SAR0_ADDR2</t>
  </si>
  <si>
    <t>PASS0_SAR1_CMD</t>
  </si>
  <si>
    <t>PASS0_SAR1_ADDR0</t>
  </si>
  <si>
    <t>PASS0_SAR1_ADDR1</t>
  </si>
  <si>
    <t>PASS0_SAR2_CMD</t>
  </si>
  <si>
    <t>PASS0_SAR2_ADDR0</t>
  </si>
  <si>
    <t>PASS0_SAR2_ADDR1</t>
  </si>
  <si>
    <t>PASS0_SAR1_ANA_CAL_VAL0</t>
  </si>
  <si>
    <t>PASS0_SAR1_ANA_CAL_VAL1</t>
  </si>
  <si>
    <t>PASS0_SAR1_ANA_CAL_VAL2</t>
  </si>
  <si>
    <t>PASS0_SAR1_ANA_CAL_VAL3</t>
  </si>
  <si>
    <t>PASS0_SAR1_DIG_CAL_VAL0</t>
  </si>
  <si>
    <t>PASS0_SAR1_DIG_CAL_VAL1</t>
  </si>
  <si>
    <t>PASS0_SAR1_DIG_CAL_VAL2</t>
  </si>
  <si>
    <t>PASS0_SAR1_DIG_CAL_VAL3</t>
  </si>
  <si>
    <t>PASS0_SAR2_ANA_CAL_VAL0</t>
  </si>
  <si>
    <t>PASS0_SAR2_ANA_CAL_VAL1</t>
  </si>
  <si>
    <t>PASS0_SAR2_ANA_CAL_VAL2</t>
  </si>
  <si>
    <t>PASS0_SAR2_ANA_CAL_VAL3</t>
  </si>
  <si>
    <t>PASS0_SAR2_DIG_CAL_VAL0</t>
  </si>
  <si>
    <t>PASS0_SAR2_DIG_CAL_VAL1</t>
  </si>
  <si>
    <t>PASS0_SAR2_DIG_CAL_VAL2</t>
  </si>
  <si>
    <t>PASS0_SAR2_DIG_CAL_VAL3</t>
  </si>
  <si>
    <t>SFLASH_UPDATE_MARKER</t>
  </si>
  <si>
    <t>SFLASH_UPDATE_MARKER_INV</t>
  </si>
  <si>
    <t>Markers for storing SFLASH programming states</t>
  </si>
  <si>
    <t>Marker which indicates SFLASH programming state</t>
  </si>
  <si>
    <t>CRYPTO_CRYPTO</t>
  </si>
  <si>
    <t>CRYPTO_MAIN</t>
  </si>
  <si>
    <t>IPC_STRUCT0_IPC</t>
  </si>
  <si>
    <t>IPC_STRUCT1_IPC</t>
  </si>
  <si>
    <t>IPC_STRUCT2_IPC</t>
  </si>
  <si>
    <t>0xFD</t>
  </si>
  <si>
    <t>PPU6_ID_B0</t>
  </si>
  <si>
    <t>PPU6_ID_B1</t>
  </si>
  <si>
    <t>PPU6_SL_CONFIG</t>
  </si>
  <si>
    <t>PPU6_MS_CONFIG</t>
  </si>
  <si>
    <t>PPU7_ID_B0</t>
  </si>
  <si>
    <t>PPU7_ID_B1</t>
  </si>
  <si>
    <t>PPU7_SL_CONFIG</t>
  </si>
  <si>
    <t>PPU7_MS_CONFIG</t>
  </si>
  <si>
    <t>PPU8_ID_B0</t>
  </si>
  <si>
    <t>PPU8_ID_B1</t>
  </si>
  <si>
    <t>PPU8_SL_CONFIG</t>
  </si>
  <si>
    <t>PPU8_MS_CONFIG</t>
  </si>
  <si>
    <t>PPU9_ID_B0</t>
  </si>
  <si>
    <t>PPU9_ID_B1</t>
  </si>
  <si>
    <t>PPU9_SL_CONFIG</t>
  </si>
  <si>
    <t>PPU9_MS_CONFIG</t>
  </si>
  <si>
    <t>PPU10_ID_B0</t>
  </si>
  <si>
    <t>PPU10_ID_B1</t>
  </si>
  <si>
    <t>PPU10_SL_CONFIG</t>
  </si>
  <si>
    <t>PPU10_MS_CONFIG</t>
  </si>
  <si>
    <t>PWR_TRIM_HT_ACT_PC_CTL</t>
  </si>
  <si>
    <t>0x4026_3230</t>
  </si>
  <si>
    <t>PWR_TRIM_HT_ACT_PC_CTL_VAL0</t>
  </si>
  <si>
    <t>PWR_TRIM_HT_ACT_PC_CTL_VAL1</t>
  </si>
  <si>
    <t>PWR_TRIM_HT_ACT_PC_CTL_VAL2</t>
  </si>
  <si>
    <t>PWR_TRIM_HT_ACT_PC_CTL_VAL3</t>
  </si>
  <si>
    <t>PWR_TRIM_HT_ACT_PC_CTL_ADDR0</t>
  </si>
  <si>
    <t>PWR_TRIM_HT_ACT_PC_CTL_ADDR1</t>
  </si>
  <si>
    <t>PWR_TRIM_HT_ACT_PC_CTL_ADDR2</t>
  </si>
  <si>
    <t>PWR_TRIM_HT_ACT_PC_CTL_ADDR3</t>
  </si>
  <si>
    <t>PWR_TRIM_HT_ACT_PC_CTL_CMD</t>
  </si>
  <si>
    <t>USER_FREE_ROW0</t>
  </si>
  <si>
    <t>USER_FREE_ROW</t>
  </si>
  <si>
    <t>PPU11_ID_B0</t>
  </si>
  <si>
    <t>PPU11_ID_B1</t>
  </si>
  <si>
    <t>PPU11_SL_CONFIG</t>
  </si>
  <si>
    <t>PPU11_MS_CONFIG</t>
  </si>
  <si>
    <t>FLASHC_DFT</t>
  </si>
  <si>
    <t>0x001F_0000</t>
  </si>
  <si>
    <t>0x8000_031F</t>
  </si>
  <si>
    <t>0x0000_0062</t>
  </si>
  <si>
    <t>0x0767_0710</t>
  </si>
  <si>
    <t>0x8A2B_072D</t>
  </si>
  <si>
    <t>PC1 and PC0 only</t>
  </si>
  <si>
    <t>master (read only)</t>
  </si>
  <si>
    <t>8 PC</t>
  </si>
  <si>
    <t>NS=1 X=0 W=0 R=1</t>
  </si>
  <si>
    <t>Enabled, 256B</t>
  </si>
  <si>
    <t>Enabled, 32KB</t>
  </si>
  <si>
    <t>Enabled, 2KB</t>
  </si>
  <si>
    <t>CDT 317388</t>
  </si>
  <si>
    <t>CPUSS_WOUNDING_PRESENT or not ('0': no, '1': yes)</t>
  </si>
  <si>
    <t>CPUSS_WOUNDING_PRESENT</t>
  </si>
  <si>
    <t>CDT 318955</t>
  </si>
  <si>
    <t>8:7</t>
  </si>
  <si>
    <t>10:9</t>
  </si>
  <si>
    <t>6:5</t>
  </si>
  <si>
    <t>Determines if the application image digital signature verification (authentication) is performed:
0 = Authentication is enabled (default).
1 = Authentication is disabled.
2 = Authentication is enabled (recommended).
3 = Authentication is enabled.</t>
  </si>
  <si>
    <t>Determines if SWJ pins are configured in SWJ mode by Flash boot.
Note: SWJ pins may be enabled later in the user code.
0 = Do not enable SWJ pins in Flash boot. Listen window is skipped.
1 = Do not enable SWJ pins in Flash boot. Listen window is skipped.
2 = Enable SWJ pins in Flash boot (default).
3 = Do not enable SWJ pins in Flash boot. Listen window is skipped.</t>
  </si>
  <si>
    <t>Determine if the internal bootloader in Flash boot is disabled:
0 = Internal bootloader is disabled.
1 = Internal bootloader is launched if the other bootloader conditions are met (default).
2 = Internal bootloader is disabled.
3 = Internal bootloader is disabled.</t>
  </si>
  <si>
    <t>PPU12_ID_B0</t>
  </si>
  <si>
    <t>PPU12_ID_B1</t>
  </si>
  <si>
    <t>PPU12_SL_CONFIG</t>
  </si>
  <si>
    <t>PPU12_MS_CONFIG</t>
  </si>
  <si>
    <t>BIST</t>
  </si>
  <si>
    <t>0xC8</t>
  </si>
  <si>
    <t>0x0000_0050</t>
  </si>
  <si>
    <t>FLASH_BOOT_VERSION_LOW0</t>
  </si>
  <si>
    <t>FLASH_BOOT_VERSION_LOW1</t>
  </si>
  <si>
    <t>FLASH_BOOT_VERSION_LOW2</t>
  </si>
  <si>
    <t>FLASH_BOOT_VERSION_LOW3</t>
  </si>
  <si>
    <t>FLASH_BOOT_FAMILY_ID0</t>
  </si>
  <si>
    <t>FLASH_BOOT_FAMILY_ID1</t>
  </si>
  <si>
    <t>FLASH_BOOT_FAMILY_ID2</t>
  </si>
  <si>
    <t>FLASH_BOOT_FAMILY_ID3</t>
  </si>
  <si>
    <t>PWR_DDFT_XRES (not used per CDT 324632)</t>
  </si>
  <si>
    <t>SRSS1_ADDR2</t>
  </si>
  <si>
    <t>ENG_PASS[7]/CHI_AB_PASS[6]/CRI_AB_PASS[5]/BI_PASS[4]/CRI_BB_PASS[3]/SORT3_PASS[2]/SORT2_PASS[1]/SORT1_PASS[0]</t>
  </si>
  <si>
    <t>Unused (Address is Hardcoded in ROM)</t>
  </si>
  <si>
    <t>TOC1_GENERAL_TRIM_ADDR_UNUSED</t>
  </si>
  <si>
    <t>TOC1_SYSCALL_TABLE_ADDR_UNUSED</t>
  </si>
  <si>
    <t>TOC1_OBJECT_ADDR_UNUSED</t>
  </si>
  <si>
    <t>0x782C</t>
  </si>
  <si>
    <t>0x7D00</t>
  </si>
  <si>
    <t>4:0</t>
  </si>
  <si>
    <t>PMIC_VADJ_OFFSET</t>
  </si>
  <si>
    <t>REGHC_TRANS_VADJ_OFFSET</t>
  </si>
  <si>
    <t>12:8</t>
  </si>
  <si>
    <t>0x730</t>
  </si>
  <si>
    <t>SRSS_PWR_OFFSET</t>
  </si>
  <si>
    <t>CDT 324073</t>
  </si>
  <si>
    <t>EFUSE_PROGRAM_DELAY</t>
  </si>
  <si>
    <t>CDT 330641</t>
  </si>
  <si>
    <t>DATA16</t>
  </si>
  <si>
    <t>Die-specific offset for VADJ when using it for feedback to an external PMIC</t>
  </si>
  <si>
    <t>Die-specific offset for VADJ when using REGHC with external transistor</t>
  </si>
  <si>
    <t>TOC2_OBJECT_ADDR_UNUSED</t>
  </si>
  <si>
    <t>TOC1_SFLASH_ROW0_UNUSED</t>
  </si>
  <si>
    <t>EFUSE_REG_RAMP_UP_DELAY</t>
  </si>
  <si>
    <t>Efuse regulator ramp up delay</t>
  </si>
  <si>
    <t>Efuse program delay</t>
  </si>
  <si>
    <t>CDT 330968</t>
  </si>
  <si>
    <t>Wounding Programmable PPU slave.  These bits are mapped to PERI_MS_WOUNDING_WOUND_PROG.  
This byte[j].bit[i] is mapped to WOUND_PROG[8*j+i].</t>
  </si>
  <si>
    <t>Wounding Fixed PPU slave. These bits are mapped to PERI_MS_WOUNDING_WOUND_FIXED.
This byte[j].bit[i] is mapped to WOUND_FIXED[8*j+i].</t>
  </si>
  <si>
    <t>0x7DF4</t>
  </si>
  <si>
    <t>TOC2_REVISION</t>
  </si>
  <si>
    <t>Indicate TOC2 Revision
Value: 0x0000_0000 and 0xFFFF_FFFF - default.</t>
  </si>
  <si>
    <t>APP_AUTH_CTL</t>
  </si>
  <si>
    <t>FB_BOOTLOADER_CTL</t>
  </si>
  <si>
    <t>PPU13_ID_B0</t>
  </si>
  <si>
    <t>0x0F</t>
  </si>
  <si>
    <t>CRYPTO_BUF</t>
  </si>
  <si>
    <t>CDT 333263</t>
  </si>
  <si>
    <t>PPU13_ID_B1</t>
  </si>
  <si>
    <t>PPU13_SL_CONFIG</t>
  </si>
  <si>
    <t>PPU13_MS_CONFIG</t>
  </si>
  <si>
    <t>Indicates TOC2 Revision. It is not used now.</t>
  </si>
  <si>
    <t>CDT 333921</t>
  </si>
  <si>
    <t>0xBC</t>
  </si>
  <si>
    <t>STRESS_PASS_FLAG</t>
  </si>
  <si>
    <t>STRESS_FIRMWARE_CHKSUM_MSB</t>
  </si>
  <si>
    <t>STRESS_FIRMWARE_CHKSUM_LSB</t>
  </si>
  <si>
    <t>0x8000_0103</t>
  </si>
  <si>
    <t>0x1FC</t>
  </si>
  <si>
    <t>FB_FLAGS</t>
  </si>
  <si>
    <t>Flash boot flags</t>
  </si>
  <si>
    <t>FB_PIN_CTL</t>
  </si>
  <si>
    <t>FB_RSA3K_CTL</t>
  </si>
  <si>
    <t>CDT 338277</t>
  </si>
  <si>
    <t>FB_RSA4K_CTL</t>
  </si>
  <si>
    <t>0xA4</t>
  </si>
  <si>
    <t>0xC1</t>
  </si>
  <si>
    <t>0xF2</t>
  </si>
  <si>
    <t>0x1C</t>
  </si>
  <si>
    <t>0x2A</t>
  </si>
  <si>
    <t>0xF7</t>
  </si>
  <si>
    <t>0xD1</t>
  </si>
  <si>
    <t>0xE7</t>
  </si>
  <si>
    <t>0xD0</t>
  </si>
  <si>
    <t>0xFB</t>
  </si>
  <si>
    <t>0x9D</t>
  </si>
  <si>
    <t>0x1E</t>
  </si>
  <si>
    <t>0x5C</t>
  </si>
  <si>
    <t>0xD5</t>
  </si>
  <si>
    <t>0x1D</t>
  </si>
  <si>
    <t>0xD2</t>
  </si>
  <si>
    <t>0xF9</t>
  </si>
  <si>
    <t>0xF1</t>
  </si>
  <si>
    <t>0xE9</t>
  </si>
  <si>
    <t>0x4B</t>
  </si>
  <si>
    <t>0xFE</t>
  </si>
  <si>
    <t>0x4A</t>
  </si>
  <si>
    <t>0xE0</t>
  </si>
  <si>
    <t>0x9F</t>
  </si>
  <si>
    <t>0xC9</t>
  </si>
  <si>
    <t>0xD8</t>
  </si>
  <si>
    <t>0x9A</t>
  </si>
  <si>
    <t>0x7D</t>
  </si>
  <si>
    <t>0xA8</t>
  </si>
  <si>
    <t>0xB4</t>
  </si>
  <si>
    <t>0x4F</t>
  </si>
  <si>
    <t>0xB2</t>
  </si>
  <si>
    <t>0x7C</t>
  </si>
  <si>
    <t>0x2D</t>
  </si>
  <si>
    <t>0x9B</t>
  </si>
  <si>
    <t>0x9C</t>
  </si>
  <si>
    <t>0xB8</t>
  </si>
  <si>
    <t>0x6B</t>
  </si>
  <si>
    <t>0xA1</t>
  </si>
  <si>
    <t>0xC0</t>
  </si>
  <si>
    <t>0xE4</t>
  </si>
  <si>
    <t>0xC2</t>
  </si>
  <si>
    <t>0xC4</t>
  </si>
  <si>
    <t>0x0D</t>
  </si>
  <si>
    <t>0xD3</t>
  </si>
  <si>
    <t>0x8C</t>
  </si>
  <si>
    <t>0xCF</t>
  </si>
  <si>
    <t>0x1A</t>
  </si>
  <si>
    <t>0xA2</t>
  </si>
  <si>
    <t>0xBA</t>
  </si>
  <si>
    <t>0xCC</t>
  </si>
  <si>
    <t>0xAA</t>
  </si>
  <si>
    <t>0xEA</t>
  </si>
  <si>
    <t>0xA9</t>
  </si>
  <si>
    <t>0xFA</t>
  </si>
  <si>
    <t>0xE8</t>
  </si>
  <si>
    <t>0xAB</t>
  </si>
  <si>
    <t>0x2C</t>
  </si>
  <si>
    <t>0x6E</t>
  </si>
  <si>
    <t>0x4E</t>
  </si>
  <si>
    <t>0xD7</t>
  </si>
  <si>
    <t>0xEF</t>
  </si>
  <si>
    <t>0x3D</t>
  </si>
  <si>
    <t>0x3C</t>
  </si>
  <si>
    <t>0xAE</t>
  </si>
  <si>
    <t>0x8D</t>
  </si>
  <si>
    <t>0x5D</t>
  </si>
  <si>
    <t>0xDC</t>
  </si>
  <si>
    <t>0xCA</t>
  </si>
  <si>
    <t>0xE1</t>
  </si>
  <si>
    <t>0x5F</t>
  </si>
  <si>
    <t>0x5B</t>
  </si>
  <si>
    <t>0x6D</t>
  </si>
  <si>
    <t>0xBE</t>
  </si>
  <si>
    <t>0x3E</t>
  </si>
  <si>
    <t>0x6C</t>
  </si>
  <si>
    <t>0x5A</t>
  </si>
  <si>
    <t>0xF6</t>
  </si>
  <si>
    <t>0xAC</t>
  </si>
  <si>
    <t>0x4D</t>
  </si>
  <si>
    <t>0xDB</t>
  </si>
  <si>
    <t>0xA6</t>
  </si>
  <si>
    <t>0x2E</t>
  </si>
  <si>
    <t>0x6F</t>
  </si>
  <si>
    <t>0x6A</t>
  </si>
  <si>
    <t>0xB7</t>
  </si>
  <si>
    <t>0xE2</t>
  </si>
  <si>
    <t>0x7A</t>
  </si>
  <si>
    <t>0x3F</t>
  </si>
  <si>
    <t>0xCB</t>
  </si>
  <si>
    <t>0xB6</t>
  </si>
  <si>
    <t>0xC5</t>
  </si>
  <si>
    <t>0x7B</t>
  </si>
  <si>
    <t>0x7E</t>
  </si>
  <si>
    <t>0xE5</t>
  </si>
  <si>
    <t>0xB9</t>
  </si>
  <si>
    <t>0xEC</t>
  </si>
  <si>
    <t>0xAF</t>
  </si>
  <si>
    <t>0xF4</t>
  </si>
  <si>
    <t>0xED</t>
  </si>
  <si>
    <t>0x8B</t>
  </si>
  <si>
    <t>0xC3</t>
  </si>
  <si>
    <t>0xAD</t>
  </si>
  <si>
    <t>0xA3</t>
  </si>
  <si>
    <t>0x8F</t>
  </si>
  <si>
    <t>0x2B</t>
  </si>
  <si>
    <t>0xD9</t>
  </si>
  <si>
    <t>0xDD</t>
  </si>
  <si>
    <t>0xDE</t>
  </si>
  <si>
    <t>0x5E</t>
  </si>
  <si>
    <t>0x9E</t>
  </si>
  <si>
    <t>0xE6</t>
  </si>
  <si>
    <t>0xBB</t>
  </si>
  <si>
    <t>0xA5</t>
  </si>
  <si>
    <t>0xCD</t>
  </si>
  <si>
    <t>0xEE</t>
  </si>
  <si>
    <t>0xB1</t>
  </si>
  <si>
    <t>0xB3</t>
  </si>
  <si>
    <t>0xCE</t>
  </si>
  <si>
    <t>0xA7</t>
  </si>
  <si>
    <t>0xDF</t>
  </si>
  <si>
    <t>0xEB</t>
  </si>
  <si>
    <t>0xD6</t>
  </si>
  <si>
    <t>CRI_BB_REV</t>
  </si>
  <si>
    <t>CRI_AB_REV</t>
  </si>
  <si>
    <t>CHI_AB_REV</t>
  </si>
  <si>
    <t>0x0A0</t>
  </si>
  <si>
    <t>CDT 345247</t>
  </si>
  <si>
    <t>0x0A3</t>
  </si>
  <si>
    <t>CRI BB Revision</t>
  </si>
  <si>
    <t>0x0A4</t>
  </si>
  <si>
    <t>CRI AB Revision</t>
  </si>
  <si>
    <t>0x0A5</t>
  </si>
  <si>
    <t>CHI AB Revision</t>
  </si>
  <si>
    <t>ACT_REG_OCOMP_TRIM_STORE[7:4]/ACT_REG_UCOMP_TRIM_STORE[3:0]</t>
  </si>
  <si>
    <t>SFLASH_SVN_BYTE0</t>
  </si>
  <si>
    <t>SFLASH_SVN_BYTE1</t>
  </si>
  <si>
    <t>SFLASH_SVN_BYTE2</t>
  </si>
  <si>
    <t>SFLASH_SVN_BYTE3</t>
  </si>
  <si>
    <t>SFLASH_SVN</t>
  </si>
  <si>
    <t>SFLASH Subversion</t>
  </si>
  <si>
    <t>0x0A8</t>
  </si>
  <si>
    <t>CDT 346670</t>
  </si>
  <si>
    <t>EPASS_TEMP_TRIM_DIODE_HOTSORT_5V</t>
  </si>
  <si>
    <t>EPASS_TEMP_TRIM_VBG_HOTSORT_5V</t>
  </si>
  <si>
    <t>EPASS_TEMP_TRIM_DIODE_ROOMSORT_5V</t>
  </si>
  <si>
    <t>EPASS_TEMP_TRIM_VBG_ROOMSORT_5V</t>
  </si>
  <si>
    <t>0x4026_2064</t>
  </si>
  <si>
    <t>PWR_TEST_HT</t>
  </si>
  <si>
    <t>0x0000_2800</t>
  </si>
  <si>
    <t>0x0000_2000</t>
  </si>
  <si>
    <t>0x1000_0000</t>
  </si>
  <si>
    <t>0x4026_1004</t>
  </si>
  <si>
    <t>PWR_TEST_HT_CMD</t>
  </si>
  <si>
    <t>PWR_TEST_HT_ADDR3</t>
  </si>
  <si>
    <t>PWR_TEST_HT_ADDR2</t>
  </si>
  <si>
    <t>PWR_TEST_HT_ADDR0</t>
  </si>
  <si>
    <t>PWR_TEST_HT_ADDR1</t>
  </si>
  <si>
    <t>PWR_TEST_HT_VAL0</t>
  </si>
  <si>
    <t>PWR_TEST_HT_VAL1</t>
  </si>
  <si>
    <t>PWR_TEST_HT_VAL2</t>
  </si>
  <si>
    <t>PWR_TEST_HT_VAL3</t>
  </si>
  <si>
    <t>EPASS_TEMP_TRIM_DIODE_COLDSORT_5V</t>
  </si>
  <si>
    <t>EPASS_TEMP_TRIM_VBG_COLDSORT_5V</t>
  </si>
  <si>
    <t>EPASS_TEMP_TRIM_DIODE_HOTCLASS_5V</t>
  </si>
  <si>
    <t>EPASS_TEMP_TRIM_VBG_HOTCLASS_5V</t>
  </si>
  <si>
    <t>EPASS_TEMP_TRIM_DIODE_ROOMCLASS_5V</t>
  </si>
  <si>
    <t>EPASS_TEMP_TRIM_VBG_ROOMCLASS_5V</t>
  </si>
  <si>
    <t>Refer 3.5.3 Apply General Trim section of SAS  MCU-M4 Boot chapter.Bits Description  of command byte
[3:0] - Number of data bytes/halfwords/words in the tuple minus 1 (so 0 means 1 value, 15 mean 16 values).
[5:4] - Transfer size: 
            0: values are bytes, dst address increments by 4 for each value. 
            1: values are bytes, dst address increments by 1 for each value.  
            2: values are half-words, dst address increments by 2 for each value.
            3: values are words, dst address increments by 4 for each value.
[7:6] - Address format and handling:                                                
            0: 2 byte address added to 32-bit start address from previous tuple.
            1: 3 byte address added to 32-bit start address from previous tuple.
            2: 4 byte absolute address.
            3: 4 byte absolute address; do not increment dst address for each value 
Note: a value of 3 will cause multiple writes to the same dst address. This is used for FIFO-style trim parameter registers.</t>
  </si>
  <si>
    <t>16-49</t>
  </si>
  <si>
    <t>0x1700_1C00</t>
  </si>
  <si>
    <t>14-15</t>
  </si>
  <si>
    <t>Flash Boot Reserved</t>
  </si>
  <si>
    <t>0x1700_7C00</t>
  </si>
  <si>
    <t>62</t>
  </si>
  <si>
    <t>SFLASH_UPDATE_MAKER</t>
  </si>
  <si>
    <t>Indicates SFLASH update marker</t>
  </si>
  <si>
    <t>14-49</t>
  </si>
  <si>
    <t>SFLASH update marker</t>
  </si>
  <si>
    <t>SRSS5</t>
  </si>
  <si>
    <t>SRSS6</t>
  </si>
  <si>
    <t>SRSS6_CMD</t>
  </si>
  <si>
    <t>SRSS6_ADDR0</t>
  </si>
  <si>
    <t>SRSS6_ADDR1</t>
  </si>
  <si>
    <t>SRSS6_ADDR2</t>
  </si>
  <si>
    <t>SRSS6_ADDR3</t>
  </si>
  <si>
    <t>S1_testpgm_rev</t>
  </si>
  <si>
    <t>S2_testpgm_rev</t>
  </si>
  <si>
    <t>S3_testpgm_rev</t>
  </si>
  <si>
    <t>0x0A1</t>
  </si>
  <si>
    <t>0x0A2</t>
  </si>
  <si>
    <t>0x0000_1217</t>
  </si>
  <si>
    <t>PC=*:R/R</t>
  </si>
  <si>
    <t>PC=1:RW/RW</t>
  </si>
  <si>
    <t>PC=1:RW/RW, PC=*:R/R</t>
  </si>
  <si>
    <t>PC=*:RW/RW</t>
  </si>
  <si>
    <t>0x648</t>
    <phoneticPr fontId="53"/>
  </si>
  <si>
    <t>EPASS_TEMP_TRIM_TEMP_HOTSORT</t>
    <phoneticPr fontId="53"/>
  </si>
  <si>
    <t>On Chip temperature measured using external currents and external ADC at HOT (only SORT TEST)</t>
    <phoneticPr fontId="53"/>
  </si>
  <si>
    <t>CDT 357215</t>
    <phoneticPr fontId="53"/>
  </si>
  <si>
    <t>It is hidden.</t>
    <phoneticPr fontId="53"/>
  </si>
  <si>
    <t>0x64A</t>
    <phoneticPr fontId="53"/>
  </si>
  <si>
    <t>EPASS_TEMP_TRIM_DIODE_HOTSORT</t>
    <phoneticPr fontId="53"/>
  </si>
  <si>
    <t>Temperature sensor calibration data for VDDA=3.3V, Temperature sensor diode voltage at HOT (only SORT TEST)</t>
    <phoneticPr fontId="53"/>
  </si>
  <si>
    <t>0x64C</t>
    <phoneticPr fontId="53"/>
  </si>
  <si>
    <t>Temperature sensor calibration data for VDDA=3.3V, Bandgap voltage at HOT (only SORT TEST)</t>
    <phoneticPr fontId="53"/>
  </si>
  <si>
    <t>0x64E</t>
    <phoneticPr fontId="53"/>
  </si>
  <si>
    <t>On Chip temperature measured using external currents and external ADC at ROOM</t>
    <phoneticPr fontId="53"/>
  </si>
  <si>
    <t>0x650</t>
    <phoneticPr fontId="53"/>
  </si>
  <si>
    <t>Temperature sensor calibration data for VDDA=3.3V, Temperature sensor diode voltage at ROOM</t>
    <phoneticPr fontId="53"/>
  </si>
  <si>
    <t>0x652</t>
    <phoneticPr fontId="53"/>
  </si>
  <si>
    <t>Temperature sensor calibration data for VDDA=3.3V, Bandgap voltage at ROOM</t>
    <phoneticPr fontId="53"/>
  </si>
  <si>
    <t>0x654</t>
    <phoneticPr fontId="53"/>
  </si>
  <si>
    <t>On Chip temperature measured using external currents and external ADC at COLD</t>
    <phoneticPr fontId="53"/>
  </si>
  <si>
    <t>0x656</t>
    <phoneticPr fontId="53"/>
  </si>
  <si>
    <t>Temperature sensor calibration data for VDDA=3.3V, Temperature sensor diode voltage at COLD</t>
    <phoneticPr fontId="53"/>
  </si>
  <si>
    <t>0x658</t>
    <phoneticPr fontId="53"/>
  </si>
  <si>
    <t>Temperature sensor calibration data for VDDA=3.3V, Bandgap voltage at COLD</t>
    <phoneticPr fontId="53"/>
  </si>
  <si>
    <t>0x65A</t>
    <phoneticPr fontId="53"/>
  </si>
  <si>
    <t>On Chip temperature measured using external currents and external ADC at HOT</t>
    <phoneticPr fontId="53"/>
  </si>
  <si>
    <t>0x65C</t>
    <phoneticPr fontId="53"/>
  </si>
  <si>
    <t>Temperature sensor calibration data for VDDA=3.3V, Temperature sensor diode voltage at HOT</t>
    <phoneticPr fontId="53"/>
  </si>
  <si>
    <t>0x65E</t>
    <phoneticPr fontId="53"/>
  </si>
  <si>
    <t>Temperature sensor calibration data for VDDA=3.3V, Bandgap voltage at HOT</t>
    <phoneticPr fontId="53"/>
  </si>
  <si>
    <t>0x660</t>
    <phoneticPr fontId="53"/>
  </si>
  <si>
    <t>On Chip temperature measured using external currents and external ADC at ROOM (only CLASS TEST)</t>
    <phoneticPr fontId="53"/>
  </si>
  <si>
    <t>0x662</t>
    <phoneticPr fontId="53"/>
  </si>
  <si>
    <t>Temperature sensor calibration data for VDDA=3.3V, Temperature sensor diode voltage at ROOM (only CLASS TEST)</t>
    <phoneticPr fontId="53"/>
  </si>
  <si>
    <t>0x664</t>
    <phoneticPr fontId="53"/>
  </si>
  <si>
    <t>Temperature sensor calibration data for VDDA=3.3V, Bandgap voltage at ROOM (only CLASS TEST)</t>
    <phoneticPr fontId="53"/>
  </si>
  <si>
    <t>0x666</t>
    <phoneticPr fontId="53"/>
  </si>
  <si>
    <t>Temperature sensor calibration data for VDDA=5V, Temperature sensor diode voltage at HOT (only SORT TEST)</t>
    <phoneticPr fontId="53"/>
  </si>
  <si>
    <t>0x668</t>
    <phoneticPr fontId="53"/>
  </si>
  <si>
    <t>Temperature sensor calibration data for VDDA=5V, Bandgap voltage at HOT (only SORT TEST)</t>
    <phoneticPr fontId="53"/>
  </si>
  <si>
    <t>0x66A</t>
    <phoneticPr fontId="53"/>
  </si>
  <si>
    <t>Temperature sensor calibration data for VDDA=5V, Temperature sensor diode voltage at ROOM</t>
    <phoneticPr fontId="53"/>
  </si>
  <si>
    <t>0x66C</t>
    <phoneticPr fontId="53"/>
  </si>
  <si>
    <t>Temperature sensor calibration data for VDDA=5V, Bandgap voltage at ROOM</t>
    <phoneticPr fontId="53"/>
  </si>
  <si>
    <t>0x66E</t>
    <phoneticPr fontId="53"/>
  </si>
  <si>
    <t>Temperature sensor calibration data for VDDA=5V, Temperature sensor diode voltage at COLD</t>
    <phoneticPr fontId="53"/>
  </si>
  <si>
    <t>0x670</t>
    <phoneticPr fontId="53"/>
  </si>
  <si>
    <t>Temperature sensor calibration data for VDDA=5V, Bandgap voltage at COLD</t>
    <phoneticPr fontId="53"/>
  </si>
  <si>
    <t>0x672</t>
    <phoneticPr fontId="53"/>
  </si>
  <si>
    <t>Temperature sensor calibration data for VDDA=5V, Temperature sensor diode voltage at HOT</t>
    <phoneticPr fontId="53"/>
  </si>
  <si>
    <t>0x674</t>
    <phoneticPr fontId="53"/>
  </si>
  <si>
    <t>Temperature sensor calibration data for VDDA=5V, Bandgap voltage at HOT</t>
    <phoneticPr fontId="53"/>
  </si>
  <si>
    <t>0x676</t>
    <phoneticPr fontId="53"/>
  </si>
  <si>
    <t>Temperature sensor calibration data for VDDA=5V, Temperature sensor diode voltage at ROOM (only CLASS TEST)</t>
    <phoneticPr fontId="53"/>
  </si>
  <si>
    <t>0x678</t>
    <phoneticPr fontId="53"/>
  </si>
  <si>
    <t>Temperature sensor calibration data for VDDA=5V, Bandgap voltage at ROOM (only CLASS TEST)</t>
    <phoneticPr fontId="53"/>
  </si>
  <si>
    <t>Temperature calibration data for EPASS Temperature sensor</t>
    <phoneticPr fontId="53"/>
  </si>
  <si>
    <t>15:0</t>
    <phoneticPr fontId="53"/>
  </si>
  <si>
    <t>DATA16</t>
    <phoneticPr fontId="53"/>
  </si>
  <si>
    <t xml:space="preserve">Determines toggling a GPIO pin at the start and end of Flash boot
2 = Enable toggling a GPIO pin at the start and end of Flash boot
Others = Disable toggling a GPIO pin at the start and end of Flash boot
</t>
  </si>
  <si>
    <t xml:space="preserve">Determines if RSA-3K is supported.
2 = RSA-3K is supported. RSA public key modulo length should be in range 512 to 3072 bit. The field FB_RSA4K_CTL must be set to 0.
Others = RSA-3K is not supported. RSA public key modulo length should be in range 512 to 2048 bit.
</t>
  </si>
  <si>
    <t xml:space="preserve">Determines if RSA-4K is supported.
2 = RSA-4K is supported. RSA public key modulo length should be in range 512 to 4096 bit. RSA4K already includes RSA3K option. The field FB_RSA3K_CTL must be set to 0.
Others = RSA-4K is not supported.
</t>
  </si>
  <si>
    <t>0x1C00</t>
  </si>
  <si>
    <t>Flash Boot - Reserved</t>
  </si>
  <si>
    <t>FLASH_BOOT_VERSION_LOW</t>
  </si>
  <si>
    <t>Flash Boot - Version Low</t>
  </si>
  <si>
    <t>FLASH_BOOT_FAMILY_ID</t>
  </si>
  <si>
    <t>Flash Boot - Family ID</t>
  </si>
  <si>
    <t>FLASH_BOOT_MSP</t>
  </si>
  <si>
    <t>Flash Boot - MSP</t>
  </si>
  <si>
    <t>FLASH_BOOT_PC</t>
  </si>
  <si>
    <t>Flash Boot - PC</t>
  </si>
  <si>
    <t>FLASH_BOOT_CODE_DATA</t>
  </si>
  <si>
    <t>Flash Boot - Code and Data</t>
  </si>
  <si>
    <t xml:space="preserve"> Flash boot flags are used by the flash boot. The default value is 0x0000_0015</t>
  </si>
  <si>
    <t>Determines the Listen window to allow sufficient time to acquire debug port. When CLOCK_CONFIG is set to 3, these window times are calculated assuming ROM boot clock is at 100MHz.
0 = 20 ms (Default)
1 = 10 ms
2 = 1 ms
3 = 0 ms (No Listen window)
4 = 100 ms</t>
  </si>
  <si>
    <t>If TOC2 is erased (default), Flash boot assumes TOC2_FLAGS = 0x0000_0243</t>
  </si>
  <si>
    <t>Indicates clock frequency configuration. The clock should stay the same after Flash Boot execution.
0 = 8 MHz, IMO, no FLL
1 = 25 MHz, IMO + FLL
2 = 50 MHz, IMO + FLL
3 = Use ROM boot clocks configuration (default)
Note: the default value is 2 for Flash boot version earlier than 556.</t>
  </si>
  <si>
    <t>TOC2_SECURITY_UPDATES_MARKER</t>
  </si>
  <si>
    <t>0x7CFC</t>
  </si>
  <si>
    <t>Marker for Security Updates</t>
  </si>
  <si>
    <t xml:space="preserve">This field is valid in flash boot version 3.1.0.556 and later.
When marker is set to 0xFEDEEDDF the following PPUs will be configured during boot:
 - PERI_MS_PPU_FX_PERI_GR2_GROUP (Fixed PPU) - read only for all PCs;
 - Programmable PPU#11 configured to allow full access for the following region 0x40201000 - 0x4020100C. The HSM may overwrite the default configuration and reconfigure the PPU.
 - Programmable PPU#12 configured to allow full access for the CPUSS_ECC_CTL register (0x402013C8). The HSM may overwrite the default configuration and reconfigure the PPU.
 - Programmable PPU#13 configured to allow full access for the following region 0x40201300 - 0x402013C8. The HSM may overwrite the default configuration and reconfigure the PPU.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</si>
</sst>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3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0"/>
      <name val="Verdana"/>
      <family val="2"/>
    </font>
    <font>
      <b/>
      <u/>
      <sz val="10"/>
      <color indexed="12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C8C8C8"/>
      <name val="Arial"/>
      <family val="2"/>
    </font>
    <font>
      <b/>
      <sz val="16"/>
      <color theme="1"/>
      <name val="Verdana"/>
      <family val="2"/>
    </font>
    <font>
      <sz val="10"/>
      <color theme="1"/>
      <name val="Verdana"/>
      <family val="2"/>
    </font>
    <font>
      <sz val="10"/>
      <color rgb="FFFF0000"/>
      <name val="Verdana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rgb="FF000000"/>
      <name val="Verdana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Verdana"/>
      <family val="2"/>
    </font>
    <font>
      <b/>
      <sz val="12"/>
      <color theme="0"/>
      <name val="Verdana"/>
      <family val="2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</font>
    <font>
      <b/>
      <sz val="12"/>
      <color theme="1"/>
      <name val="Verdana"/>
      <family val="2"/>
    </font>
    <font>
      <sz val="12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6"/>
      <name val="Calibri"/>
      <family val="3"/>
      <charset val="128"/>
      <scheme val="minor"/>
    </font>
    <font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Arial"/>
      <family val="2"/>
    </font>
  </fonts>
  <fills count="85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47"/>
        <bgColor indexed="22"/>
      </patternFill>
    </fill>
    <fill>
      <patternFill patternType="solid">
        <fgColor indexed="26"/>
        <bgColor indexed="9"/>
      </patternFill>
    </fill>
    <fill>
      <patternFill patternType="solid">
        <fgColor indexed="27"/>
        <bgColor indexed="41"/>
      </patternFill>
    </fill>
    <fill>
      <patternFill patternType="solid">
        <fgColor indexed="22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53"/>
        <bgColor indexed="52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52"/>
        <bgColor indexed="51"/>
      </patternFill>
    </fill>
    <fill>
      <patternFill patternType="solid">
        <fgColor indexed="57"/>
        <bgColor indexed="21"/>
      </patternFill>
    </fill>
    <fill>
      <patternFill patternType="solid">
        <fgColor indexed="40"/>
        <bgColor indexed="49"/>
      </patternFill>
    </fill>
    <fill>
      <patternFill patternType="solid">
        <fgColor indexed="12"/>
        <bgColor indexed="39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24"/>
      </patternFill>
    </fill>
    <fill>
      <patternFill patternType="solid">
        <fgColor rgb="FF0000FF"/>
        <bgColor indexed="64"/>
      </patternFill>
    </fill>
    <fill>
      <patternFill patternType="solid">
        <fgColor rgb="FF0000FF"/>
        <bgColor indexed="26"/>
      </patternFill>
    </fill>
    <fill>
      <patternFill patternType="solid">
        <fgColor theme="0" tint="-0.249977111117893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34"/>
      </patternFill>
    </fill>
    <fill>
      <patternFill patternType="solid">
        <fgColor theme="0" tint="-0.249977111117893"/>
        <bgColor indexed="49"/>
      </patternFill>
    </fill>
    <fill>
      <patternFill patternType="solid">
        <fgColor theme="0" tint="-0.249977111117893"/>
        <bgColor indexed="21"/>
      </patternFill>
    </fill>
    <fill>
      <patternFill patternType="solid">
        <fgColor theme="0" tint="-0.249977111117893"/>
        <bgColor indexed="51"/>
      </patternFill>
    </fill>
    <fill>
      <patternFill patternType="solid">
        <fgColor theme="0" tint="-0.249977111117893"/>
        <bgColor indexed="24"/>
      </patternFill>
    </fill>
    <fill>
      <patternFill patternType="solid">
        <fgColor rgb="FF92D050"/>
        <bgColor indexed="34"/>
      </patternFill>
    </fill>
    <fill>
      <patternFill patternType="solid">
        <fgColor theme="8" tint="0.39997558519241921"/>
        <bgColor indexed="22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F00FF"/>
        <bgColor indexed="2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31"/>
      </patternFill>
    </fill>
    <fill>
      <patternFill patternType="solid">
        <fgColor rgb="FFCC66FF"/>
        <bgColor indexed="31"/>
      </patternFill>
    </fill>
    <fill>
      <patternFill patternType="solid">
        <fgColor rgb="FFFFFF00"/>
        <bgColor indexed="31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21"/>
      </patternFill>
    </fill>
    <fill>
      <patternFill patternType="solid">
        <fgColor rgb="FF00B0F0"/>
        <bgColor indexed="31"/>
      </patternFill>
    </fill>
    <fill>
      <patternFill patternType="solid">
        <fgColor rgb="FFFFC000"/>
        <bgColor indexed="31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3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31"/>
      </patternFill>
    </fill>
    <fill>
      <patternFill patternType="solid">
        <fgColor rgb="FFFFFF00"/>
        <bgColor indexed="51"/>
      </patternFill>
    </fill>
    <fill>
      <patternFill patternType="solid">
        <fgColor theme="9"/>
        <bgColor indexed="31"/>
      </patternFill>
    </fill>
    <fill>
      <patternFill patternType="solid">
        <fgColor theme="9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</borders>
  <cellStyleXfs count="228">
    <xf numFmtId="0" fontId="0" fillId="0" borderId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8" fillId="2" borderId="1" applyNumberFormat="0" applyAlignment="0" applyProtection="0"/>
    <xf numFmtId="0" fontId="8" fillId="2" borderId="1" applyNumberFormat="0" applyAlignment="0" applyProtection="0"/>
    <xf numFmtId="0" fontId="9" fillId="15" borderId="2" applyNumberFormat="0" applyAlignment="0" applyProtection="0"/>
    <xf numFmtId="0" fontId="9" fillId="15" borderId="2" applyNumberFormat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2" fillId="0" borderId="3" applyNumberFormat="0" applyFill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15" fillId="3" borderId="1" applyNumberFormat="0" applyAlignment="0" applyProtection="0"/>
    <xf numFmtId="0" fontId="15" fillId="3" borderId="1" applyNumberFormat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30" fillId="0" borderId="0"/>
    <xf numFmtId="0" fontId="3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3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1" fillId="0" borderId="0"/>
    <xf numFmtId="0" fontId="30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8" fillId="0" borderId="0"/>
    <xf numFmtId="0" fontId="2" fillId="0" borderId="0"/>
    <xf numFmtId="0" fontId="29" fillId="0" borderId="0"/>
    <xf numFmtId="0" fontId="2" fillId="0" borderId="0"/>
    <xf numFmtId="0" fontId="2" fillId="0" borderId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18" fillId="2" borderId="8" applyNumberFormat="0" applyAlignment="0" applyProtection="0"/>
    <xf numFmtId="0" fontId="18" fillId="2" borderId="8" applyNumberFormat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48" fillId="0" borderId="0"/>
    <xf numFmtId="0" fontId="30" fillId="0" borderId="0"/>
    <xf numFmtId="0" fontId="54" fillId="0" borderId="0" applyNumberFormat="0" applyFill="0" applyBorder="0" applyAlignment="0" applyProtection="0"/>
    <xf numFmtId="0" fontId="55" fillId="0" borderId="32" applyNumberFormat="0" applyFill="0" applyAlignment="0" applyProtection="0"/>
    <xf numFmtId="0" fontId="56" fillId="0" borderId="33" applyNumberFormat="0" applyFill="0" applyAlignment="0" applyProtection="0"/>
    <xf numFmtId="0" fontId="57" fillId="0" borderId="34" applyNumberFormat="0" applyFill="0" applyAlignment="0" applyProtection="0"/>
    <xf numFmtId="0" fontId="57" fillId="0" borderId="0" applyNumberFormat="0" applyFill="0" applyBorder="0" applyAlignment="0" applyProtection="0"/>
    <xf numFmtId="0" fontId="58" fillId="50" borderId="0" applyNumberFormat="0" applyBorder="0" applyAlignment="0" applyProtection="0"/>
    <xf numFmtId="0" fontId="59" fillId="51" borderId="0" applyNumberFormat="0" applyBorder="0" applyAlignment="0" applyProtection="0"/>
    <xf numFmtId="0" fontId="60" fillId="52" borderId="0" applyNumberFormat="0" applyBorder="0" applyAlignment="0" applyProtection="0"/>
    <xf numFmtId="0" fontId="61" fillId="53" borderId="35" applyNumberFormat="0" applyAlignment="0" applyProtection="0"/>
    <xf numFmtId="0" fontId="62" fillId="54" borderId="36" applyNumberFormat="0" applyAlignment="0" applyProtection="0"/>
    <xf numFmtId="0" fontId="63" fillId="54" borderId="35" applyNumberFormat="0" applyAlignment="0" applyProtection="0"/>
    <xf numFmtId="0" fontId="64" fillId="0" borderId="37" applyNumberFormat="0" applyFill="0" applyAlignment="0" applyProtection="0"/>
    <xf numFmtId="0" fontId="65" fillId="55" borderId="38" applyNumberFormat="0" applyAlignment="0" applyProtection="0"/>
    <xf numFmtId="0" fontId="66" fillId="0" borderId="0" applyNumberFormat="0" applyFill="0" applyBorder="0" applyAlignment="0" applyProtection="0"/>
    <xf numFmtId="0" fontId="48" fillId="56" borderId="39" applyNumberFormat="0" applyFont="0" applyAlignment="0" applyProtection="0"/>
    <xf numFmtId="0" fontId="67" fillId="0" borderId="0" applyNumberFormat="0" applyFill="0" applyBorder="0" applyAlignment="0" applyProtection="0"/>
    <xf numFmtId="0" fontId="68" fillId="0" borderId="40" applyNumberFormat="0" applyFill="0" applyAlignment="0" applyProtection="0"/>
    <xf numFmtId="0" fontId="69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69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69" fillId="65" borderId="0" applyNumberFormat="0" applyBorder="0" applyAlignment="0" applyProtection="0"/>
    <xf numFmtId="0" fontId="48" fillId="66" borderId="0" applyNumberFormat="0" applyBorder="0" applyAlignment="0" applyProtection="0"/>
    <xf numFmtId="0" fontId="48" fillId="67" borderId="0" applyNumberFormat="0" applyBorder="0" applyAlignment="0" applyProtection="0"/>
    <xf numFmtId="0" fontId="48" fillId="68" borderId="0" applyNumberFormat="0" applyBorder="0" applyAlignment="0" applyProtection="0"/>
    <xf numFmtId="0" fontId="69" fillId="69" borderId="0" applyNumberFormat="0" applyBorder="0" applyAlignment="0" applyProtection="0"/>
    <xf numFmtId="0" fontId="48" fillId="70" borderId="0" applyNumberFormat="0" applyBorder="0" applyAlignment="0" applyProtection="0"/>
    <xf numFmtId="0" fontId="48" fillId="71" borderId="0" applyNumberFormat="0" applyBorder="0" applyAlignment="0" applyProtection="0"/>
    <xf numFmtId="0" fontId="48" fillId="72" borderId="0" applyNumberFormat="0" applyBorder="0" applyAlignment="0" applyProtection="0"/>
    <xf numFmtId="0" fontId="69" fillId="73" borderId="0" applyNumberFormat="0" applyBorder="0" applyAlignment="0" applyProtection="0"/>
    <xf numFmtId="0" fontId="48" fillId="74" borderId="0" applyNumberFormat="0" applyBorder="0" applyAlignment="0" applyProtection="0"/>
    <xf numFmtId="0" fontId="48" fillId="75" borderId="0" applyNumberFormat="0" applyBorder="0" applyAlignment="0" applyProtection="0"/>
    <xf numFmtId="0" fontId="48" fillId="76" borderId="0" applyNumberFormat="0" applyBorder="0" applyAlignment="0" applyProtection="0"/>
    <xf numFmtId="0" fontId="69" fillId="77" borderId="0" applyNumberFormat="0" applyBorder="0" applyAlignment="0" applyProtection="0"/>
    <xf numFmtId="0" fontId="48" fillId="78" borderId="0" applyNumberFormat="0" applyBorder="0" applyAlignment="0" applyProtection="0"/>
    <xf numFmtId="0" fontId="48" fillId="79" borderId="0" applyNumberFormat="0" applyBorder="0" applyAlignment="0" applyProtection="0"/>
    <xf numFmtId="0" fontId="48" fillId="80" borderId="0" applyNumberFormat="0" applyBorder="0" applyAlignment="0" applyProtection="0"/>
    <xf numFmtId="0" fontId="1" fillId="0" borderId="0"/>
  </cellStyleXfs>
  <cellXfs count="450">
    <xf numFmtId="0" fontId="0" fillId="0" borderId="0" xfId="0"/>
    <xf numFmtId="49" fontId="3" fillId="0" borderId="0" xfId="89" applyNumberFormat="1" applyFont="1" applyAlignment="1">
      <alignment horizontal="left" vertical="top"/>
    </xf>
    <xf numFmtId="0" fontId="2" fillId="0" borderId="0" xfId="89" applyAlignment="1">
      <alignment vertical="top"/>
    </xf>
    <xf numFmtId="0" fontId="33" fillId="0" borderId="0" xfId="0" applyFont="1"/>
    <xf numFmtId="0" fontId="34" fillId="0" borderId="11" xfId="0" applyFont="1" applyBorder="1" applyAlignment="1">
      <alignment horizontal="center"/>
    </xf>
    <xf numFmtId="0" fontId="2" fillId="0" borderId="0" xfId="89"/>
    <xf numFmtId="0" fontId="35" fillId="0" borderId="0" xfId="89" applyFont="1"/>
    <xf numFmtId="0" fontId="2" fillId="0" borderId="12" xfId="89" applyBorder="1" applyAlignment="1">
      <alignment horizontal="center" vertical="center"/>
    </xf>
    <xf numFmtId="0" fontId="2" fillId="0" borderId="0" xfId="89" applyAlignment="1">
      <alignment horizontal="left"/>
    </xf>
    <xf numFmtId="49" fontId="3" fillId="0" borderId="0" xfId="89" applyNumberFormat="1" applyFont="1" applyAlignment="1">
      <alignment horizontal="left"/>
    </xf>
    <xf numFmtId="0" fontId="3" fillId="0" borderId="0" xfId="89" applyFont="1"/>
    <xf numFmtId="0" fontId="4" fillId="0" borderId="0" xfId="79" applyAlignment="1">
      <alignment horizontal="left"/>
    </xf>
    <xf numFmtId="0" fontId="2" fillId="0" borderId="14" xfId="89" applyBorder="1" applyAlignment="1">
      <alignment horizontal="center" vertical="top"/>
    </xf>
    <xf numFmtId="0" fontId="3" fillId="0" borderId="14" xfId="89" applyFont="1" applyBorder="1" applyAlignment="1">
      <alignment horizontal="center" vertical="top"/>
    </xf>
    <xf numFmtId="0" fontId="3" fillId="0" borderId="14" xfId="89" applyFont="1" applyBorder="1" applyAlignment="1">
      <alignment vertical="top"/>
    </xf>
    <xf numFmtId="49" fontId="3" fillId="0" borderId="14" xfId="89" applyNumberFormat="1" applyFont="1" applyBorder="1" applyAlignment="1">
      <alignment horizontal="center" vertical="top"/>
    </xf>
    <xf numFmtId="0" fontId="3" fillId="0" borderId="14" xfId="89" applyFont="1" applyBorder="1" applyAlignment="1">
      <alignment vertical="top" wrapText="1"/>
    </xf>
    <xf numFmtId="49" fontId="3" fillId="0" borderId="13" xfId="89" applyNumberFormat="1" applyFont="1" applyBorder="1" applyAlignment="1">
      <alignment horizontal="center" vertical="top"/>
    </xf>
    <xf numFmtId="0" fontId="23" fillId="0" borderId="0" xfId="89" applyFont="1"/>
    <xf numFmtId="49" fontId="23" fillId="17" borderId="14" xfId="89" applyNumberFormat="1" applyFont="1" applyFill="1" applyBorder="1" applyAlignment="1">
      <alignment horizontal="center" vertical="top"/>
    </xf>
    <xf numFmtId="0" fontId="23" fillId="17" borderId="14" xfId="89" applyFont="1" applyFill="1" applyBorder="1" applyAlignment="1">
      <alignment horizontal="center" vertical="top"/>
    </xf>
    <xf numFmtId="49" fontId="23" fillId="6" borderId="11" xfId="89" applyNumberFormat="1" applyFont="1" applyFill="1" applyBorder="1" applyAlignment="1">
      <alignment horizontal="center" vertical="top"/>
    </xf>
    <xf numFmtId="49" fontId="23" fillId="6" borderId="14" xfId="89" applyNumberFormat="1" applyFont="1" applyFill="1" applyBorder="1" applyAlignment="1">
      <alignment horizontal="center" vertical="top"/>
    </xf>
    <xf numFmtId="2" fontId="23" fillId="18" borderId="11" xfId="89" applyNumberFormat="1" applyFont="1" applyFill="1" applyBorder="1" applyAlignment="1">
      <alignment horizontal="center" vertical="top"/>
    </xf>
    <xf numFmtId="0" fontId="23" fillId="0" borderId="0" xfId="89" applyFont="1" applyAlignment="1">
      <alignment horizontal="center"/>
    </xf>
    <xf numFmtId="0" fontId="24" fillId="0" borderId="0" xfId="89" applyFont="1" applyAlignment="1">
      <alignment horizontal="left"/>
    </xf>
    <xf numFmtId="0" fontId="23" fillId="0" borderId="0" xfId="89" applyFont="1" applyAlignment="1">
      <alignment horizontal="left"/>
    </xf>
    <xf numFmtId="0" fontId="23" fillId="0" borderId="0" xfId="89" applyFont="1" applyAlignment="1">
      <alignment vertical="top" wrapText="1"/>
    </xf>
    <xf numFmtId="0" fontId="23" fillId="0" borderId="0" xfId="89" applyFont="1" applyAlignment="1">
      <alignment horizontal="center" vertical="top"/>
    </xf>
    <xf numFmtId="0" fontId="23" fillId="0" borderId="0" xfId="89" applyFont="1" applyAlignment="1">
      <alignment vertical="top"/>
    </xf>
    <xf numFmtId="49" fontId="23" fillId="0" borderId="0" xfId="89" applyNumberFormat="1" applyFont="1" applyAlignment="1">
      <alignment horizontal="center" vertical="top"/>
    </xf>
    <xf numFmtId="0" fontId="36" fillId="0" borderId="0" xfId="0" applyFont="1"/>
    <xf numFmtId="49" fontId="26" fillId="0" borderId="0" xfId="79" applyNumberFormat="1" applyFont="1" applyAlignment="1">
      <alignment horizontal="left" vertical="top"/>
    </xf>
    <xf numFmtId="49" fontId="27" fillId="18" borderId="0" xfId="89" applyNumberFormat="1" applyFont="1" applyFill="1" applyAlignment="1">
      <alignment horizontal="left" vertical="top"/>
    </xf>
    <xf numFmtId="49" fontId="23" fillId="18" borderId="0" xfId="89" applyNumberFormat="1" applyFont="1" applyFill="1" applyAlignment="1">
      <alignment horizontal="center" vertical="top"/>
    </xf>
    <xf numFmtId="0" fontId="22" fillId="20" borderId="0" xfId="89" applyFont="1" applyFill="1" applyAlignment="1">
      <alignment horizontal="center" vertical="top"/>
    </xf>
    <xf numFmtId="0" fontId="22" fillId="20" borderId="0" xfId="89" applyFont="1" applyFill="1" applyAlignment="1">
      <alignment horizontal="left" vertical="top"/>
    </xf>
    <xf numFmtId="0" fontId="22" fillId="20" borderId="0" xfId="89" applyFont="1" applyFill="1" applyAlignment="1">
      <alignment vertical="top" wrapText="1"/>
    </xf>
    <xf numFmtId="0" fontId="22" fillId="20" borderId="0" xfId="89" applyFont="1" applyFill="1" applyAlignment="1">
      <alignment horizontal="center" vertical="center"/>
    </xf>
    <xf numFmtId="49" fontId="23" fillId="18" borderId="14" xfId="89" applyNumberFormat="1" applyFont="1" applyFill="1" applyBorder="1" applyAlignment="1">
      <alignment horizontal="center" vertical="top"/>
    </xf>
    <xf numFmtId="0" fontId="23" fillId="0" borderId="14" xfId="89" applyFont="1" applyBorder="1" applyAlignment="1">
      <alignment horizontal="center" vertical="top"/>
    </xf>
    <xf numFmtId="0" fontId="23" fillId="0" borderId="0" xfId="89" applyFont="1" applyAlignment="1">
      <alignment horizontal="center" vertical="top" wrapText="1"/>
    </xf>
    <xf numFmtId="0" fontId="23" fillId="0" borderId="11" xfId="89" applyFont="1" applyBorder="1" applyAlignment="1">
      <alignment vertical="top" wrapText="1"/>
    </xf>
    <xf numFmtId="0" fontId="37" fillId="0" borderId="0" xfId="0" applyFont="1"/>
    <xf numFmtId="49" fontId="23" fillId="0" borderId="14" xfId="89" applyNumberFormat="1" applyFont="1" applyBorder="1" applyAlignment="1">
      <alignment horizontal="center" vertical="top"/>
    </xf>
    <xf numFmtId="0" fontId="38" fillId="0" borderId="0" xfId="89" applyFont="1" applyAlignment="1">
      <alignment horizontal="left" vertical="top"/>
    </xf>
    <xf numFmtId="0" fontId="38" fillId="0" borderId="0" xfId="89" applyFont="1" applyAlignment="1">
      <alignment horizontal="center" vertical="top"/>
    </xf>
    <xf numFmtId="0" fontId="23" fillId="18" borderId="14" xfId="89" applyFont="1" applyFill="1" applyBorder="1" applyAlignment="1">
      <alignment horizontal="center" vertical="top"/>
    </xf>
    <xf numFmtId="49" fontId="27" fillId="17" borderId="0" xfId="89" applyNumberFormat="1" applyFont="1" applyFill="1" applyAlignment="1">
      <alignment horizontal="left" vertical="top"/>
    </xf>
    <xf numFmtId="49" fontId="23" fillId="17" borderId="0" xfId="89" applyNumberFormat="1" applyFont="1" applyFill="1" applyAlignment="1">
      <alignment horizontal="center" vertical="top"/>
    </xf>
    <xf numFmtId="0" fontId="23" fillId="17" borderId="0" xfId="89" applyFont="1" applyFill="1" applyAlignment="1">
      <alignment horizontal="center" vertical="top"/>
    </xf>
    <xf numFmtId="0" fontId="23" fillId="17" borderId="0" xfId="89" applyFont="1" applyFill="1" applyAlignment="1">
      <alignment horizontal="left" vertical="top"/>
    </xf>
    <xf numFmtId="0" fontId="23" fillId="17" borderId="0" xfId="89" applyFont="1" applyFill="1" applyAlignment="1">
      <alignment vertical="top" wrapText="1"/>
    </xf>
    <xf numFmtId="0" fontId="23" fillId="17" borderId="0" xfId="89" applyFont="1" applyFill="1" applyAlignment="1">
      <alignment vertical="top"/>
    </xf>
    <xf numFmtId="49" fontId="27" fillId="14" borderId="0" xfId="89" applyNumberFormat="1" applyFont="1" applyFill="1" applyAlignment="1">
      <alignment horizontal="left" vertical="top"/>
    </xf>
    <xf numFmtId="49" fontId="25" fillId="14" borderId="0" xfId="89" applyNumberFormat="1" applyFont="1" applyFill="1" applyAlignment="1">
      <alignment horizontal="left" vertical="top"/>
    </xf>
    <xf numFmtId="49" fontId="27" fillId="19" borderId="0" xfId="89" applyNumberFormat="1" applyFont="1" applyFill="1" applyAlignment="1">
      <alignment horizontal="left" vertical="top"/>
    </xf>
    <xf numFmtId="49" fontId="27" fillId="3" borderId="0" xfId="89" applyNumberFormat="1" applyFont="1" applyFill="1" applyAlignment="1">
      <alignment horizontal="left" vertical="top"/>
    </xf>
    <xf numFmtId="49" fontId="25" fillId="3" borderId="0" xfId="89" applyNumberFormat="1" applyFont="1" applyFill="1" applyAlignment="1">
      <alignment horizontal="left" vertical="top"/>
    </xf>
    <xf numFmtId="0" fontId="25" fillId="0" borderId="0" xfId="89" applyFont="1" applyAlignment="1">
      <alignment vertical="top"/>
    </xf>
    <xf numFmtId="49" fontId="39" fillId="0" borderId="0" xfId="89" applyNumberFormat="1" applyFont="1" applyAlignment="1">
      <alignment horizontal="center" vertical="center"/>
    </xf>
    <xf numFmtId="49" fontId="23" fillId="0" borderId="0" xfId="89" applyNumberFormat="1" applyFont="1" applyAlignment="1">
      <alignment horizontal="left" vertical="top"/>
    </xf>
    <xf numFmtId="49" fontId="0" fillId="0" borderId="0" xfId="0" applyNumberFormat="1"/>
    <xf numFmtId="49" fontId="23" fillId="0" borderId="14" xfId="89" applyNumberFormat="1" applyFont="1" applyBorder="1" applyAlignment="1">
      <alignment horizontal="left" vertical="top"/>
    </xf>
    <xf numFmtId="0" fontId="40" fillId="23" borderId="11" xfId="89" applyFont="1" applyFill="1" applyBorder="1" applyAlignment="1">
      <alignment vertical="top"/>
    </xf>
    <xf numFmtId="49" fontId="40" fillId="24" borderId="11" xfId="89" applyNumberFormat="1" applyFont="1" applyFill="1" applyBorder="1" applyAlignment="1">
      <alignment horizontal="center" vertical="top"/>
    </xf>
    <xf numFmtId="0" fontId="40" fillId="23" borderId="11" xfId="89" applyFont="1" applyFill="1" applyBorder="1" applyAlignment="1">
      <alignment horizontal="center" vertical="top"/>
    </xf>
    <xf numFmtId="49" fontId="40" fillId="23" borderId="15" xfId="89" applyNumberFormat="1" applyFont="1" applyFill="1" applyBorder="1" applyAlignment="1">
      <alignment horizontal="left" vertical="top" wrapText="1"/>
    </xf>
    <xf numFmtId="49" fontId="40" fillId="23" borderId="15" xfId="89" applyNumberFormat="1" applyFont="1" applyFill="1" applyBorder="1" applyAlignment="1">
      <alignment horizontal="center" vertical="top" wrapText="1"/>
    </xf>
    <xf numFmtId="49" fontId="40" fillId="23" borderId="15" xfId="89" applyNumberFormat="1" applyFont="1" applyFill="1" applyBorder="1" applyAlignment="1">
      <alignment horizontal="center" vertical="top"/>
    </xf>
    <xf numFmtId="0" fontId="40" fillId="23" borderId="15" xfId="89" applyFont="1" applyFill="1" applyBorder="1" applyAlignment="1">
      <alignment horizontal="center" vertical="top"/>
    </xf>
    <xf numFmtId="0" fontId="40" fillId="23" borderId="15" xfId="89" applyFont="1" applyFill="1" applyBorder="1" applyAlignment="1">
      <alignment vertical="top" wrapText="1"/>
    </xf>
    <xf numFmtId="49" fontId="23" fillId="25" borderId="11" xfId="89" applyNumberFormat="1" applyFont="1" applyFill="1" applyBorder="1" applyAlignment="1">
      <alignment horizontal="center" vertical="top"/>
    </xf>
    <xf numFmtId="0" fontId="23" fillId="25" borderId="14" xfId="89" applyFont="1" applyFill="1" applyBorder="1" applyAlignment="1">
      <alignment horizontal="center" vertical="top"/>
    </xf>
    <xf numFmtId="0" fontId="2" fillId="0" borderId="11" xfId="89" applyBorder="1" applyAlignment="1">
      <alignment horizontal="center"/>
    </xf>
    <xf numFmtId="49" fontId="25" fillId="0" borderId="0" xfId="89" applyNumberFormat="1" applyFont="1" applyAlignment="1">
      <alignment horizontal="left" vertical="top"/>
    </xf>
    <xf numFmtId="49" fontId="25" fillId="0" borderId="11" xfId="89" applyNumberFormat="1" applyFont="1" applyBorder="1" applyAlignment="1">
      <alignment horizontal="left" vertical="center"/>
    </xf>
    <xf numFmtId="0" fontId="41" fillId="0" borderId="11" xfId="0" applyFont="1" applyBorder="1" applyAlignment="1">
      <alignment horizontal="center"/>
    </xf>
    <xf numFmtId="0" fontId="25" fillId="0" borderId="11" xfId="89" applyFont="1" applyBorder="1" applyAlignment="1">
      <alignment horizontal="center" vertical="center"/>
    </xf>
    <xf numFmtId="0" fontId="37" fillId="0" borderId="11" xfId="0" applyFont="1" applyBorder="1" applyAlignment="1">
      <alignment horizontal="center"/>
    </xf>
    <xf numFmtId="0" fontId="38" fillId="0" borderId="0" xfId="0" applyFont="1"/>
    <xf numFmtId="0" fontId="23" fillId="26" borderId="0" xfId="89" applyFont="1" applyFill="1" applyAlignment="1">
      <alignment horizontal="center" vertical="top"/>
    </xf>
    <xf numFmtId="0" fontId="37" fillId="0" borderId="0" xfId="0" applyFont="1" applyAlignment="1">
      <alignment horizontal="center"/>
    </xf>
    <xf numFmtId="49" fontId="25" fillId="0" borderId="16" xfId="89" applyNumberFormat="1" applyFont="1" applyBorder="1" applyAlignment="1">
      <alignment horizontal="left" vertical="center"/>
    </xf>
    <xf numFmtId="0" fontId="41" fillId="0" borderId="11" xfId="0" applyFont="1" applyBorder="1" applyAlignment="1">
      <alignment horizontal="left"/>
    </xf>
    <xf numFmtId="0" fontId="25" fillId="0" borderId="11" xfId="89" applyFont="1" applyBorder="1" applyAlignment="1">
      <alignment horizontal="left" vertical="center"/>
    </xf>
    <xf numFmtId="0" fontId="37" fillId="27" borderId="11" xfId="0" applyFont="1" applyFill="1" applyBorder="1" applyAlignment="1">
      <alignment horizontal="left"/>
    </xf>
    <xf numFmtId="0" fontId="37" fillId="0" borderId="11" xfId="0" applyFont="1" applyBorder="1" applyAlignment="1">
      <alignment horizontal="left"/>
    </xf>
    <xf numFmtId="0" fontId="42" fillId="0" borderId="0" xfId="0" applyFont="1" applyAlignment="1">
      <alignment horizontal="center"/>
    </xf>
    <xf numFmtId="0" fontId="42" fillId="0" borderId="0" xfId="0" applyFont="1"/>
    <xf numFmtId="0" fontId="36" fillId="0" borderId="0" xfId="0" applyFont="1" applyAlignment="1">
      <alignment horizontal="left"/>
    </xf>
    <xf numFmtId="0" fontId="37" fillId="0" borderId="0" xfId="0" applyFont="1" applyAlignment="1">
      <alignment horizontal="left"/>
    </xf>
    <xf numFmtId="49" fontId="23" fillId="0" borderId="17" xfId="89" applyNumberFormat="1" applyFont="1" applyBorder="1" applyAlignment="1">
      <alignment horizontal="left" vertical="center"/>
    </xf>
    <xf numFmtId="0" fontId="23" fillId="0" borderId="11" xfId="89" applyFont="1" applyBorder="1" applyAlignment="1">
      <alignment horizontal="center" vertical="center"/>
    </xf>
    <xf numFmtId="0" fontId="42" fillId="0" borderId="11" xfId="0" applyFont="1" applyBorder="1" applyAlignment="1">
      <alignment horizontal="center"/>
    </xf>
    <xf numFmtId="0" fontId="42" fillId="0" borderId="17" xfId="0" applyFont="1" applyBorder="1" applyAlignment="1">
      <alignment horizontal="center"/>
    </xf>
    <xf numFmtId="49" fontId="23" fillId="28" borderId="11" xfId="89" applyNumberFormat="1" applyFont="1" applyFill="1" applyBorder="1" applyAlignment="1">
      <alignment horizontal="center" vertical="top"/>
    </xf>
    <xf numFmtId="49" fontId="23" fillId="29" borderId="11" xfId="89" applyNumberFormat="1" applyFont="1" applyFill="1" applyBorder="1" applyAlignment="1">
      <alignment horizontal="center" vertical="top"/>
    </xf>
    <xf numFmtId="49" fontId="23" fillId="30" borderId="11" xfId="89" applyNumberFormat="1" applyFont="1" applyFill="1" applyBorder="1" applyAlignment="1">
      <alignment horizontal="center" vertical="top"/>
    </xf>
    <xf numFmtId="2" fontId="23" fillId="30" borderId="11" xfId="89" applyNumberFormat="1" applyFont="1" applyFill="1" applyBorder="1" applyAlignment="1">
      <alignment horizontal="center" vertical="top"/>
    </xf>
    <xf numFmtId="49" fontId="23" fillId="31" borderId="11" xfId="89" applyNumberFormat="1" applyFont="1" applyFill="1" applyBorder="1" applyAlignment="1">
      <alignment horizontal="center" vertical="top"/>
    </xf>
    <xf numFmtId="49" fontId="23" fillId="32" borderId="11" xfId="89" applyNumberFormat="1" applyFont="1" applyFill="1" applyBorder="1" applyAlignment="1">
      <alignment horizontal="center" vertical="top"/>
    </xf>
    <xf numFmtId="0" fontId="25" fillId="0" borderId="0" xfId="89" applyFont="1" applyAlignment="1">
      <alignment horizontal="left"/>
    </xf>
    <xf numFmtId="0" fontId="33" fillId="0" borderId="11" xfId="0" applyFont="1" applyBorder="1"/>
    <xf numFmtId="0" fontId="4" fillId="0" borderId="11" xfId="79" applyBorder="1"/>
    <xf numFmtId="0" fontId="2" fillId="0" borderId="0" xfId="89" applyAlignment="1">
      <alignment horizontal="center" vertical="top"/>
    </xf>
    <xf numFmtId="0" fontId="23" fillId="17" borderId="10" xfId="89" applyFont="1" applyFill="1" applyBorder="1" applyAlignment="1">
      <alignment vertical="top" wrapText="1"/>
    </xf>
    <xf numFmtId="0" fontId="0" fillId="0" borderId="11" xfId="0" applyBorder="1"/>
    <xf numFmtId="0" fontId="0" fillId="0" borderId="11" xfId="0" applyBorder="1" applyAlignment="1">
      <alignment horizontal="center"/>
    </xf>
    <xf numFmtId="0" fontId="2" fillId="26" borderId="0" xfId="89" applyFill="1" applyAlignment="1">
      <alignment horizontal="left"/>
    </xf>
    <xf numFmtId="0" fontId="4" fillId="0" borderId="0" xfId="79"/>
    <xf numFmtId="0" fontId="2" fillId="0" borderId="11" xfId="89" applyBorder="1"/>
    <xf numFmtId="0" fontId="0" fillId="0" borderId="11" xfId="0" applyBorder="1" applyAlignment="1">
      <alignment horizontal="left"/>
    </xf>
    <xf numFmtId="0" fontId="3" fillId="0" borderId="13" xfId="89" applyFont="1" applyBorder="1" applyAlignment="1">
      <alignment vertical="top"/>
    </xf>
    <xf numFmtId="0" fontId="3" fillId="0" borderId="13" xfId="89" applyFont="1" applyBorder="1" applyAlignment="1">
      <alignment horizontal="center" vertical="top"/>
    </xf>
    <xf numFmtId="0" fontId="3" fillId="0" borderId="13" xfId="89" applyFont="1" applyBorder="1" applyAlignment="1">
      <alignment vertical="top" wrapText="1"/>
    </xf>
    <xf numFmtId="49" fontId="3" fillId="0" borderId="11" xfId="89" applyNumberFormat="1" applyFont="1" applyBorder="1" applyAlignment="1">
      <alignment horizontal="center" vertical="top"/>
    </xf>
    <xf numFmtId="0" fontId="3" fillId="0" borderId="11" xfId="89" applyFont="1" applyBorder="1" applyAlignment="1">
      <alignment vertical="top"/>
    </xf>
    <xf numFmtId="0" fontId="3" fillId="0" borderId="11" xfId="89" applyFont="1" applyBorder="1" applyAlignment="1">
      <alignment horizontal="center" vertical="top"/>
    </xf>
    <xf numFmtId="0" fontId="3" fillId="0" borderId="11" xfId="89" applyFont="1" applyBorder="1" applyAlignment="1">
      <alignment vertical="top" wrapText="1"/>
    </xf>
    <xf numFmtId="0" fontId="2" fillId="0" borderId="14" xfId="89" applyBorder="1" applyAlignment="1">
      <alignment horizontal="left" vertical="top"/>
    </xf>
    <xf numFmtId="0" fontId="0" fillId="27" borderId="11" xfId="0" applyFill="1" applyBorder="1"/>
    <xf numFmtId="0" fontId="43" fillId="0" borderId="0" xfId="0" applyFont="1"/>
    <xf numFmtId="49" fontId="27" fillId="33" borderId="0" xfId="89" applyNumberFormat="1" applyFont="1" applyFill="1" applyAlignment="1">
      <alignment horizontal="left" vertical="top"/>
    </xf>
    <xf numFmtId="49" fontId="25" fillId="33" borderId="0" xfId="89" applyNumberFormat="1" applyFont="1" applyFill="1" applyAlignment="1">
      <alignment horizontal="left" vertical="top"/>
    </xf>
    <xf numFmtId="49" fontId="27" fillId="34" borderId="0" xfId="89" applyNumberFormat="1" applyFont="1" applyFill="1" applyAlignment="1">
      <alignment horizontal="left" vertical="top"/>
    </xf>
    <xf numFmtId="0" fontId="0" fillId="35" borderId="0" xfId="0" applyFill="1"/>
    <xf numFmtId="49" fontId="27" fillId="0" borderId="0" xfId="89" applyNumberFormat="1" applyFont="1" applyAlignment="1">
      <alignment horizontal="left" vertical="top"/>
    </xf>
    <xf numFmtId="49" fontId="27" fillId="36" borderId="0" xfId="89" applyNumberFormat="1" applyFont="1" applyFill="1" applyAlignment="1">
      <alignment horizontal="left" vertical="top"/>
    </xf>
    <xf numFmtId="49" fontId="22" fillId="20" borderId="11" xfId="89" applyNumberFormat="1" applyFont="1" applyFill="1" applyBorder="1" applyAlignment="1">
      <alignment horizontal="center" vertical="center" wrapText="1"/>
    </xf>
    <xf numFmtId="0" fontId="22" fillId="20" borderId="11" xfId="89" applyFont="1" applyFill="1" applyBorder="1" applyAlignment="1">
      <alignment horizontal="center" vertical="center"/>
    </xf>
    <xf numFmtId="0" fontId="22" fillId="20" borderId="11" xfId="89" applyFont="1" applyFill="1" applyBorder="1" applyAlignment="1">
      <alignment horizontal="left" vertical="center"/>
    </xf>
    <xf numFmtId="0" fontId="22" fillId="20" borderId="11" xfId="89" applyFont="1" applyFill="1" applyBorder="1" applyAlignment="1">
      <alignment vertical="center" wrapText="1"/>
    </xf>
    <xf numFmtId="0" fontId="22" fillId="20" borderId="18" xfId="89" applyFont="1" applyFill="1" applyBorder="1" applyAlignment="1">
      <alignment vertical="center" wrapText="1"/>
    </xf>
    <xf numFmtId="0" fontId="0" fillId="0" borderId="11" xfId="0" applyBorder="1" applyAlignment="1">
      <alignment horizontal="center" vertical="center"/>
    </xf>
    <xf numFmtId="0" fontId="0" fillId="0" borderId="19" xfId="0" applyBorder="1"/>
    <xf numFmtId="0" fontId="0" fillId="0" borderId="11" xfId="0" applyBorder="1" applyAlignment="1">
      <alignment vertical="center"/>
    </xf>
    <xf numFmtId="0" fontId="0" fillId="0" borderId="11" xfId="0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wrapText="1"/>
    </xf>
    <xf numFmtId="0" fontId="45" fillId="0" borderId="0" xfId="0" applyFont="1"/>
    <xf numFmtId="0" fontId="32" fillId="0" borderId="11" xfId="0" applyFont="1" applyBorder="1"/>
    <xf numFmtId="49" fontId="23" fillId="14" borderId="0" xfId="89" applyNumberFormat="1" applyFont="1" applyFill="1" applyAlignment="1">
      <alignment horizontal="center" vertical="top"/>
    </xf>
    <xf numFmtId="0" fontId="23" fillId="14" borderId="0" xfId="89" applyFont="1" applyFill="1" applyAlignment="1">
      <alignment horizontal="center" vertical="top"/>
    </xf>
    <xf numFmtId="0" fontId="23" fillId="14" borderId="0" xfId="89" applyFont="1" applyFill="1" applyAlignment="1">
      <alignment horizontal="left" vertical="top"/>
    </xf>
    <xf numFmtId="0" fontId="23" fillId="14" borderId="0" xfId="89" applyFont="1" applyFill="1" applyAlignment="1">
      <alignment vertical="top" wrapText="1"/>
    </xf>
    <xf numFmtId="0" fontId="23" fillId="14" borderId="0" xfId="89" applyFont="1" applyFill="1" applyAlignment="1">
      <alignment vertical="top"/>
    </xf>
    <xf numFmtId="0" fontId="22" fillId="20" borderId="0" xfId="89" applyFont="1" applyFill="1" applyAlignment="1">
      <alignment vertical="center" wrapText="1"/>
    </xf>
    <xf numFmtId="49" fontId="23" fillId="14" borderId="20" xfId="89" applyNumberFormat="1" applyFont="1" applyFill="1" applyBorder="1" applyAlignment="1">
      <alignment horizontal="center" vertical="top"/>
    </xf>
    <xf numFmtId="49" fontId="23" fillId="0" borderId="20" xfId="89" applyNumberFormat="1" applyFont="1" applyBorder="1" applyAlignment="1">
      <alignment horizontal="center" vertical="top"/>
    </xf>
    <xf numFmtId="0" fontId="23" fillId="0" borderId="20" xfId="89" applyFont="1" applyBorder="1" applyAlignment="1">
      <alignment horizontal="center" vertical="top"/>
    </xf>
    <xf numFmtId="0" fontId="23" fillId="0" borderId="21" xfId="89" applyFont="1" applyBorder="1" applyAlignment="1">
      <alignment vertical="top"/>
    </xf>
    <xf numFmtId="0" fontId="23" fillId="0" borderId="14" xfId="89" applyFont="1" applyBorder="1" applyAlignment="1">
      <alignment vertical="top" wrapText="1"/>
    </xf>
    <xf numFmtId="0" fontId="23" fillId="0" borderId="16" xfId="89" applyFont="1" applyBorder="1" applyAlignment="1">
      <alignment horizontal="center" vertical="top" wrapText="1"/>
    </xf>
    <xf numFmtId="0" fontId="23" fillId="0" borderId="17" xfId="89" applyFont="1" applyBorder="1" applyAlignment="1">
      <alignment horizontal="center" vertical="top" wrapText="1"/>
    </xf>
    <xf numFmtId="49" fontId="23" fillId="14" borderId="14" xfId="89" applyNumberFormat="1" applyFont="1" applyFill="1" applyBorder="1" applyAlignment="1">
      <alignment horizontal="center" vertical="top"/>
    </xf>
    <xf numFmtId="0" fontId="23" fillId="26" borderId="14" xfId="89" applyFont="1" applyFill="1" applyBorder="1" applyAlignment="1">
      <alignment vertical="top" wrapText="1"/>
    </xf>
    <xf numFmtId="0" fontId="23" fillId="26" borderId="21" xfId="89" applyFont="1" applyFill="1" applyBorder="1" applyAlignment="1">
      <alignment vertical="top" wrapText="1"/>
    </xf>
    <xf numFmtId="49" fontId="3" fillId="26" borderId="0" xfId="89" applyNumberFormat="1" applyFont="1" applyFill="1" applyAlignment="1">
      <alignment horizontal="left" vertical="top"/>
    </xf>
    <xf numFmtId="0" fontId="2" fillId="26" borderId="0" xfId="89" applyFill="1" applyAlignment="1">
      <alignment vertical="top"/>
    </xf>
    <xf numFmtId="49" fontId="2" fillId="0" borderId="14" xfId="89" applyNumberFormat="1" applyBorder="1" applyAlignment="1">
      <alignment horizontal="left" vertical="top"/>
    </xf>
    <xf numFmtId="49" fontId="2" fillId="0" borderId="14" xfId="89" applyNumberFormat="1" applyBorder="1" applyAlignment="1">
      <alignment horizontal="center" vertical="top"/>
    </xf>
    <xf numFmtId="0" fontId="2" fillId="0" borderId="14" xfId="89" applyBorder="1" applyAlignment="1">
      <alignment vertical="top" wrapText="1"/>
    </xf>
    <xf numFmtId="49" fontId="2" fillId="0" borderId="0" xfId="89" applyNumberFormat="1" applyAlignment="1">
      <alignment horizontal="center" vertical="top"/>
    </xf>
    <xf numFmtId="49" fontId="2" fillId="0" borderId="0" xfId="89" applyNumberFormat="1" applyAlignment="1">
      <alignment horizontal="left" vertical="top"/>
    </xf>
    <xf numFmtId="0" fontId="2" fillId="0" borderId="0" xfId="89" applyAlignment="1">
      <alignment vertical="top" wrapText="1"/>
    </xf>
    <xf numFmtId="49" fontId="2" fillId="0" borderId="11" xfId="89" applyNumberFormat="1" applyBorder="1" applyAlignment="1">
      <alignment horizontal="center" vertical="top"/>
    </xf>
    <xf numFmtId="0" fontId="2" fillId="26" borderId="0" xfId="89" applyFill="1" applyAlignment="1">
      <alignment horizontal="center" vertical="top"/>
    </xf>
    <xf numFmtId="0" fontId="2" fillId="26" borderId="0" xfId="89" applyFill="1" applyAlignment="1">
      <alignment vertical="top" wrapText="1"/>
    </xf>
    <xf numFmtId="0" fontId="2" fillId="26" borderId="0" xfId="89" applyFill="1" applyAlignment="1">
      <alignment horizontal="left" vertical="top"/>
    </xf>
    <xf numFmtId="0" fontId="2" fillId="26" borderId="0" xfId="89" applyFill="1" applyAlignment="1">
      <alignment horizontal="left" vertical="top" wrapText="1"/>
    </xf>
    <xf numFmtId="49" fontId="3" fillId="26" borderId="14" xfId="89" applyNumberFormat="1" applyFont="1" applyFill="1" applyBorder="1" applyAlignment="1">
      <alignment horizontal="center" vertical="top"/>
    </xf>
    <xf numFmtId="0" fontId="3" fillId="26" borderId="14" xfId="89" applyFont="1" applyFill="1" applyBorder="1" applyAlignment="1">
      <alignment vertical="top"/>
    </xf>
    <xf numFmtId="0" fontId="3" fillId="26" borderId="14" xfId="89" applyFont="1" applyFill="1" applyBorder="1" applyAlignment="1">
      <alignment horizontal="center" vertical="top"/>
    </xf>
    <xf numFmtId="0" fontId="3" fillId="26" borderId="14" xfId="89" applyFont="1" applyFill="1" applyBorder="1" applyAlignment="1">
      <alignment vertical="top" wrapText="1"/>
    </xf>
    <xf numFmtId="49" fontId="2" fillId="26" borderId="14" xfId="89" applyNumberFormat="1" applyFill="1" applyBorder="1" applyAlignment="1">
      <alignment horizontal="center" vertical="top"/>
    </xf>
    <xf numFmtId="49" fontId="2" fillId="26" borderId="14" xfId="89" applyNumberFormat="1" applyFill="1" applyBorder="1" applyAlignment="1">
      <alignment horizontal="left" vertical="top"/>
    </xf>
    <xf numFmtId="0" fontId="2" fillId="26" borderId="14" xfId="89" applyFill="1" applyBorder="1" applyAlignment="1">
      <alignment horizontal="center" vertical="top"/>
    </xf>
    <xf numFmtId="0" fontId="2" fillId="26" borderId="14" xfId="89" applyFill="1" applyBorder="1" applyAlignment="1">
      <alignment vertical="top" wrapText="1"/>
    </xf>
    <xf numFmtId="49" fontId="2" fillId="26" borderId="0" xfId="89" applyNumberFormat="1" applyFill="1" applyAlignment="1">
      <alignment horizontal="center" vertical="top"/>
    </xf>
    <xf numFmtId="49" fontId="2" fillId="26" borderId="13" xfId="89" applyNumberFormat="1" applyFill="1" applyBorder="1" applyAlignment="1">
      <alignment horizontal="center" vertical="top"/>
    </xf>
    <xf numFmtId="49" fontId="2" fillId="26" borderId="13" xfId="89" applyNumberFormat="1" applyFill="1" applyBorder="1" applyAlignment="1">
      <alignment horizontal="left" vertical="top"/>
    </xf>
    <xf numFmtId="0" fontId="2" fillId="26" borderId="13" xfId="89" applyFill="1" applyBorder="1" applyAlignment="1">
      <alignment horizontal="center" vertical="top"/>
    </xf>
    <xf numFmtId="0" fontId="2" fillId="26" borderId="13" xfId="89" applyFill="1" applyBorder="1" applyAlignment="1">
      <alignment vertical="top" wrapText="1"/>
    </xf>
    <xf numFmtId="49" fontId="2" fillId="26" borderId="11" xfId="89" applyNumberFormat="1" applyFill="1" applyBorder="1" applyAlignment="1">
      <alignment horizontal="center" vertical="top"/>
    </xf>
    <xf numFmtId="49" fontId="2" fillId="26" borderId="11" xfId="89" applyNumberFormat="1" applyFill="1" applyBorder="1" applyAlignment="1">
      <alignment horizontal="left" vertical="top"/>
    </xf>
    <xf numFmtId="0" fontId="2" fillId="26" borderId="11" xfId="89" applyFill="1" applyBorder="1" applyAlignment="1">
      <alignment horizontal="center" vertical="top"/>
    </xf>
    <xf numFmtId="0" fontId="2" fillId="26" borderId="11" xfId="89" applyFill="1" applyBorder="1" applyAlignment="1">
      <alignment vertical="top" wrapText="1"/>
    </xf>
    <xf numFmtId="0" fontId="0" fillId="0" borderId="0" xfId="0" applyAlignment="1">
      <alignment horizontal="left"/>
    </xf>
    <xf numFmtId="0" fontId="23" fillId="18" borderId="10" xfId="89" applyFont="1" applyFill="1" applyBorder="1" applyAlignment="1">
      <alignment vertical="top" wrapText="1"/>
    </xf>
    <xf numFmtId="49" fontId="40" fillId="23" borderId="22" xfId="89" applyNumberFormat="1" applyFont="1" applyFill="1" applyBorder="1" applyAlignment="1">
      <alignment horizontal="center" vertical="top" wrapText="1"/>
    </xf>
    <xf numFmtId="49" fontId="40" fillId="23" borderId="22" xfId="89" applyNumberFormat="1" applyFont="1" applyFill="1" applyBorder="1" applyAlignment="1">
      <alignment horizontal="center" vertical="top"/>
    </xf>
    <xf numFmtId="0" fontId="40" fillId="23" borderId="22" xfId="89" applyFont="1" applyFill="1" applyBorder="1" applyAlignment="1">
      <alignment horizontal="center" vertical="top"/>
    </xf>
    <xf numFmtId="49" fontId="23" fillId="0" borderId="13" xfId="89" applyNumberFormat="1" applyFont="1" applyBorder="1" applyAlignment="1">
      <alignment horizontal="left" vertical="top"/>
    </xf>
    <xf numFmtId="0" fontId="23" fillId="0" borderId="11" xfId="89" applyFont="1" applyBorder="1" applyAlignment="1">
      <alignment vertical="top"/>
    </xf>
    <xf numFmtId="49" fontId="23" fillId="22" borderId="13" xfId="89" applyNumberFormat="1" applyFont="1" applyFill="1" applyBorder="1" applyAlignment="1">
      <alignment horizontal="center" vertical="top"/>
    </xf>
    <xf numFmtId="0" fontId="23" fillId="22" borderId="13" xfId="89" applyFont="1" applyFill="1" applyBorder="1" applyAlignment="1">
      <alignment horizontal="center" vertical="top"/>
    </xf>
    <xf numFmtId="0" fontId="23" fillId="22" borderId="23" xfId="89" applyFont="1" applyFill="1" applyBorder="1" applyAlignment="1">
      <alignment vertical="top" wrapText="1"/>
    </xf>
    <xf numFmtId="49" fontId="23" fillId="36" borderId="11" xfId="89" applyNumberFormat="1" applyFont="1" applyFill="1" applyBorder="1" applyAlignment="1">
      <alignment horizontal="left" vertical="top"/>
    </xf>
    <xf numFmtId="49" fontId="23" fillId="36" borderId="11" xfId="89" applyNumberFormat="1" applyFont="1" applyFill="1" applyBorder="1" applyAlignment="1">
      <alignment horizontal="center" vertical="top"/>
    </xf>
    <xf numFmtId="49" fontId="22" fillId="20" borderId="24" xfId="89" applyNumberFormat="1" applyFont="1" applyFill="1" applyBorder="1" applyAlignment="1">
      <alignment horizontal="center" vertical="center" wrapText="1"/>
    </xf>
    <xf numFmtId="0" fontId="22" fillId="20" borderId="24" xfId="89" applyFont="1" applyFill="1" applyBorder="1" applyAlignment="1">
      <alignment horizontal="center" vertical="center"/>
    </xf>
    <xf numFmtId="0" fontId="22" fillId="20" borderId="24" xfId="89" applyFont="1" applyFill="1" applyBorder="1" applyAlignment="1">
      <alignment horizontal="left" vertical="center"/>
    </xf>
    <xf numFmtId="0" fontId="22" fillId="20" borderId="24" xfId="89" applyFont="1" applyFill="1" applyBorder="1" applyAlignment="1">
      <alignment vertical="center" wrapText="1"/>
    </xf>
    <xf numFmtId="0" fontId="37" fillId="37" borderId="1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3" fillId="26" borderId="0" xfId="89" applyFont="1" applyFill="1" applyAlignment="1">
      <alignment vertical="top" wrapText="1"/>
    </xf>
    <xf numFmtId="0" fontId="0" fillId="0" borderId="0" xfId="0" applyAlignment="1">
      <alignment horizontal="center"/>
    </xf>
    <xf numFmtId="49" fontId="2" fillId="26" borderId="0" xfId="89" applyNumberFormat="1" applyFill="1" applyAlignment="1">
      <alignment horizontal="left" vertical="top"/>
    </xf>
    <xf numFmtId="49" fontId="23" fillId="38" borderId="14" xfId="89" applyNumberFormat="1" applyFont="1" applyFill="1" applyBorder="1" applyAlignment="1">
      <alignment horizontal="center" vertical="top"/>
    </xf>
    <xf numFmtId="0" fontId="23" fillId="38" borderId="14" xfId="89" applyFont="1" applyFill="1" applyBorder="1" applyAlignment="1">
      <alignment horizontal="center" vertical="top"/>
    </xf>
    <xf numFmtId="0" fontId="23" fillId="38" borderId="10" xfId="89" applyFont="1" applyFill="1" applyBorder="1" applyAlignment="1">
      <alignment vertical="top" wrapText="1"/>
    </xf>
    <xf numFmtId="0" fontId="0" fillId="27" borderId="0" xfId="0" applyFill="1"/>
    <xf numFmtId="0" fontId="0" fillId="39" borderId="0" xfId="0" applyFill="1"/>
    <xf numFmtId="49" fontId="23" fillId="40" borderId="14" xfId="89" applyNumberFormat="1" applyFont="1" applyFill="1" applyBorder="1" applyAlignment="1">
      <alignment horizontal="center" vertical="top"/>
    </xf>
    <xf numFmtId="49" fontId="23" fillId="40" borderId="11" xfId="89" applyNumberFormat="1" applyFont="1" applyFill="1" applyBorder="1" applyAlignment="1">
      <alignment horizontal="center" vertical="top"/>
    </xf>
    <xf numFmtId="49" fontId="23" fillId="41" borderId="14" xfId="89" applyNumberFormat="1" applyFont="1" applyFill="1" applyBorder="1" applyAlignment="1">
      <alignment horizontal="center" vertical="top"/>
    </xf>
    <xf numFmtId="0" fontId="25" fillId="0" borderId="11" xfId="89" applyFont="1" applyBorder="1" applyAlignment="1">
      <alignment horizontal="center" vertical="top"/>
    </xf>
    <xf numFmtId="49" fontId="23" fillId="42" borderId="14" xfId="89" applyNumberFormat="1" applyFont="1" applyFill="1" applyBorder="1" applyAlignment="1">
      <alignment horizontal="center" vertical="top"/>
    </xf>
    <xf numFmtId="0" fontId="0" fillId="43" borderId="11" xfId="0" applyFill="1" applyBorder="1"/>
    <xf numFmtId="0" fontId="0" fillId="0" borderId="0" xfId="0" applyAlignment="1">
      <alignment horizontal="right"/>
    </xf>
    <xf numFmtId="0" fontId="0" fillId="44" borderId="0" xfId="0" applyFill="1"/>
    <xf numFmtId="0" fontId="0" fillId="0" borderId="18" xfId="0" applyBorder="1" applyAlignment="1">
      <alignment horizontal="center" vertical="center"/>
    </xf>
    <xf numFmtId="0" fontId="40" fillId="23" borderId="0" xfId="89" applyFont="1" applyFill="1" applyAlignment="1">
      <alignment vertical="top" wrapText="1"/>
    </xf>
    <xf numFmtId="49" fontId="23" fillId="36" borderId="18" xfId="89" applyNumberFormat="1" applyFont="1" applyFill="1" applyBorder="1" applyAlignment="1">
      <alignment horizontal="left" vertical="top"/>
    </xf>
    <xf numFmtId="0" fontId="23" fillId="17" borderId="11" xfId="89" applyFont="1" applyFill="1" applyBorder="1" applyAlignment="1">
      <alignment vertical="top" wrapText="1"/>
    </xf>
    <xf numFmtId="0" fontId="23" fillId="18" borderId="11" xfId="89" applyFont="1" applyFill="1" applyBorder="1" applyAlignment="1">
      <alignment vertical="top" wrapText="1"/>
    </xf>
    <xf numFmtId="0" fontId="23" fillId="22" borderId="11" xfId="89" applyFont="1" applyFill="1" applyBorder="1" applyAlignment="1">
      <alignment vertical="top" wrapText="1"/>
    </xf>
    <xf numFmtId="0" fontId="23" fillId="38" borderId="11" xfId="89" applyFont="1" applyFill="1" applyBorder="1" applyAlignment="1">
      <alignment vertical="top" wrapText="1"/>
    </xf>
    <xf numFmtId="0" fontId="46" fillId="35" borderId="0" xfId="0" applyFont="1" applyFill="1"/>
    <xf numFmtId="49" fontId="23" fillId="43" borderId="14" xfId="89" applyNumberFormat="1" applyFont="1" applyFill="1" applyBorder="1" applyAlignment="1">
      <alignment horizontal="center" vertical="top"/>
    </xf>
    <xf numFmtId="0" fontId="2" fillId="0" borderId="0" xfId="89" applyAlignment="1">
      <alignment horizontal="left" vertical="top"/>
    </xf>
    <xf numFmtId="0" fontId="33" fillId="0" borderId="11" xfId="0" applyFont="1" applyBorder="1" applyAlignment="1">
      <alignment wrapText="1"/>
    </xf>
    <xf numFmtId="2" fontId="23" fillId="45" borderId="11" xfId="89" applyNumberFormat="1" applyFont="1" applyFill="1" applyBorder="1" applyAlignment="1">
      <alignment horizontal="center" vertical="top"/>
    </xf>
    <xf numFmtId="0" fontId="3" fillId="26" borderId="13" xfId="89" applyFont="1" applyFill="1" applyBorder="1" applyAlignment="1">
      <alignment vertical="top" wrapText="1"/>
    </xf>
    <xf numFmtId="0" fontId="2" fillId="0" borderId="11" xfId="89" applyBorder="1" applyAlignment="1">
      <alignment wrapText="1"/>
    </xf>
    <xf numFmtId="49" fontId="23" fillId="46" borderId="14" xfId="89" applyNumberFormat="1" applyFont="1" applyFill="1" applyBorder="1" applyAlignment="1">
      <alignment horizontal="center" vertical="top"/>
    </xf>
    <xf numFmtId="49" fontId="23" fillId="46" borderId="11" xfId="89" applyNumberFormat="1" applyFont="1" applyFill="1" applyBorder="1" applyAlignment="1">
      <alignment horizontal="center" vertical="top"/>
    </xf>
    <xf numFmtId="49" fontId="23" fillId="46" borderId="14" xfId="89" applyNumberFormat="1" applyFont="1" applyFill="1" applyBorder="1" applyAlignment="1">
      <alignment horizontal="left" vertical="top" wrapText="1"/>
    </xf>
    <xf numFmtId="0" fontId="2" fillId="0" borderId="11" xfId="89" applyBorder="1" applyAlignment="1">
      <alignment horizontal="left" vertical="top"/>
    </xf>
    <xf numFmtId="0" fontId="2" fillId="0" borderId="11" xfId="89" applyBorder="1" applyAlignment="1">
      <alignment horizontal="center" vertical="top"/>
    </xf>
    <xf numFmtId="0" fontId="37" fillId="0" borderId="0" xfId="0" applyFont="1" applyAlignment="1">
      <alignment vertical="center" wrapText="1"/>
    </xf>
    <xf numFmtId="0" fontId="37" fillId="0" borderId="11" xfId="0" applyFont="1" applyBorder="1" applyAlignment="1">
      <alignment horizontal="center" vertical="center" wrapText="1"/>
    </xf>
    <xf numFmtId="0" fontId="23" fillId="37" borderId="17" xfId="0" applyFont="1" applyFill="1" applyBorder="1" applyAlignment="1">
      <alignment horizontal="center" vertical="center" wrapText="1"/>
    </xf>
    <xf numFmtId="0" fontId="23" fillId="17" borderId="10" xfId="89" applyFont="1" applyFill="1" applyBorder="1" applyAlignment="1">
      <alignment horizontal="center" vertical="top" wrapText="1"/>
    </xf>
    <xf numFmtId="0" fontId="37" fillId="43" borderId="11" xfId="0" applyFont="1" applyFill="1" applyBorder="1" applyAlignment="1">
      <alignment horizontal="left" vertical="top"/>
    </xf>
    <xf numFmtId="0" fontId="37" fillId="43" borderId="11" xfId="0" applyFont="1" applyFill="1" applyBorder="1" applyAlignment="1">
      <alignment vertical="top"/>
    </xf>
    <xf numFmtId="0" fontId="37" fillId="43" borderId="18" xfId="0" applyFont="1" applyFill="1" applyBorder="1" applyAlignment="1">
      <alignment vertical="top"/>
    </xf>
    <xf numFmtId="0" fontId="23" fillId="43" borderId="11" xfId="0" applyFont="1" applyFill="1" applyBorder="1" applyAlignment="1">
      <alignment horizontal="center" vertical="top"/>
    </xf>
    <xf numFmtId="0" fontId="0" fillId="0" borderId="24" xfId="0" applyBorder="1"/>
    <xf numFmtId="49" fontId="23" fillId="17" borderId="11" xfId="89" applyNumberFormat="1" applyFont="1" applyFill="1" applyBorder="1" applyAlignment="1">
      <alignment horizontal="center" vertical="center"/>
    </xf>
    <xf numFmtId="0" fontId="2" fillId="0" borderId="14" xfId="89" applyBorder="1" applyAlignment="1">
      <alignment vertical="top"/>
    </xf>
    <xf numFmtId="0" fontId="2" fillId="0" borderId="13" xfId="89" applyBorder="1" applyAlignment="1">
      <alignment horizontal="center" vertical="top"/>
    </xf>
    <xf numFmtId="49" fontId="2" fillId="21" borderId="14" xfId="89" applyNumberFormat="1" applyFill="1" applyBorder="1" applyAlignment="1">
      <alignment horizontal="center" vertical="top"/>
    </xf>
    <xf numFmtId="0" fontId="2" fillId="0" borderId="13" xfId="89" applyBorder="1" applyAlignment="1">
      <alignment vertical="top"/>
    </xf>
    <xf numFmtId="0" fontId="2" fillId="0" borderId="24" xfId="89" applyBorder="1" applyAlignment="1">
      <alignment horizontal="center" vertical="top"/>
    </xf>
    <xf numFmtId="0" fontId="2" fillId="0" borderId="10" xfId="89" applyBorder="1" applyAlignment="1">
      <alignment vertical="top"/>
    </xf>
    <xf numFmtId="49" fontId="2" fillId="21" borderId="13" xfId="89" applyNumberFormat="1" applyFill="1" applyBorder="1" applyAlignment="1">
      <alignment horizontal="center" vertical="top"/>
    </xf>
    <xf numFmtId="49" fontId="2" fillId="21" borderId="11" xfId="89" applyNumberFormat="1" applyFill="1" applyBorder="1" applyAlignment="1">
      <alignment horizontal="center" vertical="top"/>
    </xf>
    <xf numFmtId="0" fontId="2" fillId="0" borderId="11" xfId="89" applyBorder="1" applyAlignment="1">
      <alignment vertical="top"/>
    </xf>
    <xf numFmtId="0" fontId="4" fillId="43" borderId="11" xfId="79" applyFill="1" applyBorder="1"/>
    <xf numFmtId="0" fontId="0" fillId="43" borderId="0" xfId="0" applyFill="1"/>
    <xf numFmtId="49" fontId="23" fillId="46" borderId="20" xfId="89" applyNumberFormat="1" applyFont="1" applyFill="1" applyBorder="1" applyAlignment="1">
      <alignment horizontal="center" vertical="top"/>
    </xf>
    <xf numFmtId="49" fontId="23" fillId="47" borderId="14" xfId="89" applyNumberFormat="1" applyFont="1" applyFill="1" applyBorder="1" applyAlignment="1">
      <alignment horizontal="center" vertical="top"/>
    </xf>
    <xf numFmtId="49" fontId="23" fillId="47" borderId="14" xfId="89" applyNumberFormat="1" applyFont="1" applyFill="1" applyBorder="1" applyAlignment="1">
      <alignment horizontal="left" vertical="top" wrapText="1"/>
    </xf>
    <xf numFmtId="0" fontId="23" fillId="48" borderId="11" xfId="89" applyFont="1" applyFill="1" applyBorder="1" applyAlignment="1">
      <alignment horizontal="center" vertical="top"/>
    </xf>
    <xf numFmtId="0" fontId="23" fillId="48" borderId="11" xfId="89" applyFont="1" applyFill="1" applyBorder="1" applyAlignment="1">
      <alignment vertical="top"/>
    </xf>
    <xf numFmtId="0" fontId="0" fillId="0" borderId="11" xfId="0" applyBorder="1" applyAlignment="1">
      <alignment horizontal="center" vertical="center" wrapText="1"/>
    </xf>
    <xf numFmtId="49" fontId="23" fillId="0" borderId="0" xfId="89" applyNumberFormat="1" applyFont="1" applyAlignment="1">
      <alignment horizontal="left" vertical="top" wrapText="1"/>
    </xf>
    <xf numFmtId="0" fontId="23" fillId="22" borderId="23" xfId="89" applyFont="1" applyFill="1" applyBorder="1" applyAlignment="1">
      <alignment horizontal="center" vertical="top" wrapText="1"/>
    </xf>
    <xf numFmtId="0" fontId="25" fillId="0" borderId="11" xfId="89" applyFont="1" applyBorder="1" applyAlignment="1">
      <alignment horizontal="center"/>
    </xf>
    <xf numFmtId="0" fontId="2" fillId="43" borderId="11" xfId="89" applyFill="1" applyBorder="1" applyAlignment="1">
      <alignment horizontal="center"/>
    </xf>
    <xf numFmtId="49" fontId="3" fillId="0" borderId="11" xfId="89" applyNumberFormat="1" applyFont="1" applyBorder="1" applyAlignment="1">
      <alignment horizontal="center" vertical="center"/>
    </xf>
    <xf numFmtId="0" fontId="3" fillId="0" borderId="11" xfId="89" applyFont="1" applyBorder="1" applyAlignment="1">
      <alignment horizontal="left" vertical="top"/>
    </xf>
    <xf numFmtId="0" fontId="2" fillId="43" borderId="11" xfId="89" applyFill="1" applyBorder="1"/>
    <xf numFmtId="49" fontId="44" fillId="18" borderId="11" xfId="89" applyNumberFormat="1" applyFont="1" applyFill="1" applyBorder="1" applyAlignment="1">
      <alignment horizontal="center" vertical="center"/>
    </xf>
    <xf numFmtId="0" fontId="2" fillId="0" borderId="14" xfId="89" applyBorder="1" applyAlignment="1">
      <alignment horizontal="center" vertical="center"/>
    </xf>
    <xf numFmtId="0" fontId="2" fillId="0" borderId="10" xfId="89" applyBorder="1" applyAlignment="1">
      <alignment horizontal="center" vertical="center"/>
    </xf>
    <xf numFmtId="0" fontId="2" fillId="0" borderId="11" xfId="89" applyBorder="1" applyAlignment="1">
      <alignment vertical="center" wrapText="1"/>
    </xf>
    <xf numFmtId="0" fontId="50" fillId="0" borderId="0" xfId="0" applyFont="1" applyAlignment="1">
      <alignment horizontal="justify" vertical="center"/>
    </xf>
    <xf numFmtId="49" fontId="27" fillId="46" borderId="14" xfId="89" applyNumberFormat="1" applyFont="1" applyFill="1" applyBorder="1" applyAlignment="1">
      <alignment horizontal="center" vertical="top"/>
    </xf>
    <xf numFmtId="49" fontId="2" fillId="0" borderId="11" xfId="89" applyNumberFormat="1" applyBorder="1" applyAlignment="1">
      <alignment horizontal="left" vertical="top"/>
    </xf>
    <xf numFmtId="49" fontId="23" fillId="46" borderId="28" xfId="89" applyNumberFormat="1" applyFont="1" applyFill="1" applyBorder="1" applyAlignment="1">
      <alignment horizontal="left" vertical="top"/>
    </xf>
    <xf numFmtId="49" fontId="23" fillId="40" borderId="10" xfId="89" applyNumberFormat="1" applyFont="1" applyFill="1" applyBorder="1" applyAlignment="1">
      <alignment horizontal="left" vertical="top" wrapText="1"/>
    </xf>
    <xf numFmtId="49" fontId="23" fillId="46" borderId="11" xfId="89" applyNumberFormat="1" applyFont="1" applyFill="1" applyBorder="1" applyAlignment="1">
      <alignment horizontal="left" vertical="top"/>
    </xf>
    <xf numFmtId="49" fontId="23" fillId="40" borderId="11" xfId="89" applyNumberFormat="1" applyFont="1" applyFill="1" applyBorder="1" applyAlignment="1">
      <alignment horizontal="left" vertical="top" wrapText="1"/>
    </xf>
    <xf numFmtId="49" fontId="23" fillId="46" borderId="0" xfId="89" applyNumberFormat="1" applyFont="1" applyFill="1" applyAlignment="1">
      <alignment horizontal="left" vertical="top" wrapText="1"/>
    </xf>
    <xf numFmtId="49" fontId="27" fillId="40" borderId="14" xfId="89" applyNumberFormat="1" applyFont="1" applyFill="1" applyBorder="1" applyAlignment="1">
      <alignment horizontal="left" vertical="top"/>
    </xf>
    <xf numFmtId="0" fontId="2" fillId="0" borderId="29" xfId="89" applyBorder="1" applyAlignment="1">
      <alignment horizontal="center" vertical="center"/>
    </xf>
    <xf numFmtId="0" fontId="2" fillId="0" borderId="11" xfId="89" applyBorder="1" applyAlignment="1">
      <alignment vertical="top" wrapText="1"/>
    </xf>
    <xf numFmtId="0" fontId="25" fillId="0" borderId="18" xfId="89" applyFont="1" applyBorder="1" applyAlignment="1">
      <alignment horizontal="center"/>
    </xf>
    <xf numFmtId="0" fontId="0" fillId="43" borderId="11" xfId="0" applyFill="1" applyBorder="1" applyAlignment="1">
      <alignment horizontal="center" vertical="center"/>
    </xf>
    <xf numFmtId="0" fontId="0" fillId="0" borderId="0" xfId="0" applyAlignment="1">
      <alignment horizontal="center" vertical="top"/>
    </xf>
    <xf numFmtId="0" fontId="37" fillId="35" borderId="11" xfId="0" applyFont="1" applyFill="1" applyBorder="1" applyAlignment="1">
      <alignment horizontal="center"/>
    </xf>
    <xf numFmtId="2" fontId="23" fillId="47" borderId="14" xfId="89" applyNumberFormat="1" applyFont="1" applyFill="1" applyBorder="1" applyAlignment="1">
      <alignment horizontal="center" vertical="top"/>
    </xf>
    <xf numFmtId="49" fontId="23" fillId="17" borderId="14" xfId="89" applyNumberFormat="1" applyFont="1" applyFill="1" applyBorder="1" applyAlignment="1">
      <alignment horizontal="center" vertical="top" wrapText="1"/>
    </xf>
    <xf numFmtId="2" fontId="23" fillId="47" borderId="30" xfId="89" applyNumberFormat="1" applyFont="1" applyFill="1" applyBorder="1" applyAlignment="1">
      <alignment horizontal="center" vertical="top"/>
    </xf>
    <xf numFmtId="0" fontId="42" fillId="43" borderId="11" xfId="0" applyFont="1" applyFill="1" applyBorder="1" applyAlignment="1">
      <alignment horizontal="center"/>
    </xf>
    <xf numFmtId="0" fontId="0" fillId="44" borderId="0" xfId="0" applyFill="1" applyAlignment="1">
      <alignment horizontal="center"/>
    </xf>
    <xf numFmtId="0" fontId="32" fillId="0" borderId="11" xfId="0" applyFont="1" applyBorder="1" applyAlignment="1">
      <alignment horizontal="center"/>
    </xf>
    <xf numFmtId="0" fontId="0" fillId="43" borderId="11" xfId="0" applyFill="1" applyBorder="1" applyAlignment="1">
      <alignment horizontal="center"/>
    </xf>
    <xf numFmtId="0" fontId="51" fillId="0" borderId="0" xfId="0" applyFont="1"/>
    <xf numFmtId="0" fontId="32" fillId="0" borderId="0" xfId="0" applyFont="1" applyAlignment="1">
      <alignment horizontal="center"/>
    </xf>
    <xf numFmtId="0" fontId="0" fillId="0" borderId="25" xfId="0" applyBorder="1" applyAlignment="1">
      <alignment horizontal="center"/>
    </xf>
    <xf numFmtId="0" fontId="52" fillId="0" borderId="0" xfId="0" applyFont="1"/>
    <xf numFmtId="49" fontId="23" fillId="42" borderId="10" xfId="89" applyNumberFormat="1" applyFont="1" applyFill="1" applyBorder="1" applyAlignment="1">
      <alignment horizontal="center" vertical="top"/>
    </xf>
    <xf numFmtId="0" fontId="0" fillId="43" borderId="11" xfId="0" applyFill="1" applyBorder="1" applyAlignment="1">
      <alignment vertical="center"/>
    </xf>
    <xf numFmtId="0" fontId="0" fillId="43" borderId="11" xfId="0" applyFill="1" applyBorder="1" applyAlignment="1">
      <alignment horizontal="left" vertical="center" wrapText="1"/>
    </xf>
    <xf numFmtId="0" fontId="4" fillId="43" borderId="11" xfId="79" applyFill="1" applyBorder="1" applyAlignment="1">
      <alignment horizontal="center" vertical="center" wrapText="1"/>
    </xf>
    <xf numFmtId="49" fontId="23" fillId="18" borderId="13" xfId="89" applyNumberFormat="1" applyFont="1" applyFill="1" applyBorder="1" applyAlignment="1">
      <alignment horizontal="center" vertical="top"/>
    </xf>
    <xf numFmtId="0" fontId="23" fillId="18" borderId="13" xfId="89" applyFont="1" applyFill="1" applyBorder="1" applyAlignment="1">
      <alignment horizontal="center" vertical="top"/>
    </xf>
    <xf numFmtId="0" fontId="23" fillId="18" borderId="23" xfId="89" applyFont="1" applyFill="1" applyBorder="1" applyAlignment="1">
      <alignment vertical="top" wrapText="1"/>
    </xf>
    <xf numFmtId="0" fontId="42" fillId="43" borderId="11" xfId="0" applyFont="1" applyFill="1" applyBorder="1"/>
    <xf numFmtId="0" fontId="0" fillId="43" borderId="11" xfId="0" applyFill="1" applyBorder="1" applyAlignment="1">
      <alignment horizontal="center" vertical="top"/>
    </xf>
    <xf numFmtId="0" fontId="2" fillId="0" borderId="10" xfId="89" applyBorder="1" applyAlignment="1">
      <alignment horizontal="center" vertical="top"/>
    </xf>
    <xf numFmtId="0" fontId="2" fillId="26" borderId="10" xfId="89" applyFill="1" applyBorder="1" applyAlignment="1">
      <alignment horizontal="center" vertical="top"/>
    </xf>
    <xf numFmtId="0" fontId="0" fillId="44" borderId="0" xfId="0" applyFill="1" applyAlignment="1">
      <alignment horizontal="right"/>
    </xf>
    <xf numFmtId="0" fontId="25" fillId="0" borderId="31" xfId="89" applyFont="1" applyBorder="1" applyAlignment="1">
      <alignment horizontal="center" vertical="center"/>
    </xf>
    <xf numFmtId="0" fontId="33" fillId="0" borderId="11" xfId="0" applyFont="1" applyBorder="1" applyAlignment="1">
      <alignment vertical="top" wrapText="1"/>
    </xf>
    <xf numFmtId="0" fontId="33" fillId="0" borderId="11" xfId="0" applyFont="1" applyBorder="1" applyAlignment="1">
      <alignment horizontal="center"/>
    </xf>
    <xf numFmtId="0" fontId="48" fillId="0" borderId="0" xfId="184"/>
    <xf numFmtId="49" fontId="23" fillId="49" borderId="11" xfId="89" applyNumberFormat="1" applyFont="1" applyFill="1" applyBorder="1" applyAlignment="1">
      <alignment horizontal="center" vertical="top"/>
    </xf>
    <xf numFmtId="49" fontId="23" fillId="40" borderId="10" xfId="89" applyNumberFormat="1" applyFont="1" applyFill="1" applyBorder="1" applyAlignment="1">
      <alignment horizontal="center" vertical="top"/>
    </xf>
    <xf numFmtId="0" fontId="41" fillId="0" borderId="0" xfId="0" applyFont="1" applyAlignment="1">
      <alignment horizontal="center"/>
    </xf>
    <xf numFmtId="0" fontId="37" fillId="0" borderId="11" xfId="0" applyFont="1" applyBorder="1" applyAlignment="1">
      <alignment horizontal="left" vertical="top"/>
    </xf>
    <xf numFmtId="0" fontId="37" fillId="0" borderId="11" xfId="0" applyFont="1" applyBorder="1" applyAlignment="1">
      <alignment vertical="top"/>
    </xf>
    <xf numFmtId="0" fontId="37" fillId="0" borderId="18" xfId="0" applyFont="1" applyBorder="1" applyAlignment="1">
      <alignment vertical="top"/>
    </xf>
    <xf numFmtId="0" fontId="23" fillId="0" borderId="11" xfId="0" applyFont="1" applyBorder="1" applyAlignment="1">
      <alignment horizontal="center" vertical="top"/>
    </xf>
    <xf numFmtId="0" fontId="33" fillId="0" borderId="0" xfId="0" applyFont="1" applyAlignment="1">
      <alignment wrapText="1"/>
    </xf>
    <xf numFmtId="49" fontId="27" fillId="47" borderId="14" xfId="89" applyNumberFormat="1" applyFont="1" applyFill="1" applyBorder="1" applyAlignment="1">
      <alignment horizontal="center" vertical="top"/>
    </xf>
    <xf numFmtId="49" fontId="23" fillId="40" borderId="11" xfId="89" applyNumberFormat="1" applyFont="1" applyFill="1" applyBorder="1" applyAlignment="1">
      <alignment horizontal="center" vertical="top" wrapText="1"/>
    </xf>
    <xf numFmtId="0" fontId="23" fillId="48" borderId="18" xfId="89" applyFont="1" applyFill="1" applyBorder="1" applyAlignment="1">
      <alignment vertical="top" wrapText="1"/>
    </xf>
    <xf numFmtId="0" fontId="3" fillId="0" borderId="11" xfId="89" applyFont="1" applyBorder="1" applyAlignment="1">
      <alignment horizontal="center" vertical="center"/>
    </xf>
    <xf numFmtId="0" fontId="3" fillId="0" borderId="11" xfId="89" applyFont="1" applyBorder="1" applyAlignment="1">
      <alignment horizontal="left" vertical="center"/>
    </xf>
    <xf numFmtId="0" fontId="3" fillId="0" borderId="11" xfId="89" applyFont="1" applyBorder="1" applyAlignment="1">
      <alignment vertical="center" wrapText="1"/>
    </xf>
    <xf numFmtId="0" fontId="2" fillId="0" borderId="20" xfId="89" applyBorder="1" applyAlignment="1">
      <alignment horizontal="center" vertical="center"/>
    </xf>
    <xf numFmtId="0" fontId="2" fillId="0" borderId="28" xfId="89" applyBorder="1" applyAlignment="1">
      <alignment horizontal="center" vertical="center"/>
    </xf>
    <xf numFmtId="2" fontId="23" fillId="42" borderId="14" xfId="89" applyNumberFormat="1" applyFont="1" applyFill="1" applyBorder="1" applyAlignment="1">
      <alignment horizontal="center" vertical="top"/>
    </xf>
    <xf numFmtId="49" fontId="2" fillId="43" borderId="11" xfId="89" applyNumberFormat="1" applyFill="1" applyBorder="1" applyAlignment="1">
      <alignment horizontal="left" vertical="top"/>
    </xf>
    <xf numFmtId="49" fontId="23" fillId="81" borderId="14" xfId="89" applyNumberFormat="1" applyFont="1" applyFill="1" applyBorder="1" applyAlignment="1">
      <alignment horizontal="center" vertical="top"/>
    </xf>
    <xf numFmtId="0" fontId="2" fillId="0" borderId="0" xfId="89" applyAlignment="1">
      <alignment horizontal="center" vertical="center"/>
    </xf>
    <xf numFmtId="0" fontId="2" fillId="0" borderId="41" xfId="89" applyBorder="1" applyAlignment="1">
      <alignment horizontal="center" vertical="center"/>
    </xf>
    <xf numFmtId="0" fontId="2" fillId="0" borderId="18" xfId="89" applyBorder="1" applyAlignment="1">
      <alignment horizontal="center"/>
    </xf>
    <xf numFmtId="0" fontId="2" fillId="0" borderId="17" xfId="89" applyBorder="1" applyAlignment="1">
      <alignment horizontal="center"/>
    </xf>
    <xf numFmtId="0" fontId="2" fillId="0" borderId="13" xfId="89" applyBorder="1" applyAlignment="1">
      <alignment horizontal="center" vertical="center"/>
    </xf>
    <xf numFmtId="0" fontId="2" fillId="0" borderId="11" xfId="89" applyBorder="1" applyAlignment="1">
      <alignment horizontal="center" vertical="center"/>
    </xf>
    <xf numFmtId="0" fontId="51" fillId="43" borderId="0" xfId="0" applyFont="1" applyFill="1"/>
    <xf numFmtId="49" fontId="23" fillId="40" borderId="13" xfId="89" applyNumberFormat="1" applyFont="1" applyFill="1" applyBorder="1" applyAlignment="1">
      <alignment horizontal="center" vertical="top"/>
    </xf>
    <xf numFmtId="49" fontId="23" fillId="40" borderId="22" xfId="89" applyNumberFormat="1" applyFont="1" applyFill="1" applyBorder="1" applyAlignment="1">
      <alignment horizontal="center" vertical="top"/>
    </xf>
    <xf numFmtId="49" fontId="23" fillId="42" borderId="11" xfId="89" applyNumberFormat="1" applyFont="1" applyFill="1" applyBorder="1" applyAlignment="1">
      <alignment horizontal="center" vertical="top"/>
    </xf>
    <xf numFmtId="49" fontId="23" fillId="42" borderId="20" xfId="89" applyNumberFormat="1" applyFont="1" applyFill="1" applyBorder="1" applyAlignment="1">
      <alignment horizontal="center" vertical="top"/>
    </xf>
    <xf numFmtId="0" fontId="33" fillId="0" borderId="0" xfId="0" applyFont="1" applyAlignment="1">
      <alignment vertical="top"/>
    </xf>
    <xf numFmtId="0" fontId="2" fillId="43" borderId="12" xfId="89" applyFill="1" applyBorder="1" applyAlignment="1">
      <alignment horizontal="center" vertical="center"/>
    </xf>
    <xf numFmtId="0" fontId="2" fillId="43" borderId="14" xfId="89" applyFill="1" applyBorder="1" applyAlignment="1">
      <alignment horizontal="center" vertical="center"/>
    </xf>
    <xf numFmtId="0" fontId="2" fillId="43" borderId="10" xfId="89" applyFill="1" applyBorder="1" applyAlignment="1">
      <alignment horizontal="center" vertical="center"/>
    </xf>
    <xf numFmtId="0" fontId="4" fillId="0" borderId="11" xfId="79" applyBorder="1"/>
    <xf numFmtId="2" fontId="0" fillId="0" borderId="0" xfId="0" applyNumberFormat="1"/>
    <xf numFmtId="0" fontId="0" fillId="0" borderId="0" xfId="0" applyFill="1"/>
    <xf numFmtId="49" fontId="23" fillId="82" borderId="14" xfId="89" applyNumberFormat="1" applyFont="1" applyFill="1" applyBorder="1" applyAlignment="1">
      <alignment horizontal="center" vertical="top"/>
    </xf>
    <xf numFmtId="0" fontId="2" fillId="43" borderId="11" xfId="89" applyFill="1" applyBorder="1" applyAlignment="1">
      <alignment wrapText="1"/>
    </xf>
    <xf numFmtId="49" fontId="3" fillId="43" borderId="0" xfId="89" applyNumberFormat="1" applyFont="1" applyFill="1" applyAlignment="1">
      <alignment horizontal="left" vertical="top"/>
    </xf>
    <xf numFmtId="0" fontId="2" fillId="43" borderId="0" xfId="89" applyFill="1" applyAlignment="1">
      <alignment vertical="top"/>
    </xf>
    <xf numFmtId="0" fontId="4" fillId="43" borderId="0" xfId="79" applyFill="1" applyAlignment="1">
      <alignment horizontal="left"/>
    </xf>
    <xf numFmtId="0" fontId="2" fillId="43" borderId="0" xfId="89" applyFill="1" applyAlignment="1">
      <alignment horizontal="center" vertical="top"/>
    </xf>
    <xf numFmtId="0" fontId="2" fillId="43" borderId="0" xfId="89" applyFill="1" applyAlignment="1">
      <alignment vertical="top" wrapText="1"/>
    </xf>
    <xf numFmtId="0" fontId="0" fillId="43" borderId="0" xfId="0" applyFill="1" applyAlignment="1">
      <alignment horizontal="left"/>
    </xf>
    <xf numFmtId="0" fontId="2" fillId="43" borderId="0" xfId="89" applyFill="1" applyAlignment="1">
      <alignment horizontal="left" vertical="top"/>
    </xf>
    <xf numFmtId="0" fontId="2" fillId="43" borderId="0" xfId="89" applyFill="1" applyAlignment="1">
      <alignment horizontal="left" vertical="top" wrapText="1"/>
    </xf>
    <xf numFmtId="49" fontId="3" fillId="43" borderId="14" xfId="89" applyNumberFormat="1" applyFont="1" applyFill="1" applyBorder="1" applyAlignment="1">
      <alignment horizontal="center" vertical="top"/>
    </xf>
    <xf numFmtId="0" fontId="3" fillId="43" borderId="14" xfId="89" applyFont="1" applyFill="1" applyBorder="1" applyAlignment="1">
      <alignment vertical="top"/>
    </xf>
    <xf numFmtId="0" fontId="3" fillId="43" borderId="14" xfId="89" applyFont="1" applyFill="1" applyBorder="1" applyAlignment="1">
      <alignment horizontal="center" vertical="top"/>
    </xf>
    <xf numFmtId="0" fontId="3" fillId="43" borderId="14" xfId="89" applyFont="1" applyFill="1" applyBorder="1" applyAlignment="1">
      <alignment vertical="top" wrapText="1"/>
    </xf>
    <xf numFmtId="49" fontId="2" fillId="43" borderId="14" xfId="89" applyNumberFormat="1" applyFill="1" applyBorder="1" applyAlignment="1">
      <alignment horizontal="center" vertical="top"/>
    </xf>
    <xf numFmtId="49" fontId="2" fillId="43" borderId="14" xfId="89" applyNumberFormat="1" applyFill="1" applyBorder="1" applyAlignment="1">
      <alignment horizontal="left" vertical="top"/>
    </xf>
    <xf numFmtId="0" fontId="2" fillId="43" borderId="14" xfId="89" applyFill="1" applyBorder="1" applyAlignment="1">
      <alignment horizontal="center" vertical="top"/>
    </xf>
    <xf numFmtId="0" fontId="2" fillId="43" borderId="14" xfId="89" applyFill="1" applyBorder="1" applyAlignment="1">
      <alignment vertical="top" wrapText="1"/>
    </xf>
    <xf numFmtId="0" fontId="0" fillId="0" borderId="11" xfId="0" applyFill="1" applyBorder="1"/>
    <xf numFmtId="49" fontId="2" fillId="0" borderId="11" xfId="89" applyNumberFormat="1" applyFill="1" applyBorder="1" applyAlignment="1">
      <alignment horizontal="center" vertical="top"/>
    </xf>
    <xf numFmtId="49" fontId="2" fillId="0" borderId="11" xfId="89" applyNumberFormat="1" applyFill="1" applyBorder="1" applyAlignment="1">
      <alignment horizontal="left" vertical="top"/>
    </xf>
    <xf numFmtId="0" fontId="2" fillId="0" borderId="11" xfId="89" applyFill="1" applyBorder="1" applyAlignment="1">
      <alignment horizontal="center" vertical="top"/>
    </xf>
    <xf numFmtId="0" fontId="2" fillId="0" borderId="11" xfId="89" applyFill="1" applyBorder="1" applyAlignment="1">
      <alignment vertical="top" wrapText="1"/>
    </xf>
    <xf numFmtId="0" fontId="2" fillId="43" borderId="0" xfId="89" applyFill="1" applyAlignment="1">
      <alignment horizontal="left"/>
    </xf>
    <xf numFmtId="0" fontId="2" fillId="0" borderId="11" xfId="89" applyFill="1" applyBorder="1" applyAlignment="1">
      <alignment horizontal="center"/>
    </xf>
    <xf numFmtId="0" fontId="4" fillId="0" borderId="11" xfId="79" applyFill="1" applyBorder="1"/>
    <xf numFmtId="0" fontId="0" fillId="0" borderId="11" xfId="0" applyFill="1" applyBorder="1" applyAlignment="1">
      <alignment horizontal="left"/>
    </xf>
    <xf numFmtId="0" fontId="2" fillId="0" borderId="12" xfId="89" applyFill="1" applyBorder="1" applyAlignment="1">
      <alignment horizontal="center" vertical="center"/>
    </xf>
    <xf numFmtId="0" fontId="2" fillId="0" borderId="14" xfId="89" applyFill="1" applyBorder="1" applyAlignment="1">
      <alignment horizontal="center" vertical="center"/>
    </xf>
    <xf numFmtId="0" fontId="2" fillId="0" borderId="10" xfId="89" applyFill="1" applyBorder="1" applyAlignment="1">
      <alignment horizontal="center" vertical="center"/>
    </xf>
    <xf numFmtId="0" fontId="2" fillId="0" borderId="11" xfId="89" applyFill="1" applyBorder="1" applyAlignment="1">
      <alignment vertical="center" wrapText="1"/>
    </xf>
    <xf numFmtId="0" fontId="44" fillId="43" borderId="0" xfId="0" applyFont="1" applyFill="1"/>
    <xf numFmtId="0" fontId="23" fillId="36" borderId="11" xfId="89" applyNumberFormat="1" applyFont="1" applyFill="1" applyBorder="1" applyAlignment="1">
      <alignment horizontal="center" vertical="top"/>
    </xf>
    <xf numFmtId="0" fontId="49" fillId="0" borderId="0" xfId="0" applyFont="1" applyBorder="1" applyAlignment="1">
      <alignment vertical="center"/>
    </xf>
    <xf numFmtId="0" fontId="0" fillId="0" borderId="0" xfId="0" applyBorder="1"/>
    <xf numFmtId="0" fontId="2" fillId="0" borderId="11" xfId="89" applyFont="1" applyBorder="1" applyAlignment="1">
      <alignment vertical="top" wrapText="1"/>
    </xf>
    <xf numFmtId="49" fontId="23" fillId="83" borderId="14" xfId="89" applyNumberFormat="1" applyFont="1" applyFill="1" applyBorder="1" applyAlignment="1">
      <alignment horizontal="center" vertical="top"/>
    </xf>
    <xf numFmtId="0" fontId="2" fillId="84" borderId="11" xfId="89" applyFill="1" applyBorder="1" applyAlignment="1">
      <alignment horizontal="center"/>
    </xf>
    <xf numFmtId="0" fontId="2" fillId="84" borderId="12" xfId="89" applyFill="1" applyBorder="1" applyAlignment="1">
      <alignment horizontal="center" vertical="center"/>
    </xf>
    <xf numFmtId="0" fontId="2" fillId="84" borderId="14" xfId="89" applyFill="1" applyBorder="1" applyAlignment="1">
      <alignment horizontal="center" vertical="center"/>
    </xf>
    <xf numFmtId="0" fontId="2" fillId="84" borderId="10" xfId="89" applyFill="1" applyBorder="1" applyAlignment="1">
      <alignment horizontal="center" vertical="center"/>
    </xf>
    <xf numFmtId="0" fontId="4" fillId="84" borderId="11" xfId="79" applyFill="1" applyBorder="1"/>
    <xf numFmtId="0" fontId="2" fillId="84" borderId="11" xfId="89" applyFont="1" applyFill="1" applyBorder="1" applyAlignment="1">
      <alignment vertical="center" wrapText="1"/>
    </xf>
    <xf numFmtId="0" fontId="2" fillId="0" borderId="11" xfId="89" applyFill="1" applyBorder="1"/>
    <xf numFmtId="0" fontId="2" fillId="0" borderId="0" xfId="89" applyFill="1"/>
    <xf numFmtId="49" fontId="3" fillId="84" borderId="0" xfId="89" applyNumberFormat="1" applyFont="1" applyFill="1" applyAlignment="1">
      <alignment horizontal="left" vertical="top"/>
    </xf>
    <xf numFmtId="0" fontId="33" fillId="84" borderId="0" xfId="0" applyFont="1" applyFill="1"/>
    <xf numFmtId="0" fontId="4" fillId="84" borderId="0" xfId="79" applyFont="1" applyFill="1" applyAlignment="1">
      <alignment horizontal="left"/>
    </xf>
    <xf numFmtId="0" fontId="33" fillId="0" borderId="0" xfId="0" applyFont="1" applyFill="1"/>
    <xf numFmtId="0" fontId="72" fillId="0" borderId="0" xfId="0" applyFont="1" applyFill="1"/>
    <xf numFmtId="0" fontId="72" fillId="84" borderId="0" xfId="0" applyFont="1" applyFill="1" applyAlignment="1">
      <alignment horizontal="left"/>
    </xf>
    <xf numFmtId="0" fontId="2" fillId="84" borderId="0" xfId="89" applyFill="1" applyAlignment="1">
      <alignment vertical="top"/>
    </xf>
    <xf numFmtId="0" fontId="2" fillId="84" borderId="0" xfId="89" applyFill="1" applyAlignment="1">
      <alignment horizontal="left"/>
    </xf>
    <xf numFmtId="49" fontId="3" fillId="84" borderId="11" xfId="89" applyNumberFormat="1" applyFont="1" applyFill="1" applyBorder="1" applyAlignment="1">
      <alignment horizontal="center" vertical="top"/>
    </xf>
    <xf numFmtId="0" fontId="3" fillId="84" borderId="11" xfId="89" applyFont="1" applyFill="1" applyBorder="1" applyAlignment="1">
      <alignment vertical="top"/>
    </xf>
    <xf numFmtId="0" fontId="3" fillId="84" borderId="11" xfId="89" applyFont="1" applyFill="1" applyBorder="1" applyAlignment="1">
      <alignment horizontal="center" vertical="top"/>
    </xf>
    <xf numFmtId="0" fontId="3" fillId="84" borderId="11" xfId="89" applyFont="1" applyFill="1" applyBorder="1" applyAlignment="1">
      <alignment vertical="top" wrapText="1"/>
    </xf>
    <xf numFmtId="49" fontId="2" fillId="84" borderId="11" xfId="89" applyNumberFormat="1" applyFont="1" applyFill="1" applyBorder="1" applyAlignment="1">
      <alignment horizontal="center" vertical="top"/>
    </xf>
    <xf numFmtId="0" fontId="2" fillId="84" borderId="14" xfId="89" applyFont="1" applyFill="1" applyBorder="1" applyAlignment="1">
      <alignment horizontal="left" vertical="top"/>
    </xf>
    <xf numFmtId="0" fontId="2" fillId="84" borderId="14" xfId="89" applyFont="1" applyFill="1" applyBorder="1" applyAlignment="1">
      <alignment horizontal="center" vertical="top"/>
    </xf>
    <xf numFmtId="0" fontId="2" fillId="84" borderId="10" xfId="89" applyFont="1" applyFill="1" applyBorder="1" applyAlignment="1">
      <alignment horizontal="center" vertical="top"/>
    </xf>
    <xf numFmtId="0" fontId="72" fillId="84" borderId="11" xfId="0" applyFont="1" applyFill="1" applyBorder="1" applyAlignment="1">
      <alignment horizontal="left"/>
    </xf>
    <xf numFmtId="0" fontId="0" fillId="43" borderId="0" xfId="0" applyFill="1" applyBorder="1" applyAlignment="1">
      <alignment wrapText="1"/>
    </xf>
    <xf numFmtId="0" fontId="0" fillId="0" borderId="0" xfId="0" applyFill="1" applyBorder="1"/>
    <xf numFmtId="0" fontId="25" fillId="0" borderId="11" xfId="89" applyFont="1" applyBorder="1" applyAlignment="1">
      <alignment horizontal="center"/>
    </xf>
    <xf numFmtId="0" fontId="2" fillId="26" borderId="26" xfId="89" applyFill="1" applyBorder="1" applyAlignment="1">
      <alignment horizontal="left" vertical="top" wrapText="1"/>
    </xf>
    <xf numFmtId="0" fontId="2" fillId="43" borderId="26" xfId="89" applyFill="1" applyBorder="1" applyAlignment="1">
      <alignment horizontal="left" vertical="top" wrapText="1"/>
    </xf>
    <xf numFmtId="0" fontId="47" fillId="23" borderId="11" xfId="89" applyFont="1" applyFill="1" applyBorder="1" applyAlignment="1">
      <alignment horizontal="left" vertical="top"/>
    </xf>
    <xf numFmtId="0" fontId="40" fillId="23" borderId="18" xfId="89" applyFont="1" applyFill="1" applyBorder="1" applyAlignment="1">
      <alignment horizontal="center" vertical="top"/>
    </xf>
    <xf numFmtId="0" fontId="40" fillId="23" borderId="27" xfId="89" applyFont="1" applyFill="1" applyBorder="1" applyAlignment="1">
      <alignment horizontal="center" vertical="top"/>
    </xf>
    <xf numFmtId="0" fontId="40" fillId="23" borderId="17" xfId="89" applyFont="1" applyFill="1" applyBorder="1" applyAlignment="1">
      <alignment horizontal="center" vertical="top"/>
    </xf>
    <xf numFmtId="0" fontId="40" fillId="23" borderId="11" xfId="89" applyFont="1" applyFill="1" applyBorder="1" applyAlignment="1">
      <alignment horizontal="center" vertical="top"/>
    </xf>
    <xf numFmtId="0" fontId="0" fillId="0" borderId="42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9" xfId="0" applyBorder="1" applyAlignment="1">
      <alignment vertical="center"/>
    </xf>
    <xf numFmtId="49" fontId="23" fillId="0" borderId="13" xfId="89" applyNumberFormat="1" applyFont="1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27" borderId="18" xfId="0" applyFill="1" applyBorder="1" applyAlignment="1">
      <alignment horizontal="center"/>
    </xf>
    <xf numFmtId="0" fontId="0" fillId="27" borderId="27" xfId="0" applyFill="1" applyBorder="1" applyAlignment="1">
      <alignment horizontal="center"/>
    </xf>
    <xf numFmtId="0" fontId="0" fillId="27" borderId="17" xfId="0" applyFill="1" applyBorder="1" applyAlignment="1">
      <alignment horizontal="center"/>
    </xf>
    <xf numFmtId="0" fontId="0" fillId="0" borderId="18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43" borderId="18" xfId="0" applyFill="1" applyBorder="1" applyAlignment="1">
      <alignment horizontal="left"/>
    </xf>
    <xf numFmtId="0" fontId="0" fillId="43" borderId="27" xfId="0" applyFill="1" applyBorder="1" applyAlignment="1">
      <alignment horizontal="left"/>
    </xf>
    <xf numFmtId="0" fontId="0" fillId="43" borderId="17" xfId="0" applyFill="1" applyBorder="1" applyAlignment="1">
      <alignment horizontal="left"/>
    </xf>
    <xf numFmtId="0" fontId="25" fillId="0" borderId="11" xfId="89" applyFont="1" applyBorder="1" applyAlignment="1">
      <alignment horizontal="center"/>
    </xf>
    <xf numFmtId="0" fontId="0" fillId="0" borderId="27" xfId="0" applyBorder="1"/>
    <xf numFmtId="0" fontId="0" fillId="0" borderId="17" xfId="0" applyBorder="1"/>
    <xf numFmtId="0" fontId="25" fillId="0" borderId="18" xfId="89" applyFont="1" applyBorder="1" applyAlignment="1">
      <alignment horizontal="center"/>
    </xf>
    <xf numFmtId="0" fontId="25" fillId="0" borderId="27" xfId="89" applyFont="1" applyBorder="1" applyAlignment="1">
      <alignment horizontal="center"/>
    </xf>
    <xf numFmtId="0" fontId="25" fillId="0" borderId="17" xfId="89" applyFont="1" applyBorder="1" applyAlignment="1">
      <alignment horizontal="center"/>
    </xf>
  </cellXfs>
  <cellStyles count="228">
    <cellStyle name="20% - Accent1 2" xfId="1" xr:uid="{00000000-0005-0000-0000-000000000000}"/>
    <cellStyle name="20% - Accent1 2 2" xfId="2" xr:uid="{00000000-0005-0000-0000-000001000000}"/>
    <cellStyle name="20% - Accent1 3" xfId="3" xr:uid="{00000000-0005-0000-0000-000002000000}"/>
    <cellStyle name="20% - Accent1 4" xfId="204" xr:uid="{00000000-0005-0000-0000-000003000000}"/>
    <cellStyle name="20% - Accent2 2" xfId="4" xr:uid="{00000000-0005-0000-0000-000004000000}"/>
    <cellStyle name="20% - Accent2 2 2" xfId="5" xr:uid="{00000000-0005-0000-0000-000005000000}"/>
    <cellStyle name="20% - Accent2 3" xfId="6" xr:uid="{00000000-0005-0000-0000-000006000000}"/>
    <cellStyle name="20% - Accent2 4" xfId="208" xr:uid="{00000000-0005-0000-0000-000007000000}"/>
    <cellStyle name="20% - Accent3 2" xfId="7" xr:uid="{00000000-0005-0000-0000-000008000000}"/>
    <cellStyle name="20% - Accent3 2 2" xfId="8" xr:uid="{00000000-0005-0000-0000-000009000000}"/>
    <cellStyle name="20% - Accent3 3" xfId="9" xr:uid="{00000000-0005-0000-0000-00000A000000}"/>
    <cellStyle name="20% - Accent3 4" xfId="212" xr:uid="{00000000-0005-0000-0000-00000B000000}"/>
    <cellStyle name="20% - Accent4 2" xfId="10" xr:uid="{00000000-0005-0000-0000-00000C000000}"/>
    <cellStyle name="20% - Accent4 2 2" xfId="11" xr:uid="{00000000-0005-0000-0000-00000D000000}"/>
    <cellStyle name="20% - Accent4 3" xfId="12" xr:uid="{00000000-0005-0000-0000-00000E000000}"/>
    <cellStyle name="20% - Accent4 4" xfId="216" xr:uid="{00000000-0005-0000-0000-00000F000000}"/>
    <cellStyle name="20% - Accent5 2" xfId="13" xr:uid="{00000000-0005-0000-0000-000010000000}"/>
    <cellStyle name="20% - Accent5 2 2" xfId="14" xr:uid="{00000000-0005-0000-0000-000011000000}"/>
    <cellStyle name="20% - Accent5 3" xfId="15" xr:uid="{00000000-0005-0000-0000-000012000000}"/>
    <cellStyle name="20% - Accent5 4" xfId="220" xr:uid="{00000000-0005-0000-0000-000013000000}"/>
    <cellStyle name="20% - Accent6 2" xfId="16" xr:uid="{00000000-0005-0000-0000-000014000000}"/>
    <cellStyle name="20% - Accent6 2 2" xfId="17" xr:uid="{00000000-0005-0000-0000-000015000000}"/>
    <cellStyle name="20% - Accent6 3" xfId="18" xr:uid="{00000000-0005-0000-0000-000016000000}"/>
    <cellStyle name="20% - Accent6 4" xfId="224" xr:uid="{00000000-0005-0000-0000-000017000000}"/>
    <cellStyle name="40% - Accent1 2" xfId="19" xr:uid="{00000000-0005-0000-0000-000018000000}"/>
    <cellStyle name="40% - Accent1 2 2" xfId="20" xr:uid="{00000000-0005-0000-0000-000019000000}"/>
    <cellStyle name="40% - Accent1 3" xfId="21" xr:uid="{00000000-0005-0000-0000-00001A000000}"/>
    <cellStyle name="40% - Accent1 4" xfId="205" xr:uid="{00000000-0005-0000-0000-00001B000000}"/>
    <cellStyle name="40% - Accent2 2" xfId="22" xr:uid="{00000000-0005-0000-0000-00001C000000}"/>
    <cellStyle name="40% - Accent2 2 2" xfId="23" xr:uid="{00000000-0005-0000-0000-00001D000000}"/>
    <cellStyle name="40% - Accent2 3" xfId="24" xr:uid="{00000000-0005-0000-0000-00001E000000}"/>
    <cellStyle name="40% - Accent2 4" xfId="209" xr:uid="{00000000-0005-0000-0000-00001F000000}"/>
    <cellStyle name="40% - Accent3 2" xfId="25" xr:uid="{00000000-0005-0000-0000-000020000000}"/>
    <cellStyle name="40% - Accent3 2 2" xfId="26" xr:uid="{00000000-0005-0000-0000-000021000000}"/>
    <cellStyle name="40% - Accent3 3" xfId="27" xr:uid="{00000000-0005-0000-0000-000022000000}"/>
    <cellStyle name="40% - Accent3 4" xfId="213" xr:uid="{00000000-0005-0000-0000-000023000000}"/>
    <cellStyle name="40% - Accent4 2" xfId="28" xr:uid="{00000000-0005-0000-0000-000024000000}"/>
    <cellStyle name="40% - Accent4 2 2" xfId="29" xr:uid="{00000000-0005-0000-0000-000025000000}"/>
    <cellStyle name="40% - Accent4 3" xfId="30" xr:uid="{00000000-0005-0000-0000-000026000000}"/>
    <cellStyle name="40% - Accent4 4" xfId="217" xr:uid="{00000000-0005-0000-0000-000027000000}"/>
    <cellStyle name="40% - Accent5 2" xfId="31" xr:uid="{00000000-0005-0000-0000-000028000000}"/>
    <cellStyle name="40% - Accent5 2 2" xfId="32" xr:uid="{00000000-0005-0000-0000-000029000000}"/>
    <cellStyle name="40% - Accent5 3" xfId="33" xr:uid="{00000000-0005-0000-0000-00002A000000}"/>
    <cellStyle name="40% - Accent5 4" xfId="221" xr:uid="{00000000-0005-0000-0000-00002B000000}"/>
    <cellStyle name="40% - Accent6 2" xfId="34" xr:uid="{00000000-0005-0000-0000-00002C000000}"/>
    <cellStyle name="40% - Accent6 2 2" xfId="35" xr:uid="{00000000-0005-0000-0000-00002D000000}"/>
    <cellStyle name="40% - Accent6 3" xfId="36" xr:uid="{00000000-0005-0000-0000-00002E000000}"/>
    <cellStyle name="40% - Accent6 4" xfId="225" xr:uid="{00000000-0005-0000-0000-00002F000000}"/>
    <cellStyle name="60% - Accent1 2" xfId="37" xr:uid="{00000000-0005-0000-0000-000030000000}"/>
    <cellStyle name="60% - Accent1 3" xfId="38" xr:uid="{00000000-0005-0000-0000-000031000000}"/>
    <cellStyle name="60% - Accent1 4" xfId="206" xr:uid="{00000000-0005-0000-0000-000032000000}"/>
    <cellStyle name="60% - Accent2 2" xfId="39" xr:uid="{00000000-0005-0000-0000-000033000000}"/>
    <cellStyle name="60% - Accent2 3" xfId="40" xr:uid="{00000000-0005-0000-0000-000034000000}"/>
    <cellStyle name="60% - Accent2 4" xfId="210" xr:uid="{00000000-0005-0000-0000-000035000000}"/>
    <cellStyle name="60% - Accent3 2" xfId="41" xr:uid="{00000000-0005-0000-0000-000036000000}"/>
    <cellStyle name="60% - Accent3 3" xfId="42" xr:uid="{00000000-0005-0000-0000-000037000000}"/>
    <cellStyle name="60% - Accent3 4" xfId="214" xr:uid="{00000000-0005-0000-0000-000038000000}"/>
    <cellStyle name="60% - Accent4 2" xfId="43" xr:uid="{00000000-0005-0000-0000-000039000000}"/>
    <cellStyle name="60% - Accent4 3" xfId="44" xr:uid="{00000000-0005-0000-0000-00003A000000}"/>
    <cellStyle name="60% - Accent4 4" xfId="218" xr:uid="{00000000-0005-0000-0000-00003B000000}"/>
    <cellStyle name="60% - Accent5 2" xfId="45" xr:uid="{00000000-0005-0000-0000-00003C000000}"/>
    <cellStyle name="60% - Accent5 3" xfId="46" xr:uid="{00000000-0005-0000-0000-00003D000000}"/>
    <cellStyle name="60% - Accent5 4" xfId="222" xr:uid="{00000000-0005-0000-0000-00003E000000}"/>
    <cellStyle name="60% - Accent6 2" xfId="47" xr:uid="{00000000-0005-0000-0000-00003F000000}"/>
    <cellStyle name="60% - Accent6 3" xfId="48" xr:uid="{00000000-0005-0000-0000-000040000000}"/>
    <cellStyle name="60% - Accent6 4" xfId="226" xr:uid="{00000000-0005-0000-0000-000041000000}"/>
    <cellStyle name="Accent1 2" xfId="49" xr:uid="{00000000-0005-0000-0000-000042000000}"/>
    <cellStyle name="Accent1 3" xfId="50" xr:uid="{00000000-0005-0000-0000-000043000000}"/>
    <cellStyle name="Accent1 4" xfId="203" xr:uid="{00000000-0005-0000-0000-000044000000}"/>
    <cellStyle name="Accent2 2" xfId="51" xr:uid="{00000000-0005-0000-0000-000045000000}"/>
    <cellStyle name="Accent2 3" xfId="52" xr:uid="{00000000-0005-0000-0000-000046000000}"/>
    <cellStyle name="Accent2 4" xfId="207" xr:uid="{00000000-0005-0000-0000-000047000000}"/>
    <cellStyle name="Accent3 2" xfId="53" xr:uid="{00000000-0005-0000-0000-000048000000}"/>
    <cellStyle name="Accent3 3" xfId="54" xr:uid="{00000000-0005-0000-0000-000049000000}"/>
    <cellStyle name="Accent3 4" xfId="211" xr:uid="{00000000-0005-0000-0000-00004A000000}"/>
    <cellStyle name="Accent4 2" xfId="55" xr:uid="{00000000-0005-0000-0000-00004B000000}"/>
    <cellStyle name="Accent4 3" xfId="56" xr:uid="{00000000-0005-0000-0000-00004C000000}"/>
    <cellStyle name="Accent4 4" xfId="215" xr:uid="{00000000-0005-0000-0000-00004D000000}"/>
    <cellStyle name="Accent5 2" xfId="57" xr:uid="{00000000-0005-0000-0000-00004E000000}"/>
    <cellStyle name="Accent5 3" xfId="58" xr:uid="{00000000-0005-0000-0000-00004F000000}"/>
    <cellStyle name="Accent5 4" xfId="219" xr:uid="{00000000-0005-0000-0000-000050000000}"/>
    <cellStyle name="Accent6 2" xfId="59" xr:uid="{00000000-0005-0000-0000-000051000000}"/>
    <cellStyle name="Accent6 3" xfId="60" xr:uid="{00000000-0005-0000-0000-000052000000}"/>
    <cellStyle name="Accent6 4" xfId="223" xr:uid="{00000000-0005-0000-0000-000053000000}"/>
    <cellStyle name="Bad 2" xfId="61" xr:uid="{00000000-0005-0000-0000-000054000000}"/>
    <cellStyle name="Bad 3" xfId="62" xr:uid="{00000000-0005-0000-0000-000055000000}"/>
    <cellStyle name="Bad 4" xfId="192" xr:uid="{00000000-0005-0000-0000-000056000000}"/>
    <cellStyle name="Calculation 2" xfId="63" xr:uid="{00000000-0005-0000-0000-000057000000}"/>
    <cellStyle name="Calculation 3" xfId="64" xr:uid="{00000000-0005-0000-0000-000058000000}"/>
    <cellStyle name="Calculation 4" xfId="196" xr:uid="{00000000-0005-0000-0000-000059000000}"/>
    <cellStyle name="Check Cell 2" xfId="65" xr:uid="{00000000-0005-0000-0000-00005A000000}"/>
    <cellStyle name="Check Cell 3" xfId="66" xr:uid="{00000000-0005-0000-0000-00005B000000}"/>
    <cellStyle name="Check Cell 4" xfId="198" xr:uid="{00000000-0005-0000-0000-00005C000000}"/>
    <cellStyle name="Explanatory Text 2" xfId="67" xr:uid="{00000000-0005-0000-0000-00005D000000}"/>
    <cellStyle name="Explanatory Text 3" xfId="68" xr:uid="{00000000-0005-0000-0000-00005E000000}"/>
    <cellStyle name="Explanatory Text 4" xfId="201" xr:uid="{00000000-0005-0000-0000-00005F000000}"/>
    <cellStyle name="Good 2" xfId="69" xr:uid="{00000000-0005-0000-0000-000060000000}"/>
    <cellStyle name="Good 3" xfId="70" xr:uid="{00000000-0005-0000-0000-000061000000}"/>
    <cellStyle name="Good 4" xfId="191" xr:uid="{00000000-0005-0000-0000-000062000000}"/>
    <cellStyle name="Heading 1 2" xfId="71" xr:uid="{00000000-0005-0000-0000-000063000000}"/>
    <cellStyle name="Heading 1 3" xfId="72" xr:uid="{00000000-0005-0000-0000-000064000000}"/>
    <cellStyle name="Heading 1 4" xfId="187" xr:uid="{00000000-0005-0000-0000-000065000000}"/>
    <cellStyle name="Heading 2 2" xfId="73" xr:uid="{00000000-0005-0000-0000-000066000000}"/>
    <cellStyle name="Heading 2 3" xfId="74" xr:uid="{00000000-0005-0000-0000-000067000000}"/>
    <cellStyle name="Heading 2 4" xfId="188" xr:uid="{00000000-0005-0000-0000-000068000000}"/>
    <cellStyle name="Heading 3 2" xfId="75" xr:uid="{00000000-0005-0000-0000-000069000000}"/>
    <cellStyle name="Heading 3 3" xfId="76" xr:uid="{00000000-0005-0000-0000-00006A000000}"/>
    <cellStyle name="Heading 3 4" xfId="189" xr:uid="{00000000-0005-0000-0000-00006B000000}"/>
    <cellStyle name="Heading 4 2" xfId="77" xr:uid="{00000000-0005-0000-0000-00006C000000}"/>
    <cellStyle name="Heading 4 3" xfId="78" xr:uid="{00000000-0005-0000-0000-00006D000000}"/>
    <cellStyle name="Heading 4 4" xfId="190" xr:uid="{00000000-0005-0000-0000-00006E000000}"/>
    <cellStyle name="Hyperlink" xfId="79" builtinId="8"/>
    <cellStyle name="Hyperlink 2" xfId="80" xr:uid="{00000000-0005-0000-0000-000070000000}"/>
    <cellStyle name="Input 2" xfId="81" xr:uid="{00000000-0005-0000-0000-000071000000}"/>
    <cellStyle name="Input 3" xfId="82" xr:uid="{00000000-0005-0000-0000-000072000000}"/>
    <cellStyle name="Input 4" xfId="194" xr:uid="{00000000-0005-0000-0000-000073000000}"/>
    <cellStyle name="Linked Cell 2" xfId="83" xr:uid="{00000000-0005-0000-0000-000074000000}"/>
    <cellStyle name="Linked Cell 3" xfId="84" xr:uid="{00000000-0005-0000-0000-000075000000}"/>
    <cellStyle name="Linked Cell 4" xfId="197" xr:uid="{00000000-0005-0000-0000-000076000000}"/>
    <cellStyle name="Neutral 2" xfId="85" xr:uid="{00000000-0005-0000-0000-000077000000}"/>
    <cellStyle name="Neutral 3" xfId="86" xr:uid="{00000000-0005-0000-0000-000078000000}"/>
    <cellStyle name="Neutral 4" xfId="193" xr:uid="{00000000-0005-0000-0000-000079000000}"/>
    <cellStyle name="Normal" xfId="0" builtinId="0"/>
    <cellStyle name="Normal 10" xfId="87" xr:uid="{00000000-0005-0000-0000-00007B000000}"/>
    <cellStyle name="Normal 11" xfId="88" xr:uid="{00000000-0005-0000-0000-00007C000000}"/>
    <cellStyle name="Normal 12" xfId="184" xr:uid="{00000000-0005-0000-0000-00007D000000}"/>
    <cellStyle name="Normal 2" xfId="89" xr:uid="{00000000-0005-0000-0000-00007E000000}"/>
    <cellStyle name="Normal 2 2" xfId="90" xr:uid="{00000000-0005-0000-0000-00007F000000}"/>
    <cellStyle name="Normal 2 2 2" xfId="91" xr:uid="{00000000-0005-0000-0000-000080000000}"/>
    <cellStyle name="Normal 2 2 2 2" xfId="92" xr:uid="{00000000-0005-0000-0000-000081000000}"/>
    <cellStyle name="Normal 2 2 2 2 2" xfId="93" xr:uid="{00000000-0005-0000-0000-000082000000}"/>
    <cellStyle name="Normal 2 2 2 2 2 2" xfId="94" xr:uid="{00000000-0005-0000-0000-000083000000}"/>
    <cellStyle name="Normal 2 2 2 2 3" xfId="95" xr:uid="{00000000-0005-0000-0000-000084000000}"/>
    <cellStyle name="Normal 2 2 2 2 3 2" xfId="96" xr:uid="{00000000-0005-0000-0000-000085000000}"/>
    <cellStyle name="Normal 2 2 2 2 4" xfId="97" xr:uid="{00000000-0005-0000-0000-000086000000}"/>
    <cellStyle name="Normal 2 2 2 3" xfId="98" xr:uid="{00000000-0005-0000-0000-000087000000}"/>
    <cellStyle name="Normal 2 2 2 3 2" xfId="99" xr:uid="{00000000-0005-0000-0000-000088000000}"/>
    <cellStyle name="Normal 2 2 2 3 3" xfId="100" xr:uid="{00000000-0005-0000-0000-000089000000}"/>
    <cellStyle name="Normal 2 2 2 4" xfId="101" xr:uid="{00000000-0005-0000-0000-00008A000000}"/>
    <cellStyle name="Normal 2 2 2 4 2" xfId="102" xr:uid="{00000000-0005-0000-0000-00008B000000}"/>
    <cellStyle name="Normal 2 2 2 5" xfId="103" xr:uid="{00000000-0005-0000-0000-00008C000000}"/>
    <cellStyle name="Normal 2 2 3" xfId="104" xr:uid="{00000000-0005-0000-0000-00008D000000}"/>
    <cellStyle name="Normal 2 2 3 2" xfId="105" xr:uid="{00000000-0005-0000-0000-00008E000000}"/>
    <cellStyle name="Normal 2 2 4" xfId="106" xr:uid="{00000000-0005-0000-0000-00008F000000}"/>
    <cellStyle name="Normal 2 2 4 2" xfId="107" xr:uid="{00000000-0005-0000-0000-000090000000}"/>
    <cellStyle name="Normal 2 2 5" xfId="108" xr:uid="{00000000-0005-0000-0000-000091000000}"/>
    <cellStyle name="Normal 2 3" xfId="109" xr:uid="{00000000-0005-0000-0000-000092000000}"/>
    <cellStyle name="Normal 2 3 2" xfId="110" xr:uid="{00000000-0005-0000-0000-000093000000}"/>
    <cellStyle name="Normal 2 3 2 2" xfId="111" xr:uid="{00000000-0005-0000-0000-000094000000}"/>
    <cellStyle name="Normal 2 3 2 2 2" xfId="112" xr:uid="{00000000-0005-0000-0000-000095000000}"/>
    <cellStyle name="Normal 2 3 2 3" xfId="113" xr:uid="{00000000-0005-0000-0000-000096000000}"/>
    <cellStyle name="Normal 2 3 2 3 2" xfId="114" xr:uid="{00000000-0005-0000-0000-000097000000}"/>
    <cellStyle name="Normal 2 3 2 4" xfId="115" xr:uid="{00000000-0005-0000-0000-000098000000}"/>
    <cellStyle name="Normal 2 3 3" xfId="116" xr:uid="{00000000-0005-0000-0000-000099000000}"/>
    <cellStyle name="Normal 2 3 3 2" xfId="117" xr:uid="{00000000-0005-0000-0000-00009A000000}"/>
    <cellStyle name="Normal 2 3 4" xfId="118" xr:uid="{00000000-0005-0000-0000-00009B000000}"/>
    <cellStyle name="Normal 2 3 4 2" xfId="119" xr:uid="{00000000-0005-0000-0000-00009C000000}"/>
    <cellStyle name="Normal 2 3 5" xfId="120" xr:uid="{00000000-0005-0000-0000-00009D000000}"/>
    <cellStyle name="Normal 2 4" xfId="121" xr:uid="{00000000-0005-0000-0000-00009E000000}"/>
    <cellStyle name="Normal 2 4 2" xfId="122" xr:uid="{00000000-0005-0000-0000-00009F000000}"/>
    <cellStyle name="Normal 2 4 3" xfId="123" xr:uid="{00000000-0005-0000-0000-0000A0000000}"/>
    <cellStyle name="Normal 2 5" xfId="124" xr:uid="{00000000-0005-0000-0000-0000A1000000}"/>
    <cellStyle name="Normal 2 5 2" xfId="125" xr:uid="{00000000-0005-0000-0000-0000A2000000}"/>
    <cellStyle name="Normal 2 6" xfId="126" xr:uid="{00000000-0005-0000-0000-0000A3000000}"/>
    <cellStyle name="Normal 2 7" xfId="127" xr:uid="{00000000-0005-0000-0000-0000A4000000}"/>
    <cellStyle name="Normal 3" xfId="128" xr:uid="{00000000-0005-0000-0000-0000A5000000}"/>
    <cellStyle name="Normal 3 2" xfId="129" xr:uid="{00000000-0005-0000-0000-0000A6000000}"/>
    <cellStyle name="Normal 3 2 2" xfId="130" xr:uid="{00000000-0005-0000-0000-0000A7000000}"/>
    <cellStyle name="Normal 3 2 2 2" xfId="131" xr:uid="{00000000-0005-0000-0000-0000A8000000}"/>
    <cellStyle name="Normal 3 2 2 2 2" xfId="132" xr:uid="{00000000-0005-0000-0000-0000A9000000}"/>
    <cellStyle name="Normal 3 2 2 3" xfId="133" xr:uid="{00000000-0005-0000-0000-0000AA000000}"/>
    <cellStyle name="Normal 3 2 2 3 2" xfId="134" xr:uid="{00000000-0005-0000-0000-0000AB000000}"/>
    <cellStyle name="Normal 3 2 2 4" xfId="135" xr:uid="{00000000-0005-0000-0000-0000AC000000}"/>
    <cellStyle name="Normal 3 2 3" xfId="136" xr:uid="{00000000-0005-0000-0000-0000AD000000}"/>
    <cellStyle name="Normal 3 2 3 2" xfId="137" xr:uid="{00000000-0005-0000-0000-0000AE000000}"/>
    <cellStyle name="Normal 3 2 4" xfId="138" xr:uid="{00000000-0005-0000-0000-0000AF000000}"/>
    <cellStyle name="Normal 3 2 4 2" xfId="139" xr:uid="{00000000-0005-0000-0000-0000B0000000}"/>
    <cellStyle name="Normal 3 2 5" xfId="140" xr:uid="{00000000-0005-0000-0000-0000B1000000}"/>
    <cellStyle name="Normal 3 3" xfId="141" xr:uid="{00000000-0005-0000-0000-0000B2000000}"/>
    <cellStyle name="Normal 3 3 2" xfId="142" xr:uid="{00000000-0005-0000-0000-0000B3000000}"/>
    <cellStyle name="Normal 3 4" xfId="143" xr:uid="{00000000-0005-0000-0000-0000B4000000}"/>
    <cellStyle name="Normal 3 4 2" xfId="144" xr:uid="{00000000-0005-0000-0000-0000B5000000}"/>
    <cellStyle name="Normal 3 5" xfId="145" xr:uid="{00000000-0005-0000-0000-0000B6000000}"/>
    <cellStyle name="Normal 3 6" xfId="185" xr:uid="{00000000-0005-0000-0000-0000B7000000}"/>
    <cellStyle name="Normal 4" xfId="146" xr:uid="{00000000-0005-0000-0000-0000B8000000}"/>
    <cellStyle name="Normal 4 2" xfId="227" xr:uid="{00000000-0005-0000-0000-0000B9000000}"/>
    <cellStyle name="Normal 5" xfId="147" xr:uid="{00000000-0005-0000-0000-0000BA000000}"/>
    <cellStyle name="Normal 6" xfId="148" xr:uid="{00000000-0005-0000-0000-0000BB000000}"/>
    <cellStyle name="Normal 6 2" xfId="149" xr:uid="{00000000-0005-0000-0000-0000BC000000}"/>
    <cellStyle name="Normal 6 3" xfId="150" xr:uid="{00000000-0005-0000-0000-0000BD000000}"/>
    <cellStyle name="Normal 7" xfId="151" xr:uid="{00000000-0005-0000-0000-0000BE000000}"/>
    <cellStyle name="Normal 8" xfId="152" xr:uid="{00000000-0005-0000-0000-0000BF000000}"/>
    <cellStyle name="Normal 9" xfId="153" xr:uid="{00000000-0005-0000-0000-0000C0000000}"/>
    <cellStyle name="Normal 9 2" xfId="154" xr:uid="{00000000-0005-0000-0000-0000C1000000}"/>
    <cellStyle name="Normal 9 3" xfId="155" xr:uid="{00000000-0005-0000-0000-0000C2000000}"/>
    <cellStyle name="Normal 9 3 2" xfId="156" xr:uid="{00000000-0005-0000-0000-0000C3000000}"/>
    <cellStyle name="Normal 9 3 3" xfId="157" xr:uid="{00000000-0005-0000-0000-0000C4000000}"/>
    <cellStyle name="Note 2" xfId="158" xr:uid="{00000000-0005-0000-0000-0000C5000000}"/>
    <cellStyle name="Note 2 2" xfId="159" xr:uid="{00000000-0005-0000-0000-0000C6000000}"/>
    <cellStyle name="Note 2 2 2" xfId="160" xr:uid="{00000000-0005-0000-0000-0000C7000000}"/>
    <cellStyle name="Note 2 2 2 2" xfId="161" xr:uid="{00000000-0005-0000-0000-0000C8000000}"/>
    <cellStyle name="Note 2 2 3" xfId="162" xr:uid="{00000000-0005-0000-0000-0000C9000000}"/>
    <cellStyle name="Note 2 2 3 2" xfId="163" xr:uid="{00000000-0005-0000-0000-0000CA000000}"/>
    <cellStyle name="Note 2 2 4" xfId="164" xr:uid="{00000000-0005-0000-0000-0000CB000000}"/>
    <cellStyle name="Note 2 3" xfId="165" xr:uid="{00000000-0005-0000-0000-0000CC000000}"/>
    <cellStyle name="Note 2 3 2" xfId="166" xr:uid="{00000000-0005-0000-0000-0000CD000000}"/>
    <cellStyle name="Note 2 4" xfId="167" xr:uid="{00000000-0005-0000-0000-0000CE000000}"/>
    <cellStyle name="Note 2 4 2" xfId="168" xr:uid="{00000000-0005-0000-0000-0000CF000000}"/>
    <cellStyle name="Note 2 5" xfId="169" xr:uid="{00000000-0005-0000-0000-0000D0000000}"/>
    <cellStyle name="Note 3" xfId="170" xr:uid="{00000000-0005-0000-0000-0000D1000000}"/>
    <cellStyle name="Note 3 2" xfId="171" xr:uid="{00000000-0005-0000-0000-0000D2000000}"/>
    <cellStyle name="Note 4" xfId="172" xr:uid="{00000000-0005-0000-0000-0000D3000000}"/>
    <cellStyle name="Note 4 2" xfId="173" xr:uid="{00000000-0005-0000-0000-0000D4000000}"/>
    <cellStyle name="Note 5" xfId="174" xr:uid="{00000000-0005-0000-0000-0000D5000000}"/>
    <cellStyle name="Note 6" xfId="175" xr:uid="{00000000-0005-0000-0000-0000D6000000}"/>
    <cellStyle name="Note 7" xfId="200" xr:uid="{00000000-0005-0000-0000-0000D7000000}"/>
    <cellStyle name="Output 2" xfId="176" xr:uid="{00000000-0005-0000-0000-0000D8000000}"/>
    <cellStyle name="Output 3" xfId="177" xr:uid="{00000000-0005-0000-0000-0000D9000000}"/>
    <cellStyle name="Output 4" xfId="195" xr:uid="{00000000-0005-0000-0000-0000DA000000}"/>
    <cellStyle name="Title 2" xfId="178" xr:uid="{00000000-0005-0000-0000-0000DB000000}"/>
    <cellStyle name="Title 3" xfId="179" xr:uid="{00000000-0005-0000-0000-0000DC000000}"/>
    <cellStyle name="Title 4" xfId="186" xr:uid="{00000000-0005-0000-0000-0000DD000000}"/>
    <cellStyle name="Total 2" xfId="180" xr:uid="{00000000-0005-0000-0000-0000DE000000}"/>
    <cellStyle name="Total 3" xfId="181" xr:uid="{00000000-0005-0000-0000-0000DF000000}"/>
    <cellStyle name="Total 4" xfId="202" xr:uid="{00000000-0005-0000-0000-0000E0000000}"/>
    <cellStyle name="Warning Text 2" xfId="182" xr:uid="{00000000-0005-0000-0000-0000E1000000}"/>
    <cellStyle name="Warning Text 3" xfId="183" xr:uid="{00000000-0005-0000-0000-0000E2000000}"/>
    <cellStyle name="Warning Text 4" xfId="199" xr:uid="{00000000-0005-0000-0000-0000E3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679450</xdr:colOff>
          <xdr:row>9</xdr:row>
          <xdr:rowOff>127000</xdr:rowOff>
        </xdr:from>
        <xdr:to>
          <xdr:col>3</xdr:col>
          <xdr:colOff>222250</xdr:colOff>
          <xdr:row>11</xdr:row>
          <xdr:rowOff>76200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CSV to ByteMap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cycorp-my.sharepoint.com/personal/yoin_cypress_com/Documents/&#36039;&#26009;/&#12510;&#12452;&#12467;&#12531;&#38306;&#36899;/Traveo-II/TVII-B-E-Family/TVII-B-E-1M/SFLASH/MXS40-Product-TVIIBE1M.xlsm" TargetMode="External"/><Relationship Id="rId2" Type="http://schemas.openxmlformats.org/officeDocument/2006/relationships/hyperlink" Target="https://cycorp-my.sharepoint.com/personal/yoin_cypress_com/Documents/&#36039;&#26009;/&#12510;&#12452;&#12467;&#12531;&#38306;&#36899;/Traveo-II/TVII-B-E-Family/TVII-B-E-1M/SFLASH/MXS40-Product-TVIIBE1M.xls" TargetMode="External"/><Relationship Id="rId1" Type="http://schemas.openxmlformats.org/officeDocument/2006/relationships/printerSettings" Target="../printerSettings/printerSettings1.bin"/><Relationship Id="rId4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cdt.cypress.com/scripts/isynch.dll?panel=NoteDetail&amp;NoteType=Ticket&amp;NoteId=333921&amp;DisplayMode=View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cdt.cypress.com:3400/scripts/isynch.dll?panel=NoteDetail&amp;NoteType=Ticket&amp;NoteId=274937&amp;DisplayMode=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8"/>
  <sheetViews>
    <sheetView showGridLines="0" zoomScale="110" zoomScaleNormal="110" workbookViewId="0">
      <selection activeCell="C10" sqref="C10"/>
    </sheetView>
  </sheetViews>
  <sheetFormatPr defaultColWidth="10.83203125" defaultRowHeight="12.5"/>
  <cols>
    <col min="1" max="1" width="18.08203125" style="3" customWidth="1"/>
    <col min="2" max="2" width="10.83203125" style="3"/>
    <col min="3" max="3" width="19.5" style="3" customWidth="1"/>
    <col min="4" max="6" width="10.83203125" style="3"/>
    <col min="7" max="7" width="35.6640625" style="3" bestFit="1" customWidth="1"/>
    <col min="8" max="16384" width="10.83203125" style="3"/>
  </cols>
  <sheetData>
    <row r="1" spans="1:5" ht="13">
      <c r="A1" s="1" t="s">
        <v>4</v>
      </c>
      <c r="C1" s="3" t="s">
        <v>34</v>
      </c>
    </row>
    <row r="2" spans="1:5" ht="13">
      <c r="A2" s="1" t="s">
        <v>3</v>
      </c>
      <c r="C2" s="2" t="s">
        <v>2</v>
      </c>
    </row>
    <row r="3" spans="1:5" ht="13">
      <c r="A3" s="1" t="s">
        <v>6</v>
      </c>
      <c r="C3" s="110" t="s">
        <v>33956</v>
      </c>
    </row>
    <row r="4" spans="1:5" ht="15.5">
      <c r="A4" s="1" t="s">
        <v>5</v>
      </c>
      <c r="C4" t="s">
        <v>33956</v>
      </c>
    </row>
    <row r="5" spans="1:5" ht="13">
      <c r="A5" s="1" t="s">
        <v>33952</v>
      </c>
      <c r="C5" s="2" t="s">
        <v>33953</v>
      </c>
    </row>
    <row r="6" spans="1:5" ht="13">
      <c r="A6" s="1" t="s">
        <v>33954</v>
      </c>
      <c r="C6" s="2" t="s">
        <v>33955</v>
      </c>
    </row>
    <row r="7" spans="1:5" ht="13.5">
      <c r="A7" s="272" t="s">
        <v>0</v>
      </c>
      <c r="B7" s="4" t="s">
        <v>7</v>
      </c>
      <c r="C7" s="273" t="s">
        <v>1</v>
      </c>
      <c r="D7" s="317" t="s">
        <v>34199</v>
      </c>
      <c r="E7" s="317" t="s">
        <v>34200</v>
      </c>
    </row>
    <row r="8" spans="1:5">
      <c r="A8" s="104" t="s">
        <v>978</v>
      </c>
      <c r="B8" s="103"/>
      <c r="C8" s="104" t="s">
        <v>33956</v>
      </c>
      <c r="D8" s="103" t="s">
        <v>33953</v>
      </c>
      <c r="E8" s="103" t="s">
        <v>33955</v>
      </c>
    </row>
  </sheetData>
  <customSheetViews>
    <customSheetView guid="{ED165065-8EC0-42CA-A88C-1E585E2D8F93}" scale="200" showGridLines="0">
      <selection activeCell="C9" sqref="C9"/>
      <pageMargins left="0.75" right="0.75" top="1" bottom="1" header="0.5" footer="0.5"/>
      <pageSetup orientation="portrait" horizontalDpi="4294967292" verticalDpi="4294967292" r:id="rId1"/>
      <headerFooter alignWithMargins="0"/>
    </customSheetView>
  </customSheetViews>
  <phoneticPr fontId="53"/>
  <hyperlinks>
    <hyperlink ref="C8" location="SFLASH.512_ver2!$C$1" display="SFLASH.512_ver2" xr:uid="{00000000-0004-0000-0000-000000000000}"/>
    <hyperlink ref="A8" r:id="rId2" location="MemoryMap!$E$19" display="TVII-B-E-1M" xr:uid="{00000000-0004-0000-0000-000001000000}"/>
    <hyperlink ref="A8" r:id="rId3" location="MemoryMap!$E$25" xr:uid="{00000000-0004-0000-0000-000002000000}"/>
    <hyperlink ref="C3" location="SFLASH.512_ver2!$C$1" display="SFLASH.512_ver2" xr:uid="{00000000-0004-0000-0000-000003000000}"/>
  </hyperlinks>
  <pageMargins left="0.75" right="0.75" top="1" bottom="1" header="0.5" footer="0.5"/>
  <pageSetup orientation="portrait" horizontalDpi="4294967292" verticalDpi="4294967292" r:id="rId4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6"/>
  <dimension ref="A1:G12"/>
  <sheetViews>
    <sheetView showGridLines="0" zoomScale="125" zoomScaleNormal="125" workbookViewId="0">
      <selection activeCell="A5" sqref="A5:D5"/>
    </sheetView>
  </sheetViews>
  <sheetFormatPr defaultColWidth="10.83203125" defaultRowHeight="13.5"/>
  <cols>
    <col min="1" max="1" width="17.08203125" style="43" bestFit="1" customWidth="1"/>
    <col min="2" max="2" width="15.08203125" style="43" bestFit="1" customWidth="1"/>
    <col min="3" max="3" width="10.83203125" style="43"/>
    <col min="4" max="4" width="11.08203125" style="43" customWidth="1"/>
    <col min="5" max="16384" width="10.83203125" style="43"/>
  </cols>
  <sheetData>
    <row r="1" spans="1:7" ht="19.5">
      <c r="A1" s="31" t="s">
        <v>108</v>
      </c>
    </row>
    <row r="2" spans="1:7">
      <c r="A2" s="75" t="s">
        <v>23</v>
      </c>
      <c r="C2" s="43" t="s">
        <v>109</v>
      </c>
    </row>
    <row r="3" spans="1:7">
      <c r="A3" s="75" t="s">
        <v>29</v>
      </c>
      <c r="C3" s="29"/>
    </row>
    <row r="4" spans="1:7">
      <c r="A4" s="76" t="s">
        <v>110</v>
      </c>
      <c r="B4" s="77" t="s">
        <v>111</v>
      </c>
      <c r="C4" s="78" t="s">
        <v>47</v>
      </c>
      <c r="D4" s="77" t="s">
        <v>112</v>
      </c>
      <c r="E4" s="77" t="s">
        <v>113</v>
      </c>
      <c r="F4" s="77" t="s">
        <v>40</v>
      </c>
    </row>
    <row r="5" spans="1:7">
      <c r="A5" s="94" t="s">
        <v>142</v>
      </c>
      <c r="B5" s="95" t="s">
        <v>143</v>
      </c>
      <c r="C5" s="95">
        <v>1</v>
      </c>
      <c r="D5" s="95" t="s">
        <v>114</v>
      </c>
      <c r="E5" s="79"/>
      <c r="F5" s="79"/>
    </row>
    <row r="6" spans="1:7">
      <c r="A6" s="79"/>
      <c r="B6" s="79"/>
      <c r="C6" s="79"/>
      <c r="D6" s="79"/>
      <c r="E6" s="79"/>
      <c r="F6" s="79"/>
      <c r="G6" s="80"/>
    </row>
    <row r="7" spans="1:7">
      <c r="A7" s="81"/>
    </row>
    <row r="8" spans="1:7">
      <c r="D8" s="82" t="s">
        <v>115</v>
      </c>
      <c r="E8" s="43" t="s">
        <v>116</v>
      </c>
    </row>
    <row r="9" spans="1:7">
      <c r="D9" s="82" t="s">
        <v>117</v>
      </c>
      <c r="E9" s="43" t="s">
        <v>118</v>
      </c>
    </row>
    <row r="10" spans="1:7">
      <c r="D10" s="82" t="s">
        <v>114</v>
      </c>
      <c r="E10" s="43" t="s">
        <v>119</v>
      </c>
    </row>
    <row r="11" spans="1:7">
      <c r="D11" s="82" t="s">
        <v>120</v>
      </c>
      <c r="E11" s="43" t="s">
        <v>121</v>
      </c>
    </row>
    <row r="12" spans="1:7">
      <c r="D12" s="82" t="s">
        <v>122</v>
      </c>
      <c r="E12" s="43" t="s">
        <v>123</v>
      </c>
    </row>
  </sheetData>
  <customSheetViews>
    <customSheetView guid="{ED165065-8EC0-42CA-A88C-1E585E2D8F93}" scale="125" showGridLines="0">
      <selection activeCell="A5" sqref="A5:D5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53"/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F12"/>
  <sheetViews>
    <sheetView showGridLines="0" zoomScaleNormal="100" workbookViewId="0">
      <selection activeCell="C6" sqref="C6"/>
    </sheetView>
  </sheetViews>
  <sheetFormatPr defaultColWidth="10.83203125" defaultRowHeight="13.5"/>
  <cols>
    <col min="1" max="1" width="57.08203125" style="43" bestFit="1" customWidth="1"/>
    <col min="2" max="2" width="10.83203125" style="43"/>
    <col min="3" max="3" width="35.5" style="43" bestFit="1" customWidth="1"/>
    <col min="4" max="6" width="10.83203125" style="43"/>
    <col min="7" max="7" width="12.08203125" style="43" customWidth="1"/>
    <col min="8" max="16384" width="10.83203125" style="43"/>
  </cols>
  <sheetData>
    <row r="1" spans="1:6" ht="19.5">
      <c r="A1" s="31" t="s">
        <v>124</v>
      </c>
    </row>
    <row r="2" spans="1:6">
      <c r="A2" s="75" t="s">
        <v>23</v>
      </c>
      <c r="C2" s="43" t="s">
        <v>125</v>
      </c>
    </row>
    <row r="3" spans="1:6">
      <c r="A3" s="75" t="s">
        <v>29</v>
      </c>
      <c r="C3" s="29"/>
    </row>
    <row r="4" spans="1:6">
      <c r="A4" s="83" t="s">
        <v>22</v>
      </c>
      <c r="B4" s="84" t="s">
        <v>7</v>
      </c>
      <c r="C4" s="85" t="s">
        <v>24</v>
      </c>
      <c r="D4" s="77" t="s">
        <v>126</v>
      </c>
      <c r="E4" s="77" t="s">
        <v>127</v>
      </c>
    </row>
    <row r="5" spans="1:6">
      <c r="A5" s="324" t="s">
        <v>908</v>
      </c>
      <c r="B5" s="325" t="s">
        <v>34</v>
      </c>
      <c r="C5" s="326" t="s">
        <v>909</v>
      </c>
      <c r="D5" s="327">
        <v>1</v>
      </c>
      <c r="E5" s="323"/>
    </row>
    <row r="6" spans="1:6">
      <c r="A6" s="324" t="s">
        <v>34298</v>
      </c>
      <c r="B6" s="325" t="s">
        <v>34</v>
      </c>
      <c r="C6" s="326" t="s">
        <v>34299</v>
      </c>
      <c r="D6" s="327">
        <v>1</v>
      </c>
      <c r="E6" s="323"/>
    </row>
    <row r="7" spans="1:6">
      <c r="A7" s="245" t="s">
        <v>34457</v>
      </c>
      <c r="B7" s="246" t="s">
        <v>34</v>
      </c>
      <c r="C7" s="247" t="s">
        <v>34458</v>
      </c>
      <c r="D7" s="248">
        <v>1</v>
      </c>
      <c r="E7" s="323"/>
    </row>
    <row r="8" spans="1:6">
      <c r="A8" s="324" t="s">
        <v>34274</v>
      </c>
      <c r="B8" s="325" t="s">
        <v>34</v>
      </c>
      <c r="C8" s="326" t="s">
        <v>34273</v>
      </c>
      <c r="D8" s="327">
        <v>1</v>
      </c>
      <c r="E8" s="323"/>
    </row>
    <row r="10" spans="1:6">
      <c r="A10" s="86" t="s">
        <v>130</v>
      </c>
      <c r="E10" s="88" t="s">
        <v>131</v>
      </c>
      <c r="F10" s="89" t="s">
        <v>132</v>
      </c>
    </row>
    <row r="11" spans="1:6">
      <c r="E11" s="88" t="s">
        <v>128</v>
      </c>
      <c r="F11" s="89" t="s">
        <v>133</v>
      </c>
    </row>
    <row r="12" spans="1:6">
      <c r="E12" s="88" t="s">
        <v>129</v>
      </c>
      <c r="F12" s="89" t="s">
        <v>134</v>
      </c>
    </row>
  </sheetData>
  <customSheetViews>
    <customSheetView guid="{ED165065-8EC0-42CA-A88C-1E585E2D8F93}" scale="125" showGridLines="0">
      <selection activeCell="A5" sqref="A5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53"/>
  <pageMargins left="0.75" right="0.75" top="1" bottom="1" header="0.5" footer="0.5"/>
  <pageSetup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4"/>
  <dimension ref="A1:E6"/>
  <sheetViews>
    <sheetView showGridLines="0" zoomScale="125" zoomScaleNormal="125" workbookViewId="0">
      <selection activeCell="E69" sqref="E69"/>
    </sheetView>
  </sheetViews>
  <sheetFormatPr defaultColWidth="10.83203125" defaultRowHeight="13.5"/>
  <cols>
    <col min="1" max="1" width="14.5" style="91" customWidth="1"/>
    <col min="2" max="2" width="24.5" style="91" customWidth="1"/>
    <col min="3" max="4" width="10.83203125" style="43"/>
    <col min="5" max="5" width="57.83203125" style="91" customWidth="1"/>
    <col min="6" max="16384" width="10.83203125" style="43"/>
  </cols>
  <sheetData>
    <row r="1" spans="1:5" ht="19.5">
      <c r="A1" s="90" t="s">
        <v>135</v>
      </c>
    </row>
    <row r="2" spans="1:5">
      <c r="A2" s="75" t="s">
        <v>23</v>
      </c>
      <c r="C2" s="43" t="s">
        <v>136</v>
      </c>
    </row>
    <row r="3" spans="1:5">
      <c r="A3" s="75" t="s">
        <v>29</v>
      </c>
      <c r="C3" s="29"/>
      <c r="D3" s="29"/>
    </row>
    <row r="4" spans="1:5">
      <c r="A4" s="83" t="s">
        <v>137</v>
      </c>
      <c r="B4" s="84" t="s">
        <v>138</v>
      </c>
      <c r="C4" s="78" t="s">
        <v>139</v>
      </c>
      <c r="D4" s="78" t="s">
        <v>140</v>
      </c>
      <c r="E4" s="84" t="s">
        <v>23</v>
      </c>
    </row>
    <row r="5" spans="1:5">
      <c r="A5" s="92"/>
      <c r="B5" s="87"/>
      <c r="C5" s="93"/>
      <c r="D5" s="93"/>
      <c r="E5" s="87"/>
    </row>
    <row r="6" spans="1:5">
      <c r="A6" s="87"/>
      <c r="B6" s="87"/>
      <c r="C6" s="79"/>
      <c r="D6" s="79"/>
      <c r="E6" s="87"/>
    </row>
  </sheetData>
  <customSheetViews>
    <customSheetView guid="{ED165065-8EC0-42CA-A88C-1E585E2D8F93}" scale="125" showGridLines="0">
      <selection activeCell="E69" sqref="E69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53"/>
  <pageMargins left="0.75" right="0.75" top="1" bottom="1" header="0.5" footer="0.5"/>
  <pageSetup orientation="portrait" horizontalDpi="4294967292" verticalDpi="429496729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Y119"/>
  <sheetViews>
    <sheetView showGridLines="0" topLeftCell="A15" zoomScaleNormal="100" workbookViewId="0">
      <selection activeCell="A20" sqref="A20"/>
    </sheetView>
  </sheetViews>
  <sheetFormatPr defaultColWidth="8.83203125" defaultRowHeight="12.5"/>
  <cols>
    <col min="1" max="1" width="9.5" style="5" customWidth="1"/>
    <col min="2" max="2" width="8.83203125" style="5" customWidth="1"/>
    <col min="3" max="3" width="8.58203125" style="5" customWidth="1"/>
    <col min="4" max="4" width="6.33203125" style="5" customWidth="1"/>
    <col min="5" max="5" width="37.1640625" style="5" customWidth="1"/>
    <col min="6" max="6" width="98.58203125" style="5" bestFit="1" customWidth="1"/>
    <col min="7" max="7" width="23.1640625" style="5" bestFit="1" customWidth="1"/>
    <col min="8" max="8" width="8.83203125" style="5" customWidth="1"/>
    <col min="9" max="9" width="10.6640625" style="5" customWidth="1"/>
    <col min="10" max="15" width="8.83203125" style="5" customWidth="1"/>
    <col min="16" max="25" width="8.83203125" style="5" hidden="1" customWidth="1"/>
    <col min="26" max="16384" width="8.83203125" style="5"/>
  </cols>
  <sheetData>
    <row r="1" spans="1:23" ht="15.5">
      <c r="A1" s="10" t="s">
        <v>36</v>
      </c>
      <c r="B1"/>
      <c r="C1" s="110" t="s">
        <v>33956</v>
      </c>
      <c r="D1"/>
      <c r="E1"/>
      <c r="F1"/>
      <c r="G1"/>
      <c r="H1"/>
      <c r="I1"/>
      <c r="J1"/>
      <c r="K1"/>
    </row>
    <row r="2" spans="1:23" ht="15.5">
      <c r="A2" s="10" t="s">
        <v>35</v>
      </c>
      <c r="B2" s="10"/>
      <c r="C2" s="8" t="s">
        <v>34</v>
      </c>
      <c r="D2"/>
      <c r="E2"/>
      <c r="F2"/>
      <c r="G2"/>
      <c r="H2"/>
      <c r="I2"/>
      <c r="J2"/>
      <c r="K2"/>
    </row>
    <row r="3" spans="1:23" ht="15.5">
      <c r="A3" s="10" t="s">
        <v>106</v>
      </c>
      <c r="B3" s="10"/>
      <c r="C3" s="8" t="s">
        <v>33956</v>
      </c>
      <c r="D3"/>
      <c r="E3"/>
      <c r="F3"/>
      <c r="G3"/>
      <c r="H3"/>
      <c r="I3"/>
      <c r="J3"/>
      <c r="K3"/>
    </row>
    <row r="4" spans="1:23" ht="15.5">
      <c r="A4" s="10" t="s">
        <v>33</v>
      </c>
      <c r="B4" s="10"/>
      <c r="C4" s="8" t="s">
        <v>141</v>
      </c>
      <c r="D4"/>
      <c r="E4"/>
      <c r="F4"/>
      <c r="G4"/>
      <c r="H4"/>
      <c r="I4"/>
      <c r="J4"/>
      <c r="K4"/>
    </row>
    <row r="5" spans="1:23" ht="15.5">
      <c r="A5" s="10" t="s">
        <v>107</v>
      </c>
      <c r="B5"/>
      <c r="C5" s="8" t="s">
        <v>34277</v>
      </c>
      <c r="D5"/>
      <c r="E5"/>
      <c r="F5"/>
      <c r="G5"/>
      <c r="H5"/>
      <c r="I5"/>
      <c r="J5"/>
      <c r="K5"/>
    </row>
    <row r="6" spans="1:23" ht="15.5">
      <c r="A6" s="10" t="s">
        <v>32</v>
      </c>
      <c r="B6" s="10"/>
      <c r="C6" s="8" t="s">
        <v>31</v>
      </c>
      <c r="E6" s="8"/>
      <c r="F6"/>
      <c r="G6"/>
      <c r="H6"/>
      <c r="I6"/>
      <c r="J6"/>
      <c r="K6"/>
    </row>
    <row r="7" spans="1:23" ht="15.5">
      <c r="A7" s="10" t="s">
        <v>30</v>
      </c>
      <c r="B7" s="10"/>
      <c r="C7" s="8">
        <v>8</v>
      </c>
      <c r="E7" s="8"/>
      <c r="F7"/>
      <c r="G7"/>
      <c r="H7"/>
      <c r="I7"/>
      <c r="J7"/>
      <c r="K7"/>
    </row>
    <row r="8" spans="1:23" ht="15.5">
      <c r="A8" s="10" t="s">
        <v>53</v>
      </c>
      <c r="B8" s="10"/>
      <c r="C8" s="381">
        <v>15</v>
      </c>
      <c r="E8" s="8"/>
      <c r="F8"/>
      <c r="G8"/>
      <c r="H8"/>
      <c r="I8"/>
      <c r="J8"/>
      <c r="K8"/>
    </row>
    <row r="9" spans="1:23" ht="15.5">
      <c r="A9" s="10" t="s">
        <v>29</v>
      </c>
      <c r="B9" s="10"/>
      <c r="C9" s="8" t="s">
        <v>34308</v>
      </c>
      <c r="E9" s="8"/>
      <c r="F9"/>
      <c r="G9"/>
      <c r="H9"/>
      <c r="I9"/>
      <c r="J9"/>
      <c r="K9"/>
    </row>
    <row r="10" spans="1:23" ht="15.5">
      <c r="A10" s="9" t="s">
        <v>23</v>
      </c>
      <c r="B10" s="9"/>
      <c r="C10" s="8" t="s">
        <v>166</v>
      </c>
      <c r="D10" s="8"/>
      <c r="E10" s="2"/>
      <c r="F10"/>
      <c r="G10"/>
      <c r="H10"/>
      <c r="I10"/>
      <c r="J10"/>
      <c r="K10"/>
    </row>
    <row r="11" spans="1:23" ht="16.5" customHeight="1">
      <c r="A11" s="272" t="s">
        <v>28</v>
      </c>
      <c r="B11" s="332" t="s">
        <v>27</v>
      </c>
      <c r="C11" s="332" t="s">
        <v>26</v>
      </c>
      <c r="D11" s="332" t="s">
        <v>25</v>
      </c>
      <c r="E11" s="333" t="s">
        <v>24</v>
      </c>
      <c r="F11" s="334" t="s">
        <v>23</v>
      </c>
      <c r="G11" s="334" t="s">
        <v>22</v>
      </c>
      <c r="H11"/>
      <c r="I11"/>
      <c r="J11"/>
      <c r="K11"/>
    </row>
    <row r="12" spans="1:23" ht="16.5" customHeight="1">
      <c r="A12" s="74" t="s">
        <v>151</v>
      </c>
      <c r="B12" s="74"/>
      <c r="C12" s="74">
        <v>1</v>
      </c>
      <c r="D12" s="74">
        <v>8</v>
      </c>
      <c r="E12" s="104" t="s">
        <v>1021</v>
      </c>
      <c r="F12" s="107" t="s">
        <v>1026</v>
      </c>
      <c r="G12" s="334"/>
      <c r="H12"/>
      <c r="I12"/>
      <c r="J12"/>
      <c r="K12"/>
    </row>
    <row r="13" spans="1:23" ht="16.5" customHeight="1">
      <c r="A13" s="74" t="s">
        <v>152</v>
      </c>
      <c r="B13" s="74"/>
      <c r="C13" s="74">
        <v>1</v>
      </c>
      <c r="D13" s="74">
        <v>16</v>
      </c>
      <c r="E13" s="104" t="s">
        <v>21</v>
      </c>
      <c r="F13" s="107" t="s">
        <v>1025</v>
      </c>
      <c r="G13" s="107"/>
      <c r="H13"/>
      <c r="I13"/>
      <c r="J13"/>
      <c r="K13"/>
      <c r="P13" s="6">
        <v>127</v>
      </c>
      <c r="Q13" s="6">
        <v>1</v>
      </c>
      <c r="R13" s="6">
        <v>64</v>
      </c>
      <c r="S13" s="6">
        <v>1</v>
      </c>
      <c r="T13" s="6">
        <v>127</v>
      </c>
      <c r="U13" s="6">
        <v>1</v>
      </c>
      <c r="V13" s="6">
        <v>1</v>
      </c>
      <c r="W13" s="6">
        <v>8</v>
      </c>
    </row>
    <row r="14" spans="1:23" ht="16.5" customHeight="1">
      <c r="A14" s="74" t="s">
        <v>153</v>
      </c>
      <c r="B14" s="74"/>
      <c r="C14" s="74">
        <v>1</v>
      </c>
      <c r="D14" s="74">
        <v>32</v>
      </c>
      <c r="E14" s="104" t="s">
        <v>168</v>
      </c>
      <c r="F14" s="107" t="s">
        <v>262</v>
      </c>
      <c r="G14" s="107"/>
      <c r="H14"/>
      <c r="I14"/>
      <c r="J14"/>
      <c r="K14"/>
      <c r="P14" s="6">
        <v>128</v>
      </c>
      <c r="Q14" s="6">
        <v>1</v>
      </c>
      <c r="R14" s="6">
        <v>65</v>
      </c>
      <c r="S14" s="6">
        <v>1</v>
      </c>
      <c r="T14" s="6">
        <v>128</v>
      </c>
      <c r="U14" s="6">
        <v>1</v>
      </c>
      <c r="V14" s="6">
        <v>128</v>
      </c>
      <c r="W14" s="6">
        <v>8</v>
      </c>
    </row>
    <row r="15" spans="1:23" ht="16.5" customHeight="1">
      <c r="A15" s="74" t="s">
        <v>154</v>
      </c>
      <c r="B15" s="74"/>
      <c r="C15" s="74">
        <v>1</v>
      </c>
      <c r="D15" s="74">
        <v>8</v>
      </c>
      <c r="E15" s="104" t="s">
        <v>525</v>
      </c>
      <c r="F15" s="107" t="s">
        <v>526</v>
      </c>
      <c r="G15" s="107"/>
      <c r="H15"/>
      <c r="I15"/>
      <c r="J15"/>
      <c r="K15"/>
      <c r="P15" s="6"/>
      <c r="Q15" s="6"/>
      <c r="R15" s="6"/>
      <c r="S15" s="6"/>
      <c r="T15" s="6"/>
      <c r="U15" s="6"/>
      <c r="V15" s="6"/>
      <c r="W15" s="6"/>
    </row>
    <row r="16" spans="1:23" ht="16.5" customHeight="1">
      <c r="A16" s="74" t="s">
        <v>155</v>
      </c>
      <c r="B16" s="74"/>
      <c r="C16" s="74">
        <v>1</v>
      </c>
      <c r="D16" s="74">
        <v>8</v>
      </c>
      <c r="E16" s="104" t="s">
        <v>795</v>
      </c>
      <c r="F16" s="107" t="s">
        <v>796</v>
      </c>
      <c r="G16" s="107"/>
      <c r="H16"/>
      <c r="I16"/>
      <c r="J16"/>
      <c r="K16"/>
      <c r="P16" s="6"/>
      <c r="Q16" s="6"/>
      <c r="R16" s="6"/>
      <c r="S16" s="6"/>
      <c r="T16" s="6"/>
      <c r="U16" s="6"/>
      <c r="V16" s="6"/>
      <c r="W16" s="6"/>
    </row>
    <row r="17" spans="1:23" ht="16.5" customHeight="1">
      <c r="A17" s="74" t="s">
        <v>156</v>
      </c>
      <c r="B17" s="74"/>
      <c r="C17" s="74">
        <v>1</v>
      </c>
      <c r="D17" s="74">
        <v>8</v>
      </c>
      <c r="E17" s="104" t="s">
        <v>836</v>
      </c>
      <c r="F17" s="107" t="s">
        <v>837</v>
      </c>
      <c r="G17" s="107"/>
      <c r="H17"/>
      <c r="I17"/>
      <c r="J17"/>
      <c r="K17"/>
      <c r="P17" s="6"/>
      <c r="Q17" s="6"/>
      <c r="R17" s="6"/>
      <c r="S17" s="6"/>
      <c r="T17" s="6"/>
      <c r="U17" s="6"/>
      <c r="V17" s="6"/>
      <c r="W17" s="6"/>
    </row>
    <row r="18" spans="1:23" ht="16.5" customHeight="1">
      <c r="A18" s="74" t="s">
        <v>157</v>
      </c>
      <c r="B18" s="74"/>
      <c r="C18" s="74">
        <v>1</v>
      </c>
      <c r="D18" s="74">
        <v>8</v>
      </c>
      <c r="E18" s="104" t="s">
        <v>979</v>
      </c>
      <c r="F18" s="107" t="s">
        <v>34209</v>
      </c>
      <c r="G18" s="107"/>
      <c r="H18"/>
      <c r="I18"/>
      <c r="J18"/>
      <c r="K18"/>
      <c r="P18" s="6"/>
      <c r="Q18" s="6"/>
      <c r="R18" s="6"/>
      <c r="S18" s="6"/>
      <c r="T18" s="6"/>
      <c r="U18" s="6"/>
      <c r="V18" s="6"/>
      <c r="W18" s="6"/>
    </row>
    <row r="19" spans="1:23" ht="16.5" customHeight="1">
      <c r="A19" s="74" t="s">
        <v>158</v>
      </c>
      <c r="B19" s="74"/>
      <c r="C19" s="74">
        <v>1</v>
      </c>
      <c r="D19" s="74">
        <v>16</v>
      </c>
      <c r="E19" s="104" t="s">
        <v>1023</v>
      </c>
      <c r="F19" s="107" t="s">
        <v>1024</v>
      </c>
      <c r="G19" s="107"/>
      <c r="H19"/>
      <c r="I19"/>
      <c r="J19"/>
      <c r="K19"/>
      <c r="P19" s="6"/>
      <c r="Q19" s="6"/>
      <c r="R19" s="6"/>
      <c r="S19" s="6"/>
      <c r="T19" s="6"/>
      <c r="U19" s="6"/>
      <c r="V19" s="6"/>
      <c r="W19" s="6"/>
    </row>
    <row r="20" spans="1:23" ht="16.5" customHeight="1">
      <c r="A20" s="382" t="s">
        <v>159</v>
      </c>
      <c r="B20" s="385"/>
      <c r="C20" s="386">
        <v>1</v>
      </c>
      <c r="D20" s="387">
        <v>16</v>
      </c>
      <c r="E20" s="383" t="s">
        <v>34497</v>
      </c>
      <c r="F20" s="388" t="s">
        <v>34506</v>
      </c>
      <c r="G20" s="107"/>
      <c r="H20"/>
      <c r="I20" t="s">
        <v>34498</v>
      </c>
      <c r="J20"/>
      <c r="K20"/>
      <c r="P20" s="6"/>
      <c r="Q20" s="6"/>
      <c r="R20" s="6"/>
      <c r="S20" s="6"/>
      <c r="T20" s="6"/>
      <c r="U20" s="6"/>
      <c r="V20" s="6"/>
      <c r="W20" s="6"/>
    </row>
    <row r="21" spans="1:23" ht="16.5" customHeight="1">
      <c r="A21" s="382" t="s">
        <v>160</v>
      </c>
      <c r="B21" s="385"/>
      <c r="C21" s="386">
        <v>1</v>
      </c>
      <c r="D21" s="387">
        <v>16</v>
      </c>
      <c r="E21" s="383" t="s">
        <v>34504</v>
      </c>
      <c r="F21" s="388" t="s">
        <v>34505</v>
      </c>
      <c r="G21" s="107"/>
      <c r="H21"/>
      <c r="I21" t="s">
        <v>34507</v>
      </c>
      <c r="J21"/>
      <c r="K21"/>
      <c r="P21" s="6"/>
      <c r="Q21" s="6"/>
      <c r="R21" s="6"/>
      <c r="S21" s="6"/>
      <c r="T21" s="6"/>
      <c r="U21" s="6"/>
      <c r="V21" s="6"/>
      <c r="W21" s="6"/>
    </row>
    <row r="22" spans="1:23" ht="16.5" customHeight="1">
      <c r="A22" s="74" t="s">
        <v>161</v>
      </c>
      <c r="B22" s="74"/>
      <c r="C22" s="74">
        <v>4</v>
      </c>
      <c r="D22" s="74">
        <v>8</v>
      </c>
      <c r="E22" s="355" t="s">
        <v>34275</v>
      </c>
      <c r="F22" s="107" t="s">
        <v>34271</v>
      </c>
      <c r="G22" s="107" t="s">
        <v>34273</v>
      </c>
      <c r="H22"/>
      <c r="I22"/>
      <c r="J22"/>
      <c r="K22"/>
      <c r="P22" s="6"/>
      <c r="Q22" s="6"/>
      <c r="R22" s="6"/>
      <c r="S22" s="6"/>
      <c r="T22" s="6"/>
      <c r="U22" s="6"/>
      <c r="V22" s="6"/>
      <c r="W22" s="6"/>
    </row>
    <row r="23" spans="1:23" ht="16.5" customHeight="1">
      <c r="A23" s="74" t="s">
        <v>162</v>
      </c>
      <c r="B23" s="74"/>
      <c r="C23" s="74">
        <v>124</v>
      </c>
      <c r="D23" s="74">
        <v>8</v>
      </c>
      <c r="E23" s="104" t="s">
        <v>34276</v>
      </c>
      <c r="F23" s="107" t="s">
        <v>34272</v>
      </c>
      <c r="G23" s="107" t="s">
        <v>34273</v>
      </c>
      <c r="H23"/>
      <c r="I23"/>
      <c r="J23"/>
      <c r="K23"/>
      <c r="P23" s="6"/>
      <c r="Q23" s="6"/>
      <c r="R23" s="6"/>
      <c r="S23" s="6"/>
      <c r="T23" s="6"/>
      <c r="U23" s="6"/>
      <c r="V23" s="6"/>
      <c r="W23" s="6"/>
    </row>
    <row r="24" spans="1:23" ht="16.5" customHeight="1">
      <c r="A24" s="271" t="s">
        <v>34662</v>
      </c>
      <c r="B24" s="271"/>
      <c r="C24" s="271">
        <v>1</v>
      </c>
      <c r="D24" s="271">
        <v>8</v>
      </c>
      <c r="E24" s="260" t="s">
        <v>34722</v>
      </c>
      <c r="F24" s="219" t="s">
        <v>34722</v>
      </c>
      <c r="G24" s="107"/>
      <c r="H24"/>
      <c r="I24" t="s">
        <v>34663</v>
      </c>
      <c r="J24"/>
      <c r="K24"/>
      <c r="P24" s="6"/>
      <c r="Q24" s="6"/>
      <c r="R24" s="6"/>
      <c r="S24" s="6"/>
      <c r="T24" s="6"/>
      <c r="U24" s="6"/>
      <c r="V24" s="6"/>
      <c r="W24" s="6"/>
    </row>
    <row r="25" spans="1:23" ht="16.5" customHeight="1">
      <c r="A25" s="271" t="s">
        <v>34725</v>
      </c>
      <c r="B25" s="271"/>
      <c r="C25" s="271">
        <v>1</v>
      </c>
      <c r="D25" s="271">
        <v>8</v>
      </c>
      <c r="E25" s="260" t="s">
        <v>34723</v>
      </c>
      <c r="F25" s="219" t="s">
        <v>34723</v>
      </c>
      <c r="G25" s="107"/>
      <c r="H25"/>
      <c r="I25"/>
      <c r="J25"/>
      <c r="K25"/>
      <c r="P25" s="6"/>
      <c r="Q25" s="6"/>
      <c r="R25" s="6"/>
      <c r="S25" s="6"/>
      <c r="T25" s="6"/>
      <c r="U25" s="6"/>
      <c r="V25" s="6"/>
      <c r="W25" s="6"/>
    </row>
    <row r="26" spans="1:23" ht="16.5" customHeight="1">
      <c r="A26" s="271" t="s">
        <v>34726</v>
      </c>
      <c r="B26" s="271"/>
      <c r="C26" s="271">
        <v>1</v>
      </c>
      <c r="D26" s="271">
        <v>8</v>
      </c>
      <c r="E26" s="260" t="s">
        <v>34724</v>
      </c>
      <c r="F26" s="219" t="s">
        <v>34724</v>
      </c>
      <c r="G26" s="107"/>
      <c r="H26"/>
      <c r="I26"/>
      <c r="J26"/>
      <c r="K26"/>
      <c r="P26" s="6"/>
      <c r="Q26" s="6"/>
      <c r="R26" s="6"/>
      <c r="S26" s="6"/>
      <c r="T26" s="6"/>
      <c r="U26" s="6"/>
      <c r="V26" s="6"/>
      <c r="W26" s="6"/>
    </row>
    <row r="27" spans="1:23" ht="16.5" customHeight="1">
      <c r="A27" s="271" t="s">
        <v>34664</v>
      </c>
      <c r="B27" s="271"/>
      <c r="C27" s="271">
        <v>1</v>
      </c>
      <c r="D27" s="271">
        <v>8</v>
      </c>
      <c r="E27" s="260" t="s">
        <v>34659</v>
      </c>
      <c r="F27" s="219" t="s">
        <v>34665</v>
      </c>
      <c r="G27" s="107"/>
      <c r="H27"/>
      <c r="I27"/>
      <c r="J27"/>
      <c r="K27"/>
      <c r="P27" s="6"/>
      <c r="Q27" s="6"/>
      <c r="R27" s="6"/>
      <c r="S27" s="6"/>
      <c r="T27" s="6"/>
      <c r="U27" s="6"/>
      <c r="V27" s="6"/>
      <c r="W27" s="6"/>
    </row>
    <row r="28" spans="1:23" ht="16.5" customHeight="1">
      <c r="A28" s="271" t="s">
        <v>34666</v>
      </c>
      <c r="B28" s="271"/>
      <c r="C28" s="271">
        <v>1</v>
      </c>
      <c r="D28" s="271">
        <v>8</v>
      </c>
      <c r="E28" s="260" t="s">
        <v>34660</v>
      </c>
      <c r="F28" s="219" t="s">
        <v>34667</v>
      </c>
      <c r="G28" s="107"/>
      <c r="H28"/>
      <c r="I28"/>
      <c r="J28"/>
      <c r="K28"/>
      <c r="P28" s="6"/>
      <c r="Q28" s="6"/>
      <c r="R28" s="6"/>
      <c r="S28" s="6"/>
      <c r="T28" s="6"/>
      <c r="U28" s="6"/>
      <c r="V28" s="6"/>
      <c r="W28" s="6"/>
    </row>
    <row r="29" spans="1:23" ht="16.5" customHeight="1">
      <c r="A29" s="271" t="s">
        <v>34668</v>
      </c>
      <c r="B29" s="271"/>
      <c r="C29" s="271">
        <v>1</v>
      </c>
      <c r="D29" s="271">
        <v>8</v>
      </c>
      <c r="E29" s="260" t="s">
        <v>34661</v>
      </c>
      <c r="F29" s="219" t="s">
        <v>34669</v>
      </c>
      <c r="G29" s="107"/>
      <c r="H29"/>
      <c r="I29"/>
      <c r="J29"/>
      <c r="K29"/>
      <c r="P29" s="6"/>
      <c r="Q29" s="6"/>
      <c r="R29" s="6"/>
      <c r="S29" s="6"/>
      <c r="T29" s="6"/>
      <c r="U29" s="6"/>
      <c r="V29" s="6"/>
      <c r="W29" s="6"/>
    </row>
    <row r="30" spans="1:23" ht="16.5" customHeight="1">
      <c r="A30" s="271" t="s">
        <v>34677</v>
      </c>
      <c r="B30" s="271"/>
      <c r="C30" s="271">
        <v>1</v>
      </c>
      <c r="D30" s="271">
        <v>32</v>
      </c>
      <c r="E30" s="260" t="s">
        <v>34675</v>
      </c>
      <c r="F30" s="219" t="s">
        <v>34676</v>
      </c>
      <c r="G30" s="107"/>
      <c r="H30"/>
      <c r="I30" t="s">
        <v>34678</v>
      </c>
      <c r="J30"/>
      <c r="K30"/>
      <c r="P30" s="6"/>
      <c r="Q30" s="6"/>
      <c r="R30" s="6"/>
      <c r="S30" s="6"/>
      <c r="T30" s="6"/>
      <c r="U30" s="6"/>
      <c r="V30" s="6"/>
      <c r="W30" s="6"/>
    </row>
    <row r="31" spans="1:23" ht="16.5" customHeight="1">
      <c r="A31" s="382" t="s">
        <v>34529</v>
      </c>
      <c r="B31" s="382"/>
      <c r="C31" s="382">
        <v>1</v>
      </c>
      <c r="D31" s="382">
        <v>32</v>
      </c>
      <c r="E31" s="383" t="s">
        <v>34530</v>
      </c>
      <c r="F31" s="384" t="s">
        <v>34531</v>
      </c>
      <c r="G31" s="107"/>
      <c r="H31"/>
      <c r="I31" t="s">
        <v>34534</v>
      </c>
      <c r="J31"/>
      <c r="K31"/>
      <c r="P31" s="6"/>
      <c r="Q31" s="6"/>
      <c r="R31" s="6"/>
      <c r="S31" s="6"/>
      <c r="T31" s="6"/>
      <c r="U31" s="6"/>
      <c r="V31" s="6"/>
      <c r="W31" s="6"/>
    </row>
    <row r="32" spans="1:23" ht="16.5" customHeight="1">
      <c r="A32" s="74" t="s">
        <v>105</v>
      </c>
      <c r="B32" s="74"/>
      <c r="C32" s="74">
        <v>512</v>
      </c>
      <c r="D32" s="74">
        <v>8</v>
      </c>
      <c r="E32" s="355" t="s">
        <v>169</v>
      </c>
      <c r="F32" s="112" t="s">
        <v>170</v>
      </c>
      <c r="G32" s="107"/>
      <c r="H32"/>
      <c r="I32"/>
      <c r="J32"/>
      <c r="K32"/>
      <c r="P32" s="6"/>
      <c r="Q32" s="6"/>
      <c r="R32" s="6"/>
      <c r="S32" s="6"/>
      <c r="T32" s="6">
        <v>144</v>
      </c>
      <c r="U32" s="6">
        <v>1</v>
      </c>
      <c r="V32" s="6">
        <v>1</v>
      </c>
      <c r="W32" s="6">
        <v>8</v>
      </c>
    </row>
    <row r="33" spans="1:23" ht="16.5" customHeight="1">
      <c r="A33" s="74" t="s">
        <v>51</v>
      </c>
      <c r="B33" s="74"/>
      <c r="C33" s="74">
        <v>4</v>
      </c>
      <c r="D33" s="74">
        <v>8</v>
      </c>
      <c r="E33" s="104" t="s">
        <v>34107</v>
      </c>
      <c r="F33" s="112" t="s">
        <v>34108</v>
      </c>
      <c r="G33" s="107"/>
      <c r="H33"/>
      <c r="I33"/>
      <c r="J33"/>
      <c r="K33"/>
      <c r="P33" s="6"/>
      <c r="Q33" s="6"/>
      <c r="R33" s="6"/>
      <c r="S33" s="6"/>
      <c r="T33" s="6"/>
      <c r="U33" s="6"/>
      <c r="V33" s="6"/>
      <c r="W33" s="6"/>
    </row>
    <row r="34" spans="1:23" ht="16.5" customHeight="1">
      <c r="A34" s="74" t="s">
        <v>171</v>
      </c>
      <c r="B34" s="74"/>
      <c r="C34" s="74">
        <v>32</v>
      </c>
      <c r="D34" s="74">
        <v>8</v>
      </c>
      <c r="E34" s="104" t="s">
        <v>34098</v>
      </c>
      <c r="F34" s="112" t="s">
        <v>34102</v>
      </c>
      <c r="G34" s="107"/>
      <c r="H34"/>
      <c r="I34"/>
      <c r="J34"/>
      <c r="K34"/>
      <c r="P34" s="6"/>
      <c r="Q34" s="6"/>
      <c r="R34" s="6"/>
      <c r="S34" s="6"/>
      <c r="T34" s="6"/>
      <c r="U34" s="6"/>
      <c r="V34" s="6"/>
      <c r="W34" s="6"/>
    </row>
    <row r="35" spans="1:23" ht="15.5">
      <c r="A35" s="74" t="s">
        <v>230</v>
      </c>
      <c r="B35" s="288"/>
      <c r="C35" s="335">
        <v>3</v>
      </c>
      <c r="D35" s="336">
        <v>8</v>
      </c>
      <c r="E35" s="104" t="s">
        <v>20</v>
      </c>
      <c r="F35" s="278" t="s">
        <v>19</v>
      </c>
      <c r="G35" s="107"/>
      <c r="H35"/>
      <c r="I35"/>
      <c r="J35"/>
      <c r="K35"/>
    </row>
    <row r="36" spans="1:23" ht="15.5">
      <c r="A36" s="74" t="s">
        <v>236</v>
      </c>
      <c r="B36" s="7"/>
      <c r="C36" s="276">
        <v>1</v>
      </c>
      <c r="D36" s="277">
        <v>8</v>
      </c>
      <c r="E36" s="104" t="s">
        <v>18</v>
      </c>
      <c r="F36" s="278" t="s">
        <v>17</v>
      </c>
      <c r="G36" s="107"/>
      <c r="H36"/>
      <c r="I36"/>
      <c r="J36"/>
      <c r="K36"/>
    </row>
    <row r="37" spans="1:23" ht="15.5">
      <c r="A37" s="74" t="s">
        <v>237</v>
      </c>
      <c r="B37" s="7"/>
      <c r="C37" s="276">
        <v>1</v>
      </c>
      <c r="D37" s="277">
        <v>8</v>
      </c>
      <c r="E37" s="104" t="s">
        <v>16</v>
      </c>
      <c r="F37" s="278" t="s">
        <v>15</v>
      </c>
      <c r="G37" s="111"/>
      <c r="I37"/>
      <c r="J37"/>
    </row>
    <row r="38" spans="1:23" ht="15.5">
      <c r="A38" s="74" t="s">
        <v>520</v>
      </c>
      <c r="B38" s="7"/>
      <c r="C38" s="276">
        <v>1</v>
      </c>
      <c r="D38" s="277">
        <v>8</v>
      </c>
      <c r="E38" s="104" t="s">
        <v>14</v>
      </c>
      <c r="F38" s="278" t="s">
        <v>13</v>
      </c>
      <c r="G38" s="111"/>
      <c r="I38"/>
      <c r="J38"/>
    </row>
    <row r="39" spans="1:23" ht="15.5">
      <c r="A39" s="74" t="s">
        <v>521</v>
      </c>
      <c r="B39" s="7"/>
      <c r="C39" s="276">
        <v>1</v>
      </c>
      <c r="D39" s="277">
        <v>8</v>
      </c>
      <c r="E39" s="104" t="s">
        <v>12</v>
      </c>
      <c r="F39" s="278" t="s">
        <v>11</v>
      </c>
      <c r="G39" s="111"/>
      <c r="I39"/>
      <c r="J39"/>
    </row>
    <row r="40" spans="1:23" ht="15.5">
      <c r="A40" s="74" t="s">
        <v>522</v>
      </c>
      <c r="B40" s="7"/>
      <c r="C40" s="276">
        <v>1</v>
      </c>
      <c r="D40" s="277">
        <v>8</v>
      </c>
      <c r="E40" s="104" t="s">
        <v>10</v>
      </c>
      <c r="F40" s="278" t="s">
        <v>9</v>
      </c>
      <c r="G40" s="111"/>
      <c r="I40"/>
      <c r="J40"/>
    </row>
    <row r="41" spans="1:23" ht="15.5">
      <c r="A41" s="74" t="s">
        <v>574</v>
      </c>
      <c r="B41" s="7"/>
      <c r="C41" s="276">
        <v>1</v>
      </c>
      <c r="D41" s="277">
        <v>8</v>
      </c>
      <c r="E41" s="104" t="s">
        <v>577</v>
      </c>
      <c r="F41" s="278" t="s">
        <v>582</v>
      </c>
      <c r="G41" s="111"/>
      <c r="I41"/>
      <c r="J41"/>
    </row>
    <row r="42" spans="1:23" ht="15.5">
      <c r="A42" s="74" t="s">
        <v>575</v>
      </c>
      <c r="B42" s="7"/>
      <c r="C42" s="276">
        <v>1</v>
      </c>
      <c r="D42" s="277">
        <v>8</v>
      </c>
      <c r="E42" s="104" t="s">
        <v>578</v>
      </c>
      <c r="F42" s="278" t="s">
        <v>581</v>
      </c>
      <c r="G42" s="111"/>
      <c r="I42"/>
      <c r="J42"/>
    </row>
    <row r="43" spans="1:23" ht="15.5">
      <c r="A43" s="74" t="s">
        <v>576</v>
      </c>
      <c r="B43" s="7"/>
      <c r="C43" s="276">
        <v>1</v>
      </c>
      <c r="D43" s="277">
        <v>8</v>
      </c>
      <c r="E43" s="355" t="s">
        <v>579</v>
      </c>
      <c r="F43" s="278" t="s">
        <v>580</v>
      </c>
      <c r="G43" s="111"/>
      <c r="I43"/>
      <c r="J43"/>
    </row>
    <row r="44" spans="1:23" s="402" customFormat="1" ht="15.5">
      <c r="A44" s="395" t="s">
        <v>34732</v>
      </c>
      <c r="B44" s="396"/>
      <c r="C44" s="397">
        <v>1</v>
      </c>
      <c r="D44" s="398">
        <v>16</v>
      </c>
      <c r="E44" s="399" t="s">
        <v>34733</v>
      </c>
      <c r="F44" s="400" t="s">
        <v>34734</v>
      </c>
      <c r="G44" s="401"/>
      <c r="I44" s="357" t="s">
        <v>34735</v>
      </c>
      <c r="J44" s="357" t="s">
        <v>34736</v>
      </c>
    </row>
    <row r="45" spans="1:23" s="402" customFormat="1" ht="15.5">
      <c r="A45" s="395" t="s">
        <v>34737</v>
      </c>
      <c r="B45" s="396"/>
      <c r="C45" s="397">
        <v>1</v>
      </c>
      <c r="D45" s="398">
        <v>16</v>
      </c>
      <c r="E45" s="399" t="s">
        <v>34738</v>
      </c>
      <c r="F45" s="400" t="s">
        <v>34739</v>
      </c>
      <c r="G45" s="401"/>
      <c r="I45" s="357" t="s">
        <v>34735</v>
      </c>
      <c r="J45" s="357" t="s">
        <v>34736</v>
      </c>
    </row>
    <row r="46" spans="1:23" s="402" customFormat="1" ht="15.5">
      <c r="A46" s="395" t="s">
        <v>34740</v>
      </c>
      <c r="B46" s="396"/>
      <c r="C46" s="397">
        <v>1</v>
      </c>
      <c r="D46" s="398">
        <v>16</v>
      </c>
      <c r="E46" s="399" t="s">
        <v>34091</v>
      </c>
      <c r="F46" s="400" t="s">
        <v>34741</v>
      </c>
      <c r="G46" s="401"/>
      <c r="I46" s="357" t="s">
        <v>34735</v>
      </c>
      <c r="J46" s="357" t="s">
        <v>34736</v>
      </c>
    </row>
    <row r="47" spans="1:23" s="402" customFormat="1" ht="15.5">
      <c r="A47" s="395" t="s">
        <v>34742</v>
      </c>
      <c r="B47" s="396"/>
      <c r="C47" s="397">
        <v>1</v>
      </c>
      <c r="D47" s="398">
        <v>16</v>
      </c>
      <c r="E47" s="399" t="s">
        <v>34092</v>
      </c>
      <c r="F47" s="400" t="s">
        <v>34743</v>
      </c>
      <c r="G47" s="401"/>
      <c r="I47" s="357" t="s">
        <v>34735</v>
      </c>
      <c r="J47" s="357"/>
    </row>
    <row r="48" spans="1:23" s="402" customFormat="1" ht="15.5">
      <c r="A48" s="395" t="s">
        <v>34744</v>
      </c>
      <c r="B48" s="396"/>
      <c r="C48" s="397">
        <v>1</v>
      </c>
      <c r="D48" s="398">
        <v>16</v>
      </c>
      <c r="E48" s="399" t="s">
        <v>34093</v>
      </c>
      <c r="F48" s="400" t="s">
        <v>34745</v>
      </c>
      <c r="G48" s="401"/>
      <c r="I48" s="357" t="s">
        <v>34735</v>
      </c>
      <c r="J48" s="357"/>
    </row>
    <row r="49" spans="1:10" s="402" customFormat="1" ht="15.5">
      <c r="A49" s="395" t="s">
        <v>34746</v>
      </c>
      <c r="B49" s="396"/>
      <c r="C49" s="397">
        <v>1</v>
      </c>
      <c r="D49" s="398">
        <v>16</v>
      </c>
      <c r="E49" s="399" t="s">
        <v>34094</v>
      </c>
      <c r="F49" s="400" t="s">
        <v>34747</v>
      </c>
      <c r="G49" s="401"/>
      <c r="I49" s="357" t="s">
        <v>34735</v>
      </c>
      <c r="J49" s="357"/>
    </row>
    <row r="50" spans="1:10" s="402" customFormat="1" ht="15.5">
      <c r="A50" s="395" t="s">
        <v>34748</v>
      </c>
      <c r="B50" s="396"/>
      <c r="C50" s="397">
        <v>1</v>
      </c>
      <c r="D50" s="398">
        <v>16</v>
      </c>
      <c r="E50" s="399" t="s">
        <v>34095</v>
      </c>
      <c r="F50" s="400" t="s">
        <v>34749</v>
      </c>
      <c r="G50" s="401"/>
      <c r="I50" s="357" t="s">
        <v>34735</v>
      </c>
      <c r="J50" s="357"/>
    </row>
    <row r="51" spans="1:10" s="402" customFormat="1" ht="15.5">
      <c r="A51" s="395" t="s">
        <v>34750</v>
      </c>
      <c r="B51" s="396"/>
      <c r="C51" s="397">
        <v>1</v>
      </c>
      <c r="D51" s="398">
        <v>16</v>
      </c>
      <c r="E51" s="399" t="s">
        <v>34096</v>
      </c>
      <c r="F51" s="400" t="s">
        <v>34751</v>
      </c>
      <c r="G51" s="401"/>
      <c r="I51" s="357" t="s">
        <v>34735</v>
      </c>
      <c r="J51" s="357"/>
    </row>
    <row r="52" spans="1:10" s="402" customFormat="1" ht="15.5">
      <c r="A52" s="395" t="s">
        <v>34752</v>
      </c>
      <c r="B52" s="396"/>
      <c r="C52" s="397">
        <v>1</v>
      </c>
      <c r="D52" s="398">
        <v>16</v>
      </c>
      <c r="E52" s="399" t="s">
        <v>34097</v>
      </c>
      <c r="F52" s="400" t="s">
        <v>34753</v>
      </c>
      <c r="G52" s="401"/>
      <c r="I52" s="357" t="s">
        <v>34735</v>
      </c>
      <c r="J52" s="357"/>
    </row>
    <row r="53" spans="1:10" s="402" customFormat="1" ht="15.5">
      <c r="A53" s="395" t="s">
        <v>34754</v>
      </c>
      <c r="B53" s="396"/>
      <c r="C53" s="397">
        <v>1</v>
      </c>
      <c r="D53" s="398">
        <v>16</v>
      </c>
      <c r="E53" s="399" t="s">
        <v>34201</v>
      </c>
      <c r="F53" s="400" t="s">
        <v>34755</v>
      </c>
      <c r="G53" s="401"/>
      <c r="I53" s="357" t="s">
        <v>34735</v>
      </c>
      <c r="J53" s="357"/>
    </row>
    <row r="54" spans="1:10" s="402" customFormat="1" ht="15.5">
      <c r="A54" s="395" t="s">
        <v>34756</v>
      </c>
      <c r="B54" s="396"/>
      <c r="C54" s="397">
        <v>1</v>
      </c>
      <c r="D54" s="398">
        <v>16</v>
      </c>
      <c r="E54" s="399" t="s">
        <v>34202</v>
      </c>
      <c r="F54" s="400" t="s">
        <v>34757</v>
      </c>
      <c r="G54" s="401"/>
      <c r="I54" s="357" t="s">
        <v>34735</v>
      </c>
      <c r="J54" s="357"/>
    </row>
    <row r="55" spans="1:10" s="402" customFormat="1" ht="15.5">
      <c r="A55" s="395" t="s">
        <v>34758</v>
      </c>
      <c r="B55" s="396"/>
      <c r="C55" s="397">
        <v>1</v>
      </c>
      <c r="D55" s="398">
        <v>16</v>
      </c>
      <c r="E55" s="399" t="s">
        <v>34203</v>
      </c>
      <c r="F55" s="400" t="s">
        <v>34759</v>
      </c>
      <c r="G55" s="401"/>
      <c r="I55" s="357" t="s">
        <v>34735</v>
      </c>
      <c r="J55" s="357"/>
    </row>
    <row r="56" spans="1:10" s="402" customFormat="1" ht="15.5">
      <c r="A56" s="395" t="s">
        <v>34760</v>
      </c>
      <c r="B56" s="396"/>
      <c r="C56" s="397">
        <v>1</v>
      </c>
      <c r="D56" s="398">
        <v>16</v>
      </c>
      <c r="E56" s="399" t="s">
        <v>34204</v>
      </c>
      <c r="F56" s="400" t="s">
        <v>34761</v>
      </c>
      <c r="G56" s="401"/>
      <c r="I56" s="357" t="s">
        <v>34735</v>
      </c>
      <c r="J56" s="357" t="s">
        <v>34736</v>
      </c>
    </row>
    <row r="57" spans="1:10" s="402" customFormat="1" ht="15.5">
      <c r="A57" s="395" t="s">
        <v>34762</v>
      </c>
      <c r="B57" s="396"/>
      <c r="C57" s="397">
        <v>1</v>
      </c>
      <c r="D57" s="398">
        <v>16</v>
      </c>
      <c r="E57" s="399" t="s">
        <v>34205</v>
      </c>
      <c r="F57" s="400" t="s">
        <v>34763</v>
      </c>
      <c r="G57" s="401"/>
      <c r="I57" s="357" t="s">
        <v>34735</v>
      </c>
      <c r="J57" s="357" t="s">
        <v>34736</v>
      </c>
    </row>
    <row r="58" spans="1:10" s="402" customFormat="1" ht="15.5">
      <c r="A58" s="395" t="s">
        <v>34764</v>
      </c>
      <c r="B58" s="396"/>
      <c r="C58" s="397">
        <v>1</v>
      </c>
      <c r="D58" s="398">
        <v>16</v>
      </c>
      <c r="E58" s="399" t="s">
        <v>34206</v>
      </c>
      <c r="F58" s="400" t="s">
        <v>34765</v>
      </c>
      <c r="G58" s="401"/>
      <c r="I58" s="357" t="s">
        <v>34735</v>
      </c>
      <c r="J58" s="357" t="s">
        <v>34736</v>
      </c>
    </row>
    <row r="59" spans="1:10" s="402" customFormat="1" ht="15.5">
      <c r="A59" s="395" t="s">
        <v>34766</v>
      </c>
      <c r="B59" s="396"/>
      <c r="C59" s="397">
        <v>1</v>
      </c>
      <c r="D59" s="398">
        <v>16</v>
      </c>
      <c r="E59" s="399" t="s">
        <v>34679</v>
      </c>
      <c r="F59" s="400" t="s">
        <v>34767</v>
      </c>
      <c r="G59" s="401"/>
      <c r="I59" s="357" t="s">
        <v>34735</v>
      </c>
      <c r="J59" s="357" t="s">
        <v>34736</v>
      </c>
    </row>
    <row r="60" spans="1:10" s="402" customFormat="1" ht="15.5">
      <c r="A60" s="395" t="s">
        <v>34768</v>
      </c>
      <c r="B60" s="396"/>
      <c r="C60" s="397">
        <v>1</v>
      </c>
      <c r="D60" s="398">
        <v>16</v>
      </c>
      <c r="E60" s="399" t="s">
        <v>34680</v>
      </c>
      <c r="F60" s="400" t="s">
        <v>34769</v>
      </c>
      <c r="G60" s="401"/>
      <c r="I60" s="357" t="s">
        <v>34735</v>
      </c>
      <c r="J60" s="357" t="s">
        <v>34736</v>
      </c>
    </row>
    <row r="61" spans="1:10" s="402" customFormat="1" ht="15.5">
      <c r="A61" s="395" t="s">
        <v>34770</v>
      </c>
      <c r="B61" s="396"/>
      <c r="C61" s="397">
        <v>1</v>
      </c>
      <c r="D61" s="398">
        <v>16</v>
      </c>
      <c r="E61" s="399" t="s">
        <v>34681</v>
      </c>
      <c r="F61" s="400" t="s">
        <v>34771</v>
      </c>
      <c r="G61" s="401"/>
      <c r="I61" s="357" t="s">
        <v>34735</v>
      </c>
      <c r="J61" s="357"/>
    </row>
    <row r="62" spans="1:10" s="402" customFormat="1" ht="15.5">
      <c r="A62" s="395" t="s">
        <v>34772</v>
      </c>
      <c r="B62" s="396"/>
      <c r="C62" s="397">
        <v>1</v>
      </c>
      <c r="D62" s="398">
        <v>16</v>
      </c>
      <c r="E62" s="399" t="s">
        <v>34682</v>
      </c>
      <c r="F62" s="400" t="s">
        <v>34773</v>
      </c>
      <c r="G62" s="401"/>
      <c r="I62" s="357" t="s">
        <v>34735</v>
      </c>
      <c r="J62" s="357"/>
    </row>
    <row r="63" spans="1:10" s="402" customFormat="1" ht="15.5">
      <c r="A63" s="395" t="s">
        <v>34774</v>
      </c>
      <c r="B63" s="396"/>
      <c r="C63" s="397">
        <v>1</v>
      </c>
      <c r="D63" s="398">
        <v>16</v>
      </c>
      <c r="E63" s="399" t="s">
        <v>34698</v>
      </c>
      <c r="F63" s="400" t="s">
        <v>34775</v>
      </c>
      <c r="G63" s="401"/>
      <c r="I63" s="357" t="s">
        <v>34735</v>
      </c>
      <c r="J63" s="357"/>
    </row>
    <row r="64" spans="1:10" s="402" customFormat="1" ht="15.5">
      <c r="A64" s="395" t="s">
        <v>34776</v>
      </c>
      <c r="B64" s="396"/>
      <c r="C64" s="397">
        <v>1</v>
      </c>
      <c r="D64" s="398">
        <v>16</v>
      </c>
      <c r="E64" s="399" t="s">
        <v>34699</v>
      </c>
      <c r="F64" s="400" t="s">
        <v>34777</v>
      </c>
      <c r="G64" s="401"/>
      <c r="I64" s="357" t="s">
        <v>34735</v>
      </c>
      <c r="J64" s="357"/>
    </row>
    <row r="65" spans="1:23" s="402" customFormat="1" ht="15.5">
      <c r="A65" s="395" t="s">
        <v>34778</v>
      </c>
      <c r="B65" s="396"/>
      <c r="C65" s="397">
        <v>1</v>
      </c>
      <c r="D65" s="398">
        <v>16</v>
      </c>
      <c r="E65" s="399" t="s">
        <v>34700</v>
      </c>
      <c r="F65" s="400" t="s">
        <v>34779</v>
      </c>
      <c r="G65" s="401"/>
      <c r="I65" s="357" t="s">
        <v>34735</v>
      </c>
      <c r="J65" s="357"/>
    </row>
    <row r="66" spans="1:23" s="402" customFormat="1" ht="15.5">
      <c r="A66" s="395" t="s">
        <v>34780</v>
      </c>
      <c r="B66" s="396"/>
      <c r="C66" s="397">
        <v>1</v>
      </c>
      <c r="D66" s="398">
        <v>16</v>
      </c>
      <c r="E66" s="399" t="s">
        <v>34701</v>
      </c>
      <c r="F66" s="400" t="s">
        <v>34781</v>
      </c>
      <c r="G66" s="401"/>
      <c r="I66" s="357" t="s">
        <v>34735</v>
      </c>
      <c r="J66" s="357"/>
    </row>
    <row r="67" spans="1:23" s="402" customFormat="1" ht="15.5">
      <c r="A67" s="395" t="s">
        <v>34782</v>
      </c>
      <c r="B67" s="396"/>
      <c r="C67" s="397">
        <v>1</v>
      </c>
      <c r="D67" s="398">
        <v>16</v>
      </c>
      <c r="E67" s="399" t="s">
        <v>34702</v>
      </c>
      <c r="F67" s="400" t="s">
        <v>34783</v>
      </c>
      <c r="G67" s="401"/>
      <c r="I67" s="357" t="s">
        <v>34735</v>
      </c>
      <c r="J67" s="357" t="s">
        <v>34736</v>
      </c>
    </row>
    <row r="68" spans="1:23" s="402" customFormat="1" ht="15.5">
      <c r="A68" s="395" t="s">
        <v>34784</v>
      </c>
      <c r="B68" s="396"/>
      <c r="C68" s="397">
        <v>1</v>
      </c>
      <c r="D68" s="398">
        <v>16</v>
      </c>
      <c r="E68" s="399" t="s">
        <v>34703</v>
      </c>
      <c r="F68" s="400" t="s">
        <v>34785</v>
      </c>
      <c r="G68" s="401"/>
      <c r="I68" s="357" t="s">
        <v>34735</v>
      </c>
      <c r="J68" s="357" t="s">
        <v>34736</v>
      </c>
    </row>
    <row r="69" spans="1:23" ht="15.5">
      <c r="A69" s="271" t="s">
        <v>34494</v>
      </c>
      <c r="B69" s="352"/>
      <c r="C69" s="353">
        <v>1</v>
      </c>
      <c r="D69" s="354">
        <v>32</v>
      </c>
      <c r="E69" s="260" t="s">
        <v>34495</v>
      </c>
      <c r="F69" s="219" t="s">
        <v>34495</v>
      </c>
      <c r="G69" s="111"/>
      <c r="I69" t="s">
        <v>34496</v>
      </c>
      <c r="J69"/>
    </row>
    <row r="70" spans="1:23" ht="15.5">
      <c r="A70" s="74" t="s">
        <v>274</v>
      </c>
      <c r="B70" s="7"/>
      <c r="C70" s="276">
        <v>128</v>
      </c>
      <c r="D70" s="277">
        <v>32</v>
      </c>
      <c r="E70" s="104" t="s">
        <v>34437</v>
      </c>
      <c r="F70" s="107" t="s">
        <v>34437</v>
      </c>
      <c r="G70" s="111"/>
      <c r="I70"/>
      <c r="J70"/>
    </row>
    <row r="71" spans="1:23" ht="15.5">
      <c r="A71" s="74" t="s">
        <v>281</v>
      </c>
      <c r="B71" s="7"/>
      <c r="C71" s="276">
        <v>128</v>
      </c>
      <c r="D71" s="277">
        <v>32</v>
      </c>
      <c r="E71" s="104" t="s">
        <v>277</v>
      </c>
      <c r="F71" s="107" t="s">
        <v>277</v>
      </c>
      <c r="G71" s="111"/>
      <c r="I71"/>
      <c r="J71"/>
    </row>
    <row r="72" spans="1:23" ht="15.5">
      <c r="A72" s="74" t="s">
        <v>282</v>
      </c>
      <c r="B72" s="7"/>
      <c r="C72" s="344">
        <v>128</v>
      </c>
      <c r="D72" s="277">
        <v>32</v>
      </c>
      <c r="E72" s="104" t="s">
        <v>278</v>
      </c>
      <c r="F72" s="107" t="s">
        <v>278</v>
      </c>
      <c r="G72" s="111"/>
      <c r="I72"/>
      <c r="J72"/>
    </row>
    <row r="73" spans="1:23" ht="15.5">
      <c r="A73" s="74" t="s">
        <v>283</v>
      </c>
      <c r="B73" s="341"/>
      <c r="C73" s="345">
        <v>128</v>
      </c>
      <c r="D73" s="341">
        <v>32</v>
      </c>
      <c r="E73" s="104" t="s">
        <v>279</v>
      </c>
      <c r="F73" s="107" t="s">
        <v>279</v>
      </c>
      <c r="G73" s="111"/>
      <c r="I73"/>
      <c r="J73"/>
    </row>
    <row r="74" spans="1:23" ht="15.5">
      <c r="A74" s="74" t="s">
        <v>587</v>
      </c>
      <c r="B74" s="340"/>
      <c r="C74" s="345">
        <v>2</v>
      </c>
      <c r="D74" s="340">
        <v>32</v>
      </c>
      <c r="E74" s="104" t="s">
        <v>34396</v>
      </c>
      <c r="F74" s="107" t="s">
        <v>34398</v>
      </c>
      <c r="G74" s="111"/>
      <c r="I74"/>
      <c r="J74"/>
    </row>
    <row r="75" spans="1:23" ht="15.5">
      <c r="A75" s="74" t="s">
        <v>868</v>
      </c>
      <c r="B75" s="342"/>
      <c r="C75" s="74">
        <v>1</v>
      </c>
      <c r="D75" s="343">
        <v>32</v>
      </c>
      <c r="E75" s="104" t="s">
        <v>167</v>
      </c>
      <c r="F75" s="107" t="s">
        <v>261</v>
      </c>
      <c r="G75" s="111"/>
      <c r="I75"/>
      <c r="J75"/>
    </row>
    <row r="76" spans="1:23" ht="15.5">
      <c r="A76" s="74" t="s">
        <v>34304</v>
      </c>
      <c r="B76" s="342"/>
      <c r="C76" s="74">
        <v>1</v>
      </c>
      <c r="D76" s="343">
        <v>32</v>
      </c>
      <c r="E76" s="104" t="s">
        <v>958</v>
      </c>
      <c r="F76" s="107" t="s">
        <v>971</v>
      </c>
      <c r="G76" s="111"/>
      <c r="I76"/>
      <c r="J76"/>
    </row>
    <row r="77" spans="1:23" ht="15.5">
      <c r="A77" s="74" t="s">
        <v>34792</v>
      </c>
      <c r="B77" s="342"/>
      <c r="C77" s="74">
        <v>1024</v>
      </c>
      <c r="D77" s="74">
        <v>8</v>
      </c>
      <c r="E77" s="355" t="s">
        <v>530</v>
      </c>
      <c r="F77" s="278" t="s">
        <v>34793</v>
      </c>
      <c r="G77" s="111"/>
      <c r="I77"/>
      <c r="J77"/>
    </row>
    <row r="78" spans="1:23" ht="16.5" customHeight="1">
      <c r="A78" s="74" t="str">
        <f t="shared" ref="A78:A92" si="0">"0x"&amp;DEC2HEX(HEX2DEC(RIGHT(A77,4))+(C77*D77/8),4)</f>
        <v>0x2000</v>
      </c>
      <c r="B78" s="74"/>
      <c r="C78" s="74">
        <v>1</v>
      </c>
      <c r="D78" s="74">
        <v>32</v>
      </c>
      <c r="E78" s="355" t="s">
        <v>873</v>
      </c>
      <c r="F78" s="278" t="s">
        <v>874</v>
      </c>
      <c r="G78" s="111"/>
      <c r="H78"/>
      <c r="I78"/>
      <c r="J78"/>
      <c r="K78"/>
      <c r="P78" s="6">
        <v>0</v>
      </c>
      <c r="Q78" s="6">
        <v>1</v>
      </c>
      <c r="R78" s="6">
        <v>0</v>
      </c>
      <c r="S78" s="6">
        <v>1</v>
      </c>
      <c r="T78" s="6">
        <v>0</v>
      </c>
      <c r="U78" s="6">
        <v>1</v>
      </c>
      <c r="V78" s="6">
        <v>64</v>
      </c>
      <c r="W78" s="6">
        <v>8</v>
      </c>
    </row>
    <row r="79" spans="1:23" ht="16.5" customHeight="1">
      <c r="A79" s="74" t="str">
        <f t="shared" si="0"/>
        <v>0x2004</v>
      </c>
      <c r="B79" s="74"/>
      <c r="C79" s="74">
        <v>1</v>
      </c>
      <c r="D79" s="74">
        <v>32</v>
      </c>
      <c r="E79" s="355" t="s">
        <v>875</v>
      </c>
      <c r="F79" s="278" t="s">
        <v>876</v>
      </c>
      <c r="G79" s="111"/>
      <c r="H79"/>
      <c r="I79"/>
      <c r="J79"/>
      <c r="K79"/>
      <c r="P79" s="6"/>
      <c r="Q79" s="6"/>
      <c r="R79" s="6"/>
      <c r="S79" s="6"/>
      <c r="T79" s="6"/>
      <c r="U79" s="6"/>
      <c r="V79" s="6"/>
      <c r="W79" s="6"/>
    </row>
    <row r="80" spans="1:23">
      <c r="A80" s="74" t="str">
        <f t="shared" si="0"/>
        <v>0x2008</v>
      </c>
      <c r="B80" s="74"/>
      <c r="C80" s="74">
        <v>1</v>
      </c>
      <c r="D80" s="74">
        <v>32</v>
      </c>
      <c r="E80" s="355" t="s">
        <v>275</v>
      </c>
      <c r="F80" s="278" t="s">
        <v>877</v>
      </c>
      <c r="G80" s="111"/>
    </row>
    <row r="81" spans="1:7">
      <c r="A81" s="74" t="str">
        <f t="shared" si="0"/>
        <v>0x200C</v>
      </c>
      <c r="B81" s="74"/>
      <c r="C81" s="74">
        <v>1</v>
      </c>
      <c r="D81" s="74">
        <v>32</v>
      </c>
      <c r="E81" s="355" t="s">
        <v>878</v>
      </c>
      <c r="F81" s="278" t="s">
        <v>879</v>
      </c>
      <c r="G81" s="111"/>
    </row>
    <row r="82" spans="1:7">
      <c r="A82" s="74" t="str">
        <f t="shared" si="0"/>
        <v>0x2010</v>
      </c>
      <c r="B82" s="74"/>
      <c r="C82" s="74">
        <v>1</v>
      </c>
      <c r="D82" s="74">
        <v>32</v>
      </c>
      <c r="E82" s="355" t="s">
        <v>880</v>
      </c>
      <c r="F82" s="278" t="s">
        <v>881</v>
      </c>
      <c r="G82" s="111"/>
    </row>
    <row r="83" spans="1:7">
      <c r="A83" s="74" t="str">
        <f t="shared" si="0"/>
        <v>0x2014</v>
      </c>
      <c r="B83" s="74"/>
      <c r="C83" s="74">
        <v>1</v>
      </c>
      <c r="D83" s="74">
        <v>32</v>
      </c>
      <c r="E83" s="355" t="s">
        <v>882</v>
      </c>
      <c r="F83" s="278" t="s">
        <v>883</v>
      </c>
      <c r="G83" s="111"/>
    </row>
    <row r="84" spans="1:7">
      <c r="A84" s="74" t="str">
        <f t="shared" si="0"/>
        <v>0x2018</v>
      </c>
      <c r="B84" s="74"/>
      <c r="C84" s="74">
        <v>1</v>
      </c>
      <c r="D84" s="74">
        <v>32</v>
      </c>
      <c r="E84" s="355" t="s">
        <v>34794</v>
      </c>
      <c r="F84" s="278" t="s">
        <v>34795</v>
      </c>
      <c r="G84" s="111"/>
    </row>
    <row r="85" spans="1:7">
      <c r="A85" s="74" t="str">
        <f t="shared" si="0"/>
        <v>0x201C</v>
      </c>
      <c r="B85" s="74"/>
      <c r="C85" s="74">
        <v>1</v>
      </c>
      <c r="D85" s="74">
        <v>32</v>
      </c>
      <c r="E85" s="355" t="s">
        <v>34796</v>
      </c>
      <c r="F85" s="278" t="s">
        <v>34797</v>
      </c>
      <c r="G85" s="111"/>
    </row>
    <row r="86" spans="1:7">
      <c r="A86" s="74" t="str">
        <f t="shared" si="0"/>
        <v>0x2020</v>
      </c>
      <c r="B86" s="74"/>
      <c r="C86" s="74">
        <v>1</v>
      </c>
      <c r="D86" s="74">
        <v>32</v>
      </c>
      <c r="E86" s="355" t="s">
        <v>34798</v>
      </c>
      <c r="F86" s="278" t="s">
        <v>34799</v>
      </c>
      <c r="G86" s="111"/>
    </row>
    <row r="87" spans="1:7">
      <c r="A87" s="74" t="str">
        <f t="shared" si="0"/>
        <v>0x2024</v>
      </c>
      <c r="B87" s="74"/>
      <c r="C87" s="74">
        <v>1</v>
      </c>
      <c r="D87" s="74">
        <v>32</v>
      </c>
      <c r="E87" s="355" t="s">
        <v>34800</v>
      </c>
      <c r="F87" s="278" t="s">
        <v>34801</v>
      </c>
      <c r="G87" s="111"/>
    </row>
    <row r="88" spans="1:7">
      <c r="A88" s="74" t="str">
        <f t="shared" si="0"/>
        <v>0x2028</v>
      </c>
      <c r="B88" s="74"/>
      <c r="C88" s="74">
        <f>(33*512)+472</f>
        <v>17368</v>
      </c>
      <c r="D88" s="74">
        <v>8</v>
      </c>
      <c r="E88" s="355" t="s">
        <v>34802</v>
      </c>
      <c r="F88" s="278" t="s">
        <v>34803</v>
      </c>
      <c r="G88" s="111"/>
    </row>
    <row r="89" spans="1:7">
      <c r="A89" s="74" t="str">
        <f t="shared" si="0"/>
        <v>0x6400</v>
      </c>
      <c r="B89" s="74"/>
      <c r="C89" s="74">
        <v>3072</v>
      </c>
      <c r="D89" s="74">
        <v>8</v>
      </c>
      <c r="E89" s="104" t="s">
        <v>841</v>
      </c>
      <c r="F89" s="278" t="s">
        <v>842</v>
      </c>
      <c r="G89" s="111"/>
    </row>
    <row r="90" spans="1:7">
      <c r="A90" s="74" t="str">
        <f t="shared" si="0"/>
        <v>0x7000</v>
      </c>
      <c r="B90" s="74"/>
      <c r="C90" s="74">
        <v>384</v>
      </c>
      <c r="D90" s="74">
        <v>32</v>
      </c>
      <c r="E90" s="104" t="s">
        <v>973</v>
      </c>
      <c r="F90" s="278" t="s">
        <v>34279</v>
      </c>
      <c r="G90" s="111"/>
    </row>
    <row r="91" spans="1:7">
      <c r="A91" s="74" t="str">
        <f t="shared" si="0"/>
        <v>0x7600</v>
      </c>
      <c r="C91" s="74">
        <v>128</v>
      </c>
      <c r="D91" s="74">
        <v>32</v>
      </c>
      <c r="E91" s="104" t="s">
        <v>975</v>
      </c>
      <c r="F91" s="278" t="s">
        <v>34280</v>
      </c>
      <c r="G91" s="111"/>
    </row>
    <row r="92" spans="1:7">
      <c r="A92" s="74" t="str">
        <f t="shared" si="0"/>
        <v>0x7800</v>
      </c>
      <c r="B92" s="111"/>
      <c r="C92" s="74">
        <v>1</v>
      </c>
      <c r="D92" s="74">
        <v>32</v>
      </c>
      <c r="E92" s="355" t="s">
        <v>799</v>
      </c>
      <c r="F92" s="111" t="s">
        <v>801</v>
      </c>
      <c r="G92" s="111"/>
    </row>
    <row r="93" spans="1:7">
      <c r="A93" s="74" t="s">
        <v>800</v>
      </c>
      <c r="B93" s="111"/>
      <c r="C93" s="74">
        <v>1</v>
      </c>
      <c r="D93" s="74">
        <v>32</v>
      </c>
      <c r="E93" s="104" t="s">
        <v>813</v>
      </c>
      <c r="F93" s="111" t="s">
        <v>816</v>
      </c>
      <c r="G93" s="111"/>
    </row>
    <row r="94" spans="1:7">
      <c r="A94" s="74" t="s">
        <v>802</v>
      </c>
      <c r="B94" s="111"/>
      <c r="C94" s="74">
        <v>1</v>
      </c>
      <c r="D94" s="74">
        <v>32</v>
      </c>
      <c r="E94" s="104" t="s">
        <v>1016</v>
      </c>
      <c r="F94" s="111" t="s">
        <v>34119</v>
      </c>
      <c r="G94" s="111"/>
    </row>
    <row r="95" spans="1:7">
      <c r="A95" s="74" t="s">
        <v>805</v>
      </c>
      <c r="B95" s="111"/>
      <c r="C95" s="74">
        <v>1</v>
      </c>
      <c r="D95" s="74">
        <v>32</v>
      </c>
      <c r="E95" s="260" t="s">
        <v>34485</v>
      </c>
      <c r="F95" s="274" t="s">
        <v>34484</v>
      </c>
      <c r="G95" s="111"/>
    </row>
    <row r="96" spans="1:7">
      <c r="A96" s="74" t="s">
        <v>808</v>
      </c>
      <c r="B96" s="111"/>
      <c r="C96" s="74">
        <v>1</v>
      </c>
      <c r="D96" s="74">
        <v>32</v>
      </c>
      <c r="E96" s="104" t="s">
        <v>803</v>
      </c>
      <c r="F96" s="111" t="s">
        <v>804</v>
      </c>
      <c r="G96" s="111"/>
    </row>
    <row r="97" spans="1:7">
      <c r="A97" s="74" t="s">
        <v>1010</v>
      </c>
      <c r="B97" s="111"/>
      <c r="C97" s="74">
        <v>1</v>
      </c>
      <c r="D97" s="74">
        <v>32</v>
      </c>
      <c r="E97" s="104" t="s">
        <v>806</v>
      </c>
      <c r="F97" s="111" t="s">
        <v>807</v>
      </c>
      <c r="G97" s="111"/>
    </row>
    <row r="98" spans="1:7">
      <c r="A98" s="74" t="s">
        <v>1013</v>
      </c>
      <c r="B98" s="111"/>
      <c r="C98" s="74">
        <v>1</v>
      </c>
      <c r="D98" s="74">
        <v>32</v>
      </c>
      <c r="E98" s="260" t="s">
        <v>34486</v>
      </c>
      <c r="F98" s="274" t="s">
        <v>34484</v>
      </c>
      <c r="G98" s="111"/>
    </row>
    <row r="99" spans="1:7">
      <c r="A99" s="271" t="s">
        <v>34197</v>
      </c>
      <c r="B99" s="111"/>
      <c r="C99" s="74">
        <v>1</v>
      </c>
      <c r="D99" s="74">
        <v>32</v>
      </c>
      <c r="E99" s="260" t="s">
        <v>34487</v>
      </c>
      <c r="F99" s="274" t="s">
        <v>34484</v>
      </c>
      <c r="G99" s="111"/>
    </row>
    <row r="100" spans="1:7">
      <c r="A100" s="271" t="s">
        <v>34198</v>
      </c>
      <c r="B100" s="111"/>
      <c r="C100" s="74">
        <v>1</v>
      </c>
      <c r="D100" s="74">
        <v>32</v>
      </c>
      <c r="E100" s="104" t="s">
        <v>1011</v>
      </c>
      <c r="F100" s="111" t="s">
        <v>1012</v>
      </c>
      <c r="G100" s="111"/>
    </row>
    <row r="101" spans="1:7">
      <c r="A101" s="271" t="s">
        <v>34488</v>
      </c>
      <c r="B101" s="111"/>
      <c r="C101" s="74">
        <v>1</v>
      </c>
      <c r="D101" s="74">
        <v>32</v>
      </c>
      <c r="E101" s="355" t="s">
        <v>34260</v>
      </c>
      <c r="F101" s="111" t="s">
        <v>34281</v>
      </c>
      <c r="G101" s="111"/>
    </row>
    <row r="102" spans="1:7">
      <c r="A102" s="74" t="s">
        <v>809</v>
      </c>
      <c r="B102" s="111"/>
      <c r="C102" s="74">
        <v>1</v>
      </c>
      <c r="D102" s="74">
        <v>32</v>
      </c>
      <c r="E102" s="355" t="s">
        <v>810</v>
      </c>
      <c r="F102" s="111" t="s">
        <v>801</v>
      </c>
      <c r="G102" s="111"/>
    </row>
    <row r="103" spans="1:7">
      <c r="A103" s="74" t="s">
        <v>811</v>
      </c>
      <c r="B103" s="111"/>
      <c r="C103" s="74">
        <v>1</v>
      </c>
      <c r="D103" s="74">
        <v>32</v>
      </c>
      <c r="E103" s="104" t="s">
        <v>812</v>
      </c>
      <c r="F103" s="111" t="s">
        <v>817</v>
      </c>
      <c r="G103" s="111"/>
    </row>
    <row r="104" spans="1:7">
      <c r="A104" s="74" t="s">
        <v>814</v>
      </c>
      <c r="B104" s="111"/>
      <c r="C104" s="74">
        <v>1</v>
      </c>
      <c r="D104" s="74">
        <v>32</v>
      </c>
      <c r="E104" s="104" t="s">
        <v>818</v>
      </c>
      <c r="F104" s="111" t="s">
        <v>819</v>
      </c>
      <c r="G104" s="111"/>
    </row>
    <row r="105" spans="1:7">
      <c r="A105" s="74" t="s">
        <v>815</v>
      </c>
      <c r="B105" s="111"/>
      <c r="C105" s="74">
        <v>1</v>
      </c>
      <c r="D105" s="74">
        <v>32</v>
      </c>
      <c r="E105" s="104" t="s">
        <v>823</v>
      </c>
      <c r="F105" s="111" t="s">
        <v>821</v>
      </c>
      <c r="G105" s="111"/>
    </row>
    <row r="106" spans="1:7">
      <c r="A106" s="74" t="s">
        <v>820</v>
      </c>
      <c r="B106" s="111"/>
      <c r="C106" s="74">
        <v>1</v>
      </c>
      <c r="D106" s="74">
        <v>32</v>
      </c>
      <c r="E106" s="104" t="s">
        <v>824</v>
      </c>
      <c r="F106" s="235" t="s">
        <v>825</v>
      </c>
      <c r="G106" s="111"/>
    </row>
    <row r="107" spans="1:7">
      <c r="A107" s="74" t="s">
        <v>822</v>
      </c>
      <c r="B107" s="111"/>
      <c r="C107" s="74">
        <v>1</v>
      </c>
      <c r="D107" s="74">
        <v>32</v>
      </c>
      <c r="E107" s="104" t="s">
        <v>827</v>
      </c>
      <c r="F107" s="111" t="s">
        <v>828</v>
      </c>
      <c r="G107" s="111"/>
    </row>
    <row r="108" spans="1:7">
      <c r="A108" s="74" t="s">
        <v>826</v>
      </c>
      <c r="B108" s="111"/>
      <c r="C108" s="74">
        <v>1</v>
      </c>
      <c r="D108" s="74">
        <v>32</v>
      </c>
      <c r="E108" s="104" t="s">
        <v>830</v>
      </c>
      <c r="F108" s="235" t="s">
        <v>831</v>
      </c>
      <c r="G108" s="111"/>
    </row>
    <row r="109" spans="1:7">
      <c r="A109" s="74" t="s">
        <v>829</v>
      </c>
      <c r="B109" s="111"/>
      <c r="C109" s="74">
        <v>1</v>
      </c>
      <c r="D109" s="74">
        <v>32</v>
      </c>
      <c r="E109" s="104" t="s">
        <v>34111</v>
      </c>
      <c r="F109" s="111" t="s">
        <v>34117</v>
      </c>
      <c r="G109" s="111"/>
    </row>
    <row r="110" spans="1:7">
      <c r="A110" s="74" t="s">
        <v>832</v>
      </c>
      <c r="B110" s="111"/>
      <c r="C110" s="74">
        <v>1</v>
      </c>
      <c r="D110" s="74">
        <v>32</v>
      </c>
      <c r="E110" s="104" t="s">
        <v>34110</v>
      </c>
      <c r="F110" s="111" t="s">
        <v>34114</v>
      </c>
      <c r="G110" s="111"/>
    </row>
    <row r="111" spans="1:7">
      <c r="A111" s="74" t="s">
        <v>833</v>
      </c>
      <c r="B111" s="111"/>
      <c r="C111" s="74">
        <v>1</v>
      </c>
      <c r="D111" s="74">
        <v>32</v>
      </c>
      <c r="E111" s="104" t="s">
        <v>34112</v>
      </c>
      <c r="F111" s="111" t="s">
        <v>34115</v>
      </c>
      <c r="G111" s="111"/>
    </row>
    <row r="112" spans="1:7">
      <c r="A112" s="74" t="s">
        <v>34305</v>
      </c>
      <c r="B112" s="111"/>
      <c r="C112" s="74">
        <v>1</v>
      </c>
      <c r="D112" s="74">
        <v>32</v>
      </c>
      <c r="E112" s="104" t="s">
        <v>34113</v>
      </c>
      <c r="F112" s="111" t="s">
        <v>34116</v>
      </c>
      <c r="G112" s="111"/>
    </row>
    <row r="113" spans="1:9">
      <c r="A113" s="74" t="s">
        <v>34809</v>
      </c>
      <c r="B113" s="111"/>
      <c r="C113" s="74">
        <v>1</v>
      </c>
      <c r="D113" s="74">
        <v>32</v>
      </c>
      <c r="E113" s="355" t="s">
        <v>34808</v>
      </c>
      <c r="F113" s="111" t="s">
        <v>34810</v>
      </c>
      <c r="G113" s="111"/>
    </row>
    <row r="114" spans="1:9">
      <c r="A114" s="74" t="s">
        <v>34489</v>
      </c>
      <c r="B114" s="111"/>
      <c r="C114" s="74">
        <v>1</v>
      </c>
      <c r="D114" s="74">
        <v>32</v>
      </c>
      <c r="E114" s="355" t="s">
        <v>1017</v>
      </c>
      <c r="F114" s="235" t="s">
        <v>34120</v>
      </c>
      <c r="G114" s="111"/>
    </row>
    <row r="115" spans="1:9">
      <c r="A115" s="74" t="s">
        <v>34306</v>
      </c>
      <c r="B115" s="111"/>
      <c r="C115" s="74">
        <v>1</v>
      </c>
      <c r="D115" s="74">
        <v>32</v>
      </c>
      <c r="E115" s="104" t="s">
        <v>834</v>
      </c>
      <c r="F115" s="235" t="s">
        <v>835</v>
      </c>
      <c r="G115" s="111"/>
    </row>
    <row r="116" spans="1:9">
      <c r="A116" s="74" t="s">
        <v>34307</v>
      </c>
      <c r="B116" s="111"/>
      <c r="C116" s="74">
        <v>1</v>
      </c>
      <c r="D116" s="74">
        <v>32</v>
      </c>
      <c r="E116" s="104" t="s">
        <v>34075</v>
      </c>
      <c r="F116" s="235" t="s">
        <v>34208</v>
      </c>
      <c r="G116" s="111"/>
    </row>
    <row r="117" spans="1:9">
      <c r="A117" s="271" t="s">
        <v>34510</v>
      </c>
      <c r="B117" s="274"/>
      <c r="C117" s="271">
        <v>1</v>
      </c>
      <c r="D117" s="271">
        <v>32</v>
      </c>
      <c r="E117" s="260" t="s">
        <v>34511</v>
      </c>
      <c r="F117" s="359" t="s">
        <v>34522</v>
      </c>
      <c r="G117" s="111"/>
      <c r="I117" s="110" t="s">
        <v>34523</v>
      </c>
    </row>
    <row r="118" spans="1:9">
      <c r="A118" s="74" t="s">
        <v>33957</v>
      </c>
      <c r="B118" s="111"/>
      <c r="C118" s="74">
        <v>1</v>
      </c>
      <c r="D118" s="74">
        <v>32</v>
      </c>
      <c r="E118" s="355" t="s">
        <v>34076</v>
      </c>
      <c r="F118" s="235" t="s">
        <v>34207</v>
      </c>
      <c r="G118" s="111"/>
    </row>
    <row r="119" spans="1:9">
      <c r="A119" s="74"/>
      <c r="B119" s="111"/>
      <c r="C119" s="74"/>
      <c r="D119" s="74"/>
      <c r="E119" s="104"/>
      <c r="F119" s="111"/>
      <c r="G119" s="111"/>
    </row>
  </sheetData>
  <phoneticPr fontId="53"/>
  <hyperlinks>
    <hyperlink ref="C1" location="Summary!$C$1" display="SFLASH.512_ver2" xr:uid="{00000000-0004-0000-0400-000000000000}"/>
    <hyperlink ref="E13" location="SFLASH.512_ver2_Regs!$C$8" display="SILICON_ID" xr:uid="{00000000-0004-0000-0400-000001000000}"/>
    <hyperlink ref="E32" location="SFLASH.512_ver2_Regs!C105" display="GENERAL_TRIM_TABLE" xr:uid="{00000000-0004-0000-0400-000002000000}"/>
    <hyperlink ref="E35" location="SFLASH.512_ver2_Regs!$C$103" display="DIE_LOT" xr:uid="{00000000-0004-0000-0400-000003000000}"/>
    <hyperlink ref="E36" location="SFLASH.512_ver2_Regs!$C$111" display="DIE_WAFER" xr:uid="{00000000-0004-0000-0400-000004000000}"/>
    <hyperlink ref="E37" location="SFLASH.512_ver2_Regs!$C$119" display="DIE_X" xr:uid="{00000000-0004-0000-0400-000005000000}"/>
    <hyperlink ref="E38" location="SFLASH.512_ver2_Regs!$C$127" display="DIE_Y" xr:uid="{00000000-0004-0000-0400-000006000000}"/>
    <hyperlink ref="E39" location="SFLASH.512_ver2_Regs!$C$135" display="DIE_SORT" xr:uid="{00000000-0004-0000-0400-000007000000}"/>
    <hyperlink ref="E40" location="SFLASH.512_ver2_Regs!$C$148" display="DIE_MINOR" xr:uid="{00000000-0004-0000-0400-000008000000}"/>
    <hyperlink ref="E72" location="SFLASH.512_ver2_Regs!$C$194" display="USER_FREE_ROW2" xr:uid="{00000000-0004-0000-0400-000009000000}"/>
    <hyperlink ref="E73" location="SFLASH.512_ver2_Regs!$C$201" display="USER_FREE_ROW3" xr:uid="{00000000-0004-0000-0400-00000A000000}"/>
    <hyperlink ref="E15" location="SFLASH.512_ver2_Regs!$C$23" display="SKIP_HASH" xr:uid="{00000000-0004-0000-0400-00000B000000}"/>
    <hyperlink ref="E41" location="SFLASH.512_ver2_Regs!$C$156" display="DIE_DAY" xr:uid="{00000000-0004-0000-0400-00000C000000}"/>
    <hyperlink ref="E42" location="SFLASH.512_ver2_Regs!$C$164" display="DIE_MONTH" xr:uid="{00000000-0004-0000-0400-00000D000000}"/>
    <hyperlink ref="E43" location="SFLASH.512_ver2_Regs!C188" display="DIE_YEAR" xr:uid="{00000000-0004-0000-0400-00000E000000}"/>
    <hyperlink ref="E16" location="SFLASH.512_ver2_Regs!$C$31" display="FLL_CONTROL" xr:uid="{00000000-0004-0000-0400-00000F000000}"/>
    <hyperlink ref="E89" location="SFLASH.512_ver2_Regs!$C$317" display="PUBLIC_KEY" xr:uid="{00000000-0004-0000-0400-000010000000}"/>
    <hyperlink ref="E90" location="SFLASH.512_ver2_Regs!$C$324" display="BOOT_PROT_SETTINGS" xr:uid="{00000000-0004-0000-0400-000019000000}"/>
    <hyperlink ref="E91" location="SFLASH.512_ver2_Regs!$C$332" display="APP_PROT_SETTINGS" xr:uid="{00000000-0004-0000-0400-00001A000000}"/>
    <hyperlink ref="E17" location="SFLASH.512_ver2_Regs!$C$39" display="NORMAL_ACCESS_CTL" xr:uid="{00000000-0004-0000-0400-00001B000000}"/>
    <hyperlink ref="E14" location="SFLASH.512_ver2_Regs!$C$15" display="SYSCALL_TABLE_ADDRESS" xr:uid="{00000000-0004-0000-0400-00001C000000}"/>
    <hyperlink ref="E34" location="SFLASH.512_ver2_Regs!$C$95" display="DEVICE_SECRET_KEY_TEST" xr:uid="{00000000-0004-0000-0400-00001D000000}"/>
    <hyperlink ref="E33" location="SFLASH.512_ver2_Regs!$C$87" display="DEVICE_SECRET_KEY_TEST_OBJECT_SIZE" xr:uid="{00000000-0004-0000-0400-00001E000000}"/>
    <hyperlink ref="E18" location="SFLASH.512_ver2_Regs!$C$47" display="SINGLE_CORE_WOUND" xr:uid="{00000000-0004-0000-0400-00001F000000}"/>
    <hyperlink ref="E19" location="SFLASH.512_ver2_Regs!$C$55" display="FAMILY_ID" xr:uid="{00000000-0004-0000-0400-000020000000}"/>
    <hyperlink ref="E12" location="SFLASH.512_ver2_Regs!$C$1" display="SI_REVISION_ID" xr:uid="{00000000-0004-0000-0400-000021000000}"/>
    <hyperlink ref="E22" location="SFLASH.512_ver2_Regs!C77" display="WOUND_PROG_PPU" xr:uid="{00000000-0004-0000-0400-000022000000}"/>
    <hyperlink ref="E23" location="SFLASH.512_ver2_Regs!$C$71" display="WOUND_FIXED_PPU" xr:uid="{00000000-0004-0000-0400-000023000000}"/>
    <hyperlink ref="E75" location="SFLASH.512_ver2_Regs!$C$215" display="NORMAL_ACCESS_RESTRICTIONS" xr:uid="{00000000-0004-0000-0400-000024000000}"/>
    <hyperlink ref="E76" location="SFLASH.512_ver2_Regs!$C$233" display="NORMAL_DEAD_ACCESS_RESTRICTIONS" xr:uid="{00000000-0004-0000-0400-000025000000}"/>
    <hyperlink ref="E102" location="SFLASH.512_ver2_Regs!C493" display="TOC2_OBJECT_SIZE" xr:uid="{00000000-0004-0000-0400-000026000000}"/>
    <hyperlink ref="E103" location="SFLASH.512_ver2_Regs!$C$423" display="TOC2_MAGIC_NUMBER" xr:uid="{00000000-0004-0000-0400-000027000000}"/>
    <hyperlink ref="E104" location="SFLASH.512_ver2_Regs!$C$430" display="TOC2_SMIF_CFG_STRUCT_ADDR" xr:uid="{00000000-0004-0000-0400-000028000000}"/>
    <hyperlink ref="E105" location="SFLASH.512_ver2_Regs!$C$437" display="TOC2_FIRST_USER_APP_ADDR" xr:uid="{00000000-0004-0000-0400-000029000000}"/>
    <hyperlink ref="E106" location="SFLASH.512_ver2_Regs!$C$444" display="TOC2_FIRST_USER_APP_FORMAT" xr:uid="{00000000-0004-0000-0400-00002A000000}"/>
    <hyperlink ref="E107" location="SFLASH.512_ver2_Regs!$C$451" display="TOC2_SECOND_USER_APP_ADDR" xr:uid="{00000000-0004-0000-0400-00002B000000}"/>
    <hyperlink ref="E108" location="SFLASH.512_ver2_Regs!$C$458" display="TOC2_SECOND_USER_APP_FORMAT" xr:uid="{00000000-0004-0000-0400-00002C000000}"/>
    <hyperlink ref="E114" location="SFLASH.512_ver2_Regs!C810" display="TOC2_SHASH_OBJECTS" xr:uid="{00000000-0004-0000-0400-00002D000000}"/>
    <hyperlink ref="E116" location="SFLASH.512_ver2_Regs!R500C1" display="TOC2_APP_PROTECTION_ADDR" xr:uid="{00000000-0004-0000-0400-00002E000000}"/>
    <hyperlink ref="E98" location="SFLASH.512_ver2_Regs!R381C1" display="TOC1_RESERVED_1" xr:uid="{00000000-0004-0000-0400-00002F000000}"/>
    <hyperlink ref="E97" location="SFLASH.512_ver2_Regs!$C$374" display="TOC1_FB_OBJECT_ADDR" xr:uid="{00000000-0004-0000-0400-000030000000}"/>
    <hyperlink ref="E96" location="SFLASH.512_ver2_Regs!$C$367" display="TOC1_UNIQUE_ID_ADDR" xr:uid="{00000000-0004-0000-0400-000031000000}"/>
    <hyperlink ref="E95" location="SFLASH.512_ver2_Regs!R360C1" display="TOC1_RESERVED_0" xr:uid="{00000000-0004-0000-0400-000032000000}"/>
    <hyperlink ref="E94" location="SFLASH.512_ver2_Regs!$C$353" display="TOC1_FHASH_OBJECTS" xr:uid="{00000000-0004-0000-0400-000033000000}"/>
    <hyperlink ref="E93" location="SFLASH.512_ver2_Regs!$C$346" display="TOC1_MAGIC_NUMBER" xr:uid="{00000000-0004-0000-0400-000034000000}"/>
    <hyperlink ref="E92" location="SFLASH.512_ver2_Regs!C413" display="TOC1_OBJECT_SIZE" xr:uid="{00000000-0004-0000-0400-000035000000}"/>
    <hyperlink ref="E100" location="SFLASH.512_ver2_Regs!R395C1" display="TOC1_BOOT_PROTECTION_ADDR" xr:uid="{00000000-0004-0000-0400-000036000000}"/>
    <hyperlink ref="E109" location="SFLASH.512_ver2_Regs!$C$465" display="TOC2_FIRST_CMx_1_USER_APP_ADDR" xr:uid="{00000000-0004-0000-0400-000037000000}"/>
    <hyperlink ref="E110" location="SFLASH.512_ver2_Regs!$C$472" display="TOC2_SECOND_CMx_1_USER_APP_ADDR" xr:uid="{00000000-0004-0000-0400-000038000000}"/>
    <hyperlink ref="E111" location="SFLASH.512_ver2_Regs!$C$479" display="TOC2_FIRST_CMx_2_USER_APP_ADDR" xr:uid="{00000000-0004-0000-0400-000039000000}"/>
    <hyperlink ref="E112" location="SFLASH.512_ver2_Regs!$C$486" display="TOC2_SECOND_CMx_2_USER_APP_ADDR" xr:uid="{00000000-0004-0000-0400-00003A000000}"/>
    <hyperlink ref="E115" location="SFLASH.512_ver2_Regs!$C$500" display="TOC2_SIGNATURE_VERIF_KEY" xr:uid="{00000000-0004-0000-0400-00003B000000}"/>
    <hyperlink ref="E99" location="SFLASH.512_ver2_Regs!R388C1" display="TOC1_RESERVED_2" xr:uid="{00000000-0004-0000-0400-00003C000000}"/>
    <hyperlink ref="E101" location="SFLASH.512_ver2_Regs!C485" display="TOC1_8051_CODE_OTP_FLASH_ADDR" xr:uid="{00000000-0004-0000-0400-00003D000000}"/>
    <hyperlink ref="E74" location="SFLASH.512_ver2_Regs!$C$208" display="SFLASH_UPDATE_MARKER" xr:uid="{00000000-0004-0000-0400-00003E000000}"/>
    <hyperlink ref="E71" location="SFLASH.512_ver2_Regs!$C$187" display="USER_FREE_ROW1" xr:uid="{00000000-0004-0000-0400-00003F000000}"/>
    <hyperlink ref="E70" location="SFLASH.512_ver2_Regs!$C$180" display="USER_FREE_ROW0" xr:uid="{00000000-0004-0000-0400-000040000000}"/>
    <hyperlink ref="E118" location="SFLASH.512_ver2_Regs!A538" display="TOC2_FLAGS" xr:uid="{00000000-0004-0000-0400-000041000000}"/>
    <hyperlink ref="E69" location="SFLASH.512_ver2_Regs!C206" display="SRSS_PWR_OFFSET" xr:uid="{00000000-0004-0000-0400-000042000000}"/>
    <hyperlink ref="E20" location="SFLASH.512_ver2_Regs!C63" display="EFUSE_PROGRAM_DELAY" xr:uid="{00000000-0004-0000-0400-000043000000}"/>
    <hyperlink ref="E21" location="SFLASH.512_ver2_Regs!C70" display="EFUSE_REG_RAMP_UP_DELAY" xr:uid="{00000000-0004-0000-0400-000044000000}"/>
    <hyperlink ref="E117" location="SFLASH.512_ver2_Regs!A531" display="TOC2_REVISION" xr:uid="{00000000-0004-0000-0400-000045000000}"/>
    <hyperlink ref="I117" r:id="rId1" display="https://cdt.cypress.com/scripts/isynch.dll?panel=NoteDetail&amp;NoteType=Ticket&amp;NoteId=333921&amp;DisplayMode=View" xr:uid="{00000000-0004-0000-0400-000046000000}"/>
    <hyperlink ref="E31" location="SFLASH.512_ver2_Regs!C151" display="FB_FLAGS" xr:uid="{25F791F9-9E87-42E3-B392-338C96CF8720}"/>
    <hyperlink ref="E24" location="SFLASH.512_ver2_Regs!A95" display="SORT_REV" xr:uid="{271CE760-5D04-4DA8-9D95-237BDD3DEE6E}"/>
    <hyperlink ref="E30" location="SFLASH.512_ver2_Regs!A127" display="SFLASH_XML_SVN" xr:uid="{8F9CE867-1C77-42EE-8C45-21A641924A25}"/>
    <hyperlink ref="E29" location="SFLASH.512_ver2_Regs!A119" display="CHI_AB_REV" xr:uid="{25105878-13E1-4B0E-B0B1-8B05DAD651F6}"/>
    <hyperlink ref="E28" location="SFLASH.512_ver2_Regs!A111" display="CRI_AB_REV" xr:uid="{6C9F70E7-5F69-4EB4-921E-DCFF906B39A2}"/>
    <hyperlink ref="E27" location="SFLASH.512_ver2_Regs!A103" display="CRI_BB_REV" xr:uid="{9E45C3C4-603D-4FA2-80F6-FFA6FB140772}"/>
    <hyperlink ref="E25" location="SFLASH.512_ver2_Regs!A95" display="SORT_REV" xr:uid="{12F6074B-19D6-45BD-8A03-7D214E5E5C94}"/>
    <hyperlink ref="E26" location="SFLASH.512_ver2_Regs!A95" display="SORT_REV" xr:uid="{F9FBE853-8A82-4C56-BC41-0563940A73A4}"/>
    <hyperlink ref="E44" location="SFLASH.512_ver2_Regs!C262" display="EPASS_TEMP_TRIM" xr:uid="{DA635EDE-122C-408A-9985-7C09D19D2066}"/>
    <hyperlink ref="E78" location="SFLASH.512_ver2_Regs!C534" display="FLASH_BOOT_OBJECT_SIZE" xr:uid="{C8F1DE9C-E728-431A-B574-AA0D24756E46}"/>
    <hyperlink ref="E81" location="SFLASH.512_ver2_Regs!C560" display="FLASH_BOOT_N_CORES" xr:uid="{07CD5753-CF0F-4E9E-88D3-7F68C07C7BF0}"/>
    <hyperlink ref="E82" location="SFLASH.512_ver2_Regs!C568" display="FLASH_BOOT_VT_OFFSET" xr:uid="{73A4F8B0-B4C0-4BA0-80BD-355CF64F2D4C}"/>
    <hyperlink ref="E83" location="SFLASH.512_ver2_Regs!C576" display="FLASH_BOOT_CORE_CPUID" xr:uid="{ACB37471-D86D-44EA-B1C3-3451C3DBB11E}"/>
    <hyperlink ref="E84" location="SFLASH.512_ver2_Regs!C584" display="FLASH_BOOT_VERSION_LOW" xr:uid="{4C52809D-9F2C-48F1-9D7D-46F12436CA8E}"/>
    <hyperlink ref="E79" location="SFLASH.512_ver2_Regs!C542" display="FLASH_BOOT_APP_ID" xr:uid="{80E02394-A16A-4A7A-9E51-9E110D72E0C1}"/>
    <hyperlink ref="E80" location="SFLASH.512_ver2_Regs!C552" display="FLASH_BOOT_ATTRIBUTE" xr:uid="{EA6E233A-CED3-4515-96E7-F079B5F8AD0A}"/>
    <hyperlink ref="E85" location="SFLASH.512_ver2_Regs!C592" display="FLASH_BOOT_FAMILY_ID" xr:uid="{92E6B995-D034-425E-AB80-BBB58F43164C}"/>
    <hyperlink ref="E86" location="SFLASH.512_ver2_Regs!C600" display="FLASH_BOOT_MSP" xr:uid="{D3E657C6-CC2F-4CBD-AA27-1499DBCACEBF}"/>
    <hyperlink ref="E87" location="SFLASH.512_ver2_Regs!C608" display="FLASH_BOOT_PC" xr:uid="{622C24E0-1DA2-4852-AA5A-2A2CFBDB7487}"/>
    <hyperlink ref="E88" location="SFLASH.512_ver2_Regs!C616" display="FLASH_BOOT_CODE_DATA" xr:uid="{2920474A-98EF-4E5C-9D84-F7AE105C7766}"/>
    <hyperlink ref="E77" location="SFLASH.512_ver2_Regs!C526" display="FLASH_BOOT_OBJECT_SIZE" xr:uid="{6DD676DE-3A80-456F-B7FA-8684278D07EF}"/>
    <hyperlink ref="E113" location="SFLASH.512_ver2_Regs!C803" display="TOC2_SECURITY_UPDATES_MARKER" xr:uid="{3E4AD6F1-6762-4E48-8BE1-E4CD113AB3E8}"/>
  </hyperlinks>
  <pageMargins left="0.75" right="0.75" top="1" bottom="1" header="0.5" footer="0.5"/>
  <pageSetup orientation="portrait" horizontalDpi="4294967292" verticalDpi="4294967292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J848"/>
  <sheetViews>
    <sheetView showGridLines="0" topLeftCell="A55" zoomScaleNormal="100" workbookViewId="0">
      <selection activeCell="A63" sqref="A63:A69"/>
    </sheetView>
  </sheetViews>
  <sheetFormatPr defaultColWidth="9" defaultRowHeight="12.5"/>
  <cols>
    <col min="1" max="1" width="10.6640625" style="3" customWidth="1"/>
    <col min="2" max="2" width="31.08203125" style="3" customWidth="1"/>
    <col min="3" max="6" width="9" style="3"/>
    <col min="7" max="7" width="68.6640625" style="3" customWidth="1"/>
    <col min="8" max="8" width="9" style="3"/>
    <col min="9" max="9" width="10.58203125" style="3" bestFit="1" customWidth="1"/>
    <col min="10" max="16384" width="9" style="3"/>
  </cols>
  <sheetData>
    <row r="1" spans="1:7" ht="13">
      <c r="A1" s="1" t="s">
        <v>24</v>
      </c>
      <c r="C1" s="11" t="str">
        <f>SFLASH.512_ver2!$E$12</f>
        <v>SI_REVISION_ID</v>
      </c>
    </row>
    <row r="2" spans="1:7" ht="15.5">
      <c r="A2" s="1" t="s">
        <v>47</v>
      </c>
      <c r="C2" s="188">
        <f>SFLASH.512_ver2!$C$12</f>
        <v>1</v>
      </c>
    </row>
    <row r="3" spans="1:7" ht="15.5">
      <c r="A3" s="1" t="s">
        <v>23</v>
      </c>
      <c r="C3" s="188" t="str">
        <f>SFLASH.512_ver2!$F$12</f>
        <v>Indicates Silicon Revision ID of the device</v>
      </c>
    </row>
    <row r="4" spans="1:7" ht="13">
      <c r="A4" s="1" t="s">
        <v>44</v>
      </c>
      <c r="C4" s="3" t="s">
        <v>1027</v>
      </c>
    </row>
    <row r="5" spans="1:7" ht="13">
      <c r="A5" s="15" t="s">
        <v>43</v>
      </c>
      <c r="B5" s="14" t="s">
        <v>24</v>
      </c>
      <c r="C5" s="13" t="s">
        <v>42</v>
      </c>
      <c r="D5" s="13" t="s">
        <v>41</v>
      </c>
      <c r="E5" s="13" t="s">
        <v>40</v>
      </c>
      <c r="F5" s="13" t="s">
        <v>39</v>
      </c>
      <c r="G5" s="16" t="s">
        <v>23</v>
      </c>
    </row>
    <row r="6" spans="1:7">
      <c r="A6" s="161" t="s">
        <v>45</v>
      </c>
      <c r="B6" s="160" t="s">
        <v>1021</v>
      </c>
      <c r="C6" s="12"/>
      <c r="D6" s="12" t="s">
        <v>38</v>
      </c>
      <c r="E6" s="12" t="s">
        <v>37</v>
      </c>
      <c r="F6" s="12"/>
      <c r="G6" s="162" t="s">
        <v>1022</v>
      </c>
    </row>
    <row r="8" spans="1:7" ht="13">
      <c r="A8" s="1" t="s">
        <v>24</v>
      </c>
      <c r="C8" s="11" t="str">
        <f>SFLASH.512_ver2!$E$13</f>
        <v>SILICON_ID</v>
      </c>
    </row>
    <row r="9" spans="1:7" ht="15.5">
      <c r="A9" s="1" t="s">
        <v>47</v>
      </c>
      <c r="C9" s="188">
        <f>SFLASH.512_ver2!$C$13</f>
        <v>1</v>
      </c>
    </row>
    <row r="10" spans="1:7" ht="15.5">
      <c r="A10" s="1" t="s">
        <v>23</v>
      </c>
      <c r="C10" s="188" t="str">
        <f>SFLASH.512_ver2!$F$13</f>
        <v>Indicates Silicon ID of the device</v>
      </c>
    </row>
    <row r="11" spans="1:7" ht="13">
      <c r="A11" s="1" t="s">
        <v>44</v>
      </c>
      <c r="C11" s="3" t="s">
        <v>264</v>
      </c>
    </row>
    <row r="12" spans="1:7" ht="13">
      <c r="A12" s="15" t="s">
        <v>43</v>
      </c>
      <c r="B12" s="14" t="s">
        <v>24</v>
      </c>
      <c r="C12" s="13" t="s">
        <v>42</v>
      </c>
      <c r="D12" s="13" t="s">
        <v>41</v>
      </c>
      <c r="E12" s="13" t="s">
        <v>40</v>
      </c>
      <c r="F12" s="13" t="s">
        <v>39</v>
      </c>
      <c r="G12" s="16" t="s">
        <v>23</v>
      </c>
    </row>
    <row r="13" spans="1:7">
      <c r="A13" s="161" t="s">
        <v>48</v>
      </c>
      <c r="B13" s="160" t="s">
        <v>50</v>
      </c>
      <c r="C13" s="12"/>
      <c r="D13" s="12" t="s">
        <v>38</v>
      </c>
      <c r="E13" s="12" t="s">
        <v>37</v>
      </c>
      <c r="F13" s="12"/>
      <c r="G13" s="162" t="s">
        <v>270</v>
      </c>
    </row>
    <row r="14" spans="1:7">
      <c r="A14" s="163"/>
      <c r="B14" s="164"/>
      <c r="C14" s="105"/>
      <c r="D14" s="105"/>
      <c r="E14" s="105"/>
      <c r="F14" s="105"/>
      <c r="G14" s="165"/>
    </row>
    <row r="15" spans="1:7" ht="13">
      <c r="A15" s="1" t="s">
        <v>24</v>
      </c>
      <c r="C15" s="11" t="str">
        <f>SFLASH.512_ver2!$E$14</f>
        <v>SYSCALL_TABLE_ADDRESS</v>
      </c>
    </row>
    <row r="16" spans="1:7" ht="15.5">
      <c r="A16" s="1" t="s">
        <v>47</v>
      </c>
      <c r="C16" s="188">
        <f>SFLASH.512_ver2!$C$14</f>
        <v>1</v>
      </c>
    </row>
    <row r="17" spans="1:7" ht="15.5">
      <c r="A17" s="1" t="s">
        <v>23</v>
      </c>
      <c r="C17" s="188" t="str">
        <f>SFLASH.512_ver2!$F$14</f>
        <v>Indicates the system call table location</v>
      </c>
    </row>
    <row r="18" spans="1:7" ht="13">
      <c r="A18" s="158" t="s">
        <v>29</v>
      </c>
      <c r="B18" s="159"/>
      <c r="C18" s="109" t="s">
        <v>238</v>
      </c>
    </row>
    <row r="19" spans="1:7" ht="13">
      <c r="A19" s="1" t="s">
        <v>44</v>
      </c>
      <c r="C19" s="3" t="s">
        <v>265</v>
      </c>
    </row>
    <row r="20" spans="1:7" ht="13">
      <c r="A20" s="17" t="s">
        <v>43</v>
      </c>
      <c r="B20" s="113" t="s">
        <v>24</v>
      </c>
      <c r="C20" s="114" t="s">
        <v>42</v>
      </c>
      <c r="D20" s="114" t="s">
        <v>41</v>
      </c>
      <c r="E20" s="114" t="s">
        <v>40</v>
      </c>
      <c r="F20" s="114" t="s">
        <v>39</v>
      </c>
      <c r="G20" s="115" t="s">
        <v>23</v>
      </c>
    </row>
    <row r="21" spans="1:7">
      <c r="A21" s="161">
        <v>32</v>
      </c>
      <c r="B21" s="160" t="s">
        <v>181</v>
      </c>
      <c r="C21" s="103"/>
      <c r="D21" s="12" t="s">
        <v>38</v>
      </c>
      <c r="E21" s="319" t="s">
        <v>37</v>
      </c>
      <c r="F21" s="103"/>
      <c r="G21" s="103"/>
    </row>
    <row r="23" spans="1:7" ht="13">
      <c r="A23" s="1" t="s">
        <v>24</v>
      </c>
      <c r="C23" s="11" t="str">
        <f>SFLASH.512_ver2!$E$15</f>
        <v>SKIP_HASH</v>
      </c>
    </row>
    <row r="24" spans="1:7" ht="15.5">
      <c r="A24" s="1" t="s">
        <v>47</v>
      </c>
      <c r="C24" s="188">
        <f>SFLASH.512_ver2!$C$15</f>
        <v>1</v>
      </c>
    </row>
    <row r="25" spans="1:7" ht="15.5">
      <c r="A25" s="1" t="s">
        <v>23</v>
      </c>
      <c r="C25" s="188" t="str">
        <f>SFLASH.512_ver2!$F$15</f>
        <v>Skips hash validation of general trims during boot</v>
      </c>
    </row>
    <row r="26" spans="1:7" ht="13">
      <c r="A26" s="158" t="s">
        <v>29</v>
      </c>
      <c r="B26" s="159"/>
      <c r="C26" s="109" t="s">
        <v>238</v>
      </c>
    </row>
    <row r="27" spans="1:7" ht="13">
      <c r="A27" s="1" t="s">
        <v>44</v>
      </c>
      <c r="C27" s="3" t="s">
        <v>527</v>
      </c>
    </row>
    <row r="28" spans="1:7" ht="13">
      <c r="A28" s="17" t="s">
        <v>43</v>
      </c>
      <c r="B28" s="113" t="s">
        <v>24</v>
      </c>
      <c r="C28" s="114" t="s">
        <v>42</v>
      </c>
      <c r="D28" s="114" t="s">
        <v>41</v>
      </c>
      <c r="E28" s="114" t="s">
        <v>40</v>
      </c>
      <c r="F28" s="114" t="s">
        <v>39</v>
      </c>
      <c r="G28" s="115" t="s">
        <v>23</v>
      </c>
    </row>
    <row r="29" spans="1:7">
      <c r="A29" s="161" t="s">
        <v>528</v>
      </c>
      <c r="B29" s="160" t="s">
        <v>525</v>
      </c>
      <c r="C29" s="103"/>
      <c r="D29" s="12" t="s">
        <v>38</v>
      </c>
      <c r="E29" s="319">
        <v>0</v>
      </c>
      <c r="F29" s="103"/>
      <c r="G29" s="103"/>
    </row>
    <row r="30" spans="1:7">
      <c r="A30" s="163"/>
      <c r="B30" s="164"/>
      <c r="D30" s="105"/>
    </row>
    <row r="31" spans="1:7" ht="13">
      <c r="A31" s="1" t="s">
        <v>24</v>
      </c>
      <c r="C31" s="11" t="str">
        <f>SFLASH.512_ver2!$E$16</f>
        <v>FLL_CONTROL</v>
      </c>
    </row>
    <row r="32" spans="1:7" ht="15.5">
      <c r="A32" s="1" t="s">
        <v>47</v>
      </c>
      <c r="C32" s="188">
        <f>SFLASH.512_ver2!$C$16</f>
        <v>1</v>
      </c>
    </row>
    <row r="33" spans="1:7" ht="15.5">
      <c r="A33" s="1" t="s">
        <v>23</v>
      </c>
      <c r="C33" s="188" t="str">
        <f>SFLASH.512_ver2!$F$16</f>
        <v>Controls FLL settings during ROM boot</v>
      </c>
    </row>
    <row r="34" spans="1:7" ht="13">
      <c r="A34" s="158" t="s">
        <v>29</v>
      </c>
      <c r="B34" s="159"/>
      <c r="C34" s="109" t="s">
        <v>238</v>
      </c>
    </row>
    <row r="35" spans="1:7" ht="13">
      <c r="A35" s="1" t="s">
        <v>44</v>
      </c>
    </row>
    <row r="36" spans="1:7" ht="13">
      <c r="A36" s="116" t="s">
        <v>43</v>
      </c>
      <c r="B36" s="117" t="s">
        <v>24</v>
      </c>
      <c r="C36" s="118" t="s">
        <v>42</v>
      </c>
      <c r="D36" s="118" t="s">
        <v>41</v>
      </c>
      <c r="E36" s="118" t="s">
        <v>40</v>
      </c>
      <c r="F36" s="118" t="s">
        <v>39</v>
      </c>
      <c r="G36" s="119" t="s">
        <v>23</v>
      </c>
    </row>
    <row r="37" spans="1:7">
      <c r="A37" s="166" t="s">
        <v>49</v>
      </c>
      <c r="B37" s="239" t="s">
        <v>794</v>
      </c>
      <c r="C37" s="240"/>
      <c r="D37" s="240" t="s">
        <v>38</v>
      </c>
      <c r="E37" s="240">
        <v>0</v>
      </c>
      <c r="F37" s="240"/>
      <c r="G37" s="318" t="s">
        <v>797</v>
      </c>
    </row>
    <row r="38" spans="1:7">
      <c r="A38" s="163"/>
      <c r="B38" s="231"/>
      <c r="C38" s="105"/>
      <c r="D38" s="105"/>
      <c r="E38" s="105"/>
      <c r="F38" s="105"/>
    </row>
    <row r="39" spans="1:7" ht="13">
      <c r="A39" s="1" t="s">
        <v>24</v>
      </c>
      <c r="C39" s="11" t="str">
        <f>SFLASH.512_ver2!$E$17</f>
        <v>NORMAL_ACCESS_CTL</v>
      </c>
    </row>
    <row r="40" spans="1:7" ht="15.5">
      <c r="A40" s="1" t="s">
        <v>47</v>
      </c>
      <c r="C40" s="188">
        <f>SFLASH.512_ver2!$C$17</f>
        <v>1</v>
      </c>
    </row>
    <row r="41" spans="1:7" ht="15.5">
      <c r="A41" s="1" t="s">
        <v>23</v>
      </c>
      <c r="C41" s="188" t="str">
        <f>SFLASH.512_ver2!$F$17</f>
        <v>Specifies if Normal Access Restriction can be modified to be less restrictive</v>
      </c>
    </row>
    <row r="42" spans="1:7" ht="13">
      <c r="A42" s="158" t="s">
        <v>29</v>
      </c>
      <c r="B42" s="159"/>
      <c r="C42" s="109" t="s">
        <v>238</v>
      </c>
    </row>
    <row r="43" spans="1:7" ht="13">
      <c r="A43" s="1" t="s">
        <v>44</v>
      </c>
    </row>
    <row r="44" spans="1:7" ht="13">
      <c r="A44" s="116" t="s">
        <v>43</v>
      </c>
      <c r="B44" s="117" t="s">
        <v>24</v>
      </c>
      <c r="C44" s="118" t="s">
        <v>42</v>
      </c>
      <c r="D44" s="118" t="s">
        <v>41</v>
      </c>
      <c r="E44" s="118" t="s">
        <v>40</v>
      </c>
      <c r="F44" s="118" t="s">
        <v>39</v>
      </c>
      <c r="G44" s="119" t="s">
        <v>23</v>
      </c>
    </row>
    <row r="45" spans="1:7" ht="25">
      <c r="A45" s="166" t="s">
        <v>49</v>
      </c>
      <c r="B45" s="120" t="s">
        <v>838</v>
      </c>
      <c r="C45" s="12"/>
      <c r="D45" s="12" t="s">
        <v>38</v>
      </c>
      <c r="E45" s="12">
        <v>0</v>
      </c>
      <c r="F45" s="12"/>
      <c r="G45" s="232" t="s">
        <v>839</v>
      </c>
    </row>
    <row r="46" spans="1:7">
      <c r="A46" s="163"/>
      <c r="B46" s="231"/>
      <c r="C46" s="105"/>
      <c r="D46" s="105"/>
      <c r="E46" s="105"/>
      <c r="F46" s="105"/>
    </row>
    <row r="47" spans="1:7" ht="13">
      <c r="A47" s="1" t="s">
        <v>24</v>
      </c>
      <c r="C47" s="11" t="str">
        <f>SFLASH.512_ver2!$E$18</f>
        <v>SINGLE_CORE_WOUND</v>
      </c>
    </row>
    <row r="48" spans="1:7" ht="15.5">
      <c r="A48" s="1" t="s">
        <v>47</v>
      </c>
      <c r="C48" s="188">
        <f>SFLASH.512_ver2!$C$18</f>
        <v>1</v>
      </c>
    </row>
    <row r="49" spans="1:7" ht="15.5">
      <c r="A49" s="1" t="s">
        <v>23</v>
      </c>
      <c r="C49" s="188" t="str">
        <f>SFLASH.512_ver2!$F$18</f>
        <v>Single core wound configuration</v>
      </c>
    </row>
    <row r="50" spans="1:7" ht="13">
      <c r="A50" s="158" t="s">
        <v>29</v>
      </c>
      <c r="B50" s="159"/>
      <c r="C50" s="109" t="s">
        <v>238</v>
      </c>
    </row>
    <row r="51" spans="1:7" ht="13">
      <c r="A51" s="1" t="s">
        <v>44</v>
      </c>
    </row>
    <row r="52" spans="1:7" ht="13">
      <c r="A52" s="116" t="s">
        <v>43</v>
      </c>
      <c r="B52" s="117" t="s">
        <v>24</v>
      </c>
      <c r="C52" s="118" t="s">
        <v>42</v>
      </c>
      <c r="D52" s="118" t="s">
        <v>41</v>
      </c>
      <c r="E52" s="118" t="s">
        <v>40</v>
      </c>
      <c r="F52" s="118" t="s">
        <v>39</v>
      </c>
      <c r="G52" s="119" t="s">
        <v>23</v>
      </c>
    </row>
    <row r="53" spans="1:7" ht="25">
      <c r="A53" s="166" t="s">
        <v>49</v>
      </c>
      <c r="B53" s="120" t="s">
        <v>979</v>
      </c>
      <c r="C53" s="12"/>
      <c r="D53" s="12" t="s">
        <v>38</v>
      </c>
      <c r="E53" s="12">
        <v>0</v>
      </c>
      <c r="F53" s="12"/>
      <c r="G53" s="232" t="s">
        <v>34210</v>
      </c>
    </row>
    <row r="54" spans="1:7">
      <c r="A54" s="163"/>
      <c r="B54" s="231"/>
      <c r="C54" s="105"/>
      <c r="D54" s="105"/>
      <c r="E54" s="105"/>
      <c r="F54" s="105"/>
    </row>
    <row r="55" spans="1:7" ht="13">
      <c r="A55" s="1" t="s">
        <v>24</v>
      </c>
      <c r="C55" s="11" t="str">
        <f>SFLASH.512_ver2!$E$19</f>
        <v>FAMILY_ID</v>
      </c>
    </row>
    <row r="56" spans="1:7" ht="15.5">
      <c r="A56" s="1" t="s">
        <v>47</v>
      </c>
      <c r="C56" s="188">
        <f>SFLASH.512_ver2!$C$19</f>
        <v>1</v>
      </c>
    </row>
    <row r="57" spans="1:7" ht="15.5">
      <c r="A57" s="1" t="s">
        <v>23</v>
      </c>
      <c r="C57" s="188" t="str">
        <f>SFLASH.512_ver2!$F$19</f>
        <v>Indicates Family ID of the device</v>
      </c>
    </row>
    <row r="58" spans="1:7" ht="13">
      <c r="A58" s="158" t="s">
        <v>29</v>
      </c>
      <c r="B58" s="159"/>
      <c r="C58" s="109" t="s">
        <v>238</v>
      </c>
    </row>
    <row r="59" spans="1:7" ht="13">
      <c r="A59" s="1" t="s">
        <v>44</v>
      </c>
    </row>
    <row r="60" spans="1:7" ht="13">
      <c r="A60" s="116" t="s">
        <v>43</v>
      </c>
      <c r="B60" s="117" t="s">
        <v>24</v>
      </c>
      <c r="C60" s="118" t="s">
        <v>42</v>
      </c>
      <c r="D60" s="118" t="s">
        <v>41</v>
      </c>
      <c r="E60" s="118" t="s">
        <v>40</v>
      </c>
      <c r="F60" s="118" t="s">
        <v>39</v>
      </c>
      <c r="G60" s="119" t="s">
        <v>23</v>
      </c>
    </row>
    <row r="61" spans="1:7">
      <c r="A61" s="161" t="s">
        <v>48</v>
      </c>
      <c r="B61" s="160" t="s">
        <v>1023</v>
      </c>
      <c r="C61" s="12"/>
      <c r="D61" s="12" t="s">
        <v>38</v>
      </c>
      <c r="E61" s="12" t="s">
        <v>37</v>
      </c>
      <c r="F61" s="12"/>
      <c r="G61" s="232" t="s">
        <v>34211</v>
      </c>
    </row>
    <row r="62" spans="1:7">
      <c r="A62" s="163"/>
      <c r="B62" s="231"/>
      <c r="C62" s="105"/>
      <c r="D62" s="105"/>
      <c r="E62" s="105"/>
      <c r="F62" s="105"/>
    </row>
    <row r="63" spans="1:7" ht="13">
      <c r="A63" s="158" t="s">
        <v>24</v>
      </c>
      <c r="B63" s="159"/>
      <c r="C63" s="11" t="str">
        <f>SFLASH.512_ver2!$E$20</f>
        <v>EFUSE_PROGRAM_DELAY</v>
      </c>
      <c r="D63" s="167"/>
      <c r="E63" s="167"/>
      <c r="F63" s="167"/>
      <c r="G63" s="168"/>
    </row>
    <row r="64" spans="1:7" ht="15.5">
      <c r="A64" s="158" t="s">
        <v>47</v>
      </c>
      <c r="B64" s="159"/>
      <c r="C64" s="188">
        <f>SFLASH.512_ver2!$C$20</f>
        <v>1</v>
      </c>
      <c r="D64" s="167"/>
      <c r="E64" s="167"/>
      <c r="F64" s="167"/>
      <c r="G64" s="168"/>
    </row>
    <row r="65" spans="1:7" ht="15.5">
      <c r="A65" s="158" t="s">
        <v>23</v>
      </c>
      <c r="B65" s="159"/>
      <c r="C65" s="188" t="str">
        <f>SFLASH.512_ver2!$F$20</f>
        <v>Efuse program delay</v>
      </c>
      <c r="D65" s="169"/>
      <c r="E65" s="169"/>
      <c r="F65" s="167"/>
      <c r="G65" s="170"/>
    </row>
    <row r="66" spans="1:7" ht="13">
      <c r="A66" s="1" t="s">
        <v>29</v>
      </c>
      <c r="B66" s="2"/>
      <c r="C66" s="8" t="s">
        <v>238</v>
      </c>
      <c r="D66" s="169"/>
      <c r="E66" s="169"/>
      <c r="F66" s="167"/>
      <c r="G66" s="170"/>
    </row>
    <row r="67" spans="1:7" ht="13">
      <c r="A67" s="158" t="s">
        <v>44</v>
      </c>
      <c r="B67" s="159"/>
      <c r="C67" s="423"/>
      <c r="D67" s="423"/>
      <c r="E67" s="423"/>
      <c r="F67" s="423"/>
      <c r="G67" s="423"/>
    </row>
    <row r="68" spans="1:7" ht="13">
      <c r="A68" s="171" t="s">
        <v>43</v>
      </c>
      <c r="B68" s="172" t="s">
        <v>24</v>
      </c>
      <c r="C68" s="173" t="s">
        <v>42</v>
      </c>
      <c r="D68" s="173" t="s">
        <v>41</v>
      </c>
      <c r="E68" s="173" t="s">
        <v>40</v>
      </c>
      <c r="F68" s="173" t="s">
        <v>39</v>
      </c>
      <c r="G68" s="174" t="s">
        <v>23</v>
      </c>
    </row>
    <row r="69" spans="1:7">
      <c r="A69" s="175" t="s">
        <v>48</v>
      </c>
      <c r="B69" s="176" t="s">
        <v>34499</v>
      </c>
      <c r="C69" s="177"/>
      <c r="D69" s="177" t="s">
        <v>38</v>
      </c>
      <c r="E69" s="177" t="s">
        <v>37</v>
      </c>
      <c r="F69" s="177"/>
      <c r="G69" s="178"/>
    </row>
    <row r="70" spans="1:7">
      <c r="A70" s="163"/>
      <c r="B70" s="231"/>
      <c r="C70" s="105"/>
      <c r="D70" s="105"/>
      <c r="E70" s="105"/>
      <c r="F70" s="105"/>
    </row>
    <row r="71" spans="1:7" ht="13">
      <c r="A71" s="158" t="s">
        <v>24</v>
      </c>
      <c r="B71" s="159"/>
      <c r="C71" s="11" t="str">
        <f>SFLASH.512_ver2!$E$21</f>
        <v>EFUSE_REG_RAMP_UP_DELAY</v>
      </c>
      <c r="D71" s="167"/>
      <c r="E71" s="167"/>
      <c r="F71" s="167"/>
      <c r="G71" s="168"/>
    </row>
    <row r="72" spans="1:7" ht="15.5">
      <c r="A72" s="158" t="s">
        <v>47</v>
      </c>
      <c r="B72" s="159"/>
      <c r="C72" s="188">
        <f>SFLASH.512_ver2!$C$21</f>
        <v>1</v>
      </c>
      <c r="D72" s="167"/>
      <c r="E72" s="167"/>
      <c r="F72" s="167"/>
      <c r="G72" s="168"/>
    </row>
    <row r="73" spans="1:7" ht="15.5">
      <c r="A73" s="158" t="s">
        <v>23</v>
      </c>
      <c r="B73" s="159"/>
      <c r="C73" s="188" t="str">
        <f>SFLASH.512_ver2!$F$21</f>
        <v>Efuse regulator ramp up delay</v>
      </c>
      <c r="D73" s="169"/>
      <c r="E73" s="169"/>
      <c r="F73" s="167"/>
      <c r="G73" s="170"/>
    </row>
    <row r="74" spans="1:7" ht="13">
      <c r="A74" s="1" t="s">
        <v>29</v>
      </c>
      <c r="B74" s="2"/>
      <c r="C74" s="8" t="s">
        <v>238</v>
      </c>
      <c r="D74" s="169"/>
      <c r="E74" s="169"/>
      <c r="F74" s="167"/>
      <c r="G74" s="170"/>
    </row>
    <row r="75" spans="1:7" ht="13">
      <c r="A75" s="158" t="s">
        <v>44</v>
      </c>
      <c r="B75" s="159"/>
      <c r="C75" s="423"/>
      <c r="D75" s="423"/>
      <c r="E75" s="423"/>
      <c r="F75" s="423"/>
      <c r="G75" s="423"/>
    </row>
    <row r="76" spans="1:7" ht="13">
      <c r="A76" s="171" t="s">
        <v>43</v>
      </c>
      <c r="B76" s="172" t="s">
        <v>24</v>
      </c>
      <c r="C76" s="173" t="s">
        <v>42</v>
      </c>
      <c r="D76" s="173" t="s">
        <v>41</v>
      </c>
      <c r="E76" s="173" t="s">
        <v>40</v>
      </c>
      <c r="F76" s="173" t="s">
        <v>39</v>
      </c>
      <c r="G76" s="174" t="s">
        <v>23</v>
      </c>
    </row>
    <row r="77" spans="1:7">
      <c r="A77" s="175" t="s">
        <v>48</v>
      </c>
      <c r="B77" s="176" t="s">
        <v>34499</v>
      </c>
      <c r="C77" s="177"/>
      <c r="D77" s="177" t="s">
        <v>38</v>
      </c>
      <c r="E77" s="177" t="s">
        <v>37</v>
      </c>
      <c r="F77" s="177"/>
      <c r="G77" s="178"/>
    </row>
    <row r="78" spans="1:7">
      <c r="A78" s="163"/>
      <c r="B78" s="231"/>
      <c r="C78" s="105"/>
      <c r="D78" s="105"/>
      <c r="E78" s="105"/>
      <c r="F78" s="105"/>
    </row>
    <row r="79" spans="1:7" ht="13">
      <c r="A79" s="1" t="s">
        <v>24</v>
      </c>
      <c r="C79" s="11" t="str">
        <f>SFLASH.512_ver2!$E$22</f>
        <v>WOUND_PROG_PPU</v>
      </c>
    </row>
    <row r="80" spans="1:7" ht="15.5">
      <c r="A80" s="1" t="s">
        <v>47</v>
      </c>
      <c r="C80" s="188">
        <f>SFLASH.512_ver2!$C$22</f>
        <v>4</v>
      </c>
    </row>
    <row r="81" spans="1:7" ht="15.5">
      <c r="A81" s="1" t="s">
        <v>23</v>
      </c>
      <c r="C81" s="188" t="str">
        <f>SFLASH.512_ver2!$F$22</f>
        <v>Wounding Programmable PPU slave</v>
      </c>
    </row>
    <row r="82" spans="1:7" ht="13">
      <c r="A82" s="1" t="s">
        <v>29</v>
      </c>
      <c r="B82" s="2"/>
      <c r="C82" s="8" t="s">
        <v>238</v>
      </c>
    </row>
    <row r="83" spans="1:7" ht="13">
      <c r="A83" s="1" t="s">
        <v>44</v>
      </c>
    </row>
    <row r="84" spans="1:7" ht="13">
      <c r="A84" s="116" t="s">
        <v>43</v>
      </c>
      <c r="B84" s="117" t="s">
        <v>24</v>
      </c>
      <c r="C84" s="118" t="s">
        <v>42</v>
      </c>
      <c r="D84" s="118" t="s">
        <v>41</v>
      </c>
      <c r="E84" s="118" t="s">
        <v>40</v>
      </c>
      <c r="F84" s="118" t="s">
        <v>39</v>
      </c>
      <c r="G84" s="119" t="s">
        <v>23</v>
      </c>
    </row>
    <row r="85" spans="1:7" ht="46.5">
      <c r="A85" s="166" t="s">
        <v>45</v>
      </c>
      <c r="B85" s="281" t="s">
        <v>182</v>
      </c>
      <c r="C85" s="240"/>
      <c r="D85" s="240" t="s">
        <v>38</v>
      </c>
      <c r="E85" s="240">
        <v>0</v>
      </c>
      <c r="F85" s="240"/>
      <c r="G85" s="139" t="s">
        <v>34508</v>
      </c>
    </row>
    <row r="86" spans="1:7">
      <c r="A86" s="163"/>
      <c r="B86" s="164"/>
      <c r="C86" s="105"/>
      <c r="D86" s="105"/>
      <c r="E86" s="105"/>
      <c r="F86" s="105"/>
      <c r="G86" s="328"/>
    </row>
    <row r="87" spans="1:7" ht="13">
      <c r="A87" s="1" t="s">
        <v>24</v>
      </c>
      <c r="C87" s="11" t="str">
        <f>SFLASH.512_ver2!$E$23</f>
        <v>WOUND_FIXED_PPU</v>
      </c>
    </row>
    <row r="88" spans="1:7" ht="15.5">
      <c r="A88" s="1" t="s">
        <v>47</v>
      </c>
      <c r="C88" s="188">
        <f>SFLASH.512_ver2!$C$23</f>
        <v>124</v>
      </c>
    </row>
    <row r="89" spans="1:7" ht="15.5">
      <c r="A89" s="1" t="s">
        <v>23</v>
      </c>
      <c r="C89" s="188" t="str">
        <f>SFLASH.512_ver2!$F$23</f>
        <v>Wounding Fixed PPU slave</v>
      </c>
    </row>
    <row r="90" spans="1:7" ht="13">
      <c r="A90" s="1" t="s">
        <v>29</v>
      </c>
      <c r="B90" s="2"/>
      <c r="C90" s="8" t="s">
        <v>238</v>
      </c>
    </row>
    <row r="91" spans="1:7" ht="13">
      <c r="A91" s="1" t="s">
        <v>44</v>
      </c>
    </row>
    <row r="92" spans="1:7" ht="13">
      <c r="A92" s="116" t="s">
        <v>43</v>
      </c>
      <c r="B92" s="117" t="s">
        <v>24</v>
      </c>
      <c r="C92" s="118" t="s">
        <v>42</v>
      </c>
      <c r="D92" s="118" t="s">
        <v>41</v>
      </c>
      <c r="E92" s="118" t="s">
        <v>40</v>
      </c>
      <c r="F92" s="118" t="s">
        <v>39</v>
      </c>
      <c r="G92" s="119" t="s">
        <v>23</v>
      </c>
    </row>
    <row r="93" spans="1:7" ht="46.5">
      <c r="A93" s="166" t="s">
        <v>45</v>
      </c>
      <c r="B93" s="281" t="s">
        <v>182</v>
      </c>
      <c r="C93" s="240"/>
      <c r="D93" s="240" t="s">
        <v>38</v>
      </c>
      <c r="E93" s="240">
        <v>0</v>
      </c>
      <c r="F93" s="240"/>
      <c r="G93" s="139" t="s">
        <v>34509</v>
      </c>
    </row>
    <row r="94" spans="1:7" ht="15.5">
      <c r="A94" s="163"/>
      <c r="B94" s="164"/>
      <c r="C94" s="105"/>
      <c r="D94" s="105"/>
      <c r="E94" s="105"/>
      <c r="F94" s="105"/>
      <c r="G94"/>
    </row>
    <row r="95" spans="1:7" ht="13">
      <c r="A95" s="1" t="s">
        <v>24</v>
      </c>
      <c r="C95" s="11" t="str">
        <f>SFLASH.512_ver2!$E$24</f>
        <v>S1_testpgm_rev</v>
      </c>
    </row>
    <row r="96" spans="1:7" ht="15.5">
      <c r="A96" s="1" t="s">
        <v>47</v>
      </c>
      <c r="C96" s="188">
        <f>SFLASH.512_ver2!$C$24</f>
        <v>1</v>
      </c>
    </row>
    <row r="97" spans="1:7" ht="15.5">
      <c r="A97" s="1" t="s">
        <v>23</v>
      </c>
      <c r="C97" s="188" t="str">
        <f>SFLASH.512_ver2!$F$24</f>
        <v>S1_testpgm_rev</v>
      </c>
    </row>
    <row r="98" spans="1:7" ht="13">
      <c r="A98" s="1" t="s">
        <v>29</v>
      </c>
      <c r="B98" s="2"/>
      <c r="C98" s="8" t="s">
        <v>238</v>
      </c>
    </row>
    <row r="99" spans="1:7" ht="13">
      <c r="A99" s="1" t="s">
        <v>44</v>
      </c>
    </row>
    <row r="100" spans="1:7" ht="13">
      <c r="A100" s="116" t="s">
        <v>43</v>
      </c>
      <c r="B100" s="117" t="s">
        <v>24</v>
      </c>
      <c r="C100" s="118" t="s">
        <v>42</v>
      </c>
      <c r="D100" s="118" t="s">
        <v>41</v>
      </c>
      <c r="E100" s="118" t="s">
        <v>40</v>
      </c>
      <c r="F100" s="118" t="s">
        <v>39</v>
      </c>
      <c r="G100" s="119" t="s">
        <v>23</v>
      </c>
    </row>
    <row r="101" spans="1:7" ht="15.5">
      <c r="A101" s="166" t="s">
        <v>45</v>
      </c>
      <c r="B101" s="281" t="s">
        <v>182</v>
      </c>
      <c r="C101" s="240"/>
      <c r="D101" s="240" t="s">
        <v>38</v>
      </c>
      <c r="E101" s="240">
        <v>0</v>
      </c>
      <c r="F101" s="240"/>
      <c r="G101" s="112" t="str">
        <f>SFLASH.512_ver2!$F$24</f>
        <v>S1_testpgm_rev</v>
      </c>
    </row>
    <row r="102" spans="1:7" ht="15.5">
      <c r="A102" s="163"/>
      <c r="B102" s="164"/>
      <c r="C102" s="105"/>
      <c r="D102" s="105"/>
      <c r="E102" s="105"/>
      <c r="F102" s="105"/>
      <c r="G102"/>
    </row>
    <row r="103" spans="1:7" ht="13">
      <c r="A103" s="1" t="s">
        <v>24</v>
      </c>
      <c r="C103" s="11" t="str">
        <f>SFLASH.512_ver2!$E$25</f>
        <v>S2_testpgm_rev</v>
      </c>
    </row>
    <row r="104" spans="1:7" ht="15.5">
      <c r="A104" s="1" t="s">
        <v>47</v>
      </c>
      <c r="C104" s="188">
        <f>SFLASH.512_ver2!$C$25</f>
        <v>1</v>
      </c>
    </row>
    <row r="105" spans="1:7" ht="15.5">
      <c r="A105" s="1" t="s">
        <v>23</v>
      </c>
      <c r="C105" s="188" t="str">
        <f>SFLASH.512_ver2!$F$25</f>
        <v>S2_testpgm_rev</v>
      </c>
    </row>
    <row r="106" spans="1:7" ht="13">
      <c r="A106" s="1" t="s">
        <v>29</v>
      </c>
      <c r="B106" s="2"/>
      <c r="C106" s="8" t="s">
        <v>238</v>
      </c>
    </row>
    <row r="107" spans="1:7" ht="13">
      <c r="A107" s="1" t="s">
        <v>44</v>
      </c>
    </row>
    <row r="108" spans="1:7" ht="13">
      <c r="A108" s="116" t="s">
        <v>43</v>
      </c>
      <c r="B108" s="117" t="s">
        <v>24</v>
      </c>
      <c r="C108" s="118" t="s">
        <v>42</v>
      </c>
      <c r="D108" s="118" t="s">
        <v>41</v>
      </c>
      <c r="E108" s="118" t="s">
        <v>40</v>
      </c>
      <c r="F108" s="118" t="s">
        <v>39</v>
      </c>
      <c r="G108" s="119" t="s">
        <v>23</v>
      </c>
    </row>
    <row r="109" spans="1:7" ht="15.5">
      <c r="A109" s="166" t="s">
        <v>45</v>
      </c>
      <c r="B109" s="281" t="s">
        <v>182</v>
      </c>
      <c r="C109" s="240"/>
      <c r="D109" s="240" t="s">
        <v>38</v>
      </c>
      <c r="E109" s="240">
        <v>0</v>
      </c>
      <c r="F109" s="240"/>
      <c r="G109" s="112" t="str">
        <f>SFLASH.512_ver2!$F$25</f>
        <v>S2_testpgm_rev</v>
      </c>
    </row>
    <row r="110" spans="1:7" ht="15.5">
      <c r="A110" s="163"/>
      <c r="B110" s="164"/>
      <c r="C110" s="105"/>
      <c r="D110" s="105"/>
      <c r="E110" s="105"/>
      <c r="F110" s="105"/>
      <c r="G110"/>
    </row>
    <row r="111" spans="1:7" ht="13">
      <c r="A111" s="1" t="s">
        <v>24</v>
      </c>
      <c r="C111" s="11" t="str">
        <f>SFLASH.512_ver2!$E$26</f>
        <v>S3_testpgm_rev</v>
      </c>
    </row>
    <row r="112" spans="1:7" ht="15.5">
      <c r="A112" s="1" t="s">
        <v>47</v>
      </c>
      <c r="C112" s="188">
        <f>SFLASH.512_ver2!$C$26</f>
        <v>1</v>
      </c>
    </row>
    <row r="113" spans="1:7" ht="15.5">
      <c r="A113" s="1" t="s">
        <v>23</v>
      </c>
      <c r="C113" s="188" t="str">
        <f>SFLASH.512_ver2!$F$26</f>
        <v>S3_testpgm_rev</v>
      </c>
    </row>
    <row r="114" spans="1:7" ht="13">
      <c r="A114" s="1" t="s">
        <v>29</v>
      </c>
      <c r="B114" s="2"/>
      <c r="C114" s="8" t="s">
        <v>238</v>
      </c>
    </row>
    <row r="115" spans="1:7" ht="13">
      <c r="A115" s="1" t="s">
        <v>44</v>
      </c>
    </row>
    <row r="116" spans="1:7" ht="13">
      <c r="A116" s="116" t="s">
        <v>43</v>
      </c>
      <c r="B116" s="117" t="s">
        <v>24</v>
      </c>
      <c r="C116" s="118" t="s">
        <v>42</v>
      </c>
      <c r="D116" s="118" t="s">
        <v>41</v>
      </c>
      <c r="E116" s="118" t="s">
        <v>40</v>
      </c>
      <c r="F116" s="118" t="s">
        <v>39</v>
      </c>
      <c r="G116" s="119" t="s">
        <v>23</v>
      </c>
    </row>
    <row r="117" spans="1:7" ht="15.5">
      <c r="A117" s="166" t="s">
        <v>45</v>
      </c>
      <c r="B117" s="281" t="s">
        <v>182</v>
      </c>
      <c r="C117" s="240"/>
      <c r="D117" s="240" t="s">
        <v>38</v>
      </c>
      <c r="E117" s="240">
        <v>0</v>
      </c>
      <c r="F117" s="240"/>
      <c r="G117" s="112" t="str">
        <f>SFLASH.512_ver2!$F$26</f>
        <v>S3_testpgm_rev</v>
      </c>
    </row>
    <row r="118" spans="1:7" ht="15.5">
      <c r="A118" s="163"/>
      <c r="B118" s="164"/>
      <c r="C118" s="105"/>
      <c r="D118" s="105"/>
      <c r="E118" s="105"/>
      <c r="F118" s="105"/>
      <c r="G118"/>
    </row>
    <row r="119" spans="1:7" ht="13">
      <c r="A119" s="1" t="s">
        <v>24</v>
      </c>
      <c r="C119" s="11" t="str">
        <f>SFLASH.512_ver2!$E$27</f>
        <v>CRI_BB_REV</v>
      </c>
    </row>
    <row r="120" spans="1:7" ht="15.5">
      <c r="A120" s="1" t="s">
        <v>47</v>
      </c>
      <c r="C120" s="188">
        <f>SFLASH.512_ver2!$C$27</f>
        <v>1</v>
      </c>
    </row>
    <row r="121" spans="1:7" ht="15.5">
      <c r="A121" s="1" t="s">
        <v>23</v>
      </c>
      <c r="C121" s="188" t="str">
        <f>SFLASH.512_ver2!$F$27</f>
        <v>CRI BB Revision</v>
      </c>
    </row>
    <row r="122" spans="1:7" ht="13">
      <c r="A122" s="1" t="s">
        <v>29</v>
      </c>
      <c r="B122" s="2"/>
      <c r="C122" s="8" t="s">
        <v>238</v>
      </c>
    </row>
    <row r="123" spans="1:7" ht="13">
      <c r="A123" s="1" t="s">
        <v>44</v>
      </c>
    </row>
    <row r="124" spans="1:7" ht="13">
      <c r="A124" s="116" t="s">
        <v>43</v>
      </c>
      <c r="B124" s="117" t="s">
        <v>24</v>
      </c>
      <c r="C124" s="118" t="s">
        <v>42</v>
      </c>
      <c r="D124" s="118" t="s">
        <v>41</v>
      </c>
      <c r="E124" s="118" t="s">
        <v>40</v>
      </c>
      <c r="F124" s="118" t="s">
        <v>39</v>
      </c>
      <c r="G124" s="119" t="s">
        <v>23</v>
      </c>
    </row>
    <row r="125" spans="1:7" ht="15.5">
      <c r="A125" s="166" t="s">
        <v>45</v>
      </c>
      <c r="B125" s="281" t="s">
        <v>182</v>
      </c>
      <c r="C125" s="240"/>
      <c r="D125" s="240" t="s">
        <v>38</v>
      </c>
      <c r="E125" s="240">
        <v>0</v>
      </c>
      <c r="F125" s="240"/>
      <c r="G125" s="112" t="str">
        <f>SFLASH.512_ver2!$F$27</f>
        <v>CRI BB Revision</v>
      </c>
    </row>
    <row r="126" spans="1:7" ht="15.5">
      <c r="A126" s="163"/>
      <c r="B126" s="164"/>
      <c r="C126" s="105"/>
      <c r="D126" s="105"/>
      <c r="E126" s="105"/>
      <c r="F126" s="105"/>
      <c r="G126"/>
    </row>
    <row r="127" spans="1:7" ht="13">
      <c r="A127" s="1" t="s">
        <v>24</v>
      </c>
      <c r="C127" s="11" t="str">
        <f>SFLASH.512_ver2!$E$28</f>
        <v>CRI_AB_REV</v>
      </c>
    </row>
    <row r="128" spans="1:7" ht="15.5">
      <c r="A128" s="1" t="s">
        <v>47</v>
      </c>
      <c r="C128" s="188">
        <f>SFLASH.512_ver2!$C$28</f>
        <v>1</v>
      </c>
    </row>
    <row r="129" spans="1:7" ht="15.5">
      <c r="A129" s="1" t="s">
        <v>23</v>
      </c>
      <c r="C129" s="188" t="str">
        <f>SFLASH.512_ver2!$F$28</f>
        <v>CRI AB Revision</v>
      </c>
    </row>
    <row r="130" spans="1:7" ht="13">
      <c r="A130" s="1" t="s">
        <v>29</v>
      </c>
      <c r="B130" s="2"/>
      <c r="C130" s="8" t="s">
        <v>238</v>
      </c>
    </row>
    <row r="131" spans="1:7" ht="13">
      <c r="A131" s="1" t="s">
        <v>44</v>
      </c>
    </row>
    <row r="132" spans="1:7" ht="13">
      <c r="A132" s="116" t="s">
        <v>43</v>
      </c>
      <c r="B132" s="117" t="s">
        <v>24</v>
      </c>
      <c r="C132" s="118" t="s">
        <v>42</v>
      </c>
      <c r="D132" s="118" t="s">
        <v>41</v>
      </c>
      <c r="E132" s="118" t="s">
        <v>40</v>
      </c>
      <c r="F132" s="118" t="s">
        <v>39</v>
      </c>
      <c r="G132" s="119" t="s">
        <v>23</v>
      </c>
    </row>
    <row r="133" spans="1:7" ht="15.5">
      <c r="A133" s="166" t="s">
        <v>45</v>
      </c>
      <c r="B133" s="281" t="s">
        <v>182</v>
      </c>
      <c r="C133" s="240"/>
      <c r="D133" s="240" t="s">
        <v>38</v>
      </c>
      <c r="E133" s="240">
        <v>0</v>
      </c>
      <c r="F133" s="240"/>
      <c r="G133" s="112" t="str">
        <f>SFLASH.512_ver2!$F$28</f>
        <v>CRI AB Revision</v>
      </c>
    </row>
    <row r="134" spans="1:7" ht="15.5">
      <c r="A134" s="163"/>
      <c r="B134" s="164"/>
      <c r="C134" s="105"/>
      <c r="D134" s="105"/>
      <c r="E134" s="105"/>
      <c r="F134" s="105"/>
      <c r="G134"/>
    </row>
    <row r="135" spans="1:7" ht="13">
      <c r="A135" s="1" t="s">
        <v>24</v>
      </c>
      <c r="C135" s="11" t="str">
        <f>SFLASH.512_ver2!$E$29</f>
        <v>CHI_AB_REV</v>
      </c>
    </row>
    <row r="136" spans="1:7" ht="15.5">
      <c r="A136" s="1" t="s">
        <v>47</v>
      </c>
      <c r="C136" s="188">
        <f>SFLASH.512_ver2!$C$29</f>
        <v>1</v>
      </c>
    </row>
    <row r="137" spans="1:7" ht="15.5">
      <c r="A137" s="1" t="s">
        <v>23</v>
      </c>
      <c r="C137" s="188" t="str">
        <f>SFLASH.512_ver2!$F$29</f>
        <v>CHI AB Revision</v>
      </c>
    </row>
    <row r="138" spans="1:7" ht="13">
      <c r="A138" s="1" t="s">
        <v>29</v>
      </c>
      <c r="B138" s="2"/>
      <c r="C138" s="8" t="s">
        <v>238</v>
      </c>
    </row>
    <row r="139" spans="1:7" ht="13">
      <c r="A139" s="1" t="s">
        <v>44</v>
      </c>
    </row>
    <row r="140" spans="1:7" ht="13">
      <c r="A140" s="116" t="s">
        <v>43</v>
      </c>
      <c r="B140" s="117" t="s">
        <v>24</v>
      </c>
      <c r="C140" s="118" t="s">
        <v>42</v>
      </c>
      <c r="D140" s="118" t="s">
        <v>41</v>
      </c>
      <c r="E140" s="118" t="s">
        <v>40</v>
      </c>
      <c r="F140" s="118" t="s">
        <v>39</v>
      </c>
      <c r="G140" s="119" t="s">
        <v>23</v>
      </c>
    </row>
    <row r="141" spans="1:7" ht="15.5">
      <c r="A141" s="166" t="s">
        <v>45</v>
      </c>
      <c r="B141" s="281" t="s">
        <v>182</v>
      </c>
      <c r="C141" s="240"/>
      <c r="D141" s="240" t="s">
        <v>38</v>
      </c>
      <c r="E141" s="240">
        <v>0</v>
      </c>
      <c r="F141" s="240"/>
      <c r="G141" s="112" t="str">
        <f>SFLASH.512_ver2!$F$29</f>
        <v>CHI AB Revision</v>
      </c>
    </row>
    <row r="142" spans="1:7" ht="15.5">
      <c r="A142" s="163"/>
      <c r="B142" s="164"/>
      <c r="C142" s="105"/>
      <c r="D142" s="105"/>
      <c r="E142" s="105"/>
      <c r="F142" s="105"/>
      <c r="G142"/>
    </row>
    <row r="143" spans="1:7" ht="13">
      <c r="A143" s="1" t="s">
        <v>24</v>
      </c>
      <c r="C143" s="11" t="str">
        <f>SFLASH.512_ver2!$E$30</f>
        <v>SFLASH_SVN</v>
      </c>
    </row>
    <row r="144" spans="1:7" ht="15.5">
      <c r="A144" s="1" t="s">
        <v>47</v>
      </c>
      <c r="C144" s="188">
        <f>SFLASH.512_ver2!$C$30</f>
        <v>1</v>
      </c>
    </row>
    <row r="145" spans="1:7" ht="15.5">
      <c r="A145" s="1" t="s">
        <v>23</v>
      </c>
      <c r="C145" s="188" t="str">
        <f>SFLASH.512_ver2!$F$30</f>
        <v>SFLASH Subversion</v>
      </c>
    </row>
    <row r="146" spans="1:7" ht="13">
      <c r="A146" s="1" t="s">
        <v>29</v>
      </c>
      <c r="B146" s="2"/>
      <c r="C146" s="8" t="s">
        <v>280</v>
      </c>
    </row>
    <row r="147" spans="1:7" ht="13">
      <c r="A147" s="1" t="s">
        <v>44</v>
      </c>
    </row>
    <row r="148" spans="1:7" ht="13">
      <c r="A148" s="116" t="s">
        <v>43</v>
      </c>
      <c r="B148" s="117" t="s">
        <v>24</v>
      </c>
      <c r="C148" s="118" t="s">
        <v>42</v>
      </c>
      <c r="D148" s="118" t="s">
        <v>41</v>
      </c>
      <c r="E148" s="118" t="s">
        <v>40</v>
      </c>
      <c r="F148" s="118" t="s">
        <v>39</v>
      </c>
      <c r="G148" s="119" t="s">
        <v>23</v>
      </c>
    </row>
    <row r="149" spans="1:7" ht="15.5">
      <c r="A149" s="166" t="s">
        <v>276</v>
      </c>
      <c r="B149" s="281" t="s">
        <v>605</v>
      </c>
      <c r="C149" s="240"/>
      <c r="D149" s="240" t="s">
        <v>38</v>
      </c>
      <c r="E149" s="240">
        <v>0</v>
      </c>
      <c r="F149" s="240"/>
      <c r="G149" s="112" t="str">
        <f>SFLASH.512_ver2!$F$30</f>
        <v>SFLASH Subversion</v>
      </c>
    </row>
    <row r="150" spans="1:7" ht="15.5">
      <c r="A150" s="163"/>
      <c r="B150" s="164"/>
      <c r="C150" s="105"/>
      <c r="D150" s="105"/>
      <c r="E150" s="105"/>
      <c r="F150" s="105"/>
      <c r="G150"/>
    </row>
    <row r="151" spans="1:7" ht="13">
      <c r="A151" s="1" t="s">
        <v>24</v>
      </c>
      <c r="C151" s="11" t="str">
        <f>SFLASH.512_ver2!$E$31</f>
        <v>FB_FLAGS</v>
      </c>
    </row>
    <row r="152" spans="1:7" ht="15.5">
      <c r="A152" s="1" t="s">
        <v>47</v>
      </c>
      <c r="C152" s="188">
        <f>SFLASH.512_ver2!$C$31</f>
        <v>1</v>
      </c>
    </row>
    <row r="153" spans="1:7" ht="15.5">
      <c r="A153" s="1" t="s">
        <v>23</v>
      </c>
      <c r="C153" s="188" t="str">
        <f>SFLASH.512_ver2!$F$31</f>
        <v>Flash boot flags</v>
      </c>
    </row>
    <row r="154" spans="1:7" ht="13">
      <c r="A154" s="158" t="s">
        <v>29</v>
      </c>
      <c r="B154" s="159"/>
      <c r="C154" s="109" t="s">
        <v>280</v>
      </c>
    </row>
    <row r="155" spans="1:7" ht="13">
      <c r="A155" s="1" t="s">
        <v>44</v>
      </c>
      <c r="C155" s="3" t="s">
        <v>34804</v>
      </c>
    </row>
    <row r="156" spans="1:7" ht="13">
      <c r="A156" s="116" t="s">
        <v>43</v>
      </c>
      <c r="B156" s="117" t="s">
        <v>24</v>
      </c>
      <c r="C156" s="118" t="s">
        <v>42</v>
      </c>
      <c r="D156" s="118" t="s">
        <v>41</v>
      </c>
      <c r="E156" s="118" t="s">
        <v>40</v>
      </c>
      <c r="F156" s="118" t="s">
        <v>39</v>
      </c>
      <c r="G156" s="119" t="s">
        <v>23</v>
      </c>
    </row>
    <row r="157" spans="1:7" ht="50">
      <c r="A157" s="166" t="s">
        <v>960</v>
      </c>
      <c r="B157" s="281" t="s">
        <v>34532</v>
      </c>
      <c r="C157" s="240"/>
      <c r="D157" s="240" t="s">
        <v>38</v>
      </c>
      <c r="E157" s="240">
        <v>1</v>
      </c>
      <c r="F157" s="240"/>
      <c r="G157" s="393" t="s">
        <v>34789</v>
      </c>
    </row>
    <row r="158" spans="1:7" ht="75">
      <c r="A158" s="166" t="s">
        <v>962</v>
      </c>
      <c r="B158" s="281" t="s">
        <v>34533</v>
      </c>
      <c r="C158" s="240"/>
      <c r="D158" s="240" t="s">
        <v>38</v>
      </c>
      <c r="E158" s="240">
        <v>1</v>
      </c>
      <c r="F158" s="240"/>
      <c r="G158" s="393" t="s">
        <v>34790</v>
      </c>
    </row>
    <row r="159" spans="1:7" ht="62.5">
      <c r="A159" s="166" t="s">
        <v>46</v>
      </c>
      <c r="B159" s="281" t="s">
        <v>34535</v>
      </c>
      <c r="C159" s="240"/>
      <c r="D159" s="240" t="s">
        <v>38</v>
      </c>
      <c r="E159" s="240">
        <v>1</v>
      </c>
      <c r="F159" s="240"/>
      <c r="G159" s="393" t="s">
        <v>34791</v>
      </c>
    </row>
    <row r="160" spans="1:7" ht="15.5">
      <c r="A160" s="163"/>
      <c r="B160" s="164"/>
      <c r="C160" s="105"/>
      <c r="D160" s="105"/>
      <c r="E160" s="105"/>
      <c r="F160" s="105"/>
      <c r="G160"/>
    </row>
    <row r="161" spans="1:7" ht="13">
      <c r="A161" s="1" t="s">
        <v>24</v>
      </c>
      <c r="C161" s="11" t="str">
        <f>SFLASH.512_ver2!$E$32</f>
        <v>GENERAL_TRIM_TABLE</v>
      </c>
    </row>
    <row r="162" spans="1:7" ht="15.5">
      <c r="A162" s="1" t="s">
        <v>47</v>
      </c>
      <c r="C162" s="188">
        <f>SFLASH.512_ver2!$C$32</f>
        <v>512</v>
      </c>
    </row>
    <row r="163" spans="1:7" ht="15.5">
      <c r="A163" s="1" t="s">
        <v>23</v>
      </c>
      <c r="C163" s="188" t="str">
        <f>SFLASH.512_ver2!$F$32</f>
        <v>Loads IP trim registers with stored values if hash is good</v>
      </c>
    </row>
    <row r="164" spans="1:7" ht="13">
      <c r="A164" s="158" t="s">
        <v>29</v>
      </c>
      <c r="B164" s="159"/>
      <c r="C164" s="109" t="s">
        <v>238</v>
      </c>
    </row>
    <row r="165" spans="1:7" ht="13">
      <c r="A165" s="1" t="s">
        <v>44</v>
      </c>
      <c r="C165" s="3" t="s">
        <v>266</v>
      </c>
    </row>
    <row r="166" spans="1:7" ht="13">
      <c r="A166" s="116" t="s">
        <v>43</v>
      </c>
      <c r="B166" s="117" t="s">
        <v>24</v>
      </c>
      <c r="C166" s="118" t="s">
        <v>42</v>
      </c>
      <c r="D166" s="118" t="s">
        <v>41</v>
      </c>
      <c r="E166" s="118" t="s">
        <v>40</v>
      </c>
      <c r="F166" s="118" t="s">
        <v>39</v>
      </c>
      <c r="G166" s="119" t="s">
        <v>23</v>
      </c>
    </row>
    <row r="167" spans="1:7" ht="15.5">
      <c r="A167" s="166" t="s">
        <v>45</v>
      </c>
      <c r="B167" s="120" t="s">
        <v>182</v>
      </c>
      <c r="C167" s="12"/>
      <c r="D167" s="12" t="s">
        <v>38</v>
      </c>
      <c r="E167" s="12" t="s">
        <v>37</v>
      </c>
      <c r="F167" s="314"/>
      <c r="G167" s="112" t="str">
        <f>SFLASH.512_ver2!$F$32</f>
        <v>Loads IP trim registers with stored values if hash is good</v>
      </c>
    </row>
    <row r="169" spans="1:7" ht="13">
      <c r="A169" s="1" t="s">
        <v>24</v>
      </c>
      <c r="C169" s="11" t="str">
        <f>SFLASH.512_ver2!$E$33</f>
        <v>DEVICE_SECRET_KEY_TEST_OBJECT_SIZE</v>
      </c>
    </row>
    <row r="170" spans="1:7" ht="15.5">
      <c r="A170" s="1" t="s">
        <v>47</v>
      </c>
      <c r="C170" s="188">
        <f>SFLASH.512_ver2!$C$33</f>
        <v>4</v>
      </c>
    </row>
    <row r="171" spans="1:7" ht="15.5">
      <c r="A171" s="1" t="s">
        <v>23</v>
      </c>
      <c r="C171" s="188" t="str">
        <f>SFLASH.512_ver2!$F$33</f>
        <v>Specifies DEVICE_SECRET_KEY_TEST object size</v>
      </c>
    </row>
    <row r="172" spans="1:7" ht="13">
      <c r="A172" s="158" t="s">
        <v>29</v>
      </c>
      <c r="B172" s="159"/>
      <c r="C172" s="109" t="s">
        <v>238</v>
      </c>
    </row>
    <row r="173" spans="1:7" ht="13">
      <c r="A173" s="1" t="s">
        <v>44</v>
      </c>
    </row>
    <row r="174" spans="1:7" ht="13">
      <c r="A174" s="116" t="s">
        <v>43</v>
      </c>
      <c r="B174" s="117" t="s">
        <v>24</v>
      </c>
      <c r="C174" s="118" t="s">
        <v>42</v>
      </c>
      <c r="D174" s="118" t="s">
        <v>41</v>
      </c>
      <c r="E174" s="118" t="s">
        <v>40</v>
      </c>
      <c r="F174" s="118" t="s">
        <v>39</v>
      </c>
      <c r="G174" s="119" t="s">
        <v>23</v>
      </c>
    </row>
    <row r="175" spans="1:7" ht="15.5">
      <c r="A175" s="166" t="s">
        <v>45</v>
      </c>
      <c r="B175" s="120" t="s">
        <v>182</v>
      </c>
      <c r="C175" s="12"/>
      <c r="D175" s="12" t="s">
        <v>38</v>
      </c>
      <c r="E175" s="12" t="s">
        <v>37</v>
      </c>
      <c r="F175" s="314"/>
      <c r="G175" s="112" t="str">
        <f>SFLASH.512_ver2!$F$33</f>
        <v>Specifies DEVICE_SECRET_KEY_TEST object size</v>
      </c>
    </row>
    <row r="177" spans="1:7" ht="13">
      <c r="A177" s="1" t="s">
        <v>24</v>
      </c>
      <c r="C177" s="11" t="str">
        <f>SFLASH.512_ver2!$E$34</f>
        <v>DEVICE_SECRET_KEY_TEST</v>
      </c>
    </row>
    <row r="178" spans="1:7" ht="15.5">
      <c r="A178" s="1" t="s">
        <v>47</v>
      </c>
      <c r="C178" s="188">
        <f>SFLASH.512_ver2!$C$34</f>
        <v>32</v>
      </c>
    </row>
    <row r="179" spans="1:7" ht="15.5">
      <c r="A179" s="1" t="s">
        <v>23</v>
      </c>
      <c r="C179" s="188" t="str">
        <f>SFLASH.512_ver2!$F$34</f>
        <v xml:space="preserve">Used to monitor the quality of the generated device secret keys. </v>
      </c>
    </row>
    <row r="180" spans="1:7" ht="13">
      <c r="A180" s="158" t="s">
        <v>29</v>
      </c>
      <c r="B180" s="159"/>
      <c r="C180" s="109" t="s">
        <v>238</v>
      </c>
    </row>
    <row r="181" spans="1:7" ht="13">
      <c r="A181" s="1" t="s">
        <v>44</v>
      </c>
    </row>
    <row r="182" spans="1:7" ht="13">
      <c r="A182" s="116" t="s">
        <v>43</v>
      </c>
      <c r="B182" s="117" t="s">
        <v>24</v>
      </c>
      <c r="C182" s="118" t="s">
        <v>42</v>
      </c>
      <c r="D182" s="118" t="s">
        <v>41</v>
      </c>
      <c r="E182" s="118" t="s">
        <v>40</v>
      </c>
      <c r="F182" s="118" t="s">
        <v>39</v>
      </c>
      <c r="G182" s="119" t="s">
        <v>23</v>
      </c>
    </row>
    <row r="183" spans="1:7" ht="15.5">
      <c r="A183" s="166" t="s">
        <v>45</v>
      </c>
      <c r="B183" s="120" t="s">
        <v>182</v>
      </c>
      <c r="C183" s="12"/>
      <c r="D183" s="12" t="s">
        <v>38</v>
      </c>
      <c r="E183" s="12" t="s">
        <v>37</v>
      </c>
      <c r="F183" s="314"/>
      <c r="G183" s="112" t="str">
        <f>SFLASH.512_ver2!$F$34</f>
        <v xml:space="preserve">Used to monitor the quality of the generated device secret keys. </v>
      </c>
    </row>
    <row r="184" spans="1:7">
      <c r="A184" s="163"/>
      <c r="B184" s="231"/>
      <c r="C184" s="105"/>
      <c r="D184" s="105"/>
      <c r="E184" s="105"/>
      <c r="F184" s="105"/>
    </row>
    <row r="185" spans="1:7" ht="13">
      <c r="A185" s="158" t="s">
        <v>24</v>
      </c>
      <c r="B185" s="159"/>
      <c r="C185" s="11" t="str">
        <f>SFLASH.512_ver2!$E$35</f>
        <v>DIE_LOT</v>
      </c>
      <c r="D185" s="167"/>
      <c r="E185" s="167"/>
      <c r="F185" s="167"/>
      <c r="G185" s="168"/>
    </row>
    <row r="186" spans="1:7" ht="12.75" customHeight="1">
      <c r="A186" s="158" t="s">
        <v>47</v>
      </c>
      <c r="B186" s="159"/>
      <c r="C186" s="188">
        <f>SFLASH.512_ver2!$C$35</f>
        <v>3</v>
      </c>
      <c r="D186" s="169"/>
      <c r="E186" s="169"/>
      <c r="F186" s="167"/>
      <c r="G186" s="170"/>
    </row>
    <row r="187" spans="1:7" ht="12.75" customHeight="1">
      <c r="A187" s="158" t="s">
        <v>23</v>
      </c>
      <c r="B187" s="159"/>
      <c r="C187" s="188" t="str">
        <f>SFLASH.512_ver2!$F$35</f>
        <v>Lot Number (3 bytes)</v>
      </c>
      <c r="D187" s="169"/>
      <c r="E187" s="169"/>
      <c r="F187" s="167"/>
      <c r="G187" s="170"/>
    </row>
    <row r="188" spans="1:7" ht="12.75" customHeight="1">
      <c r="A188" s="158" t="s">
        <v>29</v>
      </c>
      <c r="B188" s="159"/>
      <c r="C188" s="109" t="s">
        <v>238</v>
      </c>
      <c r="D188" s="169"/>
      <c r="E188" s="169"/>
      <c r="F188" s="167"/>
      <c r="G188" s="170"/>
    </row>
    <row r="189" spans="1:7" ht="13">
      <c r="A189" s="158" t="s">
        <v>44</v>
      </c>
      <c r="B189" s="159"/>
      <c r="C189" s="423" t="s">
        <v>239</v>
      </c>
      <c r="D189" s="423"/>
      <c r="E189" s="423"/>
      <c r="F189" s="423"/>
      <c r="G189" s="423"/>
    </row>
    <row r="190" spans="1:7" ht="13">
      <c r="A190" s="171" t="s">
        <v>43</v>
      </c>
      <c r="B190" s="172" t="s">
        <v>24</v>
      </c>
      <c r="C190" s="173" t="s">
        <v>42</v>
      </c>
      <c r="D190" s="173" t="s">
        <v>41</v>
      </c>
      <c r="E190" s="173" t="s">
        <v>40</v>
      </c>
      <c r="F190" s="173" t="s">
        <v>39</v>
      </c>
      <c r="G190" s="174" t="s">
        <v>23</v>
      </c>
    </row>
    <row r="191" spans="1:7">
      <c r="A191" s="175" t="s">
        <v>45</v>
      </c>
      <c r="B191" s="176" t="s">
        <v>240</v>
      </c>
      <c r="C191" s="177"/>
      <c r="D191" s="177" t="s">
        <v>38</v>
      </c>
      <c r="E191" s="177" t="s">
        <v>37</v>
      </c>
      <c r="F191" s="177"/>
      <c r="G191" s="178" t="s">
        <v>241</v>
      </c>
    </row>
    <row r="192" spans="1:7">
      <c r="A192" s="179"/>
      <c r="B192" s="179"/>
      <c r="C192" s="167"/>
      <c r="D192" s="167"/>
      <c r="E192" s="169"/>
      <c r="F192" s="168"/>
      <c r="G192" s="159"/>
    </row>
    <row r="193" spans="1:7" ht="13">
      <c r="A193" s="158" t="s">
        <v>24</v>
      </c>
      <c r="B193" s="159"/>
      <c r="C193" s="11" t="str">
        <f>SFLASH.512_ver2!$E$36</f>
        <v>DIE_WAFER</v>
      </c>
      <c r="D193" s="167"/>
      <c r="E193" s="167"/>
      <c r="F193" s="167"/>
      <c r="G193" s="168"/>
    </row>
    <row r="194" spans="1:7" ht="15.5">
      <c r="A194" s="158" t="s">
        <v>47</v>
      </c>
      <c r="B194" s="159"/>
      <c r="C194" s="188">
        <f>SFLASH.512_ver2!$C$36</f>
        <v>1</v>
      </c>
      <c r="D194" s="167"/>
      <c r="E194" s="167"/>
      <c r="F194" s="167"/>
      <c r="G194" s="168"/>
    </row>
    <row r="195" spans="1:7" ht="12.75" customHeight="1">
      <c r="A195" s="158" t="s">
        <v>23</v>
      </c>
      <c r="B195" s="159"/>
      <c r="C195" s="188" t="str">
        <f>SFLASH.512_ver2!$F$36</f>
        <v>Wafer Number</v>
      </c>
      <c r="D195" s="169"/>
      <c r="E195" s="169"/>
      <c r="F195" s="167"/>
      <c r="G195" s="170"/>
    </row>
    <row r="196" spans="1:7" ht="12.75" customHeight="1">
      <c r="A196" s="158" t="s">
        <v>29</v>
      </c>
      <c r="B196" s="159"/>
      <c r="C196" s="109" t="s">
        <v>238</v>
      </c>
      <c r="D196" s="169"/>
      <c r="E196" s="169"/>
      <c r="F196" s="167"/>
      <c r="G196" s="170"/>
    </row>
    <row r="197" spans="1:7" ht="13">
      <c r="A197" s="158" t="s">
        <v>44</v>
      </c>
      <c r="B197" s="159"/>
      <c r="C197" s="423" t="s">
        <v>242</v>
      </c>
      <c r="D197" s="423"/>
      <c r="E197" s="423"/>
      <c r="F197" s="423"/>
      <c r="G197" s="423"/>
    </row>
    <row r="198" spans="1:7" ht="13">
      <c r="A198" s="171" t="s">
        <v>43</v>
      </c>
      <c r="B198" s="172" t="s">
        <v>24</v>
      </c>
      <c r="C198" s="173" t="s">
        <v>42</v>
      </c>
      <c r="D198" s="173" t="s">
        <v>41</v>
      </c>
      <c r="E198" s="173" t="s">
        <v>40</v>
      </c>
      <c r="F198" s="173" t="s">
        <v>39</v>
      </c>
      <c r="G198" s="174" t="s">
        <v>23</v>
      </c>
    </row>
    <row r="199" spans="1:7">
      <c r="A199" s="175" t="s">
        <v>45</v>
      </c>
      <c r="B199" s="176" t="s">
        <v>243</v>
      </c>
      <c r="C199" s="177"/>
      <c r="D199" s="177" t="s">
        <v>38</v>
      </c>
      <c r="E199" s="177" t="s">
        <v>37</v>
      </c>
      <c r="F199" s="177"/>
      <c r="G199" s="178" t="s">
        <v>17</v>
      </c>
    </row>
    <row r="200" spans="1:7">
      <c r="A200" s="179"/>
      <c r="B200" s="179"/>
      <c r="C200" s="167"/>
      <c r="D200" s="167"/>
      <c r="E200" s="169"/>
      <c r="F200" s="168"/>
      <c r="G200" s="159"/>
    </row>
    <row r="201" spans="1:7" ht="13">
      <c r="A201" s="158" t="s">
        <v>24</v>
      </c>
      <c r="B201" s="159"/>
      <c r="C201" s="11" t="str">
        <f>SFLASH.512_ver2!$E$37</f>
        <v>DIE_X</v>
      </c>
      <c r="D201" s="167"/>
      <c r="E201" s="167"/>
      <c r="F201" s="167"/>
      <c r="G201" s="168"/>
    </row>
    <row r="202" spans="1:7" ht="15.5">
      <c r="A202" s="158" t="s">
        <v>47</v>
      </c>
      <c r="B202" s="159"/>
      <c r="C202" s="188">
        <f>SFLASH.512_ver2!$C$37</f>
        <v>1</v>
      </c>
      <c r="D202" s="167"/>
      <c r="E202" s="167"/>
      <c r="F202" s="167"/>
      <c r="G202" s="168"/>
    </row>
    <row r="203" spans="1:7" ht="12.75" customHeight="1">
      <c r="A203" s="158" t="s">
        <v>23</v>
      </c>
      <c r="B203" s="159"/>
      <c r="C203" s="188" t="str">
        <f>SFLASH.512_ver2!$F$37</f>
        <v>X Position on Wafer, CRI Pass/Fail Bin</v>
      </c>
      <c r="D203" s="169"/>
      <c r="E203" s="169"/>
      <c r="F203" s="167"/>
      <c r="G203" s="170"/>
    </row>
    <row r="204" spans="1:7" ht="12.75" customHeight="1">
      <c r="A204" s="158" t="s">
        <v>29</v>
      </c>
      <c r="B204" s="159"/>
      <c r="C204" s="109" t="s">
        <v>238</v>
      </c>
      <c r="D204" s="169"/>
      <c r="E204" s="169"/>
      <c r="F204" s="167"/>
      <c r="G204" s="170"/>
    </row>
    <row r="205" spans="1:7" ht="13">
      <c r="A205" s="158" t="s">
        <v>44</v>
      </c>
      <c r="B205" s="159"/>
      <c r="C205" s="423" t="s">
        <v>242</v>
      </c>
      <c r="D205" s="423"/>
      <c r="E205" s="423"/>
      <c r="F205" s="423"/>
      <c r="G205" s="423"/>
    </row>
    <row r="206" spans="1:7" ht="13">
      <c r="A206" s="171" t="s">
        <v>43</v>
      </c>
      <c r="B206" s="172" t="s">
        <v>24</v>
      </c>
      <c r="C206" s="173" t="s">
        <v>42</v>
      </c>
      <c r="D206" s="173" t="s">
        <v>41</v>
      </c>
      <c r="E206" s="173" t="s">
        <v>40</v>
      </c>
      <c r="F206" s="173" t="s">
        <v>39</v>
      </c>
      <c r="G206" s="174" t="s">
        <v>23</v>
      </c>
    </row>
    <row r="207" spans="1:7">
      <c r="A207" s="175" t="s">
        <v>45</v>
      </c>
      <c r="B207" s="176" t="s">
        <v>37</v>
      </c>
      <c r="C207" s="177"/>
      <c r="D207" s="177" t="s">
        <v>38</v>
      </c>
      <c r="E207" s="177" t="s">
        <v>37</v>
      </c>
      <c r="F207" s="177"/>
      <c r="G207" s="178" t="s">
        <v>244</v>
      </c>
    </row>
    <row r="208" spans="1:7">
      <c r="A208" s="179"/>
      <c r="B208" s="179"/>
      <c r="C208" s="167"/>
      <c r="D208" s="167"/>
      <c r="E208" s="169"/>
      <c r="F208" s="168"/>
      <c r="G208" s="159"/>
    </row>
    <row r="209" spans="1:7" ht="13">
      <c r="A209" s="158" t="s">
        <v>24</v>
      </c>
      <c r="B209" s="159"/>
      <c r="C209" s="11" t="str">
        <f>SFLASH.512_ver2!$E$38</f>
        <v>DIE_Y</v>
      </c>
      <c r="D209" s="167"/>
      <c r="E209" s="167"/>
      <c r="F209" s="167"/>
      <c r="G209" s="168"/>
    </row>
    <row r="210" spans="1:7" ht="15.5">
      <c r="A210" s="158" t="s">
        <v>47</v>
      </c>
      <c r="B210" s="159"/>
      <c r="C210" s="188">
        <f>SFLASH.512_ver2!$C$38</f>
        <v>1</v>
      </c>
      <c r="D210" s="167"/>
      <c r="E210" s="167"/>
      <c r="F210" s="167"/>
      <c r="G210" s="168"/>
    </row>
    <row r="211" spans="1:7" ht="12.75" customHeight="1">
      <c r="A211" s="158" t="s">
        <v>23</v>
      </c>
      <c r="B211" s="159"/>
      <c r="C211" s="188" t="str">
        <f>SFLASH.512_ver2!$F$38</f>
        <v>Y Position on Wafer, CHI Pass/Fail Bin</v>
      </c>
      <c r="D211" s="169"/>
      <c r="E211" s="169"/>
      <c r="F211" s="167"/>
      <c r="G211" s="170"/>
    </row>
    <row r="212" spans="1:7" ht="12.75" customHeight="1">
      <c r="A212" s="158" t="s">
        <v>29</v>
      </c>
      <c r="B212" s="159"/>
      <c r="C212" s="109" t="s">
        <v>238</v>
      </c>
      <c r="D212" s="169"/>
      <c r="E212" s="169"/>
      <c r="F212" s="167"/>
      <c r="G212" s="170"/>
    </row>
    <row r="213" spans="1:7" ht="13">
      <c r="A213" s="158" t="s">
        <v>44</v>
      </c>
      <c r="B213" s="159"/>
      <c r="C213" s="423" t="s">
        <v>242</v>
      </c>
      <c r="D213" s="423"/>
      <c r="E213" s="423"/>
      <c r="F213" s="423"/>
      <c r="G213" s="423"/>
    </row>
    <row r="214" spans="1:7" ht="13">
      <c r="A214" s="171" t="s">
        <v>43</v>
      </c>
      <c r="B214" s="172" t="s">
        <v>24</v>
      </c>
      <c r="C214" s="173" t="s">
        <v>42</v>
      </c>
      <c r="D214" s="173" t="s">
        <v>41</v>
      </c>
      <c r="E214" s="173" t="s">
        <v>40</v>
      </c>
      <c r="F214" s="173" t="s">
        <v>39</v>
      </c>
      <c r="G214" s="174" t="s">
        <v>23</v>
      </c>
    </row>
    <row r="215" spans="1:7">
      <c r="A215" s="175" t="s">
        <v>45</v>
      </c>
      <c r="B215" s="176" t="s">
        <v>245</v>
      </c>
      <c r="C215" s="177"/>
      <c r="D215" s="177" t="s">
        <v>38</v>
      </c>
      <c r="E215" s="177" t="s">
        <v>37</v>
      </c>
      <c r="F215" s="177"/>
      <c r="G215" s="178" t="s">
        <v>246</v>
      </c>
    </row>
    <row r="216" spans="1:7">
      <c r="A216" s="179"/>
      <c r="B216" s="179"/>
      <c r="C216" s="167"/>
      <c r="D216" s="167"/>
      <c r="E216" s="169"/>
      <c r="F216" s="168"/>
      <c r="G216" s="159"/>
    </row>
    <row r="217" spans="1:7" ht="13">
      <c r="A217" s="158" t="s">
        <v>24</v>
      </c>
      <c r="B217" s="159"/>
      <c r="C217" s="11" t="str">
        <f>SFLASH.512_ver2!$E$39</f>
        <v>DIE_SORT</v>
      </c>
      <c r="D217" s="167"/>
      <c r="E217" s="167"/>
      <c r="F217" s="167"/>
      <c r="G217" s="168"/>
    </row>
    <row r="218" spans="1:7" ht="15.5">
      <c r="A218" s="158" t="s">
        <v>47</v>
      </c>
      <c r="B218" s="159"/>
      <c r="C218" s="188">
        <f>SFLASH.512_ver2!$C$39</f>
        <v>1</v>
      </c>
      <c r="D218" s="167"/>
      <c r="E218" s="167"/>
      <c r="F218" s="167"/>
      <c r="G218" s="168"/>
    </row>
    <row r="219" spans="1:7" ht="15.5">
      <c r="A219" s="158" t="s">
        <v>23</v>
      </c>
      <c r="B219" s="159"/>
      <c r="C219" s="188" t="str">
        <f>SFLASH.512_ver2!$F$39</f>
        <v>Sort1/2/3 Pass/Fail Bin</v>
      </c>
      <c r="D219" s="169"/>
      <c r="E219" s="169"/>
      <c r="F219" s="167"/>
      <c r="G219" s="170"/>
    </row>
    <row r="220" spans="1:7" ht="13">
      <c r="A220" s="158" t="s">
        <v>29</v>
      </c>
      <c r="B220" s="159"/>
      <c r="C220" s="109" t="s">
        <v>238</v>
      </c>
      <c r="D220" s="169"/>
      <c r="E220" s="169"/>
      <c r="F220" s="167"/>
      <c r="G220" s="170"/>
    </row>
    <row r="221" spans="1:7" ht="13">
      <c r="A221" s="158" t="s">
        <v>44</v>
      </c>
      <c r="B221" s="159"/>
      <c r="C221" s="423" t="s">
        <v>242</v>
      </c>
      <c r="D221" s="423"/>
      <c r="E221" s="423"/>
      <c r="F221" s="423"/>
      <c r="G221" s="423"/>
    </row>
    <row r="222" spans="1:7" ht="13">
      <c r="A222" s="171" t="s">
        <v>43</v>
      </c>
      <c r="B222" s="172" t="s">
        <v>24</v>
      </c>
      <c r="C222" s="173" t="s">
        <v>42</v>
      </c>
      <c r="D222" s="173" t="s">
        <v>41</v>
      </c>
      <c r="E222" s="173" t="s">
        <v>40</v>
      </c>
      <c r="F222" s="173" t="s">
        <v>39</v>
      </c>
      <c r="G222" s="174" t="s">
        <v>23</v>
      </c>
    </row>
    <row r="223" spans="1:7">
      <c r="A223" s="175" t="s">
        <v>49</v>
      </c>
      <c r="B223" s="176" t="s">
        <v>247</v>
      </c>
      <c r="C223" s="177"/>
      <c r="D223" s="177" t="s">
        <v>38</v>
      </c>
      <c r="E223" s="177" t="s">
        <v>37</v>
      </c>
      <c r="F223" s="177"/>
      <c r="G223" s="178" t="s">
        <v>248</v>
      </c>
    </row>
    <row r="224" spans="1:7">
      <c r="A224" s="175" t="s">
        <v>54</v>
      </c>
      <c r="B224" s="176" t="s">
        <v>249</v>
      </c>
      <c r="C224" s="177"/>
      <c r="D224" s="177" t="s">
        <v>38</v>
      </c>
      <c r="E224" s="177" t="s">
        <v>37</v>
      </c>
      <c r="F224" s="177"/>
      <c r="G224" s="178" t="s">
        <v>250</v>
      </c>
    </row>
    <row r="225" spans="1:7" ht="12.75" customHeight="1">
      <c r="A225" s="175" t="s">
        <v>55</v>
      </c>
      <c r="B225" s="176" t="s">
        <v>251</v>
      </c>
      <c r="C225" s="177"/>
      <c r="D225" s="177" t="s">
        <v>38</v>
      </c>
      <c r="E225" s="177" t="s">
        <v>37</v>
      </c>
      <c r="F225" s="177"/>
      <c r="G225" s="178" t="s">
        <v>252</v>
      </c>
    </row>
    <row r="226" spans="1:7">
      <c r="A226" s="175" t="s">
        <v>56</v>
      </c>
      <c r="B226" s="176" t="s">
        <v>253</v>
      </c>
      <c r="C226" s="177"/>
      <c r="D226" s="177" t="s">
        <v>38</v>
      </c>
      <c r="E226" s="177" t="s">
        <v>37</v>
      </c>
      <c r="F226" s="177"/>
      <c r="G226" s="178" t="s">
        <v>254</v>
      </c>
    </row>
    <row r="227" spans="1:7">
      <c r="A227" s="180" t="s">
        <v>57</v>
      </c>
      <c r="B227" s="181" t="s">
        <v>255</v>
      </c>
      <c r="C227" s="182"/>
      <c r="D227" s="182" t="s">
        <v>38</v>
      </c>
      <c r="E227" s="182" t="s">
        <v>37</v>
      </c>
      <c r="F227" s="182"/>
      <c r="G227" s="183" t="s">
        <v>256</v>
      </c>
    </row>
    <row r="228" spans="1:7">
      <c r="A228" s="184" t="s">
        <v>58</v>
      </c>
      <c r="B228" s="185" t="s">
        <v>257</v>
      </c>
      <c r="C228" s="186"/>
      <c r="D228" s="186" t="s">
        <v>38</v>
      </c>
      <c r="E228" s="186" t="s">
        <v>37</v>
      </c>
      <c r="F228" s="186"/>
      <c r="G228" s="187" t="s">
        <v>258</v>
      </c>
    </row>
    <row r="229" spans="1:7">
      <c r="A229" s="179"/>
      <c r="B229" s="179"/>
      <c r="C229" s="167"/>
      <c r="D229" s="167"/>
      <c r="E229" s="169"/>
      <c r="F229" s="168"/>
      <c r="G229" s="159"/>
    </row>
    <row r="230" spans="1:7" ht="13">
      <c r="A230" s="158" t="s">
        <v>24</v>
      </c>
      <c r="B230" s="159"/>
      <c r="C230" s="11" t="str">
        <f>SFLASH.512_ver2!$E$40</f>
        <v>DIE_MINOR</v>
      </c>
      <c r="D230" s="167"/>
      <c r="E230" s="167"/>
      <c r="F230" s="167"/>
      <c r="G230" s="168"/>
    </row>
    <row r="231" spans="1:7" ht="15.5">
      <c r="A231" s="158" t="s">
        <v>47</v>
      </c>
      <c r="B231" s="159"/>
      <c r="C231" s="188">
        <f>SFLASH.512_ver2!$C$40</f>
        <v>1</v>
      </c>
      <c r="D231" s="167"/>
      <c r="E231" s="167"/>
      <c r="F231" s="167"/>
      <c r="G231" s="168"/>
    </row>
    <row r="232" spans="1:7" ht="15.5">
      <c r="A232" s="158" t="s">
        <v>23</v>
      </c>
      <c r="B232" s="159"/>
      <c r="C232" s="188" t="str">
        <f>SFLASH.512_ver2!$F$40</f>
        <v>Minor Revision Number</v>
      </c>
      <c r="D232" s="169"/>
      <c r="E232" s="169"/>
      <c r="F232" s="167"/>
      <c r="G232" s="170"/>
    </row>
    <row r="233" spans="1:7" ht="13">
      <c r="A233" s="158" t="s">
        <v>29</v>
      </c>
      <c r="B233" s="159"/>
      <c r="C233" s="109" t="s">
        <v>238</v>
      </c>
      <c r="D233" s="169"/>
      <c r="E233" s="169"/>
      <c r="F233" s="167"/>
      <c r="G233" s="170"/>
    </row>
    <row r="234" spans="1:7" ht="13">
      <c r="A234" s="158" t="s">
        <v>44</v>
      </c>
      <c r="B234" s="159"/>
      <c r="C234" s="423" t="s">
        <v>242</v>
      </c>
      <c r="D234" s="423"/>
      <c r="E234" s="423"/>
      <c r="F234" s="423"/>
      <c r="G234" s="423"/>
    </row>
    <row r="235" spans="1:7" ht="13">
      <c r="A235" s="171" t="s">
        <v>43</v>
      </c>
      <c r="B235" s="172" t="s">
        <v>24</v>
      </c>
      <c r="C235" s="173" t="s">
        <v>42</v>
      </c>
      <c r="D235" s="173" t="s">
        <v>41</v>
      </c>
      <c r="E235" s="173" t="s">
        <v>40</v>
      </c>
      <c r="F235" s="173" t="s">
        <v>39</v>
      </c>
      <c r="G235" s="174" t="s">
        <v>23</v>
      </c>
    </row>
    <row r="236" spans="1:7">
      <c r="A236" s="175" t="s">
        <v>45</v>
      </c>
      <c r="B236" s="176" t="s">
        <v>259</v>
      </c>
      <c r="C236" s="177"/>
      <c r="D236" s="177" t="s">
        <v>38</v>
      </c>
      <c r="E236" s="177" t="s">
        <v>37</v>
      </c>
      <c r="F236" s="177"/>
      <c r="G236" s="178" t="s">
        <v>260</v>
      </c>
    </row>
    <row r="237" spans="1:7">
      <c r="A237" s="179"/>
      <c r="B237" s="179"/>
      <c r="C237" s="167"/>
      <c r="D237" s="167"/>
      <c r="E237" s="169"/>
      <c r="F237" s="168"/>
      <c r="G237" s="159"/>
    </row>
    <row r="238" spans="1:7" ht="13">
      <c r="A238" s="158" t="s">
        <v>24</v>
      </c>
      <c r="B238" s="159"/>
      <c r="C238" s="11" t="str">
        <f>SFLASH.512_ver2!$E$41</f>
        <v>DIE_DAY</v>
      </c>
      <c r="D238" s="167"/>
      <c r="E238" s="167"/>
      <c r="F238" s="167"/>
      <c r="G238" s="168"/>
    </row>
    <row r="239" spans="1:7" ht="15.5">
      <c r="A239" s="158" t="s">
        <v>47</v>
      </c>
      <c r="B239" s="159"/>
      <c r="C239" s="188">
        <f>SFLASH.512_ver2!$C$41</f>
        <v>1</v>
      </c>
      <c r="D239" s="167"/>
      <c r="E239" s="167"/>
      <c r="F239" s="167"/>
      <c r="G239" s="168"/>
    </row>
    <row r="240" spans="1:7" ht="15.5">
      <c r="A240" s="158" t="s">
        <v>23</v>
      </c>
      <c r="B240" s="159"/>
      <c r="C240" s="188" t="str">
        <f>SFLASH.512_ver2!$F$41</f>
        <v>Day number</v>
      </c>
      <c r="D240" s="169"/>
      <c r="E240" s="169"/>
      <c r="F240" s="167"/>
      <c r="G240" s="170"/>
    </row>
    <row r="241" spans="1:7" ht="13">
      <c r="A241" s="158" t="s">
        <v>29</v>
      </c>
      <c r="B241" s="159"/>
      <c r="C241" s="109" t="s">
        <v>238</v>
      </c>
      <c r="D241" s="169"/>
      <c r="E241" s="169"/>
      <c r="F241" s="167"/>
      <c r="G241" s="170"/>
    </row>
    <row r="242" spans="1:7" ht="13">
      <c r="A242" s="158" t="s">
        <v>44</v>
      </c>
      <c r="B242" s="159"/>
      <c r="C242" s="423" t="s">
        <v>242</v>
      </c>
      <c r="D242" s="423"/>
      <c r="E242" s="423"/>
      <c r="F242" s="423"/>
      <c r="G242" s="423"/>
    </row>
    <row r="243" spans="1:7" ht="13">
      <c r="A243" s="171" t="s">
        <v>43</v>
      </c>
      <c r="B243" s="172" t="s">
        <v>24</v>
      </c>
      <c r="C243" s="173" t="s">
        <v>42</v>
      </c>
      <c r="D243" s="173" t="s">
        <v>41</v>
      </c>
      <c r="E243" s="173" t="s">
        <v>40</v>
      </c>
      <c r="F243" s="173" t="s">
        <v>39</v>
      </c>
      <c r="G243" s="174" t="s">
        <v>23</v>
      </c>
    </row>
    <row r="244" spans="1:7">
      <c r="A244" s="175" t="s">
        <v>45</v>
      </c>
      <c r="B244" s="176" t="s">
        <v>259</v>
      </c>
      <c r="C244" s="177"/>
      <c r="D244" s="177" t="s">
        <v>38</v>
      </c>
      <c r="E244" s="177" t="s">
        <v>37</v>
      </c>
      <c r="F244" s="177"/>
      <c r="G244" s="178" t="s">
        <v>582</v>
      </c>
    </row>
    <row r="245" spans="1:7">
      <c r="A245" s="179"/>
      <c r="B245" s="179"/>
      <c r="C245" s="167"/>
      <c r="D245" s="167"/>
      <c r="E245" s="169"/>
      <c r="F245" s="168"/>
      <c r="G245" s="159"/>
    </row>
    <row r="246" spans="1:7" ht="13">
      <c r="A246" s="158" t="s">
        <v>24</v>
      </c>
      <c r="B246" s="159"/>
      <c r="C246" s="11" t="str">
        <f>SFLASH.512_ver2!$E$42</f>
        <v>DIE_MONTH</v>
      </c>
      <c r="D246" s="167"/>
      <c r="E246" s="167"/>
      <c r="F246" s="167"/>
      <c r="G246" s="168"/>
    </row>
    <row r="247" spans="1:7" ht="15.5">
      <c r="A247" s="158" t="s">
        <v>47</v>
      </c>
      <c r="B247" s="159"/>
      <c r="C247" s="188">
        <f>SFLASH.512_ver2!$C$42</f>
        <v>1</v>
      </c>
      <c r="D247" s="167"/>
      <c r="E247" s="167"/>
      <c r="F247" s="167"/>
      <c r="G247" s="168"/>
    </row>
    <row r="248" spans="1:7" ht="15.5">
      <c r="A248" s="158" t="s">
        <v>23</v>
      </c>
      <c r="B248" s="159"/>
      <c r="C248" s="188" t="str">
        <f>SFLASH.512_ver2!$F$42</f>
        <v>Month number</v>
      </c>
      <c r="D248" s="169"/>
      <c r="E248" s="169"/>
      <c r="F248" s="167"/>
      <c r="G248" s="170"/>
    </row>
    <row r="249" spans="1:7" ht="13">
      <c r="A249" s="158" t="s">
        <v>29</v>
      </c>
      <c r="B249" s="159"/>
      <c r="C249" s="109" t="s">
        <v>238</v>
      </c>
      <c r="D249" s="169"/>
      <c r="E249" s="169"/>
      <c r="F249" s="167"/>
      <c r="G249" s="170"/>
    </row>
    <row r="250" spans="1:7" ht="13">
      <c r="A250" s="158" t="s">
        <v>44</v>
      </c>
      <c r="B250" s="159"/>
      <c r="C250" s="423" t="s">
        <v>242</v>
      </c>
      <c r="D250" s="423"/>
      <c r="E250" s="423"/>
      <c r="F250" s="423"/>
      <c r="G250" s="423"/>
    </row>
    <row r="251" spans="1:7" ht="13">
      <c r="A251" s="171" t="s">
        <v>43</v>
      </c>
      <c r="B251" s="172" t="s">
        <v>24</v>
      </c>
      <c r="C251" s="173" t="s">
        <v>42</v>
      </c>
      <c r="D251" s="173" t="s">
        <v>41</v>
      </c>
      <c r="E251" s="173" t="s">
        <v>40</v>
      </c>
      <c r="F251" s="173" t="s">
        <v>39</v>
      </c>
      <c r="G251" s="174" t="s">
        <v>23</v>
      </c>
    </row>
    <row r="252" spans="1:7">
      <c r="A252" s="175" t="s">
        <v>45</v>
      </c>
      <c r="B252" s="176" t="s">
        <v>259</v>
      </c>
      <c r="C252" s="177"/>
      <c r="D252" s="177" t="s">
        <v>38</v>
      </c>
      <c r="E252" s="177" t="s">
        <v>37</v>
      </c>
      <c r="F252" s="177"/>
      <c r="G252" s="178" t="s">
        <v>581</v>
      </c>
    </row>
    <row r="253" spans="1:7">
      <c r="A253" s="179"/>
      <c r="B253" s="179"/>
      <c r="C253" s="167"/>
      <c r="D253" s="167"/>
      <c r="E253" s="169"/>
      <c r="F253" s="168"/>
      <c r="G253" s="159"/>
    </row>
    <row r="254" spans="1:7" ht="13">
      <c r="A254" s="158" t="s">
        <v>24</v>
      </c>
      <c r="B254" s="159"/>
      <c r="C254" s="11" t="str">
        <f>SFLASH.512_ver2!$E$43</f>
        <v>DIE_YEAR</v>
      </c>
      <c r="D254" s="167"/>
      <c r="E254" s="167"/>
      <c r="F254" s="167"/>
      <c r="G254" s="168"/>
    </row>
    <row r="255" spans="1:7" ht="15.5">
      <c r="A255" s="158" t="s">
        <v>47</v>
      </c>
      <c r="B255" s="159"/>
      <c r="C255" s="188">
        <f>SFLASH.512_ver2!$C$43</f>
        <v>1</v>
      </c>
      <c r="D255" s="167"/>
      <c r="E255" s="167"/>
      <c r="F255" s="167"/>
      <c r="G255" s="168"/>
    </row>
    <row r="256" spans="1:7" ht="15.5">
      <c r="A256" s="158" t="s">
        <v>23</v>
      </c>
      <c r="B256" s="159"/>
      <c r="C256" s="188" t="str">
        <f>SFLASH.512_ver2!$F$43</f>
        <v>Year number</v>
      </c>
      <c r="D256" s="169"/>
      <c r="E256" s="169"/>
      <c r="F256" s="167"/>
      <c r="G256" s="170"/>
    </row>
    <row r="257" spans="1:9" ht="13">
      <c r="A257" s="158" t="s">
        <v>29</v>
      </c>
      <c r="B257" s="159"/>
      <c r="C257" s="109" t="s">
        <v>238</v>
      </c>
      <c r="D257" s="169"/>
      <c r="E257" s="169"/>
      <c r="F257" s="167"/>
      <c r="G257" s="170"/>
    </row>
    <row r="258" spans="1:9" ht="13">
      <c r="A258" s="158" t="s">
        <v>44</v>
      </c>
      <c r="B258" s="159"/>
      <c r="C258" s="423" t="s">
        <v>242</v>
      </c>
      <c r="D258" s="423"/>
      <c r="E258" s="423"/>
      <c r="F258" s="423"/>
      <c r="G258" s="423"/>
    </row>
    <row r="259" spans="1:9" ht="13">
      <c r="A259" s="171" t="s">
        <v>43</v>
      </c>
      <c r="B259" s="172" t="s">
        <v>24</v>
      </c>
      <c r="C259" s="173" t="s">
        <v>42</v>
      </c>
      <c r="D259" s="173" t="s">
        <v>41</v>
      </c>
      <c r="E259" s="173" t="s">
        <v>40</v>
      </c>
      <c r="F259" s="173" t="s">
        <v>39</v>
      </c>
      <c r="G259" s="174" t="s">
        <v>23</v>
      </c>
    </row>
    <row r="260" spans="1:9">
      <c r="A260" s="175" t="s">
        <v>45</v>
      </c>
      <c r="B260" s="176" t="s">
        <v>259</v>
      </c>
      <c r="C260" s="177"/>
      <c r="D260" s="177" t="s">
        <v>38</v>
      </c>
      <c r="E260" s="177" t="s">
        <v>37</v>
      </c>
      <c r="F260" s="177"/>
      <c r="G260" s="178" t="s">
        <v>580</v>
      </c>
    </row>
    <row r="261" spans="1:9">
      <c r="A261" s="179"/>
      <c r="B261" s="179"/>
      <c r="C261" s="167"/>
      <c r="D261" s="167"/>
      <c r="E261" s="169"/>
      <c r="F261" s="168"/>
      <c r="G261" s="159"/>
    </row>
    <row r="262" spans="1:9" s="406" customFormat="1" ht="15.5">
      <c r="A262" s="403" t="s">
        <v>24</v>
      </c>
      <c r="B262" s="404"/>
      <c r="C262" s="405" t="str">
        <f>SFLASH.512_ver2!$E$44</f>
        <v>EPASS_TEMP_TRIM_TEMP_HOTSORT</v>
      </c>
      <c r="D262" s="404"/>
      <c r="E262" s="404"/>
      <c r="F262" s="404"/>
      <c r="G262" s="404"/>
      <c r="I262" s="407"/>
    </row>
    <row r="263" spans="1:9" s="406" customFormat="1" ht="15.5">
      <c r="A263" s="403" t="s">
        <v>47</v>
      </c>
      <c r="B263" s="404"/>
      <c r="C263" s="408">
        <v>1</v>
      </c>
      <c r="D263" s="404"/>
      <c r="E263" s="404"/>
      <c r="F263" s="404"/>
      <c r="G263" s="404"/>
    </row>
    <row r="264" spans="1:9" s="406" customFormat="1" ht="15.5">
      <c r="A264" s="403" t="s">
        <v>23</v>
      </c>
      <c r="B264" s="404"/>
      <c r="C264" s="408" t="str">
        <f>SFLASH.512_ver2!$F$44</f>
        <v>On Chip temperature measured using external currents and external ADC at HOT (only SORT TEST)</v>
      </c>
      <c r="D264" s="404"/>
      <c r="E264" s="404"/>
      <c r="F264" s="404"/>
      <c r="G264" s="404"/>
    </row>
    <row r="265" spans="1:9" s="406" customFormat="1" ht="13">
      <c r="A265" s="403" t="s">
        <v>29</v>
      </c>
      <c r="B265" s="409"/>
      <c r="C265" s="410" t="s">
        <v>238</v>
      </c>
      <c r="D265" s="404"/>
      <c r="E265" s="404"/>
      <c r="F265" s="404"/>
      <c r="G265" s="404"/>
    </row>
    <row r="266" spans="1:9" s="406" customFormat="1" ht="13">
      <c r="A266" s="403" t="s">
        <v>44</v>
      </c>
      <c r="B266" s="404"/>
      <c r="C266" s="404" t="s">
        <v>34786</v>
      </c>
      <c r="D266" s="404"/>
      <c r="E266" s="404"/>
      <c r="F266" s="404"/>
      <c r="G266" s="404"/>
    </row>
    <row r="267" spans="1:9" s="406" customFormat="1" ht="13">
      <c r="A267" s="411" t="s">
        <v>43</v>
      </c>
      <c r="B267" s="412" t="s">
        <v>24</v>
      </c>
      <c r="C267" s="413" t="s">
        <v>42</v>
      </c>
      <c r="D267" s="413" t="s">
        <v>41</v>
      </c>
      <c r="E267" s="413" t="s">
        <v>40</v>
      </c>
      <c r="F267" s="413" t="s">
        <v>39</v>
      </c>
      <c r="G267" s="414" t="s">
        <v>23</v>
      </c>
    </row>
    <row r="268" spans="1:9" s="406" customFormat="1" ht="15.5">
      <c r="A268" s="415" t="s">
        <v>34787</v>
      </c>
      <c r="B268" s="416" t="s">
        <v>34788</v>
      </c>
      <c r="C268" s="417"/>
      <c r="D268" s="417" t="s">
        <v>38</v>
      </c>
      <c r="E268" s="417" t="s">
        <v>37</v>
      </c>
      <c r="F268" s="418"/>
      <c r="G268" s="419" t="str">
        <f>SFLASH.512_ver2!$F$44</f>
        <v>On Chip temperature measured using external currents and external ADC at HOT (only SORT TEST)</v>
      </c>
    </row>
    <row r="269" spans="1:9" s="406" customFormat="1"/>
    <row r="270" spans="1:9" s="406" customFormat="1" ht="15.5">
      <c r="A270" s="403" t="s">
        <v>24</v>
      </c>
      <c r="B270" s="404"/>
      <c r="C270" s="405" t="str">
        <f>SFLASH.512_ver2!$E$45</f>
        <v>EPASS_TEMP_TRIM_DIODE_HOTSORT</v>
      </c>
      <c r="D270" s="404"/>
      <c r="E270" s="404"/>
      <c r="F270" s="404"/>
      <c r="G270" s="404"/>
      <c r="I270" s="407"/>
    </row>
    <row r="271" spans="1:9" s="406" customFormat="1" ht="15.5">
      <c r="A271" s="403" t="s">
        <v>47</v>
      </c>
      <c r="B271" s="404"/>
      <c r="C271" s="408">
        <v>1</v>
      </c>
      <c r="D271" s="404"/>
      <c r="E271" s="404"/>
      <c r="F271" s="404"/>
      <c r="G271" s="404"/>
    </row>
    <row r="272" spans="1:9" s="406" customFormat="1" ht="15.5">
      <c r="A272" s="403" t="s">
        <v>23</v>
      </c>
      <c r="B272" s="404"/>
      <c r="C272" s="408" t="str">
        <f>SFLASH.512_ver2!$F$45</f>
        <v>Temperature sensor calibration data for VDDA=3.3V, Temperature sensor diode voltage at HOT (only SORT TEST)</v>
      </c>
      <c r="D272" s="404"/>
      <c r="E272" s="404"/>
      <c r="F272" s="404"/>
      <c r="G272" s="404"/>
    </row>
    <row r="273" spans="1:9" s="406" customFormat="1" ht="13">
      <c r="A273" s="403" t="s">
        <v>29</v>
      </c>
      <c r="B273" s="409"/>
      <c r="C273" s="410" t="s">
        <v>238</v>
      </c>
      <c r="D273" s="404"/>
      <c r="E273" s="404"/>
      <c r="F273" s="404"/>
      <c r="G273" s="404"/>
    </row>
    <row r="274" spans="1:9" s="406" customFormat="1" ht="13">
      <c r="A274" s="403" t="s">
        <v>44</v>
      </c>
      <c r="B274" s="404"/>
      <c r="C274" s="404" t="s">
        <v>34786</v>
      </c>
      <c r="D274" s="404"/>
      <c r="E274" s="404"/>
      <c r="F274" s="404"/>
      <c r="G274" s="404"/>
    </row>
    <row r="275" spans="1:9" s="406" customFormat="1" ht="13">
      <c r="A275" s="411" t="s">
        <v>43</v>
      </c>
      <c r="B275" s="412" t="s">
        <v>24</v>
      </c>
      <c r="C275" s="413" t="s">
        <v>42</v>
      </c>
      <c r="D275" s="413" t="s">
        <v>41</v>
      </c>
      <c r="E275" s="413" t="s">
        <v>40</v>
      </c>
      <c r="F275" s="413" t="s">
        <v>39</v>
      </c>
      <c r="G275" s="414" t="s">
        <v>23</v>
      </c>
    </row>
    <row r="276" spans="1:9" s="406" customFormat="1" ht="15.5">
      <c r="A276" s="415" t="s">
        <v>34787</v>
      </c>
      <c r="B276" s="416" t="s">
        <v>34788</v>
      </c>
      <c r="C276" s="417"/>
      <c r="D276" s="417" t="s">
        <v>38</v>
      </c>
      <c r="E276" s="417" t="s">
        <v>37</v>
      </c>
      <c r="F276" s="418"/>
      <c r="G276" s="419" t="str">
        <f>SFLASH.512_ver2!$F$45</f>
        <v>Temperature sensor calibration data for VDDA=3.3V, Temperature sensor diode voltage at HOT (only SORT TEST)</v>
      </c>
    </row>
    <row r="277" spans="1:9" s="406" customFormat="1"/>
    <row r="278" spans="1:9" s="406" customFormat="1" ht="15.5">
      <c r="A278" s="403" t="s">
        <v>24</v>
      </c>
      <c r="B278" s="404"/>
      <c r="C278" s="405" t="str">
        <f>SFLASH.512_ver2!$E$46</f>
        <v>EPASS_TEMP_TRIM_VBG_HOTSORT</v>
      </c>
      <c r="D278" s="404"/>
      <c r="E278" s="404"/>
      <c r="F278" s="404"/>
      <c r="G278" s="404"/>
      <c r="I278" s="407"/>
    </row>
    <row r="279" spans="1:9" s="406" customFormat="1" ht="15.5">
      <c r="A279" s="403" t="s">
        <v>47</v>
      </c>
      <c r="B279" s="404"/>
      <c r="C279" s="408">
        <v>1</v>
      </c>
      <c r="D279" s="404"/>
      <c r="E279" s="404"/>
      <c r="F279" s="404"/>
      <c r="G279" s="404"/>
    </row>
    <row r="280" spans="1:9" s="406" customFormat="1" ht="15.5">
      <c r="A280" s="403" t="s">
        <v>23</v>
      </c>
      <c r="B280" s="404"/>
      <c r="C280" s="408" t="str">
        <f>SFLASH.512_ver2!$F$46</f>
        <v>Temperature sensor calibration data for VDDA=3.3V, Bandgap voltage at HOT (only SORT TEST)</v>
      </c>
      <c r="D280" s="404"/>
      <c r="E280" s="404"/>
      <c r="F280" s="404"/>
      <c r="G280" s="404"/>
    </row>
    <row r="281" spans="1:9" s="406" customFormat="1" ht="13">
      <c r="A281" s="403" t="s">
        <v>29</v>
      </c>
      <c r="B281" s="409"/>
      <c r="C281" s="410" t="s">
        <v>238</v>
      </c>
      <c r="D281" s="404"/>
      <c r="E281" s="404"/>
      <c r="F281" s="404"/>
      <c r="G281" s="404"/>
    </row>
    <row r="282" spans="1:9" s="406" customFormat="1" ht="13">
      <c r="A282" s="403" t="s">
        <v>44</v>
      </c>
      <c r="B282" s="404"/>
      <c r="C282" s="404" t="s">
        <v>34786</v>
      </c>
      <c r="D282" s="404"/>
      <c r="E282" s="404"/>
      <c r="F282" s="404"/>
      <c r="G282" s="404"/>
    </row>
    <row r="283" spans="1:9" s="406" customFormat="1" ht="13">
      <c r="A283" s="411" t="s">
        <v>43</v>
      </c>
      <c r="B283" s="412" t="s">
        <v>24</v>
      </c>
      <c r="C283" s="413" t="s">
        <v>42</v>
      </c>
      <c r="D283" s="413" t="s">
        <v>41</v>
      </c>
      <c r="E283" s="413" t="s">
        <v>40</v>
      </c>
      <c r="F283" s="413" t="s">
        <v>39</v>
      </c>
      <c r="G283" s="414" t="s">
        <v>23</v>
      </c>
    </row>
    <row r="284" spans="1:9" s="406" customFormat="1" ht="15.5">
      <c r="A284" s="415" t="s">
        <v>34787</v>
      </c>
      <c r="B284" s="416" t="s">
        <v>34788</v>
      </c>
      <c r="C284" s="417"/>
      <c r="D284" s="417" t="s">
        <v>38</v>
      </c>
      <c r="E284" s="417" t="s">
        <v>37</v>
      </c>
      <c r="F284" s="418"/>
      <c r="G284" s="419" t="str">
        <f>SFLASH.512_ver2!$F$46</f>
        <v>Temperature sensor calibration data for VDDA=3.3V, Bandgap voltage at HOT (only SORT TEST)</v>
      </c>
    </row>
    <row r="285" spans="1:9" s="406" customFormat="1"/>
    <row r="286" spans="1:9" s="406" customFormat="1" ht="15.5">
      <c r="A286" s="403" t="s">
        <v>24</v>
      </c>
      <c r="B286" s="404"/>
      <c r="C286" s="405" t="str">
        <f>SFLASH.512_ver2!$E$47</f>
        <v>EPASS_TEMP_TRIM_TEMP_ROOMSORT</v>
      </c>
      <c r="D286" s="404"/>
      <c r="E286" s="404"/>
      <c r="F286" s="404"/>
      <c r="G286" s="404"/>
      <c r="I286" s="407"/>
    </row>
    <row r="287" spans="1:9" s="406" customFormat="1" ht="15.5">
      <c r="A287" s="403" t="s">
        <v>47</v>
      </c>
      <c r="B287" s="404"/>
      <c r="C287" s="408">
        <v>1</v>
      </c>
      <c r="D287" s="404"/>
      <c r="E287" s="404"/>
      <c r="F287" s="404"/>
      <c r="G287" s="404"/>
    </row>
    <row r="288" spans="1:9" s="406" customFormat="1" ht="15.5">
      <c r="A288" s="403" t="s">
        <v>23</v>
      </c>
      <c r="B288" s="404"/>
      <c r="C288" s="408" t="str">
        <f>SFLASH.512_ver2!$F$47</f>
        <v>On Chip temperature measured using external currents and external ADC at ROOM</v>
      </c>
      <c r="D288" s="404"/>
      <c r="E288" s="404"/>
      <c r="F288" s="404"/>
      <c r="G288" s="404"/>
    </row>
    <row r="289" spans="1:9" s="406" customFormat="1" ht="13">
      <c r="A289" s="403" t="s">
        <v>44</v>
      </c>
      <c r="B289" s="404"/>
      <c r="C289" s="404" t="s">
        <v>34786</v>
      </c>
      <c r="D289" s="404"/>
      <c r="E289" s="404"/>
      <c r="F289" s="404"/>
      <c r="G289" s="404"/>
    </row>
    <row r="290" spans="1:9" s="406" customFormat="1" ht="13">
      <c r="A290" s="411" t="s">
        <v>43</v>
      </c>
      <c r="B290" s="412" t="s">
        <v>24</v>
      </c>
      <c r="C290" s="413" t="s">
        <v>42</v>
      </c>
      <c r="D290" s="413" t="s">
        <v>41</v>
      </c>
      <c r="E290" s="413" t="s">
        <v>40</v>
      </c>
      <c r="F290" s="413" t="s">
        <v>39</v>
      </c>
      <c r="G290" s="414" t="s">
        <v>23</v>
      </c>
    </row>
    <row r="291" spans="1:9" s="406" customFormat="1" ht="15.5">
      <c r="A291" s="415" t="s">
        <v>34787</v>
      </c>
      <c r="B291" s="416" t="s">
        <v>34788</v>
      </c>
      <c r="C291" s="417"/>
      <c r="D291" s="417" t="s">
        <v>38</v>
      </c>
      <c r="E291" s="417" t="s">
        <v>37</v>
      </c>
      <c r="F291" s="418"/>
      <c r="G291" s="419" t="str">
        <f>SFLASH.512_ver2!$F$47</f>
        <v>On Chip temperature measured using external currents and external ADC at ROOM</v>
      </c>
    </row>
    <row r="292" spans="1:9" s="406" customFormat="1"/>
    <row r="293" spans="1:9" s="406" customFormat="1" ht="15.5">
      <c r="A293" s="403" t="s">
        <v>24</v>
      </c>
      <c r="B293" s="404"/>
      <c r="C293" s="405" t="str">
        <f>SFLASH.512_ver2!$E$48</f>
        <v>EPASS_TEMP_TRIM_DIODE_ROOMSORT</v>
      </c>
      <c r="D293" s="404"/>
      <c r="E293" s="404"/>
      <c r="F293" s="404"/>
      <c r="G293" s="404"/>
      <c r="I293" s="407"/>
    </row>
    <row r="294" spans="1:9" s="406" customFormat="1" ht="15.5">
      <c r="A294" s="403" t="s">
        <v>47</v>
      </c>
      <c r="B294" s="404"/>
      <c r="C294" s="408">
        <v>1</v>
      </c>
      <c r="D294" s="404"/>
      <c r="E294" s="404"/>
      <c r="F294" s="404"/>
      <c r="G294" s="404"/>
    </row>
    <row r="295" spans="1:9" s="406" customFormat="1" ht="15.5">
      <c r="A295" s="403" t="s">
        <v>23</v>
      </c>
      <c r="B295" s="404"/>
      <c r="C295" s="408" t="str">
        <f>SFLASH.512_ver2!$F$48</f>
        <v>Temperature sensor calibration data for VDDA=3.3V, Temperature sensor diode voltage at ROOM</v>
      </c>
      <c r="D295" s="404"/>
      <c r="E295" s="404"/>
      <c r="F295" s="404"/>
      <c r="G295" s="404"/>
    </row>
    <row r="296" spans="1:9" s="406" customFormat="1" ht="13">
      <c r="A296" s="403" t="s">
        <v>44</v>
      </c>
      <c r="B296" s="404"/>
      <c r="C296" s="404" t="s">
        <v>34786</v>
      </c>
      <c r="D296" s="404"/>
      <c r="E296" s="404"/>
      <c r="F296" s="404"/>
      <c r="G296" s="404"/>
    </row>
    <row r="297" spans="1:9" s="406" customFormat="1" ht="13">
      <c r="A297" s="411" t="s">
        <v>43</v>
      </c>
      <c r="B297" s="412" t="s">
        <v>24</v>
      </c>
      <c r="C297" s="413" t="s">
        <v>42</v>
      </c>
      <c r="D297" s="413" t="s">
        <v>41</v>
      </c>
      <c r="E297" s="413" t="s">
        <v>40</v>
      </c>
      <c r="F297" s="413" t="s">
        <v>39</v>
      </c>
      <c r="G297" s="414" t="s">
        <v>23</v>
      </c>
    </row>
    <row r="298" spans="1:9" s="406" customFormat="1" ht="15.5">
      <c r="A298" s="415" t="s">
        <v>34787</v>
      </c>
      <c r="B298" s="416" t="s">
        <v>34788</v>
      </c>
      <c r="C298" s="417"/>
      <c r="D298" s="417" t="s">
        <v>38</v>
      </c>
      <c r="E298" s="417" t="s">
        <v>37</v>
      </c>
      <c r="F298" s="418"/>
      <c r="G298" s="419" t="str">
        <f>SFLASH.512_ver2!$F$48</f>
        <v>Temperature sensor calibration data for VDDA=3.3V, Temperature sensor diode voltage at ROOM</v>
      </c>
    </row>
    <row r="299" spans="1:9" s="406" customFormat="1"/>
    <row r="300" spans="1:9" s="406" customFormat="1" ht="15.5">
      <c r="A300" s="403" t="s">
        <v>24</v>
      </c>
      <c r="B300" s="404"/>
      <c r="C300" s="405" t="str">
        <f>SFLASH.512_ver2!$E$49</f>
        <v>EPASS_TEMP_TRIM_VBG_ROOMSORT</v>
      </c>
      <c r="D300" s="404"/>
      <c r="E300" s="404"/>
      <c r="F300" s="404"/>
      <c r="G300" s="404"/>
      <c r="I300" s="407"/>
    </row>
    <row r="301" spans="1:9" s="406" customFormat="1" ht="15.5">
      <c r="A301" s="403" t="s">
        <v>47</v>
      </c>
      <c r="B301" s="404"/>
      <c r="C301" s="408">
        <v>1</v>
      </c>
      <c r="D301" s="404"/>
      <c r="E301" s="404"/>
      <c r="F301" s="404"/>
      <c r="G301" s="404"/>
    </row>
    <row r="302" spans="1:9" s="406" customFormat="1" ht="15.5">
      <c r="A302" s="403" t="s">
        <v>23</v>
      </c>
      <c r="B302" s="404"/>
      <c r="C302" s="408" t="str">
        <f>SFLASH.512_ver2!$F$49</f>
        <v>Temperature sensor calibration data for VDDA=3.3V, Bandgap voltage at ROOM</v>
      </c>
      <c r="D302" s="404"/>
      <c r="E302" s="404"/>
      <c r="F302" s="404"/>
      <c r="G302" s="404"/>
    </row>
    <row r="303" spans="1:9" s="406" customFormat="1" ht="13">
      <c r="A303" s="403" t="s">
        <v>44</v>
      </c>
      <c r="B303" s="404"/>
      <c r="C303" s="404" t="s">
        <v>34786</v>
      </c>
      <c r="D303" s="404"/>
      <c r="E303" s="404"/>
      <c r="F303" s="404"/>
      <c r="G303" s="404"/>
    </row>
    <row r="304" spans="1:9" s="406" customFormat="1" ht="13">
      <c r="A304" s="411" t="s">
        <v>43</v>
      </c>
      <c r="B304" s="412" t="s">
        <v>24</v>
      </c>
      <c r="C304" s="413" t="s">
        <v>42</v>
      </c>
      <c r="D304" s="413" t="s">
        <v>41</v>
      </c>
      <c r="E304" s="413" t="s">
        <v>40</v>
      </c>
      <c r="F304" s="413" t="s">
        <v>39</v>
      </c>
      <c r="G304" s="414" t="s">
        <v>23</v>
      </c>
    </row>
    <row r="305" spans="1:9" s="406" customFormat="1" ht="15.5">
      <c r="A305" s="415" t="s">
        <v>34787</v>
      </c>
      <c r="B305" s="416" t="s">
        <v>34788</v>
      </c>
      <c r="C305" s="417"/>
      <c r="D305" s="417" t="s">
        <v>38</v>
      </c>
      <c r="E305" s="417" t="s">
        <v>37</v>
      </c>
      <c r="F305" s="418"/>
      <c r="G305" s="419" t="str">
        <f>SFLASH.512_ver2!$F$49</f>
        <v>Temperature sensor calibration data for VDDA=3.3V, Bandgap voltage at ROOM</v>
      </c>
    </row>
    <row r="306" spans="1:9" s="406" customFormat="1"/>
    <row r="307" spans="1:9" s="406" customFormat="1" ht="15.5">
      <c r="A307" s="403" t="s">
        <v>24</v>
      </c>
      <c r="B307" s="404"/>
      <c r="C307" s="405" t="str">
        <f>SFLASH.512_ver2!$E$50</f>
        <v>EPASS_TEMP_TRIM_TEMP_COLDSORT</v>
      </c>
      <c r="D307" s="404"/>
      <c r="E307" s="404"/>
      <c r="F307" s="404"/>
      <c r="G307" s="404"/>
      <c r="I307" s="407"/>
    </row>
    <row r="308" spans="1:9" s="406" customFormat="1" ht="15.5">
      <c r="A308" s="403" t="s">
        <v>47</v>
      </c>
      <c r="B308" s="404"/>
      <c r="C308" s="408">
        <v>1</v>
      </c>
      <c r="D308" s="404"/>
      <c r="E308" s="404"/>
      <c r="F308" s="404"/>
      <c r="G308" s="404"/>
    </row>
    <row r="309" spans="1:9" s="406" customFormat="1" ht="15.5">
      <c r="A309" s="403" t="s">
        <v>23</v>
      </c>
      <c r="B309" s="404"/>
      <c r="C309" s="408" t="str">
        <f>SFLASH.512_ver2!$F$50</f>
        <v>On Chip temperature measured using external currents and external ADC at COLD</v>
      </c>
      <c r="D309" s="404"/>
      <c r="E309" s="404"/>
      <c r="F309" s="404"/>
      <c r="G309" s="404"/>
    </row>
    <row r="310" spans="1:9" s="406" customFormat="1" ht="13">
      <c r="A310" s="403" t="s">
        <v>44</v>
      </c>
      <c r="B310" s="404"/>
      <c r="C310" s="404" t="s">
        <v>34786</v>
      </c>
      <c r="D310" s="404"/>
      <c r="E310" s="404"/>
      <c r="F310" s="404"/>
      <c r="G310" s="404"/>
    </row>
    <row r="311" spans="1:9" s="406" customFormat="1" ht="13">
      <c r="A311" s="411" t="s">
        <v>43</v>
      </c>
      <c r="B311" s="412" t="s">
        <v>24</v>
      </c>
      <c r="C311" s="413" t="s">
        <v>42</v>
      </c>
      <c r="D311" s="413" t="s">
        <v>41</v>
      </c>
      <c r="E311" s="413" t="s">
        <v>40</v>
      </c>
      <c r="F311" s="413" t="s">
        <v>39</v>
      </c>
      <c r="G311" s="414" t="s">
        <v>23</v>
      </c>
    </row>
    <row r="312" spans="1:9" s="406" customFormat="1" ht="15.5">
      <c r="A312" s="415" t="s">
        <v>34787</v>
      </c>
      <c r="B312" s="416" t="s">
        <v>34788</v>
      </c>
      <c r="C312" s="417"/>
      <c r="D312" s="417" t="s">
        <v>38</v>
      </c>
      <c r="E312" s="417" t="s">
        <v>37</v>
      </c>
      <c r="F312" s="418"/>
      <c r="G312" s="419" t="str">
        <f>SFLASH.512_ver2!$F$50</f>
        <v>On Chip temperature measured using external currents and external ADC at COLD</v>
      </c>
    </row>
    <row r="313" spans="1:9" s="406" customFormat="1"/>
    <row r="314" spans="1:9" s="406" customFormat="1" ht="15.5">
      <c r="A314" s="403" t="s">
        <v>24</v>
      </c>
      <c r="B314" s="404"/>
      <c r="C314" s="405" t="str">
        <f>SFLASH.512_ver2!$E$51</f>
        <v>EPASS_TEMP_TRIM_DIODE_COLDSORT</v>
      </c>
      <c r="D314" s="404"/>
      <c r="E314" s="404"/>
      <c r="F314" s="404"/>
      <c r="G314" s="404"/>
      <c r="I314" s="407"/>
    </row>
    <row r="315" spans="1:9" s="406" customFormat="1" ht="15.5">
      <c r="A315" s="403" t="s">
        <v>47</v>
      </c>
      <c r="B315" s="404"/>
      <c r="C315" s="408">
        <v>1</v>
      </c>
      <c r="D315" s="404"/>
      <c r="E315" s="404"/>
      <c r="F315" s="404"/>
      <c r="G315" s="404"/>
    </row>
    <row r="316" spans="1:9" s="406" customFormat="1" ht="15.5">
      <c r="A316" s="403" t="s">
        <v>23</v>
      </c>
      <c r="B316" s="404"/>
      <c r="C316" s="408" t="str">
        <f>SFLASH.512_ver2!$F$51</f>
        <v>Temperature sensor calibration data for VDDA=3.3V, Temperature sensor diode voltage at COLD</v>
      </c>
      <c r="D316" s="404"/>
      <c r="E316" s="404"/>
      <c r="F316" s="404"/>
      <c r="G316" s="404"/>
    </row>
    <row r="317" spans="1:9" s="406" customFormat="1" ht="13">
      <c r="A317" s="403" t="s">
        <v>44</v>
      </c>
      <c r="B317" s="404"/>
      <c r="C317" s="404" t="s">
        <v>34786</v>
      </c>
      <c r="D317" s="404"/>
      <c r="E317" s="404"/>
      <c r="F317" s="404"/>
      <c r="G317" s="404"/>
    </row>
    <row r="318" spans="1:9" s="406" customFormat="1" ht="13">
      <c r="A318" s="411" t="s">
        <v>43</v>
      </c>
      <c r="B318" s="412" t="s">
        <v>24</v>
      </c>
      <c r="C318" s="413" t="s">
        <v>42</v>
      </c>
      <c r="D318" s="413" t="s">
        <v>41</v>
      </c>
      <c r="E318" s="413" t="s">
        <v>40</v>
      </c>
      <c r="F318" s="413" t="s">
        <v>39</v>
      </c>
      <c r="G318" s="414" t="s">
        <v>23</v>
      </c>
    </row>
    <row r="319" spans="1:9" s="406" customFormat="1" ht="15.5">
      <c r="A319" s="415" t="s">
        <v>34787</v>
      </c>
      <c r="B319" s="416" t="s">
        <v>34788</v>
      </c>
      <c r="C319" s="417"/>
      <c r="D319" s="417" t="s">
        <v>38</v>
      </c>
      <c r="E319" s="417" t="s">
        <v>37</v>
      </c>
      <c r="F319" s="418"/>
      <c r="G319" s="419" t="str">
        <f>SFLASH.512_ver2!$F$51</f>
        <v>Temperature sensor calibration data for VDDA=3.3V, Temperature sensor diode voltage at COLD</v>
      </c>
    </row>
    <row r="320" spans="1:9" s="406" customFormat="1"/>
    <row r="321" spans="1:9" s="406" customFormat="1" ht="15.5">
      <c r="A321" s="403" t="s">
        <v>24</v>
      </c>
      <c r="B321" s="404"/>
      <c r="C321" s="405" t="str">
        <f>SFLASH.512_ver2!$E$52</f>
        <v>EPASS_TEMP_TRIM_VBG_COLDSORT</v>
      </c>
      <c r="D321" s="404"/>
      <c r="E321" s="404"/>
      <c r="F321" s="404"/>
      <c r="G321" s="404"/>
      <c r="I321" s="407"/>
    </row>
    <row r="322" spans="1:9" s="406" customFormat="1" ht="15.5">
      <c r="A322" s="403" t="s">
        <v>47</v>
      </c>
      <c r="B322" s="404"/>
      <c r="C322" s="408">
        <v>1</v>
      </c>
      <c r="D322" s="404"/>
      <c r="E322" s="404"/>
      <c r="F322" s="404"/>
      <c r="G322" s="404"/>
    </row>
    <row r="323" spans="1:9" s="406" customFormat="1" ht="15.5">
      <c r="A323" s="403" t="s">
        <v>23</v>
      </c>
      <c r="B323" s="404"/>
      <c r="C323" s="408" t="str">
        <f>SFLASH.512_ver2!$F$52</f>
        <v>Temperature sensor calibration data for VDDA=3.3V, Bandgap voltage at COLD</v>
      </c>
      <c r="D323" s="404"/>
      <c r="E323" s="404"/>
      <c r="F323" s="404"/>
      <c r="G323" s="404"/>
    </row>
    <row r="324" spans="1:9" s="406" customFormat="1" ht="13">
      <c r="A324" s="403" t="s">
        <v>44</v>
      </c>
      <c r="B324" s="404"/>
      <c r="C324" s="404" t="s">
        <v>34786</v>
      </c>
      <c r="D324" s="404"/>
      <c r="E324" s="404"/>
      <c r="F324" s="404"/>
      <c r="G324" s="404"/>
    </row>
    <row r="325" spans="1:9" s="406" customFormat="1" ht="13">
      <c r="A325" s="411" t="s">
        <v>43</v>
      </c>
      <c r="B325" s="412" t="s">
        <v>24</v>
      </c>
      <c r="C325" s="413" t="s">
        <v>42</v>
      </c>
      <c r="D325" s="413" t="s">
        <v>41</v>
      </c>
      <c r="E325" s="413" t="s">
        <v>40</v>
      </c>
      <c r="F325" s="413" t="s">
        <v>39</v>
      </c>
      <c r="G325" s="414" t="s">
        <v>23</v>
      </c>
    </row>
    <row r="326" spans="1:9" s="406" customFormat="1" ht="15.5">
      <c r="A326" s="415" t="s">
        <v>34787</v>
      </c>
      <c r="B326" s="416" t="s">
        <v>34788</v>
      </c>
      <c r="C326" s="417"/>
      <c r="D326" s="417" t="s">
        <v>38</v>
      </c>
      <c r="E326" s="417" t="s">
        <v>37</v>
      </c>
      <c r="F326" s="418"/>
      <c r="G326" s="419" t="str">
        <f>SFLASH.512_ver2!$F$52</f>
        <v>Temperature sensor calibration data for VDDA=3.3V, Bandgap voltage at COLD</v>
      </c>
    </row>
    <row r="327" spans="1:9" s="406" customFormat="1"/>
    <row r="328" spans="1:9" s="406" customFormat="1" ht="15.5">
      <c r="A328" s="403" t="s">
        <v>24</v>
      </c>
      <c r="B328" s="404"/>
      <c r="C328" s="405" t="str">
        <f>SFLASH.512_ver2!$E$53</f>
        <v>EPASS_TEMP_TRIM_TEMP_HOTCLASS</v>
      </c>
      <c r="D328" s="404"/>
      <c r="E328" s="404"/>
      <c r="F328" s="404"/>
      <c r="G328" s="404"/>
      <c r="I328" s="407"/>
    </row>
    <row r="329" spans="1:9" s="406" customFormat="1" ht="15.5">
      <c r="A329" s="403" t="s">
        <v>47</v>
      </c>
      <c r="B329" s="404"/>
      <c r="C329" s="408">
        <v>1</v>
      </c>
      <c r="D329" s="404"/>
      <c r="E329" s="404"/>
      <c r="F329" s="404"/>
      <c r="G329" s="404"/>
    </row>
    <row r="330" spans="1:9" s="406" customFormat="1" ht="15.5">
      <c r="A330" s="403" t="s">
        <v>23</v>
      </c>
      <c r="B330" s="404"/>
      <c r="C330" s="408" t="str">
        <f>SFLASH.512_ver2!$F$53</f>
        <v>On Chip temperature measured using external currents and external ADC at HOT</v>
      </c>
      <c r="D330" s="404"/>
      <c r="E330" s="404"/>
      <c r="F330" s="404"/>
      <c r="G330" s="404"/>
    </row>
    <row r="331" spans="1:9" s="406" customFormat="1" ht="13">
      <c r="A331" s="403" t="s">
        <v>44</v>
      </c>
      <c r="B331" s="404"/>
      <c r="C331" s="404" t="s">
        <v>34786</v>
      </c>
      <c r="D331" s="404"/>
      <c r="E331" s="404"/>
      <c r="F331" s="404"/>
      <c r="G331" s="404"/>
    </row>
    <row r="332" spans="1:9" s="406" customFormat="1" ht="13">
      <c r="A332" s="411" t="s">
        <v>43</v>
      </c>
      <c r="B332" s="412" t="s">
        <v>24</v>
      </c>
      <c r="C332" s="413" t="s">
        <v>42</v>
      </c>
      <c r="D332" s="413" t="s">
        <v>41</v>
      </c>
      <c r="E332" s="413" t="s">
        <v>40</v>
      </c>
      <c r="F332" s="413" t="s">
        <v>39</v>
      </c>
      <c r="G332" s="414" t="s">
        <v>23</v>
      </c>
    </row>
    <row r="333" spans="1:9" s="406" customFormat="1" ht="15.5">
      <c r="A333" s="415" t="s">
        <v>34787</v>
      </c>
      <c r="B333" s="416" t="s">
        <v>34788</v>
      </c>
      <c r="C333" s="417"/>
      <c r="D333" s="417" t="s">
        <v>38</v>
      </c>
      <c r="E333" s="417" t="s">
        <v>37</v>
      </c>
      <c r="F333" s="418"/>
      <c r="G333" s="419" t="str">
        <f>SFLASH.512_ver2!$F$53</f>
        <v>On Chip temperature measured using external currents and external ADC at HOT</v>
      </c>
    </row>
    <row r="334" spans="1:9" s="406" customFormat="1"/>
    <row r="335" spans="1:9" s="406" customFormat="1" ht="15.5">
      <c r="A335" s="403" t="s">
        <v>24</v>
      </c>
      <c r="B335" s="404"/>
      <c r="C335" s="405" t="str">
        <f>SFLASH.512_ver2!$E$54</f>
        <v>EPASS_TEMP_TRIM_DIODE_HOTCLASS</v>
      </c>
      <c r="D335" s="404"/>
      <c r="E335" s="404"/>
      <c r="F335" s="404"/>
      <c r="G335" s="404"/>
      <c r="I335" s="407"/>
    </row>
    <row r="336" spans="1:9" s="406" customFormat="1" ht="15.5">
      <c r="A336" s="403" t="s">
        <v>47</v>
      </c>
      <c r="B336" s="404"/>
      <c r="C336" s="408">
        <v>1</v>
      </c>
      <c r="D336" s="404"/>
      <c r="E336" s="404"/>
      <c r="F336" s="404"/>
      <c r="G336" s="404"/>
    </row>
    <row r="337" spans="1:9" s="406" customFormat="1" ht="15.5">
      <c r="A337" s="403" t="s">
        <v>23</v>
      </c>
      <c r="B337" s="404"/>
      <c r="C337" s="408" t="str">
        <f>SFLASH.512_ver2!$F$54</f>
        <v>Temperature sensor calibration data for VDDA=3.3V, Temperature sensor diode voltage at HOT</v>
      </c>
      <c r="D337" s="404"/>
      <c r="E337" s="404"/>
      <c r="F337" s="404"/>
      <c r="G337" s="404"/>
    </row>
    <row r="338" spans="1:9" s="406" customFormat="1" ht="13">
      <c r="A338" s="403" t="s">
        <v>44</v>
      </c>
      <c r="B338" s="404"/>
      <c r="C338" s="404" t="s">
        <v>34786</v>
      </c>
      <c r="D338" s="404"/>
      <c r="E338" s="404"/>
      <c r="F338" s="404"/>
      <c r="G338" s="404"/>
    </row>
    <row r="339" spans="1:9" s="406" customFormat="1" ht="13">
      <c r="A339" s="411" t="s">
        <v>43</v>
      </c>
      <c r="B339" s="412" t="s">
        <v>24</v>
      </c>
      <c r="C339" s="413" t="s">
        <v>42</v>
      </c>
      <c r="D339" s="413" t="s">
        <v>41</v>
      </c>
      <c r="E339" s="413" t="s">
        <v>40</v>
      </c>
      <c r="F339" s="413" t="s">
        <v>39</v>
      </c>
      <c r="G339" s="414" t="s">
        <v>23</v>
      </c>
    </row>
    <row r="340" spans="1:9" s="406" customFormat="1" ht="15.5">
      <c r="A340" s="415" t="s">
        <v>34787</v>
      </c>
      <c r="B340" s="416" t="s">
        <v>34788</v>
      </c>
      <c r="C340" s="417"/>
      <c r="D340" s="417" t="s">
        <v>38</v>
      </c>
      <c r="E340" s="417" t="s">
        <v>37</v>
      </c>
      <c r="F340" s="418"/>
      <c r="G340" s="419" t="str">
        <f>SFLASH.512_ver2!$F$54</f>
        <v>Temperature sensor calibration data for VDDA=3.3V, Temperature sensor diode voltage at HOT</v>
      </c>
    </row>
    <row r="341" spans="1:9" s="406" customFormat="1"/>
    <row r="342" spans="1:9" s="406" customFormat="1" ht="15.5">
      <c r="A342" s="403" t="s">
        <v>24</v>
      </c>
      <c r="B342" s="404"/>
      <c r="C342" s="405" t="str">
        <f>SFLASH.512_ver2!$E$55</f>
        <v>EPASS_TEMP_TRIM_VBG_HOTCLASS</v>
      </c>
      <c r="D342" s="404"/>
      <c r="E342" s="404"/>
      <c r="F342" s="404"/>
      <c r="G342" s="404"/>
      <c r="I342" s="407"/>
    </row>
    <row r="343" spans="1:9" s="406" customFormat="1" ht="15.5">
      <c r="A343" s="403" t="s">
        <v>47</v>
      </c>
      <c r="B343" s="404"/>
      <c r="C343" s="408">
        <v>1</v>
      </c>
      <c r="D343" s="404"/>
      <c r="E343" s="404"/>
      <c r="F343" s="404"/>
      <c r="G343" s="404"/>
    </row>
    <row r="344" spans="1:9" s="406" customFormat="1" ht="15.5">
      <c r="A344" s="403" t="s">
        <v>23</v>
      </c>
      <c r="B344" s="404"/>
      <c r="C344" s="408" t="str">
        <f>SFLASH.512_ver2!$F$55</f>
        <v>Temperature sensor calibration data for VDDA=3.3V, Bandgap voltage at HOT</v>
      </c>
      <c r="D344" s="404"/>
      <c r="E344" s="404"/>
      <c r="F344" s="404"/>
      <c r="G344" s="404"/>
    </row>
    <row r="345" spans="1:9" s="406" customFormat="1" ht="13">
      <c r="A345" s="403" t="s">
        <v>44</v>
      </c>
      <c r="B345" s="404"/>
      <c r="C345" s="404" t="s">
        <v>34786</v>
      </c>
      <c r="D345" s="404"/>
      <c r="E345" s="404"/>
      <c r="F345" s="404"/>
      <c r="G345" s="404"/>
    </row>
    <row r="346" spans="1:9" s="406" customFormat="1" ht="13">
      <c r="A346" s="411" t="s">
        <v>43</v>
      </c>
      <c r="B346" s="412" t="s">
        <v>24</v>
      </c>
      <c r="C346" s="413" t="s">
        <v>42</v>
      </c>
      <c r="D346" s="413" t="s">
        <v>41</v>
      </c>
      <c r="E346" s="413" t="s">
        <v>40</v>
      </c>
      <c r="F346" s="413" t="s">
        <v>39</v>
      </c>
      <c r="G346" s="414" t="s">
        <v>23</v>
      </c>
    </row>
    <row r="347" spans="1:9" s="406" customFormat="1" ht="15.5">
      <c r="A347" s="415" t="s">
        <v>34787</v>
      </c>
      <c r="B347" s="416" t="s">
        <v>34788</v>
      </c>
      <c r="C347" s="417"/>
      <c r="D347" s="417" t="s">
        <v>38</v>
      </c>
      <c r="E347" s="417" t="s">
        <v>37</v>
      </c>
      <c r="F347" s="418"/>
      <c r="G347" s="419" t="str">
        <f>SFLASH.512_ver2!$F$55</f>
        <v>Temperature sensor calibration data for VDDA=3.3V, Bandgap voltage at HOT</v>
      </c>
    </row>
    <row r="348" spans="1:9" s="406" customFormat="1"/>
    <row r="349" spans="1:9" s="406" customFormat="1" ht="15.5">
      <c r="A349" s="403" t="s">
        <v>24</v>
      </c>
      <c r="B349" s="404"/>
      <c r="C349" s="405" t="str">
        <f>SFLASH.512_ver2!$E$56</f>
        <v>EPASS_TEMP_TRIM_TEMP_ROOMCLASS</v>
      </c>
      <c r="D349" s="404"/>
      <c r="E349" s="404"/>
      <c r="F349" s="404"/>
      <c r="G349" s="404"/>
      <c r="I349" s="407"/>
    </row>
    <row r="350" spans="1:9" s="406" customFormat="1" ht="15.5">
      <c r="A350" s="403" t="s">
        <v>47</v>
      </c>
      <c r="B350" s="404"/>
      <c r="C350" s="408">
        <v>1</v>
      </c>
      <c r="D350" s="404"/>
      <c r="E350" s="404"/>
      <c r="F350" s="404"/>
      <c r="G350" s="404"/>
    </row>
    <row r="351" spans="1:9" s="406" customFormat="1" ht="15.5">
      <c r="A351" s="403" t="s">
        <v>23</v>
      </c>
      <c r="B351" s="404"/>
      <c r="C351" s="408" t="str">
        <f>SFLASH.512_ver2!$F$56</f>
        <v>On Chip temperature measured using external currents and external ADC at ROOM (only CLASS TEST)</v>
      </c>
      <c r="D351" s="404"/>
      <c r="E351" s="404"/>
      <c r="F351" s="404"/>
      <c r="G351" s="404"/>
    </row>
    <row r="352" spans="1:9" s="406" customFormat="1" ht="13">
      <c r="A352" s="403" t="s">
        <v>29</v>
      </c>
      <c r="B352" s="409"/>
      <c r="C352" s="410" t="s">
        <v>238</v>
      </c>
      <c r="D352" s="404"/>
      <c r="E352" s="404"/>
      <c r="F352" s="404"/>
      <c r="G352" s="404"/>
    </row>
    <row r="353" spans="1:9" s="406" customFormat="1" ht="13">
      <c r="A353" s="403" t="s">
        <v>44</v>
      </c>
      <c r="B353" s="404"/>
      <c r="C353" s="404" t="s">
        <v>34786</v>
      </c>
      <c r="D353" s="404"/>
      <c r="E353" s="404"/>
      <c r="F353" s="404"/>
      <c r="G353" s="404"/>
    </row>
    <row r="354" spans="1:9" s="406" customFormat="1" ht="13">
      <c r="A354" s="411" t="s">
        <v>43</v>
      </c>
      <c r="B354" s="412" t="s">
        <v>24</v>
      </c>
      <c r="C354" s="413" t="s">
        <v>42</v>
      </c>
      <c r="D354" s="413" t="s">
        <v>41</v>
      </c>
      <c r="E354" s="413" t="s">
        <v>40</v>
      </c>
      <c r="F354" s="413" t="s">
        <v>39</v>
      </c>
      <c r="G354" s="414" t="s">
        <v>23</v>
      </c>
    </row>
    <row r="355" spans="1:9" s="406" customFormat="1" ht="15.5">
      <c r="A355" s="415" t="s">
        <v>34787</v>
      </c>
      <c r="B355" s="416" t="s">
        <v>34788</v>
      </c>
      <c r="C355" s="417"/>
      <c r="D355" s="417" t="s">
        <v>38</v>
      </c>
      <c r="E355" s="417" t="s">
        <v>37</v>
      </c>
      <c r="F355" s="418"/>
      <c r="G355" s="419" t="str">
        <f>SFLASH.512_ver2!$F$56</f>
        <v>On Chip temperature measured using external currents and external ADC at ROOM (only CLASS TEST)</v>
      </c>
    </row>
    <row r="356" spans="1:9" s="406" customFormat="1"/>
    <row r="357" spans="1:9" s="406" customFormat="1" ht="15.5">
      <c r="A357" s="403" t="s">
        <v>24</v>
      </c>
      <c r="B357" s="404"/>
      <c r="C357" s="405" t="str">
        <f>SFLASH.512_ver2!$E$57</f>
        <v>EPASS_TEMP_TRIM_DIODE_ROOMCLASS</v>
      </c>
      <c r="D357" s="404"/>
      <c r="E357" s="404"/>
      <c r="F357" s="404"/>
      <c r="G357" s="404"/>
      <c r="I357" s="407"/>
    </row>
    <row r="358" spans="1:9" s="406" customFormat="1" ht="15.5">
      <c r="A358" s="403" t="s">
        <v>47</v>
      </c>
      <c r="B358" s="404"/>
      <c r="C358" s="408">
        <v>1</v>
      </c>
      <c r="D358" s="404"/>
      <c r="E358" s="404"/>
      <c r="F358" s="404"/>
      <c r="G358" s="404"/>
    </row>
    <row r="359" spans="1:9" s="406" customFormat="1" ht="15.5">
      <c r="A359" s="403" t="s">
        <v>23</v>
      </c>
      <c r="B359" s="404"/>
      <c r="C359" s="408" t="str">
        <f>SFLASH.512_ver2!$F$57</f>
        <v>Temperature sensor calibration data for VDDA=3.3V, Temperature sensor diode voltage at ROOM (only CLASS TEST)</v>
      </c>
      <c r="D359" s="404"/>
      <c r="E359" s="404"/>
      <c r="F359" s="404"/>
      <c r="G359" s="404"/>
    </row>
    <row r="360" spans="1:9" s="406" customFormat="1" ht="13">
      <c r="A360" s="403" t="s">
        <v>29</v>
      </c>
      <c r="B360" s="409"/>
      <c r="C360" s="410" t="s">
        <v>238</v>
      </c>
      <c r="D360" s="404"/>
      <c r="E360" s="404"/>
      <c r="F360" s="404"/>
      <c r="G360" s="404"/>
    </row>
    <row r="361" spans="1:9" s="406" customFormat="1" ht="13">
      <c r="A361" s="403" t="s">
        <v>44</v>
      </c>
      <c r="B361" s="404"/>
      <c r="C361" s="404" t="s">
        <v>34786</v>
      </c>
      <c r="D361" s="404"/>
      <c r="E361" s="404"/>
      <c r="F361" s="404"/>
      <c r="G361" s="404"/>
    </row>
    <row r="362" spans="1:9" s="406" customFormat="1" ht="13">
      <c r="A362" s="411" t="s">
        <v>43</v>
      </c>
      <c r="B362" s="412" t="s">
        <v>24</v>
      </c>
      <c r="C362" s="413" t="s">
        <v>42</v>
      </c>
      <c r="D362" s="413" t="s">
        <v>41</v>
      </c>
      <c r="E362" s="413" t="s">
        <v>40</v>
      </c>
      <c r="F362" s="413" t="s">
        <v>39</v>
      </c>
      <c r="G362" s="414" t="s">
        <v>23</v>
      </c>
    </row>
    <row r="363" spans="1:9" s="406" customFormat="1" ht="15.5">
      <c r="A363" s="415" t="s">
        <v>34787</v>
      </c>
      <c r="B363" s="416" t="s">
        <v>34788</v>
      </c>
      <c r="C363" s="417"/>
      <c r="D363" s="417" t="s">
        <v>38</v>
      </c>
      <c r="E363" s="417" t="s">
        <v>37</v>
      </c>
      <c r="F363" s="418"/>
      <c r="G363" s="419" t="str">
        <f>SFLASH.512_ver2!$F$57</f>
        <v>Temperature sensor calibration data for VDDA=3.3V, Temperature sensor diode voltage at ROOM (only CLASS TEST)</v>
      </c>
    </row>
    <row r="364" spans="1:9" s="406" customFormat="1"/>
    <row r="365" spans="1:9" s="406" customFormat="1" ht="15.5">
      <c r="A365" s="403" t="s">
        <v>24</v>
      </c>
      <c r="B365" s="404"/>
      <c r="C365" s="405" t="str">
        <f>SFLASH.512_ver2!$E$58</f>
        <v>EPASS_TEMP_TRIM_VBG_ROOMCLASS</v>
      </c>
      <c r="D365" s="404"/>
      <c r="E365" s="404"/>
      <c r="F365" s="404"/>
      <c r="G365" s="404"/>
      <c r="I365" s="407"/>
    </row>
    <row r="366" spans="1:9" s="406" customFormat="1" ht="15.5">
      <c r="A366" s="403" t="s">
        <v>47</v>
      </c>
      <c r="B366" s="404"/>
      <c r="C366" s="408">
        <v>1</v>
      </c>
      <c r="D366" s="404"/>
      <c r="E366" s="404"/>
      <c r="F366" s="404"/>
      <c r="G366" s="404"/>
    </row>
    <row r="367" spans="1:9" s="406" customFormat="1" ht="15.5">
      <c r="A367" s="403" t="s">
        <v>23</v>
      </c>
      <c r="B367" s="404"/>
      <c r="C367" s="408" t="str">
        <f>SFLASH.512_ver2!$F$58</f>
        <v>Temperature sensor calibration data for VDDA=3.3V, Bandgap voltage at ROOM (only CLASS TEST)</v>
      </c>
      <c r="D367" s="404"/>
      <c r="E367" s="404"/>
      <c r="F367" s="404"/>
      <c r="G367" s="404"/>
    </row>
    <row r="368" spans="1:9" s="406" customFormat="1" ht="13">
      <c r="A368" s="403" t="s">
        <v>29</v>
      </c>
      <c r="B368" s="409"/>
      <c r="C368" s="410" t="s">
        <v>238</v>
      </c>
      <c r="D368" s="404"/>
      <c r="E368" s="404"/>
      <c r="F368" s="404"/>
      <c r="G368" s="404"/>
    </row>
    <row r="369" spans="1:9" s="406" customFormat="1" ht="13">
      <c r="A369" s="403" t="s">
        <v>44</v>
      </c>
      <c r="B369" s="404"/>
      <c r="C369" s="404" t="s">
        <v>34786</v>
      </c>
      <c r="D369" s="404"/>
      <c r="E369" s="404"/>
      <c r="F369" s="404"/>
      <c r="G369" s="404"/>
    </row>
    <row r="370" spans="1:9" s="406" customFormat="1" ht="13">
      <c r="A370" s="411" t="s">
        <v>43</v>
      </c>
      <c r="B370" s="412" t="s">
        <v>24</v>
      </c>
      <c r="C370" s="413" t="s">
        <v>42</v>
      </c>
      <c r="D370" s="413" t="s">
        <v>41</v>
      </c>
      <c r="E370" s="413" t="s">
        <v>40</v>
      </c>
      <c r="F370" s="413" t="s">
        <v>39</v>
      </c>
      <c r="G370" s="414" t="s">
        <v>23</v>
      </c>
    </row>
    <row r="371" spans="1:9" s="406" customFormat="1" ht="15.5">
      <c r="A371" s="415" t="s">
        <v>34787</v>
      </c>
      <c r="B371" s="416" t="s">
        <v>34788</v>
      </c>
      <c r="C371" s="417"/>
      <c r="D371" s="417" t="s">
        <v>38</v>
      </c>
      <c r="E371" s="417" t="s">
        <v>37</v>
      </c>
      <c r="F371" s="418"/>
      <c r="G371" s="419" t="str">
        <f>SFLASH.512_ver2!$F$58</f>
        <v>Temperature sensor calibration data for VDDA=3.3V, Bandgap voltage at ROOM (only CLASS TEST)</v>
      </c>
    </row>
    <row r="372" spans="1:9" s="406" customFormat="1"/>
    <row r="373" spans="1:9" s="406" customFormat="1" ht="15.5">
      <c r="A373" s="403" t="s">
        <v>24</v>
      </c>
      <c r="B373" s="404"/>
      <c r="C373" s="405" t="str">
        <f>SFLASH.512_ver2!$E$59</f>
        <v>EPASS_TEMP_TRIM_DIODE_HOTSORT_5V</v>
      </c>
      <c r="D373" s="404"/>
      <c r="E373" s="404"/>
      <c r="F373" s="404"/>
      <c r="G373" s="404"/>
      <c r="I373" s="407"/>
    </row>
    <row r="374" spans="1:9" s="406" customFormat="1" ht="15.5">
      <c r="A374" s="403" t="s">
        <v>47</v>
      </c>
      <c r="B374" s="404"/>
      <c r="C374" s="408">
        <v>1</v>
      </c>
      <c r="D374" s="404"/>
      <c r="E374" s="404"/>
      <c r="F374" s="404"/>
      <c r="G374" s="404"/>
    </row>
    <row r="375" spans="1:9" s="406" customFormat="1" ht="15.5">
      <c r="A375" s="403" t="s">
        <v>23</v>
      </c>
      <c r="B375" s="404"/>
      <c r="C375" s="408" t="str">
        <f>SFLASH.512_ver2!$F$59</f>
        <v>Temperature sensor calibration data for VDDA=5V, Temperature sensor diode voltage at HOT (only SORT TEST)</v>
      </c>
      <c r="D375" s="404"/>
      <c r="E375" s="404"/>
      <c r="F375" s="404"/>
      <c r="G375" s="404"/>
    </row>
    <row r="376" spans="1:9" s="406" customFormat="1" ht="13">
      <c r="A376" s="403" t="s">
        <v>29</v>
      </c>
      <c r="B376" s="409"/>
      <c r="C376" s="410" t="s">
        <v>238</v>
      </c>
      <c r="D376" s="404"/>
      <c r="E376" s="404"/>
      <c r="F376" s="404"/>
      <c r="G376" s="404"/>
    </row>
    <row r="377" spans="1:9" s="406" customFormat="1" ht="13">
      <c r="A377" s="403" t="s">
        <v>44</v>
      </c>
      <c r="B377" s="404"/>
      <c r="C377" s="404" t="s">
        <v>34786</v>
      </c>
      <c r="D377" s="404"/>
      <c r="E377" s="404"/>
      <c r="F377" s="404"/>
      <c r="G377" s="404"/>
    </row>
    <row r="378" spans="1:9" s="406" customFormat="1" ht="13">
      <c r="A378" s="411" t="s">
        <v>43</v>
      </c>
      <c r="B378" s="412" t="s">
        <v>24</v>
      </c>
      <c r="C378" s="413" t="s">
        <v>42</v>
      </c>
      <c r="D378" s="413" t="s">
        <v>41</v>
      </c>
      <c r="E378" s="413" t="s">
        <v>40</v>
      </c>
      <c r="F378" s="413" t="s">
        <v>39</v>
      </c>
      <c r="G378" s="414" t="s">
        <v>23</v>
      </c>
    </row>
    <row r="379" spans="1:9" s="406" customFormat="1" ht="15.5">
      <c r="A379" s="415" t="s">
        <v>34787</v>
      </c>
      <c r="B379" s="416" t="s">
        <v>34788</v>
      </c>
      <c r="C379" s="417"/>
      <c r="D379" s="417" t="s">
        <v>38</v>
      </c>
      <c r="E379" s="417" t="s">
        <v>37</v>
      </c>
      <c r="F379" s="418"/>
      <c r="G379" s="419" t="str">
        <f>SFLASH.512_ver2!$F$59</f>
        <v>Temperature sensor calibration data for VDDA=5V, Temperature sensor diode voltage at HOT (only SORT TEST)</v>
      </c>
    </row>
    <row r="380" spans="1:9" s="406" customFormat="1"/>
    <row r="381" spans="1:9" s="406" customFormat="1" ht="15.5">
      <c r="A381" s="403" t="s">
        <v>24</v>
      </c>
      <c r="B381" s="404"/>
      <c r="C381" s="405" t="str">
        <f>SFLASH.512_ver2!$E$60</f>
        <v>EPASS_TEMP_TRIM_VBG_HOTSORT_5V</v>
      </c>
      <c r="D381" s="404"/>
      <c r="E381" s="404"/>
      <c r="F381" s="404"/>
      <c r="G381" s="404"/>
      <c r="I381" s="407"/>
    </row>
    <row r="382" spans="1:9" s="406" customFormat="1" ht="15.5">
      <c r="A382" s="403" t="s">
        <v>47</v>
      </c>
      <c r="B382" s="404"/>
      <c r="C382" s="408">
        <v>1</v>
      </c>
      <c r="D382" s="404"/>
      <c r="E382" s="404"/>
      <c r="F382" s="404"/>
      <c r="G382" s="404"/>
    </row>
    <row r="383" spans="1:9" s="406" customFormat="1" ht="15.5">
      <c r="A383" s="403" t="s">
        <v>23</v>
      </c>
      <c r="B383" s="404"/>
      <c r="C383" s="408" t="str">
        <f>SFLASH.512_ver2!$F$60</f>
        <v>Temperature sensor calibration data for VDDA=5V, Bandgap voltage at HOT (only SORT TEST)</v>
      </c>
      <c r="D383" s="404"/>
      <c r="E383" s="404"/>
      <c r="F383" s="404"/>
      <c r="G383" s="404"/>
    </row>
    <row r="384" spans="1:9" s="406" customFormat="1" ht="13">
      <c r="A384" s="403" t="s">
        <v>29</v>
      </c>
      <c r="B384" s="409"/>
      <c r="C384" s="410" t="s">
        <v>238</v>
      </c>
      <c r="D384" s="404"/>
      <c r="E384" s="404"/>
      <c r="F384" s="404"/>
      <c r="G384" s="404"/>
    </row>
    <row r="385" spans="1:9" s="406" customFormat="1" ht="13">
      <c r="A385" s="403" t="s">
        <v>44</v>
      </c>
      <c r="B385" s="404"/>
      <c r="C385" s="404" t="s">
        <v>34786</v>
      </c>
      <c r="D385" s="404"/>
      <c r="E385" s="404"/>
      <c r="F385" s="404"/>
      <c r="G385" s="404"/>
    </row>
    <row r="386" spans="1:9" s="406" customFormat="1" ht="13">
      <c r="A386" s="411" t="s">
        <v>43</v>
      </c>
      <c r="B386" s="412" t="s">
        <v>24</v>
      </c>
      <c r="C386" s="413" t="s">
        <v>42</v>
      </c>
      <c r="D386" s="413" t="s">
        <v>41</v>
      </c>
      <c r="E386" s="413" t="s">
        <v>40</v>
      </c>
      <c r="F386" s="413" t="s">
        <v>39</v>
      </c>
      <c r="G386" s="414" t="s">
        <v>23</v>
      </c>
    </row>
    <row r="387" spans="1:9" s="406" customFormat="1" ht="15.5">
      <c r="A387" s="415" t="s">
        <v>34787</v>
      </c>
      <c r="B387" s="416" t="s">
        <v>34788</v>
      </c>
      <c r="C387" s="417"/>
      <c r="D387" s="417" t="s">
        <v>38</v>
      </c>
      <c r="E387" s="417" t="s">
        <v>37</v>
      </c>
      <c r="F387" s="418"/>
      <c r="G387" s="419" t="str">
        <f>SFLASH.512_ver2!$F$60</f>
        <v>Temperature sensor calibration data for VDDA=5V, Bandgap voltage at HOT (only SORT TEST)</v>
      </c>
    </row>
    <row r="388" spans="1:9" s="406" customFormat="1"/>
    <row r="389" spans="1:9" s="406" customFormat="1" ht="15.5">
      <c r="A389" s="403" t="s">
        <v>24</v>
      </c>
      <c r="B389" s="404"/>
      <c r="C389" s="405" t="str">
        <f>SFLASH.512_ver2!$E$61</f>
        <v>EPASS_TEMP_TRIM_DIODE_ROOMSORT_5V</v>
      </c>
      <c r="D389" s="404"/>
      <c r="E389" s="404"/>
      <c r="F389" s="404"/>
      <c r="G389" s="404"/>
      <c r="I389" s="407"/>
    </row>
    <row r="390" spans="1:9" s="406" customFormat="1" ht="15.5">
      <c r="A390" s="403" t="s">
        <v>47</v>
      </c>
      <c r="B390" s="404"/>
      <c r="C390" s="408">
        <v>1</v>
      </c>
      <c r="D390" s="404"/>
      <c r="E390" s="404"/>
      <c r="F390" s="404"/>
      <c r="G390" s="404"/>
    </row>
    <row r="391" spans="1:9" s="406" customFormat="1" ht="15.5">
      <c r="A391" s="403" t="s">
        <v>23</v>
      </c>
      <c r="B391" s="404"/>
      <c r="C391" s="408" t="str">
        <f>SFLASH.512_ver2!$F$61</f>
        <v>Temperature sensor calibration data for VDDA=5V, Temperature sensor diode voltage at ROOM</v>
      </c>
      <c r="D391" s="404"/>
      <c r="E391" s="404"/>
      <c r="F391" s="404"/>
      <c r="G391" s="404"/>
    </row>
    <row r="392" spans="1:9" s="406" customFormat="1" ht="13">
      <c r="A392" s="403" t="s">
        <v>44</v>
      </c>
      <c r="B392" s="404"/>
      <c r="C392" s="404" t="s">
        <v>34786</v>
      </c>
      <c r="D392" s="404"/>
      <c r="E392" s="404"/>
      <c r="F392" s="404"/>
      <c r="G392" s="404"/>
    </row>
    <row r="393" spans="1:9" s="406" customFormat="1" ht="13">
      <c r="A393" s="411" t="s">
        <v>43</v>
      </c>
      <c r="B393" s="412" t="s">
        <v>24</v>
      </c>
      <c r="C393" s="413" t="s">
        <v>42</v>
      </c>
      <c r="D393" s="413" t="s">
        <v>41</v>
      </c>
      <c r="E393" s="413" t="s">
        <v>40</v>
      </c>
      <c r="F393" s="413" t="s">
        <v>39</v>
      </c>
      <c r="G393" s="414" t="s">
        <v>23</v>
      </c>
    </row>
    <row r="394" spans="1:9" s="406" customFormat="1" ht="15.5">
      <c r="A394" s="415" t="s">
        <v>34787</v>
      </c>
      <c r="B394" s="416" t="s">
        <v>34788</v>
      </c>
      <c r="C394" s="417"/>
      <c r="D394" s="417" t="s">
        <v>38</v>
      </c>
      <c r="E394" s="417" t="s">
        <v>37</v>
      </c>
      <c r="F394" s="418"/>
      <c r="G394" s="419" t="str">
        <f>SFLASH.512_ver2!$F$61</f>
        <v>Temperature sensor calibration data for VDDA=5V, Temperature sensor diode voltage at ROOM</v>
      </c>
    </row>
    <row r="395" spans="1:9" s="406" customFormat="1"/>
    <row r="396" spans="1:9" s="406" customFormat="1" ht="15.5">
      <c r="A396" s="403" t="s">
        <v>24</v>
      </c>
      <c r="B396" s="404"/>
      <c r="C396" s="405" t="str">
        <f>SFLASH.512_ver2!$E$62</f>
        <v>EPASS_TEMP_TRIM_VBG_ROOMSORT_5V</v>
      </c>
      <c r="D396" s="404"/>
      <c r="E396" s="404"/>
      <c r="F396" s="404"/>
      <c r="G396" s="404"/>
      <c r="I396" s="407"/>
    </row>
    <row r="397" spans="1:9" s="406" customFormat="1" ht="15.5">
      <c r="A397" s="403" t="s">
        <v>47</v>
      </c>
      <c r="B397" s="404"/>
      <c r="C397" s="408">
        <v>1</v>
      </c>
      <c r="D397" s="404"/>
      <c r="E397" s="404"/>
      <c r="F397" s="404"/>
      <c r="G397" s="404"/>
    </row>
    <row r="398" spans="1:9" s="406" customFormat="1" ht="15.5">
      <c r="A398" s="403" t="s">
        <v>23</v>
      </c>
      <c r="B398" s="404"/>
      <c r="C398" s="408" t="str">
        <f>SFLASH.512_ver2!$F$62</f>
        <v>Temperature sensor calibration data for VDDA=5V, Bandgap voltage at ROOM</v>
      </c>
      <c r="D398" s="404"/>
      <c r="E398" s="404"/>
      <c r="F398" s="404"/>
      <c r="G398" s="404"/>
    </row>
    <row r="399" spans="1:9" s="406" customFormat="1" ht="13">
      <c r="A399" s="403" t="s">
        <v>44</v>
      </c>
      <c r="B399" s="404"/>
      <c r="C399" s="404" t="s">
        <v>34786</v>
      </c>
      <c r="D399" s="404"/>
      <c r="E399" s="404"/>
      <c r="F399" s="404"/>
      <c r="G399" s="404"/>
    </row>
    <row r="400" spans="1:9" s="406" customFormat="1" ht="13">
      <c r="A400" s="411" t="s">
        <v>43</v>
      </c>
      <c r="B400" s="412" t="s">
        <v>24</v>
      </c>
      <c r="C400" s="413" t="s">
        <v>42</v>
      </c>
      <c r="D400" s="413" t="s">
        <v>41</v>
      </c>
      <c r="E400" s="413" t="s">
        <v>40</v>
      </c>
      <c r="F400" s="413" t="s">
        <v>39</v>
      </c>
      <c r="G400" s="414" t="s">
        <v>23</v>
      </c>
    </row>
    <row r="401" spans="1:9" s="406" customFormat="1" ht="15.5">
      <c r="A401" s="415" t="s">
        <v>34787</v>
      </c>
      <c r="B401" s="416" t="s">
        <v>34788</v>
      </c>
      <c r="C401" s="417"/>
      <c r="D401" s="417" t="s">
        <v>38</v>
      </c>
      <c r="E401" s="417" t="s">
        <v>37</v>
      </c>
      <c r="F401" s="418"/>
      <c r="G401" s="419" t="str">
        <f>SFLASH.512_ver2!$F$62</f>
        <v>Temperature sensor calibration data for VDDA=5V, Bandgap voltage at ROOM</v>
      </c>
    </row>
    <row r="402" spans="1:9" s="406" customFormat="1"/>
    <row r="403" spans="1:9" s="406" customFormat="1" ht="15.5">
      <c r="A403" s="403" t="s">
        <v>24</v>
      </c>
      <c r="B403" s="404"/>
      <c r="C403" s="405" t="str">
        <f>SFLASH.512_ver2!$E$63</f>
        <v>EPASS_TEMP_TRIM_DIODE_COLDSORT_5V</v>
      </c>
      <c r="D403" s="404"/>
      <c r="E403" s="404"/>
      <c r="F403" s="404"/>
      <c r="G403" s="404"/>
      <c r="I403" s="407"/>
    </row>
    <row r="404" spans="1:9" s="406" customFormat="1" ht="15.5">
      <c r="A404" s="403" t="s">
        <v>47</v>
      </c>
      <c r="B404" s="404"/>
      <c r="C404" s="408">
        <v>1</v>
      </c>
      <c r="D404" s="404"/>
      <c r="E404" s="404"/>
      <c r="F404" s="404"/>
      <c r="G404" s="404"/>
    </row>
    <row r="405" spans="1:9" s="406" customFormat="1" ht="15.5">
      <c r="A405" s="403" t="s">
        <v>23</v>
      </c>
      <c r="B405" s="404"/>
      <c r="C405" s="408" t="str">
        <f>SFLASH.512_ver2!$F$63</f>
        <v>Temperature sensor calibration data for VDDA=5V, Temperature sensor diode voltage at COLD</v>
      </c>
      <c r="D405" s="404"/>
      <c r="E405" s="404"/>
      <c r="F405" s="404"/>
      <c r="G405" s="404"/>
    </row>
    <row r="406" spans="1:9" s="406" customFormat="1" ht="13">
      <c r="A406" s="403" t="s">
        <v>44</v>
      </c>
      <c r="B406" s="404"/>
      <c r="C406" s="404" t="s">
        <v>34786</v>
      </c>
      <c r="D406" s="404"/>
      <c r="E406" s="404"/>
      <c r="F406" s="404"/>
      <c r="G406" s="404"/>
    </row>
    <row r="407" spans="1:9" s="406" customFormat="1" ht="13">
      <c r="A407" s="411" t="s">
        <v>43</v>
      </c>
      <c r="B407" s="412" t="s">
        <v>24</v>
      </c>
      <c r="C407" s="413" t="s">
        <v>42</v>
      </c>
      <c r="D407" s="413" t="s">
        <v>41</v>
      </c>
      <c r="E407" s="413" t="s">
        <v>40</v>
      </c>
      <c r="F407" s="413" t="s">
        <v>39</v>
      </c>
      <c r="G407" s="414" t="s">
        <v>23</v>
      </c>
    </row>
    <row r="408" spans="1:9" s="406" customFormat="1" ht="15.5">
      <c r="A408" s="415" t="s">
        <v>34787</v>
      </c>
      <c r="B408" s="416" t="s">
        <v>34788</v>
      </c>
      <c r="C408" s="417"/>
      <c r="D408" s="417" t="s">
        <v>38</v>
      </c>
      <c r="E408" s="417" t="s">
        <v>37</v>
      </c>
      <c r="F408" s="418"/>
      <c r="G408" s="419" t="str">
        <f>SFLASH.512_ver2!$F$63</f>
        <v>Temperature sensor calibration data for VDDA=5V, Temperature sensor diode voltage at COLD</v>
      </c>
    </row>
    <row r="409" spans="1:9" s="406" customFormat="1"/>
    <row r="410" spans="1:9" s="406" customFormat="1" ht="15.5">
      <c r="A410" s="403" t="s">
        <v>24</v>
      </c>
      <c r="B410" s="404"/>
      <c r="C410" s="405" t="str">
        <f>SFLASH.512_ver2!$E$64</f>
        <v>EPASS_TEMP_TRIM_VBG_COLDSORT_5V</v>
      </c>
      <c r="D410" s="404"/>
      <c r="E410" s="404"/>
      <c r="F410" s="404"/>
      <c r="G410" s="404"/>
      <c r="I410" s="407"/>
    </row>
    <row r="411" spans="1:9" s="406" customFormat="1" ht="15.5">
      <c r="A411" s="403" t="s">
        <v>47</v>
      </c>
      <c r="B411" s="404"/>
      <c r="C411" s="408">
        <v>1</v>
      </c>
      <c r="D411" s="404"/>
      <c r="E411" s="404"/>
      <c r="F411" s="404"/>
      <c r="G411" s="404"/>
    </row>
    <row r="412" spans="1:9" s="406" customFormat="1" ht="15.5">
      <c r="A412" s="403" t="s">
        <v>23</v>
      </c>
      <c r="B412" s="404"/>
      <c r="C412" s="408" t="str">
        <f>SFLASH.512_ver2!$F$64</f>
        <v>Temperature sensor calibration data for VDDA=5V, Bandgap voltage at COLD</v>
      </c>
      <c r="D412" s="404"/>
      <c r="E412" s="404"/>
      <c r="F412" s="404"/>
      <c r="G412" s="404"/>
    </row>
    <row r="413" spans="1:9" s="406" customFormat="1" ht="13">
      <c r="A413" s="403" t="s">
        <v>44</v>
      </c>
      <c r="B413" s="404"/>
      <c r="C413" s="404" t="s">
        <v>34786</v>
      </c>
      <c r="D413" s="404"/>
      <c r="E413" s="404"/>
      <c r="F413" s="404"/>
      <c r="G413" s="404"/>
    </row>
    <row r="414" spans="1:9" s="406" customFormat="1" ht="13">
      <c r="A414" s="411" t="s">
        <v>43</v>
      </c>
      <c r="B414" s="412" t="s">
        <v>24</v>
      </c>
      <c r="C414" s="413" t="s">
        <v>42</v>
      </c>
      <c r="D414" s="413" t="s">
        <v>41</v>
      </c>
      <c r="E414" s="413" t="s">
        <v>40</v>
      </c>
      <c r="F414" s="413" t="s">
        <v>39</v>
      </c>
      <c r="G414" s="414" t="s">
        <v>23</v>
      </c>
    </row>
    <row r="415" spans="1:9" s="406" customFormat="1" ht="15.5">
      <c r="A415" s="415" t="s">
        <v>34787</v>
      </c>
      <c r="B415" s="416" t="s">
        <v>34788</v>
      </c>
      <c r="C415" s="417"/>
      <c r="D415" s="417" t="s">
        <v>38</v>
      </c>
      <c r="E415" s="417" t="s">
        <v>37</v>
      </c>
      <c r="F415" s="418"/>
      <c r="G415" s="419" t="str">
        <f>SFLASH.512_ver2!$F$64</f>
        <v>Temperature sensor calibration data for VDDA=5V, Bandgap voltage at COLD</v>
      </c>
    </row>
    <row r="416" spans="1:9" s="406" customFormat="1"/>
    <row r="417" spans="1:9" s="406" customFormat="1" ht="15.5">
      <c r="A417" s="403" t="s">
        <v>24</v>
      </c>
      <c r="B417" s="404"/>
      <c r="C417" s="405" t="str">
        <f>SFLASH.512_ver2!$E$65</f>
        <v>EPASS_TEMP_TRIM_DIODE_HOTCLASS_5V</v>
      </c>
      <c r="D417" s="404"/>
      <c r="E417" s="404"/>
      <c r="F417" s="404"/>
      <c r="G417" s="404"/>
      <c r="I417" s="407"/>
    </row>
    <row r="418" spans="1:9" s="406" customFormat="1" ht="15.5">
      <c r="A418" s="403" t="s">
        <v>47</v>
      </c>
      <c r="B418" s="404"/>
      <c r="C418" s="408">
        <v>1</v>
      </c>
      <c r="D418" s="404"/>
      <c r="E418" s="404"/>
      <c r="F418" s="404"/>
      <c r="G418" s="404"/>
    </row>
    <row r="419" spans="1:9" s="406" customFormat="1" ht="15.5">
      <c r="A419" s="403" t="s">
        <v>23</v>
      </c>
      <c r="B419" s="404"/>
      <c r="C419" s="408" t="str">
        <f>SFLASH.512_ver2!$F$65</f>
        <v>Temperature sensor calibration data for VDDA=5V, Temperature sensor diode voltage at HOT</v>
      </c>
      <c r="D419" s="404"/>
      <c r="E419" s="404"/>
      <c r="F419" s="404"/>
      <c r="G419" s="404"/>
    </row>
    <row r="420" spans="1:9" s="406" customFormat="1" ht="13">
      <c r="A420" s="403" t="s">
        <v>44</v>
      </c>
      <c r="B420" s="404"/>
      <c r="C420" s="404" t="s">
        <v>34786</v>
      </c>
      <c r="D420" s="404"/>
      <c r="E420" s="404"/>
      <c r="F420" s="404"/>
      <c r="G420" s="404"/>
    </row>
    <row r="421" spans="1:9" s="406" customFormat="1" ht="13">
      <c r="A421" s="411" t="s">
        <v>43</v>
      </c>
      <c r="B421" s="412" t="s">
        <v>24</v>
      </c>
      <c r="C421" s="413" t="s">
        <v>42</v>
      </c>
      <c r="D421" s="413" t="s">
        <v>41</v>
      </c>
      <c r="E421" s="413" t="s">
        <v>40</v>
      </c>
      <c r="F421" s="413" t="s">
        <v>39</v>
      </c>
      <c r="G421" s="414" t="s">
        <v>23</v>
      </c>
    </row>
    <row r="422" spans="1:9" s="406" customFormat="1" ht="15.5">
      <c r="A422" s="415" t="s">
        <v>34787</v>
      </c>
      <c r="B422" s="416" t="s">
        <v>34788</v>
      </c>
      <c r="C422" s="417"/>
      <c r="D422" s="417" t="s">
        <v>38</v>
      </c>
      <c r="E422" s="417" t="s">
        <v>37</v>
      </c>
      <c r="F422" s="418"/>
      <c r="G422" s="419" t="str">
        <f>SFLASH.512_ver2!$F$65</f>
        <v>Temperature sensor calibration data for VDDA=5V, Temperature sensor diode voltage at HOT</v>
      </c>
    </row>
    <row r="423" spans="1:9" s="406" customFormat="1"/>
    <row r="424" spans="1:9" s="406" customFormat="1" ht="15.5">
      <c r="A424" s="403" t="s">
        <v>24</v>
      </c>
      <c r="B424" s="404"/>
      <c r="C424" s="405" t="str">
        <f>SFLASH.512_ver2!$E$66</f>
        <v>EPASS_TEMP_TRIM_VBG_HOTCLASS_5V</v>
      </c>
      <c r="D424" s="404"/>
      <c r="E424" s="404"/>
      <c r="F424" s="404"/>
      <c r="G424" s="404"/>
      <c r="I424" s="407"/>
    </row>
    <row r="425" spans="1:9" s="406" customFormat="1" ht="15.5">
      <c r="A425" s="403" t="s">
        <v>47</v>
      </c>
      <c r="B425" s="404"/>
      <c r="C425" s="408">
        <v>1</v>
      </c>
      <c r="D425" s="404"/>
      <c r="E425" s="404"/>
      <c r="F425" s="404"/>
      <c r="G425" s="404"/>
    </row>
    <row r="426" spans="1:9" s="406" customFormat="1" ht="15.5">
      <c r="A426" s="403" t="s">
        <v>23</v>
      </c>
      <c r="B426" s="404"/>
      <c r="C426" s="408" t="str">
        <f>SFLASH.512_ver2!$F$66</f>
        <v>Temperature sensor calibration data for VDDA=5V, Bandgap voltage at HOT</v>
      </c>
      <c r="D426" s="404"/>
      <c r="E426" s="404"/>
      <c r="F426" s="404"/>
      <c r="G426" s="404"/>
    </row>
    <row r="427" spans="1:9" s="406" customFormat="1" ht="13">
      <c r="A427" s="403" t="s">
        <v>44</v>
      </c>
      <c r="B427" s="404"/>
      <c r="C427" s="404" t="s">
        <v>34786</v>
      </c>
      <c r="D427" s="404"/>
      <c r="E427" s="404"/>
      <c r="F427" s="404"/>
      <c r="G427" s="404"/>
    </row>
    <row r="428" spans="1:9" s="406" customFormat="1" ht="13">
      <c r="A428" s="411" t="s">
        <v>43</v>
      </c>
      <c r="B428" s="412" t="s">
        <v>24</v>
      </c>
      <c r="C428" s="413" t="s">
        <v>42</v>
      </c>
      <c r="D428" s="413" t="s">
        <v>41</v>
      </c>
      <c r="E428" s="413" t="s">
        <v>40</v>
      </c>
      <c r="F428" s="413" t="s">
        <v>39</v>
      </c>
      <c r="G428" s="414" t="s">
        <v>23</v>
      </c>
    </row>
    <row r="429" spans="1:9" s="406" customFormat="1" ht="15.5">
      <c r="A429" s="415" t="s">
        <v>34787</v>
      </c>
      <c r="B429" s="416" t="s">
        <v>34788</v>
      </c>
      <c r="C429" s="417"/>
      <c r="D429" s="417" t="s">
        <v>38</v>
      </c>
      <c r="E429" s="417" t="s">
        <v>37</v>
      </c>
      <c r="F429" s="418"/>
      <c r="G429" s="419" t="str">
        <f>SFLASH.512_ver2!$F$66</f>
        <v>Temperature sensor calibration data for VDDA=5V, Bandgap voltage at HOT</v>
      </c>
    </row>
    <row r="430" spans="1:9" s="406" customFormat="1"/>
    <row r="431" spans="1:9" s="406" customFormat="1" ht="15.5">
      <c r="A431" s="403" t="s">
        <v>24</v>
      </c>
      <c r="B431" s="404"/>
      <c r="C431" s="405" t="str">
        <f>SFLASH.512_ver2!$E$67</f>
        <v>EPASS_TEMP_TRIM_DIODE_ROOMCLASS_5V</v>
      </c>
      <c r="D431" s="404"/>
      <c r="E431" s="404"/>
      <c r="F431" s="404"/>
      <c r="G431" s="404"/>
      <c r="I431" s="407"/>
    </row>
    <row r="432" spans="1:9" s="406" customFormat="1" ht="15.5">
      <c r="A432" s="403" t="s">
        <v>47</v>
      </c>
      <c r="B432" s="404"/>
      <c r="C432" s="408">
        <v>1</v>
      </c>
      <c r="D432" s="404"/>
      <c r="E432" s="404"/>
      <c r="F432" s="404"/>
      <c r="G432" s="404"/>
    </row>
    <row r="433" spans="1:9" s="406" customFormat="1" ht="15.5">
      <c r="A433" s="403" t="s">
        <v>23</v>
      </c>
      <c r="B433" s="404"/>
      <c r="C433" s="408" t="str">
        <f>SFLASH.512_ver2!$F$67</f>
        <v>Temperature sensor calibration data for VDDA=5V, Temperature sensor diode voltage at ROOM (only CLASS TEST)</v>
      </c>
      <c r="D433" s="404"/>
      <c r="E433" s="404"/>
      <c r="F433" s="404"/>
      <c r="G433" s="404"/>
    </row>
    <row r="434" spans="1:9" s="406" customFormat="1" ht="13">
      <c r="A434" s="403" t="s">
        <v>29</v>
      </c>
      <c r="B434" s="409"/>
      <c r="C434" s="410" t="s">
        <v>238</v>
      </c>
      <c r="D434" s="404"/>
      <c r="E434" s="404"/>
      <c r="F434" s="404"/>
      <c r="G434" s="404"/>
    </row>
    <row r="435" spans="1:9" s="406" customFormat="1" ht="13">
      <c r="A435" s="403" t="s">
        <v>44</v>
      </c>
      <c r="B435" s="404"/>
      <c r="C435" s="404" t="s">
        <v>34786</v>
      </c>
      <c r="D435" s="404"/>
      <c r="E435" s="404"/>
      <c r="F435" s="404"/>
      <c r="G435" s="404"/>
    </row>
    <row r="436" spans="1:9" s="406" customFormat="1" ht="13">
      <c r="A436" s="411" t="s">
        <v>43</v>
      </c>
      <c r="B436" s="412" t="s">
        <v>24</v>
      </c>
      <c r="C436" s="413" t="s">
        <v>42</v>
      </c>
      <c r="D436" s="413" t="s">
        <v>41</v>
      </c>
      <c r="E436" s="413" t="s">
        <v>40</v>
      </c>
      <c r="F436" s="413" t="s">
        <v>39</v>
      </c>
      <c r="G436" s="414" t="s">
        <v>23</v>
      </c>
    </row>
    <row r="437" spans="1:9" s="406" customFormat="1" ht="15.5">
      <c r="A437" s="415" t="s">
        <v>34787</v>
      </c>
      <c r="B437" s="416" t="s">
        <v>34788</v>
      </c>
      <c r="C437" s="417"/>
      <c r="D437" s="417" t="s">
        <v>38</v>
      </c>
      <c r="E437" s="417" t="s">
        <v>37</v>
      </c>
      <c r="F437" s="418"/>
      <c r="G437" s="419" t="str">
        <f>SFLASH.512_ver2!$F$67</f>
        <v>Temperature sensor calibration data for VDDA=5V, Temperature sensor diode voltage at ROOM (only CLASS TEST)</v>
      </c>
    </row>
    <row r="438" spans="1:9" s="406" customFormat="1"/>
    <row r="439" spans="1:9" s="406" customFormat="1" ht="15.5">
      <c r="A439" s="403" t="s">
        <v>24</v>
      </c>
      <c r="B439" s="404"/>
      <c r="C439" s="405" t="str">
        <f>SFLASH.512_ver2!$E$68</f>
        <v>EPASS_TEMP_TRIM_VBG_ROOMCLASS_5V</v>
      </c>
      <c r="D439" s="404"/>
      <c r="E439" s="404"/>
      <c r="F439" s="404"/>
      <c r="G439" s="404"/>
      <c r="I439" s="407"/>
    </row>
    <row r="440" spans="1:9" s="406" customFormat="1" ht="15.5">
      <c r="A440" s="403" t="s">
        <v>47</v>
      </c>
      <c r="B440" s="404"/>
      <c r="C440" s="408">
        <v>1</v>
      </c>
      <c r="D440" s="404"/>
      <c r="E440" s="404"/>
      <c r="F440" s="404"/>
      <c r="G440" s="404"/>
    </row>
    <row r="441" spans="1:9" s="406" customFormat="1" ht="15.5">
      <c r="A441" s="403" t="s">
        <v>23</v>
      </c>
      <c r="B441" s="404"/>
      <c r="C441" s="408" t="str">
        <f>SFLASH.512_ver2!$F$68</f>
        <v>Temperature sensor calibration data for VDDA=5V, Bandgap voltage at ROOM (only CLASS TEST)</v>
      </c>
      <c r="D441" s="404"/>
      <c r="E441" s="404"/>
      <c r="F441" s="404"/>
      <c r="G441" s="404"/>
    </row>
    <row r="442" spans="1:9" s="406" customFormat="1" ht="13">
      <c r="A442" s="403" t="s">
        <v>29</v>
      </c>
      <c r="B442" s="409"/>
      <c r="C442" s="410" t="s">
        <v>238</v>
      </c>
      <c r="D442" s="404"/>
      <c r="E442" s="404"/>
      <c r="F442" s="404"/>
      <c r="G442" s="404"/>
    </row>
    <row r="443" spans="1:9" s="406" customFormat="1" ht="13">
      <c r="A443" s="403" t="s">
        <v>44</v>
      </c>
      <c r="B443" s="404"/>
      <c r="C443" s="404" t="s">
        <v>34786</v>
      </c>
      <c r="D443" s="404"/>
      <c r="E443" s="404"/>
      <c r="F443" s="404"/>
      <c r="G443" s="404"/>
    </row>
    <row r="444" spans="1:9" s="406" customFormat="1" ht="13">
      <c r="A444" s="411" t="s">
        <v>43</v>
      </c>
      <c r="B444" s="412" t="s">
        <v>24</v>
      </c>
      <c r="C444" s="413" t="s">
        <v>42</v>
      </c>
      <c r="D444" s="413" t="s">
        <v>41</v>
      </c>
      <c r="E444" s="413" t="s">
        <v>40</v>
      </c>
      <c r="F444" s="413" t="s">
        <v>39</v>
      </c>
      <c r="G444" s="414" t="s">
        <v>23</v>
      </c>
    </row>
    <row r="445" spans="1:9" s="406" customFormat="1" ht="15.5">
      <c r="A445" s="415" t="s">
        <v>34787</v>
      </c>
      <c r="B445" s="416" t="s">
        <v>34788</v>
      </c>
      <c r="C445" s="417"/>
      <c r="D445" s="417" t="s">
        <v>38</v>
      </c>
      <c r="E445" s="417" t="s">
        <v>37</v>
      </c>
      <c r="F445" s="418"/>
      <c r="G445" s="419" t="str">
        <f>SFLASH.512_ver2!$F$68</f>
        <v>Temperature sensor calibration data for VDDA=5V, Bandgap voltage at ROOM (only CLASS TEST)</v>
      </c>
    </row>
    <row r="446" spans="1:9" s="406" customFormat="1"/>
    <row r="447" spans="1:9" ht="13">
      <c r="A447" s="158" t="s">
        <v>24</v>
      </c>
      <c r="B447" s="159"/>
      <c r="C447" s="11" t="str">
        <f>SFLASH.512_ver2!$E$69</f>
        <v>SRSS_PWR_OFFSET</v>
      </c>
      <c r="D447" s="167"/>
      <c r="E447" s="167"/>
      <c r="F447" s="167"/>
      <c r="G447" s="168"/>
    </row>
    <row r="448" spans="1:9" ht="15.5">
      <c r="A448" s="158" t="s">
        <v>47</v>
      </c>
      <c r="B448" s="159"/>
      <c r="C448" s="188">
        <f>SFLASH.512_ver2!$C$69</f>
        <v>1</v>
      </c>
      <c r="D448" s="167"/>
      <c r="E448" s="167"/>
      <c r="F448" s="167"/>
      <c r="G448" s="168"/>
    </row>
    <row r="449" spans="1:7" ht="15.5">
      <c r="A449" s="158" t="s">
        <v>23</v>
      </c>
      <c r="B449" s="159"/>
      <c r="C449" s="188" t="str">
        <f>SFLASH.512_ver2!$F$69</f>
        <v>SRSS_PWR_OFFSET</v>
      </c>
      <c r="D449" s="169"/>
      <c r="E449" s="169"/>
      <c r="F449" s="167"/>
      <c r="G449" s="170"/>
    </row>
    <row r="450" spans="1:7" ht="13">
      <c r="A450" s="158" t="s">
        <v>44</v>
      </c>
      <c r="B450" s="159"/>
      <c r="C450" s="423"/>
      <c r="D450" s="423"/>
      <c r="E450" s="423"/>
      <c r="F450" s="423"/>
      <c r="G450" s="423"/>
    </row>
    <row r="451" spans="1:7" ht="13">
      <c r="A451" s="171" t="s">
        <v>43</v>
      </c>
      <c r="B451" s="172" t="s">
        <v>24</v>
      </c>
      <c r="C451" s="173" t="s">
        <v>42</v>
      </c>
      <c r="D451" s="173" t="s">
        <v>41</v>
      </c>
      <c r="E451" s="173" t="s">
        <v>40</v>
      </c>
      <c r="F451" s="173" t="s">
        <v>39</v>
      </c>
      <c r="G451" s="174" t="s">
        <v>23</v>
      </c>
    </row>
    <row r="452" spans="1:7">
      <c r="A452" s="175" t="s">
        <v>34490</v>
      </c>
      <c r="B452" s="176" t="s">
        <v>34491</v>
      </c>
      <c r="C452" s="177"/>
      <c r="D452" s="177" t="s">
        <v>38</v>
      </c>
      <c r="E452" s="177" t="s">
        <v>37</v>
      </c>
      <c r="F452" s="177"/>
      <c r="G452" s="178" t="s">
        <v>34500</v>
      </c>
    </row>
    <row r="453" spans="1:7">
      <c r="A453" s="175" t="s">
        <v>34493</v>
      </c>
      <c r="B453" s="176" t="s">
        <v>34492</v>
      </c>
      <c r="C453" s="177"/>
      <c r="D453" s="177" t="s">
        <v>38</v>
      </c>
      <c r="E453" s="177" t="s">
        <v>37</v>
      </c>
      <c r="F453" s="177"/>
      <c r="G453" s="178" t="s">
        <v>34501</v>
      </c>
    </row>
    <row r="454" spans="1:7">
      <c r="A454" s="179"/>
      <c r="B454" s="179"/>
      <c r="C454" s="167"/>
      <c r="D454" s="167"/>
      <c r="E454" s="169"/>
      <c r="F454" s="168"/>
      <c r="G454" s="159"/>
    </row>
    <row r="455" spans="1:7" ht="13">
      <c r="A455" s="158" t="s">
        <v>24</v>
      </c>
      <c r="B455" s="159"/>
      <c r="C455" s="11" t="str">
        <f>SFLASH.512_ver2!$E$70</f>
        <v>USER_FREE_ROW0</v>
      </c>
      <c r="D455" s="167"/>
      <c r="E455" s="167"/>
      <c r="F455" s="167"/>
      <c r="G455" s="168"/>
    </row>
    <row r="456" spans="1:7" ht="15.5">
      <c r="A456" s="158" t="s">
        <v>47</v>
      </c>
      <c r="B456" s="159"/>
      <c r="C456" s="188">
        <f>SFLASH.512_ver2!$C$71</f>
        <v>128</v>
      </c>
      <c r="D456" s="167"/>
      <c r="E456" s="167"/>
      <c r="F456" s="167"/>
      <c r="G456" s="168"/>
    </row>
    <row r="457" spans="1:7" ht="15.5">
      <c r="A457" s="158" t="s">
        <v>23</v>
      </c>
      <c r="B457" s="159"/>
      <c r="C457" s="188" t="str">
        <f>SFLASH.512_ver2!$F$70</f>
        <v>USER_FREE_ROW0</v>
      </c>
      <c r="D457" s="169"/>
      <c r="E457" s="169"/>
      <c r="F457" s="167"/>
      <c r="G457" s="170"/>
    </row>
    <row r="458" spans="1:7" ht="13">
      <c r="A458" s="158" t="s">
        <v>44</v>
      </c>
      <c r="B458" s="159"/>
      <c r="C458" s="423"/>
      <c r="D458" s="423"/>
      <c r="E458" s="423"/>
      <c r="F458" s="423"/>
      <c r="G458" s="423"/>
    </row>
    <row r="459" spans="1:7" ht="13">
      <c r="A459" s="171" t="s">
        <v>43</v>
      </c>
      <c r="B459" s="172" t="s">
        <v>24</v>
      </c>
      <c r="C459" s="173" t="s">
        <v>42</v>
      </c>
      <c r="D459" s="173" t="s">
        <v>41</v>
      </c>
      <c r="E459" s="173" t="s">
        <v>40</v>
      </c>
      <c r="F459" s="173" t="s">
        <v>39</v>
      </c>
      <c r="G459" s="174" t="s">
        <v>23</v>
      </c>
    </row>
    <row r="460" spans="1:7">
      <c r="A460" s="175" t="s">
        <v>276</v>
      </c>
      <c r="B460" s="176" t="s">
        <v>605</v>
      </c>
      <c r="C460" s="177"/>
      <c r="D460" s="177" t="s">
        <v>38</v>
      </c>
      <c r="E460" s="177" t="s">
        <v>37</v>
      </c>
      <c r="F460" s="177"/>
      <c r="G460" s="178"/>
    </row>
    <row r="461" spans="1:7">
      <c r="A461" s="179"/>
      <c r="B461" s="179"/>
      <c r="C461" s="167"/>
      <c r="D461" s="167"/>
      <c r="E461" s="169"/>
      <c r="F461" s="168"/>
      <c r="G461" s="159"/>
    </row>
    <row r="462" spans="1:7" ht="13">
      <c r="A462" s="158" t="s">
        <v>24</v>
      </c>
      <c r="B462" s="159"/>
      <c r="C462" s="11" t="str">
        <f>SFLASH.512_ver2!$E$71</f>
        <v>USER_FREE_ROW1</v>
      </c>
      <c r="D462" s="167"/>
      <c r="E462" s="167"/>
      <c r="F462" s="167"/>
      <c r="G462" s="168"/>
    </row>
    <row r="463" spans="1:7" ht="15.5">
      <c r="A463" s="158" t="s">
        <v>47</v>
      </c>
      <c r="B463" s="159"/>
      <c r="C463" s="188">
        <f>SFLASH.512_ver2!$C$71</f>
        <v>128</v>
      </c>
      <c r="D463" s="167"/>
      <c r="E463" s="167"/>
      <c r="F463" s="167"/>
      <c r="G463" s="168"/>
    </row>
    <row r="464" spans="1:7" ht="15.5">
      <c r="A464" s="158" t="s">
        <v>23</v>
      </c>
      <c r="B464" s="159"/>
      <c r="C464" s="188" t="str">
        <f>SFLASH.512_ver2!$F$71</f>
        <v>USER_FREE_ROW1</v>
      </c>
      <c r="D464" s="169"/>
      <c r="E464" s="169"/>
      <c r="F464" s="167"/>
      <c r="G464" s="170"/>
    </row>
    <row r="465" spans="1:7" ht="13">
      <c r="A465" s="158" t="s">
        <v>44</v>
      </c>
      <c r="B465" s="159"/>
      <c r="C465" s="423"/>
      <c r="D465" s="423"/>
      <c r="E465" s="423"/>
      <c r="F465" s="423"/>
      <c r="G465" s="423"/>
    </row>
    <row r="466" spans="1:7" ht="13">
      <c r="A466" s="171" t="s">
        <v>43</v>
      </c>
      <c r="B466" s="172" t="s">
        <v>24</v>
      </c>
      <c r="C466" s="173" t="s">
        <v>42</v>
      </c>
      <c r="D466" s="173" t="s">
        <v>41</v>
      </c>
      <c r="E466" s="173" t="s">
        <v>40</v>
      </c>
      <c r="F466" s="173" t="s">
        <v>39</v>
      </c>
      <c r="G466" s="174" t="s">
        <v>23</v>
      </c>
    </row>
    <row r="467" spans="1:7">
      <c r="A467" s="175" t="s">
        <v>276</v>
      </c>
      <c r="B467" s="176" t="s">
        <v>605</v>
      </c>
      <c r="C467" s="177"/>
      <c r="D467" s="177" t="s">
        <v>38</v>
      </c>
      <c r="E467" s="177" t="s">
        <v>37</v>
      </c>
      <c r="F467" s="177"/>
      <c r="G467" s="178"/>
    </row>
    <row r="468" spans="1:7">
      <c r="A468" s="179"/>
      <c r="B468" s="179"/>
      <c r="C468" s="167"/>
      <c r="D468" s="167"/>
      <c r="E468" s="169"/>
      <c r="F468" s="168"/>
      <c r="G468" s="159"/>
    </row>
    <row r="469" spans="1:7" ht="13">
      <c r="A469" s="158" t="s">
        <v>24</v>
      </c>
      <c r="B469" s="159"/>
      <c r="C469" s="11" t="str">
        <f>SFLASH.512_ver2!$E$72</f>
        <v>USER_FREE_ROW2</v>
      </c>
      <c r="D469" s="167"/>
      <c r="E469" s="167"/>
      <c r="F469" s="167"/>
      <c r="G469" s="168"/>
    </row>
    <row r="470" spans="1:7" ht="15.5">
      <c r="A470" s="158" t="s">
        <v>47</v>
      </c>
      <c r="B470" s="159"/>
      <c r="C470" s="188">
        <f>SFLASH.512_ver2!$C$72</f>
        <v>128</v>
      </c>
      <c r="D470" s="167"/>
      <c r="E470" s="167"/>
      <c r="F470" s="167"/>
      <c r="G470" s="168"/>
    </row>
    <row r="471" spans="1:7" ht="15.5">
      <c r="A471" s="158" t="s">
        <v>23</v>
      </c>
      <c r="B471" s="159"/>
      <c r="C471" s="188" t="str">
        <f>SFLASH.512_ver2!$F$72</f>
        <v>USER_FREE_ROW2</v>
      </c>
      <c r="D471" s="169"/>
      <c r="E471" s="169"/>
      <c r="F471" s="167"/>
      <c r="G471" s="170"/>
    </row>
    <row r="472" spans="1:7" ht="13">
      <c r="A472" s="158" t="s">
        <v>44</v>
      </c>
      <c r="B472" s="159"/>
      <c r="C472" s="423"/>
      <c r="D472" s="423"/>
      <c r="E472" s="423"/>
      <c r="F472" s="423"/>
      <c r="G472" s="423"/>
    </row>
    <row r="473" spans="1:7" ht="13">
      <c r="A473" s="171" t="s">
        <v>43</v>
      </c>
      <c r="B473" s="172" t="s">
        <v>24</v>
      </c>
      <c r="C473" s="173" t="s">
        <v>42</v>
      </c>
      <c r="D473" s="173" t="s">
        <v>41</v>
      </c>
      <c r="E473" s="173" t="s">
        <v>40</v>
      </c>
      <c r="F473" s="173" t="s">
        <v>39</v>
      </c>
      <c r="G473" s="174" t="s">
        <v>23</v>
      </c>
    </row>
    <row r="474" spans="1:7">
      <c r="A474" s="175" t="s">
        <v>276</v>
      </c>
      <c r="B474" s="176" t="s">
        <v>605</v>
      </c>
      <c r="C474" s="177"/>
      <c r="D474" s="177" t="s">
        <v>38</v>
      </c>
      <c r="E474" s="177" t="s">
        <v>37</v>
      </c>
      <c r="F474" s="177"/>
      <c r="G474" s="178"/>
    </row>
    <row r="475" spans="1:7">
      <c r="A475" s="179"/>
      <c r="B475" s="179"/>
      <c r="C475" s="167"/>
      <c r="D475" s="167"/>
      <c r="E475" s="169"/>
      <c r="F475" s="168"/>
      <c r="G475" s="159"/>
    </row>
    <row r="476" spans="1:7" ht="13">
      <c r="A476" s="158" t="s">
        <v>24</v>
      </c>
      <c r="B476" s="159"/>
      <c r="C476" s="11" t="str">
        <f>SFLASH.512_ver2!$E$73</f>
        <v>USER_FREE_ROW3</v>
      </c>
      <c r="D476" s="167"/>
      <c r="E476" s="167"/>
      <c r="F476" s="167"/>
      <c r="G476" s="168"/>
    </row>
    <row r="477" spans="1:7" ht="15.5">
      <c r="A477" s="158" t="s">
        <v>47</v>
      </c>
      <c r="B477" s="159"/>
      <c r="C477" s="188">
        <f>SFLASH.512_ver2!$C$73</f>
        <v>128</v>
      </c>
      <c r="D477" s="167"/>
      <c r="E477" s="167"/>
      <c r="F477" s="167"/>
      <c r="G477" s="168"/>
    </row>
    <row r="478" spans="1:7" ht="15.5">
      <c r="A478" s="158" t="s">
        <v>23</v>
      </c>
      <c r="B478" s="159"/>
      <c r="C478" s="188" t="str">
        <f>SFLASH.512_ver2!$F$73</f>
        <v>USER_FREE_ROW3</v>
      </c>
      <c r="D478" s="169"/>
      <c r="E478" s="169"/>
      <c r="F478" s="167"/>
      <c r="G478" s="170"/>
    </row>
    <row r="479" spans="1:7" ht="13">
      <c r="A479" s="158" t="s">
        <v>44</v>
      </c>
      <c r="B479" s="159"/>
      <c r="C479" s="423"/>
      <c r="D479" s="423"/>
      <c r="E479" s="423"/>
      <c r="F479" s="423"/>
      <c r="G479" s="423"/>
    </row>
    <row r="480" spans="1:7" ht="13">
      <c r="A480" s="171" t="s">
        <v>43</v>
      </c>
      <c r="B480" s="172" t="s">
        <v>24</v>
      </c>
      <c r="C480" s="173" t="s">
        <v>42</v>
      </c>
      <c r="D480" s="173" t="s">
        <v>41</v>
      </c>
      <c r="E480" s="173" t="s">
        <v>40</v>
      </c>
      <c r="F480" s="173" t="s">
        <v>39</v>
      </c>
      <c r="G480" s="174" t="s">
        <v>23</v>
      </c>
    </row>
    <row r="481" spans="1:7">
      <c r="A481" s="175" t="s">
        <v>276</v>
      </c>
      <c r="B481" s="176" t="s">
        <v>605</v>
      </c>
      <c r="C481" s="177"/>
      <c r="D481" s="177" t="s">
        <v>38</v>
      </c>
      <c r="E481" s="177" t="s">
        <v>37</v>
      </c>
      <c r="F481" s="177"/>
      <c r="G481" s="178"/>
    </row>
    <row r="482" spans="1:7">
      <c r="A482" s="163"/>
      <c r="B482" s="208"/>
      <c r="C482" s="167"/>
      <c r="D482" s="167"/>
      <c r="E482" s="167"/>
      <c r="F482" s="167"/>
      <c r="G482" s="168"/>
    </row>
    <row r="483" spans="1:7" ht="13">
      <c r="A483" s="158" t="s">
        <v>24</v>
      </c>
      <c r="B483" s="159"/>
      <c r="C483" s="11" t="s">
        <v>34396</v>
      </c>
      <c r="D483" s="167"/>
      <c r="E483" s="167"/>
      <c r="F483" s="167"/>
      <c r="G483" s="168"/>
    </row>
    <row r="484" spans="1:7" ht="15.5">
      <c r="A484" s="158" t="s">
        <v>47</v>
      </c>
      <c r="B484" s="159"/>
      <c r="C484" s="188">
        <f>SFLASH.512_ver2!$C$74</f>
        <v>2</v>
      </c>
      <c r="D484" s="167"/>
      <c r="E484" s="167"/>
      <c r="F484" s="167"/>
      <c r="G484" s="168"/>
    </row>
    <row r="485" spans="1:7" ht="15.5">
      <c r="A485" s="158" t="s">
        <v>23</v>
      </c>
      <c r="B485" s="159"/>
      <c r="C485" s="188" t="str">
        <f>SFLASH.512_ver2!$F$74</f>
        <v>Markers for storing SFLASH programming states</v>
      </c>
      <c r="D485" s="169"/>
      <c r="E485" s="169"/>
      <c r="F485" s="167"/>
      <c r="G485" s="170"/>
    </row>
    <row r="486" spans="1:7" ht="13">
      <c r="A486" s="158" t="s">
        <v>44</v>
      </c>
      <c r="B486" s="159"/>
      <c r="C486" s="423"/>
      <c r="D486" s="423"/>
      <c r="E486" s="423"/>
      <c r="F486" s="423"/>
      <c r="G486" s="423"/>
    </row>
    <row r="487" spans="1:7" ht="13">
      <c r="A487" s="171" t="s">
        <v>43</v>
      </c>
      <c r="B487" s="172" t="s">
        <v>24</v>
      </c>
      <c r="C487" s="173" t="s">
        <v>42</v>
      </c>
      <c r="D487" s="173" t="s">
        <v>41</v>
      </c>
      <c r="E487" s="173" t="s">
        <v>40</v>
      </c>
      <c r="F487" s="173" t="s">
        <v>39</v>
      </c>
      <c r="G487" s="174" t="s">
        <v>23</v>
      </c>
    </row>
    <row r="488" spans="1:7">
      <c r="A488" s="175" t="s">
        <v>276</v>
      </c>
      <c r="B488" s="176" t="s">
        <v>605</v>
      </c>
      <c r="C488" s="177"/>
      <c r="D488" s="177" t="s">
        <v>38</v>
      </c>
      <c r="E488" s="177" t="s">
        <v>37</v>
      </c>
      <c r="F488" s="177"/>
      <c r="G488" s="178" t="s">
        <v>34399</v>
      </c>
    </row>
    <row r="489" spans="1:7">
      <c r="A489" s="163"/>
      <c r="B489" s="208"/>
      <c r="C489" s="167"/>
      <c r="D489" s="167"/>
      <c r="E489" s="167"/>
      <c r="F489" s="167"/>
      <c r="G489" s="168"/>
    </row>
    <row r="490" spans="1:7" ht="13">
      <c r="A490" s="1" t="s">
        <v>24</v>
      </c>
      <c r="C490" s="11" t="str">
        <f>SFLASH.512_ver2!$E$75</f>
        <v>NORMAL_ACCESS_RESTRICTIONS</v>
      </c>
    </row>
    <row r="491" spans="1:7" ht="15.5">
      <c r="A491" s="1" t="s">
        <v>47</v>
      </c>
      <c r="C491" s="188">
        <f>SFLASH.512_ver2!$C$75</f>
        <v>1</v>
      </c>
    </row>
    <row r="492" spans="1:7" ht="15.5">
      <c r="A492" s="1" t="s">
        <v>23</v>
      </c>
      <c r="C492" s="188" t="str">
        <f>SFLASH.512_ver2!$F$75</f>
        <v>Indicates access restrictions to be applied on DAP in NORMAL state</v>
      </c>
    </row>
    <row r="493" spans="1:7" ht="13">
      <c r="A493" s="158" t="s">
        <v>29</v>
      </c>
      <c r="B493" s="159"/>
      <c r="C493" s="109" t="s">
        <v>238</v>
      </c>
    </row>
    <row r="494" spans="1:7" ht="13">
      <c r="A494" s="1" t="s">
        <v>44</v>
      </c>
      <c r="C494" s="3" t="s">
        <v>263</v>
      </c>
    </row>
    <row r="495" spans="1:7" ht="13">
      <c r="A495" s="15" t="s">
        <v>43</v>
      </c>
      <c r="B495" s="14" t="s">
        <v>24</v>
      </c>
      <c r="C495" s="13" t="s">
        <v>42</v>
      </c>
      <c r="D495" s="13" t="s">
        <v>41</v>
      </c>
      <c r="E495" s="13" t="s">
        <v>40</v>
      </c>
      <c r="F495" s="13" t="s">
        <v>39</v>
      </c>
      <c r="G495" s="16" t="s">
        <v>23</v>
      </c>
    </row>
    <row r="496" spans="1:7">
      <c r="A496" s="161" t="s">
        <v>960</v>
      </c>
      <c r="B496" s="251" t="s">
        <v>961</v>
      </c>
      <c r="C496" s="240" t="s">
        <v>280</v>
      </c>
      <c r="D496" s="252" t="s">
        <v>38</v>
      </c>
      <c r="E496" s="12" t="s">
        <v>37</v>
      </c>
      <c r="F496" s="103"/>
      <c r="G496" s="103"/>
    </row>
    <row r="497" spans="1:7">
      <c r="A497" s="161" t="s">
        <v>962</v>
      </c>
      <c r="B497" s="251" t="s">
        <v>963</v>
      </c>
      <c r="C497" s="240"/>
      <c r="D497" s="252" t="s">
        <v>38</v>
      </c>
      <c r="E497" s="12" t="s">
        <v>37</v>
      </c>
      <c r="F497" s="103"/>
      <c r="G497" s="103"/>
    </row>
    <row r="498" spans="1:7">
      <c r="A498" s="161" t="s">
        <v>46</v>
      </c>
      <c r="B498" s="251" t="s">
        <v>964</v>
      </c>
      <c r="C498" s="240"/>
      <c r="D498" s="252" t="s">
        <v>38</v>
      </c>
      <c r="E498" s="12" t="s">
        <v>37</v>
      </c>
      <c r="F498" s="103"/>
      <c r="G498" s="103"/>
    </row>
    <row r="499" spans="1:7">
      <c r="A499" s="253" t="s">
        <v>965</v>
      </c>
      <c r="B499" s="254" t="s">
        <v>172</v>
      </c>
      <c r="C499" s="255"/>
      <c r="D499" s="252" t="s">
        <v>38</v>
      </c>
      <c r="E499" s="12" t="s">
        <v>37</v>
      </c>
      <c r="F499" s="103"/>
      <c r="G499" s="103"/>
    </row>
    <row r="500" spans="1:7">
      <c r="A500" s="253">
        <v>7</v>
      </c>
      <c r="B500" s="251" t="s">
        <v>180</v>
      </c>
      <c r="C500" s="12"/>
      <c r="D500" s="12" t="s">
        <v>38</v>
      </c>
      <c r="E500" s="12" t="s">
        <v>37</v>
      </c>
      <c r="F500" s="103"/>
      <c r="G500" s="103"/>
    </row>
    <row r="501" spans="1:7">
      <c r="A501" s="253" t="s">
        <v>175</v>
      </c>
      <c r="B501" s="251" t="s">
        <v>176</v>
      </c>
      <c r="C501" s="255"/>
      <c r="D501" s="255" t="s">
        <v>38</v>
      </c>
      <c r="E501" s="12" t="s">
        <v>37</v>
      </c>
      <c r="F501" s="103"/>
      <c r="G501" s="103"/>
    </row>
    <row r="502" spans="1:7">
      <c r="A502" s="253" t="s">
        <v>177</v>
      </c>
      <c r="B502" s="251" t="s">
        <v>178</v>
      </c>
      <c r="C502" s="255"/>
      <c r="D502" s="255" t="s">
        <v>38</v>
      </c>
      <c r="E502" s="12" t="s">
        <v>37</v>
      </c>
      <c r="F502" s="103"/>
      <c r="G502" s="103"/>
    </row>
    <row r="503" spans="1:7">
      <c r="A503" s="253" t="s">
        <v>966</v>
      </c>
      <c r="B503" s="256" t="s">
        <v>967</v>
      </c>
      <c r="C503" s="240"/>
      <c r="D503" s="240" t="s">
        <v>38</v>
      </c>
      <c r="E503" s="12" t="s">
        <v>37</v>
      </c>
      <c r="F503" s="103"/>
      <c r="G503" s="103"/>
    </row>
    <row r="504" spans="1:7">
      <c r="A504" s="257" t="s">
        <v>968</v>
      </c>
      <c r="B504" s="254" t="s">
        <v>173</v>
      </c>
      <c r="C504" s="252"/>
      <c r="D504" s="252" t="s">
        <v>38</v>
      </c>
      <c r="E504" s="12" t="s">
        <v>37</v>
      </c>
      <c r="F504" s="103"/>
      <c r="G504" s="103"/>
    </row>
    <row r="505" spans="1:7">
      <c r="A505" s="258" t="s">
        <v>969</v>
      </c>
      <c r="B505" s="259" t="s">
        <v>174</v>
      </c>
      <c r="C505" s="240"/>
      <c r="D505" s="240" t="s">
        <v>38</v>
      </c>
      <c r="E505" s="12" t="s">
        <v>37</v>
      </c>
      <c r="F505" s="103"/>
      <c r="G505" s="103"/>
    </row>
    <row r="506" spans="1:7">
      <c r="A506" s="258" t="s">
        <v>970</v>
      </c>
      <c r="B506" s="259" t="s">
        <v>179</v>
      </c>
      <c r="C506" s="240"/>
      <c r="D506" s="240" t="s">
        <v>38</v>
      </c>
      <c r="E506" s="12" t="s">
        <v>37</v>
      </c>
      <c r="F506" s="103"/>
      <c r="G506" s="103"/>
    </row>
    <row r="508" spans="1:7" ht="13">
      <c r="A508" s="1" t="s">
        <v>24</v>
      </c>
      <c r="C508" s="11" t="str">
        <f>SFLASH.512_ver2!$E$76</f>
        <v>NORMAL_DEAD_ACCESS_RESTRICTIONS</v>
      </c>
    </row>
    <row r="509" spans="1:7" ht="15.5">
      <c r="A509" s="1" t="s">
        <v>47</v>
      </c>
      <c r="C509" s="188">
        <f>SFLASH.512_ver2!$C$76</f>
        <v>1</v>
      </c>
    </row>
    <row r="510" spans="1:7" ht="15.5">
      <c r="A510" s="1" t="s">
        <v>23</v>
      </c>
      <c r="C510" s="188" t="str">
        <f>SFLASH.512_ver2!$F$76</f>
        <v>Indicates access restrictions to be applied on DAP in NORMAL DEAD state</v>
      </c>
    </row>
    <row r="511" spans="1:7" ht="13">
      <c r="A511" s="158" t="s">
        <v>29</v>
      </c>
      <c r="B511" s="159"/>
      <c r="C511" s="109" t="s">
        <v>238</v>
      </c>
    </row>
    <row r="512" spans="1:7" ht="13">
      <c r="A512" s="1" t="s">
        <v>44</v>
      </c>
      <c r="C512" s="3" t="s">
        <v>263</v>
      </c>
    </row>
    <row r="513" spans="1:7" ht="13">
      <c r="A513" s="15" t="s">
        <v>43</v>
      </c>
      <c r="B513" s="14" t="s">
        <v>24</v>
      </c>
      <c r="C513" s="13" t="s">
        <v>42</v>
      </c>
      <c r="D513" s="13" t="s">
        <v>41</v>
      </c>
      <c r="E513" s="13" t="s">
        <v>40</v>
      </c>
      <c r="F513" s="13" t="s">
        <v>39</v>
      </c>
      <c r="G513" s="16" t="s">
        <v>23</v>
      </c>
    </row>
    <row r="514" spans="1:7">
      <c r="A514" s="161" t="s">
        <v>960</v>
      </c>
      <c r="B514" s="251" t="s">
        <v>961</v>
      </c>
      <c r="C514" s="240" t="s">
        <v>280</v>
      </c>
      <c r="D514" s="252" t="s">
        <v>38</v>
      </c>
      <c r="E514" s="12" t="s">
        <v>37</v>
      </c>
      <c r="F514" s="103"/>
      <c r="G514" s="103"/>
    </row>
    <row r="515" spans="1:7">
      <c r="A515" s="161" t="s">
        <v>962</v>
      </c>
      <c r="B515" s="251" t="s">
        <v>963</v>
      </c>
      <c r="C515" s="240"/>
      <c r="D515" s="252" t="s">
        <v>38</v>
      </c>
      <c r="E515" s="12" t="s">
        <v>37</v>
      </c>
      <c r="F515" s="103"/>
      <c r="G515" s="103"/>
    </row>
    <row r="516" spans="1:7">
      <c r="A516" s="161" t="s">
        <v>46</v>
      </c>
      <c r="B516" s="251" t="s">
        <v>964</v>
      </c>
      <c r="C516" s="240"/>
      <c r="D516" s="252" t="s">
        <v>38</v>
      </c>
      <c r="E516" s="12" t="s">
        <v>37</v>
      </c>
      <c r="F516" s="103"/>
      <c r="G516" s="103"/>
    </row>
    <row r="517" spans="1:7">
      <c r="A517" s="253" t="s">
        <v>965</v>
      </c>
      <c r="B517" s="254" t="s">
        <v>172</v>
      </c>
      <c r="C517" s="255"/>
      <c r="D517" s="252" t="s">
        <v>38</v>
      </c>
      <c r="E517" s="12" t="s">
        <v>37</v>
      </c>
      <c r="F517" s="103"/>
      <c r="G517" s="103"/>
    </row>
    <row r="518" spans="1:7">
      <c r="A518" s="253">
        <v>7</v>
      </c>
      <c r="B518" s="251" t="s">
        <v>180</v>
      </c>
      <c r="C518" s="12"/>
      <c r="D518" s="12" t="s">
        <v>38</v>
      </c>
      <c r="E518" s="12" t="s">
        <v>37</v>
      </c>
      <c r="F518" s="103"/>
      <c r="G518" s="103"/>
    </row>
    <row r="519" spans="1:7">
      <c r="A519" s="253" t="s">
        <v>175</v>
      </c>
      <c r="B519" s="251" t="s">
        <v>176</v>
      </c>
      <c r="C519" s="255"/>
      <c r="D519" s="255" t="s">
        <v>38</v>
      </c>
      <c r="E519" s="12" t="s">
        <v>37</v>
      </c>
      <c r="F519" s="103"/>
      <c r="G519" s="103"/>
    </row>
    <row r="520" spans="1:7">
      <c r="A520" s="253" t="s">
        <v>177</v>
      </c>
      <c r="B520" s="251" t="s">
        <v>178</v>
      </c>
      <c r="C520" s="255"/>
      <c r="D520" s="255" t="s">
        <v>38</v>
      </c>
      <c r="E520" s="12" t="s">
        <v>37</v>
      </c>
      <c r="F520" s="103"/>
      <c r="G520" s="103"/>
    </row>
    <row r="521" spans="1:7">
      <c r="A521" s="253" t="s">
        <v>966</v>
      </c>
      <c r="B521" s="256" t="s">
        <v>967</v>
      </c>
      <c r="C521" s="240"/>
      <c r="D521" s="240" t="s">
        <v>38</v>
      </c>
      <c r="E521" s="12" t="s">
        <v>37</v>
      </c>
      <c r="F521" s="103"/>
      <c r="G521" s="103"/>
    </row>
    <row r="522" spans="1:7">
      <c r="A522" s="257" t="s">
        <v>968</v>
      </c>
      <c r="B522" s="254" t="s">
        <v>173</v>
      </c>
      <c r="C522" s="252"/>
      <c r="D522" s="252" t="s">
        <v>38</v>
      </c>
      <c r="E522" s="12" t="s">
        <v>37</v>
      </c>
      <c r="F522" s="103"/>
      <c r="G522" s="103"/>
    </row>
    <row r="523" spans="1:7">
      <c r="A523" s="258" t="s">
        <v>969</v>
      </c>
      <c r="B523" s="259" t="s">
        <v>174</v>
      </c>
      <c r="C523" s="240"/>
      <c r="D523" s="240" t="s">
        <v>38</v>
      </c>
      <c r="E523" s="12" t="s">
        <v>37</v>
      </c>
      <c r="F523" s="103"/>
      <c r="G523" s="103"/>
    </row>
    <row r="524" spans="1:7">
      <c r="A524" s="258" t="s">
        <v>970</v>
      </c>
      <c r="B524" s="259" t="s">
        <v>179</v>
      </c>
      <c r="C524" s="240"/>
      <c r="D524" s="240" t="s">
        <v>38</v>
      </c>
      <c r="E524" s="12" t="s">
        <v>37</v>
      </c>
      <c r="F524" s="103"/>
      <c r="G524" s="103"/>
    </row>
    <row r="525" spans="1:7">
      <c r="A525" s="163"/>
      <c r="B525" s="208"/>
      <c r="C525" s="167"/>
      <c r="D525" s="167"/>
      <c r="E525" s="167"/>
      <c r="F525" s="167"/>
      <c r="G525" s="168"/>
    </row>
    <row r="526" spans="1:7" ht="13">
      <c r="A526" s="158" t="s">
        <v>24</v>
      </c>
      <c r="B526" s="159"/>
      <c r="C526" s="11" t="str">
        <f>SFLASH.512_ver2!$E$77</f>
        <v>FLASH_BOOT_RESERVED</v>
      </c>
      <c r="D526" s="167"/>
      <c r="E526" s="167"/>
      <c r="F526" s="167"/>
      <c r="G526" s="168"/>
    </row>
    <row r="527" spans="1:7" ht="15.5">
      <c r="A527" s="158" t="s">
        <v>47</v>
      </c>
      <c r="B527" s="159"/>
      <c r="C527" s="188">
        <f>SFLASH.512_ver2!$C$77</f>
        <v>1024</v>
      </c>
      <c r="D527" s="167"/>
      <c r="E527" s="167"/>
      <c r="F527" s="167"/>
      <c r="G527" s="168"/>
    </row>
    <row r="528" spans="1:7" ht="15.5">
      <c r="A528" s="158" t="s">
        <v>23</v>
      </c>
      <c r="B528" s="159"/>
      <c r="C528" s="188" t="str">
        <f>SFLASH.512_ver2!$F$77</f>
        <v>Flash Boot - Reserved</v>
      </c>
      <c r="D528" s="169"/>
      <c r="E528" s="169"/>
      <c r="F528" s="167"/>
      <c r="G528" s="170"/>
    </row>
    <row r="529" spans="1:7" ht="13">
      <c r="A529" s="158" t="s">
        <v>29</v>
      </c>
      <c r="B529" s="159"/>
      <c r="C529" s="109" t="s">
        <v>238</v>
      </c>
      <c r="D529" s="169"/>
      <c r="E529" s="169"/>
      <c r="F529" s="167"/>
      <c r="G529" s="170"/>
    </row>
    <row r="530" spans="1:7" ht="13">
      <c r="A530" s="158" t="s">
        <v>44</v>
      </c>
      <c r="B530" s="159"/>
      <c r="C530" s="423"/>
      <c r="D530" s="423"/>
      <c r="E530" s="423"/>
      <c r="F530" s="423"/>
      <c r="G530" s="423"/>
    </row>
    <row r="531" spans="1:7" ht="13">
      <c r="A531" s="171" t="s">
        <v>43</v>
      </c>
      <c r="B531" s="172" t="s">
        <v>24</v>
      </c>
      <c r="C531" s="173" t="s">
        <v>42</v>
      </c>
      <c r="D531" s="173" t="s">
        <v>41</v>
      </c>
      <c r="E531" s="173" t="s">
        <v>40</v>
      </c>
      <c r="F531" s="173" t="s">
        <v>39</v>
      </c>
      <c r="G531" s="174" t="s">
        <v>23</v>
      </c>
    </row>
    <row r="532" spans="1:7">
      <c r="A532" s="175" t="s">
        <v>45</v>
      </c>
      <c r="B532" s="176" t="s">
        <v>182</v>
      </c>
      <c r="C532" s="177"/>
      <c r="D532" s="177" t="s">
        <v>38</v>
      </c>
      <c r="E532" s="177" t="s">
        <v>37</v>
      </c>
      <c r="F532" s="177"/>
      <c r="G532" s="178"/>
    </row>
    <row r="533" spans="1:7">
      <c r="A533" s="163"/>
      <c r="B533" s="208"/>
      <c r="C533" s="167"/>
      <c r="D533" s="167"/>
      <c r="E533" s="167"/>
      <c r="F533" s="167"/>
      <c r="G533" s="168"/>
    </row>
    <row r="534" spans="1:7" ht="13">
      <c r="A534" s="158" t="s">
        <v>24</v>
      </c>
      <c r="B534" s="159"/>
      <c r="C534" s="11" t="str">
        <f>SFLASH.512_ver2!$E$78</f>
        <v>FLASH_BOOT_OBJECT_SIZE</v>
      </c>
      <c r="D534" s="167"/>
      <c r="E534" s="167"/>
      <c r="F534" s="167"/>
      <c r="G534" s="168"/>
    </row>
    <row r="535" spans="1:7" ht="15.5">
      <c r="A535" s="158" t="s">
        <v>47</v>
      </c>
      <c r="B535" s="159"/>
      <c r="C535" s="188">
        <f>SFLASH.512_ver2!$C$78</f>
        <v>1</v>
      </c>
      <c r="D535" s="167"/>
      <c r="E535" s="167"/>
      <c r="F535" s="167"/>
      <c r="G535" s="168"/>
    </row>
    <row r="536" spans="1:7" ht="15.5">
      <c r="A536" s="158" t="s">
        <v>23</v>
      </c>
      <c r="B536" s="159"/>
      <c r="C536" s="188" t="str">
        <f>SFLASH.512_ver2!$F$78</f>
        <v>Flash Boot - Object Size</v>
      </c>
      <c r="D536" s="169"/>
      <c r="E536" s="169"/>
      <c r="F536" s="167"/>
      <c r="G536" s="170"/>
    </row>
    <row r="537" spans="1:7" ht="13">
      <c r="A537" s="158" t="s">
        <v>29</v>
      </c>
      <c r="B537" s="159"/>
      <c r="C537" s="109"/>
      <c r="D537" s="169"/>
      <c r="E537" s="169"/>
      <c r="F537" s="167"/>
      <c r="G537" s="170"/>
    </row>
    <row r="538" spans="1:7" ht="13">
      <c r="A538" s="158" t="s">
        <v>44</v>
      </c>
      <c r="B538" s="159"/>
      <c r="C538" s="423"/>
      <c r="D538" s="423"/>
      <c r="E538" s="423"/>
      <c r="F538" s="423"/>
      <c r="G538" s="423"/>
    </row>
    <row r="539" spans="1:7" ht="13">
      <c r="A539" s="171" t="s">
        <v>43</v>
      </c>
      <c r="B539" s="172" t="s">
        <v>24</v>
      </c>
      <c r="C539" s="173" t="s">
        <v>42</v>
      </c>
      <c r="D539" s="173" t="s">
        <v>41</v>
      </c>
      <c r="E539" s="173" t="s">
        <v>40</v>
      </c>
      <c r="F539" s="173" t="s">
        <v>39</v>
      </c>
      <c r="G539" s="174" t="s">
        <v>23</v>
      </c>
    </row>
    <row r="540" spans="1:7">
      <c r="A540" s="175" t="s">
        <v>276</v>
      </c>
      <c r="B540" s="176" t="s">
        <v>605</v>
      </c>
      <c r="C540" s="177"/>
      <c r="D540" s="177" t="s">
        <v>38</v>
      </c>
      <c r="E540" s="177" t="s">
        <v>37</v>
      </c>
      <c r="F540" s="177"/>
      <c r="G540" s="178"/>
    </row>
    <row r="542" spans="1:7" ht="13">
      <c r="A542" s="158" t="s">
        <v>24</v>
      </c>
      <c r="B542" s="159"/>
      <c r="C542" s="11" t="str">
        <f>SFLASH.512_ver2!$E$79</f>
        <v>FLASH_BOOT_APP_ID</v>
      </c>
      <c r="D542" s="167"/>
      <c r="E542" s="167"/>
      <c r="F542" s="167"/>
      <c r="G542" s="168"/>
    </row>
    <row r="543" spans="1:7" ht="15.5">
      <c r="A543" s="158" t="s">
        <v>47</v>
      </c>
      <c r="B543" s="159"/>
      <c r="C543" s="188">
        <f>SFLASH.512_ver2!$C$79</f>
        <v>1</v>
      </c>
      <c r="D543" s="167"/>
      <c r="E543" s="167"/>
      <c r="F543" s="167"/>
      <c r="G543" s="168"/>
    </row>
    <row r="544" spans="1:7" ht="15.5">
      <c r="A544" s="158" t="s">
        <v>23</v>
      </c>
      <c r="B544" s="159"/>
      <c r="C544" s="188" t="str">
        <f>SFLASH.512_ver2!$F$79</f>
        <v>Flash Boot - Application ID/Version</v>
      </c>
      <c r="D544" s="169"/>
      <c r="E544" s="169"/>
      <c r="F544" s="167"/>
      <c r="G544" s="170"/>
    </row>
    <row r="545" spans="1:7" ht="13">
      <c r="A545" s="158" t="s">
        <v>29</v>
      </c>
      <c r="B545" s="159"/>
      <c r="C545" s="109"/>
      <c r="D545" s="169"/>
      <c r="E545" s="169"/>
      <c r="F545" s="167"/>
      <c r="G545" s="170"/>
    </row>
    <row r="546" spans="1:7" ht="13">
      <c r="A546" s="158" t="s">
        <v>44</v>
      </c>
      <c r="B546" s="159"/>
      <c r="C546" s="423"/>
      <c r="D546" s="423"/>
      <c r="E546" s="423"/>
      <c r="F546" s="423"/>
      <c r="G546" s="423"/>
    </row>
    <row r="547" spans="1:7" ht="13">
      <c r="A547" s="171" t="s">
        <v>43</v>
      </c>
      <c r="B547" s="172" t="s">
        <v>24</v>
      </c>
      <c r="C547" s="173" t="s">
        <v>42</v>
      </c>
      <c r="D547" s="173" t="s">
        <v>41</v>
      </c>
      <c r="E547" s="173" t="s">
        <v>40</v>
      </c>
      <c r="F547" s="173" t="s">
        <v>39</v>
      </c>
      <c r="G547" s="174" t="s">
        <v>23</v>
      </c>
    </row>
    <row r="548" spans="1:7">
      <c r="A548" s="175" t="s">
        <v>48</v>
      </c>
      <c r="B548" s="176" t="s">
        <v>845</v>
      </c>
      <c r="C548" s="177"/>
      <c r="D548" s="177" t="s">
        <v>38</v>
      </c>
      <c r="E548" s="177" t="s">
        <v>37</v>
      </c>
      <c r="F548" s="177"/>
      <c r="G548" s="178"/>
    </row>
    <row r="549" spans="1:7">
      <c r="A549" s="175" t="s">
        <v>848</v>
      </c>
      <c r="B549" s="176" t="s">
        <v>846</v>
      </c>
      <c r="C549" s="175"/>
      <c r="D549" s="177" t="s">
        <v>38</v>
      </c>
      <c r="E549" s="177" t="s">
        <v>37</v>
      </c>
      <c r="F549" s="175"/>
      <c r="G549" s="175"/>
    </row>
    <row r="550" spans="1:7">
      <c r="A550" s="175" t="s">
        <v>849</v>
      </c>
      <c r="B550" s="176" t="s">
        <v>847</v>
      </c>
      <c r="C550" s="175"/>
      <c r="D550" s="177" t="s">
        <v>38</v>
      </c>
      <c r="E550" s="177" t="s">
        <v>37</v>
      </c>
      <c r="F550" s="175"/>
      <c r="G550" s="175"/>
    </row>
    <row r="552" spans="1:7" ht="13">
      <c r="A552" s="158" t="s">
        <v>24</v>
      </c>
      <c r="B552" s="159"/>
      <c r="C552" s="11" t="str">
        <f>SFLASH.512_ver2!$E$80</f>
        <v>FLASH_BOOT_ATTRIBUTE</v>
      </c>
      <c r="D552" s="167"/>
      <c r="E552" s="167"/>
      <c r="F552" s="167"/>
      <c r="G552" s="168"/>
    </row>
    <row r="553" spans="1:7" ht="15.5">
      <c r="A553" s="158" t="s">
        <v>47</v>
      </c>
      <c r="B553" s="159"/>
      <c r="C553" s="188">
        <f>SFLASH.512_ver2!$C$80</f>
        <v>1</v>
      </c>
      <c r="D553" s="167"/>
      <c r="E553" s="167"/>
      <c r="F553" s="167"/>
      <c r="G553" s="168"/>
    </row>
    <row r="554" spans="1:7" ht="15.5">
      <c r="A554" s="158" t="s">
        <v>23</v>
      </c>
      <c r="B554" s="159"/>
      <c r="C554" s="188" t="str">
        <f>SFLASH.512_ver2!$F$80</f>
        <v>Flash Boot - Reserved for future use. Should be zero for now</v>
      </c>
      <c r="D554" s="169"/>
      <c r="E554" s="169"/>
      <c r="F554" s="167"/>
      <c r="G554" s="170"/>
    </row>
    <row r="555" spans="1:7" ht="13">
      <c r="A555" s="158" t="s">
        <v>29</v>
      </c>
      <c r="B555" s="159"/>
      <c r="C555" s="109" t="s">
        <v>238</v>
      </c>
      <c r="D555" s="169"/>
      <c r="E555" s="169"/>
      <c r="F555" s="167"/>
      <c r="G555" s="170"/>
    </row>
    <row r="556" spans="1:7" ht="13">
      <c r="A556" s="158" t="s">
        <v>44</v>
      </c>
      <c r="B556" s="159"/>
      <c r="C556" s="423"/>
      <c r="D556" s="423"/>
      <c r="E556" s="423"/>
      <c r="F556" s="423"/>
      <c r="G556" s="423"/>
    </row>
    <row r="557" spans="1:7" ht="13">
      <c r="A557" s="171" t="s">
        <v>43</v>
      </c>
      <c r="B557" s="172" t="s">
        <v>24</v>
      </c>
      <c r="C557" s="173" t="s">
        <v>42</v>
      </c>
      <c r="D557" s="173" t="s">
        <v>41</v>
      </c>
      <c r="E557" s="173" t="s">
        <v>40</v>
      </c>
      <c r="F557" s="173" t="s">
        <v>39</v>
      </c>
      <c r="G557" s="174" t="s">
        <v>23</v>
      </c>
    </row>
    <row r="558" spans="1:7">
      <c r="A558" s="175" t="s">
        <v>276</v>
      </c>
      <c r="B558" s="176" t="s">
        <v>605</v>
      </c>
      <c r="C558" s="177"/>
      <c r="D558" s="177" t="s">
        <v>38</v>
      </c>
      <c r="E558" s="177" t="s">
        <v>37</v>
      </c>
      <c r="F558" s="177"/>
      <c r="G558" s="178"/>
    </row>
    <row r="560" spans="1:7" ht="13">
      <c r="A560" s="158" t="s">
        <v>24</v>
      </c>
      <c r="B560" s="159"/>
      <c r="C560" s="11" t="str">
        <f>SFLASH.512_ver2!$E$81</f>
        <v>FLASH_BOOT_N_CORES</v>
      </c>
      <c r="D560" s="167"/>
      <c r="E560" s="167"/>
      <c r="F560" s="167"/>
      <c r="G560" s="168"/>
    </row>
    <row r="561" spans="1:7" ht="15.5">
      <c r="A561" s="158" t="s">
        <v>47</v>
      </c>
      <c r="B561" s="159"/>
      <c r="C561" s="188">
        <f>SFLASH.512_ver2!$C$81</f>
        <v>1</v>
      </c>
      <c r="D561" s="167"/>
      <c r="E561" s="167"/>
      <c r="F561" s="167"/>
      <c r="G561" s="168"/>
    </row>
    <row r="562" spans="1:7" ht="15.5">
      <c r="A562" s="158" t="s">
        <v>23</v>
      </c>
      <c r="B562" s="159"/>
      <c r="C562" s="188" t="str">
        <f>SFLASH.512_ver2!$F$81</f>
        <v>Flash Boot - Number of Cores(N)</v>
      </c>
      <c r="D562" s="169"/>
      <c r="E562" s="169"/>
      <c r="F562" s="167"/>
      <c r="G562" s="170"/>
    </row>
    <row r="563" spans="1:7" ht="13">
      <c r="A563" s="158" t="s">
        <v>29</v>
      </c>
      <c r="B563" s="159"/>
      <c r="C563" s="109" t="s">
        <v>238</v>
      </c>
      <c r="D563" s="169"/>
      <c r="E563" s="169"/>
      <c r="F563" s="167"/>
      <c r="G563" s="170"/>
    </row>
    <row r="564" spans="1:7" ht="13">
      <c r="A564" s="158" t="s">
        <v>44</v>
      </c>
      <c r="B564" s="159"/>
      <c r="C564" s="423"/>
      <c r="D564" s="423"/>
      <c r="E564" s="423"/>
      <c r="F564" s="423"/>
      <c r="G564" s="423"/>
    </row>
    <row r="565" spans="1:7" ht="13">
      <c r="A565" s="171" t="s">
        <v>43</v>
      </c>
      <c r="B565" s="172" t="s">
        <v>24</v>
      </c>
      <c r="C565" s="173" t="s">
        <v>42</v>
      </c>
      <c r="D565" s="173" t="s">
        <v>41</v>
      </c>
      <c r="E565" s="173" t="s">
        <v>40</v>
      </c>
      <c r="F565" s="173" t="s">
        <v>39</v>
      </c>
      <c r="G565" s="174" t="s">
        <v>23</v>
      </c>
    </row>
    <row r="566" spans="1:7">
      <c r="A566" s="175" t="s">
        <v>276</v>
      </c>
      <c r="B566" s="176" t="s">
        <v>605</v>
      </c>
      <c r="C566" s="177"/>
      <c r="D566" s="177" t="s">
        <v>38</v>
      </c>
      <c r="E566" s="177" t="s">
        <v>37</v>
      </c>
      <c r="F566" s="177"/>
      <c r="G566" s="178"/>
    </row>
    <row r="568" spans="1:7" ht="13">
      <c r="A568" s="158" t="s">
        <v>24</v>
      </c>
      <c r="B568" s="159"/>
      <c r="C568" s="11" t="str">
        <f>SFLASH.512_ver2!$E$82</f>
        <v>FLASH_BOOT_VT_OFFSET</v>
      </c>
      <c r="D568" s="167"/>
      <c r="E568" s="167"/>
      <c r="F568" s="167"/>
      <c r="G568" s="168"/>
    </row>
    <row r="569" spans="1:7" ht="15.5">
      <c r="A569" s="158" t="s">
        <v>47</v>
      </c>
      <c r="B569" s="159"/>
      <c r="C569" s="188">
        <f>SFLASH.512_ver2!$C$82</f>
        <v>1</v>
      </c>
      <c r="D569" s="167"/>
      <c r="E569" s="167"/>
      <c r="F569" s="167"/>
      <c r="G569" s="168"/>
    </row>
    <row r="570" spans="1:7" ht="15.5">
      <c r="A570" s="158" t="s">
        <v>23</v>
      </c>
      <c r="B570" s="159"/>
      <c r="C570" s="188" t="str">
        <f>SFLASH.512_ver2!$F$82</f>
        <v>Flash Boot - Core Vector Table offset</v>
      </c>
      <c r="D570" s="169"/>
      <c r="E570" s="169"/>
      <c r="F570" s="167"/>
      <c r="G570" s="170"/>
    </row>
    <row r="571" spans="1:7" ht="13">
      <c r="A571" s="158" t="s">
        <v>29</v>
      </c>
      <c r="B571" s="159"/>
      <c r="C571" s="109" t="s">
        <v>238</v>
      </c>
      <c r="D571" s="169"/>
      <c r="E571" s="169"/>
      <c r="F571" s="167"/>
      <c r="G571" s="170"/>
    </row>
    <row r="572" spans="1:7" ht="13">
      <c r="A572" s="158" t="s">
        <v>44</v>
      </c>
      <c r="B572" s="159"/>
      <c r="C572" s="423"/>
      <c r="D572" s="423"/>
      <c r="E572" s="423"/>
      <c r="F572" s="423"/>
      <c r="G572" s="423"/>
    </row>
    <row r="573" spans="1:7" ht="13">
      <c r="A573" s="171" t="s">
        <v>43</v>
      </c>
      <c r="B573" s="172" t="s">
        <v>24</v>
      </c>
      <c r="C573" s="173" t="s">
        <v>42</v>
      </c>
      <c r="D573" s="173" t="s">
        <v>41</v>
      </c>
      <c r="E573" s="173" t="s">
        <v>40</v>
      </c>
      <c r="F573" s="173" t="s">
        <v>39</v>
      </c>
      <c r="G573" s="174" t="s">
        <v>23</v>
      </c>
    </row>
    <row r="574" spans="1:7">
      <c r="A574" s="175" t="s">
        <v>276</v>
      </c>
      <c r="B574" s="176" t="s">
        <v>605</v>
      </c>
      <c r="C574" s="177"/>
      <c r="D574" s="177" t="s">
        <v>38</v>
      </c>
      <c r="E574" s="177" t="s">
        <v>37</v>
      </c>
      <c r="F574" s="177"/>
      <c r="G574" s="178"/>
    </row>
    <row r="576" spans="1:7" ht="13">
      <c r="A576" s="158" t="s">
        <v>24</v>
      </c>
      <c r="B576" s="159"/>
      <c r="C576" s="11" t="str">
        <f>SFLASH.512_ver2!$E$83</f>
        <v>FLASH_BOOT_CORE_CPUID</v>
      </c>
      <c r="D576" s="167"/>
      <c r="E576" s="167"/>
      <c r="F576" s="167"/>
      <c r="G576" s="168"/>
    </row>
    <row r="577" spans="1:7" ht="15.5">
      <c r="A577" s="158" t="s">
        <v>47</v>
      </c>
      <c r="B577" s="159"/>
      <c r="C577" s="188">
        <f>SFLASH.512_ver2!$C$83</f>
        <v>1</v>
      </c>
      <c r="D577" s="167"/>
      <c r="E577" s="167"/>
      <c r="F577" s="167"/>
      <c r="G577" s="168"/>
    </row>
    <row r="578" spans="1:7" ht="15.5">
      <c r="A578" s="158" t="s">
        <v>23</v>
      </c>
      <c r="B578" s="159"/>
      <c r="C578" s="188" t="str">
        <f>SFLASH.512_ver2!$F$83</f>
        <v>Flash Boot - Core CPU ID/Core Index</v>
      </c>
      <c r="D578" s="169"/>
      <c r="E578" s="169"/>
      <c r="F578" s="167"/>
      <c r="G578" s="170"/>
    </row>
    <row r="579" spans="1:7" ht="13">
      <c r="A579" s="158" t="s">
        <v>29</v>
      </c>
      <c r="B579" s="159"/>
      <c r="C579" s="109" t="s">
        <v>238</v>
      </c>
      <c r="D579" s="169"/>
      <c r="E579" s="169"/>
      <c r="F579" s="167"/>
      <c r="G579" s="170"/>
    </row>
    <row r="580" spans="1:7" ht="13">
      <c r="A580" s="158" t="s">
        <v>44</v>
      </c>
      <c r="B580" s="159"/>
      <c r="C580" s="423"/>
      <c r="D580" s="423"/>
      <c r="E580" s="423"/>
      <c r="F580" s="423"/>
      <c r="G580" s="423"/>
    </row>
    <row r="581" spans="1:7" ht="13">
      <c r="A581" s="171" t="s">
        <v>43</v>
      </c>
      <c r="B581" s="172" t="s">
        <v>24</v>
      </c>
      <c r="C581" s="173" t="s">
        <v>42</v>
      </c>
      <c r="D581" s="173" t="s">
        <v>41</v>
      </c>
      <c r="E581" s="173" t="s">
        <v>40</v>
      </c>
      <c r="F581" s="173" t="s">
        <v>39</v>
      </c>
      <c r="G581" s="174" t="s">
        <v>23</v>
      </c>
    </row>
    <row r="582" spans="1:7">
      <c r="A582" s="175" t="s">
        <v>276</v>
      </c>
      <c r="B582" s="176" t="s">
        <v>605</v>
      </c>
      <c r="C582" s="177"/>
      <c r="D582" s="177" t="s">
        <v>38</v>
      </c>
      <c r="E582" s="177" t="s">
        <v>37</v>
      </c>
      <c r="F582" s="177"/>
      <c r="G582" s="178"/>
    </row>
    <row r="584" spans="1:7" ht="13">
      <c r="A584" s="158" t="s">
        <v>24</v>
      </c>
      <c r="B584" s="159"/>
      <c r="C584" s="11" t="str">
        <f>SFLASH.512_ver2!$E$84</f>
        <v>FLASH_BOOT_VERSION_LOW</v>
      </c>
      <c r="D584" s="167"/>
      <c r="E584" s="167"/>
      <c r="F584" s="167"/>
      <c r="G584" s="168"/>
    </row>
    <row r="585" spans="1:7" ht="15.5">
      <c r="A585" s="158" t="s">
        <v>47</v>
      </c>
      <c r="B585" s="159"/>
      <c r="C585" s="188">
        <f>SFLASH.512_ver2!$C$84</f>
        <v>1</v>
      </c>
      <c r="D585" s="167"/>
      <c r="E585" s="167"/>
      <c r="F585" s="167"/>
      <c r="G585" s="168"/>
    </row>
    <row r="586" spans="1:7" ht="15.5">
      <c r="A586" s="158" t="s">
        <v>23</v>
      </c>
      <c r="B586" s="159"/>
      <c r="C586" s="188" t="str">
        <f>SFLASH.512_ver2!$F$84</f>
        <v>Flash Boot - Version Low</v>
      </c>
      <c r="D586" s="169"/>
      <c r="E586" s="169"/>
      <c r="F586" s="167"/>
      <c r="G586" s="170"/>
    </row>
    <row r="587" spans="1:7" ht="13">
      <c r="A587" s="158" t="s">
        <v>29</v>
      </c>
      <c r="B587" s="159"/>
      <c r="C587" s="109"/>
      <c r="D587" s="169"/>
      <c r="E587" s="169"/>
      <c r="F587" s="167"/>
      <c r="G587" s="170"/>
    </row>
    <row r="588" spans="1:7" ht="13">
      <c r="A588" s="158" t="s">
        <v>44</v>
      </c>
      <c r="B588" s="159"/>
      <c r="C588" s="423"/>
      <c r="D588" s="423"/>
      <c r="E588" s="423"/>
      <c r="F588" s="423"/>
      <c r="G588" s="423"/>
    </row>
    <row r="589" spans="1:7" ht="13">
      <c r="A589" s="171" t="s">
        <v>43</v>
      </c>
      <c r="B589" s="172" t="s">
        <v>24</v>
      </c>
      <c r="C589" s="173" t="s">
        <v>42</v>
      </c>
      <c r="D589" s="173" t="s">
        <v>41</v>
      </c>
      <c r="E589" s="173" t="s">
        <v>40</v>
      </c>
      <c r="F589" s="173" t="s">
        <v>39</v>
      </c>
      <c r="G589" s="174" t="s">
        <v>23</v>
      </c>
    </row>
    <row r="590" spans="1:7">
      <c r="A590" s="175" t="s">
        <v>276</v>
      </c>
      <c r="B590" s="176" t="s">
        <v>605</v>
      </c>
      <c r="C590" s="177"/>
      <c r="D590" s="177" t="s">
        <v>38</v>
      </c>
      <c r="E590" s="177" t="s">
        <v>37</v>
      </c>
      <c r="F590" s="177"/>
      <c r="G590" s="178"/>
    </row>
    <row r="591" spans="1:7">
      <c r="A591" s="179"/>
      <c r="B591" s="208"/>
      <c r="C591" s="167"/>
      <c r="D591" s="167"/>
      <c r="E591" s="167"/>
      <c r="F591" s="167"/>
      <c r="G591" s="168"/>
    </row>
    <row r="592" spans="1:7" ht="13">
      <c r="A592" s="158" t="s">
        <v>24</v>
      </c>
      <c r="B592" s="159"/>
      <c r="C592" s="11" t="str">
        <f>SFLASH.512_ver2!$E$85</f>
        <v>FLASH_BOOT_FAMILY_ID</v>
      </c>
      <c r="D592" s="167"/>
      <c r="E592" s="167"/>
      <c r="F592" s="167"/>
      <c r="G592" s="168"/>
    </row>
    <row r="593" spans="1:7" ht="15.5">
      <c r="A593" s="158" t="s">
        <v>47</v>
      </c>
      <c r="B593" s="159"/>
      <c r="C593" s="188">
        <f>SFLASH.512_ver2!$C$85</f>
        <v>1</v>
      </c>
      <c r="D593" s="167"/>
      <c r="E593" s="167"/>
      <c r="F593" s="167"/>
      <c r="G593" s="168"/>
    </row>
    <row r="594" spans="1:7" ht="15.5">
      <c r="A594" s="158" t="s">
        <v>23</v>
      </c>
      <c r="B594" s="159"/>
      <c r="C594" s="188" t="str">
        <f>SFLASH.512_ver2!$F$85</f>
        <v>Flash Boot - Family ID</v>
      </c>
      <c r="D594" s="169"/>
      <c r="E594" s="169"/>
      <c r="F594" s="167"/>
      <c r="G594" s="170"/>
    </row>
    <row r="595" spans="1:7" ht="13">
      <c r="A595" s="158" t="s">
        <v>29</v>
      </c>
      <c r="B595" s="159"/>
      <c r="C595" s="109"/>
      <c r="D595" s="169"/>
      <c r="E595" s="169"/>
      <c r="F595" s="167"/>
      <c r="G595" s="170"/>
    </row>
    <row r="596" spans="1:7" ht="13">
      <c r="A596" s="158" t="s">
        <v>44</v>
      </c>
      <c r="B596" s="159"/>
      <c r="C596" s="423"/>
      <c r="D596" s="423"/>
      <c r="E596" s="423"/>
      <c r="F596" s="423"/>
      <c r="G596" s="423"/>
    </row>
    <row r="597" spans="1:7" ht="13">
      <c r="A597" s="171" t="s">
        <v>43</v>
      </c>
      <c r="B597" s="172" t="s">
        <v>24</v>
      </c>
      <c r="C597" s="173" t="s">
        <v>42</v>
      </c>
      <c r="D597" s="173" t="s">
        <v>41</v>
      </c>
      <c r="E597" s="173" t="s">
        <v>40</v>
      </c>
      <c r="F597" s="173" t="s">
        <v>39</v>
      </c>
      <c r="G597" s="174" t="s">
        <v>23</v>
      </c>
    </row>
    <row r="598" spans="1:7">
      <c r="A598" s="175" t="s">
        <v>276</v>
      </c>
      <c r="B598" s="176" t="s">
        <v>605</v>
      </c>
      <c r="C598" s="177"/>
      <c r="D598" s="177" t="s">
        <v>38</v>
      </c>
      <c r="E598" s="177" t="s">
        <v>37</v>
      </c>
      <c r="F598" s="177"/>
      <c r="G598" s="178"/>
    </row>
    <row r="600" spans="1:7" ht="13">
      <c r="A600" s="158" t="s">
        <v>24</v>
      </c>
      <c r="B600" s="159"/>
      <c r="C600" s="11" t="str">
        <f>SFLASH.512_ver2!$E$86</f>
        <v>FLASH_BOOT_MSP</v>
      </c>
      <c r="D600" s="167"/>
      <c r="E600" s="167"/>
      <c r="F600" s="167"/>
      <c r="G600" s="168"/>
    </row>
    <row r="601" spans="1:7" ht="15.5">
      <c r="A601" s="158" t="s">
        <v>47</v>
      </c>
      <c r="B601" s="159"/>
      <c r="C601" s="188">
        <f>SFLASH.512_ver2!$C$86</f>
        <v>1</v>
      </c>
      <c r="D601" s="167"/>
      <c r="E601" s="167"/>
      <c r="F601" s="167"/>
      <c r="G601" s="168"/>
    </row>
    <row r="602" spans="1:7" ht="15.5">
      <c r="A602" s="158" t="s">
        <v>23</v>
      </c>
      <c r="B602" s="159"/>
      <c r="C602" s="188" t="str">
        <f>SFLASH.512_ver2!$F$86</f>
        <v>Flash Boot - MSP</v>
      </c>
      <c r="D602" s="169"/>
      <c r="E602" s="169"/>
      <c r="F602" s="167"/>
      <c r="G602" s="170"/>
    </row>
    <row r="603" spans="1:7" ht="13">
      <c r="A603" s="158" t="s">
        <v>29</v>
      </c>
      <c r="B603" s="159"/>
      <c r="C603" s="109" t="s">
        <v>238</v>
      </c>
      <c r="D603" s="169"/>
      <c r="E603" s="169"/>
      <c r="F603" s="167"/>
      <c r="G603" s="170"/>
    </row>
    <row r="604" spans="1:7" ht="13">
      <c r="A604" s="158" t="s">
        <v>44</v>
      </c>
      <c r="B604" s="159"/>
      <c r="C604" s="423"/>
      <c r="D604" s="423"/>
      <c r="E604" s="423"/>
      <c r="F604" s="423"/>
      <c r="G604" s="423"/>
    </row>
    <row r="605" spans="1:7" ht="13">
      <c r="A605" s="171" t="s">
        <v>43</v>
      </c>
      <c r="B605" s="172" t="s">
        <v>24</v>
      </c>
      <c r="C605" s="173" t="s">
        <v>42</v>
      </c>
      <c r="D605" s="173" t="s">
        <v>41</v>
      </c>
      <c r="E605" s="173" t="s">
        <v>40</v>
      </c>
      <c r="F605" s="173" t="s">
        <v>39</v>
      </c>
      <c r="G605" s="174" t="s">
        <v>23</v>
      </c>
    </row>
    <row r="606" spans="1:7">
      <c r="A606" s="175" t="s">
        <v>276</v>
      </c>
      <c r="B606" s="176" t="s">
        <v>605</v>
      </c>
      <c r="C606" s="177"/>
      <c r="D606" s="177" t="s">
        <v>38</v>
      </c>
      <c r="E606" s="177" t="s">
        <v>37</v>
      </c>
      <c r="F606" s="177"/>
      <c r="G606" s="178"/>
    </row>
    <row r="608" spans="1:7" ht="13">
      <c r="A608" s="158" t="s">
        <v>24</v>
      </c>
      <c r="B608" s="159"/>
      <c r="C608" s="11" t="str">
        <f>SFLASH.512_ver2!$E$87</f>
        <v>FLASH_BOOT_PC</v>
      </c>
      <c r="D608" s="167"/>
      <c r="E608" s="167"/>
      <c r="F608" s="167"/>
      <c r="G608" s="168"/>
    </row>
    <row r="609" spans="1:7" ht="15.5">
      <c r="A609" s="158" t="s">
        <v>47</v>
      </c>
      <c r="B609" s="159"/>
      <c r="C609" s="188">
        <f>SFLASH.512_ver2!$C$87</f>
        <v>1</v>
      </c>
      <c r="D609" s="167"/>
      <c r="E609" s="167"/>
      <c r="F609" s="167"/>
      <c r="G609" s="168"/>
    </row>
    <row r="610" spans="1:7" ht="15.5">
      <c r="A610" s="158" t="s">
        <v>23</v>
      </c>
      <c r="B610" s="159"/>
      <c r="C610" s="188" t="str">
        <f>SFLASH.512_ver2!$F$87</f>
        <v>Flash Boot - PC</v>
      </c>
      <c r="D610" s="169"/>
      <c r="E610" s="169"/>
      <c r="F610" s="167"/>
      <c r="G610" s="170"/>
    </row>
    <row r="611" spans="1:7" ht="13">
      <c r="A611" s="158" t="s">
        <v>29</v>
      </c>
      <c r="B611" s="159"/>
      <c r="C611" s="109" t="s">
        <v>238</v>
      </c>
      <c r="D611" s="169"/>
      <c r="E611" s="169"/>
      <c r="F611" s="167"/>
      <c r="G611" s="170"/>
    </row>
    <row r="612" spans="1:7" ht="13">
      <c r="A612" s="158" t="s">
        <v>44</v>
      </c>
      <c r="B612" s="159"/>
      <c r="C612" s="423"/>
      <c r="D612" s="423"/>
      <c r="E612" s="423"/>
      <c r="F612" s="423"/>
      <c r="G612" s="423"/>
    </row>
    <row r="613" spans="1:7" ht="13">
      <c r="A613" s="171" t="s">
        <v>43</v>
      </c>
      <c r="B613" s="172" t="s">
        <v>24</v>
      </c>
      <c r="C613" s="173" t="s">
        <v>42</v>
      </c>
      <c r="D613" s="173" t="s">
        <v>41</v>
      </c>
      <c r="E613" s="173" t="s">
        <v>40</v>
      </c>
      <c r="F613" s="173" t="s">
        <v>39</v>
      </c>
      <c r="G613" s="174" t="s">
        <v>23</v>
      </c>
    </row>
    <row r="614" spans="1:7">
      <c r="A614" s="175" t="s">
        <v>276</v>
      </c>
      <c r="B614" s="176" t="s">
        <v>605</v>
      </c>
      <c r="C614" s="177"/>
      <c r="D614" s="177" t="s">
        <v>38</v>
      </c>
      <c r="E614" s="177" t="s">
        <v>37</v>
      </c>
      <c r="F614" s="177"/>
      <c r="G614" s="178"/>
    </row>
    <row r="615" spans="1:7">
      <c r="A615" s="179"/>
      <c r="B615" s="208"/>
      <c r="C615" s="167"/>
      <c r="D615" s="167"/>
      <c r="E615" s="167"/>
      <c r="F615" s="167"/>
      <c r="G615" s="168"/>
    </row>
    <row r="616" spans="1:7" ht="13">
      <c r="A616" s="158" t="s">
        <v>24</v>
      </c>
      <c r="B616" s="159"/>
      <c r="C616" s="11" t="str">
        <f>SFLASH.512_ver2!$E$88</f>
        <v>FLASH_BOOT_CODE_DATA</v>
      </c>
      <c r="D616" s="167"/>
      <c r="E616" s="167"/>
      <c r="F616" s="167"/>
      <c r="G616" s="168"/>
    </row>
    <row r="617" spans="1:7" ht="15.5">
      <c r="A617" s="158" t="s">
        <v>47</v>
      </c>
      <c r="B617" s="159"/>
      <c r="C617" s="188">
        <f>SFLASH.512_ver2!$C$88</f>
        <v>17368</v>
      </c>
      <c r="D617" s="167"/>
      <c r="E617" s="167"/>
      <c r="F617" s="167"/>
      <c r="G617" s="168"/>
    </row>
    <row r="618" spans="1:7" ht="15.5">
      <c r="A618" s="158" t="s">
        <v>23</v>
      </c>
      <c r="B618" s="159"/>
      <c r="C618" s="188" t="str">
        <f>SFLASH.512_ver2!$F$88</f>
        <v>Flash Boot - Code and Data</v>
      </c>
      <c r="D618" s="169"/>
      <c r="E618" s="169"/>
      <c r="F618" s="167"/>
      <c r="G618" s="170"/>
    </row>
    <row r="619" spans="1:7" ht="13">
      <c r="A619" s="158" t="s">
        <v>29</v>
      </c>
      <c r="B619" s="159"/>
      <c r="C619" s="109" t="s">
        <v>238</v>
      </c>
      <c r="D619" s="169"/>
      <c r="E619" s="169"/>
      <c r="F619" s="167"/>
      <c r="G619" s="170"/>
    </row>
    <row r="620" spans="1:7" ht="13">
      <c r="A620" s="158" t="s">
        <v>44</v>
      </c>
      <c r="B620" s="159"/>
      <c r="C620" s="423"/>
      <c r="D620" s="423"/>
      <c r="E620" s="423"/>
      <c r="F620" s="423"/>
      <c r="G620" s="423"/>
    </row>
    <row r="621" spans="1:7" ht="13">
      <c r="A621" s="171" t="s">
        <v>43</v>
      </c>
      <c r="B621" s="172" t="s">
        <v>24</v>
      </c>
      <c r="C621" s="173" t="s">
        <v>42</v>
      </c>
      <c r="D621" s="173" t="s">
        <v>41</v>
      </c>
      <c r="E621" s="173" t="s">
        <v>40</v>
      </c>
      <c r="F621" s="173" t="s">
        <v>39</v>
      </c>
      <c r="G621" s="174" t="s">
        <v>23</v>
      </c>
    </row>
    <row r="622" spans="1:7">
      <c r="A622" s="175" t="s">
        <v>45</v>
      </c>
      <c r="B622" s="176" t="s">
        <v>182</v>
      </c>
      <c r="C622" s="177"/>
      <c r="D622" s="177" t="s">
        <v>38</v>
      </c>
      <c r="E622" s="177" t="s">
        <v>37</v>
      </c>
      <c r="F622" s="177"/>
      <c r="G622" s="178"/>
    </row>
    <row r="624" spans="1:7" ht="13">
      <c r="A624" s="158" t="s">
        <v>24</v>
      </c>
      <c r="B624" s="159"/>
      <c r="C624" s="11" t="str">
        <f>SFLASH.512_ver2!$E$89</f>
        <v>PUBLIC_KEY</v>
      </c>
      <c r="D624" s="167"/>
      <c r="E624" s="167"/>
      <c r="F624" s="167"/>
      <c r="G624" s="168"/>
    </row>
    <row r="625" spans="1:7" ht="15.5">
      <c r="A625" s="158" t="s">
        <v>47</v>
      </c>
      <c r="B625" s="159"/>
      <c r="C625" s="188">
        <f>SFLASH.512_ver2!$C$89</f>
        <v>3072</v>
      </c>
      <c r="D625" s="167"/>
      <c r="E625" s="167"/>
      <c r="F625" s="167"/>
      <c r="G625" s="168"/>
    </row>
    <row r="626" spans="1:7" ht="15.5">
      <c r="A626" s="158" t="s">
        <v>23</v>
      </c>
      <c r="B626" s="159"/>
      <c r="C626" s="188" t="str">
        <f>SFLASH.512_ver2!$F$89</f>
        <v>Public key for signature verification (max RSA key size 4096)</v>
      </c>
      <c r="D626" s="169"/>
      <c r="E626" s="169"/>
      <c r="F626" s="167"/>
      <c r="G626" s="170"/>
    </row>
    <row r="627" spans="1:7" ht="13">
      <c r="A627" s="158" t="s">
        <v>44</v>
      </c>
      <c r="B627" s="159"/>
      <c r="C627" s="423"/>
      <c r="D627" s="423"/>
      <c r="E627" s="423"/>
      <c r="F627" s="423"/>
      <c r="G627" s="423"/>
    </row>
    <row r="628" spans="1:7" ht="13">
      <c r="A628" s="171" t="s">
        <v>43</v>
      </c>
      <c r="B628" s="172" t="s">
        <v>24</v>
      </c>
      <c r="C628" s="173" t="s">
        <v>42</v>
      </c>
      <c r="D628" s="173" t="s">
        <v>41</v>
      </c>
      <c r="E628" s="173" t="s">
        <v>40</v>
      </c>
      <c r="F628" s="173" t="s">
        <v>39</v>
      </c>
      <c r="G628" s="174" t="s">
        <v>23</v>
      </c>
    </row>
    <row r="629" spans="1:7">
      <c r="A629" s="175" t="s">
        <v>45</v>
      </c>
      <c r="B629" s="176" t="s">
        <v>182</v>
      </c>
      <c r="C629" s="177"/>
      <c r="D629" s="177" t="s">
        <v>38</v>
      </c>
      <c r="E629" s="177" t="s">
        <v>37</v>
      </c>
      <c r="F629" s="177"/>
      <c r="G629" s="178"/>
    </row>
    <row r="631" spans="1:7" ht="13">
      <c r="A631" s="158" t="s">
        <v>24</v>
      </c>
      <c r="B631" s="159"/>
      <c r="C631" s="11" t="str">
        <f>SFLASH.512_ver2!$E$90</f>
        <v>BOOT_PROT_SETTINGS</v>
      </c>
      <c r="D631" s="167"/>
      <c r="E631" s="167"/>
      <c r="F631" s="167"/>
      <c r="G631" s="168"/>
    </row>
    <row r="632" spans="1:7" ht="15.5">
      <c r="A632" s="158" t="s">
        <v>47</v>
      </c>
      <c r="B632" s="159"/>
      <c r="C632" s="188">
        <f>SFLASH.512_ver2!$C$90</f>
        <v>384</v>
      </c>
      <c r="D632" s="167"/>
      <c r="E632" s="167"/>
      <c r="F632" s="167"/>
      <c r="G632" s="168"/>
    </row>
    <row r="633" spans="1:7" ht="15.5">
      <c r="A633" s="158" t="s">
        <v>23</v>
      </c>
      <c r="B633" s="159"/>
      <c r="C633" s="188" t="str">
        <f>SFLASH.512_ver2!$F$90</f>
        <v>Boot protection settings (4*384=1536 bytes)</v>
      </c>
      <c r="D633" s="169"/>
      <c r="E633" s="169"/>
      <c r="F633" s="167"/>
      <c r="G633" s="170"/>
    </row>
    <row r="634" spans="1:7" ht="13">
      <c r="A634" s="158" t="s">
        <v>29</v>
      </c>
      <c r="B634" s="159"/>
      <c r="C634" s="109" t="s">
        <v>238</v>
      </c>
      <c r="D634" s="169"/>
      <c r="E634" s="169"/>
      <c r="F634" s="167"/>
      <c r="G634" s="170"/>
    </row>
    <row r="635" spans="1:7" ht="13">
      <c r="A635" s="158" t="s">
        <v>44</v>
      </c>
      <c r="B635" s="159"/>
      <c r="C635" s="423"/>
      <c r="D635" s="423"/>
      <c r="E635" s="423"/>
      <c r="F635" s="423"/>
      <c r="G635" s="423"/>
    </row>
    <row r="636" spans="1:7" ht="13">
      <c r="A636" s="171" t="s">
        <v>43</v>
      </c>
      <c r="B636" s="172" t="s">
        <v>24</v>
      </c>
      <c r="C636" s="173" t="s">
        <v>42</v>
      </c>
      <c r="D636" s="173" t="s">
        <v>41</v>
      </c>
      <c r="E636" s="173" t="s">
        <v>40</v>
      </c>
      <c r="F636" s="173" t="s">
        <v>39</v>
      </c>
      <c r="G636" s="174" t="s">
        <v>23</v>
      </c>
    </row>
    <row r="637" spans="1:7">
      <c r="A637" s="175" t="s">
        <v>276</v>
      </c>
      <c r="B637" s="176" t="s">
        <v>605</v>
      </c>
      <c r="C637" s="177"/>
      <c r="D637" s="177" t="s">
        <v>38</v>
      </c>
      <c r="E637" s="177" t="s">
        <v>37</v>
      </c>
      <c r="F637" s="177"/>
      <c r="G637" s="178"/>
    </row>
    <row r="639" spans="1:7" ht="13">
      <c r="A639" s="158" t="s">
        <v>24</v>
      </c>
      <c r="B639" s="159"/>
      <c r="C639" s="11" t="str">
        <f>SFLASH.512_ver2!$E$91</f>
        <v>APP_PROT_SETTINGS</v>
      </c>
      <c r="D639" s="167"/>
      <c r="E639" s="167"/>
      <c r="F639" s="167"/>
      <c r="G639" s="168"/>
    </row>
    <row r="640" spans="1:7" ht="15.5">
      <c r="A640" s="158" t="s">
        <v>47</v>
      </c>
      <c r="B640" s="159"/>
      <c r="C640" s="188">
        <f>SFLASH.512_ver2!$C$91</f>
        <v>128</v>
      </c>
      <c r="D640" s="167"/>
      <c r="E640" s="167"/>
      <c r="F640" s="167"/>
      <c r="G640" s="168"/>
    </row>
    <row r="641" spans="1:7" ht="15.5">
      <c r="A641" s="158" t="s">
        <v>23</v>
      </c>
      <c r="B641" s="159"/>
      <c r="C641" s="188" t="str">
        <f>SFLASH.512_ver2!$F$91</f>
        <v>Application protection settings (4*128=512 bytes)</v>
      </c>
      <c r="D641" s="169"/>
      <c r="E641" s="169"/>
      <c r="F641" s="167"/>
      <c r="G641" s="170"/>
    </row>
    <row r="642" spans="1:7" ht="13">
      <c r="A642" s="158" t="s">
        <v>44</v>
      </c>
      <c r="B642" s="159"/>
      <c r="C642" s="423"/>
      <c r="D642" s="423"/>
      <c r="E642" s="423"/>
      <c r="F642" s="423"/>
      <c r="G642" s="423"/>
    </row>
    <row r="643" spans="1:7" ht="13">
      <c r="A643" s="171" t="s">
        <v>43</v>
      </c>
      <c r="B643" s="172" t="s">
        <v>24</v>
      </c>
      <c r="C643" s="173" t="s">
        <v>42</v>
      </c>
      <c r="D643" s="173" t="s">
        <v>41</v>
      </c>
      <c r="E643" s="173" t="s">
        <v>40</v>
      </c>
      <c r="F643" s="173" t="s">
        <v>39</v>
      </c>
      <c r="G643" s="174" t="s">
        <v>23</v>
      </c>
    </row>
    <row r="644" spans="1:7">
      <c r="A644" s="175" t="s">
        <v>276</v>
      </c>
      <c r="B644" s="176" t="s">
        <v>605</v>
      </c>
      <c r="C644" s="177"/>
      <c r="D644" s="177" t="s">
        <v>38</v>
      </c>
      <c r="E644" s="177" t="s">
        <v>37</v>
      </c>
      <c r="F644" s="177"/>
      <c r="G644" s="178"/>
    </row>
    <row r="646" spans="1:7" ht="13">
      <c r="A646" s="158" t="s">
        <v>24</v>
      </c>
      <c r="B646" s="159"/>
      <c r="C646" s="11" t="str">
        <f>SFLASH.512_ver2!$E$92</f>
        <v>TOC1_OBJECT_SIZE</v>
      </c>
      <c r="D646" s="167"/>
      <c r="E646" s="167"/>
      <c r="F646" s="167"/>
      <c r="G646" s="168"/>
    </row>
    <row r="647" spans="1:7" ht="15.5">
      <c r="A647" s="158" t="s">
        <v>47</v>
      </c>
      <c r="B647" s="159"/>
      <c r="C647" s="188">
        <f>SFLASH.512_ver2!$C$92</f>
        <v>1</v>
      </c>
      <c r="D647" s="167"/>
      <c r="E647" s="167"/>
      <c r="F647" s="167"/>
      <c r="G647" s="168"/>
    </row>
    <row r="648" spans="1:7" ht="15.5">
      <c r="A648" s="158" t="s">
        <v>23</v>
      </c>
      <c r="B648" s="159"/>
      <c r="C648" s="188" t="str">
        <f>SFLASH.512_ver2!$F$92</f>
        <v>Object size in bytes for CRC calculation starting from offset 0x00</v>
      </c>
      <c r="D648" s="169"/>
      <c r="E648" s="169"/>
      <c r="F648" s="167"/>
      <c r="G648" s="170"/>
    </row>
    <row r="649" spans="1:7" ht="13">
      <c r="A649" s="158" t="s">
        <v>29</v>
      </c>
      <c r="B649" s="159"/>
      <c r="C649" s="381" t="s">
        <v>238</v>
      </c>
      <c r="D649" s="169"/>
      <c r="E649" s="169"/>
      <c r="F649" s="167"/>
      <c r="G649" s="170"/>
    </row>
    <row r="650" spans="1:7" ht="13">
      <c r="A650" s="158" t="s">
        <v>44</v>
      </c>
      <c r="B650" s="159"/>
      <c r="C650" s="423"/>
      <c r="D650" s="423"/>
      <c r="E650" s="423"/>
      <c r="F650" s="423"/>
      <c r="G650" s="423"/>
    </row>
    <row r="651" spans="1:7" ht="13">
      <c r="A651" s="171" t="s">
        <v>43</v>
      </c>
      <c r="B651" s="172" t="s">
        <v>24</v>
      </c>
      <c r="C651" s="173" t="s">
        <v>42</v>
      </c>
      <c r="D651" s="173" t="s">
        <v>41</v>
      </c>
      <c r="E651" s="173" t="s">
        <v>40</v>
      </c>
      <c r="F651" s="173" t="s">
        <v>39</v>
      </c>
      <c r="G651" s="174" t="s">
        <v>23</v>
      </c>
    </row>
    <row r="652" spans="1:7">
      <c r="A652" s="175" t="s">
        <v>276</v>
      </c>
      <c r="B652" s="176" t="s">
        <v>605</v>
      </c>
      <c r="C652" s="177"/>
      <c r="D652" s="177" t="s">
        <v>38</v>
      </c>
      <c r="E652" s="177" t="s">
        <v>37</v>
      </c>
      <c r="F652" s="177"/>
      <c r="G652" s="178"/>
    </row>
    <row r="654" spans="1:7" ht="13">
      <c r="A654" s="158" t="s">
        <v>24</v>
      </c>
      <c r="B654" s="159"/>
      <c r="C654" s="11" t="str">
        <f>SFLASH.512_ver2!$E$93</f>
        <v>TOC1_MAGIC_NUMBER</v>
      </c>
      <c r="D654" s="167"/>
      <c r="E654" s="167"/>
      <c r="F654" s="167"/>
      <c r="G654" s="168"/>
    </row>
    <row r="655" spans="1:7" ht="15.5">
      <c r="A655" s="158" t="s">
        <v>47</v>
      </c>
      <c r="B655" s="159"/>
      <c r="C655" s="188">
        <f>SFLASH.512_ver2!$C$93</f>
        <v>1</v>
      </c>
      <c r="D655" s="167"/>
      <c r="E655" s="167"/>
      <c r="F655" s="167"/>
      <c r="G655" s="168"/>
    </row>
    <row r="656" spans="1:7" ht="15.5">
      <c r="A656" s="158" t="s">
        <v>23</v>
      </c>
      <c r="B656" s="159"/>
      <c r="C656" s="188" t="str">
        <f>SFLASH.512_ver2!$F$93</f>
        <v>Magic number(0x01211219)</v>
      </c>
      <c r="D656" s="169"/>
      <c r="E656" s="169"/>
      <c r="F656" s="167"/>
      <c r="G656" s="170"/>
    </row>
    <row r="657" spans="1:7" ht="13">
      <c r="A657" s="158" t="s">
        <v>29</v>
      </c>
      <c r="B657" s="159"/>
      <c r="C657" s="381" t="s">
        <v>238</v>
      </c>
      <c r="D657" s="169"/>
      <c r="E657" s="169"/>
      <c r="F657" s="167"/>
      <c r="G657" s="170"/>
    </row>
    <row r="658" spans="1:7" ht="13">
      <c r="A658" s="158" t="s">
        <v>44</v>
      </c>
      <c r="B658" s="159"/>
      <c r="C658" s="423"/>
      <c r="D658" s="423"/>
      <c r="E658" s="423"/>
      <c r="F658" s="423"/>
      <c r="G658" s="423"/>
    </row>
    <row r="659" spans="1:7" ht="13">
      <c r="A659" s="171" t="s">
        <v>43</v>
      </c>
      <c r="B659" s="172" t="s">
        <v>24</v>
      </c>
      <c r="C659" s="173" t="s">
        <v>42</v>
      </c>
      <c r="D659" s="173" t="s">
        <v>41</v>
      </c>
      <c r="E659" s="173" t="s">
        <v>40</v>
      </c>
      <c r="F659" s="173" t="s">
        <v>39</v>
      </c>
      <c r="G659" s="174" t="s">
        <v>23</v>
      </c>
    </row>
    <row r="660" spans="1:7">
      <c r="A660" s="175" t="s">
        <v>276</v>
      </c>
      <c r="B660" s="176" t="s">
        <v>605</v>
      </c>
      <c r="C660" s="177"/>
      <c r="D660" s="177" t="s">
        <v>38</v>
      </c>
      <c r="E660" s="177" t="s">
        <v>37</v>
      </c>
      <c r="F660" s="177"/>
      <c r="G660" s="178"/>
    </row>
    <row r="662" spans="1:7" ht="13">
      <c r="A662" s="158" t="s">
        <v>24</v>
      </c>
      <c r="B662" s="159"/>
      <c r="C662" s="11" t="str">
        <f>SFLASH.512_ver2!$E$94</f>
        <v>TOC1_FHASH_OBJECTS</v>
      </c>
      <c r="D662" s="167"/>
      <c r="E662" s="167"/>
      <c r="F662" s="167"/>
      <c r="G662" s="168"/>
    </row>
    <row r="663" spans="1:7" ht="15.5">
      <c r="A663" s="158" t="s">
        <v>47</v>
      </c>
      <c r="B663" s="159"/>
      <c r="C663" s="188">
        <f>SFLASH.512_ver2!$C$94</f>
        <v>1</v>
      </c>
      <c r="D663" s="167"/>
      <c r="E663" s="167"/>
      <c r="F663" s="167"/>
      <c r="G663" s="168"/>
    </row>
    <row r="664" spans="1:7" ht="15.5">
      <c r="A664" s="158" t="s">
        <v>23</v>
      </c>
      <c r="B664" s="159"/>
      <c r="C664" s="188" t="str">
        <f>SFLASH.512_ver2!$F$94</f>
        <v>Number of objects to be verified for FACTORY_HASH</v>
      </c>
      <c r="D664" s="169"/>
      <c r="E664" s="169"/>
      <c r="F664" s="167"/>
      <c r="G664" s="170"/>
    </row>
    <row r="665" spans="1:7" ht="13">
      <c r="A665" s="158" t="s">
        <v>29</v>
      </c>
      <c r="B665" s="159"/>
      <c r="C665" s="381" t="s">
        <v>238</v>
      </c>
      <c r="D665" s="169"/>
      <c r="E665" s="169"/>
      <c r="F665" s="167"/>
      <c r="G665" s="170"/>
    </row>
    <row r="666" spans="1:7" ht="13">
      <c r="A666" s="158" t="s">
        <v>44</v>
      </c>
      <c r="B666" s="159"/>
      <c r="C666" s="423"/>
      <c r="D666" s="423"/>
      <c r="E666" s="423"/>
      <c r="F666" s="423"/>
      <c r="G666" s="423"/>
    </row>
    <row r="667" spans="1:7" ht="13">
      <c r="A667" s="171" t="s">
        <v>43</v>
      </c>
      <c r="B667" s="172" t="s">
        <v>24</v>
      </c>
      <c r="C667" s="173" t="s">
        <v>42</v>
      </c>
      <c r="D667" s="173" t="s">
        <v>41</v>
      </c>
      <c r="E667" s="173" t="s">
        <v>40</v>
      </c>
      <c r="F667" s="173" t="s">
        <v>39</v>
      </c>
      <c r="G667" s="174" t="s">
        <v>23</v>
      </c>
    </row>
    <row r="668" spans="1:7">
      <c r="A668" s="175" t="s">
        <v>276</v>
      </c>
      <c r="B668" s="176" t="s">
        <v>605</v>
      </c>
      <c r="C668" s="177"/>
      <c r="D668" s="177" t="s">
        <v>38</v>
      </c>
      <c r="E668" s="177" t="s">
        <v>37</v>
      </c>
      <c r="F668" s="177"/>
      <c r="G668" s="178"/>
    </row>
    <row r="670" spans="1:7" ht="13">
      <c r="A670" s="158" t="s">
        <v>24</v>
      </c>
      <c r="B670" s="159"/>
      <c r="C670" s="11" t="str">
        <f>SFLASH.512_ver2!$E$95</f>
        <v>TOC1_GENERAL_TRIM_ADDR_UNUSED</v>
      </c>
      <c r="D670" s="167"/>
      <c r="E670" s="167"/>
      <c r="F670" s="167"/>
      <c r="G670" s="168"/>
    </row>
    <row r="671" spans="1:7" ht="15.5">
      <c r="A671" s="158" t="s">
        <v>47</v>
      </c>
      <c r="B671" s="159"/>
      <c r="C671" s="188">
        <f>SFLASH.512_ver2!$C$95</f>
        <v>1</v>
      </c>
      <c r="D671" s="167"/>
      <c r="E671" s="167"/>
      <c r="F671" s="167"/>
      <c r="G671" s="168"/>
    </row>
    <row r="672" spans="1:7" ht="15.5">
      <c r="A672" s="158" t="s">
        <v>23</v>
      </c>
      <c r="B672" s="159"/>
      <c r="C672" s="188" t="str">
        <f>SFLASH.512_ver2!$F$95</f>
        <v>Unused (Address is Hardcoded in ROM)</v>
      </c>
      <c r="D672" s="169"/>
      <c r="E672" s="169"/>
      <c r="F672" s="167"/>
      <c r="G672" s="170"/>
    </row>
    <row r="673" spans="1:7" ht="13">
      <c r="A673" s="158" t="s">
        <v>29</v>
      </c>
      <c r="B673" s="159"/>
      <c r="C673" s="381" t="s">
        <v>238</v>
      </c>
      <c r="D673" s="169"/>
      <c r="E673" s="169"/>
      <c r="F673" s="167"/>
      <c r="G673" s="170"/>
    </row>
    <row r="674" spans="1:7" ht="13">
      <c r="A674" s="158" t="s">
        <v>44</v>
      </c>
      <c r="B674" s="159"/>
      <c r="C674" s="423"/>
      <c r="D674" s="423"/>
      <c r="E674" s="423"/>
      <c r="F674" s="423"/>
      <c r="G674" s="423"/>
    </row>
    <row r="675" spans="1:7" ht="13">
      <c r="A675" s="171" t="s">
        <v>43</v>
      </c>
      <c r="B675" s="172" t="s">
        <v>24</v>
      </c>
      <c r="C675" s="173" t="s">
        <v>42</v>
      </c>
      <c r="D675" s="173" t="s">
        <v>41</v>
      </c>
      <c r="E675" s="173" t="s">
        <v>40</v>
      </c>
      <c r="F675" s="173" t="s">
        <v>39</v>
      </c>
      <c r="G675" s="174" t="s">
        <v>23</v>
      </c>
    </row>
    <row r="676" spans="1:7">
      <c r="A676" s="175" t="s">
        <v>276</v>
      </c>
      <c r="B676" s="176" t="s">
        <v>605</v>
      </c>
      <c r="C676" s="177"/>
      <c r="D676" s="177" t="s">
        <v>38</v>
      </c>
      <c r="E676" s="177" t="s">
        <v>37</v>
      </c>
      <c r="F676" s="177"/>
      <c r="G676" s="178"/>
    </row>
    <row r="678" spans="1:7" ht="13">
      <c r="A678" s="158" t="s">
        <v>24</v>
      </c>
      <c r="B678" s="159"/>
      <c r="C678" s="11" t="str">
        <f>SFLASH.512_ver2!$E$96</f>
        <v>TOC1_UNIQUE_ID_ADDR</v>
      </c>
      <c r="D678" s="167"/>
      <c r="E678" s="167"/>
      <c r="F678" s="167"/>
      <c r="G678" s="168"/>
    </row>
    <row r="679" spans="1:7" ht="15.5">
      <c r="A679" s="158" t="s">
        <v>47</v>
      </c>
      <c r="B679" s="159"/>
      <c r="C679" s="188">
        <f>SFLASH.512_ver2!$C$96</f>
        <v>1</v>
      </c>
      <c r="D679" s="167"/>
      <c r="E679" s="167"/>
      <c r="F679" s="167"/>
      <c r="G679" s="168"/>
    </row>
    <row r="680" spans="1:7" ht="15.5">
      <c r="A680" s="158" t="s">
        <v>23</v>
      </c>
      <c r="B680" s="159"/>
      <c r="C680" s="188" t="str">
        <f>SFLASH.512_ver2!$F$96</f>
        <v>Address of Unique ID stored in SFLASH</v>
      </c>
      <c r="D680" s="169"/>
      <c r="E680" s="169"/>
      <c r="F680" s="167"/>
      <c r="G680" s="170"/>
    </row>
    <row r="681" spans="1:7" ht="13">
      <c r="A681" s="158" t="s">
        <v>29</v>
      </c>
      <c r="B681" s="159"/>
      <c r="C681" s="381" t="s">
        <v>238</v>
      </c>
      <c r="D681" s="169"/>
      <c r="E681" s="169"/>
      <c r="F681" s="167"/>
      <c r="G681" s="170"/>
    </row>
    <row r="682" spans="1:7" ht="13">
      <c r="A682" s="158" t="s">
        <v>44</v>
      </c>
      <c r="B682" s="159"/>
      <c r="C682" s="423"/>
      <c r="D682" s="423"/>
      <c r="E682" s="423"/>
      <c r="F682" s="423"/>
      <c r="G682" s="423"/>
    </row>
    <row r="683" spans="1:7" ht="13">
      <c r="A683" s="171" t="s">
        <v>43</v>
      </c>
      <c r="B683" s="172" t="s">
        <v>24</v>
      </c>
      <c r="C683" s="173" t="s">
        <v>42</v>
      </c>
      <c r="D683" s="173" t="s">
        <v>41</v>
      </c>
      <c r="E683" s="173" t="s">
        <v>40</v>
      </c>
      <c r="F683" s="173" t="s">
        <v>39</v>
      </c>
      <c r="G683" s="234" t="s">
        <v>23</v>
      </c>
    </row>
    <row r="684" spans="1:7" ht="15.5">
      <c r="A684" s="175" t="s">
        <v>276</v>
      </c>
      <c r="B684" s="176" t="s">
        <v>605</v>
      </c>
      <c r="C684" s="177"/>
      <c r="D684" s="177" t="s">
        <v>38</v>
      </c>
      <c r="E684" s="177" t="s">
        <v>37</v>
      </c>
      <c r="F684" s="315"/>
      <c r="G684" s="112" t="str">
        <f>SFLASH.512_ver2!$F$96</f>
        <v>Address of Unique ID stored in SFLASH</v>
      </c>
    </row>
    <row r="686" spans="1:7" ht="13">
      <c r="A686" s="158" t="s">
        <v>24</v>
      </c>
      <c r="B686" s="159"/>
      <c r="C686" s="11" t="str">
        <f>SFLASH.512_ver2!$E$97</f>
        <v>TOC1_FB_OBJECT_ADDR</v>
      </c>
      <c r="D686" s="167"/>
      <c r="E686" s="167"/>
      <c r="F686" s="167"/>
      <c r="G686" s="168"/>
    </row>
    <row r="687" spans="1:7" ht="15.5">
      <c r="A687" s="158" t="s">
        <v>47</v>
      </c>
      <c r="B687" s="159"/>
      <c r="C687" s="188">
        <f>SFLASH.512_ver2!$C$97</f>
        <v>1</v>
      </c>
      <c r="D687" s="167"/>
      <c r="E687" s="167"/>
      <c r="F687" s="167"/>
      <c r="G687" s="168"/>
    </row>
    <row r="688" spans="1:7" ht="15.5">
      <c r="A688" s="158" t="s">
        <v>23</v>
      </c>
      <c r="B688" s="159"/>
      <c r="C688" s="188" t="str">
        <f>SFLASH.512_ver2!$F$97</f>
        <v>Addresss of FLASH Boot(FB) object that include FLASH patch also</v>
      </c>
      <c r="D688" s="169"/>
      <c r="E688" s="169"/>
      <c r="F688" s="167"/>
      <c r="G688" s="170"/>
    </row>
    <row r="689" spans="1:7" ht="13">
      <c r="A689" s="158" t="s">
        <v>29</v>
      </c>
      <c r="B689" s="159"/>
      <c r="C689" s="381" t="s">
        <v>238</v>
      </c>
      <c r="D689" s="169"/>
      <c r="E689" s="169"/>
      <c r="F689" s="167"/>
      <c r="G689" s="170"/>
    </row>
    <row r="690" spans="1:7" ht="13">
      <c r="A690" s="158" t="s">
        <v>44</v>
      </c>
      <c r="B690" s="159"/>
      <c r="C690" s="423"/>
      <c r="D690" s="423"/>
      <c r="E690" s="423"/>
      <c r="F690" s="423"/>
      <c r="G690" s="423"/>
    </row>
    <row r="691" spans="1:7" ht="13">
      <c r="A691" s="171" t="s">
        <v>43</v>
      </c>
      <c r="B691" s="172" t="s">
        <v>24</v>
      </c>
      <c r="C691" s="173" t="s">
        <v>42</v>
      </c>
      <c r="D691" s="173" t="s">
        <v>41</v>
      </c>
      <c r="E691" s="173" t="s">
        <v>40</v>
      </c>
      <c r="F691" s="173" t="s">
        <v>39</v>
      </c>
      <c r="G691" s="234" t="s">
        <v>23</v>
      </c>
    </row>
    <row r="692" spans="1:7" ht="15.5">
      <c r="A692" s="175" t="s">
        <v>276</v>
      </c>
      <c r="B692" s="176" t="s">
        <v>605</v>
      </c>
      <c r="C692" s="177"/>
      <c r="D692" s="177" t="s">
        <v>38</v>
      </c>
      <c r="E692" s="177" t="s">
        <v>37</v>
      </c>
      <c r="F692" s="315"/>
      <c r="G692" s="112" t="str">
        <f>SFLASH.512_ver2!$F$97</f>
        <v>Addresss of FLASH Boot(FB) object that include FLASH patch also</v>
      </c>
    </row>
    <row r="694" spans="1:7" ht="13">
      <c r="A694" s="158" t="s">
        <v>24</v>
      </c>
      <c r="B694" s="159"/>
      <c r="C694" s="11" t="str">
        <f>SFLASH.512_ver2!$E$98</f>
        <v>TOC1_SYSCALL_TABLE_ADDR_UNUSED</v>
      </c>
      <c r="D694" s="167"/>
      <c r="E694" s="167"/>
      <c r="F694" s="167"/>
      <c r="G694" s="168"/>
    </row>
    <row r="695" spans="1:7" ht="15.5">
      <c r="A695" s="158" t="s">
        <v>47</v>
      </c>
      <c r="B695" s="159"/>
      <c r="C695" s="188">
        <f>SFLASH.512_ver2!$C$98</f>
        <v>1</v>
      </c>
      <c r="D695" s="167"/>
      <c r="E695" s="167"/>
      <c r="F695" s="167"/>
      <c r="G695" s="168"/>
    </row>
    <row r="696" spans="1:7" ht="15.5">
      <c r="A696" s="158" t="s">
        <v>23</v>
      </c>
      <c r="B696" s="159"/>
      <c r="C696" s="188" t="str">
        <f>SFLASH.512_ver2!$F$98</f>
        <v>Unused (Address is Hardcoded in ROM)</v>
      </c>
      <c r="D696" s="169"/>
      <c r="E696" s="169"/>
      <c r="F696" s="167"/>
      <c r="G696" s="170"/>
    </row>
    <row r="697" spans="1:7" ht="13">
      <c r="A697" s="158" t="s">
        <v>29</v>
      </c>
      <c r="B697" s="159"/>
      <c r="C697" s="381" t="s">
        <v>238</v>
      </c>
      <c r="D697" s="169"/>
      <c r="E697" s="169"/>
      <c r="F697" s="167"/>
      <c r="G697" s="170"/>
    </row>
    <row r="698" spans="1:7" ht="13">
      <c r="A698" s="158" t="s">
        <v>44</v>
      </c>
      <c r="B698" s="159"/>
      <c r="C698" s="423"/>
      <c r="D698" s="423"/>
      <c r="E698" s="423"/>
      <c r="F698" s="423"/>
      <c r="G698" s="423"/>
    </row>
    <row r="699" spans="1:7" ht="13">
      <c r="A699" s="171" t="s">
        <v>43</v>
      </c>
      <c r="B699" s="172" t="s">
        <v>24</v>
      </c>
      <c r="C699" s="173" t="s">
        <v>42</v>
      </c>
      <c r="D699" s="173" t="s">
        <v>41</v>
      </c>
      <c r="E699" s="173" t="s">
        <v>40</v>
      </c>
      <c r="F699" s="173" t="s">
        <v>39</v>
      </c>
      <c r="G699" s="234" t="s">
        <v>23</v>
      </c>
    </row>
    <row r="700" spans="1:7" ht="15.5">
      <c r="A700" s="175" t="s">
        <v>276</v>
      </c>
      <c r="B700" s="176" t="s">
        <v>605</v>
      </c>
      <c r="C700" s="177"/>
      <c r="D700" s="177" t="s">
        <v>38</v>
      </c>
      <c r="E700" s="177" t="s">
        <v>37</v>
      </c>
      <c r="F700" s="315"/>
      <c r="G700" s="112" t="str">
        <f>SFLASH.512_ver2!$F$98</f>
        <v>Unused (Address is Hardcoded in ROM)</v>
      </c>
    </row>
    <row r="702" spans="1:7" ht="13">
      <c r="A702" s="158" t="s">
        <v>24</v>
      </c>
      <c r="B702" s="159"/>
      <c r="C702" s="11" t="str">
        <f>SFLASH.512_ver2!$E$99</f>
        <v>TOC1_OBJECT_ADDR_UNUSED</v>
      </c>
      <c r="D702" s="167"/>
      <c r="E702" s="167"/>
      <c r="F702" s="167"/>
      <c r="G702" s="168"/>
    </row>
    <row r="703" spans="1:7" ht="15.5">
      <c r="A703" s="158" t="s">
        <v>47</v>
      </c>
      <c r="B703" s="159"/>
      <c r="C703" s="188">
        <f>SFLASH.512_ver2!$C$99</f>
        <v>1</v>
      </c>
      <c r="D703" s="167"/>
      <c r="E703" s="167"/>
      <c r="F703" s="167"/>
      <c r="G703" s="168"/>
    </row>
    <row r="704" spans="1:7" ht="15.5">
      <c r="A704" s="158" t="s">
        <v>23</v>
      </c>
      <c r="B704" s="159"/>
      <c r="C704" s="188" t="str">
        <f>SFLASH.512_ver2!$F$99</f>
        <v>Unused (Address is Hardcoded in ROM)</v>
      </c>
      <c r="D704" s="169"/>
      <c r="E704" s="169"/>
      <c r="F704" s="167"/>
      <c r="G704" s="170"/>
    </row>
    <row r="705" spans="1:7" ht="13">
      <c r="A705" s="158" t="s">
        <v>29</v>
      </c>
      <c r="B705" s="159"/>
      <c r="C705" s="381" t="s">
        <v>238</v>
      </c>
      <c r="D705" s="169"/>
      <c r="E705" s="169"/>
      <c r="F705" s="167"/>
      <c r="G705" s="170"/>
    </row>
    <row r="706" spans="1:7" ht="13">
      <c r="A706" s="158" t="s">
        <v>44</v>
      </c>
      <c r="B706" s="159"/>
      <c r="C706" s="423"/>
      <c r="D706" s="423"/>
      <c r="E706" s="423"/>
      <c r="F706" s="423"/>
      <c r="G706" s="423"/>
    </row>
    <row r="707" spans="1:7" ht="13">
      <c r="A707" s="171" t="s">
        <v>43</v>
      </c>
      <c r="B707" s="172" t="s">
        <v>24</v>
      </c>
      <c r="C707" s="173" t="s">
        <v>42</v>
      </c>
      <c r="D707" s="173" t="s">
        <v>41</v>
      </c>
      <c r="E707" s="173" t="s">
        <v>40</v>
      </c>
      <c r="F707" s="173" t="s">
        <v>39</v>
      </c>
      <c r="G707" s="234" t="s">
        <v>23</v>
      </c>
    </row>
    <row r="708" spans="1:7" ht="15.5">
      <c r="A708" s="175" t="s">
        <v>276</v>
      </c>
      <c r="B708" s="176" t="s">
        <v>605</v>
      </c>
      <c r="C708" s="177"/>
      <c r="D708" s="177" t="s">
        <v>38</v>
      </c>
      <c r="E708" s="177" t="s">
        <v>37</v>
      </c>
      <c r="F708" s="315"/>
      <c r="G708" s="112" t="str">
        <f>SFLASH.512_ver2!$F$99</f>
        <v>Unused (Address is Hardcoded in ROM)</v>
      </c>
    </row>
    <row r="710" spans="1:7" ht="13">
      <c r="A710" s="158" t="s">
        <v>24</v>
      </c>
      <c r="B710" s="159"/>
      <c r="C710" s="11" t="str">
        <f>SFLASH.512_ver2!$E$100</f>
        <v>TOC1_BOOT_PROTECTION_ADDR</v>
      </c>
      <c r="D710" s="167"/>
      <c r="E710" s="167"/>
      <c r="F710" s="167"/>
      <c r="G710" s="168"/>
    </row>
    <row r="711" spans="1:7" ht="15.5">
      <c r="A711" s="158" t="s">
        <v>47</v>
      </c>
      <c r="B711" s="159"/>
      <c r="C711" s="188">
        <f>SFLASH.512_ver2!$C$100</f>
        <v>1</v>
      </c>
      <c r="D711" s="167"/>
      <c r="E711" s="167"/>
      <c r="F711" s="167"/>
      <c r="G711" s="168"/>
    </row>
    <row r="712" spans="1:7" ht="15.5">
      <c r="A712" s="158" t="s">
        <v>23</v>
      </c>
      <c r="B712" s="159"/>
      <c r="C712" s="188" t="str">
        <f>SFLASH.512_ver2!$F$100</f>
        <v>Address of boot protection object</v>
      </c>
      <c r="D712" s="169"/>
      <c r="E712" s="169"/>
      <c r="F712" s="167"/>
      <c r="G712" s="170"/>
    </row>
    <row r="713" spans="1:7" ht="13">
      <c r="A713" s="158" t="s">
        <v>29</v>
      </c>
      <c r="B713" s="159"/>
      <c r="C713" s="381" t="s">
        <v>238</v>
      </c>
      <c r="D713" s="169"/>
      <c r="E713" s="169"/>
      <c r="F713" s="167"/>
      <c r="G713" s="170"/>
    </row>
    <row r="714" spans="1:7" ht="13">
      <c r="A714" s="158" t="s">
        <v>44</v>
      </c>
      <c r="B714" s="159"/>
      <c r="C714" s="423"/>
      <c r="D714" s="423"/>
      <c r="E714" s="423"/>
      <c r="F714" s="423"/>
      <c r="G714" s="423"/>
    </row>
    <row r="715" spans="1:7" ht="13">
      <c r="A715" s="171" t="s">
        <v>43</v>
      </c>
      <c r="B715" s="172" t="s">
        <v>24</v>
      </c>
      <c r="C715" s="173" t="s">
        <v>42</v>
      </c>
      <c r="D715" s="173" t="s">
        <v>41</v>
      </c>
      <c r="E715" s="173" t="s">
        <v>40</v>
      </c>
      <c r="F715" s="173" t="s">
        <v>39</v>
      </c>
      <c r="G715" s="234" t="s">
        <v>23</v>
      </c>
    </row>
    <row r="716" spans="1:7" ht="15.5">
      <c r="A716" s="175" t="s">
        <v>276</v>
      </c>
      <c r="B716" s="176" t="s">
        <v>605</v>
      </c>
      <c r="C716" s="177"/>
      <c r="D716" s="177" t="s">
        <v>38</v>
      </c>
      <c r="E716" s="177" t="s">
        <v>37</v>
      </c>
      <c r="F716" s="315"/>
      <c r="G716" s="112" t="str">
        <f>SFLASH.512_ver2!$F$100</f>
        <v>Address of boot protection object</v>
      </c>
    </row>
    <row r="718" spans="1:7" ht="13">
      <c r="A718" s="158" t="s">
        <v>24</v>
      </c>
      <c r="B718" s="159"/>
      <c r="C718" s="11" t="str">
        <f>SFLASH.512_ver2!$E$101</f>
        <v>TOC1_8051_CODE_OTP_FLASH_ADDR</v>
      </c>
      <c r="D718" s="167"/>
      <c r="E718" s="167"/>
      <c r="F718" s="167"/>
      <c r="G718" s="168"/>
    </row>
    <row r="719" spans="1:7" ht="15.5">
      <c r="A719" s="158" t="s">
        <v>47</v>
      </c>
      <c r="B719" s="159"/>
      <c r="C719" s="188">
        <f>SFLASH.512_ver2!$C$101</f>
        <v>1</v>
      </c>
      <c r="D719" s="167"/>
      <c r="E719" s="167"/>
      <c r="F719" s="167"/>
      <c r="G719" s="168"/>
    </row>
    <row r="720" spans="1:7" ht="15.5">
      <c r="A720" s="158" t="s">
        <v>23</v>
      </c>
      <c r="B720" s="159"/>
      <c r="C720" s="188" t="str">
        <f>SFLASH.512_ver2!$F$101</f>
        <v>Address of 8051 code OTP flash</v>
      </c>
      <c r="D720" s="169"/>
      <c r="E720" s="169"/>
      <c r="F720" s="167"/>
      <c r="G720" s="170"/>
    </row>
    <row r="721" spans="1:7" ht="13">
      <c r="A721" s="158" t="s">
        <v>29</v>
      </c>
      <c r="B721" s="159"/>
      <c r="C721" s="381" t="s">
        <v>238</v>
      </c>
      <c r="D721" s="169"/>
      <c r="E721" s="169"/>
      <c r="F721" s="167"/>
      <c r="G721" s="170"/>
    </row>
    <row r="722" spans="1:7" ht="13">
      <c r="A722" s="158" t="s">
        <v>44</v>
      </c>
      <c r="B722" s="159"/>
      <c r="C722" s="423"/>
      <c r="D722" s="423"/>
      <c r="E722" s="423"/>
      <c r="F722" s="423"/>
      <c r="G722" s="423"/>
    </row>
    <row r="723" spans="1:7" ht="13">
      <c r="A723" s="171" t="s">
        <v>43</v>
      </c>
      <c r="B723" s="172" t="s">
        <v>24</v>
      </c>
      <c r="C723" s="173" t="s">
        <v>42</v>
      </c>
      <c r="D723" s="173" t="s">
        <v>41</v>
      </c>
      <c r="E723" s="173" t="s">
        <v>40</v>
      </c>
      <c r="F723" s="173" t="s">
        <v>39</v>
      </c>
      <c r="G723" s="174" t="s">
        <v>23</v>
      </c>
    </row>
    <row r="724" spans="1:7">
      <c r="A724" s="175" t="s">
        <v>276</v>
      </c>
      <c r="B724" s="176" t="s">
        <v>605</v>
      </c>
      <c r="C724" s="177"/>
      <c r="D724" s="177" t="s">
        <v>38</v>
      </c>
      <c r="E724" s="177" t="s">
        <v>37</v>
      </c>
      <c r="F724" s="177"/>
      <c r="G724" s="178" t="str">
        <f>SFLASH.512_ver2!$F$101</f>
        <v>Address of 8051 code OTP flash</v>
      </c>
    </row>
    <row r="725" spans="1:7">
      <c r="A725" s="179"/>
      <c r="B725" s="208"/>
      <c r="C725" s="167"/>
      <c r="D725" s="167"/>
      <c r="E725" s="167"/>
      <c r="F725" s="167"/>
      <c r="G725" s="168"/>
    </row>
    <row r="726" spans="1:7" ht="13">
      <c r="A726" s="158" t="s">
        <v>24</v>
      </c>
      <c r="B726" s="159"/>
      <c r="C726" s="11" t="str">
        <f>SFLASH.512_ver2!$E$102</f>
        <v>TOC2_OBJECT_SIZE</v>
      </c>
      <c r="D726" s="167"/>
      <c r="E726" s="167"/>
      <c r="F726" s="167"/>
      <c r="G726" s="168"/>
    </row>
    <row r="727" spans="1:7" ht="15.5">
      <c r="A727" s="158" t="s">
        <v>47</v>
      </c>
      <c r="B727" s="159"/>
      <c r="C727" s="188">
        <f>SFLASH.512_ver2!$C$102</f>
        <v>1</v>
      </c>
      <c r="D727" s="167"/>
      <c r="E727" s="167"/>
      <c r="F727" s="167"/>
      <c r="G727" s="168"/>
    </row>
    <row r="728" spans="1:7" ht="15.5">
      <c r="A728" s="158" t="s">
        <v>23</v>
      </c>
      <c r="B728" s="159"/>
      <c r="C728" s="188" t="str">
        <f>SFLASH.512_ver2!$F$102</f>
        <v>Object size in bytes for CRC calculation starting from offset 0x00</v>
      </c>
      <c r="D728" s="169"/>
      <c r="E728" s="169"/>
      <c r="F728" s="167"/>
      <c r="G728" s="170"/>
    </row>
    <row r="729" spans="1:7" ht="13">
      <c r="A729" s="158" t="s">
        <v>44</v>
      </c>
      <c r="B729" s="159"/>
      <c r="C729" s="423"/>
      <c r="D729" s="423"/>
      <c r="E729" s="423"/>
      <c r="F729" s="423"/>
      <c r="G729" s="423"/>
    </row>
    <row r="730" spans="1:7" ht="13">
      <c r="A730" s="171" t="s">
        <v>43</v>
      </c>
      <c r="B730" s="172" t="s">
        <v>24</v>
      </c>
      <c r="C730" s="173" t="s">
        <v>42</v>
      </c>
      <c r="D730" s="173" t="s">
        <v>41</v>
      </c>
      <c r="E730" s="173" t="s">
        <v>40</v>
      </c>
      <c r="F730" s="173" t="s">
        <v>39</v>
      </c>
      <c r="G730" s="174" t="s">
        <v>23</v>
      </c>
    </row>
    <row r="731" spans="1:7">
      <c r="A731" s="175" t="s">
        <v>276</v>
      </c>
      <c r="B731" s="176" t="s">
        <v>605</v>
      </c>
      <c r="C731" s="177"/>
      <c r="D731" s="177" t="s">
        <v>38</v>
      </c>
      <c r="E731" s="177" t="s">
        <v>37</v>
      </c>
      <c r="F731" s="177"/>
      <c r="G731" s="178"/>
    </row>
    <row r="733" spans="1:7" ht="13">
      <c r="A733" s="158" t="s">
        <v>24</v>
      </c>
      <c r="B733" s="159"/>
      <c r="C733" s="11" t="str">
        <f>SFLASH.512_ver2!$E$103</f>
        <v>TOC2_MAGIC_NUMBER</v>
      </c>
      <c r="D733" s="167"/>
      <c r="E733" s="167"/>
      <c r="F733" s="167"/>
      <c r="G733" s="168"/>
    </row>
    <row r="734" spans="1:7" ht="15.5">
      <c r="A734" s="158" t="s">
        <v>47</v>
      </c>
      <c r="B734" s="159"/>
      <c r="C734" s="188">
        <f>SFLASH.512_ver2!$C$103</f>
        <v>1</v>
      </c>
      <c r="D734" s="167"/>
      <c r="E734" s="167"/>
      <c r="F734" s="167"/>
      <c r="G734" s="168"/>
    </row>
    <row r="735" spans="1:7" ht="15.5">
      <c r="A735" s="158" t="s">
        <v>23</v>
      </c>
      <c r="B735" s="159"/>
      <c r="C735" s="188" t="str">
        <f>SFLASH.512_ver2!$F$103</f>
        <v>Magic number(0x01211220)</v>
      </c>
      <c r="D735" s="169"/>
      <c r="E735" s="169"/>
      <c r="F735" s="167"/>
      <c r="G735" s="170"/>
    </row>
    <row r="736" spans="1:7" ht="13">
      <c r="A736" s="158" t="s">
        <v>44</v>
      </c>
      <c r="B736" s="159"/>
      <c r="C736" s="423"/>
      <c r="D736" s="423"/>
      <c r="E736" s="423"/>
      <c r="F736" s="423"/>
      <c r="G736" s="423"/>
    </row>
    <row r="737" spans="1:7" ht="13">
      <c r="A737" s="171" t="s">
        <v>43</v>
      </c>
      <c r="B737" s="172" t="s">
        <v>24</v>
      </c>
      <c r="C737" s="173" t="s">
        <v>42</v>
      </c>
      <c r="D737" s="173" t="s">
        <v>41</v>
      </c>
      <c r="E737" s="173" t="s">
        <v>40</v>
      </c>
      <c r="F737" s="173" t="s">
        <v>39</v>
      </c>
      <c r="G737" s="174" t="s">
        <v>23</v>
      </c>
    </row>
    <row r="738" spans="1:7">
      <c r="A738" s="175" t="s">
        <v>276</v>
      </c>
      <c r="B738" s="176" t="s">
        <v>605</v>
      </c>
      <c r="C738" s="177"/>
      <c r="D738" s="177" t="s">
        <v>38</v>
      </c>
      <c r="E738" s="177" t="s">
        <v>37</v>
      </c>
      <c r="F738" s="177"/>
      <c r="G738" s="178"/>
    </row>
    <row r="739" spans="1:7">
      <c r="A739" s="179"/>
      <c r="B739" s="208"/>
      <c r="C739" s="167"/>
      <c r="D739" s="167"/>
      <c r="E739" s="167"/>
      <c r="F739" s="167"/>
      <c r="G739" s="168"/>
    </row>
    <row r="740" spans="1:7" ht="13">
      <c r="A740" s="158" t="s">
        <v>24</v>
      </c>
      <c r="B740" s="159"/>
      <c r="C740" s="11" t="str">
        <f>SFLASH.512_ver2!$E$104</f>
        <v>TOC2_SMIF_CFG_STRUCT_ADDR</v>
      </c>
      <c r="D740" s="167"/>
      <c r="E740" s="167"/>
      <c r="F740" s="167"/>
      <c r="G740" s="168"/>
    </row>
    <row r="741" spans="1:7" ht="15.5">
      <c r="A741" s="158" t="s">
        <v>47</v>
      </c>
      <c r="B741" s="159"/>
      <c r="C741" s="188">
        <f>SFLASH.512_ver2!$C$104</f>
        <v>1</v>
      </c>
      <c r="D741" s="167"/>
      <c r="E741" s="167"/>
      <c r="F741" s="167"/>
      <c r="G741" s="168"/>
    </row>
    <row r="742" spans="1:7" ht="15.5">
      <c r="A742" s="158" t="s">
        <v>23</v>
      </c>
      <c r="B742" s="159"/>
      <c r="C742" s="188" t="str">
        <f>SFLASH.512_ver2!$F$104</f>
        <v>Null terminated table of pointers representing the SMIF configuration structure</v>
      </c>
      <c r="D742" s="169"/>
      <c r="E742" s="169"/>
      <c r="F742" s="167"/>
      <c r="G742" s="170"/>
    </row>
    <row r="743" spans="1:7" ht="13">
      <c r="A743" s="158" t="s">
        <v>44</v>
      </c>
      <c r="B743" s="159"/>
      <c r="C743" s="423"/>
      <c r="D743" s="423"/>
      <c r="E743" s="423"/>
      <c r="F743" s="423"/>
      <c r="G743" s="423"/>
    </row>
    <row r="744" spans="1:7" ht="13">
      <c r="A744" s="171" t="s">
        <v>43</v>
      </c>
      <c r="B744" s="172" t="s">
        <v>24</v>
      </c>
      <c r="C744" s="173" t="s">
        <v>42</v>
      </c>
      <c r="D744" s="173" t="s">
        <v>41</v>
      </c>
      <c r="E744" s="173" t="s">
        <v>40</v>
      </c>
      <c r="F744" s="173" t="s">
        <v>39</v>
      </c>
      <c r="G744" s="174" t="s">
        <v>23</v>
      </c>
    </row>
    <row r="745" spans="1:7">
      <c r="A745" s="175" t="s">
        <v>276</v>
      </c>
      <c r="B745" s="176" t="s">
        <v>605</v>
      </c>
      <c r="C745" s="177"/>
      <c r="D745" s="177" t="s">
        <v>38</v>
      </c>
      <c r="E745" s="177" t="s">
        <v>37</v>
      </c>
      <c r="F745" s="177"/>
      <c r="G745" s="178"/>
    </row>
    <row r="747" spans="1:7" ht="13">
      <c r="A747" s="158" t="s">
        <v>24</v>
      </c>
      <c r="B747" s="159"/>
      <c r="C747" s="11" t="str">
        <f>SFLASH.512_ver2!$E$105</f>
        <v>TOC2_FIRST_USER_APP_ADDR</v>
      </c>
      <c r="D747" s="167"/>
      <c r="E747" s="167"/>
      <c r="F747" s="167"/>
      <c r="G747" s="168"/>
    </row>
    <row r="748" spans="1:7" ht="15.5">
      <c r="A748" s="158" t="s">
        <v>47</v>
      </c>
      <c r="B748" s="159"/>
      <c r="C748" s="188">
        <f>SFLASH.512_ver2!$C$105</f>
        <v>1</v>
      </c>
      <c r="D748" s="167"/>
      <c r="E748" s="167"/>
      <c r="F748" s="167"/>
      <c r="G748" s="168"/>
    </row>
    <row r="749" spans="1:7" ht="15.5">
      <c r="A749" s="158" t="s">
        <v>23</v>
      </c>
      <c r="B749" s="159"/>
      <c r="C749" s="188" t="str">
        <f>SFLASH.512_ver2!$F$105</f>
        <v>Address of First User Application Object</v>
      </c>
      <c r="D749" s="169"/>
      <c r="E749" s="169"/>
      <c r="F749" s="167"/>
      <c r="G749" s="170"/>
    </row>
    <row r="750" spans="1:7" ht="13">
      <c r="A750" s="158" t="s">
        <v>44</v>
      </c>
      <c r="B750" s="159"/>
      <c r="C750" s="423"/>
      <c r="D750" s="423"/>
      <c r="E750" s="423"/>
      <c r="F750" s="423"/>
      <c r="G750" s="423"/>
    </row>
    <row r="751" spans="1:7" ht="13">
      <c r="A751" s="171" t="s">
        <v>43</v>
      </c>
      <c r="B751" s="172" t="s">
        <v>24</v>
      </c>
      <c r="C751" s="173" t="s">
        <v>42</v>
      </c>
      <c r="D751" s="173" t="s">
        <v>41</v>
      </c>
      <c r="E751" s="173" t="s">
        <v>40</v>
      </c>
      <c r="F751" s="173" t="s">
        <v>39</v>
      </c>
      <c r="G751" s="174" t="s">
        <v>23</v>
      </c>
    </row>
    <row r="752" spans="1:7">
      <c r="A752" s="175" t="s">
        <v>276</v>
      </c>
      <c r="B752" s="176" t="s">
        <v>605</v>
      </c>
      <c r="C752" s="177"/>
      <c r="D752" s="177" t="s">
        <v>38</v>
      </c>
      <c r="E752" s="177" t="s">
        <v>37</v>
      </c>
      <c r="F752" s="177"/>
      <c r="G752" s="178"/>
    </row>
    <row r="754" spans="1:7" ht="13">
      <c r="A754" s="158" t="s">
        <v>24</v>
      </c>
      <c r="B754" s="159"/>
      <c r="C754" s="11" t="str">
        <f>SFLASH.512_ver2!$E$106</f>
        <v>TOC2_FIRST_USER_APP_FORMAT</v>
      </c>
      <c r="D754" s="167"/>
      <c r="E754" s="167"/>
      <c r="F754" s="167"/>
      <c r="G754" s="168"/>
    </row>
    <row r="755" spans="1:7" ht="15.5">
      <c r="A755" s="158" t="s">
        <v>47</v>
      </c>
      <c r="B755" s="159"/>
      <c r="C755" s="188">
        <f>SFLASH.512_ver2!$C$106</f>
        <v>1</v>
      </c>
      <c r="D755" s="167"/>
      <c r="E755" s="167"/>
      <c r="F755" s="167"/>
      <c r="G755" s="168"/>
    </row>
    <row r="756" spans="1:7" ht="15.5">
      <c r="A756" s="158" t="s">
        <v>23</v>
      </c>
      <c r="B756" s="159"/>
      <c r="C756" s="188" t="str">
        <f>SFLASH.512_ver2!$F$106</f>
        <v>Format of First User Application Object. 0 - Basic, 1 - Cypress standard &amp; 2 - Simplified</v>
      </c>
      <c r="D756" s="169"/>
      <c r="E756" s="169"/>
      <c r="F756" s="167"/>
      <c r="G756" s="170"/>
    </row>
    <row r="757" spans="1:7" ht="13">
      <c r="A757" s="158" t="s">
        <v>44</v>
      </c>
      <c r="B757" s="159"/>
      <c r="C757" s="423"/>
      <c r="D757" s="423"/>
      <c r="E757" s="423"/>
      <c r="F757" s="423"/>
      <c r="G757" s="423"/>
    </row>
    <row r="758" spans="1:7" ht="13">
      <c r="A758" s="171" t="s">
        <v>43</v>
      </c>
      <c r="B758" s="172" t="s">
        <v>24</v>
      </c>
      <c r="C758" s="173" t="s">
        <v>42</v>
      </c>
      <c r="D758" s="173" t="s">
        <v>41</v>
      </c>
      <c r="E758" s="173" t="s">
        <v>40</v>
      </c>
      <c r="F758" s="173" t="s">
        <v>39</v>
      </c>
      <c r="G758" s="174" t="s">
        <v>23</v>
      </c>
    </row>
    <row r="759" spans="1:7">
      <c r="A759" s="175" t="s">
        <v>276</v>
      </c>
      <c r="B759" s="176" t="s">
        <v>605</v>
      </c>
      <c r="C759" s="177"/>
      <c r="D759" s="177" t="s">
        <v>38</v>
      </c>
      <c r="E759" s="177" t="s">
        <v>37</v>
      </c>
      <c r="F759" s="177"/>
      <c r="G759" s="178"/>
    </row>
    <row r="761" spans="1:7" ht="13">
      <c r="A761" s="158" t="s">
        <v>24</v>
      </c>
      <c r="B761" s="159"/>
      <c r="C761" s="11" t="str">
        <f>SFLASH.512_ver2!$E$107</f>
        <v>TOC2_SECOND_USER_APP_ADDR</v>
      </c>
      <c r="D761" s="167"/>
      <c r="E761" s="167"/>
      <c r="F761" s="167"/>
      <c r="G761" s="168"/>
    </row>
    <row r="762" spans="1:7" ht="15.5">
      <c r="A762" s="158" t="s">
        <v>47</v>
      </c>
      <c r="B762" s="159"/>
      <c r="C762" s="188">
        <f>SFLASH.512_ver2!$C$107</f>
        <v>1</v>
      </c>
      <c r="D762" s="167"/>
      <c r="E762" s="167"/>
      <c r="F762" s="167"/>
      <c r="G762" s="168"/>
    </row>
    <row r="763" spans="1:7" ht="15.5">
      <c r="A763" s="158" t="s">
        <v>23</v>
      </c>
      <c r="B763" s="159"/>
      <c r="C763" s="188" t="str">
        <f>SFLASH.512_ver2!$F$107</f>
        <v>Address of Second User Application Object</v>
      </c>
      <c r="D763" s="169"/>
      <c r="E763" s="169"/>
      <c r="F763" s="167"/>
      <c r="G763" s="170"/>
    </row>
    <row r="764" spans="1:7" ht="13">
      <c r="A764" s="158" t="s">
        <v>44</v>
      </c>
      <c r="B764" s="159"/>
      <c r="C764" s="423"/>
      <c r="D764" s="423"/>
      <c r="E764" s="423"/>
      <c r="F764" s="423"/>
      <c r="G764" s="423"/>
    </row>
    <row r="765" spans="1:7" ht="13">
      <c r="A765" s="171" t="s">
        <v>43</v>
      </c>
      <c r="B765" s="172" t="s">
        <v>24</v>
      </c>
      <c r="C765" s="173" t="s">
        <v>42</v>
      </c>
      <c r="D765" s="173" t="s">
        <v>41</v>
      </c>
      <c r="E765" s="173" t="s">
        <v>40</v>
      </c>
      <c r="F765" s="173" t="s">
        <v>39</v>
      </c>
      <c r="G765" s="174" t="s">
        <v>23</v>
      </c>
    </row>
    <row r="766" spans="1:7">
      <c r="A766" s="175" t="s">
        <v>276</v>
      </c>
      <c r="B766" s="176" t="s">
        <v>605</v>
      </c>
      <c r="C766" s="177"/>
      <c r="D766" s="177" t="s">
        <v>38</v>
      </c>
      <c r="E766" s="177" t="s">
        <v>37</v>
      </c>
      <c r="F766" s="177"/>
      <c r="G766" s="178"/>
    </row>
    <row r="767" spans="1:7">
      <c r="A767" s="179"/>
      <c r="B767" s="208"/>
      <c r="C767" s="167"/>
      <c r="D767" s="167"/>
      <c r="E767" s="167"/>
      <c r="F767" s="167"/>
      <c r="G767" s="168"/>
    </row>
    <row r="768" spans="1:7" ht="13">
      <c r="A768" s="158" t="s">
        <v>24</v>
      </c>
      <c r="B768" s="159"/>
      <c r="C768" s="11" t="str">
        <f>SFLASH.512_ver2!$E$108</f>
        <v>TOC2_SECOND_USER_APP_FORMAT</v>
      </c>
      <c r="D768" s="167"/>
      <c r="E768" s="167"/>
      <c r="F768" s="167"/>
      <c r="G768" s="168"/>
    </row>
    <row r="769" spans="1:7" ht="15.5">
      <c r="A769" s="158" t="s">
        <v>47</v>
      </c>
      <c r="B769" s="159"/>
      <c r="C769" s="188">
        <f>SFLASH.512_ver2!$C$108</f>
        <v>1</v>
      </c>
      <c r="D769" s="167"/>
      <c r="E769" s="167"/>
      <c r="F769" s="167"/>
      <c r="G769" s="168"/>
    </row>
    <row r="770" spans="1:7" ht="15.5">
      <c r="A770" s="158" t="s">
        <v>23</v>
      </c>
      <c r="B770" s="159"/>
      <c r="C770" s="188" t="str">
        <f>SFLASH.512_ver2!$F$108</f>
        <v>Format of Second User Application Object. 0 - Basic, 1 - Cypress standard &amp; 2 - Simplified</v>
      </c>
      <c r="D770" s="169"/>
      <c r="E770" s="169"/>
      <c r="F770" s="167"/>
      <c r="G770" s="170"/>
    </row>
    <row r="771" spans="1:7" ht="13">
      <c r="A771" s="158" t="s">
        <v>44</v>
      </c>
      <c r="B771" s="159"/>
      <c r="C771" s="423"/>
      <c r="D771" s="423"/>
      <c r="E771" s="423"/>
      <c r="F771" s="423"/>
      <c r="G771" s="423"/>
    </row>
    <row r="772" spans="1:7" ht="13">
      <c r="A772" s="171" t="s">
        <v>43</v>
      </c>
      <c r="B772" s="172" t="s">
        <v>24</v>
      </c>
      <c r="C772" s="173" t="s">
        <v>42</v>
      </c>
      <c r="D772" s="173" t="s">
        <v>41</v>
      </c>
      <c r="E772" s="173" t="s">
        <v>40</v>
      </c>
      <c r="F772" s="173" t="s">
        <v>39</v>
      </c>
      <c r="G772" s="174" t="s">
        <v>23</v>
      </c>
    </row>
    <row r="773" spans="1:7">
      <c r="A773" s="175" t="s">
        <v>276</v>
      </c>
      <c r="B773" s="176" t="s">
        <v>605</v>
      </c>
      <c r="C773" s="177"/>
      <c r="D773" s="177" t="s">
        <v>38</v>
      </c>
      <c r="E773" s="177" t="s">
        <v>37</v>
      </c>
      <c r="F773" s="177"/>
      <c r="G773" s="178"/>
    </row>
    <row r="775" spans="1:7" ht="13">
      <c r="A775" s="158" t="s">
        <v>24</v>
      </c>
      <c r="B775" s="159"/>
      <c r="C775" s="11" t="str">
        <f>SFLASH.512_ver2!$E$109</f>
        <v>TOC2_FIRST_CMx_1_USER_APP_ADDR</v>
      </c>
      <c r="D775" s="167"/>
      <c r="E775" s="167"/>
      <c r="F775" s="167"/>
      <c r="G775" s="168"/>
    </row>
    <row r="776" spans="1:7" ht="15.5">
      <c r="A776" s="158" t="s">
        <v>47</v>
      </c>
      <c r="B776" s="159"/>
      <c r="C776" s="188">
        <f>SFLASH.512_ver2!$C$109</f>
        <v>1</v>
      </c>
      <c r="D776" s="167"/>
      <c r="E776" s="167"/>
      <c r="F776" s="167"/>
      <c r="G776" s="168"/>
    </row>
    <row r="777" spans="1:7" ht="15.5">
      <c r="A777" s="158" t="s">
        <v>23</v>
      </c>
      <c r="B777" s="159"/>
      <c r="C777" s="188" t="str">
        <f>SFLASH.512_ver2!$F$109</f>
        <v>Address of First CM4 or CM7 core1 User Application Object</v>
      </c>
      <c r="D777" s="169"/>
      <c r="E777" s="169"/>
      <c r="F777" s="167"/>
      <c r="G777" s="170"/>
    </row>
    <row r="778" spans="1:7" ht="13">
      <c r="A778" s="158" t="s">
        <v>44</v>
      </c>
      <c r="B778" s="159"/>
      <c r="C778" s="423"/>
      <c r="D778" s="423"/>
      <c r="E778" s="423"/>
      <c r="F778" s="423"/>
      <c r="G778" s="423"/>
    </row>
    <row r="779" spans="1:7" ht="13">
      <c r="A779" s="171" t="s">
        <v>43</v>
      </c>
      <c r="B779" s="172" t="s">
        <v>24</v>
      </c>
      <c r="C779" s="173" t="s">
        <v>42</v>
      </c>
      <c r="D779" s="173" t="s">
        <v>41</v>
      </c>
      <c r="E779" s="173" t="s">
        <v>40</v>
      </c>
      <c r="F779" s="173" t="s">
        <v>39</v>
      </c>
      <c r="G779" s="234" t="s">
        <v>23</v>
      </c>
    </row>
    <row r="780" spans="1:7" ht="15.5">
      <c r="A780" s="175" t="s">
        <v>276</v>
      </c>
      <c r="B780" s="176" t="s">
        <v>605</v>
      </c>
      <c r="C780" s="177"/>
      <c r="D780" s="177" t="s">
        <v>38</v>
      </c>
      <c r="E780" s="177" t="s">
        <v>37</v>
      </c>
      <c r="F780" s="315"/>
      <c r="G780" s="112" t="str">
        <f>SFLASH.512_ver2!$F$109</f>
        <v>Address of First CM4 or CM7 core1 User Application Object</v>
      </c>
    </row>
    <row r="782" spans="1:7" ht="13">
      <c r="A782" s="158" t="s">
        <v>24</v>
      </c>
      <c r="B782" s="159"/>
      <c r="C782" s="11" t="str">
        <f>SFLASH.512_ver2!$E$110</f>
        <v>TOC2_SECOND_CMx_1_USER_APP_ADDR</v>
      </c>
      <c r="D782" s="167"/>
      <c r="E782" s="167"/>
      <c r="F782" s="167"/>
      <c r="G782" s="168"/>
    </row>
    <row r="783" spans="1:7" ht="15.5">
      <c r="A783" s="158" t="s">
        <v>47</v>
      </c>
      <c r="B783" s="159"/>
      <c r="C783" s="188">
        <f>SFLASH.512_ver2!$C$110</f>
        <v>1</v>
      </c>
      <c r="D783" s="167"/>
      <c r="E783" s="167"/>
      <c r="F783" s="167"/>
      <c r="G783" s="168"/>
    </row>
    <row r="784" spans="1:7" ht="15.5">
      <c r="A784" s="158" t="s">
        <v>23</v>
      </c>
      <c r="B784" s="159"/>
      <c r="C784" s="188" t="str">
        <f>SFLASH.512_ver2!$F$110</f>
        <v>Address of Second CM4 or CM7 core1 User Application Object</v>
      </c>
      <c r="D784" s="169"/>
      <c r="E784" s="169"/>
      <c r="F784" s="167"/>
      <c r="G784" s="170"/>
    </row>
    <row r="785" spans="1:7" ht="13">
      <c r="A785" s="158" t="s">
        <v>44</v>
      </c>
      <c r="B785" s="159"/>
      <c r="C785" s="423"/>
      <c r="D785" s="423"/>
      <c r="E785" s="423"/>
      <c r="F785" s="423"/>
      <c r="G785" s="423"/>
    </row>
    <row r="786" spans="1:7" ht="13">
      <c r="A786" s="171" t="s">
        <v>43</v>
      </c>
      <c r="B786" s="172" t="s">
        <v>24</v>
      </c>
      <c r="C786" s="173" t="s">
        <v>42</v>
      </c>
      <c r="D786" s="173" t="s">
        <v>41</v>
      </c>
      <c r="E786" s="173" t="s">
        <v>40</v>
      </c>
      <c r="F786" s="173" t="s">
        <v>39</v>
      </c>
      <c r="G786" s="174" t="s">
        <v>23</v>
      </c>
    </row>
    <row r="787" spans="1:7">
      <c r="A787" s="175" t="s">
        <v>276</v>
      </c>
      <c r="B787" s="176" t="s">
        <v>605</v>
      </c>
      <c r="C787" s="177"/>
      <c r="D787" s="177" t="s">
        <v>38</v>
      </c>
      <c r="E787" s="177" t="s">
        <v>37</v>
      </c>
      <c r="F787" s="177"/>
      <c r="G787" s="178"/>
    </row>
    <row r="789" spans="1:7" ht="13">
      <c r="A789" s="158" t="s">
        <v>24</v>
      </c>
      <c r="B789" s="159"/>
      <c r="C789" s="11" t="str">
        <f>SFLASH.512_ver2!$E$111</f>
        <v>TOC2_FIRST_CMx_2_USER_APP_ADDR</v>
      </c>
      <c r="D789" s="167"/>
      <c r="E789" s="167"/>
      <c r="F789" s="167"/>
      <c r="G789" s="168"/>
    </row>
    <row r="790" spans="1:7" ht="15.5">
      <c r="A790" s="158" t="s">
        <v>47</v>
      </c>
      <c r="B790" s="159"/>
      <c r="C790" s="188">
        <f>SFLASH.512_ver2!$C$111</f>
        <v>1</v>
      </c>
      <c r="D790" s="167"/>
      <c r="E790" s="167"/>
      <c r="F790" s="167"/>
      <c r="G790" s="168"/>
    </row>
    <row r="791" spans="1:7" ht="15.5">
      <c r="A791" s="158" t="s">
        <v>23</v>
      </c>
      <c r="B791" s="159"/>
      <c r="C791" s="188" t="str">
        <f>SFLASH.512_ver2!$F$111</f>
        <v>Address of First CM4 or CM7 core2 User Application Object</v>
      </c>
      <c r="D791" s="169"/>
      <c r="E791" s="169"/>
      <c r="F791" s="167"/>
      <c r="G791" s="170"/>
    </row>
    <row r="792" spans="1:7" ht="13">
      <c r="A792" s="158" t="s">
        <v>44</v>
      </c>
      <c r="B792" s="159"/>
      <c r="C792" s="423"/>
      <c r="D792" s="423"/>
      <c r="E792" s="423"/>
      <c r="F792" s="423"/>
      <c r="G792" s="423"/>
    </row>
    <row r="793" spans="1:7" ht="13">
      <c r="A793" s="171" t="s">
        <v>43</v>
      </c>
      <c r="B793" s="172" t="s">
        <v>24</v>
      </c>
      <c r="C793" s="173" t="s">
        <v>42</v>
      </c>
      <c r="D793" s="173" t="s">
        <v>41</v>
      </c>
      <c r="E793" s="173" t="s">
        <v>40</v>
      </c>
      <c r="F793" s="173" t="s">
        <v>39</v>
      </c>
      <c r="G793" s="174" t="s">
        <v>23</v>
      </c>
    </row>
    <row r="794" spans="1:7">
      <c r="A794" s="175" t="s">
        <v>276</v>
      </c>
      <c r="B794" s="176" t="s">
        <v>605</v>
      </c>
      <c r="C794" s="177"/>
      <c r="D794" s="177" t="s">
        <v>38</v>
      </c>
      <c r="E794" s="177" t="s">
        <v>37</v>
      </c>
      <c r="F794" s="177"/>
      <c r="G794" s="178"/>
    </row>
    <row r="796" spans="1:7" ht="13">
      <c r="A796" s="158" t="s">
        <v>24</v>
      </c>
      <c r="B796" s="159"/>
      <c r="C796" s="11" t="str">
        <f>SFLASH.512_ver2!$E$112</f>
        <v>TOC2_SECOND_CMx_2_USER_APP_ADDR</v>
      </c>
      <c r="D796" s="167"/>
      <c r="E796" s="167"/>
      <c r="F796" s="167"/>
      <c r="G796" s="168"/>
    </row>
    <row r="797" spans="1:7" ht="15.5">
      <c r="A797" s="158" t="s">
        <v>47</v>
      </c>
      <c r="B797" s="159"/>
      <c r="C797" s="188">
        <f>SFLASH.512_ver2!$C$112</f>
        <v>1</v>
      </c>
      <c r="D797" s="167"/>
      <c r="E797" s="167"/>
      <c r="F797" s="167"/>
      <c r="G797" s="168"/>
    </row>
    <row r="798" spans="1:7" ht="15.5">
      <c r="A798" s="158" t="s">
        <v>23</v>
      </c>
      <c r="B798" s="159"/>
      <c r="C798" s="188" t="str">
        <f>SFLASH.512_ver2!$F$112</f>
        <v>Address of Second CM4 or CM7 core2 User Application Object</v>
      </c>
      <c r="D798" s="169"/>
      <c r="E798" s="169"/>
      <c r="F798" s="167"/>
      <c r="G798" s="170"/>
    </row>
    <row r="799" spans="1:7" ht="13">
      <c r="A799" s="158" t="s">
        <v>44</v>
      </c>
      <c r="B799" s="159"/>
      <c r="C799" s="423"/>
      <c r="D799" s="423"/>
      <c r="E799" s="423"/>
      <c r="F799" s="423"/>
      <c r="G799" s="423"/>
    </row>
    <row r="800" spans="1:7" ht="13">
      <c r="A800" s="171" t="s">
        <v>43</v>
      </c>
      <c r="B800" s="172" t="s">
        <v>24</v>
      </c>
      <c r="C800" s="173" t="s">
        <v>42</v>
      </c>
      <c r="D800" s="173" t="s">
        <v>41</v>
      </c>
      <c r="E800" s="173" t="s">
        <v>40</v>
      </c>
      <c r="F800" s="173" t="s">
        <v>39</v>
      </c>
      <c r="G800" s="174" t="s">
        <v>23</v>
      </c>
    </row>
    <row r="801" spans="1:7">
      <c r="A801" s="175" t="s">
        <v>276</v>
      </c>
      <c r="B801" s="176" t="s">
        <v>605</v>
      </c>
      <c r="C801" s="177"/>
      <c r="D801" s="177" t="s">
        <v>38</v>
      </c>
      <c r="E801" s="177" t="s">
        <v>37</v>
      </c>
      <c r="F801" s="177"/>
      <c r="G801" s="178"/>
    </row>
    <row r="803" spans="1:7" ht="13">
      <c r="A803" s="158" t="s">
        <v>24</v>
      </c>
      <c r="B803" s="159"/>
      <c r="C803" s="11" t="str">
        <f>SFLASH.512_ver2!$E$113</f>
        <v>TOC2_SECURITY_UPDATES_MARKER</v>
      </c>
      <c r="D803" s="167"/>
      <c r="E803" s="167"/>
      <c r="F803" s="167"/>
      <c r="G803" s="168"/>
    </row>
    <row r="804" spans="1:7" ht="15.5">
      <c r="A804" s="158" t="s">
        <v>47</v>
      </c>
      <c r="B804" s="159"/>
      <c r="C804" s="188">
        <f>SFLASH.512_ver2!$C$113</f>
        <v>1</v>
      </c>
      <c r="D804" s="167"/>
      <c r="E804" s="167"/>
      <c r="F804" s="167"/>
      <c r="G804" s="168"/>
    </row>
    <row r="805" spans="1:7" ht="15.5">
      <c r="A805" s="158" t="s">
        <v>23</v>
      </c>
      <c r="B805" s="159"/>
      <c r="C805" s="188" t="str">
        <f>SFLASH.512_ver2!$F$113</f>
        <v>Marker for Security Updates</v>
      </c>
      <c r="D805" s="169"/>
      <c r="E805" s="169"/>
      <c r="F805" s="167"/>
      <c r="G805" s="170"/>
    </row>
    <row r="806" spans="1:7" ht="13">
      <c r="A806" s="158" t="s">
        <v>44</v>
      </c>
      <c r="B806" s="159"/>
      <c r="C806" s="423"/>
      <c r="D806" s="423"/>
      <c r="E806" s="423"/>
      <c r="F806" s="423"/>
      <c r="G806" s="423"/>
    </row>
    <row r="807" spans="1:7" ht="13">
      <c r="A807" s="171" t="s">
        <v>43</v>
      </c>
      <c r="B807" s="172" t="s">
        <v>24</v>
      </c>
      <c r="C807" s="173" t="s">
        <v>42</v>
      </c>
      <c r="D807" s="173" t="s">
        <v>41</v>
      </c>
      <c r="E807" s="173" t="s">
        <v>40</v>
      </c>
      <c r="F807" s="173" t="s">
        <v>39</v>
      </c>
      <c r="G807" s="174" t="s">
        <v>23</v>
      </c>
    </row>
    <row r="808" spans="1:7" ht="135" customHeight="1">
      <c r="A808" s="175" t="s">
        <v>276</v>
      </c>
      <c r="B808" s="176" t="s">
        <v>605</v>
      </c>
      <c r="C808" s="177"/>
      <c r="D808" s="177" t="s">
        <v>38</v>
      </c>
      <c r="E808" s="177" t="s">
        <v>37</v>
      </c>
      <c r="F808" s="177"/>
      <c r="G808" s="178" t="s">
        <v>34811</v>
      </c>
    </row>
    <row r="810" spans="1:7" ht="13">
      <c r="A810" s="158" t="s">
        <v>24</v>
      </c>
      <c r="B810" s="159"/>
      <c r="C810" s="11" t="str">
        <f>SFLASH.512_ver2!$E$114</f>
        <v>TOC2_SHASH_OBJECTS</v>
      </c>
      <c r="D810" s="167"/>
      <c r="E810" s="167"/>
      <c r="F810" s="167"/>
      <c r="G810" s="168"/>
    </row>
    <row r="811" spans="1:7" ht="15.5">
      <c r="A811" s="158" t="s">
        <v>47</v>
      </c>
      <c r="B811" s="159"/>
      <c r="C811" s="188">
        <f>SFLASH.512_ver2!$C$114</f>
        <v>1</v>
      </c>
      <c r="D811" s="167"/>
      <c r="E811" s="167"/>
      <c r="F811" s="167"/>
      <c r="G811" s="168"/>
    </row>
    <row r="812" spans="1:7" ht="15.5">
      <c r="A812" s="158" t="s">
        <v>23</v>
      </c>
      <c r="B812" s="159"/>
      <c r="C812" s="188" t="str">
        <f>SFLASH.512_ver2!$F$114</f>
        <v>Number of additional objects to be verified for SECURE_HASH</v>
      </c>
      <c r="D812" s="169"/>
      <c r="E812" s="169"/>
      <c r="F812" s="167"/>
      <c r="G812" s="170"/>
    </row>
    <row r="813" spans="1:7" ht="13">
      <c r="A813" s="158" t="s">
        <v>44</v>
      </c>
      <c r="B813" s="159"/>
      <c r="C813" s="423"/>
      <c r="D813" s="423"/>
      <c r="E813" s="423"/>
      <c r="F813" s="423"/>
      <c r="G813" s="423"/>
    </row>
    <row r="814" spans="1:7" ht="13">
      <c r="A814" s="171" t="s">
        <v>43</v>
      </c>
      <c r="B814" s="172" t="s">
        <v>24</v>
      </c>
      <c r="C814" s="173" t="s">
        <v>42</v>
      </c>
      <c r="D814" s="173" t="s">
        <v>41</v>
      </c>
      <c r="E814" s="173" t="s">
        <v>40</v>
      </c>
      <c r="F814" s="173" t="s">
        <v>39</v>
      </c>
      <c r="G814" s="174" t="s">
        <v>23</v>
      </c>
    </row>
    <row r="815" spans="1:7">
      <c r="A815" s="175" t="s">
        <v>276</v>
      </c>
      <c r="B815" s="176" t="s">
        <v>605</v>
      </c>
      <c r="C815" s="177"/>
      <c r="D815" s="177" t="s">
        <v>38</v>
      </c>
      <c r="E815" s="177" t="s">
        <v>37</v>
      </c>
      <c r="F815" s="177"/>
      <c r="G815" s="178"/>
    </row>
    <row r="817" spans="1:9" ht="13">
      <c r="A817" s="158" t="s">
        <v>24</v>
      </c>
      <c r="B817" s="159"/>
      <c r="C817" s="11" t="str">
        <f>SFLASH.512_ver2!$E$115</f>
        <v>TOC2_SIGNATURE_VERIF_KEY</v>
      </c>
      <c r="D817" s="167"/>
      <c r="E817" s="167"/>
      <c r="F817" s="167"/>
      <c r="G817" s="168"/>
    </row>
    <row r="818" spans="1:9" ht="15.5">
      <c r="A818" s="158" t="s">
        <v>47</v>
      </c>
      <c r="B818" s="159"/>
      <c r="C818" s="188">
        <f>SFLASH.512_ver2!$C$115</f>
        <v>1</v>
      </c>
      <c r="D818" s="167"/>
      <c r="E818" s="167"/>
      <c r="F818" s="167"/>
      <c r="G818" s="168"/>
    </row>
    <row r="819" spans="1:9" ht="15.5">
      <c r="A819" s="158" t="s">
        <v>23</v>
      </c>
      <c r="B819" s="159"/>
      <c r="C819" s="188" t="str">
        <f>SFLASH.512_ver2!$F$115</f>
        <v>Address of  signature verification key (0 if none).The object is signature specific key. It is the public key in case of RSA</v>
      </c>
      <c r="D819" s="169"/>
      <c r="E819" s="169"/>
      <c r="F819" s="167"/>
      <c r="G819" s="170"/>
    </row>
    <row r="820" spans="1:9" ht="13">
      <c r="A820" s="158" t="s">
        <v>44</v>
      </c>
      <c r="B820" s="159"/>
      <c r="C820" s="423"/>
      <c r="D820" s="423"/>
      <c r="E820" s="423"/>
      <c r="F820" s="423"/>
      <c r="G820" s="423"/>
    </row>
    <row r="821" spans="1:9" ht="13">
      <c r="A821" s="171" t="s">
        <v>43</v>
      </c>
      <c r="B821" s="172" t="s">
        <v>24</v>
      </c>
      <c r="C821" s="173" t="s">
        <v>42</v>
      </c>
      <c r="D821" s="173" t="s">
        <v>41</v>
      </c>
      <c r="E821" s="173" t="s">
        <v>40</v>
      </c>
      <c r="F821" s="173" t="s">
        <v>39</v>
      </c>
      <c r="G821" s="174" t="s">
        <v>23</v>
      </c>
    </row>
    <row r="822" spans="1:9">
      <c r="A822" s="175" t="s">
        <v>276</v>
      </c>
      <c r="B822" s="176" t="s">
        <v>605</v>
      </c>
      <c r="C822" s="177"/>
      <c r="D822" s="177" t="s">
        <v>38</v>
      </c>
      <c r="E822" s="177" t="s">
        <v>37</v>
      </c>
      <c r="F822" s="177"/>
      <c r="G822" s="178"/>
    </row>
    <row r="824" spans="1:9" ht="13">
      <c r="A824" s="158" t="s">
        <v>24</v>
      </c>
      <c r="B824" s="159"/>
      <c r="C824" s="11" t="str">
        <f>SFLASH.512_ver2!$E$116</f>
        <v>TOC2_APP_PROTECTION_ADDR</v>
      </c>
      <c r="D824" s="167"/>
      <c r="E824" s="167"/>
      <c r="F824" s="167"/>
      <c r="G824" s="168"/>
    </row>
    <row r="825" spans="1:9" ht="15.5">
      <c r="A825" s="158" t="s">
        <v>47</v>
      </c>
      <c r="B825" s="159"/>
      <c r="C825" s="188">
        <f>SFLASH.512_ver2!$C$116</f>
        <v>1</v>
      </c>
      <c r="D825" s="167"/>
      <c r="E825" s="167"/>
      <c r="F825" s="167"/>
      <c r="G825" s="168"/>
    </row>
    <row r="826" spans="1:9" ht="15.5">
      <c r="A826" s="158" t="s">
        <v>23</v>
      </c>
      <c r="B826" s="159"/>
      <c r="C826" s="188" t="str">
        <f>SFLASH.512_ver2!$F$116</f>
        <v>Address of  Application Protection</v>
      </c>
      <c r="D826" s="169"/>
      <c r="E826" s="169"/>
      <c r="F826" s="167"/>
      <c r="G826" s="170"/>
    </row>
    <row r="827" spans="1:9" ht="13">
      <c r="A827" s="158" t="s">
        <v>44</v>
      </c>
      <c r="B827" s="159"/>
      <c r="C827" s="423"/>
      <c r="D827" s="423"/>
      <c r="E827" s="423"/>
      <c r="F827" s="423"/>
      <c r="G827" s="423"/>
    </row>
    <row r="828" spans="1:9" ht="13">
      <c r="A828" s="171" t="s">
        <v>43</v>
      </c>
      <c r="B828" s="172" t="s">
        <v>24</v>
      </c>
      <c r="C828" s="173" t="s">
        <v>42</v>
      </c>
      <c r="D828" s="173" t="s">
        <v>41</v>
      </c>
      <c r="E828" s="173" t="s">
        <v>40</v>
      </c>
      <c r="F828" s="173" t="s">
        <v>39</v>
      </c>
      <c r="G828" s="174" t="s">
        <v>23</v>
      </c>
    </row>
    <row r="829" spans="1:9">
      <c r="A829" s="175" t="s">
        <v>276</v>
      </c>
      <c r="B829" s="176" t="s">
        <v>605</v>
      </c>
      <c r="C829" s="177"/>
      <c r="D829" s="177" t="s">
        <v>38</v>
      </c>
      <c r="E829" s="177" t="s">
        <v>37</v>
      </c>
      <c r="F829" s="177"/>
      <c r="G829" s="178"/>
    </row>
    <row r="831" spans="1:9" ht="13">
      <c r="A831" s="360" t="s">
        <v>24</v>
      </c>
      <c r="B831" s="361"/>
      <c r="C831" s="362" t="str">
        <f>SFLASH.512_ver2!$E$117</f>
        <v>TOC2_REVISION</v>
      </c>
      <c r="D831" s="363"/>
      <c r="E831" s="363"/>
      <c r="F831" s="363"/>
      <c r="G831" s="364"/>
      <c r="I831" s="351" t="s">
        <v>34459</v>
      </c>
    </row>
    <row r="832" spans="1:9" ht="15.5">
      <c r="A832" s="360" t="s">
        <v>47</v>
      </c>
      <c r="B832" s="361"/>
      <c r="C832" s="365">
        <f>SFLASH.512_ver2!$C$117</f>
        <v>1</v>
      </c>
      <c r="D832" s="363"/>
      <c r="E832" s="363"/>
      <c r="F832" s="363"/>
      <c r="G832" s="364"/>
    </row>
    <row r="833" spans="1:10" ht="15.5">
      <c r="A833" s="360" t="s">
        <v>23</v>
      </c>
      <c r="B833" s="361"/>
      <c r="C833" s="365" t="str">
        <f>SFLASH.512_ver2!$F$117</f>
        <v>Indicates TOC2 Revision. It is not used now.</v>
      </c>
      <c r="D833" s="366"/>
      <c r="E833" s="366"/>
      <c r="F833" s="363"/>
      <c r="G833" s="367"/>
    </row>
    <row r="834" spans="1:10" ht="13">
      <c r="A834" s="360" t="s">
        <v>44</v>
      </c>
      <c r="B834" s="361"/>
      <c r="C834" s="424"/>
      <c r="D834" s="424"/>
      <c r="E834" s="424"/>
      <c r="F834" s="424"/>
      <c r="G834" s="424"/>
    </row>
    <row r="835" spans="1:10" ht="13">
      <c r="A835" s="368" t="s">
        <v>43</v>
      </c>
      <c r="B835" s="369" t="s">
        <v>24</v>
      </c>
      <c r="C835" s="370" t="s">
        <v>42</v>
      </c>
      <c r="D835" s="370" t="s">
        <v>41</v>
      </c>
      <c r="E835" s="370" t="s">
        <v>40</v>
      </c>
      <c r="F835" s="370" t="s">
        <v>39</v>
      </c>
      <c r="G835" s="371" t="s">
        <v>23</v>
      </c>
    </row>
    <row r="836" spans="1:10" ht="25">
      <c r="A836" s="372" t="s">
        <v>276</v>
      </c>
      <c r="B836" s="373" t="s">
        <v>605</v>
      </c>
      <c r="C836" s="374"/>
      <c r="D836" s="374" t="s">
        <v>38</v>
      </c>
      <c r="E836" s="374" t="s">
        <v>37</v>
      </c>
      <c r="F836" s="374"/>
      <c r="G836" s="375" t="s">
        <v>34512</v>
      </c>
    </row>
    <row r="838" spans="1:10" ht="13">
      <c r="A838" s="158" t="s">
        <v>24</v>
      </c>
      <c r="B838" s="159"/>
      <c r="C838" s="11" t="str">
        <f>SFLASH.512_ver2!$E$118</f>
        <v>TOC2_FLAGS</v>
      </c>
      <c r="D838" s="167"/>
      <c r="E838" s="167"/>
      <c r="F838" s="167"/>
      <c r="G838" s="168"/>
    </row>
    <row r="839" spans="1:10" ht="15.5">
      <c r="A839" s="158" t="s">
        <v>47</v>
      </c>
      <c r="B839" s="159"/>
      <c r="C839" s="188">
        <f>SFLASH.512_ver2!$C$118</f>
        <v>1</v>
      </c>
      <c r="D839" s="167"/>
      <c r="E839" s="167"/>
      <c r="F839" s="167"/>
      <c r="G839" s="168"/>
    </row>
    <row r="840" spans="1:10" ht="15.5">
      <c r="A840" s="158" t="s">
        <v>23</v>
      </c>
      <c r="B840" s="159"/>
      <c r="C840" s="188" t="str">
        <f>SFLASH.512_ver2!$F$118</f>
        <v>Controls default configuration</v>
      </c>
      <c r="D840" s="169"/>
      <c r="E840" s="169"/>
      <c r="F840" s="167"/>
      <c r="G840" s="170"/>
    </row>
    <row r="841" spans="1:10" ht="13">
      <c r="A841" s="158" t="s">
        <v>44</v>
      </c>
      <c r="B841" s="159"/>
      <c r="C841" s="424" t="s">
        <v>34806</v>
      </c>
      <c r="D841" s="424"/>
      <c r="E841" s="424"/>
      <c r="F841" s="424"/>
      <c r="G841" s="424"/>
      <c r="I841" s="3" t="s">
        <v>34456</v>
      </c>
    </row>
    <row r="842" spans="1:10" ht="13">
      <c r="A842" s="171" t="s">
        <v>43</v>
      </c>
      <c r="B842" s="172" t="s">
        <v>24</v>
      </c>
      <c r="C842" s="173" t="s">
        <v>42</v>
      </c>
      <c r="D842" s="173" t="s">
        <v>41</v>
      </c>
      <c r="E842" s="173" t="s">
        <v>40</v>
      </c>
      <c r="F842" s="173" t="s">
        <v>39</v>
      </c>
      <c r="G842" s="174" t="s">
        <v>23</v>
      </c>
    </row>
    <row r="843" spans="1:10" ht="87.5">
      <c r="A843" s="166" t="s">
        <v>960</v>
      </c>
      <c r="B843" s="281" t="s">
        <v>33958</v>
      </c>
      <c r="C843" s="240"/>
      <c r="D843" s="240" t="s">
        <v>38</v>
      </c>
      <c r="E843" s="240">
        <v>3</v>
      </c>
      <c r="F843" s="240"/>
      <c r="G843" s="232" t="s">
        <v>34807</v>
      </c>
    </row>
    <row r="844" spans="1:10" ht="100">
      <c r="A844" s="166" t="s">
        <v>33959</v>
      </c>
      <c r="B844" s="281" t="s">
        <v>33960</v>
      </c>
      <c r="C844" s="240"/>
      <c r="D844" s="240" t="s">
        <v>38</v>
      </c>
      <c r="E844" s="240">
        <v>0</v>
      </c>
      <c r="F844" s="240"/>
      <c r="G844" s="289" t="s">
        <v>34805</v>
      </c>
    </row>
    <row r="845" spans="1:10" ht="75">
      <c r="A845" s="377" t="s">
        <v>34462</v>
      </c>
      <c r="B845" s="378" t="s">
        <v>34317</v>
      </c>
      <c r="C845" s="379"/>
      <c r="D845" s="379" t="s">
        <v>38</v>
      </c>
      <c r="E845" s="379">
        <v>2</v>
      </c>
      <c r="F845" s="379"/>
      <c r="G845" s="380" t="s">
        <v>34464</v>
      </c>
    </row>
    <row r="846" spans="1:10" ht="75">
      <c r="A846" s="377" t="s">
        <v>34460</v>
      </c>
      <c r="B846" s="338" t="s">
        <v>34513</v>
      </c>
      <c r="C846" s="379"/>
      <c r="D846" s="379" t="s">
        <v>38</v>
      </c>
      <c r="E846" s="379">
        <v>0</v>
      </c>
      <c r="F846" s="379"/>
      <c r="G846" s="380" t="s">
        <v>34463</v>
      </c>
      <c r="I846" s="351" t="s">
        <v>34459</v>
      </c>
      <c r="J846" s="351" t="s">
        <v>280</v>
      </c>
    </row>
    <row r="847" spans="1:10" ht="62.5">
      <c r="A847" s="377" t="s">
        <v>34461</v>
      </c>
      <c r="B847" s="338" t="s">
        <v>34514</v>
      </c>
      <c r="C847" s="379"/>
      <c r="D847" s="379" t="s">
        <v>38</v>
      </c>
      <c r="E847" s="379">
        <v>1</v>
      </c>
      <c r="F847" s="379"/>
      <c r="G847" s="380" t="s">
        <v>34465</v>
      </c>
    </row>
    <row r="848" spans="1:10">
      <c r="A848" s="179"/>
      <c r="B848" s="208"/>
      <c r="C848" s="167"/>
      <c r="D848" s="167"/>
      <c r="E848" s="167"/>
      <c r="F848" s="167"/>
      <c r="G848" s="168"/>
    </row>
  </sheetData>
  <mergeCells count="59">
    <mergeCell ref="C706:G706"/>
    <mergeCell ref="C642:G642"/>
    <mergeCell ref="C778:G778"/>
    <mergeCell ref="C785:G785"/>
    <mergeCell ref="C792:G792"/>
    <mergeCell ref="C674:G674"/>
    <mergeCell ref="C714:G714"/>
    <mergeCell ref="C729:G729"/>
    <mergeCell ref="C736:G736"/>
    <mergeCell ref="C743:G743"/>
    <mergeCell ref="C722:G722"/>
    <mergeCell ref="C750:G750"/>
    <mergeCell ref="C698:G698"/>
    <mergeCell ref="C682:G682"/>
    <mergeCell ref="C690:G690"/>
    <mergeCell ref="C841:G841"/>
    <mergeCell ref="C757:G757"/>
    <mergeCell ref="C820:G820"/>
    <mergeCell ref="C799:G799"/>
    <mergeCell ref="C827:G827"/>
    <mergeCell ref="C764:G764"/>
    <mergeCell ref="C771:G771"/>
    <mergeCell ref="C813:G813"/>
    <mergeCell ref="C834:G834"/>
    <mergeCell ref="C806:G806"/>
    <mergeCell ref="C572:G572"/>
    <mergeCell ref="C580:G580"/>
    <mergeCell ref="C650:G650"/>
    <mergeCell ref="C658:G658"/>
    <mergeCell ref="C666:G666"/>
    <mergeCell ref="C588:G588"/>
    <mergeCell ref="C596:G596"/>
    <mergeCell ref="C635:G635"/>
    <mergeCell ref="C627:G627"/>
    <mergeCell ref="C604:G604"/>
    <mergeCell ref="C612:G612"/>
    <mergeCell ref="C620:G620"/>
    <mergeCell ref="C465:G465"/>
    <mergeCell ref="C472:G472"/>
    <mergeCell ref="C479:G479"/>
    <mergeCell ref="C250:G250"/>
    <mergeCell ref="C258:G258"/>
    <mergeCell ref="C538:G538"/>
    <mergeCell ref="C546:G546"/>
    <mergeCell ref="C556:G556"/>
    <mergeCell ref="C564:G564"/>
    <mergeCell ref="C486:G486"/>
    <mergeCell ref="C530:G530"/>
    <mergeCell ref="C221:G221"/>
    <mergeCell ref="C234:G234"/>
    <mergeCell ref="C458:G458"/>
    <mergeCell ref="C450:G450"/>
    <mergeCell ref="C67:G67"/>
    <mergeCell ref="C189:G189"/>
    <mergeCell ref="C242:G242"/>
    <mergeCell ref="C197:G197"/>
    <mergeCell ref="C205:G205"/>
    <mergeCell ref="C213:G213"/>
    <mergeCell ref="C75:G75"/>
  </mergeCells>
  <phoneticPr fontId="53"/>
  <hyperlinks>
    <hyperlink ref="C161" location="SFLASH.512_ver2!E25" display="SFLASH.512_ver2!E25" xr:uid="{00000000-0004-0000-0500-000000000000}"/>
    <hyperlink ref="C177" location="SFLASH.512_ver2!E25" display="SFLASH.512_ver2!E25" xr:uid="{00000000-0004-0000-0500-000001000000}"/>
    <hyperlink ref="C169" location="SFLASH.512_ver2!E24" display="SFLASH.512_ver2!E24" xr:uid="{00000000-0004-0000-0500-000002000000}"/>
    <hyperlink ref="C47" location="SFLASH.512_ver2!E18" display="SFLASH.512_ver2!E18" xr:uid="{00000000-0004-0000-0500-000003000000}"/>
    <hyperlink ref="C55" location="SFLASH.512_ver2!E19" display="SFLASH.512_ver2!E19" xr:uid="{00000000-0004-0000-0500-000004000000}"/>
    <hyperlink ref="C1" location="SFLASH.512_ver2!E12" display="SFLASH.512_ver2!E12" xr:uid="{00000000-0004-0000-0500-000005000000}"/>
    <hyperlink ref="C79" location="SFLASH.512_ver2!E22" display="SFLASH.512_ver2!E22" xr:uid="{00000000-0004-0000-0500-000006000000}"/>
    <hyperlink ref="C87" location="SFLASH.512_ver2!E22" display="SFLASH.512_ver2!E22" xr:uid="{00000000-0004-0000-0500-000007000000}"/>
    <hyperlink ref="C8" location="SFLASH.512_ver2!E13" display="SFLASH.512_ver2!E13" xr:uid="{00000000-0004-0000-0500-000008000000}"/>
    <hyperlink ref="C15" location="SFLASH.512_ver2!E14" display="SFLASH.512_ver2!E14" xr:uid="{00000000-0004-0000-0500-000009000000}"/>
    <hyperlink ref="C23" location="SFLASH.512_ver2!E15" display="SFLASH.512_ver2!E15" xr:uid="{00000000-0004-0000-0500-00000A000000}"/>
    <hyperlink ref="C31" location="SFLASH.512_ver2!E16" display="SFLASH.512_ver2!E16" xr:uid="{00000000-0004-0000-0500-00000B000000}"/>
    <hyperlink ref="C39" location="SFLASH.512_ver2!E17" display="SFLASH.512_ver2!E17" xr:uid="{00000000-0004-0000-0500-00000C000000}"/>
    <hyperlink ref="C185" location="SFLASH.512_ver2!E26" display="SFLASH.512_ver2!E26" xr:uid="{00000000-0004-0000-0500-00000D000000}"/>
    <hyperlink ref="C193" location="SFLASH.512_ver2!E27" display="SFLASH.512_ver2!E27" xr:uid="{00000000-0004-0000-0500-00000E000000}"/>
    <hyperlink ref="C201" location="SFLASH.512_ver2!E28" display="SFLASH.512_ver2!E28" xr:uid="{00000000-0004-0000-0500-00000F000000}"/>
    <hyperlink ref="C209" location="SFLASH.512_ver2!E29" display="SFLASH.512_ver2!E29" xr:uid="{00000000-0004-0000-0500-000010000000}"/>
    <hyperlink ref="C217" location="SFLASH.512_ver2!E30" display="SFLASH.512_ver2!E30" xr:uid="{00000000-0004-0000-0500-000011000000}"/>
    <hyperlink ref="C230" location="SFLASH.512_ver2!E31" display="SFLASH.512_ver2!E31" xr:uid="{00000000-0004-0000-0500-000012000000}"/>
    <hyperlink ref="C238" location="SFLASH.512_ver2!E32" display="SFLASH.512_ver2!E32" xr:uid="{00000000-0004-0000-0500-000013000000}"/>
    <hyperlink ref="C246" location="SFLASH.512_ver2!E33" display="SFLASH.512_ver2!E33" xr:uid="{00000000-0004-0000-0500-000014000000}"/>
    <hyperlink ref="C254" location="SFLASH.512_ver2!E35" display="SFLASH.512_ver2!E35" xr:uid="{00000000-0004-0000-0500-000015000000}"/>
    <hyperlink ref="C462" location="SFLASH.512_ver2!E39" display="SFLASH.512_ver2!E39" xr:uid="{00000000-0004-0000-0500-000016000000}"/>
    <hyperlink ref="C469" location="SFLASH.512_ver2!E40" display="SFLASH.512_ver2!E40" xr:uid="{00000000-0004-0000-0500-000017000000}"/>
    <hyperlink ref="C534" location="SFLASH.512_ver2!E78" display="SFLASH.512_ver2!E78" xr:uid="{00000000-0004-0000-0500-000018000000}"/>
    <hyperlink ref="C542" location="SFLASH.512_ver2!E79" display="SFLASH.512_ver2!E79" xr:uid="{00000000-0004-0000-0500-000019000000}"/>
    <hyperlink ref="C552" location="SFLASH.512_ver2!E80" display="SFLASH.512_ver2!E80" xr:uid="{00000000-0004-0000-0500-00001A000000}"/>
    <hyperlink ref="C560" location="SFLASH.512_ver2!E81" display="SFLASH.512_ver2!E81" xr:uid="{00000000-0004-0000-0500-00001B000000}"/>
    <hyperlink ref="C568" location="SFLASH.512_ver2!E82" display="SFLASH.512_ver2!E82" xr:uid="{00000000-0004-0000-0500-00001C000000}"/>
    <hyperlink ref="C576" location="SFLASH.512_ver2!E83" display="SFLASH.512_ver2!E83" xr:uid="{00000000-0004-0000-0500-00001D000000}"/>
    <hyperlink ref="C584" location="SFLASH.512_ver2!E84" display="SFLASH.512_ver2!E84" xr:uid="{00000000-0004-0000-0500-00001E000000}"/>
    <hyperlink ref="C624" location="SFLASH.512_ver2!E50" display="SFLASH.512_ver2!E50" xr:uid="{00000000-0004-0000-0500-000020000000}"/>
    <hyperlink ref="C631" location="SFLASH.512_ver2!E51" display="SFLASH.512_ver2!E51" xr:uid="{00000000-0004-0000-0500-000021000000}"/>
    <hyperlink ref="C639" location="SFLASH.512_ver2!E52" display="SFLASH.512_ver2!E52" xr:uid="{00000000-0004-0000-0500-000022000000}"/>
    <hyperlink ref="C646" location="SFLASH.512_ver2!E61" display="SFLASH.512_ver2!E61" xr:uid="{00000000-0004-0000-0500-000023000000}"/>
    <hyperlink ref="C654" location="SFLASH.512_ver2!E62" display="SFLASH.512_ver2!E62" xr:uid="{00000000-0004-0000-0500-000024000000}"/>
    <hyperlink ref="C662" location="SFLASH.512_ver2!E55" display="SFLASH.512_ver2!E55" xr:uid="{00000000-0004-0000-0500-000025000000}"/>
    <hyperlink ref="C670" location="SFLASH.512_ver2!R55C1" display="SFLASH.512_ver2!R55C1" xr:uid="{00000000-0004-0000-0500-000026000000}"/>
    <hyperlink ref="C678" location="SFLASH.512_ver2!E57" display="SFLASH.512_ver2!E57" xr:uid="{00000000-0004-0000-0500-000027000000}"/>
    <hyperlink ref="C686" location="SFLASH.512_ver2!E58" display="SFLASH.512_ver2!E58" xr:uid="{00000000-0004-0000-0500-000028000000}"/>
    <hyperlink ref="C694" location="SFLASH.512_ver2!R58C1" display="SFLASH.512_ver2!R58C1" xr:uid="{00000000-0004-0000-0500-000029000000}"/>
    <hyperlink ref="C702" location="SFLASH.512_ver2!R59C1" display="SFLASH.512_ver2!R59C1" xr:uid="{00000000-0004-0000-0500-00002A000000}"/>
    <hyperlink ref="C710" location="SFLASH.512_ver2!R60C1" display="SFLASH.512_ver2!R60C1" xr:uid="{00000000-0004-0000-0500-00002B000000}"/>
    <hyperlink ref="C718" location="SFLASH.512_ver2!E70" display="SFLASH.512_ver2!E70" xr:uid="{00000000-0004-0000-0500-00002C000000}"/>
    <hyperlink ref="C726" location="SFLASH.512_ver2!E71" display="SFLASH.512_ver2!E71" xr:uid="{00000000-0004-0000-0500-00002D000000}"/>
    <hyperlink ref="C733" location="SFLASH.512_ver2!E66" display="SFLASH.512_ver2!E66" xr:uid="{00000000-0004-0000-0500-00002E000000}"/>
    <hyperlink ref="C740" location="SFLASH.512_ver2!E67" display="SFLASH.512_ver2!E67" xr:uid="{00000000-0004-0000-0500-00002F000000}"/>
    <hyperlink ref="C747" location="SFLASH.512_ver2!E68" display="SFLASH.512_ver2!E68" xr:uid="{00000000-0004-0000-0500-000030000000}"/>
    <hyperlink ref="C754" location="SFLASH.512_ver2!E69" display="SFLASH.512_ver2!E69" xr:uid="{00000000-0004-0000-0500-000031000000}"/>
    <hyperlink ref="C761" location="SFLASH.512_ver2!E70" display="SFLASH.512_ver2!E70" xr:uid="{00000000-0004-0000-0500-000032000000}"/>
    <hyperlink ref="C768" location="SFLASH.512_ver2!E71" display="SFLASH.512_ver2!E71" xr:uid="{00000000-0004-0000-0500-000033000000}"/>
    <hyperlink ref="C775" location="SFLASH.512_ver2!E72" display="SFLASH.512_ver2!E72" xr:uid="{00000000-0004-0000-0500-000034000000}"/>
    <hyperlink ref="C782" location="SFLASH.512_ver2!E73" display="SFLASH.512_ver2!E73" xr:uid="{00000000-0004-0000-0500-000035000000}"/>
    <hyperlink ref="C789" location="SFLASH.512_ver2!E74" display="SFLASH.512_ver2!E74" xr:uid="{00000000-0004-0000-0500-000036000000}"/>
    <hyperlink ref="C796" location="SFLASH.512_ver2!E75" display="SFLASH.512_ver2!E75" xr:uid="{00000000-0004-0000-0500-000037000000}"/>
    <hyperlink ref="C810" location="SFLASH.512_ver2!E114" display="SFLASH.512_ver2!E114" xr:uid="{00000000-0004-0000-0500-000038000000}"/>
    <hyperlink ref="C817" location="SFLASH.512_ver2!E77" display="SFLASH.512_ver2!E77" xr:uid="{00000000-0004-0000-0500-000039000000}"/>
    <hyperlink ref="C838" location="SFLASH.512_ver2!A80" display="SFLASH.512_ver2!A80" xr:uid="{00000000-0004-0000-0500-00003A000000}"/>
    <hyperlink ref="C476" location="SFLASH.512_ver2!E41" display="SFLASH.512_ver2!E41" xr:uid="{00000000-0004-0000-0500-00003B000000}"/>
    <hyperlink ref="C490" location="SFLASH.512_ver2!E41" display="SFLASH.512_ver2!E41" xr:uid="{00000000-0004-0000-0500-00003C000000}"/>
    <hyperlink ref="C508" location="SFLASH.512_ver2!E41" display="SFLASH.512_ver2!E41" xr:uid="{00000000-0004-0000-0500-00003D000000}"/>
    <hyperlink ref="C824" location="SFLASH.512_ver2!R75C1" display="SFLASH.512_ver2!R75C1" xr:uid="{00000000-0004-0000-0500-00003E000000}"/>
    <hyperlink ref="C455" location="SFLASH.512_ver2!E39" display="SFLASH.512_ver2!E39" xr:uid="{00000000-0004-0000-0500-00003F000000}"/>
    <hyperlink ref="C447" location="SFLASH.512_ver2!E37" display="SFLASH.512_ver2!E37" xr:uid="{00000000-0004-0000-0500-000040000000}"/>
    <hyperlink ref="C63" location="SFLASH.512_ver2!E20" display="SFLASH.512_ver2!E20" xr:uid="{00000000-0004-0000-0500-000041000000}"/>
    <hyperlink ref="C71" location="SFLASH.512_ver2!E21" display="SFLASH.512_ver2!E21" xr:uid="{00000000-0004-0000-0500-000042000000}"/>
    <hyperlink ref="C831" location="SFLASH.512_ver2!A79" display="SFLASH.512_ver2!A79" xr:uid="{00000000-0004-0000-0500-000043000000}"/>
    <hyperlink ref="C151" location="SFLASH.512_ver2!E31" display="SFLASH.512_ver2!E31" xr:uid="{680067C6-C7A8-4D13-8752-C85C10F75AB1}"/>
    <hyperlink ref="C119" location="SFLASH.512_ver2!E25" display="SFLASH.512_ver2!E25" xr:uid="{BBC391CA-7832-4E88-9F31-E92FDCAB8B52}"/>
    <hyperlink ref="C127" location="SFLASH.512_ver2!E26" display="SFLASH.512_ver2!E26" xr:uid="{C8FC337B-19AC-4037-9CF7-9951CE5526DC}"/>
    <hyperlink ref="C135" location="SFLASH.512_ver2!E27" display="SFLASH.512_ver2!E27" xr:uid="{93CE5E17-C73B-44CB-AC3A-EACBCEDE84E8}"/>
    <hyperlink ref="C143" location="SFLASH.512_ver2!E28" display="SFLASH.512_ver2!E28" xr:uid="{F7E17413-F0E9-4E4B-B67E-825DD566404B}"/>
    <hyperlink ref="C103" location="SFLASH.512_ver2!E24" display="SFLASH.512_ver2!E24" xr:uid="{584D803D-D39C-46D3-AD4E-814EC54802A3}"/>
    <hyperlink ref="C111" location="SFLASH.512_ver2!E24" display="SFLASH.512_ver2!E24" xr:uid="{A218EDA2-6168-4457-9B51-8083D725947A}"/>
    <hyperlink ref="C95" location="SFLASH.512_ver2!E24" display="SFLASH.512_ver2!E24" xr:uid="{CA2F5C53-F21F-4762-96AE-FF589D5FA97A}"/>
    <hyperlink ref="C262" location="SFLASH.512_ver2!E23" display="GENERAL_TRIM_TABLE" xr:uid="{8E737E09-E1BD-4D4D-A8A2-6831C7016414}"/>
    <hyperlink ref="C270" location="SFLASH.512_ver2!E23" display="GENERAL_TRIM_TABLE" xr:uid="{C47C7842-BB96-4870-9A97-19064CE83A56}"/>
    <hyperlink ref="C278" location="SFLASH.512_ver2!E23" display="GENERAL_TRIM_TABLE" xr:uid="{D68483D9-A876-4FA9-B5DE-509BB9BC8C0F}"/>
    <hyperlink ref="C286" location="SFLASH.512_ver2!E23" display="GENERAL_TRIM_TABLE" xr:uid="{749C2BAE-D67F-477C-A305-98AC15AFA851}"/>
    <hyperlink ref="C293" location="SFLASH.512_ver2!E23" display="GENERAL_TRIM_TABLE" xr:uid="{0004D2A9-09EE-4EE3-8F99-1FC30696C159}"/>
    <hyperlink ref="C300" location="SFLASH.512_ver2!E23" display="GENERAL_TRIM_TABLE" xr:uid="{2676813D-77CC-4176-8B8B-9B499EE21AF8}"/>
    <hyperlink ref="C307" location="SFLASH.512_ver2!E23" display="GENERAL_TRIM_TABLE" xr:uid="{229F32F1-1F28-4F84-8E6E-6CD346D51172}"/>
    <hyperlink ref="C314" location="SFLASH.512_ver2!E23" display="GENERAL_TRIM_TABLE" xr:uid="{000ADFDA-767D-4FA2-9B66-3306EAEE9CB9}"/>
    <hyperlink ref="C321" location="SFLASH.512_ver2!E23" display="GENERAL_TRIM_TABLE" xr:uid="{DF7BCA94-24FA-4861-8EA2-5B30C496B34B}"/>
    <hyperlink ref="C328" location="SFLASH.512_ver2!E23" display="GENERAL_TRIM_TABLE" xr:uid="{EB363E68-BC15-44D1-8D5F-C770C390C097}"/>
    <hyperlink ref="C335" location="SFLASH.512_ver2!E23" display="GENERAL_TRIM_TABLE" xr:uid="{1C4DAE82-074E-4E28-8A6C-C56071AE96ED}"/>
    <hyperlink ref="C342" location="SFLASH.512_ver2!E23" display="GENERAL_TRIM_TABLE" xr:uid="{D2141736-45FE-4944-AF0F-6CE5A3A8598D}"/>
    <hyperlink ref="C349" location="SFLASH.512_ver2!E23" display="GENERAL_TRIM_TABLE" xr:uid="{70A92D2E-389A-4077-B4F8-F13EED761C21}"/>
    <hyperlink ref="C357" location="SFLASH.512_ver2!E23" display="GENERAL_TRIM_TABLE" xr:uid="{DA3A7830-8049-454B-A599-C5A4D2A330C6}"/>
    <hyperlink ref="C365" location="SFLASH.512_ver2!E23" display="GENERAL_TRIM_TABLE" xr:uid="{B41DD873-F327-4EEA-B73F-E6422B6D4343}"/>
    <hyperlink ref="C373" location="SFLASH.512_ver2!E23" display="GENERAL_TRIM_TABLE" xr:uid="{9F95F912-59CC-4C3E-8329-20C5DC12FEC6}"/>
    <hyperlink ref="C381" location="SFLASH.512_ver2!E23" display="GENERAL_TRIM_TABLE" xr:uid="{EBB4DDFC-410A-4A98-8BA6-2526D10A9449}"/>
    <hyperlink ref="C389" location="SFLASH.512_ver2!E23" display="GENERAL_TRIM_TABLE" xr:uid="{32EF43FF-A65F-4A81-A372-9A35770D84AA}"/>
    <hyperlink ref="C396" location="SFLASH.512_ver2!E23" display="GENERAL_TRIM_TABLE" xr:uid="{3BA40B4C-E58A-48AC-9671-F86F0510E440}"/>
    <hyperlink ref="C403" location="SFLASH.512_ver2!E23" display="GENERAL_TRIM_TABLE" xr:uid="{E2204A6F-1406-49D3-9A1C-C2F955C737A5}"/>
    <hyperlink ref="C410" location="SFLASH.512_ver2!E23" display="GENERAL_TRIM_TABLE" xr:uid="{BD7512D3-0475-48ED-9297-63B2A5EE04A8}"/>
    <hyperlink ref="C417" location="SFLASH.512_ver2!E23" display="GENERAL_TRIM_TABLE" xr:uid="{EFA26925-A6F3-4706-A7CE-C032187C82BE}"/>
    <hyperlink ref="C424" location="SFLASH.512_ver2!E23" display="GENERAL_TRIM_TABLE" xr:uid="{8D2758DE-CD4F-48FA-9CDB-189BAE2A59F4}"/>
    <hyperlink ref="C431" location="SFLASH.512_ver2!E23" display="GENERAL_TRIM_TABLE" xr:uid="{3EAB21F4-52D6-4D05-B742-5AFB0B5B30F8}"/>
    <hyperlink ref="C439" location="SFLASH.512_ver2!E23" display="GENERAL_TRIM_TABLE" xr:uid="{0F3A3915-F4A3-4707-A678-F5112A82CDC5}"/>
    <hyperlink ref="C592" location="SFLASH.512_ver2!E85" display="SFLASH.512_ver2!E85" xr:uid="{3A44164F-E69D-48E0-A7FF-534E81A3FB2E}"/>
    <hyperlink ref="C600" location="SFLASH.512_ver2!E86" display="SFLASH.512_ver2!E86" xr:uid="{2A512448-9C60-4EB7-9748-37C86A2F0A9F}"/>
    <hyperlink ref="C608" location="SFLASH.512_ver2!E87" display="SFLASH.512_ver2!E87" xr:uid="{F5C32D32-36AB-4BD9-8174-61215BDAF759}"/>
    <hyperlink ref="C616" location="SFLASH.512_ver2!E88" display="SFLASH.512_ver2!E88" xr:uid="{254B63F6-84E7-4A93-977D-B59FE951BB82}"/>
    <hyperlink ref="C526" location="SFLASH.512_ver2!E77" display="SFLASH.512_ver2!E77" xr:uid="{725E5E78-3FFE-4116-8E86-158A231017DE}"/>
    <hyperlink ref="C803" location="SFLASH.512_ver2!E113" display="SFLASH.512_ver2!E113" xr:uid="{E89D3FA6-DCD3-4D8A-B7F1-23E6F71C3E8B}"/>
  </hyperlink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51"/>
  <sheetViews>
    <sheetView showGridLines="0" zoomScaleNormal="100" workbookViewId="0">
      <selection activeCell="C4" sqref="C4:G4"/>
    </sheetView>
  </sheetViews>
  <sheetFormatPr defaultColWidth="11" defaultRowHeight="15.5"/>
  <cols>
    <col min="1" max="1" width="36.58203125" bestFit="1" customWidth="1"/>
    <col min="2" max="2" width="1.83203125" customWidth="1"/>
    <col min="3" max="3" width="15.6640625" customWidth="1"/>
    <col min="5" max="5" width="10.83203125" style="62" customWidth="1"/>
    <col min="6" max="6" width="8.5" bestFit="1" customWidth="1"/>
    <col min="7" max="7" width="41.83203125" bestFit="1" customWidth="1"/>
    <col min="8" max="8" width="41.83203125" customWidth="1"/>
    <col min="9" max="9" width="5" customWidth="1"/>
    <col min="10" max="13" width="11" customWidth="1"/>
    <col min="14" max="14" width="37" customWidth="1"/>
    <col min="15" max="15" width="3.83203125" customWidth="1"/>
    <col min="20" max="20" width="38.08203125" customWidth="1"/>
  </cols>
  <sheetData>
    <row r="1" spans="1:20" s="29" customFormat="1" ht="19.5">
      <c r="A1" s="31" t="s">
        <v>267</v>
      </c>
      <c r="B1" s="30"/>
      <c r="C1" s="30"/>
      <c r="D1" s="28"/>
      <c r="E1" s="60"/>
      <c r="F1" s="27"/>
      <c r="G1" s="41"/>
      <c r="H1" s="41"/>
      <c r="I1" s="41"/>
      <c r="J1" s="27"/>
      <c r="N1" s="28"/>
      <c r="O1" s="28"/>
    </row>
    <row r="2" spans="1:20" s="29" customFormat="1" ht="13.5">
      <c r="B2" s="32"/>
      <c r="C2" s="30"/>
      <c r="D2" s="28"/>
      <c r="E2" s="61"/>
      <c r="F2" s="27"/>
      <c r="G2" s="45"/>
      <c r="H2" s="45"/>
      <c r="I2" s="46"/>
      <c r="J2" s="45"/>
      <c r="N2" s="28"/>
      <c r="O2" s="28"/>
    </row>
    <row r="3" spans="1:20" s="29" customFormat="1" ht="15">
      <c r="A3" s="425" t="s">
        <v>63</v>
      </c>
      <c r="B3" s="425"/>
      <c r="C3" s="425"/>
      <c r="D3" s="425"/>
      <c r="E3" s="425"/>
      <c r="F3" s="425"/>
      <c r="G3" s="425"/>
      <c r="H3" s="425"/>
      <c r="I3" s="425"/>
      <c r="J3" s="425"/>
      <c r="K3" s="425"/>
      <c r="L3" s="425"/>
      <c r="M3" s="425"/>
      <c r="N3" s="425"/>
      <c r="O3" s="425"/>
      <c r="P3" s="425"/>
      <c r="Q3" s="425"/>
      <c r="R3" s="425"/>
      <c r="S3" s="425"/>
      <c r="T3" s="425"/>
    </row>
    <row r="4" spans="1:20" s="59" customFormat="1" ht="13.5">
      <c r="A4" s="64"/>
      <c r="B4" s="65"/>
      <c r="C4" s="429" t="s">
        <v>907</v>
      </c>
      <c r="D4" s="429"/>
      <c r="E4" s="429"/>
      <c r="F4" s="429"/>
      <c r="G4" s="429"/>
      <c r="H4" s="66"/>
      <c r="I4" s="66"/>
      <c r="J4" s="426" t="s">
        <v>906</v>
      </c>
      <c r="K4" s="427"/>
      <c r="L4" s="427"/>
      <c r="M4" s="427"/>
      <c r="N4" s="428"/>
      <c r="O4" s="66"/>
      <c r="P4" s="426" t="s">
        <v>101</v>
      </c>
      <c r="Q4" s="427"/>
      <c r="R4" s="427"/>
      <c r="S4" s="427"/>
      <c r="T4" s="428"/>
    </row>
    <row r="5" spans="1:20" s="29" customFormat="1" ht="13.5">
      <c r="A5" s="67" t="s">
        <v>24</v>
      </c>
      <c r="C5" s="68" t="s">
        <v>91</v>
      </c>
      <c r="D5" s="69" t="s">
        <v>64</v>
      </c>
      <c r="E5" s="69" t="s">
        <v>65</v>
      </c>
      <c r="F5" s="70" t="s">
        <v>66</v>
      </c>
      <c r="G5" s="71" t="s">
        <v>23</v>
      </c>
      <c r="H5" s="223" t="s">
        <v>658</v>
      </c>
      <c r="I5" s="28"/>
      <c r="J5" s="190" t="s">
        <v>91</v>
      </c>
      <c r="K5" s="191" t="s">
        <v>64</v>
      </c>
      <c r="L5" s="191" t="s">
        <v>65</v>
      </c>
      <c r="M5" s="192" t="s">
        <v>66</v>
      </c>
      <c r="N5" s="190" t="s">
        <v>23</v>
      </c>
      <c r="P5" s="190" t="s">
        <v>91</v>
      </c>
      <c r="Q5" s="191" t="s">
        <v>64</v>
      </c>
      <c r="R5" s="191" t="s">
        <v>65</v>
      </c>
      <c r="S5" s="192" t="s">
        <v>66</v>
      </c>
      <c r="T5" s="190" t="s">
        <v>23</v>
      </c>
    </row>
    <row r="6" spans="1:20" s="29" customFormat="1" ht="17.25" customHeight="1">
      <c r="A6" s="63" t="s">
        <v>977</v>
      </c>
      <c r="C6" s="39" t="s">
        <v>980</v>
      </c>
      <c r="D6" s="39" t="s">
        <v>49</v>
      </c>
      <c r="E6" s="39" t="s">
        <v>49</v>
      </c>
      <c r="F6" s="47">
        <v>2</v>
      </c>
      <c r="G6" s="189" t="s">
        <v>270</v>
      </c>
      <c r="H6" s="226" t="s">
        <v>659</v>
      </c>
    </row>
    <row r="7" spans="1:20" s="29" customFormat="1" ht="24.75" customHeight="1">
      <c r="A7" s="63" t="s">
        <v>269</v>
      </c>
      <c r="C7" s="39" t="s">
        <v>981</v>
      </c>
      <c r="D7" s="39" t="s">
        <v>49</v>
      </c>
      <c r="E7" s="39" t="s">
        <v>49</v>
      </c>
      <c r="F7" s="47">
        <v>4</v>
      </c>
      <c r="G7" s="189" t="s">
        <v>271</v>
      </c>
      <c r="H7" s="226" t="s">
        <v>659</v>
      </c>
    </row>
    <row r="8" spans="1:20" s="29" customFormat="1" ht="30.75" customHeight="1">
      <c r="A8" s="63" t="s">
        <v>976</v>
      </c>
      <c r="C8" s="39" t="s">
        <v>1014</v>
      </c>
      <c r="D8" s="39" t="s">
        <v>49</v>
      </c>
      <c r="E8" s="39" t="s">
        <v>54</v>
      </c>
      <c r="F8" s="47">
        <v>512</v>
      </c>
      <c r="G8" s="189" t="s">
        <v>272</v>
      </c>
      <c r="H8" s="226" t="s">
        <v>659</v>
      </c>
    </row>
    <row r="9" spans="1:20" s="29" customFormat="1" ht="30.75" customHeight="1">
      <c r="A9" s="433" t="s">
        <v>34098</v>
      </c>
      <c r="C9" s="309" t="s">
        <v>34100</v>
      </c>
      <c r="D9" s="309" t="s">
        <v>49</v>
      </c>
      <c r="E9" s="309" t="s">
        <v>55</v>
      </c>
      <c r="F9" s="310">
        <v>4</v>
      </c>
      <c r="G9" s="311" t="str">
        <f>SFLASH.512_ver2!$F$33</f>
        <v>Specifies DEVICE_SECRET_KEY_TEST object size</v>
      </c>
      <c r="H9" s="226" t="s">
        <v>34101</v>
      </c>
    </row>
    <row r="10" spans="1:20" s="29" customFormat="1" ht="30.75" customHeight="1">
      <c r="A10" s="434"/>
      <c r="C10" s="309" t="s">
        <v>34109</v>
      </c>
      <c r="D10" s="309" t="s">
        <v>49</v>
      </c>
      <c r="E10" s="309" t="s">
        <v>55</v>
      </c>
      <c r="F10" s="310">
        <v>32</v>
      </c>
      <c r="G10" s="311" t="str">
        <f>SFLASH.512_ver2!$F$34</f>
        <v xml:space="preserve">Used to monitor the quality of the generated device secret keys. </v>
      </c>
      <c r="H10" s="226" t="s">
        <v>34101</v>
      </c>
    </row>
    <row r="11" spans="1:20" s="29" customFormat="1" ht="13.5">
      <c r="A11" s="193" t="s">
        <v>102</v>
      </c>
      <c r="C11" s="195" t="s">
        <v>983</v>
      </c>
      <c r="D11" s="195" t="s">
        <v>49</v>
      </c>
      <c r="E11" s="195" t="s">
        <v>56</v>
      </c>
      <c r="F11" s="196">
        <v>11</v>
      </c>
      <c r="G11" s="197" t="s">
        <v>68</v>
      </c>
      <c r="H11" s="227"/>
    </row>
    <row r="12" spans="1:20" s="29" customFormat="1" ht="13.5">
      <c r="A12" s="194" t="s">
        <v>523</v>
      </c>
      <c r="C12" s="269" t="s">
        <v>996</v>
      </c>
      <c r="D12" s="269">
        <v>0</v>
      </c>
      <c r="E12" s="269" t="s">
        <v>56</v>
      </c>
      <c r="F12" s="269" t="s">
        <v>56</v>
      </c>
      <c r="G12" s="197" t="s">
        <v>524</v>
      </c>
      <c r="H12" s="227"/>
    </row>
    <row r="13" spans="1:20" s="29" customFormat="1" ht="13.5">
      <c r="A13" s="63" t="s">
        <v>34438</v>
      </c>
      <c r="C13" s="209" t="s">
        <v>992</v>
      </c>
      <c r="D13" s="209" t="s">
        <v>49</v>
      </c>
      <c r="E13" s="209" t="s">
        <v>657</v>
      </c>
      <c r="F13" s="210">
        <v>2048</v>
      </c>
      <c r="G13" s="211" t="s">
        <v>150</v>
      </c>
      <c r="H13" s="228" t="s">
        <v>660</v>
      </c>
    </row>
    <row r="14" spans="1:20" s="29" customFormat="1" ht="12.75" customHeight="1">
      <c r="A14" s="430" t="s">
        <v>77</v>
      </c>
      <c r="C14" s="19" t="s">
        <v>997</v>
      </c>
      <c r="D14" s="19">
        <v>0</v>
      </c>
      <c r="E14" s="19">
        <v>12</v>
      </c>
      <c r="F14" s="244" t="s">
        <v>528</v>
      </c>
      <c r="G14" s="106" t="s">
        <v>34714</v>
      </c>
      <c r="H14" s="225" t="s">
        <v>959</v>
      </c>
    </row>
    <row r="15" spans="1:20" s="29" customFormat="1" ht="12.75" customHeight="1">
      <c r="A15" s="431"/>
      <c r="C15" s="19" t="s">
        <v>34309</v>
      </c>
      <c r="D15" s="19" t="s">
        <v>49</v>
      </c>
      <c r="E15" s="19" t="s">
        <v>869</v>
      </c>
      <c r="F15" s="244">
        <v>4</v>
      </c>
      <c r="G15" s="106" t="s">
        <v>268</v>
      </c>
      <c r="H15" s="225" t="s">
        <v>959</v>
      </c>
    </row>
    <row r="16" spans="1:20" s="29" customFormat="1" ht="12.75" customHeight="1">
      <c r="A16" s="432"/>
      <c r="C16" s="19" t="s">
        <v>34310</v>
      </c>
      <c r="D16" s="19" t="s">
        <v>49</v>
      </c>
      <c r="E16" s="19" t="s">
        <v>869</v>
      </c>
      <c r="F16" s="244">
        <v>4</v>
      </c>
      <c r="G16" s="106" t="s">
        <v>34311</v>
      </c>
      <c r="H16" s="225" t="s">
        <v>959</v>
      </c>
    </row>
    <row r="17" spans="1:20" s="29" customFormat="1" ht="13.5">
      <c r="A17" s="194" t="s">
        <v>273</v>
      </c>
      <c r="C17" s="199" t="s">
        <v>34706</v>
      </c>
      <c r="D17" s="199">
        <v>0</v>
      </c>
      <c r="E17" s="199" t="s">
        <v>34713</v>
      </c>
      <c r="F17" s="390">
        <f>50*512</f>
        <v>25600</v>
      </c>
      <c r="G17" s="224" t="s">
        <v>1020</v>
      </c>
      <c r="H17" s="198" t="s">
        <v>659</v>
      </c>
    </row>
    <row r="18" spans="1:20" s="29" customFormat="1" ht="13.5">
      <c r="A18" s="194" t="s">
        <v>840</v>
      </c>
      <c r="C18" s="262" t="s">
        <v>34286</v>
      </c>
      <c r="D18" s="262">
        <v>0</v>
      </c>
      <c r="E18" s="262" t="s">
        <v>34291</v>
      </c>
      <c r="F18" s="262">
        <f>6*512</f>
        <v>3072</v>
      </c>
      <c r="G18" s="282" t="s">
        <v>840</v>
      </c>
      <c r="H18" s="284" t="s">
        <v>660</v>
      </c>
    </row>
    <row r="19" spans="1:20" s="29" customFormat="1" ht="67.5">
      <c r="A19" s="194" t="s">
        <v>972</v>
      </c>
      <c r="C19" s="265" t="s">
        <v>34282</v>
      </c>
      <c r="D19" s="265">
        <v>0</v>
      </c>
      <c r="E19" s="265" t="s">
        <v>34283</v>
      </c>
      <c r="F19" s="265">
        <f>4*512</f>
        <v>2048</v>
      </c>
      <c r="G19" s="331" t="s">
        <v>34300</v>
      </c>
      <c r="H19" s="266"/>
    </row>
    <row r="20" spans="1:20" s="29" customFormat="1" ht="27">
      <c r="A20" s="194" t="s">
        <v>870</v>
      </c>
      <c r="C20" s="214" t="s">
        <v>1015</v>
      </c>
      <c r="D20" s="214">
        <v>0</v>
      </c>
      <c r="E20" s="214" t="s">
        <v>871</v>
      </c>
      <c r="F20" s="214">
        <f>2*512</f>
        <v>1024</v>
      </c>
      <c r="G20" s="283" t="s">
        <v>34284</v>
      </c>
      <c r="H20" s="285" t="s">
        <v>34285</v>
      </c>
    </row>
    <row r="21" spans="1:20" s="29" customFormat="1" ht="13.5"/>
    <row r="22" spans="1:20" s="29" customFormat="1" ht="13.5">
      <c r="F22" s="29" t="s">
        <v>280</v>
      </c>
    </row>
    <row r="23" spans="1:20" s="59" customFormat="1" ht="13.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</row>
    <row r="24" spans="1:20" s="29" customFormat="1" ht="13.5">
      <c r="F24" s="29" t="s">
        <v>280</v>
      </c>
    </row>
    <row r="25" spans="1:20" s="29" customFormat="1" ht="13.5" customHeight="1"/>
    <row r="26" spans="1:20" s="29" customFormat="1" ht="13.5">
      <c r="F26" s="29" t="s">
        <v>280</v>
      </c>
    </row>
    <row r="27" spans="1:20" s="29" customFormat="1" ht="5.25" customHeight="1"/>
    <row r="28" spans="1:20" s="29" customFormat="1" ht="13.5"/>
    <row r="29" spans="1:20" s="29" customFormat="1" ht="5.25" customHeight="1"/>
    <row r="30" spans="1:20" s="29" customFormat="1" ht="13.5"/>
    <row r="31" spans="1:20" s="29" customFormat="1" ht="5.25" customHeight="1"/>
    <row r="32" spans="1:20" s="29" customFormat="1" ht="13.5"/>
    <row r="33" spans="1:20" s="29" customFormat="1" ht="13.5"/>
    <row r="34" spans="1:20" s="29" customFormat="1" ht="13.5"/>
    <row r="35" spans="1:20" s="29" customFormat="1" ht="13.5"/>
    <row r="36" spans="1:20" s="29" customFormat="1" ht="13.5"/>
    <row r="37" spans="1:20" s="29" customFormat="1" ht="13.5"/>
    <row r="38" spans="1:20" s="59" customFormat="1" ht="13.5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</row>
    <row r="39" spans="1:20" s="29" customFormat="1" ht="13.5"/>
    <row r="40" spans="1:20" s="29" customFormat="1" ht="13.5" customHeight="1"/>
    <row r="41" spans="1:20" s="29" customFormat="1" ht="13.5"/>
    <row r="42" spans="1:20" s="29" customFormat="1" ht="5.25" customHeight="1"/>
    <row r="43" spans="1:20" s="29" customFormat="1" ht="13.5"/>
    <row r="44" spans="1:20" s="29" customFormat="1" ht="5.25" customHeight="1"/>
    <row r="45" spans="1:20" s="29" customFormat="1" ht="13.5"/>
    <row r="46" spans="1:20" s="29" customFormat="1" ht="5.25" customHeight="1"/>
    <row r="47" spans="1:20" s="29" customFormat="1" ht="13.5"/>
    <row r="48" spans="1:20" s="29" customFormat="1" ht="13.5"/>
    <row r="49" spans="1:20" s="29" customFormat="1" ht="13.5"/>
    <row r="50" spans="1:20" s="29" customFormat="1" ht="13.5"/>
    <row r="51" spans="1:20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</row>
  </sheetData>
  <mergeCells count="6">
    <mergeCell ref="A3:T3"/>
    <mergeCell ref="J4:N4"/>
    <mergeCell ref="P4:T4"/>
    <mergeCell ref="C4:G4"/>
    <mergeCell ref="A14:A16"/>
    <mergeCell ref="A9:A10"/>
  </mergeCells>
  <phoneticPr fontId="53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M81"/>
  <sheetViews>
    <sheetView showGridLines="0" zoomScale="70" zoomScaleNormal="70" workbookViewId="0">
      <selection activeCell="A2" sqref="A2"/>
    </sheetView>
  </sheetViews>
  <sheetFormatPr defaultColWidth="9" defaultRowHeight="15.5"/>
  <cols>
    <col min="1" max="1" width="17.83203125" customWidth="1"/>
    <col min="2" max="2" width="15.33203125" customWidth="1"/>
    <col min="3" max="3" width="16.83203125" customWidth="1"/>
    <col min="4" max="4" width="17.08203125" customWidth="1"/>
    <col min="6" max="6" width="44.5" customWidth="1"/>
    <col min="7" max="7" width="50.08203125" bestFit="1" customWidth="1"/>
    <col min="8" max="8" width="26.08203125" customWidth="1"/>
    <col min="9" max="9" width="14.6640625" customWidth="1"/>
    <col min="10" max="10" width="20.6640625" customWidth="1"/>
    <col min="11" max="11" width="20" customWidth="1"/>
    <col min="12" max="12" width="14.58203125" customWidth="1"/>
  </cols>
  <sheetData>
    <row r="1" spans="1:13" ht="19.5">
      <c r="A1" s="31" t="s">
        <v>183</v>
      </c>
      <c r="B1" s="29"/>
      <c r="C1" s="30"/>
      <c r="D1" s="30"/>
      <c r="E1" s="28"/>
    </row>
    <row r="3" spans="1:13">
      <c r="B3" s="121" t="s">
        <v>81</v>
      </c>
      <c r="C3" s="435" t="s">
        <v>23</v>
      </c>
      <c r="D3" s="436"/>
      <c r="E3" s="436"/>
      <c r="F3" s="436"/>
      <c r="G3" s="437"/>
      <c r="I3" s="122" t="s">
        <v>184</v>
      </c>
    </row>
    <row r="4" spans="1:13" ht="17.5">
      <c r="B4" s="107" t="s">
        <v>70</v>
      </c>
      <c r="C4" s="438" t="s">
        <v>71</v>
      </c>
      <c r="D4" s="439"/>
      <c r="E4" s="439"/>
      <c r="F4" s="439"/>
      <c r="G4" s="440"/>
      <c r="I4" s="48" t="s">
        <v>77</v>
      </c>
      <c r="J4" s="48"/>
      <c r="K4" s="49"/>
      <c r="L4" t="s">
        <v>1018</v>
      </c>
    </row>
    <row r="5" spans="1:13" ht="17.5">
      <c r="B5" s="107" t="s">
        <v>72</v>
      </c>
      <c r="C5" s="438" t="s">
        <v>73</v>
      </c>
      <c r="D5" s="439"/>
      <c r="E5" s="439"/>
      <c r="F5" s="439"/>
      <c r="G5" s="440"/>
      <c r="I5" s="33" t="s">
        <v>82</v>
      </c>
      <c r="J5" s="33"/>
      <c r="K5" s="34"/>
      <c r="L5" t="s">
        <v>185</v>
      </c>
    </row>
    <row r="6" spans="1:13" ht="17.5">
      <c r="B6" s="107" t="s">
        <v>74</v>
      </c>
      <c r="C6" s="441" t="s">
        <v>872</v>
      </c>
      <c r="D6" s="442"/>
      <c r="E6" s="442"/>
      <c r="F6" s="442"/>
      <c r="G6" s="443"/>
      <c r="I6" s="54" t="s">
        <v>68</v>
      </c>
      <c r="J6" s="54"/>
      <c r="K6" s="55"/>
    </row>
    <row r="7" spans="1:13" ht="17.5">
      <c r="B7" s="107" t="s">
        <v>75</v>
      </c>
      <c r="C7" s="438" t="s">
        <v>76</v>
      </c>
      <c r="D7" s="439"/>
      <c r="E7" s="439"/>
      <c r="F7" s="439"/>
      <c r="G7" s="440"/>
      <c r="I7" s="123" t="s">
        <v>8</v>
      </c>
      <c r="J7" s="123"/>
      <c r="K7" s="124"/>
    </row>
    <row r="8" spans="1:13" ht="17.5">
      <c r="I8" s="56" t="s">
        <v>186</v>
      </c>
      <c r="J8" s="56"/>
      <c r="K8" s="56"/>
      <c r="L8" t="s">
        <v>187</v>
      </c>
    </row>
    <row r="9" spans="1:13" ht="17.5">
      <c r="B9" t="s">
        <v>957</v>
      </c>
      <c r="I9" s="57" t="s">
        <v>586</v>
      </c>
      <c r="J9" s="57"/>
      <c r="K9" s="58"/>
    </row>
    <row r="10" spans="1:13" ht="17.5">
      <c r="I10" s="125" t="s">
        <v>150</v>
      </c>
      <c r="J10" s="126"/>
      <c r="K10" s="126"/>
      <c r="L10" s="126"/>
      <c r="M10" s="126"/>
    </row>
    <row r="11" spans="1:13" ht="17.5">
      <c r="I11" s="127" t="s">
        <v>67</v>
      </c>
    </row>
    <row r="12" spans="1:13" ht="17.5">
      <c r="I12" s="128" t="s">
        <v>188</v>
      </c>
    </row>
    <row r="14" spans="1:13" ht="78.75" hidden="1" customHeight="1">
      <c r="A14" s="134"/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4"/>
      <c r="M14" s="135" t="s">
        <v>172</v>
      </c>
    </row>
    <row r="15" spans="1:13" ht="164.25" hidden="1" customHeight="1">
      <c r="A15" s="134"/>
      <c r="B15" s="134"/>
      <c r="C15" s="134"/>
      <c r="D15" s="134"/>
      <c r="E15" s="134"/>
      <c r="F15" s="134"/>
      <c r="G15" s="134"/>
      <c r="H15" s="134"/>
      <c r="I15" s="134"/>
      <c r="J15" s="134"/>
      <c r="K15" s="134"/>
      <c r="L15" s="134"/>
      <c r="M15" s="107" t="s">
        <v>176</v>
      </c>
    </row>
    <row r="16" spans="1:13" ht="189" hidden="1" customHeight="1">
      <c r="A16" s="134"/>
      <c r="B16" s="134"/>
      <c r="C16" s="134"/>
      <c r="D16" s="134"/>
      <c r="E16" s="134"/>
      <c r="F16" s="134"/>
      <c r="G16" s="134"/>
      <c r="H16" s="134"/>
      <c r="I16" s="134"/>
      <c r="J16" s="134"/>
      <c r="K16" s="134"/>
      <c r="L16" s="134"/>
      <c r="M16" s="107" t="s">
        <v>173</v>
      </c>
    </row>
    <row r="17" spans="1:13" ht="37.5" hidden="1" customHeight="1">
      <c r="A17" s="134"/>
      <c r="B17" s="134"/>
      <c r="C17" s="134"/>
      <c r="D17" s="134"/>
      <c r="E17" s="134"/>
      <c r="F17" s="134"/>
      <c r="G17" s="134"/>
      <c r="H17" s="134"/>
      <c r="I17" s="134"/>
      <c r="J17" s="134"/>
      <c r="K17" s="134"/>
      <c r="L17" s="134"/>
      <c r="M17" s="107" t="s">
        <v>178</v>
      </c>
    </row>
    <row r="18" spans="1:13" ht="141.75" hidden="1" customHeight="1">
      <c r="A18" s="134"/>
      <c r="B18" s="134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07" t="s">
        <v>174</v>
      </c>
    </row>
    <row r="19" spans="1:13" ht="126" hidden="1" customHeight="1">
      <c r="A19" s="134"/>
      <c r="B19" s="134"/>
      <c r="C19" s="134"/>
      <c r="D19" s="134"/>
      <c r="E19" s="134"/>
      <c r="F19" s="134"/>
      <c r="G19" s="134"/>
      <c r="H19" s="134"/>
      <c r="I19" s="134"/>
      <c r="J19" s="134"/>
      <c r="K19" s="134"/>
      <c r="L19" s="134"/>
      <c r="M19" s="107" t="s">
        <v>194</v>
      </c>
    </row>
    <row r="20" spans="1:13" ht="48.75" customHeight="1">
      <c r="I20" s="279"/>
    </row>
    <row r="21" spans="1:13" ht="17.5">
      <c r="A21" s="33" t="s">
        <v>82</v>
      </c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3" ht="40.5">
      <c r="A22" s="129" t="s">
        <v>284</v>
      </c>
      <c r="B22" s="129" t="s">
        <v>189</v>
      </c>
      <c r="C22" s="129" t="s">
        <v>190</v>
      </c>
      <c r="D22" s="129" t="s">
        <v>191</v>
      </c>
      <c r="E22" s="130" t="s">
        <v>66</v>
      </c>
      <c r="F22" s="131" t="s">
        <v>78</v>
      </c>
      <c r="G22" s="132" t="s">
        <v>60</v>
      </c>
      <c r="H22" s="130" t="s">
        <v>79</v>
      </c>
      <c r="I22" s="130" t="s">
        <v>80</v>
      </c>
      <c r="J22" s="130" t="s">
        <v>81</v>
      </c>
      <c r="K22" s="132" t="s">
        <v>61</v>
      </c>
      <c r="L22" s="132" t="s">
        <v>62</v>
      </c>
    </row>
    <row r="23" spans="1:13" ht="93">
      <c r="A23" s="275" t="s">
        <v>980</v>
      </c>
      <c r="B23" s="136"/>
      <c r="C23" s="134">
        <v>0</v>
      </c>
      <c r="D23" s="134"/>
      <c r="E23" s="134">
        <v>2</v>
      </c>
      <c r="F23" s="134" t="s">
        <v>21</v>
      </c>
      <c r="G23" s="137" t="s">
        <v>83</v>
      </c>
      <c r="H23" s="134"/>
      <c r="I23" s="134"/>
      <c r="J23" s="134" t="s">
        <v>75</v>
      </c>
      <c r="K23" s="137" t="s">
        <v>84</v>
      </c>
      <c r="L23" s="134"/>
    </row>
    <row r="24" spans="1:13" ht="108.5">
      <c r="A24" s="275" t="s">
        <v>981</v>
      </c>
      <c r="B24" s="136"/>
      <c r="C24" s="134">
        <v>0</v>
      </c>
      <c r="D24" s="134"/>
      <c r="E24" s="134">
        <v>4</v>
      </c>
      <c r="F24" s="134" t="s">
        <v>181</v>
      </c>
      <c r="G24" s="137" t="s">
        <v>195</v>
      </c>
      <c r="H24" s="134" t="s">
        <v>196</v>
      </c>
      <c r="I24" s="134" t="s">
        <v>52</v>
      </c>
      <c r="J24" s="134" t="s">
        <v>70</v>
      </c>
      <c r="K24" s="137" t="s">
        <v>197</v>
      </c>
      <c r="L24" s="134"/>
    </row>
    <row r="25" spans="1:13" ht="372">
      <c r="A25" s="275" t="s">
        <v>982</v>
      </c>
      <c r="B25" s="136"/>
      <c r="C25" s="134">
        <v>1</v>
      </c>
      <c r="D25" s="134"/>
      <c r="E25" s="134">
        <v>512</v>
      </c>
      <c r="F25" s="134" t="s">
        <v>169</v>
      </c>
      <c r="G25" s="137" t="s">
        <v>34704</v>
      </c>
      <c r="H25" s="134" t="s">
        <v>198</v>
      </c>
      <c r="I25" s="137"/>
      <c r="J25" s="134"/>
      <c r="K25" s="137" t="s">
        <v>199</v>
      </c>
      <c r="L25" s="134"/>
    </row>
    <row r="26" spans="1:13">
      <c r="A26" s="291" t="s">
        <v>34109</v>
      </c>
      <c r="B26" s="306"/>
      <c r="C26" s="291">
        <v>2</v>
      </c>
      <c r="D26" s="291"/>
      <c r="E26" s="291">
        <v>4</v>
      </c>
      <c r="F26" s="291" t="s">
        <v>34107</v>
      </c>
      <c r="G26" s="307" t="str">
        <f>SFLASH.512_ver2!$F$33</f>
        <v>Specifies DEVICE_SECRET_KEY_TEST object size</v>
      </c>
      <c r="H26" s="291"/>
      <c r="I26" s="291"/>
      <c r="J26" s="291"/>
      <c r="K26" s="308"/>
      <c r="L26" s="291" t="s">
        <v>34099</v>
      </c>
    </row>
    <row r="27" spans="1:13" ht="31">
      <c r="A27" s="291" t="s">
        <v>34100</v>
      </c>
      <c r="B27" s="306"/>
      <c r="C27" s="291">
        <v>2</v>
      </c>
      <c r="D27" s="291"/>
      <c r="E27" s="291">
        <v>32</v>
      </c>
      <c r="F27" s="291" t="s">
        <v>34098</v>
      </c>
      <c r="G27" s="307" t="str">
        <f>SFLASH.512_ver2!$F$34</f>
        <v xml:space="preserve">Used to monitor the quality of the generated device secret keys. </v>
      </c>
      <c r="H27" s="291"/>
      <c r="I27" s="291"/>
      <c r="J27" s="291"/>
      <c r="K27" s="308"/>
      <c r="L27" s="291" t="s">
        <v>34099</v>
      </c>
    </row>
    <row r="30" spans="1:13" ht="17.5">
      <c r="A30" s="54" t="s">
        <v>68</v>
      </c>
      <c r="B30" s="54"/>
      <c r="C30" s="55"/>
      <c r="D30" s="142"/>
      <c r="E30" s="143"/>
      <c r="F30" s="143"/>
      <c r="G30" s="144"/>
      <c r="H30" s="145"/>
      <c r="I30" s="143"/>
      <c r="J30" s="146"/>
      <c r="K30" s="143"/>
      <c r="L30" s="146"/>
      <c r="M30" s="30"/>
    </row>
    <row r="31" spans="1:13" ht="40.5">
      <c r="A31" s="129" t="s">
        <v>284</v>
      </c>
      <c r="B31" s="129" t="s">
        <v>189</v>
      </c>
      <c r="C31" s="129" t="s">
        <v>190</v>
      </c>
      <c r="D31" s="129" t="s">
        <v>191</v>
      </c>
      <c r="E31" s="35" t="s">
        <v>66</v>
      </c>
      <c r="F31" s="36" t="s">
        <v>24</v>
      </c>
      <c r="G31" s="37" t="s">
        <v>23</v>
      </c>
      <c r="H31" s="35" t="s">
        <v>79</v>
      </c>
      <c r="I31" s="35" t="s">
        <v>80</v>
      </c>
      <c r="J31" s="38"/>
      <c r="K31" s="147" t="s">
        <v>61</v>
      </c>
      <c r="L31" s="147" t="s">
        <v>62</v>
      </c>
    </row>
    <row r="32" spans="1:13" ht="54">
      <c r="A32" s="148" t="s">
        <v>983</v>
      </c>
      <c r="B32" s="149"/>
      <c r="C32" s="149" t="s">
        <v>56</v>
      </c>
      <c r="D32" s="150">
        <v>3</v>
      </c>
      <c r="E32" s="150">
        <v>3</v>
      </c>
      <c r="F32" s="151" t="s">
        <v>20</v>
      </c>
      <c r="G32" s="152" t="s">
        <v>19</v>
      </c>
      <c r="H32" s="150" t="s">
        <v>69</v>
      </c>
      <c r="I32" s="153" t="s">
        <v>231</v>
      </c>
      <c r="J32" s="154" t="s">
        <v>72</v>
      </c>
      <c r="K32" s="42" t="s">
        <v>232</v>
      </c>
      <c r="L32" s="42"/>
    </row>
    <row r="33" spans="1:12" ht="54">
      <c r="A33" s="155" t="s">
        <v>984</v>
      </c>
      <c r="B33" s="44"/>
      <c r="C33" s="44" t="s">
        <v>56</v>
      </c>
      <c r="D33" s="40">
        <v>3</v>
      </c>
      <c r="E33" s="40">
        <v>1</v>
      </c>
      <c r="F33" s="151" t="s">
        <v>18</v>
      </c>
      <c r="G33" s="152" t="s">
        <v>17</v>
      </c>
      <c r="H33" s="150" t="s">
        <v>69</v>
      </c>
      <c r="I33" s="153" t="s">
        <v>52</v>
      </c>
      <c r="J33" s="154" t="s">
        <v>72</v>
      </c>
      <c r="K33" s="42" t="s">
        <v>232</v>
      </c>
      <c r="L33" s="42"/>
    </row>
    <row r="34" spans="1:12" ht="54">
      <c r="A34" s="155" t="s">
        <v>985</v>
      </c>
      <c r="B34" s="44"/>
      <c r="C34" s="44" t="s">
        <v>56</v>
      </c>
      <c r="D34" s="40">
        <v>3</v>
      </c>
      <c r="E34" s="40">
        <v>1</v>
      </c>
      <c r="F34" s="151" t="s">
        <v>16</v>
      </c>
      <c r="G34" s="156" t="s">
        <v>233</v>
      </c>
      <c r="H34" s="150" t="s">
        <v>69</v>
      </c>
      <c r="I34" s="153" t="s">
        <v>52</v>
      </c>
      <c r="J34" s="154" t="s">
        <v>72</v>
      </c>
      <c r="K34" s="42" t="s">
        <v>232</v>
      </c>
      <c r="L34" s="42"/>
    </row>
    <row r="35" spans="1:12" ht="54">
      <c r="A35" s="155" t="s">
        <v>986</v>
      </c>
      <c r="B35" s="44"/>
      <c r="C35" s="44" t="s">
        <v>56</v>
      </c>
      <c r="D35" s="40">
        <v>3</v>
      </c>
      <c r="E35" s="40">
        <v>1</v>
      </c>
      <c r="F35" s="151" t="s">
        <v>14</v>
      </c>
      <c r="G35" s="156" t="s">
        <v>234</v>
      </c>
      <c r="H35" s="150" t="s">
        <v>69</v>
      </c>
      <c r="I35" s="153" t="s">
        <v>52</v>
      </c>
      <c r="J35" s="154" t="s">
        <v>72</v>
      </c>
      <c r="K35" s="42" t="s">
        <v>232</v>
      </c>
      <c r="L35" s="42"/>
    </row>
    <row r="36" spans="1:12" ht="95.15" customHeight="1">
      <c r="A36" s="155" t="s">
        <v>987</v>
      </c>
      <c r="B36" s="44"/>
      <c r="C36" s="44" t="s">
        <v>56</v>
      </c>
      <c r="D36" s="40">
        <v>3</v>
      </c>
      <c r="E36" s="40">
        <v>1</v>
      </c>
      <c r="F36" s="157" t="s">
        <v>147</v>
      </c>
      <c r="G36" s="156" t="s">
        <v>235</v>
      </c>
      <c r="H36" s="150" t="s">
        <v>69</v>
      </c>
      <c r="I36" s="153" t="s">
        <v>52</v>
      </c>
      <c r="J36" s="154" t="s">
        <v>72</v>
      </c>
      <c r="K36" s="42" t="s">
        <v>232</v>
      </c>
      <c r="L36" s="42"/>
    </row>
    <row r="37" spans="1:12" ht="54">
      <c r="A37" s="155" t="s">
        <v>988</v>
      </c>
      <c r="B37" s="44"/>
      <c r="C37" s="44" t="s">
        <v>56</v>
      </c>
      <c r="D37" s="40">
        <v>3</v>
      </c>
      <c r="E37" s="40">
        <v>1</v>
      </c>
      <c r="F37" s="151" t="s">
        <v>10</v>
      </c>
      <c r="G37" s="156" t="s">
        <v>9</v>
      </c>
      <c r="H37" s="150" t="s">
        <v>69</v>
      </c>
      <c r="I37" s="153" t="s">
        <v>52</v>
      </c>
      <c r="J37" s="154" t="s">
        <v>72</v>
      </c>
      <c r="K37" s="42" t="s">
        <v>232</v>
      </c>
      <c r="L37" s="42"/>
    </row>
    <row r="38" spans="1:12" ht="54">
      <c r="A38" s="155" t="s">
        <v>989</v>
      </c>
      <c r="B38" s="44"/>
      <c r="C38" s="44" t="s">
        <v>56</v>
      </c>
      <c r="D38" s="40">
        <v>3</v>
      </c>
      <c r="E38" s="40">
        <v>1</v>
      </c>
      <c r="F38" s="151" t="s">
        <v>577</v>
      </c>
      <c r="G38" s="156" t="s">
        <v>583</v>
      </c>
      <c r="H38" s="150" t="s">
        <v>69</v>
      </c>
      <c r="I38" s="153" t="s">
        <v>52</v>
      </c>
      <c r="J38" s="154" t="s">
        <v>72</v>
      </c>
      <c r="K38" s="42" t="s">
        <v>232</v>
      </c>
      <c r="L38" s="42" t="s">
        <v>34301</v>
      </c>
    </row>
    <row r="39" spans="1:12" ht="54">
      <c r="A39" s="155" t="s">
        <v>990</v>
      </c>
      <c r="B39" s="44"/>
      <c r="C39" s="44" t="s">
        <v>56</v>
      </c>
      <c r="D39" s="40">
        <v>3</v>
      </c>
      <c r="E39" s="40">
        <v>1</v>
      </c>
      <c r="F39" s="151" t="s">
        <v>578</v>
      </c>
      <c r="G39" s="156" t="s">
        <v>584</v>
      </c>
      <c r="H39" s="150" t="s">
        <v>69</v>
      </c>
      <c r="I39" s="153" t="s">
        <v>52</v>
      </c>
      <c r="J39" s="154" t="s">
        <v>72</v>
      </c>
      <c r="K39" s="42" t="s">
        <v>232</v>
      </c>
      <c r="L39" s="42" t="s">
        <v>34301</v>
      </c>
    </row>
    <row r="40" spans="1:12" ht="54">
      <c r="A40" s="155" t="s">
        <v>991</v>
      </c>
      <c r="B40" s="44"/>
      <c r="C40" s="44" t="s">
        <v>56</v>
      </c>
      <c r="D40" s="40">
        <v>3</v>
      </c>
      <c r="E40" s="40">
        <v>1</v>
      </c>
      <c r="F40" s="151" t="s">
        <v>579</v>
      </c>
      <c r="G40" s="156" t="s">
        <v>585</v>
      </c>
      <c r="H40" s="150" t="s">
        <v>69</v>
      </c>
      <c r="I40" s="153" t="s">
        <v>52</v>
      </c>
      <c r="J40" s="154" t="s">
        <v>72</v>
      </c>
      <c r="K40" s="42" t="s">
        <v>232</v>
      </c>
      <c r="L40" s="42" t="s">
        <v>34301</v>
      </c>
    </row>
    <row r="41" spans="1:12">
      <c r="A41" s="30"/>
      <c r="B41" s="30"/>
      <c r="C41" s="30"/>
      <c r="D41" s="28"/>
      <c r="E41" s="28" t="s">
        <v>280</v>
      </c>
      <c r="F41" s="29"/>
      <c r="G41" s="206"/>
      <c r="H41" s="28"/>
      <c r="I41" s="41"/>
      <c r="J41" s="41"/>
      <c r="K41" s="27"/>
      <c r="L41" s="27"/>
    </row>
    <row r="42" spans="1:12" ht="17.5">
      <c r="A42" s="229" t="s">
        <v>150</v>
      </c>
      <c r="B42" s="229"/>
      <c r="C42" s="229"/>
      <c r="D42" s="229"/>
      <c r="E42" s="229"/>
      <c r="F42" s="229"/>
      <c r="G42" s="229"/>
      <c r="H42" s="229"/>
      <c r="I42" s="229"/>
      <c r="J42" s="229"/>
      <c r="K42" s="229"/>
      <c r="L42" s="229"/>
    </row>
    <row r="43" spans="1:12" ht="40.5">
      <c r="A43" s="129" t="s">
        <v>284</v>
      </c>
      <c r="B43" s="129" t="s">
        <v>189</v>
      </c>
      <c r="C43" s="129" t="s">
        <v>190</v>
      </c>
      <c r="D43" s="129" t="s">
        <v>191</v>
      </c>
      <c r="E43" s="130" t="s">
        <v>66</v>
      </c>
      <c r="F43" s="131" t="s">
        <v>78</v>
      </c>
      <c r="G43" s="132" t="s">
        <v>60</v>
      </c>
      <c r="H43" s="130" t="s">
        <v>79</v>
      </c>
      <c r="I43" s="130" t="s">
        <v>80</v>
      </c>
      <c r="J43" s="130" t="s">
        <v>81</v>
      </c>
      <c r="K43" s="132" t="s">
        <v>61</v>
      </c>
      <c r="L43" s="132" t="s">
        <v>62</v>
      </c>
    </row>
    <row r="44" spans="1:12">
      <c r="A44" s="108" t="s">
        <v>992</v>
      </c>
      <c r="B44" s="107"/>
      <c r="C44" s="108">
        <v>4</v>
      </c>
      <c r="D44" s="107"/>
      <c r="E44" s="108">
        <v>512</v>
      </c>
      <c r="F44" s="107" t="s">
        <v>34437</v>
      </c>
      <c r="G44" s="139"/>
      <c r="H44" s="107"/>
      <c r="I44" s="107"/>
      <c r="J44" s="107"/>
      <c r="K44" s="107" t="s">
        <v>280</v>
      </c>
      <c r="L44" s="107"/>
    </row>
    <row r="45" spans="1:12">
      <c r="A45" s="108" t="s">
        <v>993</v>
      </c>
      <c r="B45" s="107"/>
      <c r="C45" s="108">
        <v>5</v>
      </c>
      <c r="D45" s="107"/>
      <c r="E45" s="108">
        <v>512</v>
      </c>
      <c r="F45" s="107" t="s">
        <v>277</v>
      </c>
      <c r="G45" s="139"/>
      <c r="H45" s="107"/>
      <c r="I45" s="107"/>
      <c r="J45" s="107"/>
      <c r="K45" s="139"/>
      <c r="L45" s="107"/>
    </row>
    <row r="46" spans="1:12">
      <c r="A46" s="108" t="s">
        <v>994</v>
      </c>
      <c r="B46" s="107"/>
      <c r="C46" s="108">
        <v>6</v>
      </c>
      <c r="D46" s="107"/>
      <c r="E46" s="108">
        <v>512</v>
      </c>
      <c r="F46" s="107" t="s">
        <v>278</v>
      </c>
      <c r="G46" s="139"/>
      <c r="H46" s="107"/>
      <c r="I46" s="107"/>
      <c r="J46" s="107"/>
      <c r="K46" s="139"/>
      <c r="L46" s="107"/>
    </row>
    <row r="47" spans="1:12">
      <c r="A47" s="108" t="s">
        <v>995</v>
      </c>
      <c r="B47" s="107"/>
      <c r="C47" s="108">
        <v>7</v>
      </c>
      <c r="D47" s="107"/>
      <c r="E47" s="108">
        <v>512</v>
      </c>
      <c r="F47" s="107" t="s">
        <v>279</v>
      </c>
      <c r="G47" s="139"/>
      <c r="H47" s="107"/>
      <c r="I47" s="107"/>
      <c r="J47" s="107"/>
      <c r="K47" s="139"/>
      <c r="L47" s="107"/>
    </row>
    <row r="48" spans="1:12">
      <c r="A48" s="207"/>
      <c r="C48" s="207"/>
      <c r="E48" s="207"/>
      <c r="G48" s="205"/>
      <c r="K48" s="205"/>
    </row>
    <row r="49" spans="1:12" ht="17.5">
      <c r="A49" s="48" t="s">
        <v>77</v>
      </c>
      <c r="B49" s="48"/>
      <c r="C49" s="49"/>
      <c r="D49" s="49"/>
      <c r="E49" s="50"/>
      <c r="F49" s="50"/>
      <c r="G49" s="51"/>
      <c r="H49" s="52"/>
      <c r="I49" s="50"/>
      <c r="J49" s="50"/>
      <c r="K49" s="50"/>
      <c r="L49" s="53"/>
    </row>
    <row r="50" spans="1:12" ht="40.5">
      <c r="A50" s="129" t="s">
        <v>284</v>
      </c>
      <c r="B50" s="129" t="s">
        <v>189</v>
      </c>
      <c r="C50" s="129" t="s">
        <v>190</v>
      </c>
      <c r="D50" s="129" t="s">
        <v>191</v>
      </c>
      <c r="E50" s="130" t="s">
        <v>66</v>
      </c>
      <c r="F50" s="131" t="s">
        <v>78</v>
      </c>
      <c r="G50" s="132" t="s">
        <v>60</v>
      </c>
      <c r="H50" s="130" t="s">
        <v>79</v>
      </c>
      <c r="I50" s="130" t="s">
        <v>80</v>
      </c>
      <c r="J50" s="130" t="s">
        <v>81</v>
      </c>
      <c r="K50" s="132" t="s">
        <v>61</v>
      </c>
      <c r="L50" s="133" t="s">
        <v>62</v>
      </c>
    </row>
    <row r="51" spans="1:12">
      <c r="A51" s="250" t="s">
        <v>997</v>
      </c>
      <c r="B51" s="134"/>
      <c r="C51" s="134">
        <v>12</v>
      </c>
      <c r="D51" s="134"/>
      <c r="E51" s="134">
        <f>4*2</f>
        <v>8</v>
      </c>
      <c r="F51" s="134" t="s">
        <v>34711</v>
      </c>
      <c r="G51" s="267" t="s">
        <v>34712</v>
      </c>
      <c r="H51" s="134" t="s">
        <v>280</v>
      </c>
      <c r="I51" s="134" t="s">
        <v>280</v>
      </c>
      <c r="J51" s="134" t="s">
        <v>70</v>
      </c>
      <c r="K51" s="134" t="s">
        <v>280</v>
      </c>
      <c r="L51" s="134" t="s">
        <v>280</v>
      </c>
    </row>
    <row r="52" spans="1:12" ht="31">
      <c r="A52" s="250" t="s">
        <v>34309</v>
      </c>
      <c r="B52" s="134"/>
      <c r="C52" s="134">
        <v>13</v>
      </c>
      <c r="D52" s="134"/>
      <c r="E52" s="134">
        <v>4</v>
      </c>
      <c r="F52" s="134" t="s">
        <v>167</v>
      </c>
      <c r="G52" s="267" t="s">
        <v>192</v>
      </c>
      <c r="H52" s="134" t="s">
        <v>193</v>
      </c>
      <c r="I52" s="134"/>
      <c r="J52" s="134" t="s">
        <v>70</v>
      </c>
      <c r="K52" s="134"/>
      <c r="L52" s="134" t="s">
        <v>280</v>
      </c>
    </row>
    <row r="53" spans="1:12" ht="31">
      <c r="A53" s="250" t="s">
        <v>34312</v>
      </c>
      <c r="B53" s="134"/>
      <c r="C53" s="134">
        <v>13</v>
      </c>
      <c r="D53" s="134"/>
      <c r="E53" s="134">
        <v>4</v>
      </c>
      <c r="F53" s="134" t="s">
        <v>958</v>
      </c>
      <c r="G53" s="267" t="s">
        <v>192</v>
      </c>
      <c r="H53" s="134" t="s">
        <v>193</v>
      </c>
      <c r="I53" s="134"/>
      <c r="J53" s="134" t="s">
        <v>70</v>
      </c>
      <c r="K53" s="134"/>
      <c r="L53" s="134" t="s">
        <v>280</v>
      </c>
    </row>
    <row r="54" spans="1:12">
      <c r="A54" s="61"/>
      <c r="C54" s="207"/>
      <c r="E54" s="207"/>
      <c r="F54" s="241"/>
      <c r="G54" s="268"/>
      <c r="K54" s="205"/>
    </row>
    <row r="55" spans="1:12" ht="17.5">
      <c r="A55" s="128" t="s">
        <v>285</v>
      </c>
      <c r="B55" s="128"/>
      <c r="C55" s="128"/>
      <c r="D55" s="128"/>
      <c r="E55" s="128"/>
      <c r="F55" s="128"/>
      <c r="G55" s="128"/>
      <c r="H55" s="128"/>
      <c r="I55" s="128"/>
      <c r="J55" s="128"/>
      <c r="K55" s="128"/>
      <c r="L55" s="128"/>
    </row>
    <row r="56" spans="1:12" ht="45" customHeight="1">
      <c r="A56" s="200" t="s">
        <v>284</v>
      </c>
      <c r="B56" s="200" t="s">
        <v>189</v>
      </c>
      <c r="C56" s="200" t="s">
        <v>190</v>
      </c>
      <c r="D56" s="200" t="s">
        <v>191</v>
      </c>
      <c r="E56" s="201" t="s">
        <v>66</v>
      </c>
      <c r="F56" s="202" t="s">
        <v>78</v>
      </c>
      <c r="G56" s="203" t="s">
        <v>60</v>
      </c>
      <c r="H56" s="201" t="s">
        <v>79</v>
      </c>
      <c r="I56" s="201" t="s">
        <v>80</v>
      </c>
      <c r="J56" s="201" t="s">
        <v>81</v>
      </c>
      <c r="K56" s="203" t="s">
        <v>61</v>
      </c>
      <c r="L56" s="203" t="s">
        <v>62</v>
      </c>
    </row>
    <row r="57" spans="1:12">
      <c r="A57" s="204" t="s">
        <v>34706</v>
      </c>
      <c r="B57" s="134"/>
      <c r="C57" s="134" t="s">
        <v>34707</v>
      </c>
      <c r="D57" s="134"/>
      <c r="E57" s="222">
        <f>512*2</f>
        <v>1024</v>
      </c>
      <c r="F57" s="242" t="s">
        <v>530</v>
      </c>
      <c r="G57" s="243" t="s">
        <v>34708</v>
      </c>
      <c r="H57" s="107"/>
      <c r="I57" s="107"/>
      <c r="J57" s="107"/>
      <c r="K57" s="139" t="s">
        <v>200</v>
      </c>
      <c r="L57" s="107"/>
    </row>
    <row r="58" spans="1:12">
      <c r="A58" s="204" t="s">
        <v>998</v>
      </c>
      <c r="B58" s="134"/>
      <c r="C58" s="134">
        <v>16</v>
      </c>
      <c r="D58" s="134"/>
      <c r="E58" s="222">
        <v>4</v>
      </c>
      <c r="F58" s="242" t="str">
        <f>SFLASH.512_ver2!E78</f>
        <v>FLASH_BOOT_OBJECT_SIZE</v>
      </c>
      <c r="G58" s="243" t="str">
        <f>SFLASH.512_ver2!F78</f>
        <v>Flash Boot - Object Size</v>
      </c>
      <c r="H58" s="107"/>
      <c r="I58" s="107"/>
      <c r="J58" s="107"/>
      <c r="K58" s="139" t="s">
        <v>200</v>
      </c>
      <c r="L58" s="107"/>
    </row>
    <row r="59" spans="1:12">
      <c r="A59" s="204" t="s">
        <v>999</v>
      </c>
      <c r="B59" s="134"/>
      <c r="C59" s="134">
        <v>16</v>
      </c>
      <c r="D59" s="134"/>
      <c r="E59" s="222">
        <v>4</v>
      </c>
      <c r="F59" s="242" t="str">
        <f>SFLASH.512_ver2!E79</f>
        <v>FLASH_BOOT_APP_ID</v>
      </c>
      <c r="G59" s="243" t="str">
        <f>SFLASH.512_ver2!F79</f>
        <v>Flash Boot - Application ID/Version</v>
      </c>
      <c r="H59" s="107"/>
      <c r="I59" s="107"/>
      <c r="J59" s="107"/>
      <c r="K59" s="139" t="s">
        <v>200</v>
      </c>
      <c r="L59" s="107"/>
    </row>
    <row r="60" spans="1:12" ht="27">
      <c r="A60" s="204" t="s">
        <v>1000</v>
      </c>
      <c r="B60" s="134"/>
      <c r="C60" s="134">
        <v>16</v>
      </c>
      <c r="D60" s="134"/>
      <c r="E60" s="222">
        <v>4</v>
      </c>
      <c r="F60" s="242" t="str">
        <f>SFLASH.512_ver2!E80</f>
        <v>FLASH_BOOT_ATTRIBUTE</v>
      </c>
      <c r="G60" s="243" t="str">
        <f>SFLASH.512_ver2!F80</f>
        <v>Flash Boot - Reserved for future use. Should be zero for now</v>
      </c>
      <c r="H60" s="107"/>
      <c r="I60" s="107"/>
      <c r="J60" s="107"/>
      <c r="K60" s="139" t="s">
        <v>200</v>
      </c>
      <c r="L60" s="107"/>
    </row>
    <row r="61" spans="1:12">
      <c r="A61" s="204" t="s">
        <v>1001</v>
      </c>
      <c r="B61" s="134"/>
      <c r="C61" s="134">
        <v>16</v>
      </c>
      <c r="D61" s="134"/>
      <c r="E61" s="222">
        <v>4</v>
      </c>
      <c r="F61" s="242" t="str">
        <f>SFLASH.512_ver2!E81</f>
        <v>FLASH_BOOT_N_CORES</v>
      </c>
      <c r="G61" s="243" t="str">
        <f>SFLASH.512_ver2!F81</f>
        <v>Flash Boot - Number of Cores(N)</v>
      </c>
      <c r="H61" s="107"/>
      <c r="I61" s="107"/>
      <c r="J61" s="107"/>
      <c r="K61" s="139" t="s">
        <v>200</v>
      </c>
      <c r="L61" s="107"/>
    </row>
    <row r="62" spans="1:12">
      <c r="A62" s="204" t="s">
        <v>1002</v>
      </c>
      <c r="B62" s="134"/>
      <c r="C62" s="134">
        <v>16</v>
      </c>
      <c r="D62" s="134"/>
      <c r="E62" s="222">
        <v>4</v>
      </c>
      <c r="F62" s="242" t="str">
        <f>SFLASH.512_ver2!E82</f>
        <v>FLASH_BOOT_VT_OFFSET</v>
      </c>
      <c r="G62" s="243" t="str">
        <f>SFLASH.512_ver2!F82</f>
        <v>Flash Boot - Core Vector Table offset</v>
      </c>
      <c r="H62" s="107"/>
      <c r="I62" s="107"/>
      <c r="J62" s="107"/>
      <c r="K62" s="139" t="s">
        <v>200</v>
      </c>
      <c r="L62" s="107"/>
    </row>
    <row r="63" spans="1:12">
      <c r="A63" s="204" t="s">
        <v>1003</v>
      </c>
      <c r="B63" s="134"/>
      <c r="C63" s="134">
        <v>16</v>
      </c>
      <c r="D63" s="134"/>
      <c r="E63" s="222">
        <v>4</v>
      </c>
      <c r="F63" s="242" t="str">
        <f>SFLASH.512_ver2!E83</f>
        <v>FLASH_BOOT_CORE_CPUID</v>
      </c>
      <c r="G63" s="243" t="str">
        <f>SFLASH.512_ver2!F83</f>
        <v>Flash Boot - Core CPU ID/Core Index</v>
      </c>
      <c r="H63" s="107"/>
      <c r="I63" s="107"/>
      <c r="J63" s="107"/>
      <c r="K63" s="139" t="s">
        <v>200</v>
      </c>
      <c r="L63" s="107"/>
    </row>
    <row r="64" spans="1:12" ht="40.5">
      <c r="A64" s="204" t="s">
        <v>1004</v>
      </c>
      <c r="B64" s="134"/>
      <c r="C64" s="134">
        <v>16</v>
      </c>
      <c r="D64" s="134"/>
      <c r="E64" s="222">
        <v>192</v>
      </c>
      <c r="F64" s="242" t="str">
        <f>SFLASH.512_ver2!E84</f>
        <v>FLASH_BOOT_VERSION_LOW</v>
      </c>
      <c r="G64" s="243" t="s">
        <v>884</v>
      </c>
      <c r="H64" s="107"/>
      <c r="I64" s="107"/>
      <c r="J64" s="107"/>
      <c r="K64" s="139" t="s">
        <v>200</v>
      </c>
      <c r="L64" s="107"/>
    </row>
    <row r="65" spans="1:12">
      <c r="A65" s="204" t="s">
        <v>1005</v>
      </c>
      <c r="B65" s="134"/>
      <c r="C65" s="134" t="s">
        <v>34705</v>
      </c>
      <c r="D65" s="134"/>
      <c r="E65" s="222">
        <f>14632+(512*5)</f>
        <v>17192</v>
      </c>
      <c r="F65" s="242" t="str">
        <f>SFLASH.512_ver2!E85</f>
        <v>FLASH_BOOT_FAMILY_ID</v>
      </c>
      <c r="G65" s="243" t="str">
        <f>SFLASH.512_ver2!F85</f>
        <v>Flash Boot - Family ID</v>
      </c>
      <c r="H65" s="107"/>
      <c r="I65" s="107"/>
      <c r="J65" s="107"/>
      <c r="K65" s="139" t="s">
        <v>200</v>
      </c>
      <c r="L65" s="107"/>
    </row>
    <row r="66" spans="1:12">
      <c r="E66" t="s">
        <v>280</v>
      </c>
    </row>
    <row r="67" spans="1:12" ht="17.5">
      <c r="A67" s="280" t="s">
        <v>840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</row>
    <row r="68" spans="1:12" ht="40.5">
      <c r="A68" s="200" t="s">
        <v>284</v>
      </c>
      <c r="B68" s="200" t="s">
        <v>189</v>
      </c>
      <c r="C68" s="200" t="s">
        <v>190</v>
      </c>
      <c r="D68" s="200" t="s">
        <v>191</v>
      </c>
      <c r="E68" s="201" t="s">
        <v>66</v>
      </c>
      <c r="F68" s="202" t="s">
        <v>78</v>
      </c>
      <c r="G68" s="203" t="s">
        <v>60</v>
      </c>
      <c r="H68" s="201" t="s">
        <v>79</v>
      </c>
      <c r="I68" s="201" t="s">
        <v>80</v>
      </c>
      <c r="J68" s="201" t="s">
        <v>81</v>
      </c>
      <c r="K68" s="203" t="s">
        <v>61</v>
      </c>
      <c r="L68" s="203" t="s">
        <v>62</v>
      </c>
    </row>
    <row r="69" spans="1:12" ht="45" customHeight="1">
      <c r="A69" s="236" t="s">
        <v>34286</v>
      </c>
      <c r="B69" s="107"/>
      <c r="C69" s="134" t="s">
        <v>34287</v>
      </c>
      <c r="D69" s="107"/>
      <c r="E69" s="222">
        <f>6*512</f>
        <v>3072</v>
      </c>
      <c r="F69" s="242" t="s">
        <v>841</v>
      </c>
      <c r="G69" s="238" t="s">
        <v>842</v>
      </c>
      <c r="H69" s="107"/>
      <c r="I69" s="107"/>
      <c r="J69" s="139" t="s">
        <v>280</v>
      </c>
      <c r="K69" s="139" t="s">
        <v>843</v>
      </c>
      <c r="L69" s="107"/>
    </row>
    <row r="70" spans="1:12">
      <c r="C70" s="138"/>
      <c r="E70" s="138"/>
      <c r="F70" s="241"/>
      <c r="G70" s="286"/>
      <c r="J70" s="205"/>
      <c r="K70" s="205"/>
    </row>
    <row r="71" spans="1:12" ht="17.5">
      <c r="A71" s="329" t="s">
        <v>972</v>
      </c>
      <c r="B71" s="263"/>
      <c r="C71" s="263"/>
      <c r="D71" s="263"/>
      <c r="E71" s="263"/>
      <c r="F71" s="263"/>
      <c r="G71" s="263"/>
      <c r="H71" s="263"/>
      <c r="I71" s="263"/>
      <c r="J71" s="263"/>
      <c r="K71" s="263"/>
      <c r="L71" s="263"/>
    </row>
    <row r="72" spans="1:12" ht="40.5">
      <c r="A72" s="200" t="s">
        <v>284</v>
      </c>
      <c r="B72" s="200" t="s">
        <v>189</v>
      </c>
      <c r="C72" s="200" t="s">
        <v>190</v>
      </c>
      <c r="D72" s="200" t="s">
        <v>191</v>
      </c>
      <c r="E72" s="201" t="s">
        <v>66</v>
      </c>
      <c r="F72" s="202" t="s">
        <v>78</v>
      </c>
      <c r="G72" s="203" t="s">
        <v>60</v>
      </c>
      <c r="H72" s="201" t="s">
        <v>79</v>
      </c>
      <c r="I72" s="201" t="s">
        <v>80</v>
      </c>
      <c r="J72" s="201" t="s">
        <v>81</v>
      </c>
      <c r="K72" s="203" t="s">
        <v>61</v>
      </c>
      <c r="L72" s="203" t="s">
        <v>62</v>
      </c>
    </row>
    <row r="73" spans="1:12" ht="31">
      <c r="A73" s="263" t="s">
        <v>34282</v>
      </c>
      <c r="B73" s="107"/>
      <c r="C73" s="134" t="s">
        <v>34288</v>
      </c>
      <c r="D73" s="107"/>
      <c r="E73" s="222">
        <f>4*512</f>
        <v>2048</v>
      </c>
      <c r="F73" s="242" t="s">
        <v>34289</v>
      </c>
      <c r="G73" s="264" t="s">
        <v>34290</v>
      </c>
      <c r="H73" s="107"/>
      <c r="I73" s="107"/>
      <c r="J73" s="139" t="s">
        <v>280</v>
      </c>
      <c r="K73" s="139" t="s">
        <v>1019</v>
      </c>
      <c r="L73" s="107"/>
    </row>
    <row r="75" spans="1:12" ht="17.5">
      <c r="A75" s="287" t="s">
        <v>863</v>
      </c>
      <c r="B75" s="214"/>
      <c r="C75" s="214"/>
      <c r="D75" s="214"/>
      <c r="E75" s="214"/>
      <c r="F75" s="214"/>
      <c r="G75" s="214"/>
      <c r="H75" s="214"/>
      <c r="I75" s="214"/>
      <c r="J75" s="214"/>
      <c r="K75" s="214"/>
      <c r="L75" s="214"/>
    </row>
    <row r="76" spans="1:12" ht="40.5">
      <c r="A76" s="200" t="s">
        <v>284</v>
      </c>
      <c r="B76" s="200" t="s">
        <v>189</v>
      </c>
      <c r="C76" s="200" t="s">
        <v>190</v>
      </c>
      <c r="D76" s="200" t="s">
        <v>191</v>
      </c>
      <c r="E76" s="201" t="s">
        <v>66</v>
      </c>
      <c r="F76" s="202" t="s">
        <v>78</v>
      </c>
      <c r="G76" s="203" t="s">
        <v>60</v>
      </c>
      <c r="H76" s="201" t="s">
        <v>79</v>
      </c>
      <c r="I76" s="201" t="s">
        <v>80</v>
      </c>
      <c r="J76" s="201" t="s">
        <v>81</v>
      </c>
      <c r="K76" s="203" t="s">
        <v>61</v>
      </c>
      <c r="L76" s="203" t="s">
        <v>62</v>
      </c>
    </row>
    <row r="77" spans="1:12" ht="27">
      <c r="A77" s="215" t="s">
        <v>1015</v>
      </c>
      <c r="B77" s="215"/>
      <c r="C77" s="215">
        <v>60</v>
      </c>
      <c r="D77" s="215"/>
      <c r="E77" s="215">
        <v>512</v>
      </c>
      <c r="F77" s="215" t="s">
        <v>864</v>
      </c>
      <c r="G77" s="215" t="s">
        <v>866</v>
      </c>
      <c r="H77" s="215"/>
      <c r="I77" s="215"/>
      <c r="J77" s="215" t="s">
        <v>280</v>
      </c>
      <c r="K77" s="330" t="s">
        <v>843</v>
      </c>
      <c r="L77" s="215"/>
    </row>
    <row r="78" spans="1:12">
      <c r="A78" s="215" t="s">
        <v>34709</v>
      </c>
      <c r="B78" s="215"/>
      <c r="C78" s="215" t="s">
        <v>34710</v>
      </c>
      <c r="D78" s="215"/>
      <c r="E78" s="215">
        <v>512</v>
      </c>
      <c r="F78" s="215" t="s">
        <v>865</v>
      </c>
      <c r="G78" s="215" t="s">
        <v>867</v>
      </c>
      <c r="H78" s="215"/>
      <c r="I78" s="215"/>
      <c r="J78" s="215"/>
      <c r="K78" s="215"/>
      <c r="L78" s="215"/>
    </row>
    <row r="80" spans="1:12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</row>
    <row r="81" spans="1:12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</row>
  </sheetData>
  <mergeCells count="5">
    <mergeCell ref="C3:G3"/>
    <mergeCell ref="C4:G4"/>
    <mergeCell ref="C5:G5"/>
    <mergeCell ref="C6:G6"/>
    <mergeCell ref="C7:G7"/>
  </mergeCells>
  <phoneticPr fontId="53"/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2.CopyCsvToByteMap">
                <anchor moveWithCells="1">
                  <from>
                    <xdr:col>1</xdr:col>
                    <xdr:colOff>679450</xdr:colOff>
                    <xdr:row>9</xdr:row>
                    <xdr:rowOff>127000</xdr:rowOff>
                  </from>
                  <to>
                    <xdr:col>3</xdr:col>
                    <xdr:colOff>222250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G519"/>
  <sheetViews>
    <sheetView showGridLines="0" tabSelected="1" topLeftCell="A11" zoomScaleNormal="100" workbookViewId="0">
      <selection activeCell="D22" sqref="D22"/>
    </sheetView>
  </sheetViews>
  <sheetFormatPr defaultColWidth="9" defaultRowHeight="15.5"/>
  <cols>
    <col min="1" max="1" width="12" customWidth="1"/>
    <col min="3" max="3" width="6.08203125" customWidth="1"/>
    <col min="4" max="4" width="28.58203125" bestFit="1" customWidth="1"/>
    <col min="5" max="5" width="9" customWidth="1"/>
    <col min="6" max="6" width="11.1640625" bestFit="1" customWidth="1"/>
    <col min="7" max="7" width="8.58203125" bestFit="1" customWidth="1"/>
    <col min="8" max="8" width="2.58203125" bestFit="1" customWidth="1"/>
    <col min="9" max="9" width="34.6640625" customWidth="1"/>
    <col min="10" max="10" width="9" customWidth="1"/>
    <col min="11" max="11" width="11.33203125" bestFit="1" customWidth="1"/>
    <col min="12" max="12" width="8.58203125" bestFit="1" customWidth="1"/>
    <col min="13" max="13" width="2.6640625" bestFit="1" customWidth="1"/>
    <col min="14" max="14" width="36.1640625" style="292" bestFit="1" customWidth="1"/>
    <col min="16" max="16" width="11.33203125" bestFit="1" customWidth="1"/>
    <col min="17" max="17" width="8.58203125" bestFit="1" customWidth="1"/>
    <col min="18" max="18" width="3" bestFit="1" customWidth="1"/>
    <col min="19" max="19" width="90.58203125" customWidth="1"/>
    <col min="21" max="21" width="11" customWidth="1"/>
    <col min="24" max="24" width="15.58203125" customWidth="1"/>
    <col min="26" max="26" width="10.6640625" bestFit="1" customWidth="1"/>
    <col min="27" max="27" width="8.58203125" bestFit="1" customWidth="1"/>
    <col min="28" max="28" width="3" bestFit="1" customWidth="1"/>
    <col min="29" max="29" width="12.5" bestFit="1" customWidth="1"/>
    <col min="31" max="31" width="10.6640625" bestFit="1" customWidth="1"/>
    <col min="32" max="32" width="8.58203125" bestFit="1" customWidth="1"/>
    <col min="33" max="33" width="3" bestFit="1" customWidth="1"/>
    <col min="34" max="34" width="12.5" bestFit="1" customWidth="1"/>
    <col min="36" max="36" width="11.33203125" bestFit="1" customWidth="1"/>
    <col min="37" max="37" width="8.58203125" bestFit="1" customWidth="1"/>
    <col min="38" max="38" width="3" bestFit="1" customWidth="1"/>
    <col min="39" max="39" width="12.5" bestFit="1" customWidth="1"/>
    <col min="41" max="41" width="11.1640625" bestFit="1" customWidth="1"/>
    <col min="42" max="42" width="8.58203125" bestFit="1" customWidth="1"/>
    <col min="43" max="43" width="2.33203125" bestFit="1" customWidth="1"/>
    <col min="44" max="44" width="20.08203125" bestFit="1" customWidth="1"/>
    <col min="46" max="46" width="11.1640625" bestFit="1" customWidth="1"/>
    <col min="47" max="47" width="8.58203125" bestFit="1" customWidth="1"/>
    <col min="48" max="48" width="2.33203125" bestFit="1" customWidth="1"/>
    <col min="49" max="49" width="7.6640625" bestFit="1" customWidth="1"/>
    <col min="51" max="51" width="11.1640625" bestFit="1" customWidth="1"/>
    <col min="52" max="52" width="8.58203125" bestFit="1" customWidth="1"/>
    <col min="53" max="53" width="2.33203125" bestFit="1" customWidth="1"/>
    <col min="54" max="54" width="7.6640625" bestFit="1" customWidth="1"/>
    <col min="56" max="56" width="10.08203125" bestFit="1" customWidth="1"/>
    <col min="57" max="57" width="8.58203125" bestFit="1" customWidth="1"/>
    <col min="58" max="58" width="2.33203125" bestFit="1" customWidth="1"/>
    <col min="59" max="59" width="7.6640625" bestFit="1" customWidth="1"/>
    <col min="61" max="61" width="11.1640625" bestFit="1" customWidth="1"/>
    <col min="62" max="62" width="8.58203125" bestFit="1" customWidth="1"/>
    <col min="63" max="63" width="2.6640625" bestFit="1" customWidth="1"/>
    <col min="64" max="64" width="29.08203125" bestFit="1" customWidth="1"/>
    <col min="66" max="66" width="11.1640625" bestFit="1" customWidth="1"/>
    <col min="67" max="67" width="8.33203125" bestFit="1" customWidth="1"/>
    <col min="68" max="68" width="2.6640625" bestFit="1" customWidth="1"/>
    <col min="69" max="69" width="39.5" bestFit="1" customWidth="1"/>
    <col min="71" max="71" width="11.33203125" bestFit="1" customWidth="1"/>
    <col min="72" max="72" width="8.58203125" bestFit="1" customWidth="1"/>
    <col min="73" max="73" width="2.33203125" bestFit="1" customWidth="1"/>
    <col min="74" max="74" width="24.1640625" bestFit="1" customWidth="1"/>
    <col min="76" max="76" width="11.1640625" bestFit="1" customWidth="1"/>
    <col min="77" max="77" width="8.58203125" bestFit="1" customWidth="1"/>
    <col min="78" max="78" width="2.33203125" bestFit="1" customWidth="1"/>
    <col min="79" max="79" width="24.1640625" bestFit="1" customWidth="1"/>
    <col min="81" max="81" width="10.5" bestFit="1" customWidth="1"/>
    <col min="82" max="82" width="8.58203125" customWidth="1"/>
    <col min="83" max="83" width="2.33203125" customWidth="1"/>
    <col min="84" max="84" width="28.1640625" bestFit="1" customWidth="1"/>
    <col min="86" max="86" width="11.33203125" bestFit="1" customWidth="1"/>
    <col min="87" max="87" width="8.58203125" customWidth="1"/>
    <col min="88" max="88" width="2.33203125" bestFit="1" customWidth="1"/>
    <col min="89" max="89" width="22.6640625" bestFit="1" customWidth="1"/>
    <col min="91" max="91" width="11.33203125" bestFit="1" customWidth="1"/>
    <col min="92" max="92" width="8.58203125" bestFit="1" customWidth="1"/>
    <col min="93" max="93" width="2.33203125" bestFit="1" customWidth="1"/>
    <col min="94" max="94" width="22.6640625" bestFit="1" customWidth="1"/>
    <col min="96" max="96" width="11.33203125" bestFit="1" customWidth="1"/>
    <col min="97" max="97" width="8.58203125" bestFit="1" customWidth="1"/>
    <col min="98" max="98" width="2.33203125" bestFit="1" customWidth="1"/>
    <col min="99" max="99" width="22.6640625" bestFit="1" customWidth="1"/>
    <col min="101" max="101" width="11.33203125" bestFit="1" customWidth="1"/>
    <col min="102" max="102" width="8.58203125" bestFit="1" customWidth="1"/>
    <col min="103" max="103" width="2.33203125" bestFit="1" customWidth="1"/>
    <col min="104" max="104" width="22.6640625" bestFit="1" customWidth="1"/>
    <col min="106" max="106" width="10.6640625" bestFit="1" customWidth="1"/>
    <col min="107" max="107" width="8.58203125" bestFit="1" customWidth="1"/>
    <col min="108" max="108" width="2.33203125" bestFit="1" customWidth="1"/>
    <col min="109" max="109" width="23" bestFit="1" customWidth="1"/>
    <col min="111" max="111" width="11.5" bestFit="1" customWidth="1"/>
    <col min="112" max="112" width="8.58203125" bestFit="1" customWidth="1"/>
    <col min="113" max="113" width="2.33203125" bestFit="1" customWidth="1"/>
    <col min="114" max="114" width="23" bestFit="1" customWidth="1"/>
    <col min="116" max="116" width="11.33203125" bestFit="1" customWidth="1"/>
    <col min="117" max="117" width="8.58203125" bestFit="1" customWidth="1"/>
    <col min="118" max="118" width="2.33203125" bestFit="1" customWidth="1"/>
    <col min="119" max="119" width="23" bestFit="1" customWidth="1"/>
    <col min="121" max="121" width="10.5" bestFit="1" customWidth="1"/>
    <col min="122" max="122" width="8.58203125" bestFit="1" customWidth="1"/>
    <col min="123" max="123" width="2.33203125" bestFit="1" customWidth="1"/>
    <col min="124" max="124" width="23" bestFit="1" customWidth="1"/>
    <col min="126" max="126" width="11.33203125" bestFit="1" customWidth="1"/>
    <col min="127" max="127" width="8.58203125" bestFit="1" customWidth="1"/>
    <col min="128" max="128" width="2.33203125" bestFit="1" customWidth="1"/>
    <col min="129" max="129" width="23" bestFit="1" customWidth="1"/>
    <col min="131" max="131" width="11.33203125" bestFit="1" customWidth="1"/>
    <col min="132" max="132" width="8.58203125" bestFit="1" customWidth="1"/>
    <col min="133" max="133" width="2.33203125" bestFit="1" customWidth="1"/>
    <col min="134" max="134" width="23" bestFit="1" customWidth="1"/>
    <col min="136" max="136" width="11.33203125" bestFit="1" customWidth="1"/>
    <col min="137" max="137" width="8.58203125" bestFit="1" customWidth="1"/>
    <col min="138" max="138" width="2.33203125" bestFit="1" customWidth="1"/>
    <col min="139" max="139" width="23" bestFit="1" customWidth="1"/>
    <col min="141" max="141" width="11.33203125" bestFit="1" customWidth="1"/>
    <col min="142" max="142" width="8.58203125" bestFit="1" customWidth="1"/>
    <col min="143" max="143" width="2.33203125" bestFit="1" customWidth="1"/>
    <col min="144" max="144" width="23" bestFit="1" customWidth="1"/>
    <col min="146" max="146" width="11.33203125" bestFit="1" customWidth="1"/>
    <col min="147" max="147" width="8.58203125" bestFit="1" customWidth="1"/>
    <col min="148" max="148" width="2.33203125" bestFit="1" customWidth="1"/>
    <col min="149" max="149" width="23" bestFit="1" customWidth="1"/>
    <col min="151" max="151" width="11.5" bestFit="1" customWidth="1"/>
    <col min="152" max="152" width="8.58203125" bestFit="1" customWidth="1"/>
    <col min="153" max="153" width="2.33203125" bestFit="1" customWidth="1"/>
    <col min="154" max="154" width="23" bestFit="1" customWidth="1"/>
    <col min="156" max="156" width="11.33203125" bestFit="1" customWidth="1"/>
    <col min="157" max="157" width="8.58203125" bestFit="1" customWidth="1"/>
    <col min="158" max="158" width="2.33203125" bestFit="1" customWidth="1"/>
    <col min="159" max="159" width="23" bestFit="1" customWidth="1"/>
    <col min="161" max="161" width="10.5" bestFit="1" customWidth="1"/>
    <col min="162" max="162" width="8.58203125" bestFit="1" customWidth="1"/>
    <col min="163" max="163" width="2.33203125" bestFit="1" customWidth="1"/>
    <col min="164" max="164" width="23" bestFit="1" customWidth="1"/>
    <col min="166" max="166" width="10.5" bestFit="1" customWidth="1"/>
    <col min="167" max="167" width="8.58203125" bestFit="1" customWidth="1"/>
    <col min="168" max="168" width="2.33203125" bestFit="1" customWidth="1"/>
    <col min="169" max="169" width="23" bestFit="1" customWidth="1"/>
    <col min="171" max="171" width="10.5" bestFit="1" customWidth="1"/>
    <col min="172" max="172" width="8.58203125" bestFit="1" customWidth="1"/>
    <col min="173" max="173" width="2.33203125" bestFit="1" customWidth="1"/>
    <col min="174" max="174" width="23" bestFit="1" customWidth="1"/>
    <col min="176" max="176" width="10.5" bestFit="1" customWidth="1"/>
    <col min="177" max="177" width="8.58203125" bestFit="1" customWidth="1"/>
    <col min="178" max="178" width="2.33203125" bestFit="1" customWidth="1"/>
    <col min="179" max="179" width="23" bestFit="1" customWidth="1"/>
    <col min="181" max="181" width="10.5" bestFit="1" customWidth="1"/>
    <col min="182" max="182" width="8.58203125" bestFit="1" customWidth="1"/>
    <col min="183" max="183" width="2.33203125" bestFit="1" customWidth="1"/>
    <col min="184" max="184" width="23" bestFit="1" customWidth="1"/>
    <col min="186" max="186" width="10.6640625" bestFit="1" customWidth="1"/>
    <col min="187" max="187" width="8.58203125" bestFit="1" customWidth="1"/>
    <col min="188" max="188" width="2.33203125" bestFit="1" customWidth="1"/>
    <col min="189" max="189" width="23" bestFit="1" customWidth="1"/>
    <col min="191" max="191" width="10.6640625" bestFit="1" customWidth="1"/>
    <col min="192" max="192" width="8.58203125" bestFit="1" customWidth="1"/>
    <col min="193" max="193" width="2.33203125" bestFit="1" customWidth="1"/>
    <col min="194" max="194" width="23" bestFit="1" customWidth="1"/>
    <col min="196" max="196" width="10.5" bestFit="1" customWidth="1"/>
    <col min="197" max="197" width="8.58203125" bestFit="1" customWidth="1"/>
    <col min="198" max="198" width="2.33203125" bestFit="1" customWidth="1"/>
    <col min="199" max="199" width="23" bestFit="1" customWidth="1"/>
    <col min="201" max="201" width="11.33203125" bestFit="1" customWidth="1"/>
    <col min="202" max="202" width="8.58203125" bestFit="1" customWidth="1"/>
    <col min="203" max="203" width="2.33203125" bestFit="1" customWidth="1"/>
    <col min="204" max="204" width="23" bestFit="1" customWidth="1"/>
    <col min="206" max="206" width="11.1640625" bestFit="1" customWidth="1"/>
    <col min="207" max="207" width="8.58203125" bestFit="1" customWidth="1"/>
    <col min="208" max="208" width="2.33203125" bestFit="1" customWidth="1"/>
    <col min="209" max="209" width="23" customWidth="1"/>
    <col min="211" max="211" width="10.33203125" bestFit="1" customWidth="1"/>
    <col min="212" max="212" width="8.58203125" bestFit="1" customWidth="1"/>
    <col min="213" max="213" width="2.33203125" bestFit="1" customWidth="1"/>
    <col min="214" max="214" width="23" customWidth="1"/>
    <col min="216" max="216" width="10.33203125" bestFit="1" customWidth="1"/>
    <col min="217" max="217" width="8.58203125" bestFit="1" customWidth="1"/>
    <col min="218" max="218" width="2.33203125" bestFit="1" customWidth="1"/>
    <col min="219" max="219" width="23" customWidth="1"/>
    <col min="221" max="221" width="10.33203125" bestFit="1" customWidth="1"/>
    <col min="222" max="222" width="8.58203125" bestFit="1" customWidth="1"/>
    <col min="223" max="223" width="2.33203125" bestFit="1" customWidth="1"/>
    <col min="224" max="224" width="22.6640625" bestFit="1" customWidth="1"/>
    <col min="226" max="226" width="10.5" bestFit="1" customWidth="1"/>
    <col min="227" max="227" width="8.58203125" bestFit="1" customWidth="1"/>
    <col min="228" max="228" width="3" bestFit="1" customWidth="1"/>
    <col min="229" max="229" width="22.6640625" bestFit="1" customWidth="1"/>
    <col min="231" max="231" width="10.5" bestFit="1" customWidth="1"/>
    <col min="232" max="232" width="8.58203125" bestFit="1" customWidth="1"/>
    <col min="233" max="233" width="3" bestFit="1" customWidth="1"/>
    <col min="234" max="234" width="22.6640625" bestFit="1" customWidth="1"/>
    <col min="236" max="236" width="10.33203125" bestFit="1" customWidth="1"/>
    <col min="237" max="237" width="8.58203125" bestFit="1" customWidth="1"/>
    <col min="238" max="238" width="3" bestFit="1" customWidth="1"/>
    <col min="239" max="239" width="24.1640625" bestFit="1" customWidth="1"/>
    <col min="241" max="241" width="10.5" bestFit="1" customWidth="1"/>
    <col min="242" max="242" width="8.58203125" bestFit="1" customWidth="1"/>
    <col min="243" max="243" width="3" bestFit="1" customWidth="1"/>
    <col min="244" max="244" width="24.1640625" bestFit="1" customWidth="1"/>
    <col min="246" max="246" width="10.5" bestFit="1" customWidth="1"/>
    <col min="247" max="247" width="8.58203125" bestFit="1" customWidth="1"/>
    <col min="248" max="248" width="3" bestFit="1" customWidth="1"/>
    <col min="249" max="249" width="24.1640625" bestFit="1" customWidth="1"/>
    <col min="251" max="251" width="10.5" bestFit="1" customWidth="1"/>
    <col min="252" max="252" width="8.58203125" bestFit="1" customWidth="1"/>
    <col min="253" max="253" width="2.6640625" bestFit="1" customWidth="1"/>
    <col min="254" max="254" width="12.33203125" bestFit="1" customWidth="1"/>
    <col min="256" max="256" width="10.5" bestFit="1" customWidth="1"/>
    <col min="257" max="257" width="8.58203125" bestFit="1" customWidth="1"/>
    <col min="258" max="258" width="2.6640625" bestFit="1" customWidth="1"/>
    <col min="259" max="259" width="12.33203125" bestFit="1" customWidth="1"/>
    <col min="261" max="261" width="11.33203125" bestFit="1" customWidth="1"/>
    <col min="262" max="262" width="8.58203125" bestFit="1" customWidth="1"/>
    <col min="263" max="263" width="2.6640625" bestFit="1" customWidth="1"/>
    <col min="264" max="264" width="12.33203125" bestFit="1" customWidth="1"/>
    <col min="266" max="266" width="10.6640625" bestFit="1" customWidth="1"/>
    <col min="267" max="267" width="8.58203125" bestFit="1" customWidth="1"/>
    <col min="268" max="268" width="2.6640625" bestFit="1" customWidth="1"/>
    <col min="269" max="269" width="12.33203125" bestFit="1" customWidth="1"/>
    <col min="271" max="271" width="11.5" bestFit="1" customWidth="1"/>
    <col min="272" max="272" width="8.58203125" bestFit="1" customWidth="1"/>
    <col min="273" max="273" width="2.6640625" bestFit="1" customWidth="1"/>
    <col min="274" max="274" width="12.33203125" bestFit="1" customWidth="1"/>
    <col min="276" max="276" width="10.5" bestFit="1" customWidth="1"/>
    <col min="277" max="277" width="8.58203125" bestFit="1" customWidth="1"/>
    <col min="278" max="278" width="2.6640625" bestFit="1" customWidth="1"/>
    <col min="279" max="279" width="12.33203125" bestFit="1" customWidth="1"/>
    <col min="281" max="281" width="11.1640625" bestFit="1" customWidth="1"/>
    <col min="282" max="282" width="8.58203125" bestFit="1" customWidth="1"/>
    <col min="283" max="283" width="2.33203125" bestFit="1" customWidth="1"/>
    <col min="284" max="284" width="20.6640625" bestFit="1" customWidth="1"/>
    <col min="286" max="286" width="11.33203125" bestFit="1" customWidth="1"/>
    <col min="287" max="287" width="8.58203125" bestFit="1" customWidth="1"/>
    <col min="288" max="288" width="2.33203125" bestFit="1" customWidth="1"/>
    <col min="289" max="289" width="14.83203125" bestFit="1" customWidth="1"/>
    <col min="291" max="291" width="11.1640625" bestFit="1" customWidth="1"/>
    <col min="292" max="292" width="8.58203125" bestFit="1" customWidth="1"/>
    <col min="293" max="293" width="2.33203125" bestFit="1" customWidth="1"/>
    <col min="294" max="294" width="14.83203125" bestFit="1" customWidth="1"/>
    <col min="296" max="296" width="11.33203125" bestFit="1" customWidth="1"/>
    <col min="297" max="297" width="8.58203125" bestFit="1" customWidth="1"/>
    <col min="298" max="298" width="2.6640625" bestFit="1" customWidth="1"/>
    <col min="299" max="299" width="20.5" bestFit="1" customWidth="1"/>
    <col min="301" max="301" width="11.33203125" bestFit="1" customWidth="1"/>
    <col min="302" max="302" width="8.58203125" bestFit="1" customWidth="1"/>
    <col min="303" max="303" width="2.33203125" bestFit="1" customWidth="1"/>
    <col min="304" max="304" width="40" bestFit="1" customWidth="1"/>
    <col min="306" max="306" width="11.33203125" bestFit="1" customWidth="1"/>
    <col min="307" max="307" width="8.58203125" bestFit="1" customWidth="1"/>
    <col min="308" max="308" width="2.33203125" bestFit="1" customWidth="1"/>
    <col min="309" max="309" width="12.58203125" customWidth="1"/>
    <col min="311" max="311" width="11.1640625" bestFit="1" customWidth="1"/>
    <col min="312" max="312" width="8.58203125" bestFit="1" customWidth="1"/>
    <col min="313" max="313" width="3" bestFit="1" customWidth="1"/>
    <col min="314" max="314" width="40" bestFit="1" customWidth="1"/>
    <col min="316" max="316" width="11.1640625" bestFit="1" customWidth="1"/>
    <col min="317" max="317" width="8.58203125" bestFit="1" customWidth="1"/>
    <col min="318" max="318" width="3" bestFit="1" customWidth="1"/>
    <col min="319" max="319" width="12.58203125" customWidth="1"/>
  </cols>
  <sheetData>
    <row r="1" spans="1:319" ht="19.5">
      <c r="A1" s="25" t="s">
        <v>94</v>
      </c>
      <c r="B1" s="24"/>
      <c r="C1" s="18"/>
      <c r="D1" s="18"/>
    </row>
    <row r="2" spans="1:319">
      <c r="A2" s="102" t="s">
        <v>100</v>
      </c>
      <c r="B2" s="26"/>
      <c r="C2" s="26" t="s">
        <v>978</v>
      </c>
      <c r="D2" s="18"/>
    </row>
    <row r="3" spans="1:319">
      <c r="A3" s="102" t="s">
        <v>95</v>
      </c>
      <c r="B3" s="26"/>
      <c r="C3" s="26">
        <v>1</v>
      </c>
      <c r="D3" s="18"/>
    </row>
    <row r="4" spans="1:319">
      <c r="A4" s="102" t="s">
        <v>144</v>
      </c>
      <c r="B4" s="26"/>
      <c r="C4" s="26">
        <v>64</v>
      </c>
      <c r="KS4" s="62"/>
      <c r="KT4" s="62"/>
    </row>
    <row r="5" spans="1:319">
      <c r="A5" s="102" t="s">
        <v>96</v>
      </c>
      <c r="B5" s="26"/>
      <c r="C5" s="26">
        <v>512</v>
      </c>
      <c r="D5" s="18"/>
    </row>
    <row r="6" spans="1:319">
      <c r="A6" s="444" t="s">
        <v>97</v>
      </c>
      <c r="B6" s="444"/>
      <c r="C6" s="444"/>
      <c r="D6" s="444"/>
      <c r="F6" s="444" t="s">
        <v>98</v>
      </c>
      <c r="G6" s="444"/>
      <c r="H6" s="444"/>
      <c r="I6" s="444"/>
      <c r="K6" s="444" t="s">
        <v>99</v>
      </c>
      <c r="L6" s="444"/>
      <c r="M6" s="444"/>
      <c r="N6" s="444"/>
      <c r="P6" s="444" t="s">
        <v>306</v>
      </c>
      <c r="Q6" s="444"/>
      <c r="R6" s="444"/>
      <c r="S6" s="444"/>
      <c r="U6" s="444" t="s">
        <v>307</v>
      </c>
      <c r="V6" s="444"/>
      <c r="W6" s="444"/>
      <c r="X6" s="444"/>
      <c r="Z6" s="444" t="s">
        <v>308</v>
      </c>
      <c r="AA6" s="444"/>
      <c r="AB6" s="444"/>
      <c r="AC6" s="444"/>
      <c r="AE6" s="444" t="s">
        <v>309</v>
      </c>
      <c r="AF6" s="444"/>
      <c r="AG6" s="444"/>
      <c r="AH6" s="444"/>
      <c r="AJ6" s="444" t="s">
        <v>310</v>
      </c>
      <c r="AK6" s="444"/>
      <c r="AL6" s="444"/>
      <c r="AM6" s="444"/>
      <c r="AO6" s="444" t="s">
        <v>311</v>
      </c>
      <c r="AP6" s="444"/>
      <c r="AQ6" s="444"/>
      <c r="AR6" s="444"/>
      <c r="AT6" s="444" t="s">
        <v>312</v>
      </c>
      <c r="AU6" s="444"/>
      <c r="AV6" s="444"/>
      <c r="AW6" s="444"/>
      <c r="AY6" s="444" t="s">
        <v>313</v>
      </c>
      <c r="AZ6" s="444"/>
      <c r="BA6" s="444"/>
      <c r="BB6" s="444"/>
      <c r="BD6" s="444" t="s">
        <v>314</v>
      </c>
      <c r="BE6" s="444"/>
      <c r="BF6" s="444"/>
      <c r="BG6" s="444"/>
      <c r="BI6" s="444" t="s">
        <v>315</v>
      </c>
      <c r="BJ6" s="444"/>
      <c r="BK6" s="444"/>
      <c r="BL6" s="444"/>
      <c r="BN6" s="447" t="s">
        <v>316</v>
      </c>
      <c r="BO6" s="448"/>
      <c r="BP6" s="448"/>
      <c r="BQ6" s="449"/>
      <c r="BS6" s="444" t="s">
        <v>317</v>
      </c>
      <c r="BT6" s="445"/>
      <c r="BU6" s="445"/>
      <c r="BV6" s="446"/>
      <c r="BX6" s="444" t="s">
        <v>318</v>
      </c>
      <c r="BY6" s="445"/>
      <c r="BZ6" s="445"/>
      <c r="CA6" s="446"/>
      <c r="CC6" s="444" t="s">
        <v>319</v>
      </c>
      <c r="CD6" s="445"/>
      <c r="CE6" s="445"/>
      <c r="CF6" s="446"/>
      <c r="CG6" s="320"/>
      <c r="CH6" s="444" t="s">
        <v>320</v>
      </c>
      <c r="CI6" s="445"/>
      <c r="CJ6" s="445"/>
      <c r="CK6" s="446"/>
      <c r="CL6" s="320"/>
      <c r="CM6" s="444" t="s">
        <v>321</v>
      </c>
      <c r="CN6" s="445"/>
      <c r="CO6" s="445"/>
      <c r="CP6" s="446"/>
      <c r="CQ6" s="320"/>
      <c r="CR6" s="444" t="s">
        <v>322</v>
      </c>
      <c r="CS6" s="445"/>
      <c r="CT6" s="445"/>
      <c r="CU6" s="446"/>
      <c r="CV6" s="320"/>
      <c r="CW6" s="444" t="s">
        <v>323</v>
      </c>
      <c r="CX6" s="445"/>
      <c r="CY6" s="445"/>
      <c r="CZ6" s="446"/>
      <c r="DA6" s="320"/>
      <c r="DB6" s="444" t="s">
        <v>324</v>
      </c>
      <c r="DC6" s="445"/>
      <c r="DD6" s="445"/>
      <c r="DE6" s="446"/>
      <c r="DF6" s="320"/>
      <c r="DG6" s="444" t="s">
        <v>325</v>
      </c>
      <c r="DH6" s="445"/>
      <c r="DI6" s="445"/>
      <c r="DJ6" s="446"/>
      <c r="DK6" s="320"/>
      <c r="DL6" s="444" t="s">
        <v>326</v>
      </c>
      <c r="DM6" s="445"/>
      <c r="DN6" s="445"/>
      <c r="DO6" s="446"/>
      <c r="DP6" s="320"/>
      <c r="DQ6" s="444" t="s">
        <v>327</v>
      </c>
      <c r="DR6" s="445"/>
      <c r="DS6" s="445"/>
      <c r="DT6" s="446"/>
      <c r="DU6" s="320"/>
      <c r="DV6" s="444" t="s">
        <v>328</v>
      </c>
      <c r="DW6" s="445"/>
      <c r="DX6" s="445"/>
      <c r="DY6" s="446"/>
      <c r="DZ6" s="320"/>
      <c r="EA6" s="444" t="s">
        <v>329</v>
      </c>
      <c r="EB6" s="445"/>
      <c r="EC6" s="445"/>
      <c r="ED6" s="446"/>
      <c r="EE6" s="320"/>
      <c r="EF6" s="444" t="s">
        <v>330</v>
      </c>
      <c r="EG6" s="445"/>
      <c r="EH6" s="445"/>
      <c r="EI6" s="446"/>
      <c r="EJ6" s="320"/>
      <c r="EK6" s="444" t="s">
        <v>331</v>
      </c>
      <c r="EL6" s="445"/>
      <c r="EM6" s="445"/>
      <c r="EN6" s="446"/>
      <c r="EO6" s="320"/>
      <c r="EP6" s="444" t="s">
        <v>332</v>
      </c>
      <c r="EQ6" s="445"/>
      <c r="ER6" s="445"/>
      <c r="ES6" s="446"/>
      <c r="ET6" s="320"/>
      <c r="EU6" s="444" t="s">
        <v>333</v>
      </c>
      <c r="EV6" s="445"/>
      <c r="EW6" s="445"/>
      <c r="EX6" s="446"/>
      <c r="EY6" s="320"/>
      <c r="EZ6" s="444" t="s">
        <v>334</v>
      </c>
      <c r="FA6" s="445"/>
      <c r="FB6" s="445"/>
      <c r="FC6" s="446"/>
      <c r="FD6" s="320"/>
      <c r="FE6" s="444" t="s">
        <v>335</v>
      </c>
      <c r="FF6" s="445"/>
      <c r="FG6" s="445"/>
      <c r="FH6" s="446"/>
      <c r="FJ6" s="444" t="s">
        <v>336</v>
      </c>
      <c r="FK6" s="445"/>
      <c r="FL6" s="445"/>
      <c r="FM6" s="446"/>
      <c r="FO6" s="444" t="s">
        <v>337</v>
      </c>
      <c r="FP6" s="445"/>
      <c r="FQ6" s="445"/>
      <c r="FR6" s="446"/>
      <c r="FT6" s="444" t="s">
        <v>338</v>
      </c>
      <c r="FU6" s="445"/>
      <c r="FV6" s="445"/>
      <c r="FW6" s="446"/>
      <c r="FY6" s="444" t="s">
        <v>339</v>
      </c>
      <c r="FZ6" s="445"/>
      <c r="GA6" s="445"/>
      <c r="GB6" s="446"/>
      <c r="GD6" s="444" t="s">
        <v>340</v>
      </c>
      <c r="GE6" s="445"/>
      <c r="GF6" s="445"/>
      <c r="GG6" s="446"/>
      <c r="GI6" s="444" t="s">
        <v>341</v>
      </c>
      <c r="GJ6" s="445"/>
      <c r="GK6" s="445"/>
      <c r="GL6" s="446"/>
      <c r="GN6" s="444" t="s">
        <v>342</v>
      </c>
      <c r="GO6" s="445"/>
      <c r="GP6" s="445"/>
      <c r="GQ6" s="446"/>
      <c r="GS6" s="444" t="s">
        <v>343</v>
      </c>
      <c r="GT6" s="445"/>
      <c r="GU6" s="445"/>
      <c r="GV6" s="446"/>
      <c r="GX6" s="444" t="s">
        <v>344</v>
      </c>
      <c r="GY6" s="445"/>
      <c r="GZ6" s="445"/>
      <c r="HA6" s="446"/>
      <c r="HC6" s="444" t="s">
        <v>345</v>
      </c>
      <c r="HD6" s="445"/>
      <c r="HE6" s="445"/>
      <c r="HF6" s="446"/>
      <c r="HH6" s="444" t="s">
        <v>346</v>
      </c>
      <c r="HI6" s="445"/>
      <c r="HJ6" s="445"/>
      <c r="HK6" s="446"/>
      <c r="HM6" s="444" t="s">
        <v>347</v>
      </c>
      <c r="HN6" s="445"/>
      <c r="HO6" s="445"/>
      <c r="HP6" s="446"/>
      <c r="HR6" s="444" t="s">
        <v>348</v>
      </c>
      <c r="HS6" s="445"/>
      <c r="HT6" s="445"/>
      <c r="HU6" s="446"/>
      <c r="HW6" s="444" t="s">
        <v>349</v>
      </c>
      <c r="HX6" s="445"/>
      <c r="HY6" s="445"/>
      <c r="HZ6" s="446"/>
      <c r="IB6" s="444" t="s">
        <v>350</v>
      </c>
      <c r="IC6" s="445"/>
      <c r="ID6" s="445"/>
      <c r="IE6" s="446"/>
      <c r="IG6" s="444" t="s">
        <v>351</v>
      </c>
      <c r="IH6" s="445"/>
      <c r="II6" s="445"/>
      <c r="IJ6" s="446"/>
      <c r="IL6" s="444" t="s">
        <v>352</v>
      </c>
      <c r="IM6" s="445"/>
      <c r="IN6" s="445"/>
      <c r="IO6" s="446"/>
      <c r="IQ6" s="444" t="s">
        <v>654</v>
      </c>
      <c r="IR6" s="444"/>
      <c r="IS6" s="444"/>
      <c r="IT6" s="444"/>
      <c r="IV6" s="444" t="s">
        <v>850</v>
      </c>
      <c r="IW6" s="444"/>
      <c r="IX6" s="444"/>
      <c r="IY6" s="444"/>
      <c r="JA6" s="444" t="s">
        <v>851</v>
      </c>
      <c r="JB6" s="444"/>
      <c r="JC6" s="444"/>
      <c r="JD6" s="444"/>
      <c r="JF6" s="444" t="s">
        <v>852</v>
      </c>
      <c r="JG6" s="444"/>
      <c r="JH6" s="444"/>
      <c r="JI6" s="444"/>
      <c r="JK6" s="444" t="s">
        <v>853</v>
      </c>
      <c r="JL6" s="444"/>
      <c r="JM6" s="444"/>
      <c r="JN6" s="444"/>
      <c r="JP6" s="444" t="s">
        <v>854</v>
      </c>
      <c r="JQ6" s="444"/>
      <c r="JR6" s="444"/>
      <c r="JS6" s="444"/>
      <c r="JU6" s="444" t="s">
        <v>855</v>
      </c>
      <c r="JV6" s="444"/>
      <c r="JW6" s="444"/>
      <c r="JX6" s="444"/>
      <c r="JZ6" s="444" t="s">
        <v>856</v>
      </c>
      <c r="KA6" s="444"/>
      <c r="KB6" s="444"/>
      <c r="KC6" s="444"/>
      <c r="KE6" s="444" t="s">
        <v>857</v>
      </c>
      <c r="KF6" s="444"/>
      <c r="KG6" s="444"/>
      <c r="KH6" s="444"/>
      <c r="KJ6" s="444" t="s">
        <v>858</v>
      </c>
      <c r="KK6" s="444"/>
      <c r="KL6" s="444"/>
      <c r="KM6" s="444"/>
      <c r="KO6" s="444" t="s">
        <v>859</v>
      </c>
      <c r="KP6" s="444"/>
      <c r="KQ6" s="444"/>
      <c r="KR6" s="444"/>
      <c r="KT6" s="444" t="s">
        <v>860</v>
      </c>
      <c r="KU6" s="444"/>
      <c r="KV6" s="444"/>
      <c r="KW6" s="444"/>
      <c r="KY6" s="444" t="s">
        <v>861</v>
      </c>
      <c r="KZ6" s="444"/>
      <c r="LA6" s="444"/>
      <c r="LB6" s="444"/>
      <c r="LD6" s="444" t="s">
        <v>862</v>
      </c>
      <c r="LE6" s="444"/>
      <c r="LF6" s="444"/>
      <c r="LG6" s="444"/>
    </row>
    <row r="7" spans="1:319">
      <c r="A7" s="270" t="s">
        <v>91</v>
      </c>
      <c r="B7" s="270" t="s">
        <v>40</v>
      </c>
      <c r="C7" s="270"/>
      <c r="D7" s="270" t="s">
        <v>24</v>
      </c>
      <c r="F7" s="270" t="s">
        <v>91</v>
      </c>
      <c r="G7" s="270" t="s">
        <v>40</v>
      </c>
      <c r="H7" s="270"/>
      <c r="I7" s="270" t="s">
        <v>24</v>
      </c>
      <c r="K7" s="270" t="s">
        <v>91</v>
      </c>
      <c r="L7" s="270" t="s">
        <v>40</v>
      </c>
      <c r="M7" s="290"/>
      <c r="N7" s="217" t="s">
        <v>24</v>
      </c>
      <c r="P7" s="270" t="s">
        <v>91</v>
      </c>
      <c r="Q7" s="270" t="s">
        <v>40</v>
      </c>
      <c r="R7" s="270"/>
      <c r="S7" s="270" t="s">
        <v>24</v>
      </c>
      <c r="U7" s="270" t="s">
        <v>91</v>
      </c>
      <c r="V7" s="270" t="s">
        <v>40</v>
      </c>
      <c r="W7" s="270"/>
      <c r="X7" s="270" t="s">
        <v>24</v>
      </c>
      <c r="Z7" s="270" t="s">
        <v>91</v>
      </c>
      <c r="AA7" s="270" t="s">
        <v>40</v>
      </c>
      <c r="AB7" s="270"/>
      <c r="AC7" s="270" t="s">
        <v>24</v>
      </c>
      <c r="AE7" s="270" t="s">
        <v>91</v>
      </c>
      <c r="AF7" s="270" t="s">
        <v>40</v>
      </c>
      <c r="AG7" s="270"/>
      <c r="AH7" s="270" t="s">
        <v>24</v>
      </c>
      <c r="AJ7" s="270" t="s">
        <v>91</v>
      </c>
      <c r="AK7" s="270" t="s">
        <v>40</v>
      </c>
      <c r="AL7" s="270"/>
      <c r="AM7" s="270" t="s">
        <v>24</v>
      </c>
      <c r="AO7" s="270" t="s">
        <v>91</v>
      </c>
      <c r="AP7" s="270" t="s">
        <v>40</v>
      </c>
      <c r="AQ7" s="270"/>
      <c r="AR7" s="270" t="s">
        <v>24</v>
      </c>
      <c r="AT7" s="270" t="s">
        <v>91</v>
      </c>
      <c r="AU7" s="270" t="s">
        <v>40</v>
      </c>
      <c r="AV7" s="270"/>
      <c r="AW7" s="270" t="s">
        <v>24</v>
      </c>
      <c r="AY7" s="270" t="s">
        <v>91</v>
      </c>
      <c r="AZ7" s="270" t="s">
        <v>40</v>
      </c>
      <c r="BA7" s="270"/>
      <c r="BB7" s="270" t="s">
        <v>24</v>
      </c>
      <c r="BD7" s="270" t="s">
        <v>91</v>
      </c>
      <c r="BE7" s="270" t="s">
        <v>40</v>
      </c>
      <c r="BF7" s="270"/>
      <c r="BG7" s="270" t="s">
        <v>24</v>
      </c>
      <c r="BI7" s="270" t="s">
        <v>91</v>
      </c>
      <c r="BJ7" s="270" t="s">
        <v>40</v>
      </c>
      <c r="BK7" s="270"/>
      <c r="BL7" s="270" t="s">
        <v>24</v>
      </c>
      <c r="BN7" s="270" t="s">
        <v>91</v>
      </c>
      <c r="BO7" s="270" t="s">
        <v>40</v>
      </c>
      <c r="BP7" s="270"/>
      <c r="BQ7" s="270" t="s">
        <v>24</v>
      </c>
      <c r="BS7" s="422" t="s">
        <v>91</v>
      </c>
      <c r="BT7" s="422" t="s">
        <v>40</v>
      </c>
      <c r="BU7" s="422"/>
      <c r="BV7" s="422" t="s">
        <v>24</v>
      </c>
      <c r="BX7" s="422" t="s">
        <v>91</v>
      </c>
      <c r="BY7" s="422" t="s">
        <v>40</v>
      </c>
      <c r="BZ7" s="422"/>
      <c r="CA7" s="422" t="s">
        <v>24</v>
      </c>
      <c r="CC7" s="422" t="s">
        <v>91</v>
      </c>
      <c r="CD7" s="422" t="s">
        <v>40</v>
      </c>
      <c r="CE7" s="422"/>
      <c r="CF7" s="422" t="s">
        <v>24</v>
      </c>
      <c r="CG7" s="320"/>
      <c r="CH7" s="422" t="s">
        <v>91</v>
      </c>
      <c r="CI7" s="422" t="s">
        <v>40</v>
      </c>
      <c r="CJ7" s="422"/>
      <c r="CK7" s="422" t="s">
        <v>24</v>
      </c>
      <c r="CL7" s="320"/>
      <c r="CM7" s="422" t="s">
        <v>91</v>
      </c>
      <c r="CN7" s="422" t="s">
        <v>40</v>
      </c>
      <c r="CO7" s="422"/>
      <c r="CP7" s="422" t="s">
        <v>24</v>
      </c>
      <c r="CQ7" s="320"/>
      <c r="CR7" s="422" t="s">
        <v>91</v>
      </c>
      <c r="CS7" s="422" t="s">
        <v>40</v>
      </c>
      <c r="CT7" s="422"/>
      <c r="CU7" s="422" t="s">
        <v>24</v>
      </c>
      <c r="CV7" s="320"/>
      <c r="CW7" s="422" t="s">
        <v>91</v>
      </c>
      <c r="CX7" s="422" t="s">
        <v>40</v>
      </c>
      <c r="CY7" s="422"/>
      <c r="CZ7" s="422" t="s">
        <v>24</v>
      </c>
      <c r="DA7" s="320"/>
      <c r="DB7" s="422" t="s">
        <v>91</v>
      </c>
      <c r="DC7" s="422" t="s">
        <v>40</v>
      </c>
      <c r="DD7" s="422"/>
      <c r="DE7" s="422" t="s">
        <v>24</v>
      </c>
      <c r="DF7" s="320"/>
      <c r="DG7" s="422" t="s">
        <v>91</v>
      </c>
      <c r="DH7" s="422" t="s">
        <v>40</v>
      </c>
      <c r="DI7" s="422"/>
      <c r="DJ7" s="422" t="s">
        <v>24</v>
      </c>
      <c r="DK7" s="320"/>
      <c r="DL7" s="422" t="s">
        <v>91</v>
      </c>
      <c r="DM7" s="422" t="s">
        <v>40</v>
      </c>
      <c r="DN7" s="422"/>
      <c r="DO7" s="422" t="s">
        <v>24</v>
      </c>
      <c r="DP7" s="320"/>
      <c r="DQ7" s="422" t="s">
        <v>91</v>
      </c>
      <c r="DR7" s="422" t="s">
        <v>40</v>
      </c>
      <c r="DS7" s="422"/>
      <c r="DT7" s="422" t="s">
        <v>24</v>
      </c>
      <c r="DU7" s="320"/>
      <c r="DV7" s="422" t="s">
        <v>91</v>
      </c>
      <c r="DW7" s="422" t="s">
        <v>40</v>
      </c>
      <c r="DX7" s="422"/>
      <c r="DY7" s="422" t="s">
        <v>24</v>
      </c>
      <c r="DZ7" s="320"/>
      <c r="EA7" s="422" t="s">
        <v>91</v>
      </c>
      <c r="EB7" s="422" t="s">
        <v>40</v>
      </c>
      <c r="EC7" s="422"/>
      <c r="ED7" s="422" t="s">
        <v>24</v>
      </c>
      <c r="EE7" s="320"/>
      <c r="EF7" s="422" t="s">
        <v>91</v>
      </c>
      <c r="EG7" s="422" t="s">
        <v>40</v>
      </c>
      <c r="EH7" s="422"/>
      <c r="EI7" s="422" t="s">
        <v>24</v>
      </c>
      <c r="EJ7" s="320"/>
      <c r="EK7" s="422" t="s">
        <v>91</v>
      </c>
      <c r="EL7" s="422" t="s">
        <v>40</v>
      </c>
      <c r="EM7" s="422"/>
      <c r="EN7" s="422" t="s">
        <v>24</v>
      </c>
      <c r="EO7" s="320"/>
      <c r="EP7" s="422" t="s">
        <v>91</v>
      </c>
      <c r="EQ7" s="422" t="s">
        <v>40</v>
      </c>
      <c r="ER7" s="422"/>
      <c r="ES7" s="422" t="s">
        <v>24</v>
      </c>
      <c r="ET7" s="320"/>
      <c r="EU7" s="422" t="s">
        <v>91</v>
      </c>
      <c r="EV7" s="422" t="s">
        <v>40</v>
      </c>
      <c r="EW7" s="422"/>
      <c r="EX7" s="422" t="s">
        <v>24</v>
      </c>
      <c r="EY7" s="320"/>
      <c r="EZ7" s="422" t="s">
        <v>91</v>
      </c>
      <c r="FA7" s="422" t="s">
        <v>40</v>
      </c>
      <c r="FB7" s="422"/>
      <c r="FC7" s="422" t="s">
        <v>24</v>
      </c>
      <c r="FD7" s="320"/>
      <c r="FE7" s="422" t="s">
        <v>91</v>
      </c>
      <c r="FF7" s="422" t="s">
        <v>40</v>
      </c>
      <c r="FG7" s="422"/>
      <c r="FH7" s="422" t="s">
        <v>24</v>
      </c>
      <c r="FJ7" s="422" t="s">
        <v>91</v>
      </c>
      <c r="FK7" s="422" t="s">
        <v>40</v>
      </c>
      <c r="FL7" s="422"/>
      <c r="FM7" s="422" t="s">
        <v>24</v>
      </c>
      <c r="FO7" s="422" t="s">
        <v>91</v>
      </c>
      <c r="FP7" s="422" t="s">
        <v>40</v>
      </c>
      <c r="FQ7" s="422"/>
      <c r="FR7" s="422" t="s">
        <v>24</v>
      </c>
      <c r="FT7" s="422" t="s">
        <v>91</v>
      </c>
      <c r="FU7" s="422" t="s">
        <v>40</v>
      </c>
      <c r="FV7" s="422"/>
      <c r="FW7" s="422" t="s">
        <v>24</v>
      </c>
      <c r="FY7" s="422" t="s">
        <v>91</v>
      </c>
      <c r="FZ7" s="422" t="s">
        <v>40</v>
      </c>
      <c r="GA7" s="422"/>
      <c r="GB7" s="422" t="s">
        <v>24</v>
      </c>
      <c r="GD7" s="422" t="s">
        <v>91</v>
      </c>
      <c r="GE7" s="422" t="s">
        <v>40</v>
      </c>
      <c r="GF7" s="422"/>
      <c r="GG7" s="422" t="s">
        <v>24</v>
      </c>
      <c r="GI7" s="422" t="s">
        <v>91</v>
      </c>
      <c r="GJ7" s="422" t="s">
        <v>40</v>
      </c>
      <c r="GK7" s="422"/>
      <c r="GL7" s="422" t="s">
        <v>24</v>
      </c>
      <c r="GN7" s="422" t="s">
        <v>91</v>
      </c>
      <c r="GO7" s="422" t="s">
        <v>40</v>
      </c>
      <c r="GP7" s="422"/>
      <c r="GQ7" s="422" t="s">
        <v>24</v>
      </c>
      <c r="GS7" s="422" t="s">
        <v>91</v>
      </c>
      <c r="GT7" s="422" t="s">
        <v>40</v>
      </c>
      <c r="GU7" s="422"/>
      <c r="GV7" s="422" t="s">
        <v>24</v>
      </c>
      <c r="GX7" s="422" t="s">
        <v>91</v>
      </c>
      <c r="GY7" s="422" t="s">
        <v>40</v>
      </c>
      <c r="GZ7" s="422"/>
      <c r="HA7" s="422" t="s">
        <v>24</v>
      </c>
      <c r="HC7" s="422" t="s">
        <v>91</v>
      </c>
      <c r="HD7" s="422" t="s">
        <v>40</v>
      </c>
      <c r="HE7" s="422"/>
      <c r="HF7" s="422" t="s">
        <v>24</v>
      </c>
      <c r="HH7" s="422" t="s">
        <v>91</v>
      </c>
      <c r="HI7" s="422" t="s">
        <v>40</v>
      </c>
      <c r="HJ7" s="422"/>
      <c r="HK7" s="422" t="s">
        <v>24</v>
      </c>
      <c r="HM7" s="422" t="s">
        <v>91</v>
      </c>
      <c r="HN7" s="422" t="s">
        <v>40</v>
      </c>
      <c r="HO7" s="422"/>
      <c r="HP7" s="422" t="s">
        <v>24</v>
      </c>
      <c r="HR7" s="422" t="s">
        <v>91</v>
      </c>
      <c r="HS7" s="422" t="s">
        <v>40</v>
      </c>
      <c r="HT7" s="422"/>
      <c r="HU7" s="422" t="s">
        <v>24</v>
      </c>
      <c r="HW7" s="422" t="s">
        <v>91</v>
      </c>
      <c r="HX7" s="422" t="s">
        <v>40</v>
      </c>
      <c r="HY7" s="422"/>
      <c r="HZ7" s="422" t="s">
        <v>24</v>
      </c>
      <c r="IB7" s="422" t="s">
        <v>91</v>
      </c>
      <c r="IC7" s="422" t="s">
        <v>40</v>
      </c>
      <c r="ID7" s="422"/>
      <c r="IE7" s="422" t="s">
        <v>24</v>
      </c>
      <c r="IG7" s="422" t="s">
        <v>91</v>
      </c>
      <c r="IH7" s="422" t="s">
        <v>40</v>
      </c>
      <c r="II7" s="422"/>
      <c r="IJ7" s="422" t="s">
        <v>24</v>
      </c>
      <c r="IL7" s="422" t="s">
        <v>91</v>
      </c>
      <c r="IM7" s="422" t="s">
        <v>40</v>
      </c>
      <c r="IN7" s="422"/>
      <c r="IO7" s="422" t="s">
        <v>24</v>
      </c>
      <c r="IQ7" s="270" t="s">
        <v>91</v>
      </c>
      <c r="IR7" s="270" t="s">
        <v>40</v>
      </c>
      <c r="IS7" s="270"/>
      <c r="IT7" s="270" t="s">
        <v>24</v>
      </c>
      <c r="IV7" s="270" t="s">
        <v>91</v>
      </c>
      <c r="IW7" s="270" t="s">
        <v>40</v>
      </c>
      <c r="IX7" s="270"/>
      <c r="IY7" s="270" t="s">
        <v>24</v>
      </c>
      <c r="JA7" s="270" t="s">
        <v>91</v>
      </c>
      <c r="JB7" s="270" t="s">
        <v>40</v>
      </c>
      <c r="JC7" s="270"/>
      <c r="JD7" s="270" t="s">
        <v>24</v>
      </c>
      <c r="JF7" s="270" t="s">
        <v>91</v>
      </c>
      <c r="JG7" s="270" t="s">
        <v>40</v>
      </c>
      <c r="JH7" s="270"/>
      <c r="JI7" s="270" t="s">
        <v>24</v>
      </c>
      <c r="JK7" s="270" t="s">
        <v>91</v>
      </c>
      <c r="JL7" s="270" t="s">
        <v>40</v>
      </c>
      <c r="JM7" s="270"/>
      <c r="JN7" s="270" t="s">
        <v>24</v>
      </c>
      <c r="JP7" s="270" t="s">
        <v>91</v>
      </c>
      <c r="JQ7" s="270" t="s">
        <v>40</v>
      </c>
      <c r="JR7" s="270"/>
      <c r="JS7" s="270" t="s">
        <v>24</v>
      </c>
      <c r="JU7" s="270" t="s">
        <v>91</v>
      </c>
      <c r="JV7" s="270" t="s">
        <v>40</v>
      </c>
      <c r="JW7" s="270"/>
      <c r="JX7" s="270" t="s">
        <v>24</v>
      </c>
      <c r="JZ7" s="270" t="s">
        <v>91</v>
      </c>
      <c r="KA7" s="270" t="s">
        <v>40</v>
      </c>
      <c r="KB7" s="270"/>
      <c r="KC7" s="270" t="s">
        <v>24</v>
      </c>
      <c r="KE7" s="270" t="s">
        <v>91</v>
      </c>
      <c r="KF7" s="270" t="s">
        <v>40</v>
      </c>
      <c r="KG7" s="270"/>
      <c r="KH7" s="270" t="s">
        <v>24</v>
      </c>
      <c r="KJ7" s="270" t="s">
        <v>91</v>
      </c>
      <c r="KK7" s="270" t="s">
        <v>40</v>
      </c>
      <c r="KL7" s="270"/>
      <c r="KM7" s="270" t="s">
        <v>24</v>
      </c>
      <c r="KO7" s="270" t="s">
        <v>91</v>
      </c>
      <c r="KP7" s="270" t="s">
        <v>40</v>
      </c>
      <c r="KQ7" s="270"/>
      <c r="KR7" s="270" t="s">
        <v>24</v>
      </c>
      <c r="KT7" s="270" t="s">
        <v>91</v>
      </c>
      <c r="KU7" s="270" t="s">
        <v>40</v>
      </c>
      <c r="KV7" s="270"/>
      <c r="KW7" s="270" t="s">
        <v>24</v>
      </c>
      <c r="KY7" s="270" t="s">
        <v>91</v>
      </c>
      <c r="KZ7" s="270" t="s">
        <v>40</v>
      </c>
      <c r="LA7" s="270"/>
      <c r="LB7" s="270" t="s">
        <v>24</v>
      </c>
      <c r="LD7" s="270" t="s">
        <v>91</v>
      </c>
      <c r="LE7" s="270" t="s">
        <v>40</v>
      </c>
      <c r="LF7" s="270"/>
      <c r="LG7" s="270" t="s">
        <v>24</v>
      </c>
    </row>
    <row r="8" spans="1:319">
      <c r="A8" s="22" t="s">
        <v>1029</v>
      </c>
      <c r="B8" s="22" t="s">
        <v>145</v>
      </c>
      <c r="C8" s="22" t="s">
        <v>70</v>
      </c>
      <c r="D8" s="22" t="s">
        <v>67</v>
      </c>
      <c r="F8" s="23" t="s">
        <v>1030</v>
      </c>
      <c r="G8" s="23" t="str">
        <f>TVIIBE1M_CalPairs!G5</f>
        <v>0xBA</v>
      </c>
      <c r="H8" s="23" t="s">
        <v>70</v>
      </c>
      <c r="I8" s="23" t="s">
        <v>201</v>
      </c>
      <c r="K8" s="218" t="s">
        <v>1031</v>
      </c>
      <c r="L8" s="218" t="s">
        <v>145</v>
      </c>
      <c r="M8" s="305" t="s">
        <v>75</v>
      </c>
      <c r="N8" s="313" t="s">
        <v>34103</v>
      </c>
      <c r="P8" s="216" t="s">
        <v>1032</v>
      </c>
      <c r="Q8" s="216" t="s">
        <v>52</v>
      </c>
      <c r="R8" s="216" t="s">
        <v>72</v>
      </c>
      <c r="S8" s="216" t="s">
        <v>20</v>
      </c>
      <c r="U8" s="293" t="s">
        <v>1033</v>
      </c>
      <c r="V8" s="293" t="s">
        <v>145</v>
      </c>
      <c r="W8" s="293" t="s">
        <v>74</v>
      </c>
      <c r="X8" s="293" t="s">
        <v>656</v>
      </c>
      <c r="Z8" s="293" t="s">
        <v>1034</v>
      </c>
      <c r="AA8" s="293" t="s">
        <v>145</v>
      </c>
      <c r="AB8" s="293" t="s">
        <v>74</v>
      </c>
      <c r="AC8" s="293" t="s">
        <v>656</v>
      </c>
      <c r="AE8" s="293" t="s">
        <v>1035</v>
      </c>
      <c r="AF8" s="293" t="s">
        <v>145</v>
      </c>
      <c r="AG8" s="293" t="s">
        <v>74</v>
      </c>
      <c r="AH8" s="293" t="s">
        <v>656</v>
      </c>
      <c r="AJ8" s="293" t="s">
        <v>1036</v>
      </c>
      <c r="AK8" s="293" t="s">
        <v>145</v>
      </c>
      <c r="AL8" s="293" t="s">
        <v>74</v>
      </c>
      <c r="AM8" s="293" t="s">
        <v>656</v>
      </c>
      <c r="AO8" s="218" t="s">
        <v>1037</v>
      </c>
      <c r="AP8" s="218" t="s">
        <v>145</v>
      </c>
      <c r="AQ8" s="218" t="s">
        <v>75</v>
      </c>
      <c r="AR8" s="218" t="s">
        <v>34261</v>
      </c>
      <c r="AT8" s="22" t="s">
        <v>1038</v>
      </c>
      <c r="AU8" s="22" t="s">
        <v>145</v>
      </c>
      <c r="AV8" s="22" t="s">
        <v>70</v>
      </c>
      <c r="AW8" s="22" t="s">
        <v>67</v>
      </c>
      <c r="AY8" s="22" t="s">
        <v>1039</v>
      </c>
      <c r="AZ8" s="22" t="s">
        <v>145</v>
      </c>
      <c r="BA8" s="22" t="s">
        <v>70</v>
      </c>
      <c r="BB8" s="22" t="s">
        <v>67</v>
      </c>
      <c r="BD8" s="22" t="s">
        <v>1040</v>
      </c>
      <c r="BE8" s="22" t="s">
        <v>145</v>
      </c>
      <c r="BF8" s="22" t="s">
        <v>70</v>
      </c>
      <c r="BG8" s="22" t="s">
        <v>67</v>
      </c>
      <c r="BI8" s="339" t="s">
        <v>1041</v>
      </c>
      <c r="BJ8" s="339" t="s">
        <v>163</v>
      </c>
      <c r="BK8" s="339" t="s">
        <v>70</v>
      </c>
      <c r="BL8" s="339" t="s">
        <v>34396</v>
      </c>
      <c r="BN8" s="19" t="s">
        <v>1042</v>
      </c>
      <c r="BO8" s="358" t="s">
        <v>90</v>
      </c>
      <c r="BP8" s="20" t="s">
        <v>74</v>
      </c>
      <c r="BQ8" s="19" t="s">
        <v>167</v>
      </c>
      <c r="BS8" s="22" t="s">
        <v>1043</v>
      </c>
      <c r="BT8" s="22" t="s">
        <v>145</v>
      </c>
      <c r="BU8" s="22" t="s">
        <v>70</v>
      </c>
      <c r="BV8" s="214" t="s">
        <v>530</v>
      </c>
      <c r="BX8" s="22" t="s">
        <v>1044</v>
      </c>
      <c r="BY8" s="22" t="s">
        <v>145</v>
      </c>
      <c r="BZ8" s="22" t="s">
        <v>70</v>
      </c>
      <c r="CA8" s="214" t="s">
        <v>530</v>
      </c>
      <c r="CC8" s="214" t="s">
        <v>1045</v>
      </c>
      <c r="CD8" s="214" t="s">
        <v>52</v>
      </c>
      <c r="CE8" s="214" t="s">
        <v>70</v>
      </c>
      <c r="CF8" s="214" t="s">
        <v>885</v>
      </c>
      <c r="CH8" s="214" t="s">
        <v>1046</v>
      </c>
      <c r="CI8" s="214" t="s">
        <v>34536</v>
      </c>
      <c r="CJ8" s="214" t="s">
        <v>70</v>
      </c>
      <c r="CK8" s="214" t="s">
        <v>469</v>
      </c>
      <c r="CM8" s="214" t="s">
        <v>1047</v>
      </c>
      <c r="CN8" s="214" t="s">
        <v>148</v>
      </c>
      <c r="CO8" s="214" t="s">
        <v>70</v>
      </c>
      <c r="CP8" s="214" t="s">
        <v>530</v>
      </c>
      <c r="CR8" s="214" t="s">
        <v>1048</v>
      </c>
      <c r="CS8" s="214" t="s">
        <v>485</v>
      </c>
      <c r="CT8" s="214" t="s">
        <v>70</v>
      </c>
      <c r="CU8" s="214" t="s">
        <v>530</v>
      </c>
      <c r="CW8" s="214" t="s">
        <v>1049</v>
      </c>
      <c r="CX8" s="214" t="s">
        <v>85</v>
      </c>
      <c r="CY8" s="214" t="s">
        <v>70</v>
      </c>
      <c r="CZ8" s="214" t="s">
        <v>530</v>
      </c>
      <c r="DB8" s="214" t="s">
        <v>1050</v>
      </c>
      <c r="DC8" s="214" t="s">
        <v>52</v>
      </c>
      <c r="DD8" s="214" t="s">
        <v>70</v>
      </c>
      <c r="DE8" s="214" t="s">
        <v>530</v>
      </c>
      <c r="DG8" s="214" t="s">
        <v>1051</v>
      </c>
      <c r="DH8" s="214" t="s">
        <v>488</v>
      </c>
      <c r="DI8" s="214" t="s">
        <v>70</v>
      </c>
      <c r="DJ8" s="214" t="s">
        <v>530</v>
      </c>
      <c r="DL8" s="214" t="s">
        <v>1052</v>
      </c>
      <c r="DM8" s="214" t="s">
        <v>90</v>
      </c>
      <c r="DN8" s="214" t="s">
        <v>70</v>
      </c>
      <c r="DO8" s="214" t="s">
        <v>530</v>
      </c>
      <c r="DQ8" s="214" t="s">
        <v>1053</v>
      </c>
      <c r="DR8" s="214" t="s">
        <v>85</v>
      </c>
      <c r="DS8" s="214" t="s">
        <v>70</v>
      </c>
      <c r="DT8" s="214" t="s">
        <v>530</v>
      </c>
      <c r="DV8" s="214" t="s">
        <v>1054</v>
      </c>
      <c r="DW8" s="214" t="s">
        <v>34584</v>
      </c>
      <c r="DX8" s="214" t="s">
        <v>70</v>
      </c>
      <c r="DY8" s="214" t="s">
        <v>530</v>
      </c>
      <c r="EA8" s="214" t="s">
        <v>1055</v>
      </c>
      <c r="EB8" s="214" t="s">
        <v>34575</v>
      </c>
      <c r="EC8" s="214" t="s">
        <v>70</v>
      </c>
      <c r="ED8" s="214" t="s">
        <v>530</v>
      </c>
      <c r="EF8" s="214" t="s">
        <v>1056</v>
      </c>
      <c r="EG8" s="214" t="s">
        <v>34613</v>
      </c>
      <c r="EH8" s="214" t="s">
        <v>70</v>
      </c>
      <c r="EI8" s="214" t="s">
        <v>530</v>
      </c>
      <c r="EK8" s="214" t="s">
        <v>1057</v>
      </c>
      <c r="EL8" s="214" t="s">
        <v>52</v>
      </c>
      <c r="EM8" s="214" t="s">
        <v>70</v>
      </c>
      <c r="EN8" s="214" t="s">
        <v>530</v>
      </c>
      <c r="EP8" s="214" t="s">
        <v>1058</v>
      </c>
      <c r="EQ8" s="214" t="s">
        <v>163</v>
      </c>
      <c r="ER8" s="214" t="s">
        <v>70</v>
      </c>
      <c r="ES8" s="214" t="s">
        <v>530</v>
      </c>
      <c r="EU8" s="214" t="s">
        <v>1059</v>
      </c>
      <c r="EV8" s="214" t="s">
        <v>86</v>
      </c>
      <c r="EW8" s="214" t="s">
        <v>70</v>
      </c>
      <c r="EX8" s="214" t="s">
        <v>530</v>
      </c>
      <c r="EZ8" s="214" t="s">
        <v>1060</v>
      </c>
      <c r="FA8" s="214" t="s">
        <v>34573</v>
      </c>
      <c r="FB8" s="214" t="s">
        <v>70</v>
      </c>
      <c r="FC8" s="214" t="s">
        <v>530</v>
      </c>
      <c r="FE8" s="214" t="s">
        <v>1061</v>
      </c>
      <c r="FF8" s="214" t="s">
        <v>468</v>
      </c>
      <c r="FG8" s="214" t="s">
        <v>70</v>
      </c>
      <c r="FH8" s="214" t="s">
        <v>530</v>
      </c>
      <c r="FJ8" s="321" t="s">
        <v>1062</v>
      </c>
      <c r="FK8" s="214" t="s">
        <v>163</v>
      </c>
      <c r="FL8" s="214" t="s">
        <v>70</v>
      </c>
      <c r="FM8" s="214" t="s">
        <v>530</v>
      </c>
      <c r="FO8" s="321" t="s">
        <v>1063</v>
      </c>
      <c r="FP8" s="214" t="s">
        <v>34538</v>
      </c>
      <c r="FQ8" s="214" t="s">
        <v>70</v>
      </c>
      <c r="FR8" s="214" t="s">
        <v>530</v>
      </c>
      <c r="FT8" s="321" t="s">
        <v>1064</v>
      </c>
      <c r="FU8" s="214" t="s">
        <v>34578</v>
      </c>
      <c r="FV8" s="214" t="s">
        <v>70</v>
      </c>
      <c r="FW8" s="214" t="s">
        <v>530</v>
      </c>
      <c r="FY8" s="321" t="s">
        <v>1065</v>
      </c>
      <c r="FZ8" s="214" t="s">
        <v>34571</v>
      </c>
      <c r="GA8" s="214" t="s">
        <v>70</v>
      </c>
      <c r="GB8" s="214" t="s">
        <v>530</v>
      </c>
      <c r="GD8" s="321" t="s">
        <v>1066</v>
      </c>
      <c r="GE8" s="214" t="s">
        <v>915</v>
      </c>
      <c r="GF8" s="214" t="s">
        <v>70</v>
      </c>
      <c r="GG8" s="214" t="s">
        <v>530</v>
      </c>
      <c r="GI8" s="321" t="s">
        <v>1067</v>
      </c>
      <c r="GJ8" s="214" t="s">
        <v>52</v>
      </c>
      <c r="GK8" s="214" t="s">
        <v>70</v>
      </c>
      <c r="GL8" s="214" t="s">
        <v>530</v>
      </c>
      <c r="GN8" s="321" t="s">
        <v>1068</v>
      </c>
      <c r="GO8" s="214" t="s">
        <v>916</v>
      </c>
      <c r="GP8" s="214" t="s">
        <v>70</v>
      </c>
      <c r="GQ8" s="214" t="s">
        <v>530</v>
      </c>
      <c r="GS8" s="321" t="s">
        <v>1069</v>
      </c>
      <c r="GT8" s="214" t="s">
        <v>52</v>
      </c>
      <c r="GU8" s="214" t="s">
        <v>70</v>
      </c>
      <c r="GV8" s="214" t="s">
        <v>530</v>
      </c>
      <c r="GX8" s="214" t="s">
        <v>1070</v>
      </c>
      <c r="GY8" s="214" t="s">
        <v>148</v>
      </c>
      <c r="GZ8" s="214" t="s">
        <v>70</v>
      </c>
      <c r="HA8" s="214" t="s">
        <v>530</v>
      </c>
      <c r="HC8" s="214" t="s">
        <v>1071</v>
      </c>
      <c r="HD8" s="214" t="s">
        <v>481</v>
      </c>
      <c r="HE8" s="214" t="s">
        <v>70</v>
      </c>
      <c r="HF8" s="214" t="s">
        <v>530</v>
      </c>
      <c r="HH8" s="214" t="s">
        <v>1072</v>
      </c>
      <c r="HI8" s="214" t="s">
        <v>52</v>
      </c>
      <c r="HJ8" s="214" t="s">
        <v>70</v>
      </c>
      <c r="HK8" s="214" t="s">
        <v>530</v>
      </c>
      <c r="HM8" s="214" t="s">
        <v>1073</v>
      </c>
      <c r="HN8" s="214" t="s">
        <v>87</v>
      </c>
      <c r="HO8" s="214" t="s">
        <v>70</v>
      </c>
      <c r="HP8" s="214" t="s">
        <v>34121</v>
      </c>
      <c r="HR8" s="22" t="s">
        <v>1074</v>
      </c>
      <c r="HS8" s="22" t="s">
        <v>928</v>
      </c>
      <c r="HT8" s="22" t="s">
        <v>70</v>
      </c>
      <c r="HU8" s="214" t="s">
        <v>530</v>
      </c>
      <c r="HW8" s="22" t="s">
        <v>1075</v>
      </c>
      <c r="HX8" s="22" t="s">
        <v>468</v>
      </c>
      <c r="HY8" s="22" t="s">
        <v>70</v>
      </c>
      <c r="HZ8" s="214" t="s">
        <v>530</v>
      </c>
      <c r="IB8" s="22" t="s">
        <v>1076</v>
      </c>
      <c r="IC8" s="22" t="s">
        <v>34575</v>
      </c>
      <c r="ID8" s="22" t="s">
        <v>70</v>
      </c>
      <c r="IE8" s="214" t="s">
        <v>530</v>
      </c>
      <c r="IG8" s="22" t="s">
        <v>1077</v>
      </c>
      <c r="IH8" s="22" t="s">
        <v>87</v>
      </c>
      <c r="II8" s="22" t="s">
        <v>70</v>
      </c>
      <c r="IJ8" s="214" t="s">
        <v>530</v>
      </c>
      <c r="IL8" s="22" t="s">
        <v>1078</v>
      </c>
      <c r="IM8" s="22" t="s">
        <v>145</v>
      </c>
      <c r="IN8" s="22" t="s">
        <v>70</v>
      </c>
      <c r="IO8" s="214" t="s">
        <v>530</v>
      </c>
      <c r="IQ8" s="236" t="s">
        <v>1079</v>
      </c>
      <c r="IR8" s="236" t="s">
        <v>145</v>
      </c>
      <c r="IS8" s="236" t="s">
        <v>74</v>
      </c>
      <c r="IT8" s="236" t="s">
        <v>841</v>
      </c>
      <c r="IV8" s="236" t="s">
        <v>1080</v>
      </c>
      <c r="IW8" s="236" t="s">
        <v>145</v>
      </c>
      <c r="IX8" s="236" t="s">
        <v>74</v>
      </c>
      <c r="IY8" s="236" t="s">
        <v>841</v>
      </c>
      <c r="JA8" s="236" t="s">
        <v>1082</v>
      </c>
      <c r="JB8" s="236" t="s">
        <v>145</v>
      </c>
      <c r="JC8" s="236" t="s">
        <v>74</v>
      </c>
      <c r="JD8" s="236" t="s">
        <v>841</v>
      </c>
      <c r="JF8" s="236" t="s">
        <v>1084</v>
      </c>
      <c r="JG8" s="236" t="s">
        <v>145</v>
      </c>
      <c r="JH8" s="236" t="s">
        <v>74</v>
      </c>
      <c r="JI8" s="236" t="s">
        <v>841</v>
      </c>
      <c r="JK8" s="236" t="s">
        <v>1085</v>
      </c>
      <c r="JL8" s="236" t="s">
        <v>145</v>
      </c>
      <c r="JM8" s="236" t="s">
        <v>74</v>
      </c>
      <c r="JN8" s="236" t="s">
        <v>841</v>
      </c>
      <c r="JP8" s="236" t="s">
        <v>1086</v>
      </c>
      <c r="JQ8" s="236" t="s">
        <v>145</v>
      </c>
      <c r="JR8" s="236" t="s">
        <v>74</v>
      </c>
      <c r="JS8" s="236" t="s">
        <v>841</v>
      </c>
      <c r="JU8" s="294" t="s">
        <v>1087</v>
      </c>
      <c r="JV8" s="337" t="str">
        <f>TVIIBE1M_CalPairs!$Q7</f>
        <v>0x90</v>
      </c>
      <c r="JW8" s="263" t="s">
        <v>70</v>
      </c>
      <c r="JX8" s="263" t="s">
        <v>1081</v>
      </c>
      <c r="JZ8" s="263" t="s">
        <v>1088</v>
      </c>
      <c r="KA8" s="263" t="s">
        <v>145</v>
      </c>
      <c r="KB8" s="263" t="s">
        <v>70</v>
      </c>
      <c r="KC8" s="263" t="s">
        <v>1083</v>
      </c>
      <c r="KE8" s="263" t="s">
        <v>1089</v>
      </c>
      <c r="KF8" s="263" t="s">
        <v>52</v>
      </c>
      <c r="KG8" s="263" t="s">
        <v>70</v>
      </c>
      <c r="KH8" s="263" t="s">
        <v>1083</v>
      </c>
      <c r="KJ8" s="263" t="s">
        <v>1090</v>
      </c>
      <c r="KK8" s="263" t="s">
        <v>86</v>
      </c>
      <c r="KL8" s="218" t="s">
        <v>74</v>
      </c>
      <c r="KM8" s="263" t="s">
        <v>1081</v>
      </c>
      <c r="KO8" s="214" t="s">
        <v>1091</v>
      </c>
      <c r="KP8" s="218" t="s">
        <v>292</v>
      </c>
      <c r="KQ8" s="214" t="s">
        <v>70</v>
      </c>
      <c r="KR8" s="214" t="s">
        <v>799</v>
      </c>
      <c r="KS8" s="62"/>
      <c r="KT8" s="22" t="s">
        <v>1092</v>
      </c>
      <c r="KU8" s="22" t="s">
        <v>145</v>
      </c>
      <c r="KV8" s="22" t="s">
        <v>70</v>
      </c>
      <c r="KW8" s="22" t="s">
        <v>67</v>
      </c>
      <c r="KY8" s="214" t="s">
        <v>1093</v>
      </c>
      <c r="KZ8" s="214" t="s">
        <v>503</v>
      </c>
      <c r="LA8" s="214" t="s">
        <v>74</v>
      </c>
      <c r="LB8" s="214" t="s">
        <v>810</v>
      </c>
      <c r="LD8" s="22" t="s">
        <v>1094</v>
      </c>
      <c r="LE8" s="22" t="s">
        <v>145</v>
      </c>
      <c r="LF8" s="22" t="s">
        <v>70</v>
      </c>
      <c r="LG8" s="22" t="s">
        <v>67</v>
      </c>
    </row>
    <row r="9" spans="1:319">
      <c r="A9" s="23" t="s">
        <v>1095</v>
      </c>
      <c r="B9" s="233" t="s">
        <v>531</v>
      </c>
      <c r="C9" s="23" t="s">
        <v>70</v>
      </c>
      <c r="D9" s="23" t="s">
        <v>1021</v>
      </c>
      <c r="F9" s="23" t="s">
        <v>1096</v>
      </c>
      <c r="G9" s="23" t="str">
        <f>TVIIBE1M_CalPairs!G6</f>
        <v>0x00</v>
      </c>
      <c r="H9" s="23" t="s">
        <v>70</v>
      </c>
      <c r="I9" s="23" t="s">
        <v>201</v>
      </c>
      <c r="K9" s="218" t="s">
        <v>1097</v>
      </c>
      <c r="L9" s="218" t="s">
        <v>145</v>
      </c>
      <c r="M9" s="305" t="s">
        <v>75</v>
      </c>
      <c r="N9" s="313" t="s">
        <v>34104</v>
      </c>
      <c r="P9" s="216" t="s">
        <v>1098</v>
      </c>
      <c r="Q9" s="216" t="s">
        <v>52</v>
      </c>
      <c r="R9" s="216" t="s">
        <v>72</v>
      </c>
      <c r="S9" s="216" t="s">
        <v>20</v>
      </c>
      <c r="U9" s="293" t="s">
        <v>1099</v>
      </c>
      <c r="V9" s="293" t="s">
        <v>145</v>
      </c>
      <c r="W9" s="293" t="s">
        <v>74</v>
      </c>
      <c r="X9" s="293" t="s">
        <v>656</v>
      </c>
      <c r="Z9" s="293" t="s">
        <v>1100</v>
      </c>
      <c r="AA9" s="293" t="s">
        <v>145</v>
      </c>
      <c r="AB9" s="293" t="s">
        <v>74</v>
      </c>
      <c r="AC9" s="293" t="s">
        <v>656</v>
      </c>
      <c r="AE9" s="293" t="s">
        <v>1101</v>
      </c>
      <c r="AF9" s="293" t="s">
        <v>145</v>
      </c>
      <c r="AG9" s="293" t="s">
        <v>74</v>
      </c>
      <c r="AH9" s="293" t="s">
        <v>656</v>
      </c>
      <c r="AJ9" s="293" t="s">
        <v>1102</v>
      </c>
      <c r="AK9" s="293" t="s">
        <v>145</v>
      </c>
      <c r="AL9" s="293" t="s">
        <v>74</v>
      </c>
      <c r="AM9" s="293" t="s">
        <v>656</v>
      </c>
      <c r="AO9" s="218" t="s">
        <v>1103</v>
      </c>
      <c r="AP9" s="218" t="s">
        <v>145</v>
      </c>
      <c r="AQ9" s="218" t="s">
        <v>75</v>
      </c>
      <c r="AR9" s="218" t="s">
        <v>34262</v>
      </c>
      <c r="AT9" s="22" t="s">
        <v>1104</v>
      </c>
      <c r="AU9" s="22" t="s">
        <v>145</v>
      </c>
      <c r="AV9" s="22" t="s">
        <v>70</v>
      </c>
      <c r="AW9" s="22" t="s">
        <v>67</v>
      </c>
      <c r="AY9" s="22" t="s">
        <v>1105</v>
      </c>
      <c r="AZ9" s="22" t="s">
        <v>145</v>
      </c>
      <c r="BA9" s="22" t="s">
        <v>70</v>
      </c>
      <c r="BB9" s="22" t="s">
        <v>67</v>
      </c>
      <c r="BD9" s="22" t="s">
        <v>1106</v>
      </c>
      <c r="BE9" s="22" t="s">
        <v>145</v>
      </c>
      <c r="BF9" s="22" t="s">
        <v>70</v>
      </c>
      <c r="BG9" s="22" t="s">
        <v>67</v>
      </c>
      <c r="BI9" s="339" t="s">
        <v>1107</v>
      </c>
      <c r="BJ9" s="339" t="s">
        <v>52</v>
      </c>
      <c r="BK9" s="339" t="s">
        <v>70</v>
      </c>
      <c r="BL9" s="339" t="s">
        <v>34396</v>
      </c>
      <c r="BN9" s="19" t="s">
        <v>1108</v>
      </c>
      <c r="BO9" s="19" t="s">
        <v>52</v>
      </c>
      <c r="BP9" s="20" t="s">
        <v>74</v>
      </c>
      <c r="BQ9" s="19" t="s">
        <v>167</v>
      </c>
      <c r="BS9" s="22" t="s">
        <v>1109</v>
      </c>
      <c r="BT9" s="22" t="s">
        <v>145</v>
      </c>
      <c r="BU9" s="22" t="s">
        <v>70</v>
      </c>
      <c r="BV9" s="214" t="s">
        <v>530</v>
      </c>
      <c r="BX9" s="22" t="s">
        <v>1110</v>
      </c>
      <c r="BY9" s="22" t="s">
        <v>145</v>
      </c>
      <c r="BZ9" s="22" t="s">
        <v>70</v>
      </c>
      <c r="CA9" s="214" t="s">
        <v>530</v>
      </c>
      <c r="CC9" s="214" t="s">
        <v>1111</v>
      </c>
      <c r="CD9" s="214" t="s">
        <v>501</v>
      </c>
      <c r="CE9" s="214" t="s">
        <v>70</v>
      </c>
      <c r="CF9" s="214" t="s">
        <v>886</v>
      </c>
      <c r="CH9" s="214" t="s">
        <v>1112</v>
      </c>
      <c r="CI9" s="214" t="s">
        <v>52</v>
      </c>
      <c r="CJ9" s="214" t="s">
        <v>70</v>
      </c>
      <c r="CK9" s="214" t="s">
        <v>470</v>
      </c>
      <c r="CM9" s="214" t="s">
        <v>1113</v>
      </c>
      <c r="CN9" s="214" t="s">
        <v>950</v>
      </c>
      <c r="CO9" s="214" t="s">
        <v>70</v>
      </c>
      <c r="CP9" s="214" t="s">
        <v>530</v>
      </c>
      <c r="CR9" s="214" t="s">
        <v>1114</v>
      </c>
      <c r="CS9" s="214" t="s">
        <v>146</v>
      </c>
      <c r="CT9" s="214" t="s">
        <v>70</v>
      </c>
      <c r="CU9" s="214" t="s">
        <v>530</v>
      </c>
      <c r="CW9" s="214" t="s">
        <v>1115</v>
      </c>
      <c r="CX9" s="214" t="s">
        <v>34540</v>
      </c>
      <c r="CY9" s="214" t="s">
        <v>70</v>
      </c>
      <c r="CZ9" s="214" t="s">
        <v>530</v>
      </c>
      <c r="DB9" s="214" t="s">
        <v>1116</v>
      </c>
      <c r="DC9" s="214" t="s">
        <v>52</v>
      </c>
      <c r="DD9" s="214" t="s">
        <v>70</v>
      </c>
      <c r="DE9" s="214" t="s">
        <v>530</v>
      </c>
      <c r="DG9" s="214" t="s">
        <v>1117</v>
      </c>
      <c r="DH9" s="214" t="s">
        <v>488</v>
      </c>
      <c r="DI9" s="214" t="s">
        <v>70</v>
      </c>
      <c r="DJ9" s="214" t="s">
        <v>530</v>
      </c>
      <c r="DL9" s="214" t="s">
        <v>1118</v>
      </c>
      <c r="DM9" s="214" t="s">
        <v>52</v>
      </c>
      <c r="DN9" s="214" t="s">
        <v>70</v>
      </c>
      <c r="DO9" s="214" t="s">
        <v>530</v>
      </c>
      <c r="DQ9" s="214" t="s">
        <v>1119</v>
      </c>
      <c r="DR9" s="214" t="s">
        <v>950</v>
      </c>
      <c r="DS9" s="214" t="s">
        <v>70</v>
      </c>
      <c r="DT9" s="214" t="s">
        <v>530</v>
      </c>
      <c r="DV9" s="214" t="s">
        <v>1120</v>
      </c>
      <c r="DW9" s="214" t="s">
        <v>34548</v>
      </c>
      <c r="DX9" s="214" t="s">
        <v>70</v>
      </c>
      <c r="DY9" s="214" t="s">
        <v>530</v>
      </c>
      <c r="EA9" s="214" t="s">
        <v>1121</v>
      </c>
      <c r="EB9" s="214" t="s">
        <v>287</v>
      </c>
      <c r="EC9" s="214" t="s">
        <v>70</v>
      </c>
      <c r="ED9" s="214" t="s">
        <v>530</v>
      </c>
      <c r="EF9" s="214" t="s">
        <v>1122</v>
      </c>
      <c r="EG9" s="214" t="s">
        <v>484</v>
      </c>
      <c r="EH9" s="214" t="s">
        <v>70</v>
      </c>
      <c r="EI9" s="214" t="s">
        <v>530</v>
      </c>
      <c r="EK9" s="214" t="s">
        <v>1123</v>
      </c>
      <c r="EL9" s="214" t="s">
        <v>206</v>
      </c>
      <c r="EM9" s="214" t="s">
        <v>70</v>
      </c>
      <c r="EN9" s="214" t="s">
        <v>530</v>
      </c>
      <c r="EP9" s="214" t="s">
        <v>1124</v>
      </c>
      <c r="EQ9" s="214" t="s">
        <v>34544</v>
      </c>
      <c r="ER9" s="214" t="s">
        <v>70</v>
      </c>
      <c r="ES9" s="214" t="s">
        <v>530</v>
      </c>
      <c r="EU9" s="214" t="s">
        <v>1125</v>
      </c>
      <c r="EV9" s="214" t="s">
        <v>484</v>
      </c>
      <c r="EW9" s="214" t="s">
        <v>70</v>
      </c>
      <c r="EX9" s="214" t="s">
        <v>530</v>
      </c>
      <c r="EZ9" s="214" t="s">
        <v>1126</v>
      </c>
      <c r="FA9" s="214" t="s">
        <v>492</v>
      </c>
      <c r="FB9" s="214" t="s">
        <v>70</v>
      </c>
      <c r="FC9" s="214" t="s">
        <v>530</v>
      </c>
      <c r="FE9" s="214" t="s">
        <v>1127</v>
      </c>
      <c r="FF9" s="214" t="s">
        <v>34542</v>
      </c>
      <c r="FG9" s="214" t="s">
        <v>70</v>
      </c>
      <c r="FH9" s="214" t="s">
        <v>530</v>
      </c>
      <c r="FJ9" s="321" t="s">
        <v>1128</v>
      </c>
      <c r="FK9" s="214" t="s">
        <v>531</v>
      </c>
      <c r="FL9" s="214" t="s">
        <v>70</v>
      </c>
      <c r="FM9" s="214" t="s">
        <v>530</v>
      </c>
      <c r="FO9" s="321" t="s">
        <v>1129</v>
      </c>
      <c r="FP9" s="214" t="s">
        <v>496</v>
      </c>
      <c r="FQ9" s="214" t="s">
        <v>70</v>
      </c>
      <c r="FR9" s="214" t="s">
        <v>530</v>
      </c>
      <c r="FT9" s="321" t="s">
        <v>1130</v>
      </c>
      <c r="FU9" s="214" t="s">
        <v>468</v>
      </c>
      <c r="FV9" s="214" t="s">
        <v>70</v>
      </c>
      <c r="FW9" s="214" t="s">
        <v>530</v>
      </c>
      <c r="FY9" s="321" t="s">
        <v>1131</v>
      </c>
      <c r="FZ9" s="214" t="s">
        <v>34545</v>
      </c>
      <c r="GA9" s="214" t="s">
        <v>70</v>
      </c>
      <c r="GB9" s="214" t="s">
        <v>530</v>
      </c>
      <c r="GD9" s="321" t="s">
        <v>1132</v>
      </c>
      <c r="GE9" s="214" t="s">
        <v>519</v>
      </c>
      <c r="GF9" s="214" t="s">
        <v>70</v>
      </c>
      <c r="GG9" s="214" t="s">
        <v>530</v>
      </c>
      <c r="GI9" s="321" t="s">
        <v>1133</v>
      </c>
      <c r="GJ9" s="214" t="s">
        <v>956</v>
      </c>
      <c r="GK9" s="214" t="s">
        <v>70</v>
      </c>
      <c r="GL9" s="214" t="s">
        <v>530</v>
      </c>
      <c r="GN9" s="321" t="s">
        <v>1134</v>
      </c>
      <c r="GO9" s="214" t="s">
        <v>34558</v>
      </c>
      <c r="GP9" s="214" t="s">
        <v>70</v>
      </c>
      <c r="GQ9" s="214" t="s">
        <v>530</v>
      </c>
      <c r="GS9" s="321" t="s">
        <v>1135</v>
      </c>
      <c r="GT9" s="214" t="s">
        <v>599</v>
      </c>
      <c r="GU9" s="214" t="s">
        <v>70</v>
      </c>
      <c r="GV9" s="214" t="s">
        <v>530</v>
      </c>
      <c r="GX9" s="214" t="s">
        <v>1136</v>
      </c>
      <c r="GY9" s="214" t="s">
        <v>955</v>
      </c>
      <c r="GZ9" s="214" t="s">
        <v>70</v>
      </c>
      <c r="HA9" s="214" t="s">
        <v>530</v>
      </c>
      <c r="HC9" s="214" t="s">
        <v>1137</v>
      </c>
      <c r="HD9" s="214" t="s">
        <v>487</v>
      </c>
      <c r="HE9" s="214" t="s">
        <v>70</v>
      </c>
      <c r="HF9" s="214" t="s">
        <v>530</v>
      </c>
      <c r="HH9" s="214" t="s">
        <v>1138</v>
      </c>
      <c r="HI9" s="214" t="s">
        <v>468</v>
      </c>
      <c r="HJ9" s="214" t="s">
        <v>70</v>
      </c>
      <c r="HK9" s="214" t="s">
        <v>530</v>
      </c>
      <c r="HM9" s="214" t="s">
        <v>1139</v>
      </c>
      <c r="HN9" s="214" t="s">
        <v>491</v>
      </c>
      <c r="HO9" s="214" t="s">
        <v>70</v>
      </c>
      <c r="HP9" s="214" t="s">
        <v>34121</v>
      </c>
      <c r="HR9" s="22" t="s">
        <v>1140</v>
      </c>
      <c r="HS9" s="22" t="s">
        <v>488</v>
      </c>
      <c r="HT9" s="22" t="s">
        <v>70</v>
      </c>
      <c r="HU9" s="214" t="s">
        <v>530</v>
      </c>
      <c r="HW9" s="22" t="s">
        <v>1141</v>
      </c>
      <c r="HX9" s="22" t="s">
        <v>921</v>
      </c>
      <c r="HY9" s="22" t="s">
        <v>70</v>
      </c>
      <c r="HZ9" s="214" t="s">
        <v>530</v>
      </c>
      <c r="IB9" s="22" t="s">
        <v>1142</v>
      </c>
      <c r="IC9" s="22" t="s">
        <v>34516</v>
      </c>
      <c r="ID9" s="22" t="s">
        <v>70</v>
      </c>
      <c r="IE9" s="214" t="s">
        <v>530</v>
      </c>
      <c r="IG9" s="22" t="s">
        <v>1143</v>
      </c>
      <c r="IH9" s="22" t="s">
        <v>34579</v>
      </c>
      <c r="II9" s="22" t="s">
        <v>70</v>
      </c>
      <c r="IJ9" s="214" t="s">
        <v>530</v>
      </c>
      <c r="IL9" s="22" t="s">
        <v>1144</v>
      </c>
      <c r="IM9" s="22" t="s">
        <v>145</v>
      </c>
      <c r="IN9" s="22" t="s">
        <v>70</v>
      </c>
      <c r="IO9" s="214" t="s">
        <v>530</v>
      </c>
      <c r="IQ9" s="236" t="s">
        <v>1145</v>
      </c>
      <c r="IR9" s="236" t="s">
        <v>145</v>
      </c>
      <c r="IS9" s="236" t="s">
        <v>74</v>
      </c>
      <c r="IT9" s="236" t="s">
        <v>841</v>
      </c>
      <c r="IV9" s="236" t="s">
        <v>1146</v>
      </c>
      <c r="IW9" s="236" t="s">
        <v>145</v>
      </c>
      <c r="IX9" s="236" t="s">
        <v>74</v>
      </c>
      <c r="IY9" s="236" t="s">
        <v>841</v>
      </c>
      <c r="JA9" s="236" t="s">
        <v>1147</v>
      </c>
      <c r="JB9" s="236" t="s">
        <v>145</v>
      </c>
      <c r="JC9" s="236" t="s">
        <v>74</v>
      </c>
      <c r="JD9" s="236" t="s">
        <v>841</v>
      </c>
      <c r="JF9" s="236" t="s">
        <v>1148</v>
      </c>
      <c r="JG9" s="236" t="s">
        <v>145</v>
      </c>
      <c r="JH9" s="236" t="s">
        <v>74</v>
      </c>
      <c r="JI9" s="236" t="s">
        <v>841</v>
      </c>
      <c r="JK9" s="236" t="s">
        <v>1149</v>
      </c>
      <c r="JL9" s="236" t="s">
        <v>145</v>
      </c>
      <c r="JM9" s="236" t="s">
        <v>74</v>
      </c>
      <c r="JN9" s="236" t="s">
        <v>841</v>
      </c>
      <c r="JP9" s="236" t="s">
        <v>1150</v>
      </c>
      <c r="JQ9" s="236" t="s">
        <v>145</v>
      </c>
      <c r="JR9" s="236" t="s">
        <v>74</v>
      </c>
      <c r="JS9" s="236" t="s">
        <v>841</v>
      </c>
      <c r="JU9" s="294" t="s">
        <v>1151</v>
      </c>
      <c r="JV9" s="294" t="s">
        <v>52</v>
      </c>
      <c r="JW9" s="263" t="s">
        <v>70</v>
      </c>
      <c r="JX9" s="263" t="s">
        <v>1081</v>
      </c>
      <c r="JZ9" s="263" t="s">
        <v>1152</v>
      </c>
      <c r="KA9" s="263" t="s">
        <v>145</v>
      </c>
      <c r="KB9" s="263" t="s">
        <v>70</v>
      </c>
      <c r="KC9" s="263" t="s">
        <v>1083</v>
      </c>
      <c r="KE9" s="263" t="s">
        <v>1153</v>
      </c>
      <c r="KF9" s="263" t="s">
        <v>52</v>
      </c>
      <c r="KG9" s="263" t="s">
        <v>70</v>
      </c>
      <c r="KH9" s="263" t="s">
        <v>1083</v>
      </c>
      <c r="KJ9" s="263" t="s">
        <v>1154</v>
      </c>
      <c r="KK9" s="263" t="s">
        <v>52</v>
      </c>
      <c r="KL9" s="263" t="s">
        <v>74</v>
      </c>
      <c r="KM9" s="263" t="s">
        <v>1081</v>
      </c>
      <c r="KO9" s="214" t="s">
        <v>1155</v>
      </c>
      <c r="KP9" s="214" t="s">
        <v>52</v>
      </c>
      <c r="KQ9" s="214" t="s">
        <v>70</v>
      </c>
      <c r="KR9" s="214" t="s">
        <v>799</v>
      </c>
      <c r="KT9" s="22" t="s">
        <v>1156</v>
      </c>
      <c r="KU9" s="22" t="s">
        <v>145</v>
      </c>
      <c r="KV9" s="22" t="s">
        <v>70</v>
      </c>
      <c r="KW9" s="22" t="s">
        <v>67</v>
      </c>
      <c r="KY9" s="214" t="s">
        <v>1157</v>
      </c>
      <c r="KZ9" s="214" t="s">
        <v>148</v>
      </c>
      <c r="LA9" s="214" t="s">
        <v>74</v>
      </c>
      <c r="LB9" s="214" t="s">
        <v>810</v>
      </c>
      <c r="LD9" s="22" t="s">
        <v>1158</v>
      </c>
      <c r="LE9" s="22" t="s">
        <v>145</v>
      </c>
      <c r="LF9" s="22" t="s">
        <v>70</v>
      </c>
      <c r="LG9" s="22" t="s">
        <v>67</v>
      </c>
    </row>
    <row r="10" spans="1:319">
      <c r="A10" s="23" t="s">
        <v>1159</v>
      </c>
      <c r="B10" s="23" t="s">
        <v>52</v>
      </c>
      <c r="C10" s="23" t="s">
        <v>75</v>
      </c>
      <c r="D10" s="23" t="s">
        <v>21</v>
      </c>
      <c r="F10" s="23" t="s">
        <v>1160</v>
      </c>
      <c r="G10" s="23" t="str">
        <f>TVIIBE1M_CalPairs!G7</f>
        <v>0x09</v>
      </c>
      <c r="H10" s="23" t="s">
        <v>72</v>
      </c>
      <c r="I10" s="23" t="s">
        <v>202</v>
      </c>
      <c r="K10" s="218" t="s">
        <v>1161</v>
      </c>
      <c r="L10" s="218" t="s">
        <v>145</v>
      </c>
      <c r="M10" s="305" t="s">
        <v>75</v>
      </c>
      <c r="N10" s="313" t="s">
        <v>34105</v>
      </c>
      <c r="P10" s="216" t="s">
        <v>1162</v>
      </c>
      <c r="Q10" s="216" t="s">
        <v>52</v>
      </c>
      <c r="R10" s="216" t="s">
        <v>72</v>
      </c>
      <c r="S10" s="216" t="s">
        <v>20</v>
      </c>
      <c r="U10" s="293" t="s">
        <v>1163</v>
      </c>
      <c r="V10" s="293" t="s">
        <v>145</v>
      </c>
      <c r="W10" s="293" t="s">
        <v>74</v>
      </c>
      <c r="X10" s="293" t="s">
        <v>656</v>
      </c>
      <c r="Z10" s="293" t="s">
        <v>1164</v>
      </c>
      <c r="AA10" s="293" t="s">
        <v>145</v>
      </c>
      <c r="AB10" s="293" t="s">
        <v>74</v>
      </c>
      <c r="AC10" s="293" t="s">
        <v>656</v>
      </c>
      <c r="AE10" s="293" t="s">
        <v>1165</v>
      </c>
      <c r="AF10" s="293" t="s">
        <v>145</v>
      </c>
      <c r="AG10" s="293" t="s">
        <v>74</v>
      </c>
      <c r="AH10" s="293" t="s">
        <v>656</v>
      </c>
      <c r="AJ10" s="293" t="s">
        <v>1166</v>
      </c>
      <c r="AK10" s="293" t="s">
        <v>145</v>
      </c>
      <c r="AL10" s="293" t="s">
        <v>74</v>
      </c>
      <c r="AM10" s="293" t="s">
        <v>656</v>
      </c>
      <c r="AO10" s="218" t="s">
        <v>1167</v>
      </c>
      <c r="AP10" s="218" t="s">
        <v>145</v>
      </c>
      <c r="AQ10" s="218" t="s">
        <v>75</v>
      </c>
      <c r="AR10" s="218" t="s">
        <v>34263</v>
      </c>
      <c r="AT10" s="22" t="s">
        <v>1168</v>
      </c>
      <c r="AU10" s="22" t="s">
        <v>145</v>
      </c>
      <c r="AV10" s="22" t="s">
        <v>70</v>
      </c>
      <c r="AW10" s="22" t="s">
        <v>67</v>
      </c>
      <c r="AY10" s="22" t="s">
        <v>1169</v>
      </c>
      <c r="AZ10" s="22" t="s">
        <v>145</v>
      </c>
      <c r="BA10" s="22" t="s">
        <v>70</v>
      </c>
      <c r="BB10" s="22" t="s">
        <v>67</v>
      </c>
      <c r="BD10" s="22" t="s">
        <v>1170</v>
      </c>
      <c r="BE10" s="22" t="s">
        <v>145</v>
      </c>
      <c r="BF10" s="22" t="s">
        <v>70</v>
      </c>
      <c r="BG10" s="22" t="s">
        <v>67</v>
      </c>
      <c r="BI10" s="339" t="s">
        <v>1171</v>
      </c>
      <c r="BJ10" s="339" t="s">
        <v>52</v>
      </c>
      <c r="BK10" s="339" t="s">
        <v>70</v>
      </c>
      <c r="BL10" s="339" t="s">
        <v>34396</v>
      </c>
      <c r="BN10" s="19" t="s">
        <v>1172</v>
      </c>
      <c r="BO10" s="19" t="s">
        <v>52</v>
      </c>
      <c r="BP10" s="20" t="s">
        <v>74</v>
      </c>
      <c r="BQ10" s="19" t="s">
        <v>167</v>
      </c>
      <c r="BS10" s="22" t="s">
        <v>1173</v>
      </c>
      <c r="BT10" s="22" t="s">
        <v>145</v>
      </c>
      <c r="BU10" s="22" t="s">
        <v>70</v>
      </c>
      <c r="BV10" s="214" t="s">
        <v>530</v>
      </c>
      <c r="BX10" s="22" t="s">
        <v>1174</v>
      </c>
      <c r="BY10" s="22" t="s">
        <v>145</v>
      </c>
      <c r="BZ10" s="22" t="s">
        <v>70</v>
      </c>
      <c r="CA10" s="214" t="s">
        <v>530</v>
      </c>
      <c r="CC10" s="214" t="s">
        <v>1175</v>
      </c>
      <c r="CD10" s="214" t="s">
        <v>52</v>
      </c>
      <c r="CE10" s="214" t="s">
        <v>70</v>
      </c>
      <c r="CF10" s="214" t="s">
        <v>887</v>
      </c>
      <c r="CH10" s="214" t="s">
        <v>1176</v>
      </c>
      <c r="CI10" s="214" t="s">
        <v>468</v>
      </c>
      <c r="CJ10" s="214" t="s">
        <v>70</v>
      </c>
      <c r="CK10" s="214" t="s">
        <v>471</v>
      </c>
      <c r="CM10" s="214" t="s">
        <v>1177</v>
      </c>
      <c r="CN10" s="214" t="s">
        <v>148</v>
      </c>
      <c r="CO10" s="214" t="s">
        <v>70</v>
      </c>
      <c r="CP10" s="214" t="s">
        <v>530</v>
      </c>
      <c r="CR10" s="214" t="s">
        <v>1178</v>
      </c>
      <c r="CS10" s="214" t="s">
        <v>85</v>
      </c>
      <c r="CT10" s="214" t="s">
        <v>70</v>
      </c>
      <c r="CU10" s="214" t="s">
        <v>530</v>
      </c>
      <c r="CW10" s="214" t="s">
        <v>1179</v>
      </c>
      <c r="CX10" s="214" t="s">
        <v>34545</v>
      </c>
      <c r="CY10" s="214" t="s">
        <v>70</v>
      </c>
      <c r="CZ10" s="214" t="s">
        <v>530</v>
      </c>
      <c r="DB10" s="214" t="s">
        <v>1180</v>
      </c>
      <c r="DC10" s="214" t="s">
        <v>163</v>
      </c>
      <c r="DD10" s="214" t="s">
        <v>70</v>
      </c>
      <c r="DE10" s="214" t="s">
        <v>530</v>
      </c>
      <c r="DG10" s="214" t="s">
        <v>1181</v>
      </c>
      <c r="DH10" s="214" t="s">
        <v>34541</v>
      </c>
      <c r="DI10" s="214" t="s">
        <v>70</v>
      </c>
      <c r="DJ10" s="214" t="s">
        <v>530</v>
      </c>
      <c r="DL10" s="214" t="s">
        <v>1182</v>
      </c>
      <c r="DM10" s="214" t="s">
        <v>93</v>
      </c>
      <c r="DN10" s="214" t="s">
        <v>70</v>
      </c>
      <c r="DO10" s="214" t="s">
        <v>530</v>
      </c>
      <c r="DQ10" s="214" t="s">
        <v>1183</v>
      </c>
      <c r="DR10" s="214" t="s">
        <v>34625</v>
      </c>
      <c r="DS10" s="214" t="s">
        <v>70</v>
      </c>
      <c r="DT10" s="214" t="s">
        <v>530</v>
      </c>
      <c r="DV10" s="214" t="s">
        <v>1184</v>
      </c>
      <c r="DW10" s="214" t="s">
        <v>90</v>
      </c>
      <c r="DX10" s="214" t="s">
        <v>70</v>
      </c>
      <c r="DY10" s="214" t="s">
        <v>530</v>
      </c>
      <c r="EA10" s="214" t="s">
        <v>1185</v>
      </c>
      <c r="EB10" s="214" t="s">
        <v>164</v>
      </c>
      <c r="EC10" s="214" t="s">
        <v>70</v>
      </c>
      <c r="ED10" s="214" t="s">
        <v>530</v>
      </c>
      <c r="EF10" s="214" t="s">
        <v>1186</v>
      </c>
      <c r="EG10" s="214" t="s">
        <v>87</v>
      </c>
      <c r="EH10" s="214" t="s">
        <v>70</v>
      </c>
      <c r="EI10" s="214" t="s">
        <v>530</v>
      </c>
      <c r="EK10" s="214" t="s">
        <v>1187</v>
      </c>
      <c r="EL10" s="214" t="s">
        <v>52</v>
      </c>
      <c r="EM10" s="214" t="s">
        <v>70</v>
      </c>
      <c r="EN10" s="214" t="s">
        <v>530</v>
      </c>
      <c r="EP10" s="214" t="s">
        <v>1188</v>
      </c>
      <c r="EQ10" s="214" t="s">
        <v>87</v>
      </c>
      <c r="ER10" s="214" t="s">
        <v>70</v>
      </c>
      <c r="ES10" s="214" t="s">
        <v>530</v>
      </c>
      <c r="EU10" s="214" t="s">
        <v>1189</v>
      </c>
      <c r="EV10" s="214" t="s">
        <v>90</v>
      </c>
      <c r="EW10" s="214" t="s">
        <v>70</v>
      </c>
      <c r="EX10" s="214" t="s">
        <v>530</v>
      </c>
      <c r="EZ10" s="214" t="s">
        <v>1190</v>
      </c>
      <c r="FA10" s="214" t="s">
        <v>286</v>
      </c>
      <c r="FB10" s="214" t="s">
        <v>70</v>
      </c>
      <c r="FC10" s="214" t="s">
        <v>530</v>
      </c>
      <c r="FE10" s="214" t="s">
        <v>1191</v>
      </c>
      <c r="FF10" s="214" t="s">
        <v>52</v>
      </c>
      <c r="FG10" s="214" t="s">
        <v>70</v>
      </c>
      <c r="FH10" s="214" t="s">
        <v>530</v>
      </c>
      <c r="FJ10" s="321" t="s">
        <v>1192</v>
      </c>
      <c r="FK10" s="214" t="s">
        <v>655</v>
      </c>
      <c r="FL10" s="214" t="s">
        <v>70</v>
      </c>
      <c r="FM10" s="214" t="s">
        <v>530</v>
      </c>
      <c r="FO10" s="321" t="s">
        <v>1193</v>
      </c>
      <c r="FP10" s="214" t="s">
        <v>165</v>
      </c>
      <c r="FQ10" s="214" t="s">
        <v>70</v>
      </c>
      <c r="FR10" s="214" t="s">
        <v>530</v>
      </c>
      <c r="FT10" s="321" t="s">
        <v>1194</v>
      </c>
      <c r="FU10" s="214" t="s">
        <v>468</v>
      </c>
      <c r="FV10" s="214" t="s">
        <v>70</v>
      </c>
      <c r="FW10" s="214" t="s">
        <v>530</v>
      </c>
      <c r="FY10" s="321" t="s">
        <v>1195</v>
      </c>
      <c r="FZ10" s="214" t="s">
        <v>145</v>
      </c>
      <c r="GA10" s="214" t="s">
        <v>70</v>
      </c>
      <c r="GB10" s="214" t="s">
        <v>530</v>
      </c>
      <c r="GD10" s="321" t="s">
        <v>1196</v>
      </c>
      <c r="GE10" s="214" t="s">
        <v>86</v>
      </c>
      <c r="GF10" s="214" t="s">
        <v>70</v>
      </c>
      <c r="GG10" s="214" t="s">
        <v>530</v>
      </c>
      <c r="GI10" s="321" t="s">
        <v>1197</v>
      </c>
      <c r="GJ10" s="214" t="s">
        <v>34615</v>
      </c>
      <c r="GK10" s="214" t="s">
        <v>70</v>
      </c>
      <c r="GL10" s="214" t="s">
        <v>530</v>
      </c>
      <c r="GN10" s="321" t="s">
        <v>1198</v>
      </c>
      <c r="GO10" s="214" t="s">
        <v>468</v>
      </c>
      <c r="GP10" s="214" t="s">
        <v>70</v>
      </c>
      <c r="GQ10" s="214" t="s">
        <v>530</v>
      </c>
      <c r="GS10" s="321" t="s">
        <v>1199</v>
      </c>
      <c r="GT10" s="214" t="s">
        <v>148</v>
      </c>
      <c r="GU10" s="214" t="s">
        <v>70</v>
      </c>
      <c r="GV10" s="214" t="s">
        <v>530</v>
      </c>
      <c r="GX10" s="214" t="s">
        <v>1200</v>
      </c>
      <c r="GY10" s="214" t="s">
        <v>34579</v>
      </c>
      <c r="GZ10" s="214" t="s">
        <v>70</v>
      </c>
      <c r="HA10" s="214" t="s">
        <v>530</v>
      </c>
      <c r="HC10" s="214" t="s">
        <v>1201</v>
      </c>
      <c r="HD10" s="214" t="s">
        <v>52</v>
      </c>
      <c r="HE10" s="214" t="s">
        <v>70</v>
      </c>
      <c r="HF10" s="214" t="s">
        <v>530</v>
      </c>
      <c r="HH10" s="214" t="s">
        <v>1202</v>
      </c>
      <c r="HI10" s="214" t="s">
        <v>34538</v>
      </c>
      <c r="HJ10" s="214" t="s">
        <v>70</v>
      </c>
      <c r="HK10" s="214" t="s">
        <v>530</v>
      </c>
      <c r="HM10" s="214" t="s">
        <v>1203</v>
      </c>
      <c r="HN10" s="214" t="s">
        <v>485</v>
      </c>
      <c r="HO10" s="214" t="s">
        <v>70</v>
      </c>
      <c r="HP10" s="214" t="s">
        <v>34121</v>
      </c>
      <c r="HR10" s="22" t="s">
        <v>1204</v>
      </c>
      <c r="HS10" s="22" t="s">
        <v>163</v>
      </c>
      <c r="HT10" s="22" t="s">
        <v>70</v>
      </c>
      <c r="HU10" s="214" t="s">
        <v>530</v>
      </c>
      <c r="HW10" s="22" t="s">
        <v>1205</v>
      </c>
      <c r="HX10" s="22" t="s">
        <v>490</v>
      </c>
      <c r="HY10" s="22" t="s">
        <v>70</v>
      </c>
      <c r="HZ10" s="214" t="s">
        <v>530</v>
      </c>
      <c r="IB10" s="22" t="s">
        <v>1206</v>
      </c>
      <c r="IC10" s="22" t="s">
        <v>34566</v>
      </c>
      <c r="ID10" s="22" t="s">
        <v>70</v>
      </c>
      <c r="IE10" s="214" t="s">
        <v>530</v>
      </c>
      <c r="IG10" s="22" t="s">
        <v>1207</v>
      </c>
      <c r="IH10" s="22" t="s">
        <v>52</v>
      </c>
      <c r="II10" s="22" t="s">
        <v>70</v>
      </c>
      <c r="IJ10" s="214" t="s">
        <v>530</v>
      </c>
      <c r="IL10" s="22" t="s">
        <v>1208</v>
      </c>
      <c r="IM10" s="22" t="s">
        <v>145</v>
      </c>
      <c r="IN10" s="22" t="s">
        <v>70</v>
      </c>
      <c r="IO10" s="214" t="s">
        <v>530</v>
      </c>
      <c r="IQ10" s="236" t="s">
        <v>1209</v>
      </c>
      <c r="IR10" s="236" t="s">
        <v>145</v>
      </c>
      <c r="IS10" s="236" t="s">
        <v>74</v>
      </c>
      <c r="IT10" s="236" t="s">
        <v>841</v>
      </c>
      <c r="IV10" s="236" t="s">
        <v>1210</v>
      </c>
      <c r="IW10" s="236" t="s">
        <v>145</v>
      </c>
      <c r="IX10" s="236" t="s">
        <v>74</v>
      </c>
      <c r="IY10" s="236" t="s">
        <v>841</v>
      </c>
      <c r="JA10" s="236" t="s">
        <v>1211</v>
      </c>
      <c r="JB10" s="236" t="s">
        <v>145</v>
      </c>
      <c r="JC10" s="236" t="s">
        <v>74</v>
      </c>
      <c r="JD10" s="236" t="s">
        <v>841</v>
      </c>
      <c r="JF10" s="236" t="s">
        <v>1212</v>
      </c>
      <c r="JG10" s="236" t="s">
        <v>145</v>
      </c>
      <c r="JH10" s="236" t="s">
        <v>74</v>
      </c>
      <c r="JI10" s="236" t="s">
        <v>841</v>
      </c>
      <c r="JK10" s="236" t="s">
        <v>1213</v>
      </c>
      <c r="JL10" s="236" t="s">
        <v>145</v>
      </c>
      <c r="JM10" s="236" t="s">
        <v>74</v>
      </c>
      <c r="JN10" s="236" t="s">
        <v>841</v>
      </c>
      <c r="JP10" s="236" t="s">
        <v>1214</v>
      </c>
      <c r="JQ10" s="236" t="s">
        <v>145</v>
      </c>
      <c r="JR10" s="236" t="s">
        <v>74</v>
      </c>
      <c r="JS10" s="236" t="s">
        <v>841</v>
      </c>
      <c r="JU10" s="294" t="s">
        <v>1215</v>
      </c>
      <c r="JV10" s="294" t="s">
        <v>52</v>
      </c>
      <c r="JW10" s="263" t="s">
        <v>70</v>
      </c>
      <c r="JX10" s="263" t="s">
        <v>1081</v>
      </c>
      <c r="JZ10" s="263" t="s">
        <v>1216</v>
      </c>
      <c r="KA10" s="263" t="s">
        <v>145</v>
      </c>
      <c r="KB10" s="263" t="s">
        <v>70</v>
      </c>
      <c r="KC10" s="263" t="s">
        <v>1083</v>
      </c>
      <c r="KE10" s="263" t="s">
        <v>1217</v>
      </c>
      <c r="KF10" s="263" t="s">
        <v>52</v>
      </c>
      <c r="KG10" s="263" t="s">
        <v>70</v>
      </c>
      <c r="KH10" s="263" t="s">
        <v>1083</v>
      </c>
      <c r="KJ10" s="263" t="s">
        <v>1218</v>
      </c>
      <c r="KK10" s="263" t="s">
        <v>52</v>
      </c>
      <c r="KL10" s="263" t="s">
        <v>74</v>
      </c>
      <c r="KM10" s="263" t="s">
        <v>1081</v>
      </c>
      <c r="KO10" s="214" t="s">
        <v>1219</v>
      </c>
      <c r="KP10" s="214" t="s">
        <v>52</v>
      </c>
      <c r="KQ10" s="214" t="s">
        <v>70</v>
      </c>
      <c r="KR10" s="214" t="s">
        <v>799</v>
      </c>
      <c r="KT10" s="22" t="s">
        <v>1220</v>
      </c>
      <c r="KU10" s="22" t="s">
        <v>145</v>
      </c>
      <c r="KV10" s="22" t="s">
        <v>70</v>
      </c>
      <c r="KW10" s="22" t="s">
        <v>67</v>
      </c>
      <c r="KY10" s="214" t="s">
        <v>1221</v>
      </c>
      <c r="KZ10" s="214" t="s">
        <v>52</v>
      </c>
      <c r="LA10" s="214" t="s">
        <v>74</v>
      </c>
      <c r="LB10" s="214" t="s">
        <v>810</v>
      </c>
      <c r="LD10" s="22" t="s">
        <v>1222</v>
      </c>
      <c r="LE10" s="22" t="s">
        <v>145</v>
      </c>
      <c r="LF10" s="22" t="s">
        <v>70</v>
      </c>
      <c r="LG10" s="22" t="s">
        <v>67</v>
      </c>
    </row>
    <row r="11" spans="1:319">
      <c r="A11" s="23" t="s">
        <v>1223</v>
      </c>
      <c r="B11" s="23" t="s">
        <v>1224</v>
      </c>
      <c r="C11" s="23" t="s">
        <v>75</v>
      </c>
      <c r="D11" s="23" t="s">
        <v>21</v>
      </c>
      <c r="F11" s="23" t="s">
        <v>1225</v>
      </c>
      <c r="G11" s="23" t="str">
        <f>TVIIBE1M_CalPairs!$E8</f>
        <v>0xB0</v>
      </c>
      <c r="H11" s="23" t="s">
        <v>70</v>
      </c>
      <c r="I11" s="23" t="str">
        <f>TVIIBE1M_CalPairs!$C8</f>
        <v>CPUSS_DP_CTL_CMD</v>
      </c>
      <c r="K11" s="218" t="s">
        <v>1226</v>
      </c>
      <c r="L11" s="218" t="s">
        <v>145</v>
      </c>
      <c r="M11" s="305" t="s">
        <v>75</v>
      </c>
      <c r="N11" s="313" t="s">
        <v>34106</v>
      </c>
      <c r="P11" s="216" t="s">
        <v>1227</v>
      </c>
      <c r="Q11" s="216" t="s">
        <v>52</v>
      </c>
      <c r="R11" s="216" t="s">
        <v>72</v>
      </c>
      <c r="S11" s="216" t="s">
        <v>18</v>
      </c>
      <c r="U11" s="293" t="s">
        <v>1228</v>
      </c>
      <c r="V11" s="293" t="s">
        <v>145</v>
      </c>
      <c r="W11" s="293" t="s">
        <v>74</v>
      </c>
      <c r="X11" s="293" t="s">
        <v>656</v>
      </c>
      <c r="Z11" s="293" t="s">
        <v>1229</v>
      </c>
      <c r="AA11" s="293" t="s">
        <v>145</v>
      </c>
      <c r="AB11" s="293" t="s">
        <v>74</v>
      </c>
      <c r="AC11" s="293" t="s">
        <v>656</v>
      </c>
      <c r="AE11" s="293" t="s">
        <v>1230</v>
      </c>
      <c r="AF11" s="293" t="s">
        <v>145</v>
      </c>
      <c r="AG11" s="293" t="s">
        <v>74</v>
      </c>
      <c r="AH11" s="293" t="s">
        <v>656</v>
      </c>
      <c r="AJ11" s="293" t="s">
        <v>1231</v>
      </c>
      <c r="AK11" s="293" t="s">
        <v>145</v>
      </c>
      <c r="AL11" s="293" t="s">
        <v>74</v>
      </c>
      <c r="AM11" s="293" t="s">
        <v>656</v>
      </c>
      <c r="AO11" s="218" t="s">
        <v>1232</v>
      </c>
      <c r="AP11" s="218" t="s">
        <v>145</v>
      </c>
      <c r="AQ11" s="218" t="s">
        <v>75</v>
      </c>
      <c r="AR11" s="218" t="s">
        <v>34264</v>
      </c>
      <c r="AT11" s="22" t="s">
        <v>1233</v>
      </c>
      <c r="AU11" s="22" t="s">
        <v>145</v>
      </c>
      <c r="AV11" s="22" t="s">
        <v>70</v>
      </c>
      <c r="AW11" s="22" t="s">
        <v>67</v>
      </c>
      <c r="AY11" s="22" t="s">
        <v>1234</v>
      </c>
      <c r="AZ11" s="22" t="s">
        <v>145</v>
      </c>
      <c r="BA11" s="22" t="s">
        <v>70</v>
      </c>
      <c r="BB11" s="22" t="s">
        <v>67</v>
      </c>
      <c r="BD11" s="22" t="s">
        <v>1235</v>
      </c>
      <c r="BE11" s="22" t="s">
        <v>145</v>
      </c>
      <c r="BF11" s="22" t="s">
        <v>70</v>
      </c>
      <c r="BG11" s="22" t="s">
        <v>67</v>
      </c>
      <c r="BI11" s="339" t="s">
        <v>1236</v>
      </c>
      <c r="BJ11" s="339" t="s">
        <v>52</v>
      </c>
      <c r="BK11" s="339" t="s">
        <v>70</v>
      </c>
      <c r="BL11" s="339" t="s">
        <v>34396</v>
      </c>
      <c r="BN11" s="19" t="s">
        <v>1237</v>
      </c>
      <c r="BO11" s="19" t="s">
        <v>52</v>
      </c>
      <c r="BP11" s="20" t="s">
        <v>74</v>
      </c>
      <c r="BQ11" s="19" t="s">
        <v>167</v>
      </c>
      <c r="BS11" s="22" t="s">
        <v>1238</v>
      </c>
      <c r="BT11" s="22" t="s">
        <v>145</v>
      </c>
      <c r="BU11" s="22" t="s">
        <v>70</v>
      </c>
      <c r="BV11" s="214" t="s">
        <v>530</v>
      </c>
      <c r="BX11" s="22" t="s">
        <v>1239</v>
      </c>
      <c r="BY11" s="22" t="s">
        <v>145</v>
      </c>
      <c r="BZ11" s="22" t="s">
        <v>70</v>
      </c>
      <c r="CA11" s="214" t="s">
        <v>530</v>
      </c>
      <c r="CC11" s="214" t="s">
        <v>1240</v>
      </c>
      <c r="CD11" s="214" t="s">
        <v>52</v>
      </c>
      <c r="CE11" s="214" t="s">
        <v>70</v>
      </c>
      <c r="CF11" s="214" t="s">
        <v>888</v>
      </c>
      <c r="CH11" s="214" t="s">
        <v>1241</v>
      </c>
      <c r="CI11" s="214" t="s">
        <v>34550</v>
      </c>
      <c r="CJ11" s="214" t="s">
        <v>70</v>
      </c>
      <c r="CK11" s="214" t="s">
        <v>472</v>
      </c>
      <c r="CM11" s="214" t="s">
        <v>1242</v>
      </c>
      <c r="CN11" s="214" t="s">
        <v>496</v>
      </c>
      <c r="CO11" s="214" t="s">
        <v>70</v>
      </c>
      <c r="CP11" s="214" t="s">
        <v>530</v>
      </c>
      <c r="CR11" s="214" t="s">
        <v>1243</v>
      </c>
      <c r="CS11" s="214" t="s">
        <v>485</v>
      </c>
      <c r="CT11" s="214" t="s">
        <v>70</v>
      </c>
      <c r="CU11" s="214" t="s">
        <v>530</v>
      </c>
      <c r="CW11" s="214" t="s">
        <v>1244</v>
      </c>
      <c r="CX11" s="214" t="s">
        <v>34551</v>
      </c>
      <c r="CY11" s="214" t="s">
        <v>70</v>
      </c>
      <c r="CZ11" s="214" t="s">
        <v>530</v>
      </c>
      <c r="DB11" s="214" t="s">
        <v>1245</v>
      </c>
      <c r="DC11" s="214" t="s">
        <v>600</v>
      </c>
      <c r="DD11" s="214" t="s">
        <v>70</v>
      </c>
      <c r="DE11" s="214" t="s">
        <v>530</v>
      </c>
      <c r="DG11" s="214" t="s">
        <v>1246</v>
      </c>
      <c r="DH11" s="214" t="s">
        <v>496</v>
      </c>
      <c r="DI11" s="214" t="s">
        <v>70</v>
      </c>
      <c r="DJ11" s="214" t="s">
        <v>530</v>
      </c>
      <c r="DL11" s="214" t="s">
        <v>1247</v>
      </c>
      <c r="DM11" s="214" t="s">
        <v>93</v>
      </c>
      <c r="DN11" s="214" t="s">
        <v>70</v>
      </c>
      <c r="DO11" s="214" t="s">
        <v>530</v>
      </c>
      <c r="DQ11" s="214" t="s">
        <v>1248</v>
      </c>
      <c r="DR11" s="214" t="s">
        <v>491</v>
      </c>
      <c r="DS11" s="214" t="s">
        <v>70</v>
      </c>
      <c r="DT11" s="214" t="s">
        <v>530</v>
      </c>
      <c r="DV11" s="214" t="s">
        <v>1249</v>
      </c>
      <c r="DW11" s="214" t="s">
        <v>34548</v>
      </c>
      <c r="DX11" s="214" t="s">
        <v>70</v>
      </c>
      <c r="DY11" s="214" t="s">
        <v>530</v>
      </c>
      <c r="EA11" s="214" t="s">
        <v>1250</v>
      </c>
      <c r="EB11" s="214" t="s">
        <v>34471</v>
      </c>
      <c r="EC11" s="214" t="s">
        <v>70</v>
      </c>
      <c r="ED11" s="214" t="s">
        <v>530</v>
      </c>
      <c r="EF11" s="214" t="s">
        <v>1251</v>
      </c>
      <c r="EG11" s="214" t="s">
        <v>287</v>
      </c>
      <c r="EH11" s="214" t="s">
        <v>70</v>
      </c>
      <c r="EI11" s="214" t="s">
        <v>530</v>
      </c>
      <c r="EK11" s="214" t="s">
        <v>1252</v>
      </c>
      <c r="EL11" s="214" t="s">
        <v>485</v>
      </c>
      <c r="EM11" s="214" t="s">
        <v>70</v>
      </c>
      <c r="EN11" s="214" t="s">
        <v>530</v>
      </c>
      <c r="EP11" s="214" t="s">
        <v>1253</v>
      </c>
      <c r="EQ11" s="214" t="s">
        <v>52</v>
      </c>
      <c r="ER11" s="214" t="s">
        <v>70</v>
      </c>
      <c r="ES11" s="214" t="s">
        <v>530</v>
      </c>
      <c r="EU11" s="214" t="s">
        <v>1254</v>
      </c>
      <c r="EV11" s="214" t="s">
        <v>487</v>
      </c>
      <c r="EW11" s="214" t="s">
        <v>70</v>
      </c>
      <c r="EX11" s="214" t="s">
        <v>530</v>
      </c>
      <c r="EZ11" s="214" t="s">
        <v>1255</v>
      </c>
      <c r="FA11" s="214" t="s">
        <v>468</v>
      </c>
      <c r="FB11" s="214" t="s">
        <v>70</v>
      </c>
      <c r="FC11" s="214" t="s">
        <v>530</v>
      </c>
      <c r="FE11" s="214" t="s">
        <v>1256</v>
      </c>
      <c r="FF11" s="214" t="s">
        <v>468</v>
      </c>
      <c r="FG11" s="214" t="s">
        <v>70</v>
      </c>
      <c r="FH11" s="214" t="s">
        <v>530</v>
      </c>
      <c r="FJ11" s="321" t="s">
        <v>1257</v>
      </c>
      <c r="FK11" s="214" t="s">
        <v>486</v>
      </c>
      <c r="FL11" s="214" t="s">
        <v>70</v>
      </c>
      <c r="FM11" s="214" t="s">
        <v>530</v>
      </c>
      <c r="FO11" s="321" t="s">
        <v>1258</v>
      </c>
      <c r="FP11" s="214" t="s">
        <v>52</v>
      </c>
      <c r="FQ11" s="214" t="s">
        <v>70</v>
      </c>
      <c r="FR11" s="214" t="s">
        <v>530</v>
      </c>
      <c r="FT11" s="321" t="s">
        <v>1259</v>
      </c>
      <c r="FU11" s="214" t="s">
        <v>146</v>
      </c>
      <c r="FV11" s="214" t="s">
        <v>70</v>
      </c>
      <c r="FW11" s="214" t="s">
        <v>530</v>
      </c>
      <c r="FY11" s="321" t="s">
        <v>1260</v>
      </c>
      <c r="FZ11" s="214" t="s">
        <v>145</v>
      </c>
      <c r="GA11" s="214" t="s">
        <v>70</v>
      </c>
      <c r="GB11" s="214" t="s">
        <v>530</v>
      </c>
      <c r="GD11" s="321" t="s">
        <v>1261</v>
      </c>
      <c r="GE11" s="214" t="s">
        <v>34558</v>
      </c>
      <c r="GF11" s="214" t="s">
        <v>70</v>
      </c>
      <c r="GG11" s="214" t="s">
        <v>530</v>
      </c>
      <c r="GI11" s="321" t="s">
        <v>1262</v>
      </c>
      <c r="GJ11" s="214" t="s">
        <v>481</v>
      </c>
      <c r="GK11" s="214" t="s">
        <v>70</v>
      </c>
      <c r="GL11" s="214" t="s">
        <v>530</v>
      </c>
      <c r="GN11" s="321" t="s">
        <v>1263</v>
      </c>
      <c r="GO11" s="214" t="s">
        <v>148</v>
      </c>
      <c r="GP11" s="214" t="s">
        <v>70</v>
      </c>
      <c r="GQ11" s="214" t="s">
        <v>530</v>
      </c>
      <c r="GS11" s="321" t="s">
        <v>1264</v>
      </c>
      <c r="GT11" s="214" t="s">
        <v>502</v>
      </c>
      <c r="GU11" s="214" t="s">
        <v>70</v>
      </c>
      <c r="GV11" s="214" t="s">
        <v>530</v>
      </c>
      <c r="GX11" s="214" t="s">
        <v>1265</v>
      </c>
      <c r="GY11" s="214" t="s">
        <v>518</v>
      </c>
      <c r="GZ11" s="214" t="s">
        <v>70</v>
      </c>
      <c r="HA11" s="214" t="s">
        <v>530</v>
      </c>
      <c r="HC11" s="214" t="s">
        <v>1266</v>
      </c>
      <c r="HD11" s="214" t="s">
        <v>52</v>
      </c>
      <c r="HE11" s="214" t="s">
        <v>70</v>
      </c>
      <c r="HF11" s="214" t="s">
        <v>530</v>
      </c>
      <c r="HH11" s="214" t="s">
        <v>1267</v>
      </c>
      <c r="HI11" s="214" t="s">
        <v>496</v>
      </c>
      <c r="HJ11" s="214" t="s">
        <v>70</v>
      </c>
      <c r="HK11" s="214" t="s">
        <v>530</v>
      </c>
      <c r="HM11" s="214" t="s">
        <v>1268</v>
      </c>
      <c r="HN11" s="214" t="s">
        <v>933</v>
      </c>
      <c r="HO11" s="214" t="s">
        <v>70</v>
      </c>
      <c r="HP11" s="214" t="s">
        <v>34121</v>
      </c>
      <c r="HR11" s="22" t="s">
        <v>1269</v>
      </c>
      <c r="HS11" s="22" t="s">
        <v>52</v>
      </c>
      <c r="HT11" s="22" t="s">
        <v>70</v>
      </c>
      <c r="HU11" s="214" t="s">
        <v>530</v>
      </c>
      <c r="HW11" s="22" t="s">
        <v>1270</v>
      </c>
      <c r="HX11" s="22" t="s">
        <v>34580</v>
      </c>
      <c r="HY11" s="22" t="s">
        <v>70</v>
      </c>
      <c r="HZ11" s="214" t="s">
        <v>530</v>
      </c>
      <c r="IB11" s="22" t="s">
        <v>1271</v>
      </c>
      <c r="IC11" s="22" t="s">
        <v>492</v>
      </c>
      <c r="ID11" s="22" t="s">
        <v>70</v>
      </c>
      <c r="IE11" s="214" t="s">
        <v>530</v>
      </c>
      <c r="IG11" s="22" t="s">
        <v>1272</v>
      </c>
      <c r="IH11" s="22" t="s">
        <v>52</v>
      </c>
      <c r="II11" s="22" t="s">
        <v>70</v>
      </c>
      <c r="IJ11" s="214" t="s">
        <v>530</v>
      </c>
      <c r="IL11" s="22" t="s">
        <v>1273</v>
      </c>
      <c r="IM11" s="22" t="s">
        <v>145</v>
      </c>
      <c r="IN11" s="22" t="s">
        <v>70</v>
      </c>
      <c r="IO11" s="214" t="s">
        <v>530</v>
      </c>
      <c r="IQ11" s="236" t="s">
        <v>1274</v>
      </c>
      <c r="IR11" s="236" t="s">
        <v>145</v>
      </c>
      <c r="IS11" s="236" t="s">
        <v>74</v>
      </c>
      <c r="IT11" s="236" t="s">
        <v>841</v>
      </c>
      <c r="IV11" s="236" t="s">
        <v>1275</v>
      </c>
      <c r="IW11" s="236" t="s">
        <v>145</v>
      </c>
      <c r="IX11" s="236" t="s">
        <v>74</v>
      </c>
      <c r="IY11" s="236" t="s">
        <v>841</v>
      </c>
      <c r="JA11" s="236" t="s">
        <v>1276</v>
      </c>
      <c r="JB11" s="236" t="s">
        <v>145</v>
      </c>
      <c r="JC11" s="236" t="s">
        <v>74</v>
      </c>
      <c r="JD11" s="236" t="s">
        <v>841</v>
      </c>
      <c r="JF11" s="236" t="s">
        <v>1277</v>
      </c>
      <c r="JG11" s="236" t="s">
        <v>145</v>
      </c>
      <c r="JH11" s="236" t="s">
        <v>74</v>
      </c>
      <c r="JI11" s="236" t="s">
        <v>841</v>
      </c>
      <c r="JK11" s="236" t="s">
        <v>1278</v>
      </c>
      <c r="JL11" s="236" t="s">
        <v>145</v>
      </c>
      <c r="JM11" s="236" t="s">
        <v>74</v>
      </c>
      <c r="JN11" s="236" t="s">
        <v>841</v>
      </c>
      <c r="JP11" s="236" t="s">
        <v>1279</v>
      </c>
      <c r="JQ11" s="236" t="s">
        <v>145</v>
      </c>
      <c r="JR11" s="236" t="s">
        <v>74</v>
      </c>
      <c r="JS11" s="236" t="s">
        <v>841</v>
      </c>
      <c r="JU11" s="294" t="s">
        <v>1280</v>
      </c>
      <c r="JV11" s="294" t="s">
        <v>52</v>
      </c>
      <c r="JW11" s="263" t="s">
        <v>70</v>
      </c>
      <c r="JX11" s="263" t="s">
        <v>1081</v>
      </c>
      <c r="JZ11" s="263" t="s">
        <v>1281</v>
      </c>
      <c r="KA11" s="263" t="s">
        <v>145</v>
      </c>
      <c r="KB11" s="263" t="s">
        <v>70</v>
      </c>
      <c r="KC11" s="263" t="s">
        <v>1083</v>
      </c>
      <c r="KE11" s="263" t="s">
        <v>1282</v>
      </c>
      <c r="KF11" s="263" t="s">
        <v>52</v>
      </c>
      <c r="KG11" s="263" t="s">
        <v>70</v>
      </c>
      <c r="KH11" s="263" t="s">
        <v>1083</v>
      </c>
      <c r="KJ11" s="263" t="s">
        <v>1283</v>
      </c>
      <c r="KK11" s="263" t="s">
        <v>52</v>
      </c>
      <c r="KL11" s="263" t="s">
        <v>74</v>
      </c>
      <c r="KM11" s="263" t="s">
        <v>1081</v>
      </c>
      <c r="KO11" s="214" t="s">
        <v>1284</v>
      </c>
      <c r="KP11" s="214" t="s">
        <v>52</v>
      </c>
      <c r="KQ11" s="214" t="s">
        <v>70</v>
      </c>
      <c r="KR11" s="214" t="s">
        <v>799</v>
      </c>
      <c r="KT11" s="22" t="s">
        <v>1285</v>
      </c>
      <c r="KU11" s="22" t="s">
        <v>145</v>
      </c>
      <c r="KV11" s="22" t="s">
        <v>70</v>
      </c>
      <c r="KW11" s="22" t="s">
        <v>67</v>
      </c>
      <c r="KY11" s="214" t="s">
        <v>1286</v>
      </c>
      <c r="KZ11" s="214" t="s">
        <v>52</v>
      </c>
      <c r="LA11" s="214" t="s">
        <v>74</v>
      </c>
      <c r="LB11" s="214" t="s">
        <v>810</v>
      </c>
      <c r="LD11" s="22" t="s">
        <v>1287</v>
      </c>
      <c r="LE11" s="22" t="s">
        <v>145</v>
      </c>
      <c r="LF11" s="22" t="s">
        <v>70</v>
      </c>
      <c r="LG11" s="22" t="s">
        <v>67</v>
      </c>
    </row>
    <row r="12" spans="1:319">
      <c r="A12" s="23" t="s">
        <v>1288</v>
      </c>
      <c r="B12" s="233" t="s">
        <v>933</v>
      </c>
      <c r="C12" s="23" t="s">
        <v>70</v>
      </c>
      <c r="D12" s="23" t="s">
        <v>168</v>
      </c>
      <c r="F12" s="23" t="s">
        <v>1289</v>
      </c>
      <c r="G12" s="23" t="str">
        <f>TVIIBE1M_CalPairs!$E9</f>
        <v>0x80</v>
      </c>
      <c r="H12" s="23" t="s">
        <v>70</v>
      </c>
      <c r="I12" s="23" t="str">
        <f>TVIIBE1M_CalPairs!$C9</f>
        <v>CPUSS_DP_CTL_ADDR0</v>
      </c>
      <c r="K12" s="218" t="s">
        <v>1290</v>
      </c>
      <c r="L12" s="218" t="s">
        <v>145</v>
      </c>
      <c r="M12" s="305" t="s">
        <v>72</v>
      </c>
      <c r="N12" s="312" t="s">
        <v>34098</v>
      </c>
      <c r="P12" s="216" t="s">
        <v>1291</v>
      </c>
      <c r="Q12" s="216" t="s">
        <v>52</v>
      </c>
      <c r="R12" s="216" t="s">
        <v>72</v>
      </c>
      <c r="S12" s="216" t="s">
        <v>16</v>
      </c>
      <c r="U12" s="293" t="s">
        <v>1292</v>
      </c>
      <c r="V12" s="293" t="s">
        <v>145</v>
      </c>
      <c r="W12" s="293" t="s">
        <v>74</v>
      </c>
      <c r="X12" s="293" t="s">
        <v>656</v>
      </c>
      <c r="Z12" s="293" t="s">
        <v>1293</v>
      </c>
      <c r="AA12" s="293" t="s">
        <v>145</v>
      </c>
      <c r="AB12" s="293" t="s">
        <v>74</v>
      </c>
      <c r="AC12" s="293" t="s">
        <v>656</v>
      </c>
      <c r="AE12" s="293" t="s">
        <v>1294</v>
      </c>
      <c r="AF12" s="293" t="s">
        <v>145</v>
      </c>
      <c r="AG12" s="293" t="s">
        <v>74</v>
      </c>
      <c r="AH12" s="293" t="s">
        <v>656</v>
      </c>
      <c r="AJ12" s="293" t="s">
        <v>1295</v>
      </c>
      <c r="AK12" s="293" t="s">
        <v>145</v>
      </c>
      <c r="AL12" s="293" t="s">
        <v>74</v>
      </c>
      <c r="AM12" s="293" t="s">
        <v>656</v>
      </c>
      <c r="AO12" s="218" t="s">
        <v>1296</v>
      </c>
      <c r="AP12" s="218" t="s">
        <v>145</v>
      </c>
      <c r="AQ12" s="218" t="s">
        <v>75</v>
      </c>
      <c r="AR12" s="218" t="s">
        <v>34265</v>
      </c>
      <c r="AT12" s="22" t="s">
        <v>1297</v>
      </c>
      <c r="AU12" s="22" t="s">
        <v>145</v>
      </c>
      <c r="AV12" s="22" t="s">
        <v>70</v>
      </c>
      <c r="AW12" s="22" t="s">
        <v>67</v>
      </c>
      <c r="AY12" s="22" t="s">
        <v>1298</v>
      </c>
      <c r="AZ12" s="22" t="s">
        <v>145</v>
      </c>
      <c r="BA12" s="22" t="s">
        <v>70</v>
      </c>
      <c r="BB12" s="22" t="s">
        <v>67</v>
      </c>
      <c r="BD12" s="22" t="s">
        <v>1299</v>
      </c>
      <c r="BE12" s="22" t="s">
        <v>145</v>
      </c>
      <c r="BF12" s="22" t="s">
        <v>70</v>
      </c>
      <c r="BG12" s="22" t="s">
        <v>67</v>
      </c>
      <c r="BI12" s="339" t="s">
        <v>1300</v>
      </c>
      <c r="BJ12" s="339" t="s">
        <v>34405</v>
      </c>
      <c r="BK12" s="339" t="s">
        <v>70</v>
      </c>
      <c r="BL12" s="339" t="s">
        <v>34397</v>
      </c>
      <c r="BN12" s="19" t="s">
        <v>1301</v>
      </c>
      <c r="BO12" s="19" t="s">
        <v>52</v>
      </c>
      <c r="BP12" s="20" t="s">
        <v>74</v>
      </c>
      <c r="BQ12" s="295" t="s">
        <v>958</v>
      </c>
      <c r="BS12" s="22" t="s">
        <v>1302</v>
      </c>
      <c r="BT12" s="22" t="s">
        <v>145</v>
      </c>
      <c r="BU12" s="22" t="s">
        <v>70</v>
      </c>
      <c r="BV12" s="214" t="s">
        <v>530</v>
      </c>
      <c r="BX12" s="22" t="s">
        <v>1303</v>
      </c>
      <c r="BY12" s="22" t="s">
        <v>145</v>
      </c>
      <c r="BZ12" s="22" t="s">
        <v>70</v>
      </c>
      <c r="CA12" s="214" t="s">
        <v>530</v>
      </c>
      <c r="CC12" s="214" t="s">
        <v>1304</v>
      </c>
      <c r="CD12" s="214" t="s">
        <v>148</v>
      </c>
      <c r="CE12" s="214" t="s">
        <v>70</v>
      </c>
      <c r="CF12" s="214" t="s">
        <v>889</v>
      </c>
      <c r="CH12" s="214" t="s">
        <v>1305</v>
      </c>
      <c r="CI12" s="214" t="s">
        <v>148</v>
      </c>
      <c r="CJ12" s="214" t="s">
        <v>70</v>
      </c>
      <c r="CK12" s="214" t="s">
        <v>473</v>
      </c>
      <c r="CM12" s="214" t="s">
        <v>1306</v>
      </c>
      <c r="CN12" s="214" t="s">
        <v>34553</v>
      </c>
      <c r="CO12" s="214" t="s">
        <v>70</v>
      </c>
      <c r="CP12" s="214" t="s">
        <v>530</v>
      </c>
      <c r="CR12" s="214" t="s">
        <v>1307</v>
      </c>
      <c r="CS12" s="214" t="s">
        <v>34545</v>
      </c>
      <c r="CT12" s="214" t="s">
        <v>70</v>
      </c>
      <c r="CU12" s="214" t="s">
        <v>530</v>
      </c>
      <c r="CW12" s="214" t="s">
        <v>1308</v>
      </c>
      <c r="CX12" s="214" t="s">
        <v>942</v>
      </c>
      <c r="CY12" s="214" t="s">
        <v>70</v>
      </c>
      <c r="CZ12" s="214" t="s">
        <v>530</v>
      </c>
      <c r="DB12" s="214" t="s">
        <v>1309</v>
      </c>
      <c r="DC12" s="214" t="s">
        <v>52</v>
      </c>
      <c r="DD12" s="214" t="s">
        <v>70</v>
      </c>
      <c r="DE12" s="214" t="s">
        <v>530</v>
      </c>
      <c r="DG12" s="214" t="s">
        <v>1310</v>
      </c>
      <c r="DH12" s="214" t="s">
        <v>92</v>
      </c>
      <c r="DI12" s="214" t="s">
        <v>70</v>
      </c>
      <c r="DJ12" s="214" t="s">
        <v>530</v>
      </c>
      <c r="DL12" s="214" t="s">
        <v>1311</v>
      </c>
      <c r="DM12" s="214" t="s">
        <v>52</v>
      </c>
      <c r="DN12" s="214" t="s">
        <v>70</v>
      </c>
      <c r="DO12" s="214" t="s">
        <v>530</v>
      </c>
      <c r="DQ12" s="214" t="s">
        <v>1312</v>
      </c>
      <c r="DR12" s="214" t="s">
        <v>52</v>
      </c>
      <c r="DS12" s="214" t="s">
        <v>70</v>
      </c>
      <c r="DT12" s="214" t="s">
        <v>530</v>
      </c>
      <c r="DV12" s="214" t="s">
        <v>1313</v>
      </c>
      <c r="DW12" s="214" t="s">
        <v>90</v>
      </c>
      <c r="DX12" s="214" t="s">
        <v>70</v>
      </c>
      <c r="DY12" s="214" t="s">
        <v>530</v>
      </c>
      <c r="EA12" s="214" t="s">
        <v>1314</v>
      </c>
      <c r="EB12" s="214" t="s">
        <v>34596</v>
      </c>
      <c r="EC12" s="214" t="s">
        <v>70</v>
      </c>
      <c r="ED12" s="214" t="s">
        <v>530</v>
      </c>
      <c r="EF12" s="214" t="s">
        <v>1315</v>
      </c>
      <c r="EG12" s="214" t="s">
        <v>34617</v>
      </c>
      <c r="EH12" s="214" t="s">
        <v>70</v>
      </c>
      <c r="EI12" s="214" t="s">
        <v>530</v>
      </c>
      <c r="EK12" s="214" t="s">
        <v>1316</v>
      </c>
      <c r="EL12" s="214" t="s">
        <v>935</v>
      </c>
      <c r="EM12" s="214" t="s">
        <v>70</v>
      </c>
      <c r="EN12" s="214" t="s">
        <v>530</v>
      </c>
      <c r="EP12" s="214" t="s">
        <v>1317</v>
      </c>
      <c r="EQ12" s="214" t="s">
        <v>52</v>
      </c>
      <c r="ER12" s="214" t="s">
        <v>70</v>
      </c>
      <c r="ES12" s="214" t="s">
        <v>530</v>
      </c>
      <c r="EU12" s="214" t="s">
        <v>1318</v>
      </c>
      <c r="EV12" s="214" t="s">
        <v>89</v>
      </c>
      <c r="EW12" s="214" t="s">
        <v>70</v>
      </c>
      <c r="EX12" s="214" t="s">
        <v>530</v>
      </c>
      <c r="EZ12" s="214" t="s">
        <v>1319</v>
      </c>
      <c r="FA12" s="214" t="s">
        <v>935</v>
      </c>
      <c r="FB12" s="214" t="s">
        <v>70</v>
      </c>
      <c r="FC12" s="214" t="s">
        <v>530</v>
      </c>
      <c r="FE12" s="214" t="s">
        <v>1320</v>
      </c>
      <c r="FF12" s="214" t="s">
        <v>34575</v>
      </c>
      <c r="FG12" s="214" t="s">
        <v>70</v>
      </c>
      <c r="FH12" s="214" t="s">
        <v>530</v>
      </c>
      <c r="FJ12" s="321" t="s">
        <v>1321</v>
      </c>
      <c r="FK12" s="214" t="s">
        <v>916</v>
      </c>
      <c r="FL12" s="214" t="s">
        <v>70</v>
      </c>
      <c r="FM12" s="214" t="s">
        <v>530</v>
      </c>
      <c r="FO12" s="321" t="s">
        <v>1322</v>
      </c>
      <c r="FP12" s="214" t="s">
        <v>34540</v>
      </c>
      <c r="FQ12" s="214" t="s">
        <v>70</v>
      </c>
      <c r="FR12" s="214" t="s">
        <v>530</v>
      </c>
      <c r="FT12" s="321" t="s">
        <v>1323</v>
      </c>
      <c r="FU12" s="214" t="s">
        <v>52</v>
      </c>
      <c r="FV12" s="214" t="s">
        <v>70</v>
      </c>
      <c r="FW12" s="214" t="s">
        <v>530</v>
      </c>
      <c r="FY12" s="321" t="s">
        <v>1324</v>
      </c>
      <c r="FZ12" s="214" t="s">
        <v>937</v>
      </c>
      <c r="GA12" s="214" t="s">
        <v>70</v>
      </c>
      <c r="GB12" s="214" t="s">
        <v>530</v>
      </c>
      <c r="GD12" s="321" t="s">
        <v>1325</v>
      </c>
      <c r="GE12" s="214" t="s">
        <v>52</v>
      </c>
      <c r="GF12" s="214" t="s">
        <v>70</v>
      </c>
      <c r="GG12" s="214" t="s">
        <v>530</v>
      </c>
      <c r="GI12" s="321" t="s">
        <v>1326</v>
      </c>
      <c r="GJ12" s="214" t="s">
        <v>148</v>
      </c>
      <c r="GK12" s="214" t="s">
        <v>70</v>
      </c>
      <c r="GL12" s="214" t="s">
        <v>530</v>
      </c>
      <c r="GN12" s="321" t="s">
        <v>1327</v>
      </c>
      <c r="GO12" s="214" t="s">
        <v>85</v>
      </c>
      <c r="GP12" s="214" t="s">
        <v>70</v>
      </c>
      <c r="GQ12" s="214" t="s">
        <v>530</v>
      </c>
      <c r="GS12" s="321" t="s">
        <v>1328</v>
      </c>
      <c r="GT12" s="214" t="s">
        <v>485</v>
      </c>
      <c r="GU12" s="214" t="s">
        <v>70</v>
      </c>
      <c r="GV12" s="214" t="s">
        <v>530</v>
      </c>
      <c r="GX12" s="214" t="s">
        <v>1329</v>
      </c>
      <c r="GY12" s="214" t="s">
        <v>203</v>
      </c>
      <c r="GZ12" s="214" t="s">
        <v>70</v>
      </c>
      <c r="HA12" s="214" t="s">
        <v>530</v>
      </c>
      <c r="HC12" s="214" t="s">
        <v>1330</v>
      </c>
      <c r="HD12" s="214" t="s">
        <v>92</v>
      </c>
      <c r="HE12" s="214" t="s">
        <v>70</v>
      </c>
      <c r="HF12" s="214" t="s">
        <v>530</v>
      </c>
      <c r="HH12" s="214" t="s">
        <v>1331</v>
      </c>
      <c r="HI12" s="214" t="s">
        <v>52</v>
      </c>
      <c r="HJ12" s="214" t="s">
        <v>70</v>
      </c>
      <c r="HK12" s="214" t="s">
        <v>530</v>
      </c>
      <c r="HM12" s="214" t="s">
        <v>1332</v>
      </c>
      <c r="HN12" s="214" t="s">
        <v>34574</v>
      </c>
      <c r="HO12" s="214" t="s">
        <v>70</v>
      </c>
      <c r="HP12" s="214" t="s">
        <v>34121</v>
      </c>
      <c r="HR12" s="22" t="s">
        <v>1333</v>
      </c>
      <c r="HS12" s="22" t="s">
        <v>90</v>
      </c>
      <c r="HT12" s="22" t="s">
        <v>70</v>
      </c>
      <c r="HU12" s="214" t="s">
        <v>530</v>
      </c>
      <c r="HW12" s="22" t="s">
        <v>1334</v>
      </c>
      <c r="HX12" s="22" t="s">
        <v>34548</v>
      </c>
      <c r="HY12" s="22" t="s">
        <v>70</v>
      </c>
      <c r="HZ12" s="214" t="s">
        <v>530</v>
      </c>
      <c r="IB12" s="22" t="s">
        <v>1335</v>
      </c>
      <c r="IC12" s="22" t="s">
        <v>164</v>
      </c>
      <c r="ID12" s="22" t="s">
        <v>70</v>
      </c>
      <c r="IE12" s="214" t="s">
        <v>530</v>
      </c>
      <c r="IG12" s="22" t="s">
        <v>1336</v>
      </c>
      <c r="IH12" s="22" t="s">
        <v>87</v>
      </c>
      <c r="II12" s="22" t="s">
        <v>70</v>
      </c>
      <c r="IJ12" s="214" t="s">
        <v>530</v>
      </c>
      <c r="IL12" s="22" t="s">
        <v>1337</v>
      </c>
      <c r="IM12" s="22" t="s">
        <v>145</v>
      </c>
      <c r="IN12" s="22" t="s">
        <v>70</v>
      </c>
      <c r="IO12" s="214" t="s">
        <v>530</v>
      </c>
      <c r="IQ12" s="236" t="s">
        <v>1338</v>
      </c>
      <c r="IR12" s="236" t="s">
        <v>145</v>
      </c>
      <c r="IS12" s="236" t="s">
        <v>74</v>
      </c>
      <c r="IT12" s="236" t="s">
        <v>841</v>
      </c>
      <c r="IV12" s="236" t="s">
        <v>1339</v>
      </c>
      <c r="IW12" s="236" t="s">
        <v>145</v>
      </c>
      <c r="IX12" s="236" t="s">
        <v>74</v>
      </c>
      <c r="IY12" s="236" t="s">
        <v>841</v>
      </c>
      <c r="JA12" s="236" t="s">
        <v>1341</v>
      </c>
      <c r="JB12" s="236" t="s">
        <v>145</v>
      </c>
      <c r="JC12" s="236" t="s">
        <v>74</v>
      </c>
      <c r="JD12" s="236" t="s">
        <v>841</v>
      </c>
      <c r="JF12" s="236" t="s">
        <v>1342</v>
      </c>
      <c r="JG12" s="236" t="s">
        <v>145</v>
      </c>
      <c r="JH12" s="236" t="s">
        <v>74</v>
      </c>
      <c r="JI12" s="236" t="s">
        <v>841</v>
      </c>
      <c r="JK12" s="236" t="s">
        <v>1343</v>
      </c>
      <c r="JL12" s="236" t="s">
        <v>145</v>
      </c>
      <c r="JM12" s="236" t="s">
        <v>74</v>
      </c>
      <c r="JN12" s="236" t="s">
        <v>841</v>
      </c>
      <c r="JP12" s="236" t="s">
        <v>1344</v>
      </c>
      <c r="JQ12" s="236" t="s">
        <v>145</v>
      </c>
      <c r="JR12" s="236" t="s">
        <v>74</v>
      </c>
      <c r="JS12" s="236" t="s">
        <v>841</v>
      </c>
      <c r="JU12" s="294" t="s">
        <v>1345</v>
      </c>
      <c r="JV12" s="294" t="str">
        <f>TVIIBE1M_CalPairs!$Q2</f>
        <v>0x02</v>
      </c>
      <c r="JW12" s="263" t="s">
        <v>70</v>
      </c>
      <c r="JX12" s="294" t="s">
        <v>1340</v>
      </c>
      <c r="JZ12" s="263" t="s">
        <v>1346</v>
      </c>
      <c r="KA12" s="263" t="s">
        <v>145</v>
      </c>
      <c r="KB12" s="263" t="s">
        <v>70</v>
      </c>
      <c r="KC12" s="263" t="s">
        <v>1083</v>
      </c>
      <c r="KE12" s="263" t="s">
        <v>1347</v>
      </c>
      <c r="KF12" s="263" t="s">
        <v>52</v>
      </c>
      <c r="KG12" s="263" t="s">
        <v>70</v>
      </c>
      <c r="KH12" s="263" t="s">
        <v>1083</v>
      </c>
      <c r="KJ12" s="263" t="s">
        <v>1348</v>
      </c>
      <c r="KK12" s="294" t="s">
        <v>52</v>
      </c>
      <c r="KL12" s="263" t="s">
        <v>74</v>
      </c>
      <c r="KM12" s="294" t="s">
        <v>5188</v>
      </c>
      <c r="KO12" s="214" t="s">
        <v>1349</v>
      </c>
      <c r="KP12" s="214" t="s">
        <v>287</v>
      </c>
      <c r="KQ12" s="214" t="s">
        <v>70</v>
      </c>
      <c r="KR12" s="214" t="s">
        <v>813</v>
      </c>
      <c r="KT12" s="22" t="s">
        <v>1350</v>
      </c>
      <c r="KU12" s="22" t="s">
        <v>145</v>
      </c>
      <c r="KV12" s="22" t="s">
        <v>70</v>
      </c>
      <c r="KW12" s="22" t="s">
        <v>67</v>
      </c>
      <c r="KY12" s="214" t="s">
        <v>1351</v>
      </c>
      <c r="KZ12" s="214" t="s">
        <v>468</v>
      </c>
      <c r="LA12" s="214" t="s">
        <v>74</v>
      </c>
      <c r="LB12" s="214" t="s">
        <v>812</v>
      </c>
      <c r="LD12" s="22" t="s">
        <v>1352</v>
      </c>
      <c r="LE12" s="22" t="s">
        <v>145</v>
      </c>
      <c r="LF12" s="22" t="s">
        <v>70</v>
      </c>
      <c r="LG12" s="22" t="s">
        <v>67</v>
      </c>
    </row>
    <row r="13" spans="1:319">
      <c r="A13" s="23" t="s">
        <v>1353</v>
      </c>
      <c r="B13" s="233" t="s">
        <v>468</v>
      </c>
      <c r="C13" s="23" t="s">
        <v>70</v>
      </c>
      <c r="D13" s="23" t="s">
        <v>168</v>
      </c>
      <c r="F13" s="23" t="s">
        <v>1354</v>
      </c>
      <c r="G13" s="23" t="str">
        <f>TVIIBE1M_CalPairs!$E10</f>
        <v>0x20</v>
      </c>
      <c r="H13" s="23" t="s">
        <v>70</v>
      </c>
      <c r="I13" s="23" t="str">
        <f>TVIIBE1M_CalPairs!$C10</f>
        <v>CPUSS_DP_CTL_ADDR1</v>
      </c>
      <c r="K13" s="218" t="s">
        <v>1355</v>
      </c>
      <c r="L13" s="218" t="s">
        <v>145</v>
      </c>
      <c r="M13" s="305" t="s">
        <v>72</v>
      </c>
      <c r="N13" s="312" t="s">
        <v>34098</v>
      </c>
      <c r="P13" s="216" t="s">
        <v>1356</v>
      </c>
      <c r="Q13" s="216" t="s">
        <v>52</v>
      </c>
      <c r="R13" s="216" t="s">
        <v>72</v>
      </c>
      <c r="S13" s="216" t="s">
        <v>14</v>
      </c>
      <c r="U13" s="293" t="s">
        <v>1357</v>
      </c>
      <c r="V13" s="293" t="s">
        <v>145</v>
      </c>
      <c r="W13" s="293" t="s">
        <v>74</v>
      </c>
      <c r="X13" s="293" t="s">
        <v>656</v>
      </c>
      <c r="Z13" s="293" t="s">
        <v>1358</v>
      </c>
      <c r="AA13" s="293" t="s">
        <v>145</v>
      </c>
      <c r="AB13" s="293" t="s">
        <v>74</v>
      </c>
      <c r="AC13" s="293" t="s">
        <v>656</v>
      </c>
      <c r="AE13" s="293" t="s">
        <v>1359</v>
      </c>
      <c r="AF13" s="293" t="s">
        <v>145</v>
      </c>
      <c r="AG13" s="293" t="s">
        <v>74</v>
      </c>
      <c r="AH13" s="293" t="s">
        <v>656</v>
      </c>
      <c r="AJ13" s="293" t="s">
        <v>1360</v>
      </c>
      <c r="AK13" s="293" t="s">
        <v>145</v>
      </c>
      <c r="AL13" s="293" t="s">
        <v>74</v>
      </c>
      <c r="AM13" s="293" t="s">
        <v>656</v>
      </c>
      <c r="AO13" s="218" t="s">
        <v>1361</v>
      </c>
      <c r="AP13" s="218" t="s">
        <v>145</v>
      </c>
      <c r="AQ13" s="218" t="s">
        <v>75</v>
      </c>
      <c r="AR13" s="218" t="s">
        <v>34266</v>
      </c>
      <c r="AT13" s="22" t="s">
        <v>1362</v>
      </c>
      <c r="AU13" s="22" t="s">
        <v>145</v>
      </c>
      <c r="AV13" s="22" t="s">
        <v>70</v>
      </c>
      <c r="AW13" s="22" t="s">
        <v>67</v>
      </c>
      <c r="AY13" s="22" t="s">
        <v>1363</v>
      </c>
      <c r="AZ13" s="22" t="s">
        <v>145</v>
      </c>
      <c r="BA13" s="22" t="s">
        <v>70</v>
      </c>
      <c r="BB13" s="22" t="s">
        <v>67</v>
      </c>
      <c r="BD13" s="22" t="s">
        <v>1364</v>
      </c>
      <c r="BE13" s="22" t="s">
        <v>145</v>
      </c>
      <c r="BF13" s="22" t="s">
        <v>70</v>
      </c>
      <c r="BG13" s="22" t="s">
        <v>67</v>
      </c>
      <c r="BI13" s="339" t="s">
        <v>1365</v>
      </c>
      <c r="BJ13" s="339" t="s">
        <v>145</v>
      </c>
      <c r="BK13" s="339" t="s">
        <v>70</v>
      </c>
      <c r="BL13" s="339" t="s">
        <v>34397</v>
      </c>
      <c r="BN13" s="19" t="s">
        <v>1366</v>
      </c>
      <c r="BO13" s="19" t="s">
        <v>52</v>
      </c>
      <c r="BP13" s="20" t="s">
        <v>74</v>
      </c>
      <c r="BQ13" s="295" t="s">
        <v>958</v>
      </c>
      <c r="BS13" s="22" t="s">
        <v>1367</v>
      </c>
      <c r="BT13" s="22" t="s">
        <v>145</v>
      </c>
      <c r="BU13" s="22" t="s">
        <v>70</v>
      </c>
      <c r="BV13" s="214" t="s">
        <v>530</v>
      </c>
      <c r="BX13" s="22" t="s">
        <v>1368</v>
      </c>
      <c r="BY13" s="22" t="s">
        <v>145</v>
      </c>
      <c r="BZ13" s="22" t="s">
        <v>70</v>
      </c>
      <c r="CA13" s="214" t="s">
        <v>530</v>
      </c>
      <c r="CC13" s="214" t="s">
        <v>1369</v>
      </c>
      <c r="CD13" s="214" t="s">
        <v>90</v>
      </c>
      <c r="CE13" s="214" t="s">
        <v>70</v>
      </c>
      <c r="CF13" s="214" t="s">
        <v>890</v>
      </c>
      <c r="CH13" s="214" t="s">
        <v>1370</v>
      </c>
      <c r="CI13" s="214" t="s">
        <v>950</v>
      </c>
      <c r="CJ13" s="214" t="s">
        <v>70</v>
      </c>
      <c r="CK13" s="214" t="s">
        <v>474</v>
      </c>
      <c r="CM13" s="214" t="s">
        <v>1371</v>
      </c>
      <c r="CN13" s="214" t="s">
        <v>502</v>
      </c>
      <c r="CO13" s="214" t="s">
        <v>70</v>
      </c>
      <c r="CP13" s="214" t="s">
        <v>530</v>
      </c>
      <c r="CR13" s="214" t="s">
        <v>1372</v>
      </c>
      <c r="CS13" s="214" t="s">
        <v>34551</v>
      </c>
      <c r="CT13" s="214" t="s">
        <v>70</v>
      </c>
      <c r="CU13" s="214" t="s">
        <v>530</v>
      </c>
      <c r="CW13" s="214" t="s">
        <v>1373</v>
      </c>
      <c r="CX13" s="214" t="s">
        <v>34557</v>
      </c>
      <c r="CY13" s="214" t="s">
        <v>70</v>
      </c>
      <c r="CZ13" s="214" t="s">
        <v>530</v>
      </c>
      <c r="DB13" s="214" t="s">
        <v>1374</v>
      </c>
      <c r="DC13" s="214" t="s">
        <v>52</v>
      </c>
      <c r="DD13" s="214" t="s">
        <v>70</v>
      </c>
      <c r="DE13" s="214" t="s">
        <v>530</v>
      </c>
      <c r="DG13" s="214" t="s">
        <v>1375</v>
      </c>
      <c r="DH13" s="214" t="s">
        <v>92</v>
      </c>
      <c r="DI13" s="214" t="s">
        <v>70</v>
      </c>
      <c r="DJ13" s="214" t="s">
        <v>530</v>
      </c>
      <c r="DL13" s="214" t="s">
        <v>1376</v>
      </c>
      <c r="DM13" s="214" t="s">
        <v>203</v>
      </c>
      <c r="DN13" s="214" t="s">
        <v>70</v>
      </c>
      <c r="DO13" s="214" t="s">
        <v>530</v>
      </c>
      <c r="DQ13" s="214" t="s">
        <v>1377</v>
      </c>
      <c r="DR13" s="214" t="s">
        <v>484</v>
      </c>
      <c r="DS13" s="214" t="s">
        <v>70</v>
      </c>
      <c r="DT13" s="214" t="s">
        <v>530</v>
      </c>
      <c r="DV13" s="214" t="s">
        <v>1378</v>
      </c>
      <c r="DW13" s="214" t="s">
        <v>34539</v>
      </c>
      <c r="DX13" s="214" t="s">
        <v>70</v>
      </c>
      <c r="DY13" s="214" t="s">
        <v>530</v>
      </c>
      <c r="EA13" s="214" t="s">
        <v>1379</v>
      </c>
      <c r="EB13" s="214" t="s">
        <v>287</v>
      </c>
      <c r="EC13" s="214" t="s">
        <v>70</v>
      </c>
      <c r="ED13" s="214" t="s">
        <v>530</v>
      </c>
      <c r="EF13" s="214" t="s">
        <v>1380</v>
      </c>
      <c r="EG13" s="214" t="s">
        <v>488</v>
      </c>
      <c r="EH13" s="214" t="s">
        <v>70</v>
      </c>
      <c r="EI13" s="214" t="s">
        <v>530</v>
      </c>
      <c r="EK13" s="214" t="s">
        <v>1381</v>
      </c>
      <c r="EL13" s="214" t="s">
        <v>34544</v>
      </c>
      <c r="EM13" s="214" t="s">
        <v>70</v>
      </c>
      <c r="EN13" s="214" t="s">
        <v>530</v>
      </c>
      <c r="EP13" s="214" t="s">
        <v>1382</v>
      </c>
      <c r="EQ13" s="214" t="s">
        <v>34544</v>
      </c>
      <c r="ER13" s="214" t="s">
        <v>70</v>
      </c>
      <c r="ES13" s="214" t="s">
        <v>530</v>
      </c>
      <c r="EU13" s="214" t="s">
        <v>1383</v>
      </c>
      <c r="EV13" s="214" t="s">
        <v>52</v>
      </c>
      <c r="EW13" s="214" t="s">
        <v>70</v>
      </c>
      <c r="EX13" s="214" t="s">
        <v>530</v>
      </c>
      <c r="EZ13" s="214" t="s">
        <v>1384</v>
      </c>
      <c r="FA13" s="214" t="s">
        <v>34555</v>
      </c>
      <c r="FB13" s="214" t="s">
        <v>70</v>
      </c>
      <c r="FC13" s="214" t="s">
        <v>530</v>
      </c>
      <c r="FE13" s="214" t="s">
        <v>1385</v>
      </c>
      <c r="FF13" s="214" t="s">
        <v>486</v>
      </c>
      <c r="FG13" s="214" t="s">
        <v>70</v>
      </c>
      <c r="FH13" s="214" t="s">
        <v>530</v>
      </c>
      <c r="FJ13" s="321" t="s">
        <v>1386</v>
      </c>
      <c r="FK13" s="214" t="s">
        <v>488</v>
      </c>
      <c r="FL13" s="214" t="s">
        <v>70</v>
      </c>
      <c r="FM13" s="214" t="s">
        <v>530</v>
      </c>
      <c r="FO13" s="321" t="s">
        <v>1387</v>
      </c>
      <c r="FP13" s="214" t="s">
        <v>52</v>
      </c>
      <c r="FQ13" s="214" t="s">
        <v>70</v>
      </c>
      <c r="FR13" s="214" t="s">
        <v>530</v>
      </c>
      <c r="FT13" s="321" t="s">
        <v>1388</v>
      </c>
      <c r="FU13" s="214" t="s">
        <v>148</v>
      </c>
      <c r="FV13" s="214" t="s">
        <v>70</v>
      </c>
      <c r="FW13" s="214" t="s">
        <v>530</v>
      </c>
      <c r="FY13" s="321" t="s">
        <v>1389</v>
      </c>
      <c r="FZ13" s="214" t="s">
        <v>87</v>
      </c>
      <c r="GA13" s="214" t="s">
        <v>70</v>
      </c>
      <c r="GB13" s="214" t="s">
        <v>530</v>
      </c>
      <c r="GD13" s="321" t="s">
        <v>1390</v>
      </c>
      <c r="GE13" s="214" t="s">
        <v>485</v>
      </c>
      <c r="GF13" s="214" t="s">
        <v>70</v>
      </c>
      <c r="GG13" s="214" t="s">
        <v>530</v>
      </c>
      <c r="GI13" s="321" t="s">
        <v>1391</v>
      </c>
      <c r="GJ13" s="214" t="s">
        <v>34562</v>
      </c>
      <c r="GK13" s="214" t="s">
        <v>70</v>
      </c>
      <c r="GL13" s="214" t="s">
        <v>530</v>
      </c>
      <c r="GN13" s="321" t="s">
        <v>1392</v>
      </c>
      <c r="GO13" s="214" t="s">
        <v>34589</v>
      </c>
      <c r="GP13" s="214" t="s">
        <v>70</v>
      </c>
      <c r="GQ13" s="214" t="s">
        <v>530</v>
      </c>
      <c r="GS13" s="321" t="s">
        <v>1393</v>
      </c>
      <c r="GT13" s="214" t="s">
        <v>52</v>
      </c>
      <c r="GU13" s="214" t="s">
        <v>70</v>
      </c>
      <c r="GV13" s="214" t="s">
        <v>530</v>
      </c>
      <c r="GX13" s="214" t="s">
        <v>1394</v>
      </c>
      <c r="GY13" s="214" t="s">
        <v>496</v>
      </c>
      <c r="GZ13" s="214" t="s">
        <v>70</v>
      </c>
      <c r="HA13" s="214" t="s">
        <v>530</v>
      </c>
      <c r="HC13" s="214" t="s">
        <v>1395</v>
      </c>
      <c r="HD13" s="214" t="s">
        <v>34558</v>
      </c>
      <c r="HE13" s="214" t="s">
        <v>70</v>
      </c>
      <c r="HF13" s="214" t="s">
        <v>530</v>
      </c>
      <c r="HH13" s="214" t="s">
        <v>1396</v>
      </c>
      <c r="HI13" s="214" t="s">
        <v>52</v>
      </c>
      <c r="HJ13" s="214" t="s">
        <v>70</v>
      </c>
      <c r="HK13" s="214" t="s">
        <v>530</v>
      </c>
      <c r="HM13" s="214" t="s">
        <v>1397</v>
      </c>
      <c r="HN13" s="214" t="s">
        <v>484</v>
      </c>
      <c r="HO13" s="214" t="s">
        <v>70</v>
      </c>
      <c r="HP13" s="214" t="s">
        <v>34121</v>
      </c>
      <c r="HR13" s="22" t="s">
        <v>1398</v>
      </c>
      <c r="HS13" s="22" t="s">
        <v>205</v>
      </c>
      <c r="HT13" s="22" t="s">
        <v>70</v>
      </c>
      <c r="HU13" s="214" t="s">
        <v>530</v>
      </c>
      <c r="HW13" s="22" t="s">
        <v>1399</v>
      </c>
      <c r="HX13" s="22" t="s">
        <v>492</v>
      </c>
      <c r="HY13" s="22" t="s">
        <v>70</v>
      </c>
      <c r="HZ13" s="214" t="s">
        <v>530</v>
      </c>
      <c r="IB13" s="22" t="s">
        <v>1400</v>
      </c>
      <c r="IC13" s="22" t="s">
        <v>599</v>
      </c>
      <c r="ID13" s="22" t="s">
        <v>70</v>
      </c>
      <c r="IE13" s="214" t="s">
        <v>530</v>
      </c>
      <c r="IG13" s="22" t="s">
        <v>1401</v>
      </c>
      <c r="IH13" s="22" t="s">
        <v>92</v>
      </c>
      <c r="II13" s="22" t="s">
        <v>70</v>
      </c>
      <c r="IJ13" s="214" t="s">
        <v>530</v>
      </c>
      <c r="IL13" s="22" t="s">
        <v>1402</v>
      </c>
      <c r="IM13" s="22" t="s">
        <v>145</v>
      </c>
      <c r="IN13" s="22" t="s">
        <v>70</v>
      </c>
      <c r="IO13" s="214" t="s">
        <v>530</v>
      </c>
      <c r="IQ13" s="236" t="s">
        <v>1403</v>
      </c>
      <c r="IR13" s="236" t="s">
        <v>145</v>
      </c>
      <c r="IS13" s="236" t="s">
        <v>74</v>
      </c>
      <c r="IT13" s="236" t="s">
        <v>841</v>
      </c>
      <c r="IV13" s="236" t="s">
        <v>1404</v>
      </c>
      <c r="IW13" s="236" t="s">
        <v>145</v>
      </c>
      <c r="IX13" s="236" t="s">
        <v>74</v>
      </c>
      <c r="IY13" s="236" t="s">
        <v>841</v>
      </c>
      <c r="JA13" s="236" t="s">
        <v>1406</v>
      </c>
      <c r="JB13" s="236" t="s">
        <v>145</v>
      </c>
      <c r="JC13" s="236" t="s">
        <v>74</v>
      </c>
      <c r="JD13" s="236" t="s">
        <v>841</v>
      </c>
      <c r="JF13" s="236" t="s">
        <v>1407</v>
      </c>
      <c r="JG13" s="236" t="s">
        <v>145</v>
      </c>
      <c r="JH13" s="236" t="s">
        <v>74</v>
      </c>
      <c r="JI13" s="236" t="s">
        <v>841</v>
      </c>
      <c r="JK13" s="236" t="s">
        <v>1408</v>
      </c>
      <c r="JL13" s="236" t="s">
        <v>145</v>
      </c>
      <c r="JM13" s="236" t="s">
        <v>74</v>
      </c>
      <c r="JN13" s="236" t="s">
        <v>841</v>
      </c>
      <c r="JP13" s="236" t="s">
        <v>1409</v>
      </c>
      <c r="JQ13" s="236" t="s">
        <v>145</v>
      </c>
      <c r="JR13" s="236" t="s">
        <v>74</v>
      </c>
      <c r="JS13" s="236" t="s">
        <v>841</v>
      </c>
      <c r="JU13" s="294" t="s">
        <v>1410</v>
      </c>
      <c r="JV13" s="294" t="s">
        <v>52</v>
      </c>
      <c r="JW13" s="263" t="s">
        <v>70</v>
      </c>
      <c r="JX13" s="294" t="s">
        <v>1405</v>
      </c>
      <c r="JZ13" s="263" t="s">
        <v>1411</v>
      </c>
      <c r="KA13" s="263" t="s">
        <v>145</v>
      </c>
      <c r="KB13" s="263" t="s">
        <v>70</v>
      </c>
      <c r="KC13" s="263" t="s">
        <v>1083</v>
      </c>
      <c r="KE13" s="263" t="s">
        <v>1412</v>
      </c>
      <c r="KF13" s="263" t="s">
        <v>52</v>
      </c>
      <c r="KG13" s="263" t="s">
        <v>70</v>
      </c>
      <c r="KH13" s="263" t="s">
        <v>1083</v>
      </c>
      <c r="KJ13" s="263" t="s">
        <v>1413</v>
      </c>
      <c r="KK13" s="294" t="s">
        <v>52</v>
      </c>
      <c r="KL13" s="263" t="s">
        <v>74</v>
      </c>
      <c r="KM13" s="294" t="s">
        <v>5253</v>
      </c>
      <c r="KO13" s="214" t="s">
        <v>1414</v>
      </c>
      <c r="KP13" s="214" t="s">
        <v>600</v>
      </c>
      <c r="KQ13" s="214" t="s">
        <v>70</v>
      </c>
      <c r="KR13" s="214" t="s">
        <v>813</v>
      </c>
      <c r="KT13" s="22" t="s">
        <v>1415</v>
      </c>
      <c r="KU13" s="22" t="s">
        <v>145</v>
      </c>
      <c r="KV13" s="22" t="s">
        <v>70</v>
      </c>
      <c r="KW13" s="22" t="s">
        <v>67</v>
      </c>
      <c r="KY13" s="214" t="s">
        <v>1416</v>
      </c>
      <c r="KZ13" s="214" t="s">
        <v>600</v>
      </c>
      <c r="LA13" s="214" t="s">
        <v>74</v>
      </c>
      <c r="LB13" s="214" t="s">
        <v>812</v>
      </c>
      <c r="LD13" s="22" t="s">
        <v>1417</v>
      </c>
      <c r="LE13" s="22" t="s">
        <v>145</v>
      </c>
      <c r="LF13" s="22" t="s">
        <v>70</v>
      </c>
      <c r="LG13" s="22" t="s">
        <v>67</v>
      </c>
    </row>
    <row r="14" spans="1:319">
      <c r="A14" s="23" t="s">
        <v>1418</v>
      </c>
      <c r="B14" s="233" t="s">
        <v>52</v>
      </c>
      <c r="C14" s="23" t="s">
        <v>70</v>
      </c>
      <c r="D14" s="23" t="s">
        <v>168</v>
      </c>
      <c r="F14" s="23" t="s">
        <v>1419</v>
      </c>
      <c r="G14" s="23" t="str">
        <f>TVIIBE1M_CalPairs!$E11</f>
        <v>0x20</v>
      </c>
      <c r="H14" s="23" t="s">
        <v>70</v>
      </c>
      <c r="I14" s="23" t="str">
        <f>TVIIBE1M_CalPairs!$C11</f>
        <v>CPUSS_DP_CTL_ADDR2</v>
      </c>
      <c r="K14" s="218" t="s">
        <v>1420</v>
      </c>
      <c r="L14" s="218" t="s">
        <v>145</v>
      </c>
      <c r="M14" s="305" t="s">
        <v>72</v>
      </c>
      <c r="N14" s="312" t="s">
        <v>34098</v>
      </c>
      <c r="P14" s="216" t="s">
        <v>1421</v>
      </c>
      <c r="Q14" s="216" t="s">
        <v>52</v>
      </c>
      <c r="R14" s="216" t="s">
        <v>72</v>
      </c>
      <c r="S14" s="216" t="s">
        <v>34483</v>
      </c>
      <c r="U14" s="293" t="s">
        <v>1422</v>
      </c>
      <c r="V14" s="293" t="s">
        <v>145</v>
      </c>
      <c r="W14" s="293" t="s">
        <v>74</v>
      </c>
      <c r="X14" s="293" t="s">
        <v>656</v>
      </c>
      <c r="Z14" s="293" t="s">
        <v>1423</v>
      </c>
      <c r="AA14" s="293" t="s">
        <v>145</v>
      </c>
      <c r="AB14" s="293" t="s">
        <v>74</v>
      </c>
      <c r="AC14" s="293" t="s">
        <v>656</v>
      </c>
      <c r="AE14" s="293" t="s">
        <v>1424</v>
      </c>
      <c r="AF14" s="293" t="s">
        <v>145</v>
      </c>
      <c r="AG14" s="293" t="s">
        <v>74</v>
      </c>
      <c r="AH14" s="293" t="s">
        <v>656</v>
      </c>
      <c r="AJ14" s="293" t="s">
        <v>1425</v>
      </c>
      <c r="AK14" s="293" t="s">
        <v>145</v>
      </c>
      <c r="AL14" s="293" t="s">
        <v>74</v>
      </c>
      <c r="AM14" s="293" t="s">
        <v>656</v>
      </c>
      <c r="AO14" s="218" t="s">
        <v>1426</v>
      </c>
      <c r="AP14" s="218" t="s">
        <v>145</v>
      </c>
      <c r="AQ14" s="218" t="s">
        <v>75</v>
      </c>
      <c r="AR14" s="218" t="s">
        <v>34267</v>
      </c>
      <c r="AT14" s="22" t="s">
        <v>1427</v>
      </c>
      <c r="AU14" s="22" t="s">
        <v>145</v>
      </c>
      <c r="AV14" s="22" t="s">
        <v>70</v>
      </c>
      <c r="AW14" s="22" t="s">
        <v>67</v>
      </c>
      <c r="AY14" s="22" t="s">
        <v>1428</v>
      </c>
      <c r="AZ14" s="22" t="s">
        <v>145</v>
      </c>
      <c r="BA14" s="22" t="s">
        <v>70</v>
      </c>
      <c r="BB14" s="22" t="s">
        <v>67</v>
      </c>
      <c r="BD14" s="22" t="s">
        <v>1429</v>
      </c>
      <c r="BE14" s="22" t="s">
        <v>145</v>
      </c>
      <c r="BF14" s="22" t="s">
        <v>70</v>
      </c>
      <c r="BG14" s="22" t="s">
        <v>67</v>
      </c>
      <c r="BI14" s="339" t="s">
        <v>1430</v>
      </c>
      <c r="BJ14" s="339" t="s">
        <v>145</v>
      </c>
      <c r="BK14" s="339" t="s">
        <v>70</v>
      </c>
      <c r="BL14" s="339" t="s">
        <v>34397</v>
      </c>
      <c r="BN14" s="19" t="s">
        <v>1431</v>
      </c>
      <c r="BO14" s="19" t="s">
        <v>52</v>
      </c>
      <c r="BP14" s="20" t="s">
        <v>74</v>
      </c>
      <c r="BQ14" s="295" t="s">
        <v>958</v>
      </c>
      <c r="BS14" s="22" t="s">
        <v>1432</v>
      </c>
      <c r="BT14" s="22" t="s">
        <v>145</v>
      </c>
      <c r="BU14" s="22" t="s">
        <v>70</v>
      </c>
      <c r="BV14" s="214" t="s">
        <v>530</v>
      </c>
      <c r="BX14" s="22" t="s">
        <v>1433</v>
      </c>
      <c r="BY14" s="22" t="s">
        <v>145</v>
      </c>
      <c r="BZ14" s="22" t="s">
        <v>70</v>
      </c>
      <c r="CA14" s="214" t="s">
        <v>530</v>
      </c>
      <c r="CC14" s="214" t="s">
        <v>1434</v>
      </c>
      <c r="CD14" s="214" t="s">
        <v>148</v>
      </c>
      <c r="CE14" s="214" t="s">
        <v>70</v>
      </c>
      <c r="CF14" s="214" t="s">
        <v>891</v>
      </c>
      <c r="CH14" s="214" t="s">
        <v>1435</v>
      </c>
      <c r="CI14" s="214" t="s">
        <v>485</v>
      </c>
      <c r="CJ14" s="214" t="s">
        <v>70</v>
      </c>
      <c r="CK14" s="214" t="s">
        <v>475</v>
      </c>
      <c r="CM14" s="214" t="s">
        <v>1436</v>
      </c>
      <c r="CN14" s="214" t="s">
        <v>52</v>
      </c>
      <c r="CO14" s="214" t="s">
        <v>70</v>
      </c>
      <c r="CP14" s="214" t="s">
        <v>530</v>
      </c>
      <c r="CR14" s="214" t="s">
        <v>1437</v>
      </c>
      <c r="CS14" s="214" t="s">
        <v>500</v>
      </c>
      <c r="CT14" s="214" t="s">
        <v>70</v>
      </c>
      <c r="CU14" s="214" t="s">
        <v>530</v>
      </c>
      <c r="CW14" s="214" t="s">
        <v>1438</v>
      </c>
      <c r="CX14" s="214" t="s">
        <v>34540</v>
      </c>
      <c r="CY14" s="214" t="s">
        <v>70</v>
      </c>
      <c r="CZ14" s="214" t="s">
        <v>530</v>
      </c>
      <c r="DB14" s="214" t="s">
        <v>1439</v>
      </c>
      <c r="DC14" s="214" t="s">
        <v>164</v>
      </c>
      <c r="DD14" s="214" t="s">
        <v>70</v>
      </c>
      <c r="DE14" s="214" t="s">
        <v>530</v>
      </c>
      <c r="DG14" s="214" t="s">
        <v>1440</v>
      </c>
      <c r="DH14" s="214" t="s">
        <v>52</v>
      </c>
      <c r="DI14" s="214" t="s">
        <v>70</v>
      </c>
      <c r="DJ14" s="214" t="s">
        <v>530</v>
      </c>
      <c r="DL14" s="214" t="s">
        <v>1441</v>
      </c>
      <c r="DM14" s="214" t="s">
        <v>34568</v>
      </c>
      <c r="DN14" s="214" t="s">
        <v>70</v>
      </c>
      <c r="DO14" s="214" t="s">
        <v>530</v>
      </c>
      <c r="DQ14" s="214" t="s">
        <v>1442</v>
      </c>
      <c r="DR14" s="214" t="s">
        <v>103</v>
      </c>
      <c r="DS14" s="214" t="s">
        <v>70</v>
      </c>
      <c r="DT14" s="214" t="s">
        <v>530</v>
      </c>
      <c r="DV14" s="214" t="s">
        <v>1443</v>
      </c>
      <c r="DW14" s="214" t="s">
        <v>486</v>
      </c>
      <c r="DX14" s="214" t="s">
        <v>70</v>
      </c>
      <c r="DY14" s="214" t="s">
        <v>530</v>
      </c>
      <c r="EA14" s="214" t="s">
        <v>1444</v>
      </c>
      <c r="EB14" s="214" t="s">
        <v>164</v>
      </c>
      <c r="EC14" s="214" t="s">
        <v>70</v>
      </c>
      <c r="ED14" s="214" t="s">
        <v>530</v>
      </c>
      <c r="EF14" s="214" t="s">
        <v>1445</v>
      </c>
      <c r="EG14" s="214" t="s">
        <v>34607</v>
      </c>
      <c r="EH14" s="214" t="s">
        <v>70</v>
      </c>
      <c r="EI14" s="214" t="s">
        <v>530</v>
      </c>
      <c r="EK14" s="214" t="s">
        <v>1446</v>
      </c>
      <c r="EL14" s="214" t="s">
        <v>86</v>
      </c>
      <c r="EM14" s="214" t="s">
        <v>70</v>
      </c>
      <c r="EN14" s="214" t="s">
        <v>530</v>
      </c>
      <c r="EP14" s="214" t="s">
        <v>1447</v>
      </c>
      <c r="EQ14" s="214" t="s">
        <v>148</v>
      </c>
      <c r="ER14" s="214" t="s">
        <v>70</v>
      </c>
      <c r="ES14" s="214" t="s">
        <v>530</v>
      </c>
      <c r="EU14" s="214" t="s">
        <v>1448</v>
      </c>
      <c r="EV14" s="214" t="s">
        <v>145</v>
      </c>
      <c r="EW14" s="214" t="s">
        <v>70</v>
      </c>
      <c r="EX14" s="214" t="s">
        <v>530</v>
      </c>
      <c r="EZ14" s="214" t="s">
        <v>1449</v>
      </c>
      <c r="FA14" s="214" t="s">
        <v>765</v>
      </c>
      <c r="FB14" s="214" t="s">
        <v>70</v>
      </c>
      <c r="FC14" s="214" t="s">
        <v>530</v>
      </c>
      <c r="FE14" s="214" t="s">
        <v>1450</v>
      </c>
      <c r="FF14" s="214" t="s">
        <v>498</v>
      </c>
      <c r="FG14" s="214" t="s">
        <v>70</v>
      </c>
      <c r="FH14" s="214" t="s">
        <v>530</v>
      </c>
      <c r="FJ14" s="321" t="s">
        <v>1451</v>
      </c>
      <c r="FK14" s="214" t="s">
        <v>90</v>
      </c>
      <c r="FL14" s="214" t="s">
        <v>70</v>
      </c>
      <c r="FM14" s="214" t="s">
        <v>530</v>
      </c>
      <c r="FO14" s="321" t="s">
        <v>1452</v>
      </c>
      <c r="FP14" s="214" t="s">
        <v>925</v>
      </c>
      <c r="FQ14" s="214" t="s">
        <v>70</v>
      </c>
      <c r="FR14" s="214" t="s">
        <v>530</v>
      </c>
      <c r="FT14" s="321" t="s">
        <v>1453</v>
      </c>
      <c r="FU14" s="214" t="s">
        <v>604</v>
      </c>
      <c r="FV14" s="214" t="s">
        <v>70</v>
      </c>
      <c r="FW14" s="214" t="s">
        <v>530</v>
      </c>
      <c r="FY14" s="321" t="s">
        <v>1454</v>
      </c>
      <c r="FZ14" s="214" t="s">
        <v>52</v>
      </c>
      <c r="GA14" s="214" t="s">
        <v>70</v>
      </c>
      <c r="GB14" s="214" t="s">
        <v>530</v>
      </c>
      <c r="GD14" s="321" t="s">
        <v>1455</v>
      </c>
      <c r="GE14" s="214" t="s">
        <v>34618</v>
      </c>
      <c r="GF14" s="214" t="s">
        <v>70</v>
      </c>
      <c r="GG14" s="214" t="s">
        <v>530</v>
      </c>
      <c r="GI14" s="321" t="s">
        <v>1456</v>
      </c>
      <c r="GJ14" s="214" t="s">
        <v>163</v>
      </c>
      <c r="GK14" s="214" t="s">
        <v>70</v>
      </c>
      <c r="GL14" s="214" t="s">
        <v>530</v>
      </c>
      <c r="GN14" s="321" t="s">
        <v>1457</v>
      </c>
      <c r="GO14" s="214" t="s">
        <v>529</v>
      </c>
      <c r="GP14" s="214" t="s">
        <v>70</v>
      </c>
      <c r="GQ14" s="214" t="s">
        <v>530</v>
      </c>
      <c r="GS14" s="321" t="s">
        <v>1458</v>
      </c>
      <c r="GT14" s="214" t="s">
        <v>145</v>
      </c>
      <c r="GU14" s="214" t="s">
        <v>70</v>
      </c>
      <c r="GV14" s="214" t="s">
        <v>530</v>
      </c>
      <c r="GX14" s="214" t="s">
        <v>1459</v>
      </c>
      <c r="GY14" s="214" t="s">
        <v>52</v>
      </c>
      <c r="GZ14" s="214" t="s">
        <v>70</v>
      </c>
      <c r="HA14" s="214" t="s">
        <v>530</v>
      </c>
      <c r="HC14" s="214" t="s">
        <v>1460</v>
      </c>
      <c r="HD14" s="214" t="s">
        <v>52</v>
      </c>
      <c r="HE14" s="214" t="s">
        <v>70</v>
      </c>
      <c r="HF14" s="214" t="s">
        <v>530</v>
      </c>
      <c r="HH14" s="214" t="s">
        <v>1461</v>
      </c>
      <c r="HI14" s="214" t="s">
        <v>52</v>
      </c>
      <c r="HJ14" s="214" t="s">
        <v>70</v>
      </c>
      <c r="HK14" s="214" t="s">
        <v>530</v>
      </c>
      <c r="HM14" s="214" t="s">
        <v>1462</v>
      </c>
      <c r="HN14" s="214" t="s">
        <v>88</v>
      </c>
      <c r="HO14" s="214" t="s">
        <v>70</v>
      </c>
      <c r="HP14" s="214" t="s">
        <v>34121</v>
      </c>
      <c r="HR14" s="22" t="s">
        <v>1463</v>
      </c>
      <c r="HS14" s="22" t="s">
        <v>916</v>
      </c>
      <c r="HT14" s="22" t="s">
        <v>70</v>
      </c>
      <c r="HU14" s="214" t="s">
        <v>530</v>
      </c>
      <c r="HW14" s="22" t="s">
        <v>1464</v>
      </c>
      <c r="HX14" s="22" t="s">
        <v>529</v>
      </c>
      <c r="HY14" s="22" t="s">
        <v>70</v>
      </c>
      <c r="HZ14" s="214" t="s">
        <v>530</v>
      </c>
      <c r="IB14" s="22" t="s">
        <v>1465</v>
      </c>
      <c r="IC14" s="22" t="s">
        <v>34551</v>
      </c>
      <c r="ID14" s="22" t="s">
        <v>70</v>
      </c>
      <c r="IE14" s="214" t="s">
        <v>530</v>
      </c>
      <c r="IG14" s="22" t="s">
        <v>1466</v>
      </c>
      <c r="IH14" s="22" t="s">
        <v>497</v>
      </c>
      <c r="II14" s="22" t="s">
        <v>70</v>
      </c>
      <c r="IJ14" s="214" t="s">
        <v>530</v>
      </c>
      <c r="IL14" s="22" t="s">
        <v>1467</v>
      </c>
      <c r="IM14" s="22" t="s">
        <v>145</v>
      </c>
      <c r="IN14" s="22" t="s">
        <v>70</v>
      </c>
      <c r="IO14" s="214" t="s">
        <v>530</v>
      </c>
      <c r="IQ14" s="236" t="s">
        <v>1468</v>
      </c>
      <c r="IR14" s="236" t="s">
        <v>145</v>
      </c>
      <c r="IS14" s="236" t="s">
        <v>74</v>
      </c>
      <c r="IT14" s="236" t="s">
        <v>841</v>
      </c>
      <c r="IV14" s="236" t="s">
        <v>1469</v>
      </c>
      <c r="IW14" s="236" t="s">
        <v>145</v>
      </c>
      <c r="IX14" s="236" t="s">
        <v>74</v>
      </c>
      <c r="IY14" s="236" t="s">
        <v>841</v>
      </c>
      <c r="JA14" s="236" t="s">
        <v>1471</v>
      </c>
      <c r="JB14" s="236" t="s">
        <v>145</v>
      </c>
      <c r="JC14" s="236" t="s">
        <v>74</v>
      </c>
      <c r="JD14" s="236" t="s">
        <v>841</v>
      </c>
      <c r="JF14" s="236" t="s">
        <v>1472</v>
      </c>
      <c r="JG14" s="236" t="s">
        <v>145</v>
      </c>
      <c r="JH14" s="236" t="s">
        <v>74</v>
      </c>
      <c r="JI14" s="236" t="s">
        <v>841</v>
      </c>
      <c r="JK14" s="236" t="s">
        <v>1473</v>
      </c>
      <c r="JL14" s="236" t="s">
        <v>145</v>
      </c>
      <c r="JM14" s="236" t="s">
        <v>74</v>
      </c>
      <c r="JN14" s="236" t="s">
        <v>841</v>
      </c>
      <c r="JP14" s="236" t="s">
        <v>1474</v>
      </c>
      <c r="JQ14" s="236" t="s">
        <v>145</v>
      </c>
      <c r="JR14" s="236" t="s">
        <v>74</v>
      </c>
      <c r="JS14" s="236" t="s">
        <v>841</v>
      </c>
      <c r="JU14" s="294" t="s">
        <v>1475</v>
      </c>
      <c r="JV14" s="294" t="s">
        <v>52</v>
      </c>
      <c r="JW14" s="263" t="s">
        <v>70</v>
      </c>
      <c r="JX14" s="294" t="s">
        <v>1470</v>
      </c>
      <c r="JZ14" s="263" t="s">
        <v>1476</v>
      </c>
      <c r="KA14" s="263" t="s">
        <v>145</v>
      </c>
      <c r="KB14" s="263" t="s">
        <v>70</v>
      </c>
      <c r="KC14" s="263" t="s">
        <v>1083</v>
      </c>
      <c r="KE14" s="263" t="s">
        <v>1477</v>
      </c>
      <c r="KF14" s="263" t="s">
        <v>52</v>
      </c>
      <c r="KG14" s="263" t="s">
        <v>70</v>
      </c>
      <c r="KH14" s="263" t="s">
        <v>1083</v>
      </c>
      <c r="KJ14" s="263" t="s">
        <v>1478</v>
      </c>
      <c r="KK14" s="294" t="s">
        <v>52</v>
      </c>
      <c r="KL14" s="263" t="s">
        <v>74</v>
      </c>
      <c r="KM14" s="294" t="s">
        <v>5318</v>
      </c>
      <c r="KO14" s="214" t="s">
        <v>1479</v>
      </c>
      <c r="KP14" s="214" t="s">
        <v>502</v>
      </c>
      <c r="KQ14" s="214" t="s">
        <v>70</v>
      </c>
      <c r="KR14" s="214" t="s">
        <v>813</v>
      </c>
      <c r="KT14" s="22" t="s">
        <v>1480</v>
      </c>
      <c r="KU14" s="22" t="s">
        <v>145</v>
      </c>
      <c r="KV14" s="22" t="s">
        <v>70</v>
      </c>
      <c r="KW14" s="22" t="s">
        <v>67</v>
      </c>
      <c r="KY14" s="214" t="s">
        <v>1481</v>
      </c>
      <c r="KZ14" s="214" t="s">
        <v>502</v>
      </c>
      <c r="LA14" s="214" t="s">
        <v>74</v>
      </c>
      <c r="LB14" s="214" t="s">
        <v>812</v>
      </c>
      <c r="LD14" s="22" t="s">
        <v>1482</v>
      </c>
      <c r="LE14" s="22" t="s">
        <v>145</v>
      </c>
      <c r="LF14" s="22" t="s">
        <v>70</v>
      </c>
      <c r="LG14" s="22" t="s">
        <v>67</v>
      </c>
    </row>
    <row r="15" spans="1:319">
      <c r="A15" s="23" t="s">
        <v>1483</v>
      </c>
      <c r="B15" s="233" t="s">
        <v>601</v>
      </c>
      <c r="C15" s="23" t="s">
        <v>70</v>
      </c>
      <c r="D15" s="23" t="s">
        <v>168</v>
      </c>
      <c r="F15" s="23" t="s">
        <v>1484</v>
      </c>
      <c r="G15" s="23" t="str">
        <f>TVIIBE1M_CalPairs!$E12</f>
        <v>0x40</v>
      </c>
      <c r="H15" s="23" t="s">
        <v>70</v>
      </c>
      <c r="I15" s="23" t="str">
        <f>TVIIBE1M_CalPairs!$C12</f>
        <v>CPUSS_DP_CTL_ADDR3</v>
      </c>
      <c r="K15" s="218" t="s">
        <v>1485</v>
      </c>
      <c r="L15" s="218" t="s">
        <v>145</v>
      </c>
      <c r="M15" s="305" t="s">
        <v>72</v>
      </c>
      <c r="N15" s="312" t="s">
        <v>34098</v>
      </c>
      <c r="P15" s="216" t="s">
        <v>1486</v>
      </c>
      <c r="Q15" s="216" t="s">
        <v>52</v>
      </c>
      <c r="R15" s="216" t="s">
        <v>72</v>
      </c>
      <c r="S15" s="216" t="s">
        <v>10</v>
      </c>
      <c r="U15" s="293" t="s">
        <v>1487</v>
      </c>
      <c r="V15" s="293" t="s">
        <v>145</v>
      </c>
      <c r="W15" s="293" t="s">
        <v>74</v>
      </c>
      <c r="X15" s="293" t="s">
        <v>656</v>
      </c>
      <c r="Z15" s="293" t="s">
        <v>1488</v>
      </c>
      <c r="AA15" s="293" t="s">
        <v>145</v>
      </c>
      <c r="AB15" s="293" t="s">
        <v>74</v>
      </c>
      <c r="AC15" s="293" t="s">
        <v>656</v>
      </c>
      <c r="AE15" s="293" t="s">
        <v>1489</v>
      </c>
      <c r="AF15" s="293" t="s">
        <v>145</v>
      </c>
      <c r="AG15" s="293" t="s">
        <v>74</v>
      </c>
      <c r="AH15" s="293" t="s">
        <v>656</v>
      </c>
      <c r="AJ15" s="293" t="s">
        <v>1490</v>
      </c>
      <c r="AK15" s="293" t="s">
        <v>145</v>
      </c>
      <c r="AL15" s="293" t="s">
        <v>74</v>
      </c>
      <c r="AM15" s="293" t="s">
        <v>656</v>
      </c>
      <c r="AO15" s="218" t="s">
        <v>1491</v>
      </c>
      <c r="AP15" s="218" t="s">
        <v>145</v>
      </c>
      <c r="AQ15" s="218" t="s">
        <v>75</v>
      </c>
      <c r="AR15" s="218" t="s">
        <v>34268</v>
      </c>
      <c r="AT15" s="22" t="s">
        <v>1492</v>
      </c>
      <c r="AU15" s="22" t="s">
        <v>145</v>
      </c>
      <c r="AV15" s="22" t="s">
        <v>70</v>
      </c>
      <c r="AW15" s="22" t="s">
        <v>67</v>
      </c>
      <c r="AY15" s="22" t="s">
        <v>1493</v>
      </c>
      <c r="AZ15" s="22" t="s">
        <v>145</v>
      </c>
      <c r="BA15" s="22" t="s">
        <v>70</v>
      </c>
      <c r="BB15" s="22" t="s">
        <v>67</v>
      </c>
      <c r="BD15" s="22" t="s">
        <v>1494</v>
      </c>
      <c r="BE15" s="22" t="s">
        <v>145</v>
      </c>
      <c r="BF15" s="22" t="s">
        <v>70</v>
      </c>
      <c r="BG15" s="22" t="s">
        <v>67</v>
      </c>
      <c r="BI15" s="339" t="s">
        <v>1495</v>
      </c>
      <c r="BJ15" s="339" t="s">
        <v>145</v>
      </c>
      <c r="BK15" s="339" t="s">
        <v>70</v>
      </c>
      <c r="BL15" s="339" t="s">
        <v>34397</v>
      </c>
      <c r="BN15" s="19" t="s">
        <v>1496</v>
      </c>
      <c r="BO15" s="19" t="s">
        <v>52</v>
      </c>
      <c r="BP15" s="20" t="s">
        <v>74</v>
      </c>
      <c r="BQ15" s="295" t="s">
        <v>958</v>
      </c>
      <c r="BS15" s="22" t="s">
        <v>1497</v>
      </c>
      <c r="BT15" s="22" t="s">
        <v>145</v>
      </c>
      <c r="BU15" s="22" t="s">
        <v>70</v>
      </c>
      <c r="BV15" s="214" t="s">
        <v>530</v>
      </c>
      <c r="BX15" s="22" t="s">
        <v>1498</v>
      </c>
      <c r="BY15" s="22" t="s">
        <v>145</v>
      </c>
      <c r="BZ15" s="22" t="s">
        <v>70</v>
      </c>
      <c r="CA15" s="214" t="s">
        <v>530</v>
      </c>
      <c r="CC15" s="214" t="s">
        <v>1499</v>
      </c>
      <c r="CD15" s="214" t="s">
        <v>531</v>
      </c>
      <c r="CE15" s="214" t="s">
        <v>70</v>
      </c>
      <c r="CF15" s="214" t="s">
        <v>892</v>
      </c>
      <c r="CH15" s="214" t="s">
        <v>1500</v>
      </c>
      <c r="CI15" s="214" t="s">
        <v>34550</v>
      </c>
      <c r="CJ15" s="214" t="s">
        <v>70</v>
      </c>
      <c r="CK15" s="214" t="s">
        <v>476</v>
      </c>
      <c r="CM15" s="214" t="s">
        <v>1501</v>
      </c>
      <c r="CN15" s="214" t="s">
        <v>52</v>
      </c>
      <c r="CO15" s="214" t="s">
        <v>70</v>
      </c>
      <c r="CP15" s="214" t="s">
        <v>530</v>
      </c>
      <c r="CR15" s="214" t="s">
        <v>1502</v>
      </c>
      <c r="CS15" s="214" t="s">
        <v>468</v>
      </c>
      <c r="CT15" s="214" t="s">
        <v>70</v>
      </c>
      <c r="CU15" s="214" t="s">
        <v>530</v>
      </c>
      <c r="CW15" s="214" t="s">
        <v>1503</v>
      </c>
      <c r="CX15" s="214" t="s">
        <v>486</v>
      </c>
      <c r="CY15" s="214" t="s">
        <v>70</v>
      </c>
      <c r="CZ15" s="214" t="s">
        <v>530</v>
      </c>
      <c r="DB15" s="214" t="s">
        <v>1504</v>
      </c>
      <c r="DC15" s="214" t="s">
        <v>600</v>
      </c>
      <c r="DD15" s="214" t="s">
        <v>70</v>
      </c>
      <c r="DE15" s="214" t="s">
        <v>530</v>
      </c>
      <c r="DG15" s="214" t="s">
        <v>1505</v>
      </c>
      <c r="DH15" s="214" t="s">
        <v>468</v>
      </c>
      <c r="DI15" s="214" t="s">
        <v>70</v>
      </c>
      <c r="DJ15" s="214" t="s">
        <v>530</v>
      </c>
      <c r="DL15" s="214" t="s">
        <v>1506</v>
      </c>
      <c r="DM15" s="214" t="s">
        <v>490</v>
      </c>
      <c r="DN15" s="214" t="s">
        <v>70</v>
      </c>
      <c r="DO15" s="214" t="s">
        <v>530</v>
      </c>
      <c r="DQ15" s="214" t="s">
        <v>1507</v>
      </c>
      <c r="DR15" s="214" t="s">
        <v>950</v>
      </c>
      <c r="DS15" s="214" t="s">
        <v>70</v>
      </c>
      <c r="DT15" s="214" t="s">
        <v>530</v>
      </c>
      <c r="DV15" s="214" t="s">
        <v>1508</v>
      </c>
      <c r="DW15" s="214" t="s">
        <v>486</v>
      </c>
      <c r="DX15" s="214" t="s">
        <v>70</v>
      </c>
      <c r="DY15" s="214" t="s">
        <v>530</v>
      </c>
      <c r="EA15" s="214" t="s">
        <v>1509</v>
      </c>
      <c r="EB15" s="214" t="s">
        <v>34213</v>
      </c>
      <c r="EC15" s="214" t="s">
        <v>70</v>
      </c>
      <c r="ED15" s="214" t="s">
        <v>530</v>
      </c>
      <c r="EF15" s="214" t="s">
        <v>1510</v>
      </c>
      <c r="EG15" s="214" t="s">
        <v>34539</v>
      </c>
      <c r="EH15" s="214" t="s">
        <v>70</v>
      </c>
      <c r="EI15" s="214" t="s">
        <v>530</v>
      </c>
      <c r="EK15" s="214" t="s">
        <v>1511</v>
      </c>
      <c r="EL15" s="214" t="s">
        <v>52</v>
      </c>
      <c r="EM15" s="214" t="s">
        <v>70</v>
      </c>
      <c r="EN15" s="214" t="s">
        <v>530</v>
      </c>
      <c r="EP15" s="214" t="s">
        <v>1512</v>
      </c>
      <c r="EQ15" s="214" t="s">
        <v>919</v>
      </c>
      <c r="ER15" s="214" t="s">
        <v>70</v>
      </c>
      <c r="ES15" s="214" t="s">
        <v>530</v>
      </c>
      <c r="EU15" s="214" t="s">
        <v>1513</v>
      </c>
      <c r="EV15" s="214" t="s">
        <v>34541</v>
      </c>
      <c r="EW15" s="214" t="s">
        <v>70</v>
      </c>
      <c r="EX15" s="214" t="s">
        <v>530</v>
      </c>
      <c r="EZ15" s="214" t="s">
        <v>1514</v>
      </c>
      <c r="FA15" s="214" t="s">
        <v>484</v>
      </c>
      <c r="FB15" s="214" t="s">
        <v>70</v>
      </c>
      <c r="FC15" s="214" t="s">
        <v>530</v>
      </c>
      <c r="FE15" s="214" t="s">
        <v>1515</v>
      </c>
      <c r="FF15" s="214" t="s">
        <v>501</v>
      </c>
      <c r="FG15" s="214" t="s">
        <v>70</v>
      </c>
      <c r="FH15" s="214" t="s">
        <v>530</v>
      </c>
      <c r="FJ15" s="321" t="s">
        <v>1516</v>
      </c>
      <c r="FK15" s="214" t="s">
        <v>499</v>
      </c>
      <c r="FL15" s="214" t="s">
        <v>70</v>
      </c>
      <c r="FM15" s="214" t="s">
        <v>530</v>
      </c>
      <c r="FO15" s="321" t="s">
        <v>1517</v>
      </c>
      <c r="FP15" s="214" t="s">
        <v>52</v>
      </c>
      <c r="FQ15" s="214" t="s">
        <v>70</v>
      </c>
      <c r="FR15" s="214" t="s">
        <v>530</v>
      </c>
      <c r="FT15" s="321" t="s">
        <v>1518</v>
      </c>
      <c r="FU15" s="214" t="s">
        <v>146</v>
      </c>
      <c r="FV15" s="214" t="s">
        <v>70</v>
      </c>
      <c r="FW15" s="214" t="s">
        <v>530</v>
      </c>
      <c r="FY15" s="321" t="s">
        <v>1519</v>
      </c>
      <c r="FZ15" s="214" t="s">
        <v>52</v>
      </c>
      <c r="GA15" s="214" t="s">
        <v>70</v>
      </c>
      <c r="GB15" s="214" t="s">
        <v>530</v>
      </c>
      <c r="GD15" s="321" t="s">
        <v>1520</v>
      </c>
      <c r="GE15" s="214" t="s">
        <v>34542</v>
      </c>
      <c r="GF15" s="214" t="s">
        <v>70</v>
      </c>
      <c r="GG15" s="214" t="s">
        <v>530</v>
      </c>
      <c r="GI15" s="321" t="s">
        <v>1521</v>
      </c>
      <c r="GJ15" s="214" t="s">
        <v>502</v>
      </c>
      <c r="GK15" s="214" t="s">
        <v>70</v>
      </c>
      <c r="GL15" s="214" t="s">
        <v>530</v>
      </c>
      <c r="GN15" s="321" t="s">
        <v>1522</v>
      </c>
      <c r="GO15" s="214" t="s">
        <v>93</v>
      </c>
      <c r="GP15" s="214" t="s">
        <v>70</v>
      </c>
      <c r="GQ15" s="214" t="s">
        <v>530</v>
      </c>
      <c r="GS15" s="321" t="s">
        <v>1523</v>
      </c>
      <c r="GT15" s="214" t="s">
        <v>34541</v>
      </c>
      <c r="GU15" s="214" t="s">
        <v>70</v>
      </c>
      <c r="GV15" s="214" t="s">
        <v>530</v>
      </c>
      <c r="GX15" s="214" t="s">
        <v>1524</v>
      </c>
      <c r="GY15" s="214" t="s">
        <v>52</v>
      </c>
      <c r="GZ15" s="214" t="s">
        <v>70</v>
      </c>
      <c r="HA15" s="214" t="s">
        <v>530</v>
      </c>
      <c r="HC15" s="214" t="s">
        <v>1525</v>
      </c>
      <c r="HD15" s="214" t="s">
        <v>34558</v>
      </c>
      <c r="HE15" s="214" t="s">
        <v>70</v>
      </c>
      <c r="HF15" s="214" t="s">
        <v>530</v>
      </c>
      <c r="HH15" s="214" t="s">
        <v>1526</v>
      </c>
      <c r="HI15" s="214" t="s">
        <v>52</v>
      </c>
      <c r="HJ15" s="214" t="s">
        <v>70</v>
      </c>
      <c r="HK15" s="214" t="s">
        <v>530</v>
      </c>
      <c r="HM15" s="214" t="s">
        <v>1527</v>
      </c>
      <c r="HN15" s="214" t="s">
        <v>488</v>
      </c>
      <c r="HO15" s="214" t="s">
        <v>70</v>
      </c>
      <c r="HP15" s="214" t="s">
        <v>34121</v>
      </c>
      <c r="HR15" s="22" t="s">
        <v>1528</v>
      </c>
      <c r="HS15" s="22" t="s">
        <v>484</v>
      </c>
      <c r="HT15" s="22" t="s">
        <v>70</v>
      </c>
      <c r="HU15" s="214" t="s">
        <v>530</v>
      </c>
      <c r="HW15" s="22" t="s">
        <v>1529</v>
      </c>
      <c r="HX15" s="22" t="s">
        <v>206</v>
      </c>
      <c r="HY15" s="22" t="s">
        <v>70</v>
      </c>
      <c r="HZ15" s="214" t="s">
        <v>530</v>
      </c>
      <c r="IB15" s="22" t="s">
        <v>1530</v>
      </c>
      <c r="IC15" s="22" t="s">
        <v>486</v>
      </c>
      <c r="ID15" s="22" t="s">
        <v>70</v>
      </c>
      <c r="IE15" s="214" t="s">
        <v>530</v>
      </c>
      <c r="IG15" s="22" t="s">
        <v>1531</v>
      </c>
      <c r="IH15" s="22" t="s">
        <v>146</v>
      </c>
      <c r="II15" s="22" t="s">
        <v>70</v>
      </c>
      <c r="IJ15" s="214" t="s">
        <v>530</v>
      </c>
      <c r="IL15" s="22" t="s">
        <v>1532</v>
      </c>
      <c r="IM15" s="22" t="s">
        <v>145</v>
      </c>
      <c r="IN15" s="22" t="s">
        <v>70</v>
      </c>
      <c r="IO15" s="214" t="s">
        <v>530</v>
      </c>
      <c r="IQ15" s="236" t="s">
        <v>1533</v>
      </c>
      <c r="IR15" s="236" t="s">
        <v>145</v>
      </c>
      <c r="IS15" s="236" t="s">
        <v>74</v>
      </c>
      <c r="IT15" s="236" t="s">
        <v>841</v>
      </c>
      <c r="IV15" s="236" t="s">
        <v>1534</v>
      </c>
      <c r="IW15" s="236" t="s">
        <v>145</v>
      </c>
      <c r="IX15" s="236" t="s">
        <v>74</v>
      </c>
      <c r="IY15" s="236" t="s">
        <v>841</v>
      </c>
      <c r="JA15" s="236" t="s">
        <v>1536</v>
      </c>
      <c r="JB15" s="236" t="s">
        <v>145</v>
      </c>
      <c r="JC15" s="236" t="s">
        <v>74</v>
      </c>
      <c r="JD15" s="236" t="s">
        <v>841</v>
      </c>
      <c r="JF15" s="236" t="s">
        <v>1537</v>
      </c>
      <c r="JG15" s="236" t="s">
        <v>145</v>
      </c>
      <c r="JH15" s="236" t="s">
        <v>74</v>
      </c>
      <c r="JI15" s="236" t="s">
        <v>841</v>
      </c>
      <c r="JK15" s="236" t="s">
        <v>1538</v>
      </c>
      <c r="JL15" s="236" t="s">
        <v>145</v>
      </c>
      <c r="JM15" s="236" t="s">
        <v>74</v>
      </c>
      <c r="JN15" s="236" t="s">
        <v>841</v>
      </c>
      <c r="JP15" s="236" t="s">
        <v>1539</v>
      </c>
      <c r="JQ15" s="236" t="s">
        <v>145</v>
      </c>
      <c r="JR15" s="236" t="s">
        <v>74</v>
      </c>
      <c r="JS15" s="236" t="s">
        <v>841</v>
      </c>
      <c r="JU15" s="294" t="s">
        <v>1540</v>
      </c>
      <c r="JV15" s="294" t="s">
        <v>52</v>
      </c>
      <c r="JW15" s="263" t="s">
        <v>70</v>
      </c>
      <c r="JX15" s="294" t="s">
        <v>1535</v>
      </c>
      <c r="JZ15" s="263" t="s">
        <v>1541</v>
      </c>
      <c r="KA15" s="263" t="s">
        <v>145</v>
      </c>
      <c r="KB15" s="263" t="s">
        <v>70</v>
      </c>
      <c r="KC15" s="263" t="s">
        <v>1083</v>
      </c>
      <c r="KE15" s="263" t="s">
        <v>1542</v>
      </c>
      <c r="KF15" s="263" t="s">
        <v>52</v>
      </c>
      <c r="KG15" s="263" t="s">
        <v>70</v>
      </c>
      <c r="KH15" s="263" t="s">
        <v>1083</v>
      </c>
      <c r="KJ15" s="263" t="s">
        <v>1543</v>
      </c>
      <c r="KK15" s="263" t="s">
        <v>52</v>
      </c>
      <c r="KL15" s="263" t="s">
        <v>74</v>
      </c>
      <c r="KM15" s="263" t="s">
        <v>5383</v>
      </c>
      <c r="KO15" s="214" t="s">
        <v>1544</v>
      </c>
      <c r="KP15" s="214" t="s">
        <v>148</v>
      </c>
      <c r="KQ15" s="214" t="s">
        <v>70</v>
      </c>
      <c r="KR15" s="214" t="s">
        <v>813</v>
      </c>
      <c r="KT15" s="22" t="s">
        <v>1545</v>
      </c>
      <c r="KU15" s="22" t="s">
        <v>145</v>
      </c>
      <c r="KV15" s="22" t="s">
        <v>70</v>
      </c>
      <c r="KW15" s="22" t="s">
        <v>67</v>
      </c>
      <c r="KY15" s="214" t="s">
        <v>1546</v>
      </c>
      <c r="KZ15" s="214" t="s">
        <v>148</v>
      </c>
      <c r="LA15" s="214" t="s">
        <v>74</v>
      </c>
      <c r="LB15" s="214" t="s">
        <v>812</v>
      </c>
      <c r="LD15" s="22" t="s">
        <v>1547</v>
      </c>
      <c r="LE15" s="22" t="s">
        <v>145</v>
      </c>
      <c r="LF15" s="22" t="s">
        <v>70</v>
      </c>
      <c r="LG15" s="22" t="s">
        <v>67</v>
      </c>
    </row>
    <row r="16" spans="1:319">
      <c r="A16" s="23" t="s">
        <v>1548</v>
      </c>
      <c r="B16" s="23" t="s">
        <v>52</v>
      </c>
      <c r="C16" s="23" t="s">
        <v>70</v>
      </c>
      <c r="D16" s="23" t="s">
        <v>525</v>
      </c>
      <c r="F16" s="23" t="s">
        <v>1549</v>
      </c>
      <c r="G16" s="23" t="str">
        <f>TVIIBE1M_CalPairs!$E13</f>
        <v>0x00</v>
      </c>
      <c r="H16" s="233" t="s">
        <v>72</v>
      </c>
      <c r="I16" s="23" t="str">
        <f>TVIIBE1M_CalPairs!$C13</f>
        <v>CPUSS_DP_CTL_VAL0</v>
      </c>
      <c r="K16" s="218" t="s">
        <v>1550</v>
      </c>
      <c r="L16" s="218" t="s">
        <v>145</v>
      </c>
      <c r="M16" s="305" t="s">
        <v>72</v>
      </c>
      <c r="N16" s="312" t="s">
        <v>34098</v>
      </c>
      <c r="P16" s="216" t="s">
        <v>1551</v>
      </c>
      <c r="Q16" s="216" t="s">
        <v>52</v>
      </c>
      <c r="R16" s="216" t="s">
        <v>72</v>
      </c>
      <c r="S16" s="216" t="s">
        <v>577</v>
      </c>
      <c r="U16" s="293" t="s">
        <v>1552</v>
      </c>
      <c r="V16" s="293" t="s">
        <v>145</v>
      </c>
      <c r="W16" s="293" t="s">
        <v>74</v>
      </c>
      <c r="X16" s="293" t="s">
        <v>656</v>
      </c>
      <c r="Z16" s="293" t="s">
        <v>1553</v>
      </c>
      <c r="AA16" s="293" t="s">
        <v>145</v>
      </c>
      <c r="AB16" s="293" t="s">
        <v>74</v>
      </c>
      <c r="AC16" s="293" t="s">
        <v>656</v>
      </c>
      <c r="AE16" s="293" t="s">
        <v>1554</v>
      </c>
      <c r="AF16" s="293" t="s">
        <v>145</v>
      </c>
      <c r="AG16" s="293" t="s">
        <v>74</v>
      </c>
      <c r="AH16" s="293" t="s">
        <v>656</v>
      </c>
      <c r="AJ16" s="293" t="s">
        <v>1555</v>
      </c>
      <c r="AK16" s="293" t="s">
        <v>145</v>
      </c>
      <c r="AL16" s="293" t="s">
        <v>74</v>
      </c>
      <c r="AM16" s="293" t="s">
        <v>656</v>
      </c>
      <c r="AO16" s="218" t="s">
        <v>1556</v>
      </c>
      <c r="AP16" s="218" t="s">
        <v>145</v>
      </c>
      <c r="AQ16" s="218" t="s">
        <v>75</v>
      </c>
      <c r="AR16" s="218" t="s">
        <v>34269</v>
      </c>
      <c r="AT16" s="22" t="s">
        <v>1557</v>
      </c>
      <c r="AU16" s="22" t="s">
        <v>145</v>
      </c>
      <c r="AV16" s="22" t="s">
        <v>70</v>
      </c>
      <c r="AW16" s="22" t="s">
        <v>67</v>
      </c>
      <c r="AY16" s="22" t="s">
        <v>1558</v>
      </c>
      <c r="AZ16" s="22" t="s">
        <v>145</v>
      </c>
      <c r="BA16" s="22" t="s">
        <v>70</v>
      </c>
      <c r="BB16" s="22" t="s">
        <v>67</v>
      </c>
      <c r="BD16" s="22" t="s">
        <v>1559</v>
      </c>
      <c r="BE16" s="22" t="s">
        <v>145</v>
      </c>
      <c r="BF16" s="22" t="s">
        <v>70</v>
      </c>
      <c r="BG16" s="22" t="s">
        <v>67</v>
      </c>
      <c r="BI16" s="22" t="s">
        <v>1560</v>
      </c>
      <c r="BJ16" s="22" t="s">
        <v>145</v>
      </c>
      <c r="BK16" s="22" t="s">
        <v>70</v>
      </c>
      <c r="BL16" s="22" t="s">
        <v>67</v>
      </c>
      <c r="BN16" s="22" t="s">
        <v>1561</v>
      </c>
      <c r="BO16" s="22" t="s">
        <v>145</v>
      </c>
      <c r="BP16" s="22" t="s">
        <v>70</v>
      </c>
      <c r="BQ16" s="22" t="s">
        <v>67</v>
      </c>
      <c r="BS16" s="22" t="s">
        <v>1562</v>
      </c>
      <c r="BT16" s="22" t="s">
        <v>145</v>
      </c>
      <c r="BU16" s="22" t="s">
        <v>70</v>
      </c>
      <c r="BV16" s="214" t="s">
        <v>530</v>
      </c>
      <c r="BX16" s="22" t="s">
        <v>1563</v>
      </c>
      <c r="BY16" s="22" t="s">
        <v>145</v>
      </c>
      <c r="BZ16" s="22" t="s">
        <v>70</v>
      </c>
      <c r="CA16" s="214" t="s">
        <v>530</v>
      </c>
      <c r="CC16" s="214" t="s">
        <v>1564</v>
      </c>
      <c r="CD16" s="214" t="s">
        <v>52</v>
      </c>
      <c r="CE16" s="214" t="s">
        <v>70</v>
      </c>
      <c r="CF16" s="214" t="s">
        <v>355</v>
      </c>
      <c r="CH16" s="214" t="s">
        <v>1565</v>
      </c>
      <c r="CI16" s="214" t="s">
        <v>148</v>
      </c>
      <c r="CJ16" s="214" t="s">
        <v>70</v>
      </c>
      <c r="CK16" s="214" t="s">
        <v>477</v>
      </c>
      <c r="CM16" s="214" t="s">
        <v>1566</v>
      </c>
      <c r="CN16" s="214" t="s">
        <v>164</v>
      </c>
      <c r="CO16" s="214" t="s">
        <v>70</v>
      </c>
      <c r="CP16" s="214" t="s">
        <v>530</v>
      </c>
      <c r="CR16" s="214" t="s">
        <v>1567</v>
      </c>
      <c r="CS16" s="214" t="s">
        <v>146</v>
      </c>
      <c r="CT16" s="214" t="s">
        <v>70</v>
      </c>
      <c r="CU16" s="214" t="s">
        <v>530</v>
      </c>
      <c r="CW16" s="214" t="s">
        <v>1568</v>
      </c>
      <c r="CX16" s="214" t="s">
        <v>501</v>
      </c>
      <c r="CY16" s="214" t="s">
        <v>70</v>
      </c>
      <c r="CZ16" s="214" t="s">
        <v>530</v>
      </c>
      <c r="DB16" s="214" t="s">
        <v>1569</v>
      </c>
      <c r="DC16" s="214" t="s">
        <v>52</v>
      </c>
      <c r="DD16" s="214" t="s">
        <v>70</v>
      </c>
      <c r="DE16" s="214" t="s">
        <v>530</v>
      </c>
      <c r="DG16" s="214" t="s">
        <v>1570</v>
      </c>
      <c r="DH16" s="214" t="s">
        <v>87</v>
      </c>
      <c r="DI16" s="214" t="s">
        <v>70</v>
      </c>
      <c r="DJ16" s="214" t="s">
        <v>530</v>
      </c>
      <c r="DL16" s="214" t="s">
        <v>1571</v>
      </c>
      <c r="DM16" s="214" t="s">
        <v>87</v>
      </c>
      <c r="DN16" s="214" t="s">
        <v>70</v>
      </c>
      <c r="DO16" s="214" t="s">
        <v>530</v>
      </c>
      <c r="DQ16" s="214" t="s">
        <v>1572</v>
      </c>
      <c r="DR16" s="214" t="s">
        <v>34604</v>
      </c>
      <c r="DS16" s="214" t="s">
        <v>70</v>
      </c>
      <c r="DT16" s="214" t="s">
        <v>530</v>
      </c>
      <c r="DV16" s="214" t="s">
        <v>1573</v>
      </c>
      <c r="DW16" s="214" t="s">
        <v>488</v>
      </c>
      <c r="DX16" s="214" t="s">
        <v>70</v>
      </c>
      <c r="DY16" s="214" t="s">
        <v>530</v>
      </c>
      <c r="EA16" s="214" t="s">
        <v>1574</v>
      </c>
      <c r="EB16" s="214" t="s">
        <v>34607</v>
      </c>
      <c r="EC16" s="214" t="s">
        <v>70</v>
      </c>
      <c r="ED16" s="214" t="s">
        <v>530</v>
      </c>
      <c r="EF16" s="214" t="s">
        <v>1575</v>
      </c>
      <c r="EG16" s="214" t="s">
        <v>148</v>
      </c>
      <c r="EH16" s="214" t="s">
        <v>70</v>
      </c>
      <c r="EI16" s="214" t="s">
        <v>530</v>
      </c>
      <c r="EK16" s="214" t="s">
        <v>1576</v>
      </c>
      <c r="EL16" s="214" t="s">
        <v>919</v>
      </c>
      <c r="EM16" s="214" t="s">
        <v>70</v>
      </c>
      <c r="EN16" s="214" t="s">
        <v>530</v>
      </c>
      <c r="EP16" s="214" t="s">
        <v>1577</v>
      </c>
      <c r="EQ16" s="214" t="s">
        <v>484</v>
      </c>
      <c r="ER16" s="214" t="s">
        <v>70</v>
      </c>
      <c r="ES16" s="214" t="s">
        <v>530</v>
      </c>
      <c r="EU16" s="214" t="s">
        <v>1578</v>
      </c>
      <c r="EV16" s="214" t="s">
        <v>915</v>
      </c>
      <c r="EW16" s="214" t="s">
        <v>70</v>
      </c>
      <c r="EX16" s="214" t="s">
        <v>530</v>
      </c>
      <c r="EZ16" s="214" t="s">
        <v>1579</v>
      </c>
      <c r="FA16" s="214" t="s">
        <v>955</v>
      </c>
      <c r="FB16" s="214" t="s">
        <v>70</v>
      </c>
      <c r="FC16" s="214" t="s">
        <v>530</v>
      </c>
      <c r="FE16" s="214" t="s">
        <v>1580</v>
      </c>
      <c r="FF16" s="214" t="s">
        <v>34539</v>
      </c>
      <c r="FG16" s="214" t="s">
        <v>70</v>
      </c>
      <c r="FH16" s="214" t="s">
        <v>530</v>
      </c>
      <c r="FJ16" s="321" t="s">
        <v>1581</v>
      </c>
      <c r="FK16" s="214" t="s">
        <v>92</v>
      </c>
      <c r="FL16" s="214" t="s">
        <v>70</v>
      </c>
      <c r="FM16" s="214" t="s">
        <v>530</v>
      </c>
      <c r="FO16" s="321" t="s">
        <v>1582</v>
      </c>
      <c r="FP16" s="214" t="s">
        <v>468</v>
      </c>
      <c r="FQ16" s="214" t="s">
        <v>70</v>
      </c>
      <c r="FR16" s="214" t="s">
        <v>530</v>
      </c>
      <c r="FT16" s="321" t="s">
        <v>1583</v>
      </c>
      <c r="FU16" s="214" t="s">
        <v>90</v>
      </c>
      <c r="FV16" s="214" t="s">
        <v>70</v>
      </c>
      <c r="FW16" s="214" t="s">
        <v>530</v>
      </c>
      <c r="FY16" s="321" t="s">
        <v>1584</v>
      </c>
      <c r="FZ16" s="214" t="s">
        <v>163</v>
      </c>
      <c r="GA16" s="214" t="s">
        <v>70</v>
      </c>
      <c r="GB16" s="214" t="s">
        <v>530</v>
      </c>
      <c r="GD16" s="321" t="s">
        <v>1585</v>
      </c>
      <c r="GE16" s="214" t="s">
        <v>149</v>
      </c>
      <c r="GF16" s="214" t="s">
        <v>70</v>
      </c>
      <c r="GG16" s="214" t="s">
        <v>530</v>
      </c>
      <c r="GI16" s="321" t="s">
        <v>1586</v>
      </c>
      <c r="GJ16" s="214" t="s">
        <v>52</v>
      </c>
      <c r="GK16" s="214" t="s">
        <v>70</v>
      </c>
      <c r="GL16" s="214" t="s">
        <v>530</v>
      </c>
      <c r="GN16" s="321" t="s">
        <v>1587</v>
      </c>
      <c r="GO16" s="214" t="s">
        <v>492</v>
      </c>
      <c r="GP16" s="214" t="s">
        <v>70</v>
      </c>
      <c r="GQ16" s="214" t="s">
        <v>530</v>
      </c>
      <c r="GS16" s="321" t="s">
        <v>1588</v>
      </c>
      <c r="GT16" s="214" t="s">
        <v>34625</v>
      </c>
      <c r="GU16" s="214" t="s">
        <v>70</v>
      </c>
      <c r="GV16" s="214" t="s">
        <v>530</v>
      </c>
      <c r="GX16" s="214" t="s">
        <v>1589</v>
      </c>
      <c r="GY16" s="214" t="s">
        <v>52</v>
      </c>
      <c r="GZ16" s="214" t="s">
        <v>70</v>
      </c>
      <c r="HA16" s="214" t="s">
        <v>530</v>
      </c>
      <c r="HC16" s="214" t="s">
        <v>1590</v>
      </c>
      <c r="HD16" s="214" t="s">
        <v>52</v>
      </c>
      <c r="HE16" s="214" t="s">
        <v>70</v>
      </c>
      <c r="HF16" s="214" t="s">
        <v>530</v>
      </c>
      <c r="HH16" s="214" t="s">
        <v>1591</v>
      </c>
      <c r="HI16" s="214" t="s">
        <v>498</v>
      </c>
      <c r="HJ16" s="214" t="s">
        <v>70</v>
      </c>
      <c r="HK16" s="214" t="s">
        <v>530</v>
      </c>
      <c r="HM16" s="214" t="s">
        <v>1592</v>
      </c>
      <c r="HN16" s="214" t="s">
        <v>52</v>
      </c>
      <c r="HO16" s="214" t="s">
        <v>70</v>
      </c>
      <c r="HP16" s="214" t="s">
        <v>34121</v>
      </c>
      <c r="HR16" s="22" t="s">
        <v>1593</v>
      </c>
      <c r="HS16" s="22" t="s">
        <v>34557</v>
      </c>
      <c r="HT16" s="22" t="s">
        <v>70</v>
      </c>
      <c r="HU16" s="214" t="s">
        <v>530</v>
      </c>
      <c r="HW16" s="22" t="s">
        <v>1594</v>
      </c>
      <c r="HX16" s="22" t="s">
        <v>52</v>
      </c>
      <c r="HY16" s="22" t="s">
        <v>70</v>
      </c>
      <c r="HZ16" s="214" t="s">
        <v>530</v>
      </c>
      <c r="IB16" s="22" t="s">
        <v>1595</v>
      </c>
      <c r="IC16" s="22" t="s">
        <v>34555</v>
      </c>
      <c r="ID16" s="22" t="s">
        <v>70</v>
      </c>
      <c r="IE16" s="214" t="s">
        <v>530</v>
      </c>
      <c r="IG16" s="22" t="s">
        <v>1596</v>
      </c>
      <c r="IH16" s="22" t="s">
        <v>52</v>
      </c>
      <c r="II16" s="22" t="s">
        <v>70</v>
      </c>
      <c r="IJ16" s="214" t="s">
        <v>530</v>
      </c>
      <c r="IL16" s="22" t="s">
        <v>1597</v>
      </c>
      <c r="IM16" s="22" t="s">
        <v>145</v>
      </c>
      <c r="IN16" s="22" t="s">
        <v>70</v>
      </c>
      <c r="IO16" s="214" t="s">
        <v>530</v>
      </c>
      <c r="IQ16" s="236" t="s">
        <v>1598</v>
      </c>
      <c r="IR16" s="236" t="s">
        <v>145</v>
      </c>
      <c r="IS16" s="236" t="s">
        <v>74</v>
      </c>
      <c r="IT16" s="236" t="s">
        <v>841</v>
      </c>
      <c r="IV16" s="236" t="s">
        <v>1599</v>
      </c>
      <c r="IW16" s="236" t="s">
        <v>145</v>
      </c>
      <c r="IX16" s="236" t="s">
        <v>74</v>
      </c>
      <c r="IY16" s="236" t="s">
        <v>841</v>
      </c>
      <c r="JA16" s="236" t="s">
        <v>1600</v>
      </c>
      <c r="JB16" s="236" t="s">
        <v>145</v>
      </c>
      <c r="JC16" s="236" t="s">
        <v>74</v>
      </c>
      <c r="JD16" s="236" t="s">
        <v>841</v>
      </c>
      <c r="JF16" s="236" t="s">
        <v>1601</v>
      </c>
      <c r="JG16" s="236" t="s">
        <v>145</v>
      </c>
      <c r="JH16" s="236" t="s">
        <v>74</v>
      </c>
      <c r="JI16" s="236" t="s">
        <v>841</v>
      </c>
      <c r="JK16" s="236" t="s">
        <v>1602</v>
      </c>
      <c r="JL16" s="236" t="s">
        <v>145</v>
      </c>
      <c r="JM16" s="236" t="s">
        <v>74</v>
      </c>
      <c r="JN16" s="236" t="s">
        <v>841</v>
      </c>
      <c r="JP16" s="236" t="s">
        <v>1603</v>
      </c>
      <c r="JQ16" s="236" t="s">
        <v>145</v>
      </c>
      <c r="JR16" s="236" t="s">
        <v>74</v>
      </c>
      <c r="JS16" s="236" t="s">
        <v>841</v>
      </c>
      <c r="JU16" s="294" t="s">
        <v>1604</v>
      </c>
      <c r="JV16" s="294" t="str">
        <f>TVIIBE1M_CalPairs!$R10</f>
        <v>0x00</v>
      </c>
      <c r="JW16" s="218" t="s">
        <v>75</v>
      </c>
      <c r="JX16" s="294" t="str">
        <f>TVIIBE1M_CalPairs!$Q10</f>
        <v>SMPU15_ADDR0_B0</v>
      </c>
      <c r="JZ16" s="263" t="s">
        <v>1605</v>
      </c>
      <c r="KA16" s="263" t="s">
        <v>145</v>
      </c>
      <c r="KB16" s="263" t="s">
        <v>70</v>
      </c>
      <c r="KC16" s="263" t="s">
        <v>1083</v>
      </c>
      <c r="KE16" s="263" t="s">
        <v>1606</v>
      </c>
      <c r="KF16" s="263" t="s">
        <v>52</v>
      </c>
      <c r="KG16" s="263" t="s">
        <v>70</v>
      </c>
      <c r="KH16" s="263" t="s">
        <v>1083</v>
      </c>
      <c r="KJ16" s="263" t="s">
        <v>1607</v>
      </c>
      <c r="KK16" s="263" t="s">
        <v>148</v>
      </c>
      <c r="KL16" s="263" t="s">
        <v>74</v>
      </c>
      <c r="KM16" s="263" t="s">
        <v>5448</v>
      </c>
      <c r="KO16" s="214" t="s">
        <v>1608</v>
      </c>
      <c r="KP16" s="214" t="s">
        <v>145</v>
      </c>
      <c r="KQ16" s="214" t="s">
        <v>70</v>
      </c>
      <c r="KR16" s="214" t="s">
        <v>67</v>
      </c>
      <c r="KT16" s="22" t="s">
        <v>1609</v>
      </c>
      <c r="KU16" s="22" t="s">
        <v>145</v>
      </c>
      <c r="KV16" s="22" t="s">
        <v>70</v>
      </c>
      <c r="KW16" s="22" t="s">
        <v>67</v>
      </c>
      <c r="KY16" s="214" t="s">
        <v>1610</v>
      </c>
      <c r="KZ16" s="214" t="s">
        <v>52</v>
      </c>
      <c r="LA16" s="214" t="s">
        <v>74</v>
      </c>
      <c r="LB16" s="214" t="s">
        <v>818</v>
      </c>
      <c r="LD16" s="22" t="s">
        <v>1611</v>
      </c>
      <c r="LE16" s="22" t="s">
        <v>145</v>
      </c>
      <c r="LF16" s="22" t="s">
        <v>70</v>
      </c>
      <c r="LG16" s="22" t="s">
        <v>67</v>
      </c>
    </row>
    <row r="17" spans="1:319">
      <c r="A17" s="23" t="s">
        <v>1612</v>
      </c>
      <c r="B17" s="23" t="s">
        <v>52</v>
      </c>
      <c r="C17" s="23" t="s">
        <v>70</v>
      </c>
      <c r="D17" s="23" t="s">
        <v>795</v>
      </c>
      <c r="F17" s="23" t="s">
        <v>1613</v>
      </c>
      <c r="G17" s="23" t="str">
        <f>TVIIBE1M_CalPairs!$E14</f>
        <v>0x00</v>
      </c>
      <c r="H17" s="233" t="s">
        <v>72</v>
      </c>
      <c r="I17" s="23" t="str">
        <f>TVIIBE1M_CalPairs!$C14</f>
        <v>CPUSS_DP_CTL_VAL1</v>
      </c>
      <c r="K17" s="218" t="s">
        <v>1614</v>
      </c>
      <c r="L17" s="218" t="s">
        <v>145</v>
      </c>
      <c r="M17" s="305" t="s">
        <v>72</v>
      </c>
      <c r="N17" s="312" t="s">
        <v>34098</v>
      </c>
      <c r="P17" s="216" t="s">
        <v>1615</v>
      </c>
      <c r="Q17" s="216" t="s">
        <v>52</v>
      </c>
      <c r="R17" s="216" t="s">
        <v>72</v>
      </c>
      <c r="S17" s="216" t="s">
        <v>578</v>
      </c>
      <c r="U17" s="293" t="s">
        <v>1616</v>
      </c>
      <c r="V17" s="293" t="s">
        <v>145</v>
      </c>
      <c r="W17" s="293" t="s">
        <v>74</v>
      </c>
      <c r="X17" s="293" t="s">
        <v>656</v>
      </c>
      <c r="Z17" s="293" t="s">
        <v>1617</v>
      </c>
      <c r="AA17" s="293" t="s">
        <v>145</v>
      </c>
      <c r="AB17" s="293" t="s">
        <v>74</v>
      </c>
      <c r="AC17" s="293" t="s">
        <v>656</v>
      </c>
      <c r="AE17" s="293" t="s">
        <v>1618</v>
      </c>
      <c r="AF17" s="293" t="s">
        <v>145</v>
      </c>
      <c r="AG17" s="293" t="s">
        <v>74</v>
      </c>
      <c r="AH17" s="293" t="s">
        <v>656</v>
      </c>
      <c r="AJ17" s="293" t="s">
        <v>1619</v>
      </c>
      <c r="AK17" s="293" t="s">
        <v>145</v>
      </c>
      <c r="AL17" s="293" t="s">
        <v>74</v>
      </c>
      <c r="AM17" s="293" t="s">
        <v>656</v>
      </c>
      <c r="AO17" s="218" t="s">
        <v>1620</v>
      </c>
      <c r="AP17" s="218" t="s">
        <v>145</v>
      </c>
      <c r="AQ17" s="218" t="s">
        <v>75</v>
      </c>
      <c r="AR17" s="218" t="s">
        <v>34270</v>
      </c>
      <c r="AT17" s="22" t="s">
        <v>1621</v>
      </c>
      <c r="AU17" s="22" t="s">
        <v>145</v>
      </c>
      <c r="AV17" s="22" t="s">
        <v>70</v>
      </c>
      <c r="AW17" s="22" t="s">
        <v>67</v>
      </c>
      <c r="AY17" s="22" t="s">
        <v>1622</v>
      </c>
      <c r="AZ17" s="22" t="s">
        <v>145</v>
      </c>
      <c r="BA17" s="22" t="s">
        <v>70</v>
      </c>
      <c r="BB17" s="22" t="s">
        <v>67</v>
      </c>
      <c r="BD17" s="22" t="s">
        <v>1623</v>
      </c>
      <c r="BE17" s="22" t="s">
        <v>145</v>
      </c>
      <c r="BF17" s="22" t="s">
        <v>70</v>
      </c>
      <c r="BG17" s="22" t="s">
        <v>67</v>
      </c>
      <c r="BI17" s="22" t="s">
        <v>1624</v>
      </c>
      <c r="BJ17" s="22" t="s">
        <v>145</v>
      </c>
      <c r="BK17" s="22" t="s">
        <v>70</v>
      </c>
      <c r="BL17" s="22" t="s">
        <v>67</v>
      </c>
      <c r="BN17" s="22" t="s">
        <v>1625</v>
      </c>
      <c r="BO17" s="22" t="s">
        <v>145</v>
      </c>
      <c r="BP17" s="22" t="s">
        <v>70</v>
      </c>
      <c r="BQ17" s="22" t="s">
        <v>67</v>
      </c>
      <c r="BS17" s="22" t="s">
        <v>1626</v>
      </c>
      <c r="BT17" s="22" t="s">
        <v>145</v>
      </c>
      <c r="BU17" s="22" t="s">
        <v>70</v>
      </c>
      <c r="BV17" s="214" t="s">
        <v>530</v>
      </c>
      <c r="BX17" s="22" t="s">
        <v>1627</v>
      </c>
      <c r="BY17" s="22" t="s">
        <v>145</v>
      </c>
      <c r="BZ17" s="22" t="s">
        <v>70</v>
      </c>
      <c r="CA17" s="214" t="s">
        <v>530</v>
      </c>
      <c r="CC17" s="214" t="s">
        <v>1628</v>
      </c>
      <c r="CD17" s="214" t="s">
        <v>52</v>
      </c>
      <c r="CE17" s="214" t="s">
        <v>70</v>
      </c>
      <c r="CF17" s="214" t="s">
        <v>356</v>
      </c>
      <c r="CH17" s="214" t="s">
        <v>1629</v>
      </c>
      <c r="CI17" s="214" t="s">
        <v>920</v>
      </c>
      <c r="CJ17" s="214" t="s">
        <v>70</v>
      </c>
      <c r="CK17" s="214" t="s">
        <v>478</v>
      </c>
      <c r="CM17" s="214" t="s">
        <v>1630</v>
      </c>
      <c r="CN17" s="214" t="s">
        <v>34565</v>
      </c>
      <c r="CO17" s="214" t="s">
        <v>70</v>
      </c>
      <c r="CP17" s="214" t="s">
        <v>530</v>
      </c>
      <c r="CR17" s="214" t="s">
        <v>1631</v>
      </c>
      <c r="CS17" s="214" t="s">
        <v>149</v>
      </c>
      <c r="CT17" s="214" t="s">
        <v>70</v>
      </c>
      <c r="CU17" s="214" t="s">
        <v>530</v>
      </c>
      <c r="CW17" s="214" t="s">
        <v>1632</v>
      </c>
      <c r="CX17" s="214" t="s">
        <v>488</v>
      </c>
      <c r="CY17" s="214" t="s">
        <v>70</v>
      </c>
      <c r="CZ17" s="214" t="s">
        <v>530</v>
      </c>
      <c r="DB17" s="214" t="s">
        <v>1633</v>
      </c>
      <c r="DC17" s="214" t="s">
        <v>86</v>
      </c>
      <c r="DD17" s="214" t="s">
        <v>70</v>
      </c>
      <c r="DE17" s="214" t="s">
        <v>530</v>
      </c>
      <c r="DG17" s="214" t="s">
        <v>1634</v>
      </c>
      <c r="DH17" s="214" t="s">
        <v>52</v>
      </c>
      <c r="DI17" s="214" t="s">
        <v>70</v>
      </c>
      <c r="DJ17" s="214" t="s">
        <v>530</v>
      </c>
      <c r="DL17" s="214" t="s">
        <v>1635</v>
      </c>
      <c r="DM17" s="214" t="s">
        <v>653</v>
      </c>
      <c r="DN17" s="214" t="s">
        <v>70</v>
      </c>
      <c r="DO17" s="214" t="s">
        <v>530</v>
      </c>
      <c r="DQ17" s="214" t="s">
        <v>1636</v>
      </c>
      <c r="DR17" s="214" t="s">
        <v>491</v>
      </c>
      <c r="DS17" s="214" t="s">
        <v>70</v>
      </c>
      <c r="DT17" s="214" t="s">
        <v>530</v>
      </c>
      <c r="DV17" s="214" t="s">
        <v>1637</v>
      </c>
      <c r="DW17" s="214" t="s">
        <v>926</v>
      </c>
      <c r="DX17" s="214" t="s">
        <v>70</v>
      </c>
      <c r="DY17" s="214" t="s">
        <v>530</v>
      </c>
      <c r="EA17" s="214" t="s">
        <v>1638</v>
      </c>
      <c r="EB17" s="214" t="s">
        <v>34539</v>
      </c>
      <c r="EC17" s="214" t="s">
        <v>70</v>
      </c>
      <c r="ED17" s="214" t="s">
        <v>530</v>
      </c>
      <c r="EF17" s="214" t="s">
        <v>1639</v>
      </c>
      <c r="EG17" s="214" t="s">
        <v>34641</v>
      </c>
      <c r="EH17" s="214" t="s">
        <v>70</v>
      </c>
      <c r="EI17" s="214" t="s">
        <v>530</v>
      </c>
      <c r="EK17" s="214" t="s">
        <v>1640</v>
      </c>
      <c r="EL17" s="214" t="s">
        <v>86</v>
      </c>
      <c r="EM17" s="214" t="s">
        <v>70</v>
      </c>
      <c r="EN17" s="214" t="s">
        <v>530</v>
      </c>
      <c r="EP17" s="214" t="s">
        <v>1641</v>
      </c>
      <c r="EQ17" s="214" t="s">
        <v>926</v>
      </c>
      <c r="ER17" s="214" t="s">
        <v>70</v>
      </c>
      <c r="ES17" s="214" t="s">
        <v>530</v>
      </c>
      <c r="EU17" s="214" t="s">
        <v>1642</v>
      </c>
      <c r="EV17" s="214" t="s">
        <v>145</v>
      </c>
      <c r="EW17" s="214" t="s">
        <v>70</v>
      </c>
      <c r="EX17" s="214" t="s">
        <v>530</v>
      </c>
      <c r="EZ17" s="214" t="s">
        <v>1643</v>
      </c>
      <c r="FA17" s="214" t="s">
        <v>487</v>
      </c>
      <c r="FB17" s="214" t="s">
        <v>70</v>
      </c>
      <c r="FC17" s="214" t="s">
        <v>530</v>
      </c>
      <c r="FE17" s="214" t="s">
        <v>1644</v>
      </c>
      <c r="FF17" s="214" t="s">
        <v>34542</v>
      </c>
      <c r="FG17" s="214" t="s">
        <v>70</v>
      </c>
      <c r="FH17" s="214" t="s">
        <v>530</v>
      </c>
      <c r="FJ17" s="321" t="s">
        <v>1645</v>
      </c>
      <c r="FK17" s="214" t="s">
        <v>500</v>
      </c>
      <c r="FL17" s="214" t="s">
        <v>70</v>
      </c>
      <c r="FM17" s="214" t="s">
        <v>530</v>
      </c>
      <c r="FO17" s="321" t="s">
        <v>1646</v>
      </c>
      <c r="FP17" s="214" t="s">
        <v>52</v>
      </c>
      <c r="FQ17" s="214" t="s">
        <v>70</v>
      </c>
      <c r="FR17" s="214" t="s">
        <v>530</v>
      </c>
      <c r="FT17" s="321" t="s">
        <v>1647</v>
      </c>
      <c r="FU17" s="214" t="s">
        <v>655</v>
      </c>
      <c r="FV17" s="214" t="s">
        <v>70</v>
      </c>
      <c r="FW17" s="214" t="s">
        <v>530</v>
      </c>
      <c r="FY17" s="321" t="s">
        <v>1648</v>
      </c>
      <c r="FZ17" s="214" t="s">
        <v>52</v>
      </c>
      <c r="GA17" s="214" t="s">
        <v>70</v>
      </c>
      <c r="GB17" s="214" t="s">
        <v>530</v>
      </c>
      <c r="GD17" s="321" t="s">
        <v>1649</v>
      </c>
      <c r="GE17" s="214" t="s">
        <v>34546</v>
      </c>
      <c r="GF17" s="214" t="s">
        <v>70</v>
      </c>
      <c r="GG17" s="214" t="s">
        <v>530</v>
      </c>
      <c r="GI17" s="321" t="s">
        <v>1650</v>
      </c>
      <c r="GJ17" s="214" t="s">
        <v>955</v>
      </c>
      <c r="GK17" s="214" t="s">
        <v>70</v>
      </c>
      <c r="GL17" s="214" t="s">
        <v>530</v>
      </c>
      <c r="GN17" s="321" t="s">
        <v>1651</v>
      </c>
      <c r="GO17" s="214" t="s">
        <v>484</v>
      </c>
      <c r="GP17" s="214" t="s">
        <v>70</v>
      </c>
      <c r="GQ17" s="214" t="s">
        <v>530</v>
      </c>
      <c r="GS17" s="321" t="s">
        <v>1652</v>
      </c>
      <c r="GT17" s="214" t="s">
        <v>145</v>
      </c>
      <c r="GU17" s="214" t="s">
        <v>70</v>
      </c>
      <c r="GV17" s="214" t="s">
        <v>530</v>
      </c>
      <c r="GX17" s="214" t="s">
        <v>1653</v>
      </c>
      <c r="GY17" s="214" t="s">
        <v>52</v>
      </c>
      <c r="GZ17" s="214" t="s">
        <v>70</v>
      </c>
      <c r="HA17" s="214" t="s">
        <v>530</v>
      </c>
      <c r="HC17" s="214" t="s">
        <v>1654</v>
      </c>
      <c r="HD17" s="214" t="s">
        <v>467</v>
      </c>
      <c r="HE17" s="214" t="s">
        <v>70</v>
      </c>
      <c r="HF17" s="214" t="s">
        <v>530</v>
      </c>
      <c r="HH17" s="214" t="s">
        <v>1655</v>
      </c>
      <c r="HI17" s="214" t="s">
        <v>484</v>
      </c>
      <c r="HJ17" s="214" t="s">
        <v>70</v>
      </c>
      <c r="HK17" s="214" t="s">
        <v>530</v>
      </c>
      <c r="HM17" s="214" t="s">
        <v>1656</v>
      </c>
      <c r="HN17" s="214" t="s">
        <v>468</v>
      </c>
      <c r="HO17" s="214" t="s">
        <v>70</v>
      </c>
      <c r="HP17" s="214" t="s">
        <v>34121</v>
      </c>
      <c r="HR17" s="22" t="s">
        <v>1657</v>
      </c>
      <c r="HS17" s="22" t="s">
        <v>798</v>
      </c>
      <c r="HT17" s="22" t="s">
        <v>70</v>
      </c>
      <c r="HU17" s="214" t="s">
        <v>530</v>
      </c>
      <c r="HW17" s="22" t="s">
        <v>1658</v>
      </c>
      <c r="HX17" s="22" t="s">
        <v>921</v>
      </c>
      <c r="HY17" s="22" t="s">
        <v>70</v>
      </c>
      <c r="HZ17" s="214" t="s">
        <v>530</v>
      </c>
      <c r="IB17" s="22" t="s">
        <v>1659</v>
      </c>
      <c r="IC17" s="22" t="s">
        <v>34611</v>
      </c>
      <c r="ID17" s="22" t="s">
        <v>70</v>
      </c>
      <c r="IE17" s="214" t="s">
        <v>530</v>
      </c>
      <c r="IG17" s="22" t="s">
        <v>1660</v>
      </c>
      <c r="IH17" s="22" t="s">
        <v>34568</v>
      </c>
      <c r="II17" s="22" t="s">
        <v>70</v>
      </c>
      <c r="IJ17" s="214" t="s">
        <v>530</v>
      </c>
      <c r="IL17" s="22" t="s">
        <v>1661</v>
      </c>
      <c r="IM17" s="22" t="s">
        <v>145</v>
      </c>
      <c r="IN17" s="22" t="s">
        <v>70</v>
      </c>
      <c r="IO17" s="214" t="s">
        <v>530</v>
      </c>
      <c r="IQ17" s="236" t="s">
        <v>1662</v>
      </c>
      <c r="IR17" s="236" t="s">
        <v>145</v>
      </c>
      <c r="IS17" s="236" t="s">
        <v>74</v>
      </c>
      <c r="IT17" s="236" t="s">
        <v>841</v>
      </c>
      <c r="IV17" s="236" t="s">
        <v>1663</v>
      </c>
      <c r="IW17" s="236" t="s">
        <v>145</v>
      </c>
      <c r="IX17" s="236" t="s">
        <v>74</v>
      </c>
      <c r="IY17" s="236" t="s">
        <v>841</v>
      </c>
      <c r="JA17" s="236" t="s">
        <v>1664</v>
      </c>
      <c r="JB17" s="236" t="s">
        <v>145</v>
      </c>
      <c r="JC17" s="236" t="s">
        <v>74</v>
      </c>
      <c r="JD17" s="236" t="s">
        <v>841</v>
      </c>
      <c r="JF17" s="236" t="s">
        <v>1665</v>
      </c>
      <c r="JG17" s="236" t="s">
        <v>145</v>
      </c>
      <c r="JH17" s="236" t="s">
        <v>74</v>
      </c>
      <c r="JI17" s="236" t="s">
        <v>841</v>
      </c>
      <c r="JK17" s="236" t="s">
        <v>1666</v>
      </c>
      <c r="JL17" s="236" t="s">
        <v>145</v>
      </c>
      <c r="JM17" s="236" t="s">
        <v>74</v>
      </c>
      <c r="JN17" s="236" t="s">
        <v>841</v>
      </c>
      <c r="JP17" s="236" t="s">
        <v>1667</v>
      </c>
      <c r="JQ17" s="236" t="s">
        <v>145</v>
      </c>
      <c r="JR17" s="236" t="s">
        <v>74</v>
      </c>
      <c r="JS17" s="236" t="s">
        <v>841</v>
      </c>
      <c r="JU17" s="294" t="s">
        <v>1668</v>
      </c>
      <c r="JV17" s="294" t="str">
        <f>TVIIBE1M_CalPairs!$R11</f>
        <v>0x00</v>
      </c>
      <c r="JW17" s="218" t="s">
        <v>75</v>
      </c>
      <c r="JX17" s="294" t="str">
        <f>TVIIBE1M_CalPairs!$Q11</f>
        <v>SMPU15_ADDR0_B1</v>
      </c>
      <c r="JZ17" s="263" t="s">
        <v>1669</v>
      </c>
      <c r="KA17" s="263" t="s">
        <v>145</v>
      </c>
      <c r="KB17" s="263" t="s">
        <v>70</v>
      </c>
      <c r="KC17" s="263" t="s">
        <v>1083</v>
      </c>
      <c r="KE17" s="263" t="s">
        <v>1670</v>
      </c>
      <c r="KF17" s="263" t="s">
        <v>52</v>
      </c>
      <c r="KG17" s="263" t="s">
        <v>70</v>
      </c>
      <c r="KH17" s="263" t="s">
        <v>1083</v>
      </c>
      <c r="KJ17" s="263" t="s">
        <v>1671</v>
      </c>
      <c r="KK17" s="263" t="s">
        <v>52</v>
      </c>
      <c r="KL17" s="263" t="s">
        <v>74</v>
      </c>
      <c r="KM17" s="263" t="s">
        <v>5513</v>
      </c>
      <c r="KO17" s="214" t="s">
        <v>1672</v>
      </c>
      <c r="KP17" s="214" t="s">
        <v>145</v>
      </c>
      <c r="KQ17" s="214" t="s">
        <v>70</v>
      </c>
      <c r="KR17" s="214" t="s">
        <v>67</v>
      </c>
      <c r="KT17" s="22" t="s">
        <v>1673</v>
      </c>
      <c r="KU17" s="22" t="s">
        <v>145</v>
      </c>
      <c r="KV17" s="22" t="s">
        <v>70</v>
      </c>
      <c r="KW17" s="22" t="s">
        <v>67</v>
      </c>
      <c r="KY17" s="214" t="s">
        <v>1674</v>
      </c>
      <c r="KZ17" s="214" t="s">
        <v>52</v>
      </c>
      <c r="LA17" s="214" t="s">
        <v>74</v>
      </c>
      <c r="LB17" s="214" t="s">
        <v>818</v>
      </c>
      <c r="LD17" s="22" t="s">
        <v>1675</v>
      </c>
      <c r="LE17" s="22" t="s">
        <v>145</v>
      </c>
      <c r="LF17" s="22" t="s">
        <v>70</v>
      </c>
      <c r="LG17" s="22" t="s">
        <v>67</v>
      </c>
    </row>
    <row r="18" spans="1:319">
      <c r="A18" s="23" t="s">
        <v>1676</v>
      </c>
      <c r="B18" s="23" t="s">
        <v>52</v>
      </c>
      <c r="C18" s="23" t="s">
        <v>70</v>
      </c>
      <c r="D18" s="23" t="s">
        <v>836</v>
      </c>
      <c r="F18" s="23" t="s">
        <v>1677</v>
      </c>
      <c r="G18" s="23" t="str">
        <f>TVIIBE1M_CalPairs!$E15</f>
        <v>0x30</v>
      </c>
      <c r="H18" s="233" t="s">
        <v>72</v>
      </c>
      <c r="I18" s="23" t="str">
        <f>TVIIBE1M_CalPairs!$C15</f>
        <v>CPUSS_DP_CTL_VAL2</v>
      </c>
      <c r="K18" s="218" t="s">
        <v>1678</v>
      </c>
      <c r="L18" s="218" t="s">
        <v>145</v>
      </c>
      <c r="M18" s="305" t="s">
        <v>72</v>
      </c>
      <c r="N18" s="312" t="s">
        <v>34098</v>
      </c>
      <c r="P18" s="216" t="s">
        <v>1679</v>
      </c>
      <c r="Q18" s="216" t="s">
        <v>52</v>
      </c>
      <c r="R18" s="216" t="s">
        <v>72</v>
      </c>
      <c r="S18" s="216" t="s">
        <v>579</v>
      </c>
      <c r="U18" s="293" t="s">
        <v>1680</v>
      </c>
      <c r="V18" s="293" t="s">
        <v>145</v>
      </c>
      <c r="W18" s="293" t="s">
        <v>74</v>
      </c>
      <c r="X18" s="293" t="s">
        <v>656</v>
      </c>
      <c r="Z18" s="293" t="s">
        <v>1681</v>
      </c>
      <c r="AA18" s="293" t="s">
        <v>145</v>
      </c>
      <c r="AB18" s="293" t="s">
        <v>74</v>
      </c>
      <c r="AC18" s="293" t="s">
        <v>656</v>
      </c>
      <c r="AE18" s="293" t="s">
        <v>1682</v>
      </c>
      <c r="AF18" s="293" t="s">
        <v>145</v>
      </c>
      <c r="AG18" s="293" t="s">
        <v>74</v>
      </c>
      <c r="AH18" s="293" t="s">
        <v>656</v>
      </c>
      <c r="AJ18" s="293" t="s">
        <v>1683</v>
      </c>
      <c r="AK18" s="293" t="s">
        <v>145</v>
      </c>
      <c r="AL18" s="293" t="s">
        <v>74</v>
      </c>
      <c r="AM18" s="293" t="s">
        <v>656</v>
      </c>
      <c r="AO18" s="22" t="s">
        <v>1684</v>
      </c>
      <c r="AP18" s="22" t="s">
        <v>145</v>
      </c>
      <c r="AQ18" s="22" t="s">
        <v>70</v>
      </c>
      <c r="AR18" s="22" t="s">
        <v>67</v>
      </c>
      <c r="AT18" s="22" t="s">
        <v>1685</v>
      </c>
      <c r="AU18" s="22" t="s">
        <v>145</v>
      </c>
      <c r="AV18" s="22" t="s">
        <v>70</v>
      </c>
      <c r="AW18" s="22" t="s">
        <v>67</v>
      </c>
      <c r="AY18" s="22" t="s">
        <v>1686</v>
      </c>
      <c r="AZ18" s="22" t="s">
        <v>145</v>
      </c>
      <c r="BA18" s="22" t="s">
        <v>70</v>
      </c>
      <c r="BB18" s="22" t="s">
        <v>67</v>
      </c>
      <c r="BD18" s="22" t="s">
        <v>1687</v>
      </c>
      <c r="BE18" s="22" t="s">
        <v>145</v>
      </c>
      <c r="BF18" s="22" t="s">
        <v>70</v>
      </c>
      <c r="BG18" s="22" t="s">
        <v>67</v>
      </c>
      <c r="BI18" s="22" t="s">
        <v>1688</v>
      </c>
      <c r="BJ18" s="22" t="s">
        <v>145</v>
      </c>
      <c r="BK18" s="22" t="s">
        <v>70</v>
      </c>
      <c r="BL18" s="22" t="s">
        <v>67</v>
      </c>
      <c r="BN18" s="22" t="s">
        <v>1689</v>
      </c>
      <c r="BO18" s="22" t="s">
        <v>145</v>
      </c>
      <c r="BP18" s="22" t="s">
        <v>70</v>
      </c>
      <c r="BQ18" s="22" t="s">
        <v>67</v>
      </c>
      <c r="BS18" s="22" t="s">
        <v>1690</v>
      </c>
      <c r="BT18" s="22" t="s">
        <v>145</v>
      </c>
      <c r="BU18" s="22" t="s">
        <v>70</v>
      </c>
      <c r="BV18" s="214" t="s">
        <v>530</v>
      </c>
      <c r="BX18" s="22" t="s">
        <v>1691</v>
      </c>
      <c r="BY18" s="22" t="s">
        <v>145</v>
      </c>
      <c r="BZ18" s="22" t="s">
        <v>70</v>
      </c>
      <c r="CA18" s="214" t="s">
        <v>530</v>
      </c>
      <c r="CC18" s="214" t="s">
        <v>1692</v>
      </c>
      <c r="CD18" s="214" t="s">
        <v>52</v>
      </c>
      <c r="CE18" s="214" t="s">
        <v>70</v>
      </c>
      <c r="CF18" s="214" t="s">
        <v>357</v>
      </c>
      <c r="CH18" s="214" t="s">
        <v>1693</v>
      </c>
      <c r="CI18" s="214" t="s">
        <v>52</v>
      </c>
      <c r="CJ18" s="214" t="s">
        <v>70</v>
      </c>
      <c r="CK18" s="214" t="s">
        <v>479</v>
      </c>
      <c r="CM18" s="214" t="s">
        <v>1694</v>
      </c>
      <c r="CN18" s="214" t="s">
        <v>148</v>
      </c>
      <c r="CO18" s="214" t="s">
        <v>70</v>
      </c>
      <c r="CP18" s="214" t="s">
        <v>530</v>
      </c>
      <c r="CR18" s="214" t="s">
        <v>1695</v>
      </c>
      <c r="CS18" s="214" t="s">
        <v>488</v>
      </c>
      <c r="CT18" s="214" t="s">
        <v>70</v>
      </c>
      <c r="CU18" s="214" t="s">
        <v>530</v>
      </c>
      <c r="CW18" s="214" t="s">
        <v>1696</v>
      </c>
      <c r="CX18" s="214" t="s">
        <v>163</v>
      </c>
      <c r="CY18" s="214" t="s">
        <v>70</v>
      </c>
      <c r="CZ18" s="214" t="s">
        <v>530</v>
      </c>
      <c r="DB18" s="214" t="s">
        <v>1697</v>
      </c>
      <c r="DC18" s="214" t="s">
        <v>52</v>
      </c>
      <c r="DD18" s="214" t="s">
        <v>70</v>
      </c>
      <c r="DE18" s="214" t="s">
        <v>530</v>
      </c>
      <c r="DG18" s="214" t="s">
        <v>1698</v>
      </c>
      <c r="DH18" s="214" t="s">
        <v>52</v>
      </c>
      <c r="DI18" s="214" t="s">
        <v>70</v>
      </c>
      <c r="DJ18" s="214" t="s">
        <v>530</v>
      </c>
      <c r="DL18" s="214" t="s">
        <v>1699</v>
      </c>
      <c r="DM18" s="214" t="s">
        <v>655</v>
      </c>
      <c r="DN18" s="214" t="s">
        <v>70</v>
      </c>
      <c r="DO18" s="214" t="s">
        <v>530</v>
      </c>
      <c r="DQ18" s="214" t="s">
        <v>1700</v>
      </c>
      <c r="DR18" s="214" t="s">
        <v>52</v>
      </c>
      <c r="DS18" s="214" t="s">
        <v>70</v>
      </c>
      <c r="DT18" s="214" t="s">
        <v>530</v>
      </c>
      <c r="DV18" s="214" t="s">
        <v>1701</v>
      </c>
      <c r="DW18" s="214" t="s">
        <v>34575</v>
      </c>
      <c r="DX18" s="214" t="s">
        <v>70</v>
      </c>
      <c r="DY18" s="214" t="s">
        <v>530</v>
      </c>
      <c r="EA18" s="214" t="s">
        <v>1702</v>
      </c>
      <c r="EB18" s="214" t="s">
        <v>86</v>
      </c>
      <c r="EC18" s="214" t="s">
        <v>70</v>
      </c>
      <c r="ED18" s="214" t="s">
        <v>530</v>
      </c>
      <c r="EF18" s="214" t="s">
        <v>1703</v>
      </c>
      <c r="EG18" s="214" t="s">
        <v>34541</v>
      </c>
      <c r="EH18" s="214" t="s">
        <v>70</v>
      </c>
      <c r="EI18" s="214" t="s">
        <v>530</v>
      </c>
      <c r="EK18" s="214" t="s">
        <v>1704</v>
      </c>
      <c r="EL18" s="214" t="s">
        <v>163</v>
      </c>
      <c r="EM18" s="214" t="s">
        <v>70</v>
      </c>
      <c r="EN18" s="214" t="s">
        <v>530</v>
      </c>
      <c r="EP18" s="214" t="s">
        <v>1705</v>
      </c>
      <c r="EQ18" s="214" t="s">
        <v>87</v>
      </c>
      <c r="ER18" s="214" t="s">
        <v>70</v>
      </c>
      <c r="ES18" s="214" t="s">
        <v>530</v>
      </c>
      <c r="EU18" s="214" t="s">
        <v>1706</v>
      </c>
      <c r="EV18" s="214" t="s">
        <v>481</v>
      </c>
      <c r="EW18" s="214" t="s">
        <v>70</v>
      </c>
      <c r="EX18" s="214" t="s">
        <v>530</v>
      </c>
      <c r="EZ18" s="214" t="s">
        <v>1707</v>
      </c>
      <c r="FA18" s="214" t="s">
        <v>292</v>
      </c>
      <c r="FB18" s="214" t="s">
        <v>70</v>
      </c>
      <c r="FC18" s="214" t="s">
        <v>530</v>
      </c>
      <c r="FE18" s="214" t="s">
        <v>1708</v>
      </c>
      <c r="FF18" s="214" t="s">
        <v>52</v>
      </c>
      <c r="FG18" s="214" t="s">
        <v>70</v>
      </c>
      <c r="FH18" s="214" t="s">
        <v>530</v>
      </c>
      <c r="FJ18" s="321" t="s">
        <v>1709</v>
      </c>
      <c r="FK18" s="214" t="s">
        <v>92</v>
      </c>
      <c r="FL18" s="214" t="s">
        <v>70</v>
      </c>
      <c r="FM18" s="214" t="s">
        <v>530</v>
      </c>
      <c r="FO18" s="321" t="s">
        <v>1710</v>
      </c>
      <c r="FP18" s="214" t="s">
        <v>52</v>
      </c>
      <c r="FQ18" s="214" t="s">
        <v>70</v>
      </c>
      <c r="FR18" s="214" t="s">
        <v>530</v>
      </c>
      <c r="FT18" s="321" t="s">
        <v>1711</v>
      </c>
      <c r="FU18" s="214" t="s">
        <v>604</v>
      </c>
      <c r="FV18" s="214" t="s">
        <v>70</v>
      </c>
      <c r="FW18" s="214" t="s">
        <v>530</v>
      </c>
      <c r="FY18" s="321" t="s">
        <v>1712</v>
      </c>
      <c r="FZ18" s="214" t="s">
        <v>52</v>
      </c>
      <c r="GA18" s="214" t="s">
        <v>70</v>
      </c>
      <c r="GB18" s="214" t="s">
        <v>530</v>
      </c>
      <c r="GD18" s="321" t="s">
        <v>1713</v>
      </c>
      <c r="GE18" s="214" t="s">
        <v>87</v>
      </c>
      <c r="GF18" s="214" t="s">
        <v>70</v>
      </c>
      <c r="GG18" s="214" t="s">
        <v>530</v>
      </c>
      <c r="GI18" s="321" t="s">
        <v>1714</v>
      </c>
      <c r="GJ18" s="214" t="s">
        <v>145</v>
      </c>
      <c r="GK18" s="214" t="s">
        <v>70</v>
      </c>
      <c r="GL18" s="214" t="s">
        <v>530</v>
      </c>
      <c r="GN18" s="321" t="s">
        <v>1715</v>
      </c>
      <c r="GO18" s="214" t="s">
        <v>529</v>
      </c>
      <c r="GP18" s="214" t="s">
        <v>70</v>
      </c>
      <c r="GQ18" s="214" t="s">
        <v>530</v>
      </c>
      <c r="GS18" s="321" t="s">
        <v>1716</v>
      </c>
      <c r="GT18" s="214" t="s">
        <v>10541</v>
      </c>
      <c r="GU18" s="214" t="s">
        <v>70</v>
      </c>
      <c r="GV18" s="214" t="s">
        <v>530</v>
      </c>
      <c r="GX18" s="214" t="s">
        <v>1717</v>
      </c>
      <c r="GY18" s="214" t="s">
        <v>86</v>
      </c>
      <c r="GZ18" s="214" t="s">
        <v>70</v>
      </c>
      <c r="HA18" s="214" t="s">
        <v>530</v>
      </c>
      <c r="HC18" s="214" t="s">
        <v>1718</v>
      </c>
      <c r="HD18" s="214" t="s">
        <v>468</v>
      </c>
      <c r="HE18" s="214" t="s">
        <v>70</v>
      </c>
      <c r="HF18" s="214" t="s">
        <v>530</v>
      </c>
      <c r="HH18" s="214" t="s">
        <v>1719</v>
      </c>
      <c r="HI18" s="214" t="s">
        <v>164</v>
      </c>
      <c r="HJ18" s="214" t="s">
        <v>70</v>
      </c>
      <c r="HK18" s="214" t="s">
        <v>530</v>
      </c>
      <c r="HM18" s="214" t="s">
        <v>1720</v>
      </c>
      <c r="HN18" s="214" t="s">
        <v>205</v>
      </c>
      <c r="HO18" s="214" t="s">
        <v>70</v>
      </c>
      <c r="HP18" s="214" t="s">
        <v>34121</v>
      </c>
      <c r="HR18" s="22" t="s">
        <v>1721</v>
      </c>
      <c r="HS18" s="22" t="s">
        <v>34539</v>
      </c>
      <c r="HT18" s="22" t="s">
        <v>70</v>
      </c>
      <c r="HU18" s="214" t="s">
        <v>530</v>
      </c>
      <c r="HW18" s="22" t="s">
        <v>1722</v>
      </c>
      <c r="HX18" s="22" t="s">
        <v>52</v>
      </c>
      <c r="HY18" s="22" t="s">
        <v>70</v>
      </c>
      <c r="HZ18" s="214" t="s">
        <v>530</v>
      </c>
      <c r="IB18" s="22" t="s">
        <v>1723</v>
      </c>
      <c r="IC18" s="22" t="s">
        <v>916</v>
      </c>
      <c r="ID18" s="22" t="s">
        <v>70</v>
      </c>
      <c r="IE18" s="214" t="s">
        <v>530</v>
      </c>
      <c r="IG18" s="22" t="s">
        <v>1724</v>
      </c>
      <c r="IH18" s="22" t="s">
        <v>52</v>
      </c>
      <c r="II18" s="22" t="s">
        <v>70</v>
      </c>
      <c r="IJ18" s="214" t="s">
        <v>530</v>
      </c>
      <c r="IL18" s="22" t="s">
        <v>1725</v>
      </c>
      <c r="IM18" s="22" t="s">
        <v>145</v>
      </c>
      <c r="IN18" s="22" t="s">
        <v>70</v>
      </c>
      <c r="IO18" s="214" t="s">
        <v>530</v>
      </c>
      <c r="IQ18" s="236" t="s">
        <v>1726</v>
      </c>
      <c r="IR18" s="236" t="s">
        <v>145</v>
      </c>
      <c r="IS18" s="236" t="s">
        <v>74</v>
      </c>
      <c r="IT18" s="236" t="s">
        <v>841</v>
      </c>
      <c r="IV18" s="236" t="s">
        <v>1727</v>
      </c>
      <c r="IW18" s="236" t="s">
        <v>145</v>
      </c>
      <c r="IX18" s="236" t="s">
        <v>74</v>
      </c>
      <c r="IY18" s="236" t="s">
        <v>841</v>
      </c>
      <c r="JA18" s="236" t="s">
        <v>1728</v>
      </c>
      <c r="JB18" s="236" t="s">
        <v>145</v>
      </c>
      <c r="JC18" s="236" t="s">
        <v>74</v>
      </c>
      <c r="JD18" s="236" t="s">
        <v>841</v>
      </c>
      <c r="JF18" s="236" t="s">
        <v>1729</v>
      </c>
      <c r="JG18" s="236" t="s">
        <v>145</v>
      </c>
      <c r="JH18" s="236" t="s">
        <v>74</v>
      </c>
      <c r="JI18" s="236" t="s">
        <v>841</v>
      </c>
      <c r="JK18" s="236" t="s">
        <v>1730</v>
      </c>
      <c r="JL18" s="236" t="s">
        <v>145</v>
      </c>
      <c r="JM18" s="236" t="s">
        <v>74</v>
      </c>
      <c r="JN18" s="236" t="s">
        <v>841</v>
      </c>
      <c r="JP18" s="236" t="s">
        <v>1731</v>
      </c>
      <c r="JQ18" s="236" t="s">
        <v>145</v>
      </c>
      <c r="JR18" s="236" t="s">
        <v>74</v>
      </c>
      <c r="JS18" s="236" t="s">
        <v>841</v>
      </c>
      <c r="JU18" s="294" t="s">
        <v>1732</v>
      </c>
      <c r="JV18" s="294" t="str">
        <f>TVIIBE1M_CalPairs!$R12</f>
        <v>0x00</v>
      </c>
      <c r="JW18" s="218" t="s">
        <v>75</v>
      </c>
      <c r="JX18" s="294" t="str">
        <f>TVIIBE1M_CalPairs!$Q12</f>
        <v>SMPU15_ADDR0_B2</v>
      </c>
      <c r="JZ18" s="263" t="s">
        <v>1733</v>
      </c>
      <c r="KA18" s="263" t="s">
        <v>145</v>
      </c>
      <c r="KB18" s="263" t="s">
        <v>70</v>
      </c>
      <c r="KC18" s="263" t="s">
        <v>1083</v>
      </c>
      <c r="KE18" s="263" t="s">
        <v>1734</v>
      </c>
      <c r="KF18" s="263" t="s">
        <v>52</v>
      </c>
      <c r="KG18" s="263" t="s">
        <v>70</v>
      </c>
      <c r="KH18" s="263" t="s">
        <v>1083</v>
      </c>
      <c r="KJ18" s="263" t="s">
        <v>1735</v>
      </c>
      <c r="KK18" s="263" t="s">
        <v>52</v>
      </c>
      <c r="KL18" s="263" t="s">
        <v>74</v>
      </c>
      <c r="KM18" s="263" t="s">
        <v>5578</v>
      </c>
      <c r="KO18" s="214" t="s">
        <v>1736</v>
      </c>
      <c r="KP18" s="214" t="s">
        <v>145</v>
      </c>
      <c r="KQ18" s="214" t="s">
        <v>70</v>
      </c>
      <c r="KR18" s="214" t="s">
        <v>67</v>
      </c>
      <c r="KT18" s="22" t="s">
        <v>1737</v>
      </c>
      <c r="KU18" s="22" t="s">
        <v>145</v>
      </c>
      <c r="KV18" s="22" t="s">
        <v>70</v>
      </c>
      <c r="KW18" s="22" t="s">
        <v>67</v>
      </c>
      <c r="KY18" s="214" t="s">
        <v>1738</v>
      </c>
      <c r="KZ18" s="214" t="s">
        <v>52</v>
      </c>
      <c r="LA18" s="214" t="s">
        <v>74</v>
      </c>
      <c r="LB18" s="214" t="s">
        <v>818</v>
      </c>
      <c r="LD18" s="22" t="s">
        <v>1739</v>
      </c>
      <c r="LE18" s="22" t="s">
        <v>145</v>
      </c>
      <c r="LF18" s="22" t="s">
        <v>70</v>
      </c>
      <c r="LG18" s="22" t="s">
        <v>67</v>
      </c>
    </row>
    <row r="19" spans="1:319">
      <c r="A19" s="23" t="s">
        <v>1740</v>
      </c>
      <c r="B19" s="23" t="s">
        <v>52</v>
      </c>
      <c r="C19" s="23" t="s">
        <v>75</v>
      </c>
      <c r="D19" s="23" t="s">
        <v>979</v>
      </c>
      <c r="F19" s="23" t="s">
        <v>1741</v>
      </c>
      <c r="G19" s="23" t="str">
        <f>TVIIBE1M_CalPairs!$E16</f>
        <v>0x0E</v>
      </c>
      <c r="H19" s="233" t="s">
        <v>72</v>
      </c>
      <c r="I19" s="23" t="str">
        <f>TVIIBE1M_CalPairs!$C16</f>
        <v>CPUSS_DP_CTL_VAL3</v>
      </c>
      <c r="K19" s="218" t="s">
        <v>1742</v>
      </c>
      <c r="L19" s="218" t="s">
        <v>145</v>
      </c>
      <c r="M19" s="305" t="s">
        <v>72</v>
      </c>
      <c r="N19" s="312" t="s">
        <v>34098</v>
      </c>
      <c r="P19" s="216" t="s">
        <v>1743</v>
      </c>
      <c r="Q19" s="216" t="s">
        <v>52</v>
      </c>
      <c r="R19" s="216" t="s">
        <v>70</v>
      </c>
      <c r="S19" s="216" t="s">
        <v>844</v>
      </c>
      <c r="U19" s="293" t="s">
        <v>1744</v>
      </c>
      <c r="V19" s="293" t="s">
        <v>145</v>
      </c>
      <c r="W19" s="293" t="s">
        <v>74</v>
      </c>
      <c r="X19" s="293" t="s">
        <v>656</v>
      </c>
      <c r="Z19" s="293" t="s">
        <v>1745</v>
      </c>
      <c r="AA19" s="293" t="s">
        <v>145</v>
      </c>
      <c r="AB19" s="293" t="s">
        <v>74</v>
      </c>
      <c r="AC19" s="293" t="s">
        <v>656</v>
      </c>
      <c r="AE19" s="293" t="s">
        <v>1746</v>
      </c>
      <c r="AF19" s="293" t="s">
        <v>145</v>
      </c>
      <c r="AG19" s="293" t="s">
        <v>74</v>
      </c>
      <c r="AH19" s="293" t="s">
        <v>656</v>
      </c>
      <c r="AJ19" s="293" t="s">
        <v>1747</v>
      </c>
      <c r="AK19" s="293" t="s">
        <v>145</v>
      </c>
      <c r="AL19" s="293" t="s">
        <v>74</v>
      </c>
      <c r="AM19" s="293" t="s">
        <v>656</v>
      </c>
      <c r="AO19" s="22" t="s">
        <v>1748</v>
      </c>
      <c r="AP19" s="22" t="s">
        <v>145</v>
      </c>
      <c r="AQ19" s="22" t="s">
        <v>70</v>
      </c>
      <c r="AR19" s="22" t="s">
        <v>67</v>
      </c>
      <c r="AT19" s="22" t="s">
        <v>1749</v>
      </c>
      <c r="AU19" s="22" t="s">
        <v>145</v>
      </c>
      <c r="AV19" s="22" t="s">
        <v>70</v>
      </c>
      <c r="AW19" s="22" t="s">
        <v>67</v>
      </c>
      <c r="AY19" s="22" t="s">
        <v>1750</v>
      </c>
      <c r="AZ19" s="22" t="s">
        <v>145</v>
      </c>
      <c r="BA19" s="22" t="s">
        <v>70</v>
      </c>
      <c r="BB19" s="22" t="s">
        <v>67</v>
      </c>
      <c r="BD19" s="22" t="s">
        <v>1751</v>
      </c>
      <c r="BE19" s="22" t="s">
        <v>145</v>
      </c>
      <c r="BF19" s="22" t="s">
        <v>70</v>
      </c>
      <c r="BG19" s="22" t="s">
        <v>67</v>
      </c>
      <c r="BI19" s="22" t="s">
        <v>1752</v>
      </c>
      <c r="BJ19" s="22" t="s">
        <v>145</v>
      </c>
      <c r="BK19" s="22" t="s">
        <v>70</v>
      </c>
      <c r="BL19" s="22" t="s">
        <v>67</v>
      </c>
      <c r="BN19" s="22" t="s">
        <v>1753</v>
      </c>
      <c r="BO19" s="22" t="s">
        <v>145</v>
      </c>
      <c r="BP19" s="22" t="s">
        <v>70</v>
      </c>
      <c r="BQ19" s="22" t="s">
        <v>67</v>
      </c>
      <c r="BS19" s="22" t="s">
        <v>1754</v>
      </c>
      <c r="BT19" s="22" t="s">
        <v>145</v>
      </c>
      <c r="BU19" s="22" t="s">
        <v>70</v>
      </c>
      <c r="BV19" s="214" t="s">
        <v>530</v>
      </c>
      <c r="BX19" s="22" t="s">
        <v>1755</v>
      </c>
      <c r="BY19" s="22" t="s">
        <v>145</v>
      </c>
      <c r="BZ19" s="22" t="s">
        <v>70</v>
      </c>
      <c r="CA19" s="214" t="s">
        <v>530</v>
      </c>
      <c r="CC19" s="214" t="s">
        <v>1756</v>
      </c>
      <c r="CD19" s="214" t="s">
        <v>52</v>
      </c>
      <c r="CE19" s="214" t="s">
        <v>70</v>
      </c>
      <c r="CF19" s="214" t="s">
        <v>358</v>
      </c>
      <c r="CH19" s="214" t="s">
        <v>1757</v>
      </c>
      <c r="CI19" s="214" t="s">
        <v>950</v>
      </c>
      <c r="CJ19" s="214" t="s">
        <v>70</v>
      </c>
      <c r="CK19" s="214" t="s">
        <v>480</v>
      </c>
      <c r="CM19" s="214" t="s">
        <v>1758</v>
      </c>
      <c r="CN19" s="214" t="s">
        <v>491</v>
      </c>
      <c r="CO19" s="214" t="s">
        <v>70</v>
      </c>
      <c r="CP19" s="214" t="s">
        <v>530</v>
      </c>
      <c r="CR19" s="214" t="s">
        <v>1759</v>
      </c>
      <c r="CS19" s="214" t="s">
        <v>488</v>
      </c>
      <c r="CT19" s="214" t="s">
        <v>70</v>
      </c>
      <c r="CU19" s="214" t="s">
        <v>530</v>
      </c>
      <c r="CW19" s="214" t="s">
        <v>1760</v>
      </c>
      <c r="CX19" s="214" t="s">
        <v>484</v>
      </c>
      <c r="CY19" s="214" t="s">
        <v>70</v>
      </c>
      <c r="CZ19" s="214" t="s">
        <v>530</v>
      </c>
      <c r="DB19" s="214" t="s">
        <v>1761</v>
      </c>
      <c r="DC19" s="214" t="s">
        <v>165</v>
      </c>
      <c r="DD19" s="214" t="s">
        <v>70</v>
      </c>
      <c r="DE19" s="214" t="s">
        <v>530</v>
      </c>
      <c r="DG19" s="214" t="s">
        <v>1762</v>
      </c>
      <c r="DH19" s="214" t="s">
        <v>87</v>
      </c>
      <c r="DI19" s="214" t="s">
        <v>70</v>
      </c>
      <c r="DJ19" s="214" t="s">
        <v>530</v>
      </c>
      <c r="DL19" s="214" t="s">
        <v>1763</v>
      </c>
      <c r="DM19" s="214" t="s">
        <v>468</v>
      </c>
      <c r="DN19" s="214" t="s">
        <v>70</v>
      </c>
      <c r="DO19" s="214" t="s">
        <v>530</v>
      </c>
      <c r="DQ19" s="214" t="s">
        <v>1764</v>
      </c>
      <c r="DR19" s="214" t="s">
        <v>484</v>
      </c>
      <c r="DS19" s="214" t="s">
        <v>70</v>
      </c>
      <c r="DT19" s="214" t="s">
        <v>530</v>
      </c>
      <c r="DV19" s="214" t="s">
        <v>1765</v>
      </c>
      <c r="DW19" s="214" t="s">
        <v>93</v>
      </c>
      <c r="DX19" s="214" t="s">
        <v>70</v>
      </c>
      <c r="DY19" s="214" t="s">
        <v>530</v>
      </c>
      <c r="EA19" s="214" t="s">
        <v>1766</v>
      </c>
      <c r="EB19" s="214" t="s">
        <v>468</v>
      </c>
      <c r="EC19" s="214" t="s">
        <v>70</v>
      </c>
      <c r="ED19" s="214" t="s">
        <v>530</v>
      </c>
      <c r="EF19" s="214" t="s">
        <v>1767</v>
      </c>
      <c r="EG19" s="214" t="s">
        <v>34643</v>
      </c>
      <c r="EH19" s="214" t="s">
        <v>70</v>
      </c>
      <c r="EI19" s="214" t="s">
        <v>530</v>
      </c>
      <c r="EK19" s="214" t="s">
        <v>1768</v>
      </c>
      <c r="EL19" s="214" t="s">
        <v>950</v>
      </c>
      <c r="EM19" s="214" t="s">
        <v>70</v>
      </c>
      <c r="EN19" s="214" t="s">
        <v>530</v>
      </c>
      <c r="EP19" s="214" t="s">
        <v>1769</v>
      </c>
      <c r="EQ19" s="214" t="s">
        <v>481</v>
      </c>
      <c r="ER19" s="214" t="s">
        <v>70</v>
      </c>
      <c r="ES19" s="214" t="s">
        <v>530</v>
      </c>
      <c r="EU19" s="214" t="s">
        <v>1770</v>
      </c>
      <c r="EV19" s="214" t="s">
        <v>484</v>
      </c>
      <c r="EW19" s="214" t="s">
        <v>70</v>
      </c>
      <c r="EX19" s="214" t="s">
        <v>530</v>
      </c>
      <c r="EZ19" s="214" t="s">
        <v>1771</v>
      </c>
      <c r="FA19" s="214" t="s">
        <v>488</v>
      </c>
      <c r="FB19" s="214" t="s">
        <v>70</v>
      </c>
      <c r="FC19" s="214" t="s">
        <v>530</v>
      </c>
      <c r="FE19" s="214" t="s">
        <v>1772</v>
      </c>
      <c r="FF19" s="214" t="s">
        <v>203</v>
      </c>
      <c r="FG19" s="214" t="s">
        <v>70</v>
      </c>
      <c r="FH19" s="214" t="s">
        <v>530</v>
      </c>
      <c r="FJ19" s="321" t="s">
        <v>1773</v>
      </c>
      <c r="FK19" s="214" t="s">
        <v>496</v>
      </c>
      <c r="FL19" s="214" t="s">
        <v>70</v>
      </c>
      <c r="FM19" s="214" t="s">
        <v>530</v>
      </c>
      <c r="FO19" s="321" t="s">
        <v>1774</v>
      </c>
      <c r="FP19" s="214" t="s">
        <v>203</v>
      </c>
      <c r="FQ19" s="214" t="s">
        <v>70</v>
      </c>
      <c r="FR19" s="214" t="s">
        <v>530</v>
      </c>
      <c r="FT19" s="321" t="s">
        <v>1775</v>
      </c>
      <c r="FU19" s="214" t="s">
        <v>146</v>
      </c>
      <c r="FV19" s="214" t="s">
        <v>70</v>
      </c>
      <c r="FW19" s="214" t="s">
        <v>530</v>
      </c>
      <c r="FY19" s="321" t="s">
        <v>1776</v>
      </c>
      <c r="FZ19" s="214" t="s">
        <v>531</v>
      </c>
      <c r="GA19" s="214" t="s">
        <v>70</v>
      </c>
      <c r="GB19" s="214" t="s">
        <v>530</v>
      </c>
      <c r="GD19" s="321" t="s">
        <v>1777</v>
      </c>
      <c r="GE19" s="214" t="s">
        <v>952</v>
      </c>
      <c r="GF19" s="214" t="s">
        <v>70</v>
      </c>
      <c r="GG19" s="214" t="s">
        <v>530</v>
      </c>
      <c r="GI19" s="321" t="s">
        <v>1778</v>
      </c>
      <c r="GJ19" s="214" t="s">
        <v>34541</v>
      </c>
      <c r="GK19" s="214" t="s">
        <v>70</v>
      </c>
      <c r="GL19" s="214" t="s">
        <v>530</v>
      </c>
      <c r="GN19" s="321" t="s">
        <v>1779</v>
      </c>
      <c r="GO19" s="214" t="s">
        <v>164</v>
      </c>
      <c r="GP19" s="214" t="s">
        <v>70</v>
      </c>
      <c r="GQ19" s="214" t="s">
        <v>530</v>
      </c>
      <c r="GS19" s="321" t="s">
        <v>1780</v>
      </c>
      <c r="GT19" s="214" t="s">
        <v>468</v>
      </c>
      <c r="GU19" s="214" t="s">
        <v>70</v>
      </c>
      <c r="GV19" s="214" t="s">
        <v>530</v>
      </c>
      <c r="GX19" s="214" t="s">
        <v>1781</v>
      </c>
      <c r="GY19" s="214" t="s">
        <v>146</v>
      </c>
      <c r="GZ19" s="214" t="s">
        <v>70</v>
      </c>
      <c r="HA19" s="214" t="s">
        <v>530</v>
      </c>
      <c r="HC19" s="214" t="s">
        <v>1782</v>
      </c>
      <c r="HD19" s="214" t="s">
        <v>146</v>
      </c>
      <c r="HE19" s="214" t="s">
        <v>70</v>
      </c>
      <c r="HF19" s="214" t="s">
        <v>530</v>
      </c>
      <c r="HH19" s="214" t="s">
        <v>1783</v>
      </c>
      <c r="HI19" s="214" t="s">
        <v>599</v>
      </c>
      <c r="HJ19" s="214" t="s">
        <v>70</v>
      </c>
      <c r="HK19" s="214" t="s">
        <v>530</v>
      </c>
      <c r="HM19" s="214" t="s">
        <v>1784</v>
      </c>
      <c r="HN19" s="214" t="s">
        <v>496</v>
      </c>
      <c r="HO19" s="214" t="s">
        <v>70</v>
      </c>
      <c r="HP19" s="214" t="s">
        <v>34121</v>
      </c>
      <c r="HR19" s="22" t="s">
        <v>1785</v>
      </c>
      <c r="HS19" s="22" t="s">
        <v>146</v>
      </c>
      <c r="HT19" s="22" t="s">
        <v>70</v>
      </c>
      <c r="HU19" s="214" t="s">
        <v>530</v>
      </c>
      <c r="HW19" s="22" t="s">
        <v>1786</v>
      </c>
      <c r="HX19" s="22" t="s">
        <v>34544</v>
      </c>
      <c r="HY19" s="22" t="s">
        <v>70</v>
      </c>
      <c r="HZ19" s="214" t="s">
        <v>530</v>
      </c>
      <c r="IB19" s="22" t="s">
        <v>1787</v>
      </c>
      <c r="IC19" s="22" t="s">
        <v>146</v>
      </c>
      <c r="ID19" s="22" t="s">
        <v>70</v>
      </c>
      <c r="IE19" s="214" t="s">
        <v>530</v>
      </c>
      <c r="IG19" s="22" t="s">
        <v>1788</v>
      </c>
      <c r="IH19" s="22" t="s">
        <v>601</v>
      </c>
      <c r="II19" s="22" t="s">
        <v>70</v>
      </c>
      <c r="IJ19" s="214" t="s">
        <v>530</v>
      </c>
      <c r="IL19" s="22" t="s">
        <v>1789</v>
      </c>
      <c r="IM19" s="22" t="s">
        <v>145</v>
      </c>
      <c r="IN19" s="22" t="s">
        <v>70</v>
      </c>
      <c r="IO19" s="214" t="s">
        <v>530</v>
      </c>
      <c r="IQ19" s="236" t="s">
        <v>1790</v>
      </c>
      <c r="IR19" s="236" t="s">
        <v>145</v>
      </c>
      <c r="IS19" s="236" t="s">
        <v>74</v>
      </c>
      <c r="IT19" s="236" t="s">
        <v>841</v>
      </c>
      <c r="IV19" s="236" t="s">
        <v>1791</v>
      </c>
      <c r="IW19" s="236" t="s">
        <v>145</v>
      </c>
      <c r="IX19" s="236" t="s">
        <v>74</v>
      </c>
      <c r="IY19" s="236" t="s">
        <v>841</v>
      </c>
      <c r="JA19" s="236" t="s">
        <v>1792</v>
      </c>
      <c r="JB19" s="236" t="s">
        <v>145</v>
      </c>
      <c r="JC19" s="236" t="s">
        <v>74</v>
      </c>
      <c r="JD19" s="236" t="s">
        <v>841</v>
      </c>
      <c r="JF19" s="236" t="s">
        <v>1793</v>
      </c>
      <c r="JG19" s="236" t="s">
        <v>145</v>
      </c>
      <c r="JH19" s="236" t="s">
        <v>74</v>
      </c>
      <c r="JI19" s="236" t="s">
        <v>841</v>
      </c>
      <c r="JK19" s="236" t="s">
        <v>1794</v>
      </c>
      <c r="JL19" s="236" t="s">
        <v>145</v>
      </c>
      <c r="JM19" s="236" t="s">
        <v>74</v>
      </c>
      <c r="JN19" s="236" t="s">
        <v>841</v>
      </c>
      <c r="JP19" s="236" t="s">
        <v>1795</v>
      </c>
      <c r="JQ19" s="236" t="s">
        <v>145</v>
      </c>
      <c r="JR19" s="236" t="s">
        <v>74</v>
      </c>
      <c r="JS19" s="236" t="s">
        <v>841</v>
      </c>
      <c r="JU19" s="294" t="s">
        <v>1796</v>
      </c>
      <c r="JV19" s="294" t="str">
        <f>TVIIBE1M_CalPairs!$R13</f>
        <v>0x08</v>
      </c>
      <c r="JW19" s="263" t="s">
        <v>70</v>
      </c>
      <c r="JX19" s="294" t="str">
        <f>TVIIBE1M_CalPairs!$Q13</f>
        <v>SMPU15_ADDR0_B3</v>
      </c>
      <c r="JZ19" s="263" t="s">
        <v>1797</v>
      </c>
      <c r="KA19" s="263" t="s">
        <v>145</v>
      </c>
      <c r="KB19" s="263" t="s">
        <v>70</v>
      </c>
      <c r="KC19" s="263" t="s">
        <v>1083</v>
      </c>
      <c r="KE19" s="263" t="s">
        <v>1798</v>
      </c>
      <c r="KF19" s="263" t="s">
        <v>52</v>
      </c>
      <c r="KG19" s="263" t="s">
        <v>70</v>
      </c>
      <c r="KH19" s="263" t="s">
        <v>1083</v>
      </c>
      <c r="KJ19" s="263" t="s">
        <v>1799</v>
      </c>
      <c r="KK19" s="263" t="s">
        <v>52</v>
      </c>
      <c r="KL19" s="263" t="s">
        <v>74</v>
      </c>
      <c r="KM19" s="263" t="s">
        <v>5643</v>
      </c>
      <c r="KO19" s="214" t="s">
        <v>1800</v>
      </c>
      <c r="KP19" s="214" t="s">
        <v>145</v>
      </c>
      <c r="KQ19" s="214" t="s">
        <v>70</v>
      </c>
      <c r="KR19" s="214" t="s">
        <v>67</v>
      </c>
      <c r="KT19" s="22" t="s">
        <v>1801</v>
      </c>
      <c r="KU19" s="22" t="s">
        <v>145</v>
      </c>
      <c r="KV19" s="22" t="s">
        <v>70</v>
      </c>
      <c r="KW19" s="22" t="s">
        <v>67</v>
      </c>
      <c r="KY19" s="214" t="s">
        <v>1802</v>
      </c>
      <c r="KZ19" s="214" t="s">
        <v>52</v>
      </c>
      <c r="LA19" s="214" t="s">
        <v>74</v>
      </c>
      <c r="LB19" s="214" t="s">
        <v>818</v>
      </c>
      <c r="LD19" s="22" t="s">
        <v>1803</v>
      </c>
      <c r="LE19" s="22" t="s">
        <v>145</v>
      </c>
      <c r="LF19" s="22" t="s">
        <v>70</v>
      </c>
      <c r="LG19" s="22" t="s">
        <v>67</v>
      </c>
    </row>
    <row r="20" spans="1:319">
      <c r="A20" s="23" t="s">
        <v>1804</v>
      </c>
      <c r="B20" s="23" t="s">
        <v>148</v>
      </c>
      <c r="C20" s="23" t="s">
        <v>70</v>
      </c>
      <c r="D20" s="23" t="s">
        <v>1023</v>
      </c>
      <c r="F20" s="23" t="s">
        <v>1805</v>
      </c>
      <c r="G20" s="23" t="str">
        <f>TVIIBE1M_CalPairs!$E17</f>
        <v>0x31</v>
      </c>
      <c r="H20" s="23" t="s">
        <v>70</v>
      </c>
      <c r="I20" s="23" t="str">
        <f>TVIIBE1M_CalPairs!$C17</f>
        <v>CPUSS_TRIM_CTL_CMD</v>
      </c>
      <c r="K20" s="218" t="s">
        <v>1806</v>
      </c>
      <c r="L20" s="218" t="s">
        <v>145</v>
      </c>
      <c r="M20" s="305" t="s">
        <v>72</v>
      </c>
      <c r="N20" s="312" t="s">
        <v>34098</v>
      </c>
      <c r="P20" s="218" t="s">
        <v>1807</v>
      </c>
      <c r="Q20" s="218" t="s">
        <v>145</v>
      </c>
      <c r="R20" s="218" t="s">
        <v>72</v>
      </c>
      <c r="S20" s="218" t="s">
        <v>770</v>
      </c>
      <c r="U20" s="293" t="s">
        <v>1808</v>
      </c>
      <c r="V20" s="293" t="s">
        <v>145</v>
      </c>
      <c r="W20" s="293" t="s">
        <v>74</v>
      </c>
      <c r="X20" s="293" t="s">
        <v>656</v>
      </c>
      <c r="Z20" s="293" t="s">
        <v>1809</v>
      </c>
      <c r="AA20" s="293" t="s">
        <v>145</v>
      </c>
      <c r="AB20" s="293" t="s">
        <v>74</v>
      </c>
      <c r="AC20" s="293" t="s">
        <v>656</v>
      </c>
      <c r="AE20" s="293" t="s">
        <v>1810</v>
      </c>
      <c r="AF20" s="293" t="s">
        <v>145</v>
      </c>
      <c r="AG20" s="293" t="s">
        <v>74</v>
      </c>
      <c r="AH20" s="293" t="s">
        <v>656</v>
      </c>
      <c r="AJ20" s="293" t="s">
        <v>1811</v>
      </c>
      <c r="AK20" s="293" t="s">
        <v>145</v>
      </c>
      <c r="AL20" s="293" t="s">
        <v>74</v>
      </c>
      <c r="AM20" s="293" t="s">
        <v>656</v>
      </c>
      <c r="AO20" s="22" t="s">
        <v>1812</v>
      </c>
      <c r="AP20" s="22" t="s">
        <v>145</v>
      </c>
      <c r="AQ20" s="22" t="s">
        <v>70</v>
      </c>
      <c r="AR20" s="22" t="s">
        <v>67</v>
      </c>
      <c r="AT20" s="22" t="s">
        <v>1813</v>
      </c>
      <c r="AU20" s="22" t="s">
        <v>145</v>
      </c>
      <c r="AV20" s="22" t="s">
        <v>70</v>
      </c>
      <c r="AW20" s="22" t="s">
        <v>67</v>
      </c>
      <c r="AY20" s="22" t="s">
        <v>1814</v>
      </c>
      <c r="AZ20" s="22" t="s">
        <v>145</v>
      </c>
      <c r="BA20" s="22" t="s">
        <v>70</v>
      </c>
      <c r="BB20" s="22" t="s">
        <v>67</v>
      </c>
      <c r="BD20" s="22" t="s">
        <v>1815</v>
      </c>
      <c r="BE20" s="22" t="s">
        <v>145</v>
      </c>
      <c r="BF20" s="22" t="s">
        <v>70</v>
      </c>
      <c r="BG20" s="22" t="s">
        <v>67</v>
      </c>
      <c r="BI20" s="22" t="s">
        <v>1816</v>
      </c>
      <c r="BJ20" s="22" t="s">
        <v>145</v>
      </c>
      <c r="BK20" s="22" t="s">
        <v>70</v>
      </c>
      <c r="BL20" s="22" t="s">
        <v>67</v>
      </c>
      <c r="BN20" s="22" t="s">
        <v>1817</v>
      </c>
      <c r="BO20" s="22" t="s">
        <v>145</v>
      </c>
      <c r="BP20" s="22" t="s">
        <v>70</v>
      </c>
      <c r="BQ20" s="22" t="s">
        <v>67</v>
      </c>
      <c r="BS20" s="22" t="s">
        <v>1818</v>
      </c>
      <c r="BT20" s="22" t="s">
        <v>145</v>
      </c>
      <c r="BU20" s="22" t="s">
        <v>70</v>
      </c>
      <c r="BV20" s="214" t="s">
        <v>530</v>
      </c>
      <c r="BX20" s="22" t="s">
        <v>1819</v>
      </c>
      <c r="BY20" s="22" t="s">
        <v>145</v>
      </c>
      <c r="BZ20" s="22" t="s">
        <v>70</v>
      </c>
      <c r="CA20" s="214" t="s">
        <v>530</v>
      </c>
      <c r="CC20" s="214" t="s">
        <v>1820</v>
      </c>
      <c r="CD20" s="214" t="s">
        <v>148</v>
      </c>
      <c r="CE20" s="214" t="s">
        <v>70</v>
      </c>
      <c r="CF20" s="214" t="s">
        <v>893</v>
      </c>
      <c r="CH20" s="214" t="s">
        <v>1821</v>
      </c>
      <c r="CI20" s="214" t="s">
        <v>926</v>
      </c>
      <c r="CJ20" s="214" t="s">
        <v>70</v>
      </c>
      <c r="CK20" s="214" t="s">
        <v>530</v>
      </c>
      <c r="CM20" s="214" t="s">
        <v>1822</v>
      </c>
      <c r="CN20" s="214" t="s">
        <v>148</v>
      </c>
      <c r="CO20" s="214" t="s">
        <v>70</v>
      </c>
      <c r="CP20" s="214" t="s">
        <v>530</v>
      </c>
      <c r="CR20" s="214" t="s">
        <v>1823</v>
      </c>
      <c r="CS20" s="214" t="s">
        <v>34553</v>
      </c>
      <c r="CT20" s="214" t="s">
        <v>70</v>
      </c>
      <c r="CU20" s="214" t="s">
        <v>530</v>
      </c>
      <c r="CW20" s="214" t="s">
        <v>1824</v>
      </c>
      <c r="CX20" s="214" t="s">
        <v>599</v>
      </c>
      <c r="CY20" s="214" t="s">
        <v>70</v>
      </c>
      <c r="CZ20" s="214" t="s">
        <v>530</v>
      </c>
      <c r="DB20" s="214" t="s">
        <v>1825</v>
      </c>
      <c r="DC20" s="214" t="s">
        <v>86</v>
      </c>
      <c r="DD20" s="214" t="s">
        <v>70</v>
      </c>
      <c r="DE20" s="214" t="s">
        <v>530</v>
      </c>
      <c r="DG20" s="214" t="s">
        <v>1826</v>
      </c>
      <c r="DH20" s="214" t="s">
        <v>502</v>
      </c>
      <c r="DI20" s="214" t="s">
        <v>70</v>
      </c>
      <c r="DJ20" s="214" t="s">
        <v>530</v>
      </c>
      <c r="DL20" s="214" t="s">
        <v>1827</v>
      </c>
      <c r="DM20" s="214" t="s">
        <v>164</v>
      </c>
      <c r="DN20" s="214" t="s">
        <v>70</v>
      </c>
      <c r="DO20" s="214" t="s">
        <v>530</v>
      </c>
      <c r="DQ20" s="214" t="s">
        <v>1828</v>
      </c>
      <c r="DR20" s="214" t="s">
        <v>149</v>
      </c>
      <c r="DS20" s="214" t="s">
        <v>70</v>
      </c>
      <c r="DT20" s="214" t="s">
        <v>530</v>
      </c>
      <c r="DV20" s="214" t="s">
        <v>1829</v>
      </c>
      <c r="DW20" s="214" t="s">
        <v>90</v>
      </c>
      <c r="DX20" s="214" t="s">
        <v>70</v>
      </c>
      <c r="DY20" s="214" t="s">
        <v>530</v>
      </c>
      <c r="EA20" s="214" t="s">
        <v>1830</v>
      </c>
      <c r="EB20" s="214" t="s">
        <v>468</v>
      </c>
      <c r="EC20" s="214" t="s">
        <v>70</v>
      </c>
      <c r="ED20" s="214" t="s">
        <v>530</v>
      </c>
      <c r="EF20" s="214" t="s">
        <v>1831</v>
      </c>
      <c r="EG20" s="214" t="s">
        <v>484</v>
      </c>
      <c r="EH20" s="214" t="s">
        <v>70</v>
      </c>
      <c r="EI20" s="214" t="s">
        <v>530</v>
      </c>
      <c r="EK20" s="214" t="s">
        <v>1832</v>
      </c>
      <c r="EL20" s="214" t="s">
        <v>34620</v>
      </c>
      <c r="EM20" s="214" t="s">
        <v>70</v>
      </c>
      <c r="EN20" s="214" t="s">
        <v>530</v>
      </c>
      <c r="EP20" s="214" t="s">
        <v>1833</v>
      </c>
      <c r="EQ20" s="214" t="s">
        <v>484</v>
      </c>
      <c r="ER20" s="214" t="s">
        <v>70</v>
      </c>
      <c r="ES20" s="214" t="s">
        <v>530</v>
      </c>
      <c r="EU20" s="214" t="s">
        <v>1834</v>
      </c>
      <c r="EV20" s="214" t="s">
        <v>90</v>
      </c>
      <c r="EW20" s="214" t="s">
        <v>70</v>
      </c>
      <c r="EX20" s="214" t="s">
        <v>530</v>
      </c>
      <c r="EZ20" s="214" t="s">
        <v>1835</v>
      </c>
      <c r="FA20" s="214" t="s">
        <v>940</v>
      </c>
      <c r="FB20" s="214" t="s">
        <v>70</v>
      </c>
      <c r="FC20" s="214" t="s">
        <v>530</v>
      </c>
      <c r="FE20" s="214" t="s">
        <v>1836</v>
      </c>
      <c r="FF20" s="214" t="s">
        <v>145</v>
      </c>
      <c r="FG20" s="214" t="s">
        <v>70</v>
      </c>
      <c r="FH20" s="214" t="s">
        <v>530</v>
      </c>
      <c r="FJ20" s="321" t="s">
        <v>1837</v>
      </c>
      <c r="FK20" s="214" t="s">
        <v>90</v>
      </c>
      <c r="FL20" s="214" t="s">
        <v>70</v>
      </c>
      <c r="FM20" s="214" t="s">
        <v>530</v>
      </c>
      <c r="FO20" s="321" t="s">
        <v>1838</v>
      </c>
      <c r="FP20" s="214" t="s">
        <v>916</v>
      </c>
      <c r="FQ20" s="214" t="s">
        <v>70</v>
      </c>
      <c r="FR20" s="214" t="s">
        <v>530</v>
      </c>
      <c r="FT20" s="321" t="s">
        <v>1839</v>
      </c>
      <c r="FU20" s="214" t="s">
        <v>641</v>
      </c>
      <c r="FV20" s="214" t="s">
        <v>70</v>
      </c>
      <c r="FW20" s="214" t="s">
        <v>530</v>
      </c>
      <c r="FY20" s="321" t="s">
        <v>1840</v>
      </c>
      <c r="FZ20" s="214" t="s">
        <v>52</v>
      </c>
      <c r="GA20" s="214" t="s">
        <v>70</v>
      </c>
      <c r="GB20" s="214" t="s">
        <v>530</v>
      </c>
      <c r="GD20" s="321" t="s">
        <v>1841</v>
      </c>
      <c r="GE20" s="214" t="s">
        <v>85</v>
      </c>
      <c r="GF20" s="214" t="s">
        <v>70</v>
      </c>
      <c r="GG20" s="214" t="s">
        <v>530</v>
      </c>
      <c r="GI20" s="321" t="s">
        <v>1842</v>
      </c>
      <c r="GJ20" s="214" t="s">
        <v>34593</v>
      </c>
      <c r="GK20" s="214" t="s">
        <v>70</v>
      </c>
      <c r="GL20" s="214" t="s">
        <v>530</v>
      </c>
      <c r="GN20" s="321" t="s">
        <v>1843</v>
      </c>
      <c r="GO20" s="214" t="s">
        <v>34516</v>
      </c>
      <c r="GP20" s="214" t="s">
        <v>70</v>
      </c>
      <c r="GQ20" s="214" t="s">
        <v>530</v>
      </c>
      <c r="GS20" s="321" t="s">
        <v>1844</v>
      </c>
      <c r="GT20" s="214" t="s">
        <v>52</v>
      </c>
      <c r="GU20" s="214" t="s">
        <v>70</v>
      </c>
      <c r="GV20" s="214" t="s">
        <v>530</v>
      </c>
      <c r="GX20" s="214" t="s">
        <v>1845</v>
      </c>
      <c r="GY20" s="214" t="s">
        <v>641</v>
      </c>
      <c r="GZ20" s="214" t="s">
        <v>70</v>
      </c>
      <c r="HA20" s="214" t="s">
        <v>530</v>
      </c>
      <c r="HC20" s="214" t="s">
        <v>1846</v>
      </c>
      <c r="HD20" s="214" t="s">
        <v>93</v>
      </c>
      <c r="HE20" s="214" t="s">
        <v>70</v>
      </c>
      <c r="HF20" s="214" t="s">
        <v>530</v>
      </c>
      <c r="HH20" s="214" t="s">
        <v>1847</v>
      </c>
      <c r="HI20" s="214" t="s">
        <v>603</v>
      </c>
      <c r="HJ20" s="214" t="s">
        <v>70</v>
      </c>
      <c r="HK20" s="214" t="s">
        <v>530</v>
      </c>
      <c r="HM20" s="214" t="s">
        <v>1848</v>
      </c>
      <c r="HN20" s="214" t="s">
        <v>34556</v>
      </c>
      <c r="HO20" s="214" t="s">
        <v>70</v>
      </c>
      <c r="HP20" s="214" t="s">
        <v>34121</v>
      </c>
      <c r="HR20" s="22" t="s">
        <v>1849</v>
      </c>
      <c r="HS20" s="22" t="s">
        <v>917</v>
      </c>
      <c r="HT20" s="22" t="s">
        <v>70</v>
      </c>
      <c r="HU20" s="214" t="s">
        <v>530</v>
      </c>
      <c r="HW20" s="22" t="s">
        <v>1850</v>
      </c>
      <c r="HX20" s="22" t="s">
        <v>52</v>
      </c>
      <c r="HY20" s="22" t="s">
        <v>70</v>
      </c>
      <c r="HZ20" s="214" t="s">
        <v>530</v>
      </c>
      <c r="IB20" s="22" t="s">
        <v>1851</v>
      </c>
      <c r="IC20" s="22" t="s">
        <v>164</v>
      </c>
      <c r="ID20" s="22" t="s">
        <v>70</v>
      </c>
      <c r="IE20" s="214" t="s">
        <v>530</v>
      </c>
      <c r="IG20" s="22" t="s">
        <v>1852</v>
      </c>
      <c r="IH20" s="22" t="s">
        <v>148</v>
      </c>
      <c r="II20" s="22" t="s">
        <v>70</v>
      </c>
      <c r="IJ20" s="214" t="s">
        <v>530</v>
      </c>
      <c r="IL20" s="22" t="s">
        <v>1853</v>
      </c>
      <c r="IM20" s="22" t="s">
        <v>145</v>
      </c>
      <c r="IN20" s="22" t="s">
        <v>70</v>
      </c>
      <c r="IO20" s="214" t="s">
        <v>530</v>
      </c>
      <c r="IQ20" s="236" t="s">
        <v>1854</v>
      </c>
      <c r="IR20" s="236" t="s">
        <v>145</v>
      </c>
      <c r="IS20" s="236" t="s">
        <v>74</v>
      </c>
      <c r="IT20" s="236" t="s">
        <v>841</v>
      </c>
      <c r="IV20" s="236" t="s">
        <v>1855</v>
      </c>
      <c r="IW20" s="236" t="s">
        <v>145</v>
      </c>
      <c r="IX20" s="236" t="s">
        <v>74</v>
      </c>
      <c r="IY20" s="236" t="s">
        <v>841</v>
      </c>
      <c r="JA20" s="236" t="s">
        <v>1856</v>
      </c>
      <c r="JB20" s="236" t="s">
        <v>145</v>
      </c>
      <c r="JC20" s="236" t="s">
        <v>74</v>
      </c>
      <c r="JD20" s="236" t="s">
        <v>841</v>
      </c>
      <c r="JF20" s="236" t="s">
        <v>1857</v>
      </c>
      <c r="JG20" s="236" t="s">
        <v>145</v>
      </c>
      <c r="JH20" s="236" t="s">
        <v>74</v>
      </c>
      <c r="JI20" s="236" t="s">
        <v>841</v>
      </c>
      <c r="JK20" s="236" t="s">
        <v>1858</v>
      </c>
      <c r="JL20" s="236" t="s">
        <v>145</v>
      </c>
      <c r="JM20" s="236" t="s">
        <v>74</v>
      </c>
      <c r="JN20" s="236" t="s">
        <v>841</v>
      </c>
      <c r="JP20" s="236" t="s">
        <v>1859</v>
      </c>
      <c r="JQ20" s="236" t="s">
        <v>145</v>
      </c>
      <c r="JR20" s="236" t="s">
        <v>74</v>
      </c>
      <c r="JS20" s="236" t="s">
        <v>841</v>
      </c>
      <c r="JU20" s="294" t="s">
        <v>1860</v>
      </c>
      <c r="JV20" s="294" t="str">
        <f>TVIIBE1M_CalPairs!$R14</f>
        <v>0x7F</v>
      </c>
      <c r="JW20" s="263" t="s">
        <v>70</v>
      </c>
      <c r="JX20" s="294" t="str">
        <f>TVIIBE1M_CalPairs!$Q14</f>
        <v>SMPU15_ATT0_B0</v>
      </c>
      <c r="JZ20" s="263" t="s">
        <v>1861</v>
      </c>
      <c r="KA20" s="263" t="s">
        <v>145</v>
      </c>
      <c r="KB20" s="263" t="s">
        <v>70</v>
      </c>
      <c r="KC20" s="263" t="s">
        <v>1083</v>
      </c>
      <c r="KE20" s="263" t="s">
        <v>1862</v>
      </c>
      <c r="KF20" s="263" t="s">
        <v>52</v>
      </c>
      <c r="KG20" s="263" t="s">
        <v>70</v>
      </c>
      <c r="KH20" s="263" t="s">
        <v>1083</v>
      </c>
      <c r="KJ20" s="263" t="s">
        <v>1863</v>
      </c>
      <c r="KK20" s="263" t="s">
        <v>484</v>
      </c>
      <c r="KL20" s="263" t="s">
        <v>74</v>
      </c>
      <c r="KM20" s="263" t="s">
        <v>34228</v>
      </c>
      <c r="KO20" s="214" t="s">
        <v>1864</v>
      </c>
      <c r="KP20" s="214" t="s">
        <v>145</v>
      </c>
      <c r="KQ20" s="214" t="s">
        <v>70</v>
      </c>
      <c r="KR20" s="214" t="s">
        <v>67</v>
      </c>
      <c r="KT20" s="22" t="s">
        <v>1865</v>
      </c>
      <c r="KU20" s="22" t="s">
        <v>145</v>
      </c>
      <c r="KV20" s="22" t="s">
        <v>70</v>
      </c>
      <c r="KW20" s="22" t="s">
        <v>67</v>
      </c>
      <c r="KY20" s="214" t="s">
        <v>1866</v>
      </c>
      <c r="KZ20" s="214" t="s">
        <v>52</v>
      </c>
      <c r="LA20" s="214" t="s">
        <v>74</v>
      </c>
      <c r="LB20" s="214" t="s">
        <v>823</v>
      </c>
      <c r="LD20" s="22" t="s">
        <v>1867</v>
      </c>
      <c r="LE20" s="22" t="s">
        <v>145</v>
      </c>
      <c r="LF20" s="22" t="s">
        <v>70</v>
      </c>
      <c r="LG20" s="22" t="s">
        <v>67</v>
      </c>
    </row>
    <row r="21" spans="1:319">
      <c r="A21" s="23" t="s">
        <v>1868</v>
      </c>
      <c r="B21" s="23" t="s">
        <v>148</v>
      </c>
      <c r="C21" s="23" t="s">
        <v>70</v>
      </c>
      <c r="D21" s="23" t="s">
        <v>1023</v>
      </c>
      <c r="F21" s="23" t="s">
        <v>1869</v>
      </c>
      <c r="G21" s="23" t="str">
        <f>TVIIBE1M_CalPairs!$E18</f>
        <v>0x80</v>
      </c>
      <c r="H21" s="23" t="s">
        <v>70</v>
      </c>
      <c r="I21" s="23" t="str">
        <f>TVIIBE1M_CalPairs!$C18</f>
        <v>CPUSS_TRIM_CTL_ADDR0</v>
      </c>
      <c r="K21" s="218" t="s">
        <v>1870</v>
      </c>
      <c r="L21" s="218" t="s">
        <v>145</v>
      </c>
      <c r="M21" s="305" t="s">
        <v>72</v>
      </c>
      <c r="N21" s="312" t="s">
        <v>34098</v>
      </c>
      <c r="P21" s="218" t="s">
        <v>1871</v>
      </c>
      <c r="Q21" s="218" t="s">
        <v>145</v>
      </c>
      <c r="R21" s="218" t="s">
        <v>72</v>
      </c>
      <c r="S21" s="218" t="s">
        <v>771</v>
      </c>
      <c r="U21" s="293" t="s">
        <v>1872</v>
      </c>
      <c r="V21" s="293" t="s">
        <v>145</v>
      </c>
      <c r="W21" s="293" t="s">
        <v>74</v>
      </c>
      <c r="X21" s="293" t="s">
        <v>656</v>
      </c>
      <c r="Z21" s="293" t="s">
        <v>1873</v>
      </c>
      <c r="AA21" s="293" t="s">
        <v>145</v>
      </c>
      <c r="AB21" s="293" t="s">
        <v>74</v>
      </c>
      <c r="AC21" s="293" t="s">
        <v>656</v>
      </c>
      <c r="AE21" s="293" t="s">
        <v>1874</v>
      </c>
      <c r="AF21" s="293" t="s">
        <v>145</v>
      </c>
      <c r="AG21" s="293" t="s">
        <v>74</v>
      </c>
      <c r="AH21" s="293" t="s">
        <v>656</v>
      </c>
      <c r="AJ21" s="293" t="s">
        <v>1875</v>
      </c>
      <c r="AK21" s="293" t="s">
        <v>145</v>
      </c>
      <c r="AL21" s="293" t="s">
        <v>74</v>
      </c>
      <c r="AM21" s="293" t="s">
        <v>656</v>
      </c>
      <c r="AO21" s="22" t="s">
        <v>1876</v>
      </c>
      <c r="AP21" s="22" t="s">
        <v>145</v>
      </c>
      <c r="AQ21" s="22" t="s">
        <v>70</v>
      </c>
      <c r="AR21" s="22" t="s">
        <v>67</v>
      </c>
      <c r="AT21" s="22" t="s">
        <v>1877</v>
      </c>
      <c r="AU21" s="22" t="s">
        <v>145</v>
      </c>
      <c r="AV21" s="22" t="s">
        <v>70</v>
      </c>
      <c r="AW21" s="22" t="s">
        <v>67</v>
      </c>
      <c r="AY21" s="22" t="s">
        <v>1878</v>
      </c>
      <c r="AZ21" s="22" t="s">
        <v>145</v>
      </c>
      <c r="BA21" s="22" t="s">
        <v>70</v>
      </c>
      <c r="BB21" s="22" t="s">
        <v>67</v>
      </c>
      <c r="BD21" s="22" t="s">
        <v>1879</v>
      </c>
      <c r="BE21" s="22" t="s">
        <v>145</v>
      </c>
      <c r="BF21" s="22" t="s">
        <v>70</v>
      </c>
      <c r="BG21" s="22" t="s">
        <v>67</v>
      </c>
      <c r="BI21" s="22" t="s">
        <v>1880</v>
      </c>
      <c r="BJ21" s="22" t="s">
        <v>145</v>
      </c>
      <c r="BK21" s="22" t="s">
        <v>70</v>
      </c>
      <c r="BL21" s="22" t="s">
        <v>67</v>
      </c>
      <c r="BN21" s="22" t="s">
        <v>1881</v>
      </c>
      <c r="BO21" s="22" t="s">
        <v>145</v>
      </c>
      <c r="BP21" s="22" t="s">
        <v>70</v>
      </c>
      <c r="BQ21" s="22" t="s">
        <v>67</v>
      </c>
      <c r="BS21" s="22" t="s">
        <v>1882</v>
      </c>
      <c r="BT21" s="22" t="s">
        <v>145</v>
      </c>
      <c r="BU21" s="22" t="s">
        <v>70</v>
      </c>
      <c r="BV21" s="214" t="s">
        <v>530</v>
      </c>
      <c r="BX21" s="22" t="s">
        <v>1883</v>
      </c>
      <c r="BY21" s="22" t="s">
        <v>145</v>
      </c>
      <c r="BZ21" s="22" t="s">
        <v>70</v>
      </c>
      <c r="CA21" s="214" t="s">
        <v>530</v>
      </c>
      <c r="CC21" s="214" t="s">
        <v>1884</v>
      </c>
      <c r="CD21" s="214" t="s">
        <v>52</v>
      </c>
      <c r="CE21" s="214" t="s">
        <v>70</v>
      </c>
      <c r="CF21" s="214" t="s">
        <v>894</v>
      </c>
      <c r="CH21" s="214" t="s">
        <v>1885</v>
      </c>
      <c r="CI21" s="214" t="s">
        <v>34558</v>
      </c>
      <c r="CJ21" s="214" t="s">
        <v>70</v>
      </c>
      <c r="CK21" s="214" t="s">
        <v>530</v>
      </c>
      <c r="CM21" s="214" t="s">
        <v>1886</v>
      </c>
      <c r="CN21" s="214" t="s">
        <v>950</v>
      </c>
      <c r="CO21" s="214" t="s">
        <v>70</v>
      </c>
      <c r="CP21" s="214" t="s">
        <v>530</v>
      </c>
      <c r="CR21" s="214" t="s">
        <v>1887</v>
      </c>
      <c r="CS21" s="214" t="s">
        <v>496</v>
      </c>
      <c r="CT21" s="214" t="s">
        <v>70</v>
      </c>
      <c r="CU21" s="214" t="s">
        <v>530</v>
      </c>
      <c r="CW21" s="214" t="s">
        <v>1888</v>
      </c>
      <c r="CX21" s="214" t="s">
        <v>146</v>
      </c>
      <c r="CY21" s="214" t="s">
        <v>70</v>
      </c>
      <c r="CZ21" s="214" t="s">
        <v>530</v>
      </c>
      <c r="DB21" s="214" t="s">
        <v>1889</v>
      </c>
      <c r="DC21" s="214" t="s">
        <v>92</v>
      </c>
      <c r="DD21" s="214" t="s">
        <v>70</v>
      </c>
      <c r="DE21" s="214" t="s">
        <v>530</v>
      </c>
      <c r="DG21" s="214" t="s">
        <v>1890</v>
      </c>
      <c r="DH21" s="214" t="s">
        <v>468</v>
      </c>
      <c r="DI21" s="214" t="s">
        <v>70</v>
      </c>
      <c r="DJ21" s="214" t="s">
        <v>530</v>
      </c>
      <c r="DL21" s="214" t="s">
        <v>1891</v>
      </c>
      <c r="DM21" s="214" t="s">
        <v>950</v>
      </c>
      <c r="DN21" s="214" t="s">
        <v>70</v>
      </c>
      <c r="DO21" s="214" t="s">
        <v>530</v>
      </c>
      <c r="DQ21" s="214" t="s">
        <v>1892</v>
      </c>
      <c r="DR21" s="214" t="s">
        <v>950</v>
      </c>
      <c r="DS21" s="214" t="s">
        <v>70</v>
      </c>
      <c r="DT21" s="214" t="s">
        <v>530</v>
      </c>
      <c r="DV21" s="214" t="s">
        <v>1893</v>
      </c>
      <c r="DW21" s="214" t="s">
        <v>52</v>
      </c>
      <c r="DX21" s="214" t="s">
        <v>70</v>
      </c>
      <c r="DY21" s="214" t="s">
        <v>530</v>
      </c>
      <c r="EA21" s="214" t="s">
        <v>1894</v>
      </c>
      <c r="EB21" s="214" t="s">
        <v>34548</v>
      </c>
      <c r="EC21" s="214" t="s">
        <v>70</v>
      </c>
      <c r="ED21" s="214" t="s">
        <v>530</v>
      </c>
      <c r="EF21" s="214" t="s">
        <v>1895</v>
      </c>
      <c r="EG21" s="214" t="s">
        <v>926</v>
      </c>
      <c r="EH21" s="214" t="s">
        <v>70</v>
      </c>
      <c r="EI21" s="214" t="s">
        <v>530</v>
      </c>
      <c r="EK21" s="214" t="s">
        <v>1896</v>
      </c>
      <c r="EL21" s="214" t="s">
        <v>926</v>
      </c>
      <c r="EM21" s="214" t="s">
        <v>70</v>
      </c>
      <c r="EN21" s="214" t="s">
        <v>530</v>
      </c>
      <c r="EP21" s="214" t="s">
        <v>1897</v>
      </c>
      <c r="EQ21" s="214" t="s">
        <v>926</v>
      </c>
      <c r="ER21" s="214" t="s">
        <v>70</v>
      </c>
      <c r="ES21" s="214" t="s">
        <v>530</v>
      </c>
      <c r="EU21" s="214" t="s">
        <v>1898</v>
      </c>
      <c r="EV21" s="214" t="s">
        <v>487</v>
      </c>
      <c r="EW21" s="214" t="s">
        <v>70</v>
      </c>
      <c r="EX21" s="214" t="s">
        <v>530</v>
      </c>
      <c r="EZ21" s="214" t="s">
        <v>1899</v>
      </c>
      <c r="FA21" s="214" t="s">
        <v>488</v>
      </c>
      <c r="FB21" s="214" t="s">
        <v>70</v>
      </c>
      <c r="FC21" s="214" t="s">
        <v>530</v>
      </c>
      <c r="FE21" s="214" t="s">
        <v>1900</v>
      </c>
      <c r="FF21" s="214" t="s">
        <v>490</v>
      </c>
      <c r="FG21" s="214" t="s">
        <v>70</v>
      </c>
      <c r="FH21" s="214" t="s">
        <v>530</v>
      </c>
      <c r="FJ21" s="321" t="s">
        <v>1901</v>
      </c>
      <c r="FK21" s="214" t="s">
        <v>482</v>
      </c>
      <c r="FL21" s="214" t="s">
        <v>70</v>
      </c>
      <c r="FM21" s="214" t="s">
        <v>530</v>
      </c>
      <c r="FO21" s="321" t="s">
        <v>1902</v>
      </c>
      <c r="FP21" s="214" t="s">
        <v>145</v>
      </c>
      <c r="FQ21" s="214" t="s">
        <v>70</v>
      </c>
      <c r="FR21" s="214" t="s">
        <v>530</v>
      </c>
      <c r="FT21" s="321" t="s">
        <v>1903</v>
      </c>
      <c r="FU21" s="214" t="s">
        <v>148</v>
      </c>
      <c r="FV21" s="214" t="s">
        <v>70</v>
      </c>
      <c r="FW21" s="214" t="s">
        <v>530</v>
      </c>
      <c r="FY21" s="321" t="s">
        <v>1904</v>
      </c>
      <c r="FZ21" s="214" t="s">
        <v>468</v>
      </c>
      <c r="GA21" s="214" t="s">
        <v>70</v>
      </c>
      <c r="GB21" s="214" t="s">
        <v>530</v>
      </c>
      <c r="GD21" s="321" t="s">
        <v>1905</v>
      </c>
      <c r="GE21" s="214" t="s">
        <v>34569</v>
      </c>
      <c r="GF21" s="214" t="s">
        <v>70</v>
      </c>
      <c r="GG21" s="214" t="s">
        <v>530</v>
      </c>
      <c r="GI21" s="321" t="s">
        <v>1906</v>
      </c>
      <c r="GJ21" s="214" t="s">
        <v>34556</v>
      </c>
      <c r="GK21" s="214" t="s">
        <v>70</v>
      </c>
      <c r="GL21" s="214" t="s">
        <v>530</v>
      </c>
      <c r="GN21" s="321" t="s">
        <v>1907</v>
      </c>
      <c r="GO21" s="214" t="s">
        <v>34516</v>
      </c>
      <c r="GP21" s="214" t="s">
        <v>70</v>
      </c>
      <c r="GQ21" s="214" t="s">
        <v>530</v>
      </c>
      <c r="GS21" s="321" t="s">
        <v>1908</v>
      </c>
      <c r="GT21" s="214" t="s">
        <v>203</v>
      </c>
      <c r="GU21" s="214" t="s">
        <v>70</v>
      </c>
      <c r="GV21" s="214" t="s">
        <v>530</v>
      </c>
      <c r="GX21" s="214" t="s">
        <v>1909</v>
      </c>
      <c r="GY21" s="214" t="s">
        <v>88</v>
      </c>
      <c r="GZ21" s="214" t="s">
        <v>70</v>
      </c>
      <c r="HA21" s="214" t="s">
        <v>530</v>
      </c>
      <c r="HC21" s="214" t="s">
        <v>1910</v>
      </c>
      <c r="HD21" s="214" t="s">
        <v>34558</v>
      </c>
      <c r="HE21" s="214" t="s">
        <v>70</v>
      </c>
      <c r="HF21" s="214" t="s">
        <v>530</v>
      </c>
      <c r="HH21" s="214" t="s">
        <v>1911</v>
      </c>
      <c r="HI21" s="214" t="s">
        <v>486</v>
      </c>
      <c r="HJ21" s="214" t="s">
        <v>70</v>
      </c>
      <c r="HK21" s="214" t="s">
        <v>530</v>
      </c>
      <c r="HM21" s="214" t="s">
        <v>1912</v>
      </c>
      <c r="HN21" s="214" t="s">
        <v>34556</v>
      </c>
      <c r="HO21" s="214" t="s">
        <v>70</v>
      </c>
      <c r="HP21" s="214" t="s">
        <v>34121</v>
      </c>
      <c r="HR21" s="22" t="s">
        <v>1913</v>
      </c>
      <c r="HS21" s="22" t="s">
        <v>488</v>
      </c>
      <c r="HT21" s="22" t="s">
        <v>70</v>
      </c>
      <c r="HU21" s="214" t="s">
        <v>530</v>
      </c>
      <c r="HW21" s="22" t="s">
        <v>1914</v>
      </c>
      <c r="HX21" s="22" t="s">
        <v>919</v>
      </c>
      <c r="HY21" s="22" t="s">
        <v>70</v>
      </c>
      <c r="HZ21" s="214" t="s">
        <v>530</v>
      </c>
      <c r="IB21" s="22" t="s">
        <v>1915</v>
      </c>
      <c r="IC21" s="22" t="s">
        <v>486</v>
      </c>
      <c r="ID21" s="22" t="s">
        <v>70</v>
      </c>
      <c r="IE21" s="214" t="s">
        <v>530</v>
      </c>
      <c r="IG21" s="22" t="s">
        <v>1916</v>
      </c>
      <c r="IH21" s="22" t="s">
        <v>148</v>
      </c>
      <c r="II21" s="22" t="s">
        <v>70</v>
      </c>
      <c r="IJ21" s="214" t="s">
        <v>530</v>
      </c>
      <c r="IL21" s="22" t="s">
        <v>1917</v>
      </c>
      <c r="IM21" s="22" t="s">
        <v>145</v>
      </c>
      <c r="IN21" s="22" t="s">
        <v>70</v>
      </c>
      <c r="IO21" s="214" t="s">
        <v>530</v>
      </c>
      <c r="IQ21" s="236" t="s">
        <v>1918</v>
      </c>
      <c r="IR21" s="236" t="s">
        <v>145</v>
      </c>
      <c r="IS21" s="236" t="s">
        <v>74</v>
      </c>
      <c r="IT21" s="236" t="s">
        <v>841</v>
      </c>
      <c r="IV21" s="236" t="s">
        <v>1919</v>
      </c>
      <c r="IW21" s="236" t="s">
        <v>145</v>
      </c>
      <c r="IX21" s="236" t="s">
        <v>74</v>
      </c>
      <c r="IY21" s="236" t="s">
        <v>841</v>
      </c>
      <c r="JA21" s="236" t="s">
        <v>1920</v>
      </c>
      <c r="JB21" s="236" t="s">
        <v>145</v>
      </c>
      <c r="JC21" s="236" t="s">
        <v>74</v>
      </c>
      <c r="JD21" s="236" t="s">
        <v>841</v>
      </c>
      <c r="JF21" s="236" t="s">
        <v>1921</v>
      </c>
      <c r="JG21" s="236" t="s">
        <v>145</v>
      </c>
      <c r="JH21" s="236" t="s">
        <v>74</v>
      </c>
      <c r="JI21" s="236" t="s">
        <v>841</v>
      </c>
      <c r="JK21" s="236" t="s">
        <v>1922</v>
      </c>
      <c r="JL21" s="236" t="s">
        <v>145</v>
      </c>
      <c r="JM21" s="236" t="s">
        <v>74</v>
      </c>
      <c r="JN21" s="236" t="s">
        <v>841</v>
      </c>
      <c r="JP21" s="236" t="s">
        <v>1923</v>
      </c>
      <c r="JQ21" s="236" t="s">
        <v>145</v>
      </c>
      <c r="JR21" s="236" t="s">
        <v>74</v>
      </c>
      <c r="JS21" s="236" t="s">
        <v>841</v>
      </c>
      <c r="JU21" s="294" t="s">
        <v>1924</v>
      </c>
      <c r="JV21" s="294" t="str">
        <f>TVIIBE1M_CalPairs!$R15</f>
        <v>0x03</v>
      </c>
      <c r="JW21" s="263" t="s">
        <v>70</v>
      </c>
      <c r="JX21" s="294" t="str">
        <f>TVIIBE1M_CalPairs!$Q15</f>
        <v>SMPU15_ATT0_B1</v>
      </c>
      <c r="JZ21" s="263" t="s">
        <v>1925</v>
      </c>
      <c r="KA21" s="263" t="s">
        <v>145</v>
      </c>
      <c r="KB21" s="263" t="s">
        <v>70</v>
      </c>
      <c r="KC21" s="263" t="s">
        <v>1083</v>
      </c>
      <c r="KE21" s="263" t="s">
        <v>1926</v>
      </c>
      <c r="KF21" s="263" t="s">
        <v>52</v>
      </c>
      <c r="KG21" s="263" t="s">
        <v>70</v>
      </c>
      <c r="KH21" s="263" t="s">
        <v>1083</v>
      </c>
      <c r="KJ21" s="263" t="s">
        <v>1927</v>
      </c>
      <c r="KK21" s="263" t="s">
        <v>52</v>
      </c>
      <c r="KL21" s="263" t="s">
        <v>74</v>
      </c>
      <c r="KM21" s="263" t="s">
        <v>34229</v>
      </c>
      <c r="KO21" s="214" t="s">
        <v>1928</v>
      </c>
      <c r="KP21" s="214" t="s">
        <v>145</v>
      </c>
      <c r="KQ21" s="214" t="s">
        <v>70</v>
      </c>
      <c r="KR21" s="214" t="s">
        <v>67</v>
      </c>
      <c r="KT21" s="22" t="s">
        <v>1929</v>
      </c>
      <c r="KU21" s="22" t="s">
        <v>145</v>
      </c>
      <c r="KV21" s="22" t="s">
        <v>70</v>
      </c>
      <c r="KW21" s="22" t="s">
        <v>67</v>
      </c>
      <c r="KY21" s="214" t="s">
        <v>1930</v>
      </c>
      <c r="KZ21" s="214" t="s">
        <v>52</v>
      </c>
      <c r="LA21" s="214" t="s">
        <v>74</v>
      </c>
      <c r="LB21" s="214" t="s">
        <v>823</v>
      </c>
      <c r="LD21" s="22" t="s">
        <v>1931</v>
      </c>
      <c r="LE21" s="22" t="s">
        <v>145</v>
      </c>
      <c r="LF21" s="22" t="s">
        <v>70</v>
      </c>
      <c r="LG21" s="22" t="s">
        <v>67</v>
      </c>
    </row>
    <row r="22" spans="1:319">
      <c r="A22" s="22" t="s">
        <v>1932</v>
      </c>
      <c r="B22" s="22" t="s">
        <v>145</v>
      </c>
      <c r="C22" s="22" t="s">
        <v>70</v>
      </c>
      <c r="D22" s="22" t="s">
        <v>67</v>
      </c>
      <c r="F22" s="23" t="s">
        <v>1933</v>
      </c>
      <c r="G22" s="23" t="str">
        <f>TVIIBE1M_CalPairs!$E19</f>
        <v>0x00</v>
      </c>
      <c r="H22" s="23" t="s">
        <v>70</v>
      </c>
      <c r="I22" s="23" t="str">
        <f>TVIIBE1M_CalPairs!$C19</f>
        <v>CPUSS_TRIM_CTL_ADDR1</v>
      </c>
      <c r="K22" s="218" t="s">
        <v>1934</v>
      </c>
      <c r="L22" s="218" t="s">
        <v>145</v>
      </c>
      <c r="M22" s="305" t="s">
        <v>72</v>
      </c>
      <c r="N22" s="312" t="s">
        <v>34098</v>
      </c>
      <c r="P22" s="218" t="s">
        <v>1935</v>
      </c>
      <c r="Q22" s="218" t="s">
        <v>145</v>
      </c>
      <c r="R22" s="218" t="s">
        <v>72</v>
      </c>
      <c r="S22" s="218" t="s">
        <v>772</v>
      </c>
      <c r="U22" s="293" t="s">
        <v>1936</v>
      </c>
      <c r="V22" s="293" t="s">
        <v>145</v>
      </c>
      <c r="W22" s="293" t="s">
        <v>74</v>
      </c>
      <c r="X22" s="293" t="s">
        <v>656</v>
      </c>
      <c r="Z22" s="293" t="s">
        <v>1937</v>
      </c>
      <c r="AA22" s="293" t="s">
        <v>145</v>
      </c>
      <c r="AB22" s="293" t="s">
        <v>74</v>
      </c>
      <c r="AC22" s="293" t="s">
        <v>656</v>
      </c>
      <c r="AE22" s="293" t="s">
        <v>1938</v>
      </c>
      <c r="AF22" s="293" t="s">
        <v>145</v>
      </c>
      <c r="AG22" s="293" t="s">
        <v>74</v>
      </c>
      <c r="AH22" s="293" t="s">
        <v>656</v>
      </c>
      <c r="AJ22" s="293" t="s">
        <v>1939</v>
      </c>
      <c r="AK22" s="293" t="s">
        <v>145</v>
      </c>
      <c r="AL22" s="293" t="s">
        <v>74</v>
      </c>
      <c r="AM22" s="293" t="s">
        <v>656</v>
      </c>
      <c r="AO22" s="22" t="s">
        <v>1940</v>
      </c>
      <c r="AP22" s="22" t="s">
        <v>145</v>
      </c>
      <c r="AQ22" s="22" t="s">
        <v>70</v>
      </c>
      <c r="AR22" s="22" t="s">
        <v>67</v>
      </c>
      <c r="AT22" s="22" t="s">
        <v>1941</v>
      </c>
      <c r="AU22" s="22" t="s">
        <v>145</v>
      </c>
      <c r="AV22" s="22" t="s">
        <v>70</v>
      </c>
      <c r="AW22" s="22" t="s">
        <v>67</v>
      </c>
      <c r="AY22" s="22" t="s">
        <v>1942</v>
      </c>
      <c r="AZ22" s="22" t="s">
        <v>145</v>
      </c>
      <c r="BA22" s="22" t="s">
        <v>70</v>
      </c>
      <c r="BB22" s="22" t="s">
        <v>67</v>
      </c>
      <c r="BD22" s="22" t="s">
        <v>1943</v>
      </c>
      <c r="BE22" s="22" t="s">
        <v>145</v>
      </c>
      <c r="BF22" s="22" t="s">
        <v>70</v>
      </c>
      <c r="BG22" s="22" t="s">
        <v>67</v>
      </c>
      <c r="BI22" s="22" t="s">
        <v>1944</v>
      </c>
      <c r="BJ22" s="22" t="s">
        <v>145</v>
      </c>
      <c r="BK22" s="22" t="s">
        <v>70</v>
      </c>
      <c r="BL22" s="22" t="s">
        <v>67</v>
      </c>
      <c r="BN22" s="22" t="s">
        <v>1945</v>
      </c>
      <c r="BO22" s="22" t="s">
        <v>145</v>
      </c>
      <c r="BP22" s="22" t="s">
        <v>70</v>
      </c>
      <c r="BQ22" s="22" t="s">
        <v>67</v>
      </c>
      <c r="BS22" s="22" t="s">
        <v>1946</v>
      </c>
      <c r="BT22" s="22" t="s">
        <v>145</v>
      </c>
      <c r="BU22" s="22" t="s">
        <v>70</v>
      </c>
      <c r="BV22" s="214" t="s">
        <v>530</v>
      </c>
      <c r="BX22" s="22" t="s">
        <v>1947</v>
      </c>
      <c r="BY22" s="22" t="s">
        <v>145</v>
      </c>
      <c r="BZ22" s="22" t="s">
        <v>70</v>
      </c>
      <c r="CA22" s="214" t="s">
        <v>530</v>
      </c>
      <c r="CC22" s="214" t="s">
        <v>1948</v>
      </c>
      <c r="CD22" s="214" t="s">
        <v>52</v>
      </c>
      <c r="CE22" s="214" t="s">
        <v>70</v>
      </c>
      <c r="CF22" s="214" t="s">
        <v>895</v>
      </c>
      <c r="CH22" s="214" t="s">
        <v>1949</v>
      </c>
      <c r="CI22" s="214" t="s">
        <v>34576</v>
      </c>
      <c r="CJ22" s="214" t="s">
        <v>70</v>
      </c>
      <c r="CK22" s="214" t="s">
        <v>530</v>
      </c>
      <c r="CM22" s="214" t="s">
        <v>1950</v>
      </c>
      <c r="CN22" s="214" t="s">
        <v>148</v>
      </c>
      <c r="CO22" s="214" t="s">
        <v>70</v>
      </c>
      <c r="CP22" s="214" t="s">
        <v>530</v>
      </c>
      <c r="CR22" s="214" t="s">
        <v>1951</v>
      </c>
      <c r="CS22" s="214" t="s">
        <v>203</v>
      </c>
      <c r="CT22" s="214" t="s">
        <v>70</v>
      </c>
      <c r="CU22" s="214" t="s">
        <v>530</v>
      </c>
      <c r="CW22" s="214" t="s">
        <v>1952</v>
      </c>
      <c r="CX22" s="214" t="s">
        <v>85</v>
      </c>
      <c r="CY22" s="214" t="s">
        <v>70</v>
      </c>
      <c r="CZ22" s="214" t="s">
        <v>530</v>
      </c>
      <c r="DB22" s="214" t="s">
        <v>1953</v>
      </c>
      <c r="DC22" s="214" t="s">
        <v>52</v>
      </c>
      <c r="DD22" s="214" t="s">
        <v>70</v>
      </c>
      <c r="DE22" s="214" t="s">
        <v>530</v>
      </c>
      <c r="DG22" s="214" t="s">
        <v>1954</v>
      </c>
      <c r="DH22" s="214" t="s">
        <v>86</v>
      </c>
      <c r="DI22" s="214" t="s">
        <v>70</v>
      </c>
      <c r="DJ22" s="214" t="s">
        <v>530</v>
      </c>
      <c r="DL22" s="214" t="s">
        <v>1955</v>
      </c>
      <c r="DM22" s="214" t="s">
        <v>529</v>
      </c>
      <c r="DN22" s="214" t="s">
        <v>70</v>
      </c>
      <c r="DO22" s="214" t="s">
        <v>530</v>
      </c>
      <c r="DQ22" s="214" t="s">
        <v>1956</v>
      </c>
      <c r="DR22" s="214" t="s">
        <v>34604</v>
      </c>
      <c r="DS22" s="214" t="s">
        <v>70</v>
      </c>
      <c r="DT22" s="214" t="s">
        <v>530</v>
      </c>
      <c r="DV22" s="214" t="s">
        <v>1957</v>
      </c>
      <c r="DW22" s="214" t="s">
        <v>88</v>
      </c>
      <c r="DX22" s="214" t="s">
        <v>70</v>
      </c>
      <c r="DY22" s="214" t="s">
        <v>530</v>
      </c>
      <c r="EA22" s="214" t="s">
        <v>1958</v>
      </c>
      <c r="EB22" s="214" t="s">
        <v>946</v>
      </c>
      <c r="EC22" s="214" t="s">
        <v>70</v>
      </c>
      <c r="ED22" s="214" t="s">
        <v>530</v>
      </c>
      <c r="EF22" s="214" t="s">
        <v>1959</v>
      </c>
      <c r="EG22" s="214" t="s">
        <v>52</v>
      </c>
      <c r="EH22" s="214" t="s">
        <v>70</v>
      </c>
      <c r="EI22" s="214" t="s">
        <v>530</v>
      </c>
      <c r="EK22" s="214" t="s">
        <v>1960</v>
      </c>
      <c r="EL22" s="214" t="s">
        <v>52</v>
      </c>
      <c r="EM22" s="214" t="s">
        <v>70</v>
      </c>
      <c r="EN22" s="214" t="s">
        <v>530</v>
      </c>
      <c r="EP22" s="214" t="s">
        <v>1961</v>
      </c>
      <c r="EQ22" s="214" t="s">
        <v>52</v>
      </c>
      <c r="ER22" s="214" t="s">
        <v>70</v>
      </c>
      <c r="ES22" s="214" t="s">
        <v>530</v>
      </c>
      <c r="EU22" s="214" t="s">
        <v>1962</v>
      </c>
      <c r="EV22" s="214" t="s">
        <v>163</v>
      </c>
      <c r="EW22" s="214" t="s">
        <v>70</v>
      </c>
      <c r="EX22" s="214" t="s">
        <v>530</v>
      </c>
      <c r="EZ22" s="214" t="s">
        <v>1963</v>
      </c>
      <c r="FA22" s="214" t="s">
        <v>292</v>
      </c>
      <c r="FB22" s="214" t="s">
        <v>70</v>
      </c>
      <c r="FC22" s="214" t="s">
        <v>530</v>
      </c>
      <c r="FE22" s="214" t="s">
        <v>1964</v>
      </c>
      <c r="FF22" s="214" t="s">
        <v>34566</v>
      </c>
      <c r="FG22" s="214" t="s">
        <v>70</v>
      </c>
      <c r="FH22" s="214" t="s">
        <v>530</v>
      </c>
      <c r="FJ22" s="321" t="s">
        <v>1965</v>
      </c>
      <c r="FK22" s="214" t="s">
        <v>145</v>
      </c>
      <c r="FL22" s="214" t="s">
        <v>70</v>
      </c>
      <c r="FM22" s="214" t="s">
        <v>530</v>
      </c>
      <c r="FO22" s="321" t="s">
        <v>1966</v>
      </c>
      <c r="FP22" s="214" t="s">
        <v>34538</v>
      </c>
      <c r="FQ22" s="214" t="s">
        <v>70</v>
      </c>
      <c r="FR22" s="214" t="s">
        <v>530</v>
      </c>
      <c r="FT22" s="321" t="s">
        <v>1967</v>
      </c>
      <c r="FU22" s="214" t="s">
        <v>52</v>
      </c>
      <c r="FV22" s="214" t="s">
        <v>70</v>
      </c>
      <c r="FW22" s="214" t="s">
        <v>530</v>
      </c>
      <c r="FY22" s="321" t="s">
        <v>1968</v>
      </c>
      <c r="FZ22" s="214" t="s">
        <v>52</v>
      </c>
      <c r="GA22" s="214" t="s">
        <v>70</v>
      </c>
      <c r="GB22" s="214" t="s">
        <v>530</v>
      </c>
      <c r="GD22" s="321" t="s">
        <v>1969</v>
      </c>
      <c r="GE22" s="214" t="s">
        <v>920</v>
      </c>
      <c r="GF22" s="214" t="s">
        <v>70</v>
      </c>
      <c r="GG22" s="214" t="s">
        <v>530</v>
      </c>
      <c r="GI22" s="321" t="s">
        <v>1970</v>
      </c>
      <c r="GJ22" s="214" t="s">
        <v>148</v>
      </c>
      <c r="GK22" s="214" t="s">
        <v>70</v>
      </c>
      <c r="GL22" s="214" t="s">
        <v>530</v>
      </c>
      <c r="GN22" s="321" t="s">
        <v>1971</v>
      </c>
      <c r="GO22" s="214" t="s">
        <v>88</v>
      </c>
      <c r="GP22" s="214" t="s">
        <v>70</v>
      </c>
      <c r="GQ22" s="214" t="s">
        <v>530</v>
      </c>
      <c r="GS22" s="321" t="s">
        <v>1972</v>
      </c>
      <c r="GT22" s="214" t="s">
        <v>492</v>
      </c>
      <c r="GU22" s="214" t="s">
        <v>70</v>
      </c>
      <c r="GV22" s="214" t="s">
        <v>530</v>
      </c>
      <c r="GX22" s="214" t="s">
        <v>1973</v>
      </c>
      <c r="GY22" s="214" t="s">
        <v>52</v>
      </c>
      <c r="GZ22" s="214" t="s">
        <v>70</v>
      </c>
      <c r="HA22" s="214" t="s">
        <v>530</v>
      </c>
      <c r="HC22" s="214" t="s">
        <v>1974</v>
      </c>
      <c r="HD22" s="214" t="s">
        <v>52</v>
      </c>
      <c r="HE22" s="214" t="s">
        <v>70</v>
      </c>
      <c r="HF22" s="214" t="s">
        <v>530</v>
      </c>
      <c r="HH22" s="214" t="s">
        <v>1975</v>
      </c>
      <c r="HI22" s="214" t="s">
        <v>498</v>
      </c>
      <c r="HJ22" s="214" t="s">
        <v>70</v>
      </c>
      <c r="HK22" s="214" t="s">
        <v>530</v>
      </c>
      <c r="HM22" s="214" t="s">
        <v>1976</v>
      </c>
      <c r="HN22" s="214" t="s">
        <v>145</v>
      </c>
      <c r="HO22" s="214" t="s">
        <v>70</v>
      </c>
      <c r="HP22" s="214" t="s">
        <v>34121</v>
      </c>
      <c r="HR22" s="22" t="s">
        <v>1977</v>
      </c>
      <c r="HS22" s="22" t="s">
        <v>34557</v>
      </c>
      <c r="HT22" s="22" t="s">
        <v>70</v>
      </c>
      <c r="HU22" s="214" t="s">
        <v>530</v>
      </c>
      <c r="HW22" s="22" t="s">
        <v>1978</v>
      </c>
      <c r="HX22" s="22" t="s">
        <v>933</v>
      </c>
      <c r="HY22" s="22" t="s">
        <v>70</v>
      </c>
      <c r="HZ22" s="214" t="s">
        <v>530</v>
      </c>
      <c r="IB22" s="22" t="s">
        <v>1979</v>
      </c>
      <c r="IC22" s="22" t="s">
        <v>34555</v>
      </c>
      <c r="ID22" s="22" t="s">
        <v>70</v>
      </c>
      <c r="IE22" s="214" t="s">
        <v>530</v>
      </c>
      <c r="IG22" s="22" t="s">
        <v>1980</v>
      </c>
      <c r="IH22" s="22" t="s">
        <v>52</v>
      </c>
      <c r="II22" s="22" t="s">
        <v>70</v>
      </c>
      <c r="IJ22" s="214" t="s">
        <v>530</v>
      </c>
      <c r="IL22" s="22" t="s">
        <v>1981</v>
      </c>
      <c r="IM22" s="22" t="s">
        <v>145</v>
      </c>
      <c r="IN22" s="22" t="s">
        <v>70</v>
      </c>
      <c r="IO22" s="214" t="s">
        <v>530</v>
      </c>
      <c r="IQ22" s="236" t="s">
        <v>1982</v>
      </c>
      <c r="IR22" s="236" t="s">
        <v>145</v>
      </c>
      <c r="IS22" s="236" t="s">
        <v>74</v>
      </c>
      <c r="IT22" s="236" t="s">
        <v>841</v>
      </c>
      <c r="IV22" s="236" t="s">
        <v>1983</v>
      </c>
      <c r="IW22" s="236" t="s">
        <v>145</v>
      </c>
      <c r="IX22" s="236" t="s">
        <v>74</v>
      </c>
      <c r="IY22" s="236" t="s">
        <v>841</v>
      </c>
      <c r="JA22" s="236" t="s">
        <v>1984</v>
      </c>
      <c r="JB22" s="236" t="s">
        <v>145</v>
      </c>
      <c r="JC22" s="236" t="s">
        <v>74</v>
      </c>
      <c r="JD22" s="236" t="s">
        <v>841</v>
      </c>
      <c r="JF22" s="236" t="s">
        <v>1985</v>
      </c>
      <c r="JG22" s="236" t="s">
        <v>145</v>
      </c>
      <c r="JH22" s="236" t="s">
        <v>74</v>
      </c>
      <c r="JI22" s="236" t="s">
        <v>841</v>
      </c>
      <c r="JK22" s="236" t="s">
        <v>1986</v>
      </c>
      <c r="JL22" s="236" t="s">
        <v>145</v>
      </c>
      <c r="JM22" s="236" t="s">
        <v>74</v>
      </c>
      <c r="JN22" s="236" t="s">
        <v>841</v>
      </c>
      <c r="JP22" s="236" t="s">
        <v>1987</v>
      </c>
      <c r="JQ22" s="236" t="s">
        <v>145</v>
      </c>
      <c r="JR22" s="236" t="s">
        <v>74</v>
      </c>
      <c r="JS22" s="236" t="s">
        <v>841</v>
      </c>
      <c r="JU22" s="294" t="s">
        <v>1988</v>
      </c>
      <c r="JV22" s="294" t="str">
        <f>TVIIBE1M_CalPairs!$R16</f>
        <v>0x00</v>
      </c>
      <c r="JW22" s="263" t="s">
        <v>70</v>
      </c>
      <c r="JX22" s="294" t="str">
        <f>TVIIBE1M_CalPairs!$Q16</f>
        <v>SMPU15_ATT0_B2</v>
      </c>
      <c r="JZ22" s="263" t="s">
        <v>1989</v>
      </c>
      <c r="KA22" s="263" t="s">
        <v>145</v>
      </c>
      <c r="KB22" s="263" t="s">
        <v>70</v>
      </c>
      <c r="KC22" s="263" t="s">
        <v>1083</v>
      </c>
      <c r="KE22" s="263" t="s">
        <v>1990</v>
      </c>
      <c r="KF22" s="263" t="s">
        <v>52</v>
      </c>
      <c r="KG22" s="263" t="s">
        <v>70</v>
      </c>
      <c r="KH22" s="263" t="s">
        <v>1083</v>
      </c>
      <c r="KJ22" s="263" t="s">
        <v>1991</v>
      </c>
      <c r="KK22" s="263" t="s">
        <v>52</v>
      </c>
      <c r="KL22" s="263" t="s">
        <v>74</v>
      </c>
      <c r="KM22" s="263" t="s">
        <v>34230</v>
      </c>
      <c r="KO22" s="214" t="s">
        <v>1992</v>
      </c>
      <c r="KP22" s="214" t="s">
        <v>145</v>
      </c>
      <c r="KQ22" s="214" t="s">
        <v>70</v>
      </c>
      <c r="KR22" s="214" t="s">
        <v>67</v>
      </c>
      <c r="KT22" s="22" t="s">
        <v>1993</v>
      </c>
      <c r="KU22" s="22" t="s">
        <v>145</v>
      </c>
      <c r="KV22" s="22" t="s">
        <v>70</v>
      </c>
      <c r="KW22" s="22" t="s">
        <v>67</v>
      </c>
      <c r="KY22" s="214" t="s">
        <v>1994</v>
      </c>
      <c r="KZ22" s="214" t="s">
        <v>52</v>
      </c>
      <c r="LA22" s="214" t="s">
        <v>74</v>
      </c>
      <c r="LB22" s="214" t="s">
        <v>823</v>
      </c>
      <c r="LD22" s="22" t="s">
        <v>1995</v>
      </c>
      <c r="LE22" s="22" t="s">
        <v>145</v>
      </c>
      <c r="LF22" s="22" t="s">
        <v>70</v>
      </c>
      <c r="LG22" s="22" t="s">
        <v>67</v>
      </c>
    </row>
    <row r="23" spans="1:319">
      <c r="A23" s="22" t="s">
        <v>1996</v>
      </c>
      <c r="B23" s="22" t="s">
        <v>145</v>
      </c>
      <c r="C23" s="22" t="s">
        <v>70</v>
      </c>
      <c r="D23" s="22" t="s">
        <v>67</v>
      </c>
      <c r="F23" s="23" t="s">
        <v>1997</v>
      </c>
      <c r="G23" s="23" t="str">
        <f>TVIIBE1M_CalPairs!$E20</f>
        <v>0x02</v>
      </c>
      <c r="H23" s="23" t="s">
        <v>72</v>
      </c>
      <c r="I23" s="23" t="str">
        <f>TVIIBE1M_CalPairs!$C20</f>
        <v>CPUSS_TRIM_ROM_CTL_VAL0</v>
      </c>
      <c r="K23" s="218" t="s">
        <v>1998</v>
      </c>
      <c r="L23" s="218" t="s">
        <v>145</v>
      </c>
      <c r="M23" s="305" t="s">
        <v>72</v>
      </c>
      <c r="N23" s="312" t="s">
        <v>34098</v>
      </c>
      <c r="P23" s="218" t="s">
        <v>1999</v>
      </c>
      <c r="Q23" s="218" t="s">
        <v>145</v>
      </c>
      <c r="R23" s="218" t="s">
        <v>72</v>
      </c>
      <c r="S23" s="218" t="s">
        <v>773</v>
      </c>
      <c r="U23" s="293" t="s">
        <v>2000</v>
      </c>
      <c r="V23" s="293" t="s">
        <v>145</v>
      </c>
      <c r="W23" s="293" t="s">
        <v>74</v>
      </c>
      <c r="X23" s="293" t="s">
        <v>656</v>
      </c>
      <c r="Z23" s="293" t="s">
        <v>2001</v>
      </c>
      <c r="AA23" s="293" t="s">
        <v>145</v>
      </c>
      <c r="AB23" s="293" t="s">
        <v>74</v>
      </c>
      <c r="AC23" s="293" t="s">
        <v>656</v>
      </c>
      <c r="AE23" s="293" t="s">
        <v>2002</v>
      </c>
      <c r="AF23" s="293" t="s">
        <v>145</v>
      </c>
      <c r="AG23" s="293" t="s">
        <v>74</v>
      </c>
      <c r="AH23" s="293" t="s">
        <v>656</v>
      </c>
      <c r="AJ23" s="293" t="s">
        <v>2003</v>
      </c>
      <c r="AK23" s="293" t="s">
        <v>145</v>
      </c>
      <c r="AL23" s="293" t="s">
        <v>74</v>
      </c>
      <c r="AM23" s="293" t="s">
        <v>656</v>
      </c>
      <c r="AO23" s="22" t="s">
        <v>2004</v>
      </c>
      <c r="AP23" s="22" t="s">
        <v>145</v>
      </c>
      <c r="AQ23" s="22" t="s">
        <v>70</v>
      </c>
      <c r="AR23" s="22" t="s">
        <v>67</v>
      </c>
      <c r="AT23" s="22" t="s">
        <v>2005</v>
      </c>
      <c r="AU23" s="22" t="s">
        <v>145</v>
      </c>
      <c r="AV23" s="22" t="s">
        <v>70</v>
      </c>
      <c r="AW23" s="22" t="s">
        <v>67</v>
      </c>
      <c r="AY23" s="22" t="s">
        <v>2006</v>
      </c>
      <c r="AZ23" s="22" t="s">
        <v>145</v>
      </c>
      <c r="BA23" s="22" t="s">
        <v>70</v>
      </c>
      <c r="BB23" s="22" t="s">
        <v>67</v>
      </c>
      <c r="BD23" s="22" t="s">
        <v>2007</v>
      </c>
      <c r="BE23" s="22" t="s">
        <v>145</v>
      </c>
      <c r="BF23" s="22" t="s">
        <v>70</v>
      </c>
      <c r="BG23" s="22" t="s">
        <v>67</v>
      </c>
      <c r="BI23" s="22" t="s">
        <v>2008</v>
      </c>
      <c r="BJ23" s="22" t="s">
        <v>145</v>
      </c>
      <c r="BK23" s="22" t="s">
        <v>70</v>
      </c>
      <c r="BL23" s="22" t="s">
        <v>67</v>
      </c>
      <c r="BN23" s="22" t="s">
        <v>2009</v>
      </c>
      <c r="BO23" s="22" t="s">
        <v>145</v>
      </c>
      <c r="BP23" s="22" t="s">
        <v>70</v>
      </c>
      <c r="BQ23" s="22" t="s">
        <v>67</v>
      </c>
      <c r="BS23" s="22" t="s">
        <v>2010</v>
      </c>
      <c r="BT23" s="22" t="s">
        <v>145</v>
      </c>
      <c r="BU23" s="22" t="s">
        <v>70</v>
      </c>
      <c r="BV23" s="214" t="s">
        <v>530</v>
      </c>
      <c r="BX23" s="22" t="s">
        <v>2011</v>
      </c>
      <c r="BY23" s="22" t="s">
        <v>145</v>
      </c>
      <c r="BZ23" s="22" t="s">
        <v>70</v>
      </c>
      <c r="CA23" s="214" t="s">
        <v>530</v>
      </c>
      <c r="CC23" s="214" t="s">
        <v>2012</v>
      </c>
      <c r="CD23" s="214" t="s">
        <v>52</v>
      </c>
      <c r="CE23" s="214" t="s">
        <v>70</v>
      </c>
      <c r="CF23" s="214" t="s">
        <v>896</v>
      </c>
      <c r="CH23" s="214" t="s">
        <v>2013</v>
      </c>
      <c r="CI23" s="214" t="s">
        <v>88</v>
      </c>
      <c r="CJ23" s="214" t="s">
        <v>70</v>
      </c>
      <c r="CK23" s="214" t="s">
        <v>530</v>
      </c>
      <c r="CM23" s="214" t="s">
        <v>2014</v>
      </c>
      <c r="CN23" s="214" t="s">
        <v>496</v>
      </c>
      <c r="CO23" s="214" t="s">
        <v>70</v>
      </c>
      <c r="CP23" s="214" t="s">
        <v>530</v>
      </c>
      <c r="CR23" s="214" t="s">
        <v>2015</v>
      </c>
      <c r="CS23" s="214" t="s">
        <v>482</v>
      </c>
      <c r="CT23" s="214" t="s">
        <v>70</v>
      </c>
      <c r="CU23" s="214" t="s">
        <v>530</v>
      </c>
      <c r="CW23" s="214" t="s">
        <v>2016</v>
      </c>
      <c r="CX23" s="214" t="s">
        <v>34540</v>
      </c>
      <c r="CY23" s="214" t="s">
        <v>70</v>
      </c>
      <c r="CZ23" s="214" t="s">
        <v>530</v>
      </c>
      <c r="DB23" s="214" t="s">
        <v>2017</v>
      </c>
      <c r="DC23" s="214" t="s">
        <v>165</v>
      </c>
      <c r="DD23" s="214" t="s">
        <v>70</v>
      </c>
      <c r="DE23" s="214" t="s">
        <v>530</v>
      </c>
      <c r="DG23" s="214" t="s">
        <v>2018</v>
      </c>
      <c r="DH23" s="214" t="s">
        <v>636</v>
      </c>
      <c r="DI23" s="214" t="s">
        <v>70</v>
      </c>
      <c r="DJ23" s="214" t="s">
        <v>530</v>
      </c>
      <c r="DL23" s="214" t="s">
        <v>2019</v>
      </c>
      <c r="DM23" s="214" t="s">
        <v>468</v>
      </c>
      <c r="DN23" s="214" t="s">
        <v>70</v>
      </c>
      <c r="DO23" s="214" t="s">
        <v>530</v>
      </c>
      <c r="DQ23" s="214" t="s">
        <v>2020</v>
      </c>
      <c r="DR23" s="214" t="s">
        <v>491</v>
      </c>
      <c r="DS23" s="214" t="s">
        <v>70</v>
      </c>
      <c r="DT23" s="214" t="s">
        <v>530</v>
      </c>
      <c r="DV23" s="214" t="s">
        <v>2021</v>
      </c>
      <c r="DW23" s="214" t="s">
        <v>146</v>
      </c>
      <c r="DX23" s="214" t="s">
        <v>70</v>
      </c>
      <c r="DY23" s="214" t="s">
        <v>530</v>
      </c>
      <c r="EA23" s="214" t="s">
        <v>2022</v>
      </c>
      <c r="EB23" s="214" t="s">
        <v>501</v>
      </c>
      <c r="EC23" s="214" t="s">
        <v>70</v>
      </c>
      <c r="ED23" s="214" t="s">
        <v>530</v>
      </c>
      <c r="EF23" s="214" t="s">
        <v>2023</v>
      </c>
      <c r="EG23" s="214" t="s">
        <v>206</v>
      </c>
      <c r="EH23" s="214" t="s">
        <v>70</v>
      </c>
      <c r="EI23" s="214" t="s">
        <v>530</v>
      </c>
      <c r="EK23" s="214" t="s">
        <v>2024</v>
      </c>
      <c r="EL23" s="214" t="s">
        <v>502</v>
      </c>
      <c r="EM23" s="214" t="s">
        <v>70</v>
      </c>
      <c r="EN23" s="214" t="s">
        <v>530</v>
      </c>
      <c r="EP23" s="214" t="s">
        <v>2025</v>
      </c>
      <c r="EQ23" s="214" t="s">
        <v>206</v>
      </c>
      <c r="ER23" s="214" t="s">
        <v>70</v>
      </c>
      <c r="ES23" s="214" t="s">
        <v>530</v>
      </c>
      <c r="EU23" s="214" t="s">
        <v>2026</v>
      </c>
      <c r="EV23" s="214" t="s">
        <v>468</v>
      </c>
      <c r="EW23" s="214" t="s">
        <v>70</v>
      </c>
      <c r="EX23" s="214" t="s">
        <v>530</v>
      </c>
      <c r="EZ23" s="214" t="s">
        <v>2027</v>
      </c>
      <c r="FA23" s="214" t="s">
        <v>935</v>
      </c>
      <c r="FB23" s="214" t="s">
        <v>70</v>
      </c>
      <c r="FC23" s="214" t="s">
        <v>530</v>
      </c>
      <c r="FE23" s="214" t="s">
        <v>2028</v>
      </c>
      <c r="FF23" s="214" t="s">
        <v>491</v>
      </c>
      <c r="FG23" s="214" t="s">
        <v>70</v>
      </c>
      <c r="FH23" s="214" t="s">
        <v>530</v>
      </c>
      <c r="FJ23" s="321" t="s">
        <v>2029</v>
      </c>
      <c r="FK23" s="214" t="s">
        <v>34541</v>
      </c>
      <c r="FL23" s="214" t="s">
        <v>70</v>
      </c>
      <c r="FM23" s="214" t="s">
        <v>530</v>
      </c>
      <c r="FO23" s="321" t="s">
        <v>2030</v>
      </c>
      <c r="FP23" s="214" t="s">
        <v>496</v>
      </c>
      <c r="FQ23" s="214" t="s">
        <v>70</v>
      </c>
      <c r="FR23" s="214" t="s">
        <v>530</v>
      </c>
      <c r="FT23" s="321" t="s">
        <v>2031</v>
      </c>
      <c r="FU23" s="214" t="s">
        <v>34553</v>
      </c>
      <c r="FV23" s="214" t="s">
        <v>70</v>
      </c>
      <c r="FW23" s="214" t="s">
        <v>530</v>
      </c>
      <c r="FY23" s="321" t="s">
        <v>2032</v>
      </c>
      <c r="FZ23" s="214" t="s">
        <v>34540</v>
      </c>
      <c r="GA23" s="214" t="s">
        <v>70</v>
      </c>
      <c r="GB23" s="214" t="s">
        <v>530</v>
      </c>
      <c r="GD23" s="321" t="s">
        <v>2033</v>
      </c>
      <c r="GE23" s="214" t="s">
        <v>34580</v>
      </c>
      <c r="GF23" s="214" t="s">
        <v>70</v>
      </c>
      <c r="GG23" s="214" t="s">
        <v>530</v>
      </c>
      <c r="GI23" s="321" t="s">
        <v>2034</v>
      </c>
      <c r="GJ23" s="214" t="s">
        <v>956</v>
      </c>
      <c r="GK23" s="214" t="s">
        <v>70</v>
      </c>
      <c r="GL23" s="214" t="s">
        <v>530</v>
      </c>
      <c r="GN23" s="321" t="s">
        <v>2035</v>
      </c>
      <c r="GO23" s="214" t="s">
        <v>1028</v>
      </c>
      <c r="GP23" s="214" t="s">
        <v>70</v>
      </c>
      <c r="GQ23" s="214" t="s">
        <v>530</v>
      </c>
      <c r="GS23" s="321" t="s">
        <v>2036</v>
      </c>
      <c r="GT23" s="214" t="s">
        <v>34590</v>
      </c>
      <c r="GU23" s="214" t="s">
        <v>70</v>
      </c>
      <c r="GV23" s="214" t="s">
        <v>530</v>
      </c>
      <c r="GX23" s="214" t="s">
        <v>2037</v>
      </c>
      <c r="GY23" s="214" t="s">
        <v>88</v>
      </c>
      <c r="GZ23" s="214" t="s">
        <v>70</v>
      </c>
      <c r="HA23" s="214" t="s">
        <v>530</v>
      </c>
      <c r="HC23" s="214" t="s">
        <v>2038</v>
      </c>
      <c r="HD23" s="214" t="s">
        <v>34558</v>
      </c>
      <c r="HE23" s="214" t="s">
        <v>70</v>
      </c>
      <c r="HF23" s="214" t="s">
        <v>530</v>
      </c>
      <c r="HH23" s="214" t="s">
        <v>2039</v>
      </c>
      <c r="HI23" s="214" t="s">
        <v>488</v>
      </c>
      <c r="HJ23" s="214" t="s">
        <v>70</v>
      </c>
      <c r="HK23" s="214" t="s">
        <v>530</v>
      </c>
      <c r="HM23" s="214" t="s">
        <v>2040</v>
      </c>
      <c r="HN23" s="214" t="s">
        <v>145</v>
      </c>
      <c r="HO23" s="214" t="s">
        <v>70</v>
      </c>
      <c r="HP23" s="214" t="s">
        <v>34121</v>
      </c>
      <c r="HR23" s="22" t="s">
        <v>2041</v>
      </c>
      <c r="HS23" s="22" t="s">
        <v>34557</v>
      </c>
      <c r="HT23" s="22" t="s">
        <v>70</v>
      </c>
      <c r="HU23" s="214" t="s">
        <v>530</v>
      </c>
      <c r="HW23" s="22" t="s">
        <v>2042</v>
      </c>
      <c r="HX23" s="22" t="s">
        <v>491</v>
      </c>
      <c r="HY23" s="22" t="s">
        <v>70</v>
      </c>
      <c r="HZ23" s="214" t="s">
        <v>530</v>
      </c>
      <c r="IB23" s="22" t="s">
        <v>2043</v>
      </c>
      <c r="IC23" s="22" t="s">
        <v>937</v>
      </c>
      <c r="ID23" s="22" t="s">
        <v>70</v>
      </c>
      <c r="IE23" s="214" t="s">
        <v>530</v>
      </c>
      <c r="IG23" s="22" t="s">
        <v>2044</v>
      </c>
      <c r="IH23" s="22" t="s">
        <v>34553</v>
      </c>
      <c r="II23" s="22" t="s">
        <v>70</v>
      </c>
      <c r="IJ23" s="214" t="s">
        <v>530</v>
      </c>
      <c r="IL23" s="22" t="s">
        <v>2045</v>
      </c>
      <c r="IM23" s="22" t="s">
        <v>145</v>
      </c>
      <c r="IN23" s="22" t="s">
        <v>70</v>
      </c>
      <c r="IO23" s="214" t="s">
        <v>530</v>
      </c>
      <c r="IQ23" s="236" t="s">
        <v>2046</v>
      </c>
      <c r="IR23" s="236" t="s">
        <v>145</v>
      </c>
      <c r="IS23" s="236" t="s">
        <v>74</v>
      </c>
      <c r="IT23" s="236" t="s">
        <v>841</v>
      </c>
      <c r="IV23" s="236" t="s">
        <v>2047</v>
      </c>
      <c r="IW23" s="236" t="s">
        <v>145</v>
      </c>
      <c r="IX23" s="236" t="s">
        <v>74</v>
      </c>
      <c r="IY23" s="236" t="s">
        <v>841</v>
      </c>
      <c r="JA23" s="236" t="s">
        <v>2048</v>
      </c>
      <c r="JB23" s="236" t="s">
        <v>145</v>
      </c>
      <c r="JC23" s="236" t="s">
        <v>74</v>
      </c>
      <c r="JD23" s="236" t="s">
        <v>841</v>
      </c>
      <c r="JF23" s="236" t="s">
        <v>2049</v>
      </c>
      <c r="JG23" s="236" t="s">
        <v>145</v>
      </c>
      <c r="JH23" s="236" t="s">
        <v>74</v>
      </c>
      <c r="JI23" s="236" t="s">
        <v>841</v>
      </c>
      <c r="JK23" s="236" t="s">
        <v>2050</v>
      </c>
      <c r="JL23" s="236" t="s">
        <v>145</v>
      </c>
      <c r="JM23" s="236" t="s">
        <v>74</v>
      </c>
      <c r="JN23" s="236" t="s">
        <v>841</v>
      </c>
      <c r="JP23" s="236" t="s">
        <v>2051</v>
      </c>
      <c r="JQ23" s="236" t="s">
        <v>145</v>
      </c>
      <c r="JR23" s="236" t="s">
        <v>74</v>
      </c>
      <c r="JS23" s="236" t="s">
        <v>841</v>
      </c>
      <c r="JU23" s="294" t="s">
        <v>2052</v>
      </c>
      <c r="JV23" s="294" t="str">
        <f>TVIIBE1M_CalPairs!$R17</f>
        <v>0x8A</v>
      </c>
      <c r="JW23" s="263" t="s">
        <v>70</v>
      </c>
      <c r="JX23" s="294" t="str">
        <f>TVIIBE1M_CalPairs!$Q17</f>
        <v>SMPU15_ATT0_B3</v>
      </c>
      <c r="JZ23" s="263" t="s">
        <v>2053</v>
      </c>
      <c r="KA23" s="263" t="s">
        <v>145</v>
      </c>
      <c r="KB23" s="263" t="s">
        <v>70</v>
      </c>
      <c r="KC23" s="263" t="s">
        <v>1083</v>
      </c>
      <c r="KE23" s="263" t="s">
        <v>2054</v>
      </c>
      <c r="KF23" s="263" t="s">
        <v>52</v>
      </c>
      <c r="KG23" s="263" t="s">
        <v>70</v>
      </c>
      <c r="KH23" s="263" t="s">
        <v>1083</v>
      </c>
      <c r="KJ23" s="263" t="s">
        <v>2055</v>
      </c>
      <c r="KK23" s="263" t="s">
        <v>52</v>
      </c>
      <c r="KL23" s="263" t="s">
        <v>74</v>
      </c>
      <c r="KM23" s="263" t="s">
        <v>34231</v>
      </c>
      <c r="KO23" s="214" t="s">
        <v>2056</v>
      </c>
      <c r="KP23" s="214" t="s">
        <v>145</v>
      </c>
      <c r="KQ23" s="214" t="s">
        <v>70</v>
      </c>
      <c r="KR23" s="214" t="s">
        <v>67</v>
      </c>
      <c r="KT23" s="22" t="s">
        <v>2057</v>
      </c>
      <c r="KU23" s="22" t="s">
        <v>145</v>
      </c>
      <c r="KV23" s="22" t="s">
        <v>70</v>
      </c>
      <c r="KW23" s="22" t="s">
        <v>67</v>
      </c>
      <c r="KY23" s="214" t="s">
        <v>2058</v>
      </c>
      <c r="KZ23" s="214" t="s">
        <v>92</v>
      </c>
      <c r="LA23" s="214" t="s">
        <v>74</v>
      </c>
      <c r="LB23" s="214" t="s">
        <v>823</v>
      </c>
      <c r="LD23" s="22" t="s">
        <v>2059</v>
      </c>
      <c r="LE23" s="22" t="s">
        <v>145</v>
      </c>
      <c r="LF23" s="22" t="s">
        <v>70</v>
      </c>
      <c r="LG23" s="22" t="s">
        <v>67</v>
      </c>
    </row>
    <row r="24" spans="1:319">
      <c r="A24" s="22" t="s">
        <v>2060</v>
      </c>
      <c r="B24" s="218" t="s">
        <v>34524</v>
      </c>
      <c r="C24" s="218" t="s">
        <v>72</v>
      </c>
      <c r="D24" s="218" t="s">
        <v>34497</v>
      </c>
      <c r="F24" s="23" t="s">
        <v>2061</v>
      </c>
      <c r="G24" s="23" t="str">
        <f>TVIIBE1M_CalPairs!$E21</f>
        <v>0x00</v>
      </c>
      <c r="H24" s="23" t="s">
        <v>72</v>
      </c>
      <c r="I24" s="23" t="str">
        <f>TVIIBE1M_CalPairs!$C21</f>
        <v>CPUSS_TRIM_ROM_CTL_VAL1</v>
      </c>
      <c r="K24" s="218" t="s">
        <v>2062</v>
      </c>
      <c r="L24" s="218" t="s">
        <v>145</v>
      </c>
      <c r="M24" s="305" t="s">
        <v>72</v>
      </c>
      <c r="N24" s="312" t="s">
        <v>34098</v>
      </c>
      <c r="P24" s="218" t="s">
        <v>2063</v>
      </c>
      <c r="Q24" s="218" t="s">
        <v>145</v>
      </c>
      <c r="R24" s="218" t="s">
        <v>72</v>
      </c>
      <c r="S24" s="218" t="s">
        <v>774</v>
      </c>
      <c r="U24" s="293" t="s">
        <v>2064</v>
      </c>
      <c r="V24" s="293" t="s">
        <v>145</v>
      </c>
      <c r="W24" s="293" t="s">
        <v>74</v>
      </c>
      <c r="X24" s="293" t="s">
        <v>656</v>
      </c>
      <c r="Z24" s="293" t="s">
        <v>2065</v>
      </c>
      <c r="AA24" s="293" t="s">
        <v>145</v>
      </c>
      <c r="AB24" s="293" t="s">
        <v>74</v>
      </c>
      <c r="AC24" s="293" t="s">
        <v>656</v>
      </c>
      <c r="AE24" s="293" t="s">
        <v>2066</v>
      </c>
      <c r="AF24" s="293" t="s">
        <v>145</v>
      </c>
      <c r="AG24" s="293" t="s">
        <v>74</v>
      </c>
      <c r="AH24" s="293" t="s">
        <v>656</v>
      </c>
      <c r="AJ24" s="293" t="s">
        <v>2067</v>
      </c>
      <c r="AK24" s="293" t="s">
        <v>145</v>
      </c>
      <c r="AL24" s="293" t="s">
        <v>74</v>
      </c>
      <c r="AM24" s="293" t="s">
        <v>656</v>
      </c>
      <c r="AO24" s="22" t="s">
        <v>2068</v>
      </c>
      <c r="AP24" s="22" t="s">
        <v>145</v>
      </c>
      <c r="AQ24" s="22" t="s">
        <v>70</v>
      </c>
      <c r="AR24" s="22" t="s">
        <v>67</v>
      </c>
      <c r="AT24" s="22" t="s">
        <v>2069</v>
      </c>
      <c r="AU24" s="22" t="s">
        <v>145</v>
      </c>
      <c r="AV24" s="22" t="s">
        <v>70</v>
      </c>
      <c r="AW24" s="22" t="s">
        <v>67</v>
      </c>
      <c r="AY24" s="22" t="s">
        <v>2070</v>
      </c>
      <c r="AZ24" s="22" t="s">
        <v>145</v>
      </c>
      <c r="BA24" s="22" t="s">
        <v>70</v>
      </c>
      <c r="BB24" s="22" t="s">
        <v>67</v>
      </c>
      <c r="BD24" s="22" t="s">
        <v>2071</v>
      </c>
      <c r="BE24" s="22" t="s">
        <v>145</v>
      </c>
      <c r="BF24" s="22" t="s">
        <v>70</v>
      </c>
      <c r="BG24" s="22" t="s">
        <v>67</v>
      </c>
      <c r="BI24" s="22" t="s">
        <v>2072</v>
      </c>
      <c r="BJ24" s="22" t="s">
        <v>145</v>
      </c>
      <c r="BK24" s="22" t="s">
        <v>70</v>
      </c>
      <c r="BL24" s="22" t="s">
        <v>67</v>
      </c>
      <c r="BN24" s="22" t="s">
        <v>2073</v>
      </c>
      <c r="BO24" s="22" t="s">
        <v>145</v>
      </c>
      <c r="BP24" s="22" t="s">
        <v>70</v>
      </c>
      <c r="BQ24" s="22" t="s">
        <v>67</v>
      </c>
      <c r="BS24" s="22" t="s">
        <v>2074</v>
      </c>
      <c r="BT24" s="22" t="s">
        <v>145</v>
      </c>
      <c r="BU24" s="22" t="s">
        <v>70</v>
      </c>
      <c r="BV24" s="214" t="s">
        <v>530</v>
      </c>
      <c r="BX24" s="22" t="s">
        <v>2075</v>
      </c>
      <c r="BY24" s="22" t="s">
        <v>145</v>
      </c>
      <c r="BZ24" s="22" t="s">
        <v>70</v>
      </c>
      <c r="CA24" s="214" t="s">
        <v>530</v>
      </c>
      <c r="CC24" s="214" t="s">
        <v>2076</v>
      </c>
      <c r="CD24" s="214" t="s">
        <v>92</v>
      </c>
      <c r="CE24" s="214" t="s">
        <v>70</v>
      </c>
      <c r="CF24" s="214" t="s">
        <v>897</v>
      </c>
      <c r="CH24" s="214" t="s">
        <v>2077</v>
      </c>
      <c r="CI24" s="214" t="s">
        <v>34576</v>
      </c>
      <c r="CJ24" s="214" t="s">
        <v>70</v>
      </c>
      <c r="CK24" s="214" t="s">
        <v>530</v>
      </c>
      <c r="CM24" s="214" t="s">
        <v>2078</v>
      </c>
      <c r="CN24" s="214" t="s">
        <v>164</v>
      </c>
      <c r="CO24" s="214" t="s">
        <v>70</v>
      </c>
      <c r="CP24" s="214" t="s">
        <v>530</v>
      </c>
      <c r="CR24" s="214" t="s">
        <v>2079</v>
      </c>
      <c r="CS24" s="214" t="s">
        <v>292</v>
      </c>
      <c r="CT24" s="214" t="s">
        <v>70</v>
      </c>
      <c r="CU24" s="214" t="s">
        <v>530</v>
      </c>
      <c r="CW24" s="214" t="s">
        <v>2080</v>
      </c>
      <c r="CX24" s="214" t="s">
        <v>34545</v>
      </c>
      <c r="CY24" s="214" t="s">
        <v>70</v>
      </c>
      <c r="CZ24" s="214" t="s">
        <v>530</v>
      </c>
      <c r="DB24" s="214" t="s">
        <v>2081</v>
      </c>
      <c r="DC24" s="214" t="s">
        <v>92</v>
      </c>
      <c r="DD24" s="214" t="s">
        <v>70</v>
      </c>
      <c r="DE24" s="214" t="s">
        <v>530</v>
      </c>
      <c r="DG24" s="214" t="s">
        <v>2082</v>
      </c>
      <c r="DH24" s="214" t="s">
        <v>468</v>
      </c>
      <c r="DI24" s="214" t="s">
        <v>70</v>
      </c>
      <c r="DJ24" s="214" t="s">
        <v>530</v>
      </c>
      <c r="DL24" s="214" t="s">
        <v>2083</v>
      </c>
      <c r="DM24" s="214" t="s">
        <v>163</v>
      </c>
      <c r="DN24" s="214" t="s">
        <v>70</v>
      </c>
      <c r="DO24" s="214" t="s">
        <v>530</v>
      </c>
      <c r="DQ24" s="214" t="s">
        <v>2084</v>
      </c>
      <c r="DR24" s="214" t="s">
        <v>52</v>
      </c>
      <c r="DS24" s="214" t="s">
        <v>70</v>
      </c>
      <c r="DT24" s="214" t="s">
        <v>530</v>
      </c>
      <c r="DV24" s="214" t="s">
        <v>2085</v>
      </c>
      <c r="DW24" s="214" t="s">
        <v>52</v>
      </c>
      <c r="DX24" s="214" t="s">
        <v>70</v>
      </c>
      <c r="DY24" s="214" t="s">
        <v>530</v>
      </c>
      <c r="EA24" s="214" t="s">
        <v>2086</v>
      </c>
      <c r="EB24" s="214" t="s">
        <v>34634</v>
      </c>
      <c r="EC24" s="214" t="s">
        <v>70</v>
      </c>
      <c r="ED24" s="214" t="s">
        <v>530</v>
      </c>
      <c r="EF24" s="214" t="s">
        <v>2087</v>
      </c>
      <c r="EG24" s="214" t="s">
        <v>498</v>
      </c>
      <c r="EH24" s="214" t="s">
        <v>70</v>
      </c>
      <c r="EI24" s="214" t="s">
        <v>530</v>
      </c>
      <c r="EK24" s="214" t="s">
        <v>2088</v>
      </c>
      <c r="EL24" s="214" t="s">
        <v>86</v>
      </c>
      <c r="EM24" s="214" t="s">
        <v>70</v>
      </c>
      <c r="EN24" s="214" t="s">
        <v>530</v>
      </c>
      <c r="EP24" s="214" t="s">
        <v>2089</v>
      </c>
      <c r="EQ24" s="214" t="s">
        <v>34556</v>
      </c>
      <c r="ER24" s="214" t="s">
        <v>70</v>
      </c>
      <c r="ES24" s="214" t="s">
        <v>530</v>
      </c>
      <c r="EU24" s="214" t="s">
        <v>2090</v>
      </c>
      <c r="EV24" s="214" t="s">
        <v>52</v>
      </c>
      <c r="EW24" s="214" t="s">
        <v>70</v>
      </c>
      <c r="EX24" s="214" t="s">
        <v>530</v>
      </c>
      <c r="EZ24" s="214" t="s">
        <v>2091</v>
      </c>
      <c r="FA24" s="214" t="s">
        <v>940</v>
      </c>
      <c r="FB24" s="214" t="s">
        <v>70</v>
      </c>
      <c r="FC24" s="214" t="s">
        <v>530</v>
      </c>
      <c r="FE24" s="214" t="s">
        <v>2092</v>
      </c>
      <c r="FF24" s="214" t="s">
        <v>52</v>
      </c>
      <c r="FG24" s="214" t="s">
        <v>70</v>
      </c>
      <c r="FH24" s="214" t="s">
        <v>530</v>
      </c>
      <c r="FJ24" s="321" t="s">
        <v>2093</v>
      </c>
      <c r="FK24" s="214" t="s">
        <v>34588</v>
      </c>
      <c r="FL24" s="214" t="s">
        <v>70</v>
      </c>
      <c r="FM24" s="214" t="s">
        <v>530</v>
      </c>
      <c r="FO24" s="321" t="s">
        <v>2094</v>
      </c>
      <c r="FP24" s="214" t="s">
        <v>481</v>
      </c>
      <c r="FQ24" s="214" t="s">
        <v>70</v>
      </c>
      <c r="FR24" s="214" t="s">
        <v>530</v>
      </c>
      <c r="FT24" s="321" t="s">
        <v>2095</v>
      </c>
      <c r="FU24" s="214" t="s">
        <v>52</v>
      </c>
      <c r="FV24" s="214" t="s">
        <v>70</v>
      </c>
      <c r="FW24" s="214" t="s">
        <v>530</v>
      </c>
      <c r="FY24" s="321" t="s">
        <v>2096</v>
      </c>
      <c r="FZ24" s="214" t="s">
        <v>148</v>
      </c>
      <c r="GA24" s="214" t="s">
        <v>70</v>
      </c>
      <c r="GB24" s="214" t="s">
        <v>530</v>
      </c>
      <c r="GD24" s="321" t="s">
        <v>2097</v>
      </c>
      <c r="GE24" s="214" t="s">
        <v>52</v>
      </c>
      <c r="GF24" s="214" t="s">
        <v>70</v>
      </c>
      <c r="GG24" s="214" t="s">
        <v>530</v>
      </c>
      <c r="GI24" s="321" t="s">
        <v>2098</v>
      </c>
      <c r="GJ24" s="214" t="s">
        <v>52</v>
      </c>
      <c r="GK24" s="214" t="s">
        <v>70</v>
      </c>
      <c r="GL24" s="214" t="s">
        <v>530</v>
      </c>
      <c r="GN24" s="321" t="s">
        <v>2099</v>
      </c>
      <c r="GO24" s="214" t="s">
        <v>52</v>
      </c>
      <c r="GP24" s="214" t="s">
        <v>70</v>
      </c>
      <c r="GQ24" s="214" t="s">
        <v>530</v>
      </c>
      <c r="GS24" s="321" t="s">
        <v>2100</v>
      </c>
      <c r="GT24" s="214" t="s">
        <v>52</v>
      </c>
      <c r="GU24" s="214" t="s">
        <v>70</v>
      </c>
      <c r="GV24" s="214" t="s">
        <v>530</v>
      </c>
      <c r="GX24" s="214" t="s">
        <v>2101</v>
      </c>
      <c r="GY24" s="214" t="s">
        <v>52</v>
      </c>
      <c r="GZ24" s="214" t="s">
        <v>70</v>
      </c>
      <c r="HA24" s="214" t="s">
        <v>530</v>
      </c>
      <c r="HC24" s="214" t="s">
        <v>2102</v>
      </c>
      <c r="HD24" s="214" t="s">
        <v>145</v>
      </c>
      <c r="HE24" s="214" t="s">
        <v>70</v>
      </c>
      <c r="HF24" s="214" t="s">
        <v>530</v>
      </c>
      <c r="HH24" s="214" t="s">
        <v>2103</v>
      </c>
      <c r="HI24" s="214" t="s">
        <v>148</v>
      </c>
      <c r="HJ24" s="214" t="s">
        <v>70</v>
      </c>
      <c r="HK24" s="214" t="s">
        <v>530</v>
      </c>
      <c r="HM24" s="214" t="s">
        <v>2104</v>
      </c>
      <c r="HN24" s="214" t="s">
        <v>87</v>
      </c>
      <c r="HO24" s="214" t="s">
        <v>70</v>
      </c>
      <c r="HP24" s="214" t="s">
        <v>34121</v>
      </c>
      <c r="HR24" s="22" t="s">
        <v>2105</v>
      </c>
      <c r="HS24" s="22" t="s">
        <v>286</v>
      </c>
      <c r="HT24" s="22" t="s">
        <v>70</v>
      </c>
      <c r="HU24" s="214" t="s">
        <v>530</v>
      </c>
      <c r="HW24" s="22" t="s">
        <v>2106</v>
      </c>
      <c r="HX24" s="22" t="s">
        <v>146</v>
      </c>
      <c r="HY24" s="22" t="s">
        <v>70</v>
      </c>
      <c r="HZ24" s="214" t="s">
        <v>530</v>
      </c>
      <c r="IB24" s="22" t="s">
        <v>2107</v>
      </c>
      <c r="IC24" s="22" t="s">
        <v>798</v>
      </c>
      <c r="ID24" s="22" t="s">
        <v>70</v>
      </c>
      <c r="IE24" s="214" t="s">
        <v>530</v>
      </c>
      <c r="IG24" s="22" t="s">
        <v>2108</v>
      </c>
      <c r="IH24" s="22" t="s">
        <v>52</v>
      </c>
      <c r="II24" s="22" t="s">
        <v>70</v>
      </c>
      <c r="IJ24" s="214" t="s">
        <v>530</v>
      </c>
      <c r="IL24" s="22" t="s">
        <v>2109</v>
      </c>
      <c r="IM24" s="22" t="s">
        <v>145</v>
      </c>
      <c r="IN24" s="22" t="s">
        <v>70</v>
      </c>
      <c r="IO24" s="214" t="s">
        <v>530</v>
      </c>
      <c r="IQ24" s="236" t="s">
        <v>2110</v>
      </c>
      <c r="IR24" s="236" t="s">
        <v>145</v>
      </c>
      <c r="IS24" s="236" t="s">
        <v>74</v>
      </c>
      <c r="IT24" s="236" t="s">
        <v>841</v>
      </c>
      <c r="IV24" s="236" t="s">
        <v>2111</v>
      </c>
      <c r="IW24" s="236" t="s">
        <v>145</v>
      </c>
      <c r="IX24" s="236" t="s">
        <v>74</v>
      </c>
      <c r="IY24" s="236" t="s">
        <v>841</v>
      </c>
      <c r="JA24" s="236" t="s">
        <v>2112</v>
      </c>
      <c r="JB24" s="236" t="s">
        <v>145</v>
      </c>
      <c r="JC24" s="236" t="s">
        <v>74</v>
      </c>
      <c r="JD24" s="236" t="s">
        <v>841</v>
      </c>
      <c r="JF24" s="236" t="s">
        <v>2113</v>
      </c>
      <c r="JG24" s="236" t="s">
        <v>145</v>
      </c>
      <c r="JH24" s="236" t="s">
        <v>74</v>
      </c>
      <c r="JI24" s="236" t="s">
        <v>841</v>
      </c>
      <c r="JK24" s="236" t="s">
        <v>2114</v>
      </c>
      <c r="JL24" s="236" t="s">
        <v>145</v>
      </c>
      <c r="JM24" s="236" t="s">
        <v>74</v>
      </c>
      <c r="JN24" s="236" t="s">
        <v>841</v>
      </c>
      <c r="JP24" s="236" t="s">
        <v>2115</v>
      </c>
      <c r="JQ24" s="236" t="s">
        <v>145</v>
      </c>
      <c r="JR24" s="236" t="s">
        <v>74</v>
      </c>
      <c r="JS24" s="236" t="s">
        <v>841</v>
      </c>
      <c r="JU24" s="294" t="s">
        <v>2116</v>
      </c>
      <c r="JV24" s="294" t="str">
        <f>TVIIBE1M_CalPairs!$R18</f>
        <v>0x00</v>
      </c>
      <c r="JW24" s="263" t="s">
        <v>70</v>
      </c>
      <c r="JX24" s="294" t="str">
        <f>TVIIBE1M_CalPairs!$Q18</f>
        <v>SMPU15_ADDR1_B0</v>
      </c>
      <c r="JZ24" s="263" t="s">
        <v>2117</v>
      </c>
      <c r="KA24" s="263" t="s">
        <v>145</v>
      </c>
      <c r="KB24" s="263" t="s">
        <v>70</v>
      </c>
      <c r="KC24" s="263" t="s">
        <v>1083</v>
      </c>
      <c r="KE24" s="263" t="s">
        <v>2118</v>
      </c>
      <c r="KF24" s="263" t="s">
        <v>52</v>
      </c>
      <c r="KG24" s="263" t="s">
        <v>70</v>
      </c>
      <c r="KH24" s="263" t="s">
        <v>1083</v>
      </c>
      <c r="KJ24" s="263" t="s">
        <v>2119</v>
      </c>
      <c r="KK24" s="263" t="s">
        <v>93</v>
      </c>
      <c r="KL24" s="263" t="s">
        <v>74</v>
      </c>
      <c r="KM24" s="263" t="s">
        <v>34232</v>
      </c>
      <c r="KO24" s="214" t="s">
        <v>2120</v>
      </c>
      <c r="KP24" s="218" t="s">
        <v>88</v>
      </c>
      <c r="KQ24" s="214" t="s">
        <v>70</v>
      </c>
      <c r="KR24" s="214" t="s">
        <v>1016</v>
      </c>
      <c r="KT24" s="22" t="s">
        <v>2121</v>
      </c>
      <c r="KU24" s="22" t="s">
        <v>145</v>
      </c>
      <c r="KV24" s="22" t="s">
        <v>70</v>
      </c>
      <c r="KW24" s="22" t="s">
        <v>67</v>
      </c>
      <c r="KY24" s="214" t="s">
        <v>2122</v>
      </c>
      <c r="KZ24" s="214" t="s">
        <v>52</v>
      </c>
      <c r="LA24" s="214" t="s">
        <v>74</v>
      </c>
      <c r="LB24" s="214" t="s">
        <v>824</v>
      </c>
      <c r="LD24" s="22" t="s">
        <v>2123</v>
      </c>
      <c r="LE24" s="22" t="s">
        <v>145</v>
      </c>
      <c r="LF24" s="22" t="s">
        <v>70</v>
      </c>
      <c r="LG24" s="22" t="s">
        <v>67</v>
      </c>
    </row>
    <row r="25" spans="1:319">
      <c r="A25" s="22" t="s">
        <v>2124</v>
      </c>
      <c r="B25" s="218" t="s">
        <v>163</v>
      </c>
      <c r="C25" s="218" t="s">
        <v>72</v>
      </c>
      <c r="D25" s="218" t="s">
        <v>34497</v>
      </c>
      <c r="F25" s="23" t="s">
        <v>2125</v>
      </c>
      <c r="G25" s="23" t="str">
        <f>TVIIBE1M_CalPairs!$E22</f>
        <v>0x00</v>
      </c>
      <c r="H25" s="23" t="s">
        <v>72</v>
      </c>
      <c r="I25" s="23" t="str">
        <f>TVIIBE1M_CalPairs!$C22</f>
        <v>CPUSS_TRIM_ROM_CTL_VAL2</v>
      </c>
      <c r="K25" s="218" t="s">
        <v>2126</v>
      </c>
      <c r="L25" s="218" t="s">
        <v>145</v>
      </c>
      <c r="M25" s="305" t="s">
        <v>72</v>
      </c>
      <c r="N25" s="312" t="s">
        <v>34098</v>
      </c>
      <c r="P25" s="218" t="s">
        <v>2127</v>
      </c>
      <c r="Q25" s="218" t="s">
        <v>145</v>
      </c>
      <c r="R25" s="218" t="s">
        <v>72</v>
      </c>
      <c r="S25" s="218" t="s">
        <v>775</v>
      </c>
      <c r="U25" s="293" t="s">
        <v>2128</v>
      </c>
      <c r="V25" s="293" t="s">
        <v>145</v>
      </c>
      <c r="W25" s="293" t="s">
        <v>74</v>
      </c>
      <c r="X25" s="293" t="s">
        <v>656</v>
      </c>
      <c r="Z25" s="293" t="s">
        <v>2129</v>
      </c>
      <c r="AA25" s="293" t="s">
        <v>145</v>
      </c>
      <c r="AB25" s="293" t="s">
        <v>74</v>
      </c>
      <c r="AC25" s="293" t="s">
        <v>656</v>
      </c>
      <c r="AE25" s="293" t="s">
        <v>2130</v>
      </c>
      <c r="AF25" s="293" t="s">
        <v>145</v>
      </c>
      <c r="AG25" s="293" t="s">
        <v>74</v>
      </c>
      <c r="AH25" s="293" t="s">
        <v>656</v>
      </c>
      <c r="AJ25" s="293" t="s">
        <v>2131</v>
      </c>
      <c r="AK25" s="293" t="s">
        <v>145</v>
      </c>
      <c r="AL25" s="293" t="s">
        <v>74</v>
      </c>
      <c r="AM25" s="293" t="s">
        <v>656</v>
      </c>
      <c r="AO25" s="22" t="s">
        <v>2132</v>
      </c>
      <c r="AP25" s="22" t="s">
        <v>145</v>
      </c>
      <c r="AQ25" s="22" t="s">
        <v>70</v>
      </c>
      <c r="AR25" s="22" t="s">
        <v>67</v>
      </c>
      <c r="AT25" s="22" t="s">
        <v>2133</v>
      </c>
      <c r="AU25" s="22" t="s">
        <v>145</v>
      </c>
      <c r="AV25" s="22" t="s">
        <v>70</v>
      </c>
      <c r="AW25" s="22" t="s">
        <v>67</v>
      </c>
      <c r="AY25" s="22" t="s">
        <v>2134</v>
      </c>
      <c r="AZ25" s="22" t="s">
        <v>145</v>
      </c>
      <c r="BA25" s="22" t="s">
        <v>70</v>
      </c>
      <c r="BB25" s="22" t="s">
        <v>67</v>
      </c>
      <c r="BD25" s="22" t="s">
        <v>2135</v>
      </c>
      <c r="BE25" s="22" t="s">
        <v>145</v>
      </c>
      <c r="BF25" s="22" t="s">
        <v>70</v>
      </c>
      <c r="BG25" s="22" t="s">
        <v>67</v>
      </c>
      <c r="BI25" s="22" t="s">
        <v>2136</v>
      </c>
      <c r="BJ25" s="22" t="s">
        <v>145</v>
      </c>
      <c r="BK25" s="22" t="s">
        <v>70</v>
      </c>
      <c r="BL25" s="22" t="s">
        <v>67</v>
      </c>
      <c r="BN25" s="22" t="s">
        <v>2137</v>
      </c>
      <c r="BO25" s="22" t="s">
        <v>145</v>
      </c>
      <c r="BP25" s="22" t="s">
        <v>70</v>
      </c>
      <c r="BQ25" s="22" t="s">
        <v>67</v>
      </c>
      <c r="BS25" s="22" t="s">
        <v>2138</v>
      </c>
      <c r="BT25" s="22" t="s">
        <v>145</v>
      </c>
      <c r="BU25" s="22" t="s">
        <v>70</v>
      </c>
      <c r="BV25" s="214" t="s">
        <v>530</v>
      </c>
      <c r="BX25" s="22" t="s">
        <v>2139</v>
      </c>
      <c r="BY25" s="22" t="s">
        <v>145</v>
      </c>
      <c r="BZ25" s="22" t="s">
        <v>70</v>
      </c>
      <c r="CA25" s="214" t="s">
        <v>530</v>
      </c>
      <c r="CC25" s="214" t="s">
        <v>2140</v>
      </c>
      <c r="CD25" s="214" t="s">
        <v>52</v>
      </c>
      <c r="CE25" s="214" t="s">
        <v>70</v>
      </c>
      <c r="CF25" s="214" t="s">
        <v>898</v>
      </c>
      <c r="CH25" s="214" t="s">
        <v>2141</v>
      </c>
      <c r="CI25" s="214" t="s">
        <v>52</v>
      </c>
      <c r="CJ25" s="214" t="s">
        <v>70</v>
      </c>
      <c r="CK25" s="214" t="s">
        <v>530</v>
      </c>
      <c r="CM25" s="214" t="s">
        <v>2142</v>
      </c>
      <c r="CN25" s="214" t="s">
        <v>599</v>
      </c>
      <c r="CO25" s="214" t="s">
        <v>70</v>
      </c>
      <c r="CP25" s="214" t="s">
        <v>530</v>
      </c>
      <c r="CR25" s="214" t="s">
        <v>2143</v>
      </c>
      <c r="CS25" s="214" t="s">
        <v>798</v>
      </c>
      <c r="CT25" s="214" t="s">
        <v>70</v>
      </c>
      <c r="CU25" s="214" t="s">
        <v>530</v>
      </c>
      <c r="CW25" s="214" t="s">
        <v>2144</v>
      </c>
      <c r="CX25" s="214" t="s">
        <v>34551</v>
      </c>
      <c r="CY25" s="214" t="s">
        <v>70</v>
      </c>
      <c r="CZ25" s="214" t="s">
        <v>530</v>
      </c>
      <c r="DB25" s="214" t="s">
        <v>2145</v>
      </c>
      <c r="DC25" s="214" t="s">
        <v>92</v>
      </c>
      <c r="DD25" s="214" t="s">
        <v>70</v>
      </c>
      <c r="DE25" s="214" t="s">
        <v>530</v>
      </c>
      <c r="DG25" s="214" t="s">
        <v>2146</v>
      </c>
      <c r="DH25" s="214" t="s">
        <v>86</v>
      </c>
      <c r="DI25" s="214" t="s">
        <v>70</v>
      </c>
      <c r="DJ25" s="214" t="s">
        <v>530</v>
      </c>
      <c r="DL25" s="214" t="s">
        <v>2147</v>
      </c>
      <c r="DM25" s="214" t="s">
        <v>950</v>
      </c>
      <c r="DN25" s="214" t="s">
        <v>70</v>
      </c>
      <c r="DO25" s="214" t="s">
        <v>530</v>
      </c>
      <c r="DQ25" s="214" t="s">
        <v>2148</v>
      </c>
      <c r="DR25" s="214" t="s">
        <v>484</v>
      </c>
      <c r="DS25" s="214" t="s">
        <v>70</v>
      </c>
      <c r="DT25" s="214" t="s">
        <v>530</v>
      </c>
      <c r="DV25" s="214" t="s">
        <v>2149</v>
      </c>
      <c r="DW25" s="214" t="s">
        <v>34562</v>
      </c>
      <c r="DX25" s="214" t="s">
        <v>70</v>
      </c>
      <c r="DY25" s="214" t="s">
        <v>530</v>
      </c>
      <c r="EA25" s="214" t="s">
        <v>2150</v>
      </c>
      <c r="EB25" s="214" t="s">
        <v>34580</v>
      </c>
      <c r="EC25" s="214" t="s">
        <v>70</v>
      </c>
      <c r="ED25" s="214" t="s">
        <v>530</v>
      </c>
      <c r="EF25" s="214" t="s">
        <v>2151</v>
      </c>
      <c r="EG25" s="214" t="s">
        <v>146</v>
      </c>
      <c r="EH25" s="214" t="s">
        <v>70</v>
      </c>
      <c r="EI25" s="214" t="s">
        <v>530</v>
      </c>
      <c r="EK25" s="214" t="s">
        <v>2152</v>
      </c>
      <c r="EL25" s="214" t="s">
        <v>52</v>
      </c>
      <c r="EM25" s="214" t="s">
        <v>70</v>
      </c>
      <c r="EN25" s="214" t="s">
        <v>530</v>
      </c>
      <c r="EP25" s="214" t="s">
        <v>2153</v>
      </c>
      <c r="EQ25" s="214" t="s">
        <v>496</v>
      </c>
      <c r="ER25" s="214" t="s">
        <v>70</v>
      </c>
      <c r="ES25" s="214" t="s">
        <v>530</v>
      </c>
      <c r="EU25" s="214" t="s">
        <v>2154</v>
      </c>
      <c r="EV25" s="214" t="s">
        <v>203</v>
      </c>
      <c r="EW25" s="214" t="s">
        <v>70</v>
      </c>
      <c r="EX25" s="214" t="s">
        <v>530</v>
      </c>
      <c r="EZ25" s="214" t="s">
        <v>2155</v>
      </c>
      <c r="FA25" s="214" t="s">
        <v>935</v>
      </c>
      <c r="FB25" s="214" t="s">
        <v>70</v>
      </c>
      <c r="FC25" s="214" t="s">
        <v>530</v>
      </c>
      <c r="FE25" s="214" t="s">
        <v>2156</v>
      </c>
      <c r="FF25" s="214" t="s">
        <v>484</v>
      </c>
      <c r="FG25" s="214" t="s">
        <v>70</v>
      </c>
      <c r="FH25" s="214" t="s">
        <v>530</v>
      </c>
      <c r="FJ25" s="321" t="s">
        <v>2157</v>
      </c>
      <c r="FK25" s="214" t="s">
        <v>145</v>
      </c>
      <c r="FL25" s="214" t="s">
        <v>70</v>
      </c>
      <c r="FM25" s="214" t="s">
        <v>530</v>
      </c>
      <c r="FO25" s="321" t="s">
        <v>2158</v>
      </c>
      <c r="FP25" s="214" t="s">
        <v>482</v>
      </c>
      <c r="FQ25" s="214" t="s">
        <v>70</v>
      </c>
      <c r="FR25" s="214" t="s">
        <v>530</v>
      </c>
      <c r="FT25" s="321" t="s">
        <v>2159</v>
      </c>
      <c r="FU25" s="214" t="s">
        <v>88</v>
      </c>
      <c r="FV25" s="214" t="s">
        <v>70</v>
      </c>
      <c r="FW25" s="214" t="s">
        <v>530</v>
      </c>
      <c r="FY25" s="321" t="s">
        <v>2160</v>
      </c>
      <c r="FZ25" s="214" t="s">
        <v>34544</v>
      </c>
      <c r="GA25" s="214" t="s">
        <v>70</v>
      </c>
      <c r="GB25" s="214" t="s">
        <v>530</v>
      </c>
      <c r="GD25" s="321" t="s">
        <v>2161</v>
      </c>
      <c r="GE25" s="214" t="s">
        <v>955</v>
      </c>
      <c r="GF25" s="214" t="s">
        <v>70</v>
      </c>
      <c r="GG25" s="214" t="s">
        <v>530</v>
      </c>
      <c r="GI25" s="321" t="s">
        <v>2162</v>
      </c>
      <c r="GJ25" s="214" t="s">
        <v>955</v>
      </c>
      <c r="GK25" s="214" t="s">
        <v>70</v>
      </c>
      <c r="GL25" s="214" t="s">
        <v>530</v>
      </c>
      <c r="GN25" s="321" t="s">
        <v>2163</v>
      </c>
      <c r="GO25" s="214" t="s">
        <v>34642</v>
      </c>
      <c r="GP25" s="214" t="s">
        <v>70</v>
      </c>
      <c r="GQ25" s="214" t="s">
        <v>530</v>
      </c>
      <c r="GS25" s="321" t="s">
        <v>2164</v>
      </c>
      <c r="GT25" s="214" t="s">
        <v>599</v>
      </c>
      <c r="GU25" s="214" t="s">
        <v>70</v>
      </c>
      <c r="GV25" s="214" t="s">
        <v>530</v>
      </c>
      <c r="GX25" s="214" t="s">
        <v>2165</v>
      </c>
      <c r="GY25" s="214" t="s">
        <v>52</v>
      </c>
      <c r="GZ25" s="214" t="s">
        <v>70</v>
      </c>
      <c r="HA25" s="214" t="s">
        <v>530</v>
      </c>
      <c r="HC25" s="214" t="s">
        <v>2166</v>
      </c>
      <c r="HD25" s="214" t="s">
        <v>145</v>
      </c>
      <c r="HE25" s="214" t="s">
        <v>70</v>
      </c>
      <c r="HF25" s="214" t="s">
        <v>530</v>
      </c>
      <c r="HH25" s="214" t="s">
        <v>2167</v>
      </c>
      <c r="HI25" s="214" t="s">
        <v>484</v>
      </c>
      <c r="HJ25" s="214" t="s">
        <v>70</v>
      </c>
      <c r="HK25" s="214" t="s">
        <v>530</v>
      </c>
      <c r="HM25" s="214" t="s">
        <v>2168</v>
      </c>
      <c r="HN25" s="214" t="s">
        <v>92</v>
      </c>
      <c r="HO25" s="214" t="s">
        <v>70</v>
      </c>
      <c r="HP25" s="214" t="s">
        <v>34121</v>
      </c>
      <c r="HR25" s="22" t="s">
        <v>2169</v>
      </c>
      <c r="HS25" s="22" t="s">
        <v>146</v>
      </c>
      <c r="HT25" s="22" t="s">
        <v>70</v>
      </c>
      <c r="HU25" s="214" t="s">
        <v>530</v>
      </c>
      <c r="HW25" s="22" t="s">
        <v>2170</v>
      </c>
      <c r="HX25" s="22" t="s">
        <v>484</v>
      </c>
      <c r="HY25" s="22" t="s">
        <v>70</v>
      </c>
      <c r="HZ25" s="214" t="s">
        <v>530</v>
      </c>
      <c r="IB25" s="22" t="s">
        <v>2171</v>
      </c>
      <c r="IC25" s="22" t="s">
        <v>34555</v>
      </c>
      <c r="ID25" s="22" t="s">
        <v>70</v>
      </c>
      <c r="IE25" s="214" t="s">
        <v>530</v>
      </c>
      <c r="IG25" s="22" t="s">
        <v>2172</v>
      </c>
      <c r="IH25" s="22" t="s">
        <v>52</v>
      </c>
      <c r="II25" s="22" t="s">
        <v>70</v>
      </c>
      <c r="IJ25" s="214" t="s">
        <v>530</v>
      </c>
      <c r="IL25" s="22" t="s">
        <v>2173</v>
      </c>
      <c r="IM25" s="22" t="s">
        <v>145</v>
      </c>
      <c r="IN25" s="22" t="s">
        <v>70</v>
      </c>
      <c r="IO25" s="214" t="s">
        <v>530</v>
      </c>
      <c r="IQ25" s="236" t="s">
        <v>2174</v>
      </c>
      <c r="IR25" s="236" t="s">
        <v>145</v>
      </c>
      <c r="IS25" s="236" t="s">
        <v>74</v>
      </c>
      <c r="IT25" s="236" t="s">
        <v>841</v>
      </c>
      <c r="IV25" s="236" t="s">
        <v>2175</v>
      </c>
      <c r="IW25" s="236" t="s">
        <v>145</v>
      </c>
      <c r="IX25" s="236" t="s">
        <v>74</v>
      </c>
      <c r="IY25" s="236" t="s">
        <v>841</v>
      </c>
      <c r="JA25" s="236" t="s">
        <v>2176</v>
      </c>
      <c r="JB25" s="236" t="s">
        <v>145</v>
      </c>
      <c r="JC25" s="236" t="s">
        <v>74</v>
      </c>
      <c r="JD25" s="236" t="s">
        <v>841</v>
      </c>
      <c r="JF25" s="236" t="s">
        <v>2177</v>
      </c>
      <c r="JG25" s="236" t="s">
        <v>145</v>
      </c>
      <c r="JH25" s="236" t="s">
        <v>74</v>
      </c>
      <c r="JI25" s="236" t="s">
        <v>841</v>
      </c>
      <c r="JK25" s="236" t="s">
        <v>2178</v>
      </c>
      <c r="JL25" s="236" t="s">
        <v>145</v>
      </c>
      <c r="JM25" s="236" t="s">
        <v>74</v>
      </c>
      <c r="JN25" s="236" t="s">
        <v>841</v>
      </c>
      <c r="JP25" s="236" t="s">
        <v>2179</v>
      </c>
      <c r="JQ25" s="236" t="s">
        <v>145</v>
      </c>
      <c r="JR25" s="236" t="s">
        <v>74</v>
      </c>
      <c r="JS25" s="236" t="s">
        <v>841</v>
      </c>
      <c r="JU25" s="294" t="s">
        <v>2180</v>
      </c>
      <c r="JV25" s="294" t="str">
        <f>TVIIBE1M_CalPairs!$R19</f>
        <v>0x00</v>
      </c>
      <c r="JW25" s="263" t="s">
        <v>70</v>
      </c>
      <c r="JX25" s="294" t="str">
        <f>TVIIBE1M_CalPairs!$Q19</f>
        <v>SMPU15_ADDR1_B1</v>
      </c>
      <c r="JZ25" s="263" t="s">
        <v>2181</v>
      </c>
      <c r="KA25" s="263" t="s">
        <v>145</v>
      </c>
      <c r="KB25" s="263" t="s">
        <v>70</v>
      </c>
      <c r="KC25" s="263" t="s">
        <v>1083</v>
      </c>
      <c r="KE25" s="263" t="s">
        <v>2182</v>
      </c>
      <c r="KF25" s="263" t="s">
        <v>52</v>
      </c>
      <c r="KG25" s="263" t="s">
        <v>70</v>
      </c>
      <c r="KH25" s="263" t="s">
        <v>1083</v>
      </c>
      <c r="KJ25" s="263" t="s">
        <v>2183</v>
      </c>
      <c r="KK25" s="263" t="s">
        <v>52</v>
      </c>
      <c r="KL25" s="263" t="s">
        <v>74</v>
      </c>
      <c r="KM25" s="263" t="s">
        <v>34233</v>
      </c>
      <c r="KO25" s="214" t="s">
        <v>2184</v>
      </c>
      <c r="KP25" s="214" t="s">
        <v>52</v>
      </c>
      <c r="KQ25" s="214" t="s">
        <v>70</v>
      </c>
      <c r="KR25" s="214" t="s">
        <v>1016</v>
      </c>
      <c r="KT25" s="22" t="s">
        <v>2185</v>
      </c>
      <c r="KU25" s="22" t="s">
        <v>145</v>
      </c>
      <c r="KV25" s="22" t="s">
        <v>70</v>
      </c>
      <c r="KW25" s="22" t="s">
        <v>67</v>
      </c>
      <c r="KY25" s="214" t="s">
        <v>2186</v>
      </c>
      <c r="KZ25" s="214" t="s">
        <v>52</v>
      </c>
      <c r="LA25" s="214" t="s">
        <v>74</v>
      </c>
      <c r="LB25" s="214" t="s">
        <v>824</v>
      </c>
      <c r="LD25" s="22" t="s">
        <v>2187</v>
      </c>
      <c r="LE25" s="22" t="s">
        <v>145</v>
      </c>
      <c r="LF25" s="22" t="s">
        <v>70</v>
      </c>
      <c r="LG25" s="22" t="s">
        <v>67</v>
      </c>
    </row>
    <row r="26" spans="1:319">
      <c r="A26" s="22" t="s">
        <v>2188</v>
      </c>
      <c r="B26" s="218" t="s">
        <v>485</v>
      </c>
      <c r="C26" s="218" t="s">
        <v>72</v>
      </c>
      <c r="D26" s="218" t="s">
        <v>34504</v>
      </c>
      <c r="F26" s="23" t="s">
        <v>2189</v>
      </c>
      <c r="G26" s="23" t="str">
        <f>TVIIBE1M_CalPairs!$E23</f>
        <v>0x00</v>
      </c>
      <c r="H26" s="23" t="s">
        <v>72</v>
      </c>
      <c r="I26" s="23" t="str">
        <f>TVIIBE1M_CalPairs!$C23</f>
        <v>CPUSS_TRIM_ROM_CTL_VAL3</v>
      </c>
      <c r="K26" s="218" t="s">
        <v>2190</v>
      </c>
      <c r="L26" s="218" t="s">
        <v>145</v>
      </c>
      <c r="M26" s="305" t="s">
        <v>72</v>
      </c>
      <c r="N26" s="312" t="s">
        <v>34098</v>
      </c>
      <c r="P26" s="218" t="s">
        <v>2191</v>
      </c>
      <c r="Q26" s="218" t="s">
        <v>145</v>
      </c>
      <c r="R26" s="218" t="s">
        <v>72</v>
      </c>
      <c r="S26" s="218" t="s">
        <v>776</v>
      </c>
      <c r="U26" s="293" t="s">
        <v>2192</v>
      </c>
      <c r="V26" s="293" t="s">
        <v>145</v>
      </c>
      <c r="W26" s="293" t="s">
        <v>74</v>
      </c>
      <c r="X26" s="293" t="s">
        <v>656</v>
      </c>
      <c r="Z26" s="293" t="s">
        <v>2193</v>
      </c>
      <c r="AA26" s="293" t="s">
        <v>145</v>
      </c>
      <c r="AB26" s="293" t="s">
        <v>74</v>
      </c>
      <c r="AC26" s="293" t="s">
        <v>656</v>
      </c>
      <c r="AE26" s="293" t="s">
        <v>2194</v>
      </c>
      <c r="AF26" s="293" t="s">
        <v>145</v>
      </c>
      <c r="AG26" s="293" t="s">
        <v>74</v>
      </c>
      <c r="AH26" s="293" t="s">
        <v>656</v>
      </c>
      <c r="AJ26" s="293" t="s">
        <v>2195</v>
      </c>
      <c r="AK26" s="293" t="s">
        <v>145</v>
      </c>
      <c r="AL26" s="293" t="s">
        <v>74</v>
      </c>
      <c r="AM26" s="293" t="s">
        <v>656</v>
      </c>
      <c r="AO26" s="22" t="s">
        <v>2196</v>
      </c>
      <c r="AP26" s="22" t="s">
        <v>145</v>
      </c>
      <c r="AQ26" s="22" t="s">
        <v>70</v>
      </c>
      <c r="AR26" s="22" t="s">
        <v>67</v>
      </c>
      <c r="AT26" s="22" t="s">
        <v>2197</v>
      </c>
      <c r="AU26" s="22" t="s">
        <v>145</v>
      </c>
      <c r="AV26" s="22" t="s">
        <v>70</v>
      </c>
      <c r="AW26" s="22" t="s">
        <v>67</v>
      </c>
      <c r="AY26" s="22" t="s">
        <v>2198</v>
      </c>
      <c r="AZ26" s="22" t="s">
        <v>145</v>
      </c>
      <c r="BA26" s="22" t="s">
        <v>70</v>
      </c>
      <c r="BB26" s="22" t="s">
        <v>67</v>
      </c>
      <c r="BD26" s="22" t="s">
        <v>2199</v>
      </c>
      <c r="BE26" s="22" t="s">
        <v>145</v>
      </c>
      <c r="BF26" s="22" t="s">
        <v>70</v>
      </c>
      <c r="BG26" s="22" t="s">
        <v>67</v>
      </c>
      <c r="BI26" s="22" t="s">
        <v>2200</v>
      </c>
      <c r="BJ26" s="22" t="s">
        <v>145</v>
      </c>
      <c r="BK26" s="22" t="s">
        <v>70</v>
      </c>
      <c r="BL26" s="22" t="s">
        <v>67</v>
      </c>
      <c r="BN26" s="22" t="s">
        <v>2201</v>
      </c>
      <c r="BO26" s="22" t="s">
        <v>145</v>
      </c>
      <c r="BP26" s="22" t="s">
        <v>70</v>
      </c>
      <c r="BQ26" s="22" t="s">
        <v>67</v>
      </c>
      <c r="BS26" s="22" t="s">
        <v>2202</v>
      </c>
      <c r="BT26" s="22" t="s">
        <v>145</v>
      </c>
      <c r="BU26" s="22" t="s">
        <v>70</v>
      </c>
      <c r="BV26" s="214" t="s">
        <v>530</v>
      </c>
      <c r="BX26" s="22" t="s">
        <v>2203</v>
      </c>
      <c r="BY26" s="22" t="s">
        <v>145</v>
      </c>
      <c r="BZ26" s="22" t="s">
        <v>70</v>
      </c>
      <c r="CA26" s="214" t="s">
        <v>530</v>
      </c>
      <c r="CC26" s="214" t="s">
        <v>2204</v>
      </c>
      <c r="CD26" s="214" t="s">
        <v>52</v>
      </c>
      <c r="CE26" s="214" t="s">
        <v>70</v>
      </c>
      <c r="CF26" s="214" t="s">
        <v>899</v>
      </c>
      <c r="CH26" s="214" t="s">
        <v>2205</v>
      </c>
      <c r="CI26" s="214" t="s">
        <v>468</v>
      </c>
      <c r="CJ26" s="214" t="s">
        <v>70</v>
      </c>
      <c r="CK26" s="214" t="s">
        <v>530</v>
      </c>
      <c r="CM26" s="214" t="s">
        <v>2206</v>
      </c>
      <c r="CN26" s="214" t="s">
        <v>52</v>
      </c>
      <c r="CO26" s="214" t="s">
        <v>70</v>
      </c>
      <c r="CP26" s="214" t="s">
        <v>530</v>
      </c>
      <c r="CR26" s="214" t="s">
        <v>2207</v>
      </c>
      <c r="CS26" s="214" t="s">
        <v>52</v>
      </c>
      <c r="CT26" s="214" t="s">
        <v>70</v>
      </c>
      <c r="CU26" s="214" t="s">
        <v>530</v>
      </c>
      <c r="CW26" s="214" t="s">
        <v>2208</v>
      </c>
      <c r="CX26" s="214" t="s">
        <v>940</v>
      </c>
      <c r="CY26" s="214" t="s">
        <v>70</v>
      </c>
      <c r="CZ26" s="214" t="s">
        <v>530</v>
      </c>
      <c r="DB26" s="214" t="s">
        <v>2209</v>
      </c>
      <c r="DC26" s="214" t="s">
        <v>52</v>
      </c>
      <c r="DD26" s="214" t="s">
        <v>70</v>
      </c>
      <c r="DE26" s="214" t="s">
        <v>530</v>
      </c>
      <c r="DG26" s="214" t="s">
        <v>2210</v>
      </c>
      <c r="DH26" s="214" t="s">
        <v>52</v>
      </c>
      <c r="DI26" s="214" t="s">
        <v>70</v>
      </c>
      <c r="DJ26" s="214" t="s">
        <v>530</v>
      </c>
      <c r="DL26" s="214" t="s">
        <v>2211</v>
      </c>
      <c r="DM26" s="214" t="s">
        <v>286</v>
      </c>
      <c r="DN26" s="214" t="s">
        <v>70</v>
      </c>
      <c r="DO26" s="214" t="s">
        <v>530</v>
      </c>
      <c r="DQ26" s="214" t="s">
        <v>2212</v>
      </c>
      <c r="DR26" s="214" t="s">
        <v>87</v>
      </c>
      <c r="DS26" s="214" t="s">
        <v>70</v>
      </c>
      <c r="DT26" s="214" t="s">
        <v>530</v>
      </c>
      <c r="DV26" s="214" t="s">
        <v>2213</v>
      </c>
      <c r="DW26" s="214" t="s">
        <v>92</v>
      </c>
      <c r="DX26" s="214" t="s">
        <v>70</v>
      </c>
      <c r="DY26" s="214" t="s">
        <v>530</v>
      </c>
      <c r="EA26" s="214" t="s">
        <v>2214</v>
      </c>
      <c r="EB26" s="214" t="s">
        <v>52</v>
      </c>
      <c r="EC26" s="214" t="s">
        <v>70</v>
      </c>
      <c r="ED26" s="214" t="s">
        <v>530</v>
      </c>
      <c r="EF26" s="214" t="s">
        <v>2215</v>
      </c>
      <c r="EG26" s="214" t="s">
        <v>915</v>
      </c>
      <c r="EH26" s="214" t="s">
        <v>70</v>
      </c>
      <c r="EI26" s="214" t="s">
        <v>530</v>
      </c>
      <c r="EK26" s="214" t="s">
        <v>2216</v>
      </c>
      <c r="EL26" s="214" t="s">
        <v>145</v>
      </c>
      <c r="EM26" s="214" t="s">
        <v>70</v>
      </c>
      <c r="EN26" s="214" t="s">
        <v>530</v>
      </c>
      <c r="EP26" s="214" t="s">
        <v>2217</v>
      </c>
      <c r="EQ26" s="214" t="s">
        <v>52</v>
      </c>
      <c r="ER26" s="214" t="s">
        <v>70</v>
      </c>
      <c r="ES26" s="214" t="s">
        <v>530</v>
      </c>
      <c r="EU26" s="214" t="s">
        <v>2218</v>
      </c>
      <c r="EV26" s="214" t="s">
        <v>641</v>
      </c>
      <c r="EW26" s="214" t="s">
        <v>70</v>
      </c>
      <c r="EX26" s="214" t="s">
        <v>530</v>
      </c>
      <c r="EZ26" s="214" t="s">
        <v>2219</v>
      </c>
      <c r="FA26" s="214" t="s">
        <v>484</v>
      </c>
      <c r="FB26" s="214" t="s">
        <v>70</v>
      </c>
      <c r="FC26" s="214" t="s">
        <v>530</v>
      </c>
      <c r="FE26" s="214" t="s">
        <v>2220</v>
      </c>
      <c r="FF26" s="214" t="s">
        <v>90</v>
      </c>
      <c r="FG26" s="214" t="s">
        <v>70</v>
      </c>
      <c r="FH26" s="214" t="s">
        <v>530</v>
      </c>
      <c r="FJ26" s="321" t="s">
        <v>2221</v>
      </c>
      <c r="FK26" s="214" t="s">
        <v>85</v>
      </c>
      <c r="FL26" s="214" t="s">
        <v>70</v>
      </c>
      <c r="FM26" s="214" t="s">
        <v>530</v>
      </c>
      <c r="FO26" s="321" t="s">
        <v>2222</v>
      </c>
      <c r="FP26" s="214" t="s">
        <v>103</v>
      </c>
      <c r="FQ26" s="214" t="s">
        <v>70</v>
      </c>
      <c r="FR26" s="214" t="s">
        <v>530</v>
      </c>
      <c r="FT26" s="321" t="s">
        <v>2223</v>
      </c>
      <c r="FU26" s="214" t="s">
        <v>52</v>
      </c>
      <c r="FV26" s="214" t="s">
        <v>70</v>
      </c>
      <c r="FW26" s="214" t="s">
        <v>530</v>
      </c>
      <c r="FY26" s="321" t="s">
        <v>2224</v>
      </c>
      <c r="FZ26" s="214" t="s">
        <v>52</v>
      </c>
      <c r="GA26" s="214" t="s">
        <v>70</v>
      </c>
      <c r="GB26" s="214" t="s">
        <v>530</v>
      </c>
      <c r="GD26" s="321" t="s">
        <v>2225</v>
      </c>
      <c r="GE26" s="214" t="s">
        <v>52</v>
      </c>
      <c r="GF26" s="214" t="s">
        <v>70</v>
      </c>
      <c r="GG26" s="214" t="s">
        <v>530</v>
      </c>
      <c r="GI26" s="321" t="s">
        <v>2226</v>
      </c>
      <c r="GJ26" s="214" t="s">
        <v>145</v>
      </c>
      <c r="GK26" s="214" t="s">
        <v>70</v>
      </c>
      <c r="GL26" s="214" t="s">
        <v>530</v>
      </c>
      <c r="GN26" s="321" t="s">
        <v>2227</v>
      </c>
      <c r="GO26" s="214" t="s">
        <v>88</v>
      </c>
      <c r="GP26" s="214" t="s">
        <v>70</v>
      </c>
      <c r="GQ26" s="214" t="s">
        <v>530</v>
      </c>
      <c r="GS26" s="321" t="s">
        <v>2228</v>
      </c>
      <c r="GT26" s="214" t="s">
        <v>148</v>
      </c>
      <c r="GU26" s="214" t="s">
        <v>70</v>
      </c>
      <c r="GV26" s="214" t="s">
        <v>530</v>
      </c>
      <c r="GX26" s="214" t="s">
        <v>2229</v>
      </c>
      <c r="GY26" s="214" t="s">
        <v>604</v>
      </c>
      <c r="GZ26" s="214" t="s">
        <v>70</v>
      </c>
      <c r="HA26" s="214" t="s">
        <v>530</v>
      </c>
      <c r="HC26" s="214" t="s">
        <v>2230</v>
      </c>
      <c r="HD26" s="214" t="s">
        <v>145</v>
      </c>
      <c r="HE26" s="214" t="s">
        <v>70</v>
      </c>
      <c r="HF26" s="214" t="s">
        <v>530</v>
      </c>
      <c r="HH26" s="214" t="s">
        <v>2231</v>
      </c>
      <c r="HI26" s="214" t="s">
        <v>492</v>
      </c>
      <c r="HJ26" s="214" t="s">
        <v>70</v>
      </c>
      <c r="HK26" s="214" t="s">
        <v>530</v>
      </c>
      <c r="HM26" s="214" t="s">
        <v>2232</v>
      </c>
      <c r="HN26" s="214" t="s">
        <v>52</v>
      </c>
      <c r="HO26" s="214" t="s">
        <v>70</v>
      </c>
      <c r="HP26" s="214" t="s">
        <v>34121</v>
      </c>
      <c r="HR26" s="22" t="s">
        <v>2233</v>
      </c>
      <c r="HS26" s="22" t="s">
        <v>34557</v>
      </c>
      <c r="HT26" s="22" t="s">
        <v>70</v>
      </c>
      <c r="HU26" s="214" t="s">
        <v>530</v>
      </c>
      <c r="HW26" s="22" t="s">
        <v>2234</v>
      </c>
      <c r="HX26" s="22" t="s">
        <v>90</v>
      </c>
      <c r="HY26" s="22" t="s">
        <v>70</v>
      </c>
      <c r="HZ26" s="214" t="s">
        <v>530</v>
      </c>
      <c r="IB26" s="22" t="s">
        <v>2235</v>
      </c>
      <c r="IC26" s="22" t="s">
        <v>798</v>
      </c>
      <c r="ID26" s="22" t="s">
        <v>70</v>
      </c>
      <c r="IE26" s="214" t="s">
        <v>530</v>
      </c>
      <c r="IG26" s="22" t="s">
        <v>2236</v>
      </c>
      <c r="IH26" s="22" t="s">
        <v>52</v>
      </c>
      <c r="II26" s="22" t="s">
        <v>70</v>
      </c>
      <c r="IJ26" s="214" t="s">
        <v>530</v>
      </c>
      <c r="IL26" s="22" t="s">
        <v>2237</v>
      </c>
      <c r="IM26" s="22" t="s">
        <v>145</v>
      </c>
      <c r="IN26" s="22" t="s">
        <v>70</v>
      </c>
      <c r="IO26" s="214" t="s">
        <v>530</v>
      </c>
      <c r="IQ26" s="236" t="s">
        <v>2238</v>
      </c>
      <c r="IR26" s="236" t="s">
        <v>145</v>
      </c>
      <c r="IS26" s="236" t="s">
        <v>74</v>
      </c>
      <c r="IT26" s="236" t="s">
        <v>841</v>
      </c>
      <c r="IV26" s="236" t="s">
        <v>2239</v>
      </c>
      <c r="IW26" s="236" t="s">
        <v>145</v>
      </c>
      <c r="IX26" s="236" t="s">
        <v>74</v>
      </c>
      <c r="IY26" s="236" t="s">
        <v>841</v>
      </c>
      <c r="JA26" s="236" t="s">
        <v>2240</v>
      </c>
      <c r="JB26" s="236" t="s">
        <v>145</v>
      </c>
      <c r="JC26" s="236" t="s">
        <v>74</v>
      </c>
      <c r="JD26" s="236" t="s">
        <v>841</v>
      </c>
      <c r="JF26" s="236" t="s">
        <v>2241</v>
      </c>
      <c r="JG26" s="236" t="s">
        <v>145</v>
      </c>
      <c r="JH26" s="236" t="s">
        <v>74</v>
      </c>
      <c r="JI26" s="236" t="s">
        <v>841</v>
      </c>
      <c r="JK26" s="236" t="s">
        <v>2242</v>
      </c>
      <c r="JL26" s="236" t="s">
        <v>145</v>
      </c>
      <c r="JM26" s="236" t="s">
        <v>74</v>
      </c>
      <c r="JN26" s="236" t="s">
        <v>841</v>
      </c>
      <c r="JP26" s="236" t="s">
        <v>2243</v>
      </c>
      <c r="JQ26" s="236" t="s">
        <v>145</v>
      </c>
      <c r="JR26" s="236" t="s">
        <v>74</v>
      </c>
      <c r="JS26" s="236" t="s">
        <v>841</v>
      </c>
      <c r="JU26" s="294" t="s">
        <v>2244</v>
      </c>
      <c r="JV26" s="294" t="str">
        <f>TVIIBE1M_CalPairs!$R20</f>
        <v>0x00</v>
      </c>
      <c r="JW26" s="263" t="s">
        <v>70</v>
      </c>
      <c r="JX26" s="294" t="str">
        <f>TVIIBE1M_CalPairs!$Q20</f>
        <v>SMPU15_ADDR1_B2</v>
      </c>
      <c r="JZ26" s="263" t="s">
        <v>2245</v>
      </c>
      <c r="KA26" s="263" t="s">
        <v>145</v>
      </c>
      <c r="KB26" s="263" t="s">
        <v>70</v>
      </c>
      <c r="KC26" s="263" t="s">
        <v>1083</v>
      </c>
      <c r="KE26" s="263" t="s">
        <v>2246</v>
      </c>
      <c r="KF26" s="263" t="s">
        <v>52</v>
      </c>
      <c r="KG26" s="263" t="s">
        <v>70</v>
      </c>
      <c r="KH26" s="263" t="s">
        <v>1083</v>
      </c>
      <c r="KJ26" s="263" t="s">
        <v>2247</v>
      </c>
      <c r="KK26" s="263" t="s">
        <v>52</v>
      </c>
      <c r="KL26" s="263" t="s">
        <v>74</v>
      </c>
      <c r="KM26" s="263" t="s">
        <v>34234</v>
      </c>
      <c r="KO26" s="214" t="s">
        <v>2248</v>
      </c>
      <c r="KP26" s="214" t="s">
        <v>52</v>
      </c>
      <c r="KQ26" s="214" t="s">
        <v>70</v>
      </c>
      <c r="KR26" s="214" t="s">
        <v>1016</v>
      </c>
      <c r="KT26" s="22" t="s">
        <v>2249</v>
      </c>
      <c r="KU26" s="22" t="s">
        <v>145</v>
      </c>
      <c r="KV26" s="22" t="s">
        <v>70</v>
      </c>
      <c r="KW26" s="22" t="s">
        <v>67</v>
      </c>
      <c r="KY26" s="214" t="s">
        <v>2250</v>
      </c>
      <c r="KZ26" s="214" t="s">
        <v>52</v>
      </c>
      <c r="LA26" s="214" t="s">
        <v>74</v>
      </c>
      <c r="LB26" s="214" t="s">
        <v>824</v>
      </c>
      <c r="LD26" s="22" t="s">
        <v>2251</v>
      </c>
      <c r="LE26" s="22" t="s">
        <v>145</v>
      </c>
      <c r="LF26" s="22" t="s">
        <v>70</v>
      </c>
      <c r="LG26" s="22" t="s">
        <v>67</v>
      </c>
    </row>
    <row r="27" spans="1:319">
      <c r="A27" s="22" t="s">
        <v>2252</v>
      </c>
      <c r="B27" s="218" t="s">
        <v>52</v>
      </c>
      <c r="C27" s="218" t="s">
        <v>72</v>
      </c>
      <c r="D27" s="218" t="s">
        <v>34504</v>
      </c>
      <c r="F27" s="23" t="s">
        <v>2253</v>
      </c>
      <c r="G27" s="23" t="str">
        <f>TVIIBE1M_CalPairs!$E24</f>
        <v>0x62</v>
      </c>
      <c r="H27" s="23" t="s">
        <v>72</v>
      </c>
      <c r="I27" s="23" t="str">
        <f>TVIIBE1M_CalPairs!$C24</f>
        <v>CPUSS_TRIM_RAM_CTL_0</v>
      </c>
      <c r="K27" s="218" t="s">
        <v>2254</v>
      </c>
      <c r="L27" s="218" t="s">
        <v>145</v>
      </c>
      <c r="M27" s="305" t="s">
        <v>72</v>
      </c>
      <c r="N27" s="312" t="s">
        <v>34098</v>
      </c>
      <c r="P27" s="218" t="s">
        <v>2255</v>
      </c>
      <c r="Q27" s="218" t="s">
        <v>145</v>
      </c>
      <c r="R27" s="218" t="s">
        <v>72</v>
      </c>
      <c r="S27" s="218" t="s">
        <v>777</v>
      </c>
      <c r="U27" s="293" t="s">
        <v>2256</v>
      </c>
      <c r="V27" s="293" t="s">
        <v>145</v>
      </c>
      <c r="W27" s="293" t="s">
        <v>74</v>
      </c>
      <c r="X27" s="293" t="s">
        <v>656</v>
      </c>
      <c r="Z27" s="293" t="s">
        <v>2257</v>
      </c>
      <c r="AA27" s="293" t="s">
        <v>145</v>
      </c>
      <c r="AB27" s="293" t="s">
        <v>74</v>
      </c>
      <c r="AC27" s="293" t="s">
        <v>656</v>
      </c>
      <c r="AE27" s="293" t="s">
        <v>2258</v>
      </c>
      <c r="AF27" s="293" t="s">
        <v>145</v>
      </c>
      <c r="AG27" s="293" t="s">
        <v>74</v>
      </c>
      <c r="AH27" s="293" t="s">
        <v>656</v>
      </c>
      <c r="AJ27" s="293" t="s">
        <v>2259</v>
      </c>
      <c r="AK27" s="293" t="s">
        <v>145</v>
      </c>
      <c r="AL27" s="293" t="s">
        <v>74</v>
      </c>
      <c r="AM27" s="293" t="s">
        <v>656</v>
      </c>
      <c r="AO27" s="22" t="s">
        <v>2260</v>
      </c>
      <c r="AP27" s="22" t="s">
        <v>145</v>
      </c>
      <c r="AQ27" s="22" t="s">
        <v>70</v>
      </c>
      <c r="AR27" s="22" t="s">
        <v>67</v>
      </c>
      <c r="AT27" s="22" t="s">
        <v>2261</v>
      </c>
      <c r="AU27" s="22" t="s">
        <v>145</v>
      </c>
      <c r="AV27" s="22" t="s">
        <v>70</v>
      </c>
      <c r="AW27" s="22" t="s">
        <v>67</v>
      </c>
      <c r="AY27" s="22" t="s">
        <v>2262</v>
      </c>
      <c r="AZ27" s="22" t="s">
        <v>145</v>
      </c>
      <c r="BA27" s="22" t="s">
        <v>70</v>
      </c>
      <c r="BB27" s="22" t="s">
        <v>67</v>
      </c>
      <c r="BD27" s="22" t="s">
        <v>2263</v>
      </c>
      <c r="BE27" s="22" t="s">
        <v>145</v>
      </c>
      <c r="BF27" s="22" t="s">
        <v>70</v>
      </c>
      <c r="BG27" s="22" t="s">
        <v>67</v>
      </c>
      <c r="BI27" s="22" t="s">
        <v>2264</v>
      </c>
      <c r="BJ27" s="22" t="s">
        <v>145</v>
      </c>
      <c r="BK27" s="22" t="s">
        <v>70</v>
      </c>
      <c r="BL27" s="22" t="s">
        <v>67</v>
      </c>
      <c r="BN27" s="22" t="s">
        <v>2265</v>
      </c>
      <c r="BO27" s="22" t="s">
        <v>145</v>
      </c>
      <c r="BP27" s="22" t="s">
        <v>70</v>
      </c>
      <c r="BQ27" s="22" t="s">
        <v>67</v>
      </c>
      <c r="BS27" s="22" t="s">
        <v>2266</v>
      </c>
      <c r="BT27" s="22" t="s">
        <v>145</v>
      </c>
      <c r="BU27" s="22" t="s">
        <v>70</v>
      </c>
      <c r="BV27" s="214" t="s">
        <v>530</v>
      </c>
      <c r="BX27" s="22" t="s">
        <v>2267</v>
      </c>
      <c r="BY27" s="22" t="s">
        <v>145</v>
      </c>
      <c r="BZ27" s="22" t="s">
        <v>70</v>
      </c>
      <c r="CA27" s="214" t="s">
        <v>530</v>
      </c>
      <c r="CC27" s="214" t="s">
        <v>2268</v>
      </c>
      <c r="CD27" s="214" t="s">
        <v>52</v>
      </c>
      <c r="CE27" s="214" t="s">
        <v>70</v>
      </c>
      <c r="CF27" s="214" t="s">
        <v>900</v>
      </c>
      <c r="CH27" s="214" t="s">
        <v>2269</v>
      </c>
      <c r="CI27" s="214" t="s">
        <v>926</v>
      </c>
      <c r="CJ27" s="214" t="s">
        <v>70</v>
      </c>
      <c r="CK27" s="214" t="s">
        <v>530</v>
      </c>
      <c r="CM27" s="214" t="s">
        <v>2270</v>
      </c>
      <c r="CN27" s="214" t="s">
        <v>52</v>
      </c>
      <c r="CO27" s="214" t="s">
        <v>70</v>
      </c>
      <c r="CP27" s="214" t="s">
        <v>530</v>
      </c>
      <c r="CR27" s="214" t="s">
        <v>2271</v>
      </c>
      <c r="CS27" s="214" t="s">
        <v>287</v>
      </c>
      <c r="CT27" s="214" t="s">
        <v>70</v>
      </c>
      <c r="CU27" s="214" t="s">
        <v>530</v>
      </c>
      <c r="CW27" s="214" t="s">
        <v>2272</v>
      </c>
      <c r="CX27" s="214" t="s">
        <v>34557</v>
      </c>
      <c r="CY27" s="214" t="s">
        <v>70</v>
      </c>
      <c r="CZ27" s="214" t="s">
        <v>530</v>
      </c>
      <c r="DB27" s="214" t="s">
        <v>2273</v>
      </c>
      <c r="DC27" s="214" t="s">
        <v>502</v>
      </c>
      <c r="DD27" s="214" t="s">
        <v>70</v>
      </c>
      <c r="DE27" s="214" t="s">
        <v>530</v>
      </c>
      <c r="DG27" s="214" t="s">
        <v>2274</v>
      </c>
      <c r="DH27" s="214" t="s">
        <v>924</v>
      </c>
      <c r="DI27" s="214" t="s">
        <v>70</v>
      </c>
      <c r="DJ27" s="214" t="s">
        <v>530</v>
      </c>
      <c r="DL27" s="214" t="s">
        <v>2275</v>
      </c>
      <c r="DM27" s="214" t="s">
        <v>468</v>
      </c>
      <c r="DN27" s="214" t="s">
        <v>70</v>
      </c>
      <c r="DO27" s="214" t="s">
        <v>530</v>
      </c>
      <c r="DQ27" s="214" t="s">
        <v>2276</v>
      </c>
      <c r="DR27" s="214" t="s">
        <v>950</v>
      </c>
      <c r="DS27" s="214" t="s">
        <v>70</v>
      </c>
      <c r="DT27" s="214" t="s">
        <v>530</v>
      </c>
      <c r="DV27" s="214" t="s">
        <v>2277</v>
      </c>
      <c r="DW27" s="214" t="s">
        <v>486</v>
      </c>
      <c r="DX27" s="214" t="s">
        <v>70</v>
      </c>
      <c r="DY27" s="214" t="s">
        <v>530</v>
      </c>
      <c r="EA27" s="214" t="s">
        <v>2278</v>
      </c>
      <c r="EB27" s="214" t="s">
        <v>919</v>
      </c>
      <c r="EC27" s="214" t="s">
        <v>70</v>
      </c>
      <c r="ED27" s="214" t="s">
        <v>530</v>
      </c>
      <c r="EF27" s="214" t="s">
        <v>2279</v>
      </c>
      <c r="EG27" s="214" t="s">
        <v>912</v>
      </c>
      <c r="EH27" s="214" t="s">
        <v>70</v>
      </c>
      <c r="EI27" s="214" t="s">
        <v>530</v>
      </c>
      <c r="EK27" s="214" t="s">
        <v>2280</v>
      </c>
      <c r="EL27" s="214" t="s">
        <v>34541</v>
      </c>
      <c r="EM27" s="214" t="s">
        <v>70</v>
      </c>
      <c r="EN27" s="214" t="s">
        <v>530</v>
      </c>
      <c r="EP27" s="214" t="s">
        <v>2281</v>
      </c>
      <c r="EQ27" s="214" t="s">
        <v>52</v>
      </c>
      <c r="ER27" s="214" t="s">
        <v>70</v>
      </c>
      <c r="ES27" s="214" t="s">
        <v>530</v>
      </c>
      <c r="EU27" s="214" t="s">
        <v>2282</v>
      </c>
      <c r="EV27" s="214" t="s">
        <v>490</v>
      </c>
      <c r="EW27" s="214" t="s">
        <v>70</v>
      </c>
      <c r="EX27" s="214" t="s">
        <v>530</v>
      </c>
      <c r="EZ27" s="214" t="s">
        <v>2283</v>
      </c>
      <c r="FA27" s="214" t="s">
        <v>491</v>
      </c>
      <c r="FB27" s="214" t="s">
        <v>70</v>
      </c>
      <c r="FC27" s="214" t="s">
        <v>530</v>
      </c>
      <c r="FE27" s="214" t="s">
        <v>2284</v>
      </c>
      <c r="FF27" s="214" t="s">
        <v>487</v>
      </c>
      <c r="FG27" s="214" t="s">
        <v>70</v>
      </c>
      <c r="FH27" s="214" t="s">
        <v>530</v>
      </c>
      <c r="FJ27" s="321" t="s">
        <v>2285</v>
      </c>
      <c r="FK27" s="214" t="s">
        <v>491</v>
      </c>
      <c r="FL27" s="214" t="s">
        <v>70</v>
      </c>
      <c r="FM27" s="214" t="s">
        <v>530</v>
      </c>
      <c r="FO27" s="321" t="s">
        <v>2286</v>
      </c>
      <c r="FP27" s="214" t="s">
        <v>52</v>
      </c>
      <c r="FQ27" s="214" t="s">
        <v>70</v>
      </c>
      <c r="FR27" s="214" t="s">
        <v>530</v>
      </c>
      <c r="FT27" s="321" t="s">
        <v>2287</v>
      </c>
      <c r="FU27" s="214" t="s">
        <v>88</v>
      </c>
      <c r="FV27" s="214" t="s">
        <v>70</v>
      </c>
      <c r="FW27" s="214" t="s">
        <v>530</v>
      </c>
      <c r="FY27" s="321" t="s">
        <v>2288</v>
      </c>
      <c r="FZ27" s="214" t="s">
        <v>921</v>
      </c>
      <c r="GA27" s="214" t="s">
        <v>70</v>
      </c>
      <c r="GB27" s="214" t="s">
        <v>530</v>
      </c>
      <c r="GD27" s="321" t="s">
        <v>2289</v>
      </c>
      <c r="GE27" s="214" t="s">
        <v>206</v>
      </c>
      <c r="GF27" s="214" t="s">
        <v>70</v>
      </c>
      <c r="GG27" s="214" t="s">
        <v>530</v>
      </c>
      <c r="GI27" s="321" t="s">
        <v>2290</v>
      </c>
      <c r="GJ27" s="214" t="s">
        <v>34541</v>
      </c>
      <c r="GK27" s="214" t="s">
        <v>70</v>
      </c>
      <c r="GL27" s="214" t="s">
        <v>530</v>
      </c>
      <c r="GN27" s="321" t="s">
        <v>2291</v>
      </c>
      <c r="GO27" s="214" t="s">
        <v>920</v>
      </c>
      <c r="GP27" s="214" t="s">
        <v>70</v>
      </c>
      <c r="GQ27" s="214" t="s">
        <v>530</v>
      </c>
      <c r="GS27" s="321" t="s">
        <v>2292</v>
      </c>
      <c r="GT27" s="214" t="s">
        <v>502</v>
      </c>
      <c r="GU27" s="214" t="s">
        <v>70</v>
      </c>
      <c r="GV27" s="214" t="s">
        <v>530</v>
      </c>
      <c r="GX27" s="214" t="s">
        <v>2293</v>
      </c>
      <c r="GY27" s="214" t="s">
        <v>146</v>
      </c>
      <c r="GZ27" s="214" t="s">
        <v>70</v>
      </c>
      <c r="HA27" s="214" t="s">
        <v>530</v>
      </c>
      <c r="HC27" s="214" t="s">
        <v>2294</v>
      </c>
      <c r="HD27" s="214" t="s">
        <v>503</v>
      </c>
      <c r="HE27" s="214" t="s">
        <v>70</v>
      </c>
      <c r="HF27" s="214" t="s">
        <v>530</v>
      </c>
      <c r="HH27" s="214" t="s">
        <v>2295</v>
      </c>
      <c r="HI27" s="214" t="s">
        <v>52</v>
      </c>
      <c r="HJ27" s="214" t="s">
        <v>70</v>
      </c>
      <c r="HK27" s="214" t="s">
        <v>530</v>
      </c>
      <c r="HM27" s="214" t="s">
        <v>2296</v>
      </c>
      <c r="HN27" s="214" t="s">
        <v>52</v>
      </c>
      <c r="HO27" s="214" t="s">
        <v>70</v>
      </c>
      <c r="HP27" s="214" t="s">
        <v>34121</v>
      </c>
      <c r="HR27" s="22" t="s">
        <v>2297</v>
      </c>
      <c r="HS27" s="22" t="s">
        <v>492</v>
      </c>
      <c r="HT27" s="22" t="s">
        <v>70</v>
      </c>
      <c r="HU27" s="214" t="s">
        <v>530</v>
      </c>
      <c r="HW27" s="22" t="s">
        <v>2298</v>
      </c>
      <c r="HX27" s="22" t="s">
        <v>487</v>
      </c>
      <c r="HY27" s="22" t="s">
        <v>70</v>
      </c>
      <c r="HZ27" s="214" t="s">
        <v>530</v>
      </c>
      <c r="IB27" s="22" t="s">
        <v>2299</v>
      </c>
      <c r="IC27" s="22" t="s">
        <v>34611</v>
      </c>
      <c r="ID27" s="22" t="s">
        <v>70</v>
      </c>
      <c r="IE27" s="214" t="s">
        <v>530</v>
      </c>
      <c r="IG27" s="22" t="s">
        <v>2300</v>
      </c>
      <c r="IH27" s="22" t="s">
        <v>52</v>
      </c>
      <c r="II27" s="22" t="s">
        <v>70</v>
      </c>
      <c r="IJ27" s="214" t="s">
        <v>530</v>
      </c>
      <c r="IL27" s="22" t="s">
        <v>2301</v>
      </c>
      <c r="IM27" s="22" t="s">
        <v>145</v>
      </c>
      <c r="IN27" s="22" t="s">
        <v>70</v>
      </c>
      <c r="IO27" s="214" t="s">
        <v>530</v>
      </c>
      <c r="IQ27" s="236" t="s">
        <v>2302</v>
      </c>
      <c r="IR27" s="236" t="s">
        <v>145</v>
      </c>
      <c r="IS27" s="236" t="s">
        <v>74</v>
      </c>
      <c r="IT27" s="236" t="s">
        <v>841</v>
      </c>
      <c r="IV27" s="236" t="s">
        <v>2303</v>
      </c>
      <c r="IW27" s="236" t="s">
        <v>145</v>
      </c>
      <c r="IX27" s="236" t="s">
        <v>74</v>
      </c>
      <c r="IY27" s="236" t="s">
        <v>841</v>
      </c>
      <c r="JA27" s="236" t="s">
        <v>2304</v>
      </c>
      <c r="JB27" s="236" t="s">
        <v>145</v>
      </c>
      <c r="JC27" s="236" t="s">
        <v>74</v>
      </c>
      <c r="JD27" s="236" t="s">
        <v>841</v>
      </c>
      <c r="JF27" s="236" t="s">
        <v>2305</v>
      </c>
      <c r="JG27" s="236" t="s">
        <v>145</v>
      </c>
      <c r="JH27" s="236" t="s">
        <v>74</v>
      </c>
      <c r="JI27" s="236" t="s">
        <v>841</v>
      </c>
      <c r="JK27" s="236" t="s">
        <v>2306</v>
      </c>
      <c r="JL27" s="236" t="s">
        <v>145</v>
      </c>
      <c r="JM27" s="236" t="s">
        <v>74</v>
      </c>
      <c r="JN27" s="236" t="s">
        <v>841</v>
      </c>
      <c r="JP27" s="236" t="s">
        <v>2307</v>
      </c>
      <c r="JQ27" s="236" t="s">
        <v>145</v>
      </c>
      <c r="JR27" s="236" t="s">
        <v>74</v>
      </c>
      <c r="JS27" s="236" t="s">
        <v>841</v>
      </c>
      <c r="JU27" s="294" t="s">
        <v>2308</v>
      </c>
      <c r="JV27" s="294" t="str">
        <f>TVIIBE1M_CalPairs!$R21</f>
        <v>0x00</v>
      </c>
      <c r="JW27" s="263" t="s">
        <v>70</v>
      </c>
      <c r="JX27" s="294" t="str">
        <f>TVIIBE1M_CalPairs!$Q21</f>
        <v>SMPU15_ADDR1_B3</v>
      </c>
      <c r="JZ27" s="263" t="s">
        <v>2309</v>
      </c>
      <c r="KA27" s="263" t="s">
        <v>145</v>
      </c>
      <c r="KB27" s="263" t="s">
        <v>70</v>
      </c>
      <c r="KC27" s="263" t="s">
        <v>1083</v>
      </c>
      <c r="KE27" s="263" t="s">
        <v>2310</v>
      </c>
      <c r="KF27" s="263" t="s">
        <v>52</v>
      </c>
      <c r="KG27" s="263" t="s">
        <v>70</v>
      </c>
      <c r="KH27" s="263" t="s">
        <v>1083</v>
      </c>
      <c r="KJ27" s="263" t="s">
        <v>2311</v>
      </c>
      <c r="KK27" s="263" t="s">
        <v>90</v>
      </c>
      <c r="KL27" s="263" t="s">
        <v>74</v>
      </c>
      <c r="KM27" s="263" t="s">
        <v>34235</v>
      </c>
      <c r="KO27" s="214" t="s">
        <v>2312</v>
      </c>
      <c r="KP27" s="214" t="s">
        <v>52</v>
      </c>
      <c r="KQ27" s="214" t="s">
        <v>70</v>
      </c>
      <c r="KR27" s="214" t="s">
        <v>1016</v>
      </c>
      <c r="KT27" s="22" t="s">
        <v>2313</v>
      </c>
      <c r="KU27" s="22" t="s">
        <v>145</v>
      </c>
      <c r="KV27" s="22" t="s">
        <v>70</v>
      </c>
      <c r="KW27" s="22" t="s">
        <v>67</v>
      </c>
      <c r="KY27" s="214" t="s">
        <v>2314</v>
      </c>
      <c r="KZ27" s="214" t="s">
        <v>52</v>
      </c>
      <c r="LA27" s="214" t="s">
        <v>74</v>
      </c>
      <c r="LB27" s="214" t="s">
        <v>824</v>
      </c>
      <c r="LD27" s="22" t="s">
        <v>2315</v>
      </c>
      <c r="LE27" s="22" t="s">
        <v>145</v>
      </c>
      <c r="LF27" s="22" t="s">
        <v>70</v>
      </c>
      <c r="LG27" s="22" t="s">
        <v>67</v>
      </c>
    </row>
    <row r="28" spans="1:319">
      <c r="A28" s="22" t="s">
        <v>2316</v>
      </c>
      <c r="B28" s="22" t="s">
        <v>145</v>
      </c>
      <c r="C28" s="22" t="s">
        <v>70</v>
      </c>
      <c r="D28" s="22" t="s">
        <v>67</v>
      </c>
      <c r="F28" s="23" t="s">
        <v>2317</v>
      </c>
      <c r="G28" s="23" t="str">
        <f>TVIIBE1M_CalPairs!$E25</f>
        <v>0x00</v>
      </c>
      <c r="H28" s="23" t="s">
        <v>72</v>
      </c>
      <c r="I28" s="23" t="str">
        <f>TVIIBE1M_CalPairs!$C25</f>
        <v>CPUSS_TRIM_RAM_CTL_1</v>
      </c>
      <c r="K28" s="218" t="s">
        <v>2318</v>
      </c>
      <c r="L28" s="218" t="s">
        <v>145</v>
      </c>
      <c r="M28" s="305" t="s">
        <v>72</v>
      </c>
      <c r="N28" s="312" t="s">
        <v>34098</v>
      </c>
      <c r="P28" s="218" t="s">
        <v>2319</v>
      </c>
      <c r="Q28" s="218" t="s">
        <v>145</v>
      </c>
      <c r="R28" s="218" t="s">
        <v>72</v>
      </c>
      <c r="S28" s="218" t="s">
        <v>778</v>
      </c>
      <c r="U28" s="293" t="s">
        <v>2320</v>
      </c>
      <c r="V28" s="293" t="s">
        <v>145</v>
      </c>
      <c r="W28" s="293" t="s">
        <v>74</v>
      </c>
      <c r="X28" s="293" t="s">
        <v>656</v>
      </c>
      <c r="Z28" s="293" t="s">
        <v>2321</v>
      </c>
      <c r="AA28" s="293" t="s">
        <v>145</v>
      </c>
      <c r="AB28" s="293" t="s">
        <v>74</v>
      </c>
      <c r="AC28" s="293" t="s">
        <v>656</v>
      </c>
      <c r="AE28" s="293" t="s">
        <v>2322</v>
      </c>
      <c r="AF28" s="293" t="s">
        <v>145</v>
      </c>
      <c r="AG28" s="293" t="s">
        <v>74</v>
      </c>
      <c r="AH28" s="293" t="s">
        <v>656</v>
      </c>
      <c r="AJ28" s="293" t="s">
        <v>2323</v>
      </c>
      <c r="AK28" s="293" t="s">
        <v>145</v>
      </c>
      <c r="AL28" s="293" t="s">
        <v>74</v>
      </c>
      <c r="AM28" s="293" t="s">
        <v>656</v>
      </c>
      <c r="AO28" s="22" t="s">
        <v>2324</v>
      </c>
      <c r="AP28" s="22" t="s">
        <v>145</v>
      </c>
      <c r="AQ28" s="22" t="s">
        <v>70</v>
      </c>
      <c r="AR28" s="22" t="s">
        <v>67</v>
      </c>
      <c r="AT28" s="22" t="s">
        <v>2325</v>
      </c>
      <c r="AU28" s="22" t="s">
        <v>145</v>
      </c>
      <c r="AV28" s="22" t="s">
        <v>70</v>
      </c>
      <c r="AW28" s="22" t="s">
        <v>67</v>
      </c>
      <c r="AY28" s="22" t="s">
        <v>2326</v>
      </c>
      <c r="AZ28" s="22" t="s">
        <v>145</v>
      </c>
      <c r="BA28" s="22" t="s">
        <v>70</v>
      </c>
      <c r="BB28" s="22" t="s">
        <v>67</v>
      </c>
      <c r="BD28" s="22" t="s">
        <v>2327</v>
      </c>
      <c r="BE28" s="22" t="s">
        <v>145</v>
      </c>
      <c r="BF28" s="22" t="s">
        <v>70</v>
      </c>
      <c r="BG28" s="22" t="s">
        <v>67</v>
      </c>
      <c r="BI28" s="22" t="s">
        <v>2328</v>
      </c>
      <c r="BJ28" s="22" t="s">
        <v>145</v>
      </c>
      <c r="BK28" s="22" t="s">
        <v>70</v>
      </c>
      <c r="BL28" s="22" t="s">
        <v>67</v>
      </c>
      <c r="BN28" s="22" t="s">
        <v>2329</v>
      </c>
      <c r="BO28" s="22" t="s">
        <v>145</v>
      </c>
      <c r="BP28" s="22" t="s">
        <v>70</v>
      </c>
      <c r="BQ28" s="22" t="s">
        <v>67</v>
      </c>
      <c r="BS28" s="22" t="s">
        <v>2330</v>
      </c>
      <c r="BT28" s="22" t="s">
        <v>145</v>
      </c>
      <c r="BU28" s="22" t="s">
        <v>70</v>
      </c>
      <c r="BV28" s="214" t="s">
        <v>530</v>
      </c>
      <c r="BX28" s="22" t="s">
        <v>2331</v>
      </c>
      <c r="BY28" s="22" t="s">
        <v>145</v>
      </c>
      <c r="BZ28" s="22" t="s">
        <v>70</v>
      </c>
      <c r="CA28" s="214" t="s">
        <v>530</v>
      </c>
      <c r="CC28" s="214" t="s">
        <v>2332</v>
      </c>
      <c r="CD28" s="214" t="s">
        <v>52</v>
      </c>
      <c r="CE28" s="214" t="s">
        <v>70</v>
      </c>
      <c r="CF28" s="214" t="s">
        <v>901</v>
      </c>
      <c r="CH28" s="214" t="s">
        <v>2333</v>
      </c>
      <c r="CI28" s="214" t="s">
        <v>88</v>
      </c>
      <c r="CJ28" s="214" t="s">
        <v>70</v>
      </c>
      <c r="CK28" s="214" t="s">
        <v>530</v>
      </c>
      <c r="CM28" s="214" t="s">
        <v>2334</v>
      </c>
      <c r="CN28" s="214" t="s">
        <v>86</v>
      </c>
      <c r="CO28" s="214" t="s">
        <v>70</v>
      </c>
      <c r="CP28" s="214" t="s">
        <v>530</v>
      </c>
      <c r="CR28" s="214" t="s">
        <v>2335</v>
      </c>
      <c r="CS28" s="214" t="s">
        <v>34516</v>
      </c>
      <c r="CT28" s="214" t="s">
        <v>70</v>
      </c>
      <c r="CU28" s="214" t="s">
        <v>530</v>
      </c>
      <c r="CW28" s="214" t="s">
        <v>2336</v>
      </c>
      <c r="CX28" s="214" t="s">
        <v>34583</v>
      </c>
      <c r="CY28" s="214" t="s">
        <v>70</v>
      </c>
      <c r="CZ28" s="214" t="s">
        <v>530</v>
      </c>
      <c r="DB28" s="214" t="s">
        <v>2337</v>
      </c>
      <c r="DC28" s="214" t="s">
        <v>92</v>
      </c>
      <c r="DD28" s="214" t="s">
        <v>70</v>
      </c>
      <c r="DE28" s="214" t="s">
        <v>530</v>
      </c>
      <c r="DG28" s="214" t="s">
        <v>2338</v>
      </c>
      <c r="DH28" s="214" t="s">
        <v>531</v>
      </c>
      <c r="DI28" s="214" t="s">
        <v>70</v>
      </c>
      <c r="DJ28" s="214" t="s">
        <v>530</v>
      </c>
      <c r="DL28" s="214" t="s">
        <v>2339</v>
      </c>
      <c r="DM28" s="214" t="s">
        <v>148</v>
      </c>
      <c r="DN28" s="214" t="s">
        <v>70</v>
      </c>
      <c r="DO28" s="214" t="s">
        <v>530</v>
      </c>
      <c r="DQ28" s="214" t="s">
        <v>2340</v>
      </c>
      <c r="DR28" s="214" t="s">
        <v>34643</v>
      </c>
      <c r="DS28" s="214" t="s">
        <v>70</v>
      </c>
      <c r="DT28" s="214" t="s">
        <v>530</v>
      </c>
      <c r="DV28" s="214" t="s">
        <v>2341</v>
      </c>
      <c r="DW28" s="214" t="s">
        <v>490</v>
      </c>
      <c r="DX28" s="214" t="s">
        <v>70</v>
      </c>
      <c r="DY28" s="214" t="s">
        <v>530</v>
      </c>
      <c r="EA28" s="214" t="s">
        <v>2342</v>
      </c>
      <c r="EB28" s="214" t="s">
        <v>34611</v>
      </c>
      <c r="EC28" s="214" t="s">
        <v>70</v>
      </c>
      <c r="ED28" s="214" t="s">
        <v>530</v>
      </c>
      <c r="EF28" s="214" t="s">
        <v>2343</v>
      </c>
      <c r="EG28" s="214" t="s">
        <v>52</v>
      </c>
      <c r="EH28" s="214" t="s">
        <v>70</v>
      </c>
      <c r="EI28" s="214" t="s">
        <v>530</v>
      </c>
      <c r="EK28" s="214" t="s">
        <v>2344</v>
      </c>
      <c r="EL28" s="214" t="s">
        <v>34611</v>
      </c>
      <c r="EM28" s="214" t="s">
        <v>70</v>
      </c>
      <c r="EN28" s="214" t="s">
        <v>530</v>
      </c>
      <c r="EP28" s="214" t="s">
        <v>2345</v>
      </c>
      <c r="EQ28" s="214" t="s">
        <v>52</v>
      </c>
      <c r="ER28" s="214" t="s">
        <v>70</v>
      </c>
      <c r="ES28" s="214" t="s">
        <v>530</v>
      </c>
      <c r="EU28" s="214" t="s">
        <v>2346</v>
      </c>
      <c r="EV28" s="214" t="s">
        <v>145</v>
      </c>
      <c r="EW28" s="214" t="s">
        <v>70</v>
      </c>
      <c r="EX28" s="214" t="s">
        <v>530</v>
      </c>
      <c r="EZ28" s="214" t="s">
        <v>2347</v>
      </c>
      <c r="FA28" s="214" t="s">
        <v>148</v>
      </c>
      <c r="FB28" s="214" t="s">
        <v>70</v>
      </c>
      <c r="FC28" s="214" t="s">
        <v>530</v>
      </c>
      <c r="FE28" s="214" t="s">
        <v>2348</v>
      </c>
      <c r="FF28" s="214" t="s">
        <v>34595</v>
      </c>
      <c r="FG28" s="214" t="s">
        <v>70</v>
      </c>
      <c r="FH28" s="214" t="s">
        <v>530</v>
      </c>
      <c r="FJ28" s="321" t="s">
        <v>2349</v>
      </c>
      <c r="FK28" s="214" t="s">
        <v>148</v>
      </c>
      <c r="FL28" s="214" t="s">
        <v>70</v>
      </c>
      <c r="FM28" s="214" t="s">
        <v>530</v>
      </c>
      <c r="FO28" s="321" t="s">
        <v>2350</v>
      </c>
      <c r="FP28" s="214" t="s">
        <v>10541</v>
      </c>
      <c r="FQ28" s="214" t="s">
        <v>70</v>
      </c>
      <c r="FR28" s="214" t="s">
        <v>530</v>
      </c>
      <c r="FT28" s="321" t="s">
        <v>2351</v>
      </c>
      <c r="FU28" s="214" t="s">
        <v>87</v>
      </c>
      <c r="FV28" s="214" t="s">
        <v>70</v>
      </c>
      <c r="FW28" s="214" t="s">
        <v>530</v>
      </c>
      <c r="FY28" s="321" t="s">
        <v>2352</v>
      </c>
      <c r="FZ28" s="214" t="s">
        <v>148</v>
      </c>
      <c r="GA28" s="214" t="s">
        <v>70</v>
      </c>
      <c r="GB28" s="214" t="s">
        <v>530</v>
      </c>
      <c r="GD28" s="321" t="s">
        <v>2353</v>
      </c>
      <c r="GE28" s="214" t="s">
        <v>148</v>
      </c>
      <c r="GF28" s="214" t="s">
        <v>70</v>
      </c>
      <c r="GG28" s="214" t="s">
        <v>530</v>
      </c>
      <c r="GI28" s="321" t="s">
        <v>2354</v>
      </c>
      <c r="GJ28" s="214" t="s">
        <v>305</v>
      </c>
      <c r="GK28" s="214" t="s">
        <v>70</v>
      </c>
      <c r="GL28" s="214" t="s">
        <v>530</v>
      </c>
      <c r="GN28" s="321" t="s">
        <v>2355</v>
      </c>
      <c r="GO28" s="214" t="s">
        <v>636</v>
      </c>
      <c r="GP28" s="214" t="s">
        <v>70</v>
      </c>
      <c r="GQ28" s="214" t="s">
        <v>530</v>
      </c>
      <c r="GS28" s="321" t="s">
        <v>2356</v>
      </c>
      <c r="GT28" s="214" t="s">
        <v>468</v>
      </c>
      <c r="GU28" s="214" t="s">
        <v>70</v>
      </c>
      <c r="GV28" s="214" t="s">
        <v>530</v>
      </c>
      <c r="GX28" s="214" t="s">
        <v>2357</v>
      </c>
      <c r="GY28" s="214" t="s">
        <v>52</v>
      </c>
      <c r="GZ28" s="214" t="s">
        <v>70</v>
      </c>
      <c r="HA28" s="214" t="s">
        <v>530</v>
      </c>
      <c r="HC28" s="214" t="s">
        <v>2358</v>
      </c>
      <c r="HD28" s="214" t="s">
        <v>529</v>
      </c>
      <c r="HE28" s="214" t="s">
        <v>70</v>
      </c>
      <c r="HF28" s="214" t="s">
        <v>530</v>
      </c>
      <c r="HH28" s="214" t="s">
        <v>2359</v>
      </c>
      <c r="HI28" s="214" t="s">
        <v>492</v>
      </c>
      <c r="HJ28" s="214" t="s">
        <v>70</v>
      </c>
      <c r="HK28" s="214" t="s">
        <v>530</v>
      </c>
      <c r="HM28" s="214" t="s">
        <v>2360</v>
      </c>
      <c r="HN28" s="214" t="s">
        <v>491</v>
      </c>
      <c r="HO28" s="214" t="s">
        <v>70</v>
      </c>
      <c r="HP28" s="214" t="s">
        <v>34121</v>
      </c>
      <c r="HR28" s="22" t="s">
        <v>2361</v>
      </c>
      <c r="HS28" s="22" t="s">
        <v>915</v>
      </c>
      <c r="HT28" s="22" t="s">
        <v>70</v>
      </c>
      <c r="HU28" s="214" t="s">
        <v>530</v>
      </c>
      <c r="HW28" s="22" t="s">
        <v>2362</v>
      </c>
      <c r="HX28" s="22" t="s">
        <v>931</v>
      </c>
      <c r="HY28" s="22" t="s">
        <v>70</v>
      </c>
      <c r="HZ28" s="214" t="s">
        <v>530</v>
      </c>
      <c r="IB28" s="22" t="s">
        <v>2363</v>
      </c>
      <c r="IC28" s="22" t="s">
        <v>34539</v>
      </c>
      <c r="ID28" s="22" t="s">
        <v>70</v>
      </c>
      <c r="IE28" s="214" t="s">
        <v>530</v>
      </c>
      <c r="IG28" s="22" t="s">
        <v>2364</v>
      </c>
      <c r="IH28" s="22" t="s">
        <v>52</v>
      </c>
      <c r="II28" s="22" t="s">
        <v>70</v>
      </c>
      <c r="IJ28" s="214" t="s">
        <v>530</v>
      </c>
      <c r="IL28" s="22" t="s">
        <v>2365</v>
      </c>
      <c r="IM28" s="22" t="s">
        <v>145</v>
      </c>
      <c r="IN28" s="22" t="s">
        <v>70</v>
      </c>
      <c r="IO28" s="214" t="s">
        <v>530</v>
      </c>
      <c r="IQ28" s="236" t="s">
        <v>2366</v>
      </c>
      <c r="IR28" s="236" t="s">
        <v>145</v>
      </c>
      <c r="IS28" s="236" t="s">
        <v>74</v>
      </c>
      <c r="IT28" s="236" t="s">
        <v>841</v>
      </c>
      <c r="IV28" s="236" t="s">
        <v>2367</v>
      </c>
      <c r="IW28" s="236" t="s">
        <v>145</v>
      </c>
      <c r="IX28" s="236" t="s">
        <v>74</v>
      </c>
      <c r="IY28" s="236" t="s">
        <v>841</v>
      </c>
      <c r="JA28" s="236" t="s">
        <v>2368</v>
      </c>
      <c r="JB28" s="236" t="s">
        <v>145</v>
      </c>
      <c r="JC28" s="236" t="s">
        <v>74</v>
      </c>
      <c r="JD28" s="236" t="s">
        <v>841</v>
      </c>
      <c r="JF28" s="236" t="s">
        <v>2369</v>
      </c>
      <c r="JG28" s="236" t="s">
        <v>145</v>
      </c>
      <c r="JH28" s="236" t="s">
        <v>74</v>
      </c>
      <c r="JI28" s="236" t="s">
        <v>841</v>
      </c>
      <c r="JK28" s="236" t="s">
        <v>2370</v>
      </c>
      <c r="JL28" s="236" t="s">
        <v>145</v>
      </c>
      <c r="JM28" s="236" t="s">
        <v>74</v>
      </c>
      <c r="JN28" s="236" t="s">
        <v>841</v>
      </c>
      <c r="JP28" s="236" t="s">
        <v>2371</v>
      </c>
      <c r="JQ28" s="236" t="s">
        <v>145</v>
      </c>
      <c r="JR28" s="236" t="s">
        <v>74</v>
      </c>
      <c r="JS28" s="236" t="s">
        <v>841</v>
      </c>
      <c r="JU28" s="294" t="s">
        <v>2372</v>
      </c>
      <c r="JV28" s="294" t="str">
        <f>TVIIBE1M_CalPairs!$R22</f>
        <v>0x49</v>
      </c>
      <c r="JW28" s="263" t="s">
        <v>70</v>
      </c>
      <c r="JX28" s="294" t="str">
        <f>TVIIBE1M_CalPairs!$Q22</f>
        <v>SMPU15_ATT1_B0</v>
      </c>
      <c r="JZ28" s="263" t="s">
        <v>2373</v>
      </c>
      <c r="KA28" s="263" t="s">
        <v>145</v>
      </c>
      <c r="KB28" s="263" t="s">
        <v>70</v>
      </c>
      <c r="KC28" s="263" t="s">
        <v>1083</v>
      </c>
      <c r="KE28" s="263" t="s">
        <v>2374</v>
      </c>
      <c r="KF28" s="263" t="s">
        <v>52</v>
      </c>
      <c r="KG28" s="263" t="s">
        <v>70</v>
      </c>
      <c r="KH28" s="263" t="s">
        <v>1083</v>
      </c>
      <c r="KJ28" s="263" t="s">
        <v>2375</v>
      </c>
      <c r="KK28" s="263" t="s">
        <v>85</v>
      </c>
      <c r="KL28" s="263" t="s">
        <v>74</v>
      </c>
      <c r="KM28" s="263" t="s">
        <v>34236</v>
      </c>
      <c r="KO28" s="214" t="s">
        <v>2376</v>
      </c>
      <c r="KP28" s="218" t="s">
        <v>52</v>
      </c>
      <c r="KQ28" s="214" t="s">
        <v>70</v>
      </c>
      <c r="KR28" s="218" t="s">
        <v>34485</v>
      </c>
      <c r="KT28" s="22" t="s">
        <v>2377</v>
      </c>
      <c r="KU28" s="22" t="s">
        <v>145</v>
      </c>
      <c r="KV28" s="22" t="s">
        <v>70</v>
      </c>
      <c r="KW28" s="22" t="s">
        <v>67</v>
      </c>
      <c r="KY28" s="214" t="s">
        <v>2378</v>
      </c>
      <c r="KZ28" s="214" t="s">
        <v>52</v>
      </c>
      <c r="LA28" s="214" t="s">
        <v>74</v>
      </c>
      <c r="LB28" s="214" t="s">
        <v>827</v>
      </c>
      <c r="LD28" s="22" t="s">
        <v>2379</v>
      </c>
      <c r="LE28" s="22" t="s">
        <v>145</v>
      </c>
      <c r="LF28" s="22" t="s">
        <v>70</v>
      </c>
      <c r="LG28" s="22" t="s">
        <v>67</v>
      </c>
    </row>
    <row r="29" spans="1:319">
      <c r="A29" s="22" t="s">
        <v>2380</v>
      </c>
      <c r="B29" s="22" t="s">
        <v>145</v>
      </c>
      <c r="C29" s="22" t="s">
        <v>70</v>
      </c>
      <c r="D29" s="22" t="s">
        <v>67</v>
      </c>
      <c r="F29" s="23" t="s">
        <v>2381</v>
      </c>
      <c r="G29" s="23" t="str">
        <f>TVIIBE1M_CalPairs!$E26</f>
        <v>0x00</v>
      </c>
      <c r="H29" s="23" t="s">
        <v>72</v>
      </c>
      <c r="I29" s="23" t="str">
        <f>TVIIBE1M_CalPairs!$C26</f>
        <v>CPUSS_TRIM_RAM_CTL_2</v>
      </c>
      <c r="K29" s="218" t="s">
        <v>2382</v>
      </c>
      <c r="L29" s="218" t="s">
        <v>145</v>
      </c>
      <c r="M29" s="305" t="s">
        <v>72</v>
      </c>
      <c r="N29" s="312" t="s">
        <v>34098</v>
      </c>
      <c r="P29" s="218" t="s">
        <v>2383</v>
      </c>
      <c r="Q29" s="218" t="s">
        <v>145</v>
      </c>
      <c r="R29" s="218" t="s">
        <v>72</v>
      </c>
      <c r="S29" s="218" t="s">
        <v>779</v>
      </c>
      <c r="U29" s="293" t="s">
        <v>2384</v>
      </c>
      <c r="V29" s="293" t="s">
        <v>145</v>
      </c>
      <c r="W29" s="293" t="s">
        <v>74</v>
      </c>
      <c r="X29" s="293" t="s">
        <v>656</v>
      </c>
      <c r="Z29" s="293" t="s">
        <v>2385</v>
      </c>
      <c r="AA29" s="293" t="s">
        <v>145</v>
      </c>
      <c r="AB29" s="293" t="s">
        <v>74</v>
      </c>
      <c r="AC29" s="293" t="s">
        <v>656</v>
      </c>
      <c r="AE29" s="293" t="s">
        <v>2386</v>
      </c>
      <c r="AF29" s="293" t="s">
        <v>145</v>
      </c>
      <c r="AG29" s="293" t="s">
        <v>74</v>
      </c>
      <c r="AH29" s="293" t="s">
        <v>656</v>
      </c>
      <c r="AJ29" s="293" t="s">
        <v>2387</v>
      </c>
      <c r="AK29" s="293" t="s">
        <v>145</v>
      </c>
      <c r="AL29" s="293" t="s">
        <v>74</v>
      </c>
      <c r="AM29" s="293" t="s">
        <v>656</v>
      </c>
      <c r="AO29" s="22" t="s">
        <v>2388</v>
      </c>
      <c r="AP29" s="22" t="s">
        <v>145</v>
      </c>
      <c r="AQ29" s="22" t="s">
        <v>70</v>
      </c>
      <c r="AR29" s="22" t="s">
        <v>67</v>
      </c>
      <c r="AT29" s="22" t="s">
        <v>2389</v>
      </c>
      <c r="AU29" s="22" t="s">
        <v>145</v>
      </c>
      <c r="AV29" s="22" t="s">
        <v>70</v>
      </c>
      <c r="AW29" s="22" t="s">
        <v>67</v>
      </c>
      <c r="AY29" s="22" t="s">
        <v>2390</v>
      </c>
      <c r="AZ29" s="22" t="s">
        <v>145</v>
      </c>
      <c r="BA29" s="22" t="s">
        <v>70</v>
      </c>
      <c r="BB29" s="22" t="s">
        <v>67</v>
      </c>
      <c r="BD29" s="22" t="s">
        <v>2391</v>
      </c>
      <c r="BE29" s="22" t="s">
        <v>145</v>
      </c>
      <c r="BF29" s="22" t="s">
        <v>70</v>
      </c>
      <c r="BG29" s="22" t="s">
        <v>67</v>
      </c>
      <c r="BI29" s="22" t="s">
        <v>2392</v>
      </c>
      <c r="BJ29" s="22" t="s">
        <v>145</v>
      </c>
      <c r="BK29" s="22" t="s">
        <v>70</v>
      </c>
      <c r="BL29" s="22" t="s">
        <v>67</v>
      </c>
      <c r="BN29" s="22" t="s">
        <v>2393</v>
      </c>
      <c r="BO29" s="22" t="s">
        <v>145</v>
      </c>
      <c r="BP29" s="22" t="s">
        <v>70</v>
      </c>
      <c r="BQ29" s="22" t="s">
        <v>67</v>
      </c>
      <c r="BS29" s="22" t="s">
        <v>2394</v>
      </c>
      <c r="BT29" s="22" t="s">
        <v>145</v>
      </c>
      <c r="BU29" s="22" t="s">
        <v>70</v>
      </c>
      <c r="BV29" s="214" t="s">
        <v>530</v>
      </c>
      <c r="BX29" s="22" t="s">
        <v>2395</v>
      </c>
      <c r="BY29" s="22" t="s">
        <v>145</v>
      </c>
      <c r="BZ29" s="22" t="s">
        <v>70</v>
      </c>
      <c r="CA29" s="214" t="s">
        <v>530</v>
      </c>
      <c r="CC29" s="214" t="s">
        <v>2396</v>
      </c>
      <c r="CD29" s="214" t="s">
        <v>52</v>
      </c>
      <c r="CE29" s="214" t="s">
        <v>70</v>
      </c>
      <c r="CF29" s="214" t="s">
        <v>902</v>
      </c>
      <c r="CH29" s="214" t="s">
        <v>2397</v>
      </c>
      <c r="CI29" s="214" t="s">
        <v>86</v>
      </c>
      <c r="CJ29" s="214" t="s">
        <v>70</v>
      </c>
      <c r="CK29" s="214" t="s">
        <v>530</v>
      </c>
      <c r="CM29" s="214" t="s">
        <v>2398</v>
      </c>
      <c r="CN29" s="214" t="s">
        <v>34565</v>
      </c>
      <c r="CO29" s="214" t="s">
        <v>70</v>
      </c>
      <c r="CP29" s="214" t="s">
        <v>530</v>
      </c>
      <c r="CR29" s="214" t="s">
        <v>2399</v>
      </c>
      <c r="CS29" s="214" t="s">
        <v>919</v>
      </c>
      <c r="CT29" s="214" t="s">
        <v>70</v>
      </c>
      <c r="CU29" s="214" t="s">
        <v>530</v>
      </c>
      <c r="CW29" s="214" t="s">
        <v>2400</v>
      </c>
      <c r="CX29" s="214" t="s">
        <v>486</v>
      </c>
      <c r="CY29" s="214" t="s">
        <v>70</v>
      </c>
      <c r="CZ29" s="214" t="s">
        <v>530</v>
      </c>
      <c r="DB29" s="214" t="s">
        <v>2401</v>
      </c>
      <c r="DC29" s="214" t="s">
        <v>92</v>
      </c>
      <c r="DD29" s="214" t="s">
        <v>70</v>
      </c>
      <c r="DE29" s="214" t="s">
        <v>530</v>
      </c>
      <c r="DG29" s="214" t="s">
        <v>2402</v>
      </c>
      <c r="DH29" s="214" t="s">
        <v>52</v>
      </c>
      <c r="DI29" s="214" t="s">
        <v>70</v>
      </c>
      <c r="DJ29" s="214" t="s">
        <v>530</v>
      </c>
      <c r="DL29" s="214" t="s">
        <v>2403</v>
      </c>
      <c r="DM29" s="214" t="s">
        <v>950</v>
      </c>
      <c r="DN29" s="214" t="s">
        <v>70</v>
      </c>
      <c r="DO29" s="214" t="s">
        <v>530</v>
      </c>
      <c r="DQ29" s="214" t="s">
        <v>2404</v>
      </c>
      <c r="DR29" s="214" t="s">
        <v>491</v>
      </c>
      <c r="DS29" s="214" t="s">
        <v>70</v>
      </c>
      <c r="DT29" s="214" t="s">
        <v>530</v>
      </c>
      <c r="DV29" s="214" t="s">
        <v>2405</v>
      </c>
      <c r="DW29" s="214" t="s">
        <v>34073</v>
      </c>
      <c r="DX29" s="214" t="s">
        <v>70</v>
      </c>
      <c r="DY29" s="214" t="s">
        <v>530</v>
      </c>
      <c r="EA29" s="214" t="s">
        <v>2406</v>
      </c>
      <c r="EB29" s="214" t="s">
        <v>938</v>
      </c>
      <c r="EC29" s="214" t="s">
        <v>70</v>
      </c>
      <c r="ED29" s="214" t="s">
        <v>530</v>
      </c>
      <c r="EF29" s="214" t="s">
        <v>2407</v>
      </c>
      <c r="EG29" s="214" t="s">
        <v>468</v>
      </c>
      <c r="EH29" s="214" t="s">
        <v>70</v>
      </c>
      <c r="EI29" s="214" t="s">
        <v>530</v>
      </c>
      <c r="EK29" s="214" t="s">
        <v>2408</v>
      </c>
      <c r="EL29" s="214" t="s">
        <v>145</v>
      </c>
      <c r="EM29" s="214" t="s">
        <v>70</v>
      </c>
      <c r="EN29" s="214" t="s">
        <v>530</v>
      </c>
      <c r="EP29" s="214" t="s">
        <v>2409</v>
      </c>
      <c r="EQ29" s="214" t="s">
        <v>52</v>
      </c>
      <c r="ER29" s="214" t="s">
        <v>70</v>
      </c>
      <c r="ES29" s="214" t="s">
        <v>530</v>
      </c>
      <c r="EU29" s="214" t="s">
        <v>2410</v>
      </c>
      <c r="EV29" s="214" t="s">
        <v>34541</v>
      </c>
      <c r="EW29" s="214" t="s">
        <v>70</v>
      </c>
      <c r="EX29" s="214" t="s">
        <v>530</v>
      </c>
      <c r="EZ29" s="214" t="s">
        <v>2411</v>
      </c>
      <c r="FA29" s="214" t="s">
        <v>484</v>
      </c>
      <c r="FB29" s="214" t="s">
        <v>70</v>
      </c>
      <c r="FC29" s="214" t="s">
        <v>530</v>
      </c>
      <c r="FE29" s="214" t="s">
        <v>2412</v>
      </c>
      <c r="FF29" s="214" t="s">
        <v>491</v>
      </c>
      <c r="FG29" s="214" t="s">
        <v>70</v>
      </c>
      <c r="FH29" s="214" t="s">
        <v>530</v>
      </c>
      <c r="FJ29" s="321" t="s">
        <v>2413</v>
      </c>
      <c r="FK29" s="214" t="s">
        <v>484</v>
      </c>
      <c r="FL29" s="214" t="s">
        <v>70</v>
      </c>
      <c r="FM29" s="214" t="s">
        <v>530</v>
      </c>
      <c r="FO29" s="321" t="s">
        <v>2414</v>
      </c>
      <c r="FP29" s="214" t="s">
        <v>52</v>
      </c>
      <c r="FQ29" s="214" t="s">
        <v>70</v>
      </c>
      <c r="FR29" s="214" t="s">
        <v>530</v>
      </c>
      <c r="FT29" s="321" t="s">
        <v>2415</v>
      </c>
      <c r="FU29" s="214" t="s">
        <v>600</v>
      </c>
      <c r="FV29" s="214" t="s">
        <v>70</v>
      </c>
      <c r="FW29" s="214" t="s">
        <v>530</v>
      </c>
      <c r="FY29" s="321" t="s">
        <v>2416</v>
      </c>
      <c r="FZ29" s="214" t="s">
        <v>34542</v>
      </c>
      <c r="GA29" s="214" t="s">
        <v>70</v>
      </c>
      <c r="GB29" s="214" t="s">
        <v>530</v>
      </c>
      <c r="GD29" s="321" t="s">
        <v>2417</v>
      </c>
      <c r="GE29" s="214" t="s">
        <v>485</v>
      </c>
      <c r="GF29" s="214" t="s">
        <v>70</v>
      </c>
      <c r="GG29" s="214" t="s">
        <v>530</v>
      </c>
      <c r="GI29" s="321" t="s">
        <v>2418</v>
      </c>
      <c r="GJ29" s="214" t="s">
        <v>34556</v>
      </c>
      <c r="GK29" s="214" t="s">
        <v>70</v>
      </c>
      <c r="GL29" s="214" t="s">
        <v>530</v>
      </c>
      <c r="GN29" s="321" t="s">
        <v>2419</v>
      </c>
      <c r="GO29" s="214" t="s">
        <v>52</v>
      </c>
      <c r="GP29" s="214" t="s">
        <v>70</v>
      </c>
      <c r="GQ29" s="214" t="s">
        <v>530</v>
      </c>
      <c r="GS29" s="321" t="s">
        <v>2420</v>
      </c>
      <c r="GT29" s="214" t="s">
        <v>52</v>
      </c>
      <c r="GU29" s="214" t="s">
        <v>70</v>
      </c>
      <c r="GV29" s="214" t="s">
        <v>530</v>
      </c>
      <c r="GX29" s="214" t="s">
        <v>2421</v>
      </c>
      <c r="GY29" s="214" t="s">
        <v>148</v>
      </c>
      <c r="GZ29" s="214" t="s">
        <v>70</v>
      </c>
      <c r="HA29" s="214" t="s">
        <v>530</v>
      </c>
      <c r="HC29" s="214" t="s">
        <v>2422</v>
      </c>
      <c r="HD29" s="214" t="s">
        <v>501</v>
      </c>
      <c r="HE29" s="214" t="s">
        <v>70</v>
      </c>
      <c r="HF29" s="214" t="s">
        <v>530</v>
      </c>
      <c r="HH29" s="214" t="s">
        <v>2423</v>
      </c>
      <c r="HI29" s="214" t="s">
        <v>88</v>
      </c>
      <c r="HJ29" s="214" t="s">
        <v>70</v>
      </c>
      <c r="HK29" s="214" t="s">
        <v>530</v>
      </c>
      <c r="HM29" s="214" t="s">
        <v>2424</v>
      </c>
      <c r="HN29" s="214" t="s">
        <v>917</v>
      </c>
      <c r="HO29" s="214" t="s">
        <v>70</v>
      </c>
      <c r="HP29" s="214" t="s">
        <v>34121</v>
      </c>
      <c r="HR29" s="22" t="s">
        <v>2425</v>
      </c>
      <c r="HS29" s="22" t="s">
        <v>486</v>
      </c>
      <c r="HT29" s="22" t="s">
        <v>70</v>
      </c>
      <c r="HU29" s="214" t="s">
        <v>530</v>
      </c>
      <c r="HW29" s="22" t="s">
        <v>2426</v>
      </c>
      <c r="HX29" s="22" t="s">
        <v>491</v>
      </c>
      <c r="HY29" s="22" t="s">
        <v>70</v>
      </c>
      <c r="HZ29" s="214" t="s">
        <v>530</v>
      </c>
      <c r="IB29" s="22" t="s">
        <v>2427</v>
      </c>
      <c r="IC29" s="22" t="s">
        <v>146</v>
      </c>
      <c r="ID29" s="22" t="s">
        <v>70</v>
      </c>
      <c r="IE29" s="214" t="s">
        <v>530</v>
      </c>
      <c r="IG29" s="22" t="s">
        <v>2428</v>
      </c>
      <c r="IH29" s="22" t="s">
        <v>52</v>
      </c>
      <c r="II29" s="22" t="s">
        <v>70</v>
      </c>
      <c r="IJ29" s="214" t="s">
        <v>530</v>
      </c>
      <c r="IL29" s="22" t="s">
        <v>2429</v>
      </c>
      <c r="IM29" s="22" t="s">
        <v>145</v>
      </c>
      <c r="IN29" s="22" t="s">
        <v>70</v>
      </c>
      <c r="IO29" s="214" t="s">
        <v>530</v>
      </c>
      <c r="IQ29" s="236" t="s">
        <v>2430</v>
      </c>
      <c r="IR29" s="236" t="s">
        <v>145</v>
      </c>
      <c r="IS29" s="236" t="s">
        <v>74</v>
      </c>
      <c r="IT29" s="236" t="s">
        <v>841</v>
      </c>
      <c r="IV29" s="236" t="s">
        <v>2431</v>
      </c>
      <c r="IW29" s="236" t="s">
        <v>145</v>
      </c>
      <c r="IX29" s="236" t="s">
        <v>74</v>
      </c>
      <c r="IY29" s="236" t="s">
        <v>841</v>
      </c>
      <c r="JA29" s="236" t="s">
        <v>2432</v>
      </c>
      <c r="JB29" s="236" t="s">
        <v>145</v>
      </c>
      <c r="JC29" s="236" t="s">
        <v>74</v>
      </c>
      <c r="JD29" s="236" t="s">
        <v>841</v>
      </c>
      <c r="JF29" s="236" t="s">
        <v>2433</v>
      </c>
      <c r="JG29" s="236" t="s">
        <v>145</v>
      </c>
      <c r="JH29" s="236" t="s">
        <v>74</v>
      </c>
      <c r="JI29" s="236" t="s">
        <v>841</v>
      </c>
      <c r="JK29" s="236" t="s">
        <v>2434</v>
      </c>
      <c r="JL29" s="236" t="s">
        <v>145</v>
      </c>
      <c r="JM29" s="236" t="s">
        <v>74</v>
      </c>
      <c r="JN29" s="236" t="s">
        <v>841</v>
      </c>
      <c r="JP29" s="236" t="s">
        <v>2435</v>
      </c>
      <c r="JQ29" s="236" t="s">
        <v>145</v>
      </c>
      <c r="JR29" s="236" t="s">
        <v>74</v>
      </c>
      <c r="JS29" s="236" t="s">
        <v>841</v>
      </c>
      <c r="JU29" s="294" t="s">
        <v>2436</v>
      </c>
      <c r="JV29" s="294" t="str">
        <f>TVIIBE1M_CalPairs!$R23</f>
        <v>0xFF</v>
      </c>
      <c r="JW29" s="263" t="s">
        <v>70</v>
      </c>
      <c r="JX29" s="294" t="str">
        <f>TVIIBE1M_CalPairs!$Q23</f>
        <v>SMPU15_ATT1_B1</v>
      </c>
      <c r="JZ29" s="263" t="s">
        <v>2437</v>
      </c>
      <c r="KA29" s="263" t="s">
        <v>145</v>
      </c>
      <c r="KB29" s="263" t="s">
        <v>70</v>
      </c>
      <c r="KC29" s="263" t="s">
        <v>1083</v>
      </c>
      <c r="KE29" s="263" t="s">
        <v>2438</v>
      </c>
      <c r="KF29" s="263" t="s">
        <v>52</v>
      </c>
      <c r="KG29" s="263" t="s">
        <v>70</v>
      </c>
      <c r="KH29" s="263" t="s">
        <v>1083</v>
      </c>
      <c r="KJ29" s="263" t="s">
        <v>2439</v>
      </c>
      <c r="KK29" s="263" t="s">
        <v>52</v>
      </c>
      <c r="KL29" s="263" t="s">
        <v>74</v>
      </c>
      <c r="KM29" s="263" t="s">
        <v>34237</v>
      </c>
      <c r="KO29" s="214" t="s">
        <v>2440</v>
      </c>
      <c r="KP29" s="218" t="s">
        <v>52</v>
      </c>
      <c r="KQ29" s="214" t="s">
        <v>70</v>
      </c>
      <c r="KR29" s="218" t="s">
        <v>34485</v>
      </c>
      <c r="KT29" s="22" t="s">
        <v>2441</v>
      </c>
      <c r="KU29" s="22" t="s">
        <v>145</v>
      </c>
      <c r="KV29" s="22" t="s">
        <v>70</v>
      </c>
      <c r="KW29" s="22" t="s">
        <v>67</v>
      </c>
      <c r="KY29" s="214" t="s">
        <v>2442</v>
      </c>
      <c r="KZ29" s="214" t="s">
        <v>52</v>
      </c>
      <c r="LA29" s="214" t="s">
        <v>74</v>
      </c>
      <c r="LB29" s="214" t="s">
        <v>827</v>
      </c>
      <c r="LD29" s="22" t="s">
        <v>2443</v>
      </c>
      <c r="LE29" s="22" t="s">
        <v>145</v>
      </c>
      <c r="LF29" s="22" t="s">
        <v>70</v>
      </c>
      <c r="LG29" s="22" t="s">
        <v>67</v>
      </c>
    </row>
    <row r="30" spans="1:319">
      <c r="A30" s="22" t="s">
        <v>2444</v>
      </c>
      <c r="B30" s="22" t="s">
        <v>145</v>
      </c>
      <c r="C30" s="22" t="s">
        <v>70</v>
      </c>
      <c r="D30" s="22" t="s">
        <v>67</v>
      </c>
      <c r="F30" s="23" t="s">
        <v>2445</v>
      </c>
      <c r="G30" s="23" t="str">
        <f>TVIIBE1M_CalPairs!$E27</f>
        <v>0x00</v>
      </c>
      <c r="H30" s="23" t="s">
        <v>72</v>
      </c>
      <c r="I30" s="23" t="str">
        <f>TVIIBE1M_CalPairs!$C27</f>
        <v>CPUSS_TRIM_RAM_CTL_3</v>
      </c>
      <c r="K30" s="218" t="s">
        <v>2446</v>
      </c>
      <c r="L30" s="218" t="s">
        <v>145</v>
      </c>
      <c r="M30" s="305" t="s">
        <v>72</v>
      </c>
      <c r="N30" s="312" t="s">
        <v>34098</v>
      </c>
      <c r="P30" s="218" t="s">
        <v>2447</v>
      </c>
      <c r="Q30" s="218" t="s">
        <v>145</v>
      </c>
      <c r="R30" s="218" t="s">
        <v>72</v>
      </c>
      <c r="S30" s="218" t="s">
        <v>780</v>
      </c>
      <c r="U30" s="293" t="s">
        <v>2448</v>
      </c>
      <c r="V30" s="293" t="s">
        <v>145</v>
      </c>
      <c r="W30" s="293" t="s">
        <v>74</v>
      </c>
      <c r="X30" s="293" t="s">
        <v>656</v>
      </c>
      <c r="Z30" s="293" t="s">
        <v>2449</v>
      </c>
      <c r="AA30" s="293" t="s">
        <v>145</v>
      </c>
      <c r="AB30" s="293" t="s">
        <v>74</v>
      </c>
      <c r="AC30" s="293" t="s">
        <v>656</v>
      </c>
      <c r="AE30" s="293" t="s">
        <v>2450</v>
      </c>
      <c r="AF30" s="293" t="s">
        <v>145</v>
      </c>
      <c r="AG30" s="293" t="s">
        <v>74</v>
      </c>
      <c r="AH30" s="293" t="s">
        <v>656</v>
      </c>
      <c r="AJ30" s="293" t="s">
        <v>2451</v>
      </c>
      <c r="AK30" s="293" t="s">
        <v>145</v>
      </c>
      <c r="AL30" s="293" t="s">
        <v>74</v>
      </c>
      <c r="AM30" s="293" t="s">
        <v>656</v>
      </c>
      <c r="AO30" s="22" t="s">
        <v>2452</v>
      </c>
      <c r="AP30" s="22" t="s">
        <v>145</v>
      </c>
      <c r="AQ30" s="22" t="s">
        <v>70</v>
      </c>
      <c r="AR30" s="22" t="s">
        <v>67</v>
      </c>
      <c r="AT30" s="22" t="s">
        <v>2453</v>
      </c>
      <c r="AU30" s="22" t="s">
        <v>145</v>
      </c>
      <c r="AV30" s="22" t="s">
        <v>70</v>
      </c>
      <c r="AW30" s="22" t="s">
        <v>67</v>
      </c>
      <c r="AY30" s="22" t="s">
        <v>2454</v>
      </c>
      <c r="AZ30" s="22" t="s">
        <v>145</v>
      </c>
      <c r="BA30" s="22" t="s">
        <v>70</v>
      </c>
      <c r="BB30" s="22" t="s">
        <v>67</v>
      </c>
      <c r="BD30" s="22" t="s">
        <v>2455</v>
      </c>
      <c r="BE30" s="22" t="s">
        <v>145</v>
      </c>
      <c r="BF30" s="22" t="s">
        <v>70</v>
      </c>
      <c r="BG30" s="22" t="s">
        <v>67</v>
      </c>
      <c r="BI30" s="22" t="s">
        <v>2456</v>
      </c>
      <c r="BJ30" s="22" t="s">
        <v>145</v>
      </c>
      <c r="BK30" s="22" t="s">
        <v>70</v>
      </c>
      <c r="BL30" s="22" t="s">
        <v>67</v>
      </c>
      <c r="BN30" s="22" t="s">
        <v>2457</v>
      </c>
      <c r="BO30" s="22" t="s">
        <v>145</v>
      </c>
      <c r="BP30" s="22" t="s">
        <v>70</v>
      </c>
      <c r="BQ30" s="22" t="s">
        <v>67</v>
      </c>
      <c r="BS30" s="22" t="s">
        <v>2458</v>
      </c>
      <c r="BT30" s="22" t="s">
        <v>145</v>
      </c>
      <c r="BU30" s="22" t="s">
        <v>70</v>
      </c>
      <c r="BV30" s="214" t="s">
        <v>530</v>
      </c>
      <c r="BX30" s="22" t="s">
        <v>2459</v>
      </c>
      <c r="BY30" s="22" t="s">
        <v>145</v>
      </c>
      <c r="BZ30" s="22" t="s">
        <v>70</v>
      </c>
      <c r="CA30" s="214" t="s">
        <v>530</v>
      </c>
      <c r="CC30" s="214" t="s">
        <v>2460</v>
      </c>
      <c r="CD30" s="214" t="s">
        <v>52</v>
      </c>
      <c r="CE30" s="214" t="s">
        <v>70</v>
      </c>
      <c r="CF30" s="214" t="s">
        <v>903</v>
      </c>
      <c r="CH30" s="214" t="s">
        <v>2461</v>
      </c>
      <c r="CI30" s="214" t="s">
        <v>148</v>
      </c>
      <c r="CJ30" s="214" t="s">
        <v>70</v>
      </c>
      <c r="CK30" s="214" t="s">
        <v>530</v>
      </c>
      <c r="CM30" s="214" t="s">
        <v>2462</v>
      </c>
      <c r="CN30" s="214" t="s">
        <v>940</v>
      </c>
      <c r="CO30" s="214" t="s">
        <v>70</v>
      </c>
      <c r="CP30" s="214" t="s">
        <v>530</v>
      </c>
      <c r="CR30" s="214" t="s">
        <v>2463</v>
      </c>
      <c r="CS30" s="214" t="s">
        <v>149</v>
      </c>
      <c r="CT30" s="214" t="s">
        <v>70</v>
      </c>
      <c r="CU30" s="214" t="s">
        <v>530</v>
      </c>
      <c r="CW30" s="214" t="s">
        <v>2464</v>
      </c>
      <c r="CX30" s="214" t="s">
        <v>501</v>
      </c>
      <c r="CY30" s="214" t="s">
        <v>70</v>
      </c>
      <c r="CZ30" s="214" t="s">
        <v>530</v>
      </c>
      <c r="DB30" s="214" t="s">
        <v>2465</v>
      </c>
      <c r="DC30" s="214" t="s">
        <v>52</v>
      </c>
      <c r="DD30" s="214" t="s">
        <v>70</v>
      </c>
      <c r="DE30" s="214" t="s">
        <v>530</v>
      </c>
      <c r="DG30" s="214" t="s">
        <v>2466</v>
      </c>
      <c r="DH30" s="214" t="s">
        <v>86</v>
      </c>
      <c r="DI30" s="214" t="s">
        <v>70</v>
      </c>
      <c r="DJ30" s="214" t="s">
        <v>530</v>
      </c>
      <c r="DL30" s="214" t="s">
        <v>2467</v>
      </c>
      <c r="DM30" s="214" t="s">
        <v>88</v>
      </c>
      <c r="DN30" s="214" t="s">
        <v>70</v>
      </c>
      <c r="DO30" s="214" t="s">
        <v>530</v>
      </c>
      <c r="DQ30" s="214" t="s">
        <v>2468</v>
      </c>
      <c r="DR30" s="214" t="s">
        <v>52</v>
      </c>
      <c r="DS30" s="214" t="s">
        <v>70</v>
      </c>
      <c r="DT30" s="214" t="s">
        <v>530</v>
      </c>
      <c r="DV30" s="214" t="s">
        <v>2469</v>
      </c>
      <c r="DW30" s="214" t="s">
        <v>655</v>
      </c>
      <c r="DX30" s="214" t="s">
        <v>70</v>
      </c>
      <c r="DY30" s="214" t="s">
        <v>530</v>
      </c>
      <c r="EA30" s="214" t="s">
        <v>2470</v>
      </c>
      <c r="EB30" s="214" t="s">
        <v>34614</v>
      </c>
      <c r="EC30" s="214" t="s">
        <v>70</v>
      </c>
      <c r="ED30" s="214" t="s">
        <v>530</v>
      </c>
      <c r="EF30" s="214" t="s">
        <v>2471</v>
      </c>
      <c r="EG30" s="214" t="s">
        <v>34538</v>
      </c>
      <c r="EH30" s="214" t="s">
        <v>70</v>
      </c>
      <c r="EI30" s="214" t="s">
        <v>530</v>
      </c>
      <c r="EK30" s="214" t="s">
        <v>2472</v>
      </c>
      <c r="EL30" s="214" t="s">
        <v>910</v>
      </c>
      <c r="EM30" s="214" t="s">
        <v>70</v>
      </c>
      <c r="EN30" s="214" t="s">
        <v>530</v>
      </c>
      <c r="EP30" s="214" t="s">
        <v>2473</v>
      </c>
      <c r="EQ30" s="214" t="s">
        <v>145</v>
      </c>
      <c r="ER30" s="214" t="s">
        <v>70</v>
      </c>
      <c r="ES30" s="214" t="s">
        <v>530</v>
      </c>
      <c r="EU30" s="214" t="s">
        <v>2474</v>
      </c>
      <c r="EV30" s="214" t="s">
        <v>491</v>
      </c>
      <c r="EW30" s="214" t="s">
        <v>70</v>
      </c>
      <c r="EX30" s="214" t="s">
        <v>530</v>
      </c>
      <c r="EZ30" s="214" t="s">
        <v>2475</v>
      </c>
      <c r="FA30" s="214" t="s">
        <v>949</v>
      </c>
      <c r="FB30" s="214" t="s">
        <v>70</v>
      </c>
      <c r="FC30" s="214" t="s">
        <v>530</v>
      </c>
      <c r="FE30" s="214" t="s">
        <v>2476</v>
      </c>
      <c r="FF30" s="214" t="s">
        <v>34566</v>
      </c>
      <c r="FG30" s="214" t="s">
        <v>70</v>
      </c>
      <c r="FH30" s="214" t="s">
        <v>530</v>
      </c>
      <c r="FJ30" s="321" t="s">
        <v>2477</v>
      </c>
      <c r="FK30" s="214" t="s">
        <v>492</v>
      </c>
      <c r="FL30" s="214" t="s">
        <v>70</v>
      </c>
      <c r="FM30" s="214" t="s">
        <v>530</v>
      </c>
      <c r="FO30" s="321" t="s">
        <v>2478</v>
      </c>
      <c r="FP30" s="214" t="s">
        <v>918</v>
      </c>
      <c r="FQ30" s="214" t="s">
        <v>70</v>
      </c>
      <c r="FR30" s="214" t="s">
        <v>530</v>
      </c>
      <c r="FT30" s="321" t="s">
        <v>2479</v>
      </c>
      <c r="FU30" s="214" t="s">
        <v>497</v>
      </c>
      <c r="FV30" s="214" t="s">
        <v>70</v>
      </c>
      <c r="FW30" s="214" t="s">
        <v>530</v>
      </c>
      <c r="FY30" s="321" t="s">
        <v>2480</v>
      </c>
      <c r="FZ30" s="214" t="s">
        <v>34620</v>
      </c>
      <c r="GA30" s="214" t="s">
        <v>70</v>
      </c>
      <c r="GB30" s="214" t="s">
        <v>530</v>
      </c>
      <c r="GD30" s="321" t="s">
        <v>2481</v>
      </c>
      <c r="GE30" s="214" t="s">
        <v>531</v>
      </c>
      <c r="GF30" s="214" t="s">
        <v>70</v>
      </c>
      <c r="GG30" s="214" t="s">
        <v>530</v>
      </c>
      <c r="GI30" s="321" t="s">
        <v>2482</v>
      </c>
      <c r="GJ30" s="214" t="s">
        <v>163</v>
      </c>
      <c r="GK30" s="214" t="s">
        <v>70</v>
      </c>
      <c r="GL30" s="214" t="s">
        <v>530</v>
      </c>
      <c r="GN30" s="321" t="s">
        <v>2483</v>
      </c>
      <c r="GO30" s="214" t="s">
        <v>85</v>
      </c>
      <c r="GP30" s="214" t="s">
        <v>70</v>
      </c>
      <c r="GQ30" s="214" t="s">
        <v>530</v>
      </c>
      <c r="GS30" s="321" t="s">
        <v>2484</v>
      </c>
      <c r="GT30" s="214" t="s">
        <v>145</v>
      </c>
      <c r="GU30" s="214" t="s">
        <v>70</v>
      </c>
      <c r="GV30" s="214" t="s">
        <v>530</v>
      </c>
      <c r="GX30" s="214" t="s">
        <v>2485</v>
      </c>
      <c r="GY30" s="214" t="s">
        <v>604</v>
      </c>
      <c r="GZ30" s="214" t="s">
        <v>70</v>
      </c>
      <c r="HA30" s="214" t="s">
        <v>530</v>
      </c>
      <c r="HC30" s="214" t="s">
        <v>2486</v>
      </c>
      <c r="HD30" s="214" t="s">
        <v>917</v>
      </c>
      <c r="HE30" s="214" t="s">
        <v>70</v>
      </c>
      <c r="HF30" s="214" t="s">
        <v>530</v>
      </c>
      <c r="HH30" s="214" t="s">
        <v>2487</v>
      </c>
      <c r="HI30" s="214" t="s">
        <v>148</v>
      </c>
      <c r="HJ30" s="214" t="s">
        <v>70</v>
      </c>
      <c r="HK30" s="214" t="s">
        <v>530</v>
      </c>
      <c r="HM30" s="214" t="s">
        <v>2488</v>
      </c>
      <c r="HN30" s="214" t="s">
        <v>52</v>
      </c>
      <c r="HO30" s="214" t="s">
        <v>70</v>
      </c>
      <c r="HP30" s="214" t="s">
        <v>34121</v>
      </c>
      <c r="HR30" s="22" t="s">
        <v>2489</v>
      </c>
      <c r="HS30" s="22" t="s">
        <v>148</v>
      </c>
      <c r="HT30" s="22" t="s">
        <v>70</v>
      </c>
      <c r="HU30" s="214" t="s">
        <v>530</v>
      </c>
      <c r="HW30" s="22" t="s">
        <v>2490</v>
      </c>
      <c r="HX30" s="22" t="s">
        <v>52</v>
      </c>
      <c r="HY30" s="22" t="s">
        <v>70</v>
      </c>
      <c r="HZ30" s="214" t="s">
        <v>530</v>
      </c>
      <c r="IB30" s="22" t="s">
        <v>2491</v>
      </c>
      <c r="IC30" s="22" t="s">
        <v>798</v>
      </c>
      <c r="ID30" s="22" t="s">
        <v>70</v>
      </c>
      <c r="IE30" s="214" t="s">
        <v>530</v>
      </c>
      <c r="IG30" s="22" t="s">
        <v>2492</v>
      </c>
      <c r="IH30" s="22" t="s">
        <v>52</v>
      </c>
      <c r="II30" s="22" t="s">
        <v>70</v>
      </c>
      <c r="IJ30" s="214" t="s">
        <v>530</v>
      </c>
      <c r="IL30" s="22" t="s">
        <v>2493</v>
      </c>
      <c r="IM30" s="22" t="s">
        <v>145</v>
      </c>
      <c r="IN30" s="22" t="s">
        <v>70</v>
      </c>
      <c r="IO30" s="214" t="s">
        <v>530</v>
      </c>
      <c r="IQ30" s="236" t="s">
        <v>2494</v>
      </c>
      <c r="IR30" s="236" t="s">
        <v>145</v>
      </c>
      <c r="IS30" s="236" t="s">
        <v>74</v>
      </c>
      <c r="IT30" s="236" t="s">
        <v>841</v>
      </c>
      <c r="IV30" s="236" t="s">
        <v>2495</v>
      </c>
      <c r="IW30" s="236" t="s">
        <v>145</v>
      </c>
      <c r="IX30" s="236" t="s">
        <v>74</v>
      </c>
      <c r="IY30" s="236" t="s">
        <v>841</v>
      </c>
      <c r="JA30" s="236" t="s">
        <v>2496</v>
      </c>
      <c r="JB30" s="236" t="s">
        <v>145</v>
      </c>
      <c r="JC30" s="236" t="s">
        <v>74</v>
      </c>
      <c r="JD30" s="236" t="s">
        <v>841</v>
      </c>
      <c r="JF30" s="236" t="s">
        <v>2497</v>
      </c>
      <c r="JG30" s="236" t="s">
        <v>145</v>
      </c>
      <c r="JH30" s="236" t="s">
        <v>74</v>
      </c>
      <c r="JI30" s="236" t="s">
        <v>841</v>
      </c>
      <c r="JK30" s="236" t="s">
        <v>2498</v>
      </c>
      <c r="JL30" s="236" t="s">
        <v>145</v>
      </c>
      <c r="JM30" s="236" t="s">
        <v>74</v>
      </c>
      <c r="JN30" s="236" t="s">
        <v>841</v>
      </c>
      <c r="JP30" s="236" t="s">
        <v>2499</v>
      </c>
      <c r="JQ30" s="236" t="s">
        <v>145</v>
      </c>
      <c r="JR30" s="236" t="s">
        <v>74</v>
      </c>
      <c r="JS30" s="236" t="s">
        <v>841</v>
      </c>
      <c r="JU30" s="294" t="s">
        <v>2500</v>
      </c>
      <c r="JV30" s="294" t="str">
        <f>TVIIBE1M_CalPairs!$R24</f>
        <v>0x00</v>
      </c>
      <c r="JW30" s="263" t="s">
        <v>70</v>
      </c>
      <c r="JX30" s="294" t="str">
        <f>TVIIBE1M_CalPairs!$Q24</f>
        <v>SMPU15_ATT1_B2</v>
      </c>
      <c r="JZ30" s="263" t="s">
        <v>2501</v>
      </c>
      <c r="KA30" s="263" t="s">
        <v>145</v>
      </c>
      <c r="KB30" s="263" t="s">
        <v>70</v>
      </c>
      <c r="KC30" s="263" t="s">
        <v>1083</v>
      </c>
      <c r="KE30" s="263" t="s">
        <v>2502</v>
      </c>
      <c r="KF30" s="263" t="s">
        <v>52</v>
      </c>
      <c r="KG30" s="263" t="s">
        <v>70</v>
      </c>
      <c r="KH30" s="263" t="s">
        <v>1083</v>
      </c>
      <c r="KJ30" s="263" t="s">
        <v>2503</v>
      </c>
      <c r="KK30" s="263" t="s">
        <v>145</v>
      </c>
      <c r="KL30" s="263" t="s">
        <v>74</v>
      </c>
      <c r="KM30" s="263" t="s">
        <v>34238</v>
      </c>
      <c r="KO30" s="214" t="s">
        <v>2504</v>
      </c>
      <c r="KP30" s="218" t="s">
        <v>52</v>
      </c>
      <c r="KQ30" s="214" t="s">
        <v>70</v>
      </c>
      <c r="KR30" s="218" t="s">
        <v>34485</v>
      </c>
      <c r="KT30" s="22" t="s">
        <v>2505</v>
      </c>
      <c r="KU30" s="22" t="s">
        <v>145</v>
      </c>
      <c r="KV30" s="22" t="s">
        <v>70</v>
      </c>
      <c r="KW30" s="22" t="s">
        <v>67</v>
      </c>
      <c r="KY30" s="214" t="s">
        <v>2506</v>
      </c>
      <c r="KZ30" s="214" t="s">
        <v>52</v>
      </c>
      <c r="LA30" s="214" t="s">
        <v>74</v>
      </c>
      <c r="LB30" s="214" t="s">
        <v>827</v>
      </c>
      <c r="LD30" s="22" t="s">
        <v>2507</v>
      </c>
      <c r="LE30" s="22" t="s">
        <v>145</v>
      </c>
      <c r="LF30" s="22" t="s">
        <v>70</v>
      </c>
      <c r="LG30" s="22" t="s">
        <v>67</v>
      </c>
    </row>
    <row r="31" spans="1:319">
      <c r="A31" s="22" t="s">
        <v>2508</v>
      </c>
      <c r="B31" s="22" t="s">
        <v>145</v>
      </c>
      <c r="C31" s="22" t="s">
        <v>70</v>
      </c>
      <c r="D31" s="22" t="s">
        <v>67</v>
      </c>
      <c r="F31" s="23" t="s">
        <v>2509</v>
      </c>
      <c r="G31" s="23" t="str">
        <f>TVIIBE1M_CalPairs!$E28</f>
        <v>0x78</v>
      </c>
      <c r="H31" s="23" t="s">
        <v>70</v>
      </c>
      <c r="I31" s="23" t="str">
        <f>TVIIBE1M_CalPairs!$C28</f>
        <v>SRSS1_CMD</v>
      </c>
      <c r="K31" s="218" t="s">
        <v>2510</v>
      </c>
      <c r="L31" s="218" t="s">
        <v>145</v>
      </c>
      <c r="M31" s="305" t="s">
        <v>72</v>
      </c>
      <c r="N31" s="312" t="s">
        <v>34098</v>
      </c>
      <c r="P31" s="218" t="s">
        <v>2511</v>
      </c>
      <c r="Q31" s="218" t="s">
        <v>145</v>
      </c>
      <c r="R31" s="218" t="s">
        <v>72</v>
      </c>
      <c r="S31" s="218" t="s">
        <v>781</v>
      </c>
      <c r="U31" s="293" t="s">
        <v>2512</v>
      </c>
      <c r="V31" s="293" t="s">
        <v>145</v>
      </c>
      <c r="W31" s="293" t="s">
        <v>74</v>
      </c>
      <c r="X31" s="293" t="s">
        <v>656</v>
      </c>
      <c r="Z31" s="293" t="s">
        <v>2513</v>
      </c>
      <c r="AA31" s="293" t="s">
        <v>145</v>
      </c>
      <c r="AB31" s="293" t="s">
        <v>74</v>
      </c>
      <c r="AC31" s="293" t="s">
        <v>656</v>
      </c>
      <c r="AE31" s="293" t="s">
        <v>2514</v>
      </c>
      <c r="AF31" s="293" t="s">
        <v>145</v>
      </c>
      <c r="AG31" s="293" t="s">
        <v>74</v>
      </c>
      <c r="AH31" s="293" t="s">
        <v>656</v>
      </c>
      <c r="AJ31" s="293" t="s">
        <v>2515</v>
      </c>
      <c r="AK31" s="293" t="s">
        <v>145</v>
      </c>
      <c r="AL31" s="293" t="s">
        <v>74</v>
      </c>
      <c r="AM31" s="293" t="s">
        <v>656</v>
      </c>
      <c r="AO31" s="22" t="s">
        <v>2516</v>
      </c>
      <c r="AP31" s="22" t="s">
        <v>145</v>
      </c>
      <c r="AQ31" s="22" t="s">
        <v>70</v>
      </c>
      <c r="AR31" s="22" t="s">
        <v>67</v>
      </c>
      <c r="AT31" s="22" t="s">
        <v>2517</v>
      </c>
      <c r="AU31" s="22" t="s">
        <v>145</v>
      </c>
      <c r="AV31" s="22" t="s">
        <v>70</v>
      </c>
      <c r="AW31" s="22" t="s">
        <v>67</v>
      </c>
      <c r="AY31" s="22" t="s">
        <v>2518</v>
      </c>
      <c r="AZ31" s="22" t="s">
        <v>145</v>
      </c>
      <c r="BA31" s="22" t="s">
        <v>70</v>
      </c>
      <c r="BB31" s="22" t="s">
        <v>67</v>
      </c>
      <c r="BD31" s="22" t="s">
        <v>2519</v>
      </c>
      <c r="BE31" s="22" t="s">
        <v>145</v>
      </c>
      <c r="BF31" s="22" t="s">
        <v>70</v>
      </c>
      <c r="BG31" s="22" t="s">
        <v>67</v>
      </c>
      <c r="BI31" s="22" t="s">
        <v>2520</v>
      </c>
      <c r="BJ31" s="22" t="s">
        <v>145</v>
      </c>
      <c r="BK31" s="22" t="s">
        <v>70</v>
      </c>
      <c r="BL31" s="22" t="s">
        <v>67</v>
      </c>
      <c r="BN31" s="22" t="s">
        <v>2521</v>
      </c>
      <c r="BO31" s="22" t="s">
        <v>145</v>
      </c>
      <c r="BP31" s="22" t="s">
        <v>70</v>
      </c>
      <c r="BQ31" s="22" t="s">
        <v>67</v>
      </c>
      <c r="BS31" s="22" t="s">
        <v>2522</v>
      </c>
      <c r="BT31" s="22" t="s">
        <v>145</v>
      </c>
      <c r="BU31" s="22" t="s">
        <v>70</v>
      </c>
      <c r="BV31" s="214" t="s">
        <v>530</v>
      </c>
      <c r="BX31" s="22" t="s">
        <v>2523</v>
      </c>
      <c r="BY31" s="22" t="s">
        <v>145</v>
      </c>
      <c r="BZ31" s="22" t="s">
        <v>70</v>
      </c>
      <c r="CA31" s="214" t="s">
        <v>530</v>
      </c>
      <c r="CC31" s="214" t="s">
        <v>2524</v>
      </c>
      <c r="CD31" s="214" t="s">
        <v>34212</v>
      </c>
      <c r="CE31" s="214" t="s">
        <v>70</v>
      </c>
      <c r="CF31" s="214" t="s">
        <v>904</v>
      </c>
      <c r="CH31" s="214" t="s">
        <v>2525</v>
      </c>
      <c r="CI31" s="214" t="s">
        <v>950</v>
      </c>
      <c r="CJ31" s="214" t="s">
        <v>70</v>
      </c>
      <c r="CK31" s="214" t="s">
        <v>530</v>
      </c>
      <c r="CM31" s="214" t="s">
        <v>2526</v>
      </c>
      <c r="CN31" s="214" t="s">
        <v>926</v>
      </c>
      <c r="CO31" s="214" t="s">
        <v>70</v>
      </c>
      <c r="CP31" s="214" t="s">
        <v>530</v>
      </c>
      <c r="CR31" s="214" t="s">
        <v>2527</v>
      </c>
      <c r="CS31" s="214" t="s">
        <v>484</v>
      </c>
      <c r="CT31" s="214" t="s">
        <v>70</v>
      </c>
      <c r="CU31" s="214" t="s">
        <v>530</v>
      </c>
      <c r="CW31" s="214" t="s">
        <v>2528</v>
      </c>
      <c r="CX31" s="214" t="s">
        <v>488</v>
      </c>
      <c r="CY31" s="214" t="s">
        <v>70</v>
      </c>
      <c r="CZ31" s="214" t="s">
        <v>530</v>
      </c>
      <c r="DB31" s="214" t="s">
        <v>2529</v>
      </c>
      <c r="DC31" s="214" t="s">
        <v>919</v>
      </c>
      <c r="DD31" s="214" t="s">
        <v>70</v>
      </c>
      <c r="DE31" s="214" t="s">
        <v>530</v>
      </c>
      <c r="DG31" s="214" t="s">
        <v>2530</v>
      </c>
      <c r="DH31" s="214" t="s">
        <v>164</v>
      </c>
      <c r="DI31" s="214" t="s">
        <v>70</v>
      </c>
      <c r="DJ31" s="214" t="s">
        <v>530</v>
      </c>
      <c r="DL31" s="214" t="s">
        <v>2531</v>
      </c>
      <c r="DM31" s="214" t="s">
        <v>468</v>
      </c>
      <c r="DN31" s="214" t="s">
        <v>70</v>
      </c>
      <c r="DO31" s="214" t="s">
        <v>530</v>
      </c>
      <c r="DQ31" s="214" t="s">
        <v>2532</v>
      </c>
      <c r="DR31" s="214" t="s">
        <v>484</v>
      </c>
      <c r="DS31" s="214" t="s">
        <v>70</v>
      </c>
      <c r="DT31" s="214" t="s">
        <v>530</v>
      </c>
      <c r="DV31" s="214" t="s">
        <v>2533</v>
      </c>
      <c r="DW31" s="214" t="s">
        <v>34562</v>
      </c>
      <c r="DX31" s="214" t="s">
        <v>70</v>
      </c>
      <c r="DY31" s="214" t="s">
        <v>530</v>
      </c>
      <c r="EA31" s="214" t="s">
        <v>2534</v>
      </c>
      <c r="EB31" s="214" t="s">
        <v>938</v>
      </c>
      <c r="EC31" s="214" t="s">
        <v>70</v>
      </c>
      <c r="ED31" s="214" t="s">
        <v>530</v>
      </c>
      <c r="EF31" s="214" t="s">
        <v>2535</v>
      </c>
      <c r="EG31" s="214" t="s">
        <v>496</v>
      </c>
      <c r="EH31" s="214" t="s">
        <v>70</v>
      </c>
      <c r="EI31" s="214" t="s">
        <v>530</v>
      </c>
      <c r="EK31" s="214" t="s">
        <v>2536</v>
      </c>
      <c r="EL31" s="214" t="s">
        <v>926</v>
      </c>
      <c r="EM31" s="214" t="s">
        <v>70</v>
      </c>
      <c r="EN31" s="214" t="s">
        <v>530</v>
      </c>
      <c r="EP31" s="214" t="s">
        <v>2537</v>
      </c>
      <c r="EQ31" s="214" t="s">
        <v>145</v>
      </c>
      <c r="ER31" s="214" t="s">
        <v>70</v>
      </c>
      <c r="ES31" s="214" t="s">
        <v>530</v>
      </c>
      <c r="EU31" s="214" t="s">
        <v>2538</v>
      </c>
      <c r="EV31" s="214" t="s">
        <v>145</v>
      </c>
      <c r="EW31" s="214" t="s">
        <v>70</v>
      </c>
      <c r="EX31" s="214" t="s">
        <v>530</v>
      </c>
      <c r="EZ31" s="214" t="s">
        <v>2539</v>
      </c>
      <c r="FA31" s="214" t="s">
        <v>286</v>
      </c>
      <c r="FB31" s="214" t="s">
        <v>70</v>
      </c>
      <c r="FC31" s="214" t="s">
        <v>530</v>
      </c>
      <c r="FE31" s="214" t="s">
        <v>2540</v>
      </c>
      <c r="FF31" s="214" t="s">
        <v>492</v>
      </c>
      <c r="FG31" s="214" t="s">
        <v>70</v>
      </c>
      <c r="FH31" s="214" t="s">
        <v>530</v>
      </c>
      <c r="FJ31" s="321" t="s">
        <v>2541</v>
      </c>
      <c r="FK31" s="214" t="s">
        <v>52</v>
      </c>
      <c r="FL31" s="214" t="s">
        <v>70</v>
      </c>
      <c r="FM31" s="214" t="s">
        <v>530</v>
      </c>
      <c r="FO31" s="321" t="s">
        <v>2542</v>
      </c>
      <c r="FP31" s="214" t="s">
        <v>52</v>
      </c>
      <c r="FQ31" s="214" t="s">
        <v>70</v>
      </c>
      <c r="FR31" s="214" t="s">
        <v>530</v>
      </c>
      <c r="FT31" s="321" t="s">
        <v>2543</v>
      </c>
      <c r="FU31" s="214" t="s">
        <v>146</v>
      </c>
      <c r="FV31" s="214" t="s">
        <v>70</v>
      </c>
      <c r="FW31" s="214" t="s">
        <v>530</v>
      </c>
      <c r="FY31" s="321" t="s">
        <v>2544</v>
      </c>
      <c r="FZ31" s="214" t="s">
        <v>491</v>
      </c>
      <c r="GA31" s="214" t="s">
        <v>70</v>
      </c>
      <c r="GB31" s="214" t="s">
        <v>530</v>
      </c>
      <c r="GD31" s="321" t="s">
        <v>2545</v>
      </c>
      <c r="GE31" s="214" t="s">
        <v>34542</v>
      </c>
      <c r="GF31" s="214" t="s">
        <v>70</v>
      </c>
      <c r="GG31" s="214" t="s">
        <v>530</v>
      </c>
      <c r="GI31" s="321" t="s">
        <v>2546</v>
      </c>
      <c r="GJ31" s="214" t="s">
        <v>52</v>
      </c>
      <c r="GK31" s="214" t="s">
        <v>70</v>
      </c>
      <c r="GL31" s="214" t="s">
        <v>530</v>
      </c>
      <c r="GN31" s="321" t="s">
        <v>2547</v>
      </c>
      <c r="GO31" s="214" t="s">
        <v>34589</v>
      </c>
      <c r="GP31" s="214" t="s">
        <v>70</v>
      </c>
      <c r="GQ31" s="214" t="s">
        <v>530</v>
      </c>
      <c r="GS31" s="321" t="s">
        <v>2548</v>
      </c>
      <c r="GT31" s="214" t="s">
        <v>34541</v>
      </c>
      <c r="GU31" s="214" t="s">
        <v>70</v>
      </c>
      <c r="GV31" s="214" t="s">
        <v>530</v>
      </c>
      <c r="GX31" s="214" t="s">
        <v>2549</v>
      </c>
      <c r="GY31" s="214" t="s">
        <v>146</v>
      </c>
      <c r="GZ31" s="214" t="s">
        <v>70</v>
      </c>
      <c r="HA31" s="214" t="s">
        <v>530</v>
      </c>
      <c r="HC31" s="214" t="s">
        <v>2550</v>
      </c>
      <c r="HD31" s="214" t="s">
        <v>34544</v>
      </c>
      <c r="HE31" s="214" t="s">
        <v>70</v>
      </c>
      <c r="HF31" s="214" t="s">
        <v>530</v>
      </c>
      <c r="HH31" s="214" t="s">
        <v>2551</v>
      </c>
      <c r="HI31" s="214" t="s">
        <v>488</v>
      </c>
      <c r="HJ31" s="214" t="s">
        <v>70</v>
      </c>
      <c r="HK31" s="214" t="s">
        <v>530</v>
      </c>
      <c r="HM31" s="214" t="s">
        <v>2552</v>
      </c>
      <c r="HN31" s="214" t="s">
        <v>52</v>
      </c>
      <c r="HO31" s="214" t="s">
        <v>70</v>
      </c>
      <c r="HP31" s="214" t="s">
        <v>34121</v>
      </c>
      <c r="HR31" s="22" t="s">
        <v>2553</v>
      </c>
      <c r="HS31" s="22" t="s">
        <v>488</v>
      </c>
      <c r="HT31" s="22" t="s">
        <v>70</v>
      </c>
      <c r="HU31" s="214" t="s">
        <v>530</v>
      </c>
      <c r="HW31" s="22" t="s">
        <v>2554</v>
      </c>
      <c r="HX31" s="22" t="s">
        <v>484</v>
      </c>
      <c r="HY31" s="22" t="s">
        <v>70</v>
      </c>
      <c r="HZ31" s="214" t="s">
        <v>530</v>
      </c>
      <c r="IB31" s="22" t="s">
        <v>2555</v>
      </c>
      <c r="IC31" s="22" t="s">
        <v>937</v>
      </c>
      <c r="ID31" s="22" t="s">
        <v>70</v>
      </c>
      <c r="IE31" s="214" t="s">
        <v>530</v>
      </c>
      <c r="IG31" s="22" t="s">
        <v>2556</v>
      </c>
      <c r="IH31" s="22" t="s">
        <v>52</v>
      </c>
      <c r="II31" s="22" t="s">
        <v>70</v>
      </c>
      <c r="IJ31" s="214" t="s">
        <v>530</v>
      </c>
      <c r="IL31" s="22" t="s">
        <v>2557</v>
      </c>
      <c r="IM31" s="22" t="s">
        <v>145</v>
      </c>
      <c r="IN31" s="22" t="s">
        <v>70</v>
      </c>
      <c r="IO31" s="214" t="s">
        <v>530</v>
      </c>
      <c r="IQ31" s="236" t="s">
        <v>2558</v>
      </c>
      <c r="IR31" s="236" t="s">
        <v>145</v>
      </c>
      <c r="IS31" s="236" t="s">
        <v>74</v>
      </c>
      <c r="IT31" s="236" t="s">
        <v>841</v>
      </c>
      <c r="IV31" s="236" t="s">
        <v>2559</v>
      </c>
      <c r="IW31" s="236" t="s">
        <v>145</v>
      </c>
      <c r="IX31" s="236" t="s">
        <v>74</v>
      </c>
      <c r="IY31" s="236" t="s">
        <v>841</v>
      </c>
      <c r="JA31" s="236" t="s">
        <v>2560</v>
      </c>
      <c r="JB31" s="236" t="s">
        <v>145</v>
      </c>
      <c r="JC31" s="236" t="s">
        <v>74</v>
      </c>
      <c r="JD31" s="236" t="s">
        <v>841</v>
      </c>
      <c r="JF31" s="236" t="s">
        <v>2561</v>
      </c>
      <c r="JG31" s="236" t="s">
        <v>145</v>
      </c>
      <c r="JH31" s="236" t="s">
        <v>74</v>
      </c>
      <c r="JI31" s="236" t="s">
        <v>841</v>
      </c>
      <c r="JK31" s="236" t="s">
        <v>2562</v>
      </c>
      <c r="JL31" s="236" t="s">
        <v>145</v>
      </c>
      <c r="JM31" s="236" t="s">
        <v>74</v>
      </c>
      <c r="JN31" s="236" t="s">
        <v>841</v>
      </c>
      <c r="JP31" s="236" t="s">
        <v>2563</v>
      </c>
      <c r="JQ31" s="236" t="s">
        <v>145</v>
      </c>
      <c r="JR31" s="236" t="s">
        <v>74</v>
      </c>
      <c r="JS31" s="236" t="s">
        <v>841</v>
      </c>
      <c r="JU31" s="294" t="s">
        <v>2564</v>
      </c>
      <c r="JV31" s="294" t="str">
        <f>TVIIBE1M_CalPairs!$R25</f>
        <v>0x87</v>
      </c>
      <c r="JW31" s="263" t="s">
        <v>70</v>
      </c>
      <c r="JX31" s="294" t="str">
        <f>TVIIBE1M_CalPairs!$Q25</f>
        <v>SMPU15_ATT1_B3</v>
      </c>
      <c r="JZ31" s="263" t="s">
        <v>2565</v>
      </c>
      <c r="KA31" s="263" t="s">
        <v>145</v>
      </c>
      <c r="KB31" s="263" t="s">
        <v>70</v>
      </c>
      <c r="KC31" s="263" t="s">
        <v>1083</v>
      </c>
      <c r="KE31" s="263" t="s">
        <v>2566</v>
      </c>
      <c r="KF31" s="263" t="s">
        <v>52</v>
      </c>
      <c r="KG31" s="263" t="s">
        <v>70</v>
      </c>
      <c r="KH31" s="263" t="s">
        <v>1083</v>
      </c>
      <c r="KJ31" s="263" t="s">
        <v>2567</v>
      </c>
      <c r="KK31" s="263" t="s">
        <v>52</v>
      </c>
      <c r="KL31" s="263" t="s">
        <v>74</v>
      </c>
      <c r="KM31" s="263" t="s">
        <v>34239</v>
      </c>
      <c r="KO31" s="214" t="s">
        <v>2568</v>
      </c>
      <c r="KP31" s="218" t="s">
        <v>52</v>
      </c>
      <c r="KQ31" s="214" t="s">
        <v>70</v>
      </c>
      <c r="KR31" s="218" t="s">
        <v>34485</v>
      </c>
      <c r="KT31" s="22" t="s">
        <v>2569</v>
      </c>
      <c r="KU31" s="22" t="s">
        <v>145</v>
      </c>
      <c r="KV31" s="22" t="s">
        <v>70</v>
      </c>
      <c r="KW31" s="22" t="s">
        <v>67</v>
      </c>
      <c r="KY31" s="214" t="s">
        <v>2570</v>
      </c>
      <c r="KZ31" s="214" t="s">
        <v>52</v>
      </c>
      <c r="LA31" s="214" t="s">
        <v>74</v>
      </c>
      <c r="LB31" s="214" t="s">
        <v>827</v>
      </c>
      <c r="LD31" s="22" t="s">
        <v>2571</v>
      </c>
      <c r="LE31" s="22" t="s">
        <v>145</v>
      </c>
      <c r="LF31" s="22" t="s">
        <v>70</v>
      </c>
      <c r="LG31" s="22" t="s">
        <v>67</v>
      </c>
    </row>
    <row r="32" spans="1:319">
      <c r="A32" s="22" t="s">
        <v>2572</v>
      </c>
      <c r="B32" s="22" t="s">
        <v>145</v>
      </c>
      <c r="C32" s="22" t="s">
        <v>70</v>
      </c>
      <c r="D32" s="22" t="s">
        <v>67</v>
      </c>
      <c r="F32" s="23" t="s">
        <v>2573</v>
      </c>
      <c r="G32" s="23" t="str">
        <f>TVIIBE1M_CalPairs!$E29</f>
        <v>0x00</v>
      </c>
      <c r="H32" s="23" t="s">
        <v>70</v>
      </c>
      <c r="I32" s="23" t="str">
        <f>TVIIBE1M_CalPairs!$C29</f>
        <v>SRSS1_ADDR0</v>
      </c>
      <c r="K32" s="218" t="s">
        <v>2574</v>
      </c>
      <c r="L32" s="218" t="s">
        <v>145</v>
      </c>
      <c r="M32" s="305" t="s">
        <v>72</v>
      </c>
      <c r="N32" s="312" t="s">
        <v>34098</v>
      </c>
      <c r="P32" s="218" t="s">
        <v>2575</v>
      </c>
      <c r="Q32" s="218" t="s">
        <v>145</v>
      </c>
      <c r="R32" s="218" t="s">
        <v>72</v>
      </c>
      <c r="S32" s="218" t="s">
        <v>782</v>
      </c>
      <c r="U32" s="293" t="s">
        <v>2576</v>
      </c>
      <c r="V32" s="293" t="s">
        <v>145</v>
      </c>
      <c r="W32" s="293" t="s">
        <v>74</v>
      </c>
      <c r="X32" s="293" t="s">
        <v>656</v>
      </c>
      <c r="Z32" s="293" t="s">
        <v>2577</v>
      </c>
      <c r="AA32" s="293" t="s">
        <v>145</v>
      </c>
      <c r="AB32" s="293" t="s">
        <v>74</v>
      </c>
      <c r="AC32" s="293" t="s">
        <v>656</v>
      </c>
      <c r="AE32" s="293" t="s">
        <v>2578</v>
      </c>
      <c r="AF32" s="293" t="s">
        <v>145</v>
      </c>
      <c r="AG32" s="293" t="s">
        <v>74</v>
      </c>
      <c r="AH32" s="293" t="s">
        <v>656</v>
      </c>
      <c r="AJ32" s="293" t="s">
        <v>2579</v>
      </c>
      <c r="AK32" s="293" t="s">
        <v>145</v>
      </c>
      <c r="AL32" s="293" t="s">
        <v>74</v>
      </c>
      <c r="AM32" s="293" t="s">
        <v>656</v>
      </c>
      <c r="AO32" s="22" t="s">
        <v>2580</v>
      </c>
      <c r="AP32" s="22" t="s">
        <v>145</v>
      </c>
      <c r="AQ32" s="22" t="s">
        <v>70</v>
      </c>
      <c r="AR32" s="22" t="s">
        <v>67</v>
      </c>
      <c r="AT32" s="22" t="s">
        <v>2581</v>
      </c>
      <c r="AU32" s="22" t="s">
        <v>145</v>
      </c>
      <c r="AV32" s="22" t="s">
        <v>70</v>
      </c>
      <c r="AW32" s="22" t="s">
        <v>67</v>
      </c>
      <c r="AY32" s="22" t="s">
        <v>2582</v>
      </c>
      <c r="AZ32" s="22" t="s">
        <v>145</v>
      </c>
      <c r="BA32" s="22" t="s">
        <v>70</v>
      </c>
      <c r="BB32" s="22" t="s">
        <v>67</v>
      </c>
      <c r="BD32" s="22" t="s">
        <v>2583</v>
      </c>
      <c r="BE32" s="22" t="s">
        <v>145</v>
      </c>
      <c r="BF32" s="22" t="s">
        <v>70</v>
      </c>
      <c r="BG32" s="22" t="s">
        <v>67</v>
      </c>
      <c r="BI32" s="22" t="s">
        <v>2584</v>
      </c>
      <c r="BJ32" s="22" t="s">
        <v>145</v>
      </c>
      <c r="BK32" s="22" t="s">
        <v>70</v>
      </c>
      <c r="BL32" s="22" t="s">
        <v>67</v>
      </c>
      <c r="BN32" s="22" t="s">
        <v>2585</v>
      </c>
      <c r="BO32" s="22" t="s">
        <v>145</v>
      </c>
      <c r="BP32" s="22" t="s">
        <v>70</v>
      </c>
      <c r="BQ32" s="22" t="s">
        <v>67</v>
      </c>
      <c r="BS32" s="22" t="s">
        <v>2586</v>
      </c>
      <c r="BT32" s="22" t="s">
        <v>145</v>
      </c>
      <c r="BU32" s="22" t="s">
        <v>70</v>
      </c>
      <c r="BV32" s="214" t="s">
        <v>530</v>
      </c>
      <c r="BX32" s="22" t="s">
        <v>2587</v>
      </c>
      <c r="BY32" s="22" t="s">
        <v>145</v>
      </c>
      <c r="BZ32" s="22" t="s">
        <v>70</v>
      </c>
      <c r="CA32" s="214" t="s">
        <v>530</v>
      </c>
      <c r="CC32" s="214" t="s">
        <v>2588</v>
      </c>
      <c r="CD32" s="214" t="s">
        <v>34593</v>
      </c>
      <c r="CE32" s="214" t="s">
        <v>70</v>
      </c>
      <c r="CF32" s="218" t="s">
        <v>34473</v>
      </c>
      <c r="CH32" s="214" t="s">
        <v>2589</v>
      </c>
      <c r="CI32" s="214" t="s">
        <v>485</v>
      </c>
      <c r="CJ32" s="214" t="s">
        <v>70</v>
      </c>
      <c r="CK32" s="214" t="s">
        <v>530</v>
      </c>
      <c r="CM32" s="214" t="s">
        <v>2590</v>
      </c>
      <c r="CN32" s="214" t="s">
        <v>937</v>
      </c>
      <c r="CO32" s="214" t="s">
        <v>70</v>
      </c>
      <c r="CP32" s="214" t="s">
        <v>530</v>
      </c>
      <c r="CR32" s="214" t="s">
        <v>2591</v>
      </c>
      <c r="CS32" s="214" t="s">
        <v>204</v>
      </c>
      <c r="CT32" s="214" t="s">
        <v>70</v>
      </c>
      <c r="CU32" s="214" t="s">
        <v>530</v>
      </c>
      <c r="CW32" s="214" t="s">
        <v>2592</v>
      </c>
      <c r="CX32" s="214" t="s">
        <v>163</v>
      </c>
      <c r="CY32" s="214" t="s">
        <v>70</v>
      </c>
      <c r="CZ32" s="214" t="s">
        <v>530</v>
      </c>
      <c r="DB32" s="214" t="s">
        <v>2593</v>
      </c>
      <c r="DC32" s="214" t="s">
        <v>92</v>
      </c>
      <c r="DD32" s="214" t="s">
        <v>70</v>
      </c>
      <c r="DE32" s="214" t="s">
        <v>530</v>
      </c>
      <c r="DG32" s="214" t="s">
        <v>2594</v>
      </c>
      <c r="DH32" s="214" t="s">
        <v>163</v>
      </c>
      <c r="DI32" s="214" t="s">
        <v>70</v>
      </c>
      <c r="DJ32" s="214" t="s">
        <v>530</v>
      </c>
      <c r="DL32" s="214" t="s">
        <v>2595</v>
      </c>
      <c r="DM32" s="214" t="s">
        <v>52</v>
      </c>
      <c r="DN32" s="214" t="s">
        <v>70</v>
      </c>
      <c r="DO32" s="214" t="s">
        <v>530</v>
      </c>
      <c r="DQ32" s="214" t="s">
        <v>2596</v>
      </c>
      <c r="DR32" s="214" t="s">
        <v>52</v>
      </c>
      <c r="DS32" s="214" t="s">
        <v>70</v>
      </c>
      <c r="DT32" s="214" t="s">
        <v>530</v>
      </c>
      <c r="DV32" s="214" t="s">
        <v>2597</v>
      </c>
      <c r="DW32" s="214" t="s">
        <v>34626</v>
      </c>
      <c r="DX32" s="214" t="s">
        <v>70</v>
      </c>
      <c r="DY32" s="214" t="s">
        <v>530</v>
      </c>
      <c r="EA32" s="214" t="s">
        <v>2598</v>
      </c>
      <c r="EB32" s="214" t="s">
        <v>87</v>
      </c>
      <c r="EC32" s="214" t="s">
        <v>70</v>
      </c>
      <c r="ED32" s="214" t="s">
        <v>530</v>
      </c>
      <c r="EF32" s="214" t="s">
        <v>2599</v>
      </c>
      <c r="EG32" s="214" t="s">
        <v>145</v>
      </c>
      <c r="EH32" s="214" t="s">
        <v>70</v>
      </c>
      <c r="EI32" s="214" t="s">
        <v>530</v>
      </c>
      <c r="EK32" s="214" t="s">
        <v>2600</v>
      </c>
      <c r="EL32" s="214" t="s">
        <v>529</v>
      </c>
      <c r="EM32" s="214" t="s">
        <v>70</v>
      </c>
      <c r="EN32" s="214" t="s">
        <v>530</v>
      </c>
      <c r="EP32" s="214" t="s">
        <v>2601</v>
      </c>
      <c r="EQ32" s="214" t="s">
        <v>88</v>
      </c>
      <c r="ER32" s="214" t="s">
        <v>70</v>
      </c>
      <c r="ES32" s="214" t="s">
        <v>530</v>
      </c>
      <c r="EU32" s="214" t="s">
        <v>2602</v>
      </c>
      <c r="EV32" s="214" t="s">
        <v>52</v>
      </c>
      <c r="EW32" s="214" t="s">
        <v>70</v>
      </c>
      <c r="EX32" s="214" t="s">
        <v>530</v>
      </c>
      <c r="EZ32" s="214" t="s">
        <v>2603</v>
      </c>
      <c r="FA32" s="214" t="s">
        <v>949</v>
      </c>
      <c r="FB32" s="214" t="s">
        <v>70</v>
      </c>
      <c r="FC32" s="214" t="s">
        <v>530</v>
      </c>
      <c r="FE32" s="214" t="s">
        <v>2604</v>
      </c>
      <c r="FF32" s="214" t="s">
        <v>88</v>
      </c>
      <c r="FG32" s="214" t="s">
        <v>70</v>
      </c>
      <c r="FH32" s="214" t="s">
        <v>530</v>
      </c>
      <c r="FJ32" s="321" t="s">
        <v>2605</v>
      </c>
      <c r="FK32" s="214" t="s">
        <v>492</v>
      </c>
      <c r="FL32" s="214" t="s">
        <v>70</v>
      </c>
      <c r="FM32" s="214" t="s">
        <v>530</v>
      </c>
      <c r="FO32" s="321" t="s">
        <v>2606</v>
      </c>
      <c r="FP32" s="214" t="s">
        <v>93</v>
      </c>
      <c r="FQ32" s="214" t="s">
        <v>70</v>
      </c>
      <c r="FR32" s="214" t="s">
        <v>530</v>
      </c>
      <c r="FT32" s="321" t="s">
        <v>2607</v>
      </c>
      <c r="FU32" s="214" t="s">
        <v>52</v>
      </c>
      <c r="FV32" s="214" t="s">
        <v>70</v>
      </c>
      <c r="FW32" s="214" t="s">
        <v>530</v>
      </c>
      <c r="FY32" s="321" t="s">
        <v>2608</v>
      </c>
      <c r="FZ32" s="214" t="s">
        <v>481</v>
      </c>
      <c r="GA32" s="214" t="s">
        <v>70</v>
      </c>
      <c r="GB32" s="214" t="s">
        <v>530</v>
      </c>
      <c r="GD32" s="321" t="s">
        <v>2609</v>
      </c>
      <c r="GE32" s="214" t="s">
        <v>52</v>
      </c>
      <c r="GF32" s="214" t="s">
        <v>70</v>
      </c>
      <c r="GG32" s="214" t="s">
        <v>530</v>
      </c>
      <c r="GI32" s="321" t="s">
        <v>2610</v>
      </c>
      <c r="GJ32" s="214" t="s">
        <v>148</v>
      </c>
      <c r="GK32" s="214" t="s">
        <v>70</v>
      </c>
      <c r="GL32" s="214" t="s">
        <v>530</v>
      </c>
      <c r="GN32" s="321" t="s">
        <v>2611</v>
      </c>
      <c r="GO32" s="214" t="s">
        <v>529</v>
      </c>
      <c r="GP32" s="214" t="s">
        <v>70</v>
      </c>
      <c r="GQ32" s="214" t="s">
        <v>530</v>
      </c>
      <c r="GS32" s="321" t="s">
        <v>2612</v>
      </c>
      <c r="GT32" s="214" t="s">
        <v>34637</v>
      </c>
      <c r="GU32" s="214" t="s">
        <v>70</v>
      </c>
      <c r="GV32" s="214" t="s">
        <v>530</v>
      </c>
      <c r="GX32" s="214" t="s">
        <v>2613</v>
      </c>
      <c r="GY32" s="214" t="s">
        <v>34583</v>
      </c>
      <c r="GZ32" s="214" t="s">
        <v>70</v>
      </c>
      <c r="HA32" s="214" t="s">
        <v>530</v>
      </c>
      <c r="HC32" s="214" t="s">
        <v>2614</v>
      </c>
      <c r="HD32" s="214" t="s">
        <v>500</v>
      </c>
      <c r="HE32" s="214" t="s">
        <v>70</v>
      </c>
      <c r="HF32" s="214" t="s">
        <v>530</v>
      </c>
      <c r="HH32" s="214" t="s">
        <v>2615</v>
      </c>
      <c r="HI32" s="214" t="s">
        <v>52</v>
      </c>
      <c r="HJ32" s="214" t="s">
        <v>70</v>
      </c>
      <c r="HK32" s="214" t="s">
        <v>530</v>
      </c>
      <c r="HM32" s="214" t="s">
        <v>2616</v>
      </c>
      <c r="HN32" s="214" t="s">
        <v>52</v>
      </c>
      <c r="HO32" s="214" t="s">
        <v>70</v>
      </c>
      <c r="HP32" s="214" t="s">
        <v>34121</v>
      </c>
      <c r="HR32" s="22" t="s">
        <v>2617</v>
      </c>
      <c r="HS32" s="22" t="s">
        <v>52</v>
      </c>
      <c r="HT32" s="22" t="s">
        <v>70</v>
      </c>
      <c r="HU32" s="214" t="s">
        <v>530</v>
      </c>
      <c r="HW32" s="22" t="s">
        <v>2618</v>
      </c>
      <c r="HX32" s="22" t="s">
        <v>90</v>
      </c>
      <c r="HY32" s="22" t="s">
        <v>70</v>
      </c>
      <c r="HZ32" s="214" t="s">
        <v>530</v>
      </c>
      <c r="IB32" s="22" t="s">
        <v>2619</v>
      </c>
      <c r="IC32" s="22" t="s">
        <v>34555</v>
      </c>
      <c r="ID32" s="22" t="s">
        <v>70</v>
      </c>
      <c r="IE32" s="214" t="s">
        <v>530</v>
      </c>
      <c r="IG32" s="22" t="s">
        <v>2620</v>
      </c>
      <c r="IH32" s="22" t="s">
        <v>52</v>
      </c>
      <c r="II32" s="22" t="s">
        <v>70</v>
      </c>
      <c r="IJ32" s="214" t="s">
        <v>530</v>
      </c>
      <c r="IL32" s="22" t="s">
        <v>2621</v>
      </c>
      <c r="IM32" s="22" t="s">
        <v>145</v>
      </c>
      <c r="IN32" s="22" t="s">
        <v>70</v>
      </c>
      <c r="IO32" s="214" t="s">
        <v>530</v>
      </c>
      <c r="IQ32" s="236" t="s">
        <v>2622</v>
      </c>
      <c r="IR32" s="236" t="s">
        <v>145</v>
      </c>
      <c r="IS32" s="236" t="s">
        <v>74</v>
      </c>
      <c r="IT32" s="236" t="s">
        <v>841</v>
      </c>
      <c r="IV32" s="236" t="s">
        <v>2623</v>
      </c>
      <c r="IW32" s="236" t="s">
        <v>145</v>
      </c>
      <c r="IX32" s="236" t="s">
        <v>74</v>
      </c>
      <c r="IY32" s="236" t="s">
        <v>841</v>
      </c>
      <c r="JA32" s="236" t="s">
        <v>2624</v>
      </c>
      <c r="JB32" s="236" t="s">
        <v>145</v>
      </c>
      <c r="JC32" s="236" t="s">
        <v>74</v>
      </c>
      <c r="JD32" s="236" t="s">
        <v>841</v>
      </c>
      <c r="JF32" s="236" t="s">
        <v>2625</v>
      </c>
      <c r="JG32" s="236" t="s">
        <v>145</v>
      </c>
      <c r="JH32" s="236" t="s">
        <v>74</v>
      </c>
      <c r="JI32" s="236" t="s">
        <v>841</v>
      </c>
      <c r="JK32" s="236" t="s">
        <v>2626</v>
      </c>
      <c r="JL32" s="236" t="s">
        <v>145</v>
      </c>
      <c r="JM32" s="236" t="s">
        <v>74</v>
      </c>
      <c r="JN32" s="236" t="s">
        <v>841</v>
      </c>
      <c r="JP32" s="236" t="s">
        <v>2627</v>
      </c>
      <c r="JQ32" s="236" t="s">
        <v>145</v>
      </c>
      <c r="JR32" s="236" t="s">
        <v>74</v>
      </c>
      <c r="JS32" s="236" t="s">
        <v>841</v>
      </c>
      <c r="JU32" s="294" t="s">
        <v>2628</v>
      </c>
      <c r="JV32" s="294" t="str">
        <f>TVIIBE1M_CalPairs!$R26</f>
        <v>0x81</v>
      </c>
      <c r="JW32" s="263" t="s">
        <v>70</v>
      </c>
      <c r="JX32" s="294" t="str">
        <f>TVIIBE1M_CalPairs!$Q26</f>
        <v>SMPU14_ADDR0_B0</v>
      </c>
      <c r="JZ32" s="263" t="s">
        <v>2629</v>
      </c>
      <c r="KA32" s="263" t="s">
        <v>145</v>
      </c>
      <c r="KB32" s="263" t="s">
        <v>70</v>
      </c>
      <c r="KC32" s="263" t="s">
        <v>1083</v>
      </c>
      <c r="KE32" s="263" t="s">
        <v>2630</v>
      </c>
      <c r="KF32" s="263" t="s">
        <v>52</v>
      </c>
      <c r="KG32" s="263" t="s">
        <v>70</v>
      </c>
      <c r="KH32" s="263" t="s">
        <v>1083</v>
      </c>
      <c r="KJ32" s="263" t="s">
        <v>2631</v>
      </c>
      <c r="KK32" s="263" t="s">
        <v>85</v>
      </c>
      <c r="KL32" s="263" t="s">
        <v>74</v>
      </c>
      <c r="KM32" s="263" t="s">
        <v>34240</v>
      </c>
      <c r="KO32" s="214" t="s">
        <v>2632</v>
      </c>
      <c r="KP32" s="214" t="s">
        <v>52</v>
      </c>
      <c r="KQ32" s="214" t="s">
        <v>70</v>
      </c>
      <c r="KR32" s="214" t="s">
        <v>803</v>
      </c>
      <c r="KT32" s="22" t="s">
        <v>2633</v>
      </c>
      <c r="KU32" s="22" t="s">
        <v>145</v>
      </c>
      <c r="KV32" s="22" t="s">
        <v>70</v>
      </c>
      <c r="KW32" s="22" t="s">
        <v>67</v>
      </c>
      <c r="KY32" s="214" t="s">
        <v>2634</v>
      </c>
      <c r="KZ32" s="214" t="s">
        <v>52</v>
      </c>
      <c r="LA32" s="214" t="s">
        <v>74</v>
      </c>
      <c r="LB32" s="214" t="s">
        <v>830</v>
      </c>
      <c r="LD32" s="22" t="s">
        <v>2635</v>
      </c>
      <c r="LE32" s="22" t="s">
        <v>145</v>
      </c>
      <c r="LF32" s="22" t="s">
        <v>70</v>
      </c>
      <c r="LG32" s="22" t="s">
        <v>67</v>
      </c>
    </row>
    <row r="33" spans="1:319">
      <c r="A33" s="22" t="s">
        <v>2636</v>
      </c>
      <c r="B33" s="22" t="s">
        <v>145</v>
      </c>
      <c r="C33" s="22" t="s">
        <v>70</v>
      </c>
      <c r="D33" s="22" t="s">
        <v>67</v>
      </c>
      <c r="F33" s="23" t="s">
        <v>2637</v>
      </c>
      <c r="G33" s="23" t="str">
        <f>TVIIBE1M_CalPairs!$E30</f>
        <v>0x0F</v>
      </c>
      <c r="H33" s="23" t="s">
        <v>70</v>
      </c>
      <c r="I33" s="23" t="str">
        <f>TVIIBE1M_CalPairs!$C30</f>
        <v>SRSS1_ADDR1</v>
      </c>
      <c r="K33" s="218" t="s">
        <v>2638</v>
      </c>
      <c r="L33" s="218" t="s">
        <v>145</v>
      </c>
      <c r="M33" s="305" t="s">
        <v>72</v>
      </c>
      <c r="N33" s="312" t="s">
        <v>34098</v>
      </c>
      <c r="P33" s="218" t="s">
        <v>2639</v>
      </c>
      <c r="Q33" s="218" t="s">
        <v>145</v>
      </c>
      <c r="R33" s="218" t="s">
        <v>72</v>
      </c>
      <c r="S33" s="218" t="s">
        <v>783</v>
      </c>
      <c r="U33" s="293" t="s">
        <v>2640</v>
      </c>
      <c r="V33" s="293" t="s">
        <v>145</v>
      </c>
      <c r="W33" s="293" t="s">
        <v>74</v>
      </c>
      <c r="X33" s="293" t="s">
        <v>656</v>
      </c>
      <c r="Z33" s="293" t="s">
        <v>2641</v>
      </c>
      <c r="AA33" s="293" t="s">
        <v>145</v>
      </c>
      <c r="AB33" s="293" t="s">
        <v>74</v>
      </c>
      <c r="AC33" s="293" t="s">
        <v>656</v>
      </c>
      <c r="AE33" s="293" t="s">
        <v>2642</v>
      </c>
      <c r="AF33" s="293" t="s">
        <v>145</v>
      </c>
      <c r="AG33" s="293" t="s">
        <v>74</v>
      </c>
      <c r="AH33" s="293" t="s">
        <v>656</v>
      </c>
      <c r="AJ33" s="293" t="s">
        <v>2643</v>
      </c>
      <c r="AK33" s="293" t="s">
        <v>145</v>
      </c>
      <c r="AL33" s="293" t="s">
        <v>74</v>
      </c>
      <c r="AM33" s="293" t="s">
        <v>656</v>
      </c>
      <c r="AO33" s="22" t="s">
        <v>2644</v>
      </c>
      <c r="AP33" s="22" t="s">
        <v>145</v>
      </c>
      <c r="AQ33" s="22" t="s">
        <v>70</v>
      </c>
      <c r="AR33" s="22" t="s">
        <v>67</v>
      </c>
      <c r="AT33" s="22" t="s">
        <v>2645</v>
      </c>
      <c r="AU33" s="22" t="s">
        <v>145</v>
      </c>
      <c r="AV33" s="22" t="s">
        <v>70</v>
      </c>
      <c r="AW33" s="22" t="s">
        <v>67</v>
      </c>
      <c r="AY33" s="22" t="s">
        <v>2646</v>
      </c>
      <c r="AZ33" s="22" t="s">
        <v>145</v>
      </c>
      <c r="BA33" s="22" t="s">
        <v>70</v>
      </c>
      <c r="BB33" s="22" t="s">
        <v>67</v>
      </c>
      <c r="BD33" s="22" t="s">
        <v>2647</v>
      </c>
      <c r="BE33" s="22" t="s">
        <v>145</v>
      </c>
      <c r="BF33" s="22" t="s">
        <v>70</v>
      </c>
      <c r="BG33" s="22" t="s">
        <v>67</v>
      </c>
      <c r="BI33" s="22" t="s">
        <v>2648</v>
      </c>
      <c r="BJ33" s="22" t="s">
        <v>145</v>
      </c>
      <c r="BK33" s="22" t="s">
        <v>70</v>
      </c>
      <c r="BL33" s="22" t="s">
        <v>67</v>
      </c>
      <c r="BN33" s="22" t="s">
        <v>2649</v>
      </c>
      <c r="BO33" s="22" t="s">
        <v>145</v>
      </c>
      <c r="BP33" s="22" t="s">
        <v>70</v>
      </c>
      <c r="BQ33" s="22" t="s">
        <v>67</v>
      </c>
      <c r="BS33" s="22" t="s">
        <v>2650</v>
      </c>
      <c r="BT33" s="22" t="s">
        <v>145</v>
      </c>
      <c r="BU33" s="22" t="s">
        <v>70</v>
      </c>
      <c r="BV33" s="214" t="s">
        <v>530</v>
      </c>
      <c r="BX33" s="22" t="s">
        <v>2651</v>
      </c>
      <c r="BY33" s="22" t="s">
        <v>145</v>
      </c>
      <c r="BZ33" s="22" t="s">
        <v>70</v>
      </c>
      <c r="CA33" s="214" t="s">
        <v>530</v>
      </c>
      <c r="CC33" s="214" t="s">
        <v>2652</v>
      </c>
      <c r="CD33" s="214" t="s">
        <v>163</v>
      </c>
      <c r="CE33" s="214" t="s">
        <v>70</v>
      </c>
      <c r="CF33" s="218" t="s">
        <v>34474</v>
      </c>
      <c r="CH33" s="214" t="s">
        <v>2653</v>
      </c>
      <c r="CI33" s="214" t="s">
        <v>926</v>
      </c>
      <c r="CJ33" s="214" t="s">
        <v>70</v>
      </c>
      <c r="CK33" s="214" t="s">
        <v>530</v>
      </c>
      <c r="CM33" s="214" t="s">
        <v>2654</v>
      </c>
      <c r="CN33" s="214" t="s">
        <v>34547</v>
      </c>
      <c r="CO33" s="214" t="s">
        <v>70</v>
      </c>
      <c r="CP33" s="214" t="s">
        <v>530</v>
      </c>
      <c r="CR33" s="214" t="s">
        <v>2655</v>
      </c>
      <c r="CS33" s="214" t="s">
        <v>146</v>
      </c>
      <c r="CT33" s="214" t="s">
        <v>70</v>
      </c>
      <c r="CU33" s="214" t="s">
        <v>530</v>
      </c>
      <c r="CW33" s="214" t="s">
        <v>2656</v>
      </c>
      <c r="CX33" s="214" t="s">
        <v>484</v>
      </c>
      <c r="CY33" s="214" t="s">
        <v>70</v>
      </c>
      <c r="CZ33" s="214" t="s">
        <v>530</v>
      </c>
      <c r="DB33" s="214" t="s">
        <v>2657</v>
      </c>
      <c r="DC33" s="214" t="s">
        <v>468</v>
      </c>
      <c r="DD33" s="214" t="s">
        <v>70</v>
      </c>
      <c r="DE33" s="214" t="s">
        <v>530</v>
      </c>
      <c r="DG33" s="214" t="s">
        <v>2658</v>
      </c>
      <c r="DH33" s="214" t="s">
        <v>52</v>
      </c>
      <c r="DI33" s="214" t="s">
        <v>70</v>
      </c>
      <c r="DJ33" s="214" t="s">
        <v>530</v>
      </c>
      <c r="DL33" s="214" t="s">
        <v>2659</v>
      </c>
      <c r="DM33" s="214" t="s">
        <v>950</v>
      </c>
      <c r="DN33" s="214" t="s">
        <v>70</v>
      </c>
      <c r="DO33" s="214" t="s">
        <v>530</v>
      </c>
      <c r="DQ33" s="214" t="s">
        <v>2660</v>
      </c>
      <c r="DR33" s="214" t="s">
        <v>950</v>
      </c>
      <c r="DS33" s="214" t="s">
        <v>70</v>
      </c>
      <c r="DT33" s="214" t="s">
        <v>530</v>
      </c>
      <c r="DV33" s="214" t="s">
        <v>2661</v>
      </c>
      <c r="DW33" s="214" t="s">
        <v>491</v>
      </c>
      <c r="DX33" s="214" t="s">
        <v>70</v>
      </c>
      <c r="DY33" s="214" t="s">
        <v>530</v>
      </c>
      <c r="EA33" s="214" t="s">
        <v>2662</v>
      </c>
      <c r="EB33" s="214" t="s">
        <v>955</v>
      </c>
      <c r="EC33" s="214" t="s">
        <v>70</v>
      </c>
      <c r="ED33" s="214" t="s">
        <v>530</v>
      </c>
      <c r="EF33" s="214" t="s">
        <v>2663</v>
      </c>
      <c r="EG33" s="214" t="s">
        <v>145</v>
      </c>
      <c r="EH33" s="214" t="s">
        <v>70</v>
      </c>
      <c r="EI33" s="214" t="s">
        <v>530</v>
      </c>
      <c r="EK33" s="214" t="s">
        <v>2664</v>
      </c>
      <c r="EL33" s="214" t="s">
        <v>206</v>
      </c>
      <c r="EM33" s="214" t="s">
        <v>70</v>
      </c>
      <c r="EN33" s="214" t="s">
        <v>530</v>
      </c>
      <c r="EP33" s="214" t="s">
        <v>2665</v>
      </c>
      <c r="EQ33" s="214" t="s">
        <v>34635</v>
      </c>
      <c r="ER33" s="214" t="s">
        <v>70</v>
      </c>
      <c r="ES33" s="214" t="s">
        <v>530</v>
      </c>
      <c r="EU33" s="214" t="s">
        <v>2666</v>
      </c>
      <c r="EV33" s="214" t="s">
        <v>485</v>
      </c>
      <c r="EW33" s="214" t="s">
        <v>70</v>
      </c>
      <c r="EX33" s="214" t="s">
        <v>530</v>
      </c>
      <c r="EZ33" s="214" t="s">
        <v>2667</v>
      </c>
      <c r="FA33" s="214" t="s">
        <v>163</v>
      </c>
      <c r="FB33" s="214" t="s">
        <v>70</v>
      </c>
      <c r="FC33" s="214" t="s">
        <v>530</v>
      </c>
      <c r="FE33" s="214" t="s">
        <v>2668</v>
      </c>
      <c r="FF33" s="214" t="s">
        <v>488</v>
      </c>
      <c r="FG33" s="214" t="s">
        <v>70</v>
      </c>
      <c r="FH33" s="214" t="s">
        <v>530</v>
      </c>
      <c r="FJ33" s="321" t="s">
        <v>2669</v>
      </c>
      <c r="FK33" s="214" t="s">
        <v>88</v>
      </c>
      <c r="FL33" s="214" t="s">
        <v>70</v>
      </c>
      <c r="FM33" s="214" t="s">
        <v>530</v>
      </c>
      <c r="FO33" s="321" t="s">
        <v>2670</v>
      </c>
      <c r="FP33" s="214" t="s">
        <v>599</v>
      </c>
      <c r="FQ33" s="214" t="s">
        <v>70</v>
      </c>
      <c r="FR33" s="214" t="s">
        <v>530</v>
      </c>
      <c r="FT33" s="321" t="s">
        <v>2671</v>
      </c>
      <c r="FU33" s="214" t="s">
        <v>467</v>
      </c>
      <c r="FV33" s="214" t="s">
        <v>70</v>
      </c>
      <c r="FW33" s="214" t="s">
        <v>530</v>
      </c>
      <c r="FY33" s="321" t="s">
        <v>2672</v>
      </c>
      <c r="FZ33" s="214" t="s">
        <v>487</v>
      </c>
      <c r="GA33" s="214" t="s">
        <v>70</v>
      </c>
      <c r="GB33" s="214" t="s">
        <v>530</v>
      </c>
      <c r="GD33" s="321" t="s">
        <v>2673</v>
      </c>
      <c r="GE33" s="214" t="s">
        <v>955</v>
      </c>
      <c r="GF33" s="214" t="s">
        <v>70</v>
      </c>
      <c r="GG33" s="214" t="s">
        <v>530</v>
      </c>
      <c r="GI33" s="321" t="s">
        <v>2674</v>
      </c>
      <c r="GJ33" s="214" t="s">
        <v>956</v>
      </c>
      <c r="GK33" s="214" t="s">
        <v>70</v>
      </c>
      <c r="GL33" s="214" t="s">
        <v>530</v>
      </c>
      <c r="GN33" s="321" t="s">
        <v>2675</v>
      </c>
      <c r="GO33" s="214" t="s">
        <v>93</v>
      </c>
      <c r="GP33" s="214" t="s">
        <v>70</v>
      </c>
      <c r="GQ33" s="214" t="s">
        <v>530</v>
      </c>
      <c r="GS33" s="321" t="s">
        <v>2676</v>
      </c>
      <c r="GT33" s="214" t="s">
        <v>145</v>
      </c>
      <c r="GU33" s="214" t="s">
        <v>70</v>
      </c>
      <c r="GV33" s="214" t="s">
        <v>530</v>
      </c>
      <c r="GX33" s="214" t="s">
        <v>2677</v>
      </c>
      <c r="GY33" s="214" t="s">
        <v>88</v>
      </c>
      <c r="GZ33" s="214" t="s">
        <v>70</v>
      </c>
      <c r="HA33" s="214" t="s">
        <v>530</v>
      </c>
      <c r="HC33" s="214" t="s">
        <v>2678</v>
      </c>
      <c r="HD33" s="214" t="s">
        <v>501</v>
      </c>
      <c r="HE33" s="214" t="s">
        <v>70</v>
      </c>
      <c r="HF33" s="214" t="s">
        <v>530</v>
      </c>
      <c r="HH33" s="214" t="s">
        <v>2679</v>
      </c>
      <c r="HI33" s="214" t="s">
        <v>468</v>
      </c>
      <c r="HJ33" s="214" t="s">
        <v>70</v>
      </c>
      <c r="HK33" s="214" t="s">
        <v>530</v>
      </c>
      <c r="HM33" s="214" t="s">
        <v>2680</v>
      </c>
      <c r="HN33" s="214" t="s">
        <v>52</v>
      </c>
      <c r="HO33" s="214" t="s">
        <v>70</v>
      </c>
      <c r="HP33" s="214" t="s">
        <v>34121</v>
      </c>
      <c r="HR33" s="22" t="s">
        <v>2681</v>
      </c>
      <c r="HS33" s="22" t="s">
        <v>468</v>
      </c>
      <c r="HT33" s="22" t="s">
        <v>70</v>
      </c>
      <c r="HU33" s="214" t="s">
        <v>530</v>
      </c>
      <c r="HW33" s="22" t="s">
        <v>2682</v>
      </c>
      <c r="HX33" s="22" t="s">
        <v>487</v>
      </c>
      <c r="HY33" s="22" t="s">
        <v>70</v>
      </c>
      <c r="HZ33" s="214" t="s">
        <v>530</v>
      </c>
      <c r="IB33" s="22" t="s">
        <v>2683</v>
      </c>
      <c r="IC33" s="22" t="s">
        <v>798</v>
      </c>
      <c r="ID33" s="22" t="s">
        <v>70</v>
      </c>
      <c r="IE33" s="214" t="s">
        <v>530</v>
      </c>
      <c r="IG33" s="22" t="s">
        <v>2684</v>
      </c>
      <c r="IH33" s="22" t="s">
        <v>52</v>
      </c>
      <c r="II33" s="22" t="s">
        <v>70</v>
      </c>
      <c r="IJ33" s="214" t="s">
        <v>530</v>
      </c>
      <c r="IL33" s="22" t="s">
        <v>2685</v>
      </c>
      <c r="IM33" s="22" t="s">
        <v>145</v>
      </c>
      <c r="IN33" s="22" t="s">
        <v>70</v>
      </c>
      <c r="IO33" s="214" t="s">
        <v>530</v>
      </c>
      <c r="IQ33" s="236" t="s">
        <v>2686</v>
      </c>
      <c r="IR33" s="236" t="s">
        <v>145</v>
      </c>
      <c r="IS33" s="236" t="s">
        <v>74</v>
      </c>
      <c r="IT33" s="236" t="s">
        <v>841</v>
      </c>
      <c r="IV33" s="236" t="s">
        <v>2687</v>
      </c>
      <c r="IW33" s="236" t="s">
        <v>145</v>
      </c>
      <c r="IX33" s="236" t="s">
        <v>74</v>
      </c>
      <c r="IY33" s="236" t="s">
        <v>841</v>
      </c>
      <c r="JA33" s="236" t="s">
        <v>2688</v>
      </c>
      <c r="JB33" s="236" t="s">
        <v>145</v>
      </c>
      <c r="JC33" s="236" t="s">
        <v>74</v>
      </c>
      <c r="JD33" s="236" t="s">
        <v>841</v>
      </c>
      <c r="JF33" s="236" t="s">
        <v>2689</v>
      </c>
      <c r="JG33" s="236" t="s">
        <v>145</v>
      </c>
      <c r="JH33" s="236" t="s">
        <v>74</v>
      </c>
      <c r="JI33" s="236" t="s">
        <v>841</v>
      </c>
      <c r="JK33" s="236" t="s">
        <v>2690</v>
      </c>
      <c r="JL33" s="236" t="s">
        <v>145</v>
      </c>
      <c r="JM33" s="236" t="s">
        <v>74</v>
      </c>
      <c r="JN33" s="236" t="s">
        <v>841</v>
      </c>
      <c r="JP33" s="236" t="s">
        <v>2691</v>
      </c>
      <c r="JQ33" s="236" t="s">
        <v>145</v>
      </c>
      <c r="JR33" s="236" t="s">
        <v>74</v>
      </c>
      <c r="JS33" s="236" t="s">
        <v>841</v>
      </c>
      <c r="JU33" s="294" t="s">
        <v>2692</v>
      </c>
      <c r="JV33" s="294" t="str">
        <f>TVIIBE1M_CalPairs!$R27</f>
        <v>0x00</v>
      </c>
      <c r="JW33" s="263" t="s">
        <v>70</v>
      </c>
      <c r="JX33" s="294" t="str">
        <f>TVIIBE1M_CalPairs!$Q27</f>
        <v>SMPU14_ADDR0_B1</v>
      </c>
      <c r="JZ33" s="263" t="s">
        <v>2693</v>
      </c>
      <c r="KA33" s="263" t="s">
        <v>145</v>
      </c>
      <c r="KB33" s="263" t="s">
        <v>70</v>
      </c>
      <c r="KC33" s="263" t="s">
        <v>1083</v>
      </c>
      <c r="KE33" s="263" t="s">
        <v>2694</v>
      </c>
      <c r="KF33" s="263" t="s">
        <v>52</v>
      </c>
      <c r="KG33" s="263" t="s">
        <v>70</v>
      </c>
      <c r="KH33" s="263" t="s">
        <v>1083</v>
      </c>
      <c r="KJ33" s="263" t="s">
        <v>2695</v>
      </c>
      <c r="KK33" s="263" t="s">
        <v>52</v>
      </c>
      <c r="KL33" s="263" t="s">
        <v>74</v>
      </c>
      <c r="KM33" s="263" t="s">
        <v>34241</v>
      </c>
      <c r="KO33" s="214" t="s">
        <v>2696</v>
      </c>
      <c r="KP33" s="214" t="s">
        <v>103</v>
      </c>
      <c r="KQ33" s="214" t="s">
        <v>70</v>
      </c>
      <c r="KR33" s="214" t="s">
        <v>803</v>
      </c>
      <c r="KT33" s="22" t="s">
        <v>2697</v>
      </c>
      <c r="KU33" s="22" t="s">
        <v>145</v>
      </c>
      <c r="KV33" s="22" t="s">
        <v>70</v>
      </c>
      <c r="KW33" s="22" t="s">
        <v>67</v>
      </c>
      <c r="KY33" s="214" t="s">
        <v>2698</v>
      </c>
      <c r="KZ33" s="214" t="s">
        <v>52</v>
      </c>
      <c r="LA33" s="214" t="s">
        <v>74</v>
      </c>
      <c r="LB33" s="214" t="s">
        <v>830</v>
      </c>
      <c r="LD33" s="22" t="s">
        <v>2699</v>
      </c>
      <c r="LE33" s="22" t="s">
        <v>145</v>
      </c>
      <c r="LF33" s="22" t="s">
        <v>70</v>
      </c>
      <c r="LG33" s="22" t="s">
        <v>67</v>
      </c>
    </row>
    <row r="34" spans="1:319">
      <c r="A34" s="22" t="s">
        <v>2700</v>
      </c>
      <c r="B34" s="22" t="s">
        <v>145</v>
      </c>
      <c r="C34" s="22" t="s">
        <v>70</v>
      </c>
      <c r="D34" s="22" t="s">
        <v>67</v>
      </c>
      <c r="F34" s="23" t="s">
        <v>2701</v>
      </c>
      <c r="G34" s="23" t="str">
        <f>TVIIBE1M_CalPairs!$E31</f>
        <v>0x06</v>
      </c>
      <c r="H34" s="23" t="s">
        <v>70</v>
      </c>
      <c r="I34" s="23" t="str">
        <f>TVIIBE1M_CalPairs!$C31</f>
        <v>SRSS1_ADDR2</v>
      </c>
      <c r="K34" s="218" t="s">
        <v>2702</v>
      </c>
      <c r="L34" s="218" t="s">
        <v>145</v>
      </c>
      <c r="M34" s="305" t="s">
        <v>72</v>
      </c>
      <c r="N34" s="312" t="s">
        <v>34098</v>
      </c>
      <c r="P34" s="218" t="s">
        <v>2703</v>
      </c>
      <c r="Q34" s="218" t="s">
        <v>145</v>
      </c>
      <c r="R34" s="218" t="s">
        <v>72</v>
      </c>
      <c r="S34" s="218" t="s">
        <v>784</v>
      </c>
      <c r="U34" s="293" t="s">
        <v>2704</v>
      </c>
      <c r="V34" s="293" t="s">
        <v>145</v>
      </c>
      <c r="W34" s="293" t="s">
        <v>74</v>
      </c>
      <c r="X34" s="293" t="s">
        <v>656</v>
      </c>
      <c r="Z34" s="293" t="s">
        <v>2705</v>
      </c>
      <c r="AA34" s="293" t="s">
        <v>145</v>
      </c>
      <c r="AB34" s="293" t="s">
        <v>74</v>
      </c>
      <c r="AC34" s="293" t="s">
        <v>656</v>
      </c>
      <c r="AE34" s="293" t="s">
        <v>2706</v>
      </c>
      <c r="AF34" s="293" t="s">
        <v>145</v>
      </c>
      <c r="AG34" s="293" t="s">
        <v>74</v>
      </c>
      <c r="AH34" s="293" t="s">
        <v>656</v>
      </c>
      <c r="AJ34" s="293" t="s">
        <v>2707</v>
      </c>
      <c r="AK34" s="293" t="s">
        <v>145</v>
      </c>
      <c r="AL34" s="293" t="s">
        <v>74</v>
      </c>
      <c r="AM34" s="293" t="s">
        <v>656</v>
      </c>
      <c r="AO34" s="22" t="s">
        <v>2708</v>
      </c>
      <c r="AP34" s="22" t="s">
        <v>145</v>
      </c>
      <c r="AQ34" s="22" t="s">
        <v>70</v>
      </c>
      <c r="AR34" s="22" t="s">
        <v>67</v>
      </c>
      <c r="AT34" s="22" t="s">
        <v>2709</v>
      </c>
      <c r="AU34" s="22" t="s">
        <v>145</v>
      </c>
      <c r="AV34" s="22" t="s">
        <v>70</v>
      </c>
      <c r="AW34" s="22" t="s">
        <v>67</v>
      </c>
      <c r="AY34" s="22" t="s">
        <v>2710</v>
      </c>
      <c r="AZ34" s="22" t="s">
        <v>145</v>
      </c>
      <c r="BA34" s="22" t="s">
        <v>70</v>
      </c>
      <c r="BB34" s="22" t="s">
        <v>67</v>
      </c>
      <c r="BD34" s="22" t="s">
        <v>2711</v>
      </c>
      <c r="BE34" s="22" t="s">
        <v>145</v>
      </c>
      <c r="BF34" s="22" t="s">
        <v>70</v>
      </c>
      <c r="BG34" s="22" t="s">
        <v>67</v>
      </c>
      <c r="BI34" s="22" t="s">
        <v>2712</v>
      </c>
      <c r="BJ34" s="22" t="s">
        <v>145</v>
      </c>
      <c r="BK34" s="22" t="s">
        <v>70</v>
      </c>
      <c r="BL34" s="22" t="s">
        <v>67</v>
      </c>
      <c r="BN34" s="22" t="s">
        <v>2713</v>
      </c>
      <c r="BO34" s="22" t="s">
        <v>145</v>
      </c>
      <c r="BP34" s="22" t="s">
        <v>70</v>
      </c>
      <c r="BQ34" s="22" t="s">
        <v>67</v>
      </c>
      <c r="BS34" s="22" t="s">
        <v>2714</v>
      </c>
      <c r="BT34" s="22" t="s">
        <v>145</v>
      </c>
      <c r="BU34" s="22" t="s">
        <v>70</v>
      </c>
      <c r="BV34" s="214" t="s">
        <v>530</v>
      </c>
      <c r="BX34" s="22" t="s">
        <v>2715</v>
      </c>
      <c r="BY34" s="22" t="s">
        <v>145</v>
      </c>
      <c r="BZ34" s="22" t="s">
        <v>70</v>
      </c>
      <c r="CA34" s="214" t="s">
        <v>530</v>
      </c>
      <c r="CC34" s="214" t="s">
        <v>2716</v>
      </c>
      <c r="CD34" s="214" t="s">
        <v>52</v>
      </c>
      <c r="CE34" s="214" t="s">
        <v>70</v>
      </c>
      <c r="CF34" s="218" t="s">
        <v>34475</v>
      </c>
      <c r="CH34" s="214" t="s">
        <v>2717</v>
      </c>
      <c r="CI34" s="214" t="s">
        <v>88</v>
      </c>
      <c r="CJ34" s="214" t="s">
        <v>70</v>
      </c>
      <c r="CK34" s="214" t="s">
        <v>530</v>
      </c>
      <c r="CM34" s="214" t="s">
        <v>2718</v>
      </c>
      <c r="CN34" s="214" t="s">
        <v>204</v>
      </c>
      <c r="CO34" s="214" t="s">
        <v>70</v>
      </c>
      <c r="CP34" s="214" t="s">
        <v>530</v>
      </c>
      <c r="CR34" s="214" t="s">
        <v>2719</v>
      </c>
      <c r="CS34" s="214" t="s">
        <v>85</v>
      </c>
      <c r="CT34" s="214" t="s">
        <v>70</v>
      </c>
      <c r="CU34" s="214" t="s">
        <v>530</v>
      </c>
      <c r="CW34" s="214" t="s">
        <v>2720</v>
      </c>
      <c r="CX34" s="214" t="s">
        <v>599</v>
      </c>
      <c r="CY34" s="214" t="s">
        <v>70</v>
      </c>
      <c r="CZ34" s="214" t="s">
        <v>530</v>
      </c>
      <c r="DB34" s="214" t="s">
        <v>2721</v>
      </c>
      <c r="DC34" s="214" t="s">
        <v>52</v>
      </c>
      <c r="DD34" s="214" t="s">
        <v>70</v>
      </c>
      <c r="DE34" s="214" t="s">
        <v>530</v>
      </c>
      <c r="DG34" s="214" t="s">
        <v>2722</v>
      </c>
      <c r="DH34" s="214" t="s">
        <v>52</v>
      </c>
      <c r="DI34" s="214" t="s">
        <v>70</v>
      </c>
      <c r="DJ34" s="214" t="s">
        <v>530</v>
      </c>
      <c r="DL34" s="214" t="s">
        <v>2723</v>
      </c>
      <c r="DM34" s="214" t="s">
        <v>85</v>
      </c>
      <c r="DN34" s="214" t="s">
        <v>70</v>
      </c>
      <c r="DO34" s="214" t="s">
        <v>530</v>
      </c>
      <c r="DQ34" s="214" t="s">
        <v>2724</v>
      </c>
      <c r="DR34" s="214" t="s">
        <v>34569</v>
      </c>
      <c r="DS34" s="214" t="s">
        <v>70</v>
      </c>
      <c r="DT34" s="214" t="s">
        <v>530</v>
      </c>
      <c r="DV34" s="214" t="s">
        <v>2725</v>
      </c>
      <c r="DW34" s="214" t="s">
        <v>92</v>
      </c>
      <c r="DX34" s="214" t="s">
        <v>70</v>
      </c>
      <c r="DY34" s="214" t="s">
        <v>530</v>
      </c>
      <c r="EA34" s="214" t="s">
        <v>2726</v>
      </c>
      <c r="EB34" s="214" t="s">
        <v>164</v>
      </c>
      <c r="EC34" s="214" t="s">
        <v>70</v>
      </c>
      <c r="ED34" s="214" t="s">
        <v>530</v>
      </c>
      <c r="EF34" s="214" t="s">
        <v>2727</v>
      </c>
      <c r="EG34" s="214" t="s">
        <v>649</v>
      </c>
      <c r="EH34" s="214" t="s">
        <v>70</v>
      </c>
      <c r="EI34" s="214" t="s">
        <v>530</v>
      </c>
      <c r="EK34" s="214" t="s">
        <v>2728</v>
      </c>
      <c r="EL34" s="214" t="s">
        <v>52</v>
      </c>
      <c r="EM34" s="214" t="s">
        <v>70</v>
      </c>
      <c r="EN34" s="214" t="s">
        <v>530</v>
      </c>
      <c r="EP34" s="214" t="s">
        <v>2729</v>
      </c>
      <c r="EQ34" s="214" t="s">
        <v>52</v>
      </c>
      <c r="ER34" s="214" t="s">
        <v>70</v>
      </c>
      <c r="ES34" s="214" t="s">
        <v>530</v>
      </c>
      <c r="EU34" s="214" t="s">
        <v>2730</v>
      </c>
      <c r="EV34" s="214" t="s">
        <v>529</v>
      </c>
      <c r="EW34" s="214" t="s">
        <v>70</v>
      </c>
      <c r="EX34" s="214" t="s">
        <v>530</v>
      </c>
      <c r="EZ34" s="214" t="s">
        <v>2731</v>
      </c>
      <c r="FA34" s="214" t="s">
        <v>164</v>
      </c>
      <c r="FB34" s="214" t="s">
        <v>70</v>
      </c>
      <c r="FC34" s="214" t="s">
        <v>530</v>
      </c>
      <c r="FE34" s="214" t="s">
        <v>2732</v>
      </c>
      <c r="FF34" s="214" t="s">
        <v>34566</v>
      </c>
      <c r="FG34" s="214" t="s">
        <v>70</v>
      </c>
      <c r="FH34" s="214" t="s">
        <v>530</v>
      </c>
      <c r="FJ34" s="321" t="s">
        <v>2733</v>
      </c>
      <c r="FK34" s="214" t="s">
        <v>148</v>
      </c>
      <c r="FL34" s="214" t="s">
        <v>70</v>
      </c>
      <c r="FM34" s="214" t="s">
        <v>530</v>
      </c>
      <c r="FO34" s="321" t="s">
        <v>2734</v>
      </c>
      <c r="FP34" s="214" t="s">
        <v>52</v>
      </c>
      <c r="FQ34" s="214" t="s">
        <v>70</v>
      </c>
      <c r="FR34" s="214" t="s">
        <v>530</v>
      </c>
      <c r="FT34" s="321" t="s">
        <v>2735</v>
      </c>
      <c r="FU34" s="214" t="s">
        <v>497</v>
      </c>
      <c r="FV34" s="214" t="s">
        <v>70</v>
      </c>
      <c r="FW34" s="214" t="s">
        <v>530</v>
      </c>
      <c r="FY34" s="321" t="s">
        <v>2736</v>
      </c>
      <c r="FZ34" s="214" t="s">
        <v>916</v>
      </c>
      <c r="GA34" s="214" t="s">
        <v>70</v>
      </c>
      <c r="GB34" s="214" t="s">
        <v>530</v>
      </c>
      <c r="GD34" s="321" t="s">
        <v>2737</v>
      </c>
      <c r="GE34" s="214" t="s">
        <v>145</v>
      </c>
      <c r="GF34" s="214" t="s">
        <v>70</v>
      </c>
      <c r="GG34" s="214" t="s">
        <v>530</v>
      </c>
      <c r="GI34" s="321" t="s">
        <v>2738</v>
      </c>
      <c r="GJ34" s="214" t="s">
        <v>529</v>
      </c>
      <c r="GK34" s="214" t="s">
        <v>70</v>
      </c>
      <c r="GL34" s="214" t="s">
        <v>530</v>
      </c>
      <c r="GN34" s="321" t="s">
        <v>2739</v>
      </c>
      <c r="GO34" s="214" t="s">
        <v>88</v>
      </c>
      <c r="GP34" s="214" t="s">
        <v>70</v>
      </c>
      <c r="GQ34" s="214" t="s">
        <v>530</v>
      </c>
      <c r="GS34" s="321" t="s">
        <v>2740</v>
      </c>
      <c r="GT34" s="214" t="s">
        <v>10541</v>
      </c>
      <c r="GU34" s="214" t="s">
        <v>70</v>
      </c>
      <c r="GV34" s="214" t="s">
        <v>530</v>
      </c>
      <c r="GX34" s="214" t="s">
        <v>2741</v>
      </c>
      <c r="GY34" s="214" t="s">
        <v>52</v>
      </c>
      <c r="GZ34" s="214" t="s">
        <v>70</v>
      </c>
      <c r="HA34" s="214" t="s">
        <v>530</v>
      </c>
      <c r="HC34" s="214" t="s">
        <v>2742</v>
      </c>
      <c r="HD34" s="214" t="s">
        <v>34516</v>
      </c>
      <c r="HE34" s="214" t="s">
        <v>70</v>
      </c>
      <c r="HF34" s="214" t="s">
        <v>530</v>
      </c>
      <c r="HH34" s="214" t="s">
        <v>2743</v>
      </c>
      <c r="HI34" s="214" t="s">
        <v>481</v>
      </c>
      <c r="HJ34" s="214" t="s">
        <v>70</v>
      </c>
      <c r="HK34" s="214" t="s">
        <v>530</v>
      </c>
      <c r="HM34" s="214" t="s">
        <v>2744</v>
      </c>
      <c r="HN34" s="214" t="s">
        <v>52</v>
      </c>
      <c r="HO34" s="214" t="s">
        <v>70</v>
      </c>
      <c r="HP34" s="214" t="s">
        <v>34121</v>
      </c>
      <c r="HR34" s="22" t="s">
        <v>2745</v>
      </c>
      <c r="HS34" s="22" t="s">
        <v>92</v>
      </c>
      <c r="HT34" s="22" t="s">
        <v>70</v>
      </c>
      <c r="HU34" s="214" t="s">
        <v>530</v>
      </c>
      <c r="HW34" s="22" t="s">
        <v>2746</v>
      </c>
      <c r="HX34" s="22" t="s">
        <v>933</v>
      </c>
      <c r="HY34" s="22" t="s">
        <v>70</v>
      </c>
      <c r="HZ34" s="214" t="s">
        <v>530</v>
      </c>
      <c r="IB34" s="22" t="s">
        <v>2747</v>
      </c>
      <c r="IC34" s="22" t="s">
        <v>204</v>
      </c>
      <c r="ID34" s="22" t="s">
        <v>70</v>
      </c>
      <c r="IE34" s="214" t="s">
        <v>530</v>
      </c>
      <c r="IG34" s="22" t="s">
        <v>2748</v>
      </c>
      <c r="IH34" s="22" t="s">
        <v>52</v>
      </c>
      <c r="II34" s="22" t="s">
        <v>70</v>
      </c>
      <c r="IJ34" s="214" t="s">
        <v>530</v>
      </c>
      <c r="IL34" s="22" t="s">
        <v>2749</v>
      </c>
      <c r="IM34" s="22" t="s">
        <v>145</v>
      </c>
      <c r="IN34" s="22" t="s">
        <v>70</v>
      </c>
      <c r="IO34" s="214" t="s">
        <v>530</v>
      </c>
      <c r="IQ34" s="236" t="s">
        <v>2750</v>
      </c>
      <c r="IR34" s="236" t="s">
        <v>145</v>
      </c>
      <c r="IS34" s="236" t="s">
        <v>74</v>
      </c>
      <c r="IT34" s="236" t="s">
        <v>841</v>
      </c>
      <c r="IV34" s="236" t="s">
        <v>2751</v>
      </c>
      <c r="IW34" s="236" t="s">
        <v>145</v>
      </c>
      <c r="IX34" s="236" t="s">
        <v>74</v>
      </c>
      <c r="IY34" s="236" t="s">
        <v>841</v>
      </c>
      <c r="JA34" s="236" t="s">
        <v>2752</v>
      </c>
      <c r="JB34" s="236" t="s">
        <v>145</v>
      </c>
      <c r="JC34" s="236" t="s">
        <v>74</v>
      </c>
      <c r="JD34" s="236" t="s">
        <v>841</v>
      </c>
      <c r="JF34" s="236" t="s">
        <v>2753</v>
      </c>
      <c r="JG34" s="236" t="s">
        <v>145</v>
      </c>
      <c r="JH34" s="236" t="s">
        <v>74</v>
      </c>
      <c r="JI34" s="236" t="s">
        <v>841</v>
      </c>
      <c r="JK34" s="236" t="s">
        <v>2754</v>
      </c>
      <c r="JL34" s="236" t="s">
        <v>145</v>
      </c>
      <c r="JM34" s="236" t="s">
        <v>74</v>
      </c>
      <c r="JN34" s="236" t="s">
        <v>841</v>
      </c>
      <c r="JP34" s="236" t="s">
        <v>2755</v>
      </c>
      <c r="JQ34" s="236" t="s">
        <v>145</v>
      </c>
      <c r="JR34" s="236" t="s">
        <v>74</v>
      </c>
      <c r="JS34" s="236" t="s">
        <v>841</v>
      </c>
      <c r="JU34" s="294" t="s">
        <v>2756</v>
      </c>
      <c r="JV34" s="294" t="str">
        <f>TVIIBE1M_CalPairs!$R28</f>
        <v>0x00</v>
      </c>
      <c r="JW34" s="263" t="s">
        <v>70</v>
      </c>
      <c r="JX34" s="294" t="str">
        <f>TVIIBE1M_CalPairs!$Q28</f>
        <v>SMPU14_ADDR0_B2</v>
      </c>
      <c r="JZ34" s="263" t="s">
        <v>2757</v>
      </c>
      <c r="KA34" s="263" t="s">
        <v>145</v>
      </c>
      <c r="KB34" s="263" t="s">
        <v>70</v>
      </c>
      <c r="KC34" s="263" t="s">
        <v>1083</v>
      </c>
      <c r="KE34" s="263" t="s">
        <v>2758</v>
      </c>
      <c r="KF34" s="263" t="s">
        <v>52</v>
      </c>
      <c r="KG34" s="263" t="s">
        <v>70</v>
      </c>
      <c r="KH34" s="263" t="s">
        <v>1083</v>
      </c>
      <c r="KJ34" s="263" t="s">
        <v>2759</v>
      </c>
      <c r="KK34" s="263" t="s">
        <v>145</v>
      </c>
      <c r="KL34" s="263" t="s">
        <v>74</v>
      </c>
      <c r="KM34" s="263" t="s">
        <v>34242</v>
      </c>
      <c r="KO34" s="214" t="s">
        <v>2760</v>
      </c>
      <c r="KP34" s="214" t="s">
        <v>52</v>
      </c>
      <c r="KQ34" s="214" t="s">
        <v>70</v>
      </c>
      <c r="KR34" s="214" t="s">
        <v>803</v>
      </c>
      <c r="KT34" s="22" t="s">
        <v>2761</v>
      </c>
      <c r="KU34" s="22" t="s">
        <v>145</v>
      </c>
      <c r="KV34" s="22" t="s">
        <v>70</v>
      </c>
      <c r="KW34" s="22" t="s">
        <v>67</v>
      </c>
      <c r="KY34" s="214" t="s">
        <v>2762</v>
      </c>
      <c r="KZ34" s="214" t="s">
        <v>52</v>
      </c>
      <c r="LA34" s="214" t="s">
        <v>74</v>
      </c>
      <c r="LB34" s="214" t="s">
        <v>830</v>
      </c>
      <c r="LD34" s="22" t="s">
        <v>2763</v>
      </c>
      <c r="LE34" s="22" t="s">
        <v>145</v>
      </c>
      <c r="LF34" s="22" t="s">
        <v>70</v>
      </c>
      <c r="LG34" s="22" t="s">
        <v>67</v>
      </c>
    </row>
    <row r="35" spans="1:319">
      <c r="A35" s="22" t="s">
        <v>2764</v>
      </c>
      <c r="B35" s="22" t="s">
        <v>145</v>
      </c>
      <c r="C35" s="22" t="s">
        <v>70</v>
      </c>
      <c r="D35" s="22" t="s">
        <v>67</v>
      </c>
      <c r="F35" s="23" t="s">
        <v>2765</v>
      </c>
      <c r="G35" s="23" t="str">
        <f>TVIIBE1M_CalPairs!$E32</f>
        <v>0x20</v>
      </c>
      <c r="H35" s="233" t="s">
        <v>72</v>
      </c>
      <c r="I35" s="23" t="str">
        <f>TVIIBE1M_CalPairs!$C32</f>
        <v>CLK_TRIM_CCO_CTL_VAL0</v>
      </c>
      <c r="K35" s="218" t="s">
        <v>2766</v>
      </c>
      <c r="L35" s="218" t="s">
        <v>145</v>
      </c>
      <c r="M35" s="305" t="s">
        <v>72</v>
      </c>
      <c r="N35" s="312" t="s">
        <v>34098</v>
      </c>
      <c r="P35" s="218" t="s">
        <v>2767</v>
      </c>
      <c r="Q35" s="218" t="s">
        <v>145</v>
      </c>
      <c r="R35" s="218" t="s">
        <v>72</v>
      </c>
      <c r="S35" s="218" t="s">
        <v>785</v>
      </c>
      <c r="U35" s="293" t="s">
        <v>2768</v>
      </c>
      <c r="V35" s="293" t="s">
        <v>145</v>
      </c>
      <c r="W35" s="293" t="s">
        <v>74</v>
      </c>
      <c r="X35" s="293" t="s">
        <v>656</v>
      </c>
      <c r="Z35" s="293" t="s">
        <v>2769</v>
      </c>
      <c r="AA35" s="293" t="s">
        <v>145</v>
      </c>
      <c r="AB35" s="293" t="s">
        <v>74</v>
      </c>
      <c r="AC35" s="293" t="s">
        <v>656</v>
      </c>
      <c r="AE35" s="293" t="s">
        <v>2770</v>
      </c>
      <c r="AF35" s="293" t="s">
        <v>145</v>
      </c>
      <c r="AG35" s="293" t="s">
        <v>74</v>
      </c>
      <c r="AH35" s="293" t="s">
        <v>656</v>
      </c>
      <c r="AJ35" s="293" t="s">
        <v>2771</v>
      </c>
      <c r="AK35" s="293" t="s">
        <v>145</v>
      </c>
      <c r="AL35" s="293" t="s">
        <v>74</v>
      </c>
      <c r="AM35" s="293" t="s">
        <v>656</v>
      </c>
      <c r="AO35" s="22" t="s">
        <v>2772</v>
      </c>
      <c r="AP35" s="22" t="s">
        <v>145</v>
      </c>
      <c r="AQ35" s="22" t="s">
        <v>70</v>
      </c>
      <c r="AR35" s="22" t="s">
        <v>67</v>
      </c>
      <c r="AT35" s="22" t="s">
        <v>2773</v>
      </c>
      <c r="AU35" s="22" t="s">
        <v>145</v>
      </c>
      <c r="AV35" s="22" t="s">
        <v>70</v>
      </c>
      <c r="AW35" s="22" t="s">
        <v>67</v>
      </c>
      <c r="AY35" s="22" t="s">
        <v>2774</v>
      </c>
      <c r="AZ35" s="22" t="s">
        <v>145</v>
      </c>
      <c r="BA35" s="22" t="s">
        <v>70</v>
      </c>
      <c r="BB35" s="22" t="s">
        <v>67</v>
      </c>
      <c r="BD35" s="22" t="s">
        <v>2775</v>
      </c>
      <c r="BE35" s="22" t="s">
        <v>145</v>
      </c>
      <c r="BF35" s="22" t="s">
        <v>70</v>
      </c>
      <c r="BG35" s="22" t="s">
        <v>67</v>
      </c>
      <c r="BI35" s="22" t="s">
        <v>2776</v>
      </c>
      <c r="BJ35" s="22" t="s">
        <v>145</v>
      </c>
      <c r="BK35" s="22" t="s">
        <v>70</v>
      </c>
      <c r="BL35" s="22" t="s">
        <v>67</v>
      </c>
      <c r="BN35" s="22" t="s">
        <v>2777</v>
      </c>
      <c r="BO35" s="22" t="s">
        <v>145</v>
      </c>
      <c r="BP35" s="22" t="s">
        <v>70</v>
      </c>
      <c r="BQ35" s="22" t="s">
        <v>67</v>
      </c>
      <c r="BS35" s="22" t="s">
        <v>2778</v>
      </c>
      <c r="BT35" s="22" t="s">
        <v>145</v>
      </c>
      <c r="BU35" s="22" t="s">
        <v>70</v>
      </c>
      <c r="BV35" s="214" t="s">
        <v>530</v>
      </c>
      <c r="BX35" s="22" t="s">
        <v>2779</v>
      </c>
      <c r="BY35" s="22" t="s">
        <v>145</v>
      </c>
      <c r="BZ35" s="22" t="s">
        <v>70</v>
      </c>
      <c r="CA35" s="214" t="s">
        <v>530</v>
      </c>
      <c r="CC35" s="214" t="s">
        <v>2780</v>
      </c>
      <c r="CD35" s="214" t="s">
        <v>52</v>
      </c>
      <c r="CE35" s="214" t="s">
        <v>70</v>
      </c>
      <c r="CF35" s="218" t="s">
        <v>34476</v>
      </c>
      <c r="CH35" s="214" t="s">
        <v>2781</v>
      </c>
      <c r="CI35" s="214" t="s">
        <v>86</v>
      </c>
      <c r="CJ35" s="214" t="s">
        <v>70</v>
      </c>
      <c r="CK35" s="214" t="s">
        <v>530</v>
      </c>
      <c r="CM35" s="214" t="s">
        <v>2782</v>
      </c>
      <c r="CN35" s="214" t="s">
        <v>206</v>
      </c>
      <c r="CO35" s="214" t="s">
        <v>70</v>
      </c>
      <c r="CP35" s="214" t="s">
        <v>530</v>
      </c>
      <c r="CR35" s="214" t="s">
        <v>2783</v>
      </c>
      <c r="CS35" s="214" t="s">
        <v>34569</v>
      </c>
      <c r="CT35" s="214" t="s">
        <v>70</v>
      </c>
      <c r="CU35" s="214" t="s">
        <v>530</v>
      </c>
      <c r="CW35" s="214" t="s">
        <v>2784</v>
      </c>
      <c r="CX35" s="214" t="s">
        <v>146</v>
      </c>
      <c r="CY35" s="214" t="s">
        <v>70</v>
      </c>
      <c r="CZ35" s="214" t="s">
        <v>530</v>
      </c>
      <c r="DB35" s="214" t="s">
        <v>2785</v>
      </c>
      <c r="DC35" s="214" t="s">
        <v>165</v>
      </c>
      <c r="DD35" s="214" t="s">
        <v>70</v>
      </c>
      <c r="DE35" s="214" t="s">
        <v>530</v>
      </c>
      <c r="DG35" s="214" t="s">
        <v>2786</v>
      </c>
      <c r="DH35" s="214" t="s">
        <v>86</v>
      </c>
      <c r="DI35" s="214" t="s">
        <v>70</v>
      </c>
      <c r="DJ35" s="214" t="s">
        <v>530</v>
      </c>
      <c r="DL35" s="214" t="s">
        <v>2787</v>
      </c>
      <c r="DM35" s="214" t="s">
        <v>531</v>
      </c>
      <c r="DN35" s="214" t="s">
        <v>70</v>
      </c>
      <c r="DO35" s="214" t="s">
        <v>530</v>
      </c>
      <c r="DQ35" s="214" t="s">
        <v>2788</v>
      </c>
      <c r="DR35" s="214" t="s">
        <v>34544</v>
      </c>
      <c r="DS35" s="214" t="s">
        <v>70</v>
      </c>
      <c r="DT35" s="214" t="s">
        <v>530</v>
      </c>
      <c r="DV35" s="214" t="s">
        <v>2789</v>
      </c>
      <c r="DW35" s="214" t="s">
        <v>146</v>
      </c>
      <c r="DX35" s="214" t="s">
        <v>70</v>
      </c>
      <c r="DY35" s="214" t="s">
        <v>530</v>
      </c>
      <c r="EA35" s="214" t="s">
        <v>2790</v>
      </c>
      <c r="EB35" s="214" t="s">
        <v>502</v>
      </c>
      <c r="EC35" s="214" t="s">
        <v>70</v>
      </c>
      <c r="ED35" s="214" t="s">
        <v>530</v>
      </c>
      <c r="EF35" s="214" t="s">
        <v>2791</v>
      </c>
      <c r="EG35" s="214" t="s">
        <v>145</v>
      </c>
      <c r="EH35" s="214" t="s">
        <v>70</v>
      </c>
      <c r="EI35" s="214" t="s">
        <v>530</v>
      </c>
      <c r="EK35" s="214" t="s">
        <v>2792</v>
      </c>
      <c r="EL35" s="214" t="s">
        <v>921</v>
      </c>
      <c r="EM35" s="214" t="s">
        <v>70</v>
      </c>
      <c r="EN35" s="214" t="s">
        <v>530</v>
      </c>
      <c r="EP35" s="214" t="s">
        <v>2793</v>
      </c>
      <c r="EQ35" s="214" t="s">
        <v>34558</v>
      </c>
      <c r="ER35" s="214" t="s">
        <v>70</v>
      </c>
      <c r="ES35" s="214" t="s">
        <v>530</v>
      </c>
      <c r="EU35" s="214" t="s">
        <v>2794</v>
      </c>
      <c r="EV35" s="214" t="s">
        <v>34544</v>
      </c>
      <c r="EW35" s="214" t="s">
        <v>70</v>
      </c>
      <c r="EX35" s="214" t="s">
        <v>530</v>
      </c>
      <c r="EZ35" s="214" t="s">
        <v>2795</v>
      </c>
      <c r="FA35" s="214" t="s">
        <v>599</v>
      </c>
      <c r="FB35" s="214" t="s">
        <v>70</v>
      </c>
      <c r="FC35" s="214" t="s">
        <v>530</v>
      </c>
      <c r="FE35" s="214" t="s">
        <v>2796</v>
      </c>
      <c r="FF35" s="214" t="s">
        <v>492</v>
      </c>
      <c r="FG35" s="214" t="s">
        <v>70</v>
      </c>
      <c r="FH35" s="214" t="s">
        <v>530</v>
      </c>
      <c r="FJ35" s="321" t="s">
        <v>2797</v>
      </c>
      <c r="FK35" s="214" t="s">
        <v>488</v>
      </c>
      <c r="FL35" s="214" t="s">
        <v>70</v>
      </c>
      <c r="FM35" s="214" t="s">
        <v>530</v>
      </c>
      <c r="FO35" s="321" t="s">
        <v>2798</v>
      </c>
      <c r="FP35" s="214" t="s">
        <v>502</v>
      </c>
      <c r="FQ35" s="214" t="s">
        <v>70</v>
      </c>
      <c r="FR35" s="214" t="s">
        <v>530</v>
      </c>
      <c r="FT35" s="321" t="s">
        <v>2799</v>
      </c>
      <c r="FU35" s="214" t="s">
        <v>146</v>
      </c>
      <c r="FV35" s="214" t="s">
        <v>70</v>
      </c>
      <c r="FW35" s="214" t="s">
        <v>530</v>
      </c>
      <c r="FY35" s="321" t="s">
        <v>2800</v>
      </c>
      <c r="FZ35" s="214" t="s">
        <v>488</v>
      </c>
      <c r="GA35" s="214" t="s">
        <v>70</v>
      </c>
      <c r="GB35" s="214" t="s">
        <v>530</v>
      </c>
      <c r="GD35" s="321" t="s">
        <v>2801</v>
      </c>
      <c r="GE35" s="214" t="s">
        <v>34541</v>
      </c>
      <c r="GF35" s="214" t="s">
        <v>70</v>
      </c>
      <c r="GG35" s="214" t="s">
        <v>530</v>
      </c>
      <c r="GI35" s="321" t="s">
        <v>2802</v>
      </c>
      <c r="GJ35" s="214" t="s">
        <v>34550</v>
      </c>
      <c r="GK35" s="214" t="s">
        <v>70</v>
      </c>
      <c r="GL35" s="214" t="s">
        <v>530</v>
      </c>
      <c r="GN35" s="321" t="s">
        <v>2803</v>
      </c>
      <c r="GO35" s="214" t="s">
        <v>604</v>
      </c>
      <c r="GP35" s="214" t="s">
        <v>70</v>
      </c>
      <c r="GQ35" s="214" t="s">
        <v>530</v>
      </c>
      <c r="GS35" s="321" t="s">
        <v>2804</v>
      </c>
      <c r="GT35" s="214" t="s">
        <v>468</v>
      </c>
      <c r="GU35" s="214" t="s">
        <v>70</v>
      </c>
      <c r="GV35" s="214" t="s">
        <v>530</v>
      </c>
      <c r="GX35" s="214" t="s">
        <v>2805</v>
      </c>
      <c r="GY35" s="214" t="s">
        <v>88</v>
      </c>
      <c r="GZ35" s="214" t="s">
        <v>70</v>
      </c>
      <c r="HA35" s="214" t="s">
        <v>530</v>
      </c>
      <c r="HC35" s="214" t="s">
        <v>2806</v>
      </c>
      <c r="HD35" s="214" t="s">
        <v>34580</v>
      </c>
      <c r="HE35" s="214" t="s">
        <v>70</v>
      </c>
      <c r="HF35" s="214" t="s">
        <v>530</v>
      </c>
      <c r="HH35" s="214" t="s">
        <v>2807</v>
      </c>
      <c r="HI35" s="214" t="s">
        <v>487</v>
      </c>
      <c r="HJ35" s="214" t="s">
        <v>70</v>
      </c>
      <c r="HK35" s="214" t="s">
        <v>530</v>
      </c>
      <c r="HM35" s="214" t="s">
        <v>2808</v>
      </c>
      <c r="HN35" s="214" t="s">
        <v>52</v>
      </c>
      <c r="HO35" s="214" t="s">
        <v>70</v>
      </c>
      <c r="HP35" s="214" t="s">
        <v>34121</v>
      </c>
      <c r="HR35" s="22" t="s">
        <v>2809</v>
      </c>
      <c r="HS35" s="22" t="s">
        <v>496</v>
      </c>
      <c r="HT35" s="22" t="s">
        <v>70</v>
      </c>
      <c r="HU35" s="214" t="s">
        <v>530</v>
      </c>
      <c r="HW35" s="22" t="s">
        <v>2810</v>
      </c>
      <c r="HX35" s="22" t="s">
        <v>491</v>
      </c>
      <c r="HY35" s="22" t="s">
        <v>70</v>
      </c>
      <c r="HZ35" s="214" t="s">
        <v>530</v>
      </c>
      <c r="IB35" s="22" t="s">
        <v>2811</v>
      </c>
      <c r="IC35" s="22" t="s">
        <v>484</v>
      </c>
      <c r="ID35" s="22" t="s">
        <v>70</v>
      </c>
      <c r="IE35" s="214" t="s">
        <v>530</v>
      </c>
      <c r="IG35" s="22" t="s">
        <v>2812</v>
      </c>
      <c r="IH35" s="22" t="s">
        <v>52</v>
      </c>
      <c r="II35" s="22" t="s">
        <v>70</v>
      </c>
      <c r="IJ35" s="214" t="s">
        <v>530</v>
      </c>
      <c r="IL35" s="22" t="s">
        <v>2813</v>
      </c>
      <c r="IM35" s="22" t="s">
        <v>145</v>
      </c>
      <c r="IN35" s="22" t="s">
        <v>70</v>
      </c>
      <c r="IO35" s="214" t="s">
        <v>530</v>
      </c>
      <c r="IQ35" s="236" t="s">
        <v>2814</v>
      </c>
      <c r="IR35" s="236" t="s">
        <v>145</v>
      </c>
      <c r="IS35" s="236" t="s">
        <v>74</v>
      </c>
      <c r="IT35" s="236" t="s">
        <v>841</v>
      </c>
      <c r="IV35" s="236" t="s">
        <v>2815</v>
      </c>
      <c r="IW35" s="236" t="s">
        <v>145</v>
      </c>
      <c r="IX35" s="236" t="s">
        <v>74</v>
      </c>
      <c r="IY35" s="236" t="s">
        <v>841</v>
      </c>
      <c r="JA35" s="236" t="s">
        <v>2816</v>
      </c>
      <c r="JB35" s="236" t="s">
        <v>145</v>
      </c>
      <c r="JC35" s="236" t="s">
        <v>74</v>
      </c>
      <c r="JD35" s="236" t="s">
        <v>841</v>
      </c>
      <c r="JF35" s="236" t="s">
        <v>2817</v>
      </c>
      <c r="JG35" s="236" t="s">
        <v>145</v>
      </c>
      <c r="JH35" s="236" t="s">
        <v>74</v>
      </c>
      <c r="JI35" s="236" t="s">
        <v>841</v>
      </c>
      <c r="JK35" s="236" t="s">
        <v>2818</v>
      </c>
      <c r="JL35" s="236" t="s">
        <v>145</v>
      </c>
      <c r="JM35" s="236" t="s">
        <v>74</v>
      </c>
      <c r="JN35" s="236" t="s">
        <v>841</v>
      </c>
      <c r="JP35" s="236" t="s">
        <v>2819</v>
      </c>
      <c r="JQ35" s="236" t="s">
        <v>145</v>
      </c>
      <c r="JR35" s="236" t="s">
        <v>74</v>
      </c>
      <c r="JS35" s="236" t="s">
        <v>841</v>
      </c>
      <c r="JU35" s="294" t="s">
        <v>2820</v>
      </c>
      <c r="JV35" s="294" t="str">
        <f>TVIIBE1M_CalPairs!$R29</f>
        <v>0x00</v>
      </c>
      <c r="JW35" s="263" t="s">
        <v>70</v>
      </c>
      <c r="JX35" s="294" t="str">
        <f>TVIIBE1M_CalPairs!$Q29</f>
        <v>SMPU14_ADDR0_B3</v>
      </c>
      <c r="JZ35" s="263" t="s">
        <v>2821</v>
      </c>
      <c r="KA35" s="263" t="s">
        <v>145</v>
      </c>
      <c r="KB35" s="263" t="s">
        <v>70</v>
      </c>
      <c r="KC35" s="263" t="s">
        <v>1083</v>
      </c>
      <c r="KE35" s="263" t="s">
        <v>2822</v>
      </c>
      <c r="KF35" s="263" t="s">
        <v>52</v>
      </c>
      <c r="KG35" s="263" t="s">
        <v>70</v>
      </c>
      <c r="KH35" s="263" t="s">
        <v>1083</v>
      </c>
      <c r="KJ35" s="263" t="s">
        <v>2823</v>
      </c>
      <c r="KK35" s="263" t="s">
        <v>52</v>
      </c>
      <c r="KL35" s="263" t="s">
        <v>74</v>
      </c>
      <c r="KM35" s="263" t="s">
        <v>34243</v>
      </c>
      <c r="KO35" s="214" t="s">
        <v>2824</v>
      </c>
      <c r="KP35" s="214" t="s">
        <v>601</v>
      </c>
      <c r="KQ35" s="214" t="s">
        <v>70</v>
      </c>
      <c r="KR35" s="214" t="s">
        <v>803</v>
      </c>
      <c r="KT35" s="22" t="s">
        <v>2825</v>
      </c>
      <c r="KU35" s="22" t="s">
        <v>145</v>
      </c>
      <c r="KV35" s="22" t="s">
        <v>70</v>
      </c>
      <c r="KW35" s="22" t="s">
        <v>67</v>
      </c>
      <c r="KY35" s="214" t="s">
        <v>2826</v>
      </c>
      <c r="KZ35" s="214" t="s">
        <v>52</v>
      </c>
      <c r="LA35" s="214" t="s">
        <v>74</v>
      </c>
      <c r="LB35" s="214" t="s">
        <v>830</v>
      </c>
      <c r="LD35" s="22" t="s">
        <v>2827</v>
      </c>
      <c r="LE35" s="22" t="s">
        <v>145</v>
      </c>
      <c r="LF35" s="22" t="s">
        <v>70</v>
      </c>
      <c r="LG35" s="22" t="s">
        <v>67</v>
      </c>
    </row>
    <row r="36" spans="1:319">
      <c r="A36" s="22" t="s">
        <v>2828</v>
      </c>
      <c r="B36" s="22" t="s">
        <v>145</v>
      </c>
      <c r="C36" s="22" t="s">
        <v>70</v>
      </c>
      <c r="D36" s="22" t="s">
        <v>67</v>
      </c>
      <c r="F36" s="23" t="s">
        <v>2829</v>
      </c>
      <c r="G36" s="23" t="str">
        <f>TVIIBE1M_CalPairs!$E33</f>
        <v>0x00</v>
      </c>
      <c r="H36" s="233" t="s">
        <v>72</v>
      </c>
      <c r="I36" s="23" t="str">
        <f>TVIIBE1M_CalPairs!$C33</f>
        <v>CLK_TRIM_CCO_CTL_VAL1</v>
      </c>
      <c r="K36" s="218" t="s">
        <v>2830</v>
      </c>
      <c r="L36" s="218" t="s">
        <v>145</v>
      </c>
      <c r="M36" s="305" t="s">
        <v>72</v>
      </c>
      <c r="N36" s="312" t="s">
        <v>34098</v>
      </c>
      <c r="P36" s="218" t="s">
        <v>2831</v>
      </c>
      <c r="Q36" s="218" t="s">
        <v>145</v>
      </c>
      <c r="R36" s="218" t="s">
        <v>72</v>
      </c>
      <c r="S36" s="218" t="s">
        <v>786</v>
      </c>
      <c r="U36" s="293" t="s">
        <v>2832</v>
      </c>
      <c r="V36" s="293" t="s">
        <v>145</v>
      </c>
      <c r="W36" s="293" t="s">
        <v>74</v>
      </c>
      <c r="X36" s="293" t="s">
        <v>656</v>
      </c>
      <c r="Z36" s="293" t="s">
        <v>2833</v>
      </c>
      <c r="AA36" s="293" t="s">
        <v>145</v>
      </c>
      <c r="AB36" s="293" t="s">
        <v>74</v>
      </c>
      <c r="AC36" s="293" t="s">
        <v>656</v>
      </c>
      <c r="AE36" s="293" t="s">
        <v>2834</v>
      </c>
      <c r="AF36" s="293" t="s">
        <v>145</v>
      </c>
      <c r="AG36" s="293" t="s">
        <v>74</v>
      </c>
      <c r="AH36" s="293" t="s">
        <v>656</v>
      </c>
      <c r="AJ36" s="293" t="s">
        <v>2835</v>
      </c>
      <c r="AK36" s="293" t="s">
        <v>145</v>
      </c>
      <c r="AL36" s="293" t="s">
        <v>74</v>
      </c>
      <c r="AM36" s="293" t="s">
        <v>656</v>
      </c>
      <c r="AO36" s="22" t="s">
        <v>2836</v>
      </c>
      <c r="AP36" s="22" t="s">
        <v>145</v>
      </c>
      <c r="AQ36" s="22" t="s">
        <v>70</v>
      </c>
      <c r="AR36" s="22" t="s">
        <v>67</v>
      </c>
      <c r="AT36" s="22" t="s">
        <v>2837</v>
      </c>
      <c r="AU36" s="22" t="s">
        <v>145</v>
      </c>
      <c r="AV36" s="22" t="s">
        <v>70</v>
      </c>
      <c r="AW36" s="22" t="s">
        <v>67</v>
      </c>
      <c r="AY36" s="22" t="s">
        <v>2838</v>
      </c>
      <c r="AZ36" s="22" t="s">
        <v>145</v>
      </c>
      <c r="BA36" s="22" t="s">
        <v>70</v>
      </c>
      <c r="BB36" s="22" t="s">
        <v>67</v>
      </c>
      <c r="BD36" s="22" t="s">
        <v>2839</v>
      </c>
      <c r="BE36" s="22" t="s">
        <v>145</v>
      </c>
      <c r="BF36" s="22" t="s">
        <v>70</v>
      </c>
      <c r="BG36" s="22" t="s">
        <v>67</v>
      </c>
      <c r="BI36" s="22" t="s">
        <v>2840</v>
      </c>
      <c r="BJ36" s="22" t="s">
        <v>145</v>
      </c>
      <c r="BK36" s="22" t="s">
        <v>70</v>
      </c>
      <c r="BL36" s="22" t="s">
        <v>67</v>
      </c>
      <c r="BN36" s="22" t="s">
        <v>2841</v>
      </c>
      <c r="BO36" s="22" t="s">
        <v>145</v>
      </c>
      <c r="BP36" s="22" t="s">
        <v>70</v>
      </c>
      <c r="BQ36" s="22" t="s">
        <v>67</v>
      </c>
      <c r="BS36" s="22" t="s">
        <v>2842</v>
      </c>
      <c r="BT36" s="22" t="s">
        <v>145</v>
      </c>
      <c r="BU36" s="22" t="s">
        <v>70</v>
      </c>
      <c r="BV36" s="214" t="s">
        <v>530</v>
      </c>
      <c r="BX36" s="22" t="s">
        <v>2843</v>
      </c>
      <c r="BY36" s="22" t="s">
        <v>145</v>
      </c>
      <c r="BZ36" s="22" t="s">
        <v>70</v>
      </c>
      <c r="CA36" s="214" t="s">
        <v>530</v>
      </c>
      <c r="CC36" s="214" t="s">
        <v>2844</v>
      </c>
      <c r="CD36" s="214" t="s">
        <v>531</v>
      </c>
      <c r="CE36" s="214" t="s">
        <v>70</v>
      </c>
      <c r="CF36" s="218" t="s">
        <v>34477</v>
      </c>
      <c r="CH36" s="214" t="s">
        <v>2845</v>
      </c>
      <c r="CI36" s="214" t="s">
        <v>163</v>
      </c>
      <c r="CJ36" s="214" t="s">
        <v>70</v>
      </c>
      <c r="CK36" s="214" t="s">
        <v>530</v>
      </c>
      <c r="CM36" s="214" t="s">
        <v>2846</v>
      </c>
      <c r="CN36" s="214" t="s">
        <v>937</v>
      </c>
      <c r="CO36" s="214" t="s">
        <v>70</v>
      </c>
      <c r="CP36" s="214" t="s">
        <v>530</v>
      </c>
      <c r="CR36" s="214" t="s">
        <v>2847</v>
      </c>
      <c r="CS36" s="214" t="s">
        <v>34545</v>
      </c>
      <c r="CT36" s="214" t="s">
        <v>70</v>
      </c>
      <c r="CU36" s="214" t="s">
        <v>530</v>
      </c>
      <c r="CW36" s="214" t="s">
        <v>2848</v>
      </c>
      <c r="CX36" s="214" t="s">
        <v>85</v>
      </c>
      <c r="CY36" s="214" t="s">
        <v>70</v>
      </c>
      <c r="CZ36" s="214" t="s">
        <v>530</v>
      </c>
      <c r="DB36" s="214" t="s">
        <v>2849</v>
      </c>
      <c r="DC36" s="214" t="s">
        <v>531</v>
      </c>
      <c r="DD36" s="214" t="s">
        <v>70</v>
      </c>
      <c r="DE36" s="214" t="s">
        <v>530</v>
      </c>
      <c r="DG36" s="214" t="s">
        <v>2850</v>
      </c>
      <c r="DH36" s="214" t="s">
        <v>483</v>
      </c>
      <c r="DI36" s="214" t="s">
        <v>70</v>
      </c>
      <c r="DJ36" s="214" t="s">
        <v>530</v>
      </c>
      <c r="DL36" s="214" t="s">
        <v>2851</v>
      </c>
      <c r="DM36" s="214" t="s">
        <v>103</v>
      </c>
      <c r="DN36" s="214" t="s">
        <v>70</v>
      </c>
      <c r="DO36" s="214" t="s">
        <v>530</v>
      </c>
      <c r="DQ36" s="214" t="s">
        <v>2852</v>
      </c>
      <c r="DR36" s="214" t="s">
        <v>10541</v>
      </c>
      <c r="DS36" s="214" t="s">
        <v>70</v>
      </c>
      <c r="DT36" s="214" t="s">
        <v>530</v>
      </c>
      <c r="DV36" s="214" t="s">
        <v>2853</v>
      </c>
      <c r="DW36" s="214" t="s">
        <v>34615</v>
      </c>
      <c r="DX36" s="214" t="s">
        <v>70</v>
      </c>
      <c r="DY36" s="214" t="s">
        <v>530</v>
      </c>
      <c r="EA36" s="214" t="s">
        <v>2854</v>
      </c>
      <c r="EB36" s="214" t="s">
        <v>500</v>
      </c>
      <c r="EC36" s="214" t="s">
        <v>70</v>
      </c>
      <c r="ED36" s="214" t="s">
        <v>530</v>
      </c>
      <c r="EF36" s="214" t="s">
        <v>2855</v>
      </c>
      <c r="EG36" s="214" t="s">
        <v>90</v>
      </c>
      <c r="EH36" s="214" t="s">
        <v>70</v>
      </c>
      <c r="EI36" s="214" t="s">
        <v>530</v>
      </c>
      <c r="EK36" s="214" t="s">
        <v>2856</v>
      </c>
      <c r="EL36" s="214" t="s">
        <v>931</v>
      </c>
      <c r="EM36" s="214" t="s">
        <v>70</v>
      </c>
      <c r="EN36" s="214" t="s">
        <v>530</v>
      </c>
      <c r="EP36" s="214" t="s">
        <v>2857</v>
      </c>
      <c r="EQ36" s="214" t="s">
        <v>52</v>
      </c>
      <c r="ER36" s="214" t="s">
        <v>70</v>
      </c>
      <c r="ES36" s="214" t="s">
        <v>530</v>
      </c>
      <c r="EU36" s="214" t="s">
        <v>2858</v>
      </c>
      <c r="EV36" s="214" t="s">
        <v>485</v>
      </c>
      <c r="EW36" s="214" t="s">
        <v>70</v>
      </c>
      <c r="EX36" s="214" t="s">
        <v>530</v>
      </c>
      <c r="EZ36" s="214" t="s">
        <v>2859</v>
      </c>
      <c r="FA36" s="214" t="s">
        <v>286</v>
      </c>
      <c r="FB36" s="214" t="s">
        <v>70</v>
      </c>
      <c r="FC36" s="214" t="s">
        <v>530</v>
      </c>
      <c r="FE36" s="214" t="s">
        <v>2860</v>
      </c>
      <c r="FF36" s="214" t="s">
        <v>88</v>
      </c>
      <c r="FG36" s="214" t="s">
        <v>70</v>
      </c>
      <c r="FH36" s="214" t="s">
        <v>530</v>
      </c>
      <c r="FJ36" s="321" t="s">
        <v>2861</v>
      </c>
      <c r="FK36" s="214" t="s">
        <v>148</v>
      </c>
      <c r="FL36" s="214" t="s">
        <v>70</v>
      </c>
      <c r="FM36" s="214" t="s">
        <v>530</v>
      </c>
      <c r="FO36" s="321" t="s">
        <v>2862</v>
      </c>
      <c r="FP36" s="214" t="s">
        <v>34568</v>
      </c>
      <c r="FQ36" s="214" t="s">
        <v>70</v>
      </c>
      <c r="FR36" s="214" t="s">
        <v>530</v>
      </c>
      <c r="FT36" s="321" t="s">
        <v>2863</v>
      </c>
      <c r="FU36" s="214" t="s">
        <v>145</v>
      </c>
      <c r="FV36" s="214" t="s">
        <v>70</v>
      </c>
      <c r="FW36" s="214" t="s">
        <v>530</v>
      </c>
      <c r="FY36" s="321" t="s">
        <v>2864</v>
      </c>
      <c r="FZ36" s="214" t="s">
        <v>34555</v>
      </c>
      <c r="GA36" s="214" t="s">
        <v>70</v>
      </c>
      <c r="GB36" s="214" t="s">
        <v>530</v>
      </c>
      <c r="GD36" s="321" t="s">
        <v>2865</v>
      </c>
      <c r="GE36" s="214" t="s">
        <v>922</v>
      </c>
      <c r="GF36" s="214" t="s">
        <v>70</v>
      </c>
      <c r="GG36" s="214" t="s">
        <v>530</v>
      </c>
      <c r="GI36" s="321" t="s">
        <v>2866</v>
      </c>
      <c r="GJ36" s="214" t="s">
        <v>52</v>
      </c>
      <c r="GK36" s="214" t="s">
        <v>70</v>
      </c>
      <c r="GL36" s="214" t="s">
        <v>530</v>
      </c>
      <c r="GN36" s="321" t="s">
        <v>2867</v>
      </c>
      <c r="GO36" s="214" t="s">
        <v>164</v>
      </c>
      <c r="GP36" s="214" t="s">
        <v>70</v>
      </c>
      <c r="GQ36" s="214" t="s">
        <v>530</v>
      </c>
      <c r="GS36" s="321" t="s">
        <v>2868</v>
      </c>
      <c r="GT36" s="214" t="s">
        <v>52</v>
      </c>
      <c r="GU36" s="214" t="s">
        <v>70</v>
      </c>
      <c r="GV36" s="214" t="s">
        <v>530</v>
      </c>
      <c r="GX36" s="214" t="s">
        <v>2869</v>
      </c>
      <c r="GY36" s="214" t="s">
        <v>52</v>
      </c>
      <c r="GZ36" s="214" t="s">
        <v>70</v>
      </c>
      <c r="HA36" s="214" t="s">
        <v>530</v>
      </c>
      <c r="HC36" s="214" t="s">
        <v>2870</v>
      </c>
      <c r="HD36" s="214" t="s">
        <v>148</v>
      </c>
      <c r="HE36" s="214" t="s">
        <v>70</v>
      </c>
      <c r="HF36" s="214" t="s">
        <v>530</v>
      </c>
      <c r="HH36" s="214" t="s">
        <v>2871</v>
      </c>
      <c r="HI36" s="214" t="s">
        <v>92</v>
      </c>
      <c r="HJ36" s="214" t="s">
        <v>70</v>
      </c>
      <c r="HK36" s="214" t="s">
        <v>530</v>
      </c>
      <c r="HM36" s="214" t="s">
        <v>2872</v>
      </c>
      <c r="HN36" s="214" t="s">
        <v>481</v>
      </c>
      <c r="HO36" s="214" t="s">
        <v>70</v>
      </c>
      <c r="HP36" s="214" t="s">
        <v>530</v>
      </c>
      <c r="HR36" s="22" t="s">
        <v>2873</v>
      </c>
      <c r="HS36" s="22" t="s">
        <v>52</v>
      </c>
      <c r="HT36" s="22" t="s">
        <v>70</v>
      </c>
      <c r="HU36" s="214" t="s">
        <v>530</v>
      </c>
      <c r="HW36" s="22" t="s">
        <v>2874</v>
      </c>
      <c r="HX36" s="22" t="s">
        <v>149</v>
      </c>
      <c r="HY36" s="22" t="s">
        <v>70</v>
      </c>
      <c r="HZ36" s="214" t="s">
        <v>530</v>
      </c>
      <c r="IB36" s="22" t="s">
        <v>2875</v>
      </c>
      <c r="IC36" s="22" t="s">
        <v>918</v>
      </c>
      <c r="ID36" s="22" t="s">
        <v>70</v>
      </c>
      <c r="IE36" s="214" t="s">
        <v>530</v>
      </c>
      <c r="IG36" s="22" t="s">
        <v>2876</v>
      </c>
      <c r="IH36" s="22" t="s">
        <v>52</v>
      </c>
      <c r="II36" s="22" t="s">
        <v>70</v>
      </c>
      <c r="IJ36" s="214" t="s">
        <v>530</v>
      </c>
      <c r="IL36" s="22" t="s">
        <v>2877</v>
      </c>
      <c r="IM36" s="22" t="s">
        <v>145</v>
      </c>
      <c r="IN36" s="22" t="s">
        <v>70</v>
      </c>
      <c r="IO36" s="214" t="s">
        <v>530</v>
      </c>
      <c r="IQ36" s="236" t="s">
        <v>2878</v>
      </c>
      <c r="IR36" s="236" t="s">
        <v>145</v>
      </c>
      <c r="IS36" s="236" t="s">
        <v>74</v>
      </c>
      <c r="IT36" s="236" t="s">
        <v>841</v>
      </c>
      <c r="IV36" s="236" t="s">
        <v>2879</v>
      </c>
      <c r="IW36" s="236" t="s">
        <v>145</v>
      </c>
      <c r="IX36" s="236" t="s">
        <v>74</v>
      </c>
      <c r="IY36" s="236" t="s">
        <v>841</v>
      </c>
      <c r="JA36" s="236" t="s">
        <v>2880</v>
      </c>
      <c r="JB36" s="236" t="s">
        <v>145</v>
      </c>
      <c r="JC36" s="236" t="s">
        <v>74</v>
      </c>
      <c r="JD36" s="236" t="s">
        <v>841</v>
      </c>
      <c r="JF36" s="236" t="s">
        <v>2881</v>
      </c>
      <c r="JG36" s="236" t="s">
        <v>145</v>
      </c>
      <c r="JH36" s="236" t="s">
        <v>74</v>
      </c>
      <c r="JI36" s="236" t="s">
        <v>841</v>
      </c>
      <c r="JK36" s="236" t="s">
        <v>2882</v>
      </c>
      <c r="JL36" s="236" t="s">
        <v>145</v>
      </c>
      <c r="JM36" s="236" t="s">
        <v>74</v>
      </c>
      <c r="JN36" s="236" t="s">
        <v>841</v>
      </c>
      <c r="JP36" s="236" t="s">
        <v>2883</v>
      </c>
      <c r="JQ36" s="236" t="s">
        <v>145</v>
      </c>
      <c r="JR36" s="236" t="s">
        <v>74</v>
      </c>
      <c r="JS36" s="236" t="s">
        <v>841</v>
      </c>
      <c r="JU36" s="294" t="s">
        <v>2884</v>
      </c>
      <c r="JV36" s="294" t="str">
        <f>TVIIBE1M_CalPairs!$R30</f>
        <v>0x7F</v>
      </c>
      <c r="JW36" s="263" t="s">
        <v>70</v>
      </c>
      <c r="JX36" s="294" t="str">
        <f>TVIIBE1M_CalPairs!$Q30</f>
        <v>SMPU14_ATT0_B0</v>
      </c>
      <c r="JZ36" s="263" t="s">
        <v>2885</v>
      </c>
      <c r="KA36" s="263" t="s">
        <v>145</v>
      </c>
      <c r="KB36" s="263" t="s">
        <v>70</v>
      </c>
      <c r="KC36" s="263" t="s">
        <v>1083</v>
      </c>
      <c r="KE36" s="263" t="s">
        <v>2886</v>
      </c>
      <c r="KF36" s="263" t="s">
        <v>52</v>
      </c>
      <c r="KG36" s="263" t="s">
        <v>70</v>
      </c>
      <c r="KH36" s="263" t="s">
        <v>1083</v>
      </c>
      <c r="KJ36" s="263" t="s">
        <v>2887</v>
      </c>
      <c r="KK36" s="294" t="s">
        <v>148</v>
      </c>
      <c r="KL36" s="263" t="s">
        <v>74</v>
      </c>
      <c r="KM36" s="294" t="s">
        <v>5708</v>
      </c>
      <c r="KO36" s="214" t="s">
        <v>2888</v>
      </c>
      <c r="KP36" s="214" t="s">
        <v>52</v>
      </c>
      <c r="KQ36" s="214" t="s">
        <v>70</v>
      </c>
      <c r="KR36" s="214" t="s">
        <v>806</v>
      </c>
      <c r="KT36" s="22" t="s">
        <v>2889</v>
      </c>
      <c r="KU36" s="22" t="s">
        <v>145</v>
      </c>
      <c r="KV36" s="22" t="s">
        <v>70</v>
      </c>
      <c r="KW36" s="22" t="s">
        <v>67</v>
      </c>
      <c r="KY36" s="214" t="s">
        <v>2890</v>
      </c>
      <c r="KZ36" s="214" t="s">
        <v>52</v>
      </c>
      <c r="LA36" s="214" t="s">
        <v>74</v>
      </c>
      <c r="LB36" s="214" t="s">
        <v>34111</v>
      </c>
      <c r="LD36" s="22" t="s">
        <v>2891</v>
      </c>
      <c r="LE36" s="22" t="s">
        <v>145</v>
      </c>
      <c r="LF36" s="22" t="s">
        <v>70</v>
      </c>
      <c r="LG36" s="22" t="s">
        <v>67</v>
      </c>
    </row>
    <row r="37" spans="1:319">
      <c r="A37" s="22" t="s">
        <v>2892</v>
      </c>
      <c r="B37" s="22" t="s">
        <v>145</v>
      </c>
      <c r="C37" s="22" t="s">
        <v>70</v>
      </c>
      <c r="D37" s="22" t="s">
        <v>67</v>
      </c>
      <c r="F37" s="23" t="s">
        <v>2893</v>
      </c>
      <c r="G37" s="23" t="str">
        <f>TVIIBE1M_CalPairs!$E34</f>
        <v>0x00</v>
      </c>
      <c r="H37" s="233" t="s">
        <v>72</v>
      </c>
      <c r="I37" s="23" t="str">
        <f>TVIIBE1M_CalPairs!$C34</f>
        <v>CLK_TRIM_CCO_CTL_VAL2</v>
      </c>
      <c r="K37" s="218" t="s">
        <v>2894</v>
      </c>
      <c r="L37" s="218" t="s">
        <v>145</v>
      </c>
      <c r="M37" s="305" t="s">
        <v>72</v>
      </c>
      <c r="N37" s="312" t="s">
        <v>34098</v>
      </c>
      <c r="P37" s="218" t="s">
        <v>2895</v>
      </c>
      <c r="Q37" s="218" t="s">
        <v>145</v>
      </c>
      <c r="R37" s="218" t="s">
        <v>72</v>
      </c>
      <c r="S37" s="218" t="s">
        <v>787</v>
      </c>
      <c r="U37" s="293" t="s">
        <v>2896</v>
      </c>
      <c r="V37" s="293" t="s">
        <v>145</v>
      </c>
      <c r="W37" s="293" t="s">
        <v>74</v>
      </c>
      <c r="X37" s="293" t="s">
        <v>656</v>
      </c>
      <c r="Z37" s="293" t="s">
        <v>2897</v>
      </c>
      <c r="AA37" s="293" t="s">
        <v>145</v>
      </c>
      <c r="AB37" s="293" t="s">
        <v>74</v>
      </c>
      <c r="AC37" s="293" t="s">
        <v>656</v>
      </c>
      <c r="AE37" s="293" t="s">
        <v>2898</v>
      </c>
      <c r="AF37" s="293" t="s">
        <v>145</v>
      </c>
      <c r="AG37" s="293" t="s">
        <v>74</v>
      </c>
      <c r="AH37" s="293" t="s">
        <v>656</v>
      </c>
      <c r="AJ37" s="293" t="s">
        <v>2899</v>
      </c>
      <c r="AK37" s="293" t="s">
        <v>145</v>
      </c>
      <c r="AL37" s="293" t="s">
        <v>74</v>
      </c>
      <c r="AM37" s="293" t="s">
        <v>656</v>
      </c>
      <c r="AO37" s="22" t="s">
        <v>2900</v>
      </c>
      <c r="AP37" s="22" t="s">
        <v>145</v>
      </c>
      <c r="AQ37" s="22" t="s">
        <v>70</v>
      </c>
      <c r="AR37" s="22" t="s">
        <v>67</v>
      </c>
      <c r="AT37" s="22" t="s">
        <v>2901</v>
      </c>
      <c r="AU37" s="22" t="s">
        <v>145</v>
      </c>
      <c r="AV37" s="22" t="s">
        <v>70</v>
      </c>
      <c r="AW37" s="22" t="s">
        <v>67</v>
      </c>
      <c r="AY37" s="22" t="s">
        <v>2902</v>
      </c>
      <c r="AZ37" s="22" t="s">
        <v>145</v>
      </c>
      <c r="BA37" s="22" t="s">
        <v>70</v>
      </c>
      <c r="BB37" s="22" t="s">
        <v>67</v>
      </c>
      <c r="BD37" s="22" t="s">
        <v>2903</v>
      </c>
      <c r="BE37" s="22" t="s">
        <v>145</v>
      </c>
      <c r="BF37" s="22" t="s">
        <v>70</v>
      </c>
      <c r="BG37" s="22" t="s">
        <v>67</v>
      </c>
      <c r="BI37" s="22" t="s">
        <v>2904</v>
      </c>
      <c r="BJ37" s="22" t="s">
        <v>145</v>
      </c>
      <c r="BK37" s="22" t="s">
        <v>70</v>
      </c>
      <c r="BL37" s="22" t="s">
        <v>67</v>
      </c>
      <c r="BN37" s="22" t="s">
        <v>2905</v>
      </c>
      <c r="BO37" s="22" t="s">
        <v>145</v>
      </c>
      <c r="BP37" s="22" t="s">
        <v>70</v>
      </c>
      <c r="BQ37" s="22" t="s">
        <v>67</v>
      </c>
      <c r="BS37" s="22" t="s">
        <v>2906</v>
      </c>
      <c r="BT37" s="22" t="s">
        <v>145</v>
      </c>
      <c r="BU37" s="22" t="s">
        <v>70</v>
      </c>
      <c r="BV37" s="214" t="s">
        <v>530</v>
      </c>
      <c r="BX37" s="22" t="s">
        <v>2907</v>
      </c>
      <c r="BY37" s="22" t="s">
        <v>145</v>
      </c>
      <c r="BZ37" s="22" t="s">
        <v>70</v>
      </c>
      <c r="CA37" s="214" t="s">
        <v>530</v>
      </c>
      <c r="CC37" s="214" t="s">
        <v>2908</v>
      </c>
      <c r="CD37" s="214" t="s">
        <v>52</v>
      </c>
      <c r="CE37" s="214" t="s">
        <v>70</v>
      </c>
      <c r="CF37" s="218" t="s">
        <v>34478</v>
      </c>
      <c r="CH37" s="214" t="s">
        <v>2909</v>
      </c>
      <c r="CI37" s="214" t="s">
        <v>920</v>
      </c>
      <c r="CJ37" s="214" t="s">
        <v>70</v>
      </c>
      <c r="CK37" s="214" t="s">
        <v>530</v>
      </c>
      <c r="CM37" s="214" t="s">
        <v>2910</v>
      </c>
      <c r="CN37" s="214" t="s">
        <v>34539</v>
      </c>
      <c r="CO37" s="214" t="s">
        <v>70</v>
      </c>
      <c r="CP37" s="214" t="s">
        <v>530</v>
      </c>
      <c r="CR37" s="214" t="s">
        <v>2911</v>
      </c>
      <c r="CS37" s="214" t="s">
        <v>34551</v>
      </c>
      <c r="CT37" s="214" t="s">
        <v>70</v>
      </c>
      <c r="CU37" s="214" t="s">
        <v>530</v>
      </c>
      <c r="CW37" s="214" t="s">
        <v>2912</v>
      </c>
      <c r="CX37" s="214" t="s">
        <v>34540</v>
      </c>
      <c r="CY37" s="214" t="s">
        <v>70</v>
      </c>
      <c r="CZ37" s="214" t="s">
        <v>530</v>
      </c>
      <c r="DB37" s="214" t="s">
        <v>2913</v>
      </c>
      <c r="DC37" s="214" t="s">
        <v>468</v>
      </c>
      <c r="DD37" s="214" t="s">
        <v>70</v>
      </c>
      <c r="DE37" s="214" t="s">
        <v>530</v>
      </c>
      <c r="DG37" s="214" t="s">
        <v>2914</v>
      </c>
      <c r="DH37" s="214" t="s">
        <v>52</v>
      </c>
      <c r="DI37" s="214" t="s">
        <v>70</v>
      </c>
      <c r="DJ37" s="214" t="s">
        <v>530</v>
      </c>
      <c r="DL37" s="214" t="s">
        <v>2915</v>
      </c>
      <c r="DM37" s="214" t="s">
        <v>599</v>
      </c>
      <c r="DN37" s="214" t="s">
        <v>70</v>
      </c>
      <c r="DO37" s="214" t="s">
        <v>530</v>
      </c>
      <c r="DQ37" s="214" t="s">
        <v>2916</v>
      </c>
      <c r="DR37" s="214" t="s">
        <v>52</v>
      </c>
      <c r="DS37" s="214" t="s">
        <v>70</v>
      </c>
      <c r="DT37" s="214" t="s">
        <v>530</v>
      </c>
      <c r="DV37" s="214" t="s">
        <v>2917</v>
      </c>
      <c r="DW37" s="214" t="s">
        <v>599</v>
      </c>
      <c r="DX37" s="214" t="s">
        <v>70</v>
      </c>
      <c r="DY37" s="214" t="s">
        <v>530</v>
      </c>
      <c r="EA37" s="214" t="s">
        <v>2918</v>
      </c>
      <c r="EB37" s="214" t="s">
        <v>486</v>
      </c>
      <c r="EC37" s="214" t="s">
        <v>70</v>
      </c>
      <c r="ED37" s="214" t="s">
        <v>530</v>
      </c>
      <c r="EF37" s="214" t="s">
        <v>2919</v>
      </c>
      <c r="EG37" s="214" t="s">
        <v>90</v>
      </c>
      <c r="EH37" s="214" t="s">
        <v>70</v>
      </c>
      <c r="EI37" s="214" t="s">
        <v>530</v>
      </c>
      <c r="EK37" s="214" t="s">
        <v>2920</v>
      </c>
      <c r="EL37" s="214" t="s">
        <v>34544</v>
      </c>
      <c r="EM37" s="214" t="s">
        <v>70</v>
      </c>
      <c r="EN37" s="214" t="s">
        <v>530</v>
      </c>
      <c r="EP37" s="214" t="s">
        <v>2921</v>
      </c>
      <c r="EQ37" s="214" t="s">
        <v>148</v>
      </c>
      <c r="ER37" s="214" t="s">
        <v>70</v>
      </c>
      <c r="ES37" s="214" t="s">
        <v>530</v>
      </c>
      <c r="EU37" s="214" t="s">
        <v>2922</v>
      </c>
      <c r="EV37" s="214" t="s">
        <v>52</v>
      </c>
      <c r="EW37" s="214" t="s">
        <v>70</v>
      </c>
      <c r="EX37" s="214" t="s">
        <v>530</v>
      </c>
      <c r="EZ37" s="214" t="s">
        <v>2923</v>
      </c>
      <c r="FA37" s="214" t="s">
        <v>486</v>
      </c>
      <c r="FB37" s="214" t="s">
        <v>70</v>
      </c>
      <c r="FC37" s="214" t="s">
        <v>530</v>
      </c>
      <c r="FE37" s="214" t="s">
        <v>2924</v>
      </c>
      <c r="FF37" s="214" t="s">
        <v>488</v>
      </c>
      <c r="FG37" s="214" t="s">
        <v>70</v>
      </c>
      <c r="FH37" s="214" t="s">
        <v>530</v>
      </c>
      <c r="FJ37" s="321" t="s">
        <v>2925</v>
      </c>
      <c r="FK37" s="214" t="s">
        <v>34558</v>
      </c>
      <c r="FL37" s="214" t="s">
        <v>70</v>
      </c>
      <c r="FM37" s="214" t="s">
        <v>530</v>
      </c>
      <c r="FO37" s="321" t="s">
        <v>2926</v>
      </c>
      <c r="FP37" s="214" t="s">
        <v>491</v>
      </c>
      <c r="FQ37" s="214" t="s">
        <v>70</v>
      </c>
      <c r="FR37" s="214" t="s">
        <v>530</v>
      </c>
      <c r="FT37" s="321" t="s">
        <v>2927</v>
      </c>
      <c r="FU37" s="214" t="s">
        <v>145</v>
      </c>
      <c r="FV37" s="214" t="s">
        <v>70</v>
      </c>
      <c r="FW37" s="214" t="s">
        <v>530</v>
      </c>
      <c r="FY37" s="321" t="s">
        <v>2928</v>
      </c>
      <c r="FZ37" s="214" t="s">
        <v>488</v>
      </c>
      <c r="GA37" s="214" t="s">
        <v>70</v>
      </c>
      <c r="GB37" s="214" t="s">
        <v>530</v>
      </c>
      <c r="GD37" s="321" t="s">
        <v>2929</v>
      </c>
      <c r="GE37" s="214" t="s">
        <v>145</v>
      </c>
      <c r="GF37" s="214" t="s">
        <v>70</v>
      </c>
      <c r="GG37" s="214" t="s">
        <v>530</v>
      </c>
      <c r="GI37" s="321" t="s">
        <v>2930</v>
      </c>
      <c r="GJ37" s="214" t="s">
        <v>955</v>
      </c>
      <c r="GK37" s="214" t="s">
        <v>70</v>
      </c>
      <c r="GL37" s="214" t="s">
        <v>530</v>
      </c>
      <c r="GN37" s="321" t="s">
        <v>2931</v>
      </c>
      <c r="GO37" s="214" t="s">
        <v>955</v>
      </c>
      <c r="GP37" s="214" t="s">
        <v>70</v>
      </c>
      <c r="GQ37" s="214" t="s">
        <v>530</v>
      </c>
      <c r="GS37" s="321" t="s">
        <v>2932</v>
      </c>
      <c r="GT37" s="214" t="s">
        <v>203</v>
      </c>
      <c r="GU37" s="214" t="s">
        <v>70</v>
      </c>
      <c r="GV37" s="214" t="s">
        <v>530</v>
      </c>
      <c r="GX37" s="214" t="s">
        <v>2933</v>
      </c>
      <c r="GY37" s="214" t="s">
        <v>503</v>
      </c>
      <c r="GZ37" s="214" t="s">
        <v>70</v>
      </c>
      <c r="HA37" s="214" t="s">
        <v>530</v>
      </c>
      <c r="HC37" s="214" t="s">
        <v>2934</v>
      </c>
      <c r="HD37" s="214" t="s">
        <v>599</v>
      </c>
      <c r="HE37" s="214" t="s">
        <v>70</v>
      </c>
      <c r="HF37" s="214" t="s">
        <v>530</v>
      </c>
      <c r="HH37" s="214" t="s">
        <v>2935</v>
      </c>
      <c r="HI37" s="214" t="s">
        <v>482</v>
      </c>
      <c r="HJ37" s="214" t="s">
        <v>70</v>
      </c>
      <c r="HK37" s="214" t="s">
        <v>530</v>
      </c>
      <c r="HM37" s="214" t="s">
        <v>2936</v>
      </c>
      <c r="HN37" s="214" t="s">
        <v>482</v>
      </c>
      <c r="HO37" s="214" t="s">
        <v>70</v>
      </c>
      <c r="HP37" s="214" t="s">
        <v>530</v>
      </c>
      <c r="HR37" s="22" t="s">
        <v>2937</v>
      </c>
      <c r="HS37" s="22" t="s">
        <v>52</v>
      </c>
      <c r="HT37" s="22" t="s">
        <v>70</v>
      </c>
      <c r="HU37" s="214" t="s">
        <v>530</v>
      </c>
      <c r="HW37" s="22" t="s">
        <v>2938</v>
      </c>
      <c r="HX37" s="22" t="s">
        <v>484</v>
      </c>
      <c r="HY37" s="22" t="s">
        <v>70</v>
      </c>
      <c r="HZ37" s="214" t="s">
        <v>530</v>
      </c>
      <c r="IB37" s="22" t="s">
        <v>2939</v>
      </c>
      <c r="IC37" s="22" t="s">
        <v>146</v>
      </c>
      <c r="ID37" s="22" t="s">
        <v>70</v>
      </c>
      <c r="IE37" s="214" t="s">
        <v>530</v>
      </c>
      <c r="IG37" s="22" t="s">
        <v>2940</v>
      </c>
      <c r="IH37" s="22" t="s">
        <v>52</v>
      </c>
      <c r="II37" s="22" t="s">
        <v>70</v>
      </c>
      <c r="IJ37" s="214" t="s">
        <v>530</v>
      </c>
      <c r="IL37" s="22" t="s">
        <v>2941</v>
      </c>
      <c r="IM37" s="22" t="s">
        <v>145</v>
      </c>
      <c r="IN37" s="22" t="s">
        <v>70</v>
      </c>
      <c r="IO37" s="214" t="s">
        <v>530</v>
      </c>
      <c r="IQ37" s="236" t="s">
        <v>2942</v>
      </c>
      <c r="IR37" s="236" t="s">
        <v>145</v>
      </c>
      <c r="IS37" s="236" t="s">
        <v>74</v>
      </c>
      <c r="IT37" s="236" t="s">
        <v>841</v>
      </c>
      <c r="IV37" s="236" t="s">
        <v>2943</v>
      </c>
      <c r="IW37" s="236" t="s">
        <v>145</v>
      </c>
      <c r="IX37" s="236" t="s">
        <v>74</v>
      </c>
      <c r="IY37" s="236" t="s">
        <v>841</v>
      </c>
      <c r="JA37" s="236" t="s">
        <v>2944</v>
      </c>
      <c r="JB37" s="236" t="s">
        <v>145</v>
      </c>
      <c r="JC37" s="236" t="s">
        <v>74</v>
      </c>
      <c r="JD37" s="236" t="s">
        <v>841</v>
      </c>
      <c r="JF37" s="236" t="s">
        <v>2945</v>
      </c>
      <c r="JG37" s="236" t="s">
        <v>145</v>
      </c>
      <c r="JH37" s="236" t="s">
        <v>74</v>
      </c>
      <c r="JI37" s="236" t="s">
        <v>841</v>
      </c>
      <c r="JK37" s="236" t="s">
        <v>2946</v>
      </c>
      <c r="JL37" s="236" t="s">
        <v>145</v>
      </c>
      <c r="JM37" s="236" t="s">
        <v>74</v>
      </c>
      <c r="JN37" s="236" t="s">
        <v>841</v>
      </c>
      <c r="JP37" s="236" t="s">
        <v>2947</v>
      </c>
      <c r="JQ37" s="236" t="s">
        <v>145</v>
      </c>
      <c r="JR37" s="236" t="s">
        <v>74</v>
      </c>
      <c r="JS37" s="236" t="s">
        <v>841</v>
      </c>
      <c r="JU37" s="294" t="s">
        <v>2948</v>
      </c>
      <c r="JV37" s="294" t="str">
        <f>TVIIBE1M_CalPairs!$R31</f>
        <v>0x03</v>
      </c>
      <c r="JW37" s="263" t="s">
        <v>70</v>
      </c>
      <c r="JX37" s="294" t="str">
        <f>TVIIBE1M_CalPairs!$Q31</f>
        <v>SMPU14_ATT0_B1</v>
      </c>
      <c r="JZ37" s="263" t="s">
        <v>2949</v>
      </c>
      <c r="KA37" s="263" t="s">
        <v>145</v>
      </c>
      <c r="KB37" s="263" t="s">
        <v>70</v>
      </c>
      <c r="KC37" s="263" t="s">
        <v>1083</v>
      </c>
      <c r="KE37" s="263" t="s">
        <v>2950</v>
      </c>
      <c r="KF37" s="263" t="s">
        <v>52</v>
      </c>
      <c r="KG37" s="263" t="s">
        <v>70</v>
      </c>
      <c r="KH37" s="263" t="s">
        <v>1083</v>
      </c>
      <c r="KJ37" s="263" t="s">
        <v>2951</v>
      </c>
      <c r="KK37" s="294" t="s">
        <v>52</v>
      </c>
      <c r="KL37" s="263" t="s">
        <v>74</v>
      </c>
      <c r="KM37" s="294" t="s">
        <v>5773</v>
      </c>
      <c r="KO37" s="214" t="s">
        <v>2952</v>
      </c>
      <c r="KP37" s="214" t="s">
        <v>468</v>
      </c>
      <c r="KQ37" s="214" t="s">
        <v>70</v>
      </c>
      <c r="KR37" s="214" t="s">
        <v>806</v>
      </c>
      <c r="KT37" s="22" t="s">
        <v>2953</v>
      </c>
      <c r="KU37" s="22" t="s">
        <v>145</v>
      </c>
      <c r="KV37" s="22" t="s">
        <v>70</v>
      </c>
      <c r="KW37" s="22" t="s">
        <v>67</v>
      </c>
      <c r="KY37" s="214" t="s">
        <v>2954</v>
      </c>
      <c r="KZ37" s="214" t="s">
        <v>52</v>
      </c>
      <c r="LA37" s="214" t="s">
        <v>74</v>
      </c>
      <c r="LB37" s="214" t="s">
        <v>34111</v>
      </c>
      <c r="LD37" s="22" t="s">
        <v>2955</v>
      </c>
      <c r="LE37" s="22" t="s">
        <v>145</v>
      </c>
      <c r="LF37" s="22" t="s">
        <v>70</v>
      </c>
      <c r="LG37" s="22" t="s">
        <v>67</v>
      </c>
    </row>
    <row r="38" spans="1:319">
      <c r="A38" s="22" t="s">
        <v>2956</v>
      </c>
      <c r="B38" s="22" t="s">
        <v>145</v>
      </c>
      <c r="C38" s="22" t="s">
        <v>70</v>
      </c>
      <c r="D38" s="22" t="s">
        <v>67</v>
      </c>
      <c r="F38" s="23" t="s">
        <v>2957</v>
      </c>
      <c r="G38" s="23" t="str">
        <f>TVIIBE1M_CalPairs!$E35</f>
        <v>0x90</v>
      </c>
      <c r="H38" s="233" t="s">
        <v>72</v>
      </c>
      <c r="I38" s="23" t="str">
        <f>TVIIBE1M_CalPairs!$C35</f>
        <v>CLK_TRIM_CCO_CTL_VAL3</v>
      </c>
      <c r="K38" s="218" t="s">
        <v>2958</v>
      </c>
      <c r="L38" s="218" t="s">
        <v>145</v>
      </c>
      <c r="M38" s="305" t="s">
        <v>72</v>
      </c>
      <c r="N38" s="312" t="s">
        <v>34098</v>
      </c>
      <c r="P38" s="218" t="s">
        <v>2959</v>
      </c>
      <c r="Q38" s="218" t="s">
        <v>145</v>
      </c>
      <c r="R38" s="218" t="s">
        <v>72</v>
      </c>
      <c r="S38" s="218" t="s">
        <v>788</v>
      </c>
      <c r="U38" s="293" t="s">
        <v>2960</v>
      </c>
      <c r="V38" s="293" t="s">
        <v>145</v>
      </c>
      <c r="W38" s="293" t="s">
        <v>74</v>
      </c>
      <c r="X38" s="293" t="s">
        <v>656</v>
      </c>
      <c r="Z38" s="293" t="s">
        <v>2961</v>
      </c>
      <c r="AA38" s="293" t="s">
        <v>145</v>
      </c>
      <c r="AB38" s="293" t="s">
        <v>74</v>
      </c>
      <c r="AC38" s="293" t="s">
        <v>656</v>
      </c>
      <c r="AE38" s="293" t="s">
        <v>2962</v>
      </c>
      <c r="AF38" s="293" t="s">
        <v>145</v>
      </c>
      <c r="AG38" s="293" t="s">
        <v>74</v>
      </c>
      <c r="AH38" s="293" t="s">
        <v>656</v>
      </c>
      <c r="AJ38" s="293" t="s">
        <v>2963</v>
      </c>
      <c r="AK38" s="293" t="s">
        <v>145</v>
      </c>
      <c r="AL38" s="293" t="s">
        <v>74</v>
      </c>
      <c r="AM38" s="293" t="s">
        <v>656</v>
      </c>
      <c r="AO38" s="22" t="s">
        <v>2964</v>
      </c>
      <c r="AP38" s="22" t="s">
        <v>145</v>
      </c>
      <c r="AQ38" s="22" t="s">
        <v>70</v>
      </c>
      <c r="AR38" s="22" t="s">
        <v>67</v>
      </c>
      <c r="AT38" s="22" t="s">
        <v>2965</v>
      </c>
      <c r="AU38" s="22" t="s">
        <v>145</v>
      </c>
      <c r="AV38" s="22" t="s">
        <v>70</v>
      </c>
      <c r="AW38" s="22" t="s">
        <v>67</v>
      </c>
      <c r="AY38" s="22" t="s">
        <v>2966</v>
      </c>
      <c r="AZ38" s="22" t="s">
        <v>145</v>
      </c>
      <c r="BA38" s="22" t="s">
        <v>70</v>
      </c>
      <c r="BB38" s="22" t="s">
        <v>67</v>
      </c>
      <c r="BD38" s="22" t="s">
        <v>2967</v>
      </c>
      <c r="BE38" s="22" t="s">
        <v>145</v>
      </c>
      <c r="BF38" s="22" t="s">
        <v>70</v>
      </c>
      <c r="BG38" s="22" t="s">
        <v>67</v>
      </c>
      <c r="BI38" s="22" t="s">
        <v>2968</v>
      </c>
      <c r="BJ38" s="22" t="s">
        <v>145</v>
      </c>
      <c r="BK38" s="22" t="s">
        <v>70</v>
      </c>
      <c r="BL38" s="22" t="s">
        <v>67</v>
      </c>
      <c r="BN38" s="22" t="s">
        <v>2969</v>
      </c>
      <c r="BO38" s="22" t="s">
        <v>145</v>
      </c>
      <c r="BP38" s="22" t="s">
        <v>70</v>
      </c>
      <c r="BQ38" s="22" t="s">
        <v>67</v>
      </c>
      <c r="BS38" s="22" t="s">
        <v>2970</v>
      </c>
      <c r="BT38" s="22" t="s">
        <v>145</v>
      </c>
      <c r="BU38" s="22" t="s">
        <v>70</v>
      </c>
      <c r="BV38" s="214" t="s">
        <v>530</v>
      </c>
      <c r="BX38" s="22" t="s">
        <v>2971</v>
      </c>
      <c r="BY38" s="22" t="s">
        <v>145</v>
      </c>
      <c r="BZ38" s="22" t="s">
        <v>70</v>
      </c>
      <c r="CA38" s="214" t="s">
        <v>530</v>
      </c>
      <c r="CC38" s="214" t="s">
        <v>2972</v>
      </c>
      <c r="CD38" s="214" t="s">
        <v>148</v>
      </c>
      <c r="CE38" s="214" t="s">
        <v>70</v>
      </c>
      <c r="CF38" s="218" t="s">
        <v>34479</v>
      </c>
      <c r="CH38" s="214" t="s">
        <v>2973</v>
      </c>
      <c r="CI38" s="214" t="s">
        <v>52</v>
      </c>
      <c r="CJ38" s="214" t="s">
        <v>70</v>
      </c>
      <c r="CK38" s="214" t="s">
        <v>530</v>
      </c>
      <c r="CM38" s="214" t="s">
        <v>2974</v>
      </c>
      <c r="CN38" s="214" t="s">
        <v>34592</v>
      </c>
      <c r="CO38" s="214" t="s">
        <v>70</v>
      </c>
      <c r="CP38" s="214" t="s">
        <v>530</v>
      </c>
      <c r="CR38" s="214" t="s">
        <v>2975</v>
      </c>
      <c r="CS38" s="214" t="s">
        <v>950</v>
      </c>
      <c r="CT38" s="214" t="s">
        <v>70</v>
      </c>
      <c r="CU38" s="214" t="s">
        <v>530</v>
      </c>
      <c r="CW38" s="214" t="s">
        <v>2976</v>
      </c>
      <c r="CX38" s="214" t="s">
        <v>34545</v>
      </c>
      <c r="CY38" s="214" t="s">
        <v>70</v>
      </c>
      <c r="CZ38" s="214" t="s">
        <v>530</v>
      </c>
      <c r="DB38" s="214" t="s">
        <v>2977</v>
      </c>
      <c r="DC38" s="214" t="s">
        <v>52</v>
      </c>
      <c r="DD38" s="214" t="s">
        <v>70</v>
      </c>
      <c r="DE38" s="214" t="s">
        <v>530</v>
      </c>
      <c r="DG38" s="214" t="s">
        <v>2978</v>
      </c>
      <c r="DH38" s="214" t="s">
        <v>52</v>
      </c>
      <c r="DI38" s="214" t="s">
        <v>70</v>
      </c>
      <c r="DJ38" s="214" t="s">
        <v>530</v>
      </c>
      <c r="DL38" s="214" t="s">
        <v>2979</v>
      </c>
      <c r="DM38" s="214" t="s">
        <v>149</v>
      </c>
      <c r="DN38" s="214" t="s">
        <v>70</v>
      </c>
      <c r="DO38" s="214" t="s">
        <v>530</v>
      </c>
      <c r="DQ38" s="214" t="s">
        <v>2980</v>
      </c>
      <c r="DR38" s="214" t="s">
        <v>34641</v>
      </c>
      <c r="DS38" s="214" t="s">
        <v>70</v>
      </c>
      <c r="DT38" s="214" t="s">
        <v>530</v>
      </c>
      <c r="DV38" s="214" t="s">
        <v>2981</v>
      </c>
      <c r="DW38" s="214" t="s">
        <v>34584</v>
      </c>
      <c r="DX38" s="214" t="s">
        <v>70</v>
      </c>
      <c r="DY38" s="214" t="s">
        <v>530</v>
      </c>
      <c r="EA38" s="214" t="s">
        <v>2982</v>
      </c>
      <c r="EB38" s="214" t="s">
        <v>34591</v>
      </c>
      <c r="EC38" s="214" t="s">
        <v>70</v>
      </c>
      <c r="ED38" s="214" t="s">
        <v>530</v>
      </c>
      <c r="EF38" s="214" t="s">
        <v>2983</v>
      </c>
      <c r="EG38" s="214" t="s">
        <v>145</v>
      </c>
      <c r="EH38" s="214" t="s">
        <v>70</v>
      </c>
      <c r="EI38" s="214" t="s">
        <v>530</v>
      </c>
      <c r="EK38" s="214" t="s">
        <v>2984</v>
      </c>
      <c r="EL38" s="214" t="s">
        <v>163</v>
      </c>
      <c r="EM38" s="214" t="s">
        <v>70</v>
      </c>
      <c r="EN38" s="214" t="s">
        <v>530</v>
      </c>
      <c r="EP38" s="214" t="s">
        <v>2985</v>
      </c>
      <c r="EQ38" s="214" t="s">
        <v>52</v>
      </c>
      <c r="ER38" s="214" t="s">
        <v>70</v>
      </c>
      <c r="ES38" s="214" t="s">
        <v>530</v>
      </c>
      <c r="EU38" s="214" t="s">
        <v>2986</v>
      </c>
      <c r="EV38" s="214" t="s">
        <v>52</v>
      </c>
      <c r="EW38" s="214" t="s">
        <v>70</v>
      </c>
      <c r="EX38" s="214" t="s">
        <v>530</v>
      </c>
      <c r="EZ38" s="214" t="s">
        <v>2987</v>
      </c>
      <c r="FA38" s="214" t="s">
        <v>163</v>
      </c>
      <c r="FB38" s="214" t="s">
        <v>70</v>
      </c>
      <c r="FC38" s="214" t="s">
        <v>530</v>
      </c>
      <c r="FE38" s="214" t="s">
        <v>2988</v>
      </c>
      <c r="FF38" s="214" t="s">
        <v>921</v>
      </c>
      <c r="FG38" s="214" t="s">
        <v>70</v>
      </c>
      <c r="FH38" s="214" t="s">
        <v>530</v>
      </c>
      <c r="FJ38" s="321" t="s">
        <v>2989</v>
      </c>
      <c r="FK38" s="214" t="s">
        <v>286</v>
      </c>
      <c r="FL38" s="214" t="s">
        <v>70</v>
      </c>
      <c r="FM38" s="214" t="s">
        <v>530</v>
      </c>
      <c r="FO38" s="321" t="s">
        <v>2990</v>
      </c>
      <c r="FP38" s="214" t="s">
        <v>145</v>
      </c>
      <c r="FQ38" s="214" t="s">
        <v>70</v>
      </c>
      <c r="FR38" s="214" t="s">
        <v>530</v>
      </c>
      <c r="FT38" s="321" t="s">
        <v>2991</v>
      </c>
      <c r="FU38" s="214" t="s">
        <v>145</v>
      </c>
      <c r="FV38" s="214" t="s">
        <v>70</v>
      </c>
      <c r="FW38" s="214" t="s">
        <v>530</v>
      </c>
      <c r="FY38" s="321" t="s">
        <v>2992</v>
      </c>
      <c r="FZ38" s="214" t="s">
        <v>481</v>
      </c>
      <c r="GA38" s="214" t="s">
        <v>70</v>
      </c>
      <c r="GB38" s="214" t="s">
        <v>530</v>
      </c>
      <c r="GD38" s="321" t="s">
        <v>2993</v>
      </c>
      <c r="GE38" s="214" t="s">
        <v>164</v>
      </c>
      <c r="GF38" s="214" t="s">
        <v>70</v>
      </c>
      <c r="GG38" s="214" t="s">
        <v>530</v>
      </c>
      <c r="GI38" s="321" t="s">
        <v>2994</v>
      </c>
      <c r="GJ38" s="214" t="s">
        <v>145</v>
      </c>
      <c r="GK38" s="214" t="s">
        <v>70</v>
      </c>
      <c r="GL38" s="214" t="s">
        <v>530</v>
      </c>
      <c r="GN38" s="321" t="s">
        <v>2995</v>
      </c>
      <c r="GO38" s="214" t="s">
        <v>90</v>
      </c>
      <c r="GP38" s="214" t="s">
        <v>70</v>
      </c>
      <c r="GQ38" s="214" t="s">
        <v>530</v>
      </c>
      <c r="GS38" s="321" t="s">
        <v>2996</v>
      </c>
      <c r="GT38" s="214" t="s">
        <v>305</v>
      </c>
      <c r="GU38" s="214" t="s">
        <v>70</v>
      </c>
      <c r="GV38" s="214" t="s">
        <v>530</v>
      </c>
      <c r="GX38" s="214" t="s">
        <v>2997</v>
      </c>
      <c r="GY38" s="214" t="s">
        <v>145</v>
      </c>
      <c r="GZ38" s="214" t="s">
        <v>70</v>
      </c>
      <c r="HA38" s="214" t="s">
        <v>530</v>
      </c>
      <c r="HC38" s="214" t="s">
        <v>2998</v>
      </c>
      <c r="HD38" s="214" t="s">
        <v>164</v>
      </c>
      <c r="HE38" s="214" t="s">
        <v>70</v>
      </c>
      <c r="HF38" s="214" t="s">
        <v>530</v>
      </c>
      <c r="HH38" s="214" t="s">
        <v>2999</v>
      </c>
      <c r="HI38" s="214" t="s">
        <v>34548</v>
      </c>
      <c r="HJ38" s="214" t="s">
        <v>70</v>
      </c>
      <c r="HK38" s="214" t="s">
        <v>530</v>
      </c>
      <c r="HM38" s="214" t="s">
        <v>3000</v>
      </c>
      <c r="HN38" s="214" t="s">
        <v>87</v>
      </c>
      <c r="HO38" s="214" t="s">
        <v>70</v>
      </c>
      <c r="HP38" s="214" t="s">
        <v>530</v>
      </c>
      <c r="HR38" s="22" t="s">
        <v>3001</v>
      </c>
      <c r="HS38" s="22" t="s">
        <v>52</v>
      </c>
      <c r="HT38" s="22" t="s">
        <v>70</v>
      </c>
      <c r="HU38" s="214" t="s">
        <v>530</v>
      </c>
      <c r="HW38" s="22" t="s">
        <v>3002</v>
      </c>
      <c r="HX38" s="22" t="s">
        <v>929</v>
      </c>
      <c r="HY38" s="22" t="s">
        <v>70</v>
      </c>
      <c r="HZ38" s="214" t="s">
        <v>530</v>
      </c>
      <c r="IB38" s="22" t="s">
        <v>3003</v>
      </c>
      <c r="IC38" s="22" t="s">
        <v>149</v>
      </c>
      <c r="ID38" s="22" t="s">
        <v>70</v>
      </c>
      <c r="IE38" s="214" t="s">
        <v>530</v>
      </c>
      <c r="IG38" s="22" t="s">
        <v>3004</v>
      </c>
      <c r="IH38" s="22" t="s">
        <v>52</v>
      </c>
      <c r="II38" s="22" t="s">
        <v>70</v>
      </c>
      <c r="IJ38" s="214" t="s">
        <v>530</v>
      </c>
      <c r="IL38" s="22" t="s">
        <v>3005</v>
      </c>
      <c r="IM38" s="22" t="s">
        <v>145</v>
      </c>
      <c r="IN38" s="22" t="s">
        <v>70</v>
      </c>
      <c r="IO38" s="214" t="s">
        <v>530</v>
      </c>
      <c r="IQ38" s="236" t="s">
        <v>3006</v>
      </c>
      <c r="IR38" s="236" t="s">
        <v>145</v>
      </c>
      <c r="IS38" s="236" t="s">
        <v>74</v>
      </c>
      <c r="IT38" s="236" t="s">
        <v>841</v>
      </c>
      <c r="IV38" s="236" t="s">
        <v>3007</v>
      </c>
      <c r="IW38" s="236" t="s">
        <v>145</v>
      </c>
      <c r="IX38" s="236" t="s">
        <v>74</v>
      </c>
      <c r="IY38" s="236" t="s">
        <v>841</v>
      </c>
      <c r="JA38" s="236" t="s">
        <v>3008</v>
      </c>
      <c r="JB38" s="236" t="s">
        <v>145</v>
      </c>
      <c r="JC38" s="236" t="s">
        <v>74</v>
      </c>
      <c r="JD38" s="236" t="s">
        <v>841</v>
      </c>
      <c r="JF38" s="236" t="s">
        <v>3009</v>
      </c>
      <c r="JG38" s="236" t="s">
        <v>145</v>
      </c>
      <c r="JH38" s="236" t="s">
        <v>74</v>
      </c>
      <c r="JI38" s="236" t="s">
        <v>841</v>
      </c>
      <c r="JK38" s="236" t="s">
        <v>3010</v>
      </c>
      <c r="JL38" s="236" t="s">
        <v>145</v>
      </c>
      <c r="JM38" s="236" t="s">
        <v>74</v>
      </c>
      <c r="JN38" s="236" t="s">
        <v>841</v>
      </c>
      <c r="JP38" s="236" t="s">
        <v>3011</v>
      </c>
      <c r="JQ38" s="236" t="s">
        <v>145</v>
      </c>
      <c r="JR38" s="236" t="s">
        <v>74</v>
      </c>
      <c r="JS38" s="236" t="s">
        <v>841</v>
      </c>
      <c r="JU38" s="294" t="s">
        <v>3012</v>
      </c>
      <c r="JV38" s="294" t="str">
        <f>TVIIBE1M_CalPairs!$R32</f>
        <v>0x00</v>
      </c>
      <c r="JW38" s="263" t="s">
        <v>70</v>
      </c>
      <c r="JX38" s="294" t="str">
        <f>TVIIBE1M_CalPairs!$Q32</f>
        <v>SMPU14_ATT0_B2</v>
      </c>
      <c r="JZ38" s="263" t="s">
        <v>3013</v>
      </c>
      <c r="KA38" s="263" t="s">
        <v>145</v>
      </c>
      <c r="KB38" s="263" t="s">
        <v>70</v>
      </c>
      <c r="KC38" s="263" t="s">
        <v>1083</v>
      </c>
      <c r="KE38" s="263" t="s">
        <v>3014</v>
      </c>
      <c r="KF38" s="263" t="s">
        <v>52</v>
      </c>
      <c r="KG38" s="263" t="s">
        <v>70</v>
      </c>
      <c r="KH38" s="263" t="s">
        <v>1083</v>
      </c>
      <c r="KJ38" s="263" t="s">
        <v>3015</v>
      </c>
      <c r="KK38" s="294" t="s">
        <v>52</v>
      </c>
      <c r="KL38" s="263" t="s">
        <v>74</v>
      </c>
      <c r="KM38" s="294" t="s">
        <v>5838</v>
      </c>
      <c r="KO38" s="214" t="s">
        <v>3016</v>
      </c>
      <c r="KP38" s="214" t="s">
        <v>52</v>
      </c>
      <c r="KQ38" s="214" t="s">
        <v>70</v>
      </c>
      <c r="KR38" s="214" t="s">
        <v>806</v>
      </c>
      <c r="KT38" s="22" t="s">
        <v>3017</v>
      </c>
      <c r="KU38" s="22" t="s">
        <v>145</v>
      </c>
      <c r="KV38" s="22" t="s">
        <v>70</v>
      </c>
      <c r="KW38" s="22" t="s">
        <v>67</v>
      </c>
      <c r="KY38" s="214" t="s">
        <v>3018</v>
      </c>
      <c r="KZ38" s="214" t="s">
        <v>52</v>
      </c>
      <c r="LA38" s="214" t="s">
        <v>74</v>
      </c>
      <c r="LB38" s="214" t="s">
        <v>34111</v>
      </c>
      <c r="LD38" s="22" t="s">
        <v>3019</v>
      </c>
      <c r="LE38" s="22" t="s">
        <v>145</v>
      </c>
      <c r="LF38" s="22" t="s">
        <v>70</v>
      </c>
      <c r="LG38" s="22" t="s">
        <v>67</v>
      </c>
    </row>
    <row r="39" spans="1:319">
      <c r="A39" s="22" t="s">
        <v>3020</v>
      </c>
      <c r="B39" s="22" t="s">
        <v>145</v>
      </c>
      <c r="C39" s="22" t="s">
        <v>70</v>
      </c>
      <c r="D39" s="22" t="s">
        <v>67</v>
      </c>
      <c r="F39" s="23" t="s">
        <v>3021</v>
      </c>
      <c r="G39" s="23" t="str">
        <f>TVIIBE1M_CalPairs!$E36</f>
        <v>0x10</v>
      </c>
      <c r="H39" s="233" t="s">
        <v>72</v>
      </c>
      <c r="I39" s="23" t="str">
        <f>TVIIBE1M_CalPairs!$C36</f>
        <v>CLK_TRIM_CCO_CTL2_VAL0</v>
      </c>
      <c r="K39" s="218" t="s">
        <v>3022</v>
      </c>
      <c r="L39" s="218" t="s">
        <v>145</v>
      </c>
      <c r="M39" s="305" t="s">
        <v>72</v>
      </c>
      <c r="N39" s="312" t="s">
        <v>34098</v>
      </c>
      <c r="P39" s="218" t="s">
        <v>3023</v>
      </c>
      <c r="Q39" s="218" t="s">
        <v>145</v>
      </c>
      <c r="R39" s="218" t="s">
        <v>72</v>
      </c>
      <c r="S39" s="218" t="s">
        <v>789</v>
      </c>
      <c r="U39" s="293" t="s">
        <v>3024</v>
      </c>
      <c r="V39" s="293" t="s">
        <v>145</v>
      </c>
      <c r="W39" s="293" t="s">
        <v>74</v>
      </c>
      <c r="X39" s="293" t="s">
        <v>656</v>
      </c>
      <c r="Z39" s="293" t="s">
        <v>3025</v>
      </c>
      <c r="AA39" s="293" t="s">
        <v>145</v>
      </c>
      <c r="AB39" s="293" t="s">
        <v>74</v>
      </c>
      <c r="AC39" s="293" t="s">
        <v>656</v>
      </c>
      <c r="AE39" s="293" t="s">
        <v>3026</v>
      </c>
      <c r="AF39" s="293" t="s">
        <v>145</v>
      </c>
      <c r="AG39" s="293" t="s">
        <v>74</v>
      </c>
      <c r="AH39" s="293" t="s">
        <v>656</v>
      </c>
      <c r="AJ39" s="293" t="s">
        <v>3027</v>
      </c>
      <c r="AK39" s="293" t="s">
        <v>145</v>
      </c>
      <c r="AL39" s="293" t="s">
        <v>74</v>
      </c>
      <c r="AM39" s="293" t="s">
        <v>656</v>
      </c>
      <c r="AO39" s="22" t="s">
        <v>3028</v>
      </c>
      <c r="AP39" s="22" t="s">
        <v>145</v>
      </c>
      <c r="AQ39" s="22" t="s">
        <v>70</v>
      </c>
      <c r="AR39" s="22" t="s">
        <v>67</v>
      </c>
      <c r="AT39" s="22" t="s">
        <v>3029</v>
      </c>
      <c r="AU39" s="22" t="s">
        <v>145</v>
      </c>
      <c r="AV39" s="22" t="s">
        <v>70</v>
      </c>
      <c r="AW39" s="22" t="s">
        <v>67</v>
      </c>
      <c r="AY39" s="22" t="s">
        <v>3030</v>
      </c>
      <c r="AZ39" s="22" t="s">
        <v>145</v>
      </c>
      <c r="BA39" s="22" t="s">
        <v>70</v>
      </c>
      <c r="BB39" s="22" t="s">
        <v>67</v>
      </c>
      <c r="BD39" s="22" t="s">
        <v>3031</v>
      </c>
      <c r="BE39" s="22" t="s">
        <v>145</v>
      </c>
      <c r="BF39" s="22" t="s">
        <v>70</v>
      </c>
      <c r="BG39" s="22" t="s">
        <v>67</v>
      </c>
      <c r="BI39" s="22" t="s">
        <v>3032</v>
      </c>
      <c r="BJ39" s="22" t="s">
        <v>145</v>
      </c>
      <c r="BK39" s="22" t="s">
        <v>70</v>
      </c>
      <c r="BL39" s="22" t="s">
        <v>67</v>
      </c>
      <c r="BN39" s="22" t="s">
        <v>3033</v>
      </c>
      <c r="BO39" s="22" t="s">
        <v>145</v>
      </c>
      <c r="BP39" s="22" t="s">
        <v>70</v>
      </c>
      <c r="BQ39" s="22" t="s">
        <v>67</v>
      </c>
      <c r="BS39" s="22" t="s">
        <v>3034</v>
      </c>
      <c r="BT39" s="22" t="s">
        <v>145</v>
      </c>
      <c r="BU39" s="22" t="s">
        <v>70</v>
      </c>
      <c r="BV39" s="214" t="s">
        <v>530</v>
      </c>
      <c r="BX39" s="22" t="s">
        <v>3035</v>
      </c>
      <c r="BY39" s="22" t="s">
        <v>145</v>
      </c>
      <c r="BZ39" s="22" t="s">
        <v>70</v>
      </c>
      <c r="CA39" s="214" t="s">
        <v>530</v>
      </c>
      <c r="CC39" s="214" t="s">
        <v>3036</v>
      </c>
      <c r="CD39" s="214" t="s">
        <v>148</v>
      </c>
      <c r="CE39" s="214" t="s">
        <v>70</v>
      </c>
      <c r="CF39" s="218" t="s">
        <v>34480</v>
      </c>
      <c r="CH39" s="214" t="s">
        <v>3037</v>
      </c>
      <c r="CI39" s="214" t="s">
        <v>950</v>
      </c>
      <c r="CJ39" s="214" t="s">
        <v>70</v>
      </c>
      <c r="CK39" s="214" t="s">
        <v>530</v>
      </c>
      <c r="CM39" s="214" t="s">
        <v>3038</v>
      </c>
      <c r="CN39" s="214" t="s">
        <v>501</v>
      </c>
      <c r="CO39" s="214" t="s">
        <v>70</v>
      </c>
      <c r="CP39" s="214" t="s">
        <v>530</v>
      </c>
      <c r="CR39" s="214" t="s">
        <v>3039</v>
      </c>
      <c r="CS39" s="214" t="s">
        <v>204</v>
      </c>
      <c r="CT39" s="214" t="s">
        <v>70</v>
      </c>
      <c r="CU39" s="214" t="s">
        <v>530</v>
      </c>
      <c r="CW39" s="214" t="s">
        <v>3040</v>
      </c>
      <c r="CX39" s="214" t="s">
        <v>34551</v>
      </c>
      <c r="CY39" s="214" t="s">
        <v>70</v>
      </c>
      <c r="CZ39" s="214" t="s">
        <v>530</v>
      </c>
      <c r="DB39" s="214" t="s">
        <v>3041</v>
      </c>
      <c r="DC39" s="214" t="s">
        <v>923</v>
      </c>
      <c r="DD39" s="214" t="s">
        <v>70</v>
      </c>
      <c r="DE39" s="214" t="s">
        <v>530</v>
      </c>
      <c r="DG39" s="214" t="s">
        <v>3042</v>
      </c>
      <c r="DH39" s="214" t="s">
        <v>916</v>
      </c>
      <c r="DI39" s="214" t="s">
        <v>70</v>
      </c>
      <c r="DJ39" s="214" t="s">
        <v>530</v>
      </c>
      <c r="DL39" s="214" t="s">
        <v>3043</v>
      </c>
      <c r="DM39" s="214" t="s">
        <v>502</v>
      </c>
      <c r="DN39" s="214" t="s">
        <v>70</v>
      </c>
      <c r="DO39" s="214" t="s">
        <v>530</v>
      </c>
      <c r="DQ39" s="214" t="s">
        <v>3044</v>
      </c>
      <c r="DR39" s="214" t="s">
        <v>34544</v>
      </c>
      <c r="DS39" s="214" t="s">
        <v>70</v>
      </c>
      <c r="DT39" s="214" t="s">
        <v>530</v>
      </c>
      <c r="DV39" s="214" t="s">
        <v>3045</v>
      </c>
      <c r="DW39" s="214" t="s">
        <v>34548</v>
      </c>
      <c r="DX39" s="214" t="s">
        <v>70</v>
      </c>
      <c r="DY39" s="214" t="s">
        <v>530</v>
      </c>
      <c r="EA39" s="214" t="s">
        <v>3046</v>
      </c>
      <c r="EB39" s="214" t="s">
        <v>938</v>
      </c>
      <c r="EC39" s="214" t="s">
        <v>70</v>
      </c>
      <c r="ED39" s="214" t="s">
        <v>530</v>
      </c>
      <c r="EF39" s="214" t="s">
        <v>3047</v>
      </c>
      <c r="EG39" s="214" t="s">
        <v>145</v>
      </c>
      <c r="EH39" s="214" t="s">
        <v>70</v>
      </c>
      <c r="EI39" s="214" t="s">
        <v>530</v>
      </c>
      <c r="EK39" s="214" t="s">
        <v>3048</v>
      </c>
      <c r="EL39" s="214" t="s">
        <v>956</v>
      </c>
      <c r="EM39" s="214" t="s">
        <v>70</v>
      </c>
      <c r="EN39" s="214" t="s">
        <v>530</v>
      </c>
      <c r="EP39" s="214" t="s">
        <v>3049</v>
      </c>
      <c r="EQ39" s="214" t="s">
        <v>34574</v>
      </c>
      <c r="ER39" s="214" t="s">
        <v>70</v>
      </c>
      <c r="ES39" s="214" t="s">
        <v>530</v>
      </c>
      <c r="EU39" s="214" t="s">
        <v>3050</v>
      </c>
      <c r="EV39" s="214" t="s">
        <v>203</v>
      </c>
      <c r="EW39" s="214" t="s">
        <v>70</v>
      </c>
      <c r="EX39" s="214" t="s">
        <v>530</v>
      </c>
      <c r="EZ39" s="214" t="s">
        <v>3051</v>
      </c>
      <c r="FA39" s="214" t="s">
        <v>488</v>
      </c>
      <c r="FB39" s="214" t="s">
        <v>70</v>
      </c>
      <c r="FC39" s="214" t="s">
        <v>530</v>
      </c>
      <c r="FE39" s="214" t="s">
        <v>3052</v>
      </c>
      <c r="FF39" s="214" t="s">
        <v>52</v>
      </c>
      <c r="FG39" s="214" t="s">
        <v>70</v>
      </c>
      <c r="FH39" s="214" t="s">
        <v>530</v>
      </c>
      <c r="FJ39" s="321" t="s">
        <v>3053</v>
      </c>
      <c r="FK39" s="214" t="s">
        <v>486</v>
      </c>
      <c r="FL39" s="214" t="s">
        <v>70</v>
      </c>
      <c r="FM39" s="214" t="s">
        <v>530</v>
      </c>
      <c r="FO39" s="321" t="s">
        <v>3054</v>
      </c>
      <c r="FP39" s="214" t="s">
        <v>34541</v>
      </c>
      <c r="FQ39" s="214" t="s">
        <v>70</v>
      </c>
      <c r="FR39" s="214" t="s">
        <v>530</v>
      </c>
      <c r="FT39" s="321" t="s">
        <v>3055</v>
      </c>
      <c r="FU39" s="214" t="s">
        <v>34582</v>
      </c>
      <c r="FV39" s="214" t="s">
        <v>70</v>
      </c>
      <c r="FW39" s="214" t="s">
        <v>530</v>
      </c>
      <c r="FY39" s="321" t="s">
        <v>3056</v>
      </c>
      <c r="FZ39" s="214" t="s">
        <v>487</v>
      </c>
      <c r="GA39" s="214" t="s">
        <v>70</v>
      </c>
      <c r="GB39" s="214" t="s">
        <v>530</v>
      </c>
      <c r="GD39" s="321" t="s">
        <v>3057</v>
      </c>
      <c r="GE39" s="214" t="s">
        <v>950</v>
      </c>
      <c r="GF39" s="214" t="s">
        <v>70</v>
      </c>
      <c r="GG39" s="214" t="s">
        <v>530</v>
      </c>
      <c r="GI39" s="321" t="s">
        <v>3058</v>
      </c>
      <c r="GJ39" s="214" t="s">
        <v>34541</v>
      </c>
      <c r="GK39" s="214" t="s">
        <v>70</v>
      </c>
      <c r="GL39" s="214" t="s">
        <v>530</v>
      </c>
      <c r="GN39" s="321" t="s">
        <v>3059</v>
      </c>
      <c r="GO39" s="214" t="s">
        <v>287</v>
      </c>
      <c r="GP39" s="214" t="s">
        <v>70</v>
      </c>
      <c r="GQ39" s="214" t="s">
        <v>530</v>
      </c>
      <c r="GS39" s="321" t="s">
        <v>3060</v>
      </c>
      <c r="GT39" s="214" t="s">
        <v>34590</v>
      </c>
      <c r="GU39" s="214" t="s">
        <v>70</v>
      </c>
      <c r="GV39" s="214" t="s">
        <v>530</v>
      </c>
      <c r="GX39" s="214" t="s">
        <v>3061</v>
      </c>
      <c r="GY39" s="214" t="s">
        <v>145</v>
      </c>
      <c r="GZ39" s="214" t="s">
        <v>70</v>
      </c>
      <c r="HA39" s="214" t="s">
        <v>530</v>
      </c>
      <c r="HC39" s="214" t="s">
        <v>3062</v>
      </c>
      <c r="HD39" s="214" t="s">
        <v>10541</v>
      </c>
      <c r="HE39" s="214" t="s">
        <v>70</v>
      </c>
      <c r="HF39" s="214" t="s">
        <v>530</v>
      </c>
      <c r="HH39" s="214" t="s">
        <v>3063</v>
      </c>
      <c r="HI39" s="214" t="s">
        <v>798</v>
      </c>
      <c r="HJ39" s="214" t="s">
        <v>70</v>
      </c>
      <c r="HK39" s="214" t="s">
        <v>530</v>
      </c>
      <c r="HM39" s="214" t="s">
        <v>3064</v>
      </c>
      <c r="HN39" s="214" t="s">
        <v>52</v>
      </c>
      <c r="HO39" s="214" t="s">
        <v>70</v>
      </c>
      <c r="HP39" s="214" t="s">
        <v>530</v>
      </c>
      <c r="HR39" s="22" t="s">
        <v>3065</v>
      </c>
      <c r="HS39" s="22" t="s">
        <v>52</v>
      </c>
      <c r="HT39" s="22" t="s">
        <v>70</v>
      </c>
      <c r="HU39" s="214" t="s">
        <v>530</v>
      </c>
      <c r="HW39" s="22" t="s">
        <v>3066</v>
      </c>
      <c r="HX39" s="22" t="s">
        <v>491</v>
      </c>
      <c r="HY39" s="22" t="s">
        <v>70</v>
      </c>
      <c r="HZ39" s="214" t="s">
        <v>530</v>
      </c>
      <c r="IB39" s="22" t="s">
        <v>3067</v>
      </c>
      <c r="IC39" s="22" t="s">
        <v>486</v>
      </c>
      <c r="ID39" s="22" t="s">
        <v>70</v>
      </c>
      <c r="IE39" s="214" t="s">
        <v>530</v>
      </c>
      <c r="IG39" s="22" t="s">
        <v>3068</v>
      </c>
      <c r="IH39" s="22" t="s">
        <v>52</v>
      </c>
      <c r="II39" s="22" t="s">
        <v>70</v>
      </c>
      <c r="IJ39" s="214" t="s">
        <v>530</v>
      </c>
      <c r="IL39" s="22" t="s">
        <v>3069</v>
      </c>
      <c r="IM39" s="22" t="s">
        <v>145</v>
      </c>
      <c r="IN39" s="22" t="s">
        <v>70</v>
      </c>
      <c r="IO39" s="214" t="s">
        <v>530</v>
      </c>
      <c r="IQ39" s="236" t="s">
        <v>3070</v>
      </c>
      <c r="IR39" s="236" t="s">
        <v>145</v>
      </c>
      <c r="IS39" s="236" t="s">
        <v>74</v>
      </c>
      <c r="IT39" s="236" t="s">
        <v>841</v>
      </c>
      <c r="IV39" s="236" t="s">
        <v>3071</v>
      </c>
      <c r="IW39" s="236" t="s">
        <v>145</v>
      </c>
      <c r="IX39" s="236" t="s">
        <v>74</v>
      </c>
      <c r="IY39" s="236" t="s">
        <v>841</v>
      </c>
      <c r="JA39" s="236" t="s">
        <v>3072</v>
      </c>
      <c r="JB39" s="236" t="s">
        <v>145</v>
      </c>
      <c r="JC39" s="236" t="s">
        <v>74</v>
      </c>
      <c r="JD39" s="236" t="s">
        <v>841</v>
      </c>
      <c r="JF39" s="236" t="s">
        <v>3073</v>
      </c>
      <c r="JG39" s="236" t="s">
        <v>145</v>
      </c>
      <c r="JH39" s="236" t="s">
        <v>74</v>
      </c>
      <c r="JI39" s="236" t="s">
        <v>841</v>
      </c>
      <c r="JK39" s="236" t="s">
        <v>3074</v>
      </c>
      <c r="JL39" s="236" t="s">
        <v>145</v>
      </c>
      <c r="JM39" s="236" t="s">
        <v>74</v>
      </c>
      <c r="JN39" s="236" t="s">
        <v>841</v>
      </c>
      <c r="JP39" s="236" t="s">
        <v>3075</v>
      </c>
      <c r="JQ39" s="236" t="s">
        <v>145</v>
      </c>
      <c r="JR39" s="236" t="s">
        <v>74</v>
      </c>
      <c r="JS39" s="236" t="s">
        <v>841</v>
      </c>
      <c r="JU39" s="294" t="s">
        <v>3076</v>
      </c>
      <c r="JV39" s="294" t="str">
        <f>TVIIBE1M_CalPairs!$R33</f>
        <v>0x8E</v>
      </c>
      <c r="JW39" s="263" t="s">
        <v>70</v>
      </c>
      <c r="JX39" s="294" t="str">
        <f>TVIIBE1M_CalPairs!$Q33</f>
        <v>SMPU14_ATT0_B3</v>
      </c>
      <c r="JZ39" s="263" t="s">
        <v>3077</v>
      </c>
      <c r="KA39" s="263" t="s">
        <v>145</v>
      </c>
      <c r="KB39" s="263" t="s">
        <v>70</v>
      </c>
      <c r="KC39" s="263" t="s">
        <v>1083</v>
      </c>
      <c r="KE39" s="263" t="s">
        <v>3078</v>
      </c>
      <c r="KF39" s="263" t="s">
        <v>52</v>
      </c>
      <c r="KG39" s="263" t="s">
        <v>70</v>
      </c>
      <c r="KH39" s="263" t="s">
        <v>1083</v>
      </c>
      <c r="KJ39" s="263" t="s">
        <v>3079</v>
      </c>
      <c r="KK39" s="294" t="s">
        <v>52</v>
      </c>
      <c r="KL39" s="263" t="s">
        <v>74</v>
      </c>
      <c r="KM39" s="294" t="s">
        <v>5903</v>
      </c>
      <c r="KO39" s="214" t="s">
        <v>3080</v>
      </c>
      <c r="KP39" s="214" t="s">
        <v>601</v>
      </c>
      <c r="KQ39" s="214" t="s">
        <v>70</v>
      </c>
      <c r="KR39" s="214" t="s">
        <v>806</v>
      </c>
      <c r="KT39" s="22" t="s">
        <v>3081</v>
      </c>
      <c r="KU39" s="22" t="s">
        <v>145</v>
      </c>
      <c r="KV39" s="22" t="s">
        <v>70</v>
      </c>
      <c r="KW39" s="22" t="s">
        <v>67</v>
      </c>
      <c r="KY39" s="214" t="s">
        <v>3082</v>
      </c>
      <c r="KZ39" s="214" t="s">
        <v>52</v>
      </c>
      <c r="LA39" s="214" t="s">
        <v>74</v>
      </c>
      <c r="LB39" s="214" t="s">
        <v>34111</v>
      </c>
      <c r="LD39" s="22" t="s">
        <v>3083</v>
      </c>
      <c r="LE39" s="22" t="s">
        <v>145</v>
      </c>
      <c r="LF39" s="22" t="s">
        <v>70</v>
      </c>
      <c r="LG39" s="22" t="s">
        <v>67</v>
      </c>
    </row>
    <row r="40" spans="1:319">
      <c r="A40" s="22" t="s">
        <v>3084</v>
      </c>
      <c r="B40" s="22" t="s">
        <v>145</v>
      </c>
      <c r="C40" s="22" t="s">
        <v>70</v>
      </c>
      <c r="D40" s="22" t="s">
        <v>67</v>
      </c>
      <c r="F40" s="23" t="s">
        <v>3085</v>
      </c>
      <c r="G40" s="23" t="str">
        <f>TVIIBE1M_CalPairs!$E37</f>
        <v>0x41</v>
      </c>
      <c r="H40" s="233" t="s">
        <v>72</v>
      </c>
      <c r="I40" s="23" t="str">
        <f>TVIIBE1M_CalPairs!$C37</f>
        <v>CLK_TRIM_CCO_CTL2_VAL1</v>
      </c>
      <c r="K40" s="218" t="s">
        <v>3086</v>
      </c>
      <c r="L40" s="218" t="s">
        <v>145</v>
      </c>
      <c r="M40" s="305" t="s">
        <v>72</v>
      </c>
      <c r="N40" s="312" t="s">
        <v>34098</v>
      </c>
      <c r="P40" s="218" t="s">
        <v>3087</v>
      </c>
      <c r="Q40" s="218" t="s">
        <v>145</v>
      </c>
      <c r="R40" s="218" t="s">
        <v>72</v>
      </c>
      <c r="S40" s="218" t="s">
        <v>790</v>
      </c>
      <c r="U40" s="293" t="s">
        <v>3088</v>
      </c>
      <c r="V40" s="293" t="s">
        <v>145</v>
      </c>
      <c r="W40" s="293" t="s">
        <v>74</v>
      </c>
      <c r="X40" s="293" t="s">
        <v>656</v>
      </c>
      <c r="Z40" s="293" t="s">
        <v>3089</v>
      </c>
      <c r="AA40" s="293" t="s">
        <v>145</v>
      </c>
      <c r="AB40" s="293" t="s">
        <v>74</v>
      </c>
      <c r="AC40" s="293" t="s">
        <v>656</v>
      </c>
      <c r="AE40" s="293" t="s">
        <v>3090</v>
      </c>
      <c r="AF40" s="293" t="s">
        <v>145</v>
      </c>
      <c r="AG40" s="293" t="s">
        <v>74</v>
      </c>
      <c r="AH40" s="293" t="s">
        <v>656</v>
      </c>
      <c r="AJ40" s="293" t="s">
        <v>3091</v>
      </c>
      <c r="AK40" s="293" t="s">
        <v>145</v>
      </c>
      <c r="AL40" s="293" t="s">
        <v>74</v>
      </c>
      <c r="AM40" s="293" t="s">
        <v>656</v>
      </c>
      <c r="AO40" s="22" t="s">
        <v>3092</v>
      </c>
      <c r="AP40" s="22" t="s">
        <v>145</v>
      </c>
      <c r="AQ40" s="22" t="s">
        <v>70</v>
      </c>
      <c r="AR40" s="22" t="s">
        <v>67</v>
      </c>
      <c r="AT40" s="22" t="s">
        <v>3093</v>
      </c>
      <c r="AU40" s="22" t="s">
        <v>145</v>
      </c>
      <c r="AV40" s="22" t="s">
        <v>70</v>
      </c>
      <c r="AW40" s="22" t="s">
        <v>67</v>
      </c>
      <c r="AY40" s="22" t="s">
        <v>3094</v>
      </c>
      <c r="AZ40" s="22" t="s">
        <v>145</v>
      </c>
      <c r="BA40" s="22" t="s">
        <v>70</v>
      </c>
      <c r="BB40" s="22" t="s">
        <v>67</v>
      </c>
      <c r="BD40" s="22" t="s">
        <v>3095</v>
      </c>
      <c r="BE40" s="22" t="s">
        <v>145</v>
      </c>
      <c r="BF40" s="22" t="s">
        <v>70</v>
      </c>
      <c r="BG40" s="22" t="s">
        <v>67</v>
      </c>
      <c r="BI40" s="22" t="s">
        <v>3096</v>
      </c>
      <c r="BJ40" s="22" t="s">
        <v>145</v>
      </c>
      <c r="BK40" s="22" t="s">
        <v>70</v>
      </c>
      <c r="BL40" s="22" t="s">
        <v>67</v>
      </c>
      <c r="BN40" s="22" t="s">
        <v>3097</v>
      </c>
      <c r="BO40" s="22" t="s">
        <v>145</v>
      </c>
      <c r="BP40" s="22" t="s">
        <v>70</v>
      </c>
      <c r="BQ40" s="22" t="s">
        <v>67</v>
      </c>
      <c r="BS40" s="22" t="s">
        <v>3098</v>
      </c>
      <c r="BT40" s="22" t="s">
        <v>145</v>
      </c>
      <c r="BU40" s="22" t="s">
        <v>70</v>
      </c>
      <c r="BV40" s="214" t="s">
        <v>530</v>
      </c>
      <c r="BX40" s="22" t="s">
        <v>3099</v>
      </c>
      <c r="BY40" s="22" t="s">
        <v>145</v>
      </c>
      <c r="BZ40" s="22" t="s">
        <v>70</v>
      </c>
      <c r="CA40" s="214" t="s">
        <v>530</v>
      </c>
      <c r="CC40" s="214" t="s">
        <v>3100</v>
      </c>
      <c r="CD40" s="214" t="s">
        <v>52</v>
      </c>
      <c r="CE40" s="214" t="s">
        <v>70</v>
      </c>
      <c r="CF40" s="218" t="s">
        <v>359</v>
      </c>
      <c r="CH40" s="214" t="s">
        <v>3101</v>
      </c>
      <c r="CI40" s="214" t="s">
        <v>34599</v>
      </c>
      <c r="CJ40" s="214" t="s">
        <v>70</v>
      </c>
      <c r="CK40" s="214" t="s">
        <v>530</v>
      </c>
      <c r="CM40" s="214" t="s">
        <v>3102</v>
      </c>
      <c r="CN40" s="214" t="s">
        <v>52</v>
      </c>
      <c r="CO40" s="214" t="s">
        <v>70</v>
      </c>
      <c r="CP40" s="214" t="s">
        <v>530</v>
      </c>
      <c r="CR40" s="214" t="s">
        <v>3103</v>
      </c>
      <c r="CS40" s="214" t="s">
        <v>34608</v>
      </c>
      <c r="CT40" s="214" t="s">
        <v>70</v>
      </c>
      <c r="CU40" s="214" t="s">
        <v>530</v>
      </c>
      <c r="CW40" s="214" t="s">
        <v>3104</v>
      </c>
      <c r="CX40" s="214" t="s">
        <v>519</v>
      </c>
      <c r="CY40" s="214" t="s">
        <v>70</v>
      </c>
      <c r="CZ40" s="214" t="s">
        <v>530</v>
      </c>
      <c r="DB40" s="214" t="s">
        <v>3105</v>
      </c>
      <c r="DC40" s="214" t="s">
        <v>52</v>
      </c>
      <c r="DD40" s="214" t="s">
        <v>70</v>
      </c>
      <c r="DE40" s="214" t="s">
        <v>530</v>
      </c>
      <c r="DG40" s="214" t="s">
        <v>3106</v>
      </c>
      <c r="DH40" s="214" t="s">
        <v>641</v>
      </c>
      <c r="DI40" s="214" t="s">
        <v>70</v>
      </c>
      <c r="DJ40" s="214" t="s">
        <v>530</v>
      </c>
      <c r="DL40" s="214" t="s">
        <v>3107</v>
      </c>
      <c r="DM40" s="214" t="s">
        <v>485</v>
      </c>
      <c r="DN40" s="214" t="s">
        <v>70</v>
      </c>
      <c r="DO40" s="214" t="s">
        <v>530</v>
      </c>
      <c r="DQ40" s="214" t="s">
        <v>3108</v>
      </c>
      <c r="DR40" s="214" t="s">
        <v>485</v>
      </c>
      <c r="DS40" s="214" t="s">
        <v>70</v>
      </c>
      <c r="DT40" s="214" t="s">
        <v>530</v>
      </c>
      <c r="DV40" s="214" t="s">
        <v>3109</v>
      </c>
      <c r="DW40" s="214" t="s">
        <v>916</v>
      </c>
      <c r="DX40" s="214" t="s">
        <v>70</v>
      </c>
      <c r="DY40" s="214" t="s">
        <v>530</v>
      </c>
      <c r="EA40" s="214" t="s">
        <v>3110</v>
      </c>
      <c r="EB40" s="214" t="s">
        <v>485</v>
      </c>
      <c r="EC40" s="214" t="s">
        <v>70</v>
      </c>
      <c r="ED40" s="214" t="s">
        <v>530</v>
      </c>
      <c r="EF40" s="214" t="s">
        <v>3111</v>
      </c>
      <c r="EG40" s="214" t="s">
        <v>491</v>
      </c>
      <c r="EH40" s="214" t="s">
        <v>70</v>
      </c>
      <c r="EI40" s="214" t="s">
        <v>530</v>
      </c>
      <c r="EK40" s="214" t="s">
        <v>3112</v>
      </c>
      <c r="EL40" s="214" t="s">
        <v>529</v>
      </c>
      <c r="EM40" s="214" t="s">
        <v>70</v>
      </c>
      <c r="EN40" s="214" t="s">
        <v>530</v>
      </c>
      <c r="EP40" s="214" t="s">
        <v>3113</v>
      </c>
      <c r="EQ40" s="214" t="s">
        <v>798</v>
      </c>
      <c r="ER40" s="214" t="s">
        <v>70</v>
      </c>
      <c r="ES40" s="214" t="s">
        <v>530</v>
      </c>
      <c r="EU40" s="214" t="s">
        <v>3114</v>
      </c>
      <c r="EV40" s="214" t="s">
        <v>930</v>
      </c>
      <c r="EW40" s="214" t="s">
        <v>70</v>
      </c>
      <c r="EX40" s="214" t="s">
        <v>530</v>
      </c>
      <c r="EZ40" s="214" t="s">
        <v>3115</v>
      </c>
      <c r="FA40" s="214" t="s">
        <v>931</v>
      </c>
      <c r="FB40" s="214" t="s">
        <v>70</v>
      </c>
      <c r="FC40" s="214" t="s">
        <v>530</v>
      </c>
      <c r="FE40" s="214" t="s">
        <v>3116</v>
      </c>
      <c r="FF40" s="214" t="s">
        <v>89</v>
      </c>
      <c r="FG40" s="214" t="s">
        <v>70</v>
      </c>
      <c r="FH40" s="214" t="s">
        <v>530</v>
      </c>
      <c r="FJ40" s="321" t="s">
        <v>3117</v>
      </c>
      <c r="FK40" s="214" t="s">
        <v>163</v>
      </c>
      <c r="FL40" s="214" t="s">
        <v>70</v>
      </c>
      <c r="FM40" s="214" t="s">
        <v>530</v>
      </c>
      <c r="FO40" s="321" t="s">
        <v>3118</v>
      </c>
      <c r="FP40" s="214" t="s">
        <v>34559</v>
      </c>
      <c r="FQ40" s="214" t="s">
        <v>70</v>
      </c>
      <c r="FR40" s="214" t="s">
        <v>530</v>
      </c>
      <c r="FT40" s="321" t="s">
        <v>3119</v>
      </c>
      <c r="FU40" s="214" t="s">
        <v>932</v>
      </c>
      <c r="FV40" s="214" t="s">
        <v>70</v>
      </c>
      <c r="FW40" s="214" t="s">
        <v>530</v>
      </c>
      <c r="FY40" s="321" t="s">
        <v>3120</v>
      </c>
      <c r="FZ40" s="214" t="s">
        <v>90</v>
      </c>
      <c r="GA40" s="214" t="s">
        <v>70</v>
      </c>
      <c r="GB40" s="214" t="s">
        <v>530</v>
      </c>
      <c r="GD40" s="321" t="s">
        <v>3121</v>
      </c>
      <c r="GE40" s="214" t="s">
        <v>34575</v>
      </c>
      <c r="GF40" s="214" t="s">
        <v>70</v>
      </c>
      <c r="GG40" s="214" t="s">
        <v>530</v>
      </c>
      <c r="GI40" s="321" t="s">
        <v>3122</v>
      </c>
      <c r="GJ40" s="214" t="s">
        <v>599</v>
      </c>
      <c r="GK40" s="214" t="s">
        <v>70</v>
      </c>
      <c r="GL40" s="214" t="s">
        <v>530</v>
      </c>
      <c r="GN40" s="321" t="s">
        <v>3123</v>
      </c>
      <c r="GO40" s="214" t="s">
        <v>146</v>
      </c>
      <c r="GP40" s="214" t="s">
        <v>70</v>
      </c>
      <c r="GQ40" s="214" t="s">
        <v>530</v>
      </c>
      <c r="GS40" s="321" t="s">
        <v>3124</v>
      </c>
      <c r="GT40" s="214" t="s">
        <v>148</v>
      </c>
      <c r="GU40" s="214" t="s">
        <v>70</v>
      </c>
      <c r="GV40" s="214" t="s">
        <v>530</v>
      </c>
      <c r="GX40" s="214" t="s">
        <v>3125</v>
      </c>
      <c r="GY40" s="214" t="s">
        <v>292</v>
      </c>
      <c r="GZ40" s="214" t="s">
        <v>70</v>
      </c>
      <c r="HA40" s="214" t="s">
        <v>530</v>
      </c>
      <c r="HC40" s="214" t="s">
        <v>3126</v>
      </c>
      <c r="HD40" s="214" t="s">
        <v>148</v>
      </c>
      <c r="HE40" s="214" t="s">
        <v>70</v>
      </c>
      <c r="HF40" s="214" t="s">
        <v>530</v>
      </c>
      <c r="HH40" s="214" t="s">
        <v>3127</v>
      </c>
      <c r="HI40" s="214" t="s">
        <v>52</v>
      </c>
      <c r="HJ40" s="214" t="s">
        <v>70</v>
      </c>
      <c r="HK40" s="214" t="s">
        <v>530</v>
      </c>
      <c r="HM40" s="214" t="s">
        <v>3128</v>
      </c>
      <c r="HN40" s="214" t="s">
        <v>34579</v>
      </c>
      <c r="HO40" s="214" t="s">
        <v>70</v>
      </c>
      <c r="HP40" s="214" t="s">
        <v>530</v>
      </c>
      <c r="HR40" s="22" t="s">
        <v>3129</v>
      </c>
      <c r="HS40" s="22" t="s">
        <v>86</v>
      </c>
      <c r="HT40" s="22" t="s">
        <v>70</v>
      </c>
      <c r="HU40" s="214" t="s">
        <v>530</v>
      </c>
      <c r="HW40" s="22" t="s">
        <v>3130</v>
      </c>
      <c r="HX40" s="22" t="s">
        <v>146</v>
      </c>
      <c r="HY40" s="22" t="s">
        <v>70</v>
      </c>
      <c r="HZ40" s="214" t="s">
        <v>530</v>
      </c>
      <c r="IB40" s="22" t="s">
        <v>3131</v>
      </c>
      <c r="IC40" s="22" t="s">
        <v>204</v>
      </c>
      <c r="ID40" s="22" t="s">
        <v>70</v>
      </c>
      <c r="IE40" s="214" t="s">
        <v>530</v>
      </c>
      <c r="IG40" s="22" t="s">
        <v>3132</v>
      </c>
      <c r="IH40" s="22" t="s">
        <v>52</v>
      </c>
      <c r="II40" s="22" t="s">
        <v>70</v>
      </c>
      <c r="IJ40" s="214" t="s">
        <v>530</v>
      </c>
      <c r="IL40" s="22" t="s">
        <v>3133</v>
      </c>
      <c r="IM40" s="22" t="s">
        <v>145</v>
      </c>
      <c r="IN40" s="22" t="s">
        <v>70</v>
      </c>
      <c r="IO40" s="214" t="s">
        <v>530</v>
      </c>
      <c r="IQ40" s="236" t="s">
        <v>3134</v>
      </c>
      <c r="IR40" s="236" t="s">
        <v>145</v>
      </c>
      <c r="IS40" s="236" t="s">
        <v>74</v>
      </c>
      <c r="IT40" s="236" t="s">
        <v>841</v>
      </c>
      <c r="IV40" s="236" t="s">
        <v>3135</v>
      </c>
      <c r="IW40" s="236" t="s">
        <v>145</v>
      </c>
      <c r="IX40" s="236" t="s">
        <v>74</v>
      </c>
      <c r="IY40" s="236" t="s">
        <v>841</v>
      </c>
      <c r="JA40" s="236" t="s">
        <v>3136</v>
      </c>
      <c r="JB40" s="236" t="s">
        <v>145</v>
      </c>
      <c r="JC40" s="236" t="s">
        <v>74</v>
      </c>
      <c r="JD40" s="236" t="s">
        <v>841</v>
      </c>
      <c r="JF40" s="236" t="s">
        <v>3137</v>
      </c>
      <c r="JG40" s="236" t="s">
        <v>145</v>
      </c>
      <c r="JH40" s="236" t="s">
        <v>74</v>
      </c>
      <c r="JI40" s="236" t="s">
        <v>841</v>
      </c>
      <c r="JK40" s="236" t="s">
        <v>3138</v>
      </c>
      <c r="JL40" s="236" t="s">
        <v>145</v>
      </c>
      <c r="JM40" s="236" t="s">
        <v>74</v>
      </c>
      <c r="JN40" s="236" t="s">
        <v>841</v>
      </c>
      <c r="JP40" s="236" t="s">
        <v>3139</v>
      </c>
      <c r="JQ40" s="236" t="s">
        <v>145</v>
      </c>
      <c r="JR40" s="236" t="s">
        <v>74</v>
      </c>
      <c r="JS40" s="236" t="s">
        <v>841</v>
      </c>
      <c r="JU40" s="294" t="s">
        <v>3140</v>
      </c>
      <c r="JV40" s="294" t="str">
        <f>TVIIBE1M_CalPairs!$R34</f>
        <v>0x00</v>
      </c>
      <c r="JW40" s="263" t="s">
        <v>70</v>
      </c>
      <c r="JX40" s="294" t="str">
        <f>TVIIBE1M_CalPairs!$Q34</f>
        <v>SMPU14_ADDR1_B0</v>
      </c>
      <c r="JZ40" s="263" t="s">
        <v>3141</v>
      </c>
      <c r="KA40" s="263" t="s">
        <v>145</v>
      </c>
      <c r="KB40" s="263" t="s">
        <v>70</v>
      </c>
      <c r="KC40" s="263" t="s">
        <v>1083</v>
      </c>
      <c r="KE40" s="263" t="s">
        <v>3142</v>
      </c>
      <c r="KF40" s="263" t="s">
        <v>52</v>
      </c>
      <c r="KG40" s="263" t="s">
        <v>70</v>
      </c>
      <c r="KH40" s="263" t="s">
        <v>1083</v>
      </c>
      <c r="KJ40" s="263" t="s">
        <v>3143</v>
      </c>
      <c r="KK40" s="263" t="s">
        <v>484</v>
      </c>
      <c r="KL40" s="263" t="s">
        <v>74</v>
      </c>
      <c r="KM40" s="263" t="s">
        <v>34244</v>
      </c>
      <c r="KO40" s="214" t="s">
        <v>3144</v>
      </c>
      <c r="KP40" s="218" t="s">
        <v>52</v>
      </c>
      <c r="KQ40" s="214" t="s">
        <v>70</v>
      </c>
      <c r="KR40" s="218" t="s">
        <v>34486</v>
      </c>
      <c r="KT40" s="22" t="s">
        <v>3145</v>
      </c>
      <c r="KU40" s="22" t="s">
        <v>145</v>
      </c>
      <c r="KV40" s="22" t="s">
        <v>70</v>
      </c>
      <c r="KW40" s="22" t="s">
        <v>67</v>
      </c>
      <c r="KY40" s="214" t="s">
        <v>3146</v>
      </c>
      <c r="KZ40" s="214" t="s">
        <v>52</v>
      </c>
      <c r="LA40" s="214" t="s">
        <v>74</v>
      </c>
      <c r="LB40" s="214" t="s">
        <v>34110</v>
      </c>
      <c r="LD40" s="22" t="s">
        <v>3147</v>
      </c>
      <c r="LE40" s="22" t="s">
        <v>145</v>
      </c>
      <c r="LF40" s="22" t="s">
        <v>70</v>
      </c>
      <c r="LG40" s="22" t="s">
        <v>67</v>
      </c>
    </row>
    <row r="41" spans="1:319">
      <c r="A41" s="22" t="s">
        <v>3148</v>
      </c>
      <c r="B41" s="22" t="s">
        <v>145</v>
      </c>
      <c r="C41" s="22" t="s">
        <v>70</v>
      </c>
      <c r="D41" s="22" t="s">
        <v>67</v>
      </c>
      <c r="F41" s="23" t="s">
        <v>3149</v>
      </c>
      <c r="G41" s="23" t="str">
        <f>TVIIBE1M_CalPairs!$E38</f>
        <v>0x88</v>
      </c>
      <c r="H41" s="233" t="s">
        <v>72</v>
      </c>
      <c r="I41" s="23" t="str">
        <f>TVIIBE1M_CalPairs!$C38</f>
        <v>CLK_TRIM_CCO_CTL2_VAL2</v>
      </c>
      <c r="K41" s="218" t="s">
        <v>3150</v>
      </c>
      <c r="L41" s="218" t="s">
        <v>145</v>
      </c>
      <c r="M41" s="305" t="s">
        <v>72</v>
      </c>
      <c r="N41" s="312" t="s">
        <v>34098</v>
      </c>
      <c r="P41" s="218" t="s">
        <v>3151</v>
      </c>
      <c r="Q41" s="218" t="s">
        <v>145</v>
      </c>
      <c r="R41" s="218" t="s">
        <v>72</v>
      </c>
      <c r="S41" s="218" t="s">
        <v>791</v>
      </c>
      <c r="U41" s="293" t="s">
        <v>3152</v>
      </c>
      <c r="V41" s="293" t="s">
        <v>145</v>
      </c>
      <c r="W41" s="293" t="s">
        <v>74</v>
      </c>
      <c r="X41" s="293" t="s">
        <v>656</v>
      </c>
      <c r="Z41" s="293" t="s">
        <v>3153</v>
      </c>
      <c r="AA41" s="293" t="s">
        <v>145</v>
      </c>
      <c r="AB41" s="293" t="s">
        <v>74</v>
      </c>
      <c r="AC41" s="293" t="s">
        <v>656</v>
      </c>
      <c r="AE41" s="293" t="s">
        <v>3154</v>
      </c>
      <c r="AF41" s="293" t="s">
        <v>145</v>
      </c>
      <c r="AG41" s="293" t="s">
        <v>74</v>
      </c>
      <c r="AH41" s="293" t="s">
        <v>656</v>
      </c>
      <c r="AJ41" s="293" t="s">
        <v>3155</v>
      </c>
      <c r="AK41" s="293" t="s">
        <v>145</v>
      </c>
      <c r="AL41" s="293" t="s">
        <v>74</v>
      </c>
      <c r="AM41" s="293" t="s">
        <v>656</v>
      </c>
      <c r="AO41" s="22" t="s">
        <v>3156</v>
      </c>
      <c r="AP41" s="22" t="s">
        <v>145</v>
      </c>
      <c r="AQ41" s="22" t="s">
        <v>70</v>
      </c>
      <c r="AR41" s="22" t="s">
        <v>67</v>
      </c>
      <c r="AT41" s="22" t="s">
        <v>3157</v>
      </c>
      <c r="AU41" s="22" t="s">
        <v>145</v>
      </c>
      <c r="AV41" s="22" t="s">
        <v>70</v>
      </c>
      <c r="AW41" s="22" t="s">
        <v>67</v>
      </c>
      <c r="AY41" s="22" t="s">
        <v>3158</v>
      </c>
      <c r="AZ41" s="22" t="s">
        <v>145</v>
      </c>
      <c r="BA41" s="22" t="s">
        <v>70</v>
      </c>
      <c r="BB41" s="22" t="s">
        <v>67</v>
      </c>
      <c r="BD41" s="22" t="s">
        <v>3159</v>
      </c>
      <c r="BE41" s="22" t="s">
        <v>145</v>
      </c>
      <c r="BF41" s="22" t="s">
        <v>70</v>
      </c>
      <c r="BG41" s="22" t="s">
        <v>67</v>
      </c>
      <c r="BI41" s="22" t="s">
        <v>3160</v>
      </c>
      <c r="BJ41" s="22" t="s">
        <v>145</v>
      </c>
      <c r="BK41" s="22" t="s">
        <v>70</v>
      </c>
      <c r="BL41" s="22" t="s">
        <v>67</v>
      </c>
      <c r="BN41" s="22" t="s">
        <v>3161</v>
      </c>
      <c r="BO41" s="22" t="s">
        <v>145</v>
      </c>
      <c r="BP41" s="22" t="s">
        <v>70</v>
      </c>
      <c r="BQ41" s="22" t="s">
        <v>67</v>
      </c>
      <c r="BS41" s="22" t="s">
        <v>3162</v>
      </c>
      <c r="BT41" s="22" t="s">
        <v>145</v>
      </c>
      <c r="BU41" s="22" t="s">
        <v>70</v>
      </c>
      <c r="BV41" s="214" t="s">
        <v>530</v>
      </c>
      <c r="BX41" s="22" t="s">
        <v>3163</v>
      </c>
      <c r="BY41" s="22" t="s">
        <v>145</v>
      </c>
      <c r="BZ41" s="22" t="s">
        <v>70</v>
      </c>
      <c r="CA41" s="214" t="s">
        <v>530</v>
      </c>
      <c r="CC41" s="214" t="s">
        <v>3164</v>
      </c>
      <c r="CD41" s="214" t="s">
        <v>52</v>
      </c>
      <c r="CE41" s="214" t="s">
        <v>70</v>
      </c>
      <c r="CF41" s="218" t="s">
        <v>360</v>
      </c>
      <c r="CH41" s="214" t="s">
        <v>3165</v>
      </c>
      <c r="CI41" s="214" t="s">
        <v>34558</v>
      </c>
      <c r="CJ41" s="214" t="s">
        <v>70</v>
      </c>
      <c r="CK41" s="214" t="s">
        <v>530</v>
      </c>
      <c r="CM41" s="214" t="s">
        <v>3166</v>
      </c>
      <c r="CN41" s="214" t="s">
        <v>34551</v>
      </c>
      <c r="CO41" s="214" t="s">
        <v>70</v>
      </c>
      <c r="CP41" s="214" t="s">
        <v>530</v>
      </c>
      <c r="CR41" s="214" t="s">
        <v>3167</v>
      </c>
      <c r="CS41" s="214" t="s">
        <v>149</v>
      </c>
      <c r="CT41" s="214" t="s">
        <v>70</v>
      </c>
      <c r="CU41" s="214" t="s">
        <v>530</v>
      </c>
      <c r="CW41" s="214" t="s">
        <v>3168</v>
      </c>
      <c r="CX41" s="214" t="s">
        <v>34557</v>
      </c>
      <c r="CY41" s="214" t="s">
        <v>70</v>
      </c>
      <c r="CZ41" s="214" t="s">
        <v>530</v>
      </c>
      <c r="DB41" s="214" t="s">
        <v>3169</v>
      </c>
      <c r="DC41" s="214" t="s">
        <v>146</v>
      </c>
      <c r="DD41" s="214" t="s">
        <v>70</v>
      </c>
      <c r="DE41" s="214" t="s">
        <v>530</v>
      </c>
      <c r="DG41" s="214" t="s">
        <v>3170</v>
      </c>
      <c r="DH41" s="214" t="s">
        <v>92</v>
      </c>
      <c r="DI41" s="214" t="s">
        <v>70</v>
      </c>
      <c r="DJ41" s="214" t="s">
        <v>530</v>
      </c>
      <c r="DL41" s="214" t="s">
        <v>3171</v>
      </c>
      <c r="DM41" s="214" t="s">
        <v>52</v>
      </c>
      <c r="DN41" s="214" t="s">
        <v>70</v>
      </c>
      <c r="DO41" s="214" t="s">
        <v>530</v>
      </c>
      <c r="DQ41" s="214" t="s">
        <v>3172</v>
      </c>
      <c r="DR41" s="214" t="s">
        <v>468</v>
      </c>
      <c r="DS41" s="214" t="s">
        <v>70</v>
      </c>
      <c r="DT41" s="214" t="s">
        <v>530</v>
      </c>
      <c r="DV41" s="214" t="s">
        <v>3173</v>
      </c>
      <c r="DW41" s="214" t="s">
        <v>87</v>
      </c>
      <c r="DX41" s="214" t="s">
        <v>70</v>
      </c>
      <c r="DY41" s="214" t="s">
        <v>530</v>
      </c>
      <c r="EA41" s="214" t="s">
        <v>3174</v>
      </c>
      <c r="EB41" s="214" t="s">
        <v>52</v>
      </c>
      <c r="EC41" s="214" t="s">
        <v>70</v>
      </c>
      <c r="ED41" s="214" t="s">
        <v>530</v>
      </c>
      <c r="EF41" s="214" t="s">
        <v>3175</v>
      </c>
      <c r="EG41" s="214" t="s">
        <v>88</v>
      </c>
      <c r="EH41" s="214" t="s">
        <v>70</v>
      </c>
      <c r="EI41" s="214" t="s">
        <v>530</v>
      </c>
      <c r="EK41" s="214" t="s">
        <v>3176</v>
      </c>
      <c r="EL41" s="214" t="s">
        <v>93</v>
      </c>
      <c r="EM41" s="214" t="s">
        <v>70</v>
      </c>
      <c r="EN41" s="214" t="s">
        <v>530</v>
      </c>
      <c r="EP41" s="214" t="s">
        <v>3177</v>
      </c>
      <c r="EQ41" s="214" t="s">
        <v>52</v>
      </c>
      <c r="ER41" s="214" t="s">
        <v>70</v>
      </c>
      <c r="ES41" s="214" t="s">
        <v>530</v>
      </c>
      <c r="EU41" s="214" t="s">
        <v>3178</v>
      </c>
      <c r="EV41" s="214" t="s">
        <v>490</v>
      </c>
      <c r="EW41" s="214" t="s">
        <v>70</v>
      </c>
      <c r="EX41" s="214" t="s">
        <v>530</v>
      </c>
      <c r="EZ41" s="214" t="s">
        <v>3179</v>
      </c>
      <c r="FA41" s="214" t="s">
        <v>491</v>
      </c>
      <c r="FB41" s="214" t="s">
        <v>70</v>
      </c>
      <c r="FC41" s="214" t="s">
        <v>530</v>
      </c>
      <c r="FE41" s="214" t="s">
        <v>3180</v>
      </c>
      <c r="FF41" s="214" t="s">
        <v>52</v>
      </c>
      <c r="FG41" s="214" t="s">
        <v>70</v>
      </c>
      <c r="FH41" s="214" t="s">
        <v>530</v>
      </c>
      <c r="FJ41" s="321" t="s">
        <v>3181</v>
      </c>
      <c r="FK41" s="214" t="s">
        <v>488</v>
      </c>
      <c r="FL41" s="214" t="s">
        <v>70</v>
      </c>
      <c r="FM41" s="214" t="s">
        <v>530</v>
      </c>
      <c r="FO41" s="321" t="s">
        <v>3182</v>
      </c>
      <c r="FP41" s="214" t="s">
        <v>503</v>
      </c>
      <c r="FQ41" s="214" t="s">
        <v>70</v>
      </c>
      <c r="FR41" s="214" t="s">
        <v>530</v>
      </c>
      <c r="FT41" s="321" t="s">
        <v>3183</v>
      </c>
      <c r="FU41" s="214" t="s">
        <v>163</v>
      </c>
      <c r="FV41" s="214" t="s">
        <v>70</v>
      </c>
      <c r="FW41" s="214" t="s">
        <v>530</v>
      </c>
      <c r="FY41" s="321" t="s">
        <v>3184</v>
      </c>
      <c r="FZ41" s="214" t="s">
        <v>499</v>
      </c>
      <c r="GA41" s="214" t="s">
        <v>70</v>
      </c>
      <c r="GB41" s="214" t="s">
        <v>530</v>
      </c>
      <c r="GD41" s="321" t="s">
        <v>3185</v>
      </c>
      <c r="GE41" s="214" t="s">
        <v>34550</v>
      </c>
      <c r="GF41" s="214" t="s">
        <v>70</v>
      </c>
      <c r="GG41" s="214" t="s">
        <v>530</v>
      </c>
      <c r="GI41" s="321" t="s">
        <v>3186</v>
      </c>
      <c r="GJ41" s="214" t="s">
        <v>34556</v>
      </c>
      <c r="GK41" s="214" t="s">
        <v>70</v>
      </c>
      <c r="GL41" s="214" t="s">
        <v>530</v>
      </c>
      <c r="GN41" s="321" t="s">
        <v>3187</v>
      </c>
      <c r="GO41" s="214" t="s">
        <v>287</v>
      </c>
      <c r="GP41" s="214" t="s">
        <v>70</v>
      </c>
      <c r="GQ41" s="214" t="s">
        <v>530</v>
      </c>
      <c r="GS41" s="321" t="s">
        <v>3188</v>
      </c>
      <c r="GT41" s="214" t="s">
        <v>599</v>
      </c>
      <c r="GU41" s="214" t="s">
        <v>70</v>
      </c>
      <c r="GV41" s="214" t="s">
        <v>530</v>
      </c>
      <c r="GX41" s="214" t="s">
        <v>3189</v>
      </c>
      <c r="GY41" s="214" t="s">
        <v>10541</v>
      </c>
      <c r="GZ41" s="214" t="s">
        <v>70</v>
      </c>
      <c r="HA41" s="214" t="s">
        <v>530</v>
      </c>
      <c r="HC41" s="214" t="s">
        <v>3190</v>
      </c>
      <c r="HD41" s="214" t="s">
        <v>34542</v>
      </c>
      <c r="HE41" s="214" t="s">
        <v>70</v>
      </c>
      <c r="HF41" s="214" t="s">
        <v>530</v>
      </c>
      <c r="HH41" s="214" t="s">
        <v>3191</v>
      </c>
      <c r="HI41" s="214" t="s">
        <v>287</v>
      </c>
      <c r="HJ41" s="214" t="s">
        <v>70</v>
      </c>
      <c r="HK41" s="214" t="s">
        <v>530</v>
      </c>
      <c r="HM41" s="214" t="s">
        <v>3192</v>
      </c>
      <c r="HN41" s="214" t="s">
        <v>52</v>
      </c>
      <c r="HO41" s="214" t="s">
        <v>70</v>
      </c>
      <c r="HP41" s="214" t="s">
        <v>530</v>
      </c>
      <c r="HR41" s="22" t="s">
        <v>3193</v>
      </c>
      <c r="HS41" s="22" t="s">
        <v>482</v>
      </c>
      <c r="HT41" s="22" t="s">
        <v>70</v>
      </c>
      <c r="HU41" s="214" t="s">
        <v>530</v>
      </c>
      <c r="HW41" s="22" t="s">
        <v>3194</v>
      </c>
      <c r="HX41" s="22" t="s">
        <v>484</v>
      </c>
      <c r="HY41" s="22" t="s">
        <v>70</v>
      </c>
      <c r="HZ41" s="214" t="s">
        <v>530</v>
      </c>
      <c r="IB41" s="22" t="s">
        <v>3195</v>
      </c>
      <c r="IC41" s="22" t="s">
        <v>488</v>
      </c>
      <c r="ID41" s="22" t="s">
        <v>70</v>
      </c>
      <c r="IE41" s="214" t="s">
        <v>530</v>
      </c>
      <c r="IG41" s="22" t="s">
        <v>3196</v>
      </c>
      <c r="IH41" s="22" t="s">
        <v>52</v>
      </c>
      <c r="II41" s="22" t="s">
        <v>70</v>
      </c>
      <c r="IJ41" s="214" t="s">
        <v>530</v>
      </c>
      <c r="IL41" s="22" t="s">
        <v>3197</v>
      </c>
      <c r="IM41" s="22" t="s">
        <v>145</v>
      </c>
      <c r="IN41" s="22" t="s">
        <v>70</v>
      </c>
      <c r="IO41" s="214" t="s">
        <v>530</v>
      </c>
      <c r="IQ41" s="236" t="s">
        <v>3198</v>
      </c>
      <c r="IR41" s="236" t="s">
        <v>145</v>
      </c>
      <c r="IS41" s="236" t="s">
        <v>74</v>
      </c>
      <c r="IT41" s="236" t="s">
        <v>841</v>
      </c>
      <c r="IV41" s="236" t="s">
        <v>3199</v>
      </c>
      <c r="IW41" s="236" t="s">
        <v>145</v>
      </c>
      <c r="IX41" s="236" t="s">
        <v>74</v>
      </c>
      <c r="IY41" s="236" t="s">
        <v>841</v>
      </c>
      <c r="JA41" s="236" t="s">
        <v>3200</v>
      </c>
      <c r="JB41" s="236" t="s">
        <v>145</v>
      </c>
      <c r="JC41" s="236" t="s">
        <v>74</v>
      </c>
      <c r="JD41" s="236" t="s">
        <v>841</v>
      </c>
      <c r="JF41" s="236" t="s">
        <v>3201</v>
      </c>
      <c r="JG41" s="236" t="s">
        <v>145</v>
      </c>
      <c r="JH41" s="236" t="s">
        <v>74</v>
      </c>
      <c r="JI41" s="236" t="s">
        <v>841</v>
      </c>
      <c r="JK41" s="236" t="s">
        <v>3202</v>
      </c>
      <c r="JL41" s="236" t="s">
        <v>145</v>
      </c>
      <c r="JM41" s="236" t="s">
        <v>74</v>
      </c>
      <c r="JN41" s="236" t="s">
        <v>841</v>
      </c>
      <c r="JP41" s="236" t="s">
        <v>3203</v>
      </c>
      <c r="JQ41" s="236" t="s">
        <v>145</v>
      </c>
      <c r="JR41" s="236" t="s">
        <v>74</v>
      </c>
      <c r="JS41" s="236" t="s">
        <v>841</v>
      </c>
      <c r="JU41" s="294" t="s">
        <v>3204</v>
      </c>
      <c r="JV41" s="294" t="str">
        <f>TVIIBE1M_CalPairs!$R35</f>
        <v>0x00</v>
      </c>
      <c r="JW41" s="263" t="s">
        <v>70</v>
      </c>
      <c r="JX41" s="294" t="str">
        <f>TVIIBE1M_CalPairs!$Q35</f>
        <v>SMPU14_ADDR1_B1</v>
      </c>
      <c r="JZ41" s="263" t="s">
        <v>3205</v>
      </c>
      <c r="KA41" s="263" t="s">
        <v>145</v>
      </c>
      <c r="KB41" s="263" t="s">
        <v>70</v>
      </c>
      <c r="KC41" s="263" t="s">
        <v>1083</v>
      </c>
      <c r="KE41" s="263" t="s">
        <v>3206</v>
      </c>
      <c r="KF41" s="263" t="s">
        <v>52</v>
      </c>
      <c r="KG41" s="263" t="s">
        <v>70</v>
      </c>
      <c r="KH41" s="263" t="s">
        <v>1083</v>
      </c>
      <c r="KJ41" s="263" t="s">
        <v>3207</v>
      </c>
      <c r="KK41" s="263" t="s">
        <v>52</v>
      </c>
      <c r="KL41" s="263" t="s">
        <v>74</v>
      </c>
      <c r="KM41" s="263" t="s">
        <v>34245</v>
      </c>
      <c r="KO41" s="214" t="s">
        <v>3208</v>
      </c>
      <c r="KP41" s="218" t="s">
        <v>52</v>
      </c>
      <c r="KQ41" s="214" t="s">
        <v>70</v>
      </c>
      <c r="KR41" s="218" t="s">
        <v>34486</v>
      </c>
      <c r="KT41" s="22" t="s">
        <v>3209</v>
      </c>
      <c r="KU41" s="22" t="s">
        <v>145</v>
      </c>
      <c r="KV41" s="22" t="s">
        <v>70</v>
      </c>
      <c r="KW41" s="22" t="s">
        <v>67</v>
      </c>
      <c r="KY41" s="214" t="s">
        <v>3210</v>
      </c>
      <c r="KZ41" s="214" t="s">
        <v>52</v>
      </c>
      <c r="LA41" s="214" t="s">
        <v>74</v>
      </c>
      <c r="LB41" s="214" t="s">
        <v>34110</v>
      </c>
      <c r="LD41" s="22" t="s">
        <v>3211</v>
      </c>
      <c r="LE41" s="22" t="s">
        <v>145</v>
      </c>
      <c r="LF41" s="22" t="s">
        <v>70</v>
      </c>
      <c r="LG41" s="22" t="s">
        <v>67</v>
      </c>
    </row>
    <row r="42" spans="1:319">
      <c r="A42" s="22" t="s">
        <v>3212</v>
      </c>
      <c r="B42" s="22" t="s">
        <v>145</v>
      </c>
      <c r="C42" s="22" t="s">
        <v>70</v>
      </c>
      <c r="D42" s="22" t="s">
        <v>67</v>
      </c>
      <c r="F42" s="23" t="s">
        <v>3213</v>
      </c>
      <c r="G42" s="23" t="str">
        <f>TVIIBE1M_CalPairs!$E39</f>
        <v>0x00</v>
      </c>
      <c r="H42" s="23" t="s">
        <v>72</v>
      </c>
      <c r="I42" s="23" t="str">
        <f>TVIIBE1M_CalPairs!$C39</f>
        <v>CLK_TRIM_CCO_CTL2_VAL3</v>
      </c>
      <c r="K42" s="218" t="s">
        <v>3214</v>
      </c>
      <c r="L42" s="218" t="s">
        <v>145</v>
      </c>
      <c r="M42" s="305" t="s">
        <v>72</v>
      </c>
      <c r="N42" s="312" t="s">
        <v>34098</v>
      </c>
      <c r="P42" s="218" t="s">
        <v>3215</v>
      </c>
      <c r="Q42" s="218" t="s">
        <v>145</v>
      </c>
      <c r="R42" s="218" t="s">
        <v>72</v>
      </c>
      <c r="S42" s="218" t="s">
        <v>792</v>
      </c>
      <c r="U42" s="293" t="s">
        <v>3216</v>
      </c>
      <c r="V42" s="293" t="s">
        <v>145</v>
      </c>
      <c r="W42" s="293" t="s">
        <v>74</v>
      </c>
      <c r="X42" s="293" t="s">
        <v>656</v>
      </c>
      <c r="Z42" s="293" t="s">
        <v>3217</v>
      </c>
      <c r="AA42" s="293" t="s">
        <v>145</v>
      </c>
      <c r="AB42" s="293" t="s">
        <v>74</v>
      </c>
      <c r="AC42" s="293" t="s">
        <v>656</v>
      </c>
      <c r="AE42" s="293" t="s">
        <v>3218</v>
      </c>
      <c r="AF42" s="293" t="s">
        <v>145</v>
      </c>
      <c r="AG42" s="293" t="s">
        <v>74</v>
      </c>
      <c r="AH42" s="293" t="s">
        <v>656</v>
      </c>
      <c r="AJ42" s="293" t="s">
        <v>3219</v>
      </c>
      <c r="AK42" s="293" t="s">
        <v>145</v>
      </c>
      <c r="AL42" s="293" t="s">
        <v>74</v>
      </c>
      <c r="AM42" s="293" t="s">
        <v>656</v>
      </c>
      <c r="AO42" s="22" t="s">
        <v>3220</v>
      </c>
      <c r="AP42" s="22" t="s">
        <v>145</v>
      </c>
      <c r="AQ42" s="22" t="s">
        <v>70</v>
      </c>
      <c r="AR42" s="22" t="s">
        <v>67</v>
      </c>
      <c r="AT42" s="22" t="s">
        <v>3221</v>
      </c>
      <c r="AU42" s="22" t="s">
        <v>145</v>
      </c>
      <c r="AV42" s="22" t="s">
        <v>70</v>
      </c>
      <c r="AW42" s="22" t="s">
        <v>67</v>
      </c>
      <c r="AY42" s="22" t="s">
        <v>3222</v>
      </c>
      <c r="AZ42" s="22" t="s">
        <v>145</v>
      </c>
      <c r="BA42" s="22" t="s">
        <v>70</v>
      </c>
      <c r="BB42" s="22" t="s">
        <v>67</v>
      </c>
      <c r="BD42" s="22" t="s">
        <v>3223</v>
      </c>
      <c r="BE42" s="22" t="s">
        <v>145</v>
      </c>
      <c r="BF42" s="22" t="s">
        <v>70</v>
      </c>
      <c r="BG42" s="22" t="s">
        <v>67</v>
      </c>
      <c r="BI42" s="22" t="s">
        <v>3224</v>
      </c>
      <c r="BJ42" s="22" t="s">
        <v>145</v>
      </c>
      <c r="BK42" s="22" t="s">
        <v>70</v>
      </c>
      <c r="BL42" s="22" t="s">
        <v>67</v>
      </c>
      <c r="BN42" s="22" t="s">
        <v>3225</v>
      </c>
      <c r="BO42" s="22" t="s">
        <v>145</v>
      </c>
      <c r="BP42" s="22" t="s">
        <v>70</v>
      </c>
      <c r="BQ42" s="22" t="s">
        <v>67</v>
      </c>
      <c r="BS42" s="22" t="s">
        <v>3226</v>
      </c>
      <c r="BT42" s="22" t="s">
        <v>145</v>
      </c>
      <c r="BU42" s="22" t="s">
        <v>70</v>
      </c>
      <c r="BV42" s="214" t="s">
        <v>530</v>
      </c>
      <c r="BX42" s="22" t="s">
        <v>3227</v>
      </c>
      <c r="BY42" s="22" t="s">
        <v>145</v>
      </c>
      <c r="BZ42" s="22" t="s">
        <v>70</v>
      </c>
      <c r="CA42" s="214" t="s">
        <v>530</v>
      </c>
      <c r="CC42" s="214" t="s">
        <v>3228</v>
      </c>
      <c r="CD42" s="214" t="s">
        <v>52</v>
      </c>
      <c r="CE42" s="214" t="s">
        <v>70</v>
      </c>
      <c r="CF42" s="218" t="s">
        <v>361</v>
      </c>
      <c r="CH42" s="214" t="s">
        <v>3229</v>
      </c>
      <c r="CI42" s="214" t="s">
        <v>919</v>
      </c>
      <c r="CJ42" s="214" t="s">
        <v>70</v>
      </c>
      <c r="CK42" s="214" t="s">
        <v>530</v>
      </c>
      <c r="CM42" s="214" t="s">
        <v>3230</v>
      </c>
      <c r="CN42" s="214" t="s">
        <v>34550</v>
      </c>
      <c r="CO42" s="214" t="s">
        <v>70</v>
      </c>
      <c r="CP42" s="214" t="s">
        <v>530</v>
      </c>
      <c r="CR42" s="214" t="s">
        <v>3231</v>
      </c>
      <c r="CS42" s="214" t="s">
        <v>34550</v>
      </c>
      <c r="CT42" s="214" t="s">
        <v>70</v>
      </c>
      <c r="CU42" s="214" t="s">
        <v>530</v>
      </c>
      <c r="CW42" s="214" t="s">
        <v>3232</v>
      </c>
      <c r="CX42" s="214" t="s">
        <v>501</v>
      </c>
      <c r="CY42" s="214" t="s">
        <v>70</v>
      </c>
      <c r="CZ42" s="214" t="s">
        <v>530</v>
      </c>
      <c r="DB42" s="214" t="s">
        <v>3233</v>
      </c>
      <c r="DC42" s="214" t="s">
        <v>52</v>
      </c>
      <c r="DD42" s="214" t="s">
        <v>70</v>
      </c>
      <c r="DE42" s="214" t="s">
        <v>530</v>
      </c>
      <c r="DG42" s="214" t="s">
        <v>3234</v>
      </c>
      <c r="DH42" s="214" t="s">
        <v>52</v>
      </c>
      <c r="DI42" s="214" t="s">
        <v>70</v>
      </c>
      <c r="DJ42" s="214" t="s">
        <v>530</v>
      </c>
      <c r="DL42" s="214" t="s">
        <v>3235</v>
      </c>
      <c r="DM42" s="214" t="s">
        <v>145</v>
      </c>
      <c r="DN42" s="214" t="s">
        <v>70</v>
      </c>
      <c r="DO42" s="214" t="s">
        <v>530</v>
      </c>
      <c r="DQ42" s="214" t="s">
        <v>3236</v>
      </c>
      <c r="DR42" s="214" t="s">
        <v>468</v>
      </c>
      <c r="DS42" s="214" t="s">
        <v>70</v>
      </c>
      <c r="DT42" s="214" t="s">
        <v>530</v>
      </c>
      <c r="DV42" s="214" t="s">
        <v>3237</v>
      </c>
      <c r="DW42" s="214" t="s">
        <v>503</v>
      </c>
      <c r="DX42" s="214" t="s">
        <v>70</v>
      </c>
      <c r="DY42" s="214" t="s">
        <v>530</v>
      </c>
      <c r="EA42" s="214" t="s">
        <v>3238</v>
      </c>
      <c r="EB42" s="214" t="s">
        <v>145</v>
      </c>
      <c r="EC42" s="214" t="s">
        <v>70</v>
      </c>
      <c r="ED42" s="214" t="s">
        <v>530</v>
      </c>
      <c r="EF42" s="214" t="s">
        <v>3239</v>
      </c>
      <c r="EG42" s="214" t="s">
        <v>52</v>
      </c>
      <c r="EH42" s="214" t="s">
        <v>70</v>
      </c>
      <c r="EI42" s="214" t="s">
        <v>530</v>
      </c>
      <c r="EK42" s="214" t="s">
        <v>3240</v>
      </c>
      <c r="EL42" s="214" t="s">
        <v>148</v>
      </c>
      <c r="EM42" s="214" t="s">
        <v>70</v>
      </c>
      <c r="EN42" s="214" t="s">
        <v>530</v>
      </c>
      <c r="EP42" s="214" t="s">
        <v>3241</v>
      </c>
      <c r="EQ42" s="214" t="s">
        <v>599</v>
      </c>
      <c r="ER42" s="214" t="s">
        <v>70</v>
      </c>
      <c r="ES42" s="214" t="s">
        <v>530</v>
      </c>
      <c r="EU42" s="214" t="s">
        <v>3242</v>
      </c>
      <c r="EV42" s="214" t="s">
        <v>34624</v>
      </c>
      <c r="EW42" s="214" t="s">
        <v>70</v>
      </c>
      <c r="EX42" s="214" t="s">
        <v>530</v>
      </c>
      <c r="EZ42" s="214" t="s">
        <v>3243</v>
      </c>
      <c r="FA42" s="214" t="s">
        <v>52</v>
      </c>
      <c r="FB42" s="214" t="s">
        <v>70</v>
      </c>
      <c r="FC42" s="214" t="s">
        <v>530</v>
      </c>
      <c r="FE42" s="214" t="s">
        <v>3244</v>
      </c>
      <c r="FF42" s="214" t="s">
        <v>145</v>
      </c>
      <c r="FG42" s="214" t="s">
        <v>70</v>
      </c>
      <c r="FH42" s="214" t="s">
        <v>530</v>
      </c>
      <c r="FJ42" s="321" t="s">
        <v>3245</v>
      </c>
      <c r="FK42" s="214" t="s">
        <v>145</v>
      </c>
      <c r="FL42" s="214" t="s">
        <v>70</v>
      </c>
      <c r="FM42" s="214" t="s">
        <v>530</v>
      </c>
      <c r="FO42" s="321" t="s">
        <v>3246</v>
      </c>
      <c r="FP42" s="214" t="s">
        <v>52</v>
      </c>
      <c r="FQ42" s="214" t="s">
        <v>70</v>
      </c>
      <c r="FR42" s="214" t="s">
        <v>530</v>
      </c>
      <c r="FT42" s="321" t="s">
        <v>3247</v>
      </c>
      <c r="FU42" s="214" t="s">
        <v>85</v>
      </c>
      <c r="FV42" s="214" t="s">
        <v>70</v>
      </c>
      <c r="FW42" s="214" t="s">
        <v>530</v>
      </c>
      <c r="FY42" s="321" t="s">
        <v>3248</v>
      </c>
      <c r="FZ42" s="214" t="s">
        <v>88</v>
      </c>
      <c r="GA42" s="214" t="s">
        <v>70</v>
      </c>
      <c r="GB42" s="214" t="s">
        <v>530</v>
      </c>
      <c r="GD42" s="321" t="s">
        <v>3249</v>
      </c>
      <c r="GE42" s="214" t="s">
        <v>913</v>
      </c>
      <c r="GF42" s="214" t="s">
        <v>70</v>
      </c>
      <c r="GG42" s="214" t="s">
        <v>530</v>
      </c>
      <c r="GI42" s="321" t="s">
        <v>3250</v>
      </c>
      <c r="GJ42" s="214" t="s">
        <v>601</v>
      </c>
      <c r="GK42" s="214" t="s">
        <v>70</v>
      </c>
      <c r="GL42" s="214" t="s">
        <v>530</v>
      </c>
      <c r="GN42" s="321" t="s">
        <v>3251</v>
      </c>
      <c r="GO42" s="214" t="s">
        <v>34556</v>
      </c>
      <c r="GP42" s="214" t="s">
        <v>70</v>
      </c>
      <c r="GQ42" s="214" t="s">
        <v>530</v>
      </c>
      <c r="GS42" s="321" t="s">
        <v>3252</v>
      </c>
      <c r="GT42" s="214" t="s">
        <v>148</v>
      </c>
      <c r="GU42" s="214" t="s">
        <v>70</v>
      </c>
      <c r="GV42" s="214" t="s">
        <v>530</v>
      </c>
      <c r="GX42" s="214" t="s">
        <v>3253</v>
      </c>
      <c r="GY42" s="214" t="s">
        <v>52</v>
      </c>
      <c r="GZ42" s="214" t="s">
        <v>70</v>
      </c>
      <c r="HA42" s="214" t="s">
        <v>530</v>
      </c>
      <c r="HC42" s="214" t="s">
        <v>3254</v>
      </c>
      <c r="HD42" s="214" t="s">
        <v>52</v>
      </c>
      <c r="HE42" s="214" t="s">
        <v>70</v>
      </c>
      <c r="HF42" s="214" t="s">
        <v>530</v>
      </c>
      <c r="HH42" s="214" t="s">
        <v>3255</v>
      </c>
      <c r="HI42" s="214" t="s">
        <v>87</v>
      </c>
      <c r="HJ42" s="214" t="s">
        <v>70</v>
      </c>
      <c r="HK42" s="214" t="s">
        <v>530</v>
      </c>
      <c r="HM42" s="214" t="s">
        <v>3256</v>
      </c>
      <c r="HN42" s="214" t="s">
        <v>34600</v>
      </c>
      <c r="HO42" s="214" t="s">
        <v>70</v>
      </c>
      <c r="HP42" s="214" t="s">
        <v>530</v>
      </c>
      <c r="HR42" s="22" t="s">
        <v>3257</v>
      </c>
      <c r="HS42" s="22" t="s">
        <v>286</v>
      </c>
      <c r="HT42" s="22" t="s">
        <v>70</v>
      </c>
      <c r="HU42" s="214" t="s">
        <v>530</v>
      </c>
      <c r="HW42" s="22" t="s">
        <v>3258</v>
      </c>
      <c r="HX42" s="22" t="s">
        <v>90</v>
      </c>
      <c r="HY42" s="22" t="s">
        <v>70</v>
      </c>
      <c r="HZ42" s="214" t="s">
        <v>530</v>
      </c>
      <c r="IB42" s="22" t="s">
        <v>3259</v>
      </c>
      <c r="IC42" s="22" t="s">
        <v>34579</v>
      </c>
      <c r="ID42" s="22" t="s">
        <v>70</v>
      </c>
      <c r="IE42" s="214" t="s">
        <v>530</v>
      </c>
      <c r="IG42" s="22" t="s">
        <v>3260</v>
      </c>
      <c r="IH42" s="22" t="s">
        <v>52</v>
      </c>
      <c r="II42" s="22" t="s">
        <v>70</v>
      </c>
      <c r="IJ42" s="214" t="s">
        <v>530</v>
      </c>
      <c r="IL42" s="22" t="s">
        <v>3261</v>
      </c>
      <c r="IM42" s="22" t="s">
        <v>145</v>
      </c>
      <c r="IN42" s="22" t="s">
        <v>70</v>
      </c>
      <c r="IO42" s="214" t="s">
        <v>530</v>
      </c>
      <c r="IQ42" s="236" t="s">
        <v>3262</v>
      </c>
      <c r="IR42" s="236" t="s">
        <v>145</v>
      </c>
      <c r="IS42" s="236" t="s">
        <v>74</v>
      </c>
      <c r="IT42" s="236" t="s">
        <v>841</v>
      </c>
      <c r="IV42" s="236" t="s">
        <v>3263</v>
      </c>
      <c r="IW42" s="236" t="s">
        <v>145</v>
      </c>
      <c r="IX42" s="236" t="s">
        <v>74</v>
      </c>
      <c r="IY42" s="236" t="s">
        <v>841</v>
      </c>
      <c r="JA42" s="236" t="s">
        <v>3264</v>
      </c>
      <c r="JB42" s="236" t="s">
        <v>145</v>
      </c>
      <c r="JC42" s="236" t="s">
        <v>74</v>
      </c>
      <c r="JD42" s="236" t="s">
        <v>841</v>
      </c>
      <c r="JF42" s="236" t="s">
        <v>3265</v>
      </c>
      <c r="JG42" s="236" t="s">
        <v>145</v>
      </c>
      <c r="JH42" s="236" t="s">
        <v>74</v>
      </c>
      <c r="JI42" s="236" t="s">
        <v>841</v>
      </c>
      <c r="JK42" s="236" t="s">
        <v>3266</v>
      </c>
      <c r="JL42" s="236" t="s">
        <v>145</v>
      </c>
      <c r="JM42" s="236" t="s">
        <v>74</v>
      </c>
      <c r="JN42" s="236" t="s">
        <v>841</v>
      </c>
      <c r="JP42" s="236" t="s">
        <v>3267</v>
      </c>
      <c r="JQ42" s="236" t="s">
        <v>145</v>
      </c>
      <c r="JR42" s="236" t="s">
        <v>74</v>
      </c>
      <c r="JS42" s="236" t="s">
        <v>841</v>
      </c>
      <c r="JU42" s="294" t="s">
        <v>3268</v>
      </c>
      <c r="JV42" s="294" t="str">
        <f>TVIIBE1M_CalPairs!$R36</f>
        <v>0x00</v>
      </c>
      <c r="JW42" s="263" t="s">
        <v>70</v>
      </c>
      <c r="JX42" s="294" t="str">
        <f>TVIIBE1M_CalPairs!$Q36</f>
        <v>SMPU14_ADDR1_B2</v>
      </c>
      <c r="JZ42" s="263" t="s">
        <v>3269</v>
      </c>
      <c r="KA42" s="263" t="s">
        <v>145</v>
      </c>
      <c r="KB42" s="263" t="s">
        <v>70</v>
      </c>
      <c r="KC42" s="263" t="s">
        <v>1083</v>
      </c>
      <c r="KE42" s="263" t="s">
        <v>3270</v>
      </c>
      <c r="KF42" s="263" t="s">
        <v>52</v>
      </c>
      <c r="KG42" s="263" t="s">
        <v>70</v>
      </c>
      <c r="KH42" s="263" t="s">
        <v>1083</v>
      </c>
      <c r="KJ42" s="263" t="s">
        <v>3271</v>
      </c>
      <c r="KK42" s="263" t="s">
        <v>52</v>
      </c>
      <c r="KL42" s="263" t="s">
        <v>74</v>
      </c>
      <c r="KM42" s="263" t="s">
        <v>34246</v>
      </c>
      <c r="KO42" s="214" t="s">
        <v>3272</v>
      </c>
      <c r="KP42" s="218" t="s">
        <v>52</v>
      </c>
      <c r="KQ42" s="214" t="s">
        <v>70</v>
      </c>
      <c r="KR42" s="218" t="s">
        <v>34486</v>
      </c>
      <c r="KT42" s="22" t="s">
        <v>3273</v>
      </c>
      <c r="KU42" s="22" t="s">
        <v>145</v>
      </c>
      <c r="KV42" s="22" t="s">
        <v>70</v>
      </c>
      <c r="KW42" s="22" t="s">
        <v>67</v>
      </c>
      <c r="KY42" s="214" t="s">
        <v>3274</v>
      </c>
      <c r="KZ42" s="214" t="s">
        <v>52</v>
      </c>
      <c r="LA42" s="214" t="s">
        <v>74</v>
      </c>
      <c r="LB42" s="214" t="s">
        <v>34110</v>
      </c>
      <c r="LD42" s="22" t="s">
        <v>3275</v>
      </c>
      <c r="LE42" s="22" t="s">
        <v>145</v>
      </c>
      <c r="LF42" s="22" t="s">
        <v>70</v>
      </c>
      <c r="LG42" s="22" t="s">
        <v>67</v>
      </c>
    </row>
    <row r="43" spans="1:319">
      <c r="A43" s="22" t="s">
        <v>3276</v>
      </c>
      <c r="B43" s="22" t="s">
        <v>145</v>
      </c>
      <c r="C43" s="22" t="s">
        <v>70</v>
      </c>
      <c r="D43" s="22" t="s">
        <v>67</v>
      </c>
      <c r="F43" s="23" t="s">
        <v>3277</v>
      </c>
      <c r="G43" s="23" t="str">
        <f>TVIIBE1M_CalPairs!$E40</f>
        <v>0x00</v>
      </c>
      <c r="H43" s="23" t="s">
        <v>72</v>
      </c>
      <c r="I43" s="23" t="str">
        <f>TVIIBE1M_CalPairs!$C40</f>
        <v>PWR_TRIM_WAKE_CTL_VAL0</v>
      </c>
      <c r="K43" s="218" t="s">
        <v>3278</v>
      </c>
      <c r="L43" s="218" t="s">
        <v>145</v>
      </c>
      <c r="M43" s="305" t="s">
        <v>72</v>
      </c>
      <c r="N43" s="312" t="s">
        <v>34098</v>
      </c>
      <c r="P43" s="218" t="s">
        <v>3279</v>
      </c>
      <c r="Q43" s="218" t="s">
        <v>145</v>
      </c>
      <c r="R43" s="218" t="s">
        <v>72</v>
      </c>
      <c r="S43" s="218" t="s">
        <v>793</v>
      </c>
      <c r="U43" s="293" t="s">
        <v>3280</v>
      </c>
      <c r="V43" s="293" t="s">
        <v>145</v>
      </c>
      <c r="W43" s="293" t="s">
        <v>74</v>
      </c>
      <c r="X43" s="293" t="s">
        <v>656</v>
      </c>
      <c r="Z43" s="293" t="s">
        <v>3281</v>
      </c>
      <c r="AA43" s="293" t="s">
        <v>145</v>
      </c>
      <c r="AB43" s="293" t="s">
        <v>74</v>
      </c>
      <c r="AC43" s="293" t="s">
        <v>656</v>
      </c>
      <c r="AE43" s="293" t="s">
        <v>3282</v>
      </c>
      <c r="AF43" s="293" t="s">
        <v>145</v>
      </c>
      <c r="AG43" s="293" t="s">
        <v>74</v>
      </c>
      <c r="AH43" s="293" t="s">
        <v>656</v>
      </c>
      <c r="AJ43" s="293" t="s">
        <v>3283</v>
      </c>
      <c r="AK43" s="293" t="s">
        <v>145</v>
      </c>
      <c r="AL43" s="293" t="s">
        <v>74</v>
      </c>
      <c r="AM43" s="293" t="s">
        <v>656</v>
      </c>
      <c r="AO43" s="22" t="s">
        <v>3284</v>
      </c>
      <c r="AP43" s="22" t="s">
        <v>145</v>
      </c>
      <c r="AQ43" s="22" t="s">
        <v>70</v>
      </c>
      <c r="AR43" s="22" t="s">
        <v>67</v>
      </c>
      <c r="AT43" s="22" t="s">
        <v>3285</v>
      </c>
      <c r="AU43" s="22" t="s">
        <v>145</v>
      </c>
      <c r="AV43" s="22" t="s">
        <v>70</v>
      </c>
      <c r="AW43" s="22" t="s">
        <v>67</v>
      </c>
      <c r="AY43" s="22" t="s">
        <v>3286</v>
      </c>
      <c r="AZ43" s="22" t="s">
        <v>145</v>
      </c>
      <c r="BA43" s="22" t="s">
        <v>70</v>
      </c>
      <c r="BB43" s="22" t="s">
        <v>67</v>
      </c>
      <c r="BD43" s="22" t="s">
        <v>3287</v>
      </c>
      <c r="BE43" s="22" t="s">
        <v>145</v>
      </c>
      <c r="BF43" s="22" t="s">
        <v>70</v>
      </c>
      <c r="BG43" s="22" t="s">
        <v>67</v>
      </c>
      <c r="BI43" s="22" t="s">
        <v>3288</v>
      </c>
      <c r="BJ43" s="22" t="s">
        <v>145</v>
      </c>
      <c r="BK43" s="22" t="s">
        <v>70</v>
      </c>
      <c r="BL43" s="22" t="s">
        <v>67</v>
      </c>
      <c r="BN43" s="22" t="s">
        <v>3289</v>
      </c>
      <c r="BO43" s="22" t="s">
        <v>145</v>
      </c>
      <c r="BP43" s="22" t="s">
        <v>70</v>
      </c>
      <c r="BQ43" s="22" t="s">
        <v>67</v>
      </c>
      <c r="BS43" s="22" t="s">
        <v>3290</v>
      </c>
      <c r="BT43" s="22" t="s">
        <v>145</v>
      </c>
      <c r="BU43" s="22" t="s">
        <v>70</v>
      </c>
      <c r="BV43" s="214" t="s">
        <v>530</v>
      </c>
      <c r="BX43" s="22" t="s">
        <v>3291</v>
      </c>
      <c r="BY43" s="22" t="s">
        <v>145</v>
      </c>
      <c r="BZ43" s="22" t="s">
        <v>70</v>
      </c>
      <c r="CA43" s="214" t="s">
        <v>530</v>
      </c>
      <c r="CC43" s="214" t="s">
        <v>3292</v>
      </c>
      <c r="CD43" s="214" t="s">
        <v>52</v>
      </c>
      <c r="CE43" s="214" t="s">
        <v>70</v>
      </c>
      <c r="CF43" s="218" t="s">
        <v>362</v>
      </c>
      <c r="CH43" s="214" t="s">
        <v>3293</v>
      </c>
      <c r="CI43" s="214" t="s">
        <v>529</v>
      </c>
      <c r="CJ43" s="214" t="s">
        <v>70</v>
      </c>
      <c r="CK43" s="214" t="s">
        <v>530</v>
      </c>
      <c r="CM43" s="214" t="s">
        <v>3294</v>
      </c>
      <c r="CN43" s="214" t="s">
        <v>926</v>
      </c>
      <c r="CO43" s="214" t="s">
        <v>70</v>
      </c>
      <c r="CP43" s="214" t="s">
        <v>530</v>
      </c>
      <c r="CR43" s="214" t="s">
        <v>3295</v>
      </c>
      <c r="CS43" s="214" t="s">
        <v>486</v>
      </c>
      <c r="CT43" s="214" t="s">
        <v>70</v>
      </c>
      <c r="CU43" s="214" t="s">
        <v>530</v>
      </c>
      <c r="CW43" s="214" t="s">
        <v>3296</v>
      </c>
      <c r="CX43" s="214" t="s">
        <v>488</v>
      </c>
      <c r="CY43" s="214" t="s">
        <v>70</v>
      </c>
      <c r="CZ43" s="214" t="s">
        <v>530</v>
      </c>
      <c r="DB43" s="214" t="s">
        <v>3297</v>
      </c>
      <c r="DC43" s="214" t="s">
        <v>149</v>
      </c>
      <c r="DD43" s="214" t="s">
        <v>70</v>
      </c>
      <c r="DE43" s="214" t="s">
        <v>530</v>
      </c>
      <c r="DG43" s="214" t="s">
        <v>3298</v>
      </c>
      <c r="DH43" s="214" t="s">
        <v>52</v>
      </c>
      <c r="DI43" s="214" t="s">
        <v>70</v>
      </c>
      <c r="DJ43" s="214" t="s">
        <v>530</v>
      </c>
      <c r="DL43" s="214" t="s">
        <v>3299</v>
      </c>
      <c r="DM43" s="214" t="s">
        <v>34541</v>
      </c>
      <c r="DN43" s="214" t="s">
        <v>70</v>
      </c>
      <c r="DO43" s="214" t="s">
        <v>530</v>
      </c>
      <c r="DQ43" s="214" t="s">
        <v>3300</v>
      </c>
      <c r="DR43" s="214" t="s">
        <v>34548</v>
      </c>
      <c r="DS43" s="214" t="s">
        <v>70</v>
      </c>
      <c r="DT43" s="214" t="s">
        <v>530</v>
      </c>
      <c r="DV43" s="214" t="s">
        <v>3301</v>
      </c>
      <c r="DW43" s="214" t="s">
        <v>599</v>
      </c>
      <c r="DX43" s="214" t="s">
        <v>70</v>
      </c>
      <c r="DY43" s="214" t="s">
        <v>530</v>
      </c>
      <c r="EA43" s="214" t="s">
        <v>3302</v>
      </c>
      <c r="EB43" s="214" t="s">
        <v>34541</v>
      </c>
      <c r="EC43" s="214" t="s">
        <v>70</v>
      </c>
      <c r="ED43" s="214" t="s">
        <v>530</v>
      </c>
      <c r="EF43" s="214" t="s">
        <v>3303</v>
      </c>
      <c r="EG43" s="214" t="s">
        <v>88</v>
      </c>
      <c r="EH43" s="214" t="s">
        <v>70</v>
      </c>
      <c r="EI43" s="214" t="s">
        <v>530</v>
      </c>
      <c r="EK43" s="214" t="s">
        <v>3304</v>
      </c>
      <c r="EL43" s="214" t="s">
        <v>603</v>
      </c>
      <c r="EM43" s="214" t="s">
        <v>70</v>
      </c>
      <c r="EN43" s="214" t="s">
        <v>530</v>
      </c>
      <c r="EP43" s="214" t="s">
        <v>3305</v>
      </c>
      <c r="EQ43" s="214" t="s">
        <v>146</v>
      </c>
      <c r="ER43" s="214" t="s">
        <v>70</v>
      </c>
      <c r="ES43" s="214" t="s">
        <v>530</v>
      </c>
      <c r="EU43" s="214" t="s">
        <v>3306</v>
      </c>
      <c r="EV43" s="214" t="s">
        <v>491</v>
      </c>
      <c r="EW43" s="214" t="s">
        <v>70</v>
      </c>
      <c r="EX43" s="214" t="s">
        <v>530</v>
      </c>
      <c r="EZ43" s="214" t="s">
        <v>3307</v>
      </c>
      <c r="FA43" s="214" t="s">
        <v>484</v>
      </c>
      <c r="FB43" s="214" t="s">
        <v>70</v>
      </c>
      <c r="FC43" s="214" t="s">
        <v>530</v>
      </c>
      <c r="FE43" s="214" t="s">
        <v>3308</v>
      </c>
      <c r="FF43" s="214" t="s">
        <v>34541</v>
      </c>
      <c r="FG43" s="214" t="s">
        <v>70</v>
      </c>
      <c r="FH43" s="214" t="s">
        <v>530</v>
      </c>
      <c r="FJ43" s="321" t="s">
        <v>3309</v>
      </c>
      <c r="FK43" s="214" t="s">
        <v>34541</v>
      </c>
      <c r="FL43" s="214" t="s">
        <v>70</v>
      </c>
      <c r="FM43" s="214" t="s">
        <v>530</v>
      </c>
      <c r="FO43" s="321" t="s">
        <v>3310</v>
      </c>
      <c r="FP43" s="214" t="s">
        <v>468</v>
      </c>
      <c r="FQ43" s="214" t="s">
        <v>70</v>
      </c>
      <c r="FR43" s="214" t="s">
        <v>530</v>
      </c>
      <c r="FT43" s="321" t="s">
        <v>3311</v>
      </c>
      <c r="FU43" s="214" t="s">
        <v>52</v>
      </c>
      <c r="FV43" s="214" t="s">
        <v>70</v>
      </c>
      <c r="FW43" s="214" t="s">
        <v>530</v>
      </c>
      <c r="FY43" s="321" t="s">
        <v>3312</v>
      </c>
      <c r="FZ43" s="214" t="s">
        <v>500</v>
      </c>
      <c r="GA43" s="214" t="s">
        <v>70</v>
      </c>
      <c r="GB43" s="214" t="s">
        <v>530</v>
      </c>
      <c r="GD43" s="321" t="s">
        <v>3313</v>
      </c>
      <c r="GE43" s="214" t="s">
        <v>501</v>
      </c>
      <c r="GF43" s="214" t="s">
        <v>70</v>
      </c>
      <c r="GG43" s="214" t="s">
        <v>530</v>
      </c>
      <c r="GI43" s="321" t="s">
        <v>3314</v>
      </c>
      <c r="GJ43" s="214" t="s">
        <v>468</v>
      </c>
      <c r="GK43" s="214" t="s">
        <v>70</v>
      </c>
      <c r="GL43" s="214" t="s">
        <v>530</v>
      </c>
      <c r="GN43" s="321" t="s">
        <v>3315</v>
      </c>
      <c r="GO43" s="214" t="s">
        <v>34541</v>
      </c>
      <c r="GP43" s="214" t="s">
        <v>70</v>
      </c>
      <c r="GQ43" s="214" t="s">
        <v>530</v>
      </c>
      <c r="GS43" s="321" t="s">
        <v>3316</v>
      </c>
      <c r="GT43" s="214" t="s">
        <v>502</v>
      </c>
      <c r="GU43" s="214" t="s">
        <v>70</v>
      </c>
      <c r="GV43" s="214" t="s">
        <v>530</v>
      </c>
      <c r="GX43" s="214" t="s">
        <v>3317</v>
      </c>
      <c r="GY43" s="214" t="s">
        <v>146</v>
      </c>
      <c r="GZ43" s="214" t="s">
        <v>70</v>
      </c>
      <c r="HA43" s="214" t="s">
        <v>530</v>
      </c>
      <c r="HC43" s="214" t="s">
        <v>3318</v>
      </c>
      <c r="HD43" s="214" t="s">
        <v>87</v>
      </c>
      <c r="HE43" s="214" t="s">
        <v>70</v>
      </c>
      <c r="HF43" s="214" t="s">
        <v>530</v>
      </c>
      <c r="HH43" s="214" t="s">
        <v>3319</v>
      </c>
      <c r="HI43" s="214" t="s">
        <v>484</v>
      </c>
      <c r="HJ43" s="214" t="s">
        <v>70</v>
      </c>
      <c r="HK43" s="214" t="s">
        <v>530</v>
      </c>
      <c r="HM43" s="214" t="s">
        <v>3320</v>
      </c>
      <c r="HN43" s="214" t="s">
        <v>484</v>
      </c>
      <c r="HO43" s="214" t="s">
        <v>70</v>
      </c>
      <c r="HP43" s="214" t="s">
        <v>530</v>
      </c>
      <c r="HR43" s="22" t="s">
        <v>3321</v>
      </c>
      <c r="HS43" s="22" t="s">
        <v>52</v>
      </c>
      <c r="HT43" s="22" t="s">
        <v>70</v>
      </c>
      <c r="HU43" s="214" t="s">
        <v>530</v>
      </c>
      <c r="HW43" s="22" t="s">
        <v>3322</v>
      </c>
      <c r="HX43" s="22" t="s">
        <v>487</v>
      </c>
      <c r="HY43" s="22" t="s">
        <v>70</v>
      </c>
      <c r="HZ43" s="214" t="s">
        <v>530</v>
      </c>
      <c r="IB43" s="22" t="s">
        <v>3323</v>
      </c>
      <c r="IC43" s="22" t="s">
        <v>484</v>
      </c>
      <c r="ID43" s="22" t="s">
        <v>70</v>
      </c>
      <c r="IE43" s="214" t="s">
        <v>530</v>
      </c>
      <c r="IG43" s="22" t="s">
        <v>3324</v>
      </c>
      <c r="IH43" s="22" t="s">
        <v>52</v>
      </c>
      <c r="II43" s="22" t="s">
        <v>70</v>
      </c>
      <c r="IJ43" s="214" t="s">
        <v>530</v>
      </c>
      <c r="IL43" s="22" t="s">
        <v>3325</v>
      </c>
      <c r="IM43" s="22" t="s">
        <v>145</v>
      </c>
      <c r="IN43" s="22" t="s">
        <v>70</v>
      </c>
      <c r="IO43" s="214" t="s">
        <v>530</v>
      </c>
      <c r="IQ43" s="236" t="s">
        <v>3326</v>
      </c>
      <c r="IR43" s="236" t="s">
        <v>145</v>
      </c>
      <c r="IS43" s="236" t="s">
        <v>74</v>
      </c>
      <c r="IT43" s="236" t="s">
        <v>841</v>
      </c>
      <c r="IV43" s="236" t="s">
        <v>3327</v>
      </c>
      <c r="IW43" s="236" t="s">
        <v>145</v>
      </c>
      <c r="IX43" s="236" t="s">
        <v>74</v>
      </c>
      <c r="IY43" s="236" t="s">
        <v>841</v>
      </c>
      <c r="JA43" s="236" t="s">
        <v>3328</v>
      </c>
      <c r="JB43" s="236" t="s">
        <v>145</v>
      </c>
      <c r="JC43" s="236" t="s">
        <v>74</v>
      </c>
      <c r="JD43" s="236" t="s">
        <v>841</v>
      </c>
      <c r="JF43" s="236" t="s">
        <v>3329</v>
      </c>
      <c r="JG43" s="236" t="s">
        <v>145</v>
      </c>
      <c r="JH43" s="236" t="s">
        <v>74</v>
      </c>
      <c r="JI43" s="236" t="s">
        <v>841</v>
      </c>
      <c r="JK43" s="236" t="s">
        <v>3330</v>
      </c>
      <c r="JL43" s="236" t="s">
        <v>145</v>
      </c>
      <c r="JM43" s="236" t="s">
        <v>74</v>
      </c>
      <c r="JN43" s="236" t="s">
        <v>841</v>
      </c>
      <c r="JP43" s="236" t="s">
        <v>3331</v>
      </c>
      <c r="JQ43" s="236" t="s">
        <v>145</v>
      </c>
      <c r="JR43" s="236" t="s">
        <v>74</v>
      </c>
      <c r="JS43" s="236" t="s">
        <v>841</v>
      </c>
      <c r="JU43" s="294" t="s">
        <v>3332</v>
      </c>
      <c r="JV43" s="294" t="str">
        <f>TVIIBE1M_CalPairs!$R37</f>
        <v>0x00</v>
      </c>
      <c r="JW43" s="263" t="s">
        <v>70</v>
      </c>
      <c r="JX43" s="294" t="str">
        <f>TVIIBE1M_CalPairs!$Q37</f>
        <v>SMPU14_ADDR1_B3</v>
      </c>
      <c r="JZ43" s="263" t="s">
        <v>3333</v>
      </c>
      <c r="KA43" s="263" t="s">
        <v>145</v>
      </c>
      <c r="KB43" s="263" t="s">
        <v>70</v>
      </c>
      <c r="KC43" s="263" t="s">
        <v>1083</v>
      </c>
      <c r="KE43" s="263" t="s">
        <v>3334</v>
      </c>
      <c r="KF43" s="263" t="s">
        <v>52</v>
      </c>
      <c r="KG43" s="263" t="s">
        <v>70</v>
      </c>
      <c r="KH43" s="263" t="s">
        <v>1083</v>
      </c>
      <c r="KJ43" s="263" t="s">
        <v>3335</v>
      </c>
      <c r="KK43" s="263" t="s">
        <v>52</v>
      </c>
      <c r="KL43" s="263" t="s">
        <v>74</v>
      </c>
      <c r="KM43" s="263" t="s">
        <v>34247</v>
      </c>
      <c r="KO43" s="214" t="s">
        <v>3336</v>
      </c>
      <c r="KP43" s="218" t="s">
        <v>52</v>
      </c>
      <c r="KQ43" s="214" t="s">
        <v>70</v>
      </c>
      <c r="KR43" s="218" t="s">
        <v>34486</v>
      </c>
      <c r="KT43" s="22" t="s">
        <v>3337</v>
      </c>
      <c r="KU43" s="22" t="s">
        <v>145</v>
      </c>
      <c r="KV43" s="22" t="s">
        <v>70</v>
      </c>
      <c r="KW43" s="22" t="s">
        <v>67</v>
      </c>
      <c r="KY43" s="214" t="s">
        <v>3338</v>
      </c>
      <c r="KZ43" s="214" t="s">
        <v>52</v>
      </c>
      <c r="LA43" s="214" t="s">
        <v>74</v>
      </c>
      <c r="LB43" s="214" t="s">
        <v>34110</v>
      </c>
      <c r="LD43" s="22" t="s">
        <v>3339</v>
      </c>
      <c r="LE43" s="22" t="s">
        <v>145</v>
      </c>
      <c r="LF43" s="22" t="s">
        <v>70</v>
      </c>
      <c r="LG43" s="22" t="s">
        <v>67</v>
      </c>
    </row>
    <row r="44" spans="1:319">
      <c r="A44" s="22" t="s">
        <v>3340</v>
      </c>
      <c r="B44" s="22" t="s">
        <v>145</v>
      </c>
      <c r="C44" s="22" t="s">
        <v>70</v>
      </c>
      <c r="D44" s="22" t="s">
        <v>67</v>
      </c>
      <c r="F44" s="23" t="s">
        <v>3341</v>
      </c>
      <c r="G44" s="23" t="str">
        <f>TVIIBE1M_CalPairs!$E41</f>
        <v>0x00</v>
      </c>
      <c r="H44" s="23" t="s">
        <v>72</v>
      </c>
      <c r="I44" s="23" t="str">
        <f>TVIIBE1M_CalPairs!$C41</f>
        <v>PWR_TRIM_WAKE_CTL_VAL1</v>
      </c>
      <c r="K44" s="22" t="s">
        <v>3342</v>
      </c>
      <c r="L44" s="22" t="s">
        <v>145</v>
      </c>
      <c r="M44" s="22" t="s">
        <v>70</v>
      </c>
      <c r="N44" s="22" t="s">
        <v>67</v>
      </c>
      <c r="P44" s="22" t="s">
        <v>3343</v>
      </c>
      <c r="Q44" s="22" t="s">
        <v>145</v>
      </c>
      <c r="R44" s="22" t="s">
        <v>70</v>
      </c>
      <c r="S44" s="22" t="s">
        <v>67</v>
      </c>
      <c r="U44" s="293" t="s">
        <v>3344</v>
      </c>
      <c r="V44" s="293" t="s">
        <v>145</v>
      </c>
      <c r="W44" s="293" t="s">
        <v>74</v>
      </c>
      <c r="X44" s="293" t="s">
        <v>656</v>
      </c>
      <c r="Z44" s="293" t="s">
        <v>3345</v>
      </c>
      <c r="AA44" s="293" t="s">
        <v>145</v>
      </c>
      <c r="AB44" s="293" t="s">
        <v>74</v>
      </c>
      <c r="AC44" s="293" t="s">
        <v>656</v>
      </c>
      <c r="AE44" s="293" t="s">
        <v>3346</v>
      </c>
      <c r="AF44" s="293" t="s">
        <v>145</v>
      </c>
      <c r="AG44" s="293" t="s">
        <v>74</v>
      </c>
      <c r="AH44" s="293" t="s">
        <v>656</v>
      </c>
      <c r="AJ44" s="293" t="s">
        <v>3347</v>
      </c>
      <c r="AK44" s="293" t="s">
        <v>145</v>
      </c>
      <c r="AL44" s="293" t="s">
        <v>74</v>
      </c>
      <c r="AM44" s="293" t="s">
        <v>656</v>
      </c>
      <c r="AO44" s="22" t="s">
        <v>3348</v>
      </c>
      <c r="AP44" s="22" t="s">
        <v>145</v>
      </c>
      <c r="AQ44" s="22" t="s">
        <v>70</v>
      </c>
      <c r="AR44" s="22" t="s">
        <v>67</v>
      </c>
      <c r="AT44" s="22" t="s">
        <v>3349</v>
      </c>
      <c r="AU44" s="22" t="s">
        <v>145</v>
      </c>
      <c r="AV44" s="22" t="s">
        <v>70</v>
      </c>
      <c r="AW44" s="22" t="s">
        <v>67</v>
      </c>
      <c r="AY44" s="22" t="s">
        <v>3350</v>
      </c>
      <c r="AZ44" s="22" t="s">
        <v>145</v>
      </c>
      <c r="BA44" s="22" t="s">
        <v>70</v>
      </c>
      <c r="BB44" s="22" t="s">
        <v>67</v>
      </c>
      <c r="BD44" s="22" t="s">
        <v>3351</v>
      </c>
      <c r="BE44" s="22" t="s">
        <v>145</v>
      </c>
      <c r="BF44" s="22" t="s">
        <v>70</v>
      </c>
      <c r="BG44" s="22" t="s">
        <v>67</v>
      </c>
      <c r="BI44" s="22" t="s">
        <v>3352</v>
      </c>
      <c r="BJ44" s="22" t="s">
        <v>145</v>
      </c>
      <c r="BK44" s="22" t="s">
        <v>70</v>
      </c>
      <c r="BL44" s="22" t="s">
        <v>67</v>
      </c>
      <c r="BN44" s="22" t="s">
        <v>3353</v>
      </c>
      <c r="BO44" s="22" t="s">
        <v>145</v>
      </c>
      <c r="BP44" s="22" t="s">
        <v>70</v>
      </c>
      <c r="BQ44" s="22" t="s">
        <v>67</v>
      </c>
      <c r="BS44" s="22" t="s">
        <v>3354</v>
      </c>
      <c r="BT44" s="22" t="s">
        <v>145</v>
      </c>
      <c r="BU44" s="22" t="s">
        <v>70</v>
      </c>
      <c r="BV44" s="214" t="s">
        <v>530</v>
      </c>
      <c r="BX44" s="22" t="s">
        <v>3355</v>
      </c>
      <c r="BY44" s="22" t="s">
        <v>145</v>
      </c>
      <c r="BZ44" s="22" t="s">
        <v>70</v>
      </c>
      <c r="CA44" s="214" t="s">
        <v>530</v>
      </c>
      <c r="CC44" s="214" t="s">
        <v>3356</v>
      </c>
      <c r="CD44" s="214" t="s">
        <v>498</v>
      </c>
      <c r="CE44" s="214" t="s">
        <v>70</v>
      </c>
      <c r="CF44" s="218" t="s">
        <v>363</v>
      </c>
      <c r="CH44" s="214" t="s">
        <v>3357</v>
      </c>
      <c r="CI44" s="214" t="s">
        <v>919</v>
      </c>
      <c r="CJ44" s="214" t="s">
        <v>70</v>
      </c>
      <c r="CK44" s="214" t="s">
        <v>530</v>
      </c>
      <c r="CM44" s="214" t="s">
        <v>3358</v>
      </c>
      <c r="CN44" s="214" t="s">
        <v>936</v>
      </c>
      <c r="CO44" s="214" t="s">
        <v>70</v>
      </c>
      <c r="CP44" s="214" t="s">
        <v>530</v>
      </c>
      <c r="CR44" s="214" t="s">
        <v>3359</v>
      </c>
      <c r="CS44" s="214" t="s">
        <v>211</v>
      </c>
      <c r="CT44" s="214" t="s">
        <v>70</v>
      </c>
      <c r="CU44" s="214" t="s">
        <v>530</v>
      </c>
      <c r="CW44" s="214" t="s">
        <v>3360</v>
      </c>
      <c r="CX44" s="214" t="s">
        <v>163</v>
      </c>
      <c r="CY44" s="214" t="s">
        <v>70</v>
      </c>
      <c r="CZ44" s="214" t="s">
        <v>530</v>
      </c>
      <c r="DB44" s="214" t="s">
        <v>3361</v>
      </c>
      <c r="DC44" s="214" t="s">
        <v>468</v>
      </c>
      <c r="DD44" s="214" t="s">
        <v>70</v>
      </c>
      <c r="DE44" s="214" t="s">
        <v>530</v>
      </c>
      <c r="DG44" s="214" t="s">
        <v>3362</v>
      </c>
      <c r="DH44" s="214" t="s">
        <v>52</v>
      </c>
      <c r="DI44" s="214" t="s">
        <v>70</v>
      </c>
      <c r="DJ44" s="214" t="s">
        <v>530</v>
      </c>
      <c r="DL44" s="214" t="s">
        <v>3363</v>
      </c>
      <c r="DM44" s="214" t="s">
        <v>149</v>
      </c>
      <c r="DN44" s="214" t="s">
        <v>70</v>
      </c>
      <c r="DO44" s="214" t="s">
        <v>530</v>
      </c>
      <c r="DQ44" s="214" t="s">
        <v>3364</v>
      </c>
      <c r="DR44" s="214" t="s">
        <v>52</v>
      </c>
      <c r="DS44" s="214" t="s">
        <v>70</v>
      </c>
      <c r="DT44" s="214" t="s">
        <v>530</v>
      </c>
      <c r="DV44" s="214" t="s">
        <v>3365</v>
      </c>
      <c r="DW44" s="214" t="s">
        <v>951</v>
      </c>
      <c r="DX44" s="214" t="s">
        <v>70</v>
      </c>
      <c r="DY44" s="214" t="s">
        <v>530</v>
      </c>
      <c r="EA44" s="214" t="s">
        <v>3366</v>
      </c>
      <c r="EB44" s="214" t="s">
        <v>34655</v>
      </c>
      <c r="EC44" s="214" t="s">
        <v>70</v>
      </c>
      <c r="ED44" s="214" t="s">
        <v>530</v>
      </c>
      <c r="EF44" s="214" t="s">
        <v>3367</v>
      </c>
      <c r="EG44" s="214" t="s">
        <v>148</v>
      </c>
      <c r="EH44" s="214" t="s">
        <v>70</v>
      </c>
      <c r="EI44" s="214" t="s">
        <v>530</v>
      </c>
      <c r="EK44" s="214" t="s">
        <v>3368</v>
      </c>
      <c r="EL44" s="214" t="s">
        <v>52</v>
      </c>
      <c r="EM44" s="214" t="s">
        <v>70</v>
      </c>
      <c r="EN44" s="214" t="s">
        <v>530</v>
      </c>
      <c r="EP44" s="214" t="s">
        <v>3369</v>
      </c>
      <c r="EQ44" s="214" t="s">
        <v>52</v>
      </c>
      <c r="ER44" s="214" t="s">
        <v>70</v>
      </c>
      <c r="ES44" s="214" t="s">
        <v>530</v>
      </c>
      <c r="EU44" s="214" t="s">
        <v>3370</v>
      </c>
      <c r="EV44" s="214" t="s">
        <v>52</v>
      </c>
      <c r="EW44" s="214" t="s">
        <v>70</v>
      </c>
      <c r="EX44" s="214" t="s">
        <v>530</v>
      </c>
      <c r="EZ44" s="214" t="s">
        <v>3371</v>
      </c>
      <c r="FA44" s="214" t="s">
        <v>933</v>
      </c>
      <c r="FB44" s="214" t="s">
        <v>70</v>
      </c>
      <c r="FC44" s="214" t="s">
        <v>530</v>
      </c>
      <c r="FE44" s="214" t="s">
        <v>3372</v>
      </c>
      <c r="FF44" s="214" t="s">
        <v>34576</v>
      </c>
      <c r="FG44" s="214" t="s">
        <v>70</v>
      </c>
      <c r="FH44" s="214" t="s">
        <v>530</v>
      </c>
      <c r="FJ44" s="321" t="s">
        <v>3373</v>
      </c>
      <c r="FK44" s="214" t="s">
        <v>34549</v>
      </c>
      <c r="FL44" s="214" t="s">
        <v>70</v>
      </c>
      <c r="FM44" s="214" t="s">
        <v>530</v>
      </c>
      <c r="FO44" s="321" t="s">
        <v>3374</v>
      </c>
      <c r="FP44" s="214" t="s">
        <v>485</v>
      </c>
      <c r="FQ44" s="214" t="s">
        <v>70</v>
      </c>
      <c r="FR44" s="214" t="s">
        <v>530</v>
      </c>
      <c r="FT44" s="321" t="s">
        <v>3375</v>
      </c>
      <c r="FU44" s="214" t="s">
        <v>205</v>
      </c>
      <c r="FV44" s="214" t="s">
        <v>70</v>
      </c>
      <c r="FW44" s="214" t="s">
        <v>530</v>
      </c>
      <c r="FY44" s="321" t="s">
        <v>3376</v>
      </c>
      <c r="FZ44" s="214" t="s">
        <v>88</v>
      </c>
      <c r="GA44" s="214" t="s">
        <v>70</v>
      </c>
      <c r="GB44" s="214" t="s">
        <v>530</v>
      </c>
      <c r="GD44" s="321" t="s">
        <v>3377</v>
      </c>
      <c r="GE44" s="214" t="s">
        <v>34583</v>
      </c>
      <c r="GF44" s="214" t="s">
        <v>70</v>
      </c>
      <c r="GG44" s="214" t="s">
        <v>530</v>
      </c>
      <c r="GI44" s="321" t="s">
        <v>3378</v>
      </c>
      <c r="GJ44" s="214" t="s">
        <v>52</v>
      </c>
      <c r="GK44" s="214" t="s">
        <v>70</v>
      </c>
      <c r="GL44" s="214" t="s">
        <v>530</v>
      </c>
      <c r="GN44" s="321" t="s">
        <v>3379</v>
      </c>
      <c r="GO44" s="214" t="s">
        <v>34608</v>
      </c>
      <c r="GP44" s="214" t="s">
        <v>70</v>
      </c>
      <c r="GQ44" s="214" t="s">
        <v>530</v>
      </c>
      <c r="GS44" s="321" t="s">
        <v>3380</v>
      </c>
      <c r="GT44" s="214" t="s">
        <v>468</v>
      </c>
      <c r="GU44" s="214" t="s">
        <v>70</v>
      </c>
      <c r="GV44" s="214" t="s">
        <v>530</v>
      </c>
      <c r="GX44" s="214" t="s">
        <v>3381</v>
      </c>
      <c r="GY44" s="214" t="s">
        <v>52</v>
      </c>
      <c r="GZ44" s="214" t="s">
        <v>70</v>
      </c>
      <c r="HA44" s="214" t="s">
        <v>530</v>
      </c>
      <c r="HC44" s="214" t="s">
        <v>3382</v>
      </c>
      <c r="HD44" s="214" t="s">
        <v>600</v>
      </c>
      <c r="HE44" s="214" t="s">
        <v>70</v>
      </c>
      <c r="HF44" s="214" t="s">
        <v>530</v>
      </c>
      <c r="HH44" s="214" t="s">
        <v>3383</v>
      </c>
      <c r="HI44" s="214" t="s">
        <v>919</v>
      </c>
      <c r="HJ44" s="214" t="s">
        <v>70</v>
      </c>
      <c r="HK44" s="214" t="s">
        <v>530</v>
      </c>
      <c r="HM44" s="214" t="s">
        <v>3384</v>
      </c>
      <c r="HN44" s="214" t="s">
        <v>145</v>
      </c>
      <c r="HO44" s="214" t="s">
        <v>70</v>
      </c>
      <c r="HP44" s="214" t="s">
        <v>530</v>
      </c>
      <c r="HR44" s="22" t="s">
        <v>3385</v>
      </c>
      <c r="HS44" s="22" t="s">
        <v>52</v>
      </c>
      <c r="HT44" s="22" t="s">
        <v>70</v>
      </c>
      <c r="HU44" s="214" t="s">
        <v>530</v>
      </c>
      <c r="HW44" s="22" t="s">
        <v>3386</v>
      </c>
      <c r="HX44" s="22" t="s">
        <v>34575</v>
      </c>
      <c r="HY44" s="22" t="s">
        <v>70</v>
      </c>
      <c r="HZ44" s="214" t="s">
        <v>530</v>
      </c>
      <c r="IB44" s="22" t="s">
        <v>3387</v>
      </c>
      <c r="IC44" s="22" t="s">
        <v>34540</v>
      </c>
      <c r="ID44" s="22" t="s">
        <v>70</v>
      </c>
      <c r="IE44" s="214" t="s">
        <v>530</v>
      </c>
      <c r="IG44" s="22" t="s">
        <v>3388</v>
      </c>
      <c r="IH44" s="22" t="s">
        <v>52</v>
      </c>
      <c r="II44" s="22" t="s">
        <v>70</v>
      </c>
      <c r="IJ44" s="214" t="s">
        <v>530</v>
      </c>
      <c r="IL44" s="22" t="s">
        <v>3389</v>
      </c>
      <c r="IM44" s="22" t="s">
        <v>145</v>
      </c>
      <c r="IN44" s="22" t="s">
        <v>70</v>
      </c>
      <c r="IO44" s="214" t="s">
        <v>530</v>
      </c>
      <c r="IQ44" s="236" t="s">
        <v>3390</v>
      </c>
      <c r="IR44" s="236" t="s">
        <v>145</v>
      </c>
      <c r="IS44" s="236" t="s">
        <v>74</v>
      </c>
      <c r="IT44" s="236" t="s">
        <v>841</v>
      </c>
      <c r="IV44" s="236" t="s">
        <v>3391</v>
      </c>
      <c r="IW44" s="236" t="s">
        <v>145</v>
      </c>
      <c r="IX44" s="236" t="s">
        <v>74</v>
      </c>
      <c r="IY44" s="236" t="s">
        <v>841</v>
      </c>
      <c r="JA44" s="236" t="s">
        <v>3392</v>
      </c>
      <c r="JB44" s="236" t="s">
        <v>145</v>
      </c>
      <c r="JC44" s="236" t="s">
        <v>74</v>
      </c>
      <c r="JD44" s="236" t="s">
        <v>841</v>
      </c>
      <c r="JF44" s="236" t="s">
        <v>3393</v>
      </c>
      <c r="JG44" s="236" t="s">
        <v>145</v>
      </c>
      <c r="JH44" s="236" t="s">
        <v>74</v>
      </c>
      <c r="JI44" s="236" t="s">
        <v>841</v>
      </c>
      <c r="JK44" s="236" t="s">
        <v>3394</v>
      </c>
      <c r="JL44" s="236" t="s">
        <v>145</v>
      </c>
      <c r="JM44" s="236" t="s">
        <v>74</v>
      </c>
      <c r="JN44" s="236" t="s">
        <v>841</v>
      </c>
      <c r="JP44" s="236" t="s">
        <v>3395</v>
      </c>
      <c r="JQ44" s="236" t="s">
        <v>145</v>
      </c>
      <c r="JR44" s="236" t="s">
        <v>74</v>
      </c>
      <c r="JS44" s="236" t="s">
        <v>841</v>
      </c>
      <c r="JU44" s="294" t="s">
        <v>3396</v>
      </c>
      <c r="JV44" s="294" t="str">
        <f>TVIIBE1M_CalPairs!$R38</f>
        <v>0x49</v>
      </c>
      <c r="JW44" s="263" t="s">
        <v>70</v>
      </c>
      <c r="JX44" s="294" t="str">
        <f>TVIIBE1M_CalPairs!$Q38</f>
        <v>SMPU14_ATT1_B0</v>
      </c>
      <c r="JZ44" s="263" t="s">
        <v>3397</v>
      </c>
      <c r="KA44" s="263" t="s">
        <v>145</v>
      </c>
      <c r="KB44" s="263" t="s">
        <v>70</v>
      </c>
      <c r="KC44" s="263" t="s">
        <v>1083</v>
      </c>
      <c r="KE44" s="263" t="s">
        <v>3398</v>
      </c>
      <c r="KF44" s="263" t="s">
        <v>52</v>
      </c>
      <c r="KG44" s="263" t="s">
        <v>70</v>
      </c>
      <c r="KH44" s="263" t="s">
        <v>1083</v>
      </c>
      <c r="KJ44" s="263" t="s">
        <v>3399</v>
      </c>
      <c r="KK44" s="263" t="s">
        <v>93</v>
      </c>
      <c r="KL44" s="263" t="s">
        <v>74</v>
      </c>
      <c r="KM44" s="263" t="s">
        <v>34248</v>
      </c>
      <c r="KO44" s="214" t="s">
        <v>3400</v>
      </c>
      <c r="KP44" s="218" t="s">
        <v>52</v>
      </c>
      <c r="KQ44" s="214" t="s">
        <v>70</v>
      </c>
      <c r="KR44" s="218" t="s">
        <v>34487</v>
      </c>
      <c r="KT44" s="22" t="s">
        <v>3401</v>
      </c>
      <c r="KU44" s="22" t="s">
        <v>145</v>
      </c>
      <c r="KV44" s="22" t="s">
        <v>70</v>
      </c>
      <c r="KW44" s="22" t="s">
        <v>67</v>
      </c>
      <c r="KY44" s="214" t="s">
        <v>3402</v>
      </c>
      <c r="KZ44" s="214" t="s">
        <v>52</v>
      </c>
      <c r="LA44" s="214" t="s">
        <v>74</v>
      </c>
      <c r="LB44" s="214" t="s">
        <v>34112</v>
      </c>
      <c r="LD44" s="22" t="s">
        <v>3403</v>
      </c>
      <c r="LE44" s="22" t="s">
        <v>145</v>
      </c>
      <c r="LF44" s="22" t="s">
        <v>70</v>
      </c>
      <c r="LG44" s="22" t="s">
        <v>67</v>
      </c>
    </row>
    <row r="45" spans="1:319">
      <c r="A45" s="22" t="s">
        <v>3404</v>
      </c>
      <c r="B45" s="22" t="s">
        <v>145</v>
      </c>
      <c r="C45" s="22" t="s">
        <v>70</v>
      </c>
      <c r="D45" s="22" t="s">
        <v>67</v>
      </c>
      <c r="F45" s="23" t="s">
        <v>3405</v>
      </c>
      <c r="G45" s="23" t="str">
        <f>TVIIBE1M_CalPairs!$E42</f>
        <v>0x00</v>
      </c>
      <c r="H45" s="23" t="s">
        <v>72</v>
      </c>
      <c r="I45" s="23" t="str">
        <f>TVIIBE1M_CalPairs!$C42</f>
        <v>PWR_TRIM_WAKE_CTL_VAL2</v>
      </c>
      <c r="K45" s="22" t="s">
        <v>3406</v>
      </c>
      <c r="L45" s="22" t="s">
        <v>145</v>
      </c>
      <c r="M45" s="22" t="s">
        <v>70</v>
      </c>
      <c r="N45" s="22" t="s">
        <v>67</v>
      </c>
      <c r="P45" s="22" t="s">
        <v>3407</v>
      </c>
      <c r="Q45" s="22" t="s">
        <v>145</v>
      </c>
      <c r="R45" s="22" t="s">
        <v>70</v>
      </c>
      <c r="S45" s="22" t="s">
        <v>67</v>
      </c>
      <c r="U45" s="293" t="s">
        <v>3408</v>
      </c>
      <c r="V45" s="293" t="s">
        <v>145</v>
      </c>
      <c r="W45" s="293" t="s">
        <v>74</v>
      </c>
      <c r="X45" s="293" t="s">
        <v>656</v>
      </c>
      <c r="Z45" s="293" t="s">
        <v>3409</v>
      </c>
      <c r="AA45" s="293" t="s">
        <v>145</v>
      </c>
      <c r="AB45" s="293" t="s">
        <v>74</v>
      </c>
      <c r="AC45" s="293" t="s">
        <v>656</v>
      </c>
      <c r="AE45" s="293" t="s">
        <v>3410</v>
      </c>
      <c r="AF45" s="293" t="s">
        <v>145</v>
      </c>
      <c r="AG45" s="293" t="s">
        <v>74</v>
      </c>
      <c r="AH45" s="293" t="s">
        <v>656</v>
      </c>
      <c r="AJ45" s="293" t="s">
        <v>3411</v>
      </c>
      <c r="AK45" s="293" t="s">
        <v>145</v>
      </c>
      <c r="AL45" s="293" t="s">
        <v>74</v>
      </c>
      <c r="AM45" s="293" t="s">
        <v>656</v>
      </c>
      <c r="AO45" s="22" t="s">
        <v>3412</v>
      </c>
      <c r="AP45" s="22" t="s">
        <v>145</v>
      </c>
      <c r="AQ45" s="22" t="s">
        <v>70</v>
      </c>
      <c r="AR45" s="22" t="s">
        <v>67</v>
      </c>
      <c r="AT45" s="22" t="s">
        <v>3413</v>
      </c>
      <c r="AU45" s="22" t="s">
        <v>145</v>
      </c>
      <c r="AV45" s="22" t="s">
        <v>70</v>
      </c>
      <c r="AW45" s="22" t="s">
        <v>67</v>
      </c>
      <c r="AY45" s="22" t="s">
        <v>3414</v>
      </c>
      <c r="AZ45" s="22" t="s">
        <v>145</v>
      </c>
      <c r="BA45" s="22" t="s">
        <v>70</v>
      </c>
      <c r="BB45" s="22" t="s">
        <v>67</v>
      </c>
      <c r="BD45" s="22" t="s">
        <v>3415</v>
      </c>
      <c r="BE45" s="22" t="s">
        <v>145</v>
      </c>
      <c r="BF45" s="22" t="s">
        <v>70</v>
      </c>
      <c r="BG45" s="22" t="s">
        <v>67</v>
      </c>
      <c r="BI45" s="22" t="s">
        <v>3416</v>
      </c>
      <c r="BJ45" s="22" t="s">
        <v>145</v>
      </c>
      <c r="BK45" s="22" t="s">
        <v>70</v>
      </c>
      <c r="BL45" s="22" t="s">
        <v>67</v>
      </c>
      <c r="BN45" s="22" t="s">
        <v>3417</v>
      </c>
      <c r="BO45" s="22" t="s">
        <v>145</v>
      </c>
      <c r="BP45" s="22" t="s">
        <v>70</v>
      </c>
      <c r="BQ45" s="22" t="s">
        <v>67</v>
      </c>
      <c r="BS45" s="22" t="s">
        <v>3418</v>
      </c>
      <c r="BT45" s="22" t="s">
        <v>145</v>
      </c>
      <c r="BU45" s="22" t="s">
        <v>70</v>
      </c>
      <c r="BV45" s="214" t="s">
        <v>530</v>
      </c>
      <c r="BX45" s="22" t="s">
        <v>3419</v>
      </c>
      <c r="BY45" s="22" t="s">
        <v>145</v>
      </c>
      <c r="BZ45" s="22" t="s">
        <v>70</v>
      </c>
      <c r="CA45" s="214" t="s">
        <v>530</v>
      </c>
      <c r="CC45" s="214" t="s">
        <v>3420</v>
      </c>
      <c r="CD45" s="214" t="s">
        <v>34606</v>
      </c>
      <c r="CE45" s="214" t="s">
        <v>70</v>
      </c>
      <c r="CF45" s="218" t="s">
        <v>364</v>
      </c>
      <c r="CH45" s="214" t="s">
        <v>3421</v>
      </c>
      <c r="CI45" s="214" t="s">
        <v>148</v>
      </c>
      <c r="CJ45" s="214" t="s">
        <v>70</v>
      </c>
      <c r="CK45" s="214" t="s">
        <v>530</v>
      </c>
      <c r="CM45" s="214" t="s">
        <v>3422</v>
      </c>
      <c r="CN45" s="214" t="s">
        <v>34602</v>
      </c>
      <c r="CO45" s="214" t="s">
        <v>70</v>
      </c>
      <c r="CP45" s="214" t="s">
        <v>530</v>
      </c>
      <c r="CR45" s="214" t="s">
        <v>3423</v>
      </c>
      <c r="CS45" s="214" t="s">
        <v>488</v>
      </c>
      <c r="CT45" s="214" t="s">
        <v>70</v>
      </c>
      <c r="CU45" s="214" t="s">
        <v>530</v>
      </c>
      <c r="CW45" s="214" t="s">
        <v>3424</v>
      </c>
      <c r="CX45" s="214" t="s">
        <v>484</v>
      </c>
      <c r="CY45" s="214" t="s">
        <v>70</v>
      </c>
      <c r="CZ45" s="214" t="s">
        <v>530</v>
      </c>
      <c r="DB45" s="214" t="s">
        <v>3425</v>
      </c>
      <c r="DC45" s="214" t="s">
        <v>468</v>
      </c>
      <c r="DD45" s="214" t="s">
        <v>70</v>
      </c>
      <c r="DE45" s="214" t="s">
        <v>530</v>
      </c>
      <c r="DG45" s="214" t="s">
        <v>3426</v>
      </c>
      <c r="DH45" s="214" t="s">
        <v>602</v>
      </c>
      <c r="DI45" s="214" t="s">
        <v>70</v>
      </c>
      <c r="DJ45" s="214" t="s">
        <v>530</v>
      </c>
      <c r="DL45" s="214" t="s">
        <v>3427</v>
      </c>
      <c r="DM45" s="214" t="s">
        <v>34556</v>
      </c>
      <c r="DN45" s="214" t="s">
        <v>70</v>
      </c>
      <c r="DO45" s="214" t="s">
        <v>530</v>
      </c>
      <c r="DQ45" s="214" t="s">
        <v>3428</v>
      </c>
      <c r="DR45" s="214" t="s">
        <v>485</v>
      </c>
      <c r="DS45" s="214" t="s">
        <v>70</v>
      </c>
      <c r="DT45" s="214" t="s">
        <v>530</v>
      </c>
      <c r="DV45" s="214" t="s">
        <v>3429</v>
      </c>
      <c r="DW45" s="214" t="s">
        <v>164</v>
      </c>
      <c r="DX45" s="214" t="s">
        <v>70</v>
      </c>
      <c r="DY45" s="214" t="s">
        <v>530</v>
      </c>
      <c r="EA45" s="214" t="s">
        <v>3430</v>
      </c>
      <c r="EB45" s="214" t="s">
        <v>34405</v>
      </c>
      <c r="EC45" s="214" t="s">
        <v>70</v>
      </c>
      <c r="ED45" s="214" t="s">
        <v>530</v>
      </c>
      <c r="EF45" s="214" t="s">
        <v>3431</v>
      </c>
      <c r="EG45" s="214" t="s">
        <v>52</v>
      </c>
      <c r="EH45" s="214" t="s">
        <v>70</v>
      </c>
      <c r="EI45" s="214" t="s">
        <v>530</v>
      </c>
      <c r="EK45" s="214" t="s">
        <v>3432</v>
      </c>
      <c r="EL45" s="214" t="s">
        <v>919</v>
      </c>
      <c r="EM45" s="214" t="s">
        <v>70</v>
      </c>
      <c r="EN45" s="214" t="s">
        <v>530</v>
      </c>
      <c r="EP45" s="214" t="s">
        <v>3433</v>
      </c>
      <c r="EQ45" s="214" t="s">
        <v>52</v>
      </c>
      <c r="ER45" s="214" t="s">
        <v>70</v>
      </c>
      <c r="ES45" s="214" t="s">
        <v>530</v>
      </c>
      <c r="EU45" s="214" t="s">
        <v>3434</v>
      </c>
      <c r="EV45" s="214" t="s">
        <v>484</v>
      </c>
      <c r="EW45" s="214" t="s">
        <v>70</v>
      </c>
      <c r="EX45" s="214" t="s">
        <v>530</v>
      </c>
      <c r="EZ45" s="214" t="s">
        <v>3435</v>
      </c>
      <c r="FA45" s="214" t="s">
        <v>492</v>
      </c>
      <c r="FB45" s="214" t="s">
        <v>70</v>
      </c>
      <c r="FC45" s="214" t="s">
        <v>530</v>
      </c>
      <c r="FE45" s="214" t="s">
        <v>3436</v>
      </c>
      <c r="FF45" s="214" t="s">
        <v>34405</v>
      </c>
      <c r="FG45" s="214" t="s">
        <v>70</v>
      </c>
      <c r="FH45" s="214" t="s">
        <v>530</v>
      </c>
      <c r="FJ45" s="321" t="s">
        <v>3437</v>
      </c>
      <c r="FK45" s="214" t="s">
        <v>145</v>
      </c>
      <c r="FL45" s="214" t="s">
        <v>70</v>
      </c>
      <c r="FM45" s="214" t="s">
        <v>530</v>
      </c>
      <c r="FO45" s="321" t="s">
        <v>3438</v>
      </c>
      <c r="FP45" s="214" t="s">
        <v>488</v>
      </c>
      <c r="FQ45" s="214" t="s">
        <v>70</v>
      </c>
      <c r="FR45" s="214" t="s">
        <v>530</v>
      </c>
      <c r="FT45" s="321" t="s">
        <v>3439</v>
      </c>
      <c r="FU45" s="214" t="s">
        <v>148</v>
      </c>
      <c r="FV45" s="214" t="s">
        <v>70</v>
      </c>
      <c r="FW45" s="214" t="s">
        <v>530</v>
      </c>
      <c r="FY45" s="321" t="s">
        <v>3440</v>
      </c>
      <c r="FZ45" s="214" t="s">
        <v>487</v>
      </c>
      <c r="GA45" s="214" t="s">
        <v>70</v>
      </c>
      <c r="GB45" s="214" t="s">
        <v>530</v>
      </c>
      <c r="GD45" s="321" t="s">
        <v>3441</v>
      </c>
      <c r="GE45" s="214" t="s">
        <v>34580</v>
      </c>
      <c r="GF45" s="214" t="s">
        <v>70</v>
      </c>
      <c r="GG45" s="214" t="s">
        <v>530</v>
      </c>
      <c r="GI45" s="321" t="s">
        <v>3442</v>
      </c>
      <c r="GJ45" s="214" t="s">
        <v>956</v>
      </c>
      <c r="GK45" s="214" t="s">
        <v>70</v>
      </c>
      <c r="GL45" s="214" t="s">
        <v>530</v>
      </c>
      <c r="GN45" s="321" t="s">
        <v>3443</v>
      </c>
      <c r="GO45" s="214" t="s">
        <v>490</v>
      </c>
      <c r="GP45" s="214" t="s">
        <v>70</v>
      </c>
      <c r="GQ45" s="214" t="s">
        <v>530</v>
      </c>
      <c r="GS45" s="321" t="s">
        <v>3444</v>
      </c>
      <c r="GT45" s="214" t="s">
        <v>52</v>
      </c>
      <c r="GU45" s="214" t="s">
        <v>70</v>
      </c>
      <c r="GV45" s="214" t="s">
        <v>530</v>
      </c>
      <c r="GX45" s="214" t="s">
        <v>3445</v>
      </c>
      <c r="GY45" s="214" t="s">
        <v>92</v>
      </c>
      <c r="GZ45" s="214" t="s">
        <v>70</v>
      </c>
      <c r="HA45" s="214" t="s">
        <v>530</v>
      </c>
      <c r="HC45" s="214" t="s">
        <v>3446</v>
      </c>
      <c r="HD45" s="214" t="s">
        <v>87</v>
      </c>
      <c r="HE45" s="214" t="s">
        <v>70</v>
      </c>
      <c r="HF45" s="214" t="s">
        <v>530</v>
      </c>
      <c r="HH45" s="214" t="s">
        <v>3447</v>
      </c>
      <c r="HI45" s="214" t="s">
        <v>85</v>
      </c>
      <c r="HJ45" s="214" t="s">
        <v>70</v>
      </c>
      <c r="HK45" s="214" t="s">
        <v>530</v>
      </c>
      <c r="HM45" s="214" t="s">
        <v>3448</v>
      </c>
      <c r="HN45" s="214" t="s">
        <v>34541</v>
      </c>
      <c r="HO45" s="214" t="s">
        <v>70</v>
      </c>
      <c r="HP45" s="214" t="s">
        <v>530</v>
      </c>
      <c r="HR45" s="22" t="s">
        <v>3449</v>
      </c>
      <c r="HS45" s="22" t="s">
        <v>502</v>
      </c>
      <c r="HT45" s="22" t="s">
        <v>70</v>
      </c>
      <c r="HU45" s="214" t="s">
        <v>530</v>
      </c>
      <c r="HW45" s="22" t="s">
        <v>3450</v>
      </c>
      <c r="HX45" s="22" t="s">
        <v>468</v>
      </c>
      <c r="HY45" s="22" t="s">
        <v>70</v>
      </c>
      <c r="HZ45" s="214" t="s">
        <v>530</v>
      </c>
      <c r="IB45" s="22" t="s">
        <v>3451</v>
      </c>
      <c r="IC45" s="22" t="s">
        <v>146</v>
      </c>
      <c r="ID45" s="22" t="s">
        <v>70</v>
      </c>
      <c r="IE45" s="214" t="s">
        <v>530</v>
      </c>
      <c r="IG45" s="22" t="s">
        <v>3452</v>
      </c>
      <c r="IH45" s="22" t="s">
        <v>52</v>
      </c>
      <c r="II45" s="22" t="s">
        <v>70</v>
      </c>
      <c r="IJ45" s="214" t="s">
        <v>530</v>
      </c>
      <c r="IL45" s="22" t="s">
        <v>3453</v>
      </c>
      <c r="IM45" s="22" t="s">
        <v>145</v>
      </c>
      <c r="IN45" s="22" t="s">
        <v>70</v>
      </c>
      <c r="IO45" s="214" t="s">
        <v>530</v>
      </c>
      <c r="IQ45" s="236" t="s">
        <v>3454</v>
      </c>
      <c r="IR45" s="236" t="s">
        <v>145</v>
      </c>
      <c r="IS45" s="236" t="s">
        <v>74</v>
      </c>
      <c r="IT45" s="236" t="s">
        <v>841</v>
      </c>
      <c r="IV45" s="236" t="s">
        <v>3455</v>
      </c>
      <c r="IW45" s="236" t="s">
        <v>145</v>
      </c>
      <c r="IX45" s="236" t="s">
        <v>74</v>
      </c>
      <c r="IY45" s="236" t="s">
        <v>841</v>
      </c>
      <c r="JA45" s="236" t="s">
        <v>3456</v>
      </c>
      <c r="JB45" s="236" t="s">
        <v>145</v>
      </c>
      <c r="JC45" s="236" t="s">
        <v>74</v>
      </c>
      <c r="JD45" s="236" t="s">
        <v>841</v>
      </c>
      <c r="JF45" s="236" t="s">
        <v>3457</v>
      </c>
      <c r="JG45" s="236" t="s">
        <v>145</v>
      </c>
      <c r="JH45" s="236" t="s">
        <v>74</v>
      </c>
      <c r="JI45" s="236" t="s">
        <v>841</v>
      </c>
      <c r="JK45" s="236" t="s">
        <v>3458</v>
      </c>
      <c r="JL45" s="236" t="s">
        <v>145</v>
      </c>
      <c r="JM45" s="236" t="s">
        <v>74</v>
      </c>
      <c r="JN45" s="236" t="s">
        <v>841</v>
      </c>
      <c r="JP45" s="236" t="s">
        <v>3459</v>
      </c>
      <c r="JQ45" s="236" t="s">
        <v>145</v>
      </c>
      <c r="JR45" s="236" t="s">
        <v>74</v>
      </c>
      <c r="JS45" s="236" t="s">
        <v>841</v>
      </c>
      <c r="JU45" s="294" t="s">
        <v>3460</v>
      </c>
      <c r="JV45" s="294" t="str">
        <f>TVIIBE1M_CalPairs!$R39</f>
        <v>0xFF</v>
      </c>
      <c r="JW45" s="263" t="s">
        <v>70</v>
      </c>
      <c r="JX45" s="294" t="str">
        <f>TVIIBE1M_CalPairs!$Q39</f>
        <v>SMPU14_ATT1_B1</v>
      </c>
      <c r="JZ45" s="263" t="s">
        <v>3461</v>
      </c>
      <c r="KA45" s="263" t="s">
        <v>145</v>
      </c>
      <c r="KB45" s="263" t="s">
        <v>70</v>
      </c>
      <c r="KC45" s="263" t="s">
        <v>1083</v>
      </c>
      <c r="KE45" s="263" t="s">
        <v>3462</v>
      </c>
      <c r="KF45" s="263" t="s">
        <v>52</v>
      </c>
      <c r="KG45" s="263" t="s">
        <v>70</v>
      </c>
      <c r="KH45" s="263" t="s">
        <v>1083</v>
      </c>
      <c r="KJ45" s="263" t="s">
        <v>3463</v>
      </c>
      <c r="KK45" s="263" t="s">
        <v>52</v>
      </c>
      <c r="KL45" s="263" t="s">
        <v>74</v>
      </c>
      <c r="KM45" s="263" t="s">
        <v>34249</v>
      </c>
      <c r="KO45" s="214" t="s">
        <v>3464</v>
      </c>
      <c r="KP45" s="218" t="s">
        <v>52</v>
      </c>
      <c r="KQ45" s="214" t="s">
        <v>70</v>
      </c>
      <c r="KR45" s="218" t="s">
        <v>34487</v>
      </c>
      <c r="KT45" s="22" t="s">
        <v>3465</v>
      </c>
      <c r="KU45" s="22" t="s">
        <v>145</v>
      </c>
      <c r="KV45" s="22" t="s">
        <v>70</v>
      </c>
      <c r="KW45" s="22" t="s">
        <v>67</v>
      </c>
      <c r="KY45" s="214" t="s">
        <v>3466</v>
      </c>
      <c r="KZ45" s="214" t="s">
        <v>52</v>
      </c>
      <c r="LA45" s="214" t="s">
        <v>74</v>
      </c>
      <c r="LB45" s="214" t="s">
        <v>34112</v>
      </c>
      <c r="LD45" s="22" t="s">
        <v>3467</v>
      </c>
      <c r="LE45" s="22" t="s">
        <v>145</v>
      </c>
      <c r="LF45" s="22" t="s">
        <v>70</v>
      </c>
      <c r="LG45" s="22" t="s">
        <v>67</v>
      </c>
    </row>
    <row r="46" spans="1:319">
      <c r="A46" s="22" t="s">
        <v>3468</v>
      </c>
      <c r="B46" s="22" t="s">
        <v>145</v>
      </c>
      <c r="C46" s="22" t="s">
        <v>70</v>
      </c>
      <c r="D46" s="22" t="s">
        <v>67</v>
      </c>
      <c r="F46" s="23" t="s">
        <v>3469</v>
      </c>
      <c r="G46" s="23" t="str">
        <f>TVIIBE1M_CalPairs!$E43</f>
        <v>0x00</v>
      </c>
      <c r="H46" s="23" t="s">
        <v>72</v>
      </c>
      <c r="I46" s="23" t="str">
        <f>TVIIBE1M_CalPairs!$C43</f>
        <v>PWR_TRIM_WAKE_CTL_VAL3</v>
      </c>
      <c r="K46" s="22" t="s">
        <v>3470</v>
      </c>
      <c r="L46" s="22" t="s">
        <v>145</v>
      </c>
      <c r="M46" s="22" t="s">
        <v>70</v>
      </c>
      <c r="N46" s="22" t="s">
        <v>67</v>
      </c>
      <c r="P46" s="22" t="s">
        <v>3471</v>
      </c>
      <c r="Q46" s="22" t="s">
        <v>145</v>
      </c>
      <c r="R46" s="22" t="s">
        <v>70</v>
      </c>
      <c r="S46" s="22" t="s">
        <v>67</v>
      </c>
      <c r="U46" s="293" t="s">
        <v>3472</v>
      </c>
      <c r="V46" s="293" t="s">
        <v>145</v>
      </c>
      <c r="W46" s="293" t="s">
        <v>74</v>
      </c>
      <c r="X46" s="293" t="s">
        <v>656</v>
      </c>
      <c r="Z46" s="293" t="s">
        <v>3473</v>
      </c>
      <c r="AA46" s="293" t="s">
        <v>145</v>
      </c>
      <c r="AB46" s="293" t="s">
        <v>74</v>
      </c>
      <c r="AC46" s="293" t="s">
        <v>656</v>
      </c>
      <c r="AE46" s="293" t="s">
        <v>3474</v>
      </c>
      <c r="AF46" s="293" t="s">
        <v>145</v>
      </c>
      <c r="AG46" s="293" t="s">
        <v>74</v>
      </c>
      <c r="AH46" s="293" t="s">
        <v>656</v>
      </c>
      <c r="AJ46" s="293" t="s">
        <v>3475</v>
      </c>
      <c r="AK46" s="293" t="s">
        <v>145</v>
      </c>
      <c r="AL46" s="293" t="s">
        <v>74</v>
      </c>
      <c r="AM46" s="293" t="s">
        <v>656</v>
      </c>
      <c r="AO46" s="22" t="s">
        <v>3476</v>
      </c>
      <c r="AP46" s="22" t="s">
        <v>145</v>
      </c>
      <c r="AQ46" s="22" t="s">
        <v>70</v>
      </c>
      <c r="AR46" s="22" t="s">
        <v>67</v>
      </c>
      <c r="AT46" s="22" t="s">
        <v>3477</v>
      </c>
      <c r="AU46" s="22" t="s">
        <v>145</v>
      </c>
      <c r="AV46" s="22" t="s">
        <v>70</v>
      </c>
      <c r="AW46" s="22" t="s">
        <v>67</v>
      </c>
      <c r="AY46" s="22" t="s">
        <v>3478</v>
      </c>
      <c r="AZ46" s="22" t="s">
        <v>145</v>
      </c>
      <c r="BA46" s="22" t="s">
        <v>70</v>
      </c>
      <c r="BB46" s="22" t="s">
        <v>67</v>
      </c>
      <c r="BD46" s="22" t="s">
        <v>3479</v>
      </c>
      <c r="BE46" s="22" t="s">
        <v>145</v>
      </c>
      <c r="BF46" s="22" t="s">
        <v>70</v>
      </c>
      <c r="BG46" s="22" t="s">
        <v>67</v>
      </c>
      <c r="BI46" s="22" t="s">
        <v>3480</v>
      </c>
      <c r="BJ46" s="22" t="s">
        <v>145</v>
      </c>
      <c r="BK46" s="22" t="s">
        <v>70</v>
      </c>
      <c r="BL46" s="22" t="s">
        <v>67</v>
      </c>
      <c r="BN46" s="22" t="s">
        <v>3481</v>
      </c>
      <c r="BO46" s="22" t="s">
        <v>145</v>
      </c>
      <c r="BP46" s="22" t="s">
        <v>70</v>
      </c>
      <c r="BQ46" s="22" t="s">
        <v>67</v>
      </c>
      <c r="BS46" s="22" t="s">
        <v>3482</v>
      </c>
      <c r="BT46" s="22" t="s">
        <v>145</v>
      </c>
      <c r="BU46" s="22" t="s">
        <v>70</v>
      </c>
      <c r="BV46" s="214" t="s">
        <v>530</v>
      </c>
      <c r="BX46" s="22" t="s">
        <v>3483</v>
      </c>
      <c r="BY46" s="22" t="s">
        <v>145</v>
      </c>
      <c r="BZ46" s="22" t="s">
        <v>70</v>
      </c>
      <c r="CA46" s="214" t="s">
        <v>530</v>
      </c>
      <c r="CC46" s="214" t="s">
        <v>3484</v>
      </c>
      <c r="CD46" s="214" t="s">
        <v>52</v>
      </c>
      <c r="CE46" s="214" t="s">
        <v>70</v>
      </c>
      <c r="CF46" s="218" t="s">
        <v>365</v>
      </c>
      <c r="CH46" s="214" t="s">
        <v>3485</v>
      </c>
      <c r="CI46" s="214" t="s">
        <v>468</v>
      </c>
      <c r="CJ46" s="214" t="s">
        <v>70</v>
      </c>
      <c r="CK46" s="214" t="s">
        <v>530</v>
      </c>
      <c r="CM46" s="214" t="s">
        <v>3486</v>
      </c>
      <c r="CN46" s="214" t="s">
        <v>34607</v>
      </c>
      <c r="CO46" s="214" t="s">
        <v>70</v>
      </c>
      <c r="CP46" s="214" t="s">
        <v>530</v>
      </c>
      <c r="CR46" s="214" t="s">
        <v>3487</v>
      </c>
      <c r="CS46" s="214" t="s">
        <v>149</v>
      </c>
      <c r="CT46" s="214" t="s">
        <v>70</v>
      </c>
      <c r="CU46" s="214" t="s">
        <v>530</v>
      </c>
      <c r="CW46" s="214" t="s">
        <v>3488</v>
      </c>
      <c r="CX46" s="214" t="s">
        <v>599</v>
      </c>
      <c r="CY46" s="214" t="s">
        <v>70</v>
      </c>
      <c r="CZ46" s="214" t="s">
        <v>530</v>
      </c>
      <c r="DB46" s="214" t="s">
        <v>3489</v>
      </c>
      <c r="DC46" s="214" t="s">
        <v>52</v>
      </c>
      <c r="DD46" s="214" t="s">
        <v>70</v>
      </c>
      <c r="DE46" s="214" t="s">
        <v>530</v>
      </c>
      <c r="DG46" s="214" t="s">
        <v>3490</v>
      </c>
      <c r="DH46" s="214" t="s">
        <v>52</v>
      </c>
      <c r="DI46" s="214" t="s">
        <v>70</v>
      </c>
      <c r="DJ46" s="214" t="s">
        <v>530</v>
      </c>
      <c r="DL46" s="214" t="s">
        <v>3491</v>
      </c>
      <c r="DM46" s="214" t="s">
        <v>485</v>
      </c>
      <c r="DN46" s="214" t="s">
        <v>70</v>
      </c>
      <c r="DO46" s="214" t="s">
        <v>530</v>
      </c>
      <c r="DQ46" s="214" t="s">
        <v>3492</v>
      </c>
      <c r="DR46" s="214" t="s">
        <v>163</v>
      </c>
      <c r="DS46" s="214" t="s">
        <v>70</v>
      </c>
      <c r="DT46" s="214" t="s">
        <v>530</v>
      </c>
      <c r="DV46" s="214" t="s">
        <v>3493</v>
      </c>
      <c r="DW46" s="214" t="s">
        <v>34583</v>
      </c>
      <c r="DX46" s="214" t="s">
        <v>70</v>
      </c>
      <c r="DY46" s="214" t="s">
        <v>530</v>
      </c>
      <c r="EA46" s="214" t="s">
        <v>3494</v>
      </c>
      <c r="EB46" s="214" t="s">
        <v>146</v>
      </c>
      <c r="EC46" s="214" t="s">
        <v>70</v>
      </c>
      <c r="ED46" s="214" t="s">
        <v>530</v>
      </c>
      <c r="EF46" s="214" t="s">
        <v>3495</v>
      </c>
      <c r="EG46" s="214" t="s">
        <v>935</v>
      </c>
      <c r="EH46" s="214" t="s">
        <v>70</v>
      </c>
      <c r="EI46" s="214" t="s">
        <v>530</v>
      </c>
      <c r="EK46" s="214" t="s">
        <v>3496</v>
      </c>
      <c r="EL46" s="214" t="s">
        <v>919</v>
      </c>
      <c r="EM46" s="214" t="s">
        <v>70</v>
      </c>
      <c r="EN46" s="214" t="s">
        <v>530</v>
      </c>
      <c r="EP46" s="214" t="s">
        <v>3497</v>
      </c>
      <c r="EQ46" s="214" t="s">
        <v>34590</v>
      </c>
      <c r="ER46" s="214" t="s">
        <v>70</v>
      </c>
      <c r="ES46" s="214" t="s">
        <v>530</v>
      </c>
      <c r="EU46" s="214" t="s">
        <v>3498</v>
      </c>
      <c r="EV46" s="214" t="s">
        <v>52</v>
      </c>
      <c r="EW46" s="214" t="s">
        <v>70</v>
      </c>
      <c r="EX46" s="214" t="s">
        <v>530</v>
      </c>
      <c r="EZ46" s="214" t="s">
        <v>3499</v>
      </c>
      <c r="FA46" s="214" t="s">
        <v>500</v>
      </c>
      <c r="FB46" s="214" t="s">
        <v>70</v>
      </c>
      <c r="FC46" s="214" t="s">
        <v>530</v>
      </c>
      <c r="FE46" s="214" t="s">
        <v>3500</v>
      </c>
      <c r="FF46" s="214" t="s">
        <v>52</v>
      </c>
      <c r="FG46" s="214" t="s">
        <v>70</v>
      </c>
      <c r="FH46" s="214" t="s">
        <v>530</v>
      </c>
      <c r="FJ46" s="321" t="s">
        <v>3501</v>
      </c>
      <c r="FK46" s="214" t="s">
        <v>148</v>
      </c>
      <c r="FL46" s="214" t="s">
        <v>70</v>
      </c>
      <c r="FM46" s="214" t="s">
        <v>530</v>
      </c>
      <c r="FO46" s="321" t="s">
        <v>3502</v>
      </c>
      <c r="FP46" s="214" t="s">
        <v>502</v>
      </c>
      <c r="FQ46" s="214" t="s">
        <v>70</v>
      </c>
      <c r="FR46" s="214" t="s">
        <v>530</v>
      </c>
      <c r="FT46" s="321" t="s">
        <v>3503</v>
      </c>
      <c r="FU46" s="214" t="s">
        <v>88</v>
      </c>
      <c r="FV46" s="214" t="s">
        <v>70</v>
      </c>
      <c r="FW46" s="214" t="s">
        <v>530</v>
      </c>
      <c r="FY46" s="321" t="s">
        <v>3504</v>
      </c>
      <c r="FZ46" s="214" t="s">
        <v>34556</v>
      </c>
      <c r="GA46" s="214" t="s">
        <v>70</v>
      </c>
      <c r="GB46" s="214" t="s">
        <v>530</v>
      </c>
      <c r="GD46" s="321" t="s">
        <v>3505</v>
      </c>
      <c r="GE46" s="214" t="s">
        <v>468</v>
      </c>
      <c r="GF46" s="214" t="s">
        <v>70</v>
      </c>
      <c r="GG46" s="214" t="s">
        <v>530</v>
      </c>
      <c r="GI46" s="321" t="s">
        <v>3506</v>
      </c>
      <c r="GJ46" s="214" t="s">
        <v>949</v>
      </c>
      <c r="GK46" s="214" t="s">
        <v>70</v>
      </c>
      <c r="GL46" s="214" t="s">
        <v>530</v>
      </c>
      <c r="GN46" s="321" t="s">
        <v>3507</v>
      </c>
      <c r="GO46" s="214" t="s">
        <v>34635</v>
      </c>
      <c r="GP46" s="214" t="s">
        <v>70</v>
      </c>
      <c r="GQ46" s="214" t="s">
        <v>530</v>
      </c>
      <c r="GS46" s="321" t="s">
        <v>3508</v>
      </c>
      <c r="GT46" s="214" t="s">
        <v>145</v>
      </c>
      <c r="GU46" s="214" t="s">
        <v>70</v>
      </c>
      <c r="GV46" s="214" t="s">
        <v>530</v>
      </c>
      <c r="GX46" s="214" t="s">
        <v>3509</v>
      </c>
      <c r="GY46" s="214" t="s">
        <v>52</v>
      </c>
      <c r="GZ46" s="214" t="s">
        <v>70</v>
      </c>
      <c r="HA46" s="214" t="s">
        <v>530</v>
      </c>
      <c r="HC46" s="214" t="s">
        <v>3510</v>
      </c>
      <c r="HD46" s="214" t="s">
        <v>52</v>
      </c>
      <c r="HE46" s="214" t="s">
        <v>70</v>
      </c>
      <c r="HF46" s="214" t="s">
        <v>530</v>
      </c>
      <c r="HH46" s="214" t="s">
        <v>3511</v>
      </c>
      <c r="HI46" s="214" t="s">
        <v>919</v>
      </c>
      <c r="HJ46" s="214" t="s">
        <v>70</v>
      </c>
      <c r="HK46" s="214" t="s">
        <v>530</v>
      </c>
      <c r="HM46" s="214" t="s">
        <v>3512</v>
      </c>
      <c r="HN46" s="214" t="s">
        <v>529</v>
      </c>
      <c r="HO46" s="214" t="s">
        <v>70</v>
      </c>
      <c r="HP46" s="214" t="s">
        <v>530</v>
      </c>
      <c r="HR46" s="22" t="s">
        <v>3513</v>
      </c>
      <c r="HS46" s="22" t="s">
        <v>501</v>
      </c>
      <c r="HT46" s="22" t="s">
        <v>70</v>
      </c>
      <c r="HU46" s="214" t="s">
        <v>530</v>
      </c>
      <c r="HW46" s="22" t="s">
        <v>3514</v>
      </c>
      <c r="HX46" s="22" t="s">
        <v>485</v>
      </c>
      <c r="HY46" s="22" t="s">
        <v>70</v>
      </c>
      <c r="HZ46" s="214" t="s">
        <v>530</v>
      </c>
      <c r="IB46" s="22" t="s">
        <v>3515</v>
      </c>
      <c r="IC46" s="22" t="s">
        <v>163</v>
      </c>
      <c r="ID46" s="22" t="s">
        <v>70</v>
      </c>
      <c r="IE46" s="214" t="s">
        <v>530</v>
      </c>
      <c r="IG46" s="22" t="s">
        <v>3516</v>
      </c>
      <c r="IH46" s="22" t="s">
        <v>148</v>
      </c>
      <c r="II46" s="22" t="s">
        <v>70</v>
      </c>
      <c r="IJ46" s="214" t="s">
        <v>530</v>
      </c>
      <c r="IL46" s="22" t="s">
        <v>3517</v>
      </c>
      <c r="IM46" s="22" t="s">
        <v>145</v>
      </c>
      <c r="IN46" s="22" t="s">
        <v>70</v>
      </c>
      <c r="IO46" s="214" t="s">
        <v>530</v>
      </c>
      <c r="IQ46" s="236" t="s">
        <v>3518</v>
      </c>
      <c r="IR46" s="236" t="s">
        <v>145</v>
      </c>
      <c r="IS46" s="236" t="s">
        <v>74</v>
      </c>
      <c r="IT46" s="236" t="s">
        <v>841</v>
      </c>
      <c r="IV46" s="236" t="s">
        <v>3519</v>
      </c>
      <c r="IW46" s="236" t="s">
        <v>145</v>
      </c>
      <c r="IX46" s="236" t="s">
        <v>74</v>
      </c>
      <c r="IY46" s="236" t="s">
        <v>841</v>
      </c>
      <c r="JA46" s="236" t="s">
        <v>3520</v>
      </c>
      <c r="JB46" s="236" t="s">
        <v>145</v>
      </c>
      <c r="JC46" s="236" t="s">
        <v>74</v>
      </c>
      <c r="JD46" s="236" t="s">
        <v>841</v>
      </c>
      <c r="JF46" s="236" t="s">
        <v>3521</v>
      </c>
      <c r="JG46" s="236" t="s">
        <v>145</v>
      </c>
      <c r="JH46" s="236" t="s">
        <v>74</v>
      </c>
      <c r="JI46" s="236" t="s">
        <v>841</v>
      </c>
      <c r="JK46" s="236" t="s">
        <v>3522</v>
      </c>
      <c r="JL46" s="236" t="s">
        <v>145</v>
      </c>
      <c r="JM46" s="236" t="s">
        <v>74</v>
      </c>
      <c r="JN46" s="236" t="s">
        <v>841</v>
      </c>
      <c r="JP46" s="236" t="s">
        <v>3523</v>
      </c>
      <c r="JQ46" s="236" t="s">
        <v>145</v>
      </c>
      <c r="JR46" s="236" t="s">
        <v>74</v>
      </c>
      <c r="JS46" s="236" t="s">
        <v>841</v>
      </c>
      <c r="JU46" s="294" t="s">
        <v>3524</v>
      </c>
      <c r="JV46" s="294" t="str">
        <f>TVIIBE1M_CalPairs!$R40</f>
        <v>0x00</v>
      </c>
      <c r="JW46" s="263" t="s">
        <v>70</v>
      </c>
      <c r="JX46" s="294" t="str">
        <f>TVIIBE1M_CalPairs!$Q40</f>
        <v>SMPU14_ATT1_B2</v>
      </c>
      <c r="JZ46" s="263" t="s">
        <v>3525</v>
      </c>
      <c r="KA46" s="263" t="s">
        <v>145</v>
      </c>
      <c r="KB46" s="263" t="s">
        <v>70</v>
      </c>
      <c r="KC46" s="263" t="s">
        <v>1083</v>
      </c>
      <c r="KE46" s="263" t="s">
        <v>3526</v>
      </c>
      <c r="KF46" s="263" t="s">
        <v>52</v>
      </c>
      <c r="KG46" s="263" t="s">
        <v>70</v>
      </c>
      <c r="KH46" s="263" t="s">
        <v>1083</v>
      </c>
      <c r="KJ46" s="263" t="s">
        <v>3527</v>
      </c>
      <c r="KK46" s="263" t="s">
        <v>52</v>
      </c>
      <c r="KL46" s="263" t="s">
        <v>74</v>
      </c>
      <c r="KM46" s="263" t="s">
        <v>34250</v>
      </c>
      <c r="KO46" s="214" t="s">
        <v>3528</v>
      </c>
      <c r="KP46" s="218" t="s">
        <v>52</v>
      </c>
      <c r="KQ46" s="214" t="s">
        <v>70</v>
      </c>
      <c r="KR46" s="218" t="s">
        <v>34487</v>
      </c>
      <c r="KT46" s="22" t="s">
        <v>3529</v>
      </c>
      <c r="KU46" s="22" t="s">
        <v>145</v>
      </c>
      <c r="KV46" s="22" t="s">
        <v>70</v>
      </c>
      <c r="KW46" s="22" t="s">
        <v>67</v>
      </c>
      <c r="KY46" s="214" t="s">
        <v>3530</v>
      </c>
      <c r="KZ46" s="214" t="s">
        <v>52</v>
      </c>
      <c r="LA46" s="214" t="s">
        <v>74</v>
      </c>
      <c r="LB46" s="214" t="s">
        <v>34112</v>
      </c>
      <c r="LD46" s="22" t="s">
        <v>3531</v>
      </c>
      <c r="LE46" s="22" t="s">
        <v>145</v>
      </c>
      <c r="LF46" s="22" t="s">
        <v>70</v>
      </c>
      <c r="LG46" s="22" t="s">
        <v>67</v>
      </c>
    </row>
    <row r="47" spans="1:319">
      <c r="A47" s="22" t="s">
        <v>3532</v>
      </c>
      <c r="B47" s="22" t="s">
        <v>145</v>
      </c>
      <c r="C47" s="22" t="s">
        <v>70</v>
      </c>
      <c r="D47" s="22" t="s">
        <v>67</v>
      </c>
      <c r="F47" s="23" t="s">
        <v>3533</v>
      </c>
      <c r="G47" s="23" t="str">
        <f>TVIIBE1M_CalPairs!$E44</f>
        <v>0x20</v>
      </c>
      <c r="H47" s="23" t="s">
        <v>72</v>
      </c>
      <c r="I47" s="23" t="str">
        <f>TVIIBE1M_CalPairs!$C44</f>
        <v>PWR_TRIM_LVD_CTL_VAL0</v>
      </c>
      <c r="K47" s="22" t="s">
        <v>3534</v>
      </c>
      <c r="L47" s="22" t="s">
        <v>145</v>
      </c>
      <c r="M47" s="22" t="s">
        <v>70</v>
      </c>
      <c r="N47" s="22" t="s">
        <v>67</v>
      </c>
      <c r="P47" s="22" t="s">
        <v>3535</v>
      </c>
      <c r="Q47" s="22" t="s">
        <v>145</v>
      </c>
      <c r="R47" s="22" t="s">
        <v>70</v>
      </c>
      <c r="S47" s="22" t="s">
        <v>67</v>
      </c>
      <c r="U47" s="293" t="s">
        <v>3536</v>
      </c>
      <c r="V47" s="293" t="s">
        <v>145</v>
      </c>
      <c r="W47" s="293" t="s">
        <v>74</v>
      </c>
      <c r="X47" s="293" t="s">
        <v>656</v>
      </c>
      <c r="Z47" s="293" t="s">
        <v>3537</v>
      </c>
      <c r="AA47" s="293" t="s">
        <v>145</v>
      </c>
      <c r="AB47" s="293" t="s">
        <v>74</v>
      </c>
      <c r="AC47" s="293" t="s">
        <v>656</v>
      </c>
      <c r="AE47" s="293" t="s">
        <v>3538</v>
      </c>
      <c r="AF47" s="293" t="s">
        <v>145</v>
      </c>
      <c r="AG47" s="293" t="s">
        <v>74</v>
      </c>
      <c r="AH47" s="293" t="s">
        <v>656</v>
      </c>
      <c r="AJ47" s="293" t="s">
        <v>3539</v>
      </c>
      <c r="AK47" s="293" t="s">
        <v>145</v>
      </c>
      <c r="AL47" s="293" t="s">
        <v>74</v>
      </c>
      <c r="AM47" s="293" t="s">
        <v>656</v>
      </c>
      <c r="AO47" s="22" t="s">
        <v>3540</v>
      </c>
      <c r="AP47" s="22" t="s">
        <v>145</v>
      </c>
      <c r="AQ47" s="22" t="s">
        <v>70</v>
      </c>
      <c r="AR47" s="22" t="s">
        <v>67</v>
      </c>
      <c r="AT47" s="22" t="s">
        <v>3541</v>
      </c>
      <c r="AU47" s="22" t="s">
        <v>145</v>
      </c>
      <c r="AV47" s="22" t="s">
        <v>70</v>
      </c>
      <c r="AW47" s="22" t="s">
        <v>67</v>
      </c>
      <c r="AY47" s="22" t="s">
        <v>3542</v>
      </c>
      <c r="AZ47" s="22" t="s">
        <v>145</v>
      </c>
      <c r="BA47" s="22" t="s">
        <v>70</v>
      </c>
      <c r="BB47" s="22" t="s">
        <v>67</v>
      </c>
      <c r="BD47" s="22" t="s">
        <v>3543</v>
      </c>
      <c r="BE47" s="22" t="s">
        <v>145</v>
      </c>
      <c r="BF47" s="22" t="s">
        <v>70</v>
      </c>
      <c r="BG47" s="22" t="s">
        <v>67</v>
      </c>
      <c r="BI47" s="22" t="s">
        <v>3544</v>
      </c>
      <c r="BJ47" s="22" t="s">
        <v>145</v>
      </c>
      <c r="BK47" s="22" t="s">
        <v>70</v>
      </c>
      <c r="BL47" s="22" t="s">
        <v>67</v>
      </c>
      <c r="BN47" s="22" t="s">
        <v>3545</v>
      </c>
      <c r="BO47" s="22" t="s">
        <v>145</v>
      </c>
      <c r="BP47" s="22" t="s">
        <v>70</v>
      </c>
      <c r="BQ47" s="22" t="s">
        <v>67</v>
      </c>
      <c r="BS47" s="22" t="s">
        <v>3546</v>
      </c>
      <c r="BT47" s="22" t="s">
        <v>145</v>
      </c>
      <c r="BU47" s="22" t="s">
        <v>70</v>
      </c>
      <c r="BV47" s="214" t="s">
        <v>530</v>
      </c>
      <c r="BX47" s="22" t="s">
        <v>3547</v>
      </c>
      <c r="BY47" s="22" t="s">
        <v>145</v>
      </c>
      <c r="BZ47" s="22" t="s">
        <v>70</v>
      </c>
      <c r="CA47" s="214" t="s">
        <v>530</v>
      </c>
      <c r="CC47" s="214" t="s">
        <v>3548</v>
      </c>
      <c r="CD47" s="214" t="s">
        <v>601</v>
      </c>
      <c r="CE47" s="214" t="s">
        <v>70</v>
      </c>
      <c r="CF47" s="218" t="s">
        <v>366</v>
      </c>
      <c r="CH47" s="214" t="s">
        <v>3549</v>
      </c>
      <c r="CI47" s="214" t="s">
        <v>926</v>
      </c>
      <c r="CJ47" s="214" t="s">
        <v>70</v>
      </c>
      <c r="CK47" s="214" t="s">
        <v>530</v>
      </c>
      <c r="CM47" s="214" t="s">
        <v>3550</v>
      </c>
      <c r="CN47" s="214" t="s">
        <v>52</v>
      </c>
      <c r="CO47" s="214" t="s">
        <v>70</v>
      </c>
      <c r="CP47" s="214" t="s">
        <v>530</v>
      </c>
      <c r="CR47" s="214" t="s">
        <v>3551</v>
      </c>
      <c r="CS47" s="214" t="s">
        <v>484</v>
      </c>
      <c r="CT47" s="214" t="s">
        <v>70</v>
      </c>
      <c r="CU47" s="214" t="s">
        <v>530</v>
      </c>
      <c r="CW47" s="214" t="s">
        <v>3552</v>
      </c>
      <c r="CX47" s="214" t="s">
        <v>146</v>
      </c>
      <c r="CY47" s="214" t="s">
        <v>70</v>
      </c>
      <c r="CZ47" s="214" t="s">
        <v>530</v>
      </c>
      <c r="DB47" s="214" t="s">
        <v>3553</v>
      </c>
      <c r="DC47" s="214" t="s">
        <v>531</v>
      </c>
      <c r="DD47" s="214" t="s">
        <v>70</v>
      </c>
      <c r="DE47" s="214" t="s">
        <v>530</v>
      </c>
      <c r="DG47" s="214" t="s">
        <v>3554</v>
      </c>
      <c r="DH47" s="214" t="s">
        <v>86</v>
      </c>
      <c r="DI47" s="214" t="s">
        <v>70</v>
      </c>
      <c r="DJ47" s="214" t="s">
        <v>530</v>
      </c>
      <c r="DL47" s="214" t="s">
        <v>3555</v>
      </c>
      <c r="DM47" s="214" t="s">
        <v>52</v>
      </c>
      <c r="DN47" s="214" t="s">
        <v>70</v>
      </c>
      <c r="DO47" s="214" t="s">
        <v>530</v>
      </c>
      <c r="DQ47" s="214" t="s">
        <v>3556</v>
      </c>
      <c r="DR47" s="214" t="s">
        <v>34544</v>
      </c>
      <c r="DS47" s="214" t="s">
        <v>70</v>
      </c>
      <c r="DT47" s="214" t="s">
        <v>530</v>
      </c>
      <c r="DV47" s="214" t="s">
        <v>3557</v>
      </c>
      <c r="DW47" s="214" t="s">
        <v>146</v>
      </c>
      <c r="DX47" s="214" t="s">
        <v>70</v>
      </c>
      <c r="DY47" s="214" t="s">
        <v>530</v>
      </c>
      <c r="EA47" s="214" t="s">
        <v>3558</v>
      </c>
      <c r="EB47" s="214" t="s">
        <v>52</v>
      </c>
      <c r="EC47" s="214" t="s">
        <v>70</v>
      </c>
      <c r="ED47" s="214" t="s">
        <v>530</v>
      </c>
      <c r="EF47" s="214" t="s">
        <v>3559</v>
      </c>
      <c r="EG47" s="214" t="s">
        <v>52</v>
      </c>
      <c r="EH47" s="214" t="s">
        <v>70</v>
      </c>
      <c r="EI47" s="214" t="s">
        <v>530</v>
      </c>
      <c r="EK47" s="214" t="s">
        <v>3560</v>
      </c>
      <c r="EL47" s="214" t="s">
        <v>89</v>
      </c>
      <c r="EM47" s="214" t="s">
        <v>70</v>
      </c>
      <c r="EN47" s="214" t="s">
        <v>530</v>
      </c>
      <c r="EP47" s="214" t="s">
        <v>3561</v>
      </c>
      <c r="EQ47" s="214" t="s">
        <v>149</v>
      </c>
      <c r="ER47" s="214" t="s">
        <v>70</v>
      </c>
      <c r="ES47" s="214" t="s">
        <v>530</v>
      </c>
      <c r="EU47" s="214" t="s">
        <v>3562</v>
      </c>
      <c r="EV47" s="214" t="s">
        <v>103</v>
      </c>
      <c r="EW47" s="214" t="s">
        <v>70</v>
      </c>
      <c r="EX47" s="214" t="s">
        <v>530</v>
      </c>
      <c r="EZ47" s="214" t="s">
        <v>3563</v>
      </c>
      <c r="FA47" s="214" t="s">
        <v>501</v>
      </c>
      <c r="FB47" s="214" t="s">
        <v>70</v>
      </c>
      <c r="FC47" s="214" t="s">
        <v>530</v>
      </c>
      <c r="FE47" s="214" t="s">
        <v>3564</v>
      </c>
      <c r="FF47" s="214" t="s">
        <v>502</v>
      </c>
      <c r="FG47" s="214" t="s">
        <v>70</v>
      </c>
      <c r="FH47" s="214" t="s">
        <v>530</v>
      </c>
      <c r="FJ47" s="321" t="s">
        <v>3565</v>
      </c>
      <c r="FK47" s="214" t="s">
        <v>496</v>
      </c>
      <c r="FL47" s="214" t="s">
        <v>70</v>
      </c>
      <c r="FM47" s="214" t="s">
        <v>530</v>
      </c>
      <c r="FO47" s="321" t="s">
        <v>3566</v>
      </c>
      <c r="FP47" s="214" t="s">
        <v>52</v>
      </c>
      <c r="FQ47" s="214" t="s">
        <v>70</v>
      </c>
      <c r="FR47" s="214" t="s">
        <v>530</v>
      </c>
      <c r="FT47" s="321" t="s">
        <v>3567</v>
      </c>
      <c r="FU47" s="214" t="s">
        <v>52</v>
      </c>
      <c r="FV47" s="214" t="s">
        <v>70</v>
      </c>
      <c r="FW47" s="214" t="s">
        <v>530</v>
      </c>
      <c r="FY47" s="321" t="s">
        <v>3568</v>
      </c>
      <c r="FZ47" s="214" t="s">
        <v>34543</v>
      </c>
      <c r="GA47" s="214" t="s">
        <v>70</v>
      </c>
      <c r="GB47" s="214" t="s">
        <v>530</v>
      </c>
      <c r="GD47" s="321" t="s">
        <v>3569</v>
      </c>
      <c r="GE47" s="214" t="s">
        <v>485</v>
      </c>
      <c r="GF47" s="214" t="s">
        <v>70</v>
      </c>
      <c r="GG47" s="214" t="s">
        <v>530</v>
      </c>
      <c r="GI47" s="321" t="s">
        <v>3570</v>
      </c>
      <c r="GJ47" s="214" t="s">
        <v>34550</v>
      </c>
      <c r="GK47" s="214" t="s">
        <v>70</v>
      </c>
      <c r="GL47" s="214" t="s">
        <v>530</v>
      </c>
      <c r="GN47" s="321" t="s">
        <v>3571</v>
      </c>
      <c r="GO47" s="214" t="s">
        <v>287</v>
      </c>
      <c r="GP47" s="214" t="s">
        <v>70</v>
      </c>
      <c r="GQ47" s="214" t="s">
        <v>530</v>
      </c>
      <c r="GS47" s="321" t="s">
        <v>3572</v>
      </c>
      <c r="GT47" s="214" t="s">
        <v>34541</v>
      </c>
      <c r="GU47" s="214" t="s">
        <v>70</v>
      </c>
      <c r="GV47" s="214" t="s">
        <v>530</v>
      </c>
      <c r="GX47" s="214" t="s">
        <v>3573</v>
      </c>
      <c r="GY47" s="214" t="s">
        <v>146</v>
      </c>
      <c r="GZ47" s="214" t="s">
        <v>70</v>
      </c>
      <c r="HA47" s="214" t="s">
        <v>530</v>
      </c>
      <c r="HC47" s="214" t="s">
        <v>3574</v>
      </c>
      <c r="HD47" s="214" t="s">
        <v>531</v>
      </c>
      <c r="HE47" s="214" t="s">
        <v>70</v>
      </c>
      <c r="HF47" s="214" t="s">
        <v>530</v>
      </c>
      <c r="HH47" s="214" t="s">
        <v>3575</v>
      </c>
      <c r="HI47" s="214" t="s">
        <v>34516</v>
      </c>
      <c r="HJ47" s="214" t="s">
        <v>70</v>
      </c>
      <c r="HK47" s="214" t="s">
        <v>530</v>
      </c>
      <c r="HM47" s="214" t="s">
        <v>3576</v>
      </c>
      <c r="HN47" s="214" t="s">
        <v>145</v>
      </c>
      <c r="HO47" s="214" t="s">
        <v>70</v>
      </c>
      <c r="HP47" s="214" t="s">
        <v>530</v>
      </c>
      <c r="HR47" s="22" t="s">
        <v>3577</v>
      </c>
      <c r="HS47" s="22" t="s">
        <v>798</v>
      </c>
      <c r="HT47" s="22" t="s">
        <v>70</v>
      </c>
      <c r="HU47" s="214" t="s">
        <v>530</v>
      </c>
      <c r="HW47" s="22" t="s">
        <v>3578</v>
      </c>
      <c r="HX47" s="22" t="s">
        <v>146</v>
      </c>
      <c r="HY47" s="22" t="s">
        <v>70</v>
      </c>
      <c r="HZ47" s="214" t="s">
        <v>530</v>
      </c>
      <c r="IB47" s="22" t="s">
        <v>3579</v>
      </c>
      <c r="IC47" s="22" t="s">
        <v>486</v>
      </c>
      <c r="ID47" s="22" t="s">
        <v>70</v>
      </c>
      <c r="IE47" s="214" t="s">
        <v>530</v>
      </c>
      <c r="IG47" s="22" t="s">
        <v>3580</v>
      </c>
      <c r="IH47" s="22" t="s">
        <v>52</v>
      </c>
      <c r="II47" s="22" t="s">
        <v>70</v>
      </c>
      <c r="IJ47" s="214" t="s">
        <v>530</v>
      </c>
      <c r="IL47" s="22" t="s">
        <v>3581</v>
      </c>
      <c r="IM47" s="22" t="s">
        <v>145</v>
      </c>
      <c r="IN47" s="22" t="s">
        <v>70</v>
      </c>
      <c r="IO47" s="214" t="s">
        <v>530</v>
      </c>
      <c r="IQ47" s="236" t="s">
        <v>3582</v>
      </c>
      <c r="IR47" s="236" t="s">
        <v>145</v>
      </c>
      <c r="IS47" s="236" t="s">
        <v>74</v>
      </c>
      <c r="IT47" s="236" t="s">
        <v>841</v>
      </c>
      <c r="IV47" s="236" t="s">
        <v>3583</v>
      </c>
      <c r="IW47" s="236" t="s">
        <v>145</v>
      </c>
      <c r="IX47" s="236" t="s">
        <v>74</v>
      </c>
      <c r="IY47" s="236" t="s">
        <v>841</v>
      </c>
      <c r="JA47" s="236" t="s">
        <v>3584</v>
      </c>
      <c r="JB47" s="236" t="s">
        <v>145</v>
      </c>
      <c r="JC47" s="236" t="s">
        <v>74</v>
      </c>
      <c r="JD47" s="236" t="s">
        <v>841</v>
      </c>
      <c r="JF47" s="236" t="s">
        <v>3585</v>
      </c>
      <c r="JG47" s="236" t="s">
        <v>145</v>
      </c>
      <c r="JH47" s="236" t="s">
        <v>74</v>
      </c>
      <c r="JI47" s="236" t="s">
        <v>841</v>
      </c>
      <c r="JK47" s="236" t="s">
        <v>3586</v>
      </c>
      <c r="JL47" s="236" t="s">
        <v>145</v>
      </c>
      <c r="JM47" s="236" t="s">
        <v>74</v>
      </c>
      <c r="JN47" s="236" t="s">
        <v>841</v>
      </c>
      <c r="JP47" s="236" t="s">
        <v>3587</v>
      </c>
      <c r="JQ47" s="236" t="s">
        <v>145</v>
      </c>
      <c r="JR47" s="236" t="s">
        <v>74</v>
      </c>
      <c r="JS47" s="236" t="s">
        <v>841</v>
      </c>
      <c r="JU47" s="294" t="s">
        <v>3588</v>
      </c>
      <c r="JV47" s="294" t="str">
        <f>TVIIBE1M_CalPairs!$R41</f>
        <v>0x87</v>
      </c>
      <c r="JW47" s="263" t="s">
        <v>70</v>
      </c>
      <c r="JX47" s="294" t="str">
        <f>TVIIBE1M_CalPairs!$Q41</f>
        <v>SMPU14_ATT1_B3</v>
      </c>
      <c r="JZ47" s="263" t="s">
        <v>3589</v>
      </c>
      <c r="KA47" s="263" t="s">
        <v>145</v>
      </c>
      <c r="KB47" s="263" t="s">
        <v>70</v>
      </c>
      <c r="KC47" s="263" t="s">
        <v>1083</v>
      </c>
      <c r="KE47" s="263" t="s">
        <v>3590</v>
      </c>
      <c r="KF47" s="263" t="s">
        <v>52</v>
      </c>
      <c r="KG47" s="263" t="s">
        <v>70</v>
      </c>
      <c r="KH47" s="263" t="s">
        <v>1083</v>
      </c>
      <c r="KJ47" s="263" t="s">
        <v>3591</v>
      </c>
      <c r="KK47" s="263" t="s">
        <v>90</v>
      </c>
      <c r="KL47" s="263" t="s">
        <v>74</v>
      </c>
      <c r="KM47" s="263" t="s">
        <v>34251</v>
      </c>
      <c r="KO47" s="214" t="s">
        <v>3592</v>
      </c>
      <c r="KP47" s="218" t="s">
        <v>52</v>
      </c>
      <c r="KQ47" s="214" t="s">
        <v>70</v>
      </c>
      <c r="KR47" s="218" t="s">
        <v>34487</v>
      </c>
      <c r="KT47" s="22" t="s">
        <v>3593</v>
      </c>
      <c r="KU47" s="22" t="s">
        <v>145</v>
      </c>
      <c r="KV47" s="22" t="s">
        <v>70</v>
      </c>
      <c r="KW47" s="22" t="s">
        <v>67</v>
      </c>
      <c r="KY47" s="214" t="s">
        <v>3594</v>
      </c>
      <c r="KZ47" s="214" t="s">
        <v>52</v>
      </c>
      <c r="LA47" s="214" t="s">
        <v>74</v>
      </c>
      <c r="LB47" s="214" t="s">
        <v>34112</v>
      </c>
      <c r="LD47" s="22" t="s">
        <v>3595</v>
      </c>
      <c r="LE47" s="22" t="s">
        <v>145</v>
      </c>
      <c r="LF47" s="22" t="s">
        <v>70</v>
      </c>
      <c r="LG47" s="22" t="s">
        <v>67</v>
      </c>
    </row>
    <row r="48" spans="1:319">
      <c r="A48" s="22" t="s">
        <v>3596</v>
      </c>
      <c r="B48" s="22" t="s">
        <v>145</v>
      </c>
      <c r="C48" s="22" t="s">
        <v>70</v>
      </c>
      <c r="D48" s="22" t="s">
        <v>67</v>
      </c>
      <c r="F48" s="23" t="s">
        <v>3597</v>
      </c>
      <c r="G48" s="23" t="str">
        <f>TVIIBE1M_CalPairs!$E45</f>
        <v>0x00</v>
      </c>
      <c r="H48" s="23" t="s">
        <v>72</v>
      </c>
      <c r="I48" s="23" t="str">
        <f>TVIIBE1M_CalPairs!$C45</f>
        <v>PWR_TRIM_LVD_CTL_VAL1</v>
      </c>
      <c r="K48" s="22" t="s">
        <v>3598</v>
      </c>
      <c r="L48" s="22" t="s">
        <v>145</v>
      </c>
      <c r="M48" s="22" t="s">
        <v>70</v>
      </c>
      <c r="N48" s="22" t="s">
        <v>67</v>
      </c>
      <c r="P48" s="22" t="s">
        <v>3599</v>
      </c>
      <c r="Q48" s="22" t="s">
        <v>145</v>
      </c>
      <c r="R48" s="22" t="s">
        <v>70</v>
      </c>
      <c r="S48" s="22" t="s">
        <v>67</v>
      </c>
      <c r="U48" s="293" t="s">
        <v>3600</v>
      </c>
      <c r="V48" s="293" t="s">
        <v>145</v>
      </c>
      <c r="W48" s="293" t="s">
        <v>74</v>
      </c>
      <c r="X48" s="293" t="s">
        <v>656</v>
      </c>
      <c r="Z48" s="293" t="s">
        <v>3601</v>
      </c>
      <c r="AA48" s="293" t="s">
        <v>145</v>
      </c>
      <c r="AB48" s="293" t="s">
        <v>74</v>
      </c>
      <c r="AC48" s="293" t="s">
        <v>656</v>
      </c>
      <c r="AE48" s="293" t="s">
        <v>3602</v>
      </c>
      <c r="AF48" s="293" t="s">
        <v>145</v>
      </c>
      <c r="AG48" s="293" t="s">
        <v>74</v>
      </c>
      <c r="AH48" s="293" t="s">
        <v>656</v>
      </c>
      <c r="AJ48" s="293" t="s">
        <v>3603</v>
      </c>
      <c r="AK48" s="293" t="s">
        <v>145</v>
      </c>
      <c r="AL48" s="293" t="s">
        <v>74</v>
      </c>
      <c r="AM48" s="293" t="s">
        <v>656</v>
      </c>
      <c r="AO48" s="22" t="s">
        <v>3604</v>
      </c>
      <c r="AP48" s="22" t="s">
        <v>145</v>
      </c>
      <c r="AQ48" s="22" t="s">
        <v>70</v>
      </c>
      <c r="AR48" s="22" t="s">
        <v>67</v>
      </c>
      <c r="AT48" s="22" t="s">
        <v>3605</v>
      </c>
      <c r="AU48" s="22" t="s">
        <v>145</v>
      </c>
      <c r="AV48" s="22" t="s">
        <v>70</v>
      </c>
      <c r="AW48" s="22" t="s">
        <v>67</v>
      </c>
      <c r="AY48" s="22" t="s">
        <v>3606</v>
      </c>
      <c r="AZ48" s="22" t="s">
        <v>145</v>
      </c>
      <c r="BA48" s="22" t="s">
        <v>70</v>
      </c>
      <c r="BB48" s="22" t="s">
        <v>67</v>
      </c>
      <c r="BD48" s="22" t="s">
        <v>3607</v>
      </c>
      <c r="BE48" s="22" t="s">
        <v>145</v>
      </c>
      <c r="BF48" s="22" t="s">
        <v>70</v>
      </c>
      <c r="BG48" s="22" t="s">
        <v>67</v>
      </c>
      <c r="BI48" s="22" t="s">
        <v>3608</v>
      </c>
      <c r="BJ48" s="22" t="s">
        <v>145</v>
      </c>
      <c r="BK48" s="22" t="s">
        <v>70</v>
      </c>
      <c r="BL48" s="22" t="s">
        <v>67</v>
      </c>
      <c r="BN48" s="22" t="s">
        <v>3609</v>
      </c>
      <c r="BO48" s="22" t="s">
        <v>145</v>
      </c>
      <c r="BP48" s="22" t="s">
        <v>70</v>
      </c>
      <c r="BQ48" s="22" t="s">
        <v>67</v>
      </c>
      <c r="BS48" s="22" t="s">
        <v>3610</v>
      </c>
      <c r="BT48" s="22" t="s">
        <v>145</v>
      </c>
      <c r="BU48" s="22" t="s">
        <v>70</v>
      </c>
      <c r="BV48" s="214" t="s">
        <v>530</v>
      </c>
      <c r="BX48" s="22" t="s">
        <v>3611</v>
      </c>
      <c r="BY48" s="22" t="s">
        <v>145</v>
      </c>
      <c r="BZ48" s="22" t="s">
        <v>70</v>
      </c>
      <c r="CA48" s="214" t="s">
        <v>530</v>
      </c>
      <c r="CC48" s="214" t="s">
        <v>3612</v>
      </c>
      <c r="CD48" s="214" t="s">
        <v>52</v>
      </c>
      <c r="CE48" s="214" t="s">
        <v>70</v>
      </c>
      <c r="CF48" s="214" t="s">
        <v>530</v>
      </c>
      <c r="CH48" s="214" t="s">
        <v>3613</v>
      </c>
      <c r="CI48" s="214" t="s">
        <v>92</v>
      </c>
      <c r="CJ48" s="214" t="s">
        <v>70</v>
      </c>
      <c r="CK48" s="214" t="s">
        <v>530</v>
      </c>
      <c r="CM48" s="214" t="s">
        <v>3614</v>
      </c>
      <c r="CN48" s="214" t="s">
        <v>1224</v>
      </c>
      <c r="CO48" s="214" t="s">
        <v>70</v>
      </c>
      <c r="CP48" s="214" t="s">
        <v>530</v>
      </c>
      <c r="CR48" s="214" t="s">
        <v>3615</v>
      </c>
      <c r="CS48" s="214" t="s">
        <v>204</v>
      </c>
      <c r="CT48" s="214" t="s">
        <v>70</v>
      </c>
      <c r="CU48" s="214" t="s">
        <v>530</v>
      </c>
      <c r="CW48" s="214" t="s">
        <v>3616</v>
      </c>
      <c r="CX48" s="214" t="s">
        <v>85</v>
      </c>
      <c r="CY48" s="214" t="s">
        <v>70</v>
      </c>
      <c r="CZ48" s="214" t="s">
        <v>530</v>
      </c>
      <c r="DB48" s="214" t="s">
        <v>3617</v>
      </c>
      <c r="DC48" s="214" t="s">
        <v>52</v>
      </c>
      <c r="DD48" s="214" t="s">
        <v>70</v>
      </c>
      <c r="DE48" s="214" t="s">
        <v>530</v>
      </c>
      <c r="DG48" s="214" t="s">
        <v>3618</v>
      </c>
      <c r="DH48" s="214" t="s">
        <v>52</v>
      </c>
      <c r="DI48" s="214" t="s">
        <v>70</v>
      </c>
      <c r="DJ48" s="214" t="s">
        <v>530</v>
      </c>
      <c r="DL48" s="214" t="s">
        <v>3619</v>
      </c>
      <c r="DM48" s="214" t="s">
        <v>52</v>
      </c>
      <c r="DN48" s="214" t="s">
        <v>70</v>
      </c>
      <c r="DO48" s="214" t="s">
        <v>530</v>
      </c>
      <c r="DQ48" s="214" t="s">
        <v>3620</v>
      </c>
      <c r="DR48" s="214" t="s">
        <v>34558</v>
      </c>
      <c r="DS48" s="214" t="s">
        <v>70</v>
      </c>
      <c r="DT48" s="214" t="s">
        <v>530</v>
      </c>
      <c r="DV48" s="214" t="s">
        <v>3621</v>
      </c>
      <c r="DW48" s="214" t="s">
        <v>163</v>
      </c>
      <c r="DX48" s="214" t="s">
        <v>70</v>
      </c>
      <c r="DY48" s="214" t="s">
        <v>530</v>
      </c>
      <c r="EA48" s="214" t="s">
        <v>3622</v>
      </c>
      <c r="EB48" s="214" t="s">
        <v>34563</v>
      </c>
      <c r="EC48" s="214" t="s">
        <v>70</v>
      </c>
      <c r="ED48" s="214" t="s">
        <v>530</v>
      </c>
      <c r="EF48" s="214" t="s">
        <v>3623</v>
      </c>
      <c r="EG48" s="214" t="s">
        <v>145</v>
      </c>
      <c r="EH48" s="214" t="s">
        <v>70</v>
      </c>
      <c r="EI48" s="214" t="s">
        <v>530</v>
      </c>
      <c r="EK48" s="214" t="s">
        <v>3624</v>
      </c>
      <c r="EL48" s="214" t="s">
        <v>34536</v>
      </c>
      <c r="EM48" s="214" t="s">
        <v>70</v>
      </c>
      <c r="EN48" s="214" t="s">
        <v>530</v>
      </c>
      <c r="EP48" s="214" t="s">
        <v>3625</v>
      </c>
      <c r="EQ48" s="214" t="s">
        <v>52</v>
      </c>
      <c r="ER48" s="214" t="s">
        <v>70</v>
      </c>
      <c r="ES48" s="214" t="s">
        <v>530</v>
      </c>
      <c r="EU48" s="214" t="s">
        <v>3626</v>
      </c>
      <c r="EV48" s="214" t="s">
        <v>163</v>
      </c>
      <c r="EW48" s="214" t="s">
        <v>70</v>
      </c>
      <c r="EX48" s="214" t="s">
        <v>530</v>
      </c>
      <c r="EZ48" s="214" t="s">
        <v>3627</v>
      </c>
      <c r="FA48" s="214" t="s">
        <v>149</v>
      </c>
      <c r="FB48" s="214" t="s">
        <v>70</v>
      </c>
      <c r="FC48" s="214" t="s">
        <v>530</v>
      </c>
      <c r="FE48" s="214" t="s">
        <v>3628</v>
      </c>
      <c r="FF48" s="214" t="s">
        <v>89</v>
      </c>
      <c r="FG48" s="214" t="s">
        <v>70</v>
      </c>
      <c r="FH48" s="214" t="s">
        <v>530</v>
      </c>
      <c r="FJ48" s="321" t="s">
        <v>3629</v>
      </c>
      <c r="FK48" s="214" t="s">
        <v>52</v>
      </c>
      <c r="FL48" s="214" t="s">
        <v>70</v>
      </c>
      <c r="FM48" s="214" t="s">
        <v>530</v>
      </c>
      <c r="FO48" s="321" t="s">
        <v>3630</v>
      </c>
      <c r="FP48" s="214" t="s">
        <v>86</v>
      </c>
      <c r="FQ48" s="214" t="s">
        <v>70</v>
      </c>
      <c r="FR48" s="214" t="s">
        <v>530</v>
      </c>
      <c r="FT48" s="321" t="s">
        <v>3631</v>
      </c>
      <c r="FU48" s="214" t="s">
        <v>148</v>
      </c>
      <c r="FV48" s="214" t="s">
        <v>70</v>
      </c>
      <c r="FW48" s="214" t="s">
        <v>530</v>
      </c>
      <c r="FY48" s="321" t="s">
        <v>3632</v>
      </c>
      <c r="FZ48" s="214" t="s">
        <v>90</v>
      </c>
      <c r="GA48" s="214" t="s">
        <v>70</v>
      </c>
      <c r="GB48" s="214" t="s">
        <v>530</v>
      </c>
      <c r="GD48" s="321" t="s">
        <v>3633</v>
      </c>
      <c r="GE48" s="214" t="s">
        <v>93</v>
      </c>
      <c r="GF48" s="214" t="s">
        <v>70</v>
      </c>
      <c r="GG48" s="214" t="s">
        <v>530</v>
      </c>
      <c r="GI48" s="321" t="s">
        <v>3634</v>
      </c>
      <c r="GJ48" s="214" t="s">
        <v>148</v>
      </c>
      <c r="GK48" s="214" t="s">
        <v>70</v>
      </c>
      <c r="GL48" s="214" t="s">
        <v>530</v>
      </c>
      <c r="GN48" s="321" t="s">
        <v>3635</v>
      </c>
      <c r="GO48" s="214" t="s">
        <v>937</v>
      </c>
      <c r="GP48" s="214" t="s">
        <v>70</v>
      </c>
      <c r="GQ48" s="214" t="s">
        <v>530</v>
      </c>
      <c r="GS48" s="321" t="s">
        <v>3636</v>
      </c>
      <c r="GT48" s="214" t="s">
        <v>34648</v>
      </c>
      <c r="GU48" s="214" t="s">
        <v>70</v>
      </c>
      <c r="GV48" s="214" t="s">
        <v>530</v>
      </c>
      <c r="GX48" s="214" t="s">
        <v>3637</v>
      </c>
      <c r="GY48" s="214" t="s">
        <v>145</v>
      </c>
      <c r="GZ48" s="214" t="s">
        <v>70</v>
      </c>
      <c r="HA48" s="214" t="s">
        <v>530</v>
      </c>
      <c r="HC48" s="214" t="s">
        <v>3638</v>
      </c>
      <c r="HD48" s="214" t="s">
        <v>52</v>
      </c>
      <c r="HE48" s="214" t="s">
        <v>70</v>
      </c>
      <c r="HF48" s="214" t="s">
        <v>530</v>
      </c>
      <c r="HH48" s="214" t="s">
        <v>3639</v>
      </c>
      <c r="HI48" s="214" t="s">
        <v>149</v>
      </c>
      <c r="HJ48" s="214" t="s">
        <v>70</v>
      </c>
      <c r="HK48" s="214" t="s">
        <v>530</v>
      </c>
      <c r="HM48" s="214" t="s">
        <v>3640</v>
      </c>
      <c r="HN48" s="214" t="s">
        <v>52</v>
      </c>
      <c r="HO48" s="214" t="s">
        <v>70</v>
      </c>
      <c r="HP48" s="214" t="s">
        <v>530</v>
      </c>
      <c r="HR48" s="22" t="s">
        <v>3641</v>
      </c>
      <c r="HS48" s="22" t="s">
        <v>52</v>
      </c>
      <c r="HT48" s="22" t="s">
        <v>70</v>
      </c>
      <c r="HU48" s="214" t="s">
        <v>530</v>
      </c>
      <c r="HW48" s="22" t="s">
        <v>3642</v>
      </c>
      <c r="HX48" s="22" t="s">
        <v>146</v>
      </c>
      <c r="HY48" s="22" t="s">
        <v>70</v>
      </c>
      <c r="HZ48" s="214" t="s">
        <v>530</v>
      </c>
      <c r="IB48" s="22" t="s">
        <v>3643</v>
      </c>
      <c r="IC48" s="22" t="s">
        <v>286</v>
      </c>
      <c r="ID48" s="22" t="s">
        <v>70</v>
      </c>
      <c r="IE48" s="214" t="s">
        <v>530</v>
      </c>
      <c r="IG48" s="22" t="s">
        <v>3644</v>
      </c>
      <c r="IH48" s="22" t="s">
        <v>497</v>
      </c>
      <c r="II48" s="22" t="s">
        <v>70</v>
      </c>
      <c r="IJ48" s="214" t="s">
        <v>530</v>
      </c>
      <c r="IL48" s="22" t="s">
        <v>3645</v>
      </c>
      <c r="IM48" s="22" t="s">
        <v>145</v>
      </c>
      <c r="IN48" s="22" t="s">
        <v>70</v>
      </c>
      <c r="IO48" s="214" t="s">
        <v>530</v>
      </c>
      <c r="IQ48" s="236" t="s">
        <v>3646</v>
      </c>
      <c r="IR48" s="236" t="s">
        <v>145</v>
      </c>
      <c r="IS48" s="236" t="s">
        <v>74</v>
      </c>
      <c r="IT48" s="236" t="s">
        <v>841</v>
      </c>
      <c r="IV48" s="236" t="s">
        <v>3647</v>
      </c>
      <c r="IW48" s="236" t="s">
        <v>145</v>
      </c>
      <c r="IX48" s="236" t="s">
        <v>74</v>
      </c>
      <c r="IY48" s="236" t="s">
        <v>841</v>
      </c>
      <c r="JA48" s="236" t="s">
        <v>3649</v>
      </c>
      <c r="JB48" s="236" t="s">
        <v>145</v>
      </c>
      <c r="JC48" s="236" t="s">
        <v>74</v>
      </c>
      <c r="JD48" s="236" t="s">
        <v>841</v>
      </c>
      <c r="JF48" s="236" t="s">
        <v>3650</v>
      </c>
      <c r="JG48" s="236" t="s">
        <v>145</v>
      </c>
      <c r="JH48" s="236" t="s">
        <v>74</v>
      </c>
      <c r="JI48" s="236" t="s">
        <v>841</v>
      </c>
      <c r="JK48" s="236" t="s">
        <v>3651</v>
      </c>
      <c r="JL48" s="236" t="s">
        <v>145</v>
      </c>
      <c r="JM48" s="236" t="s">
        <v>74</v>
      </c>
      <c r="JN48" s="236" t="s">
        <v>841</v>
      </c>
      <c r="JP48" s="236" t="s">
        <v>3652</v>
      </c>
      <c r="JQ48" s="236" t="s">
        <v>145</v>
      </c>
      <c r="JR48" s="236" t="s">
        <v>74</v>
      </c>
      <c r="JS48" s="236" t="s">
        <v>841</v>
      </c>
      <c r="JU48" s="294" t="s">
        <v>3653</v>
      </c>
      <c r="JV48" s="294" t="str">
        <f>TVIIBE1M_CalPairs!$Q3</f>
        <v>0x0E</v>
      </c>
      <c r="JW48" s="263" t="s">
        <v>70</v>
      </c>
      <c r="JX48" s="294" t="s">
        <v>3648</v>
      </c>
      <c r="JZ48" s="263" t="s">
        <v>3654</v>
      </c>
      <c r="KA48" s="263" t="s">
        <v>145</v>
      </c>
      <c r="KB48" s="263" t="s">
        <v>70</v>
      </c>
      <c r="KC48" s="263" t="s">
        <v>1083</v>
      </c>
      <c r="KE48" s="263" t="s">
        <v>3655</v>
      </c>
      <c r="KF48" s="263" t="s">
        <v>52</v>
      </c>
      <c r="KG48" s="263" t="s">
        <v>70</v>
      </c>
      <c r="KH48" s="263" t="s">
        <v>1083</v>
      </c>
      <c r="KJ48" s="263" t="s">
        <v>3656</v>
      </c>
      <c r="KK48" s="263" t="s">
        <v>85</v>
      </c>
      <c r="KL48" s="263" t="s">
        <v>74</v>
      </c>
      <c r="KM48" s="263" t="s">
        <v>34252</v>
      </c>
      <c r="KO48" s="214" t="s">
        <v>3657</v>
      </c>
      <c r="KP48" s="214" t="s">
        <v>52</v>
      </c>
      <c r="KQ48" s="214" t="s">
        <v>70</v>
      </c>
      <c r="KR48" s="214" t="s">
        <v>1011</v>
      </c>
      <c r="KT48" s="22" t="s">
        <v>3658</v>
      </c>
      <c r="KU48" s="22" t="s">
        <v>145</v>
      </c>
      <c r="KV48" s="22" t="s">
        <v>70</v>
      </c>
      <c r="KW48" s="22" t="s">
        <v>67</v>
      </c>
      <c r="KY48" s="214" t="s">
        <v>3659</v>
      </c>
      <c r="KZ48" s="214" t="s">
        <v>52</v>
      </c>
      <c r="LA48" s="214" t="s">
        <v>74</v>
      </c>
      <c r="LB48" s="214" t="s">
        <v>34113</v>
      </c>
      <c r="LD48" s="22" t="s">
        <v>3660</v>
      </c>
      <c r="LE48" s="22" t="s">
        <v>145</v>
      </c>
      <c r="LF48" s="22" t="s">
        <v>70</v>
      </c>
      <c r="LG48" s="22" t="s">
        <v>67</v>
      </c>
    </row>
    <row r="49" spans="1:319">
      <c r="A49" s="22" t="s">
        <v>3661</v>
      </c>
      <c r="B49" s="22" t="s">
        <v>145</v>
      </c>
      <c r="C49" s="22" t="s">
        <v>70</v>
      </c>
      <c r="D49" s="22" t="s">
        <v>67</v>
      </c>
      <c r="F49" s="23" t="s">
        <v>3662</v>
      </c>
      <c r="G49" s="23" t="str">
        <f>TVIIBE1M_CalPairs!$E46</f>
        <v>0x20</v>
      </c>
      <c r="H49" s="23" t="s">
        <v>72</v>
      </c>
      <c r="I49" s="23" t="str">
        <f>TVIIBE1M_CalPairs!$C46</f>
        <v>PWR_TRIM_LVD_CTL_VAL2</v>
      </c>
      <c r="K49" s="22" t="s">
        <v>3663</v>
      </c>
      <c r="L49" s="22" t="s">
        <v>145</v>
      </c>
      <c r="M49" s="22" t="s">
        <v>70</v>
      </c>
      <c r="N49" s="22" t="s">
        <v>67</v>
      </c>
      <c r="P49" s="22" t="s">
        <v>3664</v>
      </c>
      <c r="Q49" s="22" t="s">
        <v>145</v>
      </c>
      <c r="R49" s="22" t="s">
        <v>70</v>
      </c>
      <c r="S49" s="22" t="s">
        <v>67</v>
      </c>
      <c r="U49" s="293" t="s">
        <v>3665</v>
      </c>
      <c r="V49" s="293" t="s">
        <v>145</v>
      </c>
      <c r="W49" s="293" t="s">
        <v>74</v>
      </c>
      <c r="X49" s="293" t="s">
        <v>656</v>
      </c>
      <c r="Z49" s="293" t="s">
        <v>3666</v>
      </c>
      <c r="AA49" s="293" t="s">
        <v>145</v>
      </c>
      <c r="AB49" s="293" t="s">
        <v>74</v>
      </c>
      <c r="AC49" s="293" t="s">
        <v>656</v>
      </c>
      <c r="AE49" s="293" t="s">
        <v>3667</v>
      </c>
      <c r="AF49" s="293" t="s">
        <v>145</v>
      </c>
      <c r="AG49" s="293" t="s">
        <v>74</v>
      </c>
      <c r="AH49" s="293" t="s">
        <v>656</v>
      </c>
      <c r="AJ49" s="293" t="s">
        <v>3668</v>
      </c>
      <c r="AK49" s="293" t="s">
        <v>145</v>
      </c>
      <c r="AL49" s="293" t="s">
        <v>74</v>
      </c>
      <c r="AM49" s="293" t="s">
        <v>656</v>
      </c>
      <c r="AO49" s="22" t="s">
        <v>3669</v>
      </c>
      <c r="AP49" s="22" t="s">
        <v>145</v>
      </c>
      <c r="AQ49" s="22" t="s">
        <v>70</v>
      </c>
      <c r="AR49" s="22" t="s">
        <v>67</v>
      </c>
      <c r="AT49" s="22" t="s">
        <v>3670</v>
      </c>
      <c r="AU49" s="22" t="s">
        <v>145</v>
      </c>
      <c r="AV49" s="22" t="s">
        <v>70</v>
      </c>
      <c r="AW49" s="22" t="s">
        <v>67</v>
      </c>
      <c r="AY49" s="22" t="s">
        <v>3671</v>
      </c>
      <c r="AZ49" s="22" t="s">
        <v>145</v>
      </c>
      <c r="BA49" s="22" t="s">
        <v>70</v>
      </c>
      <c r="BB49" s="22" t="s">
        <v>67</v>
      </c>
      <c r="BD49" s="22" t="s">
        <v>3672</v>
      </c>
      <c r="BE49" s="22" t="s">
        <v>145</v>
      </c>
      <c r="BF49" s="22" t="s">
        <v>70</v>
      </c>
      <c r="BG49" s="22" t="s">
        <v>67</v>
      </c>
      <c r="BI49" s="22" t="s">
        <v>3673</v>
      </c>
      <c r="BJ49" s="22" t="s">
        <v>145</v>
      </c>
      <c r="BK49" s="22" t="s">
        <v>70</v>
      </c>
      <c r="BL49" s="22" t="s">
        <v>67</v>
      </c>
      <c r="BN49" s="22" t="s">
        <v>3674</v>
      </c>
      <c r="BO49" s="22" t="s">
        <v>145</v>
      </c>
      <c r="BP49" s="22" t="s">
        <v>70</v>
      </c>
      <c r="BQ49" s="22" t="s">
        <v>67</v>
      </c>
      <c r="BS49" s="22" t="s">
        <v>3675</v>
      </c>
      <c r="BT49" s="22" t="s">
        <v>145</v>
      </c>
      <c r="BU49" s="22" t="s">
        <v>70</v>
      </c>
      <c r="BV49" s="214" t="s">
        <v>530</v>
      </c>
      <c r="BX49" s="22" t="s">
        <v>3676</v>
      </c>
      <c r="BY49" s="22" t="s">
        <v>145</v>
      </c>
      <c r="BZ49" s="22" t="s">
        <v>70</v>
      </c>
      <c r="CA49" s="214" t="s">
        <v>530</v>
      </c>
      <c r="CC49" s="214" t="s">
        <v>3677</v>
      </c>
      <c r="CD49" s="214" t="s">
        <v>599</v>
      </c>
      <c r="CE49" s="214" t="s">
        <v>70</v>
      </c>
      <c r="CF49" s="214" t="s">
        <v>530</v>
      </c>
      <c r="CH49" s="214" t="s">
        <v>3678</v>
      </c>
      <c r="CI49" s="214" t="s">
        <v>86</v>
      </c>
      <c r="CJ49" s="214" t="s">
        <v>70</v>
      </c>
      <c r="CK49" s="214" t="s">
        <v>530</v>
      </c>
      <c r="CM49" s="214" t="s">
        <v>3679</v>
      </c>
      <c r="CN49" s="214" t="s">
        <v>93</v>
      </c>
      <c r="CO49" s="214" t="s">
        <v>70</v>
      </c>
      <c r="CP49" s="214" t="s">
        <v>530</v>
      </c>
      <c r="CR49" s="214" t="s">
        <v>3680</v>
      </c>
      <c r="CS49" s="214" t="s">
        <v>146</v>
      </c>
      <c r="CT49" s="214" t="s">
        <v>70</v>
      </c>
      <c r="CU49" s="214" t="s">
        <v>530</v>
      </c>
      <c r="CW49" s="214" t="s">
        <v>3681</v>
      </c>
      <c r="CX49" s="214" t="s">
        <v>34540</v>
      </c>
      <c r="CY49" s="214" t="s">
        <v>70</v>
      </c>
      <c r="CZ49" s="214" t="s">
        <v>530</v>
      </c>
      <c r="DB49" s="214" t="s">
        <v>3682</v>
      </c>
      <c r="DC49" s="214" t="s">
        <v>92</v>
      </c>
      <c r="DD49" s="214" t="s">
        <v>70</v>
      </c>
      <c r="DE49" s="214" t="s">
        <v>530</v>
      </c>
      <c r="DG49" s="214" t="s">
        <v>3683</v>
      </c>
      <c r="DH49" s="214" t="s">
        <v>52</v>
      </c>
      <c r="DI49" s="214" t="s">
        <v>70</v>
      </c>
      <c r="DJ49" s="214" t="s">
        <v>530</v>
      </c>
      <c r="DL49" s="214" t="s">
        <v>3684</v>
      </c>
      <c r="DM49" s="214" t="s">
        <v>203</v>
      </c>
      <c r="DN49" s="214" t="s">
        <v>70</v>
      </c>
      <c r="DO49" s="214" t="s">
        <v>530</v>
      </c>
      <c r="DQ49" s="214" t="s">
        <v>3685</v>
      </c>
      <c r="DR49" s="214" t="s">
        <v>34620</v>
      </c>
      <c r="DS49" s="214" t="s">
        <v>70</v>
      </c>
      <c r="DT49" s="214" t="s">
        <v>530</v>
      </c>
      <c r="DV49" s="214" t="s">
        <v>3686</v>
      </c>
      <c r="DW49" s="214" t="s">
        <v>486</v>
      </c>
      <c r="DX49" s="214" t="s">
        <v>70</v>
      </c>
      <c r="DY49" s="214" t="s">
        <v>530</v>
      </c>
      <c r="EA49" s="214" t="s">
        <v>3687</v>
      </c>
      <c r="EB49" s="214" t="s">
        <v>492</v>
      </c>
      <c r="EC49" s="214" t="s">
        <v>70</v>
      </c>
      <c r="ED49" s="214" t="s">
        <v>530</v>
      </c>
      <c r="EF49" s="214" t="s">
        <v>3688</v>
      </c>
      <c r="EG49" s="214" t="s">
        <v>145</v>
      </c>
      <c r="EH49" s="214" t="s">
        <v>70</v>
      </c>
      <c r="EI49" s="214" t="s">
        <v>530</v>
      </c>
      <c r="EK49" s="214" t="s">
        <v>3689</v>
      </c>
      <c r="EL49" s="214" t="s">
        <v>492</v>
      </c>
      <c r="EM49" s="214" t="s">
        <v>70</v>
      </c>
      <c r="EN49" s="214" t="s">
        <v>530</v>
      </c>
      <c r="EP49" s="214" t="s">
        <v>3690</v>
      </c>
      <c r="EQ49" s="214" t="s">
        <v>92</v>
      </c>
      <c r="ER49" s="214" t="s">
        <v>70</v>
      </c>
      <c r="ES49" s="214" t="s">
        <v>530</v>
      </c>
      <c r="EU49" s="214" t="s">
        <v>3691</v>
      </c>
      <c r="EV49" s="214" t="s">
        <v>34542</v>
      </c>
      <c r="EW49" s="214" t="s">
        <v>70</v>
      </c>
      <c r="EX49" s="214" t="s">
        <v>530</v>
      </c>
      <c r="EZ49" s="214" t="s">
        <v>3692</v>
      </c>
      <c r="FA49" s="214" t="s">
        <v>34542</v>
      </c>
      <c r="FB49" s="214" t="s">
        <v>70</v>
      </c>
      <c r="FC49" s="214" t="s">
        <v>530</v>
      </c>
      <c r="FE49" s="214" t="s">
        <v>3693</v>
      </c>
      <c r="FF49" s="214" t="s">
        <v>52</v>
      </c>
      <c r="FG49" s="214" t="s">
        <v>70</v>
      </c>
      <c r="FH49" s="214" t="s">
        <v>530</v>
      </c>
      <c r="FJ49" s="321" t="s">
        <v>3694</v>
      </c>
      <c r="FK49" s="214" t="s">
        <v>52</v>
      </c>
      <c r="FL49" s="214" t="s">
        <v>70</v>
      </c>
      <c r="FM49" s="214" t="s">
        <v>530</v>
      </c>
      <c r="FO49" s="321" t="s">
        <v>3695</v>
      </c>
      <c r="FP49" s="214" t="s">
        <v>52</v>
      </c>
      <c r="FQ49" s="214" t="s">
        <v>70</v>
      </c>
      <c r="FR49" s="214" t="s">
        <v>530</v>
      </c>
      <c r="FT49" s="321" t="s">
        <v>3696</v>
      </c>
      <c r="FU49" s="214" t="s">
        <v>52</v>
      </c>
      <c r="FV49" s="214" t="s">
        <v>70</v>
      </c>
      <c r="FW49" s="214" t="s">
        <v>530</v>
      </c>
      <c r="FY49" s="321" t="s">
        <v>3697</v>
      </c>
      <c r="FZ49" s="214" t="s">
        <v>482</v>
      </c>
      <c r="GA49" s="214" t="s">
        <v>70</v>
      </c>
      <c r="GB49" s="214" t="s">
        <v>530</v>
      </c>
      <c r="GD49" s="321" t="s">
        <v>3698</v>
      </c>
      <c r="GE49" s="214" t="s">
        <v>34561</v>
      </c>
      <c r="GF49" s="214" t="s">
        <v>70</v>
      </c>
      <c r="GG49" s="214" t="s">
        <v>530</v>
      </c>
      <c r="GI49" s="321" t="s">
        <v>3699</v>
      </c>
      <c r="GJ49" s="214" t="s">
        <v>34562</v>
      </c>
      <c r="GK49" s="214" t="s">
        <v>70</v>
      </c>
      <c r="GL49" s="214" t="s">
        <v>530</v>
      </c>
      <c r="GN49" s="321" t="s">
        <v>3700</v>
      </c>
      <c r="GO49" s="214" t="s">
        <v>34539</v>
      </c>
      <c r="GP49" s="214" t="s">
        <v>70</v>
      </c>
      <c r="GQ49" s="214" t="s">
        <v>530</v>
      </c>
      <c r="GS49" s="321" t="s">
        <v>3701</v>
      </c>
      <c r="GT49" s="214" t="s">
        <v>145</v>
      </c>
      <c r="GU49" s="214" t="s">
        <v>70</v>
      </c>
      <c r="GV49" s="214" t="s">
        <v>530</v>
      </c>
      <c r="GX49" s="214" t="s">
        <v>3702</v>
      </c>
      <c r="GY49" s="214" t="s">
        <v>52</v>
      </c>
      <c r="GZ49" s="214" t="s">
        <v>70</v>
      </c>
      <c r="HA49" s="214" t="s">
        <v>530</v>
      </c>
      <c r="HC49" s="214" t="s">
        <v>3703</v>
      </c>
      <c r="HD49" s="214" t="s">
        <v>93</v>
      </c>
      <c r="HE49" s="214" t="s">
        <v>70</v>
      </c>
      <c r="HF49" s="214" t="s">
        <v>530</v>
      </c>
      <c r="HH49" s="214" t="s">
        <v>3704</v>
      </c>
      <c r="HI49" s="214" t="s">
        <v>34593</v>
      </c>
      <c r="HJ49" s="214" t="s">
        <v>70</v>
      </c>
      <c r="HK49" s="214" t="s">
        <v>530</v>
      </c>
      <c r="HM49" s="214" t="s">
        <v>3705</v>
      </c>
      <c r="HN49" s="214" t="s">
        <v>468</v>
      </c>
      <c r="HO49" s="214" t="s">
        <v>70</v>
      </c>
      <c r="HP49" s="214" t="s">
        <v>530</v>
      </c>
      <c r="HR49" s="22" t="s">
        <v>3706</v>
      </c>
      <c r="HS49" s="22" t="s">
        <v>485</v>
      </c>
      <c r="HT49" s="22" t="s">
        <v>70</v>
      </c>
      <c r="HU49" s="214" t="s">
        <v>530</v>
      </c>
      <c r="HW49" s="22" t="s">
        <v>3707</v>
      </c>
      <c r="HX49" s="22" t="s">
        <v>34547</v>
      </c>
      <c r="HY49" s="22" t="s">
        <v>70</v>
      </c>
      <c r="HZ49" s="214" t="s">
        <v>530</v>
      </c>
      <c r="IB49" s="22" t="s">
        <v>3708</v>
      </c>
      <c r="IC49" s="22" t="s">
        <v>488</v>
      </c>
      <c r="ID49" s="22" t="s">
        <v>70</v>
      </c>
      <c r="IE49" s="214" t="s">
        <v>530</v>
      </c>
      <c r="IG49" s="22" t="s">
        <v>3709</v>
      </c>
      <c r="IH49" s="22" t="s">
        <v>529</v>
      </c>
      <c r="II49" s="22" t="s">
        <v>70</v>
      </c>
      <c r="IJ49" s="214" t="s">
        <v>530</v>
      </c>
      <c r="IL49" s="22" t="s">
        <v>3710</v>
      </c>
      <c r="IM49" s="22" t="s">
        <v>145</v>
      </c>
      <c r="IN49" s="22" t="s">
        <v>70</v>
      </c>
      <c r="IO49" s="214" t="s">
        <v>530</v>
      </c>
      <c r="IQ49" s="236" t="s">
        <v>3711</v>
      </c>
      <c r="IR49" s="236" t="s">
        <v>145</v>
      </c>
      <c r="IS49" s="236" t="s">
        <v>74</v>
      </c>
      <c r="IT49" s="236" t="s">
        <v>841</v>
      </c>
      <c r="IV49" s="236" t="s">
        <v>3712</v>
      </c>
      <c r="IW49" s="236" t="s">
        <v>145</v>
      </c>
      <c r="IX49" s="236" t="s">
        <v>74</v>
      </c>
      <c r="IY49" s="236" t="s">
        <v>841</v>
      </c>
      <c r="JA49" s="236" t="s">
        <v>3714</v>
      </c>
      <c r="JB49" s="236" t="s">
        <v>145</v>
      </c>
      <c r="JC49" s="236" t="s">
        <v>74</v>
      </c>
      <c r="JD49" s="236" t="s">
        <v>841</v>
      </c>
      <c r="JF49" s="236" t="s">
        <v>3715</v>
      </c>
      <c r="JG49" s="236" t="s">
        <v>145</v>
      </c>
      <c r="JH49" s="236" t="s">
        <v>74</v>
      </c>
      <c r="JI49" s="236" t="s">
        <v>841</v>
      </c>
      <c r="JK49" s="236" t="s">
        <v>3716</v>
      </c>
      <c r="JL49" s="236" t="s">
        <v>145</v>
      </c>
      <c r="JM49" s="236" t="s">
        <v>74</v>
      </c>
      <c r="JN49" s="236" t="s">
        <v>841</v>
      </c>
      <c r="JP49" s="236" t="s">
        <v>3717</v>
      </c>
      <c r="JQ49" s="236" t="s">
        <v>145</v>
      </c>
      <c r="JR49" s="236" t="s">
        <v>74</v>
      </c>
      <c r="JS49" s="236" t="s">
        <v>841</v>
      </c>
      <c r="JU49" s="294" t="s">
        <v>3718</v>
      </c>
      <c r="JV49" s="263" t="s">
        <v>52</v>
      </c>
      <c r="JW49" s="263" t="s">
        <v>70</v>
      </c>
      <c r="JX49" s="294" t="s">
        <v>3713</v>
      </c>
      <c r="JZ49" s="263" t="s">
        <v>3719</v>
      </c>
      <c r="KA49" s="263" t="s">
        <v>145</v>
      </c>
      <c r="KB49" s="263" t="s">
        <v>70</v>
      </c>
      <c r="KC49" s="263" t="s">
        <v>1083</v>
      </c>
      <c r="KE49" s="263" t="s">
        <v>3720</v>
      </c>
      <c r="KF49" s="263" t="s">
        <v>52</v>
      </c>
      <c r="KG49" s="263" t="s">
        <v>70</v>
      </c>
      <c r="KH49" s="263" t="s">
        <v>1083</v>
      </c>
      <c r="KJ49" s="263" t="s">
        <v>3721</v>
      </c>
      <c r="KK49" s="263" t="s">
        <v>52</v>
      </c>
      <c r="KL49" s="263" t="s">
        <v>74</v>
      </c>
      <c r="KM49" s="263" t="s">
        <v>34253</v>
      </c>
      <c r="KO49" s="214" t="s">
        <v>3722</v>
      </c>
      <c r="KP49" s="214" t="s">
        <v>481</v>
      </c>
      <c r="KQ49" s="214" t="s">
        <v>70</v>
      </c>
      <c r="KR49" s="214" t="s">
        <v>1011</v>
      </c>
      <c r="KT49" s="22" t="s">
        <v>3723</v>
      </c>
      <c r="KU49" s="22" t="s">
        <v>145</v>
      </c>
      <c r="KV49" s="22" t="s">
        <v>70</v>
      </c>
      <c r="KW49" s="22" t="s">
        <v>67</v>
      </c>
      <c r="KY49" s="214" t="s">
        <v>3724</v>
      </c>
      <c r="KZ49" s="214" t="s">
        <v>52</v>
      </c>
      <c r="LA49" s="214" t="s">
        <v>74</v>
      </c>
      <c r="LB49" s="214" t="s">
        <v>34113</v>
      </c>
      <c r="LD49" s="22" t="s">
        <v>3725</v>
      </c>
      <c r="LE49" s="22" t="s">
        <v>145</v>
      </c>
      <c r="LF49" s="22" t="s">
        <v>70</v>
      </c>
      <c r="LG49" s="22" t="s">
        <v>67</v>
      </c>
    </row>
    <row r="50" spans="1:319">
      <c r="A50" s="22" t="s">
        <v>3726</v>
      </c>
      <c r="B50" s="22" t="s">
        <v>145</v>
      </c>
      <c r="C50" s="22" t="s">
        <v>70</v>
      </c>
      <c r="D50" s="22" t="s">
        <v>67</v>
      </c>
      <c r="F50" s="23" t="s">
        <v>3727</v>
      </c>
      <c r="G50" s="23" t="str">
        <f>TVIIBE1M_CalPairs!$E47</f>
        <v>0xA2</v>
      </c>
      <c r="H50" s="23" t="s">
        <v>72</v>
      </c>
      <c r="I50" s="23" t="str">
        <f>TVIIBE1M_CalPairs!$C47</f>
        <v>PWR_TRIM_LVD_CTL_VAL3</v>
      </c>
      <c r="K50" s="22" t="s">
        <v>3728</v>
      </c>
      <c r="L50" s="22" t="s">
        <v>145</v>
      </c>
      <c r="M50" s="22" t="s">
        <v>70</v>
      </c>
      <c r="N50" s="22" t="s">
        <v>67</v>
      </c>
      <c r="P50" s="22" t="s">
        <v>3729</v>
      </c>
      <c r="Q50" s="22" t="s">
        <v>145</v>
      </c>
      <c r="R50" s="22" t="s">
        <v>70</v>
      </c>
      <c r="S50" s="22" t="s">
        <v>67</v>
      </c>
      <c r="U50" s="293" t="s">
        <v>3730</v>
      </c>
      <c r="V50" s="293" t="s">
        <v>145</v>
      </c>
      <c r="W50" s="293" t="s">
        <v>74</v>
      </c>
      <c r="X50" s="293" t="s">
        <v>656</v>
      </c>
      <c r="Z50" s="293" t="s">
        <v>3731</v>
      </c>
      <c r="AA50" s="293" t="s">
        <v>145</v>
      </c>
      <c r="AB50" s="293" t="s">
        <v>74</v>
      </c>
      <c r="AC50" s="293" t="s">
        <v>656</v>
      </c>
      <c r="AE50" s="293" t="s">
        <v>3732</v>
      </c>
      <c r="AF50" s="293" t="s">
        <v>145</v>
      </c>
      <c r="AG50" s="293" t="s">
        <v>74</v>
      </c>
      <c r="AH50" s="293" t="s">
        <v>656</v>
      </c>
      <c r="AJ50" s="293" t="s">
        <v>3733</v>
      </c>
      <c r="AK50" s="293" t="s">
        <v>145</v>
      </c>
      <c r="AL50" s="293" t="s">
        <v>74</v>
      </c>
      <c r="AM50" s="293" t="s">
        <v>656</v>
      </c>
      <c r="AO50" s="22" t="s">
        <v>3734</v>
      </c>
      <c r="AP50" s="22" t="s">
        <v>145</v>
      </c>
      <c r="AQ50" s="22" t="s">
        <v>70</v>
      </c>
      <c r="AR50" s="22" t="s">
        <v>67</v>
      </c>
      <c r="AT50" s="22" t="s">
        <v>3735</v>
      </c>
      <c r="AU50" s="22" t="s">
        <v>145</v>
      </c>
      <c r="AV50" s="22" t="s">
        <v>70</v>
      </c>
      <c r="AW50" s="22" t="s">
        <v>67</v>
      </c>
      <c r="AY50" s="22" t="s">
        <v>3736</v>
      </c>
      <c r="AZ50" s="22" t="s">
        <v>145</v>
      </c>
      <c r="BA50" s="22" t="s">
        <v>70</v>
      </c>
      <c r="BB50" s="22" t="s">
        <v>67</v>
      </c>
      <c r="BD50" s="22" t="s">
        <v>3737</v>
      </c>
      <c r="BE50" s="22" t="s">
        <v>145</v>
      </c>
      <c r="BF50" s="22" t="s">
        <v>70</v>
      </c>
      <c r="BG50" s="22" t="s">
        <v>67</v>
      </c>
      <c r="BI50" s="22" t="s">
        <v>3738</v>
      </c>
      <c r="BJ50" s="22" t="s">
        <v>145</v>
      </c>
      <c r="BK50" s="22" t="s">
        <v>70</v>
      </c>
      <c r="BL50" s="22" t="s">
        <v>67</v>
      </c>
      <c r="BN50" s="22" t="s">
        <v>3739</v>
      </c>
      <c r="BO50" s="22" t="s">
        <v>145</v>
      </c>
      <c r="BP50" s="22" t="s">
        <v>70</v>
      </c>
      <c r="BQ50" s="22" t="s">
        <v>67</v>
      </c>
      <c r="BS50" s="22" t="s">
        <v>3740</v>
      </c>
      <c r="BT50" s="22" t="s">
        <v>145</v>
      </c>
      <c r="BU50" s="22" t="s">
        <v>70</v>
      </c>
      <c r="BV50" s="214" t="s">
        <v>530</v>
      </c>
      <c r="BX50" s="22" t="s">
        <v>3741</v>
      </c>
      <c r="BY50" s="22" t="s">
        <v>145</v>
      </c>
      <c r="BZ50" s="22" t="s">
        <v>70</v>
      </c>
      <c r="CA50" s="214" t="s">
        <v>530</v>
      </c>
      <c r="CC50" s="214" t="s">
        <v>3742</v>
      </c>
      <c r="CD50" s="214" t="s">
        <v>52</v>
      </c>
      <c r="CE50" s="214" t="s">
        <v>70</v>
      </c>
      <c r="CF50" s="214" t="s">
        <v>530</v>
      </c>
      <c r="CH50" s="214" t="s">
        <v>3743</v>
      </c>
      <c r="CI50" s="214" t="s">
        <v>148</v>
      </c>
      <c r="CJ50" s="214" t="s">
        <v>70</v>
      </c>
      <c r="CK50" s="214" t="s">
        <v>530</v>
      </c>
      <c r="CM50" s="214" t="s">
        <v>3744</v>
      </c>
      <c r="CN50" s="214" t="s">
        <v>86</v>
      </c>
      <c r="CO50" s="214" t="s">
        <v>70</v>
      </c>
      <c r="CP50" s="214" t="s">
        <v>530</v>
      </c>
      <c r="CR50" s="214" t="s">
        <v>3745</v>
      </c>
      <c r="CS50" s="214" t="s">
        <v>85</v>
      </c>
      <c r="CT50" s="214" t="s">
        <v>70</v>
      </c>
      <c r="CU50" s="214" t="s">
        <v>530</v>
      </c>
      <c r="CW50" s="214" t="s">
        <v>3746</v>
      </c>
      <c r="CX50" s="214" t="s">
        <v>34545</v>
      </c>
      <c r="CY50" s="214" t="s">
        <v>70</v>
      </c>
      <c r="CZ50" s="214" t="s">
        <v>530</v>
      </c>
      <c r="DB50" s="214" t="s">
        <v>3747</v>
      </c>
      <c r="DC50" s="214" t="s">
        <v>52</v>
      </c>
      <c r="DD50" s="214" t="s">
        <v>70</v>
      </c>
      <c r="DE50" s="214" t="s">
        <v>530</v>
      </c>
      <c r="DG50" s="214" t="s">
        <v>3748</v>
      </c>
      <c r="DH50" s="214" t="s">
        <v>529</v>
      </c>
      <c r="DI50" s="214" t="s">
        <v>70</v>
      </c>
      <c r="DJ50" s="214" t="s">
        <v>530</v>
      </c>
      <c r="DL50" s="214" t="s">
        <v>3749</v>
      </c>
      <c r="DM50" s="214" t="s">
        <v>34610</v>
      </c>
      <c r="DN50" s="214" t="s">
        <v>70</v>
      </c>
      <c r="DO50" s="214" t="s">
        <v>530</v>
      </c>
      <c r="DQ50" s="214" t="s">
        <v>3750</v>
      </c>
      <c r="DR50" s="214" t="s">
        <v>52</v>
      </c>
      <c r="DS50" s="214" t="s">
        <v>70</v>
      </c>
      <c r="DT50" s="214" t="s">
        <v>530</v>
      </c>
      <c r="DV50" s="214" t="s">
        <v>3751</v>
      </c>
      <c r="DW50" s="214" t="s">
        <v>490</v>
      </c>
      <c r="DX50" s="214" t="s">
        <v>70</v>
      </c>
      <c r="DY50" s="214" t="s">
        <v>530</v>
      </c>
      <c r="EA50" s="214" t="s">
        <v>3752</v>
      </c>
      <c r="EB50" s="214" t="s">
        <v>10541</v>
      </c>
      <c r="EC50" s="214" t="s">
        <v>70</v>
      </c>
      <c r="ED50" s="214" t="s">
        <v>530</v>
      </c>
      <c r="EF50" s="214" t="s">
        <v>3753</v>
      </c>
      <c r="EG50" s="214" t="s">
        <v>145</v>
      </c>
      <c r="EH50" s="214" t="s">
        <v>70</v>
      </c>
      <c r="EI50" s="214" t="s">
        <v>530</v>
      </c>
      <c r="EK50" s="214" t="s">
        <v>3754</v>
      </c>
      <c r="EL50" s="214" t="s">
        <v>500</v>
      </c>
      <c r="EM50" s="214" t="s">
        <v>70</v>
      </c>
      <c r="EN50" s="214" t="s">
        <v>530</v>
      </c>
      <c r="EP50" s="214" t="s">
        <v>3755</v>
      </c>
      <c r="EQ50" s="214" t="s">
        <v>468</v>
      </c>
      <c r="ER50" s="214" t="s">
        <v>70</v>
      </c>
      <c r="ES50" s="214" t="s">
        <v>530</v>
      </c>
      <c r="EU50" s="214" t="s">
        <v>3756</v>
      </c>
      <c r="EV50" s="214" t="s">
        <v>468</v>
      </c>
      <c r="EW50" s="214" t="s">
        <v>70</v>
      </c>
      <c r="EX50" s="214" t="s">
        <v>530</v>
      </c>
      <c r="EZ50" s="214" t="s">
        <v>3757</v>
      </c>
      <c r="FA50" s="214" t="s">
        <v>936</v>
      </c>
      <c r="FB50" s="214" t="s">
        <v>70</v>
      </c>
      <c r="FC50" s="214" t="s">
        <v>530</v>
      </c>
      <c r="FE50" s="214" t="s">
        <v>3758</v>
      </c>
      <c r="FF50" s="214" t="s">
        <v>145</v>
      </c>
      <c r="FG50" s="214" t="s">
        <v>70</v>
      </c>
      <c r="FH50" s="214" t="s">
        <v>530</v>
      </c>
      <c r="FJ50" s="321" t="s">
        <v>3759</v>
      </c>
      <c r="FK50" s="214" t="s">
        <v>52</v>
      </c>
      <c r="FL50" s="214" t="s">
        <v>70</v>
      </c>
      <c r="FM50" s="214" t="s">
        <v>530</v>
      </c>
      <c r="FO50" s="321" t="s">
        <v>3760</v>
      </c>
      <c r="FP50" s="214" t="s">
        <v>52</v>
      </c>
      <c r="FQ50" s="214" t="s">
        <v>70</v>
      </c>
      <c r="FR50" s="214" t="s">
        <v>530</v>
      </c>
      <c r="FT50" s="321" t="s">
        <v>3761</v>
      </c>
      <c r="FU50" s="214" t="s">
        <v>52</v>
      </c>
      <c r="FV50" s="214" t="s">
        <v>70</v>
      </c>
      <c r="FW50" s="214" t="s">
        <v>530</v>
      </c>
      <c r="FY50" s="321" t="s">
        <v>3762</v>
      </c>
      <c r="FZ50" s="214" t="s">
        <v>52</v>
      </c>
      <c r="GA50" s="214" t="s">
        <v>70</v>
      </c>
      <c r="GB50" s="214" t="s">
        <v>530</v>
      </c>
      <c r="GD50" s="321" t="s">
        <v>3763</v>
      </c>
      <c r="GE50" s="214" t="s">
        <v>52</v>
      </c>
      <c r="GF50" s="214" t="s">
        <v>70</v>
      </c>
      <c r="GG50" s="214" t="s">
        <v>530</v>
      </c>
      <c r="GI50" s="321" t="s">
        <v>3764</v>
      </c>
      <c r="GJ50" s="214" t="s">
        <v>500</v>
      </c>
      <c r="GK50" s="214" t="s">
        <v>70</v>
      </c>
      <c r="GL50" s="214" t="s">
        <v>530</v>
      </c>
      <c r="GN50" s="321" t="s">
        <v>3765</v>
      </c>
      <c r="GO50" s="214" t="s">
        <v>149</v>
      </c>
      <c r="GP50" s="214" t="s">
        <v>70</v>
      </c>
      <c r="GQ50" s="214" t="s">
        <v>530</v>
      </c>
      <c r="GS50" s="321" t="s">
        <v>3766</v>
      </c>
      <c r="GT50" s="214" t="s">
        <v>10541</v>
      </c>
      <c r="GU50" s="214" t="s">
        <v>70</v>
      </c>
      <c r="GV50" s="214" t="s">
        <v>530</v>
      </c>
      <c r="GX50" s="214" t="s">
        <v>3767</v>
      </c>
      <c r="GY50" s="214" t="s">
        <v>145</v>
      </c>
      <c r="GZ50" s="214" t="s">
        <v>70</v>
      </c>
      <c r="HA50" s="214" t="s">
        <v>530</v>
      </c>
      <c r="HC50" s="214" t="s">
        <v>3768</v>
      </c>
      <c r="HD50" s="214" t="s">
        <v>34607</v>
      </c>
      <c r="HE50" s="214" t="s">
        <v>70</v>
      </c>
      <c r="HF50" s="214" t="s">
        <v>530</v>
      </c>
      <c r="HH50" s="214" t="s">
        <v>3769</v>
      </c>
      <c r="HI50" s="214" t="s">
        <v>34590</v>
      </c>
      <c r="HJ50" s="214" t="s">
        <v>70</v>
      </c>
      <c r="HK50" s="214" t="s">
        <v>530</v>
      </c>
      <c r="HM50" s="214" t="s">
        <v>3770</v>
      </c>
      <c r="HN50" s="214" t="s">
        <v>34591</v>
      </c>
      <c r="HO50" s="214" t="s">
        <v>70</v>
      </c>
      <c r="HP50" s="214" t="s">
        <v>530</v>
      </c>
      <c r="HR50" s="22" t="s">
        <v>3771</v>
      </c>
      <c r="HS50" s="22" t="s">
        <v>655</v>
      </c>
      <c r="HT50" s="22" t="s">
        <v>70</v>
      </c>
      <c r="HU50" s="214" t="s">
        <v>530</v>
      </c>
      <c r="HW50" s="22" t="s">
        <v>3772</v>
      </c>
      <c r="HX50" s="22" t="s">
        <v>90</v>
      </c>
      <c r="HY50" s="22" t="s">
        <v>70</v>
      </c>
      <c r="HZ50" s="214" t="s">
        <v>530</v>
      </c>
      <c r="IB50" s="22" t="s">
        <v>3773</v>
      </c>
      <c r="IC50" s="22" t="s">
        <v>599</v>
      </c>
      <c r="ID50" s="22" t="s">
        <v>70</v>
      </c>
      <c r="IE50" s="214" t="s">
        <v>530</v>
      </c>
      <c r="IG50" s="22" t="s">
        <v>3774</v>
      </c>
      <c r="IH50" s="22" t="s">
        <v>529</v>
      </c>
      <c r="II50" s="22" t="s">
        <v>70</v>
      </c>
      <c r="IJ50" s="214" t="s">
        <v>530</v>
      </c>
      <c r="IL50" s="22" t="s">
        <v>3775</v>
      </c>
      <c r="IM50" s="22" t="s">
        <v>145</v>
      </c>
      <c r="IN50" s="22" t="s">
        <v>70</v>
      </c>
      <c r="IO50" s="214" t="s">
        <v>530</v>
      </c>
      <c r="IQ50" s="236" t="s">
        <v>3776</v>
      </c>
      <c r="IR50" s="236" t="s">
        <v>145</v>
      </c>
      <c r="IS50" s="236" t="s">
        <v>74</v>
      </c>
      <c r="IT50" s="236" t="s">
        <v>841</v>
      </c>
      <c r="IV50" s="236" t="s">
        <v>3777</v>
      </c>
      <c r="IW50" s="236" t="s">
        <v>145</v>
      </c>
      <c r="IX50" s="236" t="s">
        <v>74</v>
      </c>
      <c r="IY50" s="236" t="s">
        <v>841</v>
      </c>
      <c r="JA50" s="236" t="s">
        <v>3779</v>
      </c>
      <c r="JB50" s="236" t="s">
        <v>145</v>
      </c>
      <c r="JC50" s="236" t="s">
        <v>74</v>
      </c>
      <c r="JD50" s="236" t="s">
        <v>841</v>
      </c>
      <c r="JF50" s="236" t="s">
        <v>3780</v>
      </c>
      <c r="JG50" s="236" t="s">
        <v>145</v>
      </c>
      <c r="JH50" s="236" t="s">
        <v>74</v>
      </c>
      <c r="JI50" s="236" t="s">
        <v>841</v>
      </c>
      <c r="JK50" s="236" t="s">
        <v>3781</v>
      </c>
      <c r="JL50" s="236" t="s">
        <v>145</v>
      </c>
      <c r="JM50" s="236" t="s">
        <v>74</v>
      </c>
      <c r="JN50" s="236" t="s">
        <v>841</v>
      </c>
      <c r="JP50" s="236" t="s">
        <v>3782</v>
      </c>
      <c r="JQ50" s="236" t="s">
        <v>145</v>
      </c>
      <c r="JR50" s="236" t="s">
        <v>74</v>
      </c>
      <c r="JS50" s="236" t="s">
        <v>841</v>
      </c>
      <c r="JU50" s="294" t="s">
        <v>3783</v>
      </c>
      <c r="JV50" s="263" t="s">
        <v>52</v>
      </c>
      <c r="JW50" s="263" t="s">
        <v>70</v>
      </c>
      <c r="JX50" s="294" t="s">
        <v>3778</v>
      </c>
      <c r="JZ50" s="263" t="s">
        <v>3784</v>
      </c>
      <c r="KA50" s="263" t="s">
        <v>145</v>
      </c>
      <c r="KB50" s="263" t="s">
        <v>70</v>
      </c>
      <c r="KC50" s="263" t="s">
        <v>1083</v>
      </c>
      <c r="KE50" s="263" t="s">
        <v>3785</v>
      </c>
      <c r="KF50" s="263" t="s">
        <v>52</v>
      </c>
      <c r="KG50" s="263" t="s">
        <v>70</v>
      </c>
      <c r="KH50" s="263" t="s">
        <v>1083</v>
      </c>
      <c r="KJ50" s="263" t="s">
        <v>3786</v>
      </c>
      <c r="KK50" s="263" t="s">
        <v>145</v>
      </c>
      <c r="KL50" s="263" t="s">
        <v>74</v>
      </c>
      <c r="KM50" s="263" t="s">
        <v>34254</v>
      </c>
      <c r="KO50" s="214" t="s">
        <v>3787</v>
      </c>
      <c r="KP50" s="214" t="s">
        <v>52</v>
      </c>
      <c r="KQ50" s="214" t="s">
        <v>70</v>
      </c>
      <c r="KR50" s="214" t="s">
        <v>1011</v>
      </c>
      <c r="KT50" s="22" t="s">
        <v>3788</v>
      </c>
      <c r="KU50" s="22" t="s">
        <v>145</v>
      </c>
      <c r="KV50" s="22" t="s">
        <v>70</v>
      </c>
      <c r="KW50" s="22" t="s">
        <v>67</v>
      </c>
      <c r="KY50" s="214" t="s">
        <v>3789</v>
      </c>
      <c r="KZ50" s="214" t="s">
        <v>52</v>
      </c>
      <c r="LA50" s="214" t="s">
        <v>74</v>
      </c>
      <c r="LB50" s="214" t="s">
        <v>34113</v>
      </c>
      <c r="LD50" s="22" t="s">
        <v>3790</v>
      </c>
      <c r="LE50" s="22" t="s">
        <v>145</v>
      </c>
      <c r="LF50" s="22" t="s">
        <v>70</v>
      </c>
      <c r="LG50" s="22" t="s">
        <v>67</v>
      </c>
    </row>
    <row r="51" spans="1:319">
      <c r="A51" s="22" t="s">
        <v>3791</v>
      </c>
      <c r="B51" s="22" t="s">
        <v>145</v>
      </c>
      <c r="C51" s="22" t="s">
        <v>70</v>
      </c>
      <c r="D51" s="22" t="s">
        <v>67</v>
      </c>
      <c r="F51" s="23" t="s">
        <v>3792</v>
      </c>
      <c r="G51" s="23" t="str">
        <f>TVIIBE1M_CalPairs!$E48</f>
        <v>0x85</v>
      </c>
      <c r="H51" s="23" t="s">
        <v>72</v>
      </c>
      <c r="I51" s="23" t="str">
        <f>TVIIBE1M_CalPairs!$C48</f>
        <v>CLK_TRIM_IMO_CTL_VAL0</v>
      </c>
      <c r="K51" s="22" t="s">
        <v>3793</v>
      </c>
      <c r="L51" s="22" t="s">
        <v>145</v>
      </c>
      <c r="M51" s="22" t="s">
        <v>70</v>
      </c>
      <c r="N51" s="22" t="s">
        <v>67</v>
      </c>
      <c r="P51" s="22" t="s">
        <v>3794</v>
      </c>
      <c r="Q51" s="22" t="s">
        <v>145</v>
      </c>
      <c r="R51" s="22" t="s">
        <v>70</v>
      </c>
      <c r="S51" s="22" t="s">
        <v>67</v>
      </c>
      <c r="U51" s="293" t="s">
        <v>3795</v>
      </c>
      <c r="V51" s="293" t="s">
        <v>145</v>
      </c>
      <c r="W51" s="293" t="s">
        <v>74</v>
      </c>
      <c r="X51" s="293" t="s">
        <v>656</v>
      </c>
      <c r="Z51" s="293" t="s">
        <v>3796</v>
      </c>
      <c r="AA51" s="293" t="s">
        <v>145</v>
      </c>
      <c r="AB51" s="293" t="s">
        <v>74</v>
      </c>
      <c r="AC51" s="293" t="s">
        <v>656</v>
      </c>
      <c r="AE51" s="293" t="s">
        <v>3797</v>
      </c>
      <c r="AF51" s="293" t="s">
        <v>145</v>
      </c>
      <c r="AG51" s="293" t="s">
        <v>74</v>
      </c>
      <c r="AH51" s="293" t="s">
        <v>656</v>
      </c>
      <c r="AJ51" s="293" t="s">
        <v>3798</v>
      </c>
      <c r="AK51" s="293" t="s">
        <v>145</v>
      </c>
      <c r="AL51" s="293" t="s">
        <v>74</v>
      </c>
      <c r="AM51" s="293" t="s">
        <v>656</v>
      </c>
      <c r="AO51" s="22" t="s">
        <v>3799</v>
      </c>
      <c r="AP51" s="22" t="s">
        <v>145</v>
      </c>
      <c r="AQ51" s="22" t="s">
        <v>70</v>
      </c>
      <c r="AR51" s="22" t="s">
        <v>67</v>
      </c>
      <c r="AT51" s="22" t="s">
        <v>3800</v>
      </c>
      <c r="AU51" s="22" t="s">
        <v>145</v>
      </c>
      <c r="AV51" s="22" t="s">
        <v>70</v>
      </c>
      <c r="AW51" s="22" t="s">
        <v>67</v>
      </c>
      <c r="AY51" s="22" t="s">
        <v>3801</v>
      </c>
      <c r="AZ51" s="22" t="s">
        <v>145</v>
      </c>
      <c r="BA51" s="22" t="s">
        <v>70</v>
      </c>
      <c r="BB51" s="22" t="s">
        <v>67</v>
      </c>
      <c r="BD51" s="22" t="s">
        <v>3802</v>
      </c>
      <c r="BE51" s="22" t="s">
        <v>145</v>
      </c>
      <c r="BF51" s="22" t="s">
        <v>70</v>
      </c>
      <c r="BG51" s="22" t="s">
        <v>67</v>
      </c>
      <c r="BI51" s="22" t="s">
        <v>3803</v>
      </c>
      <c r="BJ51" s="22" t="s">
        <v>145</v>
      </c>
      <c r="BK51" s="22" t="s">
        <v>70</v>
      </c>
      <c r="BL51" s="22" t="s">
        <v>67</v>
      </c>
      <c r="BN51" s="22" t="s">
        <v>3804</v>
      </c>
      <c r="BO51" s="22" t="s">
        <v>145</v>
      </c>
      <c r="BP51" s="22" t="s">
        <v>70</v>
      </c>
      <c r="BQ51" s="22" t="s">
        <v>67</v>
      </c>
      <c r="BS51" s="22" t="s">
        <v>3805</v>
      </c>
      <c r="BT51" s="22" t="s">
        <v>145</v>
      </c>
      <c r="BU51" s="22" t="s">
        <v>70</v>
      </c>
      <c r="BV51" s="214" t="s">
        <v>530</v>
      </c>
      <c r="BX51" s="22" t="s">
        <v>3806</v>
      </c>
      <c r="BY51" s="22" t="s">
        <v>145</v>
      </c>
      <c r="BZ51" s="22" t="s">
        <v>70</v>
      </c>
      <c r="CA51" s="214" t="s">
        <v>530</v>
      </c>
      <c r="CC51" s="214" t="s">
        <v>3807</v>
      </c>
      <c r="CD51" s="214" t="s">
        <v>33910</v>
      </c>
      <c r="CE51" s="214" t="s">
        <v>70</v>
      </c>
      <c r="CF51" s="214" t="s">
        <v>530</v>
      </c>
      <c r="CH51" s="214" t="s">
        <v>3808</v>
      </c>
      <c r="CI51" s="214" t="s">
        <v>950</v>
      </c>
      <c r="CJ51" s="214" t="s">
        <v>70</v>
      </c>
      <c r="CK51" s="214" t="s">
        <v>530</v>
      </c>
      <c r="CM51" s="214" t="s">
        <v>3809</v>
      </c>
      <c r="CN51" s="214" t="s">
        <v>34524</v>
      </c>
      <c r="CO51" s="214" t="s">
        <v>70</v>
      </c>
      <c r="CP51" s="214" t="s">
        <v>530</v>
      </c>
      <c r="CR51" s="214" t="s">
        <v>3810</v>
      </c>
      <c r="CS51" s="214" t="s">
        <v>34569</v>
      </c>
      <c r="CT51" s="214" t="s">
        <v>70</v>
      </c>
      <c r="CU51" s="214" t="s">
        <v>530</v>
      </c>
      <c r="CW51" s="214" t="s">
        <v>3811</v>
      </c>
      <c r="CX51" s="214" t="s">
        <v>34551</v>
      </c>
      <c r="CY51" s="214" t="s">
        <v>70</v>
      </c>
      <c r="CZ51" s="214" t="s">
        <v>530</v>
      </c>
      <c r="DB51" s="214" t="s">
        <v>3812</v>
      </c>
      <c r="DC51" s="214" t="s">
        <v>292</v>
      </c>
      <c r="DD51" s="214" t="s">
        <v>70</v>
      </c>
      <c r="DE51" s="214" t="s">
        <v>530</v>
      </c>
      <c r="DG51" s="214" t="s">
        <v>3813</v>
      </c>
      <c r="DH51" s="214" t="s">
        <v>600</v>
      </c>
      <c r="DI51" s="214" t="s">
        <v>70</v>
      </c>
      <c r="DJ51" s="214" t="s">
        <v>530</v>
      </c>
      <c r="DL51" s="214" t="s">
        <v>3814</v>
      </c>
      <c r="DM51" s="214" t="s">
        <v>490</v>
      </c>
      <c r="DN51" s="214" t="s">
        <v>70</v>
      </c>
      <c r="DO51" s="214" t="s">
        <v>530</v>
      </c>
      <c r="DQ51" s="214" t="s">
        <v>3815</v>
      </c>
      <c r="DR51" s="214" t="s">
        <v>485</v>
      </c>
      <c r="DS51" s="214" t="s">
        <v>70</v>
      </c>
      <c r="DT51" s="214" t="s">
        <v>530</v>
      </c>
      <c r="DV51" s="214" t="s">
        <v>3816</v>
      </c>
      <c r="DW51" s="214" t="s">
        <v>34594</v>
      </c>
      <c r="DX51" s="214" t="s">
        <v>70</v>
      </c>
      <c r="DY51" s="214" t="s">
        <v>530</v>
      </c>
      <c r="EA51" s="214" t="s">
        <v>3817</v>
      </c>
      <c r="EB51" s="214" t="s">
        <v>642</v>
      </c>
      <c r="EC51" s="214" t="s">
        <v>70</v>
      </c>
      <c r="ED51" s="214" t="s">
        <v>530</v>
      </c>
      <c r="EF51" s="214" t="s">
        <v>3818</v>
      </c>
      <c r="EG51" s="214" t="s">
        <v>598</v>
      </c>
      <c r="EH51" s="214" t="s">
        <v>70</v>
      </c>
      <c r="EI51" s="214" t="s">
        <v>530</v>
      </c>
      <c r="EK51" s="214" t="s">
        <v>3819</v>
      </c>
      <c r="EL51" s="214" t="s">
        <v>501</v>
      </c>
      <c r="EM51" s="214" t="s">
        <v>70</v>
      </c>
      <c r="EN51" s="214" t="s">
        <v>530</v>
      </c>
      <c r="EP51" s="214" t="s">
        <v>3820</v>
      </c>
      <c r="EQ51" s="214" t="s">
        <v>146</v>
      </c>
      <c r="ER51" s="214" t="s">
        <v>70</v>
      </c>
      <c r="ES51" s="214" t="s">
        <v>530</v>
      </c>
      <c r="EU51" s="214" t="s">
        <v>3821</v>
      </c>
      <c r="EV51" s="214" t="s">
        <v>52</v>
      </c>
      <c r="EW51" s="214" t="s">
        <v>70</v>
      </c>
      <c r="EX51" s="214" t="s">
        <v>530</v>
      </c>
      <c r="EZ51" s="214" t="s">
        <v>3822</v>
      </c>
      <c r="FA51" s="214" t="s">
        <v>491</v>
      </c>
      <c r="FB51" s="214" t="s">
        <v>70</v>
      </c>
      <c r="FC51" s="214" t="s">
        <v>530</v>
      </c>
      <c r="FE51" s="214" t="s">
        <v>3823</v>
      </c>
      <c r="FF51" s="214" t="s">
        <v>34541</v>
      </c>
      <c r="FG51" s="214" t="s">
        <v>70</v>
      </c>
      <c r="FH51" s="214" t="s">
        <v>530</v>
      </c>
      <c r="FJ51" s="321" t="s">
        <v>3824</v>
      </c>
      <c r="FK51" s="214" t="s">
        <v>52</v>
      </c>
      <c r="FL51" s="214" t="s">
        <v>70</v>
      </c>
      <c r="FM51" s="214" t="s">
        <v>530</v>
      </c>
      <c r="FO51" s="321" t="s">
        <v>3825</v>
      </c>
      <c r="FP51" s="214" t="s">
        <v>203</v>
      </c>
      <c r="FQ51" s="214" t="s">
        <v>70</v>
      </c>
      <c r="FR51" s="214" t="s">
        <v>530</v>
      </c>
      <c r="FT51" s="321" t="s">
        <v>3826</v>
      </c>
      <c r="FU51" s="214" t="s">
        <v>90</v>
      </c>
      <c r="FV51" s="214" t="s">
        <v>70</v>
      </c>
      <c r="FW51" s="214" t="s">
        <v>530</v>
      </c>
      <c r="FY51" s="321" t="s">
        <v>3827</v>
      </c>
      <c r="FZ51" s="214" t="s">
        <v>599</v>
      </c>
      <c r="GA51" s="214" t="s">
        <v>70</v>
      </c>
      <c r="GB51" s="214" t="s">
        <v>530</v>
      </c>
      <c r="GD51" s="321" t="s">
        <v>3828</v>
      </c>
      <c r="GE51" s="214" t="s">
        <v>955</v>
      </c>
      <c r="GF51" s="214" t="s">
        <v>70</v>
      </c>
      <c r="GG51" s="214" t="s">
        <v>530</v>
      </c>
      <c r="GI51" s="321" t="s">
        <v>3829</v>
      </c>
      <c r="GJ51" s="214" t="s">
        <v>929</v>
      </c>
      <c r="GK51" s="214" t="s">
        <v>70</v>
      </c>
      <c r="GL51" s="214" t="s">
        <v>530</v>
      </c>
      <c r="GN51" s="321" t="s">
        <v>3830</v>
      </c>
      <c r="GO51" s="214" t="s">
        <v>955</v>
      </c>
      <c r="GP51" s="214" t="s">
        <v>70</v>
      </c>
      <c r="GQ51" s="214" t="s">
        <v>530</v>
      </c>
      <c r="GS51" s="321" t="s">
        <v>3831</v>
      </c>
      <c r="GT51" s="214" t="s">
        <v>468</v>
      </c>
      <c r="GU51" s="214" t="s">
        <v>70</v>
      </c>
      <c r="GV51" s="214" t="s">
        <v>530</v>
      </c>
      <c r="GX51" s="214" t="s">
        <v>3832</v>
      </c>
      <c r="GY51" s="214" t="s">
        <v>145</v>
      </c>
      <c r="GZ51" s="214" t="s">
        <v>70</v>
      </c>
      <c r="HA51" s="214" t="s">
        <v>530</v>
      </c>
      <c r="HC51" s="214" t="s">
        <v>3833</v>
      </c>
      <c r="HD51" s="214" t="s">
        <v>305</v>
      </c>
      <c r="HE51" s="214" t="s">
        <v>70</v>
      </c>
      <c r="HF51" s="214" t="s">
        <v>530</v>
      </c>
      <c r="HH51" s="214" t="s">
        <v>3834</v>
      </c>
      <c r="HI51" s="214" t="s">
        <v>34551</v>
      </c>
      <c r="HJ51" s="214" t="s">
        <v>70</v>
      </c>
      <c r="HK51" s="214" t="s">
        <v>530</v>
      </c>
      <c r="HM51" s="214" t="s">
        <v>3835</v>
      </c>
      <c r="HN51" s="214" t="s">
        <v>488</v>
      </c>
      <c r="HO51" s="214" t="s">
        <v>70</v>
      </c>
      <c r="HP51" s="214" t="s">
        <v>530</v>
      </c>
      <c r="HR51" s="22" t="s">
        <v>3836</v>
      </c>
      <c r="HS51" s="22" t="s">
        <v>34544</v>
      </c>
      <c r="HT51" s="22" t="s">
        <v>70</v>
      </c>
      <c r="HU51" s="214" t="s">
        <v>530</v>
      </c>
      <c r="HW51" s="22" t="s">
        <v>3837</v>
      </c>
      <c r="HX51" s="22" t="s">
        <v>305</v>
      </c>
      <c r="HY51" s="22" t="s">
        <v>70</v>
      </c>
      <c r="HZ51" s="214" t="s">
        <v>530</v>
      </c>
      <c r="IB51" s="22" t="s">
        <v>3838</v>
      </c>
      <c r="IC51" s="22" t="s">
        <v>484</v>
      </c>
      <c r="ID51" s="22" t="s">
        <v>70</v>
      </c>
      <c r="IE51" s="214" t="s">
        <v>530</v>
      </c>
      <c r="IG51" s="22" t="s">
        <v>3839</v>
      </c>
      <c r="IH51" s="22" t="s">
        <v>52</v>
      </c>
      <c r="II51" s="22" t="s">
        <v>70</v>
      </c>
      <c r="IJ51" s="214" t="s">
        <v>530</v>
      </c>
      <c r="IL51" s="22" t="s">
        <v>3840</v>
      </c>
      <c r="IM51" s="22" t="s">
        <v>145</v>
      </c>
      <c r="IN51" s="22" t="s">
        <v>70</v>
      </c>
      <c r="IO51" s="214" t="s">
        <v>530</v>
      </c>
      <c r="IQ51" s="236" t="s">
        <v>3841</v>
      </c>
      <c r="IR51" s="236" t="s">
        <v>145</v>
      </c>
      <c r="IS51" s="236" t="s">
        <v>74</v>
      </c>
      <c r="IT51" s="236" t="s">
        <v>841</v>
      </c>
      <c r="IV51" s="236" t="s">
        <v>3842</v>
      </c>
      <c r="IW51" s="236" t="s">
        <v>145</v>
      </c>
      <c r="IX51" s="236" t="s">
        <v>74</v>
      </c>
      <c r="IY51" s="236" t="s">
        <v>841</v>
      </c>
      <c r="JA51" s="236" t="s">
        <v>3844</v>
      </c>
      <c r="JB51" s="236" t="s">
        <v>145</v>
      </c>
      <c r="JC51" s="236" t="s">
        <v>74</v>
      </c>
      <c r="JD51" s="236" t="s">
        <v>841</v>
      </c>
      <c r="JF51" s="236" t="s">
        <v>3845</v>
      </c>
      <c r="JG51" s="236" t="s">
        <v>145</v>
      </c>
      <c r="JH51" s="236" t="s">
        <v>74</v>
      </c>
      <c r="JI51" s="236" t="s">
        <v>841</v>
      </c>
      <c r="JK51" s="236" t="s">
        <v>3846</v>
      </c>
      <c r="JL51" s="236" t="s">
        <v>145</v>
      </c>
      <c r="JM51" s="236" t="s">
        <v>74</v>
      </c>
      <c r="JN51" s="236" t="s">
        <v>841</v>
      </c>
      <c r="JP51" s="236" t="s">
        <v>3847</v>
      </c>
      <c r="JQ51" s="236" t="s">
        <v>145</v>
      </c>
      <c r="JR51" s="236" t="s">
        <v>74</v>
      </c>
      <c r="JS51" s="236" t="s">
        <v>841</v>
      </c>
      <c r="JU51" s="294" t="s">
        <v>3848</v>
      </c>
      <c r="JV51" s="263" t="s">
        <v>52</v>
      </c>
      <c r="JW51" s="263" t="s">
        <v>70</v>
      </c>
      <c r="JX51" s="296" t="s">
        <v>3843</v>
      </c>
      <c r="JZ51" s="263" t="s">
        <v>3849</v>
      </c>
      <c r="KA51" s="263" t="s">
        <v>145</v>
      </c>
      <c r="KB51" s="263" t="s">
        <v>70</v>
      </c>
      <c r="KC51" s="263" t="s">
        <v>1083</v>
      </c>
      <c r="KE51" s="263" t="s">
        <v>3850</v>
      </c>
      <c r="KF51" s="263" t="s">
        <v>52</v>
      </c>
      <c r="KG51" s="263" t="s">
        <v>70</v>
      </c>
      <c r="KH51" s="263" t="s">
        <v>1083</v>
      </c>
      <c r="KJ51" s="263" t="s">
        <v>3851</v>
      </c>
      <c r="KK51" s="263" t="s">
        <v>52</v>
      </c>
      <c r="KL51" s="263" t="s">
        <v>74</v>
      </c>
      <c r="KM51" s="263" t="s">
        <v>34255</v>
      </c>
      <c r="KO51" s="214" t="s">
        <v>3852</v>
      </c>
      <c r="KP51" s="214" t="s">
        <v>601</v>
      </c>
      <c r="KQ51" s="214" t="s">
        <v>70</v>
      </c>
      <c r="KR51" s="214" t="s">
        <v>1011</v>
      </c>
      <c r="KT51" s="22" t="s">
        <v>3853</v>
      </c>
      <c r="KU51" s="22" t="s">
        <v>145</v>
      </c>
      <c r="KV51" s="22" t="s">
        <v>70</v>
      </c>
      <c r="KW51" s="22" t="s">
        <v>67</v>
      </c>
      <c r="KY51" s="214" t="s">
        <v>3854</v>
      </c>
      <c r="KZ51" s="214" t="s">
        <v>52</v>
      </c>
      <c r="LA51" s="214" t="s">
        <v>74</v>
      </c>
      <c r="LB51" s="214" t="s">
        <v>34113</v>
      </c>
      <c r="LD51" s="22" t="s">
        <v>3855</v>
      </c>
      <c r="LE51" s="22" t="s">
        <v>145</v>
      </c>
      <c r="LF51" s="22" t="s">
        <v>70</v>
      </c>
      <c r="LG51" s="22" t="s">
        <v>67</v>
      </c>
    </row>
    <row r="52" spans="1:319">
      <c r="A52" s="22" t="s">
        <v>3856</v>
      </c>
      <c r="B52" s="22" t="s">
        <v>145</v>
      </c>
      <c r="C52" s="22" t="s">
        <v>70</v>
      </c>
      <c r="D52" s="22" t="s">
        <v>67</v>
      </c>
      <c r="F52" s="23" t="s">
        <v>3857</v>
      </c>
      <c r="G52" s="23" t="str">
        <f>TVIIBE1M_CalPairs!$E49</f>
        <v>0x80</v>
      </c>
      <c r="H52" s="23" t="s">
        <v>72</v>
      </c>
      <c r="I52" s="23" t="str">
        <f>TVIIBE1M_CalPairs!$C49</f>
        <v>CLK_TRIM_IMO_CTL_VAL1</v>
      </c>
      <c r="K52" s="22" t="s">
        <v>3858</v>
      </c>
      <c r="L52" s="22" t="s">
        <v>145</v>
      </c>
      <c r="M52" s="22" t="s">
        <v>70</v>
      </c>
      <c r="N52" s="22" t="s">
        <v>67</v>
      </c>
      <c r="P52" s="22" t="s">
        <v>3859</v>
      </c>
      <c r="Q52" s="22" t="s">
        <v>145</v>
      </c>
      <c r="R52" s="22" t="s">
        <v>70</v>
      </c>
      <c r="S52" s="22" t="s">
        <v>67</v>
      </c>
      <c r="U52" s="293" t="s">
        <v>3860</v>
      </c>
      <c r="V52" s="293" t="s">
        <v>145</v>
      </c>
      <c r="W52" s="293" t="s">
        <v>74</v>
      </c>
      <c r="X52" s="293" t="s">
        <v>656</v>
      </c>
      <c r="Z52" s="293" t="s">
        <v>3861</v>
      </c>
      <c r="AA52" s="293" t="s">
        <v>145</v>
      </c>
      <c r="AB52" s="293" t="s">
        <v>74</v>
      </c>
      <c r="AC52" s="293" t="s">
        <v>656</v>
      </c>
      <c r="AE52" s="293" t="s">
        <v>3862</v>
      </c>
      <c r="AF52" s="293" t="s">
        <v>145</v>
      </c>
      <c r="AG52" s="293" t="s">
        <v>74</v>
      </c>
      <c r="AH52" s="293" t="s">
        <v>656</v>
      </c>
      <c r="AJ52" s="293" t="s">
        <v>3863</v>
      </c>
      <c r="AK52" s="293" t="s">
        <v>145</v>
      </c>
      <c r="AL52" s="293" t="s">
        <v>74</v>
      </c>
      <c r="AM52" s="293" t="s">
        <v>656</v>
      </c>
      <c r="AO52" s="22" t="s">
        <v>3864</v>
      </c>
      <c r="AP52" s="22" t="s">
        <v>145</v>
      </c>
      <c r="AQ52" s="22" t="s">
        <v>70</v>
      </c>
      <c r="AR52" s="22" t="s">
        <v>67</v>
      </c>
      <c r="AT52" s="22" t="s">
        <v>3865</v>
      </c>
      <c r="AU52" s="22" t="s">
        <v>145</v>
      </c>
      <c r="AV52" s="22" t="s">
        <v>70</v>
      </c>
      <c r="AW52" s="22" t="s">
        <v>67</v>
      </c>
      <c r="AY52" s="22" t="s">
        <v>3866</v>
      </c>
      <c r="AZ52" s="22" t="s">
        <v>145</v>
      </c>
      <c r="BA52" s="22" t="s">
        <v>70</v>
      </c>
      <c r="BB52" s="22" t="s">
        <v>67</v>
      </c>
      <c r="BD52" s="22" t="s">
        <v>3867</v>
      </c>
      <c r="BE52" s="22" t="s">
        <v>145</v>
      </c>
      <c r="BF52" s="22" t="s">
        <v>70</v>
      </c>
      <c r="BG52" s="22" t="s">
        <v>67</v>
      </c>
      <c r="BI52" s="22" t="s">
        <v>3868</v>
      </c>
      <c r="BJ52" s="22" t="s">
        <v>145</v>
      </c>
      <c r="BK52" s="22" t="s">
        <v>70</v>
      </c>
      <c r="BL52" s="22" t="s">
        <v>67</v>
      </c>
      <c r="BN52" s="22" t="s">
        <v>3869</v>
      </c>
      <c r="BO52" s="22" t="s">
        <v>145</v>
      </c>
      <c r="BP52" s="22" t="s">
        <v>70</v>
      </c>
      <c r="BQ52" s="22" t="s">
        <v>67</v>
      </c>
      <c r="BS52" s="22" t="s">
        <v>3870</v>
      </c>
      <c r="BT52" s="22" t="s">
        <v>145</v>
      </c>
      <c r="BU52" s="22" t="s">
        <v>70</v>
      </c>
      <c r="BV52" s="214" t="s">
        <v>530</v>
      </c>
      <c r="BX52" s="22" t="s">
        <v>3871</v>
      </c>
      <c r="BY52" s="22" t="s">
        <v>145</v>
      </c>
      <c r="BZ52" s="22" t="s">
        <v>70</v>
      </c>
      <c r="CA52" s="214" t="s">
        <v>530</v>
      </c>
      <c r="CC52" s="214" t="s">
        <v>3872</v>
      </c>
      <c r="CD52" s="214" t="s">
        <v>529</v>
      </c>
      <c r="CE52" s="214" t="s">
        <v>70</v>
      </c>
      <c r="CF52" s="214" t="s">
        <v>530</v>
      </c>
      <c r="CH52" s="214" t="s">
        <v>3873</v>
      </c>
      <c r="CI52" s="214" t="s">
        <v>485</v>
      </c>
      <c r="CJ52" s="214" t="s">
        <v>70</v>
      </c>
      <c r="CK52" s="214" t="s">
        <v>530</v>
      </c>
      <c r="CM52" s="214" t="s">
        <v>3874</v>
      </c>
      <c r="CN52" s="214" t="s">
        <v>93</v>
      </c>
      <c r="CO52" s="214" t="s">
        <v>70</v>
      </c>
      <c r="CP52" s="214" t="s">
        <v>530</v>
      </c>
      <c r="CR52" s="214" t="s">
        <v>3875</v>
      </c>
      <c r="CS52" s="214" t="s">
        <v>34545</v>
      </c>
      <c r="CT52" s="214" t="s">
        <v>70</v>
      </c>
      <c r="CU52" s="214" t="s">
        <v>530</v>
      </c>
      <c r="CW52" s="214" t="s">
        <v>3876</v>
      </c>
      <c r="CX52" s="214" t="s">
        <v>34619</v>
      </c>
      <c r="CY52" s="214" t="s">
        <v>70</v>
      </c>
      <c r="CZ52" s="214" t="s">
        <v>530</v>
      </c>
      <c r="DB52" s="214" t="s">
        <v>3877</v>
      </c>
      <c r="DC52" s="214" t="s">
        <v>52</v>
      </c>
      <c r="DD52" s="214" t="s">
        <v>70</v>
      </c>
      <c r="DE52" s="214" t="s">
        <v>530</v>
      </c>
      <c r="DG52" s="214" t="s">
        <v>3878</v>
      </c>
      <c r="DH52" s="214" t="s">
        <v>52</v>
      </c>
      <c r="DI52" s="214" t="s">
        <v>70</v>
      </c>
      <c r="DJ52" s="214" t="s">
        <v>530</v>
      </c>
      <c r="DL52" s="214" t="s">
        <v>3879</v>
      </c>
      <c r="DM52" s="214" t="s">
        <v>149</v>
      </c>
      <c r="DN52" s="214" t="s">
        <v>70</v>
      </c>
      <c r="DO52" s="214" t="s">
        <v>530</v>
      </c>
      <c r="DQ52" s="214" t="s">
        <v>3880</v>
      </c>
      <c r="DR52" s="214" t="s">
        <v>919</v>
      </c>
      <c r="DS52" s="214" t="s">
        <v>70</v>
      </c>
      <c r="DT52" s="214" t="s">
        <v>530</v>
      </c>
      <c r="DV52" s="214" t="s">
        <v>3881</v>
      </c>
      <c r="DW52" s="214" t="s">
        <v>90</v>
      </c>
      <c r="DX52" s="214" t="s">
        <v>70</v>
      </c>
      <c r="DY52" s="214" t="s">
        <v>530</v>
      </c>
      <c r="EA52" s="214" t="s">
        <v>3882</v>
      </c>
      <c r="EB52" s="214" t="s">
        <v>164</v>
      </c>
      <c r="EC52" s="214" t="s">
        <v>70</v>
      </c>
      <c r="ED52" s="214" t="s">
        <v>530</v>
      </c>
      <c r="EF52" s="214" t="s">
        <v>3883</v>
      </c>
      <c r="EG52" s="214" t="s">
        <v>164</v>
      </c>
      <c r="EH52" s="214" t="s">
        <v>70</v>
      </c>
      <c r="EI52" s="214" t="s">
        <v>530</v>
      </c>
      <c r="EK52" s="214" t="s">
        <v>3884</v>
      </c>
      <c r="EL52" s="214" t="s">
        <v>798</v>
      </c>
      <c r="EM52" s="214" t="s">
        <v>70</v>
      </c>
      <c r="EN52" s="214" t="s">
        <v>530</v>
      </c>
      <c r="EP52" s="214" t="s">
        <v>3885</v>
      </c>
      <c r="EQ52" s="214" t="s">
        <v>89</v>
      </c>
      <c r="ER52" s="214" t="s">
        <v>70</v>
      </c>
      <c r="ES52" s="214" t="s">
        <v>530</v>
      </c>
      <c r="EU52" s="214" t="s">
        <v>3886</v>
      </c>
      <c r="EV52" s="214" t="s">
        <v>145</v>
      </c>
      <c r="EW52" s="214" t="s">
        <v>70</v>
      </c>
      <c r="EX52" s="214" t="s">
        <v>530</v>
      </c>
      <c r="EZ52" s="214" t="s">
        <v>3887</v>
      </c>
      <c r="FA52" s="214" t="s">
        <v>936</v>
      </c>
      <c r="FB52" s="214" t="s">
        <v>70</v>
      </c>
      <c r="FC52" s="214" t="s">
        <v>530</v>
      </c>
      <c r="FE52" s="214" t="s">
        <v>3888</v>
      </c>
      <c r="FF52" s="214" t="s">
        <v>34636</v>
      </c>
      <c r="FG52" s="214" t="s">
        <v>70</v>
      </c>
      <c r="FH52" s="214" t="s">
        <v>530</v>
      </c>
      <c r="FJ52" s="321" t="s">
        <v>3889</v>
      </c>
      <c r="FK52" s="214" t="s">
        <v>146</v>
      </c>
      <c r="FL52" s="214" t="s">
        <v>70</v>
      </c>
      <c r="FM52" s="214" t="s">
        <v>530</v>
      </c>
      <c r="FO52" s="321" t="s">
        <v>3890</v>
      </c>
      <c r="FP52" s="214" t="s">
        <v>34635</v>
      </c>
      <c r="FQ52" s="214" t="s">
        <v>70</v>
      </c>
      <c r="FR52" s="214" t="s">
        <v>530</v>
      </c>
      <c r="FT52" s="321" t="s">
        <v>3891</v>
      </c>
      <c r="FU52" s="214" t="s">
        <v>146</v>
      </c>
      <c r="FV52" s="214" t="s">
        <v>70</v>
      </c>
      <c r="FW52" s="214" t="s">
        <v>530</v>
      </c>
      <c r="FY52" s="321" t="s">
        <v>3892</v>
      </c>
      <c r="FZ52" s="214" t="s">
        <v>910</v>
      </c>
      <c r="GA52" s="214" t="s">
        <v>70</v>
      </c>
      <c r="GB52" s="214" t="s">
        <v>530</v>
      </c>
      <c r="GD52" s="321" t="s">
        <v>3893</v>
      </c>
      <c r="GE52" s="214" t="s">
        <v>90</v>
      </c>
      <c r="GF52" s="214" t="s">
        <v>70</v>
      </c>
      <c r="GG52" s="214" t="s">
        <v>530</v>
      </c>
      <c r="GI52" s="321" t="s">
        <v>3894</v>
      </c>
      <c r="GJ52" s="214" t="s">
        <v>954</v>
      </c>
      <c r="GK52" s="214" t="s">
        <v>70</v>
      </c>
      <c r="GL52" s="214" t="s">
        <v>530</v>
      </c>
      <c r="GN52" s="321" t="s">
        <v>3895</v>
      </c>
      <c r="GO52" s="214" t="s">
        <v>90</v>
      </c>
      <c r="GP52" s="214" t="s">
        <v>70</v>
      </c>
      <c r="GQ52" s="214" t="s">
        <v>530</v>
      </c>
      <c r="GS52" s="321" t="s">
        <v>3896</v>
      </c>
      <c r="GT52" s="214" t="s">
        <v>52</v>
      </c>
      <c r="GU52" s="214" t="s">
        <v>70</v>
      </c>
      <c r="GV52" s="214" t="s">
        <v>530</v>
      </c>
      <c r="GX52" s="214" t="s">
        <v>3897</v>
      </c>
      <c r="GY52" s="214" t="s">
        <v>52</v>
      </c>
      <c r="GZ52" s="214" t="s">
        <v>70</v>
      </c>
      <c r="HA52" s="214" t="s">
        <v>530</v>
      </c>
      <c r="HC52" s="214" t="s">
        <v>3898</v>
      </c>
      <c r="HD52" s="214" t="s">
        <v>34636</v>
      </c>
      <c r="HE52" s="214" t="s">
        <v>70</v>
      </c>
      <c r="HF52" s="214" t="s">
        <v>530</v>
      </c>
      <c r="HH52" s="214" t="s">
        <v>3899</v>
      </c>
      <c r="HI52" s="214" t="s">
        <v>34558</v>
      </c>
      <c r="HJ52" s="214" t="s">
        <v>70</v>
      </c>
      <c r="HK52" s="214" t="s">
        <v>530</v>
      </c>
      <c r="HM52" s="214" t="s">
        <v>3900</v>
      </c>
      <c r="HN52" s="214" t="s">
        <v>34592</v>
      </c>
      <c r="HO52" s="214" t="s">
        <v>70</v>
      </c>
      <c r="HP52" s="214" t="s">
        <v>530</v>
      </c>
      <c r="HR52" s="22" t="s">
        <v>3901</v>
      </c>
      <c r="HS52" s="22" t="s">
        <v>52</v>
      </c>
      <c r="HT52" s="22" t="s">
        <v>70</v>
      </c>
      <c r="HU52" s="214" t="s">
        <v>530</v>
      </c>
      <c r="HW52" s="22" t="s">
        <v>3902</v>
      </c>
      <c r="HX52" s="22" t="s">
        <v>34575</v>
      </c>
      <c r="HY52" s="22" t="s">
        <v>70</v>
      </c>
      <c r="HZ52" s="214" t="s">
        <v>530</v>
      </c>
      <c r="IB52" s="22" t="s">
        <v>3903</v>
      </c>
      <c r="IC52" s="22" t="s">
        <v>34583</v>
      </c>
      <c r="ID52" s="22" t="s">
        <v>70</v>
      </c>
      <c r="IE52" s="214" t="s">
        <v>530</v>
      </c>
      <c r="IG52" s="22" t="s">
        <v>3904</v>
      </c>
      <c r="IH52" s="22" t="s">
        <v>52</v>
      </c>
      <c r="II52" s="22" t="s">
        <v>70</v>
      </c>
      <c r="IJ52" s="214" t="s">
        <v>530</v>
      </c>
      <c r="IL52" s="22" t="s">
        <v>3905</v>
      </c>
      <c r="IM52" s="22" t="s">
        <v>145</v>
      </c>
      <c r="IN52" s="22" t="s">
        <v>70</v>
      </c>
      <c r="IO52" s="214" t="s">
        <v>530</v>
      </c>
      <c r="IQ52" s="236" t="s">
        <v>3906</v>
      </c>
      <c r="IR52" s="236" t="s">
        <v>145</v>
      </c>
      <c r="IS52" s="236" t="s">
        <v>74</v>
      </c>
      <c r="IT52" s="236" t="s">
        <v>841</v>
      </c>
      <c r="IV52" s="236" t="s">
        <v>3907</v>
      </c>
      <c r="IW52" s="236" t="s">
        <v>145</v>
      </c>
      <c r="IX52" s="236" t="s">
        <v>74</v>
      </c>
      <c r="IY52" s="236" t="s">
        <v>841</v>
      </c>
      <c r="JA52" s="236" t="s">
        <v>3908</v>
      </c>
      <c r="JB52" s="236" t="s">
        <v>145</v>
      </c>
      <c r="JC52" s="236" t="s">
        <v>74</v>
      </c>
      <c r="JD52" s="236" t="s">
        <v>841</v>
      </c>
      <c r="JF52" s="236" t="s">
        <v>3909</v>
      </c>
      <c r="JG52" s="236" t="s">
        <v>145</v>
      </c>
      <c r="JH52" s="236" t="s">
        <v>74</v>
      </c>
      <c r="JI52" s="236" t="s">
        <v>841</v>
      </c>
      <c r="JK52" s="236" t="s">
        <v>3910</v>
      </c>
      <c r="JL52" s="236" t="s">
        <v>145</v>
      </c>
      <c r="JM52" s="236" t="s">
        <v>74</v>
      </c>
      <c r="JN52" s="236" t="s">
        <v>841</v>
      </c>
      <c r="JP52" s="236" t="s">
        <v>3911</v>
      </c>
      <c r="JQ52" s="236" t="s">
        <v>145</v>
      </c>
      <c r="JR52" s="236" t="s">
        <v>74</v>
      </c>
      <c r="JS52" s="236" t="s">
        <v>841</v>
      </c>
      <c r="JU52" s="294" t="s">
        <v>3912</v>
      </c>
      <c r="JV52" s="294" t="str">
        <f>TVIIBE1M_CalPairs!$R61</f>
        <v>0x0C</v>
      </c>
      <c r="JW52" s="218" t="s">
        <v>72</v>
      </c>
      <c r="JX52" s="294" t="str">
        <f>TVIIBE1M_CalPairs!$S61</f>
        <v>CRYPTO_BOOT</v>
      </c>
      <c r="JZ52" s="263" t="s">
        <v>3913</v>
      </c>
      <c r="KA52" s="263" t="s">
        <v>145</v>
      </c>
      <c r="KB52" s="263" t="s">
        <v>70</v>
      </c>
      <c r="KC52" s="263" t="s">
        <v>1083</v>
      </c>
      <c r="KE52" s="263" t="s">
        <v>3914</v>
      </c>
      <c r="KF52" s="263" t="s">
        <v>52</v>
      </c>
      <c r="KG52" s="263" t="s">
        <v>70</v>
      </c>
      <c r="KH52" s="263" t="s">
        <v>1083</v>
      </c>
      <c r="KJ52" s="263" t="s">
        <v>3915</v>
      </c>
      <c r="KK52" s="263" t="s">
        <v>85</v>
      </c>
      <c r="KL52" s="263" t="s">
        <v>74</v>
      </c>
      <c r="KM52" s="263" t="s">
        <v>34256</v>
      </c>
      <c r="KO52" s="214" t="s">
        <v>3916</v>
      </c>
      <c r="KP52" s="214" t="s">
        <v>52</v>
      </c>
      <c r="KQ52" s="214" t="s">
        <v>70</v>
      </c>
      <c r="KR52" s="214" t="s">
        <v>34260</v>
      </c>
      <c r="KT52" s="22" t="s">
        <v>3917</v>
      </c>
      <c r="KU52" s="22" t="s">
        <v>145</v>
      </c>
      <c r="KV52" s="22" t="s">
        <v>70</v>
      </c>
      <c r="KW52" s="22" t="s">
        <v>67</v>
      </c>
      <c r="KY52" s="214" t="s">
        <v>3918</v>
      </c>
      <c r="KZ52" s="214" t="s">
        <v>52</v>
      </c>
      <c r="LA52" s="214" t="s">
        <v>74</v>
      </c>
      <c r="LB52" s="214" t="s">
        <v>67</v>
      </c>
      <c r="LD52" s="22" t="s">
        <v>3919</v>
      </c>
      <c r="LE52" s="22" t="s">
        <v>145</v>
      </c>
      <c r="LF52" s="22" t="s">
        <v>70</v>
      </c>
      <c r="LG52" s="22" t="s">
        <v>67</v>
      </c>
    </row>
    <row r="53" spans="1:319">
      <c r="A53" s="22" t="s">
        <v>3920</v>
      </c>
      <c r="B53" s="22" t="s">
        <v>145</v>
      </c>
      <c r="C53" s="22" t="s">
        <v>70</v>
      </c>
      <c r="D53" s="22" t="s">
        <v>67</v>
      </c>
      <c r="F53" s="23" t="s">
        <v>3921</v>
      </c>
      <c r="G53" s="23" t="str">
        <f>TVIIBE1M_CalPairs!$E50</f>
        <v>0x80</v>
      </c>
      <c r="H53" s="23" t="s">
        <v>72</v>
      </c>
      <c r="I53" s="23" t="str">
        <f>TVIIBE1M_CalPairs!$C50</f>
        <v>CLK_TRIM_IMO_CTL_VAL2</v>
      </c>
      <c r="K53" s="22" t="s">
        <v>3922</v>
      </c>
      <c r="L53" s="22" t="s">
        <v>145</v>
      </c>
      <c r="M53" s="22" t="s">
        <v>70</v>
      </c>
      <c r="N53" s="22" t="s">
        <v>67</v>
      </c>
      <c r="P53" s="22" t="s">
        <v>3923</v>
      </c>
      <c r="Q53" s="22" t="s">
        <v>145</v>
      </c>
      <c r="R53" s="22" t="s">
        <v>70</v>
      </c>
      <c r="S53" s="22" t="s">
        <v>67</v>
      </c>
      <c r="U53" s="293" t="s">
        <v>3924</v>
      </c>
      <c r="V53" s="293" t="s">
        <v>145</v>
      </c>
      <c r="W53" s="293" t="s">
        <v>74</v>
      </c>
      <c r="X53" s="293" t="s">
        <v>656</v>
      </c>
      <c r="Z53" s="293" t="s">
        <v>3925</v>
      </c>
      <c r="AA53" s="293" t="s">
        <v>145</v>
      </c>
      <c r="AB53" s="293" t="s">
        <v>74</v>
      </c>
      <c r="AC53" s="293" t="s">
        <v>656</v>
      </c>
      <c r="AE53" s="293" t="s">
        <v>3926</v>
      </c>
      <c r="AF53" s="293" t="s">
        <v>145</v>
      </c>
      <c r="AG53" s="293" t="s">
        <v>74</v>
      </c>
      <c r="AH53" s="293" t="s">
        <v>656</v>
      </c>
      <c r="AJ53" s="293" t="s">
        <v>3927</v>
      </c>
      <c r="AK53" s="293" t="s">
        <v>145</v>
      </c>
      <c r="AL53" s="293" t="s">
        <v>74</v>
      </c>
      <c r="AM53" s="293" t="s">
        <v>656</v>
      </c>
      <c r="AO53" s="22" t="s">
        <v>3928</v>
      </c>
      <c r="AP53" s="22" t="s">
        <v>145</v>
      </c>
      <c r="AQ53" s="22" t="s">
        <v>70</v>
      </c>
      <c r="AR53" s="22" t="s">
        <v>67</v>
      </c>
      <c r="AT53" s="22" t="s">
        <v>3929</v>
      </c>
      <c r="AU53" s="22" t="s">
        <v>145</v>
      </c>
      <c r="AV53" s="22" t="s">
        <v>70</v>
      </c>
      <c r="AW53" s="22" t="s">
        <v>67</v>
      </c>
      <c r="AY53" s="22" t="s">
        <v>3930</v>
      </c>
      <c r="AZ53" s="22" t="s">
        <v>145</v>
      </c>
      <c r="BA53" s="22" t="s">
        <v>70</v>
      </c>
      <c r="BB53" s="22" t="s">
        <v>67</v>
      </c>
      <c r="BD53" s="22" t="s">
        <v>3931</v>
      </c>
      <c r="BE53" s="22" t="s">
        <v>145</v>
      </c>
      <c r="BF53" s="22" t="s">
        <v>70</v>
      </c>
      <c r="BG53" s="22" t="s">
        <v>67</v>
      </c>
      <c r="BI53" s="22" t="s">
        <v>3932</v>
      </c>
      <c r="BJ53" s="22" t="s">
        <v>145</v>
      </c>
      <c r="BK53" s="22" t="s">
        <v>70</v>
      </c>
      <c r="BL53" s="22" t="s">
        <v>67</v>
      </c>
      <c r="BN53" s="22" t="s">
        <v>3933</v>
      </c>
      <c r="BO53" s="22" t="s">
        <v>145</v>
      </c>
      <c r="BP53" s="22" t="s">
        <v>70</v>
      </c>
      <c r="BQ53" s="22" t="s">
        <v>67</v>
      </c>
      <c r="BS53" s="22" t="s">
        <v>3934</v>
      </c>
      <c r="BT53" s="22" t="s">
        <v>145</v>
      </c>
      <c r="BU53" s="22" t="s">
        <v>70</v>
      </c>
      <c r="BV53" s="214" t="s">
        <v>530</v>
      </c>
      <c r="BX53" s="22" t="s">
        <v>3935</v>
      </c>
      <c r="BY53" s="22" t="s">
        <v>145</v>
      </c>
      <c r="BZ53" s="22" t="s">
        <v>70</v>
      </c>
      <c r="CA53" s="214" t="s">
        <v>530</v>
      </c>
      <c r="CC53" s="214" t="s">
        <v>3936</v>
      </c>
      <c r="CD53" s="214" t="s">
        <v>501</v>
      </c>
      <c r="CE53" s="214" t="s">
        <v>70</v>
      </c>
      <c r="CF53" s="214" t="s">
        <v>530</v>
      </c>
      <c r="CH53" s="214" t="s">
        <v>3937</v>
      </c>
      <c r="CI53" s="214" t="s">
        <v>926</v>
      </c>
      <c r="CJ53" s="214" t="s">
        <v>70</v>
      </c>
      <c r="CK53" s="214" t="s">
        <v>530</v>
      </c>
      <c r="CM53" s="214" t="s">
        <v>3938</v>
      </c>
      <c r="CN53" s="214" t="s">
        <v>487</v>
      </c>
      <c r="CO53" s="214" t="s">
        <v>70</v>
      </c>
      <c r="CP53" s="214" t="s">
        <v>530</v>
      </c>
      <c r="CR53" s="214" t="s">
        <v>3939</v>
      </c>
      <c r="CS53" s="214" t="s">
        <v>34551</v>
      </c>
      <c r="CT53" s="214" t="s">
        <v>70</v>
      </c>
      <c r="CU53" s="214" t="s">
        <v>530</v>
      </c>
      <c r="CW53" s="214" t="s">
        <v>3940</v>
      </c>
      <c r="CX53" s="214" t="s">
        <v>34557</v>
      </c>
      <c r="CY53" s="214" t="s">
        <v>70</v>
      </c>
      <c r="CZ53" s="214" t="s">
        <v>530</v>
      </c>
      <c r="DB53" s="214" t="s">
        <v>3941</v>
      </c>
      <c r="DC53" s="214" t="s">
        <v>92</v>
      </c>
      <c r="DD53" s="214" t="s">
        <v>70</v>
      </c>
      <c r="DE53" s="214" t="s">
        <v>530</v>
      </c>
      <c r="DG53" s="214" t="s">
        <v>3942</v>
      </c>
      <c r="DH53" s="214" t="s">
        <v>52</v>
      </c>
      <c r="DI53" s="214" t="s">
        <v>70</v>
      </c>
      <c r="DJ53" s="214" t="s">
        <v>530</v>
      </c>
      <c r="DL53" s="214" t="s">
        <v>3943</v>
      </c>
      <c r="DM53" s="214" t="s">
        <v>502</v>
      </c>
      <c r="DN53" s="214" t="s">
        <v>70</v>
      </c>
      <c r="DO53" s="214" t="s">
        <v>530</v>
      </c>
      <c r="DQ53" s="214" t="s">
        <v>3944</v>
      </c>
      <c r="DR53" s="214" t="s">
        <v>34544</v>
      </c>
      <c r="DS53" s="214" t="s">
        <v>70</v>
      </c>
      <c r="DT53" s="214" t="s">
        <v>530</v>
      </c>
      <c r="DV53" s="214" t="s">
        <v>3945</v>
      </c>
      <c r="DW53" s="214" t="s">
        <v>88</v>
      </c>
      <c r="DX53" s="214" t="s">
        <v>70</v>
      </c>
      <c r="DY53" s="214" t="s">
        <v>530</v>
      </c>
      <c r="EA53" s="214" t="s">
        <v>3946</v>
      </c>
      <c r="EB53" s="214" t="s">
        <v>955</v>
      </c>
      <c r="EC53" s="214" t="s">
        <v>70</v>
      </c>
      <c r="ED53" s="214" t="s">
        <v>530</v>
      </c>
      <c r="EF53" s="214" t="s">
        <v>3947</v>
      </c>
      <c r="EG53" s="214" t="s">
        <v>286</v>
      </c>
      <c r="EH53" s="214" t="s">
        <v>70</v>
      </c>
      <c r="EI53" s="214" t="s">
        <v>530</v>
      </c>
      <c r="EK53" s="214" t="s">
        <v>3948</v>
      </c>
      <c r="EL53" s="214" t="s">
        <v>34551</v>
      </c>
      <c r="EM53" s="214" t="s">
        <v>70</v>
      </c>
      <c r="EN53" s="214" t="s">
        <v>530</v>
      </c>
      <c r="EP53" s="214" t="s">
        <v>3949</v>
      </c>
      <c r="EQ53" s="214" t="s">
        <v>482</v>
      </c>
      <c r="ER53" s="214" t="s">
        <v>70</v>
      </c>
      <c r="ES53" s="214" t="s">
        <v>530</v>
      </c>
      <c r="EU53" s="214" t="s">
        <v>3950</v>
      </c>
      <c r="EV53" s="214" t="s">
        <v>34541</v>
      </c>
      <c r="EW53" s="214" t="s">
        <v>70</v>
      </c>
      <c r="EX53" s="214" t="s">
        <v>530</v>
      </c>
      <c r="EZ53" s="214" t="s">
        <v>3951</v>
      </c>
      <c r="FA53" s="214" t="s">
        <v>492</v>
      </c>
      <c r="FB53" s="214" t="s">
        <v>70</v>
      </c>
      <c r="FC53" s="214" t="s">
        <v>530</v>
      </c>
      <c r="FE53" s="214" t="s">
        <v>3952</v>
      </c>
      <c r="FF53" s="214" t="s">
        <v>34405</v>
      </c>
      <c r="FG53" s="214" t="s">
        <v>70</v>
      </c>
      <c r="FH53" s="214" t="s">
        <v>530</v>
      </c>
      <c r="FJ53" s="321" t="s">
        <v>3953</v>
      </c>
      <c r="FK53" s="214" t="s">
        <v>34575</v>
      </c>
      <c r="FL53" s="214" t="s">
        <v>70</v>
      </c>
      <c r="FM53" s="214" t="s">
        <v>530</v>
      </c>
      <c r="FO53" s="321" t="s">
        <v>3954</v>
      </c>
      <c r="FP53" s="214" t="s">
        <v>34552</v>
      </c>
      <c r="FQ53" s="214" t="s">
        <v>70</v>
      </c>
      <c r="FR53" s="214" t="s">
        <v>530</v>
      </c>
      <c r="FT53" s="321" t="s">
        <v>3955</v>
      </c>
      <c r="FU53" s="214" t="s">
        <v>600</v>
      </c>
      <c r="FV53" s="214" t="s">
        <v>70</v>
      </c>
      <c r="FW53" s="214" t="s">
        <v>530</v>
      </c>
      <c r="FY53" s="321" t="s">
        <v>3956</v>
      </c>
      <c r="FZ53" s="214" t="s">
        <v>926</v>
      </c>
      <c r="GA53" s="214" t="s">
        <v>70</v>
      </c>
      <c r="GB53" s="214" t="s">
        <v>530</v>
      </c>
      <c r="GD53" s="321" t="s">
        <v>3957</v>
      </c>
      <c r="GE53" s="214" t="s">
        <v>34550</v>
      </c>
      <c r="GF53" s="214" t="s">
        <v>70</v>
      </c>
      <c r="GG53" s="214" t="s">
        <v>530</v>
      </c>
      <c r="GI53" s="321" t="s">
        <v>3958</v>
      </c>
      <c r="GJ53" s="214" t="s">
        <v>531</v>
      </c>
      <c r="GK53" s="214" t="s">
        <v>70</v>
      </c>
      <c r="GL53" s="214" t="s">
        <v>530</v>
      </c>
      <c r="GN53" s="321" t="s">
        <v>3959</v>
      </c>
      <c r="GO53" s="214" t="s">
        <v>88</v>
      </c>
      <c r="GP53" s="214" t="s">
        <v>70</v>
      </c>
      <c r="GQ53" s="214" t="s">
        <v>530</v>
      </c>
      <c r="GS53" s="321" t="s">
        <v>3960</v>
      </c>
      <c r="GT53" s="214" t="s">
        <v>203</v>
      </c>
      <c r="GU53" s="214" t="s">
        <v>70</v>
      </c>
      <c r="GV53" s="214" t="s">
        <v>530</v>
      </c>
      <c r="GX53" s="214" t="s">
        <v>3961</v>
      </c>
      <c r="GY53" s="214" t="s">
        <v>87</v>
      </c>
      <c r="GZ53" s="214" t="s">
        <v>70</v>
      </c>
      <c r="HA53" s="214" t="s">
        <v>530</v>
      </c>
      <c r="HC53" s="214" t="s">
        <v>3962</v>
      </c>
      <c r="HD53" s="214" t="s">
        <v>501</v>
      </c>
      <c r="HE53" s="214" t="s">
        <v>70</v>
      </c>
      <c r="HF53" s="214" t="s">
        <v>530</v>
      </c>
      <c r="HH53" s="214" t="s">
        <v>3963</v>
      </c>
      <c r="HI53" s="214" t="s">
        <v>919</v>
      </c>
      <c r="HJ53" s="214" t="s">
        <v>70</v>
      </c>
      <c r="HK53" s="214" t="s">
        <v>530</v>
      </c>
      <c r="HM53" s="214" t="s">
        <v>3964</v>
      </c>
      <c r="HN53" s="214" t="s">
        <v>484</v>
      </c>
      <c r="HO53" s="214" t="s">
        <v>70</v>
      </c>
      <c r="HP53" s="214" t="s">
        <v>530</v>
      </c>
      <c r="HR53" s="22" t="s">
        <v>3965</v>
      </c>
      <c r="HS53" s="22" t="s">
        <v>34540</v>
      </c>
      <c r="HT53" s="22" t="s">
        <v>70</v>
      </c>
      <c r="HU53" s="214" t="s">
        <v>530</v>
      </c>
      <c r="HW53" s="22" t="s">
        <v>3966</v>
      </c>
      <c r="HX53" s="22" t="s">
        <v>34516</v>
      </c>
      <c r="HY53" s="22" t="s">
        <v>70</v>
      </c>
      <c r="HZ53" s="214" t="s">
        <v>530</v>
      </c>
      <c r="IB53" s="22" t="s">
        <v>3967</v>
      </c>
      <c r="IC53" s="22" t="s">
        <v>146</v>
      </c>
      <c r="ID53" s="22" t="s">
        <v>70</v>
      </c>
      <c r="IE53" s="214" t="s">
        <v>530</v>
      </c>
      <c r="IG53" s="22" t="s">
        <v>3968</v>
      </c>
      <c r="IH53" s="22" t="s">
        <v>52</v>
      </c>
      <c r="II53" s="22" t="s">
        <v>70</v>
      </c>
      <c r="IJ53" s="214" t="s">
        <v>530</v>
      </c>
      <c r="IL53" s="22" t="s">
        <v>3969</v>
      </c>
      <c r="IM53" s="22" t="s">
        <v>145</v>
      </c>
      <c r="IN53" s="22" t="s">
        <v>70</v>
      </c>
      <c r="IO53" s="214" t="s">
        <v>530</v>
      </c>
      <c r="IQ53" s="236" t="s">
        <v>3970</v>
      </c>
      <c r="IR53" s="236" t="s">
        <v>145</v>
      </c>
      <c r="IS53" s="236" t="s">
        <v>74</v>
      </c>
      <c r="IT53" s="236" t="s">
        <v>841</v>
      </c>
      <c r="IV53" s="236" t="s">
        <v>3971</v>
      </c>
      <c r="IW53" s="236" t="s">
        <v>145</v>
      </c>
      <c r="IX53" s="236" t="s">
        <v>74</v>
      </c>
      <c r="IY53" s="236" t="s">
        <v>841</v>
      </c>
      <c r="JA53" s="236" t="s">
        <v>3972</v>
      </c>
      <c r="JB53" s="236" t="s">
        <v>145</v>
      </c>
      <c r="JC53" s="236" t="s">
        <v>74</v>
      </c>
      <c r="JD53" s="236" t="s">
        <v>841</v>
      </c>
      <c r="JF53" s="236" t="s">
        <v>3973</v>
      </c>
      <c r="JG53" s="236" t="s">
        <v>145</v>
      </c>
      <c r="JH53" s="236" t="s">
        <v>74</v>
      </c>
      <c r="JI53" s="236" t="s">
        <v>841</v>
      </c>
      <c r="JK53" s="236" t="s">
        <v>3974</v>
      </c>
      <c r="JL53" s="236" t="s">
        <v>145</v>
      </c>
      <c r="JM53" s="236" t="s">
        <v>74</v>
      </c>
      <c r="JN53" s="236" t="s">
        <v>841</v>
      </c>
      <c r="JP53" s="236" t="s">
        <v>3975</v>
      </c>
      <c r="JQ53" s="236" t="s">
        <v>145</v>
      </c>
      <c r="JR53" s="236" t="s">
        <v>74</v>
      </c>
      <c r="JS53" s="236" t="s">
        <v>841</v>
      </c>
      <c r="JU53" s="294" t="s">
        <v>3976</v>
      </c>
      <c r="JV53" s="294" t="str">
        <f>TVIIBE1M_CalPairs!$R62</f>
        <v>0x00</v>
      </c>
      <c r="JW53" s="218" t="s">
        <v>72</v>
      </c>
      <c r="JX53" s="294" t="str">
        <f>TVIIBE1M_CalPairs!$S62</f>
        <v>CRYPTO_BOOT</v>
      </c>
      <c r="JZ53" s="263" t="s">
        <v>3977</v>
      </c>
      <c r="KA53" s="263" t="s">
        <v>145</v>
      </c>
      <c r="KB53" s="263" t="s">
        <v>70</v>
      </c>
      <c r="KC53" s="263" t="s">
        <v>1083</v>
      </c>
      <c r="KE53" s="263" t="s">
        <v>3978</v>
      </c>
      <c r="KF53" s="263" t="s">
        <v>52</v>
      </c>
      <c r="KG53" s="263" t="s">
        <v>70</v>
      </c>
      <c r="KH53" s="263" t="s">
        <v>1083</v>
      </c>
      <c r="KJ53" s="263" t="s">
        <v>3979</v>
      </c>
      <c r="KK53" s="263" t="s">
        <v>52</v>
      </c>
      <c r="KL53" s="263" t="s">
        <v>74</v>
      </c>
      <c r="KM53" s="263" t="s">
        <v>34257</v>
      </c>
      <c r="KO53" s="214" t="s">
        <v>3980</v>
      </c>
      <c r="KP53" s="214" t="s">
        <v>52</v>
      </c>
      <c r="KQ53" s="214" t="s">
        <v>70</v>
      </c>
      <c r="KR53" s="214" t="s">
        <v>34260</v>
      </c>
      <c r="KT53" s="22" t="s">
        <v>3981</v>
      </c>
      <c r="KU53" s="22" t="s">
        <v>145</v>
      </c>
      <c r="KV53" s="22" t="s">
        <v>70</v>
      </c>
      <c r="KW53" s="22" t="s">
        <v>67</v>
      </c>
      <c r="KY53" s="214" t="s">
        <v>3982</v>
      </c>
      <c r="KZ53" s="214" t="s">
        <v>52</v>
      </c>
      <c r="LA53" s="214" t="s">
        <v>74</v>
      </c>
      <c r="LB53" s="214" t="s">
        <v>67</v>
      </c>
      <c r="LD53" s="22" t="s">
        <v>3983</v>
      </c>
      <c r="LE53" s="22" t="s">
        <v>145</v>
      </c>
      <c r="LF53" s="22" t="s">
        <v>70</v>
      </c>
      <c r="LG53" s="22" t="s">
        <v>67</v>
      </c>
    </row>
    <row r="54" spans="1:319">
      <c r="A54" s="22" t="s">
        <v>3984</v>
      </c>
      <c r="B54" s="22" t="s">
        <v>145</v>
      </c>
      <c r="C54" s="22" t="s">
        <v>70</v>
      </c>
      <c r="D54" s="22" t="s">
        <v>67</v>
      </c>
      <c r="F54" s="23" t="s">
        <v>3985</v>
      </c>
      <c r="G54" s="23" t="str">
        <f>TVIIBE1M_CalPairs!$E51</f>
        <v>0x80</v>
      </c>
      <c r="H54" s="23" t="s">
        <v>72</v>
      </c>
      <c r="I54" s="23" t="str">
        <f>TVIIBE1M_CalPairs!$C51</f>
        <v>CLK_TRIM_IMO_CTL_VAL3</v>
      </c>
      <c r="K54" s="22" t="s">
        <v>3986</v>
      </c>
      <c r="L54" s="22" t="s">
        <v>145</v>
      </c>
      <c r="M54" s="22" t="s">
        <v>70</v>
      </c>
      <c r="N54" s="22" t="s">
        <v>67</v>
      </c>
      <c r="P54" s="22" t="s">
        <v>3987</v>
      </c>
      <c r="Q54" s="22" t="s">
        <v>145</v>
      </c>
      <c r="R54" s="22" t="s">
        <v>70</v>
      </c>
      <c r="S54" s="22" t="s">
        <v>67</v>
      </c>
      <c r="U54" s="293" t="s">
        <v>3988</v>
      </c>
      <c r="V54" s="293" t="s">
        <v>145</v>
      </c>
      <c r="W54" s="293" t="s">
        <v>74</v>
      </c>
      <c r="X54" s="293" t="s">
        <v>656</v>
      </c>
      <c r="Z54" s="293" t="s">
        <v>3989</v>
      </c>
      <c r="AA54" s="293" t="s">
        <v>145</v>
      </c>
      <c r="AB54" s="293" t="s">
        <v>74</v>
      </c>
      <c r="AC54" s="293" t="s">
        <v>656</v>
      </c>
      <c r="AE54" s="293" t="s">
        <v>3990</v>
      </c>
      <c r="AF54" s="293" t="s">
        <v>145</v>
      </c>
      <c r="AG54" s="293" t="s">
        <v>74</v>
      </c>
      <c r="AH54" s="293" t="s">
        <v>656</v>
      </c>
      <c r="AJ54" s="293" t="s">
        <v>3991</v>
      </c>
      <c r="AK54" s="293" t="s">
        <v>145</v>
      </c>
      <c r="AL54" s="293" t="s">
        <v>74</v>
      </c>
      <c r="AM54" s="293" t="s">
        <v>656</v>
      </c>
      <c r="AO54" s="22" t="s">
        <v>3992</v>
      </c>
      <c r="AP54" s="22" t="s">
        <v>145</v>
      </c>
      <c r="AQ54" s="22" t="s">
        <v>70</v>
      </c>
      <c r="AR54" s="22" t="s">
        <v>67</v>
      </c>
      <c r="AT54" s="22" t="s">
        <v>3993</v>
      </c>
      <c r="AU54" s="22" t="s">
        <v>145</v>
      </c>
      <c r="AV54" s="22" t="s">
        <v>70</v>
      </c>
      <c r="AW54" s="22" t="s">
        <v>67</v>
      </c>
      <c r="AY54" s="22" t="s">
        <v>3994</v>
      </c>
      <c r="AZ54" s="22" t="s">
        <v>145</v>
      </c>
      <c r="BA54" s="22" t="s">
        <v>70</v>
      </c>
      <c r="BB54" s="22" t="s">
        <v>67</v>
      </c>
      <c r="BD54" s="22" t="s">
        <v>3995</v>
      </c>
      <c r="BE54" s="22" t="s">
        <v>145</v>
      </c>
      <c r="BF54" s="22" t="s">
        <v>70</v>
      </c>
      <c r="BG54" s="22" t="s">
        <v>67</v>
      </c>
      <c r="BI54" s="22" t="s">
        <v>3996</v>
      </c>
      <c r="BJ54" s="22" t="s">
        <v>145</v>
      </c>
      <c r="BK54" s="22" t="s">
        <v>70</v>
      </c>
      <c r="BL54" s="22" t="s">
        <v>67</v>
      </c>
      <c r="BN54" s="22" t="s">
        <v>3997</v>
      </c>
      <c r="BO54" s="22" t="s">
        <v>145</v>
      </c>
      <c r="BP54" s="22" t="s">
        <v>70</v>
      </c>
      <c r="BQ54" s="22" t="s">
        <v>67</v>
      </c>
      <c r="BS54" s="22" t="s">
        <v>3998</v>
      </c>
      <c r="BT54" s="22" t="s">
        <v>145</v>
      </c>
      <c r="BU54" s="22" t="s">
        <v>70</v>
      </c>
      <c r="BV54" s="214" t="s">
        <v>530</v>
      </c>
      <c r="BX54" s="22" t="s">
        <v>3999</v>
      </c>
      <c r="BY54" s="22" t="s">
        <v>145</v>
      </c>
      <c r="BZ54" s="22" t="s">
        <v>70</v>
      </c>
      <c r="CA54" s="214" t="s">
        <v>530</v>
      </c>
      <c r="CC54" s="214" t="s">
        <v>4000</v>
      </c>
      <c r="CD54" s="214" t="s">
        <v>163</v>
      </c>
      <c r="CE54" s="214" t="s">
        <v>70</v>
      </c>
      <c r="CF54" s="214" t="s">
        <v>530</v>
      </c>
      <c r="CH54" s="214" t="s">
        <v>4001</v>
      </c>
      <c r="CI54" s="214" t="s">
        <v>92</v>
      </c>
      <c r="CJ54" s="214" t="s">
        <v>70</v>
      </c>
      <c r="CK54" s="214" t="s">
        <v>530</v>
      </c>
      <c r="CM54" s="214" t="s">
        <v>4002</v>
      </c>
      <c r="CN54" s="214" t="s">
        <v>52</v>
      </c>
      <c r="CO54" s="214" t="s">
        <v>70</v>
      </c>
      <c r="CP54" s="214" t="s">
        <v>530</v>
      </c>
      <c r="CR54" s="214" t="s">
        <v>4003</v>
      </c>
      <c r="CS54" s="214" t="s">
        <v>34624</v>
      </c>
      <c r="CT54" s="214" t="s">
        <v>70</v>
      </c>
      <c r="CU54" s="214" t="s">
        <v>530</v>
      </c>
      <c r="CW54" s="214" t="s">
        <v>4004</v>
      </c>
      <c r="CX54" s="214" t="s">
        <v>34583</v>
      </c>
      <c r="CY54" s="214" t="s">
        <v>70</v>
      </c>
      <c r="CZ54" s="214" t="s">
        <v>530</v>
      </c>
      <c r="DB54" s="214" t="s">
        <v>4005</v>
      </c>
      <c r="DC54" s="214" t="s">
        <v>52</v>
      </c>
      <c r="DD54" s="214" t="s">
        <v>70</v>
      </c>
      <c r="DE54" s="214" t="s">
        <v>530</v>
      </c>
      <c r="DG54" s="214" t="s">
        <v>4006</v>
      </c>
      <c r="DH54" s="214" t="s">
        <v>34579</v>
      </c>
      <c r="DI54" s="214" t="s">
        <v>70</v>
      </c>
      <c r="DJ54" s="214" t="s">
        <v>530</v>
      </c>
      <c r="DL54" s="214" t="s">
        <v>4007</v>
      </c>
      <c r="DM54" s="214" t="s">
        <v>485</v>
      </c>
      <c r="DN54" s="214" t="s">
        <v>70</v>
      </c>
      <c r="DO54" s="214" t="s">
        <v>530</v>
      </c>
      <c r="DQ54" s="214" t="s">
        <v>4008</v>
      </c>
      <c r="DR54" s="214" t="s">
        <v>86</v>
      </c>
      <c r="DS54" s="214" t="s">
        <v>70</v>
      </c>
      <c r="DT54" s="214" t="s">
        <v>530</v>
      </c>
      <c r="DV54" s="214" t="s">
        <v>4009</v>
      </c>
      <c r="DW54" s="214" t="s">
        <v>917</v>
      </c>
      <c r="DX54" s="214" t="s">
        <v>70</v>
      </c>
      <c r="DY54" s="214" t="s">
        <v>530</v>
      </c>
      <c r="EA54" s="214" t="s">
        <v>4010</v>
      </c>
      <c r="EB54" s="214" t="s">
        <v>103</v>
      </c>
      <c r="EC54" s="214" t="s">
        <v>70</v>
      </c>
      <c r="ED54" s="214" t="s">
        <v>530</v>
      </c>
      <c r="EF54" s="214" t="s">
        <v>4011</v>
      </c>
      <c r="EG54" s="214" t="s">
        <v>52</v>
      </c>
      <c r="EH54" s="214" t="s">
        <v>70</v>
      </c>
      <c r="EI54" s="214" t="s">
        <v>530</v>
      </c>
      <c r="EK54" s="214" t="s">
        <v>4012</v>
      </c>
      <c r="EL54" s="214" t="s">
        <v>148</v>
      </c>
      <c r="EM54" s="214" t="s">
        <v>70</v>
      </c>
      <c r="EN54" s="214" t="s">
        <v>530</v>
      </c>
      <c r="EP54" s="214" t="s">
        <v>4013</v>
      </c>
      <c r="EQ54" s="214" t="s">
        <v>87</v>
      </c>
      <c r="ER54" s="214" t="s">
        <v>70</v>
      </c>
      <c r="ES54" s="214" t="s">
        <v>530</v>
      </c>
      <c r="EU54" s="214" t="s">
        <v>4014</v>
      </c>
      <c r="EV54" s="214" t="s">
        <v>34212</v>
      </c>
      <c r="EW54" s="214" t="s">
        <v>70</v>
      </c>
      <c r="EX54" s="214" t="s">
        <v>530</v>
      </c>
      <c r="EZ54" s="214" t="s">
        <v>4015</v>
      </c>
      <c r="FA54" s="214" t="s">
        <v>148</v>
      </c>
      <c r="FB54" s="214" t="s">
        <v>70</v>
      </c>
      <c r="FC54" s="214" t="s">
        <v>530</v>
      </c>
      <c r="FE54" s="214" t="s">
        <v>4016</v>
      </c>
      <c r="FF54" s="214" t="s">
        <v>34555</v>
      </c>
      <c r="FG54" s="214" t="s">
        <v>70</v>
      </c>
      <c r="FH54" s="214" t="s">
        <v>530</v>
      </c>
      <c r="FJ54" s="321" t="s">
        <v>4017</v>
      </c>
      <c r="FK54" s="214" t="s">
        <v>497</v>
      </c>
      <c r="FL54" s="214" t="s">
        <v>70</v>
      </c>
      <c r="FM54" s="214" t="s">
        <v>530</v>
      </c>
      <c r="FO54" s="321" t="s">
        <v>4018</v>
      </c>
      <c r="FP54" s="214" t="s">
        <v>145</v>
      </c>
      <c r="FQ54" s="214" t="s">
        <v>70</v>
      </c>
      <c r="FR54" s="214" t="s">
        <v>530</v>
      </c>
      <c r="FT54" s="321" t="s">
        <v>4019</v>
      </c>
      <c r="FU54" s="214" t="s">
        <v>497</v>
      </c>
      <c r="FV54" s="214" t="s">
        <v>70</v>
      </c>
      <c r="FW54" s="214" t="s">
        <v>530</v>
      </c>
      <c r="FY54" s="321" t="s">
        <v>4020</v>
      </c>
      <c r="FZ54" s="214" t="s">
        <v>52</v>
      </c>
      <c r="GA54" s="214" t="s">
        <v>70</v>
      </c>
      <c r="GB54" s="214" t="s">
        <v>530</v>
      </c>
      <c r="GD54" s="321" t="s">
        <v>4021</v>
      </c>
      <c r="GE54" s="214" t="s">
        <v>164</v>
      </c>
      <c r="GF54" s="214" t="s">
        <v>70</v>
      </c>
      <c r="GG54" s="214" t="s">
        <v>530</v>
      </c>
      <c r="GI54" s="321" t="s">
        <v>4022</v>
      </c>
      <c r="GJ54" s="214" t="s">
        <v>148</v>
      </c>
      <c r="GK54" s="214" t="s">
        <v>70</v>
      </c>
      <c r="GL54" s="214" t="s">
        <v>530</v>
      </c>
      <c r="GN54" s="321" t="s">
        <v>4023</v>
      </c>
      <c r="GO54" s="214" t="s">
        <v>905</v>
      </c>
      <c r="GP54" s="214" t="s">
        <v>70</v>
      </c>
      <c r="GQ54" s="214" t="s">
        <v>530</v>
      </c>
      <c r="GS54" s="321" t="s">
        <v>4024</v>
      </c>
      <c r="GT54" s="214" t="s">
        <v>925</v>
      </c>
      <c r="GU54" s="214" t="s">
        <v>70</v>
      </c>
      <c r="GV54" s="214" t="s">
        <v>530</v>
      </c>
      <c r="GX54" s="214" t="s">
        <v>4025</v>
      </c>
      <c r="GY54" s="214" t="s">
        <v>52</v>
      </c>
      <c r="GZ54" s="214" t="s">
        <v>70</v>
      </c>
      <c r="HA54" s="214" t="s">
        <v>530</v>
      </c>
      <c r="HC54" s="214" t="s">
        <v>4026</v>
      </c>
      <c r="HD54" s="214" t="s">
        <v>52</v>
      </c>
      <c r="HE54" s="214" t="s">
        <v>70</v>
      </c>
      <c r="HF54" s="214" t="s">
        <v>530</v>
      </c>
      <c r="HH54" s="214" t="s">
        <v>4027</v>
      </c>
      <c r="HI54" s="214" t="s">
        <v>34576</v>
      </c>
      <c r="HJ54" s="214" t="s">
        <v>70</v>
      </c>
      <c r="HK54" s="214" t="s">
        <v>530</v>
      </c>
      <c r="HM54" s="214" t="s">
        <v>4028</v>
      </c>
      <c r="HN54" s="214" t="s">
        <v>34588</v>
      </c>
      <c r="HO54" s="214" t="s">
        <v>70</v>
      </c>
      <c r="HP54" s="214" t="s">
        <v>530</v>
      </c>
      <c r="HR54" s="22" t="s">
        <v>4029</v>
      </c>
      <c r="HS54" s="22" t="s">
        <v>529</v>
      </c>
      <c r="HT54" s="22" t="s">
        <v>70</v>
      </c>
      <c r="HU54" s="214" t="s">
        <v>530</v>
      </c>
      <c r="HW54" s="22" t="s">
        <v>4030</v>
      </c>
      <c r="HX54" s="22" t="s">
        <v>468</v>
      </c>
      <c r="HY54" s="22" t="s">
        <v>70</v>
      </c>
      <c r="HZ54" s="214" t="s">
        <v>530</v>
      </c>
      <c r="IB54" s="22" t="s">
        <v>4031</v>
      </c>
      <c r="IC54" s="22" t="s">
        <v>599</v>
      </c>
      <c r="ID54" s="22" t="s">
        <v>70</v>
      </c>
      <c r="IE54" s="214" t="s">
        <v>530</v>
      </c>
      <c r="IG54" s="22" t="s">
        <v>4032</v>
      </c>
      <c r="IH54" s="22" t="s">
        <v>52</v>
      </c>
      <c r="II54" s="22" t="s">
        <v>70</v>
      </c>
      <c r="IJ54" s="214" t="s">
        <v>530</v>
      </c>
      <c r="IL54" s="22" t="s">
        <v>4033</v>
      </c>
      <c r="IM54" s="22" t="s">
        <v>145</v>
      </c>
      <c r="IN54" s="22" t="s">
        <v>70</v>
      </c>
      <c r="IO54" s="214" t="s">
        <v>530</v>
      </c>
      <c r="IQ54" s="236" t="s">
        <v>4034</v>
      </c>
      <c r="IR54" s="236" t="s">
        <v>145</v>
      </c>
      <c r="IS54" s="236" t="s">
        <v>74</v>
      </c>
      <c r="IT54" s="236" t="s">
        <v>841</v>
      </c>
      <c r="IV54" s="236" t="s">
        <v>4035</v>
      </c>
      <c r="IW54" s="236" t="s">
        <v>145</v>
      </c>
      <c r="IX54" s="236" t="s">
        <v>74</v>
      </c>
      <c r="IY54" s="236" t="s">
        <v>841</v>
      </c>
      <c r="JA54" s="236" t="s">
        <v>4036</v>
      </c>
      <c r="JB54" s="236" t="s">
        <v>145</v>
      </c>
      <c r="JC54" s="236" t="s">
        <v>74</v>
      </c>
      <c r="JD54" s="236" t="s">
        <v>841</v>
      </c>
      <c r="JF54" s="236" t="s">
        <v>4037</v>
      </c>
      <c r="JG54" s="236" t="s">
        <v>145</v>
      </c>
      <c r="JH54" s="236" t="s">
        <v>74</v>
      </c>
      <c r="JI54" s="236" t="s">
        <v>841</v>
      </c>
      <c r="JK54" s="236" t="s">
        <v>4038</v>
      </c>
      <c r="JL54" s="236" t="s">
        <v>145</v>
      </c>
      <c r="JM54" s="236" t="s">
        <v>74</v>
      </c>
      <c r="JN54" s="236" t="s">
        <v>841</v>
      </c>
      <c r="JP54" s="236" t="s">
        <v>4039</v>
      </c>
      <c r="JQ54" s="236" t="s">
        <v>145</v>
      </c>
      <c r="JR54" s="236" t="s">
        <v>74</v>
      </c>
      <c r="JS54" s="236" t="s">
        <v>841</v>
      </c>
      <c r="JU54" s="294" t="s">
        <v>4040</v>
      </c>
      <c r="JV54" s="294" t="str">
        <f>TVIIBE1M_CalPairs!$R63</f>
        <v>0xB5</v>
      </c>
      <c r="JW54" s="263" t="s">
        <v>70</v>
      </c>
      <c r="JX54" s="294" t="str">
        <f>TVIIBE1M_CalPairs!$Q63</f>
        <v>PPU0_SL_CONFIG</v>
      </c>
      <c r="JZ54" s="263" t="s">
        <v>4041</v>
      </c>
      <c r="KA54" s="263" t="s">
        <v>145</v>
      </c>
      <c r="KB54" s="263" t="s">
        <v>70</v>
      </c>
      <c r="KC54" s="263" t="s">
        <v>1083</v>
      </c>
      <c r="KE54" s="263" t="s">
        <v>4042</v>
      </c>
      <c r="KF54" s="263" t="s">
        <v>52</v>
      </c>
      <c r="KG54" s="263" t="s">
        <v>70</v>
      </c>
      <c r="KH54" s="263" t="s">
        <v>1083</v>
      </c>
      <c r="KJ54" s="263" t="s">
        <v>4043</v>
      </c>
      <c r="KK54" s="263" t="s">
        <v>145</v>
      </c>
      <c r="KL54" s="263" t="s">
        <v>74</v>
      </c>
      <c r="KM54" s="263" t="s">
        <v>34258</v>
      </c>
      <c r="KO54" s="214" t="s">
        <v>4044</v>
      </c>
      <c r="KP54" s="214" t="s">
        <v>52</v>
      </c>
      <c r="KQ54" s="214" t="s">
        <v>70</v>
      </c>
      <c r="KR54" s="214" t="s">
        <v>34260</v>
      </c>
      <c r="KT54" s="22" t="s">
        <v>4045</v>
      </c>
      <c r="KU54" s="22" t="s">
        <v>145</v>
      </c>
      <c r="KV54" s="22" t="s">
        <v>70</v>
      </c>
      <c r="KW54" s="22" t="s">
        <v>67</v>
      </c>
      <c r="KY54" s="214" t="s">
        <v>4046</v>
      </c>
      <c r="KZ54" s="214" t="s">
        <v>52</v>
      </c>
      <c r="LA54" s="214" t="s">
        <v>74</v>
      </c>
      <c r="LB54" s="214" t="s">
        <v>67</v>
      </c>
      <c r="LD54" s="22" t="s">
        <v>4047</v>
      </c>
      <c r="LE54" s="22" t="s">
        <v>145</v>
      </c>
      <c r="LF54" s="22" t="s">
        <v>70</v>
      </c>
      <c r="LG54" s="22" t="s">
        <v>67</v>
      </c>
    </row>
    <row r="55" spans="1:319">
      <c r="A55" s="22" t="s">
        <v>4048</v>
      </c>
      <c r="B55" s="22" t="s">
        <v>145</v>
      </c>
      <c r="C55" s="22" t="s">
        <v>70</v>
      </c>
      <c r="D55" s="22" t="s">
        <v>67</v>
      </c>
      <c r="F55" s="23" t="s">
        <v>4049</v>
      </c>
      <c r="G55" s="23" t="str">
        <f>TVIIBE1M_CalPairs!$E52</f>
        <v>0x2C</v>
      </c>
      <c r="H55" s="23" t="s">
        <v>72</v>
      </c>
      <c r="I55" s="23" t="str">
        <f>TVIIBE1M_CalPairs!$C52</f>
        <v>CLK_TRIM_ILO0_CTL_VAL0</v>
      </c>
      <c r="K55" s="22" t="s">
        <v>4050</v>
      </c>
      <c r="L55" s="22" t="s">
        <v>145</v>
      </c>
      <c r="M55" s="22" t="s">
        <v>70</v>
      </c>
      <c r="N55" s="22" t="s">
        <v>67</v>
      </c>
      <c r="P55" s="22" t="s">
        <v>4051</v>
      </c>
      <c r="Q55" s="22" t="s">
        <v>145</v>
      </c>
      <c r="R55" s="22" t="s">
        <v>70</v>
      </c>
      <c r="S55" s="22" t="s">
        <v>67</v>
      </c>
      <c r="U55" s="293" t="s">
        <v>4052</v>
      </c>
      <c r="V55" s="293" t="s">
        <v>145</v>
      </c>
      <c r="W55" s="293" t="s">
        <v>74</v>
      </c>
      <c r="X55" s="293" t="s">
        <v>656</v>
      </c>
      <c r="Z55" s="293" t="s">
        <v>4053</v>
      </c>
      <c r="AA55" s="293" t="s">
        <v>145</v>
      </c>
      <c r="AB55" s="293" t="s">
        <v>74</v>
      </c>
      <c r="AC55" s="293" t="s">
        <v>656</v>
      </c>
      <c r="AE55" s="293" t="s">
        <v>4054</v>
      </c>
      <c r="AF55" s="293" t="s">
        <v>145</v>
      </c>
      <c r="AG55" s="293" t="s">
        <v>74</v>
      </c>
      <c r="AH55" s="293" t="s">
        <v>656</v>
      </c>
      <c r="AJ55" s="293" t="s">
        <v>4055</v>
      </c>
      <c r="AK55" s="293" t="s">
        <v>145</v>
      </c>
      <c r="AL55" s="293" t="s">
        <v>74</v>
      </c>
      <c r="AM55" s="293" t="s">
        <v>656</v>
      </c>
      <c r="AO55" s="22" t="s">
        <v>4056</v>
      </c>
      <c r="AP55" s="22" t="s">
        <v>145</v>
      </c>
      <c r="AQ55" s="22" t="s">
        <v>70</v>
      </c>
      <c r="AR55" s="22" t="s">
        <v>67</v>
      </c>
      <c r="AT55" s="22" t="s">
        <v>4057</v>
      </c>
      <c r="AU55" s="22" t="s">
        <v>145</v>
      </c>
      <c r="AV55" s="22" t="s">
        <v>70</v>
      </c>
      <c r="AW55" s="22" t="s">
        <v>67</v>
      </c>
      <c r="AY55" s="22" t="s">
        <v>4058</v>
      </c>
      <c r="AZ55" s="22" t="s">
        <v>145</v>
      </c>
      <c r="BA55" s="22" t="s">
        <v>70</v>
      </c>
      <c r="BB55" s="22" t="s">
        <v>67</v>
      </c>
      <c r="BD55" s="22" t="s">
        <v>4059</v>
      </c>
      <c r="BE55" s="22" t="s">
        <v>145</v>
      </c>
      <c r="BF55" s="22" t="s">
        <v>70</v>
      </c>
      <c r="BG55" s="22" t="s">
        <v>67</v>
      </c>
      <c r="BI55" s="22" t="s">
        <v>4060</v>
      </c>
      <c r="BJ55" s="22" t="s">
        <v>145</v>
      </c>
      <c r="BK55" s="22" t="s">
        <v>70</v>
      </c>
      <c r="BL55" s="22" t="s">
        <v>67</v>
      </c>
      <c r="BN55" s="22" t="s">
        <v>4061</v>
      </c>
      <c r="BO55" s="22" t="s">
        <v>145</v>
      </c>
      <c r="BP55" s="22" t="s">
        <v>70</v>
      </c>
      <c r="BQ55" s="22" t="s">
        <v>67</v>
      </c>
      <c r="BS55" s="22" t="s">
        <v>4062</v>
      </c>
      <c r="BT55" s="22" t="s">
        <v>145</v>
      </c>
      <c r="BU55" s="22" t="s">
        <v>70</v>
      </c>
      <c r="BV55" s="214" t="s">
        <v>530</v>
      </c>
      <c r="BX55" s="22" t="s">
        <v>4063</v>
      </c>
      <c r="BY55" s="22" t="s">
        <v>145</v>
      </c>
      <c r="BZ55" s="22" t="s">
        <v>70</v>
      </c>
      <c r="CA55" s="214" t="s">
        <v>530</v>
      </c>
      <c r="CC55" s="214" t="s">
        <v>4064</v>
      </c>
      <c r="CD55" s="214" t="s">
        <v>34544</v>
      </c>
      <c r="CE55" s="214" t="s">
        <v>70</v>
      </c>
      <c r="CF55" s="214" t="s">
        <v>530</v>
      </c>
      <c r="CH55" s="214" t="s">
        <v>4065</v>
      </c>
      <c r="CI55" s="214" t="s">
        <v>86</v>
      </c>
      <c r="CJ55" s="214" t="s">
        <v>70</v>
      </c>
      <c r="CK55" s="214" t="s">
        <v>530</v>
      </c>
      <c r="CM55" s="214" t="s">
        <v>4066</v>
      </c>
      <c r="CN55" s="214" t="s">
        <v>52</v>
      </c>
      <c r="CO55" s="214" t="s">
        <v>70</v>
      </c>
      <c r="CP55" s="214" t="s">
        <v>530</v>
      </c>
      <c r="CR55" s="214" t="s">
        <v>4067</v>
      </c>
      <c r="CS55" s="214" t="s">
        <v>34615</v>
      </c>
      <c r="CT55" s="214" t="s">
        <v>70</v>
      </c>
      <c r="CU55" s="214" t="s">
        <v>530</v>
      </c>
      <c r="CW55" s="214" t="s">
        <v>4068</v>
      </c>
      <c r="CX55" s="214" t="s">
        <v>486</v>
      </c>
      <c r="CY55" s="214" t="s">
        <v>70</v>
      </c>
      <c r="CZ55" s="214" t="s">
        <v>530</v>
      </c>
      <c r="DB55" s="214" t="s">
        <v>4069</v>
      </c>
      <c r="DC55" s="214" t="s">
        <v>485</v>
      </c>
      <c r="DD55" s="214" t="s">
        <v>70</v>
      </c>
      <c r="DE55" s="214" t="s">
        <v>530</v>
      </c>
      <c r="DG55" s="214" t="s">
        <v>4070</v>
      </c>
      <c r="DH55" s="214" t="s">
        <v>600</v>
      </c>
      <c r="DI55" s="214" t="s">
        <v>70</v>
      </c>
      <c r="DJ55" s="214" t="s">
        <v>530</v>
      </c>
      <c r="DL55" s="214" t="s">
        <v>4071</v>
      </c>
      <c r="DM55" s="214" t="s">
        <v>52</v>
      </c>
      <c r="DN55" s="214" t="s">
        <v>70</v>
      </c>
      <c r="DO55" s="214" t="s">
        <v>530</v>
      </c>
      <c r="DQ55" s="214" t="s">
        <v>4072</v>
      </c>
      <c r="DR55" s="214" t="s">
        <v>468</v>
      </c>
      <c r="DS55" s="214" t="s">
        <v>70</v>
      </c>
      <c r="DT55" s="214" t="s">
        <v>530</v>
      </c>
      <c r="DV55" s="214" t="s">
        <v>4073</v>
      </c>
      <c r="DW55" s="214" t="s">
        <v>86</v>
      </c>
      <c r="DX55" s="214" t="s">
        <v>70</v>
      </c>
      <c r="DY55" s="214" t="s">
        <v>530</v>
      </c>
      <c r="EA55" s="214" t="s">
        <v>4074</v>
      </c>
      <c r="EB55" s="214" t="s">
        <v>146</v>
      </c>
      <c r="EC55" s="214" t="s">
        <v>70</v>
      </c>
      <c r="ED55" s="214" t="s">
        <v>530</v>
      </c>
      <c r="EF55" s="214" t="s">
        <v>4075</v>
      </c>
      <c r="EG55" s="214" t="s">
        <v>103</v>
      </c>
      <c r="EH55" s="214" t="s">
        <v>70</v>
      </c>
      <c r="EI55" s="214" t="s">
        <v>530</v>
      </c>
      <c r="EK55" s="214" t="s">
        <v>4076</v>
      </c>
      <c r="EL55" s="214" t="s">
        <v>955</v>
      </c>
      <c r="EM55" s="214" t="s">
        <v>70</v>
      </c>
      <c r="EN55" s="214" t="s">
        <v>530</v>
      </c>
      <c r="EP55" s="214" t="s">
        <v>4077</v>
      </c>
      <c r="EQ55" s="214" t="s">
        <v>52</v>
      </c>
      <c r="ER55" s="214" t="s">
        <v>70</v>
      </c>
      <c r="ES55" s="214" t="s">
        <v>530</v>
      </c>
      <c r="EU55" s="214" t="s">
        <v>4078</v>
      </c>
      <c r="EV55" s="214" t="s">
        <v>145</v>
      </c>
      <c r="EW55" s="214" t="s">
        <v>70</v>
      </c>
      <c r="EX55" s="214" t="s">
        <v>530</v>
      </c>
      <c r="EZ55" s="214" t="s">
        <v>4079</v>
      </c>
      <c r="FA55" s="214" t="s">
        <v>935</v>
      </c>
      <c r="FB55" s="214" t="s">
        <v>70</v>
      </c>
      <c r="FC55" s="214" t="s">
        <v>530</v>
      </c>
      <c r="FE55" s="214" t="s">
        <v>4080</v>
      </c>
      <c r="FF55" s="214" t="s">
        <v>492</v>
      </c>
      <c r="FG55" s="214" t="s">
        <v>70</v>
      </c>
      <c r="FH55" s="214" t="s">
        <v>530</v>
      </c>
      <c r="FJ55" s="321" t="s">
        <v>4081</v>
      </c>
      <c r="FK55" s="214" t="s">
        <v>146</v>
      </c>
      <c r="FL55" s="214" t="s">
        <v>70</v>
      </c>
      <c r="FM55" s="214" t="s">
        <v>530</v>
      </c>
      <c r="FO55" s="321" t="s">
        <v>4082</v>
      </c>
      <c r="FP55" s="214" t="s">
        <v>34541</v>
      </c>
      <c r="FQ55" s="214" t="s">
        <v>70</v>
      </c>
      <c r="FR55" s="214" t="s">
        <v>530</v>
      </c>
      <c r="FT55" s="321" t="s">
        <v>4083</v>
      </c>
      <c r="FU55" s="214" t="s">
        <v>146</v>
      </c>
      <c r="FV55" s="214" t="s">
        <v>70</v>
      </c>
      <c r="FW55" s="214" t="s">
        <v>530</v>
      </c>
      <c r="FY55" s="321" t="s">
        <v>4084</v>
      </c>
      <c r="FZ55" s="214" t="s">
        <v>203</v>
      </c>
      <c r="GA55" s="214" t="s">
        <v>70</v>
      </c>
      <c r="GB55" s="214" t="s">
        <v>530</v>
      </c>
      <c r="GD55" s="321" t="s">
        <v>4085</v>
      </c>
      <c r="GE55" s="214" t="s">
        <v>956</v>
      </c>
      <c r="GF55" s="214" t="s">
        <v>70</v>
      </c>
      <c r="GG55" s="214" t="s">
        <v>530</v>
      </c>
      <c r="GI55" s="321" t="s">
        <v>4086</v>
      </c>
      <c r="GJ55" s="214" t="s">
        <v>34587</v>
      </c>
      <c r="GK55" s="214" t="s">
        <v>70</v>
      </c>
      <c r="GL55" s="214" t="s">
        <v>530</v>
      </c>
      <c r="GN55" s="321" t="s">
        <v>4087</v>
      </c>
      <c r="GO55" s="214" t="s">
        <v>501</v>
      </c>
      <c r="GP55" s="214" t="s">
        <v>70</v>
      </c>
      <c r="GQ55" s="214" t="s">
        <v>530</v>
      </c>
      <c r="GS55" s="321" t="s">
        <v>4088</v>
      </c>
      <c r="GT55" s="214" t="s">
        <v>34590</v>
      </c>
      <c r="GU55" s="214" t="s">
        <v>70</v>
      </c>
      <c r="GV55" s="214" t="s">
        <v>530</v>
      </c>
      <c r="GX55" s="214" t="s">
        <v>4089</v>
      </c>
      <c r="GY55" s="214" t="s">
        <v>146</v>
      </c>
      <c r="GZ55" s="214" t="s">
        <v>70</v>
      </c>
      <c r="HA55" s="214" t="s">
        <v>530</v>
      </c>
      <c r="HC55" s="214" t="s">
        <v>4090</v>
      </c>
      <c r="HD55" s="214" t="s">
        <v>34580</v>
      </c>
      <c r="HE55" s="214" t="s">
        <v>70</v>
      </c>
      <c r="HF55" s="214" t="s">
        <v>530</v>
      </c>
      <c r="HH55" s="214" t="s">
        <v>4091</v>
      </c>
      <c r="HI55" s="214" t="s">
        <v>149</v>
      </c>
      <c r="HJ55" s="214" t="s">
        <v>70</v>
      </c>
      <c r="HK55" s="214" t="s">
        <v>530</v>
      </c>
      <c r="HM55" s="214" t="s">
        <v>4092</v>
      </c>
      <c r="HN55" s="214" t="s">
        <v>910</v>
      </c>
      <c r="HO55" s="214" t="s">
        <v>70</v>
      </c>
      <c r="HP55" s="214" t="s">
        <v>530</v>
      </c>
      <c r="HR55" s="22" t="s">
        <v>4093</v>
      </c>
      <c r="HS55" s="22" t="s">
        <v>34544</v>
      </c>
      <c r="HT55" s="22" t="s">
        <v>70</v>
      </c>
      <c r="HU55" s="214" t="s">
        <v>530</v>
      </c>
      <c r="HW55" s="22" t="s">
        <v>4094</v>
      </c>
      <c r="HX55" s="22" t="s">
        <v>501</v>
      </c>
      <c r="HY55" s="22" t="s">
        <v>70</v>
      </c>
      <c r="HZ55" s="214" t="s">
        <v>530</v>
      </c>
      <c r="IB55" s="22" t="s">
        <v>4095</v>
      </c>
      <c r="IC55" s="22" t="s">
        <v>488</v>
      </c>
      <c r="ID55" s="22" t="s">
        <v>70</v>
      </c>
      <c r="IE55" s="214" t="s">
        <v>530</v>
      </c>
      <c r="IG55" s="22" t="s">
        <v>4096</v>
      </c>
      <c r="IH55" s="22" t="s">
        <v>52</v>
      </c>
      <c r="II55" s="22" t="s">
        <v>70</v>
      </c>
      <c r="IJ55" s="214" t="s">
        <v>530</v>
      </c>
      <c r="IL55" s="22" t="s">
        <v>4097</v>
      </c>
      <c r="IM55" s="22" t="s">
        <v>145</v>
      </c>
      <c r="IN55" s="22" t="s">
        <v>70</v>
      </c>
      <c r="IO55" s="214" t="s">
        <v>530</v>
      </c>
      <c r="IQ55" s="236" t="s">
        <v>4098</v>
      </c>
      <c r="IR55" s="236" t="s">
        <v>145</v>
      </c>
      <c r="IS55" s="236" t="s">
        <v>74</v>
      </c>
      <c r="IT55" s="236" t="s">
        <v>841</v>
      </c>
      <c r="IV55" s="236" t="s">
        <v>4099</v>
      </c>
      <c r="IW55" s="236" t="s">
        <v>145</v>
      </c>
      <c r="IX55" s="236" t="s">
        <v>74</v>
      </c>
      <c r="IY55" s="236" t="s">
        <v>841</v>
      </c>
      <c r="JA55" s="236" t="s">
        <v>4100</v>
      </c>
      <c r="JB55" s="236" t="s">
        <v>145</v>
      </c>
      <c r="JC55" s="236" t="s">
        <v>74</v>
      </c>
      <c r="JD55" s="236" t="s">
        <v>841</v>
      </c>
      <c r="JF55" s="236" t="s">
        <v>4101</v>
      </c>
      <c r="JG55" s="236" t="s">
        <v>145</v>
      </c>
      <c r="JH55" s="236" t="s">
        <v>74</v>
      </c>
      <c r="JI55" s="236" t="s">
        <v>841</v>
      </c>
      <c r="JK55" s="236" t="s">
        <v>4102</v>
      </c>
      <c r="JL55" s="236" t="s">
        <v>145</v>
      </c>
      <c r="JM55" s="236" t="s">
        <v>74</v>
      </c>
      <c r="JN55" s="236" t="s">
        <v>841</v>
      </c>
      <c r="JP55" s="236" t="s">
        <v>4103</v>
      </c>
      <c r="JQ55" s="236" t="s">
        <v>145</v>
      </c>
      <c r="JR55" s="236" t="s">
        <v>74</v>
      </c>
      <c r="JS55" s="236" t="s">
        <v>841</v>
      </c>
      <c r="JU55" s="294" t="s">
        <v>4104</v>
      </c>
      <c r="JV55" s="294" t="str">
        <f>TVIIBE1M_CalPairs!$R64</f>
        <v>0x92</v>
      </c>
      <c r="JW55" s="263" t="s">
        <v>70</v>
      </c>
      <c r="JX55" s="294" t="str">
        <f>TVIIBE1M_CalPairs!$Q64</f>
        <v>PPU0_MS_CONFIG</v>
      </c>
      <c r="JZ55" s="263" t="s">
        <v>4105</v>
      </c>
      <c r="KA55" s="263" t="s">
        <v>145</v>
      </c>
      <c r="KB55" s="263" t="s">
        <v>70</v>
      </c>
      <c r="KC55" s="263" t="s">
        <v>1083</v>
      </c>
      <c r="KE55" s="263" t="s">
        <v>4106</v>
      </c>
      <c r="KF55" s="263" t="s">
        <v>52</v>
      </c>
      <c r="KG55" s="263" t="s">
        <v>70</v>
      </c>
      <c r="KH55" s="263" t="s">
        <v>1083</v>
      </c>
      <c r="KJ55" s="263" t="s">
        <v>4107</v>
      </c>
      <c r="KK55" s="263" t="s">
        <v>52</v>
      </c>
      <c r="KL55" s="263" t="s">
        <v>74</v>
      </c>
      <c r="KM55" s="263" t="s">
        <v>34259</v>
      </c>
      <c r="KO55" s="214" t="s">
        <v>4108</v>
      </c>
      <c r="KP55" s="214" t="s">
        <v>467</v>
      </c>
      <c r="KQ55" s="214" t="s">
        <v>70</v>
      </c>
      <c r="KR55" s="214" t="s">
        <v>34260</v>
      </c>
      <c r="KT55" s="22" t="s">
        <v>4109</v>
      </c>
      <c r="KU55" s="22" t="s">
        <v>145</v>
      </c>
      <c r="KV55" s="22" t="s">
        <v>70</v>
      </c>
      <c r="KW55" s="22" t="s">
        <v>67</v>
      </c>
      <c r="KY55" s="214" t="s">
        <v>4110</v>
      </c>
      <c r="KZ55" s="214" t="s">
        <v>52</v>
      </c>
      <c r="LA55" s="214" t="s">
        <v>74</v>
      </c>
      <c r="LB55" s="214" t="s">
        <v>67</v>
      </c>
      <c r="LD55" s="22" t="s">
        <v>4111</v>
      </c>
      <c r="LE55" s="22" t="s">
        <v>145</v>
      </c>
      <c r="LF55" s="22" t="s">
        <v>70</v>
      </c>
      <c r="LG55" s="22" t="s">
        <v>67</v>
      </c>
    </row>
    <row r="56" spans="1:319">
      <c r="A56" s="22" t="s">
        <v>4112</v>
      </c>
      <c r="B56" s="22" t="s">
        <v>145</v>
      </c>
      <c r="C56" s="22" t="s">
        <v>70</v>
      </c>
      <c r="D56" s="22" t="s">
        <v>67</v>
      </c>
      <c r="F56" s="23" t="s">
        <v>4113</v>
      </c>
      <c r="G56" s="23" t="str">
        <f>TVIIBE1M_CalPairs!$E53</f>
        <v>0x05</v>
      </c>
      <c r="H56" s="23" t="s">
        <v>72</v>
      </c>
      <c r="I56" s="23" t="str">
        <f>TVIIBE1M_CalPairs!$C53</f>
        <v>CLK_TRIM_ILO0_CTL_VAL1</v>
      </c>
      <c r="K56" s="22" t="s">
        <v>4114</v>
      </c>
      <c r="L56" s="22" t="s">
        <v>145</v>
      </c>
      <c r="M56" s="22" t="s">
        <v>70</v>
      </c>
      <c r="N56" s="22" t="s">
        <v>67</v>
      </c>
      <c r="P56" s="22" t="s">
        <v>4115</v>
      </c>
      <c r="Q56" s="22" t="s">
        <v>145</v>
      </c>
      <c r="R56" s="22" t="s">
        <v>70</v>
      </c>
      <c r="S56" s="22" t="s">
        <v>67</v>
      </c>
      <c r="U56" s="293" t="s">
        <v>4116</v>
      </c>
      <c r="V56" s="293" t="s">
        <v>145</v>
      </c>
      <c r="W56" s="293" t="s">
        <v>74</v>
      </c>
      <c r="X56" s="293" t="s">
        <v>656</v>
      </c>
      <c r="Z56" s="293" t="s">
        <v>4117</v>
      </c>
      <c r="AA56" s="293" t="s">
        <v>145</v>
      </c>
      <c r="AB56" s="293" t="s">
        <v>74</v>
      </c>
      <c r="AC56" s="293" t="s">
        <v>656</v>
      </c>
      <c r="AE56" s="293" t="s">
        <v>4118</v>
      </c>
      <c r="AF56" s="293" t="s">
        <v>145</v>
      </c>
      <c r="AG56" s="293" t="s">
        <v>74</v>
      </c>
      <c r="AH56" s="293" t="s">
        <v>656</v>
      </c>
      <c r="AJ56" s="293" t="s">
        <v>4119</v>
      </c>
      <c r="AK56" s="293" t="s">
        <v>145</v>
      </c>
      <c r="AL56" s="293" t="s">
        <v>74</v>
      </c>
      <c r="AM56" s="293" t="s">
        <v>656</v>
      </c>
      <c r="AO56" s="22" t="s">
        <v>4120</v>
      </c>
      <c r="AP56" s="22" t="s">
        <v>145</v>
      </c>
      <c r="AQ56" s="22" t="s">
        <v>70</v>
      </c>
      <c r="AR56" s="22" t="s">
        <v>67</v>
      </c>
      <c r="AT56" s="22" t="s">
        <v>4121</v>
      </c>
      <c r="AU56" s="22" t="s">
        <v>145</v>
      </c>
      <c r="AV56" s="22" t="s">
        <v>70</v>
      </c>
      <c r="AW56" s="22" t="s">
        <v>67</v>
      </c>
      <c r="AY56" s="22" t="s">
        <v>4122</v>
      </c>
      <c r="AZ56" s="22" t="s">
        <v>145</v>
      </c>
      <c r="BA56" s="22" t="s">
        <v>70</v>
      </c>
      <c r="BB56" s="22" t="s">
        <v>67</v>
      </c>
      <c r="BD56" s="22" t="s">
        <v>4123</v>
      </c>
      <c r="BE56" s="22" t="s">
        <v>145</v>
      </c>
      <c r="BF56" s="22" t="s">
        <v>70</v>
      </c>
      <c r="BG56" s="22" t="s">
        <v>67</v>
      </c>
      <c r="BI56" s="22" t="s">
        <v>4124</v>
      </c>
      <c r="BJ56" s="22" t="s">
        <v>145</v>
      </c>
      <c r="BK56" s="22" t="s">
        <v>70</v>
      </c>
      <c r="BL56" s="22" t="s">
        <v>67</v>
      </c>
      <c r="BN56" s="22" t="s">
        <v>4125</v>
      </c>
      <c r="BO56" s="22" t="s">
        <v>145</v>
      </c>
      <c r="BP56" s="22" t="s">
        <v>70</v>
      </c>
      <c r="BQ56" s="22" t="s">
        <v>67</v>
      </c>
      <c r="BS56" s="22" t="s">
        <v>4126</v>
      </c>
      <c r="BT56" s="22" t="s">
        <v>145</v>
      </c>
      <c r="BU56" s="22" t="s">
        <v>70</v>
      </c>
      <c r="BV56" s="214" t="s">
        <v>530</v>
      </c>
      <c r="BX56" s="22" t="s">
        <v>4127</v>
      </c>
      <c r="BY56" s="22" t="s">
        <v>145</v>
      </c>
      <c r="BZ56" s="22" t="s">
        <v>70</v>
      </c>
      <c r="CA56" s="214" t="s">
        <v>530</v>
      </c>
      <c r="CC56" s="214" t="s">
        <v>4128</v>
      </c>
      <c r="CD56" s="214" t="s">
        <v>492</v>
      </c>
      <c r="CE56" s="214" t="s">
        <v>70</v>
      </c>
      <c r="CF56" s="214" t="s">
        <v>530</v>
      </c>
      <c r="CH56" s="214" t="s">
        <v>4129</v>
      </c>
      <c r="CI56" s="214" t="s">
        <v>87</v>
      </c>
      <c r="CJ56" s="214" t="s">
        <v>70</v>
      </c>
      <c r="CK56" s="214" t="s">
        <v>530</v>
      </c>
      <c r="CM56" s="214" t="s">
        <v>4130</v>
      </c>
      <c r="CN56" s="214" t="s">
        <v>949</v>
      </c>
      <c r="CO56" s="214" t="s">
        <v>70</v>
      </c>
      <c r="CP56" s="214" t="s">
        <v>530</v>
      </c>
      <c r="CR56" s="214" t="s">
        <v>4131</v>
      </c>
      <c r="CS56" s="214" t="s">
        <v>34550</v>
      </c>
      <c r="CT56" s="214" t="s">
        <v>70</v>
      </c>
      <c r="CU56" s="214" t="s">
        <v>530</v>
      </c>
      <c r="CW56" s="214" t="s">
        <v>4132</v>
      </c>
      <c r="CX56" s="214" t="s">
        <v>501</v>
      </c>
      <c r="CY56" s="214" t="s">
        <v>70</v>
      </c>
      <c r="CZ56" s="214" t="s">
        <v>530</v>
      </c>
      <c r="DB56" s="214" t="s">
        <v>4133</v>
      </c>
      <c r="DC56" s="214" t="s">
        <v>34556</v>
      </c>
      <c r="DD56" s="214" t="s">
        <v>70</v>
      </c>
      <c r="DE56" s="214" t="s">
        <v>530</v>
      </c>
      <c r="DG56" s="214" t="s">
        <v>4134</v>
      </c>
      <c r="DH56" s="214" t="s">
        <v>52</v>
      </c>
      <c r="DI56" s="214" t="s">
        <v>70</v>
      </c>
      <c r="DJ56" s="214" t="s">
        <v>530</v>
      </c>
      <c r="DL56" s="214" t="s">
        <v>4135</v>
      </c>
      <c r="DM56" s="214" t="s">
        <v>145</v>
      </c>
      <c r="DN56" s="214" t="s">
        <v>70</v>
      </c>
      <c r="DO56" s="214" t="s">
        <v>530</v>
      </c>
      <c r="DQ56" s="214" t="s">
        <v>4136</v>
      </c>
      <c r="DR56" s="214" t="s">
        <v>468</v>
      </c>
      <c r="DS56" s="214" t="s">
        <v>70</v>
      </c>
      <c r="DT56" s="214" t="s">
        <v>530</v>
      </c>
      <c r="DV56" s="214" t="s">
        <v>4137</v>
      </c>
      <c r="DW56" s="214" t="s">
        <v>90</v>
      </c>
      <c r="DX56" s="214" t="s">
        <v>70</v>
      </c>
      <c r="DY56" s="214" t="s">
        <v>530</v>
      </c>
      <c r="EA56" s="214" t="s">
        <v>4138</v>
      </c>
      <c r="EB56" s="214" t="s">
        <v>34600</v>
      </c>
      <c r="EC56" s="214" t="s">
        <v>70</v>
      </c>
      <c r="ED56" s="214" t="s">
        <v>530</v>
      </c>
      <c r="EF56" s="214" t="s">
        <v>4139</v>
      </c>
      <c r="EG56" s="214" t="s">
        <v>165</v>
      </c>
      <c r="EH56" s="214" t="s">
        <v>70</v>
      </c>
      <c r="EI56" s="214" t="s">
        <v>530</v>
      </c>
      <c r="EK56" s="214" t="s">
        <v>4140</v>
      </c>
      <c r="EL56" s="214" t="s">
        <v>52</v>
      </c>
      <c r="EM56" s="214" t="s">
        <v>70</v>
      </c>
      <c r="EN56" s="214" t="s">
        <v>530</v>
      </c>
      <c r="EP56" s="214" t="s">
        <v>4141</v>
      </c>
      <c r="EQ56" s="214" t="s">
        <v>148</v>
      </c>
      <c r="ER56" s="214" t="s">
        <v>70</v>
      </c>
      <c r="ES56" s="214" t="s">
        <v>530</v>
      </c>
      <c r="EU56" s="214" t="s">
        <v>4142</v>
      </c>
      <c r="EV56" s="214" t="s">
        <v>34553</v>
      </c>
      <c r="EW56" s="214" t="s">
        <v>70</v>
      </c>
      <c r="EX56" s="214" t="s">
        <v>530</v>
      </c>
      <c r="EZ56" s="214" t="s">
        <v>4143</v>
      </c>
      <c r="FA56" s="214" t="s">
        <v>305</v>
      </c>
      <c r="FB56" s="214" t="s">
        <v>70</v>
      </c>
      <c r="FC56" s="214" t="s">
        <v>530</v>
      </c>
      <c r="FE56" s="214" t="s">
        <v>4144</v>
      </c>
      <c r="FF56" s="214" t="s">
        <v>491</v>
      </c>
      <c r="FG56" s="214" t="s">
        <v>70</v>
      </c>
      <c r="FH56" s="214" t="s">
        <v>530</v>
      </c>
      <c r="FJ56" s="321" t="s">
        <v>4145</v>
      </c>
      <c r="FK56" s="214" t="s">
        <v>52</v>
      </c>
      <c r="FL56" s="214" t="s">
        <v>70</v>
      </c>
      <c r="FM56" s="214" t="s">
        <v>530</v>
      </c>
      <c r="FO56" s="321" t="s">
        <v>4146</v>
      </c>
      <c r="FP56" s="214" t="s">
        <v>953</v>
      </c>
      <c r="FQ56" s="214" t="s">
        <v>70</v>
      </c>
      <c r="FR56" s="214" t="s">
        <v>530</v>
      </c>
      <c r="FT56" s="321" t="s">
        <v>4147</v>
      </c>
      <c r="FU56" s="214" t="s">
        <v>52</v>
      </c>
      <c r="FV56" s="214" t="s">
        <v>70</v>
      </c>
      <c r="FW56" s="214" t="s">
        <v>530</v>
      </c>
      <c r="FY56" s="321" t="s">
        <v>4148</v>
      </c>
      <c r="FZ56" s="214" t="s">
        <v>765</v>
      </c>
      <c r="GA56" s="214" t="s">
        <v>70</v>
      </c>
      <c r="GB56" s="214" t="s">
        <v>530</v>
      </c>
      <c r="GD56" s="321" t="s">
        <v>4149</v>
      </c>
      <c r="GE56" s="214" t="s">
        <v>146</v>
      </c>
      <c r="GF56" s="214" t="s">
        <v>70</v>
      </c>
      <c r="GG56" s="214" t="s">
        <v>530</v>
      </c>
      <c r="GI56" s="321" t="s">
        <v>4150</v>
      </c>
      <c r="GJ56" s="214" t="s">
        <v>148</v>
      </c>
      <c r="GK56" s="214" t="s">
        <v>70</v>
      </c>
      <c r="GL56" s="214" t="s">
        <v>530</v>
      </c>
      <c r="GN56" s="321" t="s">
        <v>4151</v>
      </c>
      <c r="GO56" s="214" t="s">
        <v>34543</v>
      </c>
      <c r="GP56" s="214" t="s">
        <v>70</v>
      </c>
      <c r="GQ56" s="214" t="s">
        <v>530</v>
      </c>
      <c r="GS56" s="321" t="s">
        <v>4152</v>
      </c>
      <c r="GT56" s="214" t="s">
        <v>148</v>
      </c>
      <c r="GU56" s="214" t="s">
        <v>70</v>
      </c>
      <c r="GV56" s="214" t="s">
        <v>530</v>
      </c>
      <c r="GX56" s="214" t="s">
        <v>4153</v>
      </c>
      <c r="GY56" s="214" t="s">
        <v>52</v>
      </c>
      <c r="GZ56" s="214" t="s">
        <v>70</v>
      </c>
      <c r="HA56" s="214" t="s">
        <v>530</v>
      </c>
      <c r="HC56" s="214" t="s">
        <v>4154</v>
      </c>
      <c r="HD56" s="214" t="s">
        <v>34607</v>
      </c>
      <c r="HE56" s="214" t="s">
        <v>70</v>
      </c>
      <c r="HF56" s="214" t="s">
        <v>530</v>
      </c>
      <c r="HH56" s="214" t="s">
        <v>4155</v>
      </c>
      <c r="HI56" s="214" t="s">
        <v>10541</v>
      </c>
      <c r="HJ56" s="214" t="s">
        <v>70</v>
      </c>
      <c r="HK56" s="214" t="s">
        <v>530</v>
      </c>
      <c r="HM56" s="214" t="s">
        <v>4156</v>
      </c>
      <c r="HN56" s="214" t="s">
        <v>88</v>
      </c>
      <c r="HO56" s="214" t="s">
        <v>70</v>
      </c>
      <c r="HP56" s="214" t="s">
        <v>530</v>
      </c>
      <c r="HR56" s="22" t="s">
        <v>4157</v>
      </c>
      <c r="HS56" s="22" t="s">
        <v>914</v>
      </c>
      <c r="HT56" s="22" t="s">
        <v>70</v>
      </c>
      <c r="HU56" s="214" t="s">
        <v>530</v>
      </c>
      <c r="HW56" s="22" t="s">
        <v>4158</v>
      </c>
      <c r="HX56" s="22" t="s">
        <v>103</v>
      </c>
      <c r="HY56" s="22" t="s">
        <v>70</v>
      </c>
      <c r="HZ56" s="214" t="s">
        <v>530</v>
      </c>
      <c r="IB56" s="22" t="s">
        <v>4159</v>
      </c>
      <c r="IC56" s="22" t="s">
        <v>286</v>
      </c>
      <c r="ID56" s="22" t="s">
        <v>70</v>
      </c>
      <c r="IE56" s="214" t="s">
        <v>530</v>
      </c>
      <c r="IG56" s="22" t="s">
        <v>4160</v>
      </c>
      <c r="IH56" s="22" t="s">
        <v>52</v>
      </c>
      <c r="II56" s="22" t="s">
        <v>70</v>
      </c>
      <c r="IJ56" s="214" t="s">
        <v>530</v>
      </c>
      <c r="IL56" s="22" t="s">
        <v>4161</v>
      </c>
      <c r="IM56" s="22" t="s">
        <v>145</v>
      </c>
      <c r="IN56" s="22" t="s">
        <v>70</v>
      </c>
      <c r="IO56" s="214" t="s">
        <v>530</v>
      </c>
      <c r="IQ56" s="236" t="s">
        <v>4162</v>
      </c>
      <c r="IR56" s="236" t="s">
        <v>145</v>
      </c>
      <c r="IS56" s="236" t="s">
        <v>74</v>
      </c>
      <c r="IT56" s="236" t="s">
        <v>841</v>
      </c>
      <c r="IV56" s="236" t="s">
        <v>4163</v>
      </c>
      <c r="IW56" s="236" t="s">
        <v>145</v>
      </c>
      <c r="IX56" s="236" t="s">
        <v>74</v>
      </c>
      <c r="IY56" s="236" t="s">
        <v>841</v>
      </c>
      <c r="JA56" s="236" t="s">
        <v>4164</v>
      </c>
      <c r="JB56" s="236" t="s">
        <v>145</v>
      </c>
      <c r="JC56" s="236" t="s">
        <v>74</v>
      </c>
      <c r="JD56" s="236" t="s">
        <v>841</v>
      </c>
      <c r="JF56" s="236" t="s">
        <v>4165</v>
      </c>
      <c r="JG56" s="236" t="s">
        <v>145</v>
      </c>
      <c r="JH56" s="236" t="s">
        <v>74</v>
      </c>
      <c r="JI56" s="236" t="s">
        <v>841</v>
      </c>
      <c r="JK56" s="236" t="s">
        <v>4166</v>
      </c>
      <c r="JL56" s="236" t="s">
        <v>145</v>
      </c>
      <c r="JM56" s="236" t="s">
        <v>74</v>
      </c>
      <c r="JN56" s="236" t="s">
        <v>841</v>
      </c>
      <c r="JP56" s="236" t="s">
        <v>4167</v>
      </c>
      <c r="JQ56" s="236" t="s">
        <v>145</v>
      </c>
      <c r="JR56" s="236" t="s">
        <v>74</v>
      </c>
      <c r="JS56" s="236" t="s">
        <v>841</v>
      </c>
      <c r="JU56" s="294" t="s">
        <v>4168</v>
      </c>
      <c r="JV56" s="294" t="str">
        <f>TVIIBE1M_CalPairs!$R65</f>
        <v>0x12</v>
      </c>
      <c r="JW56" s="218" t="s">
        <v>72</v>
      </c>
      <c r="JX56" s="294" t="str">
        <f>TVIIBE1M_CalPairs!$S65</f>
        <v>CPUSS_BOOT</v>
      </c>
      <c r="JZ56" s="263" t="s">
        <v>4169</v>
      </c>
      <c r="KA56" s="263" t="s">
        <v>145</v>
      </c>
      <c r="KB56" s="263" t="s">
        <v>70</v>
      </c>
      <c r="KC56" s="263" t="s">
        <v>1083</v>
      </c>
      <c r="KE56" s="263" t="s">
        <v>4170</v>
      </c>
      <c r="KF56" s="263" t="s">
        <v>52</v>
      </c>
      <c r="KG56" s="263" t="s">
        <v>70</v>
      </c>
      <c r="KH56" s="263" t="s">
        <v>1083</v>
      </c>
      <c r="KJ56" s="263" t="s">
        <v>4171</v>
      </c>
      <c r="KK56" s="263" t="s">
        <v>52</v>
      </c>
      <c r="KL56" s="263" t="s">
        <v>74</v>
      </c>
      <c r="KM56" s="263" t="s">
        <v>34074</v>
      </c>
      <c r="KO56" s="214" t="s">
        <v>4172</v>
      </c>
      <c r="KP56" s="218" t="s">
        <v>52</v>
      </c>
      <c r="KQ56" s="214" t="s">
        <v>70</v>
      </c>
      <c r="KR56" s="218" t="s">
        <v>34503</v>
      </c>
      <c r="KT56" s="22" t="s">
        <v>4173</v>
      </c>
      <c r="KU56" s="22" t="s">
        <v>145</v>
      </c>
      <c r="KV56" s="22" t="s">
        <v>70</v>
      </c>
      <c r="KW56" s="22" t="s">
        <v>67</v>
      </c>
      <c r="KY56" s="214" t="s">
        <v>4174</v>
      </c>
      <c r="KZ56" s="214" t="s">
        <v>52</v>
      </c>
      <c r="LA56" s="214" t="s">
        <v>74</v>
      </c>
      <c r="LB56" s="214" t="s">
        <v>67</v>
      </c>
      <c r="LD56" s="22" t="s">
        <v>4175</v>
      </c>
      <c r="LE56" s="22" t="s">
        <v>145</v>
      </c>
      <c r="LF56" s="22" t="s">
        <v>70</v>
      </c>
      <c r="LG56" s="22" t="s">
        <v>67</v>
      </c>
    </row>
    <row r="57" spans="1:319">
      <c r="A57" s="22" t="s">
        <v>4176</v>
      </c>
      <c r="B57" s="22" t="s">
        <v>145</v>
      </c>
      <c r="C57" s="22" t="s">
        <v>70</v>
      </c>
      <c r="D57" s="22" t="s">
        <v>67</v>
      </c>
      <c r="F57" s="23" t="s">
        <v>4177</v>
      </c>
      <c r="G57" s="23" t="str">
        <f>TVIIBE1M_CalPairs!$E54</f>
        <v>0x00</v>
      </c>
      <c r="H57" s="23" t="s">
        <v>72</v>
      </c>
      <c r="I57" s="23" t="str">
        <f>TVIIBE1M_CalPairs!$C54</f>
        <v>CLK_TRIM_ILO0_CTL_VAL2</v>
      </c>
      <c r="K57" s="22" t="s">
        <v>4178</v>
      </c>
      <c r="L57" s="22" t="s">
        <v>145</v>
      </c>
      <c r="M57" s="22" t="s">
        <v>70</v>
      </c>
      <c r="N57" s="22" t="s">
        <v>67</v>
      </c>
      <c r="P57" s="22" t="s">
        <v>4179</v>
      </c>
      <c r="Q57" s="22" t="s">
        <v>145</v>
      </c>
      <c r="R57" s="22" t="s">
        <v>70</v>
      </c>
      <c r="S57" s="22" t="s">
        <v>67</v>
      </c>
      <c r="U57" s="293" t="s">
        <v>4180</v>
      </c>
      <c r="V57" s="293" t="s">
        <v>145</v>
      </c>
      <c r="W57" s="293" t="s">
        <v>74</v>
      </c>
      <c r="X57" s="293" t="s">
        <v>656</v>
      </c>
      <c r="Z57" s="293" t="s">
        <v>4181</v>
      </c>
      <c r="AA57" s="293" t="s">
        <v>145</v>
      </c>
      <c r="AB57" s="293" t="s">
        <v>74</v>
      </c>
      <c r="AC57" s="293" t="s">
        <v>656</v>
      </c>
      <c r="AE57" s="293" t="s">
        <v>4182</v>
      </c>
      <c r="AF57" s="293" t="s">
        <v>145</v>
      </c>
      <c r="AG57" s="293" t="s">
        <v>74</v>
      </c>
      <c r="AH57" s="293" t="s">
        <v>656</v>
      </c>
      <c r="AJ57" s="293" t="s">
        <v>4183</v>
      </c>
      <c r="AK57" s="293" t="s">
        <v>145</v>
      </c>
      <c r="AL57" s="293" t="s">
        <v>74</v>
      </c>
      <c r="AM57" s="293" t="s">
        <v>656</v>
      </c>
      <c r="AO57" s="22" t="s">
        <v>4184</v>
      </c>
      <c r="AP57" s="22" t="s">
        <v>145</v>
      </c>
      <c r="AQ57" s="22" t="s">
        <v>70</v>
      </c>
      <c r="AR57" s="22" t="s">
        <v>67</v>
      </c>
      <c r="AT57" s="22" t="s">
        <v>4185</v>
      </c>
      <c r="AU57" s="22" t="s">
        <v>145</v>
      </c>
      <c r="AV57" s="22" t="s">
        <v>70</v>
      </c>
      <c r="AW57" s="22" t="s">
        <v>67</v>
      </c>
      <c r="AY57" s="22" t="s">
        <v>4186</v>
      </c>
      <c r="AZ57" s="22" t="s">
        <v>145</v>
      </c>
      <c r="BA57" s="22" t="s">
        <v>70</v>
      </c>
      <c r="BB57" s="22" t="s">
        <v>67</v>
      </c>
      <c r="BD57" s="22" t="s">
        <v>4187</v>
      </c>
      <c r="BE57" s="22" t="s">
        <v>145</v>
      </c>
      <c r="BF57" s="22" t="s">
        <v>70</v>
      </c>
      <c r="BG57" s="22" t="s">
        <v>67</v>
      </c>
      <c r="BI57" s="22" t="s">
        <v>4188</v>
      </c>
      <c r="BJ57" s="22" t="s">
        <v>145</v>
      </c>
      <c r="BK57" s="22" t="s">
        <v>70</v>
      </c>
      <c r="BL57" s="22" t="s">
        <v>67</v>
      </c>
      <c r="BN57" s="22" t="s">
        <v>4189</v>
      </c>
      <c r="BO57" s="22" t="s">
        <v>145</v>
      </c>
      <c r="BP57" s="22" t="s">
        <v>70</v>
      </c>
      <c r="BQ57" s="22" t="s">
        <v>67</v>
      </c>
      <c r="BS57" s="22" t="s">
        <v>4190</v>
      </c>
      <c r="BT57" s="22" t="s">
        <v>145</v>
      </c>
      <c r="BU57" s="22" t="s">
        <v>70</v>
      </c>
      <c r="BV57" s="214" t="s">
        <v>530</v>
      </c>
      <c r="BX57" s="22" t="s">
        <v>4191</v>
      </c>
      <c r="BY57" s="22" t="s">
        <v>145</v>
      </c>
      <c r="BZ57" s="22" t="s">
        <v>70</v>
      </c>
      <c r="CA57" s="214" t="s">
        <v>530</v>
      </c>
      <c r="CC57" s="214" t="s">
        <v>4192</v>
      </c>
      <c r="CD57" s="214" t="s">
        <v>34547</v>
      </c>
      <c r="CE57" s="214" t="s">
        <v>70</v>
      </c>
      <c r="CF57" s="214" t="s">
        <v>530</v>
      </c>
      <c r="CH57" s="214" t="s">
        <v>4193</v>
      </c>
      <c r="CI57" s="214" t="s">
        <v>920</v>
      </c>
      <c r="CJ57" s="214" t="s">
        <v>70</v>
      </c>
      <c r="CK57" s="214" t="s">
        <v>530</v>
      </c>
      <c r="CM57" s="214" t="s">
        <v>4194</v>
      </c>
      <c r="CN57" s="214" t="s">
        <v>52</v>
      </c>
      <c r="CO57" s="214" t="s">
        <v>70</v>
      </c>
      <c r="CP57" s="214" t="s">
        <v>530</v>
      </c>
      <c r="CR57" s="214" t="s">
        <v>4195</v>
      </c>
      <c r="CS57" s="214" t="s">
        <v>486</v>
      </c>
      <c r="CT57" s="214" t="s">
        <v>70</v>
      </c>
      <c r="CU57" s="214" t="s">
        <v>530</v>
      </c>
      <c r="CW57" s="214" t="s">
        <v>4196</v>
      </c>
      <c r="CX57" s="214" t="s">
        <v>488</v>
      </c>
      <c r="CY57" s="214" t="s">
        <v>70</v>
      </c>
      <c r="CZ57" s="214" t="s">
        <v>530</v>
      </c>
      <c r="DB57" s="214" t="s">
        <v>4197</v>
      </c>
      <c r="DC57" s="214" t="s">
        <v>482</v>
      </c>
      <c r="DD57" s="214" t="s">
        <v>70</v>
      </c>
      <c r="DE57" s="214" t="s">
        <v>530</v>
      </c>
      <c r="DG57" s="214" t="s">
        <v>4198</v>
      </c>
      <c r="DH57" s="214" t="s">
        <v>52</v>
      </c>
      <c r="DI57" s="214" t="s">
        <v>70</v>
      </c>
      <c r="DJ57" s="214" t="s">
        <v>530</v>
      </c>
      <c r="DL57" s="214" t="s">
        <v>4199</v>
      </c>
      <c r="DM57" s="214" t="s">
        <v>34541</v>
      </c>
      <c r="DN57" s="214" t="s">
        <v>70</v>
      </c>
      <c r="DO57" s="214" t="s">
        <v>530</v>
      </c>
      <c r="DQ57" s="214" t="s">
        <v>4200</v>
      </c>
      <c r="DR57" s="214" t="s">
        <v>34548</v>
      </c>
      <c r="DS57" s="214" t="s">
        <v>70</v>
      </c>
      <c r="DT57" s="214" t="s">
        <v>530</v>
      </c>
      <c r="DV57" s="214" t="s">
        <v>4201</v>
      </c>
      <c r="DW57" s="214" t="s">
        <v>52</v>
      </c>
      <c r="DX57" s="214" t="s">
        <v>70</v>
      </c>
      <c r="DY57" s="214" t="s">
        <v>530</v>
      </c>
      <c r="EA57" s="214" t="s">
        <v>4202</v>
      </c>
      <c r="EB57" s="214" t="s">
        <v>912</v>
      </c>
      <c r="EC57" s="214" t="s">
        <v>70</v>
      </c>
      <c r="ED57" s="214" t="s">
        <v>530</v>
      </c>
      <c r="EF57" s="214" t="s">
        <v>4203</v>
      </c>
      <c r="EG57" s="214" t="s">
        <v>286</v>
      </c>
      <c r="EH57" s="214" t="s">
        <v>70</v>
      </c>
      <c r="EI57" s="214" t="s">
        <v>530</v>
      </c>
      <c r="EK57" s="214" t="s">
        <v>4204</v>
      </c>
      <c r="EL57" s="214" t="s">
        <v>598</v>
      </c>
      <c r="EM57" s="214" t="s">
        <v>70</v>
      </c>
      <c r="EN57" s="214" t="s">
        <v>530</v>
      </c>
      <c r="EP57" s="214" t="s">
        <v>4205</v>
      </c>
      <c r="EQ57" s="214" t="s">
        <v>34593</v>
      </c>
      <c r="ER57" s="214" t="s">
        <v>70</v>
      </c>
      <c r="ES57" s="214" t="s">
        <v>530</v>
      </c>
      <c r="EU57" s="214" t="s">
        <v>4206</v>
      </c>
      <c r="EV57" s="214" t="s">
        <v>496</v>
      </c>
      <c r="EW57" s="214" t="s">
        <v>70</v>
      </c>
      <c r="EX57" s="214" t="s">
        <v>530</v>
      </c>
      <c r="EZ57" s="214" t="s">
        <v>4207</v>
      </c>
      <c r="FA57" s="214" t="s">
        <v>935</v>
      </c>
      <c r="FB57" s="214" t="s">
        <v>70</v>
      </c>
      <c r="FC57" s="214" t="s">
        <v>530</v>
      </c>
      <c r="FE57" s="214" t="s">
        <v>4208</v>
      </c>
      <c r="FF57" s="214" t="s">
        <v>486</v>
      </c>
      <c r="FG57" s="214" t="s">
        <v>70</v>
      </c>
      <c r="FH57" s="214" t="s">
        <v>530</v>
      </c>
      <c r="FJ57" s="321" t="s">
        <v>4209</v>
      </c>
      <c r="FK57" s="214" t="s">
        <v>34575</v>
      </c>
      <c r="FL57" s="214" t="s">
        <v>70</v>
      </c>
      <c r="FM57" s="214" t="s">
        <v>530</v>
      </c>
      <c r="FO57" s="321" t="s">
        <v>4210</v>
      </c>
      <c r="FP57" s="214" t="s">
        <v>145</v>
      </c>
      <c r="FQ57" s="214" t="s">
        <v>70</v>
      </c>
      <c r="FR57" s="214" t="s">
        <v>530</v>
      </c>
      <c r="FT57" s="321" t="s">
        <v>4211</v>
      </c>
      <c r="FU57" s="214" t="s">
        <v>88</v>
      </c>
      <c r="FV57" s="214" t="s">
        <v>70</v>
      </c>
      <c r="FW57" s="214" t="s">
        <v>530</v>
      </c>
      <c r="FY57" s="321" t="s">
        <v>4212</v>
      </c>
      <c r="FZ57" s="214" t="s">
        <v>34590</v>
      </c>
      <c r="GA57" s="214" t="s">
        <v>70</v>
      </c>
      <c r="GB57" s="214" t="s">
        <v>530</v>
      </c>
      <c r="GD57" s="321" t="s">
        <v>4213</v>
      </c>
      <c r="GE57" s="214" t="s">
        <v>34548</v>
      </c>
      <c r="GF57" s="214" t="s">
        <v>70</v>
      </c>
      <c r="GG57" s="214" t="s">
        <v>530</v>
      </c>
      <c r="GI57" s="321" t="s">
        <v>4214</v>
      </c>
      <c r="GJ57" s="214" t="s">
        <v>956</v>
      </c>
      <c r="GK57" s="214" t="s">
        <v>70</v>
      </c>
      <c r="GL57" s="214" t="s">
        <v>530</v>
      </c>
      <c r="GN57" s="321" t="s">
        <v>4215</v>
      </c>
      <c r="GO57" s="214" t="s">
        <v>34580</v>
      </c>
      <c r="GP57" s="214" t="s">
        <v>70</v>
      </c>
      <c r="GQ57" s="214" t="s">
        <v>530</v>
      </c>
      <c r="GS57" s="321" t="s">
        <v>4216</v>
      </c>
      <c r="GT57" s="214" t="s">
        <v>599</v>
      </c>
      <c r="GU57" s="214" t="s">
        <v>70</v>
      </c>
      <c r="GV57" s="214" t="s">
        <v>530</v>
      </c>
      <c r="GX57" s="214" t="s">
        <v>4217</v>
      </c>
      <c r="GY57" s="214" t="s">
        <v>52</v>
      </c>
      <c r="GZ57" s="214" t="s">
        <v>70</v>
      </c>
      <c r="HA57" s="214" t="s">
        <v>530</v>
      </c>
      <c r="HC57" s="214" t="s">
        <v>4218</v>
      </c>
      <c r="HD57" s="214" t="s">
        <v>34583</v>
      </c>
      <c r="HE57" s="214" t="s">
        <v>70</v>
      </c>
      <c r="HF57" s="214" t="s">
        <v>530</v>
      </c>
      <c r="HH57" s="214" t="s">
        <v>4219</v>
      </c>
      <c r="HI57" s="214" t="s">
        <v>486</v>
      </c>
      <c r="HJ57" s="214" t="s">
        <v>70</v>
      </c>
      <c r="HK57" s="214" t="s">
        <v>530</v>
      </c>
      <c r="HM57" s="214" t="s">
        <v>4220</v>
      </c>
      <c r="HN57" s="214" t="s">
        <v>502</v>
      </c>
      <c r="HO57" s="214" t="s">
        <v>70</v>
      </c>
      <c r="HP57" s="214" t="s">
        <v>530</v>
      </c>
      <c r="HR57" s="22" t="s">
        <v>4221</v>
      </c>
      <c r="HS57" s="22" t="s">
        <v>206</v>
      </c>
      <c r="HT57" s="22" t="s">
        <v>70</v>
      </c>
      <c r="HU57" s="214" t="s">
        <v>530</v>
      </c>
      <c r="HW57" s="22" t="s">
        <v>4222</v>
      </c>
      <c r="HX57" s="22" t="s">
        <v>34544</v>
      </c>
      <c r="HY57" s="22" t="s">
        <v>70</v>
      </c>
      <c r="HZ57" s="214" t="s">
        <v>530</v>
      </c>
      <c r="IB57" s="22" t="s">
        <v>4223</v>
      </c>
      <c r="IC57" s="22" t="s">
        <v>484</v>
      </c>
      <c r="ID57" s="22" t="s">
        <v>70</v>
      </c>
      <c r="IE57" s="214" t="s">
        <v>530</v>
      </c>
      <c r="IG57" s="22" t="s">
        <v>4224</v>
      </c>
      <c r="IH57" s="22" t="s">
        <v>52</v>
      </c>
      <c r="II57" s="22" t="s">
        <v>70</v>
      </c>
      <c r="IJ57" s="214" t="s">
        <v>530</v>
      </c>
      <c r="IL57" s="22" t="s">
        <v>4225</v>
      </c>
      <c r="IM57" s="22" t="s">
        <v>145</v>
      </c>
      <c r="IN57" s="22" t="s">
        <v>70</v>
      </c>
      <c r="IO57" s="214" t="s">
        <v>530</v>
      </c>
      <c r="IQ57" s="236" t="s">
        <v>4226</v>
      </c>
      <c r="IR57" s="236" t="s">
        <v>145</v>
      </c>
      <c r="IS57" s="236" t="s">
        <v>74</v>
      </c>
      <c r="IT57" s="236" t="s">
        <v>841</v>
      </c>
      <c r="IV57" s="236" t="s">
        <v>4227</v>
      </c>
      <c r="IW57" s="236" t="s">
        <v>145</v>
      </c>
      <c r="IX57" s="236" t="s">
        <v>74</v>
      </c>
      <c r="IY57" s="236" t="s">
        <v>841</v>
      </c>
      <c r="JA57" s="236" t="s">
        <v>4228</v>
      </c>
      <c r="JB57" s="236" t="s">
        <v>145</v>
      </c>
      <c r="JC57" s="236" t="s">
        <v>74</v>
      </c>
      <c r="JD57" s="236" t="s">
        <v>841</v>
      </c>
      <c r="JF57" s="236" t="s">
        <v>4229</v>
      </c>
      <c r="JG57" s="236" t="s">
        <v>145</v>
      </c>
      <c r="JH57" s="236" t="s">
        <v>74</v>
      </c>
      <c r="JI57" s="236" t="s">
        <v>841</v>
      </c>
      <c r="JK57" s="236" t="s">
        <v>4230</v>
      </c>
      <c r="JL57" s="236" t="s">
        <v>145</v>
      </c>
      <c r="JM57" s="236" t="s">
        <v>74</v>
      </c>
      <c r="JN57" s="236" t="s">
        <v>841</v>
      </c>
      <c r="JP57" s="236" t="s">
        <v>4231</v>
      </c>
      <c r="JQ57" s="236" t="s">
        <v>145</v>
      </c>
      <c r="JR57" s="236" t="s">
        <v>74</v>
      </c>
      <c r="JS57" s="236" t="s">
        <v>841</v>
      </c>
      <c r="JU57" s="294" t="s">
        <v>4232</v>
      </c>
      <c r="JV57" s="294" t="str">
        <f>TVIIBE1M_CalPairs!$R66</f>
        <v>0x00</v>
      </c>
      <c r="JW57" s="218" t="s">
        <v>72</v>
      </c>
      <c r="JX57" s="294" t="str">
        <f>TVIIBE1M_CalPairs!$S66</f>
        <v>CPUSS_BOOT</v>
      </c>
      <c r="JZ57" s="263" t="s">
        <v>4233</v>
      </c>
      <c r="KA57" s="263" t="s">
        <v>145</v>
      </c>
      <c r="KB57" s="263" t="s">
        <v>70</v>
      </c>
      <c r="KC57" s="263" t="s">
        <v>1083</v>
      </c>
      <c r="KE57" s="263" t="s">
        <v>4234</v>
      </c>
      <c r="KF57" s="263" t="s">
        <v>52</v>
      </c>
      <c r="KG57" s="263" t="s">
        <v>70</v>
      </c>
      <c r="KH57" s="263" t="s">
        <v>1083</v>
      </c>
      <c r="KJ57" s="263" t="s">
        <v>4235</v>
      </c>
      <c r="KK57" s="263" t="s">
        <v>52</v>
      </c>
      <c r="KL57" s="263" t="s">
        <v>74</v>
      </c>
      <c r="KM57" s="263" t="s">
        <v>34074</v>
      </c>
      <c r="KO57" s="214" t="s">
        <v>4236</v>
      </c>
      <c r="KP57" s="218" t="s">
        <v>52</v>
      </c>
      <c r="KQ57" s="214" t="s">
        <v>70</v>
      </c>
      <c r="KR57" s="218" t="s">
        <v>34503</v>
      </c>
      <c r="KT57" s="22" t="s">
        <v>4237</v>
      </c>
      <c r="KU57" s="22" t="s">
        <v>145</v>
      </c>
      <c r="KV57" s="22" t="s">
        <v>70</v>
      </c>
      <c r="KW57" s="22" t="s">
        <v>67</v>
      </c>
      <c r="KY57" s="214" t="s">
        <v>4238</v>
      </c>
      <c r="KZ57" s="214" t="s">
        <v>52</v>
      </c>
      <c r="LA57" s="214" t="s">
        <v>74</v>
      </c>
      <c r="LB57" s="214" t="s">
        <v>67</v>
      </c>
      <c r="LD57" s="22" t="s">
        <v>4239</v>
      </c>
      <c r="LE57" s="22" t="s">
        <v>145</v>
      </c>
      <c r="LF57" s="22" t="s">
        <v>70</v>
      </c>
      <c r="LG57" s="22" t="s">
        <v>67</v>
      </c>
    </row>
    <row r="58" spans="1:319">
      <c r="A58" s="22" t="s">
        <v>4240</v>
      </c>
      <c r="B58" s="22" t="s">
        <v>145</v>
      </c>
      <c r="C58" s="22" t="s">
        <v>70</v>
      </c>
      <c r="D58" s="22" t="s">
        <v>67</v>
      </c>
      <c r="F58" s="23" t="s">
        <v>4241</v>
      </c>
      <c r="G58" s="23" t="str">
        <f>TVIIBE1M_CalPairs!$E55</f>
        <v>0x00</v>
      </c>
      <c r="H58" s="23" t="s">
        <v>72</v>
      </c>
      <c r="I58" s="23" t="str">
        <f>TVIIBE1M_CalPairs!$C55</f>
        <v>CLK_TRIM_ILO0_CTL_VAL3</v>
      </c>
      <c r="K58" s="22" t="s">
        <v>4242</v>
      </c>
      <c r="L58" s="22" t="s">
        <v>145</v>
      </c>
      <c r="M58" s="22" t="s">
        <v>70</v>
      </c>
      <c r="N58" s="22" t="s">
        <v>67</v>
      </c>
      <c r="P58" s="22" t="s">
        <v>4243</v>
      </c>
      <c r="Q58" s="22" t="s">
        <v>145</v>
      </c>
      <c r="R58" s="22" t="s">
        <v>70</v>
      </c>
      <c r="S58" s="22" t="s">
        <v>67</v>
      </c>
      <c r="U58" s="293" t="s">
        <v>4244</v>
      </c>
      <c r="V58" s="293" t="s">
        <v>145</v>
      </c>
      <c r="W58" s="293" t="s">
        <v>74</v>
      </c>
      <c r="X58" s="293" t="s">
        <v>656</v>
      </c>
      <c r="Z58" s="293" t="s">
        <v>4245</v>
      </c>
      <c r="AA58" s="293" t="s">
        <v>145</v>
      </c>
      <c r="AB58" s="293" t="s">
        <v>74</v>
      </c>
      <c r="AC58" s="293" t="s">
        <v>656</v>
      </c>
      <c r="AE58" s="293" t="s">
        <v>4246</v>
      </c>
      <c r="AF58" s="293" t="s">
        <v>145</v>
      </c>
      <c r="AG58" s="293" t="s">
        <v>74</v>
      </c>
      <c r="AH58" s="293" t="s">
        <v>656</v>
      </c>
      <c r="AJ58" s="293" t="s">
        <v>4247</v>
      </c>
      <c r="AK58" s="293" t="s">
        <v>145</v>
      </c>
      <c r="AL58" s="293" t="s">
        <v>74</v>
      </c>
      <c r="AM58" s="293" t="s">
        <v>656</v>
      </c>
      <c r="AO58" s="22" t="s">
        <v>4248</v>
      </c>
      <c r="AP58" s="22" t="s">
        <v>145</v>
      </c>
      <c r="AQ58" s="22" t="s">
        <v>70</v>
      </c>
      <c r="AR58" s="22" t="s">
        <v>67</v>
      </c>
      <c r="AT58" s="22" t="s">
        <v>4249</v>
      </c>
      <c r="AU58" s="22" t="s">
        <v>145</v>
      </c>
      <c r="AV58" s="22" t="s">
        <v>70</v>
      </c>
      <c r="AW58" s="22" t="s">
        <v>67</v>
      </c>
      <c r="AY58" s="22" t="s">
        <v>4250</v>
      </c>
      <c r="AZ58" s="22" t="s">
        <v>145</v>
      </c>
      <c r="BA58" s="22" t="s">
        <v>70</v>
      </c>
      <c r="BB58" s="22" t="s">
        <v>67</v>
      </c>
      <c r="BD58" s="22" t="s">
        <v>4251</v>
      </c>
      <c r="BE58" s="22" t="s">
        <v>145</v>
      </c>
      <c r="BF58" s="22" t="s">
        <v>70</v>
      </c>
      <c r="BG58" s="22" t="s">
        <v>67</v>
      </c>
      <c r="BI58" s="22" t="s">
        <v>4252</v>
      </c>
      <c r="BJ58" s="22" t="s">
        <v>145</v>
      </c>
      <c r="BK58" s="22" t="s">
        <v>70</v>
      </c>
      <c r="BL58" s="22" t="s">
        <v>67</v>
      </c>
      <c r="BN58" s="22" t="s">
        <v>4253</v>
      </c>
      <c r="BO58" s="22" t="s">
        <v>145</v>
      </c>
      <c r="BP58" s="22" t="s">
        <v>70</v>
      </c>
      <c r="BQ58" s="22" t="s">
        <v>67</v>
      </c>
      <c r="BS58" s="22" t="s">
        <v>4254</v>
      </c>
      <c r="BT58" s="22" t="s">
        <v>145</v>
      </c>
      <c r="BU58" s="22" t="s">
        <v>70</v>
      </c>
      <c r="BV58" s="214" t="s">
        <v>530</v>
      </c>
      <c r="BX58" s="22" t="s">
        <v>4255</v>
      </c>
      <c r="BY58" s="22" t="s">
        <v>145</v>
      </c>
      <c r="BZ58" s="22" t="s">
        <v>70</v>
      </c>
      <c r="CA58" s="214" t="s">
        <v>530</v>
      </c>
      <c r="CC58" s="214" t="s">
        <v>4256</v>
      </c>
      <c r="CD58" s="214" t="s">
        <v>501</v>
      </c>
      <c r="CE58" s="214" t="s">
        <v>70</v>
      </c>
      <c r="CF58" s="214" t="s">
        <v>530</v>
      </c>
      <c r="CH58" s="214" t="s">
        <v>4257</v>
      </c>
      <c r="CI58" s="214" t="s">
        <v>52</v>
      </c>
      <c r="CJ58" s="214" t="s">
        <v>70</v>
      </c>
      <c r="CK58" s="214" t="s">
        <v>530</v>
      </c>
      <c r="CM58" s="214" t="s">
        <v>4258</v>
      </c>
      <c r="CN58" s="214" t="s">
        <v>146</v>
      </c>
      <c r="CO58" s="214" t="s">
        <v>70</v>
      </c>
      <c r="CP58" s="214" t="s">
        <v>530</v>
      </c>
      <c r="CR58" s="214" t="s">
        <v>4259</v>
      </c>
      <c r="CS58" s="214" t="s">
        <v>211</v>
      </c>
      <c r="CT58" s="214" t="s">
        <v>70</v>
      </c>
      <c r="CU58" s="214" t="s">
        <v>530</v>
      </c>
      <c r="CW58" s="214" t="s">
        <v>4260</v>
      </c>
      <c r="CX58" s="214" t="s">
        <v>163</v>
      </c>
      <c r="CY58" s="214" t="s">
        <v>70</v>
      </c>
      <c r="CZ58" s="214" t="s">
        <v>530</v>
      </c>
      <c r="DB58" s="214" t="s">
        <v>4261</v>
      </c>
      <c r="DC58" s="214" t="s">
        <v>103</v>
      </c>
      <c r="DD58" s="214" t="s">
        <v>70</v>
      </c>
      <c r="DE58" s="214" t="s">
        <v>530</v>
      </c>
      <c r="DG58" s="214" t="s">
        <v>4262</v>
      </c>
      <c r="DH58" s="214" t="s">
        <v>655</v>
      </c>
      <c r="DI58" s="214" t="s">
        <v>70</v>
      </c>
      <c r="DJ58" s="214" t="s">
        <v>530</v>
      </c>
      <c r="DL58" s="214" t="s">
        <v>4263</v>
      </c>
      <c r="DM58" s="214" t="s">
        <v>34556</v>
      </c>
      <c r="DN58" s="214" t="s">
        <v>70</v>
      </c>
      <c r="DO58" s="214" t="s">
        <v>530</v>
      </c>
      <c r="DQ58" s="214" t="s">
        <v>4264</v>
      </c>
      <c r="DR58" s="214" t="s">
        <v>52</v>
      </c>
      <c r="DS58" s="214" t="s">
        <v>70</v>
      </c>
      <c r="DT58" s="214" t="s">
        <v>530</v>
      </c>
      <c r="DV58" s="214" t="s">
        <v>4265</v>
      </c>
      <c r="DW58" s="214" t="s">
        <v>148</v>
      </c>
      <c r="DX58" s="214" t="s">
        <v>70</v>
      </c>
      <c r="DY58" s="214" t="s">
        <v>530</v>
      </c>
      <c r="EA58" s="214" t="s">
        <v>4266</v>
      </c>
      <c r="EB58" s="214" t="s">
        <v>34564</v>
      </c>
      <c r="EC58" s="214" t="s">
        <v>70</v>
      </c>
      <c r="ED58" s="214" t="s">
        <v>530</v>
      </c>
      <c r="EF58" s="214" t="s">
        <v>4267</v>
      </c>
      <c r="EG58" s="214" t="s">
        <v>52</v>
      </c>
      <c r="EH58" s="214" t="s">
        <v>70</v>
      </c>
      <c r="EI58" s="214" t="s">
        <v>530</v>
      </c>
      <c r="EK58" s="214" t="s">
        <v>4268</v>
      </c>
      <c r="EL58" s="214" t="s">
        <v>145</v>
      </c>
      <c r="EM58" s="214" t="s">
        <v>70</v>
      </c>
      <c r="EN58" s="214" t="s">
        <v>530</v>
      </c>
      <c r="EP58" s="214" t="s">
        <v>4269</v>
      </c>
      <c r="EQ58" s="214" t="s">
        <v>148</v>
      </c>
      <c r="ER58" s="214" t="s">
        <v>70</v>
      </c>
      <c r="ES58" s="214" t="s">
        <v>530</v>
      </c>
      <c r="EU58" s="214" t="s">
        <v>4270</v>
      </c>
      <c r="EV58" s="214" t="s">
        <v>52</v>
      </c>
      <c r="EW58" s="214" t="s">
        <v>70</v>
      </c>
      <c r="EX58" s="214" t="s">
        <v>530</v>
      </c>
      <c r="EZ58" s="214" t="s">
        <v>4271</v>
      </c>
      <c r="FA58" s="214" t="s">
        <v>148</v>
      </c>
      <c r="FB58" s="214" t="s">
        <v>70</v>
      </c>
      <c r="FC58" s="214" t="s">
        <v>530</v>
      </c>
      <c r="FE58" s="214" t="s">
        <v>4272</v>
      </c>
      <c r="FF58" s="214" t="s">
        <v>52</v>
      </c>
      <c r="FG58" s="214" t="s">
        <v>70</v>
      </c>
      <c r="FH58" s="214" t="s">
        <v>530</v>
      </c>
      <c r="FJ58" s="321" t="s">
        <v>4273</v>
      </c>
      <c r="FK58" s="214" t="s">
        <v>497</v>
      </c>
      <c r="FL58" s="214" t="s">
        <v>70</v>
      </c>
      <c r="FM58" s="214" t="s">
        <v>530</v>
      </c>
      <c r="FO58" s="321" t="s">
        <v>4274</v>
      </c>
      <c r="FP58" s="214" t="s">
        <v>164</v>
      </c>
      <c r="FQ58" s="214" t="s">
        <v>70</v>
      </c>
      <c r="FR58" s="214" t="s">
        <v>530</v>
      </c>
      <c r="FT58" s="321" t="s">
        <v>4275</v>
      </c>
      <c r="FU58" s="214" t="s">
        <v>52</v>
      </c>
      <c r="FV58" s="214" t="s">
        <v>70</v>
      </c>
      <c r="FW58" s="214" t="s">
        <v>530</v>
      </c>
      <c r="FY58" s="321" t="s">
        <v>4276</v>
      </c>
      <c r="FZ58" s="214" t="s">
        <v>52</v>
      </c>
      <c r="GA58" s="214" t="s">
        <v>70</v>
      </c>
      <c r="GB58" s="214" t="s">
        <v>530</v>
      </c>
      <c r="GD58" s="321" t="s">
        <v>4277</v>
      </c>
      <c r="GE58" s="214" t="s">
        <v>601</v>
      </c>
      <c r="GF58" s="214" t="s">
        <v>70</v>
      </c>
      <c r="GG58" s="214" t="s">
        <v>530</v>
      </c>
      <c r="GI58" s="321" t="s">
        <v>4278</v>
      </c>
      <c r="GJ58" s="214" t="s">
        <v>34560</v>
      </c>
      <c r="GK58" s="214" t="s">
        <v>70</v>
      </c>
      <c r="GL58" s="214" t="s">
        <v>530</v>
      </c>
      <c r="GN58" s="321" t="s">
        <v>4279</v>
      </c>
      <c r="GO58" s="214" t="s">
        <v>164</v>
      </c>
      <c r="GP58" s="214" t="s">
        <v>70</v>
      </c>
      <c r="GQ58" s="214" t="s">
        <v>530</v>
      </c>
      <c r="GS58" s="321" t="s">
        <v>4280</v>
      </c>
      <c r="GT58" s="214" t="s">
        <v>148</v>
      </c>
      <c r="GU58" s="214" t="s">
        <v>70</v>
      </c>
      <c r="GV58" s="214" t="s">
        <v>530</v>
      </c>
      <c r="GX58" s="214" t="s">
        <v>4281</v>
      </c>
      <c r="GY58" s="214" t="s">
        <v>145</v>
      </c>
      <c r="GZ58" s="214" t="s">
        <v>70</v>
      </c>
      <c r="HA58" s="214" t="s">
        <v>530</v>
      </c>
      <c r="HC58" s="214" t="s">
        <v>4282</v>
      </c>
      <c r="HD58" s="214" t="s">
        <v>642</v>
      </c>
      <c r="HE58" s="214" t="s">
        <v>70</v>
      </c>
      <c r="HF58" s="214" t="s">
        <v>530</v>
      </c>
      <c r="HH58" s="214" t="s">
        <v>4283</v>
      </c>
      <c r="HI58" s="214" t="s">
        <v>641</v>
      </c>
      <c r="HJ58" s="214" t="s">
        <v>70</v>
      </c>
      <c r="HK58" s="214" t="s">
        <v>530</v>
      </c>
      <c r="HM58" s="214" t="s">
        <v>4284</v>
      </c>
      <c r="HN58" s="214" t="s">
        <v>468</v>
      </c>
      <c r="HO58" s="214" t="s">
        <v>70</v>
      </c>
      <c r="HP58" s="214" t="s">
        <v>530</v>
      </c>
      <c r="HR58" s="22" t="s">
        <v>4285</v>
      </c>
      <c r="HS58" s="22" t="s">
        <v>918</v>
      </c>
      <c r="HT58" s="22" t="s">
        <v>70</v>
      </c>
      <c r="HU58" s="214" t="s">
        <v>530</v>
      </c>
      <c r="HW58" s="22" t="s">
        <v>4286</v>
      </c>
      <c r="HX58" s="22" t="s">
        <v>163</v>
      </c>
      <c r="HY58" s="22" t="s">
        <v>70</v>
      </c>
      <c r="HZ58" s="214" t="s">
        <v>530</v>
      </c>
      <c r="IB58" s="22" t="s">
        <v>4287</v>
      </c>
      <c r="IC58" s="22" t="s">
        <v>916</v>
      </c>
      <c r="ID58" s="22" t="s">
        <v>70</v>
      </c>
      <c r="IE58" s="214" t="s">
        <v>530</v>
      </c>
      <c r="IG58" s="22" t="s">
        <v>4288</v>
      </c>
      <c r="IH58" s="22" t="s">
        <v>52</v>
      </c>
      <c r="II58" s="22" t="s">
        <v>70</v>
      </c>
      <c r="IJ58" s="214" t="s">
        <v>530</v>
      </c>
      <c r="IL58" s="22" t="s">
        <v>4289</v>
      </c>
      <c r="IM58" s="22" t="s">
        <v>145</v>
      </c>
      <c r="IN58" s="22" t="s">
        <v>70</v>
      </c>
      <c r="IO58" s="214" t="s">
        <v>530</v>
      </c>
      <c r="IQ58" s="236" t="s">
        <v>4290</v>
      </c>
      <c r="IR58" s="236" t="s">
        <v>145</v>
      </c>
      <c r="IS58" s="236" t="s">
        <v>74</v>
      </c>
      <c r="IT58" s="236" t="s">
        <v>841</v>
      </c>
      <c r="IV58" s="236" t="s">
        <v>4291</v>
      </c>
      <c r="IW58" s="236" t="s">
        <v>145</v>
      </c>
      <c r="IX58" s="236" t="s">
        <v>74</v>
      </c>
      <c r="IY58" s="236" t="s">
        <v>841</v>
      </c>
      <c r="JA58" s="236" t="s">
        <v>4292</v>
      </c>
      <c r="JB58" s="236" t="s">
        <v>145</v>
      </c>
      <c r="JC58" s="236" t="s">
        <v>74</v>
      </c>
      <c r="JD58" s="236" t="s">
        <v>841</v>
      </c>
      <c r="JF58" s="236" t="s">
        <v>4293</v>
      </c>
      <c r="JG58" s="236" t="s">
        <v>145</v>
      </c>
      <c r="JH58" s="236" t="s">
        <v>74</v>
      </c>
      <c r="JI58" s="236" t="s">
        <v>841</v>
      </c>
      <c r="JK58" s="236" t="s">
        <v>4294</v>
      </c>
      <c r="JL58" s="236" t="s">
        <v>145</v>
      </c>
      <c r="JM58" s="236" t="s">
        <v>74</v>
      </c>
      <c r="JN58" s="236" t="s">
        <v>841</v>
      </c>
      <c r="JP58" s="236" t="s">
        <v>4295</v>
      </c>
      <c r="JQ58" s="236" t="s">
        <v>145</v>
      </c>
      <c r="JR58" s="236" t="s">
        <v>74</v>
      </c>
      <c r="JS58" s="236" t="s">
        <v>841</v>
      </c>
      <c r="JU58" s="294" t="s">
        <v>4296</v>
      </c>
      <c r="JV58" s="294" t="str">
        <f>TVIIBE1M_CalPairs!$R67</f>
        <v>0xB5</v>
      </c>
      <c r="JW58" s="263" t="s">
        <v>70</v>
      </c>
      <c r="JX58" s="294" t="str">
        <f>TVIIBE1M_CalPairs!$Q67</f>
        <v>PPU1_SL_CONFIG</v>
      </c>
      <c r="JZ58" s="263" t="s">
        <v>4297</v>
      </c>
      <c r="KA58" s="263" t="s">
        <v>145</v>
      </c>
      <c r="KB58" s="263" t="s">
        <v>70</v>
      </c>
      <c r="KC58" s="263" t="s">
        <v>1083</v>
      </c>
      <c r="KE58" s="263" t="s">
        <v>4298</v>
      </c>
      <c r="KF58" s="263" t="s">
        <v>52</v>
      </c>
      <c r="KG58" s="263" t="s">
        <v>70</v>
      </c>
      <c r="KH58" s="263" t="s">
        <v>1083</v>
      </c>
      <c r="KJ58" s="263" t="s">
        <v>4299</v>
      </c>
      <c r="KK58" s="263" t="s">
        <v>52</v>
      </c>
      <c r="KL58" s="263" t="s">
        <v>74</v>
      </c>
      <c r="KM58" s="263" t="s">
        <v>34074</v>
      </c>
      <c r="KO58" s="214" t="s">
        <v>4300</v>
      </c>
      <c r="KP58" s="218" t="s">
        <v>52</v>
      </c>
      <c r="KQ58" s="214" t="s">
        <v>70</v>
      </c>
      <c r="KR58" s="218" t="s">
        <v>34503</v>
      </c>
      <c r="KT58" s="22" t="s">
        <v>4301</v>
      </c>
      <c r="KU58" s="22" t="s">
        <v>145</v>
      </c>
      <c r="KV58" s="22" t="s">
        <v>70</v>
      </c>
      <c r="KW58" s="22" t="s">
        <v>67</v>
      </c>
      <c r="KY58" s="214" t="s">
        <v>4302</v>
      </c>
      <c r="KZ58" s="214" t="s">
        <v>52</v>
      </c>
      <c r="LA58" s="214" t="s">
        <v>74</v>
      </c>
      <c r="LB58" s="214" t="s">
        <v>67</v>
      </c>
      <c r="LD58" s="22" t="s">
        <v>4303</v>
      </c>
      <c r="LE58" s="22" t="s">
        <v>145</v>
      </c>
      <c r="LF58" s="22" t="s">
        <v>70</v>
      </c>
      <c r="LG58" s="22" t="s">
        <v>67</v>
      </c>
    </row>
    <row r="59" spans="1:319">
      <c r="A59" s="22" t="s">
        <v>4304</v>
      </c>
      <c r="B59" s="22" t="s">
        <v>145</v>
      </c>
      <c r="C59" s="22" t="s">
        <v>70</v>
      </c>
      <c r="D59" s="22" t="s">
        <v>67</v>
      </c>
      <c r="F59" s="23" t="s">
        <v>4305</v>
      </c>
      <c r="G59" s="23" t="str">
        <f>TVIIBE1M_CalPairs!$E56</f>
        <v>0x50</v>
      </c>
      <c r="H59" s="23" t="s">
        <v>72</v>
      </c>
      <c r="I59" s="23" t="str">
        <f>TVIIBE1M_CalPairs!$C56</f>
        <v>PWR_TRIM_REF_CTL2_VAL0</v>
      </c>
      <c r="K59" s="22" t="s">
        <v>4306</v>
      </c>
      <c r="L59" s="22" t="s">
        <v>145</v>
      </c>
      <c r="M59" s="22" t="s">
        <v>70</v>
      </c>
      <c r="N59" s="22" t="s">
        <v>67</v>
      </c>
      <c r="P59" s="22" t="s">
        <v>4307</v>
      </c>
      <c r="Q59" s="22" t="s">
        <v>145</v>
      </c>
      <c r="R59" s="22" t="s">
        <v>70</v>
      </c>
      <c r="S59" s="22" t="s">
        <v>67</v>
      </c>
      <c r="U59" s="293" t="s">
        <v>4308</v>
      </c>
      <c r="V59" s="293" t="s">
        <v>145</v>
      </c>
      <c r="W59" s="293" t="s">
        <v>74</v>
      </c>
      <c r="X59" s="293" t="s">
        <v>656</v>
      </c>
      <c r="Z59" s="293" t="s">
        <v>4309</v>
      </c>
      <c r="AA59" s="293" t="s">
        <v>145</v>
      </c>
      <c r="AB59" s="293" t="s">
        <v>74</v>
      </c>
      <c r="AC59" s="293" t="s">
        <v>656</v>
      </c>
      <c r="AE59" s="293" t="s">
        <v>4310</v>
      </c>
      <c r="AF59" s="293" t="s">
        <v>145</v>
      </c>
      <c r="AG59" s="293" t="s">
        <v>74</v>
      </c>
      <c r="AH59" s="293" t="s">
        <v>656</v>
      </c>
      <c r="AJ59" s="293" t="s">
        <v>4311</v>
      </c>
      <c r="AK59" s="293" t="s">
        <v>145</v>
      </c>
      <c r="AL59" s="293" t="s">
        <v>74</v>
      </c>
      <c r="AM59" s="293" t="s">
        <v>656</v>
      </c>
      <c r="AO59" s="22" t="s">
        <v>4312</v>
      </c>
      <c r="AP59" s="22" t="s">
        <v>145</v>
      </c>
      <c r="AQ59" s="22" t="s">
        <v>70</v>
      </c>
      <c r="AR59" s="22" t="s">
        <v>67</v>
      </c>
      <c r="AT59" s="22" t="s">
        <v>4313</v>
      </c>
      <c r="AU59" s="22" t="s">
        <v>145</v>
      </c>
      <c r="AV59" s="22" t="s">
        <v>70</v>
      </c>
      <c r="AW59" s="22" t="s">
        <v>67</v>
      </c>
      <c r="AY59" s="22" t="s">
        <v>4314</v>
      </c>
      <c r="AZ59" s="22" t="s">
        <v>145</v>
      </c>
      <c r="BA59" s="22" t="s">
        <v>70</v>
      </c>
      <c r="BB59" s="22" t="s">
        <v>67</v>
      </c>
      <c r="BD59" s="22" t="s">
        <v>4315</v>
      </c>
      <c r="BE59" s="22" t="s">
        <v>145</v>
      </c>
      <c r="BF59" s="22" t="s">
        <v>70</v>
      </c>
      <c r="BG59" s="22" t="s">
        <v>67</v>
      </c>
      <c r="BI59" s="22" t="s">
        <v>4316</v>
      </c>
      <c r="BJ59" s="22" t="s">
        <v>145</v>
      </c>
      <c r="BK59" s="22" t="s">
        <v>70</v>
      </c>
      <c r="BL59" s="22" t="s">
        <v>67</v>
      </c>
      <c r="BN59" s="22" t="s">
        <v>4317</v>
      </c>
      <c r="BO59" s="22" t="s">
        <v>145</v>
      </c>
      <c r="BP59" s="22" t="s">
        <v>70</v>
      </c>
      <c r="BQ59" s="22" t="s">
        <v>67</v>
      </c>
      <c r="BS59" s="22" t="s">
        <v>4318</v>
      </c>
      <c r="BT59" s="22" t="s">
        <v>145</v>
      </c>
      <c r="BU59" s="22" t="s">
        <v>70</v>
      </c>
      <c r="BV59" s="214" t="s">
        <v>530</v>
      </c>
      <c r="BX59" s="22" t="s">
        <v>4319</v>
      </c>
      <c r="BY59" s="22" t="s">
        <v>145</v>
      </c>
      <c r="BZ59" s="22" t="s">
        <v>70</v>
      </c>
      <c r="CA59" s="214" t="s">
        <v>530</v>
      </c>
      <c r="CC59" s="214" t="s">
        <v>4320</v>
      </c>
      <c r="CD59" s="214" t="s">
        <v>929</v>
      </c>
      <c r="CE59" s="214" t="s">
        <v>70</v>
      </c>
      <c r="CF59" s="214" t="s">
        <v>530</v>
      </c>
      <c r="CH59" s="214" t="s">
        <v>4321</v>
      </c>
      <c r="CI59" s="214" t="s">
        <v>950</v>
      </c>
      <c r="CJ59" s="214" t="s">
        <v>70</v>
      </c>
      <c r="CK59" s="214" t="s">
        <v>530</v>
      </c>
      <c r="CM59" s="214" t="s">
        <v>4322</v>
      </c>
      <c r="CN59" s="214" t="s">
        <v>93</v>
      </c>
      <c r="CO59" s="214" t="s">
        <v>70</v>
      </c>
      <c r="CP59" s="214" t="s">
        <v>530</v>
      </c>
      <c r="CR59" s="214" t="s">
        <v>4323</v>
      </c>
      <c r="CS59" s="214" t="s">
        <v>488</v>
      </c>
      <c r="CT59" s="214" t="s">
        <v>70</v>
      </c>
      <c r="CU59" s="214" t="s">
        <v>530</v>
      </c>
      <c r="CW59" s="214" t="s">
        <v>4324</v>
      </c>
      <c r="CX59" s="214" t="s">
        <v>484</v>
      </c>
      <c r="CY59" s="214" t="s">
        <v>70</v>
      </c>
      <c r="CZ59" s="214" t="s">
        <v>530</v>
      </c>
      <c r="DB59" s="214" t="s">
        <v>4325</v>
      </c>
      <c r="DC59" s="214" t="s">
        <v>52</v>
      </c>
      <c r="DD59" s="214" t="s">
        <v>70</v>
      </c>
      <c r="DE59" s="214" t="s">
        <v>530</v>
      </c>
      <c r="DG59" s="214" t="s">
        <v>4326</v>
      </c>
      <c r="DH59" s="214" t="s">
        <v>600</v>
      </c>
      <c r="DI59" s="214" t="s">
        <v>70</v>
      </c>
      <c r="DJ59" s="214" t="s">
        <v>530</v>
      </c>
      <c r="DL59" s="214" t="s">
        <v>4327</v>
      </c>
      <c r="DM59" s="214" t="s">
        <v>34590</v>
      </c>
      <c r="DN59" s="214" t="s">
        <v>70</v>
      </c>
      <c r="DO59" s="214" t="s">
        <v>530</v>
      </c>
      <c r="DQ59" s="214" t="s">
        <v>4328</v>
      </c>
      <c r="DR59" s="214" t="s">
        <v>485</v>
      </c>
      <c r="DS59" s="214" t="s">
        <v>70</v>
      </c>
      <c r="DT59" s="214" t="s">
        <v>530</v>
      </c>
      <c r="DV59" s="214" t="s">
        <v>4329</v>
      </c>
      <c r="DW59" s="214" t="s">
        <v>146</v>
      </c>
      <c r="DX59" s="214" t="s">
        <v>70</v>
      </c>
      <c r="DY59" s="214" t="s">
        <v>530</v>
      </c>
      <c r="EA59" s="214" t="s">
        <v>4330</v>
      </c>
      <c r="EB59" s="214" t="s">
        <v>910</v>
      </c>
      <c r="EC59" s="214" t="s">
        <v>70</v>
      </c>
      <c r="ED59" s="214" t="s">
        <v>530</v>
      </c>
      <c r="EF59" s="214" t="s">
        <v>4331</v>
      </c>
      <c r="EG59" s="214" t="s">
        <v>52</v>
      </c>
      <c r="EH59" s="214" t="s">
        <v>70</v>
      </c>
      <c r="EI59" s="214" t="s">
        <v>530</v>
      </c>
      <c r="EK59" s="214" t="s">
        <v>4332</v>
      </c>
      <c r="EL59" s="214" t="s">
        <v>34541</v>
      </c>
      <c r="EM59" s="214" t="s">
        <v>70</v>
      </c>
      <c r="EN59" s="214" t="s">
        <v>530</v>
      </c>
      <c r="EP59" s="214" t="s">
        <v>4333</v>
      </c>
      <c r="EQ59" s="214" t="s">
        <v>34542</v>
      </c>
      <c r="ER59" s="214" t="s">
        <v>70</v>
      </c>
      <c r="ES59" s="214" t="s">
        <v>530</v>
      </c>
      <c r="EU59" s="214" t="s">
        <v>4334</v>
      </c>
      <c r="EV59" s="214" t="s">
        <v>52</v>
      </c>
      <c r="EW59" s="214" t="s">
        <v>70</v>
      </c>
      <c r="EX59" s="214" t="s">
        <v>530</v>
      </c>
      <c r="EZ59" s="214" t="s">
        <v>4335</v>
      </c>
      <c r="FA59" s="214" t="s">
        <v>488</v>
      </c>
      <c r="FB59" s="214" t="s">
        <v>70</v>
      </c>
      <c r="FC59" s="214" t="s">
        <v>530</v>
      </c>
      <c r="FE59" s="214" t="s">
        <v>4336</v>
      </c>
      <c r="FF59" s="214" t="s">
        <v>203</v>
      </c>
      <c r="FG59" s="214" t="s">
        <v>70</v>
      </c>
      <c r="FH59" s="214" t="s">
        <v>530</v>
      </c>
      <c r="FJ59" s="321" t="s">
        <v>4337</v>
      </c>
      <c r="FK59" s="214" t="s">
        <v>146</v>
      </c>
      <c r="FL59" s="214" t="s">
        <v>70</v>
      </c>
      <c r="FM59" s="214" t="s">
        <v>530</v>
      </c>
      <c r="FO59" s="321" t="s">
        <v>4338</v>
      </c>
      <c r="FP59" s="214" t="s">
        <v>468</v>
      </c>
      <c r="FQ59" s="214" t="s">
        <v>70</v>
      </c>
      <c r="FR59" s="214" t="s">
        <v>530</v>
      </c>
      <c r="FT59" s="321" t="s">
        <v>4339</v>
      </c>
      <c r="FU59" s="214" t="s">
        <v>88</v>
      </c>
      <c r="FV59" s="214" t="s">
        <v>70</v>
      </c>
      <c r="FW59" s="214" t="s">
        <v>530</v>
      </c>
      <c r="FY59" s="321" t="s">
        <v>4340</v>
      </c>
      <c r="FZ59" s="214" t="s">
        <v>485</v>
      </c>
      <c r="GA59" s="214" t="s">
        <v>70</v>
      </c>
      <c r="GB59" s="214" t="s">
        <v>530</v>
      </c>
      <c r="GD59" s="321" t="s">
        <v>4341</v>
      </c>
      <c r="GE59" s="214" t="s">
        <v>485</v>
      </c>
      <c r="GF59" s="214" t="s">
        <v>70</v>
      </c>
      <c r="GG59" s="214" t="s">
        <v>530</v>
      </c>
      <c r="GI59" s="321" t="s">
        <v>4342</v>
      </c>
      <c r="GJ59" s="214" t="s">
        <v>34550</v>
      </c>
      <c r="GK59" s="214" t="s">
        <v>70</v>
      </c>
      <c r="GL59" s="214" t="s">
        <v>530</v>
      </c>
      <c r="GN59" s="321" t="s">
        <v>4343</v>
      </c>
      <c r="GO59" s="214" t="s">
        <v>34571</v>
      </c>
      <c r="GP59" s="214" t="s">
        <v>70</v>
      </c>
      <c r="GQ59" s="214" t="s">
        <v>530</v>
      </c>
      <c r="GS59" s="321" t="s">
        <v>4344</v>
      </c>
      <c r="GT59" s="214" t="s">
        <v>502</v>
      </c>
      <c r="GU59" s="214" t="s">
        <v>70</v>
      </c>
      <c r="GV59" s="214" t="s">
        <v>530</v>
      </c>
      <c r="GX59" s="214" t="s">
        <v>4345</v>
      </c>
      <c r="GY59" s="214" t="s">
        <v>946</v>
      </c>
      <c r="GZ59" s="214" t="s">
        <v>70</v>
      </c>
      <c r="HA59" s="214" t="s">
        <v>530</v>
      </c>
      <c r="HC59" s="214" t="s">
        <v>4346</v>
      </c>
      <c r="HD59" s="214" t="s">
        <v>305</v>
      </c>
      <c r="HE59" s="214" t="s">
        <v>70</v>
      </c>
      <c r="HF59" s="214" t="s">
        <v>530</v>
      </c>
      <c r="HH59" s="214" t="s">
        <v>4347</v>
      </c>
      <c r="HI59" s="214" t="s">
        <v>488</v>
      </c>
      <c r="HJ59" s="214" t="s">
        <v>70</v>
      </c>
      <c r="HK59" s="214" t="s">
        <v>530</v>
      </c>
      <c r="HM59" s="214" t="s">
        <v>4348</v>
      </c>
      <c r="HN59" s="214" t="s">
        <v>52</v>
      </c>
      <c r="HO59" s="214" t="s">
        <v>70</v>
      </c>
      <c r="HP59" s="214" t="s">
        <v>530</v>
      </c>
      <c r="HR59" s="22" t="s">
        <v>4349</v>
      </c>
      <c r="HS59" s="22" t="s">
        <v>206</v>
      </c>
      <c r="HT59" s="22" t="s">
        <v>70</v>
      </c>
      <c r="HU59" s="214" t="s">
        <v>530</v>
      </c>
      <c r="HW59" s="22" t="s">
        <v>4350</v>
      </c>
      <c r="HX59" s="22" t="s">
        <v>955</v>
      </c>
      <c r="HY59" s="22" t="s">
        <v>70</v>
      </c>
      <c r="HZ59" s="214" t="s">
        <v>530</v>
      </c>
      <c r="IB59" s="22" t="s">
        <v>4351</v>
      </c>
      <c r="IC59" s="22" t="s">
        <v>146</v>
      </c>
      <c r="ID59" s="22" t="s">
        <v>70</v>
      </c>
      <c r="IE59" s="214" t="s">
        <v>530</v>
      </c>
      <c r="IG59" s="22" t="s">
        <v>4352</v>
      </c>
      <c r="IH59" s="22" t="s">
        <v>52</v>
      </c>
      <c r="II59" s="22" t="s">
        <v>70</v>
      </c>
      <c r="IJ59" s="214" t="s">
        <v>530</v>
      </c>
      <c r="IL59" s="22" t="s">
        <v>4353</v>
      </c>
      <c r="IM59" s="22" t="s">
        <v>145</v>
      </c>
      <c r="IN59" s="22" t="s">
        <v>70</v>
      </c>
      <c r="IO59" s="214" t="s">
        <v>530</v>
      </c>
      <c r="IQ59" s="236" t="s">
        <v>4354</v>
      </c>
      <c r="IR59" s="236" t="s">
        <v>145</v>
      </c>
      <c r="IS59" s="236" t="s">
        <v>74</v>
      </c>
      <c r="IT59" s="236" t="s">
        <v>841</v>
      </c>
      <c r="IV59" s="236" t="s">
        <v>4355</v>
      </c>
      <c r="IW59" s="236" t="s">
        <v>145</v>
      </c>
      <c r="IX59" s="236" t="s">
        <v>74</v>
      </c>
      <c r="IY59" s="236" t="s">
        <v>841</v>
      </c>
      <c r="JA59" s="236" t="s">
        <v>4356</v>
      </c>
      <c r="JB59" s="236" t="s">
        <v>145</v>
      </c>
      <c r="JC59" s="236" t="s">
        <v>74</v>
      </c>
      <c r="JD59" s="236" t="s">
        <v>841</v>
      </c>
      <c r="JF59" s="236" t="s">
        <v>4357</v>
      </c>
      <c r="JG59" s="236" t="s">
        <v>145</v>
      </c>
      <c r="JH59" s="236" t="s">
        <v>74</v>
      </c>
      <c r="JI59" s="236" t="s">
        <v>841</v>
      </c>
      <c r="JK59" s="236" t="s">
        <v>4358</v>
      </c>
      <c r="JL59" s="236" t="s">
        <v>145</v>
      </c>
      <c r="JM59" s="236" t="s">
        <v>74</v>
      </c>
      <c r="JN59" s="236" t="s">
        <v>841</v>
      </c>
      <c r="JP59" s="236" t="s">
        <v>4359</v>
      </c>
      <c r="JQ59" s="236" t="s">
        <v>145</v>
      </c>
      <c r="JR59" s="236" t="s">
        <v>74</v>
      </c>
      <c r="JS59" s="236" t="s">
        <v>841</v>
      </c>
      <c r="JU59" s="294" t="s">
        <v>4360</v>
      </c>
      <c r="JV59" s="294" t="str">
        <f>TVIIBE1M_CalPairs!$R68</f>
        <v>0x92</v>
      </c>
      <c r="JW59" s="263" t="s">
        <v>70</v>
      </c>
      <c r="JX59" s="294" t="str">
        <f>TVIIBE1M_CalPairs!$Q68</f>
        <v>PPU1_MS_CONFIG</v>
      </c>
      <c r="JZ59" s="263" t="s">
        <v>4361</v>
      </c>
      <c r="KA59" s="263" t="s">
        <v>145</v>
      </c>
      <c r="KB59" s="263" t="s">
        <v>70</v>
      </c>
      <c r="KC59" s="263" t="s">
        <v>1083</v>
      </c>
      <c r="KE59" s="263" t="s">
        <v>4362</v>
      </c>
      <c r="KF59" s="263" t="s">
        <v>52</v>
      </c>
      <c r="KG59" s="263" t="s">
        <v>70</v>
      </c>
      <c r="KH59" s="263" t="s">
        <v>1083</v>
      </c>
      <c r="KJ59" s="263" t="s">
        <v>4363</v>
      </c>
      <c r="KK59" s="263" t="s">
        <v>52</v>
      </c>
      <c r="KL59" s="263" t="s">
        <v>74</v>
      </c>
      <c r="KM59" s="263" t="s">
        <v>34074</v>
      </c>
      <c r="KO59" s="214" t="s">
        <v>4364</v>
      </c>
      <c r="KP59" s="218" t="s">
        <v>52</v>
      </c>
      <c r="KQ59" s="214" t="s">
        <v>70</v>
      </c>
      <c r="KR59" s="218" t="s">
        <v>34503</v>
      </c>
      <c r="KT59" s="22" t="s">
        <v>4365</v>
      </c>
      <c r="KU59" s="22" t="s">
        <v>145</v>
      </c>
      <c r="KV59" s="22" t="s">
        <v>70</v>
      </c>
      <c r="KW59" s="22" t="s">
        <v>67</v>
      </c>
      <c r="KY59" s="214" t="s">
        <v>4366</v>
      </c>
      <c r="KZ59" s="214" t="s">
        <v>52</v>
      </c>
      <c r="LA59" s="214" t="s">
        <v>74</v>
      </c>
      <c r="LB59" s="214" t="s">
        <v>67</v>
      </c>
      <c r="LD59" s="22" t="s">
        <v>4367</v>
      </c>
      <c r="LE59" s="22" t="s">
        <v>145</v>
      </c>
      <c r="LF59" s="22" t="s">
        <v>70</v>
      </c>
      <c r="LG59" s="22" t="s">
        <v>67</v>
      </c>
    </row>
    <row r="60" spans="1:319">
      <c r="A60" s="22" t="s">
        <v>4368</v>
      </c>
      <c r="B60" s="22" t="s">
        <v>145</v>
      </c>
      <c r="C60" s="22" t="s">
        <v>70</v>
      </c>
      <c r="D60" s="22" t="s">
        <v>67</v>
      </c>
      <c r="F60" s="23" t="s">
        <v>4369</v>
      </c>
      <c r="G60" s="23" t="str">
        <f>TVIIBE1M_CalPairs!$E57</f>
        <v>0x00</v>
      </c>
      <c r="H60" s="23" t="s">
        <v>72</v>
      </c>
      <c r="I60" s="23" t="str">
        <f>TVIIBE1M_CalPairs!$C57</f>
        <v>PWR_TRIM_REF_CTL2_VAL1</v>
      </c>
      <c r="K60" s="22" t="s">
        <v>4370</v>
      </c>
      <c r="L60" s="22" t="s">
        <v>145</v>
      </c>
      <c r="M60" s="22" t="s">
        <v>70</v>
      </c>
      <c r="N60" s="22" t="s">
        <v>67</v>
      </c>
      <c r="P60" s="22" t="s">
        <v>4371</v>
      </c>
      <c r="Q60" s="22" t="s">
        <v>145</v>
      </c>
      <c r="R60" s="22" t="s">
        <v>70</v>
      </c>
      <c r="S60" s="22" t="s">
        <v>67</v>
      </c>
      <c r="U60" s="293" t="s">
        <v>4372</v>
      </c>
      <c r="V60" s="293" t="s">
        <v>145</v>
      </c>
      <c r="W60" s="293" t="s">
        <v>74</v>
      </c>
      <c r="X60" s="293" t="s">
        <v>656</v>
      </c>
      <c r="Z60" s="293" t="s">
        <v>4373</v>
      </c>
      <c r="AA60" s="293" t="s">
        <v>145</v>
      </c>
      <c r="AB60" s="293" t="s">
        <v>74</v>
      </c>
      <c r="AC60" s="293" t="s">
        <v>656</v>
      </c>
      <c r="AE60" s="293" t="s">
        <v>4374</v>
      </c>
      <c r="AF60" s="293" t="s">
        <v>145</v>
      </c>
      <c r="AG60" s="293" t="s">
        <v>74</v>
      </c>
      <c r="AH60" s="293" t="s">
        <v>656</v>
      </c>
      <c r="AJ60" s="293" t="s">
        <v>4375</v>
      </c>
      <c r="AK60" s="293" t="s">
        <v>145</v>
      </c>
      <c r="AL60" s="293" t="s">
        <v>74</v>
      </c>
      <c r="AM60" s="293" t="s">
        <v>656</v>
      </c>
      <c r="AO60" s="22" t="s">
        <v>4376</v>
      </c>
      <c r="AP60" s="22" t="s">
        <v>145</v>
      </c>
      <c r="AQ60" s="22" t="s">
        <v>70</v>
      </c>
      <c r="AR60" s="22" t="s">
        <v>67</v>
      </c>
      <c r="AT60" s="22" t="s">
        <v>4377</v>
      </c>
      <c r="AU60" s="22" t="s">
        <v>145</v>
      </c>
      <c r="AV60" s="22" t="s">
        <v>70</v>
      </c>
      <c r="AW60" s="22" t="s">
        <v>67</v>
      </c>
      <c r="AY60" s="22" t="s">
        <v>4378</v>
      </c>
      <c r="AZ60" s="22" t="s">
        <v>145</v>
      </c>
      <c r="BA60" s="22" t="s">
        <v>70</v>
      </c>
      <c r="BB60" s="22" t="s">
        <v>67</v>
      </c>
      <c r="BD60" s="22" t="s">
        <v>4379</v>
      </c>
      <c r="BE60" s="22" t="s">
        <v>145</v>
      </c>
      <c r="BF60" s="22" t="s">
        <v>70</v>
      </c>
      <c r="BG60" s="22" t="s">
        <v>67</v>
      </c>
      <c r="BI60" s="22" t="s">
        <v>4380</v>
      </c>
      <c r="BJ60" s="22" t="s">
        <v>145</v>
      </c>
      <c r="BK60" s="22" t="s">
        <v>70</v>
      </c>
      <c r="BL60" s="22" t="s">
        <v>67</v>
      </c>
      <c r="BN60" s="22" t="s">
        <v>4381</v>
      </c>
      <c r="BO60" s="22" t="s">
        <v>145</v>
      </c>
      <c r="BP60" s="22" t="s">
        <v>70</v>
      </c>
      <c r="BQ60" s="22" t="s">
        <v>67</v>
      </c>
      <c r="BS60" s="22" t="s">
        <v>4382</v>
      </c>
      <c r="BT60" s="22" t="s">
        <v>145</v>
      </c>
      <c r="BU60" s="22" t="s">
        <v>70</v>
      </c>
      <c r="BV60" s="214" t="s">
        <v>530</v>
      </c>
      <c r="BX60" s="22" t="s">
        <v>4383</v>
      </c>
      <c r="BY60" s="22" t="s">
        <v>145</v>
      </c>
      <c r="BZ60" s="22" t="s">
        <v>70</v>
      </c>
      <c r="CA60" s="214" t="s">
        <v>530</v>
      </c>
      <c r="CC60" s="214" t="s">
        <v>4384</v>
      </c>
      <c r="CD60" s="214" t="s">
        <v>503</v>
      </c>
      <c r="CE60" s="214" t="s">
        <v>70</v>
      </c>
      <c r="CF60" s="214" t="s">
        <v>530</v>
      </c>
      <c r="CH60" s="214" t="s">
        <v>4385</v>
      </c>
      <c r="CI60" s="214" t="s">
        <v>205</v>
      </c>
      <c r="CJ60" s="214" t="s">
        <v>70</v>
      </c>
      <c r="CK60" s="214" t="s">
        <v>530</v>
      </c>
      <c r="CM60" s="214" t="s">
        <v>4386</v>
      </c>
      <c r="CN60" s="214" t="s">
        <v>34617</v>
      </c>
      <c r="CO60" s="214" t="s">
        <v>70</v>
      </c>
      <c r="CP60" s="214" t="s">
        <v>530</v>
      </c>
      <c r="CR60" s="214" t="s">
        <v>4387</v>
      </c>
      <c r="CS60" s="214" t="s">
        <v>149</v>
      </c>
      <c r="CT60" s="214" t="s">
        <v>70</v>
      </c>
      <c r="CU60" s="214" t="s">
        <v>530</v>
      </c>
      <c r="CW60" s="214" t="s">
        <v>4388</v>
      </c>
      <c r="CX60" s="214" t="s">
        <v>599</v>
      </c>
      <c r="CY60" s="214" t="s">
        <v>70</v>
      </c>
      <c r="CZ60" s="214" t="s">
        <v>530</v>
      </c>
      <c r="DB60" s="214" t="s">
        <v>4389</v>
      </c>
      <c r="DC60" s="214" t="s">
        <v>34623</v>
      </c>
      <c r="DD60" s="214" t="s">
        <v>70</v>
      </c>
      <c r="DE60" s="214" t="s">
        <v>530</v>
      </c>
      <c r="DG60" s="214" t="s">
        <v>4390</v>
      </c>
      <c r="DH60" s="214" t="s">
        <v>85</v>
      </c>
      <c r="DI60" s="214" t="s">
        <v>70</v>
      </c>
      <c r="DJ60" s="214" t="s">
        <v>530</v>
      </c>
      <c r="DL60" s="214" t="s">
        <v>4391</v>
      </c>
      <c r="DM60" s="214" t="s">
        <v>103</v>
      </c>
      <c r="DN60" s="214" t="s">
        <v>70</v>
      </c>
      <c r="DO60" s="214" t="s">
        <v>530</v>
      </c>
      <c r="DQ60" s="214" t="s">
        <v>4392</v>
      </c>
      <c r="DR60" s="214" t="s">
        <v>163</v>
      </c>
      <c r="DS60" s="214" t="s">
        <v>70</v>
      </c>
      <c r="DT60" s="214" t="s">
        <v>530</v>
      </c>
      <c r="DV60" s="214" t="s">
        <v>4393</v>
      </c>
      <c r="DW60" s="214" t="s">
        <v>915</v>
      </c>
      <c r="DX60" s="214" t="s">
        <v>70</v>
      </c>
      <c r="DY60" s="214" t="s">
        <v>530</v>
      </c>
      <c r="EA60" s="214" t="s">
        <v>4394</v>
      </c>
      <c r="EB60" s="214" t="s">
        <v>34575</v>
      </c>
      <c r="EC60" s="214" t="s">
        <v>70</v>
      </c>
      <c r="ED60" s="214" t="s">
        <v>530</v>
      </c>
      <c r="EF60" s="214" t="s">
        <v>4395</v>
      </c>
      <c r="EG60" s="214" t="s">
        <v>145</v>
      </c>
      <c r="EH60" s="214" t="s">
        <v>70</v>
      </c>
      <c r="EI60" s="214" t="s">
        <v>530</v>
      </c>
      <c r="EK60" s="214" t="s">
        <v>4396</v>
      </c>
      <c r="EL60" s="214" t="s">
        <v>929</v>
      </c>
      <c r="EM60" s="214" t="s">
        <v>70</v>
      </c>
      <c r="EN60" s="214" t="s">
        <v>530</v>
      </c>
      <c r="EP60" s="214" t="s">
        <v>4397</v>
      </c>
      <c r="EQ60" s="214" t="s">
        <v>85</v>
      </c>
      <c r="ER60" s="214" t="s">
        <v>70</v>
      </c>
      <c r="ES60" s="214" t="s">
        <v>530</v>
      </c>
      <c r="EU60" s="214" t="s">
        <v>4398</v>
      </c>
      <c r="EV60" s="214" t="s">
        <v>34578</v>
      </c>
      <c r="EW60" s="214" t="s">
        <v>70</v>
      </c>
      <c r="EX60" s="214" t="s">
        <v>530</v>
      </c>
      <c r="EZ60" s="214" t="s">
        <v>4399</v>
      </c>
      <c r="FA60" s="214" t="s">
        <v>305</v>
      </c>
      <c r="FB60" s="214" t="s">
        <v>70</v>
      </c>
      <c r="FC60" s="214" t="s">
        <v>530</v>
      </c>
      <c r="FE60" s="214" t="s">
        <v>4400</v>
      </c>
      <c r="FF60" s="214" t="s">
        <v>496</v>
      </c>
      <c r="FG60" s="214" t="s">
        <v>70</v>
      </c>
      <c r="FH60" s="214" t="s">
        <v>530</v>
      </c>
      <c r="FJ60" s="321" t="s">
        <v>4401</v>
      </c>
      <c r="FK60" s="214" t="s">
        <v>203</v>
      </c>
      <c r="FL60" s="214" t="s">
        <v>70</v>
      </c>
      <c r="FM60" s="214" t="s">
        <v>530</v>
      </c>
      <c r="FO60" s="321" t="s">
        <v>4402</v>
      </c>
      <c r="FP60" s="214" t="s">
        <v>468</v>
      </c>
      <c r="FQ60" s="214" t="s">
        <v>70</v>
      </c>
      <c r="FR60" s="214" t="s">
        <v>530</v>
      </c>
      <c r="FT60" s="321" t="s">
        <v>4403</v>
      </c>
      <c r="FU60" s="214" t="s">
        <v>90</v>
      </c>
      <c r="FV60" s="214" t="s">
        <v>70</v>
      </c>
      <c r="FW60" s="214" t="s">
        <v>530</v>
      </c>
      <c r="FY60" s="321" t="s">
        <v>4404</v>
      </c>
      <c r="FZ60" s="214" t="s">
        <v>87</v>
      </c>
      <c r="GA60" s="214" t="s">
        <v>70</v>
      </c>
      <c r="GB60" s="214" t="s">
        <v>530</v>
      </c>
      <c r="GD60" s="321" t="s">
        <v>4405</v>
      </c>
      <c r="GE60" s="214" t="s">
        <v>917</v>
      </c>
      <c r="GF60" s="214" t="s">
        <v>70</v>
      </c>
      <c r="GG60" s="214" t="s">
        <v>530</v>
      </c>
      <c r="GI60" s="321" t="s">
        <v>4406</v>
      </c>
      <c r="GJ60" s="214" t="s">
        <v>52</v>
      </c>
      <c r="GK60" s="214" t="s">
        <v>70</v>
      </c>
      <c r="GL60" s="214" t="s">
        <v>530</v>
      </c>
      <c r="GN60" s="321" t="s">
        <v>4407</v>
      </c>
      <c r="GO60" s="214" t="s">
        <v>942</v>
      </c>
      <c r="GP60" s="214" t="s">
        <v>70</v>
      </c>
      <c r="GQ60" s="214" t="s">
        <v>530</v>
      </c>
      <c r="GS60" s="321" t="s">
        <v>4408</v>
      </c>
      <c r="GT60" s="214" t="s">
        <v>485</v>
      </c>
      <c r="GU60" s="214" t="s">
        <v>70</v>
      </c>
      <c r="GV60" s="214" t="s">
        <v>530</v>
      </c>
      <c r="GX60" s="214" t="s">
        <v>4409</v>
      </c>
      <c r="GY60" s="214" t="s">
        <v>34553</v>
      </c>
      <c r="GZ60" s="214" t="s">
        <v>70</v>
      </c>
      <c r="HA60" s="214" t="s">
        <v>530</v>
      </c>
      <c r="HC60" s="214" t="s">
        <v>4410</v>
      </c>
      <c r="HD60" s="214" t="s">
        <v>490</v>
      </c>
      <c r="HE60" s="214" t="s">
        <v>70</v>
      </c>
      <c r="HF60" s="214" t="s">
        <v>530</v>
      </c>
      <c r="HH60" s="214" t="s">
        <v>4411</v>
      </c>
      <c r="HI60" s="214" t="s">
        <v>501</v>
      </c>
      <c r="HJ60" s="214" t="s">
        <v>70</v>
      </c>
      <c r="HK60" s="214" t="s">
        <v>530</v>
      </c>
      <c r="HM60" s="214" t="s">
        <v>4412</v>
      </c>
      <c r="HN60" s="214" t="s">
        <v>145</v>
      </c>
      <c r="HO60" s="214" t="s">
        <v>70</v>
      </c>
      <c r="HP60" s="214" t="s">
        <v>530</v>
      </c>
      <c r="HR60" s="22" t="s">
        <v>4413</v>
      </c>
      <c r="HS60" s="22" t="s">
        <v>52</v>
      </c>
      <c r="HT60" s="22" t="s">
        <v>70</v>
      </c>
      <c r="HU60" s="214" t="s">
        <v>530</v>
      </c>
      <c r="HW60" s="22" t="s">
        <v>4414</v>
      </c>
      <c r="HX60" s="22" t="s">
        <v>34516</v>
      </c>
      <c r="HY60" s="22" t="s">
        <v>70</v>
      </c>
      <c r="HZ60" s="214" t="s">
        <v>530</v>
      </c>
      <c r="IB60" s="22" t="s">
        <v>4415</v>
      </c>
      <c r="IC60" s="22" t="s">
        <v>655</v>
      </c>
      <c r="ID60" s="22" t="s">
        <v>70</v>
      </c>
      <c r="IE60" s="214" t="s">
        <v>530</v>
      </c>
      <c r="IG60" s="22" t="s">
        <v>4416</v>
      </c>
      <c r="IH60" s="22" t="s">
        <v>52</v>
      </c>
      <c r="II60" s="22" t="s">
        <v>70</v>
      </c>
      <c r="IJ60" s="214" t="s">
        <v>530</v>
      </c>
      <c r="IL60" s="22" t="s">
        <v>4417</v>
      </c>
      <c r="IM60" s="22" t="s">
        <v>145</v>
      </c>
      <c r="IN60" s="22" t="s">
        <v>70</v>
      </c>
      <c r="IO60" s="214" t="s">
        <v>530</v>
      </c>
      <c r="IQ60" s="236" t="s">
        <v>4418</v>
      </c>
      <c r="IR60" s="236" t="s">
        <v>145</v>
      </c>
      <c r="IS60" s="236" t="s">
        <v>74</v>
      </c>
      <c r="IT60" s="236" t="s">
        <v>841</v>
      </c>
      <c r="IV60" s="236" t="s">
        <v>4419</v>
      </c>
      <c r="IW60" s="236" t="s">
        <v>145</v>
      </c>
      <c r="IX60" s="236" t="s">
        <v>74</v>
      </c>
      <c r="IY60" s="236" t="s">
        <v>841</v>
      </c>
      <c r="JA60" s="236" t="s">
        <v>4420</v>
      </c>
      <c r="JB60" s="236" t="s">
        <v>145</v>
      </c>
      <c r="JC60" s="236" t="s">
        <v>74</v>
      </c>
      <c r="JD60" s="236" t="s">
        <v>841</v>
      </c>
      <c r="JF60" s="236" t="s">
        <v>4421</v>
      </c>
      <c r="JG60" s="236" t="s">
        <v>145</v>
      </c>
      <c r="JH60" s="236" t="s">
        <v>74</v>
      </c>
      <c r="JI60" s="236" t="s">
        <v>841</v>
      </c>
      <c r="JK60" s="236" t="s">
        <v>4422</v>
      </c>
      <c r="JL60" s="236" t="s">
        <v>145</v>
      </c>
      <c r="JM60" s="236" t="s">
        <v>74</v>
      </c>
      <c r="JN60" s="236" t="s">
        <v>841</v>
      </c>
      <c r="JP60" s="236" t="s">
        <v>4423</v>
      </c>
      <c r="JQ60" s="236" t="s">
        <v>145</v>
      </c>
      <c r="JR60" s="236" t="s">
        <v>74</v>
      </c>
      <c r="JS60" s="236" t="s">
        <v>841</v>
      </c>
      <c r="JU60" s="294" t="s">
        <v>4424</v>
      </c>
      <c r="JV60" s="294" t="str">
        <f>TVIIBE1M_CalPairs!$R69</f>
        <v>0x36</v>
      </c>
      <c r="JW60" s="218" t="s">
        <v>72</v>
      </c>
      <c r="JX60" s="294" t="str">
        <f>TVIIBE1M_CalPairs!$S69</f>
        <v>FLASHC_FlashMgmt</v>
      </c>
      <c r="JZ60" s="263" t="s">
        <v>4425</v>
      </c>
      <c r="KA60" s="263" t="s">
        <v>145</v>
      </c>
      <c r="KB60" s="263" t="s">
        <v>70</v>
      </c>
      <c r="KC60" s="263" t="s">
        <v>1083</v>
      </c>
      <c r="KE60" s="263" t="s">
        <v>4426</v>
      </c>
      <c r="KF60" s="263" t="s">
        <v>52</v>
      </c>
      <c r="KG60" s="263" t="s">
        <v>70</v>
      </c>
      <c r="KH60" s="263" t="s">
        <v>1083</v>
      </c>
      <c r="KJ60" s="263" t="s">
        <v>4427</v>
      </c>
      <c r="KK60" s="263" t="s">
        <v>52</v>
      </c>
      <c r="KL60" s="263" t="s">
        <v>74</v>
      </c>
      <c r="KM60" s="263" t="s">
        <v>34074</v>
      </c>
      <c r="KO60" s="214" t="s">
        <v>4428</v>
      </c>
      <c r="KP60" s="214" t="s">
        <v>145</v>
      </c>
      <c r="KQ60" s="214" t="s">
        <v>70</v>
      </c>
      <c r="KR60" s="214" t="s">
        <v>67</v>
      </c>
      <c r="KT60" s="22" t="s">
        <v>4429</v>
      </c>
      <c r="KU60" s="22" t="s">
        <v>145</v>
      </c>
      <c r="KV60" s="22" t="s">
        <v>70</v>
      </c>
      <c r="KW60" s="22" t="s">
        <v>67</v>
      </c>
      <c r="KY60" s="214" t="s">
        <v>4430</v>
      </c>
      <c r="KZ60" s="214" t="s">
        <v>52</v>
      </c>
      <c r="LA60" s="214" t="s">
        <v>74</v>
      </c>
      <c r="LB60" s="214" t="s">
        <v>67</v>
      </c>
      <c r="LD60" s="22" t="s">
        <v>4431</v>
      </c>
      <c r="LE60" s="22" t="s">
        <v>145</v>
      </c>
      <c r="LF60" s="22" t="s">
        <v>70</v>
      </c>
      <c r="LG60" s="22" t="s">
        <v>67</v>
      </c>
    </row>
    <row r="61" spans="1:319">
      <c r="A61" s="22" t="s">
        <v>4432</v>
      </c>
      <c r="B61" s="22" t="s">
        <v>145</v>
      </c>
      <c r="C61" s="22" t="s">
        <v>70</v>
      </c>
      <c r="D61" s="22" t="s">
        <v>67</v>
      </c>
      <c r="F61" s="23" t="s">
        <v>4433</v>
      </c>
      <c r="G61" s="23" t="str">
        <f>TVIIBE1M_CalPairs!$E58</f>
        <v>0x00</v>
      </c>
      <c r="H61" s="23" t="s">
        <v>72</v>
      </c>
      <c r="I61" s="23" t="str">
        <f>TVIIBE1M_CalPairs!$C58</f>
        <v>PWR_TRIM_REF_CTL2_VAL2</v>
      </c>
      <c r="K61" s="22" t="s">
        <v>4434</v>
      </c>
      <c r="L61" s="22" t="s">
        <v>145</v>
      </c>
      <c r="M61" s="22" t="s">
        <v>70</v>
      </c>
      <c r="N61" s="22" t="s">
        <v>67</v>
      </c>
      <c r="P61" s="22" t="s">
        <v>4435</v>
      </c>
      <c r="Q61" s="22" t="s">
        <v>145</v>
      </c>
      <c r="R61" s="22" t="s">
        <v>70</v>
      </c>
      <c r="S61" s="22" t="s">
        <v>67</v>
      </c>
      <c r="U61" s="293" t="s">
        <v>4436</v>
      </c>
      <c r="V61" s="293" t="s">
        <v>145</v>
      </c>
      <c r="W61" s="293" t="s">
        <v>74</v>
      </c>
      <c r="X61" s="293" t="s">
        <v>656</v>
      </c>
      <c r="Z61" s="293" t="s">
        <v>4437</v>
      </c>
      <c r="AA61" s="293" t="s">
        <v>145</v>
      </c>
      <c r="AB61" s="293" t="s">
        <v>74</v>
      </c>
      <c r="AC61" s="293" t="s">
        <v>656</v>
      </c>
      <c r="AE61" s="293" t="s">
        <v>4438</v>
      </c>
      <c r="AF61" s="293" t="s">
        <v>145</v>
      </c>
      <c r="AG61" s="293" t="s">
        <v>74</v>
      </c>
      <c r="AH61" s="293" t="s">
        <v>656</v>
      </c>
      <c r="AJ61" s="293" t="s">
        <v>4439</v>
      </c>
      <c r="AK61" s="293" t="s">
        <v>145</v>
      </c>
      <c r="AL61" s="293" t="s">
        <v>74</v>
      </c>
      <c r="AM61" s="293" t="s">
        <v>656</v>
      </c>
      <c r="AO61" s="22" t="s">
        <v>4440</v>
      </c>
      <c r="AP61" s="22" t="s">
        <v>145</v>
      </c>
      <c r="AQ61" s="22" t="s">
        <v>70</v>
      </c>
      <c r="AR61" s="22" t="s">
        <v>67</v>
      </c>
      <c r="AT61" s="22" t="s">
        <v>4441</v>
      </c>
      <c r="AU61" s="22" t="s">
        <v>145</v>
      </c>
      <c r="AV61" s="22" t="s">
        <v>70</v>
      </c>
      <c r="AW61" s="22" t="s">
        <v>67</v>
      </c>
      <c r="AY61" s="22" t="s">
        <v>4442</v>
      </c>
      <c r="AZ61" s="22" t="s">
        <v>145</v>
      </c>
      <c r="BA61" s="22" t="s">
        <v>70</v>
      </c>
      <c r="BB61" s="22" t="s">
        <v>67</v>
      </c>
      <c r="BD61" s="22" t="s">
        <v>4443</v>
      </c>
      <c r="BE61" s="22" t="s">
        <v>145</v>
      </c>
      <c r="BF61" s="22" t="s">
        <v>70</v>
      </c>
      <c r="BG61" s="22" t="s">
        <v>67</v>
      </c>
      <c r="BI61" s="22" t="s">
        <v>4444</v>
      </c>
      <c r="BJ61" s="22" t="s">
        <v>145</v>
      </c>
      <c r="BK61" s="22" t="s">
        <v>70</v>
      </c>
      <c r="BL61" s="22" t="s">
        <v>67</v>
      </c>
      <c r="BN61" s="22" t="s">
        <v>4445</v>
      </c>
      <c r="BO61" s="22" t="s">
        <v>145</v>
      </c>
      <c r="BP61" s="22" t="s">
        <v>70</v>
      </c>
      <c r="BQ61" s="22" t="s">
        <v>67</v>
      </c>
      <c r="BS61" s="22" t="s">
        <v>4446</v>
      </c>
      <c r="BT61" s="22" t="s">
        <v>145</v>
      </c>
      <c r="BU61" s="22" t="s">
        <v>70</v>
      </c>
      <c r="BV61" s="214" t="s">
        <v>530</v>
      </c>
      <c r="BX61" s="22" t="s">
        <v>4447</v>
      </c>
      <c r="BY61" s="22" t="s">
        <v>145</v>
      </c>
      <c r="BZ61" s="22" t="s">
        <v>70</v>
      </c>
      <c r="CA61" s="214" t="s">
        <v>530</v>
      </c>
      <c r="CC61" s="214" t="s">
        <v>4448</v>
      </c>
      <c r="CD61" s="214" t="s">
        <v>34542</v>
      </c>
      <c r="CE61" s="214" t="s">
        <v>70</v>
      </c>
      <c r="CF61" s="214" t="s">
        <v>530</v>
      </c>
      <c r="CH61" s="214" t="s">
        <v>4449</v>
      </c>
      <c r="CI61" s="214" t="s">
        <v>34558</v>
      </c>
      <c r="CJ61" s="214" t="s">
        <v>70</v>
      </c>
      <c r="CK61" s="214" t="s">
        <v>530</v>
      </c>
      <c r="CM61" s="214" t="s">
        <v>4450</v>
      </c>
      <c r="CN61" s="214" t="s">
        <v>502</v>
      </c>
      <c r="CO61" s="214" t="s">
        <v>70</v>
      </c>
      <c r="CP61" s="214" t="s">
        <v>530</v>
      </c>
      <c r="CR61" s="214" t="s">
        <v>4451</v>
      </c>
      <c r="CS61" s="214" t="s">
        <v>484</v>
      </c>
      <c r="CT61" s="214" t="s">
        <v>70</v>
      </c>
      <c r="CU61" s="214" t="s">
        <v>530</v>
      </c>
      <c r="CW61" s="214" t="s">
        <v>4452</v>
      </c>
      <c r="CX61" s="214" t="s">
        <v>146</v>
      </c>
      <c r="CY61" s="214" t="s">
        <v>70</v>
      </c>
      <c r="CZ61" s="214" t="s">
        <v>530</v>
      </c>
      <c r="DB61" s="214" t="s">
        <v>4453</v>
      </c>
      <c r="DC61" s="214" t="s">
        <v>491</v>
      </c>
      <c r="DD61" s="214" t="s">
        <v>70</v>
      </c>
      <c r="DE61" s="214" t="s">
        <v>530</v>
      </c>
      <c r="DG61" s="214" t="s">
        <v>4454</v>
      </c>
      <c r="DH61" s="214" t="s">
        <v>518</v>
      </c>
      <c r="DI61" s="214" t="s">
        <v>70</v>
      </c>
      <c r="DJ61" s="214" t="s">
        <v>530</v>
      </c>
      <c r="DL61" s="214" t="s">
        <v>4455</v>
      </c>
      <c r="DM61" s="214" t="s">
        <v>34562</v>
      </c>
      <c r="DN61" s="214" t="s">
        <v>70</v>
      </c>
      <c r="DO61" s="214" t="s">
        <v>530</v>
      </c>
      <c r="DQ61" s="214" t="s">
        <v>4456</v>
      </c>
      <c r="DR61" s="214" t="s">
        <v>34544</v>
      </c>
      <c r="DS61" s="214" t="s">
        <v>70</v>
      </c>
      <c r="DT61" s="214" t="s">
        <v>530</v>
      </c>
      <c r="DV61" s="214" t="s">
        <v>4457</v>
      </c>
      <c r="DW61" s="214" t="s">
        <v>486</v>
      </c>
      <c r="DX61" s="214" t="s">
        <v>70</v>
      </c>
      <c r="DY61" s="214" t="s">
        <v>530</v>
      </c>
      <c r="EA61" s="214" t="s">
        <v>4458</v>
      </c>
      <c r="EB61" s="214" t="s">
        <v>85</v>
      </c>
      <c r="EC61" s="214" t="s">
        <v>70</v>
      </c>
      <c r="ED61" s="214" t="s">
        <v>530</v>
      </c>
      <c r="EF61" s="214" t="s">
        <v>4459</v>
      </c>
      <c r="EG61" s="214" t="s">
        <v>145</v>
      </c>
      <c r="EH61" s="214" t="s">
        <v>70</v>
      </c>
      <c r="EI61" s="214" t="s">
        <v>530</v>
      </c>
      <c r="EK61" s="214" t="s">
        <v>4460</v>
      </c>
      <c r="EL61" s="214" t="s">
        <v>145</v>
      </c>
      <c r="EM61" s="214" t="s">
        <v>70</v>
      </c>
      <c r="EN61" s="214" t="s">
        <v>530</v>
      </c>
      <c r="EP61" s="214" t="s">
        <v>4461</v>
      </c>
      <c r="EQ61" s="214" t="s">
        <v>599</v>
      </c>
      <c r="ER61" s="214" t="s">
        <v>70</v>
      </c>
      <c r="ES61" s="214" t="s">
        <v>530</v>
      </c>
      <c r="EU61" s="214" t="s">
        <v>4462</v>
      </c>
      <c r="EV61" s="214" t="s">
        <v>468</v>
      </c>
      <c r="EW61" s="214" t="s">
        <v>70</v>
      </c>
      <c r="EX61" s="214" t="s">
        <v>530</v>
      </c>
      <c r="EZ61" s="214" t="s">
        <v>4463</v>
      </c>
      <c r="FA61" s="214" t="s">
        <v>488</v>
      </c>
      <c r="FB61" s="214" t="s">
        <v>70</v>
      </c>
      <c r="FC61" s="214" t="s">
        <v>530</v>
      </c>
      <c r="FE61" s="214" t="s">
        <v>4464</v>
      </c>
      <c r="FF61" s="214" t="s">
        <v>490</v>
      </c>
      <c r="FG61" s="214" t="s">
        <v>70</v>
      </c>
      <c r="FH61" s="214" t="s">
        <v>530</v>
      </c>
      <c r="FJ61" s="321" t="s">
        <v>4465</v>
      </c>
      <c r="FK61" s="214" t="s">
        <v>482</v>
      </c>
      <c r="FL61" s="214" t="s">
        <v>70</v>
      </c>
      <c r="FM61" s="214" t="s">
        <v>530</v>
      </c>
      <c r="FO61" s="321" t="s">
        <v>4466</v>
      </c>
      <c r="FP61" s="214" t="s">
        <v>912</v>
      </c>
      <c r="FQ61" s="214" t="s">
        <v>70</v>
      </c>
      <c r="FR61" s="214" t="s">
        <v>530</v>
      </c>
      <c r="FT61" s="321" t="s">
        <v>4467</v>
      </c>
      <c r="FU61" s="214" t="s">
        <v>203</v>
      </c>
      <c r="FV61" s="214" t="s">
        <v>70</v>
      </c>
      <c r="FW61" s="214" t="s">
        <v>530</v>
      </c>
      <c r="FY61" s="321" t="s">
        <v>4468</v>
      </c>
      <c r="FZ61" s="214" t="s">
        <v>34542</v>
      </c>
      <c r="GA61" s="214" t="s">
        <v>70</v>
      </c>
      <c r="GB61" s="214" t="s">
        <v>530</v>
      </c>
      <c r="GD61" s="321" t="s">
        <v>4469</v>
      </c>
      <c r="GE61" s="214" t="s">
        <v>34542</v>
      </c>
      <c r="GF61" s="214" t="s">
        <v>70</v>
      </c>
      <c r="GG61" s="214" t="s">
        <v>530</v>
      </c>
      <c r="GI61" s="321" t="s">
        <v>4470</v>
      </c>
      <c r="GJ61" s="214" t="s">
        <v>955</v>
      </c>
      <c r="GK61" s="214" t="s">
        <v>70</v>
      </c>
      <c r="GL61" s="214" t="s">
        <v>530</v>
      </c>
      <c r="GN61" s="321" t="s">
        <v>4471</v>
      </c>
      <c r="GO61" s="214" t="s">
        <v>287</v>
      </c>
      <c r="GP61" s="214" t="s">
        <v>70</v>
      </c>
      <c r="GQ61" s="214" t="s">
        <v>530</v>
      </c>
      <c r="GS61" s="321" t="s">
        <v>4472</v>
      </c>
      <c r="GT61" s="214" t="s">
        <v>52</v>
      </c>
      <c r="GU61" s="214" t="s">
        <v>70</v>
      </c>
      <c r="GV61" s="214" t="s">
        <v>530</v>
      </c>
      <c r="GX61" s="214" t="s">
        <v>4473</v>
      </c>
      <c r="GY61" s="214" t="s">
        <v>482</v>
      </c>
      <c r="GZ61" s="214" t="s">
        <v>70</v>
      </c>
      <c r="HA61" s="214" t="s">
        <v>530</v>
      </c>
      <c r="HC61" s="214" t="s">
        <v>4474</v>
      </c>
      <c r="HD61" s="214" t="s">
        <v>34580</v>
      </c>
      <c r="HE61" s="214" t="s">
        <v>70</v>
      </c>
      <c r="HF61" s="214" t="s">
        <v>530</v>
      </c>
      <c r="HH61" s="214" t="s">
        <v>4475</v>
      </c>
      <c r="HI61" s="214" t="s">
        <v>488</v>
      </c>
      <c r="HJ61" s="214" t="s">
        <v>70</v>
      </c>
      <c r="HK61" s="214" t="s">
        <v>530</v>
      </c>
      <c r="HM61" s="214" t="s">
        <v>4476</v>
      </c>
      <c r="HN61" s="214" t="s">
        <v>34541</v>
      </c>
      <c r="HO61" s="214" t="s">
        <v>70</v>
      </c>
      <c r="HP61" s="214" t="s">
        <v>530</v>
      </c>
      <c r="HR61" s="22" t="s">
        <v>4477</v>
      </c>
      <c r="HS61" s="22" t="s">
        <v>34569</v>
      </c>
      <c r="HT61" s="22" t="s">
        <v>70</v>
      </c>
      <c r="HU61" s="214" t="s">
        <v>530</v>
      </c>
      <c r="HW61" s="22" t="s">
        <v>4478</v>
      </c>
      <c r="HX61" s="22" t="s">
        <v>485</v>
      </c>
      <c r="HY61" s="22" t="s">
        <v>70</v>
      </c>
      <c r="HZ61" s="214" t="s">
        <v>530</v>
      </c>
      <c r="IB61" s="22" t="s">
        <v>4479</v>
      </c>
      <c r="IC61" s="22" t="s">
        <v>488</v>
      </c>
      <c r="ID61" s="22" t="s">
        <v>70</v>
      </c>
      <c r="IE61" s="214" t="s">
        <v>530</v>
      </c>
      <c r="IG61" s="22" t="s">
        <v>4480</v>
      </c>
      <c r="IH61" s="22" t="s">
        <v>52</v>
      </c>
      <c r="II61" s="22" t="s">
        <v>70</v>
      </c>
      <c r="IJ61" s="214" t="s">
        <v>530</v>
      </c>
      <c r="IL61" s="22" t="s">
        <v>4481</v>
      </c>
      <c r="IM61" s="22" t="s">
        <v>145</v>
      </c>
      <c r="IN61" s="22" t="s">
        <v>70</v>
      </c>
      <c r="IO61" s="214" t="s">
        <v>530</v>
      </c>
      <c r="IQ61" s="236" t="s">
        <v>4482</v>
      </c>
      <c r="IR61" s="236" t="s">
        <v>145</v>
      </c>
      <c r="IS61" s="236" t="s">
        <v>74</v>
      </c>
      <c r="IT61" s="236" t="s">
        <v>841</v>
      </c>
      <c r="IV61" s="236" t="s">
        <v>4483</v>
      </c>
      <c r="IW61" s="236" t="s">
        <v>145</v>
      </c>
      <c r="IX61" s="236" t="s">
        <v>74</v>
      </c>
      <c r="IY61" s="236" t="s">
        <v>841</v>
      </c>
      <c r="JA61" s="236" t="s">
        <v>4484</v>
      </c>
      <c r="JB61" s="236" t="s">
        <v>145</v>
      </c>
      <c r="JC61" s="236" t="s">
        <v>74</v>
      </c>
      <c r="JD61" s="236" t="s">
        <v>841</v>
      </c>
      <c r="JF61" s="236" t="s">
        <v>4485</v>
      </c>
      <c r="JG61" s="236" t="s">
        <v>145</v>
      </c>
      <c r="JH61" s="236" t="s">
        <v>74</v>
      </c>
      <c r="JI61" s="236" t="s">
        <v>841</v>
      </c>
      <c r="JK61" s="236" t="s">
        <v>4486</v>
      </c>
      <c r="JL61" s="236" t="s">
        <v>145</v>
      </c>
      <c r="JM61" s="236" t="s">
        <v>74</v>
      </c>
      <c r="JN61" s="236" t="s">
        <v>841</v>
      </c>
      <c r="JP61" s="236" t="s">
        <v>4487</v>
      </c>
      <c r="JQ61" s="236" t="s">
        <v>145</v>
      </c>
      <c r="JR61" s="236" t="s">
        <v>74</v>
      </c>
      <c r="JS61" s="236" t="s">
        <v>841</v>
      </c>
      <c r="JU61" s="294" t="s">
        <v>4488</v>
      </c>
      <c r="JV61" s="294" t="str">
        <f>TVIIBE1M_CalPairs!$R70</f>
        <v>0x00</v>
      </c>
      <c r="JW61" s="218" t="s">
        <v>72</v>
      </c>
      <c r="JX61" s="294" t="str">
        <f>TVIIBE1M_CalPairs!$S70</f>
        <v>FLASHC_FlashMgmt</v>
      </c>
      <c r="JZ61" s="263" t="s">
        <v>4489</v>
      </c>
      <c r="KA61" s="263" t="s">
        <v>145</v>
      </c>
      <c r="KB61" s="263" t="s">
        <v>70</v>
      </c>
      <c r="KC61" s="263" t="s">
        <v>1083</v>
      </c>
      <c r="KE61" s="263" t="s">
        <v>4490</v>
      </c>
      <c r="KF61" s="263" t="s">
        <v>52</v>
      </c>
      <c r="KG61" s="263" t="s">
        <v>70</v>
      </c>
      <c r="KH61" s="263" t="s">
        <v>1083</v>
      </c>
      <c r="KJ61" s="263" t="s">
        <v>4491</v>
      </c>
      <c r="KK61" s="263" t="s">
        <v>52</v>
      </c>
      <c r="KL61" s="263" t="s">
        <v>74</v>
      </c>
      <c r="KM61" s="263" t="s">
        <v>34074</v>
      </c>
      <c r="KO61" s="214" t="s">
        <v>4492</v>
      </c>
      <c r="KP61" s="214" t="s">
        <v>145</v>
      </c>
      <c r="KQ61" s="214" t="s">
        <v>70</v>
      </c>
      <c r="KR61" s="214" t="s">
        <v>67</v>
      </c>
      <c r="KT61" s="22" t="s">
        <v>4493</v>
      </c>
      <c r="KU61" s="22" t="s">
        <v>145</v>
      </c>
      <c r="KV61" s="22" t="s">
        <v>70</v>
      </c>
      <c r="KW61" s="22" t="s">
        <v>67</v>
      </c>
      <c r="KY61" s="214" t="s">
        <v>4494</v>
      </c>
      <c r="KZ61" s="214" t="s">
        <v>52</v>
      </c>
      <c r="LA61" s="214" t="s">
        <v>74</v>
      </c>
      <c r="LB61" s="214" t="s">
        <v>67</v>
      </c>
      <c r="LD61" s="22" t="s">
        <v>4495</v>
      </c>
      <c r="LE61" s="22" t="s">
        <v>145</v>
      </c>
      <c r="LF61" s="22" t="s">
        <v>70</v>
      </c>
      <c r="LG61" s="22" t="s">
        <v>67</v>
      </c>
    </row>
    <row r="62" spans="1:319">
      <c r="A62" s="22" t="s">
        <v>4496</v>
      </c>
      <c r="B62" s="22" t="s">
        <v>145</v>
      </c>
      <c r="C62" s="22" t="s">
        <v>70</v>
      </c>
      <c r="D62" s="22" t="s">
        <v>67</v>
      </c>
      <c r="F62" s="23" t="s">
        <v>4497</v>
      </c>
      <c r="G62" s="23" t="str">
        <f>TVIIBE1M_CalPairs!$E59</f>
        <v>0x00</v>
      </c>
      <c r="H62" s="23" t="s">
        <v>72</v>
      </c>
      <c r="I62" s="23" t="str">
        <f>TVIIBE1M_CalPairs!$C59</f>
        <v>PWR_TRIM_REF_CTL2_VAL3</v>
      </c>
      <c r="K62" s="22" t="s">
        <v>4498</v>
      </c>
      <c r="L62" s="22" t="s">
        <v>145</v>
      </c>
      <c r="M62" s="22" t="s">
        <v>70</v>
      </c>
      <c r="N62" s="22" t="s">
        <v>67</v>
      </c>
      <c r="P62" s="22" t="s">
        <v>4499</v>
      </c>
      <c r="Q62" s="22" t="s">
        <v>145</v>
      </c>
      <c r="R62" s="22" t="s">
        <v>70</v>
      </c>
      <c r="S62" s="22" t="s">
        <v>67</v>
      </c>
      <c r="U62" s="293" t="s">
        <v>4500</v>
      </c>
      <c r="V62" s="293" t="s">
        <v>145</v>
      </c>
      <c r="W62" s="293" t="s">
        <v>74</v>
      </c>
      <c r="X62" s="293" t="s">
        <v>656</v>
      </c>
      <c r="Z62" s="293" t="s">
        <v>4501</v>
      </c>
      <c r="AA62" s="293" t="s">
        <v>145</v>
      </c>
      <c r="AB62" s="293" t="s">
        <v>74</v>
      </c>
      <c r="AC62" s="293" t="s">
        <v>656</v>
      </c>
      <c r="AE62" s="293" t="s">
        <v>4502</v>
      </c>
      <c r="AF62" s="293" t="s">
        <v>145</v>
      </c>
      <c r="AG62" s="293" t="s">
        <v>74</v>
      </c>
      <c r="AH62" s="293" t="s">
        <v>656</v>
      </c>
      <c r="AJ62" s="293" t="s">
        <v>4503</v>
      </c>
      <c r="AK62" s="293" t="s">
        <v>145</v>
      </c>
      <c r="AL62" s="293" t="s">
        <v>74</v>
      </c>
      <c r="AM62" s="293" t="s">
        <v>656</v>
      </c>
      <c r="AO62" s="22" t="s">
        <v>4504</v>
      </c>
      <c r="AP62" s="22" t="s">
        <v>145</v>
      </c>
      <c r="AQ62" s="22" t="s">
        <v>70</v>
      </c>
      <c r="AR62" s="22" t="s">
        <v>67</v>
      </c>
      <c r="AT62" s="22" t="s">
        <v>4505</v>
      </c>
      <c r="AU62" s="22" t="s">
        <v>145</v>
      </c>
      <c r="AV62" s="22" t="s">
        <v>70</v>
      </c>
      <c r="AW62" s="22" t="s">
        <v>67</v>
      </c>
      <c r="AY62" s="22" t="s">
        <v>4506</v>
      </c>
      <c r="AZ62" s="22" t="s">
        <v>145</v>
      </c>
      <c r="BA62" s="22" t="s">
        <v>70</v>
      </c>
      <c r="BB62" s="22" t="s">
        <v>67</v>
      </c>
      <c r="BD62" s="22" t="s">
        <v>4507</v>
      </c>
      <c r="BE62" s="22" t="s">
        <v>145</v>
      </c>
      <c r="BF62" s="22" t="s">
        <v>70</v>
      </c>
      <c r="BG62" s="22" t="s">
        <v>67</v>
      </c>
      <c r="BI62" s="22" t="s">
        <v>4508</v>
      </c>
      <c r="BJ62" s="22" t="s">
        <v>145</v>
      </c>
      <c r="BK62" s="22" t="s">
        <v>70</v>
      </c>
      <c r="BL62" s="22" t="s">
        <v>67</v>
      </c>
      <c r="BN62" s="22" t="s">
        <v>4509</v>
      </c>
      <c r="BO62" s="22" t="s">
        <v>145</v>
      </c>
      <c r="BP62" s="22" t="s">
        <v>70</v>
      </c>
      <c r="BQ62" s="22" t="s">
        <v>67</v>
      </c>
      <c r="BS62" s="22" t="s">
        <v>4510</v>
      </c>
      <c r="BT62" s="22" t="s">
        <v>145</v>
      </c>
      <c r="BU62" s="22" t="s">
        <v>70</v>
      </c>
      <c r="BV62" s="214" t="s">
        <v>530</v>
      </c>
      <c r="BX62" s="22" t="s">
        <v>4511</v>
      </c>
      <c r="BY62" s="22" t="s">
        <v>145</v>
      </c>
      <c r="BZ62" s="22" t="s">
        <v>70</v>
      </c>
      <c r="CA62" s="214" t="s">
        <v>530</v>
      </c>
      <c r="CC62" s="214" t="s">
        <v>4512</v>
      </c>
      <c r="CD62" s="214" t="s">
        <v>481</v>
      </c>
      <c r="CE62" s="214" t="s">
        <v>70</v>
      </c>
      <c r="CF62" s="214" t="s">
        <v>530</v>
      </c>
      <c r="CH62" s="214" t="s">
        <v>4513</v>
      </c>
      <c r="CI62" s="214" t="s">
        <v>937</v>
      </c>
      <c r="CJ62" s="214" t="s">
        <v>70</v>
      </c>
      <c r="CK62" s="214" t="s">
        <v>530</v>
      </c>
      <c r="CM62" s="214" t="s">
        <v>4514</v>
      </c>
      <c r="CN62" s="214" t="s">
        <v>492</v>
      </c>
      <c r="CO62" s="214" t="s">
        <v>70</v>
      </c>
      <c r="CP62" s="214" t="s">
        <v>530</v>
      </c>
      <c r="CR62" s="214" t="s">
        <v>4515</v>
      </c>
      <c r="CS62" s="214" t="s">
        <v>204</v>
      </c>
      <c r="CT62" s="214" t="s">
        <v>70</v>
      </c>
      <c r="CU62" s="214" t="s">
        <v>530</v>
      </c>
      <c r="CW62" s="214" t="s">
        <v>4516</v>
      </c>
      <c r="CX62" s="214" t="s">
        <v>85</v>
      </c>
      <c r="CY62" s="214" t="s">
        <v>70</v>
      </c>
      <c r="CZ62" s="214" t="s">
        <v>530</v>
      </c>
      <c r="DB62" s="214" t="s">
        <v>4517</v>
      </c>
      <c r="DC62" s="214" t="s">
        <v>292</v>
      </c>
      <c r="DD62" s="214" t="s">
        <v>70</v>
      </c>
      <c r="DE62" s="214" t="s">
        <v>530</v>
      </c>
      <c r="DG62" s="214" t="s">
        <v>4518</v>
      </c>
      <c r="DH62" s="214" t="s">
        <v>52</v>
      </c>
      <c r="DI62" s="214" t="s">
        <v>70</v>
      </c>
      <c r="DJ62" s="214" t="s">
        <v>530</v>
      </c>
      <c r="DL62" s="214" t="s">
        <v>4519</v>
      </c>
      <c r="DM62" s="214" t="s">
        <v>149</v>
      </c>
      <c r="DN62" s="214" t="s">
        <v>70</v>
      </c>
      <c r="DO62" s="214" t="s">
        <v>530</v>
      </c>
      <c r="DQ62" s="214" t="s">
        <v>4520</v>
      </c>
      <c r="DR62" s="214" t="s">
        <v>488</v>
      </c>
      <c r="DS62" s="214" t="s">
        <v>70</v>
      </c>
      <c r="DT62" s="214" t="s">
        <v>530</v>
      </c>
      <c r="DV62" s="214" t="s">
        <v>4521</v>
      </c>
      <c r="DW62" s="214" t="s">
        <v>34552</v>
      </c>
      <c r="DX62" s="214" t="s">
        <v>70</v>
      </c>
      <c r="DY62" s="214" t="s">
        <v>530</v>
      </c>
      <c r="EA62" s="214" t="s">
        <v>4522</v>
      </c>
      <c r="EB62" s="214" t="s">
        <v>503</v>
      </c>
      <c r="EC62" s="214" t="s">
        <v>70</v>
      </c>
      <c r="ED62" s="214" t="s">
        <v>530</v>
      </c>
      <c r="EF62" s="214" t="s">
        <v>4523</v>
      </c>
      <c r="EG62" s="214" t="s">
        <v>145</v>
      </c>
      <c r="EH62" s="214" t="s">
        <v>70</v>
      </c>
      <c r="EI62" s="214" t="s">
        <v>530</v>
      </c>
      <c r="EK62" s="214" t="s">
        <v>4524</v>
      </c>
      <c r="EL62" s="214" t="s">
        <v>910</v>
      </c>
      <c r="EM62" s="214" t="s">
        <v>70</v>
      </c>
      <c r="EN62" s="214" t="s">
        <v>530</v>
      </c>
      <c r="EP62" s="214" t="s">
        <v>4525</v>
      </c>
      <c r="EQ62" s="214" t="s">
        <v>292</v>
      </c>
      <c r="ER62" s="214" t="s">
        <v>70</v>
      </c>
      <c r="ES62" s="214" t="s">
        <v>530</v>
      </c>
      <c r="EU62" s="214" t="s">
        <v>4526</v>
      </c>
      <c r="EV62" s="214" t="s">
        <v>468</v>
      </c>
      <c r="EW62" s="214" t="s">
        <v>70</v>
      </c>
      <c r="EX62" s="214" t="s">
        <v>530</v>
      </c>
      <c r="EZ62" s="214" t="s">
        <v>4527</v>
      </c>
      <c r="FA62" s="214" t="s">
        <v>90</v>
      </c>
      <c r="FB62" s="214" t="s">
        <v>70</v>
      </c>
      <c r="FC62" s="214" t="s">
        <v>530</v>
      </c>
      <c r="FE62" s="214" t="s">
        <v>4528</v>
      </c>
      <c r="FF62" s="214" t="s">
        <v>34557</v>
      </c>
      <c r="FG62" s="214" t="s">
        <v>70</v>
      </c>
      <c r="FH62" s="214" t="s">
        <v>530</v>
      </c>
      <c r="FJ62" s="321" t="s">
        <v>4529</v>
      </c>
      <c r="FK62" s="214" t="s">
        <v>148</v>
      </c>
      <c r="FL62" s="214" t="s">
        <v>70</v>
      </c>
      <c r="FM62" s="214" t="s">
        <v>530</v>
      </c>
      <c r="FO62" s="321" t="s">
        <v>4530</v>
      </c>
      <c r="FP62" s="214" t="s">
        <v>481</v>
      </c>
      <c r="FQ62" s="214" t="s">
        <v>70</v>
      </c>
      <c r="FR62" s="214" t="s">
        <v>530</v>
      </c>
      <c r="FT62" s="321" t="s">
        <v>4531</v>
      </c>
      <c r="FU62" s="214" t="s">
        <v>34590</v>
      </c>
      <c r="FV62" s="214" t="s">
        <v>70</v>
      </c>
      <c r="FW62" s="214" t="s">
        <v>530</v>
      </c>
      <c r="FY62" s="321" t="s">
        <v>4532</v>
      </c>
      <c r="FZ62" s="214" t="s">
        <v>52</v>
      </c>
      <c r="GA62" s="214" t="s">
        <v>70</v>
      </c>
      <c r="GB62" s="214" t="s">
        <v>530</v>
      </c>
      <c r="GD62" s="321" t="s">
        <v>4533</v>
      </c>
      <c r="GE62" s="214" t="s">
        <v>52</v>
      </c>
      <c r="GF62" s="214" t="s">
        <v>70</v>
      </c>
      <c r="GG62" s="214" t="s">
        <v>530</v>
      </c>
      <c r="GI62" s="321" t="s">
        <v>4534</v>
      </c>
      <c r="GJ62" s="214" t="s">
        <v>145</v>
      </c>
      <c r="GK62" s="214" t="s">
        <v>70</v>
      </c>
      <c r="GL62" s="214" t="s">
        <v>530</v>
      </c>
      <c r="GN62" s="321" t="s">
        <v>4535</v>
      </c>
      <c r="GO62" s="214" t="s">
        <v>103</v>
      </c>
      <c r="GP62" s="214" t="s">
        <v>70</v>
      </c>
      <c r="GQ62" s="214" t="s">
        <v>530</v>
      </c>
      <c r="GS62" s="321" t="s">
        <v>4536</v>
      </c>
      <c r="GT62" s="214" t="s">
        <v>145</v>
      </c>
      <c r="GU62" s="214" t="s">
        <v>70</v>
      </c>
      <c r="GV62" s="214" t="s">
        <v>530</v>
      </c>
      <c r="GX62" s="214" t="s">
        <v>4537</v>
      </c>
      <c r="GY62" s="214" t="s">
        <v>905</v>
      </c>
      <c r="GZ62" s="214" t="s">
        <v>70</v>
      </c>
      <c r="HA62" s="214" t="s">
        <v>530</v>
      </c>
      <c r="HC62" s="214" t="s">
        <v>4538</v>
      </c>
      <c r="HD62" s="214" t="s">
        <v>287</v>
      </c>
      <c r="HE62" s="214" t="s">
        <v>70</v>
      </c>
      <c r="HF62" s="214" t="s">
        <v>530</v>
      </c>
      <c r="HH62" s="214" t="s">
        <v>4539</v>
      </c>
      <c r="HI62" s="214" t="s">
        <v>486</v>
      </c>
      <c r="HJ62" s="214" t="s">
        <v>70</v>
      </c>
      <c r="HK62" s="214" t="s">
        <v>530</v>
      </c>
      <c r="HM62" s="214" t="s">
        <v>4540</v>
      </c>
      <c r="HN62" s="214" t="s">
        <v>34538</v>
      </c>
      <c r="HO62" s="214" t="s">
        <v>70</v>
      </c>
      <c r="HP62" s="214" t="s">
        <v>530</v>
      </c>
      <c r="HR62" s="22" t="s">
        <v>4541</v>
      </c>
      <c r="HS62" s="22" t="s">
        <v>164</v>
      </c>
      <c r="HT62" s="22" t="s">
        <v>70</v>
      </c>
      <c r="HU62" s="214" t="s">
        <v>530</v>
      </c>
      <c r="HW62" s="22" t="s">
        <v>4542</v>
      </c>
      <c r="HX62" s="22" t="s">
        <v>164</v>
      </c>
      <c r="HY62" s="22" t="s">
        <v>70</v>
      </c>
      <c r="HZ62" s="214" t="s">
        <v>530</v>
      </c>
      <c r="IB62" s="22" t="s">
        <v>4543</v>
      </c>
      <c r="IC62" s="22" t="s">
        <v>211</v>
      </c>
      <c r="ID62" s="22" t="s">
        <v>70</v>
      </c>
      <c r="IE62" s="214" t="s">
        <v>530</v>
      </c>
      <c r="IG62" s="22" t="s">
        <v>4544</v>
      </c>
      <c r="IH62" s="22" t="s">
        <v>52</v>
      </c>
      <c r="II62" s="22" t="s">
        <v>70</v>
      </c>
      <c r="IJ62" s="214" t="s">
        <v>530</v>
      </c>
      <c r="IL62" s="22" t="s">
        <v>4545</v>
      </c>
      <c r="IM62" s="22" t="s">
        <v>145</v>
      </c>
      <c r="IN62" s="22" t="s">
        <v>70</v>
      </c>
      <c r="IO62" s="214" t="s">
        <v>530</v>
      </c>
      <c r="IQ62" s="236" t="s">
        <v>4546</v>
      </c>
      <c r="IR62" s="236" t="s">
        <v>145</v>
      </c>
      <c r="IS62" s="236" t="s">
        <v>74</v>
      </c>
      <c r="IT62" s="236" t="s">
        <v>841</v>
      </c>
      <c r="IV62" s="236" t="s">
        <v>4547</v>
      </c>
      <c r="IW62" s="236" t="s">
        <v>145</v>
      </c>
      <c r="IX62" s="236" t="s">
        <v>74</v>
      </c>
      <c r="IY62" s="236" t="s">
        <v>841</v>
      </c>
      <c r="JA62" s="236" t="s">
        <v>4548</v>
      </c>
      <c r="JB62" s="236" t="s">
        <v>145</v>
      </c>
      <c r="JC62" s="236" t="s">
        <v>74</v>
      </c>
      <c r="JD62" s="236" t="s">
        <v>841</v>
      </c>
      <c r="JF62" s="236" t="s">
        <v>4549</v>
      </c>
      <c r="JG62" s="236" t="s">
        <v>145</v>
      </c>
      <c r="JH62" s="236" t="s">
        <v>74</v>
      </c>
      <c r="JI62" s="236" t="s">
        <v>841</v>
      </c>
      <c r="JK62" s="236" t="s">
        <v>4550</v>
      </c>
      <c r="JL62" s="236" t="s">
        <v>145</v>
      </c>
      <c r="JM62" s="236" t="s">
        <v>74</v>
      </c>
      <c r="JN62" s="236" t="s">
        <v>841</v>
      </c>
      <c r="JP62" s="236" t="s">
        <v>4551</v>
      </c>
      <c r="JQ62" s="236" t="s">
        <v>145</v>
      </c>
      <c r="JR62" s="236" t="s">
        <v>74</v>
      </c>
      <c r="JS62" s="236" t="s">
        <v>841</v>
      </c>
      <c r="JU62" s="294" t="s">
        <v>4552</v>
      </c>
      <c r="JV62" s="294" t="str">
        <f>TVIIBE1M_CalPairs!$R71</f>
        <v>0x1F</v>
      </c>
      <c r="JW62" s="263" t="s">
        <v>70</v>
      </c>
      <c r="JX62" s="294" t="str">
        <f>TVIIBE1M_CalPairs!$Q71</f>
        <v>PPU2_SL_CONFIG</v>
      </c>
      <c r="JZ62" s="263" t="s">
        <v>4553</v>
      </c>
      <c r="KA62" s="263" t="s">
        <v>145</v>
      </c>
      <c r="KB62" s="263" t="s">
        <v>70</v>
      </c>
      <c r="KC62" s="263" t="s">
        <v>1083</v>
      </c>
      <c r="KE62" s="263" t="s">
        <v>4554</v>
      </c>
      <c r="KF62" s="263" t="s">
        <v>52</v>
      </c>
      <c r="KG62" s="263" t="s">
        <v>70</v>
      </c>
      <c r="KH62" s="263" t="s">
        <v>1083</v>
      </c>
      <c r="KJ62" s="263" t="s">
        <v>4555</v>
      </c>
      <c r="KK62" s="263" t="s">
        <v>52</v>
      </c>
      <c r="KL62" s="263" t="s">
        <v>74</v>
      </c>
      <c r="KM62" s="263" t="s">
        <v>34074</v>
      </c>
      <c r="KO62" s="214" t="s">
        <v>4556</v>
      </c>
      <c r="KP62" s="214" t="s">
        <v>145</v>
      </c>
      <c r="KQ62" s="214" t="s">
        <v>70</v>
      </c>
      <c r="KR62" s="214" t="s">
        <v>67</v>
      </c>
      <c r="KT62" s="22" t="s">
        <v>4557</v>
      </c>
      <c r="KU62" s="22" t="s">
        <v>145</v>
      </c>
      <c r="KV62" s="22" t="s">
        <v>70</v>
      </c>
      <c r="KW62" s="22" t="s">
        <v>67</v>
      </c>
      <c r="KY62" s="214" t="s">
        <v>4558</v>
      </c>
      <c r="KZ62" s="214" t="s">
        <v>52</v>
      </c>
      <c r="LA62" s="214" t="s">
        <v>74</v>
      </c>
      <c r="LB62" s="214" t="s">
        <v>67</v>
      </c>
      <c r="LD62" s="22" t="s">
        <v>4559</v>
      </c>
      <c r="LE62" s="22" t="s">
        <v>145</v>
      </c>
      <c r="LF62" s="22" t="s">
        <v>70</v>
      </c>
      <c r="LG62" s="22" t="s">
        <v>67</v>
      </c>
    </row>
    <row r="63" spans="1:319">
      <c r="A63" s="22" t="s">
        <v>4560</v>
      </c>
      <c r="B63" s="22" t="s">
        <v>145</v>
      </c>
      <c r="C63" s="22" t="s">
        <v>70</v>
      </c>
      <c r="D63" s="22" t="s">
        <v>67</v>
      </c>
      <c r="F63" s="23" t="s">
        <v>4561</v>
      </c>
      <c r="G63" s="23" t="str">
        <f>TVIIBE1M_CalPairs!$E60</f>
        <v>0x00</v>
      </c>
      <c r="H63" s="23" t="s">
        <v>72</v>
      </c>
      <c r="I63" s="23" t="str">
        <f>TVIIBE1M_CalPairs!$C60</f>
        <v>CLK_TRIM_ECO_CTL_VAL0</v>
      </c>
      <c r="K63" s="22" t="s">
        <v>4562</v>
      </c>
      <c r="L63" s="22" t="s">
        <v>145</v>
      </c>
      <c r="M63" s="22" t="s">
        <v>70</v>
      </c>
      <c r="N63" s="22" t="s">
        <v>67</v>
      </c>
      <c r="P63" s="22" t="s">
        <v>4563</v>
      </c>
      <c r="Q63" s="22" t="s">
        <v>145</v>
      </c>
      <c r="R63" s="22" t="s">
        <v>70</v>
      </c>
      <c r="S63" s="22" t="s">
        <v>67</v>
      </c>
      <c r="U63" s="293" t="s">
        <v>4564</v>
      </c>
      <c r="V63" s="293" t="s">
        <v>145</v>
      </c>
      <c r="W63" s="293" t="s">
        <v>74</v>
      </c>
      <c r="X63" s="293" t="s">
        <v>656</v>
      </c>
      <c r="Z63" s="293" t="s">
        <v>4565</v>
      </c>
      <c r="AA63" s="293" t="s">
        <v>145</v>
      </c>
      <c r="AB63" s="293" t="s">
        <v>74</v>
      </c>
      <c r="AC63" s="293" t="s">
        <v>656</v>
      </c>
      <c r="AE63" s="293" t="s">
        <v>4566</v>
      </c>
      <c r="AF63" s="293" t="s">
        <v>145</v>
      </c>
      <c r="AG63" s="293" t="s">
        <v>74</v>
      </c>
      <c r="AH63" s="293" t="s">
        <v>656</v>
      </c>
      <c r="AJ63" s="293" t="s">
        <v>4567</v>
      </c>
      <c r="AK63" s="293" t="s">
        <v>145</v>
      </c>
      <c r="AL63" s="293" t="s">
        <v>74</v>
      </c>
      <c r="AM63" s="293" t="s">
        <v>656</v>
      </c>
      <c r="AO63" s="22" t="s">
        <v>4568</v>
      </c>
      <c r="AP63" s="22" t="s">
        <v>145</v>
      </c>
      <c r="AQ63" s="22" t="s">
        <v>70</v>
      </c>
      <c r="AR63" s="22" t="s">
        <v>67</v>
      </c>
      <c r="AT63" s="22" t="s">
        <v>4569</v>
      </c>
      <c r="AU63" s="22" t="s">
        <v>145</v>
      </c>
      <c r="AV63" s="22" t="s">
        <v>70</v>
      </c>
      <c r="AW63" s="22" t="s">
        <v>67</v>
      </c>
      <c r="AY63" s="22" t="s">
        <v>4570</v>
      </c>
      <c r="AZ63" s="22" t="s">
        <v>145</v>
      </c>
      <c r="BA63" s="22" t="s">
        <v>70</v>
      </c>
      <c r="BB63" s="22" t="s">
        <v>67</v>
      </c>
      <c r="BD63" s="22" t="s">
        <v>4571</v>
      </c>
      <c r="BE63" s="22" t="s">
        <v>145</v>
      </c>
      <c r="BF63" s="22" t="s">
        <v>70</v>
      </c>
      <c r="BG63" s="22" t="s">
        <v>67</v>
      </c>
      <c r="BI63" s="22" t="s">
        <v>4572</v>
      </c>
      <c r="BJ63" s="22" t="s">
        <v>145</v>
      </c>
      <c r="BK63" s="22" t="s">
        <v>70</v>
      </c>
      <c r="BL63" s="22" t="s">
        <v>67</v>
      </c>
      <c r="BN63" s="22" t="s">
        <v>4573</v>
      </c>
      <c r="BO63" s="22" t="s">
        <v>145</v>
      </c>
      <c r="BP63" s="22" t="s">
        <v>70</v>
      </c>
      <c r="BQ63" s="22" t="s">
        <v>67</v>
      </c>
      <c r="BS63" s="22" t="s">
        <v>4574</v>
      </c>
      <c r="BT63" s="22" t="s">
        <v>145</v>
      </c>
      <c r="BU63" s="22" t="s">
        <v>70</v>
      </c>
      <c r="BV63" s="214" t="s">
        <v>530</v>
      </c>
      <c r="BX63" s="22" t="s">
        <v>4575</v>
      </c>
      <c r="BY63" s="22" t="s">
        <v>145</v>
      </c>
      <c r="BZ63" s="22" t="s">
        <v>70</v>
      </c>
      <c r="CA63" s="214" t="s">
        <v>530</v>
      </c>
      <c r="CC63" s="214" t="s">
        <v>4576</v>
      </c>
      <c r="CD63" s="214" t="s">
        <v>487</v>
      </c>
      <c r="CE63" s="214" t="s">
        <v>70</v>
      </c>
      <c r="CF63" s="214" t="s">
        <v>530</v>
      </c>
      <c r="CH63" s="214" t="s">
        <v>4577</v>
      </c>
      <c r="CI63" s="214" t="s">
        <v>529</v>
      </c>
      <c r="CJ63" s="214" t="s">
        <v>70</v>
      </c>
      <c r="CK63" s="214" t="s">
        <v>530</v>
      </c>
      <c r="CM63" s="214" t="s">
        <v>4578</v>
      </c>
      <c r="CN63" s="214" t="s">
        <v>148</v>
      </c>
      <c r="CO63" s="214" t="s">
        <v>70</v>
      </c>
      <c r="CP63" s="214" t="s">
        <v>530</v>
      </c>
      <c r="CR63" s="214" t="s">
        <v>4579</v>
      </c>
      <c r="CS63" s="214" t="s">
        <v>146</v>
      </c>
      <c r="CT63" s="214" t="s">
        <v>70</v>
      </c>
      <c r="CU63" s="214" t="s">
        <v>530</v>
      </c>
      <c r="CW63" s="214" t="s">
        <v>4580</v>
      </c>
      <c r="CX63" s="214" t="s">
        <v>34540</v>
      </c>
      <c r="CY63" s="214" t="s">
        <v>70</v>
      </c>
      <c r="CZ63" s="214" t="s">
        <v>530</v>
      </c>
      <c r="DB63" s="214" t="s">
        <v>4581</v>
      </c>
      <c r="DC63" s="214" t="s">
        <v>93</v>
      </c>
      <c r="DD63" s="214" t="s">
        <v>70</v>
      </c>
      <c r="DE63" s="214" t="s">
        <v>530</v>
      </c>
      <c r="DG63" s="214" t="s">
        <v>4582</v>
      </c>
      <c r="DH63" s="214" t="s">
        <v>86</v>
      </c>
      <c r="DI63" s="214" t="s">
        <v>70</v>
      </c>
      <c r="DJ63" s="214" t="s">
        <v>530</v>
      </c>
      <c r="DL63" s="214" t="s">
        <v>4583</v>
      </c>
      <c r="DM63" s="214" t="s">
        <v>956</v>
      </c>
      <c r="DN63" s="214" t="s">
        <v>70</v>
      </c>
      <c r="DO63" s="214" t="s">
        <v>530</v>
      </c>
      <c r="DQ63" s="214" t="s">
        <v>4584</v>
      </c>
      <c r="DR63" s="214" t="s">
        <v>34573</v>
      </c>
      <c r="DS63" s="214" t="s">
        <v>70</v>
      </c>
      <c r="DT63" s="214" t="s">
        <v>530</v>
      </c>
      <c r="DV63" s="214" t="s">
        <v>4585</v>
      </c>
      <c r="DW63" s="214" t="s">
        <v>936</v>
      </c>
      <c r="DX63" s="214" t="s">
        <v>70</v>
      </c>
      <c r="DY63" s="214" t="s">
        <v>530</v>
      </c>
      <c r="EA63" s="214" t="s">
        <v>4586</v>
      </c>
      <c r="EB63" s="214" t="s">
        <v>493</v>
      </c>
      <c r="EC63" s="214" t="s">
        <v>70</v>
      </c>
      <c r="ED63" s="214" t="s">
        <v>530</v>
      </c>
      <c r="EF63" s="214" t="s">
        <v>4587</v>
      </c>
      <c r="EG63" s="214" t="s">
        <v>34656</v>
      </c>
      <c r="EH63" s="214" t="s">
        <v>70</v>
      </c>
      <c r="EI63" s="214" t="s">
        <v>530</v>
      </c>
      <c r="EK63" s="214" t="s">
        <v>4588</v>
      </c>
      <c r="EL63" s="214" t="s">
        <v>926</v>
      </c>
      <c r="EM63" s="214" t="s">
        <v>70</v>
      </c>
      <c r="EN63" s="214" t="s">
        <v>530</v>
      </c>
      <c r="EP63" s="214" t="s">
        <v>4589</v>
      </c>
      <c r="EQ63" s="214" t="s">
        <v>34558</v>
      </c>
      <c r="ER63" s="214" t="s">
        <v>70</v>
      </c>
      <c r="ES63" s="214" t="s">
        <v>530</v>
      </c>
      <c r="EU63" s="214" t="s">
        <v>4590</v>
      </c>
      <c r="EV63" s="214" t="s">
        <v>146</v>
      </c>
      <c r="EW63" s="214" t="s">
        <v>70</v>
      </c>
      <c r="EX63" s="214" t="s">
        <v>530</v>
      </c>
      <c r="EZ63" s="214" t="s">
        <v>4591</v>
      </c>
      <c r="FA63" s="214" t="s">
        <v>502</v>
      </c>
      <c r="FB63" s="214" t="s">
        <v>70</v>
      </c>
      <c r="FC63" s="214" t="s">
        <v>530</v>
      </c>
      <c r="FE63" s="214" t="s">
        <v>4592</v>
      </c>
      <c r="FF63" s="214" t="s">
        <v>491</v>
      </c>
      <c r="FG63" s="214" t="s">
        <v>70</v>
      </c>
      <c r="FH63" s="214" t="s">
        <v>530</v>
      </c>
      <c r="FJ63" s="321" t="s">
        <v>4593</v>
      </c>
      <c r="FK63" s="214" t="s">
        <v>919</v>
      </c>
      <c r="FL63" s="214" t="s">
        <v>70</v>
      </c>
      <c r="FM63" s="214" t="s">
        <v>530</v>
      </c>
      <c r="FO63" s="321" t="s">
        <v>4594</v>
      </c>
      <c r="FP63" s="214" t="s">
        <v>496</v>
      </c>
      <c r="FQ63" s="214" t="s">
        <v>70</v>
      </c>
      <c r="FR63" s="214" t="s">
        <v>530</v>
      </c>
      <c r="FT63" s="321" t="s">
        <v>4595</v>
      </c>
      <c r="FU63" s="214" t="s">
        <v>163</v>
      </c>
      <c r="FV63" s="214" t="s">
        <v>70</v>
      </c>
      <c r="FW63" s="214" t="s">
        <v>530</v>
      </c>
      <c r="FY63" s="321" t="s">
        <v>4596</v>
      </c>
      <c r="FZ63" s="214" t="s">
        <v>955</v>
      </c>
      <c r="GA63" s="214" t="s">
        <v>70</v>
      </c>
      <c r="GB63" s="214" t="s">
        <v>530</v>
      </c>
      <c r="GD63" s="321" t="s">
        <v>4597</v>
      </c>
      <c r="GE63" s="214" t="s">
        <v>955</v>
      </c>
      <c r="GF63" s="214" t="s">
        <v>70</v>
      </c>
      <c r="GG63" s="214" t="s">
        <v>530</v>
      </c>
      <c r="GI63" s="321" t="s">
        <v>4598</v>
      </c>
      <c r="GJ63" s="214" t="s">
        <v>34541</v>
      </c>
      <c r="GK63" s="214" t="s">
        <v>70</v>
      </c>
      <c r="GL63" s="214" t="s">
        <v>530</v>
      </c>
      <c r="GN63" s="321" t="s">
        <v>4599</v>
      </c>
      <c r="GO63" s="214" t="s">
        <v>955</v>
      </c>
      <c r="GP63" s="214" t="s">
        <v>70</v>
      </c>
      <c r="GQ63" s="214" t="s">
        <v>530</v>
      </c>
      <c r="GS63" s="321" t="s">
        <v>4600</v>
      </c>
      <c r="GT63" s="214" t="s">
        <v>34541</v>
      </c>
      <c r="GU63" s="214" t="s">
        <v>70</v>
      </c>
      <c r="GV63" s="214" t="s">
        <v>530</v>
      </c>
      <c r="GX63" s="214" t="s">
        <v>4601</v>
      </c>
      <c r="GY63" s="214" t="s">
        <v>518</v>
      </c>
      <c r="GZ63" s="214" t="s">
        <v>70</v>
      </c>
      <c r="HA63" s="214" t="s">
        <v>530</v>
      </c>
      <c r="HC63" s="214" t="s">
        <v>4602</v>
      </c>
      <c r="HD63" s="214" t="s">
        <v>52</v>
      </c>
      <c r="HE63" s="214" t="s">
        <v>70</v>
      </c>
      <c r="HF63" s="214" t="s">
        <v>530</v>
      </c>
      <c r="HH63" s="214" t="s">
        <v>4603</v>
      </c>
      <c r="HI63" s="214" t="s">
        <v>488</v>
      </c>
      <c r="HJ63" s="214" t="s">
        <v>70</v>
      </c>
      <c r="HK63" s="214" t="s">
        <v>530</v>
      </c>
      <c r="HM63" s="214" t="s">
        <v>4604</v>
      </c>
      <c r="HN63" s="214" t="s">
        <v>34556</v>
      </c>
      <c r="HO63" s="214" t="s">
        <v>70</v>
      </c>
      <c r="HP63" s="214" t="s">
        <v>530</v>
      </c>
      <c r="HR63" s="22" t="s">
        <v>4605</v>
      </c>
      <c r="HS63" s="22" t="s">
        <v>34544</v>
      </c>
      <c r="HT63" s="22" t="s">
        <v>70</v>
      </c>
      <c r="HU63" s="214" t="s">
        <v>530</v>
      </c>
      <c r="HW63" s="22" t="s">
        <v>4606</v>
      </c>
      <c r="HX63" s="22" t="s">
        <v>34542</v>
      </c>
      <c r="HY63" s="22" t="s">
        <v>70</v>
      </c>
      <c r="HZ63" s="214" t="s">
        <v>530</v>
      </c>
      <c r="IB63" s="22" t="s">
        <v>4607</v>
      </c>
      <c r="IC63" s="22" t="s">
        <v>492</v>
      </c>
      <c r="ID63" s="22" t="s">
        <v>70</v>
      </c>
      <c r="IE63" s="214" t="s">
        <v>530</v>
      </c>
      <c r="IG63" s="22" t="s">
        <v>4608</v>
      </c>
      <c r="IH63" s="22" t="s">
        <v>52</v>
      </c>
      <c r="II63" s="22" t="s">
        <v>70</v>
      </c>
      <c r="IJ63" s="214" t="s">
        <v>530</v>
      </c>
      <c r="IL63" s="22" t="s">
        <v>4609</v>
      </c>
      <c r="IM63" s="22" t="s">
        <v>145</v>
      </c>
      <c r="IN63" s="22" t="s">
        <v>70</v>
      </c>
      <c r="IO63" s="214" t="s">
        <v>530</v>
      </c>
      <c r="IQ63" s="236" t="s">
        <v>4610</v>
      </c>
      <c r="IR63" s="236" t="s">
        <v>145</v>
      </c>
      <c r="IS63" s="236" t="s">
        <v>74</v>
      </c>
      <c r="IT63" s="236" t="s">
        <v>841</v>
      </c>
      <c r="IV63" s="236" t="s">
        <v>4611</v>
      </c>
      <c r="IW63" s="236" t="s">
        <v>145</v>
      </c>
      <c r="IX63" s="236" t="s">
        <v>74</v>
      </c>
      <c r="IY63" s="236" t="s">
        <v>841</v>
      </c>
      <c r="JA63" s="236" t="s">
        <v>4612</v>
      </c>
      <c r="JB63" s="236" t="s">
        <v>145</v>
      </c>
      <c r="JC63" s="236" t="s">
        <v>74</v>
      </c>
      <c r="JD63" s="236" t="s">
        <v>841</v>
      </c>
      <c r="JF63" s="236" t="s">
        <v>4613</v>
      </c>
      <c r="JG63" s="236" t="s">
        <v>145</v>
      </c>
      <c r="JH63" s="236" t="s">
        <v>74</v>
      </c>
      <c r="JI63" s="236" t="s">
        <v>841</v>
      </c>
      <c r="JK63" s="236" t="s">
        <v>4614</v>
      </c>
      <c r="JL63" s="236" t="s">
        <v>145</v>
      </c>
      <c r="JM63" s="236" t="s">
        <v>74</v>
      </c>
      <c r="JN63" s="236" t="s">
        <v>841</v>
      </c>
      <c r="JP63" s="236" t="s">
        <v>4615</v>
      </c>
      <c r="JQ63" s="236" t="s">
        <v>145</v>
      </c>
      <c r="JR63" s="236" t="s">
        <v>74</v>
      </c>
      <c r="JS63" s="236" t="s">
        <v>841</v>
      </c>
      <c r="JU63" s="294" t="s">
        <v>4616</v>
      </c>
      <c r="JV63" s="294" t="str">
        <f>TVIIBE1M_CalPairs!$R72</f>
        <v>0x92</v>
      </c>
      <c r="JW63" s="263" t="s">
        <v>70</v>
      </c>
      <c r="JX63" s="294" t="str">
        <f>TVIIBE1M_CalPairs!$Q72</f>
        <v>PPU2_MS_CONFIG</v>
      </c>
      <c r="JZ63" s="263" t="s">
        <v>4617</v>
      </c>
      <c r="KA63" s="263" t="s">
        <v>145</v>
      </c>
      <c r="KB63" s="263" t="s">
        <v>70</v>
      </c>
      <c r="KC63" s="263" t="s">
        <v>1083</v>
      </c>
      <c r="KE63" s="263" t="s">
        <v>4618</v>
      </c>
      <c r="KF63" s="263" t="s">
        <v>52</v>
      </c>
      <c r="KG63" s="263" t="s">
        <v>70</v>
      </c>
      <c r="KH63" s="263" t="s">
        <v>1083</v>
      </c>
      <c r="KJ63" s="263" t="s">
        <v>4619</v>
      </c>
      <c r="KK63" s="263" t="s">
        <v>52</v>
      </c>
      <c r="KL63" s="263" t="s">
        <v>74</v>
      </c>
      <c r="KM63" s="263" t="s">
        <v>34074</v>
      </c>
      <c r="KO63" s="214" t="s">
        <v>4620</v>
      </c>
      <c r="KP63" s="214" t="s">
        <v>145</v>
      </c>
      <c r="KQ63" s="214" t="s">
        <v>70</v>
      </c>
      <c r="KR63" s="214" t="s">
        <v>67</v>
      </c>
      <c r="KT63" s="22" t="s">
        <v>4621</v>
      </c>
      <c r="KU63" s="22" t="s">
        <v>145</v>
      </c>
      <c r="KV63" s="22" t="s">
        <v>70</v>
      </c>
      <c r="KW63" s="22" t="s">
        <v>67</v>
      </c>
      <c r="KY63" s="214" t="s">
        <v>4622</v>
      </c>
      <c r="KZ63" s="214" t="s">
        <v>52</v>
      </c>
      <c r="LA63" s="214" t="s">
        <v>74</v>
      </c>
      <c r="LB63" s="214" t="s">
        <v>67</v>
      </c>
      <c r="LD63" s="22" t="s">
        <v>4623</v>
      </c>
      <c r="LE63" s="22" t="s">
        <v>145</v>
      </c>
      <c r="LF63" s="22" t="s">
        <v>70</v>
      </c>
      <c r="LG63" s="22" t="s">
        <v>67</v>
      </c>
    </row>
    <row r="64" spans="1:319">
      <c r="A64" s="22" t="s">
        <v>4624</v>
      </c>
      <c r="B64" s="22" t="s">
        <v>145</v>
      </c>
      <c r="C64" s="22" t="s">
        <v>70</v>
      </c>
      <c r="D64" s="22" t="s">
        <v>67</v>
      </c>
      <c r="F64" s="23" t="s">
        <v>4625</v>
      </c>
      <c r="G64" s="23" t="str">
        <f>TVIIBE1M_CalPairs!$E61</f>
        <v>0x00</v>
      </c>
      <c r="H64" s="23" t="s">
        <v>72</v>
      </c>
      <c r="I64" s="23" t="str">
        <f>TVIIBE1M_CalPairs!$C61</f>
        <v>CLK_TRIM_ECO_CTL_VAL1</v>
      </c>
      <c r="K64" s="22" t="s">
        <v>4626</v>
      </c>
      <c r="L64" s="22" t="s">
        <v>145</v>
      </c>
      <c r="M64" s="22" t="s">
        <v>70</v>
      </c>
      <c r="N64" s="22" t="s">
        <v>67</v>
      </c>
      <c r="P64" s="22" t="s">
        <v>4627</v>
      </c>
      <c r="Q64" s="22" t="s">
        <v>145</v>
      </c>
      <c r="R64" s="22" t="s">
        <v>70</v>
      </c>
      <c r="S64" s="22" t="s">
        <v>67</v>
      </c>
      <c r="U64" s="293" t="s">
        <v>4628</v>
      </c>
      <c r="V64" s="293" t="s">
        <v>145</v>
      </c>
      <c r="W64" s="293" t="s">
        <v>74</v>
      </c>
      <c r="X64" s="293" t="s">
        <v>656</v>
      </c>
      <c r="Z64" s="293" t="s">
        <v>4629</v>
      </c>
      <c r="AA64" s="293" t="s">
        <v>145</v>
      </c>
      <c r="AB64" s="293" t="s">
        <v>74</v>
      </c>
      <c r="AC64" s="293" t="s">
        <v>656</v>
      </c>
      <c r="AE64" s="293" t="s">
        <v>4630</v>
      </c>
      <c r="AF64" s="293" t="s">
        <v>145</v>
      </c>
      <c r="AG64" s="293" t="s">
        <v>74</v>
      </c>
      <c r="AH64" s="293" t="s">
        <v>656</v>
      </c>
      <c r="AJ64" s="293" t="s">
        <v>4631</v>
      </c>
      <c r="AK64" s="293" t="s">
        <v>145</v>
      </c>
      <c r="AL64" s="293" t="s">
        <v>74</v>
      </c>
      <c r="AM64" s="293" t="s">
        <v>656</v>
      </c>
      <c r="AO64" s="22" t="s">
        <v>4632</v>
      </c>
      <c r="AP64" s="22" t="s">
        <v>145</v>
      </c>
      <c r="AQ64" s="22" t="s">
        <v>70</v>
      </c>
      <c r="AR64" s="22" t="s">
        <v>67</v>
      </c>
      <c r="AT64" s="22" t="s">
        <v>4633</v>
      </c>
      <c r="AU64" s="22" t="s">
        <v>145</v>
      </c>
      <c r="AV64" s="22" t="s">
        <v>70</v>
      </c>
      <c r="AW64" s="22" t="s">
        <v>67</v>
      </c>
      <c r="AY64" s="22" t="s">
        <v>4634</v>
      </c>
      <c r="AZ64" s="22" t="s">
        <v>145</v>
      </c>
      <c r="BA64" s="22" t="s">
        <v>70</v>
      </c>
      <c r="BB64" s="22" t="s">
        <v>67</v>
      </c>
      <c r="BD64" s="22" t="s">
        <v>4635</v>
      </c>
      <c r="BE64" s="22" t="s">
        <v>145</v>
      </c>
      <c r="BF64" s="22" t="s">
        <v>70</v>
      </c>
      <c r="BG64" s="22" t="s">
        <v>67</v>
      </c>
      <c r="BI64" s="22" t="s">
        <v>4636</v>
      </c>
      <c r="BJ64" s="22" t="s">
        <v>145</v>
      </c>
      <c r="BK64" s="22" t="s">
        <v>70</v>
      </c>
      <c r="BL64" s="22" t="s">
        <v>67</v>
      </c>
      <c r="BN64" s="22" t="s">
        <v>4637</v>
      </c>
      <c r="BO64" s="22" t="s">
        <v>145</v>
      </c>
      <c r="BP64" s="22" t="s">
        <v>70</v>
      </c>
      <c r="BQ64" s="22" t="s">
        <v>67</v>
      </c>
      <c r="BS64" s="22" t="s">
        <v>4638</v>
      </c>
      <c r="BT64" s="22" t="s">
        <v>145</v>
      </c>
      <c r="BU64" s="22" t="s">
        <v>70</v>
      </c>
      <c r="BV64" s="214" t="s">
        <v>530</v>
      </c>
      <c r="BX64" s="22" t="s">
        <v>4639</v>
      </c>
      <c r="BY64" s="22" t="s">
        <v>145</v>
      </c>
      <c r="BZ64" s="22" t="s">
        <v>70</v>
      </c>
      <c r="CA64" s="214" t="s">
        <v>530</v>
      </c>
      <c r="CC64" s="214" t="s">
        <v>4640</v>
      </c>
      <c r="CD64" s="214" t="s">
        <v>145</v>
      </c>
      <c r="CE64" s="214" t="s">
        <v>70</v>
      </c>
      <c r="CF64" s="214" t="s">
        <v>530</v>
      </c>
      <c r="CH64" s="214" t="s">
        <v>4641</v>
      </c>
      <c r="CI64" s="214" t="s">
        <v>937</v>
      </c>
      <c r="CJ64" s="214" t="s">
        <v>70</v>
      </c>
      <c r="CK64" s="214" t="s">
        <v>530</v>
      </c>
      <c r="CM64" s="214" t="s">
        <v>4642</v>
      </c>
      <c r="CN64" s="214" t="s">
        <v>146</v>
      </c>
      <c r="CO64" s="214" t="s">
        <v>70</v>
      </c>
      <c r="CP64" s="214" t="s">
        <v>530</v>
      </c>
      <c r="CR64" s="214" t="s">
        <v>4643</v>
      </c>
      <c r="CS64" s="214" t="s">
        <v>85</v>
      </c>
      <c r="CT64" s="214" t="s">
        <v>70</v>
      </c>
      <c r="CU64" s="214" t="s">
        <v>530</v>
      </c>
      <c r="CW64" s="214" t="s">
        <v>4644</v>
      </c>
      <c r="CX64" s="214" t="s">
        <v>34545</v>
      </c>
      <c r="CY64" s="214" t="s">
        <v>70</v>
      </c>
      <c r="CZ64" s="214" t="s">
        <v>530</v>
      </c>
      <c r="DB64" s="214" t="s">
        <v>4645</v>
      </c>
      <c r="DC64" s="214" t="s">
        <v>34516</v>
      </c>
      <c r="DD64" s="214" t="s">
        <v>70</v>
      </c>
      <c r="DE64" s="214" t="s">
        <v>530</v>
      </c>
      <c r="DG64" s="214" t="s">
        <v>4646</v>
      </c>
      <c r="DH64" s="214" t="s">
        <v>52</v>
      </c>
      <c r="DI64" s="214" t="s">
        <v>70</v>
      </c>
      <c r="DJ64" s="214" t="s">
        <v>530</v>
      </c>
      <c r="DL64" s="214" t="s">
        <v>4647</v>
      </c>
      <c r="DM64" s="214" t="s">
        <v>90</v>
      </c>
      <c r="DN64" s="214" t="s">
        <v>70</v>
      </c>
      <c r="DO64" s="214" t="s">
        <v>530</v>
      </c>
      <c r="DQ64" s="214" t="s">
        <v>4648</v>
      </c>
      <c r="DR64" s="214" t="s">
        <v>52</v>
      </c>
      <c r="DS64" s="214" t="s">
        <v>70</v>
      </c>
      <c r="DT64" s="214" t="s">
        <v>530</v>
      </c>
      <c r="DV64" s="214" t="s">
        <v>4649</v>
      </c>
      <c r="DW64" s="214" t="s">
        <v>163</v>
      </c>
      <c r="DX64" s="214" t="s">
        <v>70</v>
      </c>
      <c r="DY64" s="214" t="s">
        <v>530</v>
      </c>
      <c r="EA64" s="214" t="s">
        <v>4650</v>
      </c>
      <c r="EB64" s="214" t="s">
        <v>52</v>
      </c>
      <c r="EC64" s="214" t="s">
        <v>70</v>
      </c>
      <c r="ED64" s="214" t="s">
        <v>530</v>
      </c>
      <c r="EF64" s="214" t="s">
        <v>4651</v>
      </c>
      <c r="EG64" s="214" t="s">
        <v>145</v>
      </c>
      <c r="EH64" s="214" t="s">
        <v>70</v>
      </c>
      <c r="EI64" s="214" t="s">
        <v>530</v>
      </c>
      <c r="EK64" s="214" t="s">
        <v>4652</v>
      </c>
      <c r="EL64" s="214" t="s">
        <v>88</v>
      </c>
      <c r="EM64" s="214" t="s">
        <v>70</v>
      </c>
      <c r="EN64" s="214" t="s">
        <v>530</v>
      </c>
      <c r="EP64" s="214" t="s">
        <v>4653</v>
      </c>
      <c r="EQ64" s="214" t="s">
        <v>52</v>
      </c>
      <c r="ER64" s="214" t="s">
        <v>70</v>
      </c>
      <c r="ES64" s="214" t="s">
        <v>530</v>
      </c>
      <c r="EU64" s="214" t="s">
        <v>4654</v>
      </c>
      <c r="EV64" s="214" t="s">
        <v>636</v>
      </c>
      <c r="EW64" s="214" t="s">
        <v>70</v>
      </c>
      <c r="EX64" s="214" t="s">
        <v>530</v>
      </c>
      <c r="EZ64" s="214" t="s">
        <v>4655</v>
      </c>
      <c r="FA64" s="214" t="s">
        <v>492</v>
      </c>
      <c r="FB64" s="214" t="s">
        <v>70</v>
      </c>
      <c r="FC64" s="214" t="s">
        <v>530</v>
      </c>
      <c r="FE64" s="214" t="s">
        <v>4656</v>
      </c>
      <c r="FF64" s="214" t="s">
        <v>52</v>
      </c>
      <c r="FG64" s="214" t="s">
        <v>70</v>
      </c>
      <c r="FH64" s="214" t="s">
        <v>530</v>
      </c>
      <c r="FJ64" s="321" t="s">
        <v>4657</v>
      </c>
      <c r="FK64" s="214" t="s">
        <v>34581</v>
      </c>
      <c r="FL64" s="214" t="s">
        <v>70</v>
      </c>
      <c r="FM64" s="214" t="s">
        <v>530</v>
      </c>
      <c r="FO64" s="321" t="s">
        <v>4658</v>
      </c>
      <c r="FP64" s="214" t="s">
        <v>490</v>
      </c>
      <c r="FQ64" s="214" t="s">
        <v>70</v>
      </c>
      <c r="FR64" s="214" t="s">
        <v>530</v>
      </c>
      <c r="FT64" s="321" t="s">
        <v>4659</v>
      </c>
      <c r="FU64" s="214" t="s">
        <v>602</v>
      </c>
      <c r="FV64" s="214" t="s">
        <v>70</v>
      </c>
      <c r="FW64" s="214" t="s">
        <v>530</v>
      </c>
      <c r="FY64" s="321" t="s">
        <v>4660</v>
      </c>
      <c r="FZ64" s="214" t="s">
        <v>305</v>
      </c>
      <c r="GA64" s="214" t="s">
        <v>70</v>
      </c>
      <c r="GB64" s="214" t="s">
        <v>530</v>
      </c>
      <c r="GD64" s="321" t="s">
        <v>4661</v>
      </c>
      <c r="GE64" s="214" t="s">
        <v>52</v>
      </c>
      <c r="GF64" s="214" t="s">
        <v>70</v>
      </c>
      <c r="GG64" s="214" t="s">
        <v>530</v>
      </c>
      <c r="GI64" s="321" t="s">
        <v>4662</v>
      </c>
      <c r="GJ64" s="214" t="s">
        <v>34551</v>
      </c>
      <c r="GK64" s="214" t="s">
        <v>70</v>
      </c>
      <c r="GL64" s="214" t="s">
        <v>530</v>
      </c>
      <c r="GN64" s="321" t="s">
        <v>4663</v>
      </c>
      <c r="GO64" s="214" t="s">
        <v>947</v>
      </c>
      <c r="GP64" s="214" t="s">
        <v>70</v>
      </c>
      <c r="GQ64" s="214" t="s">
        <v>530</v>
      </c>
      <c r="GS64" s="321" t="s">
        <v>4664</v>
      </c>
      <c r="GT64" s="214" t="s">
        <v>34653</v>
      </c>
      <c r="GU64" s="214" t="s">
        <v>70</v>
      </c>
      <c r="GV64" s="214" t="s">
        <v>530</v>
      </c>
      <c r="GX64" s="214" t="s">
        <v>4665</v>
      </c>
      <c r="GY64" s="214" t="s">
        <v>34579</v>
      </c>
      <c r="GZ64" s="214" t="s">
        <v>70</v>
      </c>
      <c r="HA64" s="214" t="s">
        <v>530</v>
      </c>
      <c r="HC64" s="214" t="s">
        <v>4666</v>
      </c>
      <c r="HD64" s="214" t="s">
        <v>92</v>
      </c>
      <c r="HE64" s="214" t="s">
        <v>70</v>
      </c>
      <c r="HF64" s="214" t="s">
        <v>530</v>
      </c>
      <c r="HH64" s="214" t="s">
        <v>4667</v>
      </c>
      <c r="HI64" s="214" t="s">
        <v>92</v>
      </c>
      <c r="HJ64" s="214" t="s">
        <v>70</v>
      </c>
      <c r="HK64" s="214" t="s">
        <v>530</v>
      </c>
      <c r="HM64" s="214" t="s">
        <v>4668</v>
      </c>
      <c r="HN64" s="214" t="s">
        <v>34538</v>
      </c>
      <c r="HO64" s="214" t="s">
        <v>70</v>
      </c>
      <c r="HP64" s="214" t="s">
        <v>530</v>
      </c>
      <c r="HR64" s="22" t="s">
        <v>4669</v>
      </c>
      <c r="HS64" s="22" t="s">
        <v>34550</v>
      </c>
      <c r="HT64" s="22" t="s">
        <v>70</v>
      </c>
      <c r="HU64" s="214" t="s">
        <v>530</v>
      </c>
      <c r="HW64" s="22" t="s">
        <v>4670</v>
      </c>
      <c r="HX64" s="22" t="s">
        <v>927</v>
      </c>
      <c r="HY64" s="22" t="s">
        <v>70</v>
      </c>
      <c r="HZ64" s="214" t="s">
        <v>530</v>
      </c>
      <c r="IB64" s="22" t="s">
        <v>4671</v>
      </c>
      <c r="IC64" s="22" t="s">
        <v>286</v>
      </c>
      <c r="ID64" s="22" t="s">
        <v>70</v>
      </c>
      <c r="IE64" s="214" t="s">
        <v>530</v>
      </c>
      <c r="IG64" s="22" t="s">
        <v>4672</v>
      </c>
      <c r="IH64" s="22" t="s">
        <v>148</v>
      </c>
      <c r="II64" s="22" t="s">
        <v>70</v>
      </c>
      <c r="IJ64" s="214" t="s">
        <v>530</v>
      </c>
      <c r="IL64" s="22" t="s">
        <v>4673</v>
      </c>
      <c r="IM64" s="22" t="s">
        <v>145</v>
      </c>
      <c r="IN64" s="22" t="s">
        <v>70</v>
      </c>
      <c r="IO64" s="214" t="s">
        <v>530</v>
      </c>
      <c r="IQ64" s="236" t="s">
        <v>4674</v>
      </c>
      <c r="IR64" s="236" t="s">
        <v>145</v>
      </c>
      <c r="IS64" s="236" t="s">
        <v>74</v>
      </c>
      <c r="IT64" s="236" t="s">
        <v>841</v>
      </c>
      <c r="IV64" s="236" t="s">
        <v>4675</v>
      </c>
      <c r="IW64" s="236" t="s">
        <v>145</v>
      </c>
      <c r="IX64" s="236" t="s">
        <v>74</v>
      </c>
      <c r="IY64" s="236" t="s">
        <v>841</v>
      </c>
      <c r="JA64" s="236" t="s">
        <v>4676</v>
      </c>
      <c r="JB64" s="236" t="s">
        <v>145</v>
      </c>
      <c r="JC64" s="236" t="s">
        <v>74</v>
      </c>
      <c r="JD64" s="236" t="s">
        <v>841</v>
      </c>
      <c r="JF64" s="236" t="s">
        <v>4677</v>
      </c>
      <c r="JG64" s="236" t="s">
        <v>145</v>
      </c>
      <c r="JH64" s="236" t="s">
        <v>74</v>
      </c>
      <c r="JI64" s="236" t="s">
        <v>841</v>
      </c>
      <c r="JK64" s="236" t="s">
        <v>4678</v>
      </c>
      <c r="JL64" s="236" t="s">
        <v>145</v>
      </c>
      <c r="JM64" s="236" t="s">
        <v>74</v>
      </c>
      <c r="JN64" s="236" t="s">
        <v>841</v>
      </c>
      <c r="JP64" s="236" t="s">
        <v>4679</v>
      </c>
      <c r="JQ64" s="236" t="s">
        <v>145</v>
      </c>
      <c r="JR64" s="236" t="s">
        <v>74</v>
      </c>
      <c r="JS64" s="236" t="s">
        <v>841</v>
      </c>
      <c r="JU64" s="294" t="s">
        <v>4680</v>
      </c>
      <c r="JV64" s="294" t="str">
        <f>TVIIBE1M_CalPairs!$R73</f>
        <v>0xC6</v>
      </c>
      <c r="JW64" s="218" t="s">
        <v>72</v>
      </c>
      <c r="JX64" s="294" t="str">
        <f>TVIIBE1M_CalPairs!$S73</f>
        <v>EFUSE_CTL</v>
      </c>
      <c r="JZ64" s="263" t="s">
        <v>4681</v>
      </c>
      <c r="KA64" s="263" t="s">
        <v>145</v>
      </c>
      <c r="KB64" s="263" t="s">
        <v>70</v>
      </c>
      <c r="KC64" s="263" t="s">
        <v>1083</v>
      </c>
      <c r="KE64" s="263" t="s">
        <v>4682</v>
      </c>
      <c r="KF64" s="263" t="s">
        <v>52</v>
      </c>
      <c r="KG64" s="263" t="s">
        <v>70</v>
      </c>
      <c r="KH64" s="263" t="s">
        <v>1083</v>
      </c>
      <c r="KJ64" s="263" t="s">
        <v>4683</v>
      </c>
      <c r="KK64" s="263" t="s">
        <v>52</v>
      </c>
      <c r="KL64" s="263" t="s">
        <v>74</v>
      </c>
      <c r="KM64" s="263" t="s">
        <v>34074</v>
      </c>
      <c r="KO64" s="214" t="s">
        <v>4684</v>
      </c>
      <c r="KP64" s="214" t="s">
        <v>145</v>
      </c>
      <c r="KQ64" s="214" t="s">
        <v>70</v>
      </c>
      <c r="KR64" s="214" t="s">
        <v>67</v>
      </c>
      <c r="KT64" s="22" t="s">
        <v>4685</v>
      </c>
      <c r="KU64" s="22" t="s">
        <v>145</v>
      </c>
      <c r="KV64" s="22" t="s">
        <v>70</v>
      </c>
      <c r="KW64" s="22" t="s">
        <v>67</v>
      </c>
      <c r="KY64" s="214" t="s">
        <v>4686</v>
      </c>
      <c r="KZ64" s="214" t="s">
        <v>52</v>
      </c>
      <c r="LA64" s="214" t="s">
        <v>74</v>
      </c>
      <c r="LB64" s="214" t="s">
        <v>67</v>
      </c>
      <c r="LD64" s="22" t="s">
        <v>4687</v>
      </c>
      <c r="LE64" s="22" t="s">
        <v>145</v>
      </c>
      <c r="LF64" s="22" t="s">
        <v>70</v>
      </c>
      <c r="LG64" s="22" t="s">
        <v>67</v>
      </c>
    </row>
    <row r="65" spans="1:319">
      <c r="A65" s="22" t="s">
        <v>4688</v>
      </c>
      <c r="B65" s="22" t="s">
        <v>145</v>
      </c>
      <c r="C65" s="22" t="s">
        <v>70</v>
      </c>
      <c r="D65" s="22" t="s">
        <v>67</v>
      </c>
      <c r="F65" s="23" t="s">
        <v>4689</v>
      </c>
      <c r="G65" s="23" t="str">
        <f>TVIIBE1M_CalPairs!$E62</f>
        <v>0x1F</v>
      </c>
      <c r="H65" s="23" t="s">
        <v>72</v>
      </c>
      <c r="I65" s="23" t="str">
        <f>TVIIBE1M_CalPairs!$C62</f>
        <v>CLK_TRIM_ECO_CTL_VAL2</v>
      </c>
      <c r="K65" s="22" t="s">
        <v>4690</v>
      </c>
      <c r="L65" s="22" t="s">
        <v>145</v>
      </c>
      <c r="M65" s="22" t="s">
        <v>70</v>
      </c>
      <c r="N65" s="22" t="s">
        <v>67</v>
      </c>
      <c r="P65" s="22" t="s">
        <v>4691</v>
      </c>
      <c r="Q65" s="22" t="s">
        <v>145</v>
      </c>
      <c r="R65" s="22" t="s">
        <v>70</v>
      </c>
      <c r="S65" s="22" t="s">
        <v>67</v>
      </c>
      <c r="U65" s="293" t="s">
        <v>4692</v>
      </c>
      <c r="V65" s="293" t="s">
        <v>145</v>
      </c>
      <c r="W65" s="293" t="s">
        <v>74</v>
      </c>
      <c r="X65" s="293" t="s">
        <v>656</v>
      </c>
      <c r="Z65" s="293" t="s">
        <v>4693</v>
      </c>
      <c r="AA65" s="293" t="s">
        <v>145</v>
      </c>
      <c r="AB65" s="293" t="s">
        <v>74</v>
      </c>
      <c r="AC65" s="293" t="s">
        <v>656</v>
      </c>
      <c r="AE65" s="293" t="s">
        <v>4694</v>
      </c>
      <c r="AF65" s="293" t="s">
        <v>145</v>
      </c>
      <c r="AG65" s="293" t="s">
        <v>74</v>
      </c>
      <c r="AH65" s="293" t="s">
        <v>656</v>
      </c>
      <c r="AJ65" s="293" t="s">
        <v>4695</v>
      </c>
      <c r="AK65" s="293" t="s">
        <v>145</v>
      </c>
      <c r="AL65" s="293" t="s">
        <v>74</v>
      </c>
      <c r="AM65" s="293" t="s">
        <v>656</v>
      </c>
      <c r="AO65" s="22" t="s">
        <v>4696</v>
      </c>
      <c r="AP65" s="22" t="s">
        <v>145</v>
      </c>
      <c r="AQ65" s="22" t="s">
        <v>70</v>
      </c>
      <c r="AR65" s="22" t="s">
        <v>67</v>
      </c>
      <c r="AT65" s="22" t="s">
        <v>4697</v>
      </c>
      <c r="AU65" s="22" t="s">
        <v>145</v>
      </c>
      <c r="AV65" s="22" t="s">
        <v>70</v>
      </c>
      <c r="AW65" s="22" t="s">
        <v>67</v>
      </c>
      <c r="AY65" s="22" t="s">
        <v>4698</v>
      </c>
      <c r="AZ65" s="22" t="s">
        <v>145</v>
      </c>
      <c r="BA65" s="22" t="s">
        <v>70</v>
      </c>
      <c r="BB65" s="22" t="s">
        <v>67</v>
      </c>
      <c r="BD65" s="22" t="s">
        <v>4699</v>
      </c>
      <c r="BE65" s="22" t="s">
        <v>145</v>
      </c>
      <c r="BF65" s="22" t="s">
        <v>70</v>
      </c>
      <c r="BG65" s="22" t="s">
        <v>67</v>
      </c>
      <c r="BI65" s="22" t="s">
        <v>4700</v>
      </c>
      <c r="BJ65" s="22" t="s">
        <v>145</v>
      </c>
      <c r="BK65" s="22" t="s">
        <v>70</v>
      </c>
      <c r="BL65" s="22" t="s">
        <v>67</v>
      </c>
      <c r="BN65" s="22" t="s">
        <v>4701</v>
      </c>
      <c r="BO65" s="22" t="s">
        <v>145</v>
      </c>
      <c r="BP65" s="22" t="s">
        <v>70</v>
      </c>
      <c r="BQ65" s="22" t="s">
        <v>67</v>
      </c>
      <c r="BS65" s="22" t="s">
        <v>4702</v>
      </c>
      <c r="BT65" s="22" t="s">
        <v>145</v>
      </c>
      <c r="BU65" s="22" t="s">
        <v>70</v>
      </c>
      <c r="BV65" s="214" t="s">
        <v>530</v>
      </c>
      <c r="BX65" s="22" t="s">
        <v>4703</v>
      </c>
      <c r="BY65" s="22" t="s">
        <v>145</v>
      </c>
      <c r="BZ65" s="22" t="s">
        <v>70</v>
      </c>
      <c r="CA65" s="214" t="s">
        <v>530</v>
      </c>
      <c r="CC65" s="214" t="s">
        <v>4704</v>
      </c>
      <c r="CD65" s="214" t="s">
        <v>85</v>
      </c>
      <c r="CE65" s="214" t="s">
        <v>70</v>
      </c>
      <c r="CF65" s="214" t="s">
        <v>530</v>
      </c>
      <c r="CH65" s="214" t="s">
        <v>4705</v>
      </c>
      <c r="CI65" s="214" t="s">
        <v>148</v>
      </c>
      <c r="CJ65" s="214" t="s">
        <v>70</v>
      </c>
      <c r="CK65" s="214" t="s">
        <v>530</v>
      </c>
      <c r="CM65" s="214" t="s">
        <v>4706</v>
      </c>
      <c r="CN65" s="214" t="s">
        <v>933</v>
      </c>
      <c r="CO65" s="214" t="s">
        <v>70</v>
      </c>
      <c r="CP65" s="214" t="s">
        <v>530</v>
      </c>
      <c r="CR65" s="214" t="s">
        <v>4707</v>
      </c>
      <c r="CS65" s="214" t="s">
        <v>34569</v>
      </c>
      <c r="CT65" s="214" t="s">
        <v>70</v>
      </c>
      <c r="CU65" s="214" t="s">
        <v>530</v>
      </c>
      <c r="CW65" s="214" t="s">
        <v>4708</v>
      </c>
      <c r="CX65" s="214" t="s">
        <v>34551</v>
      </c>
      <c r="CY65" s="214" t="s">
        <v>70</v>
      </c>
      <c r="CZ65" s="214" t="s">
        <v>530</v>
      </c>
      <c r="DB65" s="214" t="s">
        <v>4709</v>
      </c>
      <c r="DC65" s="214" t="s">
        <v>204</v>
      </c>
      <c r="DD65" s="214" t="s">
        <v>70</v>
      </c>
      <c r="DE65" s="214" t="s">
        <v>530</v>
      </c>
      <c r="DG65" s="214" t="s">
        <v>4710</v>
      </c>
      <c r="DH65" s="214" t="s">
        <v>950</v>
      </c>
      <c r="DI65" s="214" t="s">
        <v>70</v>
      </c>
      <c r="DJ65" s="214" t="s">
        <v>530</v>
      </c>
      <c r="DL65" s="214" t="s">
        <v>4711</v>
      </c>
      <c r="DM65" s="214" t="s">
        <v>52</v>
      </c>
      <c r="DN65" s="214" t="s">
        <v>70</v>
      </c>
      <c r="DO65" s="214" t="s">
        <v>530</v>
      </c>
      <c r="DQ65" s="214" t="s">
        <v>4712</v>
      </c>
      <c r="DR65" s="214" t="s">
        <v>485</v>
      </c>
      <c r="DS65" s="214" t="s">
        <v>70</v>
      </c>
      <c r="DT65" s="214" t="s">
        <v>530</v>
      </c>
      <c r="DV65" s="214" t="s">
        <v>4713</v>
      </c>
      <c r="DW65" s="214" t="s">
        <v>955</v>
      </c>
      <c r="DX65" s="214" t="s">
        <v>70</v>
      </c>
      <c r="DY65" s="214" t="s">
        <v>530</v>
      </c>
      <c r="EA65" s="214" t="s">
        <v>4714</v>
      </c>
      <c r="EB65" s="214" t="s">
        <v>468</v>
      </c>
      <c r="EC65" s="214" t="s">
        <v>70</v>
      </c>
      <c r="ED65" s="214" t="s">
        <v>530</v>
      </c>
      <c r="EF65" s="214" t="s">
        <v>4715</v>
      </c>
      <c r="EG65" s="214" t="s">
        <v>145</v>
      </c>
      <c r="EH65" s="214" t="s">
        <v>70</v>
      </c>
      <c r="EI65" s="214" t="s">
        <v>530</v>
      </c>
      <c r="EK65" s="214" t="s">
        <v>4716</v>
      </c>
      <c r="EL65" s="214" t="s">
        <v>481</v>
      </c>
      <c r="EM65" s="214" t="s">
        <v>70</v>
      </c>
      <c r="EN65" s="214" t="s">
        <v>530</v>
      </c>
      <c r="EP65" s="214" t="s">
        <v>4717</v>
      </c>
      <c r="EQ65" s="214" t="s">
        <v>468</v>
      </c>
      <c r="ER65" s="214" t="s">
        <v>70</v>
      </c>
      <c r="ES65" s="214" t="s">
        <v>530</v>
      </c>
      <c r="EU65" s="214" t="s">
        <v>4718</v>
      </c>
      <c r="EV65" s="214" t="s">
        <v>491</v>
      </c>
      <c r="EW65" s="214" t="s">
        <v>70</v>
      </c>
      <c r="EX65" s="214" t="s">
        <v>530</v>
      </c>
      <c r="EZ65" s="214" t="s">
        <v>4719</v>
      </c>
      <c r="FA65" s="214" t="s">
        <v>149</v>
      </c>
      <c r="FB65" s="214" t="s">
        <v>70</v>
      </c>
      <c r="FC65" s="214" t="s">
        <v>530</v>
      </c>
      <c r="FE65" s="214" t="s">
        <v>4720</v>
      </c>
      <c r="FF65" s="214" t="s">
        <v>484</v>
      </c>
      <c r="FG65" s="214" t="s">
        <v>70</v>
      </c>
      <c r="FH65" s="214" t="s">
        <v>530</v>
      </c>
      <c r="FJ65" s="321" t="s">
        <v>4721</v>
      </c>
      <c r="FK65" s="214" t="s">
        <v>146</v>
      </c>
      <c r="FL65" s="214" t="s">
        <v>70</v>
      </c>
      <c r="FM65" s="214" t="s">
        <v>530</v>
      </c>
      <c r="FO65" s="321" t="s">
        <v>4722</v>
      </c>
      <c r="FP65" s="214" t="s">
        <v>482</v>
      </c>
      <c r="FQ65" s="214" t="s">
        <v>70</v>
      </c>
      <c r="FR65" s="214" t="s">
        <v>530</v>
      </c>
      <c r="FT65" s="321" t="s">
        <v>4723</v>
      </c>
      <c r="FU65" s="214" t="s">
        <v>34637</v>
      </c>
      <c r="FV65" s="214" t="s">
        <v>70</v>
      </c>
      <c r="FW65" s="214" t="s">
        <v>530</v>
      </c>
      <c r="FY65" s="321" t="s">
        <v>4724</v>
      </c>
      <c r="FZ65" s="214" t="s">
        <v>484</v>
      </c>
      <c r="GA65" s="214" t="s">
        <v>70</v>
      </c>
      <c r="GB65" s="214" t="s">
        <v>530</v>
      </c>
      <c r="GD65" s="321" t="s">
        <v>4725</v>
      </c>
      <c r="GE65" s="214" t="s">
        <v>34550</v>
      </c>
      <c r="GF65" s="214" t="s">
        <v>70</v>
      </c>
      <c r="GG65" s="214" t="s">
        <v>530</v>
      </c>
      <c r="GI65" s="321" t="s">
        <v>4726</v>
      </c>
      <c r="GJ65" s="214" t="s">
        <v>34545</v>
      </c>
      <c r="GK65" s="214" t="s">
        <v>70</v>
      </c>
      <c r="GL65" s="214" t="s">
        <v>530</v>
      </c>
      <c r="GN65" s="321" t="s">
        <v>4727</v>
      </c>
      <c r="GO65" s="214" t="s">
        <v>501</v>
      </c>
      <c r="GP65" s="214" t="s">
        <v>70</v>
      </c>
      <c r="GQ65" s="214" t="s">
        <v>530</v>
      </c>
      <c r="GS65" s="321" t="s">
        <v>4728</v>
      </c>
      <c r="GT65" s="214" t="s">
        <v>145</v>
      </c>
      <c r="GU65" s="214" t="s">
        <v>70</v>
      </c>
      <c r="GV65" s="214" t="s">
        <v>530</v>
      </c>
      <c r="GX65" s="214" t="s">
        <v>4729</v>
      </c>
      <c r="GY65" s="214" t="s">
        <v>52</v>
      </c>
      <c r="GZ65" s="214" t="s">
        <v>70</v>
      </c>
      <c r="HA65" s="214" t="s">
        <v>530</v>
      </c>
      <c r="HC65" s="214" t="s">
        <v>4730</v>
      </c>
      <c r="HD65" s="214" t="s">
        <v>52</v>
      </c>
      <c r="HE65" s="214" t="s">
        <v>70</v>
      </c>
      <c r="HF65" s="214" t="s">
        <v>530</v>
      </c>
      <c r="HH65" s="214" t="s">
        <v>4731</v>
      </c>
      <c r="HI65" s="214" t="s">
        <v>496</v>
      </c>
      <c r="HJ65" s="214" t="s">
        <v>70</v>
      </c>
      <c r="HK65" s="214" t="s">
        <v>530</v>
      </c>
      <c r="HM65" s="214" t="s">
        <v>4732</v>
      </c>
      <c r="HN65" s="214" t="s">
        <v>34567</v>
      </c>
      <c r="HO65" s="214" t="s">
        <v>70</v>
      </c>
      <c r="HP65" s="214" t="s">
        <v>530</v>
      </c>
      <c r="HR65" s="22" t="s">
        <v>4733</v>
      </c>
      <c r="HS65" s="22" t="s">
        <v>52</v>
      </c>
      <c r="HT65" s="22" t="s">
        <v>70</v>
      </c>
      <c r="HU65" s="214" t="s">
        <v>530</v>
      </c>
      <c r="HW65" s="22" t="s">
        <v>4734</v>
      </c>
      <c r="HX65" s="22" t="s">
        <v>491</v>
      </c>
      <c r="HY65" s="22" t="s">
        <v>70</v>
      </c>
      <c r="HZ65" s="214" t="s">
        <v>530</v>
      </c>
      <c r="IB65" s="22" t="s">
        <v>4735</v>
      </c>
      <c r="IC65" s="22" t="s">
        <v>484</v>
      </c>
      <c r="ID65" s="22" t="s">
        <v>70</v>
      </c>
      <c r="IE65" s="214" t="s">
        <v>530</v>
      </c>
      <c r="IG65" s="22" t="s">
        <v>4736</v>
      </c>
      <c r="IH65" s="22" t="s">
        <v>52</v>
      </c>
      <c r="II65" s="22" t="s">
        <v>70</v>
      </c>
      <c r="IJ65" s="214" t="s">
        <v>530</v>
      </c>
      <c r="IL65" s="22" t="s">
        <v>4737</v>
      </c>
      <c r="IM65" s="22" t="s">
        <v>145</v>
      </c>
      <c r="IN65" s="22" t="s">
        <v>70</v>
      </c>
      <c r="IO65" s="214" t="s">
        <v>530</v>
      </c>
      <c r="IQ65" s="236" t="s">
        <v>4738</v>
      </c>
      <c r="IR65" s="236" t="s">
        <v>145</v>
      </c>
      <c r="IS65" s="236" t="s">
        <v>74</v>
      </c>
      <c r="IT65" s="236" t="s">
        <v>841</v>
      </c>
      <c r="IV65" s="236" t="s">
        <v>4739</v>
      </c>
      <c r="IW65" s="236" t="s">
        <v>145</v>
      </c>
      <c r="IX65" s="236" t="s">
        <v>74</v>
      </c>
      <c r="IY65" s="236" t="s">
        <v>841</v>
      </c>
      <c r="JA65" s="236" t="s">
        <v>4740</v>
      </c>
      <c r="JB65" s="236" t="s">
        <v>145</v>
      </c>
      <c r="JC65" s="236" t="s">
        <v>74</v>
      </c>
      <c r="JD65" s="236" t="s">
        <v>841</v>
      </c>
      <c r="JF65" s="236" t="s">
        <v>4741</v>
      </c>
      <c r="JG65" s="236" t="s">
        <v>145</v>
      </c>
      <c r="JH65" s="236" t="s">
        <v>74</v>
      </c>
      <c r="JI65" s="236" t="s">
        <v>841</v>
      </c>
      <c r="JK65" s="236" t="s">
        <v>4742</v>
      </c>
      <c r="JL65" s="236" t="s">
        <v>145</v>
      </c>
      <c r="JM65" s="236" t="s">
        <v>74</v>
      </c>
      <c r="JN65" s="236" t="s">
        <v>841</v>
      </c>
      <c r="JP65" s="236" t="s">
        <v>4743</v>
      </c>
      <c r="JQ65" s="236" t="s">
        <v>145</v>
      </c>
      <c r="JR65" s="236" t="s">
        <v>74</v>
      </c>
      <c r="JS65" s="236" t="s">
        <v>841</v>
      </c>
      <c r="JU65" s="294" t="s">
        <v>4744</v>
      </c>
      <c r="JV65" s="294" t="str">
        <f>TVIIBE1M_CalPairs!$R74</f>
        <v>0x00</v>
      </c>
      <c r="JW65" s="218" t="s">
        <v>72</v>
      </c>
      <c r="JX65" s="294" t="str">
        <f>TVIIBE1M_CalPairs!$S74</f>
        <v>EFUSE_CTL</v>
      </c>
      <c r="JZ65" s="263" t="s">
        <v>4745</v>
      </c>
      <c r="KA65" s="263" t="s">
        <v>145</v>
      </c>
      <c r="KB65" s="263" t="s">
        <v>70</v>
      </c>
      <c r="KC65" s="263" t="s">
        <v>1083</v>
      </c>
      <c r="KE65" s="263" t="s">
        <v>4746</v>
      </c>
      <c r="KF65" s="263" t="s">
        <v>52</v>
      </c>
      <c r="KG65" s="263" t="s">
        <v>70</v>
      </c>
      <c r="KH65" s="263" t="s">
        <v>1083</v>
      </c>
      <c r="KJ65" s="263" t="s">
        <v>4747</v>
      </c>
      <c r="KK65" s="263" t="s">
        <v>52</v>
      </c>
      <c r="KL65" s="263" t="s">
        <v>74</v>
      </c>
      <c r="KM65" s="263" t="s">
        <v>34074</v>
      </c>
      <c r="KO65" s="214" t="s">
        <v>4748</v>
      </c>
      <c r="KP65" s="214" t="s">
        <v>145</v>
      </c>
      <c r="KQ65" s="214" t="s">
        <v>70</v>
      </c>
      <c r="KR65" s="214" t="s">
        <v>67</v>
      </c>
      <c r="KT65" s="22" t="s">
        <v>4749</v>
      </c>
      <c r="KU65" s="22" t="s">
        <v>145</v>
      </c>
      <c r="KV65" s="22" t="s">
        <v>70</v>
      </c>
      <c r="KW65" s="22" t="s">
        <v>67</v>
      </c>
      <c r="KY65" s="214" t="s">
        <v>4750</v>
      </c>
      <c r="KZ65" s="214" t="s">
        <v>52</v>
      </c>
      <c r="LA65" s="214" t="s">
        <v>74</v>
      </c>
      <c r="LB65" s="214" t="s">
        <v>67</v>
      </c>
      <c r="LD65" s="22" t="s">
        <v>4751</v>
      </c>
      <c r="LE65" s="22" t="s">
        <v>145</v>
      </c>
      <c r="LF65" s="22" t="s">
        <v>70</v>
      </c>
      <c r="LG65" s="22" t="s">
        <v>67</v>
      </c>
    </row>
    <row r="66" spans="1:319">
      <c r="A66" s="22" t="s">
        <v>4752</v>
      </c>
      <c r="B66" s="22" t="s">
        <v>145</v>
      </c>
      <c r="C66" s="22" t="s">
        <v>70</v>
      </c>
      <c r="D66" s="22" t="s">
        <v>67</v>
      </c>
      <c r="F66" s="23" t="s">
        <v>4753</v>
      </c>
      <c r="G66" s="23" t="str">
        <f>TVIIBE1M_CalPairs!$E63</f>
        <v>0x00</v>
      </c>
      <c r="H66" s="23" t="s">
        <v>72</v>
      </c>
      <c r="I66" s="23" t="str">
        <f>TVIIBE1M_CalPairs!$C63</f>
        <v>CLK_TRIM_ECO_CTL_VAL3</v>
      </c>
      <c r="K66" s="22" t="s">
        <v>4754</v>
      </c>
      <c r="L66" s="22" t="s">
        <v>145</v>
      </c>
      <c r="M66" s="22" t="s">
        <v>70</v>
      </c>
      <c r="N66" s="22" t="s">
        <v>67</v>
      </c>
      <c r="P66" s="22" t="s">
        <v>4755</v>
      </c>
      <c r="Q66" s="22" t="s">
        <v>145</v>
      </c>
      <c r="R66" s="22" t="s">
        <v>70</v>
      </c>
      <c r="S66" s="22" t="s">
        <v>67</v>
      </c>
      <c r="U66" s="293" t="s">
        <v>4756</v>
      </c>
      <c r="V66" s="293" t="s">
        <v>145</v>
      </c>
      <c r="W66" s="293" t="s">
        <v>74</v>
      </c>
      <c r="X66" s="293" t="s">
        <v>656</v>
      </c>
      <c r="Z66" s="293" t="s">
        <v>4757</v>
      </c>
      <c r="AA66" s="293" t="s">
        <v>145</v>
      </c>
      <c r="AB66" s="293" t="s">
        <v>74</v>
      </c>
      <c r="AC66" s="293" t="s">
        <v>656</v>
      </c>
      <c r="AE66" s="293" t="s">
        <v>4758</v>
      </c>
      <c r="AF66" s="293" t="s">
        <v>145</v>
      </c>
      <c r="AG66" s="293" t="s">
        <v>74</v>
      </c>
      <c r="AH66" s="293" t="s">
        <v>656</v>
      </c>
      <c r="AJ66" s="293" t="s">
        <v>4759</v>
      </c>
      <c r="AK66" s="293" t="s">
        <v>145</v>
      </c>
      <c r="AL66" s="293" t="s">
        <v>74</v>
      </c>
      <c r="AM66" s="293" t="s">
        <v>656</v>
      </c>
      <c r="AO66" s="22" t="s">
        <v>4760</v>
      </c>
      <c r="AP66" s="22" t="s">
        <v>145</v>
      </c>
      <c r="AQ66" s="22" t="s">
        <v>70</v>
      </c>
      <c r="AR66" s="22" t="s">
        <v>67</v>
      </c>
      <c r="AT66" s="22" t="s">
        <v>4761</v>
      </c>
      <c r="AU66" s="22" t="s">
        <v>145</v>
      </c>
      <c r="AV66" s="22" t="s">
        <v>70</v>
      </c>
      <c r="AW66" s="22" t="s">
        <v>67</v>
      </c>
      <c r="AY66" s="22" t="s">
        <v>4762</v>
      </c>
      <c r="AZ66" s="22" t="s">
        <v>145</v>
      </c>
      <c r="BA66" s="22" t="s">
        <v>70</v>
      </c>
      <c r="BB66" s="22" t="s">
        <v>67</v>
      </c>
      <c r="BD66" s="22" t="s">
        <v>4763</v>
      </c>
      <c r="BE66" s="22" t="s">
        <v>145</v>
      </c>
      <c r="BF66" s="22" t="s">
        <v>70</v>
      </c>
      <c r="BG66" s="22" t="s">
        <v>67</v>
      </c>
      <c r="BI66" s="22" t="s">
        <v>4764</v>
      </c>
      <c r="BJ66" s="22" t="s">
        <v>145</v>
      </c>
      <c r="BK66" s="22" t="s">
        <v>70</v>
      </c>
      <c r="BL66" s="22" t="s">
        <v>67</v>
      </c>
      <c r="BN66" s="22" t="s">
        <v>4765</v>
      </c>
      <c r="BO66" s="22" t="s">
        <v>145</v>
      </c>
      <c r="BP66" s="22" t="s">
        <v>70</v>
      </c>
      <c r="BQ66" s="22" t="s">
        <v>67</v>
      </c>
      <c r="BS66" s="22" t="s">
        <v>4766</v>
      </c>
      <c r="BT66" s="22" t="s">
        <v>145</v>
      </c>
      <c r="BU66" s="22" t="s">
        <v>70</v>
      </c>
      <c r="BV66" s="214" t="s">
        <v>530</v>
      </c>
      <c r="BX66" s="22" t="s">
        <v>4767</v>
      </c>
      <c r="BY66" s="22" t="s">
        <v>145</v>
      </c>
      <c r="BZ66" s="22" t="s">
        <v>70</v>
      </c>
      <c r="CA66" s="214" t="s">
        <v>530</v>
      </c>
      <c r="CC66" s="214" t="s">
        <v>4768</v>
      </c>
      <c r="CD66" s="214" t="s">
        <v>34574</v>
      </c>
      <c r="CE66" s="214" t="s">
        <v>70</v>
      </c>
      <c r="CF66" s="214" t="s">
        <v>530</v>
      </c>
      <c r="CH66" s="214" t="s">
        <v>4769</v>
      </c>
      <c r="CI66" s="214" t="s">
        <v>468</v>
      </c>
      <c r="CJ66" s="214" t="s">
        <v>70</v>
      </c>
      <c r="CK66" s="214" t="s">
        <v>530</v>
      </c>
      <c r="CM66" s="214" t="s">
        <v>4770</v>
      </c>
      <c r="CN66" s="214" t="s">
        <v>34575</v>
      </c>
      <c r="CO66" s="214" t="s">
        <v>70</v>
      </c>
      <c r="CP66" s="214" t="s">
        <v>530</v>
      </c>
      <c r="CR66" s="214" t="s">
        <v>4771</v>
      </c>
      <c r="CS66" s="214" t="s">
        <v>34545</v>
      </c>
      <c r="CT66" s="214" t="s">
        <v>70</v>
      </c>
      <c r="CU66" s="214" t="s">
        <v>530</v>
      </c>
      <c r="CW66" s="214" t="s">
        <v>4772</v>
      </c>
      <c r="CX66" s="214" t="s">
        <v>529</v>
      </c>
      <c r="CY66" s="214" t="s">
        <v>70</v>
      </c>
      <c r="CZ66" s="214" t="s">
        <v>530</v>
      </c>
      <c r="DB66" s="214" t="s">
        <v>4773</v>
      </c>
      <c r="DC66" s="214" t="s">
        <v>468</v>
      </c>
      <c r="DD66" s="214" t="s">
        <v>70</v>
      </c>
      <c r="DE66" s="214" t="s">
        <v>530</v>
      </c>
      <c r="DG66" s="214" t="s">
        <v>4774</v>
      </c>
      <c r="DH66" s="214" t="s">
        <v>52</v>
      </c>
      <c r="DI66" s="214" t="s">
        <v>70</v>
      </c>
      <c r="DJ66" s="214" t="s">
        <v>530</v>
      </c>
      <c r="DL66" s="214" t="s">
        <v>4775</v>
      </c>
      <c r="DM66" s="214" t="s">
        <v>529</v>
      </c>
      <c r="DN66" s="214" t="s">
        <v>70</v>
      </c>
      <c r="DO66" s="214" t="s">
        <v>530</v>
      </c>
      <c r="DQ66" s="214" t="s">
        <v>4776</v>
      </c>
      <c r="DR66" s="214" t="s">
        <v>34550</v>
      </c>
      <c r="DS66" s="214" t="s">
        <v>70</v>
      </c>
      <c r="DT66" s="214" t="s">
        <v>530</v>
      </c>
      <c r="DV66" s="214" t="s">
        <v>4777</v>
      </c>
      <c r="DW66" s="214" t="s">
        <v>90</v>
      </c>
      <c r="DX66" s="214" t="s">
        <v>70</v>
      </c>
      <c r="DY66" s="214" t="s">
        <v>530</v>
      </c>
      <c r="EA66" s="214" t="s">
        <v>4778</v>
      </c>
      <c r="EB66" s="214" t="s">
        <v>916</v>
      </c>
      <c r="EC66" s="214" t="s">
        <v>70</v>
      </c>
      <c r="ED66" s="214" t="s">
        <v>530</v>
      </c>
      <c r="EF66" s="214" t="s">
        <v>4779</v>
      </c>
      <c r="EG66" s="214" t="s">
        <v>145</v>
      </c>
      <c r="EH66" s="214" t="s">
        <v>70</v>
      </c>
      <c r="EI66" s="214" t="s">
        <v>530</v>
      </c>
      <c r="EK66" s="214" t="s">
        <v>4780</v>
      </c>
      <c r="EL66" s="214" t="s">
        <v>484</v>
      </c>
      <c r="EM66" s="214" t="s">
        <v>70</v>
      </c>
      <c r="EN66" s="214" t="s">
        <v>530</v>
      </c>
      <c r="EP66" s="214" t="s">
        <v>4781</v>
      </c>
      <c r="EQ66" s="214" t="s">
        <v>34575</v>
      </c>
      <c r="ER66" s="214" t="s">
        <v>70</v>
      </c>
      <c r="ES66" s="214" t="s">
        <v>530</v>
      </c>
      <c r="EU66" s="214" t="s">
        <v>4782</v>
      </c>
      <c r="EV66" s="214" t="s">
        <v>34226</v>
      </c>
      <c r="EW66" s="214" t="s">
        <v>70</v>
      </c>
      <c r="EX66" s="214" t="s">
        <v>530</v>
      </c>
      <c r="EZ66" s="214" t="s">
        <v>4783</v>
      </c>
      <c r="FA66" s="214" t="s">
        <v>912</v>
      </c>
      <c r="FB66" s="214" t="s">
        <v>70</v>
      </c>
      <c r="FC66" s="214" t="s">
        <v>530</v>
      </c>
      <c r="FE66" s="214" t="s">
        <v>4784</v>
      </c>
      <c r="FF66" s="214" t="s">
        <v>34537</v>
      </c>
      <c r="FG66" s="214" t="s">
        <v>70</v>
      </c>
      <c r="FH66" s="214" t="s">
        <v>530</v>
      </c>
      <c r="FJ66" s="321" t="s">
        <v>4785</v>
      </c>
      <c r="FK66" s="214" t="s">
        <v>52</v>
      </c>
      <c r="FL66" s="214" t="s">
        <v>70</v>
      </c>
      <c r="FM66" s="214" t="s">
        <v>530</v>
      </c>
      <c r="FO66" s="321" t="s">
        <v>4786</v>
      </c>
      <c r="FP66" s="214" t="s">
        <v>85</v>
      </c>
      <c r="FQ66" s="214" t="s">
        <v>70</v>
      </c>
      <c r="FR66" s="214" t="s">
        <v>530</v>
      </c>
      <c r="FT66" s="321" t="s">
        <v>4787</v>
      </c>
      <c r="FU66" s="214" t="s">
        <v>52</v>
      </c>
      <c r="FV66" s="214" t="s">
        <v>70</v>
      </c>
      <c r="FW66" s="214" t="s">
        <v>530</v>
      </c>
      <c r="FY66" s="321" t="s">
        <v>4788</v>
      </c>
      <c r="FZ66" s="214" t="s">
        <v>52</v>
      </c>
      <c r="GA66" s="214" t="s">
        <v>70</v>
      </c>
      <c r="GB66" s="214" t="s">
        <v>530</v>
      </c>
      <c r="GD66" s="321" t="s">
        <v>4789</v>
      </c>
      <c r="GE66" s="214" t="s">
        <v>146</v>
      </c>
      <c r="GF66" s="214" t="s">
        <v>70</v>
      </c>
      <c r="GG66" s="214" t="s">
        <v>530</v>
      </c>
      <c r="GI66" s="321" t="s">
        <v>4790</v>
      </c>
      <c r="GJ66" s="214" t="s">
        <v>485</v>
      </c>
      <c r="GK66" s="214" t="s">
        <v>70</v>
      </c>
      <c r="GL66" s="214" t="s">
        <v>530</v>
      </c>
      <c r="GN66" s="321" t="s">
        <v>4791</v>
      </c>
      <c r="GO66" s="214" t="s">
        <v>103</v>
      </c>
      <c r="GP66" s="214" t="s">
        <v>70</v>
      </c>
      <c r="GQ66" s="214" t="s">
        <v>530</v>
      </c>
      <c r="GS66" s="321" t="s">
        <v>4792</v>
      </c>
      <c r="GT66" s="214" t="s">
        <v>205</v>
      </c>
      <c r="GU66" s="214" t="s">
        <v>70</v>
      </c>
      <c r="GV66" s="214" t="s">
        <v>530</v>
      </c>
      <c r="GX66" s="214" t="s">
        <v>4793</v>
      </c>
      <c r="GY66" s="214" t="s">
        <v>601</v>
      </c>
      <c r="GZ66" s="214" t="s">
        <v>70</v>
      </c>
      <c r="HA66" s="214" t="s">
        <v>530</v>
      </c>
      <c r="HC66" s="214" t="s">
        <v>4794</v>
      </c>
      <c r="HD66" s="214" t="s">
        <v>481</v>
      </c>
      <c r="HE66" s="214" t="s">
        <v>70</v>
      </c>
      <c r="HF66" s="214" t="s">
        <v>530</v>
      </c>
      <c r="HH66" s="214" t="s">
        <v>4795</v>
      </c>
      <c r="HI66" s="214" t="s">
        <v>930</v>
      </c>
      <c r="HJ66" s="214" t="s">
        <v>70</v>
      </c>
      <c r="HK66" s="214" t="s">
        <v>530</v>
      </c>
      <c r="HM66" s="214" t="s">
        <v>4796</v>
      </c>
      <c r="HN66" s="214" t="s">
        <v>90</v>
      </c>
      <c r="HO66" s="214" t="s">
        <v>70</v>
      </c>
      <c r="HP66" s="214" t="s">
        <v>530</v>
      </c>
      <c r="HR66" s="22" t="s">
        <v>4797</v>
      </c>
      <c r="HS66" s="22" t="s">
        <v>34579</v>
      </c>
      <c r="HT66" s="22" t="s">
        <v>70</v>
      </c>
      <c r="HU66" s="214" t="s">
        <v>530</v>
      </c>
      <c r="HW66" s="22" t="s">
        <v>4798</v>
      </c>
      <c r="HX66" s="22" t="s">
        <v>52</v>
      </c>
      <c r="HY66" s="22" t="s">
        <v>70</v>
      </c>
      <c r="HZ66" s="214" t="s">
        <v>530</v>
      </c>
      <c r="IB66" s="22" t="s">
        <v>4799</v>
      </c>
      <c r="IC66" s="22" t="s">
        <v>34516</v>
      </c>
      <c r="ID66" s="22" t="s">
        <v>70</v>
      </c>
      <c r="IE66" s="214" t="s">
        <v>530</v>
      </c>
      <c r="IG66" s="22" t="s">
        <v>4800</v>
      </c>
      <c r="IH66" s="22" t="s">
        <v>52</v>
      </c>
      <c r="II66" s="22" t="s">
        <v>70</v>
      </c>
      <c r="IJ66" s="214" t="s">
        <v>530</v>
      </c>
      <c r="IL66" s="22" t="s">
        <v>4801</v>
      </c>
      <c r="IM66" s="22" t="s">
        <v>145</v>
      </c>
      <c r="IN66" s="22" t="s">
        <v>70</v>
      </c>
      <c r="IO66" s="214" t="s">
        <v>530</v>
      </c>
      <c r="IQ66" s="236" t="s">
        <v>4802</v>
      </c>
      <c r="IR66" s="236" t="s">
        <v>145</v>
      </c>
      <c r="IS66" s="236" t="s">
        <v>74</v>
      </c>
      <c r="IT66" s="236" t="s">
        <v>841</v>
      </c>
      <c r="IV66" s="236" t="s">
        <v>4803</v>
      </c>
      <c r="IW66" s="236" t="s">
        <v>145</v>
      </c>
      <c r="IX66" s="236" t="s">
        <v>74</v>
      </c>
      <c r="IY66" s="236" t="s">
        <v>841</v>
      </c>
      <c r="JA66" s="236" t="s">
        <v>4804</v>
      </c>
      <c r="JB66" s="236" t="s">
        <v>145</v>
      </c>
      <c r="JC66" s="236" t="s">
        <v>74</v>
      </c>
      <c r="JD66" s="236" t="s">
        <v>841</v>
      </c>
      <c r="JF66" s="236" t="s">
        <v>4805</v>
      </c>
      <c r="JG66" s="236" t="s">
        <v>145</v>
      </c>
      <c r="JH66" s="236" t="s">
        <v>74</v>
      </c>
      <c r="JI66" s="236" t="s">
        <v>841</v>
      </c>
      <c r="JK66" s="236" t="s">
        <v>4806</v>
      </c>
      <c r="JL66" s="236" t="s">
        <v>145</v>
      </c>
      <c r="JM66" s="236" t="s">
        <v>74</v>
      </c>
      <c r="JN66" s="236" t="s">
        <v>841</v>
      </c>
      <c r="JP66" s="236" t="s">
        <v>4807</v>
      </c>
      <c r="JQ66" s="236" t="s">
        <v>145</v>
      </c>
      <c r="JR66" s="236" t="s">
        <v>74</v>
      </c>
      <c r="JS66" s="236" t="s">
        <v>841</v>
      </c>
      <c r="JU66" s="294" t="s">
        <v>4808</v>
      </c>
      <c r="JV66" s="294" t="str">
        <f>TVIIBE1M_CalPairs!$R75</f>
        <v>0xBF</v>
      </c>
      <c r="JW66" s="263" t="s">
        <v>70</v>
      </c>
      <c r="JX66" s="294" t="str">
        <f>TVIIBE1M_CalPairs!$Q75</f>
        <v>PPU3_SL_CONFIG</v>
      </c>
      <c r="JZ66" s="263" t="s">
        <v>4809</v>
      </c>
      <c r="KA66" s="263" t="s">
        <v>145</v>
      </c>
      <c r="KB66" s="263" t="s">
        <v>70</v>
      </c>
      <c r="KC66" s="263" t="s">
        <v>1083</v>
      </c>
      <c r="KE66" s="263" t="s">
        <v>4810</v>
      </c>
      <c r="KF66" s="263" t="s">
        <v>52</v>
      </c>
      <c r="KG66" s="263" t="s">
        <v>70</v>
      </c>
      <c r="KH66" s="263" t="s">
        <v>1083</v>
      </c>
      <c r="KJ66" s="263" t="s">
        <v>4811</v>
      </c>
      <c r="KK66" s="263" t="s">
        <v>52</v>
      </c>
      <c r="KL66" s="263" t="s">
        <v>74</v>
      </c>
      <c r="KM66" s="263" t="s">
        <v>34074</v>
      </c>
      <c r="KO66" s="214" t="s">
        <v>4812</v>
      </c>
      <c r="KP66" s="214" t="s">
        <v>145</v>
      </c>
      <c r="KQ66" s="214" t="s">
        <v>70</v>
      </c>
      <c r="KR66" s="214" t="s">
        <v>67</v>
      </c>
      <c r="KT66" s="22" t="s">
        <v>4813</v>
      </c>
      <c r="KU66" s="22" t="s">
        <v>145</v>
      </c>
      <c r="KV66" s="22" t="s">
        <v>70</v>
      </c>
      <c r="KW66" s="22" t="s">
        <v>67</v>
      </c>
      <c r="KY66" s="214" t="s">
        <v>4814</v>
      </c>
      <c r="KZ66" s="214" t="s">
        <v>52</v>
      </c>
      <c r="LA66" s="214" t="s">
        <v>74</v>
      </c>
      <c r="LB66" s="214" t="s">
        <v>67</v>
      </c>
      <c r="LD66" s="22" t="s">
        <v>4815</v>
      </c>
      <c r="LE66" s="22" t="s">
        <v>145</v>
      </c>
      <c r="LF66" s="22" t="s">
        <v>70</v>
      </c>
      <c r="LG66" s="22" t="s">
        <v>67</v>
      </c>
    </row>
    <row r="67" spans="1:319">
      <c r="A67" s="22" t="s">
        <v>4816</v>
      </c>
      <c r="B67" s="22" t="s">
        <v>145</v>
      </c>
      <c r="C67" s="22" t="s">
        <v>70</v>
      </c>
      <c r="D67" s="22" t="s">
        <v>67</v>
      </c>
      <c r="F67" s="23" t="s">
        <v>4817</v>
      </c>
      <c r="G67" s="23" t="str">
        <f>TVIIBE1M_CalPairs!$E64</f>
        <v>0x1F</v>
      </c>
      <c r="H67" s="23" t="s">
        <v>72</v>
      </c>
      <c r="I67" s="23" t="str">
        <f>TVIIBE1M_CalPairs!$C64</f>
        <v>CLK_TRIM_ECO_CTL2_VAL0</v>
      </c>
      <c r="K67" s="22" t="s">
        <v>4818</v>
      </c>
      <c r="L67" s="22" t="s">
        <v>145</v>
      </c>
      <c r="M67" s="22" t="s">
        <v>70</v>
      </c>
      <c r="N67" s="22" t="s">
        <v>67</v>
      </c>
      <c r="P67" s="22" t="s">
        <v>4819</v>
      </c>
      <c r="Q67" s="22" t="s">
        <v>145</v>
      </c>
      <c r="R67" s="22" t="s">
        <v>70</v>
      </c>
      <c r="S67" s="22" t="s">
        <v>67</v>
      </c>
      <c r="U67" s="293" t="s">
        <v>4820</v>
      </c>
      <c r="V67" s="293" t="s">
        <v>145</v>
      </c>
      <c r="W67" s="293" t="s">
        <v>74</v>
      </c>
      <c r="X67" s="293" t="s">
        <v>656</v>
      </c>
      <c r="Z67" s="293" t="s">
        <v>4821</v>
      </c>
      <c r="AA67" s="293" t="s">
        <v>145</v>
      </c>
      <c r="AB67" s="293" t="s">
        <v>74</v>
      </c>
      <c r="AC67" s="293" t="s">
        <v>656</v>
      </c>
      <c r="AE67" s="293" t="s">
        <v>4822</v>
      </c>
      <c r="AF67" s="293" t="s">
        <v>145</v>
      </c>
      <c r="AG67" s="293" t="s">
        <v>74</v>
      </c>
      <c r="AH67" s="293" t="s">
        <v>656</v>
      </c>
      <c r="AJ67" s="293" t="s">
        <v>4823</v>
      </c>
      <c r="AK67" s="293" t="s">
        <v>145</v>
      </c>
      <c r="AL67" s="293" t="s">
        <v>74</v>
      </c>
      <c r="AM67" s="293" t="s">
        <v>656</v>
      </c>
      <c r="AO67" s="22" t="s">
        <v>4824</v>
      </c>
      <c r="AP67" s="22" t="s">
        <v>145</v>
      </c>
      <c r="AQ67" s="22" t="s">
        <v>70</v>
      </c>
      <c r="AR67" s="22" t="s">
        <v>67</v>
      </c>
      <c r="AT67" s="22" t="s">
        <v>4825</v>
      </c>
      <c r="AU67" s="22" t="s">
        <v>145</v>
      </c>
      <c r="AV67" s="22" t="s">
        <v>70</v>
      </c>
      <c r="AW67" s="22" t="s">
        <v>67</v>
      </c>
      <c r="AY67" s="22" t="s">
        <v>4826</v>
      </c>
      <c r="AZ67" s="22" t="s">
        <v>145</v>
      </c>
      <c r="BA67" s="22" t="s">
        <v>70</v>
      </c>
      <c r="BB67" s="22" t="s">
        <v>67</v>
      </c>
      <c r="BD67" s="22" t="s">
        <v>4827</v>
      </c>
      <c r="BE67" s="22" t="s">
        <v>145</v>
      </c>
      <c r="BF67" s="22" t="s">
        <v>70</v>
      </c>
      <c r="BG67" s="22" t="s">
        <v>67</v>
      </c>
      <c r="BI67" s="22" t="s">
        <v>4828</v>
      </c>
      <c r="BJ67" s="22" t="s">
        <v>145</v>
      </c>
      <c r="BK67" s="22" t="s">
        <v>70</v>
      </c>
      <c r="BL67" s="22" t="s">
        <v>67</v>
      </c>
      <c r="BN67" s="22" t="s">
        <v>4829</v>
      </c>
      <c r="BO67" s="22" t="s">
        <v>145</v>
      </c>
      <c r="BP67" s="22" t="s">
        <v>70</v>
      </c>
      <c r="BQ67" s="22" t="s">
        <v>67</v>
      </c>
      <c r="BS67" s="22" t="s">
        <v>4830</v>
      </c>
      <c r="BT67" s="22" t="s">
        <v>145</v>
      </c>
      <c r="BU67" s="22" t="s">
        <v>70</v>
      </c>
      <c r="BV67" s="214" t="s">
        <v>530</v>
      </c>
      <c r="BX67" s="22" t="s">
        <v>4831</v>
      </c>
      <c r="BY67" s="22" t="s">
        <v>145</v>
      </c>
      <c r="BZ67" s="22" t="s">
        <v>70</v>
      </c>
      <c r="CA67" s="214" t="s">
        <v>530</v>
      </c>
      <c r="CC67" s="214" t="s">
        <v>4832</v>
      </c>
      <c r="CD67" s="214" t="s">
        <v>949</v>
      </c>
      <c r="CE67" s="214" t="s">
        <v>70</v>
      </c>
      <c r="CF67" s="214" t="s">
        <v>530</v>
      </c>
      <c r="CH67" s="214" t="s">
        <v>4833</v>
      </c>
      <c r="CI67" s="214" t="s">
        <v>926</v>
      </c>
      <c r="CJ67" s="214" t="s">
        <v>70</v>
      </c>
      <c r="CK67" s="214" t="s">
        <v>530</v>
      </c>
      <c r="CM67" s="214" t="s">
        <v>4834</v>
      </c>
      <c r="CN67" s="214" t="s">
        <v>52</v>
      </c>
      <c r="CO67" s="214" t="s">
        <v>70</v>
      </c>
      <c r="CP67" s="214" t="s">
        <v>530</v>
      </c>
      <c r="CR67" s="214" t="s">
        <v>4835</v>
      </c>
      <c r="CS67" s="214" t="s">
        <v>34551</v>
      </c>
      <c r="CT67" s="214" t="s">
        <v>70</v>
      </c>
      <c r="CU67" s="214" t="s">
        <v>530</v>
      </c>
      <c r="CW67" s="214" t="s">
        <v>4836</v>
      </c>
      <c r="CX67" s="214" t="s">
        <v>164</v>
      </c>
      <c r="CY67" s="214" t="s">
        <v>70</v>
      </c>
      <c r="CZ67" s="214" t="s">
        <v>530</v>
      </c>
      <c r="DB67" s="214" t="s">
        <v>4837</v>
      </c>
      <c r="DC67" s="214" t="s">
        <v>484</v>
      </c>
      <c r="DD67" s="214" t="s">
        <v>70</v>
      </c>
      <c r="DE67" s="214" t="s">
        <v>530</v>
      </c>
      <c r="DG67" s="214" t="s">
        <v>4838</v>
      </c>
      <c r="DH67" s="214" t="s">
        <v>292</v>
      </c>
      <c r="DI67" s="214" t="s">
        <v>70</v>
      </c>
      <c r="DJ67" s="214" t="s">
        <v>530</v>
      </c>
      <c r="DL67" s="214" t="s">
        <v>4839</v>
      </c>
      <c r="DM67" s="214" t="s">
        <v>93</v>
      </c>
      <c r="DN67" s="214" t="s">
        <v>70</v>
      </c>
      <c r="DO67" s="214" t="s">
        <v>530</v>
      </c>
      <c r="DQ67" s="214" t="s">
        <v>4840</v>
      </c>
      <c r="DR67" s="214" t="s">
        <v>34544</v>
      </c>
      <c r="DS67" s="214" t="s">
        <v>70</v>
      </c>
      <c r="DT67" s="214" t="s">
        <v>530</v>
      </c>
      <c r="DV67" s="214" t="s">
        <v>4841</v>
      </c>
      <c r="DW67" s="214" t="s">
        <v>88</v>
      </c>
      <c r="DX67" s="214" t="s">
        <v>70</v>
      </c>
      <c r="DY67" s="214" t="s">
        <v>530</v>
      </c>
      <c r="EA67" s="214" t="s">
        <v>4842</v>
      </c>
      <c r="EB67" s="214" t="s">
        <v>518</v>
      </c>
      <c r="EC67" s="214" t="s">
        <v>70</v>
      </c>
      <c r="ED67" s="214" t="s">
        <v>530</v>
      </c>
      <c r="EF67" s="214" t="s">
        <v>4843</v>
      </c>
      <c r="EG67" s="214" t="s">
        <v>33910</v>
      </c>
      <c r="EH67" s="214" t="s">
        <v>70</v>
      </c>
      <c r="EI67" s="214" t="s">
        <v>530</v>
      </c>
      <c r="EK67" s="214" t="s">
        <v>4844</v>
      </c>
      <c r="EL67" s="214" t="s">
        <v>926</v>
      </c>
      <c r="EM67" s="214" t="s">
        <v>70</v>
      </c>
      <c r="EN67" s="214" t="s">
        <v>530</v>
      </c>
      <c r="EP67" s="214" t="s">
        <v>4845</v>
      </c>
      <c r="EQ67" s="214" t="s">
        <v>926</v>
      </c>
      <c r="ER67" s="214" t="s">
        <v>70</v>
      </c>
      <c r="ES67" s="214" t="s">
        <v>530</v>
      </c>
      <c r="EU67" s="214" t="s">
        <v>4846</v>
      </c>
      <c r="EV67" s="214" t="s">
        <v>492</v>
      </c>
      <c r="EW67" s="214" t="s">
        <v>70</v>
      </c>
      <c r="EX67" s="214" t="s">
        <v>530</v>
      </c>
      <c r="EZ67" s="214" t="s">
        <v>4847</v>
      </c>
      <c r="FA67" s="214" t="s">
        <v>491</v>
      </c>
      <c r="FB67" s="214" t="s">
        <v>70</v>
      </c>
      <c r="FC67" s="214" t="s">
        <v>530</v>
      </c>
      <c r="FE67" s="214" t="s">
        <v>4848</v>
      </c>
      <c r="FF67" s="214" t="s">
        <v>103</v>
      </c>
      <c r="FG67" s="214" t="s">
        <v>70</v>
      </c>
      <c r="FH67" s="214" t="s">
        <v>530</v>
      </c>
      <c r="FJ67" s="321" t="s">
        <v>4849</v>
      </c>
      <c r="FK67" s="214" t="s">
        <v>34641</v>
      </c>
      <c r="FL67" s="214" t="s">
        <v>70</v>
      </c>
      <c r="FM67" s="214" t="s">
        <v>530</v>
      </c>
      <c r="FO67" s="321" t="s">
        <v>4850</v>
      </c>
      <c r="FP67" s="214" t="s">
        <v>52</v>
      </c>
      <c r="FQ67" s="214" t="s">
        <v>70</v>
      </c>
      <c r="FR67" s="214" t="s">
        <v>530</v>
      </c>
      <c r="FT67" s="321" t="s">
        <v>4851</v>
      </c>
      <c r="FU67" s="214" t="s">
        <v>52</v>
      </c>
      <c r="FV67" s="214" t="s">
        <v>70</v>
      </c>
      <c r="FW67" s="214" t="s">
        <v>530</v>
      </c>
      <c r="FY67" s="321" t="s">
        <v>4852</v>
      </c>
      <c r="FZ67" s="214" t="s">
        <v>484</v>
      </c>
      <c r="GA67" s="214" t="s">
        <v>70</v>
      </c>
      <c r="GB67" s="214" t="s">
        <v>530</v>
      </c>
      <c r="GD67" s="321" t="s">
        <v>4853</v>
      </c>
      <c r="GE67" s="214" t="s">
        <v>93</v>
      </c>
      <c r="GF67" s="214" t="s">
        <v>70</v>
      </c>
      <c r="GG67" s="214" t="s">
        <v>530</v>
      </c>
      <c r="GI67" s="321" t="s">
        <v>4854</v>
      </c>
      <c r="GJ67" s="214" t="s">
        <v>52</v>
      </c>
      <c r="GK67" s="214" t="s">
        <v>70</v>
      </c>
      <c r="GL67" s="214" t="s">
        <v>530</v>
      </c>
      <c r="GN67" s="321" t="s">
        <v>4855</v>
      </c>
      <c r="GO67" s="214" t="s">
        <v>34580</v>
      </c>
      <c r="GP67" s="214" t="s">
        <v>70</v>
      </c>
      <c r="GQ67" s="214" t="s">
        <v>530</v>
      </c>
      <c r="GS67" s="321" t="s">
        <v>4856</v>
      </c>
      <c r="GT67" s="214" t="s">
        <v>468</v>
      </c>
      <c r="GU67" s="214" t="s">
        <v>70</v>
      </c>
      <c r="GV67" s="214" t="s">
        <v>530</v>
      </c>
      <c r="GX67" s="214" t="s">
        <v>4857</v>
      </c>
      <c r="GY67" s="214" t="s">
        <v>52</v>
      </c>
      <c r="GZ67" s="214" t="s">
        <v>70</v>
      </c>
      <c r="HA67" s="214" t="s">
        <v>530</v>
      </c>
      <c r="HC67" s="214" t="s">
        <v>4858</v>
      </c>
      <c r="HD67" s="214" t="s">
        <v>487</v>
      </c>
      <c r="HE67" s="214" t="s">
        <v>70</v>
      </c>
      <c r="HF67" s="214" t="s">
        <v>530</v>
      </c>
      <c r="HH67" s="214" t="s">
        <v>4859</v>
      </c>
      <c r="HI67" s="214" t="s">
        <v>492</v>
      </c>
      <c r="HJ67" s="214" t="s">
        <v>70</v>
      </c>
      <c r="HK67" s="214" t="s">
        <v>530</v>
      </c>
      <c r="HM67" s="214" t="s">
        <v>4860</v>
      </c>
      <c r="HN67" s="214" t="s">
        <v>502</v>
      </c>
      <c r="HO67" s="214" t="s">
        <v>70</v>
      </c>
      <c r="HP67" s="214" t="s">
        <v>530</v>
      </c>
      <c r="HR67" s="22" t="s">
        <v>4861</v>
      </c>
      <c r="HS67" s="22" t="s">
        <v>34598</v>
      </c>
      <c r="HT67" s="22" t="s">
        <v>70</v>
      </c>
      <c r="HU67" s="214" t="s">
        <v>530</v>
      </c>
      <c r="HW67" s="22" t="s">
        <v>4862</v>
      </c>
      <c r="HX67" s="22" t="s">
        <v>484</v>
      </c>
      <c r="HY67" s="22" t="s">
        <v>70</v>
      </c>
      <c r="HZ67" s="214" t="s">
        <v>530</v>
      </c>
      <c r="IB67" s="22" t="s">
        <v>4863</v>
      </c>
      <c r="IC67" s="22" t="s">
        <v>531</v>
      </c>
      <c r="ID67" s="22" t="s">
        <v>70</v>
      </c>
      <c r="IE67" s="214" t="s">
        <v>530</v>
      </c>
      <c r="IG67" s="22" t="s">
        <v>4864</v>
      </c>
      <c r="IH67" s="22" t="s">
        <v>52</v>
      </c>
      <c r="II67" s="22" t="s">
        <v>70</v>
      </c>
      <c r="IJ67" s="214" t="s">
        <v>530</v>
      </c>
      <c r="IL67" s="22" t="s">
        <v>4865</v>
      </c>
      <c r="IM67" s="22" t="s">
        <v>145</v>
      </c>
      <c r="IN67" s="22" t="s">
        <v>70</v>
      </c>
      <c r="IO67" s="214" t="s">
        <v>530</v>
      </c>
      <c r="IQ67" s="236" t="s">
        <v>4866</v>
      </c>
      <c r="IR67" s="236" t="s">
        <v>145</v>
      </c>
      <c r="IS67" s="236" t="s">
        <v>74</v>
      </c>
      <c r="IT67" s="236" t="s">
        <v>841</v>
      </c>
      <c r="IV67" s="236" t="s">
        <v>4867</v>
      </c>
      <c r="IW67" s="236" t="s">
        <v>145</v>
      </c>
      <c r="IX67" s="236" t="s">
        <v>74</v>
      </c>
      <c r="IY67" s="236" t="s">
        <v>841</v>
      </c>
      <c r="JA67" s="236" t="s">
        <v>4868</v>
      </c>
      <c r="JB67" s="236" t="s">
        <v>145</v>
      </c>
      <c r="JC67" s="236" t="s">
        <v>74</v>
      </c>
      <c r="JD67" s="236" t="s">
        <v>841</v>
      </c>
      <c r="JF67" s="236" t="s">
        <v>4869</v>
      </c>
      <c r="JG67" s="236" t="s">
        <v>145</v>
      </c>
      <c r="JH67" s="236" t="s">
        <v>74</v>
      </c>
      <c r="JI67" s="236" t="s">
        <v>841</v>
      </c>
      <c r="JK67" s="236" t="s">
        <v>4870</v>
      </c>
      <c r="JL67" s="236" t="s">
        <v>145</v>
      </c>
      <c r="JM67" s="236" t="s">
        <v>74</v>
      </c>
      <c r="JN67" s="236" t="s">
        <v>841</v>
      </c>
      <c r="JP67" s="236" t="s">
        <v>4871</v>
      </c>
      <c r="JQ67" s="236" t="s">
        <v>145</v>
      </c>
      <c r="JR67" s="236" t="s">
        <v>74</v>
      </c>
      <c r="JS67" s="236" t="s">
        <v>841</v>
      </c>
      <c r="JU67" s="294" t="s">
        <v>4872</v>
      </c>
      <c r="JV67" s="294" t="str">
        <f>TVIIBE1M_CalPairs!$R76</f>
        <v>0x92</v>
      </c>
      <c r="JW67" s="263" t="s">
        <v>70</v>
      </c>
      <c r="JX67" s="294" t="str">
        <f>TVIIBE1M_CalPairs!$Q76</f>
        <v>PPU3_MS_CONFIG</v>
      </c>
      <c r="JZ67" s="263" t="s">
        <v>4873</v>
      </c>
      <c r="KA67" s="263" t="s">
        <v>145</v>
      </c>
      <c r="KB67" s="263" t="s">
        <v>70</v>
      </c>
      <c r="KC67" s="263" t="s">
        <v>1083</v>
      </c>
      <c r="KE67" s="263" t="s">
        <v>4874</v>
      </c>
      <c r="KF67" s="263" t="s">
        <v>52</v>
      </c>
      <c r="KG67" s="263" t="s">
        <v>70</v>
      </c>
      <c r="KH67" s="263" t="s">
        <v>1083</v>
      </c>
      <c r="KJ67" s="263" t="s">
        <v>4875</v>
      </c>
      <c r="KK67" s="263" t="s">
        <v>52</v>
      </c>
      <c r="KL67" s="263" t="s">
        <v>74</v>
      </c>
      <c r="KM67" s="263" t="s">
        <v>34074</v>
      </c>
      <c r="KO67" s="214" t="s">
        <v>4876</v>
      </c>
      <c r="KP67" s="214" t="s">
        <v>145</v>
      </c>
      <c r="KQ67" s="214" t="s">
        <v>70</v>
      </c>
      <c r="KR67" s="214" t="s">
        <v>67</v>
      </c>
      <c r="KT67" s="22" t="s">
        <v>4877</v>
      </c>
      <c r="KU67" s="22" t="s">
        <v>145</v>
      </c>
      <c r="KV67" s="22" t="s">
        <v>70</v>
      </c>
      <c r="KW67" s="22" t="s">
        <v>67</v>
      </c>
      <c r="KY67" s="214" t="s">
        <v>4878</v>
      </c>
      <c r="KZ67" s="214" t="s">
        <v>52</v>
      </c>
      <c r="LA67" s="214" t="s">
        <v>74</v>
      </c>
      <c r="LB67" s="214" t="s">
        <v>67</v>
      </c>
      <c r="LD67" s="22" t="s">
        <v>4879</v>
      </c>
      <c r="LE67" s="22" t="s">
        <v>145</v>
      </c>
      <c r="LF67" s="22" t="s">
        <v>70</v>
      </c>
      <c r="LG67" s="22" t="s">
        <v>67</v>
      </c>
    </row>
    <row r="68" spans="1:319">
      <c r="A68" s="22" t="s">
        <v>4880</v>
      </c>
      <c r="B68" s="22" t="s">
        <v>145</v>
      </c>
      <c r="C68" s="22" t="s">
        <v>70</v>
      </c>
      <c r="D68" s="22" t="s">
        <v>67</v>
      </c>
      <c r="F68" s="23" t="s">
        <v>4881</v>
      </c>
      <c r="G68" s="23" t="str">
        <f>TVIIBE1M_CalPairs!$E65</f>
        <v>0x03</v>
      </c>
      <c r="H68" s="23" t="s">
        <v>72</v>
      </c>
      <c r="I68" s="23" t="str">
        <f>TVIIBE1M_CalPairs!$C65</f>
        <v>CLK_TRIM_ECO_CTL2_VAL1</v>
      </c>
      <c r="K68" s="22" t="s">
        <v>4882</v>
      </c>
      <c r="L68" s="22" t="s">
        <v>145</v>
      </c>
      <c r="M68" s="22" t="s">
        <v>70</v>
      </c>
      <c r="N68" s="22" t="s">
        <v>67</v>
      </c>
      <c r="P68" s="22" t="s">
        <v>4883</v>
      </c>
      <c r="Q68" s="22" t="s">
        <v>145</v>
      </c>
      <c r="R68" s="22" t="s">
        <v>70</v>
      </c>
      <c r="S68" s="22" t="s">
        <v>67</v>
      </c>
      <c r="U68" s="293" t="s">
        <v>4884</v>
      </c>
      <c r="V68" s="293" t="s">
        <v>145</v>
      </c>
      <c r="W68" s="293" t="s">
        <v>74</v>
      </c>
      <c r="X68" s="293" t="s">
        <v>656</v>
      </c>
      <c r="Z68" s="293" t="s">
        <v>4885</v>
      </c>
      <c r="AA68" s="293" t="s">
        <v>145</v>
      </c>
      <c r="AB68" s="293" t="s">
        <v>74</v>
      </c>
      <c r="AC68" s="293" t="s">
        <v>656</v>
      </c>
      <c r="AE68" s="293" t="s">
        <v>4886</v>
      </c>
      <c r="AF68" s="293" t="s">
        <v>145</v>
      </c>
      <c r="AG68" s="293" t="s">
        <v>74</v>
      </c>
      <c r="AH68" s="293" t="s">
        <v>656</v>
      </c>
      <c r="AJ68" s="293" t="s">
        <v>4887</v>
      </c>
      <c r="AK68" s="293" t="s">
        <v>145</v>
      </c>
      <c r="AL68" s="293" t="s">
        <v>74</v>
      </c>
      <c r="AM68" s="293" t="s">
        <v>656</v>
      </c>
      <c r="AO68" s="22" t="s">
        <v>4888</v>
      </c>
      <c r="AP68" s="22" t="s">
        <v>145</v>
      </c>
      <c r="AQ68" s="22" t="s">
        <v>70</v>
      </c>
      <c r="AR68" s="22" t="s">
        <v>67</v>
      </c>
      <c r="AT68" s="22" t="s">
        <v>4889</v>
      </c>
      <c r="AU68" s="22" t="s">
        <v>145</v>
      </c>
      <c r="AV68" s="22" t="s">
        <v>70</v>
      </c>
      <c r="AW68" s="22" t="s">
        <v>67</v>
      </c>
      <c r="AY68" s="22" t="s">
        <v>4890</v>
      </c>
      <c r="AZ68" s="22" t="s">
        <v>145</v>
      </c>
      <c r="BA68" s="22" t="s">
        <v>70</v>
      </c>
      <c r="BB68" s="22" t="s">
        <v>67</v>
      </c>
      <c r="BD68" s="22" t="s">
        <v>4891</v>
      </c>
      <c r="BE68" s="22" t="s">
        <v>145</v>
      </c>
      <c r="BF68" s="22" t="s">
        <v>70</v>
      </c>
      <c r="BG68" s="22" t="s">
        <v>67</v>
      </c>
      <c r="BI68" s="22" t="s">
        <v>4892</v>
      </c>
      <c r="BJ68" s="22" t="s">
        <v>145</v>
      </c>
      <c r="BK68" s="22" t="s">
        <v>70</v>
      </c>
      <c r="BL68" s="22" t="s">
        <v>67</v>
      </c>
      <c r="BN68" s="22" t="s">
        <v>4893</v>
      </c>
      <c r="BO68" s="22" t="s">
        <v>145</v>
      </c>
      <c r="BP68" s="22" t="s">
        <v>70</v>
      </c>
      <c r="BQ68" s="22" t="s">
        <v>67</v>
      </c>
      <c r="BS68" s="22" t="s">
        <v>4894</v>
      </c>
      <c r="BT68" s="22" t="s">
        <v>145</v>
      </c>
      <c r="BU68" s="22" t="s">
        <v>70</v>
      </c>
      <c r="BV68" s="214" t="s">
        <v>530</v>
      </c>
      <c r="BX68" s="22" t="s">
        <v>4895</v>
      </c>
      <c r="BY68" s="22" t="s">
        <v>145</v>
      </c>
      <c r="BZ68" s="22" t="s">
        <v>70</v>
      </c>
      <c r="CA68" s="214" t="s">
        <v>530</v>
      </c>
      <c r="CC68" s="214" t="s">
        <v>4896</v>
      </c>
      <c r="CD68" s="214" t="s">
        <v>52</v>
      </c>
      <c r="CE68" s="214" t="s">
        <v>70</v>
      </c>
      <c r="CF68" s="214" t="s">
        <v>530</v>
      </c>
      <c r="CH68" s="214" t="s">
        <v>4897</v>
      </c>
      <c r="CI68" s="214" t="s">
        <v>468</v>
      </c>
      <c r="CJ68" s="214" t="s">
        <v>70</v>
      </c>
      <c r="CK68" s="214" t="s">
        <v>530</v>
      </c>
      <c r="CM68" s="214" t="s">
        <v>4898</v>
      </c>
      <c r="CN68" s="214" t="s">
        <v>34575</v>
      </c>
      <c r="CO68" s="214" t="s">
        <v>70</v>
      </c>
      <c r="CP68" s="214" t="s">
        <v>530</v>
      </c>
      <c r="CR68" s="214" t="s">
        <v>4899</v>
      </c>
      <c r="CS68" s="214" t="s">
        <v>34599</v>
      </c>
      <c r="CT68" s="214" t="s">
        <v>70</v>
      </c>
      <c r="CU68" s="214" t="s">
        <v>530</v>
      </c>
      <c r="CW68" s="214" t="s">
        <v>4900</v>
      </c>
      <c r="CX68" s="214" t="s">
        <v>34611</v>
      </c>
      <c r="CY68" s="214" t="s">
        <v>70</v>
      </c>
      <c r="CZ68" s="214" t="s">
        <v>530</v>
      </c>
      <c r="DB68" s="214" t="s">
        <v>4901</v>
      </c>
      <c r="DC68" s="214" t="s">
        <v>485</v>
      </c>
      <c r="DD68" s="214" t="s">
        <v>70</v>
      </c>
      <c r="DE68" s="214" t="s">
        <v>530</v>
      </c>
      <c r="DG68" s="214" t="s">
        <v>4902</v>
      </c>
      <c r="DH68" s="214" t="s">
        <v>34631</v>
      </c>
      <c r="DI68" s="214" t="s">
        <v>70</v>
      </c>
      <c r="DJ68" s="214" t="s">
        <v>530</v>
      </c>
      <c r="DL68" s="214" t="s">
        <v>4903</v>
      </c>
      <c r="DM68" s="214" t="s">
        <v>85</v>
      </c>
      <c r="DN68" s="214" t="s">
        <v>70</v>
      </c>
      <c r="DO68" s="214" t="s">
        <v>530</v>
      </c>
      <c r="DQ68" s="214" t="s">
        <v>4904</v>
      </c>
      <c r="DR68" s="214" t="s">
        <v>493</v>
      </c>
      <c r="DS68" s="214" t="s">
        <v>70</v>
      </c>
      <c r="DT68" s="214" t="s">
        <v>530</v>
      </c>
      <c r="DV68" s="214" t="s">
        <v>4905</v>
      </c>
      <c r="DW68" s="214" t="s">
        <v>921</v>
      </c>
      <c r="DX68" s="214" t="s">
        <v>70</v>
      </c>
      <c r="DY68" s="214" t="s">
        <v>530</v>
      </c>
      <c r="EA68" s="214" t="s">
        <v>4906</v>
      </c>
      <c r="EB68" s="214" t="s">
        <v>203</v>
      </c>
      <c r="EC68" s="214" t="s">
        <v>70</v>
      </c>
      <c r="ED68" s="214" t="s">
        <v>530</v>
      </c>
      <c r="EF68" s="214" t="s">
        <v>4907</v>
      </c>
      <c r="EG68" s="214" t="s">
        <v>145</v>
      </c>
      <c r="EH68" s="214" t="s">
        <v>70</v>
      </c>
      <c r="EI68" s="214" t="s">
        <v>530</v>
      </c>
      <c r="EK68" s="214" t="s">
        <v>4908</v>
      </c>
      <c r="EL68" s="214" t="s">
        <v>52</v>
      </c>
      <c r="EM68" s="214" t="s">
        <v>70</v>
      </c>
      <c r="EN68" s="214" t="s">
        <v>530</v>
      </c>
      <c r="EP68" s="214" t="s">
        <v>4909</v>
      </c>
      <c r="EQ68" s="214" t="s">
        <v>149</v>
      </c>
      <c r="ER68" s="214" t="s">
        <v>70</v>
      </c>
      <c r="ES68" s="214" t="s">
        <v>530</v>
      </c>
      <c r="EU68" s="214" t="s">
        <v>4910</v>
      </c>
      <c r="EV68" s="214" t="s">
        <v>88</v>
      </c>
      <c r="EW68" s="214" t="s">
        <v>70</v>
      </c>
      <c r="EX68" s="214" t="s">
        <v>530</v>
      </c>
      <c r="EZ68" s="214" t="s">
        <v>4911</v>
      </c>
      <c r="FA68" s="214" t="s">
        <v>163</v>
      </c>
      <c r="FB68" s="214" t="s">
        <v>70</v>
      </c>
      <c r="FC68" s="214" t="s">
        <v>530</v>
      </c>
      <c r="FE68" s="214" t="s">
        <v>4912</v>
      </c>
      <c r="FF68" s="214" t="s">
        <v>34560</v>
      </c>
      <c r="FG68" s="214" t="s">
        <v>70</v>
      </c>
      <c r="FH68" s="214" t="s">
        <v>530</v>
      </c>
      <c r="FJ68" s="321" t="s">
        <v>4913</v>
      </c>
      <c r="FK68" s="214" t="s">
        <v>148</v>
      </c>
      <c r="FL68" s="214" t="s">
        <v>70</v>
      </c>
      <c r="FM68" s="214" t="s">
        <v>530</v>
      </c>
      <c r="FO68" s="321" t="s">
        <v>4914</v>
      </c>
      <c r="FP68" s="214" t="s">
        <v>52</v>
      </c>
      <c r="FQ68" s="214" t="s">
        <v>70</v>
      </c>
      <c r="FR68" s="214" t="s">
        <v>530</v>
      </c>
      <c r="FT68" s="321" t="s">
        <v>4915</v>
      </c>
      <c r="FU68" s="214" t="s">
        <v>52</v>
      </c>
      <c r="FV68" s="214" t="s">
        <v>70</v>
      </c>
      <c r="FW68" s="214" t="s">
        <v>530</v>
      </c>
      <c r="FY68" s="321" t="s">
        <v>4916</v>
      </c>
      <c r="FZ68" s="214" t="s">
        <v>145</v>
      </c>
      <c r="GA68" s="214" t="s">
        <v>70</v>
      </c>
      <c r="GB68" s="214" t="s">
        <v>530</v>
      </c>
      <c r="GD68" s="321" t="s">
        <v>4917</v>
      </c>
      <c r="GE68" s="214" t="s">
        <v>148</v>
      </c>
      <c r="GF68" s="214" t="s">
        <v>70</v>
      </c>
      <c r="GG68" s="214" t="s">
        <v>530</v>
      </c>
      <c r="GI68" s="321" t="s">
        <v>4918</v>
      </c>
      <c r="GJ68" s="214" t="s">
        <v>85</v>
      </c>
      <c r="GK68" s="214" t="s">
        <v>70</v>
      </c>
      <c r="GL68" s="214" t="s">
        <v>530</v>
      </c>
      <c r="GN68" s="321" t="s">
        <v>4919</v>
      </c>
      <c r="GO68" s="214" t="s">
        <v>88</v>
      </c>
      <c r="GP68" s="214" t="s">
        <v>70</v>
      </c>
      <c r="GQ68" s="214" t="s">
        <v>530</v>
      </c>
      <c r="GS68" s="321" t="s">
        <v>4920</v>
      </c>
      <c r="GT68" s="214" t="s">
        <v>52</v>
      </c>
      <c r="GU68" s="214" t="s">
        <v>70</v>
      </c>
      <c r="GV68" s="214" t="s">
        <v>530</v>
      </c>
      <c r="GX68" s="214" t="s">
        <v>4921</v>
      </c>
      <c r="GY68" s="214" t="s">
        <v>34547</v>
      </c>
      <c r="GZ68" s="214" t="s">
        <v>70</v>
      </c>
      <c r="HA68" s="214" t="s">
        <v>530</v>
      </c>
      <c r="HC68" s="214" t="s">
        <v>4922</v>
      </c>
      <c r="HD68" s="214" t="s">
        <v>148</v>
      </c>
      <c r="HE68" s="214" t="s">
        <v>70</v>
      </c>
      <c r="HF68" s="214" t="s">
        <v>530</v>
      </c>
      <c r="HH68" s="214" t="s">
        <v>4923</v>
      </c>
      <c r="HI68" s="214" t="s">
        <v>146</v>
      </c>
      <c r="HJ68" s="214" t="s">
        <v>70</v>
      </c>
      <c r="HK68" s="214" t="s">
        <v>530</v>
      </c>
      <c r="HM68" s="214" t="s">
        <v>4924</v>
      </c>
      <c r="HN68" s="214" t="s">
        <v>468</v>
      </c>
      <c r="HO68" s="214" t="s">
        <v>70</v>
      </c>
      <c r="HP68" s="214" t="s">
        <v>530</v>
      </c>
      <c r="HR68" s="22" t="s">
        <v>4925</v>
      </c>
      <c r="HS68" s="22" t="s">
        <v>916</v>
      </c>
      <c r="HT68" s="22" t="s">
        <v>70</v>
      </c>
      <c r="HU68" s="214" t="s">
        <v>530</v>
      </c>
      <c r="HW68" s="22" t="s">
        <v>4926</v>
      </c>
      <c r="HX68" s="22" t="s">
        <v>163</v>
      </c>
      <c r="HY68" s="22" t="s">
        <v>70</v>
      </c>
      <c r="HZ68" s="214" t="s">
        <v>530</v>
      </c>
      <c r="IB68" s="22" t="s">
        <v>4927</v>
      </c>
      <c r="IC68" s="22" t="s">
        <v>34562</v>
      </c>
      <c r="ID68" s="22" t="s">
        <v>70</v>
      </c>
      <c r="IE68" s="214" t="s">
        <v>530</v>
      </c>
      <c r="IG68" s="22" t="s">
        <v>4928</v>
      </c>
      <c r="IH68" s="22" t="s">
        <v>89</v>
      </c>
      <c r="II68" s="22" t="s">
        <v>70</v>
      </c>
      <c r="IJ68" s="214" t="s">
        <v>530</v>
      </c>
      <c r="IL68" s="22" t="s">
        <v>4929</v>
      </c>
      <c r="IM68" s="22" t="s">
        <v>145</v>
      </c>
      <c r="IN68" s="22" t="s">
        <v>70</v>
      </c>
      <c r="IO68" s="214" t="s">
        <v>530</v>
      </c>
      <c r="IQ68" s="236" t="s">
        <v>4930</v>
      </c>
      <c r="IR68" s="236" t="s">
        <v>145</v>
      </c>
      <c r="IS68" s="236" t="s">
        <v>74</v>
      </c>
      <c r="IT68" s="236" t="s">
        <v>841</v>
      </c>
      <c r="IV68" s="236" t="s">
        <v>4931</v>
      </c>
      <c r="IW68" s="236" t="s">
        <v>145</v>
      </c>
      <c r="IX68" s="236" t="s">
        <v>74</v>
      </c>
      <c r="IY68" s="236" t="s">
        <v>841</v>
      </c>
      <c r="JA68" s="236" t="s">
        <v>4932</v>
      </c>
      <c r="JB68" s="236" t="s">
        <v>145</v>
      </c>
      <c r="JC68" s="236" t="s">
        <v>74</v>
      </c>
      <c r="JD68" s="236" t="s">
        <v>841</v>
      </c>
      <c r="JF68" s="236" t="s">
        <v>4933</v>
      </c>
      <c r="JG68" s="236" t="s">
        <v>145</v>
      </c>
      <c r="JH68" s="236" t="s">
        <v>74</v>
      </c>
      <c r="JI68" s="236" t="s">
        <v>841</v>
      </c>
      <c r="JK68" s="236" t="s">
        <v>4934</v>
      </c>
      <c r="JL68" s="236" t="s">
        <v>145</v>
      </c>
      <c r="JM68" s="236" t="s">
        <v>74</v>
      </c>
      <c r="JN68" s="236" t="s">
        <v>841</v>
      </c>
      <c r="JP68" s="236" t="s">
        <v>4935</v>
      </c>
      <c r="JQ68" s="236" t="s">
        <v>145</v>
      </c>
      <c r="JR68" s="236" t="s">
        <v>74</v>
      </c>
      <c r="JS68" s="236" t="s">
        <v>841</v>
      </c>
      <c r="JU68" s="294" t="s">
        <v>4936</v>
      </c>
      <c r="JV68" s="294" t="str">
        <f>TVIIBE1M_CalPairs!$R77</f>
        <v>0xC7</v>
      </c>
      <c r="JW68" s="218" t="s">
        <v>72</v>
      </c>
      <c r="JX68" s="294" t="str">
        <f>TVIIBE1M_CalPairs!$S77</f>
        <v>EFUSE_DATA</v>
      </c>
      <c r="JZ68" s="263" t="s">
        <v>4937</v>
      </c>
      <c r="KA68" s="263" t="s">
        <v>145</v>
      </c>
      <c r="KB68" s="263" t="s">
        <v>70</v>
      </c>
      <c r="KC68" s="263" t="s">
        <v>1083</v>
      </c>
      <c r="KE68" s="263" t="s">
        <v>4938</v>
      </c>
      <c r="KF68" s="263" t="s">
        <v>52</v>
      </c>
      <c r="KG68" s="263" t="s">
        <v>70</v>
      </c>
      <c r="KH68" s="263" t="s">
        <v>1083</v>
      </c>
      <c r="KJ68" s="263" t="s">
        <v>4939</v>
      </c>
      <c r="KK68" s="263" t="s">
        <v>52</v>
      </c>
      <c r="KL68" s="263" t="s">
        <v>74</v>
      </c>
      <c r="KM68" s="263" t="s">
        <v>34074</v>
      </c>
      <c r="KO68" s="214" t="s">
        <v>4940</v>
      </c>
      <c r="KP68" s="214" t="s">
        <v>145</v>
      </c>
      <c r="KQ68" s="214" t="s">
        <v>70</v>
      </c>
      <c r="KR68" s="214" t="s">
        <v>67</v>
      </c>
      <c r="KT68" s="22" t="s">
        <v>4941</v>
      </c>
      <c r="KU68" s="22" t="s">
        <v>145</v>
      </c>
      <c r="KV68" s="22" t="s">
        <v>70</v>
      </c>
      <c r="KW68" s="22" t="s">
        <v>67</v>
      </c>
      <c r="KY68" s="214" t="s">
        <v>4942</v>
      </c>
      <c r="KZ68" s="214" t="s">
        <v>52</v>
      </c>
      <c r="LA68" s="214" t="s">
        <v>74</v>
      </c>
      <c r="LB68" s="214" t="s">
        <v>67</v>
      </c>
      <c r="LD68" s="22" t="s">
        <v>4943</v>
      </c>
      <c r="LE68" s="22" t="s">
        <v>145</v>
      </c>
      <c r="LF68" s="22" t="s">
        <v>70</v>
      </c>
      <c r="LG68" s="22" t="s">
        <v>67</v>
      </c>
    </row>
    <row r="69" spans="1:319">
      <c r="A69" s="22" t="s">
        <v>4944</v>
      </c>
      <c r="B69" s="22" t="s">
        <v>145</v>
      </c>
      <c r="C69" s="22" t="s">
        <v>70</v>
      </c>
      <c r="D69" s="22" t="s">
        <v>67</v>
      </c>
      <c r="F69" s="23" t="s">
        <v>4945</v>
      </c>
      <c r="G69" s="23" t="str">
        <f>TVIIBE1M_CalPairs!$E66</f>
        <v>0x00</v>
      </c>
      <c r="H69" s="23" t="s">
        <v>72</v>
      </c>
      <c r="I69" s="23" t="str">
        <f>TVIIBE1M_CalPairs!$C66</f>
        <v>CLK_TRIM_ECO_CTL2_VAL2</v>
      </c>
      <c r="K69" s="22" t="s">
        <v>4946</v>
      </c>
      <c r="L69" s="22" t="s">
        <v>145</v>
      </c>
      <c r="M69" s="22" t="s">
        <v>70</v>
      </c>
      <c r="N69" s="22" t="s">
        <v>67</v>
      </c>
      <c r="P69" s="22" t="s">
        <v>4947</v>
      </c>
      <c r="Q69" s="22" t="s">
        <v>145</v>
      </c>
      <c r="R69" s="22" t="s">
        <v>70</v>
      </c>
      <c r="S69" s="22" t="s">
        <v>67</v>
      </c>
      <c r="U69" s="293" t="s">
        <v>4948</v>
      </c>
      <c r="V69" s="293" t="s">
        <v>145</v>
      </c>
      <c r="W69" s="293" t="s">
        <v>74</v>
      </c>
      <c r="X69" s="293" t="s">
        <v>656</v>
      </c>
      <c r="Z69" s="293" t="s">
        <v>4949</v>
      </c>
      <c r="AA69" s="293" t="s">
        <v>145</v>
      </c>
      <c r="AB69" s="293" t="s">
        <v>74</v>
      </c>
      <c r="AC69" s="293" t="s">
        <v>656</v>
      </c>
      <c r="AE69" s="293" t="s">
        <v>4950</v>
      </c>
      <c r="AF69" s="293" t="s">
        <v>145</v>
      </c>
      <c r="AG69" s="293" t="s">
        <v>74</v>
      </c>
      <c r="AH69" s="293" t="s">
        <v>656</v>
      </c>
      <c r="AJ69" s="293" t="s">
        <v>4951</v>
      </c>
      <c r="AK69" s="293" t="s">
        <v>145</v>
      </c>
      <c r="AL69" s="293" t="s">
        <v>74</v>
      </c>
      <c r="AM69" s="293" t="s">
        <v>656</v>
      </c>
      <c r="AO69" s="22" t="s">
        <v>4952</v>
      </c>
      <c r="AP69" s="22" t="s">
        <v>145</v>
      </c>
      <c r="AQ69" s="22" t="s">
        <v>70</v>
      </c>
      <c r="AR69" s="22" t="s">
        <v>67</v>
      </c>
      <c r="AT69" s="22" t="s">
        <v>4953</v>
      </c>
      <c r="AU69" s="22" t="s">
        <v>145</v>
      </c>
      <c r="AV69" s="22" t="s">
        <v>70</v>
      </c>
      <c r="AW69" s="22" t="s">
        <v>67</v>
      </c>
      <c r="AY69" s="22" t="s">
        <v>4954</v>
      </c>
      <c r="AZ69" s="22" t="s">
        <v>145</v>
      </c>
      <c r="BA69" s="22" t="s">
        <v>70</v>
      </c>
      <c r="BB69" s="22" t="s">
        <v>67</v>
      </c>
      <c r="BD69" s="22" t="s">
        <v>4955</v>
      </c>
      <c r="BE69" s="22" t="s">
        <v>145</v>
      </c>
      <c r="BF69" s="22" t="s">
        <v>70</v>
      </c>
      <c r="BG69" s="22" t="s">
        <v>67</v>
      </c>
      <c r="BI69" s="22" t="s">
        <v>4956</v>
      </c>
      <c r="BJ69" s="22" t="s">
        <v>145</v>
      </c>
      <c r="BK69" s="22" t="s">
        <v>70</v>
      </c>
      <c r="BL69" s="22" t="s">
        <v>67</v>
      </c>
      <c r="BN69" s="22" t="s">
        <v>4957</v>
      </c>
      <c r="BO69" s="22" t="s">
        <v>145</v>
      </c>
      <c r="BP69" s="22" t="s">
        <v>70</v>
      </c>
      <c r="BQ69" s="22" t="s">
        <v>67</v>
      </c>
      <c r="BS69" s="22" t="s">
        <v>4958</v>
      </c>
      <c r="BT69" s="22" t="s">
        <v>145</v>
      </c>
      <c r="BU69" s="22" t="s">
        <v>70</v>
      </c>
      <c r="BV69" s="214" t="s">
        <v>530</v>
      </c>
      <c r="BX69" s="22" t="s">
        <v>4959</v>
      </c>
      <c r="BY69" s="22" t="s">
        <v>145</v>
      </c>
      <c r="BZ69" s="22" t="s">
        <v>70</v>
      </c>
      <c r="CA69" s="214" t="s">
        <v>530</v>
      </c>
      <c r="CC69" s="214" t="s">
        <v>4960</v>
      </c>
      <c r="CD69" s="214" t="s">
        <v>52</v>
      </c>
      <c r="CE69" s="214" t="s">
        <v>70</v>
      </c>
      <c r="CF69" s="214" t="s">
        <v>530</v>
      </c>
      <c r="CH69" s="214" t="s">
        <v>4961</v>
      </c>
      <c r="CI69" s="214" t="s">
        <v>86</v>
      </c>
      <c r="CJ69" s="214" t="s">
        <v>70</v>
      </c>
      <c r="CK69" s="214" t="s">
        <v>530</v>
      </c>
      <c r="CM69" s="214" t="s">
        <v>4962</v>
      </c>
      <c r="CN69" s="214" t="s">
        <v>10541</v>
      </c>
      <c r="CO69" s="214" t="s">
        <v>70</v>
      </c>
      <c r="CP69" s="214" t="s">
        <v>530</v>
      </c>
      <c r="CR69" s="214" t="s">
        <v>4963</v>
      </c>
      <c r="CS69" s="214" t="s">
        <v>34615</v>
      </c>
      <c r="CT69" s="214" t="s">
        <v>70</v>
      </c>
      <c r="CU69" s="214" t="s">
        <v>530</v>
      </c>
      <c r="CW69" s="214" t="s">
        <v>4964</v>
      </c>
      <c r="CX69" s="214" t="s">
        <v>34557</v>
      </c>
      <c r="CY69" s="214" t="s">
        <v>70</v>
      </c>
      <c r="CZ69" s="214" t="s">
        <v>530</v>
      </c>
      <c r="DB69" s="214" t="s">
        <v>4965</v>
      </c>
      <c r="DC69" s="214" t="s">
        <v>146</v>
      </c>
      <c r="DD69" s="214" t="s">
        <v>70</v>
      </c>
      <c r="DE69" s="214" t="s">
        <v>530</v>
      </c>
      <c r="DG69" s="214" t="s">
        <v>4966</v>
      </c>
      <c r="DH69" s="214" t="s">
        <v>34558</v>
      </c>
      <c r="DI69" s="214" t="s">
        <v>70</v>
      </c>
      <c r="DJ69" s="214" t="s">
        <v>530</v>
      </c>
      <c r="DL69" s="214" t="s">
        <v>4967</v>
      </c>
      <c r="DM69" s="214" t="s">
        <v>955</v>
      </c>
      <c r="DN69" s="214" t="s">
        <v>70</v>
      </c>
      <c r="DO69" s="214" t="s">
        <v>530</v>
      </c>
      <c r="DQ69" s="214" t="s">
        <v>4968</v>
      </c>
      <c r="DR69" s="214" t="s">
        <v>491</v>
      </c>
      <c r="DS69" s="214" t="s">
        <v>70</v>
      </c>
      <c r="DT69" s="214" t="s">
        <v>530</v>
      </c>
      <c r="DV69" s="214" t="s">
        <v>4969</v>
      </c>
      <c r="DW69" s="214" t="s">
        <v>10541</v>
      </c>
      <c r="DX69" s="214" t="s">
        <v>70</v>
      </c>
      <c r="DY69" s="214" t="s">
        <v>530</v>
      </c>
      <c r="EA69" s="214" t="s">
        <v>4970</v>
      </c>
      <c r="EB69" s="214" t="s">
        <v>496</v>
      </c>
      <c r="EC69" s="214" t="s">
        <v>70</v>
      </c>
      <c r="ED69" s="214" t="s">
        <v>530</v>
      </c>
      <c r="EF69" s="214" t="s">
        <v>4971</v>
      </c>
      <c r="EG69" s="214" t="s">
        <v>145</v>
      </c>
      <c r="EH69" s="214" t="s">
        <v>70</v>
      </c>
      <c r="EI69" s="214" t="s">
        <v>530</v>
      </c>
      <c r="EK69" s="214" t="s">
        <v>4972</v>
      </c>
      <c r="EL69" s="214" t="s">
        <v>206</v>
      </c>
      <c r="EM69" s="214" t="s">
        <v>70</v>
      </c>
      <c r="EN69" s="214" t="s">
        <v>530</v>
      </c>
      <c r="EP69" s="214" t="s">
        <v>4973</v>
      </c>
      <c r="EQ69" s="214" t="s">
        <v>52</v>
      </c>
      <c r="ER69" s="214" t="s">
        <v>70</v>
      </c>
      <c r="ES69" s="214" t="s">
        <v>530</v>
      </c>
      <c r="EU69" s="214" t="s">
        <v>4974</v>
      </c>
      <c r="EV69" s="214" t="s">
        <v>488</v>
      </c>
      <c r="EW69" s="214" t="s">
        <v>70</v>
      </c>
      <c r="EX69" s="214" t="s">
        <v>530</v>
      </c>
      <c r="EZ69" s="214" t="s">
        <v>4975</v>
      </c>
      <c r="FA69" s="214" t="s">
        <v>484</v>
      </c>
      <c r="FB69" s="214" t="s">
        <v>70</v>
      </c>
      <c r="FC69" s="214" t="s">
        <v>530</v>
      </c>
      <c r="FE69" s="214" t="s">
        <v>4976</v>
      </c>
      <c r="FF69" s="214" t="s">
        <v>34516</v>
      </c>
      <c r="FG69" s="214" t="s">
        <v>70</v>
      </c>
      <c r="FH69" s="214" t="s">
        <v>530</v>
      </c>
      <c r="FJ69" s="321" t="s">
        <v>4977</v>
      </c>
      <c r="FK69" s="214" t="s">
        <v>34542</v>
      </c>
      <c r="FL69" s="214" t="s">
        <v>70</v>
      </c>
      <c r="FM69" s="214" t="s">
        <v>530</v>
      </c>
      <c r="FO69" s="321" t="s">
        <v>4978</v>
      </c>
      <c r="FP69" s="214" t="s">
        <v>919</v>
      </c>
      <c r="FQ69" s="214" t="s">
        <v>70</v>
      </c>
      <c r="FR69" s="214" t="s">
        <v>530</v>
      </c>
      <c r="FT69" s="321" t="s">
        <v>4979</v>
      </c>
      <c r="FU69" s="214" t="s">
        <v>52</v>
      </c>
      <c r="FV69" s="214" t="s">
        <v>70</v>
      </c>
      <c r="FW69" s="214" t="s">
        <v>530</v>
      </c>
      <c r="FY69" s="321" t="s">
        <v>4980</v>
      </c>
      <c r="FZ69" s="214" t="s">
        <v>34541</v>
      </c>
      <c r="GA69" s="214" t="s">
        <v>70</v>
      </c>
      <c r="GB69" s="214" t="s">
        <v>530</v>
      </c>
      <c r="GD69" s="321" t="s">
        <v>4981</v>
      </c>
      <c r="GE69" s="214" t="s">
        <v>34589</v>
      </c>
      <c r="GF69" s="214" t="s">
        <v>70</v>
      </c>
      <c r="GG69" s="214" t="s">
        <v>530</v>
      </c>
      <c r="GI69" s="321" t="s">
        <v>4982</v>
      </c>
      <c r="GJ69" s="214" t="s">
        <v>518</v>
      </c>
      <c r="GK69" s="214" t="s">
        <v>70</v>
      </c>
      <c r="GL69" s="214" t="s">
        <v>530</v>
      </c>
      <c r="GN69" s="321" t="s">
        <v>4983</v>
      </c>
      <c r="GO69" s="214" t="s">
        <v>34558</v>
      </c>
      <c r="GP69" s="214" t="s">
        <v>70</v>
      </c>
      <c r="GQ69" s="214" t="s">
        <v>530</v>
      </c>
      <c r="GS69" s="321" t="s">
        <v>4984</v>
      </c>
      <c r="GT69" s="214" t="s">
        <v>203</v>
      </c>
      <c r="GU69" s="214" t="s">
        <v>70</v>
      </c>
      <c r="GV69" s="214" t="s">
        <v>530</v>
      </c>
      <c r="GX69" s="214" t="s">
        <v>4985</v>
      </c>
      <c r="GY69" s="214" t="s">
        <v>52</v>
      </c>
      <c r="GZ69" s="214" t="s">
        <v>70</v>
      </c>
      <c r="HA69" s="214" t="s">
        <v>530</v>
      </c>
      <c r="HC69" s="214" t="s">
        <v>4986</v>
      </c>
      <c r="HD69" s="214" t="s">
        <v>52</v>
      </c>
      <c r="HE69" s="214" t="s">
        <v>70</v>
      </c>
      <c r="HF69" s="214" t="s">
        <v>530</v>
      </c>
      <c r="HH69" s="214" t="s">
        <v>4987</v>
      </c>
      <c r="HI69" s="214" t="s">
        <v>93</v>
      </c>
      <c r="HJ69" s="214" t="s">
        <v>70</v>
      </c>
      <c r="HK69" s="214" t="s">
        <v>530</v>
      </c>
      <c r="HM69" s="214" t="s">
        <v>4988</v>
      </c>
      <c r="HN69" s="214" t="s">
        <v>52</v>
      </c>
      <c r="HO69" s="214" t="s">
        <v>70</v>
      </c>
      <c r="HP69" s="214" t="s">
        <v>530</v>
      </c>
      <c r="HR69" s="22" t="s">
        <v>4989</v>
      </c>
      <c r="HS69" s="22" t="s">
        <v>34569</v>
      </c>
      <c r="HT69" s="22" t="s">
        <v>70</v>
      </c>
      <c r="HU69" s="214" t="s">
        <v>530</v>
      </c>
      <c r="HW69" s="22" t="s">
        <v>4990</v>
      </c>
      <c r="HX69" s="22" t="s">
        <v>485</v>
      </c>
      <c r="HY69" s="22" t="s">
        <v>70</v>
      </c>
      <c r="HZ69" s="214" t="s">
        <v>530</v>
      </c>
      <c r="IB69" s="22" t="s">
        <v>4991</v>
      </c>
      <c r="IC69" s="22" t="s">
        <v>486</v>
      </c>
      <c r="ID69" s="22" t="s">
        <v>70</v>
      </c>
      <c r="IE69" s="214" t="s">
        <v>530</v>
      </c>
      <c r="IG69" s="22" t="s">
        <v>4992</v>
      </c>
      <c r="IH69" s="22" t="s">
        <v>468</v>
      </c>
      <c r="II69" s="22" t="s">
        <v>70</v>
      </c>
      <c r="IJ69" s="214" t="s">
        <v>530</v>
      </c>
      <c r="IL69" s="22" t="s">
        <v>4993</v>
      </c>
      <c r="IM69" s="22" t="s">
        <v>145</v>
      </c>
      <c r="IN69" s="22" t="s">
        <v>70</v>
      </c>
      <c r="IO69" s="214" t="s">
        <v>530</v>
      </c>
      <c r="IQ69" s="236" t="s">
        <v>4994</v>
      </c>
      <c r="IR69" s="236" t="s">
        <v>145</v>
      </c>
      <c r="IS69" s="236" t="s">
        <v>74</v>
      </c>
      <c r="IT69" s="236" t="s">
        <v>841</v>
      </c>
      <c r="IV69" s="236" t="s">
        <v>4995</v>
      </c>
      <c r="IW69" s="236" t="s">
        <v>145</v>
      </c>
      <c r="IX69" s="236" t="s">
        <v>74</v>
      </c>
      <c r="IY69" s="236" t="s">
        <v>841</v>
      </c>
      <c r="JA69" s="236" t="s">
        <v>4996</v>
      </c>
      <c r="JB69" s="236" t="s">
        <v>145</v>
      </c>
      <c r="JC69" s="236" t="s">
        <v>74</v>
      </c>
      <c r="JD69" s="236" t="s">
        <v>841</v>
      </c>
      <c r="JF69" s="236" t="s">
        <v>4997</v>
      </c>
      <c r="JG69" s="236" t="s">
        <v>145</v>
      </c>
      <c r="JH69" s="236" t="s">
        <v>74</v>
      </c>
      <c r="JI69" s="236" t="s">
        <v>841</v>
      </c>
      <c r="JK69" s="236" t="s">
        <v>4998</v>
      </c>
      <c r="JL69" s="236" t="s">
        <v>145</v>
      </c>
      <c r="JM69" s="236" t="s">
        <v>74</v>
      </c>
      <c r="JN69" s="236" t="s">
        <v>841</v>
      </c>
      <c r="JP69" s="236" t="s">
        <v>4999</v>
      </c>
      <c r="JQ69" s="236" t="s">
        <v>145</v>
      </c>
      <c r="JR69" s="236" t="s">
        <v>74</v>
      </c>
      <c r="JS69" s="236" t="s">
        <v>841</v>
      </c>
      <c r="JU69" s="294" t="s">
        <v>5000</v>
      </c>
      <c r="JV69" s="294" t="str">
        <f>TVIIBE1M_CalPairs!$R78</f>
        <v>0x00</v>
      </c>
      <c r="JW69" s="218" t="s">
        <v>72</v>
      </c>
      <c r="JX69" s="294" t="str">
        <f>TVIIBE1M_CalPairs!$S78</f>
        <v>EFUSE_DATA</v>
      </c>
      <c r="JZ69" s="263" t="s">
        <v>5001</v>
      </c>
      <c r="KA69" s="263" t="s">
        <v>145</v>
      </c>
      <c r="KB69" s="263" t="s">
        <v>70</v>
      </c>
      <c r="KC69" s="263" t="s">
        <v>1083</v>
      </c>
      <c r="KE69" s="263" t="s">
        <v>5002</v>
      </c>
      <c r="KF69" s="263" t="s">
        <v>52</v>
      </c>
      <c r="KG69" s="263" t="s">
        <v>70</v>
      </c>
      <c r="KH69" s="263" t="s">
        <v>1083</v>
      </c>
      <c r="KJ69" s="263" t="s">
        <v>5003</v>
      </c>
      <c r="KK69" s="263" t="s">
        <v>52</v>
      </c>
      <c r="KL69" s="263" t="s">
        <v>74</v>
      </c>
      <c r="KM69" s="263" t="s">
        <v>34074</v>
      </c>
      <c r="KO69" s="214" t="s">
        <v>5004</v>
      </c>
      <c r="KP69" s="214" t="s">
        <v>145</v>
      </c>
      <c r="KQ69" s="214" t="s">
        <v>70</v>
      </c>
      <c r="KR69" s="214" t="s">
        <v>67</v>
      </c>
      <c r="KT69" s="22" t="s">
        <v>5005</v>
      </c>
      <c r="KU69" s="22" t="s">
        <v>145</v>
      </c>
      <c r="KV69" s="22" t="s">
        <v>70</v>
      </c>
      <c r="KW69" s="22" t="s">
        <v>67</v>
      </c>
      <c r="KY69" s="214" t="s">
        <v>5006</v>
      </c>
      <c r="KZ69" s="214" t="s">
        <v>52</v>
      </c>
      <c r="LA69" s="214" t="s">
        <v>74</v>
      </c>
      <c r="LB69" s="214" t="s">
        <v>67</v>
      </c>
      <c r="LD69" s="22" t="s">
        <v>5007</v>
      </c>
      <c r="LE69" s="22" t="s">
        <v>145</v>
      </c>
      <c r="LF69" s="22" t="s">
        <v>70</v>
      </c>
      <c r="LG69" s="22" t="s">
        <v>67</v>
      </c>
    </row>
    <row r="70" spans="1:319">
      <c r="A70" s="22" t="s">
        <v>5008</v>
      </c>
      <c r="B70" s="22" t="s">
        <v>145</v>
      </c>
      <c r="C70" s="22" t="s">
        <v>70</v>
      </c>
      <c r="D70" s="22" t="s">
        <v>67</v>
      </c>
      <c r="F70" s="23" t="s">
        <v>5009</v>
      </c>
      <c r="G70" s="23" t="str">
        <f>TVIIBE1M_CalPairs!$E67</f>
        <v>0x80</v>
      </c>
      <c r="H70" s="23" t="s">
        <v>72</v>
      </c>
      <c r="I70" s="23" t="str">
        <f>TVIIBE1M_CalPairs!$C67</f>
        <v>CLK_TRIM_ECO_CTL2_VAL3</v>
      </c>
      <c r="K70" s="22" t="s">
        <v>5010</v>
      </c>
      <c r="L70" s="22" t="s">
        <v>145</v>
      </c>
      <c r="M70" s="22" t="s">
        <v>70</v>
      </c>
      <c r="N70" s="22" t="s">
        <v>67</v>
      </c>
      <c r="P70" s="22" t="s">
        <v>5011</v>
      </c>
      <c r="Q70" s="22" t="s">
        <v>145</v>
      </c>
      <c r="R70" s="22" t="s">
        <v>70</v>
      </c>
      <c r="S70" s="22" t="s">
        <v>67</v>
      </c>
      <c r="U70" s="293" t="s">
        <v>5012</v>
      </c>
      <c r="V70" s="293" t="s">
        <v>145</v>
      </c>
      <c r="W70" s="293" t="s">
        <v>74</v>
      </c>
      <c r="X70" s="293" t="s">
        <v>656</v>
      </c>
      <c r="Z70" s="293" t="s">
        <v>5013</v>
      </c>
      <c r="AA70" s="293" t="s">
        <v>145</v>
      </c>
      <c r="AB70" s="293" t="s">
        <v>74</v>
      </c>
      <c r="AC70" s="293" t="s">
        <v>656</v>
      </c>
      <c r="AE70" s="293" t="s">
        <v>5014</v>
      </c>
      <c r="AF70" s="293" t="s">
        <v>145</v>
      </c>
      <c r="AG70" s="293" t="s">
        <v>74</v>
      </c>
      <c r="AH70" s="293" t="s">
        <v>656</v>
      </c>
      <c r="AJ70" s="293" t="s">
        <v>5015</v>
      </c>
      <c r="AK70" s="293" t="s">
        <v>145</v>
      </c>
      <c r="AL70" s="293" t="s">
        <v>74</v>
      </c>
      <c r="AM70" s="293" t="s">
        <v>656</v>
      </c>
      <c r="AO70" s="22" t="s">
        <v>5016</v>
      </c>
      <c r="AP70" s="22" t="s">
        <v>145</v>
      </c>
      <c r="AQ70" s="22" t="s">
        <v>70</v>
      </c>
      <c r="AR70" s="22" t="s">
        <v>67</v>
      </c>
      <c r="AT70" s="22" t="s">
        <v>5017</v>
      </c>
      <c r="AU70" s="22" t="s">
        <v>145</v>
      </c>
      <c r="AV70" s="22" t="s">
        <v>70</v>
      </c>
      <c r="AW70" s="22" t="s">
        <v>67</v>
      </c>
      <c r="AY70" s="22" t="s">
        <v>5018</v>
      </c>
      <c r="AZ70" s="22" t="s">
        <v>145</v>
      </c>
      <c r="BA70" s="22" t="s">
        <v>70</v>
      </c>
      <c r="BB70" s="22" t="s">
        <v>67</v>
      </c>
      <c r="BD70" s="22" t="s">
        <v>5019</v>
      </c>
      <c r="BE70" s="22" t="s">
        <v>145</v>
      </c>
      <c r="BF70" s="22" t="s">
        <v>70</v>
      </c>
      <c r="BG70" s="22" t="s">
        <v>67</v>
      </c>
      <c r="BI70" s="22" t="s">
        <v>5020</v>
      </c>
      <c r="BJ70" s="22" t="s">
        <v>145</v>
      </c>
      <c r="BK70" s="22" t="s">
        <v>70</v>
      </c>
      <c r="BL70" s="22" t="s">
        <v>67</v>
      </c>
      <c r="BN70" s="22" t="s">
        <v>5021</v>
      </c>
      <c r="BO70" s="22" t="s">
        <v>145</v>
      </c>
      <c r="BP70" s="22" t="s">
        <v>70</v>
      </c>
      <c r="BQ70" s="22" t="s">
        <v>67</v>
      </c>
      <c r="BS70" s="22" t="s">
        <v>5022</v>
      </c>
      <c r="BT70" s="22" t="s">
        <v>145</v>
      </c>
      <c r="BU70" s="22" t="s">
        <v>70</v>
      </c>
      <c r="BV70" s="214" t="s">
        <v>530</v>
      </c>
      <c r="BX70" s="22" t="s">
        <v>5023</v>
      </c>
      <c r="BY70" s="22" t="s">
        <v>145</v>
      </c>
      <c r="BZ70" s="22" t="s">
        <v>70</v>
      </c>
      <c r="CA70" s="214" t="s">
        <v>530</v>
      </c>
      <c r="CC70" s="214" t="s">
        <v>5024</v>
      </c>
      <c r="CD70" s="347" t="s">
        <v>52</v>
      </c>
      <c r="CE70" s="214" t="s">
        <v>70</v>
      </c>
      <c r="CF70" s="214" t="s">
        <v>530</v>
      </c>
      <c r="CH70" s="214" t="s">
        <v>5025</v>
      </c>
      <c r="CI70" s="214" t="s">
        <v>148</v>
      </c>
      <c r="CJ70" s="214" t="s">
        <v>70</v>
      </c>
      <c r="CK70" s="214" t="s">
        <v>530</v>
      </c>
      <c r="CM70" s="214" t="s">
        <v>5026</v>
      </c>
      <c r="CN70" s="214" t="s">
        <v>481</v>
      </c>
      <c r="CO70" s="214" t="s">
        <v>70</v>
      </c>
      <c r="CP70" s="214" t="s">
        <v>530</v>
      </c>
      <c r="CR70" s="214" t="s">
        <v>5027</v>
      </c>
      <c r="CS70" s="214" t="s">
        <v>34550</v>
      </c>
      <c r="CT70" s="214" t="s">
        <v>70</v>
      </c>
      <c r="CU70" s="214" t="s">
        <v>530</v>
      </c>
      <c r="CW70" s="214" t="s">
        <v>5028</v>
      </c>
      <c r="CX70" s="214" t="s">
        <v>286</v>
      </c>
      <c r="CY70" s="214" t="s">
        <v>70</v>
      </c>
      <c r="CZ70" s="214" t="s">
        <v>530</v>
      </c>
      <c r="DB70" s="214" t="s">
        <v>5029</v>
      </c>
      <c r="DC70" s="214" t="s">
        <v>103</v>
      </c>
      <c r="DD70" s="214" t="s">
        <v>70</v>
      </c>
      <c r="DE70" s="214" t="s">
        <v>530</v>
      </c>
      <c r="DG70" s="214" t="s">
        <v>5030</v>
      </c>
      <c r="DH70" s="214" t="s">
        <v>52</v>
      </c>
      <c r="DI70" s="214" t="s">
        <v>70</v>
      </c>
      <c r="DJ70" s="214" t="s">
        <v>530</v>
      </c>
      <c r="DL70" s="214" t="s">
        <v>5031</v>
      </c>
      <c r="DM70" s="214" t="s">
        <v>52</v>
      </c>
      <c r="DN70" s="214" t="s">
        <v>70</v>
      </c>
      <c r="DO70" s="214" t="s">
        <v>530</v>
      </c>
      <c r="DQ70" s="214" t="s">
        <v>5032</v>
      </c>
      <c r="DR70" s="214" t="s">
        <v>211</v>
      </c>
      <c r="DS70" s="214" t="s">
        <v>70</v>
      </c>
      <c r="DT70" s="214" t="s">
        <v>530</v>
      </c>
      <c r="DV70" s="214" t="s">
        <v>5033</v>
      </c>
      <c r="DW70" s="214" t="s">
        <v>529</v>
      </c>
      <c r="DX70" s="214" t="s">
        <v>70</v>
      </c>
      <c r="DY70" s="214" t="s">
        <v>530</v>
      </c>
      <c r="EA70" s="214" t="s">
        <v>5034</v>
      </c>
      <c r="EB70" s="214" t="s">
        <v>52</v>
      </c>
      <c r="EC70" s="214" t="s">
        <v>70</v>
      </c>
      <c r="ED70" s="214" t="s">
        <v>530</v>
      </c>
      <c r="EF70" s="214" t="s">
        <v>5035</v>
      </c>
      <c r="EG70" s="214" t="s">
        <v>203</v>
      </c>
      <c r="EH70" s="214" t="s">
        <v>70</v>
      </c>
      <c r="EI70" s="214" t="s">
        <v>530</v>
      </c>
      <c r="EK70" s="214" t="s">
        <v>5036</v>
      </c>
      <c r="EL70" s="214" t="s">
        <v>52</v>
      </c>
      <c r="EM70" s="214" t="s">
        <v>70</v>
      </c>
      <c r="EN70" s="214" t="s">
        <v>530</v>
      </c>
      <c r="EP70" s="214" t="s">
        <v>5037</v>
      </c>
      <c r="EQ70" s="214" t="s">
        <v>502</v>
      </c>
      <c r="ER70" s="214" t="s">
        <v>70</v>
      </c>
      <c r="ES70" s="214" t="s">
        <v>530</v>
      </c>
      <c r="EU70" s="214" t="s">
        <v>5038</v>
      </c>
      <c r="EV70" s="214" t="s">
        <v>34226</v>
      </c>
      <c r="EW70" s="214" t="s">
        <v>70</v>
      </c>
      <c r="EX70" s="214" t="s">
        <v>530</v>
      </c>
      <c r="EZ70" s="214" t="s">
        <v>5039</v>
      </c>
      <c r="FA70" s="214" t="s">
        <v>21742</v>
      </c>
      <c r="FB70" s="214" t="s">
        <v>70</v>
      </c>
      <c r="FC70" s="214" t="s">
        <v>530</v>
      </c>
      <c r="FE70" s="214" t="s">
        <v>5040</v>
      </c>
      <c r="FF70" s="214" t="s">
        <v>483</v>
      </c>
      <c r="FG70" s="214" t="s">
        <v>70</v>
      </c>
      <c r="FH70" s="214" t="s">
        <v>530</v>
      </c>
      <c r="FJ70" s="321" t="s">
        <v>5041</v>
      </c>
      <c r="FK70" s="214" t="s">
        <v>641</v>
      </c>
      <c r="FL70" s="214" t="s">
        <v>70</v>
      </c>
      <c r="FM70" s="214" t="s">
        <v>530</v>
      </c>
      <c r="FO70" s="321" t="s">
        <v>5042</v>
      </c>
      <c r="FP70" s="214" t="s">
        <v>941</v>
      </c>
      <c r="FQ70" s="214" t="s">
        <v>70</v>
      </c>
      <c r="FR70" s="214" t="s">
        <v>530</v>
      </c>
      <c r="FT70" s="321" t="s">
        <v>5043</v>
      </c>
      <c r="FU70" s="214" t="s">
        <v>34564</v>
      </c>
      <c r="FV70" s="214" t="s">
        <v>70</v>
      </c>
      <c r="FW70" s="214" t="s">
        <v>530</v>
      </c>
      <c r="FY70" s="321" t="s">
        <v>5044</v>
      </c>
      <c r="FZ70" s="214" t="s">
        <v>203</v>
      </c>
      <c r="GA70" s="214" t="s">
        <v>70</v>
      </c>
      <c r="GB70" s="214" t="s">
        <v>530</v>
      </c>
      <c r="GD70" s="321" t="s">
        <v>5045</v>
      </c>
      <c r="GE70" s="214" t="s">
        <v>949</v>
      </c>
      <c r="GF70" s="214" t="s">
        <v>70</v>
      </c>
      <c r="GG70" s="214" t="s">
        <v>530</v>
      </c>
      <c r="GI70" s="321" t="s">
        <v>5046</v>
      </c>
      <c r="GJ70" s="214" t="s">
        <v>203</v>
      </c>
      <c r="GK70" s="214" t="s">
        <v>70</v>
      </c>
      <c r="GL70" s="214" t="s">
        <v>530</v>
      </c>
      <c r="GN70" s="321" t="s">
        <v>5047</v>
      </c>
      <c r="GO70" s="214" t="s">
        <v>148</v>
      </c>
      <c r="GP70" s="214" t="s">
        <v>70</v>
      </c>
      <c r="GQ70" s="214" t="s">
        <v>530</v>
      </c>
      <c r="GS70" s="321" t="s">
        <v>5048</v>
      </c>
      <c r="GT70" s="214" t="s">
        <v>604</v>
      </c>
      <c r="GU70" s="214" t="s">
        <v>70</v>
      </c>
      <c r="GV70" s="214" t="s">
        <v>530</v>
      </c>
      <c r="GX70" s="214" t="s">
        <v>5049</v>
      </c>
      <c r="GY70" s="214" t="s">
        <v>211</v>
      </c>
      <c r="GZ70" s="214" t="s">
        <v>70</v>
      </c>
      <c r="HA70" s="214" t="s">
        <v>530</v>
      </c>
      <c r="HC70" s="214" t="s">
        <v>5050</v>
      </c>
      <c r="HD70" s="214" t="s">
        <v>52</v>
      </c>
      <c r="HE70" s="214" t="s">
        <v>70</v>
      </c>
      <c r="HF70" s="214" t="s">
        <v>530</v>
      </c>
      <c r="HH70" s="214" t="s">
        <v>5051</v>
      </c>
      <c r="HI70" s="214" t="s">
        <v>148</v>
      </c>
      <c r="HJ70" s="214" t="s">
        <v>70</v>
      </c>
      <c r="HK70" s="214" t="s">
        <v>530</v>
      </c>
      <c r="HM70" s="214" t="s">
        <v>5052</v>
      </c>
      <c r="HN70" s="214" t="s">
        <v>145</v>
      </c>
      <c r="HO70" s="214" t="s">
        <v>70</v>
      </c>
      <c r="HP70" s="214" t="s">
        <v>530</v>
      </c>
      <c r="HR70" s="22" t="s">
        <v>5053</v>
      </c>
      <c r="HS70" s="22" t="s">
        <v>148</v>
      </c>
      <c r="HT70" s="22" t="s">
        <v>70</v>
      </c>
      <c r="HU70" s="214" t="s">
        <v>530</v>
      </c>
      <c r="HW70" s="22" t="s">
        <v>5054</v>
      </c>
      <c r="HX70" s="22" t="s">
        <v>148</v>
      </c>
      <c r="HY70" s="22" t="s">
        <v>70</v>
      </c>
      <c r="HZ70" s="214" t="s">
        <v>530</v>
      </c>
      <c r="IB70" s="22" t="s">
        <v>5055</v>
      </c>
      <c r="IC70" s="22" t="s">
        <v>92</v>
      </c>
      <c r="ID70" s="22" t="s">
        <v>70</v>
      </c>
      <c r="IE70" s="214" t="s">
        <v>530</v>
      </c>
      <c r="IG70" s="22" t="s">
        <v>5056</v>
      </c>
      <c r="IH70" s="22" t="s">
        <v>52</v>
      </c>
      <c r="II70" s="22" t="s">
        <v>70</v>
      </c>
      <c r="IJ70" s="214" t="s">
        <v>530</v>
      </c>
      <c r="IL70" s="22" t="s">
        <v>5057</v>
      </c>
      <c r="IM70" s="22" t="s">
        <v>145</v>
      </c>
      <c r="IN70" s="22" t="s">
        <v>70</v>
      </c>
      <c r="IO70" s="214" t="s">
        <v>530</v>
      </c>
      <c r="IQ70" s="236" t="s">
        <v>5058</v>
      </c>
      <c r="IR70" s="236" t="s">
        <v>145</v>
      </c>
      <c r="IS70" s="236" t="s">
        <v>74</v>
      </c>
      <c r="IT70" s="236" t="s">
        <v>841</v>
      </c>
      <c r="IV70" s="236" t="s">
        <v>5059</v>
      </c>
      <c r="IW70" s="236" t="s">
        <v>145</v>
      </c>
      <c r="IX70" s="236" t="s">
        <v>74</v>
      </c>
      <c r="IY70" s="236" t="s">
        <v>841</v>
      </c>
      <c r="JA70" s="236" t="s">
        <v>5060</v>
      </c>
      <c r="JB70" s="236" t="s">
        <v>145</v>
      </c>
      <c r="JC70" s="236" t="s">
        <v>74</v>
      </c>
      <c r="JD70" s="236" t="s">
        <v>841</v>
      </c>
      <c r="JF70" s="236" t="s">
        <v>5061</v>
      </c>
      <c r="JG70" s="236" t="s">
        <v>145</v>
      </c>
      <c r="JH70" s="236" t="s">
        <v>74</v>
      </c>
      <c r="JI70" s="236" t="s">
        <v>841</v>
      </c>
      <c r="JK70" s="236" t="s">
        <v>5062</v>
      </c>
      <c r="JL70" s="236" t="s">
        <v>145</v>
      </c>
      <c r="JM70" s="236" t="s">
        <v>74</v>
      </c>
      <c r="JN70" s="236" t="s">
        <v>841</v>
      </c>
      <c r="JP70" s="236" t="s">
        <v>5063</v>
      </c>
      <c r="JQ70" s="236" t="s">
        <v>145</v>
      </c>
      <c r="JR70" s="236" t="s">
        <v>74</v>
      </c>
      <c r="JS70" s="236" t="s">
        <v>841</v>
      </c>
      <c r="JU70" s="294" t="s">
        <v>5064</v>
      </c>
      <c r="JV70" s="294" t="str">
        <f>TVIIBE1M_CalPairs!$R79</f>
        <v>0x1F</v>
      </c>
      <c r="JW70" s="263" t="s">
        <v>70</v>
      </c>
      <c r="JX70" s="294" t="str">
        <f>TVIIBE1M_CalPairs!$Q79</f>
        <v>PPU4_SL_CONFIG</v>
      </c>
      <c r="JZ70" s="263" t="s">
        <v>5065</v>
      </c>
      <c r="KA70" s="263" t="s">
        <v>145</v>
      </c>
      <c r="KB70" s="263" t="s">
        <v>70</v>
      </c>
      <c r="KC70" s="263" t="s">
        <v>1083</v>
      </c>
      <c r="KE70" s="263" t="s">
        <v>5066</v>
      </c>
      <c r="KF70" s="263" t="s">
        <v>52</v>
      </c>
      <c r="KG70" s="263" t="s">
        <v>70</v>
      </c>
      <c r="KH70" s="263" t="s">
        <v>1083</v>
      </c>
      <c r="KJ70" s="263" t="s">
        <v>5067</v>
      </c>
      <c r="KK70" s="263" t="s">
        <v>52</v>
      </c>
      <c r="KL70" s="263" t="s">
        <v>74</v>
      </c>
      <c r="KM70" s="263" t="s">
        <v>34074</v>
      </c>
      <c r="KO70" s="214" t="s">
        <v>5068</v>
      </c>
      <c r="KP70" s="214" t="s">
        <v>145</v>
      </c>
      <c r="KQ70" s="214" t="s">
        <v>70</v>
      </c>
      <c r="KR70" s="214" t="s">
        <v>67</v>
      </c>
      <c r="KT70" s="22" t="s">
        <v>5069</v>
      </c>
      <c r="KU70" s="22" t="s">
        <v>145</v>
      </c>
      <c r="KV70" s="22" t="s">
        <v>70</v>
      </c>
      <c r="KW70" s="22" t="s">
        <v>67</v>
      </c>
      <c r="KY70" s="214" t="s">
        <v>5070</v>
      </c>
      <c r="KZ70" s="214" t="s">
        <v>52</v>
      </c>
      <c r="LA70" s="214" t="s">
        <v>74</v>
      </c>
      <c r="LB70" s="214" t="s">
        <v>67</v>
      </c>
      <c r="LD70" s="22" t="s">
        <v>5071</v>
      </c>
      <c r="LE70" s="22" t="s">
        <v>145</v>
      </c>
      <c r="LF70" s="22" t="s">
        <v>70</v>
      </c>
      <c r="LG70" s="22" t="s">
        <v>67</v>
      </c>
    </row>
    <row r="71" spans="1:319">
      <c r="A71" s="22" t="s">
        <v>5072</v>
      </c>
      <c r="B71" s="22" t="s">
        <v>145</v>
      </c>
      <c r="C71" s="22" t="s">
        <v>70</v>
      </c>
      <c r="D71" s="22" t="s">
        <v>67</v>
      </c>
      <c r="F71" s="23" t="s">
        <v>5073</v>
      </c>
      <c r="G71" s="23" t="str">
        <f>TVIIBE1M_CalPairs!$E68</f>
        <v>0xB0</v>
      </c>
      <c r="H71" s="23" t="s">
        <v>70</v>
      </c>
      <c r="I71" s="23" t="str">
        <f>TVIIBE1M_CalPairs!$C68</f>
        <v>PWR_TEST_HT_CMD</v>
      </c>
      <c r="K71" s="22" t="s">
        <v>5074</v>
      </c>
      <c r="L71" s="22" t="s">
        <v>145</v>
      </c>
      <c r="M71" s="22" t="s">
        <v>70</v>
      </c>
      <c r="N71" s="22" t="s">
        <v>67</v>
      </c>
      <c r="P71" s="22" t="s">
        <v>5075</v>
      </c>
      <c r="Q71" s="22" t="s">
        <v>145</v>
      </c>
      <c r="R71" s="22" t="s">
        <v>70</v>
      </c>
      <c r="S71" s="22" t="s">
        <v>67</v>
      </c>
      <c r="U71" s="293" t="s">
        <v>5076</v>
      </c>
      <c r="V71" s="293" t="s">
        <v>145</v>
      </c>
      <c r="W71" s="293" t="s">
        <v>74</v>
      </c>
      <c r="X71" s="293" t="s">
        <v>656</v>
      </c>
      <c r="Z71" s="293" t="s">
        <v>5077</v>
      </c>
      <c r="AA71" s="293" t="s">
        <v>145</v>
      </c>
      <c r="AB71" s="293" t="s">
        <v>74</v>
      </c>
      <c r="AC71" s="293" t="s">
        <v>656</v>
      </c>
      <c r="AE71" s="293" t="s">
        <v>5078</v>
      </c>
      <c r="AF71" s="293" t="s">
        <v>145</v>
      </c>
      <c r="AG71" s="293" t="s">
        <v>74</v>
      </c>
      <c r="AH71" s="293" t="s">
        <v>656</v>
      </c>
      <c r="AJ71" s="293" t="s">
        <v>5079</v>
      </c>
      <c r="AK71" s="293" t="s">
        <v>145</v>
      </c>
      <c r="AL71" s="293" t="s">
        <v>74</v>
      </c>
      <c r="AM71" s="293" t="s">
        <v>656</v>
      </c>
      <c r="AO71" s="22" t="s">
        <v>5080</v>
      </c>
      <c r="AP71" s="22" t="s">
        <v>145</v>
      </c>
      <c r="AQ71" s="22" t="s">
        <v>70</v>
      </c>
      <c r="AR71" s="22" t="s">
        <v>67</v>
      </c>
      <c r="AT71" s="22" t="s">
        <v>5081</v>
      </c>
      <c r="AU71" s="22" t="s">
        <v>145</v>
      </c>
      <c r="AV71" s="22" t="s">
        <v>70</v>
      </c>
      <c r="AW71" s="22" t="s">
        <v>67</v>
      </c>
      <c r="AY71" s="22" t="s">
        <v>5082</v>
      </c>
      <c r="AZ71" s="22" t="s">
        <v>145</v>
      </c>
      <c r="BA71" s="22" t="s">
        <v>70</v>
      </c>
      <c r="BB71" s="22" t="s">
        <v>67</v>
      </c>
      <c r="BD71" s="22" t="s">
        <v>5083</v>
      </c>
      <c r="BE71" s="22" t="s">
        <v>145</v>
      </c>
      <c r="BF71" s="22" t="s">
        <v>70</v>
      </c>
      <c r="BG71" s="22" t="s">
        <v>67</v>
      </c>
      <c r="BI71" s="22" t="s">
        <v>5084</v>
      </c>
      <c r="BJ71" s="22" t="s">
        <v>145</v>
      </c>
      <c r="BK71" s="22" t="s">
        <v>70</v>
      </c>
      <c r="BL71" s="22" t="s">
        <v>67</v>
      </c>
      <c r="BN71" s="22" t="s">
        <v>5085</v>
      </c>
      <c r="BO71" s="22" t="s">
        <v>145</v>
      </c>
      <c r="BP71" s="22" t="s">
        <v>70</v>
      </c>
      <c r="BQ71" s="22" t="s">
        <v>67</v>
      </c>
      <c r="BS71" s="22" t="s">
        <v>5086</v>
      </c>
      <c r="BT71" s="22" t="s">
        <v>145</v>
      </c>
      <c r="BU71" s="22" t="s">
        <v>70</v>
      </c>
      <c r="BV71" s="214" t="s">
        <v>530</v>
      </c>
      <c r="BX71" s="22" t="s">
        <v>5087</v>
      </c>
      <c r="BY71" s="22" t="s">
        <v>145</v>
      </c>
      <c r="BZ71" s="22" t="s">
        <v>70</v>
      </c>
      <c r="CA71" s="214" t="s">
        <v>530</v>
      </c>
      <c r="CC71" s="214" t="s">
        <v>5088</v>
      </c>
      <c r="CD71" s="215" t="s">
        <v>52</v>
      </c>
      <c r="CE71" s="214" t="s">
        <v>70</v>
      </c>
      <c r="CF71" s="214" t="s">
        <v>530</v>
      </c>
      <c r="CH71" s="214" t="s">
        <v>5089</v>
      </c>
      <c r="CI71" s="214" t="s">
        <v>950</v>
      </c>
      <c r="CJ71" s="214" t="s">
        <v>70</v>
      </c>
      <c r="CK71" s="214" t="s">
        <v>530</v>
      </c>
      <c r="CM71" s="214" t="s">
        <v>5090</v>
      </c>
      <c r="CN71" s="214" t="s">
        <v>487</v>
      </c>
      <c r="CO71" s="214" t="s">
        <v>70</v>
      </c>
      <c r="CP71" s="214" t="s">
        <v>530</v>
      </c>
      <c r="CR71" s="214" t="s">
        <v>5091</v>
      </c>
      <c r="CS71" s="214" t="s">
        <v>486</v>
      </c>
      <c r="CT71" s="214" t="s">
        <v>70</v>
      </c>
      <c r="CU71" s="214" t="s">
        <v>530</v>
      </c>
      <c r="CW71" s="214" t="s">
        <v>5092</v>
      </c>
      <c r="CX71" s="214" t="s">
        <v>486</v>
      </c>
      <c r="CY71" s="214" t="s">
        <v>70</v>
      </c>
      <c r="CZ71" s="214" t="s">
        <v>530</v>
      </c>
      <c r="DB71" s="214" t="s">
        <v>5093</v>
      </c>
      <c r="DC71" s="214" t="s">
        <v>485</v>
      </c>
      <c r="DD71" s="214" t="s">
        <v>70</v>
      </c>
      <c r="DE71" s="214" t="s">
        <v>530</v>
      </c>
      <c r="DG71" s="214" t="s">
        <v>5094</v>
      </c>
      <c r="DH71" s="214" t="s">
        <v>497</v>
      </c>
      <c r="DI71" s="214" t="s">
        <v>70</v>
      </c>
      <c r="DJ71" s="214" t="s">
        <v>530</v>
      </c>
      <c r="DL71" s="214" t="s">
        <v>5095</v>
      </c>
      <c r="DM71" s="214" t="s">
        <v>203</v>
      </c>
      <c r="DN71" s="214" t="s">
        <v>70</v>
      </c>
      <c r="DO71" s="214" t="s">
        <v>530</v>
      </c>
      <c r="DQ71" s="214" t="s">
        <v>5096</v>
      </c>
      <c r="DR71" s="214" t="s">
        <v>488</v>
      </c>
      <c r="DS71" s="214" t="s">
        <v>70</v>
      </c>
      <c r="DT71" s="214" t="s">
        <v>530</v>
      </c>
      <c r="DV71" s="214" t="s">
        <v>5097</v>
      </c>
      <c r="DW71" s="214" t="s">
        <v>87</v>
      </c>
      <c r="DX71" s="214" t="s">
        <v>70</v>
      </c>
      <c r="DY71" s="214" t="s">
        <v>530</v>
      </c>
      <c r="EA71" s="214" t="s">
        <v>5098</v>
      </c>
      <c r="EB71" s="214" t="s">
        <v>52</v>
      </c>
      <c r="EC71" s="214" t="s">
        <v>70</v>
      </c>
      <c r="ED71" s="214" t="s">
        <v>530</v>
      </c>
      <c r="EF71" s="214" t="s">
        <v>5099</v>
      </c>
      <c r="EG71" s="214" t="s">
        <v>145</v>
      </c>
      <c r="EH71" s="214" t="s">
        <v>70</v>
      </c>
      <c r="EI71" s="214" t="s">
        <v>530</v>
      </c>
      <c r="EK71" s="214" t="s">
        <v>5100</v>
      </c>
      <c r="EL71" s="214" t="s">
        <v>485</v>
      </c>
      <c r="EM71" s="214" t="s">
        <v>70</v>
      </c>
      <c r="EN71" s="214" t="s">
        <v>530</v>
      </c>
      <c r="EP71" s="214" t="s">
        <v>5101</v>
      </c>
      <c r="EQ71" s="214" t="s">
        <v>52</v>
      </c>
      <c r="ER71" s="214" t="s">
        <v>70</v>
      </c>
      <c r="ES71" s="214" t="s">
        <v>530</v>
      </c>
      <c r="EU71" s="214" t="s">
        <v>5102</v>
      </c>
      <c r="EV71" s="214" t="s">
        <v>491</v>
      </c>
      <c r="EW71" s="214" t="s">
        <v>70</v>
      </c>
      <c r="EX71" s="214" t="s">
        <v>530</v>
      </c>
      <c r="EZ71" s="214" t="s">
        <v>5103</v>
      </c>
      <c r="FA71" s="214" t="s">
        <v>501</v>
      </c>
      <c r="FB71" s="214" t="s">
        <v>70</v>
      </c>
      <c r="FC71" s="214" t="s">
        <v>530</v>
      </c>
      <c r="FE71" s="214" t="s">
        <v>5104</v>
      </c>
      <c r="FF71" s="214" t="s">
        <v>34542</v>
      </c>
      <c r="FG71" s="214" t="s">
        <v>70</v>
      </c>
      <c r="FH71" s="214" t="s">
        <v>530</v>
      </c>
      <c r="FJ71" s="321" t="s">
        <v>5105</v>
      </c>
      <c r="FK71" s="214" t="s">
        <v>488</v>
      </c>
      <c r="FL71" s="214" t="s">
        <v>70</v>
      </c>
      <c r="FM71" s="214" t="s">
        <v>530</v>
      </c>
      <c r="FO71" s="321" t="s">
        <v>5106</v>
      </c>
      <c r="FP71" s="214" t="s">
        <v>491</v>
      </c>
      <c r="FQ71" s="214" t="s">
        <v>70</v>
      </c>
      <c r="FR71" s="214" t="s">
        <v>530</v>
      </c>
      <c r="FT71" s="321" t="s">
        <v>5107</v>
      </c>
      <c r="FU71" s="214" t="s">
        <v>912</v>
      </c>
      <c r="FV71" s="214" t="s">
        <v>70</v>
      </c>
      <c r="FW71" s="214" t="s">
        <v>530</v>
      </c>
      <c r="FY71" s="321" t="s">
        <v>5108</v>
      </c>
      <c r="FZ71" s="214" t="s">
        <v>145</v>
      </c>
      <c r="GA71" s="214" t="s">
        <v>70</v>
      </c>
      <c r="GB71" s="214" t="s">
        <v>530</v>
      </c>
      <c r="GD71" s="321" t="s">
        <v>5109</v>
      </c>
      <c r="GE71" s="214" t="s">
        <v>34539</v>
      </c>
      <c r="GF71" s="214" t="s">
        <v>70</v>
      </c>
      <c r="GG71" s="214" t="s">
        <v>530</v>
      </c>
      <c r="GI71" s="321" t="s">
        <v>5110</v>
      </c>
      <c r="GJ71" s="214" t="s">
        <v>496</v>
      </c>
      <c r="GK71" s="214" t="s">
        <v>70</v>
      </c>
      <c r="GL71" s="214" t="s">
        <v>530</v>
      </c>
      <c r="GN71" s="321" t="s">
        <v>5111</v>
      </c>
      <c r="GO71" s="214" t="s">
        <v>955</v>
      </c>
      <c r="GP71" s="214" t="s">
        <v>70</v>
      </c>
      <c r="GQ71" s="214" t="s">
        <v>530</v>
      </c>
      <c r="GS71" s="321" t="s">
        <v>5112</v>
      </c>
      <c r="GT71" s="214" t="s">
        <v>34590</v>
      </c>
      <c r="GU71" s="214" t="s">
        <v>70</v>
      </c>
      <c r="GV71" s="214" t="s">
        <v>530</v>
      </c>
      <c r="GX71" s="214" t="s">
        <v>5113</v>
      </c>
      <c r="GY71" s="214" t="s">
        <v>491</v>
      </c>
      <c r="GZ71" s="214" t="s">
        <v>70</v>
      </c>
      <c r="HA71" s="214" t="s">
        <v>530</v>
      </c>
      <c r="HC71" s="214" t="s">
        <v>5114</v>
      </c>
      <c r="HD71" s="214" t="s">
        <v>468</v>
      </c>
      <c r="HE71" s="214" t="s">
        <v>70</v>
      </c>
      <c r="HF71" s="214" t="s">
        <v>530</v>
      </c>
      <c r="HH71" s="214" t="s">
        <v>5115</v>
      </c>
      <c r="HI71" s="214" t="s">
        <v>484</v>
      </c>
      <c r="HJ71" s="214" t="s">
        <v>70</v>
      </c>
      <c r="HK71" s="214" t="s">
        <v>530</v>
      </c>
      <c r="HM71" s="214" t="s">
        <v>5116</v>
      </c>
      <c r="HN71" s="214" t="s">
        <v>34541</v>
      </c>
      <c r="HO71" s="214" t="s">
        <v>70</v>
      </c>
      <c r="HP71" s="214" t="s">
        <v>530</v>
      </c>
      <c r="HR71" s="22" t="s">
        <v>5117</v>
      </c>
      <c r="HS71" s="22" t="s">
        <v>34551</v>
      </c>
      <c r="HT71" s="22" t="s">
        <v>70</v>
      </c>
      <c r="HU71" s="214" t="s">
        <v>530</v>
      </c>
      <c r="HW71" s="22" t="s">
        <v>5118</v>
      </c>
      <c r="HX71" s="22" t="s">
        <v>34544</v>
      </c>
      <c r="HY71" s="22" t="s">
        <v>70</v>
      </c>
      <c r="HZ71" s="214" t="s">
        <v>530</v>
      </c>
      <c r="IB71" s="22" t="s">
        <v>5119</v>
      </c>
      <c r="IC71" s="22" t="s">
        <v>486</v>
      </c>
      <c r="ID71" s="22" t="s">
        <v>70</v>
      </c>
      <c r="IE71" s="214" t="s">
        <v>530</v>
      </c>
      <c r="IG71" s="22" t="s">
        <v>5120</v>
      </c>
      <c r="IH71" s="22" t="s">
        <v>601</v>
      </c>
      <c r="II71" s="22" t="s">
        <v>70</v>
      </c>
      <c r="IJ71" s="214" t="s">
        <v>530</v>
      </c>
      <c r="IL71" s="22" t="s">
        <v>5121</v>
      </c>
      <c r="IM71" s="22" t="s">
        <v>145</v>
      </c>
      <c r="IN71" s="22" t="s">
        <v>70</v>
      </c>
      <c r="IO71" s="214" t="s">
        <v>530</v>
      </c>
      <c r="IQ71" s="236" t="s">
        <v>5122</v>
      </c>
      <c r="IR71" s="236" t="s">
        <v>145</v>
      </c>
      <c r="IS71" s="236" t="s">
        <v>74</v>
      </c>
      <c r="IT71" s="236" t="s">
        <v>841</v>
      </c>
      <c r="IV71" s="236" t="s">
        <v>5123</v>
      </c>
      <c r="IW71" s="236" t="s">
        <v>145</v>
      </c>
      <c r="IX71" s="236" t="s">
        <v>74</v>
      </c>
      <c r="IY71" s="236" t="s">
        <v>841</v>
      </c>
      <c r="JA71" s="236" t="s">
        <v>5124</v>
      </c>
      <c r="JB71" s="236" t="s">
        <v>145</v>
      </c>
      <c r="JC71" s="236" t="s">
        <v>74</v>
      </c>
      <c r="JD71" s="236" t="s">
        <v>841</v>
      </c>
      <c r="JF71" s="236" t="s">
        <v>5125</v>
      </c>
      <c r="JG71" s="236" t="s">
        <v>145</v>
      </c>
      <c r="JH71" s="236" t="s">
        <v>74</v>
      </c>
      <c r="JI71" s="236" t="s">
        <v>841</v>
      </c>
      <c r="JK71" s="236" t="s">
        <v>5126</v>
      </c>
      <c r="JL71" s="236" t="s">
        <v>145</v>
      </c>
      <c r="JM71" s="236" t="s">
        <v>74</v>
      </c>
      <c r="JN71" s="236" t="s">
        <v>841</v>
      </c>
      <c r="JP71" s="236" t="s">
        <v>5127</v>
      </c>
      <c r="JQ71" s="236" t="s">
        <v>145</v>
      </c>
      <c r="JR71" s="236" t="s">
        <v>74</v>
      </c>
      <c r="JS71" s="236" t="s">
        <v>841</v>
      </c>
      <c r="JU71" s="294" t="s">
        <v>5128</v>
      </c>
      <c r="JV71" s="294" t="str">
        <f>TVIIBE1M_CalPairs!$R80</f>
        <v>0x92</v>
      </c>
      <c r="JW71" s="263" t="s">
        <v>70</v>
      </c>
      <c r="JX71" s="294" t="str">
        <f>TVIIBE1M_CalPairs!$Q80</f>
        <v>PPU4_MS_CONFIG</v>
      </c>
      <c r="JZ71" s="263" t="s">
        <v>5129</v>
      </c>
      <c r="KA71" s="263" t="s">
        <v>145</v>
      </c>
      <c r="KB71" s="263" t="s">
        <v>70</v>
      </c>
      <c r="KC71" s="263" t="s">
        <v>1083</v>
      </c>
      <c r="KE71" s="263" t="s">
        <v>5130</v>
      </c>
      <c r="KF71" s="263" t="s">
        <v>52</v>
      </c>
      <c r="KG71" s="263" t="s">
        <v>70</v>
      </c>
      <c r="KH71" s="263" t="s">
        <v>1083</v>
      </c>
      <c r="KJ71" s="263" t="s">
        <v>5131</v>
      </c>
      <c r="KK71" s="263" t="s">
        <v>52</v>
      </c>
      <c r="KL71" s="263" t="s">
        <v>74</v>
      </c>
      <c r="KM71" s="263" t="s">
        <v>34074</v>
      </c>
      <c r="KO71" s="214" t="s">
        <v>5132</v>
      </c>
      <c r="KP71" s="214" t="s">
        <v>145</v>
      </c>
      <c r="KQ71" s="214" t="s">
        <v>70</v>
      </c>
      <c r="KR71" s="214" t="s">
        <v>67</v>
      </c>
      <c r="KT71" s="22" t="s">
        <v>5133</v>
      </c>
      <c r="KU71" s="22" t="s">
        <v>145</v>
      </c>
      <c r="KV71" s="22" t="s">
        <v>70</v>
      </c>
      <c r="KW71" s="22" t="s">
        <v>67</v>
      </c>
      <c r="KY71" s="214" t="s">
        <v>5134</v>
      </c>
      <c r="KZ71" s="214" t="s">
        <v>52</v>
      </c>
      <c r="LA71" s="214" t="s">
        <v>74</v>
      </c>
      <c r="LB71" s="214" t="s">
        <v>67</v>
      </c>
      <c r="LD71" s="22" t="s">
        <v>5135</v>
      </c>
      <c r="LE71" s="22" t="s">
        <v>145</v>
      </c>
      <c r="LF71" s="22" t="s">
        <v>70</v>
      </c>
      <c r="LG71" s="22" t="s">
        <v>67</v>
      </c>
    </row>
    <row r="72" spans="1:319">
      <c r="A72" s="22" t="s">
        <v>5136</v>
      </c>
      <c r="B72" s="22" t="s">
        <v>145</v>
      </c>
      <c r="C72" s="22" t="s">
        <v>70</v>
      </c>
      <c r="D72" s="22" t="s">
        <v>67</v>
      </c>
      <c r="F72" s="23" t="s">
        <v>5137</v>
      </c>
      <c r="G72" s="23" t="str">
        <f>TVIIBE1M_CalPairs!$E69</f>
        <v>0x64</v>
      </c>
      <c r="H72" s="23" t="s">
        <v>70</v>
      </c>
      <c r="I72" s="23" t="str">
        <f>TVIIBE1M_CalPairs!$C69</f>
        <v>PWR_TEST_HT_ADDR0</v>
      </c>
      <c r="K72" s="22" t="s">
        <v>5138</v>
      </c>
      <c r="L72" s="22" t="s">
        <v>145</v>
      </c>
      <c r="M72" s="22" t="s">
        <v>70</v>
      </c>
      <c r="N72" s="22" t="s">
        <v>67</v>
      </c>
      <c r="P72" s="22" t="s">
        <v>5139</v>
      </c>
      <c r="Q72" s="22" t="s">
        <v>145</v>
      </c>
      <c r="R72" s="22" t="s">
        <v>70</v>
      </c>
      <c r="S72" s="22" t="s">
        <v>67</v>
      </c>
      <c r="U72" s="293" t="s">
        <v>5140</v>
      </c>
      <c r="V72" s="293" t="s">
        <v>145</v>
      </c>
      <c r="W72" s="293" t="s">
        <v>74</v>
      </c>
      <c r="X72" s="293" t="s">
        <v>656</v>
      </c>
      <c r="Z72" s="293" t="s">
        <v>5141</v>
      </c>
      <c r="AA72" s="293" t="s">
        <v>145</v>
      </c>
      <c r="AB72" s="293" t="s">
        <v>74</v>
      </c>
      <c r="AC72" s="293" t="s">
        <v>656</v>
      </c>
      <c r="AE72" s="293" t="s">
        <v>5142</v>
      </c>
      <c r="AF72" s="293" t="s">
        <v>145</v>
      </c>
      <c r="AG72" s="293" t="s">
        <v>74</v>
      </c>
      <c r="AH72" s="293" t="s">
        <v>656</v>
      </c>
      <c r="AJ72" s="293" t="s">
        <v>5143</v>
      </c>
      <c r="AK72" s="293" t="s">
        <v>145</v>
      </c>
      <c r="AL72" s="293" t="s">
        <v>74</v>
      </c>
      <c r="AM72" s="293" t="s">
        <v>656</v>
      </c>
      <c r="AO72" s="22" t="s">
        <v>5144</v>
      </c>
      <c r="AP72" s="22" t="s">
        <v>145</v>
      </c>
      <c r="AQ72" s="22" t="s">
        <v>70</v>
      </c>
      <c r="AR72" s="22" t="s">
        <v>67</v>
      </c>
      <c r="AT72" s="22" t="s">
        <v>5145</v>
      </c>
      <c r="AU72" s="22" t="s">
        <v>145</v>
      </c>
      <c r="AV72" s="22" t="s">
        <v>70</v>
      </c>
      <c r="AW72" s="22" t="s">
        <v>67</v>
      </c>
      <c r="AY72" s="22" t="s">
        <v>5146</v>
      </c>
      <c r="AZ72" s="22" t="s">
        <v>145</v>
      </c>
      <c r="BA72" s="22" t="s">
        <v>70</v>
      </c>
      <c r="BB72" s="22" t="s">
        <v>67</v>
      </c>
      <c r="BD72" s="22" t="s">
        <v>5147</v>
      </c>
      <c r="BE72" s="22" t="s">
        <v>145</v>
      </c>
      <c r="BF72" s="22" t="s">
        <v>70</v>
      </c>
      <c r="BG72" s="22" t="s">
        <v>67</v>
      </c>
      <c r="BI72" s="22" t="s">
        <v>5148</v>
      </c>
      <c r="BJ72" s="22" t="s">
        <v>145</v>
      </c>
      <c r="BK72" s="22" t="s">
        <v>70</v>
      </c>
      <c r="BL72" s="22" t="s">
        <v>67</v>
      </c>
      <c r="BN72" s="22" t="s">
        <v>5149</v>
      </c>
      <c r="BO72" s="22" t="s">
        <v>145</v>
      </c>
      <c r="BP72" s="22" t="s">
        <v>70</v>
      </c>
      <c r="BQ72" s="22" t="s">
        <v>67</v>
      </c>
      <c r="BS72" s="22" t="s">
        <v>5150</v>
      </c>
      <c r="BT72" s="22" t="s">
        <v>145</v>
      </c>
      <c r="BU72" s="22" t="s">
        <v>70</v>
      </c>
      <c r="BV72" s="214" t="s">
        <v>530</v>
      </c>
      <c r="BX72" s="22" t="s">
        <v>5151</v>
      </c>
      <c r="BY72" s="22" t="s">
        <v>145</v>
      </c>
      <c r="BZ72" s="22" t="s">
        <v>70</v>
      </c>
      <c r="CA72" s="214" t="s">
        <v>530</v>
      </c>
      <c r="CC72" s="214" t="s">
        <v>5152</v>
      </c>
      <c r="CD72" s="349" t="s">
        <v>34625</v>
      </c>
      <c r="CE72" s="214" t="s">
        <v>70</v>
      </c>
      <c r="CF72" s="214" t="s">
        <v>367</v>
      </c>
      <c r="CH72" s="214" t="s">
        <v>5153</v>
      </c>
      <c r="CI72" s="214" t="s">
        <v>485</v>
      </c>
      <c r="CJ72" s="214" t="s">
        <v>70</v>
      </c>
      <c r="CK72" s="214" t="s">
        <v>530</v>
      </c>
      <c r="CM72" s="214" t="s">
        <v>5154</v>
      </c>
      <c r="CN72" s="214" t="s">
        <v>490</v>
      </c>
      <c r="CO72" s="214" t="s">
        <v>70</v>
      </c>
      <c r="CP72" s="214" t="s">
        <v>530</v>
      </c>
      <c r="CR72" s="214" t="s">
        <v>5155</v>
      </c>
      <c r="CS72" s="214" t="s">
        <v>211</v>
      </c>
      <c r="CT72" s="214" t="s">
        <v>70</v>
      </c>
      <c r="CU72" s="214" t="s">
        <v>530</v>
      </c>
      <c r="CW72" s="214" t="s">
        <v>5156</v>
      </c>
      <c r="CX72" s="214" t="s">
        <v>501</v>
      </c>
      <c r="CY72" s="214" t="s">
        <v>70</v>
      </c>
      <c r="CZ72" s="214" t="s">
        <v>530</v>
      </c>
      <c r="DB72" s="214" t="s">
        <v>5157</v>
      </c>
      <c r="DC72" s="214" t="s">
        <v>34545</v>
      </c>
      <c r="DD72" s="214" t="s">
        <v>70</v>
      </c>
      <c r="DE72" s="214" t="s">
        <v>530</v>
      </c>
      <c r="DG72" s="214" t="s">
        <v>5158</v>
      </c>
      <c r="DH72" s="214" t="s">
        <v>34632</v>
      </c>
      <c r="DI72" s="214" t="s">
        <v>70</v>
      </c>
      <c r="DJ72" s="214" t="s">
        <v>530</v>
      </c>
      <c r="DL72" s="214" t="s">
        <v>5159</v>
      </c>
      <c r="DM72" s="214" t="s">
        <v>34606</v>
      </c>
      <c r="DN72" s="214" t="s">
        <v>70</v>
      </c>
      <c r="DO72" s="214" t="s">
        <v>530</v>
      </c>
      <c r="DQ72" s="214" t="s">
        <v>5160</v>
      </c>
      <c r="DR72" s="214" t="s">
        <v>485</v>
      </c>
      <c r="DS72" s="214" t="s">
        <v>70</v>
      </c>
      <c r="DT72" s="214" t="s">
        <v>530</v>
      </c>
      <c r="DV72" s="214" t="s">
        <v>5161</v>
      </c>
      <c r="DW72" s="214" t="s">
        <v>52</v>
      </c>
      <c r="DX72" s="214" t="s">
        <v>70</v>
      </c>
      <c r="DY72" s="214" t="s">
        <v>530</v>
      </c>
      <c r="EA72" s="214" t="s">
        <v>5162</v>
      </c>
      <c r="EB72" s="214" t="s">
        <v>503</v>
      </c>
      <c r="EC72" s="214" t="s">
        <v>70</v>
      </c>
      <c r="ED72" s="214" t="s">
        <v>530</v>
      </c>
      <c r="EF72" s="214" t="s">
        <v>5163</v>
      </c>
      <c r="EG72" s="214" t="s">
        <v>145</v>
      </c>
      <c r="EH72" s="214" t="s">
        <v>70</v>
      </c>
      <c r="EI72" s="214" t="s">
        <v>530</v>
      </c>
      <c r="EK72" s="214" t="s">
        <v>5164</v>
      </c>
      <c r="EL72" s="214" t="s">
        <v>641</v>
      </c>
      <c r="EM72" s="214" t="s">
        <v>70</v>
      </c>
      <c r="EN72" s="214" t="s">
        <v>530</v>
      </c>
      <c r="EP72" s="214" t="s">
        <v>5165</v>
      </c>
      <c r="EQ72" s="214" t="s">
        <v>484</v>
      </c>
      <c r="ER72" s="214" t="s">
        <v>70</v>
      </c>
      <c r="ES72" s="214" t="s">
        <v>530</v>
      </c>
      <c r="EU72" s="214" t="s">
        <v>5166</v>
      </c>
      <c r="EV72" s="214" t="s">
        <v>90</v>
      </c>
      <c r="EW72" s="214" t="s">
        <v>70</v>
      </c>
      <c r="EX72" s="214" t="s">
        <v>530</v>
      </c>
      <c r="EZ72" s="214" t="s">
        <v>5167</v>
      </c>
      <c r="FA72" s="214" t="s">
        <v>483</v>
      </c>
      <c r="FB72" s="214" t="s">
        <v>70</v>
      </c>
      <c r="FC72" s="214" t="s">
        <v>530</v>
      </c>
      <c r="FE72" s="214" t="s">
        <v>5168</v>
      </c>
      <c r="FF72" s="214" t="s">
        <v>52</v>
      </c>
      <c r="FG72" s="214" t="s">
        <v>70</v>
      </c>
      <c r="FH72" s="214" t="s">
        <v>530</v>
      </c>
      <c r="FJ72" s="321" t="s">
        <v>5169</v>
      </c>
      <c r="FK72" s="214" t="s">
        <v>52</v>
      </c>
      <c r="FL72" s="214" t="s">
        <v>70</v>
      </c>
      <c r="FM72" s="214" t="s">
        <v>530</v>
      </c>
      <c r="FO72" s="321" t="s">
        <v>5170</v>
      </c>
      <c r="FP72" s="214" t="s">
        <v>34578</v>
      </c>
      <c r="FQ72" s="214" t="s">
        <v>70</v>
      </c>
      <c r="FR72" s="214" t="s">
        <v>530</v>
      </c>
      <c r="FT72" s="321" t="s">
        <v>5171</v>
      </c>
      <c r="FU72" s="214" t="s">
        <v>145</v>
      </c>
      <c r="FV72" s="214" t="s">
        <v>70</v>
      </c>
      <c r="FW72" s="214" t="s">
        <v>530</v>
      </c>
      <c r="FY72" s="321" t="s">
        <v>5172</v>
      </c>
      <c r="FZ72" s="214" t="s">
        <v>163</v>
      </c>
      <c r="GA72" s="214" t="s">
        <v>70</v>
      </c>
      <c r="GB72" s="214" t="s">
        <v>530</v>
      </c>
      <c r="GD72" s="321" t="s">
        <v>5173</v>
      </c>
      <c r="GE72" s="214" t="s">
        <v>163</v>
      </c>
      <c r="GF72" s="214" t="s">
        <v>70</v>
      </c>
      <c r="GG72" s="214" t="s">
        <v>530</v>
      </c>
      <c r="GI72" s="321" t="s">
        <v>5174</v>
      </c>
      <c r="GJ72" s="214" t="s">
        <v>52</v>
      </c>
      <c r="GK72" s="214" t="s">
        <v>70</v>
      </c>
      <c r="GL72" s="214" t="s">
        <v>530</v>
      </c>
      <c r="GN72" s="321" t="s">
        <v>5175</v>
      </c>
      <c r="GO72" s="214" t="s">
        <v>146</v>
      </c>
      <c r="GP72" s="214" t="s">
        <v>70</v>
      </c>
      <c r="GQ72" s="214" t="s">
        <v>530</v>
      </c>
      <c r="GS72" s="321" t="s">
        <v>5176</v>
      </c>
      <c r="GT72" s="214" t="s">
        <v>917</v>
      </c>
      <c r="GU72" s="214" t="s">
        <v>70</v>
      </c>
      <c r="GV72" s="214" t="s">
        <v>530</v>
      </c>
      <c r="GX72" s="214" t="s">
        <v>5177</v>
      </c>
      <c r="GY72" s="214" t="s">
        <v>164</v>
      </c>
      <c r="GZ72" s="214" t="s">
        <v>70</v>
      </c>
      <c r="HA72" s="214" t="s">
        <v>530</v>
      </c>
      <c r="HC72" s="214" t="s">
        <v>5178</v>
      </c>
      <c r="HD72" s="214" t="s">
        <v>481</v>
      </c>
      <c r="HE72" s="214" t="s">
        <v>70</v>
      </c>
      <c r="HF72" s="214" t="s">
        <v>530</v>
      </c>
      <c r="HH72" s="214" t="s">
        <v>5179</v>
      </c>
      <c r="HI72" s="214" t="s">
        <v>529</v>
      </c>
      <c r="HJ72" s="214" t="s">
        <v>70</v>
      </c>
      <c r="HK72" s="214" t="s">
        <v>530</v>
      </c>
      <c r="HM72" s="214" t="s">
        <v>5180</v>
      </c>
      <c r="HN72" s="214" t="s">
        <v>600</v>
      </c>
      <c r="HO72" s="214" t="s">
        <v>70</v>
      </c>
      <c r="HP72" s="214" t="s">
        <v>530</v>
      </c>
      <c r="HR72" s="22" t="s">
        <v>5181</v>
      </c>
      <c r="HS72" s="22" t="s">
        <v>468</v>
      </c>
      <c r="HT72" s="22" t="s">
        <v>70</v>
      </c>
      <c r="HU72" s="214" t="s">
        <v>530</v>
      </c>
      <c r="HW72" s="22" t="s">
        <v>5182</v>
      </c>
      <c r="HX72" s="22" t="s">
        <v>602</v>
      </c>
      <c r="HY72" s="22" t="s">
        <v>70</v>
      </c>
      <c r="HZ72" s="214" t="s">
        <v>530</v>
      </c>
      <c r="IB72" s="22" t="s">
        <v>5183</v>
      </c>
      <c r="IC72" s="22" t="s">
        <v>88</v>
      </c>
      <c r="ID72" s="22" t="s">
        <v>70</v>
      </c>
      <c r="IE72" s="214" t="s">
        <v>530</v>
      </c>
      <c r="IG72" s="22" t="s">
        <v>5184</v>
      </c>
      <c r="IH72" s="22" t="s">
        <v>52</v>
      </c>
      <c r="II72" s="22" t="s">
        <v>70</v>
      </c>
      <c r="IJ72" s="214" t="s">
        <v>530</v>
      </c>
      <c r="IL72" s="22" t="s">
        <v>5185</v>
      </c>
      <c r="IM72" s="22" t="s">
        <v>145</v>
      </c>
      <c r="IN72" s="22" t="s">
        <v>70</v>
      </c>
      <c r="IO72" s="214" t="s">
        <v>530</v>
      </c>
      <c r="IQ72" s="236" t="s">
        <v>5186</v>
      </c>
      <c r="IR72" s="236" t="s">
        <v>145</v>
      </c>
      <c r="IS72" s="236" t="s">
        <v>74</v>
      </c>
      <c r="IT72" s="236" t="s">
        <v>841</v>
      </c>
      <c r="IV72" s="236" t="s">
        <v>5187</v>
      </c>
      <c r="IW72" s="236" t="s">
        <v>145</v>
      </c>
      <c r="IX72" s="236" t="s">
        <v>74</v>
      </c>
      <c r="IY72" s="236" t="s">
        <v>841</v>
      </c>
      <c r="JA72" s="236" t="s">
        <v>5189</v>
      </c>
      <c r="JB72" s="236" t="s">
        <v>145</v>
      </c>
      <c r="JC72" s="236" t="s">
        <v>74</v>
      </c>
      <c r="JD72" s="236" t="s">
        <v>841</v>
      </c>
      <c r="JF72" s="236" t="s">
        <v>5190</v>
      </c>
      <c r="JG72" s="236" t="s">
        <v>145</v>
      </c>
      <c r="JH72" s="236" t="s">
        <v>74</v>
      </c>
      <c r="JI72" s="236" t="s">
        <v>841</v>
      </c>
      <c r="JK72" s="236" t="s">
        <v>5191</v>
      </c>
      <c r="JL72" s="236" t="s">
        <v>145</v>
      </c>
      <c r="JM72" s="236" t="s">
        <v>74</v>
      </c>
      <c r="JN72" s="236" t="s">
        <v>841</v>
      </c>
      <c r="JP72" s="236" t="s">
        <v>5192</v>
      </c>
      <c r="JQ72" s="236" t="s">
        <v>145</v>
      </c>
      <c r="JR72" s="236" t="s">
        <v>74</v>
      </c>
      <c r="JS72" s="236" t="s">
        <v>841</v>
      </c>
      <c r="JU72" s="294" t="s">
        <v>5193</v>
      </c>
      <c r="JV72" s="294" t="str">
        <f>TVIIBE1M_CalPairs!$R81</f>
        <v>0x3B</v>
      </c>
      <c r="JW72" s="218" t="s">
        <v>72</v>
      </c>
      <c r="JX72" s="294" t="str">
        <f>TVIIBE1M_CalPairs!$S81</f>
        <v>SRSS_SECURE</v>
      </c>
      <c r="JZ72" s="263" t="s">
        <v>5194</v>
      </c>
      <c r="KA72" s="263" t="s">
        <v>145</v>
      </c>
      <c r="KB72" s="263" t="s">
        <v>70</v>
      </c>
      <c r="KC72" s="263" t="s">
        <v>1083</v>
      </c>
      <c r="KE72" s="263" t="s">
        <v>5195</v>
      </c>
      <c r="KF72" s="263" t="s">
        <v>52</v>
      </c>
      <c r="KG72" s="263" t="s">
        <v>70</v>
      </c>
      <c r="KH72" s="263" t="s">
        <v>1083</v>
      </c>
      <c r="KJ72" s="263" t="s">
        <v>5196</v>
      </c>
      <c r="KK72" s="263" t="s">
        <v>52</v>
      </c>
      <c r="KL72" s="263" t="s">
        <v>74</v>
      </c>
      <c r="KM72" s="263" t="s">
        <v>34074</v>
      </c>
      <c r="KO72" s="214" t="s">
        <v>5197</v>
      </c>
      <c r="KP72" s="214" t="s">
        <v>145</v>
      </c>
      <c r="KQ72" s="214" t="s">
        <v>70</v>
      </c>
      <c r="KR72" s="214" t="s">
        <v>67</v>
      </c>
      <c r="KT72" s="22" t="s">
        <v>5198</v>
      </c>
      <c r="KU72" s="22" t="s">
        <v>145</v>
      </c>
      <c r="KV72" s="22" t="s">
        <v>70</v>
      </c>
      <c r="KW72" s="22" t="s">
        <v>67</v>
      </c>
      <c r="KY72" s="214" t="s">
        <v>5199</v>
      </c>
      <c r="KZ72" s="214" t="s">
        <v>52</v>
      </c>
      <c r="LA72" s="214" t="s">
        <v>74</v>
      </c>
      <c r="LB72" s="214" t="s">
        <v>67</v>
      </c>
      <c r="LD72" s="22" t="s">
        <v>5200</v>
      </c>
      <c r="LE72" s="22" t="s">
        <v>145</v>
      </c>
      <c r="LF72" s="22" t="s">
        <v>70</v>
      </c>
      <c r="LG72" s="22" t="s">
        <v>67</v>
      </c>
    </row>
    <row r="73" spans="1:319">
      <c r="A73" s="22" t="s">
        <v>5201</v>
      </c>
      <c r="B73" s="22" t="s">
        <v>145</v>
      </c>
      <c r="C73" s="22" t="s">
        <v>70</v>
      </c>
      <c r="D73" s="22" t="s">
        <v>67</v>
      </c>
      <c r="F73" s="23" t="s">
        <v>5202</v>
      </c>
      <c r="G73" s="23" t="str">
        <f>TVIIBE1M_CalPairs!$E70</f>
        <v>0x20</v>
      </c>
      <c r="H73" s="23" t="s">
        <v>70</v>
      </c>
      <c r="I73" s="23" t="str">
        <f>TVIIBE1M_CalPairs!$C70</f>
        <v>PWR_TEST_HT_ADDR1</v>
      </c>
      <c r="K73" s="22" t="s">
        <v>5203</v>
      </c>
      <c r="L73" s="22" t="s">
        <v>145</v>
      </c>
      <c r="M73" s="22" t="s">
        <v>70</v>
      </c>
      <c r="N73" s="22" t="s">
        <v>67</v>
      </c>
      <c r="P73" s="22" t="s">
        <v>5204</v>
      </c>
      <c r="Q73" s="22" t="s">
        <v>145</v>
      </c>
      <c r="R73" s="22" t="s">
        <v>70</v>
      </c>
      <c r="S73" s="22" t="s">
        <v>67</v>
      </c>
      <c r="U73" s="293" t="s">
        <v>5205</v>
      </c>
      <c r="V73" s="293" t="s">
        <v>145</v>
      </c>
      <c r="W73" s="293" t="s">
        <v>74</v>
      </c>
      <c r="X73" s="293" t="s">
        <v>656</v>
      </c>
      <c r="Z73" s="293" t="s">
        <v>5206</v>
      </c>
      <c r="AA73" s="293" t="s">
        <v>145</v>
      </c>
      <c r="AB73" s="293" t="s">
        <v>74</v>
      </c>
      <c r="AC73" s="293" t="s">
        <v>656</v>
      </c>
      <c r="AE73" s="293" t="s">
        <v>5207</v>
      </c>
      <c r="AF73" s="293" t="s">
        <v>145</v>
      </c>
      <c r="AG73" s="293" t="s">
        <v>74</v>
      </c>
      <c r="AH73" s="293" t="s">
        <v>656</v>
      </c>
      <c r="AJ73" s="293" t="s">
        <v>5208</v>
      </c>
      <c r="AK73" s="293" t="s">
        <v>145</v>
      </c>
      <c r="AL73" s="293" t="s">
        <v>74</v>
      </c>
      <c r="AM73" s="293" t="s">
        <v>656</v>
      </c>
      <c r="AO73" s="22" t="s">
        <v>5209</v>
      </c>
      <c r="AP73" s="22" t="s">
        <v>145</v>
      </c>
      <c r="AQ73" s="22" t="s">
        <v>70</v>
      </c>
      <c r="AR73" s="22" t="s">
        <v>67</v>
      </c>
      <c r="AT73" s="22" t="s">
        <v>5210</v>
      </c>
      <c r="AU73" s="22" t="s">
        <v>145</v>
      </c>
      <c r="AV73" s="22" t="s">
        <v>70</v>
      </c>
      <c r="AW73" s="22" t="s">
        <v>67</v>
      </c>
      <c r="AY73" s="22" t="s">
        <v>5211</v>
      </c>
      <c r="AZ73" s="22" t="s">
        <v>145</v>
      </c>
      <c r="BA73" s="22" t="s">
        <v>70</v>
      </c>
      <c r="BB73" s="22" t="s">
        <v>67</v>
      </c>
      <c r="BD73" s="22" t="s">
        <v>5212</v>
      </c>
      <c r="BE73" s="22" t="s">
        <v>145</v>
      </c>
      <c r="BF73" s="22" t="s">
        <v>70</v>
      </c>
      <c r="BG73" s="22" t="s">
        <v>67</v>
      </c>
      <c r="BI73" s="22" t="s">
        <v>5213</v>
      </c>
      <c r="BJ73" s="22" t="s">
        <v>145</v>
      </c>
      <c r="BK73" s="22" t="s">
        <v>70</v>
      </c>
      <c r="BL73" s="22" t="s">
        <v>67</v>
      </c>
      <c r="BN73" s="22" t="s">
        <v>5214</v>
      </c>
      <c r="BO73" s="22" t="s">
        <v>145</v>
      </c>
      <c r="BP73" s="22" t="s">
        <v>70</v>
      </c>
      <c r="BQ73" s="22" t="s">
        <v>67</v>
      </c>
      <c r="BS73" s="22" t="s">
        <v>5215</v>
      </c>
      <c r="BT73" s="22" t="s">
        <v>145</v>
      </c>
      <c r="BU73" s="22" t="s">
        <v>70</v>
      </c>
      <c r="BV73" s="214" t="s">
        <v>530</v>
      </c>
      <c r="BX73" s="22" t="s">
        <v>5216</v>
      </c>
      <c r="BY73" s="22" t="s">
        <v>145</v>
      </c>
      <c r="BZ73" s="22" t="s">
        <v>70</v>
      </c>
      <c r="CA73" s="214" t="s">
        <v>530</v>
      </c>
      <c r="CC73" s="214" t="s">
        <v>5217</v>
      </c>
      <c r="CD73" s="349" t="s">
        <v>926</v>
      </c>
      <c r="CE73" s="214" t="s">
        <v>70</v>
      </c>
      <c r="CF73" s="214" t="s">
        <v>368</v>
      </c>
      <c r="CH73" s="214" t="s">
        <v>5218</v>
      </c>
      <c r="CI73" s="214" t="s">
        <v>926</v>
      </c>
      <c r="CJ73" s="214" t="s">
        <v>70</v>
      </c>
      <c r="CK73" s="214" t="s">
        <v>530</v>
      </c>
      <c r="CM73" s="214" t="s">
        <v>5219</v>
      </c>
      <c r="CN73" s="214" t="s">
        <v>482</v>
      </c>
      <c r="CO73" s="214" t="s">
        <v>70</v>
      </c>
      <c r="CP73" s="214" t="s">
        <v>530</v>
      </c>
      <c r="CR73" s="214" t="s">
        <v>5220</v>
      </c>
      <c r="CS73" s="214" t="s">
        <v>488</v>
      </c>
      <c r="CT73" s="214" t="s">
        <v>70</v>
      </c>
      <c r="CU73" s="214" t="s">
        <v>530</v>
      </c>
      <c r="CW73" s="214" t="s">
        <v>5221</v>
      </c>
      <c r="CX73" s="214" t="s">
        <v>488</v>
      </c>
      <c r="CY73" s="214" t="s">
        <v>70</v>
      </c>
      <c r="CZ73" s="214" t="s">
        <v>530</v>
      </c>
      <c r="DB73" s="214" t="s">
        <v>5222</v>
      </c>
      <c r="DC73" s="214" t="s">
        <v>34561</v>
      </c>
      <c r="DD73" s="214" t="s">
        <v>70</v>
      </c>
      <c r="DE73" s="214" t="s">
        <v>530</v>
      </c>
      <c r="DG73" s="214" t="s">
        <v>5223</v>
      </c>
      <c r="DH73" s="214" t="s">
        <v>917</v>
      </c>
      <c r="DI73" s="214" t="s">
        <v>70</v>
      </c>
      <c r="DJ73" s="214" t="s">
        <v>530</v>
      </c>
      <c r="DL73" s="214" t="s">
        <v>5224</v>
      </c>
      <c r="DM73" s="214" t="s">
        <v>490</v>
      </c>
      <c r="DN73" s="214" t="s">
        <v>70</v>
      </c>
      <c r="DO73" s="214" t="s">
        <v>530</v>
      </c>
      <c r="DQ73" s="214" t="s">
        <v>5225</v>
      </c>
      <c r="DR73" s="214" t="s">
        <v>52</v>
      </c>
      <c r="DS73" s="214" t="s">
        <v>70</v>
      </c>
      <c r="DT73" s="214" t="s">
        <v>530</v>
      </c>
      <c r="DV73" s="214" t="s">
        <v>5226</v>
      </c>
      <c r="DW73" s="214" t="s">
        <v>603</v>
      </c>
      <c r="DX73" s="214" t="s">
        <v>70</v>
      </c>
      <c r="DY73" s="214" t="s">
        <v>530</v>
      </c>
      <c r="EA73" s="214" t="s">
        <v>5227</v>
      </c>
      <c r="EB73" s="214" t="s">
        <v>145</v>
      </c>
      <c r="EC73" s="214" t="s">
        <v>70</v>
      </c>
      <c r="ED73" s="214" t="s">
        <v>530</v>
      </c>
      <c r="EF73" s="214" t="s">
        <v>5228</v>
      </c>
      <c r="EG73" s="214" t="s">
        <v>145</v>
      </c>
      <c r="EH73" s="214" t="s">
        <v>70</v>
      </c>
      <c r="EI73" s="214" t="s">
        <v>530</v>
      </c>
      <c r="EK73" s="214" t="s">
        <v>5229</v>
      </c>
      <c r="EL73" s="214" t="s">
        <v>34544</v>
      </c>
      <c r="EM73" s="214" t="s">
        <v>70</v>
      </c>
      <c r="EN73" s="214" t="s">
        <v>530</v>
      </c>
      <c r="EP73" s="214" t="s">
        <v>5230</v>
      </c>
      <c r="EQ73" s="214" t="s">
        <v>926</v>
      </c>
      <c r="ER73" s="214" t="s">
        <v>70</v>
      </c>
      <c r="ES73" s="214" t="s">
        <v>530</v>
      </c>
      <c r="EU73" s="214" t="s">
        <v>5231</v>
      </c>
      <c r="EV73" s="214" t="s">
        <v>502</v>
      </c>
      <c r="EW73" s="214" t="s">
        <v>70</v>
      </c>
      <c r="EX73" s="214" t="s">
        <v>530</v>
      </c>
      <c r="EZ73" s="214" t="s">
        <v>5232</v>
      </c>
      <c r="FA73" s="214" t="s">
        <v>34542</v>
      </c>
      <c r="FB73" s="214" t="s">
        <v>70</v>
      </c>
      <c r="FC73" s="214" t="s">
        <v>530</v>
      </c>
      <c r="FE73" s="214" t="s">
        <v>5233</v>
      </c>
      <c r="FF73" s="214" t="s">
        <v>203</v>
      </c>
      <c r="FG73" s="214" t="s">
        <v>70</v>
      </c>
      <c r="FH73" s="214" t="s">
        <v>530</v>
      </c>
      <c r="FJ73" s="321" t="s">
        <v>5234</v>
      </c>
      <c r="FK73" s="214" t="s">
        <v>34558</v>
      </c>
      <c r="FL73" s="214" t="s">
        <v>70</v>
      </c>
      <c r="FM73" s="214" t="s">
        <v>530</v>
      </c>
      <c r="FO73" s="321" t="s">
        <v>5235</v>
      </c>
      <c r="FP73" s="214" t="s">
        <v>936</v>
      </c>
      <c r="FQ73" s="214" t="s">
        <v>70</v>
      </c>
      <c r="FR73" s="214" t="s">
        <v>530</v>
      </c>
      <c r="FT73" s="321" t="s">
        <v>5236</v>
      </c>
      <c r="FU73" s="214" t="s">
        <v>145</v>
      </c>
      <c r="FV73" s="214" t="s">
        <v>70</v>
      </c>
      <c r="FW73" s="214" t="s">
        <v>530</v>
      </c>
      <c r="FY73" s="321" t="s">
        <v>5237</v>
      </c>
      <c r="FZ73" s="214" t="s">
        <v>496</v>
      </c>
      <c r="GA73" s="214" t="s">
        <v>70</v>
      </c>
      <c r="GB73" s="214" t="s">
        <v>530</v>
      </c>
      <c r="GD73" s="321" t="s">
        <v>5238</v>
      </c>
      <c r="GE73" s="214" t="s">
        <v>206</v>
      </c>
      <c r="GF73" s="214" t="s">
        <v>70</v>
      </c>
      <c r="GG73" s="214" t="s">
        <v>530</v>
      </c>
      <c r="GI73" s="321" t="s">
        <v>5239</v>
      </c>
      <c r="GJ73" s="214" t="s">
        <v>163</v>
      </c>
      <c r="GK73" s="214" t="s">
        <v>70</v>
      </c>
      <c r="GL73" s="214" t="s">
        <v>530</v>
      </c>
      <c r="GN73" s="321" t="s">
        <v>5240</v>
      </c>
      <c r="GO73" s="214" t="s">
        <v>34547</v>
      </c>
      <c r="GP73" s="214" t="s">
        <v>70</v>
      </c>
      <c r="GQ73" s="214" t="s">
        <v>530</v>
      </c>
      <c r="GS73" s="321" t="s">
        <v>5241</v>
      </c>
      <c r="GT73" s="214" t="s">
        <v>599</v>
      </c>
      <c r="GU73" s="214" t="s">
        <v>70</v>
      </c>
      <c r="GV73" s="214" t="s">
        <v>530</v>
      </c>
      <c r="GX73" s="214" t="s">
        <v>5242</v>
      </c>
      <c r="GY73" s="214" t="s">
        <v>950</v>
      </c>
      <c r="GZ73" s="214" t="s">
        <v>70</v>
      </c>
      <c r="HA73" s="214" t="s">
        <v>530</v>
      </c>
      <c r="HC73" s="214" t="s">
        <v>5243</v>
      </c>
      <c r="HD73" s="214" t="s">
        <v>487</v>
      </c>
      <c r="HE73" s="214" t="s">
        <v>70</v>
      </c>
      <c r="HF73" s="214" t="s">
        <v>530</v>
      </c>
      <c r="HH73" s="214" t="s">
        <v>5244</v>
      </c>
      <c r="HI73" s="214" t="s">
        <v>85</v>
      </c>
      <c r="HJ73" s="214" t="s">
        <v>70</v>
      </c>
      <c r="HK73" s="214" t="s">
        <v>530</v>
      </c>
      <c r="HM73" s="214" t="s">
        <v>5245</v>
      </c>
      <c r="HN73" s="214" t="s">
        <v>145</v>
      </c>
      <c r="HO73" s="214" t="s">
        <v>70</v>
      </c>
      <c r="HP73" s="214" t="s">
        <v>530</v>
      </c>
      <c r="HR73" s="22" t="s">
        <v>5246</v>
      </c>
      <c r="HS73" s="22" t="s">
        <v>34641</v>
      </c>
      <c r="HT73" s="22" t="s">
        <v>70</v>
      </c>
      <c r="HU73" s="214" t="s">
        <v>530</v>
      </c>
      <c r="HW73" s="22" t="s">
        <v>5247</v>
      </c>
      <c r="HX73" s="22" t="s">
        <v>798</v>
      </c>
      <c r="HY73" s="22" t="s">
        <v>70</v>
      </c>
      <c r="HZ73" s="214" t="s">
        <v>530</v>
      </c>
      <c r="IB73" s="22" t="s">
        <v>5248</v>
      </c>
      <c r="IC73" s="22" t="s">
        <v>488</v>
      </c>
      <c r="ID73" s="22" t="s">
        <v>70</v>
      </c>
      <c r="IE73" s="214" t="s">
        <v>530</v>
      </c>
      <c r="IG73" s="22" t="s">
        <v>5249</v>
      </c>
      <c r="IH73" s="22" t="s">
        <v>52</v>
      </c>
      <c r="II73" s="22" t="s">
        <v>70</v>
      </c>
      <c r="IJ73" s="214" t="s">
        <v>530</v>
      </c>
      <c r="IL73" s="22" t="s">
        <v>5250</v>
      </c>
      <c r="IM73" s="22" t="s">
        <v>145</v>
      </c>
      <c r="IN73" s="22" t="s">
        <v>70</v>
      </c>
      <c r="IO73" s="214" t="s">
        <v>530</v>
      </c>
      <c r="IQ73" s="236" t="s">
        <v>5251</v>
      </c>
      <c r="IR73" s="236" t="s">
        <v>145</v>
      </c>
      <c r="IS73" s="236" t="s">
        <v>74</v>
      </c>
      <c r="IT73" s="236" t="s">
        <v>841</v>
      </c>
      <c r="IV73" s="236" t="s">
        <v>5252</v>
      </c>
      <c r="IW73" s="236" t="s">
        <v>145</v>
      </c>
      <c r="IX73" s="236" t="s">
        <v>74</v>
      </c>
      <c r="IY73" s="236" t="s">
        <v>841</v>
      </c>
      <c r="JA73" s="236" t="s">
        <v>5254</v>
      </c>
      <c r="JB73" s="236" t="s">
        <v>145</v>
      </c>
      <c r="JC73" s="236" t="s">
        <v>74</v>
      </c>
      <c r="JD73" s="236" t="s">
        <v>841</v>
      </c>
      <c r="JF73" s="236" t="s">
        <v>5255</v>
      </c>
      <c r="JG73" s="236" t="s">
        <v>145</v>
      </c>
      <c r="JH73" s="236" t="s">
        <v>74</v>
      </c>
      <c r="JI73" s="236" t="s">
        <v>841</v>
      </c>
      <c r="JK73" s="236" t="s">
        <v>5256</v>
      </c>
      <c r="JL73" s="236" t="s">
        <v>145</v>
      </c>
      <c r="JM73" s="236" t="s">
        <v>74</v>
      </c>
      <c r="JN73" s="236" t="s">
        <v>841</v>
      </c>
      <c r="JP73" s="236" t="s">
        <v>5257</v>
      </c>
      <c r="JQ73" s="236" t="s">
        <v>145</v>
      </c>
      <c r="JR73" s="236" t="s">
        <v>74</v>
      </c>
      <c r="JS73" s="236" t="s">
        <v>841</v>
      </c>
      <c r="JU73" s="294" t="s">
        <v>5258</v>
      </c>
      <c r="JV73" s="294" t="str">
        <f>TVIIBE1M_CalPairs!$R82</f>
        <v>0x00</v>
      </c>
      <c r="JW73" s="218" t="s">
        <v>72</v>
      </c>
      <c r="JX73" s="294" t="str">
        <f>TVIIBE1M_CalPairs!$S82</f>
        <v>SRSS_SECURE</v>
      </c>
      <c r="JZ73" s="263" t="s">
        <v>5259</v>
      </c>
      <c r="KA73" s="263" t="s">
        <v>145</v>
      </c>
      <c r="KB73" s="263" t="s">
        <v>70</v>
      </c>
      <c r="KC73" s="263" t="s">
        <v>1083</v>
      </c>
      <c r="KE73" s="263" t="s">
        <v>5260</v>
      </c>
      <c r="KF73" s="263" t="s">
        <v>52</v>
      </c>
      <c r="KG73" s="263" t="s">
        <v>70</v>
      </c>
      <c r="KH73" s="263" t="s">
        <v>1083</v>
      </c>
      <c r="KJ73" s="263" t="s">
        <v>5261</v>
      </c>
      <c r="KK73" s="263" t="s">
        <v>52</v>
      </c>
      <c r="KL73" s="263" t="s">
        <v>74</v>
      </c>
      <c r="KM73" s="263" t="s">
        <v>34074</v>
      </c>
      <c r="KO73" s="214" t="s">
        <v>5262</v>
      </c>
      <c r="KP73" s="214" t="s">
        <v>145</v>
      </c>
      <c r="KQ73" s="214" t="s">
        <v>70</v>
      </c>
      <c r="KR73" s="214" t="s">
        <v>67</v>
      </c>
      <c r="KT73" s="22" t="s">
        <v>5263</v>
      </c>
      <c r="KU73" s="22" t="s">
        <v>145</v>
      </c>
      <c r="KV73" s="22" t="s">
        <v>70</v>
      </c>
      <c r="KW73" s="22" t="s">
        <v>67</v>
      </c>
      <c r="KY73" s="214" t="s">
        <v>5264</v>
      </c>
      <c r="KZ73" s="214" t="s">
        <v>52</v>
      </c>
      <c r="LA73" s="214" t="s">
        <v>74</v>
      </c>
      <c r="LB73" s="214" t="s">
        <v>67</v>
      </c>
      <c r="LD73" s="22" t="s">
        <v>5265</v>
      </c>
      <c r="LE73" s="22" t="s">
        <v>145</v>
      </c>
      <c r="LF73" s="22" t="s">
        <v>70</v>
      </c>
      <c r="LG73" s="22" t="s">
        <v>67</v>
      </c>
    </row>
    <row r="74" spans="1:319">
      <c r="A74" s="22" t="s">
        <v>5266</v>
      </c>
      <c r="B74" s="22" t="s">
        <v>145</v>
      </c>
      <c r="C74" s="22" t="s">
        <v>70</v>
      </c>
      <c r="D74" s="22" t="s">
        <v>67</v>
      </c>
      <c r="F74" s="23" t="s">
        <v>5267</v>
      </c>
      <c r="G74" s="23" t="str">
        <f>TVIIBE1M_CalPairs!$E71</f>
        <v>0x26</v>
      </c>
      <c r="H74" s="23" t="s">
        <v>70</v>
      </c>
      <c r="I74" s="23" t="str">
        <f>TVIIBE1M_CalPairs!$C71</f>
        <v>PWR_TEST_HT_ADDR2</v>
      </c>
      <c r="K74" s="22" t="s">
        <v>5268</v>
      </c>
      <c r="L74" s="22" t="s">
        <v>145</v>
      </c>
      <c r="M74" s="22" t="s">
        <v>70</v>
      </c>
      <c r="N74" s="22" t="s">
        <v>67</v>
      </c>
      <c r="P74" s="22" t="s">
        <v>5269</v>
      </c>
      <c r="Q74" s="22" t="s">
        <v>145</v>
      </c>
      <c r="R74" s="22" t="s">
        <v>70</v>
      </c>
      <c r="S74" s="22" t="s">
        <v>67</v>
      </c>
      <c r="U74" s="293" t="s">
        <v>5270</v>
      </c>
      <c r="V74" s="293" t="s">
        <v>145</v>
      </c>
      <c r="W74" s="293" t="s">
        <v>74</v>
      </c>
      <c r="X74" s="293" t="s">
        <v>656</v>
      </c>
      <c r="Z74" s="293" t="s">
        <v>5271</v>
      </c>
      <c r="AA74" s="293" t="s">
        <v>145</v>
      </c>
      <c r="AB74" s="293" t="s">
        <v>74</v>
      </c>
      <c r="AC74" s="293" t="s">
        <v>656</v>
      </c>
      <c r="AE74" s="293" t="s">
        <v>5272</v>
      </c>
      <c r="AF74" s="293" t="s">
        <v>145</v>
      </c>
      <c r="AG74" s="293" t="s">
        <v>74</v>
      </c>
      <c r="AH74" s="293" t="s">
        <v>656</v>
      </c>
      <c r="AJ74" s="293" t="s">
        <v>5273</v>
      </c>
      <c r="AK74" s="293" t="s">
        <v>145</v>
      </c>
      <c r="AL74" s="293" t="s">
        <v>74</v>
      </c>
      <c r="AM74" s="293" t="s">
        <v>656</v>
      </c>
      <c r="AO74" s="22" t="s">
        <v>5274</v>
      </c>
      <c r="AP74" s="22" t="s">
        <v>145</v>
      </c>
      <c r="AQ74" s="22" t="s">
        <v>70</v>
      </c>
      <c r="AR74" s="22" t="s">
        <v>67</v>
      </c>
      <c r="AT74" s="22" t="s">
        <v>5275</v>
      </c>
      <c r="AU74" s="22" t="s">
        <v>145</v>
      </c>
      <c r="AV74" s="22" t="s">
        <v>70</v>
      </c>
      <c r="AW74" s="22" t="s">
        <v>67</v>
      </c>
      <c r="AY74" s="22" t="s">
        <v>5276</v>
      </c>
      <c r="AZ74" s="22" t="s">
        <v>145</v>
      </c>
      <c r="BA74" s="22" t="s">
        <v>70</v>
      </c>
      <c r="BB74" s="22" t="s">
        <v>67</v>
      </c>
      <c r="BD74" s="22" t="s">
        <v>5277</v>
      </c>
      <c r="BE74" s="22" t="s">
        <v>145</v>
      </c>
      <c r="BF74" s="22" t="s">
        <v>70</v>
      </c>
      <c r="BG74" s="22" t="s">
        <v>67</v>
      </c>
      <c r="BI74" s="22" t="s">
        <v>5278</v>
      </c>
      <c r="BJ74" s="22" t="s">
        <v>145</v>
      </c>
      <c r="BK74" s="22" t="s">
        <v>70</v>
      </c>
      <c r="BL74" s="22" t="s">
        <v>67</v>
      </c>
      <c r="BN74" s="22" t="s">
        <v>5279</v>
      </c>
      <c r="BO74" s="22" t="s">
        <v>145</v>
      </c>
      <c r="BP74" s="22" t="s">
        <v>70</v>
      </c>
      <c r="BQ74" s="22" t="s">
        <v>67</v>
      </c>
      <c r="BS74" s="22" t="s">
        <v>5280</v>
      </c>
      <c r="BT74" s="22" t="s">
        <v>145</v>
      </c>
      <c r="BU74" s="22" t="s">
        <v>70</v>
      </c>
      <c r="BV74" s="214" t="s">
        <v>530</v>
      </c>
      <c r="BX74" s="22" t="s">
        <v>5281</v>
      </c>
      <c r="BY74" s="22" t="s">
        <v>145</v>
      </c>
      <c r="BZ74" s="22" t="s">
        <v>70</v>
      </c>
      <c r="CA74" s="214" t="s">
        <v>530</v>
      </c>
      <c r="CC74" s="214" t="s">
        <v>5282</v>
      </c>
      <c r="CD74" s="215" t="s">
        <v>52</v>
      </c>
      <c r="CE74" s="214" t="s">
        <v>70</v>
      </c>
      <c r="CF74" s="214" t="s">
        <v>369</v>
      </c>
      <c r="CH74" s="214" t="s">
        <v>5283</v>
      </c>
      <c r="CI74" s="214" t="s">
        <v>468</v>
      </c>
      <c r="CJ74" s="214" t="s">
        <v>70</v>
      </c>
      <c r="CK74" s="214" t="s">
        <v>530</v>
      </c>
      <c r="CM74" s="214" t="s">
        <v>5284</v>
      </c>
      <c r="CN74" s="214" t="s">
        <v>498</v>
      </c>
      <c r="CO74" s="214" t="s">
        <v>70</v>
      </c>
      <c r="CP74" s="214" t="s">
        <v>530</v>
      </c>
      <c r="CR74" s="214" t="s">
        <v>5285</v>
      </c>
      <c r="CS74" s="214" t="s">
        <v>149</v>
      </c>
      <c r="CT74" s="214" t="s">
        <v>70</v>
      </c>
      <c r="CU74" s="214" t="s">
        <v>530</v>
      </c>
      <c r="CW74" s="214" t="s">
        <v>5286</v>
      </c>
      <c r="CX74" s="214" t="s">
        <v>163</v>
      </c>
      <c r="CY74" s="214" t="s">
        <v>70</v>
      </c>
      <c r="CZ74" s="214" t="s">
        <v>530</v>
      </c>
      <c r="DB74" s="214" t="s">
        <v>5287</v>
      </c>
      <c r="DC74" s="214" t="s">
        <v>90</v>
      </c>
      <c r="DD74" s="214" t="s">
        <v>70</v>
      </c>
      <c r="DE74" s="214" t="s">
        <v>530</v>
      </c>
      <c r="DG74" s="214" t="s">
        <v>5288</v>
      </c>
      <c r="DH74" s="214" t="s">
        <v>52</v>
      </c>
      <c r="DI74" s="214" t="s">
        <v>70</v>
      </c>
      <c r="DJ74" s="214" t="s">
        <v>530</v>
      </c>
      <c r="DL74" s="214" t="s">
        <v>5289</v>
      </c>
      <c r="DM74" s="214" t="s">
        <v>468</v>
      </c>
      <c r="DN74" s="214" t="s">
        <v>70</v>
      </c>
      <c r="DO74" s="214" t="s">
        <v>530</v>
      </c>
      <c r="DQ74" s="214" t="s">
        <v>5290</v>
      </c>
      <c r="DR74" s="214" t="s">
        <v>145</v>
      </c>
      <c r="DS74" s="214" t="s">
        <v>70</v>
      </c>
      <c r="DT74" s="214" t="s">
        <v>530</v>
      </c>
      <c r="DV74" s="214" t="s">
        <v>5291</v>
      </c>
      <c r="DW74" s="214" t="s">
        <v>52</v>
      </c>
      <c r="DX74" s="214" t="s">
        <v>70</v>
      </c>
      <c r="DY74" s="214" t="s">
        <v>530</v>
      </c>
      <c r="EA74" s="214" t="s">
        <v>5292</v>
      </c>
      <c r="EB74" s="214" t="s">
        <v>52</v>
      </c>
      <c r="EC74" s="214" t="s">
        <v>70</v>
      </c>
      <c r="ED74" s="214" t="s">
        <v>530</v>
      </c>
      <c r="EF74" s="214" t="s">
        <v>5293</v>
      </c>
      <c r="EG74" s="214" t="s">
        <v>34656</v>
      </c>
      <c r="EH74" s="214" t="s">
        <v>70</v>
      </c>
      <c r="EI74" s="214" t="s">
        <v>530</v>
      </c>
      <c r="EK74" s="214" t="s">
        <v>5294</v>
      </c>
      <c r="EL74" s="214" t="s">
        <v>86</v>
      </c>
      <c r="EM74" s="214" t="s">
        <v>70</v>
      </c>
      <c r="EN74" s="214" t="s">
        <v>530</v>
      </c>
      <c r="EP74" s="214" t="s">
        <v>5295</v>
      </c>
      <c r="EQ74" s="214" t="s">
        <v>953</v>
      </c>
      <c r="ER74" s="214" t="s">
        <v>70</v>
      </c>
      <c r="ES74" s="214" t="s">
        <v>530</v>
      </c>
      <c r="EU74" s="214" t="s">
        <v>5296</v>
      </c>
      <c r="EV74" s="214" t="s">
        <v>949</v>
      </c>
      <c r="EW74" s="214" t="s">
        <v>70</v>
      </c>
      <c r="EX74" s="214" t="s">
        <v>530</v>
      </c>
      <c r="EZ74" s="214" t="s">
        <v>5297</v>
      </c>
      <c r="FA74" s="214" t="s">
        <v>501</v>
      </c>
      <c r="FB74" s="214" t="s">
        <v>70</v>
      </c>
      <c r="FC74" s="214" t="s">
        <v>530</v>
      </c>
      <c r="FE74" s="214" t="s">
        <v>5298</v>
      </c>
      <c r="FF74" s="214" t="s">
        <v>86</v>
      </c>
      <c r="FG74" s="214" t="s">
        <v>70</v>
      </c>
      <c r="FH74" s="214" t="s">
        <v>530</v>
      </c>
      <c r="FJ74" s="321" t="s">
        <v>5299</v>
      </c>
      <c r="FK74" s="214" t="s">
        <v>905</v>
      </c>
      <c r="FL74" s="214" t="s">
        <v>70</v>
      </c>
      <c r="FM74" s="214" t="s">
        <v>530</v>
      </c>
      <c r="FO74" s="321" t="s">
        <v>5300</v>
      </c>
      <c r="FP74" s="214" t="s">
        <v>941</v>
      </c>
      <c r="FQ74" s="214" t="s">
        <v>70</v>
      </c>
      <c r="FR74" s="214" t="s">
        <v>530</v>
      </c>
      <c r="FT74" s="321" t="s">
        <v>5301</v>
      </c>
      <c r="FU74" s="214" t="s">
        <v>145</v>
      </c>
      <c r="FV74" s="214" t="s">
        <v>70</v>
      </c>
      <c r="FW74" s="214" t="s">
        <v>530</v>
      </c>
      <c r="FY74" s="321" t="s">
        <v>5302</v>
      </c>
      <c r="FZ74" s="214" t="s">
        <v>498</v>
      </c>
      <c r="GA74" s="214" t="s">
        <v>70</v>
      </c>
      <c r="GB74" s="214" t="s">
        <v>530</v>
      </c>
      <c r="GD74" s="321" t="s">
        <v>5303</v>
      </c>
      <c r="GE74" s="214" t="s">
        <v>286</v>
      </c>
      <c r="GF74" s="214" t="s">
        <v>70</v>
      </c>
      <c r="GG74" s="214" t="s">
        <v>530</v>
      </c>
      <c r="GI74" s="321" t="s">
        <v>5304</v>
      </c>
      <c r="GJ74" s="214" t="s">
        <v>52</v>
      </c>
      <c r="GK74" s="214" t="s">
        <v>70</v>
      </c>
      <c r="GL74" s="214" t="s">
        <v>530</v>
      </c>
      <c r="GN74" s="321" t="s">
        <v>5305</v>
      </c>
      <c r="GO74" s="214" t="s">
        <v>148</v>
      </c>
      <c r="GP74" s="214" t="s">
        <v>70</v>
      </c>
      <c r="GQ74" s="214" t="s">
        <v>530</v>
      </c>
      <c r="GS74" s="321" t="s">
        <v>5306</v>
      </c>
      <c r="GT74" s="214" t="s">
        <v>148</v>
      </c>
      <c r="GU74" s="214" t="s">
        <v>70</v>
      </c>
      <c r="GV74" s="214" t="s">
        <v>530</v>
      </c>
      <c r="GX74" s="214" t="s">
        <v>5307</v>
      </c>
      <c r="GY74" s="214" t="s">
        <v>52</v>
      </c>
      <c r="GZ74" s="214" t="s">
        <v>70</v>
      </c>
      <c r="HA74" s="214" t="s">
        <v>530</v>
      </c>
      <c r="HC74" s="214" t="s">
        <v>5308</v>
      </c>
      <c r="HD74" s="214" t="s">
        <v>88</v>
      </c>
      <c r="HE74" s="214" t="s">
        <v>70</v>
      </c>
      <c r="HF74" s="214" t="s">
        <v>530</v>
      </c>
      <c r="HH74" s="214" t="s">
        <v>5309</v>
      </c>
      <c r="HI74" s="214" t="s">
        <v>529</v>
      </c>
      <c r="HJ74" s="214" t="s">
        <v>70</v>
      </c>
      <c r="HK74" s="214" t="s">
        <v>530</v>
      </c>
      <c r="HM74" s="214" t="s">
        <v>5310</v>
      </c>
      <c r="HN74" s="214" t="s">
        <v>481</v>
      </c>
      <c r="HO74" s="214" t="s">
        <v>70</v>
      </c>
      <c r="HP74" s="214" t="s">
        <v>530</v>
      </c>
      <c r="HR74" s="22" t="s">
        <v>5311</v>
      </c>
      <c r="HS74" s="22" t="s">
        <v>148</v>
      </c>
      <c r="HT74" s="22" t="s">
        <v>70</v>
      </c>
      <c r="HU74" s="214" t="s">
        <v>530</v>
      </c>
      <c r="HW74" s="22" t="s">
        <v>5312</v>
      </c>
      <c r="HX74" s="22" t="s">
        <v>34608</v>
      </c>
      <c r="HY74" s="22" t="s">
        <v>70</v>
      </c>
      <c r="HZ74" s="214" t="s">
        <v>530</v>
      </c>
      <c r="IB74" s="22" t="s">
        <v>5313</v>
      </c>
      <c r="IC74" s="22" t="s">
        <v>86</v>
      </c>
      <c r="ID74" s="22" t="s">
        <v>70</v>
      </c>
      <c r="IE74" s="214" t="s">
        <v>530</v>
      </c>
      <c r="IG74" s="22" t="s">
        <v>5314</v>
      </c>
      <c r="IH74" s="22" t="s">
        <v>52</v>
      </c>
      <c r="II74" s="22" t="s">
        <v>70</v>
      </c>
      <c r="IJ74" s="214" t="s">
        <v>530</v>
      </c>
      <c r="IL74" s="22" t="s">
        <v>5315</v>
      </c>
      <c r="IM74" s="22" t="s">
        <v>145</v>
      </c>
      <c r="IN74" s="22" t="s">
        <v>70</v>
      </c>
      <c r="IO74" s="214" t="s">
        <v>530</v>
      </c>
      <c r="IQ74" s="236" t="s">
        <v>5316</v>
      </c>
      <c r="IR74" s="236" t="s">
        <v>145</v>
      </c>
      <c r="IS74" s="236" t="s">
        <v>74</v>
      </c>
      <c r="IT74" s="236" t="s">
        <v>841</v>
      </c>
      <c r="IV74" s="236" t="s">
        <v>5317</v>
      </c>
      <c r="IW74" s="236" t="s">
        <v>145</v>
      </c>
      <c r="IX74" s="236" t="s">
        <v>74</v>
      </c>
      <c r="IY74" s="236" t="s">
        <v>841</v>
      </c>
      <c r="JA74" s="236" t="s">
        <v>5319</v>
      </c>
      <c r="JB74" s="236" t="s">
        <v>145</v>
      </c>
      <c r="JC74" s="236" t="s">
        <v>74</v>
      </c>
      <c r="JD74" s="236" t="s">
        <v>841</v>
      </c>
      <c r="JF74" s="236" t="s">
        <v>5320</v>
      </c>
      <c r="JG74" s="236" t="s">
        <v>145</v>
      </c>
      <c r="JH74" s="236" t="s">
        <v>74</v>
      </c>
      <c r="JI74" s="236" t="s">
        <v>841</v>
      </c>
      <c r="JK74" s="236" t="s">
        <v>5321</v>
      </c>
      <c r="JL74" s="236" t="s">
        <v>145</v>
      </c>
      <c r="JM74" s="236" t="s">
        <v>74</v>
      </c>
      <c r="JN74" s="236" t="s">
        <v>841</v>
      </c>
      <c r="JP74" s="236" t="s">
        <v>5322</v>
      </c>
      <c r="JQ74" s="236" t="s">
        <v>145</v>
      </c>
      <c r="JR74" s="236" t="s">
        <v>74</v>
      </c>
      <c r="JS74" s="236" t="s">
        <v>841</v>
      </c>
      <c r="JU74" s="294" t="s">
        <v>5323</v>
      </c>
      <c r="JV74" s="294" t="str">
        <f>TVIIBE1M_CalPairs!$R83</f>
        <v>0xB5</v>
      </c>
      <c r="JW74" s="263" t="s">
        <v>70</v>
      </c>
      <c r="JX74" s="294" t="str">
        <f>TVIIBE1M_CalPairs!$Q83</f>
        <v>PPU5_SL_CONFIG</v>
      </c>
      <c r="JZ74" s="263" t="s">
        <v>5324</v>
      </c>
      <c r="KA74" s="263" t="s">
        <v>145</v>
      </c>
      <c r="KB74" s="263" t="s">
        <v>70</v>
      </c>
      <c r="KC74" s="263" t="s">
        <v>1083</v>
      </c>
      <c r="KE74" s="263" t="s">
        <v>5325</v>
      </c>
      <c r="KF74" s="263" t="s">
        <v>52</v>
      </c>
      <c r="KG74" s="263" t="s">
        <v>70</v>
      </c>
      <c r="KH74" s="263" t="s">
        <v>1083</v>
      </c>
      <c r="KJ74" s="263" t="s">
        <v>5326</v>
      </c>
      <c r="KK74" s="263" t="s">
        <v>52</v>
      </c>
      <c r="KL74" s="263" t="s">
        <v>74</v>
      </c>
      <c r="KM74" s="263" t="s">
        <v>34074</v>
      </c>
      <c r="KO74" s="214" t="s">
        <v>5327</v>
      </c>
      <c r="KP74" s="214" t="s">
        <v>145</v>
      </c>
      <c r="KQ74" s="214" t="s">
        <v>70</v>
      </c>
      <c r="KR74" s="214" t="s">
        <v>67</v>
      </c>
      <c r="KT74" s="22" t="s">
        <v>5328</v>
      </c>
      <c r="KU74" s="22" t="s">
        <v>145</v>
      </c>
      <c r="KV74" s="22" t="s">
        <v>70</v>
      </c>
      <c r="KW74" s="22" t="s">
        <v>67</v>
      </c>
      <c r="KY74" s="214" t="s">
        <v>5329</v>
      </c>
      <c r="KZ74" s="214" t="s">
        <v>52</v>
      </c>
      <c r="LA74" s="214" t="s">
        <v>74</v>
      </c>
      <c r="LB74" s="214" t="s">
        <v>67</v>
      </c>
      <c r="LD74" s="22" t="s">
        <v>5330</v>
      </c>
      <c r="LE74" s="22" t="s">
        <v>145</v>
      </c>
      <c r="LF74" s="22" t="s">
        <v>70</v>
      </c>
      <c r="LG74" s="22" t="s">
        <v>67</v>
      </c>
    </row>
    <row r="75" spans="1:319">
      <c r="A75" s="22" t="s">
        <v>5331</v>
      </c>
      <c r="B75" s="22" t="s">
        <v>145</v>
      </c>
      <c r="C75" s="22" t="s">
        <v>70</v>
      </c>
      <c r="D75" s="22" t="s">
        <v>67</v>
      </c>
      <c r="F75" s="23" t="s">
        <v>5332</v>
      </c>
      <c r="G75" s="23" t="str">
        <f>TVIIBE1M_CalPairs!$E72</f>
        <v>0x40</v>
      </c>
      <c r="H75" s="23" t="s">
        <v>70</v>
      </c>
      <c r="I75" s="23" t="str">
        <f>TVIIBE1M_CalPairs!$C72</f>
        <v>PWR_TEST_HT_ADDR3</v>
      </c>
      <c r="K75" s="22" t="s">
        <v>5333</v>
      </c>
      <c r="L75" s="22" t="s">
        <v>145</v>
      </c>
      <c r="M75" s="22" t="s">
        <v>70</v>
      </c>
      <c r="N75" s="22" t="s">
        <v>67</v>
      </c>
      <c r="P75" s="22" t="s">
        <v>5334</v>
      </c>
      <c r="Q75" s="22" t="s">
        <v>145</v>
      </c>
      <c r="R75" s="22" t="s">
        <v>70</v>
      </c>
      <c r="S75" s="22" t="s">
        <v>67</v>
      </c>
      <c r="U75" s="293" t="s">
        <v>5335</v>
      </c>
      <c r="V75" s="293" t="s">
        <v>145</v>
      </c>
      <c r="W75" s="293" t="s">
        <v>74</v>
      </c>
      <c r="X75" s="293" t="s">
        <v>656</v>
      </c>
      <c r="Z75" s="293" t="s">
        <v>5336</v>
      </c>
      <c r="AA75" s="293" t="s">
        <v>145</v>
      </c>
      <c r="AB75" s="293" t="s">
        <v>74</v>
      </c>
      <c r="AC75" s="293" t="s">
        <v>656</v>
      </c>
      <c r="AE75" s="293" t="s">
        <v>5337</v>
      </c>
      <c r="AF75" s="293" t="s">
        <v>145</v>
      </c>
      <c r="AG75" s="293" t="s">
        <v>74</v>
      </c>
      <c r="AH75" s="293" t="s">
        <v>656</v>
      </c>
      <c r="AJ75" s="293" t="s">
        <v>5338</v>
      </c>
      <c r="AK75" s="293" t="s">
        <v>145</v>
      </c>
      <c r="AL75" s="293" t="s">
        <v>74</v>
      </c>
      <c r="AM75" s="293" t="s">
        <v>656</v>
      </c>
      <c r="AO75" s="22" t="s">
        <v>5339</v>
      </c>
      <c r="AP75" s="22" t="s">
        <v>145</v>
      </c>
      <c r="AQ75" s="22" t="s">
        <v>70</v>
      </c>
      <c r="AR75" s="22" t="s">
        <v>67</v>
      </c>
      <c r="AT75" s="22" t="s">
        <v>5340</v>
      </c>
      <c r="AU75" s="22" t="s">
        <v>145</v>
      </c>
      <c r="AV75" s="22" t="s">
        <v>70</v>
      </c>
      <c r="AW75" s="22" t="s">
        <v>67</v>
      </c>
      <c r="AY75" s="22" t="s">
        <v>5341</v>
      </c>
      <c r="AZ75" s="22" t="s">
        <v>145</v>
      </c>
      <c r="BA75" s="22" t="s">
        <v>70</v>
      </c>
      <c r="BB75" s="22" t="s">
        <v>67</v>
      </c>
      <c r="BD75" s="22" t="s">
        <v>5342</v>
      </c>
      <c r="BE75" s="22" t="s">
        <v>145</v>
      </c>
      <c r="BF75" s="22" t="s">
        <v>70</v>
      </c>
      <c r="BG75" s="22" t="s">
        <v>67</v>
      </c>
      <c r="BI75" s="22" t="s">
        <v>5343</v>
      </c>
      <c r="BJ75" s="22" t="s">
        <v>145</v>
      </c>
      <c r="BK75" s="22" t="s">
        <v>70</v>
      </c>
      <c r="BL75" s="22" t="s">
        <v>67</v>
      </c>
      <c r="BN75" s="22" t="s">
        <v>5344</v>
      </c>
      <c r="BO75" s="22" t="s">
        <v>145</v>
      </c>
      <c r="BP75" s="22" t="s">
        <v>70</v>
      </c>
      <c r="BQ75" s="22" t="s">
        <v>67</v>
      </c>
      <c r="BS75" s="22" t="s">
        <v>5345</v>
      </c>
      <c r="BT75" s="22" t="s">
        <v>145</v>
      </c>
      <c r="BU75" s="22" t="s">
        <v>70</v>
      </c>
      <c r="BV75" s="214" t="s">
        <v>530</v>
      </c>
      <c r="BX75" s="22" t="s">
        <v>5346</v>
      </c>
      <c r="BY75" s="22" t="s">
        <v>145</v>
      </c>
      <c r="BZ75" s="22" t="s">
        <v>70</v>
      </c>
      <c r="CA75" s="214" t="s">
        <v>530</v>
      </c>
      <c r="CC75" s="214" t="s">
        <v>5347</v>
      </c>
      <c r="CD75" s="348" t="s">
        <v>601</v>
      </c>
      <c r="CE75" s="214" t="s">
        <v>70</v>
      </c>
      <c r="CF75" s="214" t="s">
        <v>370</v>
      </c>
      <c r="CH75" s="214" t="s">
        <v>5348</v>
      </c>
      <c r="CI75" s="214" t="s">
        <v>86</v>
      </c>
      <c r="CJ75" s="214" t="s">
        <v>70</v>
      </c>
      <c r="CK75" s="214" t="s">
        <v>530</v>
      </c>
      <c r="CM75" s="214" t="s">
        <v>5349</v>
      </c>
      <c r="CN75" s="214" t="s">
        <v>484</v>
      </c>
      <c r="CO75" s="214" t="s">
        <v>70</v>
      </c>
      <c r="CP75" s="214" t="s">
        <v>530</v>
      </c>
      <c r="CR75" s="214" t="s">
        <v>5350</v>
      </c>
      <c r="CS75" s="214" t="s">
        <v>484</v>
      </c>
      <c r="CT75" s="214" t="s">
        <v>70</v>
      </c>
      <c r="CU75" s="214" t="s">
        <v>530</v>
      </c>
      <c r="CW75" s="214" t="s">
        <v>5351</v>
      </c>
      <c r="CX75" s="214" t="s">
        <v>484</v>
      </c>
      <c r="CY75" s="214" t="s">
        <v>70</v>
      </c>
      <c r="CZ75" s="214" t="s">
        <v>530</v>
      </c>
      <c r="DB75" s="214" t="s">
        <v>5352</v>
      </c>
      <c r="DC75" s="214" t="s">
        <v>468</v>
      </c>
      <c r="DD75" s="214" t="s">
        <v>70</v>
      </c>
      <c r="DE75" s="214" t="s">
        <v>530</v>
      </c>
      <c r="DG75" s="214" t="s">
        <v>5353</v>
      </c>
      <c r="DH75" s="214" t="s">
        <v>52</v>
      </c>
      <c r="DI75" s="214" t="s">
        <v>70</v>
      </c>
      <c r="DJ75" s="214" t="s">
        <v>530</v>
      </c>
      <c r="DL75" s="214" t="s">
        <v>5354</v>
      </c>
      <c r="DM75" s="214" t="s">
        <v>484</v>
      </c>
      <c r="DN75" s="214" t="s">
        <v>70</v>
      </c>
      <c r="DO75" s="214" t="s">
        <v>530</v>
      </c>
      <c r="DQ75" s="214" t="s">
        <v>5355</v>
      </c>
      <c r="DR75" s="214" t="s">
        <v>34541</v>
      </c>
      <c r="DS75" s="214" t="s">
        <v>70</v>
      </c>
      <c r="DT75" s="214" t="s">
        <v>530</v>
      </c>
      <c r="DV75" s="214" t="s">
        <v>5356</v>
      </c>
      <c r="DW75" s="214" t="s">
        <v>485</v>
      </c>
      <c r="DX75" s="214" t="s">
        <v>70</v>
      </c>
      <c r="DY75" s="214" t="s">
        <v>530</v>
      </c>
      <c r="EA75" s="214" t="s">
        <v>5357</v>
      </c>
      <c r="EB75" s="214" t="s">
        <v>52</v>
      </c>
      <c r="EC75" s="214" t="s">
        <v>70</v>
      </c>
      <c r="ED75" s="214" t="s">
        <v>530</v>
      </c>
      <c r="EF75" s="214" t="s">
        <v>5358</v>
      </c>
      <c r="EG75" s="214" t="s">
        <v>145</v>
      </c>
      <c r="EH75" s="214" t="s">
        <v>70</v>
      </c>
      <c r="EI75" s="214" t="s">
        <v>530</v>
      </c>
      <c r="EK75" s="214" t="s">
        <v>5359</v>
      </c>
      <c r="EL75" s="214" t="s">
        <v>34550</v>
      </c>
      <c r="EM75" s="214" t="s">
        <v>70</v>
      </c>
      <c r="EN75" s="214" t="s">
        <v>530</v>
      </c>
      <c r="EP75" s="214" t="s">
        <v>5360</v>
      </c>
      <c r="EQ75" s="214" t="s">
        <v>34557</v>
      </c>
      <c r="ER75" s="214" t="s">
        <v>70</v>
      </c>
      <c r="ES75" s="214" t="s">
        <v>530</v>
      </c>
      <c r="EU75" s="214" t="s">
        <v>5361</v>
      </c>
      <c r="EV75" s="214" t="s">
        <v>163</v>
      </c>
      <c r="EW75" s="214" t="s">
        <v>70</v>
      </c>
      <c r="EX75" s="214" t="s">
        <v>530</v>
      </c>
      <c r="EZ75" s="214" t="s">
        <v>5362</v>
      </c>
      <c r="FA75" s="214" t="s">
        <v>484</v>
      </c>
      <c r="FB75" s="214" t="s">
        <v>70</v>
      </c>
      <c r="FC75" s="214" t="s">
        <v>530</v>
      </c>
      <c r="FE75" s="214" t="s">
        <v>5363</v>
      </c>
      <c r="FF75" s="214" t="s">
        <v>34590</v>
      </c>
      <c r="FG75" s="214" t="s">
        <v>70</v>
      </c>
      <c r="FH75" s="214" t="s">
        <v>530</v>
      </c>
      <c r="FJ75" s="321" t="s">
        <v>5364</v>
      </c>
      <c r="FK75" s="214" t="s">
        <v>488</v>
      </c>
      <c r="FL75" s="214" t="s">
        <v>70</v>
      </c>
      <c r="FM75" s="214" t="s">
        <v>530</v>
      </c>
      <c r="FO75" s="321" t="s">
        <v>5365</v>
      </c>
      <c r="FP75" s="214" t="s">
        <v>34615</v>
      </c>
      <c r="FQ75" s="214" t="s">
        <v>70</v>
      </c>
      <c r="FR75" s="214" t="s">
        <v>530</v>
      </c>
      <c r="FT75" s="321" t="s">
        <v>5366</v>
      </c>
      <c r="FU75" s="214" t="s">
        <v>52</v>
      </c>
      <c r="FV75" s="214" t="s">
        <v>70</v>
      </c>
      <c r="FW75" s="214" t="s">
        <v>530</v>
      </c>
      <c r="FY75" s="321" t="s">
        <v>5367</v>
      </c>
      <c r="FZ75" s="214" t="s">
        <v>518</v>
      </c>
      <c r="GA75" s="214" t="s">
        <v>70</v>
      </c>
      <c r="GB75" s="214" t="s">
        <v>530</v>
      </c>
      <c r="GD75" s="321" t="s">
        <v>5368</v>
      </c>
      <c r="GE75" s="214" t="s">
        <v>481</v>
      </c>
      <c r="GF75" s="214" t="s">
        <v>70</v>
      </c>
      <c r="GG75" s="214" t="s">
        <v>530</v>
      </c>
      <c r="GI75" s="321" t="s">
        <v>5369</v>
      </c>
      <c r="GJ75" s="214" t="s">
        <v>88</v>
      </c>
      <c r="GK75" s="214" t="s">
        <v>70</v>
      </c>
      <c r="GL75" s="214" t="s">
        <v>530</v>
      </c>
      <c r="GN75" s="321" t="s">
        <v>5370</v>
      </c>
      <c r="GO75" s="214" t="s">
        <v>950</v>
      </c>
      <c r="GP75" s="214" t="s">
        <v>70</v>
      </c>
      <c r="GQ75" s="214" t="s">
        <v>530</v>
      </c>
      <c r="GS75" s="321" t="s">
        <v>5371</v>
      </c>
      <c r="GT75" s="214" t="s">
        <v>502</v>
      </c>
      <c r="GU75" s="214" t="s">
        <v>70</v>
      </c>
      <c r="GV75" s="214" t="s">
        <v>530</v>
      </c>
      <c r="GX75" s="214" t="s">
        <v>5372</v>
      </c>
      <c r="GY75" s="214" t="s">
        <v>919</v>
      </c>
      <c r="GZ75" s="214" t="s">
        <v>70</v>
      </c>
      <c r="HA75" s="214" t="s">
        <v>530</v>
      </c>
      <c r="HC75" s="214" t="s">
        <v>5373</v>
      </c>
      <c r="HD75" s="214" t="s">
        <v>482</v>
      </c>
      <c r="HE75" s="214" t="s">
        <v>70</v>
      </c>
      <c r="HF75" s="214" t="s">
        <v>530</v>
      </c>
      <c r="HH75" s="214" t="s">
        <v>5374</v>
      </c>
      <c r="HI75" s="214" t="s">
        <v>34516</v>
      </c>
      <c r="HJ75" s="214" t="s">
        <v>70</v>
      </c>
      <c r="HK75" s="214" t="s">
        <v>530</v>
      </c>
      <c r="HM75" s="214" t="s">
        <v>5375</v>
      </c>
      <c r="HN75" s="214" t="s">
        <v>496</v>
      </c>
      <c r="HO75" s="214" t="s">
        <v>70</v>
      </c>
      <c r="HP75" s="214" t="s">
        <v>530</v>
      </c>
      <c r="HR75" s="22" t="s">
        <v>5376</v>
      </c>
      <c r="HS75" s="22" t="s">
        <v>34580</v>
      </c>
      <c r="HT75" s="22" t="s">
        <v>70</v>
      </c>
      <c r="HU75" s="214" t="s">
        <v>530</v>
      </c>
      <c r="HW75" s="22" t="s">
        <v>5377</v>
      </c>
      <c r="HX75" s="22" t="s">
        <v>34558</v>
      </c>
      <c r="HY75" s="22" t="s">
        <v>70</v>
      </c>
      <c r="HZ75" s="214" t="s">
        <v>530</v>
      </c>
      <c r="IB75" s="22" t="s">
        <v>5378</v>
      </c>
      <c r="IC75" s="22" t="s">
        <v>496</v>
      </c>
      <c r="ID75" s="22" t="s">
        <v>70</v>
      </c>
      <c r="IE75" s="214" t="s">
        <v>530</v>
      </c>
      <c r="IG75" s="22" t="s">
        <v>5379</v>
      </c>
      <c r="IH75" s="22" t="s">
        <v>52</v>
      </c>
      <c r="II75" s="22" t="s">
        <v>70</v>
      </c>
      <c r="IJ75" s="214" t="s">
        <v>530</v>
      </c>
      <c r="IL75" s="22" t="s">
        <v>5380</v>
      </c>
      <c r="IM75" s="22" t="s">
        <v>145</v>
      </c>
      <c r="IN75" s="22" t="s">
        <v>70</v>
      </c>
      <c r="IO75" s="214" t="s">
        <v>530</v>
      </c>
      <c r="IQ75" s="236" t="s">
        <v>5381</v>
      </c>
      <c r="IR75" s="236" t="s">
        <v>145</v>
      </c>
      <c r="IS75" s="236" t="s">
        <v>74</v>
      </c>
      <c r="IT75" s="236" t="s">
        <v>841</v>
      </c>
      <c r="IV75" s="236" t="s">
        <v>5382</v>
      </c>
      <c r="IW75" s="236" t="s">
        <v>145</v>
      </c>
      <c r="IX75" s="236" t="s">
        <v>74</v>
      </c>
      <c r="IY75" s="236" t="s">
        <v>841</v>
      </c>
      <c r="JA75" s="236" t="s">
        <v>5384</v>
      </c>
      <c r="JB75" s="236" t="s">
        <v>145</v>
      </c>
      <c r="JC75" s="236" t="s">
        <v>74</v>
      </c>
      <c r="JD75" s="236" t="s">
        <v>841</v>
      </c>
      <c r="JF75" s="236" t="s">
        <v>5385</v>
      </c>
      <c r="JG75" s="236" t="s">
        <v>145</v>
      </c>
      <c r="JH75" s="236" t="s">
        <v>74</v>
      </c>
      <c r="JI75" s="236" t="s">
        <v>841</v>
      </c>
      <c r="JK75" s="236" t="s">
        <v>5386</v>
      </c>
      <c r="JL75" s="236" t="s">
        <v>145</v>
      </c>
      <c r="JM75" s="236" t="s">
        <v>74</v>
      </c>
      <c r="JN75" s="236" t="s">
        <v>841</v>
      </c>
      <c r="JP75" s="236" t="s">
        <v>5387</v>
      </c>
      <c r="JQ75" s="236" t="s">
        <v>145</v>
      </c>
      <c r="JR75" s="236" t="s">
        <v>74</v>
      </c>
      <c r="JS75" s="236" t="s">
        <v>841</v>
      </c>
      <c r="JU75" s="294" t="s">
        <v>5388</v>
      </c>
      <c r="JV75" s="294" t="str">
        <f>TVIIBE1M_CalPairs!$R84</f>
        <v>0x92</v>
      </c>
      <c r="JW75" s="263" t="s">
        <v>70</v>
      </c>
      <c r="JX75" s="294" t="str">
        <f>TVIIBE1M_CalPairs!$Q84</f>
        <v>PPU5_MS_CONFIG</v>
      </c>
      <c r="JZ75" s="263" t="s">
        <v>5389</v>
      </c>
      <c r="KA75" s="263" t="s">
        <v>145</v>
      </c>
      <c r="KB75" s="263" t="s">
        <v>70</v>
      </c>
      <c r="KC75" s="263" t="s">
        <v>1083</v>
      </c>
      <c r="KE75" s="263" t="s">
        <v>5390</v>
      </c>
      <c r="KF75" s="263" t="s">
        <v>52</v>
      </c>
      <c r="KG75" s="263" t="s">
        <v>70</v>
      </c>
      <c r="KH75" s="263" t="s">
        <v>1083</v>
      </c>
      <c r="KJ75" s="263" t="s">
        <v>5391</v>
      </c>
      <c r="KK75" s="263" t="s">
        <v>52</v>
      </c>
      <c r="KL75" s="263" t="s">
        <v>74</v>
      </c>
      <c r="KM75" s="263" t="s">
        <v>34074</v>
      </c>
      <c r="KO75" s="214" t="s">
        <v>5392</v>
      </c>
      <c r="KP75" s="214" t="s">
        <v>145</v>
      </c>
      <c r="KQ75" s="214" t="s">
        <v>70</v>
      </c>
      <c r="KR75" s="214" t="s">
        <v>67</v>
      </c>
      <c r="KT75" s="22" t="s">
        <v>5393</v>
      </c>
      <c r="KU75" s="22" t="s">
        <v>145</v>
      </c>
      <c r="KV75" s="22" t="s">
        <v>70</v>
      </c>
      <c r="KW75" s="22" t="s">
        <v>67</v>
      </c>
      <c r="KY75" s="214" t="s">
        <v>5394</v>
      </c>
      <c r="KZ75" s="214" t="s">
        <v>52</v>
      </c>
      <c r="LA75" s="214" t="s">
        <v>74</v>
      </c>
      <c r="LB75" s="214" t="s">
        <v>67</v>
      </c>
      <c r="LD75" s="22" t="s">
        <v>5395</v>
      </c>
      <c r="LE75" s="22" t="s">
        <v>145</v>
      </c>
      <c r="LF75" s="22" t="s">
        <v>70</v>
      </c>
      <c r="LG75" s="22" t="s">
        <v>67</v>
      </c>
    </row>
    <row r="76" spans="1:319">
      <c r="A76" s="22" t="s">
        <v>5396</v>
      </c>
      <c r="B76" s="22" t="s">
        <v>145</v>
      </c>
      <c r="C76" s="22" t="s">
        <v>70</v>
      </c>
      <c r="D76" s="22" t="s">
        <v>67</v>
      </c>
      <c r="F76" s="23" t="s">
        <v>5397</v>
      </c>
      <c r="G76" s="23" t="str">
        <f>TVIIBE1M_CalPairs!$E73</f>
        <v>0x00</v>
      </c>
      <c r="H76" s="23" t="s">
        <v>70</v>
      </c>
      <c r="I76" s="23" t="str">
        <f>TVIIBE1M_CalPairs!$C73</f>
        <v>PWR_TEST_HT_VAL0</v>
      </c>
      <c r="K76" s="22" t="s">
        <v>5398</v>
      </c>
      <c r="L76" s="22" t="s">
        <v>145</v>
      </c>
      <c r="M76" s="22" t="s">
        <v>70</v>
      </c>
      <c r="N76" s="22" t="s">
        <v>67</v>
      </c>
      <c r="P76" s="22" t="s">
        <v>5399</v>
      </c>
      <c r="Q76" s="22" t="s">
        <v>145</v>
      </c>
      <c r="R76" s="22" t="s">
        <v>70</v>
      </c>
      <c r="S76" s="22" t="s">
        <v>67</v>
      </c>
      <c r="U76" s="293" t="s">
        <v>5400</v>
      </c>
      <c r="V76" s="293" t="s">
        <v>145</v>
      </c>
      <c r="W76" s="293" t="s">
        <v>74</v>
      </c>
      <c r="X76" s="293" t="s">
        <v>656</v>
      </c>
      <c r="Z76" s="293" t="s">
        <v>5401</v>
      </c>
      <c r="AA76" s="293" t="s">
        <v>145</v>
      </c>
      <c r="AB76" s="293" t="s">
        <v>74</v>
      </c>
      <c r="AC76" s="293" t="s">
        <v>656</v>
      </c>
      <c r="AE76" s="293" t="s">
        <v>5402</v>
      </c>
      <c r="AF76" s="293" t="s">
        <v>145</v>
      </c>
      <c r="AG76" s="293" t="s">
        <v>74</v>
      </c>
      <c r="AH76" s="293" t="s">
        <v>656</v>
      </c>
      <c r="AJ76" s="293" t="s">
        <v>5403</v>
      </c>
      <c r="AK76" s="293" t="s">
        <v>145</v>
      </c>
      <c r="AL76" s="293" t="s">
        <v>74</v>
      </c>
      <c r="AM76" s="293" t="s">
        <v>656</v>
      </c>
      <c r="AO76" s="22" t="s">
        <v>5404</v>
      </c>
      <c r="AP76" s="22" t="s">
        <v>145</v>
      </c>
      <c r="AQ76" s="22" t="s">
        <v>70</v>
      </c>
      <c r="AR76" s="22" t="s">
        <v>67</v>
      </c>
      <c r="AT76" s="22" t="s">
        <v>5405</v>
      </c>
      <c r="AU76" s="22" t="s">
        <v>145</v>
      </c>
      <c r="AV76" s="22" t="s">
        <v>70</v>
      </c>
      <c r="AW76" s="22" t="s">
        <v>67</v>
      </c>
      <c r="AY76" s="22" t="s">
        <v>5406</v>
      </c>
      <c r="AZ76" s="22" t="s">
        <v>145</v>
      </c>
      <c r="BA76" s="22" t="s">
        <v>70</v>
      </c>
      <c r="BB76" s="22" t="s">
        <v>67</v>
      </c>
      <c r="BD76" s="22" t="s">
        <v>5407</v>
      </c>
      <c r="BE76" s="22" t="s">
        <v>145</v>
      </c>
      <c r="BF76" s="22" t="s">
        <v>70</v>
      </c>
      <c r="BG76" s="22" t="s">
        <v>67</v>
      </c>
      <c r="BI76" s="22" t="s">
        <v>5408</v>
      </c>
      <c r="BJ76" s="22" t="s">
        <v>145</v>
      </c>
      <c r="BK76" s="22" t="s">
        <v>70</v>
      </c>
      <c r="BL76" s="22" t="s">
        <v>67</v>
      </c>
      <c r="BN76" s="22" t="s">
        <v>5409</v>
      </c>
      <c r="BO76" s="22" t="s">
        <v>145</v>
      </c>
      <c r="BP76" s="22" t="s">
        <v>70</v>
      </c>
      <c r="BQ76" s="22" t="s">
        <v>67</v>
      </c>
      <c r="BS76" s="22" t="s">
        <v>5410</v>
      </c>
      <c r="BT76" s="22" t="s">
        <v>145</v>
      </c>
      <c r="BU76" s="22" t="s">
        <v>70</v>
      </c>
      <c r="BV76" s="214" t="s">
        <v>530</v>
      </c>
      <c r="BX76" s="22" t="s">
        <v>5411</v>
      </c>
      <c r="BY76" s="22" t="s">
        <v>145</v>
      </c>
      <c r="BZ76" s="22" t="s">
        <v>70</v>
      </c>
      <c r="CA76" s="214" t="s">
        <v>530</v>
      </c>
      <c r="CC76" s="214" t="s">
        <v>5412</v>
      </c>
      <c r="CD76" s="349" t="s">
        <v>34580</v>
      </c>
      <c r="CE76" s="214" t="s">
        <v>70</v>
      </c>
      <c r="CF76" s="214" t="s">
        <v>371</v>
      </c>
      <c r="CH76" s="214" t="s">
        <v>5413</v>
      </c>
      <c r="CI76" s="214" t="s">
        <v>88</v>
      </c>
      <c r="CJ76" s="214" t="s">
        <v>70</v>
      </c>
      <c r="CK76" s="214" t="s">
        <v>530</v>
      </c>
      <c r="CM76" s="214" t="s">
        <v>5414</v>
      </c>
      <c r="CN76" s="214" t="s">
        <v>52</v>
      </c>
      <c r="CO76" s="214" t="s">
        <v>70</v>
      </c>
      <c r="CP76" s="214" t="s">
        <v>530</v>
      </c>
      <c r="CR76" s="214" t="s">
        <v>5415</v>
      </c>
      <c r="CS76" s="214" t="s">
        <v>204</v>
      </c>
      <c r="CT76" s="214" t="s">
        <v>70</v>
      </c>
      <c r="CU76" s="214" t="s">
        <v>530</v>
      </c>
      <c r="CW76" s="214" t="s">
        <v>5416</v>
      </c>
      <c r="CX76" s="214" t="s">
        <v>599</v>
      </c>
      <c r="CY76" s="214" t="s">
        <v>70</v>
      </c>
      <c r="CZ76" s="214" t="s">
        <v>530</v>
      </c>
      <c r="DB76" s="214" t="s">
        <v>5417</v>
      </c>
      <c r="DC76" s="214" t="s">
        <v>146</v>
      </c>
      <c r="DD76" s="214" t="s">
        <v>70</v>
      </c>
      <c r="DE76" s="214" t="s">
        <v>530</v>
      </c>
      <c r="DG76" s="214" t="s">
        <v>5418</v>
      </c>
      <c r="DH76" s="214" t="s">
        <v>145</v>
      </c>
      <c r="DI76" s="214" t="s">
        <v>70</v>
      </c>
      <c r="DJ76" s="214" t="s">
        <v>530</v>
      </c>
      <c r="DL76" s="214" t="s">
        <v>5419</v>
      </c>
      <c r="DM76" s="214" t="s">
        <v>86</v>
      </c>
      <c r="DN76" s="214" t="s">
        <v>70</v>
      </c>
      <c r="DO76" s="214" t="s">
        <v>530</v>
      </c>
      <c r="DQ76" s="214" t="s">
        <v>5420</v>
      </c>
      <c r="DR76" s="214" t="s">
        <v>293</v>
      </c>
      <c r="DS76" s="214" t="s">
        <v>70</v>
      </c>
      <c r="DT76" s="214" t="s">
        <v>530</v>
      </c>
      <c r="DV76" s="214" t="s">
        <v>5421</v>
      </c>
      <c r="DW76" s="214" t="s">
        <v>529</v>
      </c>
      <c r="DX76" s="214" t="s">
        <v>70</v>
      </c>
      <c r="DY76" s="214" t="s">
        <v>530</v>
      </c>
      <c r="EA76" s="214" t="s">
        <v>5422</v>
      </c>
      <c r="EB76" s="214" t="s">
        <v>500</v>
      </c>
      <c r="EC76" s="214" t="s">
        <v>70</v>
      </c>
      <c r="ED76" s="214" t="s">
        <v>530</v>
      </c>
      <c r="EF76" s="214" t="s">
        <v>5423</v>
      </c>
      <c r="EG76" s="214" t="s">
        <v>145</v>
      </c>
      <c r="EH76" s="214" t="s">
        <v>70</v>
      </c>
      <c r="EI76" s="214" t="s">
        <v>530</v>
      </c>
      <c r="EK76" s="214" t="s">
        <v>5424</v>
      </c>
      <c r="EL76" s="214" t="s">
        <v>52</v>
      </c>
      <c r="EM76" s="214" t="s">
        <v>70</v>
      </c>
      <c r="EN76" s="214" t="s">
        <v>530</v>
      </c>
      <c r="EP76" s="214" t="s">
        <v>5425</v>
      </c>
      <c r="EQ76" s="214" t="s">
        <v>600</v>
      </c>
      <c r="ER76" s="214" t="s">
        <v>70</v>
      </c>
      <c r="ES76" s="214" t="s">
        <v>530</v>
      </c>
      <c r="EU76" s="214" t="s">
        <v>5426</v>
      </c>
      <c r="EV76" s="214" t="s">
        <v>148</v>
      </c>
      <c r="EW76" s="214" t="s">
        <v>70</v>
      </c>
      <c r="EX76" s="214" t="s">
        <v>530</v>
      </c>
      <c r="EZ76" s="214" t="s">
        <v>5427</v>
      </c>
      <c r="FA76" s="214" t="s">
        <v>52</v>
      </c>
      <c r="FB76" s="214" t="s">
        <v>70</v>
      </c>
      <c r="FC76" s="214" t="s">
        <v>530</v>
      </c>
      <c r="FE76" s="214" t="s">
        <v>5428</v>
      </c>
      <c r="FF76" s="214" t="s">
        <v>52</v>
      </c>
      <c r="FG76" s="214" t="s">
        <v>70</v>
      </c>
      <c r="FH76" s="214" t="s">
        <v>530</v>
      </c>
      <c r="FJ76" s="321" t="s">
        <v>5429</v>
      </c>
      <c r="FK76" s="214" t="s">
        <v>149</v>
      </c>
      <c r="FL76" s="214" t="s">
        <v>70</v>
      </c>
      <c r="FM76" s="214" t="s">
        <v>530</v>
      </c>
      <c r="FO76" s="321" t="s">
        <v>5430</v>
      </c>
      <c r="FP76" s="214" t="s">
        <v>485</v>
      </c>
      <c r="FQ76" s="214" t="s">
        <v>70</v>
      </c>
      <c r="FR76" s="214" t="s">
        <v>530</v>
      </c>
      <c r="FT76" s="321" t="s">
        <v>5431</v>
      </c>
      <c r="FU76" s="214" t="s">
        <v>52</v>
      </c>
      <c r="FV76" s="214" t="s">
        <v>70</v>
      </c>
      <c r="FW76" s="214" t="s">
        <v>530</v>
      </c>
      <c r="FY76" s="321" t="s">
        <v>5432</v>
      </c>
      <c r="FZ76" s="214" t="s">
        <v>910</v>
      </c>
      <c r="GA76" s="214" t="s">
        <v>70</v>
      </c>
      <c r="GB76" s="214" t="s">
        <v>530</v>
      </c>
      <c r="GD76" s="321" t="s">
        <v>5433</v>
      </c>
      <c r="GE76" s="214" t="s">
        <v>501</v>
      </c>
      <c r="GF76" s="214" t="s">
        <v>70</v>
      </c>
      <c r="GG76" s="214" t="s">
        <v>530</v>
      </c>
      <c r="GI76" s="321" t="s">
        <v>5434</v>
      </c>
      <c r="GJ76" s="214" t="s">
        <v>52</v>
      </c>
      <c r="GK76" s="214" t="s">
        <v>70</v>
      </c>
      <c r="GL76" s="214" t="s">
        <v>530</v>
      </c>
      <c r="GN76" s="321" t="s">
        <v>5435</v>
      </c>
      <c r="GO76" s="214" t="s">
        <v>937</v>
      </c>
      <c r="GP76" s="214" t="s">
        <v>70</v>
      </c>
      <c r="GQ76" s="214" t="s">
        <v>530</v>
      </c>
      <c r="GS76" s="321" t="s">
        <v>5436</v>
      </c>
      <c r="GT76" s="214" t="s">
        <v>468</v>
      </c>
      <c r="GU76" s="214" t="s">
        <v>70</v>
      </c>
      <c r="GV76" s="214" t="s">
        <v>530</v>
      </c>
      <c r="GX76" s="214" t="s">
        <v>5437</v>
      </c>
      <c r="GY76" s="214" t="s">
        <v>798</v>
      </c>
      <c r="GZ76" s="214" t="s">
        <v>70</v>
      </c>
      <c r="HA76" s="214" t="s">
        <v>530</v>
      </c>
      <c r="HC76" s="214" t="s">
        <v>5438</v>
      </c>
      <c r="HD76" s="214" t="s">
        <v>34575</v>
      </c>
      <c r="HE76" s="214" t="s">
        <v>70</v>
      </c>
      <c r="HF76" s="214" t="s">
        <v>530</v>
      </c>
      <c r="HH76" s="214" t="s">
        <v>5439</v>
      </c>
      <c r="HI76" s="214" t="s">
        <v>85</v>
      </c>
      <c r="HJ76" s="214" t="s">
        <v>70</v>
      </c>
      <c r="HK76" s="214" t="s">
        <v>530</v>
      </c>
      <c r="HM76" s="214" t="s">
        <v>5440</v>
      </c>
      <c r="HN76" s="214" t="s">
        <v>490</v>
      </c>
      <c r="HO76" s="214" t="s">
        <v>70</v>
      </c>
      <c r="HP76" s="214" t="s">
        <v>530</v>
      </c>
      <c r="HR76" s="22" t="s">
        <v>5441</v>
      </c>
      <c r="HS76" s="22" t="s">
        <v>502</v>
      </c>
      <c r="HT76" s="22" t="s">
        <v>70</v>
      </c>
      <c r="HU76" s="214" t="s">
        <v>530</v>
      </c>
      <c r="HW76" s="22" t="s">
        <v>5442</v>
      </c>
      <c r="HX76" s="22" t="s">
        <v>604</v>
      </c>
      <c r="HY76" s="22" t="s">
        <v>70</v>
      </c>
      <c r="HZ76" s="214" t="s">
        <v>530</v>
      </c>
      <c r="IB76" s="22" t="s">
        <v>5443</v>
      </c>
      <c r="IC76" s="22" t="s">
        <v>481</v>
      </c>
      <c r="ID76" s="22" t="s">
        <v>70</v>
      </c>
      <c r="IE76" s="214" t="s">
        <v>530</v>
      </c>
      <c r="IG76" s="22" t="s">
        <v>5444</v>
      </c>
      <c r="IH76" s="22" t="s">
        <v>52</v>
      </c>
      <c r="II76" s="22" t="s">
        <v>70</v>
      </c>
      <c r="IJ76" s="214" t="s">
        <v>530</v>
      </c>
      <c r="IL76" s="22" t="s">
        <v>5445</v>
      </c>
      <c r="IM76" s="22" t="s">
        <v>145</v>
      </c>
      <c r="IN76" s="22" t="s">
        <v>70</v>
      </c>
      <c r="IO76" s="214" t="s">
        <v>530</v>
      </c>
      <c r="IQ76" s="236" t="s">
        <v>5446</v>
      </c>
      <c r="IR76" s="236" t="s">
        <v>145</v>
      </c>
      <c r="IS76" s="236" t="s">
        <v>74</v>
      </c>
      <c r="IT76" s="236" t="s">
        <v>841</v>
      </c>
      <c r="IV76" s="236" t="s">
        <v>5447</v>
      </c>
      <c r="IW76" s="236" t="s">
        <v>145</v>
      </c>
      <c r="IX76" s="236" t="s">
        <v>74</v>
      </c>
      <c r="IY76" s="236" t="s">
        <v>841</v>
      </c>
      <c r="JA76" s="236" t="s">
        <v>5449</v>
      </c>
      <c r="JB76" s="236" t="s">
        <v>145</v>
      </c>
      <c r="JC76" s="236" t="s">
        <v>74</v>
      </c>
      <c r="JD76" s="236" t="s">
        <v>841</v>
      </c>
      <c r="JF76" s="236" t="s">
        <v>5450</v>
      </c>
      <c r="JG76" s="236" t="s">
        <v>145</v>
      </c>
      <c r="JH76" s="236" t="s">
        <v>74</v>
      </c>
      <c r="JI76" s="236" t="s">
        <v>841</v>
      </c>
      <c r="JK76" s="236" t="s">
        <v>5451</v>
      </c>
      <c r="JL76" s="236" t="s">
        <v>145</v>
      </c>
      <c r="JM76" s="236" t="s">
        <v>74</v>
      </c>
      <c r="JN76" s="236" t="s">
        <v>841</v>
      </c>
      <c r="JP76" s="236" t="s">
        <v>5452</v>
      </c>
      <c r="JQ76" s="236" t="s">
        <v>145</v>
      </c>
      <c r="JR76" s="236" t="s">
        <v>74</v>
      </c>
      <c r="JS76" s="236" t="s">
        <v>841</v>
      </c>
      <c r="JU76" s="294" t="s">
        <v>5453</v>
      </c>
      <c r="JV76" s="294" t="str">
        <f>TVIIBE1M_CalPairs!$R85</f>
        <v>0x0A</v>
      </c>
      <c r="JW76" s="218" t="s">
        <v>72</v>
      </c>
      <c r="JX76" s="294" t="str">
        <f>TVIIBE1M_CalPairs!$S85</f>
        <v>CRYPTO_MAIN</v>
      </c>
      <c r="JZ76" s="263" t="s">
        <v>5454</v>
      </c>
      <c r="KA76" s="263" t="s">
        <v>145</v>
      </c>
      <c r="KB76" s="263" t="s">
        <v>70</v>
      </c>
      <c r="KC76" s="263" t="s">
        <v>1083</v>
      </c>
      <c r="KE76" s="263" t="s">
        <v>5455</v>
      </c>
      <c r="KF76" s="263" t="s">
        <v>52</v>
      </c>
      <c r="KG76" s="263" t="s">
        <v>70</v>
      </c>
      <c r="KH76" s="263" t="s">
        <v>1083</v>
      </c>
      <c r="KJ76" s="263" t="s">
        <v>5456</v>
      </c>
      <c r="KK76" s="263" t="s">
        <v>52</v>
      </c>
      <c r="KL76" s="263" t="s">
        <v>74</v>
      </c>
      <c r="KM76" s="263" t="s">
        <v>34074</v>
      </c>
      <c r="KO76" s="214" t="s">
        <v>5457</v>
      </c>
      <c r="KP76" s="214" t="s">
        <v>145</v>
      </c>
      <c r="KQ76" s="214" t="s">
        <v>70</v>
      </c>
      <c r="KR76" s="214" t="s">
        <v>67</v>
      </c>
      <c r="KT76" s="22" t="s">
        <v>5458</v>
      </c>
      <c r="KU76" s="22" t="s">
        <v>145</v>
      </c>
      <c r="KV76" s="22" t="s">
        <v>70</v>
      </c>
      <c r="KW76" s="22" t="s">
        <v>67</v>
      </c>
      <c r="KY76" s="214" t="s">
        <v>5459</v>
      </c>
      <c r="KZ76" s="214" t="s">
        <v>52</v>
      </c>
      <c r="LA76" s="214" t="s">
        <v>74</v>
      </c>
      <c r="LB76" s="214" t="s">
        <v>67</v>
      </c>
      <c r="LD76" s="22" t="s">
        <v>5460</v>
      </c>
      <c r="LE76" s="22" t="s">
        <v>145</v>
      </c>
      <c r="LF76" s="22" t="s">
        <v>70</v>
      </c>
      <c r="LG76" s="22" t="s">
        <v>67</v>
      </c>
    </row>
    <row r="77" spans="1:319">
      <c r="A77" s="22" t="s">
        <v>5461</v>
      </c>
      <c r="B77" s="22" t="s">
        <v>145</v>
      </c>
      <c r="C77" s="22" t="s">
        <v>70</v>
      </c>
      <c r="D77" s="22" t="s">
        <v>67</v>
      </c>
      <c r="F77" s="23" t="s">
        <v>5462</v>
      </c>
      <c r="G77" s="23" t="str">
        <f>TVIIBE1M_CalPairs!$E74</f>
        <v>0x28</v>
      </c>
      <c r="H77" s="23" t="s">
        <v>70</v>
      </c>
      <c r="I77" s="23" t="str">
        <f>TVIIBE1M_CalPairs!$C74</f>
        <v>PWR_TEST_HT_VAL1</v>
      </c>
      <c r="K77" s="22" t="s">
        <v>5463</v>
      </c>
      <c r="L77" s="22" t="s">
        <v>145</v>
      </c>
      <c r="M77" s="22" t="s">
        <v>70</v>
      </c>
      <c r="N77" s="22" t="s">
        <v>67</v>
      </c>
      <c r="P77" s="22" t="s">
        <v>5464</v>
      </c>
      <c r="Q77" s="22" t="s">
        <v>145</v>
      </c>
      <c r="R77" s="22" t="s">
        <v>70</v>
      </c>
      <c r="S77" s="22" t="s">
        <v>67</v>
      </c>
      <c r="U77" s="293" t="s">
        <v>5465</v>
      </c>
      <c r="V77" s="293" t="s">
        <v>145</v>
      </c>
      <c r="W77" s="293" t="s">
        <v>74</v>
      </c>
      <c r="X77" s="293" t="s">
        <v>656</v>
      </c>
      <c r="Z77" s="293" t="s">
        <v>5466</v>
      </c>
      <c r="AA77" s="293" t="s">
        <v>145</v>
      </c>
      <c r="AB77" s="293" t="s">
        <v>74</v>
      </c>
      <c r="AC77" s="293" t="s">
        <v>656</v>
      </c>
      <c r="AE77" s="293" t="s">
        <v>5467</v>
      </c>
      <c r="AF77" s="293" t="s">
        <v>145</v>
      </c>
      <c r="AG77" s="293" t="s">
        <v>74</v>
      </c>
      <c r="AH77" s="293" t="s">
        <v>656</v>
      </c>
      <c r="AJ77" s="293" t="s">
        <v>5468</v>
      </c>
      <c r="AK77" s="293" t="s">
        <v>145</v>
      </c>
      <c r="AL77" s="293" t="s">
        <v>74</v>
      </c>
      <c r="AM77" s="293" t="s">
        <v>656</v>
      </c>
      <c r="AO77" s="22" t="s">
        <v>5469</v>
      </c>
      <c r="AP77" s="22" t="s">
        <v>145</v>
      </c>
      <c r="AQ77" s="22" t="s">
        <v>70</v>
      </c>
      <c r="AR77" s="22" t="s">
        <v>67</v>
      </c>
      <c r="AT77" s="22" t="s">
        <v>5470</v>
      </c>
      <c r="AU77" s="22" t="s">
        <v>145</v>
      </c>
      <c r="AV77" s="22" t="s">
        <v>70</v>
      </c>
      <c r="AW77" s="22" t="s">
        <v>67</v>
      </c>
      <c r="AY77" s="22" t="s">
        <v>5471</v>
      </c>
      <c r="AZ77" s="22" t="s">
        <v>145</v>
      </c>
      <c r="BA77" s="22" t="s">
        <v>70</v>
      </c>
      <c r="BB77" s="22" t="s">
        <v>67</v>
      </c>
      <c r="BD77" s="22" t="s">
        <v>5472</v>
      </c>
      <c r="BE77" s="22" t="s">
        <v>145</v>
      </c>
      <c r="BF77" s="22" t="s">
        <v>70</v>
      </c>
      <c r="BG77" s="22" t="s">
        <v>67</v>
      </c>
      <c r="BI77" s="22" t="s">
        <v>5473</v>
      </c>
      <c r="BJ77" s="22" t="s">
        <v>145</v>
      </c>
      <c r="BK77" s="22" t="s">
        <v>70</v>
      </c>
      <c r="BL77" s="22" t="s">
        <v>67</v>
      </c>
      <c r="BN77" s="22" t="s">
        <v>5474</v>
      </c>
      <c r="BO77" s="22" t="s">
        <v>145</v>
      </c>
      <c r="BP77" s="22" t="s">
        <v>70</v>
      </c>
      <c r="BQ77" s="22" t="s">
        <v>67</v>
      </c>
      <c r="BS77" s="22" t="s">
        <v>5475</v>
      </c>
      <c r="BT77" s="22" t="s">
        <v>145</v>
      </c>
      <c r="BU77" s="22" t="s">
        <v>70</v>
      </c>
      <c r="BV77" s="214" t="s">
        <v>530</v>
      </c>
      <c r="BX77" s="22" t="s">
        <v>5476</v>
      </c>
      <c r="BY77" s="22" t="s">
        <v>145</v>
      </c>
      <c r="BZ77" s="22" t="s">
        <v>70</v>
      </c>
      <c r="CA77" s="214" t="s">
        <v>530</v>
      </c>
      <c r="CC77" s="214" t="s">
        <v>5477</v>
      </c>
      <c r="CD77" s="349" t="s">
        <v>924</v>
      </c>
      <c r="CE77" s="214" t="s">
        <v>70</v>
      </c>
      <c r="CF77" s="214" t="s">
        <v>372</v>
      </c>
      <c r="CH77" s="214" t="s">
        <v>5478</v>
      </c>
      <c r="CI77" s="214" t="s">
        <v>920</v>
      </c>
      <c r="CJ77" s="214" t="s">
        <v>70</v>
      </c>
      <c r="CK77" s="214" t="s">
        <v>530</v>
      </c>
      <c r="CM77" s="214" t="s">
        <v>5479</v>
      </c>
      <c r="CN77" s="214" t="s">
        <v>603</v>
      </c>
      <c r="CO77" s="214" t="s">
        <v>70</v>
      </c>
      <c r="CP77" s="214" t="s">
        <v>530</v>
      </c>
      <c r="CR77" s="214" t="s">
        <v>5480</v>
      </c>
      <c r="CS77" s="214" t="s">
        <v>146</v>
      </c>
      <c r="CT77" s="214" t="s">
        <v>70</v>
      </c>
      <c r="CU77" s="214" t="s">
        <v>530</v>
      </c>
      <c r="CW77" s="214" t="s">
        <v>5481</v>
      </c>
      <c r="CX77" s="214" t="s">
        <v>146</v>
      </c>
      <c r="CY77" s="214" t="s">
        <v>70</v>
      </c>
      <c r="CZ77" s="214" t="s">
        <v>530</v>
      </c>
      <c r="DB77" s="214" t="s">
        <v>5482</v>
      </c>
      <c r="DC77" s="214" t="s">
        <v>149</v>
      </c>
      <c r="DD77" s="214" t="s">
        <v>70</v>
      </c>
      <c r="DE77" s="214" t="s">
        <v>530</v>
      </c>
      <c r="DG77" s="214" t="s">
        <v>5483</v>
      </c>
      <c r="DH77" s="214" t="s">
        <v>598</v>
      </c>
      <c r="DI77" s="214" t="s">
        <v>70</v>
      </c>
      <c r="DJ77" s="214" t="s">
        <v>530</v>
      </c>
      <c r="DL77" s="214" t="s">
        <v>5484</v>
      </c>
      <c r="DM77" s="214" t="s">
        <v>146</v>
      </c>
      <c r="DN77" s="214" t="s">
        <v>70</v>
      </c>
      <c r="DO77" s="214" t="s">
        <v>530</v>
      </c>
      <c r="DQ77" s="214" t="s">
        <v>5485</v>
      </c>
      <c r="DR77" s="214" t="s">
        <v>145</v>
      </c>
      <c r="DS77" s="214" t="s">
        <v>70</v>
      </c>
      <c r="DT77" s="214" t="s">
        <v>530</v>
      </c>
      <c r="DV77" s="214" t="s">
        <v>5486</v>
      </c>
      <c r="DW77" s="214" t="s">
        <v>34544</v>
      </c>
      <c r="DX77" s="214" t="s">
        <v>70</v>
      </c>
      <c r="DY77" s="214" t="s">
        <v>530</v>
      </c>
      <c r="EA77" s="214" t="s">
        <v>5487</v>
      </c>
      <c r="EB77" s="214" t="s">
        <v>490</v>
      </c>
      <c r="EC77" s="214" t="s">
        <v>70</v>
      </c>
      <c r="ED77" s="214" t="s">
        <v>530</v>
      </c>
      <c r="EF77" s="214" t="s">
        <v>5488</v>
      </c>
      <c r="EG77" s="214" t="s">
        <v>145</v>
      </c>
      <c r="EH77" s="214" t="s">
        <v>70</v>
      </c>
      <c r="EI77" s="214" t="s">
        <v>530</v>
      </c>
      <c r="EK77" s="214" t="s">
        <v>5489</v>
      </c>
      <c r="EL77" s="214" t="s">
        <v>484</v>
      </c>
      <c r="EM77" s="214" t="s">
        <v>70</v>
      </c>
      <c r="EN77" s="214" t="s">
        <v>530</v>
      </c>
      <c r="EP77" s="214" t="s">
        <v>5490</v>
      </c>
      <c r="EQ77" s="214" t="s">
        <v>484</v>
      </c>
      <c r="ER77" s="214" t="s">
        <v>70</v>
      </c>
      <c r="ES77" s="214" t="s">
        <v>530</v>
      </c>
      <c r="EU77" s="214" t="s">
        <v>5491</v>
      </c>
      <c r="EV77" s="214" t="s">
        <v>488</v>
      </c>
      <c r="EW77" s="214" t="s">
        <v>70</v>
      </c>
      <c r="EX77" s="214" t="s">
        <v>530</v>
      </c>
      <c r="EZ77" s="214" t="s">
        <v>5492</v>
      </c>
      <c r="FA77" s="214" t="s">
        <v>34540</v>
      </c>
      <c r="FB77" s="214" t="s">
        <v>70</v>
      </c>
      <c r="FC77" s="214" t="s">
        <v>530</v>
      </c>
      <c r="FE77" s="214" t="s">
        <v>5493</v>
      </c>
      <c r="FF77" s="214" t="s">
        <v>1028</v>
      </c>
      <c r="FG77" s="214" t="s">
        <v>70</v>
      </c>
      <c r="FH77" s="214" t="s">
        <v>530</v>
      </c>
      <c r="FJ77" s="321" t="s">
        <v>5494</v>
      </c>
      <c r="FK77" s="214" t="s">
        <v>34546</v>
      </c>
      <c r="FL77" s="214" t="s">
        <v>70</v>
      </c>
      <c r="FM77" s="214" t="s">
        <v>530</v>
      </c>
      <c r="FO77" s="321" t="s">
        <v>5495</v>
      </c>
      <c r="FP77" s="214" t="s">
        <v>484</v>
      </c>
      <c r="FQ77" s="214" t="s">
        <v>70</v>
      </c>
      <c r="FR77" s="214" t="s">
        <v>530</v>
      </c>
      <c r="FT77" s="321" t="s">
        <v>5496</v>
      </c>
      <c r="FU77" s="214" t="s">
        <v>34639</v>
      </c>
      <c r="FV77" s="214" t="s">
        <v>70</v>
      </c>
      <c r="FW77" s="214" t="s">
        <v>530</v>
      </c>
      <c r="FY77" s="321" t="s">
        <v>5497</v>
      </c>
      <c r="FZ77" s="214" t="s">
        <v>926</v>
      </c>
      <c r="GA77" s="214" t="s">
        <v>70</v>
      </c>
      <c r="GB77" s="214" t="s">
        <v>530</v>
      </c>
      <c r="GD77" s="321" t="s">
        <v>5498</v>
      </c>
      <c r="GE77" s="214" t="s">
        <v>206</v>
      </c>
      <c r="GF77" s="214" t="s">
        <v>70</v>
      </c>
      <c r="GG77" s="214" t="s">
        <v>530</v>
      </c>
      <c r="GI77" s="321" t="s">
        <v>5499</v>
      </c>
      <c r="GJ77" s="214" t="s">
        <v>34590</v>
      </c>
      <c r="GK77" s="214" t="s">
        <v>70</v>
      </c>
      <c r="GL77" s="214" t="s">
        <v>530</v>
      </c>
      <c r="GN77" s="321" t="s">
        <v>5500</v>
      </c>
      <c r="GO77" s="214" t="s">
        <v>468</v>
      </c>
      <c r="GP77" s="214" t="s">
        <v>70</v>
      </c>
      <c r="GQ77" s="214" t="s">
        <v>530</v>
      </c>
      <c r="GS77" s="321" t="s">
        <v>5501</v>
      </c>
      <c r="GT77" s="214" t="s">
        <v>52</v>
      </c>
      <c r="GU77" s="214" t="s">
        <v>70</v>
      </c>
      <c r="GV77" s="214" t="s">
        <v>530</v>
      </c>
      <c r="GX77" s="214" t="s">
        <v>5502</v>
      </c>
      <c r="GY77" s="214" t="s">
        <v>495</v>
      </c>
      <c r="GZ77" s="214" t="s">
        <v>70</v>
      </c>
      <c r="HA77" s="214" t="s">
        <v>530</v>
      </c>
      <c r="HC77" s="214" t="s">
        <v>5503</v>
      </c>
      <c r="HD77" s="214" t="s">
        <v>926</v>
      </c>
      <c r="HE77" s="214" t="s">
        <v>70</v>
      </c>
      <c r="HF77" s="214" t="s">
        <v>530</v>
      </c>
      <c r="HH77" s="214" t="s">
        <v>5504</v>
      </c>
      <c r="HI77" s="214" t="s">
        <v>921</v>
      </c>
      <c r="HJ77" s="214" t="s">
        <v>70</v>
      </c>
      <c r="HK77" s="214" t="s">
        <v>530</v>
      </c>
      <c r="HM77" s="214" t="s">
        <v>5505</v>
      </c>
      <c r="HN77" s="214" t="s">
        <v>482</v>
      </c>
      <c r="HO77" s="214" t="s">
        <v>70</v>
      </c>
      <c r="HP77" s="214" t="s">
        <v>530</v>
      </c>
      <c r="HR77" s="22" t="s">
        <v>5506</v>
      </c>
      <c r="HS77" s="22" t="s">
        <v>52</v>
      </c>
      <c r="HT77" s="22" t="s">
        <v>70</v>
      </c>
      <c r="HU77" s="214" t="s">
        <v>530</v>
      </c>
      <c r="HW77" s="22" t="s">
        <v>5507</v>
      </c>
      <c r="HX77" s="22" t="s">
        <v>484</v>
      </c>
      <c r="HY77" s="22" t="s">
        <v>70</v>
      </c>
      <c r="HZ77" s="214" t="s">
        <v>530</v>
      </c>
      <c r="IB77" s="22" t="s">
        <v>5508</v>
      </c>
      <c r="IC77" s="22" t="s">
        <v>482</v>
      </c>
      <c r="ID77" s="22" t="s">
        <v>70</v>
      </c>
      <c r="IE77" s="214" t="s">
        <v>530</v>
      </c>
      <c r="IG77" s="22" t="s">
        <v>5509</v>
      </c>
      <c r="IH77" s="22" t="s">
        <v>52</v>
      </c>
      <c r="II77" s="22" t="s">
        <v>70</v>
      </c>
      <c r="IJ77" s="214" t="s">
        <v>530</v>
      </c>
      <c r="IL77" s="22" t="s">
        <v>5510</v>
      </c>
      <c r="IM77" s="22" t="s">
        <v>145</v>
      </c>
      <c r="IN77" s="22" t="s">
        <v>70</v>
      </c>
      <c r="IO77" s="214" t="s">
        <v>530</v>
      </c>
      <c r="IQ77" s="236" t="s">
        <v>5511</v>
      </c>
      <c r="IR77" s="236" t="s">
        <v>145</v>
      </c>
      <c r="IS77" s="236" t="s">
        <v>74</v>
      </c>
      <c r="IT77" s="236" t="s">
        <v>841</v>
      </c>
      <c r="IV77" s="236" t="s">
        <v>5512</v>
      </c>
      <c r="IW77" s="236" t="s">
        <v>145</v>
      </c>
      <c r="IX77" s="236" t="s">
        <v>74</v>
      </c>
      <c r="IY77" s="236" t="s">
        <v>841</v>
      </c>
      <c r="JA77" s="236" t="s">
        <v>5514</v>
      </c>
      <c r="JB77" s="236" t="s">
        <v>145</v>
      </c>
      <c r="JC77" s="236" t="s">
        <v>74</v>
      </c>
      <c r="JD77" s="236" t="s">
        <v>841</v>
      </c>
      <c r="JF77" s="236" t="s">
        <v>5515</v>
      </c>
      <c r="JG77" s="236" t="s">
        <v>145</v>
      </c>
      <c r="JH77" s="236" t="s">
        <v>74</v>
      </c>
      <c r="JI77" s="236" t="s">
        <v>841</v>
      </c>
      <c r="JK77" s="236" t="s">
        <v>5516</v>
      </c>
      <c r="JL77" s="236" t="s">
        <v>145</v>
      </c>
      <c r="JM77" s="236" t="s">
        <v>74</v>
      </c>
      <c r="JN77" s="236" t="s">
        <v>841</v>
      </c>
      <c r="JP77" s="236" t="s">
        <v>5517</v>
      </c>
      <c r="JQ77" s="236" t="s">
        <v>145</v>
      </c>
      <c r="JR77" s="236" t="s">
        <v>74</v>
      </c>
      <c r="JS77" s="236" t="s">
        <v>841</v>
      </c>
      <c r="JU77" s="294" t="s">
        <v>5518</v>
      </c>
      <c r="JV77" s="294" t="str">
        <f>TVIIBE1M_CalPairs!$R86</f>
        <v>0x00</v>
      </c>
      <c r="JW77" s="218" t="s">
        <v>72</v>
      </c>
      <c r="JX77" s="294" t="str">
        <f>TVIIBE1M_CalPairs!$S86</f>
        <v>CRYPTO_MAIN</v>
      </c>
      <c r="JZ77" s="263" t="s">
        <v>5519</v>
      </c>
      <c r="KA77" s="263" t="s">
        <v>145</v>
      </c>
      <c r="KB77" s="263" t="s">
        <v>70</v>
      </c>
      <c r="KC77" s="263" t="s">
        <v>1083</v>
      </c>
      <c r="KE77" s="263" t="s">
        <v>5520</v>
      </c>
      <c r="KF77" s="263" t="s">
        <v>52</v>
      </c>
      <c r="KG77" s="263" t="s">
        <v>70</v>
      </c>
      <c r="KH77" s="263" t="s">
        <v>1083</v>
      </c>
      <c r="KJ77" s="263" t="s">
        <v>5521</v>
      </c>
      <c r="KK77" s="263" t="s">
        <v>52</v>
      </c>
      <c r="KL77" s="263" t="s">
        <v>74</v>
      </c>
      <c r="KM77" s="263" t="s">
        <v>34074</v>
      </c>
      <c r="KO77" s="214" t="s">
        <v>5522</v>
      </c>
      <c r="KP77" s="214" t="s">
        <v>145</v>
      </c>
      <c r="KQ77" s="214" t="s">
        <v>70</v>
      </c>
      <c r="KR77" s="214" t="s">
        <v>67</v>
      </c>
      <c r="KT77" s="22" t="s">
        <v>5523</v>
      </c>
      <c r="KU77" s="22" t="s">
        <v>145</v>
      </c>
      <c r="KV77" s="22" t="s">
        <v>70</v>
      </c>
      <c r="KW77" s="22" t="s">
        <v>67</v>
      </c>
      <c r="KY77" s="214" t="s">
        <v>5524</v>
      </c>
      <c r="KZ77" s="214" t="s">
        <v>52</v>
      </c>
      <c r="LA77" s="214" t="s">
        <v>74</v>
      </c>
      <c r="LB77" s="214" t="s">
        <v>67</v>
      </c>
      <c r="LD77" s="22" t="s">
        <v>5525</v>
      </c>
      <c r="LE77" s="22" t="s">
        <v>145</v>
      </c>
      <c r="LF77" s="22" t="s">
        <v>70</v>
      </c>
      <c r="LG77" s="22" t="s">
        <v>67</v>
      </c>
    </row>
    <row r="78" spans="1:319">
      <c r="A78" s="22" t="s">
        <v>5526</v>
      </c>
      <c r="B78" s="22" t="s">
        <v>145</v>
      </c>
      <c r="C78" s="22" t="s">
        <v>70</v>
      </c>
      <c r="D78" s="22" t="s">
        <v>67</v>
      </c>
      <c r="F78" s="23" t="s">
        <v>5527</v>
      </c>
      <c r="G78" s="23" t="str">
        <f>TVIIBE1M_CalPairs!$E75</f>
        <v>0x00</v>
      </c>
      <c r="H78" s="23" t="s">
        <v>70</v>
      </c>
      <c r="I78" s="23" t="str">
        <f>TVIIBE1M_CalPairs!$C75</f>
        <v>PWR_TEST_HT_VAL2</v>
      </c>
      <c r="K78" s="22" t="s">
        <v>5528</v>
      </c>
      <c r="L78" s="22" t="s">
        <v>145</v>
      </c>
      <c r="M78" s="22" t="s">
        <v>70</v>
      </c>
      <c r="N78" s="22" t="s">
        <v>67</v>
      </c>
      <c r="P78" s="22" t="s">
        <v>5529</v>
      </c>
      <c r="Q78" s="22" t="s">
        <v>145</v>
      </c>
      <c r="R78" s="22" t="s">
        <v>70</v>
      </c>
      <c r="S78" s="22" t="s">
        <v>67</v>
      </c>
      <c r="U78" s="293" t="s">
        <v>5530</v>
      </c>
      <c r="V78" s="293" t="s">
        <v>145</v>
      </c>
      <c r="W78" s="293" t="s">
        <v>74</v>
      </c>
      <c r="X78" s="293" t="s">
        <v>656</v>
      </c>
      <c r="Z78" s="293" t="s">
        <v>5531</v>
      </c>
      <c r="AA78" s="293" t="s">
        <v>145</v>
      </c>
      <c r="AB78" s="293" t="s">
        <v>74</v>
      </c>
      <c r="AC78" s="293" t="s">
        <v>656</v>
      </c>
      <c r="AE78" s="293" t="s">
        <v>5532</v>
      </c>
      <c r="AF78" s="293" t="s">
        <v>145</v>
      </c>
      <c r="AG78" s="293" t="s">
        <v>74</v>
      </c>
      <c r="AH78" s="293" t="s">
        <v>656</v>
      </c>
      <c r="AJ78" s="293" t="s">
        <v>5533</v>
      </c>
      <c r="AK78" s="293" t="s">
        <v>145</v>
      </c>
      <c r="AL78" s="293" t="s">
        <v>74</v>
      </c>
      <c r="AM78" s="293" t="s">
        <v>656</v>
      </c>
      <c r="AO78" s="22" t="s">
        <v>5534</v>
      </c>
      <c r="AP78" s="22" t="s">
        <v>145</v>
      </c>
      <c r="AQ78" s="22" t="s">
        <v>70</v>
      </c>
      <c r="AR78" s="22" t="s">
        <v>67</v>
      </c>
      <c r="AT78" s="22" t="s">
        <v>5535</v>
      </c>
      <c r="AU78" s="22" t="s">
        <v>145</v>
      </c>
      <c r="AV78" s="22" t="s">
        <v>70</v>
      </c>
      <c r="AW78" s="22" t="s">
        <v>67</v>
      </c>
      <c r="AY78" s="22" t="s">
        <v>5536</v>
      </c>
      <c r="AZ78" s="22" t="s">
        <v>145</v>
      </c>
      <c r="BA78" s="22" t="s">
        <v>70</v>
      </c>
      <c r="BB78" s="22" t="s">
        <v>67</v>
      </c>
      <c r="BD78" s="22" t="s">
        <v>5537</v>
      </c>
      <c r="BE78" s="22" t="s">
        <v>145</v>
      </c>
      <c r="BF78" s="22" t="s">
        <v>70</v>
      </c>
      <c r="BG78" s="22" t="s">
        <v>67</v>
      </c>
      <c r="BI78" s="22" t="s">
        <v>5538</v>
      </c>
      <c r="BJ78" s="22" t="s">
        <v>145</v>
      </c>
      <c r="BK78" s="22" t="s">
        <v>70</v>
      </c>
      <c r="BL78" s="22" t="s">
        <v>67</v>
      </c>
      <c r="BN78" s="22" t="s">
        <v>5539</v>
      </c>
      <c r="BO78" s="22" t="s">
        <v>145</v>
      </c>
      <c r="BP78" s="22" t="s">
        <v>70</v>
      </c>
      <c r="BQ78" s="22" t="s">
        <v>67</v>
      </c>
      <c r="BS78" s="22" t="s">
        <v>5540</v>
      </c>
      <c r="BT78" s="22" t="s">
        <v>145</v>
      </c>
      <c r="BU78" s="22" t="s">
        <v>70</v>
      </c>
      <c r="BV78" s="214" t="s">
        <v>530</v>
      </c>
      <c r="BX78" s="22" t="s">
        <v>5541</v>
      </c>
      <c r="BY78" s="22" t="s">
        <v>145</v>
      </c>
      <c r="BZ78" s="22" t="s">
        <v>70</v>
      </c>
      <c r="CA78" s="214" t="s">
        <v>530</v>
      </c>
      <c r="CC78" s="214" t="s">
        <v>5542</v>
      </c>
      <c r="CD78" s="215" t="s">
        <v>52</v>
      </c>
      <c r="CE78" s="214" t="s">
        <v>70</v>
      </c>
      <c r="CF78" s="214" t="s">
        <v>373</v>
      </c>
      <c r="CH78" s="214" t="s">
        <v>5543</v>
      </c>
      <c r="CI78" s="214" t="s">
        <v>52</v>
      </c>
      <c r="CJ78" s="214" t="s">
        <v>70</v>
      </c>
      <c r="CK78" s="214" t="s">
        <v>530</v>
      </c>
      <c r="CM78" s="214" t="s">
        <v>5544</v>
      </c>
      <c r="CN78" s="214" t="s">
        <v>34213</v>
      </c>
      <c r="CO78" s="214" t="s">
        <v>70</v>
      </c>
      <c r="CP78" s="214" t="s">
        <v>530</v>
      </c>
      <c r="CR78" s="214" t="s">
        <v>5545</v>
      </c>
      <c r="CS78" s="214" t="s">
        <v>85</v>
      </c>
      <c r="CT78" s="214" t="s">
        <v>70</v>
      </c>
      <c r="CU78" s="214" t="s">
        <v>530</v>
      </c>
      <c r="CW78" s="214" t="s">
        <v>5546</v>
      </c>
      <c r="CX78" s="214" t="s">
        <v>85</v>
      </c>
      <c r="CY78" s="214" t="s">
        <v>70</v>
      </c>
      <c r="CZ78" s="214" t="s">
        <v>530</v>
      </c>
      <c r="DB78" s="214" t="s">
        <v>5547</v>
      </c>
      <c r="DC78" s="214" t="s">
        <v>488</v>
      </c>
      <c r="DD78" s="214" t="s">
        <v>70</v>
      </c>
      <c r="DE78" s="214" t="s">
        <v>530</v>
      </c>
      <c r="DG78" s="214" t="s">
        <v>5548</v>
      </c>
      <c r="DH78" s="214" t="s">
        <v>52</v>
      </c>
      <c r="DI78" s="214" t="s">
        <v>70</v>
      </c>
      <c r="DJ78" s="214" t="s">
        <v>530</v>
      </c>
      <c r="DL78" s="214" t="s">
        <v>5549</v>
      </c>
      <c r="DM78" s="214" t="s">
        <v>85</v>
      </c>
      <c r="DN78" s="214" t="s">
        <v>70</v>
      </c>
      <c r="DO78" s="214" t="s">
        <v>530</v>
      </c>
      <c r="DQ78" s="214" t="s">
        <v>5550</v>
      </c>
      <c r="DR78" s="214" t="s">
        <v>52</v>
      </c>
      <c r="DS78" s="214" t="s">
        <v>70</v>
      </c>
      <c r="DT78" s="214" t="s">
        <v>530</v>
      </c>
      <c r="DV78" s="214" t="s">
        <v>5551</v>
      </c>
      <c r="DW78" s="214" t="s">
        <v>498</v>
      </c>
      <c r="DX78" s="214" t="s">
        <v>70</v>
      </c>
      <c r="DY78" s="214" t="s">
        <v>530</v>
      </c>
      <c r="EA78" s="214" t="s">
        <v>5552</v>
      </c>
      <c r="EB78" s="214" t="s">
        <v>145</v>
      </c>
      <c r="EC78" s="214" t="s">
        <v>70</v>
      </c>
      <c r="ED78" s="214" t="s">
        <v>530</v>
      </c>
      <c r="EF78" s="214" t="s">
        <v>5553</v>
      </c>
      <c r="EG78" s="214" t="s">
        <v>34597</v>
      </c>
      <c r="EH78" s="214" t="s">
        <v>70</v>
      </c>
      <c r="EI78" s="214" t="s">
        <v>530</v>
      </c>
      <c r="EK78" s="214" t="s">
        <v>5554</v>
      </c>
      <c r="EL78" s="214" t="s">
        <v>52</v>
      </c>
      <c r="EM78" s="214" t="s">
        <v>70</v>
      </c>
      <c r="EN78" s="214" t="s">
        <v>530</v>
      </c>
      <c r="EP78" s="214" t="s">
        <v>5555</v>
      </c>
      <c r="EQ78" s="214" t="s">
        <v>950</v>
      </c>
      <c r="ER78" s="214" t="s">
        <v>70</v>
      </c>
      <c r="ES78" s="214" t="s">
        <v>530</v>
      </c>
      <c r="EU78" s="214" t="s">
        <v>5556</v>
      </c>
      <c r="EV78" s="214" t="s">
        <v>52</v>
      </c>
      <c r="EW78" s="214" t="s">
        <v>70</v>
      </c>
      <c r="EX78" s="214" t="s">
        <v>530</v>
      </c>
      <c r="EZ78" s="214" t="s">
        <v>5557</v>
      </c>
      <c r="FA78" s="214" t="s">
        <v>655</v>
      </c>
      <c r="FB78" s="214" t="s">
        <v>70</v>
      </c>
      <c r="FC78" s="214" t="s">
        <v>530</v>
      </c>
      <c r="FE78" s="214" t="s">
        <v>5558</v>
      </c>
      <c r="FF78" s="214" t="s">
        <v>34579</v>
      </c>
      <c r="FG78" s="214" t="s">
        <v>70</v>
      </c>
      <c r="FH78" s="214" t="s">
        <v>530</v>
      </c>
      <c r="FJ78" s="321" t="s">
        <v>5559</v>
      </c>
      <c r="FK78" s="214" t="s">
        <v>951</v>
      </c>
      <c r="FL78" s="214" t="s">
        <v>70</v>
      </c>
      <c r="FM78" s="214" t="s">
        <v>530</v>
      </c>
      <c r="FO78" s="321" t="s">
        <v>5560</v>
      </c>
      <c r="FP78" s="214" t="s">
        <v>485</v>
      </c>
      <c r="FQ78" s="214" t="s">
        <v>70</v>
      </c>
      <c r="FR78" s="214" t="s">
        <v>530</v>
      </c>
      <c r="FT78" s="321" t="s">
        <v>5561</v>
      </c>
      <c r="FU78" s="214" t="s">
        <v>34605</v>
      </c>
      <c r="FV78" s="214" t="s">
        <v>70</v>
      </c>
      <c r="FW78" s="214" t="s">
        <v>530</v>
      </c>
      <c r="FY78" s="321" t="s">
        <v>5562</v>
      </c>
      <c r="FZ78" s="214" t="s">
        <v>163</v>
      </c>
      <c r="GA78" s="214" t="s">
        <v>70</v>
      </c>
      <c r="GB78" s="214" t="s">
        <v>530</v>
      </c>
      <c r="GD78" s="321" t="s">
        <v>5563</v>
      </c>
      <c r="GE78" s="214" t="s">
        <v>34557</v>
      </c>
      <c r="GF78" s="214" t="s">
        <v>70</v>
      </c>
      <c r="GG78" s="214" t="s">
        <v>530</v>
      </c>
      <c r="GI78" s="321" t="s">
        <v>5564</v>
      </c>
      <c r="GJ78" s="214" t="s">
        <v>145</v>
      </c>
      <c r="GK78" s="214" t="s">
        <v>70</v>
      </c>
      <c r="GL78" s="214" t="s">
        <v>530</v>
      </c>
      <c r="GN78" s="321" t="s">
        <v>5565</v>
      </c>
      <c r="GO78" s="214" t="s">
        <v>52</v>
      </c>
      <c r="GP78" s="214" t="s">
        <v>70</v>
      </c>
      <c r="GQ78" s="214" t="s">
        <v>530</v>
      </c>
      <c r="GS78" s="321" t="s">
        <v>5566</v>
      </c>
      <c r="GT78" s="214" t="s">
        <v>145</v>
      </c>
      <c r="GU78" s="214" t="s">
        <v>70</v>
      </c>
      <c r="GV78" s="214" t="s">
        <v>530</v>
      </c>
      <c r="GX78" s="214" t="s">
        <v>5567</v>
      </c>
      <c r="GY78" s="214" t="s">
        <v>52</v>
      </c>
      <c r="GZ78" s="214" t="s">
        <v>70</v>
      </c>
      <c r="HA78" s="214" t="s">
        <v>530</v>
      </c>
      <c r="HC78" s="214" t="s">
        <v>5568</v>
      </c>
      <c r="HD78" s="214" t="s">
        <v>34575</v>
      </c>
      <c r="HE78" s="214" t="s">
        <v>70</v>
      </c>
      <c r="HF78" s="214" t="s">
        <v>530</v>
      </c>
      <c r="HH78" s="214" t="s">
        <v>5569</v>
      </c>
      <c r="HI78" s="214" t="s">
        <v>34590</v>
      </c>
      <c r="HJ78" s="214" t="s">
        <v>70</v>
      </c>
      <c r="HK78" s="214" t="s">
        <v>530</v>
      </c>
      <c r="HM78" s="214" t="s">
        <v>5570</v>
      </c>
      <c r="HN78" s="214" t="s">
        <v>103</v>
      </c>
      <c r="HO78" s="214" t="s">
        <v>70</v>
      </c>
      <c r="HP78" s="214" t="s">
        <v>530</v>
      </c>
      <c r="HR78" s="22" t="s">
        <v>5571</v>
      </c>
      <c r="HS78" s="22" t="s">
        <v>598</v>
      </c>
      <c r="HT78" s="22" t="s">
        <v>70</v>
      </c>
      <c r="HU78" s="214" t="s">
        <v>530</v>
      </c>
      <c r="HW78" s="22" t="s">
        <v>5572</v>
      </c>
      <c r="HX78" s="22" t="s">
        <v>52</v>
      </c>
      <c r="HY78" s="22" t="s">
        <v>70</v>
      </c>
      <c r="HZ78" s="214" t="s">
        <v>530</v>
      </c>
      <c r="IB78" s="22" t="s">
        <v>5573</v>
      </c>
      <c r="IC78" s="22" t="s">
        <v>501</v>
      </c>
      <c r="ID78" s="22" t="s">
        <v>70</v>
      </c>
      <c r="IE78" s="214" t="s">
        <v>530</v>
      </c>
      <c r="IG78" s="22" t="s">
        <v>5574</v>
      </c>
      <c r="IH78" s="22" t="s">
        <v>52</v>
      </c>
      <c r="II78" s="22" t="s">
        <v>70</v>
      </c>
      <c r="IJ78" s="214" t="s">
        <v>530</v>
      </c>
      <c r="IL78" s="22" t="s">
        <v>5575</v>
      </c>
      <c r="IM78" s="22" t="s">
        <v>145</v>
      </c>
      <c r="IN78" s="22" t="s">
        <v>70</v>
      </c>
      <c r="IO78" s="214" t="s">
        <v>530</v>
      </c>
      <c r="IQ78" s="236" t="s">
        <v>5576</v>
      </c>
      <c r="IR78" s="236" t="s">
        <v>145</v>
      </c>
      <c r="IS78" s="236" t="s">
        <v>74</v>
      </c>
      <c r="IT78" s="236" t="s">
        <v>841</v>
      </c>
      <c r="IV78" s="236" t="s">
        <v>5577</v>
      </c>
      <c r="IW78" s="236" t="s">
        <v>145</v>
      </c>
      <c r="IX78" s="236" t="s">
        <v>74</v>
      </c>
      <c r="IY78" s="236" t="s">
        <v>841</v>
      </c>
      <c r="JA78" s="236" t="s">
        <v>5579</v>
      </c>
      <c r="JB78" s="236" t="s">
        <v>145</v>
      </c>
      <c r="JC78" s="236" t="s">
        <v>74</v>
      </c>
      <c r="JD78" s="236" t="s">
        <v>841</v>
      </c>
      <c r="JF78" s="236" t="s">
        <v>5580</v>
      </c>
      <c r="JG78" s="236" t="s">
        <v>145</v>
      </c>
      <c r="JH78" s="236" t="s">
        <v>74</v>
      </c>
      <c r="JI78" s="236" t="s">
        <v>841</v>
      </c>
      <c r="JK78" s="236" t="s">
        <v>5581</v>
      </c>
      <c r="JL78" s="236" t="s">
        <v>145</v>
      </c>
      <c r="JM78" s="236" t="s">
        <v>74</v>
      </c>
      <c r="JN78" s="236" t="s">
        <v>841</v>
      </c>
      <c r="JP78" s="236" t="s">
        <v>5582</v>
      </c>
      <c r="JQ78" s="236" t="s">
        <v>145</v>
      </c>
      <c r="JR78" s="236" t="s">
        <v>74</v>
      </c>
      <c r="JS78" s="236" t="s">
        <v>841</v>
      </c>
      <c r="JU78" s="294" t="s">
        <v>5583</v>
      </c>
      <c r="JV78" s="294" t="str">
        <f>TVIIBE1M_CalPairs!$R87</f>
        <v>0xFF</v>
      </c>
      <c r="JW78" s="263" t="s">
        <v>70</v>
      </c>
      <c r="JX78" s="294" t="str">
        <f>TVIIBE1M_CalPairs!$Q87</f>
        <v>PPU6_SL_CONFIG</v>
      </c>
      <c r="JZ78" s="263" t="s">
        <v>5584</v>
      </c>
      <c r="KA78" s="263" t="s">
        <v>145</v>
      </c>
      <c r="KB78" s="263" t="s">
        <v>70</v>
      </c>
      <c r="KC78" s="263" t="s">
        <v>1083</v>
      </c>
      <c r="KE78" s="263" t="s">
        <v>5585</v>
      </c>
      <c r="KF78" s="263" t="s">
        <v>52</v>
      </c>
      <c r="KG78" s="263" t="s">
        <v>70</v>
      </c>
      <c r="KH78" s="263" t="s">
        <v>1083</v>
      </c>
      <c r="KJ78" s="263" t="s">
        <v>5586</v>
      </c>
      <c r="KK78" s="263" t="s">
        <v>52</v>
      </c>
      <c r="KL78" s="263" t="s">
        <v>74</v>
      </c>
      <c r="KM78" s="263" t="s">
        <v>34074</v>
      </c>
      <c r="KO78" s="214" t="s">
        <v>5587</v>
      </c>
      <c r="KP78" s="214" t="s">
        <v>145</v>
      </c>
      <c r="KQ78" s="214" t="s">
        <v>70</v>
      </c>
      <c r="KR78" s="214" t="s">
        <v>67</v>
      </c>
      <c r="KT78" s="22" t="s">
        <v>5588</v>
      </c>
      <c r="KU78" s="22" t="s">
        <v>145</v>
      </c>
      <c r="KV78" s="22" t="s">
        <v>70</v>
      </c>
      <c r="KW78" s="22" t="s">
        <v>67</v>
      </c>
      <c r="KY78" s="214" t="s">
        <v>5589</v>
      </c>
      <c r="KZ78" s="214" t="s">
        <v>52</v>
      </c>
      <c r="LA78" s="214" t="s">
        <v>74</v>
      </c>
      <c r="LB78" s="214" t="s">
        <v>67</v>
      </c>
      <c r="LD78" s="22" t="s">
        <v>5590</v>
      </c>
      <c r="LE78" s="22" t="s">
        <v>145</v>
      </c>
      <c r="LF78" s="22" t="s">
        <v>70</v>
      </c>
      <c r="LG78" s="22" t="s">
        <v>67</v>
      </c>
    </row>
    <row r="79" spans="1:319">
      <c r="A79" s="22" t="s">
        <v>5591</v>
      </c>
      <c r="B79" s="22" t="s">
        <v>145</v>
      </c>
      <c r="C79" s="22" t="s">
        <v>70</v>
      </c>
      <c r="D79" s="22" t="s">
        <v>67</v>
      </c>
      <c r="F79" s="23" t="s">
        <v>5592</v>
      </c>
      <c r="G79" s="23" t="str">
        <f>TVIIBE1M_CalPairs!$E76</f>
        <v>0x00</v>
      </c>
      <c r="H79" s="23" t="s">
        <v>70</v>
      </c>
      <c r="I79" s="23" t="str">
        <f>TVIIBE1M_CalPairs!$C76</f>
        <v>PWR_TEST_HT_VAL3</v>
      </c>
      <c r="K79" s="22" t="s">
        <v>5593</v>
      </c>
      <c r="L79" s="22" t="s">
        <v>145</v>
      </c>
      <c r="M79" s="22" t="s">
        <v>70</v>
      </c>
      <c r="N79" s="22" t="s">
        <v>67</v>
      </c>
      <c r="P79" s="22" t="s">
        <v>5594</v>
      </c>
      <c r="Q79" s="22" t="s">
        <v>145</v>
      </c>
      <c r="R79" s="22" t="s">
        <v>70</v>
      </c>
      <c r="S79" s="22" t="s">
        <v>67</v>
      </c>
      <c r="U79" s="293" t="s">
        <v>5595</v>
      </c>
      <c r="V79" s="293" t="s">
        <v>145</v>
      </c>
      <c r="W79" s="293" t="s">
        <v>74</v>
      </c>
      <c r="X79" s="293" t="s">
        <v>656</v>
      </c>
      <c r="Z79" s="293" t="s">
        <v>5596</v>
      </c>
      <c r="AA79" s="293" t="s">
        <v>145</v>
      </c>
      <c r="AB79" s="293" t="s">
        <v>74</v>
      </c>
      <c r="AC79" s="293" t="s">
        <v>656</v>
      </c>
      <c r="AE79" s="293" t="s">
        <v>5597</v>
      </c>
      <c r="AF79" s="293" t="s">
        <v>145</v>
      </c>
      <c r="AG79" s="293" t="s">
        <v>74</v>
      </c>
      <c r="AH79" s="293" t="s">
        <v>656</v>
      </c>
      <c r="AJ79" s="293" t="s">
        <v>5598</v>
      </c>
      <c r="AK79" s="293" t="s">
        <v>145</v>
      </c>
      <c r="AL79" s="293" t="s">
        <v>74</v>
      </c>
      <c r="AM79" s="293" t="s">
        <v>656</v>
      </c>
      <c r="AO79" s="22" t="s">
        <v>5599</v>
      </c>
      <c r="AP79" s="22" t="s">
        <v>145</v>
      </c>
      <c r="AQ79" s="22" t="s">
        <v>70</v>
      </c>
      <c r="AR79" s="22" t="s">
        <v>67</v>
      </c>
      <c r="AT79" s="22" t="s">
        <v>5600</v>
      </c>
      <c r="AU79" s="22" t="s">
        <v>145</v>
      </c>
      <c r="AV79" s="22" t="s">
        <v>70</v>
      </c>
      <c r="AW79" s="22" t="s">
        <v>67</v>
      </c>
      <c r="AY79" s="22" t="s">
        <v>5601</v>
      </c>
      <c r="AZ79" s="22" t="s">
        <v>145</v>
      </c>
      <c r="BA79" s="22" t="s">
        <v>70</v>
      </c>
      <c r="BB79" s="22" t="s">
        <v>67</v>
      </c>
      <c r="BD79" s="22" t="s">
        <v>5602</v>
      </c>
      <c r="BE79" s="22" t="s">
        <v>145</v>
      </c>
      <c r="BF79" s="22" t="s">
        <v>70</v>
      </c>
      <c r="BG79" s="22" t="s">
        <v>67</v>
      </c>
      <c r="BI79" s="22" t="s">
        <v>5603</v>
      </c>
      <c r="BJ79" s="22" t="s">
        <v>145</v>
      </c>
      <c r="BK79" s="22" t="s">
        <v>70</v>
      </c>
      <c r="BL79" s="22" t="s">
        <v>67</v>
      </c>
      <c r="BN79" s="22" t="s">
        <v>5604</v>
      </c>
      <c r="BO79" s="22" t="s">
        <v>145</v>
      </c>
      <c r="BP79" s="22" t="s">
        <v>70</v>
      </c>
      <c r="BQ79" s="22" t="s">
        <v>67</v>
      </c>
      <c r="BS79" s="22" t="s">
        <v>5605</v>
      </c>
      <c r="BT79" s="22" t="s">
        <v>145</v>
      </c>
      <c r="BU79" s="22" t="s">
        <v>70</v>
      </c>
      <c r="BV79" s="214" t="s">
        <v>530</v>
      </c>
      <c r="BX79" s="22" t="s">
        <v>5606</v>
      </c>
      <c r="BY79" s="22" t="s">
        <v>145</v>
      </c>
      <c r="BZ79" s="22" t="s">
        <v>70</v>
      </c>
      <c r="CA79" s="214" t="s">
        <v>530</v>
      </c>
      <c r="CC79" s="214" t="s">
        <v>5607</v>
      </c>
      <c r="CD79" s="348" t="s">
        <v>601</v>
      </c>
      <c r="CE79" s="214" t="s">
        <v>70</v>
      </c>
      <c r="CF79" s="214" t="s">
        <v>374</v>
      </c>
      <c r="CH79" s="214" t="s">
        <v>5608</v>
      </c>
      <c r="CI79" s="214" t="s">
        <v>950</v>
      </c>
      <c r="CJ79" s="214" t="s">
        <v>70</v>
      </c>
      <c r="CK79" s="214" t="s">
        <v>530</v>
      </c>
      <c r="CM79" s="214" t="s">
        <v>5609</v>
      </c>
      <c r="CN79" s="214" t="s">
        <v>484</v>
      </c>
      <c r="CO79" s="214" t="s">
        <v>70</v>
      </c>
      <c r="CP79" s="214" t="s">
        <v>530</v>
      </c>
      <c r="CR79" s="214" t="s">
        <v>5610</v>
      </c>
      <c r="CS79" s="214" t="s">
        <v>34569</v>
      </c>
      <c r="CT79" s="214" t="s">
        <v>70</v>
      </c>
      <c r="CU79" s="214" t="s">
        <v>530</v>
      </c>
      <c r="CW79" s="214" t="s">
        <v>5611</v>
      </c>
      <c r="CX79" s="214" t="s">
        <v>34540</v>
      </c>
      <c r="CY79" s="214" t="s">
        <v>70</v>
      </c>
      <c r="CZ79" s="214" t="s">
        <v>530</v>
      </c>
      <c r="DB79" s="214" t="s">
        <v>5612</v>
      </c>
      <c r="DC79" s="214" t="s">
        <v>488</v>
      </c>
      <c r="DD79" s="214" t="s">
        <v>70</v>
      </c>
      <c r="DE79" s="214" t="s">
        <v>530</v>
      </c>
      <c r="DG79" s="214" t="s">
        <v>5613</v>
      </c>
      <c r="DH79" s="214" t="s">
        <v>52</v>
      </c>
      <c r="DI79" s="214" t="s">
        <v>70</v>
      </c>
      <c r="DJ79" s="214" t="s">
        <v>530</v>
      </c>
      <c r="DL79" s="214" t="s">
        <v>5614</v>
      </c>
      <c r="DM79" s="214" t="s">
        <v>485</v>
      </c>
      <c r="DN79" s="214" t="s">
        <v>70</v>
      </c>
      <c r="DO79" s="214" t="s">
        <v>530</v>
      </c>
      <c r="DQ79" s="214" t="s">
        <v>5615</v>
      </c>
      <c r="DR79" s="214" t="s">
        <v>485</v>
      </c>
      <c r="DS79" s="214" t="s">
        <v>70</v>
      </c>
      <c r="DT79" s="214" t="s">
        <v>530</v>
      </c>
      <c r="DV79" s="214" t="s">
        <v>5616</v>
      </c>
      <c r="DW79" s="214" t="s">
        <v>52</v>
      </c>
      <c r="DX79" s="214" t="s">
        <v>70</v>
      </c>
      <c r="DY79" s="214" t="s">
        <v>530</v>
      </c>
      <c r="EA79" s="214" t="s">
        <v>5617</v>
      </c>
      <c r="EB79" s="214" t="s">
        <v>145</v>
      </c>
      <c r="EC79" s="214" t="s">
        <v>70</v>
      </c>
      <c r="ED79" s="214" t="s">
        <v>530</v>
      </c>
      <c r="EF79" s="214" t="s">
        <v>5618</v>
      </c>
      <c r="EG79" s="214" t="s">
        <v>145</v>
      </c>
      <c r="EH79" s="214" t="s">
        <v>70</v>
      </c>
      <c r="EI79" s="214" t="s">
        <v>530</v>
      </c>
      <c r="EK79" s="214" t="s">
        <v>5619</v>
      </c>
      <c r="EL79" s="214" t="s">
        <v>485</v>
      </c>
      <c r="EM79" s="214" t="s">
        <v>70</v>
      </c>
      <c r="EN79" s="214" t="s">
        <v>530</v>
      </c>
      <c r="EP79" s="214" t="s">
        <v>5620</v>
      </c>
      <c r="EQ79" s="214" t="s">
        <v>487</v>
      </c>
      <c r="ER79" s="214" t="s">
        <v>70</v>
      </c>
      <c r="ES79" s="214" t="s">
        <v>530</v>
      </c>
      <c r="EU79" s="214" t="s">
        <v>5621</v>
      </c>
      <c r="EV79" s="214" t="s">
        <v>502</v>
      </c>
      <c r="EW79" s="214" t="s">
        <v>70</v>
      </c>
      <c r="EX79" s="214" t="s">
        <v>530</v>
      </c>
      <c r="EZ79" s="214" t="s">
        <v>5622</v>
      </c>
      <c r="FA79" s="214" t="s">
        <v>34549</v>
      </c>
      <c r="FB79" s="214" t="s">
        <v>70</v>
      </c>
      <c r="FC79" s="214" t="s">
        <v>530</v>
      </c>
      <c r="FE79" s="214" t="s">
        <v>5623</v>
      </c>
      <c r="FF79" s="214" t="s">
        <v>34542</v>
      </c>
      <c r="FG79" s="214" t="s">
        <v>70</v>
      </c>
      <c r="FH79" s="214" t="s">
        <v>530</v>
      </c>
      <c r="FJ79" s="321" t="s">
        <v>5624</v>
      </c>
      <c r="FK79" s="214" t="s">
        <v>34555</v>
      </c>
      <c r="FL79" s="214" t="s">
        <v>70</v>
      </c>
      <c r="FM79" s="214" t="s">
        <v>530</v>
      </c>
      <c r="FO79" s="321" t="s">
        <v>5625</v>
      </c>
      <c r="FP79" s="214" t="s">
        <v>484</v>
      </c>
      <c r="FQ79" s="214" t="s">
        <v>70</v>
      </c>
      <c r="FR79" s="214" t="s">
        <v>530</v>
      </c>
      <c r="FT79" s="321" t="s">
        <v>5626</v>
      </c>
      <c r="FU79" s="214" t="s">
        <v>915</v>
      </c>
      <c r="FV79" s="214" t="s">
        <v>70</v>
      </c>
      <c r="FW79" s="214" t="s">
        <v>530</v>
      </c>
      <c r="FY79" s="321" t="s">
        <v>5627</v>
      </c>
      <c r="FZ79" s="214" t="s">
        <v>206</v>
      </c>
      <c r="GA79" s="214" t="s">
        <v>70</v>
      </c>
      <c r="GB79" s="214" t="s">
        <v>530</v>
      </c>
      <c r="GD79" s="321" t="s">
        <v>5628</v>
      </c>
      <c r="GE79" s="214" t="s">
        <v>481</v>
      </c>
      <c r="GF79" s="214" t="s">
        <v>70</v>
      </c>
      <c r="GG79" s="214" t="s">
        <v>530</v>
      </c>
      <c r="GI79" s="321" t="s">
        <v>5629</v>
      </c>
      <c r="GJ79" s="214" t="s">
        <v>145</v>
      </c>
      <c r="GK79" s="214" t="s">
        <v>70</v>
      </c>
      <c r="GL79" s="214" t="s">
        <v>530</v>
      </c>
      <c r="GN79" s="321" t="s">
        <v>5630</v>
      </c>
      <c r="GO79" s="214" t="s">
        <v>203</v>
      </c>
      <c r="GP79" s="214" t="s">
        <v>70</v>
      </c>
      <c r="GQ79" s="214" t="s">
        <v>530</v>
      </c>
      <c r="GS79" s="321" t="s">
        <v>5631</v>
      </c>
      <c r="GT79" s="214" t="s">
        <v>34541</v>
      </c>
      <c r="GU79" s="214" t="s">
        <v>70</v>
      </c>
      <c r="GV79" s="214" t="s">
        <v>530</v>
      </c>
      <c r="GX79" s="214" t="s">
        <v>5632</v>
      </c>
      <c r="GY79" s="214" t="s">
        <v>484</v>
      </c>
      <c r="GZ79" s="214" t="s">
        <v>70</v>
      </c>
      <c r="HA79" s="214" t="s">
        <v>530</v>
      </c>
      <c r="HC79" s="214" t="s">
        <v>5633</v>
      </c>
      <c r="HD79" s="214" t="s">
        <v>926</v>
      </c>
      <c r="HE79" s="214" t="s">
        <v>70</v>
      </c>
      <c r="HF79" s="214" t="s">
        <v>530</v>
      </c>
      <c r="HH79" s="214" t="s">
        <v>5634</v>
      </c>
      <c r="HI79" s="214" t="s">
        <v>34551</v>
      </c>
      <c r="HJ79" s="214" t="s">
        <v>70</v>
      </c>
      <c r="HK79" s="214" t="s">
        <v>530</v>
      </c>
      <c r="HM79" s="214" t="s">
        <v>5635</v>
      </c>
      <c r="HN79" s="214" t="s">
        <v>52</v>
      </c>
      <c r="HO79" s="214" t="s">
        <v>70</v>
      </c>
      <c r="HP79" s="214" t="s">
        <v>530</v>
      </c>
      <c r="HR79" s="22" t="s">
        <v>5636</v>
      </c>
      <c r="HS79" s="22" t="s">
        <v>34558</v>
      </c>
      <c r="HT79" s="22" t="s">
        <v>70</v>
      </c>
      <c r="HU79" s="214" t="s">
        <v>530</v>
      </c>
      <c r="HW79" s="22" t="s">
        <v>5637</v>
      </c>
      <c r="HX79" s="22" t="s">
        <v>921</v>
      </c>
      <c r="HY79" s="22" t="s">
        <v>70</v>
      </c>
      <c r="HZ79" s="214" t="s">
        <v>530</v>
      </c>
      <c r="IB79" s="22" t="s">
        <v>5638</v>
      </c>
      <c r="IC79" s="22" t="s">
        <v>798</v>
      </c>
      <c r="ID79" s="22" t="s">
        <v>70</v>
      </c>
      <c r="IE79" s="214" t="s">
        <v>530</v>
      </c>
      <c r="IG79" s="22" t="s">
        <v>5639</v>
      </c>
      <c r="IH79" s="22" t="s">
        <v>52</v>
      </c>
      <c r="II79" s="22" t="s">
        <v>70</v>
      </c>
      <c r="IJ79" s="214" t="s">
        <v>530</v>
      </c>
      <c r="IL79" s="22" t="s">
        <v>5640</v>
      </c>
      <c r="IM79" s="22" t="s">
        <v>145</v>
      </c>
      <c r="IN79" s="22" t="s">
        <v>70</v>
      </c>
      <c r="IO79" s="214" t="s">
        <v>530</v>
      </c>
      <c r="IQ79" s="236" t="s">
        <v>5641</v>
      </c>
      <c r="IR79" s="236" t="s">
        <v>145</v>
      </c>
      <c r="IS79" s="236" t="s">
        <v>74</v>
      </c>
      <c r="IT79" s="236" t="s">
        <v>841</v>
      </c>
      <c r="IV79" s="236" t="s">
        <v>5642</v>
      </c>
      <c r="IW79" s="236" t="s">
        <v>145</v>
      </c>
      <c r="IX79" s="236" t="s">
        <v>74</v>
      </c>
      <c r="IY79" s="236" t="s">
        <v>841</v>
      </c>
      <c r="JA79" s="236" t="s">
        <v>5644</v>
      </c>
      <c r="JB79" s="236" t="s">
        <v>145</v>
      </c>
      <c r="JC79" s="236" t="s">
        <v>74</v>
      </c>
      <c r="JD79" s="236" t="s">
        <v>841</v>
      </c>
      <c r="JF79" s="236" t="s">
        <v>5645</v>
      </c>
      <c r="JG79" s="236" t="s">
        <v>145</v>
      </c>
      <c r="JH79" s="236" t="s">
        <v>74</v>
      </c>
      <c r="JI79" s="236" t="s">
        <v>841</v>
      </c>
      <c r="JK79" s="236" t="s">
        <v>5646</v>
      </c>
      <c r="JL79" s="236" t="s">
        <v>145</v>
      </c>
      <c r="JM79" s="236" t="s">
        <v>74</v>
      </c>
      <c r="JN79" s="236" t="s">
        <v>841</v>
      </c>
      <c r="JP79" s="236" t="s">
        <v>5647</v>
      </c>
      <c r="JQ79" s="236" t="s">
        <v>145</v>
      </c>
      <c r="JR79" s="236" t="s">
        <v>74</v>
      </c>
      <c r="JS79" s="236" t="s">
        <v>841</v>
      </c>
      <c r="JU79" s="294" t="s">
        <v>5648</v>
      </c>
      <c r="JV79" s="294" t="str">
        <f>TVIIBE1M_CalPairs!$R88</f>
        <v>0xFF</v>
      </c>
      <c r="JW79" s="263" t="s">
        <v>70</v>
      </c>
      <c r="JX79" s="294" t="str">
        <f>TVIIBE1M_CalPairs!$Q88</f>
        <v>PPU6_MS_CONFIG</v>
      </c>
      <c r="JZ79" s="263" t="s">
        <v>5649</v>
      </c>
      <c r="KA79" s="263" t="s">
        <v>145</v>
      </c>
      <c r="KB79" s="263" t="s">
        <v>70</v>
      </c>
      <c r="KC79" s="263" t="s">
        <v>1083</v>
      </c>
      <c r="KE79" s="263" t="s">
        <v>5650</v>
      </c>
      <c r="KF79" s="263" t="s">
        <v>52</v>
      </c>
      <c r="KG79" s="263" t="s">
        <v>70</v>
      </c>
      <c r="KH79" s="263" t="s">
        <v>1083</v>
      </c>
      <c r="KJ79" s="263" t="s">
        <v>5651</v>
      </c>
      <c r="KK79" s="263" t="s">
        <v>52</v>
      </c>
      <c r="KL79" s="263" t="s">
        <v>74</v>
      </c>
      <c r="KM79" s="263" t="s">
        <v>34074</v>
      </c>
      <c r="KO79" s="214" t="s">
        <v>5652</v>
      </c>
      <c r="KP79" s="214" t="s">
        <v>145</v>
      </c>
      <c r="KQ79" s="214" t="s">
        <v>70</v>
      </c>
      <c r="KR79" s="214" t="s">
        <v>67</v>
      </c>
      <c r="KT79" s="22" t="s">
        <v>5653</v>
      </c>
      <c r="KU79" s="22" t="s">
        <v>145</v>
      </c>
      <c r="KV79" s="22" t="s">
        <v>70</v>
      </c>
      <c r="KW79" s="22" t="s">
        <v>67</v>
      </c>
      <c r="KY79" s="214" t="s">
        <v>5654</v>
      </c>
      <c r="KZ79" s="214" t="s">
        <v>52</v>
      </c>
      <c r="LA79" s="214" t="s">
        <v>74</v>
      </c>
      <c r="LB79" s="214" t="s">
        <v>67</v>
      </c>
      <c r="LD79" s="22" t="s">
        <v>5655</v>
      </c>
      <c r="LE79" s="22" t="s">
        <v>145</v>
      </c>
      <c r="LF79" s="22" t="s">
        <v>70</v>
      </c>
      <c r="LG79" s="22" t="s">
        <v>67</v>
      </c>
    </row>
    <row r="80" spans="1:319">
      <c r="A80" s="22" t="s">
        <v>5656</v>
      </c>
      <c r="B80" s="22" t="s">
        <v>145</v>
      </c>
      <c r="C80" s="22" t="s">
        <v>70</v>
      </c>
      <c r="D80" s="22" t="s">
        <v>67</v>
      </c>
      <c r="F80" s="23" t="s">
        <v>5657</v>
      </c>
      <c r="G80" s="23" t="str">
        <f>TVIIBE1M_CalPairs!$E77</f>
        <v>0x3A</v>
      </c>
      <c r="H80" s="23" t="s">
        <v>70</v>
      </c>
      <c r="I80" s="23" t="str">
        <f>TVIIBE1M_CalPairs!$C77</f>
        <v>SRSS2_CMD</v>
      </c>
      <c r="K80" s="22" t="s">
        <v>5658</v>
      </c>
      <c r="L80" s="22" t="s">
        <v>145</v>
      </c>
      <c r="M80" s="22" t="s">
        <v>70</v>
      </c>
      <c r="N80" s="22" t="s">
        <v>67</v>
      </c>
      <c r="P80" s="394" t="s">
        <v>5659</v>
      </c>
      <c r="Q80" s="394" t="s">
        <v>145</v>
      </c>
      <c r="R80" s="394" t="s">
        <v>72</v>
      </c>
      <c r="S80" s="394" t="s">
        <v>34089</v>
      </c>
      <c r="U80" s="293" t="s">
        <v>5660</v>
      </c>
      <c r="V80" s="293" t="s">
        <v>145</v>
      </c>
      <c r="W80" s="293" t="s">
        <v>74</v>
      </c>
      <c r="X80" s="293" t="s">
        <v>656</v>
      </c>
      <c r="Z80" s="293" t="s">
        <v>5661</v>
      </c>
      <c r="AA80" s="293" t="s">
        <v>145</v>
      </c>
      <c r="AB80" s="293" t="s">
        <v>74</v>
      </c>
      <c r="AC80" s="293" t="s">
        <v>656</v>
      </c>
      <c r="AE80" s="293" t="s">
        <v>5662</v>
      </c>
      <c r="AF80" s="293" t="s">
        <v>145</v>
      </c>
      <c r="AG80" s="293" t="s">
        <v>74</v>
      </c>
      <c r="AH80" s="293" t="s">
        <v>656</v>
      </c>
      <c r="AJ80" s="293" t="s">
        <v>5663</v>
      </c>
      <c r="AK80" s="293" t="s">
        <v>145</v>
      </c>
      <c r="AL80" s="293" t="s">
        <v>74</v>
      </c>
      <c r="AM80" s="293" t="s">
        <v>656</v>
      </c>
      <c r="AO80" s="22" t="s">
        <v>5664</v>
      </c>
      <c r="AP80" s="22" t="s">
        <v>145</v>
      </c>
      <c r="AQ80" s="22" t="s">
        <v>70</v>
      </c>
      <c r="AR80" s="22" t="s">
        <v>67</v>
      </c>
      <c r="AT80" s="22" t="s">
        <v>5665</v>
      </c>
      <c r="AU80" s="22" t="s">
        <v>145</v>
      </c>
      <c r="AV80" s="22" t="s">
        <v>70</v>
      </c>
      <c r="AW80" s="22" t="s">
        <v>67</v>
      </c>
      <c r="AY80" s="22" t="s">
        <v>5666</v>
      </c>
      <c r="AZ80" s="22" t="s">
        <v>145</v>
      </c>
      <c r="BA80" s="22" t="s">
        <v>70</v>
      </c>
      <c r="BB80" s="22" t="s">
        <v>67</v>
      </c>
      <c r="BD80" s="22" t="s">
        <v>5667</v>
      </c>
      <c r="BE80" s="22" t="s">
        <v>145</v>
      </c>
      <c r="BF80" s="22" t="s">
        <v>70</v>
      </c>
      <c r="BG80" s="22" t="s">
        <v>67</v>
      </c>
      <c r="BI80" s="22" t="s">
        <v>5668</v>
      </c>
      <c r="BJ80" s="22" t="s">
        <v>145</v>
      </c>
      <c r="BK80" s="22" t="s">
        <v>70</v>
      </c>
      <c r="BL80" s="22" t="s">
        <v>67</v>
      </c>
      <c r="BN80" s="22" t="s">
        <v>5669</v>
      </c>
      <c r="BO80" s="22" t="s">
        <v>145</v>
      </c>
      <c r="BP80" s="22" t="s">
        <v>70</v>
      </c>
      <c r="BQ80" s="22" t="s">
        <v>67</v>
      </c>
      <c r="BS80" s="22" t="s">
        <v>5670</v>
      </c>
      <c r="BT80" s="22" t="s">
        <v>145</v>
      </c>
      <c r="BU80" s="22" t="s">
        <v>70</v>
      </c>
      <c r="BV80" s="214" t="s">
        <v>530</v>
      </c>
      <c r="BX80" s="22" t="s">
        <v>5671</v>
      </c>
      <c r="BY80" s="22" t="s">
        <v>145</v>
      </c>
      <c r="BZ80" s="22" t="s">
        <v>70</v>
      </c>
      <c r="CA80" s="214" t="s">
        <v>530</v>
      </c>
      <c r="CC80" s="214" t="s">
        <v>5672</v>
      </c>
      <c r="CD80" s="349" t="s">
        <v>948</v>
      </c>
      <c r="CE80" s="214" t="s">
        <v>70</v>
      </c>
      <c r="CF80" s="214" t="s">
        <v>375</v>
      </c>
      <c r="CH80" s="214" t="s">
        <v>5673</v>
      </c>
      <c r="CI80" s="214" t="s">
        <v>485</v>
      </c>
      <c r="CJ80" s="214" t="s">
        <v>70</v>
      </c>
      <c r="CK80" s="214" t="s">
        <v>530</v>
      </c>
      <c r="CM80" s="214" t="s">
        <v>5674</v>
      </c>
      <c r="CN80" s="214" t="s">
        <v>103</v>
      </c>
      <c r="CO80" s="214" t="s">
        <v>70</v>
      </c>
      <c r="CP80" s="214" t="s">
        <v>530</v>
      </c>
      <c r="CR80" s="214" t="s">
        <v>5675</v>
      </c>
      <c r="CS80" s="214" t="s">
        <v>34545</v>
      </c>
      <c r="CT80" s="214" t="s">
        <v>70</v>
      </c>
      <c r="CU80" s="214" t="s">
        <v>530</v>
      </c>
      <c r="CW80" s="214" t="s">
        <v>5676</v>
      </c>
      <c r="CX80" s="214" t="s">
        <v>34545</v>
      </c>
      <c r="CY80" s="214" t="s">
        <v>70</v>
      </c>
      <c r="CZ80" s="214" t="s">
        <v>530</v>
      </c>
      <c r="DB80" s="214" t="s">
        <v>5677</v>
      </c>
      <c r="DC80" s="214" t="s">
        <v>468</v>
      </c>
      <c r="DD80" s="214" t="s">
        <v>70</v>
      </c>
      <c r="DE80" s="214" t="s">
        <v>530</v>
      </c>
      <c r="DG80" s="214" t="s">
        <v>5678</v>
      </c>
      <c r="DH80" s="214" t="s">
        <v>490</v>
      </c>
      <c r="DI80" s="214" t="s">
        <v>70</v>
      </c>
      <c r="DJ80" s="214" t="s">
        <v>530</v>
      </c>
      <c r="DL80" s="214" t="s">
        <v>5679</v>
      </c>
      <c r="DM80" s="214" t="s">
        <v>34545</v>
      </c>
      <c r="DN80" s="214" t="s">
        <v>70</v>
      </c>
      <c r="DO80" s="214" t="s">
        <v>530</v>
      </c>
      <c r="DQ80" s="214" t="s">
        <v>5680</v>
      </c>
      <c r="DR80" s="214" t="s">
        <v>467</v>
      </c>
      <c r="DS80" s="214" t="s">
        <v>70</v>
      </c>
      <c r="DT80" s="214" t="s">
        <v>530</v>
      </c>
      <c r="DV80" s="214" t="s">
        <v>5681</v>
      </c>
      <c r="DW80" s="214" t="s">
        <v>52</v>
      </c>
      <c r="DX80" s="214" t="s">
        <v>70</v>
      </c>
      <c r="DY80" s="214" t="s">
        <v>530</v>
      </c>
      <c r="EA80" s="214" t="s">
        <v>5682</v>
      </c>
      <c r="EB80" s="214" t="s">
        <v>164</v>
      </c>
      <c r="EC80" s="214" t="s">
        <v>70</v>
      </c>
      <c r="ED80" s="214" t="s">
        <v>530</v>
      </c>
      <c r="EF80" s="214" t="s">
        <v>5683</v>
      </c>
      <c r="EG80" s="214" t="s">
        <v>92</v>
      </c>
      <c r="EH80" s="214" t="s">
        <v>70</v>
      </c>
      <c r="EI80" s="214" t="s">
        <v>530</v>
      </c>
      <c r="EK80" s="214" t="s">
        <v>5684</v>
      </c>
      <c r="EL80" s="214" t="s">
        <v>34610</v>
      </c>
      <c r="EM80" s="214" t="s">
        <v>70</v>
      </c>
      <c r="EN80" s="214" t="s">
        <v>530</v>
      </c>
      <c r="EP80" s="214" t="s">
        <v>5685</v>
      </c>
      <c r="EQ80" s="214" t="s">
        <v>164</v>
      </c>
      <c r="ER80" s="214" t="s">
        <v>70</v>
      </c>
      <c r="ES80" s="214" t="s">
        <v>530</v>
      </c>
      <c r="EU80" s="214" t="s">
        <v>5686</v>
      </c>
      <c r="EV80" s="214" t="s">
        <v>498</v>
      </c>
      <c r="EW80" s="214" t="s">
        <v>70</v>
      </c>
      <c r="EX80" s="214" t="s">
        <v>530</v>
      </c>
      <c r="EZ80" s="214" t="s">
        <v>5687</v>
      </c>
      <c r="FA80" s="214" t="s">
        <v>163</v>
      </c>
      <c r="FB80" s="214" t="s">
        <v>70</v>
      </c>
      <c r="FC80" s="214" t="s">
        <v>530</v>
      </c>
      <c r="FE80" s="214" t="s">
        <v>5688</v>
      </c>
      <c r="FF80" s="214" t="s">
        <v>52</v>
      </c>
      <c r="FG80" s="214" t="s">
        <v>70</v>
      </c>
      <c r="FH80" s="214" t="s">
        <v>530</v>
      </c>
      <c r="FJ80" s="321" t="s">
        <v>5689</v>
      </c>
      <c r="FK80" s="214" t="s">
        <v>34637</v>
      </c>
      <c r="FL80" s="214" t="s">
        <v>70</v>
      </c>
      <c r="FM80" s="214" t="s">
        <v>530</v>
      </c>
      <c r="FO80" s="321" t="s">
        <v>5690</v>
      </c>
      <c r="FP80" s="214" t="s">
        <v>940</v>
      </c>
      <c r="FQ80" s="214" t="s">
        <v>70</v>
      </c>
      <c r="FR80" s="214" t="s">
        <v>530</v>
      </c>
      <c r="FT80" s="321" t="s">
        <v>5691</v>
      </c>
      <c r="FU80" s="214" t="s">
        <v>163</v>
      </c>
      <c r="FV80" s="214" t="s">
        <v>70</v>
      </c>
      <c r="FW80" s="214" t="s">
        <v>530</v>
      </c>
      <c r="FY80" s="321" t="s">
        <v>5692</v>
      </c>
      <c r="FZ80" s="214" t="s">
        <v>286</v>
      </c>
      <c r="GA80" s="214" t="s">
        <v>70</v>
      </c>
      <c r="GB80" s="214" t="s">
        <v>530</v>
      </c>
      <c r="GD80" s="321" t="s">
        <v>5693</v>
      </c>
      <c r="GE80" s="214" t="s">
        <v>484</v>
      </c>
      <c r="GF80" s="214" t="s">
        <v>70</v>
      </c>
      <c r="GG80" s="214" t="s">
        <v>530</v>
      </c>
      <c r="GI80" s="321" t="s">
        <v>5694</v>
      </c>
      <c r="GJ80" s="214" t="s">
        <v>87</v>
      </c>
      <c r="GK80" s="214" t="s">
        <v>70</v>
      </c>
      <c r="GL80" s="214" t="s">
        <v>530</v>
      </c>
      <c r="GN80" s="321" t="s">
        <v>5695</v>
      </c>
      <c r="GO80" s="214" t="s">
        <v>34593</v>
      </c>
      <c r="GP80" s="214" t="s">
        <v>70</v>
      </c>
      <c r="GQ80" s="214" t="s">
        <v>530</v>
      </c>
      <c r="GS80" s="321" t="s">
        <v>5696</v>
      </c>
      <c r="GT80" s="214" t="s">
        <v>34640</v>
      </c>
      <c r="GU80" s="214" t="s">
        <v>70</v>
      </c>
      <c r="GV80" s="214" t="s">
        <v>530</v>
      </c>
      <c r="GX80" s="214" t="s">
        <v>5697</v>
      </c>
      <c r="GY80" s="214" t="s">
        <v>163</v>
      </c>
      <c r="GZ80" s="214" t="s">
        <v>70</v>
      </c>
      <c r="HA80" s="214" t="s">
        <v>530</v>
      </c>
      <c r="HC80" s="214" t="s">
        <v>5698</v>
      </c>
      <c r="HD80" s="214" t="s">
        <v>88</v>
      </c>
      <c r="HE80" s="214" t="s">
        <v>70</v>
      </c>
      <c r="HF80" s="214" t="s">
        <v>530</v>
      </c>
      <c r="HH80" s="214" t="s">
        <v>5699</v>
      </c>
      <c r="HI80" s="214" t="s">
        <v>34471</v>
      </c>
      <c r="HJ80" s="214" t="s">
        <v>70</v>
      </c>
      <c r="HK80" s="214" t="s">
        <v>530</v>
      </c>
      <c r="HM80" s="214" t="s">
        <v>5700</v>
      </c>
      <c r="HN80" s="214" t="s">
        <v>10541</v>
      </c>
      <c r="HO80" s="214" t="s">
        <v>70</v>
      </c>
      <c r="HP80" s="214" t="s">
        <v>530</v>
      </c>
      <c r="HR80" s="22" t="s">
        <v>5701</v>
      </c>
      <c r="HS80" s="22" t="s">
        <v>92</v>
      </c>
      <c r="HT80" s="22" t="s">
        <v>70</v>
      </c>
      <c r="HU80" s="214" t="s">
        <v>530</v>
      </c>
      <c r="HW80" s="22" t="s">
        <v>5702</v>
      </c>
      <c r="HX80" s="22" t="s">
        <v>164</v>
      </c>
      <c r="HY80" s="22" t="s">
        <v>70</v>
      </c>
      <c r="HZ80" s="214" t="s">
        <v>530</v>
      </c>
      <c r="IB80" s="22" t="s">
        <v>5703</v>
      </c>
      <c r="IC80" s="22" t="s">
        <v>501</v>
      </c>
      <c r="ID80" s="22" t="s">
        <v>70</v>
      </c>
      <c r="IE80" s="214" t="s">
        <v>530</v>
      </c>
      <c r="IG80" s="22" t="s">
        <v>5704</v>
      </c>
      <c r="IH80" s="22" t="s">
        <v>145</v>
      </c>
      <c r="II80" s="22" t="s">
        <v>70</v>
      </c>
      <c r="IJ80" s="214" t="s">
        <v>530</v>
      </c>
      <c r="IL80" s="22" t="s">
        <v>5705</v>
      </c>
      <c r="IM80" s="22" t="s">
        <v>145</v>
      </c>
      <c r="IN80" s="22" t="s">
        <v>70</v>
      </c>
      <c r="IO80" s="214" t="s">
        <v>530</v>
      </c>
      <c r="IQ80" s="236" t="s">
        <v>5706</v>
      </c>
      <c r="IR80" s="236" t="s">
        <v>145</v>
      </c>
      <c r="IS80" s="236" t="s">
        <v>74</v>
      </c>
      <c r="IT80" s="236" t="s">
        <v>841</v>
      </c>
      <c r="IV80" s="236" t="s">
        <v>5707</v>
      </c>
      <c r="IW80" s="236" t="s">
        <v>145</v>
      </c>
      <c r="IX80" s="236" t="s">
        <v>74</v>
      </c>
      <c r="IY80" s="236" t="s">
        <v>841</v>
      </c>
      <c r="JA80" s="236" t="s">
        <v>5709</v>
      </c>
      <c r="JB80" s="236" t="s">
        <v>145</v>
      </c>
      <c r="JC80" s="236" t="s">
        <v>74</v>
      </c>
      <c r="JD80" s="236" t="s">
        <v>841</v>
      </c>
      <c r="JF80" s="236" t="s">
        <v>5710</v>
      </c>
      <c r="JG80" s="236" t="s">
        <v>145</v>
      </c>
      <c r="JH80" s="236" t="s">
        <v>74</v>
      </c>
      <c r="JI80" s="236" t="s">
        <v>841</v>
      </c>
      <c r="JK80" s="236" t="s">
        <v>5711</v>
      </c>
      <c r="JL80" s="236" t="s">
        <v>145</v>
      </c>
      <c r="JM80" s="236" t="s">
        <v>74</v>
      </c>
      <c r="JN80" s="236" t="s">
        <v>841</v>
      </c>
      <c r="JP80" s="236" t="s">
        <v>5712</v>
      </c>
      <c r="JQ80" s="236" t="s">
        <v>145</v>
      </c>
      <c r="JR80" s="236" t="s">
        <v>74</v>
      </c>
      <c r="JS80" s="236" t="s">
        <v>841</v>
      </c>
      <c r="JU80" s="294" t="s">
        <v>5713</v>
      </c>
      <c r="JV80" s="294" t="str">
        <f>TVIIBE1M_CalPairs!$R89</f>
        <v>0x0B</v>
      </c>
      <c r="JW80" s="218" t="s">
        <v>72</v>
      </c>
      <c r="JX80" s="294" t="str">
        <f>TVIIBE1M_CalPairs!$S89</f>
        <v>CRYPTO_CRYPTO</v>
      </c>
      <c r="JZ80" s="263" t="s">
        <v>5714</v>
      </c>
      <c r="KA80" s="263" t="s">
        <v>145</v>
      </c>
      <c r="KB80" s="263" t="s">
        <v>70</v>
      </c>
      <c r="KC80" s="263" t="s">
        <v>1083</v>
      </c>
      <c r="KE80" s="263" t="s">
        <v>5715</v>
      </c>
      <c r="KF80" s="263" t="s">
        <v>52</v>
      </c>
      <c r="KG80" s="263" t="s">
        <v>70</v>
      </c>
      <c r="KH80" s="263" t="s">
        <v>1083</v>
      </c>
      <c r="KJ80" s="263" t="s">
        <v>5716</v>
      </c>
      <c r="KK80" s="263" t="s">
        <v>52</v>
      </c>
      <c r="KL80" s="263" t="s">
        <v>74</v>
      </c>
      <c r="KM80" s="263" t="s">
        <v>34074</v>
      </c>
      <c r="KO80" s="214" t="s">
        <v>5717</v>
      </c>
      <c r="KP80" s="214" t="s">
        <v>145</v>
      </c>
      <c r="KQ80" s="214" t="s">
        <v>70</v>
      </c>
      <c r="KR80" s="214" t="s">
        <v>67</v>
      </c>
      <c r="KT80" s="22" t="s">
        <v>5718</v>
      </c>
      <c r="KU80" s="22" t="s">
        <v>145</v>
      </c>
      <c r="KV80" s="22" t="s">
        <v>70</v>
      </c>
      <c r="KW80" s="22" t="s">
        <v>67</v>
      </c>
      <c r="KY80" s="214" t="s">
        <v>5719</v>
      </c>
      <c r="KZ80" s="214" t="s">
        <v>52</v>
      </c>
      <c r="LA80" s="214" t="s">
        <v>74</v>
      </c>
      <c r="LB80" s="214" t="s">
        <v>67</v>
      </c>
      <c r="LD80" s="22" t="s">
        <v>5720</v>
      </c>
      <c r="LE80" s="22" t="s">
        <v>145</v>
      </c>
      <c r="LF80" s="22" t="s">
        <v>70</v>
      </c>
      <c r="LG80" s="22" t="s">
        <v>67</v>
      </c>
    </row>
    <row r="81" spans="1:319">
      <c r="A81" s="22" t="s">
        <v>5721</v>
      </c>
      <c r="B81" s="22" t="s">
        <v>145</v>
      </c>
      <c r="C81" s="22" t="s">
        <v>70</v>
      </c>
      <c r="D81" s="22" t="s">
        <v>67</v>
      </c>
      <c r="F81" s="23" t="s">
        <v>5722</v>
      </c>
      <c r="G81" s="23" t="str">
        <f>TVIIBE1M_CalPairs!$E78</f>
        <v>0x9C</v>
      </c>
      <c r="H81" s="23" t="s">
        <v>70</v>
      </c>
      <c r="I81" s="23" t="str">
        <f>TVIIBE1M_CalPairs!$C78</f>
        <v>SRSS2_ADDR0</v>
      </c>
      <c r="K81" s="22" t="s">
        <v>5723</v>
      </c>
      <c r="L81" s="22" t="s">
        <v>145</v>
      </c>
      <c r="M81" s="22" t="s">
        <v>70</v>
      </c>
      <c r="N81" s="22" t="s">
        <v>67</v>
      </c>
      <c r="P81" s="394" t="s">
        <v>5724</v>
      </c>
      <c r="Q81" s="394" t="s">
        <v>145</v>
      </c>
      <c r="R81" s="394" t="s">
        <v>72</v>
      </c>
      <c r="S81" s="394" t="s">
        <v>34089</v>
      </c>
      <c r="U81" s="293" t="s">
        <v>5725</v>
      </c>
      <c r="V81" s="293" t="s">
        <v>145</v>
      </c>
      <c r="W81" s="293" t="s">
        <v>74</v>
      </c>
      <c r="X81" s="293" t="s">
        <v>656</v>
      </c>
      <c r="Z81" s="293" t="s">
        <v>5726</v>
      </c>
      <c r="AA81" s="293" t="s">
        <v>145</v>
      </c>
      <c r="AB81" s="293" t="s">
        <v>74</v>
      </c>
      <c r="AC81" s="293" t="s">
        <v>656</v>
      </c>
      <c r="AE81" s="293" t="s">
        <v>5727</v>
      </c>
      <c r="AF81" s="293" t="s">
        <v>145</v>
      </c>
      <c r="AG81" s="293" t="s">
        <v>74</v>
      </c>
      <c r="AH81" s="293" t="s">
        <v>656</v>
      </c>
      <c r="AJ81" s="293" t="s">
        <v>5728</v>
      </c>
      <c r="AK81" s="293" t="s">
        <v>145</v>
      </c>
      <c r="AL81" s="293" t="s">
        <v>74</v>
      </c>
      <c r="AM81" s="293" t="s">
        <v>656</v>
      </c>
      <c r="AO81" s="22" t="s">
        <v>5729</v>
      </c>
      <c r="AP81" s="22" t="s">
        <v>145</v>
      </c>
      <c r="AQ81" s="22" t="s">
        <v>70</v>
      </c>
      <c r="AR81" s="22" t="s">
        <v>67</v>
      </c>
      <c r="AT81" s="22" t="s">
        <v>5730</v>
      </c>
      <c r="AU81" s="22" t="s">
        <v>145</v>
      </c>
      <c r="AV81" s="22" t="s">
        <v>70</v>
      </c>
      <c r="AW81" s="22" t="s">
        <v>67</v>
      </c>
      <c r="AY81" s="22" t="s">
        <v>5731</v>
      </c>
      <c r="AZ81" s="22" t="s">
        <v>145</v>
      </c>
      <c r="BA81" s="22" t="s">
        <v>70</v>
      </c>
      <c r="BB81" s="22" t="s">
        <v>67</v>
      </c>
      <c r="BD81" s="22" t="s">
        <v>5732</v>
      </c>
      <c r="BE81" s="22" t="s">
        <v>145</v>
      </c>
      <c r="BF81" s="22" t="s">
        <v>70</v>
      </c>
      <c r="BG81" s="22" t="s">
        <v>67</v>
      </c>
      <c r="BI81" s="22" t="s">
        <v>5733</v>
      </c>
      <c r="BJ81" s="22" t="s">
        <v>145</v>
      </c>
      <c r="BK81" s="22" t="s">
        <v>70</v>
      </c>
      <c r="BL81" s="22" t="s">
        <v>67</v>
      </c>
      <c r="BN81" s="22" t="s">
        <v>5734</v>
      </c>
      <c r="BO81" s="22" t="s">
        <v>145</v>
      </c>
      <c r="BP81" s="22" t="s">
        <v>70</v>
      </c>
      <c r="BQ81" s="22" t="s">
        <v>67</v>
      </c>
      <c r="BS81" s="22" t="s">
        <v>5735</v>
      </c>
      <c r="BT81" s="22" t="s">
        <v>145</v>
      </c>
      <c r="BU81" s="22" t="s">
        <v>70</v>
      </c>
      <c r="BV81" s="214" t="s">
        <v>530</v>
      </c>
      <c r="BX81" s="22" t="s">
        <v>5736</v>
      </c>
      <c r="BY81" s="22" t="s">
        <v>145</v>
      </c>
      <c r="BZ81" s="22" t="s">
        <v>70</v>
      </c>
      <c r="CA81" s="214" t="s">
        <v>530</v>
      </c>
      <c r="CC81" s="214" t="s">
        <v>5737</v>
      </c>
      <c r="CD81" s="350" t="s">
        <v>926</v>
      </c>
      <c r="CE81" s="214" t="s">
        <v>70</v>
      </c>
      <c r="CF81" s="214" t="s">
        <v>376</v>
      </c>
      <c r="CH81" s="214" t="s">
        <v>5738</v>
      </c>
      <c r="CI81" s="214" t="s">
        <v>34558</v>
      </c>
      <c r="CJ81" s="214" t="s">
        <v>70</v>
      </c>
      <c r="CK81" s="214" t="s">
        <v>530</v>
      </c>
      <c r="CM81" s="214" t="s">
        <v>5739</v>
      </c>
      <c r="CN81" s="214" t="s">
        <v>910</v>
      </c>
      <c r="CO81" s="214" t="s">
        <v>70</v>
      </c>
      <c r="CP81" s="214" t="s">
        <v>530</v>
      </c>
      <c r="CR81" s="214" t="s">
        <v>5740</v>
      </c>
      <c r="CS81" s="214" t="s">
        <v>34551</v>
      </c>
      <c r="CT81" s="214" t="s">
        <v>70</v>
      </c>
      <c r="CU81" s="214" t="s">
        <v>530</v>
      </c>
      <c r="CW81" s="214" t="s">
        <v>5741</v>
      </c>
      <c r="CX81" s="214" t="s">
        <v>34551</v>
      </c>
      <c r="CY81" s="214" t="s">
        <v>70</v>
      </c>
      <c r="CZ81" s="214" t="s">
        <v>530</v>
      </c>
      <c r="DB81" s="214" t="s">
        <v>5742</v>
      </c>
      <c r="DC81" s="214" t="s">
        <v>484</v>
      </c>
      <c r="DD81" s="214" t="s">
        <v>70</v>
      </c>
      <c r="DE81" s="214" t="s">
        <v>530</v>
      </c>
      <c r="DG81" s="214" t="s">
        <v>5743</v>
      </c>
      <c r="DH81" s="214" t="s">
        <v>482</v>
      </c>
      <c r="DI81" s="214" t="s">
        <v>70</v>
      </c>
      <c r="DJ81" s="214" t="s">
        <v>530</v>
      </c>
      <c r="DL81" s="214" t="s">
        <v>5744</v>
      </c>
      <c r="DM81" s="214" t="s">
        <v>34551</v>
      </c>
      <c r="DN81" s="214" t="s">
        <v>70</v>
      </c>
      <c r="DO81" s="214" t="s">
        <v>530</v>
      </c>
      <c r="DQ81" s="214" t="s">
        <v>5745</v>
      </c>
      <c r="DR81" s="214" t="s">
        <v>34544</v>
      </c>
      <c r="DS81" s="214" t="s">
        <v>70</v>
      </c>
      <c r="DT81" s="214" t="s">
        <v>530</v>
      </c>
      <c r="DV81" s="214" t="s">
        <v>5746</v>
      </c>
      <c r="DW81" s="214" t="s">
        <v>955</v>
      </c>
      <c r="DX81" s="214" t="s">
        <v>70</v>
      </c>
      <c r="DY81" s="214" t="s">
        <v>530</v>
      </c>
      <c r="EA81" s="214" t="s">
        <v>5747</v>
      </c>
      <c r="EB81" s="214" t="s">
        <v>52</v>
      </c>
      <c r="EC81" s="214" t="s">
        <v>70</v>
      </c>
      <c r="ED81" s="214" t="s">
        <v>530</v>
      </c>
      <c r="EF81" s="214" t="s">
        <v>5748</v>
      </c>
      <c r="EG81" s="214" t="s">
        <v>482</v>
      </c>
      <c r="EH81" s="214" t="s">
        <v>70</v>
      </c>
      <c r="EI81" s="214" t="s">
        <v>530</v>
      </c>
      <c r="EK81" s="214" t="s">
        <v>5749</v>
      </c>
      <c r="EL81" s="214" t="s">
        <v>34542</v>
      </c>
      <c r="EM81" s="214" t="s">
        <v>70</v>
      </c>
      <c r="EN81" s="214" t="s">
        <v>530</v>
      </c>
      <c r="EP81" s="214" t="s">
        <v>5750</v>
      </c>
      <c r="EQ81" s="214" t="s">
        <v>468</v>
      </c>
      <c r="ER81" s="214" t="s">
        <v>70</v>
      </c>
      <c r="ES81" s="214" t="s">
        <v>530</v>
      </c>
      <c r="EU81" s="214" t="s">
        <v>5751</v>
      </c>
      <c r="EV81" s="214" t="s">
        <v>488</v>
      </c>
      <c r="EW81" s="214" t="s">
        <v>70</v>
      </c>
      <c r="EX81" s="214" t="s">
        <v>530</v>
      </c>
      <c r="EZ81" s="214" t="s">
        <v>5752</v>
      </c>
      <c r="FA81" s="214" t="s">
        <v>531</v>
      </c>
      <c r="FB81" s="214" t="s">
        <v>70</v>
      </c>
      <c r="FC81" s="214" t="s">
        <v>530</v>
      </c>
      <c r="FE81" s="214" t="s">
        <v>5753</v>
      </c>
      <c r="FF81" s="214" t="s">
        <v>502</v>
      </c>
      <c r="FG81" s="214" t="s">
        <v>70</v>
      </c>
      <c r="FH81" s="214" t="s">
        <v>530</v>
      </c>
      <c r="FJ81" s="321" t="s">
        <v>5754</v>
      </c>
      <c r="FK81" s="214" t="s">
        <v>93</v>
      </c>
      <c r="FL81" s="214" t="s">
        <v>70</v>
      </c>
      <c r="FM81" s="214" t="s">
        <v>530</v>
      </c>
      <c r="FO81" s="321" t="s">
        <v>5755</v>
      </c>
      <c r="FP81" s="214" t="s">
        <v>492</v>
      </c>
      <c r="FQ81" s="214" t="s">
        <v>70</v>
      </c>
      <c r="FR81" s="214" t="s">
        <v>530</v>
      </c>
      <c r="FT81" s="321" t="s">
        <v>5756</v>
      </c>
      <c r="FU81" s="214" t="s">
        <v>52</v>
      </c>
      <c r="FV81" s="214" t="s">
        <v>70</v>
      </c>
      <c r="FW81" s="214" t="s">
        <v>530</v>
      </c>
      <c r="FY81" s="321" t="s">
        <v>5757</v>
      </c>
      <c r="FZ81" s="214" t="s">
        <v>481</v>
      </c>
      <c r="GA81" s="214" t="s">
        <v>70</v>
      </c>
      <c r="GB81" s="214" t="s">
        <v>530</v>
      </c>
      <c r="GD81" s="321" t="s">
        <v>5758</v>
      </c>
      <c r="GE81" s="214" t="s">
        <v>926</v>
      </c>
      <c r="GF81" s="214" t="s">
        <v>70</v>
      </c>
      <c r="GG81" s="214" t="s">
        <v>530</v>
      </c>
      <c r="GI81" s="321" t="s">
        <v>5759</v>
      </c>
      <c r="GJ81" s="214" t="s">
        <v>52</v>
      </c>
      <c r="GK81" s="214" t="s">
        <v>70</v>
      </c>
      <c r="GL81" s="214" t="s">
        <v>530</v>
      </c>
      <c r="GN81" s="321" t="s">
        <v>5760</v>
      </c>
      <c r="GO81" s="214" t="s">
        <v>34545</v>
      </c>
      <c r="GP81" s="214" t="s">
        <v>70</v>
      </c>
      <c r="GQ81" s="214" t="s">
        <v>530</v>
      </c>
      <c r="GS81" s="321" t="s">
        <v>5761</v>
      </c>
      <c r="GT81" s="214" t="s">
        <v>145</v>
      </c>
      <c r="GU81" s="214" t="s">
        <v>70</v>
      </c>
      <c r="GV81" s="214" t="s">
        <v>530</v>
      </c>
      <c r="GX81" s="214" t="s">
        <v>5762</v>
      </c>
      <c r="GY81" s="214" t="s">
        <v>950</v>
      </c>
      <c r="GZ81" s="214" t="s">
        <v>70</v>
      </c>
      <c r="HA81" s="214" t="s">
        <v>530</v>
      </c>
      <c r="HC81" s="214" t="s">
        <v>5763</v>
      </c>
      <c r="HD81" s="214" t="s">
        <v>496</v>
      </c>
      <c r="HE81" s="214" t="s">
        <v>70</v>
      </c>
      <c r="HF81" s="214" t="s">
        <v>530</v>
      </c>
      <c r="HH81" s="214" t="s">
        <v>5764</v>
      </c>
      <c r="HI81" s="214" t="s">
        <v>502</v>
      </c>
      <c r="HJ81" s="214" t="s">
        <v>70</v>
      </c>
      <c r="HK81" s="214" t="s">
        <v>530</v>
      </c>
      <c r="HM81" s="214" t="s">
        <v>5765</v>
      </c>
      <c r="HN81" s="214" t="s">
        <v>52</v>
      </c>
      <c r="HO81" s="214" t="s">
        <v>70</v>
      </c>
      <c r="HP81" s="214" t="s">
        <v>530</v>
      </c>
      <c r="HR81" s="22" t="s">
        <v>5766</v>
      </c>
      <c r="HS81" s="22" t="s">
        <v>34536</v>
      </c>
      <c r="HT81" s="22" t="s">
        <v>70</v>
      </c>
      <c r="HU81" s="214" t="s">
        <v>530</v>
      </c>
      <c r="HW81" s="22" t="s">
        <v>5767</v>
      </c>
      <c r="HX81" s="22" t="s">
        <v>34544</v>
      </c>
      <c r="HY81" s="22" t="s">
        <v>70</v>
      </c>
      <c r="HZ81" s="214" t="s">
        <v>530</v>
      </c>
      <c r="IB81" s="22" t="s">
        <v>5768</v>
      </c>
      <c r="IC81" s="22" t="s">
        <v>34615</v>
      </c>
      <c r="ID81" s="22" t="s">
        <v>70</v>
      </c>
      <c r="IE81" s="214" t="s">
        <v>530</v>
      </c>
      <c r="IG81" s="22" t="s">
        <v>5769</v>
      </c>
      <c r="IH81" s="22" t="s">
        <v>145</v>
      </c>
      <c r="II81" s="22" t="s">
        <v>70</v>
      </c>
      <c r="IJ81" s="214" t="s">
        <v>530</v>
      </c>
      <c r="IL81" s="22" t="s">
        <v>5770</v>
      </c>
      <c r="IM81" s="22" t="s">
        <v>145</v>
      </c>
      <c r="IN81" s="22" t="s">
        <v>70</v>
      </c>
      <c r="IO81" s="214" t="s">
        <v>530</v>
      </c>
      <c r="IQ81" s="236" t="s">
        <v>5771</v>
      </c>
      <c r="IR81" s="236" t="s">
        <v>145</v>
      </c>
      <c r="IS81" s="236" t="s">
        <v>74</v>
      </c>
      <c r="IT81" s="236" t="s">
        <v>841</v>
      </c>
      <c r="IV81" s="236" t="s">
        <v>5772</v>
      </c>
      <c r="IW81" s="236" t="s">
        <v>145</v>
      </c>
      <c r="IX81" s="236" t="s">
        <v>74</v>
      </c>
      <c r="IY81" s="236" t="s">
        <v>841</v>
      </c>
      <c r="JA81" s="236" t="s">
        <v>5774</v>
      </c>
      <c r="JB81" s="236" t="s">
        <v>145</v>
      </c>
      <c r="JC81" s="236" t="s">
        <v>74</v>
      </c>
      <c r="JD81" s="236" t="s">
        <v>841</v>
      </c>
      <c r="JF81" s="236" t="s">
        <v>5775</v>
      </c>
      <c r="JG81" s="236" t="s">
        <v>145</v>
      </c>
      <c r="JH81" s="236" t="s">
        <v>74</v>
      </c>
      <c r="JI81" s="236" t="s">
        <v>841</v>
      </c>
      <c r="JK81" s="236" t="s">
        <v>5776</v>
      </c>
      <c r="JL81" s="236" t="s">
        <v>145</v>
      </c>
      <c r="JM81" s="236" t="s">
        <v>74</v>
      </c>
      <c r="JN81" s="236" t="s">
        <v>841</v>
      </c>
      <c r="JP81" s="236" t="s">
        <v>5777</v>
      </c>
      <c r="JQ81" s="236" t="s">
        <v>145</v>
      </c>
      <c r="JR81" s="236" t="s">
        <v>74</v>
      </c>
      <c r="JS81" s="236" t="s">
        <v>841</v>
      </c>
      <c r="JU81" s="294" t="s">
        <v>5778</v>
      </c>
      <c r="JV81" s="294" t="str">
        <f>TVIIBE1M_CalPairs!$R90</f>
        <v>0x00</v>
      </c>
      <c r="JW81" s="218" t="s">
        <v>72</v>
      </c>
      <c r="JX81" s="294" t="str">
        <f>TVIIBE1M_CalPairs!$S90</f>
        <v>CRYPTO_CRYPTO</v>
      </c>
      <c r="JZ81" s="263" t="s">
        <v>5779</v>
      </c>
      <c r="KA81" s="263" t="s">
        <v>145</v>
      </c>
      <c r="KB81" s="263" t="s">
        <v>70</v>
      </c>
      <c r="KC81" s="263" t="s">
        <v>1083</v>
      </c>
      <c r="KE81" s="263" t="s">
        <v>5780</v>
      </c>
      <c r="KF81" s="263" t="s">
        <v>52</v>
      </c>
      <c r="KG81" s="263" t="s">
        <v>70</v>
      </c>
      <c r="KH81" s="263" t="s">
        <v>1083</v>
      </c>
      <c r="KJ81" s="263" t="s">
        <v>5781</v>
      </c>
      <c r="KK81" s="263" t="s">
        <v>52</v>
      </c>
      <c r="KL81" s="263" t="s">
        <v>74</v>
      </c>
      <c r="KM81" s="263" t="s">
        <v>34074</v>
      </c>
      <c r="KO81" s="214" t="s">
        <v>5782</v>
      </c>
      <c r="KP81" s="214" t="s">
        <v>145</v>
      </c>
      <c r="KQ81" s="214" t="s">
        <v>70</v>
      </c>
      <c r="KR81" s="214" t="s">
        <v>67</v>
      </c>
      <c r="KT81" s="22" t="s">
        <v>5783</v>
      </c>
      <c r="KU81" s="22" t="s">
        <v>145</v>
      </c>
      <c r="KV81" s="22" t="s">
        <v>70</v>
      </c>
      <c r="KW81" s="22" t="s">
        <v>67</v>
      </c>
      <c r="KY81" s="214" t="s">
        <v>5784</v>
      </c>
      <c r="KZ81" s="214" t="s">
        <v>52</v>
      </c>
      <c r="LA81" s="214" t="s">
        <v>74</v>
      </c>
      <c r="LB81" s="214" t="s">
        <v>67</v>
      </c>
      <c r="LD81" s="22" t="s">
        <v>5785</v>
      </c>
      <c r="LE81" s="22" t="s">
        <v>145</v>
      </c>
      <c r="LF81" s="22" t="s">
        <v>70</v>
      </c>
      <c r="LG81" s="22" t="s">
        <v>67</v>
      </c>
    </row>
    <row r="82" spans="1:319">
      <c r="A82" s="22" t="s">
        <v>5786</v>
      </c>
      <c r="B82" s="22" t="s">
        <v>145</v>
      </c>
      <c r="C82" s="22" t="s">
        <v>70</v>
      </c>
      <c r="D82" s="22" t="s">
        <v>67</v>
      </c>
      <c r="F82" s="23" t="s">
        <v>5787</v>
      </c>
      <c r="G82" s="23" t="str">
        <f>TVIIBE1M_CalPairs!$E79</f>
        <v>0x11</v>
      </c>
      <c r="H82" s="23" t="s">
        <v>70</v>
      </c>
      <c r="I82" s="23" t="str">
        <f>TVIIBE1M_CalPairs!$C79</f>
        <v>SRSS2_ADDR1</v>
      </c>
      <c r="K82" s="22" t="s">
        <v>5788</v>
      </c>
      <c r="L82" s="22" t="s">
        <v>145</v>
      </c>
      <c r="M82" s="22" t="s">
        <v>70</v>
      </c>
      <c r="N82" s="22" t="s">
        <v>67</v>
      </c>
      <c r="P82" s="394" t="s">
        <v>5789</v>
      </c>
      <c r="Q82" s="394" t="s">
        <v>145</v>
      </c>
      <c r="R82" s="394" t="s">
        <v>72</v>
      </c>
      <c r="S82" s="394" t="s">
        <v>34090</v>
      </c>
      <c r="U82" s="293" t="s">
        <v>5790</v>
      </c>
      <c r="V82" s="293" t="s">
        <v>145</v>
      </c>
      <c r="W82" s="293" t="s">
        <v>74</v>
      </c>
      <c r="X82" s="293" t="s">
        <v>656</v>
      </c>
      <c r="Z82" s="293" t="s">
        <v>5791</v>
      </c>
      <c r="AA82" s="293" t="s">
        <v>145</v>
      </c>
      <c r="AB82" s="293" t="s">
        <v>74</v>
      </c>
      <c r="AC82" s="293" t="s">
        <v>656</v>
      </c>
      <c r="AE82" s="293" t="s">
        <v>5792</v>
      </c>
      <c r="AF82" s="293" t="s">
        <v>145</v>
      </c>
      <c r="AG82" s="293" t="s">
        <v>74</v>
      </c>
      <c r="AH82" s="293" t="s">
        <v>656</v>
      </c>
      <c r="AJ82" s="293" t="s">
        <v>5793</v>
      </c>
      <c r="AK82" s="293" t="s">
        <v>145</v>
      </c>
      <c r="AL82" s="293" t="s">
        <v>74</v>
      </c>
      <c r="AM82" s="293" t="s">
        <v>656</v>
      </c>
      <c r="AO82" s="22" t="s">
        <v>5794</v>
      </c>
      <c r="AP82" s="22" t="s">
        <v>145</v>
      </c>
      <c r="AQ82" s="22" t="s">
        <v>70</v>
      </c>
      <c r="AR82" s="22" t="s">
        <v>67</v>
      </c>
      <c r="AT82" s="22" t="s">
        <v>5795</v>
      </c>
      <c r="AU82" s="22" t="s">
        <v>145</v>
      </c>
      <c r="AV82" s="22" t="s">
        <v>70</v>
      </c>
      <c r="AW82" s="22" t="s">
        <v>67</v>
      </c>
      <c r="AY82" s="22" t="s">
        <v>5796</v>
      </c>
      <c r="AZ82" s="22" t="s">
        <v>145</v>
      </c>
      <c r="BA82" s="22" t="s">
        <v>70</v>
      </c>
      <c r="BB82" s="22" t="s">
        <v>67</v>
      </c>
      <c r="BD82" s="22" t="s">
        <v>5797</v>
      </c>
      <c r="BE82" s="22" t="s">
        <v>145</v>
      </c>
      <c r="BF82" s="22" t="s">
        <v>70</v>
      </c>
      <c r="BG82" s="22" t="s">
        <v>67</v>
      </c>
      <c r="BI82" s="22" t="s">
        <v>5798</v>
      </c>
      <c r="BJ82" s="22" t="s">
        <v>145</v>
      </c>
      <c r="BK82" s="22" t="s">
        <v>70</v>
      </c>
      <c r="BL82" s="22" t="s">
        <v>67</v>
      </c>
      <c r="BN82" s="22" t="s">
        <v>5799</v>
      </c>
      <c r="BO82" s="22" t="s">
        <v>145</v>
      </c>
      <c r="BP82" s="22" t="s">
        <v>70</v>
      </c>
      <c r="BQ82" s="22" t="s">
        <v>67</v>
      </c>
      <c r="BS82" s="22" t="s">
        <v>5800</v>
      </c>
      <c r="BT82" s="22" t="s">
        <v>145</v>
      </c>
      <c r="BU82" s="22" t="s">
        <v>70</v>
      </c>
      <c r="BV82" s="214" t="s">
        <v>530</v>
      </c>
      <c r="BX82" s="22" t="s">
        <v>5801</v>
      </c>
      <c r="BY82" s="22" t="s">
        <v>145</v>
      </c>
      <c r="BZ82" s="22" t="s">
        <v>70</v>
      </c>
      <c r="CA82" s="214" t="s">
        <v>530</v>
      </c>
      <c r="CC82" s="214" t="s">
        <v>5802</v>
      </c>
      <c r="CD82" s="218" t="s">
        <v>52</v>
      </c>
      <c r="CE82" s="214" t="s">
        <v>70</v>
      </c>
      <c r="CF82" s="214" t="s">
        <v>377</v>
      </c>
      <c r="CH82" s="214" t="s">
        <v>5803</v>
      </c>
      <c r="CI82" s="214" t="s">
        <v>34536</v>
      </c>
      <c r="CJ82" s="214" t="s">
        <v>70</v>
      </c>
      <c r="CK82" s="214" t="s">
        <v>530</v>
      </c>
      <c r="CM82" s="214" t="s">
        <v>5804</v>
      </c>
      <c r="CN82" s="214" t="s">
        <v>149</v>
      </c>
      <c r="CO82" s="214" t="s">
        <v>70</v>
      </c>
      <c r="CP82" s="214" t="s">
        <v>530</v>
      </c>
      <c r="CR82" s="214" t="s">
        <v>5805</v>
      </c>
      <c r="CS82" s="214" t="s">
        <v>34602</v>
      </c>
      <c r="CT82" s="214" t="s">
        <v>70</v>
      </c>
      <c r="CU82" s="214" t="s">
        <v>530</v>
      </c>
      <c r="CW82" s="214" t="s">
        <v>5806</v>
      </c>
      <c r="CX82" s="214" t="s">
        <v>34620</v>
      </c>
      <c r="CY82" s="214" t="s">
        <v>70</v>
      </c>
      <c r="CZ82" s="214" t="s">
        <v>530</v>
      </c>
      <c r="DB82" s="214" t="s">
        <v>5807</v>
      </c>
      <c r="DC82" s="214" t="s">
        <v>485</v>
      </c>
      <c r="DD82" s="214" t="s">
        <v>70</v>
      </c>
      <c r="DE82" s="214" t="s">
        <v>530</v>
      </c>
      <c r="DG82" s="214" t="s">
        <v>5808</v>
      </c>
      <c r="DH82" s="214" t="s">
        <v>34581</v>
      </c>
      <c r="DI82" s="214" t="s">
        <v>70</v>
      </c>
      <c r="DJ82" s="214" t="s">
        <v>530</v>
      </c>
      <c r="DL82" s="214" t="s">
        <v>5809</v>
      </c>
      <c r="DM82" s="214" t="s">
        <v>483</v>
      </c>
      <c r="DN82" s="214" t="s">
        <v>70</v>
      </c>
      <c r="DO82" s="214" t="s">
        <v>530</v>
      </c>
      <c r="DQ82" s="214" t="s">
        <v>5810</v>
      </c>
      <c r="DR82" s="214" t="s">
        <v>502</v>
      </c>
      <c r="DS82" s="214" t="s">
        <v>70</v>
      </c>
      <c r="DT82" s="214" t="s">
        <v>530</v>
      </c>
      <c r="DV82" s="214" t="s">
        <v>5811</v>
      </c>
      <c r="DW82" s="214" t="s">
        <v>34620</v>
      </c>
      <c r="DX82" s="214" t="s">
        <v>70</v>
      </c>
      <c r="DY82" s="214" t="s">
        <v>530</v>
      </c>
      <c r="EA82" s="214" t="s">
        <v>5812</v>
      </c>
      <c r="EB82" s="214" t="s">
        <v>90</v>
      </c>
      <c r="EC82" s="214" t="s">
        <v>70</v>
      </c>
      <c r="ED82" s="214" t="s">
        <v>530</v>
      </c>
      <c r="EF82" s="214" t="s">
        <v>5813</v>
      </c>
      <c r="EG82" s="214" t="s">
        <v>163</v>
      </c>
      <c r="EH82" s="214" t="s">
        <v>70</v>
      </c>
      <c r="EI82" s="214" t="s">
        <v>530</v>
      </c>
      <c r="EK82" s="214" t="s">
        <v>5814</v>
      </c>
      <c r="EL82" s="214" t="s">
        <v>88</v>
      </c>
      <c r="EM82" s="214" t="s">
        <v>70</v>
      </c>
      <c r="EN82" s="214" t="s">
        <v>530</v>
      </c>
      <c r="EP82" s="214" t="s">
        <v>5815</v>
      </c>
      <c r="EQ82" s="214" t="s">
        <v>52</v>
      </c>
      <c r="ER82" s="214" t="s">
        <v>70</v>
      </c>
      <c r="ES82" s="214" t="s">
        <v>530</v>
      </c>
      <c r="EU82" s="214" t="s">
        <v>5816</v>
      </c>
      <c r="EV82" s="214" t="s">
        <v>925</v>
      </c>
      <c r="EW82" s="214" t="s">
        <v>70</v>
      </c>
      <c r="EX82" s="214" t="s">
        <v>530</v>
      </c>
      <c r="EZ82" s="214" t="s">
        <v>5817</v>
      </c>
      <c r="FA82" s="214" t="s">
        <v>493</v>
      </c>
      <c r="FB82" s="214" t="s">
        <v>70</v>
      </c>
      <c r="FC82" s="214" t="s">
        <v>530</v>
      </c>
      <c r="FE82" s="214" t="s">
        <v>5818</v>
      </c>
      <c r="FF82" s="214" t="s">
        <v>90</v>
      </c>
      <c r="FG82" s="214" t="s">
        <v>70</v>
      </c>
      <c r="FH82" s="214" t="s">
        <v>530</v>
      </c>
      <c r="FJ82" s="321" t="s">
        <v>5819</v>
      </c>
      <c r="FK82" s="214" t="s">
        <v>34616</v>
      </c>
      <c r="FL82" s="214" t="s">
        <v>70</v>
      </c>
      <c r="FM82" s="214" t="s">
        <v>530</v>
      </c>
      <c r="FO82" s="321" t="s">
        <v>5820</v>
      </c>
      <c r="FP82" s="214" t="s">
        <v>148</v>
      </c>
      <c r="FQ82" s="214" t="s">
        <v>70</v>
      </c>
      <c r="FR82" s="214" t="s">
        <v>530</v>
      </c>
      <c r="FT82" s="321" t="s">
        <v>5821</v>
      </c>
      <c r="FU82" s="214" t="s">
        <v>34583</v>
      </c>
      <c r="FV82" s="214" t="s">
        <v>70</v>
      </c>
      <c r="FW82" s="214" t="s">
        <v>530</v>
      </c>
      <c r="FY82" s="321" t="s">
        <v>5822</v>
      </c>
      <c r="FZ82" s="214" t="s">
        <v>501</v>
      </c>
      <c r="GA82" s="214" t="s">
        <v>70</v>
      </c>
      <c r="GB82" s="214" t="s">
        <v>530</v>
      </c>
      <c r="GD82" s="321" t="s">
        <v>5823</v>
      </c>
      <c r="GE82" s="214" t="s">
        <v>34627</v>
      </c>
      <c r="GF82" s="214" t="s">
        <v>70</v>
      </c>
      <c r="GG82" s="214" t="s">
        <v>530</v>
      </c>
      <c r="GI82" s="321" t="s">
        <v>5824</v>
      </c>
      <c r="GJ82" s="214" t="s">
        <v>34583</v>
      </c>
      <c r="GK82" s="214" t="s">
        <v>70</v>
      </c>
      <c r="GL82" s="214" t="s">
        <v>530</v>
      </c>
      <c r="GN82" s="321" t="s">
        <v>5825</v>
      </c>
      <c r="GO82" s="214" t="s">
        <v>148</v>
      </c>
      <c r="GP82" s="214" t="s">
        <v>70</v>
      </c>
      <c r="GQ82" s="214" t="s">
        <v>530</v>
      </c>
      <c r="GS82" s="321" t="s">
        <v>5826</v>
      </c>
      <c r="GT82" s="214" t="s">
        <v>604</v>
      </c>
      <c r="GU82" s="214" t="s">
        <v>70</v>
      </c>
      <c r="GV82" s="214" t="s">
        <v>530</v>
      </c>
      <c r="GX82" s="214" t="s">
        <v>5827</v>
      </c>
      <c r="GY82" s="214" t="s">
        <v>52</v>
      </c>
      <c r="GZ82" s="214" t="s">
        <v>70</v>
      </c>
      <c r="HA82" s="214" t="s">
        <v>530</v>
      </c>
      <c r="HC82" s="214" t="s">
        <v>5828</v>
      </c>
      <c r="HD82" s="214" t="s">
        <v>52</v>
      </c>
      <c r="HE82" s="214" t="s">
        <v>70</v>
      </c>
      <c r="HF82" s="214" t="s">
        <v>530</v>
      </c>
      <c r="HH82" s="214" t="s">
        <v>5829</v>
      </c>
      <c r="HI82" s="214" t="s">
        <v>34560</v>
      </c>
      <c r="HJ82" s="214" t="s">
        <v>70</v>
      </c>
      <c r="HK82" s="214" t="s">
        <v>530</v>
      </c>
      <c r="HM82" s="214" t="s">
        <v>5830</v>
      </c>
      <c r="HN82" s="214" t="s">
        <v>34550</v>
      </c>
      <c r="HO82" s="214" t="s">
        <v>70</v>
      </c>
      <c r="HP82" s="214" t="s">
        <v>530</v>
      </c>
      <c r="HR82" s="22" t="s">
        <v>5831</v>
      </c>
      <c r="HS82" s="22" t="s">
        <v>919</v>
      </c>
      <c r="HT82" s="22" t="s">
        <v>70</v>
      </c>
      <c r="HU82" s="214" t="s">
        <v>530</v>
      </c>
      <c r="HW82" s="22" t="s">
        <v>5832</v>
      </c>
      <c r="HX82" s="22" t="s">
        <v>52</v>
      </c>
      <c r="HY82" s="22" t="s">
        <v>70</v>
      </c>
      <c r="HZ82" s="214" t="s">
        <v>530</v>
      </c>
      <c r="IB82" s="22" t="s">
        <v>5833</v>
      </c>
      <c r="IC82" s="22" t="s">
        <v>495</v>
      </c>
      <c r="ID82" s="22" t="s">
        <v>70</v>
      </c>
      <c r="IE82" s="214" t="s">
        <v>530</v>
      </c>
      <c r="IG82" s="22" t="s">
        <v>5834</v>
      </c>
      <c r="IH82" s="22" t="s">
        <v>145</v>
      </c>
      <c r="II82" s="22" t="s">
        <v>70</v>
      </c>
      <c r="IJ82" s="214" t="s">
        <v>530</v>
      </c>
      <c r="IL82" s="22" t="s">
        <v>5835</v>
      </c>
      <c r="IM82" s="22" t="s">
        <v>145</v>
      </c>
      <c r="IN82" s="22" t="s">
        <v>70</v>
      </c>
      <c r="IO82" s="214" t="s">
        <v>530</v>
      </c>
      <c r="IQ82" s="236" t="s">
        <v>5836</v>
      </c>
      <c r="IR82" s="236" t="s">
        <v>145</v>
      </c>
      <c r="IS82" s="236" t="s">
        <v>74</v>
      </c>
      <c r="IT82" s="236" t="s">
        <v>841</v>
      </c>
      <c r="IV82" s="236" t="s">
        <v>5837</v>
      </c>
      <c r="IW82" s="236" t="s">
        <v>145</v>
      </c>
      <c r="IX82" s="236" t="s">
        <v>74</v>
      </c>
      <c r="IY82" s="236" t="s">
        <v>841</v>
      </c>
      <c r="JA82" s="236" t="s">
        <v>5839</v>
      </c>
      <c r="JB82" s="236" t="s">
        <v>145</v>
      </c>
      <c r="JC82" s="236" t="s">
        <v>74</v>
      </c>
      <c r="JD82" s="236" t="s">
        <v>841</v>
      </c>
      <c r="JF82" s="236" t="s">
        <v>5840</v>
      </c>
      <c r="JG82" s="236" t="s">
        <v>145</v>
      </c>
      <c r="JH82" s="236" t="s">
        <v>74</v>
      </c>
      <c r="JI82" s="236" t="s">
        <v>841</v>
      </c>
      <c r="JK82" s="236" t="s">
        <v>5841</v>
      </c>
      <c r="JL82" s="236" t="s">
        <v>145</v>
      </c>
      <c r="JM82" s="236" t="s">
        <v>74</v>
      </c>
      <c r="JN82" s="236" t="s">
        <v>841</v>
      </c>
      <c r="JP82" s="236" t="s">
        <v>5842</v>
      </c>
      <c r="JQ82" s="236" t="s">
        <v>145</v>
      </c>
      <c r="JR82" s="236" t="s">
        <v>74</v>
      </c>
      <c r="JS82" s="236" t="s">
        <v>841</v>
      </c>
      <c r="JU82" s="294" t="s">
        <v>5843</v>
      </c>
      <c r="JV82" s="294" t="str">
        <f>TVIIBE1M_CalPairs!$R91</f>
        <v>0xFF</v>
      </c>
      <c r="JW82" s="263" t="s">
        <v>70</v>
      </c>
      <c r="JX82" s="294" t="str">
        <f>TVIIBE1M_CalPairs!$Q91</f>
        <v>PPU7_SL_CONFIG</v>
      </c>
      <c r="JZ82" s="263" t="s">
        <v>5844</v>
      </c>
      <c r="KA82" s="263" t="s">
        <v>145</v>
      </c>
      <c r="KB82" s="263" t="s">
        <v>70</v>
      </c>
      <c r="KC82" s="263" t="s">
        <v>1083</v>
      </c>
      <c r="KE82" s="263" t="s">
        <v>5845</v>
      </c>
      <c r="KF82" s="263" t="s">
        <v>52</v>
      </c>
      <c r="KG82" s="263" t="s">
        <v>70</v>
      </c>
      <c r="KH82" s="263" t="s">
        <v>1083</v>
      </c>
      <c r="KJ82" s="263" t="s">
        <v>5846</v>
      </c>
      <c r="KK82" s="263" t="s">
        <v>52</v>
      </c>
      <c r="KL82" s="263" t="s">
        <v>74</v>
      </c>
      <c r="KM82" s="263" t="s">
        <v>34074</v>
      </c>
      <c r="KO82" s="214" t="s">
        <v>5847</v>
      </c>
      <c r="KP82" s="214" t="s">
        <v>145</v>
      </c>
      <c r="KQ82" s="214" t="s">
        <v>70</v>
      </c>
      <c r="KR82" s="214" t="s">
        <v>67</v>
      </c>
      <c r="KT82" s="22" t="s">
        <v>5848</v>
      </c>
      <c r="KU82" s="22" t="s">
        <v>145</v>
      </c>
      <c r="KV82" s="22" t="s">
        <v>70</v>
      </c>
      <c r="KW82" s="22" t="s">
        <v>67</v>
      </c>
      <c r="KY82" s="214" t="s">
        <v>5849</v>
      </c>
      <c r="KZ82" s="214" t="s">
        <v>52</v>
      </c>
      <c r="LA82" s="214" t="s">
        <v>74</v>
      </c>
      <c r="LB82" s="214" t="s">
        <v>67</v>
      </c>
      <c r="LD82" s="22" t="s">
        <v>5850</v>
      </c>
      <c r="LE82" s="22" t="s">
        <v>145</v>
      </c>
      <c r="LF82" s="22" t="s">
        <v>70</v>
      </c>
      <c r="LG82" s="22" t="s">
        <v>67</v>
      </c>
    </row>
    <row r="83" spans="1:319">
      <c r="A83" s="22" t="s">
        <v>5851</v>
      </c>
      <c r="B83" s="22" t="s">
        <v>145</v>
      </c>
      <c r="C83" s="22" t="s">
        <v>70</v>
      </c>
      <c r="D83" s="22" t="s">
        <v>67</v>
      </c>
      <c r="F83" s="23" t="s">
        <v>5852</v>
      </c>
      <c r="G83" s="23" t="str">
        <f>TVIIBE1M_CalPairs!$E80</f>
        <v>0x2D</v>
      </c>
      <c r="H83" s="23" t="s">
        <v>72</v>
      </c>
      <c r="I83" s="23" t="str">
        <f>TVIIBE1M_CalPairs!$C80</f>
        <v>PWR_TRIM_HT_REF_CTL_VAL0</v>
      </c>
      <c r="K83" s="22" t="s">
        <v>5853</v>
      </c>
      <c r="L83" s="22" t="s">
        <v>145</v>
      </c>
      <c r="M83" s="22" t="s">
        <v>70</v>
      </c>
      <c r="N83" s="22" t="s">
        <v>67</v>
      </c>
      <c r="P83" s="394" t="s">
        <v>5854</v>
      </c>
      <c r="Q83" s="394" t="s">
        <v>145</v>
      </c>
      <c r="R83" s="394" t="s">
        <v>72</v>
      </c>
      <c r="S83" s="394" t="s">
        <v>34090</v>
      </c>
      <c r="U83" s="293" t="s">
        <v>5855</v>
      </c>
      <c r="V83" s="293" t="s">
        <v>145</v>
      </c>
      <c r="W83" s="293" t="s">
        <v>74</v>
      </c>
      <c r="X83" s="293" t="s">
        <v>656</v>
      </c>
      <c r="Z83" s="293" t="s">
        <v>5856</v>
      </c>
      <c r="AA83" s="293" t="s">
        <v>145</v>
      </c>
      <c r="AB83" s="293" t="s">
        <v>74</v>
      </c>
      <c r="AC83" s="293" t="s">
        <v>656</v>
      </c>
      <c r="AE83" s="293" t="s">
        <v>5857</v>
      </c>
      <c r="AF83" s="293" t="s">
        <v>145</v>
      </c>
      <c r="AG83" s="293" t="s">
        <v>74</v>
      </c>
      <c r="AH83" s="293" t="s">
        <v>656</v>
      </c>
      <c r="AJ83" s="293" t="s">
        <v>5858</v>
      </c>
      <c r="AK83" s="293" t="s">
        <v>145</v>
      </c>
      <c r="AL83" s="293" t="s">
        <v>74</v>
      </c>
      <c r="AM83" s="293" t="s">
        <v>656</v>
      </c>
      <c r="AO83" s="22" t="s">
        <v>5859</v>
      </c>
      <c r="AP83" s="22" t="s">
        <v>145</v>
      </c>
      <c r="AQ83" s="22" t="s">
        <v>70</v>
      </c>
      <c r="AR83" s="22" t="s">
        <v>67</v>
      </c>
      <c r="AT83" s="22" t="s">
        <v>5860</v>
      </c>
      <c r="AU83" s="22" t="s">
        <v>145</v>
      </c>
      <c r="AV83" s="22" t="s">
        <v>70</v>
      </c>
      <c r="AW83" s="22" t="s">
        <v>67</v>
      </c>
      <c r="AY83" s="22" t="s">
        <v>5861</v>
      </c>
      <c r="AZ83" s="22" t="s">
        <v>145</v>
      </c>
      <c r="BA83" s="22" t="s">
        <v>70</v>
      </c>
      <c r="BB83" s="22" t="s">
        <v>67</v>
      </c>
      <c r="BD83" s="22" t="s">
        <v>5862</v>
      </c>
      <c r="BE83" s="22" t="s">
        <v>145</v>
      </c>
      <c r="BF83" s="22" t="s">
        <v>70</v>
      </c>
      <c r="BG83" s="22" t="s">
        <v>67</v>
      </c>
      <c r="BI83" s="22" t="s">
        <v>5863</v>
      </c>
      <c r="BJ83" s="22" t="s">
        <v>145</v>
      </c>
      <c r="BK83" s="22" t="s">
        <v>70</v>
      </c>
      <c r="BL83" s="22" t="s">
        <v>67</v>
      </c>
      <c r="BN83" s="22" t="s">
        <v>5864</v>
      </c>
      <c r="BO83" s="22" t="s">
        <v>145</v>
      </c>
      <c r="BP83" s="22" t="s">
        <v>70</v>
      </c>
      <c r="BQ83" s="22" t="s">
        <v>67</v>
      </c>
      <c r="BS83" s="22" t="s">
        <v>5865</v>
      </c>
      <c r="BT83" s="22" t="s">
        <v>145</v>
      </c>
      <c r="BU83" s="22" t="s">
        <v>70</v>
      </c>
      <c r="BV83" s="214" t="s">
        <v>530</v>
      </c>
      <c r="BX83" s="22" t="s">
        <v>5866</v>
      </c>
      <c r="BY83" s="22" t="s">
        <v>145</v>
      </c>
      <c r="BZ83" s="22" t="s">
        <v>70</v>
      </c>
      <c r="CA83" s="214" t="s">
        <v>530</v>
      </c>
      <c r="CC83" s="214" t="s">
        <v>5867</v>
      </c>
      <c r="CD83" s="218" t="s">
        <v>601</v>
      </c>
      <c r="CE83" s="214" t="s">
        <v>70</v>
      </c>
      <c r="CF83" s="214" t="s">
        <v>378</v>
      </c>
      <c r="CH83" s="214" t="s">
        <v>5868</v>
      </c>
      <c r="CI83" s="214" t="s">
        <v>529</v>
      </c>
      <c r="CJ83" s="214" t="s">
        <v>70</v>
      </c>
      <c r="CK83" s="214" t="s">
        <v>530</v>
      </c>
      <c r="CM83" s="214" t="s">
        <v>5869</v>
      </c>
      <c r="CN83" s="214" t="s">
        <v>484</v>
      </c>
      <c r="CO83" s="214" t="s">
        <v>70</v>
      </c>
      <c r="CP83" s="214" t="s">
        <v>530</v>
      </c>
      <c r="CR83" s="214" t="s">
        <v>5870</v>
      </c>
      <c r="CS83" s="214" t="s">
        <v>164</v>
      </c>
      <c r="CT83" s="214" t="s">
        <v>70</v>
      </c>
      <c r="CU83" s="214" t="s">
        <v>530</v>
      </c>
      <c r="CW83" s="214" t="s">
        <v>5871</v>
      </c>
      <c r="CX83" s="214" t="s">
        <v>34557</v>
      </c>
      <c r="CY83" s="214" t="s">
        <v>70</v>
      </c>
      <c r="CZ83" s="214" t="s">
        <v>530</v>
      </c>
      <c r="DB83" s="214" t="s">
        <v>5872</v>
      </c>
      <c r="DC83" s="214" t="s">
        <v>146</v>
      </c>
      <c r="DD83" s="214" t="s">
        <v>70</v>
      </c>
      <c r="DE83" s="214" t="s">
        <v>530</v>
      </c>
      <c r="DG83" s="214" t="s">
        <v>5873</v>
      </c>
      <c r="DH83" s="214" t="s">
        <v>518</v>
      </c>
      <c r="DI83" s="214" t="s">
        <v>70</v>
      </c>
      <c r="DJ83" s="214" t="s">
        <v>530</v>
      </c>
      <c r="DL83" s="214" t="s">
        <v>5874</v>
      </c>
      <c r="DM83" s="214" t="s">
        <v>491</v>
      </c>
      <c r="DN83" s="214" t="s">
        <v>70</v>
      </c>
      <c r="DO83" s="214" t="s">
        <v>530</v>
      </c>
      <c r="DQ83" s="214" t="s">
        <v>5875</v>
      </c>
      <c r="DR83" s="214" t="s">
        <v>484</v>
      </c>
      <c r="DS83" s="214" t="s">
        <v>70</v>
      </c>
      <c r="DT83" s="214" t="s">
        <v>530</v>
      </c>
      <c r="DV83" s="214" t="s">
        <v>5876</v>
      </c>
      <c r="DW83" s="214" t="s">
        <v>926</v>
      </c>
      <c r="DX83" s="214" t="s">
        <v>70</v>
      </c>
      <c r="DY83" s="214" t="s">
        <v>530</v>
      </c>
      <c r="EA83" s="214" t="s">
        <v>5877</v>
      </c>
      <c r="EB83" s="214" t="s">
        <v>90</v>
      </c>
      <c r="EC83" s="214" t="s">
        <v>70</v>
      </c>
      <c r="ED83" s="214" t="s">
        <v>530</v>
      </c>
      <c r="EF83" s="214" t="s">
        <v>5878</v>
      </c>
      <c r="EG83" s="214" t="s">
        <v>52</v>
      </c>
      <c r="EH83" s="214" t="s">
        <v>70</v>
      </c>
      <c r="EI83" s="214" t="s">
        <v>530</v>
      </c>
      <c r="EK83" s="214" t="s">
        <v>5879</v>
      </c>
      <c r="EL83" s="214" t="s">
        <v>923</v>
      </c>
      <c r="EM83" s="214" t="s">
        <v>70</v>
      </c>
      <c r="EN83" s="214" t="s">
        <v>530</v>
      </c>
      <c r="EP83" s="214" t="s">
        <v>5880</v>
      </c>
      <c r="EQ83" s="214" t="s">
        <v>956</v>
      </c>
      <c r="ER83" s="214" t="s">
        <v>70</v>
      </c>
      <c r="ES83" s="214" t="s">
        <v>530</v>
      </c>
      <c r="EU83" s="214" t="s">
        <v>5881</v>
      </c>
      <c r="EV83" s="214" t="s">
        <v>491</v>
      </c>
      <c r="EW83" s="214" t="s">
        <v>70</v>
      </c>
      <c r="EX83" s="214" t="s">
        <v>530</v>
      </c>
      <c r="EZ83" s="214" t="s">
        <v>5882</v>
      </c>
      <c r="FA83" s="214" t="s">
        <v>52</v>
      </c>
      <c r="FB83" s="214" t="s">
        <v>70</v>
      </c>
      <c r="FC83" s="214" t="s">
        <v>530</v>
      </c>
      <c r="FE83" s="214" t="s">
        <v>5883</v>
      </c>
      <c r="FF83" s="214" t="s">
        <v>468</v>
      </c>
      <c r="FG83" s="214" t="s">
        <v>70</v>
      </c>
      <c r="FH83" s="214" t="s">
        <v>530</v>
      </c>
      <c r="FJ83" s="321" t="s">
        <v>5884</v>
      </c>
      <c r="FK83" s="214" t="s">
        <v>529</v>
      </c>
      <c r="FL83" s="214" t="s">
        <v>70</v>
      </c>
      <c r="FM83" s="214" t="s">
        <v>530</v>
      </c>
      <c r="FO83" s="321" t="s">
        <v>5885</v>
      </c>
      <c r="FP83" s="214" t="s">
        <v>146</v>
      </c>
      <c r="FQ83" s="214" t="s">
        <v>70</v>
      </c>
      <c r="FR83" s="214" t="s">
        <v>530</v>
      </c>
      <c r="FT83" s="321" t="s">
        <v>5886</v>
      </c>
      <c r="FU83" s="214" t="s">
        <v>52</v>
      </c>
      <c r="FV83" s="214" t="s">
        <v>70</v>
      </c>
      <c r="FW83" s="214" t="s">
        <v>530</v>
      </c>
      <c r="FY83" s="321" t="s">
        <v>5887</v>
      </c>
      <c r="FZ83" s="214" t="s">
        <v>206</v>
      </c>
      <c r="GA83" s="214" t="s">
        <v>70</v>
      </c>
      <c r="GB83" s="214" t="s">
        <v>530</v>
      </c>
      <c r="GD83" s="321" t="s">
        <v>5888</v>
      </c>
      <c r="GE83" s="214" t="s">
        <v>500</v>
      </c>
      <c r="GF83" s="214" t="s">
        <v>70</v>
      </c>
      <c r="GG83" s="214" t="s">
        <v>530</v>
      </c>
      <c r="GI83" s="321" t="s">
        <v>5889</v>
      </c>
      <c r="GJ83" s="214" t="s">
        <v>52</v>
      </c>
      <c r="GK83" s="214" t="s">
        <v>70</v>
      </c>
      <c r="GL83" s="214" t="s">
        <v>530</v>
      </c>
      <c r="GN83" s="321" t="s">
        <v>5890</v>
      </c>
      <c r="GO83" s="214" t="s">
        <v>955</v>
      </c>
      <c r="GP83" s="214" t="s">
        <v>70</v>
      </c>
      <c r="GQ83" s="214" t="s">
        <v>530</v>
      </c>
      <c r="GS83" s="321" t="s">
        <v>5891</v>
      </c>
      <c r="GT83" s="214" t="s">
        <v>496</v>
      </c>
      <c r="GU83" s="214" t="s">
        <v>70</v>
      </c>
      <c r="GV83" s="214" t="s">
        <v>530</v>
      </c>
      <c r="GX83" s="214" t="s">
        <v>5892</v>
      </c>
      <c r="GY83" s="214" t="s">
        <v>33910</v>
      </c>
      <c r="GZ83" s="214" t="s">
        <v>70</v>
      </c>
      <c r="HA83" s="214" t="s">
        <v>530</v>
      </c>
      <c r="HC83" s="214" t="s">
        <v>5893</v>
      </c>
      <c r="HD83" s="214" t="s">
        <v>52</v>
      </c>
      <c r="HE83" s="214" t="s">
        <v>70</v>
      </c>
      <c r="HF83" s="214" t="s">
        <v>530</v>
      </c>
      <c r="HH83" s="214" t="s">
        <v>5894</v>
      </c>
      <c r="HI83" s="214" t="s">
        <v>149</v>
      </c>
      <c r="HJ83" s="214" t="s">
        <v>70</v>
      </c>
      <c r="HK83" s="214" t="s">
        <v>530</v>
      </c>
      <c r="HM83" s="214" t="s">
        <v>5895</v>
      </c>
      <c r="HN83" s="214" t="s">
        <v>52</v>
      </c>
      <c r="HO83" s="214" t="s">
        <v>70</v>
      </c>
      <c r="HP83" s="214" t="s">
        <v>530</v>
      </c>
      <c r="HR83" s="22" t="s">
        <v>5896</v>
      </c>
      <c r="HS83" s="22" t="s">
        <v>484</v>
      </c>
      <c r="HT83" s="22" t="s">
        <v>70</v>
      </c>
      <c r="HU83" s="214" t="s">
        <v>530</v>
      </c>
      <c r="HW83" s="22" t="s">
        <v>5897</v>
      </c>
      <c r="HX83" s="22" t="s">
        <v>599</v>
      </c>
      <c r="HY83" s="22" t="s">
        <v>70</v>
      </c>
      <c r="HZ83" s="214" t="s">
        <v>530</v>
      </c>
      <c r="IB83" s="22" t="s">
        <v>5898</v>
      </c>
      <c r="IC83" s="22" t="s">
        <v>484</v>
      </c>
      <c r="ID83" s="22" t="s">
        <v>70</v>
      </c>
      <c r="IE83" s="214" t="s">
        <v>530</v>
      </c>
      <c r="IG83" s="22" t="s">
        <v>5899</v>
      </c>
      <c r="IH83" s="22" t="s">
        <v>598</v>
      </c>
      <c r="II83" s="22" t="s">
        <v>70</v>
      </c>
      <c r="IJ83" s="214" t="s">
        <v>530</v>
      </c>
      <c r="IL83" s="22" t="s">
        <v>5900</v>
      </c>
      <c r="IM83" s="22" t="s">
        <v>145</v>
      </c>
      <c r="IN83" s="22" t="s">
        <v>70</v>
      </c>
      <c r="IO83" s="214" t="s">
        <v>530</v>
      </c>
      <c r="IQ83" s="236" t="s">
        <v>5901</v>
      </c>
      <c r="IR83" s="236" t="s">
        <v>145</v>
      </c>
      <c r="IS83" s="236" t="s">
        <v>74</v>
      </c>
      <c r="IT83" s="236" t="s">
        <v>841</v>
      </c>
      <c r="IV83" s="236" t="s">
        <v>5902</v>
      </c>
      <c r="IW83" s="236" t="s">
        <v>145</v>
      </c>
      <c r="IX83" s="236" t="s">
        <v>74</v>
      </c>
      <c r="IY83" s="236" t="s">
        <v>841</v>
      </c>
      <c r="JA83" s="236" t="s">
        <v>5904</v>
      </c>
      <c r="JB83" s="236" t="s">
        <v>145</v>
      </c>
      <c r="JC83" s="236" t="s">
        <v>74</v>
      </c>
      <c r="JD83" s="236" t="s">
        <v>841</v>
      </c>
      <c r="JF83" s="236" t="s">
        <v>5905</v>
      </c>
      <c r="JG83" s="236" t="s">
        <v>145</v>
      </c>
      <c r="JH83" s="236" t="s">
        <v>74</v>
      </c>
      <c r="JI83" s="236" t="s">
        <v>841</v>
      </c>
      <c r="JK83" s="236" t="s">
        <v>5906</v>
      </c>
      <c r="JL83" s="236" t="s">
        <v>145</v>
      </c>
      <c r="JM83" s="236" t="s">
        <v>74</v>
      </c>
      <c r="JN83" s="236" t="s">
        <v>841</v>
      </c>
      <c r="JP83" s="236" t="s">
        <v>5907</v>
      </c>
      <c r="JQ83" s="236" t="s">
        <v>145</v>
      </c>
      <c r="JR83" s="236" t="s">
        <v>74</v>
      </c>
      <c r="JS83" s="236" t="s">
        <v>841</v>
      </c>
      <c r="JU83" s="294" t="s">
        <v>5908</v>
      </c>
      <c r="JV83" s="294" t="str">
        <f>TVIIBE1M_CalPairs!$R92</f>
        <v>0xFF</v>
      </c>
      <c r="JW83" s="263" t="s">
        <v>70</v>
      </c>
      <c r="JX83" s="294" t="str">
        <f>TVIIBE1M_CalPairs!$Q92</f>
        <v>PPU7_MS_CONFIG</v>
      </c>
      <c r="JZ83" s="263" t="s">
        <v>5909</v>
      </c>
      <c r="KA83" s="263" t="s">
        <v>145</v>
      </c>
      <c r="KB83" s="263" t="s">
        <v>70</v>
      </c>
      <c r="KC83" s="263" t="s">
        <v>1083</v>
      </c>
      <c r="KE83" s="263" t="s">
        <v>5910</v>
      </c>
      <c r="KF83" s="263" t="s">
        <v>52</v>
      </c>
      <c r="KG83" s="263" t="s">
        <v>70</v>
      </c>
      <c r="KH83" s="263" t="s">
        <v>1083</v>
      </c>
      <c r="KJ83" s="263" t="s">
        <v>5911</v>
      </c>
      <c r="KK83" s="263" t="s">
        <v>52</v>
      </c>
      <c r="KL83" s="263" t="s">
        <v>74</v>
      </c>
      <c r="KM83" s="263" t="s">
        <v>34074</v>
      </c>
      <c r="KO83" s="214" t="s">
        <v>5912</v>
      </c>
      <c r="KP83" s="214" t="s">
        <v>145</v>
      </c>
      <c r="KQ83" s="214" t="s">
        <v>70</v>
      </c>
      <c r="KR83" s="214" t="s">
        <v>67</v>
      </c>
      <c r="KT83" s="22" t="s">
        <v>5913</v>
      </c>
      <c r="KU83" s="22" t="s">
        <v>145</v>
      </c>
      <c r="KV83" s="22" t="s">
        <v>70</v>
      </c>
      <c r="KW83" s="22" t="s">
        <v>67</v>
      </c>
      <c r="KY83" s="214" t="s">
        <v>5914</v>
      </c>
      <c r="KZ83" s="214" t="s">
        <v>52</v>
      </c>
      <c r="LA83" s="214" t="s">
        <v>74</v>
      </c>
      <c r="LB83" s="214" t="s">
        <v>67</v>
      </c>
      <c r="LD83" s="22" t="s">
        <v>5915</v>
      </c>
      <c r="LE83" s="22" t="s">
        <v>145</v>
      </c>
      <c r="LF83" s="22" t="s">
        <v>70</v>
      </c>
      <c r="LG83" s="22" t="s">
        <v>67</v>
      </c>
    </row>
    <row r="84" spans="1:319">
      <c r="A84" s="22" t="s">
        <v>5916</v>
      </c>
      <c r="B84" s="22" t="s">
        <v>145</v>
      </c>
      <c r="C84" s="22" t="s">
        <v>70</v>
      </c>
      <c r="D84" s="22" t="s">
        <v>67</v>
      </c>
      <c r="F84" s="23" t="s">
        <v>5917</v>
      </c>
      <c r="G84" s="23" t="str">
        <f>TVIIBE1M_CalPairs!$E81</f>
        <v>0x07</v>
      </c>
      <c r="H84" s="23" t="s">
        <v>72</v>
      </c>
      <c r="I84" s="23" t="str">
        <f>TVIIBE1M_CalPairs!$C81</f>
        <v>PWR_TRIM_HT_REF_CTL_VAL1</v>
      </c>
      <c r="K84" s="22" t="s">
        <v>5918</v>
      </c>
      <c r="L84" s="22" t="s">
        <v>145</v>
      </c>
      <c r="M84" s="22" t="s">
        <v>70</v>
      </c>
      <c r="N84" s="22" t="s">
        <v>67</v>
      </c>
      <c r="P84" s="394" t="s">
        <v>5919</v>
      </c>
      <c r="Q84" s="394" t="s">
        <v>145</v>
      </c>
      <c r="R84" s="394" t="s">
        <v>72</v>
      </c>
      <c r="S84" s="394" t="s">
        <v>34091</v>
      </c>
      <c r="U84" s="293" t="s">
        <v>5920</v>
      </c>
      <c r="V84" s="293" t="s">
        <v>145</v>
      </c>
      <c r="W84" s="293" t="s">
        <v>74</v>
      </c>
      <c r="X84" s="293" t="s">
        <v>656</v>
      </c>
      <c r="Z84" s="293" t="s">
        <v>5921</v>
      </c>
      <c r="AA84" s="293" t="s">
        <v>145</v>
      </c>
      <c r="AB84" s="293" t="s">
        <v>74</v>
      </c>
      <c r="AC84" s="293" t="s">
        <v>656</v>
      </c>
      <c r="AE84" s="293" t="s">
        <v>5922</v>
      </c>
      <c r="AF84" s="293" t="s">
        <v>145</v>
      </c>
      <c r="AG84" s="293" t="s">
        <v>74</v>
      </c>
      <c r="AH84" s="293" t="s">
        <v>656</v>
      </c>
      <c r="AJ84" s="293" t="s">
        <v>5923</v>
      </c>
      <c r="AK84" s="293" t="s">
        <v>145</v>
      </c>
      <c r="AL84" s="293" t="s">
        <v>74</v>
      </c>
      <c r="AM84" s="293" t="s">
        <v>656</v>
      </c>
      <c r="AO84" s="22" t="s">
        <v>5924</v>
      </c>
      <c r="AP84" s="22" t="s">
        <v>145</v>
      </c>
      <c r="AQ84" s="22" t="s">
        <v>70</v>
      </c>
      <c r="AR84" s="22" t="s">
        <v>67</v>
      </c>
      <c r="AT84" s="22" t="s">
        <v>5925</v>
      </c>
      <c r="AU84" s="22" t="s">
        <v>145</v>
      </c>
      <c r="AV84" s="22" t="s">
        <v>70</v>
      </c>
      <c r="AW84" s="22" t="s">
        <v>67</v>
      </c>
      <c r="AY84" s="22" t="s">
        <v>5926</v>
      </c>
      <c r="AZ84" s="22" t="s">
        <v>145</v>
      </c>
      <c r="BA84" s="22" t="s">
        <v>70</v>
      </c>
      <c r="BB84" s="22" t="s">
        <v>67</v>
      </c>
      <c r="BD84" s="22" t="s">
        <v>5927</v>
      </c>
      <c r="BE84" s="22" t="s">
        <v>145</v>
      </c>
      <c r="BF84" s="22" t="s">
        <v>70</v>
      </c>
      <c r="BG84" s="22" t="s">
        <v>67</v>
      </c>
      <c r="BI84" s="22" t="s">
        <v>5928</v>
      </c>
      <c r="BJ84" s="22" t="s">
        <v>145</v>
      </c>
      <c r="BK84" s="22" t="s">
        <v>70</v>
      </c>
      <c r="BL84" s="22" t="s">
        <v>67</v>
      </c>
      <c r="BN84" s="22" t="s">
        <v>5929</v>
      </c>
      <c r="BO84" s="22" t="s">
        <v>145</v>
      </c>
      <c r="BP84" s="22" t="s">
        <v>70</v>
      </c>
      <c r="BQ84" s="22" t="s">
        <v>67</v>
      </c>
      <c r="BS84" s="22" t="s">
        <v>5930</v>
      </c>
      <c r="BT84" s="22" t="s">
        <v>145</v>
      </c>
      <c r="BU84" s="22" t="s">
        <v>70</v>
      </c>
      <c r="BV84" s="214" t="s">
        <v>530</v>
      </c>
      <c r="BX84" s="22" t="s">
        <v>5931</v>
      </c>
      <c r="BY84" s="22" t="s">
        <v>145</v>
      </c>
      <c r="BZ84" s="22" t="s">
        <v>70</v>
      </c>
      <c r="CA84" s="214" t="s">
        <v>530</v>
      </c>
      <c r="CC84" s="214" t="s">
        <v>5932</v>
      </c>
      <c r="CD84" s="218" t="s">
        <v>34580</v>
      </c>
      <c r="CE84" s="214" t="s">
        <v>70</v>
      </c>
      <c r="CF84" s="214" t="s">
        <v>379</v>
      </c>
      <c r="CH84" s="214" t="s">
        <v>5933</v>
      </c>
      <c r="CI84" s="214" t="s">
        <v>34536</v>
      </c>
      <c r="CJ84" s="214" t="s">
        <v>70</v>
      </c>
      <c r="CK84" s="214" t="s">
        <v>530</v>
      </c>
      <c r="CM84" s="214" t="s">
        <v>5934</v>
      </c>
      <c r="CN84" s="214" t="s">
        <v>148</v>
      </c>
      <c r="CO84" s="214" t="s">
        <v>70</v>
      </c>
      <c r="CP84" s="214" t="s">
        <v>530</v>
      </c>
      <c r="CR84" s="214" t="s">
        <v>5935</v>
      </c>
      <c r="CS84" s="214" t="s">
        <v>34581</v>
      </c>
      <c r="CT84" s="214" t="s">
        <v>70</v>
      </c>
      <c r="CU84" s="214" t="s">
        <v>530</v>
      </c>
      <c r="CW84" s="214" t="s">
        <v>5936</v>
      </c>
      <c r="CX84" s="214" t="s">
        <v>286</v>
      </c>
      <c r="CY84" s="214" t="s">
        <v>70</v>
      </c>
      <c r="CZ84" s="214" t="s">
        <v>530</v>
      </c>
      <c r="DB84" s="214" t="s">
        <v>5937</v>
      </c>
      <c r="DC84" s="214" t="s">
        <v>103</v>
      </c>
      <c r="DD84" s="214" t="s">
        <v>70</v>
      </c>
      <c r="DE84" s="214" t="s">
        <v>530</v>
      </c>
      <c r="DG84" s="214" t="s">
        <v>5938</v>
      </c>
      <c r="DH84" s="214" t="s">
        <v>149</v>
      </c>
      <c r="DI84" s="214" t="s">
        <v>70</v>
      </c>
      <c r="DJ84" s="214" t="s">
        <v>530</v>
      </c>
      <c r="DL84" s="214" t="s">
        <v>5939</v>
      </c>
      <c r="DM84" s="214" t="s">
        <v>488</v>
      </c>
      <c r="DN84" s="214" t="s">
        <v>70</v>
      </c>
      <c r="DO84" s="214" t="s">
        <v>530</v>
      </c>
      <c r="DQ84" s="214" t="s">
        <v>5940</v>
      </c>
      <c r="DR84" s="214" t="s">
        <v>148</v>
      </c>
      <c r="DS84" s="214" t="s">
        <v>70</v>
      </c>
      <c r="DT84" s="214" t="s">
        <v>530</v>
      </c>
      <c r="DV84" s="214" t="s">
        <v>5941</v>
      </c>
      <c r="DW84" s="214" t="s">
        <v>951</v>
      </c>
      <c r="DX84" s="214" t="s">
        <v>70</v>
      </c>
      <c r="DY84" s="214" t="s">
        <v>530</v>
      </c>
      <c r="EA84" s="214" t="s">
        <v>5942</v>
      </c>
      <c r="EB84" s="214" t="s">
        <v>145</v>
      </c>
      <c r="EC84" s="214" t="s">
        <v>70</v>
      </c>
      <c r="ED84" s="214" t="s">
        <v>530</v>
      </c>
      <c r="EF84" s="214" t="s">
        <v>5943</v>
      </c>
      <c r="EG84" s="214" t="s">
        <v>148</v>
      </c>
      <c r="EH84" s="214" t="s">
        <v>70</v>
      </c>
      <c r="EI84" s="214" t="s">
        <v>530</v>
      </c>
      <c r="EK84" s="214" t="s">
        <v>5944</v>
      </c>
      <c r="EL84" s="214" t="s">
        <v>34621</v>
      </c>
      <c r="EM84" s="214" t="s">
        <v>70</v>
      </c>
      <c r="EN84" s="214" t="s">
        <v>530</v>
      </c>
      <c r="EP84" s="214" t="s">
        <v>5945</v>
      </c>
      <c r="EQ84" s="214" t="s">
        <v>148</v>
      </c>
      <c r="ER84" s="214" t="s">
        <v>70</v>
      </c>
      <c r="ES84" s="214" t="s">
        <v>530</v>
      </c>
      <c r="EU84" s="214" t="s">
        <v>5946</v>
      </c>
      <c r="EV84" s="214" t="s">
        <v>148</v>
      </c>
      <c r="EW84" s="214" t="s">
        <v>70</v>
      </c>
      <c r="EX84" s="214" t="s">
        <v>530</v>
      </c>
      <c r="EZ84" s="214" t="s">
        <v>5947</v>
      </c>
      <c r="FA84" s="214" t="s">
        <v>34576</v>
      </c>
      <c r="FB84" s="214" t="s">
        <v>70</v>
      </c>
      <c r="FC84" s="214" t="s">
        <v>530</v>
      </c>
      <c r="FE84" s="214" t="s">
        <v>5948</v>
      </c>
      <c r="FF84" s="214" t="s">
        <v>146</v>
      </c>
      <c r="FG84" s="214" t="s">
        <v>70</v>
      </c>
      <c r="FH84" s="214" t="s">
        <v>530</v>
      </c>
      <c r="FJ84" s="321" t="s">
        <v>5949</v>
      </c>
      <c r="FK84" s="214" t="s">
        <v>765</v>
      </c>
      <c r="FL84" s="214" t="s">
        <v>70</v>
      </c>
      <c r="FM84" s="214" t="s">
        <v>530</v>
      </c>
      <c r="FO84" s="321" t="s">
        <v>5950</v>
      </c>
      <c r="FP84" s="214" t="s">
        <v>90</v>
      </c>
      <c r="FQ84" s="214" t="s">
        <v>70</v>
      </c>
      <c r="FR84" s="214" t="s">
        <v>530</v>
      </c>
      <c r="FT84" s="321" t="s">
        <v>5951</v>
      </c>
      <c r="FU84" s="214" t="s">
        <v>146</v>
      </c>
      <c r="FV84" s="214" t="s">
        <v>70</v>
      </c>
      <c r="FW84" s="214" t="s">
        <v>530</v>
      </c>
      <c r="FY84" s="321" t="s">
        <v>5952</v>
      </c>
      <c r="FZ84" s="214" t="s">
        <v>34557</v>
      </c>
      <c r="GA84" s="214" t="s">
        <v>70</v>
      </c>
      <c r="GB84" s="214" t="s">
        <v>530</v>
      </c>
      <c r="GD84" s="321" t="s">
        <v>5953</v>
      </c>
      <c r="GE84" s="214" t="s">
        <v>164</v>
      </c>
      <c r="GF84" s="214" t="s">
        <v>70</v>
      </c>
      <c r="GG84" s="214" t="s">
        <v>530</v>
      </c>
      <c r="GI84" s="321" t="s">
        <v>5954</v>
      </c>
      <c r="GJ84" s="214" t="s">
        <v>52</v>
      </c>
      <c r="GK84" s="214" t="s">
        <v>70</v>
      </c>
      <c r="GL84" s="214" t="s">
        <v>530</v>
      </c>
      <c r="GN84" s="321" t="s">
        <v>5955</v>
      </c>
      <c r="GO84" s="214" t="s">
        <v>52</v>
      </c>
      <c r="GP84" s="214" t="s">
        <v>70</v>
      </c>
      <c r="GQ84" s="214" t="s">
        <v>530</v>
      </c>
      <c r="GS84" s="321" t="s">
        <v>5956</v>
      </c>
      <c r="GT84" s="214" t="s">
        <v>34568</v>
      </c>
      <c r="GU84" s="214" t="s">
        <v>70</v>
      </c>
      <c r="GV84" s="214" t="s">
        <v>530</v>
      </c>
      <c r="GX84" s="214" t="s">
        <v>5957</v>
      </c>
      <c r="GY84" s="214" t="s">
        <v>34555</v>
      </c>
      <c r="GZ84" s="214" t="s">
        <v>70</v>
      </c>
      <c r="HA84" s="214" t="s">
        <v>530</v>
      </c>
      <c r="HC84" s="214" t="s">
        <v>5958</v>
      </c>
      <c r="HD84" s="214" t="s">
        <v>34610</v>
      </c>
      <c r="HE84" s="214" t="s">
        <v>70</v>
      </c>
      <c r="HF84" s="214" t="s">
        <v>530</v>
      </c>
      <c r="HH84" s="214" t="s">
        <v>5959</v>
      </c>
      <c r="HI84" s="214" t="s">
        <v>305</v>
      </c>
      <c r="HJ84" s="214" t="s">
        <v>70</v>
      </c>
      <c r="HK84" s="214" t="s">
        <v>530</v>
      </c>
      <c r="HM84" s="214" t="s">
        <v>5960</v>
      </c>
      <c r="HN84" s="214" t="s">
        <v>488</v>
      </c>
      <c r="HO84" s="214" t="s">
        <v>70</v>
      </c>
      <c r="HP84" s="214" t="s">
        <v>530</v>
      </c>
      <c r="HR84" s="22" t="s">
        <v>5961</v>
      </c>
      <c r="HS84" s="22" t="s">
        <v>34599</v>
      </c>
      <c r="HT84" s="22" t="s">
        <v>70</v>
      </c>
      <c r="HU84" s="214" t="s">
        <v>530</v>
      </c>
      <c r="HW84" s="22" t="s">
        <v>5962</v>
      </c>
      <c r="HX84" s="22" t="s">
        <v>34551</v>
      </c>
      <c r="HY84" s="22" t="s">
        <v>70</v>
      </c>
      <c r="HZ84" s="214" t="s">
        <v>530</v>
      </c>
      <c r="IB84" s="22" t="s">
        <v>5963</v>
      </c>
      <c r="IC84" s="22" t="s">
        <v>485</v>
      </c>
      <c r="ID84" s="22" t="s">
        <v>70</v>
      </c>
      <c r="IE84" s="214" t="s">
        <v>530</v>
      </c>
      <c r="IG84" s="22" t="s">
        <v>5964</v>
      </c>
      <c r="IH84" s="22" t="s">
        <v>163</v>
      </c>
      <c r="II84" s="22" t="s">
        <v>70</v>
      </c>
      <c r="IJ84" s="214" t="s">
        <v>530</v>
      </c>
      <c r="IL84" s="22" t="s">
        <v>5965</v>
      </c>
      <c r="IM84" s="22" t="s">
        <v>145</v>
      </c>
      <c r="IN84" s="22" t="s">
        <v>70</v>
      </c>
      <c r="IO84" s="214" t="s">
        <v>530</v>
      </c>
      <c r="IQ84" s="236" t="s">
        <v>5966</v>
      </c>
      <c r="IR84" s="236" t="s">
        <v>145</v>
      </c>
      <c r="IS84" s="236" t="s">
        <v>74</v>
      </c>
      <c r="IT84" s="236" t="s">
        <v>841</v>
      </c>
      <c r="IV84" s="236" t="s">
        <v>5967</v>
      </c>
      <c r="IW84" s="236" t="s">
        <v>145</v>
      </c>
      <c r="IX84" s="236" t="s">
        <v>74</v>
      </c>
      <c r="IY84" s="236" t="s">
        <v>841</v>
      </c>
      <c r="JA84" s="236" t="s">
        <v>5968</v>
      </c>
      <c r="JB84" s="236" t="s">
        <v>145</v>
      </c>
      <c r="JC84" s="236" t="s">
        <v>74</v>
      </c>
      <c r="JD84" s="236" t="s">
        <v>841</v>
      </c>
      <c r="JF84" s="236" t="s">
        <v>5969</v>
      </c>
      <c r="JG84" s="236" t="s">
        <v>145</v>
      </c>
      <c r="JH84" s="236" t="s">
        <v>74</v>
      </c>
      <c r="JI84" s="236" t="s">
        <v>841</v>
      </c>
      <c r="JK84" s="236" t="s">
        <v>5970</v>
      </c>
      <c r="JL84" s="236" t="s">
        <v>145</v>
      </c>
      <c r="JM84" s="236" t="s">
        <v>74</v>
      </c>
      <c r="JN84" s="236" t="s">
        <v>841</v>
      </c>
      <c r="JP84" s="236" t="s">
        <v>5971</v>
      </c>
      <c r="JQ84" s="236" t="s">
        <v>145</v>
      </c>
      <c r="JR84" s="236" t="s">
        <v>74</v>
      </c>
      <c r="JS84" s="236" t="s">
        <v>841</v>
      </c>
      <c r="JU84" s="294" t="s">
        <v>5972</v>
      </c>
      <c r="JV84" s="294" t="str">
        <f>TVIIBE1M_CalPairs!$R93</f>
        <v>0x19</v>
      </c>
      <c r="JW84" s="218" t="s">
        <v>72</v>
      </c>
      <c r="JX84" s="294" t="str">
        <f>TVIIBE1M_CalPairs!$S93</f>
        <v>IPC_STRUCT0_IPC</v>
      </c>
      <c r="JZ84" s="263" t="s">
        <v>5973</v>
      </c>
      <c r="KA84" s="263" t="s">
        <v>145</v>
      </c>
      <c r="KB84" s="263" t="s">
        <v>70</v>
      </c>
      <c r="KC84" s="263" t="s">
        <v>1083</v>
      </c>
      <c r="KE84" s="263" t="s">
        <v>5974</v>
      </c>
      <c r="KF84" s="263" t="s">
        <v>52</v>
      </c>
      <c r="KG84" s="263" t="s">
        <v>70</v>
      </c>
      <c r="KH84" s="263" t="s">
        <v>1083</v>
      </c>
      <c r="KJ84" s="263" t="s">
        <v>5975</v>
      </c>
      <c r="KK84" s="263" t="s">
        <v>52</v>
      </c>
      <c r="KL84" s="263" t="s">
        <v>74</v>
      </c>
      <c r="KM84" s="263" t="s">
        <v>34074</v>
      </c>
      <c r="KO84" s="214" t="s">
        <v>5976</v>
      </c>
      <c r="KP84" s="214" t="s">
        <v>145</v>
      </c>
      <c r="KQ84" s="214" t="s">
        <v>70</v>
      </c>
      <c r="KR84" s="214" t="s">
        <v>67</v>
      </c>
      <c r="KT84" s="22" t="s">
        <v>5977</v>
      </c>
      <c r="KU84" s="22" t="s">
        <v>145</v>
      </c>
      <c r="KV84" s="22" t="s">
        <v>70</v>
      </c>
      <c r="KW84" s="22" t="s">
        <v>67</v>
      </c>
      <c r="KY84" s="214" t="s">
        <v>5978</v>
      </c>
      <c r="KZ84" s="214" t="s">
        <v>52</v>
      </c>
      <c r="LA84" s="214" t="s">
        <v>74</v>
      </c>
      <c r="LB84" s="214" t="s">
        <v>67</v>
      </c>
      <c r="LD84" s="22" t="s">
        <v>5979</v>
      </c>
      <c r="LE84" s="22" t="s">
        <v>145</v>
      </c>
      <c r="LF84" s="22" t="s">
        <v>70</v>
      </c>
      <c r="LG84" s="22" t="s">
        <v>67</v>
      </c>
    </row>
    <row r="85" spans="1:319">
      <c r="A85" s="22" t="s">
        <v>5980</v>
      </c>
      <c r="B85" s="22" t="s">
        <v>145</v>
      </c>
      <c r="C85" s="22" t="s">
        <v>70</v>
      </c>
      <c r="D85" s="22" t="s">
        <v>67</v>
      </c>
      <c r="F85" s="23" t="s">
        <v>5981</v>
      </c>
      <c r="G85" s="23" t="str">
        <f>TVIIBE1M_CalPairs!$E82</f>
        <v>0x2B</v>
      </c>
      <c r="H85" s="23" t="s">
        <v>72</v>
      </c>
      <c r="I85" s="23" t="str">
        <f>TVIIBE1M_CalPairs!$C82</f>
        <v>PWR_TRIM_HT_REF_CTL_VAL2</v>
      </c>
      <c r="K85" s="22" t="s">
        <v>5982</v>
      </c>
      <c r="L85" s="22" t="s">
        <v>145</v>
      </c>
      <c r="M85" s="22" t="s">
        <v>70</v>
      </c>
      <c r="N85" s="22" t="s">
        <v>67</v>
      </c>
      <c r="P85" s="394" t="s">
        <v>5983</v>
      </c>
      <c r="Q85" s="394" t="s">
        <v>145</v>
      </c>
      <c r="R85" s="394" t="s">
        <v>72</v>
      </c>
      <c r="S85" s="394" t="s">
        <v>34091</v>
      </c>
      <c r="U85" s="293" t="s">
        <v>5984</v>
      </c>
      <c r="V85" s="293" t="s">
        <v>145</v>
      </c>
      <c r="W85" s="293" t="s">
        <v>74</v>
      </c>
      <c r="X85" s="293" t="s">
        <v>656</v>
      </c>
      <c r="Z85" s="293" t="s">
        <v>5985</v>
      </c>
      <c r="AA85" s="293" t="s">
        <v>145</v>
      </c>
      <c r="AB85" s="293" t="s">
        <v>74</v>
      </c>
      <c r="AC85" s="293" t="s">
        <v>656</v>
      </c>
      <c r="AE85" s="293" t="s">
        <v>5986</v>
      </c>
      <c r="AF85" s="293" t="s">
        <v>145</v>
      </c>
      <c r="AG85" s="293" t="s">
        <v>74</v>
      </c>
      <c r="AH85" s="293" t="s">
        <v>656</v>
      </c>
      <c r="AJ85" s="293" t="s">
        <v>5987</v>
      </c>
      <c r="AK85" s="293" t="s">
        <v>145</v>
      </c>
      <c r="AL85" s="293" t="s">
        <v>74</v>
      </c>
      <c r="AM85" s="293" t="s">
        <v>656</v>
      </c>
      <c r="AO85" s="22" t="s">
        <v>5988</v>
      </c>
      <c r="AP85" s="22" t="s">
        <v>145</v>
      </c>
      <c r="AQ85" s="22" t="s">
        <v>70</v>
      </c>
      <c r="AR85" s="22" t="s">
        <v>67</v>
      </c>
      <c r="AT85" s="22" t="s">
        <v>5989</v>
      </c>
      <c r="AU85" s="22" t="s">
        <v>145</v>
      </c>
      <c r="AV85" s="22" t="s">
        <v>70</v>
      </c>
      <c r="AW85" s="22" t="s">
        <v>67</v>
      </c>
      <c r="AY85" s="22" t="s">
        <v>5990</v>
      </c>
      <c r="AZ85" s="22" t="s">
        <v>145</v>
      </c>
      <c r="BA85" s="22" t="s">
        <v>70</v>
      </c>
      <c r="BB85" s="22" t="s">
        <v>67</v>
      </c>
      <c r="BD85" s="22" t="s">
        <v>5991</v>
      </c>
      <c r="BE85" s="22" t="s">
        <v>145</v>
      </c>
      <c r="BF85" s="22" t="s">
        <v>70</v>
      </c>
      <c r="BG85" s="22" t="s">
        <v>67</v>
      </c>
      <c r="BI85" s="22" t="s">
        <v>5992</v>
      </c>
      <c r="BJ85" s="22" t="s">
        <v>145</v>
      </c>
      <c r="BK85" s="22" t="s">
        <v>70</v>
      </c>
      <c r="BL85" s="22" t="s">
        <v>67</v>
      </c>
      <c r="BN85" s="22" t="s">
        <v>5993</v>
      </c>
      <c r="BO85" s="22" t="s">
        <v>145</v>
      </c>
      <c r="BP85" s="22" t="s">
        <v>70</v>
      </c>
      <c r="BQ85" s="22" t="s">
        <v>67</v>
      </c>
      <c r="BS85" s="22" t="s">
        <v>5994</v>
      </c>
      <c r="BT85" s="22" t="s">
        <v>145</v>
      </c>
      <c r="BU85" s="22" t="s">
        <v>70</v>
      </c>
      <c r="BV85" s="214" t="s">
        <v>530</v>
      </c>
      <c r="BX85" s="22" t="s">
        <v>5995</v>
      </c>
      <c r="BY85" s="22" t="s">
        <v>145</v>
      </c>
      <c r="BZ85" s="22" t="s">
        <v>70</v>
      </c>
      <c r="CA85" s="214" t="s">
        <v>530</v>
      </c>
      <c r="CC85" s="214" t="s">
        <v>5996</v>
      </c>
      <c r="CD85" s="218" t="s">
        <v>89</v>
      </c>
      <c r="CE85" s="214" t="s">
        <v>70</v>
      </c>
      <c r="CF85" s="214" t="s">
        <v>380</v>
      </c>
      <c r="CH85" s="214" t="s">
        <v>5997</v>
      </c>
      <c r="CI85" s="214" t="s">
        <v>148</v>
      </c>
      <c r="CJ85" s="214" t="s">
        <v>70</v>
      </c>
      <c r="CK85" s="214" t="s">
        <v>530</v>
      </c>
      <c r="CM85" s="214" t="s">
        <v>5998</v>
      </c>
      <c r="CN85" s="214" t="s">
        <v>468</v>
      </c>
      <c r="CO85" s="214" t="s">
        <v>70</v>
      </c>
      <c r="CP85" s="214" t="s">
        <v>530</v>
      </c>
      <c r="CR85" s="214" t="s">
        <v>5999</v>
      </c>
      <c r="CS85" s="214" t="s">
        <v>497</v>
      </c>
      <c r="CT85" s="214" t="s">
        <v>70</v>
      </c>
      <c r="CU85" s="214" t="s">
        <v>530</v>
      </c>
      <c r="CW85" s="214" t="s">
        <v>6000</v>
      </c>
      <c r="CX85" s="214" t="s">
        <v>486</v>
      </c>
      <c r="CY85" s="214" t="s">
        <v>70</v>
      </c>
      <c r="CZ85" s="214" t="s">
        <v>530</v>
      </c>
      <c r="DB85" s="214" t="s">
        <v>6001</v>
      </c>
      <c r="DC85" s="214" t="s">
        <v>485</v>
      </c>
      <c r="DD85" s="214" t="s">
        <v>70</v>
      </c>
      <c r="DE85" s="214" t="s">
        <v>530</v>
      </c>
      <c r="DG85" s="214" t="s">
        <v>6002</v>
      </c>
      <c r="DH85" s="214" t="s">
        <v>52</v>
      </c>
      <c r="DI85" s="214" t="s">
        <v>70</v>
      </c>
      <c r="DJ85" s="214" t="s">
        <v>530</v>
      </c>
      <c r="DL85" s="214" t="s">
        <v>6003</v>
      </c>
      <c r="DM85" s="214" t="s">
        <v>488</v>
      </c>
      <c r="DN85" s="214" t="s">
        <v>70</v>
      </c>
      <c r="DO85" s="214" t="s">
        <v>530</v>
      </c>
      <c r="DQ85" s="214" t="s">
        <v>6004</v>
      </c>
      <c r="DR85" s="214" t="s">
        <v>488</v>
      </c>
      <c r="DS85" s="214" t="s">
        <v>70</v>
      </c>
      <c r="DT85" s="214" t="s">
        <v>530</v>
      </c>
      <c r="DV85" s="214" t="s">
        <v>6005</v>
      </c>
      <c r="DW85" s="214" t="s">
        <v>500</v>
      </c>
      <c r="DX85" s="214" t="s">
        <v>70</v>
      </c>
      <c r="DY85" s="214" t="s">
        <v>530</v>
      </c>
      <c r="EA85" s="214" t="s">
        <v>6006</v>
      </c>
      <c r="EB85" s="214" t="s">
        <v>145</v>
      </c>
      <c r="EC85" s="214" t="s">
        <v>70</v>
      </c>
      <c r="ED85" s="214" t="s">
        <v>530</v>
      </c>
      <c r="EF85" s="214" t="s">
        <v>6007</v>
      </c>
      <c r="EG85" s="214" t="s">
        <v>34544</v>
      </c>
      <c r="EH85" s="214" t="s">
        <v>70</v>
      </c>
      <c r="EI85" s="214" t="s">
        <v>530</v>
      </c>
      <c r="EK85" s="214" t="s">
        <v>6008</v>
      </c>
      <c r="EL85" s="214" t="s">
        <v>501</v>
      </c>
      <c r="EM85" s="214" t="s">
        <v>70</v>
      </c>
      <c r="EN85" s="214" t="s">
        <v>530</v>
      </c>
      <c r="EP85" s="214" t="s">
        <v>6009</v>
      </c>
      <c r="EQ85" s="214" t="s">
        <v>146</v>
      </c>
      <c r="ER85" s="214" t="s">
        <v>70</v>
      </c>
      <c r="ES85" s="214" t="s">
        <v>530</v>
      </c>
      <c r="EU85" s="214" t="s">
        <v>6010</v>
      </c>
      <c r="EV85" s="214" t="s">
        <v>488</v>
      </c>
      <c r="EW85" s="214" t="s">
        <v>70</v>
      </c>
      <c r="EX85" s="214" t="s">
        <v>530</v>
      </c>
      <c r="EZ85" s="214" t="s">
        <v>6011</v>
      </c>
      <c r="FA85" s="214" t="s">
        <v>483</v>
      </c>
      <c r="FB85" s="214" t="s">
        <v>70</v>
      </c>
      <c r="FC85" s="214" t="s">
        <v>530</v>
      </c>
      <c r="FE85" s="214" t="s">
        <v>6012</v>
      </c>
      <c r="FF85" s="214" t="s">
        <v>149</v>
      </c>
      <c r="FG85" s="214" t="s">
        <v>70</v>
      </c>
      <c r="FH85" s="214" t="s">
        <v>530</v>
      </c>
      <c r="FJ85" s="321" t="s">
        <v>6013</v>
      </c>
      <c r="FK85" s="214" t="s">
        <v>148</v>
      </c>
      <c r="FL85" s="214" t="s">
        <v>70</v>
      </c>
      <c r="FM85" s="214" t="s">
        <v>530</v>
      </c>
      <c r="FO85" s="321" t="s">
        <v>6014</v>
      </c>
      <c r="FP85" s="214" t="s">
        <v>468</v>
      </c>
      <c r="FQ85" s="214" t="s">
        <v>70</v>
      </c>
      <c r="FR85" s="214" t="s">
        <v>530</v>
      </c>
      <c r="FT85" s="321" t="s">
        <v>6015</v>
      </c>
      <c r="FU85" s="214" t="s">
        <v>52</v>
      </c>
      <c r="FV85" s="214" t="s">
        <v>70</v>
      </c>
      <c r="FW85" s="214" t="s">
        <v>530</v>
      </c>
      <c r="FY85" s="321" t="s">
        <v>6016</v>
      </c>
      <c r="FZ85" s="214" t="s">
        <v>481</v>
      </c>
      <c r="GA85" s="214" t="s">
        <v>70</v>
      </c>
      <c r="GB85" s="214" t="s">
        <v>530</v>
      </c>
      <c r="GD85" s="321" t="s">
        <v>6017</v>
      </c>
      <c r="GE85" s="214" t="s">
        <v>956</v>
      </c>
      <c r="GF85" s="214" t="s">
        <v>70</v>
      </c>
      <c r="GG85" s="214" t="s">
        <v>530</v>
      </c>
      <c r="GI85" s="321" t="s">
        <v>6018</v>
      </c>
      <c r="GJ85" s="214" t="s">
        <v>88</v>
      </c>
      <c r="GK85" s="214" t="s">
        <v>70</v>
      </c>
      <c r="GL85" s="214" t="s">
        <v>530</v>
      </c>
      <c r="GN85" s="321" t="s">
        <v>6019</v>
      </c>
      <c r="GO85" s="214" t="s">
        <v>485</v>
      </c>
      <c r="GP85" s="214" t="s">
        <v>70</v>
      </c>
      <c r="GQ85" s="214" t="s">
        <v>530</v>
      </c>
      <c r="GS85" s="321" t="s">
        <v>6020</v>
      </c>
      <c r="GT85" s="214" t="s">
        <v>482</v>
      </c>
      <c r="GU85" s="214" t="s">
        <v>70</v>
      </c>
      <c r="GV85" s="214" t="s">
        <v>530</v>
      </c>
      <c r="GX85" s="214" t="s">
        <v>6021</v>
      </c>
      <c r="GY85" s="214" t="s">
        <v>495</v>
      </c>
      <c r="GZ85" s="214" t="s">
        <v>70</v>
      </c>
      <c r="HA85" s="214" t="s">
        <v>530</v>
      </c>
      <c r="HC85" s="214" t="s">
        <v>6022</v>
      </c>
      <c r="HD85" s="214" t="s">
        <v>482</v>
      </c>
      <c r="HE85" s="214" t="s">
        <v>70</v>
      </c>
      <c r="HF85" s="214" t="s">
        <v>530</v>
      </c>
      <c r="HH85" s="214" t="s">
        <v>6023</v>
      </c>
      <c r="HI85" s="214" t="s">
        <v>488</v>
      </c>
      <c r="HJ85" s="214" t="s">
        <v>70</v>
      </c>
      <c r="HK85" s="214" t="s">
        <v>530</v>
      </c>
      <c r="HM85" s="214" t="s">
        <v>6024</v>
      </c>
      <c r="HN85" s="214" t="s">
        <v>484</v>
      </c>
      <c r="HO85" s="214" t="s">
        <v>70</v>
      </c>
      <c r="HP85" s="214" t="s">
        <v>530</v>
      </c>
      <c r="HR85" s="22" t="s">
        <v>6025</v>
      </c>
      <c r="HS85" s="22" t="s">
        <v>34615</v>
      </c>
      <c r="HT85" s="22" t="s">
        <v>70</v>
      </c>
      <c r="HU85" s="214" t="s">
        <v>530</v>
      </c>
      <c r="HW85" s="22" t="s">
        <v>6026</v>
      </c>
      <c r="HX85" s="22" t="s">
        <v>486</v>
      </c>
      <c r="HY85" s="22" t="s">
        <v>70</v>
      </c>
      <c r="HZ85" s="214" t="s">
        <v>530</v>
      </c>
      <c r="IB85" s="22" t="s">
        <v>6027</v>
      </c>
      <c r="IC85" s="22" t="s">
        <v>146</v>
      </c>
      <c r="ID85" s="22" t="s">
        <v>70</v>
      </c>
      <c r="IE85" s="214" t="s">
        <v>530</v>
      </c>
      <c r="IG85" s="22" t="s">
        <v>6028</v>
      </c>
      <c r="IH85" s="22" t="s">
        <v>163</v>
      </c>
      <c r="II85" s="22" t="s">
        <v>70</v>
      </c>
      <c r="IJ85" s="214" t="s">
        <v>530</v>
      </c>
      <c r="IL85" s="22" t="s">
        <v>6029</v>
      </c>
      <c r="IM85" s="22" t="s">
        <v>145</v>
      </c>
      <c r="IN85" s="22" t="s">
        <v>70</v>
      </c>
      <c r="IO85" s="214" t="s">
        <v>530</v>
      </c>
      <c r="IQ85" s="236" t="s">
        <v>6030</v>
      </c>
      <c r="IR85" s="236" t="s">
        <v>145</v>
      </c>
      <c r="IS85" s="236" t="s">
        <v>74</v>
      </c>
      <c r="IT85" s="236" t="s">
        <v>841</v>
      </c>
      <c r="IV85" s="236" t="s">
        <v>6031</v>
      </c>
      <c r="IW85" s="236" t="s">
        <v>145</v>
      </c>
      <c r="IX85" s="236" t="s">
        <v>74</v>
      </c>
      <c r="IY85" s="236" t="s">
        <v>841</v>
      </c>
      <c r="JA85" s="236" t="s">
        <v>6032</v>
      </c>
      <c r="JB85" s="236" t="s">
        <v>145</v>
      </c>
      <c r="JC85" s="236" t="s">
        <v>74</v>
      </c>
      <c r="JD85" s="236" t="s">
        <v>841</v>
      </c>
      <c r="JF85" s="236" t="s">
        <v>6033</v>
      </c>
      <c r="JG85" s="236" t="s">
        <v>145</v>
      </c>
      <c r="JH85" s="236" t="s">
        <v>74</v>
      </c>
      <c r="JI85" s="236" t="s">
        <v>841</v>
      </c>
      <c r="JK85" s="236" t="s">
        <v>6034</v>
      </c>
      <c r="JL85" s="236" t="s">
        <v>145</v>
      </c>
      <c r="JM85" s="236" t="s">
        <v>74</v>
      </c>
      <c r="JN85" s="236" t="s">
        <v>841</v>
      </c>
      <c r="JP85" s="236" t="s">
        <v>6035</v>
      </c>
      <c r="JQ85" s="236" t="s">
        <v>145</v>
      </c>
      <c r="JR85" s="236" t="s">
        <v>74</v>
      </c>
      <c r="JS85" s="236" t="s">
        <v>841</v>
      </c>
      <c r="JU85" s="294" t="s">
        <v>6036</v>
      </c>
      <c r="JV85" s="294" t="str">
        <f>TVIIBE1M_CalPairs!$R94</f>
        <v>0x00</v>
      </c>
      <c r="JW85" s="218" t="s">
        <v>72</v>
      </c>
      <c r="JX85" s="294" t="str">
        <f>TVIIBE1M_CalPairs!$S94</f>
        <v>IPC_STRUCT0_IPC</v>
      </c>
      <c r="JZ85" s="263" t="s">
        <v>6037</v>
      </c>
      <c r="KA85" s="263" t="s">
        <v>145</v>
      </c>
      <c r="KB85" s="263" t="s">
        <v>70</v>
      </c>
      <c r="KC85" s="263" t="s">
        <v>1083</v>
      </c>
      <c r="KE85" s="263" t="s">
        <v>6038</v>
      </c>
      <c r="KF85" s="263" t="s">
        <v>52</v>
      </c>
      <c r="KG85" s="263" t="s">
        <v>70</v>
      </c>
      <c r="KH85" s="263" t="s">
        <v>1083</v>
      </c>
      <c r="KJ85" s="263" t="s">
        <v>6039</v>
      </c>
      <c r="KK85" s="263" t="s">
        <v>52</v>
      </c>
      <c r="KL85" s="263" t="s">
        <v>74</v>
      </c>
      <c r="KM85" s="263" t="s">
        <v>34074</v>
      </c>
      <c r="KO85" s="214" t="s">
        <v>6040</v>
      </c>
      <c r="KP85" s="214" t="s">
        <v>145</v>
      </c>
      <c r="KQ85" s="214" t="s">
        <v>70</v>
      </c>
      <c r="KR85" s="214" t="s">
        <v>67</v>
      </c>
      <c r="KT85" s="22" t="s">
        <v>6041</v>
      </c>
      <c r="KU85" s="22" t="s">
        <v>145</v>
      </c>
      <c r="KV85" s="22" t="s">
        <v>70</v>
      </c>
      <c r="KW85" s="22" t="s">
        <v>67</v>
      </c>
      <c r="KY85" s="214" t="s">
        <v>6042</v>
      </c>
      <c r="KZ85" s="214" t="s">
        <v>52</v>
      </c>
      <c r="LA85" s="214" t="s">
        <v>74</v>
      </c>
      <c r="LB85" s="214" t="s">
        <v>67</v>
      </c>
      <c r="LD85" s="22" t="s">
        <v>6043</v>
      </c>
      <c r="LE85" s="22" t="s">
        <v>145</v>
      </c>
      <c r="LF85" s="22" t="s">
        <v>70</v>
      </c>
      <c r="LG85" s="22" t="s">
        <v>67</v>
      </c>
    </row>
    <row r="86" spans="1:319">
      <c r="A86" s="22" t="s">
        <v>6044</v>
      </c>
      <c r="B86" s="22" t="s">
        <v>145</v>
      </c>
      <c r="C86" s="22" t="s">
        <v>70</v>
      </c>
      <c r="D86" s="22" t="s">
        <v>67</v>
      </c>
      <c r="F86" s="23" t="s">
        <v>6045</v>
      </c>
      <c r="G86" s="23" t="str">
        <f>TVIIBE1M_CalPairs!$E83</f>
        <v>0x8A</v>
      </c>
      <c r="H86" s="23" t="s">
        <v>72</v>
      </c>
      <c r="I86" s="23" t="str">
        <f>TVIIBE1M_CalPairs!$C83</f>
        <v>PWR_TRIM_HT_REF_CTL_VAL3</v>
      </c>
      <c r="K86" s="22" t="s">
        <v>6046</v>
      </c>
      <c r="L86" s="22" t="s">
        <v>145</v>
      </c>
      <c r="M86" s="22" t="s">
        <v>70</v>
      </c>
      <c r="N86" s="22" t="s">
        <v>67</v>
      </c>
      <c r="P86" s="394" t="s">
        <v>6047</v>
      </c>
      <c r="Q86" s="394" t="s">
        <v>145</v>
      </c>
      <c r="R86" s="394" t="s">
        <v>72</v>
      </c>
      <c r="S86" s="394" t="s">
        <v>34092</v>
      </c>
      <c r="U86" s="293" t="s">
        <v>6048</v>
      </c>
      <c r="V86" s="293" t="s">
        <v>145</v>
      </c>
      <c r="W86" s="293" t="s">
        <v>74</v>
      </c>
      <c r="X86" s="293" t="s">
        <v>656</v>
      </c>
      <c r="Z86" s="293" t="s">
        <v>6049</v>
      </c>
      <c r="AA86" s="293" t="s">
        <v>145</v>
      </c>
      <c r="AB86" s="293" t="s">
        <v>74</v>
      </c>
      <c r="AC86" s="293" t="s">
        <v>656</v>
      </c>
      <c r="AE86" s="293" t="s">
        <v>6050</v>
      </c>
      <c r="AF86" s="293" t="s">
        <v>145</v>
      </c>
      <c r="AG86" s="293" t="s">
        <v>74</v>
      </c>
      <c r="AH86" s="293" t="s">
        <v>656</v>
      </c>
      <c r="AJ86" s="293" t="s">
        <v>6051</v>
      </c>
      <c r="AK86" s="293" t="s">
        <v>145</v>
      </c>
      <c r="AL86" s="293" t="s">
        <v>74</v>
      </c>
      <c r="AM86" s="293" t="s">
        <v>656</v>
      </c>
      <c r="AO86" s="22" t="s">
        <v>6052</v>
      </c>
      <c r="AP86" s="22" t="s">
        <v>145</v>
      </c>
      <c r="AQ86" s="22" t="s">
        <v>70</v>
      </c>
      <c r="AR86" s="22" t="s">
        <v>67</v>
      </c>
      <c r="AT86" s="22" t="s">
        <v>6053</v>
      </c>
      <c r="AU86" s="22" t="s">
        <v>145</v>
      </c>
      <c r="AV86" s="22" t="s">
        <v>70</v>
      </c>
      <c r="AW86" s="22" t="s">
        <v>67</v>
      </c>
      <c r="AY86" s="22" t="s">
        <v>6054</v>
      </c>
      <c r="AZ86" s="22" t="s">
        <v>145</v>
      </c>
      <c r="BA86" s="22" t="s">
        <v>70</v>
      </c>
      <c r="BB86" s="22" t="s">
        <v>67</v>
      </c>
      <c r="BD86" s="22" t="s">
        <v>6055</v>
      </c>
      <c r="BE86" s="22" t="s">
        <v>145</v>
      </c>
      <c r="BF86" s="22" t="s">
        <v>70</v>
      </c>
      <c r="BG86" s="22" t="s">
        <v>67</v>
      </c>
      <c r="BI86" s="22" t="s">
        <v>6056</v>
      </c>
      <c r="BJ86" s="22" t="s">
        <v>145</v>
      </c>
      <c r="BK86" s="22" t="s">
        <v>70</v>
      </c>
      <c r="BL86" s="22" t="s">
        <v>67</v>
      </c>
      <c r="BN86" s="22" t="s">
        <v>6057</v>
      </c>
      <c r="BO86" s="22" t="s">
        <v>145</v>
      </c>
      <c r="BP86" s="22" t="s">
        <v>70</v>
      </c>
      <c r="BQ86" s="22" t="s">
        <v>67</v>
      </c>
      <c r="BS86" s="22" t="s">
        <v>6058</v>
      </c>
      <c r="BT86" s="22" t="s">
        <v>145</v>
      </c>
      <c r="BU86" s="22" t="s">
        <v>70</v>
      </c>
      <c r="BV86" s="214" t="s">
        <v>530</v>
      </c>
      <c r="BX86" s="22" t="s">
        <v>6059</v>
      </c>
      <c r="BY86" s="22" t="s">
        <v>145</v>
      </c>
      <c r="BZ86" s="22" t="s">
        <v>70</v>
      </c>
      <c r="CA86" s="214" t="s">
        <v>530</v>
      </c>
      <c r="CC86" s="214" t="s">
        <v>6060</v>
      </c>
      <c r="CD86" s="218" t="s">
        <v>52</v>
      </c>
      <c r="CE86" s="214" t="s">
        <v>70</v>
      </c>
      <c r="CF86" s="214" t="s">
        <v>381</v>
      </c>
      <c r="CH86" s="214" t="s">
        <v>6061</v>
      </c>
      <c r="CI86" s="214" t="s">
        <v>468</v>
      </c>
      <c r="CJ86" s="214" t="s">
        <v>70</v>
      </c>
      <c r="CK86" s="214" t="s">
        <v>530</v>
      </c>
      <c r="CM86" s="214" t="s">
        <v>6062</v>
      </c>
      <c r="CN86" s="214" t="s">
        <v>485</v>
      </c>
      <c r="CO86" s="214" t="s">
        <v>70</v>
      </c>
      <c r="CP86" s="214" t="s">
        <v>530</v>
      </c>
      <c r="CR86" s="214" t="s">
        <v>6063</v>
      </c>
      <c r="CS86" s="214" t="s">
        <v>923</v>
      </c>
      <c r="CT86" s="214" t="s">
        <v>70</v>
      </c>
      <c r="CU86" s="214" t="s">
        <v>530</v>
      </c>
      <c r="CW86" s="214" t="s">
        <v>6064</v>
      </c>
      <c r="CX86" s="214" t="s">
        <v>501</v>
      </c>
      <c r="CY86" s="214" t="s">
        <v>70</v>
      </c>
      <c r="CZ86" s="214" t="s">
        <v>530</v>
      </c>
      <c r="DB86" s="214" t="s">
        <v>6065</v>
      </c>
      <c r="DC86" s="214" t="s">
        <v>34545</v>
      </c>
      <c r="DD86" s="214" t="s">
        <v>70</v>
      </c>
      <c r="DE86" s="214" t="s">
        <v>530</v>
      </c>
      <c r="DG86" s="214" t="s">
        <v>6066</v>
      </c>
      <c r="DH86" s="214" t="s">
        <v>88</v>
      </c>
      <c r="DI86" s="214" t="s">
        <v>70</v>
      </c>
      <c r="DJ86" s="214" t="s">
        <v>530</v>
      </c>
      <c r="DL86" s="214" t="s">
        <v>6067</v>
      </c>
      <c r="DM86" s="214" t="s">
        <v>52</v>
      </c>
      <c r="DN86" s="214" t="s">
        <v>70</v>
      </c>
      <c r="DO86" s="214" t="s">
        <v>530</v>
      </c>
      <c r="DQ86" s="214" t="s">
        <v>6068</v>
      </c>
      <c r="DR86" s="214" t="s">
        <v>912</v>
      </c>
      <c r="DS86" s="214" t="s">
        <v>70</v>
      </c>
      <c r="DT86" s="214" t="s">
        <v>530</v>
      </c>
      <c r="DV86" s="214" t="s">
        <v>6069</v>
      </c>
      <c r="DW86" s="214" t="s">
        <v>90</v>
      </c>
      <c r="DX86" s="214" t="s">
        <v>70</v>
      </c>
      <c r="DY86" s="214" t="s">
        <v>530</v>
      </c>
      <c r="EA86" s="214" t="s">
        <v>6070</v>
      </c>
      <c r="EB86" s="214" t="s">
        <v>145</v>
      </c>
      <c r="EC86" s="214" t="s">
        <v>70</v>
      </c>
      <c r="ED86" s="214" t="s">
        <v>530</v>
      </c>
      <c r="EF86" s="214" t="s">
        <v>6071</v>
      </c>
      <c r="EG86" s="214" t="s">
        <v>468</v>
      </c>
      <c r="EH86" s="214" t="s">
        <v>70</v>
      </c>
      <c r="EI86" s="214" t="s">
        <v>530</v>
      </c>
      <c r="EK86" s="214" t="s">
        <v>6072</v>
      </c>
      <c r="EL86" s="214" t="s">
        <v>34226</v>
      </c>
      <c r="EM86" s="214" t="s">
        <v>70</v>
      </c>
      <c r="EN86" s="214" t="s">
        <v>530</v>
      </c>
      <c r="EP86" s="214" t="s">
        <v>6073</v>
      </c>
      <c r="EQ86" s="214" t="s">
        <v>164</v>
      </c>
      <c r="ER86" s="214" t="s">
        <v>70</v>
      </c>
      <c r="ES86" s="214" t="s">
        <v>530</v>
      </c>
      <c r="EU86" s="214" t="s">
        <v>6074</v>
      </c>
      <c r="EV86" s="214" t="s">
        <v>148</v>
      </c>
      <c r="EW86" s="214" t="s">
        <v>70</v>
      </c>
      <c r="EX86" s="214" t="s">
        <v>530</v>
      </c>
      <c r="EZ86" s="214" t="s">
        <v>6075</v>
      </c>
      <c r="FA86" s="214" t="s">
        <v>34639</v>
      </c>
      <c r="FB86" s="214" t="s">
        <v>70</v>
      </c>
      <c r="FC86" s="214" t="s">
        <v>530</v>
      </c>
      <c r="FE86" s="214" t="s">
        <v>6076</v>
      </c>
      <c r="FF86" s="214" t="s">
        <v>145</v>
      </c>
      <c r="FG86" s="214" t="s">
        <v>70</v>
      </c>
      <c r="FH86" s="214" t="s">
        <v>530</v>
      </c>
      <c r="FJ86" s="321" t="s">
        <v>6077</v>
      </c>
      <c r="FK86" s="214" t="s">
        <v>603</v>
      </c>
      <c r="FL86" s="214" t="s">
        <v>70</v>
      </c>
      <c r="FM86" s="214" t="s">
        <v>530</v>
      </c>
      <c r="FO86" s="321" t="s">
        <v>6078</v>
      </c>
      <c r="FP86" s="214" t="s">
        <v>90</v>
      </c>
      <c r="FQ86" s="214" t="s">
        <v>70</v>
      </c>
      <c r="FR86" s="214" t="s">
        <v>530</v>
      </c>
      <c r="FT86" s="321" t="s">
        <v>6079</v>
      </c>
      <c r="FU86" s="214" t="s">
        <v>34583</v>
      </c>
      <c r="FV86" s="214" t="s">
        <v>70</v>
      </c>
      <c r="FW86" s="214" t="s">
        <v>530</v>
      </c>
      <c r="FY86" s="321" t="s">
        <v>6080</v>
      </c>
      <c r="FZ86" s="214" t="s">
        <v>484</v>
      </c>
      <c r="GA86" s="214" t="s">
        <v>70</v>
      </c>
      <c r="GB86" s="214" t="s">
        <v>530</v>
      </c>
      <c r="GD86" s="321" t="s">
        <v>6081</v>
      </c>
      <c r="GE86" s="214" t="s">
        <v>52</v>
      </c>
      <c r="GF86" s="214" t="s">
        <v>70</v>
      </c>
      <c r="GG86" s="214" t="s">
        <v>530</v>
      </c>
      <c r="GI86" s="321" t="s">
        <v>6082</v>
      </c>
      <c r="GJ86" s="214" t="s">
        <v>52</v>
      </c>
      <c r="GK86" s="214" t="s">
        <v>70</v>
      </c>
      <c r="GL86" s="214" t="s">
        <v>530</v>
      </c>
      <c r="GN86" s="321" t="s">
        <v>6083</v>
      </c>
      <c r="GO86" s="214" t="s">
        <v>34572</v>
      </c>
      <c r="GP86" s="214" t="s">
        <v>70</v>
      </c>
      <c r="GQ86" s="214" t="s">
        <v>530</v>
      </c>
      <c r="GS86" s="321" t="s">
        <v>6084</v>
      </c>
      <c r="GT86" s="214" t="s">
        <v>939</v>
      </c>
      <c r="GU86" s="214" t="s">
        <v>70</v>
      </c>
      <c r="GV86" s="214" t="s">
        <v>530</v>
      </c>
      <c r="GX86" s="214" t="s">
        <v>6085</v>
      </c>
      <c r="GY86" s="214" t="s">
        <v>52</v>
      </c>
      <c r="GZ86" s="214" t="s">
        <v>70</v>
      </c>
      <c r="HA86" s="214" t="s">
        <v>530</v>
      </c>
      <c r="HC86" s="214" t="s">
        <v>6086</v>
      </c>
      <c r="HD86" s="214" t="s">
        <v>34579</v>
      </c>
      <c r="HE86" s="214" t="s">
        <v>70</v>
      </c>
      <c r="HF86" s="214" t="s">
        <v>530</v>
      </c>
      <c r="HH86" s="214" t="s">
        <v>6087</v>
      </c>
      <c r="HI86" s="214" t="s">
        <v>481</v>
      </c>
      <c r="HJ86" s="214" t="s">
        <v>70</v>
      </c>
      <c r="HK86" s="214" t="s">
        <v>530</v>
      </c>
      <c r="HM86" s="214" t="s">
        <v>6088</v>
      </c>
      <c r="HN86" s="214" t="s">
        <v>52</v>
      </c>
      <c r="HO86" s="214" t="s">
        <v>70</v>
      </c>
      <c r="HP86" s="214" t="s">
        <v>530</v>
      </c>
      <c r="HR86" s="22" t="s">
        <v>6089</v>
      </c>
      <c r="HS86" s="22" t="s">
        <v>204</v>
      </c>
      <c r="HT86" s="22" t="s">
        <v>70</v>
      </c>
      <c r="HU86" s="214" t="s">
        <v>530</v>
      </c>
      <c r="HW86" s="22" t="s">
        <v>6090</v>
      </c>
      <c r="HX86" s="22" t="s">
        <v>603</v>
      </c>
      <c r="HY86" s="22" t="s">
        <v>70</v>
      </c>
      <c r="HZ86" s="214" t="s">
        <v>530</v>
      </c>
      <c r="IB86" s="22" t="s">
        <v>6091</v>
      </c>
      <c r="IC86" s="22" t="s">
        <v>90</v>
      </c>
      <c r="ID86" s="22" t="s">
        <v>70</v>
      </c>
      <c r="IE86" s="214" t="s">
        <v>530</v>
      </c>
      <c r="IG86" s="22" t="s">
        <v>6092</v>
      </c>
      <c r="IH86" s="22" t="s">
        <v>148</v>
      </c>
      <c r="II86" s="22" t="s">
        <v>70</v>
      </c>
      <c r="IJ86" s="214" t="s">
        <v>530</v>
      </c>
      <c r="IL86" s="22" t="s">
        <v>6093</v>
      </c>
      <c r="IM86" s="22" t="s">
        <v>145</v>
      </c>
      <c r="IN86" s="22" t="s">
        <v>70</v>
      </c>
      <c r="IO86" s="214" t="s">
        <v>530</v>
      </c>
      <c r="IQ86" s="236" t="s">
        <v>6094</v>
      </c>
      <c r="IR86" s="236" t="s">
        <v>145</v>
      </c>
      <c r="IS86" s="236" t="s">
        <v>74</v>
      </c>
      <c r="IT86" s="236" t="s">
        <v>841</v>
      </c>
      <c r="IV86" s="236" t="s">
        <v>6095</v>
      </c>
      <c r="IW86" s="236" t="s">
        <v>145</v>
      </c>
      <c r="IX86" s="236" t="s">
        <v>74</v>
      </c>
      <c r="IY86" s="236" t="s">
        <v>841</v>
      </c>
      <c r="JA86" s="236" t="s">
        <v>6096</v>
      </c>
      <c r="JB86" s="236" t="s">
        <v>145</v>
      </c>
      <c r="JC86" s="236" t="s">
        <v>74</v>
      </c>
      <c r="JD86" s="236" t="s">
        <v>841</v>
      </c>
      <c r="JF86" s="236" t="s">
        <v>6097</v>
      </c>
      <c r="JG86" s="236" t="s">
        <v>145</v>
      </c>
      <c r="JH86" s="236" t="s">
        <v>74</v>
      </c>
      <c r="JI86" s="236" t="s">
        <v>841</v>
      </c>
      <c r="JK86" s="236" t="s">
        <v>6098</v>
      </c>
      <c r="JL86" s="236" t="s">
        <v>145</v>
      </c>
      <c r="JM86" s="236" t="s">
        <v>74</v>
      </c>
      <c r="JN86" s="236" t="s">
        <v>841</v>
      </c>
      <c r="JP86" s="236" t="s">
        <v>6099</v>
      </c>
      <c r="JQ86" s="236" t="s">
        <v>145</v>
      </c>
      <c r="JR86" s="236" t="s">
        <v>74</v>
      </c>
      <c r="JS86" s="236" t="s">
        <v>841</v>
      </c>
      <c r="JU86" s="294" t="s">
        <v>6100</v>
      </c>
      <c r="JV86" s="294" t="str">
        <f>TVIIBE1M_CalPairs!$R95</f>
        <v>0xFF</v>
      </c>
      <c r="JW86" s="263" t="s">
        <v>70</v>
      </c>
      <c r="JX86" s="294" t="str">
        <f>TVIIBE1M_CalPairs!$Q95</f>
        <v>PPU8_SL_CONFIG</v>
      </c>
      <c r="JZ86" s="263" t="s">
        <v>6101</v>
      </c>
      <c r="KA86" s="263" t="s">
        <v>145</v>
      </c>
      <c r="KB86" s="263" t="s">
        <v>70</v>
      </c>
      <c r="KC86" s="263" t="s">
        <v>1083</v>
      </c>
      <c r="KE86" s="263" t="s">
        <v>6102</v>
      </c>
      <c r="KF86" s="263" t="s">
        <v>52</v>
      </c>
      <c r="KG86" s="263" t="s">
        <v>70</v>
      </c>
      <c r="KH86" s="263" t="s">
        <v>1083</v>
      </c>
      <c r="KJ86" s="263" t="s">
        <v>6103</v>
      </c>
      <c r="KK86" s="263" t="s">
        <v>52</v>
      </c>
      <c r="KL86" s="263" t="s">
        <v>74</v>
      </c>
      <c r="KM86" s="263" t="s">
        <v>34074</v>
      </c>
      <c r="KO86" s="214" t="s">
        <v>6104</v>
      </c>
      <c r="KP86" s="214" t="s">
        <v>145</v>
      </c>
      <c r="KQ86" s="214" t="s">
        <v>70</v>
      </c>
      <c r="KR86" s="214" t="s">
        <v>67</v>
      </c>
      <c r="KT86" s="22" t="s">
        <v>6105</v>
      </c>
      <c r="KU86" s="22" t="s">
        <v>145</v>
      </c>
      <c r="KV86" s="22" t="s">
        <v>70</v>
      </c>
      <c r="KW86" s="22" t="s">
        <v>67</v>
      </c>
      <c r="KY86" s="214" t="s">
        <v>6106</v>
      </c>
      <c r="KZ86" s="214" t="s">
        <v>52</v>
      </c>
      <c r="LA86" s="214" t="s">
        <v>74</v>
      </c>
      <c r="LB86" s="214" t="s">
        <v>67</v>
      </c>
      <c r="LD86" s="22" t="s">
        <v>6107</v>
      </c>
      <c r="LE86" s="22" t="s">
        <v>145</v>
      </c>
      <c r="LF86" s="22" t="s">
        <v>70</v>
      </c>
      <c r="LG86" s="22" t="s">
        <v>67</v>
      </c>
    </row>
    <row r="87" spans="1:319">
      <c r="A87" s="22" t="s">
        <v>6108</v>
      </c>
      <c r="B87" s="22" t="s">
        <v>145</v>
      </c>
      <c r="C87" s="22" t="s">
        <v>70</v>
      </c>
      <c r="D87" s="22" t="s">
        <v>67</v>
      </c>
      <c r="F87" s="23" t="s">
        <v>6109</v>
      </c>
      <c r="G87" s="23" t="str">
        <f>TVIIBE1M_CalPairs!$E84</f>
        <v>0x00</v>
      </c>
      <c r="H87" s="233" t="s">
        <v>72</v>
      </c>
      <c r="I87" s="23" t="str">
        <f>TVIIBE1M_CalPairs!$C84</f>
        <v>PWR_TRIM_HT_BODVDDD_CTL_VAL0</v>
      </c>
      <c r="K87" s="22" t="s">
        <v>6110</v>
      </c>
      <c r="L87" s="22" t="s">
        <v>145</v>
      </c>
      <c r="M87" s="22" t="s">
        <v>70</v>
      </c>
      <c r="N87" s="22" t="s">
        <v>67</v>
      </c>
      <c r="P87" s="394" t="s">
        <v>6111</v>
      </c>
      <c r="Q87" s="394" t="s">
        <v>145</v>
      </c>
      <c r="R87" s="394" t="s">
        <v>72</v>
      </c>
      <c r="S87" s="394" t="s">
        <v>34092</v>
      </c>
      <c r="U87" s="293" t="s">
        <v>6112</v>
      </c>
      <c r="V87" s="293" t="s">
        <v>145</v>
      </c>
      <c r="W87" s="293" t="s">
        <v>74</v>
      </c>
      <c r="X87" s="293" t="s">
        <v>656</v>
      </c>
      <c r="Z87" s="293" t="s">
        <v>6113</v>
      </c>
      <c r="AA87" s="293" t="s">
        <v>145</v>
      </c>
      <c r="AB87" s="293" t="s">
        <v>74</v>
      </c>
      <c r="AC87" s="293" t="s">
        <v>656</v>
      </c>
      <c r="AE87" s="293" t="s">
        <v>6114</v>
      </c>
      <c r="AF87" s="293" t="s">
        <v>145</v>
      </c>
      <c r="AG87" s="293" t="s">
        <v>74</v>
      </c>
      <c r="AH87" s="293" t="s">
        <v>656</v>
      </c>
      <c r="AJ87" s="293" t="s">
        <v>6115</v>
      </c>
      <c r="AK87" s="293" t="s">
        <v>145</v>
      </c>
      <c r="AL87" s="293" t="s">
        <v>74</v>
      </c>
      <c r="AM87" s="293" t="s">
        <v>656</v>
      </c>
      <c r="AO87" s="22" t="s">
        <v>6116</v>
      </c>
      <c r="AP87" s="22" t="s">
        <v>145</v>
      </c>
      <c r="AQ87" s="22" t="s">
        <v>70</v>
      </c>
      <c r="AR87" s="22" t="s">
        <v>67</v>
      </c>
      <c r="AT87" s="22" t="s">
        <v>6117</v>
      </c>
      <c r="AU87" s="22" t="s">
        <v>145</v>
      </c>
      <c r="AV87" s="22" t="s">
        <v>70</v>
      </c>
      <c r="AW87" s="22" t="s">
        <v>67</v>
      </c>
      <c r="AY87" s="22" t="s">
        <v>6118</v>
      </c>
      <c r="AZ87" s="22" t="s">
        <v>145</v>
      </c>
      <c r="BA87" s="22" t="s">
        <v>70</v>
      </c>
      <c r="BB87" s="22" t="s">
        <v>67</v>
      </c>
      <c r="BD87" s="22" t="s">
        <v>6119</v>
      </c>
      <c r="BE87" s="22" t="s">
        <v>145</v>
      </c>
      <c r="BF87" s="22" t="s">
        <v>70</v>
      </c>
      <c r="BG87" s="22" t="s">
        <v>67</v>
      </c>
      <c r="BI87" s="22" t="s">
        <v>6120</v>
      </c>
      <c r="BJ87" s="22" t="s">
        <v>145</v>
      </c>
      <c r="BK87" s="22" t="s">
        <v>70</v>
      </c>
      <c r="BL87" s="22" t="s">
        <v>67</v>
      </c>
      <c r="BN87" s="22" t="s">
        <v>6121</v>
      </c>
      <c r="BO87" s="22" t="s">
        <v>145</v>
      </c>
      <c r="BP87" s="22" t="s">
        <v>70</v>
      </c>
      <c r="BQ87" s="22" t="s">
        <v>67</v>
      </c>
      <c r="BS87" s="22" t="s">
        <v>6122</v>
      </c>
      <c r="BT87" s="22" t="s">
        <v>145</v>
      </c>
      <c r="BU87" s="22" t="s">
        <v>70</v>
      </c>
      <c r="BV87" s="214" t="s">
        <v>530</v>
      </c>
      <c r="BX87" s="22" t="s">
        <v>6123</v>
      </c>
      <c r="BY87" s="22" t="s">
        <v>145</v>
      </c>
      <c r="BZ87" s="22" t="s">
        <v>70</v>
      </c>
      <c r="CA87" s="214" t="s">
        <v>530</v>
      </c>
      <c r="CC87" s="214" t="s">
        <v>6124</v>
      </c>
      <c r="CD87" s="218" t="s">
        <v>601</v>
      </c>
      <c r="CE87" s="214" t="s">
        <v>70</v>
      </c>
      <c r="CF87" s="214" t="s">
        <v>382</v>
      </c>
      <c r="CH87" s="214" t="s">
        <v>6125</v>
      </c>
      <c r="CI87" s="214" t="s">
        <v>926</v>
      </c>
      <c r="CJ87" s="214" t="s">
        <v>70</v>
      </c>
      <c r="CK87" s="214" t="s">
        <v>530</v>
      </c>
      <c r="CM87" s="214" t="s">
        <v>6126</v>
      </c>
      <c r="CN87" s="214" t="s">
        <v>481</v>
      </c>
      <c r="CO87" s="214" t="s">
        <v>70</v>
      </c>
      <c r="CP87" s="214" t="s">
        <v>530</v>
      </c>
      <c r="CR87" s="214" t="s">
        <v>6127</v>
      </c>
      <c r="CS87" s="214" t="s">
        <v>103</v>
      </c>
      <c r="CT87" s="214" t="s">
        <v>70</v>
      </c>
      <c r="CU87" s="214" t="s">
        <v>530</v>
      </c>
      <c r="CW87" s="214" t="s">
        <v>6128</v>
      </c>
      <c r="CX87" s="214" t="s">
        <v>488</v>
      </c>
      <c r="CY87" s="214" t="s">
        <v>70</v>
      </c>
      <c r="CZ87" s="214" t="s">
        <v>530</v>
      </c>
      <c r="DB87" s="214" t="s">
        <v>6129</v>
      </c>
      <c r="DC87" s="214" t="s">
        <v>34561</v>
      </c>
      <c r="DD87" s="214" t="s">
        <v>70</v>
      </c>
      <c r="DE87" s="214" t="s">
        <v>530</v>
      </c>
      <c r="DG87" s="214" t="s">
        <v>6130</v>
      </c>
      <c r="DH87" s="214" t="s">
        <v>484</v>
      </c>
      <c r="DI87" s="214" t="s">
        <v>70</v>
      </c>
      <c r="DJ87" s="214" t="s">
        <v>530</v>
      </c>
      <c r="DL87" s="214" t="s">
        <v>6131</v>
      </c>
      <c r="DM87" s="214" t="s">
        <v>468</v>
      </c>
      <c r="DN87" s="214" t="s">
        <v>70</v>
      </c>
      <c r="DO87" s="214" t="s">
        <v>530</v>
      </c>
      <c r="DQ87" s="214" t="s">
        <v>6132</v>
      </c>
      <c r="DR87" s="214" t="s">
        <v>484</v>
      </c>
      <c r="DS87" s="214" t="s">
        <v>70</v>
      </c>
      <c r="DT87" s="214" t="s">
        <v>530</v>
      </c>
      <c r="DV87" s="214" t="s">
        <v>6133</v>
      </c>
      <c r="DW87" s="214" t="s">
        <v>93</v>
      </c>
      <c r="DX87" s="214" t="s">
        <v>70</v>
      </c>
      <c r="DY87" s="214" t="s">
        <v>530</v>
      </c>
      <c r="EA87" s="214" t="s">
        <v>6134</v>
      </c>
      <c r="EB87" s="214" t="s">
        <v>649</v>
      </c>
      <c r="EC87" s="214" t="s">
        <v>70</v>
      </c>
      <c r="ED87" s="214" t="s">
        <v>530</v>
      </c>
      <c r="EF87" s="214" t="s">
        <v>6135</v>
      </c>
      <c r="EG87" s="214" t="s">
        <v>921</v>
      </c>
      <c r="EH87" s="214" t="s">
        <v>70</v>
      </c>
      <c r="EI87" s="214" t="s">
        <v>530</v>
      </c>
      <c r="EK87" s="214" t="s">
        <v>6136</v>
      </c>
      <c r="EL87" s="214" t="s">
        <v>34542</v>
      </c>
      <c r="EM87" s="214" t="s">
        <v>70</v>
      </c>
      <c r="EN87" s="214" t="s">
        <v>530</v>
      </c>
      <c r="EP87" s="214" t="s">
        <v>6137</v>
      </c>
      <c r="EQ87" s="214" t="s">
        <v>34542</v>
      </c>
      <c r="ER87" s="214" t="s">
        <v>70</v>
      </c>
      <c r="ES87" s="214" t="s">
        <v>530</v>
      </c>
      <c r="EU87" s="214" t="s">
        <v>6138</v>
      </c>
      <c r="EV87" s="214" t="s">
        <v>912</v>
      </c>
      <c r="EW87" s="214" t="s">
        <v>70</v>
      </c>
      <c r="EX87" s="214" t="s">
        <v>530</v>
      </c>
      <c r="EZ87" s="214" t="s">
        <v>6139</v>
      </c>
      <c r="FA87" s="214" t="s">
        <v>146</v>
      </c>
      <c r="FB87" s="214" t="s">
        <v>70</v>
      </c>
      <c r="FC87" s="214" t="s">
        <v>530</v>
      </c>
      <c r="FE87" s="214" t="s">
        <v>6140</v>
      </c>
      <c r="FF87" s="214" t="s">
        <v>34541</v>
      </c>
      <c r="FG87" s="214" t="s">
        <v>70</v>
      </c>
      <c r="FH87" s="214" t="s">
        <v>530</v>
      </c>
      <c r="FJ87" s="321" t="s">
        <v>6141</v>
      </c>
      <c r="FK87" s="214" t="s">
        <v>798</v>
      </c>
      <c r="FL87" s="214" t="s">
        <v>70</v>
      </c>
      <c r="FM87" s="214" t="s">
        <v>530</v>
      </c>
      <c r="FO87" s="321" t="s">
        <v>6142</v>
      </c>
      <c r="FP87" s="214" t="s">
        <v>149</v>
      </c>
      <c r="FQ87" s="214" t="s">
        <v>70</v>
      </c>
      <c r="FR87" s="214" t="s">
        <v>530</v>
      </c>
      <c r="FT87" s="321" t="s">
        <v>6143</v>
      </c>
      <c r="FU87" s="214" t="s">
        <v>52</v>
      </c>
      <c r="FV87" s="214" t="s">
        <v>70</v>
      </c>
      <c r="FW87" s="214" t="s">
        <v>530</v>
      </c>
      <c r="FY87" s="321" t="s">
        <v>6144</v>
      </c>
      <c r="FZ87" s="214" t="s">
        <v>926</v>
      </c>
      <c r="GA87" s="214" t="s">
        <v>70</v>
      </c>
      <c r="GB87" s="214" t="s">
        <v>530</v>
      </c>
      <c r="GD87" s="321" t="s">
        <v>6145</v>
      </c>
      <c r="GE87" s="214" t="s">
        <v>955</v>
      </c>
      <c r="GF87" s="214" t="s">
        <v>70</v>
      </c>
      <c r="GG87" s="214" t="s">
        <v>530</v>
      </c>
      <c r="GI87" s="321" t="s">
        <v>6146</v>
      </c>
      <c r="GJ87" s="214" t="s">
        <v>88</v>
      </c>
      <c r="GK87" s="214" t="s">
        <v>70</v>
      </c>
      <c r="GL87" s="214" t="s">
        <v>530</v>
      </c>
      <c r="GN87" s="321" t="s">
        <v>6147</v>
      </c>
      <c r="GO87" s="214" t="s">
        <v>34542</v>
      </c>
      <c r="GP87" s="214" t="s">
        <v>70</v>
      </c>
      <c r="GQ87" s="214" t="s">
        <v>530</v>
      </c>
      <c r="GS87" s="321" t="s">
        <v>6148</v>
      </c>
      <c r="GT87" s="214" t="s">
        <v>34595</v>
      </c>
      <c r="GU87" s="214" t="s">
        <v>70</v>
      </c>
      <c r="GV87" s="214" t="s">
        <v>530</v>
      </c>
      <c r="GX87" s="214" t="s">
        <v>6149</v>
      </c>
      <c r="GY87" s="214" t="s">
        <v>484</v>
      </c>
      <c r="GZ87" s="214" t="s">
        <v>70</v>
      </c>
      <c r="HA87" s="214" t="s">
        <v>530</v>
      </c>
      <c r="HC87" s="214" t="s">
        <v>6150</v>
      </c>
      <c r="HD87" s="214" t="s">
        <v>52</v>
      </c>
      <c r="HE87" s="214" t="s">
        <v>70</v>
      </c>
      <c r="HF87" s="214" t="s">
        <v>530</v>
      </c>
      <c r="HH87" s="214" t="s">
        <v>6151</v>
      </c>
      <c r="HI87" s="214" t="s">
        <v>487</v>
      </c>
      <c r="HJ87" s="214" t="s">
        <v>70</v>
      </c>
      <c r="HK87" s="214" t="s">
        <v>530</v>
      </c>
      <c r="HM87" s="214" t="s">
        <v>6152</v>
      </c>
      <c r="HN87" s="214" t="s">
        <v>950</v>
      </c>
      <c r="HO87" s="214" t="s">
        <v>70</v>
      </c>
      <c r="HP87" s="214" t="s">
        <v>530</v>
      </c>
      <c r="HR87" s="22" t="s">
        <v>6153</v>
      </c>
      <c r="HS87" s="22" t="s">
        <v>146</v>
      </c>
      <c r="HT87" s="22" t="s">
        <v>70</v>
      </c>
      <c r="HU87" s="214" t="s">
        <v>530</v>
      </c>
      <c r="HW87" s="22" t="s">
        <v>6154</v>
      </c>
      <c r="HX87" s="22" t="s">
        <v>501</v>
      </c>
      <c r="HY87" s="22" t="s">
        <v>70</v>
      </c>
      <c r="HZ87" s="214" t="s">
        <v>530</v>
      </c>
      <c r="IB87" s="22" t="s">
        <v>6155</v>
      </c>
      <c r="IC87" s="22" t="s">
        <v>502</v>
      </c>
      <c r="ID87" s="22" t="s">
        <v>70</v>
      </c>
      <c r="IE87" s="214" t="s">
        <v>530</v>
      </c>
      <c r="IG87" s="22" t="s">
        <v>6156</v>
      </c>
      <c r="IH87" s="22" t="s">
        <v>148</v>
      </c>
      <c r="II87" s="22" t="s">
        <v>70</v>
      </c>
      <c r="IJ87" s="214" t="s">
        <v>530</v>
      </c>
      <c r="IL87" s="22" t="s">
        <v>6157</v>
      </c>
      <c r="IM87" s="22" t="s">
        <v>145</v>
      </c>
      <c r="IN87" s="22" t="s">
        <v>70</v>
      </c>
      <c r="IO87" s="214" t="s">
        <v>530</v>
      </c>
      <c r="IQ87" s="236" t="s">
        <v>6158</v>
      </c>
      <c r="IR87" s="236" t="s">
        <v>145</v>
      </c>
      <c r="IS87" s="236" t="s">
        <v>74</v>
      </c>
      <c r="IT87" s="236" t="s">
        <v>841</v>
      </c>
      <c r="IV87" s="236" t="s">
        <v>6159</v>
      </c>
      <c r="IW87" s="236" t="s">
        <v>145</v>
      </c>
      <c r="IX87" s="236" t="s">
        <v>74</v>
      </c>
      <c r="IY87" s="236" t="s">
        <v>841</v>
      </c>
      <c r="JA87" s="236" t="s">
        <v>6160</v>
      </c>
      <c r="JB87" s="236" t="s">
        <v>145</v>
      </c>
      <c r="JC87" s="236" t="s">
        <v>74</v>
      </c>
      <c r="JD87" s="236" t="s">
        <v>841</v>
      </c>
      <c r="JF87" s="236" t="s">
        <v>6161</v>
      </c>
      <c r="JG87" s="236" t="s">
        <v>145</v>
      </c>
      <c r="JH87" s="236" t="s">
        <v>74</v>
      </c>
      <c r="JI87" s="236" t="s">
        <v>841</v>
      </c>
      <c r="JK87" s="236" t="s">
        <v>6162</v>
      </c>
      <c r="JL87" s="236" t="s">
        <v>145</v>
      </c>
      <c r="JM87" s="236" t="s">
        <v>74</v>
      </c>
      <c r="JN87" s="236" t="s">
        <v>841</v>
      </c>
      <c r="JP87" s="236" t="s">
        <v>6163</v>
      </c>
      <c r="JQ87" s="236" t="s">
        <v>145</v>
      </c>
      <c r="JR87" s="236" t="s">
        <v>74</v>
      </c>
      <c r="JS87" s="236" t="s">
        <v>841</v>
      </c>
      <c r="JU87" s="294" t="s">
        <v>6164</v>
      </c>
      <c r="JV87" s="294" t="str">
        <f>TVIIBE1M_CalPairs!$R96</f>
        <v>0xFF</v>
      </c>
      <c r="JW87" s="263" t="s">
        <v>70</v>
      </c>
      <c r="JX87" s="294" t="str">
        <f>TVIIBE1M_CalPairs!$Q96</f>
        <v>PPU8_MS_CONFIG</v>
      </c>
      <c r="JZ87" s="263" t="s">
        <v>6165</v>
      </c>
      <c r="KA87" s="263" t="s">
        <v>145</v>
      </c>
      <c r="KB87" s="263" t="s">
        <v>70</v>
      </c>
      <c r="KC87" s="263" t="s">
        <v>1083</v>
      </c>
      <c r="KE87" s="263" t="s">
        <v>6166</v>
      </c>
      <c r="KF87" s="263" t="s">
        <v>52</v>
      </c>
      <c r="KG87" s="263" t="s">
        <v>70</v>
      </c>
      <c r="KH87" s="263" t="s">
        <v>1083</v>
      </c>
      <c r="KJ87" s="263" t="s">
        <v>6167</v>
      </c>
      <c r="KK87" s="263" t="s">
        <v>52</v>
      </c>
      <c r="KL87" s="263" t="s">
        <v>74</v>
      </c>
      <c r="KM87" s="263" t="s">
        <v>34074</v>
      </c>
      <c r="KO87" s="214" t="s">
        <v>6168</v>
      </c>
      <c r="KP87" s="214" t="s">
        <v>145</v>
      </c>
      <c r="KQ87" s="214" t="s">
        <v>70</v>
      </c>
      <c r="KR87" s="214" t="s">
        <v>67</v>
      </c>
      <c r="KT87" s="22" t="s">
        <v>6169</v>
      </c>
      <c r="KU87" s="22" t="s">
        <v>145</v>
      </c>
      <c r="KV87" s="22" t="s">
        <v>70</v>
      </c>
      <c r="KW87" s="22" t="s">
        <v>67</v>
      </c>
      <c r="KY87" s="214" t="s">
        <v>6170</v>
      </c>
      <c r="KZ87" s="214" t="s">
        <v>52</v>
      </c>
      <c r="LA87" s="214" t="s">
        <v>74</v>
      </c>
      <c r="LB87" s="214" t="s">
        <v>67</v>
      </c>
      <c r="LD87" s="22" t="s">
        <v>6171</v>
      </c>
      <c r="LE87" s="22" t="s">
        <v>145</v>
      </c>
      <c r="LF87" s="22" t="s">
        <v>70</v>
      </c>
      <c r="LG87" s="22" t="s">
        <v>67</v>
      </c>
    </row>
    <row r="88" spans="1:319">
      <c r="A88" s="22" t="s">
        <v>6172</v>
      </c>
      <c r="B88" s="22" t="s">
        <v>145</v>
      </c>
      <c r="C88" s="22" t="s">
        <v>70</v>
      </c>
      <c r="D88" s="22" t="s">
        <v>67</v>
      </c>
      <c r="F88" s="23" t="s">
        <v>6173</v>
      </c>
      <c r="G88" s="23" t="str">
        <f>TVIIBE1M_CalPairs!$E85</f>
        <v>0x04</v>
      </c>
      <c r="H88" s="233" t="s">
        <v>72</v>
      </c>
      <c r="I88" s="23" t="str">
        <f>TVIIBE1M_CalPairs!$C85</f>
        <v>PWR_TRIM_HT_BODVDDD_CTL_VAL1</v>
      </c>
      <c r="K88" s="22" t="s">
        <v>6174</v>
      </c>
      <c r="L88" s="22" t="s">
        <v>145</v>
      </c>
      <c r="M88" s="22" t="s">
        <v>70</v>
      </c>
      <c r="N88" s="22" t="s">
        <v>67</v>
      </c>
      <c r="P88" s="394" t="s">
        <v>6175</v>
      </c>
      <c r="Q88" s="394" t="s">
        <v>145</v>
      </c>
      <c r="R88" s="394" t="s">
        <v>72</v>
      </c>
      <c r="S88" s="394" t="s">
        <v>34093</v>
      </c>
      <c r="U88" s="293" t="s">
        <v>6176</v>
      </c>
      <c r="V88" s="293" t="s">
        <v>145</v>
      </c>
      <c r="W88" s="293" t="s">
        <v>74</v>
      </c>
      <c r="X88" s="293" t="s">
        <v>656</v>
      </c>
      <c r="Z88" s="293" t="s">
        <v>6177</v>
      </c>
      <c r="AA88" s="293" t="s">
        <v>145</v>
      </c>
      <c r="AB88" s="293" t="s">
        <v>74</v>
      </c>
      <c r="AC88" s="293" t="s">
        <v>656</v>
      </c>
      <c r="AE88" s="293" t="s">
        <v>6178</v>
      </c>
      <c r="AF88" s="293" t="s">
        <v>145</v>
      </c>
      <c r="AG88" s="293" t="s">
        <v>74</v>
      </c>
      <c r="AH88" s="293" t="s">
        <v>656</v>
      </c>
      <c r="AJ88" s="293" t="s">
        <v>6179</v>
      </c>
      <c r="AK88" s="293" t="s">
        <v>145</v>
      </c>
      <c r="AL88" s="293" t="s">
        <v>74</v>
      </c>
      <c r="AM88" s="293" t="s">
        <v>656</v>
      </c>
      <c r="AO88" s="22" t="s">
        <v>6180</v>
      </c>
      <c r="AP88" s="22" t="s">
        <v>145</v>
      </c>
      <c r="AQ88" s="22" t="s">
        <v>70</v>
      </c>
      <c r="AR88" s="22" t="s">
        <v>67</v>
      </c>
      <c r="AT88" s="22" t="s">
        <v>6181</v>
      </c>
      <c r="AU88" s="22" t="s">
        <v>145</v>
      </c>
      <c r="AV88" s="22" t="s">
        <v>70</v>
      </c>
      <c r="AW88" s="22" t="s">
        <v>67</v>
      </c>
      <c r="AY88" s="22" t="s">
        <v>6182</v>
      </c>
      <c r="AZ88" s="22" t="s">
        <v>145</v>
      </c>
      <c r="BA88" s="22" t="s">
        <v>70</v>
      </c>
      <c r="BB88" s="22" t="s">
        <v>67</v>
      </c>
      <c r="BD88" s="22" t="s">
        <v>6183</v>
      </c>
      <c r="BE88" s="22" t="s">
        <v>145</v>
      </c>
      <c r="BF88" s="22" t="s">
        <v>70</v>
      </c>
      <c r="BG88" s="22" t="s">
        <v>67</v>
      </c>
      <c r="BI88" s="22" t="s">
        <v>6184</v>
      </c>
      <c r="BJ88" s="22" t="s">
        <v>145</v>
      </c>
      <c r="BK88" s="22" t="s">
        <v>70</v>
      </c>
      <c r="BL88" s="22" t="s">
        <v>67</v>
      </c>
      <c r="BN88" s="22" t="s">
        <v>6185</v>
      </c>
      <c r="BO88" s="22" t="s">
        <v>145</v>
      </c>
      <c r="BP88" s="22" t="s">
        <v>70</v>
      </c>
      <c r="BQ88" s="22" t="s">
        <v>67</v>
      </c>
      <c r="BS88" s="22" t="s">
        <v>6186</v>
      </c>
      <c r="BT88" s="22" t="s">
        <v>145</v>
      </c>
      <c r="BU88" s="22" t="s">
        <v>70</v>
      </c>
      <c r="BV88" s="214" t="s">
        <v>530</v>
      </c>
      <c r="BX88" s="22" t="s">
        <v>6187</v>
      </c>
      <c r="BY88" s="22" t="s">
        <v>145</v>
      </c>
      <c r="BZ88" s="22" t="s">
        <v>70</v>
      </c>
      <c r="CA88" s="214" t="s">
        <v>530</v>
      </c>
      <c r="CC88" s="214" t="s">
        <v>6188</v>
      </c>
      <c r="CD88" s="218" t="s">
        <v>34650</v>
      </c>
      <c r="CE88" s="214" t="s">
        <v>70</v>
      </c>
      <c r="CF88" s="214" t="s">
        <v>383</v>
      </c>
      <c r="CH88" s="214" t="s">
        <v>6189</v>
      </c>
      <c r="CI88" s="214" t="s">
        <v>146</v>
      </c>
      <c r="CJ88" s="214" t="s">
        <v>70</v>
      </c>
      <c r="CK88" s="214" t="s">
        <v>530</v>
      </c>
      <c r="CM88" s="214" t="s">
        <v>6190</v>
      </c>
      <c r="CN88" s="214" t="s">
        <v>34610</v>
      </c>
      <c r="CO88" s="214" t="s">
        <v>70</v>
      </c>
      <c r="CP88" s="214" t="s">
        <v>530</v>
      </c>
      <c r="CR88" s="214" t="s">
        <v>6191</v>
      </c>
      <c r="CS88" s="214" t="s">
        <v>34618</v>
      </c>
      <c r="CT88" s="214" t="s">
        <v>70</v>
      </c>
      <c r="CU88" s="214" t="s">
        <v>530</v>
      </c>
      <c r="CW88" s="214" t="s">
        <v>6192</v>
      </c>
      <c r="CX88" s="214" t="s">
        <v>148</v>
      </c>
      <c r="CY88" s="214" t="s">
        <v>70</v>
      </c>
      <c r="CZ88" s="214" t="s">
        <v>530</v>
      </c>
      <c r="DB88" s="214" t="s">
        <v>6193</v>
      </c>
      <c r="DC88" s="214" t="s">
        <v>34575</v>
      </c>
      <c r="DD88" s="214" t="s">
        <v>70</v>
      </c>
      <c r="DE88" s="214" t="s">
        <v>530</v>
      </c>
      <c r="DG88" s="214" t="s">
        <v>6194</v>
      </c>
      <c r="DH88" s="214" t="s">
        <v>945</v>
      </c>
      <c r="DI88" s="214" t="s">
        <v>70</v>
      </c>
      <c r="DJ88" s="214" t="s">
        <v>530</v>
      </c>
      <c r="DL88" s="214" t="s">
        <v>6195</v>
      </c>
      <c r="DM88" s="214" t="s">
        <v>34579</v>
      </c>
      <c r="DN88" s="214" t="s">
        <v>70</v>
      </c>
      <c r="DO88" s="214" t="s">
        <v>530</v>
      </c>
      <c r="DQ88" s="214" t="s">
        <v>6196</v>
      </c>
      <c r="DR88" s="214" t="s">
        <v>305</v>
      </c>
      <c r="DS88" s="214" t="s">
        <v>70</v>
      </c>
      <c r="DT88" s="214" t="s">
        <v>530</v>
      </c>
      <c r="DV88" s="214" t="s">
        <v>6197</v>
      </c>
      <c r="DW88" s="214" t="s">
        <v>90</v>
      </c>
      <c r="DX88" s="214" t="s">
        <v>70</v>
      </c>
      <c r="DY88" s="214" t="s">
        <v>530</v>
      </c>
      <c r="EA88" s="214" t="s">
        <v>6198</v>
      </c>
      <c r="EB88" s="214" t="s">
        <v>34581</v>
      </c>
      <c r="EC88" s="214" t="s">
        <v>70</v>
      </c>
      <c r="ED88" s="214" t="s">
        <v>530</v>
      </c>
      <c r="EF88" s="214" t="s">
        <v>6199</v>
      </c>
      <c r="EG88" s="214" t="s">
        <v>148</v>
      </c>
      <c r="EH88" s="214" t="s">
        <v>70</v>
      </c>
      <c r="EI88" s="214" t="s">
        <v>530</v>
      </c>
      <c r="EK88" s="214" t="s">
        <v>6200</v>
      </c>
      <c r="EL88" s="214" t="s">
        <v>148</v>
      </c>
      <c r="EM88" s="214" t="s">
        <v>70</v>
      </c>
      <c r="EN88" s="214" t="s">
        <v>530</v>
      </c>
      <c r="EP88" s="214" t="s">
        <v>6201</v>
      </c>
      <c r="EQ88" s="214" t="s">
        <v>34620</v>
      </c>
      <c r="ER88" s="214" t="s">
        <v>70</v>
      </c>
      <c r="ES88" s="214" t="s">
        <v>530</v>
      </c>
      <c r="EU88" s="214" t="s">
        <v>6202</v>
      </c>
      <c r="EV88" s="214" t="s">
        <v>148</v>
      </c>
      <c r="EW88" s="214" t="s">
        <v>70</v>
      </c>
      <c r="EX88" s="214" t="s">
        <v>530</v>
      </c>
      <c r="EZ88" s="214" t="s">
        <v>6203</v>
      </c>
      <c r="FA88" s="214" t="s">
        <v>287</v>
      </c>
      <c r="FB88" s="214" t="s">
        <v>70</v>
      </c>
      <c r="FC88" s="214" t="s">
        <v>530</v>
      </c>
      <c r="FE88" s="214" t="s">
        <v>6204</v>
      </c>
      <c r="FF88" s="214" t="s">
        <v>944</v>
      </c>
      <c r="FG88" s="214" t="s">
        <v>70</v>
      </c>
      <c r="FH88" s="214" t="s">
        <v>530</v>
      </c>
      <c r="FJ88" s="321" t="s">
        <v>6205</v>
      </c>
      <c r="FK88" s="214" t="s">
        <v>765</v>
      </c>
      <c r="FL88" s="214" t="s">
        <v>70</v>
      </c>
      <c r="FM88" s="214" t="s">
        <v>530</v>
      </c>
      <c r="FO88" s="321" t="s">
        <v>6206</v>
      </c>
      <c r="FP88" s="214" t="s">
        <v>88</v>
      </c>
      <c r="FQ88" s="214" t="s">
        <v>70</v>
      </c>
      <c r="FR88" s="214" t="s">
        <v>530</v>
      </c>
      <c r="FT88" s="321" t="s">
        <v>6207</v>
      </c>
      <c r="FU88" s="214" t="s">
        <v>90</v>
      </c>
      <c r="FV88" s="214" t="s">
        <v>70</v>
      </c>
      <c r="FW88" s="214" t="s">
        <v>530</v>
      </c>
      <c r="FY88" s="321" t="s">
        <v>6208</v>
      </c>
      <c r="FZ88" s="214" t="s">
        <v>52</v>
      </c>
      <c r="GA88" s="214" t="s">
        <v>70</v>
      </c>
      <c r="GB88" s="214" t="s">
        <v>530</v>
      </c>
      <c r="GD88" s="321" t="s">
        <v>6209</v>
      </c>
      <c r="GE88" s="214" t="s">
        <v>145</v>
      </c>
      <c r="GF88" s="214" t="s">
        <v>70</v>
      </c>
      <c r="GG88" s="214" t="s">
        <v>530</v>
      </c>
      <c r="GI88" s="321" t="s">
        <v>6210</v>
      </c>
      <c r="GJ88" s="214" t="s">
        <v>34516</v>
      </c>
      <c r="GK88" s="214" t="s">
        <v>70</v>
      </c>
      <c r="GL88" s="214" t="s">
        <v>530</v>
      </c>
      <c r="GN88" s="321" t="s">
        <v>6211</v>
      </c>
      <c r="GO88" s="214" t="s">
        <v>93</v>
      </c>
      <c r="GP88" s="214" t="s">
        <v>70</v>
      </c>
      <c r="GQ88" s="214" t="s">
        <v>530</v>
      </c>
      <c r="GS88" s="321" t="s">
        <v>6212</v>
      </c>
      <c r="GT88" s="214" t="s">
        <v>86</v>
      </c>
      <c r="GU88" s="214" t="s">
        <v>70</v>
      </c>
      <c r="GV88" s="214" t="s">
        <v>530</v>
      </c>
      <c r="GX88" s="214" t="s">
        <v>6213</v>
      </c>
      <c r="GY88" s="214" t="s">
        <v>148</v>
      </c>
      <c r="GZ88" s="214" t="s">
        <v>70</v>
      </c>
      <c r="HA88" s="214" t="s">
        <v>530</v>
      </c>
      <c r="HC88" s="214" t="s">
        <v>6214</v>
      </c>
      <c r="HD88" s="214" t="s">
        <v>34620</v>
      </c>
      <c r="HE88" s="214" t="s">
        <v>70</v>
      </c>
      <c r="HF88" s="214" t="s">
        <v>530</v>
      </c>
      <c r="HH88" s="214" t="s">
        <v>6215</v>
      </c>
      <c r="HI88" s="214" t="s">
        <v>34566</v>
      </c>
      <c r="HJ88" s="214" t="s">
        <v>70</v>
      </c>
      <c r="HK88" s="214" t="s">
        <v>530</v>
      </c>
      <c r="HM88" s="214" t="s">
        <v>6216</v>
      </c>
      <c r="HN88" s="214" t="s">
        <v>34558</v>
      </c>
      <c r="HO88" s="214" t="s">
        <v>70</v>
      </c>
      <c r="HP88" s="214" t="s">
        <v>530</v>
      </c>
      <c r="HR88" s="22" t="s">
        <v>6217</v>
      </c>
      <c r="HS88" s="22" t="s">
        <v>917</v>
      </c>
      <c r="HT88" s="22" t="s">
        <v>70</v>
      </c>
      <c r="HU88" s="214" t="s">
        <v>530</v>
      </c>
      <c r="HW88" s="22" t="s">
        <v>6218</v>
      </c>
      <c r="HX88" s="22" t="s">
        <v>529</v>
      </c>
      <c r="HY88" s="22" t="s">
        <v>70</v>
      </c>
      <c r="HZ88" s="214" t="s">
        <v>530</v>
      </c>
      <c r="IB88" s="22" t="s">
        <v>6219</v>
      </c>
      <c r="IC88" s="22" t="s">
        <v>949</v>
      </c>
      <c r="ID88" s="22" t="s">
        <v>70</v>
      </c>
      <c r="IE88" s="214" t="s">
        <v>530</v>
      </c>
      <c r="IG88" s="22" t="s">
        <v>6220</v>
      </c>
      <c r="IH88" s="22" t="s">
        <v>52</v>
      </c>
      <c r="II88" s="22" t="s">
        <v>70</v>
      </c>
      <c r="IJ88" s="214" t="s">
        <v>530</v>
      </c>
      <c r="IL88" s="22" t="s">
        <v>6221</v>
      </c>
      <c r="IM88" s="22" t="s">
        <v>145</v>
      </c>
      <c r="IN88" s="22" t="s">
        <v>70</v>
      </c>
      <c r="IO88" s="214" t="s">
        <v>530</v>
      </c>
      <c r="IQ88" s="236" t="s">
        <v>6222</v>
      </c>
      <c r="IR88" s="236" t="s">
        <v>145</v>
      </c>
      <c r="IS88" s="236" t="s">
        <v>74</v>
      </c>
      <c r="IT88" s="236" t="s">
        <v>841</v>
      </c>
      <c r="IV88" s="236" t="s">
        <v>6223</v>
      </c>
      <c r="IW88" s="236" t="s">
        <v>145</v>
      </c>
      <c r="IX88" s="236" t="s">
        <v>74</v>
      </c>
      <c r="IY88" s="236" t="s">
        <v>841</v>
      </c>
      <c r="JA88" s="236" t="s">
        <v>6224</v>
      </c>
      <c r="JB88" s="236" t="s">
        <v>145</v>
      </c>
      <c r="JC88" s="236" t="s">
        <v>74</v>
      </c>
      <c r="JD88" s="236" t="s">
        <v>841</v>
      </c>
      <c r="JF88" s="236" t="s">
        <v>6225</v>
      </c>
      <c r="JG88" s="236" t="s">
        <v>145</v>
      </c>
      <c r="JH88" s="236" t="s">
        <v>74</v>
      </c>
      <c r="JI88" s="236" t="s">
        <v>841</v>
      </c>
      <c r="JK88" s="236" t="s">
        <v>6226</v>
      </c>
      <c r="JL88" s="236" t="s">
        <v>145</v>
      </c>
      <c r="JM88" s="236" t="s">
        <v>74</v>
      </c>
      <c r="JN88" s="236" t="s">
        <v>841</v>
      </c>
      <c r="JP88" s="236" t="s">
        <v>6227</v>
      </c>
      <c r="JQ88" s="236" t="s">
        <v>145</v>
      </c>
      <c r="JR88" s="236" t="s">
        <v>74</v>
      </c>
      <c r="JS88" s="236" t="s">
        <v>841</v>
      </c>
      <c r="JU88" s="294" t="s">
        <v>6228</v>
      </c>
      <c r="JV88" s="294" t="str">
        <f>TVIIBE1M_CalPairs!$R97</f>
        <v>0x1A</v>
      </c>
      <c r="JW88" s="218" t="s">
        <v>72</v>
      </c>
      <c r="JX88" s="294" t="str">
        <f>TVIIBE1M_CalPairs!$S97</f>
        <v>IPC_STRUCT1_IPC</v>
      </c>
      <c r="JZ88" s="263" t="s">
        <v>6229</v>
      </c>
      <c r="KA88" s="263" t="s">
        <v>145</v>
      </c>
      <c r="KB88" s="263" t="s">
        <v>70</v>
      </c>
      <c r="KC88" s="263" t="s">
        <v>1083</v>
      </c>
      <c r="KE88" s="263" t="s">
        <v>6230</v>
      </c>
      <c r="KF88" s="263" t="s">
        <v>52</v>
      </c>
      <c r="KG88" s="263" t="s">
        <v>70</v>
      </c>
      <c r="KH88" s="263" t="s">
        <v>1083</v>
      </c>
      <c r="KJ88" s="263" t="s">
        <v>6231</v>
      </c>
      <c r="KK88" s="263" t="s">
        <v>52</v>
      </c>
      <c r="KL88" s="263" t="s">
        <v>74</v>
      </c>
      <c r="KM88" s="263" t="s">
        <v>34074</v>
      </c>
      <c r="KO88" s="214" t="s">
        <v>6232</v>
      </c>
      <c r="KP88" s="214" t="s">
        <v>145</v>
      </c>
      <c r="KQ88" s="214" t="s">
        <v>70</v>
      </c>
      <c r="KR88" s="214" t="s">
        <v>67</v>
      </c>
      <c r="KT88" s="22" t="s">
        <v>6233</v>
      </c>
      <c r="KU88" s="22" t="s">
        <v>145</v>
      </c>
      <c r="KV88" s="22" t="s">
        <v>70</v>
      </c>
      <c r="KW88" s="22" t="s">
        <v>67</v>
      </c>
      <c r="KY88" s="214" t="s">
        <v>6234</v>
      </c>
      <c r="KZ88" s="214" t="s">
        <v>52</v>
      </c>
      <c r="LA88" s="214" t="s">
        <v>74</v>
      </c>
      <c r="LB88" s="214" t="s">
        <v>67</v>
      </c>
      <c r="LD88" s="22" t="s">
        <v>6235</v>
      </c>
      <c r="LE88" s="22" t="s">
        <v>145</v>
      </c>
      <c r="LF88" s="22" t="s">
        <v>70</v>
      </c>
      <c r="LG88" s="22" t="s">
        <v>67</v>
      </c>
    </row>
    <row r="89" spans="1:319">
      <c r="A89" s="22" t="s">
        <v>6236</v>
      </c>
      <c r="B89" s="22" t="s">
        <v>145</v>
      </c>
      <c r="C89" s="22" t="s">
        <v>70</v>
      </c>
      <c r="D89" s="22" t="s">
        <v>67</v>
      </c>
      <c r="F89" s="23" t="s">
        <v>6237</v>
      </c>
      <c r="G89" s="23" t="str">
        <f>TVIIBE1M_CalPairs!$E86</f>
        <v>0x00</v>
      </c>
      <c r="H89" s="233" t="s">
        <v>72</v>
      </c>
      <c r="I89" s="23" t="str">
        <f>TVIIBE1M_CalPairs!$C86</f>
        <v>PWR_TRIM_HT_BODVDDD_CTL_VAL2</v>
      </c>
      <c r="K89" s="22" t="s">
        <v>6238</v>
      </c>
      <c r="L89" s="22" t="s">
        <v>145</v>
      </c>
      <c r="M89" s="22" t="s">
        <v>70</v>
      </c>
      <c r="N89" s="22" t="s">
        <v>67</v>
      </c>
      <c r="P89" s="394" t="s">
        <v>6239</v>
      </c>
      <c r="Q89" s="394" t="s">
        <v>145</v>
      </c>
      <c r="R89" s="394" t="s">
        <v>72</v>
      </c>
      <c r="S89" s="394" t="s">
        <v>34093</v>
      </c>
      <c r="U89" s="293" t="s">
        <v>6240</v>
      </c>
      <c r="V89" s="293" t="s">
        <v>145</v>
      </c>
      <c r="W89" s="293" t="s">
        <v>74</v>
      </c>
      <c r="X89" s="293" t="s">
        <v>656</v>
      </c>
      <c r="Z89" s="293" t="s">
        <v>6241</v>
      </c>
      <c r="AA89" s="293" t="s">
        <v>145</v>
      </c>
      <c r="AB89" s="293" t="s">
        <v>74</v>
      </c>
      <c r="AC89" s="293" t="s">
        <v>656</v>
      </c>
      <c r="AE89" s="293" t="s">
        <v>6242</v>
      </c>
      <c r="AF89" s="293" t="s">
        <v>145</v>
      </c>
      <c r="AG89" s="293" t="s">
        <v>74</v>
      </c>
      <c r="AH89" s="293" t="s">
        <v>656</v>
      </c>
      <c r="AJ89" s="293" t="s">
        <v>6243</v>
      </c>
      <c r="AK89" s="293" t="s">
        <v>145</v>
      </c>
      <c r="AL89" s="293" t="s">
        <v>74</v>
      </c>
      <c r="AM89" s="293" t="s">
        <v>656</v>
      </c>
      <c r="AO89" s="22" t="s">
        <v>6244</v>
      </c>
      <c r="AP89" s="22" t="s">
        <v>145</v>
      </c>
      <c r="AQ89" s="22" t="s">
        <v>70</v>
      </c>
      <c r="AR89" s="22" t="s">
        <v>67</v>
      </c>
      <c r="AT89" s="22" t="s">
        <v>6245</v>
      </c>
      <c r="AU89" s="22" t="s">
        <v>145</v>
      </c>
      <c r="AV89" s="22" t="s">
        <v>70</v>
      </c>
      <c r="AW89" s="22" t="s">
        <v>67</v>
      </c>
      <c r="AY89" s="22" t="s">
        <v>6246</v>
      </c>
      <c r="AZ89" s="22" t="s">
        <v>145</v>
      </c>
      <c r="BA89" s="22" t="s">
        <v>70</v>
      </c>
      <c r="BB89" s="22" t="s">
        <v>67</v>
      </c>
      <c r="BD89" s="22" t="s">
        <v>6247</v>
      </c>
      <c r="BE89" s="22" t="s">
        <v>145</v>
      </c>
      <c r="BF89" s="22" t="s">
        <v>70</v>
      </c>
      <c r="BG89" s="22" t="s">
        <v>67</v>
      </c>
      <c r="BI89" s="22" t="s">
        <v>6248</v>
      </c>
      <c r="BJ89" s="22" t="s">
        <v>145</v>
      </c>
      <c r="BK89" s="22" t="s">
        <v>70</v>
      </c>
      <c r="BL89" s="22" t="s">
        <v>67</v>
      </c>
      <c r="BN89" s="22" t="s">
        <v>6249</v>
      </c>
      <c r="BO89" s="22" t="s">
        <v>145</v>
      </c>
      <c r="BP89" s="22" t="s">
        <v>70</v>
      </c>
      <c r="BQ89" s="22" t="s">
        <v>67</v>
      </c>
      <c r="BS89" s="22" t="s">
        <v>6250</v>
      </c>
      <c r="BT89" s="22" t="s">
        <v>145</v>
      </c>
      <c r="BU89" s="22" t="s">
        <v>70</v>
      </c>
      <c r="BV89" s="214" t="s">
        <v>530</v>
      </c>
      <c r="BX89" s="22" t="s">
        <v>6251</v>
      </c>
      <c r="BY89" s="22" t="s">
        <v>145</v>
      </c>
      <c r="BZ89" s="22" t="s">
        <v>70</v>
      </c>
      <c r="CA89" s="214" t="s">
        <v>530</v>
      </c>
      <c r="CC89" s="214" t="s">
        <v>6252</v>
      </c>
      <c r="CD89" s="218" t="s">
        <v>34599</v>
      </c>
      <c r="CE89" s="214" t="s">
        <v>70</v>
      </c>
      <c r="CF89" s="214" t="s">
        <v>384</v>
      </c>
      <c r="CH89" s="214" t="s">
        <v>6253</v>
      </c>
      <c r="CI89" s="214" t="s">
        <v>86</v>
      </c>
      <c r="CJ89" s="214" t="s">
        <v>70</v>
      </c>
      <c r="CK89" s="214" t="s">
        <v>530</v>
      </c>
      <c r="CM89" s="214" t="s">
        <v>6254</v>
      </c>
      <c r="CN89" s="214" t="s">
        <v>34618</v>
      </c>
      <c r="CO89" s="214" t="s">
        <v>70</v>
      </c>
      <c r="CP89" s="214" t="s">
        <v>530</v>
      </c>
      <c r="CR89" s="214" t="s">
        <v>6255</v>
      </c>
      <c r="CS89" s="214" t="s">
        <v>486</v>
      </c>
      <c r="CT89" s="214" t="s">
        <v>70</v>
      </c>
      <c r="CU89" s="214" t="s">
        <v>530</v>
      </c>
      <c r="CW89" s="214" t="s">
        <v>6256</v>
      </c>
      <c r="CX89" s="214" t="s">
        <v>484</v>
      </c>
      <c r="CY89" s="214" t="s">
        <v>70</v>
      </c>
      <c r="CZ89" s="214" t="s">
        <v>530</v>
      </c>
      <c r="DB89" s="214" t="s">
        <v>6257</v>
      </c>
      <c r="DC89" s="214" t="s">
        <v>468</v>
      </c>
      <c r="DD89" s="214" t="s">
        <v>70</v>
      </c>
      <c r="DE89" s="214" t="s">
        <v>530</v>
      </c>
      <c r="DG89" s="214" t="s">
        <v>6258</v>
      </c>
      <c r="DH89" s="214" t="s">
        <v>484</v>
      </c>
      <c r="DI89" s="214" t="s">
        <v>70</v>
      </c>
      <c r="DJ89" s="214" t="s">
        <v>530</v>
      </c>
      <c r="DL89" s="214" t="s">
        <v>6259</v>
      </c>
      <c r="DM89" s="214" t="s">
        <v>518</v>
      </c>
      <c r="DN89" s="214" t="s">
        <v>70</v>
      </c>
      <c r="DO89" s="214" t="s">
        <v>530</v>
      </c>
      <c r="DQ89" s="214" t="s">
        <v>6260</v>
      </c>
      <c r="DR89" s="214" t="s">
        <v>488</v>
      </c>
      <c r="DS89" s="214" t="s">
        <v>70</v>
      </c>
      <c r="DT89" s="214" t="s">
        <v>530</v>
      </c>
      <c r="DV89" s="214" t="s">
        <v>6261</v>
      </c>
      <c r="DW89" s="214" t="s">
        <v>599</v>
      </c>
      <c r="DX89" s="214" t="s">
        <v>70</v>
      </c>
      <c r="DY89" s="214" t="s">
        <v>530</v>
      </c>
      <c r="EA89" s="214" t="s">
        <v>6262</v>
      </c>
      <c r="EB89" s="214" t="s">
        <v>923</v>
      </c>
      <c r="EC89" s="214" t="s">
        <v>70</v>
      </c>
      <c r="ED89" s="214" t="s">
        <v>530</v>
      </c>
      <c r="EF89" s="214" t="s">
        <v>6263</v>
      </c>
      <c r="EG89" s="214" t="s">
        <v>34616</v>
      </c>
      <c r="EH89" s="214" t="s">
        <v>70</v>
      </c>
      <c r="EI89" s="214" t="s">
        <v>530</v>
      </c>
      <c r="EK89" s="214" t="s">
        <v>6264</v>
      </c>
      <c r="EL89" s="214" t="s">
        <v>468</v>
      </c>
      <c r="EM89" s="214" t="s">
        <v>70</v>
      </c>
      <c r="EN89" s="214" t="s">
        <v>530</v>
      </c>
      <c r="EP89" s="214" t="s">
        <v>6265</v>
      </c>
      <c r="EQ89" s="214" t="s">
        <v>34547</v>
      </c>
      <c r="ER89" s="214" t="s">
        <v>70</v>
      </c>
      <c r="ES89" s="214" t="s">
        <v>530</v>
      </c>
      <c r="EU89" s="214" t="s">
        <v>6266</v>
      </c>
      <c r="EV89" s="214" t="s">
        <v>935</v>
      </c>
      <c r="EW89" s="214" t="s">
        <v>70</v>
      </c>
      <c r="EX89" s="214" t="s">
        <v>530</v>
      </c>
      <c r="EZ89" s="214" t="s">
        <v>6267</v>
      </c>
      <c r="FA89" s="214" t="s">
        <v>486</v>
      </c>
      <c r="FB89" s="214" t="s">
        <v>70</v>
      </c>
      <c r="FC89" s="214" t="s">
        <v>530</v>
      </c>
      <c r="FE89" s="214" t="s">
        <v>6268</v>
      </c>
      <c r="FF89" s="214" t="s">
        <v>34545</v>
      </c>
      <c r="FG89" s="214" t="s">
        <v>70</v>
      </c>
      <c r="FH89" s="214" t="s">
        <v>530</v>
      </c>
      <c r="FJ89" s="321" t="s">
        <v>6269</v>
      </c>
      <c r="FK89" s="214" t="s">
        <v>287</v>
      </c>
      <c r="FL89" s="214" t="s">
        <v>70</v>
      </c>
      <c r="FM89" s="214" t="s">
        <v>530</v>
      </c>
      <c r="FO89" s="321" t="s">
        <v>6270</v>
      </c>
      <c r="FP89" s="214" t="s">
        <v>486</v>
      </c>
      <c r="FQ89" s="214" t="s">
        <v>70</v>
      </c>
      <c r="FR89" s="214" t="s">
        <v>530</v>
      </c>
      <c r="FT89" s="321" t="s">
        <v>6271</v>
      </c>
      <c r="FU89" s="214" t="s">
        <v>905</v>
      </c>
      <c r="FV89" s="214" t="s">
        <v>70</v>
      </c>
      <c r="FW89" s="214" t="s">
        <v>530</v>
      </c>
      <c r="FY89" s="321" t="s">
        <v>6272</v>
      </c>
      <c r="FZ89" s="214" t="s">
        <v>500</v>
      </c>
      <c r="GA89" s="214" t="s">
        <v>70</v>
      </c>
      <c r="GB89" s="214" t="s">
        <v>530</v>
      </c>
      <c r="GD89" s="321" t="s">
        <v>6273</v>
      </c>
      <c r="GE89" s="214" t="s">
        <v>34541</v>
      </c>
      <c r="GF89" s="214" t="s">
        <v>70</v>
      </c>
      <c r="GG89" s="214" t="s">
        <v>530</v>
      </c>
      <c r="GI89" s="321" t="s">
        <v>6274</v>
      </c>
      <c r="GJ89" s="214" t="s">
        <v>52</v>
      </c>
      <c r="GK89" s="214" t="s">
        <v>70</v>
      </c>
      <c r="GL89" s="214" t="s">
        <v>530</v>
      </c>
      <c r="GN89" s="321" t="s">
        <v>6275</v>
      </c>
      <c r="GO89" s="214" t="s">
        <v>955</v>
      </c>
      <c r="GP89" s="214" t="s">
        <v>70</v>
      </c>
      <c r="GQ89" s="214" t="s">
        <v>530</v>
      </c>
      <c r="GS89" s="321" t="s">
        <v>6276</v>
      </c>
      <c r="GT89" s="214" t="s">
        <v>206</v>
      </c>
      <c r="GU89" s="214" t="s">
        <v>70</v>
      </c>
      <c r="GV89" s="214" t="s">
        <v>530</v>
      </c>
      <c r="GX89" s="214" t="s">
        <v>6277</v>
      </c>
      <c r="GY89" s="214" t="s">
        <v>950</v>
      </c>
      <c r="GZ89" s="214" t="s">
        <v>70</v>
      </c>
      <c r="HA89" s="214" t="s">
        <v>530</v>
      </c>
      <c r="HC89" s="214" t="s">
        <v>6278</v>
      </c>
      <c r="HD89" s="214" t="s">
        <v>926</v>
      </c>
      <c r="HE89" s="214" t="s">
        <v>70</v>
      </c>
      <c r="HF89" s="214" t="s">
        <v>530</v>
      </c>
      <c r="HH89" s="214" t="s">
        <v>6279</v>
      </c>
      <c r="HI89" s="214" t="s">
        <v>492</v>
      </c>
      <c r="HJ89" s="214" t="s">
        <v>70</v>
      </c>
      <c r="HK89" s="214" t="s">
        <v>530</v>
      </c>
      <c r="HM89" s="214" t="s">
        <v>6280</v>
      </c>
      <c r="HN89" s="214" t="s">
        <v>484</v>
      </c>
      <c r="HO89" s="214" t="s">
        <v>70</v>
      </c>
      <c r="HP89" s="214" t="s">
        <v>530</v>
      </c>
      <c r="HR89" s="22" t="s">
        <v>6281</v>
      </c>
      <c r="HS89" s="22" t="s">
        <v>944</v>
      </c>
      <c r="HT89" s="22" t="s">
        <v>70</v>
      </c>
      <c r="HU89" s="214" t="s">
        <v>530</v>
      </c>
      <c r="HW89" s="22" t="s">
        <v>6282</v>
      </c>
      <c r="HX89" s="22" t="s">
        <v>34542</v>
      </c>
      <c r="HY89" s="22" t="s">
        <v>70</v>
      </c>
      <c r="HZ89" s="214" t="s">
        <v>530</v>
      </c>
      <c r="IB89" s="22" t="s">
        <v>6283</v>
      </c>
      <c r="IC89" s="22" t="s">
        <v>149</v>
      </c>
      <c r="ID89" s="22" t="s">
        <v>70</v>
      </c>
      <c r="IE89" s="214" t="s">
        <v>530</v>
      </c>
      <c r="IG89" s="22" t="s">
        <v>6284</v>
      </c>
      <c r="IH89" s="22" t="s">
        <v>52</v>
      </c>
      <c r="II89" s="22" t="s">
        <v>70</v>
      </c>
      <c r="IJ89" s="214" t="s">
        <v>530</v>
      </c>
      <c r="IL89" s="22" t="s">
        <v>6285</v>
      </c>
      <c r="IM89" s="22" t="s">
        <v>145</v>
      </c>
      <c r="IN89" s="22" t="s">
        <v>70</v>
      </c>
      <c r="IO89" s="214" t="s">
        <v>530</v>
      </c>
      <c r="IQ89" s="236" t="s">
        <v>6286</v>
      </c>
      <c r="IR89" s="236" t="s">
        <v>145</v>
      </c>
      <c r="IS89" s="236" t="s">
        <v>74</v>
      </c>
      <c r="IT89" s="236" t="s">
        <v>841</v>
      </c>
      <c r="IV89" s="236" t="s">
        <v>6287</v>
      </c>
      <c r="IW89" s="236" t="s">
        <v>145</v>
      </c>
      <c r="IX89" s="236" t="s">
        <v>74</v>
      </c>
      <c r="IY89" s="236" t="s">
        <v>841</v>
      </c>
      <c r="JA89" s="236" t="s">
        <v>6288</v>
      </c>
      <c r="JB89" s="236" t="s">
        <v>145</v>
      </c>
      <c r="JC89" s="236" t="s">
        <v>74</v>
      </c>
      <c r="JD89" s="236" t="s">
        <v>841</v>
      </c>
      <c r="JF89" s="236" t="s">
        <v>6289</v>
      </c>
      <c r="JG89" s="236" t="s">
        <v>145</v>
      </c>
      <c r="JH89" s="236" t="s">
        <v>74</v>
      </c>
      <c r="JI89" s="236" t="s">
        <v>841</v>
      </c>
      <c r="JK89" s="236" t="s">
        <v>6290</v>
      </c>
      <c r="JL89" s="236" t="s">
        <v>145</v>
      </c>
      <c r="JM89" s="236" t="s">
        <v>74</v>
      </c>
      <c r="JN89" s="236" t="s">
        <v>841</v>
      </c>
      <c r="JP89" s="236" t="s">
        <v>6291</v>
      </c>
      <c r="JQ89" s="236" t="s">
        <v>145</v>
      </c>
      <c r="JR89" s="236" t="s">
        <v>74</v>
      </c>
      <c r="JS89" s="236" t="s">
        <v>841</v>
      </c>
      <c r="JU89" s="294" t="s">
        <v>6292</v>
      </c>
      <c r="JV89" s="294" t="str">
        <f>TVIIBE1M_CalPairs!$R98</f>
        <v>0x00</v>
      </c>
      <c r="JW89" s="218" t="s">
        <v>72</v>
      </c>
      <c r="JX89" s="294" t="str">
        <f>TVIIBE1M_CalPairs!$S98</f>
        <v>IPC_STRUCT1_IPC</v>
      </c>
      <c r="JZ89" s="263" t="s">
        <v>6293</v>
      </c>
      <c r="KA89" s="263" t="s">
        <v>145</v>
      </c>
      <c r="KB89" s="263" t="s">
        <v>70</v>
      </c>
      <c r="KC89" s="263" t="s">
        <v>1083</v>
      </c>
      <c r="KE89" s="263" t="s">
        <v>6294</v>
      </c>
      <c r="KF89" s="263" t="s">
        <v>52</v>
      </c>
      <c r="KG89" s="263" t="s">
        <v>70</v>
      </c>
      <c r="KH89" s="263" t="s">
        <v>1083</v>
      </c>
      <c r="KJ89" s="263" t="s">
        <v>6295</v>
      </c>
      <c r="KK89" s="263" t="s">
        <v>52</v>
      </c>
      <c r="KL89" s="263" t="s">
        <v>74</v>
      </c>
      <c r="KM89" s="263" t="s">
        <v>34074</v>
      </c>
      <c r="KO89" s="214" t="s">
        <v>6296</v>
      </c>
      <c r="KP89" s="214" t="s">
        <v>145</v>
      </c>
      <c r="KQ89" s="214" t="s">
        <v>70</v>
      </c>
      <c r="KR89" s="214" t="s">
        <v>67</v>
      </c>
      <c r="KT89" s="22" t="s">
        <v>6297</v>
      </c>
      <c r="KU89" s="22" t="s">
        <v>145</v>
      </c>
      <c r="KV89" s="22" t="s">
        <v>70</v>
      </c>
      <c r="KW89" s="22" t="s">
        <v>67</v>
      </c>
      <c r="KY89" s="214" t="s">
        <v>6298</v>
      </c>
      <c r="KZ89" s="214" t="s">
        <v>52</v>
      </c>
      <c r="LA89" s="214" t="s">
        <v>74</v>
      </c>
      <c r="LB89" s="214" t="s">
        <v>67</v>
      </c>
      <c r="LD89" s="22" t="s">
        <v>6299</v>
      </c>
      <c r="LE89" s="22" t="s">
        <v>145</v>
      </c>
      <c r="LF89" s="22" t="s">
        <v>70</v>
      </c>
      <c r="LG89" s="22" t="s">
        <v>67</v>
      </c>
    </row>
    <row r="90" spans="1:319">
      <c r="A90" s="22" t="s">
        <v>6300</v>
      </c>
      <c r="B90" s="22" t="s">
        <v>145</v>
      </c>
      <c r="C90" s="22" t="s">
        <v>70</v>
      </c>
      <c r="D90" s="22" t="s">
        <v>67</v>
      </c>
      <c r="F90" s="23" t="s">
        <v>6301</v>
      </c>
      <c r="G90" s="23" t="str">
        <f>TVIIBE1M_CalPairs!$E87</f>
        <v>0x00</v>
      </c>
      <c r="H90" s="23" t="s">
        <v>72</v>
      </c>
      <c r="I90" s="23" t="str">
        <f>TVIIBE1M_CalPairs!$C87</f>
        <v>PWR_TRIM_HT_BODVDDD_CTL_VAL3</v>
      </c>
      <c r="K90" s="22" t="s">
        <v>6302</v>
      </c>
      <c r="L90" s="22" t="s">
        <v>145</v>
      </c>
      <c r="M90" s="22" t="s">
        <v>70</v>
      </c>
      <c r="N90" s="22" t="s">
        <v>67</v>
      </c>
      <c r="P90" s="394" t="s">
        <v>6303</v>
      </c>
      <c r="Q90" s="394" t="s">
        <v>145</v>
      </c>
      <c r="R90" s="394" t="s">
        <v>72</v>
      </c>
      <c r="S90" s="394" t="s">
        <v>34094</v>
      </c>
      <c r="U90" s="293" t="s">
        <v>6304</v>
      </c>
      <c r="V90" s="293" t="s">
        <v>145</v>
      </c>
      <c r="W90" s="293" t="s">
        <v>74</v>
      </c>
      <c r="X90" s="293" t="s">
        <v>656</v>
      </c>
      <c r="Z90" s="293" t="s">
        <v>6305</v>
      </c>
      <c r="AA90" s="293" t="s">
        <v>145</v>
      </c>
      <c r="AB90" s="293" t="s">
        <v>74</v>
      </c>
      <c r="AC90" s="293" t="s">
        <v>656</v>
      </c>
      <c r="AE90" s="293" t="s">
        <v>6306</v>
      </c>
      <c r="AF90" s="293" t="s">
        <v>145</v>
      </c>
      <c r="AG90" s="293" t="s">
        <v>74</v>
      </c>
      <c r="AH90" s="293" t="s">
        <v>656</v>
      </c>
      <c r="AJ90" s="293" t="s">
        <v>6307</v>
      </c>
      <c r="AK90" s="293" t="s">
        <v>145</v>
      </c>
      <c r="AL90" s="293" t="s">
        <v>74</v>
      </c>
      <c r="AM90" s="293" t="s">
        <v>656</v>
      </c>
      <c r="AO90" s="22" t="s">
        <v>6308</v>
      </c>
      <c r="AP90" s="22" t="s">
        <v>145</v>
      </c>
      <c r="AQ90" s="22" t="s">
        <v>70</v>
      </c>
      <c r="AR90" s="22" t="s">
        <v>67</v>
      </c>
      <c r="AT90" s="22" t="s">
        <v>6309</v>
      </c>
      <c r="AU90" s="22" t="s">
        <v>145</v>
      </c>
      <c r="AV90" s="22" t="s">
        <v>70</v>
      </c>
      <c r="AW90" s="22" t="s">
        <v>67</v>
      </c>
      <c r="AY90" s="22" t="s">
        <v>6310</v>
      </c>
      <c r="AZ90" s="22" t="s">
        <v>145</v>
      </c>
      <c r="BA90" s="22" t="s">
        <v>70</v>
      </c>
      <c r="BB90" s="22" t="s">
        <v>67</v>
      </c>
      <c r="BD90" s="22" t="s">
        <v>6311</v>
      </c>
      <c r="BE90" s="22" t="s">
        <v>145</v>
      </c>
      <c r="BF90" s="22" t="s">
        <v>70</v>
      </c>
      <c r="BG90" s="22" t="s">
        <v>67</v>
      </c>
      <c r="BI90" s="22" t="s">
        <v>6312</v>
      </c>
      <c r="BJ90" s="22" t="s">
        <v>145</v>
      </c>
      <c r="BK90" s="22" t="s">
        <v>70</v>
      </c>
      <c r="BL90" s="22" t="s">
        <v>67</v>
      </c>
      <c r="BN90" s="22" t="s">
        <v>6313</v>
      </c>
      <c r="BO90" s="22" t="s">
        <v>145</v>
      </c>
      <c r="BP90" s="22" t="s">
        <v>70</v>
      </c>
      <c r="BQ90" s="22" t="s">
        <v>67</v>
      </c>
      <c r="BS90" s="22" t="s">
        <v>6314</v>
      </c>
      <c r="BT90" s="22" t="s">
        <v>145</v>
      </c>
      <c r="BU90" s="22" t="s">
        <v>70</v>
      </c>
      <c r="BV90" s="214" t="s">
        <v>530</v>
      </c>
      <c r="BX90" s="22" t="s">
        <v>6315</v>
      </c>
      <c r="BY90" s="22" t="s">
        <v>145</v>
      </c>
      <c r="BZ90" s="22" t="s">
        <v>70</v>
      </c>
      <c r="CA90" s="214" t="s">
        <v>530</v>
      </c>
      <c r="CC90" s="214" t="s">
        <v>6316</v>
      </c>
      <c r="CD90" s="218" t="s">
        <v>52</v>
      </c>
      <c r="CE90" s="214" t="s">
        <v>70</v>
      </c>
      <c r="CF90" s="214" t="s">
        <v>385</v>
      </c>
      <c r="CH90" s="214" t="s">
        <v>6317</v>
      </c>
      <c r="CI90" s="214" t="s">
        <v>148</v>
      </c>
      <c r="CJ90" s="214" t="s">
        <v>70</v>
      </c>
      <c r="CK90" s="214" t="s">
        <v>530</v>
      </c>
      <c r="CM90" s="214" t="s">
        <v>6318</v>
      </c>
      <c r="CN90" s="214" t="s">
        <v>204</v>
      </c>
      <c r="CO90" s="214" t="s">
        <v>70</v>
      </c>
      <c r="CP90" s="214" t="s">
        <v>530</v>
      </c>
      <c r="CR90" s="214" t="s">
        <v>6319</v>
      </c>
      <c r="CS90" s="214" t="s">
        <v>926</v>
      </c>
      <c r="CT90" s="214" t="s">
        <v>70</v>
      </c>
      <c r="CU90" s="214" t="s">
        <v>530</v>
      </c>
      <c r="CW90" s="214" t="s">
        <v>6320</v>
      </c>
      <c r="CX90" s="214" t="s">
        <v>502</v>
      </c>
      <c r="CY90" s="214" t="s">
        <v>70</v>
      </c>
      <c r="CZ90" s="214" t="s">
        <v>530</v>
      </c>
      <c r="DB90" s="214" t="s">
        <v>6321</v>
      </c>
      <c r="DC90" s="214" t="s">
        <v>34575</v>
      </c>
      <c r="DD90" s="214" t="s">
        <v>70</v>
      </c>
      <c r="DE90" s="214" t="s">
        <v>530</v>
      </c>
      <c r="DG90" s="214" t="s">
        <v>6322</v>
      </c>
      <c r="DH90" s="214" t="s">
        <v>655</v>
      </c>
      <c r="DI90" s="214" t="s">
        <v>70</v>
      </c>
      <c r="DJ90" s="214" t="s">
        <v>530</v>
      </c>
      <c r="DL90" s="214" t="s">
        <v>6323</v>
      </c>
      <c r="DM90" s="214" t="s">
        <v>203</v>
      </c>
      <c r="DN90" s="214" t="s">
        <v>70</v>
      </c>
      <c r="DO90" s="214" t="s">
        <v>530</v>
      </c>
      <c r="DQ90" s="214" t="s">
        <v>6324</v>
      </c>
      <c r="DR90" s="214" t="s">
        <v>34574</v>
      </c>
      <c r="DS90" s="214" t="s">
        <v>70</v>
      </c>
      <c r="DT90" s="214" t="s">
        <v>530</v>
      </c>
      <c r="DV90" s="214" t="s">
        <v>6325</v>
      </c>
      <c r="DW90" s="214" t="s">
        <v>642</v>
      </c>
      <c r="DX90" s="214" t="s">
        <v>70</v>
      </c>
      <c r="DY90" s="214" t="s">
        <v>530</v>
      </c>
      <c r="EA90" s="214" t="s">
        <v>6326</v>
      </c>
      <c r="EB90" s="214" t="s">
        <v>52</v>
      </c>
      <c r="EC90" s="214" t="s">
        <v>70</v>
      </c>
      <c r="ED90" s="214" t="s">
        <v>530</v>
      </c>
      <c r="EF90" s="214" t="s">
        <v>6327</v>
      </c>
      <c r="EG90" s="214" t="s">
        <v>52</v>
      </c>
      <c r="EH90" s="214" t="s">
        <v>70</v>
      </c>
      <c r="EI90" s="214" t="s">
        <v>530</v>
      </c>
      <c r="EK90" s="214" t="s">
        <v>6328</v>
      </c>
      <c r="EL90" s="214" t="s">
        <v>88</v>
      </c>
      <c r="EM90" s="214" t="s">
        <v>70</v>
      </c>
      <c r="EN90" s="214" t="s">
        <v>530</v>
      </c>
      <c r="EP90" s="214" t="s">
        <v>6329</v>
      </c>
      <c r="EQ90" s="214" t="s">
        <v>951</v>
      </c>
      <c r="ER90" s="214" t="s">
        <v>70</v>
      </c>
      <c r="ES90" s="214" t="s">
        <v>530</v>
      </c>
      <c r="EU90" s="214" t="s">
        <v>6330</v>
      </c>
      <c r="EV90" s="214" t="s">
        <v>148</v>
      </c>
      <c r="EW90" s="214" t="s">
        <v>70</v>
      </c>
      <c r="EX90" s="214" t="s">
        <v>530</v>
      </c>
      <c r="EZ90" s="214" t="s">
        <v>6331</v>
      </c>
      <c r="FA90" s="214" t="s">
        <v>148</v>
      </c>
      <c r="FB90" s="214" t="s">
        <v>70</v>
      </c>
      <c r="FC90" s="214" t="s">
        <v>530</v>
      </c>
      <c r="FE90" s="214" t="s">
        <v>6332</v>
      </c>
      <c r="FF90" s="214" t="s">
        <v>103</v>
      </c>
      <c r="FG90" s="214" t="s">
        <v>70</v>
      </c>
      <c r="FH90" s="214" t="s">
        <v>530</v>
      </c>
      <c r="FJ90" s="321" t="s">
        <v>6333</v>
      </c>
      <c r="FK90" s="214" t="s">
        <v>598</v>
      </c>
      <c r="FL90" s="214" t="s">
        <v>70</v>
      </c>
      <c r="FM90" s="214" t="s">
        <v>530</v>
      </c>
      <c r="FO90" s="321" t="s">
        <v>6334</v>
      </c>
      <c r="FP90" s="214" t="s">
        <v>485</v>
      </c>
      <c r="FQ90" s="214" t="s">
        <v>70</v>
      </c>
      <c r="FR90" s="214" t="s">
        <v>530</v>
      </c>
      <c r="FT90" s="321" t="s">
        <v>6335</v>
      </c>
      <c r="FU90" s="214" t="s">
        <v>34547</v>
      </c>
      <c r="FV90" s="214" t="s">
        <v>70</v>
      </c>
      <c r="FW90" s="214" t="s">
        <v>530</v>
      </c>
      <c r="FY90" s="321" t="s">
        <v>6336</v>
      </c>
      <c r="FZ90" s="214" t="s">
        <v>148</v>
      </c>
      <c r="GA90" s="214" t="s">
        <v>70</v>
      </c>
      <c r="GB90" s="214" t="s">
        <v>530</v>
      </c>
      <c r="GD90" s="321" t="s">
        <v>6337</v>
      </c>
      <c r="GE90" s="214" t="s">
        <v>599</v>
      </c>
      <c r="GF90" s="214" t="s">
        <v>70</v>
      </c>
      <c r="GG90" s="214" t="s">
        <v>530</v>
      </c>
      <c r="GI90" s="321" t="s">
        <v>6338</v>
      </c>
      <c r="GJ90" s="214" t="s">
        <v>34583</v>
      </c>
      <c r="GK90" s="214" t="s">
        <v>70</v>
      </c>
      <c r="GL90" s="214" t="s">
        <v>530</v>
      </c>
      <c r="GN90" s="321" t="s">
        <v>6339</v>
      </c>
      <c r="GO90" s="214" t="s">
        <v>103</v>
      </c>
      <c r="GP90" s="214" t="s">
        <v>70</v>
      </c>
      <c r="GQ90" s="214" t="s">
        <v>530</v>
      </c>
      <c r="GS90" s="321" t="s">
        <v>6340</v>
      </c>
      <c r="GT90" s="214" t="s">
        <v>52</v>
      </c>
      <c r="GU90" s="214" t="s">
        <v>70</v>
      </c>
      <c r="GV90" s="214" t="s">
        <v>530</v>
      </c>
      <c r="GX90" s="214" t="s">
        <v>6341</v>
      </c>
      <c r="GY90" s="214" t="s">
        <v>52</v>
      </c>
      <c r="GZ90" s="214" t="s">
        <v>70</v>
      </c>
      <c r="HA90" s="214" t="s">
        <v>530</v>
      </c>
      <c r="HC90" s="214" t="s">
        <v>6342</v>
      </c>
      <c r="HD90" s="214" t="s">
        <v>148</v>
      </c>
      <c r="HE90" s="214" t="s">
        <v>70</v>
      </c>
      <c r="HF90" s="214" t="s">
        <v>530</v>
      </c>
      <c r="HH90" s="214" t="s">
        <v>6343</v>
      </c>
      <c r="HI90" s="214" t="s">
        <v>146</v>
      </c>
      <c r="HJ90" s="214" t="s">
        <v>70</v>
      </c>
      <c r="HK90" s="214" t="s">
        <v>530</v>
      </c>
      <c r="HM90" s="214" t="s">
        <v>6344</v>
      </c>
      <c r="HN90" s="214" t="s">
        <v>146</v>
      </c>
      <c r="HO90" s="214" t="s">
        <v>70</v>
      </c>
      <c r="HP90" s="214" t="s">
        <v>530</v>
      </c>
      <c r="HR90" s="22" t="s">
        <v>6345</v>
      </c>
      <c r="HS90" s="22" t="s">
        <v>34536</v>
      </c>
      <c r="HT90" s="22" t="s">
        <v>70</v>
      </c>
      <c r="HU90" s="214" t="s">
        <v>530</v>
      </c>
      <c r="HW90" s="22" t="s">
        <v>6346</v>
      </c>
      <c r="HX90" s="22" t="s">
        <v>148</v>
      </c>
      <c r="HY90" s="22" t="s">
        <v>70</v>
      </c>
      <c r="HZ90" s="214" t="s">
        <v>530</v>
      </c>
      <c r="IB90" s="22" t="s">
        <v>6347</v>
      </c>
      <c r="IC90" s="22" t="s">
        <v>148</v>
      </c>
      <c r="ID90" s="22" t="s">
        <v>70</v>
      </c>
      <c r="IE90" s="214" t="s">
        <v>530</v>
      </c>
      <c r="IG90" s="22" t="s">
        <v>6348</v>
      </c>
      <c r="IH90" s="22" t="s">
        <v>52</v>
      </c>
      <c r="II90" s="22" t="s">
        <v>70</v>
      </c>
      <c r="IJ90" s="214" t="s">
        <v>530</v>
      </c>
      <c r="IL90" s="22" t="s">
        <v>6349</v>
      </c>
      <c r="IM90" s="22" t="s">
        <v>145</v>
      </c>
      <c r="IN90" s="22" t="s">
        <v>70</v>
      </c>
      <c r="IO90" s="214" t="s">
        <v>530</v>
      </c>
      <c r="IQ90" s="236" t="s">
        <v>6350</v>
      </c>
      <c r="IR90" s="236" t="s">
        <v>145</v>
      </c>
      <c r="IS90" s="236" t="s">
        <v>74</v>
      </c>
      <c r="IT90" s="236" t="s">
        <v>841</v>
      </c>
      <c r="IV90" s="236" t="s">
        <v>6351</v>
      </c>
      <c r="IW90" s="236" t="s">
        <v>145</v>
      </c>
      <c r="IX90" s="236" t="s">
        <v>74</v>
      </c>
      <c r="IY90" s="236" t="s">
        <v>841</v>
      </c>
      <c r="JA90" s="236" t="s">
        <v>6352</v>
      </c>
      <c r="JB90" s="236" t="s">
        <v>145</v>
      </c>
      <c r="JC90" s="236" t="s">
        <v>74</v>
      </c>
      <c r="JD90" s="236" t="s">
        <v>841</v>
      </c>
      <c r="JF90" s="236" t="s">
        <v>6353</v>
      </c>
      <c r="JG90" s="236" t="s">
        <v>145</v>
      </c>
      <c r="JH90" s="236" t="s">
        <v>74</v>
      </c>
      <c r="JI90" s="236" t="s">
        <v>841</v>
      </c>
      <c r="JK90" s="236" t="s">
        <v>6354</v>
      </c>
      <c r="JL90" s="236" t="s">
        <v>145</v>
      </c>
      <c r="JM90" s="236" t="s">
        <v>74</v>
      </c>
      <c r="JN90" s="236" t="s">
        <v>841</v>
      </c>
      <c r="JP90" s="236" t="s">
        <v>6355</v>
      </c>
      <c r="JQ90" s="236" t="s">
        <v>145</v>
      </c>
      <c r="JR90" s="236" t="s">
        <v>74</v>
      </c>
      <c r="JS90" s="236" t="s">
        <v>841</v>
      </c>
      <c r="JU90" s="294" t="s">
        <v>6356</v>
      </c>
      <c r="JV90" s="294" t="str">
        <f>TVIIBE1M_CalPairs!$R99</f>
        <v>0xFF</v>
      </c>
      <c r="JW90" s="263" t="s">
        <v>70</v>
      </c>
      <c r="JX90" s="294" t="str">
        <f>TVIIBE1M_CalPairs!$Q99</f>
        <v>PPU9_SL_CONFIG</v>
      </c>
      <c r="JZ90" s="263" t="s">
        <v>6357</v>
      </c>
      <c r="KA90" s="263" t="s">
        <v>145</v>
      </c>
      <c r="KB90" s="263" t="s">
        <v>70</v>
      </c>
      <c r="KC90" s="263" t="s">
        <v>1083</v>
      </c>
      <c r="KE90" s="263" t="s">
        <v>6358</v>
      </c>
      <c r="KF90" s="263" t="s">
        <v>52</v>
      </c>
      <c r="KG90" s="263" t="s">
        <v>70</v>
      </c>
      <c r="KH90" s="263" t="s">
        <v>1083</v>
      </c>
      <c r="KJ90" s="263" t="s">
        <v>6359</v>
      </c>
      <c r="KK90" s="263" t="s">
        <v>52</v>
      </c>
      <c r="KL90" s="263" t="s">
        <v>74</v>
      </c>
      <c r="KM90" s="263" t="s">
        <v>34074</v>
      </c>
      <c r="KO90" s="214" t="s">
        <v>6360</v>
      </c>
      <c r="KP90" s="214" t="s">
        <v>145</v>
      </c>
      <c r="KQ90" s="214" t="s">
        <v>70</v>
      </c>
      <c r="KR90" s="214" t="s">
        <v>67</v>
      </c>
      <c r="KT90" s="22" t="s">
        <v>6361</v>
      </c>
      <c r="KU90" s="22" t="s">
        <v>145</v>
      </c>
      <c r="KV90" s="22" t="s">
        <v>70</v>
      </c>
      <c r="KW90" s="22" t="s">
        <v>67</v>
      </c>
      <c r="KY90" s="214" t="s">
        <v>6362</v>
      </c>
      <c r="KZ90" s="214" t="s">
        <v>52</v>
      </c>
      <c r="LA90" s="214" t="s">
        <v>74</v>
      </c>
      <c r="LB90" s="214" t="s">
        <v>67</v>
      </c>
      <c r="LD90" s="22" t="s">
        <v>6363</v>
      </c>
      <c r="LE90" s="22" t="s">
        <v>145</v>
      </c>
      <c r="LF90" s="22" t="s">
        <v>70</v>
      </c>
      <c r="LG90" s="22" t="s">
        <v>67</v>
      </c>
    </row>
    <row r="91" spans="1:319">
      <c r="A91" s="22" t="s">
        <v>6364</v>
      </c>
      <c r="B91" s="22" t="s">
        <v>145</v>
      </c>
      <c r="C91" s="22" t="s">
        <v>70</v>
      </c>
      <c r="D91" s="22" t="s">
        <v>67</v>
      </c>
      <c r="F91" s="23" t="s">
        <v>6365</v>
      </c>
      <c r="G91" s="23" t="str">
        <f>TVIIBE1M_CalPairs!$E88</f>
        <v>0x00</v>
      </c>
      <c r="H91" s="23" t="s">
        <v>72</v>
      </c>
      <c r="I91" s="23" t="str">
        <f>TVIIBE1M_CalPairs!$C88</f>
        <v>PWR_TRIM_HT_BODVDDA_CTL_VAL0</v>
      </c>
      <c r="K91" s="22" t="s">
        <v>6366</v>
      </c>
      <c r="L91" s="22" t="s">
        <v>145</v>
      </c>
      <c r="M91" s="22" t="s">
        <v>70</v>
      </c>
      <c r="N91" s="22" t="s">
        <v>67</v>
      </c>
      <c r="P91" s="394" t="s">
        <v>6367</v>
      </c>
      <c r="Q91" s="394" t="s">
        <v>145</v>
      </c>
      <c r="R91" s="394" t="s">
        <v>72</v>
      </c>
      <c r="S91" s="394" t="s">
        <v>34094</v>
      </c>
      <c r="U91" s="293" t="s">
        <v>6368</v>
      </c>
      <c r="V91" s="293" t="s">
        <v>145</v>
      </c>
      <c r="W91" s="293" t="s">
        <v>74</v>
      </c>
      <c r="X91" s="293" t="s">
        <v>656</v>
      </c>
      <c r="Z91" s="293" t="s">
        <v>6369</v>
      </c>
      <c r="AA91" s="293" t="s">
        <v>145</v>
      </c>
      <c r="AB91" s="293" t="s">
        <v>74</v>
      </c>
      <c r="AC91" s="293" t="s">
        <v>656</v>
      </c>
      <c r="AE91" s="293" t="s">
        <v>6370</v>
      </c>
      <c r="AF91" s="293" t="s">
        <v>145</v>
      </c>
      <c r="AG91" s="293" t="s">
        <v>74</v>
      </c>
      <c r="AH91" s="293" t="s">
        <v>656</v>
      </c>
      <c r="AJ91" s="293" t="s">
        <v>6371</v>
      </c>
      <c r="AK91" s="293" t="s">
        <v>145</v>
      </c>
      <c r="AL91" s="293" t="s">
        <v>74</v>
      </c>
      <c r="AM91" s="293" t="s">
        <v>656</v>
      </c>
      <c r="AO91" s="22" t="s">
        <v>6372</v>
      </c>
      <c r="AP91" s="22" t="s">
        <v>145</v>
      </c>
      <c r="AQ91" s="22" t="s">
        <v>70</v>
      </c>
      <c r="AR91" s="22" t="s">
        <v>67</v>
      </c>
      <c r="AT91" s="22" t="s">
        <v>6373</v>
      </c>
      <c r="AU91" s="22" t="s">
        <v>145</v>
      </c>
      <c r="AV91" s="22" t="s">
        <v>70</v>
      </c>
      <c r="AW91" s="22" t="s">
        <v>67</v>
      </c>
      <c r="AY91" s="22" t="s">
        <v>6374</v>
      </c>
      <c r="AZ91" s="22" t="s">
        <v>145</v>
      </c>
      <c r="BA91" s="22" t="s">
        <v>70</v>
      </c>
      <c r="BB91" s="22" t="s">
        <v>67</v>
      </c>
      <c r="BD91" s="22" t="s">
        <v>6375</v>
      </c>
      <c r="BE91" s="22" t="s">
        <v>145</v>
      </c>
      <c r="BF91" s="22" t="s">
        <v>70</v>
      </c>
      <c r="BG91" s="22" t="s">
        <v>67</v>
      </c>
      <c r="BI91" s="22" t="s">
        <v>6376</v>
      </c>
      <c r="BJ91" s="22" t="s">
        <v>145</v>
      </c>
      <c r="BK91" s="22" t="s">
        <v>70</v>
      </c>
      <c r="BL91" s="22" t="s">
        <v>67</v>
      </c>
      <c r="BN91" s="22" t="s">
        <v>6377</v>
      </c>
      <c r="BO91" s="22" t="s">
        <v>145</v>
      </c>
      <c r="BP91" s="22" t="s">
        <v>70</v>
      </c>
      <c r="BQ91" s="22" t="s">
        <v>67</v>
      </c>
      <c r="BS91" s="22" t="s">
        <v>6378</v>
      </c>
      <c r="BT91" s="22" t="s">
        <v>145</v>
      </c>
      <c r="BU91" s="22" t="s">
        <v>70</v>
      </c>
      <c r="BV91" s="214" t="s">
        <v>530</v>
      </c>
      <c r="BX91" s="22" t="s">
        <v>6379</v>
      </c>
      <c r="BY91" s="22" t="s">
        <v>145</v>
      </c>
      <c r="BZ91" s="22" t="s">
        <v>70</v>
      </c>
      <c r="CA91" s="214" t="s">
        <v>530</v>
      </c>
      <c r="CC91" s="214" t="s">
        <v>6380</v>
      </c>
      <c r="CD91" s="218" t="s">
        <v>601</v>
      </c>
      <c r="CE91" s="214" t="s">
        <v>70</v>
      </c>
      <c r="CF91" s="214" t="s">
        <v>386</v>
      </c>
      <c r="CH91" s="214" t="s">
        <v>6381</v>
      </c>
      <c r="CI91" s="214" t="s">
        <v>950</v>
      </c>
      <c r="CJ91" s="214" t="s">
        <v>70</v>
      </c>
      <c r="CK91" s="214" t="s">
        <v>530</v>
      </c>
      <c r="CM91" s="214" t="s">
        <v>6382</v>
      </c>
      <c r="CN91" s="214" t="s">
        <v>34580</v>
      </c>
      <c r="CO91" s="214" t="s">
        <v>70</v>
      </c>
      <c r="CP91" s="214" t="s">
        <v>530</v>
      </c>
      <c r="CR91" s="214" t="s">
        <v>6383</v>
      </c>
      <c r="CS91" s="214" t="s">
        <v>488</v>
      </c>
      <c r="CT91" s="214" t="s">
        <v>70</v>
      </c>
      <c r="CU91" s="214" t="s">
        <v>530</v>
      </c>
      <c r="CW91" s="214" t="s">
        <v>6384</v>
      </c>
      <c r="CX91" s="214" t="s">
        <v>146</v>
      </c>
      <c r="CY91" s="214" t="s">
        <v>70</v>
      </c>
      <c r="CZ91" s="214" t="s">
        <v>530</v>
      </c>
      <c r="DB91" s="214" t="s">
        <v>6385</v>
      </c>
      <c r="DC91" s="214" t="s">
        <v>148</v>
      </c>
      <c r="DD91" s="214" t="s">
        <v>70</v>
      </c>
      <c r="DE91" s="214" t="s">
        <v>530</v>
      </c>
      <c r="DG91" s="214" t="s">
        <v>6386</v>
      </c>
      <c r="DH91" s="214" t="s">
        <v>951</v>
      </c>
      <c r="DI91" s="214" t="s">
        <v>70</v>
      </c>
      <c r="DJ91" s="214" t="s">
        <v>530</v>
      </c>
      <c r="DL91" s="214" t="s">
        <v>6387</v>
      </c>
      <c r="DM91" s="214" t="s">
        <v>496</v>
      </c>
      <c r="DN91" s="214" t="s">
        <v>70</v>
      </c>
      <c r="DO91" s="214" t="s">
        <v>530</v>
      </c>
      <c r="DQ91" s="214" t="s">
        <v>6388</v>
      </c>
      <c r="DR91" s="214" t="s">
        <v>484</v>
      </c>
      <c r="DS91" s="214" t="s">
        <v>70</v>
      </c>
      <c r="DT91" s="214" t="s">
        <v>530</v>
      </c>
      <c r="DV91" s="214" t="s">
        <v>6389</v>
      </c>
      <c r="DW91" s="214" t="s">
        <v>163</v>
      </c>
      <c r="DX91" s="214" t="s">
        <v>70</v>
      </c>
      <c r="DY91" s="214" t="s">
        <v>530</v>
      </c>
      <c r="EA91" s="214" t="s">
        <v>6390</v>
      </c>
      <c r="EB91" s="214" t="s">
        <v>601</v>
      </c>
      <c r="EC91" s="214" t="s">
        <v>70</v>
      </c>
      <c r="ED91" s="214" t="s">
        <v>530</v>
      </c>
      <c r="EF91" s="214" t="s">
        <v>6391</v>
      </c>
      <c r="EG91" s="214" t="s">
        <v>468</v>
      </c>
      <c r="EH91" s="214" t="s">
        <v>70</v>
      </c>
      <c r="EI91" s="214" t="s">
        <v>530</v>
      </c>
      <c r="EK91" s="214" t="s">
        <v>6392</v>
      </c>
      <c r="EL91" s="214" t="s">
        <v>481</v>
      </c>
      <c r="EM91" s="214" t="s">
        <v>70</v>
      </c>
      <c r="EN91" s="214" t="s">
        <v>530</v>
      </c>
      <c r="EP91" s="214" t="s">
        <v>6393</v>
      </c>
      <c r="EQ91" s="214" t="s">
        <v>305</v>
      </c>
      <c r="ER91" s="214" t="s">
        <v>70</v>
      </c>
      <c r="ES91" s="214" t="s">
        <v>530</v>
      </c>
      <c r="EU91" s="214" t="s">
        <v>6394</v>
      </c>
      <c r="EV91" s="214" t="s">
        <v>937</v>
      </c>
      <c r="EW91" s="214" t="s">
        <v>70</v>
      </c>
      <c r="EX91" s="214" t="s">
        <v>530</v>
      </c>
      <c r="EZ91" s="214" t="s">
        <v>6395</v>
      </c>
      <c r="FA91" s="214" t="s">
        <v>935</v>
      </c>
      <c r="FB91" s="214" t="s">
        <v>70</v>
      </c>
      <c r="FC91" s="214" t="s">
        <v>530</v>
      </c>
      <c r="FE91" s="214" t="s">
        <v>6396</v>
      </c>
      <c r="FF91" s="214" t="s">
        <v>52</v>
      </c>
      <c r="FG91" s="214" t="s">
        <v>70</v>
      </c>
      <c r="FH91" s="214" t="s">
        <v>530</v>
      </c>
      <c r="FJ91" s="321" t="s">
        <v>6397</v>
      </c>
      <c r="FK91" s="214" t="s">
        <v>919</v>
      </c>
      <c r="FL91" s="214" t="s">
        <v>70</v>
      </c>
      <c r="FM91" s="214" t="s">
        <v>530</v>
      </c>
      <c r="FO91" s="321" t="s">
        <v>6398</v>
      </c>
      <c r="FP91" s="214" t="s">
        <v>488</v>
      </c>
      <c r="FQ91" s="214" t="s">
        <v>70</v>
      </c>
      <c r="FR91" s="214" t="s">
        <v>530</v>
      </c>
      <c r="FT91" s="321" t="s">
        <v>6399</v>
      </c>
      <c r="FU91" s="214" t="s">
        <v>52</v>
      </c>
      <c r="FV91" s="214" t="s">
        <v>70</v>
      </c>
      <c r="FW91" s="214" t="s">
        <v>530</v>
      </c>
      <c r="FY91" s="321" t="s">
        <v>6400</v>
      </c>
      <c r="FZ91" s="214" t="s">
        <v>518</v>
      </c>
      <c r="GA91" s="214" t="s">
        <v>70</v>
      </c>
      <c r="GB91" s="214" t="s">
        <v>530</v>
      </c>
      <c r="GD91" s="321" t="s">
        <v>6401</v>
      </c>
      <c r="GE91" s="214" t="s">
        <v>145</v>
      </c>
      <c r="GF91" s="214" t="s">
        <v>70</v>
      </c>
      <c r="GG91" s="214" t="s">
        <v>530</v>
      </c>
      <c r="GI91" s="321" t="s">
        <v>6402</v>
      </c>
      <c r="GJ91" s="214" t="s">
        <v>52</v>
      </c>
      <c r="GK91" s="214" t="s">
        <v>70</v>
      </c>
      <c r="GL91" s="214" t="s">
        <v>530</v>
      </c>
      <c r="GN91" s="321" t="s">
        <v>6403</v>
      </c>
      <c r="GO91" s="214" t="s">
        <v>488</v>
      </c>
      <c r="GP91" s="214" t="s">
        <v>70</v>
      </c>
      <c r="GQ91" s="214" t="s">
        <v>530</v>
      </c>
      <c r="GS91" s="321" t="s">
        <v>6404</v>
      </c>
      <c r="GT91" s="214" t="s">
        <v>485</v>
      </c>
      <c r="GU91" s="214" t="s">
        <v>70</v>
      </c>
      <c r="GV91" s="214" t="s">
        <v>530</v>
      </c>
      <c r="GX91" s="214" t="s">
        <v>6405</v>
      </c>
      <c r="GY91" s="214" t="s">
        <v>203</v>
      </c>
      <c r="GZ91" s="214" t="s">
        <v>70</v>
      </c>
      <c r="HA91" s="214" t="s">
        <v>530</v>
      </c>
      <c r="HC91" s="214" t="s">
        <v>6406</v>
      </c>
      <c r="HD91" s="214" t="s">
        <v>34589</v>
      </c>
      <c r="HE91" s="214" t="s">
        <v>70</v>
      </c>
      <c r="HF91" s="214" t="s">
        <v>530</v>
      </c>
      <c r="HH91" s="214" t="s">
        <v>6407</v>
      </c>
      <c r="HI91" s="214" t="s">
        <v>93</v>
      </c>
      <c r="HJ91" s="214" t="s">
        <v>70</v>
      </c>
      <c r="HK91" s="214" t="s">
        <v>530</v>
      </c>
      <c r="HM91" s="214" t="s">
        <v>6408</v>
      </c>
      <c r="HN91" s="214" t="s">
        <v>287</v>
      </c>
      <c r="HO91" s="214" t="s">
        <v>70</v>
      </c>
      <c r="HP91" s="214" t="s">
        <v>530</v>
      </c>
      <c r="HR91" s="22" t="s">
        <v>6409</v>
      </c>
      <c r="HS91" s="22" t="s">
        <v>85</v>
      </c>
      <c r="HT91" s="22" t="s">
        <v>70</v>
      </c>
      <c r="HU91" s="214" t="s">
        <v>530</v>
      </c>
      <c r="HW91" s="22" t="s">
        <v>6410</v>
      </c>
      <c r="HX91" s="22" t="s">
        <v>599</v>
      </c>
      <c r="HY91" s="22" t="s">
        <v>70</v>
      </c>
      <c r="HZ91" s="214" t="s">
        <v>530</v>
      </c>
      <c r="IB91" s="22" t="s">
        <v>6411</v>
      </c>
      <c r="IC91" s="22" t="s">
        <v>486</v>
      </c>
      <c r="ID91" s="22" t="s">
        <v>70</v>
      </c>
      <c r="IE91" s="214" t="s">
        <v>530</v>
      </c>
      <c r="IG91" s="22" t="s">
        <v>6412</v>
      </c>
      <c r="IH91" s="22" t="s">
        <v>52</v>
      </c>
      <c r="II91" s="22" t="s">
        <v>70</v>
      </c>
      <c r="IJ91" s="214" t="s">
        <v>530</v>
      </c>
      <c r="IL91" s="22" t="s">
        <v>6413</v>
      </c>
      <c r="IM91" s="22" t="s">
        <v>145</v>
      </c>
      <c r="IN91" s="22" t="s">
        <v>70</v>
      </c>
      <c r="IO91" s="214" t="s">
        <v>530</v>
      </c>
      <c r="IQ91" s="236" t="s">
        <v>6414</v>
      </c>
      <c r="IR91" s="236" t="s">
        <v>145</v>
      </c>
      <c r="IS91" s="236" t="s">
        <v>74</v>
      </c>
      <c r="IT91" s="236" t="s">
        <v>841</v>
      </c>
      <c r="IV91" s="236" t="s">
        <v>6415</v>
      </c>
      <c r="IW91" s="236" t="s">
        <v>145</v>
      </c>
      <c r="IX91" s="236" t="s">
        <v>74</v>
      </c>
      <c r="IY91" s="236" t="s">
        <v>841</v>
      </c>
      <c r="JA91" s="236" t="s">
        <v>6416</v>
      </c>
      <c r="JB91" s="236" t="s">
        <v>145</v>
      </c>
      <c r="JC91" s="236" t="s">
        <v>74</v>
      </c>
      <c r="JD91" s="236" t="s">
        <v>841</v>
      </c>
      <c r="JF91" s="236" t="s">
        <v>6417</v>
      </c>
      <c r="JG91" s="236" t="s">
        <v>145</v>
      </c>
      <c r="JH91" s="236" t="s">
        <v>74</v>
      </c>
      <c r="JI91" s="236" t="s">
        <v>841</v>
      </c>
      <c r="JK91" s="236" t="s">
        <v>6418</v>
      </c>
      <c r="JL91" s="236" t="s">
        <v>145</v>
      </c>
      <c r="JM91" s="236" t="s">
        <v>74</v>
      </c>
      <c r="JN91" s="236" t="s">
        <v>841</v>
      </c>
      <c r="JP91" s="236" t="s">
        <v>6419</v>
      </c>
      <c r="JQ91" s="236" t="s">
        <v>145</v>
      </c>
      <c r="JR91" s="236" t="s">
        <v>74</v>
      </c>
      <c r="JS91" s="236" t="s">
        <v>841</v>
      </c>
      <c r="JU91" s="294" t="s">
        <v>6420</v>
      </c>
      <c r="JV91" s="294" t="str">
        <f>TVIIBE1M_CalPairs!$R100</f>
        <v>0xFF</v>
      </c>
      <c r="JW91" s="263" t="s">
        <v>70</v>
      </c>
      <c r="JX91" s="294" t="str">
        <f>TVIIBE1M_CalPairs!$Q100</f>
        <v>PPU9_MS_CONFIG</v>
      </c>
      <c r="JZ91" s="263" t="s">
        <v>6421</v>
      </c>
      <c r="KA91" s="263" t="s">
        <v>145</v>
      </c>
      <c r="KB91" s="263" t="s">
        <v>70</v>
      </c>
      <c r="KC91" s="263" t="s">
        <v>1083</v>
      </c>
      <c r="KE91" s="263" t="s">
        <v>6422</v>
      </c>
      <c r="KF91" s="263" t="s">
        <v>52</v>
      </c>
      <c r="KG91" s="263" t="s">
        <v>70</v>
      </c>
      <c r="KH91" s="263" t="s">
        <v>1083</v>
      </c>
      <c r="KJ91" s="263" t="s">
        <v>6423</v>
      </c>
      <c r="KK91" s="263" t="s">
        <v>52</v>
      </c>
      <c r="KL91" s="263" t="s">
        <v>74</v>
      </c>
      <c r="KM91" s="263" t="s">
        <v>34074</v>
      </c>
      <c r="KO91" s="214" t="s">
        <v>6424</v>
      </c>
      <c r="KP91" s="214" t="s">
        <v>145</v>
      </c>
      <c r="KQ91" s="214" t="s">
        <v>70</v>
      </c>
      <c r="KR91" s="214" t="s">
        <v>67</v>
      </c>
      <c r="KT91" s="22" t="s">
        <v>6425</v>
      </c>
      <c r="KU91" s="22" t="s">
        <v>145</v>
      </c>
      <c r="KV91" s="22" t="s">
        <v>70</v>
      </c>
      <c r="KW91" s="22" t="s">
        <v>67</v>
      </c>
      <c r="KY91" s="214" t="s">
        <v>6426</v>
      </c>
      <c r="KZ91" s="214" t="s">
        <v>52</v>
      </c>
      <c r="LA91" s="214" t="s">
        <v>74</v>
      </c>
      <c r="LB91" s="214" t="s">
        <v>67</v>
      </c>
      <c r="LD91" s="22" t="s">
        <v>6427</v>
      </c>
      <c r="LE91" s="22" t="s">
        <v>145</v>
      </c>
      <c r="LF91" s="22" t="s">
        <v>70</v>
      </c>
      <c r="LG91" s="22" t="s">
        <v>67</v>
      </c>
    </row>
    <row r="92" spans="1:319">
      <c r="A92" s="22" t="s">
        <v>6428</v>
      </c>
      <c r="B92" s="22" t="s">
        <v>145</v>
      </c>
      <c r="C92" s="22" t="s">
        <v>70</v>
      </c>
      <c r="D92" s="22" t="s">
        <v>67</v>
      </c>
      <c r="F92" s="23" t="s">
        <v>6429</v>
      </c>
      <c r="G92" s="23" t="str">
        <f>TVIIBE1M_CalPairs!$E89</f>
        <v>0x04</v>
      </c>
      <c r="H92" s="23" t="s">
        <v>72</v>
      </c>
      <c r="I92" s="23" t="str">
        <f>TVIIBE1M_CalPairs!$C89</f>
        <v>PWR_TRIM_HT_BODVDDA_CTL_VAL1</v>
      </c>
      <c r="K92" s="22" t="s">
        <v>6430</v>
      </c>
      <c r="L92" s="22" t="s">
        <v>145</v>
      </c>
      <c r="M92" s="22" t="s">
        <v>70</v>
      </c>
      <c r="N92" s="22" t="s">
        <v>67</v>
      </c>
      <c r="P92" s="394" t="s">
        <v>6431</v>
      </c>
      <c r="Q92" s="394" t="s">
        <v>145</v>
      </c>
      <c r="R92" s="394" t="s">
        <v>72</v>
      </c>
      <c r="S92" s="394" t="s">
        <v>34095</v>
      </c>
      <c r="U92" s="293" t="s">
        <v>6432</v>
      </c>
      <c r="V92" s="293" t="s">
        <v>145</v>
      </c>
      <c r="W92" s="293" t="s">
        <v>74</v>
      </c>
      <c r="X92" s="293" t="s">
        <v>656</v>
      </c>
      <c r="Z92" s="293" t="s">
        <v>6433</v>
      </c>
      <c r="AA92" s="293" t="s">
        <v>145</v>
      </c>
      <c r="AB92" s="293" t="s">
        <v>74</v>
      </c>
      <c r="AC92" s="293" t="s">
        <v>656</v>
      </c>
      <c r="AE92" s="293" t="s">
        <v>6434</v>
      </c>
      <c r="AF92" s="293" t="s">
        <v>145</v>
      </c>
      <c r="AG92" s="293" t="s">
        <v>74</v>
      </c>
      <c r="AH92" s="293" t="s">
        <v>656</v>
      </c>
      <c r="AJ92" s="293" t="s">
        <v>6435</v>
      </c>
      <c r="AK92" s="293" t="s">
        <v>145</v>
      </c>
      <c r="AL92" s="293" t="s">
        <v>74</v>
      </c>
      <c r="AM92" s="293" t="s">
        <v>656</v>
      </c>
      <c r="AO92" s="22" t="s">
        <v>6436</v>
      </c>
      <c r="AP92" s="22" t="s">
        <v>145</v>
      </c>
      <c r="AQ92" s="22" t="s">
        <v>70</v>
      </c>
      <c r="AR92" s="22" t="s">
        <v>67</v>
      </c>
      <c r="AT92" s="22" t="s">
        <v>6437</v>
      </c>
      <c r="AU92" s="22" t="s">
        <v>145</v>
      </c>
      <c r="AV92" s="22" t="s">
        <v>70</v>
      </c>
      <c r="AW92" s="22" t="s">
        <v>67</v>
      </c>
      <c r="AY92" s="22" t="s">
        <v>6438</v>
      </c>
      <c r="AZ92" s="22" t="s">
        <v>145</v>
      </c>
      <c r="BA92" s="22" t="s">
        <v>70</v>
      </c>
      <c r="BB92" s="22" t="s">
        <v>67</v>
      </c>
      <c r="BD92" s="22" t="s">
        <v>6439</v>
      </c>
      <c r="BE92" s="22" t="s">
        <v>145</v>
      </c>
      <c r="BF92" s="22" t="s">
        <v>70</v>
      </c>
      <c r="BG92" s="22" t="s">
        <v>67</v>
      </c>
      <c r="BI92" s="22" t="s">
        <v>6440</v>
      </c>
      <c r="BJ92" s="22" t="s">
        <v>145</v>
      </c>
      <c r="BK92" s="22" t="s">
        <v>70</v>
      </c>
      <c r="BL92" s="22" t="s">
        <v>67</v>
      </c>
      <c r="BN92" s="22" t="s">
        <v>6441</v>
      </c>
      <c r="BO92" s="22" t="s">
        <v>145</v>
      </c>
      <c r="BP92" s="22" t="s">
        <v>70</v>
      </c>
      <c r="BQ92" s="22" t="s">
        <v>67</v>
      </c>
      <c r="BS92" s="22" t="s">
        <v>6442</v>
      </c>
      <c r="BT92" s="22" t="s">
        <v>145</v>
      </c>
      <c r="BU92" s="22" t="s">
        <v>70</v>
      </c>
      <c r="BV92" s="214" t="s">
        <v>530</v>
      </c>
      <c r="BX92" s="22" t="s">
        <v>6443</v>
      </c>
      <c r="BY92" s="22" t="s">
        <v>145</v>
      </c>
      <c r="BZ92" s="22" t="s">
        <v>70</v>
      </c>
      <c r="CA92" s="214" t="s">
        <v>530</v>
      </c>
      <c r="CC92" s="214" t="s">
        <v>6444</v>
      </c>
      <c r="CD92" s="218" t="s">
        <v>52</v>
      </c>
      <c r="CE92" s="214" t="s">
        <v>70</v>
      </c>
      <c r="CF92" s="214" t="s">
        <v>387</v>
      </c>
      <c r="CH92" s="214" t="s">
        <v>6445</v>
      </c>
      <c r="CI92" s="214" t="s">
        <v>485</v>
      </c>
      <c r="CJ92" s="214" t="s">
        <v>70</v>
      </c>
      <c r="CK92" s="214" t="s">
        <v>530</v>
      </c>
      <c r="CM92" s="214" t="s">
        <v>6446</v>
      </c>
      <c r="CN92" s="214" t="s">
        <v>86</v>
      </c>
      <c r="CO92" s="214" t="s">
        <v>70</v>
      </c>
      <c r="CP92" s="214" t="s">
        <v>530</v>
      </c>
      <c r="CR92" s="214" t="s">
        <v>6447</v>
      </c>
      <c r="CS92" s="214" t="s">
        <v>149</v>
      </c>
      <c r="CT92" s="214" t="s">
        <v>70</v>
      </c>
      <c r="CU92" s="214" t="s">
        <v>530</v>
      </c>
      <c r="CW92" s="214" t="s">
        <v>6448</v>
      </c>
      <c r="CX92" s="214" t="s">
        <v>85</v>
      </c>
      <c r="CY92" s="214" t="s">
        <v>70</v>
      </c>
      <c r="CZ92" s="214" t="s">
        <v>530</v>
      </c>
      <c r="DB92" s="214" t="s">
        <v>6449</v>
      </c>
      <c r="DC92" s="214" t="s">
        <v>92</v>
      </c>
      <c r="DD92" s="214" t="s">
        <v>70</v>
      </c>
      <c r="DE92" s="214" t="s">
        <v>530</v>
      </c>
      <c r="DG92" s="214" t="s">
        <v>6450</v>
      </c>
      <c r="DH92" s="214" t="s">
        <v>34577</v>
      </c>
      <c r="DI92" s="214" t="s">
        <v>70</v>
      </c>
      <c r="DJ92" s="214" t="s">
        <v>530</v>
      </c>
      <c r="DL92" s="214" t="s">
        <v>6451</v>
      </c>
      <c r="DM92" s="214" t="s">
        <v>34609</v>
      </c>
      <c r="DN92" s="214" t="s">
        <v>70</v>
      </c>
      <c r="DO92" s="214" t="s">
        <v>530</v>
      </c>
      <c r="DQ92" s="214" t="s">
        <v>6452</v>
      </c>
      <c r="DR92" s="214" t="s">
        <v>498</v>
      </c>
      <c r="DS92" s="214" t="s">
        <v>70</v>
      </c>
      <c r="DT92" s="214" t="s">
        <v>530</v>
      </c>
      <c r="DV92" s="214" t="s">
        <v>6453</v>
      </c>
      <c r="DW92" s="214" t="s">
        <v>90</v>
      </c>
      <c r="DX92" s="214" t="s">
        <v>70</v>
      </c>
      <c r="DY92" s="214" t="s">
        <v>530</v>
      </c>
      <c r="EA92" s="214" t="s">
        <v>6454</v>
      </c>
      <c r="EB92" s="214" t="s">
        <v>164</v>
      </c>
      <c r="EC92" s="214" t="s">
        <v>70</v>
      </c>
      <c r="ED92" s="214" t="s">
        <v>530</v>
      </c>
      <c r="EF92" s="214" t="s">
        <v>6455</v>
      </c>
      <c r="EG92" s="214" t="s">
        <v>92</v>
      </c>
      <c r="EH92" s="214" t="s">
        <v>70</v>
      </c>
      <c r="EI92" s="214" t="s">
        <v>530</v>
      </c>
      <c r="EK92" s="214" t="s">
        <v>6456</v>
      </c>
      <c r="EL92" s="214" t="s">
        <v>490</v>
      </c>
      <c r="EM92" s="214" t="s">
        <v>70</v>
      </c>
      <c r="EN92" s="214" t="s">
        <v>530</v>
      </c>
      <c r="EP92" s="214" t="s">
        <v>6457</v>
      </c>
      <c r="EQ92" s="214" t="s">
        <v>34551</v>
      </c>
      <c r="ER92" s="214" t="s">
        <v>70</v>
      </c>
      <c r="ES92" s="214" t="s">
        <v>530</v>
      </c>
      <c r="EU92" s="214" t="s">
        <v>6458</v>
      </c>
      <c r="EV92" s="214" t="s">
        <v>924</v>
      </c>
      <c r="EW92" s="214" t="s">
        <v>70</v>
      </c>
      <c r="EX92" s="214" t="s">
        <v>530</v>
      </c>
      <c r="EZ92" s="214" t="s">
        <v>6459</v>
      </c>
      <c r="FA92" s="214" t="s">
        <v>927</v>
      </c>
      <c r="FB92" s="214" t="s">
        <v>70</v>
      </c>
      <c r="FC92" s="214" t="s">
        <v>530</v>
      </c>
      <c r="FE92" s="214" t="s">
        <v>6460</v>
      </c>
      <c r="FF92" s="214" t="s">
        <v>34610</v>
      </c>
      <c r="FG92" s="214" t="s">
        <v>70</v>
      </c>
      <c r="FH92" s="214" t="s">
        <v>530</v>
      </c>
      <c r="FJ92" s="321" t="s">
        <v>6461</v>
      </c>
      <c r="FK92" s="214" t="s">
        <v>204</v>
      </c>
      <c r="FL92" s="214" t="s">
        <v>70</v>
      </c>
      <c r="FM92" s="214" t="s">
        <v>530</v>
      </c>
      <c r="FO92" s="321" t="s">
        <v>6462</v>
      </c>
      <c r="FP92" s="214" t="s">
        <v>164</v>
      </c>
      <c r="FQ92" s="214" t="s">
        <v>70</v>
      </c>
      <c r="FR92" s="214" t="s">
        <v>530</v>
      </c>
      <c r="FT92" s="321" t="s">
        <v>6463</v>
      </c>
      <c r="FU92" s="214" t="s">
        <v>92</v>
      </c>
      <c r="FV92" s="214" t="s">
        <v>70</v>
      </c>
      <c r="FW92" s="214" t="s">
        <v>530</v>
      </c>
      <c r="FY92" s="321" t="s">
        <v>6464</v>
      </c>
      <c r="FZ92" s="214" t="s">
        <v>481</v>
      </c>
      <c r="GA92" s="214" t="s">
        <v>70</v>
      </c>
      <c r="GB92" s="214" t="s">
        <v>530</v>
      </c>
      <c r="GD92" s="321" t="s">
        <v>6465</v>
      </c>
      <c r="GE92" s="214" t="s">
        <v>913</v>
      </c>
      <c r="GF92" s="214" t="s">
        <v>70</v>
      </c>
      <c r="GG92" s="214" t="s">
        <v>530</v>
      </c>
      <c r="GI92" s="321" t="s">
        <v>6466</v>
      </c>
      <c r="GJ92" s="214" t="s">
        <v>164</v>
      </c>
      <c r="GK92" s="214" t="s">
        <v>70</v>
      </c>
      <c r="GL92" s="214" t="s">
        <v>530</v>
      </c>
      <c r="GN92" s="321" t="s">
        <v>6467</v>
      </c>
      <c r="GO92" s="214" t="s">
        <v>163</v>
      </c>
      <c r="GP92" s="214" t="s">
        <v>70</v>
      </c>
      <c r="GQ92" s="214" t="s">
        <v>530</v>
      </c>
      <c r="GS92" s="321" t="s">
        <v>6468</v>
      </c>
      <c r="GT92" s="214" t="s">
        <v>148</v>
      </c>
      <c r="GU92" s="214" t="s">
        <v>70</v>
      </c>
      <c r="GV92" s="214" t="s">
        <v>530</v>
      </c>
      <c r="GX92" s="214" t="s">
        <v>6469</v>
      </c>
      <c r="GY92" s="214" t="s">
        <v>34600</v>
      </c>
      <c r="GZ92" s="214" t="s">
        <v>70</v>
      </c>
      <c r="HA92" s="214" t="s">
        <v>530</v>
      </c>
      <c r="HC92" s="214" t="s">
        <v>6470</v>
      </c>
      <c r="HD92" s="214" t="s">
        <v>145</v>
      </c>
      <c r="HE92" s="214" t="s">
        <v>70</v>
      </c>
      <c r="HF92" s="214" t="s">
        <v>530</v>
      </c>
      <c r="HH92" s="214" t="s">
        <v>6471</v>
      </c>
      <c r="HI92" s="214" t="s">
        <v>148</v>
      </c>
      <c r="HJ92" s="214" t="s">
        <v>70</v>
      </c>
      <c r="HK92" s="214" t="s">
        <v>530</v>
      </c>
      <c r="HM92" s="214" t="s">
        <v>6472</v>
      </c>
      <c r="HN92" s="214" t="s">
        <v>34558</v>
      </c>
      <c r="HO92" s="214" t="s">
        <v>70</v>
      </c>
      <c r="HP92" s="214" t="s">
        <v>530</v>
      </c>
      <c r="HR92" s="22" t="s">
        <v>6473</v>
      </c>
      <c r="HS92" s="22" t="s">
        <v>34536</v>
      </c>
      <c r="HT92" s="22" t="s">
        <v>70</v>
      </c>
      <c r="HU92" s="214" t="s">
        <v>530</v>
      </c>
      <c r="HW92" s="22" t="s">
        <v>6474</v>
      </c>
      <c r="HX92" s="22" t="s">
        <v>914</v>
      </c>
      <c r="HY92" s="22" t="s">
        <v>70</v>
      </c>
      <c r="HZ92" s="214" t="s">
        <v>530</v>
      </c>
      <c r="IB92" s="22" t="s">
        <v>6475</v>
      </c>
      <c r="IC92" s="22" t="s">
        <v>34574</v>
      </c>
      <c r="ID92" s="22" t="s">
        <v>70</v>
      </c>
      <c r="IE92" s="214" t="s">
        <v>530</v>
      </c>
      <c r="IG92" s="22" t="s">
        <v>6476</v>
      </c>
      <c r="IH92" s="22" t="s">
        <v>52</v>
      </c>
      <c r="II92" s="22" t="s">
        <v>70</v>
      </c>
      <c r="IJ92" s="214" t="s">
        <v>530</v>
      </c>
      <c r="IL92" s="22" t="s">
        <v>6477</v>
      </c>
      <c r="IM92" s="22" t="s">
        <v>145</v>
      </c>
      <c r="IN92" s="22" t="s">
        <v>70</v>
      </c>
      <c r="IO92" s="214" t="s">
        <v>530</v>
      </c>
      <c r="IQ92" s="236" t="s">
        <v>6478</v>
      </c>
      <c r="IR92" s="236" t="s">
        <v>145</v>
      </c>
      <c r="IS92" s="236" t="s">
        <v>74</v>
      </c>
      <c r="IT92" s="236" t="s">
        <v>841</v>
      </c>
      <c r="IV92" s="236" t="s">
        <v>6479</v>
      </c>
      <c r="IW92" s="236" t="s">
        <v>145</v>
      </c>
      <c r="IX92" s="236" t="s">
        <v>74</v>
      </c>
      <c r="IY92" s="236" t="s">
        <v>841</v>
      </c>
      <c r="JA92" s="236" t="s">
        <v>6480</v>
      </c>
      <c r="JB92" s="236" t="s">
        <v>145</v>
      </c>
      <c r="JC92" s="236" t="s">
        <v>74</v>
      </c>
      <c r="JD92" s="236" t="s">
        <v>841</v>
      </c>
      <c r="JF92" s="236" t="s">
        <v>6481</v>
      </c>
      <c r="JG92" s="236" t="s">
        <v>145</v>
      </c>
      <c r="JH92" s="236" t="s">
        <v>74</v>
      </c>
      <c r="JI92" s="236" t="s">
        <v>841</v>
      </c>
      <c r="JK92" s="236" t="s">
        <v>6482</v>
      </c>
      <c r="JL92" s="236" t="s">
        <v>145</v>
      </c>
      <c r="JM92" s="236" t="s">
        <v>74</v>
      </c>
      <c r="JN92" s="236" t="s">
        <v>841</v>
      </c>
      <c r="JP92" s="236" t="s">
        <v>6483</v>
      </c>
      <c r="JQ92" s="236" t="s">
        <v>145</v>
      </c>
      <c r="JR92" s="236" t="s">
        <v>74</v>
      </c>
      <c r="JS92" s="236" t="s">
        <v>841</v>
      </c>
      <c r="JU92" s="294" t="s">
        <v>6484</v>
      </c>
      <c r="JV92" s="294" t="str">
        <f>TVIIBE1M_CalPairs!$R101</f>
        <v>0x1B</v>
      </c>
      <c r="JW92" s="218" t="s">
        <v>72</v>
      </c>
      <c r="JX92" s="294" t="str">
        <f>TVIIBE1M_CalPairs!$S101</f>
        <v>IPC_STRUCT2_IPC</v>
      </c>
      <c r="JZ92" s="263" t="s">
        <v>6485</v>
      </c>
      <c r="KA92" s="263" t="s">
        <v>145</v>
      </c>
      <c r="KB92" s="263" t="s">
        <v>70</v>
      </c>
      <c r="KC92" s="263" t="s">
        <v>1083</v>
      </c>
      <c r="KE92" s="263" t="s">
        <v>6486</v>
      </c>
      <c r="KF92" s="263" t="s">
        <v>52</v>
      </c>
      <c r="KG92" s="263" t="s">
        <v>70</v>
      </c>
      <c r="KH92" s="263" t="s">
        <v>1083</v>
      </c>
      <c r="KJ92" s="263" t="s">
        <v>6487</v>
      </c>
      <c r="KK92" s="263" t="s">
        <v>52</v>
      </c>
      <c r="KL92" s="263" t="s">
        <v>74</v>
      </c>
      <c r="KM92" s="263" t="s">
        <v>34074</v>
      </c>
      <c r="KO92" s="214" t="s">
        <v>6488</v>
      </c>
      <c r="KP92" s="214" t="s">
        <v>145</v>
      </c>
      <c r="KQ92" s="214" t="s">
        <v>70</v>
      </c>
      <c r="KR92" s="214" t="s">
        <v>67</v>
      </c>
      <c r="KT92" s="22" t="s">
        <v>6489</v>
      </c>
      <c r="KU92" s="22" t="s">
        <v>145</v>
      </c>
      <c r="KV92" s="22" t="s">
        <v>70</v>
      </c>
      <c r="KW92" s="22" t="s">
        <v>67</v>
      </c>
      <c r="KY92" s="214" t="s">
        <v>6490</v>
      </c>
      <c r="KZ92" s="214" t="s">
        <v>52</v>
      </c>
      <c r="LA92" s="214" t="s">
        <v>74</v>
      </c>
      <c r="LB92" s="214" t="s">
        <v>67</v>
      </c>
      <c r="LD92" s="22" t="s">
        <v>6491</v>
      </c>
      <c r="LE92" s="22" t="s">
        <v>145</v>
      </c>
      <c r="LF92" s="22" t="s">
        <v>70</v>
      </c>
      <c r="LG92" s="22" t="s">
        <v>67</v>
      </c>
    </row>
    <row r="93" spans="1:319">
      <c r="A93" s="22" t="s">
        <v>6492</v>
      </c>
      <c r="B93" s="22" t="s">
        <v>145</v>
      </c>
      <c r="C93" s="22" t="s">
        <v>70</v>
      </c>
      <c r="D93" s="22" t="s">
        <v>67</v>
      </c>
      <c r="F93" s="23" t="s">
        <v>6493</v>
      </c>
      <c r="G93" s="23" t="str">
        <f>TVIIBE1M_CalPairs!$E90</f>
        <v>0x00</v>
      </c>
      <c r="H93" s="23" t="s">
        <v>72</v>
      </c>
      <c r="I93" s="23" t="str">
        <f>TVIIBE1M_CalPairs!$C90</f>
        <v>PWR_TRIM_HT_BODVDDA_CTL_VAL2</v>
      </c>
      <c r="K93" s="22" t="s">
        <v>6494</v>
      </c>
      <c r="L93" s="22" t="s">
        <v>145</v>
      </c>
      <c r="M93" s="22" t="s">
        <v>70</v>
      </c>
      <c r="N93" s="22" t="s">
        <v>67</v>
      </c>
      <c r="P93" s="394" t="s">
        <v>6495</v>
      </c>
      <c r="Q93" s="394" t="s">
        <v>145</v>
      </c>
      <c r="R93" s="394" t="s">
        <v>72</v>
      </c>
      <c r="S93" s="394" t="s">
        <v>34095</v>
      </c>
      <c r="U93" s="293" t="s">
        <v>6496</v>
      </c>
      <c r="V93" s="293" t="s">
        <v>145</v>
      </c>
      <c r="W93" s="293" t="s">
        <v>74</v>
      </c>
      <c r="X93" s="293" t="s">
        <v>656</v>
      </c>
      <c r="Z93" s="293" t="s">
        <v>6497</v>
      </c>
      <c r="AA93" s="293" t="s">
        <v>145</v>
      </c>
      <c r="AB93" s="293" t="s">
        <v>74</v>
      </c>
      <c r="AC93" s="293" t="s">
        <v>656</v>
      </c>
      <c r="AE93" s="293" t="s">
        <v>6498</v>
      </c>
      <c r="AF93" s="293" t="s">
        <v>145</v>
      </c>
      <c r="AG93" s="293" t="s">
        <v>74</v>
      </c>
      <c r="AH93" s="293" t="s">
        <v>656</v>
      </c>
      <c r="AJ93" s="293" t="s">
        <v>6499</v>
      </c>
      <c r="AK93" s="293" t="s">
        <v>145</v>
      </c>
      <c r="AL93" s="293" t="s">
        <v>74</v>
      </c>
      <c r="AM93" s="293" t="s">
        <v>656</v>
      </c>
      <c r="AO93" s="22" t="s">
        <v>6500</v>
      </c>
      <c r="AP93" s="22" t="s">
        <v>145</v>
      </c>
      <c r="AQ93" s="22" t="s">
        <v>70</v>
      </c>
      <c r="AR93" s="22" t="s">
        <v>67</v>
      </c>
      <c r="AT93" s="22" t="s">
        <v>6501</v>
      </c>
      <c r="AU93" s="22" t="s">
        <v>145</v>
      </c>
      <c r="AV93" s="22" t="s">
        <v>70</v>
      </c>
      <c r="AW93" s="22" t="s">
        <v>67</v>
      </c>
      <c r="AY93" s="22" t="s">
        <v>6502</v>
      </c>
      <c r="AZ93" s="22" t="s">
        <v>145</v>
      </c>
      <c r="BA93" s="22" t="s">
        <v>70</v>
      </c>
      <c r="BB93" s="22" t="s">
        <v>67</v>
      </c>
      <c r="BD93" s="22" t="s">
        <v>6503</v>
      </c>
      <c r="BE93" s="22" t="s">
        <v>145</v>
      </c>
      <c r="BF93" s="22" t="s">
        <v>70</v>
      </c>
      <c r="BG93" s="22" t="s">
        <v>67</v>
      </c>
      <c r="BI93" s="22" t="s">
        <v>6504</v>
      </c>
      <c r="BJ93" s="22" t="s">
        <v>145</v>
      </c>
      <c r="BK93" s="22" t="s">
        <v>70</v>
      </c>
      <c r="BL93" s="22" t="s">
        <v>67</v>
      </c>
      <c r="BN93" s="22" t="s">
        <v>6505</v>
      </c>
      <c r="BO93" s="22" t="s">
        <v>145</v>
      </c>
      <c r="BP93" s="22" t="s">
        <v>70</v>
      </c>
      <c r="BQ93" s="22" t="s">
        <v>67</v>
      </c>
      <c r="BS93" s="22" t="s">
        <v>6506</v>
      </c>
      <c r="BT93" s="22" t="s">
        <v>145</v>
      </c>
      <c r="BU93" s="22" t="s">
        <v>70</v>
      </c>
      <c r="BV93" s="214" t="s">
        <v>530</v>
      </c>
      <c r="BX93" s="22" t="s">
        <v>6507</v>
      </c>
      <c r="BY93" s="22" t="s">
        <v>145</v>
      </c>
      <c r="BZ93" s="22" t="s">
        <v>70</v>
      </c>
      <c r="CA93" s="214" t="s">
        <v>530</v>
      </c>
      <c r="CC93" s="214" t="s">
        <v>6508</v>
      </c>
      <c r="CD93" s="218" t="s">
        <v>52</v>
      </c>
      <c r="CE93" s="214" t="s">
        <v>70</v>
      </c>
      <c r="CF93" s="214" t="s">
        <v>388</v>
      </c>
      <c r="CH93" s="214" t="s">
        <v>6509</v>
      </c>
      <c r="CI93" s="214" t="s">
        <v>926</v>
      </c>
      <c r="CJ93" s="214" t="s">
        <v>70</v>
      </c>
      <c r="CK93" s="214" t="s">
        <v>530</v>
      </c>
      <c r="CM93" s="214" t="s">
        <v>6510</v>
      </c>
      <c r="CN93" s="214" t="s">
        <v>52</v>
      </c>
      <c r="CO93" s="214" t="s">
        <v>70</v>
      </c>
      <c r="CP93" s="214" t="s">
        <v>530</v>
      </c>
      <c r="CR93" s="214" t="s">
        <v>6511</v>
      </c>
      <c r="CS93" s="214" t="s">
        <v>484</v>
      </c>
      <c r="CT93" s="214" t="s">
        <v>70</v>
      </c>
      <c r="CU93" s="214" t="s">
        <v>530</v>
      </c>
      <c r="CW93" s="214" t="s">
        <v>6512</v>
      </c>
      <c r="CX93" s="214" t="s">
        <v>921</v>
      </c>
      <c r="CY93" s="214" t="s">
        <v>70</v>
      </c>
      <c r="CZ93" s="214" t="s">
        <v>530</v>
      </c>
      <c r="DB93" s="214" t="s">
        <v>6513</v>
      </c>
      <c r="DC93" s="214" t="s">
        <v>486</v>
      </c>
      <c r="DD93" s="214" t="s">
        <v>70</v>
      </c>
      <c r="DE93" s="214" t="s">
        <v>530</v>
      </c>
      <c r="DG93" s="214" t="s">
        <v>6514</v>
      </c>
      <c r="DH93" s="214" t="s">
        <v>484</v>
      </c>
      <c r="DI93" s="214" t="s">
        <v>70</v>
      </c>
      <c r="DJ93" s="214" t="s">
        <v>530</v>
      </c>
      <c r="DL93" s="214" t="s">
        <v>6515</v>
      </c>
      <c r="DM93" s="214" t="s">
        <v>518</v>
      </c>
      <c r="DN93" s="214" t="s">
        <v>70</v>
      </c>
      <c r="DO93" s="214" t="s">
        <v>530</v>
      </c>
      <c r="DQ93" s="214" t="s">
        <v>6516</v>
      </c>
      <c r="DR93" s="214" t="s">
        <v>488</v>
      </c>
      <c r="DS93" s="214" t="s">
        <v>70</v>
      </c>
      <c r="DT93" s="214" t="s">
        <v>530</v>
      </c>
      <c r="DV93" s="214" t="s">
        <v>6517</v>
      </c>
      <c r="DW93" s="214" t="s">
        <v>93</v>
      </c>
      <c r="DX93" s="214" t="s">
        <v>70</v>
      </c>
      <c r="DY93" s="214" t="s">
        <v>530</v>
      </c>
      <c r="EA93" s="214" t="s">
        <v>6518</v>
      </c>
      <c r="EB93" s="214" t="s">
        <v>52</v>
      </c>
      <c r="EC93" s="214" t="s">
        <v>70</v>
      </c>
      <c r="ED93" s="214" t="s">
        <v>530</v>
      </c>
      <c r="EF93" s="214" t="s">
        <v>6519</v>
      </c>
      <c r="EG93" s="214" t="s">
        <v>496</v>
      </c>
      <c r="EH93" s="214" t="s">
        <v>70</v>
      </c>
      <c r="EI93" s="214" t="s">
        <v>530</v>
      </c>
      <c r="EK93" s="214" t="s">
        <v>6520</v>
      </c>
      <c r="EL93" s="214" t="s">
        <v>484</v>
      </c>
      <c r="EM93" s="214" t="s">
        <v>70</v>
      </c>
      <c r="EN93" s="214" t="s">
        <v>530</v>
      </c>
      <c r="EP93" s="214" t="s">
        <v>6521</v>
      </c>
      <c r="EQ93" s="214" t="s">
        <v>34516</v>
      </c>
      <c r="ER93" s="214" t="s">
        <v>70</v>
      </c>
      <c r="ES93" s="214" t="s">
        <v>530</v>
      </c>
      <c r="EU93" s="214" t="s">
        <v>6522</v>
      </c>
      <c r="EV93" s="214" t="s">
        <v>491</v>
      </c>
      <c r="EW93" s="214" t="s">
        <v>70</v>
      </c>
      <c r="EX93" s="214" t="s">
        <v>530</v>
      </c>
      <c r="EZ93" s="214" t="s">
        <v>6523</v>
      </c>
      <c r="FA93" s="214" t="s">
        <v>103</v>
      </c>
      <c r="FB93" s="214" t="s">
        <v>70</v>
      </c>
      <c r="FC93" s="214" t="s">
        <v>530</v>
      </c>
      <c r="FE93" s="214" t="s">
        <v>6524</v>
      </c>
      <c r="FF93" s="214" t="s">
        <v>491</v>
      </c>
      <c r="FG93" s="214" t="s">
        <v>70</v>
      </c>
      <c r="FH93" s="214" t="s">
        <v>530</v>
      </c>
      <c r="FJ93" s="321" t="s">
        <v>6525</v>
      </c>
      <c r="FK93" s="214" t="s">
        <v>146</v>
      </c>
      <c r="FL93" s="214" t="s">
        <v>70</v>
      </c>
      <c r="FM93" s="214" t="s">
        <v>530</v>
      </c>
      <c r="FO93" s="321" t="s">
        <v>6526</v>
      </c>
      <c r="FP93" s="214" t="s">
        <v>497</v>
      </c>
      <c r="FQ93" s="214" t="s">
        <v>70</v>
      </c>
      <c r="FR93" s="214" t="s">
        <v>530</v>
      </c>
      <c r="FT93" s="321" t="s">
        <v>6527</v>
      </c>
      <c r="FU93" s="214" t="s">
        <v>920</v>
      </c>
      <c r="FV93" s="214" t="s">
        <v>70</v>
      </c>
      <c r="FW93" s="214" t="s">
        <v>530</v>
      </c>
      <c r="FY93" s="321" t="s">
        <v>6528</v>
      </c>
      <c r="FZ93" s="214" t="s">
        <v>487</v>
      </c>
      <c r="GA93" s="214" t="s">
        <v>70</v>
      </c>
      <c r="GB93" s="214" t="s">
        <v>530</v>
      </c>
      <c r="GD93" s="321" t="s">
        <v>6529</v>
      </c>
      <c r="GE93" s="214" t="s">
        <v>501</v>
      </c>
      <c r="GF93" s="214" t="s">
        <v>70</v>
      </c>
      <c r="GG93" s="214" t="s">
        <v>530</v>
      </c>
      <c r="GI93" s="321" t="s">
        <v>6530</v>
      </c>
      <c r="GJ93" s="214" t="s">
        <v>52</v>
      </c>
      <c r="GK93" s="214" t="s">
        <v>70</v>
      </c>
      <c r="GL93" s="214" t="s">
        <v>530</v>
      </c>
      <c r="GN93" s="321" t="s">
        <v>6531</v>
      </c>
      <c r="GO93" s="214" t="s">
        <v>955</v>
      </c>
      <c r="GP93" s="214" t="s">
        <v>70</v>
      </c>
      <c r="GQ93" s="214" t="s">
        <v>530</v>
      </c>
      <c r="GS93" s="321" t="s">
        <v>6532</v>
      </c>
      <c r="GT93" s="214" t="s">
        <v>34544</v>
      </c>
      <c r="GU93" s="214" t="s">
        <v>70</v>
      </c>
      <c r="GV93" s="214" t="s">
        <v>530</v>
      </c>
      <c r="GX93" s="214" t="s">
        <v>6533</v>
      </c>
      <c r="GY93" s="214" t="s">
        <v>490</v>
      </c>
      <c r="GZ93" s="214" t="s">
        <v>70</v>
      </c>
      <c r="HA93" s="214" t="s">
        <v>530</v>
      </c>
      <c r="HC93" s="214" t="s">
        <v>6534</v>
      </c>
      <c r="HD93" s="214" t="s">
        <v>34541</v>
      </c>
      <c r="HE93" s="214" t="s">
        <v>70</v>
      </c>
      <c r="HF93" s="214" t="s">
        <v>530</v>
      </c>
      <c r="HH93" s="214" t="s">
        <v>6535</v>
      </c>
      <c r="HI93" s="214" t="s">
        <v>484</v>
      </c>
      <c r="HJ93" s="214" t="s">
        <v>70</v>
      </c>
      <c r="HK93" s="214" t="s">
        <v>530</v>
      </c>
      <c r="HM93" s="214" t="s">
        <v>6536</v>
      </c>
      <c r="HN93" s="214" t="s">
        <v>488</v>
      </c>
      <c r="HO93" s="214" t="s">
        <v>70</v>
      </c>
      <c r="HP93" s="214" t="s">
        <v>530</v>
      </c>
      <c r="HR93" s="22" t="s">
        <v>6537</v>
      </c>
      <c r="HS93" s="22" t="s">
        <v>34516</v>
      </c>
      <c r="HT93" s="22" t="s">
        <v>70</v>
      </c>
      <c r="HU93" s="214" t="s">
        <v>530</v>
      </c>
      <c r="HW93" s="22" t="s">
        <v>6538</v>
      </c>
      <c r="HX93" s="22" t="s">
        <v>52</v>
      </c>
      <c r="HY93" s="22" t="s">
        <v>70</v>
      </c>
      <c r="HZ93" s="214" t="s">
        <v>530</v>
      </c>
      <c r="IB93" s="22" t="s">
        <v>6539</v>
      </c>
      <c r="IC93" s="22" t="s">
        <v>488</v>
      </c>
      <c r="ID93" s="22" t="s">
        <v>70</v>
      </c>
      <c r="IE93" s="214" t="s">
        <v>530</v>
      </c>
      <c r="IG93" s="22" t="s">
        <v>6540</v>
      </c>
      <c r="IH93" s="22" t="s">
        <v>52</v>
      </c>
      <c r="II93" s="22" t="s">
        <v>70</v>
      </c>
      <c r="IJ93" s="214" t="s">
        <v>530</v>
      </c>
      <c r="IL93" s="22" t="s">
        <v>6541</v>
      </c>
      <c r="IM93" s="22" t="s">
        <v>145</v>
      </c>
      <c r="IN93" s="22" t="s">
        <v>70</v>
      </c>
      <c r="IO93" s="214" t="s">
        <v>530</v>
      </c>
      <c r="IQ93" s="236" t="s">
        <v>6542</v>
      </c>
      <c r="IR93" s="236" t="s">
        <v>145</v>
      </c>
      <c r="IS93" s="236" t="s">
        <v>74</v>
      </c>
      <c r="IT93" s="236" t="s">
        <v>841</v>
      </c>
      <c r="IV93" s="236" t="s">
        <v>6543</v>
      </c>
      <c r="IW93" s="236" t="s">
        <v>145</v>
      </c>
      <c r="IX93" s="236" t="s">
        <v>74</v>
      </c>
      <c r="IY93" s="236" t="s">
        <v>841</v>
      </c>
      <c r="JA93" s="236" t="s">
        <v>6544</v>
      </c>
      <c r="JB93" s="236" t="s">
        <v>145</v>
      </c>
      <c r="JC93" s="236" t="s">
        <v>74</v>
      </c>
      <c r="JD93" s="236" t="s">
        <v>841</v>
      </c>
      <c r="JF93" s="236" t="s">
        <v>6545</v>
      </c>
      <c r="JG93" s="236" t="s">
        <v>145</v>
      </c>
      <c r="JH93" s="236" t="s">
        <v>74</v>
      </c>
      <c r="JI93" s="236" t="s">
        <v>841</v>
      </c>
      <c r="JK93" s="236" t="s">
        <v>6546</v>
      </c>
      <c r="JL93" s="236" t="s">
        <v>145</v>
      </c>
      <c r="JM93" s="236" t="s">
        <v>74</v>
      </c>
      <c r="JN93" s="236" t="s">
        <v>841</v>
      </c>
      <c r="JP93" s="236" t="s">
        <v>6547</v>
      </c>
      <c r="JQ93" s="236" t="s">
        <v>145</v>
      </c>
      <c r="JR93" s="236" t="s">
        <v>74</v>
      </c>
      <c r="JS93" s="236" t="s">
        <v>841</v>
      </c>
      <c r="JU93" s="294" t="s">
        <v>6548</v>
      </c>
      <c r="JV93" s="294" t="str">
        <f>TVIIBE1M_CalPairs!$R102</f>
        <v>0x00</v>
      </c>
      <c r="JW93" s="218" t="s">
        <v>72</v>
      </c>
      <c r="JX93" s="294" t="str">
        <f>TVIIBE1M_CalPairs!$S102</f>
        <v>IPC_STRUCT2_IPC</v>
      </c>
      <c r="JZ93" s="263" t="s">
        <v>6549</v>
      </c>
      <c r="KA93" s="263" t="s">
        <v>145</v>
      </c>
      <c r="KB93" s="263" t="s">
        <v>70</v>
      </c>
      <c r="KC93" s="263" t="s">
        <v>1083</v>
      </c>
      <c r="KE93" s="263" t="s">
        <v>6550</v>
      </c>
      <c r="KF93" s="263" t="s">
        <v>52</v>
      </c>
      <c r="KG93" s="263" t="s">
        <v>70</v>
      </c>
      <c r="KH93" s="263" t="s">
        <v>1083</v>
      </c>
      <c r="KJ93" s="263" t="s">
        <v>6551</v>
      </c>
      <c r="KK93" s="263" t="s">
        <v>52</v>
      </c>
      <c r="KL93" s="263" t="s">
        <v>74</v>
      </c>
      <c r="KM93" s="263" t="s">
        <v>34074</v>
      </c>
      <c r="KO93" s="214" t="s">
        <v>6552</v>
      </c>
      <c r="KP93" s="214" t="s">
        <v>145</v>
      </c>
      <c r="KQ93" s="214" t="s">
        <v>70</v>
      </c>
      <c r="KR93" s="214" t="s">
        <v>67</v>
      </c>
      <c r="KT93" s="22" t="s">
        <v>6553</v>
      </c>
      <c r="KU93" s="22" t="s">
        <v>145</v>
      </c>
      <c r="KV93" s="22" t="s">
        <v>70</v>
      </c>
      <c r="KW93" s="22" t="s">
        <v>67</v>
      </c>
      <c r="KY93" s="214" t="s">
        <v>6554</v>
      </c>
      <c r="KZ93" s="214" t="s">
        <v>52</v>
      </c>
      <c r="LA93" s="214" t="s">
        <v>74</v>
      </c>
      <c r="LB93" s="214" t="s">
        <v>67</v>
      </c>
      <c r="LD93" s="22" t="s">
        <v>6555</v>
      </c>
      <c r="LE93" s="22" t="s">
        <v>145</v>
      </c>
      <c r="LF93" s="22" t="s">
        <v>70</v>
      </c>
      <c r="LG93" s="22" t="s">
        <v>67</v>
      </c>
    </row>
    <row r="94" spans="1:319">
      <c r="A94" s="22" t="s">
        <v>6556</v>
      </c>
      <c r="B94" s="22" t="s">
        <v>145</v>
      </c>
      <c r="C94" s="22" t="s">
        <v>70</v>
      </c>
      <c r="D94" s="22" t="s">
        <v>67</v>
      </c>
      <c r="F94" s="23" t="s">
        <v>6557</v>
      </c>
      <c r="G94" s="23" t="str">
        <f>TVIIBE1M_CalPairs!$E91</f>
        <v>0x00</v>
      </c>
      <c r="H94" s="23" t="s">
        <v>72</v>
      </c>
      <c r="I94" s="23" t="str">
        <f>TVIIBE1M_CalPairs!$C91</f>
        <v>PWR_TRIM_HT_BODVDDA_CTL_VAL3</v>
      </c>
      <c r="K94" s="22" t="s">
        <v>6558</v>
      </c>
      <c r="L94" s="22" t="s">
        <v>145</v>
      </c>
      <c r="M94" s="22" t="s">
        <v>70</v>
      </c>
      <c r="N94" s="22" t="s">
        <v>67</v>
      </c>
      <c r="P94" s="394" t="s">
        <v>6559</v>
      </c>
      <c r="Q94" s="394" t="s">
        <v>145</v>
      </c>
      <c r="R94" s="394" t="s">
        <v>72</v>
      </c>
      <c r="S94" s="394" t="s">
        <v>34096</v>
      </c>
      <c r="U94" s="293" t="s">
        <v>6560</v>
      </c>
      <c r="V94" s="293" t="s">
        <v>145</v>
      </c>
      <c r="W94" s="293" t="s">
        <v>74</v>
      </c>
      <c r="X94" s="293" t="s">
        <v>656</v>
      </c>
      <c r="Z94" s="293" t="s">
        <v>6561</v>
      </c>
      <c r="AA94" s="293" t="s">
        <v>145</v>
      </c>
      <c r="AB94" s="293" t="s">
        <v>74</v>
      </c>
      <c r="AC94" s="293" t="s">
        <v>656</v>
      </c>
      <c r="AE94" s="293" t="s">
        <v>6562</v>
      </c>
      <c r="AF94" s="293" t="s">
        <v>145</v>
      </c>
      <c r="AG94" s="293" t="s">
        <v>74</v>
      </c>
      <c r="AH94" s="293" t="s">
        <v>656</v>
      </c>
      <c r="AJ94" s="293" t="s">
        <v>6563</v>
      </c>
      <c r="AK94" s="293" t="s">
        <v>145</v>
      </c>
      <c r="AL94" s="293" t="s">
        <v>74</v>
      </c>
      <c r="AM94" s="293" t="s">
        <v>656</v>
      </c>
      <c r="AO94" s="22" t="s">
        <v>6564</v>
      </c>
      <c r="AP94" s="22" t="s">
        <v>145</v>
      </c>
      <c r="AQ94" s="22" t="s">
        <v>70</v>
      </c>
      <c r="AR94" s="22" t="s">
        <v>67</v>
      </c>
      <c r="AT94" s="22" t="s">
        <v>6565</v>
      </c>
      <c r="AU94" s="22" t="s">
        <v>145</v>
      </c>
      <c r="AV94" s="22" t="s">
        <v>70</v>
      </c>
      <c r="AW94" s="22" t="s">
        <v>67</v>
      </c>
      <c r="AY94" s="22" t="s">
        <v>6566</v>
      </c>
      <c r="AZ94" s="22" t="s">
        <v>145</v>
      </c>
      <c r="BA94" s="22" t="s">
        <v>70</v>
      </c>
      <c r="BB94" s="22" t="s">
        <v>67</v>
      </c>
      <c r="BD94" s="22" t="s">
        <v>6567</v>
      </c>
      <c r="BE94" s="22" t="s">
        <v>145</v>
      </c>
      <c r="BF94" s="22" t="s">
        <v>70</v>
      </c>
      <c r="BG94" s="22" t="s">
        <v>67</v>
      </c>
      <c r="BI94" s="22" t="s">
        <v>6568</v>
      </c>
      <c r="BJ94" s="22" t="s">
        <v>145</v>
      </c>
      <c r="BK94" s="22" t="s">
        <v>70</v>
      </c>
      <c r="BL94" s="22" t="s">
        <v>67</v>
      </c>
      <c r="BN94" s="22" t="s">
        <v>6569</v>
      </c>
      <c r="BO94" s="22" t="s">
        <v>145</v>
      </c>
      <c r="BP94" s="22" t="s">
        <v>70</v>
      </c>
      <c r="BQ94" s="22" t="s">
        <v>67</v>
      </c>
      <c r="BS94" s="22" t="s">
        <v>6570</v>
      </c>
      <c r="BT94" s="22" t="s">
        <v>145</v>
      </c>
      <c r="BU94" s="22" t="s">
        <v>70</v>
      </c>
      <c r="BV94" s="214" t="s">
        <v>530</v>
      </c>
      <c r="BX94" s="22" t="s">
        <v>6571</v>
      </c>
      <c r="BY94" s="22" t="s">
        <v>145</v>
      </c>
      <c r="BZ94" s="22" t="s">
        <v>70</v>
      </c>
      <c r="CA94" s="214" t="s">
        <v>530</v>
      </c>
      <c r="CC94" s="214" t="s">
        <v>6572</v>
      </c>
      <c r="CD94" s="218" t="s">
        <v>52</v>
      </c>
      <c r="CE94" s="214" t="s">
        <v>70</v>
      </c>
      <c r="CF94" s="214" t="s">
        <v>389</v>
      </c>
      <c r="CH94" s="214" t="s">
        <v>6573</v>
      </c>
      <c r="CI94" s="214" t="s">
        <v>146</v>
      </c>
      <c r="CJ94" s="214" t="s">
        <v>70</v>
      </c>
      <c r="CK94" s="214" t="s">
        <v>530</v>
      </c>
      <c r="CM94" s="214" t="s">
        <v>6574</v>
      </c>
      <c r="CN94" s="214" t="s">
        <v>923</v>
      </c>
      <c r="CO94" s="214" t="s">
        <v>70</v>
      </c>
      <c r="CP94" s="214" t="s">
        <v>530</v>
      </c>
      <c r="CR94" s="214" t="s">
        <v>6575</v>
      </c>
      <c r="CS94" s="214" t="s">
        <v>204</v>
      </c>
      <c r="CT94" s="214" t="s">
        <v>70</v>
      </c>
      <c r="CU94" s="214" t="s">
        <v>530</v>
      </c>
      <c r="CW94" s="214" t="s">
        <v>6576</v>
      </c>
      <c r="CX94" s="214" t="s">
        <v>34545</v>
      </c>
      <c r="CY94" s="214" t="s">
        <v>70</v>
      </c>
      <c r="CZ94" s="214" t="s">
        <v>530</v>
      </c>
      <c r="DB94" s="214" t="s">
        <v>6577</v>
      </c>
      <c r="DC94" s="214" t="s">
        <v>488</v>
      </c>
      <c r="DD94" s="214" t="s">
        <v>70</v>
      </c>
      <c r="DE94" s="214" t="s">
        <v>530</v>
      </c>
      <c r="DG94" s="214" t="s">
        <v>6578</v>
      </c>
      <c r="DH94" s="214" t="s">
        <v>149</v>
      </c>
      <c r="DI94" s="214" t="s">
        <v>70</v>
      </c>
      <c r="DJ94" s="214" t="s">
        <v>530</v>
      </c>
      <c r="DL94" s="214" t="s">
        <v>6579</v>
      </c>
      <c r="DM94" s="214" t="s">
        <v>52</v>
      </c>
      <c r="DN94" s="214" t="s">
        <v>70</v>
      </c>
      <c r="DO94" s="214" t="s">
        <v>530</v>
      </c>
      <c r="DQ94" s="214" t="s">
        <v>6580</v>
      </c>
      <c r="DR94" s="214" t="s">
        <v>34605</v>
      </c>
      <c r="DS94" s="214" t="s">
        <v>70</v>
      </c>
      <c r="DT94" s="214" t="s">
        <v>530</v>
      </c>
      <c r="DV94" s="214" t="s">
        <v>6581</v>
      </c>
      <c r="DW94" s="214" t="s">
        <v>34556</v>
      </c>
      <c r="DX94" s="214" t="s">
        <v>70</v>
      </c>
      <c r="DY94" s="214" t="s">
        <v>530</v>
      </c>
      <c r="EA94" s="214" t="s">
        <v>6582</v>
      </c>
      <c r="EB94" s="214" t="s">
        <v>145</v>
      </c>
      <c r="EC94" s="214" t="s">
        <v>70</v>
      </c>
      <c r="ED94" s="214" t="s">
        <v>530</v>
      </c>
      <c r="EF94" s="214" t="s">
        <v>6583</v>
      </c>
      <c r="EG94" s="214" t="s">
        <v>52</v>
      </c>
      <c r="EH94" s="214" t="s">
        <v>70</v>
      </c>
      <c r="EI94" s="214" t="s">
        <v>530</v>
      </c>
      <c r="EK94" s="214" t="s">
        <v>6584</v>
      </c>
      <c r="EL94" s="214" t="s">
        <v>52</v>
      </c>
      <c r="EM94" s="214" t="s">
        <v>70</v>
      </c>
      <c r="EN94" s="214" t="s">
        <v>530</v>
      </c>
      <c r="EP94" s="214" t="s">
        <v>6585</v>
      </c>
      <c r="EQ94" s="214" t="s">
        <v>52</v>
      </c>
      <c r="ER94" s="214" t="s">
        <v>70</v>
      </c>
      <c r="ES94" s="214" t="s">
        <v>530</v>
      </c>
      <c r="EU94" s="214" t="s">
        <v>6586</v>
      </c>
      <c r="EV94" s="214" t="s">
        <v>148</v>
      </c>
      <c r="EW94" s="214" t="s">
        <v>70</v>
      </c>
      <c r="EX94" s="214" t="s">
        <v>530</v>
      </c>
      <c r="EZ94" s="214" t="s">
        <v>6587</v>
      </c>
      <c r="FA94" s="214" t="s">
        <v>492</v>
      </c>
      <c r="FB94" s="214" t="s">
        <v>70</v>
      </c>
      <c r="FC94" s="214" t="s">
        <v>530</v>
      </c>
      <c r="FE94" s="214" t="s">
        <v>6588</v>
      </c>
      <c r="FF94" s="214" t="s">
        <v>947</v>
      </c>
      <c r="FG94" s="214" t="s">
        <v>70</v>
      </c>
      <c r="FH94" s="214" t="s">
        <v>530</v>
      </c>
      <c r="FJ94" s="321" t="s">
        <v>6589</v>
      </c>
      <c r="FK94" s="214" t="s">
        <v>87</v>
      </c>
      <c r="FL94" s="214" t="s">
        <v>70</v>
      </c>
      <c r="FM94" s="214" t="s">
        <v>530</v>
      </c>
      <c r="FO94" s="321" t="s">
        <v>6590</v>
      </c>
      <c r="FP94" s="214" t="s">
        <v>485</v>
      </c>
      <c r="FQ94" s="214" t="s">
        <v>70</v>
      </c>
      <c r="FR94" s="214" t="s">
        <v>530</v>
      </c>
      <c r="FT94" s="321" t="s">
        <v>6591</v>
      </c>
      <c r="FU94" s="214" t="s">
        <v>52</v>
      </c>
      <c r="FV94" s="214" t="s">
        <v>70</v>
      </c>
      <c r="FW94" s="214" t="s">
        <v>530</v>
      </c>
      <c r="FY94" s="321" t="s">
        <v>6592</v>
      </c>
      <c r="FZ94" s="214" t="s">
        <v>90</v>
      </c>
      <c r="GA94" s="214" t="s">
        <v>70</v>
      </c>
      <c r="GB94" s="214" t="s">
        <v>530</v>
      </c>
      <c r="GD94" s="321" t="s">
        <v>6593</v>
      </c>
      <c r="GE94" s="214" t="s">
        <v>149</v>
      </c>
      <c r="GF94" s="214" t="s">
        <v>70</v>
      </c>
      <c r="GG94" s="214" t="s">
        <v>530</v>
      </c>
      <c r="GI94" s="321" t="s">
        <v>6594</v>
      </c>
      <c r="GJ94" s="214" t="s">
        <v>34583</v>
      </c>
      <c r="GK94" s="214" t="s">
        <v>70</v>
      </c>
      <c r="GL94" s="214" t="s">
        <v>530</v>
      </c>
      <c r="GN94" s="321" t="s">
        <v>6595</v>
      </c>
      <c r="GO94" s="214" t="s">
        <v>287</v>
      </c>
      <c r="GP94" s="214" t="s">
        <v>70</v>
      </c>
      <c r="GQ94" s="214" t="s">
        <v>530</v>
      </c>
      <c r="GS94" s="321" t="s">
        <v>6596</v>
      </c>
      <c r="GT94" s="214" t="s">
        <v>34583</v>
      </c>
      <c r="GU94" s="214" t="s">
        <v>70</v>
      </c>
      <c r="GV94" s="214" t="s">
        <v>530</v>
      </c>
      <c r="GX94" s="214" t="s">
        <v>6597</v>
      </c>
      <c r="GY94" s="214" t="s">
        <v>211</v>
      </c>
      <c r="GZ94" s="214" t="s">
        <v>70</v>
      </c>
      <c r="HA94" s="214" t="s">
        <v>530</v>
      </c>
      <c r="HC94" s="214" t="s">
        <v>6598</v>
      </c>
      <c r="HD94" s="214" t="s">
        <v>88</v>
      </c>
      <c r="HE94" s="214" t="s">
        <v>70</v>
      </c>
      <c r="HF94" s="214" t="s">
        <v>530</v>
      </c>
      <c r="HH94" s="214" t="s">
        <v>6599</v>
      </c>
      <c r="HI94" s="214" t="s">
        <v>529</v>
      </c>
      <c r="HJ94" s="214" t="s">
        <v>70</v>
      </c>
      <c r="HK94" s="214" t="s">
        <v>530</v>
      </c>
      <c r="HM94" s="214" t="s">
        <v>6600</v>
      </c>
      <c r="HN94" s="214" t="s">
        <v>88</v>
      </c>
      <c r="HO94" s="214" t="s">
        <v>70</v>
      </c>
      <c r="HP94" s="214" t="s">
        <v>530</v>
      </c>
      <c r="HR94" s="22" t="s">
        <v>6601</v>
      </c>
      <c r="HS94" s="22" t="s">
        <v>34593</v>
      </c>
      <c r="HT94" s="22" t="s">
        <v>70</v>
      </c>
      <c r="HU94" s="214" t="s">
        <v>530</v>
      </c>
      <c r="HW94" s="22" t="s">
        <v>6602</v>
      </c>
      <c r="HX94" s="22" t="s">
        <v>499</v>
      </c>
      <c r="HY94" s="22" t="s">
        <v>70</v>
      </c>
      <c r="HZ94" s="214" t="s">
        <v>530</v>
      </c>
      <c r="IB94" s="22" t="s">
        <v>6603</v>
      </c>
      <c r="IC94" s="22" t="s">
        <v>146</v>
      </c>
      <c r="ID94" s="22" t="s">
        <v>70</v>
      </c>
      <c r="IE94" s="214" t="s">
        <v>530</v>
      </c>
      <c r="IG94" s="22" t="s">
        <v>6604</v>
      </c>
      <c r="IH94" s="22" t="s">
        <v>87</v>
      </c>
      <c r="II94" s="22" t="s">
        <v>70</v>
      </c>
      <c r="IJ94" s="214" t="s">
        <v>530</v>
      </c>
      <c r="IL94" s="22" t="s">
        <v>6605</v>
      </c>
      <c r="IM94" s="22" t="s">
        <v>145</v>
      </c>
      <c r="IN94" s="22" t="s">
        <v>70</v>
      </c>
      <c r="IO94" s="214" t="s">
        <v>530</v>
      </c>
      <c r="IQ94" s="236" t="s">
        <v>6606</v>
      </c>
      <c r="IR94" s="236" t="s">
        <v>145</v>
      </c>
      <c r="IS94" s="236" t="s">
        <v>74</v>
      </c>
      <c r="IT94" s="236" t="s">
        <v>841</v>
      </c>
      <c r="IV94" s="236" t="s">
        <v>6607</v>
      </c>
      <c r="IW94" s="236" t="s">
        <v>145</v>
      </c>
      <c r="IX94" s="236" t="s">
        <v>74</v>
      </c>
      <c r="IY94" s="236" t="s">
        <v>841</v>
      </c>
      <c r="JA94" s="236" t="s">
        <v>6608</v>
      </c>
      <c r="JB94" s="236" t="s">
        <v>145</v>
      </c>
      <c r="JC94" s="236" t="s">
        <v>74</v>
      </c>
      <c r="JD94" s="236" t="s">
        <v>841</v>
      </c>
      <c r="JF94" s="236" t="s">
        <v>6609</v>
      </c>
      <c r="JG94" s="236" t="s">
        <v>145</v>
      </c>
      <c r="JH94" s="236" t="s">
        <v>74</v>
      </c>
      <c r="JI94" s="236" t="s">
        <v>841</v>
      </c>
      <c r="JK94" s="236" t="s">
        <v>6610</v>
      </c>
      <c r="JL94" s="236" t="s">
        <v>145</v>
      </c>
      <c r="JM94" s="236" t="s">
        <v>74</v>
      </c>
      <c r="JN94" s="236" t="s">
        <v>841</v>
      </c>
      <c r="JP94" s="236" t="s">
        <v>6611</v>
      </c>
      <c r="JQ94" s="236" t="s">
        <v>145</v>
      </c>
      <c r="JR94" s="236" t="s">
        <v>74</v>
      </c>
      <c r="JS94" s="236" t="s">
        <v>841</v>
      </c>
      <c r="JU94" s="294" t="s">
        <v>6612</v>
      </c>
      <c r="JV94" s="294" t="str">
        <f>TVIIBE1M_CalPairs!$R103</f>
        <v>0xFF</v>
      </c>
      <c r="JW94" s="263" t="s">
        <v>70</v>
      </c>
      <c r="JX94" s="294" t="str">
        <f>TVIIBE1M_CalPairs!$Q103</f>
        <v>PPU10_SL_CONFIG</v>
      </c>
      <c r="JZ94" s="263" t="s">
        <v>6613</v>
      </c>
      <c r="KA94" s="263" t="s">
        <v>145</v>
      </c>
      <c r="KB94" s="263" t="s">
        <v>70</v>
      </c>
      <c r="KC94" s="263" t="s">
        <v>1083</v>
      </c>
      <c r="KE94" s="263" t="s">
        <v>6614</v>
      </c>
      <c r="KF94" s="263" t="s">
        <v>52</v>
      </c>
      <c r="KG94" s="263" t="s">
        <v>70</v>
      </c>
      <c r="KH94" s="263" t="s">
        <v>1083</v>
      </c>
      <c r="KJ94" s="263" t="s">
        <v>6615</v>
      </c>
      <c r="KK94" s="263" t="s">
        <v>52</v>
      </c>
      <c r="KL94" s="263" t="s">
        <v>74</v>
      </c>
      <c r="KM94" s="263" t="s">
        <v>34074</v>
      </c>
      <c r="KO94" s="214" t="s">
        <v>6616</v>
      </c>
      <c r="KP94" s="214" t="s">
        <v>145</v>
      </c>
      <c r="KQ94" s="214" t="s">
        <v>70</v>
      </c>
      <c r="KR94" s="214" t="s">
        <v>67</v>
      </c>
      <c r="KT94" s="22" t="s">
        <v>6617</v>
      </c>
      <c r="KU94" s="22" t="s">
        <v>145</v>
      </c>
      <c r="KV94" s="22" t="s">
        <v>70</v>
      </c>
      <c r="KW94" s="22" t="s">
        <v>67</v>
      </c>
      <c r="KY94" s="214" t="s">
        <v>6618</v>
      </c>
      <c r="KZ94" s="214" t="s">
        <v>52</v>
      </c>
      <c r="LA94" s="214" t="s">
        <v>74</v>
      </c>
      <c r="LB94" s="214" t="s">
        <v>67</v>
      </c>
      <c r="LD94" s="22" t="s">
        <v>6619</v>
      </c>
      <c r="LE94" s="22" t="s">
        <v>145</v>
      </c>
      <c r="LF94" s="22" t="s">
        <v>70</v>
      </c>
      <c r="LG94" s="22" t="s">
        <v>67</v>
      </c>
    </row>
    <row r="95" spans="1:319">
      <c r="A95" s="22" t="s">
        <v>6620</v>
      </c>
      <c r="B95" s="22" t="s">
        <v>145</v>
      </c>
      <c r="C95" s="22" t="s">
        <v>70</v>
      </c>
      <c r="D95" s="22" t="s">
        <v>67</v>
      </c>
      <c r="F95" s="23" t="s">
        <v>6621</v>
      </c>
      <c r="G95" s="23" t="str">
        <f>TVIIBE1M_CalPairs!$E92</f>
        <v>0x00</v>
      </c>
      <c r="H95" s="23" t="s">
        <v>72</v>
      </c>
      <c r="I95" s="23" t="str">
        <f>TVIIBE1M_CalPairs!$C92</f>
        <v>PWR_TRIM_HT_BODVCCD_CTL_VAL0</v>
      </c>
      <c r="K95" s="22" t="s">
        <v>6622</v>
      </c>
      <c r="L95" s="22" t="s">
        <v>145</v>
      </c>
      <c r="M95" s="22" t="s">
        <v>70</v>
      </c>
      <c r="N95" s="22" t="s">
        <v>67</v>
      </c>
      <c r="P95" s="394" t="s">
        <v>6623</v>
      </c>
      <c r="Q95" s="394" t="s">
        <v>145</v>
      </c>
      <c r="R95" s="394" t="s">
        <v>72</v>
      </c>
      <c r="S95" s="394" t="s">
        <v>34096</v>
      </c>
      <c r="U95" s="293" t="s">
        <v>6624</v>
      </c>
      <c r="V95" s="293" t="s">
        <v>145</v>
      </c>
      <c r="W95" s="293" t="s">
        <v>74</v>
      </c>
      <c r="X95" s="293" t="s">
        <v>656</v>
      </c>
      <c r="Z95" s="293" t="s">
        <v>6625</v>
      </c>
      <c r="AA95" s="293" t="s">
        <v>145</v>
      </c>
      <c r="AB95" s="293" t="s">
        <v>74</v>
      </c>
      <c r="AC95" s="293" t="s">
        <v>656</v>
      </c>
      <c r="AE95" s="293" t="s">
        <v>6626</v>
      </c>
      <c r="AF95" s="293" t="s">
        <v>145</v>
      </c>
      <c r="AG95" s="293" t="s">
        <v>74</v>
      </c>
      <c r="AH95" s="293" t="s">
        <v>656</v>
      </c>
      <c r="AJ95" s="293" t="s">
        <v>6627</v>
      </c>
      <c r="AK95" s="293" t="s">
        <v>145</v>
      </c>
      <c r="AL95" s="293" t="s">
        <v>74</v>
      </c>
      <c r="AM95" s="293" t="s">
        <v>656</v>
      </c>
      <c r="AO95" s="22" t="s">
        <v>6628</v>
      </c>
      <c r="AP95" s="22" t="s">
        <v>145</v>
      </c>
      <c r="AQ95" s="22" t="s">
        <v>70</v>
      </c>
      <c r="AR95" s="22" t="s">
        <v>67</v>
      </c>
      <c r="AT95" s="22" t="s">
        <v>6629</v>
      </c>
      <c r="AU95" s="22" t="s">
        <v>145</v>
      </c>
      <c r="AV95" s="22" t="s">
        <v>70</v>
      </c>
      <c r="AW95" s="22" t="s">
        <v>67</v>
      </c>
      <c r="AY95" s="22" t="s">
        <v>6630</v>
      </c>
      <c r="AZ95" s="22" t="s">
        <v>145</v>
      </c>
      <c r="BA95" s="22" t="s">
        <v>70</v>
      </c>
      <c r="BB95" s="22" t="s">
        <v>67</v>
      </c>
      <c r="BD95" s="22" t="s">
        <v>6631</v>
      </c>
      <c r="BE95" s="22" t="s">
        <v>145</v>
      </c>
      <c r="BF95" s="22" t="s">
        <v>70</v>
      </c>
      <c r="BG95" s="22" t="s">
        <v>67</v>
      </c>
      <c r="BI95" s="22" t="s">
        <v>6632</v>
      </c>
      <c r="BJ95" s="22" t="s">
        <v>145</v>
      </c>
      <c r="BK95" s="22" t="s">
        <v>70</v>
      </c>
      <c r="BL95" s="22" t="s">
        <v>67</v>
      </c>
      <c r="BN95" s="22" t="s">
        <v>6633</v>
      </c>
      <c r="BO95" s="22" t="s">
        <v>145</v>
      </c>
      <c r="BP95" s="22" t="s">
        <v>70</v>
      </c>
      <c r="BQ95" s="22" t="s">
        <v>67</v>
      </c>
      <c r="BS95" s="22" t="s">
        <v>6634</v>
      </c>
      <c r="BT95" s="22" t="s">
        <v>145</v>
      </c>
      <c r="BU95" s="22" t="s">
        <v>70</v>
      </c>
      <c r="BV95" s="214" t="s">
        <v>530</v>
      </c>
      <c r="BX95" s="22" t="s">
        <v>6635</v>
      </c>
      <c r="BY95" s="22" t="s">
        <v>145</v>
      </c>
      <c r="BZ95" s="22" t="s">
        <v>70</v>
      </c>
      <c r="CA95" s="214" t="s">
        <v>530</v>
      </c>
      <c r="CC95" s="214" t="s">
        <v>6636</v>
      </c>
      <c r="CD95" s="218" t="s">
        <v>52</v>
      </c>
      <c r="CE95" s="214" t="s">
        <v>70</v>
      </c>
      <c r="CF95" s="214" t="s">
        <v>390</v>
      </c>
      <c r="CH95" s="214" t="s">
        <v>6637</v>
      </c>
      <c r="CI95" s="214" t="s">
        <v>86</v>
      </c>
      <c r="CJ95" s="214" t="s">
        <v>70</v>
      </c>
      <c r="CK95" s="214" t="s">
        <v>530</v>
      </c>
      <c r="CM95" s="214" t="s">
        <v>6638</v>
      </c>
      <c r="CN95" s="214" t="s">
        <v>89</v>
      </c>
      <c r="CO95" s="214" t="s">
        <v>70</v>
      </c>
      <c r="CP95" s="214" t="s">
        <v>530</v>
      </c>
      <c r="CR95" s="214" t="s">
        <v>6639</v>
      </c>
      <c r="CS95" s="214" t="s">
        <v>146</v>
      </c>
      <c r="CT95" s="214" t="s">
        <v>70</v>
      </c>
      <c r="CU95" s="214" t="s">
        <v>530</v>
      </c>
      <c r="CW95" s="214" t="s">
        <v>6640</v>
      </c>
      <c r="CX95" s="214" t="s">
        <v>34551</v>
      </c>
      <c r="CY95" s="214" t="s">
        <v>70</v>
      </c>
      <c r="CZ95" s="214" t="s">
        <v>530</v>
      </c>
      <c r="DB95" s="214" t="s">
        <v>6641</v>
      </c>
      <c r="DC95" s="214" t="s">
        <v>488</v>
      </c>
      <c r="DD95" s="214" t="s">
        <v>70</v>
      </c>
      <c r="DE95" s="214" t="s">
        <v>530</v>
      </c>
      <c r="DG95" s="214" t="s">
        <v>6642</v>
      </c>
      <c r="DH95" s="214" t="s">
        <v>951</v>
      </c>
      <c r="DI95" s="214" t="s">
        <v>70</v>
      </c>
      <c r="DJ95" s="214" t="s">
        <v>530</v>
      </c>
      <c r="DL95" s="214" t="s">
        <v>6643</v>
      </c>
      <c r="DM95" s="214" t="s">
        <v>468</v>
      </c>
      <c r="DN95" s="214" t="s">
        <v>70</v>
      </c>
      <c r="DO95" s="214" t="s">
        <v>530</v>
      </c>
      <c r="DQ95" s="214" t="s">
        <v>6644</v>
      </c>
      <c r="DR95" s="214" t="s">
        <v>484</v>
      </c>
      <c r="DS95" s="214" t="s">
        <v>70</v>
      </c>
      <c r="DT95" s="214" t="s">
        <v>530</v>
      </c>
      <c r="DV95" s="214" t="s">
        <v>6645</v>
      </c>
      <c r="DW95" s="214" t="s">
        <v>34541</v>
      </c>
      <c r="DX95" s="214" t="s">
        <v>70</v>
      </c>
      <c r="DY95" s="214" t="s">
        <v>530</v>
      </c>
      <c r="EA95" s="214" t="s">
        <v>6646</v>
      </c>
      <c r="EB95" s="214" t="s">
        <v>145</v>
      </c>
      <c r="EC95" s="214" t="s">
        <v>70</v>
      </c>
      <c r="ED95" s="214" t="s">
        <v>530</v>
      </c>
      <c r="EF95" s="214" t="s">
        <v>6647</v>
      </c>
      <c r="EG95" s="214" t="s">
        <v>468</v>
      </c>
      <c r="EH95" s="214" t="s">
        <v>70</v>
      </c>
      <c r="EI95" s="214" t="s">
        <v>530</v>
      </c>
      <c r="EK95" s="214" t="s">
        <v>6648</v>
      </c>
      <c r="EL95" s="214" t="s">
        <v>485</v>
      </c>
      <c r="EM95" s="214" t="s">
        <v>70</v>
      </c>
      <c r="EN95" s="214" t="s">
        <v>530</v>
      </c>
      <c r="EP95" s="214" t="s">
        <v>6649</v>
      </c>
      <c r="EQ95" s="214" t="s">
        <v>34558</v>
      </c>
      <c r="ER95" s="214" t="s">
        <v>70</v>
      </c>
      <c r="ES95" s="214" t="s">
        <v>530</v>
      </c>
      <c r="EU95" s="214" t="s">
        <v>6650</v>
      </c>
      <c r="EV95" s="214" t="s">
        <v>488</v>
      </c>
      <c r="EW95" s="214" t="s">
        <v>70</v>
      </c>
      <c r="EX95" s="214" t="s">
        <v>530</v>
      </c>
      <c r="EZ95" s="214" t="s">
        <v>6651</v>
      </c>
      <c r="FA95" s="214" t="s">
        <v>483</v>
      </c>
      <c r="FB95" s="214" t="s">
        <v>70</v>
      </c>
      <c r="FC95" s="214" t="s">
        <v>530</v>
      </c>
      <c r="FE95" s="214" t="s">
        <v>6652</v>
      </c>
      <c r="FF95" s="214" t="s">
        <v>501</v>
      </c>
      <c r="FG95" s="214" t="s">
        <v>70</v>
      </c>
      <c r="FH95" s="214" t="s">
        <v>530</v>
      </c>
      <c r="FJ95" s="321" t="s">
        <v>6653</v>
      </c>
      <c r="FK95" s="214" t="s">
        <v>921</v>
      </c>
      <c r="FL95" s="214" t="s">
        <v>70</v>
      </c>
      <c r="FM95" s="214" t="s">
        <v>530</v>
      </c>
      <c r="FO95" s="321" t="s">
        <v>6654</v>
      </c>
      <c r="FP95" s="214" t="s">
        <v>484</v>
      </c>
      <c r="FQ95" s="214" t="s">
        <v>70</v>
      </c>
      <c r="FR95" s="214" t="s">
        <v>530</v>
      </c>
      <c r="FT95" s="321" t="s">
        <v>6655</v>
      </c>
      <c r="FU95" s="214" t="s">
        <v>52</v>
      </c>
      <c r="FV95" s="214" t="s">
        <v>70</v>
      </c>
      <c r="FW95" s="214" t="s">
        <v>530</v>
      </c>
      <c r="FY95" s="321" t="s">
        <v>6656</v>
      </c>
      <c r="FZ95" s="214" t="s">
        <v>482</v>
      </c>
      <c r="GA95" s="214" t="s">
        <v>70</v>
      </c>
      <c r="GB95" s="214" t="s">
        <v>530</v>
      </c>
      <c r="GD95" s="321" t="s">
        <v>6657</v>
      </c>
      <c r="GE95" s="214" t="s">
        <v>34544</v>
      </c>
      <c r="GF95" s="214" t="s">
        <v>70</v>
      </c>
      <c r="GG95" s="214" t="s">
        <v>530</v>
      </c>
      <c r="GI95" s="321" t="s">
        <v>6658</v>
      </c>
      <c r="GJ95" s="214" t="s">
        <v>52</v>
      </c>
      <c r="GK95" s="214" t="s">
        <v>70</v>
      </c>
      <c r="GL95" s="214" t="s">
        <v>530</v>
      </c>
      <c r="GN95" s="321" t="s">
        <v>6659</v>
      </c>
      <c r="GO95" s="214" t="s">
        <v>518</v>
      </c>
      <c r="GP95" s="214" t="s">
        <v>70</v>
      </c>
      <c r="GQ95" s="214" t="s">
        <v>530</v>
      </c>
      <c r="GS95" s="321" t="s">
        <v>6660</v>
      </c>
      <c r="GT95" s="214" t="s">
        <v>919</v>
      </c>
      <c r="GU95" s="214" t="s">
        <v>70</v>
      </c>
      <c r="GV95" s="214" t="s">
        <v>530</v>
      </c>
      <c r="GX95" s="214" t="s">
        <v>6661</v>
      </c>
      <c r="GY95" s="214" t="s">
        <v>492</v>
      </c>
      <c r="GZ95" s="214" t="s">
        <v>70</v>
      </c>
      <c r="HA95" s="214" t="s">
        <v>530</v>
      </c>
      <c r="HC95" s="214" t="s">
        <v>6662</v>
      </c>
      <c r="HD95" s="214" t="s">
        <v>503</v>
      </c>
      <c r="HE95" s="214" t="s">
        <v>70</v>
      </c>
      <c r="HF95" s="214" t="s">
        <v>530</v>
      </c>
      <c r="HH95" s="214" t="s">
        <v>6663</v>
      </c>
      <c r="HI95" s="214" t="s">
        <v>85</v>
      </c>
      <c r="HJ95" s="214" t="s">
        <v>70</v>
      </c>
      <c r="HK95" s="214" t="s">
        <v>530</v>
      </c>
      <c r="HM95" s="214" t="s">
        <v>6664</v>
      </c>
      <c r="HN95" s="214" t="s">
        <v>502</v>
      </c>
      <c r="HO95" s="214" t="s">
        <v>70</v>
      </c>
      <c r="HP95" s="214" t="s">
        <v>530</v>
      </c>
      <c r="HR95" s="22" t="s">
        <v>6665</v>
      </c>
      <c r="HS95" s="22" t="s">
        <v>486</v>
      </c>
      <c r="HT95" s="22" t="s">
        <v>70</v>
      </c>
      <c r="HU95" s="214" t="s">
        <v>530</v>
      </c>
      <c r="HW95" s="22" t="s">
        <v>6666</v>
      </c>
      <c r="HX95" s="22" t="s">
        <v>933</v>
      </c>
      <c r="HY95" s="22" t="s">
        <v>70</v>
      </c>
      <c r="HZ95" s="214" t="s">
        <v>530</v>
      </c>
      <c r="IB95" s="22" t="s">
        <v>6667</v>
      </c>
      <c r="IC95" s="22" t="s">
        <v>34595</v>
      </c>
      <c r="ID95" s="22" t="s">
        <v>70</v>
      </c>
      <c r="IE95" s="214" t="s">
        <v>530</v>
      </c>
      <c r="IG95" s="22" t="s">
        <v>6668</v>
      </c>
      <c r="IH95" s="22" t="s">
        <v>148</v>
      </c>
      <c r="II95" s="22" t="s">
        <v>70</v>
      </c>
      <c r="IJ95" s="214" t="s">
        <v>530</v>
      </c>
      <c r="IL95" s="22" t="s">
        <v>6669</v>
      </c>
      <c r="IM95" s="22" t="s">
        <v>145</v>
      </c>
      <c r="IN95" s="22" t="s">
        <v>70</v>
      </c>
      <c r="IO95" s="214" t="s">
        <v>530</v>
      </c>
      <c r="IQ95" s="236" t="s">
        <v>6670</v>
      </c>
      <c r="IR95" s="236" t="s">
        <v>145</v>
      </c>
      <c r="IS95" s="236" t="s">
        <v>74</v>
      </c>
      <c r="IT95" s="236" t="s">
        <v>841</v>
      </c>
      <c r="IV95" s="236" t="s">
        <v>6671</v>
      </c>
      <c r="IW95" s="236" t="s">
        <v>145</v>
      </c>
      <c r="IX95" s="236" t="s">
        <v>74</v>
      </c>
      <c r="IY95" s="236" t="s">
        <v>841</v>
      </c>
      <c r="JA95" s="236" t="s">
        <v>6672</v>
      </c>
      <c r="JB95" s="236" t="s">
        <v>145</v>
      </c>
      <c r="JC95" s="236" t="s">
        <v>74</v>
      </c>
      <c r="JD95" s="236" t="s">
        <v>841</v>
      </c>
      <c r="JF95" s="236" t="s">
        <v>6673</v>
      </c>
      <c r="JG95" s="236" t="s">
        <v>145</v>
      </c>
      <c r="JH95" s="236" t="s">
        <v>74</v>
      </c>
      <c r="JI95" s="236" t="s">
        <v>841</v>
      </c>
      <c r="JK95" s="236" t="s">
        <v>6674</v>
      </c>
      <c r="JL95" s="236" t="s">
        <v>145</v>
      </c>
      <c r="JM95" s="236" t="s">
        <v>74</v>
      </c>
      <c r="JN95" s="236" t="s">
        <v>841</v>
      </c>
      <c r="JP95" s="236" t="s">
        <v>6675</v>
      </c>
      <c r="JQ95" s="236" t="s">
        <v>145</v>
      </c>
      <c r="JR95" s="236" t="s">
        <v>74</v>
      </c>
      <c r="JS95" s="236" t="s">
        <v>841</v>
      </c>
      <c r="JU95" s="294" t="s">
        <v>6676</v>
      </c>
      <c r="JV95" s="294" t="str">
        <f>TVIIBE1M_CalPairs!$R104</f>
        <v>0xFF</v>
      </c>
      <c r="JW95" s="263" t="s">
        <v>70</v>
      </c>
      <c r="JX95" s="294" t="str">
        <f>TVIIBE1M_CalPairs!$Q104</f>
        <v>PPU10_MS_CONFIG</v>
      </c>
      <c r="JZ95" s="263" t="s">
        <v>6677</v>
      </c>
      <c r="KA95" s="263" t="s">
        <v>145</v>
      </c>
      <c r="KB95" s="263" t="s">
        <v>70</v>
      </c>
      <c r="KC95" s="263" t="s">
        <v>1083</v>
      </c>
      <c r="KE95" s="263" t="s">
        <v>6678</v>
      </c>
      <c r="KF95" s="263" t="s">
        <v>52</v>
      </c>
      <c r="KG95" s="263" t="s">
        <v>70</v>
      </c>
      <c r="KH95" s="263" t="s">
        <v>1083</v>
      </c>
      <c r="KJ95" s="263" t="s">
        <v>6679</v>
      </c>
      <c r="KK95" s="263" t="s">
        <v>52</v>
      </c>
      <c r="KL95" s="263" t="s">
        <v>74</v>
      </c>
      <c r="KM95" s="263" t="s">
        <v>34074</v>
      </c>
      <c r="KO95" s="214" t="s">
        <v>6680</v>
      </c>
      <c r="KP95" s="214" t="s">
        <v>145</v>
      </c>
      <c r="KQ95" s="214" t="s">
        <v>70</v>
      </c>
      <c r="KR95" s="214" t="s">
        <v>67</v>
      </c>
      <c r="KT95" s="22" t="s">
        <v>6681</v>
      </c>
      <c r="KU95" s="22" t="s">
        <v>145</v>
      </c>
      <c r="KV95" s="22" t="s">
        <v>70</v>
      </c>
      <c r="KW95" s="22" t="s">
        <v>67</v>
      </c>
      <c r="KY95" s="214" t="s">
        <v>6682</v>
      </c>
      <c r="KZ95" s="214" t="s">
        <v>52</v>
      </c>
      <c r="LA95" s="214" t="s">
        <v>74</v>
      </c>
      <c r="LB95" s="214" t="s">
        <v>67</v>
      </c>
      <c r="LD95" s="22" t="s">
        <v>6683</v>
      </c>
      <c r="LE95" s="22" t="s">
        <v>145</v>
      </c>
      <c r="LF95" s="22" t="s">
        <v>70</v>
      </c>
      <c r="LG95" s="22" t="s">
        <v>67</v>
      </c>
    </row>
    <row r="96" spans="1:319">
      <c r="A96" s="22" t="s">
        <v>6684</v>
      </c>
      <c r="B96" s="22" t="s">
        <v>145</v>
      </c>
      <c r="C96" s="22" t="s">
        <v>70</v>
      </c>
      <c r="D96" s="22" t="s">
        <v>67</v>
      </c>
      <c r="F96" s="23" t="s">
        <v>6685</v>
      </c>
      <c r="G96" s="23" t="str">
        <f>TVIIBE1M_CalPairs!$E93</f>
        <v>0x00</v>
      </c>
      <c r="H96" s="23" t="s">
        <v>72</v>
      </c>
      <c r="I96" s="23" t="str">
        <f>TVIIBE1M_CalPairs!$C93</f>
        <v>PWR_TRIM_HT_BODVCCD_CTL_VAL1</v>
      </c>
      <c r="K96" s="22" t="s">
        <v>6686</v>
      </c>
      <c r="L96" s="22" t="s">
        <v>145</v>
      </c>
      <c r="M96" s="22" t="s">
        <v>70</v>
      </c>
      <c r="N96" s="22" t="s">
        <v>67</v>
      </c>
      <c r="P96" s="394" t="s">
        <v>6687</v>
      </c>
      <c r="Q96" s="394" t="s">
        <v>145</v>
      </c>
      <c r="R96" s="394" t="s">
        <v>72</v>
      </c>
      <c r="S96" s="394" t="s">
        <v>34097</v>
      </c>
      <c r="U96" s="293" t="s">
        <v>6688</v>
      </c>
      <c r="V96" s="293" t="s">
        <v>145</v>
      </c>
      <c r="W96" s="293" t="s">
        <v>74</v>
      </c>
      <c r="X96" s="293" t="s">
        <v>656</v>
      </c>
      <c r="Z96" s="293" t="s">
        <v>6689</v>
      </c>
      <c r="AA96" s="293" t="s">
        <v>145</v>
      </c>
      <c r="AB96" s="293" t="s">
        <v>74</v>
      </c>
      <c r="AC96" s="293" t="s">
        <v>656</v>
      </c>
      <c r="AE96" s="293" t="s">
        <v>6690</v>
      </c>
      <c r="AF96" s="293" t="s">
        <v>145</v>
      </c>
      <c r="AG96" s="293" t="s">
        <v>74</v>
      </c>
      <c r="AH96" s="293" t="s">
        <v>656</v>
      </c>
      <c r="AJ96" s="293" t="s">
        <v>6691</v>
      </c>
      <c r="AK96" s="293" t="s">
        <v>145</v>
      </c>
      <c r="AL96" s="293" t="s">
        <v>74</v>
      </c>
      <c r="AM96" s="293" t="s">
        <v>656</v>
      </c>
      <c r="AO96" s="22" t="s">
        <v>6692</v>
      </c>
      <c r="AP96" s="22" t="s">
        <v>145</v>
      </c>
      <c r="AQ96" s="22" t="s">
        <v>70</v>
      </c>
      <c r="AR96" s="22" t="s">
        <v>67</v>
      </c>
      <c r="AT96" s="22" t="s">
        <v>6693</v>
      </c>
      <c r="AU96" s="22" t="s">
        <v>145</v>
      </c>
      <c r="AV96" s="22" t="s">
        <v>70</v>
      </c>
      <c r="AW96" s="22" t="s">
        <v>67</v>
      </c>
      <c r="AY96" s="22" t="s">
        <v>6694</v>
      </c>
      <c r="AZ96" s="22" t="s">
        <v>145</v>
      </c>
      <c r="BA96" s="22" t="s">
        <v>70</v>
      </c>
      <c r="BB96" s="22" t="s">
        <v>67</v>
      </c>
      <c r="BD96" s="22" t="s">
        <v>6695</v>
      </c>
      <c r="BE96" s="22" t="s">
        <v>145</v>
      </c>
      <c r="BF96" s="22" t="s">
        <v>70</v>
      </c>
      <c r="BG96" s="22" t="s">
        <v>67</v>
      </c>
      <c r="BI96" s="22" t="s">
        <v>6696</v>
      </c>
      <c r="BJ96" s="22" t="s">
        <v>145</v>
      </c>
      <c r="BK96" s="22" t="s">
        <v>70</v>
      </c>
      <c r="BL96" s="22" t="s">
        <v>67</v>
      </c>
      <c r="BN96" s="22" t="s">
        <v>6697</v>
      </c>
      <c r="BO96" s="22" t="s">
        <v>145</v>
      </c>
      <c r="BP96" s="22" t="s">
        <v>70</v>
      </c>
      <c r="BQ96" s="22" t="s">
        <v>67</v>
      </c>
      <c r="BS96" s="22" t="s">
        <v>6698</v>
      </c>
      <c r="BT96" s="22" t="s">
        <v>145</v>
      </c>
      <c r="BU96" s="22" t="s">
        <v>70</v>
      </c>
      <c r="BV96" s="214" t="s">
        <v>530</v>
      </c>
      <c r="BX96" s="22" t="s">
        <v>6699</v>
      </c>
      <c r="BY96" s="22" t="s">
        <v>145</v>
      </c>
      <c r="BZ96" s="22" t="s">
        <v>70</v>
      </c>
      <c r="CA96" s="214" t="s">
        <v>530</v>
      </c>
      <c r="CC96" s="214" t="s">
        <v>6700</v>
      </c>
      <c r="CD96" s="218" t="s">
        <v>146</v>
      </c>
      <c r="CE96" s="214" t="s">
        <v>70</v>
      </c>
      <c r="CF96" s="214" t="s">
        <v>391</v>
      </c>
      <c r="CH96" s="214" t="s">
        <v>6701</v>
      </c>
      <c r="CI96" s="214" t="s">
        <v>92</v>
      </c>
      <c r="CJ96" s="214" t="s">
        <v>70</v>
      </c>
      <c r="CK96" s="214" t="s">
        <v>530</v>
      </c>
      <c r="CM96" s="214" t="s">
        <v>6702</v>
      </c>
      <c r="CN96" s="214" t="s">
        <v>925</v>
      </c>
      <c r="CO96" s="214" t="s">
        <v>70</v>
      </c>
      <c r="CP96" s="214" t="s">
        <v>530</v>
      </c>
      <c r="CR96" s="214" t="s">
        <v>6703</v>
      </c>
      <c r="CS96" s="214" t="s">
        <v>85</v>
      </c>
      <c r="CT96" s="214" t="s">
        <v>70</v>
      </c>
      <c r="CU96" s="214" t="s">
        <v>530</v>
      </c>
      <c r="CW96" s="214" t="s">
        <v>6704</v>
      </c>
      <c r="CX96" s="214" t="s">
        <v>288</v>
      </c>
      <c r="CY96" s="214" t="s">
        <v>70</v>
      </c>
      <c r="CZ96" s="214" t="s">
        <v>530</v>
      </c>
      <c r="DB96" s="214" t="s">
        <v>6705</v>
      </c>
      <c r="DC96" s="214" t="s">
        <v>468</v>
      </c>
      <c r="DD96" s="214" t="s">
        <v>70</v>
      </c>
      <c r="DE96" s="214" t="s">
        <v>530</v>
      </c>
      <c r="DG96" s="214" t="s">
        <v>6706</v>
      </c>
      <c r="DH96" s="214" t="s">
        <v>163</v>
      </c>
      <c r="DI96" s="214" t="s">
        <v>70</v>
      </c>
      <c r="DJ96" s="214" t="s">
        <v>530</v>
      </c>
      <c r="DL96" s="214" t="s">
        <v>6707</v>
      </c>
      <c r="DM96" s="214" t="s">
        <v>518</v>
      </c>
      <c r="DN96" s="214" t="s">
        <v>70</v>
      </c>
      <c r="DO96" s="214" t="s">
        <v>530</v>
      </c>
      <c r="DQ96" s="214" t="s">
        <v>6708</v>
      </c>
      <c r="DR96" s="214" t="s">
        <v>34537</v>
      </c>
      <c r="DS96" s="214" t="s">
        <v>70</v>
      </c>
      <c r="DT96" s="214" t="s">
        <v>530</v>
      </c>
      <c r="DV96" s="214" t="s">
        <v>6709</v>
      </c>
      <c r="DW96" s="214" t="s">
        <v>34543</v>
      </c>
      <c r="DX96" s="214" t="s">
        <v>70</v>
      </c>
      <c r="DY96" s="214" t="s">
        <v>530</v>
      </c>
      <c r="EA96" s="214" t="s">
        <v>6710</v>
      </c>
      <c r="EB96" s="214" t="s">
        <v>34568</v>
      </c>
      <c r="EC96" s="214" t="s">
        <v>70</v>
      </c>
      <c r="ED96" s="214" t="s">
        <v>530</v>
      </c>
      <c r="EF96" s="214" t="s">
        <v>6711</v>
      </c>
      <c r="EG96" s="214" t="s">
        <v>34586</v>
      </c>
      <c r="EH96" s="214" t="s">
        <v>70</v>
      </c>
      <c r="EI96" s="214" t="s">
        <v>530</v>
      </c>
      <c r="EK96" s="214" t="s">
        <v>6712</v>
      </c>
      <c r="EL96" s="214" t="s">
        <v>923</v>
      </c>
      <c r="EM96" s="214" t="s">
        <v>70</v>
      </c>
      <c r="EN96" s="214" t="s">
        <v>530</v>
      </c>
      <c r="EP96" s="214" t="s">
        <v>6713</v>
      </c>
      <c r="EQ96" s="214" t="s">
        <v>52</v>
      </c>
      <c r="ER96" s="214" t="s">
        <v>70</v>
      </c>
      <c r="ES96" s="214" t="s">
        <v>530</v>
      </c>
      <c r="EU96" s="214" t="s">
        <v>6714</v>
      </c>
      <c r="EV96" s="214" t="s">
        <v>924</v>
      </c>
      <c r="EW96" s="214" t="s">
        <v>70</v>
      </c>
      <c r="EX96" s="214" t="s">
        <v>530</v>
      </c>
      <c r="EZ96" s="214" t="s">
        <v>6715</v>
      </c>
      <c r="FA96" s="214" t="s">
        <v>34640</v>
      </c>
      <c r="FB96" s="214" t="s">
        <v>70</v>
      </c>
      <c r="FC96" s="214" t="s">
        <v>530</v>
      </c>
      <c r="FE96" s="214" t="s">
        <v>6716</v>
      </c>
      <c r="FF96" s="214" t="s">
        <v>486</v>
      </c>
      <c r="FG96" s="214" t="s">
        <v>70</v>
      </c>
      <c r="FH96" s="214" t="s">
        <v>530</v>
      </c>
      <c r="FJ96" s="321" t="s">
        <v>6717</v>
      </c>
      <c r="FK96" s="214" t="s">
        <v>85</v>
      </c>
      <c r="FL96" s="214" t="s">
        <v>70</v>
      </c>
      <c r="FM96" s="214" t="s">
        <v>530</v>
      </c>
      <c r="FO96" s="321" t="s">
        <v>6718</v>
      </c>
      <c r="FP96" s="214" t="s">
        <v>485</v>
      </c>
      <c r="FQ96" s="214" t="s">
        <v>70</v>
      </c>
      <c r="FR96" s="214" t="s">
        <v>530</v>
      </c>
      <c r="FT96" s="321" t="s">
        <v>6719</v>
      </c>
      <c r="FU96" s="214" t="s">
        <v>92</v>
      </c>
      <c r="FV96" s="214" t="s">
        <v>70</v>
      </c>
      <c r="FW96" s="214" t="s">
        <v>530</v>
      </c>
      <c r="FY96" s="321" t="s">
        <v>6720</v>
      </c>
      <c r="FZ96" s="214" t="s">
        <v>148</v>
      </c>
      <c r="GA96" s="214" t="s">
        <v>70</v>
      </c>
      <c r="GB96" s="214" t="s">
        <v>530</v>
      </c>
      <c r="GD96" s="321" t="s">
        <v>6721</v>
      </c>
      <c r="GE96" s="214" t="s">
        <v>90</v>
      </c>
      <c r="GF96" s="214" t="s">
        <v>70</v>
      </c>
      <c r="GG96" s="214" t="s">
        <v>530</v>
      </c>
      <c r="GI96" s="321" t="s">
        <v>6722</v>
      </c>
      <c r="GJ96" s="214" t="s">
        <v>146</v>
      </c>
      <c r="GK96" s="214" t="s">
        <v>70</v>
      </c>
      <c r="GL96" s="214" t="s">
        <v>530</v>
      </c>
      <c r="GN96" s="321" t="s">
        <v>6723</v>
      </c>
      <c r="GO96" s="214" t="s">
        <v>203</v>
      </c>
      <c r="GP96" s="214" t="s">
        <v>70</v>
      </c>
      <c r="GQ96" s="214" t="s">
        <v>530</v>
      </c>
      <c r="GS96" s="321" t="s">
        <v>6724</v>
      </c>
      <c r="GT96" s="214" t="s">
        <v>52</v>
      </c>
      <c r="GU96" s="214" t="s">
        <v>70</v>
      </c>
      <c r="GV96" s="214" t="s">
        <v>530</v>
      </c>
      <c r="GX96" s="214" t="s">
        <v>6725</v>
      </c>
      <c r="GY96" s="214" t="s">
        <v>529</v>
      </c>
      <c r="GZ96" s="214" t="s">
        <v>70</v>
      </c>
      <c r="HA96" s="214" t="s">
        <v>530</v>
      </c>
      <c r="HC96" s="214" t="s">
        <v>6726</v>
      </c>
      <c r="HD96" s="214" t="s">
        <v>87</v>
      </c>
      <c r="HE96" s="214" t="s">
        <v>70</v>
      </c>
      <c r="HF96" s="214" t="s">
        <v>530</v>
      </c>
      <c r="HH96" s="214" t="s">
        <v>6727</v>
      </c>
      <c r="HI96" s="214" t="s">
        <v>529</v>
      </c>
      <c r="HJ96" s="214" t="s">
        <v>70</v>
      </c>
      <c r="HK96" s="214" t="s">
        <v>530</v>
      </c>
      <c r="HM96" s="214" t="s">
        <v>6728</v>
      </c>
      <c r="HN96" s="214" t="s">
        <v>86</v>
      </c>
      <c r="HO96" s="214" t="s">
        <v>70</v>
      </c>
      <c r="HP96" s="214" t="s">
        <v>530</v>
      </c>
      <c r="HR96" s="22" t="s">
        <v>6729</v>
      </c>
      <c r="HS96" s="22" t="s">
        <v>930</v>
      </c>
      <c r="HT96" s="22" t="s">
        <v>70</v>
      </c>
      <c r="HU96" s="214" t="s">
        <v>530</v>
      </c>
      <c r="HW96" s="22" t="s">
        <v>6730</v>
      </c>
      <c r="HX96" s="22" t="s">
        <v>34636</v>
      </c>
      <c r="HY96" s="22" t="s">
        <v>70</v>
      </c>
      <c r="HZ96" s="214" t="s">
        <v>530</v>
      </c>
      <c r="IB96" s="22" t="s">
        <v>6731</v>
      </c>
      <c r="IC96" s="22" t="s">
        <v>86</v>
      </c>
      <c r="ID96" s="22" t="s">
        <v>70</v>
      </c>
      <c r="IE96" s="214" t="s">
        <v>530</v>
      </c>
      <c r="IG96" s="22" t="s">
        <v>6732</v>
      </c>
      <c r="IH96" s="22" t="s">
        <v>52</v>
      </c>
      <c r="II96" s="22" t="s">
        <v>70</v>
      </c>
      <c r="IJ96" s="214" t="s">
        <v>530</v>
      </c>
      <c r="IL96" s="22" t="s">
        <v>6733</v>
      </c>
      <c r="IM96" s="22" t="s">
        <v>145</v>
      </c>
      <c r="IN96" s="22" t="s">
        <v>70</v>
      </c>
      <c r="IO96" s="214" t="s">
        <v>530</v>
      </c>
      <c r="IQ96" s="236" t="s">
        <v>6734</v>
      </c>
      <c r="IR96" s="236" t="s">
        <v>145</v>
      </c>
      <c r="IS96" s="236" t="s">
        <v>74</v>
      </c>
      <c r="IT96" s="236" t="s">
        <v>841</v>
      </c>
      <c r="IV96" s="236" t="s">
        <v>6735</v>
      </c>
      <c r="IW96" s="236" t="s">
        <v>145</v>
      </c>
      <c r="IX96" s="236" t="s">
        <v>74</v>
      </c>
      <c r="IY96" s="236" t="s">
        <v>841</v>
      </c>
      <c r="JA96" s="236" t="s">
        <v>6736</v>
      </c>
      <c r="JB96" s="236" t="s">
        <v>145</v>
      </c>
      <c r="JC96" s="236" t="s">
        <v>74</v>
      </c>
      <c r="JD96" s="236" t="s">
        <v>841</v>
      </c>
      <c r="JF96" s="236" t="s">
        <v>6737</v>
      </c>
      <c r="JG96" s="236" t="s">
        <v>145</v>
      </c>
      <c r="JH96" s="236" t="s">
        <v>74</v>
      </c>
      <c r="JI96" s="236" t="s">
        <v>841</v>
      </c>
      <c r="JK96" s="236" t="s">
        <v>6738</v>
      </c>
      <c r="JL96" s="236" t="s">
        <v>145</v>
      </c>
      <c r="JM96" s="236" t="s">
        <v>74</v>
      </c>
      <c r="JN96" s="236" t="s">
        <v>841</v>
      </c>
      <c r="JP96" s="236" t="s">
        <v>6739</v>
      </c>
      <c r="JQ96" s="236" t="s">
        <v>145</v>
      </c>
      <c r="JR96" s="236" t="s">
        <v>74</v>
      </c>
      <c r="JS96" s="236" t="s">
        <v>841</v>
      </c>
      <c r="JU96" s="294" t="s">
        <v>6740</v>
      </c>
      <c r="JV96" s="337" t="str">
        <f>TVIIBE1M_CalPairs!$R105</f>
        <v>0x2F</v>
      </c>
      <c r="JW96" s="218" t="s">
        <v>72</v>
      </c>
      <c r="JX96" s="294" t="str">
        <f>TVIIBE1M_CalPairs!$S105</f>
        <v>FLASHC_DFT</v>
      </c>
      <c r="JZ96" s="263" t="s">
        <v>6741</v>
      </c>
      <c r="KA96" s="263" t="s">
        <v>145</v>
      </c>
      <c r="KB96" s="263" t="s">
        <v>70</v>
      </c>
      <c r="KC96" s="263" t="s">
        <v>1083</v>
      </c>
      <c r="KE96" s="263" t="s">
        <v>6742</v>
      </c>
      <c r="KF96" s="263" t="s">
        <v>52</v>
      </c>
      <c r="KG96" s="263" t="s">
        <v>70</v>
      </c>
      <c r="KH96" s="263" t="s">
        <v>1083</v>
      </c>
      <c r="KJ96" s="263" t="s">
        <v>6743</v>
      </c>
      <c r="KK96" s="263" t="s">
        <v>52</v>
      </c>
      <c r="KL96" s="263" t="s">
        <v>74</v>
      </c>
      <c r="KM96" s="263" t="s">
        <v>34074</v>
      </c>
      <c r="KO96" s="214" t="s">
        <v>6744</v>
      </c>
      <c r="KP96" s="214" t="s">
        <v>145</v>
      </c>
      <c r="KQ96" s="214" t="s">
        <v>70</v>
      </c>
      <c r="KR96" s="214" t="s">
        <v>67</v>
      </c>
      <c r="KT96" s="22" t="s">
        <v>6745</v>
      </c>
      <c r="KU96" s="22" t="s">
        <v>145</v>
      </c>
      <c r="KV96" s="22" t="s">
        <v>70</v>
      </c>
      <c r="KW96" s="22" t="s">
        <v>67</v>
      </c>
      <c r="KY96" s="214" t="s">
        <v>6746</v>
      </c>
      <c r="KZ96" s="214" t="s">
        <v>52</v>
      </c>
      <c r="LA96" s="214" t="s">
        <v>74</v>
      </c>
      <c r="LB96" s="214" t="s">
        <v>67</v>
      </c>
      <c r="LD96" s="22" t="s">
        <v>6747</v>
      </c>
      <c r="LE96" s="22" t="s">
        <v>145</v>
      </c>
      <c r="LF96" s="22" t="s">
        <v>70</v>
      </c>
      <c r="LG96" s="22" t="s">
        <v>67</v>
      </c>
    </row>
    <row r="97" spans="1:319">
      <c r="A97" s="22" t="s">
        <v>6748</v>
      </c>
      <c r="B97" s="22" t="s">
        <v>145</v>
      </c>
      <c r="C97" s="22" t="s">
        <v>70</v>
      </c>
      <c r="D97" s="22" t="s">
        <v>67</v>
      </c>
      <c r="F97" s="23" t="s">
        <v>6749</v>
      </c>
      <c r="G97" s="23" t="str">
        <f>TVIIBE1M_CalPairs!$E94</f>
        <v>0x00</v>
      </c>
      <c r="H97" s="23" t="s">
        <v>72</v>
      </c>
      <c r="I97" s="23" t="str">
        <f>TVIIBE1M_CalPairs!$C94</f>
        <v>PWR_TRIM_HT_BODVCCD_CTL_VAL2</v>
      </c>
      <c r="K97" s="22" t="s">
        <v>6750</v>
      </c>
      <c r="L97" s="22" t="s">
        <v>145</v>
      </c>
      <c r="M97" s="22" t="s">
        <v>70</v>
      </c>
      <c r="N97" s="22" t="s">
        <v>67</v>
      </c>
      <c r="P97" s="394" t="s">
        <v>6751</v>
      </c>
      <c r="Q97" s="394" t="s">
        <v>145</v>
      </c>
      <c r="R97" s="394" t="s">
        <v>72</v>
      </c>
      <c r="S97" s="394" t="s">
        <v>34097</v>
      </c>
      <c r="U97" s="293" t="s">
        <v>6752</v>
      </c>
      <c r="V97" s="293" t="s">
        <v>145</v>
      </c>
      <c r="W97" s="293" t="s">
        <v>74</v>
      </c>
      <c r="X97" s="293" t="s">
        <v>656</v>
      </c>
      <c r="Z97" s="293" t="s">
        <v>6753</v>
      </c>
      <c r="AA97" s="293" t="s">
        <v>145</v>
      </c>
      <c r="AB97" s="293" t="s">
        <v>74</v>
      </c>
      <c r="AC97" s="293" t="s">
        <v>656</v>
      </c>
      <c r="AE97" s="293" t="s">
        <v>6754</v>
      </c>
      <c r="AF97" s="293" t="s">
        <v>145</v>
      </c>
      <c r="AG97" s="293" t="s">
        <v>74</v>
      </c>
      <c r="AH97" s="293" t="s">
        <v>656</v>
      </c>
      <c r="AJ97" s="293" t="s">
        <v>6755</v>
      </c>
      <c r="AK97" s="293" t="s">
        <v>145</v>
      </c>
      <c r="AL97" s="293" t="s">
        <v>74</v>
      </c>
      <c r="AM97" s="293" t="s">
        <v>656</v>
      </c>
      <c r="AO97" s="22" t="s">
        <v>6756</v>
      </c>
      <c r="AP97" s="22" t="s">
        <v>145</v>
      </c>
      <c r="AQ97" s="22" t="s">
        <v>70</v>
      </c>
      <c r="AR97" s="22" t="s">
        <v>67</v>
      </c>
      <c r="AT97" s="22" t="s">
        <v>6757</v>
      </c>
      <c r="AU97" s="22" t="s">
        <v>145</v>
      </c>
      <c r="AV97" s="22" t="s">
        <v>70</v>
      </c>
      <c r="AW97" s="22" t="s">
        <v>67</v>
      </c>
      <c r="AY97" s="22" t="s">
        <v>6758</v>
      </c>
      <c r="AZ97" s="22" t="s">
        <v>145</v>
      </c>
      <c r="BA97" s="22" t="s">
        <v>70</v>
      </c>
      <c r="BB97" s="22" t="s">
        <v>67</v>
      </c>
      <c r="BD97" s="22" t="s">
        <v>6759</v>
      </c>
      <c r="BE97" s="22" t="s">
        <v>145</v>
      </c>
      <c r="BF97" s="22" t="s">
        <v>70</v>
      </c>
      <c r="BG97" s="22" t="s">
        <v>67</v>
      </c>
      <c r="BI97" s="22" t="s">
        <v>6760</v>
      </c>
      <c r="BJ97" s="22" t="s">
        <v>145</v>
      </c>
      <c r="BK97" s="22" t="s">
        <v>70</v>
      </c>
      <c r="BL97" s="22" t="s">
        <v>67</v>
      </c>
      <c r="BN97" s="22" t="s">
        <v>6761</v>
      </c>
      <c r="BO97" s="22" t="s">
        <v>145</v>
      </c>
      <c r="BP97" s="22" t="s">
        <v>70</v>
      </c>
      <c r="BQ97" s="22" t="s">
        <v>67</v>
      </c>
      <c r="BS97" s="22" t="s">
        <v>6762</v>
      </c>
      <c r="BT97" s="22" t="s">
        <v>145</v>
      </c>
      <c r="BU97" s="22" t="s">
        <v>70</v>
      </c>
      <c r="BV97" s="214" t="s">
        <v>530</v>
      </c>
      <c r="BX97" s="22" t="s">
        <v>6763</v>
      </c>
      <c r="BY97" s="22" t="s">
        <v>145</v>
      </c>
      <c r="BZ97" s="22" t="s">
        <v>70</v>
      </c>
      <c r="CA97" s="214" t="s">
        <v>530</v>
      </c>
      <c r="CC97" s="214" t="s">
        <v>6764</v>
      </c>
      <c r="CD97" s="218" t="s">
        <v>52</v>
      </c>
      <c r="CE97" s="214" t="s">
        <v>70</v>
      </c>
      <c r="CF97" s="214" t="s">
        <v>392</v>
      </c>
      <c r="CH97" s="214" t="s">
        <v>6765</v>
      </c>
      <c r="CI97" s="214" t="s">
        <v>920</v>
      </c>
      <c r="CJ97" s="214" t="s">
        <v>70</v>
      </c>
      <c r="CK97" s="214" t="s">
        <v>530</v>
      </c>
      <c r="CM97" s="214" t="s">
        <v>6766</v>
      </c>
      <c r="CN97" s="214" t="s">
        <v>206</v>
      </c>
      <c r="CO97" s="214" t="s">
        <v>70</v>
      </c>
      <c r="CP97" s="214" t="s">
        <v>530</v>
      </c>
      <c r="CR97" s="214" t="s">
        <v>6767</v>
      </c>
      <c r="CS97" s="214" t="s">
        <v>34569</v>
      </c>
      <c r="CT97" s="214" t="s">
        <v>70</v>
      </c>
      <c r="CU97" s="214" t="s">
        <v>530</v>
      </c>
      <c r="CW97" s="214" t="s">
        <v>6768</v>
      </c>
      <c r="CX97" s="214" t="s">
        <v>492</v>
      </c>
      <c r="CY97" s="214" t="s">
        <v>70</v>
      </c>
      <c r="CZ97" s="214" t="s">
        <v>530</v>
      </c>
      <c r="DB97" s="214" t="s">
        <v>6769</v>
      </c>
      <c r="DC97" s="214" t="s">
        <v>484</v>
      </c>
      <c r="DD97" s="214" t="s">
        <v>70</v>
      </c>
      <c r="DE97" s="214" t="s">
        <v>530</v>
      </c>
      <c r="DG97" s="214" t="s">
        <v>6770</v>
      </c>
      <c r="DH97" s="214" t="s">
        <v>484</v>
      </c>
      <c r="DI97" s="214" t="s">
        <v>70</v>
      </c>
      <c r="DJ97" s="214" t="s">
        <v>530</v>
      </c>
      <c r="DL97" s="214" t="s">
        <v>6771</v>
      </c>
      <c r="DM97" s="214" t="s">
        <v>518</v>
      </c>
      <c r="DN97" s="214" t="s">
        <v>70</v>
      </c>
      <c r="DO97" s="214" t="s">
        <v>530</v>
      </c>
      <c r="DQ97" s="214" t="s">
        <v>6772</v>
      </c>
      <c r="DR97" s="214" t="s">
        <v>488</v>
      </c>
      <c r="DS97" s="214" t="s">
        <v>70</v>
      </c>
      <c r="DT97" s="214" t="s">
        <v>530</v>
      </c>
      <c r="DV97" s="214" t="s">
        <v>6773</v>
      </c>
      <c r="DW97" s="214" t="s">
        <v>34556</v>
      </c>
      <c r="DX97" s="214" t="s">
        <v>70</v>
      </c>
      <c r="DY97" s="214" t="s">
        <v>530</v>
      </c>
      <c r="EA97" s="214" t="s">
        <v>6774</v>
      </c>
      <c r="EB97" s="214" t="s">
        <v>482</v>
      </c>
      <c r="EC97" s="214" t="s">
        <v>70</v>
      </c>
      <c r="ED97" s="214" t="s">
        <v>530</v>
      </c>
      <c r="EF97" s="214" t="s">
        <v>6775</v>
      </c>
      <c r="EG97" s="214" t="s">
        <v>205</v>
      </c>
      <c r="EH97" s="214" t="s">
        <v>70</v>
      </c>
      <c r="EI97" s="214" t="s">
        <v>530</v>
      </c>
      <c r="EK97" s="214" t="s">
        <v>6776</v>
      </c>
      <c r="EL97" s="214" t="s">
        <v>34544</v>
      </c>
      <c r="EM97" s="214" t="s">
        <v>70</v>
      </c>
      <c r="EN97" s="214" t="s">
        <v>530</v>
      </c>
      <c r="EP97" s="214" t="s">
        <v>6777</v>
      </c>
      <c r="EQ97" s="214" t="s">
        <v>599</v>
      </c>
      <c r="ER97" s="214" t="s">
        <v>70</v>
      </c>
      <c r="ES97" s="214" t="s">
        <v>530</v>
      </c>
      <c r="EU97" s="214" t="s">
        <v>6778</v>
      </c>
      <c r="EV97" s="214" t="s">
        <v>491</v>
      </c>
      <c r="EW97" s="214" t="s">
        <v>70</v>
      </c>
      <c r="EX97" s="214" t="s">
        <v>530</v>
      </c>
      <c r="EZ97" s="214" t="s">
        <v>6779</v>
      </c>
      <c r="FA97" s="214" t="s">
        <v>599</v>
      </c>
      <c r="FB97" s="214" t="s">
        <v>70</v>
      </c>
      <c r="FC97" s="214" t="s">
        <v>530</v>
      </c>
      <c r="FE97" s="214" t="s">
        <v>6780</v>
      </c>
      <c r="FF97" s="214" t="s">
        <v>34542</v>
      </c>
      <c r="FG97" s="214" t="s">
        <v>70</v>
      </c>
      <c r="FH97" s="214" t="s">
        <v>530</v>
      </c>
      <c r="FJ97" s="321" t="s">
        <v>6781</v>
      </c>
      <c r="FK97" s="214" t="s">
        <v>34551</v>
      </c>
      <c r="FL97" s="214" t="s">
        <v>70</v>
      </c>
      <c r="FM97" s="214" t="s">
        <v>530</v>
      </c>
      <c r="FO97" s="321" t="s">
        <v>6782</v>
      </c>
      <c r="FP97" s="214" t="s">
        <v>484</v>
      </c>
      <c r="FQ97" s="214" t="s">
        <v>70</v>
      </c>
      <c r="FR97" s="214" t="s">
        <v>530</v>
      </c>
      <c r="FT97" s="321" t="s">
        <v>6783</v>
      </c>
      <c r="FU97" s="214" t="s">
        <v>920</v>
      </c>
      <c r="FV97" s="214" t="s">
        <v>70</v>
      </c>
      <c r="FW97" s="214" t="s">
        <v>530</v>
      </c>
      <c r="FY97" s="321" t="s">
        <v>6784</v>
      </c>
      <c r="FZ97" s="214" t="s">
        <v>52</v>
      </c>
      <c r="GA97" s="214" t="s">
        <v>70</v>
      </c>
      <c r="GB97" s="214" t="s">
        <v>530</v>
      </c>
      <c r="GD97" s="321" t="s">
        <v>6785</v>
      </c>
      <c r="GE97" s="214" t="s">
        <v>491</v>
      </c>
      <c r="GF97" s="214" t="s">
        <v>70</v>
      </c>
      <c r="GG97" s="214" t="s">
        <v>530</v>
      </c>
      <c r="GI97" s="321" t="s">
        <v>6786</v>
      </c>
      <c r="GJ97" s="214" t="s">
        <v>52</v>
      </c>
      <c r="GK97" s="214" t="s">
        <v>70</v>
      </c>
      <c r="GL97" s="214" t="s">
        <v>530</v>
      </c>
      <c r="GN97" s="321" t="s">
        <v>6787</v>
      </c>
      <c r="GO97" s="214" t="s">
        <v>496</v>
      </c>
      <c r="GP97" s="214" t="s">
        <v>70</v>
      </c>
      <c r="GQ97" s="214" t="s">
        <v>530</v>
      </c>
      <c r="GS97" s="321" t="s">
        <v>6788</v>
      </c>
      <c r="GT97" s="214" t="s">
        <v>34558</v>
      </c>
      <c r="GU97" s="214" t="s">
        <v>70</v>
      </c>
      <c r="GV97" s="214" t="s">
        <v>530</v>
      </c>
      <c r="GX97" s="214" t="s">
        <v>6789</v>
      </c>
      <c r="GY97" s="214" t="s">
        <v>484</v>
      </c>
      <c r="GZ97" s="214" t="s">
        <v>70</v>
      </c>
      <c r="HA97" s="214" t="s">
        <v>530</v>
      </c>
      <c r="HC97" s="214" t="s">
        <v>6790</v>
      </c>
      <c r="HD97" s="214" t="s">
        <v>52</v>
      </c>
      <c r="HE97" s="214" t="s">
        <v>70</v>
      </c>
      <c r="HF97" s="214" t="s">
        <v>530</v>
      </c>
      <c r="HH97" s="214" t="s">
        <v>6791</v>
      </c>
      <c r="HI97" s="214" t="s">
        <v>34516</v>
      </c>
      <c r="HJ97" s="214" t="s">
        <v>70</v>
      </c>
      <c r="HK97" s="214" t="s">
        <v>530</v>
      </c>
      <c r="HM97" s="214" t="s">
        <v>6792</v>
      </c>
      <c r="HN97" s="214" t="s">
        <v>52</v>
      </c>
      <c r="HO97" s="214" t="s">
        <v>70</v>
      </c>
      <c r="HP97" s="214" t="s">
        <v>530</v>
      </c>
      <c r="HR97" s="22" t="s">
        <v>6793</v>
      </c>
      <c r="HS97" s="22" t="s">
        <v>206</v>
      </c>
      <c r="HT97" s="22" t="s">
        <v>70</v>
      </c>
      <c r="HU97" s="214" t="s">
        <v>530</v>
      </c>
      <c r="HW97" s="22" t="s">
        <v>6794</v>
      </c>
      <c r="HX97" s="22" t="s">
        <v>501</v>
      </c>
      <c r="HY97" s="22" t="s">
        <v>70</v>
      </c>
      <c r="HZ97" s="214" t="s">
        <v>530</v>
      </c>
      <c r="IB97" s="22" t="s">
        <v>6795</v>
      </c>
      <c r="IC97" s="22" t="s">
        <v>484</v>
      </c>
      <c r="ID97" s="22" t="s">
        <v>70</v>
      </c>
      <c r="IE97" s="214" t="s">
        <v>530</v>
      </c>
      <c r="IG97" s="22" t="s">
        <v>6796</v>
      </c>
      <c r="IH97" s="22" t="s">
        <v>52</v>
      </c>
      <c r="II97" s="22" t="s">
        <v>70</v>
      </c>
      <c r="IJ97" s="214" t="s">
        <v>530</v>
      </c>
      <c r="IL97" s="22" t="s">
        <v>6797</v>
      </c>
      <c r="IM97" s="22" t="s">
        <v>145</v>
      </c>
      <c r="IN97" s="22" t="s">
        <v>70</v>
      </c>
      <c r="IO97" s="214" t="s">
        <v>530</v>
      </c>
      <c r="IQ97" s="236" t="s">
        <v>6798</v>
      </c>
      <c r="IR97" s="236" t="s">
        <v>145</v>
      </c>
      <c r="IS97" s="236" t="s">
        <v>74</v>
      </c>
      <c r="IT97" s="236" t="s">
        <v>841</v>
      </c>
      <c r="IV97" s="236" t="s">
        <v>6799</v>
      </c>
      <c r="IW97" s="236" t="s">
        <v>145</v>
      </c>
      <c r="IX97" s="236" t="s">
        <v>74</v>
      </c>
      <c r="IY97" s="236" t="s">
        <v>841</v>
      </c>
      <c r="JA97" s="236" t="s">
        <v>6800</v>
      </c>
      <c r="JB97" s="236" t="s">
        <v>145</v>
      </c>
      <c r="JC97" s="236" t="s">
        <v>74</v>
      </c>
      <c r="JD97" s="236" t="s">
        <v>841</v>
      </c>
      <c r="JF97" s="236" t="s">
        <v>6801</v>
      </c>
      <c r="JG97" s="236" t="s">
        <v>145</v>
      </c>
      <c r="JH97" s="236" t="s">
        <v>74</v>
      </c>
      <c r="JI97" s="236" t="s">
        <v>841</v>
      </c>
      <c r="JK97" s="236" t="s">
        <v>6802</v>
      </c>
      <c r="JL97" s="236" t="s">
        <v>145</v>
      </c>
      <c r="JM97" s="236" t="s">
        <v>74</v>
      </c>
      <c r="JN97" s="236" t="s">
        <v>841</v>
      </c>
      <c r="JP97" s="236" t="s">
        <v>6803</v>
      </c>
      <c r="JQ97" s="236" t="s">
        <v>145</v>
      </c>
      <c r="JR97" s="236" t="s">
        <v>74</v>
      </c>
      <c r="JS97" s="236" t="s">
        <v>841</v>
      </c>
      <c r="JU97" s="294" t="s">
        <v>6804</v>
      </c>
      <c r="JV97" s="294" t="str">
        <f>TVIIBE1M_CalPairs!$R106</f>
        <v>0x00</v>
      </c>
      <c r="JW97" s="218" t="s">
        <v>72</v>
      </c>
      <c r="JX97" s="294" t="str">
        <f>TVIIBE1M_CalPairs!$S106</f>
        <v>FLASHC_DFT</v>
      </c>
      <c r="JZ97" s="263" t="s">
        <v>6805</v>
      </c>
      <c r="KA97" s="263" t="s">
        <v>145</v>
      </c>
      <c r="KB97" s="263" t="s">
        <v>70</v>
      </c>
      <c r="KC97" s="263" t="s">
        <v>1083</v>
      </c>
      <c r="KE97" s="263" t="s">
        <v>6806</v>
      </c>
      <c r="KF97" s="263" t="s">
        <v>52</v>
      </c>
      <c r="KG97" s="263" t="s">
        <v>70</v>
      </c>
      <c r="KH97" s="263" t="s">
        <v>1083</v>
      </c>
      <c r="KJ97" s="263" t="s">
        <v>6807</v>
      </c>
      <c r="KK97" s="263" t="s">
        <v>52</v>
      </c>
      <c r="KL97" s="263" t="s">
        <v>74</v>
      </c>
      <c r="KM97" s="263" t="s">
        <v>34074</v>
      </c>
      <c r="KO97" s="214" t="s">
        <v>6808</v>
      </c>
      <c r="KP97" s="214" t="s">
        <v>145</v>
      </c>
      <c r="KQ97" s="214" t="s">
        <v>70</v>
      </c>
      <c r="KR97" s="214" t="s">
        <v>67</v>
      </c>
      <c r="KT97" s="22" t="s">
        <v>6809</v>
      </c>
      <c r="KU97" s="22" t="s">
        <v>145</v>
      </c>
      <c r="KV97" s="22" t="s">
        <v>70</v>
      </c>
      <c r="KW97" s="22" t="s">
        <v>67</v>
      </c>
      <c r="KY97" s="214" t="s">
        <v>6810</v>
      </c>
      <c r="KZ97" s="214" t="s">
        <v>52</v>
      </c>
      <c r="LA97" s="214" t="s">
        <v>74</v>
      </c>
      <c r="LB97" s="214" t="s">
        <v>67</v>
      </c>
      <c r="LD97" s="22" t="s">
        <v>6811</v>
      </c>
      <c r="LE97" s="22" t="s">
        <v>145</v>
      </c>
      <c r="LF97" s="22" t="s">
        <v>70</v>
      </c>
      <c r="LG97" s="22" t="s">
        <v>67</v>
      </c>
    </row>
    <row r="98" spans="1:319">
      <c r="A98" s="22" t="s">
        <v>6812</v>
      </c>
      <c r="B98" s="22" t="s">
        <v>145</v>
      </c>
      <c r="C98" s="22" t="s">
        <v>70</v>
      </c>
      <c r="D98" s="22" t="s">
        <v>67</v>
      </c>
      <c r="F98" s="23" t="s">
        <v>6813</v>
      </c>
      <c r="G98" s="23" t="str">
        <f>TVIIBE1M_CalPairs!$E95</f>
        <v>0x00</v>
      </c>
      <c r="H98" s="23" t="s">
        <v>72</v>
      </c>
      <c r="I98" s="23" t="str">
        <f>TVIIBE1M_CalPairs!$C95</f>
        <v>PWR_TRIM_HT_BODVCCD_CTL_VAL3</v>
      </c>
      <c r="K98" s="22" t="s">
        <v>6814</v>
      </c>
      <c r="L98" s="22" t="s">
        <v>145</v>
      </c>
      <c r="M98" s="22" t="s">
        <v>70</v>
      </c>
      <c r="N98" s="22" t="s">
        <v>67</v>
      </c>
      <c r="P98" s="394" t="s">
        <v>6815</v>
      </c>
      <c r="Q98" s="394" t="s">
        <v>145</v>
      </c>
      <c r="R98" s="394" t="s">
        <v>72</v>
      </c>
      <c r="S98" s="394" t="s">
        <v>34201</v>
      </c>
      <c r="U98" s="293" t="s">
        <v>6816</v>
      </c>
      <c r="V98" s="293" t="s">
        <v>145</v>
      </c>
      <c r="W98" s="293" t="s">
        <v>74</v>
      </c>
      <c r="X98" s="293" t="s">
        <v>656</v>
      </c>
      <c r="Z98" s="293" t="s">
        <v>6817</v>
      </c>
      <c r="AA98" s="293" t="s">
        <v>145</v>
      </c>
      <c r="AB98" s="293" t="s">
        <v>74</v>
      </c>
      <c r="AC98" s="293" t="s">
        <v>656</v>
      </c>
      <c r="AE98" s="293" t="s">
        <v>6818</v>
      </c>
      <c r="AF98" s="293" t="s">
        <v>145</v>
      </c>
      <c r="AG98" s="293" t="s">
        <v>74</v>
      </c>
      <c r="AH98" s="293" t="s">
        <v>656</v>
      </c>
      <c r="AJ98" s="293" t="s">
        <v>6819</v>
      </c>
      <c r="AK98" s="293" t="s">
        <v>145</v>
      </c>
      <c r="AL98" s="293" t="s">
        <v>74</v>
      </c>
      <c r="AM98" s="293" t="s">
        <v>656</v>
      </c>
      <c r="AO98" s="22" t="s">
        <v>6820</v>
      </c>
      <c r="AP98" s="22" t="s">
        <v>145</v>
      </c>
      <c r="AQ98" s="22" t="s">
        <v>70</v>
      </c>
      <c r="AR98" s="22" t="s">
        <v>67</v>
      </c>
      <c r="AT98" s="22" t="s">
        <v>6821</v>
      </c>
      <c r="AU98" s="22" t="s">
        <v>145</v>
      </c>
      <c r="AV98" s="22" t="s">
        <v>70</v>
      </c>
      <c r="AW98" s="22" t="s">
        <v>67</v>
      </c>
      <c r="AY98" s="22" t="s">
        <v>6822</v>
      </c>
      <c r="AZ98" s="22" t="s">
        <v>145</v>
      </c>
      <c r="BA98" s="22" t="s">
        <v>70</v>
      </c>
      <c r="BB98" s="22" t="s">
        <v>67</v>
      </c>
      <c r="BD98" s="22" t="s">
        <v>6823</v>
      </c>
      <c r="BE98" s="22" t="s">
        <v>145</v>
      </c>
      <c r="BF98" s="22" t="s">
        <v>70</v>
      </c>
      <c r="BG98" s="22" t="s">
        <v>67</v>
      </c>
      <c r="BI98" s="22" t="s">
        <v>6824</v>
      </c>
      <c r="BJ98" s="22" t="s">
        <v>145</v>
      </c>
      <c r="BK98" s="22" t="s">
        <v>70</v>
      </c>
      <c r="BL98" s="22" t="s">
        <v>67</v>
      </c>
      <c r="BN98" s="22" t="s">
        <v>6825</v>
      </c>
      <c r="BO98" s="22" t="s">
        <v>145</v>
      </c>
      <c r="BP98" s="22" t="s">
        <v>70</v>
      </c>
      <c r="BQ98" s="22" t="s">
        <v>67</v>
      </c>
      <c r="BS98" s="22" t="s">
        <v>6826</v>
      </c>
      <c r="BT98" s="22" t="s">
        <v>145</v>
      </c>
      <c r="BU98" s="22" t="s">
        <v>70</v>
      </c>
      <c r="BV98" s="214" t="s">
        <v>530</v>
      </c>
      <c r="BX98" s="22" t="s">
        <v>6827</v>
      </c>
      <c r="BY98" s="22" t="s">
        <v>145</v>
      </c>
      <c r="BZ98" s="22" t="s">
        <v>70</v>
      </c>
      <c r="CA98" s="214" t="s">
        <v>530</v>
      </c>
      <c r="CC98" s="214" t="s">
        <v>6828</v>
      </c>
      <c r="CD98" s="218" t="s">
        <v>52</v>
      </c>
      <c r="CE98" s="214" t="s">
        <v>70</v>
      </c>
      <c r="CF98" s="214" t="s">
        <v>393</v>
      </c>
      <c r="CH98" s="214" t="s">
        <v>6829</v>
      </c>
      <c r="CI98" s="214" t="s">
        <v>52</v>
      </c>
      <c r="CJ98" s="214" t="s">
        <v>70</v>
      </c>
      <c r="CK98" s="214" t="s">
        <v>530</v>
      </c>
      <c r="CM98" s="214" t="s">
        <v>6830</v>
      </c>
      <c r="CN98" s="214" t="s">
        <v>52</v>
      </c>
      <c r="CO98" s="214" t="s">
        <v>70</v>
      </c>
      <c r="CP98" s="214" t="s">
        <v>530</v>
      </c>
      <c r="CR98" s="214" t="s">
        <v>6831</v>
      </c>
      <c r="CS98" s="214" t="s">
        <v>34545</v>
      </c>
      <c r="CT98" s="214" t="s">
        <v>70</v>
      </c>
      <c r="CU98" s="214" t="s">
        <v>530</v>
      </c>
      <c r="CW98" s="214" t="s">
        <v>6832</v>
      </c>
      <c r="CX98" s="214" t="s">
        <v>305</v>
      </c>
      <c r="CY98" s="214" t="s">
        <v>70</v>
      </c>
      <c r="CZ98" s="214" t="s">
        <v>530</v>
      </c>
      <c r="DB98" s="214" t="s">
        <v>6833</v>
      </c>
      <c r="DC98" s="214" t="s">
        <v>485</v>
      </c>
      <c r="DD98" s="214" t="s">
        <v>70</v>
      </c>
      <c r="DE98" s="214" t="s">
        <v>530</v>
      </c>
      <c r="DG98" s="214" t="s">
        <v>6834</v>
      </c>
      <c r="DH98" s="214" t="s">
        <v>286</v>
      </c>
      <c r="DI98" s="214" t="s">
        <v>70</v>
      </c>
      <c r="DJ98" s="214" t="s">
        <v>530</v>
      </c>
      <c r="DL98" s="214" t="s">
        <v>6835</v>
      </c>
      <c r="DM98" s="214" t="s">
        <v>52</v>
      </c>
      <c r="DN98" s="214" t="s">
        <v>70</v>
      </c>
      <c r="DO98" s="214" t="s">
        <v>530</v>
      </c>
      <c r="DQ98" s="214" t="s">
        <v>6836</v>
      </c>
      <c r="DR98" s="214" t="s">
        <v>502</v>
      </c>
      <c r="DS98" s="214" t="s">
        <v>70</v>
      </c>
      <c r="DT98" s="214" t="s">
        <v>530</v>
      </c>
      <c r="DV98" s="214" t="s">
        <v>6837</v>
      </c>
      <c r="DW98" s="214" t="s">
        <v>164</v>
      </c>
      <c r="DX98" s="214" t="s">
        <v>70</v>
      </c>
      <c r="DY98" s="214" t="s">
        <v>530</v>
      </c>
      <c r="EA98" s="214" t="s">
        <v>6838</v>
      </c>
      <c r="EB98" s="214" t="s">
        <v>149</v>
      </c>
      <c r="EC98" s="214" t="s">
        <v>70</v>
      </c>
      <c r="ED98" s="214" t="s">
        <v>530</v>
      </c>
      <c r="EF98" s="214" t="s">
        <v>6839</v>
      </c>
      <c r="EG98" s="214" t="s">
        <v>148</v>
      </c>
      <c r="EH98" s="214" t="s">
        <v>70</v>
      </c>
      <c r="EI98" s="214" t="s">
        <v>530</v>
      </c>
      <c r="EK98" s="214" t="s">
        <v>6840</v>
      </c>
      <c r="EL98" s="214" t="s">
        <v>90</v>
      </c>
      <c r="EM98" s="214" t="s">
        <v>70</v>
      </c>
      <c r="EN98" s="214" t="s">
        <v>530</v>
      </c>
      <c r="EP98" s="214" t="s">
        <v>6841</v>
      </c>
      <c r="EQ98" s="214" t="s">
        <v>163</v>
      </c>
      <c r="ER98" s="214" t="s">
        <v>70</v>
      </c>
      <c r="ES98" s="214" t="s">
        <v>530</v>
      </c>
      <c r="EU98" s="214" t="s">
        <v>6842</v>
      </c>
      <c r="EV98" s="214" t="s">
        <v>148</v>
      </c>
      <c r="EW98" s="214" t="s">
        <v>70</v>
      </c>
      <c r="EX98" s="214" t="s">
        <v>530</v>
      </c>
      <c r="EZ98" s="214" t="s">
        <v>6843</v>
      </c>
      <c r="FA98" s="214" t="s">
        <v>600</v>
      </c>
      <c r="FB98" s="214" t="s">
        <v>70</v>
      </c>
      <c r="FC98" s="214" t="s">
        <v>530</v>
      </c>
      <c r="FE98" s="214" t="s">
        <v>6844</v>
      </c>
      <c r="FF98" s="214" t="s">
        <v>468</v>
      </c>
      <c r="FG98" s="214" t="s">
        <v>70</v>
      </c>
      <c r="FH98" s="214" t="s">
        <v>530</v>
      </c>
      <c r="FJ98" s="321" t="s">
        <v>6845</v>
      </c>
      <c r="FK98" s="214" t="s">
        <v>34654</v>
      </c>
      <c r="FL98" s="214" t="s">
        <v>70</v>
      </c>
      <c r="FM98" s="214" t="s">
        <v>530</v>
      </c>
      <c r="FO98" s="321" t="s">
        <v>6846</v>
      </c>
      <c r="FP98" s="214" t="s">
        <v>146</v>
      </c>
      <c r="FQ98" s="214" t="s">
        <v>70</v>
      </c>
      <c r="FR98" s="214" t="s">
        <v>530</v>
      </c>
      <c r="FT98" s="321" t="s">
        <v>6847</v>
      </c>
      <c r="FU98" s="214" t="s">
        <v>52</v>
      </c>
      <c r="FV98" s="214" t="s">
        <v>70</v>
      </c>
      <c r="FW98" s="214" t="s">
        <v>530</v>
      </c>
      <c r="FY98" s="321" t="s">
        <v>6848</v>
      </c>
      <c r="FZ98" s="214" t="s">
        <v>87</v>
      </c>
      <c r="GA98" s="214" t="s">
        <v>70</v>
      </c>
      <c r="GB98" s="214" t="s">
        <v>530</v>
      </c>
      <c r="GD98" s="321" t="s">
        <v>6849</v>
      </c>
      <c r="GE98" s="214" t="s">
        <v>163</v>
      </c>
      <c r="GF98" s="214" t="s">
        <v>70</v>
      </c>
      <c r="GG98" s="214" t="s">
        <v>530</v>
      </c>
      <c r="GI98" s="321" t="s">
        <v>6850</v>
      </c>
      <c r="GJ98" s="214" t="s">
        <v>34583</v>
      </c>
      <c r="GK98" s="214" t="s">
        <v>70</v>
      </c>
      <c r="GL98" s="214" t="s">
        <v>530</v>
      </c>
      <c r="GN98" s="321" t="s">
        <v>6851</v>
      </c>
      <c r="GO98" s="214" t="s">
        <v>34541</v>
      </c>
      <c r="GP98" s="214" t="s">
        <v>70</v>
      </c>
      <c r="GQ98" s="214" t="s">
        <v>530</v>
      </c>
      <c r="GS98" s="321" t="s">
        <v>6852</v>
      </c>
      <c r="GT98" s="214" t="s">
        <v>34570</v>
      </c>
      <c r="GU98" s="214" t="s">
        <v>70</v>
      </c>
      <c r="GV98" s="214" t="s">
        <v>530</v>
      </c>
      <c r="GX98" s="214" t="s">
        <v>6853</v>
      </c>
      <c r="GY98" s="214" t="s">
        <v>88</v>
      </c>
      <c r="GZ98" s="214" t="s">
        <v>70</v>
      </c>
      <c r="HA98" s="214" t="s">
        <v>530</v>
      </c>
      <c r="HC98" s="214" t="s">
        <v>6854</v>
      </c>
      <c r="HD98" s="214" t="s">
        <v>655</v>
      </c>
      <c r="HE98" s="214" t="s">
        <v>70</v>
      </c>
      <c r="HF98" s="214" t="s">
        <v>530</v>
      </c>
      <c r="HH98" s="214" t="s">
        <v>6855</v>
      </c>
      <c r="HI98" s="214" t="s">
        <v>85</v>
      </c>
      <c r="HJ98" s="214" t="s">
        <v>70</v>
      </c>
      <c r="HK98" s="214" t="s">
        <v>530</v>
      </c>
      <c r="HM98" s="214" t="s">
        <v>6856</v>
      </c>
      <c r="HN98" s="214" t="s">
        <v>145</v>
      </c>
      <c r="HO98" s="214" t="s">
        <v>70</v>
      </c>
      <c r="HP98" s="214" t="s">
        <v>530</v>
      </c>
      <c r="HR98" s="22" t="s">
        <v>6857</v>
      </c>
      <c r="HS98" s="22" t="s">
        <v>34569</v>
      </c>
      <c r="HT98" s="22" t="s">
        <v>70</v>
      </c>
      <c r="HU98" s="214" t="s">
        <v>530</v>
      </c>
      <c r="HW98" s="22" t="s">
        <v>6858</v>
      </c>
      <c r="HX98" s="22" t="s">
        <v>87</v>
      </c>
      <c r="HY98" s="22" t="s">
        <v>70</v>
      </c>
      <c r="HZ98" s="214" t="s">
        <v>530</v>
      </c>
      <c r="IB98" s="22" t="s">
        <v>6859</v>
      </c>
      <c r="IC98" s="22" t="s">
        <v>945</v>
      </c>
      <c r="ID98" s="22" t="s">
        <v>70</v>
      </c>
      <c r="IE98" s="214" t="s">
        <v>530</v>
      </c>
      <c r="IG98" s="22" t="s">
        <v>6860</v>
      </c>
      <c r="IH98" s="22" t="s">
        <v>52</v>
      </c>
      <c r="II98" s="22" t="s">
        <v>70</v>
      </c>
      <c r="IJ98" s="214" t="s">
        <v>530</v>
      </c>
      <c r="IL98" s="22" t="s">
        <v>6861</v>
      </c>
      <c r="IM98" s="22" t="s">
        <v>145</v>
      </c>
      <c r="IN98" s="22" t="s">
        <v>70</v>
      </c>
      <c r="IO98" s="214" t="s">
        <v>530</v>
      </c>
      <c r="IQ98" s="236" t="s">
        <v>6862</v>
      </c>
      <c r="IR98" s="236" t="s">
        <v>145</v>
      </c>
      <c r="IS98" s="236" t="s">
        <v>74</v>
      </c>
      <c r="IT98" s="236" t="s">
        <v>841</v>
      </c>
      <c r="IV98" s="236" t="s">
        <v>6863</v>
      </c>
      <c r="IW98" s="236" t="s">
        <v>145</v>
      </c>
      <c r="IX98" s="236" t="s">
        <v>74</v>
      </c>
      <c r="IY98" s="236" t="s">
        <v>841</v>
      </c>
      <c r="JA98" s="236" t="s">
        <v>6864</v>
      </c>
      <c r="JB98" s="236" t="s">
        <v>145</v>
      </c>
      <c r="JC98" s="236" t="s">
        <v>74</v>
      </c>
      <c r="JD98" s="236" t="s">
        <v>841</v>
      </c>
      <c r="JF98" s="236" t="s">
        <v>6865</v>
      </c>
      <c r="JG98" s="236" t="s">
        <v>145</v>
      </c>
      <c r="JH98" s="236" t="s">
        <v>74</v>
      </c>
      <c r="JI98" s="236" t="s">
        <v>841</v>
      </c>
      <c r="JK98" s="236" t="s">
        <v>6866</v>
      </c>
      <c r="JL98" s="236" t="s">
        <v>145</v>
      </c>
      <c r="JM98" s="236" t="s">
        <v>74</v>
      </c>
      <c r="JN98" s="236" t="s">
        <v>841</v>
      </c>
      <c r="JP98" s="236" t="s">
        <v>6867</v>
      </c>
      <c r="JQ98" s="236" t="s">
        <v>145</v>
      </c>
      <c r="JR98" s="236" t="s">
        <v>74</v>
      </c>
      <c r="JS98" s="236" t="s">
        <v>841</v>
      </c>
      <c r="JU98" s="294" t="s">
        <v>6868</v>
      </c>
      <c r="JV98" s="294" t="str">
        <f>TVIIBE1M_CalPairs!$R107</f>
        <v>0xBF</v>
      </c>
      <c r="JW98" s="263" t="s">
        <v>70</v>
      </c>
      <c r="JX98" s="294" t="str">
        <f>TVIIBE1M_CalPairs!$Q107</f>
        <v>PPU11_SL_CONFIG</v>
      </c>
      <c r="JZ98" s="263" t="s">
        <v>6869</v>
      </c>
      <c r="KA98" s="263" t="s">
        <v>145</v>
      </c>
      <c r="KB98" s="263" t="s">
        <v>70</v>
      </c>
      <c r="KC98" s="263" t="s">
        <v>1083</v>
      </c>
      <c r="KE98" s="263" t="s">
        <v>6870</v>
      </c>
      <c r="KF98" s="263" t="s">
        <v>52</v>
      </c>
      <c r="KG98" s="263" t="s">
        <v>70</v>
      </c>
      <c r="KH98" s="263" t="s">
        <v>1083</v>
      </c>
      <c r="KJ98" s="263" t="s">
        <v>6871</v>
      </c>
      <c r="KK98" s="263" t="s">
        <v>52</v>
      </c>
      <c r="KL98" s="263" t="s">
        <v>74</v>
      </c>
      <c r="KM98" s="263" t="s">
        <v>34074</v>
      </c>
      <c r="KO98" s="214" t="s">
        <v>6872</v>
      </c>
      <c r="KP98" s="214" t="s">
        <v>145</v>
      </c>
      <c r="KQ98" s="214" t="s">
        <v>70</v>
      </c>
      <c r="KR98" s="214" t="s">
        <v>67</v>
      </c>
      <c r="KT98" s="22" t="s">
        <v>6873</v>
      </c>
      <c r="KU98" s="22" t="s">
        <v>145</v>
      </c>
      <c r="KV98" s="22" t="s">
        <v>70</v>
      </c>
      <c r="KW98" s="22" t="s">
        <v>67</v>
      </c>
      <c r="KY98" s="214" t="s">
        <v>6874</v>
      </c>
      <c r="KZ98" s="214" t="s">
        <v>52</v>
      </c>
      <c r="LA98" s="214" t="s">
        <v>74</v>
      </c>
      <c r="LB98" s="214" t="s">
        <v>67</v>
      </c>
      <c r="LD98" s="22" t="s">
        <v>6875</v>
      </c>
      <c r="LE98" s="22" t="s">
        <v>145</v>
      </c>
      <c r="LF98" s="22" t="s">
        <v>70</v>
      </c>
      <c r="LG98" s="22" t="s">
        <v>67</v>
      </c>
    </row>
    <row r="99" spans="1:319">
      <c r="A99" s="22" t="s">
        <v>6876</v>
      </c>
      <c r="B99" s="22" t="s">
        <v>145</v>
      </c>
      <c r="C99" s="22" t="s">
        <v>70</v>
      </c>
      <c r="D99" s="22" t="s">
        <v>67</v>
      </c>
      <c r="F99" s="23" t="s">
        <v>6877</v>
      </c>
      <c r="G99" s="23" t="str">
        <f>TVIIBE1M_CalPairs!$E96</f>
        <v>0x00</v>
      </c>
      <c r="H99" s="23" t="s">
        <v>72</v>
      </c>
      <c r="I99" s="23" t="str">
        <f>TVIIBE1M_CalPairs!$C96</f>
        <v>PWR_TRIM_HT_OVDVDDD_CTL_VAL0</v>
      </c>
      <c r="K99" s="22" t="s">
        <v>6878</v>
      </c>
      <c r="L99" s="22" t="s">
        <v>145</v>
      </c>
      <c r="M99" s="22" t="s">
        <v>70</v>
      </c>
      <c r="N99" s="22" t="s">
        <v>67</v>
      </c>
      <c r="P99" s="394" t="s">
        <v>6879</v>
      </c>
      <c r="Q99" s="394" t="s">
        <v>145</v>
      </c>
      <c r="R99" s="394" t="s">
        <v>72</v>
      </c>
      <c r="S99" s="394" t="s">
        <v>34201</v>
      </c>
      <c r="U99" s="293" t="s">
        <v>6880</v>
      </c>
      <c r="V99" s="293" t="s">
        <v>145</v>
      </c>
      <c r="W99" s="293" t="s">
        <v>74</v>
      </c>
      <c r="X99" s="293" t="s">
        <v>656</v>
      </c>
      <c r="Z99" s="293" t="s">
        <v>6881</v>
      </c>
      <c r="AA99" s="293" t="s">
        <v>145</v>
      </c>
      <c r="AB99" s="293" t="s">
        <v>74</v>
      </c>
      <c r="AC99" s="293" t="s">
        <v>656</v>
      </c>
      <c r="AE99" s="293" t="s">
        <v>6882</v>
      </c>
      <c r="AF99" s="293" t="s">
        <v>145</v>
      </c>
      <c r="AG99" s="293" t="s">
        <v>74</v>
      </c>
      <c r="AH99" s="293" t="s">
        <v>656</v>
      </c>
      <c r="AJ99" s="293" t="s">
        <v>6883</v>
      </c>
      <c r="AK99" s="293" t="s">
        <v>145</v>
      </c>
      <c r="AL99" s="293" t="s">
        <v>74</v>
      </c>
      <c r="AM99" s="293" t="s">
        <v>656</v>
      </c>
      <c r="AO99" s="22" t="s">
        <v>6884</v>
      </c>
      <c r="AP99" s="22" t="s">
        <v>145</v>
      </c>
      <c r="AQ99" s="22" t="s">
        <v>70</v>
      </c>
      <c r="AR99" s="22" t="s">
        <v>67</v>
      </c>
      <c r="AT99" s="22" t="s">
        <v>6885</v>
      </c>
      <c r="AU99" s="22" t="s">
        <v>145</v>
      </c>
      <c r="AV99" s="22" t="s">
        <v>70</v>
      </c>
      <c r="AW99" s="22" t="s">
        <v>67</v>
      </c>
      <c r="AY99" s="22" t="s">
        <v>6886</v>
      </c>
      <c r="AZ99" s="22" t="s">
        <v>145</v>
      </c>
      <c r="BA99" s="22" t="s">
        <v>70</v>
      </c>
      <c r="BB99" s="22" t="s">
        <v>67</v>
      </c>
      <c r="BD99" s="22" t="s">
        <v>6887</v>
      </c>
      <c r="BE99" s="22" t="s">
        <v>145</v>
      </c>
      <c r="BF99" s="22" t="s">
        <v>70</v>
      </c>
      <c r="BG99" s="22" t="s">
        <v>67</v>
      </c>
      <c r="BI99" s="22" t="s">
        <v>6888</v>
      </c>
      <c r="BJ99" s="22" t="s">
        <v>145</v>
      </c>
      <c r="BK99" s="22" t="s">
        <v>70</v>
      </c>
      <c r="BL99" s="22" t="s">
        <v>67</v>
      </c>
      <c r="BN99" s="22" t="s">
        <v>6889</v>
      </c>
      <c r="BO99" s="22" t="s">
        <v>145</v>
      </c>
      <c r="BP99" s="22" t="s">
        <v>70</v>
      </c>
      <c r="BQ99" s="22" t="s">
        <v>67</v>
      </c>
      <c r="BS99" s="22" t="s">
        <v>6890</v>
      </c>
      <c r="BT99" s="22" t="s">
        <v>145</v>
      </c>
      <c r="BU99" s="22" t="s">
        <v>70</v>
      </c>
      <c r="BV99" s="214" t="s">
        <v>530</v>
      </c>
      <c r="BX99" s="22" t="s">
        <v>6891</v>
      </c>
      <c r="BY99" s="22" t="s">
        <v>145</v>
      </c>
      <c r="BZ99" s="22" t="s">
        <v>70</v>
      </c>
      <c r="CA99" s="214" t="s">
        <v>530</v>
      </c>
      <c r="CC99" s="214" t="s">
        <v>6892</v>
      </c>
      <c r="CD99" s="218" t="s">
        <v>52</v>
      </c>
      <c r="CE99" s="214" t="s">
        <v>70</v>
      </c>
      <c r="CF99" s="214" t="s">
        <v>394</v>
      </c>
      <c r="CH99" s="214" t="s">
        <v>6893</v>
      </c>
      <c r="CI99" s="214" t="s">
        <v>950</v>
      </c>
      <c r="CJ99" s="214" t="s">
        <v>70</v>
      </c>
      <c r="CK99" s="214" t="s">
        <v>530</v>
      </c>
      <c r="CM99" s="214" t="s">
        <v>6894</v>
      </c>
      <c r="CN99" s="214" t="s">
        <v>921</v>
      </c>
      <c r="CO99" s="214" t="s">
        <v>70</v>
      </c>
      <c r="CP99" s="214" t="s">
        <v>530</v>
      </c>
      <c r="CR99" s="214" t="s">
        <v>6895</v>
      </c>
      <c r="CS99" s="214" t="s">
        <v>34551</v>
      </c>
      <c r="CT99" s="214" t="s">
        <v>70</v>
      </c>
      <c r="CU99" s="214" t="s">
        <v>530</v>
      </c>
      <c r="CW99" s="214" t="s">
        <v>6896</v>
      </c>
      <c r="CX99" s="214" t="s">
        <v>488</v>
      </c>
      <c r="CY99" s="214" t="s">
        <v>70</v>
      </c>
      <c r="CZ99" s="214" t="s">
        <v>530</v>
      </c>
      <c r="DB99" s="214" t="s">
        <v>6897</v>
      </c>
      <c r="DC99" s="214" t="s">
        <v>146</v>
      </c>
      <c r="DD99" s="214" t="s">
        <v>70</v>
      </c>
      <c r="DE99" s="214" t="s">
        <v>530</v>
      </c>
      <c r="DG99" s="214" t="s">
        <v>6898</v>
      </c>
      <c r="DH99" s="214" t="s">
        <v>951</v>
      </c>
      <c r="DI99" s="214" t="s">
        <v>70</v>
      </c>
      <c r="DJ99" s="214" t="s">
        <v>530</v>
      </c>
      <c r="DL99" s="214" t="s">
        <v>6899</v>
      </c>
      <c r="DM99" s="214" t="s">
        <v>502</v>
      </c>
      <c r="DN99" s="214" t="s">
        <v>70</v>
      </c>
      <c r="DO99" s="214" t="s">
        <v>530</v>
      </c>
      <c r="DQ99" s="214" t="s">
        <v>6900</v>
      </c>
      <c r="DR99" s="214" t="s">
        <v>910</v>
      </c>
      <c r="DS99" s="214" t="s">
        <v>70</v>
      </c>
      <c r="DT99" s="214" t="s">
        <v>530</v>
      </c>
      <c r="DV99" s="214" t="s">
        <v>6901</v>
      </c>
      <c r="DW99" s="214" t="s">
        <v>955</v>
      </c>
      <c r="DX99" s="214" t="s">
        <v>70</v>
      </c>
      <c r="DY99" s="214" t="s">
        <v>530</v>
      </c>
      <c r="EA99" s="214" t="s">
        <v>6902</v>
      </c>
      <c r="EB99" s="214" t="s">
        <v>52</v>
      </c>
      <c r="EC99" s="214" t="s">
        <v>70</v>
      </c>
      <c r="ED99" s="214" t="s">
        <v>530</v>
      </c>
      <c r="EF99" s="214" t="s">
        <v>6903</v>
      </c>
      <c r="EG99" s="214" t="s">
        <v>531</v>
      </c>
      <c r="EH99" s="214" t="s">
        <v>70</v>
      </c>
      <c r="EI99" s="214" t="s">
        <v>530</v>
      </c>
      <c r="EK99" s="214" t="s">
        <v>6904</v>
      </c>
      <c r="EL99" s="214" t="s">
        <v>502</v>
      </c>
      <c r="EM99" s="214" t="s">
        <v>70</v>
      </c>
      <c r="EN99" s="214" t="s">
        <v>530</v>
      </c>
      <c r="EP99" s="214" t="s">
        <v>6905</v>
      </c>
      <c r="EQ99" s="214" t="s">
        <v>502</v>
      </c>
      <c r="ER99" s="214" t="s">
        <v>70</v>
      </c>
      <c r="ES99" s="214" t="s">
        <v>530</v>
      </c>
      <c r="EU99" s="214" t="s">
        <v>6906</v>
      </c>
      <c r="EV99" s="214" t="s">
        <v>488</v>
      </c>
      <c r="EW99" s="214" t="s">
        <v>70</v>
      </c>
      <c r="EX99" s="214" t="s">
        <v>530</v>
      </c>
      <c r="EZ99" s="214" t="s">
        <v>6907</v>
      </c>
      <c r="FA99" s="214" t="s">
        <v>103</v>
      </c>
      <c r="FB99" s="214" t="s">
        <v>70</v>
      </c>
      <c r="FC99" s="214" t="s">
        <v>530</v>
      </c>
      <c r="FE99" s="214" t="s">
        <v>6908</v>
      </c>
      <c r="FF99" s="214" t="s">
        <v>52</v>
      </c>
      <c r="FG99" s="214" t="s">
        <v>70</v>
      </c>
      <c r="FH99" s="214" t="s">
        <v>530</v>
      </c>
      <c r="FJ99" s="321" t="s">
        <v>6909</v>
      </c>
      <c r="FK99" s="214" t="s">
        <v>52</v>
      </c>
      <c r="FL99" s="214" t="s">
        <v>70</v>
      </c>
      <c r="FM99" s="214" t="s">
        <v>530</v>
      </c>
      <c r="FO99" s="321" t="s">
        <v>6910</v>
      </c>
      <c r="FP99" s="214" t="s">
        <v>468</v>
      </c>
      <c r="FQ99" s="214" t="s">
        <v>70</v>
      </c>
      <c r="FR99" s="214" t="s">
        <v>530</v>
      </c>
      <c r="FT99" s="321" t="s">
        <v>6911</v>
      </c>
      <c r="FU99" s="214" t="s">
        <v>52</v>
      </c>
      <c r="FV99" s="214" t="s">
        <v>70</v>
      </c>
      <c r="FW99" s="214" t="s">
        <v>530</v>
      </c>
      <c r="FY99" s="321" t="s">
        <v>6912</v>
      </c>
      <c r="FZ99" s="214" t="s">
        <v>599</v>
      </c>
      <c r="GA99" s="214" t="s">
        <v>70</v>
      </c>
      <c r="GB99" s="214" t="s">
        <v>530</v>
      </c>
      <c r="GD99" s="321" t="s">
        <v>6913</v>
      </c>
      <c r="GE99" s="214" t="s">
        <v>34558</v>
      </c>
      <c r="GF99" s="214" t="s">
        <v>70</v>
      </c>
      <c r="GG99" s="214" t="s">
        <v>530</v>
      </c>
      <c r="GI99" s="321" t="s">
        <v>6914</v>
      </c>
      <c r="GJ99" s="214" t="s">
        <v>52</v>
      </c>
      <c r="GK99" s="214" t="s">
        <v>70</v>
      </c>
      <c r="GL99" s="214" t="s">
        <v>530</v>
      </c>
      <c r="GN99" s="321" t="s">
        <v>6915</v>
      </c>
      <c r="GO99" s="214" t="s">
        <v>482</v>
      </c>
      <c r="GP99" s="214" t="s">
        <v>70</v>
      </c>
      <c r="GQ99" s="214" t="s">
        <v>530</v>
      </c>
      <c r="GS99" s="321" t="s">
        <v>6916</v>
      </c>
      <c r="GT99" s="214" t="s">
        <v>919</v>
      </c>
      <c r="GU99" s="214" t="s">
        <v>70</v>
      </c>
      <c r="GV99" s="214" t="s">
        <v>530</v>
      </c>
      <c r="GX99" s="214" t="s">
        <v>6917</v>
      </c>
      <c r="GY99" s="214" t="s">
        <v>34583</v>
      </c>
      <c r="GZ99" s="214" t="s">
        <v>70</v>
      </c>
      <c r="HA99" s="214" t="s">
        <v>530</v>
      </c>
      <c r="HC99" s="214" t="s">
        <v>6918</v>
      </c>
      <c r="HD99" s="214" t="s">
        <v>34542</v>
      </c>
      <c r="HE99" s="214" t="s">
        <v>70</v>
      </c>
      <c r="HF99" s="214" t="s">
        <v>530</v>
      </c>
      <c r="HH99" s="214" t="s">
        <v>6919</v>
      </c>
      <c r="HI99" s="214" t="s">
        <v>921</v>
      </c>
      <c r="HJ99" s="214" t="s">
        <v>70</v>
      </c>
      <c r="HK99" s="214" t="s">
        <v>530</v>
      </c>
      <c r="HM99" s="214" t="s">
        <v>6920</v>
      </c>
      <c r="HN99" s="214" t="s">
        <v>34541</v>
      </c>
      <c r="HO99" s="214" t="s">
        <v>70</v>
      </c>
      <c r="HP99" s="214" t="s">
        <v>530</v>
      </c>
      <c r="HR99" s="22" t="s">
        <v>6921</v>
      </c>
      <c r="HS99" s="22" t="s">
        <v>148</v>
      </c>
      <c r="HT99" s="22" t="s">
        <v>70</v>
      </c>
      <c r="HU99" s="214" t="s">
        <v>530</v>
      </c>
      <c r="HW99" s="22" t="s">
        <v>6922</v>
      </c>
      <c r="HX99" s="22" t="s">
        <v>34542</v>
      </c>
      <c r="HY99" s="22" t="s">
        <v>70</v>
      </c>
      <c r="HZ99" s="214" t="s">
        <v>530</v>
      </c>
      <c r="IB99" s="22" t="s">
        <v>6923</v>
      </c>
      <c r="IC99" s="22" t="s">
        <v>468</v>
      </c>
      <c r="ID99" s="22" t="s">
        <v>70</v>
      </c>
      <c r="IE99" s="214" t="s">
        <v>530</v>
      </c>
      <c r="IG99" s="22" t="s">
        <v>6924</v>
      </c>
      <c r="IH99" s="22" t="s">
        <v>52</v>
      </c>
      <c r="II99" s="22" t="s">
        <v>70</v>
      </c>
      <c r="IJ99" s="214" t="s">
        <v>530</v>
      </c>
      <c r="IL99" s="22" t="s">
        <v>6925</v>
      </c>
      <c r="IM99" s="22" t="s">
        <v>145</v>
      </c>
      <c r="IN99" s="22" t="s">
        <v>70</v>
      </c>
      <c r="IO99" s="214" t="s">
        <v>530</v>
      </c>
      <c r="IQ99" s="236" t="s">
        <v>6926</v>
      </c>
      <c r="IR99" s="236" t="s">
        <v>145</v>
      </c>
      <c r="IS99" s="236" t="s">
        <v>74</v>
      </c>
      <c r="IT99" s="236" t="s">
        <v>841</v>
      </c>
      <c r="IV99" s="236" t="s">
        <v>6927</v>
      </c>
      <c r="IW99" s="236" t="s">
        <v>145</v>
      </c>
      <c r="IX99" s="236" t="s">
        <v>74</v>
      </c>
      <c r="IY99" s="236" t="s">
        <v>841</v>
      </c>
      <c r="JA99" s="236" t="s">
        <v>6928</v>
      </c>
      <c r="JB99" s="236" t="s">
        <v>145</v>
      </c>
      <c r="JC99" s="236" t="s">
        <v>74</v>
      </c>
      <c r="JD99" s="236" t="s">
        <v>841</v>
      </c>
      <c r="JF99" s="236" t="s">
        <v>6929</v>
      </c>
      <c r="JG99" s="236" t="s">
        <v>145</v>
      </c>
      <c r="JH99" s="236" t="s">
        <v>74</v>
      </c>
      <c r="JI99" s="236" t="s">
        <v>841</v>
      </c>
      <c r="JK99" s="236" t="s">
        <v>6930</v>
      </c>
      <c r="JL99" s="236" t="s">
        <v>145</v>
      </c>
      <c r="JM99" s="236" t="s">
        <v>74</v>
      </c>
      <c r="JN99" s="236" t="s">
        <v>841</v>
      </c>
      <c r="JP99" s="236" t="s">
        <v>6931</v>
      </c>
      <c r="JQ99" s="236" t="s">
        <v>145</v>
      </c>
      <c r="JR99" s="236" t="s">
        <v>74</v>
      </c>
      <c r="JS99" s="236" t="s">
        <v>841</v>
      </c>
      <c r="JU99" s="294" t="s">
        <v>6932</v>
      </c>
      <c r="JV99" s="294" t="str">
        <f>TVIIBE1M_CalPairs!$R108</f>
        <v>0x92</v>
      </c>
      <c r="JW99" s="263" t="s">
        <v>70</v>
      </c>
      <c r="JX99" s="294" t="str">
        <f>TVIIBE1M_CalPairs!$Q108</f>
        <v>PPU11_MS_CONFIG</v>
      </c>
      <c r="JZ99" s="263" t="s">
        <v>6933</v>
      </c>
      <c r="KA99" s="263" t="s">
        <v>145</v>
      </c>
      <c r="KB99" s="263" t="s">
        <v>70</v>
      </c>
      <c r="KC99" s="263" t="s">
        <v>1083</v>
      </c>
      <c r="KE99" s="263" t="s">
        <v>6934</v>
      </c>
      <c r="KF99" s="263" t="s">
        <v>52</v>
      </c>
      <c r="KG99" s="263" t="s">
        <v>70</v>
      </c>
      <c r="KH99" s="263" t="s">
        <v>1083</v>
      </c>
      <c r="KJ99" s="263" t="s">
        <v>6935</v>
      </c>
      <c r="KK99" s="263" t="s">
        <v>52</v>
      </c>
      <c r="KL99" s="263" t="s">
        <v>74</v>
      </c>
      <c r="KM99" s="263" t="s">
        <v>34074</v>
      </c>
      <c r="KO99" s="214" t="s">
        <v>6936</v>
      </c>
      <c r="KP99" s="214" t="s">
        <v>145</v>
      </c>
      <c r="KQ99" s="214" t="s">
        <v>70</v>
      </c>
      <c r="KR99" s="214" t="s">
        <v>67</v>
      </c>
      <c r="KT99" s="22" t="s">
        <v>6937</v>
      </c>
      <c r="KU99" s="22" t="s">
        <v>145</v>
      </c>
      <c r="KV99" s="22" t="s">
        <v>70</v>
      </c>
      <c r="KW99" s="22" t="s">
        <v>67</v>
      </c>
      <c r="KY99" s="214" t="s">
        <v>6938</v>
      </c>
      <c r="KZ99" s="214" t="s">
        <v>52</v>
      </c>
      <c r="LA99" s="214" t="s">
        <v>74</v>
      </c>
      <c r="LB99" s="214" t="s">
        <v>67</v>
      </c>
      <c r="LD99" s="22" t="s">
        <v>6939</v>
      </c>
      <c r="LE99" s="22" t="s">
        <v>145</v>
      </c>
      <c r="LF99" s="22" t="s">
        <v>70</v>
      </c>
      <c r="LG99" s="22" t="s">
        <v>67</v>
      </c>
    </row>
    <row r="100" spans="1:319">
      <c r="A100" s="22" t="s">
        <v>6940</v>
      </c>
      <c r="B100" s="22" t="s">
        <v>145</v>
      </c>
      <c r="C100" s="22" t="s">
        <v>70</v>
      </c>
      <c r="D100" s="22" t="s">
        <v>67</v>
      </c>
      <c r="F100" s="23" t="s">
        <v>6941</v>
      </c>
      <c r="G100" s="23" t="str">
        <f>TVIIBE1M_CalPairs!$E97</f>
        <v>0x04</v>
      </c>
      <c r="H100" s="23" t="s">
        <v>72</v>
      </c>
      <c r="I100" s="23" t="str">
        <f>TVIIBE1M_CalPairs!$C97</f>
        <v>PWR_TRIM_HT_OVDVDDD_CTL_VAL1</v>
      </c>
      <c r="K100" s="22" t="s">
        <v>6942</v>
      </c>
      <c r="L100" s="22" t="s">
        <v>145</v>
      </c>
      <c r="M100" s="22" t="s">
        <v>70</v>
      </c>
      <c r="N100" s="22" t="s">
        <v>67</v>
      </c>
      <c r="P100" s="394" t="s">
        <v>6943</v>
      </c>
      <c r="Q100" s="394" t="s">
        <v>145</v>
      </c>
      <c r="R100" s="394" t="s">
        <v>72</v>
      </c>
      <c r="S100" s="394" t="s">
        <v>34202</v>
      </c>
      <c r="U100" s="293" t="s">
        <v>6944</v>
      </c>
      <c r="V100" s="293" t="s">
        <v>145</v>
      </c>
      <c r="W100" s="293" t="s">
        <v>74</v>
      </c>
      <c r="X100" s="293" t="s">
        <v>656</v>
      </c>
      <c r="Z100" s="293" t="s">
        <v>6945</v>
      </c>
      <c r="AA100" s="293" t="s">
        <v>145</v>
      </c>
      <c r="AB100" s="293" t="s">
        <v>74</v>
      </c>
      <c r="AC100" s="293" t="s">
        <v>656</v>
      </c>
      <c r="AE100" s="293" t="s">
        <v>6946</v>
      </c>
      <c r="AF100" s="293" t="s">
        <v>145</v>
      </c>
      <c r="AG100" s="293" t="s">
        <v>74</v>
      </c>
      <c r="AH100" s="293" t="s">
        <v>656</v>
      </c>
      <c r="AJ100" s="293" t="s">
        <v>6947</v>
      </c>
      <c r="AK100" s="293" t="s">
        <v>145</v>
      </c>
      <c r="AL100" s="293" t="s">
        <v>74</v>
      </c>
      <c r="AM100" s="293" t="s">
        <v>656</v>
      </c>
      <c r="AO100" s="22" t="s">
        <v>6948</v>
      </c>
      <c r="AP100" s="22" t="s">
        <v>145</v>
      </c>
      <c r="AQ100" s="22" t="s">
        <v>70</v>
      </c>
      <c r="AR100" s="22" t="s">
        <v>67</v>
      </c>
      <c r="AT100" s="22" t="s">
        <v>6949</v>
      </c>
      <c r="AU100" s="22" t="s">
        <v>145</v>
      </c>
      <c r="AV100" s="22" t="s">
        <v>70</v>
      </c>
      <c r="AW100" s="22" t="s">
        <v>67</v>
      </c>
      <c r="AY100" s="22" t="s">
        <v>6950</v>
      </c>
      <c r="AZ100" s="22" t="s">
        <v>145</v>
      </c>
      <c r="BA100" s="22" t="s">
        <v>70</v>
      </c>
      <c r="BB100" s="22" t="s">
        <v>67</v>
      </c>
      <c r="BD100" s="22" t="s">
        <v>6951</v>
      </c>
      <c r="BE100" s="22" t="s">
        <v>145</v>
      </c>
      <c r="BF100" s="22" t="s">
        <v>70</v>
      </c>
      <c r="BG100" s="22" t="s">
        <v>67</v>
      </c>
      <c r="BI100" s="22" t="s">
        <v>6952</v>
      </c>
      <c r="BJ100" s="22" t="s">
        <v>145</v>
      </c>
      <c r="BK100" s="22" t="s">
        <v>70</v>
      </c>
      <c r="BL100" s="22" t="s">
        <v>67</v>
      </c>
      <c r="BN100" s="22" t="s">
        <v>6953</v>
      </c>
      <c r="BO100" s="22" t="s">
        <v>145</v>
      </c>
      <c r="BP100" s="22" t="s">
        <v>70</v>
      </c>
      <c r="BQ100" s="22" t="s">
        <v>67</v>
      </c>
      <c r="BS100" s="22" t="s">
        <v>6954</v>
      </c>
      <c r="BT100" s="22" t="s">
        <v>145</v>
      </c>
      <c r="BU100" s="22" t="s">
        <v>70</v>
      </c>
      <c r="BV100" s="214" t="s">
        <v>530</v>
      </c>
      <c r="BX100" s="22" t="s">
        <v>6955</v>
      </c>
      <c r="BY100" s="22" t="s">
        <v>145</v>
      </c>
      <c r="BZ100" s="22" t="s">
        <v>70</v>
      </c>
      <c r="CA100" s="214" t="s">
        <v>530</v>
      </c>
      <c r="CC100" s="214" t="s">
        <v>6956</v>
      </c>
      <c r="CD100" s="218" t="s">
        <v>145</v>
      </c>
      <c r="CE100" s="214" t="s">
        <v>70</v>
      </c>
      <c r="CF100" s="214" t="s">
        <v>395</v>
      </c>
      <c r="CH100" s="214" t="s">
        <v>6957</v>
      </c>
      <c r="CI100" s="214" t="s">
        <v>34547</v>
      </c>
      <c r="CJ100" s="214" t="s">
        <v>70</v>
      </c>
      <c r="CK100" s="214" t="s">
        <v>530</v>
      </c>
      <c r="CM100" s="214" t="s">
        <v>6958</v>
      </c>
      <c r="CN100" s="214" t="s">
        <v>468</v>
      </c>
      <c r="CO100" s="214" t="s">
        <v>70</v>
      </c>
      <c r="CP100" s="214" t="s">
        <v>530</v>
      </c>
      <c r="CR100" s="214" t="s">
        <v>6959</v>
      </c>
      <c r="CS100" s="214" t="s">
        <v>34544</v>
      </c>
      <c r="CT100" s="214" t="s">
        <v>70</v>
      </c>
      <c r="CU100" s="214" t="s">
        <v>530</v>
      </c>
      <c r="CW100" s="214" t="s">
        <v>6960</v>
      </c>
      <c r="CX100" s="214" t="s">
        <v>34553</v>
      </c>
      <c r="CY100" s="214" t="s">
        <v>70</v>
      </c>
      <c r="CZ100" s="214" t="s">
        <v>530</v>
      </c>
      <c r="DB100" s="214" t="s">
        <v>6961</v>
      </c>
      <c r="DC100" s="214" t="s">
        <v>103</v>
      </c>
      <c r="DD100" s="214" t="s">
        <v>70</v>
      </c>
      <c r="DE100" s="214" t="s">
        <v>530</v>
      </c>
      <c r="DG100" s="214" t="s">
        <v>6962</v>
      </c>
      <c r="DH100" s="214" t="s">
        <v>487</v>
      </c>
      <c r="DI100" s="214" t="s">
        <v>70</v>
      </c>
      <c r="DJ100" s="214" t="s">
        <v>530</v>
      </c>
      <c r="DL100" s="214" t="s">
        <v>6963</v>
      </c>
      <c r="DM100" s="214" t="s">
        <v>52</v>
      </c>
      <c r="DN100" s="214" t="s">
        <v>70</v>
      </c>
      <c r="DO100" s="214" t="s">
        <v>530</v>
      </c>
      <c r="DQ100" s="214" t="s">
        <v>6964</v>
      </c>
      <c r="DR100" s="214" t="s">
        <v>148</v>
      </c>
      <c r="DS100" s="214" t="s">
        <v>70</v>
      </c>
      <c r="DT100" s="214" t="s">
        <v>530</v>
      </c>
      <c r="DV100" s="214" t="s">
        <v>6965</v>
      </c>
      <c r="DW100" s="214" t="s">
        <v>34617</v>
      </c>
      <c r="DX100" s="214" t="s">
        <v>70</v>
      </c>
      <c r="DY100" s="214" t="s">
        <v>530</v>
      </c>
      <c r="EA100" s="214" t="s">
        <v>6966</v>
      </c>
      <c r="EB100" s="214" t="s">
        <v>918</v>
      </c>
      <c r="EC100" s="214" t="s">
        <v>70</v>
      </c>
      <c r="ED100" s="214" t="s">
        <v>530</v>
      </c>
      <c r="EF100" s="214" t="s">
        <v>6967</v>
      </c>
      <c r="EG100" s="214" t="s">
        <v>917</v>
      </c>
      <c r="EH100" s="214" t="s">
        <v>70</v>
      </c>
      <c r="EI100" s="214" t="s">
        <v>530</v>
      </c>
      <c r="EK100" s="214" t="s">
        <v>6968</v>
      </c>
      <c r="EL100" s="214" t="s">
        <v>492</v>
      </c>
      <c r="EM100" s="214" t="s">
        <v>70</v>
      </c>
      <c r="EN100" s="214" t="s">
        <v>530</v>
      </c>
      <c r="EP100" s="214" t="s">
        <v>6969</v>
      </c>
      <c r="EQ100" s="214" t="s">
        <v>52</v>
      </c>
      <c r="ER100" s="214" t="s">
        <v>70</v>
      </c>
      <c r="ES100" s="214" t="s">
        <v>530</v>
      </c>
      <c r="EU100" s="214" t="s">
        <v>6970</v>
      </c>
      <c r="EV100" s="214" t="s">
        <v>305</v>
      </c>
      <c r="EW100" s="214" t="s">
        <v>70</v>
      </c>
      <c r="EX100" s="214" t="s">
        <v>530</v>
      </c>
      <c r="EZ100" s="214" t="s">
        <v>6971</v>
      </c>
      <c r="FA100" s="214" t="s">
        <v>286</v>
      </c>
      <c r="FB100" s="214" t="s">
        <v>70</v>
      </c>
      <c r="FC100" s="214" t="s">
        <v>530</v>
      </c>
      <c r="FE100" s="214" t="s">
        <v>6972</v>
      </c>
      <c r="FF100" s="214" t="s">
        <v>924</v>
      </c>
      <c r="FG100" s="214" t="s">
        <v>70</v>
      </c>
      <c r="FH100" s="214" t="s">
        <v>530</v>
      </c>
      <c r="FJ100" s="321" t="s">
        <v>6973</v>
      </c>
      <c r="FK100" s="214" t="s">
        <v>598</v>
      </c>
      <c r="FL100" s="214" t="s">
        <v>70</v>
      </c>
      <c r="FM100" s="214" t="s">
        <v>530</v>
      </c>
      <c r="FO100" s="321" t="s">
        <v>6974</v>
      </c>
      <c r="FP100" s="214" t="s">
        <v>145</v>
      </c>
      <c r="FQ100" s="214" t="s">
        <v>70</v>
      </c>
      <c r="FR100" s="214" t="s">
        <v>530</v>
      </c>
      <c r="FT100" s="321" t="s">
        <v>6975</v>
      </c>
      <c r="FU100" s="214" t="s">
        <v>203</v>
      </c>
      <c r="FV100" s="214" t="s">
        <v>70</v>
      </c>
      <c r="FW100" s="214" t="s">
        <v>530</v>
      </c>
      <c r="FY100" s="321" t="s">
        <v>6976</v>
      </c>
      <c r="FZ100" s="214" t="s">
        <v>484</v>
      </c>
      <c r="GA100" s="214" t="s">
        <v>70</v>
      </c>
      <c r="GB100" s="214" t="s">
        <v>530</v>
      </c>
      <c r="GD100" s="321" t="s">
        <v>6977</v>
      </c>
      <c r="GE100" s="214" t="s">
        <v>87</v>
      </c>
      <c r="GF100" s="214" t="s">
        <v>70</v>
      </c>
      <c r="GG100" s="214" t="s">
        <v>530</v>
      </c>
      <c r="GI100" s="321" t="s">
        <v>6978</v>
      </c>
      <c r="GJ100" s="214" t="s">
        <v>88</v>
      </c>
      <c r="GK100" s="214" t="s">
        <v>70</v>
      </c>
      <c r="GL100" s="214" t="s">
        <v>530</v>
      </c>
      <c r="GN100" s="321" t="s">
        <v>6979</v>
      </c>
      <c r="GO100" s="214" t="s">
        <v>954</v>
      </c>
      <c r="GP100" s="214" t="s">
        <v>70</v>
      </c>
      <c r="GQ100" s="214" t="s">
        <v>530</v>
      </c>
      <c r="GS100" s="321" t="s">
        <v>6980</v>
      </c>
      <c r="GT100" s="214" t="s">
        <v>34619</v>
      </c>
      <c r="GU100" s="214" t="s">
        <v>70</v>
      </c>
      <c r="GV100" s="214" t="s">
        <v>530</v>
      </c>
      <c r="GX100" s="214" t="s">
        <v>6981</v>
      </c>
      <c r="GY100" s="214" t="s">
        <v>34575</v>
      </c>
      <c r="GZ100" s="214" t="s">
        <v>70</v>
      </c>
      <c r="HA100" s="214" t="s">
        <v>530</v>
      </c>
      <c r="HC100" s="214" t="s">
        <v>6982</v>
      </c>
      <c r="HD100" s="214" t="s">
        <v>34540</v>
      </c>
      <c r="HE100" s="214" t="s">
        <v>70</v>
      </c>
      <c r="HF100" s="214" t="s">
        <v>530</v>
      </c>
      <c r="HH100" s="214" t="s">
        <v>6983</v>
      </c>
      <c r="HI100" s="214" t="s">
        <v>34590</v>
      </c>
      <c r="HJ100" s="214" t="s">
        <v>70</v>
      </c>
      <c r="HK100" s="214" t="s">
        <v>530</v>
      </c>
      <c r="HM100" s="214" t="s">
        <v>6984</v>
      </c>
      <c r="HN100" s="214" t="s">
        <v>34656</v>
      </c>
      <c r="HO100" s="214" t="s">
        <v>70</v>
      </c>
      <c r="HP100" s="214" t="s">
        <v>530</v>
      </c>
      <c r="HR100" s="22" t="s">
        <v>6985</v>
      </c>
      <c r="HS100" s="22" t="s">
        <v>204</v>
      </c>
      <c r="HT100" s="22" t="s">
        <v>70</v>
      </c>
      <c r="HU100" s="214" t="s">
        <v>530</v>
      </c>
      <c r="HW100" s="22" t="s">
        <v>6986</v>
      </c>
      <c r="HX100" s="22" t="s">
        <v>642</v>
      </c>
      <c r="HY100" s="22" t="s">
        <v>70</v>
      </c>
      <c r="HZ100" s="214" t="s">
        <v>530</v>
      </c>
      <c r="IB100" s="22" t="s">
        <v>6987</v>
      </c>
      <c r="IC100" s="22" t="s">
        <v>34556</v>
      </c>
      <c r="ID100" s="22" t="s">
        <v>70</v>
      </c>
      <c r="IE100" s="214" t="s">
        <v>530</v>
      </c>
      <c r="IG100" s="22" t="s">
        <v>6988</v>
      </c>
      <c r="IH100" s="22" t="s">
        <v>52</v>
      </c>
      <c r="II100" s="22" t="s">
        <v>70</v>
      </c>
      <c r="IJ100" s="214" t="s">
        <v>530</v>
      </c>
      <c r="IL100" s="22" t="s">
        <v>6989</v>
      </c>
      <c r="IM100" s="22" t="s">
        <v>145</v>
      </c>
      <c r="IN100" s="22" t="s">
        <v>70</v>
      </c>
      <c r="IO100" s="214" t="s">
        <v>530</v>
      </c>
      <c r="IQ100" s="236" t="s">
        <v>6990</v>
      </c>
      <c r="IR100" s="236" t="s">
        <v>145</v>
      </c>
      <c r="IS100" s="236" t="s">
        <v>74</v>
      </c>
      <c r="IT100" s="236" t="s">
        <v>841</v>
      </c>
      <c r="IV100" s="236" t="s">
        <v>6991</v>
      </c>
      <c r="IW100" s="236" t="s">
        <v>145</v>
      </c>
      <c r="IX100" s="236" t="s">
        <v>74</v>
      </c>
      <c r="IY100" s="236" t="s">
        <v>841</v>
      </c>
      <c r="JA100" s="236" t="s">
        <v>6992</v>
      </c>
      <c r="JB100" s="236" t="s">
        <v>145</v>
      </c>
      <c r="JC100" s="236" t="s">
        <v>74</v>
      </c>
      <c r="JD100" s="236" t="s">
        <v>841</v>
      </c>
      <c r="JF100" s="236" t="s">
        <v>6993</v>
      </c>
      <c r="JG100" s="236" t="s">
        <v>145</v>
      </c>
      <c r="JH100" s="236" t="s">
        <v>74</v>
      </c>
      <c r="JI100" s="236" t="s">
        <v>841</v>
      </c>
      <c r="JK100" s="236" t="s">
        <v>6994</v>
      </c>
      <c r="JL100" s="236" t="s">
        <v>145</v>
      </c>
      <c r="JM100" s="236" t="s">
        <v>74</v>
      </c>
      <c r="JN100" s="236" t="s">
        <v>841</v>
      </c>
      <c r="JP100" s="236" t="s">
        <v>6995</v>
      </c>
      <c r="JQ100" s="236" t="s">
        <v>145</v>
      </c>
      <c r="JR100" s="236" t="s">
        <v>74</v>
      </c>
      <c r="JS100" s="236" t="s">
        <v>841</v>
      </c>
      <c r="JU100" s="294" t="s">
        <v>6996</v>
      </c>
      <c r="JV100" s="337" t="str">
        <f>TVIIBE1M_CalPairs!$R109</f>
        <v>0xC8</v>
      </c>
      <c r="JW100" s="218" t="s">
        <v>72</v>
      </c>
      <c r="JX100" s="294" t="str">
        <f>TVIIBE1M_CalPairs!$S109</f>
        <v>BIST</v>
      </c>
      <c r="JZ100" s="263" t="s">
        <v>6997</v>
      </c>
      <c r="KA100" s="263" t="s">
        <v>145</v>
      </c>
      <c r="KB100" s="263" t="s">
        <v>70</v>
      </c>
      <c r="KC100" s="263" t="s">
        <v>1083</v>
      </c>
      <c r="KE100" s="263" t="s">
        <v>6998</v>
      </c>
      <c r="KF100" s="263" t="s">
        <v>52</v>
      </c>
      <c r="KG100" s="263" t="s">
        <v>70</v>
      </c>
      <c r="KH100" s="263" t="s">
        <v>1083</v>
      </c>
      <c r="KJ100" s="263" t="s">
        <v>6999</v>
      </c>
      <c r="KK100" s="263" t="s">
        <v>52</v>
      </c>
      <c r="KL100" s="263" t="s">
        <v>74</v>
      </c>
      <c r="KM100" s="263" t="s">
        <v>34074</v>
      </c>
      <c r="KO100" s="214" t="s">
        <v>7000</v>
      </c>
      <c r="KP100" s="214" t="s">
        <v>145</v>
      </c>
      <c r="KQ100" s="214" t="s">
        <v>70</v>
      </c>
      <c r="KR100" s="214" t="s">
        <v>67</v>
      </c>
      <c r="KT100" s="22" t="s">
        <v>7001</v>
      </c>
      <c r="KU100" s="22" t="s">
        <v>145</v>
      </c>
      <c r="KV100" s="22" t="s">
        <v>70</v>
      </c>
      <c r="KW100" s="22" t="s">
        <v>67</v>
      </c>
      <c r="KY100" s="214" t="s">
        <v>7002</v>
      </c>
      <c r="KZ100" s="214" t="s">
        <v>52</v>
      </c>
      <c r="LA100" s="214" t="s">
        <v>74</v>
      </c>
      <c r="LB100" s="214" t="s">
        <v>67</v>
      </c>
      <c r="LD100" s="22" t="s">
        <v>7003</v>
      </c>
      <c r="LE100" s="22" t="s">
        <v>145</v>
      </c>
      <c r="LF100" s="22" t="s">
        <v>70</v>
      </c>
      <c r="LG100" s="22" t="s">
        <v>67</v>
      </c>
    </row>
    <row r="101" spans="1:319">
      <c r="A101" s="22" t="s">
        <v>7004</v>
      </c>
      <c r="B101" s="22" t="s">
        <v>145</v>
      </c>
      <c r="C101" s="22" t="s">
        <v>70</v>
      </c>
      <c r="D101" s="22" t="s">
        <v>67</v>
      </c>
      <c r="F101" s="23" t="s">
        <v>7005</v>
      </c>
      <c r="G101" s="23" t="str">
        <f>TVIIBE1M_CalPairs!$E98</f>
        <v>0x00</v>
      </c>
      <c r="H101" s="23" t="s">
        <v>72</v>
      </c>
      <c r="I101" s="23" t="str">
        <f>TVIIBE1M_CalPairs!$C98</f>
        <v>PWR_TRIM_HT_OVDVDDD_CTL_VAL2</v>
      </c>
      <c r="K101" s="22" t="s">
        <v>7006</v>
      </c>
      <c r="L101" s="22" t="s">
        <v>145</v>
      </c>
      <c r="M101" s="22" t="s">
        <v>70</v>
      </c>
      <c r="N101" s="22" t="s">
        <v>67</v>
      </c>
      <c r="P101" s="394" t="s">
        <v>7007</v>
      </c>
      <c r="Q101" s="394" t="s">
        <v>145</v>
      </c>
      <c r="R101" s="394" t="s">
        <v>72</v>
      </c>
      <c r="S101" s="394" t="s">
        <v>34202</v>
      </c>
      <c r="U101" s="293" t="s">
        <v>7008</v>
      </c>
      <c r="V101" s="293" t="s">
        <v>145</v>
      </c>
      <c r="W101" s="293" t="s">
        <v>74</v>
      </c>
      <c r="X101" s="293" t="s">
        <v>656</v>
      </c>
      <c r="Z101" s="293" t="s">
        <v>7009</v>
      </c>
      <c r="AA101" s="293" t="s">
        <v>145</v>
      </c>
      <c r="AB101" s="293" t="s">
        <v>74</v>
      </c>
      <c r="AC101" s="293" t="s">
        <v>656</v>
      </c>
      <c r="AE101" s="293" t="s">
        <v>7010</v>
      </c>
      <c r="AF101" s="293" t="s">
        <v>145</v>
      </c>
      <c r="AG101" s="293" t="s">
        <v>74</v>
      </c>
      <c r="AH101" s="293" t="s">
        <v>656</v>
      </c>
      <c r="AJ101" s="293" t="s">
        <v>7011</v>
      </c>
      <c r="AK101" s="293" t="s">
        <v>145</v>
      </c>
      <c r="AL101" s="293" t="s">
        <v>74</v>
      </c>
      <c r="AM101" s="293" t="s">
        <v>656</v>
      </c>
      <c r="AO101" s="22" t="s">
        <v>7012</v>
      </c>
      <c r="AP101" s="22" t="s">
        <v>145</v>
      </c>
      <c r="AQ101" s="22" t="s">
        <v>70</v>
      </c>
      <c r="AR101" s="22" t="s">
        <v>67</v>
      </c>
      <c r="AT101" s="22" t="s">
        <v>7013</v>
      </c>
      <c r="AU101" s="22" t="s">
        <v>145</v>
      </c>
      <c r="AV101" s="22" t="s">
        <v>70</v>
      </c>
      <c r="AW101" s="22" t="s">
        <v>67</v>
      </c>
      <c r="AY101" s="22" t="s">
        <v>7014</v>
      </c>
      <c r="AZ101" s="22" t="s">
        <v>145</v>
      </c>
      <c r="BA101" s="22" t="s">
        <v>70</v>
      </c>
      <c r="BB101" s="22" t="s">
        <v>67</v>
      </c>
      <c r="BD101" s="22" t="s">
        <v>7015</v>
      </c>
      <c r="BE101" s="22" t="s">
        <v>145</v>
      </c>
      <c r="BF101" s="22" t="s">
        <v>70</v>
      </c>
      <c r="BG101" s="22" t="s">
        <v>67</v>
      </c>
      <c r="BI101" s="22" t="s">
        <v>7016</v>
      </c>
      <c r="BJ101" s="22" t="s">
        <v>145</v>
      </c>
      <c r="BK101" s="22" t="s">
        <v>70</v>
      </c>
      <c r="BL101" s="22" t="s">
        <v>67</v>
      </c>
      <c r="BN101" s="22" t="s">
        <v>7017</v>
      </c>
      <c r="BO101" s="22" t="s">
        <v>145</v>
      </c>
      <c r="BP101" s="22" t="s">
        <v>70</v>
      </c>
      <c r="BQ101" s="22" t="s">
        <v>67</v>
      </c>
      <c r="BS101" s="22" t="s">
        <v>7018</v>
      </c>
      <c r="BT101" s="22" t="s">
        <v>145</v>
      </c>
      <c r="BU101" s="22" t="s">
        <v>70</v>
      </c>
      <c r="BV101" s="214" t="s">
        <v>530</v>
      </c>
      <c r="BX101" s="22" t="s">
        <v>7019</v>
      </c>
      <c r="BY101" s="22" t="s">
        <v>145</v>
      </c>
      <c r="BZ101" s="22" t="s">
        <v>70</v>
      </c>
      <c r="CA101" s="214" t="s">
        <v>530</v>
      </c>
      <c r="CC101" s="214" t="s">
        <v>7020</v>
      </c>
      <c r="CD101" s="218" t="s">
        <v>145</v>
      </c>
      <c r="CE101" s="214" t="s">
        <v>70</v>
      </c>
      <c r="CF101" s="214" t="s">
        <v>396</v>
      </c>
      <c r="CH101" s="214" t="s">
        <v>7021</v>
      </c>
      <c r="CI101" s="214" t="s">
        <v>34558</v>
      </c>
      <c r="CJ101" s="214" t="s">
        <v>70</v>
      </c>
      <c r="CK101" s="214" t="s">
        <v>530</v>
      </c>
      <c r="CM101" s="214" t="s">
        <v>7022</v>
      </c>
      <c r="CN101" s="214" t="s">
        <v>34542</v>
      </c>
      <c r="CO101" s="214" t="s">
        <v>70</v>
      </c>
      <c r="CP101" s="214" t="s">
        <v>530</v>
      </c>
      <c r="CR101" s="214" t="s">
        <v>7023</v>
      </c>
      <c r="CS101" s="214" t="s">
        <v>497</v>
      </c>
      <c r="CT101" s="214" t="s">
        <v>70</v>
      </c>
      <c r="CU101" s="214" t="s">
        <v>530</v>
      </c>
      <c r="CW101" s="214" t="s">
        <v>7024</v>
      </c>
      <c r="CX101" s="214" t="s">
        <v>496</v>
      </c>
      <c r="CY101" s="214" t="s">
        <v>70</v>
      </c>
      <c r="CZ101" s="214" t="s">
        <v>530</v>
      </c>
      <c r="DB101" s="214" t="s">
        <v>7025</v>
      </c>
      <c r="DC101" s="214" t="s">
        <v>485</v>
      </c>
      <c r="DD101" s="214" t="s">
        <v>70</v>
      </c>
      <c r="DE101" s="214" t="s">
        <v>530</v>
      </c>
      <c r="DG101" s="214" t="s">
        <v>7026</v>
      </c>
      <c r="DH101" s="214" t="s">
        <v>484</v>
      </c>
      <c r="DI101" s="214" t="s">
        <v>70</v>
      </c>
      <c r="DJ101" s="214" t="s">
        <v>530</v>
      </c>
      <c r="DL101" s="214" t="s">
        <v>7027</v>
      </c>
      <c r="DM101" s="214" t="s">
        <v>950</v>
      </c>
      <c r="DN101" s="214" t="s">
        <v>70</v>
      </c>
      <c r="DO101" s="214" t="s">
        <v>530</v>
      </c>
      <c r="DQ101" s="214" t="s">
        <v>7028</v>
      </c>
      <c r="DR101" s="214" t="s">
        <v>912</v>
      </c>
      <c r="DS101" s="214" t="s">
        <v>70</v>
      </c>
      <c r="DT101" s="214" t="s">
        <v>530</v>
      </c>
      <c r="DV101" s="214" t="s">
        <v>7029</v>
      </c>
      <c r="DW101" s="214" t="s">
        <v>492</v>
      </c>
      <c r="DX101" s="214" t="s">
        <v>70</v>
      </c>
      <c r="DY101" s="214" t="s">
        <v>530</v>
      </c>
      <c r="EA101" s="214" t="s">
        <v>7030</v>
      </c>
      <c r="EB101" s="214" t="s">
        <v>34544</v>
      </c>
      <c r="EC101" s="214" t="s">
        <v>70</v>
      </c>
      <c r="ED101" s="214" t="s">
        <v>530</v>
      </c>
      <c r="EF101" s="214" t="s">
        <v>7031</v>
      </c>
      <c r="EG101" s="214" t="s">
        <v>484</v>
      </c>
      <c r="EH101" s="214" t="s">
        <v>70</v>
      </c>
      <c r="EI101" s="214" t="s">
        <v>530</v>
      </c>
      <c r="EK101" s="214" t="s">
        <v>7032</v>
      </c>
      <c r="EL101" s="214" t="s">
        <v>52</v>
      </c>
      <c r="EM101" s="214" t="s">
        <v>70</v>
      </c>
      <c r="EN101" s="214" t="s">
        <v>530</v>
      </c>
      <c r="EP101" s="214" t="s">
        <v>7033</v>
      </c>
      <c r="EQ101" s="214" t="s">
        <v>34570</v>
      </c>
      <c r="ER101" s="214" t="s">
        <v>70</v>
      </c>
      <c r="ES101" s="214" t="s">
        <v>530</v>
      </c>
      <c r="EU101" s="214" t="s">
        <v>7034</v>
      </c>
      <c r="EV101" s="214" t="s">
        <v>488</v>
      </c>
      <c r="EW101" s="214" t="s">
        <v>70</v>
      </c>
      <c r="EX101" s="214" t="s">
        <v>530</v>
      </c>
      <c r="EZ101" s="214" t="s">
        <v>7035</v>
      </c>
      <c r="FA101" s="214" t="s">
        <v>486</v>
      </c>
      <c r="FB101" s="214" t="s">
        <v>70</v>
      </c>
      <c r="FC101" s="214" t="s">
        <v>530</v>
      </c>
      <c r="FE101" s="214" t="s">
        <v>7036</v>
      </c>
      <c r="FF101" s="214" t="s">
        <v>34558</v>
      </c>
      <c r="FG101" s="214" t="s">
        <v>70</v>
      </c>
      <c r="FH101" s="214" t="s">
        <v>530</v>
      </c>
      <c r="FJ101" s="321" t="s">
        <v>7037</v>
      </c>
      <c r="FK101" s="214" t="s">
        <v>484</v>
      </c>
      <c r="FL101" s="214" t="s">
        <v>70</v>
      </c>
      <c r="FM101" s="214" t="s">
        <v>530</v>
      </c>
      <c r="FO101" s="321" t="s">
        <v>7038</v>
      </c>
      <c r="FP101" s="214" t="s">
        <v>34541</v>
      </c>
      <c r="FQ101" s="214" t="s">
        <v>70</v>
      </c>
      <c r="FR101" s="214" t="s">
        <v>530</v>
      </c>
      <c r="FT101" s="321" t="s">
        <v>7039</v>
      </c>
      <c r="FU101" s="214" t="s">
        <v>492</v>
      </c>
      <c r="FV101" s="214" t="s">
        <v>70</v>
      </c>
      <c r="FW101" s="214" t="s">
        <v>530</v>
      </c>
      <c r="FY101" s="321" t="s">
        <v>7040</v>
      </c>
      <c r="FZ101" s="214" t="s">
        <v>926</v>
      </c>
      <c r="GA101" s="214" t="s">
        <v>70</v>
      </c>
      <c r="GB101" s="214" t="s">
        <v>530</v>
      </c>
      <c r="GD101" s="321" t="s">
        <v>7041</v>
      </c>
      <c r="GE101" s="214" t="s">
        <v>653</v>
      </c>
      <c r="GF101" s="214" t="s">
        <v>70</v>
      </c>
      <c r="GG101" s="214" t="s">
        <v>530</v>
      </c>
      <c r="GI101" s="321" t="s">
        <v>7042</v>
      </c>
      <c r="GJ101" s="214" t="s">
        <v>52</v>
      </c>
      <c r="GK101" s="214" t="s">
        <v>70</v>
      </c>
      <c r="GL101" s="214" t="s">
        <v>530</v>
      </c>
      <c r="GN101" s="321" t="s">
        <v>7043</v>
      </c>
      <c r="GO101" s="214" t="s">
        <v>518</v>
      </c>
      <c r="GP101" s="214" t="s">
        <v>70</v>
      </c>
      <c r="GQ101" s="214" t="s">
        <v>530</v>
      </c>
      <c r="GS101" s="321" t="s">
        <v>7044</v>
      </c>
      <c r="GT101" s="214" t="s">
        <v>34615</v>
      </c>
      <c r="GU101" s="214" t="s">
        <v>70</v>
      </c>
      <c r="GV101" s="214" t="s">
        <v>530</v>
      </c>
      <c r="GX101" s="214" t="s">
        <v>7045</v>
      </c>
      <c r="GY101" s="214" t="s">
        <v>88</v>
      </c>
      <c r="GZ101" s="214" t="s">
        <v>70</v>
      </c>
      <c r="HA101" s="214" t="s">
        <v>530</v>
      </c>
      <c r="HC101" s="214" t="s">
        <v>7046</v>
      </c>
      <c r="HD101" s="214" t="s">
        <v>52</v>
      </c>
      <c r="HE101" s="214" t="s">
        <v>70</v>
      </c>
      <c r="HF101" s="214" t="s">
        <v>530</v>
      </c>
      <c r="HH101" s="214" t="s">
        <v>7047</v>
      </c>
      <c r="HI101" s="214" t="s">
        <v>34551</v>
      </c>
      <c r="HJ101" s="214" t="s">
        <v>70</v>
      </c>
      <c r="HK101" s="214" t="s">
        <v>530</v>
      </c>
      <c r="HM101" s="214" t="s">
        <v>7048</v>
      </c>
      <c r="HN101" s="214" t="s">
        <v>34556</v>
      </c>
      <c r="HO101" s="214" t="s">
        <v>70</v>
      </c>
      <c r="HP101" s="214" t="s">
        <v>530</v>
      </c>
      <c r="HR101" s="22" t="s">
        <v>7049</v>
      </c>
      <c r="HS101" s="22" t="s">
        <v>486</v>
      </c>
      <c r="HT101" s="22" t="s">
        <v>70</v>
      </c>
      <c r="HU101" s="214" t="s">
        <v>530</v>
      </c>
      <c r="HW101" s="22" t="s">
        <v>7050</v>
      </c>
      <c r="HX101" s="22" t="s">
        <v>34539</v>
      </c>
      <c r="HY101" s="22" t="s">
        <v>70</v>
      </c>
      <c r="HZ101" s="214" t="s">
        <v>530</v>
      </c>
      <c r="IB101" s="22" t="s">
        <v>7051</v>
      </c>
      <c r="IC101" s="22" t="s">
        <v>34541</v>
      </c>
      <c r="ID101" s="22" t="s">
        <v>70</v>
      </c>
      <c r="IE101" s="214" t="s">
        <v>530</v>
      </c>
      <c r="IG101" s="22" t="s">
        <v>7052</v>
      </c>
      <c r="IH101" s="22" t="s">
        <v>163</v>
      </c>
      <c r="II101" s="22" t="s">
        <v>70</v>
      </c>
      <c r="IJ101" s="214" t="s">
        <v>530</v>
      </c>
      <c r="IL101" s="22" t="s">
        <v>7053</v>
      </c>
      <c r="IM101" s="22" t="s">
        <v>145</v>
      </c>
      <c r="IN101" s="22" t="s">
        <v>70</v>
      </c>
      <c r="IO101" s="214" t="s">
        <v>530</v>
      </c>
      <c r="IQ101" s="236" t="s">
        <v>7054</v>
      </c>
      <c r="IR101" s="236" t="s">
        <v>145</v>
      </c>
      <c r="IS101" s="236" t="s">
        <v>74</v>
      </c>
      <c r="IT101" s="236" t="s">
        <v>841</v>
      </c>
      <c r="IV101" s="236" t="s">
        <v>7055</v>
      </c>
      <c r="IW101" s="236" t="s">
        <v>145</v>
      </c>
      <c r="IX101" s="236" t="s">
        <v>74</v>
      </c>
      <c r="IY101" s="236" t="s">
        <v>841</v>
      </c>
      <c r="JA101" s="236" t="s">
        <v>7056</v>
      </c>
      <c r="JB101" s="236" t="s">
        <v>145</v>
      </c>
      <c r="JC101" s="236" t="s">
        <v>74</v>
      </c>
      <c r="JD101" s="236" t="s">
        <v>841</v>
      </c>
      <c r="JF101" s="236" t="s">
        <v>7057</v>
      </c>
      <c r="JG101" s="236" t="s">
        <v>145</v>
      </c>
      <c r="JH101" s="236" t="s">
        <v>74</v>
      </c>
      <c r="JI101" s="236" t="s">
        <v>841</v>
      </c>
      <c r="JK101" s="236" t="s">
        <v>7058</v>
      </c>
      <c r="JL101" s="236" t="s">
        <v>145</v>
      </c>
      <c r="JM101" s="236" t="s">
        <v>74</v>
      </c>
      <c r="JN101" s="236" t="s">
        <v>841</v>
      </c>
      <c r="JP101" s="236" t="s">
        <v>7059</v>
      </c>
      <c r="JQ101" s="236" t="s">
        <v>145</v>
      </c>
      <c r="JR101" s="236" t="s">
        <v>74</v>
      </c>
      <c r="JS101" s="236" t="s">
        <v>841</v>
      </c>
      <c r="JU101" s="294" t="s">
        <v>7060</v>
      </c>
      <c r="JV101" s="294" t="str">
        <f>TVIIBE1M_CalPairs!$R110</f>
        <v>0x00</v>
      </c>
      <c r="JW101" s="218" t="s">
        <v>72</v>
      </c>
      <c r="JX101" s="294" t="str">
        <f>TVIIBE1M_CalPairs!$S110</f>
        <v>BIST</v>
      </c>
      <c r="JZ101" s="263" t="s">
        <v>7061</v>
      </c>
      <c r="KA101" s="263" t="s">
        <v>145</v>
      </c>
      <c r="KB101" s="263" t="s">
        <v>70</v>
      </c>
      <c r="KC101" s="263" t="s">
        <v>1083</v>
      </c>
      <c r="KE101" s="263" t="s">
        <v>7062</v>
      </c>
      <c r="KF101" s="263" t="s">
        <v>52</v>
      </c>
      <c r="KG101" s="263" t="s">
        <v>70</v>
      </c>
      <c r="KH101" s="263" t="s">
        <v>1083</v>
      </c>
      <c r="KJ101" s="263" t="s">
        <v>7063</v>
      </c>
      <c r="KK101" s="263" t="s">
        <v>52</v>
      </c>
      <c r="KL101" s="263" t="s">
        <v>74</v>
      </c>
      <c r="KM101" s="263" t="s">
        <v>34074</v>
      </c>
      <c r="KO101" s="214" t="s">
        <v>7064</v>
      </c>
      <c r="KP101" s="214" t="s">
        <v>145</v>
      </c>
      <c r="KQ101" s="214" t="s">
        <v>70</v>
      </c>
      <c r="KR101" s="214" t="s">
        <v>67</v>
      </c>
      <c r="KT101" s="22" t="s">
        <v>7065</v>
      </c>
      <c r="KU101" s="22" t="s">
        <v>145</v>
      </c>
      <c r="KV101" s="22" t="s">
        <v>70</v>
      </c>
      <c r="KW101" s="22" t="s">
        <v>67</v>
      </c>
      <c r="KY101" s="214" t="s">
        <v>7066</v>
      </c>
      <c r="KZ101" s="214" t="s">
        <v>52</v>
      </c>
      <c r="LA101" s="214" t="s">
        <v>74</v>
      </c>
      <c r="LB101" s="214" t="s">
        <v>67</v>
      </c>
      <c r="LD101" s="22" t="s">
        <v>7067</v>
      </c>
      <c r="LE101" s="22" t="s">
        <v>145</v>
      </c>
      <c r="LF101" s="22" t="s">
        <v>70</v>
      </c>
      <c r="LG101" s="22" t="s">
        <v>67</v>
      </c>
    </row>
    <row r="102" spans="1:319">
      <c r="A102" s="22" t="s">
        <v>7068</v>
      </c>
      <c r="B102" s="22" t="s">
        <v>145</v>
      </c>
      <c r="C102" s="22" t="s">
        <v>70</v>
      </c>
      <c r="D102" s="22" t="s">
        <v>67</v>
      </c>
      <c r="F102" s="23" t="s">
        <v>7069</v>
      </c>
      <c r="G102" s="23" t="str">
        <f>TVIIBE1M_CalPairs!$E99</f>
        <v>0x00</v>
      </c>
      <c r="H102" s="23" t="s">
        <v>72</v>
      </c>
      <c r="I102" s="23" t="str">
        <f>TVIIBE1M_CalPairs!$C99</f>
        <v>PWR_TRIM_HT_OVDVDDD_CTL_VAL3</v>
      </c>
      <c r="K102" s="22" t="s">
        <v>7070</v>
      </c>
      <c r="L102" s="22" t="s">
        <v>145</v>
      </c>
      <c r="M102" s="22" t="s">
        <v>70</v>
      </c>
      <c r="N102" s="22" t="s">
        <v>67</v>
      </c>
      <c r="P102" s="394" t="s">
        <v>7071</v>
      </c>
      <c r="Q102" s="394" t="s">
        <v>145</v>
      </c>
      <c r="R102" s="394" t="s">
        <v>72</v>
      </c>
      <c r="S102" s="394" t="s">
        <v>34203</v>
      </c>
      <c r="U102" s="293" t="s">
        <v>7072</v>
      </c>
      <c r="V102" s="293" t="s">
        <v>145</v>
      </c>
      <c r="W102" s="293" t="s">
        <v>74</v>
      </c>
      <c r="X102" s="293" t="s">
        <v>656</v>
      </c>
      <c r="Z102" s="293" t="s">
        <v>7073</v>
      </c>
      <c r="AA102" s="293" t="s">
        <v>145</v>
      </c>
      <c r="AB102" s="293" t="s">
        <v>74</v>
      </c>
      <c r="AC102" s="293" t="s">
        <v>656</v>
      </c>
      <c r="AE102" s="293" t="s">
        <v>7074</v>
      </c>
      <c r="AF102" s="293" t="s">
        <v>145</v>
      </c>
      <c r="AG102" s="293" t="s">
        <v>74</v>
      </c>
      <c r="AH102" s="293" t="s">
        <v>656</v>
      </c>
      <c r="AJ102" s="293" t="s">
        <v>7075</v>
      </c>
      <c r="AK102" s="293" t="s">
        <v>145</v>
      </c>
      <c r="AL102" s="293" t="s">
        <v>74</v>
      </c>
      <c r="AM102" s="293" t="s">
        <v>656</v>
      </c>
      <c r="AO102" s="22" t="s">
        <v>7076</v>
      </c>
      <c r="AP102" s="22" t="s">
        <v>145</v>
      </c>
      <c r="AQ102" s="22" t="s">
        <v>70</v>
      </c>
      <c r="AR102" s="22" t="s">
        <v>67</v>
      </c>
      <c r="AT102" s="22" t="s">
        <v>7077</v>
      </c>
      <c r="AU102" s="22" t="s">
        <v>145</v>
      </c>
      <c r="AV102" s="22" t="s">
        <v>70</v>
      </c>
      <c r="AW102" s="22" t="s">
        <v>67</v>
      </c>
      <c r="AY102" s="22" t="s">
        <v>7078</v>
      </c>
      <c r="AZ102" s="22" t="s">
        <v>145</v>
      </c>
      <c r="BA102" s="22" t="s">
        <v>70</v>
      </c>
      <c r="BB102" s="22" t="s">
        <v>67</v>
      </c>
      <c r="BD102" s="22" t="s">
        <v>7079</v>
      </c>
      <c r="BE102" s="22" t="s">
        <v>145</v>
      </c>
      <c r="BF102" s="22" t="s">
        <v>70</v>
      </c>
      <c r="BG102" s="22" t="s">
        <v>67</v>
      </c>
      <c r="BI102" s="22" t="s">
        <v>7080</v>
      </c>
      <c r="BJ102" s="22" t="s">
        <v>145</v>
      </c>
      <c r="BK102" s="22" t="s">
        <v>70</v>
      </c>
      <c r="BL102" s="22" t="s">
        <v>67</v>
      </c>
      <c r="BN102" s="22" t="s">
        <v>7081</v>
      </c>
      <c r="BO102" s="22" t="s">
        <v>145</v>
      </c>
      <c r="BP102" s="22" t="s">
        <v>70</v>
      </c>
      <c r="BQ102" s="22" t="s">
        <v>67</v>
      </c>
      <c r="BS102" s="22" t="s">
        <v>7082</v>
      </c>
      <c r="BT102" s="22" t="s">
        <v>145</v>
      </c>
      <c r="BU102" s="22" t="s">
        <v>70</v>
      </c>
      <c r="BV102" s="214" t="s">
        <v>530</v>
      </c>
      <c r="BX102" s="22" t="s">
        <v>7083</v>
      </c>
      <c r="BY102" s="22" t="s">
        <v>145</v>
      </c>
      <c r="BZ102" s="22" t="s">
        <v>70</v>
      </c>
      <c r="CA102" s="214" t="s">
        <v>530</v>
      </c>
      <c r="CC102" s="214" t="s">
        <v>7084</v>
      </c>
      <c r="CD102" s="218" t="s">
        <v>145</v>
      </c>
      <c r="CE102" s="214" t="s">
        <v>70</v>
      </c>
      <c r="CF102" s="214" t="s">
        <v>397</v>
      </c>
      <c r="CH102" s="214" t="s">
        <v>7085</v>
      </c>
      <c r="CI102" s="214" t="s">
        <v>34576</v>
      </c>
      <c r="CJ102" s="214" t="s">
        <v>70</v>
      </c>
      <c r="CK102" s="214" t="s">
        <v>530</v>
      </c>
      <c r="CM102" s="214" t="s">
        <v>7086</v>
      </c>
      <c r="CN102" s="214" t="s">
        <v>944</v>
      </c>
      <c r="CO102" s="214" t="s">
        <v>70</v>
      </c>
      <c r="CP102" s="214" t="s">
        <v>530</v>
      </c>
      <c r="CR102" s="214" t="s">
        <v>7087</v>
      </c>
      <c r="CS102" s="214" t="s">
        <v>34626</v>
      </c>
      <c r="CT102" s="214" t="s">
        <v>70</v>
      </c>
      <c r="CU102" s="214" t="s">
        <v>530</v>
      </c>
      <c r="CW102" s="214" t="s">
        <v>7088</v>
      </c>
      <c r="CX102" s="214" t="s">
        <v>52</v>
      </c>
      <c r="CY102" s="214" t="s">
        <v>70</v>
      </c>
      <c r="CZ102" s="214" t="s">
        <v>530</v>
      </c>
      <c r="DB102" s="214" t="s">
        <v>7089</v>
      </c>
      <c r="DC102" s="214" t="s">
        <v>34545</v>
      </c>
      <c r="DD102" s="214" t="s">
        <v>70</v>
      </c>
      <c r="DE102" s="214" t="s">
        <v>530</v>
      </c>
      <c r="DG102" s="214" t="s">
        <v>7090</v>
      </c>
      <c r="DH102" s="214" t="s">
        <v>34557</v>
      </c>
      <c r="DI102" s="214" t="s">
        <v>70</v>
      </c>
      <c r="DJ102" s="214" t="s">
        <v>530</v>
      </c>
      <c r="DL102" s="214" t="s">
        <v>7091</v>
      </c>
      <c r="DM102" s="214" t="s">
        <v>52</v>
      </c>
      <c r="DN102" s="214" t="s">
        <v>70</v>
      </c>
      <c r="DO102" s="214" t="s">
        <v>530</v>
      </c>
      <c r="DQ102" s="214" t="s">
        <v>7092</v>
      </c>
      <c r="DR102" s="214" t="s">
        <v>148</v>
      </c>
      <c r="DS102" s="214" t="s">
        <v>70</v>
      </c>
      <c r="DT102" s="214" t="s">
        <v>530</v>
      </c>
      <c r="DV102" s="214" t="s">
        <v>7093</v>
      </c>
      <c r="DW102" s="214" t="s">
        <v>148</v>
      </c>
      <c r="DX102" s="214" t="s">
        <v>70</v>
      </c>
      <c r="DY102" s="214" t="s">
        <v>530</v>
      </c>
      <c r="EA102" s="214" t="s">
        <v>7094</v>
      </c>
      <c r="EB102" s="214" t="s">
        <v>145</v>
      </c>
      <c r="EC102" s="214" t="s">
        <v>70</v>
      </c>
      <c r="ED102" s="214" t="s">
        <v>530</v>
      </c>
      <c r="EF102" s="214" t="s">
        <v>7095</v>
      </c>
      <c r="EG102" s="214" t="s">
        <v>34586</v>
      </c>
      <c r="EH102" s="214" t="s">
        <v>70</v>
      </c>
      <c r="EI102" s="214" t="s">
        <v>530</v>
      </c>
      <c r="EK102" s="214" t="s">
        <v>7096</v>
      </c>
      <c r="EL102" s="214" t="s">
        <v>500</v>
      </c>
      <c r="EM102" s="214" t="s">
        <v>70</v>
      </c>
      <c r="EN102" s="214" t="s">
        <v>530</v>
      </c>
      <c r="EP102" s="214" t="s">
        <v>7097</v>
      </c>
      <c r="EQ102" s="214" t="s">
        <v>34570</v>
      </c>
      <c r="ER102" s="214" t="s">
        <v>70</v>
      </c>
      <c r="ES102" s="214" t="s">
        <v>530</v>
      </c>
      <c r="EU102" s="214" t="s">
        <v>7098</v>
      </c>
      <c r="EV102" s="214" t="s">
        <v>649</v>
      </c>
      <c r="EW102" s="214" t="s">
        <v>70</v>
      </c>
      <c r="EX102" s="214" t="s">
        <v>530</v>
      </c>
      <c r="EZ102" s="214" t="s">
        <v>7099</v>
      </c>
      <c r="FA102" s="214" t="s">
        <v>501</v>
      </c>
      <c r="FB102" s="214" t="s">
        <v>70</v>
      </c>
      <c r="FC102" s="214" t="s">
        <v>530</v>
      </c>
      <c r="FE102" s="214" t="s">
        <v>7100</v>
      </c>
      <c r="FF102" s="214" t="s">
        <v>468</v>
      </c>
      <c r="FG102" s="214" t="s">
        <v>70</v>
      </c>
      <c r="FH102" s="214" t="s">
        <v>530</v>
      </c>
      <c r="FJ102" s="321" t="s">
        <v>7101</v>
      </c>
      <c r="FK102" s="214" t="s">
        <v>34565</v>
      </c>
      <c r="FL102" s="214" t="s">
        <v>70</v>
      </c>
      <c r="FM102" s="214" t="s">
        <v>530</v>
      </c>
      <c r="FO102" s="321" t="s">
        <v>7102</v>
      </c>
      <c r="FP102" s="214" t="s">
        <v>34564</v>
      </c>
      <c r="FQ102" s="214" t="s">
        <v>70</v>
      </c>
      <c r="FR102" s="214" t="s">
        <v>530</v>
      </c>
      <c r="FT102" s="321" t="s">
        <v>7103</v>
      </c>
      <c r="FU102" s="214" t="s">
        <v>163</v>
      </c>
      <c r="FV102" s="214" t="s">
        <v>70</v>
      </c>
      <c r="FW102" s="214" t="s">
        <v>530</v>
      </c>
      <c r="FY102" s="321" t="s">
        <v>7104</v>
      </c>
      <c r="FZ102" s="214" t="s">
        <v>34556</v>
      </c>
      <c r="GA102" s="214" t="s">
        <v>70</v>
      </c>
      <c r="GB102" s="214" t="s">
        <v>530</v>
      </c>
      <c r="GD102" s="321" t="s">
        <v>7105</v>
      </c>
      <c r="GE102" s="214" t="s">
        <v>148</v>
      </c>
      <c r="GF102" s="214" t="s">
        <v>70</v>
      </c>
      <c r="GG102" s="214" t="s">
        <v>530</v>
      </c>
      <c r="GI102" s="321" t="s">
        <v>7106</v>
      </c>
      <c r="GJ102" s="214" t="s">
        <v>34583</v>
      </c>
      <c r="GK102" s="214" t="s">
        <v>70</v>
      </c>
      <c r="GL102" s="214" t="s">
        <v>530</v>
      </c>
      <c r="GN102" s="321" t="s">
        <v>7107</v>
      </c>
      <c r="GO102" s="214" t="s">
        <v>52</v>
      </c>
      <c r="GP102" s="214" t="s">
        <v>70</v>
      </c>
      <c r="GQ102" s="214" t="s">
        <v>530</v>
      </c>
      <c r="GS102" s="321" t="s">
        <v>7108</v>
      </c>
      <c r="GT102" s="214" t="s">
        <v>52</v>
      </c>
      <c r="GU102" s="214" t="s">
        <v>70</v>
      </c>
      <c r="GV102" s="214" t="s">
        <v>530</v>
      </c>
      <c r="GX102" s="214" t="s">
        <v>7109</v>
      </c>
      <c r="GY102" s="214" t="s">
        <v>87</v>
      </c>
      <c r="GZ102" s="214" t="s">
        <v>70</v>
      </c>
      <c r="HA102" s="214" t="s">
        <v>530</v>
      </c>
      <c r="HC102" s="214" t="s">
        <v>7110</v>
      </c>
      <c r="HD102" s="214" t="s">
        <v>52</v>
      </c>
      <c r="HE102" s="214" t="s">
        <v>70</v>
      </c>
      <c r="HF102" s="214" t="s">
        <v>530</v>
      </c>
      <c r="HH102" s="214" t="s">
        <v>7111</v>
      </c>
      <c r="HI102" s="214" t="s">
        <v>34604</v>
      </c>
      <c r="HJ102" s="214" t="s">
        <v>70</v>
      </c>
      <c r="HK102" s="214" t="s">
        <v>530</v>
      </c>
      <c r="HM102" s="214" t="s">
        <v>7112</v>
      </c>
      <c r="HN102" s="214" t="s">
        <v>920</v>
      </c>
      <c r="HO102" s="214" t="s">
        <v>70</v>
      </c>
      <c r="HP102" s="214" t="s">
        <v>530</v>
      </c>
      <c r="HR102" s="22" t="s">
        <v>7113</v>
      </c>
      <c r="HS102" s="22" t="s">
        <v>34607</v>
      </c>
      <c r="HT102" s="22" t="s">
        <v>70</v>
      </c>
      <c r="HU102" s="214" t="s">
        <v>530</v>
      </c>
      <c r="HW102" s="22" t="s">
        <v>7114</v>
      </c>
      <c r="HX102" s="22" t="s">
        <v>88</v>
      </c>
      <c r="HY102" s="22" t="s">
        <v>70</v>
      </c>
      <c r="HZ102" s="214" t="s">
        <v>530</v>
      </c>
      <c r="IB102" s="22" t="s">
        <v>7115</v>
      </c>
      <c r="IC102" s="22" t="s">
        <v>34564</v>
      </c>
      <c r="ID102" s="22" t="s">
        <v>70</v>
      </c>
      <c r="IE102" s="214" t="s">
        <v>530</v>
      </c>
      <c r="IG102" s="22" t="s">
        <v>7116</v>
      </c>
      <c r="IH102" s="22" t="s">
        <v>52</v>
      </c>
      <c r="II102" s="22" t="s">
        <v>70</v>
      </c>
      <c r="IJ102" s="214" t="s">
        <v>530</v>
      </c>
      <c r="IL102" s="22" t="s">
        <v>7117</v>
      </c>
      <c r="IM102" s="22" t="s">
        <v>145</v>
      </c>
      <c r="IN102" s="22" t="s">
        <v>70</v>
      </c>
      <c r="IO102" s="214" t="s">
        <v>530</v>
      </c>
      <c r="IQ102" s="236" t="s">
        <v>7118</v>
      </c>
      <c r="IR102" s="236" t="s">
        <v>145</v>
      </c>
      <c r="IS102" s="236" t="s">
        <v>74</v>
      </c>
      <c r="IT102" s="236" t="s">
        <v>841</v>
      </c>
      <c r="IV102" s="236" t="s">
        <v>7119</v>
      </c>
      <c r="IW102" s="236" t="s">
        <v>145</v>
      </c>
      <c r="IX102" s="236" t="s">
        <v>74</v>
      </c>
      <c r="IY102" s="236" t="s">
        <v>841</v>
      </c>
      <c r="JA102" s="236" t="s">
        <v>7120</v>
      </c>
      <c r="JB102" s="236" t="s">
        <v>145</v>
      </c>
      <c r="JC102" s="236" t="s">
        <v>74</v>
      </c>
      <c r="JD102" s="236" t="s">
        <v>841</v>
      </c>
      <c r="JF102" s="236" t="s">
        <v>7121</v>
      </c>
      <c r="JG102" s="236" t="s">
        <v>145</v>
      </c>
      <c r="JH102" s="236" t="s">
        <v>74</v>
      </c>
      <c r="JI102" s="236" t="s">
        <v>841</v>
      </c>
      <c r="JK102" s="236" t="s">
        <v>7122</v>
      </c>
      <c r="JL102" s="236" t="s">
        <v>145</v>
      </c>
      <c r="JM102" s="236" t="s">
        <v>74</v>
      </c>
      <c r="JN102" s="236" t="s">
        <v>841</v>
      </c>
      <c r="JP102" s="236" t="s">
        <v>7123</v>
      </c>
      <c r="JQ102" s="236" t="s">
        <v>145</v>
      </c>
      <c r="JR102" s="236" t="s">
        <v>74</v>
      </c>
      <c r="JS102" s="236" t="s">
        <v>841</v>
      </c>
      <c r="JU102" s="294" t="s">
        <v>7124</v>
      </c>
      <c r="JV102" s="294" t="str">
        <f>TVIIBE1M_CalPairs!$R111</f>
        <v>0xB5</v>
      </c>
      <c r="JW102" s="263" t="s">
        <v>70</v>
      </c>
      <c r="JX102" s="294" t="str">
        <f>TVIIBE1M_CalPairs!$Q111</f>
        <v>PPU12_SL_CONFIG</v>
      </c>
      <c r="JZ102" s="263" t="s">
        <v>7125</v>
      </c>
      <c r="KA102" s="263" t="s">
        <v>145</v>
      </c>
      <c r="KB102" s="263" t="s">
        <v>70</v>
      </c>
      <c r="KC102" s="263" t="s">
        <v>1083</v>
      </c>
      <c r="KE102" s="263" t="s">
        <v>7126</v>
      </c>
      <c r="KF102" s="263" t="s">
        <v>52</v>
      </c>
      <c r="KG102" s="263" t="s">
        <v>70</v>
      </c>
      <c r="KH102" s="263" t="s">
        <v>1083</v>
      </c>
      <c r="KJ102" s="263" t="s">
        <v>7127</v>
      </c>
      <c r="KK102" s="263" t="s">
        <v>52</v>
      </c>
      <c r="KL102" s="263" t="s">
        <v>74</v>
      </c>
      <c r="KM102" s="263" t="s">
        <v>34074</v>
      </c>
      <c r="KO102" s="214" t="s">
        <v>7128</v>
      </c>
      <c r="KP102" s="214" t="s">
        <v>145</v>
      </c>
      <c r="KQ102" s="214" t="s">
        <v>70</v>
      </c>
      <c r="KR102" s="214" t="s">
        <v>67</v>
      </c>
      <c r="KT102" s="22" t="s">
        <v>7129</v>
      </c>
      <c r="KU102" s="22" t="s">
        <v>145</v>
      </c>
      <c r="KV102" s="22" t="s">
        <v>70</v>
      </c>
      <c r="KW102" s="22" t="s">
        <v>67</v>
      </c>
      <c r="KY102" s="214" t="s">
        <v>7130</v>
      </c>
      <c r="KZ102" s="214" t="s">
        <v>52</v>
      </c>
      <c r="LA102" s="214" t="s">
        <v>74</v>
      </c>
      <c r="LB102" s="214" t="s">
        <v>67</v>
      </c>
      <c r="LD102" s="22" t="s">
        <v>7131</v>
      </c>
      <c r="LE102" s="22" t="s">
        <v>145</v>
      </c>
      <c r="LF102" s="22" t="s">
        <v>70</v>
      </c>
      <c r="LG102" s="22" t="s">
        <v>67</v>
      </c>
    </row>
    <row r="103" spans="1:319">
      <c r="A103" s="22" t="s">
        <v>7132</v>
      </c>
      <c r="B103" s="22" t="s">
        <v>145</v>
      </c>
      <c r="C103" s="22" t="s">
        <v>70</v>
      </c>
      <c r="D103" s="22" t="s">
        <v>67</v>
      </c>
      <c r="F103" s="23" t="s">
        <v>7133</v>
      </c>
      <c r="G103" s="23" t="str">
        <f>TVIIBE1M_CalPairs!$E100</f>
        <v>0x00</v>
      </c>
      <c r="H103" s="23" t="s">
        <v>72</v>
      </c>
      <c r="I103" s="23" t="str">
        <f>TVIIBE1M_CalPairs!$C100</f>
        <v>PWR_TRIM_HT_OVDVDDA_CTL_VAL0</v>
      </c>
      <c r="K103" s="22" t="s">
        <v>7134</v>
      </c>
      <c r="L103" s="22" t="s">
        <v>145</v>
      </c>
      <c r="M103" s="22" t="s">
        <v>70</v>
      </c>
      <c r="N103" s="22" t="s">
        <v>67</v>
      </c>
      <c r="P103" s="394" t="s">
        <v>7135</v>
      </c>
      <c r="Q103" s="394" t="s">
        <v>145</v>
      </c>
      <c r="R103" s="394" t="s">
        <v>72</v>
      </c>
      <c r="S103" s="394" t="s">
        <v>34203</v>
      </c>
      <c r="U103" s="293" t="s">
        <v>7136</v>
      </c>
      <c r="V103" s="293" t="s">
        <v>145</v>
      </c>
      <c r="W103" s="293" t="s">
        <v>74</v>
      </c>
      <c r="X103" s="293" t="s">
        <v>656</v>
      </c>
      <c r="Z103" s="293" t="s">
        <v>7137</v>
      </c>
      <c r="AA103" s="293" t="s">
        <v>145</v>
      </c>
      <c r="AB103" s="293" t="s">
        <v>74</v>
      </c>
      <c r="AC103" s="293" t="s">
        <v>656</v>
      </c>
      <c r="AE103" s="293" t="s">
        <v>7138</v>
      </c>
      <c r="AF103" s="293" t="s">
        <v>145</v>
      </c>
      <c r="AG103" s="293" t="s">
        <v>74</v>
      </c>
      <c r="AH103" s="293" t="s">
        <v>656</v>
      </c>
      <c r="AJ103" s="293" t="s">
        <v>7139</v>
      </c>
      <c r="AK103" s="293" t="s">
        <v>145</v>
      </c>
      <c r="AL103" s="293" t="s">
        <v>74</v>
      </c>
      <c r="AM103" s="293" t="s">
        <v>656</v>
      </c>
      <c r="AO103" s="22" t="s">
        <v>7140</v>
      </c>
      <c r="AP103" s="22" t="s">
        <v>145</v>
      </c>
      <c r="AQ103" s="22" t="s">
        <v>70</v>
      </c>
      <c r="AR103" s="22" t="s">
        <v>67</v>
      </c>
      <c r="AT103" s="22" t="s">
        <v>7141</v>
      </c>
      <c r="AU103" s="22" t="s">
        <v>145</v>
      </c>
      <c r="AV103" s="22" t="s">
        <v>70</v>
      </c>
      <c r="AW103" s="22" t="s">
        <v>67</v>
      </c>
      <c r="AY103" s="22" t="s">
        <v>7142</v>
      </c>
      <c r="AZ103" s="22" t="s">
        <v>145</v>
      </c>
      <c r="BA103" s="22" t="s">
        <v>70</v>
      </c>
      <c r="BB103" s="22" t="s">
        <v>67</v>
      </c>
      <c r="BD103" s="22" t="s">
        <v>7143</v>
      </c>
      <c r="BE103" s="22" t="s">
        <v>145</v>
      </c>
      <c r="BF103" s="22" t="s">
        <v>70</v>
      </c>
      <c r="BG103" s="22" t="s">
        <v>67</v>
      </c>
      <c r="BI103" s="22" t="s">
        <v>7144</v>
      </c>
      <c r="BJ103" s="22" t="s">
        <v>145</v>
      </c>
      <c r="BK103" s="22" t="s">
        <v>70</v>
      </c>
      <c r="BL103" s="22" t="s">
        <v>67</v>
      </c>
      <c r="BN103" s="22" t="s">
        <v>7145</v>
      </c>
      <c r="BO103" s="22" t="s">
        <v>145</v>
      </c>
      <c r="BP103" s="22" t="s">
        <v>70</v>
      </c>
      <c r="BQ103" s="22" t="s">
        <v>67</v>
      </c>
      <c r="BS103" s="22" t="s">
        <v>7146</v>
      </c>
      <c r="BT103" s="22" t="s">
        <v>145</v>
      </c>
      <c r="BU103" s="22" t="s">
        <v>70</v>
      </c>
      <c r="BV103" s="214" t="s">
        <v>530</v>
      </c>
      <c r="BX103" s="22" t="s">
        <v>7147</v>
      </c>
      <c r="BY103" s="22" t="s">
        <v>145</v>
      </c>
      <c r="BZ103" s="22" t="s">
        <v>70</v>
      </c>
      <c r="CA103" s="214" t="s">
        <v>530</v>
      </c>
      <c r="CC103" s="214" t="s">
        <v>7148</v>
      </c>
      <c r="CD103" s="218" t="s">
        <v>145</v>
      </c>
      <c r="CE103" s="214" t="s">
        <v>70</v>
      </c>
      <c r="CF103" s="214" t="s">
        <v>398</v>
      </c>
      <c r="CH103" s="214" t="s">
        <v>7149</v>
      </c>
      <c r="CI103" s="214" t="s">
        <v>529</v>
      </c>
      <c r="CJ103" s="214" t="s">
        <v>70</v>
      </c>
      <c r="CK103" s="214" t="s">
        <v>530</v>
      </c>
      <c r="CM103" s="214" t="s">
        <v>7150</v>
      </c>
      <c r="CN103" s="214" t="s">
        <v>206</v>
      </c>
      <c r="CO103" s="214" t="s">
        <v>70</v>
      </c>
      <c r="CP103" s="214" t="s">
        <v>530</v>
      </c>
      <c r="CR103" s="214" t="s">
        <v>7151</v>
      </c>
      <c r="CS103" s="214" t="s">
        <v>149</v>
      </c>
      <c r="CT103" s="214" t="s">
        <v>70</v>
      </c>
      <c r="CU103" s="214" t="s">
        <v>530</v>
      </c>
      <c r="CW103" s="214" t="s">
        <v>7152</v>
      </c>
      <c r="CX103" s="214" t="s">
        <v>52</v>
      </c>
      <c r="CY103" s="214" t="s">
        <v>70</v>
      </c>
      <c r="CZ103" s="214" t="s">
        <v>530</v>
      </c>
      <c r="DB103" s="214" t="s">
        <v>7153</v>
      </c>
      <c r="DC103" s="214" t="s">
        <v>34561</v>
      </c>
      <c r="DD103" s="214" t="s">
        <v>70</v>
      </c>
      <c r="DE103" s="214" t="s">
        <v>530</v>
      </c>
      <c r="DG103" s="214" t="s">
        <v>7154</v>
      </c>
      <c r="DH103" s="214" t="s">
        <v>484</v>
      </c>
      <c r="DI103" s="214" t="s">
        <v>70</v>
      </c>
      <c r="DJ103" s="214" t="s">
        <v>530</v>
      </c>
      <c r="DL103" s="214" t="s">
        <v>7155</v>
      </c>
      <c r="DM103" s="214" t="s">
        <v>922</v>
      </c>
      <c r="DN103" s="214" t="s">
        <v>70</v>
      </c>
      <c r="DO103" s="214" t="s">
        <v>530</v>
      </c>
      <c r="DQ103" s="214" t="s">
        <v>7156</v>
      </c>
      <c r="DR103" s="214" t="s">
        <v>468</v>
      </c>
      <c r="DS103" s="214" t="s">
        <v>70</v>
      </c>
      <c r="DT103" s="214" t="s">
        <v>530</v>
      </c>
      <c r="DV103" s="214" t="s">
        <v>7157</v>
      </c>
      <c r="DW103" s="214" t="s">
        <v>146</v>
      </c>
      <c r="DX103" s="214" t="s">
        <v>70</v>
      </c>
      <c r="DY103" s="214" t="s">
        <v>530</v>
      </c>
      <c r="EA103" s="214" t="s">
        <v>7158</v>
      </c>
      <c r="EB103" s="214" t="s">
        <v>34541</v>
      </c>
      <c r="EC103" s="214" t="s">
        <v>70</v>
      </c>
      <c r="ED103" s="214" t="s">
        <v>530</v>
      </c>
      <c r="EF103" s="214" t="s">
        <v>7159</v>
      </c>
      <c r="EG103" s="214" t="s">
        <v>146</v>
      </c>
      <c r="EH103" s="214" t="s">
        <v>70</v>
      </c>
      <c r="EI103" s="214" t="s">
        <v>530</v>
      </c>
      <c r="EK103" s="214" t="s">
        <v>7160</v>
      </c>
      <c r="EL103" s="214" t="s">
        <v>501</v>
      </c>
      <c r="EM103" s="214" t="s">
        <v>70</v>
      </c>
      <c r="EN103" s="214" t="s">
        <v>530</v>
      </c>
      <c r="EP103" s="214" t="s">
        <v>7161</v>
      </c>
      <c r="EQ103" s="214" t="s">
        <v>88</v>
      </c>
      <c r="ER103" s="214" t="s">
        <v>70</v>
      </c>
      <c r="ES103" s="214" t="s">
        <v>530</v>
      </c>
      <c r="EU103" s="214" t="s">
        <v>7162</v>
      </c>
      <c r="EV103" s="214" t="s">
        <v>502</v>
      </c>
      <c r="EW103" s="214" t="s">
        <v>70</v>
      </c>
      <c r="EX103" s="214" t="s">
        <v>530</v>
      </c>
      <c r="EZ103" s="214" t="s">
        <v>7163</v>
      </c>
      <c r="FA103" s="214" t="s">
        <v>935</v>
      </c>
      <c r="FB103" s="214" t="s">
        <v>70</v>
      </c>
      <c r="FC103" s="214" t="s">
        <v>530</v>
      </c>
      <c r="FE103" s="214" t="s">
        <v>7164</v>
      </c>
      <c r="FF103" s="214" t="s">
        <v>52</v>
      </c>
      <c r="FG103" s="214" t="s">
        <v>70</v>
      </c>
      <c r="FH103" s="214" t="s">
        <v>530</v>
      </c>
      <c r="FJ103" s="321" t="s">
        <v>7165</v>
      </c>
      <c r="FK103" s="214" t="s">
        <v>146</v>
      </c>
      <c r="FL103" s="214" t="s">
        <v>70</v>
      </c>
      <c r="FM103" s="214" t="s">
        <v>530</v>
      </c>
      <c r="FO103" s="321" t="s">
        <v>7166</v>
      </c>
      <c r="FP103" s="214" t="s">
        <v>34556</v>
      </c>
      <c r="FQ103" s="214" t="s">
        <v>70</v>
      </c>
      <c r="FR103" s="214" t="s">
        <v>530</v>
      </c>
      <c r="FT103" s="321" t="s">
        <v>7167</v>
      </c>
      <c r="FU103" s="214" t="s">
        <v>52</v>
      </c>
      <c r="FV103" s="214" t="s">
        <v>70</v>
      </c>
      <c r="FW103" s="214" t="s">
        <v>530</v>
      </c>
      <c r="FY103" s="321" t="s">
        <v>7168</v>
      </c>
      <c r="FZ103" s="214" t="s">
        <v>34541</v>
      </c>
      <c r="GA103" s="214" t="s">
        <v>70</v>
      </c>
      <c r="GB103" s="214" t="s">
        <v>530</v>
      </c>
      <c r="GD103" s="321" t="s">
        <v>7169</v>
      </c>
      <c r="GE103" s="214" t="s">
        <v>34558</v>
      </c>
      <c r="GF103" s="214" t="s">
        <v>70</v>
      </c>
      <c r="GG103" s="214" t="s">
        <v>530</v>
      </c>
      <c r="GI103" s="321" t="s">
        <v>7170</v>
      </c>
      <c r="GJ103" s="214" t="s">
        <v>52</v>
      </c>
      <c r="GK103" s="214" t="s">
        <v>70</v>
      </c>
      <c r="GL103" s="214" t="s">
        <v>530</v>
      </c>
      <c r="GN103" s="321" t="s">
        <v>7171</v>
      </c>
      <c r="GO103" s="214" t="s">
        <v>468</v>
      </c>
      <c r="GP103" s="214" t="s">
        <v>70</v>
      </c>
      <c r="GQ103" s="214" t="s">
        <v>530</v>
      </c>
      <c r="GS103" s="321" t="s">
        <v>7172</v>
      </c>
      <c r="GT103" s="214" t="s">
        <v>502</v>
      </c>
      <c r="GU103" s="214" t="s">
        <v>70</v>
      </c>
      <c r="GV103" s="214" t="s">
        <v>530</v>
      </c>
      <c r="GX103" s="214" t="s">
        <v>7173</v>
      </c>
      <c r="GY103" s="214" t="s">
        <v>956</v>
      </c>
      <c r="GZ103" s="214" t="s">
        <v>70</v>
      </c>
      <c r="HA103" s="214" t="s">
        <v>530</v>
      </c>
      <c r="HC103" s="214" t="s">
        <v>7174</v>
      </c>
      <c r="HD103" s="214" t="s">
        <v>956</v>
      </c>
      <c r="HE103" s="214" t="s">
        <v>70</v>
      </c>
      <c r="HF103" s="214" t="s">
        <v>530</v>
      </c>
      <c r="HH103" s="214" t="s">
        <v>7175</v>
      </c>
      <c r="HI103" s="214" t="s">
        <v>502</v>
      </c>
      <c r="HJ103" s="214" t="s">
        <v>70</v>
      </c>
      <c r="HK103" s="214" t="s">
        <v>530</v>
      </c>
      <c r="HM103" s="214" t="s">
        <v>7176</v>
      </c>
      <c r="HN103" s="214" t="s">
        <v>52</v>
      </c>
      <c r="HO103" s="214" t="s">
        <v>70</v>
      </c>
      <c r="HP103" s="214" t="s">
        <v>530</v>
      </c>
      <c r="HR103" s="22" t="s">
        <v>7177</v>
      </c>
      <c r="HS103" s="22" t="s">
        <v>34547</v>
      </c>
      <c r="HT103" s="22" t="s">
        <v>70</v>
      </c>
      <c r="HU103" s="214" t="s">
        <v>530</v>
      </c>
      <c r="HW103" s="22" t="s">
        <v>7178</v>
      </c>
      <c r="HX103" s="22" t="s">
        <v>34540</v>
      </c>
      <c r="HY103" s="22" t="s">
        <v>70</v>
      </c>
      <c r="HZ103" s="214" t="s">
        <v>530</v>
      </c>
      <c r="IB103" s="22" t="s">
        <v>7179</v>
      </c>
      <c r="IC103" s="22" t="s">
        <v>34552</v>
      </c>
      <c r="ID103" s="22" t="s">
        <v>70</v>
      </c>
      <c r="IE103" s="214" t="s">
        <v>530</v>
      </c>
      <c r="IG103" s="22" t="s">
        <v>7180</v>
      </c>
      <c r="IH103" s="22" t="s">
        <v>52</v>
      </c>
      <c r="II103" s="22" t="s">
        <v>70</v>
      </c>
      <c r="IJ103" s="214" t="s">
        <v>530</v>
      </c>
      <c r="IL103" s="22" t="s">
        <v>7181</v>
      </c>
      <c r="IM103" s="22" t="s">
        <v>145</v>
      </c>
      <c r="IN103" s="22" t="s">
        <v>70</v>
      </c>
      <c r="IO103" s="214" t="s">
        <v>530</v>
      </c>
      <c r="IQ103" s="236" t="s">
        <v>7182</v>
      </c>
      <c r="IR103" s="236" t="s">
        <v>145</v>
      </c>
      <c r="IS103" s="236" t="s">
        <v>74</v>
      </c>
      <c r="IT103" s="236" t="s">
        <v>841</v>
      </c>
      <c r="IV103" s="236" t="s">
        <v>7183</v>
      </c>
      <c r="IW103" s="236" t="s">
        <v>145</v>
      </c>
      <c r="IX103" s="236" t="s">
        <v>74</v>
      </c>
      <c r="IY103" s="236" t="s">
        <v>841</v>
      </c>
      <c r="JA103" s="236" t="s">
        <v>7184</v>
      </c>
      <c r="JB103" s="236" t="s">
        <v>145</v>
      </c>
      <c r="JC103" s="236" t="s">
        <v>74</v>
      </c>
      <c r="JD103" s="236" t="s">
        <v>841</v>
      </c>
      <c r="JF103" s="236" t="s">
        <v>7185</v>
      </c>
      <c r="JG103" s="236" t="s">
        <v>145</v>
      </c>
      <c r="JH103" s="236" t="s">
        <v>74</v>
      </c>
      <c r="JI103" s="236" t="s">
        <v>841</v>
      </c>
      <c r="JK103" s="236" t="s">
        <v>7186</v>
      </c>
      <c r="JL103" s="236" t="s">
        <v>145</v>
      </c>
      <c r="JM103" s="236" t="s">
        <v>74</v>
      </c>
      <c r="JN103" s="236" t="s">
        <v>841</v>
      </c>
      <c r="JP103" s="236" t="s">
        <v>7187</v>
      </c>
      <c r="JQ103" s="236" t="s">
        <v>145</v>
      </c>
      <c r="JR103" s="236" t="s">
        <v>74</v>
      </c>
      <c r="JS103" s="236" t="s">
        <v>841</v>
      </c>
      <c r="JU103" s="294" t="s">
        <v>7188</v>
      </c>
      <c r="JV103" s="294" t="str">
        <f>TVIIBE1M_CalPairs!$R112</f>
        <v>0x92</v>
      </c>
      <c r="JW103" s="263" t="s">
        <v>70</v>
      </c>
      <c r="JX103" s="294" t="str">
        <f>TVIIBE1M_CalPairs!$Q112</f>
        <v>PPU12_MS_CONFIG</v>
      </c>
      <c r="JZ103" s="263" t="s">
        <v>7189</v>
      </c>
      <c r="KA103" s="263" t="s">
        <v>145</v>
      </c>
      <c r="KB103" s="263" t="s">
        <v>70</v>
      </c>
      <c r="KC103" s="263" t="s">
        <v>1083</v>
      </c>
      <c r="KE103" s="263" t="s">
        <v>7190</v>
      </c>
      <c r="KF103" s="263" t="s">
        <v>52</v>
      </c>
      <c r="KG103" s="263" t="s">
        <v>70</v>
      </c>
      <c r="KH103" s="263" t="s">
        <v>1083</v>
      </c>
      <c r="KJ103" s="263" t="s">
        <v>7191</v>
      </c>
      <c r="KK103" s="263" t="s">
        <v>52</v>
      </c>
      <c r="KL103" s="263" t="s">
        <v>74</v>
      </c>
      <c r="KM103" s="263" t="s">
        <v>34074</v>
      </c>
      <c r="KO103" s="214" t="s">
        <v>7192</v>
      </c>
      <c r="KP103" s="214" t="s">
        <v>145</v>
      </c>
      <c r="KQ103" s="214" t="s">
        <v>70</v>
      </c>
      <c r="KR103" s="214" t="s">
        <v>67</v>
      </c>
      <c r="KT103" s="22" t="s">
        <v>7193</v>
      </c>
      <c r="KU103" s="22" t="s">
        <v>145</v>
      </c>
      <c r="KV103" s="22" t="s">
        <v>70</v>
      </c>
      <c r="KW103" s="22" t="s">
        <v>67</v>
      </c>
      <c r="KY103" s="214" t="s">
        <v>7194</v>
      </c>
      <c r="KZ103" s="214" t="s">
        <v>52</v>
      </c>
      <c r="LA103" s="214" t="s">
        <v>74</v>
      </c>
      <c r="LB103" s="214" t="s">
        <v>67</v>
      </c>
      <c r="LD103" s="22" t="s">
        <v>7195</v>
      </c>
      <c r="LE103" s="22" t="s">
        <v>145</v>
      </c>
      <c r="LF103" s="22" t="s">
        <v>70</v>
      </c>
      <c r="LG103" s="22" t="s">
        <v>67</v>
      </c>
    </row>
    <row r="104" spans="1:319">
      <c r="A104" s="22" t="s">
        <v>7196</v>
      </c>
      <c r="B104" s="22" t="s">
        <v>145</v>
      </c>
      <c r="C104" s="22" t="s">
        <v>70</v>
      </c>
      <c r="D104" s="22" t="s">
        <v>67</v>
      </c>
      <c r="F104" s="23" t="s">
        <v>7197</v>
      </c>
      <c r="G104" s="23" t="str">
        <f>TVIIBE1M_CalPairs!$E101</f>
        <v>0x04</v>
      </c>
      <c r="H104" s="23" t="s">
        <v>72</v>
      </c>
      <c r="I104" s="23" t="str">
        <f>TVIIBE1M_CalPairs!$C101</f>
        <v>PWR_TRIM_HT_OVDVDDA_CTL_VAL1</v>
      </c>
      <c r="K104" s="22" t="s">
        <v>7198</v>
      </c>
      <c r="L104" s="22" t="s">
        <v>145</v>
      </c>
      <c r="M104" s="22" t="s">
        <v>70</v>
      </c>
      <c r="N104" s="22" t="s">
        <v>67</v>
      </c>
      <c r="P104" s="394" t="s">
        <v>7199</v>
      </c>
      <c r="Q104" s="394" t="s">
        <v>145</v>
      </c>
      <c r="R104" s="394" t="s">
        <v>72</v>
      </c>
      <c r="S104" s="394" t="s">
        <v>34204</v>
      </c>
      <c r="U104" s="293" t="s">
        <v>7200</v>
      </c>
      <c r="V104" s="293" t="s">
        <v>145</v>
      </c>
      <c r="W104" s="293" t="s">
        <v>74</v>
      </c>
      <c r="X104" s="293" t="s">
        <v>656</v>
      </c>
      <c r="Z104" s="293" t="s">
        <v>7201</v>
      </c>
      <c r="AA104" s="293" t="s">
        <v>145</v>
      </c>
      <c r="AB104" s="293" t="s">
        <v>74</v>
      </c>
      <c r="AC104" s="293" t="s">
        <v>656</v>
      </c>
      <c r="AE104" s="293" t="s">
        <v>7202</v>
      </c>
      <c r="AF104" s="293" t="s">
        <v>145</v>
      </c>
      <c r="AG104" s="293" t="s">
        <v>74</v>
      </c>
      <c r="AH104" s="293" t="s">
        <v>656</v>
      </c>
      <c r="AJ104" s="293" t="s">
        <v>7203</v>
      </c>
      <c r="AK104" s="293" t="s">
        <v>145</v>
      </c>
      <c r="AL104" s="293" t="s">
        <v>74</v>
      </c>
      <c r="AM104" s="293" t="s">
        <v>656</v>
      </c>
      <c r="AO104" s="22" t="s">
        <v>7204</v>
      </c>
      <c r="AP104" s="22" t="s">
        <v>145</v>
      </c>
      <c r="AQ104" s="22" t="s">
        <v>70</v>
      </c>
      <c r="AR104" s="22" t="s">
        <v>67</v>
      </c>
      <c r="AT104" s="22" t="s">
        <v>7205</v>
      </c>
      <c r="AU104" s="22" t="s">
        <v>145</v>
      </c>
      <c r="AV104" s="22" t="s">
        <v>70</v>
      </c>
      <c r="AW104" s="22" t="s">
        <v>67</v>
      </c>
      <c r="AY104" s="22" t="s">
        <v>7206</v>
      </c>
      <c r="AZ104" s="22" t="s">
        <v>145</v>
      </c>
      <c r="BA104" s="22" t="s">
        <v>70</v>
      </c>
      <c r="BB104" s="22" t="s">
        <v>67</v>
      </c>
      <c r="BD104" s="22" t="s">
        <v>7207</v>
      </c>
      <c r="BE104" s="22" t="s">
        <v>145</v>
      </c>
      <c r="BF104" s="22" t="s">
        <v>70</v>
      </c>
      <c r="BG104" s="22" t="s">
        <v>67</v>
      </c>
      <c r="BI104" s="22" t="s">
        <v>7208</v>
      </c>
      <c r="BJ104" s="22" t="s">
        <v>145</v>
      </c>
      <c r="BK104" s="22" t="s">
        <v>70</v>
      </c>
      <c r="BL104" s="22" t="s">
        <v>67</v>
      </c>
      <c r="BN104" s="22" t="s">
        <v>7209</v>
      </c>
      <c r="BO104" s="22" t="s">
        <v>145</v>
      </c>
      <c r="BP104" s="22" t="s">
        <v>70</v>
      </c>
      <c r="BQ104" s="22" t="s">
        <v>67</v>
      </c>
      <c r="BS104" s="22" t="s">
        <v>7210</v>
      </c>
      <c r="BT104" s="22" t="s">
        <v>145</v>
      </c>
      <c r="BU104" s="22" t="s">
        <v>70</v>
      </c>
      <c r="BV104" s="214" t="s">
        <v>530</v>
      </c>
      <c r="BX104" s="22" t="s">
        <v>7211</v>
      </c>
      <c r="BY104" s="22" t="s">
        <v>145</v>
      </c>
      <c r="BZ104" s="22" t="s">
        <v>70</v>
      </c>
      <c r="CA104" s="214" t="s">
        <v>530</v>
      </c>
      <c r="CC104" s="214" t="s">
        <v>7212</v>
      </c>
      <c r="CD104" s="218" t="s">
        <v>145</v>
      </c>
      <c r="CE104" s="214" t="s">
        <v>70</v>
      </c>
      <c r="CF104" s="214" t="s">
        <v>399</v>
      </c>
      <c r="CH104" s="214" t="s">
        <v>7213</v>
      </c>
      <c r="CI104" s="214" t="s">
        <v>34576</v>
      </c>
      <c r="CJ104" s="214" t="s">
        <v>70</v>
      </c>
      <c r="CK104" s="214" t="s">
        <v>530</v>
      </c>
      <c r="CM104" s="214" t="s">
        <v>7214</v>
      </c>
      <c r="CN104" s="214" t="s">
        <v>148</v>
      </c>
      <c r="CO104" s="214" t="s">
        <v>70</v>
      </c>
      <c r="CP104" s="214" t="s">
        <v>530</v>
      </c>
      <c r="CR104" s="214" t="s">
        <v>7215</v>
      </c>
      <c r="CS104" s="214" t="s">
        <v>926</v>
      </c>
      <c r="CT104" s="214" t="s">
        <v>70</v>
      </c>
      <c r="CU104" s="214" t="s">
        <v>530</v>
      </c>
      <c r="CW104" s="214" t="s">
        <v>7216</v>
      </c>
      <c r="CX104" s="214" t="s">
        <v>85</v>
      </c>
      <c r="CY104" s="214" t="s">
        <v>70</v>
      </c>
      <c r="CZ104" s="214" t="s">
        <v>530</v>
      </c>
      <c r="DB104" s="214" t="s">
        <v>7217</v>
      </c>
      <c r="DC104" s="214" t="s">
        <v>495</v>
      </c>
      <c r="DD104" s="214" t="s">
        <v>70</v>
      </c>
      <c r="DE104" s="214" t="s">
        <v>530</v>
      </c>
      <c r="DG104" s="214" t="s">
        <v>7218</v>
      </c>
      <c r="DH104" s="214" t="s">
        <v>529</v>
      </c>
      <c r="DI104" s="214" t="s">
        <v>70</v>
      </c>
      <c r="DJ104" s="214" t="s">
        <v>530</v>
      </c>
      <c r="DL104" s="214" t="s">
        <v>7219</v>
      </c>
      <c r="DM104" s="214" t="s">
        <v>52</v>
      </c>
      <c r="DN104" s="214" t="s">
        <v>70</v>
      </c>
      <c r="DO104" s="214" t="s">
        <v>530</v>
      </c>
      <c r="DQ104" s="214" t="s">
        <v>7220</v>
      </c>
      <c r="DR104" s="214" t="s">
        <v>34564</v>
      </c>
      <c r="DS104" s="214" t="s">
        <v>70</v>
      </c>
      <c r="DT104" s="214" t="s">
        <v>530</v>
      </c>
      <c r="DV104" s="214" t="s">
        <v>7221</v>
      </c>
      <c r="DW104" s="214" t="s">
        <v>164</v>
      </c>
      <c r="DX104" s="214" t="s">
        <v>70</v>
      </c>
      <c r="DY104" s="214" t="s">
        <v>530</v>
      </c>
      <c r="EA104" s="214" t="s">
        <v>7222</v>
      </c>
      <c r="EB104" s="214" t="s">
        <v>90</v>
      </c>
      <c r="EC104" s="214" t="s">
        <v>70</v>
      </c>
      <c r="ED104" s="214" t="s">
        <v>530</v>
      </c>
      <c r="EF104" s="214" t="s">
        <v>7223</v>
      </c>
      <c r="EG104" s="214" t="s">
        <v>34539</v>
      </c>
      <c r="EH104" s="214" t="s">
        <v>70</v>
      </c>
      <c r="EI104" s="214" t="s">
        <v>530</v>
      </c>
      <c r="EK104" s="214" t="s">
        <v>7224</v>
      </c>
      <c r="EL104" s="214" t="s">
        <v>205</v>
      </c>
      <c r="EM104" s="214" t="s">
        <v>70</v>
      </c>
      <c r="EN104" s="214" t="s">
        <v>530</v>
      </c>
      <c r="EP104" s="214" t="s">
        <v>7225</v>
      </c>
      <c r="EQ104" s="214" t="s">
        <v>164</v>
      </c>
      <c r="ER104" s="214" t="s">
        <v>70</v>
      </c>
      <c r="ES104" s="214" t="s">
        <v>530</v>
      </c>
      <c r="EU104" s="214" t="s">
        <v>7226</v>
      </c>
      <c r="EV104" s="214" t="s">
        <v>498</v>
      </c>
      <c r="EW104" s="214" t="s">
        <v>70</v>
      </c>
      <c r="EX104" s="214" t="s">
        <v>530</v>
      </c>
      <c r="EZ104" s="214" t="s">
        <v>7227</v>
      </c>
      <c r="FA104" s="214" t="s">
        <v>933</v>
      </c>
      <c r="FB104" s="214" t="s">
        <v>70</v>
      </c>
      <c r="FC104" s="214" t="s">
        <v>530</v>
      </c>
      <c r="FE104" s="214" t="s">
        <v>7228</v>
      </c>
      <c r="FF104" s="214" t="s">
        <v>145</v>
      </c>
      <c r="FG104" s="214" t="s">
        <v>70</v>
      </c>
      <c r="FH104" s="214" t="s">
        <v>530</v>
      </c>
      <c r="FJ104" s="321" t="s">
        <v>7229</v>
      </c>
      <c r="FK104" s="214" t="s">
        <v>34655</v>
      </c>
      <c r="FL104" s="214" t="s">
        <v>70</v>
      </c>
      <c r="FM104" s="214" t="s">
        <v>530</v>
      </c>
      <c r="FO104" s="321" t="s">
        <v>7230</v>
      </c>
      <c r="FP104" s="214" t="s">
        <v>942</v>
      </c>
      <c r="FQ104" s="214" t="s">
        <v>70</v>
      </c>
      <c r="FR104" s="214" t="s">
        <v>530</v>
      </c>
      <c r="FT104" s="321" t="s">
        <v>7231</v>
      </c>
      <c r="FU104" s="214" t="s">
        <v>163</v>
      </c>
      <c r="FV104" s="214" t="s">
        <v>70</v>
      </c>
      <c r="FW104" s="214" t="s">
        <v>530</v>
      </c>
      <c r="FY104" s="321" t="s">
        <v>7232</v>
      </c>
      <c r="FZ104" s="214" t="s">
        <v>34566</v>
      </c>
      <c r="GA104" s="214" t="s">
        <v>70</v>
      </c>
      <c r="GB104" s="214" t="s">
        <v>530</v>
      </c>
      <c r="GD104" s="321" t="s">
        <v>7233</v>
      </c>
      <c r="GE104" s="214" t="s">
        <v>206</v>
      </c>
      <c r="GF104" s="214" t="s">
        <v>70</v>
      </c>
      <c r="GG104" s="214" t="s">
        <v>530</v>
      </c>
      <c r="GI104" s="321" t="s">
        <v>7234</v>
      </c>
      <c r="GJ104" s="214" t="s">
        <v>87</v>
      </c>
      <c r="GK104" s="214" t="s">
        <v>70</v>
      </c>
      <c r="GL104" s="214" t="s">
        <v>530</v>
      </c>
      <c r="GN104" s="321" t="s">
        <v>7235</v>
      </c>
      <c r="GO104" s="214" t="s">
        <v>52</v>
      </c>
      <c r="GP104" s="214" t="s">
        <v>70</v>
      </c>
      <c r="GQ104" s="214" t="s">
        <v>530</v>
      </c>
      <c r="GS104" s="321" t="s">
        <v>7236</v>
      </c>
      <c r="GT104" s="214" t="s">
        <v>52</v>
      </c>
      <c r="GU104" s="214" t="s">
        <v>70</v>
      </c>
      <c r="GV104" s="214" t="s">
        <v>530</v>
      </c>
      <c r="GX104" s="214" t="s">
        <v>7237</v>
      </c>
      <c r="GY104" s="214" t="s">
        <v>52</v>
      </c>
      <c r="GZ104" s="214" t="s">
        <v>70</v>
      </c>
      <c r="HA104" s="214" t="s">
        <v>530</v>
      </c>
      <c r="HC104" s="214" t="s">
        <v>7238</v>
      </c>
      <c r="HD104" s="214" t="s">
        <v>148</v>
      </c>
      <c r="HE104" s="214" t="s">
        <v>70</v>
      </c>
      <c r="HF104" s="214" t="s">
        <v>530</v>
      </c>
      <c r="HH104" s="214" t="s">
        <v>7239</v>
      </c>
      <c r="HI104" s="214" t="s">
        <v>34560</v>
      </c>
      <c r="HJ104" s="214" t="s">
        <v>70</v>
      </c>
      <c r="HK104" s="214" t="s">
        <v>530</v>
      </c>
      <c r="HM104" s="214" t="s">
        <v>7240</v>
      </c>
      <c r="HN104" s="214" t="s">
        <v>34593</v>
      </c>
      <c r="HO104" s="214" t="s">
        <v>70</v>
      </c>
      <c r="HP104" s="214" t="s">
        <v>530</v>
      </c>
      <c r="HR104" s="22" t="s">
        <v>7241</v>
      </c>
      <c r="HS104" s="22" t="s">
        <v>34539</v>
      </c>
      <c r="HT104" s="22" t="s">
        <v>70</v>
      </c>
      <c r="HU104" s="214" t="s">
        <v>530</v>
      </c>
      <c r="HW104" s="22" t="s">
        <v>7242</v>
      </c>
      <c r="HX104" s="22" t="s">
        <v>490</v>
      </c>
      <c r="HY104" s="22" t="s">
        <v>70</v>
      </c>
      <c r="HZ104" s="214" t="s">
        <v>530</v>
      </c>
      <c r="IB104" s="22" t="s">
        <v>7243</v>
      </c>
      <c r="IC104" s="22" t="s">
        <v>52</v>
      </c>
      <c r="ID104" s="22" t="s">
        <v>70</v>
      </c>
      <c r="IE104" s="214" t="s">
        <v>530</v>
      </c>
      <c r="IG104" s="22" t="s">
        <v>7244</v>
      </c>
      <c r="IH104" s="22" t="s">
        <v>52</v>
      </c>
      <c r="II104" s="22" t="s">
        <v>70</v>
      </c>
      <c r="IJ104" s="214" t="s">
        <v>530</v>
      </c>
      <c r="IL104" s="22" t="s">
        <v>7245</v>
      </c>
      <c r="IM104" s="22" t="s">
        <v>145</v>
      </c>
      <c r="IN104" s="22" t="s">
        <v>70</v>
      </c>
      <c r="IO104" s="214" t="s">
        <v>530</v>
      </c>
      <c r="IQ104" s="236" t="s">
        <v>7246</v>
      </c>
      <c r="IR104" s="236" t="s">
        <v>145</v>
      </c>
      <c r="IS104" s="236" t="s">
        <v>74</v>
      </c>
      <c r="IT104" s="236" t="s">
        <v>841</v>
      </c>
      <c r="IV104" s="236" t="s">
        <v>7247</v>
      </c>
      <c r="IW104" s="236" t="s">
        <v>145</v>
      </c>
      <c r="IX104" s="236" t="s">
        <v>74</v>
      </c>
      <c r="IY104" s="236" t="s">
        <v>841</v>
      </c>
      <c r="JA104" s="236" t="s">
        <v>7248</v>
      </c>
      <c r="JB104" s="236" t="s">
        <v>145</v>
      </c>
      <c r="JC104" s="236" t="s">
        <v>74</v>
      </c>
      <c r="JD104" s="236" t="s">
        <v>841</v>
      </c>
      <c r="JF104" s="236" t="s">
        <v>7249</v>
      </c>
      <c r="JG104" s="236" t="s">
        <v>145</v>
      </c>
      <c r="JH104" s="236" t="s">
        <v>74</v>
      </c>
      <c r="JI104" s="236" t="s">
        <v>841</v>
      </c>
      <c r="JK104" s="236" t="s">
        <v>7250</v>
      </c>
      <c r="JL104" s="236" t="s">
        <v>145</v>
      </c>
      <c r="JM104" s="236" t="s">
        <v>74</v>
      </c>
      <c r="JN104" s="236" t="s">
        <v>841</v>
      </c>
      <c r="JP104" s="236" t="s">
        <v>7251</v>
      </c>
      <c r="JQ104" s="236" t="s">
        <v>145</v>
      </c>
      <c r="JR104" s="236" t="s">
        <v>74</v>
      </c>
      <c r="JS104" s="236" t="s">
        <v>841</v>
      </c>
      <c r="JU104" s="294" t="s">
        <v>7252</v>
      </c>
      <c r="JV104" s="337" t="str">
        <f>TVIIBE1M_CalPairs!$R113</f>
        <v>0x0F</v>
      </c>
      <c r="JW104" s="218" t="s">
        <v>72</v>
      </c>
      <c r="JX104" s="294" t="str">
        <f>TVIIBE1M_CalPairs!$S113</f>
        <v>CRYPTO_BUF</v>
      </c>
      <c r="JZ104" s="263" t="s">
        <v>7253</v>
      </c>
      <c r="KA104" s="263" t="s">
        <v>145</v>
      </c>
      <c r="KB104" s="263" t="s">
        <v>70</v>
      </c>
      <c r="KC104" s="263" t="s">
        <v>1083</v>
      </c>
      <c r="KE104" s="263" t="s">
        <v>7254</v>
      </c>
      <c r="KF104" s="263" t="s">
        <v>52</v>
      </c>
      <c r="KG104" s="263" t="s">
        <v>70</v>
      </c>
      <c r="KH104" s="263" t="s">
        <v>1083</v>
      </c>
      <c r="KJ104" s="263" t="s">
        <v>7255</v>
      </c>
      <c r="KK104" s="263" t="s">
        <v>52</v>
      </c>
      <c r="KL104" s="263" t="s">
        <v>74</v>
      </c>
      <c r="KM104" s="263" t="s">
        <v>34074</v>
      </c>
      <c r="KO104" s="214" t="s">
        <v>7256</v>
      </c>
      <c r="KP104" s="214" t="s">
        <v>145</v>
      </c>
      <c r="KQ104" s="214" t="s">
        <v>70</v>
      </c>
      <c r="KR104" s="214" t="s">
        <v>67</v>
      </c>
      <c r="KT104" s="22" t="s">
        <v>7257</v>
      </c>
      <c r="KU104" s="22" t="s">
        <v>145</v>
      </c>
      <c r="KV104" s="22" t="s">
        <v>70</v>
      </c>
      <c r="KW104" s="22" t="s">
        <v>67</v>
      </c>
      <c r="KY104" s="214" t="s">
        <v>7258</v>
      </c>
      <c r="KZ104" s="214" t="s">
        <v>52</v>
      </c>
      <c r="LA104" s="214" t="s">
        <v>74</v>
      </c>
      <c r="LB104" s="214" t="s">
        <v>67</v>
      </c>
      <c r="LD104" s="22" t="s">
        <v>7259</v>
      </c>
      <c r="LE104" s="22" t="s">
        <v>145</v>
      </c>
      <c r="LF104" s="22" t="s">
        <v>70</v>
      </c>
      <c r="LG104" s="22" t="s">
        <v>67</v>
      </c>
    </row>
    <row r="105" spans="1:319">
      <c r="A105" s="22" t="s">
        <v>7260</v>
      </c>
      <c r="B105" s="22" t="s">
        <v>145</v>
      </c>
      <c r="C105" s="22" t="s">
        <v>70</v>
      </c>
      <c r="D105" s="22" t="s">
        <v>67</v>
      </c>
      <c r="F105" s="23" t="s">
        <v>7261</v>
      </c>
      <c r="G105" s="23" t="str">
        <f>TVIIBE1M_CalPairs!$E102</f>
        <v>0x00</v>
      </c>
      <c r="H105" s="23" t="s">
        <v>72</v>
      </c>
      <c r="I105" s="23" t="str">
        <f>TVIIBE1M_CalPairs!$C102</f>
        <v>PWR_TRIM_HT_OVDVDDA_CTL_VAL2</v>
      </c>
      <c r="K105" s="22" t="s">
        <v>7262</v>
      </c>
      <c r="L105" s="22" t="s">
        <v>145</v>
      </c>
      <c r="M105" s="22" t="s">
        <v>70</v>
      </c>
      <c r="N105" s="22" t="s">
        <v>67</v>
      </c>
      <c r="P105" s="394" t="s">
        <v>7263</v>
      </c>
      <c r="Q105" s="394" t="s">
        <v>145</v>
      </c>
      <c r="R105" s="394" t="s">
        <v>72</v>
      </c>
      <c r="S105" s="394" t="s">
        <v>34204</v>
      </c>
      <c r="U105" s="293" t="s">
        <v>7264</v>
      </c>
      <c r="V105" s="293" t="s">
        <v>145</v>
      </c>
      <c r="W105" s="293" t="s">
        <v>74</v>
      </c>
      <c r="X105" s="293" t="s">
        <v>656</v>
      </c>
      <c r="Z105" s="293" t="s">
        <v>7265</v>
      </c>
      <c r="AA105" s="293" t="s">
        <v>145</v>
      </c>
      <c r="AB105" s="293" t="s">
        <v>74</v>
      </c>
      <c r="AC105" s="293" t="s">
        <v>656</v>
      </c>
      <c r="AE105" s="293" t="s">
        <v>7266</v>
      </c>
      <c r="AF105" s="293" t="s">
        <v>145</v>
      </c>
      <c r="AG105" s="293" t="s">
        <v>74</v>
      </c>
      <c r="AH105" s="293" t="s">
        <v>656</v>
      </c>
      <c r="AJ105" s="293" t="s">
        <v>7267</v>
      </c>
      <c r="AK105" s="293" t="s">
        <v>145</v>
      </c>
      <c r="AL105" s="293" t="s">
        <v>74</v>
      </c>
      <c r="AM105" s="293" t="s">
        <v>656</v>
      </c>
      <c r="AO105" s="22" t="s">
        <v>7268</v>
      </c>
      <c r="AP105" s="22" t="s">
        <v>145</v>
      </c>
      <c r="AQ105" s="22" t="s">
        <v>70</v>
      </c>
      <c r="AR105" s="22" t="s">
        <v>67</v>
      </c>
      <c r="AT105" s="22" t="s">
        <v>7269</v>
      </c>
      <c r="AU105" s="22" t="s">
        <v>145</v>
      </c>
      <c r="AV105" s="22" t="s">
        <v>70</v>
      </c>
      <c r="AW105" s="22" t="s">
        <v>67</v>
      </c>
      <c r="AY105" s="22" t="s">
        <v>7270</v>
      </c>
      <c r="AZ105" s="22" t="s">
        <v>145</v>
      </c>
      <c r="BA105" s="22" t="s">
        <v>70</v>
      </c>
      <c r="BB105" s="22" t="s">
        <v>67</v>
      </c>
      <c r="BD105" s="22" t="s">
        <v>7271</v>
      </c>
      <c r="BE105" s="22" t="s">
        <v>145</v>
      </c>
      <c r="BF105" s="22" t="s">
        <v>70</v>
      </c>
      <c r="BG105" s="22" t="s">
        <v>67</v>
      </c>
      <c r="BI105" s="22" t="s">
        <v>7272</v>
      </c>
      <c r="BJ105" s="22" t="s">
        <v>145</v>
      </c>
      <c r="BK105" s="22" t="s">
        <v>70</v>
      </c>
      <c r="BL105" s="22" t="s">
        <v>67</v>
      </c>
      <c r="BN105" s="22" t="s">
        <v>7273</v>
      </c>
      <c r="BO105" s="22" t="s">
        <v>145</v>
      </c>
      <c r="BP105" s="22" t="s">
        <v>70</v>
      </c>
      <c r="BQ105" s="22" t="s">
        <v>67</v>
      </c>
      <c r="BS105" s="22" t="s">
        <v>7274</v>
      </c>
      <c r="BT105" s="22" t="s">
        <v>145</v>
      </c>
      <c r="BU105" s="22" t="s">
        <v>70</v>
      </c>
      <c r="BV105" s="214" t="s">
        <v>530</v>
      </c>
      <c r="BX105" s="22" t="s">
        <v>7275</v>
      </c>
      <c r="BY105" s="22" t="s">
        <v>145</v>
      </c>
      <c r="BZ105" s="22" t="s">
        <v>70</v>
      </c>
      <c r="CA105" s="214" t="s">
        <v>530</v>
      </c>
      <c r="CC105" s="214" t="s">
        <v>7276</v>
      </c>
      <c r="CD105" s="218" t="s">
        <v>145</v>
      </c>
      <c r="CE105" s="214" t="s">
        <v>70</v>
      </c>
      <c r="CF105" s="214" t="s">
        <v>400</v>
      </c>
      <c r="CH105" s="214" t="s">
        <v>7277</v>
      </c>
      <c r="CI105" s="214" t="s">
        <v>148</v>
      </c>
      <c r="CJ105" s="214" t="s">
        <v>70</v>
      </c>
      <c r="CK105" s="214" t="s">
        <v>530</v>
      </c>
      <c r="CM105" s="214" t="s">
        <v>7278</v>
      </c>
      <c r="CN105" s="214" t="s">
        <v>921</v>
      </c>
      <c r="CO105" s="214" t="s">
        <v>70</v>
      </c>
      <c r="CP105" s="214" t="s">
        <v>530</v>
      </c>
      <c r="CR105" s="214" t="s">
        <v>7279</v>
      </c>
      <c r="CS105" s="214" t="s">
        <v>488</v>
      </c>
      <c r="CT105" s="214" t="s">
        <v>70</v>
      </c>
      <c r="CU105" s="214" t="s">
        <v>530</v>
      </c>
      <c r="CW105" s="214" t="s">
        <v>7280</v>
      </c>
      <c r="CX105" s="214" t="s">
        <v>52</v>
      </c>
      <c r="CY105" s="214" t="s">
        <v>70</v>
      </c>
      <c r="CZ105" s="214" t="s">
        <v>530</v>
      </c>
      <c r="DB105" s="214" t="s">
        <v>7281</v>
      </c>
      <c r="DC105" s="214" t="s">
        <v>468</v>
      </c>
      <c r="DD105" s="214" t="s">
        <v>70</v>
      </c>
      <c r="DE105" s="214" t="s">
        <v>530</v>
      </c>
      <c r="DG105" s="214" t="s">
        <v>7282</v>
      </c>
      <c r="DH105" s="214" t="s">
        <v>951</v>
      </c>
      <c r="DI105" s="214" t="s">
        <v>70</v>
      </c>
      <c r="DJ105" s="214" t="s">
        <v>530</v>
      </c>
      <c r="DL105" s="214" t="s">
        <v>7283</v>
      </c>
      <c r="DM105" s="214" t="s">
        <v>34540</v>
      </c>
      <c r="DN105" s="214" t="s">
        <v>70</v>
      </c>
      <c r="DO105" s="214" t="s">
        <v>530</v>
      </c>
      <c r="DQ105" s="214" t="s">
        <v>7284</v>
      </c>
      <c r="DR105" s="214" t="s">
        <v>912</v>
      </c>
      <c r="DS105" s="214" t="s">
        <v>70</v>
      </c>
      <c r="DT105" s="214" t="s">
        <v>530</v>
      </c>
      <c r="DV105" s="214" t="s">
        <v>7285</v>
      </c>
      <c r="DW105" s="214" t="s">
        <v>468</v>
      </c>
      <c r="DX105" s="214" t="s">
        <v>70</v>
      </c>
      <c r="DY105" s="214" t="s">
        <v>530</v>
      </c>
      <c r="EA105" s="214" t="s">
        <v>7286</v>
      </c>
      <c r="EB105" s="214" t="s">
        <v>34405</v>
      </c>
      <c r="EC105" s="214" t="s">
        <v>70</v>
      </c>
      <c r="ED105" s="214" t="s">
        <v>530</v>
      </c>
      <c r="EF105" s="214" t="s">
        <v>7287</v>
      </c>
      <c r="EG105" s="214" t="s">
        <v>146</v>
      </c>
      <c r="EH105" s="214" t="s">
        <v>70</v>
      </c>
      <c r="EI105" s="214" t="s">
        <v>530</v>
      </c>
      <c r="EK105" s="214" t="s">
        <v>7288</v>
      </c>
      <c r="EL105" s="214" t="s">
        <v>34561</v>
      </c>
      <c r="EM105" s="214" t="s">
        <v>70</v>
      </c>
      <c r="EN105" s="214" t="s">
        <v>530</v>
      </c>
      <c r="EP105" s="214" t="s">
        <v>7289</v>
      </c>
      <c r="EQ105" s="214" t="s">
        <v>146</v>
      </c>
      <c r="ER105" s="214" t="s">
        <v>70</v>
      </c>
      <c r="ES105" s="214" t="s">
        <v>530</v>
      </c>
      <c r="EU105" s="214" t="s">
        <v>7290</v>
      </c>
      <c r="EV105" s="214" t="s">
        <v>488</v>
      </c>
      <c r="EW105" s="214" t="s">
        <v>70</v>
      </c>
      <c r="EX105" s="214" t="s">
        <v>530</v>
      </c>
      <c r="EZ105" s="214" t="s">
        <v>7291</v>
      </c>
      <c r="FA105" s="214" t="s">
        <v>491</v>
      </c>
      <c r="FB105" s="214" t="s">
        <v>70</v>
      </c>
      <c r="FC105" s="214" t="s">
        <v>530</v>
      </c>
      <c r="FE105" s="214" t="s">
        <v>7292</v>
      </c>
      <c r="FF105" s="214" t="s">
        <v>34541</v>
      </c>
      <c r="FG105" s="214" t="s">
        <v>70</v>
      </c>
      <c r="FH105" s="214" t="s">
        <v>530</v>
      </c>
      <c r="FJ105" s="321" t="s">
        <v>7293</v>
      </c>
      <c r="FK105" s="214" t="s">
        <v>486</v>
      </c>
      <c r="FL105" s="214" t="s">
        <v>70</v>
      </c>
      <c r="FM105" s="214" t="s">
        <v>530</v>
      </c>
      <c r="FO105" s="321" t="s">
        <v>7294</v>
      </c>
      <c r="FP105" s="214" t="s">
        <v>34547</v>
      </c>
      <c r="FQ105" s="214" t="s">
        <v>70</v>
      </c>
      <c r="FR105" s="214" t="s">
        <v>530</v>
      </c>
      <c r="FT105" s="321" t="s">
        <v>7295</v>
      </c>
      <c r="FU105" s="214" t="s">
        <v>286</v>
      </c>
      <c r="FV105" s="214" t="s">
        <v>70</v>
      </c>
      <c r="FW105" s="214" t="s">
        <v>530</v>
      </c>
      <c r="FY105" s="321" t="s">
        <v>7296</v>
      </c>
      <c r="FZ105" s="214" t="s">
        <v>34545</v>
      </c>
      <c r="GA105" s="214" t="s">
        <v>70</v>
      </c>
      <c r="GB105" s="214" t="s">
        <v>530</v>
      </c>
      <c r="GD105" s="321" t="s">
        <v>7297</v>
      </c>
      <c r="GE105" s="214" t="s">
        <v>34539</v>
      </c>
      <c r="GF105" s="214" t="s">
        <v>70</v>
      </c>
      <c r="GG105" s="214" t="s">
        <v>530</v>
      </c>
      <c r="GI105" s="321" t="s">
        <v>7298</v>
      </c>
      <c r="GJ105" s="214" t="s">
        <v>164</v>
      </c>
      <c r="GK105" s="214" t="s">
        <v>70</v>
      </c>
      <c r="GL105" s="214" t="s">
        <v>530</v>
      </c>
      <c r="GN105" s="321" t="s">
        <v>7299</v>
      </c>
      <c r="GO105" s="214" t="s">
        <v>950</v>
      </c>
      <c r="GP105" s="214" t="s">
        <v>70</v>
      </c>
      <c r="GQ105" s="214" t="s">
        <v>530</v>
      </c>
      <c r="GS105" s="321" t="s">
        <v>7300</v>
      </c>
      <c r="GT105" s="214" t="s">
        <v>468</v>
      </c>
      <c r="GU105" s="214" t="s">
        <v>70</v>
      </c>
      <c r="GV105" s="214" t="s">
        <v>530</v>
      </c>
      <c r="GX105" s="214" t="s">
        <v>7301</v>
      </c>
      <c r="GY105" s="214" t="s">
        <v>921</v>
      </c>
      <c r="GZ105" s="214" t="s">
        <v>70</v>
      </c>
      <c r="HA105" s="214" t="s">
        <v>530</v>
      </c>
      <c r="HC105" s="214" t="s">
        <v>7302</v>
      </c>
      <c r="HD105" s="214" t="s">
        <v>955</v>
      </c>
      <c r="HE105" s="214" t="s">
        <v>70</v>
      </c>
      <c r="HF105" s="214" t="s">
        <v>530</v>
      </c>
      <c r="HH105" s="214" t="s">
        <v>7303</v>
      </c>
      <c r="HI105" s="214" t="s">
        <v>149</v>
      </c>
      <c r="HJ105" s="214" t="s">
        <v>70</v>
      </c>
      <c r="HK105" s="214" t="s">
        <v>530</v>
      </c>
      <c r="HM105" s="214" t="s">
        <v>7304</v>
      </c>
      <c r="HN105" s="214" t="s">
        <v>52</v>
      </c>
      <c r="HO105" s="214" t="s">
        <v>70</v>
      </c>
      <c r="HP105" s="214" t="s">
        <v>530</v>
      </c>
      <c r="HR105" s="22" t="s">
        <v>7305</v>
      </c>
      <c r="HS105" s="22" t="s">
        <v>87</v>
      </c>
      <c r="HT105" s="22" t="s">
        <v>70</v>
      </c>
      <c r="HU105" s="214" t="s">
        <v>530</v>
      </c>
      <c r="HW105" s="22" t="s">
        <v>7306</v>
      </c>
      <c r="HX105" s="22" t="s">
        <v>34580</v>
      </c>
      <c r="HY105" s="22" t="s">
        <v>70</v>
      </c>
      <c r="HZ105" s="214" t="s">
        <v>530</v>
      </c>
      <c r="IB105" s="22" t="s">
        <v>7307</v>
      </c>
      <c r="IC105" s="22" t="s">
        <v>468</v>
      </c>
      <c r="ID105" s="22" t="s">
        <v>70</v>
      </c>
      <c r="IE105" s="214" t="s">
        <v>530</v>
      </c>
      <c r="IG105" s="22" t="s">
        <v>7308</v>
      </c>
      <c r="IH105" s="22" t="s">
        <v>52</v>
      </c>
      <c r="II105" s="22" t="s">
        <v>70</v>
      </c>
      <c r="IJ105" s="214" t="s">
        <v>530</v>
      </c>
      <c r="IL105" s="22" t="s">
        <v>7309</v>
      </c>
      <c r="IM105" s="22" t="s">
        <v>145</v>
      </c>
      <c r="IN105" s="22" t="s">
        <v>70</v>
      </c>
      <c r="IO105" s="214" t="s">
        <v>530</v>
      </c>
      <c r="IQ105" s="236" t="s">
        <v>7310</v>
      </c>
      <c r="IR105" s="236" t="s">
        <v>145</v>
      </c>
      <c r="IS105" s="236" t="s">
        <v>74</v>
      </c>
      <c r="IT105" s="236" t="s">
        <v>841</v>
      </c>
      <c r="IV105" s="236" t="s">
        <v>7311</v>
      </c>
      <c r="IW105" s="236" t="s">
        <v>145</v>
      </c>
      <c r="IX105" s="236" t="s">
        <v>74</v>
      </c>
      <c r="IY105" s="236" t="s">
        <v>841</v>
      </c>
      <c r="JA105" s="236" t="s">
        <v>7312</v>
      </c>
      <c r="JB105" s="236" t="s">
        <v>145</v>
      </c>
      <c r="JC105" s="236" t="s">
        <v>74</v>
      </c>
      <c r="JD105" s="236" t="s">
        <v>841</v>
      </c>
      <c r="JF105" s="236" t="s">
        <v>7313</v>
      </c>
      <c r="JG105" s="236" t="s">
        <v>145</v>
      </c>
      <c r="JH105" s="236" t="s">
        <v>74</v>
      </c>
      <c r="JI105" s="236" t="s">
        <v>841</v>
      </c>
      <c r="JK105" s="236" t="s">
        <v>7314</v>
      </c>
      <c r="JL105" s="236" t="s">
        <v>145</v>
      </c>
      <c r="JM105" s="236" t="s">
        <v>74</v>
      </c>
      <c r="JN105" s="236" t="s">
        <v>841</v>
      </c>
      <c r="JP105" s="236" t="s">
        <v>7315</v>
      </c>
      <c r="JQ105" s="236" t="s">
        <v>145</v>
      </c>
      <c r="JR105" s="236" t="s">
        <v>74</v>
      </c>
      <c r="JS105" s="236" t="s">
        <v>841</v>
      </c>
      <c r="JU105" s="294" t="s">
        <v>7316</v>
      </c>
      <c r="JV105" s="294" t="str">
        <f>TVIIBE1M_CalPairs!$R114</f>
        <v>0x00</v>
      </c>
      <c r="JW105" s="218" t="s">
        <v>72</v>
      </c>
      <c r="JX105" s="294" t="str">
        <f>TVIIBE1M_CalPairs!$S114</f>
        <v>CRYPTO_BUF</v>
      </c>
      <c r="JZ105" s="263" t="s">
        <v>7317</v>
      </c>
      <c r="KA105" s="263" t="s">
        <v>145</v>
      </c>
      <c r="KB105" s="263" t="s">
        <v>70</v>
      </c>
      <c r="KC105" s="263" t="s">
        <v>1083</v>
      </c>
      <c r="KE105" s="263" t="s">
        <v>7318</v>
      </c>
      <c r="KF105" s="263" t="s">
        <v>52</v>
      </c>
      <c r="KG105" s="263" t="s">
        <v>70</v>
      </c>
      <c r="KH105" s="263" t="s">
        <v>1083</v>
      </c>
      <c r="KJ105" s="263" t="s">
        <v>7319</v>
      </c>
      <c r="KK105" s="263" t="s">
        <v>52</v>
      </c>
      <c r="KL105" s="263" t="s">
        <v>74</v>
      </c>
      <c r="KM105" s="263" t="s">
        <v>34074</v>
      </c>
      <c r="KO105" s="214" t="s">
        <v>7320</v>
      </c>
      <c r="KP105" s="214" t="s">
        <v>145</v>
      </c>
      <c r="KQ105" s="214" t="s">
        <v>70</v>
      </c>
      <c r="KR105" s="214" t="s">
        <v>67</v>
      </c>
      <c r="KT105" s="22" t="s">
        <v>7321</v>
      </c>
      <c r="KU105" s="22" t="s">
        <v>145</v>
      </c>
      <c r="KV105" s="22" t="s">
        <v>70</v>
      </c>
      <c r="KW105" s="22" t="s">
        <v>67</v>
      </c>
      <c r="KY105" s="214" t="s">
        <v>7322</v>
      </c>
      <c r="KZ105" s="214" t="s">
        <v>52</v>
      </c>
      <c r="LA105" s="214" t="s">
        <v>74</v>
      </c>
      <c r="LB105" s="214" t="s">
        <v>67</v>
      </c>
      <c r="LD105" s="22" t="s">
        <v>7323</v>
      </c>
      <c r="LE105" s="22" t="s">
        <v>145</v>
      </c>
      <c r="LF105" s="22" t="s">
        <v>70</v>
      </c>
      <c r="LG105" s="22" t="s">
        <v>67</v>
      </c>
    </row>
    <row r="106" spans="1:319">
      <c r="A106" s="22" t="s">
        <v>7324</v>
      </c>
      <c r="B106" s="22" t="s">
        <v>145</v>
      </c>
      <c r="C106" s="22" t="s">
        <v>70</v>
      </c>
      <c r="D106" s="22" t="s">
        <v>67</v>
      </c>
      <c r="F106" s="23" t="s">
        <v>7325</v>
      </c>
      <c r="G106" s="23" t="str">
        <f>TVIIBE1M_CalPairs!$E103</f>
        <v>0x00</v>
      </c>
      <c r="H106" s="23" t="s">
        <v>72</v>
      </c>
      <c r="I106" s="23" t="str">
        <f>TVIIBE1M_CalPairs!$C103</f>
        <v>PWR_TRIM_HT_OVDVDDA_CTL_VAL3</v>
      </c>
      <c r="K106" s="22" t="s">
        <v>7326</v>
      </c>
      <c r="L106" s="22" t="s">
        <v>145</v>
      </c>
      <c r="M106" s="22" t="s">
        <v>70</v>
      </c>
      <c r="N106" s="22" t="s">
        <v>67</v>
      </c>
      <c r="P106" s="394" t="s">
        <v>7327</v>
      </c>
      <c r="Q106" s="394" t="s">
        <v>145</v>
      </c>
      <c r="R106" s="394" t="s">
        <v>72</v>
      </c>
      <c r="S106" s="394" t="s">
        <v>34205</v>
      </c>
      <c r="U106" s="293" t="s">
        <v>7328</v>
      </c>
      <c r="V106" s="293" t="s">
        <v>145</v>
      </c>
      <c r="W106" s="293" t="s">
        <v>74</v>
      </c>
      <c r="X106" s="293" t="s">
        <v>656</v>
      </c>
      <c r="Z106" s="293" t="s">
        <v>7329</v>
      </c>
      <c r="AA106" s="293" t="s">
        <v>145</v>
      </c>
      <c r="AB106" s="293" t="s">
        <v>74</v>
      </c>
      <c r="AC106" s="293" t="s">
        <v>656</v>
      </c>
      <c r="AE106" s="293" t="s">
        <v>7330</v>
      </c>
      <c r="AF106" s="293" t="s">
        <v>145</v>
      </c>
      <c r="AG106" s="293" t="s">
        <v>74</v>
      </c>
      <c r="AH106" s="293" t="s">
        <v>656</v>
      </c>
      <c r="AJ106" s="293" t="s">
        <v>7331</v>
      </c>
      <c r="AK106" s="293" t="s">
        <v>145</v>
      </c>
      <c r="AL106" s="293" t="s">
        <v>74</v>
      </c>
      <c r="AM106" s="293" t="s">
        <v>656</v>
      </c>
      <c r="AO106" s="22" t="s">
        <v>7332</v>
      </c>
      <c r="AP106" s="22" t="s">
        <v>145</v>
      </c>
      <c r="AQ106" s="22" t="s">
        <v>70</v>
      </c>
      <c r="AR106" s="22" t="s">
        <v>67</v>
      </c>
      <c r="AT106" s="22" t="s">
        <v>7333</v>
      </c>
      <c r="AU106" s="22" t="s">
        <v>145</v>
      </c>
      <c r="AV106" s="22" t="s">
        <v>70</v>
      </c>
      <c r="AW106" s="22" t="s">
        <v>67</v>
      </c>
      <c r="AY106" s="22" t="s">
        <v>7334</v>
      </c>
      <c r="AZ106" s="22" t="s">
        <v>145</v>
      </c>
      <c r="BA106" s="22" t="s">
        <v>70</v>
      </c>
      <c r="BB106" s="22" t="s">
        <v>67</v>
      </c>
      <c r="BD106" s="22" t="s">
        <v>7335</v>
      </c>
      <c r="BE106" s="22" t="s">
        <v>145</v>
      </c>
      <c r="BF106" s="22" t="s">
        <v>70</v>
      </c>
      <c r="BG106" s="22" t="s">
        <v>67</v>
      </c>
      <c r="BI106" s="22" t="s">
        <v>7336</v>
      </c>
      <c r="BJ106" s="22" t="s">
        <v>145</v>
      </c>
      <c r="BK106" s="22" t="s">
        <v>70</v>
      </c>
      <c r="BL106" s="22" t="s">
        <v>67</v>
      </c>
      <c r="BN106" s="22" t="s">
        <v>7337</v>
      </c>
      <c r="BO106" s="22" t="s">
        <v>145</v>
      </c>
      <c r="BP106" s="22" t="s">
        <v>70</v>
      </c>
      <c r="BQ106" s="22" t="s">
        <v>67</v>
      </c>
      <c r="BS106" s="22" t="s">
        <v>7338</v>
      </c>
      <c r="BT106" s="22" t="s">
        <v>145</v>
      </c>
      <c r="BU106" s="22" t="s">
        <v>70</v>
      </c>
      <c r="BV106" s="214" t="s">
        <v>530</v>
      </c>
      <c r="BX106" s="22" t="s">
        <v>7339</v>
      </c>
      <c r="BY106" s="22" t="s">
        <v>145</v>
      </c>
      <c r="BZ106" s="22" t="s">
        <v>70</v>
      </c>
      <c r="CA106" s="214" t="s">
        <v>530</v>
      </c>
      <c r="CC106" s="214" t="s">
        <v>7340</v>
      </c>
      <c r="CD106" s="218" t="s">
        <v>145</v>
      </c>
      <c r="CE106" s="214" t="s">
        <v>70</v>
      </c>
      <c r="CF106" s="214" t="s">
        <v>401</v>
      </c>
      <c r="CH106" s="214" t="s">
        <v>7341</v>
      </c>
      <c r="CI106" s="214" t="s">
        <v>468</v>
      </c>
      <c r="CJ106" s="214" t="s">
        <v>70</v>
      </c>
      <c r="CK106" s="214" t="s">
        <v>530</v>
      </c>
      <c r="CM106" s="214" t="s">
        <v>7342</v>
      </c>
      <c r="CN106" s="214" t="s">
        <v>34550</v>
      </c>
      <c r="CO106" s="214" t="s">
        <v>70</v>
      </c>
      <c r="CP106" s="214" t="s">
        <v>530</v>
      </c>
      <c r="CR106" s="214" t="s">
        <v>7343</v>
      </c>
      <c r="CS106" s="214" t="s">
        <v>149</v>
      </c>
      <c r="CT106" s="214" t="s">
        <v>70</v>
      </c>
      <c r="CU106" s="214" t="s">
        <v>530</v>
      </c>
      <c r="CW106" s="214" t="s">
        <v>7344</v>
      </c>
      <c r="CX106" s="214" t="s">
        <v>52</v>
      </c>
      <c r="CY106" s="214" t="s">
        <v>70</v>
      </c>
      <c r="CZ106" s="214" t="s">
        <v>530</v>
      </c>
      <c r="DB106" s="214" t="s">
        <v>7345</v>
      </c>
      <c r="DC106" s="214" t="s">
        <v>34575</v>
      </c>
      <c r="DD106" s="214" t="s">
        <v>70</v>
      </c>
      <c r="DE106" s="214" t="s">
        <v>530</v>
      </c>
      <c r="DG106" s="214" t="s">
        <v>7346</v>
      </c>
      <c r="DH106" s="214" t="s">
        <v>21742</v>
      </c>
      <c r="DI106" s="214" t="s">
        <v>70</v>
      </c>
      <c r="DJ106" s="214" t="s">
        <v>530</v>
      </c>
      <c r="DL106" s="214" t="s">
        <v>7347</v>
      </c>
      <c r="DM106" s="214" t="s">
        <v>52</v>
      </c>
      <c r="DN106" s="214" t="s">
        <v>70</v>
      </c>
      <c r="DO106" s="214" t="s">
        <v>530</v>
      </c>
      <c r="DQ106" s="214" t="s">
        <v>7348</v>
      </c>
      <c r="DR106" s="214" t="s">
        <v>34564</v>
      </c>
      <c r="DS106" s="214" t="s">
        <v>70</v>
      </c>
      <c r="DT106" s="214" t="s">
        <v>530</v>
      </c>
      <c r="DV106" s="214" t="s">
        <v>7349</v>
      </c>
      <c r="DW106" s="214" t="s">
        <v>88</v>
      </c>
      <c r="DX106" s="214" t="s">
        <v>70</v>
      </c>
      <c r="DY106" s="214" t="s">
        <v>530</v>
      </c>
      <c r="EA106" s="214" t="s">
        <v>7350</v>
      </c>
      <c r="EB106" s="214" t="s">
        <v>52</v>
      </c>
      <c r="EC106" s="214" t="s">
        <v>70</v>
      </c>
      <c r="ED106" s="214" t="s">
        <v>530</v>
      </c>
      <c r="EF106" s="214" t="s">
        <v>7351</v>
      </c>
      <c r="EG106" s="214" t="s">
        <v>85</v>
      </c>
      <c r="EH106" s="214" t="s">
        <v>70</v>
      </c>
      <c r="EI106" s="214" t="s">
        <v>530</v>
      </c>
      <c r="EK106" s="214" t="s">
        <v>7352</v>
      </c>
      <c r="EL106" s="214" t="s">
        <v>206</v>
      </c>
      <c r="EM106" s="214" t="s">
        <v>70</v>
      </c>
      <c r="EN106" s="214" t="s">
        <v>530</v>
      </c>
      <c r="EP106" s="214" t="s">
        <v>7353</v>
      </c>
      <c r="EQ106" s="214" t="s">
        <v>52</v>
      </c>
      <c r="ER106" s="214" t="s">
        <v>70</v>
      </c>
      <c r="ES106" s="214" t="s">
        <v>530</v>
      </c>
      <c r="EU106" s="214" t="s">
        <v>7354</v>
      </c>
      <c r="EV106" s="214" t="s">
        <v>52</v>
      </c>
      <c r="EW106" s="214" t="s">
        <v>70</v>
      </c>
      <c r="EX106" s="214" t="s">
        <v>530</v>
      </c>
      <c r="EZ106" s="214" t="s">
        <v>7355</v>
      </c>
      <c r="FA106" s="214" t="s">
        <v>52</v>
      </c>
      <c r="FB106" s="214" t="s">
        <v>70</v>
      </c>
      <c r="FC106" s="214" t="s">
        <v>530</v>
      </c>
      <c r="FE106" s="214" t="s">
        <v>7356</v>
      </c>
      <c r="FF106" s="214" t="s">
        <v>947</v>
      </c>
      <c r="FG106" s="214" t="s">
        <v>70</v>
      </c>
      <c r="FH106" s="214" t="s">
        <v>530</v>
      </c>
      <c r="FJ106" s="321" t="s">
        <v>7357</v>
      </c>
      <c r="FK106" s="214" t="s">
        <v>482</v>
      </c>
      <c r="FL106" s="214" t="s">
        <v>70</v>
      </c>
      <c r="FM106" s="214" t="s">
        <v>530</v>
      </c>
      <c r="FO106" s="321" t="s">
        <v>7358</v>
      </c>
      <c r="FP106" s="214" t="s">
        <v>490</v>
      </c>
      <c r="FQ106" s="214" t="s">
        <v>70</v>
      </c>
      <c r="FR106" s="214" t="s">
        <v>530</v>
      </c>
      <c r="FT106" s="321" t="s">
        <v>7359</v>
      </c>
      <c r="FU106" s="214" t="s">
        <v>602</v>
      </c>
      <c r="FV106" s="214" t="s">
        <v>70</v>
      </c>
      <c r="FW106" s="214" t="s">
        <v>530</v>
      </c>
      <c r="FY106" s="321" t="s">
        <v>7360</v>
      </c>
      <c r="FZ106" s="214" t="s">
        <v>52</v>
      </c>
      <c r="GA106" s="214" t="s">
        <v>70</v>
      </c>
      <c r="GB106" s="214" t="s">
        <v>530</v>
      </c>
      <c r="GD106" s="321" t="s">
        <v>7361</v>
      </c>
      <c r="GE106" s="214" t="s">
        <v>87</v>
      </c>
      <c r="GF106" s="214" t="s">
        <v>70</v>
      </c>
      <c r="GG106" s="214" t="s">
        <v>530</v>
      </c>
      <c r="GI106" s="321" t="s">
        <v>7362</v>
      </c>
      <c r="GJ106" s="214" t="s">
        <v>163</v>
      </c>
      <c r="GK106" s="214" t="s">
        <v>70</v>
      </c>
      <c r="GL106" s="214" t="s">
        <v>530</v>
      </c>
      <c r="GN106" s="321" t="s">
        <v>7363</v>
      </c>
      <c r="GO106" s="214" t="s">
        <v>52</v>
      </c>
      <c r="GP106" s="214" t="s">
        <v>70</v>
      </c>
      <c r="GQ106" s="214" t="s">
        <v>530</v>
      </c>
      <c r="GS106" s="321" t="s">
        <v>7364</v>
      </c>
      <c r="GT106" s="214" t="s">
        <v>145</v>
      </c>
      <c r="GU106" s="214" t="s">
        <v>70</v>
      </c>
      <c r="GV106" s="214" t="s">
        <v>530</v>
      </c>
      <c r="GX106" s="214" t="s">
        <v>7365</v>
      </c>
      <c r="GY106" s="214" t="s">
        <v>34594</v>
      </c>
      <c r="GZ106" s="214" t="s">
        <v>70</v>
      </c>
      <c r="HA106" s="214" t="s">
        <v>530</v>
      </c>
      <c r="HC106" s="214" t="s">
        <v>7366</v>
      </c>
      <c r="HD106" s="214" t="s">
        <v>145</v>
      </c>
      <c r="HE106" s="214" t="s">
        <v>70</v>
      </c>
      <c r="HF106" s="214" t="s">
        <v>530</v>
      </c>
      <c r="HH106" s="214" t="s">
        <v>7367</v>
      </c>
      <c r="HI106" s="214" t="s">
        <v>305</v>
      </c>
      <c r="HJ106" s="214" t="s">
        <v>70</v>
      </c>
      <c r="HK106" s="214" t="s">
        <v>530</v>
      </c>
      <c r="HM106" s="214" t="s">
        <v>7368</v>
      </c>
      <c r="HN106" s="214" t="s">
        <v>52</v>
      </c>
      <c r="HO106" s="214" t="s">
        <v>70</v>
      </c>
      <c r="HP106" s="214" t="s">
        <v>530</v>
      </c>
      <c r="HR106" s="22" t="s">
        <v>7369</v>
      </c>
      <c r="HS106" s="22" t="s">
        <v>490</v>
      </c>
      <c r="HT106" s="22" t="s">
        <v>70</v>
      </c>
      <c r="HU106" s="214" t="s">
        <v>530</v>
      </c>
      <c r="HW106" s="22" t="s">
        <v>7370</v>
      </c>
      <c r="HX106" s="22" t="s">
        <v>492</v>
      </c>
      <c r="HY106" s="22" t="s">
        <v>70</v>
      </c>
      <c r="HZ106" s="214" t="s">
        <v>530</v>
      </c>
      <c r="IB106" s="22" t="s">
        <v>7371</v>
      </c>
      <c r="IC106" s="22" t="s">
        <v>468</v>
      </c>
      <c r="ID106" s="22" t="s">
        <v>70</v>
      </c>
      <c r="IE106" s="214" t="s">
        <v>530</v>
      </c>
      <c r="IG106" s="22" t="s">
        <v>7372</v>
      </c>
      <c r="IH106" s="22" t="s">
        <v>52</v>
      </c>
      <c r="II106" s="22" t="s">
        <v>70</v>
      </c>
      <c r="IJ106" s="214" t="s">
        <v>530</v>
      </c>
      <c r="IL106" s="22" t="s">
        <v>7373</v>
      </c>
      <c r="IM106" s="22" t="s">
        <v>145</v>
      </c>
      <c r="IN106" s="22" t="s">
        <v>70</v>
      </c>
      <c r="IO106" s="214" t="s">
        <v>530</v>
      </c>
      <c r="IQ106" s="236" t="s">
        <v>7374</v>
      </c>
      <c r="IR106" s="236" t="s">
        <v>145</v>
      </c>
      <c r="IS106" s="236" t="s">
        <v>74</v>
      </c>
      <c r="IT106" s="236" t="s">
        <v>841</v>
      </c>
      <c r="IV106" s="236" t="s">
        <v>7375</v>
      </c>
      <c r="IW106" s="236" t="s">
        <v>145</v>
      </c>
      <c r="IX106" s="236" t="s">
        <v>74</v>
      </c>
      <c r="IY106" s="236" t="s">
        <v>841</v>
      </c>
      <c r="JA106" s="236" t="s">
        <v>7376</v>
      </c>
      <c r="JB106" s="236" t="s">
        <v>145</v>
      </c>
      <c r="JC106" s="236" t="s">
        <v>74</v>
      </c>
      <c r="JD106" s="236" t="s">
        <v>841</v>
      </c>
      <c r="JF106" s="236" t="s">
        <v>7377</v>
      </c>
      <c r="JG106" s="236" t="s">
        <v>145</v>
      </c>
      <c r="JH106" s="236" t="s">
        <v>74</v>
      </c>
      <c r="JI106" s="236" t="s">
        <v>841</v>
      </c>
      <c r="JK106" s="236" t="s">
        <v>7378</v>
      </c>
      <c r="JL106" s="236" t="s">
        <v>145</v>
      </c>
      <c r="JM106" s="236" t="s">
        <v>74</v>
      </c>
      <c r="JN106" s="236" t="s">
        <v>841</v>
      </c>
      <c r="JP106" s="236" t="s">
        <v>7379</v>
      </c>
      <c r="JQ106" s="236" t="s">
        <v>145</v>
      </c>
      <c r="JR106" s="236" t="s">
        <v>74</v>
      </c>
      <c r="JS106" s="236" t="s">
        <v>841</v>
      </c>
      <c r="JU106" s="294" t="s">
        <v>7380</v>
      </c>
      <c r="JV106" s="294" t="str">
        <f>TVIIBE1M_CalPairs!$R115</f>
        <v>0xFF</v>
      </c>
      <c r="JW106" s="263" t="s">
        <v>70</v>
      </c>
      <c r="JX106" s="294" t="str">
        <f>TVIIBE1M_CalPairs!$Q115</f>
        <v>PPU13_SL_CONFIG</v>
      </c>
      <c r="JZ106" s="263" t="s">
        <v>7381</v>
      </c>
      <c r="KA106" s="263" t="s">
        <v>145</v>
      </c>
      <c r="KB106" s="263" t="s">
        <v>70</v>
      </c>
      <c r="KC106" s="263" t="s">
        <v>1083</v>
      </c>
      <c r="KE106" s="263" t="s">
        <v>7382</v>
      </c>
      <c r="KF106" s="263" t="s">
        <v>52</v>
      </c>
      <c r="KG106" s="263" t="s">
        <v>70</v>
      </c>
      <c r="KH106" s="263" t="s">
        <v>1083</v>
      </c>
      <c r="KJ106" s="263" t="s">
        <v>7383</v>
      </c>
      <c r="KK106" s="263" t="s">
        <v>52</v>
      </c>
      <c r="KL106" s="263" t="s">
        <v>74</v>
      </c>
      <c r="KM106" s="263" t="s">
        <v>34074</v>
      </c>
      <c r="KO106" s="214" t="s">
        <v>7384</v>
      </c>
      <c r="KP106" s="214" t="s">
        <v>145</v>
      </c>
      <c r="KQ106" s="214" t="s">
        <v>70</v>
      </c>
      <c r="KR106" s="214" t="s">
        <v>67</v>
      </c>
      <c r="KT106" s="22" t="s">
        <v>7385</v>
      </c>
      <c r="KU106" s="22" t="s">
        <v>145</v>
      </c>
      <c r="KV106" s="22" t="s">
        <v>70</v>
      </c>
      <c r="KW106" s="22" t="s">
        <v>67</v>
      </c>
      <c r="KY106" s="214" t="s">
        <v>7386</v>
      </c>
      <c r="KZ106" s="214" t="s">
        <v>52</v>
      </c>
      <c r="LA106" s="214" t="s">
        <v>74</v>
      </c>
      <c r="LB106" s="214" t="s">
        <v>67</v>
      </c>
      <c r="LD106" s="22" t="s">
        <v>7387</v>
      </c>
      <c r="LE106" s="22" t="s">
        <v>145</v>
      </c>
      <c r="LF106" s="22" t="s">
        <v>70</v>
      </c>
      <c r="LG106" s="22" t="s">
        <v>67</v>
      </c>
    </row>
    <row r="107" spans="1:319">
      <c r="A107" s="22" t="s">
        <v>7388</v>
      </c>
      <c r="B107" s="22" t="s">
        <v>145</v>
      </c>
      <c r="C107" s="22" t="s">
        <v>70</v>
      </c>
      <c r="D107" s="22" t="s">
        <v>67</v>
      </c>
      <c r="F107" s="23" t="s">
        <v>7389</v>
      </c>
      <c r="G107" s="23" t="str">
        <f>TVIIBE1M_CalPairs!$E104</f>
        <v>0x00</v>
      </c>
      <c r="H107" s="23" t="s">
        <v>72</v>
      </c>
      <c r="I107" s="23" t="str">
        <f>TVIIBE1M_CalPairs!$C104</f>
        <v>PWR_TRIM_HT_OVDVCCD_CTL_VAL0</v>
      </c>
      <c r="K107" s="22" t="s">
        <v>7390</v>
      </c>
      <c r="L107" s="22" t="s">
        <v>145</v>
      </c>
      <c r="M107" s="22" t="s">
        <v>70</v>
      </c>
      <c r="N107" s="22" t="s">
        <v>67</v>
      </c>
      <c r="P107" s="394" t="s">
        <v>7391</v>
      </c>
      <c r="Q107" s="394" t="s">
        <v>145</v>
      </c>
      <c r="R107" s="394" t="s">
        <v>72</v>
      </c>
      <c r="S107" s="394" t="s">
        <v>34205</v>
      </c>
      <c r="U107" s="293" t="s">
        <v>7392</v>
      </c>
      <c r="V107" s="293" t="s">
        <v>145</v>
      </c>
      <c r="W107" s="293" t="s">
        <v>74</v>
      </c>
      <c r="X107" s="293" t="s">
        <v>656</v>
      </c>
      <c r="Z107" s="293" t="s">
        <v>7393</v>
      </c>
      <c r="AA107" s="293" t="s">
        <v>145</v>
      </c>
      <c r="AB107" s="293" t="s">
        <v>74</v>
      </c>
      <c r="AC107" s="293" t="s">
        <v>656</v>
      </c>
      <c r="AE107" s="293" t="s">
        <v>7394</v>
      </c>
      <c r="AF107" s="293" t="s">
        <v>145</v>
      </c>
      <c r="AG107" s="293" t="s">
        <v>74</v>
      </c>
      <c r="AH107" s="293" t="s">
        <v>656</v>
      </c>
      <c r="AJ107" s="293" t="s">
        <v>7395</v>
      </c>
      <c r="AK107" s="293" t="s">
        <v>145</v>
      </c>
      <c r="AL107" s="293" t="s">
        <v>74</v>
      </c>
      <c r="AM107" s="293" t="s">
        <v>656</v>
      </c>
      <c r="AO107" s="22" t="s">
        <v>7396</v>
      </c>
      <c r="AP107" s="22" t="s">
        <v>145</v>
      </c>
      <c r="AQ107" s="22" t="s">
        <v>70</v>
      </c>
      <c r="AR107" s="22" t="s">
        <v>67</v>
      </c>
      <c r="AT107" s="22" t="s">
        <v>7397</v>
      </c>
      <c r="AU107" s="22" t="s">
        <v>145</v>
      </c>
      <c r="AV107" s="22" t="s">
        <v>70</v>
      </c>
      <c r="AW107" s="22" t="s">
        <v>67</v>
      </c>
      <c r="AY107" s="22" t="s">
        <v>7398</v>
      </c>
      <c r="AZ107" s="22" t="s">
        <v>145</v>
      </c>
      <c r="BA107" s="22" t="s">
        <v>70</v>
      </c>
      <c r="BB107" s="22" t="s">
        <v>67</v>
      </c>
      <c r="BD107" s="22" t="s">
        <v>7399</v>
      </c>
      <c r="BE107" s="22" t="s">
        <v>145</v>
      </c>
      <c r="BF107" s="22" t="s">
        <v>70</v>
      </c>
      <c r="BG107" s="22" t="s">
        <v>67</v>
      </c>
      <c r="BI107" s="22" t="s">
        <v>7400</v>
      </c>
      <c r="BJ107" s="22" t="s">
        <v>145</v>
      </c>
      <c r="BK107" s="22" t="s">
        <v>70</v>
      </c>
      <c r="BL107" s="22" t="s">
        <v>67</v>
      </c>
      <c r="BN107" s="22" t="s">
        <v>7401</v>
      </c>
      <c r="BO107" s="22" t="s">
        <v>145</v>
      </c>
      <c r="BP107" s="22" t="s">
        <v>70</v>
      </c>
      <c r="BQ107" s="22" t="s">
        <v>67</v>
      </c>
      <c r="BS107" s="22" t="s">
        <v>7402</v>
      </c>
      <c r="BT107" s="22" t="s">
        <v>145</v>
      </c>
      <c r="BU107" s="22" t="s">
        <v>70</v>
      </c>
      <c r="BV107" s="214" t="s">
        <v>530</v>
      </c>
      <c r="BX107" s="22" t="s">
        <v>7403</v>
      </c>
      <c r="BY107" s="22" t="s">
        <v>145</v>
      </c>
      <c r="BZ107" s="22" t="s">
        <v>70</v>
      </c>
      <c r="CA107" s="214" t="s">
        <v>530</v>
      </c>
      <c r="CC107" s="214" t="s">
        <v>7404</v>
      </c>
      <c r="CD107" s="218" t="s">
        <v>145</v>
      </c>
      <c r="CE107" s="214" t="s">
        <v>70</v>
      </c>
      <c r="CF107" s="214" t="s">
        <v>402</v>
      </c>
      <c r="CH107" s="214" t="s">
        <v>7405</v>
      </c>
      <c r="CI107" s="214" t="s">
        <v>926</v>
      </c>
      <c r="CJ107" s="214" t="s">
        <v>70</v>
      </c>
      <c r="CK107" s="214" t="s">
        <v>530</v>
      </c>
      <c r="CM107" s="214" t="s">
        <v>7406</v>
      </c>
      <c r="CN107" s="214" t="s">
        <v>34542</v>
      </c>
      <c r="CO107" s="214" t="s">
        <v>70</v>
      </c>
      <c r="CP107" s="214" t="s">
        <v>530</v>
      </c>
      <c r="CR107" s="214" t="s">
        <v>7407</v>
      </c>
      <c r="CS107" s="214" t="s">
        <v>484</v>
      </c>
      <c r="CT107" s="214" t="s">
        <v>70</v>
      </c>
      <c r="CU107" s="214" t="s">
        <v>530</v>
      </c>
      <c r="CW107" s="214" t="s">
        <v>7408</v>
      </c>
      <c r="CX107" s="214" t="s">
        <v>916</v>
      </c>
      <c r="CY107" s="214" t="s">
        <v>70</v>
      </c>
      <c r="CZ107" s="214" t="s">
        <v>530</v>
      </c>
      <c r="DB107" s="214" t="s">
        <v>7409</v>
      </c>
      <c r="DC107" s="214" t="s">
        <v>148</v>
      </c>
      <c r="DD107" s="214" t="s">
        <v>70</v>
      </c>
      <c r="DE107" s="214" t="s">
        <v>530</v>
      </c>
      <c r="DG107" s="214" t="s">
        <v>7410</v>
      </c>
      <c r="DH107" s="214" t="s">
        <v>484</v>
      </c>
      <c r="DI107" s="214" t="s">
        <v>70</v>
      </c>
      <c r="DJ107" s="214" t="s">
        <v>530</v>
      </c>
      <c r="DL107" s="214" t="s">
        <v>7411</v>
      </c>
      <c r="DM107" s="214" t="s">
        <v>916</v>
      </c>
      <c r="DN107" s="214" t="s">
        <v>70</v>
      </c>
      <c r="DO107" s="214" t="s">
        <v>530</v>
      </c>
      <c r="DQ107" s="214" t="s">
        <v>7412</v>
      </c>
      <c r="DR107" s="214" t="s">
        <v>910</v>
      </c>
      <c r="DS107" s="214" t="s">
        <v>70</v>
      </c>
      <c r="DT107" s="214" t="s">
        <v>530</v>
      </c>
      <c r="DV107" s="214" t="s">
        <v>7413</v>
      </c>
      <c r="DW107" s="214" t="s">
        <v>486</v>
      </c>
      <c r="DX107" s="214" t="s">
        <v>70</v>
      </c>
      <c r="DY107" s="214" t="s">
        <v>530</v>
      </c>
      <c r="EA107" s="214" t="s">
        <v>7414</v>
      </c>
      <c r="EB107" s="214" t="s">
        <v>485</v>
      </c>
      <c r="EC107" s="214" t="s">
        <v>70</v>
      </c>
      <c r="ED107" s="214" t="s">
        <v>530</v>
      </c>
      <c r="EF107" s="214" t="s">
        <v>7415</v>
      </c>
      <c r="EG107" s="214" t="s">
        <v>34544</v>
      </c>
      <c r="EH107" s="214" t="s">
        <v>70</v>
      </c>
      <c r="EI107" s="214" t="s">
        <v>530</v>
      </c>
      <c r="EK107" s="214" t="s">
        <v>7416</v>
      </c>
      <c r="EL107" s="214" t="s">
        <v>484</v>
      </c>
      <c r="EM107" s="214" t="s">
        <v>70</v>
      </c>
      <c r="EN107" s="214" t="s">
        <v>530</v>
      </c>
      <c r="EP107" s="214" t="s">
        <v>7417</v>
      </c>
      <c r="EQ107" s="214" t="s">
        <v>34542</v>
      </c>
      <c r="ER107" s="214" t="s">
        <v>70</v>
      </c>
      <c r="ES107" s="214" t="s">
        <v>530</v>
      </c>
      <c r="EU107" s="214" t="s">
        <v>7418</v>
      </c>
      <c r="EV107" s="214" t="s">
        <v>468</v>
      </c>
      <c r="EW107" s="214" t="s">
        <v>70</v>
      </c>
      <c r="EX107" s="214" t="s">
        <v>530</v>
      </c>
      <c r="EZ107" s="214" t="s">
        <v>7419</v>
      </c>
      <c r="FA107" s="214" t="s">
        <v>484</v>
      </c>
      <c r="FB107" s="214" t="s">
        <v>70</v>
      </c>
      <c r="FC107" s="214" t="s">
        <v>530</v>
      </c>
      <c r="FE107" s="214" t="s">
        <v>7420</v>
      </c>
      <c r="FF107" s="214" t="s">
        <v>34556</v>
      </c>
      <c r="FG107" s="214" t="s">
        <v>70</v>
      </c>
      <c r="FH107" s="214" t="s">
        <v>530</v>
      </c>
      <c r="FJ107" s="321" t="s">
        <v>7421</v>
      </c>
      <c r="FK107" s="214" t="s">
        <v>146</v>
      </c>
      <c r="FL107" s="214" t="s">
        <v>70</v>
      </c>
      <c r="FM107" s="214" t="s">
        <v>530</v>
      </c>
      <c r="FO107" s="321" t="s">
        <v>7422</v>
      </c>
      <c r="FP107" s="214" t="s">
        <v>34542</v>
      </c>
      <c r="FQ107" s="214" t="s">
        <v>70</v>
      </c>
      <c r="FR107" s="214" t="s">
        <v>530</v>
      </c>
      <c r="FT107" s="321" t="s">
        <v>7423</v>
      </c>
      <c r="FU107" s="214" t="s">
        <v>52</v>
      </c>
      <c r="FV107" s="214" t="s">
        <v>70</v>
      </c>
      <c r="FW107" s="214" t="s">
        <v>530</v>
      </c>
      <c r="FY107" s="321" t="s">
        <v>7424</v>
      </c>
      <c r="FZ107" s="214" t="s">
        <v>955</v>
      </c>
      <c r="GA107" s="214" t="s">
        <v>70</v>
      </c>
      <c r="GB107" s="214" t="s">
        <v>530</v>
      </c>
      <c r="GD107" s="321" t="s">
        <v>7425</v>
      </c>
      <c r="GE107" s="214" t="s">
        <v>950</v>
      </c>
      <c r="GF107" s="214" t="s">
        <v>70</v>
      </c>
      <c r="GG107" s="214" t="s">
        <v>530</v>
      </c>
      <c r="GI107" s="321" t="s">
        <v>7426</v>
      </c>
      <c r="GJ107" s="214" t="s">
        <v>148</v>
      </c>
      <c r="GK107" s="214" t="s">
        <v>70</v>
      </c>
      <c r="GL107" s="214" t="s">
        <v>530</v>
      </c>
      <c r="GN107" s="321" t="s">
        <v>7427</v>
      </c>
      <c r="GO107" s="214" t="s">
        <v>204</v>
      </c>
      <c r="GP107" s="214" t="s">
        <v>70</v>
      </c>
      <c r="GQ107" s="214" t="s">
        <v>530</v>
      </c>
      <c r="GS107" s="321" t="s">
        <v>7428</v>
      </c>
      <c r="GT107" s="214" t="s">
        <v>34541</v>
      </c>
      <c r="GU107" s="214" t="s">
        <v>70</v>
      </c>
      <c r="GV107" s="214" t="s">
        <v>530</v>
      </c>
      <c r="GX107" s="214" t="s">
        <v>7429</v>
      </c>
      <c r="GY107" s="214" t="s">
        <v>34544</v>
      </c>
      <c r="GZ107" s="214" t="s">
        <v>70</v>
      </c>
      <c r="HA107" s="214" t="s">
        <v>530</v>
      </c>
      <c r="HC107" s="214" t="s">
        <v>7430</v>
      </c>
      <c r="HD107" s="214" t="s">
        <v>34541</v>
      </c>
      <c r="HE107" s="214" t="s">
        <v>70</v>
      </c>
      <c r="HF107" s="214" t="s">
        <v>530</v>
      </c>
      <c r="HH107" s="214" t="s">
        <v>7431</v>
      </c>
      <c r="HI107" s="214" t="s">
        <v>488</v>
      </c>
      <c r="HJ107" s="214" t="s">
        <v>70</v>
      </c>
      <c r="HK107" s="214" t="s">
        <v>530</v>
      </c>
      <c r="HM107" s="214" t="s">
        <v>7432</v>
      </c>
      <c r="HN107" s="214" t="s">
        <v>34546</v>
      </c>
      <c r="HO107" s="214" t="s">
        <v>70</v>
      </c>
      <c r="HP107" s="214" t="s">
        <v>530</v>
      </c>
      <c r="HR107" s="22" t="s">
        <v>7433</v>
      </c>
      <c r="HS107" s="22" t="s">
        <v>531</v>
      </c>
      <c r="HT107" s="22" t="s">
        <v>70</v>
      </c>
      <c r="HU107" s="214" t="s">
        <v>530</v>
      </c>
      <c r="HW107" s="22" t="s">
        <v>7434</v>
      </c>
      <c r="HX107" s="22" t="s">
        <v>798</v>
      </c>
      <c r="HY107" s="22" t="s">
        <v>70</v>
      </c>
      <c r="HZ107" s="214" t="s">
        <v>530</v>
      </c>
      <c r="IB107" s="22" t="s">
        <v>7435</v>
      </c>
      <c r="IC107" s="22" t="s">
        <v>488</v>
      </c>
      <c r="ID107" s="22" t="s">
        <v>70</v>
      </c>
      <c r="IE107" s="214" t="s">
        <v>530</v>
      </c>
      <c r="IG107" s="22" t="s">
        <v>7436</v>
      </c>
      <c r="IH107" s="22" t="s">
        <v>52</v>
      </c>
      <c r="II107" s="22" t="s">
        <v>70</v>
      </c>
      <c r="IJ107" s="214" t="s">
        <v>530</v>
      </c>
      <c r="IL107" s="22" t="s">
        <v>7437</v>
      </c>
      <c r="IM107" s="22" t="s">
        <v>145</v>
      </c>
      <c r="IN107" s="22" t="s">
        <v>70</v>
      </c>
      <c r="IO107" s="214" t="s">
        <v>530</v>
      </c>
      <c r="IQ107" s="236" t="s">
        <v>7438</v>
      </c>
      <c r="IR107" s="236" t="s">
        <v>145</v>
      </c>
      <c r="IS107" s="236" t="s">
        <v>74</v>
      </c>
      <c r="IT107" s="236" t="s">
        <v>841</v>
      </c>
      <c r="IV107" s="236" t="s">
        <v>7439</v>
      </c>
      <c r="IW107" s="236" t="s">
        <v>145</v>
      </c>
      <c r="IX107" s="236" t="s">
        <v>74</v>
      </c>
      <c r="IY107" s="236" t="s">
        <v>841</v>
      </c>
      <c r="JA107" s="236" t="s">
        <v>7440</v>
      </c>
      <c r="JB107" s="236" t="s">
        <v>145</v>
      </c>
      <c r="JC107" s="236" t="s">
        <v>74</v>
      </c>
      <c r="JD107" s="236" t="s">
        <v>841</v>
      </c>
      <c r="JF107" s="236" t="s">
        <v>7441</v>
      </c>
      <c r="JG107" s="236" t="s">
        <v>145</v>
      </c>
      <c r="JH107" s="236" t="s">
        <v>74</v>
      </c>
      <c r="JI107" s="236" t="s">
        <v>841</v>
      </c>
      <c r="JK107" s="236" t="s">
        <v>7442</v>
      </c>
      <c r="JL107" s="236" t="s">
        <v>145</v>
      </c>
      <c r="JM107" s="236" t="s">
        <v>74</v>
      </c>
      <c r="JN107" s="236" t="s">
        <v>841</v>
      </c>
      <c r="JP107" s="236" t="s">
        <v>7443</v>
      </c>
      <c r="JQ107" s="236" t="s">
        <v>145</v>
      </c>
      <c r="JR107" s="236" t="s">
        <v>74</v>
      </c>
      <c r="JS107" s="236" t="s">
        <v>841</v>
      </c>
      <c r="JU107" s="294" t="s">
        <v>7444</v>
      </c>
      <c r="JV107" s="294" t="str">
        <f>TVIIBE1M_CalPairs!$R116</f>
        <v>0xFF</v>
      </c>
      <c r="JW107" s="263" t="s">
        <v>70</v>
      </c>
      <c r="JX107" s="294" t="str">
        <f>TVIIBE1M_CalPairs!$Q116</f>
        <v>PPU13_MS_CONFIG</v>
      </c>
      <c r="JZ107" s="263" t="s">
        <v>7445</v>
      </c>
      <c r="KA107" s="263" t="s">
        <v>145</v>
      </c>
      <c r="KB107" s="263" t="s">
        <v>70</v>
      </c>
      <c r="KC107" s="263" t="s">
        <v>1083</v>
      </c>
      <c r="KE107" s="263" t="s">
        <v>7446</v>
      </c>
      <c r="KF107" s="263" t="s">
        <v>52</v>
      </c>
      <c r="KG107" s="263" t="s">
        <v>70</v>
      </c>
      <c r="KH107" s="263" t="s">
        <v>1083</v>
      </c>
      <c r="KJ107" s="263" t="s">
        <v>7447</v>
      </c>
      <c r="KK107" s="263" t="s">
        <v>52</v>
      </c>
      <c r="KL107" s="263" t="s">
        <v>74</v>
      </c>
      <c r="KM107" s="263" t="s">
        <v>34074</v>
      </c>
      <c r="KO107" s="214" t="s">
        <v>7448</v>
      </c>
      <c r="KP107" s="214" t="s">
        <v>145</v>
      </c>
      <c r="KQ107" s="214" t="s">
        <v>70</v>
      </c>
      <c r="KR107" s="214" t="s">
        <v>67</v>
      </c>
      <c r="KT107" s="22" t="s">
        <v>7449</v>
      </c>
      <c r="KU107" s="22" t="s">
        <v>145</v>
      </c>
      <c r="KV107" s="22" t="s">
        <v>70</v>
      </c>
      <c r="KW107" s="22" t="s">
        <v>67</v>
      </c>
      <c r="KY107" s="214" t="s">
        <v>7450</v>
      </c>
      <c r="KZ107" s="214" t="s">
        <v>52</v>
      </c>
      <c r="LA107" s="214" t="s">
        <v>74</v>
      </c>
      <c r="LB107" s="214" t="s">
        <v>67</v>
      </c>
      <c r="LD107" s="22" t="s">
        <v>7451</v>
      </c>
      <c r="LE107" s="22" t="s">
        <v>145</v>
      </c>
      <c r="LF107" s="22" t="s">
        <v>70</v>
      </c>
      <c r="LG107" s="22" t="s">
        <v>67</v>
      </c>
    </row>
    <row r="108" spans="1:319">
      <c r="A108" s="22" t="s">
        <v>7452</v>
      </c>
      <c r="B108" s="22" t="s">
        <v>145</v>
      </c>
      <c r="C108" s="22" t="s">
        <v>70</v>
      </c>
      <c r="D108" s="22" t="s">
        <v>67</v>
      </c>
      <c r="F108" s="23" t="s">
        <v>7453</v>
      </c>
      <c r="G108" s="23" t="str">
        <f>TVIIBE1M_CalPairs!$E105</f>
        <v>0x00</v>
      </c>
      <c r="H108" s="23" t="s">
        <v>72</v>
      </c>
      <c r="I108" s="23" t="str">
        <f>TVIIBE1M_CalPairs!$C105</f>
        <v>PWR_TRIM_HT_OVDVCCD_CTL_VAL1</v>
      </c>
      <c r="K108" s="22" t="s">
        <v>7454</v>
      </c>
      <c r="L108" s="22" t="s">
        <v>145</v>
      </c>
      <c r="M108" s="22" t="s">
        <v>70</v>
      </c>
      <c r="N108" s="22" t="s">
        <v>67</v>
      </c>
      <c r="P108" s="394" t="s">
        <v>7455</v>
      </c>
      <c r="Q108" s="394" t="s">
        <v>145</v>
      </c>
      <c r="R108" s="394" t="s">
        <v>72</v>
      </c>
      <c r="S108" s="394" t="s">
        <v>34206</v>
      </c>
      <c r="U108" s="293" t="s">
        <v>7456</v>
      </c>
      <c r="V108" s="293" t="s">
        <v>145</v>
      </c>
      <c r="W108" s="293" t="s">
        <v>74</v>
      </c>
      <c r="X108" s="293" t="s">
        <v>656</v>
      </c>
      <c r="Z108" s="293" t="s">
        <v>7457</v>
      </c>
      <c r="AA108" s="293" t="s">
        <v>145</v>
      </c>
      <c r="AB108" s="293" t="s">
        <v>74</v>
      </c>
      <c r="AC108" s="293" t="s">
        <v>656</v>
      </c>
      <c r="AE108" s="293" t="s">
        <v>7458</v>
      </c>
      <c r="AF108" s="293" t="s">
        <v>145</v>
      </c>
      <c r="AG108" s="293" t="s">
        <v>74</v>
      </c>
      <c r="AH108" s="293" t="s">
        <v>656</v>
      </c>
      <c r="AJ108" s="293" t="s">
        <v>7459</v>
      </c>
      <c r="AK108" s="293" t="s">
        <v>145</v>
      </c>
      <c r="AL108" s="293" t="s">
        <v>74</v>
      </c>
      <c r="AM108" s="293" t="s">
        <v>656</v>
      </c>
      <c r="AO108" s="22" t="s">
        <v>7460</v>
      </c>
      <c r="AP108" s="22" t="s">
        <v>145</v>
      </c>
      <c r="AQ108" s="22" t="s">
        <v>70</v>
      </c>
      <c r="AR108" s="22" t="s">
        <v>67</v>
      </c>
      <c r="AT108" s="22" t="s">
        <v>7461</v>
      </c>
      <c r="AU108" s="22" t="s">
        <v>145</v>
      </c>
      <c r="AV108" s="22" t="s">
        <v>70</v>
      </c>
      <c r="AW108" s="22" t="s">
        <v>67</v>
      </c>
      <c r="AY108" s="22" t="s">
        <v>7462</v>
      </c>
      <c r="AZ108" s="22" t="s">
        <v>145</v>
      </c>
      <c r="BA108" s="22" t="s">
        <v>70</v>
      </c>
      <c r="BB108" s="22" t="s">
        <v>67</v>
      </c>
      <c r="BD108" s="22" t="s">
        <v>7463</v>
      </c>
      <c r="BE108" s="22" t="s">
        <v>145</v>
      </c>
      <c r="BF108" s="22" t="s">
        <v>70</v>
      </c>
      <c r="BG108" s="22" t="s">
        <v>67</v>
      </c>
      <c r="BI108" s="22" t="s">
        <v>7464</v>
      </c>
      <c r="BJ108" s="22" t="s">
        <v>145</v>
      </c>
      <c r="BK108" s="22" t="s">
        <v>70</v>
      </c>
      <c r="BL108" s="22" t="s">
        <v>67</v>
      </c>
      <c r="BN108" s="22" t="s">
        <v>7465</v>
      </c>
      <c r="BO108" s="22" t="s">
        <v>145</v>
      </c>
      <c r="BP108" s="22" t="s">
        <v>70</v>
      </c>
      <c r="BQ108" s="22" t="s">
        <v>67</v>
      </c>
      <c r="BS108" s="22" t="s">
        <v>7466</v>
      </c>
      <c r="BT108" s="22" t="s">
        <v>145</v>
      </c>
      <c r="BU108" s="22" t="s">
        <v>70</v>
      </c>
      <c r="BV108" s="214" t="s">
        <v>530</v>
      </c>
      <c r="BX108" s="22" t="s">
        <v>7467</v>
      </c>
      <c r="BY108" s="22" t="s">
        <v>145</v>
      </c>
      <c r="BZ108" s="22" t="s">
        <v>70</v>
      </c>
      <c r="CA108" s="214" t="s">
        <v>530</v>
      </c>
      <c r="CC108" s="214" t="s">
        <v>7468</v>
      </c>
      <c r="CD108" s="218" t="s">
        <v>145</v>
      </c>
      <c r="CE108" s="214" t="s">
        <v>70</v>
      </c>
      <c r="CF108" s="214" t="s">
        <v>403</v>
      </c>
      <c r="CH108" s="214" t="s">
        <v>7469</v>
      </c>
      <c r="CI108" s="214" t="s">
        <v>90</v>
      </c>
      <c r="CJ108" s="214" t="s">
        <v>70</v>
      </c>
      <c r="CK108" s="214" t="s">
        <v>530</v>
      </c>
      <c r="CM108" s="214" t="s">
        <v>7470</v>
      </c>
      <c r="CN108" s="214" t="s">
        <v>34631</v>
      </c>
      <c r="CO108" s="214" t="s">
        <v>70</v>
      </c>
      <c r="CP108" s="214" t="s">
        <v>530</v>
      </c>
      <c r="CR108" s="214" t="s">
        <v>7471</v>
      </c>
      <c r="CS108" s="214" t="s">
        <v>204</v>
      </c>
      <c r="CT108" s="214" t="s">
        <v>70</v>
      </c>
      <c r="CU108" s="214" t="s">
        <v>530</v>
      </c>
      <c r="CW108" s="214" t="s">
        <v>7472</v>
      </c>
      <c r="CX108" s="214" t="s">
        <v>641</v>
      </c>
      <c r="CY108" s="214" t="s">
        <v>70</v>
      </c>
      <c r="CZ108" s="214" t="s">
        <v>530</v>
      </c>
      <c r="DB108" s="214" t="s">
        <v>7473</v>
      </c>
      <c r="DC108" s="214" t="s">
        <v>88</v>
      </c>
      <c r="DD108" s="214" t="s">
        <v>70</v>
      </c>
      <c r="DE108" s="214" t="s">
        <v>530</v>
      </c>
      <c r="DG108" s="214" t="s">
        <v>7474</v>
      </c>
      <c r="DH108" s="214" t="s">
        <v>88</v>
      </c>
      <c r="DI108" s="214" t="s">
        <v>70</v>
      </c>
      <c r="DJ108" s="214" t="s">
        <v>530</v>
      </c>
      <c r="DL108" s="214" t="s">
        <v>7475</v>
      </c>
      <c r="DM108" s="214" t="s">
        <v>641</v>
      </c>
      <c r="DN108" s="214" t="s">
        <v>70</v>
      </c>
      <c r="DO108" s="214" t="s">
        <v>530</v>
      </c>
      <c r="DQ108" s="214" t="s">
        <v>7476</v>
      </c>
      <c r="DR108" s="214" t="s">
        <v>34575</v>
      </c>
      <c r="DS108" s="214" t="s">
        <v>70</v>
      </c>
      <c r="DT108" s="214" t="s">
        <v>530</v>
      </c>
      <c r="DV108" s="214" t="s">
        <v>7477</v>
      </c>
      <c r="DW108" s="214" t="s">
        <v>502</v>
      </c>
      <c r="DX108" s="214" t="s">
        <v>70</v>
      </c>
      <c r="DY108" s="214" t="s">
        <v>530</v>
      </c>
      <c r="EA108" s="214" t="s">
        <v>7478</v>
      </c>
      <c r="EB108" s="214" t="s">
        <v>915</v>
      </c>
      <c r="EC108" s="214" t="s">
        <v>70</v>
      </c>
      <c r="ED108" s="214" t="s">
        <v>530</v>
      </c>
      <c r="EF108" s="214" t="s">
        <v>7479</v>
      </c>
      <c r="EG108" s="214" t="s">
        <v>950</v>
      </c>
      <c r="EH108" s="214" t="s">
        <v>70</v>
      </c>
      <c r="EI108" s="214" t="s">
        <v>530</v>
      </c>
      <c r="EK108" s="214" t="s">
        <v>7480</v>
      </c>
      <c r="EL108" s="214" t="s">
        <v>34554</v>
      </c>
      <c r="EM108" s="214" t="s">
        <v>70</v>
      </c>
      <c r="EN108" s="214" t="s">
        <v>530</v>
      </c>
      <c r="EP108" s="214" t="s">
        <v>7481</v>
      </c>
      <c r="EQ108" s="214" t="s">
        <v>286</v>
      </c>
      <c r="ER108" s="214" t="s">
        <v>70</v>
      </c>
      <c r="ES108" s="214" t="s">
        <v>530</v>
      </c>
      <c r="EU108" s="214" t="s">
        <v>7482</v>
      </c>
      <c r="EV108" s="214" t="s">
        <v>34575</v>
      </c>
      <c r="EW108" s="214" t="s">
        <v>70</v>
      </c>
      <c r="EX108" s="214" t="s">
        <v>530</v>
      </c>
      <c r="EZ108" s="214" t="s">
        <v>7483</v>
      </c>
      <c r="FA108" s="214" t="s">
        <v>52</v>
      </c>
      <c r="FB108" s="214" t="s">
        <v>70</v>
      </c>
      <c r="FC108" s="214" t="s">
        <v>530</v>
      </c>
      <c r="FE108" s="214" t="s">
        <v>7484</v>
      </c>
      <c r="FF108" s="214" t="s">
        <v>52</v>
      </c>
      <c r="FG108" s="214" t="s">
        <v>70</v>
      </c>
      <c r="FH108" s="214" t="s">
        <v>530</v>
      </c>
      <c r="FJ108" s="321" t="s">
        <v>7485</v>
      </c>
      <c r="FK108" s="214" t="s">
        <v>34598</v>
      </c>
      <c r="FL108" s="214" t="s">
        <v>70</v>
      </c>
      <c r="FM108" s="214" t="s">
        <v>530</v>
      </c>
      <c r="FO108" s="321" t="s">
        <v>7486</v>
      </c>
      <c r="FP108" s="214" t="s">
        <v>485</v>
      </c>
      <c r="FQ108" s="214" t="s">
        <v>70</v>
      </c>
      <c r="FR108" s="214" t="s">
        <v>530</v>
      </c>
      <c r="FT108" s="321" t="s">
        <v>7487</v>
      </c>
      <c r="FU108" s="214" t="s">
        <v>52</v>
      </c>
      <c r="FV108" s="214" t="s">
        <v>70</v>
      </c>
      <c r="FW108" s="214" t="s">
        <v>530</v>
      </c>
      <c r="FY108" s="321" t="s">
        <v>7488</v>
      </c>
      <c r="FZ108" s="214" t="s">
        <v>163</v>
      </c>
      <c r="GA108" s="214" t="s">
        <v>70</v>
      </c>
      <c r="GB108" s="214" t="s">
        <v>530</v>
      </c>
      <c r="GD108" s="321" t="s">
        <v>7489</v>
      </c>
      <c r="GE108" s="214" t="s">
        <v>87</v>
      </c>
      <c r="GF108" s="214" t="s">
        <v>70</v>
      </c>
      <c r="GG108" s="214" t="s">
        <v>530</v>
      </c>
      <c r="GI108" s="321" t="s">
        <v>7490</v>
      </c>
      <c r="GJ108" s="214" t="s">
        <v>163</v>
      </c>
      <c r="GK108" s="214" t="s">
        <v>70</v>
      </c>
      <c r="GL108" s="214" t="s">
        <v>530</v>
      </c>
      <c r="GN108" s="321" t="s">
        <v>7491</v>
      </c>
      <c r="GO108" s="214" t="s">
        <v>601</v>
      </c>
      <c r="GP108" s="214" t="s">
        <v>70</v>
      </c>
      <c r="GQ108" s="214" t="s">
        <v>530</v>
      </c>
      <c r="GS108" s="321" t="s">
        <v>7492</v>
      </c>
      <c r="GT108" s="214" t="s">
        <v>34649</v>
      </c>
      <c r="GU108" s="214" t="s">
        <v>70</v>
      </c>
      <c r="GV108" s="214" t="s">
        <v>530</v>
      </c>
      <c r="GX108" s="214" t="s">
        <v>7493</v>
      </c>
      <c r="GY108" s="214" t="s">
        <v>52</v>
      </c>
      <c r="GZ108" s="214" t="s">
        <v>70</v>
      </c>
      <c r="HA108" s="214" t="s">
        <v>530</v>
      </c>
      <c r="HC108" s="214" t="s">
        <v>7494</v>
      </c>
      <c r="HD108" s="214" t="s">
        <v>497</v>
      </c>
      <c r="HE108" s="214" t="s">
        <v>70</v>
      </c>
      <c r="HF108" s="214" t="s">
        <v>530</v>
      </c>
      <c r="HH108" s="214" t="s">
        <v>7495</v>
      </c>
      <c r="HI108" s="214" t="s">
        <v>481</v>
      </c>
      <c r="HJ108" s="214" t="s">
        <v>70</v>
      </c>
      <c r="HK108" s="214" t="s">
        <v>530</v>
      </c>
      <c r="HM108" s="214" t="s">
        <v>7496</v>
      </c>
      <c r="HN108" s="214" t="s">
        <v>286</v>
      </c>
      <c r="HO108" s="214" t="s">
        <v>70</v>
      </c>
      <c r="HP108" s="214" t="s">
        <v>530</v>
      </c>
      <c r="HR108" s="22" t="s">
        <v>7497</v>
      </c>
      <c r="HS108" s="22" t="s">
        <v>34607</v>
      </c>
      <c r="HT108" s="22" t="s">
        <v>70</v>
      </c>
      <c r="HU108" s="214" t="s">
        <v>530</v>
      </c>
      <c r="HW108" s="22" t="s">
        <v>7498</v>
      </c>
      <c r="HX108" s="22" t="s">
        <v>34548</v>
      </c>
      <c r="HY108" s="22" t="s">
        <v>70</v>
      </c>
      <c r="HZ108" s="214" t="s">
        <v>530</v>
      </c>
      <c r="IB108" s="22" t="s">
        <v>7499</v>
      </c>
      <c r="IC108" s="22" t="s">
        <v>481</v>
      </c>
      <c r="ID108" s="22" t="s">
        <v>70</v>
      </c>
      <c r="IE108" s="214" t="s">
        <v>530</v>
      </c>
      <c r="IG108" s="22" t="s">
        <v>7500</v>
      </c>
      <c r="IH108" s="22" t="s">
        <v>52</v>
      </c>
      <c r="II108" s="22" t="s">
        <v>70</v>
      </c>
      <c r="IJ108" s="214" t="s">
        <v>530</v>
      </c>
      <c r="IL108" s="22" t="s">
        <v>7501</v>
      </c>
      <c r="IM108" s="22" t="s">
        <v>145</v>
      </c>
      <c r="IN108" s="22" t="s">
        <v>70</v>
      </c>
      <c r="IO108" s="214" t="s">
        <v>530</v>
      </c>
      <c r="IQ108" s="236" t="s">
        <v>7502</v>
      </c>
      <c r="IR108" s="236" t="s">
        <v>145</v>
      </c>
      <c r="IS108" s="236" t="s">
        <v>74</v>
      </c>
      <c r="IT108" s="236" t="s">
        <v>841</v>
      </c>
      <c r="IV108" s="236" t="s">
        <v>7503</v>
      </c>
      <c r="IW108" s="236" t="s">
        <v>145</v>
      </c>
      <c r="IX108" s="236" t="s">
        <v>74</v>
      </c>
      <c r="IY108" s="236" t="s">
        <v>841</v>
      </c>
      <c r="JA108" s="236" t="s">
        <v>7504</v>
      </c>
      <c r="JB108" s="236" t="s">
        <v>145</v>
      </c>
      <c r="JC108" s="236" t="s">
        <v>74</v>
      </c>
      <c r="JD108" s="236" t="s">
        <v>841</v>
      </c>
      <c r="JF108" s="236" t="s">
        <v>7505</v>
      </c>
      <c r="JG108" s="236" t="s">
        <v>145</v>
      </c>
      <c r="JH108" s="236" t="s">
        <v>74</v>
      </c>
      <c r="JI108" s="236" t="s">
        <v>841</v>
      </c>
      <c r="JK108" s="236" t="s">
        <v>7506</v>
      </c>
      <c r="JL108" s="236" t="s">
        <v>145</v>
      </c>
      <c r="JM108" s="236" t="s">
        <v>74</v>
      </c>
      <c r="JN108" s="236" t="s">
        <v>841</v>
      </c>
      <c r="JP108" s="236" t="s">
        <v>7507</v>
      </c>
      <c r="JQ108" s="236" t="s">
        <v>145</v>
      </c>
      <c r="JR108" s="236" t="s">
        <v>74</v>
      </c>
      <c r="JS108" s="236" t="s">
        <v>841</v>
      </c>
      <c r="JU108" s="294" t="s">
        <v>7508</v>
      </c>
      <c r="JV108" s="337" t="str">
        <f>TVIIBE1M_CalPairs!$Q4</f>
        <v>0x00</v>
      </c>
      <c r="JW108" s="263" t="s">
        <v>70</v>
      </c>
      <c r="JX108" s="294" t="s">
        <v>5188</v>
      </c>
      <c r="JZ108" s="263" t="s">
        <v>7509</v>
      </c>
      <c r="KA108" s="263" t="s">
        <v>145</v>
      </c>
      <c r="KB108" s="263" t="s">
        <v>70</v>
      </c>
      <c r="KC108" s="263" t="s">
        <v>1083</v>
      </c>
      <c r="KE108" s="263" t="s">
        <v>7510</v>
      </c>
      <c r="KF108" s="263" t="s">
        <v>52</v>
      </c>
      <c r="KG108" s="263" t="s">
        <v>70</v>
      </c>
      <c r="KH108" s="263" t="s">
        <v>1083</v>
      </c>
      <c r="KJ108" s="263" t="s">
        <v>7511</v>
      </c>
      <c r="KK108" s="263" t="s">
        <v>52</v>
      </c>
      <c r="KL108" s="263" t="s">
        <v>74</v>
      </c>
      <c r="KM108" s="263" t="s">
        <v>34074</v>
      </c>
      <c r="KO108" s="214" t="s">
        <v>7512</v>
      </c>
      <c r="KP108" s="214" t="s">
        <v>145</v>
      </c>
      <c r="KQ108" s="214" t="s">
        <v>70</v>
      </c>
      <c r="KR108" s="214" t="s">
        <v>67</v>
      </c>
      <c r="KT108" s="22" t="s">
        <v>7513</v>
      </c>
      <c r="KU108" s="22" t="s">
        <v>145</v>
      </c>
      <c r="KV108" s="22" t="s">
        <v>70</v>
      </c>
      <c r="KW108" s="22" t="s">
        <v>67</v>
      </c>
      <c r="KY108" s="214" t="s">
        <v>7514</v>
      </c>
      <c r="KZ108" s="214" t="s">
        <v>52</v>
      </c>
      <c r="LA108" s="214" t="s">
        <v>74</v>
      </c>
      <c r="LB108" s="214" t="s">
        <v>67</v>
      </c>
      <c r="LD108" s="22" t="s">
        <v>7515</v>
      </c>
      <c r="LE108" s="22" t="s">
        <v>145</v>
      </c>
      <c r="LF108" s="22" t="s">
        <v>70</v>
      </c>
      <c r="LG108" s="22" t="s">
        <v>67</v>
      </c>
    </row>
    <row r="109" spans="1:319">
      <c r="A109" s="22" t="s">
        <v>7516</v>
      </c>
      <c r="B109" s="22" t="s">
        <v>145</v>
      </c>
      <c r="C109" s="22" t="s">
        <v>70</v>
      </c>
      <c r="D109" s="22" t="s">
        <v>67</v>
      </c>
      <c r="F109" s="23" t="s">
        <v>7517</v>
      </c>
      <c r="G109" s="23" t="str">
        <f>TVIIBE1M_CalPairs!$E106</f>
        <v>0x00</v>
      </c>
      <c r="H109" s="23" t="s">
        <v>72</v>
      </c>
      <c r="I109" s="23" t="str">
        <f>TVIIBE1M_CalPairs!$C106</f>
        <v>PWR_TRIM_HT_OVDVCCD_CTL_VAL2</v>
      </c>
      <c r="K109" s="22" t="s">
        <v>7518</v>
      </c>
      <c r="L109" s="22" t="s">
        <v>145</v>
      </c>
      <c r="M109" s="22" t="s">
        <v>70</v>
      </c>
      <c r="N109" s="22" t="s">
        <v>67</v>
      </c>
      <c r="P109" s="394" t="s">
        <v>7519</v>
      </c>
      <c r="Q109" s="394" t="s">
        <v>145</v>
      </c>
      <c r="R109" s="394" t="s">
        <v>72</v>
      </c>
      <c r="S109" s="394" t="s">
        <v>34206</v>
      </c>
      <c r="U109" s="293" t="s">
        <v>7520</v>
      </c>
      <c r="V109" s="293" t="s">
        <v>145</v>
      </c>
      <c r="W109" s="293" t="s">
        <v>74</v>
      </c>
      <c r="X109" s="293" t="s">
        <v>656</v>
      </c>
      <c r="Z109" s="293" t="s">
        <v>7521</v>
      </c>
      <c r="AA109" s="293" t="s">
        <v>145</v>
      </c>
      <c r="AB109" s="293" t="s">
        <v>74</v>
      </c>
      <c r="AC109" s="293" t="s">
        <v>656</v>
      </c>
      <c r="AE109" s="293" t="s">
        <v>7522</v>
      </c>
      <c r="AF109" s="293" t="s">
        <v>145</v>
      </c>
      <c r="AG109" s="293" t="s">
        <v>74</v>
      </c>
      <c r="AH109" s="293" t="s">
        <v>656</v>
      </c>
      <c r="AJ109" s="293" t="s">
        <v>7523</v>
      </c>
      <c r="AK109" s="293" t="s">
        <v>145</v>
      </c>
      <c r="AL109" s="293" t="s">
        <v>74</v>
      </c>
      <c r="AM109" s="293" t="s">
        <v>656</v>
      </c>
      <c r="AO109" s="22" t="s">
        <v>7524</v>
      </c>
      <c r="AP109" s="22" t="s">
        <v>145</v>
      </c>
      <c r="AQ109" s="22" t="s">
        <v>70</v>
      </c>
      <c r="AR109" s="22" t="s">
        <v>67</v>
      </c>
      <c r="AT109" s="22" t="s">
        <v>7525</v>
      </c>
      <c r="AU109" s="22" t="s">
        <v>145</v>
      </c>
      <c r="AV109" s="22" t="s">
        <v>70</v>
      </c>
      <c r="AW109" s="22" t="s">
        <v>67</v>
      </c>
      <c r="AY109" s="22" t="s">
        <v>7526</v>
      </c>
      <c r="AZ109" s="22" t="s">
        <v>145</v>
      </c>
      <c r="BA109" s="22" t="s">
        <v>70</v>
      </c>
      <c r="BB109" s="22" t="s">
        <v>67</v>
      </c>
      <c r="BD109" s="22" t="s">
        <v>7527</v>
      </c>
      <c r="BE109" s="22" t="s">
        <v>145</v>
      </c>
      <c r="BF109" s="22" t="s">
        <v>70</v>
      </c>
      <c r="BG109" s="22" t="s">
        <v>67</v>
      </c>
      <c r="BI109" s="22" t="s">
        <v>7528</v>
      </c>
      <c r="BJ109" s="22" t="s">
        <v>145</v>
      </c>
      <c r="BK109" s="22" t="s">
        <v>70</v>
      </c>
      <c r="BL109" s="22" t="s">
        <v>67</v>
      </c>
      <c r="BN109" s="22" t="s">
        <v>7529</v>
      </c>
      <c r="BO109" s="22" t="s">
        <v>145</v>
      </c>
      <c r="BP109" s="22" t="s">
        <v>70</v>
      </c>
      <c r="BQ109" s="22" t="s">
        <v>67</v>
      </c>
      <c r="BS109" s="22" t="s">
        <v>7530</v>
      </c>
      <c r="BT109" s="22" t="s">
        <v>145</v>
      </c>
      <c r="BU109" s="22" t="s">
        <v>70</v>
      </c>
      <c r="BV109" s="214" t="s">
        <v>530</v>
      </c>
      <c r="BX109" s="22" t="s">
        <v>7531</v>
      </c>
      <c r="BY109" s="22" t="s">
        <v>145</v>
      </c>
      <c r="BZ109" s="22" t="s">
        <v>70</v>
      </c>
      <c r="CA109" s="214" t="s">
        <v>530</v>
      </c>
      <c r="CC109" s="214" t="s">
        <v>7532</v>
      </c>
      <c r="CD109" s="218" t="s">
        <v>145</v>
      </c>
      <c r="CE109" s="214" t="s">
        <v>70</v>
      </c>
      <c r="CF109" s="214" t="s">
        <v>404</v>
      </c>
      <c r="CH109" s="214" t="s">
        <v>7533</v>
      </c>
      <c r="CI109" s="214" t="s">
        <v>86</v>
      </c>
      <c r="CJ109" s="214" t="s">
        <v>70</v>
      </c>
      <c r="CK109" s="214" t="s">
        <v>530</v>
      </c>
      <c r="CM109" s="214" t="s">
        <v>7534</v>
      </c>
      <c r="CN109" s="214" t="s">
        <v>34539</v>
      </c>
      <c r="CO109" s="214" t="s">
        <v>70</v>
      </c>
      <c r="CP109" s="214" t="s">
        <v>530</v>
      </c>
      <c r="CR109" s="214" t="s">
        <v>7535</v>
      </c>
      <c r="CS109" s="214" t="s">
        <v>146</v>
      </c>
      <c r="CT109" s="214" t="s">
        <v>70</v>
      </c>
      <c r="CU109" s="214" t="s">
        <v>530</v>
      </c>
      <c r="CW109" s="214" t="s">
        <v>7536</v>
      </c>
      <c r="CX109" s="214" t="s">
        <v>92</v>
      </c>
      <c r="CY109" s="214" t="s">
        <v>70</v>
      </c>
      <c r="CZ109" s="214" t="s">
        <v>530</v>
      </c>
      <c r="DB109" s="214" t="s">
        <v>7537</v>
      </c>
      <c r="DC109" s="214" t="s">
        <v>486</v>
      </c>
      <c r="DD109" s="214" t="s">
        <v>70</v>
      </c>
      <c r="DE109" s="214" t="s">
        <v>530</v>
      </c>
      <c r="DG109" s="214" t="s">
        <v>7538</v>
      </c>
      <c r="DH109" s="214" t="s">
        <v>951</v>
      </c>
      <c r="DI109" s="214" t="s">
        <v>70</v>
      </c>
      <c r="DJ109" s="214" t="s">
        <v>530</v>
      </c>
      <c r="DL109" s="214" t="s">
        <v>7539</v>
      </c>
      <c r="DM109" s="214" t="s">
        <v>92</v>
      </c>
      <c r="DN109" s="214" t="s">
        <v>70</v>
      </c>
      <c r="DO109" s="214" t="s">
        <v>530</v>
      </c>
      <c r="DQ109" s="214" t="s">
        <v>7540</v>
      </c>
      <c r="DR109" s="214" t="s">
        <v>85</v>
      </c>
      <c r="DS109" s="214" t="s">
        <v>70</v>
      </c>
      <c r="DT109" s="214" t="s">
        <v>530</v>
      </c>
      <c r="DV109" s="214" t="s">
        <v>7541</v>
      </c>
      <c r="DW109" s="214" t="s">
        <v>34563</v>
      </c>
      <c r="DX109" s="214" t="s">
        <v>70</v>
      </c>
      <c r="DY109" s="214" t="s">
        <v>530</v>
      </c>
      <c r="EA109" s="214" t="s">
        <v>7542</v>
      </c>
      <c r="EB109" s="214" t="s">
        <v>34544</v>
      </c>
      <c r="EC109" s="214" t="s">
        <v>70</v>
      </c>
      <c r="ED109" s="214" t="s">
        <v>530</v>
      </c>
      <c r="EF109" s="214" t="s">
        <v>7543</v>
      </c>
      <c r="EG109" s="214" t="s">
        <v>484</v>
      </c>
      <c r="EH109" s="214" t="s">
        <v>70</v>
      </c>
      <c r="EI109" s="214" t="s">
        <v>530</v>
      </c>
      <c r="EK109" s="214" t="s">
        <v>7544</v>
      </c>
      <c r="EL109" s="214" t="s">
        <v>52</v>
      </c>
      <c r="EM109" s="214" t="s">
        <v>70</v>
      </c>
      <c r="EN109" s="214" t="s">
        <v>530</v>
      </c>
      <c r="EP109" s="214" t="s">
        <v>7545</v>
      </c>
      <c r="EQ109" s="214" t="s">
        <v>486</v>
      </c>
      <c r="ER109" s="214" t="s">
        <v>70</v>
      </c>
      <c r="ES109" s="214" t="s">
        <v>530</v>
      </c>
      <c r="EU109" s="214" t="s">
        <v>7546</v>
      </c>
      <c r="EV109" s="214" t="s">
        <v>486</v>
      </c>
      <c r="EW109" s="214" t="s">
        <v>70</v>
      </c>
      <c r="EX109" s="214" t="s">
        <v>530</v>
      </c>
      <c r="EZ109" s="214" t="s">
        <v>7547</v>
      </c>
      <c r="FA109" s="214" t="s">
        <v>10541</v>
      </c>
      <c r="FB109" s="214" t="s">
        <v>70</v>
      </c>
      <c r="FC109" s="214" t="s">
        <v>530</v>
      </c>
      <c r="FE109" s="214" t="s">
        <v>7548</v>
      </c>
      <c r="FF109" s="214" t="s">
        <v>919</v>
      </c>
      <c r="FG109" s="214" t="s">
        <v>70</v>
      </c>
      <c r="FH109" s="214" t="s">
        <v>530</v>
      </c>
      <c r="FJ109" s="321" t="s">
        <v>7549</v>
      </c>
      <c r="FK109" s="214" t="s">
        <v>486</v>
      </c>
      <c r="FL109" s="214" t="s">
        <v>70</v>
      </c>
      <c r="FM109" s="214" t="s">
        <v>530</v>
      </c>
      <c r="FO109" s="321" t="s">
        <v>7550</v>
      </c>
      <c r="FP109" s="214" t="s">
        <v>484</v>
      </c>
      <c r="FQ109" s="214" t="s">
        <v>70</v>
      </c>
      <c r="FR109" s="214" t="s">
        <v>530</v>
      </c>
      <c r="FT109" s="321" t="s">
        <v>7551</v>
      </c>
      <c r="FU109" s="214" t="s">
        <v>33910</v>
      </c>
      <c r="FV109" s="214" t="s">
        <v>70</v>
      </c>
      <c r="FW109" s="214" t="s">
        <v>530</v>
      </c>
      <c r="FY109" s="321" t="s">
        <v>7552</v>
      </c>
      <c r="FZ109" s="214" t="s">
        <v>496</v>
      </c>
      <c r="GA109" s="214" t="s">
        <v>70</v>
      </c>
      <c r="GB109" s="214" t="s">
        <v>530</v>
      </c>
      <c r="GD109" s="321" t="s">
        <v>7553</v>
      </c>
      <c r="GE109" s="214" t="s">
        <v>955</v>
      </c>
      <c r="GF109" s="214" t="s">
        <v>70</v>
      </c>
      <c r="GG109" s="214" t="s">
        <v>530</v>
      </c>
      <c r="GI109" s="321" t="s">
        <v>7554</v>
      </c>
      <c r="GJ109" s="214" t="s">
        <v>52</v>
      </c>
      <c r="GK109" s="214" t="s">
        <v>70</v>
      </c>
      <c r="GL109" s="214" t="s">
        <v>530</v>
      </c>
      <c r="GN109" s="321" t="s">
        <v>7555</v>
      </c>
      <c r="GO109" s="214" t="s">
        <v>34571</v>
      </c>
      <c r="GP109" s="214" t="s">
        <v>70</v>
      </c>
      <c r="GQ109" s="214" t="s">
        <v>530</v>
      </c>
      <c r="GS109" s="321" t="s">
        <v>7556</v>
      </c>
      <c r="GT109" s="214" t="s">
        <v>145</v>
      </c>
      <c r="GU109" s="214" t="s">
        <v>70</v>
      </c>
      <c r="GV109" s="214" t="s">
        <v>530</v>
      </c>
      <c r="GX109" s="214" t="s">
        <v>7557</v>
      </c>
      <c r="GY109" s="214" t="s">
        <v>953</v>
      </c>
      <c r="GZ109" s="214" t="s">
        <v>70</v>
      </c>
      <c r="HA109" s="214" t="s">
        <v>530</v>
      </c>
      <c r="HC109" s="214" t="s">
        <v>7558</v>
      </c>
      <c r="HD109" s="214" t="s">
        <v>34590</v>
      </c>
      <c r="HE109" s="214" t="s">
        <v>70</v>
      </c>
      <c r="HF109" s="214" t="s">
        <v>530</v>
      </c>
      <c r="HH109" s="214" t="s">
        <v>7559</v>
      </c>
      <c r="HI109" s="214" t="s">
        <v>487</v>
      </c>
      <c r="HJ109" s="214" t="s">
        <v>70</v>
      </c>
      <c r="HK109" s="214" t="s">
        <v>530</v>
      </c>
      <c r="HM109" s="214" t="s">
        <v>7560</v>
      </c>
      <c r="HN109" s="214" t="s">
        <v>34558</v>
      </c>
      <c r="HO109" s="214" t="s">
        <v>70</v>
      </c>
      <c r="HP109" s="214" t="s">
        <v>530</v>
      </c>
      <c r="HR109" s="22" t="s">
        <v>7561</v>
      </c>
      <c r="HS109" s="22" t="s">
        <v>164</v>
      </c>
      <c r="HT109" s="22" t="s">
        <v>70</v>
      </c>
      <c r="HU109" s="214" t="s">
        <v>530</v>
      </c>
      <c r="HW109" s="22" t="s">
        <v>7562</v>
      </c>
      <c r="HX109" s="22" t="s">
        <v>34558</v>
      </c>
      <c r="HY109" s="22" t="s">
        <v>70</v>
      </c>
      <c r="HZ109" s="214" t="s">
        <v>530</v>
      </c>
      <c r="IB109" s="22" t="s">
        <v>7563</v>
      </c>
      <c r="IC109" s="22" t="s">
        <v>488</v>
      </c>
      <c r="ID109" s="22" t="s">
        <v>70</v>
      </c>
      <c r="IE109" s="214" t="s">
        <v>530</v>
      </c>
      <c r="IG109" s="22" t="s">
        <v>7564</v>
      </c>
      <c r="IH109" s="22" t="s">
        <v>52</v>
      </c>
      <c r="II109" s="22" t="s">
        <v>70</v>
      </c>
      <c r="IJ109" s="214" t="s">
        <v>530</v>
      </c>
      <c r="IL109" s="22" t="s">
        <v>7565</v>
      </c>
      <c r="IM109" s="22" t="s">
        <v>145</v>
      </c>
      <c r="IN109" s="22" t="s">
        <v>70</v>
      </c>
      <c r="IO109" s="214" t="s">
        <v>530</v>
      </c>
      <c r="IQ109" s="236" t="s">
        <v>7566</v>
      </c>
      <c r="IR109" s="236" t="s">
        <v>145</v>
      </c>
      <c r="IS109" s="236" t="s">
        <v>74</v>
      </c>
      <c r="IT109" s="236" t="s">
        <v>841</v>
      </c>
      <c r="IV109" s="236" t="s">
        <v>7567</v>
      </c>
      <c r="IW109" s="236" t="s">
        <v>145</v>
      </c>
      <c r="IX109" s="236" t="s">
        <v>74</v>
      </c>
      <c r="IY109" s="236" t="s">
        <v>841</v>
      </c>
      <c r="JA109" s="236" t="s">
        <v>7568</v>
      </c>
      <c r="JB109" s="236" t="s">
        <v>145</v>
      </c>
      <c r="JC109" s="236" t="s">
        <v>74</v>
      </c>
      <c r="JD109" s="236" t="s">
        <v>841</v>
      </c>
      <c r="JF109" s="236" t="s">
        <v>7569</v>
      </c>
      <c r="JG109" s="236" t="s">
        <v>145</v>
      </c>
      <c r="JH109" s="236" t="s">
        <v>74</v>
      </c>
      <c r="JI109" s="236" t="s">
        <v>841</v>
      </c>
      <c r="JK109" s="236" t="s">
        <v>7570</v>
      </c>
      <c r="JL109" s="236" t="s">
        <v>145</v>
      </c>
      <c r="JM109" s="236" t="s">
        <v>74</v>
      </c>
      <c r="JN109" s="236" t="s">
        <v>841</v>
      </c>
      <c r="JP109" s="236" t="s">
        <v>7571</v>
      </c>
      <c r="JQ109" s="236" t="s">
        <v>145</v>
      </c>
      <c r="JR109" s="236" t="s">
        <v>74</v>
      </c>
      <c r="JS109" s="236" t="s">
        <v>841</v>
      </c>
      <c r="JU109" s="294" t="s">
        <v>7572</v>
      </c>
      <c r="JV109" s="294" t="s">
        <v>52</v>
      </c>
      <c r="JW109" s="263" t="s">
        <v>70</v>
      </c>
      <c r="JX109" s="294" t="s">
        <v>5253</v>
      </c>
      <c r="JZ109" s="263" t="s">
        <v>7573</v>
      </c>
      <c r="KA109" s="263" t="s">
        <v>145</v>
      </c>
      <c r="KB109" s="263" t="s">
        <v>70</v>
      </c>
      <c r="KC109" s="263" t="s">
        <v>1083</v>
      </c>
      <c r="KE109" s="263" t="s">
        <v>7574</v>
      </c>
      <c r="KF109" s="263" t="s">
        <v>52</v>
      </c>
      <c r="KG109" s="263" t="s">
        <v>70</v>
      </c>
      <c r="KH109" s="263" t="s">
        <v>1083</v>
      </c>
      <c r="KJ109" s="263" t="s">
        <v>7575</v>
      </c>
      <c r="KK109" s="263" t="s">
        <v>52</v>
      </c>
      <c r="KL109" s="263" t="s">
        <v>74</v>
      </c>
      <c r="KM109" s="263" t="s">
        <v>34074</v>
      </c>
      <c r="KO109" s="214" t="s">
        <v>7576</v>
      </c>
      <c r="KP109" s="214" t="s">
        <v>145</v>
      </c>
      <c r="KQ109" s="214" t="s">
        <v>70</v>
      </c>
      <c r="KR109" s="214" t="s">
        <v>67</v>
      </c>
      <c r="KT109" s="22" t="s">
        <v>7577</v>
      </c>
      <c r="KU109" s="22" t="s">
        <v>145</v>
      </c>
      <c r="KV109" s="22" t="s">
        <v>70</v>
      </c>
      <c r="KW109" s="22" t="s">
        <v>67</v>
      </c>
      <c r="KY109" s="214" t="s">
        <v>7578</v>
      </c>
      <c r="KZ109" s="214" t="s">
        <v>52</v>
      </c>
      <c r="LA109" s="214" t="s">
        <v>74</v>
      </c>
      <c r="LB109" s="214" t="s">
        <v>67</v>
      </c>
      <c r="LD109" s="22" t="s">
        <v>7579</v>
      </c>
      <c r="LE109" s="22" t="s">
        <v>145</v>
      </c>
      <c r="LF109" s="22" t="s">
        <v>70</v>
      </c>
      <c r="LG109" s="22" t="s">
        <v>67</v>
      </c>
    </row>
    <row r="110" spans="1:319">
      <c r="A110" s="22" t="s">
        <v>7580</v>
      </c>
      <c r="B110" s="22" t="s">
        <v>145</v>
      </c>
      <c r="C110" s="22" t="s">
        <v>70</v>
      </c>
      <c r="D110" s="22" t="s">
        <v>67</v>
      </c>
      <c r="F110" s="23" t="s">
        <v>7581</v>
      </c>
      <c r="G110" s="23" t="str">
        <f>TVIIBE1M_CalPairs!$E107</f>
        <v>0x00</v>
      </c>
      <c r="H110" s="23" t="s">
        <v>72</v>
      </c>
      <c r="I110" s="23" t="str">
        <f>TVIIBE1M_CalPairs!$C107</f>
        <v>PWR_TRIM_HT_OVDVCCD_CTL_VAL3</v>
      </c>
      <c r="K110" s="22" t="s">
        <v>7582</v>
      </c>
      <c r="L110" s="22" t="s">
        <v>145</v>
      </c>
      <c r="M110" s="22" t="s">
        <v>70</v>
      </c>
      <c r="N110" s="22" t="s">
        <v>67</v>
      </c>
      <c r="P110" s="394" t="s">
        <v>7583</v>
      </c>
      <c r="Q110" s="394" t="s">
        <v>145</v>
      </c>
      <c r="R110" s="394" t="s">
        <v>72</v>
      </c>
      <c r="S110" s="394" t="s">
        <v>34679</v>
      </c>
      <c r="U110" s="293" t="s">
        <v>7584</v>
      </c>
      <c r="V110" s="293" t="s">
        <v>145</v>
      </c>
      <c r="W110" s="293" t="s">
        <v>74</v>
      </c>
      <c r="X110" s="293" t="s">
        <v>656</v>
      </c>
      <c r="Z110" s="293" t="s">
        <v>7585</v>
      </c>
      <c r="AA110" s="293" t="s">
        <v>145</v>
      </c>
      <c r="AB110" s="293" t="s">
        <v>74</v>
      </c>
      <c r="AC110" s="293" t="s">
        <v>656</v>
      </c>
      <c r="AE110" s="293" t="s">
        <v>7586</v>
      </c>
      <c r="AF110" s="293" t="s">
        <v>145</v>
      </c>
      <c r="AG110" s="293" t="s">
        <v>74</v>
      </c>
      <c r="AH110" s="293" t="s">
        <v>656</v>
      </c>
      <c r="AJ110" s="293" t="s">
        <v>7587</v>
      </c>
      <c r="AK110" s="293" t="s">
        <v>145</v>
      </c>
      <c r="AL110" s="293" t="s">
        <v>74</v>
      </c>
      <c r="AM110" s="293" t="s">
        <v>656</v>
      </c>
      <c r="AO110" s="22" t="s">
        <v>7588</v>
      </c>
      <c r="AP110" s="22" t="s">
        <v>145</v>
      </c>
      <c r="AQ110" s="22" t="s">
        <v>70</v>
      </c>
      <c r="AR110" s="22" t="s">
        <v>67</v>
      </c>
      <c r="AT110" s="22" t="s">
        <v>7589</v>
      </c>
      <c r="AU110" s="22" t="s">
        <v>145</v>
      </c>
      <c r="AV110" s="22" t="s">
        <v>70</v>
      </c>
      <c r="AW110" s="22" t="s">
        <v>67</v>
      </c>
      <c r="AY110" s="22" t="s">
        <v>7590</v>
      </c>
      <c r="AZ110" s="22" t="s">
        <v>145</v>
      </c>
      <c r="BA110" s="22" t="s">
        <v>70</v>
      </c>
      <c r="BB110" s="22" t="s">
        <v>67</v>
      </c>
      <c r="BD110" s="22" t="s">
        <v>7591</v>
      </c>
      <c r="BE110" s="22" t="s">
        <v>145</v>
      </c>
      <c r="BF110" s="22" t="s">
        <v>70</v>
      </c>
      <c r="BG110" s="22" t="s">
        <v>67</v>
      </c>
      <c r="BI110" s="22" t="s">
        <v>7592</v>
      </c>
      <c r="BJ110" s="22" t="s">
        <v>145</v>
      </c>
      <c r="BK110" s="22" t="s">
        <v>70</v>
      </c>
      <c r="BL110" s="22" t="s">
        <v>67</v>
      </c>
      <c r="BN110" s="22" t="s">
        <v>7593</v>
      </c>
      <c r="BO110" s="22" t="s">
        <v>145</v>
      </c>
      <c r="BP110" s="22" t="s">
        <v>70</v>
      </c>
      <c r="BQ110" s="22" t="s">
        <v>67</v>
      </c>
      <c r="BS110" s="22" t="s">
        <v>7594</v>
      </c>
      <c r="BT110" s="22" t="s">
        <v>145</v>
      </c>
      <c r="BU110" s="22" t="s">
        <v>70</v>
      </c>
      <c r="BV110" s="214" t="s">
        <v>530</v>
      </c>
      <c r="BX110" s="22" t="s">
        <v>7595</v>
      </c>
      <c r="BY110" s="22" t="s">
        <v>145</v>
      </c>
      <c r="BZ110" s="22" t="s">
        <v>70</v>
      </c>
      <c r="CA110" s="214" t="s">
        <v>530</v>
      </c>
      <c r="CC110" s="214" t="s">
        <v>7596</v>
      </c>
      <c r="CD110" s="218" t="s">
        <v>145</v>
      </c>
      <c r="CE110" s="214" t="s">
        <v>70</v>
      </c>
      <c r="CF110" s="214" t="s">
        <v>405</v>
      </c>
      <c r="CH110" s="214" t="s">
        <v>7597</v>
      </c>
      <c r="CI110" s="214" t="s">
        <v>148</v>
      </c>
      <c r="CJ110" s="214" t="s">
        <v>70</v>
      </c>
      <c r="CK110" s="214" t="s">
        <v>530</v>
      </c>
      <c r="CM110" s="214" t="s">
        <v>7598</v>
      </c>
      <c r="CN110" s="214" t="s">
        <v>529</v>
      </c>
      <c r="CO110" s="214" t="s">
        <v>70</v>
      </c>
      <c r="CP110" s="214" t="s">
        <v>530</v>
      </c>
      <c r="CR110" s="214" t="s">
        <v>7599</v>
      </c>
      <c r="CS110" s="214" t="s">
        <v>85</v>
      </c>
      <c r="CT110" s="214" t="s">
        <v>70</v>
      </c>
      <c r="CU110" s="214" t="s">
        <v>530</v>
      </c>
      <c r="CW110" s="214" t="s">
        <v>7600</v>
      </c>
      <c r="CX110" s="214" t="s">
        <v>52</v>
      </c>
      <c r="CY110" s="214" t="s">
        <v>70</v>
      </c>
      <c r="CZ110" s="214" t="s">
        <v>530</v>
      </c>
      <c r="DB110" s="214" t="s">
        <v>7601</v>
      </c>
      <c r="DC110" s="214" t="s">
        <v>488</v>
      </c>
      <c r="DD110" s="214" t="s">
        <v>70</v>
      </c>
      <c r="DE110" s="214" t="s">
        <v>530</v>
      </c>
      <c r="DG110" s="214" t="s">
        <v>7602</v>
      </c>
      <c r="DH110" s="214" t="s">
        <v>34560</v>
      </c>
      <c r="DI110" s="214" t="s">
        <v>70</v>
      </c>
      <c r="DJ110" s="214" t="s">
        <v>530</v>
      </c>
      <c r="DL110" s="214" t="s">
        <v>7603</v>
      </c>
      <c r="DM110" s="214" t="s">
        <v>52</v>
      </c>
      <c r="DN110" s="214" t="s">
        <v>70</v>
      </c>
      <c r="DO110" s="214" t="s">
        <v>530</v>
      </c>
      <c r="DQ110" s="214" t="s">
        <v>7604</v>
      </c>
      <c r="DR110" s="214" t="s">
        <v>503</v>
      </c>
      <c r="DS110" s="214" t="s">
        <v>70</v>
      </c>
      <c r="DT110" s="214" t="s">
        <v>530</v>
      </c>
      <c r="DV110" s="214" t="s">
        <v>7605</v>
      </c>
      <c r="DW110" s="214" t="s">
        <v>148</v>
      </c>
      <c r="DX110" s="214" t="s">
        <v>70</v>
      </c>
      <c r="DY110" s="214" t="s">
        <v>530</v>
      </c>
      <c r="EA110" s="214" t="s">
        <v>7606</v>
      </c>
      <c r="EB110" s="214" t="s">
        <v>52</v>
      </c>
      <c r="EC110" s="214" t="s">
        <v>70</v>
      </c>
      <c r="ED110" s="214" t="s">
        <v>530</v>
      </c>
      <c r="EF110" s="214" t="s">
        <v>7607</v>
      </c>
      <c r="EG110" s="214" t="s">
        <v>34471</v>
      </c>
      <c r="EH110" s="214" t="s">
        <v>70</v>
      </c>
      <c r="EI110" s="214" t="s">
        <v>530</v>
      </c>
      <c r="EK110" s="214" t="s">
        <v>7608</v>
      </c>
      <c r="EL110" s="214" t="s">
        <v>498</v>
      </c>
      <c r="EM110" s="214" t="s">
        <v>70</v>
      </c>
      <c r="EN110" s="214" t="s">
        <v>530</v>
      </c>
      <c r="EP110" s="214" t="s">
        <v>7609</v>
      </c>
      <c r="EQ110" s="214" t="s">
        <v>52</v>
      </c>
      <c r="ER110" s="214" t="s">
        <v>70</v>
      </c>
      <c r="ES110" s="214" t="s">
        <v>530</v>
      </c>
      <c r="EU110" s="214" t="s">
        <v>7610</v>
      </c>
      <c r="EV110" s="214" t="s">
        <v>922</v>
      </c>
      <c r="EW110" s="214" t="s">
        <v>70</v>
      </c>
      <c r="EX110" s="214" t="s">
        <v>530</v>
      </c>
      <c r="EZ110" s="214" t="s">
        <v>7611</v>
      </c>
      <c r="FA110" s="214" t="s">
        <v>52</v>
      </c>
      <c r="FB110" s="214" t="s">
        <v>70</v>
      </c>
      <c r="FC110" s="214" t="s">
        <v>530</v>
      </c>
      <c r="FE110" s="214" t="s">
        <v>7612</v>
      </c>
      <c r="FF110" s="214" t="s">
        <v>503</v>
      </c>
      <c r="FG110" s="214" t="s">
        <v>70</v>
      </c>
      <c r="FH110" s="214" t="s">
        <v>530</v>
      </c>
      <c r="FJ110" s="321" t="s">
        <v>7613</v>
      </c>
      <c r="FK110" s="214" t="s">
        <v>34550</v>
      </c>
      <c r="FL110" s="214" t="s">
        <v>70</v>
      </c>
      <c r="FM110" s="214" t="s">
        <v>530</v>
      </c>
      <c r="FO110" s="321" t="s">
        <v>7614</v>
      </c>
      <c r="FP110" s="214" t="s">
        <v>146</v>
      </c>
      <c r="FQ110" s="214" t="s">
        <v>70</v>
      </c>
      <c r="FR110" s="214" t="s">
        <v>530</v>
      </c>
      <c r="FT110" s="321" t="s">
        <v>7615</v>
      </c>
      <c r="FU110" s="214" t="s">
        <v>481</v>
      </c>
      <c r="FV110" s="214" t="s">
        <v>70</v>
      </c>
      <c r="FW110" s="214" t="s">
        <v>530</v>
      </c>
      <c r="FY110" s="321" t="s">
        <v>7616</v>
      </c>
      <c r="FZ110" s="214" t="s">
        <v>87</v>
      </c>
      <c r="GA110" s="214" t="s">
        <v>70</v>
      </c>
      <c r="GB110" s="214" t="s">
        <v>530</v>
      </c>
      <c r="GD110" s="321" t="s">
        <v>7617</v>
      </c>
      <c r="GE110" s="214" t="s">
        <v>149</v>
      </c>
      <c r="GF110" s="214" t="s">
        <v>70</v>
      </c>
      <c r="GG110" s="214" t="s">
        <v>530</v>
      </c>
      <c r="GI110" s="321" t="s">
        <v>7618</v>
      </c>
      <c r="GJ110" s="214" t="s">
        <v>34583</v>
      </c>
      <c r="GK110" s="214" t="s">
        <v>70</v>
      </c>
      <c r="GL110" s="214" t="s">
        <v>530</v>
      </c>
      <c r="GN110" s="321" t="s">
        <v>7619</v>
      </c>
      <c r="GO110" s="214" t="s">
        <v>1028</v>
      </c>
      <c r="GP110" s="214" t="s">
        <v>70</v>
      </c>
      <c r="GQ110" s="214" t="s">
        <v>530</v>
      </c>
      <c r="GS110" s="321" t="s">
        <v>7620</v>
      </c>
      <c r="GT110" s="214" t="s">
        <v>148</v>
      </c>
      <c r="GU110" s="214" t="s">
        <v>70</v>
      </c>
      <c r="GV110" s="214" t="s">
        <v>530</v>
      </c>
      <c r="GX110" s="214" t="s">
        <v>7621</v>
      </c>
      <c r="GY110" s="214" t="s">
        <v>52</v>
      </c>
      <c r="GZ110" s="214" t="s">
        <v>70</v>
      </c>
      <c r="HA110" s="214" t="s">
        <v>530</v>
      </c>
      <c r="HC110" s="214" t="s">
        <v>7622</v>
      </c>
      <c r="HD110" s="214" t="s">
        <v>148</v>
      </c>
      <c r="HE110" s="214" t="s">
        <v>70</v>
      </c>
      <c r="HF110" s="214" t="s">
        <v>530</v>
      </c>
      <c r="HH110" s="214" t="s">
        <v>7623</v>
      </c>
      <c r="HI110" s="214" t="s">
        <v>34553</v>
      </c>
      <c r="HJ110" s="214" t="s">
        <v>70</v>
      </c>
      <c r="HK110" s="214" t="s">
        <v>530</v>
      </c>
      <c r="HM110" s="214" t="s">
        <v>7624</v>
      </c>
      <c r="HN110" s="214" t="s">
        <v>34588</v>
      </c>
      <c r="HO110" s="214" t="s">
        <v>70</v>
      </c>
      <c r="HP110" s="214" t="s">
        <v>530</v>
      </c>
      <c r="HR110" s="22" t="s">
        <v>7625</v>
      </c>
      <c r="HS110" s="22" t="s">
        <v>531</v>
      </c>
      <c r="HT110" s="22" t="s">
        <v>70</v>
      </c>
      <c r="HU110" s="214" t="s">
        <v>530</v>
      </c>
      <c r="HW110" s="22" t="s">
        <v>7626</v>
      </c>
      <c r="HX110" s="22" t="s">
        <v>52</v>
      </c>
      <c r="HY110" s="22" t="s">
        <v>70</v>
      </c>
      <c r="HZ110" s="214" t="s">
        <v>530</v>
      </c>
      <c r="IB110" s="22" t="s">
        <v>7627</v>
      </c>
      <c r="IC110" s="22" t="s">
        <v>86</v>
      </c>
      <c r="ID110" s="22" t="s">
        <v>70</v>
      </c>
      <c r="IE110" s="214" t="s">
        <v>530</v>
      </c>
      <c r="IG110" s="22" t="s">
        <v>7628</v>
      </c>
      <c r="IH110" s="22" t="s">
        <v>52</v>
      </c>
      <c r="II110" s="22" t="s">
        <v>70</v>
      </c>
      <c r="IJ110" s="214" t="s">
        <v>530</v>
      </c>
      <c r="IL110" s="22" t="s">
        <v>7629</v>
      </c>
      <c r="IM110" s="22" t="s">
        <v>145</v>
      </c>
      <c r="IN110" s="22" t="s">
        <v>70</v>
      </c>
      <c r="IO110" s="214" t="s">
        <v>530</v>
      </c>
      <c r="IQ110" s="236" t="s">
        <v>7630</v>
      </c>
      <c r="IR110" s="236" t="s">
        <v>145</v>
      </c>
      <c r="IS110" s="236" t="s">
        <v>74</v>
      </c>
      <c r="IT110" s="236" t="s">
        <v>841</v>
      </c>
      <c r="IV110" s="236" t="s">
        <v>7631</v>
      </c>
      <c r="IW110" s="236" t="s">
        <v>145</v>
      </c>
      <c r="IX110" s="236" t="s">
        <v>74</v>
      </c>
      <c r="IY110" s="236" t="s">
        <v>841</v>
      </c>
      <c r="JA110" s="236" t="s">
        <v>7632</v>
      </c>
      <c r="JB110" s="236" t="s">
        <v>145</v>
      </c>
      <c r="JC110" s="236" t="s">
        <v>74</v>
      </c>
      <c r="JD110" s="236" t="s">
        <v>841</v>
      </c>
      <c r="JF110" s="236" t="s">
        <v>7633</v>
      </c>
      <c r="JG110" s="236" t="s">
        <v>145</v>
      </c>
      <c r="JH110" s="236" t="s">
        <v>74</v>
      </c>
      <c r="JI110" s="236" t="s">
        <v>841</v>
      </c>
      <c r="JK110" s="236" t="s">
        <v>7634</v>
      </c>
      <c r="JL110" s="236" t="s">
        <v>145</v>
      </c>
      <c r="JM110" s="236" t="s">
        <v>74</v>
      </c>
      <c r="JN110" s="236" t="s">
        <v>841</v>
      </c>
      <c r="JP110" s="236" t="s">
        <v>7635</v>
      </c>
      <c r="JQ110" s="236" t="s">
        <v>145</v>
      </c>
      <c r="JR110" s="236" t="s">
        <v>74</v>
      </c>
      <c r="JS110" s="236" t="s">
        <v>841</v>
      </c>
      <c r="JU110" s="294" t="s">
        <v>7636</v>
      </c>
      <c r="JV110" s="294" t="s">
        <v>52</v>
      </c>
      <c r="JW110" s="263" t="s">
        <v>70</v>
      </c>
      <c r="JX110" s="294" t="s">
        <v>5318</v>
      </c>
      <c r="JZ110" s="263" t="s">
        <v>7637</v>
      </c>
      <c r="KA110" s="263" t="s">
        <v>145</v>
      </c>
      <c r="KB110" s="263" t="s">
        <v>70</v>
      </c>
      <c r="KC110" s="263" t="s">
        <v>1083</v>
      </c>
      <c r="KE110" s="263" t="s">
        <v>7638</v>
      </c>
      <c r="KF110" s="263" t="s">
        <v>52</v>
      </c>
      <c r="KG110" s="263" t="s">
        <v>70</v>
      </c>
      <c r="KH110" s="263" t="s">
        <v>1083</v>
      </c>
      <c r="KJ110" s="263" t="s">
        <v>7639</v>
      </c>
      <c r="KK110" s="263" t="s">
        <v>52</v>
      </c>
      <c r="KL110" s="263" t="s">
        <v>74</v>
      </c>
      <c r="KM110" s="263" t="s">
        <v>34074</v>
      </c>
      <c r="KO110" s="214" t="s">
        <v>7640</v>
      </c>
      <c r="KP110" s="214" t="s">
        <v>145</v>
      </c>
      <c r="KQ110" s="214" t="s">
        <v>70</v>
      </c>
      <c r="KR110" s="214" t="s">
        <v>67</v>
      </c>
      <c r="KT110" s="22" t="s">
        <v>7641</v>
      </c>
      <c r="KU110" s="22" t="s">
        <v>145</v>
      </c>
      <c r="KV110" s="22" t="s">
        <v>70</v>
      </c>
      <c r="KW110" s="22" t="s">
        <v>67</v>
      </c>
      <c r="KY110" s="214" t="s">
        <v>7642</v>
      </c>
      <c r="KZ110" s="214" t="s">
        <v>52</v>
      </c>
      <c r="LA110" s="214" t="s">
        <v>74</v>
      </c>
      <c r="LB110" s="214" t="s">
        <v>67</v>
      </c>
      <c r="LD110" s="22" t="s">
        <v>7643</v>
      </c>
      <c r="LE110" s="22" t="s">
        <v>145</v>
      </c>
      <c r="LF110" s="22" t="s">
        <v>70</v>
      </c>
      <c r="LG110" s="22" t="s">
        <v>67</v>
      </c>
    </row>
    <row r="111" spans="1:319">
      <c r="A111" s="22" t="s">
        <v>7644</v>
      </c>
      <c r="B111" s="22" t="s">
        <v>145</v>
      </c>
      <c r="C111" s="22" t="s">
        <v>70</v>
      </c>
      <c r="D111" s="22" t="s">
        <v>67</v>
      </c>
      <c r="F111" s="23" t="s">
        <v>7645</v>
      </c>
      <c r="G111" s="23" t="str">
        <f>TVIIBE1M_CalPairs!$E108</f>
        <v>0x10</v>
      </c>
      <c r="H111" s="23" t="s">
        <v>72</v>
      </c>
      <c r="I111" s="23" t="str">
        <f>TVIIBE1M_CalPairs!$C108</f>
        <v>PWR_TRIM_HT_PWRSYS_CTL_VAL0</v>
      </c>
      <c r="K111" s="22" t="s">
        <v>7646</v>
      </c>
      <c r="L111" s="22" t="s">
        <v>145</v>
      </c>
      <c r="M111" s="22" t="s">
        <v>70</v>
      </c>
      <c r="N111" s="22" t="s">
        <v>67</v>
      </c>
      <c r="P111" s="394" t="s">
        <v>7647</v>
      </c>
      <c r="Q111" s="394" t="s">
        <v>145</v>
      </c>
      <c r="R111" s="394" t="s">
        <v>72</v>
      </c>
      <c r="S111" s="394" t="s">
        <v>34679</v>
      </c>
      <c r="U111" s="293" t="s">
        <v>7648</v>
      </c>
      <c r="V111" s="293" t="s">
        <v>145</v>
      </c>
      <c r="W111" s="293" t="s">
        <v>74</v>
      </c>
      <c r="X111" s="293" t="s">
        <v>656</v>
      </c>
      <c r="Z111" s="293" t="s">
        <v>7649</v>
      </c>
      <c r="AA111" s="293" t="s">
        <v>145</v>
      </c>
      <c r="AB111" s="293" t="s">
        <v>74</v>
      </c>
      <c r="AC111" s="293" t="s">
        <v>656</v>
      </c>
      <c r="AE111" s="293" t="s">
        <v>7650</v>
      </c>
      <c r="AF111" s="293" t="s">
        <v>145</v>
      </c>
      <c r="AG111" s="293" t="s">
        <v>74</v>
      </c>
      <c r="AH111" s="293" t="s">
        <v>656</v>
      </c>
      <c r="AJ111" s="293" t="s">
        <v>7651</v>
      </c>
      <c r="AK111" s="293" t="s">
        <v>145</v>
      </c>
      <c r="AL111" s="293" t="s">
        <v>74</v>
      </c>
      <c r="AM111" s="293" t="s">
        <v>656</v>
      </c>
      <c r="AO111" s="22" t="s">
        <v>7652</v>
      </c>
      <c r="AP111" s="22" t="s">
        <v>145</v>
      </c>
      <c r="AQ111" s="22" t="s">
        <v>70</v>
      </c>
      <c r="AR111" s="22" t="s">
        <v>67</v>
      </c>
      <c r="AT111" s="22" t="s">
        <v>7653</v>
      </c>
      <c r="AU111" s="22" t="s">
        <v>145</v>
      </c>
      <c r="AV111" s="22" t="s">
        <v>70</v>
      </c>
      <c r="AW111" s="22" t="s">
        <v>67</v>
      </c>
      <c r="AY111" s="22" t="s">
        <v>7654</v>
      </c>
      <c r="AZ111" s="22" t="s">
        <v>145</v>
      </c>
      <c r="BA111" s="22" t="s">
        <v>70</v>
      </c>
      <c r="BB111" s="22" t="s">
        <v>67</v>
      </c>
      <c r="BD111" s="22" t="s">
        <v>7655</v>
      </c>
      <c r="BE111" s="22" t="s">
        <v>145</v>
      </c>
      <c r="BF111" s="22" t="s">
        <v>70</v>
      </c>
      <c r="BG111" s="22" t="s">
        <v>67</v>
      </c>
      <c r="BI111" s="22" t="s">
        <v>7656</v>
      </c>
      <c r="BJ111" s="22" t="s">
        <v>145</v>
      </c>
      <c r="BK111" s="22" t="s">
        <v>70</v>
      </c>
      <c r="BL111" s="22" t="s">
        <v>67</v>
      </c>
      <c r="BN111" s="22" t="s">
        <v>7657</v>
      </c>
      <c r="BO111" s="22" t="s">
        <v>145</v>
      </c>
      <c r="BP111" s="22" t="s">
        <v>70</v>
      </c>
      <c r="BQ111" s="22" t="s">
        <v>67</v>
      </c>
      <c r="BS111" s="22" t="s">
        <v>7658</v>
      </c>
      <c r="BT111" s="22" t="s">
        <v>145</v>
      </c>
      <c r="BU111" s="22" t="s">
        <v>70</v>
      </c>
      <c r="BV111" s="214" t="s">
        <v>530</v>
      </c>
      <c r="BX111" s="22" t="s">
        <v>7659</v>
      </c>
      <c r="BY111" s="22" t="s">
        <v>145</v>
      </c>
      <c r="BZ111" s="22" t="s">
        <v>70</v>
      </c>
      <c r="CA111" s="214" t="s">
        <v>530</v>
      </c>
      <c r="CC111" s="214" t="s">
        <v>7660</v>
      </c>
      <c r="CD111" s="218" t="s">
        <v>145</v>
      </c>
      <c r="CE111" s="214" t="s">
        <v>70</v>
      </c>
      <c r="CF111" s="214" t="s">
        <v>406</v>
      </c>
      <c r="CH111" s="214" t="s">
        <v>7661</v>
      </c>
      <c r="CI111" s="214" t="s">
        <v>950</v>
      </c>
      <c r="CJ111" s="214" t="s">
        <v>70</v>
      </c>
      <c r="CK111" s="214" t="s">
        <v>530</v>
      </c>
      <c r="CM111" s="214" t="s">
        <v>7662</v>
      </c>
      <c r="CN111" s="214" t="s">
        <v>34548</v>
      </c>
      <c r="CO111" s="214" t="s">
        <v>70</v>
      </c>
      <c r="CP111" s="214" t="s">
        <v>530</v>
      </c>
      <c r="CR111" s="214" t="s">
        <v>7663</v>
      </c>
      <c r="CS111" s="214" t="s">
        <v>34569</v>
      </c>
      <c r="CT111" s="214" t="s">
        <v>70</v>
      </c>
      <c r="CU111" s="214" t="s">
        <v>530</v>
      </c>
      <c r="CW111" s="214" t="s">
        <v>7664</v>
      </c>
      <c r="CX111" s="214" t="s">
        <v>52</v>
      </c>
      <c r="CY111" s="214" t="s">
        <v>70</v>
      </c>
      <c r="CZ111" s="214" t="s">
        <v>530</v>
      </c>
      <c r="DB111" s="214" t="s">
        <v>7665</v>
      </c>
      <c r="DC111" s="214" t="s">
        <v>488</v>
      </c>
      <c r="DD111" s="214" t="s">
        <v>70</v>
      </c>
      <c r="DE111" s="214" t="s">
        <v>530</v>
      </c>
      <c r="DG111" s="214" t="s">
        <v>7666</v>
      </c>
      <c r="DH111" s="214" t="s">
        <v>484</v>
      </c>
      <c r="DI111" s="214" t="s">
        <v>70</v>
      </c>
      <c r="DJ111" s="214" t="s">
        <v>530</v>
      </c>
      <c r="DL111" s="214" t="s">
        <v>7667</v>
      </c>
      <c r="DM111" s="214" t="s">
        <v>52</v>
      </c>
      <c r="DN111" s="214" t="s">
        <v>70</v>
      </c>
      <c r="DO111" s="214" t="s">
        <v>530</v>
      </c>
      <c r="DQ111" s="214" t="s">
        <v>7668</v>
      </c>
      <c r="DR111" s="214" t="s">
        <v>34549</v>
      </c>
      <c r="DS111" s="214" t="s">
        <v>70</v>
      </c>
      <c r="DT111" s="214" t="s">
        <v>530</v>
      </c>
      <c r="DV111" s="214" t="s">
        <v>7669</v>
      </c>
      <c r="DW111" s="214" t="s">
        <v>921</v>
      </c>
      <c r="DX111" s="214" t="s">
        <v>70</v>
      </c>
      <c r="DY111" s="214" t="s">
        <v>530</v>
      </c>
      <c r="EA111" s="214" t="s">
        <v>7670</v>
      </c>
      <c r="EB111" s="214" t="s">
        <v>919</v>
      </c>
      <c r="EC111" s="214" t="s">
        <v>70</v>
      </c>
      <c r="ED111" s="214" t="s">
        <v>530</v>
      </c>
      <c r="EF111" s="214" t="s">
        <v>7671</v>
      </c>
      <c r="EG111" s="214" t="s">
        <v>146</v>
      </c>
      <c r="EH111" s="214" t="s">
        <v>70</v>
      </c>
      <c r="EI111" s="214" t="s">
        <v>530</v>
      </c>
      <c r="EK111" s="214" t="s">
        <v>7672</v>
      </c>
      <c r="EL111" s="214" t="s">
        <v>501</v>
      </c>
      <c r="EM111" s="214" t="s">
        <v>70</v>
      </c>
      <c r="EN111" s="214" t="s">
        <v>530</v>
      </c>
      <c r="EP111" s="214" t="s">
        <v>7673</v>
      </c>
      <c r="EQ111" s="214" t="s">
        <v>34570</v>
      </c>
      <c r="ER111" s="214" t="s">
        <v>70</v>
      </c>
      <c r="ES111" s="214" t="s">
        <v>530</v>
      </c>
      <c r="EU111" s="214" t="s">
        <v>7674</v>
      </c>
      <c r="EV111" s="214" t="s">
        <v>492</v>
      </c>
      <c r="EW111" s="214" t="s">
        <v>70</v>
      </c>
      <c r="EX111" s="214" t="s">
        <v>530</v>
      </c>
      <c r="EZ111" s="214" t="s">
        <v>7675</v>
      </c>
      <c r="FA111" s="214" t="s">
        <v>87</v>
      </c>
      <c r="FB111" s="214" t="s">
        <v>70</v>
      </c>
      <c r="FC111" s="214" t="s">
        <v>530</v>
      </c>
      <c r="FE111" s="214" t="s">
        <v>7676</v>
      </c>
      <c r="FF111" s="214" t="s">
        <v>468</v>
      </c>
      <c r="FG111" s="214" t="s">
        <v>70</v>
      </c>
      <c r="FH111" s="214" t="s">
        <v>530</v>
      </c>
      <c r="FJ111" s="321" t="s">
        <v>7677</v>
      </c>
      <c r="FK111" s="214" t="s">
        <v>488</v>
      </c>
      <c r="FL111" s="214" t="s">
        <v>70</v>
      </c>
      <c r="FM111" s="214" t="s">
        <v>530</v>
      </c>
      <c r="FO111" s="321" t="s">
        <v>7678</v>
      </c>
      <c r="FP111" s="214" t="s">
        <v>52</v>
      </c>
      <c r="FQ111" s="214" t="s">
        <v>70</v>
      </c>
      <c r="FR111" s="214" t="s">
        <v>530</v>
      </c>
      <c r="FT111" s="321" t="s">
        <v>7679</v>
      </c>
      <c r="FU111" s="214" t="s">
        <v>487</v>
      </c>
      <c r="FV111" s="214" t="s">
        <v>70</v>
      </c>
      <c r="FW111" s="214" t="s">
        <v>530</v>
      </c>
      <c r="FY111" s="321" t="s">
        <v>7680</v>
      </c>
      <c r="FZ111" s="214" t="s">
        <v>34565</v>
      </c>
      <c r="GA111" s="214" t="s">
        <v>70</v>
      </c>
      <c r="GB111" s="214" t="s">
        <v>530</v>
      </c>
      <c r="GD111" s="321" t="s">
        <v>7681</v>
      </c>
      <c r="GE111" s="214" t="s">
        <v>52</v>
      </c>
      <c r="GF111" s="214" t="s">
        <v>70</v>
      </c>
      <c r="GG111" s="214" t="s">
        <v>530</v>
      </c>
      <c r="GI111" s="321" t="s">
        <v>7682</v>
      </c>
      <c r="GJ111" s="214" t="s">
        <v>52</v>
      </c>
      <c r="GK111" s="214" t="s">
        <v>70</v>
      </c>
      <c r="GL111" s="214" t="s">
        <v>530</v>
      </c>
      <c r="GN111" s="321" t="s">
        <v>7683</v>
      </c>
      <c r="GO111" s="214" t="s">
        <v>491</v>
      </c>
      <c r="GP111" s="214" t="s">
        <v>70</v>
      </c>
      <c r="GQ111" s="214" t="s">
        <v>530</v>
      </c>
      <c r="GS111" s="321" t="s">
        <v>7684</v>
      </c>
      <c r="GT111" s="214" t="s">
        <v>485</v>
      </c>
      <c r="GU111" s="214" t="s">
        <v>70</v>
      </c>
      <c r="GV111" s="214" t="s">
        <v>530</v>
      </c>
      <c r="GX111" s="214" t="s">
        <v>7685</v>
      </c>
      <c r="GY111" s="214" t="s">
        <v>34569</v>
      </c>
      <c r="GZ111" s="214" t="s">
        <v>70</v>
      </c>
      <c r="HA111" s="214" t="s">
        <v>530</v>
      </c>
      <c r="HC111" s="214" t="s">
        <v>7686</v>
      </c>
      <c r="HD111" s="214" t="s">
        <v>956</v>
      </c>
      <c r="HE111" s="214" t="s">
        <v>70</v>
      </c>
      <c r="HF111" s="214" t="s">
        <v>530</v>
      </c>
      <c r="HH111" s="214" t="s">
        <v>7687</v>
      </c>
      <c r="HI111" s="214" t="s">
        <v>482</v>
      </c>
      <c r="HJ111" s="214" t="s">
        <v>70</v>
      </c>
      <c r="HK111" s="214" t="s">
        <v>530</v>
      </c>
      <c r="HM111" s="214" t="s">
        <v>7688</v>
      </c>
      <c r="HN111" s="214" t="s">
        <v>34567</v>
      </c>
      <c r="HO111" s="214" t="s">
        <v>70</v>
      </c>
      <c r="HP111" s="214" t="s">
        <v>530</v>
      </c>
      <c r="HR111" s="22" t="s">
        <v>7689</v>
      </c>
      <c r="HS111" s="22" t="s">
        <v>146</v>
      </c>
      <c r="HT111" s="22" t="s">
        <v>70</v>
      </c>
      <c r="HU111" s="214" t="s">
        <v>530</v>
      </c>
      <c r="HW111" s="22" t="s">
        <v>7690</v>
      </c>
      <c r="HX111" s="22" t="s">
        <v>919</v>
      </c>
      <c r="HY111" s="22" t="s">
        <v>70</v>
      </c>
      <c r="HZ111" s="214" t="s">
        <v>530</v>
      </c>
      <c r="IB111" s="22" t="s">
        <v>7691</v>
      </c>
      <c r="IC111" s="22" t="s">
        <v>484</v>
      </c>
      <c r="ID111" s="22" t="s">
        <v>70</v>
      </c>
      <c r="IE111" s="214" t="s">
        <v>530</v>
      </c>
      <c r="IG111" s="22" t="s">
        <v>7692</v>
      </c>
      <c r="IH111" s="22" t="s">
        <v>52</v>
      </c>
      <c r="II111" s="22" t="s">
        <v>70</v>
      </c>
      <c r="IJ111" s="214" t="s">
        <v>530</v>
      </c>
      <c r="IL111" s="22" t="s">
        <v>7693</v>
      </c>
      <c r="IM111" s="22" t="s">
        <v>145</v>
      </c>
      <c r="IN111" s="22" t="s">
        <v>70</v>
      </c>
      <c r="IO111" s="214" t="s">
        <v>530</v>
      </c>
      <c r="IQ111" s="236" t="s">
        <v>7694</v>
      </c>
      <c r="IR111" s="236" t="s">
        <v>145</v>
      </c>
      <c r="IS111" s="236" t="s">
        <v>74</v>
      </c>
      <c r="IT111" s="236" t="s">
        <v>841</v>
      </c>
      <c r="IV111" s="236" t="s">
        <v>7695</v>
      </c>
      <c r="IW111" s="236" t="s">
        <v>145</v>
      </c>
      <c r="IX111" s="236" t="s">
        <v>74</v>
      </c>
      <c r="IY111" s="236" t="s">
        <v>841</v>
      </c>
      <c r="JA111" s="236" t="s">
        <v>7696</v>
      </c>
      <c r="JB111" s="236" t="s">
        <v>145</v>
      </c>
      <c r="JC111" s="236" t="s">
        <v>74</v>
      </c>
      <c r="JD111" s="236" t="s">
        <v>841</v>
      </c>
      <c r="JF111" s="236" t="s">
        <v>7697</v>
      </c>
      <c r="JG111" s="236" t="s">
        <v>145</v>
      </c>
      <c r="JH111" s="236" t="s">
        <v>74</v>
      </c>
      <c r="JI111" s="236" t="s">
        <v>841</v>
      </c>
      <c r="JK111" s="236" t="s">
        <v>7698</v>
      </c>
      <c r="JL111" s="236" t="s">
        <v>145</v>
      </c>
      <c r="JM111" s="236" t="s">
        <v>74</v>
      </c>
      <c r="JN111" s="236" t="s">
        <v>841</v>
      </c>
      <c r="JP111" s="236" t="s">
        <v>7699</v>
      </c>
      <c r="JQ111" s="236" t="s">
        <v>145</v>
      </c>
      <c r="JR111" s="236" t="s">
        <v>74</v>
      </c>
      <c r="JS111" s="236" t="s">
        <v>841</v>
      </c>
      <c r="JU111" s="294" t="s">
        <v>7700</v>
      </c>
      <c r="JV111" s="294" t="s">
        <v>52</v>
      </c>
      <c r="JW111" s="263" t="s">
        <v>70</v>
      </c>
      <c r="JX111" s="294" t="s">
        <v>5383</v>
      </c>
      <c r="JZ111" s="263" t="s">
        <v>7701</v>
      </c>
      <c r="KA111" s="263" t="s">
        <v>145</v>
      </c>
      <c r="KB111" s="263" t="s">
        <v>70</v>
      </c>
      <c r="KC111" s="263" t="s">
        <v>1083</v>
      </c>
      <c r="KE111" s="263" t="s">
        <v>7702</v>
      </c>
      <c r="KF111" s="263" t="s">
        <v>52</v>
      </c>
      <c r="KG111" s="263" t="s">
        <v>70</v>
      </c>
      <c r="KH111" s="263" t="s">
        <v>1083</v>
      </c>
      <c r="KJ111" s="263" t="s">
        <v>7703</v>
      </c>
      <c r="KK111" s="263" t="s">
        <v>52</v>
      </c>
      <c r="KL111" s="263" t="s">
        <v>74</v>
      </c>
      <c r="KM111" s="263" t="s">
        <v>34074</v>
      </c>
      <c r="KO111" s="214" t="s">
        <v>7704</v>
      </c>
      <c r="KP111" s="214" t="s">
        <v>145</v>
      </c>
      <c r="KQ111" s="214" t="s">
        <v>70</v>
      </c>
      <c r="KR111" s="214" t="s">
        <v>67</v>
      </c>
      <c r="KT111" s="22" t="s">
        <v>7705</v>
      </c>
      <c r="KU111" s="22" t="s">
        <v>145</v>
      </c>
      <c r="KV111" s="22" t="s">
        <v>70</v>
      </c>
      <c r="KW111" s="22" t="s">
        <v>67</v>
      </c>
      <c r="KY111" s="214" t="s">
        <v>7706</v>
      </c>
      <c r="KZ111" s="214" t="s">
        <v>52</v>
      </c>
      <c r="LA111" s="214" t="s">
        <v>74</v>
      </c>
      <c r="LB111" s="214" t="s">
        <v>67</v>
      </c>
      <c r="LD111" s="22" t="s">
        <v>7707</v>
      </c>
      <c r="LE111" s="22" t="s">
        <v>145</v>
      </c>
      <c r="LF111" s="22" t="s">
        <v>70</v>
      </c>
      <c r="LG111" s="22" t="s">
        <v>67</v>
      </c>
    </row>
    <row r="112" spans="1:319">
      <c r="A112" s="22" t="s">
        <v>7708</v>
      </c>
      <c r="B112" s="22" t="s">
        <v>145</v>
      </c>
      <c r="C112" s="22" t="s">
        <v>70</v>
      </c>
      <c r="D112" s="22" t="s">
        <v>67</v>
      </c>
      <c r="F112" s="23" t="s">
        <v>7709</v>
      </c>
      <c r="G112" s="23" t="str">
        <f>TVIIBE1M_CalPairs!$E109</f>
        <v>0x07</v>
      </c>
      <c r="H112" s="23" t="s">
        <v>72</v>
      </c>
      <c r="I112" s="23" t="str">
        <f>TVIIBE1M_CalPairs!$C109</f>
        <v>PWR_TRIM_HT_PWRSYS_CTL_VAL1</v>
      </c>
      <c r="K112" s="22" t="s">
        <v>7710</v>
      </c>
      <c r="L112" s="22" t="s">
        <v>145</v>
      </c>
      <c r="M112" s="22" t="s">
        <v>70</v>
      </c>
      <c r="N112" s="22" t="s">
        <v>67</v>
      </c>
      <c r="P112" s="394" t="s">
        <v>7711</v>
      </c>
      <c r="Q112" s="394" t="s">
        <v>145</v>
      </c>
      <c r="R112" s="394" t="s">
        <v>72</v>
      </c>
      <c r="S112" s="394" t="s">
        <v>34680</v>
      </c>
      <c r="U112" s="293" t="s">
        <v>7712</v>
      </c>
      <c r="V112" s="293" t="s">
        <v>145</v>
      </c>
      <c r="W112" s="293" t="s">
        <v>74</v>
      </c>
      <c r="X112" s="293" t="s">
        <v>656</v>
      </c>
      <c r="Z112" s="293" t="s">
        <v>7713</v>
      </c>
      <c r="AA112" s="293" t="s">
        <v>145</v>
      </c>
      <c r="AB112" s="293" t="s">
        <v>74</v>
      </c>
      <c r="AC112" s="293" t="s">
        <v>656</v>
      </c>
      <c r="AE112" s="293" t="s">
        <v>7714</v>
      </c>
      <c r="AF112" s="293" t="s">
        <v>145</v>
      </c>
      <c r="AG112" s="293" t="s">
        <v>74</v>
      </c>
      <c r="AH112" s="293" t="s">
        <v>656</v>
      </c>
      <c r="AJ112" s="293" t="s">
        <v>7715</v>
      </c>
      <c r="AK112" s="293" t="s">
        <v>145</v>
      </c>
      <c r="AL112" s="293" t="s">
        <v>74</v>
      </c>
      <c r="AM112" s="293" t="s">
        <v>656</v>
      </c>
      <c r="AO112" s="22" t="s">
        <v>7716</v>
      </c>
      <c r="AP112" s="22" t="s">
        <v>145</v>
      </c>
      <c r="AQ112" s="22" t="s">
        <v>70</v>
      </c>
      <c r="AR112" s="22" t="s">
        <v>67</v>
      </c>
      <c r="AT112" s="22" t="s">
        <v>7717</v>
      </c>
      <c r="AU112" s="22" t="s">
        <v>145</v>
      </c>
      <c r="AV112" s="22" t="s">
        <v>70</v>
      </c>
      <c r="AW112" s="22" t="s">
        <v>67</v>
      </c>
      <c r="AY112" s="22" t="s">
        <v>7718</v>
      </c>
      <c r="AZ112" s="22" t="s">
        <v>145</v>
      </c>
      <c r="BA112" s="22" t="s">
        <v>70</v>
      </c>
      <c r="BB112" s="22" t="s">
        <v>67</v>
      </c>
      <c r="BD112" s="22" t="s">
        <v>7719</v>
      </c>
      <c r="BE112" s="22" t="s">
        <v>145</v>
      </c>
      <c r="BF112" s="22" t="s">
        <v>70</v>
      </c>
      <c r="BG112" s="22" t="s">
        <v>67</v>
      </c>
      <c r="BI112" s="22" t="s">
        <v>7720</v>
      </c>
      <c r="BJ112" s="22" t="s">
        <v>145</v>
      </c>
      <c r="BK112" s="22" t="s">
        <v>70</v>
      </c>
      <c r="BL112" s="22" t="s">
        <v>67</v>
      </c>
      <c r="BN112" s="22" t="s">
        <v>7721</v>
      </c>
      <c r="BO112" s="22" t="s">
        <v>145</v>
      </c>
      <c r="BP112" s="22" t="s">
        <v>70</v>
      </c>
      <c r="BQ112" s="22" t="s">
        <v>67</v>
      </c>
      <c r="BS112" s="22" t="s">
        <v>7722</v>
      </c>
      <c r="BT112" s="22" t="s">
        <v>145</v>
      </c>
      <c r="BU112" s="22" t="s">
        <v>70</v>
      </c>
      <c r="BV112" s="214" t="s">
        <v>530</v>
      </c>
      <c r="BX112" s="22" t="s">
        <v>7723</v>
      </c>
      <c r="BY112" s="22" t="s">
        <v>145</v>
      </c>
      <c r="BZ112" s="22" t="s">
        <v>70</v>
      </c>
      <c r="CA112" s="214" t="s">
        <v>530</v>
      </c>
      <c r="CC112" s="214" t="s">
        <v>7724</v>
      </c>
      <c r="CD112" s="218" t="s">
        <v>145</v>
      </c>
      <c r="CE112" s="214" t="s">
        <v>70</v>
      </c>
      <c r="CF112" s="214" t="s">
        <v>407</v>
      </c>
      <c r="CH112" s="214" t="s">
        <v>7725</v>
      </c>
      <c r="CI112" s="214" t="s">
        <v>485</v>
      </c>
      <c r="CJ112" s="214" t="s">
        <v>70</v>
      </c>
      <c r="CK112" s="214" t="s">
        <v>530</v>
      </c>
      <c r="CM112" s="214" t="s">
        <v>7726</v>
      </c>
      <c r="CN112" s="214" t="s">
        <v>52</v>
      </c>
      <c r="CO112" s="214" t="s">
        <v>70</v>
      </c>
      <c r="CP112" s="214" t="s">
        <v>530</v>
      </c>
      <c r="CR112" s="214" t="s">
        <v>7727</v>
      </c>
      <c r="CS112" s="214" t="s">
        <v>34545</v>
      </c>
      <c r="CT112" s="214" t="s">
        <v>70</v>
      </c>
      <c r="CU112" s="214" t="s">
        <v>530</v>
      </c>
      <c r="CW112" s="214" t="s">
        <v>7728</v>
      </c>
      <c r="CX112" s="214" t="s">
        <v>52</v>
      </c>
      <c r="CY112" s="214" t="s">
        <v>70</v>
      </c>
      <c r="CZ112" s="214" t="s">
        <v>530</v>
      </c>
      <c r="DB112" s="214" t="s">
        <v>7729</v>
      </c>
      <c r="DC112" s="214" t="s">
        <v>468</v>
      </c>
      <c r="DD112" s="214" t="s">
        <v>70</v>
      </c>
      <c r="DE112" s="214" t="s">
        <v>530</v>
      </c>
      <c r="DG112" s="214" t="s">
        <v>7730</v>
      </c>
      <c r="DH112" s="214" t="s">
        <v>85</v>
      </c>
      <c r="DI112" s="214" t="s">
        <v>70</v>
      </c>
      <c r="DJ112" s="214" t="s">
        <v>530</v>
      </c>
      <c r="DL112" s="214" t="s">
        <v>7731</v>
      </c>
      <c r="DM112" s="214" t="s">
        <v>52</v>
      </c>
      <c r="DN112" s="214" t="s">
        <v>70</v>
      </c>
      <c r="DO112" s="214" t="s">
        <v>530</v>
      </c>
      <c r="DQ112" s="214" t="s">
        <v>7732</v>
      </c>
      <c r="DR112" s="214" t="s">
        <v>164</v>
      </c>
      <c r="DS112" s="214" t="s">
        <v>70</v>
      </c>
      <c r="DT112" s="214" t="s">
        <v>530</v>
      </c>
      <c r="DV112" s="214" t="s">
        <v>7733</v>
      </c>
      <c r="DW112" s="214" t="s">
        <v>163</v>
      </c>
      <c r="DX112" s="214" t="s">
        <v>70</v>
      </c>
      <c r="DY112" s="214" t="s">
        <v>530</v>
      </c>
      <c r="EA112" s="214" t="s">
        <v>7734</v>
      </c>
      <c r="EB112" s="214" t="s">
        <v>87</v>
      </c>
      <c r="EC112" s="214" t="s">
        <v>70</v>
      </c>
      <c r="ED112" s="214" t="s">
        <v>530</v>
      </c>
      <c r="EF112" s="214" t="s">
        <v>7735</v>
      </c>
      <c r="EG112" s="214" t="s">
        <v>93</v>
      </c>
      <c r="EH112" s="214" t="s">
        <v>70</v>
      </c>
      <c r="EI112" s="214" t="s">
        <v>530</v>
      </c>
      <c r="EK112" s="214" t="s">
        <v>7736</v>
      </c>
      <c r="EL112" s="214" t="s">
        <v>34618</v>
      </c>
      <c r="EM112" s="214" t="s">
        <v>70</v>
      </c>
      <c r="EN112" s="214" t="s">
        <v>530</v>
      </c>
      <c r="EP112" s="214" t="s">
        <v>7737</v>
      </c>
      <c r="EQ112" s="214" t="s">
        <v>765</v>
      </c>
      <c r="ER112" s="214" t="s">
        <v>70</v>
      </c>
      <c r="ES112" s="214" t="s">
        <v>530</v>
      </c>
      <c r="EU112" s="214" t="s">
        <v>7738</v>
      </c>
      <c r="EV112" s="214" t="s">
        <v>88</v>
      </c>
      <c r="EW112" s="214" t="s">
        <v>70</v>
      </c>
      <c r="EX112" s="214" t="s">
        <v>530</v>
      </c>
      <c r="EZ112" s="214" t="s">
        <v>7739</v>
      </c>
      <c r="FA112" s="214" t="s">
        <v>92</v>
      </c>
      <c r="FB112" s="214" t="s">
        <v>70</v>
      </c>
      <c r="FC112" s="214" t="s">
        <v>530</v>
      </c>
      <c r="FE112" s="214" t="s">
        <v>7740</v>
      </c>
      <c r="FF112" s="214" t="s">
        <v>146</v>
      </c>
      <c r="FG112" s="214" t="s">
        <v>70</v>
      </c>
      <c r="FH112" s="214" t="s">
        <v>530</v>
      </c>
      <c r="FJ112" s="321" t="s">
        <v>7741</v>
      </c>
      <c r="FK112" s="214" t="s">
        <v>85</v>
      </c>
      <c r="FL112" s="214" t="s">
        <v>70</v>
      </c>
      <c r="FM112" s="214" t="s">
        <v>530</v>
      </c>
      <c r="FO112" s="321" t="s">
        <v>7742</v>
      </c>
      <c r="FP112" s="214" t="s">
        <v>146</v>
      </c>
      <c r="FQ112" s="214" t="s">
        <v>70</v>
      </c>
      <c r="FR112" s="214" t="s">
        <v>530</v>
      </c>
      <c r="FT112" s="321" t="s">
        <v>7743</v>
      </c>
      <c r="FU112" s="214" t="s">
        <v>286</v>
      </c>
      <c r="FV112" s="214" t="s">
        <v>70</v>
      </c>
      <c r="FW112" s="214" t="s">
        <v>530</v>
      </c>
      <c r="FY112" s="321" t="s">
        <v>7744</v>
      </c>
      <c r="FZ112" s="214" t="s">
        <v>34620</v>
      </c>
      <c r="GA112" s="214" t="s">
        <v>70</v>
      </c>
      <c r="GB112" s="214" t="s">
        <v>530</v>
      </c>
      <c r="GD112" s="321" t="s">
        <v>7745</v>
      </c>
      <c r="GE112" s="214" t="s">
        <v>918</v>
      </c>
      <c r="GF112" s="214" t="s">
        <v>70</v>
      </c>
      <c r="GG112" s="214" t="s">
        <v>530</v>
      </c>
      <c r="GI112" s="321" t="s">
        <v>7746</v>
      </c>
      <c r="GJ112" s="214" t="s">
        <v>103</v>
      </c>
      <c r="GK112" s="214" t="s">
        <v>70</v>
      </c>
      <c r="GL112" s="214" t="s">
        <v>530</v>
      </c>
      <c r="GN112" s="321" t="s">
        <v>7747</v>
      </c>
      <c r="GO112" s="214" t="s">
        <v>148</v>
      </c>
      <c r="GP112" s="214" t="s">
        <v>70</v>
      </c>
      <c r="GQ112" s="214" t="s">
        <v>530</v>
      </c>
      <c r="GS112" s="321" t="s">
        <v>7748</v>
      </c>
      <c r="GT112" s="214" t="s">
        <v>164</v>
      </c>
      <c r="GU112" s="214" t="s">
        <v>70</v>
      </c>
      <c r="GV112" s="214" t="s">
        <v>530</v>
      </c>
      <c r="GX112" s="214" t="s">
        <v>7749</v>
      </c>
      <c r="GY112" s="214" t="s">
        <v>34573</v>
      </c>
      <c r="GZ112" s="214" t="s">
        <v>70</v>
      </c>
      <c r="HA112" s="214" t="s">
        <v>530</v>
      </c>
      <c r="HC112" s="214" t="s">
        <v>7750</v>
      </c>
      <c r="HD112" s="214" t="s">
        <v>52</v>
      </c>
      <c r="HE112" s="214" t="s">
        <v>70</v>
      </c>
      <c r="HF112" s="214" t="s">
        <v>530</v>
      </c>
      <c r="HH112" s="214" t="s">
        <v>7751</v>
      </c>
      <c r="HI112" s="214" t="s">
        <v>945</v>
      </c>
      <c r="HJ112" s="214" t="s">
        <v>70</v>
      </c>
      <c r="HK112" s="214" t="s">
        <v>530</v>
      </c>
      <c r="HM112" s="214" t="s">
        <v>7752</v>
      </c>
      <c r="HN112" s="214" t="s">
        <v>52</v>
      </c>
      <c r="HO112" s="214" t="s">
        <v>70</v>
      </c>
      <c r="HP112" s="214" t="s">
        <v>530</v>
      </c>
      <c r="HR112" s="22" t="s">
        <v>7753</v>
      </c>
      <c r="HS112" s="22" t="s">
        <v>34641</v>
      </c>
      <c r="HT112" s="22" t="s">
        <v>70</v>
      </c>
      <c r="HU112" s="214" t="s">
        <v>530</v>
      </c>
      <c r="HW112" s="22" t="s">
        <v>7754</v>
      </c>
      <c r="HX112" s="22" t="s">
        <v>52</v>
      </c>
      <c r="HY112" s="22" t="s">
        <v>70</v>
      </c>
      <c r="HZ112" s="214" t="s">
        <v>530</v>
      </c>
      <c r="IB112" s="22" t="s">
        <v>7755</v>
      </c>
      <c r="IC112" s="22" t="s">
        <v>149</v>
      </c>
      <c r="ID112" s="22" t="s">
        <v>70</v>
      </c>
      <c r="IE112" s="214" t="s">
        <v>530</v>
      </c>
      <c r="IG112" s="22" t="s">
        <v>7756</v>
      </c>
      <c r="IH112" s="22" t="s">
        <v>52</v>
      </c>
      <c r="II112" s="22" t="s">
        <v>70</v>
      </c>
      <c r="IJ112" s="214" t="s">
        <v>530</v>
      </c>
      <c r="IL112" s="22" t="s">
        <v>7757</v>
      </c>
      <c r="IM112" s="22" t="s">
        <v>145</v>
      </c>
      <c r="IN112" s="22" t="s">
        <v>70</v>
      </c>
      <c r="IO112" s="214" t="s">
        <v>530</v>
      </c>
      <c r="IQ112" s="236" t="s">
        <v>7758</v>
      </c>
      <c r="IR112" s="236" t="s">
        <v>145</v>
      </c>
      <c r="IS112" s="236" t="s">
        <v>74</v>
      </c>
      <c r="IT112" s="236" t="s">
        <v>841</v>
      </c>
      <c r="IV112" s="236" t="s">
        <v>7759</v>
      </c>
      <c r="IW112" s="236" t="s">
        <v>145</v>
      </c>
      <c r="IX112" s="236" t="s">
        <v>74</v>
      </c>
      <c r="IY112" s="236" t="s">
        <v>841</v>
      </c>
      <c r="JA112" s="236" t="s">
        <v>7760</v>
      </c>
      <c r="JB112" s="236" t="s">
        <v>145</v>
      </c>
      <c r="JC112" s="236" t="s">
        <v>74</v>
      </c>
      <c r="JD112" s="236" t="s">
        <v>841</v>
      </c>
      <c r="JF112" s="236" t="s">
        <v>7761</v>
      </c>
      <c r="JG112" s="236" t="s">
        <v>145</v>
      </c>
      <c r="JH112" s="236" t="s">
        <v>74</v>
      </c>
      <c r="JI112" s="236" t="s">
        <v>841</v>
      </c>
      <c r="JK112" s="236" t="s">
        <v>7762</v>
      </c>
      <c r="JL112" s="236" t="s">
        <v>145</v>
      </c>
      <c r="JM112" s="236" t="s">
        <v>74</v>
      </c>
      <c r="JN112" s="236" t="s">
        <v>841</v>
      </c>
      <c r="JP112" s="236" t="s">
        <v>7763</v>
      </c>
      <c r="JQ112" s="236" t="s">
        <v>145</v>
      </c>
      <c r="JR112" s="236" t="s">
        <v>74</v>
      </c>
      <c r="JS112" s="236" t="s">
        <v>841</v>
      </c>
      <c r="JU112" s="294" t="s">
        <v>7764</v>
      </c>
      <c r="JV112" s="337" t="str">
        <f>TVIIBE1M_CalPairs!$Q5</f>
        <v>0x01</v>
      </c>
      <c r="JW112" s="263" t="s">
        <v>70</v>
      </c>
      <c r="JX112" s="294" t="s">
        <v>5448</v>
      </c>
      <c r="JZ112" s="263" t="s">
        <v>7765</v>
      </c>
      <c r="KA112" s="263" t="s">
        <v>145</v>
      </c>
      <c r="KB112" s="263" t="s">
        <v>70</v>
      </c>
      <c r="KC112" s="263" t="s">
        <v>1083</v>
      </c>
      <c r="KE112" s="263" t="s">
        <v>7766</v>
      </c>
      <c r="KF112" s="263" t="s">
        <v>52</v>
      </c>
      <c r="KG112" s="263" t="s">
        <v>70</v>
      </c>
      <c r="KH112" s="263" t="s">
        <v>1083</v>
      </c>
      <c r="KJ112" s="263" t="s">
        <v>7767</v>
      </c>
      <c r="KK112" s="263" t="s">
        <v>52</v>
      </c>
      <c r="KL112" s="263" t="s">
        <v>74</v>
      </c>
      <c r="KM112" s="263" t="s">
        <v>34074</v>
      </c>
      <c r="KO112" s="214" t="s">
        <v>7768</v>
      </c>
      <c r="KP112" s="214" t="s">
        <v>145</v>
      </c>
      <c r="KQ112" s="214" t="s">
        <v>70</v>
      </c>
      <c r="KR112" s="214" t="s">
        <v>67</v>
      </c>
      <c r="KT112" s="22" t="s">
        <v>7769</v>
      </c>
      <c r="KU112" s="22" t="s">
        <v>145</v>
      </c>
      <c r="KV112" s="22" t="s">
        <v>70</v>
      </c>
      <c r="KW112" s="22" t="s">
        <v>67</v>
      </c>
      <c r="KY112" s="214" t="s">
        <v>7770</v>
      </c>
      <c r="KZ112" s="214" t="s">
        <v>52</v>
      </c>
      <c r="LA112" s="214" t="s">
        <v>74</v>
      </c>
      <c r="LB112" s="214" t="s">
        <v>67</v>
      </c>
      <c r="LD112" s="22" t="s">
        <v>7771</v>
      </c>
      <c r="LE112" s="22" t="s">
        <v>145</v>
      </c>
      <c r="LF112" s="22" t="s">
        <v>70</v>
      </c>
      <c r="LG112" s="22" t="s">
        <v>67</v>
      </c>
    </row>
    <row r="113" spans="1:319">
      <c r="A113" s="22" t="s">
        <v>7772</v>
      </c>
      <c r="B113" s="22" t="s">
        <v>145</v>
      </c>
      <c r="C113" s="22" t="s">
        <v>70</v>
      </c>
      <c r="D113" s="22" t="s">
        <v>67</v>
      </c>
      <c r="F113" s="23" t="s">
        <v>7773</v>
      </c>
      <c r="G113" s="23" t="str">
        <f>TVIIBE1M_CalPairs!$E110</f>
        <v>0x67</v>
      </c>
      <c r="H113" s="23" t="s">
        <v>72</v>
      </c>
      <c r="I113" s="23" t="str">
        <f>TVIIBE1M_CalPairs!$C110</f>
        <v>PWR_TRIM_HT_PWRSYS_CTL_VAL2</v>
      </c>
      <c r="K113" s="22" t="s">
        <v>7774</v>
      </c>
      <c r="L113" s="22" t="s">
        <v>145</v>
      </c>
      <c r="M113" s="22" t="s">
        <v>70</v>
      </c>
      <c r="N113" s="22" t="s">
        <v>67</v>
      </c>
      <c r="P113" s="394" t="s">
        <v>7775</v>
      </c>
      <c r="Q113" s="394" t="s">
        <v>145</v>
      </c>
      <c r="R113" s="394" t="s">
        <v>72</v>
      </c>
      <c r="S113" s="394" t="s">
        <v>34680</v>
      </c>
      <c r="U113" s="293" t="s">
        <v>7776</v>
      </c>
      <c r="V113" s="293" t="s">
        <v>145</v>
      </c>
      <c r="W113" s="293" t="s">
        <v>74</v>
      </c>
      <c r="X113" s="293" t="s">
        <v>656</v>
      </c>
      <c r="Z113" s="293" t="s">
        <v>7777</v>
      </c>
      <c r="AA113" s="293" t="s">
        <v>145</v>
      </c>
      <c r="AB113" s="293" t="s">
        <v>74</v>
      </c>
      <c r="AC113" s="293" t="s">
        <v>656</v>
      </c>
      <c r="AE113" s="293" t="s">
        <v>7778</v>
      </c>
      <c r="AF113" s="293" t="s">
        <v>145</v>
      </c>
      <c r="AG113" s="293" t="s">
        <v>74</v>
      </c>
      <c r="AH113" s="293" t="s">
        <v>656</v>
      </c>
      <c r="AJ113" s="293" t="s">
        <v>7779</v>
      </c>
      <c r="AK113" s="293" t="s">
        <v>145</v>
      </c>
      <c r="AL113" s="293" t="s">
        <v>74</v>
      </c>
      <c r="AM113" s="293" t="s">
        <v>656</v>
      </c>
      <c r="AO113" s="22" t="s">
        <v>7780</v>
      </c>
      <c r="AP113" s="22" t="s">
        <v>145</v>
      </c>
      <c r="AQ113" s="22" t="s">
        <v>70</v>
      </c>
      <c r="AR113" s="22" t="s">
        <v>67</v>
      </c>
      <c r="AT113" s="22" t="s">
        <v>7781</v>
      </c>
      <c r="AU113" s="22" t="s">
        <v>145</v>
      </c>
      <c r="AV113" s="22" t="s">
        <v>70</v>
      </c>
      <c r="AW113" s="22" t="s">
        <v>67</v>
      </c>
      <c r="AY113" s="22" t="s">
        <v>7782</v>
      </c>
      <c r="AZ113" s="22" t="s">
        <v>145</v>
      </c>
      <c r="BA113" s="22" t="s">
        <v>70</v>
      </c>
      <c r="BB113" s="22" t="s">
        <v>67</v>
      </c>
      <c r="BD113" s="22" t="s">
        <v>7783</v>
      </c>
      <c r="BE113" s="22" t="s">
        <v>145</v>
      </c>
      <c r="BF113" s="22" t="s">
        <v>70</v>
      </c>
      <c r="BG113" s="22" t="s">
        <v>67</v>
      </c>
      <c r="BI113" s="22" t="s">
        <v>7784</v>
      </c>
      <c r="BJ113" s="22" t="s">
        <v>145</v>
      </c>
      <c r="BK113" s="22" t="s">
        <v>70</v>
      </c>
      <c r="BL113" s="22" t="s">
        <v>67</v>
      </c>
      <c r="BN113" s="22" t="s">
        <v>7785</v>
      </c>
      <c r="BO113" s="22" t="s">
        <v>145</v>
      </c>
      <c r="BP113" s="22" t="s">
        <v>70</v>
      </c>
      <c r="BQ113" s="22" t="s">
        <v>67</v>
      </c>
      <c r="BS113" s="22" t="s">
        <v>7786</v>
      </c>
      <c r="BT113" s="22" t="s">
        <v>145</v>
      </c>
      <c r="BU113" s="22" t="s">
        <v>70</v>
      </c>
      <c r="BV113" s="214" t="s">
        <v>530</v>
      </c>
      <c r="BX113" s="22" t="s">
        <v>7787</v>
      </c>
      <c r="BY113" s="22" t="s">
        <v>145</v>
      </c>
      <c r="BZ113" s="22" t="s">
        <v>70</v>
      </c>
      <c r="CA113" s="214" t="s">
        <v>530</v>
      </c>
      <c r="CC113" s="214" t="s">
        <v>7788</v>
      </c>
      <c r="CD113" s="218" t="s">
        <v>145</v>
      </c>
      <c r="CE113" s="214" t="s">
        <v>70</v>
      </c>
      <c r="CF113" s="214" t="s">
        <v>408</v>
      </c>
      <c r="CH113" s="214" t="s">
        <v>7789</v>
      </c>
      <c r="CI113" s="214" t="s">
        <v>926</v>
      </c>
      <c r="CJ113" s="214" t="s">
        <v>70</v>
      </c>
      <c r="CK113" s="214" t="s">
        <v>530</v>
      </c>
      <c r="CM113" s="214" t="s">
        <v>7790</v>
      </c>
      <c r="CN113" s="214" t="s">
        <v>921</v>
      </c>
      <c r="CO113" s="214" t="s">
        <v>70</v>
      </c>
      <c r="CP113" s="214" t="s">
        <v>530</v>
      </c>
      <c r="CR113" s="214" t="s">
        <v>7791</v>
      </c>
      <c r="CS113" s="214" t="s">
        <v>34551</v>
      </c>
      <c r="CT113" s="214" t="s">
        <v>70</v>
      </c>
      <c r="CU113" s="214" t="s">
        <v>530</v>
      </c>
      <c r="CW113" s="214" t="s">
        <v>7792</v>
      </c>
      <c r="CX113" s="214" t="s">
        <v>52</v>
      </c>
      <c r="CY113" s="214" t="s">
        <v>70</v>
      </c>
      <c r="CZ113" s="214" t="s">
        <v>530</v>
      </c>
      <c r="DB113" s="214" t="s">
        <v>7793</v>
      </c>
      <c r="DC113" s="214" t="s">
        <v>484</v>
      </c>
      <c r="DD113" s="214" t="s">
        <v>70</v>
      </c>
      <c r="DE113" s="214" t="s">
        <v>530</v>
      </c>
      <c r="DG113" s="214" t="s">
        <v>7794</v>
      </c>
      <c r="DH113" s="214" t="s">
        <v>603</v>
      </c>
      <c r="DI113" s="214" t="s">
        <v>70</v>
      </c>
      <c r="DJ113" s="214" t="s">
        <v>530</v>
      </c>
      <c r="DL113" s="214" t="s">
        <v>7795</v>
      </c>
      <c r="DM113" s="214" t="s">
        <v>52</v>
      </c>
      <c r="DN113" s="214" t="s">
        <v>70</v>
      </c>
      <c r="DO113" s="214" t="s">
        <v>530</v>
      </c>
      <c r="DQ113" s="214" t="s">
        <v>7796</v>
      </c>
      <c r="DR113" s="214" t="s">
        <v>468</v>
      </c>
      <c r="DS113" s="214" t="s">
        <v>70</v>
      </c>
      <c r="DT113" s="214" t="s">
        <v>530</v>
      </c>
      <c r="DV113" s="214" t="s">
        <v>7797</v>
      </c>
      <c r="DW113" s="214" t="s">
        <v>34542</v>
      </c>
      <c r="DX113" s="214" t="s">
        <v>70</v>
      </c>
      <c r="DY113" s="214" t="s">
        <v>530</v>
      </c>
      <c r="EA113" s="214" t="s">
        <v>7798</v>
      </c>
      <c r="EB113" s="214" t="s">
        <v>488</v>
      </c>
      <c r="EC113" s="214" t="s">
        <v>70</v>
      </c>
      <c r="ED113" s="214" t="s">
        <v>530</v>
      </c>
      <c r="EF113" s="214" t="s">
        <v>7799</v>
      </c>
      <c r="EG113" s="214" t="s">
        <v>146</v>
      </c>
      <c r="EH113" s="214" t="s">
        <v>70</v>
      </c>
      <c r="EI113" s="214" t="s">
        <v>530</v>
      </c>
      <c r="EK113" s="214" t="s">
        <v>7800</v>
      </c>
      <c r="EL113" s="214" t="s">
        <v>34580</v>
      </c>
      <c r="EM113" s="214" t="s">
        <v>70</v>
      </c>
      <c r="EN113" s="214" t="s">
        <v>530</v>
      </c>
      <c r="EP113" s="214" t="s">
        <v>7801</v>
      </c>
      <c r="EQ113" s="214" t="s">
        <v>529</v>
      </c>
      <c r="ER113" s="214" t="s">
        <v>70</v>
      </c>
      <c r="ES113" s="214" t="s">
        <v>530</v>
      </c>
      <c r="EU113" s="214" t="s">
        <v>7802</v>
      </c>
      <c r="EV113" s="214" t="s">
        <v>488</v>
      </c>
      <c r="EW113" s="214" t="s">
        <v>70</v>
      </c>
      <c r="EX113" s="214" t="s">
        <v>530</v>
      </c>
      <c r="EZ113" s="214" t="s">
        <v>7803</v>
      </c>
      <c r="FA113" s="214" t="s">
        <v>34544</v>
      </c>
      <c r="FB113" s="214" t="s">
        <v>70</v>
      </c>
      <c r="FC113" s="214" t="s">
        <v>530</v>
      </c>
      <c r="FE113" s="214" t="s">
        <v>7804</v>
      </c>
      <c r="FF113" s="214" t="s">
        <v>52</v>
      </c>
      <c r="FG113" s="214" t="s">
        <v>70</v>
      </c>
      <c r="FH113" s="214" t="s">
        <v>530</v>
      </c>
      <c r="FJ113" s="321" t="s">
        <v>7805</v>
      </c>
      <c r="FK113" s="214" t="s">
        <v>34558</v>
      </c>
      <c r="FL113" s="214" t="s">
        <v>70</v>
      </c>
      <c r="FM113" s="214" t="s">
        <v>530</v>
      </c>
      <c r="FO113" s="321" t="s">
        <v>7806</v>
      </c>
      <c r="FP113" s="214" t="s">
        <v>88</v>
      </c>
      <c r="FQ113" s="214" t="s">
        <v>70</v>
      </c>
      <c r="FR113" s="214" t="s">
        <v>530</v>
      </c>
      <c r="FT113" s="321" t="s">
        <v>7807</v>
      </c>
      <c r="FU113" s="214" t="s">
        <v>926</v>
      </c>
      <c r="FV113" s="214" t="s">
        <v>70</v>
      </c>
      <c r="FW113" s="214" t="s">
        <v>530</v>
      </c>
      <c r="FY113" s="321" t="s">
        <v>7808</v>
      </c>
      <c r="FZ113" s="214" t="s">
        <v>926</v>
      </c>
      <c r="GA113" s="214" t="s">
        <v>70</v>
      </c>
      <c r="GB113" s="214" t="s">
        <v>530</v>
      </c>
      <c r="GD113" s="321" t="s">
        <v>7809</v>
      </c>
      <c r="GE113" s="214" t="s">
        <v>34542</v>
      </c>
      <c r="GF113" s="214" t="s">
        <v>70</v>
      </c>
      <c r="GG113" s="214" t="s">
        <v>530</v>
      </c>
      <c r="GI113" s="321" t="s">
        <v>7810</v>
      </c>
      <c r="GJ113" s="214" t="s">
        <v>34555</v>
      </c>
      <c r="GK113" s="214" t="s">
        <v>70</v>
      </c>
      <c r="GL113" s="214" t="s">
        <v>530</v>
      </c>
      <c r="GN113" s="321" t="s">
        <v>7811</v>
      </c>
      <c r="GO113" s="214" t="s">
        <v>484</v>
      </c>
      <c r="GP113" s="214" t="s">
        <v>70</v>
      </c>
      <c r="GQ113" s="214" t="s">
        <v>530</v>
      </c>
      <c r="GS113" s="321" t="s">
        <v>7812</v>
      </c>
      <c r="GT113" s="214" t="s">
        <v>34544</v>
      </c>
      <c r="GU113" s="214" t="s">
        <v>70</v>
      </c>
      <c r="GV113" s="214" t="s">
        <v>530</v>
      </c>
      <c r="GX113" s="214" t="s">
        <v>7813</v>
      </c>
      <c r="GY113" s="214" t="s">
        <v>34544</v>
      </c>
      <c r="GZ113" s="214" t="s">
        <v>70</v>
      </c>
      <c r="HA113" s="214" t="s">
        <v>530</v>
      </c>
      <c r="HC113" s="214" t="s">
        <v>7814</v>
      </c>
      <c r="HD113" s="214" t="s">
        <v>34562</v>
      </c>
      <c r="HE113" s="214" t="s">
        <v>70</v>
      </c>
      <c r="HF113" s="214" t="s">
        <v>530</v>
      </c>
      <c r="HH113" s="214" t="s">
        <v>7815</v>
      </c>
      <c r="HI113" s="214" t="s">
        <v>518</v>
      </c>
      <c r="HJ113" s="214" t="s">
        <v>70</v>
      </c>
      <c r="HK113" s="214" t="s">
        <v>530</v>
      </c>
      <c r="HM113" s="214" t="s">
        <v>7816</v>
      </c>
      <c r="HN113" s="214" t="s">
        <v>502</v>
      </c>
      <c r="HO113" s="214" t="s">
        <v>70</v>
      </c>
      <c r="HP113" s="214" t="s">
        <v>530</v>
      </c>
      <c r="HR113" s="22" t="s">
        <v>7817</v>
      </c>
      <c r="HS113" s="22" t="s">
        <v>486</v>
      </c>
      <c r="HT113" s="22" t="s">
        <v>70</v>
      </c>
      <c r="HU113" s="214" t="s">
        <v>530</v>
      </c>
      <c r="HW113" s="22" t="s">
        <v>7818</v>
      </c>
      <c r="HX113" s="22" t="s">
        <v>34546</v>
      </c>
      <c r="HY113" s="22" t="s">
        <v>70</v>
      </c>
      <c r="HZ113" s="214" t="s">
        <v>530</v>
      </c>
      <c r="IB113" s="22" t="s">
        <v>7819</v>
      </c>
      <c r="IC113" s="22" t="s">
        <v>146</v>
      </c>
      <c r="ID113" s="22" t="s">
        <v>70</v>
      </c>
      <c r="IE113" s="214" t="s">
        <v>530</v>
      </c>
      <c r="IG113" s="22" t="s">
        <v>7820</v>
      </c>
      <c r="IH113" s="22" t="s">
        <v>52</v>
      </c>
      <c r="II113" s="22" t="s">
        <v>70</v>
      </c>
      <c r="IJ113" s="214" t="s">
        <v>530</v>
      </c>
      <c r="IL113" s="22" t="s">
        <v>7821</v>
      </c>
      <c r="IM113" s="22" t="s">
        <v>145</v>
      </c>
      <c r="IN113" s="22" t="s">
        <v>70</v>
      </c>
      <c r="IO113" s="214" t="s">
        <v>530</v>
      </c>
      <c r="IQ113" s="236" t="s">
        <v>7822</v>
      </c>
      <c r="IR113" s="236" t="s">
        <v>145</v>
      </c>
      <c r="IS113" s="236" t="s">
        <v>74</v>
      </c>
      <c r="IT113" s="236" t="s">
        <v>841</v>
      </c>
      <c r="IV113" s="236" t="s">
        <v>7823</v>
      </c>
      <c r="IW113" s="236" t="s">
        <v>145</v>
      </c>
      <c r="IX113" s="236" t="s">
        <v>74</v>
      </c>
      <c r="IY113" s="236" t="s">
        <v>841</v>
      </c>
      <c r="JA113" s="236" t="s">
        <v>7824</v>
      </c>
      <c r="JB113" s="236" t="s">
        <v>145</v>
      </c>
      <c r="JC113" s="236" t="s">
        <v>74</v>
      </c>
      <c r="JD113" s="236" t="s">
        <v>841</v>
      </c>
      <c r="JF113" s="236" t="s">
        <v>7825</v>
      </c>
      <c r="JG113" s="236" t="s">
        <v>145</v>
      </c>
      <c r="JH113" s="236" t="s">
        <v>74</v>
      </c>
      <c r="JI113" s="236" t="s">
        <v>841</v>
      </c>
      <c r="JK113" s="236" t="s">
        <v>7826</v>
      </c>
      <c r="JL113" s="236" t="s">
        <v>145</v>
      </c>
      <c r="JM113" s="236" t="s">
        <v>74</v>
      </c>
      <c r="JN113" s="236" t="s">
        <v>841</v>
      </c>
      <c r="JP113" s="236" t="s">
        <v>7827</v>
      </c>
      <c r="JQ113" s="236" t="s">
        <v>145</v>
      </c>
      <c r="JR113" s="236" t="s">
        <v>74</v>
      </c>
      <c r="JS113" s="236" t="s">
        <v>841</v>
      </c>
      <c r="JU113" s="294" t="s">
        <v>7828</v>
      </c>
      <c r="JV113" s="263" t="s">
        <v>52</v>
      </c>
      <c r="JW113" s="263" t="s">
        <v>70</v>
      </c>
      <c r="JX113" s="294" t="s">
        <v>5513</v>
      </c>
      <c r="JZ113" s="263" t="s">
        <v>7829</v>
      </c>
      <c r="KA113" s="263" t="s">
        <v>145</v>
      </c>
      <c r="KB113" s="263" t="s">
        <v>70</v>
      </c>
      <c r="KC113" s="263" t="s">
        <v>1083</v>
      </c>
      <c r="KE113" s="263" t="s">
        <v>7830</v>
      </c>
      <c r="KF113" s="263" t="s">
        <v>52</v>
      </c>
      <c r="KG113" s="263" t="s">
        <v>70</v>
      </c>
      <c r="KH113" s="263" t="s">
        <v>1083</v>
      </c>
      <c r="KJ113" s="263" t="s">
        <v>7831</v>
      </c>
      <c r="KK113" s="263" t="s">
        <v>52</v>
      </c>
      <c r="KL113" s="263" t="s">
        <v>74</v>
      </c>
      <c r="KM113" s="263" t="s">
        <v>34074</v>
      </c>
      <c r="KO113" s="214" t="s">
        <v>7832</v>
      </c>
      <c r="KP113" s="214" t="s">
        <v>145</v>
      </c>
      <c r="KQ113" s="214" t="s">
        <v>70</v>
      </c>
      <c r="KR113" s="214" t="s">
        <v>67</v>
      </c>
      <c r="KT113" s="22" t="s">
        <v>7833</v>
      </c>
      <c r="KU113" s="22" t="s">
        <v>145</v>
      </c>
      <c r="KV113" s="22" t="s">
        <v>70</v>
      </c>
      <c r="KW113" s="22" t="s">
        <v>67</v>
      </c>
      <c r="KY113" s="214" t="s">
        <v>7834</v>
      </c>
      <c r="KZ113" s="214" t="s">
        <v>52</v>
      </c>
      <c r="LA113" s="214" t="s">
        <v>74</v>
      </c>
      <c r="LB113" s="214" t="s">
        <v>67</v>
      </c>
      <c r="LD113" s="22" t="s">
        <v>7835</v>
      </c>
      <c r="LE113" s="22" t="s">
        <v>145</v>
      </c>
      <c r="LF113" s="22" t="s">
        <v>70</v>
      </c>
      <c r="LG113" s="22" t="s">
        <v>67</v>
      </c>
    </row>
    <row r="114" spans="1:319">
      <c r="A114" s="22" t="s">
        <v>7836</v>
      </c>
      <c r="B114" s="22" t="s">
        <v>145</v>
      </c>
      <c r="C114" s="22" t="s">
        <v>70</v>
      </c>
      <c r="D114" s="22" t="s">
        <v>67</v>
      </c>
      <c r="F114" s="23" t="s">
        <v>7837</v>
      </c>
      <c r="G114" s="23" t="str">
        <f>TVIIBE1M_CalPairs!$E111</f>
        <v>0x07</v>
      </c>
      <c r="H114" s="23" t="s">
        <v>72</v>
      </c>
      <c r="I114" s="23" t="str">
        <f>TVIIBE1M_CalPairs!$C111</f>
        <v>PWR_TRIM_HT_PWRSYS_CTL_VAL3</v>
      </c>
      <c r="K114" s="22" t="s">
        <v>7838</v>
      </c>
      <c r="L114" s="22" t="s">
        <v>145</v>
      </c>
      <c r="M114" s="22" t="s">
        <v>70</v>
      </c>
      <c r="N114" s="22" t="s">
        <v>67</v>
      </c>
      <c r="P114" s="394" t="s">
        <v>7839</v>
      </c>
      <c r="Q114" s="394" t="s">
        <v>145</v>
      </c>
      <c r="R114" s="394" t="s">
        <v>72</v>
      </c>
      <c r="S114" s="394" t="s">
        <v>34681</v>
      </c>
      <c r="U114" s="293" t="s">
        <v>7840</v>
      </c>
      <c r="V114" s="293" t="s">
        <v>145</v>
      </c>
      <c r="W114" s="293" t="s">
        <v>74</v>
      </c>
      <c r="X114" s="293" t="s">
        <v>656</v>
      </c>
      <c r="Z114" s="293" t="s">
        <v>7841</v>
      </c>
      <c r="AA114" s="293" t="s">
        <v>145</v>
      </c>
      <c r="AB114" s="293" t="s">
        <v>74</v>
      </c>
      <c r="AC114" s="293" t="s">
        <v>656</v>
      </c>
      <c r="AE114" s="293" t="s">
        <v>7842</v>
      </c>
      <c r="AF114" s="293" t="s">
        <v>145</v>
      </c>
      <c r="AG114" s="293" t="s">
        <v>74</v>
      </c>
      <c r="AH114" s="293" t="s">
        <v>656</v>
      </c>
      <c r="AJ114" s="293" t="s">
        <v>7843</v>
      </c>
      <c r="AK114" s="293" t="s">
        <v>145</v>
      </c>
      <c r="AL114" s="293" t="s">
        <v>74</v>
      </c>
      <c r="AM114" s="293" t="s">
        <v>656</v>
      </c>
      <c r="AO114" s="22" t="s">
        <v>7844</v>
      </c>
      <c r="AP114" s="22" t="s">
        <v>145</v>
      </c>
      <c r="AQ114" s="22" t="s">
        <v>70</v>
      </c>
      <c r="AR114" s="22" t="s">
        <v>67</v>
      </c>
      <c r="AT114" s="22" t="s">
        <v>7845</v>
      </c>
      <c r="AU114" s="22" t="s">
        <v>145</v>
      </c>
      <c r="AV114" s="22" t="s">
        <v>70</v>
      </c>
      <c r="AW114" s="22" t="s">
        <v>67</v>
      </c>
      <c r="AY114" s="22" t="s">
        <v>7846</v>
      </c>
      <c r="AZ114" s="22" t="s">
        <v>145</v>
      </c>
      <c r="BA114" s="22" t="s">
        <v>70</v>
      </c>
      <c r="BB114" s="22" t="s">
        <v>67</v>
      </c>
      <c r="BD114" s="22" t="s">
        <v>7847</v>
      </c>
      <c r="BE114" s="22" t="s">
        <v>145</v>
      </c>
      <c r="BF114" s="22" t="s">
        <v>70</v>
      </c>
      <c r="BG114" s="22" t="s">
        <v>67</v>
      </c>
      <c r="BI114" s="22" t="s">
        <v>7848</v>
      </c>
      <c r="BJ114" s="22" t="s">
        <v>145</v>
      </c>
      <c r="BK114" s="22" t="s">
        <v>70</v>
      </c>
      <c r="BL114" s="22" t="s">
        <v>67</v>
      </c>
      <c r="BN114" s="22" t="s">
        <v>7849</v>
      </c>
      <c r="BO114" s="22" t="s">
        <v>145</v>
      </c>
      <c r="BP114" s="22" t="s">
        <v>70</v>
      </c>
      <c r="BQ114" s="22" t="s">
        <v>67</v>
      </c>
      <c r="BS114" s="22" t="s">
        <v>7850</v>
      </c>
      <c r="BT114" s="22" t="s">
        <v>145</v>
      </c>
      <c r="BU114" s="22" t="s">
        <v>70</v>
      </c>
      <c r="BV114" s="214" t="s">
        <v>530</v>
      </c>
      <c r="BX114" s="22" t="s">
        <v>7851</v>
      </c>
      <c r="BY114" s="22" t="s">
        <v>145</v>
      </c>
      <c r="BZ114" s="22" t="s">
        <v>70</v>
      </c>
      <c r="CA114" s="214" t="s">
        <v>530</v>
      </c>
      <c r="CC114" s="214" t="s">
        <v>7852</v>
      </c>
      <c r="CD114" s="218" t="s">
        <v>145</v>
      </c>
      <c r="CE114" s="214" t="s">
        <v>70</v>
      </c>
      <c r="CF114" s="214" t="s">
        <v>409</v>
      </c>
      <c r="CH114" s="214" t="s">
        <v>7853</v>
      </c>
      <c r="CI114" s="214" t="s">
        <v>90</v>
      </c>
      <c r="CJ114" s="214" t="s">
        <v>70</v>
      </c>
      <c r="CK114" s="214" t="s">
        <v>530</v>
      </c>
      <c r="CM114" s="214" t="s">
        <v>7854</v>
      </c>
      <c r="CN114" s="214" t="s">
        <v>287</v>
      </c>
      <c r="CO114" s="214" t="s">
        <v>70</v>
      </c>
      <c r="CP114" s="214" t="s">
        <v>530</v>
      </c>
      <c r="CR114" s="214" t="s">
        <v>7855</v>
      </c>
      <c r="CS114" s="214" t="s">
        <v>205</v>
      </c>
      <c r="CT114" s="214" t="s">
        <v>70</v>
      </c>
      <c r="CU114" s="214" t="s">
        <v>530</v>
      </c>
      <c r="CW114" s="214" t="s">
        <v>7856</v>
      </c>
      <c r="CX114" s="214" t="s">
        <v>163</v>
      </c>
      <c r="CY114" s="214" t="s">
        <v>70</v>
      </c>
      <c r="CZ114" s="214" t="s">
        <v>530</v>
      </c>
      <c r="DB114" s="214" t="s">
        <v>7857</v>
      </c>
      <c r="DC114" s="214" t="s">
        <v>485</v>
      </c>
      <c r="DD114" s="214" t="s">
        <v>70</v>
      </c>
      <c r="DE114" s="214" t="s">
        <v>530</v>
      </c>
      <c r="DG114" s="214" t="s">
        <v>7858</v>
      </c>
      <c r="DH114" s="214" t="s">
        <v>148</v>
      </c>
      <c r="DI114" s="214" t="s">
        <v>70</v>
      </c>
      <c r="DJ114" s="214" t="s">
        <v>530</v>
      </c>
      <c r="DL114" s="214" t="s">
        <v>7859</v>
      </c>
      <c r="DM114" s="214" t="s">
        <v>149</v>
      </c>
      <c r="DN114" s="214" t="s">
        <v>70</v>
      </c>
      <c r="DO114" s="214" t="s">
        <v>530</v>
      </c>
      <c r="DQ114" s="214" t="s">
        <v>7860</v>
      </c>
      <c r="DR114" s="214" t="s">
        <v>34564</v>
      </c>
      <c r="DS114" s="214" t="s">
        <v>70</v>
      </c>
      <c r="DT114" s="214" t="s">
        <v>530</v>
      </c>
      <c r="DV114" s="214" t="s">
        <v>7861</v>
      </c>
      <c r="DW114" s="214" t="s">
        <v>90</v>
      </c>
      <c r="DX114" s="214" t="s">
        <v>70</v>
      </c>
      <c r="DY114" s="214" t="s">
        <v>530</v>
      </c>
      <c r="EA114" s="214" t="s">
        <v>7862</v>
      </c>
      <c r="EB114" s="214" t="s">
        <v>641</v>
      </c>
      <c r="EC114" s="214" t="s">
        <v>70</v>
      </c>
      <c r="ED114" s="214" t="s">
        <v>530</v>
      </c>
      <c r="EF114" s="214" t="s">
        <v>7863</v>
      </c>
      <c r="EG114" s="214" t="s">
        <v>148</v>
      </c>
      <c r="EH114" s="214" t="s">
        <v>70</v>
      </c>
      <c r="EI114" s="214" t="s">
        <v>530</v>
      </c>
      <c r="EK114" s="214" t="s">
        <v>7864</v>
      </c>
      <c r="EL114" s="214" t="s">
        <v>305</v>
      </c>
      <c r="EM114" s="214" t="s">
        <v>70</v>
      </c>
      <c r="EN114" s="214" t="s">
        <v>530</v>
      </c>
      <c r="EP114" s="214" t="s">
        <v>7865</v>
      </c>
      <c r="EQ114" s="214" t="s">
        <v>93</v>
      </c>
      <c r="ER114" s="214" t="s">
        <v>70</v>
      </c>
      <c r="ES114" s="214" t="s">
        <v>530</v>
      </c>
      <c r="EU114" s="214" t="s">
        <v>7866</v>
      </c>
      <c r="EV114" s="214" t="s">
        <v>481</v>
      </c>
      <c r="EW114" s="214" t="s">
        <v>70</v>
      </c>
      <c r="EX114" s="214" t="s">
        <v>530</v>
      </c>
      <c r="EZ114" s="214" t="s">
        <v>7867</v>
      </c>
      <c r="FA114" s="214" t="s">
        <v>932</v>
      </c>
      <c r="FB114" s="214" t="s">
        <v>70</v>
      </c>
      <c r="FC114" s="214" t="s">
        <v>530</v>
      </c>
      <c r="FE114" s="214" t="s">
        <v>7868</v>
      </c>
      <c r="FF114" s="214" t="s">
        <v>89</v>
      </c>
      <c r="FG114" s="214" t="s">
        <v>70</v>
      </c>
      <c r="FH114" s="214" t="s">
        <v>530</v>
      </c>
      <c r="FJ114" s="321" t="s">
        <v>7869</v>
      </c>
      <c r="FK114" s="214" t="s">
        <v>483</v>
      </c>
      <c r="FL114" s="214" t="s">
        <v>70</v>
      </c>
      <c r="FM114" s="214" t="s">
        <v>530</v>
      </c>
      <c r="FO114" s="321" t="s">
        <v>7870</v>
      </c>
      <c r="FP114" s="214" t="s">
        <v>485</v>
      </c>
      <c r="FQ114" s="214" t="s">
        <v>70</v>
      </c>
      <c r="FR114" s="214" t="s">
        <v>530</v>
      </c>
      <c r="FT114" s="321" t="s">
        <v>7871</v>
      </c>
      <c r="FU114" s="214" t="s">
        <v>34597</v>
      </c>
      <c r="FV114" s="214" t="s">
        <v>70</v>
      </c>
      <c r="FW114" s="214" t="s">
        <v>530</v>
      </c>
      <c r="FY114" s="321" t="s">
        <v>7872</v>
      </c>
      <c r="FZ114" s="214" t="s">
        <v>146</v>
      </c>
      <c r="GA114" s="214" t="s">
        <v>70</v>
      </c>
      <c r="GB114" s="214" t="s">
        <v>530</v>
      </c>
      <c r="GD114" s="321" t="s">
        <v>7873</v>
      </c>
      <c r="GE114" s="214" t="s">
        <v>52</v>
      </c>
      <c r="GF114" s="214" t="s">
        <v>70</v>
      </c>
      <c r="GG114" s="214" t="s">
        <v>530</v>
      </c>
      <c r="GI114" s="321" t="s">
        <v>7874</v>
      </c>
      <c r="GJ114" s="214" t="s">
        <v>34575</v>
      </c>
      <c r="GK114" s="214" t="s">
        <v>70</v>
      </c>
      <c r="GL114" s="214" t="s">
        <v>530</v>
      </c>
      <c r="GN114" s="321" t="s">
        <v>7875</v>
      </c>
      <c r="GO114" s="214" t="s">
        <v>1028</v>
      </c>
      <c r="GP114" s="214" t="s">
        <v>70</v>
      </c>
      <c r="GQ114" s="214" t="s">
        <v>530</v>
      </c>
      <c r="GS114" s="321" t="s">
        <v>7876</v>
      </c>
      <c r="GT114" s="214" t="s">
        <v>34608</v>
      </c>
      <c r="GU114" s="214" t="s">
        <v>70</v>
      </c>
      <c r="GV114" s="214" t="s">
        <v>530</v>
      </c>
      <c r="GX114" s="214" t="s">
        <v>7877</v>
      </c>
      <c r="GY114" s="214" t="s">
        <v>922</v>
      </c>
      <c r="GZ114" s="214" t="s">
        <v>70</v>
      </c>
      <c r="HA114" s="214" t="s">
        <v>530</v>
      </c>
      <c r="HC114" s="214" t="s">
        <v>7878</v>
      </c>
      <c r="HD114" s="214" t="s">
        <v>949</v>
      </c>
      <c r="HE114" s="214" t="s">
        <v>70</v>
      </c>
      <c r="HF114" s="214" t="s">
        <v>530</v>
      </c>
      <c r="HH114" s="214" t="s">
        <v>7879</v>
      </c>
      <c r="HI114" s="214" t="s">
        <v>492</v>
      </c>
      <c r="HJ114" s="214" t="s">
        <v>70</v>
      </c>
      <c r="HK114" s="214" t="s">
        <v>530</v>
      </c>
      <c r="HM114" s="214" t="s">
        <v>7880</v>
      </c>
      <c r="HN114" s="214" t="s">
        <v>86</v>
      </c>
      <c r="HO114" s="214" t="s">
        <v>70</v>
      </c>
      <c r="HP114" s="214" t="s">
        <v>530</v>
      </c>
      <c r="HR114" s="22" t="s">
        <v>7881</v>
      </c>
      <c r="HS114" s="22" t="s">
        <v>493</v>
      </c>
      <c r="HT114" s="22" t="s">
        <v>70</v>
      </c>
      <c r="HU114" s="214" t="s">
        <v>530</v>
      </c>
      <c r="HW114" s="22" t="s">
        <v>7882</v>
      </c>
      <c r="HX114" s="22" t="s">
        <v>86</v>
      </c>
      <c r="HY114" s="22" t="s">
        <v>70</v>
      </c>
      <c r="HZ114" s="214" t="s">
        <v>530</v>
      </c>
      <c r="IB114" s="22" t="s">
        <v>7883</v>
      </c>
      <c r="IC114" s="22" t="s">
        <v>922</v>
      </c>
      <c r="ID114" s="22" t="s">
        <v>70</v>
      </c>
      <c r="IE114" s="214" t="s">
        <v>530</v>
      </c>
      <c r="IG114" s="22" t="s">
        <v>7884</v>
      </c>
      <c r="IH114" s="22" t="s">
        <v>52</v>
      </c>
      <c r="II114" s="22" t="s">
        <v>70</v>
      </c>
      <c r="IJ114" s="214" t="s">
        <v>530</v>
      </c>
      <c r="IL114" s="22" t="s">
        <v>7885</v>
      </c>
      <c r="IM114" s="22" t="s">
        <v>145</v>
      </c>
      <c r="IN114" s="22" t="s">
        <v>70</v>
      </c>
      <c r="IO114" s="214" t="s">
        <v>530</v>
      </c>
      <c r="IQ114" s="236" t="s">
        <v>7886</v>
      </c>
      <c r="IR114" s="236" t="s">
        <v>145</v>
      </c>
      <c r="IS114" s="236" t="s">
        <v>74</v>
      </c>
      <c r="IT114" s="236" t="s">
        <v>841</v>
      </c>
      <c r="IV114" s="236" t="s">
        <v>7887</v>
      </c>
      <c r="IW114" s="236" t="s">
        <v>145</v>
      </c>
      <c r="IX114" s="236" t="s">
        <v>74</v>
      </c>
      <c r="IY114" s="236" t="s">
        <v>841</v>
      </c>
      <c r="JA114" s="236" t="s">
        <v>7888</v>
      </c>
      <c r="JB114" s="236" t="s">
        <v>145</v>
      </c>
      <c r="JC114" s="236" t="s">
        <v>74</v>
      </c>
      <c r="JD114" s="236" t="s">
        <v>841</v>
      </c>
      <c r="JF114" s="236" t="s">
        <v>7889</v>
      </c>
      <c r="JG114" s="236" t="s">
        <v>145</v>
      </c>
      <c r="JH114" s="236" t="s">
        <v>74</v>
      </c>
      <c r="JI114" s="236" t="s">
        <v>841</v>
      </c>
      <c r="JK114" s="236" t="s">
        <v>7890</v>
      </c>
      <c r="JL114" s="236" t="s">
        <v>145</v>
      </c>
      <c r="JM114" s="236" t="s">
        <v>74</v>
      </c>
      <c r="JN114" s="236" t="s">
        <v>841</v>
      </c>
      <c r="JP114" s="236" t="s">
        <v>7891</v>
      </c>
      <c r="JQ114" s="236" t="s">
        <v>145</v>
      </c>
      <c r="JR114" s="236" t="s">
        <v>74</v>
      </c>
      <c r="JS114" s="236" t="s">
        <v>841</v>
      </c>
      <c r="JU114" s="294" t="s">
        <v>7892</v>
      </c>
      <c r="JV114" s="263" t="s">
        <v>52</v>
      </c>
      <c r="JW114" s="263" t="s">
        <v>70</v>
      </c>
      <c r="JX114" s="294" t="s">
        <v>5578</v>
      </c>
      <c r="JZ114" s="263" t="s">
        <v>7893</v>
      </c>
      <c r="KA114" s="263" t="s">
        <v>145</v>
      </c>
      <c r="KB114" s="263" t="s">
        <v>70</v>
      </c>
      <c r="KC114" s="263" t="s">
        <v>1083</v>
      </c>
      <c r="KE114" s="263" t="s">
        <v>7894</v>
      </c>
      <c r="KF114" s="263" t="s">
        <v>52</v>
      </c>
      <c r="KG114" s="263" t="s">
        <v>70</v>
      </c>
      <c r="KH114" s="263" t="s">
        <v>1083</v>
      </c>
      <c r="KJ114" s="263" t="s">
        <v>7895</v>
      </c>
      <c r="KK114" s="263" t="s">
        <v>52</v>
      </c>
      <c r="KL114" s="263" t="s">
        <v>74</v>
      </c>
      <c r="KM114" s="263" t="s">
        <v>34074</v>
      </c>
      <c r="KO114" s="214" t="s">
        <v>7896</v>
      </c>
      <c r="KP114" s="214" t="s">
        <v>145</v>
      </c>
      <c r="KQ114" s="214" t="s">
        <v>70</v>
      </c>
      <c r="KR114" s="214" t="s">
        <v>67</v>
      </c>
      <c r="KT114" s="22" t="s">
        <v>7897</v>
      </c>
      <c r="KU114" s="22" t="s">
        <v>145</v>
      </c>
      <c r="KV114" s="22" t="s">
        <v>70</v>
      </c>
      <c r="KW114" s="22" t="s">
        <v>67</v>
      </c>
      <c r="KY114" s="214" t="s">
        <v>7898</v>
      </c>
      <c r="KZ114" s="214" t="s">
        <v>52</v>
      </c>
      <c r="LA114" s="214" t="s">
        <v>74</v>
      </c>
      <c r="LB114" s="214" t="s">
        <v>67</v>
      </c>
      <c r="LD114" s="22" t="s">
        <v>7899</v>
      </c>
      <c r="LE114" s="22" t="s">
        <v>145</v>
      </c>
      <c r="LF114" s="22" t="s">
        <v>70</v>
      </c>
      <c r="LG114" s="22" t="s">
        <v>67</v>
      </c>
    </row>
    <row r="115" spans="1:319">
      <c r="A115" s="22" t="s">
        <v>7900</v>
      </c>
      <c r="B115" s="22" t="s">
        <v>145</v>
      </c>
      <c r="C115" s="22" t="s">
        <v>70</v>
      </c>
      <c r="D115" s="22" t="s">
        <v>67</v>
      </c>
      <c r="F115" s="23" t="s">
        <v>7901</v>
      </c>
      <c r="G115" s="23" t="str">
        <f>TVIIBE1M_CalPairs!$E112</f>
        <v>0x2C</v>
      </c>
      <c r="H115" s="23" t="s">
        <v>72</v>
      </c>
      <c r="I115" s="23" t="str">
        <f>TVIIBE1M_CalPairs!$C112</f>
        <v>CLK_TRIM_ILO1_CTL_VAL0</v>
      </c>
      <c r="K115" s="22" t="s">
        <v>7902</v>
      </c>
      <c r="L115" s="22" t="s">
        <v>145</v>
      </c>
      <c r="M115" s="22" t="s">
        <v>70</v>
      </c>
      <c r="N115" s="22" t="s">
        <v>67</v>
      </c>
      <c r="P115" s="394" t="s">
        <v>7903</v>
      </c>
      <c r="Q115" s="394" t="s">
        <v>145</v>
      </c>
      <c r="R115" s="394" t="s">
        <v>72</v>
      </c>
      <c r="S115" s="394" t="s">
        <v>34681</v>
      </c>
      <c r="U115" s="293" t="s">
        <v>7904</v>
      </c>
      <c r="V115" s="293" t="s">
        <v>145</v>
      </c>
      <c r="W115" s="293" t="s">
        <v>74</v>
      </c>
      <c r="X115" s="293" t="s">
        <v>656</v>
      </c>
      <c r="Z115" s="293" t="s">
        <v>7905</v>
      </c>
      <c r="AA115" s="293" t="s">
        <v>145</v>
      </c>
      <c r="AB115" s="293" t="s">
        <v>74</v>
      </c>
      <c r="AC115" s="293" t="s">
        <v>656</v>
      </c>
      <c r="AE115" s="293" t="s">
        <v>7906</v>
      </c>
      <c r="AF115" s="293" t="s">
        <v>145</v>
      </c>
      <c r="AG115" s="293" t="s">
        <v>74</v>
      </c>
      <c r="AH115" s="293" t="s">
        <v>656</v>
      </c>
      <c r="AJ115" s="293" t="s">
        <v>7907</v>
      </c>
      <c r="AK115" s="293" t="s">
        <v>145</v>
      </c>
      <c r="AL115" s="293" t="s">
        <v>74</v>
      </c>
      <c r="AM115" s="293" t="s">
        <v>656</v>
      </c>
      <c r="AO115" s="22" t="s">
        <v>7908</v>
      </c>
      <c r="AP115" s="22" t="s">
        <v>145</v>
      </c>
      <c r="AQ115" s="22" t="s">
        <v>70</v>
      </c>
      <c r="AR115" s="22" t="s">
        <v>67</v>
      </c>
      <c r="AT115" s="22" t="s">
        <v>7909</v>
      </c>
      <c r="AU115" s="22" t="s">
        <v>145</v>
      </c>
      <c r="AV115" s="22" t="s">
        <v>70</v>
      </c>
      <c r="AW115" s="22" t="s">
        <v>67</v>
      </c>
      <c r="AY115" s="22" t="s">
        <v>7910</v>
      </c>
      <c r="AZ115" s="22" t="s">
        <v>145</v>
      </c>
      <c r="BA115" s="22" t="s">
        <v>70</v>
      </c>
      <c r="BB115" s="22" t="s">
        <v>67</v>
      </c>
      <c r="BD115" s="22" t="s">
        <v>7911</v>
      </c>
      <c r="BE115" s="22" t="s">
        <v>145</v>
      </c>
      <c r="BF115" s="22" t="s">
        <v>70</v>
      </c>
      <c r="BG115" s="22" t="s">
        <v>67</v>
      </c>
      <c r="BI115" s="22" t="s">
        <v>7912</v>
      </c>
      <c r="BJ115" s="22" t="s">
        <v>145</v>
      </c>
      <c r="BK115" s="22" t="s">
        <v>70</v>
      </c>
      <c r="BL115" s="22" t="s">
        <v>67</v>
      </c>
      <c r="BN115" s="22" t="s">
        <v>7913</v>
      </c>
      <c r="BO115" s="22" t="s">
        <v>145</v>
      </c>
      <c r="BP115" s="22" t="s">
        <v>70</v>
      </c>
      <c r="BQ115" s="22" t="s">
        <v>67</v>
      </c>
      <c r="BS115" s="22" t="s">
        <v>7914</v>
      </c>
      <c r="BT115" s="22" t="s">
        <v>145</v>
      </c>
      <c r="BU115" s="22" t="s">
        <v>70</v>
      </c>
      <c r="BV115" s="214" t="s">
        <v>530</v>
      </c>
      <c r="BX115" s="22" t="s">
        <v>7915</v>
      </c>
      <c r="BY115" s="22" t="s">
        <v>145</v>
      </c>
      <c r="BZ115" s="22" t="s">
        <v>70</v>
      </c>
      <c r="CA115" s="214" t="s">
        <v>530</v>
      </c>
      <c r="CC115" s="214" t="s">
        <v>7916</v>
      </c>
      <c r="CD115" s="218" t="s">
        <v>145</v>
      </c>
      <c r="CE115" s="214" t="s">
        <v>70</v>
      </c>
      <c r="CF115" s="214" t="s">
        <v>410</v>
      </c>
      <c r="CH115" s="214" t="s">
        <v>7917</v>
      </c>
      <c r="CI115" s="214" t="s">
        <v>86</v>
      </c>
      <c r="CJ115" s="214" t="s">
        <v>70</v>
      </c>
      <c r="CK115" s="214" t="s">
        <v>530</v>
      </c>
      <c r="CM115" s="214" t="s">
        <v>7918</v>
      </c>
      <c r="CN115" s="214" t="s">
        <v>34542</v>
      </c>
      <c r="CO115" s="214" t="s">
        <v>70</v>
      </c>
      <c r="CP115" s="214" t="s">
        <v>530</v>
      </c>
      <c r="CR115" s="214" t="s">
        <v>7919</v>
      </c>
      <c r="CS115" s="214" t="s">
        <v>34615</v>
      </c>
      <c r="CT115" s="214" t="s">
        <v>70</v>
      </c>
      <c r="CU115" s="214" t="s">
        <v>530</v>
      </c>
      <c r="CW115" s="214" t="s">
        <v>7920</v>
      </c>
      <c r="CX115" s="214" t="s">
        <v>600</v>
      </c>
      <c r="CY115" s="214" t="s">
        <v>70</v>
      </c>
      <c r="CZ115" s="214" t="s">
        <v>530</v>
      </c>
      <c r="DB115" s="214" t="s">
        <v>7921</v>
      </c>
      <c r="DC115" s="214" t="s">
        <v>146</v>
      </c>
      <c r="DD115" s="214" t="s">
        <v>70</v>
      </c>
      <c r="DE115" s="214" t="s">
        <v>530</v>
      </c>
      <c r="DG115" s="214" t="s">
        <v>7922</v>
      </c>
      <c r="DH115" s="214" t="s">
        <v>910</v>
      </c>
      <c r="DI115" s="214" t="s">
        <v>70</v>
      </c>
      <c r="DJ115" s="214" t="s">
        <v>530</v>
      </c>
      <c r="DL115" s="214" t="s">
        <v>7923</v>
      </c>
      <c r="DM115" s="214" t="s">
        <v>600</v>
      </c>
      <c r="DN115" s="214" t="s">
        <v>70</v>
      </c>
      <c r="DO115" s="214" t="s">
        <v>530</v>
      </c>
      <c r="DQ115" s="214" t="s">
        <v>7924</v>
      </c>
      <c r="DR115" s="214" t="s">
        <v>912</v>
      </c>
      <c r="DS115" s="214" t="s">
        <v>70</v>
      </c>
      <c r="DT115" s="214" t="s">
        <v>530</v>
      </c>
      <c r="DV115" s="214" t="s">
        <v>7925</v>
      </c>
      <c r="DW115" s="214" t="s">
        <v>599</v>
      </c>
      <c r="DX115" s="214" t="s">
        <v>70</v>
      </c>
      <c r="DY115" s="214" t="s">
        <v>530</v>
      </c>
      <c r="EA115" s="214" t="s">
        <v>7926</v>
      </c>
      <c r="EB115" s="214" t="s">
        <v>488</v>
      </c>
      <c r="EC115" s="214" t="s">
        <v>70</v>
      </c>
      <c r="ED115" s="214" t="s">
        <v>530</v>
      </c>
      <c r="EF115" s="214" t="s">
        <v>7927</v>
      </c>
      <c r="EG115" s="214" t="s">
        <v>34542</v>
      </c>
      <c r="EH115" s="214" t="s">
        <v>70</v>
      </c>
      <c r="EI115" s="214" t="s">
        <v>530</v>
      </c>
      <c r="EK115" s="214" t="s">
        <v>7928</v>
      </c>
      <c r="EL115" s="214" t="s">
        <v>85</v>
      </c>
      <c r="EM115" s="214" t="s">
        <v>70</v>
      </c>
      <c r="EN115" s="214" t="s">
        <v>530</v>
      </c>
      <c r="EP115" s="214" t="s">
        <v>7929</v>
      </c>
      <c r="EQ115" s="214" t="s">
        <v>146</v>
      </c>
      <c r="ER115" s="214" t="s">
        <v>70</v>
      </c>
      <c r="ES115" s="214" t="s">
        <v>530</v>
      </c>
      <c r="EU115" s="214" t="s">
        <v>7930</v>
      </c>
      <c r="EV115" s="214" t="s">
        <v>487</v>
      </c>
      <c r="EW115" s="214" t="s">
        <v>70</v>
      </c>
      <c r="EX115" s="214" t="s">
        <v>530</v>
      </c>
      <c r="EZ115" s="214" t="s">
        <v>7931</v>
      </c>
      <c r="FA115" s="214" t="s">
        <v>491</v>
      </c>
      <c r="FB115" s="214" t="s">
        <v>70</v>
      </c>
      <c r="FC115" s="214" t="s">
        <v>530</v>
      </c>
      <c r="FE115" s="214" t="s">
        <v>7932</v>
      </c>
      <c r="FF115" s="214" t="s">
        <v>93</v>
      </c>
      <c r="FG115" s="214" t="s">
        <v>70</v>
      </c>
      <c r="FH115" s="214" t="s">
        <v>530</v>
      </c>
      <c r="FJ115" s="321" t="s">
        <v>7933</v>
      </c>
      <c r="FK115" s="214" t="s">
        <v>598</v>
      </c>
      <c r="FL115" s="214" t="s">
        <v>70</v>
      </c>
      <c r="FM115" s="214" t="s">
        <v>530</v>
      </c>
      <c r="FO115" s="321" t="s">
        <v>7934</v>
      </c>
      <c r="FP115" s="214" t="s">
        <v>488</v>
      </c>
      <c r="FQ115" s="214" t="s">
        <v>70</v>
      </c>
      <c r="FR115" s="214" t="s">
        <v>530</v>
      </c>
      <c r="FT115" s="321" t="s">
        <v>7935</v>
      </c>
      <c r="FU115" s="214" t="s">
        <v>499</v>
      </c>
      <c r="FV115" s="214" t="s">
        <v>70</v>
      </c>
      <c r="FW115" s="214" t="s">
        <v>530</v>
      </c>
      <c r="FY115" s="321" t="s">
        <v>7936</v>
      </c>
      <c r="FZ115" s="214" t="s">
        <v>93</v>
      </c>
      <c r="GA115" s="214" t="s">
        <v>70</v>
      </c>
      <c r="GB115" s="214" t="s">
        <v>530</v>
      </c>
      <c r="GD115" s="321" t="s">
        <v>7937</v>
      </c>
      <c r="GE115" s="214" t="s">
        <v>955</v>
      </c>
      <c r="GF115" s="214" t="s">
        <v>70</v>
      </c>
      <c r="GG115" s="214" t="s">
        <v>530</v>
      </c>
      <c r="GI115" s="321" t="s">
        <v>7938</v>
      </c>
      <c r="GJ115" s="214" t="s">
        <v>52</v>
      </c>
      <c r="GK115" s="214" t="s">
        <v>70</v>
      </c>
      <c r="GL115" s="214" t="s">
        <v>530</v>
      </c>
      <c r="GN115" s="321" t="s">
        <v>7939</v>
      </c>
      <c r="GO115" s="214" t="s">
        <v>492</v>
      </c>
      <c r="GP115" s="214" t="s">
        <v>70</v>
      </c>
      <c r="GQ115" s="214" t="s">
        <v>530</v>
      </c>
      <c r="GS115" s="321" t="s">
        <v>7940</v>
      </c>
      <c r="GT115" s="214" t="s">
        <v>491</v>
      </c>
      <c r="GU115" s="214" t="s">
        <v>70</v>
      </c>
      <c r="GV115" s="214" t="s">
        <v>530</v>
      </c>
      <c r="GX115" s="214" t="s">
        <v>7941</v>
      </c>
      <c r="GY115" s="214" t="s">
        <v>52</v>
      </c>
      <c r="GZ115" s="214" t="s">
        <v>70</v>
      </c>
      <c r="HA115" s="214" t="s">
        <v>530</v>
      </c>
      <c r="HC115" s="214" t="s">
        <v>7942</v>
      </c>
      <c r="HD115" s="214" t="s">
        <v>93</v>
      </c>
      <c r="HE115" s="214" t="s">
        <v>70</v>
      </c>
      <c r="HF115" s="214" t="s">
        <v>530</v>
      </c>
      <c r="HH115" s="214" t="s">
        <v>7943</v>
      </c>
      <c r="HI115" s="214" t="s">
        <v>34555</v>
      </c>
      <c r="HJ115" s="214" t="s">
        <v>70</v>
      </c>
      <c r="HK115" s="214" t="s">
        <v>530</v>
      </c>
      <c r="HM115" s="214" t="s">
        <v>7944</v>
      </c>
      <c r="HN115" s="214" t="s">
        <v>52</v>
      </c>
      <c r="HO115" s="214" t="s">
        <v>70</v>
      </c>
      <c r="HP115" s="214" t="s">
        <v>530</v>
      </c>
      <c r="HR115" s="22" t="s">
        <v>7945</v>
      </c>
      <c r="HS115" s="22" t="s">
        <v>206</v>
      </c>
      <c r="HT115" s="22" t="s">
        <v>70</v>
      </c>
      <c r="HU115" s="214" t="s">
        <v>530</v>
      </c>
      <c r="HW115" s="22" t="s">
        <v>7946</v>
      </c>
      <c r="HX115" s="22" t="s">
        <v>287</v>
      </c>
      <c r="HY115" s="22" t="s">
        <v>70</v>
      </c>
      <c r="HZ115" s="214" t="s">
        <v>530</v>
      </c>
      <c r="IB115" s="22" t="s">
        <v>7947</v>
      </c>
      <c r="IC115" s="22" t="s">
        <v>488</v>
      </c>
      <c r="ID115" s="22" t="s">
        <v>70</v>
      </c>
      <c r="IE115" s="214" t="s">
        <v>530</v>
      </c>
      <c r="IG115" s="22" t="s">
        <v>7948</v>
      </c>
      <c r="IH115" s="22" t="s">
        <v>52</v>
      </c>
      <c r="II115" s="22" t="s">
        <v>70</v>
      </c>
      <c r="IJ115" s="214" t="s">
        <v>530</v>
      </c>
      <c r="IL115" s="22" t="s">
        <v>7949</v>
      </c>
      <c r="IM115" s="22" t="s">
        <v>145</v>
      </c>
      <c r="IN115" s="22" t="s">
        <v>70</v>
      </c>
      <c r="IO115" s="214" t="s">
        <v>530</v>
      </c>
      <c r="IQ115" s="236" t="s">
        <v>7950</v>
      </c>
      <c r="IR115" s="236" t="s">
        <v>145</v>
      </c>
      <c r="IS115" s="236" t="s">
        <v>74</v>
      </c>
      <c r="IT115" s="236" t="s">
        <v>841</v>
      </c>
      <c r="IV115" s="236" t="s">
        <v>7951</v>
      </c>
      <c r="IW115" s="236" t="s">
        <v>145</v>
      </c>
      <c r="IX115" s="236" t="s">
        <v>74</v>
      </c>
      <c r="IY115" s="236" t="s">
        <v>841</v>
      </c>
      <c r="JA115" s="236" t="s">
        <v>7952</v>
      </c>
      <c r="JB115" s="236" t="s">
        <v>145</v>
      </c>
      <c r="JC115" s="236" t="s">
        <v>74</v>
      </c>
      <c r="JD115" s="236" t="s">
        <v>841</v>
      </c>
      <c r="JF115" s="236" t="s">
        <v>7953</v>
      </c>
      <c r="JG115" s="236" t="s">
        <v>145</v>
      </c>
      <c r="JH115" s="236" t="s">
        <v>74</v>
      </c>
      <c r="JI115" s="236" t="s">
        <v>841</v>
      </c>
      <c r="JK115" s="236" t="s">
        <v>7954</v>
      </c>
      <c r="JL115" s="236" t="s">
        <v>145</v>
      </c>
      <c r="JM115" s="236" t="s">
        <v>74</v>
      </c>
      <c r="JN115" s="236" t="s">
        <v>841</v>
      </c>
      <c r="JP115" s="236" t="s">
        <v>7955</v>
      </c>
      <c r="JQ115" s="236" t="s">
        <v>145</v>
      </c>
      <c r="JR115" s="236" t="s">
        <v>74</v>
      </c>
      <c r="JS115" s="236" t="s">
        <v>841</v>
      </c>
      <c r="JU115" s="294" t="s">
        <v>7956</v>
      </c>
      <c r="JV115" s="263" t="s">
        <v>52</v>
      </c>
      <c r="JW115" s="263" t="s">
        <v>70</v>
      </c>
      <c r="JX115" s="294" t="s">
        <v>5643</v>
      </c>
      <c r="JZ115" s="263" t="s">
        <v>7957</v>
      </c>
      <c r="KA115" s="263" t="s">
        <v>145</v>
      </c>
      <c r="KB115" s="263" t="s">
        <v>70</v>
      </c>
      <c r="KC115" s="263" t="s">
        <v>1083</v>
      </c>
      <c r="KE115" s="263" t="s">
        <v>7958</v>
      </c>
      <c r="KF115" s="263" t="s">
        <v>52</v>
      </c>
      <c r="KG115" s="263" t="s">
        <v>70</v>
      </c>
      <c r="KH115" s="263" t="s">
        <v>1083</v>
      </c>
      <c r="KJ115" s="263" t="s">
        <v>7959</v>
      </c>
      <c r="KK115" s="263" t="s">
        <v>52</v>
      </c>
      <c r="KL115" s="263" t="s">
        <v>74</v>
      </c>
      <c r="KM115" s="263" t="s">
        <v>34074</v>
      </c>
      <c r="KO115" s="214" t="s">
        <v>7960</v>
      </c>
      <c r="KP115" s="214" t="s">
        <v>145</v>
      </c>
      <c r="KQ115" s="214" t="s">
        <v>70</v>
      </c>
      <c r="KR115" s="214" t="s">
        <v>67</v>
      </c>
      <c r="KT115" s="22" t="s">
        <v>7961</v>
      </c>
      <c r="KU115" s="22" t="s">
        <v>145</v>
      </c>
      <c r="KV115" s="22" t="s">
        <v>70</v>
      </c>
      <c r="KW115" s="22" t="s">
        <v>67</v>
      </c>
      <c r="KY115" s="214" t="s">
        <v>7962</v>
      </c>
      <c r="KZ115" s="214" t="s">
        <v>52</v>
      </c>
      <c r="LA115" s="214" t="s">
        <v>74</v>
      </c>
      <c r="LB115" s="214" t="s">
        <v>67</v>
      </c>
      <c r="LD115" s="22" t="s">
        <v>7963</v>
      </c>
      <c r="LE115" s="22" t="s">
        <v>145</v>
      </c>
      <c r="LF115" s="22" t="s">
        <v>70</v>
      </c>
      <c r="LG115" s="22" t="s">
        <v>67</v>
      </c>
    </row>
    <row r="116" spans="1:319">
      <c r="A116" s="22" t="s">
        <v>7964</v>
      </c>
      <c r="B116" s="22" t="s">
        <v>145</v>
      </c>
      <c r="C116" s="22" t="s">
        <v>70</v>
      </c>
      <c r="D116" s="22" t="s">
        <v>67</v>
      </c>
      <c r="F116" s="23" t="s">
        <v>7965</v>
      </c>
      <c r="G116" s="23" t="str">
        <f>TVIIBE1M_CalPairs!$E113</f>
        <v>0x05</v>
      </c>
      <c r="H116" s="23" t="s">
        <v>72</v>
      </c>
      <c r="I116" s="23" t="str">
        <f>TVIIBE1M_CalPairs!$C113</f>
        <v>CLK_TRIM_ILO1_CTL_VAL1</v>
      </c>
      <c r="K116" s="22" t="s">
        <v>7966</v>
      </c>
      <c r="L116" s="22" t="s">
        <v>145</v>
      </c>
      <c r="M116" s="22" t="s">
        <v>70</v>
      </c>
      <c r="N116" s="22" t="s">
        <v>67</v>
      </c>
      <c r="P116" s="394" t="s">
        <v>7967</v>
      </c>
      <c r="Q116" s="394" t="s">
        <v>145</v>
      </c>
      <c r="R116" s="394" t="s">
        <v>72</v>
      </c>
      <c r="S116" s="394" t="s">
        <v>34682</v>
      </c>
      <c r="U116" s="293" t="s">
        <v>7968</v>
      </c>
      <c r="V116" s="293" t="s">
        <v>145</v>
      </c>
      <c r="W116" s="293" t="s">
        <v>74</v>
      </c>
      <c r="X116" s="293" t="s">
        <v>656</v>
      </c>
      <c r="Z116" s="293" t="s">
        <v>7969</v>
      </c>
      <c r="AA116" s="293" t="s">
        <v>145</v>
      </c>
      <c r="AB116" s="293" t="s">
        <v>74</v>
      </c>
      <c r="AC116" s="293" t="s">
        <v>656</v>
      </c>
      <c r="AE116" s="293" t="s">
        <v>7970</v>
      </c>
      <c r="AF116" s="293" t="s">
        <v>145</v>
      </c>
      <c r="AG116" s="293" t="s">
        <v>74</v>
      </c>
      <c r="AH116" s="293" t="s">
        <v>656</v>
      </c>
      <c r="AJ116" s="293" t="s">
        <v>7971</v>
      </c>
      <c r="AK116" s="293" t="s">
        <v>145</v>
      </c>
      <c r="AL116" s="293" t="s">
        <v>74</v>
      </c>
      <c r="AM116" s="293" t="s">
        <v>656</v>
      </c>
      <c r="AO116" s="22" t="s">
        <v>7972</v>
      </c>
      <c r="AP116" s="22" t="s">
        <v>145</v>
      </c>
      <c r="AQ116" s="22" t="s">
        <v>70</v>
      </c>
      <c r="AR116" s="22" t="s">
        <v>67</v>
      </c>
      <c r="AT116" s="22" t="s">
        <v>7973</v>
      </c>
      <c r="AU116" s="22" t="s">
        <v>145</v>
      </c>
      <c r="AV116" s="22" t="s">
        <v>70</v>
      </c>
      <c r="AW116" s="22" t="s">
        <v>67</v>
      </c>
      <c r="AY116" s="22" t="s">
        <v>7974</v>
      </c>
      <c r="AZ116" s="22" t="s">
        <v>145</v>
      </c>
      <c r="BA116" s="22" t="s">
        <v>70</v>
      </c>
      <c r="BB116" s="22" t="s">
        <v>67</v>
      </c>
      <c r="BD116" s="22" t="s">
        <v>7975</v>
      </c>
      <c r="BE116" s="22" t="s">
        <v>145</v>
      </c>
      <c r="BF116" s="22" t="s">
        <v>70</v>
      </c>
      <c r="BG116" s="22" t="s">
        <v>67</v>
      </c>
      <c r="BI116" s="22" t="s">
        <v>7976</v>
      </c>
      <c r="BJ116" s="22" t="s">
        <v>145</v>
      </c>
      <c r="BK116" s="22" t="s">
        <v>70</v>
      </c>
      <c r="BL116" s="22" t="s">
        <v>67</v>
      </c>
      <c r="BN116" s="22" t="s">
        <v>7977</v>
      </c>
      <c r="BO116" s="22" t="s">
        <v>145</v>
      </c>
      <c r="BP116" s="22" t="s">
        <v>70</v>
      </c>
      <c r="BQ116" s="22" t="s">
        <v>67</v>
      </c>
      <c r="BS116" s="22" t="s">
        <v>7978</v>
      </c>
      <c r="BT116" s="22" t="s">
        <v>145</v>
      </c>
      <c r="BU116" s="22" t="s">
        <v>70</v>
      </c>
      <c r="BV116" s="214" t="s">
        <v>530</v>
      </c>
      <c r="BX116" s="22" t="s">
        <v>7979</v>
      </c>
      <c r="BY116" s="22" t="s">
        <v>145</v>
      </c>
      <c r="BZ116" s="22" t="s">
        <v>70</v>
      </c>
      <c r="CA116" s="214" t="s">
        <v>530</v>
      </c>
      <c r="CC116" s="214" t="s">
        <v>7980</v>
      </c>
      <c r="CD116" s="218" t="s">
        <v>145</v>
      </c>
      <c r="CE116" s="214" t="s">
        <v>70</v>
      </c>
      <c r="CF116" s="214" t="s">
        <v>411</v>
      </c>
      <c r="CH116" s="214" t="s">
        <v>7981</v>
      </c>
      <c r="CI116" s="214" t="s">
        <v>468</v>
      </c>
      <c r="CJ116" s="214" t="s">
        <v>70</v>
      </c>
      <c r="CK116" s="214" t="s">
        <v>530</v>
      </c>
      <c r="CM116" s="214" t="s">
        <v>7982</v>
      </c>
      <c r="CN116" s="214" t="s">
        <v>52</v>
      </c>
      <c r="CO116" s="214" t="s">
        <v>70</v>
      </c>
      <c r="CP116" s="214" t="s">
        <v>530</v>
      </c>
      <c r="CR116" s="214" t="s">
        <v>7983</v>
      </c>
      <c r="CS116" s="214" t="s">
        <v>211</v>
      </c>
      <c r="CT116" s="214" t="s">
        <v>70</v>
      </c>
      <c r="CU116" s="214" t="s">
        <v>530</v>
      </c>
      <c r="CW116" s="214" t="s">
        <v>7984</v>
      </c>
      <c r="CX116" s="214" t="s">
        <v>52</v>
      </c>
      <c r="CY116" s="214" t="s">
        <v>70</v>
      </c>
      <c r="CZ116" s="214" t="s">
        <v>530</v>
      </c>
      <c r="DB116" s="214" t="s">
        <v>7985</v>
      </c>
      <c r="DC116" s="214" t="s">
        <v>103</v>
      </c>
      <c r="DD116" s="214" t="s">
        <v>70</v>
      </c>
      <c r="DE116" s="214" t="s">
        <v>530</v>
      </c>
      <c r="DG116" s="214" t="s">
        <v>7986</v>
      </c>
      <c r="DH116" s="214" t="s">
        <v>87</v>
      </c>
      <c r="DI116" s="214" t="s">
        <v>70</v>
      </c>
      <c r="DJ116" s="214" t="s">
        <v>530</v>
      </c>
      <c r="DL116" s="214" t="s">
        <v>7987</v>
      </c>
      <c r="DM116" s="214" t="s">
        <v>52</v>
      </c>
      <c r="DN116" s="214" t="s">
        <v>70</v>
      </c>
      <c r="DO116" s="214" t="s">
        <v>530</v>
      </c>
      <c r="DQ116" s="214" t="s">
        <v>7988</v>
      </c>
      <c r="DR116" s="214" t="s">
        <v>148</v>
      </c>
      <c r="DS116" s="214" t="s">
        <v>70</v>
      </c>
      <c r="DT116" s="214" t="s">
        <v>530</v>
      </c>
      <c r="DV116" s="214" t="s">
        <v>7989</v>
      </c>
      <c r="DW116" s="214" t="s">
        <v>951</v>
      </c>
      <c r="DX116" s="214" t="s">
        <v>70</v>
      </c>
      <c r="DY116" s="214" t="s">
        <v>530</v>
      </c>
      <c r="EA116" s="214" t="s">
        <v>7990</v>
      </c>
      <c r="EB116" s="214" t="s">
        <v>34578</v>
      </c>
      <c r="EC116" s="214" t="s">
        <v>70</v>
      </c>
      <c r="ED116" s="214" t="s">
        <v>530</v>
      </c>
      <c r="EF116" s="214" t="s">
        <v>7991</v>
      </c>
      <c r="EG116" s="214" t="s">
        <v>148</v>
      </c>
      <c r="EH116" s="214" t="s">
        <v>70</v>
      </c>
      <c r="EI116" s="214" t="s">
        <v>530</v>
      </c>
      <c r="EK116" s="214" t="s">
        <v>7992</v>
      </c>
      <c r="EL116" s="214" t="s">
        <v>34593</v>
      </c>
      <c r="EM116" s="214" t="s">
        <v>70</v>
      </c>
      <c r="EN116" s="214" t="s">
        <v>530</v>
      </c>
      <c r="EP116" s="214" t="s">
        <v>7993</v>
      </c>
      <c r="EQ116" s="214" t="s">
        <v>163</v>
      </c>
      <c r="ER116" s="214" t="s">
        <v>70</v>
      </c>
      <c r="ES116" s="214" t="s">
        <v>530</v>
      </c>
      <c r="EU116" s="214" t="s">
        <v>7994</v>
      </c>
      <c r="EV116" s="214" t="s">
        <v>92</v>
      </c>
      <c r="EW116" s="214" t="s">
        <v>70</v>
      </c>
      <c r="EX116" s="214" t="s">
        <v>530</v>
      </c>
      <c r="EZ116" s="214" t="s">
        <v>7995</v>
      </c>
      <c r="FA116" s="214" t="s">
        <v>34554</v>
      </c>
      <c r="FB116" s="214" t="s">
        <v>70</v>
      </c>
      <c r="FC116" s="214" t="s">
        <v>530</v>
      </c>
      <c r="FE116" s="214" t="s">
        <v>7996</v>
      </c>
      <c r="FF116" s="214" t="s">
        <v>52</v>
      </c>
      <c r="FG116" s="214" t="s">
        <v>70</v>
      </c>
      <c r="FH116" s="214" t="s">
        <v>530</v>
      </c>
      <c r="FJ116" s="321" t="s">
        <v>7997</v>
      </c>
      <c r="FK116" s="214" t="s">
        <v>34613</v>
      </c>
      <c r="FL116" s="214" t="s">
        <v>70</v>
      </c>
      <c r="FM116" s="214" t="s">
        <v>530</v>
      </c>
      <c r="FO116" s="321" t="s">
        <v>7998</v>
      </c>
      <c r="FP116" s="214" t="s">
        <v>910</v>
      </c>
      <c r="FQ116" s="214" t="s">
        <v>70</v>
      </c>
      <c r="FR116" s="214" t="s">
        <v>530</v>
      </c>
      <c r="FT116" s="321" t="s">
        <v>7999</v>
      </c>
      <c r="FU116" s="214" t="s">
        <v>88</v>
      </c>
      <c r="FV116" s="214" t="s">
        <v>70</v>
      </c>
      <c r="FW116" s="214" t="s">
        <v>530</v>
      </c>
      <c r="FY116" s="321" t="s">
        <v>8000</v>
      </c>
      <c r="FZ116" s="214" t="s">
        <v>915</v>
      </c>
      <c r="GA116" s="214" t="s">
        <v>70</v>
      </c>
      <c r="GB116" s="214" t="s">
        <v>530</v>
      </c>
      <c r="GD116" s="321" t="s">
        <v>8001</v>
      </c>
      <c r="GE116" s="214" t="s">
        <v>305</v>
      </c>
      <c r="GF116" s="214" t="s">
        <v>70</v>
      </c>
      <c r="GG116" s="214" t="s">
        <v>530</v>
      </c>
      <c r="GI116" s="321" t="s">
        <v>8002</v>
      </c>
      <c r="GJ116" s="214" t="s">
        <v>93</v>
      </c>
      <c r="GK116" s="214" t="s">
        <v>70</v>
      </c>
      <c r="GL116" s="214" t="s">
        <v>530</v>
      </c>
      <c r="GN116" s="321" t="s">
        <v>8003</v>
      </c>
      <c r="GO116" s="214" t="s">
        <v>148</v>
      </c>
      <c r="GP116" s="214" t="s">
        <v>70</v>
      </c>
      <c r="GQ116" s="214" t="s">
        <v>530</v>
      </c>
      <c r="GS116" s="321" t="s">
        <v>8004</v>
      </c>
      <c r="GT116" s="214" t="s">
        <v>148</v>
      </c>
      <c r="GU116" s="214" t="s">
        <v>70</v>
      </c>
      <c r="GV116" s="214" t="s">
        <v>530</v>
      </c>
      <c r="GX116" s="214" t="s">
        <v>8005</v>
      </c>
      <c r="GY116" s="214" t="s">
        <v>34590</v>
      </c>
      <c r="GZ116" s="214" t="s">
        <v>70</v>
      </c>
      <c r="HA116" s="214" t="s">
        <v>530</v>
      </c>
      <c r="HC116" s="214" t="s">
        <v>8006</v>
      </c>
      <c r="HD116" s="214" t="s">
        <v>529</v>
      </c>
      <c r="HE116" s="214" t="s">
        <v>70</v>
      </c>
      <c r="HF116" s="214" t="s">
        <v>530</v>
      </c>
      <c r="HH116" s="214" t="s">
        <v>8007</v>
      </c>
      <c r="HI116" s="214" t="s">
        <v>34578</v>
      </c>
      <c r="HJ116" s="214" t="s">
        <v>70</v>
      </c>
      <c r="HK116" s="214" t="s">
        <v>530</v>
      </c>
      <c r="HM116" s="214" t="s">
        <v>8008</v>
      </c>
      <c r="HN116" s="214" t="s">
        <v>145</v>
      </c>
      <c r="HO116" s="214" t="s">
        <v>70</v>
      </c>
      <c r="HP116" s="214" t="s">
        <v>530</v>
      </c>
      <c r="HR116" s="22" t="s">
        <v>8009</v>
      </c>
      <c r="HS116" s="22" t="s">
        <v>919</v>
      </c>
      <c r="HT116" s="22" t="s">
        <v>70</v>
      </c>
      <c r="HU116" s="214" t="s">
        <v>530</v>
      </c>
      <c r="HW116" s="22" t="s">
        <v>8010</v>
      </c>
      <c r="HX116" s="22" t="s">
        <v>148</v>
      </c>
      <c r="HY116" s="22" t="s">
        <v>70</v>
      </c>
      <c r="HZ116" s="214" t="s">
        <v>530</v>
      </c>
      <c r="IB116" s="22" t="s">
        <v>8011</v>
      </c>
      <c r="IC116" s="22" t="s">
        <v>86</v>
      </c>
      <c r="ID116" s="22" t="s">
        <v>70</v>
      </c>
      <c r="IE116" s="214" t="s">
        <v>530</v>
      </c>
      <c r="IG116" s="22" t="s">
        <v>8012</v>
      </c>
      <c r="IH116" s="22" t="s">
        <v>52</v>
      </c>
      <c r="II116" s="22" t="s">
        <v>70</v>
      </c>
      <c r="IJ116" s="214" t="s">
        <v>530</v>
      </c>
      <c r="IL116" s="22" t="s">
        <v>8013</v>
      </c>
      <c r="IM116" s="22" t="s">
        <v>145</v>
      </c>
      <c r="IN116" s="22" t="s">
        <v>70</v>
      </c>
      <c r="IO116" s="214" t="s">
        <v>530</v>
      </c>
      <c r="IQ116" s="236" t="s">
        <v>8014</v>
      </c>
      <c r="IR116" s="236" t="s">
        <v>145</v>
      </c>
      <c r="IS116" s="236" t="s">
        <v>74</v>
      </c>
      <c r="IT116" s="236" t="s">
        <v>841</v>
      </c>
      <c r="IV116" s="236" t="s">
        <v>8015</v>
      </c>
      <c r="IW116" s="236" t="s">
        <v>145</v>
      </c>
      <c r="IX116" s="236" t="s">
        <v>74</v>
      </c>
      <c r="IY116" s="236" t="s">
        <v>841</v>
      </c>
      <c r="JA116" s="236" t="s">
        <v>8016</v>
      </c>
      <c r="JB116" s="236" t="s">
        <v>145</v>
      </c>
      <c r="JC116" s="236" t="s">
        <v>74</v>
      </c>
      <c r="JD116" s="236" t="s">
        <v>841</v>
      </c>
      <c r="JF116" s="236" t="s">
        <v>8017</v>
      </c>
      <c r="JG116" s="236" t="s">
        <v>145</v>
      </c>
      <c r="JH116" s="236" t="s">
        <v>74</v>
      </c>
      <c r="JI116" s="236" t="s">
        <v>841</v>
      </c>
      <c r="JK116" s="236" t="s">
        <v>8018</v>
      </c>
      <c r="JL116" s="236" t="s">
        <v>145</v>
      </c>
      <c r="JM116" s="236" t="s">
        <v>74</v>
      </c>
      <c r="JN116" s="236" t="s">
        <v>841</v>
      </c>
      <c r="JP116" s="236" t="s">
        <v>8019</v>
      </c>
      <c r="JQ116" s="236" t="s">
        <v>145</v>
      </c>
      <c r="JR116" s="236" t="s">
        <v>74</v>
      </c>
      <c r="JS116" s="236" t="s">
        <v>841</v>
      </c>
      <c r="JU116" s="294" t="s">
        <v>8020</v>
      </c>
      <c r="JV116" s="218" t="s">
        <v>641</v>
      </c>
      <c r="JW116" s="263" t="s">
        <v>70</v>
      </c>
      <c r="JX116" s="263" t="s">
        <v>34228</v>
      </c>
      <c r="JZ116" s="263" t="s">
        <v>8021</v>
      </c>
      <c r="KA116" s="263" t="s">
        <v>145</v>
      </c>
      <c r="KB116" s="263" t="s">
        <v>70</v>
      </c>
      <c r="KC116" s="263" t="s">
        <v>1083</v>
      </c>
      <c r="KE116" s="263" t="s">
        <v>8022</v>
      </c>
      <c r="KF116" s="263" t="s">
        <v>52</v>
      </c>
      <c r="KG116" s="263" t="s">
        <v>70</v>
      </c>
      <c r="KH116" s="263" t="s">
        <v>1083</v>
      </c>
      <c r="KJ116" s="263" t="s">
        <v>8023</v>
      </c>
      <c r="KK116" s="263" t="s">
        <v>52</v>
      </c>
      <c r="KL116" s="263" t="s">
        <v>74</v>
      </c>
      <c r="KM116" s="263" t="s">
        <v>34074</v>
      </c>
      <c r="KO116" s="214" t="s">
        <v>8024</v>
      </c>
      <c r="KP116" s="214" t="s">
        <v>145</v>
      </c>
      <c r="KQ116" s="214" t="s">
        <v>70</v>
      </c>
      <c r="KR116" s="214" t="s">
        <v>67</v>
      </c>
      <c r="KT116" s="22" t="s">
        <v>8025</v>
      </c>
      <c r="KU116" s="22" t="s">
        <v>145</v>
      </c>
      <c r="KV116" s="22" t="s">
        <v>70</v>
      </c>
      <c r="KW116" s="22" t="s">
        <v>67</v>
      </c>
      <c r="KY116" s="214" t="s">
        <v>8026</v>
      </c>
      <c r="KZ116" s="214" t="s">
        <v>52</v>
      </c>
      <c r="LA116" s="214" t="s">
        <v>74</v>
      </c>
      <c r="LB116" s="214" t="s">
        <v>67</v>
      </c>
      <c r="LD116" s="22" t="s">
        <v>8027</v>
      </c>
      <c r="LE116" s="22" t="s">
        <v>145</v>
      </c>
      <c r="LF116" s="22" t="s">
        <v>70</v>
      </c>
      <c r="LG116" s="22" t="s">
        <v>67</v>
      </c>
    </row>
    <row r="117" spans="1:319">
      <c r="A117" s="22" t="s">
        <v>8028</v>
      </c>
      <c r="B117" s="22" t="s">
        <v>145</v>
      </c>
      <c r="C117" s="22" t="s">
        <v>70</v>
      </c>
      <c r="D117" s="22" t="s">
        <v>67</v>
      </c>
      <c r="F117" s="23" t="s">
        <v>8029</v>
      </c>
      <c r="G117" s="23" t="str">
        <f>TVIIBE1M_CalPairs!$E114</f>
        <v>0x00</v>
      </c>
      <c r="H117" s="23" t="s">
        <v>72</v>
      </c>
      <c r="I117" s="23" t="str">
        <f>TVIIBE1M_CalPairs!$C114</f>
        <v>CLK_TRIM_ILO1_CTL_VAL2</v>
      </c>
      <c r="K117" s="22" t="s">
        <v>8030</v>
      </c>
      <c r="L117" s="22" t="s">
        <v>145</v>
      </c>
      <c r="M117" s="22" t="s">
        <v>70</v>
      </c>
      <c r="N117" s="22" t="s">
        <v>67</v>
      </c>
      <c r="P117" s="394" t="s">
        <v>8031</v>
      </c>
      <c r="Q117" s="394" t="s">
        <v>145</v>
      </c>
      <c r="R117" s="394" t="s">
        <v>72</v>
      </c>
      <c r="S117" s="394" t="s">
        <v>34682</v>
      </c>
      <c r="U117" s="293" t="s">
        <v>8032</v>
      </c>
      <c r="V117" s="293" t="s">
        <v>145</v>
      </c>
      <c r="W117" s="293" t="s">
        <v>74</v>
      </c>
      <c r="X117" s="293" t="s">
        <v>656</v>
      </c>
      <c r="Z117" s="293" t="s">
        <v>8033</v>
      </c>
      <c r="AA117" s="293" t="s">
        <v>145</v>
      </c>
      <c r="AB117" s="293" t="s">
        <v>74</v>
      </c>
      <c r="AC117" s="293" t="s">
        <v>656</v>
      </c>
      <c r="AE117" s="293" t="s">
        <v>8034</v>
      </c>
      <c r="AF117" s="293" t="s">
        <v>145</v>
      </c>
      <c r="AG117" s="293" t="s">
        <v>74</v>
      </c>
      <c r="AH117" s="293" t="s">
        <v>656</v>
      </c>
      <c r="AJ117" s="293" t="s">
        <v>8035</v>
      </c>
      <c r="AK117" s="293" t="s">
        <v>145</v>
      </c>
      <c r="AL117" s="293" t="s">
        <v>74</v>
      </c>
      <c r="AM117" s="293" t="s">
        <v>656</v>
      </c>
      <c r="AO117" s="22" t="s">
        <v>8036</v>
      </c>
      <c r="AP117" s="22" t="s">
        <v>145</v>
      </c>
      <c r="AQ117" s="22" t="s">
        <v>70</v>
      </c>
      <c r="AR117" s="22" t="s">
        <v>67</v>
      </c>
      <c r="AT117" s="22" t="s">
        <v>8037</v>
      </c>
      <c r="AU117" s="22" t="s">
        <v>145</v>
      </c>
      <c r="AV117" s="22" t="s">
        <v>70</v>
      </c>
      <c r="AW117" s="22" t="s">
        <v>67</v>
      </c>
      <c r="AY117" s="22" t="s">
        <v>8038</v>
      </c>
      <c r="AZ117" s="22" t="s">
        <v>145</v>
      </c>
      <c r="BA117" s="22" t="s">
        <v>70</v>
      </c>
      <c r="BB117" s="22" t="s">
        <v>67</v>
      </c>
      <c r="BD117" s="22" t="s">
        <v>8039</v>
      </c>
      <c r="BE117" s="22" t="s">
        <v>145</v>
      </c>
      <c r="BF117" s="22" t="s">
        <v>70</v>
      </c>
      <c r="BG117" s="22" t="s">
        <v>67</v>
      </c>
      <c r="BI117" s="22" t="s">
        <v>8040</v>
      </c>
      <c r="BJ117" s="22" t="s">
        <v>145</v>
      </c>
      <c r="BK117" s="22" t="s">
        <v>70</v>
      </c>
      <c r="BL117" s="22" t="s">
        <v>67</v>
      </c>
      <c r="BN117" s="22" t="s">
        <v>8041</v>
      </c>
      <c r="BO117" s="22" t="s">
        <v>145</v>
      </c>
      <c r="BP117" s="22" t="s">
        <v>70</v>
      </c>
      <c r="BQ117" s="22" t="s">
        <v>67</v>
      </c>
      <c r="BS117" s="22" t="s">
        <v>8042</v>
      </c>
      <c r="BT117" s="22" t="s">
        <v>145</v>
      </c>
      <c r="BU117" s="22" t="s">
        <v>70</v>
      </c>
      <c r="BV117" s="214" t="s">
        <v>530</v>
      </c>
      <c r="BX117" s="22" t="s">
        <v>8043</v>
      </c>
      <c r="BY117" s="22" t="s">
        <v>145</v>
      </c>
      <c r="BZ117" s="22" t="s">
        <v>70</v>
      </c>
      <c r="CA117" s="214" t="s">
        <v>530</v>
      </c>
      <c r="CC117" s="214" t="s">
        <v>8044</v>
      </c>
      <c r="CD117" s="218" t="s">
        <v>145</v>
      </c>
      <c r="CE117" s="214" t="s">
        <v>70</v>
      </c>
      <c r="CF117" s="214" t="s">
        <v>412</v>
      </c>
      <c r="CH117" s="214" t="s">
        <v>8045</v>
      </c>
      <c r="CI117" s="214" t="s">
        <v>920</v>
      </c>
      <c r="CJ117" s="214" t="s">
        <v>70</v>
      </c>
      <c r="CK117" s="214" t="s">
        <v>530</v>
      </c>
      <c r="CM117" s="214" t="s">
        <v>8046</v>
      </c>
      <c r="CN117" s="214" t="s">
        <v>919</v>
      </c>
      <c r="CO117" s="214" t="s">
        <v>70</v>
      </c>
      <c r="CP117" s="214" t="s">
        <v>530</v>
      </c>
      <c r="CR117" s="214" t="s">
        <v>8047</v>
      </c>
      <c r="CS117" s="214" t="s">
        <v>488</v>
      </c>
      <c r="CT117" s="214" t="s">
        <v>70</v>
      </c>
      <c r="CU117" s="214" t="s">
        <v>530</v>
      </c>
      <c r="CW117" s="214" t="s">
        <v>8048</v>
      </c>
      <c r="CX117" s="214" t="s">
        <v>52</v>
      </c>
      <c r="CY117" s="214" t="s">
        <v>70</v>
      </c>
      <c r="CZ117" s="214" t="s">
        <v>530</v>
      </c>
      <c r="DB117" s="214" t="s">
        <v>8049</v>
      </c>
      <c r="DC117" s="214" t="s">
        <v>485</v>
      </c>
      <c r="DD117" s="214" t="s">
        <v>70</v>
      </c>
      <c r="DE117" s="214" t="s">
        <v>530</v>
      </c>
      <c r="DG117" s="214" t="s">
        <v>8050</v>
      </c>
      <c r="DH117" s="214" t="s">
        <v>603</v>
      </c>
      <c r="DI117" s="214" t="s">
        <v>70</v>
      </c>
      <c r="DJ117" s="214" t="s">
        <v>530</v>
      </c>
      <c r="DL117" s="214" t="s">
        <v>8051</v>
      </c>
      <c r="DM117" s="214" t="s">
        <v>52</v>
      </c>
      <c r="DN117" s="214" t="s">
        <v>70</v>
      </c>
      <c r="DO117" s="214" t="s">
        <v>530</v>
      </c>
      <c r="DQ117" s="214" t="s">
        <v>8052</v>
      </c>
      <c r="DR117" s="214" t="s">
        <v>34589</v>
      </c>
      <c r="DS117" s="214" t="s">
        <v>70</v>
      </c>
      <c r="DT117" s="214" t="s">
        <v>530</v>
      </c>
      <c r="DV117" s="214" t="s">
        <v>8053</v>
      </c>
      <c r="DW117" s="214" t="s">
        <v>52</v>
      </c>
      <c r="DX117" s="214" t="s">
        <v>70</v>
      </c>
      <c r="DY117" s="214" t="s">
        <v>530</v>
      </c>
      <c r="EA117" s="214" t="s">
        <v>8054</v>
      </c>
      <c r="EB117" s="214" t="s">
        <v>488</v>
      </c>
      <c r="EC117" s="214" t="s">
        <v>70</v>
      </c>
      <c r="ED117" s="214" t="s">
        <v>530</v>
      </c>
      <c r="EF117" s="214" t="s">
        <v>8055</v>
      </c>
      <c r="EG117" s="214" t="s">
        <v>468</v>
      </c>
      <c r="EH117" s="214" t="s">
        <v>70</v>
      </c>
      <c r="EI117" s="214" t="s">
        <v>530</v>
      </c>
      <c r="EK117" s="214" t="s">
        <v>8056</v>
      </c>
      <c r="EL117" s="214" t="s">
        <v>34542</v>
      </c>
      <c r="EM117" s="214" t="s">
        <v>70</v>
      </c>
      <c r="EN117" s="214" t="s">
        <v>530</v>
      </c>
      <c r="EP117" s="214" t="s">
        <v>8057</v>
      </c>
      <c r="EQ117" s="214" t="s">
        <v>34542</v>
      </c>
      <c r="ER117" s="214" t="s">
        <v>70</v>
      </c>
      <c r="ES117" s="214" t="s">
        <v>530</v>
      </c>
      <c r="EU117" s="214" t="s">
        <v>8058</v>
      </c>
      <c r="EV117" s="214" t="s">
        <v>482</v>
      </c>
      <c r="EW117" s="214" t="s">
        <v>70</v>
      </c>
      <c r="EX117" s="214" t="s">
        <v>530</v>
      </c>
      <c r="EZ117" s="214" t="s">
        <v>8059</v>
      </c>
      <c r="FA117" s="214" t="s">
        <v>10541</v>
      </c>
      <c r="FB117" s="214" t="s">
        <v>70</v>
      </c>
      <c r="FC117" s="214" t="s">
        <v>530</v>
      </c>
      <c r="FE117" s="214" t="s">
        <v>8060</v>
      </c>
      <c r="FF117" s="214" t="s">
        <v>950</v>
      </c>
      <c r="FG117" s="214" t="s">
        <v>70</v>
      </c>
      <c r="FH117" s="214" t="s">
        <v>530</v>
      </c>
      <c r="FJ117" s="321" t="s">
        <v>8061</v>
      </c>
      <c r="FK117" s="214" t="s">
        <v>52</v>
      </c>
      <c r="FL117" s="214" t="s">
        <v>70</v>
      </c>
      <c r="FM117" s="214" t="s">
        <v>530</v>
      </c>
      <c r="FO117" s="321" t="s">
        <v>8062</v>
      </c>
      <c r="FP117" s="214" t="s">
        <v>491</v>
      </c>
      <c r="FQ117" s="214" t="s">
        <v>70</v>
      </c>
      <c r="FR117" s="214" t="s">
        <v>530</v>
      </c>
      <c r="FT117" s="321" t="s">
        <v>8063</v>
      </c>
      <c r="FU117" s="214" t="s">
        <v>498</v>
      </c>
      <c r="FV117" s="214" t="s">
        <v>70</v>
      </c>
      <c r="FW117" s="214" t="s">
        <v>530</v>
      </c>
      <c r="FY117" s="321" t="s">
        <v>8064</v>
      </c>
      <c r="FZ117" s="214" t="s">
        <v>206</v>
      </c>
      <c r="GA117" s="214" t="s">
        <v>70</v>
      </c>
      <c r="GB117" s="214" t="s">
        <v>530</v>
      </c>
      <c r="GD117" s="321" t="s">
        <v>8065</v>
      </c>
      <c r="GE117" s="214" t="s">
        <v>206</v>
      </c>
      <c r="GF117" s="214" t="s">
        <v>70</v>
      </c>
      <c r="GG117" s="214" t="s">
        <v>530</v>
      </c>
      <c r="GI117" s="321" t="s">
        <v>8066</v>
      </c>
      <c r="GJ117" s="214" t="s">
        <v>93</v>
      </c>
      <c r="GK117" s="214" t="s">
        <v>70</v>
      </c>
      <c r="GL117" s="214" t="s">
        <v>530</v>
      </c>
      <c r="GN117" s="321" t="s">
        <v>8067</v>
      </c>
      <c r="GO117" s="214" t="s">
        <v>912</v>
      </c>
      <c r="GP117" s="214" t="s">
        <v>70</v>
      </c>
      <c r="GQ117" s="214" t="s">
        <v>530</v>
      </c>
      <c r="GS117" s="321" t="s">
        <v>8068</v>
      </c>
      <c r="GT117" s="214" t="s">
        <v>484</v>
      </c>
      <c r="GU117" s="214" t="s">
        <v>70</v>
      </c>
      <c r="GV117" s="214" t="s">
        <v>530</v>
      </c>
      <c r="GX117" s="214" t="s">
        <v>8069</v>
      </c>
      <c r="GY117" s="214" t="s">
        <v>502</v>
      </c>
      <c r="GZ117" s="214" t="s">
        <v>70</v>
      </c>
      <c r="HA117" s="214" t="s">
        <v>530</v>
      </c>
      <c r="HC117" s="214" t="s">
        <v>8070</v>
      </c>
      <c r="HD117" s="214" t="s">
        <v>484</v>
      </c>
      <c r="HE117" s="214" t="s">
        <v>70</v>
      </c>
      <c r="HF117" s="214" t="s">
        <v>530</v>
      </c>
      <c r="HH117" s="214" t="s">
        <v>8071</v>
      </c>
      <c r="HI117" s="214" t="s">
        <v>93</v>
      </c>
      <c r="HJ117" s="214" t="s">
        <v>70</v>
      </c>
      <c r="HK117" s="214" t="s">
        <v>530</v>
      </c>
      <c r="HM117" s="214" t="s">
        <v>8072</v>
      </c>
      <c r="HN117" s="214" t="s">
        <v>34541</v>
      </c>
      <c r="HO117" s="214" t="s">
        <v>70</v>
      </c>
      <c r="HP117" s="214" t="s">
        <v>530</v>
      </c>
      <c r="HR117" s="22" t="s">
        <v>8073</v>
      </c>
      <c r="HS117" s="22" t="s">
        <v>163</v>
      </c>
      <c r="HT117" s="22" t="s">
        <v>70</v>
      </c>
      <c r="HU117" s="214" t="s">
        <v>530</v>
      </c>
      <c r="HW117" s="22" t="s">
        <v>8074</v>
      </c>
      <c r="HX117" s="22" t="s">
        <v>206</v>
      </c>
      <c r="HY117" s="22" t="s">
        <v>70</v>
      </c>
      <c r="HZ117" s="214" t="s">
        <v>530</v>
      </c>
      <c r="IB117" s="22" t="s">
        <v>8075</v>
      </c>
      <c r="IC117" s="22" t="s">
        <v>484</v>
      </c>
      <c r="ID117" s="22" t="s">
        <v>70</v>
      </c>
      <c r="IE117" s="214" t="s">
        <v>530</v>
      </c>
      <c r="IG117" s="22" t="s">
        <v>8076</v>
      </c>
      <c r="IH117" s="22" t="s">
        <v>52</v>
      </c>
      <c r="II117" s="22" t="s">
        <v>70</v>
      </c>
      <c r="IJ117" s="214" t="s">
        <v>530</v>
      </c>
      <c r="IL117" s="22" t="s">
        <v>8077</v>
      </c>
      <c r="IM117" s="22" t="s">
        <v>145</v>
      </c>
      <c r="IN117" s="22" t="s">
        <v>70</v>
      </c>
      <c r="IO117" s="214" t="s">
        <v>530</v>
      </c>
      <c r="IQ117" s="236" t="s">
        <v>8078</v>
      </c>
      <c r="IR117" s="236" t="s">
        <v>145</v>
      </c>
      <c r="IS117" s="236" t="s">
        <v>74</v>
      </c>
      <c r="IT117" s="236" t="s">
        <v>841</v>
      </c>
      <c r="IV117" s="236" t="s">
        <v>8079</v>
      </c>
      <c r="IW117" s="236" t="s">
        <v>145</v>
      </c>
      <c r="IX117" s="236" t="s">
        <v>74</v>
      </c>
      <c r="IY117" s="236" t="s">
        <v>841</v>
      </c>
      <c r="JA117" s="236" t="s">
        <v>8080</v>
      </c>
      <c r="JB117" s="236" t="s">
        <v>145</v>
      </c>
      <c r="JC117" s="236" t="s">
        <v>74</v>
      </c>
      <c r="JD117" s="236" t="s">
        <v>841</v>
      </c>
      <c r="JF117" s="236" t="s">
        <v>8081</v>
      </c>
      <c r="JG117" s="236" t="s">
        <v>145</v>
      </c>
      <c r="JH117" s="236" t="s">
        <v>74</v>
      </c>
      <c r="JI117" s="236" t="s">
        <v>841</v>
      </c>
      <c r="JK117" s="236" t="s">
        <v>8082</v>
      </c>
      <c r="JL117" s="236" t="s">
        <v>145</v>
      </c>
      <c r="JM117" s="236" t="s">
        <v>74</v>
      </c>
      <c r="JN117" s="236" t="s">
        <v>841</v>
      </c>
      <c r="JP117" s="236" t="s">
        <v>8083</v>
      </c>
      <c r="JQ117" s="236" t="s">
        <v>145</v>
      </c>
      <c r="JR117" s="236" t="s">
        <v>74</v>
      </c>
      <c r="JS117" s="236" t="s">
        <v>841</v>
      </c>
      <c r="JU117" s="294" t="s">
        <v>8084</v>
      </c>
      <c r="JV117" s="263" t="s">
        <v>52</v>
      </c>
      <c r="JW117" s="263" t="s">
        <v>70</v>
      </c>
      <c r="JX117" s="263" t="s">
        <v>34229</v>
      </c>
      <c r="JZ117" s="263" t="s">
        <v>8085</v>
      </c>
      <c r="KA117" s="263" t="s">
        <v>145</v>
      </c>
      <c r="KB117" s="263" t="s">
        <v>70</v>
      </c>
      <c r="KC117" s="263" t="s">
        <v>1083</v>
      </c>
      <c r="KE117" s="263" t="s">
        <v>8086</v>
      </c>
      <c r="KF117" s="263" t="s">
        <v>52</v>
      </c>
      <c r="KG117" s="263" t="s">
        <v>70</v>
      </c>
      <c r="KH117" s="263" t="s">
        <v>1083</v>
      </c>
      <c r="KJ117" s="263" t="s">
        <v>8087</v>
      </c>
      <c r="KK117" s="263" t="s">
        <v>52</v>
      </c>
      <c r="KL117" s="263" t="s">
        <v>74</v>
      </c>
      <c r="KM117" s="263" t="s">
        <v>34074</v>
      </c>
      <c r="KO117" s="214" t="s">
        <v>8088</v>
      </c>
      <c r="KP117" s="214" t="s">
        <v>145</v>
      </c>
      <c r="KQ117" s="214" t="s">
        <v>70</v>
      </c>
      <c r="KR117" s="214" t="s">
        <v>67</v>
      </c>
      <c r="KT117" s="22" t="s">
        <v>8089</v>
      </c>
      <c r="KU117" s="22" t="s">
        <v>145</v>
      </c>
      <c r="KV117" s="22" t="s">
        <v>70</v>
      </c>
      <c r="KW117" s="22" t="s">
        <v>67</v>
      </c>
      <c r="KY117" s="214" t="s">
        <v>8090</v>
      </c>
      <c r="KZ117" s="214" t="s">
        <v>52</v>
      </c>
      <c r="LA117" s="214" t="s">
        <v>74</v>
      </c>
      <c r="LB117" s="214" t="s">
        <v>67</v>
      </c>
      <c r="LD117" s="22" t="s">
        <v>8091</v>
      </c>
      <c r="LE117" s="22" t="s">
        <v>145</v>
      </c>
      <c r="LF117" s="22" t="s">
        <v>70</v>
      </c>
      <c r="LG117" s="22" t="s">
        <v>67</v>
      </c>
    </row>
    <row r="118" spans="1:319">
      <c r="A118" s="22" t="s">
        <v>8092</v>
      </c>
      <c r="B118" s="22" t="s">
        <v>145</v>
      </c>
      <c r="C118" s="22" t="s">
        <v>70</v>
      </c>
      <c r="D118" s="22" t="s">
        <v>67</v>
      </c>
      <c r="F118" s="23" t="s">
        <v>8093</v>
      </c>
      <c r="G118" s="23" t="str">
        <f>TVIIBE1M_CalPairs!$E115</f>
        <v>0x00</v>
      </c>
      <c r="H118" s="23" t="s">
        <v>72</v>
      </c>
      <c r="I118" s="23" t="str">
        <f>TVIIBE1M_CalPairs!$C115</f>
        <v>CLK_TRIM_ILO1_CTL_VAL3</v>
      </c>
      <c r="K118" s="22" t="s">
        <v>8094</v>
      </c>
      <c r="L118" s="22" t="s">
        <v>145</v>
      </c>
      <c r="M118" s="22" t="s">
        <v>70</v>
      </c>
      <c r="N118" s="22" t="s">
        <v>67</v>
      </c>
      <c r="P118" s="394" t="s">
        <v>8095</v>
      </c>
      <c r="Q118" s="394" t="s">
        <v>145</v>
      </c>
      <c r="R118" s="394" t="s">
        <v>72</v>
      </c>
      <c r="S118" s="394" t="s">
        <v>34698</v>
      </c>
      <c r="U118" s="293" t="s">
        <v>8096</v>
      </c>
      <c r="V118" s="293" t="s">
        <v>145</v>
      </c>
      <c r="W118" s="293" t="s">
        <v>74</v>
      </c>
      <c r="X118" s="293" t="s">
        <v>656</v>
      </c>
      <c r="Z118" s="293" t="s">
        <v>8097</v>
      </c>
      <c r="AA118" s="293" t="s">
        <v>145</v>
      </c>
      <c r="AB118" s="293" t="s">
        <v>74</v>
      </c>
      <c r="AC118" s="293" t="s">
        <v>656</v>
      </c>
      <c r="AE118" s="293" t="s">
        <v>8098</v>
      </c>
      <c r="AF118" s="293" t="s">
        <v>145</v>
      </c>
      <c r="AG118" s="293" t="s">
        <v>74</v>
      </c>
      <c r="AH118" s="293" t="s">
        <v>656</v>
      </c>
      <c r="AJ118" s="293" t="s">
        <v>8099</v>
      </c>
      <c r="AK118" s="293" t="s">
        <v>145</v>
      </c>
      <c r="AL118" s="293" t="s">
        <v>74</v>
      </c>
      <c r="AM118" s="293" t="s">
        <v>656</v>
      </c>
      <c r="AO118" s="22" t="s">
        <v>8100</v>
      </c>
      <c r="AP118" s="22" t="s">
        <v>145</v>
      </c>
      <c r="AQ118" s="22" t="s">
        <v>70</v>
      </c>
      <c r="AR118" s="22" t="s">
        <v>67</v>
      </c>
      <c r="AT118" s="22" t="s">
        <v>8101</v>
      </c>
      <c r="AU118" s="22" t="s">
        <v>145</v>
      </c>
      <c r="AV118" s="22" t="s">
        <v>70</v>
      </c>
      <c r="AW118" s="22" t="s">
        <v>67</v>
      </c>
      <c r="AY118" s="22" t="s">
        <v>8102</v>
      </c>
      <c r="AZ118" s="22" t="s">
        <v>145</v>
      </c>
      <c r="BA118" s="22" t="s">
        <v>70</v>
      </c>
      <c r="BB118" s="22" t="s">
        <v>67</v>
      </c>
      <c r="BD118" s="22" t="s">
        <v>8103</v>
      </c>
      <c r="BE118" s="22" t="s">
        <v>145</v>
      </c>
      <c r="BF118" s="22" t="s">
        <v>70</v>
      </c>
      <c r="BG118" s="22" t="s">
        <v>67</v>
      </c>
      <c r="BI118" s="22" t="s">
        <v>8104</v>
      </c>
      <c r="BJ118" s="22" t="s">
        <v>145</v>
      </c>
      <c r="BK118" s="22" t="s">
        <v>70</v>
      </c>
      <c r="BL118" s="22" t="s">
        <v>67</v>
      </c>
      <c r="BN118" s="22" t="s">
        <v>8105</v>
      </c>
      <c r="BO118" s="22" t="s">
        <v>145</v>
      </c>
      <c r="BP118" s="22" t="s">
        <v>70</v>
      </c>
      <c r="BQ118" s="22" t="s">
        <v>67</v>
      </c>
      <c r="BS118" s="22" t="s">
        <v>8106</v>
      </c>
      <c r="BT118" s="22" t="s">
        <v>145</v>
      </c>
      <c r="BU118" s="22" t="s">
        <v>70</v>
      </c>
      <c r="BV118" s="214" t="s">
        <v>530</v>
      </c>
      <c r="BX118" s="22" t="s">
        <v>8107</v>
      </c>
      <c r="BY118" s="22" t="s">
        <v>145</v>
      </c>
      <c r="BZ118" s="22" t="s">
        <v>70</v>
      </c>
      <c r="CA118" s="214" t="s">
        <v>530</v>
      </c>
      <c r="CC118" s="214" t="s">
        <v>8108</v>
      </c>
      <c r="CD118" s="218" t="s">
        <v>145</v>
      </c>
      <c r="CE118" s="214" t="s">
        <v>70</v>
      </c>
      <c r="CF118" s="214" t="s">
        <v>413</v>
      </c>
      <c r="CH118" s="214" t="s">
        <v>8109</v>
      </c>
      <c r="CI118" s="214" t="s">
        <v>52</v>
      </c>
      <c r="CJ118" s="214" t="s">
        <v>70</v>
      </c>
      <c r="CK118" s="214" t="s">
        <v>530</v>
      </c>
      <c r="CM118" s="214" t="s">
        <v>8110</v>
      </c>
      <c r="CN118" s="214" t="s">
        <v>87</v>
      </c>
      <c r="CO118" s="214" t="s">
        <v>70</v>
      </c>
      <c r="CP118" s="214" t="s">
        <v>530</v>
      </c>
      <c r="CR118" s="214" t="s">
        <v>8111</v>
      </c>
      <c r="CS118" s="214" t="s">
        <v>149</v>
      </c>
      <c r="CT118" s="214" t="s">
        <v>70</v>
      </c>
      <c r="CU118" s="214" t="s">
        <v>530</v>
      </c>
      <c r="CW118" s="214" t="s">
        <v>8112</v>
      </c>
      <c r="CX118" s="214" t="s">
        <v>164</v>
      </c>
      <c r="CY118" s="214" t="s">
        <v>70</v>
      </c>
      <c r="CZ118" s="214" t="s">
        <v>530</v>
      </c>
      <c r="DB118" s="214" t="s">
        <v>8113</v>
      </c>
      <c r="DC118" s="214" t="s">
        <v>34545</v>
      </c>
      <c r="DD118" s="214" t="s">
        <v>70</v>
      </c>
      <c r="DE118" s="214" t="s">
        <v>530</v>
      </c>
      <c r="DG118" s="214" t="s">
        <v>8114</v>
      </c>
      <c r="DH118" s="214" t="s">
        <v>305</v>
      </c>
      <c r="DI118" s="214" t="s">
        <v>70</v>
      </c>
      <c r="DJ118" s="214" t="s">
        <v>530</v>
      </c>
      <c r="DL118" s="214" t="s">
        <v>8115</v>
      </c>
      <c r="DM118" s="214" t="s">
        <v>103</v>
      </c>
      <c r="DN118" s="214" t="s">
        <v>70</v>
      </c>
      <c r="DO118" s="214" t="s">
        <v>530</v>
      </c>
      <c r="DQ118" s="214" t="s">
        <v>8116</v>
      </c>
      <c r="DR118" s="214" t="s">
        <v>485</v>
      </c>
      <c r="DS118" s="214" t="s">
        <v>70</v>
      </c>
      <c r="DT118" s="214" t="s">
        <v>530</v>
      </c>
      <c r="DV118" s="214" t="s">
        <v>8117</v>
      </c>
      <c r="DW118" s="214" t="s">
        <v>52</v>
      </c>
      <c r="DX118" s="214" t="s">
        <v>70</v>
      </c>
      <c r="DY118" s="214" t="s">
        <v>530</v>
      </c>
      <c r="EA118" s="214" t="s">
        <v>8118</v>
      </c>
      <c r="EB118" s="214" t="s">
        <v>87</v>
      </c>
      <c r="EC118" s="214" t="s">
        <v>70</v>
      </c>
      <c r="ED118" s="214" t="s">
        <v>530</v>
      </c>
      <c r="EF118" s="214" t="s">
        <v>8119</v>
      </c>
      <c r="EG118" s="214" t="s">
        <v>92</v>
      </c>
      <c r="EH118" s="214" t="s">
        <v>70</v>
      </c>
      <c r="EI118" s="214" t="s">
        <v>530</v>
      </c>
      <c r="EK118" s="214" t="s">
        <v>8120</v>
      </c>
      <c r="EL118" s="214" t="s">
        <v>90</v>
      </c>
      <c r="EM118" s="214" t="s">
        <v>70</v>
      </c>
      <c r="EN118" s="214" t="s">
        <v>530</v>
      </c>
      <c r="EP118" s="214" t="s">
        <v>8121</v>
      </c>
      <c r="EQ118" s="214" t="s">
        <v>92</v>
      </c>
      <c r="ER118" s="214" t="s">
        <v>70</v>
      </c>
      <c r="ES118" s="214" t="s">
        <v>530</v>
      </c>
      <c r="EU118" s="214" t="s">
        <v>8122</v>
      </c>
      <c r="EV118" s="214" t="s">
        <v>163</v>
      </c>
      <c r="EW118" s="214" t="s">
        <v>70</v>
      </c>
      <c r="EX118" s="214" t="s">
        <v>530</v>
      </c>
      <c r="EZ118" s="214" t="s">
        <v>8123</v>
      </c>
      <c r="FA118" s="214" t="s">
        <v>52</v>
      </c>
      <c r="FB118" s="214" t="s">
        <v>70</v>
      </c>
      <c r="FC118" s="214" t="s">
        <v>530</v>
      </c>
      <c r="FE118" s="214" t="s">
        <v>8124</v>
      </c>
      <c r="FF118" s="214" t="s">
        <v>599</v>
      </c>
      <c r="FG118" s="214" t="s">
        <v>70</v>
      </c>
      <c r="FH118" s="214" t="s">
        <v>530</v>
      </c>
      <c r="FJ118" s="321" t="s">
        <v>8125</v>
      </c>
      <c r="FK118" s="214" t="s">
        <v>34606</v>
      </c>
      <c r="FL118" s="214" t="s">
        <v>70</v>
      </c>
      <c r="FM118" s="214" t="s">
        <v>530</v>
      </c>
      <c r="FO118" s="321" t="s">
        <v>8126</v>
      </c>
      <c r="FP118" s="214" t="s">
        <v>87</v>
      </c>
      <c r="FQ118" s="214" t="s">
        <v>70</v>
      </c>
      <c r="FR118" s="214" t="s">
        <v>530</v>
      </c>
      <c r="FT118" s="321" t="s">
        <v>8127</v>
      </c>
      <c r="FU118" s="214" t="s">
        <v>603</v>
      </c>
      <c r="FV118" s="214" t="s">
        <v>70</v>
      </c>
      <c r="FW118" s="214" t="s">
        <v>530</v>
      </c>
      <c r="FY118" s="321" t="s">
        <v>8128</v>
      </c>
      <c r="FZ118" s="214" t="s">
        <v>148</v>
      </c>
      <c r="GA118" s="214" t="s">
        <v>70</v>
      </c>
      <c r="GB118" s="214" t="s">
        <v>530</v>
      </c>
      <c r="GD118" s="321" t="s">
        <v>8129</v>
      </c>
      <c r="GE118" s="214" t="s">
        <v>89</v>
      </c>
      <c r="GF118" s="214" t="s">
        <v>70</v>
      </c>
      <c r="GG118" s="214" t="s">
        <v>530</v>
      </c>
      <c r="GI118" s="321" t="s">
        <v>8130</v>
      </c>
      <c r="GJ118" s="214" t="s">
        <v>52</v>
      </c>
      <c r="GK118" s="214" t="s">
        <v>70</v>
      </c>
      <c r="GL118" s="214" t="s">
        <v>530</v>
      </c>
      <c r="GN118" s="321" t="s">
        <v>8131</v>
      </c>
      <c r="GO118" s="214" t="s">
        <v>467</v>
      </c>
      <c r="GP118" s="214" t="s">
        <v>70</v>
      </c>
      <c r="GQ118" s="214" t="s">
        <v>530</v>
      </c>
      <c r="GS118" s="321" t="s">
        <v>8132</v>
      </c>
      <c r="GT118" s="214" t="s">
        <v>921</v>
      </c>
      <c r="GU118" s="214" t="s">
        <v>70</v>
      </c>
      <c r="GV118" s="214" t="s">
        <v>530</v>
      </c>
      <c r="GX118" s="214" t="s">
        <v>8133</v>
      </c>
      <c r="GY118" s="214" t="s">
        <v>949</v>
      </c>
      <c r="GZ118" s="214" t="s">
        <v>70</v>
      </c>
      <c r="HA118" s="214" t="s">
        <v>530</v>
      </c>
      <c r="HC118" s="214" t="s">
        <v>8134</v>
      </c>
      <c r="HD118" s="214" t="s">
        <v>498</v>
      </c>
      <c r="HE118" s="214" t="s">
        <v>70</v>
      </c>
      <c r="HF118" s="214" t="s">
        <v>530</v>
      </c>
      <c r="HH118" s="214" t="s">
        <v>8135</v>
      </c>
      <c r="HI118" s="214" t="s">
        <v>468</v>
      </c>
      <c r="HJ118" s="214" t="s">
        <v>70</v>
      </c>
      <c r="HK118" s="214" t="s">
        <v>530</v>
      </c>
      <c r="HM118" s="214" t="s">
        <v>8136</v>
      </c>
      <c r="HN118" s="214" t="s">
        <v>34545</v>
      </c>
      <c r="HO118" s="214" t="s">
        <v>70</v>
      </c>
      <c r="HP118" s="214" t="s">
        <v>530</v>
      </c>
      <c r="HR118" s="22" t="s">
        <v>8137</v>
      </c>
      <c r="HS118" s="22" t="s">
        <v>34575</v>
      </c>
      <c r="HT118" s="22" t="s">
        <v>70</v>
      </c>
      <c r="HU118" s="214" t="s">
        <v>530</v>
      </c>
      <c r="HW118" s="22" t="s">
        <v>8138</v>
      </c>
      <c r="HX118" s="22" t="s">
        <v>468</v>
      </c>
      <c r="HY118" s="22" t="s">
        <v>70</v>
      </c>
      <c r="HZ118" s="214" t="s">
        <v>530</v>
      </c>
      <c r="IB118" s="22" t="s">
        <v>8139</v>
      </c>
      <c r="IC118" s="22" t="s">
        <v>164</v>
      </c>
      <c r="ID118" s="22" t="s">
        <v>70</v>
      </c>
      <c r="IE118" s="214" t="s">
        <v>530</v>
      </c>
      <c r="IG118" s="22" t="s">
        <v>8140</v>
      </c>
      <c r="IH118" s="22" t="s">
        <v>52</v>
      </c>
      <c r="II118" s="22" t="s">
        <v>70</v>
      </c>
      <c r="IJ118" s="214" t="s">
        <v>530</v>
      </c>
      <c r="IL118" s="22" t="s">
        <v>8141</v>
      </c>
      <c r="IM118" s="22" t="s">
        <v>145</v>
      </c>
      <c r="IN118" s="22" t="s">
        <v>70</v>
      </c>
      <c r="IO118" s="214" t="s">
        <v>530</v>
      </c>
      <c r="IQ118" s="236" t="s">
        <v>8142</v>
      </c>
      <c r="IR118" s="236" t="s">
        <v>145</v>
      </c>
      <c r="IS118" s="236" t="s">
        <v>74</v>
      </c>
      <c r="IT118" s="236" t="s">
        <v>841</v>
      </c>
      <c r="IV118" s="236" t="s">
        <v>8143</v>
      </c>
      <c r="IW118" s="236" t="s">
        <v>145</v>
      </c>
      <c r="IX118" s="236" t="s">
        <v>74</v>
      </c>
      <c r="IY118" s="236" t="s">
        <v>841</v>
      </c>
      <c r="JA118" s="236" t="s">
        <v>8144</v>
      </c>
      <c r="JB118" s="236" t="s">
        <v>145</v>
      </c>
      <c r="JC118" s="236" t="s">
        <v>74</v>
      </c>
      <c r="JD118" s="236" t="s">
        <v>841</v>
      </c>
      <c r="JF118" s="236" t="s">
        <v>8145</v>
      </c>
      <c r="JG118" s="236" t="s">
        <v>145</v>
      </c>
      <c r="JH118" s="236" t="s">
        <v>74</v>
      </c>
      <c r="JI118" s="236" t="s">
        <v>841</v>
      </c>
      <c r="JK118" s="236" t="s">
        <v>8146</v>
      </c>
      <c r="JL118" s="236" t="s">
        <v>145</v>
      </c>
      <c r="JM118" s="236" t="s">
        <v>74</v>
      </c>
      <c r="JN118" s="236" t="s">
        <v>841</v>
      </c>
      <c r="JP118" s="236" t="s">
        <v>8147</v>
      </c>
      <c r="JQ118" s="236" t="s">
        <v>145</v>
      </c>
      <c r="JR118" s="236" t="s">
        <v>74</v>
      </c>
      <c r="JS118" s="236" t="s">
        <v>841</v>
      </c>
      <c r="JU118" s="294" t="s">
        <v>8148</v>
      </c>
      <c r="JV118" s="263" t="s">
        <v>52</v>
      </c>
      <c r="JW118" s="263" t="s">
        <v>70</v>
      </c>
      <c r="JX118" s="263" t="s">
        <v>34230</v>
      </c>
      <c r="JZ118" s="263" t="s">
        <v>8149</v>
      </c>
      <c r="KA118" s="263" t="s">
        <v>145</v>
      </c>
      <c r="KB118" s="263" t="s">
        <v>70</v>
      </c>
      <c r="KC118" s="263" t="s">
        <v>1083</v>
      </c>
      <c r="KE118" s="263" t="s">
        <v>8150</v>
      </c>
      <c r="KF118" s="263" t="s">
        <v>52</v>
      </c>
      <c r="KG118" s="263" t="s">
        <v>70</v>
      </c>
      <c r="KH118" s="263" t="s">
        <v>1083</v>
      </c>
      <c r="KJ118" s="263" t="s">
        <v>8151</v>
      </c>
      <c r="KK118" s="263" t="s">
        <v>52</v>
      </c>
      <c r="KL118" s="263" t="s">
        <v>74</v>
      </c>
      <c r="KM118" s="263" t="s">
        <v>34074</v>
      </c>
      <c r="KO118" s="214" t="s">
        <v>8152</v>
      </c>
      <c r="KP118" s="214" t="s">
        <v>145</v>
      </c>
      <c r="KQ118" s="214" t="s">
        <v>70</v>
      </c>
      <c r="KR118" s="214" t="s">
        <v>67</v>
      </c>
      <c r="KT118" s="22" t="s">
        <v>8153</v>
      </c>
      <c r="KU118" s="22" t="s">
        <v>145</v>
      </c>
      <c r="KV118" s="22" t="s">
        <v>70</v>
      </c>
      <c r="KW118" s="22" t="s">
        <v>67</v>
      </c>
      <c r="KY118" s="214" t="s">
        <v>8154</v>
      </c>
      <c r="KZ118" s="214" t="s">
        <v>52</v>
      </c>
      <c r="LA118" s="214" t="s">
        <v>74</v>
      </c>
      <c r="LB118" s="214" t="s">
        <v>67</v>
      </c>
      <c r="LD118" s="22" t="s">
        <v>8155</v>
      </c>
      <c r="LE118" s="22" t="s">
        <v>145</v>
      </c>
      <c r="LF118" s="22" t="s">
        <v>70</v>
      </c>
      <c r="LG118" s="22" t="s">
        <v>67</v>
      </c>
    </row>
    <row r="119" spans="1:319">
      <c r="A119" s="22" t="s">
        <v>8156</v>
      </c>
      <c r="B119" s="22" t="s">
        <v>145</v>
      </c>
      <c r="C119" s="22" t="s">
        <v>70</v>
      </c>
      <c r="D119" s="22" t="s">
        <v>67</v>
      </c>
      <c r="F119" s="23" t="s">
        <v>8157</v>
      </c>
      <c r="G119" s="23" t="str">
        <f>TVIIBE1M_CalPairs!$E116</f>
        <v>0xA2</v>
      </c>
      <c r="H119" s="23" t="s">
        <v>72</v>
      </c>
      <c r="I119" s="23" t="str">
        <f>TVIIBE1M_CalPairs!$C116</f>
        <v>PWR_TRIM_HT_BODVDDA_CTL2_VAL0</v>
      </c>
      <c r="K119" s="22" t="s">
        <v>8158</v>
      </c>
      <c r="L119" s="22" t="s">
        <v>145</v>
      </c>
      <c r="M119" s="22" t="s">
        <v>70</v>
      </c>
      <c r="N119" s="22" t="s">
        <v>67</v>
      </c>
      <c r="P119" s="394" t="s">
        <v>8159</v>
      </c>
      <c r="Q119" s="394" t="s">
        <v>145</v>
      </c>
      <c r="R119" s="394" t="s">
        <v>72</v>
      </c>
      <c r="S119" s="394" t="s">
        <v>34698</v>
      </c>
      <c r="U119" s="293" t="s">
        <v>8160</v>
      </c>
      <c r="V119" s="293" t="s">
        <v>145</v>
      </c>
      <c r="W119" s="293" t="s">
        <v>74</v>
      </c>
      <c r="X119" s="293" t="s">
        <v>656</v>
      </c>
      <c r="Z119" s="293" t="s">
        <v>8161</v>
      </c>
      <c r="AA119" s="293" t="s">
        <v>145</v>
      </c>
      <c r="AB119" s="293" t="s">
        <v>74</v>
      </c>
      <c r="AC119" s="293" t="s">
        <v>656</v>
      </c>
      <c r="AE119" s="293" t="s">
        <v>8162</v>
      </c>
      <c r="AF119" s="293" t="s">
        <v>145</v>
      </c>
      <c r="AG119" s="293" t="s">
        <v>74</v>
      </c>
      <c r="AH119" s="293" t="s">
        <v>656</v>
      </c>
      <c r="AJ119" s="293" t="s">
        <v>8163</v>
      </c>
      <c r="AK119" s="293" t="s">
        <v>145</v>
      </c>
      <c r="AL119" s="293" t="s">
        <v>74</v>
      </c>
      <c r="AM119" s="293" t="s">
        <v>656</v>
      </c>
      <c r="AO119" s="22" t="s">
        <v>8164</v>
      </c>
      <c r="AP119" s="22" t="s">
        <v>145</v>
      </c>
      <c r="AQ119" s="22" t="s">
        <v>70</v>
      </c>
      <c r="AR119" s="22" t="s">
        <v>67</v>
      </c>
      <c r="AT119" s="22" t="s">
        <v>8165</v>
      </c>
      <c r="AU119" s="22" t="s">
        <v>145</v>
      </c>
      <c r="AV119" s="22" t="s">
        <v>70</v>
      </c>
      <c r="AW119" s="22" t="s">
        <v>67</v>
      </c>
      <c r="AY119" s="22" t="s">
        <v>8166</v>
      </c>
      <c r="AZ119" s="22" t="s">
        <v>145</v>
      </c>
      <c r="BA119" s="22" t="s">
        <v>70</v>
      </c>
      <c r="BB119" s="22" t="s">
        <v>67</v>
      </c>
      <c r="BD119" s="22" t="s">
        <v>8167</v>
      </c>
      <c r="BE119" s="22" t="s">
        <v>145</v>
      </c>
      <c r="BF119" s="22" t="s">
        <v>70</v>
      </c>
      <c r="BG119" s="22" t="s">
        <v>67</v>
      </c>
      <c r="BI119" s="22" t="s">
        <v>8168</v>
      </c>
      <c r="BJ119" s="22" t="s">
        <v>145</v>
      </c>
      <c r="BK119" s="22" t="s">
        <v>70</v>
      </c>
      <c r="BL119" s="22" t="s">
        <v>67</v>
      </c>
      <c r="BN119" s="22" t="s">
        <v>8169</v>
      </c>
      <c r="BO119" s="22" t="s">
        <v>145</v>
      </c>
      <c r="BP119" s="22" t="s">
        <v>70</v>
      </c>
      <c r="BQ119" s="22" t="s">
        <v>67</v>
      </c>
      <c r="BS119" s="22" t="s">
        <v>8170</v>
      </c>
      <c r="BT119" s="22" t="s">
        <v>145</v>
      </c>
      <c r="BU119" s="22" t="s">
        <v>70</v>
      </c>
      <c r="BV119" s="214" t="s">
        <v>530</v>
      </c>
      <c r="BX119" s="22" t="s">
        <v>8171</v>
      </c>
      <c r="BY119" s="22" t="s">
        <v>145</v>
      </c>
      <c r="BZ119" s="22" t="s">
        <v>70</v>
      </c>
      <c r="CA119" s="214" t="s">
        <v>530</v>
      </c>
      <c r="CC119" s="214" t="s">
        <v>8172</v>
      </c>
      <c r="CD119" s="218" t="s">
        <v>145</v>
      </c>
      <c r="CE119" s="214" t="s">
        <v>70</v>
      </c>
      <c r="CF119" s="214" t="s">
        <v>414</v>
      </c>
      <c r="CH119" s="214" t="s">
        <v>8173</v>
      </c>
      <c r="CI119" s="214" t="s">
        <v>950</v>
      </c>
      <c r="CJ119" s="214" t="s">
        <v>70</v>
      </c>
      <c r="CK119" s="214" t="s">
        <v>530</v>
      </c>
      <c r="CM119" s="214" t="s">
        <v>8174</v>
      </c>
      <c r="CN119" s="214" t="s">
        <v>34558</v>
      </c>
      <c r="CO119" s="214" t="s">
        <v>70</v>
      </c>
      <c r="CP119" s="214" t="s">
        <v>530</v>
      </c>
      <c r="CR119" s="214" t="s">
        <v>8175</v>
      </c>
      <c r="CS119" s="214" t="s">
        <v>484</v>
      </c>
      <c r="CT119" s="214" t="s">
        <v>70</v>
      </c>
      <c r="CU119" s="214" t="s">
        <v>530</v>
      </c>
      <c r="CW119" s="214" t="s">
        <v>8176</v>
      </c>
      <c r="CX119" s="214" t="s">
        <v>600</v>
      </c>
      <c r="CY119" s="214" t="s">
        <v>70</v>
      </c>
      <c r="CZ119" s="214" t="s">
        <v>530</v>
      </c>
      <c r="DB119" s="214" t="s">
        <v>8177</v>
      </c>
      <c r="DC119" s="214" t="s">
        <v>34561</v>
      </c>
      <c r="DD119" s="214" t="s">
        <v>70</v>
      </c>
      <c r="DE119" s="214" t="s">
        <v>530</v>
      </c>
      <c r="DG119" s="214" t="s">
        <v>8178</v>
      </c>
      <c r="DH119" s="214" t="s">
        <v>910</v>
      </c>
      <c r="DI119" s="214" t="s">
        <v>70</v>
      </c>
      <c r="DJ119" s="214" t="s">
        <v>530</v>
      </c>
      <c r="DL119" s="214" t="s">
        <v>8179</v>
      </c>
      <c r="DM119" s="214" t="s">
        <v>600</v>
      </c>
      <c r="DN119" s="214" t="s">
        <v>70</v>
      </c>
      <c r="DO119" s="214" t="s">
        <v>530</v>
      </c>
      <c r="DQ119" s="214" t="s">
        <v>8180</v>
      </c>
      <c r="DR119" s="214" t="s">
        <v>52</v>
      </c>
      <c r="DS119" s="214" t="s">
        <v>70</v>
      </c>
      <c r="DT119" s="214" t="s">
        <v>530</v>
      </c>
      <c r="DV119" s="214" t="s">
        <v>8181</v>
      </c>
      <c r="DW119" s="214" t="s">
        <v>34558</v>
      </c>
      <c r="DX119" s="214" t="s">
        <v>70</v>
      </c>
      <c r="DY119" s="214" t="s">
        <v>530</v>
      </c>
      <c r="EA119" s="214" t="s">
        <v>8182</v>
      </c>
      <c r="EB119" s="214" t="s">
        <v>912</v>
      </c>
      <c r="EC119" s="214" t="s">
        <v>70</v>
      </c>
      <c r="ED119" s="214" t="s">
        <v>530</v>
      </c>
      <c r="EF119" s="214" t="s">
        <v>8183</v>
      </c>
      <c r="EG119" s="214" t="s">
        <v>496</v>
      </c>
      <c r="EH119" s="214" t="s">
        <v>70</v>
      </c>
      <c r="EI119" s="214" t="s">
        <v>530</v>
      </c>
      <c r="EK119" s="214" t="s">
        <v>8184</v>
      </c>
      <c r="EL119" s="214" t="s">
        <v>502</v>
      </c>
      <c r="EM119" s="214" t="s">
        <v>70</v>
      </c>
      <c r="EN119" s="214" t="s">
        <v>530</v>
      </c>
      <c r="EP119" s="214" t="s">
        <v>8185</v>
      </c>
      <c r="EQ119" s="214" t="s">
        <v>52</v>
      </c>
      <c r="ER119" s="214" t="s">
        <v>70</v>
      </c>
      <c r="ES119" s="214" t="s">
        <v>530</v>
      </c>
      <c r="EU119" s="214" t="s">
        <v>8186</v>
      </c>
      <c r="EV119" s="214" t="s">
        <v>921</v>
      </c>
      <c r="EW119" s="214" t="s">
        <v>70</v>
      </c>
      <c r="EX119" s="214" t="s">
        <v>530</v>
      </c>
      <c r="EZ119" s="214" t="s">
        <v>8187</v>
      </c>
      <c r="FA119" s="214" t="s">
        <v>599</v>
      </c>
      <c r="FB119" s="214" t="s">
        <v>70</v>
      </c>
      <c r="FC119" s="214" t="s">
        <v>530</v>
      </c>
      <c r="FE119" s="214" t="s">
        <v>8188</v>
      </c>
      <c r="FF119" s="214" t="s">
        <v>52</v>
      </c>
      <c r="FG119" s="214" t="s">
        <v>70</v>
      </c>
      <c r="FH119" s="214" t="s">
        <v>530</v>
      </c>
      <c r="FJ119" s="321" t="s">
        <v>8189</v>
      </c>
      <c r="FK119" s="214" t="s">
        <v>484</v>
      </c>
      <c r="FL119" s="214" t="s">
        <v>70</v>
      </c>
      <c r="FM119" s="214" t="s">
        <v>530</v>
      </c>
      <c r="FO119" s="321" t="s">
        <v>8190</v>
      </c>
      <c r="FP119" s="214" t="s">
        <v>488</v>
      </c>
      <c r="FQ119" s="214" t="s">
        <v>70</v>
      </c>
      <c r="FR119" s="214" t="s">
        <v>530</v>
      </c>
      <c r="FT119" s="321" t="s">
        <v>8191</v>
      </c>
      <c r="FU119" s="214" t="s">
        <v>501</v>
      </c>
      <c r="FV119" s="214" t="s">
        <v>70</v>
      </c>
      <c r="FW119" s="214" t="s">
        <v>530</v>
      </c>
      <c r="FY119" s="321" t="s">
        <v>8192</v>
      </c>
      <c r="FZ119" s="214" t="s">
        <v>481</v>
      </c>
      <c r="GA119" s="214" t="s">
        <v>70</v>
      </c>
      <c r="GB119" s="214" t="s">
        <v>530</v>
      </c>
      <c r="GD119" s="321" t="s">
        <v>8193</v>
      </c>
      <c r="GE119" s="214" t="s">
        <v>921</v>
      </c>
      <c r="GF119" s="214" t="s">
        <v>70</v>
      </c>
      <c r="GG119" s="214" t="s">
        <v>530</v>
      </c>
      <c r="GI119" s="321" t="s">
        <v>8194</v>
      </c>
      <c r="GJ119" s="214" t="s">
        <v>921</v>
      </c>
      <c r="GK119" s="214" t="s">
        <v>70</v>
      </c>
      <c r="GL119" s="214" t="s">
        <v>530</v>
      </c>
      <c r="GN119" s="321" t="s">
        <v>8195</v>
      </c>
      <c r="GO119" s="214" t="s">
        <v>955</v>
      </c>
      <c r="GP119" s="214" t="s">
        <v>70</v>
      </c>
      <c r="GQ119" s="214" t="s">
        <v>530</v>
      </c>
      <c r="GS119" s="321" t="s">
        <v>8196</v>
      </c>
      <c r="GT119" s="214" t="s">
        <v>146</v>
      </c>
      <c r="GU119" s="214" t="s">
        <v>70</v>
      </c>
      <c r="GV119" s="214" t="s">
        <v>530</v>
      </c>
      <c r="GX119" s="214" t="s">
        <v>8197</v>
      </c>
      <c r="GY119" s="214" t="s">
        <v>52</v>
      </c>
      <c r="GZ119" s="214" t="s">
        <v>70</v>
      </c>
      <c r="HA119" s="214" t="s">
        <v>530</v>
      </c>
      <c r="HC119" s="214" t="s">
        <v>8198</v>
      </c>
      <c r="HD119" s="214" t="s">
        <v>501</v>
      </c>
      <c r="HE119" s="214" t="s">
        <v>70</v>
      </c>
      <c r="HF119" s="214" t="s">
        <v>530</v>
      </c>
      <c r="HH119" s="214" t="s">
        <v>8199</v>
      </c>
      <c r="HI119" s="214" t="s">
        <v>484</v>
      </c>
      <c r="HJ119" s="214" t="s">
        <v>70</v>
      </c>
      <c r="HK119" s="214" t="s">
        <v>530</v>
      </c>
      <c r="HM119" s="214" t="s">
        <v>8200</v>
      </c>
      <c r="HN119" s="214" t="s">
        <v>34556</v>
      </c>
      <c r="HO119" s="214" t="s">
        <v>70</v>
      </c>
      <c r="HP119" s="214" t="s">
        <v>530</v>
      </c>
      <c r="HR119" s="22" t="s">
        <v>8201</v>
      </c>
      <c r="HS119" s="22" t="s">
        <v>204</v>
      </c>
      <c r="HT119" s="22" t="s">
        <v>70</v>
      </c>
      <c r="HU119" s="214" t="s">
        <v>530</v>
      </c>
      <c r="HW119" s="22" t="s">
        <v>8202</v>
      </c>
      <c r="HX119" s="22" t="s">
        <v>52</v>
      </c>
      <c r="HY119" s="22" t="s">
        <v>70</v>
      </c>
      <c r="HZ119" s="214" t="s">
        <v>530</v>
      </c>
      <c r="IB119" s="22" t="s">
        <v>8203</v>
      </c>
      <c r="IC119" s="22" t="s">
        <v>468</v>
      </c>
      <c r="ID119" s="22" t="s">
        <v>70</v>
      </c>
      <c r="IE119" s="214" t="s">
        <v>530</v>
      </c>
      <c r="IG119" s="22" t="s">
        <v>8204</v>
      </c>
      <c r="IH119" s="22" t="s">
        <v>52</v>
      </c>
      <c r="II119" s="22" t="s">
        <v>70</v>
      </c>
      <c r="IJ119" s="214" t="s">
        <v>530</v>
      </c>
      <c r="IL119" s="22" t="s">
        <v>8205</v>
      </c>
      <c r="IM119" s="22" t="s">
        <v>145</v>
      </c>
      <c r="IN119" s="22" t="s">
        <v>70</v>
      </c>
      <c r="IO119" s="214" t="s">
        <v>530</v>
      </c>
      <c r="IQ119" s="236" t="s">
        <v>8206</v>
      </c>
      <c r="IR119" s="236" t="s">
        <v>145</v>
      </c>
      <c r="IS119" s="236" t="s">
        <v>74</v>
      </c>
      <c r="IT119" s="236" t="s">
        <v>841</v>
      </c>
      <c r="IV119" s="236" t="s">
        <v>8207</v>
      </c>
      <c r="IW119" s="236" t="s">
        <v>145</v>
      </c>
      <c r="IX119" s="236" t="s">
        <v>74</v>
      </c>
      <c r="IY119" s="236" t="s">
        <v>841</v>
      </c>
      <c r="JA119" s="236" t="s">
        <v>8208</v>
      </c>
      <c r="JB119" s="236" t="s">
        <v>145</v>
      </c>
      <c r="JC119" s="236" t="s">
        <v>74</v>
      </c>
      <c r="JD119" s="236" t="s">
        <v>841</v>
      </c>
      <c r="JF119" s="236" t="s">
        <v>8209</v>
      </c>
      <c r="JG119" s="236" t="s">
        <v>145</v>
      </c>
      <c r="JH119" s="236" t="s">
        <v>74</v>
      </c>
      <c r="JI119" s="236" t="s">
        <v>841</v>
      </c>
      <c r="JK119" s="236" t="s">
        <v>8210</v>
      </c>
      <c r="JL119" s="236" t="s">
        <v>145</v>
      </c>
      <c r="JM119" s="236" t="s">
        <v>74</v>
      </c>
      <c r="JN119" s="236" t="s">
        <v>841</v>
      </c>
      <c r="JP119" s="236" t="s">
        <v>8211</v>
      </c>
      <c r="JQ119" s="236" t="s">
        <v>145</v>
      </c>
      <c r="JR119" s="236" t="s">
        <v>74</v>
      </c>
      <c r="JS119" s="236" t="s">
        <v>841</v>
      </c>
      <c r="JU119" s="294" t="s">
        <v>8212</v>
      </c>
      <c r="JV119" s="263" t="s">
        <v>52</v>
      </c>
      <c r="JW119" s="263" t="s">
        <v>70</v>
      </c>
      <c r="JX119" s="263" t="s">
        <v>34231</v>
      </c>
      <c r="JZ119" s="263" t="s">
        <v>8213</v>
      </c>
      <c r="KA119" s="263" t="s">
        <v>145</v>
      </c>
      <c r="KB119" s="263" t="s">
        <v>70</v>
      </c>
      <c r="KC119" s="263" t="s">
        <v>1083</v>
      </c>
      <c r="KE119" s="263" t="s">
        <v>8214</v>
      </c>
      <c r="KF119" s="263" t="s">
        <v>52</v>
      </c>
      <c r="KG119" s="263" t="s">
        <v>70</v>
      </c>
      <c r="KH119" s="263" t="s">
        <v>1083</v>
      </c>
      <c r="KJ119" s="263" t="s">
        <v>8215</v>
      </c>
      <c r="KK119" s="263" t="s">
        <v>52</v>
      </c>
      <c r="KL119" s="263" t="s">
        <v>74</v>
      </c>
      <c r="KM119" s="263" t="s">
        <v>34074</v>
      </c>
      <c r="KO119" s="214" t="s">
        <v>8216</v>
      </c>
      <c r="KP119" s="214" t="s">
        <v>145</v>
      </c>
      <c r="KQ119" s="214" t="s">
        <v>70</v>
      </c>
      <c r="KR119" s="214" t="s">
        <v>67</v>
      </c>
      <c r="KT119" s="22" t="s">
        <v>8217</v>
      </c>
      <c r="KU119" s="22" t="s">
        <v>145</v>
      </c>
      <c r="KV119" s="22" t="s">
        <v>70</v>
      </c>
      <c r="KW119" s="22" t="s">
        <v>67</v>
      </c>
      <c r="KY119" s="214" t="s">
        <v>8218</v>
      </c>
      <c r="KZ119" s="214" t="s">
        <v>52</v>
      </c>
      <c r="LA119" s="214" t="s">
        <v>74</v>
      </c>
      <c r="LB119" s="214" t="s">
        <v>67</v>
      </c>
      <c r="LD119" s="22" t="s">
        <v>8219</v>
      </c>
      <c r="LE119" s="22" t="s">
        <v>145</v>
      </c>
      <c r="LF119" s="22" t="s">
        <v>70</v>
      </c>
      <c r="LG119" s="22" t="s">
        <v>67</v>
      </c>
    </row>
    <row r="120" spans="1:319">
      <c r="A120" s="22" t="s">
        <v>8220</v>
      </c>
      <c r="B120" s="22" t="s">
        <v>145</v>
      </c>
      <c r="C120" s="22" t="s">
        <v>70</v>
      </c>
      <c r="D120" s="22" t="s">
        <v>67</v>
      </c>
      <c r="F120" s="23" t="s">
        <v>8221</v>
      </c>
      <c r="G120" s="23" t="str">
        <f>TVIIBE1M_CalPairs!$E117</f>
        <v>0x00</v>
      </c>
      <c r="H120" s="23" t="s">
        <v>72</v>
      </c>
      <c r="I120" s="23" t="str">
        <f>TVIIBE1M_CalPairs!$C117</f>
        <v>PWR_TRIM_HT_BODVDDA_CTL2_VAL1</v>
      </c>
      <c r="K120" s="22" t="s">
        <v>8222</v>
      </c>
      <c r="L120" s="22" t="s">
        <v>145</v>
      </c>
      <c r="M120" s="22" t="s">
        <v>70</v>
      </c>
      <c r="N120" s="22" t="s">
        <v>67</v>
      </c>
      <c r="P120" s="394" t="s">
        <v>8223</v>
      </c>
      <c r="Q120" s="394" t="s">
        <v>145</v>
      </c>
      <c r="R120" s="394" t="s">
        <v>72</v>
      </c>
      <c r="S120" s="394" t="s">
        <v>34699</v>
      </c>
      <c r="U120" s="293" t="s">
        <v>8224</v>
      </c>
      <c r="V120" s="293" t="s">
        <v>145</v>
      </c>
      <c r="W120" s="293" t="s">
        <v>74</v>
      </c>
      <c r="X120" s="293" t="s">
        <v>656</v>
      </c>
      <c r="Z120" s="293" t="s">
        <v>8225</v>
      </c>
      <c r="AA120" s="293" t="s">
        <v>145</v>
      </c>
      <c r="AB120" s="293" t="s">
        <v>74</v>
      </c>
      <c r="AC120" s="293" t="s">
        <v>656</v>
      </c>
      <c r="AE120" s="293" t="s">
        <v>8226</v>
      </c>
      <c r="AF120" s="293" t="s">
        <v>145</v>
      </c>
      <c r="AG120" s="293" t="s">
        <v>74</v>
      </c>
      <c r="AH120" s="293" t="s">
        <v>656</v>
      </c>
      <c r="AJ120" s="293" t="s">
        <v>8227</v>
      </c>
      <c r="AK120" s="293" t="s">
        <v>145</v>
      </c>
      <c r="AL120" s="293" t="s">
        <v>74</v>
      </c>
      <c r="AM120" s="293" t="s">
        <v>656</v>
      </c>
      <c r="AO120" s="22" t="s">
        <v>8228</v>
      </c>
      <c r="AP120" s="22" t="s">
        <v>145</v>
      </c>
      <c r="AQ120" s="22" t="s">
        <v>70</v>
      </c>
      <c r="AR120" s="22" t="s">
        <v>67</v>
      </c>
      <c r="AT120" s="22" t="s">
        <v>8229</v>
      </c>
      <c r="AU120" s="22" t="s">
        <v>145</v>
      </c>
      <c r="AV120" s="22" t="s">
        <v>70</v>
      </c>
      <c r="AW120" s="22" t="s">
        <v>67</v>
      </c>
      <c r="AY120" s="22" t="s">
        <v>8230</v>
      </c>
      <c r="AZ120" s="22" t="s">
        <v>145</v>
      </c>
      <c r="BA120" s="22" t="s">
        <v>70</v>
      </c>
      <c r="BB120" s="22" t="s">
        <v>67</v>
      </c>
      <c r="BD120" s="22" t="s">
        <v>8231</v>
      </c>
      <c r="BE120" s="22" t="s">
        <v>145</v>
      </c>
      <c r="BF120" s="22" t="s">
        <v>70</v>
      </c>
      <c r="BG120" s="22" t="s">
        <v>67</v>
      </c>
      <c r="BI120" s="22" t="s">
        <v>8232</v>
      </c>
      <c r="BJ120" s="22" t="s">
        <v>145</v>
      </c>
      <c r="BK120" s="22" t="s">
        <v>70</v>
      </c>
      <c r="BL120" s="22" t="s">
        <v>67</v>
      </c>
      <c r="BN120" s="22" t="s">
        <v>8233</v>
      </c>
      <c r="BO120" s="22" t="s">
        <v>145</v>
      </c>
      <c r="BP120" s="22" t="s">
        <v>70</v>
      </c>
      <c r="BQ120" s="22" t="s">
        <v>67</v>
      </c>
      <c r="BS120" s="22" t="s">
        <v>8234</v>
      </c>
      <c r="BT120" s="22" t="s">
        <v>145</v>
      </c>
      <c r="BU120" s="22" t="s">
        <v>70</v>
      </c>
      <c r="BV120" s="214" t="s">
        <v>530</v>
      </c>
      <c r="BX120" s="22" t="s">
        <v>8235</v>
      </c>
      <c r="BY120" s="22" t="s">
        <v>145</v>
      </c>
      <c r="BZ120" s="22" t="s">
        <v>70</v>
      </c>
      <c r="CA120" s="214" t="s">
        <v>530</v>
      </c>
      <c r="CC120" s="214" t="s">
        <v>8236</v>
      </c>
      <c r="CD120" s="218" t="s">
        <v>145</v>
      </c>
      <c r="CE120" s="214" t="s">
        <v>70</v>
      </c>
      <c r="CF120" s="214" t="s">
        <v>415</v>
      </c>
      <c r="CH120" s="214" t="s">
        <v>8237</v>
      </c>
      <c r="CI120" s="214" t="s">
        <v>917</v>
      </c>
      <c r="CJ120" s="214" t="s">
        <v>70</v>
      </c>
      <c r="CK120" s="214" t="s">
        <v>530</v>
      </c>
      <c r="CM120" s="214" t="s">
        <v>8238</v>
      </c>
      <c r="CN120" s="214" t="s">
        <v>34585</v>
      </c>
      <c r="CO120" s="214" t="s">
        <v>70</v>
      </c>
      <c r="CP120" s="214" t="s">
        <v>530</v>
      </c>
      <c r="CR120" s="214" t="s">
        <v>8239</v>
      </c>
      <c r="CS120" s="214" t="s">
        <v>204</v>
      </c>
      <c r="CT120" s="214" t="s">
        <v>70</v>
      </c>
      <c r="CU120" s="214" t="s">
        <v>530</v>
      </c>
      <c r="CW120" s="214" t="s">
        <v>8240</v>
      </c>
      <c r="CX120" s="214" t="s">
        <v>52</v>
      </c>
      <c r="CY120" s="214" t="s">
        <v>70</v>
      </c>
      <c r="CZ120" s="214" t="s">
        <v>530</v>
      </c>
      <c r="DB120" s="214" t="s">
        <v>8241</v>
      </c>
      <c r="DC120" s="214" t="s">
        <v>34558</v>
      </c>
      <c r="DD120" s="214" t="s">
        <v>70</v>
      </c>
      <c r="DE120" s="214" t="s">
        <v>530</v>
      </c>
      <c r="DG120" s="214" t="s">
        <v>8242</v>
      </c>
      <c r="DH120" s="214" t="s">
        <v>164</v>
      </c>
      <c r="DI120" s="214" t="s">
        <v>70</v>
      </c>
      <c r="DJ120" s="214" t="s">
        <v>530</v>
      </c>
      <c r="DL120" s="214" t="s">
        <v>8243</v>
      </c>
      <c r="DM120" s="214" t="s">
        <v>52</v>
      </c>
      <c r="DN120" s="214" t="s">
        <v>70</v>
      </c>
      <c r="DO120" s="214" t="s">
        <v>530</v>
      </c>
      <c r="DQ120" s="214" t="s">
        <v>8244</v>
      </c>
      <c r="DR120" s="214" t="s">
        <v>145</v>
      </c>
      <c r="DS120" s="214" t="s">
        <v>70</v>
      </c>
      <c r="DT120" s="214" t="s">
        <v>530</v>
      </c>
      <c r="DV120" s="214" t="s">
        <v>8245</v>
      </c>
      <c r="DW120" s="214" t="s">
        <v>52</v>
      </c>
      <c r="DX120" s="214" t="s">
        <v>70</v>
      </c>
      <c r="DY120" s="214" t="s">
        <v>530</v>
      </c>
      <c r="EA120" s="214" t="s">
        <v>8246</v>
      </c>
      <c r="EB120" s="214" t="s">
        <v>148</v>
      </c>
      <c r="EC120" s="214" t="s">
        <v>70</v>
      </c>
      <c r="ED120" s="214" t="s">
        <v>530</v>
      </c>
      <c r="EF120" s="214" t="s">
        <v>8247</v>
      </c>
      <c r="EG120" s="214" t="s">
        <v>164</v>
      </c>
      <c r="EH120" s="214" t="s">
        <v>70</v>
      </c>
      <c r="EI120" s="214" t="s">
        <v>530</v>
      </c>
      <c r="EK120" s="214" t="s">
        <v>8248</v>
      </c>
      <c r="EL120" s="214" t="s">
        <v>949</v>
      </c>
      <c r="EM120" s="214" t="s">
        <v>70</v>
      </c>
      <c r="EN120" s="214" t="s">
        <v>530</v>
      </c>
      <c r="EP120" s="214" t="s">
        <v>8249</v>
      </c>
      <c r="EQ120" s="214" t="s">
        <v>87</v>
      </c>
      <c r="ER120" s="214" t="s">
        <v>70</v>
      </c>
      <c r="ES120" s="214" t="s">
        <v>530</v>
      </c>
      <c r="EU120" s="214" t="s">
        <v>8250</v>
      </c>
      <c r="EV120" s="214" t="s">
        <v>148</v>
      </c>
      <c r="EW120" s="214" t="s">
        <v>70</v>
      </c>
      <c r="EX120" s="214" t="s">
        <v>530</v>
      </c>
      <c r="EZ120" s="214" t="s">
        <v>8251</v>
      </c>
      <c r="FA120" s="214" t="s">
        <v>34637</v>
      </c>
      <c r="FB120" s="214" t="s">
        <v>70</v>
      </c>
      <c r="FC120" s="214" t="s">
        <v>530</v>
      </c>
      <c r="FE120" s="214" t="s">
        <v>8252</v>
      </c>
      <c r="FF120" s="214" t="s">
        <v>148</v>
      </c>
      <c r="FG120" s="214" t="s">
        <v>70</v>
      </c>
      <c r="FH120" s="214" t="s">
        <v>530</v>
      </c>
      <c r="FJ120" s="321" t="s">
        <v>8253</v>
      </c>
      <c r="FK120" s="214" t="s">
        <v>34565</v>
      </c>
      <c r="FL120" s="214" t="s">
        <v>70</v>
      </c>
      <c r="FM120" s="214" t="s">
        <v>530</v>
      </c>
      <c r="FO120" s="321" t="s">
        <v>8254</v>
      </c>
      <c r="FP120" s="214" t="s">
        <v>52</v>
      </c>
      <c r="FQ120" s="214" t="s">
        <v>70</v>
      </c>
      <c r="FR120" s="214" t="s">
        <v>530</v>
      </c>
      <c r="FT120" s="321" t="s">
        <v>8255</v>
      </c>
      <c r="FU120" s="214" t="s">
        <v>149</v>
      </c>
      <c r="FV120" s="214" t="s">
        <v>70</v>
      </c>
      <c r="FW120" s="214" t="s">
        <v>530</v>
      </c>
      <c r="FY120" s="321" t="s">
        <v>8256</v>
      </c>
      <c r="FZ120" s="214" t="s">
        <v>927</v>
      </c>
      <c r="GA120" s="214" t="s">
        <v>70</v>
      </c>
      <c r="GB120" s="214" t="s">
        <v>530</v>
      </c>
      <c r="GD120" s="321" t="s">
        <v>8257</v>
      </c>
      <c r="GE120" s="214" t="s">
        <v>204</v>
      </c>
      <c r="GF120" s="214" t="s">
        <v>70</v>
      </c>
      <c r="GG120" s="214" t="s">
        <v>530</v>
      </c>
      <c r="GI120" s="321" t="s">
        <v>8258</v>
      </c>
      <c r="GJ120" s="214" t="s">
        <v>148</v>
      </c>
      <c r="GK120" s="214" t="s">
        <v>70</v>
      </c>
      <c r="GL120" s="214" t="s">
        <v>530</v>
      </c>
      <c r="GN120" s="321" t="s">
        <v>8259</v>
      </c>
      <c r="GO120" s="214" t="s">
        <v>52</v>
      </c>
      <c r="GP120" s="214" t="s">
        <v>70</v>
      </c>
      <c r="GQ120" s="214" t="s">
        <v>530</v>
      </c>
      <c r="GS120" s="321" t="s">
        <v>8260</v>
      </c>
      <c r="GT120" s="214" t="s">
        <v>148</v>
      </c>
      <c r="GU120" s="214" t="s">
        <v>70</v>
      </c>
      <c r="GV120" s="214" t="s">
        <v>530</v>
      </c>
      <c r="GX120" s="214" t="s">
        <v>8261</v>
      </c>
      <c r="GY120" s="214" t="s">
        <v>34615</v>
      </c>
      <c r="GZ120" s="214" t="s">
        <v>70</v>
      </c>
      <c r="HA120" s="214" t="s">
        <v>530</v>
      </c>
      <c r="HC120" s="214" t="s">
        <v>8262</v>
      </c>
      <c r="HD120" s="214" t="s">
        <v>52</v>
      </c>
      <c r="HE120" s="214" t="s">
        <v>70</v>
      </c>
      <c r="HF120" s="214" t="s">
        <v>530</v>
      </c>
      <c r="HH120" s="214" t="s">
        <v>8263</v>
      </c>
      <c r="HI120" s="214" t="s">
        <v>52</v>
      </c>
      <c r="HJ120" s="214" t="s">
        <v>70</v>
      </c>
      <c r="HK120" s="214" t="s">
        <v>530</v>
      </c>
      <c r="HM120" s="214" t="s">
        <v>8264</v>
      </c>
      <c r="HN120" s="214" t="s">
        <v>944</v>
      </c>
      <c r="HO120" s="214" t="s">
        <v>70</v>
      </c>
      <c r="HP120" s="214" t="s">
        <v>530</v>
      </c>
      <c r="HR120" s="22" t="s">
        <v>8265</v>
      </c>
      <c r="HS120" s="22" t="s">
        <v>34638</v>
      </c>
      <c r="HT120" s="22" t="s">
        <v>70</v>
      </c>
      <c r="HU120" s="214" t="s">
        <v>530</v>
      </c>
      <c r="HW120" s="22" t="s">
        <v>8266</v>
      </c>
      <c r="HX120" s="22" t="s">
        <v>641</v>
      </c>
      <c r="HY120" s="22" t="s">
        <v>70</v>
      </c>
      <c r="HZ120" s="214" t="s">
        <v>530</v>
      </c>
      <c r="IB120" s="22" t="s">
        <v>8267</v>
      </c>
      <c r="IC120" s="22" t="s">
        <v>34556</v>
      </c>
      <c r="ID120" s="22" t="s">
        <v>70</v>
      </c>
      <c r="IE120" s="214" t="s">
        <v>530</v>
      </c>
      <c r="IG120" s="22" t="s">
        <v>8268</v>
      </c>
      <c r="IH120" s="22" t="s">
        <v>52</v>
      </c>
      <c r="II120" s="22" t="s">
        <v>70</v>
      </c>
      <c r="IJ120" s="214" t="s">
        <v>530</v>
      </c>
      <c r="IL120" s="22" t="s">
        <v>8269</v>
      </c>
      <c r="IM120" s="22" t="s">
        <v>145</v>
      </c>
      <c r="IN120" s="22" t="s">
        <v>70</v>
      </c>
      <c r="IO120" s="214" t="s">
        <v>530</v>
      </c>
      <c r="IQ120" s="236" t="s">
        <v>8270</v>
      </c>
      <c r="IR120" s="236" t="s">
        <v>145</v>
      </c>
      <c r="IS120" s="236" t="s">
        <v>74</v>
      </c>
      <c r="IT120" s="236" t="s">
        <v>841</v>
      </c>
      <c r="IV120" s="236" t="s">
        <v>8271</v>
      </c>
      <c r="IW120" s="236" t="s">
        <v>145</v>
      </c>
      <c r="IX120" s="236" t="s">
        <v>74</v>
      </c>
      <c r="IY120" s="236" t="s">
        <v>841</v>
      </c>
      <c r="JA120" s="236" t="s">
        <v>8272</v>
      </c>
      <c r="JB120" s="236" t="s">
        <v>145</v>
      </c>
      <c r="JC120" s="236" t="s">
        <v>74</v>
      </c>
      <c r="JD120" s="236" t="s">
        <v>841</v>
      </c>
      <c r="JF120" s="236" t="s">
        <v>8273</v>
      </c>
      <c r="JG120" s="236" t="s">
        <v>145</v>
      </c>
      <c r="JH120" s="236" t="s">
        <v>74</v>
      </c>
      <c r="JI120" s="236" t="s">
        <v>841</v>
      </c>
      <c r="JK120" s="236" t="s">
        <v>8274</v>
      </c>
      <c r="JL120" s="236" t="s">
        <v>145</v>
      </c>
      <c r="JM120" s="236" t="s">
        <v>74</v>
      </c>
      <c r="JN120" s="236" t="s">
        <v>841</v>
      </c>
      <c r="JP120" s="236" t="s">
        <v>8275</v>
      </c>
      <c r="JQ120" s="236" t="s">
        <v>145</v>
      </c>
      <c r="JR120" s="236" t="s">
        <v>74</v>
      </c>
      <c r="JS120" s="236" t="s">
        <v>841</v>
      </c>
      <c r="JU120" s="294" t="s">
        <v>8276</v>
      </c>
      <c r="JV120" s="218" t="s">
        <v>919</v>
      </c>
      <c r="JW120" s="263" t="s">
        <v>70</v>
      </c>
      <c r="JX120" s="263" t="s">
        <v>34232</v>
      </c>
      <c r="JZ120" s="263" t="s">
        <v>8277</v>
      </c>
      <c r="KA120" s="263" t="s">
        <v>145</v>
      </c>
      <c r="KB120" s="263" t="s">
        <v>70</v>
      </c>
      <c r="KC120" s="263" t="s">
        <v>1083</v>
      </c>
      <c r="KE120" s="263" t="s">
        <v>8278</v>
      </c>
      <c r="KF120" s="263" t="s">
        <v>52</v>
      </c>
      <c r="KG120" s="263" t="s">
        <v>70</v>
      </c>
      <c r="KH120" s="263" t="s">
        <v>1083</v>
      </c>
      <c r="KJ120" s="263" t="s">
        <v>8279</v>
      </c>
      <c r="KK120" s="263" t="s">
        <v>52</v>
      </c>
      <c r="KL120" s="263" t="s">
        <v>74</v>
      </c>
      <c r="KM120" s="263" t="s">
        <v>34074</v>
      </c>
      <c r="KO120" s="214" t="s">
        <v>8280</v>
      </c>
      <c r="KP120" s="214" t="s">
        <v>145</v>
      </c>
      <c r="KQ120" s="214" t="s">
        <v>70</v>
      </c>
      <c r="KR120" s="214" t="s">
        <v>67</v>
      </c>
      <c r="KT120" s="22" t="s">
        <v>8281</v>
      </c>
      <c r="KU120" s="22" t="s">
        <v>145</v>
      </c>
      <c r="KV120" s="22" t="s">
        <v>70</v>
      </c>
      <c r="KW120" s="22" t="s">
        <v>67</v>
      </c>
      <c r="KY120" s="214" t="s">
        <v>8282</v>
      </c>
      <c r="KZ120" s="214" t="s">
        <v>52</v>
      </c>
      <c r="LA120" s="214" t="s">
        <v>74</v>
      </c>
      <c r="LB120" s="214" t="s">
        <v>67</v>
      </c>
      <c r="LD120" s="22" t="s">
        <v>8283</v>
      </c>
      <c r="LE120" s="22" t="s">
        <v>145</v>
      </c>
      <c r="LF120" s="22" t="s">
        <v>70</v>
      </c>
      <c r="LG120" s="22" t="s">
        <v>67</v>
      </c>
    </row>
    <row r="121" spans="1:319">
      <c r="A121" s="22" t="s">
        <v>8284</v>
      </c>
      <c r="B121" s="22" t="s">
        <v>145</v>
      </c>
      <c r="C121" s="22" t="s">
        <v>70</v>
      </c>
      <c r="D121" s="22" t="s">
        <v>67</v>
      </c>
      <c r="F121" s="23" t="s">
        <v>8285</v>
      </c>
      <c r="G121" s="23" t="str">
        <f>TVIIBE1M_CalPairs!$E118</f>
        <v>0x00</v>
      </c>
      <c r="H121" s="23" t="s">
        <v>72</v>
      </c>
      <c r="I121" s="23" t="str">
        <f>TVIIBE1M_CalPairs!$C118</f>
        <v>PWR_TRIM_HT_BODVDDA_CTL2_VAL2</v>
      </c>
      <c r="K121" s="22" t="s">
        <v>8286</v>
      </c>
      <c r="L121" s="22" t="s">
        <v>145</v>
      </c>
      <c r="M121" s="22" t="s">
        <v>70</v>
      </c>
      <c r="N121" s="22" t="s">
        <v>67</v>
      </c>
      <c r="P121" s="394" t="s">
        <v>8287</v>
      </c>
      <c r="Q121" s="394" t="s">
        <v>145</v>
      </c>
      <c r="R121" s="394" t="s">
        <v>72</v>
      </c>
      <c r="S121" s="394" t="s">
        <v>34699</v>
      </c>
      <c r="U121" s="293" t="s">
        <v>8288</v>
      </c>
      <c r="V121" s="293" t="s">
        <v>145</v>
      </c>
      <c r="W121" s="293" t="s">
        <v>74</v>
      </c>
      <c r="X121" s="293" t="s">
        <v>656</v>
      </c>
      <c r="Z121" s="293" t="s">
        <v>8289</v>
      </c>
      <c r="AA121" s="293" t="s">
        <v>145</v>
      </c>
      <c r="AB121" s="293" t="s">
        <v>74</v>
      </c>
      <c r="AC121" s="293" t="s">
        <v>656</v>
      </c>
      <c r="AE121" s="293" t="s">
        <v>8290</v>
      </c>
      <c r="AF121" s="293" t="s">
        <v>145</v>
      </c>
      <c r="AG121" s="293" t="s">
        <v>74</v>
      </c>
      <c r="AH121" s="293" t="s">
        <v>656</v>
      </c>
      <c r="AJ121" s="293" t="s">
        <v>8291</v>
      </c>
      <c r="AK121" s="293" t="s">
        <v>145</v>
      </c>
      <c r="AL121" s="293" t="s">
        <v>74</v>
      </c>
      <c r="AM121" s="293" t="s">
        <v>656</v>
      </c>
      <c r="AO121" s="22" t="s">
        <v>8292</v>
      </c>
      <c r="AP121" s="22" t="s">
        <v>145</v>
      </c>
      <c r="AQ121" s="22" t="s">
        <v>70</v>
      </c>
      <c r="AR121" s="22" t="s">
        <v>67</v>
      </c>
      <c r="AT121" s="22" t="s">
        <v>8293</v>
      </c>
      <c r="AU121" s="22" t="s">
        <v>145</v>
      </c>
      <c r="AV121" s="22" t="s">
        <v>70</v>
      </c>
      <c r="AW121" s="22" t="s">
        <v>67</v>
      </c>
      <c r="AY121" s="22" t="s">
        <v>8294</v>
      </c>
      <c r="AZ121" s="22" t="s">
        <v>145</v>
      </c>
      <c r="BA121" s="22" t="s">
        <v>70</v>
      </c>
      <c r="BB121" s="22" t="s">
        <v>67</v>
      </c>
      <c r="BD121" s="22" t="s">
        <v>8295</v>
      </c>
      <c r="BE121" s="22" t="s">
        <v>145</v>
      </c>
      <c r="BF121" s="22" t="s">
        <v>70</v>
      </c>
      <c r="BG121" s="22" t="s">
        <v>67</v>
      </c>
      <c r="BI121" s="22" t="s">
        <v>8296</v>
      </c>
      <c r="BJ121" s="22" t="s">
        <v>145</v>
      </c>
      <c r="BK121" s="22" t="s">
        <v>70</v>
      </c>
      <c r="BL121" s="22" t="s">
        <v>67</v>
      </c>
      <c r="BN121" s="22" t="s">
        <v>8297</v>
      </c>
      <c r="BO121" s="22" t="s">
        <v>145</v>
      </c>
      <c r="BP121" s="22" t="s">
        <v>70</v>
      </c>
      <c r="BQ121" s="22" t="s">
        <v>67</v>
      </c>
      <c r="BS121" s="22" t="s">
        <v>8298</v>
      </c>
      <c r="BT121" s="22" t="s">
        <v>145</v>
      </c>
      <c r="BU121" s="22" t="s">
        <v>70</v>
      </c>
      <c r="BV121" s="214" t="s">
        <v>530</v>
      </c>
      <c r="BX121" s="22" t="s">
        <v>8299</v>
      </c>
      <c r="BY121" s="22" t="s">
        <v>145</v>
      </c>
      <c r="BZ121" s="22" t="s">
        <v>70</v>
      </c>
      <c r="CA121" s="214" t="s">
        <v>530</v>
      </c>
      <c r="CC121" s="214" t="s">
        <v>8300</v>
      </c>
      <c r="CD121" s="218" t="s">
        <v>145</v>
      </c>
      <c r="CE121" s="214" t="s">
        <v>70</v>
      </c>
      <c r="CF121" s="214" t="s">
        <v>416</v>
      </c>
      <c r="CH121" s="214" t="s">
        <v>8301</v>
      </c>
      <c r="CI121" s="214" t="s">
        <v>34558</v>
      </c>
      <c r="CJ121" s="214" t="s">
        <v>70</v>
      </c>
      <c r="CK121" s="214" t="s">
        <v>530</v>
      </c>
      <c r="CM121" s="214" t="s">
        <v>8302</v>
      </c>
      <c r="CN121" s="214" t="s">
        <v>34539</v>
      </c>
      <c r="CO121" s="214" t="s">
        <v>70</v>
      </c>
      <c r="CP121" s="214" t="s">
        <v>530</v>
      </c>
      <c r="CR121" s="214" t="s">
        <v>8303</v>
      </c>
      <c r="CS121" s="214" t="s">
        <v>146</v>
      </c>
      <c r="CT121" s="214" t="s">
        <v>70</v>
      </c>
      <c r="CU121" s="214" t="s">
        <v>530</v>
      </c>
      <c r="CW121" s="214" t="s">
        <v>8304</v>
      </c>
      <c r="CX121" s="214" t="s">
        <v>468</v>
      </c>
      <c r="CY121" s="214" t="s">
        <v>70</v>
      </c>
      <c r="CZ121" s="214" t="s">
        <v>530</v>
      </c>
      <c r="DB121" s="214" t="s">
        <v>8305</v>
      </c>
      <c r="DC121" s="214" t="s">
        <v>468</v>
      </c>
      <c r="DD121" s="214" t="s">
        <v>70</v>
      </c>
      <c r="DE121" s="214" t="s">
        <v>530</v>
      </c>
      <c r="DG121" s="214" t="s">
        <v>8306</v>
      </c>
      <c r="DH121" s="214" t="s">
        <v>603</v>
      </c>
      <c r="DI121" s="214" t="s">
        <v>70</v>
      </c>
      <c r="DJ121" s="214" t="s">
        <v>530</v>
      </c>
      <c r="DL121" s="214" t="s">
        <v>8307</v>
      </c>
      <c r="DM121" s="214" t="s">
        <v>52</v>
      </c>
      <c r="DN121" s="214" t="s">
        <v>70</v>
      </c>
      <c r="DO121" s="214" t="s">
        <v>530</v>
      </c>
      <c r="DQ121" s="214" t="s">
        <v>8308</v>
      </c>
      <c r="DR121" s="214" t="s">
        <v>34541</v>
      </c>
      <c r="DS121" s="214" t="s">
        <v>70</v>
      </c>
      <c r="DT121" s="214" t="s">
        <v>530</v>
      </c>
      <c r="DV121" s="214" t="s">
        <v>8309</v>
      </c>
      <c r="DW121" s="214" t="s">
        <v>599</v>
      </c>
      <c r="DX121" s="214" t="s">
        <v>70</v>
      </c>
      <c r="DY121" s="214" t="s">
        <v>530</v>
      </c>
      <c r="EA121" s="214" t="s">
        <v>8310</v>
      </c>
      <c r="EB121" s="214" t="s">
        <v>468</v>
      </c>
      <c r="EC121" s="214" t="s">
        <v>70</v>
      </c>
      <c r="ED121" s="214" t="s">
        <v>530</v>
      </c>
      <c r="EF121" s="214" t="s">
        <v>8311</v>
      </c>
      <c r="EG121" s="214" t="s">
        <v>468</v>
      </c>
      <c r="EH121" s="214" t="s">
        <v>70</v>
      </c>
      <c r="EI121" s="214" t="s">
        <v>530</v>
      </c>
      <c r="EK121" s="214" t="s">
        <v>8312</v>
      </c>
      <c r="EL121" s="214" t="s">
        <v>52</v>
      </c>
      <c r="EM121" s="214" t="s">
        <v>70</v>
      </c>
      <c r="EN121" s="214" t="s">
        <v>530</v>
      </c>
      <c r="EP121" s="214" t="s">
        <v>8313</v>
      </c>
      <c r="EQ121" s="214" t="s">
        <v>599</v>
      </c>
      <c r="ER121" s="214" t="s">
        <v>70</v>
      </c>
      <c r="ES121" s="214" t="s">
        <v>530</v>
      </c>
      <c r="EU121" s="214" t="s">
        <v>8314</v>
      </c>
      <c r="EV121" s="214" t="s">
        <v>34542</v>
      </c>
      <c r="EW121" s="214" t="s">
        <v>70</v>
      </c>
      <c r="EX121" s="214" t="s">
        <v>530</v>
      </c>
      <c r="EZ121" s="214" t="s">
        <v>8315</v>
      </c>
      <c r="FA121" s="214" t="s">
        <v>34573</v>
      </c>
      <c r="FB121" s="214" t="s">
        <v>70</v>
      </c>
      <c r="FC121" s="214" t="s">
        <v>530</v>
      </c>
      <c r="FE121" s="214" t="s">
        <v>8316</v>
      </c>
      <c r="FF121" s="214" t="s">
        <v>34589</v>
      </c>
      <c r="FG121" s="214" t="s">
        <v>70</v>
      </c>
      <c r="FH121" s="214" t="s">
        <v>530</v>
      </c>
      <c r="FJ121" s="321" t="s">
        <v>8317</v>
      </c>
      <c r="FK121" s="214" t="s">
        <v>146</v>
      </c>
      <c r="FL121" s="214" t="s">
        <v>70</v>
      </c>
      <c r="FM121" s="214" t="s">
        <v>530</v>
      </c>
      <c r="FO121" s="321" t="s">
        <v>8318</v>
      </c>
      <c r="FP121" s="214" t="s">
        <v>1028</v>
      </c>
      <c r="FQ121" s="214" t="s">
        <v>70</v>
      </c>
      <c r="FR121" s="214" t="s">
        <v>530</v>
      </c>
      <c r="FT121" s="321" t="s">
        <v>8319</v>
      </c>
      <c r="FU121" s="214" t="s">
        <v>34544</v>
      </c>
      <c r="FV121" s="214" t="s">
        <v>70</v>
      </c>
      <c r="FW121" s="214" t="s">
        <v>530</v>
      </c>
      <c r="FY121" s="321" t="s">
        <v>8320</v>
      </c>
      <c r="FZ121" s="214" t="s">
        <v>206</v>
      </c>
      <c r="GA121" s="214" t="s">
        <v>70</v>
      </c>
      <c r="GB121" s="214" t="s">
        <v>530</v>
      </c>
      <c r="GD121" s="321" t="s">
        <v>8321</v>
      </c>
      <c r="GE121" s="214" t="s">
        <v>34542</v>
      </c>
      <c r="GF121" s="214" t="s">
        <v>70</v>
      </c>
      <c r="GG121" s="214" t="s">
        <v>530</v>
      </c>
      <c r="GI121" s="321" t="s">
        <v>8322</v>
      </c>
      <c r="GJ121" s="214" t="s">
        <v>34544</v>
      </c>
      <c r="GK121" s="214" t="s">
        <v>70</v>
      </c>
      <c r="GL121" s="214" t="s">
        <v>530</v>
      </c>
      <c r="GN121" s="321" t="s">
        <v>8323</v>
      </c>
      <c r="GO121" s="214" t="s">
        <v>485</v>
      </c>
      <c r="GP121" s="214" t="s">
        <v>70</v>
      </c>
      <c r="GQ121" s="214" t="s">
        <v>530</v>
      </c>
      <c r="GS121" s="321" t="s">
        <v>8324</v>
      </c>
      <c r="GT121" s="214" t="s">
        <v>488</v>
      </c>
      <c r="GU121" s="214" t="s">
        <v>70</v>
      </c>
      <c r="GV121" s="214" t="s">
        <v>530</v>
      </c>
      <c r="GX121" s="214" t="s">
        <v>8325</v>
      </c>
      <c r="GY121" s="214" t="s">
        <v>486</v>
      </c>
      <c r="GZ121" s="214" t="s">
        <v>70</v>
      </c>
      <c r="HA121" s="214" t="s">
        <v>530</v>
      </c>
      <c r="HC121" s="214" t="s">
        <v>8326</v>
      </c>
      <c r="HD121" s="214" t="s">
        <v>34544</v>
      </c>
      <c r="HE121" s="214" t="s">
        <v>70</v>
      </c>
      <c r="HF121" s="214" t="s">
        <v>530</v>
      </c>
      <c r="HH121" s="214" t="s">
        <v>8327</v>
      </c>
      <c r="HI121" s="214" t="s">
        <v>85</v>
      </c>
      <c r="HJ121" s="214" t="s">
        <v>70</v>
      </c>
      <c r="HK121" s="214" t="s">
        <v>530</v>
      </c>
      <c r="HM121" s="214" t="s">
        <v>8328</v>
      </c>
      <c r="HN121" s="214" t="s">
        <v>910</v>
      </c>
      <c r="HO121" s="214" t="s">
        <v>70</v>
      </c>
      <c r="HP121" s="214" t="s">
        <v>530</v>
      </c>
      <c r="HR121" s="22" t="s">
        <v>8329</v>
      </c>
      <c r="HS121" s="22" t="s">
        <v>52</v>
      </c>
      <c r="HT121" s="22" t="s">
        <v>70</v>
      </c>
      <c r="HU121" s="214" t="s">
        <v>530</v>
      </c>
      <c r="HW121" s="22" t="s">
        <v>8330</v>
      </c>
      <c r="HX121" s="22" t="s">
        <v>86</v>
      </c>
      <c r="HY121" s="22" t="s">
        <v>70</v>
      </c>
      <c r="HZ121" s="214" t="s">
        <v>530</v>
      </c>
      <c r="IB121" s="22" t="s">
        <v>8331</v>
      </c>
      <c r="IC121" s="22" t="s">
        <v>34541</v>
      </c>
      <c r="ID121" s="22" t="s">
        <v>70</v>
      </c>
      <c r="IE121" s="214" t="s">
        <v>530</v>
      </c>
      <c r="IG121" s="22" t="s">
        <v>8332</v>
      </c>
      <c r="IH121" s="22" t="s">
        <v>52</v>
      </c>
      <c r="II121" s="22" t="s">
        <v>70</v>
      </c>
      <c r="IJ121" s="214" t="s">
        <v>530</v>
      </c>
      <c r="IL121" s="22" t="s">
        <v>8333</v>
      </c>
      <c r="IM121" s="22" t="s">
        <v>145</v>
      </c>
      <c r="IN121" s="22" t="s">
        <v>70</v>
      </c>
      <c r="IO121" s="214" t="s">
        <v>530</v>
      </c>
      <c r="IQ121" s="236" t="s">
        <v>8334</v>
      </c>
      <c r="IR121" s="236" t="s">
        <v>145</v>
      </c>
      <c r="IS121" s="236" t="s">
        <v>74</v>
      </c>
      <c r="IT121" s="236" t="s">
        <v>841</v>
      </c>
      <c r="IV121" s="236" t="s">
        <v>8335</v>
      </c>
      <c r="IW121" s="236" t="s">
        <v>145</v>
      </c>
      <c r="IX121" s="236" t="s">
        <v>74</v>
      </c>
      <c r="IY121" s="236" t="s">
        <v>841</v>
      </c>
      <c r="JA121" s="236" t="s">
        <v>8336</v>
      </c>
      <c r="JB121" s="236" t="s">
        <v>145</v>
      </c>
      <c r="JC121" s="236" t="s">
        <v>74</v>
      </c>
      <c r="JD121" s="236" t="s">
        <v>841</v>
      </c>
      <c r="JF121" s="236" t="s">
        <v>8337</v>
      </c>
      <c r="JG121" s="236" t="s">
        <v>145</v>
      </c>
      <c r="JH121" s="236" t="s">
        <v>74</v>
      </c>
      <c r="JI121" s="236" t="s">
        <v>841</v>
      </c>
      <c r="JK121" s="236" t="s">
        <v>8338</v>
      </c>
      <c r="JL121" s="236" t="s">
        <v>145</v>
      </c>
      <c r="JM121" s="236" t="s">
        <v>74</v>
      </c>
      <c r="JN121" s="236" t="s">
        <v>841</v>
      </c>
      <c r="JP121" s="236" t="s">
        <v>8339</v>
      </c>
      <c r="JQ121" s="236" t="s">
        <v>145</v>
      </c>
      <c r="JR121" s="236" t="s">
        <v>74</v>
      </c>
      <c r="JS121" s="236" t="s">
        <v>841</v>
      </c>
      <c r="JU121" s="294" t="s">
        <v>8340</v>
      </c>
      <c r="JV121" s="263" t="s">
        <v>52</v>
      </c>
      <c r="JW121" s="263" t="s">
        <v>70</v>
      </c>
      <c r="JX121" s="263" t="s">
        <v>34233</v>
      </c>
      <c r="JZ121" s="263" t="s">
        <v>8341</v>
      </c>
      <c r="KA121" s="263" t="s">
        <v>145</v>
      </c>
      <c r="KB121" s="263" t="s">
        <v>70</v>
      </c>
      <c r="KC121" s="263" t="s">
        <v>1083</v>
      </c>
      <c r="KE121" s="263" t="s">
        <v>8342</v>
      </c>
      <c r="KF121" s="263" t="s">
        <v>52</v>
      </c>
      <c r="KG121" s="263" t="s">
        <v>70</v>
      </c>
      <c r="KH121" s="263" t="s">
        <v>1083</v>
      </c>
      <c r="KJ121" s="263" t="s">
        <v>8343</v>
      </c>
      <c r="KK121" s="263" t="s">
        <v>52</v>
      </c>
      <c r="KL121" s="263" t="s">
        <v>74</v>
      </c>
      <c r="KM121" s="263" t="s">
        <v>34074</v>
      </c>
      <c r="KO121" s="214" t="s">
        <v>8344</v>
      </c>
      <c r="KP121" s="214" t="s">
        <v>145</v>
      </c>
      <c r="KQ121" s="214" t="s">
        <v>70</v>
      </c>
      <c r="KR121" s="214" t="s">
        <v>67</v>
      </c>
      <c r="KT121" s="22" t="s">
        <v>8345</v>
      </c>
      <c r="KU121" s="22" t="s">
        <v>145</v>
      </c>
      <c r="KV121" s="22" t="s">
        <v>70</v>
      </c>
      <c r="KW121" s="22" t="s">
        <v>67</v>
      </c>
      <c r="KY121" s="214" t="s">
        <v>8346</v>
      </c>
      <c r="KZ121" s="214" t="s">
        <v>52</v>
      </c>
      <c r="LA121" s="214" t="s">
        <v>74</v>
      </c>
      <c r="LB121" s="214" t="s">
        <v>67</v>
      </c>
      <c r="LD121" s="22" t="s">
        <v>8347</v>
      </c>
      <c r="LE121" s="22" t="s">
        <v>145</v>
      </c>
      <c r="LF121" s="22" t="s">
        <v>70</v>
      </c>
      <c r="LG121" s="22" t="s">
        <v>67</v>
      </c>
    </row>
    <row r="122" spans="1:319">
      <c r="A122" s="22" t="s">
        <v>8348</v>
      </c>
      <c r="B122" s="22" t="s">
        <v>145</v>
      </c>
      <c r="C122" s="22" t="s">
        <v>70</v>
      </c>
      <c r="D122" s="22" t="s">
        <v>67</v>
      </c>
      <c r="F122" s="23" t="s">
        <v>8349</v>
      </c>
      <c r="G122" s="23" t="str">
        <f>TVIIBE1M_CalPairs!$E119</f>
        <v>0x00</v>
      </c>
      <c r="H122" s="23" t="s">
        <v>72</v>
      </c>
      <c r="I122" s="23" t="str">
        <f>TVIIBE1M_CalPairs!$C119</f>
        <v>PWR_TRIM_HT_BODVDDA_CTL2_VAL3</v>
      </c>
      <c r="K122" s="22" t="s">
        <v>8350</v>
      </c>
      <c r="L122" s="22" t="s">
        <v>145</v>
      </c>
      <c r="M122" s="22" t="s">
        <v>70</v>
      </c>
      <c r="N122" s="22" t="s">
        <v>67</v>
      </c>
      <c r="P122" s="394" t="s">
        <v>8351</v>
      </c>
      <c r="Q122" s="394" t="s">
        <v>145</v>
      </c>
      <c r="R122" s="394" t="s">
        <v>72</v>
      </c>
      <c r="S122" s="394" t="s">
        <v>34700</v>
      </c>
      <c r="U122" s="293" t="s">
        <v>8352</v>
      </c>
      <c r="V122" s="293" t="s">
        <v>145</v>
      </c>
      <c r="W122" s="293" t="s">
        <v>74</v>
      </c>
      <c r="X122" s="293" t="s">
        <v>656</v>
      </c>
      <c r="Z122" s="293" t="s">
        <v>8353</v>
      </c>
      <c r="AA122" s="293" t="s">
        <v>145</v>
      </c>
      <c r="AB122" s="293" t="s">
        <v>74</v>
      </c>
      <c r="AC122" s="293" t="s">
        <v>656</v>
      </c>
      <c r="AE122" s="293" t="s">
        <v>8354</v>
      </c>
      <c r="AF122" s="293" t="s">
        <v>145</v>
      </c>
      <c r="AG122" s="293" t="s">
        <v>74</v>
      </c>
      <c r="AH122" s="293" t="s">
        <v>656</v>
      </c>
      <c r="AJ122" s="293" t="s">
        <v>8355</v>
      </c>
      <c r="AK122" s="293" t="s">
        <v>145</v>
      </c>
      <c r="AL122" s="293" t="s">
        <v>74</v>
      </c>
      <c r="AM122" s="293" t="s">
        <v>656</v>
      </c>
      <c r="AO122" s="22" t="s">
        <v>8356</v>
      </c>
      <c r="AP122" s="22" t="s">
        <v>145</v>
      </c>
      <c r="AQ122" s="22" t="s">
        <v>70</v>
      </c>
      <c r="AR122" s="22" t="s">
        <v>67</v>
      </c>
      <c r="AT122" s="22" t="s">
        <v>8357</v>
      </c>
      <c r="AU122" s="22" t="s">
        <v>145</v>
      </c>
      <c r="AV122" s="22" t="s">
        <v>70</v>
      </c>
      <c r="AW122" s="22" t="s">
        <v>67</v>
      </c>
      <c r="AY122" s="22" t="s">
        <v>8358</v>
      </c>
      <c r="AZ122" s="22" t="s">
        <v>145</v>
      </c>
      <c r="BA122" s="22" t="s">
        <v>70</v>
      </c>
      <c r="BB122" s="22" t="s">
        <v>67</v>
      </c>
      <c r="BD122" s="22" t="s">
        <v>8359</v>
      </c>
      <c r="BE122" s="22" t="s">
        <v>145</v>
      </c>
      <c r="BF122" s="22" t="s">
        <v>70</v>
      </c>
      <c r="BG122" s="22" t="s">
        <v>67</v>
      </c>
      <c r="BI122" s="22" t="s">
        <v>8360</v>
      </c>
      <c r="BJ122" s="22" t="s">
        <v>145</v>
      </c>
      <c r="BK122" s="22" t="s">
        <v>70</v>
      </c>
      <c r="BL122" s="22" t="s">
        <v>67</v>
      </c>
      <c r="BN122" s="22" t="s">
        <v>8361</v>
      </c>
      <c r="BO122" s="22" t="s">
        <v>145</v>
      </c>
      <c r="BP122" s="22" t="s">
        <v>70</v>
      </c>
      <c r="BQ122" s="22" t="s">
        <v>67</v>
      </c>
      <c r="BS122" s="22" t="s">
        <v>8362</v>
      </c>
      <c r="BT122" s="22" t="s">
        <v>145</v>
      </c>
      <c r="BU122" s="22" t="s">
        <v>70</v>
      </c>
      <c r="BV122" s="214" t="s">
        <v>530</v>
      </c>
      <c r="BX122" s="22" t="s">
        <v>8363</v>
      </c>
      <c r="BY122" s="22" t="s">
        <v>145</v>
      </c>
      <c r="BZ122" s="22" t="s">
        <v>70</v>
      </c>
      <c r="CA122" s="214" t="s">
        <v>530</v>
      </c>
      <c r="CC122" s="214" t="s">
        <v>8364</v>
      </c>
      <c r="CD122" s="218" t="s">
        <v>145</v>
      </c>
      <c r="CE122" s="214" t="s">
        <v>70</v>
      </c>
      <c r="CF122" s="214" t="s">
        <v>417</v>
      </c>
      <c r="CH122" s="214" t="s">
        <v>8365</v>
      </c>
      <c r="CI122" s="214" t="s">
        <v>919</v>
      </c>
      <c r="CJ122" s="214" t="s">
        <v>70</v>
      </c>
      <c r="CK122" s="214" t="s">
        <v>530</v>
      </c>
      <c r="CM122" s="214" t="s">
        <v>8366</v>
      </c>
      <c r="CN122" s="214" t="s">
        <v>642</v>
      </c>
      <c r="CO122" s="214" t="s">
        <v>70</v>
      </c>
      <c r="CP122" s="214" t="s">
        <v>530</v>
      </c>
      <c r="CR122" s="214" t="s">
        <v>8367</v>
      </c>
      <c r="CS122" s="214" t="s">
        <v>85</v>
      </c>
      <c r="CT122" s="214" t="s">
        <v>70</v>
      </c>
      <c r="CU122" s="214" t="s">
        <v>530</v>
      </c>
      <c r="CW122" s="214" t="s">
        <v>8368</v>
      </c>
      <c r="CX122" s="214" t="s">
        <v>52</v>
      </c>
      <c r="CY122" s="214" t="s">
        <v>70</v>
      </c>
      <c r="CZ122" s="214" t="s">
        <v>530</v>
      </c>
      <c r="DB122" s="214" t="s">
        <v>8369</v>
      </c>
      <c r="DC122" s="214" t="s">
        <v>34575</v>
      </c>
      <c r="DD122" s="214" t="s">
        <v>70</v>
      </c>
      <c r="DE122" s="214" t="s">
        <v>530</v>
      </c>
      <c r="DG122" s="214" t="s">
        <v>8370</v>
      </c>
      <c r="DH122" s="214" t="s">
        <v>90</v>
      </c>
      <c r="DI122" s="214" t="s">
        <v>70</v>
      </c>
      <c r="DJ122" s="214" t="s">
        <v>530</v>
      </c>
      <c r="DL122" s="214" t="s">
        <v>8371</v>
      </c>
      <c r="DM122" s="214" t="s">
        <v>85</v>
      </c>
      <c r="DN122" s="214" t="s">
        <v>70</v>
      </c>
      <c r="DO122" s="214" t="s">
        <v>530</v>
      </c>
      <c r="DQ122" s="214" t="s">
        <v>8372</v>
      </c>
      <c r="DR122" s="214" t="s">
        <v>929</v>
      </c>
      <c r="DS122" s="214" t="s">
        <v>70</v>
      </c>
      <c r="DT122" s="214" t="s">
        <v>530</v>
      </c>
      <c r="DV122" s="214" t="s">
        <v>8373</v>
      </c>
      <c r="DW122" s="214" t="s">
        <v>34584</v>
      </c>
      <c r="DX122" s="214" t="s">
        <v>70</v>
      </c>
      <c r="DY122" s="214" t="s">
        <v>530</v>
      </c>
      <c r="EA122" s="214" t="s">
        <v>8374</v>
      </c>
      <c r="EB122" s="214" t="s">
        <v>34564</v>
      </c>
      <c r="EC122" s="214" t="s">
        <v>70</v>
      </c>
      <c r="ED122" s="214" t="s">
        <v>530</v>
      </c>
      <c r="EF122" s="214" t="s">
        <v>8375</v>
      </c>
      <c r="EG122" s="214" t="s">
        <v>92</v>
      </c>
      <c r="EH122" s="214" t="s">
        <v>70</v>
      </c>
      <c r="EI122" s="214" t="s">
        <v>530</v>
      </c>
      <c r="EK122" s="214" t="s">
        <v>8376</v>
      </c>
      <c r="EL122" s="214" t="s">
        <v>500</v>
      </c>
      <c r="EM122" s="214" t="s">
        <v>70</v>
      </c>
      <c r="EN122" s="214" t="s">
        <v>530</v>
      </c>
      <c r="EP122" s="214" t="s">
        <v>8377</v>
      </c>
      <c r="EQ122" s="214" t="s">
        <v>163</v>
      </c>
      <c r="ER122" s="214" t="s">
        <v>70</v>
      </c>
      <c r="ES122" s="214" t="s">
        <v>530</v>
      </c>
      <c r="EU122" s="214" t="s">
        <v>8378</v>
      </c>
      <c r="EV122" s="214" t="s">
        <v>165</v>
      </c>
      <c r="EW122" s="214" t="s">
        <v>70</v>
      </c>
      <c r="EX122" s="214" t="s">
        <v>530</v>
      </c>
      <c r="EZ122" s="214" t="s">
        <v>8379</v>
      </c>
      <c r="FA122" s="214" t="s">
        <v>655</v>
      </c>
      <c r="FB122" s="214" t="s">
        <v>70</v>
      </c>
      <c r="FC122" s="214" t="s">
        <v>530</v>
      </c>
      <c r="FE122" s="214" t="s">
        <v>8380</v>
      </c>
      <c r="FF122" s="214" t="s">
        <v>89</v>
      </c>
      <c r="FG122" s="214" t="s">
        <v>70</v>
      </c>
      <c r="FH122" s="214" t="s">
        <v>530</v>
      </c>
      <c r="FJ122" s="321" t="s">
        <v>8381</v>
      </c>
      <c r="FK122" s="214" t="s">
        <v>34655</v>
      </c>
      <c r="FL122" s="214" t="s">
        <v>70</v>
      </c>
      <c r="FM122" s="214" t="s">
        <v>530</v>
      </c>
      <c r="FO122" s="321" t="s">
        <v>8382</v>
      </c>
      <c r="FP122" s="214" t="s">
        <v>148</v>
      </c>
      <c r="FQ122" s="214" t="s">
        <v>70</v>
      </c>
      <c r="FR122" s="214" t="s">
        <v>530</v>
      </c>
      <c r="FT122" s="321" t="s">
        <v>8383</v>
      </c>
      <c r="FU122" s="214" t="s">
        <v>600</v>
      </c>
      <c r="FV122" s="214" t="s">
        <v>70</v>
      </c>
      <c r="FW122" s="214" t="s">
        <v>530</v>
      </c>
      <c r="FY122" s="321" t="s">
        <v>8384</v>
      </c>
      <c r="FZ122" s="214" t="s">
        <v>305</v>
      </c>
      <c r="GA122" s="214" t="s">
        <v>70</v>
      </c>
      <c r="GB122" s="214" t="s">
        <v>530</v>
      </c>
      <c r="GD122" s="321" t="s">
        <v>8385</v>
      </c>
      <c r="GE122" s="214" t="s">
        <v>34598</v>
      </c>
      <c r="GF122" s="214" t="s">
        <v>70</v>
      </c>
      <c r="GG122" s="214" t="s">
        <v>530</v>
      </c>
      <c r="GI122" s="321" t="s">
        <v>8386</v>
      </c>
      <c r="GJ122" s="214" t="s">
        <v>164</v>
      </c>
      <c r="GK122" s="214" t="s">
        <v>70</v>
      </c>
      <c r="GL122" s="214" t="s">
        <v>530</v>
      </c>
      <c r="GN122" s="321" t="s">
        <v>8387</v>
      </c>
      <c r="GO122" s="214" t="s">
        <v>89</v>
      </c>
      <c r="GP122" s="214" t="s">
        <v>70</v>
      </c>
      <c r="GQ122" s="214" t="s">
        <v>530</v>
      </c>
      <c r="GS122" s="321" t="s">
        <v>8388</v>
      </c>
      <c r="GT122" s="214" t="s">
        <v>34611</v>
      </c>
      <c r="GU122" s="214" t="s">
        <v>70</v>
      </c>
      <c r="GV122" s="214" t="s">
        <v>530</v>
      </c>
      <c r="GX122" s="214" t="s">
        <v>8389</v>
      </c>
      <c r="GY122" s="214" t="s">
        <v>52</v>
      </c>
      <c r="GZ122" s="214" t="s">
        <v>70</v>
      </c>
      <c r="HA122" s="214" t="s">
        <v>530</v>
      </c>
      <c r="HC122" s="214" t="s">
        <v>8390</v>
      </c>
      <c r="HD122" s="214" t="s">
        <v>148</v>
      </c>
      <c r="HE122" s="214" t="s">
        <v>70</v>
      </c>
      <c r="HF122" s="214" t="s">
        <v>530</v>
      </c>
      <c r="HH122" s="214" t="s">
        <v>8391</v>
      </c>
      <c r="HI122" s="214" t="s">
        <v>52</v>
      </c>
      <c r="HJ122" s="214" t="s">
        <v>70</v>
      </c>
      <c r="HK122" s="214" t="s">
        <v>530</v>
      </c>
      <c r="HM122" s="214" t="s">
        <v>8392</v>
      </c>
      <c r="HN122" s="214" t="s">
        <v>34560</v>
      </c>
      <c r="HO122" s="214" t="s">
        <v>70</v>
      </c>
      <c r="HP122" s="214" t="s">
        <v>530</v>
      </c>
      <c r="HR122" s="22" t="s">
        <v>8393</v>
      </c>
      <c r="HS122" s="22" t="s">
        <v>204</v>
      </c>
      <c r="HT122" s="22" t="s">
        <v>70</v>
      </c>
      <c r="HU122" s="214" t="s">
        <v>530</v>
      </c>
      <c r="HW122" s="22" t="s">
        <v>8394</v>
      </c>
      <c r="HX122" s="22" t="s">
        <v>52</v>
      </c>
      <c r="HY122" s="22" t="s">
        <v>70</v>
      </c>
      <c r="HZ122" s="214" t="s">
        <v>530</v>
      </c>
      <c r="IB122" s="22" t="s">
        <v>8395</v>
      </c>
      <c r="IC122" s="22" t="s">
        <v>34646</v>
      </c>
      <c r="ID122" s="22" t="s">
        <v>70</v>
      </c>
      <c r="IE122" s="214" t="s">
        <v>530</v>
      </c>
      <c r="IG122" s="22" t="s">
        <v>8396</v>
      </c>
      <c r="IH122" s="22" t="s">
        <v>52</v>
      </c>
      <c r="II122" s="22" t="s">
        <v>70</v>
      </c>
      <c r="IJ122" s="214" t="s">
        <v>530</v>
      </c>
      <c r="IL122" s="22" t="s">
        <v>8397</v>
      </c>
      <c r="IM122" s="22" t="s">
        <v>145</v>
      </c>
      <c r="IN122" s="22" t="s">
        <v>70</v>
      </c>
      <c r="IO122" s="214" t="s">
        <v>530</v>
      </c>
      <c r="IQ122" s="236" t="s">
        <v>8398</v>
      </c>
      <c r="IR122" s="236" t="s">
        <v>145</v>
      </c>
      <c r="IS122" s="236" t="s">
        <v>74</v>
      </c>
      <c r="IT122" s="236" t="s">
        <v>841</v>
      </c>
      <c r="IV122" s="236" t="s">
        <v>8399</v>
      </c>
      <c r="IW122" s="236" t="s">
        <v>145</v>
      </c>
      <c r="IX122" s="236" t="s">
        <v>74</v>
      </c>
      <c r="IY122" s="236" t="s">
        <v>841</v>
      </c>
      <c r="JA122" s="236" t="s">
        <v>8400</v>
      </c>
      <c r="JB122" s="236" t="s">
        <v>145</v>
      </c>
      <c r="JC122" s="236" t="s">
        <v>74</v>
      </c>
      <c r="JD122" s="236" t="s">
        <v>841</v>
      </c>
      <c r="JF122" s="236" t="s">
        <v>8401</v>
      </c>
      <c r="JG122" s="236" t="s">
        <v>145</v>
      </c>
      <c r="JH122" s="236" t="s">
        <v>74</v>
      </c>
      <c r="JI122" s="236" t="s">
        <v>841</v>
      </c>
      <c r="JK122" s="236" t="s">
        <v>8402</v>
      </c>
      <c r="JL122" s="236" t="s">
        <v>145</v>
      </c>
      <c r="JM122" s="236" t="s">
        <v>74</v>
      </c>
      <c r="JN122" s="236" t="s">
        <v>841</v>
      </c>
      <c r="JP122" s="236" t="s">
        <v>8403</v>
      </c>
      <c r="JQ122" s="236" t="s">
        <v>145</v>
      </c>
      <c r="JR122" s="236" t="s">
        <v>74</v>
      </c>
      <c r="JS122" s="236" t="s">
        <v>841</v>
      </c>
      <c r="JU122" s="294" t="s">
        <v>8404</v>
      </c>
      <c r="JV122" s="263" t="s">
        <v>52</v>
      </c>
      <c r="JW122" s="263" t="s">
        <v>70</v>
      </c>
      <c r="JX122" s="263" t="s">
        <v>34234</v>
      </c>
      <c r="JZ122" s="263" t="s">
        <v>8405</v>
      </c>
      <c r="KA122" s="263" t="s">
        <v>145</v>
      </c>
      <c r="KB122" s="263" t="s">
        <v>70</v>
      </c>
      <c r="KC122" s="263" t="s">
        <v>1083</v>
      </c>
      <c r="KE122" s="263" t="s">
        <v>8406</v>
      </c>
      <c r="KF122" s="263" t="s">
        <v>52</v>
      </c>
      <c r="KG122" s="263" t="s">
        <v>70</v>
      </c>
      <c r="KH122" s="263" t="s">
        <v>1083</v>
      </c>
      <c r="KJ122" s="263" t="s">
        <v>8407</v>
      </c>
      <c r="KK122" s="263" t="s">
        <v>52</v>
      </c>
      <c r="KL122" s="263" t="s">
        <v>74</v>
      </c>
      <c r="KM122" s="263" t="s">
        <v>34074</v>
      </c>
      <c r="KO122" s="214" t="s">
        <v>8408</v>
      </c>
      <c r="KP122" s="214" t="s">
        <v>145</v>
      </c>
      <c r="KQ122" s="214" t="s">
        <v>70</v>
      </c>
      <c r="KR122" s="214" t="s">
        <v>67</v>
      </c>
      <c r="KT122" s="22" t="s">
        <v>8409</v>
      </c>
      <c r="KU122" s="22" t="s">
        <v>145</v>
      </c>
      <c r="KV122" s="22" t="s">
        <v>70</v>
      </c>
      <c r="KW122" s="22" t="s">
        <v>67</v>
      </c>
      <c r="KY122" s="214" t="s">
        <v>8410</v>
      </c>
      <c r="KZ122" s="214" t="s">
        <v>52</v>
      </c>
      <c r="LA122" s="214" t="s">
        <v>74</v>
      </c>
      <c r="LB122" s="214" t="s">
        <v>67</v>
      </c>
      <c r="LD122" s="22" t="s">
        <v>8411</v>
      </c>
      <c r="LE122" s="22" t="s">
        <v>145</v>
      </c>
      <c r="LF122" s="22" t="s">
        <v>70</v>
      </c>
      <c r="LG122" s="22" t="s">
        <v>67</v>
      </c>
    </row>
    <row r="123" spans="1:319">
      <c r="A123" s="22" t="s">
        <v>8412</v>
      </c>
      <c r="B123" s="22" t="s">
        <v>145</v>
      </c>
      <c r="C123" s="22" t="s">
        <v>70</v>
      </c>
      <c r="D123" s="22" t="s">
        <v>67</v>
      </c>
      <c r="F123" s="23" t="s">
        <v>8413</v>
      </c>
      <c r="G123" s="23" t="str">
        <f>TVIIBE1M_CalPairs!$E120</f>
        <v>0xA2</v>
      </c>
      <c r="H123" s="23" t="s">
        <v>72</v>
      </c>
      <c r="I123" s="23" t="str">
        <f>TVIIBE1M_CalPairs!$C120</f>
        <v>PWR_TRIM_HT_OVDVDDA_CTL2_VAL0</v>
      </c>
      <c r="K123" s="22" t="s">
        <v>8414</v>
      </c>
      <c r="L123" s="22" t="s">
        <v>145</v>
      </c>
      <c r="M123" s="22" t="s">
        <v>70</v>
      </c>
      <c r="N123" s="22" t="s">
        <v>67</v>
      </c>
      <c r="P123" s="394" t="s">
        <v>8415</v>
      </c>
      <c r="Q123" s="394" t="s">
        <v>145</v>
      </c>
      <c r="R123" s="394" t="s">
        <v>72</v>
      </c>
      <c r="S123" s="394" t="s">
        <v>34700</v>
      </c>
      <c r="U123" s="293" t="s">
        <v>8416</v>
      </c>
      <c r="V123" s="293" t="s">
        <v>145</v>
      </c>
      <c r="W123" s="293" t="s">
        <v>74</v>
      </c>
      <c r="X123" s="293" t="s">
        <v>656</v>
      </c>
      <c r="Z123" s="293" t="s">
        <v>8417</v>
      </c>
      <c r="AA123" s="293" t="s">
        <v>145</v>
      </c>
      <c r="AB123" s="293" t="s">
        <v>74</v>
      </c>
      <c r="AC123" s="293" t="s">
        <v>656</v>
      </c>
      <c r="AE123" s="293" t="s">
        <v>8418</v>
      </c>
      <c r="AF123" s="293" t="s">
        <v>145</v>
      </c>
      <c r="AG123" s="293" t="s">
        <v>74</v>
      </c>
      <c r="AH123" s="293" t="s">
        <v>656</v>
      </c>
      <c r="AJ123" s="293" t="s">
        <v>8419</v>
      </c>
      <c r="AK123" s="293" t="s">
        <v>145</v>
      </c>
      <c r="AL123" s="293" t="s">
        <v>74</v>
      </c>
      <c r="AM123" s="293" t="s">
        <v>656</v>
      </c>
      <c r="AO123" s="22" t="s">
        <v>8420</v>
      </c>
      <c r="AP123" s="22" t="s">
        <v>145</v>
      </c>
      <c r="AQ123" s="22" t="s">
        <v>70</v>
      </c>
      <c r="AR123" s="22" t="s">
        <v>67</v>
      </c>
      <c r="AT123" s="22" t="s">
        <v>8421</v>
      </c>
      <c r="AU123" s="22" t="s">
        <v>145</v>
      </c>
      <c r="AV123" s="22" t="s">
        <v>70</v>
      </c>
      <c r="AW123" s="22" t="s">
        <v>67</v>
      </c>
      <c r="AY123" s="22" t="s">
        <v>8422</v>
      </c>
      <c r="AZ123" s="22" t="s">
        <v>145</v>
      </c>
      <c r="BA123" s="22" t="s">
        <v>70</v>
      </c>
      <c r="BB123" s="22" t="s">
        <v>67</v>
      </c>
      <c r="BD123" s="22" t="s">
        <v>8423</v>
      </c>
      <c r="BE123" s="22" t="s">
        <v>145</v>
      </c>
      <c r="BF123" s="22" t="s">
        <v>70</v>
      </c>
      <c r="BG123" s="22" t="s">
        <v>67</v>
      </c>
      <c r="BI123" s="22" t="s">
        <v>8424</v>
      </c>
      <c r="BJ123" s="22" t="s">
        <v>145</v>
      </c>
      <c r="BK123" s="22" t="s">
        <v>70</v>
      </c>
      <c r="BL123" s="22" t="s">
        <v>67</v>
      </c>
      <c r="BN123" s="22" t="s">
        <v>8425</v>
      </c>
      <c r="BO123" s="22" t="s">
        <v>145</v>
      </c>
      <c r="BP123" s="22" t="s">
        <v>70</v>
      </c>
      <c r="BQ123" s="22" t="s">
        <v>67</v>
      </c>
      <c r="BS123" s="22" t="s">
        <v>8426</v>
      </c>
      <c r="BT123" s="22" t="s">
        <v>145</v>
      </c>
      <c r="BU123" s="22" t="s">
        <v>70</v>
      </c>
      <c r="BV123" s="214" t="s">
        <v>530</v>
      </c>
      <c r="BX123" s="22" t="s">
        <v>8427</v>
      </c>
      <c r="BY123" s="22" t="s">
        <v>145</v>
      </c>
      <c r="BZ123" s="22" t="s">
        <v>70</v>
      </c>
      <c r="CA123" s="214" t="s">
        <v>530</v>
      </c>
      <c r="CC123" s="214" t="s">
        <v>8428</v>
      </c>
      <c r="CD123" s="218" t="s">
        <v>145</v>
      </c>
      <c r="CE123" s="214" t="s">
        <v>70</v>
      </c>
      <c r="CF123" s="214" t="s">
        <v>418</v>
      </c>
      <c r="CH123" s="214" t="s">
        <v>8429</v>
      </c>
      <c r="CI123" s="214" t="s">
        <v>286</v>
      </c>
      <c r="CJ123" s="214" t="s">
        <v>70</v>
      </c>
      <c r="CK123" s="214" t="s">
        <v>530</v>
      </c>
      <c r="CM123" s="214" t="s">
        <v>8430</v>
      </c>
      <c r="CN123" s="214" t="s">
        <v>34548</v>
      </c>
      <c r="CO123" s="214" t="s">
        <v>70</v>
      </c>
      <c r="CP123" s="214" t="s">
        <v>530</v>
      </c>
      <c r="CR123" s="214" t="s">
        <v>8431</v>
      </c>
      <c r="CS123" s="214" t="s">
        <v>34569</v>
      </c>
      <c r="CT123" s="214" t="s">
        <v>70</v>
      </c>
      <c r="CU123" s="214" t="s">
        <v>530</v>
      </c>
      <c r="CW123" s="214" t="s">
        <v>8432</v>
      </c>
      <c r="CX123" s="214" t="s">
        <v>165</v>
      </c>
      <c r="CY123" s="214" t="s">
        <v>70</v>
      </c>
      <c r="CZ123" s="214" t="s">
        <v>530</v>
      </c>
      <c r="DB123" s="214" t="s">
        <v>8433</v>
      </c>
      <c r="DC123" s="214" t="s">
        <v>148</v>
      </c>
      <c r="DD123" s="214" t="s">
        <v>70</v>
      </c>
      <c r="DE123" s="214" t="s">
        <v>530</v>
      </c>
      <c r="DG123" s="214" t="s">
        <v>8434</v>
      </c>
      <c r="DH123" s="214" t="s">
        <v>910</v>
      </c>
      <c r="DI123" s="214" t="s">
        <v>70</v>
      </c>
      <c r="DJ123" s="214" t="s">
        <v>530</v>
      </c>
      <c r="DL123" s="214" t="s">
        <v>8435</v>
      </c>
      <c r="DM123" s="214" t="s">
        <v>600</v>
      </c>
      <c r="DN123" s="214" t="s">
        <v>70</v>
      </c>
      <c r="DO123" s="214" t="s">
        <v>530</v>
      </c>
      <c r="DQ123" s="214" t="s">
        <v>8436</v>
      </c>
      <c r="DR123" s="214" t="s">
        <v>145</v>
      </c>
      <c r="DS123" s="214" t="s">
        <v>70</v>
      </c>
      <c r="DT123" s="214" t="s">
        <v>530</v>
      </c>
      <c r="DV123" s="214" t="s">
        <v>8437</v>
      </c>
      <c r="DW123" s="214" t="s">
        <v>34555</v>
      </c>
      <c r="DX123" s="214" t="s">
        <v>70</v>
      </c>
      <c r="DY123" s="214" t="s">
        <v>530</v>
      </c>
      <c r="EA123" s="214" t="s">
        <v>8438</v>
      </c>
      <c r="EB123" s="214" t="s">
        <v>912</v>
      </c>
      <c r="EC123" s="214" t="s">
        <v>70</v>
      </c>
      <c r="ED123" s="214" t="s">
        <v>530</v>
      </c>
      <c r="EF123" s="214" t="s">
        <v>8439</v>
      </c>
      <c r="EG123" s="214" t="s">
        <v>496</v>
      </c>
      <c r="EH123" s="214" t="s">
        <v>70</v>
      </c>
      <c r="EI123" s="214" t="s">
        <v>530</v>
      </c>
      <c r="EK123" s="214" t="s">
        <v>8440</v>
      </c>
      <c r="EL123" s="214" t="s">
        <v>501</v>
      </c>
      <c r="EM123" s="214" t="s">
        <v>70</v>
      </c>
      <c r="EN123" s="214" t="s">
        <v>530</v>
      </c>
      <c r="EP123" s="214" t="s">
        <v>8441</v>
      </c>
      <c r="EQ123" s="214" t="s">
        <v>486</v>
      </c>
      <c r="ER123" s="214" t="s">
        <v>70</v>
      </c>
      <c r="ES123" s="214" t="s">
        <v>530</v>
      </c>
      <c r="EU123" s="214" t="s">
        <v>8442</v>
      </c>
      <c r="EV123" s="214" t="s">
        <v>34557</v>
      </c>
      <c r="EW123" s="214" t="s">
        <v>70</v>
      </c>
      <c r="EX123" s="214" t="s">
        <v>530</v>
      </c>
      <c r="EZ123" s="214" t="s">
        <v>8443</v>
      </c>
      <c r="FA123" s="214" t="s">
        <v>146</v>
      </c>
      <c r="FB123" s="214" t="s">
        <v>70</v>
      </c>
      <c r="FC123" s="214" t="s">
        <v>530</v>
      </c>
      <c r="FE123" s="214" t="s">
        <v>8444</v>
      </c>
      <c r="FF123" s="214" t="s">
        <v>52</v>
      </c>
      <c r="FG123" s="214" t="s">
        <v>70</v>
      </c>
      <c r="FH123" s="214" t="s">
        <v>530</v>
      </c>
      <c r="FJ123" s="321" t="s">
        <v>8445</v>
      </c>
      <c r="FK123" s="214" t="s">
        <v>486</v>
      </c>
      <c r="FL123" s="214" t="s">
        <v>70</v>
      </c>
      <c r="FM123" s="214" t="s">
        <v>530</v>
      </c>
      <c r="FO123" s="321" t="s">
        <v>8446</v>
      </c>
      <c r="FP123" s="214" t="s">
        <v>34544</v>
      </c>
      <c r="FQ123" s="214" t="s">
        <v>70</v>
      </c>
      <c r="FR123" s="214" t="s">
        <v>530</v>
      </c>
      <c r="FT123" s="321" t="s">
        <v>8447</v>
      </c>
      <c r="FU123" s="214" t="s">
        <v>598</v>
      </c>
      <c r="FV123" s="214" t="s">
        <v>70</v>
      </c>
      <c r="FW123" s="214" t="s">
        <v>530</v>
      </c>
      <c r="FY123" s="321" t="s">
        <v>8448</v>
      </c>
      <c r="FZ123" s="214" t="s">
        <v>481</v>
      </c>
      <c r="GA123" s="214" t="s">
        <v>70</v>
      </c>
      <c r="GB123" s="214" t="s">
        <v>530</v>
      </c>
      <c r="GD123" s="321" t="s">
        <v>8449</v>
      </c>
      <c r="GE123" s="214" t="s">
        <v>52</v>
      </c>
      <c r="GF123" s="214" t="s">
        <v>70</v>
      </c>
      <c r="GG123" s="214" t="s">
        <v>530</v>
      </c>
      <c r="GI123" s="321" t="s">
        <v>8450</v>
      </c>
      <c r="GJ123" s="214" t="s">
        <v>484</v>
      </c>
      <c r="GK123" s="214" t="s">
        <v>70</v>
      </c>
      <c r="GL123" s="214" t="s">
        <v>530</v>
      </c>
      <c r="GN123" s="321" t="s">
        <v>8451</v>
      </c>
      <c r="GO123" s="214" t="s">
        <v>34544</v>
      </c>
      <c r="GP123" s="214" t="s">
        <v>70</v>
      </c>
      <c r="GQ123" s="214" t="s">
        <v>530</v>
      </c>
      <c r="GS123" s="321" t="s">
        <v>8452</v>
      </c>
      <c r="GT123" s="214" t="s">
        <v>491</v>
      </c>
      <c r="GU123" s="214" t="s">
        <v>70</v>
      </c>
      <c r="GV123" s="214" t="s">
        <v>530</v>
      </c>
      <c r="GX123" s="214" t="s">
        <v>8453</v>
      </c>
      <c r="GY123" s="214" t="s">
        <v>956</v>
      </c>
      <c r="GZ123" s="214" t="s">
        <v>70</v>
      </c>
      <c r="HA123" s="214" t="s">
        <v>530</v>
      </c>
      <c r="HC123" s="214" t="s">
        <v>8454</v>
      </c>
      <c r="HD123" s="214" t="s">
        <v>798</v>
      </c>
      <c r="HE123" s="214" t="s">
        <v>70</v>
      </c>
      <c r="HF123" s="214" t="s">
        <v>530</v>
      </c>
      <c r="HH123" s="214" t="s">
        <v>8455</v>
      </c>
      <c r="HI123" s="214" t="s">
        <v>34516</v>
      </c>
      <c r="HJ123" s="214" t="s">
        <v>70</v>
      </c>
      <c r="HK123" s="214" t="s">
        <v>530</v>
      </c>
      <c r="HM123" s="214" t="s">
        <v>8456</v>
      </c>
      <c r="HN123" s="214" t="s">
        <v>34567</v>
      </c>
      <c r="HO123" s="214" t="s">
        <v>70</v>
      </c>
      <c r="HP123" s="214" t="s">
        <v>530</v>
      </c>
      <c r="HR123" s="22" t="s">
        <v>8457</v>
      </c>
      <c r="HS123" s="22" t="s">
        <v>146</v>
      </c>
      <c r="HT123" s="22" t="s">
        <v>70</v>
      </c>
      <c r="HU123" s="214" t="s">
        <v>530</v>
      </c>
      <c r="HW123" s="22" t="s">
        <v>8458</v>
      </c>
      <c r="HX123" s="22" t="s">
        <v>203</v>
      </c>
      <c r="HY123" s="22" t="s">
        <v>70</v>
      </c>
      <c r="HZ123" s="214" t="s">
        <v>530</v>
      </c>
      <c r="IB123" s="22" t="s">
        <v>8459</v>
      </c>
      <c r="IC123" s="22" t="s">
        <v>34552</v>
      </c>
      <c r="ID123" s="22" t="s">
        <v>70</v>
      </c>
      <c r="IE123" s="214" t="s">
        <v>530</v>
      </c>
      <c r="IG123" s="22" t="s">
        <v>8460</v>
      </c>
      <c r="IH123" s="22" t="s">
        <v>52</v>
      </c>
      <c r="II123" s="22" t="s">
        <v>70</v>
      </c>
      <c r="IJ123" s="214" t="s">
        <v>530</v>
      </c>
      <c r="IL123" s="22" t="s">
        <v>8461</v>
      </c>
      <c r="IM123" s="22" t="s">
        <v>145</v>
      </c>
      <c r="IN123" s="22" t="s">
        <v>70</v>
      </c>
      <c r="IO123" s="214" t="s">
        <v>530</v>
      </c>
      <c r="IQ123" s="236" t="s">
        <v>8462</v>
      </c>
      <c r="IR123" s="236" t="s">
        <v>145</v>
      </c>
      <c r="IS123" s="236" t="s">
        <v>74</v>
      </c>
      <c r="IT123" s="236" t="s">
        <v>841</v>
      </c>
      <c r="IV123" s="236" t="s">
        <v>8463</v>
      </c>
      <c r="IW123" s="236" t="s">
        <v>145</v>
      </c>
      <c r="IX123" s="236" t="s">
        <v>74</v>
      </c>
      <c r="IY123" s="236" t="s">
        <v>841</v>
      </c>
      <c r="JA123" s="236" t="s">
        <v>8464</v>
      </c>
      <c r="JB123" s="236" t="s">
        <v>145</v>
      </c>
      <c r="JC123" s="236" t="s">
        <v>74</v>
      </c>
      <c r="JD123" s="236" t="s">
        <v>841</v>
      </c>
      <c r="JF123" s="236" t="s">
        <v>8465</v>
      </c>
      <c r="JG123" s="236" t="s">
        <v>145</v>
      </c>
      <c r="JH123" s="236" t="s">
        <v>74</v>
      </c>
      <c r="JI123" s="236" t="s">
        <v>841</v>
      </c>
      <c r="JK123" s="236" t="s">
        <v>8466</v>
      </c>
      <c r="JL123" s="236" t="s">
        <v>145</v>
      </c>
      <c r="JM123" s="236" t="s">
        <v>74</v>
      </c>
      <c r="JN123" s="236" t="s">
        <v>841</v>
      </c>
      <c r="JP123" s="236" t="s">
        <v>8467</v>
      </c>
      <c r="JQ123" s="236" t="s">
        <v>145</v>
      </c>
      <c r="JR123" s="236" t="s">
        <v>74</v>
      </c>
      <c r="JS123" s="236" t="s">
        <v>841</v>
      </c>
      <c r="JU123" s="294" t="s">
        <v>8468</v>
      </c>
      <c r="JV123" s="263" t="s">
        <v>90</v>
      </c>
      <c r="JW123" s="263" t="s">
        <v>70</v>
      </c>
      <c r="JX123" s="263" t="s">
        <v>34235</v>
      </c>
      <c r="JZ123" s="263" t="s">
        <v>8469</v>
      </c>
      <c r="KA123" s="263" t="s">
        <v>145</v>
      </c>
      <c r="KB123" s="263" t="s">
        <v>70</v>
      </c>
      <c r="KC123" s="263" t="s">
        <v>1083</v>
      </c>
      <c r="KE123" s="263" t="s">
        <v>8470</v>
      </c>
      <c r="KF123" s="263" t="s">
        <v>52</v>
      </c>
      <c r="KG123" s="263" t="s">
        <v>70</v>
      </c>
      <c r="KH123" s="263" t="s">
        <v>1083</v>
      </c>
      <c r="KJ123" s="263" t="s">
        <v>8471</v>
      </c>
      <c r="KK123" s="263" t="s">
        <v>52</v>
      </c>
      <c r="KL123" s="263" t="s">
        <v>74</v>
      </c>
      <c r="KM123" s="263" t="s">
        <v>34074</v>
      </c>
      <c r="KO123" s="214" t="s">
        <v>8472</v>
      </c>
      <c r="KP123" s="214" t="s">
        <v>145</v>
      </c>
      <c r="KQ123" s="214" t="s">
        <v>70</v>
      </c>
      <c r="KR123" s="214" t="s">
        <v>67</v>
      </c>
      <c r="KT123" s="22" t="s">
        <v>8473</v>
      </c>
      <c r="KU123" s="22" t="s">
        <v>145</v>
      </c>
      <c r="KV123" s="22" t="s">
        <v>70</v>
      </c>
      <c r="KW123" s="22" t="s">
        <v>67</v>
      </c>
      <c r="KY123" s="214" t="s">
        <v>8474</v>
      </c>
      <c r="KZ123" s="214" t="s">
        <v>52</v>
      </c>
      <c r="LA123" s="214" t="s">
        <v>74</v>
      </c>
      <c r="LB123" s="214" t="s">
        <v>67</v>
      </c>
      <c r="LD123" s="22" t="s">
        <v>8475</v>
      </c>
      <c r="LE123" s="22" t="s">
        <v>145</v>
      </c>
      <c r="LF123" s="22" t="s">
        <v>70</v>
      </c>
      <c r="LG123" s="22" t="s">
        <v>67</v>
      </c>
    </row>
    <row r="124" spans="1:319">
      <c r="A124" s="22" t="s">
        <v>8476</v>
      </c>
      <c r="B124" s="22" t="s">
        <v>145</v>
      </c>
      <c r="C124" s="22" t="s">
        <v>70</v>
      </c>
      <c r="D124" s="22" t="s">
        <v>67</v>
      </c>
      <c r="F124" s="23" t="s">
        <v>8477</v>
      </c>
      <c r="G124" s="23" t="str">
        <f>TVIIBE1M_CalPairs!$E121</f>
        <v>0x00</v>
      </c>
      <c r="H124" s="23" t="s">
        <v>72</v>
      </c>
      <c r="I124" s="23" t="str">
        <f>TVIIBE1M_CalPairs!$C121</f>
        <v>PWR_TRIM_HT_OVDVDDA_CTL2_VAL1</v>
      </c>
      <c r="K124" s="22" t="s">
        <v>8478</v>
      </c>
      <c r="L124" s="22" t="s">
        <v>145</v>
      </c>
      <c r="M124" s="22" t="s">
        <v>70</v>
      </c>
      <c r="N124" s="22" t="s">
        <v>67</v>
      </c>
      <c r="P124" s="394" t="s">
        <v>8479</v>
      </c>
      <c r="Q124" s="394" t="s">
        <v>145</v>
      </c>
      <c r="R124" s="394" t="s">
        <v>72</v>
      </c>
      <c r="S124" s="394" t="s">
        <v>34701</v>
      </c>
      <c r="U124" s="293" t="s">
        <v>8480</v>
      </c>
      <c r="V124" s="293" t="s">
        <v>145</v>
      </c>
      <c r="W124" s="293" t="s">
        <v>74</v>
      </c>
      <c r="X124" s="293" t="s">
        <v>656</v>
      </c>
      <c r="Z124" s="293" t="s">
        <v>8481</v>
      </c>
      <c r="AA124" s="293" t="s">
        <v>145</v>
      </c>
      <c r="AB124" s="293" t="s">
        <v>74</v>
      </c>
      <c r="AC124" s="293" t="s">
        <v>656</v>
      </c>
      <c r="AE124" s="293" t="s">
        <v>8482</v>
      </c>
      <c r="AF124" s="293" t="s">
        <v>145</v>
      </c>
      <c r="AG124" s="293" t="s">
        <v>74</v>
      </c>
      <c r="AH124" s="293" t="s">
        <v>656</v>
      </c>
      <c r="AJ124" s="293" t="s">
        <v>8483</v>
      </c>
      <c r="AK124" s="293" t="s">
        <v>145</v>
      </c>
      <c r="AL124" s="293" t="s">
        <v>74</v>
      </c>
      <c r="AM124" s="293" t="s">
        <v>656</v>
      </c>
      <c r="AO124" s="22" t="s">
        <v>8484</v>
      </c>
      <c r="AP124" s="22" t="s">
        <v>145</v>
      </c>
      <c r="AQ124" s="22" t="s">
        <v>70</v>
      </c>
      <c r="AR124" s="22" t="s">
        <v>67</v>
      </c>
      <c r="AT124" s="22" t="s">
        <v>8485</v>
      </c>
      <c r="AU124" s="22" t="s">
        <v>145</v>
      </c>
      <c r="AV124" s="22" t="s">
        <v>70</v>
      </c>
      <c r="AW124" s="22" t="s">
        <v>67</v>
      </c>
      <c r="AY124" s="22" t="s">
        <v>8486</v>
      </c>
      <c r="AZ124" s="22" t="s">
        <v>145</v>
      </c>
      <c r="BA124" s="22" t="s">
        <v>70</v>
      </c>
      <c r="BB124" s="22" t="s">
        <v>67</v>
      </c>
      <c r="BD124" s="22" t="s">
        <v>8487</v>
      </c>
      <c r="BE124" s="22" t="s">
        <v>145</v>
      </c>
      <c r="BF124" s="22" t="s">
        <v>70</v>
      </c>
      <c r="BG124" s="22" t="s">
        <v>67</v>
      </c>
      <c r="BI124" s="22" t="s">
        <v>8488</v>
      </c>
      <c r="BJ124" s="22" t="s">
        <v>145</v>
      </c>
      <c r="BK124" s="22" t="s">
        <v>70</v>
      </c>
      <c r="BL124" s="22" t="s">
        <v>67</v>
      </c>
      <c r="BN124" s="22" t="s">
        <v>8489</v>
      </c>
      <c r="BO124" s="22" t="s">
        <v>145</v>
      </c>
      <c r="BP124" s="22" t="s">
        <v>70</v>
      </c>
      <c r="BQ124" s="22" t="s">
        <v>67</v>
      </c>
      <c r="BS124" s="22" t="s">
        <v>8490</v>
      </c>
      <c r="BT124" s="22" t="s">
        <v>145</v>
      </c>
      <c r="BU124" s="22" t="s">
        <v>70</v>
      </c>
      <c r="BV124" s="214" t="s">
        <v>530</v>
      </c>
      <c r="BX124" s="22" t="s">
        <v>8491</v>
      </c>
      <c r="BY124" s="22" t="s">
        <v>145</v>
      </c>
      <c r="BZ124" s="22" t="s">
        <v>70</v>
      </c>
      <c r="CA124" s="214" t="s">
        <v>530</v>
      </c>
      <c r="CC124" s="214" t="s">
        <v>8492</v>
      </c>
      <c r="CD124" s="218" t="s">
        <v>145</v>
      </c>
      <c r="CE124" s="214" t="s">
        <v>70</v>
      </c>
      <c r="CF124" s="214" t="s">
        <v>419</v>
      </c>
      <c r="CH124" s="214" t="s">
        <v>8493</v>
      </c>
      <c r="CI124" s="214" t="s">
        <v>919</v>
      </c>
      <c r="CJ124" s="214" t="s">
        <v>70</v>
      </c>
      <c r="CK124" s="214" t="s">
        <v>530</v>
      </c>
      <c r="CM124" s="214" t="s">
        <v>8494</v>
      </c>
      <c r="CN124" s="214" t="s">
        <v>145</v>
      </c>
      <c r="CO124" s="214" t="s">
        <v>70</v>
      </c>
      <c r="CP124" s="214" t="s">
        <v>530</v>
      </c>
      <c r="CR124" s="214" t="s">
        <v>8495</v>
      </c>
      <c r="CS124" s="214" t="s">
        <v>34545</v>
      </c>
      <c r="CT124" s="214" t="s">
        <v>70</v>
      </c>
      <c r="CU124" s="214" t="s">
        <v>530</v>
      </c>
      <c r="CW124" s="214" t="s">
        <v>8496</v>
      </c>
      <c r="CX124" s="214" t="s">
        <v>468</v>
      </c>
      <c r="CY124" s="214" t="s">
        <v>70</v>
      </c>
      <c r="CZ124" s="214" t="s">
        <v>530</v>
      </c>
      <c r="DB124" s="214" t="s">
        <v>8497</v>
      </c>
      <c r="DC124" s="214" t="s">
        <v>93</v>
      </c>
      <c r="DD124" s="214" t="s">
        <v>70</v>
      </c>
      <c r="DE124" s="214" t="s">
        <v>530</v>
      </c>
      <c r="DG124" s="214" t="s">
        <v>8498</v>
      </c>
      <c r="DH124" s="214" t="s">
        <v>163</v>
      </c>
      <c r="DI124" s="214" t="s">
        <v>70</v>
      </c>
      <c r="DJ124" s="214" t="s">
        <v>530</v>
      </c>
      <c r="DL124" s="214" t="s">
        <v>8499</v>
      </c>
      <c r="DM124" s="214" t="s">
        <v>52</v>
      </c>
      <c r="DN124" s="214" t="s">
        <v>70</v>
      </c>
      <c r="DO124" s="214" t="s">
        <v>530</v>
      </c>
      <c r="DQ124" s="214" t="s">
        <v>8500</v>
      </c>
      <c r="DR124" s="214" t="s">
        <v>52</v>
      </c>
      <c r="DS124" s="214" t="s">
        <v>70</v>
      </c>
      <c r="DT124" s="214" t="s">
        <v>530</v>
      </c>
      <c r="DV124" s="214" t="s">
        <v>8501</v>
      </c>
      <c r="DW124" s="214" t="s">
        <v>164</v>
      </c>
      <c r="DX124" s="214" t="s">
        <v>70</v>
      </c>
      <c r="DY124" s="214" t="s">
        <v>530</v>
      </c>
      <c r="EA124" s="214" t="s">
        <v>8502</v>
      </c>
      <c r="EB124" s="214" t="s">
        <v>34589</v>
      </c>
      <c r="EC124" s="214" t="s">
        <v>70</v>
      </c>
      <c r="ED124" s="214" t="s">
        <v>530</v>
      </c>
      <c r="EF124" s="214" t="s">
        <v>8503</v>
      </c>
      <c r="EG124" s="214" t="s">
        <v>493</v>
      </c>
      <c r="EH124" s="214" t="s">
        <v>70</v>
      </c>
      <c r="EI124" s="214" t="s">
        <v>530</v>
      </c>
      <c r="EK124" s="214" t="s">
        <v>8504</v>
      </c>
      <c r="EL124" s="214" t="s">
        <v>485</v>
      </c>
      <c r="EM124" s="214" t="s">
        <v>70</v>
      </c>
      <c r="EN124" s="214" t="s">
        <v>530</v>
      </c>
      <c r="EP124" s="214" t="s">
        <v>8505</v>
      </c>
      <c r="EQ124" s="214" t="s">
        <v>52</v>
      </c>
      <c r="ER124" s="214" t="s">
        <v>70</v>
      </c>
      <c r="ES124" s="214" t="s">
        <v>530</v>
      </c>
      <c r="EU124" s="214" t="s">
        <v>8506</v>
      </c>
      <c r="EV124" s="214" t="s">
        <v>52</v>
      </c>
      <c r="EW124" s="214" t="s">
        <v>70</v>
      </c>
      <c r="EX124" s="214" t="s">
        <v>530</v>
      </c>
      <c r="EZ124" s="214" t="s">
        <v>8507</v>
      </c>
      <c r="FA124" s="214" t="s">
        <v>164</v>
      </c>
      <c r="FB124" s="214" t="s">
        <v>70</v>
      </c>
      <c r="FC124" s="214" t="s">
        <v>530</v>
      </c>
      <c r="FE124" s="214" t="s">
        <v>8508</v>
      </c>
      <c r="FF124" s="214" t="s">
        <v>145</v>
      </c>
      <c r="FG124" s="214" t="s">
        <v>70</v>
      </c>
      <c r="FH124" s="214" t="s">
        <v>530</v>
      </c>
      <c r="FJ124" s="321" t="s">
        <v>8509</v>
      </c>
      <c r="FK124" s="214" t="s">
        <v>482</v>
      </c>
      <c r="FL124" s="214" t="s">
        <v>70</v>
      </c>
      <c r="FM124" s="214" t="s">
        <v>530</v>
      </c>
      <c r="FO124" s="321" t="s">
        <v>8510</v>
      </c>
      <c r="FP124" s="214" t="s">
        <v>34620</v>
      </c>
      <c r="FQ124" s="214" t="s">
        <v>70</v>
      </c>
      <c r="FR124" s="214" t="s">
        <v>530</v>
      </c>
      <c r="FT124" s="321" t="s">
        <v>8511</v>
      </c>
      <c r="FU124" s="214" t="s">
        <v>52</v>
      </c>
      <c r="FV124" s="214" t="s">
        <v>70</v>
      </c>
      <c r="FW124" s="214" t="s">
        <v>530</v>
      </c>
      <c r="FY124" s="321" t="s">
        <v>8512</v>
      </c>
      <c r="FZ124" s="214" t="s">
        <v>148</v>
      </c>
      <c r="GA124" s="214" t="s">
        <v>70</v>
      </c>
      <c r="GB124" s="214" t="s">
        <v>530</v>
      </c>
      <c r="GD124" s="321" t="s">
        <v>8513</v>
      </c>
      <c r="GE124" s="214" t="s">
        <v>34623</v>
      </c>
      <c r="GF124" s="214" t="s">
        <v>70</v>
      </c>
      <c r="GG124" s="214" t="s">
        <v>530</v>
      </c>
      <c r="GI124" s="321" t="s">
        <v>8514</v>
      </c>
      <c r="GJ124" s="214" t="s">
        <v>655</v>
      </c>
      <c r="GK124" s="214" t="s">
        <v>70</v>
      </c>
      <c r="GL124" s="214" t="s">
        <v>530</v>
      </c>
      <c r="GN124" s="321" t="s">
        <v>8515</v>
      </c>
      <c r="GO124" s="214" t="s">
        <v>601</v>
      </c>
      <c r="GP124" s="214" t="s">
        <v>70</v>
      </c>
      <c r="GQ124" s="214" t="s">
        <v>530</v>
      </c>
      <c r="GS124" s="321" t="s">
        <v>8516</v>
      </c>
      <c r="GT124" s="214" t="s">
        <v>148</v>
      </c>
      <c r="GU124" s="214" t="s">
        <v>70</v>
      </c>
      <c r="GV124" s="214" t="s">
        <v>530</v>
      </c>
      <c r="GX124" s="214" t="s">
        <v>8517</v>
      </c>
      <c r="GY124" s="214" t="s">
        <v>925</v>
      </c>
      <c r="GZ124" s="214" t="s">
        <v>70</v>
      </c>
      <c r="HA124" s="214" t="s">
        <v>530</v>
      </c>
      <c r="HC124" s="214" t="s">
        <v>8518</v>
      </c>
      <c r="HD124" s="214" t="s">
        <v>468</v>
      </c>
      <c r="HE124" s="214" t="s">
        <v>70</v>
      </c>
      <c r="HF124" s="214" t="s">
        <v>530</v>
      </c>
      <c r="HH124" s="214" t="s">
        <v>8519</v>
      </c>
      <c r="HI124" s="214" t="s">
        <v>85</v>
      </c>
      <c r="HJ124" s="214" t="s">
        <v>70</v>
      </c>
      <c r="HK124" s="214" t="s">
        <v>530</v>
      </c>
      <c r="HM124" s="214" t="s">
        <v>8520</v>
      </c>
      <c r="HN124" s="214" t="s">
        <v>86</v>
      </c>
      <c r="HO124" s="214" t="s">
        <v>70</v>
      </c>
      <c r="HP124" s="214" t="s">
        <v>530</v>
      </c>
      <c r="HR124" s="22" t="s">
        <v>8521</v>
      </c>
      <c r="HS124" s="22" t="s">
        <v>34550</v>
      </c>
      <c r="HT124" s="22" t="s">
        <v>70</v>
      </c>
      <c r="HU124" s="214" t="s">
        <v>530</v>
      </c>
      <c r="HW124" s="22" t="s">
        <v>8522</v>
      </c>
      <c r="HX124" s="22" t="s">
        <v>34587</v>
      </c>
      <c r="HY124" s="22" t="s">
        <v>70</v>
      </c>
      <c r="HZ124" s="214" t="s">
        <v>530</v>
      </c>
      <c r="IB124" s="22" t="s">
        <v>8523</v>
      </c>
      <c r="IC124" s="22" t="s">
        <v>481</v>
      </c>
      <c r="ID124" s="22" t="s">
        <v>70</v>
      </c>
      <c r="IE124" s="214" t="s">
        <v>530</v>
      </c>
      <c r="IG124" s="22" t="s">
        <v>8524</v>
      </c>
      <c r="IH124" s="22" t="s">
        <v>52</v>
      </c>
      <c r="II124" s="22" t="s">
        <v>70</v>
      </c>
      <c r="IJ124" s="214" t="s">
        <v>530</v>
      </c>
      <c r="IL124" s="22" t="s">
        <v>8525</v>
      </c>
      <c r="IM124" s="22" t="s">
        <v>145</v>
      </c>
      <c r="IN124" s="22" t="s">
        <v>70</v>
      </c>
      <c r="IO124" s="214" t="s">
        <v>530</v>
      </c>
      <c r="IQ124" s="236" t="s">
        <v>8526</v>
      </c>
      <c r="IR124" s="236" t="s">
        <v>145</v>
      </c>
      <c r="IS124" s="236" t="s">
        <v>74</v>
      </c>
      <c r="IT124" s="236" t="s">
        <v>841</v>
      </c>
      <c r="IV124" s="236" t="s">
        <v>8527</v>
      </c>
      <c r="IW124" s="236" t="s">
        <v>145</v>
      </c>
      <c r="IX124" s="236" t="s">
        <v>74</v>
      </c>
      <c r="IY124" s="236" t="s">
        <v>841</v>
      </c>
      <c r="JA124" s="236" t="s">
        <v>8528</v>
      </c>
      <c r="JB124" s="236" t="s">
        <v>145</v>
      </c>
      <c r="JC124" s="236" t="s">
        <v>74</v>
      </c>
      <c r="JD124" s="236" t="s">
        <v>841</v>
      </c>
      <c r="JF124" s="236" t="s">
        <v>8529</v>
      </c>
      <c r="JG124" s="236" t="s">
        <v>145</v>
      </c>
      <c r="JH124" s="236" t="s">
        <v>74</v>
      </c>
      <c r="JI124" s="236" t="s">
        <v>841</v>
      </c>
      <c r="JK124" s="236" t="s">
        <v>8530</v>
      </c>
      <c r="JL124" s="236" t="s">
        <v>145</v>
      </c>
      <c r="JM124" s="236" t="s">
        <v>74</v>
      </c>
      <c r="JN124" s="236" t="s">
        <v>841</v>
      </c>
      <c r="JP124" s="236" t="s">
        <v>8531</v>
      </c>
      <c r="JQ124" s="236" t="s">
        <v>145</v>
      </c>
      <c r="JR124" s="236" t="s">
        <v>74</v>
      </c>
      <c r="JS124" s="236" t="s">
        <v>841</v>
      </c>
      <c r="JU124" s="294" t="s">
        <v>8532</v>
      </c>
      <c r="JV124" s="218" t="s">
        <v>87</v>
      </c>
      <c r="JW124" s="263" t="s">
        <v>70</v>
      </c>
      <c r="JX124" s="263" t="s">
        <v>34236</v>
      </c>
      <c r="JZ124" s="263" t="s">
        <v>8533</v>
      </c>
      <c r="KA124" s="263" t="s">
        <v>145</v>
      </c>
      <c r="KB124" s="263" t="s">
        <v>70</v>
      </c>
      <c r="KC124" s="263" t="s">
        <v>1083</v>
      </c>
      <c r="KE124" s="263" t="s">
        <v>8534</v>
      </c>
      <c r="KF124" s="263" t="s">
        <v>52</v>
      </c>
      <c r="KG124" s="263" t="s">
        <v>70</v>
      </c>
      <c r="KH124" s="263" t="s">
        <v>1083</v>
      </c>
      <c r="KJ124" s="263" t="s">
        <v>8535</v>
      </c>
      <c r="KK124" s="263" t="s">
        <v>52</v>
      </c>
      <c r="KL124" s="263" t="s">
        <v>74</v>
      </c>
      <c r="KM124" s="263" t="s">
        <v>34074</v>
      </c>
      <c r="KO124" s="214" t="s">
        <v>8536</v>
      </c>
      <c r="KP124" s="214" t="s">
        <v>145</v>
      </c>
      <c r="KQ124" s="214" t="s">
        <v>70</v>
      </c>
      <c r="KR124" s="214" t="s">
        <v>67</v>
      </c>
      <c r="KT124" s="22" t="s">
        <v>8537</v>
      </c>
      <c r="KU124" s="22" t="s">
        <v>145</v>
      </c>
      <c r="KV124" s="22" t="s">
        <v>70</v>
      </c>
      <c r="KW124" s="22" t="s">
        <v>67</v>
      </c>
      <c r="KY124" s="214" t="s">
        <v>8538</v>
      </c>
      <c r="KZ124" s="214" t="s">
        <v>52</v>
      </c>
      <c r="LA124" s="214" t="s">
        <v>74</v>
      </c>
      <c r="LB124" s="214" t="s">
        <v>67</v>
      </c>
      <c r="LD124" s="22" t="s">
        <v>8539</v>
      </c>
      <c r="LE124" s="22" t="s">
        <v>145</v>
      </c>
      <c r="LF124" s="22" t="s">
        <v>70</v>
      </c>
      <c r="LG124" s="22" t="s">
        <v>67</v>
      </c>
    </row>
    <row r="125" spans="1:319">
      <c r="A125" s="22" t="s">
        <v>8540</v>
      </c>
      <c r="B125" s="22" t="s">
        <v>145</v>
      </c>
      <c r="C125" s="22" t="s">
        <v>70</v>
      </c>
      <c r="D125" s="22" t="s">
        <v>67</v>
      </c>
      <c r="F125" s="23" t="s">
        <v>8541</v>
      </c>
      <c r="G125" s="23" t="str">
        <f>TVIIBE1M_CalPairs!$E122</f>
        <v>0x00</v>
      </c>
      <c r="H125" s="23" t="s">
        <v>72</v>
      </c>
      <c r="I125" s="23" t="str">
        <f>TVIIBE1M_CalPairs!$C122</f>
        <v>PWR_TRIM_HT_OVDVDDA_CTL2_VAL2</v>
      </c>
      <c r="K125" s="22" t="s">
        <v>8542</v>
      </c>
      <c r="L125" s="22" t="s">
        <v>145</v>
      </c>
      <c r="M125" s="22" t="s">
        <v>70</v>
      </c>
      <c r="N125" s="22" t="s">
        <v>67</v>
      </c>
      <c r="P125" s="394" t="s">
        <v>8543</v>
      </c>
      <c r="Q125" s="394" t="s">
        <v>145</v>
      </c>
      <c r="R125" s="394" t="s">
        <v>72</v>
      </c>
      <c r="S125" s="394" t="s">
        <v>34701</v>
      </c>
      <c r="U125" s="293" t="s">
        <v>8544</v>
      </c>
      <c r="V125" s="293" t="s">
        <v>145</v>
      </c>
      <c r="W125" s="293" t="s">
        <v>74</v>
      </c>
      <c r="X125" s="293" t="s">
        <v>656</v>
      </c>
      <c r="Z125" s="293" t="s">
        <v>8545</v>
      </c>
      <c r="AA125" s="293" t="s">
        <v>145</v>
      </c>
      <c r="AB125" s="293" t="s">
        <v>74</v>
      </c>
      <c r="AC125" s="293" t="s">
        <v>656</v>
      </c>
      <c r="AE125" s="293" t="s">
        <v>8546</v>
      </c>
      <c r="AF125" s="293" t="s">
        <v>145</v>
      </c>
      <c r="AG125" s="293" t="s">
        <v>74</v>
      </c>
      <c r="AH125" s="293" t="s">
        <v>656</v>
      </c>
      <c r="AJ125" s="293" t="s">
        <v>8547</v>
      </c>
      <c r="AK125" s="293" t="s">
        <v>145</v>
      </c>
      <c r="AL125" s="293" t="s">
        <v>74</v>
      </c>
      <c r="AM125" s="293" t="s">
        <v>656</v>
      </c>
      <c r="AO125" s="22" t="s">
        <v>8548</v>
      </c>
      <c r="AP125" s="22" t="s">
        <v>145</v>
      </c>
      <c r="AQ125" s="22" t="s">
        <v>70</v>
      </c>
      <c r="AR125" s="22" t="s">
        <v>67</v>
      </c>
      <c r="AT125" s="22" t="s">
        <v>8549</v>
      </c>
      <c r="AU125" s="22" t="s">
        <v>145</v>
      </c>
      <c r="AV125" s="22" t="s">
        <v>70</v>
      </c>
      <c r="AW125" s="22" t="s">
        <v>67</v>
      </c>
      <c r="AY125" s="22" t="s">
        <v>8550</v>
      </c>
      <c r="AZ125" s="22" t="s">
        <v>145</v>
      </c>
      <c r="BA125" s="22" t="s">
        <v>70</v>
      </c>
      <c r="BB125" s="22" t="s">
        <v>67</v>
      </c>
      <c r="BD125" s="22" t="s">
        <v>8551</v>
      </c>
      <c r="BE125" s="22" t="s">
        <v>145</v>
      </c>
      <c r="BF125" s="22" t="s">
        <v>70</v>
      </c>
      <c r="BG125" s="22" t="s">
        <v>67</v>
      </c>
      <c r="BI125" s="22" t="s">
        <v>8552</v>
      </c>
      <c r="BJ125" s="22" t="s">
        <v>145</v>
      </c>
      <c r="BK125" s="22" t="s">
        <v>70</v>
      </c>
      <c r="BL125" s="22" t="s">
        <v>67</v>
      </c>
      <c r="BN125" s="22" t="s">
        <v>8553</v>
      </c>
      <c r="BO125" s="22" t="s">
        <v>145</v>
      </c>
      <c r="BP125" s="22" t="s">
        <v>70</v>
      </c>
      <c r="BQ125" s="22" t="s">
        <v>67</v>
      </c>
      <c r="BS125" s="22" t="s">
        <v>8554</v>
      </c>
      <c r="BT125" s="22" t="s">
        <v>145</v>
      </c>
      <c r="BU125" s="22" t="s">
        <v>70</v>
      </c>
      <c r="BV125" s="214" t="s">
        <v>530</v>
      </c>
      <c r="BX125" s="22" t="s">
        <v>8555</v>
      </c>
      <c r="BY125" s="22" t="s">
        <v>145</v>
      </c>
      <c r="BZ125" s="22" t="s">
        <v>70</v>
      </c>
      <c r="CA125" s="214" t="s">
        <v>530</v>
      </c>
      <c r="CC125" s="214" t="s">
        <v>8556</v>
      </c>
      <c r="CD125" s="218" t="s">
        <v>145</v>
      </c>
      <c r="CE125" s="214" t="s">
        <v>70</v>
      </c>
      <c r="CF125" s="214" t="s">
        <v>420</v>
      </c>
      <c r="CH125" s="214" t="s">
        <v>8557</v>
      </c>
      <c r="CI125" s="214" t="s">
        <v>163</v>
      </c>
      <c r="CJ125" s="214" t="s">
        <v>70</v>
      </c>
      <c r="CK125" s="214" t="s">
        <v>530</v>
      </c>
      <c r="CM125" s="214" t="s">
        <v>8558</v>
      </c>
      <c r="CN125" s="214" t="s">
        <v>34540</v>
      </c>
      <c r="CO125" s="214" t="s">
        <v>70</v>
      </c>
      <c r="CP125" s="214" t="s">
        <v>530</v>
      </c>
      <c r="CR125" s="214" t="s">
        <v>8559</v>
      </c>
      <c r="CS125" s="214" t="s">
        <v>34551</v>
      </c>
      <c r="CT125" s="214" t="s">
        <v>70</v>
      </c>
      <c r="CU125" s="214" t="s">
        <v>530</v>
      </c>
      <c r="CW125" s="214" t="s">
        <v>8560</v>
      </c>
      <c r="CX125" s="214" t="s">
        <v>86</v>
      </c>
      <c r="CY125" s="214" t="s">
        <v>70</v>
      </c>
      <c r="CZ125" s="214" t="s">
        <v>530</v>
      </c>
      <c r="DB125" s="214" t="s">
        <v>8561</v>
      </c>
      <c r="DC125" s="214" t="s">
        <v>486</v>
      </c>
      <c r="DD125" s="214" t="s">
        <v>70</v>
      </c>
      <c r="DE125" s="214" t="s">
        <v>530</v>
      </c>
      <c r="DG125" s="214" t="s">
        <v>8562</v>
      </c>
      <c r="DH125" s="214" t="s">
        <v>950</v>
      </c>
      <c r="DI125" s="214" t="s">
        <v>70</v>
      </c>
      <c r="DJ125" s="214" t="s">
        <v>530</v>
      </c>
      <c r="DL125" s="214" t="s">
        <v>8563</v>
      </c>
      <c r="DM125" s="214" t="s">
        <v>52</v>
      </c>
      <c r="DN125" s="214" t="s">
        <v>70</v>
      </c>
      <c r="DO125" s="214" t="s">
        <v>530</v>
      </c>
      <c r="DQ125" s="214" t="s">
        <v>8564</v>
      </c>
      <c r="DR125" s="214" t="s">
        <v>485</v>
      </c>
      <c r="DS125" s="214" t="s">
        <v>70</v>
      </c>
      <c r="DT125" s="214" t="s">
        <v>530</v>
      </c>
      <c r="DV125" s="214" t="s">
        <v>8565</v>
      </c>
      <c r="DW125" s="214" t="s">
        <v>146</v>
      </c>
      <c r="DX125" s="214" t="s">
        <v>70</v>
      </c>
      <c r="DY125" s="214" t="s">
        <v>530</v>
      </c>
      <c r="EA125" s="214" t="s">
        <v>8566</v>
      </c>
      <c r="EB125" s="214" t="s">
        <v>910</v>
      </c>
      <c r="EC125" s="214" t="s">
        <v>70</v>
      </c>
      <c r="ED125" s="214" t="s">
        <v>530</v>
      </c>
      <c r="EF125" s="214" t="s">
        <v>8567</v>
      </c>
      <c r="EG125" s="214" t="s">
        <v>484</v>
      </c>
      <c r="EH125" s="214" t="s">
        <v>70</v>
      </c>
      <c r="EI125" s="214" t="s">
        <v>530</v>
      </c>
      <c r="EK125" s="214" t="s">
        <v>8568</v>
      </c>
      <c r="EL125" s="214" t="s">
        <v>34580</v>
      </c>
      <c r="EM125" s="214" t="s">
        <v>70</v>
      </c>
      <c r="EN125" s="214" t="s">
        <v>530</v>
      </c>
      <c r="EP125" s="214" t="s">
        <v>8569</v>
      </c>
      <c r="EQ125" s="214" t="s">
        <v>955</v>
      </c>
      <c r="ER125" s="214" t="s">
        <v>70</v>
      </c>
      <c r="ES125" s="214" t="s">
        <v>530</v>
      </c>
      <c r="EU125" s="214" t="s">
        <v>8570</v>
      </c>
      <c r="EV125" s="214" t="s">
        <v>34558</v>
      </c>
      <c r="EW125" s="214" t="s">
        <v>70</v>
      </c>
      <c r="EX125" s="214" t="s">
        <v>530</v>
      </c>
      <c r="EZ125" s="214" t="s">
        <v>8571</v>
      </c>
      <c r="FA125" s="214" t="s">
        <v>34544</v>
      </c>
      <c r="FB125" s="214" t="s">
        <v>70</v>
      </c>
      <c r="FC125" s="214" t="s">
        <v>530</v>
      </c>
      <c r="FE125" s="214" t="s">
        <v>8572</v>
      </c>
      <c r="FF125" s="214" t="s">
        <v>34541</v>
      </c>
      <c r="FG125" s="214" t="s">
        <v>70</v>
      </c>
      <c r="FH125" s="214" t="s">
        <v>530</v>
      </c>
      <c r="FJ125" s="321" t="s">
        <v>8573</v>
      </c>
      <c r="FK125" s="214" t="s">
        <v>146</v>
      </c>
      <c r="FL125" s="214" t="s">
        <v>70</v>
      </c>
      <c r="FM125" s="214" t="s">
        <v>530</v>
      </c>
      <c r="FO125" s="321" t="s">
        <v>8574</v>
      </c>
      <c r="FP125" s="214" t="s">
        <v>491</v>
      </c>
      <c r="FQ125" s="214" t="s">
        <v>70</v>
      </c>
      <c r="FR125" s="214" t="s">
        <v>530</v>
      </c>
      <c r="FT125" s="321" t="s">
        <v>8575</v>
      </c>
      <c r="FU125" s="214" t="s">
        <v>598</v>
      </c>
      <c r="FV125" s="214" t="s">
        <v>70</v>
      </c>
      <c r="FW125" s="214" t="s">
        <v>530</v>
      </c>
      <c r="FY125" s="321" t="s">
        <v>8576</v>
      </c>
      <c r="FZ125" s="214" t="s">
        <v>518</v>
      </c>
      <c r="GA125" s="214" t="s">
        <v>70</v>
      </c>
      <c r="GB125" s="214" t="s">
        <v>530</v>
      </c>
      <c r="GD125" s="321" t="s">
        <v>8577</v>
      </c>
      <c r="GE125" s="214" t="s">
        <v>491</v>
      </c>
      <c r="GF125" s="214" t="s">
        <v>70</v>
      </c>
      <c r="GG125" s="214" t="s">
        <v>530</v>
      </c>
      <c r="GI125" s="321" t="s">
        <v>8578</v>
      </c>
      <c r="GJ125" s="214" t="s">
        <v>488</v>
      </c>
      <c r="GK125" s="214" t="s">
        <v>70</v>
      </c>
      <c r="GL125" s="214" t="s">
        <v>530</v>
      </c>
      <c r="GN125" s="321" t="s">
        <v>8579</v>
      </c>
      <c r="GO125" s="214" t="s">
        <v>955</v>
      </c>
      <c r="GP125" s="214" t="s">
        <v>70</v>
      </c>
      <c r="GQ125" s="214" t="s">
        <v>530</v>
      </c>
      <c r="GS125" s="321" t="s">
        <v>8580</v>
      </c>
      <c r="GT125" s="214" t="s">
        <v>484</v>
      </c>
      <c r="GU125" s="214" t="s">
        <v>70</v>
      </c>
      <c r="GV125" s="214" t="s">
        <v>530</v>
      </c>
      <c r="GX125" s="214" t="s">
        <v>8581</v>
      </c>
      <c r="GY125" s="214" t="s">
        <v>488</v>
      </c>
      <c r="GZ125" s="214" t="s">
        <v>70</v>
      </c>
      <c r="HA125" s="214" t="s">
        <v>530</v>
      </c>
      <c r="HC125" s="214" t="s">
        <v>8582</v>
      </c>
      <c r="HD125" s="214" t="s">
        <v>52</v>
      </c>
      <c r="HE125" s="214" t="s">
        <v>70</v>
      </c>
      <c r="HF125" s="214" t="s">
        <v>530</v>
      </c>
      <c r="HH125" s="214" t="s">
        <v>8583</v>
      </c>
      <c r="HI125" s="214" t="s">
        <v>485</v>
      </c>
      <c r="HJ125" s="214" t="s">
        <v>70</v>
      </c>
      <c r="HK125" s="214" t="s">
        <v>530</v>
      </c>
      <c r="HM125" s="214" t="s">
        <v>8584</v>
      </c>
      <c r="HN125" s="214" t="s">
        <v>52</v>
      </c>
      <c r="HO125" s="214" t="s">
        <v>70</v>
      </c>
      <c r="HP125" s="214" t="s">
        <v>530</v>
      </c>
      <c r="HR125" s="22" t="s">
        <v>8585</v>
      </c>
      <c r="HS125" s="22" t="s">
        <v>486</v>
      </c>
      <c r="HT125" s="22" t="s">
        <v>70</v>
      </c>
      <c r="HU125" s="214" t="s">
        <v>530</v>
      </c>
      <c r="HW125" s="22" t="s">
        <v>8586</v>
      </c>
      <c r="HX125" s="22" t="s">
        <v>490</v>
      </c>
      <c r="HY125" s="22" t="s">
        <v>70</v>
      </c>
      <c r="HZ125" s="214" t="s">
        <v>530</v>
      </c>
      <c r="IB125" s="22" t="s">
        <v>8587</v>
      </c>
      <c r="IC125" s="22" t="s">
        <v>496</v>
      </c>
      <c r="ID125" s="22" t="s">
        <v>70</v>
      </c>
      <c r="IE125" s="214" t="s">
        <v>530</v>
      </c>
      <c r="IG125" s="22" t="s">
        <v>8588</v>
      </c>
      <c r="IH125" s="22" t="s">
        <v>52</v>
      </c>
      <c r="II125" s="22" t="s">
        <v>70</v>
      </c>
      <c r="IJ125" s="214" t="s">
        <v>530</v>
      </c>
      <c r="IL125" s="22" t="s">
        <v>8589</v>
      </c>
      <c r="IM125" s="22" t="s">
        <v>145</v>
      </c>
      <c r="IN125" s="22" t="s">
        <v>70</v>
      </c>
      <c r="IO125" s="214" t="s">
        <v>530</v>
      </c>
      <c r="IQ125" s="236" t="s">
        <v>8590</v>
      </c>
      <c r="IR125" s="236" t="s">
        <v>145</v>
      </c>
      <c r="IS125" s="236" t="s">
        <v>74</v>
      </c>
      <c r="IT125" s="236" t="s">
        <v>841</v>
      </c>
      <c r="IV125" s="236" t="s">
        <v>8591</v>
      </c>
      <c r="IW125" s="236" t="s">
        <v>145</v>
      </c>
      <c r="IX125" s="236" t="s">
        <v>74</v>
      </c>
      <c r="IY125" s="236" t="s">
        <v>841</v>
      </c>
      <c r="JA125" s="236" t="s">
        <v>8592</v>
      </c>
      <c r="JB125" s="236" t="s">
        <v>145</v>
      </c>
      <c r="JC125" s="236" t="s">
        <v>74</v>
      </c>
      <c r="JD125" s="236" t="s">
        <v>841</v>
      </c>
      <c r="JF125" s="236" t="s">
        <v>8593</v>
      </c>
      <c r="JG125" s="236" t="s">
        <v>145</v>
      </c>
      <c r="JH125" s="236" t="s">
        <v>74</v>
      </c>
      <c r="JI125" s="236" t="s">
        <v>841</v>
      </c>
      <c r="JK125" s="236" t="s">
        <v>8594</v>
      </c>
      <c r="JL125" s="236" t="s">
        <v>145</v>
      </c>
      <c r="JM125" s="236" t="s">
        <v>74</v>
      </c>
      <c r="JN125" s="236" t="s">
        <v>841</v>
      </c>
      <c r="JP125" s="236" t="s">
        <v>8595</v>
      </c>
      <c r="JQ125" s="236" t="s">
        <v>145</v>
      </c>
      <c r="JR125" s="236" t="s">
        <v>74</v>
      </c>
      <c r="JS125" s="236" t="s">
        <v>841</v>
      </c>
      <c r="JU125" s="294" t="s">
        <v>8596</v>
      </c>
      <c r="JV125" s="263" t="s">
        <v>52</v>
      </c>
      <c r="JW125" s="263" t="s">
        <v>70</v>
      </c>
      <c r="JX125" s="263" t="s">
        <v>34237</v>
      </c>
      <c r="JZ125" s="263" t="s">
        <v>8597</v>
      </c>
      <c r="KA125" s="263" t="s">
        <v>145</v>
      </c>
      <c r="KB125" s="263" t="s">
        <v>70</v>
      </c>
      <c r="KC125" s="263" t="s">
        <v>1083</v>
      </c>
      <c r="KE125" s="263" t="s">
        <v>8598</v>
      </c>
      <c r="KF125" s="263" t="s">
        <v>52</v>
      </c>
      <c r="KG125" s="263" t="s">
        <v>70</v>
      </c>
      <c r="KH125" s="263" t="s">
        <v>1083</v>
      </c>
      <c r="KJ125" s="263" t="s">
        <v>8599</v>
      </c>
      <c r="KK125" s="263" t="s">
        <v>52</v>
      </c>
      <c r="KL125" s="263" t="s">
        <v>74</v>
      </c>
      <c r="KM125" s="263" t="s">
        <v>34074</v>
      </c>
      <c r="KO125" s="214" t="s">
        <v>8600</v>
      </c>
      <c r="KP125" s="214" t="s">
        <v>145</v>
      </c>
      <c r="KQ125" s="214" t="s">
        <v>70</v>
      </c>
      <c r="KR125" s="214" t="s">
        <v>67</v>
      </c>
      <c r="KT125" s="22" t="s">
        <v>8601</v>
      </c>
      <c r="KU125" s="22" t="s">
        <v>145</v>
      </c>
      <c r="KV125" s="22" t="s">
        <v>70</v>
      </c>
      <c r="KW125" s="22" t="s">
        <v>67</v>
      </c>
      <c r="KY125" s="214" t="s">
        <v>8602</v>
      </c>
      <c r="KZ125" s="214" t="s">
        <v>52</v>
      </c>
      <c r="LA125" s="214" t="s">
        <v>74</v>
      </c>
      <c r="LB125" s="214" t="s">
        <v>67</v>
      </c>
      <c r="LD125" s="22" t="s">
        <v>8603</v>
      </c>
      <c r="LE125" s="22" t="s">
        <v>145</v>
      </c>
      <c r="LF125" s="22" t="s">
        <v>70</v>
      </c>
      <c r="LG125" s="22" t="s">
        <v>67</v>
      </c>
    </row>
    <row r="126" spans="1:319">
      <c r="A126" s="22" t="s">
        <v>8604</v>
      </c>
      <c r="B126" s="22" t="s">
        <v>145</v>
      </c>
      <c r="C126" s="22" t="s">
        <v>70</v>
      </c>
      <c r="D126" s="22" t="s">
        <v>67</v>
      </c>
      <c r="F126" s="23" t="s">
        <v>8605</v>
      </c>
      <c r="G126" s="23" t="str">
        <f>TVIIBE1M_CalPairs!$E123</f>
        <v>0x00</v>
      </c>
      <c r="H126" s="23" t="s">
        <v>72</v>
      </c>
      <c r="I126" s="23" t="str">
        <f>TVIIBE1M_CalPairs!$C123</f>
        <v>PWR_TRIM_HT_OVDVDDA_CTL2_VAL3</v>
      </c>
      <c r="K126" s="22" t="s">
        <v>8606</v>
      </c>
      <c r="L126" s="22" t="s">
        <v>145</v>
      </c>
      <c r="M126" s="22" t="s">
        <v>70</v>
      </c>
      <c r="N126" s="22" t="s">
        <v>67</v>
      </c>
      <c r="P126" s="394" t="s">
        <v>8607</v>
      </c>
      <c r="Q126" s="394" t="s">
        <v>145</v>
      </c>
      <c r="R126" s="394" t="s">
        <v>72</v>
      </c>
      <c r="S126" s="394" t="s">
        <v>34702</v>
      </c>
      <c r="U126" s="293" t="s">
        <v>8608</v>
      </c>
      <c r="V126" s="293" t="s">
        <v>145</v>
      </c>
      <c r="W126" s="293" t="s">
        <v>74</v>
      </c>
      <c r="X126" s="293" t="s">
        <v>656</v>
      </c>
      <c r="Z126" s="293" t="s">
        <v>8609</v>
      </c>
      <c r="AA126" s="293" t="s">
        <v>145</v>
      </c>
      <c r="AB126" s="293" t="s">
        <v>74</v>
      </c>
      <c r="AC126" s="293" t="s">
        <v>656</v>
      </c>
      <c r="AE126" s="293" t="s">
        <v>8610</v>
      </c>
      <c r="AF126" s="293" t="s">
        <v>145</v>
      </c>
      <c r="AG126" s="293" t="s">
        <v>74</v>
      </c>
      <c r="AH126" s="293" t="s">
        <v>656</v>
      </c>
      <c r="AJ126" s="293" t="s">
        <v>8611</v>
      </c>
      <c r="AK126" s="293" t="s">
        <v>145</v>
      </c>
      <c r="AL126" s="293" t="s">
        <v>74</v>
      </c>
      <c r="AM126" s="293" t="s">
        <v>656</v>
      </c>
      <c r="AO126" s="22" t="s">
        <v>8612</v>
      </c>
      <c r="AP126" s="22" t="s">
        <v>145</v>
      </c>
      <c r="AQ126" s="22" t="s">
        <v>70</v>
      </c>
      <c r="AR126" s="22" t="s">
        <v>67</v>
      </c>
      <c r="AT126" s="22" t="s">
        <v>8613</v>
      </c>
      <c r="AU126" s="22" t="s">
        <v>145</v>
      </c>
      <c r="AV126" s="22" t="s">
        <v>70</v>
      </c>
      <c r="AW126" s="22" t="s">
        <v>67</v>
      </c>
      <c r="AY126" s="22" t="s">
        <v>8614</v>
      </c>
      <c r="AZ126" s="22" t="s">
        <v>145</v>
      </c>
      <c r="BA126" s="22" t="s">
        <v>70</v>
      </c>
      <c r="BB126" s="22" t="s">
        <v>67</v>
      </c>
      <c r="BD126" s="22" t="s">
        <v>8615</v>
      </c>
      <c r="BE126" s="22" t="s">
        <v>145</v>
      </c>
      <c r="BF126" s="22" t="s">
        <v>70</v>
      </c>
      <c r="BG126" s="22" t="s">
        <v>67</v>
      </c>
      <c r="BI126" s="22" t="s">
        <v>8616</v>
      </c>
      <c r="BJ126" s="22" t="s">
        <v>145</v>
      </c>
      <c r="BK126" s="22" t="s">
        <v>70</v>
      </c>
      <c r="BL126" s="22" t="s">
        <v>67</v>
      </c>
      <c r="BN126" s="22" t="s">
        <v>8617</v>
      </c>
      <c r="BO126" s="22" t="s">
        <v>145</v>
      </c>
      <c r="BP126" s="22" t="s">
        <v>70</v>
      </c>
      <c r="BQ126" s="22" t="s">
        <v>67</v>
      </c>
      <c r="BS126" s="22" t="s">
        <v>8618</v>
      </c>
      <c r="BT126" s="22" t="s">
        <v>145</v>
      </c>
      <c r="BU126" s="22" t="s">
        <v>70</v>
      </c>
      <c r="BV126" s="214" t="s">
        <v>530</v>
      </c>
      <c r="BX126" s="22" t="s">
        <v>8619</v>
      </c>
      <c r="BY126" s="22" t="s">
        <v>145</v>
      </c>
      <c r="BZ126" s="22" t="s">
        <v>70</v>
      </c>
      <c r="CA126" s="214" t="s">
        <v>530</v>
      </c>
      <c r="CC126" s="214" t="s">
        <v>8620</v>
      </c>
      <c r="CD126" s="218" t="s">
        <v>145</v>
      </c>
      <c r="CE126" s="214" t="s">
        <v>70</v>
      </c>
      <c r="CF126" s="214" t="s">
        <v>421</v>
      </c>
      <c r="CH126" s="214" t="s">
        <v>8621</v>
      </c>
      <c r="CI126" s="214" t="s">
        <v>34558</v>
      </c>
      <c r="CJ126" s="214" t="s">
        <v>70</v>
      </c>
      <c r="CK126" s="214" t="s">
        <v>530</v>
      </c>
      <c r="CM126" s="214" t="s">
        <v>8622</v>
      </c>
      <c r="CN126" s="214" t="s">
        <v>916</v>
      </c>
      <c r="CO126" s="214" t="s">
        <v>70</v>
      </c>
      <c r="CP126" s="214" t="s">
        <v>530</v>
      </c>
      <c r="CR126" s="214" t="s">
        <v>8623</v>
      </c>
      <c r="CS126" s="214" t="s">
        <v>86</v>
      </c>
      <c r="CT126" s="214" t="s">
        <v>70</v>
      </c>
      <c r="CU126" s="214" t="s">
        <v>530</v>
      </c>
      <c r="CW126" s="214" t="s">
        <v>8624</v>
      </c>
      <c r="CX126" s="214" t="s">
        <v>52</v>
      </c>
      <c r="CY126" s="214" t="s">
        <v>70</v>
      </c>
      <c r="CZ126" s="214" t="s">
        <v>530</v>
      </c>
      <c r="DB126" s="214" t="s">
        <v>8625</v>
      </c>
      <c r="DC126" s="214" t="s">
        <v>488</v>
      </c>
      <c r="DD126" s="214" t="s">
        <v>70</v>
      </c>
      <c r="DE126" s="214" t="s">
        <v>530</v>
      </c>
      <c r="DG126" s="214" t="s">
        <v>8626</v>
      </c>
      <c r="DH126" s="214" t="s">
        <v>90</v>
      </c>
      <c r="DI126" s="214" t="s">
        <v>70</v>
      </c>
      <c r="DJ126" s="214" t="s">
        <v>530</v>
      </c>
      <c r="DL126" s="214" t="s">
        <v>8627</v>
      </c>
      <c r="DM126" s="214" t="s">
        <v>88</v>
      </c>
      <c r="DN126" s="214" t="s">
        <v>70</v>
      </c>
      <c r="DO126" s="214" t="s">
        <v>530</v>
      </c>
      <c r="DQ126" s="214" t="s">
        <v>8628</v>
      </c>
      <c r="DR126" s="214" t="s">
        <v>148</v>
      </c>
      <c r="DS126" s="214" t="s">
        <v>70</v>
      </c>
      <c r="DT126" s="214" t="s">
        <v>530</v>
      </c>
      <c r="DV126" s="214" t="s">
        <v>8629</v>
      </c>
      <c r="DW126" s="214" t="s">
        <v>34583</v>
      </c>
      <c r="DX126" s="214" t="s">
        <v>70</v>
      </c>
      <c r="DY126" s="214" t="s">
        <v>530</v>
      </c>
      <c r="EA126" s="214" t="s">
        <v>8630</v>
      </c>
      <c r="EB126" s="214" t="s">
        <v>148</v>
      </c>
      <c r="EC126" s="214" t="s">
        <v>70</v>
      </c>
      <c r="ED126" s="214" t="s">
        <v>530</v>
      </c>
      <c r="EF126" s="214" t="s">
        <v>8631</v>
      </c>
      <c r="EG126" s="214" t="s">
        <v>34586</v>
      </c>
      <c r="EH126" s="214" t="s">
        <v>70</v>
      </c>
      <c r="EI126" s="214" t="s">
        <v>530</v>
      </c>
      <c r="EK126" s="214" t="s">
        <v>8632</v>
      </c>
      <c r="EL126" s="214" t="s">
        <v>148</v>
      </c>
      <c r="EM126" s="214" t="s">
        <v>70</v>
      </c>
      <c r="EN126" s="214" t="s">
        <v>530</v>
      </c>
      <c r="EP126" s="214" t="s">
        <v>8633</v>
      </c>
      <c r="EQ126" s="214" t="s">
        <v>148</v>
      </c>
      <c r="ER126" s="214" t="s">
        <v>70</v>
      </c>
      <c r="ES126" s="214" t="s">
        <v>530</v>
      </c>
      <c r="EU126" s="214" t="s">
        <v>8634</v>
      </c>
      <c r="EV126" s="214" t="s">
        <v>52</v>
      </c>
      <c r="EW126" s="214" t="s">
        <v>70</v>
      </c>
      <c r="EX126" s="214" t="s">
        <v>530</v>
      </c>
      <c r="EZ126" s="214" t="s">
        <v>8635</v>
      </c>
      <c r="FA126" s="214" t="s">
        <v>34637</v>
      </c>
      <c r="FB126" s="214" t="s">
        <v>70</v>
      </c>
      <c r="FC126" s="214" t="s">
        <v>530</v>
      </c>
      <c r="FE126" s="214" t="s">
        <v>8636</v>
      </c>
      <c r="FF126" s="214" t="s">
        <v>602</v>
      </c>
      <c r="FG126" s="214" t="s">
        <v>70</v>
      </c>
      <c r="FH126" s="214" t="s">
        <v>530</v>
      </c>
      <c r="FJ126" s="321" t="s">
        <v>8637</v>
      </c>
      <c r="FK126" s="214" t="s">
        <v>34598</v>
      </c>
      <c r="FL126" s="214" t="s">
        <v>70</v>
      </c>
      <c r="FM126" s="214" t="s">
        <v>530</v>
      </c>
      <c r="FO126" s="321" t="s">
        <v>8638</v>
      </c>
      <c r="FP126" s="214" t="s">
        <v>52</v>
      </c>
      <c r="FQ126" s="214" t="s">
        <v>70</v>
      </c>
      <c r="FR126" s="214" t="s">
        <v>530</v>
      </c>
      <c r="FT126" s="321" t="s">
        <v>8639</v>
      </c>
      <c r="FU126" s="214" t="s">
        <v>916</v>
      </c>
      <c r="FV126" s="214" t="s">
        <v>70</v>
      </c>
      <c r="FW126" s="214" t="s">
        <v>530</v>
      </c>
      <c r="FY126" s="321" t="s">
        <v>8640</v>
      </c>
      <c r="FZ126" s="214" t="s">
        <v>481</v>
      </c>
      <c r="GA126" s="214" t="s">
        <v>70</v>
      </c>
      <c r="GB126" s="214" t="s">
        <v>530</v>
      </c>
      <c r="GD126" s="321" t="s">
        <v>8641</v>
      </c>
      <c r="GE126" s="214" t="s">
        <v>164</v>
      </c>
      <c r="GF126" s="214" t="s">
        <v>70</v>
      </c>
      <c r="GG126" s="214" t="s">
        <v>530</v>
      </c>
      <c r="GI126" s="321" t="s">
        <v>8642</v>
      </c>
      <c r="GJ126" s="214" t="s">
        <v>52</v>
      </c>
      <c r="GK126" s="214" t="s">
        <v>70</v>
      </c>
      <c r="GL126" s="214" t="s">
        <v>530</v>
      </c>
      <c r="GN126" s="321" t="s">
        <v>8643</v>
      </c>
      <c r="GO126" s="214" t="s">
        <v>52</v>
      </c>
      <c r="GP126" s="214" t="s">
        <v>70</v>
      </c>
      <c r="GQ126" s="214" t="s">
        <v>530</v>
      </c>
      <c r="GS126" s="321" t="s">
        <v>8644</v>
      </c>
      <c r="GT126" s="214" t="s">
        <v>34611</v>
      </c>
      <c r="GU126" s="214" t="s">
        <v>70</v>
      </c>
      <c r="GV126" s="214" t="s">
        <v>530</v>
      </c>
      <c r="GX126" s="214" t="s">
        <v>8645</v>
      </c>
      <c r="GY126" s="214" t="s">
        <v>145</v>
      </c>
      <c r="GZ126" s="214" t="s">
        <v>70</v>
      </c>
      <c r="HA126" s="214" t="s">
        <v>530</v>
      </c>
      <c r="HC126" s="214" t="s">
        <v>8646</v>
      </c>
      <c r="HD126" s="214" t="s">
        <v>34610</v>
      </c>
      <c r="HE126" s="214" t="s">
        <v>70</v>
      </c>
      <c r="HF126" s="214" t="s">
        <v>530</v>
      </c>
      <c r="HH126" s="214" t="s">
        <v>8647</v>
      </c>
      <c r="HI126" s="214" t="s">
        <v>34590</v>
      </c>
      <c r="HJ126" s="214" t="s">
        <v>70</v>
      </c>
      <c r="HK126" s="214" t="s">
        <v>530</v>
      </c>
      <c r="HM126" s="214" t="s">
        <v>8648</v>
      </c>
      <c r="HN126" s="214" t="s">
        <v>145</v>
      </c>
      <c r="HO126" s="214" t="s">
        <v>70</v>
      </c>
      <c r="HP126" s="214" t="s">
        <v>530</v>
      </c>
      <c r="HR126" s="22" t="s">
        <v>8649</v>
      </c>
      <c r="HS126" s="22" t="s">
        <v>642</v>
      </c>
      <c r="HT126" s="22" t="s">
        <v>70</v>
      </c>
      <c r="HU126" s="214" t="s">
        <v>530</v>
      </c>
      <c r="HW126" s="22" t="s">
        <v>8650</v>
      </c>
      <c r="HX126" s="22" t="s">
        <v>52</v>
      </c>
      <c r="HY126" s="22" t="s">
        <v>70</v>
      </c>
      <c r="HZ126" s="214" t="s">
        <v>530</v>
      </c>
      <c r="IB126" s="22" t="s">
        <v>8651</v>
      </c>
      <c r="IC126" s="22" t="s">
        <v>52</v>
      </c>
      <c r="ID126" s="22" t="s">
        <v>70</v>
      </c>
      <c r="IE126" s="214" t="s">
        <v>530</v>
      </c>
      <c r="IG126" s="22" t="s">
        <v>8652</v>
      </c>
      <c r="IH126" s="22" t="s">
        <v>52</v>
      </c>
      <c r="II126" s="22" t="s">
        <v>70</v>
      </c>
      <c r="IJ126" s="214" t="s">
        <v>530</v>
      </c>
      <c r="IL126" s="22" t="s">
        <v>8653</v>
      </c>
      <c r="IM126" s="22" t="s">
        <v>145</v>
      </c>
      <c r="IN126" s="22" t="s">
        <v>70</v>
      </c>
      <c r="IO126" s="214" t="s">
        <v>530</v>
      </c>
      <c r="IQ126" s="236" t="s">
        <v>8654</v>
      </c>
      <c r="IR126" s="236" t="s">
        <v>145</v>
      </c>
      <c r="IS126" s="236" t="s">
        <v>74</v>
      </c>
      <c r="IT126" s="236" t="s">
        <v>841</v>
      </c>
      <c r="IV126" s="236" t="s">
        <v>8655</v>
      </c>
      <c r="IW126" s="236" t="s">
        <v>145</v>
      </c>
      <c r="IX126" s="236" t="s">
        <v>74</v>
      </c>
      <c r="IY126" s="236" t="s">
        <v>841</v>
      </c>
      <c r="JA126" s="236" t="s">
        <v>8656</v>
      </c>
      <c r="JB126" s="236" t="s">
        <v>145</v>
      </c>
      <c r="JC126" s="236" t="s">
        <v>74</v>
      </c>
      <c r="JD126" s="236" t="s">
        <v>841</v>
      </c>
      <c r="JF126" s="236" t="s">
        <v>8657</v>
      </c>
      <c r="JG126" s="236" t="s">
        <v>145</v>
      </c>
      <c r="JH126" s="236" t="s">
        <v>74</v>
      </c>
      <c r="JI126" s="236" t="s">
        <v>841</v>
      </c>
      <c r="JK126" s="236" t="s">
        <v>8658</v>
      </c>
      <c r="JL126" s="236" t="s">
        <v>145</v>
      </c>
      <c r="JM126" s="236" t="s">
        <v>74</v>
      </c>
      <c r="JN126" s="236" t="s">
        <v>841</v>
      </c>
      <c r="JP126" s="236" t="s">
        <v>8659</v>
      </c>
      <c r="JQ126" s="236" t="s">
        <v>145</v>
      </c>
      <c r="JR126" s="236" t="s">
        <v>74</v>
      </c>
      <c r="JS126" s="236" t="s">
        <v>841</v>
      </c>
      <c r="JU126" s="294" t="s">
        <v>8660</v>
      </c>
      <c r="JV126" s="218" t="s">
        <v>145</v>
      </c>
      <c r="JW126" s="263" t="s">
        <v>70</v>
      </c>
      <c r="JX126" s="263" t="s">
        <v>34238</v>
      </c>
      <c r="JZ126" s="263" t="s">
        <v>8661</v>
      </c>
      <c r="KA126" s="263" t="s">
        <v>145</v>
      </c>
      <c r="KB126" s="263" t="s">
        <v>70</v>
      </c>
      <c r="KC126" s="263" t="s">
        <v>1083</v>
      </c>
      <c r="KE126" s="263" t="s">
        <v>8662</v>
      </c>
      <c r="KF126" s="263" t="s">
        <v>52</v>
      </c>
      <c r="KG126" s="263" t="s">
        <v>70</v>
      </c>
      <c r="KH126" s="263" t="s">
        <v>1083</v>
      </c>
      <c r="KJ126" s="263" t="s">
        <v>8663</v>
      </c>
      <c r="KK126" s="263" t="s">
        <v>52</v>
      </c>
      <c r="KL126" s="263" t="s">
        <v>74</v>
      </c>
      <c r="KM126" s="263" t="s">
        <v>34074</v>
      </c>
      <c r="KO126" s="214" t="s">
        <v>8664</v>
      </c>
      <c r="KP126" s="214" t="s">
        <v>145</v>
      </c>
      <c r="KQ126" s="214" t="s">
        <v>70</v>
      </c>
      <c r="KR126" s="214" t="s">
        <v>67</v>
      </c>
      <c r="KT126" s="22" t="s">
        <v>8665</v>
      </c>
      <c r="KU126" s="22" t="s">
        <v>145</v>
      </c>
      <c r="KV126" s="22" t="s">
        <v>70</v>
      </c>
      <c r="KW126" s="22" t="s">
        <v>67</v>
      </c>
      <c r="KY126" s="214" t="s">
        <v>8666</v>
      </c>
      <c r="KZ126" s="214" t="s">
        <v>52</v>
      </c>
      <c r="LA126" s="214" t="s">
        <v>74</v>
      </c>
      <c r="LB126" s="214" t="s">
        <v>67</v>
      </c>
      <c r="LD126" s="22" t="s">
        <v>8667</v>
      </c>
      <c r="LE126" s="22" t="s">
        <v>145</v>
      </c>
      <c r="LF126" s="22" t="s">
        <v>70</v>
      </c>
      <c r="LG126" s="22" t="s">
        <v>67</v>
      </c>
    </row>
    <row r="127" spans="1:319">
      <c r="A127" s="22" t="s">
        <v>8668</v>
      </c>
      <c r="B127" s="22" t="s">
        <v>145</v>
      </c>
      <c r="C127" s="22" t="s">
        <v>70</v>
      </c>
      <c r="D127" s="22" t="s">
        <v>67</v>
      </c>
      <c r="F127" s="23" t="s">
        <v>8669</v>
      </c>
      <c r="G127" s="23" t="str">
        <f>TVIIBE1M_CalPairs!$E124</f>
        <v>0xB0</v>
      </c>
      <c r="H127" s="23" t="s">
        <v>70</v>
      </c>
      <c r="I127" s="23" t="str">
        <f>TVIIBE1M_CalPairs!$C124</f>
        <v>SRSS6_CMD</v>
      </c>
      <c r="K127" s="22" t="s">
        <v>8670</v>
      </c>
      <c r="L127" s="22" t="s">
        <v>145</v>
      </c>
      <c r="M127" s="22" t="s">
        <v>70</v>
      </c>
      <c r="N127" s="22" t="s">
        <v>67</v>
      </c>
      <c r="P127" s="394" t="s">
        <v>8671</v>
      </c>
      <c r="Q127" s="394" t="s">
        <v>145</v>
      </c>
      <c r="R127" s="394" t="s">
        <v>72</v>
      </c>
      <c r="S127" s="394" t="s">
        <v>34702</v>
      </c>
      <c r="U127" s="293" t="s">
        <v>8672</v>
      </c>
      <c r="V127" s="293" t="s">
        <v>145</v>
      </c>
      <c r="W127" s="293" t="s">
        <v>74</v>
      </c>
      <c r="X127" s="293" t="s">
        <v>656</v>
      </c>
      <c r="Z127" s="293" t="s">
        <v>8673</v>
      </c>
      <c r="AA127" s="293" t="s">
        <v>145</v>
      </c>
      <c r="AB127" s="293" t="s">
        <v>74</v>
      </c>
      <c r="AC127" s="293" t="s">
        <v>656</v>
      </c>
      <c r="AE127" s="293" t="s">
        <v>8674</v>
      </c>
      <c r="AF127" s="293" t="s">
        <v>145</v>
      </c>
      <c r="AG127" s="293" t="s">
        <v>74</v>
      </c>
      <c r="AH127" s="293" t="s">
        <v>656</v>
      </c>
      <c r="AJ127" s="293" t="s">
        <v>8675</v>
      </c>
      <c r="AK127" s="293" t="s">
        <v>145</v>
      </c>
      <c r="AL127" s="293" t="s">
        <v>74</v>
      </c>
      <c r="AM127" s="293" t="s">
        <v>656</v>
      </c>
      <c r="AO127" s="22" t="s">
        <v>8676</v>
      </c>
      <c r="AP127" s="22" t="s">
        <v>145</v>
      </c>
      <c r="AQ127" s="22" t="s">
        <v>70</v>
      </c>
      <c r="AR127" s="22" t="s">
        <v>67</v>
      </c>
      <c r="AT127" s="22" t="s">
        <v>8677</v>
      </c>
      <c r="AU127" s="22" t="s">
        <v>145</v>
      </c>
      <c r="AV127" s="22" t="s">
        <v>70</v>
      </c>
      <c r="AW127" s="22" t="s">
        <v>67</v>
      </c>
      <c r="AY127" s="22" t="s">
        <v>8678</v>
      </c>
      <c r="AZ127" s="22" t="s">
        <v>145</v>
      </c>
      <c r="BA127" s="22" t="s">
        <v>70</v>
      </c>
      <c r="BB127" s="22" t="s">
        <v>67</v>
      </c>
      <c r="BD127" s="22" t="s">
        <v>8679</v>
      </c>
      <c r="BE127" s="22" t="s">
        <v>145</v>
      </c>
      <c r="BF127" s="22" t="s">
        <v>70</v>
      </c>
      <c r="BG127" s="22" t="s">
        <v>67</v>
      </c>
      <c r="BI127" s="22" t="s">
        <v>8680</v>
      </c>
      <c r="BJ127" s="22" t="s">
        <v>145</v>
      </c>
      <c r="BK127" s="22" t="s">
        <v>70</v>
      </c>
      <c r="BL127" s="22" t="s">
        <v>67</v>
      </c>
      <c r="BN127" s="22" t="s">
        <v>8681</v>
      </c>
      <c r="BO127" s="22" t="s">
        <v>145</v>
      </c>
      <c r="BP127" s="22" t="s">
        <v>70</v>
      </c>
      <c r="BQ127" s="22" t="s">
        <v>67</v>
      </c>
      <c r="BS127" s="22" t="s">
        <v>8682</v>
      </c>
      <c r="BT127" s="22" t="s">
        <v>145</v>
      </c>
      <c r="BU127" s="22" t="s">
        <v>70</v>
      </c>
      <c r="BV127" s="214" t="s">
        <v>530</v>
      </c>
      <c r="BX127" s="22" t="s">
        <v>8683</v>
      </c>
      <c r="BY127" s="22" t="s">
        <v>145</v>
      </c>
      <c r="BZ127" s="22" t="s">
        <v>70</v>
      </c>
      <c r="CA127" s="214" t="s">
        <v>530</v>
      </c>
      <c r="CC127" s="214" t="s">
        <v>8684</v>
      </c>
      <c r="CD127" s="218" t="s">
        <v>145</v>
      </c>
      <c r="CE127" s="214" t="s">
        <v>70</v>
      </c>
      <c r="CF127" s="214" t="s">
        <v>422</v>
      </c>
      <c r="CH127" s="214" t="s">
        <v>8685</v>
      </c>
      <c r="CI127" s="214" t="s">
        <v>34550</v>
      </c>
      <c r="CJ127" s="214" t="s">
        <v>70</v>
      </c>
      <c r="CK127" s="214" t="s">
        <v>530</v>
      </c>
      <c r="CM127" s="214" t="s">
        <v>8686</v>
      </c>
      <c r="CN127" s="214" t="s">
        <v>34542</v>
      </c>
      <c r="CO127" s="214" t="s">
        <v>70</v>
      </c>
      <c r="CP127" s="214" t="s">
        <v>530</v>
      </c>
      <c r="CR127" s="214" t="s">
        <v>8687</v>
      </c>
      <c r="CS127" s="214" t="s">
        <v>34615</v>
      </c>
      <c r="CT127" s="214" t="s">
        <v>70</v>
      </c>
      <c r="CU127" s="214" t="s">
        <v>530</v>
      </c>
      <c r="CW127" s="214" t="s">
        <v>8688</v>
      </c>
      <c r="CX127" s="214" t="s">
        <v>531</v>
      </c>
      <c r="CY127" s="214" t="s">
        <v>70</v>
      </c>
      <c r="CZ127" s="214" t="s">
        <v>530</v>
      </c>
      <c r="DB127" s="214" t="s">
        <v>8689</v>
      </c>
      <c r="DC127" s="214" t="s">
        <v>488</v>
      </c>
      <c r="DD127" s="214" t="s">
        <v>70</v>
      </c>
      <c r="DE127" s="214" t="s">
        <v>530</v>
      </c>
      <c r="DG127" s="214" t="s">
        <v>8690</v>
      </c>
      <c r="DH127" s="214" t="s">
        <v>502</v>
      </c>
      <c r="DI127" s="214" t="s">
        <v>70</v>
      </c>
      <c r="DJ127" s="214" t="s">
        <v>530</v>
      </c>
      <c r="DL127" s="214" t="s">
        <v>8691</v>
      </c>
      <c r="DM127" s="214" t="s">
        <v>600</v>
      </c>
      <c r="DN127" s="214" t="s">
        <v>70</v>
      </c>
      <c r="DO127" s="214" t="s">
        <v>530</v>
      </c>
      <c r="DQ127" s="214" t="s">
        <v>8692</v>
      </c>
      <c r="DR127" s="214" t="s">
        <v>34544</v>
      </c>
      <c r="DS127" s="214" t="s">
        <v>70</v>
      </c>
      <c r="DT127" s="214" t="s">
        <v>530</v>
      </c>
      <c r="DV127" s="214" t="s">
        <v>8693</v>
      </c>
      <c r="DW127" s="214" t="s">
        <v>486</v>
      </c>
      <c r="DX127" s="214" t="s">
        <v>70</v>
      </c>
      <c r="DY127" s="214" t="s">
        <v>530</v>
      </c>
      <c r="EA127" s="214" t="s">
        <v>8694</v>
      </c>
      <c r="EB127" s="214" t="s">
        <v>146</v>
      </c>
      <c r="EC127" s="214" t="s">
        <v>70</v>
      </c>
      <c r="ED127" s="214" t="s">
        <v>530</v>
      </c>
      <c r="EF127" s="214" t="s">
        <v>8695</v>
      </c>
      <c r="EG127" s="214" t="s">
        <v>146</v>
      </c>
      <c r="EH127" s="214" t="s">
        <v>70</v>
      </c>
      <c r="EI127" s="214" t="s">
        <v>530</v>
      </c>
      <c r="EK127" s="214" t="s">
        <v>8696</v>
      </c>
      <c r="EL127" s="214" t="s">
        <v>34562</v>
      </c>
      <c r="EM127" s="214" t="s">
        <v>70</v>
      </c>
      <c r="EN127" s="214" t="s">
        <v>530</v>
      </c>
      <c r="EP127" s="214" t="s">
        <v>8697</v>
      </c>
      <c r="EQ127" s="214" t="s">
        <v>146</v>
      </c>
      <c r="ER127" s="214" t="s">
        <v>70</v>
      </c>
      <c r="ES127" s="214" t="s">
        <v>530</v>
      </c>
      <c r="EU127" s="214" t="s">
        <v>8698</v>
      </c>
      <c r="EV127" s="214" t="s">
        <v>599</v>
      </c>
      <c r="EW127" s="214" t="s">
        <v>70</v>
      </c>
      <c r="EX127" s="214" t="s">
        <v>530</v>
      </c>
      <c r="EZ127" s="214" t="s">
        <v>8699</v>
      </c>
      <c r="FA127" s="214" t="s">
        <v>34611</v>
      </c>
      <c r="FB127" s="214" t="s">
        <v>70</v>
      </c>
      <c r="FC127" s="214" t="s">
        <v>530</v>
      </c>
      <c r="FE127" s="214" t="s">
        <v>8700</v>
      </c>
      <c r="FF127" s="214" t="s">
        <v>503</v>
      </c>
      <c r="FG127" s="214" t="s">
        <v>70</v>
      </c>
      <c r="FH127" s="214" t="s">
        <v>530</v>
      </c>
      <c r="FJ127" s="321" t="s">
        <v>8701</v>
      </c>
      <c r="FK127" s="214" t="s">
        <v>486</v>
      </c>
      <c r="FL127" s="214" t="s">
        <v>70</v>
      </c>
      <c r="FM127" s="214" t="s">
        <v>530</v>
      </c>
      <c r="FO127" s="321" t="s">
        <v>8702</v>
      </c>
      <c r="FP127" s="214" t="s">
        <v>34558</v>
      </c>
      <c r="FQ127" s="214" t="s">
        <v>70</v>
      </c>
      <c r="FR127" s="214" t="s">
        <v>530</v>
      </c>
      <c r="FT127" s="321" t="s">
        <v>8703</v>
      </c>
      <c r="FU127" s="214" t="s">
        <v>484</v>
      </c>
      <c r="FV127" s="214" t="s">
        <v>70</v>
      </c>
      <c r="FW127" s="214" t="s">
        <v>530</v>
      </c>
      <c r="FY127" s="321" t="s">
        <v>8704</v>
      </c>
      <c r="FZ127" s="214" t="s">
        <v>487</v>
      </c>
      <c r="GA127" s="214" t="s">
        <v>70</v>
      </c>
      <c r="GB127" s="214" t="s">
        <v>530</v>
      </c>
      <c r="GD127" s="321" t="s">
        <v>8705</v>
      </c>
      <c r="GE127" s="214" t="s">
        <v>950</v>
      </c>
      <c r="GF127" s="214" t="s">
        <v>70</v>
      </c>
      <c r="GG127" s="214" t="s">
        <v>530</v>
      </c>
      <c r="GI127" s="321" t="s">
        <v>8706</v>
      </c>
      <c r="GJ127" s="214" t="s">
        <v>34540</v>
      </c>
      <c r="GK127" s="214" t="s">
        <v>70</v>
      </c>
      <c r="GL127" s="214" t="s">
        <v>530</v>
      </c>
      <c r="GN127" s="321" t="s">
        <v>8707</v>
      </c>
      <c r="GO127" s="214" t="s">
        <v>485</v>
      </c>
      <c r="GP127" s="214" t="s">
        <v>70</v>
      </c>
      <c r="GQ127" s="214" t="s">
        <v>530</v>
      </c>
      <c r="GS127" s="321" t="s">
        <v>8708</v>
      </c>
      <c r="GT127" s="214" t="s">
        <v>34557</v>
      </c>
      <c r="GU127" s="214" t="s">
        <v>70</v>
      </c>
      <c r="GV127" s="214" t="s">
        <v>530</v>
      </c>
      <c r="GX127" s="214" t="s">
        <v>8709</v>
      </c>
      <c r="GY127" s="214" t="s">
        <v>502</v>
      </c>
      <c r="GZ127" s="214" t="s">
        <v>70</v>
      </c>
      <c r="HA127" s="214" t="s">
        <v>530</v>
      </c>
      <c r="HC127" s="214" t="s">
        <v>8710</v>
      </c>
      <c r="HD127" s="214" t="s">
        <v>496</v>
      </c>
      <c r="HE127" s="214" t="s">
        <v>70</v>
      </c>
      <c r="HF127" s="214" t="s">
        <v>530</v>
      </c>
      <c r="HH127" s="214" t="s">
        <v>8711</v>
      </c>
      <c r="HI127" s="214" t="s">
        <v>34551</v>
      </c>
      <c r="HJ127" s="214" t="s">
        <v>70</v>
      </c>
      <c r="HK127" s="214" t="s">
        <v>530</v>
      </c>
      <c r="HM127" s="214" t="s">
        <v>8712</v>
      </c>
      <c r="HN127" s="214" t="s">
        <v>34541</v>
      </c>
      <c r="HO127" s="214" t="s">
        <v>70</v>
      </c>
      <c r="HP127" s="214" t="s">
        <v>530</v>
      </c>
      <c r="HR127" s="22" t="s">
        <v>8713</v>
      </c>
      <c r="HS127" s="22" t="s">
        <v>944</v>
      </c>
      <c r="HT127" s="22" t="s">
        <v>70</v>
      </c>
      <c r="HU127" s="214" t="s">
        <v>530</v>
      </c>
      <c r="HW127" s="22" t="s">
        <v>8714</v>
      </c>
      <c r="HX127" s="22" t="s">
        <v>485</v>
      </c>
      <c r="HY127" s="22" t="s">
        <v>70</v>
      </c>
      <c r="HZ127" s="214" t="s">
        <v>530</v>
      </c>
      <c r="IB127" s="22" t="s">
        <v>8715</v>
      </c>
      <c r="IC127" s="22" t="s">
        <v>52</v>
      </c>
      <c r="ID127" s="22" t="s">
        <v>70</v>
      </c>
      <c r="IE127" s="214" t="s">
        <v>530</v>
      </c>
      <c r="IG127" s="22" t="s">
        <v>8716</v>
      </c>
      <c r="IH127" s="22" t="s">
        <v>52</v>
      </c>
      <c r="II127" s="22" t="s">
        <v>70</v>
      </c>
      <c r="IJ127" s="214" t="s">
        <v>530</v>
      </c>
      <c r="IL127" s="22" t="s">
        <v>8717</v>
      </c>
      <c r="IM127" s="22" t="s">
        <v>145</v>
      </c>
      <c r="IN127" s="22" t="s">
        <v>70</v>
      </c>
      <c r="IO127" s="214" t="s">
        <v>530</v>
      </c>
      <c r="IQ127" s="236" t="s">
        <v>8718</v>
      </c>
      <c r="IR127" s="236" t="s">
        <v>145</v>
      </c>
      <c r="IS127" s="236" t="s">
        <v>74</v>
      </c>
      <c r="IT127" s="236" t="s">
        <v>841</v>
      </c>
      <c r="IV127" s="236" t="s">
        <v>8719</v>
      </c>
      <c r="IW127" s="236" t="s">
        <v>145</v>
      </c>
      <c r="IX127" s="236" t="s">
        <v>74</v>
      </c>
      <c r="IY127" s="236" t="s">
        <v>841</v>
      </c>
      <c r="JA127" s="236" t="s">
        <v>8720</v>
      </c>
      <c r="JB127" s="236" t="s">
        <v>145</v>
      </c>
      <c r="JC127" s="236" t="s">
        <v>74</v>
      </c>
      <c r="JD127" s="236" t="s">
        <v>841</v>
      </c>
      <c r="JF127" s="236" t="s">
        <v>8721</v>
      </c>
      <c r="JG127" s="236" t="s">
        <v>145</v>
      </c>
      <c r="JH127" s="236" t="s">
        <v>74</v>
      </c>
      <c r="JI127" s="236" t="s">
        <v>841</v>
      </c>
      <c r="JK127" s="236" t="s">
        <v>8722</v>
      </c>
      <c r="JL127" s="236" t="s">
        <v>145</v>
      </c>
      <c r="JM127" s="236" t="s">
        <v>74</v>
      </c>
      <c r="JN127" s="236" t="s">
        <v>841</v>
      </c>
      <c r="JP127" s="236" t="s">
        <v>8723</v>
      </c>
      <c r="JQ127" s="236" t="s">
        <v>145</v>
      </c>
      <c r="JR127" s="236" t="s">
        <v>74</v>
      </c>
      <c r="JS127" s="236" t="s">
        <v>841</v>
      </c>
      <c r="JU127" s="294" t="s">
        <v>8724</v>
      </c>
      <c r="JV127" s="263" t="s">
        <v>52</v>
      </c>
      <c r="JW127" s="263" t="s">
        <v>70</v>
      </c>
      <c r="JX127" s="263" t="s">
        <v>34239</v>
      </c>
      <c r="JZ127" s="263" t="s">
        <v>8725</v>
      </c>
      <c r="KA127" s="263" t="s">
        <v>145</v>
      </c>
      <c r="KB127" s="263" t="s">
        <v>70</v>
      </c>
      <c r="KC127" s="263" t="s">
        <v>1083</v>
      </c>
      <c r="KE127" s="263" t="s">
        <v>8726</v>
      </c>
      <c r="KF127" s="263" t="s">
        <v>52</v>
      </c>
      <c r="KG127" s="263" t="s">
        <v>70</v>
      </c>
      <c r="KH127" s="263" t="s">
        <v>1083</v>
      </c>
      <c r="KJ127" s="263" t="s">
        <v>8727</v>
      </c>
      <c r="KK127" s="263" t="s">
        <v>52</v>
      </c>
      <c r="KL127" s="263" t="s">
        <v>74</v>
      </c>
      <c r="KM127" s="263" t="s">
        <v>34074</v>
      </c>
      <c r="KO127" s="214" t="s">
        <v>8728</v>
      </c>
      <c r="KP127" s="214" t="s">
        <v>145</v>
      </c>
      <c r="KQ127" s="214" t="s">
        <v>70</v>
      </c>
      <c r="KR127" s="214" t="s">
        <v>67</v>
      </c>
      <c r="KT127" s="22" t="s">
        <v>8729</v>
      </c>
      <c r="KU127" s="22" t="s">
        <v>145</v>
      </c>
      <c r="KV127" s="22" t="s">
        <v>70</v>
      </c>
      <c r="KW127" s="22" t="s">
        <v>67</v>
      </c>
      <c r="KY127" s="214" t="s">
        <v>8730</v>
      </c>
      <c r="KZ127" s="214" t="s">
        <v>52</v>
      </c>
      <c r="LA127" s="214" t="s">
        <v>74</v>
      </c>
      <c r="LB127" s="214" t="s">
        <v>67</v>
      </c>
      <c r="LD127" s="22" t="s">
        <v>8731</v>
      </c>
      <c r="LE127" s="22" t="s">
        <v>145</v>
      </c>
      <c r="LF127" s="22" t="s">
        <v>70</v>
      </c>
      <c r="LG127" s="22" t="s">
        <v>67</v>
      </c>
    </row>
    <row r="128" spans="1:319">
      <c r="A128" s="22" t="s">
        <v>8732</v>
      </c>
      <c r="B128" s="22" t="s">
        <v>145</v>
      </c>
      <c r="C128" s="22" t="s">
        <v>70</v>
      </c>
      <c r="D128" s="22" t="s">
        <v>67</v>
      </c>
      <c r="F128" s="23" t="s">
        <v>8733</v>
      </c>
      <c r="G128" s="23" t="str">
        <f>TVIIBE1M_CalPairs!$E125</f>
        <v>0x64</v>
      </c>
      <c r="H128" s="23" t="s">
        <v>70</v>
      </c>
      <c r="I128" s="23" t="str">
        <f>TVIIBE1M_CalPairs!$C125</f>
        <v>SRSS6_ADDR0</v>
      </c>
      <c r="K128" s="22" t="s">
        <v>8734</v>
      </c>
      <c r="L128" s="22" t="s">
        <v>145</v>
      </c>
      <c r="M128" s="22" t="s">
        <v>70</v>
      </c>
      <c r="N128" s="22" t="s">
        <v>67</v>
      </c>
      <c r="P128" s="394" t="s">
        <v>8735</v>
      </c>
      <c r="Q128" s="394" t="s">
        <v>145</v>
      </c>
      <c r="R128" s="394" t="s">
        <v>72</v>
      </c>
      <c r="S128" s="394" t="s">
        <v>34703</v>
      </c>
      <c r="U128" s="293" t="s">
        <v>8736</v>
      </c>
      <c r="V128" s="293" t="s">
        <v>145</v>
      </c>
      <c r="W128" s="293" t="s">
        <v>74</v>
      </c>
      <c r="X128" s="293" t="s">
        <v>656</v>
      </c>
      <c r="Z128" s="293" t="s">
        <v>8737</v>
      </c>
      <c r="AA128" s="293" t="s">
        <v>145</v>
      </c>
      <c r="AB128" s="293" t="s">
        <v>74</v>
      </c>
      <c r="AC128" s="293" t="s">
        <v>656</v>
      </c>
      <c r="AE128" s="293" t="s">
        <v>8738</v>
      </c>
      <c r="AF128" s="293" t="s">
        <v>145</v>
      </c>
      <c r="AG128" s="293" t="s">
        <v>74</v>
      </c>
      <c r="AH128" s="293" t="s">
        <v>656</v>
      </c>
      <c r="AJ128" s="293" t="s">
        <v>8739</v>
      </c>
      <c r="AK128" s="293" t="s">
        <v>145</v>
      </c>
      <c r="AL128" s="293" t="s">
        <v>74</v>
      </c>
      <c r="AM128" s="293" t="s">
        <v>656</v>
      </c>
      <c r="AO128" s="22" t="s">
        <v>8740</v>
      </c>
      <c r="AP128" s="22" t="s">
        <v>145</v>
      </c>
      <c r="AQ128" s="22" t="s">
        <v>70</v>
      </c>
      <c r="AR128" s="22" t="s">
        <v>67</v>
      </c>
      <c r="AT128" s="22" t="s">
        <v>8741</v>
      </c>
      <c r="AU128" s="22" t="s">
        <v>145</v>
      </c>
      <c r="AV128" s="22" t="s">
        <v>70</v>
      </c>
      <c r="AW128" s="22" t="s">
        <v>67</v>
      </c>
      <c r="AY128" s="22" t="s">
        <v>8742</v>
      </c>
      <c r="AZ128" s="22" t="s">
        <v>145</v>
      </c>
      <c r="BA128" s="22" t="s">
        <v>70</v>
      </c>
      <c r="BB128" s="22" t="s">
        <v>67</v>
      </c>
      <c r="BD128" s="22" t="s">
        <v>8743</v>
      </c>
      <c r="BE128" s="22" t="s">
        <v>145</v>
      </c>
      <c r="BF128" s="22" t="s">
        <v>70</v>
      </c>
      <c r="BG128" s="22" t="s">
        <v>67</v>
      </c>
      <c r="BI128" s="22" t="s">
        <v>8744</v>
      </c>
      <c r="BJ128" s="22" t="s">
        <v>145</v>
      </c>
      <c r="BK128" s="22" t="s">
        <v>70</v>
      </c>
      <c r="BL128" s="22" t="s">
        <v>67</v>
      </c>
      <c r="BN128" s="22" t="s">
        <v>8745</v>
      </c>
      <c r="BO128" s="22" t="s">
        <v>145</v>
      </c>
      <c r="BP128" s="22" t="s">
        <v>70</v>
      </c>
      <c r="BQ128" s="22" t="s">
        <v>67</v>
      </c>
      <c r="BS128" s="22" t="s">
        <v>8746</v>
      </c>
      <c r="BT128" s="22" t="s">
        <v>145</v>
      </c>
      <c r="BU128" s="22" t="s">
        <v>70</v>
      </c>
      <c r="BV128" s="214" t="s">
        <v>530</v>
      </c>
      <c r="BX128" s="22" t="s">
        <v>8747</v>
      </c>
      <c r="BY128" s="22" t="s">
        <v>145</v>
      </c>
      <c r="BZ128" s="22" t="s">
        <v>70</v>
      </c>
      <c r="CA128" s="214" t="s">
        <v>530</v>
      </c>
      <c r="CC128" s="214" t="s">
        <v>8748</v>
      </c>
      <c r="CD128" s="218" t="s">
        <v>145</v>
      </c>
      <c r="CE128" s="214" t="s">
        <v>70</v>
      </c>
      <c r="CF128" s="214" t="s">
        <v>423</v>
      </c>
      <c r="CH128" s="214" t="s">
        <v>8749</v>
      </c>
      <c r="CI128" s="214" t="s">
        <v>34552</v>
      </c>
      <c r="CJ128" s="214" t="s">
        <v>70</v>
      </c>
      <c r="CK128" s="214" t="s">
        <v>530</v>
      </c>
      <c r="CM128" s="214" t="s">
        <v>8750</v>
      </c>
      <c r="CN128" s="214" t="s">
        <v>492</v>
      </c>
      <c r="CO128" s="214" t="s">
        <v>70</v>
      </c>
      <c r="CP128" s="214" t="s">
        <v>530</v>
      </c>
      <c r="CR128" s="214" t="s">
        <v>8751</v>
      </c>
      <c r="CS128" s="214" t="s">
        <v>211</v>
      </c>
      <c r="CT128" s="214" t="s">
        <v>70</v>
      </c>
      <c r="CU128" s="214" t="s">
        <v>530</v>
      </c>
      <c r="CW128" s="214" t="s">
        <v>8752</v>
      </c>
      <c r="CX128" s="214" t="s">
        <v>86</v>
      </c>
      <c r="CY128" s="214" t="s">
        <v>70</v>
      </c>
      <c r="CZ128" s="214" t="s">
        <v>530</v>
      </c>
      <c r="DB128" s="214" t="s">
        <v>8753</v>
      </c>
      <c r="DC128" s="214" t="s">
        <v>468</v>
      </c>
      <c r="DD128" s="214" t="s">
        <v>70</v>
      </c>
      <c r="DE128" s="214" t="s">
        <v>530</v>
      </c>
      <c r="DG128" s="214" t="s">
        <v>8754</v>
      </c>
      <c r="DH128" s="214" t="s">
        <v>949</v>
      </c>
      <c r="DI128" s="214" t="s">
        <v>70</v>
      </c>
      <c r="DJ128" s="214" t="s">
        <v>530</v>
      </c>
      <c r="DL128" s="214" t="s">
        <v>8755</v>
      </c>
      <c r="DM128" s="214" t="s">
        <v>52</v>
      </c>
      <c r="DN128" s="214" t="s">
        <v>70</v>
      </c>
      <c r="DO128" s="214" t="s">
        <v>530</v>
      </c>
      <c r="DQ128" s="214" t="s">
        <v>8756</v>
      </c>
      <c r="DR128" s="214" t="s">
        <v>34212</v>
      </c>
      <c r="DS128" s="214" t="s">
        <v>70</v>
      </c>
      <c r="DT128" s="214" t="s">
        <v>530</v>
      </c>
      <c r="DV128" s="214" t="s">
        <v>8757</v>
      </c>
      <c r="DW128" s="214" t="s">
        <v>148</v>
      </c>
      <c r="DX128" s="214" t="s">
        <v>70</v>
      </c>
      <c r="DY128" s="214" t="s">
        <v>530</v>
      </c>
      <c r="EA128" s="214" t="s">
        <v>8758</v>
      </c>
      <c r="EB128" s="214" t="s">
        <v>503</v>
      </c>
      <c r="EC128" s="214" t="s">
        <v>70</v>
      </c>
      <c r="ED128" s="214" t="s">
        <v>530</v>
      </c>
      <c r="EF128" s="214" t="s">
        <v>8759</v>
      </c>
      <c r="EG128" s="214" t="s">
        <v>34539</v>
      </c>
      <c r="EH128" s="214" t="s">
        <v>70</v>
      </c>
      <c r="EI128" s="214" t="s">
        <v>530</v>
      </c>
      <c r="EK128" s="214" t="s">
        <v>8760</v>
      </c>
      <c r="EL128" s="214" t="s">
        <v>163</v>
      </c>
      <c r="EM128" s="214" t="s">
        <v>70</v>
      </c>
      <c r="EN128" s="214" t="s">
        <v>530</v>
      </c>
      <c r="EP128" s="214" t="s">
        <v>8761</v>
      </c>
      <c r="EQ128" s="214" t="s">
        <v>148</v>
      </c>
      <c r="ER128" s="214" t="s">
        <v>70</v>
      </c>
      <c r="ES128" s="214" t="s">
        <v>530</v>
      </c>
      <c r="EU128" s="214" t="s">
        <v>8762</v>
      </c>
      <c r="EV128" s="214" t="s">
        <v>946</v>
      </c>
      <c r="EW128" s="214" t="s">
        <v>70</v>
      </c>
      <c r="EX128" s="214" t="s">
        <v>530</v>
      </c>
      <c r="EZ128" s="214" t="s">
        <v>8763</v>
      </c>
      <c r="FA128" s="214" t="s">
        <v>287</v>
      </c>
      <c r="FB128" s="214" t="s">
        <v>70</v>
      </c>
      <c r="FC128" s="214" t="s">
        <v>530</v>
      </c>
      <c r="FE128" s="214" t="s">
        <v>8764</v>
      </c>
      <c r="FF128" s="214" t="s">
        <v>52</v>
      </c>
      <c r="FG128" s="214" t="s">
        <v>70</v>
      </c>
      <c r="FH128" s="214" t="s">
        <v>530</v>
      </c>
      <c r="FJ128" s="321" t="s">
        <v>8765</v>
      </c>
      <c r="FK128" s="214" t="s">
        <v>34602</v>
      </c>
      <c r="FL128" s="214" t="s">
        <v>70</v>
      </c>
      <c r="FM128" s="214" t="s">
        <v>530</v>
      </c>
      <c r="FO128" s="321" t="s">
        <v>8766</v>
      </c>
      <c r="FP128" s="214" t="s">
        <v>34620</v>
      </c>
      <c r="FQ128" s="214" t="s">
        <v>70</v>
      </c>
      <c r="FR128" s="214" t="s">
        <v>530</v>
      </c>
      <c r="FT128" s="321" t="s">
        <v>8767</v>
      </c>
      <c r="FU128" s="214" t="s">
        <v>164</v>
      </c>
      <c r="FV128" s="214" t="s">
        <v>70</v>
      </c>
      <c r="FW128" s="214" t="s">
        <v>530</v>
      </c>
      <c r="FY128" s="321" t="s">
        <v>8768</v>
      </c>
      <c r="FZ128" s="214" t="s">
        <v>87</v>
      </c>
      <c r="GA128" s="214" t="s">
        <v>70</v>
      </c>
      <c r="GB128" s="214" t="s">
        <v>530</v>
      </c>
      <c r="GD128" s="321" t="s">
        <v>8769</v>
      </c>
      <c r="GE128" s="214" t="s">
        <v>52</v>
      </c>
      <c r="GF128" s="214" t="s">
        <v>70</v>
      </c>
      <c r="GG128" s="214" t="s">
        <v>530</v>
      </c>
      <c r="GI128" s="321" t="s">
        <v>8770</v>
      </c>
      <c r="GJ128" s="214" t="s">
        <v>148</v>
      </c>
      <c r="GK128" s="214" t="s">
        <v>70</v>
      </c>
      <c r="GL128" s="214" t="s">
        <v>530</v>
      </c>
      <c r="GN128" s="321" t="s">
        <v>8771</v>
      </c>
      <c r="GO128" s="214" t="s">
        <v>922</v>
      </c>
      <c r="GP128" s="214" t="s">
        <v>70</v>
      </c>
      <c r="GQ128" s="214" t="s">
        <v>530</v>
      </c>
      <c r="GS128" s="321" t="s">
        <v>8772</v>
      </c>
      <c r="GT128" s="214" t="s">
        <v>286</v>
      </c>
      <c r="GU128" s="214" t="s">
        <v>70</v>
      </c>
      <c r="GV128" s="214" t="s">
        <v>530</v>
      </c>
      <c r="GX128" s="214" t="s">
        <v>8773</v>
      </c>
      <c r="GY128" s="214" t="s">
        <v>951</v>
      </c>
      <c r="GZ128" s="214" t="s">
        <v>70</v>
      </c>
      <c r="HA128" s="214" t="s">
        <v>530</v>
      </c>
      <c r="HC128" s="214" t="s">
        <v>8774</v>
      </c>
      <c r="HD128" s="214" t="s">
        <v>163</v>
      </c>
      <c r="HE128" s="214" t="s">
        <v>70</v>
      </c>
      <c r="HF128" s="214" t="s">
        <v>530</v>
      </c>
      <c r="HH128" s="214" t="s">
        <v>8775</v>
      </c>
      <c r="HI128" s="214" t="s">
        <v>601</v>
      </c>
      <c r="HJ128" s="214" t="s">
        <v>70</v>
      </c>
      <c r="HK128" s="214" t="s">
        <v>530</v>
      </c>
      <c r="HM128" s="214" t="s">
        <v>8776</v>
      </c>
      <c r="HN128" s="214" t="s">
        <v>649</v>
      </c>
      <c r="HO128" s="214" t="s">
        <v>70</v>
      </c>
      <c r="HP128" s="214" t="s">
        <v>530</v>
      </c>
      <c r="HR128" s="22" t="s">
        <v>8777</v>
      </c>
      <c r="HS128" s="22" t="s">
        <v>951</v>
      </c>
      <c r="HT128" s="22" t="s">
        <v>70</v>
      </c>
      <c r="HU128" s="214" t="s">
        <v>530</v>
      </c>
      <c r="HW128" s="22" t="s">
        <v>8778</v>
      </c>
      <c r="HX128" s="22" t="s">
        <v>164</v>
      </c>
      <c r="HY128" s="22" t="s">
        <v>70</v>
      </c>
      <c r="HZ128" s="214" t="s">
        <v>530</v>
      </c>
      <c r="IB128" s="22" t="s">
        <v>8779</v>
      </c>
      <c r="IC128" s="22" t="s">
        <v>490</v>
      </c>
      <c r="ID128" s="22" t="s">
        <v>70</v>
      </c>
      <c r="IE128" s="214" t="s">
        <v>530</v>
      </c>
      <c r="IG128" s="22" t="s">
        <v>8780</v>
      </c>
      <c r="IH128" s="22" t="s">
        <v>52</v>
      </c>
      <c r="II128" s="22" t="s">
        <v>70</v>
      </c>
      <c r="IJ128" s="214" t="s">
        <v>530</v>
      </c>
      <c r="IL128" s="22" t="s">
        <v>8781</v>
      </c>
      <c r="IM128" s="22" t="s">
        <v>145</v>
      </c>
      <c r="IN128" s="22" t="s">
        <v>70</v>
      </c>
      <c r="IO128" s="214" t="s">
        <v>530</v>
      </c>
      <c r="IQ128" s="236" t="s">
        <v>8782</v>
      </c>
      <c r="IR128" s="236" t="s">
        <v>145</v>
      </c>
      <c r="IS128" s="236" t="s">
        <v>74</v>
      </c>
      <c r="IT128" s="236" t="s">
        <v>841</v>
      </c>
      <c r="IV128" s="236" t="s">
        <v>8783</v>
      </c>
      <c r="IW128" s="236" t="s">
        <v>145</v>
      </c>
      <c r="IX128" s="236" t="s">
        <v>74</v>
      </c>
      <c r="IY128" s="236" t="s">
        <v>841</v>
      </c>
      <c r="JA128" s="236" t="s">
        <v>8784</v>
      </c>
      <c r="JB128" s="236" t="s">
        <v>145</v>
      </c>
      <c r="JC128" s="236" t="s">
        <v>74</v>
      </c>
      <c r="JD128" s="236" t="s">
        <v>841</v>
      </c>
      <c r="JF128" s="236" t="s">
        <v>8785</v>
      </c>
      <c r="JG128" s="236" t="s">
        <v>145</v>
      </c>
      <c r="JH128" s="236" t="s">
        <v>74</v>
      </c>
      <c r="JI128" s="236" t="s">
        <v>841</v>
      </c>
      <c r="JK128" s="236" t="s">
        <v>8786</v>
      </c>
      <c r="JL128" s="236" t="s">
        <v>145</v>
      </c>
      <c r="JM128" s="236" t="s">
        <v>74</v>
      </c>
      <c r="JN128" s="236" t="s">
        <v>841</v>
      </c>
      <c r="JP128" s="236" t="s">
        <v>8787</v>
      </c>
      <c r="JQ128" s="236" t="s">
        <v>145</v>
      </c>
      <c r="JR128" s="236" t="s">
        <v>74</v>
      </c>
      <c r="JS128" s="236" t="s">
        <v>841</v>
      </c>
      <c r="JU128" s="294" t="s">
        <v>8788</v>
      </c>
      <c r="JV128" s="218" t="s">
        <v>87</v>
      </c>
      <c r="JW128" s="263" t="s">
        <v>70</v>
      </c>
      <c r="JX128" s="263" t="s">
        <v>34240</v>
      </c>
      <c r="JZ128" s="263" t="s">
        <v>8789</v>
      </c>
      <c r="KA128" s="263" t="s">
        <v>145</v>
      </c>
      <c r="KB128" s="263" t="s">
        <v>70</v>
      </c>
      <c r="KC128" s="263" t="s">
        <v>1083</v>
      </c>
      <c r="KE128" s="263" t="s">
        <v>8790</v>
      </c>
      <c r="KF128" s="263" t="s">
        <v>52</v>
      </c>
      <c r="KG128" s="263" t="s">
        <v>70</v>
      </c>
      <c r="KH128" s="263" t="s">
        <v>1083</v>
      </c>
      <c r="KJ128" s="263" t="s">
        <v>8791</v>
      </c>
      <c r="KK128" s="263" t="s">
        <v>52</v>
      </c>
      <c r="KL128" s="263" t="s">
        <v>74</v>
      </c>
      <c r="KM128" s="263" t="s">
        <v>34074</v>
      </c>
      <c r="KO128" s="214" t="s">
        <v>8792</v>
      </c>
      <c r="KP128" s="214" t="s">
        <v>145</v>
      </c>
      <c r="KQ128" s="214" t="s">
        <v>70</v>
      </c>
      <c r="KR128" s="214" t="s">
        <v>67</v>
      </c>
      <c r="KT128" s="22" t="s">
        <v>8793</v>
      </c>
      <c r="KU128" s="22" t="s">
        <v>145</v>
      </c>
      <c r="KV128" s="22" t="s">
        <v>70</v>
      </c>
      <c r="KW128" s="22" t="s">
        <v>67</v>
      </c>
      <c r="KY128" s="214" t="s">
        <v>8794</v>
      </c>
      <c r="KZ128" s="214" t="s">
        <v>52</v>
      </c>
      <c r="LA128" s="214" t="s">
        <v>74</v>
      </c>
      <c r="LB128" s="214" t="s">
        <v>67</v>
      </c>
      <c r="LD128" s="22" t="s">
        <v>8795</v>
      </c>
      <c r="LE128" s="22" t="s">
        <v>145</v>
      </c>
      <c r="LF128" s="22" t="s">
        <v>70</v>
      </c>
      <c r="LG128" s="22" t="s">
        <v>67</v>
      </c>
    </row>
    <row r="129" spans="1:319">
      <c r="A129" s="22" t="s">
        <v>8796</v>
      </c>
      <c r="B129" s="22" t="s">
        <v>145</v>
      </c>
      <c r="C129" s="22" t="s">
        <v>70</v>
      </c>
      <c r="D129" s="22" t="s">
        <v>67</v>
      </c>
      <c r="F129" s="23" t="s">
        <v>8797</v>
      </c>
      <c r="G129" s="23" t="str">
        <f>TVIIBE1M_CalPairs!$E126</f>
        <v>0x20</v>
      </c>
      <c r="H129" s="23" t="s">
        <v>70</v>
      </c>
      <c r="I129" s="23" t="str">
        <f>TVIIBE1M_CalPairs!$C126</f>
        <v>SRSS6_ADDR1</v>
      </c>
      <c r="K129" s="22" t="s">
        <v>8798</v>
      </c>
      <c r="L129" s="22" t="s">
        <v>145</v>
      </c>
      <c r="M129" s="22" t="s">
        <v>70</v>
      </c>
      <c r="N129" s="22" t="s">
        <v>67</v>
      </c>
      <c r="P129" s="394" t="s">
        <v>8799</v>
      </c>
      <c r="Q129" s="394" t="s">
        <v>145</v>
      </c>
      <c r="R129" s="394" t="s">
        <v>72</v>
      </c>
      <c r="S129" s="394" t="s">
        <v>34703</v>
      </c>
      <c r="U129" s="293" t="s">
        <v>8800</v>
      </c>
      <c r="V129" s="293" t="s">
        <v>145</v>
      </c>
      <c r="W129" s="293" t="s">
        <v>74</v>
      </c>
      <c r="X129" s="293" t="s">
        <v>656</v>
      </c>
      <c r="Z129" s="293" t="s">
        <v>8801</v>
      </c>
      <c r="AA129" s="293" t="s">
        <v>145</v>
      </c>
      <c r="AB129" s="293" t="s">
        <v>74</v>
      </c>
      <c r="AC129" s="293" t="s">
        <v>656</v>
      </c>
      <c r="AE129" s="293" t="s">
        <v>8802</v>
      </c>
      <c r="AF129" s="293" t="s">
        <v>145</v>
      </c>
      <c r="AG129" s="293" t="s">
        <v>74</v>
      </c>
      <c r="AH129" s="293" t="s">
        <v>656</v>
      </c>
      <c r="AJ129" s="293" t="s">
        <v>8803</v>
      </c>
      <c r="AK129" s="293" t="s">
        <v>145</v>
      </c>
      <c r="AL129" s="293" t="s">
        <v>74</v>
      </c>
      <c r="AM129" s="293" t="s">
        <v>656</v>
      </c>
      <c r="AO129" s="22" t="s">
        <v>8804</v>
      </c>
      <c r="AP129" s="22" t="s">
        <v>145</v>
      </c>
      <c r="AQ129" s="22" t="s">
        <v>70</v>
      </c>
      <c r="AR129" s="22" t="s">
        <v>67</v>
      </c>
      <c r="AT129" s="22" t="s">
        <v>8805</v>
      </c>
      <c r="AU129" s="22" t="s">
        <v>145</v>
      </c>
      <c r="AV129" s="22" t="s">
        <v>70</v>
      </c>
      <c r="AW129" s="22" t="s">
        <v>67</v>
      </c>
      <c r="AY129" s="22" t="s">
        <v>8806</v>
      </c>
      <c r="AZ129" s="22" t="s">
        <v>145</v>
      </c>
      <c r="BA129" s="22" t="s">
        <v>70</v>
      </c>
      <c r="BB129" s="22" t="s">
        <v>67</v>
      </c>
      <c r="BD129" s="22" t="s">
        <v>8807</v>
      </c>
      <c r="BE129" s="22" t="s">
        <v>145</v>
      </c>
      <c r="BF129" s="22" t="s">
        <v>70</v>
      </c>
      <c r="BG129" s="22" t="s">
        <v>67</v>
      </c>
      <c r="BI129" s="22" t="s">
        <v>8808</v>
      </c>
      <c r="BJ129" s="22" t="s">
        <v>145</v>
      </c>
      <c r="BK129" s="22" t="s">
        <v>70</v>
      </c>
      <c r="BL129" s="22" t="s">
        <v>67</v>
      </c>
      <c r="BN129" s="22" t="s">
        <v>8809</v>
      </c>
      <c r="BO129" s="22" t="s">
        <v>145</v>
      </c>
      <c r="BP129" s="22" t="s">
        <v>70</v>
      </c>
      <c r="BQ129" s="22" t="s">
        <v>67</v>
      </c>
      <c r="BS129" s="22" t="s">
        <v>8810</v>
      </c>
      <c r="BT129" s="22" t="s">
        <v>145</v>
      </c>
      <c r="BU129" s="22" t="s">
        <v>70</v>
      </c>
      <c r="BV129" s="214" t="s">
        <v>530</v>
      </c>
      <c r="BX129" s="22" t="s">
        <v>8811</v>
      </c>
      <c r="BY129" s="22" t="s">
        <v>145</v>
      </c>
      <c r="BZ129" s="22" t="s">
        <v>70</v>
      </c>
      <c r="CA129" s="214" t="s">
        <v>530</v>
      </c>
      <c r="CC129" s="214" t="s">
        <v>8812</v>
      </c>
      <c r="CD129" s="218" t="s">
        <v>145</v>
      </c>
      <c r="CE129" s="214" t="s">
        <v>70</v>
      </c>
      <c r="CF129" s="214" t="s">
        <v>424</v>
      </c>
      <c r="CH129" s="214" t="s">
        <v>8813</v>
      </c>
      <c r="CI129" s="214" t="s">
        <v>86</v>
      </c>
      <c r="CJ129" s="214" t="s">
        <v>70</v>
      </c>
      <c r="CK129" s="214" t="s">
        <v>530</v>
      </c>
      <c r="CM129" s="214" t="s">
        <v>8814</v>
      </c>
      <c r="CN129" s="214" t="s">
        <v>34539</v>
      </c>
      <c r="CO129" s="214" t="s">
        <v>70</v>
      </c>
      <c r="CP129" s="214" t="s">
        <v>530</v>
      </c>
      <c r="CR129" s="214" t="s">
        <v>8815</v>
      </c>
      <c r="CS129" s="214" t="s">
        <v>488</v>
      </c>
      <c r="CT129" s="214" t="s">
        <v>70</v>
      </c>
      <c r="CU129" s="214" t="s">
        <v>530</v>
      </c>
      <c r="CW129" s="214" t="s">
        <v>8816</v>
      </c>
      <c r="CX129" s="214" t="s">
        <v>468</v>
      </c>
      <c r="CY129" s="214" t="s">
        <v>70</v>
      </c>
      <c r="CZ129" s="214" t="s">
        <v>530</v>
      </c>
      <c r="DB129" s="214" t="s">
        <v>8817</v>
      </c>
      <c r="DC129" s="214" t="s">
        <v>484</v>
      </c>
      <c r="DD129" s="214" t="s">
        <v>70</v>
      </c>
      <c r="DE129" s="214" t="s">
        <v>530</v>
      </c>
      <c r="DG129" s="214" t="s">
        <v>8818</v>
      </c>
      <c r="DH129" s="214" t="s">
        <v>148</v>
      </c>
      <c r="DI129" s="214" t="s">
        <v>70</v>
      </c>
      <c r="DJ129" s="214" t="s">
        <v>530</v>
      </c>
      <c r="DL129" s="214" t="s">
        <v>8819</v>
      </c>
      <c r="DM129" s="214" t="s">
        <v>52</v>
      </c>
      <c r="DN129" s="214" t="s">
        <v>70</v>
      </c>
      <c r="DO129" s="214" t="s">
        <v>530</v>
      </c>
      <c r="DQ129" s="214" t="s">
        <v>8820</v>
      </c>
      <c r="DR129" s="214" t="s">
        <v>491</v>
      </c>
      <c r="DS129" s="214" t="s">
        <v>70</v>
      </c>
      <c r="DT129" s="214" t="s">
        <v>530</v>
      </c>
      <c r="DV129" s="214" t="s">
        <v>8821</v>
      </c>
      <c r="DW129" s="214" t="s">
        <v>921</v>
      </c>
      <c r="DX129" s="214" t="s">
        <v>70</v>
      </c>
      <c r="DY129" s="214" t="s">
        <v>530</v>
      </c>
      <c r="EA129" s="214" t="s">
        <v>8822</v>
      </c>
      <c r="EB129" s="214" t="s">
        <v>34544</v>
      </c>
      <c r="EC129" s="214" t="s">
        <v>70</v>
      </c>
      <c r="ED129" s="214" t="s">
        <v>530</v>
      </c>
      <c r="EF129" s="214" t="s">
        <v>8823</v>
      </c>
      <c r="EG129" s="214" t="s">
        <v>146</v>
      </c>
      <c r="EH129" s="214" t="s">
        <v>70</v>
      </c>
      <c r="EI129" s="214" t="s">
        <v>530</v>
      </c>
      <c r="EK129" s="214" t="s">
        <v>8824</v>
      </c>
      <c r="EL129" s="214" t="s">
        <v>956</v>
      </c>
      <c r="EM129" s="214" t="s">
        <v>70</v>
      </c>
      <c r="EN129" s="214" t="s">
        <v>530</v>
      </c>
      <c r="EP129" s="214" t="s">
        <v>8825</v>
      </c>
      <c r="EQ129" s="214" t="s">
        <v>34542</v>
      </c>
      <c r="ER129" s="214" t="s">
        <v>70</v>
      </c>
      <c r="ES129" s="214" t="s">
        <v>530</v>
      </c>
      <c r="EU129" s="214" t="s">
        <v>8826</v>
      </c>
      <c r="EV129" s="214" t="s">
        <v>52</v>
      </c>
      <c r="EW129" s="214" t="s">
        <v>70</v>
      </c>
      <c r="EX129" s="214" t="s">
        <v>530</v>
      </c>
      <c r="EZ129" s="214" t="s">
        <v>8827</v>
      </c>
      <c r="FA129" s="214" t="s">
        <v>486</v>
      </c>
      <c r="FB129" s="214" t="s">
        <v>70</v>
      </c>
      <c r="FC129" s="214" t="s">
        <v>530</v>
      </c>
      <c r="FE129" s="214" t="s">
        <v>8828</v>
      </c>
      <c r="FF129" s="214" t="s">
        <v>485</v>
      </c>
      <c r="FG129" s="214" t="s">
        <v>70</v>
      </c>
      <c r="FH129" s="214" t="s">
        <v>530</v>
      </c>
      <c r="FJ129" s="321" t="s">
        <v>8829</v>
      </c>
      <c r="FK129" s="214" t="s">
        <v>488</v>
      </c>
      <c r="FL129" s="214" t="s">
        <v>70</v>
      </c>
      <c r="FM129" s="214" t="s">
        <v>530</v>
      </c>
      <c r="FO129" s="321" t="s">
        <v>8830</v>
      </c>
      <c r="FP129" s="214" t="s">
        <v>491</v>
      </c>
      <c r="FQ129" s="214" t="s">
        <v>70</v>
      </c>
      <c r="FR129" s="214" t="s">
        <v>530</v>
      </c>
      <c r="FT129" s="321" t="s">
        <v>8831</v>
      </c>
      <c r="FU129" s="214" t="s">
        <v>488</v>
      </c>
      <c r="FV129" s="214" t="s">
        <v>70</v>
      </c>
      <c r="FW129" s="214" t="s">
        <v>530</v>
      </c>
      <c r="FY129" s="321" t="s">
        <v>8832</v>
      </c>
      <c r="FZ129" s="214" t="s">
        <v>482</v>
      </c>
      <c r="GA129" s="214" t="s">
        <v>70</v>
      </c>
      <c r="GB129" s="214" t="s">
        <v>530</v>
      </c>
      <c r="GD129" s="321" t="s">
        <v>8833</v>
      </c>
      <c r="GE129" s="214" t="s">
        <v>955</v>
      </c>
      <c r="GF129" s="214" t="s">
        <v>70</v>
      </c>
      <c r="GG129" s="214" t="s">
        <v>530</v>
      </c>
      <c r="GI129" s="321" t="s">
        <v>8834</v>
      </c>
      <c r="GJ129" s="214" t="s">
        <v>34544</v>
      </c>
      <c r="GK129" s="214" t="s">
        <v>70</v>
      </c>
      <c r="GL129" s="214" t="s">
        <v>530</v>
      </c>
      <c r="GN129" s="321" t="s">
        <v>8835</v>
      </c>
      <c r="GO129" s="214" t="s">
        <v>34544</v>
      </c>
      <c r="GP129" s="214" t="s">
        <v>70</v>
      </c>
      <c r="GQ129" s="214" t="s">
        <v>530</v>
      </c>
      <c r="GS129" s="321" t="s">
        <v>8836</v>
      </c>
      <c r="GT129" s="214" t="s">
        <v>146</v>
      </c>
      <c r="GU129" s="214" t="s">
        <v>70</v>
      </c>
      <c r="GV129" s="214" t="s">
        <v>530</v>
      </c>
      <c r="GX129" s="214" t="s">
        <v>8837</v>
      </c>
      <c r="GY129" s="214" t="s">
        <v>604</v>
      </c>
      <c r="GZ129" s="214" t="s">
        <v>70</v>
      </c>
      <c r="HA129" s="214" t="s">
        <v>530</v>
      </c>
      <c r="HC129" s="214" t="s">
        <v>8838</v>
      </c>
      <c r="HD129" s="214" t="s">
        <v>52</v>
      </c>
      <c r="HE129" s="214" t="s">
        <v>70</v>
      </c>
      <c r="HF129" s="214" t="s">
        <v>530</v>
      </c>
      <c r="HH129" s="214" t="s">
        <v>8839</v>
      </c>
      <c r="HI129" s="214" t="s">
        <v>52</v>
      </c>
      <c r="HJ129" s="214" t="s">
        <v>70</v>
      </c>
      <c r="HK129" s="214" t="s">
        <v>530</v>
      </c>
      <c r="HM129" s="214" t="s">
        <v>8840</v>
      </c>
      <c r="HN129" s="214" t="s">
        <v>145</v>
      </c>
      <c r="HO129" s="214" t="s">
        <v>70</v>
      </c>
      <c r="HP129" s="214" t="s">
        <v>530</v>
      </c>
      <c r="HR129" s="22" t="s">
        <v>8841</v>
      </c>
      <c r="HS129" s="22" t="s">
        <v>85</v>
      </c>
      <c r="HT129" s="22" t="s">
        <v>70</v>
      </c>
      <c r="HU129" s="214" t="s">
        <v>530</v>
      </c>
      <c r="HW129" s="22" t="s">
        <v>8842</v>
      </c>
      <c r="HX129" s="22" t="s">
        <v>34544</v>
      </c>
      <c r="HY129" s="22" t="s">
        <v>70</v>
      </c>
      <c r="HZ129" s="214" t="s">
        <v>530</v>
      </c>
      <c r="IB129" s="22" t="s">
        <v>8843</v>
      </c>
      <c r="IC129" s="22" t="s">
        <v>482</v>
      </c>
      <c r="ID129" s="22" t="s">
        <v>70</v>
      </c>
      <c r="IE129" s="214" t="s">
        <v>530</v>
      </c>
      <c r="IG129" s="22" t="s">
        <v>8844</v>
      </c>
      <c r="IH129" s="22" t="s">
        <v>52</v>
      </c>
      <c r="II129" s="22" t="s">
        <v>70</v>
      </c>
      <c r="IJ129" s="214" t="s">
        <v>530</v>
      </c>
      <c r="IL129" s="22" t="s">
        <v>8845</v>
      </c>
      <c r="IM129" s="22" t="s">
        <v>145</v>
      </c>
      <c r="IN129" s="22" t="s">
        <v>70</v>
      </c>
      <c r="IO129" s="214" t="s">
        <v>530</v>
      </c>
      <c r="IQ129" s="236" t="s">
        <v>8846</v>
      </c>
      <c r="IR129" s="236" t="s">
        <v>145</v>
      </c>
      <c r="IS129" s="236" t="s">
        <v>74</v>
      </c>
      <c r="IT129" s="236" t="s">
        <v>841</v>
      </c>
      <c r="IV129" s="236" t="s">
        <v>8847</v>
      </c>
      <c r="IW129" s="236" t="s">
        <v>145</v>
      </c>
      <c r="IX129" s="236" t="s">
        <v>74</v>
      </c>
      <c r="IY129" s="236" t="s">
        <v>841</v>
      </c>
      <c r="JA129" s="236" t="s">
        <v>8848</v>
      </c>
      <c r="JB129" s="236" t="s">
        <v>145</v>
      </c>
      <c r="JC129" s="236" t="s">
        <v>74</v>
      </c>
      <c r="JD129" s="236" t="s">
        <v>841</v>
      </c>
      <c r="JF129" s="236" t="s">
        <v>8849</v>
      </c>
      <c r="JG129" s="236" t="s">
        <v>145</v>
      </c>
      <c r="JH129" s="236" t="s">
        <v>74</v>
      </c>
      <c r="JI129" s="236" t="s">
        <v>841</v>
      </c>
      <c r="JK129" s="236" t="s">
        <v>8850</v>
      </c>
      <c r="JL129" s="236" t="s">
        <v>145</v>
      </c>
      <c r="JM129" s="236" t="s">
        <v>74</v>
      </c>
      <c r="JN129" s="236" t="s">
        <v>841</v>
      </c>
      <c r="JP129" s="236" t="s">
        <v>8851</v>
      </c>
      <c r="JQ129" s="236" t="s">
        <v>145</v>
      </c>
      <c r="JR129" s="236" t="s">
        <v>74</v>
      </c>
      <c r="JS129" s="236" t="s">
        <v>841</v>
      </c>
      <c r="JU129" s="294" t="s">
        <v>8852</v>
      </c>
      <c r="JV129" s="263" t="s">
        <v>52</v>
      </c>
      <c r="JW129" s="263" t="s">
        <v>70</v>
      </c>
      <c r="JX129" s="263" t="s">
        <v>34241</v>
      </c>
      <c r="JZ129" s="263" t="s">
        <v>8853</v>
      </c>
      <c r="KA129" s="263" t="s">
        <v>145</v>
      </c>
      <c r="KB129" s="263" t="s">
        <v>70</v>
      </c>
      <c r="KC129" s="263" t="s">
        <v>1083</v>
      </c>
      <c r="KE129" s="263" t="s">
        <v>8854</v>
      </c>
      <c r="KF129" s="263" t="s">
        <v>52</v>
      </c>
      <c r="KG129" s="263" t="s">
        <v>70</v>
      </c>
      <c r="KH129" s="263" t="s">
        <v>1083</v>
      </c>
      <c r="KJ129" s="263" t="s">
        <v>8855</v>
      </c>
      <c r="KK129" s="263" t="s">
        <v>52</v>
      </c>
      <c r="KL129" s="263" t="s">
        <v>74</v>
      </c>
      <c r="KM129" s="263" t="s">
        <v>34074</v>
      </c>
      <c r="KO129" s="214" t="s">
        <v>8856</v>
      </c>
      <c r="KP129" s="214" t="s">
        <v>145</v>
      </c>
      <c r="KQ129" s="214" t="s">
        <v>70</v>
      </c>
      <c r="KR129" s="214" t="s">
        <v>67</v>
      </c>
      <c r="KT129" s="22" t="s">
        <v>8857</v>
      </c>
      <c r="KU129" s="22" t="s">
        <v>145</v>
      </c>
      <c r="KV129" s="22" t="s">
        <v>70</v>
      </c>
      <c r="KW129" s="22" t="s">
        <v>67</v>
      </c>
      <c r="KY129" s="214" t="s">
        <v>8858</v>
      </c>
      <c r="KZ129" s="214" t="s">
        <v>52</v>
      </c>
      <c r="LA129" s="214" t="s">
        <v>74</v>
      </c>
      <c r="LB129" s="214" t="s">
        <v>67</v>
      </c>
      <c r="LD129" s="22" t="s">
        <v>8859</v>
      </c>
      <c r="LE129" s="22" t="s">
        <v>145</v>
      </c>
      <c r="LF129" s="22" t="s">
        <v>70</v>
      </c>
      <c r="LG129" s="22" t="s">
        <v>67</v>
      </c>
    </row>
    <row r="130" spans="1:319">
      <c r="A130" s="22" t="s">
        <v>8860</v>
      </c>
      <c r="B130" s="22" t="s">
        <v>145</v>
      </c>
      <c r="C130" s="22" t="s">
        <v>70</v>
      </c>
      <c r="D130" s="22" t="s">
        <v>67</v>
      </c>
      <c r="F130" s="23" t="s">
        <v>8861</v>
      </c>
      <c r="G130" s="23" t="str">
        <f>TVIIBE1M_CalPairs!$E127</f>
        <v>0x26</v>
      </c>
      <c r="H130" s="23" t="s">
        <v>70</v>
      </c>
      <c r="I130" s="23" t="str">
        <f>TVIIBE1M_CalPairs!$C127</f>
        <v>SRSS6_ADDR2</v>
      </c>
      <c r="K130" s="22" t="s">
        <v>8862</v>
      </c>
      <c r="L130" s="22" t="s">
        <v>145</v>
      </c>
      <c r="M130" s="22" t="s">
        <v>70</v>
      </c>
      <c r="N130" s="22" t="s">
        <v>67</v>
      </c>
      <c r="P130" s="22" t="s">
        <v>8863</v>
      </c>
      <c r="Q130" s="22" t="s">
        <v>145</v>
      </c>
      <c r="R130" s="22" t="s">
        <v>70</v>
      </c>
      <c r="S130" s="22" t="s">
        <v>67</v>
      </c>
      <c r="U130" s="293" t="s">
        <v>8864</v>
      </c>
      <c r="V130" s="293" t="s">
        <v>145</v>
      </c>
      <c r="W130" s="293" t="s">
        <v>74</v>
      </c>
      <c r="X130" s="293" t="s">
        <v>656</v>
      </c>
      <c r="Z130" s="293" t="s">
        <v>8865</v>
      </c>
      <c r="AA130" s="293" t="s">
        <v>145</v>
      </c>
      <c r="AB130" s="293" t="s">
        <v>74</v>
      </c>
      <c r="AC130" s="293" t="s">
        <v>656</v>
      </c>
      <c r="AE130" s="293" t="s">
        <v>8866</v>
      </c>
      <c r="AF130" s="293" t="s">
        <v>145</v>
      </c>
      <c r="AG130" s="293" t="s">
        <v>74</v>
      </c>
      <c r="AH130" s="293" t="s">
        <v>656</v>
      </c>
      <c r="AJ130" s="293" t="s">
        <v>8867</v>
      </c>
      <c r="AK130" s="293" t="s">
        <v>145</v>
      </c>
      <c r="AL130" s="293" t="s">
        <v>74</v>
      </c>
      <c r="AM130" s="293" t="s">
        <v>656</v>
      </c>
      <c r="AO130" s="22" t="s">
        <v>8868</v>
      </c>
      <c r="AP130" s="22" t="s">
        <v>145</v>
      </c>
      <c r="AQ130" s="22" t="s">
        <v>70</v>
      </c>
      <c r="AR130" s="22" t="s">
        <v>67</v>
      </c>
      <c r="AT130" s="22" t="s">
        <v>8869</v>
      </c>
      <c r="AU130" s="22" t="s">
        <v>145</v>
      </c>
      <c r="AV130" s="22" t="s">
        <v>70</v>
      </c>
      <c r="AW130" s="22" t="s">
        <v>67</v>
      </c>
      <c r="AY130" s="22" t="s">
        <v>8870</v>
      </c>
      <c r="AZ130" s="22" t="s">
        <v>145</v>
      </c>
      <c r="BA130" s="22" t="s">
        <v>70</v>
      </c>
      <c r="BB130" s="22" t="s">
        <v>67</v>
      </c>
      <c r="BD130" s="22" t="s">
        <v>8871</v>
      </c>
      <c r="BE130" s="22" t="s">
        <v>145</v>
      </c>
      <c r="BF130" s="22" t="s">
        <v>70</v>
      </c>
      <c r="BG130" s="22" t="s">
        <v>67</v>
      </c>
      <c r="BI130" s="22" t="s">
        <v>8872</v>
      </c>
      <c r="BJ130" s="22" t="s">
        <v>145</v>
      </c>
      <c r="BK130" s="22" t="s">
        <v>70</v>
      </c>
      <c r="BL130" s="22" t="s">
        <v>67</v>
      </c>
      <c r="BN130" s="22" t="s">
        <v>8873</v>
      </c>
      <c r="BO130" s="22" t="s">
        <v>145</v>
      </c>
      <c r="BP130" s="22" t="s">
        <v>70</v>
      </c>
      <c r="BQ130" s="22" t="s">
        <v>67</v>
      </c>
      <c r="BS130" s="22" t="s">
        <v>8874</v>
      </c>
      <c r="BT130" s="22" t="s">
        <v>145</v>
      </c>
      <c r="BU130" s="22" t="s">
        <v>70</v>
      </c>
      <c r="BV130" s="214" t="s">
        <v>530</v>
      </c>
      <c r="BX130" s="22" t="s">
        <v>8875</v>
      </c>
      <c r="BY130" s="22" t="s">
        <v>145</v>
      </c>
      <c r="BZ130" s="22" t="s">
        <v>70</v>
      </c>
      <c r="CA130" s="214" t="s">
        <v>530</v>
      </c>
      <c r="CC130" s="214" t="s">
        <v>8876</v>
      </c>
      <c r="CD130" s="218" t="s">
        <v>145</v>
      </c>
      <c r="CE130" s="214" t="s">
        <v>70</v>
      </c>
      <c r="CF130" s="214" t="s">
        <v>425</v>
      </c>
      <c r="CH130" s="214" t="s">
        <v>8877</v>
      </c>
      <c r="CI130" s="214" t="s">
        <v>148</v>
      </c>
      <c r="CJ130" s="214" t="s">
        <v>70</v>
      </c>
      <c r="CK130" s="214" t="s">
        <v>530</v>
      </c>
      <c r="CM130" s="214" t="s">
        <v>8878</v>
      </c>
      <c r="CN130" s="214" t="s">
        <v>498</v>
      </c>
      <c r="CO130" s="214" t="s">
        <v>70</v>
      </c>
      <c r="CP130" s="214" t="s">
        <v>530</v>
      </c>
      <c r="CR130" s="214" t="s">
        <v>8879</v>
      </c>
      <c r="CS130" s="214" t="s">
        <v>149</v>
      </c>
      <c r="CT130" s="214" t="s">
        <v>70</v>
      </c>
      <c r="CU130" s="214" t="s">
        <v>530</v>
      </c>
      <c r="CW130" s="214" t="s">
        <v>8880</v>
      </c>
      <c r="CX130" s="214" t="s">
        <v>52</v>
      </c>
      <c r="CY130" s="214" t="s">
        <v>70</v>
      </c>
      <c r="CZ130" s="214" t="s">
        <v>530</v>
      </c>
      <c r="DB130" s="214" t="s">
        <v>8881</v>
      </c>
      <c r="DC130" s="214" t="s">
        <v>485</v>
      </c>
      <c r="DD130" s="214" t="s">
        <v>70</v>
      </c>
      <c r="DE130" s="214" t="s">
        <v>530</v>
      </c>
      <c r="DG130" s="214" t="s">
        <v>8882</v>
      </c>
      <c r="DH130" s="214" t="s">
        <v>500</v>
      </c>
      <c r="DI130" s="214" t="s">
        <v>70</v>
      </c>
      <c r="DJ130" s="214" t="s">
        <v>530</v>
      </c>
      <c r="DL130" s="214" t="s">
        <v>8883</v>
      </c>
      <c r="DM130" s="214" t="s">
        <v>286</v>
      </c>
      <c r="DN130" s="214" t="s">
        <v>70</v>
      </c>
      <c r="DO130" s="214" t="s">
        <v>530</v>
      </c>
      <c r="DQ130" s="214" t="s">
        <v>8884</v>
      </c>
      <c r="DR130" s="214" t="s">
        <v>34644</v>
      </c>
      <c r="DS130" s="214" t="s">
        <v>70</v>
      </c>
      <c r="DT130" s="214" t="s">
        <v>530</v>
      </c>
      <c r="DV130" s="214" t="s">
        <v>8885</v>
      </c>
      <c r="DW130" s="214" t="s">
        <v>163</v>
      </c>
      <c r="DX130" s="214" t="s">
        <v>70</v>
      </c>
      <c r="DY130" s="214" t="s">
        <v>530</v>
      </c>
      <c r="EA130" s="214" t="s">
        <v>8886</v>
      </c>
      <c r="EB130" s="214" t="s">
        <v>164</v>
      </c>
      <c r="EC130" s="214" t="s">
        <v>70</v>
      </c>
      <c r="ED130" s="214" t="s">
        <v>530</v>
      </c>
      <c r="EF130" s="214" t="s">
        <v>8887</v>
      </c>
      <c r="EG130" s="214" t="s">
        <v>148</v>
      </c>
      <c r="EH130" s="214" t="s">
        <v>70</v>
      </c>
      <c r="EI130" s="214" t="s">
        <v>530</v>
      </c>
      <c r="EK130" s="214" t="s">
        <v>8888</v>
      </c>
      <c r="EL130" s="214" t="s">
        <v>89</v>
      </c>
      <c r="EM130" s="214" t="s">
        <v>70</v>
      </c>
      <c r="EN130" s="214" t="s">
        <v>530</v>
      </c>
      <c r="EP130" s="214" t="s">
        <v>8889</v>
      </c>
      <c r="EQ130" s="214" t="s">
        <v>52</v>
      </c>
      <c r="ER130" s="214" t="s">
        <v>70</v>
      </c>
      <c r="ES130" s="214" t="s">
        <v>530</v>
      </c>
      <c r="EU130" s="214" t="s">
        <v>8890</v>
      </c>
      <c r="EV130" s="214" t="s">
        <v>205</v>
      </c>
      <c r="EW130" s="214" t="s">
        <v>70</v>
      </c>
      <c r="EX130" s="214" t="s">
        <v>530</v>
      </c>
      <c r="EZ130" s="214" t="s">
        <v>8891</v>
      </c>
      <c r="FA130" s="214" t="s">
        <v>34537</v>
      </c>
      <c r="FB130" s="214" t="s">
        <v>70</v>
      </c>
      <c r="FC130" s="214" t="s">
        <v>530</v>
      </c>
      <c r="FE130" s="214" t="s">
        <v>8892</v>
      </c>
      <c r="FF130" s="214" t="s">
        <v>919</v>
      </c>
      <c r="FG130" s="214" t="s">
        <v>70</v>
      </c>
      <c r="FH130" s="214" t="s">
        <v>530</v>
      </c>
      <c r="FJ130" s="321" t="s">
        <v>8893</v>
      </c>
      <c r="FK130" s="214" t="s">
        <v>34636</v>
      </c>
      <c r="FL130" s="214" t="s">
        <v>70</v>
      </c>
      <c r="FM130" s="214" t="s">
        <v>530</v>
      </c>
      <c r="FO130" s="321" t="s">
        <v>8894</v>
      </c>
      <c r="FP130" s="214" t="s">
        <v>485</v>
      </c>
      <c r="FQ130" s="214" t="s">
        <v>70</v>
      </c>
      <c r="FR130" s="214" t="s">
        <v>530</v>
      </c>
      <c r="FT130" s="321" t="s">
        <v>8895</v>
      </c>
      <c r="FU130" s="214" t="s">
        <v>603</v>
      </c>
      <c r="FV130" s="214" t="s">
        <v>70</v>
      </c>
      <c r="FW130" s="214" t="s">
        <v>530</v>
      </c>
      <c r="FY130" s="321" t="s">
        <v>8896</v>
      </c>
      <c r="FZ130" s="214" t="s">
        <v>655</v>
      </c>
      <c r="GA130" s="214" t="s">
        <v>70</v>
      </c>
      <c r="GB130" s="214" t="s">
        <v>530</v>
      </c>
      <c r="GD130" s="321" t="s">
        <v>8897</v>
      </c>
      <c r="GE130" s="214" t="s">
        <v>145</v>
      </c>
      <c r="GF130" s="214" t="s">
        <v>70</v>
      </c>
      <c r="GG130" s="214" t="s">
        <v>530</v>
      </c>
      <c r="GI130" s="321" t="s">
        <v>8898</v>
      </c>
      <c r="GJ130" s="214" t="s">
        <v>146</v>
      </c>
      <c r="GK130" s="214" t="s">
        <v>70</v>
      </c>
      <c r="GL130" s="214" t="s">
        <v>530</v>
      </c>
      <c r="GN130" s="321" t="s">
        <v>8899</v>
      </c>
      <c r="GO130" s="214" t="s">
        <v>148</v>
      </c>
      <c r="GP130" s="214" t="s">
        <v>70</v>
      </c>
      <c r="GQ130" s="214" t="s">
        <v>530</v>
      </c>
      <c r="GS130" s="321" t="s">
        <v>8900</v>
      </c>
      <c r="GT130" s="214" t="s">
        <v>502</v>
      </c>
      <c r="GU130" s="214" t="s">
        <v>70</v>
      </c>
      <c r="GV130" s="214" t="s">
        <v>530</v>
      </c>
      <c r="GX130" s="214" t="s">
        <v>8901</v>
      </c>
      <c r="GY130" s="214" t="s">
        <v>500</v>
      </c>
      <c r="GZ130" s="214" t="s">
        <v>70</v>
      </c>
      <c r="HA130" s="214" t="s">
        <v>530</v>
      </c>
      <c r="HC130" s="214" t="s">
        <v>8902</v>
      </c>
      <c r="HD130" s="214" t="s">
        <v>34583</v>
      </c>
      <c r="HE130" s="214" t="s">
        <v>70</v>
      </c>
      <c r="HF130" s="214" t="s">
        <v>530</v>
      </c>
      <c r="HH130" s="214" t="s">
        <v>8903</v>
      </c>
      <c r="HI130" s="214" t="s">
        <v>52</v>
      </c>
      <c r="HJ130" s="214" t="s">
        <v>70</v>
      </c>
      <c r="HK130" s="214" t="s">
        <v>530</v>
      </c>
      <c r="HM130" s="214" t="s">
        <v>8904</v>
      </c>
      <c r="HN130" s="214" t="s">
        <v>937</v>
      </c>
      <c r="HO130" s="214" t="s">
        <v>70</v>
      </c>
      <c r="HP130" s="214" t="s">
        <v>530</v>
      </c>
      <c r="HR130" s="22" t="s">
        <v>8905</v>
      </c>
      <c r="HS130" s="22" t="s">
        <v>34540</v>
      </c>
      <c r="HT130" s="22" t="s">
        <v>70</v>
      </c>
      <c r="HU130" s="214" t="s">
        <v>530</v>
      </c>
      <c r="HW130" s="22" t="s">
        <v>8906</v>
      </c>
      <c r="HX130" s="22" t="s">
        <v>937</v>
      </c>
      <c r="HY130" s="22" t="s">
        <v>70</v>
      </c>
      <c r="HZ130" s="214" t="s">
        <v>530</v>
      </c>
      <c r="IB130" s="22" t="s">
        <v>8907</v>
      </c>
      <c r="IC130" s="22" t="s">
        <v>87</v>
      </c>
      <c r="ID130" s="22" t="s">
        <v>70</v>
      </c>
      <c r="IE130" s="214" t="s">
        <v>530</v>
      </c>
      <c r="IG130" s="22" t="s">
        <v>8908</v>
      </c>
      <c r="IH130" s="22" t="s">
        <v>52</v>
      </c>
      <c r="II130" s="22" t="s">
        <v>70</v>
      </c>
      <c r="IJ130" s="214" t="s">
        <v>530</v>
      </c>
      <c r="IL130" s="22" t="s">
        <v>8909</v>
      </c>
      <c r="IM130" s="22" t="s">
        <v>145</v>
      </c>
      <c r="IN130" s="22" t="s">
        <v>70</v>
      </c>
      <c r="IO130" s="214" t="s">
        <v>530</v>
      </c>
      <c r="IQ130" s="236" t="s">
        <v>8910</v>
      </c>
      <c r="IR130" s="236" t="s">
        <v>145</v>
      </c>
      <c r="IS130" s="236" t="s">
        <v>74</v>
      </c>
      <c r="IT130" s="236" t="s">
        <v>841</v>
      </c>
      <c r="IV130" s="236" t="s">
        <v>8911</v>
      </c>
      <c r="IW130" s="236" t="s">
        <v>145</v>
      </c>
      <c r="IX130" s="236" t="s">
        <v>74</v>
      </c>
      <c r="IY130" s="236" t="s">
        <v>841</v>
      </c>
      <c r="JA130" s="236" t="s">
        <v>8912</v>
      </c>
      <c r="JB130" s="236" t="s">
        <v>145</v>
      </c>
      <c r="JC130" s="236" t="s">
        <v>74</v>
      </c>
      <c r="JD130" s="236" t="s">
        <v>841</v>
      </c>
      <c r="JF130" s="236" t="s">
        <v>8913</v>
      </c>
      <c r="JG130" s="236" t="s">
        <v>145</v>
      </c>
      <c r="JH130" s="236" t="s">
        <v>74</v>
      </c>
      <c r="JI130" s="236" t="s">
        <v>841</v>
      </c>
      <c r="JK130" s="236" t="s">
        <v>8914</v>
      </c>
      <c r="JL130" s="236" t="s">
        <v>145</v>
      </c>
      <c r="JM130" s="236" t="s">
        <v>74</v>
      </c>
      <c r="JN130" s="236" t="s">
        <v>841</v>
      </c>
      <c r="JP130" s="236" t="s">
        <v>8915</v>
      </c>
      <c r="JQ130" s="236" t="s">
        <v>145</v>
      </c>
      <c r="JR130" s="236" t="s">
        <v>74</v>
      </c>
      <c r="JS130" s="236" t="s">
        <v>841</v>
      </c>
      <c r="JU130" s="294" t="s">
        <v>8916</v>
      </c>
      <c r="JV130" s="263" t="s">
        <v>145</v>
      </c>
      <c r="JW130" s="263" t="s">
        <v>70</v>
      </c>
      <c r="JX130" s="263" t="s">
        <v>34242</v>
      </c>
      <c r="JZ130" s="263" t="s">
        <v>8917</v>
      </c>
      <c r="KA130" s="263" t="s">
        <v>145</v>
      </c>
      <c r="KB130" s="263" t="s">
        <v>70</v>
      </c>
      <c r="KC130" s="263" t="s">
        <v>1083</v>
      </c>
      <c r="KE130" s="263" t="s">
        <v>8918</v>
      </c>
      <c r="KF130" s="263" t="s">
        <v>52</v>
      </c>
      <c r="KG130" s="263" t="s">
        <v>70</v>
      </c>
      <c r="KH130" s="263" t="s">
        <v>1083</v>
      </c>
      <c r="KJ130" s="263" t="s">
        <v>8919</v>
      </c>
      <c r="KK130" s="263" t="s">
        <v>52</v>
      </c>
      <c r="KL130" s="263" t="s">
        <v>74</v>
      </c>
      <c r="KM130" s="263" t="s">
        <v>34074</v>
      </c>
      <c r="KO130" s="214" t="s">
        <v>8920</v>
      </c>
      <c r="KP130" s="214" t="s">
        <v>145</v>
      </c>
      <c r="KQ130" s="214" t="s">
        <v>70</v>
      </c>
      <c r="KR130" s="214" t="s">
        <v>67</v>
      </c>
      <c r="KT130" s="22" t="s">
        <v>8921</v>
      </c>
      <c r="KU130" s="22" t="s">
        <v>145</v>
      </c>
      <c r="KV130" s="22" t="s">
        <v>70</v>
      </c>
      <c r="KW130" s="22" t="s">
        <v>67</v>
      </c>
      <c r="KY130" s="214" t="s">
        <v>8922</v>
      </c>
      <c r="KZ130" s="214" t="s">
        <v>52</v>
      </c>
      <c r="LA130" s="214" t="s">
        <v>74</v>
      </c>
      <c r="LB130" s="214" t="s">
        <v>67</v>
      </c>
      <c r="LD130" s="22" t="s">
        <v>8923</v>
      </c>
      <c r="LE130" s="22" t="s">
        <v>145</v>
      </c>
      <c r="LF130" s="22" t="s">
        <v>70</v>
      </c>
      <c r="LG130" s="22" t="s">
        <v>67</v>
      </c>
    </row>
    <row r="131" spans="1:319">
      <c r="A131" s="22" t="s">
        <v>8924</v>
      </c>
      <c r="B131" s="22" t="s">
        <v>145</v>
      </c>
      <c r="C131" s="22" t="s">
        <v>70</v>
      </c>
      <c r="D131" s="22" t="s">
        <v>67</v>
      </c>
      <c r="F131" s="23" t="s">
        <v>8925</v>
      </c>
      <c r="G131" s="23" t="str">
        <f>TVIIBE1M_CalPairs!$E128</f>
        <v>0x40</v>
      </c>
      <c r="H131" s="23" t="s">
        <v>70</v>
      </c>
      <c r="I131" s="23" t="str">
        <f>TVIIBE1M_CalPairs!$C128</f>
        <v>SRSS6_ADDR3</v>
      </c>
      <c r="K131" s="22" t="s">
        <v>8926</v>
      </c>
      <c r="L131" s="22" t="s">
        <v>145</v>
      </c>
      <c r="M131" s="22" t="s">
        <v>70</v>
      </c>
      <c r="N131" s="22" t="s">
        <v>67</v>
      </c>
      <c r="P131" s="22" t="s">
        <v>8927</v>
      </c>
      <c r="Q131" s="22" t="s">
        <v>145</v>
      </c>
      <c r="R131" s="22" t="s">
        <v>70</v>
      </c>
      <c r="S131" s="22" t="s">
        <v>67</v>
      </c>
      <c r="U131" s="293" t="s">
        <v>8928</v>
      </c>
      <c r="V131" s="293" t="s">
        <v>145</v>
      </c>
      <c r="W131" s="293" t="s">
        <v>74</v>
      </c>
      <c r="X131" s="293" t="s">
        <v>656</v>
      </c>
      <c r="Z131" s="293" t="s">
        <v>8929</v>
      </c>
      <c r="AA131" s="293" t="s">
        <v>145</v>
      </c>
      <c r="AB131" s="293" t="s">
        <v>74</v>
      </c>
      <c r="AC131" s="293" t="s">
        <v>656</v>
      </c>
      <c r="AE131" s="293" t="s">
        <v>8930</v>
      </c>
      <c r="AF131" s="293" t="s">
        <v>145</v>
      </c>
      <c r="AG131" s="293" t="s">
        <v>74</v>
      </c>
      <c r="AH131" s="293" t="s">
        <v>656</v>
      </c>
      <c r="AJ131" s="293" t="s">
        <v>8931</v>
      </c>
      <c r="AK131" s="293" t="s">
        <v>145</v>
      </c>
      <c r="AL131" s="293" t="s">
        <v>74</v>
      </c>
      <c r="AM131" s="293" t="s">
        <v>656</v>
      </c>
      <c r="AO131" s="22" t="s">
        <v>8932</v>
      </c>
      <c r="AP131" s="22" t="s">
        <v>145</v>
      </c>
      <c r="AQ131" s="22" t="s">
        <v>70</v>
      </c>
      <c r="AR131" s="22" t="s">
        <v>67</v>
      </c>
      <c r="AT131" s="22" t="s">
        <v>8933</v>
      </c>
      <c r="AU131" s="22" t="s">
        <v>145</v>
      </c>
      <c r="AV131" s="22" t="s">
        <v>70</v>
      </c>
      <c r="AW131" s="22" t="s">
        <v>67</v>
      </c>
      <c r="AY131" s="22" t="s">
        <v>8934</v>
      </c>
      <c r="AZ131" s="22" t="s">
        <v>145</v>
      </c>
      <c r="BA131" s="22" t="s">
        <v>70</v>
      </c>
      <c r="BB131" s="22" t="s">
        <v>67</v>
      </c>
      <c r="BD131" s="22" t="s">
        <v>8935</v>
      </c>
      <c r="BE131" s="22" t="s">
        <v>145</v>
      </c>
      <c r="BF131" s="22" t="s">
        <v>70</v>
      </c>
      <c r="BG131" s="22" t="s">
        <v>67</v>
      </c>
      <c r="BI131" s="22" t="s">
        <v>8936</v>
      </c>
      <c r="BJ131" s="22" t="s">
        <v>145</v>
      </c>
      <c r="BK131" s="22" t="s">
        <v>70</v>
      </c>
      <c r="BL131" s="22" t="s">
        <v>67</v>
      </c>
      <c r="BN131" s="22" t="s">
        <v>8937</v>
      </c>
      <c r="BO131" s="22" t="s">
        <v>145</v>
      </c>
      <c r="BP131" s="22" t="s">
        <v>70</v>
      </c>
      <c r="BQ131" s="22" t="s">
        <v>67</v>
      </c>
      <c r="BS131" s="22" t="s">
        <v>8938</v>
      </c>
      <c r="BT131" s="22" t="s">
        <v>145</v>
      </c>
      <c r="BU131" s="22" t="s">
        <v>70</v>
      </c>
      <c r="BV131" s="214" t="s">
        <v>530</v>
      </c>
      <c r="BX131" s="22" t="s">
        <v>8939</v>
      </c>
      <c r="BY131" s="22" t="s">
        <v>145</v>
      </c>
      <c r="BZ131" s="22" t="s">
        <v>70</v>
      </c>
      <c r="CA131" s="214" t="s">
        <v>530</v>
      </c>
      <c r="CC131" s="214" t="s">
        <v>8940</v>
      </c>
      <c r="CD131" s="218" t="s">
        <v>145</v>
      </c>
      <c r="CE131" s="214" t="s">
        <v>70</v>
      </c>
      <c r="CF131" s="214" t="s">
        <v>426</v>
      </c>
      <c r="CH131" s="214" t="s">
        <v>8941</v>
      </c>
      <c r="CI131" s="214" t="s">
        <v>950</v>
      </c>
      <c r="CJ131" s="214" t="s">
        <v>70</v>
      </c>
      <c r="CK131" s="214" t="s">
        <v>530</v>
      </c>
      <c r="CM131" s="214" t="s">
        <v>8942</v>
      </c>
      <c r="CN131" s="214" t="s">
        <v>501</v>
      </c>
      <c r="CO131" s="214" t="s">
        <v>70</v>
      </c>
      <c r="CP131" s="214" t="s">
        <v>530</v>
      </c>
      <c r="CR131" s="214" t="s">
        <v>8943</v>
      </c>
      <c r="CS131" s="214" t="s">
        <v>484</v>
      </c>
      <c r="CT131" s="214" t="s">
        <v>70</v>
      </c>
      <c r="CU131" s="214" t="s">
        <v>530</v>
      </c>
      <c r="CW131" s="214" t="s">
        <v>8944</v>
      </c>
      <c r="CX131" s="214" t="s">
        <v>165</v>
      </c>
      <c r="CY131" s="214" t="s">
        <v>70</v>
      </c>
      <c r="CZ131" s="214" t="s">
        <v>530</v>
      </c>
      <c r="DB131" s="214" t="s">
        <v>8945</v>
      </c>
      <c r="DC131" s="214" t="s">
        <v>146</v>
      </c>
      <c r="DD131" s="214" t="s">
        <v>70</v>
      </c>
      <c r="DE131" s="214" t="s">
        <v>530</v>
      </c>
      <c r="DG131" s="214" t="s">
        <v>8946</v>
      </c>
      <c r="DH131" s="214" t="s">
        <v>52</v>
      </c>
      <c r="DI131" s="214" t="s">
        <v>70</v>
      </c>
      <c r="DJ131" s="214" t="s">
        <v>530</v>
      </c>
      <c r="DL131" s="214" t="s">
        <v>8947</v>
      </c>
      <c r="DM131" s="214" t="s">
        <v>600</v>
      </c>
      <c r="DN131" s="214" t="s">
        <v>70</v>
      </c>
      <c r="DO131" s="214" t="s">
        <v>530</v>
      </c>
      <c r="DQ131" s="214" t="s">
        <v>8948</v>
      </c>
      <c r="DR131" s="214" t="s">
        <v>34605</v>
      </c>
      <c r="DS131" s="214" t="s">
        <v>70</v>
      </c>
      <c r="DT131" s="214" t="s">
        <v>530</v>
      </c>
      <c r="DV131" s="214" t="s">
        <v>8949</v>
      </c>
      <c r="DW131" s="214" t="s">
        <v>34542</v>
      </c>
      <c r="DX131" s="214" t="s">
        <v>70</v>
      </c>
      <c r="DY131" s="214" t="s">
        <v>530</v>
      </c>
      <c r="EA131" s="214" t="s">
        <v>8950</v>
      </c>
      <c r="EB131" s="214" t="s">
        <v>497</v>
      </c>
      <c r="EC131" s="214" t="s">
        <v>70</v>
      </c>
      <c r="ED131" s="214" t="s">
        <v>530</v>
      </c>
      <c r="EF131" s="214" t="s">
        <v>8951</v>
      </c>
      <c r="EG131" s="214" t="s">
        <v>34544</v>
      </c>
      <c r="EH131" s="214" t="s">
        <v>70</v>
      </c>
      <c r="EI131" s="214" t="s">
        <v>530</v>
      </c>
      <c r="EK131" s="214" t="s">
        <v>8952</v>
      </c>
      <c r="EL131" s="214" t="s">
        <v>484</v>
      </c>
      <c r="EM131" s="214" t="s">
        <v>70</v>
      </c>
      <c r="EN131" s="214" t="s">
        <v>530</v>
      </c>
      <c r="EP131" s="214" t="s">
        <v>8953</v>
      </c>
      <c r="EQ131" s="214" t="s">
        <v>34569</v>
      </c>
      <c r="ER131" s="214" t="s">
        <v>70</v>
      </c>
      <c r="ES131" s="214" t="s">
        <v>530</v>
      </c>
      <c r="EU131" s="214" t="s">
        <v>8954</v>
      </c>
      <c r="EV131" s="214" t="s">
        <v>798</v>
      </c>
      <c r="EW131" s="214" t="s">
        <v>70</v>
      </c>
      <c r="EX131" s="214" t="s">
        <v>530</v>
      </c>
      <c r="EZ131" s="214" t="s">
        <v>8955</v>
      </c>
      <c r="FA131" s="214" t="s">
        <v>937</v>
      </c>
      <c r="FB131" s="214" t="s">
        <v>70</v>
      </c>
      <c r="FC131" s="214" t="s">
        <v>530</v>
      </c>
      <c r="FE131" s="214" t="s">
        <v>8956</v>
      </c>
      <c r="FF131" s="214" t="s">
        <v>34544</v>
      </c>
      <c r="FG131" s="214" t="s">
        <v>70</v>
      </c>
      <c r="FH131" s="214" t="s">
        <v>530</v>
      </c>
      <c r="FJ131" s="321" t="s">
        <v>8957</v>
      </c>
      <c r="FK131" s="214" t="s">
        <v>52</v>
      </c>
      <c r="FL131" s="214" t="s">
        <v>70</v>
      </c>
      <c r="FM131" s="214" t="s">
        <v>530</v>
      </c>
      <c r="FO131" s="321" t="s">
        <v>8958</v>
      </c>
      <c r="FP131" s="214" t="s">
        <v>488</v>
      </c>
      <c r="FQ131" s="214" t="s">
        <v>70</v>
      </c>
      <c r="FR131" s="214" t="s">
        <v>530</v>
      </c>
      <c r="FT131" s="321" t="s">
        <v>8959</v>
      </c>
      <c r="FU131" s="214" t="s">
        <v>501</v>
      </c>
      <c r="FV131" s="214" t="s">
        <v>70</v>
      </c>
      <c r="FW131" s="214" t="s">
        <v>530</v>
      </c>
      <c r="FY131" s="321" t="s">
        <v>8960</v>
      </c>
      <c r="FZ131" s="214" t="s">
        <v>52</v>
      </c>
      <c r="GA131" s="214" t="s">
        <v>70</v>
      </c>
      <c r="GB131" s="214" t="s">
        <v>530</v>
      </c>
      <c r="GD131" s="321" t="s">
        <v>8961</v>
      </c>
      <c r="GE131" s="214" t="s">
        <v>34541</v>
      </c>
      <c r="GF131" s="214" t="s">
        <v>70</v>
      </c>
      <c r="GG131" s="214" t="s">
        <v>530</v>
      </c>
      <c r="GI131" s="321" t="s">
        <v>8962</v>
      </c>
      <c r="GJ131" s="214" t="s">
        <v>484</v>
      </c>
      <c r="GK131" s="214" t="s">
        <v>70</v>
      </c>
      <c r="GL131" s="214" t="s">
        <v>530</v>
      </c>
      <c r="GN131" s="321" t="s">
        <v>8963</v>
      </c>
      <c r="GO131" s="214" t="s">
        <v>34633</v>
      </c>
      <c r="GP131" s="214" t="s">
        <v>70</v>
      </c>
      <c r="GQ131" s="214" t="s">
        <v>530</v>
      </c>
      <c r="GS131" s="321" t="s">
        <v>8964</v>
      </c>
      <c r="GT131" s="214" t="s">
        <v>163</v>
      </c>
      <c r="GU131" s="214" t="s">
        <v>70</v>
      </c>
      <c r="GV131" s="214" t="s">
        <v>530</v>
      </c>
      <c r="GX131" s="214" t="s">
        <v>8965</v>
      </c>
      <c r="GY131" s="214" t="s">
        <v>501</v>
      </c>
      <c r="GZ131" s="214" t="s">
        <v>70</v>
      </c>
      <c r="HA131" s="214" t="s">
        <v>530</v>
      </c>
      <c r="HC131" s="214" t="s">
        <v>8966</v>
      </c>
      <c r="HD131" s="214" t="s">
        <v>52</v>
      </c>
      <c r="HE131" s="214" t="s">
        <v>70</v>
      </c>
      <c r="HF131" s="214" t="s">
        <v>530</v>
      </c>
      <c r="HH131" s="214" t="s">
        <v>8967</v>
      </c>
      <c r="HI131" s="214" t="s">
        <v>951</v>
      </c>
      <c r="HJ131" s="214" t="s">
        <v>70</v>
      </c>
      <c r="HK131" s="214" t="s">
        <v>530</v>
      </c>
      <c r="HM131" s="214" t="s">
        <v>8968</v>
      </c>
      <c r="HN131" s="214" t="s">
        <v>765</v>
      </c>
      <c r="HO131" s="214" t="s">
        <v>70</v>
      </c>
      <c r="HP131" s="214" t="s">
        <v>530</v>
      </c>
      <c r="HR131" s="22" t="s">
        <v>8969</v>
      </c>
      <c r="HS131" s="22" t="s">
        <v>486</v>
      </c>
      <c r="HT131" s="22" t="s">
        <v>70</v>
      </c>
      <c r="HU131" s="214" t="s">
        <v>530</v>
      </c>
      <c r="HW131" s="22" t="s">
        <v>8970</v>
      </c>
      <c r="HX131" s="22" t="s">
        <v>34539</v>
      </c>
      <c r="HY131" s="22" t="s">
        <v>70</v>
      </c>
      <c r="HZ131" s="214" t="s">
        <v>530</v>
      </c>
      <c r="IB131" s="22" t="s">
        <v>8971</v>
      </c>
      <c r="IC131" s="22" t="s">
        <v>52</v>
      </c>
      <c r="ID131" s="22" t="s">
        <v>70</v>
      </c>
      <c r="IE131" s="214" t="s">
        <v>530</v>
      </c>
      <c r="IG131" s="22" t="s">
        <v>8972</v>
      </c>
      <c r="IH131" s="22" t="s">
        <v>52</v>
      </c>
      <c r="II131" s="22" t="s">
        <v>70</v>
      </c>
      <c r="IJ131" s="214" t="s">
        <v>530</v>
      </c>
      <c r="IL131" s="22" t="s">
        <v>8973</v>
      </c>
      <c r="IM131" s="22" t="s">
        <v>145</v>
      </c>
      <c r="IN131" s="22" t="s">
        <v>70</v>
      </c>
      <c r="IO131" s="214" t="s">
        <v>530</v>
      </c>
      <c r="IQ131" s="236" t="s">
        <v>8974</v>
      </c>
      <c r="IR131" s="236" t="s">
        <v>145</v>
      </c>
      <c r="IS131" s="236" t="s">
        <v>74</v>
      </c>
      <c r="IT131" s="236" t="s">
        <v>841</v>
      </c>
      <c r="IV131" s="236" t="s">
        <v>8975</v>
      </c>
      <c r="IW131" s="236" t="s">
        <v>145</v>
      </c>
      <c r="IX131" s="236" t="s">
        <v>74</v>
      </c>
      <c r="IY131" s="236" t="s">
        <v>841</v>
      </c>
      <c r="JA131" s="236" t="s">
        <v>8976</v>
      </c>
      <c r="JB131" s="236" t="s">
        <v>145</v>
      </c>
      <c r="JC131" s="236" t="s">
        <v>74</v>
      </c>
      <c r="JD131" s="236" t="s">
        <v>841</v>
      </c>
      <c r="JF131" s="236" t="s">
        <v>8977</v>
      </c>
      <c r="JG131" s="236" t="s">
        <v>145</v>
      </c>
      <c r="JH131" s="236" t="s">
        <v>74</v>
      </c>
      <c r="JI131" s="236" t="s">
        <v>841</v>
      </c>
      <c r="JK131" s="236" t="s">
        <v>8978</v>
      </c>
      <c r="JL131" s="236" t="s">
        <v>145</v>
      </c>
      <c r="JM131" s="236" t="s">
        <v>74</v>
      </c>
      <c r="JN131" s="236" t="s">
        <v>841</v>
      </c>
      <c r="JP131" s="236" t="s">
        <v>8979</v>
      </c>
      <c r="JQ131" s="236" t="s">
        <v>145</v>
      </c>
      <c r="JR131" s="236" t="s">
        <v>74</v>
      </c>
      <c r="JS131" s="236" t="s">
        <v>841</v>
      </c>
      <c r="JU131" s="294" t="s">
        <v>8980</v>
      </c>
      <c r="JV131" s="263" t="s">
        <v>52</v>
      </c>
      <c r="JW131" s="263" t="s">
        <v>70</v>
      </c>
      <c r="JX131" s="263" t="s">
        <v>34243</v>
      </c>
      <c r="JZ131" s="263" t="s">
        <v>8981</v>
      </c>
      <c r="KA131" s="263" t="s">
        <v>145</v>
      </c>
      <c r="KB131" s="263" t="s">
        <v>70</v>
      </c>
      <c r="KC131" s="263" t="s">
        <v>1083</v>
      </c>
      <c r="KE131" s="263" t="s">
        <v>8982</v>
      </c>
      <c r="KF131" s="263" t="s">
        <v>52</v>
      </c>
      <c r="KG131" s="263" t="s">
        <v>70</v>
      </c>
      <c r="KH131" s="263" t="s">
        <v>1083</v>
      </c>
      <c r="KJ131" s="263" t="s">
        <v>8983</v>
      </c>
      <c r="KK131" s="263" t="s">
        <v>52</v>
      </c>
      <c r="KL131" s="263" t="s">
        <v>74</v>
      </c>
      <c r="KM131" s="263" t="s">
        <v>34074</v>
      </c>
      <c r="KO131" s="214" t="s">
        <v>8984</v>
      </c>
      <c r="KP131" s="214" t="s">
        <v>145</v>
      </c>
      <c r="KQ131" s="214" t="s">
        <v>70</v>
      </c>
      <c r="KR131" s="214" t="s">
        <v>67</v>
      </c>
      <c r="KT131" s="22" t="s">
        <v>8985</v>
      </c>
      <c r="KU131" s="22" t="s">
        <v>145</v>
      </c>
      <c r="KV131" s="22" t="s">
        <v>70</v>
      </c>
      <c r="KW131" s="22" t="s">
        <v>67</v>
      </c>
      <c r="KY131" s="214" t="s">
        <v>8986</v>
      </c>
      <c r="KZ131" s="214" t="s">
        <v>52</v>
      </c>
      <c r="LA131" s="214" t="s">
        <v>74</v>
      </c>
      <c r="LB131" s="214" t="s">
        <v>67</v>
      </c>
      <c r="LD131" s="22" t="s">
        <v>8987</v>
      </c>
      <c r="LE131" s="22" t="s">
        <v>145</v>
      </c>
      <c r="LF131" s="22" t="s">
        <v>70</v>
      </c>
      <c r="LG131" s="22" t="s">
        <v>67</v>
      </c>
    </row>
    <row r="132" spans="1:319">
      <c r="A132" s="22" t="s">
        <v>8988</v>
      </c>
      <c r="B132" s="22" t="s">
        <v>145</v>
      </c>
      <c r="C132" s="22" t="s">
        <v>70</v>
      </c>
      <c r="D132" s="22" t="s">
        <v>67</v>
      </c>
      <c r="F132" s="23" t="s">
        <v>8989</v>
      </c>
      <c r="G132" s="23" t="str">
        <f>TVIIBE1M_CalPairs!$E129</f>
        <v>0x00</v>
      </c>
      <c r="H132" s="23" t="s">
        <v>70</v>
      </c>
      <c r="I132" s="23" t="str">
        <f>TVIIBE1M_CalPairs!$C129</f>
        <v>PWR_TEST_HT_VAL0</v>
      </c>
      <c r="K132" s="22" t="s">
        <v>8990</v>
      </c>
      <c r="L132" s="22" t="s">
        <v>145</v>
      </c>
      <c r="M132" s="22" t="s">
        <v>70</v>
      </c>
      <c r="N132" s="22" t="s">
        <v>67</v>
      </c>
      <c r="P132" s="22" t="s">
        <v>8991</v>
      </c>
      <c r="Q132" s="22" t="s">
        <v>145</v>
      </c>
      <c r="R132" s="22" t="s">
        <v>70</v>
      </c>
      <c r="S132" s="22" t="s">
        <v>67</v>
      </c>
      <c r="U132" s="293" t="s">
        <v>8992</v>
      </c>
      <c r="V132" s="293" t="s">
        <v>145</v>
      </c>
      <c r="W132" s="293" t="s">
        <v>74</v>
      </c>
      <c r="X132" s="293" t="s">
        <v>656</v>
      </c>
      <c r="Z132" s="293" t="s">
        <v>8993</v>
      </c>
      <c r="AA132" s="293" t="s">
        <v>145</v>
      </c>
      <c r="AB132" s="293" t="s">
        <v>74</v>
      </c>
      <c r="AC132" s="293" t="s">
        <v>656</v>
      </c>
      <c r="AE132" s="293" t="s">
        <v>8994</v>
      </c>
      <c r="AF132" s="293" t="s">
        <v>145</v>
      </c>
      <c r="AG132" s="293" t="s">
        <v>74</v>
      </c>
      <c r="AH132" s="293" t="s">
        <v>656</v>
      </c>
      <c r="AJ132" s="293" t="s">
        <v>8995</v>
      </c>
      <c r="AK132" s="293" t="s">
        <v>145</v>
      </c>
      <c r="AL132" s="293" t="s">
        <v>74</v>
      </c>
      <c r="AM132" s="293" t="s">
        <v>656</v>
      </c>
      <c r="AO132" s="22" t="s">
        <v>8996</v>
      </c>
      <c r="AP132" s="22" t="s">
        <v>145</v>
      </c>
      <c r="AQ132" s="22" t="s">
        <v>70</v>
      </c>
      <c r="AR132" s="22" t="s">
        <v>67</v>
      </c>
      <c r="AT132" s="22" t="s">
        <v>8997</v>
      </c>
      <c r="AU132" s="22" t="s">
        <v>145</v>
      </c>
      <c r="AV132" s="22" t="s">
        <v>70</v>
      </c>
      <c r="AW132" s="22" t="s">
        <v>67</v>
      </c>
      <c r="AY132" s="22" t="s">
        <v>8998</v>
      </c>
      <c r="AZ132" s="22" t="s">
        <v>145</v>
      </c>
      <c r="BA132" s="22" t="s">
        <v>70</v>
      </c>
      <c r="BB132" s="22" t="s">
        <v>67</v>
      </c>
      <c r="BD132" s="22" t="s">
        <v>8999</v>
      </c>
      <c r="BE132" s="22" t="s">
        <v>145</v>
      </c>
      <c r="BF132" s="22" t="s">
        <v>70</v>
      </c>
      <c r="BG132" s="22" t="s">
        <v>67</v>
      </c>
      <c r="BI132" s="22" t="s">
        <v>9000</v>
      </c>
      <c r="BJ132" s="22" t="s">
        <v>145</v>
      </c>
      <c r="BK132" s="22" t="s">
        <v>70</v>
      </c>
      <c r="BL132" s="22" t="s">
        <v>67</v>
      </c>
      <c r="BN132" s="22" t="s">
        <v>9001</v>
      </c>
      <c r="BO132" s="22" t="s">
        <v>145</v>
      </c>
      <c r="BP132" s="22" t="s">
        <v>70</v>
      </c>
      <c r="BQ132" s="22" t="s">
        <v>67</v>
      </c>
      <c r="BS132" s="22" t="s">
        <v>9002</v>
      </c>
      <c r="BT132" s="22" t="s">
        <v>145</v>
      </c>
      <c r="BU132" s="22" t="s">
        <v>70</v>
      </c>
      <c r="BV132" s="214" t="s">
        <v>530</v>
      </c>
      <c r="BX132" s="22" t="s">
        <v>9003</v>
      </c>
      <c r="BY132" s="22" t="s">
        <v>145</v>
      </c>
      <c r="BZ132" s="22" t="s">
        <v>70</v>
      </c>
      <c r="CA132" s="214" t="s">
        <v>530</v>
      </c>
      <c r="CC132" s="214" t="s">
        <v>9004</v>
      </c>
      <c r="CD132" s="218" t="s">
        <v>145</v>
      </c>
      <c r="CE132" s="214" t="s">
        <v>70</v>
      </c>
      <c r="CF132" s="214" t="s">
        <v>427</v>
      </c>
      <c r="CH132" s="214" t="s">
        <v>9005</v>
      </c>
      <c r="CI132" s="214" t="s">
        <v>34591</v>
      </c>
      <c r="CJ132" s="214" t="s">
        <v>70</v>
      </c>
      <c r="CK132" s="214" t="s">
        <v>530</v>
      </c>
      <c r="CM132" s="214" t="s">
        <v>9006</v>
      </c>
      <c r="CN132" s="214" t="s">
        <v>490</v>
      </c>
      <c r="CO132" s="214" t="s">
        <v>70</v>
      </c>
      <c r="CP132" s="214" t="s">
        <v>530</v>
      </c>
      <c r="CR132" s="214" t="s">
        <v>9007</v>
      </c>
      <c r="CS132" s="214" t="s">
        <v>204</v>
      </c>
      <c r="CT132" s="214" t="s">
        <v>70</v>
      </c>
      <c r="CU132" s="214" t="s">
        <v>530</v>
      </c>
      <c r="CW132" s="214" t="s">
        <v>9008</v>
      </c>
      <c r="CX132" s="214" t="s">
        <v>34553</v>
      </c>
      <c r="CY132" s="214" t="s">
        <v>70</v>
      </c>
      <c r="CZ132" s="214" t="s">
        <v>530</v>
      </c>
      <c r="DB132" s="214" t="s">
        <v>9009</v>
      </c>
      <c r="DC132" s="214" t="s">
        <v>103</v>
      </c>
      <c r="DD132" s="214" t="s">
        <v>70</v>
      </c>
      <c r="DE132" s="214" t="s">
        <v>530</v>
      </c>
      <c r="DG132" s="214" t="s">
        <v>9010</v>
      </c>
      <c r="DH132" s="214" t="s">
        <v>485</v>
      </c>
      <c r="DI132" s="214" t="s">
        <v>70</v>
      </c>
      <c r="DJ132" s="214" t="s">
        <v>530</v>
      </c>
      <c r="DL132" s="214" t="s">
        <v>9011</v>
      </c>
      <c r="DM132" s="214" t="s">
        <v>52</v>
      </c>
      <c r="DN132" s="214" t="s">
        <v>70</v>
      </c>
      <c r="DO132" s="214" t="s">
        <v>530</v>
      </c>
      <c r="DQ132" s="214" t="s">
        <v>9012</v>
      </c>
      <c r="DR132" s="214" t="s">
        <v>1028</v>
      </c>
      <c r="DS132" s="214" t="s">
        <v>70</v>
      </c>
      <c r="DT132" s="214" t="s">
        <v>530</v>
      </c>
      <c r="DV132" s="214" t="s">
        <v>9013</v>
      </c>
      <c r="DW132" s="214" t="s">
        <v>90</v>
      </c>
      <c r="DX132" s="214" t="s">
        <v>70</v>
      </c>
      <c r="DY132" s="214" t="s">
        <v>530</v>
      </c>
      <c r="EA132" s="214" t="s">
        <v>9014</v>
      </c>
      <c r="EB132" s="214" t="s">
        <v>34600</v>
      </c>
      <c r="EC132" s="214" t="s">
        <v>70</v>
      </c>
      <c r="ED132" s="214" t="s">
        <v>530</v>
      </c>
      <c r="EF132" s="214" t="s">
        <v>9015</v>
      </c>
      <c r="EG132" s="214" t="s">
        <v>163</v>
      </c>
      <c r="EH132" s="214" t="s">
        <v>70</v>
      </c>
      <c r="EI132" s="214" t="s">
        <v>530</v>
      </c>
      <c r="EK132" s="214" t="s">
        <v>9016</v>
      </c>
      <c r="EL132" s="214" t="s">
        <v>145</v>
      </c>
      <c r="EM132" s="214" t="s">
        <v>70</v>
      </c>
      <c r="EN132" s="214" t="s">
        <v>530</v>
      </c>
      <c r="EP132" s="214" t="s">
        <v>9017</v>
      </c>
      <c r="EQ132" s="214" t="s">
        <v>164</v>
      </c>
      <c r="ER132" s="214" t="s">
        <v>70</v>
      </c>
      <c r="ES132" s="214" t="s">
        <v>530</v>
      </c>
      <c r="EU132" s="214" t="s">
        <v>9018</v>
      </c>
      <c r="EV132" s="214" t="s">
        <v>765</v>
      </c>
      <c r="EW132" s="214" t="s">
        <v>70</v>
      </c>
      <c r="EX132" s="214" t="s">
        <v>530</v>
      </c>
      <c r="EZ132" s="214" t="s">
        <v>9019</v>
      </c>
      <c r="FA132" s="214" t="s">
        <v>163</v>
      </c>
      <c r="FB132" s="214" t="s">
        <v>70</v>
      </c>
      <c r="FC132" s="214" t="s">
        <v>530</v>
      </c>
      <c r="FE132" s="214" t="s">
        <v>9020</v>
      </c>
      <c r="FF132" s="214" t="s">
        <v>148</v>
      </c>
      <c r="FG132" s="214" t="s">
        <v>70</v>
      </c>
      <c r="FH132" s="214" t="s">
        <v>530</v>
      </c>
      <c r="FJ132" s="321" t="s">
        <v>9021</v>
      </c>
      <c r="FK132" s="214" t="s">
        <v>34516</v>
      </c>
      <c r="FL132" s="214" t="s">
        <v>70</v>
      </c>
      <c r="FM132" s="214" t="s">
        <v>530</v>
      </c>
      <c r="FO132" s="321" t="s">
        <v>9022</v>
      </c>
      <c r="FP132" s="214" t="s">
        <v>485</v>
      </c>
      <c r="FQ132" s="214" t="s">
        <v>70</v>
      </c>
      <c r="FR132" s="214" t="s">
        <v>530</v>
      </c>
      <c r="FT132" s="321" t="s">
        <v>9023</v>
      </c>
      <c r="FU132" s="214" t="s">
        <v>34552</v>
      </c>
      <c r="FV132" s="214" t="s">
        <v>70</v>
      </c>
      <c r="FW132" s="214" t="s">
        <v>530</v>
      </c>
      <c r="FY132" s="321" t="s">
        <v>9024</v>
      </c>
      <c r="FZ132" s="214" t="s">
        <v>87</v>
      </c>
      <c r="GA132" s="214" t="s">
        <v>70</v>
      </c>
      <c r="GB132" s="214" t="s">
        <v>530</v>
      </c>
      <c r="GD132" s="321" t="s">
        <v>9025</v>
      </c>
      <c r="GE132" s="214" t="s">
        <v>149</v>
      </c>
      <c r="GF132" s="214" t="s">
        <v>70</v>
      </c>
      <c r="GG132" s="214" t="s">
        <v>530</v>
      </c>
      <c r="GI132" s="321" t="s">
        <v>9026</v>
      </c>
      <c r="GJ132" s="214" t="s">
        <v>92</v>
      </c>
      <c r="GK132" s="214" t="s">
        <v>70</v>
      </c>
      <c r="GL132" s="214" t="s">
        <v>530</v>
      </c>
      <c r="GN132" s="321" t="s">
        <v>9027</v>
      </c>
      <c r="GO132" s="214" t="s">
        <v>34598</v>
      </c>
      <c r="GP132" s="214" t="s">
        <v>70</v>
      </c>
      <c r="GQ132" s="214" t="s">
        <v>530</v>
      </c>
      <c r="GS132" s="321" t="s">
        <v>9028</v>
      </c>
      <c r="GT132" s="214" t="s">
        <v>915</v>
      </c>
      <c r="GU132" s="214" t="s">
        <v>70</v>
      </c>
      <c r="GV132" s="214" t="s">
        <v>530</v>
      </c>
      <c r="GX132" s="214" t="s">
        <v>9029</v>
      </c>
      <c r="GY132" s="214" t="s">
        <v>164</v>
      </c>
      <c r="GZ132" s="214" t="s">
        <v>70</v>
      </c>
      <c r="HA132" s="214" t="s">
        <v>530</v>
      </c>
      <c r="HC132" s="214" t="s">
        <v>9030</v>
      </c>
      <c r="HD132" s="214" t="s">
        <v>89</v>
      </c>
      <c r="HE132" s="214" t="s">
        <v>70</v>
      </c>
      <c r="HF132" s="214" t="s">
        <v>530</v>
      </c>
      <c r="HH132" s="214" t="s">
        <v>9031</v>
      </c>
      <c r="HI132" s="214" t="s">
        <v>34579</v>
      </c>
      <c r="HJ132" s="214" t="s">
        <v>70</v>
      </c>
      <c r="HK132" s="214" t="s">
        <v>530</v>
      </c>
      <c r="HM132" s="214" t="s">
        <v>9032</v>
      </c>
      <c r="HN132" s="214" t="s">
        <v>34614</v>
      </c>
      <c r="HO132" s="214" t="s">
        <v>70</v>
      </c>
      <c r="HP132" s="214" t="s">
        <v>530</v>
      </c>
      <c r="HR132" s="22" t="s">
        <v>9033</v>
      </c>
      <c r="HS132" s="22" t="s">
        <v>604</v>
      </c>
      <c r="HT132" s="22" t="s">
        <v>70</v>
      </c>
      <c r="HU132" s="214" t="s">
        <v>530</v>
      </c>
      <c r="HW132" s="22" t="s">
        <v>9034</v>
      </c>
      <c r="HX132" s="22" t="s">
        <v>468</v>
      </c>
      <c r="HY132" s="22" t="s">
        <v>70</v>
      </c>
      <c r="HZ132" s="214" t="s">
        <v>530</v>
      </c>
      <c r="IB132" s="22" t="s">
        <v>9035</v>
      </c>
      <c r="IC132" s="22" t="s">
        <v>52</v>
      </c>
      <c r="ID132" s="22" t="s">
        <v>70</v>
      </c>
      <c r="IE132" s="214" t="s">
        <v>530</v>
      </c>
      <c r="IG132" s="22" t="s">
        <v>9036</v>
      </c>
      <c r="IH132" s="22" t="s">
        <v>52</v>
      </c>
      <c r="II132" s="22" t="s">
        <v>70</v>
      </c>
      <c r="IJ132" s="214" t="s">
        <v>530</v>
      </c>
      <c r="IL132" s="22" t="s">
        <v>9037</v>
      </c>
      <c r="IM132" s="22" t="s">
        <v>145</v>
      </c>
      <c r="IN132" s="22" t="s">
        <v>70</v>
      </c>
      <c r="IO132" s="214" t="s">
        <v>530</v>
      </c>
      <c r="IQ132" s="236" t="s">
        <v>9038</v>
      </c>
      <c r="IR132" s="236" t="s">
        <v>145</v>
      </c>
      <c r="IS132" s="236" t="s">
        <v>74</v>
      </c>
      <c r="IT132" s="236" t="s">
        <v>841</v>
      </c>
      <c r="IV132" s="236" t="s">
        <v>9039</v>
      </c>
      <c r="IW132" s="236" t="s">
        <v>145</v>
      </c>
      <c r="IX132" s="236" t="s">
        <v>74</v>
      </c>
      <c r="IY132" s="236" t="s">
        <v>841</v>
      </c>
      <c r="JA132" s="236" t="s">
        <v>9040</v>
      </c>
      <c r="JB132" s="236" t="s">
        <v>145</v>
      </c>
      <c r="JC132" s="236" t="s">
        <v>74</v>
      </c>
      <c r="JD132" s="236" t="s">
        <v>841</v>
      </c>
      <c r="JF132" s="236" t="s">
        <v>9041</v>
      </c>
      <c r="JG132" s="236" t="s">
        <v>145</v>
      </c>
      <c r="JH132" s="236" t="s">
        <v>74</v>
      </c>
      <c r="JI132" s="236" t="s">
        <v>841</v>
      </c>
      <c r="JK132" s="236" t="s">
        <v>9042</v>
      </c>
      <c r="JL132" s="236" t="s">
        <v>145</v>
      </c>
      <c r="JM132" s="236" t="s">
        <v>74</v>
      </c>
      <c r="JN132" s="236" t="s">
        <v>841</v>
      </c>
      <c r="JP132" s="236" t="s">
        <v>9043</v>
      </c>
      <c r="JQ132" s="236" t="s">
        <v>145</v>
      </c>
      <c r="JR132" s="236" t="s">
        <v>74</v>
      </c>
      <c r="JS132" s="236" t="s">
        <v>841</v>
      </c>
      <c r="JU132" s="294" t="s">
        <v>9044</v>
      </c>
      <c r="JV132" s="337" t="str">
        <f>TVIIBE1M_CalPairs!$Q6</f>
        <v>0x01</v>
      </c>
      <c r="JW132" s="263" t="s">
        <v>70</v>
      </c>
      <c r="JX132" s="263" t="s">
        <v>5708</v>
      </c>
      <c r="JZ132" s="263" t="s">
        <v>9045</v>
      </c>
      <c r="KA132" s="263" t="s">
        <v>145</v>
      </c>
      <c r="KB132" s="263" t="s">
        <v>70</v>
      </c>
      <c r="KC132" s="263" t="s">
        <v>1083</v>
      </c>
      <c r="KE132" s="263" t="s">
        <v>9046</v>
      </c>
      <c r="KF132" s="263" t="s">
        <v>52</v>
      </c>
      <c r="KG132" s="263" t="s">
        <v>70</v>
      </c>
      <c r="KH132" s="263" t="s">
        <v>1083</v>
      </c>
      <c r="KJ132" s="263" t="s">
        <v>9047</v>
      </c>
      <c r="KK132" s="263" t="s">
        <v>52</v>
      </c>
      <c r="KL132" s="263" t="s">
        <v>74</v>
      </c>
      <c r="KM132" s="263" t="s">
        <v>34074</v>
      </c>
      <c r="KO132" s="214" t="s">
        <v>9048</v>
      </c>
      <c r="KP132" s="214" t="s">
        <v>145</v>
      </c>
      <c r="KQ132" s="214" t="s">
        <v>70</v>
      </c>
      <c r="KR132" s="214" t="s">
        <v>67</v>
      </c>
      <c r="KT132" s="22" t="s">
        <v>9049</v>
      </c>
      <c r="KU132" s="22" t="s">
        <v>145</v>
      </c>
      <c r="KV132" s="22" t="s">
        <v>70</v>
      </c>
      <c r="KW132" s="22" t="s">
        <v>67</v>
      </c>
      <c r="KY132" s="214" t="s">
        <v>9050</v>
      </c>
      <c r="KZ132" s="214" t="s">
        <v>52</v>
      </c>
      <c r="LA132" s="214" t="s">
        <v>74</v>
      </c>
      <c r="LB132" s="214" t="s">
        <v>67</v>
      </c>
      <c r="LD132" s="22" t="s">
        <v>9051</v>
      </c>
      <c r="LE132" s="22" t="s">
        <v>145</v>
      </c>
      <c r="LF132" s="22" t="s">
        <v>70</v>
      </c>
      <c r="LG132" s="22" t="s">
        <v>67</v>
      </c>
    </row>
    <row r="133" spans="1:319">
      <c r="A133" s="22" t="s">
        <v>9052</v>
      </c>
      <c r="B133" s="22" t="s">
        <v>145</v>
      </c>
      <c r="C133" s="22" t="s">
        <v>70</v>
      </c>
      <c r="D133" s="22" t="s">
        <v>67</v>
      </c>
      <c r="F133" s="23" t="s">
        <v>9053</v>
      </c>
      <c r="G133" s="23" t="str">
        <f>TVIIBE1M_CalPairs!$E130</f>
        <v>0x20</v>
      </c>
      <c r="H133" s="23" t="s">
        <v>70</v>
      </c>
      <c r="I133" s="23" t="str">
        <f>TVIIBE1M_CalPairs!$C130</f>
        <v>PWR_TEST_HT_VAL1</v>
      </c>
      <c r="K133" s="22" t="s">
        <v>9054</v>
      </c>
      <c r="L133" s="22" t="s">
        <v>145</v>
      </c>
      <c r="M133" s="22" t="s">
        <v>70</v>
      </c>
      <c r="N133" s="22" t="s">
        <v>67</v>
      </c>
      <c r="P133" s="22" t="s">
        <v>9055</v>
      </c>
      <c r="Q133" s="22" t="s">
        <v>145</v>
      </c>
      <c r="R133" s="22" t="s">
        <v>70</v>
      </c>
      <c r="S133" s="22" t="s">
        <v>67</v>
      </c>
      <c r="U133" s="293" t="s">
        <v>9056</v>
      </c>
      <c r="V133" s="293" t="s">
        <v>145</v>
      </c>
      <c r="W133" s="293" t="s">
        <v>74</v>
      </c>
      <c r="X133" s="293" t="s">
        <v>656</v>
      </c>
      <c r="Z133" s="293" t="s">
        <v>9057</v>
      </c>
      <c r="AA133" s="293" t="s">
        <v>145</v>
      </c>
      <c r="AB133" s="293" t="s">
        <v>74</v>
      </c>
      <c r="AC133" s="293" t="s">
        <v>656</v>
      </c>
      <c r="AE133" s="293" t="s">
        <v>9058</v>
      </c>
      <c r="AF133" s="293" t="s">
        <v>145</v>
      </c>
      <c r="AG133" s="293" t="s">
        <v>74</v>
      </c>
      <c r="AH133" s="293" t="s">
        <v>656</v>
      </c>
      <c r="AJ133" s="293" t="s">
        <v>9059</v>
      </c>
      <c r="AK133" s="293" t="s">
        <v>145</v>
      </c>
      <c r="AL133" s="293" t="s">
        <v>74</v>
      </c>
      <c r="AM133" s="293" t="s">
        <v>656</v>
      </c>
      <c r="AO133" s="22" t="s">
        <v>9060</v>
      </c>
      <c r="AP133" s="22" t="s">
        <v>145</v>
      </c>
      <c r="AQ133" s="22" t="s">
        <v>70</v>
      </c>
      <c r="AR133" s="22" t="s">
        <v>67</v>
      </c>
      <c r="AT133" s="22" t="s">
        <v>9061</v>
      </c>
      <c r="AU133" s="22" t="s">
        <v>145</v>
      </c>
      <c r="AV133" s="22" t="s">
        <v>70</v>
      </c>
      <c r="AW133" s="22" t="s">
        <v>67</v>
      </c>
      <c r="AY133" s="22" t="s">
        <v>9062</v>
      </c>
      <c r="AZ133" s="22" t="s">
        <v>145</v>
      </c>
      <c r="BA133" s="22" t="s">
        <v>70</v>
      </c>
      <c r="BB133" s="22" t="s">
        <v>67</v>
      </c>
      <c r="BD133" s="22" t="s">
        <v>9063</v>
      </c>
      <c r="BE133" s="22" t="s">
        <v>145</v>
      </c>
      <c r="BF133" s="22" t="s">
        <v>70</v>
      </c>
      <c r="BG133" s="22" t="s">
        <v>67</v>
      </c>
      <c r="BI133" s="22" t="s">
        <v>9064</v>
      </c>
      <c r="BJ133" s="22" t="s">
        <v>145</v>
      </c>
      <c r="BK133" s="22" t="s">
        <v>70</v>
      </c>
      <c r="BL133" s="22" t="s">
        <v>67</v>
      </c>
      <c r="BN133" s="22" t="s">
        <v>9065</v>
      </c>
      <c r="BO133" s="22" t="s">
        <v>145</v>
      </c>
      <c r="BP133" s="22" t="s">
        <v>70</v>
      </c>
      <c r="BQ133" s="22" t="s">
        <v>67</v>
      </c>
      <c r="BS133" s="22" t="s">
        <v>9066</v>
      </c>
      <c r="BT133" s="22" t="s">
        <v>145</v>
      </c>
      <c r="BU133" s="22" t="s">
        <v>70</v>
      </c>
      <c r="BV133" s="214" t="s">
        <v>530</v>
      </c>
      <c r="BX133" s="22" t="s">
        <v>9067</v>
      </c>
      <c r="BY133" s="22" t="s">
        <v>145</v>
      </c>
      <c r="BZ133" s="22" t="s">
        <v>70</v>
      </c>
      <c r="CA133" s="214" t="s">
        <v>530</v>
      </c>
      <c r="CC133" s="214" t="s">
        <v>9068</v>
      </c>
      <c r="CD133" s="218" t="s">
        <v>145</v>
      </c>
      <c r="CE133" s="214" t="s">
        <v>70</v>
      </c>
      <c r="CF133" s="214" t="s">
        <v>428</v>
      </c>
      <c r="CH133" s="214" t="s">
        <v>9069</v>
      </c>
      <c r="CI133" s="214" t="s">
        <v>34550</v>
      </c>
      <c r="CJ133" s="214" t="s">
        <v>70</v>
      </c>
      <c r="CK133" s="214" t="s">
        <v>530</v>
      </c>
      <c r="CM133" s="214" t="s">
        <v>9070</v>
      </c>
      <c r="CN133" s="214" t="s">
        <v>34616</v>
      </c>
      <c r="CO133" s="214" t="s">
        <v>70</v>
      </c>
      <c r="CP133" s="214" t="s">
        <v>530</v>
      </c>
      <c r="CR133" s="214" t="s">
        <v>9071</v>
      </c>
      <c r="CS133" s="214" t="s">
        <v>146</v>
      </c>
      <c r="CT133" s="214" t="s">
        <v>70</v>
      </c>
      <c r="CU133" s="214" t="s">
        <v>530</v>
      </c>
      <c r="CW133" s="214" t="s">
        <v>9072</v>
      </c>
      <c r="CX133" s="214" t="s">
        <v>482</v>
      </c>
      <c r="CY133" s="214" t="s">
        <v>70</v>
      </c>
      <c r="CZ133" s="214" t="s">
        <v>530</v>
      </c>
      <c r="DB133" s="214" t="s">
        <v>9073</v>
      </c>
      <c r="DC133" s="214" t="s">
        <v>485</v>
      </c>
      <c r="DD133" s="214" t="s">
        <v>70</v>
      </c>
      <c r="DE133" s="214" t="s">
        <v>530</v>
      </c>
      <c r="DG133" s="214" t="s">
        <v>9074</v>
      </c>
      <c r="DH133" s="214" t="s">
        <v>93</v>
      </c>
      <c r="DI133" s="214" t="s">
        <v>70</v>
      </c>
      <c r="DJ133" s="214" t="s">
        <v>530</v>
      </c>
      <c r="DL133" s="214" t="s">
        <v>9075</v>
      </c>
      <c r="DM133" s="214" t="s">
        <v>52</v>
      </c>
      <c r="DN133" s="214" t="s">
        <v>70</v>
      </c>
      <c r="DO133" s="214" t="s">
        <v>530</v>
      </c>
      <c r="DQ133" s="214" t="s">
        <v>9076</v>
      </c>
      <c r="DR133" s="214" t="s">
        <v>52</v>
      </c>
      <c r="DS133" s="214" t="s">
        <v>70</v>
      </c>
      <c r="DT133" s="214" t="s">
        <v>530</v>
      </c>
      <c r="DV133" s="214" t="s">
        <v>9077</v>
      </c>
      <c r="DW133" s="214" t="s">
        <v>468</v>
      </c>
      <c r="DX133" s="214" t="s">
        <v>70</v>
      </c>
      <c r="DY133" s="214" t="s">
        <v>530</v>
      </c>
      <c r="EA133" s="214" t="s">
        <v>9078</v>
      </c>
      <c r="EB133" s="214" t="s">
        <v>912</v>
      </c>
      <c r="EC133" s="214" t="s">
        <v>70</v>
      </c>
      <c r="ED133" s="214" t="s">
        <v>530</v>
      </c>
      <c r="EF133" s="214" t="s">
        <v>9079</v>
      </c>
      <c r="EG133" s="214" t="s">
        <v>468</v>
      </c>
      <c r="EH133" s="214" t="s">
        <v>70</v>
      </c>
      <c r="EI133" s="214" t="s">
        <v>530</v>
      </c>
      <c r="EK133" s="214" t="s">
        <v>9080</v>
      </c>
      <c r="EL133" s="214" t="s">
        <v>34541</v>
      </c>
      <c r="EM133" s="214" t="s">
        <v>70</v>
      </c>
      <c r="EN133" s="214" t="s">
        <v>530</v>
      </c>
      <c r="EP133" s="214" t="s">
        <v>9081</v>
      </c>
      <c r="EQ133" s="214" t="s">
        <v>34544</v>
      </c>
      <c r="ER133" s="214" t="s">
        <v>70</v>
      </c>
      <c r="ES133" s="214" t="s">
        <v>530</v>
      </c>
      <c r="EU133" s="214" t="s">
        <v>9082</v>
      </c>
      <c r="EV133" s="214" t="s">
        <v>287</v>
      </c>
      <c r="EW133" s="214" t="s">
        <v>70</v>
      </c>
      <c r="EX133" s="214" t="s">
        <v>530</v>
      </c>
      <c r="EZ133" s="214" t="s">
        <v>9083</v>
      </c>
      <c r="FA133" s="214" t="s">
        <v>488</v>
      </c>
      <c r="FB133" s="214" t="s">
        <v>70</v>
      </c>
      <c r="FC133" s="214" t="s">
        <v>530</v>
      </c>
      <c r="FE133" s="214" t="s">
        <v>9084</v>
      </c>
      <c r="FF133" s="214" t="s">
        <v>956</v>
      </c>
      <c r="FG133" s="214" t="s">
        <v>70</v>
      </c>
      <c r="FH133" s="214" t="s">
        <v>530</v>
      </c>
      <c r="FJ133" s="321" t="s">
        <v>9085</v>
      </c>
      <c r="FK133" s="214" t="s">
        <v>919</v>
      </c>
      <c r="FL133" s="214" t="s">
        <v>70</v>
      </c>
      <c r="FM133" s="214" t="s">
        <v>530</v>
      </c>
      <c r="FO133" s="321" t="s">
        <v>9086</v>
      </c>
      <c r="FP133" s="214" t="s">
        <v>484</v>
      </c>
      <c r="FQ133" s="214" t="s">
        <v>70</v>
      </c>
      <c r="FR133" s="214" t="s">
        <v>530</v>
      </c>
      <c r="FT133" s="321" t="s">
        <v>9087</v>
      </c>
      <c r="FU133" s="214" t="s">
        <v>34542</v>
      </c>
      <c r="FV133" s="214" t="s">
        <v>70</v>
      </c>
      <c r="FW133" s="214" t="s">
        <v>530</v>
      </c>
      <c r="FY133" s="321" t="s">
        <v>9088</v>
      </c>
      <c r="FZ133" s="214" t="s">
        <v>599</v>
      </c>
      <c r="GA133" s="214" t="s">
        <v>70</v>
      </c>
      <c r="GB133" s="214" t="s">
        <v>530</v>
      </c>
      <c r="GD133" s="321" t="s">
        <v>9089</v>
      </c>
      <c r="GE133" s="214" t="s">
        <v>145</v>
      </c>
      <c r="GF133" s="214" t="s">
        <v>70</v>
      </c>
      <c r="GG133" s="214" t="s">
        <v>530</v>
      </c>
      <c r="GI133" s="321" t="s">
        <v>9090</v>
      </c>
      <c r="GJ133" s="214" t="s">
        <v>488</v>
      </c>
      <c r="GK133" s="214" t="s">
        <v>70</v>
      </c>
      <c r="GL133" s="214" t="s">
        <v>530</v>
      </c>
      <c r="GN133" s="321" t="s">
        <v>9091</v>
      </c>
      <c r="GO133" s="214" t="s">
        <v>481</v>
      </c>
      <c r="GP133" s="214" t="s">
        <v>70</v>
      </c>
      <c r="GQ133" s="214" t="s">
        <v>530</v>
      </c>
      <c r="GS133" s="321" t="s">
        <v>9092</v>
      </c>
      <c r="GT133" s="214" t="s">
        <v>486</v>
      </c>
      <c r="GU133" s="214" t="s">
        <v>70</v>
      </c>
      <c r="GV133" s="214" t="s">
        <v>530</v>
      </c>
      <c r="GX133" s="214" t="s">
        <v>9093</v>
      </c>
      <c r="GY133" s="214" t="s">
        <v>34580</v>
      </c>
      <c r="GZ133" s="214" t="s">
        <v>70</v>
      </c>
      <c r="HA133" s="214" t="s">
        <v>530</v>
      </c>
      <c r="HC133" s="214" t="s">
        <v>9094</v>
      </c>
      <c r="HD133" s="214" t="s">
        <v>482</v>
      </c>
      <c r="HE133" s="214" t="s">
        <v>70</v>
      </c>
      <c r="HF133" s="214" t="s">
        <v>530</v>
      </c>
      <c r="HH133" s="214" t="s">
        <v>9095</v>
      </c>
      <c r="HI133" s="214" t="s">
        <v>52</v>
      </c>
      <c r="HJ133" s="214" t="s">
        <v>70</v>
      </c>
      <c r="HK133" s="214" t="s">
        <v>530</v>
      </c>
      <c r="HM133" s="214" t="s">
        <v>9096</v>
      </c>
      <c r="HN133" s="214" t="s">
        <v>501</v>
      </c>
      <c r="HO133" s="214" t="s">
        <v>70</v>
      </c>
      <c r="HP133" s="214" t="s">
        <v>530</v>
      </c>
      <c r="HR133" s="22" t="s">
        <v>9097</v>
      </c>
      <c r="HS133" s="22" t="s">
        <v>34555</v>
      </c>
      <c r="HT133" s="22" t="s">
        <v>70</v>
      </c>
      <c r="HU133" s="214" t="s">
        <v>530</v>
      </c>
      <c r="HW133" s="22" t="s">
        <v>9098</v>
      </c>
      <c r="HX133" s="22" t="s">
        <v>34593</v>
      </c>
      <c r="HY133" s="22" t="s">
        <v>70</v>
      </c>
      <c r="HZ133" s="214" t="s">
        <v>530</v>
      </c>
      <c r="IB133" s="22" t="s">
        <v>9099</v>
      </c>
      <c r="IC133" s="22" t="s">
        <v>502</v>
      </c>
      <c r="ID133" s="22" t="s">
        <v>70</v>
      </c>
      <c r="IE133" s="214" t="s">
        <v>530</v>
      </c>
      <c r="IG133" s="22" t="s">
        <v>9100</v>
      </c>
      <c r="IH133" s="22" t="s">
        <v>52</v>
      </c>
      <c r="II133" s="22" t="s">
        <v>70</v>
      </c>
      <c r="IJ133" s="214" t="s">
        <v>530</v>
      </c>
      <c r="IL133" s="22" t="s">
        <v>9101</v>
      </c>
      <c r="IM133" s="22" t="s">
        <v>145</v>
      </c>
      <c r="IN133" s="22" t="s">
        <v>70</v>
      </c>
      <c r="IO133" s="214" t="s">
        <v>530</v>
      </c>
      <c r="IQ133" s="236" t="s">
        <v>9102</v>
      </c>
      <c r="IR133" s="236" t="s">
        <v>145</v>
      </c>
      <c r="IS133" s="236" t="s">
        <v>74</v>
      </c>
      <c r="IT133" s="236" t="s">
        <v>841</v>
      </c>
      <c r="IV133" s="236" t="s">
        <v>9103</v>
      </c>
      <c r="IW133" s="236" t="s">
        <v>145</v>
      </c>
      <c r="IX133" s="236" t="s">
        <v>74</v>
      </c>
      <c r="IY133" s="236" t="s">
        <v>841</v>
      </c>
      <c r="JA133" s="236" t="s">
        <v>9104</v>
      </c>
      <c r="JB133" s="236" t="s">
        <v>145</v>
      </c>
      <c r="JC133" s="236" t="s">
        <v>74</v>
      </c>
      <c r="JD133" s="236" t="s">
        <v>841</v>
      </c>
      <c r="JF133" s="236" t="s">
        <v>9105</v>
      </c>
      <c r="JG133" s="236" t="s">
        <v>145</v>
      </c>
      <c r="JH133" s="236" t="s">
        <v>74</v>
      </c>
      <c r="JI133" s="236" t="s">
        <v>841</v>
      </c>
      <c r="JK133" s="236" t="s">
        <v>9106</v>
      </c>
      <c r="JL133" s="236" t="s">
        <v>145</v>
      </c>
      <c r="JM133" s="236" t="s">
        <v>74</v>
      </c>
      <c r="JN133" s="236" t="s">
        <v>841</v>
      </c>
      <c r="JP133" s="236" t="s">
        <v>9107</v>
      </c>
      <c r="JQ133" s="236" t="s">
        <v>145</v>
      </c>
      <c r="JR133" s="236" t="s">
        <v>74</v>
      </c>
      <c r="JS133" s="236" t="s">
        <v>841</v>
      </c>
      <c r="JU133" s="294" t="s">
        <v>9108</v>
      </c>
      <c r="JV133" s="263" t="s">
        <v>52</v>
      </c>
      <c r="JW133" s="263" t="s">
        <v>70</v>
      </c>
      <c r="JX133" s="263" t="s">
        <v>5773</v>
      </c>
      <c r="JZ133" s="263" t="s">
        <v>9109</v>
      </c>
      <c r="KA133" s="263" t="s">
        <v>145</v>
      </c>
      <c r="KB133" s="263" t="s">
        <v>70</v>
      </c>
      <c r="KC133" s="263" t="s">
        <v>1083</v>
      </c>
      <c r="KE133" s="263" t="s">
        <v>9110</v>
      </c>
      <c r="KF133" s="263" t="s">
        <v>52</v>
      </c>
      <c r="KG133" s="263" t="s">
        <v>70</v>
      </c>
      <c r="KH133" s="263" t="s">
        <v>1083</v>
      </c>
      <c r="KJ133" s="263" t="s">
        <v>9111</v>
      </c>
      <c r="KK133" s="263" t="s">
        <v>52</v>
      </c>
      <c r="KL133" s="263" t="s">
        <v>74</v>
      </c>
      <c r="KM133" s="263" t="s">
        <v>34074</v>
      </c>
      <c r="KO133" s="214" t="s">
        <v>9112</v>
      </c>
      <c r="KP133" s="214" t="s">
        <v>145</v>
      </c>
      <c r="KQ133" s="214" t="s">
        <v>70</v>
      </c>
      <c r="KR133" s="214" t="s">
        <v>67</v>
      </c>
      <c r="KT133" s="22" t="s">
        <v>9113</v>
      </c>
      <c r="KU133" s="22" t="s">
        <v>145</v>
      </c>
      <c r="KV133" s="22" t="s">
        <v>70</v>
      </c>
      <c r="KW133" s="22" t="s">
        <v>67</v>
      </c>
      <c r="KY133" s="214" t="s">
        <v>9114</v>
      </c>
      <c r="KZ133" s="214" t="s">
        <v>52</v>
      </c>
      <c r="LA133" s="214" t="s">
        <v>74</v>
      </c>
      <c r="LB133" s="214" t="s">
        <v>67</v>
      </c>
      <c r="LD133" s="22" t="s">
        <v>9115</v>
      </c>
      <c r="LE133" s="22" t="s">
        <v>145</v>
      </c>
      <c r="LF133" s="22" t="s">
        <v>70</v>
      </c>
      <c r="LG133" s="22" t="s">
        <v>67</v>
      </c>
    </row>
    <row r="134" spans="1:319">
      <c r="A134" s="22" t="s">
        <v>9116</v>
      </c>
      <c r="B134" s="22" t="s">
        <v>145</v>
      </c>
      <c r="C134" s="22" t="s">
        <v>70</v>
      </c>
      <c r="D134" s="22" t="s">
        <v>67</v>
      </c>
      <c r="F134" s="23" t="s">
        <v>9117</v>
      </c>
      <c r="G134" s="23" t="str">
        <f>TVIIBE1M_CalPairs!$E131</f>
        <v>0x00</v>
      </c>
      <c r="H134" s="23" t="s">
        <v>70</v>
      </c>
      <c r="I134" s="23" t="str">
        <f>TVIIBE1M_CalPairs!$C131</f>
        <v>PWR_TEST_HT_VAL2</v>
      </c>
      <c r="K134" s="22" t="s">
        <v>9118</v>
      </c>
      <c r="L134" s="22" t="s">
        <v>145</v>
      </c>
      <c r="M134" s="22" t="s">
        <v>70</v>
      </c>
      <c r="N134" s="22" t="s">
        <v>67</v>
      </c>
      <c r="P134" s="22" t="s">
        <v>9119</v>
      </c>
      <c r="Q134" s="22" t="s">
        <v>145</v>
      </c>
      <c r="R134" s="22" t="s">
        <v>70</v>
      </c>
      <c r="S134" s="22" t="s">
        <v>67</v>
      </c>
      <c r="U134" s="293" t="s">
        <v>9120</v>
      </c>
      <c r="V134" s="293" t="s">
        <v>145</v>
      </c>
      <c r="W134" s="293" t="s">
        <v>74</v>
      </c>
      <c r="X134" s="293" t="s">
        <v>656</v>
      </c>
      <c r="Z134" s="293" t="s">
        <v>9121</v>
      </c>
      <c r="AA134" s="293" t="s">
        <v>145</v>
      </c>
      <c r="AB134" s="293" t="s">
        <v>74</v>
      </c>
      <c r="AC134" s="293" t="s">
        <v>656</v>
      </c>
      <c r="AE134" s="293" t="s">
        <v>9122</v>
      </c>
      <c r="AF134" s="293" t="s">
        <v>145</v>
      </c>
      <c r="AG134" s="293" t="s">
        <v>74</v>
      </c>
      <c r="AH134" s="293" t="s">
        <v>656</v>
      </c>
      <c r="AJ134" s="293" t="s">
        <v>9123</v>
      </c>
      <c r="AK134" s="293" t="s">
        <v>145</v>
      </c>
      <c r="AL134" s="293" t="s">
        <v>74</v>
      </c>
      <c r="AM134" s="293" t="s">
        <v>656</v>
      </c>
      <c r="AO134" s="22" t="s">
        <v>9124</v>
      </c>
      <c r="AP134" s="22" t="s">
        <v>145</v>
      </c>
      <c r="AQ134" s="22" t="s">
        <v>70</v>
      </c>
      <c r="AR134" s="22" t="s">
        <v>67</v>
      </c>
      <c r="AT134" s="22" t="s">
        <v>9125</v>
      </c>
      <c r="AU134" s="22" t="s">
        <v>145</v>
      </c>
      <c r="AV134" s="22" t="s">
        <v>70</v>
      </c>
      <c r="AW134" s="22" t="s">
        <v>67</v>
      </c>
      <c r="AY134" s="22" t="s">
        <v>9126</v>
      </c>
      <c r="AZ134" s="22" t="s">
        <v>145</v>
      </c>
      <c r="BA134" s="22" t="s">
        <v>70</v>
      </c>
      <c r="BB134" s="22" t="s">
        <v>67</v>
      </c>
      <c r="BD134" s="22" t="s">
        <v>9127</v>
      </c>
      <c r="BE134" s="22" t="s">
        <v>145</v>
      </c>
      <c r="BF134" s="22" t="s">
        <v>70</v>
      </c>
      <c r="BG134" s="22" t="s">
        <v>67</v>
      </c>
      <c r="BI134" s="22" t="s">
        <v>9128</v>
      </c>
      <c r="BJ134" s="22" t="s">
        <v>145</v>
      </c>
      <c r="BK134" s="22" t="s">
        <v>70</v>
      </c>
      <c r="BL134" s="22" t="s">
        <v>67</v>
      </c>
      <c r="BN134" s="22" t="s">
        <v>9129</v>
      </c>
      <c r="BO134" s="22" t="s">
        <v>145</v>
      </c>
      <c r="BP134" s="22" t="s">
        <v>70</v>
      </c>
      <c r="BQ134" s="22" t="s">
        <v>67</v>
      </c>
      <c r="BS134" s="22" t="s">
        <v>9130</v>
      </c>
      <c r="BT134" s="22" t="s">
        <v>145</v>
      </c>
      <c r="BU134" s="22" t="s">
        <v>70</v>
      </c>
      <c r="BV134" s="214" t="s">
        <v>530</v>
      </c>
      <c r="BX134" s="22" t="s">
        <v>9131</v>
      </c>
      <c r="BY134" s="22" t="s">
        <v>145</v>
      </c>
      <c r="BZ134" s="22" t="s">
        <v>70</v>
      </c>
      <c r="CA134" s="214" t="s">
        <v>530</v>
      </c>
      <c r="CC134" s="214" t="s">
        <v>9132</v>
      </c>
      <c r="CD134" s="218" t="s">
        <v>145</v>
      </c>
      <c r="CE134" s="214" t="s">
        <v>70</v>
      </c>
      <c r="CF134" s="214" t="s">
        <v>429</v>
      </c>
      <c r="CH134" s="214" t="s">
        <v>9133</v>
      </c>
      <c r="CI134" s="214" t="s">
        <v>34552</v>
      </c>
      <c r="CJ134" s="214" t="s">
        <v>70</v>
      </c>
      <c r="CK134" s="214" t="s">
        <v>530</v>
      </c>
      <c r="CM134" s="214" t="s">
        <v>9134</v>
      </c>
      <c r="CN134" s="214" t="s">
        <v>916</v>
      </c>
      <c r="CO134" s="214" t="s">
        <v>70</v>
      </c>
      <c r="CP134" s="214" t="s">
        <v>530</v>
      </c>
      <c r="CR134" s="214" t="s">
        <v>9135</v>
      </c>
      <c r="CS134" s="214" t="s">
        <v>85</v>
      </c>
      <c r="CT134" s="214" t="s">
        <v>70</v>
      </c>
      <c r="CU134" s="214" t="s">
        <v>530</v>
      </c>
      <c r="CW134" s="214" t="s">
        <v>9136</v>
      </c>
      <c r="CX134" s="214" t="s">
        <v>34516</v>
      </c>
      <c r="CY134" s="214" t="s">
        <v>70</v>
      </c>
      <c r="CZ134" s="214" t="s">
        <v>530</v>
      </c>
      <c r="DB134" s="214" t="s">
        <v>9137</v>
      </c>
      <c r="DC134" s="214" t="s">
        <v>34545</v>
      </c>
      <c r="DD134" s="214" t="s">
        <v>70</v>
      </c>
      <c r="DE134" s="214" t="s">
        <v>530</v>
      </c>
      <c r="DG134" s="214" t="s">
        <v>9138</v>
      </c>
      <c r="DH134" s="214" t="s">
        <v>145</v>
      </c>
      <c r="DI134" s="214" t="s">
        <v>70</v>
      </c>
      <c r="DJ134" s="214" t="s">
        <v>530</v>
      </c>
      <c r="DL134" s="214" t="s">
        <v>9139</v>
      </c>
      <c r="DM134" s="214" t="s">
        <v>529</v>
      </c>
      <c r="DN134" s="214" t="s">
        <v>70</v>
      </c>
      <c r="DO134" s="214" t="s">
        <v>530</v>
      </c>
      <c r="DQ134" s="214" t="s">
        <v>9140</v>
      </c>
      <c r="DR134" s="214" t="s">
        <v>905</v>
      </c>
      <c r="DS134" s="214" t="s">
        <v>70</v>
      </c>
      <c r="DT134" s="214" t="s">
        <v>530</v>
      </c>
      <c r="DV134" s="214" t="s">
        <v>9141</v>
      </c>
      <c r="DW134" s="214" t="s">
        <v>146</v>
      </c>
      <c r="DX134" s="214" t="s">
        <v>70</v>
      </c>
      <c r="DY134" s="214" t="s">
        <v>530</v>
      </c>
      <c r="EA134" s="214" t="s">
        <v>9142</v>
      </c>
      <c r="EB134" s="214" t="s">
        <v>910</v>
      </c>
      <c r="EC134" s="214" t="s">
        <v>70</v>
      </c>
      <c r="ED134" s="214" t="s">
        <v>530</v>
      </c>
      <c r="EF134" s="214" t="s">
        <v>9143</v>
      </c>
      <c r="EG134" s="214" t="s">
        <v>92</v>
      </c>
      <c r="EH134" s="214" t="s">
        <v>70</v>
      </c>
      <c r="EI134" s="214" t="s">
        <v>530</v>
      </c>
      <c r="EK134" s="214" t="s">
        <v>9144</v>
      </c>
      <c r="EL134" s="214" t="s">
        <v>34546</v>
      </c>
      <c r="EM134" s="214" t="s">
        <v>70</v>
      </c>
      <c r="EN134" s="214" t="s">
        <v>530</v>
      </c>
      <c r="EP134" s="214" t="s">
        <v>9145</v>
      </c>
      <c r="EQ134" s="214" t="s">
        <v>92</v>
      </c>
      <c r="ER134" s="214" t="s">
        <v>70</v>
      </c>
      <c r="ES134" s="214" t="s">
        <v>530</v>
      </c>
      <c r="EU134" s="214" t="s">
        <v>9146</v>
      </c>
      <c r="EV134" s="214" t="s">
        <v>34539</v>
      </c>
      <c r="EW134" s="214" t="s">
        <v>70</v>
      </c>
      <c r="EX134" s="214" t="s">
        <v>530</v>
      </c>
      <c r="EZ134" s="214" t="s">
        <v>9147</v>
      </c>
      <c r="FA134" s="214" t="s">
        <v>34614</v>
      </c>
      <c r="FB134" s="214" t="s">
        <v>70</v>
      </c>
      <c r="FC134" s="214" t="s">
        <v>530</v>
      </c>
      <c r="FE134" s="214" t="s">
        <v>9148</v>
      </c>
      <c r="FF134" s="214" t="s">
        <v>163</v>
      </c>
      <c r="FG134" s="214" t="s">
        <v>70</v>
      </c>
      <c r="FH134" s="214" t="s">
        <v>530</v>
      </c>
      <c r="FJ134" s="321" t="s">
        <v>9149</v>
      </c>
      <c r="FK134" s="214" t="s">
        <v>211</v>
      </c>
      <c r="FL134" s="214" t="s">
        <v>70</v>
      </c>
      <c r="FM134" s="214" t="s">
        <v>530</v>
      </c>
      <c r="FO134" s="321" t="s">
        <v>9150</v>
      </c>
      <c r="FP134" s="214" t="s">
        <v>90</v>
      </c>
      <c r="FQ134" s="214" t="s">
        <v>70</v>
      </c>
      <c r="FR134" s="214" t="s">
        <v>530</v>
      </c>
      <c r="FT134" s="321" t="s">
        <v>9151</v>
      </c>
      <c r="FU134" s="214" t="s">
        <v>90</v>
      </c>
      <c r="FV134" s="214" t="s">
        <v>70</v>
      </c>
      <c r="FW134" s="214" t="s">
        <v>530</v>
      </c>
      <c r="FY134" s="321" t="s">
        <v>9152</v>
      </c>
      <c r="FZ134" s="214" t="s">
        <v>910</v>
      </c>
      <c r="GA134" s="214" t="s">
        <v>70</v>
      </c>
      <c r="GB134" s="214" t="s">
        <v>530</v>
      </c>
      <c r="GD134" s="321" t="s">
        <v>9153</v>
      </c>
      <c r="GE134" s="214" t="s">
        <v>163</v>
      </c>
      <c r="GF134" s="214" t="s">
        <v>70</v>
      </c>
      <c r="GG134" s="214" t="s">
        <v>530</v>
      </c>
      <c r="GI134" s="321" t="s">
        <v>9154</v>
      </c>
      <c r="GJ134" s="214" t="s">
        <v>52</v>
      </c>
      <c r="GK134" s="214" t="s">
        <v>70</v>
      </c>
      <c r="GL134" s="214" t="s">
        <v>530</v>
      </c>
      <c r="GN134" s="321" t="s">
        <v>9155</v>
      </c>
      <c r="GO134" s="214" t="s">
        <v>145</v>
      </c>
      <c r="GP134" s="214" t="s">
        <v>70</v>
      </c>
      <c r="GQ134" s="214" t="s">
        <v>530</v>
      </c>
      <c r="GS134" s="321" t="s">
        <v>9156</v>
      </c>
      <c r="GT134" s="214" t="s">
        <v>148</v>
      </c>
      <c r="GU134" s="214" t="s">
        <v>70</v>
      </c>
      <c r="GV134" s="214" t="s">
        <v>530</v>
      </c>
      <c r="GX134" s="214" t="s">
        <v>9157</v>
      </c>
      <c r="GY134" s="214" t="s">
        <v>636</v>
      </c>
      <c r="GZ134" s="214" t="s">
        <v>70</v>
      </c>
      <c r="HA134" s="214" t="s">
        <v>530</v>
      </c>
      <c r="HC134" s="214" t="s">
        <v>9158</v>
      </c>
      <c r="HD134" s="214" t="s">
        <v>149</v>
      </c>
      <c r="HE134" s="214" t="s">
        <v>70</v>
      </c>
      <c r="HF134" s="214" t="s">
        <v>530</v>
      </c>
      <c r="HH134" s="214" t="s">
        <v>9159</v>
      </c>
      <c r="HI134" s="214" t="s">
        <v>34586</v>
      </c>
      <c r="HJ134" s="214" t="s">
        <v>70</v>
      </c>
      <c r="HK134" s="214" t="s">
        <v>530</v>
      </c>
      <c r="HM134" s="214" t="s">
        <v>9160</v>
      </c>
      <c r="HN134" s="214" t="s">
        <v>34538</v>
      </c>
      <c r="HO134" s="214" t="s">
        <v>70</v>
      </c>
      <c r="HP134" s="214" t="s">
        <v>530</v>
      </c>
      <c r="HR134" s="22" t="s">
        <v>9161</v>
      </c>
      <c r="HS134" s="22" t="s">
        <v>916</v>
      </c>
      <c r="HT134" s="22" t="s">
        <v>70</v>
      </c>
      <c r="HU134" s="214" t="s">
        <v>530</v>
      </c>
      <c r="HW134" s="22" t="s">
        <v>9162</v>
      </c>
      <c r="HX134" s="22" t="s">
        <v>34634</v>
      </c>
      <c r="HY134" s="22" t="s">
        <v>70</v>
      </c>
      <c r="HZ134" s="214" t="s">
        <v>530</v>
      </c>
      <c r="IB134" s="22" t="s">
        <v>9163</v>
      </c>
      <c r="IC134" s="22" t="s">
        <v>34405</v>
      </c>
      <c r="ID134" s="22" t="s">
        <v>70</v>
      </c>
      <c r="IE134" s="214" t="s">
        <v>530</v>
      </c>
      <c r="IG134" s="22" t="s">
        <v>9164</v>
      </c>
      <c r="IH134" s="22" t="s">
        <v>52</v>
      </c>
      <c r="II134" s="22" t="s">
        <v>70</v>
      </c>
      <c r="IJ134" s="214" t="s">
        <v>530</v>
      </c>
      <c r="IL134" s="22" t="s">
        <v>9165</v>
      </c>
      <c r="IM134" s="22" t="s">
        <v>145</v>
      </c>
      <c r="IN134" s="22" t="s">
        <v>70</v>
      </c>
      <c r="IO134" s="214" t="s">
        <v>530</v>
      </c>
      <c r="IQ134" s="236" t="s">
        <v>9166</v>
      </c>
      <c r="IR134" s="236" t="s">
        <v>145</v>
      </c>
      <c r="IS134" s="236" t="s">
        <v>74</v>
      </c>
      <c r="IT134" s="236" t="s">
        <v>841</v>
      </c>
      <c r="IV134" s="236" t="s">
        <v>9167</v>
      </c>
      <c r="IW134" s="236" t="s">
        <v>145</v>
      </c>
      <c r="IX134" s="236" t="s">
        <v>74</v>
      </c>
      <c r="IY134" s="236" t="s">
        <v>841</v>
      </c>
      <c r="JA134" s="236" t="s">
        <v>9168</v>
      </c>
      <c r="JB134" s="236" t="s">
        <v>145</v>
      </c>
      <c r="JC134" s="236" t="s">
        <v>74</v>
      </c>
      <c r="JD134" s="236" t="s">
        <v>841</v>
      </c>
      <c r="JF134" s="236" t="s">
        <v>9169</v>
      </c>
      <c r="JG134" s="236" t="s">
        <v>145</v>
      </c>
      <c r="JH134" s="236" t="s">
        <v>74</v>
      </c>
      <c r="JI134" s="236" t="s">
        <v>841</v>
      </c>
      <c r="JK134" s="236" t="s">
        <v>9170</v>
      </c>
      <c r="JL134" s="236" t="s">
        <v>145</v>
      </c>
      <c r="JM134" s="236" t="s">
        <v>74</v>
      </c>
      <c r="JN134" s="236" t="s">
        <v>841</v>
      </c>
      <c r="JP134" s="236" t="s">
        <v>9171</v>
      </c>
      <c r="JQ134" s="236" t="s">
        <v>145</v>
      </c>
      <c r="JR134" s="236" t="s">
        <v>74</v>
      </c>
      <c r="JS134" s="236" t="s">
        <v>841</v>
      </c>
      <c r="JU134" s="294" t="s">
        <v>9172</v>
      </c>
      <c r="JV134" s="263" t="s">
        <v>52</v>
      </c>
      <c r="JW134" s="263" t="s">
        <v>70</v>
      </c>
      <c r="JX134" s="263" t="s">
        <v>5838</v>
      </c>
      <c r="JZ134" s="263" t="s">
        <v>9173</v>
      </c>
      <c r="KA134" s="263" t="s">
        <v>145</v>
      </c>
      <c r="KB134" s="263" t="s">
        <v>70</v>
      </c>
      <c r="KC134" s="263" t="s">
        <v>1083</v>
      </c>
      <c r="KE134" s="263" t="s">
        <v>9174</v>
      </c>
      <c r="KF134" s="263" t="s">
        <v>52</v>
      </c>
      <c r="KG134" s="263" t="s">
        <v>70</v>
      </c>
      <c r="KH134" s="263" t="s">
        <v>1083</v>
      </c>
      <c r="KJ134" s="263" t="s">
        <v>9175</v>
      </c>
      <c r="KK134" s="263" t="s">
        <v>52</v>
      </c>
      <c r="KL134" s="263" t="s">
        <v>74</v>
      </c>
      <c r="KM134" s="263" t="s">
        <v>34074</v>
      </c>
      <c r="KO134" s="214" t="s">
        <v>9176</v>
      </c>
      <c r="KP134" s="214" t="s">
        <v>145</v>
      </c>
      <c r="KQ134" s="214" t="s">
        <v>70</v>
      </c>
      <c r="KR134" s="214" t="s">
        <v>67</v>
      </c>
      <c r="KT134" s="22" t="s">
        <v>9177</v>
      </c>
      <c r="KU134" s="22" t="s">
        <v>145</v>
      </c>
      <c r="KV134" s="22" t="s">
        <v>70</v>
      </c>
      <c r="KW134" s="22" t="s">
        <v>67</v>
      </c>
      <c r="KY134" s="214" t="s">
        <v>9178</v>
      </c>
      <c r="KZ134" s="214" t="s">
        <v>52</v>
      </c>
      <c r="LA134" s="214" t="s">
        <v>74</v>
      </c>
      <c r="LB134" s="214" t="s">
        <v>67</v>
      </c>
      <c r="LD134" s="22" t="s">
        <v>9179</v>
      </c>
      <c r="LE134" s="22" t="s">
        <v>145</v>
      </c>
      <c r="LF134" s="22" t="s">
        <v>70</v>
      </c>
      <c r="LG134" s="22" t="s">
        <v>67</v>
      </c>
    </row>
    <row r="135" spans="1:319">
      <c r="A135" s="22" t="s">
        <v>9180</v>
      </c>
      <c r="B135" s="22" t="s">
        <v>145</v>
      </c>
      <c r="C135" s="22" t="s">
        <v>70</v>
      </c>
      <c r="D135" s="22" t="s">
        <v>67</v>
      </c>
      <c r="F135" s="23" t="s">
        <v>9181</v>
      </c>
      <c r="G135" s="23" t="str">
        <f>TVIIBE1M_CalPairs!$E132</f>
        <v>0x00</v>
      </c>
      <c r="H135" s="23" t="s">
        <v>70</v>
      </c>
      <c r="I135" s="23" t="str">
        <f>TVIIBE1M_CalPairs!$C132</f>
        <v>PWR_TEST_HT_VAL3</v>
      </c>
      <c r="K135" s="22" t="s">
        <v>9182</v>
      </c>
      <c r="L135" s="22" t="s">
        <v>145</v>
      </c>
      <c r="M135" s="22" t="s">
        <v>70</v>
      </c>
      <c r="N135" s="22" t="s">
        <v>67</v>
      </c>
      <c r="P135" s="22" t="s">
        <v>9183</v>
      </c>
      <c r="Q135" s="22" t="s">
        <v>145</v>
      </c>
      <c r="R135" s="22" t="s">
        <v>70</v>
      </c>
      <c r="S135" s="22" t="s">
        <v>67</v>
      </c>
      <c r="U135" s="293" t="s">
        <v>9184</v>
      </c>
      <c r="V135" s="293" t="s">
        <v>145</v>
      </c>
      <c r="W135" s="293" t="s">
        <v>74</v>
      </c>
      <c r="X135" s="293" t="s">
        <v>656</v>
      </c>
      <c r="Z135" s="293" t="s">
        <v>9185</v>
      </c>
      <c r="AA135" s="293" t="s">
        <v>145</v>
      </c>
      <c r="AB135" s="293" t="s">
        <v>74</v>
      </c>
      <c r="AC135" s="293" t="s">
        <v>656</v>
      </c>
      <c r="AE135" s="293" t="s">
        <v>9186</v>
      </c>
      <c r="AF135" s="293" t="s">
        <v>145</v>
      </c>
      <c r="AG135" s="293" t="s">
        <v>74</v>
      </c>
      <c r="AH135" s="293" t="s">
        <v>656</v>
      </c>
      <c r="AJ135" s="293" t="s">
        <v>9187</v>
      </c>
      <c r="AK135" s="293" t="s">
        <v>145</v>
      </c>
      <c r="AL135" s="293" t="s">
        <v>74</v>
      </c>
      <c r="AM135" s="293" t="s">
        <v>656</v>
      </c>
      <c r="AO135" s="22" t="s">
        <v>9188</v>
      </c>
      <c r="AP135" s="22" t="s">
        <v>145</v>
      </c>
      <c r="AQ135" s="22" t="s">
        <v>70</v>
      </c>
      <c r="AR135" s="22" t="s">
        <v>67</v>
      </c>
      <c r="AT135" s="22" t="s">
        <v>9189</v>
      </c>
      <c r="AU135" s="22" t="s">
        <v>145</v>
      </c>
      <c r="AV135" s="22" t="s">
        <v>70</v>
      </c>
      <c r="AW135" s="22" t="s">
        <v>67</v>
      </c>
      <c r="AY135" s="22" t="s">
        <v>9190</v>
      </c>
      <c r="AZ135" s="22" t="s">
        <v>145</v>
      </c>
      <c r="BA135" s="22" t="s">
        <v>70</v>
      </c>
      <c r="BB135" s="22" t="s">
        <v>67</v>
      </c>
      <c r="BD135" s="22" t="s">
        <v>9191</v>
      </c>
      <c r="BE135" s="22" t="s">
        <v>145</v>
      </c>
      <c r="BF135" s="22" t="s">
        <v>70</v>
      </c>
      <c r="BG135" s="22" t="s">
        <v>67</v>
      </c>
      <c r="BI135" s="22" t="s">
        <v>9192</v>
      </c>
      <c r="BJ135" s="22" t="s">
        <v>145</v>
      </c>
      <c r="BK135" s="22" t="s">
        <v>70</v>
      </c>
      <c r="BL135" s="22" t="s">
        <v>67</v>
      </c>
      <c r="BN135" s="22" t="s">
        <v>9193</v>
      </c>
      <c r="BO135" s="22" t="s">
        <v>145</v>
      </c>
      <c r="BP135" s="22" t="s">
        <v>70</v>
      </c>
      <c r="BQ135" s="22" t="s">
        <v>67</v>
      </c>
      <c r="BS135" s="22" t="s">
        <v>9194</v>
      </c>
      <c r="BT135" s="22" t="s">
        <v>145</v>
      </c>
      <c r="BU135" s="22" t="s">
        <v>70</v>
      </c>
      <c r="BV135" s="214" t="s">
        <v>530</v>
      </c>
      <c r="BX135" s="22" t="s">
        <v>9195</v>
      </c>
      <c r="BY135" s="22" t="s">
        <v>145</v>
      </c>
      <c r="BZ135" s="22" t="s">
        <v>70</v>
      </c>
      <c r="CA135" s="214" t="s">
        <v>530</v>
      </c>
      <c r="CC135" s="214" t="s">
        <v>9196</v>
      </c>
      <c r="CD135" s="218" t="s">
        <v>145</v>
      </c>
      <c r="CE135" s="214" t="s">
        <v>70</v>
      </c>
      <c r="CF135" s="214" t="s">
        <v>430</v>
      </c>
      <c r="CH135" s="214" t="s">
        <v>9197</v>
      </c>
      <c r="CI135" s="214" t="s">
        <v>86</v>
      </c>
      <c r="CJ135" s="214" t="s">
        <v>70</v>
      </c>
      <c r="CK135" s="214" t="s">
        <v>530</v>
      </c>
      <c r="CM135" s="214" t="s">
        <v>9198</v>
      </c>
      <c r="CN135" s="214" t="s">
        <v>599</v>
      </c>
      <c r="CO135" s="214" t="s">
        <v>70</v>
      </c>
      <c r="CP135" s="214" t="s">
        <v>530</v>
      </c>
      <c r="CR135" s="214" t="s">
        <v>9199</v>
      </c>
      <c r="CS135" s="214" t="s">
        <v>34569</v>
      </c>
      <c r="CT135" s="214" t="s">
        <v>70</v>
      </c>
      <c r="CU135" s="214" t="s">
        <v>530</v>
      </c>
      <c r="CW135" s="214" t="s">
        <v>9200</v>
      </c>
      <c r="CX135" s="214" t="s">
        <v>52</v>
      </c>
      <c r="CY135" s="214" t="s">
        <v>70</v>
      </c>
      <c r="CZ135" s="214" t="s">
        <v>530</v>
      </c>
      <c r="DB135" s="214" t="s">
        <v>9201</v>
      </c>
      <c r="DC135" s="214" t="s">
        <v>34561</v>
      </c>
      <c r="DD135" s="214" t="s">
        <v>70</v>
      </c>
      <c r="DE135" s="214" t="s">
        <v>530</v>
      </c>
      <c r="DG135" s="214" t="s">
        <v>9202</v>
      </c>
      <c r="DH135" s="214" t="s">
        <v>34541</v>
      </c>
      <c r="DI135" s="214" t="s">
        <v>70</v>
      </c>
      <c r="DJ135" s="214" t="s">
        <v>530</v>
      </c>
      <c r="DL135" s="214" t="s">
        <v>9203</v>
      </c>
      <c r="DM135" s="214" t="s">
        <v>600</v>
      </c>
      <c r="DN135" s="214" t="s">
        <v>70</v>
      </c>
      <c r="DO135" s="214" t="s">
        <v>530</v>
      </c>
      <c r="DQ135" s="214" t="s">
        <v>9204</v>
      </c>
      <c r="DR135" s="214" t="s">
        <v>924</v>
      </c>
      <c r="DS135" s="214" t="s">
        <v>70</v>
      </c>
      <c r="DT135" s="214" t="s">
        <v>530</v>
      </c>
      <c r="DV135" s="214" t="s">
        <v>9205</v>
      </c>
      <c r="DW135" s="214" t="s">
        <v>52</v>
      </c>
      <c r="DX135" s="214" t="s">
        <v>70</v>
      </c>
      <c r="DY135" s="214" t="s">
        <v>530</v>
      </c>
      <c r="EA135" s="214" t="s">
        <v>9206</v>
      </c>
      <c r="EB135" s="214" t="s">
        <v>926</v>
      </c>
      <c r="EC135" s="214" t="s">
        <v>70</v>
      </c>
      <c r="ED135" s="214" t="s">
        <v>530</v>
      </c>
      <c r="EF135" s="214" t="s">
        <v>9207</v>
      </c>
      <c r="EG135" s="214" t="s">
        <v>496</v>
      </c>
      <c r="EH135" s="214" t="s">
        <v>70</v>
      </c>
      <c r="EI135" s="214" t="s">
        <v>530</v>
      </c>
      <c r="EK135" s="214" t="s">
        <v>9208</v>
      </c>
      <c r="EL135" s="214" t="s">
        <v>145</v>
      </c>
      <c r="EM135" s="214" t="s">
        <v>70</v>
      </c>
      <c r="EN135" s="214" t="s">
        <v>530</v>
      </c>
      <c r="EP135" s="214" t="s">
        <v>9209</v>
      </c>
      <c r="EQ135" s="214" t="s">
        <v>52</v>
      </c>
      <c r="ER135" s="214" t="s">
        <v>70</v>
      </c>
      <c r="ES135" s="214" t="s">
        <v>530</v>
      </c>
      <c r="EU135" s="214" t="s">
        <v>9210</v>
      </c>
      <c r="EV135" s="214" t="s">
        <v>484</v>
      </c>
      <c r="EW135" s="214" t="s">
        <v>70</v>
      </c>
      <c r="EX135" s="214" t="s">
        <v>530</v>
      </c>
      <c r="EZ135" s="214" t="s">
        <v>9211</v>
      </c>
      <c r="FA135" s="214" t="s">
        <v>492</v>
      </c>
      <c r="FB135" s="214" t="s">
        <v>70</v>
      </c>
      <c r="FC135" s="214" t="s">
        <v>530</v>
      </c>
      <c r="FE135" s="214" t="s">
        <v>9212</v>
      </c>
      <c r="FF135" s="214" t="s">
        <v>955</v>
      </c>
      <c r="FG135" s="214" t="s">
        <v>70</v>
      </c>
      <c r="FH135" s="214" t="s">
        <v>530</v>
      </c>
      <c r="FJ135" s="321" t="s">
        <v>9213</v>
      </c>
      <c r="FK135" s="214" t="s">
        <v>34611</v>
      </c>
      <c r="FL135" s="214" t="s">
        <v>70</v>
      </c>
      <c r="FM135" s="214" t="s">
        <v>530</v>
      </c>
      <c r="FO135" s="321" t="s">
        <v>9214</v>
      </c>
      <c r="FP135" s="214" t="s">
        <v>502</v>
      </c>
      <c r="FQ135" s="214" t="s">
        <v>70</v>
      </c>
      <c r="FR135" s="214" t="s">
        <v>530</v>
      </c>
      <c r="FT135" s="321" t="s">
        <v>9215</v>
      </c>
      <c r="FU135" s="214" t="s">
        <v>499</v>
      </c>
      <c r="FV135" s="214" t="s">
        <v>70</v>
      </c>
      <c r="FW135" s="214" t="s">
        <v>530</v>
      </c>
      <c r="FY135" s="321" t="s">
        <v>9216</v>
      </c>
      <c r="FZ135" s="214" t="s">
        <v>926</v>
      </c>
      <c r="GA135" s="214" t="s">
        <v>70</v>
      </c>
      <c r="GB135" s="214" t="s">
        <v>530</v>
      </c>
      <c r="GD135" s="321" t="s">
        <v>9217</v>
      </c>
      <c r="GE135" s="214" t="s">
        <v>952</v>
      </c>
      <c r="GF135" s="214" t="s">
        <v>70</v>
      </c>
      <c r="GG135" s="214" t="s">
        <v>530</v>
      </c>
      <c r="GI135" s="321" t="s">
        <v>9218</v>
      </c>
      <c r="GJ135" s="214" t="s">
        <v>468</v>
      </c>
      <c r="GK135" s="214" t="s">
        <v>70</v>
      </c>
      <c r="GL135" s="214" t="s">
        <v>530</v>
      </c>
      <c r="GN135" s="321" t="s">
        <v>9219</v>
      </c>
      <c r="GO135" s="214" t="s">
        <v>468</v>
      </c>
      <c r="GP135" s="214" t="s">
        <v>70</v>
      </c>
      <c r="GQ135" s="214" t="s">
        <v>530</v>
      </c>
      <c r="GS135" s="321" t="s">
        <v>9220</v>
      </c>
      <c r="GT135" s="214" t="s">
        <v>488</v>
      </c>
      <c r="GU135" s="214" t="s">
        <v>70</v>
      </c>
      <c r="GV135" s="214" t="s">
        <v>530</v>
      </c>
      <c r="GX135" s="214" t="s">
        <v>9221</v>
      </c>
      <c r="GY135" s="214" t="s">
        <v>492</v>
      </c>
      <c r="GZ135" s="214" t="s">
        <v>70</v>
      </c>
      <c r="HA135" s="214" t="s">
        <v>530</v>
      </c>
      <c r="HC135" s="214" t="s">
        <v>9222</v>
      </c>
      <c r="HD135" s="214" t="s">
        <v>52</v>
      </c>
      <c r="HE135" s="214" t="s">
        <v>70</v>
      </c>
      <c r="HF135" s="214" t="s">
        <v>530</v>
      </c>
      <c r="HH135" s="214" t="s">
        <v>9223</v>
      </c>
      <c r="HI135" s="214" t="s">
        <v>497</v>
      </c>
      <c r="HJ135" s="214" t="s">
        <v>70</v>
      </c>
      <c r="HK135" s="214" t="s">
        <v>530</v>
      </c>
      <c r="HM135" s="214" t="s">
        <v>9224</v>
      </c>
      <c r="HN135" s="214" t="s">
        <v>34551</v>
      </c>
      <c r="HO135" s="214" t="s">
        <v>70</v>
      </c>
      <c r="HP135" s="214" t="s">
        <v>530</v>
      </c>
      <c r="HR135" s="22" t="s">
        <v>9225</v>
      </c>
      <c r="HS135" s="22" t="s">
        <v>146</v>
      </c>
      <c r="HT135" s="22" t="s">
        <v>70</v>
      </c>
      <c r="HU135" s="214" t="s">
        <v>530</v>
      </c>
      <c r="HW135" s="22" t="s">
        <v>9226</v>
      </c>
      <c r="HX135" s="22" t="s">
        <v>34580</v>
      </c>
      <c r="HY135" s="22" t="s">
        <v>70</v>
      </c>
      <c r="HZ135" s="214" t="s">
        <v>530</v>
      </c>
      <c r="IB135" s="22" t="s">
        <v>9227</v>
      </c>
      <c r="IC135" s="22" t="s">
        <v>34541</v>
      </c>
      <c r="ID135" s="22" t="s">
        <v>70</v>
      </c>
      <c r="IE135" s="214" t="s">
        <v>530</v>
      </c>
      <c r="IG135" s="22" t="s">
        <v>9228</v>
      </c>
      <c r="IH135" s="22" t="s">
        <v>52</v>
      </c>
      <c r="II135" s="22" t="s">
        <v>70</v>
      </c>
      <c r="IJ135" s="214" t="s">
        <v>530</v>
      </c>
      <c r="IL135" s="22" t="s">
        <v>9229</v>
      </c>
      <c r="IM135" s="22" t="s">
        <v>145</v>
      </c>
      <c r="IN135" s="22" t="s">
        <v>70</v>
      </c>
      <c r="IO135" s="214" t="s">
        <v>530</v>
      </c>
      <c r="IQ135" s="236" t="s">
        <v>9230</v>
      </c>
      <c r="IR135" s="236" t="s">
        <v>145</v>
      </c>
      <c r="IS135" s="236" t="s">
        <v>74</v>
      </c>
      <c r="IT135" s="236" t="s">
        <v>841</v>
      </c>
      <c r="IV135" s="236" t="s">
        <v>9231</v>
      </c>
      <c r="IW135" s="236" t="s">
        <v>145</v>
      </c>
      <c r="IX135" s="236" t="s">
        <v>74</v>
      </c>
      <c r="IY135" s="236" t="s">
        <v>841</v>
      </c>
      <c r="JA135" s="236" t="s">
        <v>9232</v>
      </c>
      <c r="JB135" s="236" t="s">
        <v>145</v>
      </c>
      <c r="JC135" s="236" t="s">
        <v>74</v>
      </c>
      <c r="JD135" s="236" t="s">
        <v>841</v>
      </c>
      <c r="JF135" s="236" t="s">
        <v>9233</v>
      </c>
      <c r="JG135" s="236" t="s">
        <v>145</v>
      </c>
      <c r="JH135" s="236" t="s">
        <v>74</v>
      </c>
      <c r="JI135" s="236" t="s">
        <v>841</v>
      </c>
      <c r="JK135" s="236" t="s">
        <v>9234</v>
      </c>
      <c r="JL135" s="236" t="s">
        <v>145</v>
      </c>
      <c r="JM135" s="236" t="s">
        <v>74</v>
      </c>
      <c r="JN135" s="236" t="s">
        <v>841</v>
      </c>
      <c r="JP135" s="236" t="s">
        <v>9235</v>
      </c>
      <c r="JQ135" s="236" t="s">
        <v>145</v>
      </c>
      <c r="JR135" s="236" t="s">
        <v>74</v>
      </c>
      <c r="JS135" s="236" t="s">
        <v>841</v>
      </c>
      <c r="JU135" s="294" t="s">
        <v>9236</v>
      </c>
      <c r="JV135" s="263" t="s">
        <v>52</v>
      </c>
      <c r="JW135" s="263" t="s">
        <v>70</v>
      </c>
      <c r="JX135" s="263" t="s">
        <v>5903</v>
      </c>
      <c r="JZ135" s="263" t="s">
        <v>9237</v>
      </c>
      <c r="KA135" s="263" t="s">
        <v>145</v>
      </c>
      <c r="KB135" s="263" t="s">
        <v>70</v>
      </c>
      <c r="KC135" s="263" t="s">
        <v>1083</v>
      </c>
      <c r="KE135" s="263" t="s">
        <v>9238</v>
      </c>
      <c r="KF135" s="263" t="s">
        <v>52</v>
      </c>
      <c r="KG135" s="263" t="s">
        <v>70</v>
      </c>
      <c r="KH135" s="263" t="s">
        <v>1083</v>
      </c>
      <c r="KJ135" s="263" t="s">
        <v>9239</v>
      </c>
      <c r="KK135" s="263" t="s">
        <v>52</v>
      </c>
      <c r="KL135" s="263" t="s">
        <v>74</v>
      </c>
      <c r="KM135" s="263" t="s">
        <v>34074</v>
      </c>
      <c r="KO135" s="214" t="s">
        <v>9240</v>
      </c>
      <c r="KP135" s="214" t="s">
        <v>145</v>
      </c>
      <c r="KQ135" s="214" t="s">
        <v>70</v>
      </c>
      <c r="KR135" s="214" t="s">
        <v>67</v>
      </c>
      <c r="KT135" s="22" t="s">
        <v>9241</v>
      </c>
      <c r="KU135" s="22" t="s">
        <v>145</v>
      </c>
      <c r="KV135" s="22" t="s">
        <v>70</v>
      </c>
      <c r="KW135" s="22" t="s">
        <v>67</v>
      </c>
      <c r="KY135" s="214" t="s">
        <v>9242</v>
      </c>
      <c r="KZ135" s="214" t="s">
        <v>52</v>
      </c>
      <c r="LA135" s="214" t="s">
        <v>74</v>
      </c>
      <c r="LB135" s="214" t="s">
        <v>67</v>
      </c>
      <c r="LD135" s="22" t="s">
        <v>9243</v>
      </c>
      <c r="LE135" s="22" t="s">
        <v>145</v>
      </c>
      <c r="LF135" s="22" t="s">
        <v>70</v>
      </c>
      <c r="LG135" s="22" t="s">
        <v>67</v>
      </c>
    </row>
    <row r="136" spans="1:319">
      <c r="A136" s="22" t="s">
        <v>9244</v>
      </c>
      <c r="B136" s="22" t="s">
        <v>145</v>
      </c>
      <c r="C136" s="22" t="s">
        <v>70</v>
      </c>
      <c r="D136" s="22" t="s">
        <v>67</v>
      </c>
      <c r="F136" s="23" t="s">
        <v>9245</v>
      </c>
      <c r="G136" s="23" t="str">
        <f>TVIIBE1M_CalPairs!$E133</f>
        <v>0x30</v>
      </c>
      <c r="H136" s="23" t="s">
        <v>70</v>
      </c>
      <c r="I136" s="23" t="str">
        <f>TVIIBE1M_CalPairs!$C133</f>
        <v>SRSS3_CMD</v>
      </c>
      <c r="K136" s="22" t="s">
        <v>9246</v>
      </c>
      <c r="L136" s="22" t="s">
        <v>145</v>
      </c>
      <c r="M136" s="22" t="s">
        <v>70</v>
      </c>
      <c r="N136" s="22" t="s">
        <v>67</v>
      </c>
      <c r="P136" s="22" t="s">
        <v>9247</v>
      </c>
      <c r="Q136" s="22" t="s">
        <v>145</v>
      </c>
      <c r="R136" s="22" t="s">
        <v>70</v>
      </c>
      <c r="S136" s="22" t="s">
        <v>67</v>
      </c>
      <c r="U136" s="293" t="s">
        <v>9248</v>
      </c>
      <c r="V136" s="293" t="s">
        <v>145</v>
      </c>
      <c r="W136" s="293" t="s">
        <v>74</v>
      </c>
      <c r="X136" s="293" t="s">
        <v>656</v>
      </c>
      <c r="Z136" s="293" t="s">
        <v>9249</v>
      </c>
      <c r="AA136" s="293" t="s">
        <v>145</v>
      </c>
      <c r="AB136" s="293" t="s">
        <v>74</v>
      </c>
      <c r="AC136" s="293" t="s">
        <v>656</v>
      </c>
      <c r="AE136" s="293" t="s">
        <v>9250</v>
      </c>
      <c r="AF136" s="293" t="s">
        <v>145</v>
      </c>
      <c r="AG136" s="293" t="s">
        <v>74</v>
      </c>
      <c r="AH136" s="293" t="s">
        <v>656</v>
      </c>
      <c r="AJ136" s="293" t="s">
        <v>9251</v>
      </c>
      <c r="AK136" s="293" t="s">
        <v>145</v>
      </c>
      <c r="AL136" s="293" t="s">
        <v>74</v>
      </c>
      <c r="AM136" s="293" t="s">
        <v>656</v>
      </c>
      <c r="AO136" s="22" t="s">
        <v>9252</v>
      </c>
      <c r="AP136" s="22" t="s">
        <v>145</v>
      </c>
      <c r="AQ136" s="22" t="s">
        <v>70</v>
      </c>
      <c r="AR136" s="22" t="s">
        <v>67</v>
      </c>
      <c r="AT136" s="22" t="s">
        <v>9253</v>
      </c>
      <c r="AU136" s="22" t="s">
        <v>145</v>
      </c>
      <c r="AV136" s="22" t="s">
        <v>70</v>
      </c>
      <c r="AW136" s="22" t="s">
        <v>67</v>
      </c>
      <c r="AY136" s="22" t="s">
        <v>9254</v>
      </c>
      <c r="AZ136" s="22" t="s">
        <v>145</v>
      </c>
      <c r="BA136" s="22" t="s">
        <v>70</v>
      </c>
      <c r="BB136" s="22" t="s">
        <v>67</v>
      </c>
      <c r="BD136" s="22" t="s">
        <v>9255</v>
      </c>
      <c r="BE136" s="22" t="s">
        <v>145</v>
      </c>
      <c r="BF136" s="22" t="s">
        <v>70</v>
      </c>
      <c r="BG136" s="22" t="s">
        <v>67</v>
      </c>
      <c r="BI136" s="22" t="s">
        <v>9256</v>
      </c>
      <c r="BJ136" s="22" t="s">
        <v>145</v>
      </c>
      <c r="BK136" s="22" t="s">
        <v>70</v>
      </c>
      <c r="BL136" s="22" t="s">
        <v>67</v>
      </c>
      <c r="BN136" s="22" t="s">
        <v>9257</v>
      </c>
      <c r="BO136" s="22" t="s">
        <v>145</v>
      </c>
      <c r="BP136" s="22" t="s">
        <v>70</v>
      </c>
      <c r="BQ136" s="22" t="s">
        <v>67</v>
      </c>
      <c r="BS136" s="22" t="s">
        <v>9258</v>
      </c>
      <c r="BT136" s="22" t="s">
        <v>145</v>
      </c>
      <c r="BU136" s="22" t="s">
        <v>70</v>
      </c>
      <c r="BV136" s="214" t="s">
        <v>530</v>
      </c>
      <c r="BX136" s="22" t="s">
        <v>9259</v>
      </c>
      <c r="BY136" s="22" t="s">
        <v>145</v>
      </c>
      <c r="BZ136" s="22" t="s">
        <v>70</v>
      </c>
      <c r="CA136" s="214" t="s">
        <v>530</v>
      </c>
      <c r="CC136" s="214" t="s">
        <v>9260</v>
      </c>
      <c r="CD136" s="218" t="s">
        <v>145</v>
      </c>
      <c r="CE136" s="214" t="s">
        <v>70</v>
      </c>
      <c r="CF136" s="214" t="s">
        <v>431</v>
      </c>
      <c r="CH136" s="214" t="s">
        <v>9261</v>
      </c>
      <c r="CI136" s="214" t="s">
        <v>146</v>
      </c>
      <c r="CJ136" s="214" t="s">
        <v>70</v>
      </c>
      <c r="CK136" s="214" t="s">
        <v>530</v>
      </c>
      <c r="CM136" s="214" t="s">
        <v>9262</v>
      </c>
      <c r="CN136" s="214" t="s">
        <v>89</v>
      </c>
      <c r="CO136" s="214" t="s">
        <v>70</v>
      </c>
      <c r="CP136" s="214" t="s">
        <v>530</v>
      </c>
      <c r="CR136" s="214" t="s">
        <v>9263</v>
      </c>
      <c r="CS136" s="214" t="s">
        <v>34545</v>
      </c>
      <c r="CT136" s="214" t="s">
        <v>70</v>
      </c>
      <c r="CU136" s="214" t="s">
        <v>530</v>
      </c>
      <c r="CW136" s="214" t="s">
        <v>9264</v>
      </c>
      <c r="CX136" s="214" t="s">
        <v>34645</v>
      </c>
      <c r="CY136" s="214" t="s">
        <v>70</v>
      </c>
      <c r="CZ136" s="214" t="s">
        <v>530</v>
      </c>
      <c r="DB136" s="214" t="s">
        <v>9265</v>
      </c>
      <c r="DC136" s="214" t="s">
        <v>88</v>
      </c>
      <c r="DD136" s="214" t="s">
        <v>70</v>
      </c>
      <c r="DE136" s="214" t="s">
        <v>530</v>
      </c>
      <c r="DG136" s="214" t="s">
        <v>9266</v>
      </c>
      <c r="DH136" s="214" t="s">
        <v>34580</v>
      </c>
      <c r="DI136" s="214" t="s">
        <v>70</v>
      </c>
      <c r="DJ136" s="214" t="s">
        <v>530</v>
      </c>
      <c r="DL136" s="214" t="s">
        <v>9267</v>
      </c>
      <c r="DM136" s="214" t="s">
        <v>52</v>
      </c>
      <c r="DN136" s="214" t="s">
        <v>70</v>
      </c>
      <c r="DO136" s="214" t="s">
        <v>530</v>
      </c>
      <c r="DQ136" s="214" t="s">
        <v>9268</v>
      </c>
      <c r="DR136" s="214" t="s">
        <v>915</v>
      </c>
      <c r="DS136" s="214" t="s">
        <v>70</v>
      </c>
      <c r="DT136" s="214" t="s">
        <v>530</v>
      </c>
      <c r="DV136" s="214" t="s">
        <v>9269</v>
      </c>
      <c r="DW136" s="214" t="s">
        <v>52</v>
      </c>
      <c r="DX136" s="214" t="s">
        <v>70</v>
      </c>
      <c r="DY136" s="214" t="s">
        <v>530</v>
      </c>
      <c r="EA136" s="214" t="s">
        <v>9270</v>
      </c>
      <c r="EB136" s="214" t="s">
        <v>485</v>
      </c>
      <c r="EC136" s="214" t="s">
        <v>70</v>
      </c>
      <c r="ED136" s="214" t="s">
        <v>530</v>
      </c>
      <c r="EF136" s="214" t="s">
        <v>9271</v>
      </c>
      <c r="EG136" s="214" t="s">
        <v>600</v>
      </c>
      <c r="EH136" s="214" t="s">
        <v>70</v>
      </c>
      <c r="EI136" s="214" t="s">
        <v>530</v>
      </c>
      <c r="EK136" s="214" t="s">
        <v>9272</v>
      </c>
      <c r="EL136" s="214" t="s">
        <v>52</v>
      </c>
      <c r="EM136" s="214" t="s">
        <v>70</v>
      </c>
      <c r="EN136" s="214" t="s">
        <v>530</v>
      </c>
      <c r="EP136" s="214" t="s">
        <v>9273</v>
      </c>
      <c r="EQ136" s="214" t="s">
        <v>90</v>
      </c>
      <c r="ER136" s="214" t="s">
        <v>70</v>
      </c>
      <c r="ES136" s="214" t="s">
        <v>530</v>
      </c>
      <c r="EU136" s="214" t="s">
        <v>9274</v>
      </c>
      <c r="EV136" s="214" t="s">
        <v>599</v>
      </c>
      <c r="EW136" s="214" t="s">
        <v>70</v>
      </c>
      <c r="EX136" s="214" t="s">
        <v>530</v>
      </c>
      <c r="EZ136" s="214" t="s">
        <v>9275</v>
      </c>
      <c r="FA136" s="214" t="s">
        <v>655</v>
      </c>
      <c r="FB136" s="214" t="s">
        <v>70</v>
      </c>
      <c r="FC136" s="214" t="s">
        <v>530</v>
      </c>
      <c r="FE136" s="214" t="s">
        <v>9276</v>
      </c>
      <c r="FF136" s="214" t="s">
        <v>145</v>
      </c>
      <c r="FG136" s="214" t="s">
        <v>70</v>
      </c>
      <c r="FH136" s="214" t="s">
        <v>530</v>
      </c>
      <c r="FJ136" s="321" t="s">
        <v>9277</v>
      </c>
      <c r="FK136" s="214" t="s">
        <v>34516</v>
      </c>
      <c r="FL136" s="214" t="s">
        <v>70</v>
      </c>
      <c r="FM136" s="214" t="s">
        <v>530</v>
      </c>
      <c r="FO136" s="321" t="s">
        <v>9278</v>
      </c>
      <c r="FP136" s="214" t="s">
        <v>529</v>
      </c>
      <c r="FQ136" s="214" t="s">
        <v>70</v>
      </c>
      <c r="FR136" s="214" t="s">
        <v>530</v>
      </c>
      <c r="FT136" s="321" t="s">
        <v>9279</v>
      </c>
      <c r="FU136" s="214" t="s">
        <v>88</v>
      </c>
      <c r="FV136" s="214" t="s">
        <v>70</v>
      </c>
      <c r="FW136" s="214" t="s">
        <v>530</v>
      </c>
      <c r="FY136" s="321" t="s">
        <v>9280</v>
      </c>
      <c r="FZ136" s="214" t="s">
        <v>34575</v>
      </c>
      <c r="GA136" s="214" t="s">
        <v>70</v>
      </c>
      <c r="GB136" s="214" t="s">
        <v>530</v>
      </c>
      <c r="GD136" s="321" t="s">
        <v>9281</v>
      </c>
      <c r="GE136" s="214" t="s">
        <v>52</v>
      </c>
      <c r="GF136" s="214" t="s">
        <v>70</v>
      </c>
      <c r="GG136" s="214" t="s">
        <v>530</v>
      </c>
      <c r="GI136" s="321" t="s">
        <v>9282</v>
      </c>
      <c r="GJ136" s="214" t="s">
        <v>481</v>
      </c>
      <c r="GK136" s="214" t="s">
        <v>70</v>
      </c>
      <c r="GL136" s="214" t="s">
        <v>530</v>
      </c>
      <c r="GN136" s="321" t="s">
        <v>9283</v>
      </c>
      <c r="GO136" s="214" t="s">
        <v>34567</v>
      </c>
      <c r="GP136" s="214" t="s">
        <v>70</v>
      </c>
      <c r="GQ136" s="214" t="s">
        <v>530</v>
      </c>
      <c r="GS136" s="321" t="s">
        <v>9284</v>
      </c>
      <c r="GT136" s="214" t="s">
        <v>34620</v>
      </c>
      <c r="GU136" s="214" t="s">
        <v>70</v>
      </c>
      <c r="GV136" s="214" t="s">
        <v>530</v>
      </c>
      <c r="GX136" s="214" t="s">
        <v>9285</v>
      </c>
      <c r="GY136" s="214" t="s">
        <v>604</v>
      </c>
      <c r="GZ136" s="214" t="s">
        <v>70</v>
      </c>
      <c r="HA136" s="214" t="s">
        <v>530</v>
      </c>
      <c r="HC136" s="214" t="s">
        <v>9286</v>
      </c>
      <c r="HD136" s="214" t="s">
        <v>10541</v>
      </c>
      <c r="HE136" s="214" t="s">
        <v>70</v>
      </c>
      <c r="HF136" s="214" t="s">
        <v>530</v>
      </c>
      <c r="HH136" s="214" t="s">
        <v>9287</v>
      </c>
      <c r="HI136" s="214" t="s">
        <v>34613</v>
      </c>
      <c r="HJ136" s="214" t="s">
        <v>70</v>
      </c>
      <c r="HK136" s="214" t="s">
        <v>530</v>
      </c>
      <c r="HM136" s="214" t="s">
        <v>9288</v>
      </c>
      <c r="HN136" s="214" t="s">
        <v>34553</v>
      </c>
      <c r="HO136" s="214" t="s">
        <v>70</v>
      </c>
      <c r="HP136" s="214" t="s">
        <v>530</v>
      </c>
      <c r="HR136" s="22" t="s">
        <v>9289</v>
      </c>
      <c r="HS136" s="22" t="s">
        <v>90</v>
      </c>
      <c r="HT136" s="22" t="s">
        <v>70</v>
      </c>
      <c r="HU136" s="214" t="s">
        <v>530</v>
      </c>
      <c r="HW136" s="22" t="s">
        <v>9290</v>
      </c>
      <c r="HX136" s="22" t="s">
        <v>52</v>
      </c>
      <c r="HY136" s="22" t="s">
        <v>70</v>
      </c>
      <c r="HZ136" s="214" t="s">
        <v>530</v>
      </c>
      <c r="IB136" s="22" t="s">
        <v>9291</v>
      </c>
      <c r="IC136" s="22" t="s">
        <v>912</v>
      </c>
      <c r="ID136" s="22" t="s">
        <v>70</v>
      </c>
      <c r="IE136" s="214" t="s">
        <v>530</v>
      </c>
      <c r="IG136" s="22" t="s">
        <v>9292</v>
      </c>
      <c r="IH136" s="22" t="s">
        <v>52</v>
      </c>
      <c r="II136" s="22" t="s">
        <v>70</v>
      </c>
      <c r="IJ136" s="214" t="s">
        <v>530</v>
      </c>
      <c r="IL136" s="22" t="s">
        <v>9293</v>
      </c>
      <c r="IM136" s="22" t="s">
        <v>145</v>
      </c>
      <c r="IN136" s="22" t="s">
        <v>70</v>
      </c>
      <c r="IO136" s="214" t="s">
        <v>530</v>
      </c>
      <c r="IQ136" s="236" t="s">
        <v>9294</v>
      </c>
      <c r="IR136" s="236" t="s">
        <v>145</v>
      </c>
      <c r="IS136" s="236" t="s">
        <v>74</v>
      </c>
      <c r="IT136" s="236" t="s">
        <v>841</v>
      </c>
      <c r="IV136" s="236" t="s">
        <v>9295</v>
      </c>
      <c r="IW136" s="236" t="s">
        <v>145</v>
      </c>
      <c r="IX136" s="236" t="s">
        <v>74</v>
      </c>
      <c r="IY136" s="236" t="s">
        <v>841</v>
      </c>
      <c r="JA136" s="236" t="s">
        <v>9296</v>
      </c>
      <c r="JB136" s="236" t="s">
        <v>145</v>
      </c>
      <c r="JC136" s="236" t="s">
        <v>74</v>
      </c>
      <c r="JD136" s="236" t="s">
        <v>841</v>
      </c>
      <c r="JF136" s="236" t="s">
        <v>9297</v>
      </c>
      <c r="JG136" s="236" t="s">
        <v>145</v>
      </c>
      <c r="JH136" s="236" t="s">
        <v>74</v>
      </c>
      <c r="JI136" s="236" t="s">
        <v>841</v>
      </c>
      <c r="JK136" s="236" t="s">
        <v>9298</v>
      </c>
      <c r="JL136" s="236" t="s">
        <v>145</v>
      </c>
      <c r="JM136" s="236" t="s">
        <v>74</v>
      </c>
      <c r="JN136" s="236" t="s">
        <v>841</v>
      </c>
      <c r="JP136" s="236" t="s">
        <v>9299</v>
      </c>
      <c r="JQ136" s="236" t="s">
        <v>145</v>
      </c>
      <c r="JR136" s="236" t="s">
        <v>74</v>
      </c>
      <c r="JS136" s="236" t="s">
        <v>841</v>
      </c>
      <c r="JU136" s="294" t="s">
        <v>9300</v>
      </c>
      <c r="JV136" s="218" t="s">
        <v>52</v>
      </c>
      <c r="JW136" s="263" t="s">
        <v>70</v>
      </c>
      <c r="JX136" s="263" t="s">
        <v>34244</v>
      </c>
      <c r="JZ136" s="263" t="s">
        <v>9301</v>
      </c>
      <c r="KA136" s="263" t="s">
        <v>145</v>
      </c>
      <c r="KB136" s="263" t="s">
        <v>70</v>
      </c>
      <c r="KC136" s="263" t="s">
        <v>1083</v>
      </c>
      <c r="KE136" s="263" t="s">
        <v>9302</v>
      </c>
      <c r="KF136" s="263" t="s">
        <v>52</v>
      </c>
      <c r="KG136" s="263" t="s">
        <v>70</v>
      </c>
      <c r="KH136" s="263" t="s">
        <v>1083</v>
      </c>
      <c r="KJ136" s="263" t="s">
        <v>9303</v>
      </c>
      <c r="KK136" s="263" t="s">
        <v>52</v>
      </c>
      <c r="KL136" s="263" t="s">
        <v>74</v>
      </c>
      <c r="KM136" s="263" t="s">
        <v>34074</v>
      </c>
      <c r="KO136" s="214" t="s">
        <v>9304</v>
      </c>
      <c r="KP136" s="214" t="s">
        <v>145</v>
      </c>
      <c r="KQ136" s="214" t="s">
        <v>70</v>
      </c>
      <c r="KR136" s="214" t="s">
        <v>67</v>
      </c>
      <c r="KT136" s="22" t="s">
        <v>9305</v>
      </c>
      <c r="KU136" s="22" t="s">
        <v>145</v>
      </c>
      <c r="KV136" s="22" t="s">
        <v>70</v>
      </c>
      <c r="KW136" s="22" t="s">
        <v>67</v>
      </c>
      <c r="KY136" s="214" t="s">
        <v>9306</v>
      </c>
      <c r="KZ136" s="214" t="s">
        <v>52</v>
      </c>
      <c r="LA136" s="214" t="s">
        <v>74</v>
      </c>
      <c r="LB136" s="214" t="s">
        <v>67</v>
      </c>
      <c r="LD136" s="22" t="s">
        <v>9307</v>
      </c>
      <c r="LE136" s="22" t="s">
        <v>145</v>
      </c>
      <c r="LF136" s="22" t="s">
        <v>70</v>
      </c>
      <c r="LG136" s="22" t="s">
        <v>67</v>
      </c>
    </row>
    <row r="137" spans="1:319">
      <c r="A137" s="22" t="s">
        <v>9308</v>
      </c>
      <c r="B137" s="22" t="s">
        <v>145</v>
      </c>
      <c r="C137" s="22" t="s">
        <v>70</v>
      </c>
      <c r="D137" s="22" t="s">
        <v>67</v>
      </c>
      <c r="F137" s="23" t="s">
        <v>9309</v>
      </c>
      <c r="G137" s="23" t="str">
        <f>TVIIBE1M_CalPairs!$E134</f>
        <v>0x9C</v>
      </c>
      <c r="H137" s="23" t="s">
        <v>70</v>
      </c>
      <c r="I137" s="23" t="str">
        <f>TVIIBE1M_CalPairs!$C134</f>
        <v>SRSS3_ADDR0</v>
      </c>
      <c r="K137" s="22" t="s">
        <v>9310</v>
      </c>
      <c r="L137" s="22" t="s">
        <v>145</v>
      </c>
      <c r="M137" s="22" t="s">
        <v>70</v>
      </c>
      <c r="N137" s="22" t="s">
        <v>67</v>
      </c>
      <c r="P137" s="22" t="s">
        <v>9311</v>
      </c>
      <c r="Q137" s="22" t="s">
        <v>145</v>
      </c>
      <c r="R137" s="22" t="s">
        <v>70</v>
      </c>
      <c r="S137" s="22" t="s">
        <v>67</v>
      </c>
      <c r="U137" s="293" t="s">
        <v>9312</v>
      </c>
      <c r="V137" s="293" t="s">
        <v>145</v>
      </c>
      <c r="W137" s="293" t="s">
        <v>74</v>
      </c>
      <c r="X137" s="293" t="s">
        <v>656</v>
      </c>
      <c r="Z137" s="293" t="s">
        <v>9313</v>
      </c>
      <c r="AA137" s="293" t="s">
        <v>145</v>
      </c>
      <c r="AB137" s="293" t="s">
        <v>74</v>
      </c>
      <c r="AC137" s="293" t="s">
        <v>656</v>
      </c>
      <c r="AE137" s="293" t="s">
        <v>9314</v>
      </c>
      <c r="AF137" s="293" t="s">
        <v>145</v>
      </c>
      <c r="AG137" s="293" t="s">
        <v>74</v>
      </c>
      <c r="AH137" s="293" t="s">
        <v>656</v>
      </c>
      <c r="AJ137" s="293" t="s">
        <v>9315</v>
      </c>
      <c r="AK137" s="293" t="s">
        <v>145</v>
      </c>
      <c r="AL137" s="293" t="s">
        <v>74</v>
      </c>
      <c r="AM137" s="293" t="s">
        <v>656</v>
      </c>
      <c r="AO137" s="22" t="s">
        <v>9316</v>
      </c>
      <c r="AP137" s="22" t="s">
        <v>145</v>
      </c>
      <c r="AQ137" s="22" t="s">
        <v>70</v>
      </c>
      <c r="AR137" s="22" t="s">
        <v>67</v>
      </c>
      <c r="AT137" s="22" t="s">
        <v>9317</v>
      </c>
      <c r="AU137" s="22" t="s">
        <v>145</v>
      </c>
      <c r="AV137" s="22" t="s">
        <v>70</v>
      </c>
      <c r="AW137" s="22" t="s">
        <v>67</v>
      </c>
      <c r="AY137" s="22" t="s">
        <v>9318</v>
      </c>
      <c r="AZ137" s="22" t="s">
        <v>145</v>
      </c>
      <c r="BA137" s="22" t="s">
        <v>70</v>
      </c>
      <c r="BB137" s="22" t="s">
        <v>67</v>
      </c>
      <c r="BD137" s="22" t="s">
        <v>9319</v>
      </c>
      <c r="BE137" s="22" t="s">
        <v>145</v>
      </c>
      <c r="BF137" s="22" t="s">
        <v>70</v>
      </c>
      <c r="BG137" s="22" t="s">
        <v>67</v>
      </c>
      <c r="BI137" s="22" t="s">
        <v>9320</v>
      </c>
      <c r="BJ137" s="22" t="s">
        <v>145</v>
      </c>
      <c r="BK137" s="22" t="s">
        <v>70</v>
      </c>
      <c r="BL137" s="22" t="s">
        <v>67</v>
      </c>
      <c r="BN137" s="22" t="s">
        <v>9321</v>
      </c>
      <c r="BO137" s="22" t="s">
        <v>145</v>
      </c>
      <c r="BP137" s="22" t="s">
        <v>70</v>
      </c>
      <c r="BQ137" s="22" t="s">
        <v>67</v>
      </c>
      <c r="BS137" s="22" t="s">
        <v>9322</v>
      </c>
      <c r="BT137" s="22" t="s">
        <v>145</v>
      </c>
      <c r="BU137" s="22" t="s">
        <v>70</v>
      </c>
      <c r="BV137" s="214" t="s">
        <v>530</v>
      </c>
      <c r="BX137" s="22" t="s">
        <v>9323</v>
      </c>
      <c r="BY137" s="22" t="s">
        <v>145</v>
      </c>
      <c r="BZ137" s="22" t="s">
        <v>70</v>
      </c>
      <c r="CA137" s="214" t="s">
        <v>530</v>
      </c>
      <c r="CC137" s="214" t="s">
        <v>9324</v>
      </c>
      <c r="CD137" s="218" t="s">
        <v>145</v>
      </c>
      <c r="CE137" s="214" t="s">
        <v>70</v>
      </c>
      <c r="CF137" s="214" t="s">
        <v>432</v>
      </c>
      <c r="CH137" s="214" t="s">
        <v>9325</v>
      </c>
      <c r="CI137" s="214" t="s">
        <v>920</v>
      </c>
      <c r="CJ137" s="214" t="s">
        <v>70</v>
      </c>
      <c r="CK137" s="214" t="s">
        <v>530</v>
      </c>
      <c r="CM137" s="214" t="s">
        <v>9326</v>
      </c>
      <c r="CN137" s="214" t="s">
        <v>93</v>
      </c>
      <c r="CO137" s="214" t="s">
        <v>70</v>
      </c>
      <c r="CP137" s="214" t="s">
        <v>530</v>
      </c>
      <c r="CR137" s="214" t="s">
        <v>9327</v>
      </c>
      <c r="CS137" s="214" t="s">
        <v>34551</v>
      </c>
      <c r="CT137" s="214" t="s">
        <v>70</v>
      </c>
      <c r="CU137" s="214" t="s">
        <v>530</v>
      </c>
      <c r="CW137" s="214" t="s">
        <v>9328</v>
      </c>
      <c r="CX137" s="214" t="s">
        <v>492</v>
      </c>
      <c r="CY137" s="214" t="s">
        <v>70</v>
      </c>
      <c r="CZ137" s="214" t="s">
        <v>530</v>
      </c>
      <c r="DB137" s="214" t="s">
        <v>9329</v>
      </c>
      <c r="DC137" s="214" t="s">
        <v>955</v>
      </c>
      <c r="DD137" s="214" t="s">
        <v>70</v>
      </c>
      <c r="DE137" s="214" t="s">
        <v>530</v>
      </c>
      <c r="DG137" s="214" t="s">
        <v>9330</v>
      </c>
      <c r="DH137" s="214" t="s">
        <v>34552</v>
      </c>
      <c r="DI137" s="214" t="s">
        <v>70</v>
      </c>
      <c r="DJ137" s="214" t="s">
        <v>530</v>
      </c>
      <c r="DL137" s="214" t="s">
        <v>9331</v>
      </c>
      <c r="DM137" s="214" t="s">
        <v>52</v>
      </c>
      <c r="DN137" s="214" t="s">
        <v>70</v>
      </c>
      <c r="DO137" s="214" t="s">
        <v>530</v>
      </c>
      <c r="DQ137" s="214" t="s">
        <v>9332</v>
      </c>
      <c r="DR137" s="214" t="s">
        <v>956</v>
      </c>
      <c r="DS137" s="214" t="s">
        <v>70</v>
      </c>
      <c r="DT137" s="214" t="s">
        <v>530</v>
      </c>
      <c r="DV137" s="214" t="s">
        <v>9333</v>
      </c>
      <c r="DW137" s="214" t="s">
        <v>34558</v>
      </c>
      <c r="DX137" s="214" t="s">
        <v>70</v>
      </c>
      <c r="DY137" s="214" t="s">
        <v>530</v>
      </c>
      <c r="EA137" s="214" t="s">
        <v>9334</v>
      </c>
      <c r="EB137" s="214" t="s">
        <v>52</v>
      </c>
      <c r="EC137" s="214" t="s">
        <v>70</v>
      </c>
      <c r="ED137" s="214" t="s">
        <v>530</v>
      </c>
      <c r="EF137" s="214" t="s">
        <v>9335</v>
      </c>
      <c r="EG137" s="214" t="s">
        <v>910</v>
      </c>
      <c r="EH137" s="214" t="s">
        <v>70</v>
      </c>
      <c r="EI137" s="214" t="s">
        <v>530</v>
      </c>
      <c r="EK137" s="214" t="s">
        <v>9336</v>
      </c>
      <c r="EL137" s="214" t="s">
        <v>485</v>
      </c>
      <c r="EM137" s="214" t="s">
        <v>70</v>
      </c>
      <c r="EN137" s="214" t="s">
        <v>530</v>
      </c>
      <c r="EP137" s="214" t="s">
        <v>9337</v>
      </c>
      <c r="EQ137" s="214" t="s">
        <v>599</v>
      </c>
      <c r="ER137" s="214" t="s">
        <v>70</v>
      </c>
      <c r="ES137" s="214" t="s">
        <v>530</v>
      </c>
      <c r="EU137" s="214" t="s">
        <v>9338</v>
      </c>
      <c r="EV137" s="214" t="s">
        <v>486</v>
      </c>
      <c r="EW137" s="214" t="s">
        <v>70</v>
      </c>
      <c r="EX137" s="214" t="s">
        <v>530</v>
      </c>
      <c r="EZ137" s="214" t="s">
        <v>9339</v>
      </c>
      <c r="FA137" s="214" t="s">
        <v>484</v>
      </c>
      <c r="FB137" s="214" t="s">
        <v>70</v>
      </c>
      <c r="FC137" s="214" t="s">
        <v>530</v>
      </c>
      <c r="FE137" s="214" t="s">
        <v>9340</v>
      </c>
      <c r="FF137" s="214" t="s">
        <v>34541</v>
      </c>
      <c r="FG137" s="214" t="s">
        <v>70</v>
      </c>
      <c r="FH137" s="214" t="s">
        <v>530</v>
      </c>
      <c r="FJ137" s="321" t="s">
        <v>9341</v>
      </c>
      <c r="FK137" s="214" t="s">
        <v>502</v>
      </c>
      <c r="FL137" s="214" t="s">
        <v>70</v>
      </c>
      <c r="FM137" s="214" t="s">
        <v>530</v>
      </c>
      <c r="FO137" s="321" t="s">
        <v>9342</v>
      </c>
      <c r="FP137" s="214" t="s">
        <v>103</v>
      </c>
      <c r="FQ137" s="214" t="s">
        <v>70</v>
      </c>
      <c r="FR137" s="214" t="s">
        <v>530</v>
      </c>
      <c r="FT137" s="321" t="s">
        <v>9343</v>
      </c>
      <c r="FU137" s="214" t="s">
        <v>500</v>
      </c>
      <c r="FV137" s="214" t="s">
        <v>70</v>
      </c>
      <c r="FW137" s="214" t="s">
        <v>530</v>
      </c>
      <c r="FY137" s="321" t="s">
        <v>9344</v>
      </c>
      <c r="FZ137" s="214" t="s">
        <v>93</v>
      </c>
      <c r="GA137" s="214" t="s">
        <v>70</v>
      </c>
      <c r="GB137" s="214" t="s">
        <v>530</v>
      </c>
      <c r="GD137" s="321" t="s">
        <v>9345</v>
      </c>
      <c r="GE137" s="214" t="s">
        <v>485</v>
      </c>
      <c r="GF137" s="214" t="s">
        <v>70</v>
      </c>
      <c r="GG137" s="214" t="s">
        <v>530</v>
      </c>
      <c r="GI137" s="321" t="s">
        <v>9346</v>
      </c>
      <c r="GJ137" s="214" t="s">
        <v>487</v>
      </c>
      <c r="GK137" s="214" t="s">
        <v>70</v>
      </c>
      <c r="GL137" s="214" t="s">
        <v>530</v>
      </c>
      <c r="GN137" s="321" t="s">
        <v>9347</v>
      </c>
      <c r="GO137" s="214" t="s">
        <v>86</v>
      </c>
      <c r="GP137" s="214" t="s">
        <v>70</v>
      </c>
      <c r="GQ137" s="214" t="s">
        <v>530</v>
      </c>
      <c r="GS137" s="321" t="s">
        <v>9348</v>
      </c>
      <c r="GT137" s="214" t="s">
        <v>491</v>
      </c>
      <c r="GU137" s="214" t="s">
        <v>70</v>
      </c>
      <c r="GV137" s="214" t="s">
        <v>530</v>
      </c>
      <c r="GX137" s="214" t="s">
        <v>9349</v>
      </c>
      <c r="GY137" s="214" t="s">
        <v>491</v>
      </c>
      <c r="GZ137" s="214" t="s">
        <v>70</v>
      </c>
      <c r="HA137" s="214" t="s">
        <v>530</v>
      </c>
      <c r="HC137" s="214" t="s">
        <v>9350</v>
      </c>
      <c r="HD137" s="214" t="s">
        <v>798</v>
      </c>
      <c r="HE137" s="214" t="s">
        <v>70</v>
      </c>
      <c r="HF137" s="214" t="s">
        <v>530</v>
      </c>
      <c r="HH137" s="214" t="s">
        <v>9351</v>
      </c>
      <c r="HI137" s="214" t="s">
        <v>149</v>
      </c>
      <c r="HJ137" s="214" t="s">
        <v>70</v>
      </c>
      <c r="HK137" s="214" t="s">
        <v>530</v>
      </c>
      <c r="HM137" s="214" t="s">
        <v>9352</v>
      </c>
      <c r="HN137" s="214" t="s">
        <v>496</v>
      </c>
      <c r="HO137" s="214" t="s">
        <v>70</v>
      </c>
      <c r="HP137" s="214" t="s">
        <v>530</v>
      </c>
      <c r="HR137" s="22" t="s">
        <v>9353</v>
      </c>
      <c r="HS137" s="22" t="s">
        <v>599</v>
      </c>
      <c r="HT137" s="22" t="s">
        <v>70</v>
      </c>
      <c r="HU137" s="214" t="s">
        <v>530</v>
      </c>
      <c r="HW137" s="22" t="s">
        <v>9354</v>
      </c>
      <c r="HX137" s="22" t="s">
        <v>34558</v>
      </c>
      <c r="HY137" s="22" t="s">
        <v>70</v>
      </c>
      <c r="HZ137" s="214" t="s">
        <v>530</v>
      </c>
      <c r="IB137" s="22" t="s">
        <v>9355</v>
      </c>
      <c r="IC137" s="22" t="s">
        <v>34556</v>
      </c>
      <c r="ID137" s="22" t="s">
        <v>70</v>
      </c>
      <c r="IE137" s="214" t="s">
        <v>530</v>
      </c>
      <c r="IG137" s="22" t="s">
        <v>9356</v>
      </c>
      <c r="IH137" s="22" t="s">
        <v>52</v>
      </c>
      <c r="II137" s="22" t="s">
        <v>70</v>
      </c>
      <c r="IJ137" s="214" t="s">
        <v>530</v>
      </c>
      <c r="IL137" s="22" t="s">
        <v>9357</v>
      </c>
      <c r="IM137" s="22" t="s">
        <v>145</v>
      </c>
      <c r="IN137" s="22" t="s">
        <v>70</v>
      </c>
      <c r="IO137" s="214" t="s">
        <v>530</v>
      </c>
      <c r="IQ137" s="236" t="s">
        <v>9358</v>
      </c>
      <c r="IR137" s="236" t="s">
        <v>145</v>
      </c>
      <c r="IS137" s="236" t="s">
        <v>74</v>
      </c>
      <c r="IT137" s="236" t="s">
        <v>841</v>
      </c>
      <c r="IV137" s="236" t="s">
        <v>9359</v>
      </c>
      <c r="IW137" s="236" t="s">
        <v>145</v>
      </c>
      <c r="IX137" s="236" t="s">
        <v>74</v>
      </c>
      <c r="IY137" s="236" t="s">
        <v>841</v>
      </c>
      <c r="JA137" s="236" t="s">
        <v>9360</v>
      </c>
      <c r="JB137" s="236" t="s">
        <v>145</v>
      </c>
      <c r="JC137" s="236" t="s">
        <v>74</v>
      </c>
      <c r="JD137" s="236" t="s">
        <v>841</v>
      </c>
      <c r="JF137" s="236" t="s">
        <v>9361</v>
      </c>
      <c r="JG137" s="236" t="s">
        <v>145</v>
      </c>
      <c r="JH137" s="236" t="s">
        <v>74</v>
      </c>
      <c r="JI137" s="236" t="s">
        <v>841</v>
      </c>
      <c r="JK137" s="236" t="s">
        <v>9362</v>
      </c>
      <c r="JL137" s="236" t="s">
        <v>145</v>
      </c>
      <c r="JM137" s="236" t="s">
        <v>74</v>
      </c>
      <c r="JN137" s="236" t="s">
        <v>841</v>
      </c>
      <c r="JP137" s="236" t="s">
        <v>9363</v>
      </c>
      <c r="JQ137" s="236" t="s">
        <v>145</v>
      </c>
      <c r="JR137" s="236" t="s">
        <v>74</v>
      </c>
      <c r="JS137" s="236" t="s">
        <v>841</v>
      </c>
      <c r="JU137" s="294" t="s">
        <v>9364</v>
      </c>
      <c r="JV137" s="263" t="s">
        <v>52</v>
      </c>
      <c r="JW137" s="263" t="s">
        <v>70</v>
      </c>
      <c r="JX137" s="263" t="s">
        <v>34245</v>
      </c>
      <c r="JZ137" s="263" t="s">
        <v>9365</v>
      </c>
      <c r="KA137" s="263" t="s">
        <v>145</v>
      </c>
      <c r="KB137" s="263" t="s">
        <v>70</v>
      </c>
      <c r="KC137" s="263" t="s">
        <v>1083</v>
      </c>
      <c r="KE137" s="263" t="s">
        <v>9366</v>
      </c>
      <c r="KF137" s="263" t="s">
        <v>52</v>
      </c>
      <c r="KG137" s="263" t="s">
        <v>70</v>
      </c>
      <c r="KH137" s="263" t="s">
        <v>1083</v>
      </c>
      <c r="KJ137" s="263" t="s">
        <v>9367</v>
      </c>
      <c r="KK137" s="263" t="s">
        <v>52</v>
      </c>
      <c r="KL137" s="263" t="s">
        <v>74</v>
      </c>
      <c r="KM137" s="263" t="s">
        <v>34074</v>
      </c>
      <c r="KO137" s="214" t="s">
        <v>9368</v>
      </c>
      <c r="KP137" s="214" t="s">
        <v>145</v>
      </c>
      <c r="KQ137" s="214" t="s">
        <v>70</v>
      </c>
      <c r="KR137" s="214" t="s">
        <v>67</v>
      </c>
      <c r="KT137" s="22" t="s">
        <v>9369</v>
      </c>
      <c r="KU137" s="22" t="s">
        <v>145</v>
      </c>
      <c r="KV137" s="22" t="s">
        <v>70</v>
      </c>
      <c r="KW137" s="22" t="s">
        <v>67</v>
      </c>
      <c r="KY137" s="214" t="s">
        <v>9370</v>
      </c>
      <c r="KZ137" s="214" t="s">
        <v>52</v>
      </c>
      <c r="LA137" s="214" t="s">
        <v>74</v>
      </c>
      <c r="LB137" s="214" t="s">
        <v>67</v>
      </c>
      <c r="LD137" s="22" t="s">
        <v>9371</v>
      </c>
      <c r="LE137" s="22" t="s">
        <v>145</v>
      </c>
      <c r="LF137" s="22" t="s">
        <v>70</v>
      </c>
      <c r="LG137" s="22" t="s">
        <v>67</v>
      </c>
    </row>
    <row r="138" spans="1:319">
      <c r="A138" s="22" t="s">
        <v>9372</v>
      </c>
      <c r="B138" s="22" t="s">
        <v>145</v>
      </c>
      <c r="C138" s="22" t="s">
        <v>70</v>
      </c>
      <c r="D138" s="22" t="s">
        <v>67</v>
      </c>
      <c r="F138" s="23" t="s">
        <v>9373</v>
      </c>
      <c r="G138" s="23" t="str">
        <f>TVIIBE1M_CalPairs!$E135</f>
        <v>0x12</v>
      </c>
      <c r="H138" s="23" t="s">
        <v>70</v>
      </c>
      <c r="I138" s="23" t="str">
        <f>TVIIBE1M_CalPairs!$C135</f>
        <v>SRSS3_ADDR1</v>
      </c>
      <c r="K138" s="22" t="s">
        <v>9374</v>
      </c>
      <c r="L138" s="22" t="s">
        <v>145</v>
      </c>
      <c r="M138" s="22" t="s">
        <v>70</v>
      </c>
      <c r="N138" s="22" t="s">
        <v>67</v>
      </c>
      <c r="P138" s="22" t="s">
        <v>9375</v>
      </c>
      <c r="Q138" s="22" t="s">
        <v>145</v>
      </c>
      <c r="R138" s="22" t="s">
        <v>70</v>
      </c>
      <c r="S138" s="22" t="s">
        <v>67</v>
      </c>
      <c r="U138" s="293" t="s">
        <v>9376</v>
      </c>
      <c r="V138" s="293" t="s">
        <v>145</v>
      </c>
      <c r="W138" s="293" t="s">
        <v>74</v>
      </c>
      <c r="X138" s="293" t="s">
        <v>656</v>
      </c>
      <c r="Z138" s="293" t="s">
        <v>9377</v>
      </c>
      <c r="AA138" s="293" t="s">
        <v>145</v>
      </c>
      <c r="AB138" s="293" t="s">
        <v>74</v>
      </c>
      <c r="AC138" s="293" t="s">
        <v>656</v>
      </c>
      <c r="AE138" s="293" t="s">
        <v>9378</v>
      </c>
      <c r="AF138" s="293" t="s">
        <v>145</v>
      </c>
      <c r="AG138" s="293" t="s">
        <v>74</v>
      </c>
      <c r="AH138" s="293" t="s">
        <v>656</v>
      </c>
      <c r="AJ138" s="293" t="s">
        <v>9379</v>
      </c>
      <c r="AK138" s="293" t="s">
        <v>145</v>
      </c>
      <c r="AL138" s="293" t="s">
        <v>74</v>
      </c>
      <c r="AM138" s="293" t="s">
        <v>656</v>
      </c>
      <c r="AO138" s="22" t="s">
        <v>9380</v>
      </c>
      <c r="AP138" s="22" t="s">
        <v>145</v>
      </c>
      <c r="AQ138" s="22" t="s">
        <v>70</v>
      </c>
      <c r="AR138" s="22" t="s">
        <v>67</v>
      </c>
      <c r="AT138" s="22" t="s">
        <v>9381</v>
      </c>
      <c r="AU138" s="22" t="s">
        <v>145</v>
      </c>
      <c r="AV138" s="22" t="s">
        <v>70</v>
      </c>
      <c r="AW138" s="22" t="s">
        <v>67</v>
      </c>
      <c r="AY138" s="22" t="s">
        <v>9382</v>
      </c>
      <c r="AZ138" s="22" t="s">
        <v>145</v>
      </c>
      <c r="BA138" s="22" t="s">
        <v>70</v>
      </c>
      <c r="BB138" s="22" t="s">
        <v>67</v>
      </c>
      <c r="BD138" s="22" t="s">
        <v>9383</v>
      </c>
      <c r="BE138" s="22" t="s">
        <v>145</v>
      </c>
      <c r="BF138" s="22" t="s">
        <v>70</v>
      </c>
      <c r="BG138" s="22" t="s">
        <v>67</v>
      </c>
      <c r="BI138" s="22" t="s">
        <v>9384</v>
      </c>
      <c r="BJ138" s="22" t="s">
        <v>145</v>
      </c>
      <c r="BK138" s="22" t="s">
        <v>70</v>
      </c>
      <c r="BL138" s="22" t="s">
        <v>67</v>
      </c>
      <c r="BN138" s="22" t="s">
        <v>9385</v>
      </c>
      <c r="BO138" s="22" t="s">
        <v>145</v>
      </c>
      <c r="BP138" s="22" t="s">
        <v>70</v>
      </c>
      <c r="BQ138" s="22" t="s">
        <v>67</v>
      </c>
      <c r="BS138" s="22" t="s">
        <v>9386</v>
      </c>
      <c r="BT138" s="22" t="s">
        <v>145</v>
      </c>
      <c r="BU138" s="22" t="s">
        <v>70</v>
      </c>
      <c r="BV138" s="214" t="s">
        <v>530</v>
      </c>
      <c r="BX138" s="22" t="s">
        <v>9387</v>
      </c>
      <c r="BY138" s="22" t="s">
        <v>145</v>
      </c>
      <c r="BZ138" s="22" t="s">
        <v>70</v>
      </c>
      <c r="CA138" s="214" t="s">
        <v>530</v>
      </c>
      <c r="CC138" s="214" t="s">
        <v>9388</v>
      </c>
      <c r="CD138" s="218" t="s">
        <v>145</v>
      </c>
      <c r="CE138" s="214" t="s">
        <v>70</v>
      </c>
      <c r="CF138" s="214" t="s">
        <v>433</v>
      </c>
      <c r="CH138" s="214" t="s">
        <v>9389</v>
      </c>
      <c r="CI138" s="214" t="s">
        <v>52</v>
      </c>
      <c r="CJ138" s="214" t="s">
        <v>70</v>
      </c>
      <c r="CK138" s="214" t="s">
        <v>530</v>
      </c>
      <c r="CM138" s="214" t="s">
        <v>9390</v>
      </c>
      <c r="CN138" s="214" t="s">
        <v>34537</v>
      </c>
      <c r="CO138" s="214" t="s">
        <v>70</v>
      </c>
      <c r="CP138" s="214" t="s">
        <v>530</v>
      </c>
      <c r="CR138" s="214" t="s">
        <v>9391</v>
      </c>
      <c r="CS138" s="214" t="s">
        <v>34579</v>
      </c>
      <c r="CT138" s="214" t="s">
        <v>70</v>
      </c>
      <c r="CU138" s="214" t="s">
        <v>530</v>
      </c>
      <c r="CW138" s="214" t="s">
        <v>9392</v>
      </c>
      <c r="CX138" s="214" t="s">
        <v>641</v>
      </c>
      <c r="CY138" s="214" t="s">
        <v>70</v>
      </c>
      <c r="CZ138" s="214" t="s">
        <v>530</v>
      </c>
      <c r="DB138" s="214" t="s">
        <v>9393</v>
      </c>
      <c r="DC138" s="214" t="s">
        <v>90</v>
      </c>
      <c r="DD138" s="214" t="s">
        <v>70</v>
      </c>
      <c r="DE138" s="214" t="s">
        <v>530</v>
      </c>
      <c r="DG138" s="214" t="s">
        <v>9394</v>
      </c>
      <c r="DH138" s="214" t="s">
        <v>206</v>
      </c>
      <c r="DI138" s="214" t="s">
        <v>70</v>
      </c>
      <c r="DJ138" s="214" t="s">
        <v>530</v>
      </c>
      <c r="DL138" s="214" t="s">
        <v>9395</v>
      </c>
      <c r="DM138" s="214" t="s">
        <v>655</v>
      </c>
      <c r="DN138" s="214" t="s">
        <v>70</v>
      </c>
      <c r="DO138" s="214" t="s">
        <v>530</v>
      </c>
      <c r="DQ138" s="214" t="s">
        <v>9396</v>
      </c>
      <c r="DR138" s="214" t="s">
        <v>34627</v>
      </c>
      <c r="DS138" s="214" t="s">
        <v>70</v>
      </c>
      <c r="DT138" s="214" t="s">
        <v>530</v>
      </c>
      <c r="DV138" s="214" t="s">
        <v>9397</v>
      </c>
      <c r="DW138" s="214" t="s">
        <v>52</v>
      </c>
      <c r="DX138" s="214" t="s">
        <v>70</v>
      </c>
      <c r="DY138" s="214" t="s">
        <v>530</v>
      </c>
      <c r="EA138" s="214" t="s">
        <v>9398</v>
      </c>
      <c r="EB138" s="214" t="s">
        <v>145</v>
      </c>
      <c r="EC138" s="214" t="s">
        <v>70</v>
      </c>
      <c r="ED138" s="214" t="s">
        <v>530</v>
      </c>
      <c r="EF138" s="214" t="s">
        <v>9399</v>
      </c>
      <c r="EG138" s="214" t="s">
        <v>34604</v>
      </c>
      <c r="EH138" s="214" t="s">
        <v>70</v>
      </c>
      <c r="EI138" s="214" t="s">
        <v>530</v>
      </c>
      <c r="EK138" s="214" t="s">
        <v>9400</v>
      </c>
      <c r="EL138" s="214" t="s">
        <v>502</v>
      </c>
      <c r="EM138" s="214" t="s">
        <v>70</v>
      </c>
      <c r="EN138" s="214" t="s">
        <v>530</v>
      </c>
      <c r="EP138" s="214" t="s">
        <v>9401</v>
      </c>
      <c r="EQ138" s="214" t="s">
        <v>642</v>
      </c>
      <c r="ER138" s="214" t="s">
        <v>70</v>
      </c>
      <c r="ES138" s="214" t="s">
        <v>530</v>
      </c>
      <c r="EU138" s="214" t="s">
        <v>9402</v>
      </c>
      <c r="EV138" s="214" t="s">
        <v>34583</v>
      </c>
      <c r="EW138" s="214" t="s">
        <v>70</v>
      </c>
      <c r="EX138" s="214" t="s">
        <v>530</v>
      </c>
      <c r="EZ138" s="214" t="s">
        <v>9403</v>
      </c>
      <c r="FA138" s="214" t="s">
        <v>52</v>
      </c>
      <c r="FB138" s="214" t="s">
        <v>70</v>
      </c>
      <c r="FC138" s="214" t="s">
        <v>530</v>
      </c>
      <c r="FE138" s="214" t="s">
        <v>9404</v>
      </c>
      <c r="FF138" s="214" t="s">
        <v>488</v>
      </c>
      <c r="FG138" s="214" t="s">
        <v>70</v>
      </c>
      <c r="FH138" s="214" t="s">
        <v>530</v>
      </c>
      <c r="FJ138" s="321" t="s">
        <v>9405</v>
      </c>
      <c r="FK138" s="214" t="s">
        <v>956</v>
      </c>
      <c r="FL138" s="214" t="s">
        <v>70</v>
      </c>
      <c r="FM138" s="214" t="s">
        <v>530</v>
      </c>
      <c r="FO138" s="321" t="s">
        <v>9406</v>
      </c>
      <c r="FP138" s="214" t="s">
        <v>148</v>
      </c>
      <c r="FQ138" s="214" t="s">
        <v>70</v>
      </c>
      <c r="FR138" s="214" t="s">
        <v>530</v>
      </c>
      <c r="FT138" s="321" t="s">
        <v>9407</v>
      </c>
      <c r="FU138" s="214" t="s">
        <v>481</v>
      </c>
      <c r="FV138" s="214" t="s">
        <v>70</v>
      </c>
      <c r="FW138" s="214" t="s">
        <v>530</v>
      </c>
      <c r="FY138" s="321" t="s">
        <v>9408</v>
      </c>
      <c r="FZ138" s="214" t="s">
        <v>34556</v>
      </c>
      <c r="GA138" s="214" t="s">
        <v>70</v>
      </c>
      <c r="GB138" s="214" t="s">
        <v>530</v>
      </c>
      <c r="GD138" s="321" t="s">
        <v>9409</v>
      </c>
      <c r="GE138" s="214" t="s">
        <v>529</v>
      </c>
      <c r="GF138" s="214" t="s">
        <v>70</v>
      </c>
      <c r="GG138" s="214" t="s">
        <v>530</v>
      </c>
      <c r="GI138" s="321" t="s">
        <v>9410</v>
      </c>
      <c r="GJ138" s="214" t="s">
        <v>52</v>
      </c>
      <c r="GK138" s="214" t="s">
        <v>70</v>
      </c>
      <c r="GL138" s="214" t="s">
        <v>530</v>
      </c>
      <c r="GN138" s="321" t="s">
        <v>9411</v>
      </c>
      <c r="GO138" s="214" t="s">
        <v>163</v>
      </c>
      <c r="GP138" s="214" t="s">
        <v>70</v>
      </c>
      <c r="GQ138" s="214" t="s">
        <v>530</v>
      </c>
      <c r="GS138" s="321" t="s">
        <v>9412</v>
      </c>
      <c r="GT138" s="214" t="s">
        <v>148</v>
      </c>
      <c r="GU138" s="214" t="s">
        <v>70</v>
      </c>
      <c r="GV138" s="214" t="s">
        <v>530</v>
      </c>
      <c r="GX138" s="214" t="s">
        <v>9413</v>
      </c>
      <c r="GY138" s="214" t="s">
        <v>52</v>
      </c>
      <c r="GZ138" s="214" t="s">
        <v>70</v>
      </c>
      <c r="HA138" s="214" t="s">
        <v>530</v>
      </c>
      <c r="HC138" s="214" t="s">
        <v>9414</v>
      </c>
      <c r="HD138" s="214" t="s">
        <v>87</v>
      </c>
      <c r="HE138" s="214" t="s">
        <v>70</v>
      </c>
      <c r="HF138" s="214" t="s">
        <v>530</v>
      </c>
      <c r="HH138" s="214" t="s">
        <v>9415</v>
      </c>
      <c r="HI138" s="214" t="s">
        <v>90</v>
      </c>
      <c r="HJ138" s="214" t="s">
        <v>70</v>
      </c>
      <c r="HK138" s="214" t="s">
        <v>530</v>
      </c>
      <c r="HM138" s="214" t="s">
        <v>9416</v>
      </c>
      <c r="HN138" s="214" t="s">
        <v>489</v>
      </c>
      <c r="HO138" s="214" t="s">
        <v>70</v>
      </c>
      <c r="HP138" s="214" t="s">
        <v>530</v>
      </c>
      <c r="HR138" s="22" t="s">
        <v>9417</v>
      </c>
      <c r="HS138" s="22" t="s">
        <v>600</v>
      </c>
      <c r="HT138" s="22" t="s">
        <v>70</v>
      </c>
      <c r="HU138" s="214" t="s">
        <v>530</v>
      </c>
      <c r="HW138" s="22" t="s">
        <v>9418</v>
      </c>
      <c r="HX138" s="22" t="s">
        <v>501</v>
      </c>
      <c r="HY138" s="22" t="s">
        <v>70</v>
      </c>
      <c r="HZ138" s="214" t="s">
        <v>530</v>
      </c>
      <c r="IB138" s="22" t="s">
        <v>9419</v>
      </c>
      <c r="IC138" s="22" t="s">
        <v>52</v>
      </c>
      <c r="ID138" s="22" t="s">
        <v>70</v>
      </c>
      <c r="IE138" s="214" t="s">
        <v>530</v>
      </c>
      <c r="IG138" s="22" t="s">
        <v>9420</v>
      </c>
      <c r="IH138" s="22" t="s">
        <v>52</v>
      </c>
      <c r="II138" s="22" t="s">
        <v>70</v>
      </c>
      <c r="IJ138" s="214" t="s">
        <v>530</v>
      </c>
      <c r="IL138" s="22" t="s">
        <v>9421</v>
      </c>
      <c r="IM138" s="22" t="s">
        <v>145</v>
      </c>
      <c r="IN138" s="22" t="s">
        <v>70</v>
      </c>
      <c r="IO138" s="214" t="s">
        <v>530</v>
      </c>
      <c r="IQ138" s="236" t="s">
        <v>9422</v>
      </c>
      <c r="IR138" s="236" t="s">
        <v>145</v>
      </c>
      <c r="IS138" s="236" t="s">
        <v>74</v>
      </c>
      <c r="IT138" s="236" t="s">
        <v>841</v>
      </c>
      <c r="IV138" s="236" t="s">
        <v>9423</v>
      </c>
      <c r="IW138" s="236" t="s">
        <v>145</v>
      </c>
      <c r="IX138" s="236" t="s">
        <v>74</v>
      </c>
      <c r="IY138" s="236" t="s">
        <v>841</v>
      </c>
      <c r="JA138" s="236" t="s">
        <v>9424</v>
      </c>
      <c r="JB138" s="236" t="s">
        <v>145</v>
      </c>
      <c r="JC138" s="236" t="s">
        <v>74</v>
      </c>
      <c r="JD138" s="236" t="s">
        <v>841</v>
      </c>
      <c r="JF138" s="236" t="s">
        <v>9425</v>
      </c>
      <c r="JG138" s="236" t="s">
        <v>145</v>
      </c>
      <c r="JH138" s="236" t="s">
        <v>74</v>
      </c>
      <c r="JI138" s="236" t="s">
        <v>841</v>
      </c>
      <c r="JK138" s="236" t="s">
        <v>9426</v>
      </c>
      <c r="JL138" s="236" t="s">
        <v>145</v>
      </c>
      <c r="JM138" s="236" t="s">
        <v>74</v>
      </c>
      <c r="JN138" s="236" t="s">
        <v>841</v>
      </c>
      <c r="JP138" s="236" t="s">
        <v>9427</v>
      </c>
      <c r="JQ138" s="236" t="s">
        <v>145</v>
      </c>
      <c r="JR138" s="236" t="s">
        <v>74</v>
      </c>
      <c r="JS138" s="236" t="s">
        <v>841</v>
      </c>
      <c r="JU138" s="294" t="s">
        <v>9428</v>
      </c>
      <c r="JV138" s="263" t="s">
        <v>52</v>
      </c>
      <c r="JW138" s="263" t="s">
        <v>70</v>
      </c>
      <c r="JX138" s="263" t="s">
        <v>34246</v>
      </c>
      <c r="JZ138" s="263" t="s">
        <v>9429</v>
      </c>
      <c r="KA138" s="263" t="s">
        <v>145</v>
      </c>
      <c r="KB138" s="263" t="s">
        <v>70</v>
      </c>
      <c r="KC138" s="263" t="s">
        <v>1083</v>
      </c>
      <c r="KE138" s="263" t="s">
        <v>9430</v>
      </c>
      <c r="KF138" s="263" t="s">
        <v>52</v>
      </c>
      <c r="KG138" s="263" t="s">
        <v>70</v>
      </c>
      <c r="KH138" s="263" t="s">
        <v>1083</v>
      </c>
      <c r="KJ138" s="263" t="s">
        <v>9431</v>
      </c>
      <c r="KK138" s="263" t="s">
        <v>52</v>
      </c>
      <c r="KL138" s="263" t="s">
        <v>74</v>
      </c>
      <c r="KM138" s="263" t="s">
        <v>34074</v>
      </c>
      <c r="KO138" s="214" t="s">
        <v>9432</v>
      </c>
      <c r="KP138" s="214" t="s">
        <v>145</v>
      </c>
      <c r="KQ138" s="214" t="s">
        <v>70</v>
      </c>
      <c r="KR138" s="214" t="s">
        <v>67</v>
      </c>
      <c r="KT138" s="22" t="s">
        <v>9433</v>
      </c>
      <c r="KU138" s="22" t="s">
        <v>145</v>
      </c>
      <c r="KV138" s="22" t="s">
        <v>70</v>
      </c>
      <c r="KW138" s="22" t="s">
        <v>67</v>
      </c>
      <c r="KY138" s="214" t="s">
        <v>9434</v>
      </c>
      <c r="KZ138" s="214" t="s">
        <v>52</v>
      </c>
      <c r="LA138" s="214" t="s">
        <v>74</v>
      </c>
      <c r="LB138" s="214" t="s">
        <v>67</v>
      </c>
      <c r="LD138" s="22" t="s">
        <v>9435</v>
      </c>
      <c r="LE138" s="22" t="s">
        <v>145</v>
      </c>
      <c r="LF138" s="22" t="s">
        <v>70</v>
      </c>
      <c r="LG138" s="22" t="s">
        <v>67</v>
      </c>
    </row>
    <row r="139" spans="1:319">
      <c r="A139" s="22" t="s">
        <v>9436</v>
      </c>
      <c r="B139" s="22" t="s">
        <v>145</v>
      </c>
      <c r="C139" s="22" t="s">
        <v>70</v>
      </c>
      <c r="D139" s="22" t="s">
        <v>67</v>
      </c>
      <c r="F139" s="23" t="s">
        <v>9437</v>
      </c>
      <c r="G139" s="23" t="str">
        <f>TVIIBE1M_CalPairs!$E136</f>
        <v>0x00</v>
      </c>
      <c r="H139" s="23" t="s">
        <v>72</v>
      </c>
      <c r="I139" s="23" t="str">
        <f>TVIIBE1M_CalPairs!$C136</f>
        <v>CLK_TRIM_PLL_CTL0_VAL0</v>
      </c>
      <c r="K139" s="22" t="s">
        <v>9438</v>
      </c>
      <c r="L139" s="22" t="s">
        <v>145</v>
      </c>
      <c r="M139" s="22" t="s">
        <v>70</v>
      </c>
      <c r="N139" s="22" t="s">
        <v>67</v>
      </c>
      <c r="P139" s="22" t="s">
        <v>9439</v>
      </c>
      <c r="Q139" s="22" t="s">
        <v>145</v>
      </c>
      <c r="R139" s="22" t="s">
        <v>70</v>
      </c>
      <c r="S139" s="22" t="s">
        <v>67</v>
      </c>
      <c r="U139" s="293" t="s">
        <v>9440</v>
      </c>
      <c r="V139" s="293" t="s">
        <v>145</v>
      </c>
      <c r="W139" s="293" t="s">
        <v>74</v>
      </c>
      <c r="X139" s="293" t="s">
        <v>656</v>
      </c>
      <c r="Z139" s="293" t="s">
        <v>9441</v>
      </c>
      <c r="AA139" s="293" t="s">
        <v>145</v>
      </c>
      <c r="AB139" s="293" t="s">
        <v>74</v>
      </c>
      <c r="AC139" s="293" t="s">
        <v>656</v>
      </c>
      <c r="AE139" s="293" t="s">
        <v>9442</v>
      </c>
      <c r="AF139" s="293" t="s">
        <v>145</v>
      </c>
      <c r="AG139" s="293" t="s">
        <v>74</v>
      </c>
      <c r="AH139" s="293" t="s">
        <v>656</v>
      </c>
      <c r="AJ139" s="293" t="s">
        <v>9443</v>
      </c>
      <c r="AK139" s="293" t="s">
        <v>145</v>
      </c>
      <c r="AL139" s="293" t="s">
        <v>74</v>
      </c>
      <c r="AM139" s="293" t="s">
        <v>656</v>
      </c>
      <c r="AO139" s="22" t="s">
        <v>9444</v>
      </c>
      <c r="AP139" s="22" t="s">
        <v>145</v>
      </c>
      <c r="AQ139" s="22" t="s">
        <v>70</v>
      </c>
      <c r="AR139" s="22" t="s">
        <v>67</v>
      </c>
      <c r="AT139" s="22" t="s">
        <v>9445</v>
      </c>
      <c r="AU139" s="22" t="s">
        <v>145</v>
      </c>
      <c r="AV139" s="22" t="s">
        <v>70</v>
      </c>
      <c r="AW139" s="22" t="s">
        <v>67</v>
      </c>
      <c r="AY139" s="22" t="s">
        <v>9446</v>
      </c>
      <c r="AZ139" s="22" t="s">
        <v>145</v>
      </c>
      <c r="BA139" s="22" t="s">
        <v>70</v>
      </c>
      <c r="BB139" s="22" t="s">
        <v>67</v>
      </c>
      <c r="BD139" s="22" t="s">
        <v>9447</v>
      </c>
      <c r="BE139" s="22" t="s">
        <v>145</v>
      </c>
      <c r="BF139" s="22" t="s">
        <v>70</v>
      </c>
      <c r="BG139" s="22" t="s">
        <v>67</v>
      </c>
      <c r="BI139" s="22" t="s">
        <v>9448</v>
      </c>
      <c r="BJ139" s="22" t="s">
        <v>145</v>
      </c>
      <c r="BK139" s="22" t="s">
        <v>70</v>
      </c>
      <c r="BL139" s="22" t="s">
        <v>67</v>
      </c>
      <c r="BN139" s="22" t="s">
        <v>9449</v>
      </c>
      <c r="BO139" s="22" t="s">
        <v>145</v>
      </c>
      <c r="BP139" s="22" t="s">
        <v>70</v>
      </c>
      <c r="BQ139" s="22" t="s">
        <v>67</v>
      </c>
      <c r="BS139" s="22" t="s">
        <v>9450</v>
      </c>
      <c r="BT139" s="22" t="s">
        <v>145</v>
      </c>
      <c r="BU139" s="22" t="s">
        <v>70</v>
      </c>
      <c r="BV139" s="214" t="s">
        <v>530</v>
      </c>
      <c r="BX139" s="22" t="s">
        <v>9451</v>
      </c>
      <c r="BY139" s="22" t="s">
        <v>145</v>
      </c>
      <c r="BZ139" s="22" t="s">
        <v>70</v>
      </c>
      <c r="CA139" s="214" t="s">
        <v>530</v>
      </c>
      <c r="CC139" s="214" t="s">
        <v>9452</v>
      </c>
      <c r="CD139" s="218" t="s">
        <v>145</v>
      </c>
      <c r="CE139" s="214" t="s">
        <v>70</v>
      </c>
      <c r="CF139" s="214" t="s">
        <v>434</v>
      </c>
      <c r="CH139" s="214" t="s">
        <v>9453</v>
      </c>
      <c r="CI139" s="214" t="s">
        <v>950</v>
      </c>
      <c r="CJ139" s="214" t="s">
        <v>70</v>
      </c>
      <c r="CK139" s="214" t="s">
        <v>530</v>
      </c>
      <c r="CM139" s="214" t="s">
        <v>9454</v>
      </c>
      <c r="CN139" s="214" t="s">
        <v>34539</v>
      </c>
      <c r="CO139" s="214" t="s">
        <v>70</v>
      </c>
      <c r="CP139" s="214" t="s">
        <v>530</v>
      </c>
      <c r="CR139" s="214" t="s">
        <v>9455</v>
      </c>
      <c r="CS139" s="214" t="s">
        <v>164</v>
      </c>
      <c r="CT139" s="214" t="s">
        <v>70</v>
      </c>
      <c r="CU139" s="214" t="s">
        <v>530</v>
      </c>
      <c r="CW139" s="214" t="s">
        <v>9456</v>
      </c>
      <c r="CX139" s="214" t="s">
        <v>93</v>
      </c>
      <c r="CY139" s="214" t="s">
        <v>70</v>
      </c>
      <c r="CZ139" s="214" t="s">
        <v>530</v>
      </c>
      <c r="DB139" s="214" t="s">
        <v>9457</v>
      </c>
      <c r="DC139" s="214" t="s">
        <v>502</v>
      </c>
      <c r="DD139" s="214" t="s">
        <v>70</v>
      </c>
      <c r="DE139" s="214" t="s">
        <v>530</v>
      </c>
      <c r="DG139" s="214" t="s">
        <v>9458</v>
      </c>
      <c r="DH139" s="214" t="s">
        <v>491</v>
      </c>
      <c r="DI139" s="214" t="s">
        <v>70</v>
      </c>
      <c r="DJ139" s="214" t="s">
        <v>530</v>
      </c>
      <c r="DL139" s="214" t="s">
        <v>9459</v>
      </c>
      <c r="DM139" s="214" t="s">
        <v>600</v>
      </c>
      <c r="DN139" s="214" t="s">
        <v>70</v>
      </c>
      <c r="DO139" s="214" t="s">
        <v>530</v>
      </c>
      <c r="DQ139" s="214" t="s">
        <v>9460</v>
      </c>
      <c r="DR139" s="214" t="s">
        <v>491</v>
      </c>
      <c r="DS139" s="214" t="s">
        <v>70</v>
      </c>
      <c r="DT139" s="214" t="s">
        <v>530</v>
      </c>
      <c r="DV139" s="214" t="s">
        <v>9461</v>
      </c>
      <c r="DW139" s="214" t="s">
        <v>468</v>
      </c>
      <c r="DX139" s="214" t="s">
        <v>70</v>
      </c>
      <c r="DY139" s="214" t="s">
        <v>530</v>
      </c>
      <c r="EA139" s="214" t="s">
        <v>9462</v>
      </c>
      <c r="EB139" s="214" t="s">
        <v>34541</v>
      </c>
      <c r="EC139" s="214" t="s">
        <v>70</v>
      </c>
      <c r="ED139" s="214" t="s">
        <v>530</v>
      </c>
      <c r="EF139" s="214" t="s">
        <v>9463</v>
      </c>
      <c r="EG139" s="214" t="s">
        <v>146</v>
      </c>
      <c r="EH139" s="214" t="s">
        <v>70</v>
      </c>
      <c r="EI139" s="214" t="s">
        <v>530</v>
      </c>
      <c r="EK139" s="214" t="s">
        <v>9464</v>
      </c>
      <c r="EL139" s="214" t="s">
        <v>34544</v>
      </c>
      <c r="EM139" s="214" t="s">
        <v>70</v>
      </c>
      <c r="EN139" s="214" t="s">
        <v>530</v>
      </c>
      <c r="EP139" s="214" t="s">
        <v>9465</v>
      </c>
      <c r="EQ139" s="214" t="s">
        <v>163</v>
      </c>
      <c r="ER139" s="214" t="s">
        <v>70</v>
      </c>
      <c r="ES139" s="214" t="s">
        <v>530</v>
      </c>
      <c r="EU139" s="214" t="s">
        <v>9466</v>
      </c>
      <c r="EV139" s="214" t="s">
        <v>488</v>
      </c>
      <c r="EW139" s="214" t="s">
        <v>70</v>
      </c>
      <c r="EX139" s="214" t="s">
        <v>530</v>
      </c>
      <c r="EZ139" s="214" t="s">
        <v>9467</v>
      </c>
      <c r="FA139" s="214" t="s">
        <v>34641</v>
      </c>
      <c r="FB139" s="214" t="s">
        <v>70</v>
      </c>
      <c r="FC139" s="214" t="s">
        <v>530</v>
      </c>
      <c r="FE139" s="214" t="s">
        <v>9468</v>
      </c>
      <c r="FF139" s="214" t="s">
        <v>34545</v>
      </c>
      <c r="FG139" s="214" t="s">
        <v>70</v>
      </c>
      <c r="FH139" s="214" t="s">
        <v>530</v>
      </c>
      <c r="FJ139" s="321" t="s">
        <v>9469</v>
      </c>
      <c r="FK139" s="214" t="s">
        <v>146</v>
      </c>
      <c r="FL139" s="214" t="s">
        <v>70</v>
      </c>
      <c r="FM139" s="214" t="s">
        <v>530</v>
      </c>
      <c r="FO139" s="321" t="s">
        <v>9470</v>
      </c>
      <c r="FP139" s="214" t="s">
        <v>486</v>
      </c>
      <c r="FQ139" s="214" t="s">
        <v>70</v>
      </c>
      <c r="FR139" s="214" t="s">
        <v>530</v>
      </c>
      <c r="FT139" s="321" t="s">
        <v>9471</v>
      </c>
      <c r="FU139" s="214" t="s">
        <v>487</v>
      </c>
      <c r="FV139" s="214" t="s">
        <v>70</v>
      </c>
      <c r="FW139" s="214" t="s">
        <v>530</v>
      </c>
      <c r="FY139" s="321" t="s">
        <v>9472</v>
      </c>
      <c r="FZ139" s="214" t="s">
        <v>34541</v>
      </c>
      <c r="GA139" s="214" t="s">
        <v>70</v>
      </c>
      <c r="GB139" s="214" t="s">
        <v>530</v>
      </c>
      <c r="GD139" s="321" t="s">
        <v>9473</v>
      </c>
      <c r="GE139" s="214" t="s">
        <v>34542</v>
      </c>
      <c r="GF139" s="214" t="s">
        <v>70</v>
      </c>
      <c r="GG139" s="214" t="s">
        <v>530</v>
      </c>
      <c r="GI139" s="321" t="s">
        <v>9474</v>
      </c>
      <c r="GJ139" s="214" t="s">
        <v>33910</v>
      </c>
      <c r="GK139" s="214" t="s">
        <v>70</v>
      </c>
      <c r="GL139" s="214" t="s">
        <v>530</v>
      </c>
      <c r="GN139" s="321" t="s">
        <v>9475</v>
      </c>
      <c r="GO139" s="214" t="s">
        <v>950</v>
      </c>
      <c r="GP139" s="214" t="s">
        <v>70</v>
      </c>
      <c r="GQ139" s="214" t="s">
        <v>530</v>
      </c>
      <c r="GS139" s="321" t="s">
        <v>9476</v>
      </c>
      <c r="GT139" s="214" t="s">
        <v>484</v>
      </c>
      <c r="GU139" s="214" t="s">
        <v>70</v>
      </c>
      <c r="GV139" s="214" t="s">
        <v>530</v>
      </c>
      <c r="GX139" s="214" t="s">
        <v>9477</v>
      </c>
      <c r="GY139" s="214" t="s">
        <v>203</v>
      </c>
      <c r="GZ139" s="214" t="s">
        <v>70</v>
      </c>
      <c r="HA139" s="214" t="s">
        <v>530</v>
      </c>
      <c r="HC139" s="214" t="s">
        <v>9478</v>
      </c>
      <c r="HD139" s="214" t="s">
        <v>34558</v>
      </c>
      <c r="HE139" s="214" t="s">
        <v>70</v>
      </c>
      <c r="HF139" s="214" t="s">
        <v>530</v>
      </c>
      <c r="HH139" s="214" t="s">
        <v>9479</v>
      </c>
      <c r="HI139" s="214" t="s">
        <v>34569</v>
      </c>
      <c r="HJ139" s="214" t="s">
        <v>70</v>
      </c>
      <c r="HK139" s="214" t="s">
        <v>530</v>
      </c>
      <c r="HM139" s="214" t="s">
        <v>9480</v>
      </c>
      <c r="HN139" s="214" t="s">
        <v>482</v>
      </c>
      <c r="HO139" s="214" t="s">
        <v>70</v>
      </c>
      <c r="HP139" s="214" t="s">
        <v>530</v>
      </c>
      <c r="HR139" s="22" t="s">
        <v>9481</v>
      </c>
      <c r="HS139" s="22" t="s">
        <v>103</v>
      </c>
      <c r="HT139" s="22" t="s">
        <v>70</v>
      </c>
      <c r="HU139" s="214" t="s">
        <v>530</v>
      </c>
      <c r="HW139" s="22" t="s">
        <v>9482</v>
      </c>
      <c r="HX139" s="22" t="s">
        <v>34615</v>
      </c>
      <c r="HY139" s="22" t="s">
        <v>70</v>
      </c>
      <c r="HZ139" s="214" t="s">
        <v>530</v>
      </c>
      <c r="IB139" s="22" t="s">
        <v>9483</v>
      </c>
      <c r="IC139" s="22" t="s">
        <v>34593</v>
      </c>
      <c r="ID139" s="22" t="s">
        <v>70</v>
      </c>
      <c r="IE139" s="214" t="s">
        <v>530</v>
      </c>
      <c r="IG139" s="22" t="s">
        <v>9484</v>
      </c>
      <c r="IH139" s="22" t="s">
        <v>52</v>
      </c>
      <c r="II139" s="22" t="s">
        <v>70</v>
      </c>
      <c r="IJ139" s="214" t="s">
        <v>530</v>
      </c>
      <c r="IL139" s="22" t="s">
        <v>9485</v>
      </c>
      <c r="IM139" s="22" t="s">
        <v>145</v>
      </c>
      <c r="IN139" s="22" t="s">
        <v>70</v>
      </c>
      <c r="IO139" s="214" t="s">
        <v>530</v>
      </c>
      <c r="IQ139" s="236" t="s">
        <v>9486</v>
      </c>
      <c r="IR139" s="236" t="s">
        <v>145</v>
      </c>
      <c r="IS139" s="236" t="s">
        <v>74</v>
      </c>
      <c r="IT139" s="236" t="s">
        <v>841</v>
      </c>
      <c r="IV139" s="236" t="s">
        <v>9487</v>
      </c>
      <c r="IW139" s="236" t="s">
        <v>145</v>
      </c>
      <c r="IX139" s="236" t="s">
        <v>74</v>
      </c>
      <c r="IY139" s="236" t="s">
        <v>841</v>
      </c>
      <c r="JA139" s="236" t="s">
        <v>9488</v>
      </c>
      <c r="JB139" s="236" t="s">
        <v>145</v>
      </c>
      <c r="JC139" s="236" t="s">
        <v>74</v>
      </c>
      <c r="JD139" s="236" t="s">
        <v>841</v>
      </c>
      <c r="JF139" s="236" t="s">
        <v>9489</v>
      </c>
      <c r="JG139" s="236" t="s">
        <v>145</v>
      </c>
      <c r="JH139" s="236" t="s">
        <v>74</v>
      </c>
      <c r="JI139" s="236" t="s">
        <v>841</v>
      </c>
      <c r="JK139" s="236" t="s">
        <v>9490</v>
      </c>
      <c r="JL139" s="236" t="s">
        <v>145</v>
      </c>
      <c r="JM139" s="236" t="s">
        <v>74</v>
      </c>
      <c r="JN139" s="236" t="s">
        <v>841</v>
      </c>
      <c r="JP139" s="236" t="s">
        <v>9491</v>
      </c>
      <c r="JQ139" s="236" t="s">
        <v>145</v>
      </c>
      <c r="JR139" s="236" t="s">
        <v>74</v>
      </c>
      <c r="JS139" s="236" t="s">
        <v>841</v>
      </c>
      <c r="JU139" s="294" t="s">
        <v>9492</v>
      </c>
      <c r="JV139" s="263" t="s">
        <v>52</v>
      </c>
      <c r="JW139" s="263" t="s">
        <v>70</v>
      </c>
      <c r="JX139" s="263" t="s">
        <v>34247</v>
      </c>
      <c r="JZ139" s="263" t="s">
        <v>9493</v>
      </c>
      <c r="KA139" s="263" t="s">
        <v>145</v>
      </c>
      <c r="KB139" s="263" t="s">
        <v>70</v>
      </c>
      <c r="KC139" s="263" t="s">
        <v>1083</v>
      </c>
      <c r="KE139" s="263" t="s">
        <v>9494</v>
      </c>
      <c r="KF139" s="263" t="s">
        <v>52</v>
      </c>
      <c r="KG139" s="263" t="s">
        <v>70</v>
      </c>
      <c r="KH139" s="263" t="s">
        <v>1083</v>
      </c>
      <c r="KJ139" s="263" t="s">
        <v>9495</v>
      </c>
      <c r="KK139" s="263" t="s">
        <v>52</v>
      </c>
      <c r="KL139" s="263" t="s">
        <v>74</v>
      </c>
      <c r="KM139" s="263" t="s">
        <v>34074</v>
      </c>
      <c r="KO139" s="214" t="s">
        <v>9496</v>
      </c>
      <c r="KP139" s="214" t="s">
        <v>145</v>
      </c>
      <c r="KQ139" s="214" t="s">
        <v>70</v>
      </c>
      <c r="KR139" s="214" t="s">
        <v>67</v>
      </c>
      <c r="KT139" s="22" t="s">
        <v>9497</v>
      </c>
      <c r="KU139" s="22" t="s">
        <v>145</v>
      </c>
      <c r="KV139" s="22" t="s">
        <v>70</v>
      </c>
      <c r="KW139" s="22" t="s">
        <v>67</v>
      </c>
      <c r="KY139" s="214" t="s">
        <v>9498</v>
      </c>
      <c r="KZ139" s="214" t="s">
        <v>52</v>
      </c>
      <c r="LA139" s="214" t="s">
        <v>74</v>
      </c>
      <c r="LB139" s="214" t="s">
        <v>67</v>
      </c>
      <c r="LD139" s="22" t="s">
        <v>9499</v>
      </c>
      <c r="LE139" s="22" t="s">
        <v>145</v>
      </c>
      <c r="LF139" s="22" t="s">
        <v>70</v>
      </c>
      <c r="LG139" s="22" t="s">
        <v>67</v>
      </c>
    </row>
    <row r="140" spans="1:319">
      <c r="A140" s="22" t="s">
        <v>9500</v>
      </c>
      <c r="B140" s="22" t="s">
        <v>145</v>
      </c>
      <c r="C140" s="22" t="s">
        <v>70</v>
      </c>
      <c r="D140" s="22" t="s">
        <v>67</v>
      </c>
      <c r="F140" s="23" t="s">
        <v>9501</v>
      </c>
      <c r="G140" s="23" t="str">
        <f>TVIIBE1M_CalPairs!$E137</f>
        <v>0x00</v>
      </c>
      <c r="H140" s="23" t="s">
        <v>72</v>
      </c>
      <c r="I140" s="23" t="str">
        <f>TVIIBE1M_CalPairs!$C137</f>
        <v>CLK_TRIM_PLL_CTL0_VAL1</v>
      </c>
      <c r="K140" s="22" t="s">
        <v>9502</v>
      </c>
      <c r="L140" s="22" t="s">
        <v>145</v>
      </c>
      <c r="M140" s="22" t="s">
        <v>70</v>
      </c>
      <c r="N140" s="22" t="s">
        <v>67</v>
      </c>
      <c r="P140" s="22" t="s">
        <v>9503</v>
      </c>
      <c r="Q140" s="22" t="s">
        <v>145</v>
      </c>
      <c r="R140" s="22" t="s">
        <v>70</v>
      </c>
      <c r="S140" s="22" t="s">
        <v>67</v>
      </c>
      <c r="U140" s="293" t="s">
        <v>9504</v>
      </c>
      <c r="V140" s="293" t="s">
        <v>145</v>
      </c>
      <c r="W140" s="293" t="s">
        <v>74</v>
      </c>
      <c r="X140" s="293" t="s">
        <v>656</v>
      </c>
      <c r="Z140" s="293" t="s">
        <v>9505</v>
      </c>
      <c r="AA140" s="293" t="s">
        <v>145</v>
      </c>
      <c r="AB140" s="293" t="s">
        <v>74</v>
      </c>
      <c r="AC140" s="293" t="s">
        <v>656</v>
      </c>
      <c r="AE140" s="293" t="s">
        <v>9506</v>
      </c>
      <c r="AF140" s="293" t="s">
        <v>145</v>
      </c>
      <c r="AG140" s="293" t="s">
        <v>74</v>
      </c>
      <c r="AH140" s="293" t="s">
        <v>656</v>
      </c>
      <c r="AJ140" s="293" t="s">
        <v>9507</v>
      </c>
      <c r="AK140" s="293" t="s">
        <v>145</v>
      </c>
      <c r="AL140" s="293" t="s">
        <v>74</v>
      </c>
      <c r="AM140" s="293" t="s">
        <v>656</v>
      </c>
      <c r="AO140" s="22" t="s">
        <v>9508</v>
      </c>
      <c r="AP140" s="22" t="s">
        <v>145</v>
      </c>
      <c r="AQ140" s="22" t="s">
        <v>70</v>
      </c>
      <c r="AR140" s="22" t="s">
        <v>67</v>
      </c>
      <c r="AT140" s="22" t="s">
        <v>9509</v>
      </c>
      <c r="AU140" s="22" t="s">
        <v>145</v>
      </c>
      <c r="AV140" s="22" t="s">
        <v>70</v>
      </c>
      <c r="AW140" s="22" t="s">
        <v>67</v>
      </c>
      <c r="AY140" s="22" t="s">
        <v>9510</v>
      </c>
      <c r="AZ140" s="22" t="s">
        <v>145</v>
      </c>
      <c r="BA140" s="22" t="s">
        <v>70</v>
      </c>
      <c r="BB140" s="22" t="s">
        <v>67</v>
      </c>
      <c r="BD140" s="22" t="s">
        <v>9511</v>
      </c>
      <c r="BE140" s="22" t="s">
        <v>145</v>
      </c>
      <c r="BF140" s="22" t="s">
        <v>70</v>
      </c>
      <c r="BG140" s="22" t="s">
        <v>67</v>
      </c>
      <c r="BI140" s="22" t="s">
        <v>9512</v>
      </c>
      <c r="BJ140" s="22" t="s">
        <v>145</v>
      </c>
      <c r="BK140" s="22" t="s">
        <v>70</v>
      </c>
      <c r="BL140" s="22" t="s">
        <v>67</v>
      </c>
      <c r="BN140" s="22" t="s">
        <v>9513</v>
      </c>
      <c r="BO140" s="22" t="s">
        <v>145</v>
      </c>
      <c r="BP140" s="22" t="s">
        <v>70</v>
      </c>
      <c r="BQ140" s="22" t="s">
        <v>67</v>
      </c>
      <c r="BS140" s="22" t="s">
        <v>9514</v>
      </c>
      <c r="BT140" s="22" t="s">
        <v>145</v>
      </c>
      <c r="BU140" s="22" t="s">
        <v>70</v>
      </c>
      <c r="BV140" s="214" t="s">
        <v>530</v>
      </c>
      <c r="BX140" s="22" t="s">
        <v>9515</v>
      </c>
      <c r="BY140" s="22" t="s">
        <v>145</v>
      </c>
      <c r="BZ140" s="22" t="s">
        <v>70</v>
      </c>
      <c r="CA140" s="214" t="s">
        <v>530</v>
      </c>
      <c r="CC140" s="214" t="s">
        <v>9516</v>
      </c>
      <c r="CD140" s="218" t="s">
        <v>145</v>
      </c>
      <c r="CE140" s="214" t="s">
        <v>70</v>
      </c>
      <c r="CF140" s="214" t="s">
        <v>435</v>
      </c>
      <c r="CH140" s="214" t="s">
        <v>9517</v>
      </c>
      <c r="CI140" s="214" t="s">
        <v>286</v>
      </c>
      <c r="CJ140" s="214" t="s">
        <v>70</v>
      </c>
      <c r="CK140" s="214" t="s">
        <v>530</v>
      </c>
      <c r="CM140" s="214" t="s">
        <v>9518</v>
      </c>
      <c r="CN140" s="214" t="s">
        <v>85</v>
      </c>
      <c r="CO140" s="214" t="s">
        <v>70</v>
      </c>
      <c r="CP140" s="214" t="s">
        <v>530</v>
      </c>
      <c r="CR140" s="214" t="s">
        <v>9519</v>
      </c>
      <c r="CS140" s="214" t="s">
        <v>34618</v>
      </c>
      <c r="CT140" s="214" t="s">
        <v>70</v>
      </c>
      <c r="CU140" s="214" t="s">
        <v>530</v>
      </c>
      <c r="CW140" s="214" t="s">
        <v>9520</v>
      </c>
      <c r="CX140" s="214" t="s">
        <v>34516</v>
      </c>
      <c r="CY140" s="214" t="s">
        <v>70</v>
      </c>
      <c r="CZ140" s="214" t="s">
        <v>530</v>
      </c>
      <c r="DB140" s="214" t="s">
        <v>9521</v>
      </c>
      <c r="DC140" s="214" t="s">
        <v>529</v>
      </c>
      <c r="DD140" s="214" t="s">
        <v>70</v>
      </c>
      <c r="DE140" s="214" t="s">
        <v>530</v>
      </c>
      <c r="DG140" s="214" t="s">
        <v>9522</v>
      </c>
      <c r="DH140" s="214" t="s">
        <v>34593</v>
      </c>
      <c r="DI140" s="214" t="s">
        <v>70</v>
      </c>
      <c r="DJ140" s="214" t="s">
        <v>530</v>
      </c>
      <c r="DL140" s="214" t="s">
        <v>9523</v>
      </c>
      <c r="DM140" s="214" t="s">
        <v>34558</v>
      </c>
      <c r="DN140" s="214" t="s">
        <v>70</v>
      </c>
      <c r="DO140" s="214" t="s">
        <v>530</v>
      </c>
      <c r="DQ140" s="214" t="s">
        <v>9524</v>
      </c>
      <c r="DR140" s="214" t="s">
        <v>88</v>
      </c>
      <c r="DS140" s="214" t="s">
        <v>70</v>
      </c>
      <c r="DT140" s="214" t="s">
        <v>530</v>
      </c>
      <c r="DV140" s="214" t="s">
        <v>9525</v>
      </c>
      <c r="DW140" s="214" t="s">
        <v>34646</v>
      </c>
      <c r="DX140" s="214" t="s">
        <v>70</v>
      </c>
      <c r="DY140" s="214" t="s">
        <v>530</v>
      </c>
      <c r="EA140" s="214" t="s">
        <v>9526</v>
      </c>
      <c r="EB140" s="214" t="s">
        <v>34555</v>
      </c>
      <c r="EC140" s="214" t="s">
        <v>70</v>
      </c>
      <c r="ED140" s="214" t="s">
        <v>530</v>
      </c>
      <c r="EF140" s="214" t="s">
        <v>9527</v>
      </c>
      <c r="EG140" s="214" t="s">
        <v>916</v>
      </c>
      <c r="EH140" s="214" t="s">
        <v>70</v>
      </c>
      <c r="EI140" s="214" t="s">
        <v>530</v>
      </c>
      <c r="EK140" s="214" t="s">
        <v>9528</v>
      </c>
      <c r="EL140" s="214" t="s">
        <v>148</v>
      </c>
      <c r="EM140" s="214" t="s">
        <v>70</v>
      </c>
      <c r="EN140" s="214" t="s">
        <v>530</v>
      </c>
      <c r="EP140" s="214" t="s">
        <v>9529</v>
      </c>
      <c r="EQ140" s="214" t="s">
        <v>163</v>
      </c>
      <c r="ER140" s="214" t="s">
        <v>70</v>
      </c>
      <c r="ES140" s="214" t="s">
        <v>530</v>
      </c>
      <c r="EU140" s="214" t="s">
        <v>9530</v>
      </c>
      <c r="EV140" s="214" t="s">
        <v>86</v>
      </c>
      <c r="EW140" s="214" t="s">
        <v>70</v>
      </c>
      <c r="EX140" s="214" t="s">
        <v>530</v>
      </c>
      <c r="EZ140" s="214" t="s">
        <v>9531</v>
      </c>
      <c r="FA140" s="214" t="s">
        <v>163</v>
      </c>
      <c r="FB140" s="214" t="s">
        <v>70</v>
      </c>
      <c r="FC140" s="214" t="s">
        <v>530</v>
      </c>
      <c r="FE140" s="214" t="s">
        <v>9532</v>
      </c>
      <c r="FF140" s="214" t="s">
        <v>103</v>
      </c>
      <c r="FG140" s="214" t="s">
        <v>70</v>
      </c>
      <c r="FH140" s="214" t="s">
        <v>530</v>
      </c>
      <c r="FJ140" s="321" t="s">
        <v>9533</v>
      </c>
      <c r="FK140" s="214" t="s">
        <v>34601</v>
      </c>
      <c r="FL140" s="214" t="s">
        <v>70</v>
      </c>
      <c r="FM140" s="214" t="s">
        <v>530</v>
      </c>
      <c r="FO140" s="321" t="s">
        <v>9534</v>
      </c>
      <c r="FP140" s="214" t="s">
        <v>921</v>
      </c>
      <c r="FQ140" s="214" t="s">
        <v>70</v>
      </c>
      <c r="FR140" s="214" t="s">
        <v>530</v>
      </c>
      <c r="FT140" s="321" t="s">
        <v>9535</v>
      </c>
      <c r="FU140" s="214" t="s">
        <v>481</v>
      </c>
      <c r="FV140" s="214" t="s">
        <v>70</v>
      </c>
      <c r="FW140" s="214" t="s">
        <v>530</v>
      </c>
      <c r="FY140" s="321" t="s">
        <v>9536</v>
      </c>
      <c r="FZ140" s="214" t="s">
        <v>34598</v>
      </c>
      <c r="GA140" s="214" t="s">
        <v>70</v>
      </c>
      <c r="GB140" s="214" t="s">
        <v>530</v>
      </c>
      <c r="GD140" s="321" t="s">
        <v>9537</v>
      </c>
      <c r="GE140" s="214" t="s">
        <v>164</v>
      </c>
      <c r="GF140" s="214" t="s">
        <v>70</v>
      </c>
      <c r="GG140" s="214" t="s">
        <v>530</v>
      </c>
      <c r="GI140" s="321" t="s">
        <v>9538</v>
      </c>
      <c r="GJ140" s="214" t="s">
        <v>52</v>
      </c>
      <c r="GK140" s="214" t="s">
        <v>70</v>
      </c>
      <c r="GL140" s="214" t="s">
        <v>530</v>
      </c>
      <c r="GN140" s="321" t="s">
        <v>9539</v>
      </c>
      <c r="GO140" s="214" t="s">
        <v>34598</v>
      </c>
      <c r="GP140" s="214" t="s">
        <v>70</v>
      </c>
      <c r="GQ140" s="214" t="s">
        <v>530</v>
      </c>
      <c r="GS140" s="321" t="s">
        <v>9540</v>
      </c>
      <c r="GT140" s="214" t="s">
        <v>34579</v>
      </c>
      <c r="GU140" s="214" t="s">
        <v>70</v>
      </c>
      <c r="GV140" s="214" t="s">
        <v>530</v>
      </c>
      <c r="GX140" s="214" t="s">
        <v>9541</v>
      </c>
      <c r="GY140" s="214" t="s">
        <v>912</v>
      </c>
      <c r="GZ140" s="214" t="s">
        <v>70</v>
      </c>
      <c r="HA140" s="214" t="s">
        <v>530</v>
      </c>
      <c r="HC140" s="214" t="s">
        <v>9542</v>
      </c>
      <c r="HD140" s="214" t="s">
        <v>468</v>
      </c>
      <c r="HE140" s="214" t="s">
        <v>70</v>
      </c>
      <c r="HF140" s="214" t="s">
        <v>530</v>
      </c>
      <c r="HH140" s="214" t="s">
        <v>9543</v>
      </c>
      <c r="HI140" s="214" t="s">
        <v>164</v>
      </c>
      <c r="HJ140" s="214" t="s">
        <v>70</v>
      </c>
      <c r="HK140" s="214" t="s">
        <v>530</v>
      </c>
      <c r="HM140" s="214" t="s">
        <v>9544</v>
      </c>
      <c r="HN140" s="214" t="s">
        <v>946</v>
      </c>
      <c r="HO140" s="214" t="s">
        <v>70</v>
      </c>
      <c r="HP140" s="214" t="s">
        <v>530</v>
      </c>
      <c r="HR140" s="22" t="s">
        <v>9545</v>
      </c>
      <c r="HS140" s="22" t="s">
        <v>34583</v>
      </c>
      <c r="HT140" s="22" t="s">
        <v>70</v>
      </c>
      <c r="HU140" s="214" t="s">
        <v>530</v>
      </c>
      <c r="HW140" s="22" t="s">
        <v>9546</v>
      </c>
      <c r="HX140" s="22" t="s">
        <v>501</v>
      </c>
      <c r="HY140" s="22" t="s">
        <v>70</v>
      </c>
      <c r="HZ140" s="214" t="s">
        <v>530</v>
      </c>
      <c r="IB140" s="22" t="s">
        <v>9547</v>
      </c>
      <c r="IC140" s="22" t="s">
        <v>529</v>
      </c>
      <c r="ID140" s="22" t="s">
        <v>70</v>
      </c>
      <c r="IE140" s="214" t="s">
        <v>530</v>
      </c>
      <c r="IG140" s="22" t="s">
        <v>9548</v>
      </c>
      <c r="IH140" s="22" t="s">
        <v>52</v>
      </c>
      <c r="II140" s="22" t="s">
        <v>70</v>
      </c>
      <c r="IJ140" s="214" t="s">
        <v>530</v>
      </c>
      <c r="IL140" s="22" t="s">
        <v>9549</v>
      </c>
      <c r="IM140" s="22" t="s">
        <v>145</v>
      </c>
      <c r="IN140" s="22" t="s">
        <v>70</v>
      </c>
      <c r="IO140" s="214" t="s">
        <v>530</v>
      </c>
      <c r="IQ140" s="236" t="s">
        <v>9550</v>
      </c>
      <c r="IR140" s="236" t="s">
        <v>145</v>
      </c>
      <c r="IS140" s="236" t="s">
        <v>74</v>
      </c>
      <c r="IT140" s="236" t="s">
        <v>841</v>
      </c>
      <c r="IV140" s="236" t="s">
        <v>9551</v>
      </c>
      <c r="IW140" s="236" t="s">
        <v>145</v>
      </c>
      <c r="IX140" s="236" t="s">
        <v>74</v>
      </c>
      <c r="IY140" s="236" t="s">
        <v>841</v>
      </c>
      <c r="JA140" s="236" t="s">
        <v>9552</v>
      </c>
      <c r="JB140" s="236" t="s">
        <v>145</v>
      </c>
      <c r="JC140" s="236" t="s">
        <v>74</v>
      </c>
      <c r="JD140" s="236" t="s">
        <v>841</v>
      </c>
      <c r="JF140" s="236" t="s">
        <v>9553</v>
      </c>
      <c r="JG140" s="236" t="s">
        <v>145</v>
      </c>
      <c r="JH140" s="236" t="s">
        <v>74</v>
      </c>
      <c r="JI140" s="236" t="s">
        <v>841</v>
      </c>
      <c r="JK140" s="236" t="s">
        <v>9554</v>
      </c>
      <c r="JL140" s="236" t="s">
        <v>145</v>
      </c>
      <c r="JM140" s="236" t="s">
        <v>74</v>
      </c>
      <c r="JN140" s="236" t="s">
        <v>841</v>
      </c>
      <c r="JP140" s="236" t="s">
        <v>9555</v>
      </c>
      <c r="JQ140" s="236" t="s">
        <v>145</v>
      </c>
      <c r="JR140" s="236" t="s">
        <v>74</v>
      </c>
      <c r="JS140" s="236" t="s">
        <v>841</v>
      </c>
      <c r="JU140" s="294" t="s">
        <v>9556</v>
      </c>
      <c r="JV140" s="218" t="s">
        <v>484</v>
      </c>
      <c r="JW140" s="263" t="s">
        <v>70</v>
      </c>
      <c r="JX140" s="263" t="s">
        <v>34248</v>
      </c>
      <c r="JZ140" s="263" t="s">
        <v>9557</v>
      </c>
      <c r="KA140" s="263" t="s">
        <v>145</v>
      </c>
      <c r="KB140" s="263" t="s">
        <v>70</v>
      </c>
      <c r="KC140" s="263" t="s">
        <v>1083</v>
      </c>
      <c r="KE140" s="263" t="s">
        <v>9558</v>
      </c>
      <c r="KF140" s="263" t="s">
        <v>52</v>
      </c>
      <c r="KG140" s="263" t="s">
        <v>70</v>
      </c>
      <c r="KH140" s="263" t="s">
        <v>1083</v>
      </c>
      <c r="KJ140" s="263" t="s">
        <v>9559</v>
      </c>
      <c r="KK140" s="263" t="s">
        <v>52</v>
      </c>
      <c r="KL140" s="263" t="s">
        <v>74</v>
      </c>
      <c r="KM140" s="263" t="s">
        <v>34074</v>
      </c>
      <c r="KO140" s="214" t="s">
        <v>9560</v>
      </c>
      <c r="KP140" s="214" t="s">
        <v>145</v>
      </c>
      <c r="KQ140" s="214" t="s">
        <v>70</v>
      </c>
      <c r="KR140" s="214" t="s">
        <v>67</v>
      </c>
      <c r="KT140" s="22" t="s">
        <v>9561</v>
      </c>
      <c r="KU140" s="22" t="s">
        <v>145</v>
      </c>
      <c r="KV140" s="22" t="s">
        <v>70</v>
      </c>
      <c r="KW140" s="22" t="s">
        <v>67</v>
      </c>
      <c r="KY140" s="214" t="s">
        <v>9562</v>
      </c>
      <c r="KZ140" s="214" t="s">
        <v>52</v>
      </c>
      <c r="LA140" s="214" t="s">
        <v>74</v>
      </c>
      <c r="LB140" s="214" t="s">
        <v>67</v>
      </c>
      <c r="LD140" s="22" t="s">
        <v>9563</v>
      </c>
      <c r="LE140" s="22" t="s">
        <v>145</v>
      </c>
      <c r="LF140" s="22" t="s">
        <v>70</v>
      </c>
      <c r="LG140" s="22" t="s">
        <v>67</v>
      </c>
    </row>
    <row r="141" spans="1:319">
      <c r="A141" s="22" t="s">
        <v>9564</v>
      </c>
      <c r="B141" s="22" t="s">
        <v>145</v>
      </c>
      <c r="C141" s="22" t="s">
        <v>70</v>
      </c>
      <c r="D141" s="22" t="s">
        <v>67</v>
      </c>
      <c r="F141" s="23" t="s">
        <v>9565</v>
      </c>
      <c r="G141" s="23" t="str">
        <f>TVIIBE1M_CalPairs!$E138</f>
        <v>0x00</v>
      </c>
      <c r="H141" s="23" t="s">
        <v>72</v>
      </c>
      <c r="I141" s="23" t="str">
        <f>TVIIBE1M_CalPairs!$C138</f>
        <v>CLK_TRIM_PLL_CTL0_VAL2</v>
      </c>
      <c r="K141" s="22" t="s">
        <v>9566</v>
      </c>
      <c r="L141" s="22" t="s">
        <v>145</v>
      </c>
      <c r="M141" s="22" t="s">
        <v>70</v>
      </c>
      <c r="N141" s="22" t="s">
        <v>67</v>
      </c>
      <c r="P141" s="22" t="s">
        <v>9567</v>
      </c>
      <c r="Q141" s="22" t="s">
        <v>145</v>
      </c>
      <c r="R141" s="22" t="s">
        <v>70</v>
      </c>
      <c r="S141" s="22" t="s">
        <v>67</v>
      </c>
      <c r="U141" s="293" t="s">
        <v>9568</v>
      </c>
      <c r="V141" s="293" t="s">
        <v>145</v>
      </c>
      <c r="W141" s="293" t="s">
        <v>74</v>
      </c>
      <c r="X141" s="293" t="s">
        <v>656</v>
      </c>
      <c r="Z141" s="293" t="s">
        <v>9569</v>
      </c>
      <c r="AA141" s="293" t="s">
        <v>145</v>
      </c>
      <c r="AB141" s="293" t="s">
        <v>74</v>
      </c>
      <c r="AC141" s="293" t="s">
        <v>656</v>
      </c>
      <c r="AE141" s="293" t="s">
        <v>9570</v>
      </c>
      <c r="AF141" s="293" t="s">
        <v>145</v>
      </c>
      <c r="AG141" s="293" t="s">
        <v>74</v>
      </c>
      <c r="AH141" s="293" t="s">
        <v>656</v>
      </c>
      <c r="AJ141" s="293" t="s">
        <v>9571</v>
      </c>
      <c r="AK141" s="293" t="s">
        <v>145</v>
      </c>
      <c r="AL141" s="293" t="s">
        <v>74</v>
      </c>
      <c r="AM141" s="293" t="s">
        <v>656</v>
      </c>
      <c r="AO141" s="22" t="s">
        <v>9572</v>
      </c>
      <c r="AP141" s="22" t="s">
        <v>145</v>
      </c>
      <c r="AQ141" s="22" t="s">
        <v>70</v>
      </c>
      <c r="AR141" s="22" t="s">
        <v>67</v>
      </c>
      <c r="AT141" s="22" t="s">
        <v>9573</v>
      </c>
      <c r="AU141" s="22" t="s">
        <v>145</v>
      </c>
      <c r="AV141" s="22" t="s">
        <v>70</v>
      </c>
      <c r="AW141" s="22" t="s">
        <v>67</v>
      </c>
      <c r="AY141" s="22" t="s">
        <v>9574</v>
      </c>
      <c r="AZ141" s="22" t="s">
        <v>145</v>
      </c>
      <c r="BA141" s="22" t="s">
        <v>70</v>
      </c>
      <c r="BB141" s="22" t="s">
        <v>67</v>
      </c>
      <c r="BD141" s="22" t="s">
        <v>9575</v>
      </c>
      <c r="BE141" s="22" t="s">
        <v>145</v>
      </c>
      <c r="BF141" s="22" t="s">
        <v>70</v>
      </c>
      <c r="BG141" s="22" t="s">
        <v>67</v>
      </c>
      <c r="BI141" s="22" t="s">
        <v>9576</v>
      </c>
      <c r="BJ141" s="22" t="s">
        <v>145</v>
      </c>
      <c r="BK141" s="22" t="s">
        <v>70</v>
      </c>
      <c r="BL141" s="22" t="s">
        <v>67</v>
      </c>
      <c r="BN141" s="22" t="s">
        <v>9577</v>
      </c>
      <c r="BO141" s="22" t="s">
        <v>145</v>
      </c>
      <c r="BP141" s="22" t="s">
        <v>70</v>
      </c>
      <c r="BQ141" s="22" t="s">
        <v>67</v>
      </c>
      <c r="BS141" s="22" t="s">
        <v>9578</v>
      </c>
      <c r="BT141" s="22" t="s">
        <v>145</v>
      </c>
      <c r="BU141" s="22" t="s">
        <v>70</v>
      </c>
      <c r="BV141" s="214" t="s">
        <v>530</v>
      </c>
      <c r="BX141" s="22" t="s">
        <v>9579</v>
      </c>
      <c r="BY141" s="22" t="s">
        <v>145</v>
      </c>
      <c r="BZ141" s="22" t="s">
        <v>70</v>
      </c>
      <c r="CA141" s="214" t="s">
        <v>530</v>
      </c>
      <c r="CC141" s="214" t="s">
        <v>9580</v>
      </c>
      <c r="CD141" s="218" t="s">
        <v>145</v>
      </c>
      <c r="CE141" s="214" t="s">
        <v>70</v>
      </c>
      <c r="CF141" s="214" t="s">
        <v>436</v>
      </c>
      <c r="CH141" s="214" t="s">
        <v>9581</v>
      </c>
      <c r="CI141" s="214" t="s">
        <v>34558</v>
      </c>
      <c r="CJ141" s="214" t="s">
        <v>70</v>
      </c>
      <c r="CK141" s="214" t="s">
        <v>530</v>
      </c>
      <c r="CM141" s="214" t="s">
        <v>9582</v>
      </c>
      <c r="CN141" s="214" t="s">
        <v>495</v>
      </c>
      <c r="CO141" s="214" t="s">
        <v>70</v>
      </c>
      <c r="CP141" s="214" t="s">
        <v>530</v>
      </c>
      <c r="CR141" s="214" t="s">
        <v>9583</v>
      </c>
      <c r="CS141" s="214" t="s">
        <v>486</v>
      </c>
      <c r="CT141" s="214" t="s">
        <v>70</v>
      </c>
      <c r="CU141" s="214" t="s">
        <v>530</v>
      </c>
      <c r="CW141" s="214" t="s">
        <v>9584</v>
      </c>
      <c r="CX141" s="214" t="s">
        <v>204</v>
      </c>
      <c r="CY141" s="214" t="s">
        <v>70</v>
      </c>
      <c r="CZ141" s="214" t="s">
        <v>530</v>
      </c>
      <c r="DB141" s="214" t="s">
        <v>9585</v>
      </c>
      <c r="DC141" s="214" t="s">
        <v>163</v>
      </c>
      <c r="DD141" s="214" t="s">
        <v>70</v>
      </c>
      <c r="DE141" s="214" t="s">
        <v>530</v>
      </c>
      <c r="DG141" s="214" t="s">
        <v>9586</v>
      </c>
      <c r="DH141" s="214" t="s">
        <v>93</v>
      </c>
      <c r="DI141" s="214" t="s">
        <v>70</v>
      </c>
      <c r="DJ141" s="214" t="s">
        <v>530</v>
      </c>
      <c r="DL141" s="214" t="s">
        <v>9587</v>
      </c>
      <c r="DM141" s="214" t="s">
        <v>34516</v>
      </c>
      <c r="DN141" s="214" t="s">
        <v>70</v>
      </c>
      <c r="DO141" s="214" t="s">
        <v>530</v>
      </c>
      <c r="DQ141" s="214" t="s">
        <v>9588</v>
      </c>
      <c r="DR141" s="214" t="s">
        <v>146</v>
      </c>
      <c r="DS141" s="214" t="s">
        <v>70</v>
      </c>
      <c r="DT141" s="214" t="s">
        <v>530</v>
      </c>
      <c r="DV141" s="214" t="s">
        <v>9589</v>
      </c>
      <c r="DW141" s="214" t="s">
        <v>34555</v>
      </c>
      <c r="DX141" s="214" t="s">
        <v>70</v>
      </c>
      <c r="DY141" s="214" t="s">
        <v>530</v>
      </c>
      <c r="EA141" s="214" t="s">
        <v>9590</v>
      </c>
      <c r="EB141" s="214" t="s">
        <v>34405</v>
      </c>
      <c r="EC141" s="214" t="s">
        <v>70</v>
      </c>
      <c r="ED141" s="214" t="s">
        <v>530</v>
      </c>
      <c r="EF141" s="214" t="s">
        <v>9591</v>
      </c>
      <c r="EG141" s="214" t="s">
        <v>146</v>
      </c>
      <c r="EH141" s="214" t="s">
        <v>70</v>
      </c>
      <c r="EI141" s="214" t="s">
        <v>530</v>
      </c>
      <c r="EK141" s="214" t="s">
        <v>9592</v>
      </c>
      <c r="EL141" s="214" t="s">
        <v>34562</v>
      </c>
      <c r="EM141" s="214" t="s">
        <v>70</v>
      </c>
      <c r="EN141" s="214" t="s">
        <v>530</v>
      </c>
      <c r="EP141" s="214" t="s">
        <v>9593</v>
      </c>
      <c r="EQ141" s="214" t="s">
        <v>486</v>
      </c>
      <c r="ER141" s="214" t="s">
        <v>70</v>
      </c>
      <c r="ES141" s="214" t="s">
        <v>530</v>
      </c>
      <c r="EU141" s="214" t="s">
        <v>9594</v>
      </c>
      <c r="EV141" s="214" t="s">
        <v>34557</v>
      </c>
      <c r="EW141" s="214" t="s">
        <v>70</v>
      </c>
      <c r="EX141" s="214" t="s">
        <v>530</v>
      </c>
      <c r="EZ141" s="214" t="s">
        <v>9595</v>
      </c>
      <c r="FA141" s="214" t="s">
        <v>34544</v>
      </c>
      <c r="FB141" s="214" t="s">
        <v>70</v>
      </c>
      <c r="FC141" s="214" t="s">
        <v>530</v>
      </c>
      <c r="FE141" s="214" t="s">
        <v>9596</v>
      </c>
      <c r="FF141" s="214" t="s">
        <v>52</v>
      </c>
      <c r="FG141" s="214" t="s">
        <v>70</v>
      </c>
      <c r="FH141" s="214" t="s">
        <v>530</v>
      </c>
      <c r="FJ141" s="321" t="s">
        <v>9597</v>
      </c>
      <c r="FK141" s="214" t="s">
        <v>486</v>
      </c>
      <c r="FL141" s="214" t="s">
        <v>70</v>
      </c>
      <c r="FM141" s="214" t="s">
        <v>530</v>
      </c>
      <c r="FO141" s="321" t="s">
        <v>9598</v>
      </c>
      <c r="FP141" s="214" t="s">
        <v>488</v>
      </c>
      <c r="FQ141" s="214" t="s">
        <v>70</v>
      </c>
      <c r="FR141" s="214" t="s">
        <v>530</v>
      </c>
      <c r="FT141" s="321" t="s">
        <v>9599</v>
      </c>
      <c r="FU141" s="214" t="s">
        <v>487</v>
      </c>
      <c r="FV141" s="214" t="s">
        <v>70</v>
      </c>
      <c r="FW141" s="214" t="s">
        <v>530</v>
      </c>
      <c r="FY141" s="321" t="s">
        <v>9600</v>
      </c>
      <c r="FZ141" s="214" t="s">
        <v>34545</v>
      </c>
      <c r="GA141" s="214" t="s">
        <v>70</v>
      </c>
      <c r="GB141" s="214" t="s">
        <v>530</v>
      </c>
      <c r="GD141" s="321" t="s">
        <v>9601</v>
      </c>
      <c r="GE141" s="214" t="s">
        <v>955</v>
      </c>
      <c r="GF141" s="214" t="s">
        <v>70</v>
      </c>
      <c r="GG141" s="214" t="s">
        <v>530</v>
      </c>
      <c r="GI141" s="321" t="s">
        <v>9602</v>
      </c>
      <c r="GJ141" s="214" t="s">
        <v>88</v>
      </c>
      <c r="GK141" s="214" t="s">
        <v>70</v>
      </c>
      <c r="GL141" s="214" t="s">
        <v>530</v>
      </c>
      <c r="GN141" s="321" t="s">
        <v>9603</v>
      </c>
      <c r="GO141" s="214" t="s">
        <v>939</v>
      </c>
      <c r="GP141" s="214" t="s">
        <v>70</v>
      </c>
      <c r="GQ141" s="214" t="s">
        <v>530</v>
      </c>
      <c r="GS141" s="321" t="s">
        <v>9604</v>
      </c>
      <c r="GT141" s="214" t="s">
        <v>146</v>
      </c>
      <c r="GU141" s="214" t="s">
        <v>70</v>
      </c>
      <c r="GV141" s="214" t="s">
        <v>530</v>
      </c>
      <c r="GX141" s="214" t="s">
        <v>9605</v>
      </c>
      <c r="GY141" s="214" t="s">
        <v>503</v>
      </c>
      <c r="GZ141" s="214" t="s">
        <v>70</v>
      </c>
      <c r="HA141" s="214" t="s">
        <v>530</v>
      </c>
      <c r="HC141" s="214" t="s">
        <v>9606</v>
      </c>
      <c r="HD141" s="214" t="s">
        <v>484</v>
      </c>
      <c r="HE141" s="214" t="s">
        <v>70</v>
      </c>
      <c r="HF141" s="214" t="s">
        <v>530</v>
      </c>
      <c r="HH141" s="214" t="s">
        <v>9607</v>
      </c>
      <c r="HI141" s="214" t="s">
        <v>494</v>
      </c>
      <c r="HJ141" s="214" t="s">
        <v>70</v>
      </c>
      <c r="HK141" s="214" t="s">
        <v>530</v>
      </c>
      <c r="HM141" s="214" t="s">
        <v>9608</v>
      </c>
      <c r="HN141" s="214" t="s">
        <v>518</v>
      </c>
      <c r="HO141" s="214" t="s">
        <v>70</v>
      </c>
      <c r="HP141" s="214" t="s">
        <v>530</v>
      </c>
      <c r="HR141" s="22" t="s">
        <v>9609</v>
      </c>
      <c r="HS141" s="22" t="s">
        <v>486</v>
      </c>
      <c r="HT141" s="22" t="s">
        <v>70</v>
      </c>
      <c r="HU141" s="214" t="s">
        <v>530</v>
      </c>
      <c r="HW141" s="22" t="s">
        <v>9610</v>
      </c>
      <c r="HX141" s="22" t="s">
        <v>491</v>
      </c>
      <c r="HY141" s="22" t="s">
        <v>70</v>
      </c>
      <c r="HZ141" s="214" t="s">
        <v>530</v>
      </c>
      <c r="IB141" s="22" t="s">
        <v>9611</v>
      </c>
      <c r="IC141" s="22" t="s">
        <v>34544</v>
      </c>
      <c r="ID141" s="22" t="s">
        <v>70</v>
      </c>
      <c r="IE141" s="214" t="s">
        <v>530</v>
      </c>
      <c r="IG141" s="22" t="s">
        <v>9612</v>
      </c>
      <c r="IH141" s="22" t="s">
        <v>52</v>
      </c>
      <c r="II141" s="22" t="s">
        <v>70</v>
      </c>
      <c r="IJ141" s="214" t="s">
        <v>530</v>
      </c>
      <c r="IL141" s="22" t="s">
        <v>9613</v>
      </c>
      <c r="IM141" s="22" t="s">
        <v>145</v>
      </c>
      <c r="IN141" s="22" t="s">
        <v>70</v>
      </c>
      <c r="IO141" s="214" t="s">
        <v>530</v>
      </c>
      <c r="IQ141" s="236" t="s">
        <v>9614</v>
      </c>
      <c r="IR141" s="236" t="s">
        <v>145</v>
      </c>
      <c r="IS141" s="236" t="s">
        <v>74</v>
      </c>
      <c r="IT141" s="236" t="s">
        <v>841</v>
      </c>
      <c r="IV141" s="236" t="s">
        <v>9615</v>
      </c>
      <c r="IW141" s="236" t="s">
        <v>145</v>
      </c>
      <c r="IX141" s="236" t="s">
        <v>74</v>
      </c>
      <c r="IY141" s="236" t="s">
        <v>841</v>
      </c>
      <c r="JA141" s="236" t="s">
        <v>9616</v>
      </c>
      <c r="JB141" s="236" t="s">
        <v>145</v>
      </c>
      <c r="JC141" s="236" t="s">
        <v>74</v>
      </c>
      <c r="JD141" s="236" t="s">
        <v>841</v>
      </c>
      <c r="JF141" s="236" t="s">
        <v>9617</v>
      </c>
      <c r="JG141" s="236" t="s">
        <v>145</v>
      </c>
      <c r="JH141" s="236" t="s">
        <v>74</v>
      </c>
      <c r="JI141" s="236" t="s">
        <v>841</v>
      </c>
      <c r="JK141" s="236" t="s">
        <v>9618</v>
      </c>
      <c r="JL141" s="236" t="s">
        <v>145</v>
      </c>
      <c r="JM141" s="236" t="s">
        <v>74</v>
      </c>
      <c r="JN141" s="236" t="s">
        <v>841</v>
      </c>
      <c r="JP141" s="236" t="s">
        <v>9619</v>
      </c>
      <c r="JQ141" s="236" t="s">
        <v>145</v>
      </c>
      <c r="JR141" s="236" t="s">
        <v>74</v>
      </c>
      <c r="JS141" s="236" t="s">
        <v>841</v>
      </c>
      <c r="JU141" s="294" t="s">
        <v>9620</v>
      </c>
      <c r="JV141" s="263" t="s">
        <v>52</v>
      </c>
      <c r="JW141" s="263" t="s">
        <v>70</v>
      </c>
      <c r="JX141" s="263" t="s">
        <v>34249</v>
      </c>
      <c r="JZ141" s="263" t="s">
        <v>9621</v>
      </c>
      <c r="KA141" s="263" t="s">
        <v>145</v>
      </c>
      <c r="KB141" s="263" t="s">
        <v>70</v>
      </c>
      <c r="KC141" s="263" t="s">
        <v>1083</v>
      </c>
      <c r="KE141" s="263" t="s">
        <v>9622</v>
      </c>
      <c r="KF141" s="263" t="s">
        <v>52</v>
      </c>
      <c r="KG141" s="263" t="s">
        <v>70</v>
      </c>
      <c r="KH141" s="263" t="s">
        <v>1083</v>
      </c>
      <c r="KJ141" s="263" t="s">
        <v>9623</v>
      </c>
      <c r="KK141" s="263" t="s">
        <v>52</v>
      </c>
      <c r="KL141" s="263" t="s">
        <v>74</v>
      </c>
      <c r="KM141" s="263" t="s">
        <v>34074</v>
      </c>
      <c r="KO141" s="214" t="s">
        <v>9624</v>
      </c>
      <c r="KP141" s="214" t="s">
        <v>145</v>
      </c>
      <c r="KQ141" s="214" t="s">
        <v>70</v>
      </c>
      <c r="KR141" s="214" t="s">
        <v>67</v>
      </c>
      <c r="KT141" s="22" t="s">
        <v>9625</v>
      </c>
      <c r="KU141" s="22" t="s">
        <v>145</v>
      </c>
      <c r="KV141" s="22" t="s">
        <v>70</v>
      </c>
      <c r="KW141" s="22" t="s">
        <v>67</v>
      </c>
      <c r="KY141" s="214" t="s">
        <v>9626</v>
      </c>
      <c r="KZ141" s="214" t="s">
        <v>52</v>
      </c>
      <c r="LA141" s="214" t="s">
        <v>74</v>
      </c>
      <c r="LB141" s="214" t="s">
        <v>67</v>
      </c>
      <c r="LD141" s="22" t="s">
        <v>9627</v>
      </c>
      <c r="LE141" s="22" t="s">
        <v>145</v>
      </c>
      <c r="LF141" s="22" t="s">
        <v>70</v>
      </c>
      <c r="LG141" s="22" t="s">
        <v>67</v>
      </c>
    </row>
    <row r="142" spans="1:319">
      <c r="A142" s="22" t="s">
        <v>9628</v>
      </c>
      <c r="B142" s="22" t="s">
        <v>145</v>
      </c>
      <c r="C142" s="22" t="s">
        <v>70</v>
      </c>
      <c r="D142" s="22" t="s">
        <v>67</v>
      </c>
      <c r="F142" s="23" t="s">
        <v>9629</v>
      </c>
      <c r="G142" s="23" t="str">
        <f>TVIIBE1M_CalPairs!$E139</f>
        <v>0x99</v>
      </c>
      <c r="H142" s="23" t="s">
        <v>72</v>
      </c>
      <c r="I142" s="23" t="str">
        <f>TVIIBE1M_CalPairs!$C139</f>
        <v>CLK_TRIM_PLL_CTL0_VAL3</v>
      </c>
      <c r="K142" s="22" t="s">
        <v>9630</v>
      </c>
      <c r="L142" s="22" t="s">
        <v>145</v>
      </c>
      <c r="M142" s="22" t="s">
        <v>70</v>
      </c>
      <c r="N142" s="22" t="s">
        <v>67</v>
      </c>
      <c r="P142" s="22" t="s">
        <v>9631</v>
      </c>
      <c r="Q142" s="22" t="s">
        <v>145</v>
      </c>
      <c r="R142" s="22" t="s">
        <v>70</v>
      </c>
      <c r="S142" s="22" t="s">
        <v>67</v>
      </c>
      <c r="U142" s="293" t="s">
        <v>9632</v>
      </c>
      <c r="V142" s="293" t="s">
        <v>145</v>
      </c>
      <c r="W142" s="293" t="s">
        <v>74</v>
      </c>
      <c r="X142" s="293" t="s">
        <v>656</v>
      </c>
      <c r="Z142" s="293" t="s">
        <v>9633</v>
      </c>
      <c r="AA142" s="293" t="s">
        <v>145</v>
      </c>
      <c r="AB142" s="293" t="s">
        <v>74</v>
      </c>
      <c r="AC142" s="293" t="s">
        <v>656</v>
      </c>
      <c r="AE142" s="293" t="s">
        <v>9634</v>
      </c>
      <c r="AF142" s="293" t="s">
        <v>145</v>
      </c>
      <c r="AG142" s="293" t="s">
        <v>74</v>
      </c>
      <c r="AH142" s="293" t="s">
        <v>656</v>
      </c>
      <c r="AJ142" s="293" t="s">
        <v>9635</v>
      </c>
      <c r="AK142" s="293" t="s">
        <v>145</v>
      </c>
      <c r="AL142" s="293" t="s">
        <v>74</v>
      </c>
      <c r="AM142" s="293" t="s">
        <v>656</v>
      </c>
      <c r="AO142" s="22" t="s">
        <v>9636</v>
      </c>
      <c r="AP142" s="22" t="s">
        <v>145</v>
      </c>
      <c r="AQ142" s="22" t="s">
        <v>70</v>
      </c>
      <c r="AR142" s="22" t="s">
        <v>67</v>
      </c>
      <c r="AT142" s="22" t="s">
        <v>9637</v>
      </c>
      <c r="AU142" s="22" t="s">
        <v>145</v>
      </c>
      <c r="AV142" s="22" t="s">
        <v>70</v>
      </c>
      <c r="AW142" s="22" t="s">
        <v>67</v>
      </c>
      <c r="AY142" s="22" t="s">
        <v>9638</v>
      </c>
      <c r="AZ142" s="22" t="s">
        <v>145</v>
      </c>
      <c r="BA142" s="22" t="s">
        <v>70</v>
      </c>
      <c r="BB142" s="22" t="s">
        <v>67</v>
      </c>
      <c r="BD142" s="22" t="s">
        <v>9639</v>
      </c>
      <c r="BE142" s="22" t="s">
        <v>145</v>
      </c>
      <c r="BF142" s="22" t="s">
        <v>70</v>
      </c>
      <c r="BG142" s="22" t="s">
        <v>67</v>
      </c>
      <c r="BI142" s="22" t="s">
        <v>9640</v>
      </c>
      <c r="BJ142" s="22" t="s">
        <v>145</v>
      </c>
      <c r="BK142" s="22" t="s">
        <v>70</v>
      </c>
      <c r="BL142" s="22" t="s">
        <v>67</v>
      </c>
      <c r="BN142" s="22" t="s">
        <v>9641</v>
      </c>
      <c r="BO142" s="22" t="s">
        <v>145</v>
      </c>
      <c r="BP142" s="22" t="s">
        <v>70</v>
      </c>
      <c r="BQ142" s="22" t="s">
        <v>67</v>
      </c>
      <c r="BS142" s="22" t="s">
        <v>9642</v>
      </c>
      <c r="BT142" s="22" t="s">
        <v>145</v>
      </c>
      <c r="BU142" s="22" t="s">
        <v>70</v>
      </c>
      <c r="BV142" s="214" t="s">
        <v>530</v>
      </c>
      <c r="BX142" s="22" t="s">
        <v>9643</v>
      </c>
      <c r="BY142" s="22" t="s">
        <v>145</v>
      </c>
      <c r="BZ142" s="22" t="s">
        <v>70</v>
      </c>
      <c r="CA142" s="214" t="s">
        <v>530</v>
      </c>
      <c r="CC142" s="214" t="s">
        <v>9644</v>
      </c>
      <c r="CD142" s="218" t="s">
        <v>145</v>
      </c>
      <c r="CE142" s="214" t="s">
        <v>70</v>
      </c>
      <c r="CF142" s="214" t="s">
        <v>437</v>
      </c>
      <c r="CH142" s="214" t="s">
        <v>9645</v>
      </c>
      <c r="CI142" s="214" t="s">
        <v>937</v>
      </c>
      <c r="CJ142" s="214" t="s">
        <v>70</v>
      </c>
      <c r="CK142" s="214" t="s">
        <v>530</v>
      </c>
      <c r="CM142" s="214" t="s">
        <v>9646</v>
      </c>
      <c r="CN142" s="214" t="s">
        <v>52</v>
      </c>
      <c r="CO142" s="214" t="s">
        <v>70</v>
      </c>
      <c r="CP142" s="214" t="s">
        <v>530</v>
      </c>
      <c r="CR142" s="214" t="s">
        <v>9647</v>
      </c>
      <c r="CS142" s="214" t="s">
        <v>926</v>
      </c>
      <c r="CT142" s="214" t="s">
        <v>70</v>
      </c>
      <c r="CU142" s="214" t="s">
        <v>530</v>
      </c>
      <c r="CW142" s="214" t="s">
        <v>9648</v>
      </c>
      <c r="CX142" s="214" t="s">
        <v>468</v>
      </c>
      <c r="CY142" s="214" t="s">
        <v>70</v>
      </c>
      <c r="CZ142" s="214" t="s">
        <v>530</v>
      </c>
      <c r="DB142" s="214" t="s">
        <v>9649</v>
      </c>
      <c r="DC142" s="214" t="s">
        <v>148</v>
      </c>
      <c r="DD142" s="214" t="s">
        <v>70</v>
      </c>
      <c r="DE142" s="214" t="s">
        <v>530</v>
      </c>
      <c r="DG142" s="214" t="s">
        <v>9650</v>
      </c>
      <c r="DH142" s="214" t="s">
        <v>34516</v>
      </c>
      <c r="DI142" s="214" t="s">
        <v>70</v>
      </c>
      <c r="DJ142" s="214" t="s">
        <v>530</v>
      </c>
      <c r="DL142" s="214" t="s">
        <v>9651</v>
      </c>
      <c r="DM142" s="214" t="s">
        <v>52</v>
      </c>
      <c r="DN142" s="214" t="s">
        <v>70</v>
      </c>
      <c r="DO142" s="214" t="s">
        <v>530</v>
      </c>
      <c r="DQ142" s="214" t="s">
        <v>9652</v>
      </c>
      <c r="DR142" s="214" t="s">
        <v>485</v>
      </c>
      <c r="DS142" s="214" t="s">
        <v>70</v>
      </c>
      <c r="DT142" s="214" t="s">
        <v>530</v>
      </c>
      <c r="DV142" s="214" t="s">
        <v>9653</v>
      </c>
      <c r="DW142" s="214" t="s">
        <v>916</v>
      </c>
      <c r="DX142" s="214" t="s">
        <v>70</v>
      </c>
      <c r="DY142" s="214" t="s">
        <v>530</v>
      </c>
      <c r="EA142" s="214" t="s">
        <v>9654</v>
      </c>
      <c r="EB142" s="214" t="s">
        <v>52</v>
      </c>
      <c r="EC142" s="214" t="s">
        <v>70</v>
      </c>
      <c r="ED142" s="214" t="s">
        <v>530</v>
      </c>
      <c r="EF142" s="214" t="s">
        <v>9655</v>
      </c>
      <c r="EG142" s="214" t="s">
        <v>52</v>
      </c>
      <c r="EH142" s="214" t="s">
        <v>70</v>
      </c>
      <c r="EI142" s="214" t="s">
        <v>530</v>
      </c>
      <c r="EK142" s="214" t="s">
        <v>9656</v>
      </c>
      <c r="EL142" s="214" t="s">
        <v>163</v>
      </c>
      <c r="EM142" s="214" t="s">
        <v>70</v>
      </c>
      <c r="EN142" s="214" t="s">
        <v>530</v>
      </c>
      <c r="EP142" s="214" t="s">
        <v>9657</v>
      </c>
      <c r="EQ142" s="214" t="s">
        <v>52</v>
      </c>
      <c r="ER142" s="214" t="s">
        <v>70</v>
      </c>
      <c r="ES142" s="214" t="s">
        <v>530</v>
      </c>
      <c r="EU142" s="214" t="s">
        <v>9658</v>
      </c>
      <c r="EV142" s="214" t="s">
        <v>90</v>
      </c>
      <c r="EW142" s="214" t="s">
        <v>70</v>
      </c>
      <c r="EX142" s="214" t="s">
        <v>530</v>
      </c>
      <c r="EZ142" s="214" t="s">
        <v>9659</v>
      </c>
      <c r="FA142" s="214" t="s">
        <v>148</v>
      </c>
      <c r="FB142" s="214" t="s">
        <v>70</v>
      </c>
      <c r="FC142" s="214" t="s">
        <v>530</v>
      </c>
      <c r="FE142" s="214" t="s">
        <v>9660</v>
      </c>
      <c r="FF142" s="214" t="s">
        <v>205</v>
      </c>
      <c r="FG142" s="214" t="s">
        <v>70</v>
      </c>
      <c r="FH142" s="214" t="s">
        <v>530</v>
      </c>
      <c r="FJ142" s="321" t="s">
        <v>9661</v>
      </c>
      <c r="FK142" s="214" t="s">
        <v>917</v>
      </c>
      <c r="FL142" s="214" t="s">
        <v>70</v>
      </c>
      <c r="FM142" s="214" t="s">
        <v>530</v>
      </c>
      <c r="FO142" s="321" t="s">
        <v>9662</v>
      </c>
      <c r="FP142" s="214" t="s">
        <v>484</v>
      </c>
      <c r="FQ142" s="214" t="s">
        <v>70</v>
      </c>
      <c r="FR142" s="214" t="s">
        <v>530</v>
      </c>
      <c r="FT142" s="321" t="s">
        <v>9663</v>
      </c>
      <c r="FU142" s="214" t="s">
        <v>92</v>
      </c>
      <c r="FV142" s="214" t="s">
        <v>70</v>
      </c>
      <c r="FW142" s="214" t="s">
        <v>530</v>
      </c>
      <c r="FY142" s="321" t="s">
        <v>9664</v>
      </c>
      <c r="FZ142" s="214" t="s">
        <v>148</v>
      </c>
      <c r="GA142" s="214" t="s">
        <v>70</v>
      </c>
      <c r="GB142" s="214" t="s">
        <v>530</v>
      </c>
      <c r="GD142" s="321" t="s">
        <v>9665</v>
      </c>
      <c r="GE142" s="214" t="s">
        <v>52</v>
      </c>
      <c r="GF142" s="214" t="s">
        <v>70</v>
      </c>
      <c r="GG142" s="214" t="s">
        <v>530</v>
      </c>
      <c r="GI142" s="321" t="s">
        <v>9666</v>
      </c>
      <c r="GJ142" s="214" t="s">
        <v>52</v>
      </c>
      <c r="GK142" s="214" t="s">
        <v>70</v>
      </c>
      <c r="GL142" s="214" t="s">
        <v>530</v>
      </c>
      <c r="GN142" s="321" t="s">
        <v>9667</v>
      </c>
      <c r="GO142" s="214" t="s">
        <v>599</v>
      </c>
      <c r="GP142" s="214" t="s">
        <v>70</v>
      </c>
      <c r="GQ142" s="214" t="s">
        <v>530</v>
      </c>
      <c r="GS142" s="321" t="s">
        <v>9668</v>
      </c>
      <c r="GT142" s="214" t="s">
        <v>34620</v>
      </c>
      <c r="GU142" s="214" t="s">
        <v>70</v>
      </c>
      <c r="GV142" s="214" t="s">
        <v>530</v>
      </c>
      <c r="GX142" s="214" t="s">
        <v>9669</v>
      </c>
      <c r="GY142" s="214" t="s">
        <v>34575</v>
      </c>
      <c r="GZ142" s="214" t="s">
        <v>70</v>
      </c>
      <c r="HA142" s="214" t="s">
        <v>530</v>
      </c>
      <c r="HC142" s="214" t="s">
        <v>9670</v>
      </c>
      <c r="HD142" s="214" t="s">
        <v>34556</v>
      </c>
      <c r="HE142" s="214" t="s">
        <v>70</v>
      </c>
      <c r="HF142" s="214" t="s">
        <v>530</v>
      </c>
      <c r="HH142" s="214" t="s">
        <v>9671</v>
      </c>
      <c r="HI142" s="214" t="s">
        <v>88</v>
      </c>
      <c r="HJ142" s="214" t="s">
        <v>70</v>
      </c>
      <c r="HK142" s="214" t="s">
        <v>530</v>
      </c>
      <c r="HM142" s="214" t="s">
        <v>9672</v>
      </c>
      <c r="HN142" s="214" t="s">
        <v>483</v>
      </c>
      <c r="HO142" s="214" t="s">
        <v>70</v>
      </c>
      <c r="HP142" s="214" t="s">
        <v>530</v>
      </c>
      <c r="HR142" s="22" t="s">
        <v>9673</v>
      </c>
      <c r="HS142" s="22" t="s">
        <v>163</v>
      </c>
      <c r="HT142" s="22" t="s">
        <v>70</v>
      </c>
      <c r="HU142" s="214" t="s">
        <v>530</v>
      </c>
      <c r="HW142" s="22" t="s">
        <v>9674</v>
      </c>
      <c r="HX142" s="22" t="s">
        <v>34556</v>
      </c>
      <c r="HY142" s="22" t="s">
        <v>70</v>
      </c>
      <c r="HZ142" s="214" t="s">
        <v>530</v>
      </c>
      <c r="IB142" s="22" t="s">
        <v>9675</v>
      </c>
      <c r="IC142" s="22" t="s">
        <v>148</v>
      </c>
      <c r="ID142" s="22" t="s">
        <v>70</v>
      </c>
      <c r="IE142" s="214" t="s">
        <v>530</v>
      </c>
      <c r="IG142" s="22" t="s">
        <v>9676</v>
      </c>
      <c r="IH142" s="22" t="s">
        <v>52</v>
      </c>
      <c r="II142" s="22" t="s">
        <v>70</v>
      </c>
      <c r="IJ142" s="214" t="s">
        <v>530</v>
      </c>
      <c r="IL142" s="22" t="s">
        <v>9677</v>
      </c>
      <c r="IM142" s="22" t="s">
        <v>145</v>
      </c>
      <c r="IN142" s="22" t="s">
        <v>70</v>
      </c>
      <c r="IO142" s="214" t="s">
        <v>530</v>
      </c>
      <c r="IQ142" s="236" t="s">
        <v>9678</v>
      </c>
      <c r="IR142" s="236" t="s">
        <v>145</v>
      </c>
      <c r="IS142" s="236" t="s">
        <v>74</v>
      </c>
      <c r="IT142" s="236" t="s">
        <v>841</v>
      </c>
      <c r="IV142" s="236" t="s">
        <v>9679</v>
      </c>
      <c r="IW142" s="236" t="s">
        <v>145</v>
      </c>
      <c r="IX142" s="236" t="s">
        <v>74</v>
      </c>
      <c r="IY142" s="236" t="s">
        <v>841</v>
      </c>
      <c r="JA142" s="236" t="s">
        <v>9680</v>
      </c>
      <c r="JB142" s="236" t="s">
        <v>145</v>
      </c>
      <c r="JC142" s="236" t="s">
        <v>74</v>
      </c>
      <c r="JD142" s="236" t="s">
        <v>841</v>
      </c>
      <c r="JF142" s="236" t="s">
        <v>9681</v>
      </c>
      <c r="JG142" s="236" t="s">
        <v>145</v>
      </c>
      <c r="JH142" s="236" t="s">
        <v>74</v>
      </c>
      <c r="JI142" s="236" t="s">
        <v>841</v>
      </c>
      <c r="JK142" s="236" t="s">
        <v>9682</v>
      </c>
      <c r="JL142" s="236" t="s">
        <v>145</v>
      </c>
      <c r="JM142" s="236" t="s">
        <v>74</v>
      </c>
      <c r="JN142" s="236" t="s">
        <v>841</v>
      </c>
      <c r="JP142" s="236" t="s">
        <v>9683</v>
      </c>
      <c r="JQ142" s="236" t="s">
        <v>145</v>
      </c>
      <c r="JR142" s="236" t="s">
        <v>74</v>
      </c>
      <c r="JS142" s="236" t="s">
        <v>841</v>
      </c>
      <c r="JU142" s="294" t="s">
        <v>9684</v>
      </c>
      <c r="JV142" s="263" t="s">
        <v>52</v>
      </c>
      <c r="JW142" s="263" t="s">
        <v>70</v>
      </c>
      <c r="JX142" s="263" t="s">
        <v>34250</v>
      </c>
      <c r="JZ142" s="263" t="s">
        <v>9685</v>
      </c>
      <c r="KA142" s="263" t="s">
        <v>145</v>
      </c>
      <c r="KB142" s="263" t="s">
        <v>70</v>
      </c>
      <c r="KC142" s="263" t="s">
        <v>1083</v>
      </c>
      <c r="KE142" s="263" t="s">
        <v>9686</v>
      </c>
      <c r="KF142" s="263" t="s">
        <v>52</v>
      </c>
      <c r="KG142" s="263" t="s">
        <v>70</v>
      </c>
      <c r="KH142" s="263" t="s">
        <v>1083</v>
      </c>
      <c r="KJ142" s="263" t="s">
        <v>9687</v>
      </c>
      <c r="KK142" s="263" t="s">
        <v>52</v>
      </c>
      <c r="KL142" s="263" t="s">
        <v>74</v>
      </c>
      <c r="KM142" s="263" t="s">
        <v>34074</v>
      </c>
      <c r="KO142" s="214" t="s">
        <v>9688</v>
      </c>
      <c r="KP142" s="214" t="s">
        <v>145</v>
      </c>
      <c r="KQ142" s="214" t="s">
        <v>70</v>
      </c>
      <c r="KR142" s="214" t="s">
        <v>67</v>
      </c>
      <c r="KT142" s="22" t="s">
        <v>9689</v>
      </c>
      <c r="KU142" s="22" t="s">
        <v>145</v>
      </c>
      <c r="KV142" s="22" t="s">
        <v>70</v>
      </c>
      <c r="KW142" s="22" t="s">
        <v>67</v>
      </c>
      <c r="KY142" s="214" t="s">
        <v>9690</v>
      </c>
      <c r="KZ142" s="214" t="s">
        <v>52</v>
      </c>
      <c r="LA142" s="214" t="s">
        <v>74</v>
      </c>
      <c r="LB142" s="214" t="s">
        <v>67</v>
      </c>
      <c r="LD142" s="22" t="s">
        <v>9691</v>
      </c>
      <c r="LE142" s="22" t="s">
        <v>145</v>
      </c>
      <c r="LF142" s="22" t="s">
        <v>70</v>
      </c>
      <c r="LG142" s="22" t="s">
        <v>67</v>
      </c>
    </row>
    <row r="143" spans="1:319">
      <c r="A143" s="22" t="s">
        <v>9692</v>
      </c>
      <c r="B143" s="22" t="s">
        <v>145</v>
      </c>
      <c r="C143" s="22" t="s">
        <v>70</v>
      </c>
      <c r="D143" s="22" t="s">
        <v>67</v>
      </c>
      <c r="F143" s="23" t="s">
        <v>9693</v>
      </c>
      <c r="G143" s="23" t="str">
        <f>TVIIBE1M_CalPairs!$E140</f>
        <v>0x71</v>
      </c>
      <c r="H143" s="23" t="s">
        <v>70</v>
      </c>
      <c r="I143" s="23" t="str">
        <f>TVIIBE1M_CalPairs!$C140</f>
        <v>PASS0_CMD</v>
      </c>
      <c r="K143" s="22" t="s">
        <v>9694</v>
      </c>
      <c r="L143" s="22" t="s">
        <v>145</v>
      </c>
      <c r="M143" s="22" t="s">
        <v>70</v>
      </c>
      <c r="N143" s="22" t="s">
        <v>67</v>
      </c>
      <c r="P143" s="22" t="s">
        <v>9695</v>
      </c>
      <c r="Q143" s="22" t="s">
        <v>145</v>
      </c>
      <c r="R143" s="22" t="s">
        <v>70</v>
      </c>
      <c r="S143" s="22" t="s">
        <v>67</v>
      </c>
      <c r="U143" s="293" t="s">
        <v>9696</v>
      </c>
      <c r="V143" s="293" t="s">
        <v>145</v>
      </c>
      <c r="W143" s="293" t="s">
        <v>74</v>
      </c>
      <c r="X143" s="293" t="s">
        <v>656</v>
      </c>
      <c r="Z143" s="293" t="s">
        <v>9697</v>
      </c>
      <c r="AA143" s="293" t="s">
        <v>145</v>
      </c>
      <c r="AB143" s="293" t="s">
        <v>74</v>
      </c>
      <c r="AC143" s="293" t="s">
        <v>656</v>
      </c>
      <c r="AE143" s="293" t="s">
        <v>9698</v>
      </c>
      <c r="AF143" s="293" t="s">
        <v>145</v>
      </c>
      <c r="AG143" s="293" t="s">
        <v>74</v>
      </c>
      <c r="AH143" s="293" t="s">
        <v>656</v>
      </c>
      <c r="AJ143" s="293" t="s">
        <v>9699</v>
      </c>
      <c r="AK143" s="293" t="s">
        <v>145</v>
      </c>
      <c r="AL143" s="293" t="s">
        <v>74</v>
      </c>
      <c r="AM143" s="293" t="s">
        <v>656</v>
      </c>
      <c r="AO143" s="22" t="s">
        <v>9700</v>
      </c>
      <c r="AP143" s="22" t="s">
        <v>145</v>
      </c>
      <c r="AQ143" s="22" t="s">
        <v>70</v>
      </c>
      <c r="AR143" s="22" t="s">
        <v>67</v>
      </c>
      <c r="AT143" s="22" t="s">
        <v>9701</v>
      </c>
      <c r="AU143" s="22" t="s">
        <v>145</v>
      </c>
      <c r="AV143" s="22" t="s">
        <v>70</v>
      </c>
      <c r="AW143" s="22" t="s">
        <v>67</v>
      </c>
      <c r="AY143" s="22" t="s">
        <v>9702</v>
      </c>
      <c r="AZ143" s="22" t="s">
        <v>145</v>
      </c>
      <c r="BA143" s="22" t="s">
        <v>70</v>
      </c>
      <c r="BB143" s="22" t="s">
        <v>67</v>
      </c>
      <c r="BD143" s="22" t="s">
        <v>9703</v>
      </c>
      <c r="BE143" s="22" t="s">
        <v>145</v>
      </c>
      <c r="BF143" s="22" t="s">
        <v>70</v>
      </c>
      <c r="BG143" s="22" t="s">
        <v>67</v>
      </c>
      <c r="BI143" s="22" t="s">
        <v>9704</v>
      </c>
      <c r="BJ143" s="22" t="s">
        <v>145</v>
      </c>
      <c r="BK143" s="22" t="s">
        <v>70</v>
      </c>
      <c r="BL143" s="22" t="s">
        <v>67</v>
      </c>
      <c r="BN143" s="22" t="s">
        <v>9705</v>
      </c>
      <c r="BO143" s="22" t="s">
        <v>145</v>
      </c>
      <c r="BP143" s="22" t="s">
        <v>70</v>
      </c>
      <c r="BQ143" s="22" t="s">
        <v>67</v>
      </c>
      <c r="BS143" s="22" t="s">
        <v>9706</v>
      </c>
      <c r="BT143" s="22" t="s">
        <v>145</v>
      </c>
      <c r="BU143" s="22" t="s">
        <v>70</v>
      </c>
      <c r="BV143" s="214" t="s">
        <v>530</v>
      </c>
      <c r="BX143" s="22" t="s">
        <v>9707</v>
      </c>
      <c r="BY143" s="22" t="s">
        <v>145</v>
      </c>
      <c r="BZ143" s="22" t="s">
        <v>70</v>
      </c>
      <c r="CA143" s="214" t="s">
        <v>530</v>
      </c>
      <c r="CC143" s="214" t="s">
        <v>9708</v>
      </c>
      <c r="CD143" s="218" t="s">
        <v>145</v>
      </c>
      <c r="CE143" s="214" t="s">
        <v>70</v>
      </c>
      <c r="CF143" s="214" t="s">
        <v>438</v>
      </c>
      <c r="CH143" s="214" t="s">
        <v>9709</v>
      </c>
      <c r="CI143" s="214" t="s">
        <v>286</v>
      </c>
      <c r="CJ143" s="214" t="s">
        <v>70</v>
      </c>
      <c r="CK143" s="214" t="s">
        <v>530</v>
      </c>
      <c r="CM143" s="214" t="s">
        <v>9710</v>
      </c>
      <c r="CN143" s="214" t="s">
        <v>203</v>
      </c>
      <c r="CO143" s="214" t="s">
        <v>70</v>
      </c>
      <c r="CP143" s="214" t="s">
        <v>530</v>
      </c>
      <c r="CR143" s="214" t="s">
        <v>9711</v>
      </c>
      <c r="CS143" s="214" t="s">
        <v>488</v>
      </c>
      <c r="CT143" s="214" t="s">
        <v>70</v>
      </c>
      <c r="CU143" s="214" t="s">
        <v>530</v>
      </c>
      <c r="CW143" s="214" t="s">
        <v>9712</v>
      </c>
      <c r="CX143" s="214" t="s">
        <v>484</v>
      </c>
      <c r="CY143" s="214" t="s">
        <v>70</v>
      </c>
      <c r="CZ143" s="214" t="s">
        <v>530</v>
      </c>
      <c r="DB143" s="214" t="s">
        <v>9713</v>
      </c>
      <c r="DC143" s="214" t="s">
        <v>486</v>
      </c>
      <c r="DD143" s="214" t="s">
        <v>70</v>
      </c>
      <c r="DE143" s="214" t="s">
        <v>530</v>
      </c>
      <c r="DG143" s="214" t="s">
        <v>9714</v>
      </c>
      <c r="DH143" s="214" t="s">
        <v>497</v>
      </c>
      <c r="DI143" s="214" t="s">
        <v>70</v>
      </c>
      <c r="DJ143" s="214" t="s">
        <v>530</v>
      </c>
      <c r="DL143" s="214" t="s">
        <v>9715</v>
      </c>
      <c r="DM143" s="214" t="s">
        <v>916</v>
      </c>
      <c r="DN143" s="214" t="s">
        <v>70</v>
      </c>
      <c r="DO143" s="214" t="s">
        <v>530</v>
      </c>
      <c r="DQ143" s="214" t="s">
        <v>9716</v>
      </c>
      <c r="DR143" s="214" t="s">
        <v>502</v>
      </c>
      <c r="DS143" s="214" t="s">
        <v>70</v>
      </c>
      <c r="DT143" s="214" t="s">
        <v>530</v>
      </c>
      <c r="DV143" s="214" t="s">
        <v>9717</v>
      </c>
      <c r="DW143" s="214" t="s">
        <v>146</v>
      </c>
      <c r="DX143" s="214" t="s">
        <v>70</v>
      </c>
      <c r="DY143" s="214" t="s">
        <v>530</v>
      </c>
      <c r="EA143" s="214" t="s">
        <v>9718</v>
      </c>
      <c r="EB143" s="214" t="s">
        <v>485</v>
      </c>
      <c r="EC143" s="214" t="s">
        <v>70</v>
      </c>
      <c r="ED143" s="214" t="s">
        <v>530</v>
      </c>
      <c r="EF143" s="214" t="s">
        <v>9719</v>
      </c>
      <c r="EG143" s="214" t="s">
        <v>34544</v>
      </c>
      <c r="EH143" s="214" t="s">
        <v>70</v>
      </c>
      <c r="EI143" s="214" t="s">
        <v>530</v>
      </c>
      <c r="EK143" s="214" t="s">
        <v>9720</v>
      </c>
      <c r="EL143" s="214" t="s">
        <v>956</v>
      </c>
      <c r="EM143" s="214" t="s">
        <v>70</v>
      </c>
      <c r="EN143" s="214" t="s">
        <v>530</v>
      </c>
      <c r="EP143" s="214" t="s">
        <v>9721</v>
      </c>
      <c r="EQ143" s="214" t="s">
        <v>955</v>
      </c>
      <c r="ER143" s="214" t="s">
        <v>70</v>
      </c>
      <c r="ES143" s="214" t="s">
        <v>530</v>
      </c>
      <c r="EU143" s="214" t="s">
        <v>9722</v>
      </c>
      <c r="EV143" s="214" t="s">
        <v>163</v>
      </c>
      <c r="EW143" s="214" t="s">
        <v>70</v>
      </c>
      <c r="EX143" s="214" t="s">
        <v>530</v>
      </c>
      <c r="EZ143" s="214" t="s">
        <v>9723</v>
      </c>
      <c r="FA143" s="214" t="s">
        <v>531</v>
      </c>
      <c r="FB143" s="214" t="s">
        <v>70</v>
      </c>
      <c r="FC143" s="214" t="s">
        <v>530</v>
      </c>
      <c r="FE143" s="214" t="s">
        <v>9724</v>
      </c>
      <c r="FF143" s="214" t="s">
        <v>491</v>
      </c>
      <c r="FG143" s="214" t="s">
        <v>70</v>
      </c>
      <c r="FH143" s="214" t="s">
        <v>530</v>
      </c>
      <c r="FJ143" s="321" t="s">
        <v>9725</v>
      </c>
      <c r="FK143" s="214" t="s">
        <v>146</v>
      </c>
      <c r="FL143" s="214" t="s">
        <v>70</v>
      </c>
      <c r="FM143" s="214" t="s">
        <v>530</v>
      </c>
      <c r="FO143" s="321" t="s">
        <v>9726</v>
      </c>
      <c r="FP143" s="214" t="s">
        <v>491</v>
      </c>
      <c r="FQ143" s="214" t="s">
        <v>70</v>
      </c>
      <c r="FR143" s="214" t="s">
        <v>530</v>
      </c>
      <c r="FT143" s="321" t="s">
        <v>9727</v>
      </c>
      <c r="FU143" s="214" t="s">
        <v>482</v>
      </c>
      <c r="FV143" s="214" t="s">
        <v>70</v>
      </c>
      <c r="FW143" s="214" t="s">
        <v>530</v>
      </c>
      <c r="FY143" s="321" t="s">
        <v>9728</v>
      </c>
      <c r="FZ143" s="214" t="s">
        <v>496</v>
      </c>
      <c r="GA143" s="214" t="s">
        <v>70</v>
      </c>
      <c r="GB143" s="214" t="s">
        <v>530</v>
      </c>
      <c r="GD143" s="321" t="s">
        <v>9729</v>
      </c>
      <c r="GE143" s="214" t="s">
        <v>485</v>
      </c>
      <c r="GF143" s="214" t="s">
        <v>70</v>
      </c>
      <c r="GG143" s="214" t="s">
        <v>530</v>
      </c>
      <c r="GI143" s="321" t="s">
        <v>9730</v>
      </c>
      <c r="GJ143" s="214" t="s">
        <v>88</v>
      </c>
      <c r="GK143" s="214" t="s">
        <v>70</v>
      </c>
      <c r="GL143" s="214" t="s">
        <v>530</v>
      </c>
      <c r="GN143" s="321" t="s">
        <v>9731</v>
      </c>
      <c r="GO143" s="214" t="s">
        <v>34595</v>
      </c>
      <c r="GP143" s="214" t="s">
        <v>70</v>
      </c>
      <c r="GQ143" s="214" t="s">
        <v>530</v>
      </c>
      <c r="GS143" s="321" t="s">
        <v>9732</v>
      </c>
      <c r="GT143" s="214" t="s">
        <v>492</v>
      </c>
      <c r="GU143" s="214" t="s">
        <v>70</v>
      </c>
      <c r="GV143" s="214" t="s">
        <v>530</v>
      </c>
      <c r="GX143" s="214" t="s">
        <v>9733</v>
      </c>
      <c r="GY143" s="214" t="s">
        <v>502</v>
      </c>
      <c r="GZ143" s="214" t="s">
        <v>70</v>
      </c>
      <c r="HA143" s="214" t="s">
        <v>530</v>
      </c>
      <c r="HC143" s="214" t="s">
        <v>9734</v>
      </c>
      <c r="HD143" s="214" t="s">
        <v>34541</v>
      </c>
      <c r="HE143" s="214" t="s">
        <v>70</v>
      </c>
      <c r="HF143" s="214" t="s">
        <v>530</v>
      </c>
      <c r="HH143" s="214" t="s">
        <v>9735</v>
      </c>
      <c r="HI143" s="214" t="s">
        <v>163</v>
      </c>
      <c r="HJ143" s="214" t="s">
        <v>70</v>
      </c>
      <c r="HK143" s="214" t="s">
        <v>530</v>
      </c>
      <c r="HM143" s="214" t="s">
        <v>9736</v>
      </c>
      <c r="HN143" s="214" t="s">
        <v>52</v>
      </c>
      <c r="HO143" s="214" t="s">
        <v>70</v>
      </c>
      <c r="HP143" s="214" t="s">
        <v>530</v>
      </c>
      <c r="HR143" s="22" t="s">
        <v>9737</v>
      </c>
      <c r="HS143" s="22" t="s">
        <v>488</v>
      </c>
      <c r="HT143" s="22" t="s">
        <v>70</v>
      </c>
      <c r="HU143" s="214" t="s">
        <v>530</v>
      </c>
      <c r="HW143" s="22" t="s">
        <v>9738</v>
      </c>
      <c r="HX143" s="22" t="s">
        <v>34541</v>
      </c>
      <c r="HY143" s="22" t="s">
        <v>70</v>
      </c>
      <c r="HZ143" s="214" t="s">
        <v>530</v>
      </c>
      <c r="IB143" s="22" t="s">
        <v>9739</v>
      </c>
      <c r="IC143" s="22" t="s">
        <v>34593</v>
      </c>
      <c r="ID143" s="22" t="s">
        <v>70</v>
      </c>
      <c r="IE143" s="214" t="s">
        <v>530</v>
      </c>
      <c r="IG143" s="22" t="s">
        <v>9740</v>
      </c>
      <c r="IH143" s="22" t="s">
        <v>52</v>
      </c>
      <c r="II143" s="22" t="s">
        <v>70</v>
      </c>
      <c r="IJ143" s="214" t="s">
        <v>530</v>
      </c>
      <c r="IL143" s="22" t="s">
        <v>9741</v>
      </c>
      <c r="IM143" s="22" t="s">
        <v>145</v>
      </c>
      <c r="IN143" s="22" t="s">
        <v>70</v>
      </c>
      <c r="IO143" s="214" t="s">
        <v>530</v>
      </c>
      <c r="IQ143" s="236" t="s">
        <v>9742</v>
      </c>
      <c r="IR143" s="236" t="s">
        <v>145</v>
      </c>
      <c r="IS143" s="236" t="s">
        <v>74</v>
      </c>
      <c r="IT143" s="236" t="s">
        <v>841</v>
      </c>
      <c r="IV143" s="236" t="s">
        <v>9743</v>
      </c>
      <c r="IW143" s="236" t="s">
        <v>145</v>
      </c>
      <c r="IX143" s="236" t="s">
        <v>74</v>
      </c>
      <c r="IY143" s="236" t="s">
        <v>841</v>
      </c>
      <c r="JA143" s="236" t="s">
        <v>9744</v>
      </c>
      <c r="JB143" s="236" t="s">
        <v>145</v>
      </c>
      <c r="JC143" s="236" t="s">
        <v>74</v>
      </c>
      <c r="JD143" s="236" t="s">
        <v>841</v>
      </c>
      <c r="JF143" s="236" t="s">
        <v>9745</v>
      </c>
      <c r="JG143" s="236" t="s">
        <v>145</v>
      </c>
      <c r="JH143" s="236" t="s">
        <v>74</v>
      </c>
      <c r="JI143" s="236" t="s">
        <v>841</v>
      </c>
      <c r="JK143" s="236" t="s">
        <v>9746</v>
      </c>
      <c r="JL143" s="236" t="s">
        <v>145</v>
      </c>
      <c r="JM143" s="236" t="s">
        <v>74</v>
      </c>
      <c r="JN143" s="236" t="s">
        <v>841</v>
      </c>
      <c r="JP143" s="236" t="s">
        <v>9747</v>
      </c>
      <c r="JQ143" s="236" t="s">
        <v>145</v>
      </c>
      <c r="JR143" s="236" t="s">
        <v>74</v>
      </c>
      <c r="JS143" s="236" t="s">
        <v>841</v>
      </c>
      <c r="JU143" s="294" t="s">
        <v>9748</v>
      </c>
      <c r="JV143" s="263" t="s">
        <v>90</v>
      </c>
      <c r="JW143" s="263" t="s">
        <v>70</v>
      </c>
      <c r="JX143" s="263" t="s">
        <v>34251</v>
      </c>
      <c r="JZ143" s="263" t="s">
        <v>9749</v>
      </c>
      <c r="KA143" s="263" t="s">
        <v>145</v>
      </c>
      <c r="KB143" s="263" t="s">
        <v>70</v>
      </c>
      <c r="KC143" s="263" t="s">
        <v>1083</v>
      </c>
      <c r="KE143" s="263" t="s">
        <v>9750</v>
      </c>
      <c r="KF143" s="263" t="s">
        <v>52</v>
      </c>
      <c r="KG143" s="263" t="s">
        <v>70</v>
      </c>
      <c r="KH143" s="263" t="s">
        <v>1083</v>
      </c>
      <c r="KJ143" s="263" t="s">
        <v>9751</v>
      </c>
      <c r="KK143" s="263" t="s">
        <v>52</v>
      </c>
      <c r="KL143" s="263" t="s">
        <v>74</v>
      </c>
      <c r="KM143" s="263" t="s">
        <v>34074</v>
      </c>
      <c r="KO143" s="214" t="s">
        <v>9752</v>
      </c>
      <c r="KP143" s="214" t="s">
        <v>145</v>
      </c>
      <c r="KQ143" s="214" t="s">
        <v>70</v>
      </c>
      <c r="KR143" s="214" t="s">
        <v>67</v>
      </c>
      <c r="KT143" s="22" t="s">
        <v>9753</v>
      </c>
      <c r="KU143" s="22" t="s">
        <v>145</v>
      </c>
      <c r="KV143" s="22" t="s">
        <v>70</v>
      </c>
      <c r="KW143" s="22" t="s">
        <v>67</v>
      </c>
      <c r="KY143" s="214" t="s">
        <v>9754</v>
      </c>
      <c r="KZ143" s="214" t="s">
        <v>52</v>
      </c>
      <c r="LA143" s="214" t="s">
        <v>74</v>
      </c>
      <c r="LB143" s="214" t="s">
        <v>67</v>
      </c>
      <c r="LD143" s="22" t="s">
        <v>9755</v>
      </c>
      <c r="LE143" s="22" t="s">
        <v>145</v>
      </c>
      <c r="LF143" s="22" t="s">
        <v>70</v>
      </c>
      <c r="LG143" s="22" t="s">
        <v>67</v>
      </c>
    </row>
    <row r="144" spans="1:319">
      <c r="A144" s="22" t="s">
        <v>9756</v>
      </c>
      <c r="B144" s="22" t="s">
        <v>145</v>
      </c>
      <c r="C144" s="22" t="s">
        <v>70</v>
      </c>
      <c r="D144" s="22" t="s">
        <v>67</v>
      </c>
      <c r="F144" s="23" t="s">
        <v>9757</v>
      </c>
      <c r="G144" s="23" t="str">
        <f>TVIIBE1M_CalPairs!$E141</f>
        <v>0x80</v>
      </c>
      <c r="H144" s="23" t="s">
        <v>70</v>
      </c>
      <c r="I144" s="23" t="str">
        <f>TVIIBE1M_CalPairs!$C141</f>
        <v>PASS0_SAR0_ADDR0</v>
      </c>
      <c r="K144" s="22" t="s">
        <v>9758</v>
      </c>
      <c r="L144" s="22" t="s">
        <v>145</v>
      </c>
      <c r="M144" s="22" t="s">
        <v>70</v>
      </c>
      <c r="N144" s="22" t="s">
        <v>67</v>
      </c>
      <c r="P144" s="22" t="s">
        <v>9759</v>
      </c>
      <c r="Q144" s="22" t="s">
        <v>145</v>
      </c>
      <c r="R144" s="22" t="s">
        <v>70</v>
      </c>
      <c r="S144" s="22" t="s">
        <v>67</v>
      </c>
      <c r="U144" s="293" t="s">
        <v>9760</v>
      </c>
      <c r="V144" s="293" t="s">
        <v>145</v>
      </c>
      <c r="W144" s="293" t="s">
        <v>74</v>
      </c>
      <c r="X144" s="293" t="s">
        <v>656</v>
      </c>
      <c r="Z144" s="293" t="s">
        <v>9761</v>
      </c>
      <c r="AA144" s="293" t="s">
        <v>145</v>
      </c>
      <c r="AB144" s="293" t="s">
        <v>74</v>
      </c>
      <c r="AC144" s="293" t="s">
        <v>656</v>
      </c>
      <c r="AE144" s="293" t="s">
        <v>9762</v>
      </c>
      <c r="AF144" s="293" t="s">
        <v>145</v>
      </c>
      <c r="AG144" s="293" t="s">
        <v>74</v>
      </c>
      <c r="AH144" s="293" t="s">
        <v>656</v>
      </c>
      <c r="AJ144" s="293" t="s">
        <v>9763</v>
      </c>
      <c r="AK144" s="293" t="s">
        <v>145</v>
      </c>
      <c r="AL144" s="293" t="s">
        <v>74</v>
      </c>
      <c r="AM144" s="293" t="s">
        <v>656</v>
      </c>
      <c r="AO144" s="22" t="s">
        <v>9764</v>
      </c>
      <c r="AP144" s="22" t="s">
        <v>145</v>
      </c>
      <c r="AQ144" s="22" t="s">
        <v>70</v>
      </c>
      <c r="AR144" s="22" t="s">
        <v>67</v>
      </c>
      <c r="AT144" s="22" t="s">
        <v>9765</v>
      </c>
      <c r="AU144" s="22" t="s">
        <v>145</v>
      </c>
      <c r="AV144" s="22" t="s">
        <v>70</v>
      </c>
      <c r="AW144" s="22" t="s">
        <v>67</v>
      </c>
      <c r="AY144" s="22" t="s">
        <v>9766</v>
      </c>
      <c r="AZ144" s="22" t="s">
        <v>145</v>
      </c>
      <c r="BA144" s="22" t="s">
        <v>70</v>
      </c>
      <c r="BB144" s="22" t="s">
        <v>67</v>
      </c>
      <c r="BD144" s="22" t="s">
        <v>9767</v>
      </c>
      <c r="BE144" s="22" t="s">
        <v>145</v>
      </c>
      <c r="BF144" s="22" t="s">
        <v>70</v>
      </c>
      <c r="BG144" s="22" t="s">
        <v>67</v>
      </c>
      <c r="BI144" s="22" t="s">
        <v>9768</v>
      </c>
      <c r="BJ144" s="22" t="s">
        <v>145</v>
      </c>
      <c r="BK144" s="22" t="s">
        <v>70</v>
      </c>
      <c r="BL144" s="22" t="s">
        <v>67</v>
      </c>
      <c r="BN144" s="22" t="s">
        <v>9769</v>
      </c>
      <c r="BO144" s="22" t="s">
        <v>145</v>
      </c>
      <c r="BP144" s="22" t="s">
        <v>70</v>
      </c>
      <c r="BQ144" s="22" t="s">
        <v>67</v>
      </c>
      <c r="BS144" s="22" t="s">
        <v>9770</v>
      </c>
      <c r="BT144" s="22" t="s">
        <v>145</v>
      </c>
      <c r="BU144" s="22" t="s">
        <v>70</v>
      </c>
      <c r="BV144" s="214" t="s">
        <v>530</v>
      </c>
      <c r="BX144" s="22" t="s">
        <v>9771</v>
      </c>
      <c r="BY144" s="22" t="s">
        <v>145</v>
      </c>
      <c r="BZ144" s="22" t="s">
        <v>70</v>
      </c>
      <c r="CA144" s="214" t="s">
        <v>530</v>
      </c>
      <c r="CC144" s="214" t="s">
        <v>9772</v>
      </c>
      <c r="CD144" s="218" t="s">
        <v>145</v>
      </c>
      <c r="CE144" s="214" t="s">
        <v>70</v>
      </c>
      <c r="CF144" s="214" t="s">
        <v>439</v>
      </c>
      <c r="CH144" s="214" t="s">
        <v>9773</v>
      </c>
      <c r="CI144" s="214" t="s">
        <v>937</v>
      </c>
      <c r="CJ144" s="214" t="s">
        <v>70</v>
      </c>
      <c r="CK144" s="214" t="s">
        <v>530</v>
      </c>
      <c r="CM144" s="214" t="s">
        <v>9774</v>
      </c>
      <c r="CN144" s="214" t="s">
        <v>145</v>
      </c>
      <c r="CO144" s="214" t="s">
        <v>70</v>
      </c>
      <c r="CP144" s="214" t="s">
        <v>530</v>
      </c>
      <c r="CR144" s="214" t="s">
        <v>9775</v>
      </c>
      <c r="CS144" s="214" t="s">
        <v>531</v>
      </c>
      <c r="CT144" s="214" t="s">
        <v>70</v>
      </c>
      <c r="CU144" s="214" t="s">
        <v>530</v>
      </c>
      <c r="CW144" s="214" t="s">
        <v>9776</v>
      </c>
      <c r="CX144" s="214" t="s">
        <v>485</v>
      </c>
      <c r="CY144" s="214" t="s">
        <v>70</v>
      </c>
      <c r="CZ144" s="214" t="s">
        <v>530</v>
      </c>
      <c r="DB144" s="214" t="s">
        <v>9777</v>
      </c>
      <c r="DC144" s="214" t="s">
        <v>912</v>
      </c>
      <c r="DD144" s="214" t="s">
        <v>70</v>
      </c>
      <c r="DE144" s="214" t="s">
        <v>530</v>
      </c>
      <c r="DG144" s="214" t="s">
        <v>9778</v>
      </c>
      <c r="DH144" s="214" t="s">
        <v>468</v>
      </c>
      <c r="DI144" s="214" t="s">
        <v>70</v>
      </c>
      <c r="DJ144" s="214" t="s">
        <v>530</v>
      </c>
      <c r="DL144" s="214" t="s">
        <v>9779</v>
      </c>
      <c r="DM144" s="214" t="s">
        <v>34536</v>
      </c>
      <c r="DN144" s="214" t="s">
        <v>70</v>
      </c>
      <c r="DO144" s="214" t="s">
        <v>530</v>
      </c>
      <c r="DQ144" s="214" t="s">
        <v>9780</v>
      </c>
      <c r="DR144" s="214" t="s">
        <v>912</v>
      </c>
      <c r="DS144" s="214" t="s">
        <v>70</v>
      </c>
      <c r="DT144" s="214" t="s">
        <v>530</v>
      </c>
      <c r="DV144" s="214" t="s">
        <v>9781</v>
      </c>
      <c r="DW144" s="214" t="s">
        <v>93</v>
      </c>
      <c r="DX144" s="214" t="s">
        <v>70</v>
      </c>
      <c r="DY144" s="214" t="s">
        <v>530</v>
      </c>
      <c r="EA144" s="214" t="s">
        <v>9782</v>
      </c>
      <c r="EB144" s="214" t="s">
        <v>148</v>
      </c>
      <c r="EC144" s="214" t="s">
        <v>70</v>
      </c>
      <c r="ED144" s="214" t="s">
        <v>530</v>
      </c>
      <c r="EF144" s="214" t="s">
        <v>9783</v>
      </c>
      <c r="EG144" s="214" t="s">
        <v>87</v>
      </c>
      <c r="EH144" s="214" t="s">
        <v>70</v>
      </c>
      <c r="EI144" s="214" t="s">
        <v>530</v>
      </c>
      <c r="EK144" s="214" t="s">
        <v>9784</v>
      </c>
      <c r="EL144" s="214" t="s">
        <v>34572</v>
      </c>
      <c r="EM144" s="214" t="s">
        <v>70</v>
      </c>
      <c r="EN144" s="214" t="s">
        <v>530</v>
      </c>
      <c r="EP144" s="214" t="s">
        <v>9785</v>
      </c>
      <c r="EQ144" s="214" t="s">
        <v>52</v>
      </c>
      <c r="ER144" s="214" t="s">
        <v>70</v>
      </c>
      <c r="ES144" s="214" t="s">
        <v>530</v>
      </c>
      <c r="EU144" s="214" t="s">
        <v>9786</v>
      </c>
      <c r="EV144" s="214" t="s">
        <v>92</v>
      </c>
      <c r="EW144" s="214" t="s">
        <v>70</v>
      </c>
      <c r="EX144" s="214" t="s">
        <v>530</v>
      </c>
      <c r="EZ144" s="214" t="s">
        <v>9787</v>
      </c>
      <c r="FA144" s="214" t="s">
        <v>655</v>
      </c>
      <c r="FB144" s="214" t="s">
        <v>70</v>
      </c>
      <c r="FC144" s="214" t="s">
        <v>530</v>
      </c>
      <c r="FE144" s="214" t="s">
        <v>9788</v>
      </c>
      <c r="FF144" s="214" t="s">
        <v>947</v>
      </c>
      <c r="FG144" s="214" t="s">
        <v>70</v>
      </c>
      <c r="FH144" s="214" t="s">
        <v>530</v>
      </c>
      <c r="FJ144" s="321" t="s">
        <v>9789</v>
      </c>
      <c r="FK144" s="214" t="s">
        <v>34571</v>
      </c>
      <c r="FL144" s="214" t="s">
        <v>70</v>
      </c>
      <c r="FM144" s="214" t="s">
        <v>530</v>
      </c>
      <c r="FO144" s="321" t="s">
        <v>9790</v>
      </c>
      <c r="FP144" s="214" t="s">
        <v>484</v>
      </c>
      <c r="FQ144" s="214" t="s">
        <v>70</v>
      </c>
      <c r="FR144" s="214" t="s">
        <v>530</v>
      </c>
      <c r="FT144" s="321" t="s">
        <v>9791</v>
      </c>
      <c r="FU144" s="214" t="s">
        <v>21742</v>
      </c>
      <c r="FV144" s="214" t="s">
        <v>70</v>
      </c>
      <c r="FW144" s="214" t="s">
        <v>530</v>
      </c>
      <c r="FY144" s="321" t="s">
        <v>9792</v>
      </c>
      <c r="FZ144" s="214" t="s">
        <v>90</v>
      </c>
      <c r="GA144" s="214" t="s">
        <v>70</v>
      </c>
      <c r="GB144" s="214" t="s">
        <v>530</v>
      </c>
      <c r="GD144" s="321" t="s">
        <v>9793</v>
      </c>
      <c r="GE144" s="214" t="s">
        <v>149</v>
      </c>
      <c r="GF144" s="214" t="s">
        <v>70</v>
      </c>
      <c r="GG144" s="214" t="s">
        <v>530</v>
      </c>
      <c r="GI144" s="321" t="s">
        <v>9794</v>
      </c>
      <c r="GJ144" s="214" t="s">
        <v>203</v>
      </c>
      <c r="GK144" s="214" t="s">
        <v>70</v>
      </c>
      <c r="GL144" s="214" t="s">
        <v>530</v>
      </c>
      <c r="GN144" s="321" t="s">
        <v>9795</v>
      </c>
      <c r="GO144" s="214" t="s">
        <v>467</v>
      </c>
      <c r="GP144" s="214" t="s">
        <v>70</v>
      </c>
      <c r="GQ144" s="214" t="s">
        <v>530</v>
      </c>
      <c r="GS144" s="321" t="s">
        <v>9796</v>
      </c>
      <c r="GT144" s="214" t="s">
        <v>921</v>
      </c>
      <c r="GU144" s="214" t="s">
        <v>70</v>
      </c>
      <c r="GV144" s="214" t="s">
        <v>530</v>
      </c>
      <c r="GX144" s="214" t="s">
        <v>9797</v>
      </c>
      <c r="GY144" s="214" t="s">
        <v>949</v>
      </c>
      <c r="GZ144" s="214" t="s">
        <v>70</v>
      </c>
      <c r="HA144" s="214" t="s">
        <v>530</v>
      </c>
      <c r="HC144" s="214" t="s">
        <v>9798</v>
      </c>
      <c r="HD144" s="214" t="s">
        <v>914</v>
      </c>
      <c r="HE144" s="214" t="s">
        <v>70</v>
      </c>
      <c r="HF144" s="214" t="s">
        <v>530</v>
      </c>
      <c r="HH144" s="214" t="s">
        <v>9799</v>
      </c>
      <c r="HI144" s="214" t="s">
        <v>90</v>
      </c>
      <c r="HJ144" s="214" t="s">
        <v>70</v>
      </c>
      <c r="HK144" s="214" t="s">
        <v>530</v>
      </c>
      <c r="HM144" s="214" t="s">
        <v>9800</v>
      </c>
      <c r="HN144" s="214" t="s">
        <v>481</v>
      </c>
      <c r="HO144" s="214" t="s">
        <v>70</v>
      </c>
      <c r="HP144" s="214" t="s">
        <v>530</v>
      </c>
      <c r="HR144" s="22" t="s">
        <v>9801</v>
      </c>
      <c r="HS144" s="22" t="s">
        <v>88</v>
      </c>
      <c r="HT144" s="22" t="s">
        <v>70</v>
      </c>
      <c r="HU144" s="214" t="s">
        <v>530</v>
      </c>
      <c r="HW144" s="22" t="s">
        <v>9802</v>
      </c>
      <c r="HX144" s="22" t="s">
        <v>914</v>
      </c>
      <c r="HY144" s="22" t="s">
        <v>70</v>
      </c>
      <c r="HZ144" s="214" t="s">
        <v>530</v>
      </c>
      <c r="IB144" s="22" t="s">
        <v>9803</v>
      </c>
      <c r="IC144" s="22" t="s">
        <v>85</v>
      </c>
      <c r="ID144" s="22" t="s">
        <v>70</v>
      </c>
      <c r="IE144" s="214" t="s">
        <v>530</v>
      </c>
      <c r="IG144" s="22" t="s">
        <v>9804</v>
      </c>
      <c r="IH144" s="22" t="s">
        <v>52</v>
      </c>
      <c r="II144" s="22" t="s">
        <v>70</v>
      </c>
      <c r="IJ144" s="214" t="s">
        <v>530</v>
      </c>
      <c r="IL144" s="22" t="s">
        <v>9805</v>
      </c>
      <c r="IM144" s="22" t="s">
        <v>145</v>
      </c>
      <c r="IN144" s="22" t="s">
        <v>70</v>
      </c>
      <c r="IO144" s="214" t="s">
        <v>530</v>
      </c>
      <c r="IQ144" s="236" t="s">
        <v>9806</v>
      </c>
      <c r="IR144" s="236" t="s">
        <v>145</v>
      </c>
      <c r="IS144" s="236" t="s">
        <v>74</v>
      </c>
      <c r="IT144" s="236" t="s">
        <v>841</v>
      </c>
      <c r="IV144" s="236" t="s">
        <v>9807</v>
      </c>
      <c r="IW144" s="236" t="s">
        <v>145</v>
      </c>
      <c r="IX144" s="236" t="s">
        <v>74</v>
      </c>
      <c r="IY144" s="236" t="s">
        <v>841</v>
      </c>
      <c r="JA144" s="236" t="s">
        <v>9808</v>
      </c>
      <c r="JB144" s="236" t="s">
        <v>145</v>
      </c>
      <c r="JC144" s="236" t="s">
        <v>74</v>
      </c>
      <c r="JD144" s="236" t="s">
        <v>841</v>
      </c>
      <c r="JF144" s="236" t="s">
        <v>9809</v>
      </c>
      <c r="JG144" s="236" t="s">
        <v>145</v>
      </c>
      <c r="JH144" s="236" t="s">
        <v>74</v>
      </c>
      <c r="JI144" s="236" t="s">
        <v>841</v>
      </c>
      <c r="JK144" s="236" t="s">
        <v>9810</v>
      </c>
      <c r="JL144" s="236" t="s">
        <v>145</v>
      </c>
      <c r="JM144" s="236" t="s">
        <v>74</v>
      </c>
      <c r="JN144" s="236" t="s">
        <v>841</v>
      </c>
      <c r="JP144" s="236" t="s">
        <v>9811</v>
      </c>
      <c r="JQ144" s="236" t="s">
        <v>145</v>
      </c>
      <c r="JR144" s="236" t="s">
        <v>74</v>
      </c>
      <c r="JS144" s="236" t="s">
        <v>841</v>
      </c>
      <c r="JU144" s="294" t="s">
        <v>9812</v>
      </c>
      <c r="JV144" s="263" t="s">
        <v>85</v>
      </c>
      <c r="JW144" s="263" t="s">
        <v>70</v>
      </c>
      <c r="JX144" s="263" t="s">
        <v>34252</v>
      </c>
      <c r="JZ144" s="263" t="s">
        <v>9813</v>
      </c>
      <c r="KA144" s="263" t="s">
        <v>145</v>
      </c>
      <c r="KB144" s="263" t="s">
        <v>70</v>
      </c>
      <c r="KC144" s="263" t="s">
        <v>1083</v>
      </c>
      <c r="KE144" s="263" t="s">
        <v>9814</v>
      </c>
      <c r="KF144" s="263" t="s">
        <v>52</v>
      </c>
      <c r="KG144" s="263" t="s">
        <v>70</v>
      </c>
      <c r="KH144" s="263" t="s">
        <v>1083</v>
      </c>
      <c r="KJ144" s="263" t="s">
        <v>9815</v>
      </c>
      <c r="KK144" s="263" t="s">
        <v>52</v>
      </c>
      <c r="KL144" s="263" t="s">
        <v>74</v>
      </c>
      <c r="KM144" s="263" t="s">
        <v>34074</v>
      </c>
      <c r="KO144" s="214" t="s">
        <v>9816</v>
      </c>
      <c r="KP144" s="214" t="s">
        <v>145</v>
      </c>
      <c r="KQ144" s="214" t="s">
        <v>70</v>
      </c>
      <c r="KR144" s="214" t="s">
        <v>67</v>
      </c>
      <c r="KT144" s="22" t="s">
        <v>9817</v>
      </c>
      <c r="KU144" s="22" t="s">
        <v>145</v>
      </c>
      <c r="KV144" s="22" t="s">
        <v>70</v>
      </c>
      <c r="KW144" s="22" t="s">
        <v>67</v>
      </c>
      <c r="KY144" s="214" t="s">
        <v>9818</v>
      </c>
      <c r="KZ144" s="214" t="s">
        <v>52</v>
      </c>
      <c r="LA144" s="214" t="s">
        <v>74</v>
      </c>
      <c r="LB144" s="214" t="s">
        <v>67</v>
      </c>
      <c r="LD144" s="22" t="s">
        <v>9819</v>
      </c>
      <c r="LE144" s="22" t="s">
        <v>145</v>
      </c>
      <c r="LF144" s="22" t="s">
        <v>70</v>
      </c>
      <c r="LG144" s="22" t="s">
        <v>67</v>
      </c>
    </row>
    <row r="145" spans="1:319">
      <c r="A145" s="22" t="s">
        <v>9820</v>
      </c>
      <c r="B145" s="22" t="s">
        <v>145</v>
      </c>
      <c r="C145" s="22" t="s">
        <v>70</v>
      </c>
      <c r="D145" s="22" t="s">
        <v>67</v>
      </c>
      <c r="F145" s="23" t="s">
        <v>9821</v>
      </c>
      <c r="G145" s="23" t="str">
        <f>TVIIBE1M_CalPairs!$E142</f>
        <v>0xCD</v>
      </c>
      <c r="H145" s="23" t="s">
        <v>70</v>
      </c>
      <c r="I145" s="23" t="str">
        <f>TVIIBE1M_CalPairs!$C142</f>
        <v>PASS0_SAR0_ADDR1</v>
      </c>
      <c r="K145" s="22" t="s">
        <v>9822</v>
      </c>
      <c r="L145" s="22" t="s">
        <v>145</v>
      </c>
      <c r="M145" s="22" t="s">
        <v>70</v>
      </c>
      <c r="N145" s="22" t="s">
        <v>67</v>
      </c>
      <c r="P145" s="22" t="s">
        <v>9823</v>
      </c>
      <c r="Q145" s="22" t="s">
        <v>145</v>
      </c>
      <c r="R145" s="22" t="s">
        <v>70</v>
      </c>
      <c r="S145" s="22" t="s">
        <v>67</v>
      </c>
      <c r="U145" s="293" t="s">
        <v>9824</v>
      </c>
      <c r="V145" s="293" t="s">
        <v>145</v>
      </c>
      <c r="W145" s="293" t="s">
        <v>74</v>
      </c>
      <c r="X145" s="293" t="s">
        <v>656</v>
      </c>
      <c r="Z145" s="293" t="s">
        <v>9825</v>
      </c>
      <c r="AA145" s="293" t="s">
        <v>145</v>
      </c>
      <c r="AB145" s="293" t="s">
        <v>74</v>
      </c>
      <c r="AC145" s="293" t="s">
        <v>656</v>
      </c>
      <c r="AE145" s="293" t="s">
        <v>9826</v>
      </c>
      <c r="AF145" s="293" t="s">
        <v>145</v>
      </c>
      <c r="AG145" s="293" t="s">
        <v>74</v>
      </c>
      <c r="AH145" s="293" t="s">
        <v>656</v>
      </c>
      <c r="AJ145" s="293" t="s">
        <v>9827</v>
      </c>
      <c r="AK145" s="293" t="s">
        <v>145</v>
      </c>
      <c r="AL145" s="293" t="s">
        <v>74</v>
      </c>
      <c r="AM145" s="293" t="s">
        <v>656</v>
      </c>
      <c r="AO145" s="22" t="s">
        <v>9828</v>
      </c>
      <c r="AP145" s="22" t="s">
        <v>145</v>
      </c>
      <c r="AQ145" s="22" t="s">
        <v>70</v>
      </c>
      <c r="AR145" s="22" t="s">
        <v>67</v>
      </c>
      <c r="AT145" s="22" t="s">
        <v>9829</v>
      </c>
      <c r="AU145" s="22" t="s">
        <v>145</v>
      </c>
      <c r="AV145" s="22" t="s">
        <v>70</v>
      </c>
      <c r="AW145" s="22" t="s">
        <v>67</v>
      </c>
      <c r="AY145" s="22" t="s">
        <v>9830</v>
      </c>
      <c r="AZ145" s="22" t="s">
        <v>145</v>
      </c>
      <c r="BA145" s="22" t="s">
        <v>70</v>
      </c>
      <c r="BB145" s="22" t="s">
        <v>67</v>
      </c>
      <c r="BD145" s="22" t="s">
        <v>9831</v>
      </c>
      <c r="BE145" s="22" t="s">
        <v>145</v>
      </c>
      <c r="BF145" s="22" t="s">
        <v>70</v>
      </c>
      <c r="BG145" s="22" t="s">
        <v>67</v>
      </c>
      <c r="BI145" s="22" t="s">
        <v>9832</v>
      </c>
      <c r="BJ145" s="22" t="s">
        <v>145</v>
      </c>
      <c r="BK145" s="22" t="s">
        <v>70</v>
      </c>
      <c r="BL145" s="22" t="s">
        <v>67</v>
      </c>
      <c r="BN145" s="22" t="s">
        <v>9833</v>
      </c>
      <c r="BO145" s="22" t="s">
        <v>145</v>
      </c>
      <c r="BP145" s="22" t="s">
        <v>70</v>
      </c>
      <c r="BQ145" s="22" t="s">
        <v>67</v>
      </c>
      <c r="BS145" s="22" t="s">
        <v>9834</v>
      </c>
      <c r="BT145" s="22" t="s">
        <v>145</v>
      </c>
      <c r="BU145" s="22" t="s">
        <v>70</v>
      </c>
      <c r="BV145" s="214" t="s">
        <v>530</v>
      </c>
      <c r="BX145" s="22" t="s">
        <v>9835</v>
      </c>
      <c r="BY145" s="22" t="s">
        <v>145</v>
      </c>
      <c r="BZ145" s="22" t="s">
        <v>70</v>
      </c>
      <c r="CA145" s="214" t="s">
        <v>530</v>
      </c>
      <c r="CC145" s="214" t="s">
        <v>9836</v>
      </c>
      <c r="CD145" s="218" t="s">
        <v>145</v>
      </c>
      <c r="CE145" s="214" t="s">
        <v>70</v>
      </c>
      <c r="CF145" s="214" t="s">
        <v>440</v>
      </c>
      <c r="CH145" s="214" t="s">
        <v>9837</v>
      </c>
      <c r="CI145" s="214" t="s">
        <v>163</v>
      </c>
      <c r="CJ145" s="214" t="s">
        <v>70</v>
      </c>
      <c r="CK145" s="214" t="s">
        <v>530</v>
      </c>
      <c r="CM145" s="214" t="s">
        <v>9838</v>
      </c>
      <c r="CN145" s="214" t="s">
        <v>503</v>
      </c>
      <c r="CO145" s="214" t="s">
        <v>70</v>
      </c>
      <c r="CP145" s="214" t="s">
        <v>530</v>
      </c>
      <c r="CR145" s="214" t="s">
        <v>9839</v>
      </c>
      <c r="CS145" s="214" t="s">
        <v>34558</v>
      </c>
      <c r="CT145" s="214" t="s">
        <v>70</v>
      </c>
      <c r="CU145" s="214" t="s">
        <v>530</v>
      </c>
      <c r="CW145" s="214" t="s">
        <v>9840</v>
      </c>
      <c r="CX145" s="214" t="s">
        <v>146</v>
      </c>
      <c r="CY145" s="214" t="s">
        <v>70</v>
      </c>
      <c r="CZ145" s="214" t="s">
        <v>530</v>
      </c>
      <c r="DB145" s="214" t="s">
        <v>9841</v>
      </c>
      <c r="DC145" s="214" t="s">
        <v>488</v>
      </c>
      <c r="DD145" s="214" t="s">
        <v>70</v>
      </c>
      <c r="DE145" s="214" t="s">
        <v>530</v>
      </c>
      <c r="DG145" s="214" t="s">
        <v>9842</v>
      </c>
      <c r="DH145" s="214" t="s">
        <v>484</v>
      </c>
      <c r="DI145" s="214" t="s">
        <v>70</v>
      </c>
      <c r="DJ145" s="214" t="s">
        <v>530</v>
      </c>
      <c r="DL145" s="214" t="s">
        <v>9843</v>
      </c>
      <c r="DM145" s="214" t="s">
        <v>926</v>
      </c>
      <c r="DN145" s="214" t="s">
        <v>70</v>
      </c>
      <c r="DO145" s="214" t="s">
        <v>530</v>
      </c>
      <c r="DQ145" s="214" t="s">
        <v>9844</v>
      </c>
      <c r="DR145" s="214" t="s">
        <v>34548</v>
      </c>
      <c r="DS145" s="214" t="s">
        <v>70</v>
      </c>
      <c r="DT145" s="214" t="s">
        <v>530</v>
      </c>
      <c r="DV145" s="214" t="s">
        <v>9845</v>
      </c>
      <c r="DW145" s="214" t="s">
        <v>486</v>
      </c>
      <c r="DX145" s="214" t="s">
        <v>70</v>
      </c>
      <c r="DY145" s="214" t="s">
        <v>530</v>
      </c>
      <c r="EA145" s="214" t="s">
        <v>9846</v>
      </c>
      <c r="EB145" s="214" t="s">
        <v>34544</v>
      </c>
      <c r="EC145" s="214" t="s">
        <v>70</v>
      </c>
      <c r="ED145" s="214" t="s">
        <v>530</v>
      </c>
      <c r="EF145" s="214" t="s">
        <v>9847</v>
      </c>
      <c r="EG145" s="214" t="s">
        <v>468</v>
      </c>
      <c r="EH145" s="214" t="s">
        <v>70</v>
      </c>
      <c r="EI145" s="214" t="s">
        <v>530</v>
      </c>
      <c r="EK145" s="214" t="s">
        <v>9848</v>
      </c>
      <c r="EL145" s="214" t="s">
        <v>484</v>
      </c>
      <c r="EM145" s="214" t="s">
        <v>70</v>
      </c>
      <c r="EN145" s="214" t="s">
        <v>530</v>
      </c>
      <c r="EP145" s="214" t="s">
        <v>9849</v>
      </c>
      <c r="EQ145" s="214" t="s">
        <v>85</v>
      </c>
      <c r="ER145" s="214" t="s">
        <v>70</v>
      </c>
      <c r="ES145" s="214" t="s">
        <v>530</v>
      </c>
      <c r="EU145" s="214" t="s">
        <v>9850</v>
      </c>
      <c r="EV145" s="214" t="s">
        <v>93</v>
      </c>
      <c r="EW145" s="214" t="s">
        <v>70</v>
      </c>
      <c r="EX145" s="214" t="s">
        <v>530</v>
      </c>
      <c r="EZ145" s="214" t="s">
        <v>9851</v>
      </c>
      <c r="FA145" s="214" t="s">
        <v>488</v>
      </c>
      <c r="FB145" s="214" t="s">
        <v>70</v>
      </c>
      <c r="FC145" s="214" t="s">
        <v>530</v>
      </c>
      <c r="FE145" s="214" t="s">
        <v>9852</v>
      </c>
      <c r="FF145" s="214" t="s">
        <v>501</v>
      </c>
      <c r="FG145" s="214" t="s">
        <v>70</v>
      </c>
      <c r="FH145" s="214" t="s">
        <v>530</v>
      </c>
      <c r="FJ145" s="321" t="s">
        <v>9853</v>
      </c>
      <c r="FK145" s="214" t="s">
        <v>146</v>
      </c>
      <c r="FL145" s="214" t="s">
        <v>70</v>
      </c>
      <c r="FM145" s="214" t="s">
        <v>530</v>
      </c>
      <c r="FO145" s="321" t="s">
        <v>9854</v>
      </c>
      <c r="FP145" s="214" t="s">
        <v>492</v>
      </c>
      <c r="FQ145" s="214" t="s">
        <v>70</v>
      </c>
      <c r="FR145" s="214" t="s">
        <v>530</v>
      </c>
      <c r="FT145" s="321" t="s">
        <v>9855</v>
      </c>
      <c r="FU145" s="214" t="s">
        <v>518</v>
      </c>
      <c r="FV145" s="214" t="s">
        <v>70</v>
      </c>
      <c r="FW145" s="214" t="s">
        <v>530</v>
      </c>
      <c r="FY145" s="321" t="s">
        <v>9856</v>
      </c>
      <c r="FZ145" s="214" t="s">
        <v>482</v>
      </c>
      <c r="GA145" s="214" t="s">
        <v>70</v>
      </c>
      <c r="GB145" s="214" t="s">
        <v>530</v>
      </c>
      <c r="GD145" s="321" t="s">
        <v>9857</v>
      </c>
      <c r="GE145" s="214" t="s">
        <v>34542</v>
      </c>
      <c r="GF145" s="214" t="s">
        <v>70</v>
      </c>
      <c r="GG145" s="214" t="s">
        <v>530</v>
      </c>
      <c r="GI145" s="321" t="s">
        <v>9858</v>
      </c>
      <c r="GJ145" s="214" t="s">
        <v>482</v>
      </c>
      <c r="GK145" s="214" t="s">
        <v>70</v>
      </c>
      <c r="GL145" s="214" t="s">
        <v>530</v>
      </c>
      <c r="GN145" s="321" t="s">
        <v>9859</v>
      </c>
      <c r="GO145" s="214" t="s">
        <v>955</v>
      </c>
      <c r="GP145" s="214" t="s">
        <v>70</v>
      </c>
      <c r="GQ145" s="214" t="s">
        <v>530</v>
      </c>
      <c r="GS145" s="321" t="s">
        <v>9860</v>
      </c>
      <c r="GT145" s="214" t="s">
        <v>486</v>
      </c>
      <c r="GU145" s="214" t="s">
        <v>70</v>
      </c>
      <c r="GV145" s="214" t="s">
        <v>530</v>
      </c>
      <c r="GX145" s="214" t="s">
        <v>9861</v>
      </c>
      <c r="GY145" s="214" t="s">
        <v>52</v>
      </c>
      <c r="GZ145" s="214" t="s">
        <v>70</v>
      </c>
      <c r="HA145" s="214" t="s">
        <v>530</v>
      </c>
      <c r="HC145" s="214" t="s">
        <v>9862</v>
      </c>
      <c r="HD145" s="214" t="s">
        <v>34556</v>
      </c>
      <c r="HE145" s="214" t="s">
        <v>70</v>
      </c>
      <c r="HF145" s="214" t="s">
        <v>530</v>
      </c>
      <c r="HH145" s="214" t="s">
        <v>9863</v>
      </c>
      <c r="HI145" s="214" t="s">
        <v>34540</v>
      </c>
      <c r="HJ145" s="214" t="s">
        <v>70</v>
      </c>
      <c r="HK145" s="214" t="s">
        <v>530</v>
      </c>
      <c r="HM145" s="214" t="s">
        <v>9864</v>
      </c>
      <c r="HN145" s="214" t="s">
        <v>484</v>
      </c>
      <c r="HO145" s="214" t="s">
        <v>70</v>
      </c>
      <c r="HP145" s="214" t="s">
        <v>530</v>
      </c>
      <c r="HR145" s="22" t="s">
        <v>9865</v>
      </c>
      <c r="HS145" s="22" t="s">
        <v>52</v>
      </c>
      <c r="HT145" s="22" t="s">
        <v>70</v>
      </c>
      <c r="HU145" s="214" t="s">
        <v>530</v>
      </c>
      <c r="HW145" s="22" t="s">
        <v>9866</v>
      </c>
      <c r="HX145" s="22" t="s">
        <v>34590</v>
      </c>
      <c r="HY145" s="22" t="s">
        <v>70</v>
      </c>
      <c r="HZ145" s="214" t="s">
        <v>530</v>
      </c>
      <c r="IB145" s="22" t="s">
        <v>9867</v>
      </c>
      <c r="IC145" s="22" t="s">
        <v>34544</v>
      </c>
      <c r="ID145" s="22" t="s">
        <v>70</v>
      </c>
      <c r="IE145" s="214" t="s">
        <v>530</v>
      </c>
      <c r="IG145" s="22" t="s">
        <v>9868</v>
      </c>
      <c r="IH145" s="22" t="s">
        <v>52</v>
      </c>
      <c r="II145" s="22" t="s">
        <v>70</v>
      </c>
      <c r="IJ145" s="214" t="s">
        <v>530</v>
      </c>
      <c r="IL145" s="22" t="s">
        <v>9869</v>
      </c>
      <c r="IM145" s="22" t="s">
        <v>145</v>
      </c>
      <c r="IN145" s="22" t="s">
        <v>70</v>
      </c>
      <c r="IO145" s="214" t="s">
        <v>530</v>
      </c>
      <c r="IQ145" s="236" t="s">
        <v>9870</v>
      </c>
      <c r="IR145" s="236" t="s">
        <v>145</v>
      </c>
      <c r="IS145" s="236" t="s">
        <v>74</v>
      </c>
      <c r="IT145" s="236" t="s">
        <v>841</v>
      </c>
      <c r="IV145" s="236" t="s">
        <v>9871</v>
      </c>
      <c r="IW145" s="236" t="s">
        <v>145</v>
      </c>
      <c r="IX145" s="236" t="s">
        <v>74</v>
      </c>
      <c r="IY145" s="236" t="s">
        <v>841</v>
      </c>
      <c r="JA145" s="236" t="s">
        <v>9872</v>
      </c>
      <c r="JB145" s="236" t="s">
        <v>145</v>
      </c>
      <c r="JC145" s="236" t="s">
        <v>74</v>
      </c>
      <c r="JD145" s="236" t="s">
        <v>841</v>
      </c>
      <c r="JF145" s="236" t="s">
        <v>9873</v>
      </c>
      <c r="JG145" s="236" t="s">
        <v>145</v>
      </c>
      <c r="JH145" s="236" t="s">
        <v>74</v>
      </c>
      <c r="JI145" s="236" t="s">
        <v>841</v>
      </c>
      <c r="JK145" s="236" t="s">
        <v>9874</v>
      </c>
      <c r="JL145" s="236" t="s">
        <v>145</v>
      </c>
      <c r="JM145" s="236" t="s">
        <v>74</v>
      </c>
      <c r="JN145" s="236" t="s">
        <v>841</v>
      </c>
      <c r="JP145" s="236" t="s">
        <v>9875</v>
      </c>
      <c r="JQ145" s="236" t="s">
        <v>145</v>
      </c>
      <c r="JR145" s="236" t="s">
        <v>74</v>
      </c>
      <c r="JS145" s="236" t="s">
        <v>841</v>
      </c>
      <c r="JU145" s="294" t="s">
        <v>9876</v>
      </c>
      <c r="JV145" s="263" t="s">
        <v>52</v>
      </c>
      <c r="JW145" s="263" t="s">
        <v>70</v>
      </c>
      <c r="JX145" s="263" t="s">
        <v>34253</v>
      </c>
      <c r="JZ145" s="263" t="s">
        <v>9877</v>
      </c>
      <c r="KA145" s="263" t="s">
        <v>145</v>
      </c>
      <c r="KB145" s="263" t="s">
        <v>70</v>
      </c>
      <c r="KC145" s="263" t="s">
        <v>1083</v>
      </c>
      <c r="KE145" s="263" t="s">
        <v>9878</v>
      </c>
      <c r="KF145" s="263" t="s">
        <v>52</v>
      </c>
      <c r="KG145" s="263" t="s">
        <v>70</v>
      </c>
      <c r="KH145" s="263" t="s">
        <v>1083</v>
      </c>
      <c r="KJ145" s="263" t="s">
        <v>9879</v>
      </c>
      <c r="KK145" s="263" t="s">
        <v>52</v>
      </c>
      <c r="KL145" s="263" t="s">
        <v>74</v>
      </c>
      <c r="KM145" s="263" t="s">
        <v>34074</v>
      </c>
      <c r="KO145" s="214" t="s">
        <v>9880</v>
      </c>
      <c r="KP145" s="214" t="s">
        <v>145</v>
      </c>
      <c r="KQ145" s="214" t="s">
        <v>70</v>
      </c>
      <c r="KR145" s="214" t="s">
        <v>67</v>
      </c>
      <c r="KT145" s="22" t="s">
        <v>9881</v>
      </c>
      <c r="KU145" s="22" t="s">
        <v>145</v>
      </c>
      <c r="KV145" s="22" t="s">
        <v>70</v>
      </c>
      <c r="KW145" s="22" t="s">
        <v>67</v>
      </c>
      <c r="KY145" s="214" t="s">
        <v>9882</v>
      </c>
      <c r="KZ145" s="214" t="s">
        <v>52</v>
      </c>
      <c r="LA145" s="214" t="s">
        <v>74</v>
      </c>
      <c r="LB145" s="214" t="s">
        <v>67</v>
      </c>
      <c r="LD145" s="22" t="s">
        <v>9883</v>
      </c>
      <c r="LE145" s="22" t="s">
        <v>145</v>
      </c>
      <c r="LF145" s="22" t="s">
        <v>70</v>
      </c>
      <c r="LG145" s="22" t="s">
        <v>67</v>
      </c>
    </row>
    <row r="146" spans="1:319">
      <c r="A146" s="22" t="s">
        <v>9884</v>
      </c>
      <c r="B146" s="22" t="s">
        <v>145</v>
      </c>
      <c r="C146" s="22" t="s">
        <v>70</v>
      </c>
      <c r="D146" s="22" t="s">
        <v>67</v>
      </c>
      <c r="F146" s="23" t="s">
        <v>9885</v>
      </c>
      <c r="G146" s="23" t="str">
        <f>TVIIBE1M_CalPairs!$E143</f>
        <v>0x69</v>
      </c>
      <c r="H146" s="23" t="s">
        <v>70</v>
      </c>
      <c r="I146" s="23" t="str">
        <f>TVIIBE1M_CalPairs!$C143</f>
        <v>PASS0_SAR0_ADDR2</v>
      </c>
      <c r="K146" s="22" t="s">
        <v>9886</v>
      </c>
      <c r="L146" s="22" t="s">
        <v>145</v>
      </c>
      <c r="M146" s="22" t="s">
        <v>70</v>
      </c>
      <c r="N146" s="22" t="s">
        <v>67</v>
      </c>
      <c r="P146" s="22" t="s">
        <v>9887</v>
      </c>
      <c r="Q146" s="22" t="s">
        <v>145</v>
      </c>
      <c r="R146" s="22" t="s">
        <v>70</v>
      </c>
      <c r="S146" s="22" t="s">
        <v>67</v>
      </c>
      <c r="U146" s="293" t="s">
        <v>9888</v>
      </c>
      <c r="V146" s="293" t="s">
        <v>145</v>
      </c>
      <c r="W146" s="293" t="s">
        <v>74</v>
      </c>
      <c r="X146" s="293" t="s">
        <v>656</v>
      </c>
      <c r="Z146" s="293" t="s">
        <v>9889</v>
      </c>
      <c r="AA146" s="293" t="s">
        <v>145</v>
      </c>
      <c r="AB146" s="293" t="s">
        <v>74</v>
      </c>
      <c r="AC146" s="293" t="s">
        <v>656</v>
      </c>
      <c r="AE146" s="293" t="s">
        <v>9890</v>
      </c>
      <c r="AF146" s="293" t="s">
        <v>145</v>
      </c>
      <c r="AG146" s="293" t="s">
        <v>74</v>
      </c>
      <c r="AH146" s="293" t="s">
        <v>656</v>
      </c>
      <c r="AJ146" s="293" t="s">
        <v>9891</v>
      </c>
      <c r="AK146" s="293" t="s">
        <v>145</v>
      </c>
      <c r="AL146" s="293" t="s">
        <v>74</v>
      </c>
      <c r="AM146" s="293" t="s">
        <v>656</v>
      </c>
      <c r="AO146" s="22" t="s">
        <v>9892</v>
      </c>
      <c r="AP146" s="22" t="s">
        <v>145</v>
      </c>
      <c r="AQ146" s="22" t="s">
        <v>70</v>
      </c>
      <c r="AR146" s="22" t="s">
        <v>67</v>
      </c>
      <c r="AT146" s="22" t="s">
        <v>9893</v>
      </c>
      <c r="AU146" s="22" t="s">
        <v>145</v>
      </c>
      <c r="AV146" s="22" t="s">
        <v>70</v>
      </c>
      <c r="AW146" s="22" t="s">
        <v>67</v>
      </c>
      <c r="AY146" s="22" t="s">
        <v>9894</v>
      </c>
      <c r="AZ146" s="22" t="s">
        <v>145</v>
      </c>
      <c r="BA146" s="22" t="s">
        <v>70</v>
      </c>
      <c r="BB146" s="22" t="s">
        <v>67</v>
      </c>
      <c r="BD146" s="22" t="s">
        <v>9895</v>
      </c>
      <c r="BE146" s="22" t="s">
        <v>145</v>
      </c>
      <c r="BF146" s="22" t="s">
        <v>70</v>
      </c>
      <c r="BG146" s="22" t="s">
        <v>67</v>
      </c>
      <c r="BI146" s="22" t="s">
        <v>9896</v>
      </c>
      <c r="BJ146" s="22" t="s">
        <v>145</v>
      </c>
      <c r="BK146" s="22" t="s">
        <v>70</v>
      </c>
      <c r="BL146" s="22" t="s">
        <v>67</v>
      </c>
      <c r="BN146" s="22" t="s">
        <v>9897</v>
      </c>
      <c r="BO146" s="22" t="s">
        <v>145</v>
      </c>
      <c r="BP146" s="22" t="s">
        <v>70</v>
      </c>
      <c r="BQ146" s="22" t="s">
        <v>67</v>
      </c>
      <c r="BS146" s="22" t="s">
        <v>9898</v>
      </c>
      <c r="BT146" s="22" t="s">
        <v>145</v>
      </c>
      <c r="BU146" s="22" t="s">
        <v>70</v>
      </c>
      <c r="BV146" s="214" t="s">
        <v>530</v>
      </c>
      <c r="BX146" s="22" t="s">
        <v>9899</v>
      </c>
      <c r="BY146" s="22" t="s">
        <v>145</v>
      </c>
      <c r="BZ146" s="22" t="s">
        <v>70</v>
      </c>
      <c r="CA146" s="214" t="s">
        <v>530</v>
      </c>
      <c r="CC146" s="214" t="s">
        <v>9900</v>
      </c>
      <c r="CD146" s="218" t="s">
        <v>145</v>
      </c>
      <c r="CE146" s="214" t="s">
        <v>70</v>
      </c>
      <c r="CF146" s="214" t="s">
        <v>441</v>
      </c>
      <c r="CH146" s="214" t="s">
        <v>9901</v>
      </c>
      <c r="CI146" s="214" t="s">
        <v>34558</v>
      </c>
      <c r="CJ146" s="214" t="s">
        <v>70</v>
      </c>
      <c r="CK146" s="214" t="s">
        <v>530</v>
      </c>
      <c r="CM146" s="214" t="s">
        <v>9902</v>
      </c>
      <c r="CN146" s="214" t="s">
        <v>52</v>
      </c>
      <c r="CO146" s="214" t="s">
        <v>70</v>
      </c>
      <c r="CP146" s="214" t="s">
        <v>530</v>
      </c>
      <c r="CR146" s="214" t="s">
        <v>9903</v>
      </c>
      <c r="CS146" s="214" t="s">
        <v>103</v>
      </c>
      <c r="CT146" s="214" t="s">
        <v>70</v>
      </c>
      <c r="CU146" s="214" t="s">
        <v>530</v>
      </c>
      <c r="CW146" s="214" t="s">
        <v>9904</v>
      </c>
      <c r="CX146" s="214" t="s">
        <v>85</v>
      </c>
      <c r="CY146" s="214" t="s">
        <v>70</v>
      </c>
      <c r="CZ146" s="214" t="s">
        <v>530</v>
      </c>
      <c r="DB146" s="214" t="s">
        <v>9905</v>
      </c>
      <c r="DC146" s="214" t="s">
        <v>468</v>
      </c>
      <c r="DD146" s="214" t="s">
        <v>70</v>
      </c>
      <c r="DE146" s="214" t="s">
        <v>530</v>
      </c>
      <c r="DG146" s="214" t="s">
        <v>9906</v>
      </c>
      <c r="DH146" s="214" t="s">
        <v>86</v>
      </c>
      <c r="DI146" s="214" t="s">
        <v>70</v>
      </c>
      <c r="DJ146" s="214" t="s">
        <v>530</v>
      </c>
      <c r="DL146" s="214" t="s">
        <v>9907</v>
      </c>
      <c r="DM146" s="214" t="s">
        <v>642</v>
      </c>
      <c r="DN146" s="214" t="s">
        <v>70</v>
      </c>
      <c r="DO146" s="214" t="s">
        <v>530</v>
      </c>
      <c r="DQ146" s="214" t="s">
        <v>9908</v>
      </c>
      <c r="DR146" s="214" t="s">
        <v>529</v>
      </c>
      <c r="DS146" s="214" t="s">
        <v>70</v>
      </c>
      <c r="DT146" s="214" t="s">
        <v>530</v>
      </c>
      <c r="DV146" s="214" t="s">
        <v>9909</v>
      </c>
      <c r="DW146" s="214" t="s">
        <v>164</v>
      </c>
      <c r="DX146" s="214" t="s">
        <v>70</v>
      </c>
      <c r="DY146" s="214" t="s">
        <v>530</v>
      </c>
      <c r="EA146" s="214" t="s">
        <v>9910</v>
      </c>
      <c r="EB146" s="214" t="s">
        <v>34073</v>
      </c>
      <c r="EC146" s="214" t="s">
        <v>70</v>
      </c>
      <c r="ED146" s="214" t="s">
        <v>530</v>
      </c>
      <c r="EF146" s="214" t="s">
        <v>9911</v>
      </c>
      <c r="EG146" s="214" t="s">
        <v>92</v>
      </c>
      <c r="EH146" s="214" t="s">
        <v>70</v>
      </c>
      <c r="EI146" s="214" t="s">
        <v>530</v>
      </c>
      <c r="EK146" s="214" t="s">
        <v>9912</v>
      </c>
      <c r="EL146" s="214" t="s">
        <v>145</v>
      </c>
      <c r="EM146" s="214" t="s">
        <v>70</v>
      </c>
      <c r="EN146" s="214" t="s">
        <v>530</v>
      </c>
      <c r="EP146" s="214" t="s">
        <v>9913</v>
      </c>
      <c r="EQ146" s="214" t="s">
        <v>164</v>
      </c>
      <c r="ER146" s="214" t="s">
        <v>70</v>
      </c>
      <c r="ES146" s="214" t="s">
        <v>530</v>
      </c>
      <c r="EU146" s="214" t="s">
        <v>9914</v>
      </c>
      <c r="EV146" s="214" t="s">
        <v>163</v>
      </c>
      <c r="EW146" s="214" t="s">
        <v>70</v>
      </c>
      <c r="EX146" s="214" t="s">
        <v>530</v>
      </c>
      <c r="EZ146" s="214" t="s">
        <v>9915</v>
      </c>
      <c r="FA146" s="214" t="s">
        <v>163</v>
      </c>
      <c r="FB146" s="214" t="s">
        <v>70</v>
      </c>
      <c r="FC146" s="214" t="s">
        <v>530</v>
      </c>
      <c r="FE146" s="214" t="s">
        <v>9916</v>
      </c>
      <c r="FF146" s="214" t="s">
        <v>34539</v>
      </c>
      <c r="FG146" s="214" t="s">
        <v>70</v>
      </c>
      <c r="FH146" s="214" t="s">
        <v>530</v>
      </c>
      <c r="FJ146" s="321" t="s">
        <v>9917</v>
      </c>
      <c r="FK146" s="214" t="s">
        <v>34593</v>
      </c>
      <c r="FL146" s="214" t="s">
        <v>70</v>
      </c>
      <c r="FM146" s="214" t="s">
        <v>530</v>
      </c>
      <c r="FO146" s="321" t="s">
        <v>9918</v>
      </c>
      <c r="FP146" s="214" t="s">
        <v>88</v>
      </c>
      <c r="FQ146" s="214" t="s">
        <v>70</v>
      </c>
      <c r="FR146" s="214" t="s">
        <v>530</v>
      </c>
      <c r="FT146" s="321" t="s">
        <v>9919</v>
      </c>
      <c r="FU146" s="214" t="s">
        <v>148</v>
      </c>
      <c r="FV146" s="214" t="s">
        <v>70</v>
      </c>
      <c r="FW146" s="214" t="s">
        <v>530</v>
      </c>
      <c r="FY146" s="321" t="s">
        <v>9920</v>
      </c>
      <c r="FZ146" s="214" t="s">
        <v>90</v>
      </c>
      <c r="GA146" s="214" t="s">
        <v>70</v>
      </c>
      <c r="GB146" s="214" t="s">
        <v>530</v>
      </c>
      <c r="GD146" s="321" t="s">
        <v>9921</v>
      </c>
      <c r="GE146" s="214" t="s">
        <v>52</v>
      </c>
      <c r="GF146" s="214" t="s">
        <v>70</v>
      </c>
      <c r="GG146" s="214" t="s">
        <v>530</v>
      </c>
      <c r="GI146" s="321" t="s">
        <v>9922</v>
      </c>
      <c r="GJ146" s="214" t="s">
        <v>148</v>
      </c>
      <c r="GK146" s="214" t="s">
        <v>70</v>
      </c>
      <c r="GL146" s="214" t="s">
        <v>530</v>
      </c>
      <c r="GN146" s="321" t="s">
        <v>9923</v>
      </c>
      <c r="GO146" s="214" t="s">
        <v>305</v>
      </c>
      <c r="GP146" s="214" t="s">
        <v>70</v>
      </c>
      <c r="GQ146" s="214" t="s">
        <v>530</v>
      </c>
      <c r="GS146" s="321" t="s">
        <v>9924</v>
      </c>
      <c r="GT146" s="214" t="s">
        <v>148</v>
      </c>
      <c r="GU146" s="214" t="s">
        <v>70</v>
      </c>
      <c r="GV146" s="214" t="s">
        <v>530</v>
      </c>
      <c r="GX146" s="214" t="s">
        <v>9925</v>
      </c>
      <c r="GY146" s="214" t="s">
        <v>1028</v>
      </c>
      <c r="GZ146" s="214" t="s">
        <v>70</v>
      </c>
      <c r="HA146" s="214" t="s">
        <v>530</v>
      </c>
      <c r="HC146" s="214" t="s">
        <v>9926</v>
      </c>
      <c r="HD146" s="214" t="s">
        <v>655</v>
      </c>
      <c r="HE146" s="214" t="s">
        <v>70</v>
      </c>
      <c r="HF146" s="214" t="s">
        <v>530</v>
      </c>
      <c r="HH146" s="214" t="s">
        <v>9927</v>
      </c>
      <c r="HI146" s="214" t="s">
        <v>286</v>
      </c>
      <c r="HJ146" s="214" t="s">
        <v>70</v>
      </c>
      <c r="HK146" s="214" t="s">
        <v>530</v>
      </c>
      <c r="HM146" s="214" t="s">
        <v>9928</v>
      </c>
      <c r="HN146" s="214" t="s">
        <v>52</v>
      </c>
      <c r="HO146" s="214" t="s">
        <v>70</v>
      </c>
      <c r="HP146" s="214" t="s">
        <v>530</v>
      </c>
      <c r="HR146" s="22" t="s">
        <v>9929</v>
      </c>
      <c r="HS146" s="22" t="s">
        <v>86</v>
      </c>
      <c r="HT146" s="22" t="s">
        <v>70</v>
      </c>
      <c r="HU146" s="214" t="s">
        <v>530</v>
      </c>
      <c r="HW146" s="22" t="s">
        <v>9930</v>
      </c>
      <c r="HX146" s="22" t="s">
        <v>925</v>
      </c>
      <c r="HY146" s="22" t="s">
        <v>70</v>
      </c>
      <c r="HZ146" s="214" t="s">
        <v>530</v>
      </c>
      <c r="IB146" s="22" t="s">
        <v>9931</v>
      </c>
      <c r="IC146" s="22" t="s">
        <v>503</v>
      </c>
      <c r="ID146" s="22" t="s">
        <v>70</v>
      </c>
      <c r="IE146" s="214" t="s">
        <v>530</v>
      </c>
      <c r="IG146" s="22" t="s">
        <v>9932</v>
      </c>
      <c r="IH146" s="22" t="s">
        <v>52</v>
      </c>
      <c r="II146" s="22" t="s">
        <v>70</v>
      </c>
      <c r="IJ146" s="214" t="s">
        <v>530</v>
      </c>
      <c r="IL146" s="22" t="s">
        <v>9933</v>
      </c>
      <c r="IM146" s="22" t="s">
        <v>145</v>
      </c>
      <c r="IN146" s="22" t="s">
        <v>70</v>
      </c>
      <c r="IO146" s="214" t="s">
        <v>530</v>
      </c>
      <c r="IQ146" s="236" t="s">
        <v>9934</v>
      </c>
      <c r="IR146" s="236" t="s">
        <v>145</v>
      </c>
      <c r="IS146" s="236" t="s">
        <v>74</v>
      </c>
      <c r="IT146" s="236" t="s">
        <v>841</v>
      </c>
      <c r="IV146" s="236" t="s">
        <v>9935</v>
      </c>
      <c r="IW146" s="236" t="s">
        <v>145</v>
      </c>
      <c r="IX146" s="236" t="s">
        <v>74</v>
      </c>
      <c r="IY146" s="236" t="s">
        <v>841</v>
      </c>
      <c r="JA146" s="236" t="s">
        <v>9936</v>
      </c>
      <c r="JB146" s="236" t="s">
        <v>145</v>
      </c>
      <c r="JC146" s="236" t="s">
        <v>74</v>
      </c>
      <c r="JD146" s="236" t="s">
        <v>841</v>
      </c>
      <c r="JF146" s="236" t="s">
        <v>9937</v>
      </c>
      <c r="JG146" s="236" t="s">
        <v>145</v>
      </c>
      <c r="JH146" s="236" t="s">
        <v>74</v>
      </c>
      <c r="JI146" s="236" t="s">
        <v>841</v>
      </c>
      <c r="JK146" s="236" t="s">
        <v>9938</v>
      </c>
      <c r="JL146" s="236" t="s">
        <v>145</v>
      </c>
      <c r="JM146" s="236" t="s">
        <v>74</v>
      </c>
      <c r="JN146" s="236" t="s">
        <v>841</v>
      </c>
      <c r="JP146" s="236" t="s">
        <v>9939</v>
      </c>
      <c r="JQ146" s="236" t="s">
        <v>145</v>
      </c>
      <c r="JR146" s="236" t="s">
        <v>74</v>
      </c>
      <c r="JS146" s="236" t="s">
        <v>841</v>
      </c>
      <c r="JU146" s="294" t="s">
        <v>9940</v>
      </c>
      <c r="JV146" s="218" t="s">
        <v>148</v>
      </c>
      <c r="JW146" s="263" t="s">
        <v>70</v>
      </c>
      <c r="JX146" s="263" t="s">
        <v>34254</v>
      </c>
      <c r="JZ146" s="263" t="s">
        <v>9941</v>
      </c>
      <c r="KA146" s="263" t="s">
        <v>145</v>
      </c>
      <c r="KB146" s="263" t="s">
        <v>70</v>
      </c>
      <c r="KC146" s="263" t="s">
        <v>1083</v>
      </c>
      <c r="KE146" s="263" t="s">
        <v>9942</v>
      </c>
      <c r="KF146" s="263" t="s">
        <v>52</v>
      </c>
      <c r="KG146" s="263" t="s">
        <v>70</v>
      </c>
      <c r="KH146" s="263" t="s">
        <v>1083</v>
      </c>
      <c r="KJ146" s="263" t="s">
        <v>9943</v>
      </c>
      <c r="KK146" s="263" t="s">
        <v>52</v>
      </c>
      <c r="KL146" s="263" t="s">
        <v>74</v>
      </c>
      <c r="KM146" s="263" t="s">
        <v>34074</v>
      </c>
      <c r="KO146" s="214" t="s">
        <v>9944</v>
      </c>
      <c r="KP146" s="214" t="s">
        <v>145</v>
      </c>
      <c r="KQ146" s="214" t="s">
        <v>70</v>
      </c>
      <c r="KR146" s="214" t="s">
        <v>67</v>
      </c>
      <c r="KT146" s="22" t="s">
        <v>9945</v>
      </c>
      <c r="KU146" s="22" t="s">
        <v>145</v>
      </c>
      <c r="KV146" s="22" t="s">
        <v>70</v>
      </c>
      <c r="KW146" s="22" t="s">
        <v>67</v>
      </c>
      <c r="KY146" s="214" t="s">
        <v>9946</v>
      </c>
      <c r="KZ146" s="214" t="s">
        <v>52</v>
      </c>
      <c r="LA146" s="214" t="s">
        <v>74</v>
      </c>
      <c r="LB146" s="214" t="s">
        <v>67</v>
      </c>
      <c r="LD146" s="22" t="s">
        <v>9947</v>
      </c>
      <c r="LE146" s="22" t="s">
        <v>145</v>
      </c>
      <c r="LF146" s="22" t="s">
        <v>70</v>
      </c>
      <c r="LG146" s="22" t="s">
        <v>67</v>
      </c>
    </row>
    <row r="147" spans="1:319">
      <c r="A147" s="22" t="s">
        <v>9948</v>
      </c>
      <c r="B147" s="22" t="s">
        <v>145</v>
      </c>
      <c r="C147" s="22" t="s">
        <v>70</v>
      </c>
      <c r="D147" s="22" t="s">
        <v>67</v>
      </c>
      <c r="F147" s="23" t="s">
        <v>9949</v>
      </c>
      <c r="G147" s="23" t="str">
        <f>TVIIBE1M_CalPairs!$E144</f>
        <v>0x00</v>
      </c>
      <c r="H147" s="23" t="s">
        <v>72</v>
      </c>
      <c r="I147" s="23" t="str">
        <f>TVIIBE1M_CalPairs!$C144</f>
        <v>PASS0_SAR0_ANA_CAL_VAL0</v>
      </c>
      <c r="K147" s="22" t="s">
        <v>9950</v>
      </c>
      <c r="L147" s="22" t="s">
        <v>145</v>
      </c>
      <c r="M147" s="22" t="s">
        <v>70</v>
      </c>
      <c r="N147" s="22" t="s">
        <v>67</v>
      </c>
      <c r="P147" s="22" t="s">
        <v>9951</v>
      </c>
      <c r="Q147" s="22" t="s">
        <v>145</v>
      </c>
      <c r="R147" s="22" t="s">
        <v>70</v>
      </c>
      <c r="S147" s="22" t="s">
        <v>67</v>
      </c>
      <c r="U147" s="293" t="s">
        <v>9952</v>
      </c>
      <c r="V147" s="293" t="s">
        <v>145</v>
      </c>
      <c r="W147" s="293" t="s">
        <v>74</v>
      </c>
      <c r="X147" s="293" t="s">
        <v>656</v>
      </c>
      <c r="Z147" s="293" t="s">
        <v>9953</v>
      </c>
      <c r="AA147" s="293" t="s">
        <v>145</v>
      </c>
      <c r="AB147" s="293" t="s">
        <v>74</v>
      </c>
      <c r="AC147" s="293" t="s">
        <v>656</v>
      </c>
      <c r="AE147" s="293" t="s">
        <v>9954</v>
      </c>
      <c r="AF147" s="293" t="s">
        <v>145</v>
      </c>
      <c r="AG147" s="293" t="s">
        <v>74</v>
      </c>
      <c r="AH147" s="293" t="s">
        <v>656</v>
      </c>
      <c r="AJ147" s="293" t="s">
        <v>9955</v>
      </c>
      <c r="AK147" s="293" t="s">
        <v>145</v>
      </c>
      <c r="AL147" s="293" t="s">
        <v>74</v>
      </c>
      <c r="AM147" s="293" t="s">
        <v>656</v>
      </c>
      <c r="AO147" s="22" t="s">
        <v>9956</v>
      </c>
      <c r="AP147" s="22" t="s">
        <v>145</v>
      </c>
      <c r="AQ147" s="22" t="s">
        <v>70</v>
      </c>
      <c r="AR147" s="22" t="s">
        <v>67</v>
      </c>
      <c r="AT147" s="22" t="s">
        <v>9957</v>
      </c>
      <c r="AU147" s="22" t="s">
        <v>145</v>
      </c>
      <c r="AV147" s="22" t="s">
        <v>70</v>
      </c>
      <c r="AW147" s="22" t="s">
        <v>67</v>
      </c>
      <c r="AY147" s="22" t="s">
        <v>9958</v>
      </c>
      <c r="AZ147" s="22" t="s">
        <v>145</v>
      </c>
      <c r="BA147" s="22" t="s">
        <v>70</v>
      </c>
      <c r="BB147" s="22" t="s">
        <v>67</v>
      </c>
      <c r="BD147" s="22" t="s">
        <v>9959</v>
      </c>
      <c r="BE147" s="22" t="s">
        <v>145</v>
      </c>
      <c r="BF147" s="22" t="s">
        <v>70</v>
      </c>
      <c r="BG147" s="22" t="s">
        <v>67</v>
      </c>
      <c r="BI147" s="22" t="s">
        <v>9960</v>
      </c>
      <c r="BJ147" s="22" t="s">
        <v>145</v>
      </c>
      <c r="BK147" s="22" t="s">
        <v>70</v>
      </c>
      <c r="BL147" s="22" t="s">
        <v>67</v>
      </c>
      <c r="BN147" s="22" t="s">
        <v>9961</v>
      </c>
      <c r="BO147" s="22" t="s">
        <v>145</v>
      </c>
      <c r="BP147" s="22" t="s">
        <v>70</v>
      </c>
      <c r="BQ147" s="22" t="s">
        <v>67</v>
      </c>
      <c r="BS147" s="22" t="s">
        <v>9962</v>
      </c>
      <c r="BT147" s="22" t="s">
        <v>145</v>
      </c>
      <c r="BU147" s="22" t="s">
        <v>70</v>
      </c>
      <c r="BV147" s="214" t="s">
        <v>530</v>
      </c>
      <c r="BX147" s="22" t="s">
        <v>9963</v>
      </c>
      <c r="BY147" s="22" t="s">
        <v>145</v>
      </c>
      <c r="BZ147" s="22" t="s">
        <v>70</v>
      </c>
      <c r="CA147" s="214" t="s">
        <v>530</v>
      </c>
      <c r="CC147" s="214" t="s">
        <v>9964</v>
      </c>
      <c r="CD147" s="218" t="s">
        <v>145</v>
      </c>
      <c r="CE147" s="214" t="s">
        <v>70</v>
      </c>
      <c r="CF147" s="214" t="s">
        <v>442</v>
      </c>
      <c r="CH147" s="214" t="s">
        <v>9965</v>
      </c>
      <c r="CI147" s="214" t="s">
        <v>34550</v>
      </c>
      <c r="CJ147" s="214" t="s">
        <v>70</v>
      </c>
      <c r="CK147" s="214" t="s">
        <v>530</v>
      </c>
      <c r="CM147" s="214" t="s">
        <v>9966</v>
      </c>
      <c r="CN147" s="214" t="s">
        <v>485</v>
      </c>
      <c r="CO147" s="214" t="s">
        <v>70</v>
      </c>
      <c r="CP147" s="214" t="s">
        <v>530</v>
      </c>
      <c r="CR147" s="214" t="s">
        <v>9967</v>
      </c>
      <c r="CS147" s="214" t="s">
        <v>484</v>
      </c>
      <c r="CT147" s="214" t="s">
        <v>70</v>
      </c>
      <c r="CU147" s="214" t="s">
        <v>530</v>
      </c>
      <c r="CW147" s="214" t="s">
        <v>9968</v>
      </c>
      <c r="CX147" s="214" t="s">
        <v>485</v>
      </c>
      <c r="CY147" s="214" t="s">
        <v>70</v>
      </c>
      <c r="CZ147" s="214" t="s">
        <v>530</v>
      </c>
      <c r="DB147" s="214" t="s">
        <v>9969</v>
      </c>
      <c r="DC147" s="214" t="s">
        <v>484</v>
      </c>
      <c r="DD147" s="214" t="s">
        <v>70</v>
      </c>
      <c r="DE147" s="214" t="s">
        <v>530</v>
      </c>
      <c r="DG147" s="214" t="s">
        <v>9970</v>
      </c>
      <c r="DH147" s="214" t="s">
        <v>146</v>
      </c>
      <c r="DI147" s="214" t="s">
        <v>70</v>
      </c>
      <c r="DJ147" s="214" t="s">
        <v>530</v>
      </c>
      <c r="DL147" s="214" t="s">
        <v>9971</v>
      </c>
      <c r="DM147" s="214" t="s">
        <v>34547</v>
      </c>
      <c r="DN147" s="214" t="s">
        <v>70</v>
      </c>
      <c r="DO147" s="214" t="s">
        <v>530</v>
      </c>
      <c r="DQ147" s="214" t="s">
        <v>9972</v>
      </c>
      <c r="DR147" s="214" t="s">
        <v>87</v>
      </c>
      <c r="DS147" s="214" t="s">
        <v>70</v>
      </c>
      <c r="DT147" s="214" t="s">
        <v>530</v>
      </c>
      <c r="DV147" s="214" t="s">
        <v>9973</v>
      </c>
      <c r="DW147" s="214" t="s">
        <v>950</v>
      </c>
      <c r="DX147" s="214" t="s">
        <v>70</v>
      </c>
      <c r="DY147" s="214" t="s">
        <v>530</v>
      </c>
      <c r="EA147" s="214" t="s">
        <v>9974</v>
      </c>
      <c r="EB147" s="214" t="s">
        <v>491</v>
      </c>
      <c r="EC147" s="214" t="s">
        <v>70</v>
      </c>
      <c r="ED147" s="214" t="s">
        <v>530</v>
      </c>
      <c r="EF147" s="214" t="s">
        <v>9975</v>
      </c>
      <c r="EG147" s="214" t="s">
        <v>496</v>
      </c>
      <c r="EH147" s="214" t="s">
        <v>70</v>
      </c>
      <c r="EI147" s="214" t="s">
        <v>530</v>
      </c>
      <c r="EK147" s="214" t="s">
        <v>9976</v>
      </c>
      <c r="EL147" s="214" t="s">
        <v>34541</v>
      </c>
      <c r="EM147" s="214" t="s">
        <v>70</v>
      </c>
      <c r="EN147" s="214" t="s">
        <v>530</v>
      </c>
      <c r="EP147" s="214" t="s">
        <v>9977</v>
      </c>
      <c r="EQ147" s="214" t="s">
        <v>34549</v>
      </c>
      <c r="ER147" s="214" t="s">
        <v>70</v>
      </c>
      <c r="ES147" s="214" t="s">
        <v>530</v>
      </c>
      <c r="EU147" s="214" t="s">
        <v>9978</v>
      </c>
      <c r="EV147" s="214" t="s">
        <v>484</v>
      </c>
      <c r="EW147" s="214" t="s">
        <v>70</v>
      </c>
      <c r="EX147" s="214" t="s">
        <v>530</v>
      </c>
      <c r="EZ147" s="214" t="s">
        <v>9979</v>
      </c>
      <c r="FA147" s="214" t="s">
        <v>488</v>
      </c>
      <c r="FB147" s="214" t="s">
        <v>70</v>
      </c>
      <c r="FC147" s="214" t="s">
        <v>530</v>
      </c>
      <c r="FE147" s="214" t="s">
        <v>9980</v>
      </c>
      <c r="FF147" s="214" t="s">
        <v>34544</v>
      </c>
      <c r="FG147" s="214" t="s">
        <v>70</v>
      </c>
      <c r="FH147" s="214" t="s">
        <v>530</v>
      </c>
      <c r="FJ147" s="321" t="s">
        <v>9981</v>
      </c>
      <c r="FK147" s="214" t="s">
        <v>486</v>
      </c>
      <c r="FL147" s="214" t="s">
        <v>70</v>
      </c>
      <c r="FM147" s="214" t="s">
        <v>530</v>
      </c>
      <c r="FO147" s="321" t="s">
        <v>9982</v>
      </c>
      <c r="FP147" s="214" t="s">
        <v>488</v>
      </c>
      <c r="FQ147" s="214" t="s">
        <v>70</v>
      </c>
      <c r="FR147" s="214" t="s">
        <v>530</v>
      </c>
      <c r="FT147" s="321" t="s">
        <v>9983</v>
      </c>
      <c r="FU147" s="214" t="s">
        <v>950</v>
      </c>
      <c r="FV147" s="214" t="s">
        <v>70</v>
      </c>
      <c r="FW147" s="214" t="s">
        <v>530</v>
      </c>
      <c r="FY147" s="321" t="s">
        <v>9984</v>
      </c>
      <c r="FZ147" s="214" t="s">
        <v>34539</v>
      </c>
      <c r="GA147" s="214" t="s">
        <v>70</v>
      </c>
      <c r="GB147" s="214" t="s">
        <v>530</v>
      </c>
      <c r="GD147" s="321" t="s">
        <v>9985</v>
      </c>
      <c r="GE147" s="214" t="s">
        <v>204</v>
      </c>
      <c r="GF147" s="214" t="s">
        <v>70</v>
      </c>
      <c r="GG147" s="214" t="s">
        <v>530</v>
      </c>
      <c r="GI147" s="321" t="s">
        <v>9986</v>
      </c>
      <c r="GJ147" s="214" t="s">
        <v>919</v>
      </c>
      <c r="GK147" s="214" t="s">
        <v>70</v>
      </c>
      <c r="GL147" s="214" t="s">
        <v>530</v>
      </c>
      <c r="GN147" s="321" t="s">
        <v>9987</v>
      </c>
      <c r="GO147" s="214" t="s">
        <v>287</v>
      </c>
      <c r="GP147" s="214" t="s">
        <v>70</v>
      </c>
      <c r="GQ147" s="214" t="s">
        <v>530</v>
      </c>
      <c r="GS147" s="321" t="s">
        <v>9988</v>
      </c>
      <c r="GT147" s="214" t="s">
        <v>488</v>
      </c>
      <c r="GU147" s="214" t="s">
        <v>70</v>
      </c>
      <c r="GV147" s="214" t="s">
        <v>530</v>
      </c>
      <c r="GX147" s="214" t="s">
        <v>9989</v>
      </c>
      <c r="GY147" s="214" t="s">
        <v>491</v>
      </c>
      <c r="GZ147" s="214" t="s">
        <v>70</v>
      </c>
      <c r="HA147" s="214" t="s">
        <v>530</v>
      </c>
      <c r="HC147" s="214" t="s">
        <v>9990</v>
      </c>
      <c r="HD147" s="214" t="s">
        <v>491</v>
      </c>
      <c r="HE147" s="214" t="s">
        <v>70</v>
      </c>
      <c r="HF147" s="214" t="s">
        <v>530</v>
      </c>
      <c r="HH147" s="214" t="s">
        <v>9991</v>
      </c>
      <c r="HI147" s="214" t="s">
        <v>34603</v>
      </c>
      <c r="HJ147" s="214" t="s">
        <v>70</v>
      </c>
      <c r="HK147" s="214" t="s">
        <v>530</v>
      </c>
      <c r="HM147" s="214" t="s">
        <v>9992</v>
      </c>
      <c r="HN147" s="214" t="s">
        <v>950</v>
      </c>
      <c r="HO147" s="214" t="s">
        <v>70</v>
      </c>
      <c r="HP147" s="214" t="s">
        <v>530</v>
      </c>
      <c r="HR147" s="22" t="s">
        <v>9993</v>
      </c>
      <c r="HS147" s="22" t="s">
        <v>496</v>
      </c>
      <c r="HT147" s="22" t="s">
        <v>70</v>
      </c>
      <c r="HU147" s="214" t="s">
        <v>530</v>
      </c>
      <c r="HW147" s="22" t="s">
        <v>9994</v>
      </c>
      <c r="HX147" s="22" t="s">
        <v>491</v>
      </c>
      <c r="HY147" s="22" t="s">
        <v>70</v>
      </c>
      <c r="HZ147" s="214" t="s">
        <v>530</v>
      </c>
      <c r="IB147" s="22" t="s">
        <v>9995</v>
      </c>
      <c r="IC147" s="22" t="s">
        <v>502</v>
      </c>
      <c r="ID147" s="22" t="s">
        <v>70</v>
      </c>
      <c r="IE147" s="214" t="s">
        <v>530</v>
      </c>
      <c r="IG147" s="22" t="s">
        <v>9996</v>
      </c>
      <c r="IH147" s="22" t="s">
        <v>52</v>
      </c>
      <c r="II147" s="22" t="s">
        <v>70</v>
      </c>
      <c r="IJ147" s="214" t="s">
        <v>530</v>
      </c>
      <c r="IL147" s="22" t="s">
        <v>9997</v>
      </c>
      <c r="IM147" s="22" t="s">
        <v>145</v>
      </c>
      <c r="IN147" s="22" t="s">
        <v>70</v>
      </c>
      <c r="IO147" s="214" t="s">
        <v>530</v>
      </c>
      <c r="IQ147" s="236" t="s">
        <v>9998</v>
      </c>
      <c r="IR147" s="236" t="s">
        <v>145</v>
      </c>
      <c r="IS147" s="236" t="s">
        <v>74</v>
      </c>
      <c r="IT147" s="236" t="s">
        <v>841</v>
      </c>
      <c r="IV147" s="236" t="s">
        <v>9999</v>
      </c>
      <c r="IW147" s="236" t="s">
        <v>145</v>
      </c>
      <c r="IX147" s="236" t="s">
        <v>74</v>
      </c>
      <c r="IY147" s="236" t="s">
        <v>841</v>
      </c>
      <c r="JA147" s="236" t="s">
        <v>10000</v>
      </c>
      <c r="JB147" s="236" t="s">
        <v>145</v>
      </c>
      <c r="JC147" s="236" t="s">
        <v>74</v>
      </c>
      <c r="JD147" s="236" t="s">
        <v>841</v>
      </c>
      <c r="JF147" s="236" t="s">
        <v>10001</v>
      </c>
      <c r="JG147" s="236" t="s">
        <v>145</v>
      </c>
      <c r="JH147" s="236" t="s">
        <v>74</v>
      </c>
      <c r="JI147" s="236" t="s">
        <v>841</v>
      </c>
      <c r="JK147" s="236" t="s">
        <v>10002</v>
      </c>
      <c r="JL147" s="236" t="s">
        <v>145</v>
      </c>
      <c r="JM147" s="236" t="s">
        <v>74</v>
      </c>
      <c r="JN147" s="236" t="s">
        <v>841</v>
      </c>
      <c r="JP147" s="236" t="s">
        <v>10003</v>
      </c>
      <c r="JQ147" s="236" t="s">
        <v>145</v>
      </c>
      <c r="JR147" s="236" t="s">
        <v>74</v>
      </c>
      <c r="JS147" s="236" t="s">
        <v>841</v>
      </c>
      <c r="JU147" s="294" t="s">
        <v>10004</v>
      </c>
      <c r="JV147" s="263" t="s">
        <v>52</v>
      </c>
      <c r="JW147" s="263" t="s">
        <v>70</v>
      </c>
      <c r="JX147" s="263" t="s">
        <v>34255</v>
      </c>
      <c r="JZ147" s="263" t="s">
        <v>10005</v>
      </c>
      <c r="KA147" s="263" t="s">
        <v>145</v>
      </c>
      <c r="KB147" s="263" t="s">
        <v>70</v>
      </c>
      <c r="KC147" s="263" t="s">
        <v>1083</v>
      </c>
      <c r="KE147" s="263" t="s">
        <v>10006</v>
      </c>
      <c r="KF147" s="263" t="s">
        <v>52</v>
      </c>
      <c r="KG147" s="263" t="s">
        <v>70</v>
      </c>
      <c r="KH147" s="263" t="s">
        <v>1083</v>
      </c>
      <c r="KJ147" s="263" t="s">
        <v>10007</v>
      </c>
      <c r="KK147" s="263" t="s">
        <v>52</v>
      </c>
      <c r="KL147" s="263" t="s">
        <v>74</v>
      </c>
      <c r="KM147" s="263" t="s">
        <v>34074</v>
      </c>
      <c r="KO147" s="214" t="s">
        <v>10008</v>
      </c>
      <c r="KP147" s="214" t="s">
        <v>145</v>
      </c>
      <c r="KQ147" s="214" t="s">
        <v>70</v>
      </c>
      <c r="KR147" s="214" t="s">
        <v>67</v>
      </c>
      <c r="KT147" s="22" t="s">
        <v>10009</v>
      </c>
      <c r="KU147" s="22" t="s">
        <v>145</v>
      </c>
      <c r="KV147" s="22" t="s">
        <v>70</v>
      </c>
      <c r="KW147" s="22" t="s">
        <v>67</v>
      </c>
      <c r="KY147" s="214" t="s">
        <v>10010</v>
      </c>
      <c r="KZ147" s="214" t="s">
        <v>52</v>
      </c>
      <c r="LA147" s="214" t="s">
        <v>74</v>
      </c>
      <c r="LB147" s="214" t="s">
        <v>67</v>
      </c>
      <c r="LD147" s="22" t="s">
        <v>10011</v>
      </c>
      <c r="LE147" s="22" t="s">
        <v>145</v>
      </c>
      <c r="LF147" s="22" t="s">
        <v>70</v>
      </c>
      <c r="LG147" s="22" t="s">
        <v>67</v>
      </c>
    </row>
    <row r="148" spans="1:319">
      <c r="A148" s="22" t="s">
        <v>10012</v>
      </c>
      <c r="B148" s="22" t="s">
        <v>145</v>
      </c>
      <c r="C148" s="22" t="s">
        <v>70</v>
      </c>
      <c r="D148" s="22" t="s">
        <v>67</v>
      </c>
      <c r="F148" s="23" t="s">
        <v>10013</v>
      </c>
      <c r="G148" s="23" t="str">
        <f>TVIIBE1M_CalPairs!$E145</f>
        <v>0x00</v>
      </c>
      <c r="H148" s="23" t="s">
        <v>72</v>
      </c>
      <c r="I148" s="23" t="str">
        <f>TVIIBE1M_CalPairs!$C145</f>
        <v>PASS0_SAR0_ANA_CAL_VAL1</v>
      </c>
      <c r="K148" s="22" t="s">
        <v>10014</v>
      </c>
      <c r="L148" s="22" t="s">
        <v>145</v>
      </c>
      <c r="M148" s="22" t="s">
        <v>70</v>
      </c>
      <c r="N148" s="22" t="s">
        <v>67</v>
      </c>
      <c r="P148" s="22" t="s">
        <v>10015</v>
      </c>
      <c r="Q148" s="22" t="s">
        <v>145</v>
      </c>
      <c r="R148" s="22" t="s">
        <v>70</v>
      </c>
      <c r="S148" s="22" t="s">
        <v>67</v>
      </c>
      <c r="U148" s="293" t="s">
        <v>10016</v>
      </c>
      <c r="V148" s="293" t="s">
        <v>145</v>
      </c>
      <c r="W148" s="293" t="s">
        <v>74</v>
      </c>
      <c r="X148" s="293" t="s">
        <v>656</v>
      </c>
      <c r="Z148" s="293" t="s">
        <v>10017</v>
      </c>
      <c r="AA148" s="293" t="s">
        <v>145</v>
      </c>
      <c r="AB148" s="293" t="s">
        <v>74</v>
      </c>
      <c r="AC148" s="293" t="s">
        <v>656</v>
      </c>
      <c r="AE148" s="293" t="s">
        <v>10018</v>
      </c>
      <c r="AF148" s="293" t="s">
        <v>145</v>
      </c>
      <c r="AG148" s="293" t="s">
        <v>74</v>
      </c>
      <c r="AH148" s="293" t="s">
        <v>656</v>
      </c>
      <c r="AJ148" s="293" t="s">
        <v>10019</v>
      </c>
      <c r="AK148" s="293" t="s">
        <v>145</v>
      </c>
      <c r="AL148" s="293" t="s">
        <v>74</v>
      </c>
      <c r="AM148" s="293" t="s">
        <v>656</v>
      </c>
      <c r="AO148" s="22" t="s">
        <v>10020</v>
      </c>
      <c r="AP148" s="22" t="s">
        <v>145</v>
      </c>
      <c r="AQ148" s="22" t="s">
        <v>70</v>
      </c>
      <c r="AR148" s="22" t="s">
        <v>67</v>
      </c>
      <c r="AT148" s="22" t="s">
        <v>10021</v>
      </c>
      <c r="AU148" s="22" t="s">
        <v>145</v>
      </c>
      <c r="AV148" s="22" t="s">
        <v>70</v>
      </c>
      <c r="AW148" s="22" t="s">
        <v>67</v>
      </c>
      <c r="AY148" s="22" t="s">
        <v>10022</v>
      </c>
      <c r="AZ148" s="22" t="s">
        <v>145</v>
      </c>
      <c r="BA148" s="22" t="s">
        <v>70</v>
      </c>
      <c r="BB148" s="22" t="s">
        <v>67</v>
      </c>
      <c r="BD148" s="22" t="s">
        <v>10023</v>
      </c>
      <c r="BE148" s="22" t="s">
        <v>145</v>
      </c>
      <c r="BF148" s="22" t="s">
        <v>70</v>
      </c>
      <c r="BG148" s="22" t="s">
        <v>67</v>
      </c>
      <c r="BI148" s="22" t="s">
        <v>10024</v>
      </c>
      <c r="BJ148" s="22" t="s">
        <v>145</v>
      </c>
      <c r="BK148" s="22" t="s">
        <v>70</v>
      </c>
      <c r="BL148" s="22" t="s">
        <v>67</v>
      </c>
      <c r="BN148" s="22" t="s">
        <v>10025</v>
      </c>
      <c r="BO148" s="22" t="s">
        <v>145</v>
      </c>
      <c r="BP148" s="22" t="s">
        <v>70</v>
      </c>
      <c r="BQ148" s="22" t="s">
        <v>67</v>
      </c>
      <c r="BS148" s="22" t="s">
        <v>10026</v>
      </c>
      <c r="BT148" s="22" t="s">
        <v>145</v>
      </c>
      <c r="BU148" s="22" t="s">
        <v>70</v>
      </c>
      <c r="BV148" s="214" t="s">
        <v>530</v>
      </c>
      <c r="BX148" s="22" t="s">
        <v>10027</v>
      </c>
      <c r="BY148" s="22" t="s">
        <v>145</v>
      </c>
      <c r="BZ148" s="22" t="s">
        <v>70</v>
      </c>
      <c r="CA148" s="214" t="s">
        <v>530</v>
      </c>
      <c r="CC148" s="214" t="s">
        <v>10028</v>
      </c>
      <c r="CD148" s="218" t="s">
        <v>145</v>
      </c>
      <c r="CE148" s="214" t="s">
        <v>70</v>
      </c>
      <c r="CF148" s="214" t="s">
        <v>443</v>
      </c>
      <c r="CH148" s="214" t="s">
        <v>10029</v>
      </c>
      <c r="CI148" s="214" t="s">
        <v>145</v>
      </c>
      <c r="CJ148" s="214" t="s">
        <v>70</v>
      </c>
      <c r="CK148" s="214" t="s">
        <v>530</v>
      </c>
      <c r="CM148" s="214" t="s">
        <v>10030</v>
      </c>
      <c r="CN148" s="214" t="s">
        <v>149</v>
      </c>
      <c r="CO148" s="214" t="s">
        <v>70</v>
      </c>
      <c r="CP148" s="214" t="s">
        <v>530</v>
      </c>
      <c r="CR148" s="214" t="s">
        <v>10031</v>
      </c>
      <c r="CS148" s="214" t="s">
        <v>497</v>
      </c>
      <c r="CT148" s="214" t="s">
        <v>70</v>
      </c>
      <c r="CU148" s="214" t="s">
        <v>530</v>
      </c>
      <c r="CW148" s="214" t="s">
        <v>10032</v>
      </c>
      <c r="CX148" s="214" t="s">
        <v>34545</v>
      </c>
      <c r="CY148" s="214" t="s">
        <v>70</v>
      </c>
      <c r="CZ148" s="214" t="s">
        <v>530</v>
      </c>
      <c r="DB148" s="214" t="s">
        <v>10033</v>
      </c>
      <c r="DC148" s="214" t="s">
        <v>485</v>
      </c>
      <c r="DD148" s="214" t="s">
        <v>70</v>
      </c>
      <c r="DE148" s="214" t="s">
        <v>530</v>
      </c>
      <c r="DG148" s="214" t="s">
        <v>10034</v>
      </c>
      <c r="DH148" s="214" t="s">
        <v>85</v>
      </c>
      <c r="DI148" s="214" t="s">
        <v>70</v>
      </c>
      <c r="DJ148" s="214" t="s">
        <v>530</v>
      </c>
      <c r="DL148" s="214" t="s">
        <v>10035</v>
      </c>
      <c r="DM148" s="214" t="s">
        <v>88</v>
      </c>
      <c r="DN148" s="214" t="s">
        <v>70</v>
      </c>
      <c r="DO148" s="214" t="s">
        <v>530</v>
      </c>
      <c r="DQ148" s="214" t="s">
        <v>10036</v>
      </c>
      <c r="DR148" s="214" t="s">
        <v>148</v>
      </c>
      <c r="DS148" s="214" t="s">
        <v>70</v>
      </c>
      <c r="DT148" s="214" t="s">
        <v>530</v>
      </c>
      <c r="DV148" s="214" t="s">
        <v>10037</v>
      </c>
      <c r="DW148" s="214" t="s">
        <v>164</v>
      </c>
      <c r="DX148" s="214" t="s">
        <v>70</v>
      </c>
      <c r="DY148" s="214" t="s">
        <v>530</v>
      </c>
      <c r="EA148" s="214" t="s">
        <v>10038</v>
      </c>
      <c r="EB148" s="214" t="s">
        <v>942</v>
      </c>
      <c r="EC148" s="214" t="s">
        <v>70</v>
      </c>
      <c r="ED148" s="214" t="s">
        <v>530</v>
      </c>
      <c r="EF148" s="214" t="s">
        <v>10039</v>
      </c>
      <c r="EG148" s="214" t="s">
        <v>163</v>
      </c>
      <c r="EH148" s="214" t="s">
        <v>70</v>
      </c>
      <c r="EI148" s="214" t="s">
        <v>530</v>
      </c>
      <c r="EK148" s="214" t="s">
        <v>10040</v>
      </c>
      <c r="EL148" s="214" t="s">
        <v>954</v>
      </c>
      <c r="EM148" s="214" t="s">
        <v>70</v>
      </c>
      <c r="EN148" s="214" t="s">
        <v>530</v>
      </c>
      <c r="EP148" s="214" t="s">
        <v>10041</v>
      </c>
      <c r="EQ148" s="214" t="s">
        <v>92</v>
      </c>
      <c r="ER148" s="214" t="s">
        <v>70</v>
      </c>
      <c r="ES148" s="214" t="s">
        <v>530</v>
      </c>
      <c r="EU148" s="214" t="s">
        <v>10042</v>
      </c>
      <c r="EV148" s="214" t="s">
        <v>655</v>
      </c>
      <c r="EW148" s="214" t="s">
        <v>70</v>
      </c>
      <c r="EX148" s="214" t="s">
        <v>530</v>
      </c>
      <c r="EZ148" s="214" t="s">
        <v>10043</v>
      </c>
      <c r="FA148" s="214" t="s">
        <v>34553</v>
      </c>
      <c r="FB148" s="214" t="s">
        <v>70</v>
      </c>
      <c r="FC148" s="214" t="s">
        <v>530</v>
      </c>
      <c r="FE148" s="214" t="s">
        <v>10044</v>
      </c>
      <c r="FF148" s="214" t="s">
        <v>148</v>
      </c>
      <c r="FG148" s="214" t="s">
        <v>70</v>
      </c>
      <c r="FH148" s="214" t="s">
        <v>530</v>
      </c>
      <c r="FJ148" s="321" t="s">
        <v>10045</v>
      </c>
      <c r="FK148" s="214" t="s">
        <v>641</v>
      </c>
      <c r="FL148" s="214" t="s">
        <v>70</v>
      </c>
      <c r="FM148" s="214" t="s">
        <v>530</v>
      </c>
      <c r="FO148" s="321" t="s">
        <v>10046</v>
      </c>
      <c r="FP148" s="214" t="s">
        <v>34553</v>
      </c>
      <c r="FQ148" s="214" t="s">
        <v>70</v>
      </c>
      <c r="FR148" s="214" t="s">
        <v>530</v>
      </c>
      <c r="FT148" s="321" t="s">
        <v>10047</v>
      </c>
      <c r="FU148" s="214" t="s">
        <v>163</v>
      </c>
      <c r="FV148" s="214" t="s">
        <v>70</v>
      </c>
      <c r="FW148" s="214" t="s">
        <v>530</v>
      </c>
      <c r="FY148" s="321" t="s">
        <v>10048</v>
      </c>
      <c r="FZ148" s="214" t="s">
        <v>145</v>
      </c>
      <c r="GA148" s="214" t="s">
        <v>70</v>
      </c>
      <c r="GB148" s="214" t="s">
        <v>530</v>
      </c>
      <c r="GD148" s="321" t="s">
        <v>10049</v>
      </c>
      <c r="GE148" s="214" t="s">
        <v>103</v>
      </c>
      <c r="GF148" s="214" t="s">
        <v>70</v>
      </c>
      <c r="GG148" s="214" t="s">
        <v>530</v>
      </c>
      <c r="GI148" s="321" t="s">
        <v>10050</v>
      </c>
      <c r="GJ148" s="214" t="s">
        <v>34581</v>
      </c>
      <c r="GK148" s="214" t="s">
        <v>70</v>
      </c>
      <c r="GL148" s="214" t="s">
        <v>530</v>
      </c>
      <c r="GN148" s="321" t="s">
        <v>10051</v>
      </c>
      <c r="GO148" s="214" t="s">
        <v>88</v>
      </c>
      <c r="GP148" s="214" t="s">
        <v>70</v>
      </c>
      <c r="GQ148" s="214" t="s">
        <v>530</v>
      </c>
      <c r="GS148" s="321" t="s">
        <v>10052</v>
      </c>
      <c r="GT148" s="214" t="s">
        <v>52</v>
      </c>
      <c r="GU148" s="214" t="s">
        <v>70</v>
      </c>
      <c r="GV148" s="214" t="s">
        <v>530</v>
      </c>
      <c r="GX148" s="214" t="s">
        <v>10053</v>
      </c>
      <c r="GY148" s="214" t="s">
        <v>52</v>
      </c>
      <c r="GZ148" s="214" t="s">
        <v>70</v>
      </c>
      <c r="HA148" s="214" t="s">
        <v>530</v>
      </c>
      <c r="HC148" s="214" t="s">
        <v>10054</v>
      </c>
      <c r="HD148" s="214" t="s">
        <v>34569</v>
      </c>
      <c r="HE148" s="214" t="s">
        <v>70</v>
      </c>
      <c r="HF148" s="214" t="s">
        <v>530</v>
      </c>
      <c r="HH148" s="214" t="s">
        <v>10055</v>
      </c>
      <c r="HI148" s="214" t="s">
        <v>798</v>
      </c>
      <c r="HJ148" s="214" t="s">
        <v>70</v>
      </c>
      <c r="HK148" s="214" t="s">
        <v>530</v>
      </c>
      <c r="HM148" s="214" t="s">
        <v>10056</v>
      </c>
      <c r="HN148" s="214" t="s">
        <v>34634</v>
      </c>
      <c r="HO148" s="214" t="s">
        <v>70</v>
      </c>
      <c r="HP148" s="214" t="s">
        <v>530</v>
      </c>
      <c r="HR148" s="22" t="s">
        <v>10057</v>
      </c>
      <c r="HS148" s="22" t="s">
        <v>52</v>
      </c>
      <c r="HT148" s="22" t="s">
        <v>70</v>
      </c>
      <c r="HU148" s="214" t="s">
        <v>530</v>
      </c>
      <c r="HW148" s="22" t="s">
        <v>10058</v>
      </c>
      <c r="HX148" s="22" t="s">
        <v>52</v>
      </c>
      <c r="HY148" s="22" t="s">
        <v>70</v>
      </c>
      <c r="HZ148" s="214" t="s">
        <v>530</v>
      </c>
      <c r="IB148" s="22" t="s">
        <v>10059</v>
      </c>
      <c r="IC148" s="22" t="s">
        <v>492</v>
      </c>
      <c r="ID148" s="22" t="s">
        <v>70</v>
      </c>
      <c r="IE148" s="214" t="s">
        <v>530</v>
      </c>
      <c r="IG148" s="22" t="s">
        <v>10060</v>
      </c>
      <c r="IH148" s="22" t="s">
        <v>52</v>
      </c>
      <c r="II148" s="22" t="s">
        <v>70</v>
      </c>
      <c r="IJ148" s="214" t="s">
        <v>530</v>
      </c>
      <c r="IL148" s="22" t="s">
        <v>10061</v>
      </c>
      <c r="IM148" s="22" t="s">
        <v>145</v>
      </c>
      <c r="IN148" s="22" t="s">
        <v>70</v>
      </c>
      <c r="IO148" s="214" t="s">
        <v>530</v>
      </c>
      <c r="IQ148" s="236" t="s">
        <v>10062</v>
      </c>
      <c r="IR148" s="236" t="s">
        <v>145</v>
      </c>
      <c r="IS148" s="236" t="s">
        <v>74</v>
      </c>
      <c r="IT148" s="236" t="s">
        <v>841</v>
      </c>
      <c r="IV148" s="236" t="s">
        <v>10063</v>
      </c>
      <c r="IW148" s="236" t="s">
        <v>145</v>
      </c>
      <c r="IX148" s="236" t="s">
        <v>74</v>
      </c>
      <c r="IY148" s="236" t="s">
        <v>841</v>
      </c>
      <c r="JA148" s="236" t="s">
        <v>10064</v>
      </c>
      <c r="JB148" s="236" t="s">
        <v>145</v>
      </c>
      <c r="JC148" s="236" t="s">
        <v>74</v>
      </c>
      <c r="JD148" s="236" t="s">
        <v>841</v>
      </c>
      <c r="JF148" s="236" t="s">
        <v>10065</v>
      </c>
      <c r="JG148" s="236" t="s">
        <v>145</v>
      </c>
      <c r="JH148" s="236" t="s">
        <v>74</v>
      </c>
      <c r="JI148" s="236" t="s">
        <v>841</v>
      </c>
      <c r="JK148" s="236" t="s">
        <v>10066</v>
      </c>
      <c r="JL148" s="236" t="s">
        <v>145</v>
      </c>
      <c r="JM148" s="236" t="s">
        <v>74</v>
      </c>
      <c r="JN148" s="236" t="s">
        <v>841</v>
      </c>
      <c r="JP148" s="236" t="s">
        <v>10067</v>
      </c>
      <c r="JQ148" s="236" t="s">
        <v>145</v>
      </c>
      <c r="JR148" s="236" t="s">
        <v>74</v>
      </c>
      <c r="JS148" s="236" t="s">
        <v>841</v>
      </c>
      <c r="JU148" s="294" t="s">
        <v>10068</v>
      </c>
      <c r="JV148" s="263" t="s">
        <v>85</v>
      </c>
      <c r="JW148" s="263" t="s">
        <v>70</v>
      </c>
      <c r="JX148" s="263" t="s">
        <v>34256</v>
      </c>
      <c r="JZ148" s="263" t="s">
        <v>10069</v>
      </c>
      <c r="KA148" s="263" t="s">
        <v>145</v>
      </c>
      <c r="KB148" s="263" t="s">
        <v>70</v>
      </c>
      <c r="KC148" s="263" t="s">
        <v>1083</v>
      </c>
      <c r="KE148" s="263" t="s">
        <v>10070</v>
      </c>
      <c r="KF148" s="263" t="s">
        <v>52</v>
      </c>
      <c r="KG148" s="263" t="s">
        <v>70</v>
      </c>
      <c r="KH148" s="263" t="s">
        <v>1083</v>
      </c>
      <c r="KJ148" s="263" t="s">
        <v>10071</v>
      </c>
      <c r="KK148" s="263" t="s">
        <v>52</v>
      </c>
      <c r="KL148" s="263" t="s">
        <v>74</v>
      </c>
      <c r="KM148" s="263" t="s">
        <v>34074</v>
      </c>
      <c r="KO148" s="214" t="s">
        <v>10072</v>
      </c>
      <c r="KP148" s="214" t="s">
        <v>145</v>
      </c>
      <c r="KQ148" s="214" t="s">
        <v>70</v>
      </c>
      <c r="KR148" s="214" t="s">
        <v>67</v>
      </c>
      <c r="KT148" s="22" t="s">
        <v>10073</v>
      </c>
      <c r="KU148" s="22" t="s">
        <v>145</v>
      </c>
      <c r="KV148" s="22" t="s">
        <v>70</v>
      </c>
      <c r="KW148" s="22" t="s">
        <v>67</v>
      </c>
      <c r="KY148" s="214" t="s">
        <v>10074</v>
      </c>
      <c r="KZ148" s="214" t="s">
        <v>52</v>
      </c>
      <c r="LA148" s="214" t="s">
        <v>74</v>
      </c>
      <c r="LB148" s="214" t="s">
        <v>67</v>
      </c>
      <c r="LD148" s="22" t="s">
        <v>10075</v>
      </c>
      <c r="LE148" s="22" t="s">
        <v>145</v>
      </c>
      <c r="LF148" s="22" t="s">
        <v>70</v>
      </c>
      <c r="LG148" s="22" t="s">
        <v>67</v>
      </c>
    </row>
    <row r="149" spans="1:319">
      <c r="A149" s="22" t="s">
        <v>10076</v>
      </c>
      <c r="B149" s="22" t="s">
        <v>145</v>
      </c>
      <c r="C149" s="22" t="s">
        <v>70</v>
      </c>
      <c r="D149" s="22" t="s">
        <v>67</v>
      </c>
      <c r="F149" s="23" t="s">
        <v>10077</v>
      </c>
      <c r="G149" s="23" t="str">
        <f>TVIIBE1M_CalPairs!$E146</f>
        <v>0x00</v>
      </c>
      <c r="H149" s="23" t="s">
        <v>72</v>
      </c>
      <c r="I149" s="23" t="str">
        <f>TVIIBE1M_CalPairs!$C146</f>
        <v>PASS0_SAR0_ANA_CAL_VAL2</v>
      </c>
      <c r="K149" s="22" t="s">
        <v>10078</v>
      </c>
      <c r="L149" s="22" t="s">
        <v>145</v>
      </c>
      <c r="M149" s="22" t="s">
        <v>70</v>
      </c>
      <c r="N149" s="22" t="s">
        <v>67</v>
      </c>
      <c r="P149" s="22" t="s">
        <v>10079</v>
      </c>
      <c r="Q149" s="22" t="s">
        <v>145</v>
      </c>
      <c r="R149" s="22" t="s">
        <v>70</v>
      </c>
      <c r="S149" s="22" t="s">
        <v>67</v>
      </c>
      <c r="U149" s="293" t="s">
        <v>10080</v>
      </c>
      <c r="V149" s="293" t="s">
        <v>145</v>
      </c>
      <c r="W149" s="293" t="s">
        <v>74</v>
      </c>
      <c r="X149" s="293" t="s">
        <v>656</v>
      </c>
      <c r="Z149" s="293" t="s">
        <v>10081</v>
      </c>
      <c r="AA149" s="293" t="s">
        <v>145</v>
      </c>
      <c r="AB149" s="293" t="s">
        <v>74</v>
      </c>
      <c r="AC149" s="293" t="s">
        <v>656</v>
      </c>
      <c r="AE149" s="293" t="s">
        <v>10082</v>
      </c>
      <c r="AF149" s="293" t="s">
        <v>145</v>
      </c>
      <c r="AG149" s="293" t="s">
        <v>74</v>
      </c>
      <c r="AH149" s="293" t="s">
        <v>656</v>
      </c>
      <c r="AJ149" s="293" t="s">
        <v>10083</v>
      </c>
      <c r="AK149" s="293" t="s">
        <v>145</v>
      </c>
      <c r="AL149" s="293" t="s">
        <v>74</v>
      </c>
      <c r="AM149" s="293" t="s">
        <v>656</v>
      </c>
      <c r="AO149" s="22" t="s">
        <v>10084</v>
      </c>
      <c r="AP149" s="22" t="s">
        <v>145</v>
      </c>
      <c r="AQ149" s="22" t="s">
        <v>70</v>
      </c>
      <c r="AR149" s="22" t="s">
        <v>67</v>
      </c>
      <c r="AT149" s="22" t="s">
        <v>10085</v>
      </c>
      <c r="AU149" s="22" t="s">
        <v>145</v>
      </c>
      <c r="AV149" s="22" t="s">
        <v>70</v>
      </c>
      <c r="AW149" s="22" t="s">
        <v>67</v>
      </c>
      <c r="AY149" s="22" t="s">
        <v>10086</v>
      </c>
      <c r="AZ149" s="22" t="s">
        <v>145</v>
      </c>
      <c r="BA149" s="22" t="s">
        <v>70</v>
      </c>
      <c r="BB149" s="22" t="s">
        <v>67</v>
      </c>
      <c r="BD149" s="22" t="s">
        <v>10087</v>
      </c>
      <c r="BE149" s="22" t="s">
        <v>145</v>
      </c>
      <c r="BF149" s="22" t="s">
        <v>70</v>
      </c>
      <c r="BG149" s="22" t="s">
        <v>67</v>
      </c>
      <c r="BI149" s="22" t="s">
        <v>10088</v>
      </c>
      <c r="BJ149" s="22" t="s">
        <v>145</v>
      </c>
      <c r="BK149" s="22" t="s">
        <v>70</v>
      </c>
      <c r="BL149" s="22" t="s">
        <v>67</v>
      </c>
      <c r="BN149" s="22" t="s">
        <v>10089</v>
      </c>
      <c r="BO149" s="22" t="s">
        <v>145</v>
      </c>
      <c r="BP149" s="22" t="s">
        <v>70</v>
      </c>
      <c r="BQ149" s="22" t="s">
        <v>67</v>
      </c>
      <c r="BS149" s="22" t="s">
        <v>10090</v>
      </c>
      <c r="BT149" s="22" t="s">
        <v>145</v>
      </c>
      <c r="BU149" s="22" t="s">
        <v>70</v>
      </c>
      <c r="BV149" s="214" t="s">
        <v>530</v>
      </c>
      <c r="BX149" s="22" t="s">
        <v>10091</v>
      </c>
      <c r="BY149" s="22" t="s">
        <v>145</v>
      </c>
      <c r="BZ149" s="22" t="s">
        <v>70</v>
      </c>
      <c r="CA149" s="214" t="s">
        <v>530</v>
      </c>
      <c r="CC149" s="214" t="s">
        <v>10092</v>
      </c>
      <c r="CD149" s="218" t="s">
        <v>145</v>
      </c>
      <c r="CE149" s="214" t="s">
        <v>70</v>
      </c>
      <c r="CF149" s="214" t="s">
        <v>444</v>
      </c>
      <c r="CH149" s="214" t="s">
        <v>10093</v>
      </c>
      <c r="CI149" s="214" t="s">
        <v>86</v>
      </c>
      <c r="CJ149" s="214" t="s">
        <v>70</v>
      </c>
      <c r="CK149" s="214" t="s">
        <v>530</v>
      </c>
      <c r="CM149" s="214" t="s">
        <v>10094</v>
      </c>
      <c r="CN149" s="214" t="s">
        <v>34542</v>
      </c>
      <c r="CO149" s="214" t="s">
        <v>70</v>
      </c>
      <c r="CP149" s="214" t="s">
        <v>530</v>
      </c>
      <c r="CR149" s="214" t="s">
        <v>10095</v>
      </c>
      <c r="CS149" s="214" t="s">
        <v>146</v>
      </c>
      <c r="CT149" s="214" t="s">
        <v>70</v>
      </c>
      <c r="CU149" s="214" t="s">
        <v>530</v>
      </c>
      <c r="CW149" s="214" t="s">
        <v>10096</v>
      </c>
      <c r="CX149" s="214" t="s">
        <v>34551</v>
      </c>
      <c r="CY149" s="214" t="s">
        <v>70</v>
      </c>
      <c r="CZ149" s="214" t="s">
        <v>530</v>
      </c>
      <c r="DB149" s="214" t="s">
        <v>10097</v>
      </c>
      <c r="DC149" s="214" t="s">
        <v>146</v>
      </c>
      <c r="DD149" s="214" t="s">
        <v>70</v>
      </c>
      <c r="DE149" s="214" t="s">
        <v>530</v>
      </c>
      <c r="DG149" s="214" t="s">
        <v>10098</v>
      </c>
      <c r="DH149" s="214" t="s">
        <v>485</v>
      </c>
      <c r="DI149" s="214" t="s">
        <v>70</v>
      </c>
      <c r="DJ149" s="214" t="s">
        <v>530</v>
      </c>
      <c r="DL149" s="214" t="s">
        <v>10099</v>
      </c>
      <c r="DM149" s="214" t="s">
        <v>34580</v>
      </c>
      <c r="DN149" s="214" t="s">
        <v>70</v>
      </c>
      <c r="DO149" s="214" t="s">
        <v>530</v>
      </c>
      <c r="DQ149" s="214" t="s">
        <v>10100</v>
      </c>
      <c r="DR149" s="214" t="s">
        <v>486</v>
      </c>
      <c r="DS149" s="214" t="s">
        <v>70</v>
      </c>
      <c r="DT149" s="214" t="s">
        <v>530</v>
      </c>
      <c r="DV149" s="214" t="s">
        <v>10101</v>
      </c>
      <c r="DW149" s="214" t="s">
        <v>955</v>
      </c>
      <c r="DX149" s="214" t="s">
        <v>70</v>
      </c>
      <c r="DY149" s="214" t="s">
        <v>530</v>
      </c>
      <c r="EA149" s="214" t="s">
        <v>10102</v>
      </c>
      <c r="EB149" s="214" t="s">
        <v>496</v>
      </c>
      <c r="EC149" s="214" t="s">
        <v>70</v>
      </c>
      <c r="ED149" s="214" t="s">
        <v>530</v>
      </c>
      <c r="EF149" s="214" t="s">
        <v>10103</v>
      </c>
      <c r="EG149" s="214" t="s">
        <v>52</v>
      </c>
      <c r="EH149" s="214" t="s">
        <v>70</v>
      </c>
      <c r="EI149" s="214" t="s">
        <v>530</v>
      </c>
      <c r="EK149" s="214" t="s">
        <v>10104</v>
      </c>
      <c r="EL149" s="214" t="s">
        <v>145</v>
      </c>
      <c r="EM149" s="214" t="s">
        <v>70</v>
      </c>
      <c r="EN149" s="214" t="s">
        <v>530</v>
      </c>
      <c r="EP149" s="214" t="s">
        <v>10105</v>
      </c>
      <c r="EQ149" s="214" t="s">
        <v>52</v>
      </c>
      <c r="ER149" s="214" t="s">
        <v>70</v>
      </c>
      <c r="ES149" s="214" t="s">
        <v>530</v>
      </c>
      <c r="EU149" s="214" t="s">
        <v>10106</v>
      </c>
      <c r="EV149" s="214" t="s">
        <v>87</v>
      </c>
      <c r="EW149" s="214" t="s">
        <v>70</v>
      </c>
      <c r="EX149" s="214" t="s">
        <v>530</v>
      </c>
      <c r="EZ149" s="214" t="s">
        <v>10107</v>
      </c>
      <c r="FA149" s="214" t="s">
        <v>496</v>
      </c>
      <c r="FB149" s="214" t="s">
        <v>70</v>
      </c>
      <c r="FC149" s="214" t="s">
        <v>530</v>
      </c>
      <c r="FE149" s="214" t="s">
        <v>10108</v>
      </c>
      <c r="FF149" s="214" t="s">
        <v>955</v>
      </c>
      <c r="FG149" s="214" t="s">
        <v>70</v>
      </c>
      <c r="FH149" s="214" t="s">
        <v>530</v>
      </c>
      <c r="FJ149" s="321" t="s">
        <v>10109</v>
      </c>
      <c r="FK149" s="214" t="s">
        <v>937</v>
      </c>
      <c r="FL149" s="214" t="s">
        <v>70</v>
      </c>
      <c r="FM149" s="214" t="s">
        <v>530</v>
      </c>
      <c r="FO149" s="321" t="s">
        <v>10110</v>
      </c>
      <c r="FP149" s="214" t="s">
        <v>496</v>
      </c>
      <c r="FQ149" s="214" t="s">
        <v>70</v>
      </c>
      <c r="FR149" s="214" t="s">
        <v>530</v>
      </c>
      <c r="FT149" s="321" t="s">
        <v>10111</v>
      </c>
      <c r="FU149" s="214" t="s">
        <v>603</v>
      </c>
      <c r="FV149" s="214" t="s">
        <v>70</v>
      </c>
      <c r="FW149" s="214" t="s">
        <v>530</v>
      </c>
      <c r="FY149" s="321" t="s">
        <v>10112</v>
      </c>
      <c r="FZ149" s="214" t="s">
        <v>34541</v>
      </c>
      <c r="GA149" s="214" t="s">
        <v>70</v>
      </c>
      <c r="GB149" s="214" t="s">
        <v>530</v>
      </c>
      <c r="GD149" s="321" t="s">
        <v>10113</v>
      </c>
      <c r="GE149" s="214" t="s">
        <v>34562</v>
      </c>
      <c r="GF149" s="214" t="s">
        <v>70</v>
      </c>
      <c r="GG149" s="214" t="s">
        <v>530</v>
      </c>
      <c r="GI149" s="321" t="s">
        <v>10114</v>
      </c>
      <c r="GJ149" s="214" t="s">
        <v>146</v>
      </c>
      <c r="GK149" s="214" t="s">
        <v>70</v>
      </c>
      <c r="GL149" s="214" t="s">
        <v>530</v>
      </c>
      <c r="GN149" s="321" t="s">
        <v>10115</v>
      </c>
      <c r="GO149" s="214" t="s">
        <v>34593</v>
      </c>
      <c r="GP149" s="214" t="s">
        <v>70</v>
      </c>
      <c r="GQ149" s="214" t="s">
        <v>530</v>
      </c>
      <c r="GS149" s="321" t="s">
        <v>10116</v>
      </c>
      <c r="GT149" s="214" t="s">
        <v>484</v>
      </c>
      <c r="GU149" s="214" t="s">
        <v>70</v>
      </c>
      <c r="GV149" s="214" t="s">
        <v>530</v>
      </c>
      <c r="GX149" s="214" t="s">
        <v>10117</v>
      </c>
      <c r="GY149" s="214" t="s">
        <v>203</v>
      </c>
      <c r="GZ149" s="214" t="s">
        <v>70</v>
      </c>
      <c r="HA149" s="214" t="s">
        <v>530</v>
      </c>
      <c r="HC149" s="214" t="s">
        <v>10118</v>
      </c>
      <c r="HD149" s="214" t="s">
        <v>93</v>
      </c>
      <c r="HE149" s="214" t="s">
        <v>70</v>
      </c>
      <c r="HF149" s="214" t="s">
        <v>530</v>
      </c>
      <c r="HH149" s="214" t="s">
        <v>10119</v>
      </c>
      <c r="HI149" s="214" t="s">
        <v>34558</v>
      </c>
      <c r="HJ149" s="214" t="s">
        <v>70</v>
      </c>
      <c r="HK149" s="214" t="s">
        <v>530</v>
      </c>
      <c r="HM149" s="214" t="s">
        <v>10120</v>
      </c>
      <c r="HN149" s="214" t="s">
        <v>484</v>
      </c>
      <c r="HO149" s="214" t="s">
        <v>70</v>
      </c>
      <c r="HP149" s="214" t="s">
        <v>530</v>
      </c>
      <c r="HR149" s="22" t="s">
        <v>10121</v>
      </c>
      <c r="HS149" s="22" t="s">
        <v>52</v>
      </c>
      <c r="HT149" s="22" t="s">
        <v>70</v>
      </c>
      <c r="HU149" s="214" t="s">
        <v>530</v>
      </c>
      <c r="HW149" s="22" t="s">
        <v>10122</v>
      </c>
      <c r="HX149" s="22" t="s">
        <v>484</v>
      </c>
      <c r="HY149" s="22" t="s">
        <v>70</v>
      </c>
      <c r="HZ149" s="214" t="s">
        <v>530</v>
      </c>
      <c r="IB149" s="22" t="s">
        <v>10123</v>
      </c>
      <c r="IC149" s="22" t="s">
        <v>52</v>
      </c>
      <c r="ID149" s="22" t="s">
        <v>70</v>
      </c>
      <c r="IE149" s="214" t="s">
        <v>530</v>
      </c>
      <c r="IG149" s="22" t="s">
        <v>10124</v>
      </c>
      <c r="IH149" s="22" t="s">
        <v>52</v>
      </c>
      <c r="II149" s="22" t="s">
        <v>70</v>
      </c>
      <c r="IJ149" s="214" t="s">
        <v>530</v>
      </c>
      <c r="IL149" s="22" t="s">
        <v>10125</v>
      </c>
      <c r="IM149" s="22" t="s">
        <v>145</v>
      </c>
      <c r="IN149" s="22" t="s">
        <v>70</v>
      </c>
      <c r="IO149" s="214" t="s">
        <v>530</v>
      </c>
      <c r="IQ149" s="236" t="s">
        <v>10126</v>
      </c>
      <c r="IR149" s="236" t="s">
        <v>145</v>
      </c>
      <c r="IS149" s="236" t="s">
        <v>74</v>
      </c>
      <c r="IT149" s="236" t="s">
        <v>841</v>
      </c>
      <c r="IV149" s="236" t="s">
        <v>10127</v>
      </c>
      <c r="IW149" s="236" t="s">
        <v>145</v>
      </c>
      <c r="IX149" s="236" t="s">
        <v>74</v>
      </c>
      <c r="IY149" s="236" t="s">
        <v>841</v>
      </c>
      <c r="JA149" s="236" t="s">
        <v>10128</v>
      </c>
      <c r="JB149" s="236" t="s">
        <v>145</v>
      </c>
      <c r="JC149" s="236" t="s">
        <v>74</v>
      </c>
      <c r="JD149" s="236" t="s">
        <v>841</v>
      </c>
      <c r="JF149" s="236" t="s">
        <v>10129</v>
      </c>
      <c r="JG149" s="236" t="s">
        <v>145</v>
      </c>
      <c r="JH149" s="236" t="s">
        <v>74</v>
      </c>
      <c r="JI149" s="236" t="s">
        <v>841</v>
      </c>
      <c r="JK149" s="236" t="s">
        <v>10130</v>
      </c>
      <c r="JL149" s="236" t="s">
        <v>145</v>
      </c>
      <c r="JM149" s="236" t="s">
        <v>74</v>
      </c>
      <c r="JN149" s="236" t="s">
        <v>841</v>
      </c>
      <c r="JP149" s="236" t="s">
        <v>10131</v>
      </c>
      <c r="JQ149" s="236" t="s">
        <v>145</v>
      </c>
      <c r="JR149" s="236" t="s">
        <v>74</v>
      </c>
      <c r="JS149" s="236" t="s">
        <v>841</v>
      </c>
      <c r="JU149" s="294" t="s">
        <v>10132</v>
      </c>
      <c r="JV149" s="263" t="s">
        <v>52</v>
      </c>
      <c r="JW149" s="263" t="s">
        <v>70</v>
      </c>
      <c r="JX149" s="263" t="s">
        <v>34257</v>
      </c>
      <c r="JZ149" s="263" t="s">
        <v>10133</v>
      </c>
      <c r="KA149" s="263" t="s">
        <v>145</v>
      </c>
      <c r="KB149" s="263" t="s">
        <v>70</v>
      </c>
      <c r="KC149" s="263" t="s">
        <v>1083</v>
      </c>
      <c r="KE149" s="263" t="s">
        <v>10134</v>
      </c>
      <c r="KF149" s="263" t="s">
        <v>52</v>
      </c>
      <c r="KG149" s="263" t="s">
        <v>70</v>
      </c>
      <c r="KH149" s="263" t="s">
        <v>1083</v>
      </c>
      <c r="KJ149" s="263" t="s">
        <v>10135</v>
      </c>
      <c r="KK149" s="263" t="s">
        <v>52</v>
      </c>
      <c r="KL149" s="263" t="s">
        <v>74</v>
      </c>
      <c r="KM149" s="263" t="s">
        <v>34074</v>
      </c>
      <c r="KO149" s="214" t="s">
        <v>10136</v>
      </c>
      <c r="KP149" s="214" t="s">
        <v>145</v>
      </c>
      <c r="KQ149" s="214" t="s">
        <v>70</v>
      </c>
      <c r="KR149" s="214" t="s">
        <v>67</v>
      </c>
      <c r="KT149" s="22" t="s">
        <v>10137</v>
      </c>
      <c r="KU149" s="22" t="s">
        <v>145</v>
      </c>
      <c r="KV149" s="22" t="s">
        <v>70</v>
      </c>
      <c r="KW149" s="22" t="s">
        <v>67</v>
      </c>
      <c r="KY149" s="214" t="s">
        <v>10138</v>
      </c>
      <c r="KZ149" s="214" t="s">
        <v>52</v>
      </c>
      <c r="LA149" s="214" t="s">
        <v>74</v>
      </c>
      <c r="LB149" s="214" t="s">
        <v>67</v>
      </c>
      <c r="LD149" s="22" t="s">
        <v>10139</v>
      </c>
      <c r="LE149" s="22" t="s">
        <v>145</v>
      </c>
      <c r="LF149" s="22" t="s">
        <v>70</v>
      </c>
      <c r="LG149" s="22" t="s">
        <v>67</v>
      </c>
    </row>
    <row r="150" spans="1:319">
      <c r="A150" s="22" t="s">
        <v>10140</v>
      </c>
      <c r="B150" s="22" t="s">
        <v>145</v>
      </c>
      <c r="C150" s="22" t="s">
        <v>70</v>
      </c>
      <c r="D150" s="22" t="s">
        <v>67</v>
      </c>
      <c r="F150" s="23" t="s">
        <v>10141</v>
      </c>
      <c r="G150" s="23" t="str">
        <f>TVIIBE1M_CalPairs!$E147</f>
        <v>0x00</v>
      </c>
      <c r="H150" s="233" t="s">
        <v>72</v>
      </c>
      <c r="I150" s="23" t="str">
        <f>TVIIBE1M_CalPairs!$C147</f>
        <v>PASS0_SAR0_ANA_CAL_VAL3</v>
      </c>
      <c r="K150" s="22" t="s">
        <v>10142</v>
      </c>
      <c r="L150" s="22" t="s">
        <v>145</v>
      </c>
      <c r="M150" s="22" t="s">
        <v>70</v>
      </c>
      <c r="N150" s="22" t="s">
        <v>67</v>
      </c>
      <c r="P150" s="22" t="s">
        <v>10143</v>
      </c>
      <c r="Q150" s="22" t="s">
        <v>145</v>
      </c>
      <c r="R150" s="22" t="s">
        <v>70</v>
      </c>
      <c r="S150" s="22" t="s">
        <v>67</v>
      </c>
      <c r="U150" s="293" t="s">
        <v>10144</v>
      </c>
      <c r="V150" s="293" t="s">
        <v>145</v>
      </c>
      <c r="W150" s="293" t="s">
        <v>74</v>
      </c>
      <c r="X150" s="293" t="s">
        <v>656</v>
      </c>
      <c r="Z150" s="293" t="s">
        <v>10145</v>
      </c>
      <c r="AA150" s="293" t="s">
        <v>145</v>
      </c>
      <c r="AB150" s="293" t="s">
        <v>74</v>
      </c>
      <c r="AC150" s="293" t="s">
        <v>656</v>
      </c>
      <c r="AE150" s="293" t="s">
        <v>10146</v>
      </c>
      <c r="AF150" s="293" t="s">
        <v>145</v>
      </c>
      <c r="AG150" s="293" t="s">
        <v>74</v>
      </c>
      <c r="AH150" s="293" t="s">
        <v>656</v>
      </c>
      <c r="AJ150" s="293" t="s">
        <v>10147</v>
      </c>
      <c r="AK150" s="293" t="s">
        <v>145</v>
      </c>
      <c r="AL150" s="293" t="s">
        <v>74</v>
      </c>
      <c r="AM150" s="293" t="s">
        <v>656</v>
      </c>
      <c r="AO150" s="22" t="s">
        <v>10148</v>
      </c>
      <c r="AP150" s="22" t="s">
        <v>145</v>
      </c>
      <c r="AQ150" s="22" t="s">
        <v>70</v>
      </c>
      <c r="AR150" s="22" t="s">
        <v>67</v>
      </c>
      <c r="AT150" s="22" t="s">
        <v>10149</v>
      </c>
      <c r="AU150" s="22" t="s">
        <v>145</v>
      </c>
      <c r="AV150" s="22" t="s">
        <v>70</v>
      </c>
      <c r="AW150" s="22" t="s">
        <v>67</v>
      </c>
      <c r="AY150" s="22" t="s">
        <v>10150</v>
      </c>
      <c r="AZ150" s="22" t="s">
        <v>145</v>
      </c>
      <c r="BA150" s="22" t="s">
        <v>70</v>
      </c>
      <c r="BB150" s="22" t="s">
        <v>67</v>
      </c>
      <c r="BD150" s="22" t="s">
        <v>10151</v>
      </c>
      <c r="BE150" s="22" t="s">
        <v>145</v>
      </c>
      <c r="BF150" s="22" t="s">
        <v>70</v>
      </c>
      <c r="BG150" s="22" t="s">
        <v>67</v>
      </c>
      <c r="BI150" s="22" t="s">
        <v>10152</v>
      </c>
      <c r="BJ150" s="22" t="s">
        <v>145</v>
      </c>
      <c r="BK150" s="22" t="s">
        <v>70</v>
      </c>
      <c r="BL150" s="22" t="s">
        <v>67</v>
      </c>
      <c r="BN150" s="22" t="s">
        <v>10153</v>
      </c>
      <c r="BO150" s="22" t="s">
        <v>145</v>
      </c>
      <c r="BP150" s="22" t="s">
        <v>70</v>
      </c>
      <c r="BQ150" s="22" t="s">
        <v>67</v>
      </c>
      <c r="BS150" s="22" t="s">
        <v>10154</v>
      </c>
      <c r="BT150" s="22" t="s">
        <v>145</v>
      </c>
      <c r="BU150" s="22" t="s">
        <v>70</v>
      </c>
      <c r="BV150" s="214" t="s">
        <v>530</v>
      </c>
      <c r="BX150" s="22" t="s">
        <v>10155</v>
      </c>
      <c r="BY150" s="22" t="s">
        <v>145</v>
      </c>
      <c r="BZ150" s="22" t="s">
        <v>70</v>
      </c>
      <c r="CA150" s="214" t="s">
        <v>530</v>
      </c>
      <c r="CC150" s="214" t="s">
        <v>10156</v>
      </c>
      <c r="CD150" s="218" t="s">
        <v>145</v>
      </c>
      <c r="CE150" s="214" t="s">
        <v>70</v>
      </c>
      <c r="CF150" s="214" t="s">
        <v>445</v>
      </c>
      <c r="CH150" s="214" t="s">
        <v>10157</v>
      </c>
      <c r="CI150" s="214" t="s">
        <v>34590</v>
      </c>
      <c r="CJ150" s="214" t="s">
        <v>70</v>
      </c>
      <c r="CK150" s="214" t="s">
        <v>530</v>
      </c>
      <c r="CM150" s="214" t="s">
        <v>10158</v>
      </c>
      <c r="CN150" s="214" t="s">
        <v>468</v>
      </c>
      <c r="CO150" s="214" t="s">
        <v>70</v>
      </c>
      <c r="CP150" s="214" t="s">
        <v>530</v>
      </c>
      <c r="CR150" s="214" t="s">
        <v>10159</v>
      </c>
      <c r="CS150" s="214" t="s">
        <v>85</v>
      </c>
      <c r="CT150" s="214" t="s">
        <v>70</v>
      </c>
      <c r="CU150" s="214" t="s">
        <v>530</v>
      </c>
      <c r="CW150" s="214" t="s">
        <v>10160</v>
      </c>
      <c r="CX150" s="214" t="s">
        <v>88</v>
      </c>
      <c r="CY150" s="214" t="s">
        <v>70</v>
      </c>
      <c r="CZ150" s="214" t="s">
        <v>530</v>
      </c>
      <c r="DB150" s="214" t="s">
        <v>10161</v>
      </c>
      <c r="DC150" s="214" t="s">
        <v>103</v>
      </c>
      <c r="DD150" s="214" t="s">
        <v>70</v>
      </c>
      <c r="DE150" s="214" t="s">
        <v>530</v>
      </c>
      <c r="DG150" s="214" t="s">
        <v>10162</v>
      </c>
      <c r="DH150" s="214" t="s">
        <v>34545</v>
      </c>
      <c r="DI150" s="214" t="s">
        <v>70</v>
      </c>
      <c r="DJ150" s="214" t="s">
        <v>530</v>
      </c>
      <c r="DL150" s="214" t="s">
        <v>10163</v>
      </c>
      <c r="DM150" s="214" t="s">
        <v>164</v>
      </c>
      <c r="DN150" s="214" t="s">
        <v>70</v>
      </c>
      <c r="DO150" s="214" t="s">
        <v>530</v>
      </c>
      <c r="DQ150" s="214" t="s">
        <v>10164</v>
      </c>
      <c r="DR150" s="214" t="s">
        <v>484</v>
      </c>
      <c r="DS150" s="214" t="s">
        <v>70</v>
      </c>
      <c r="DT150" s="214" t="s">
        <v>530</v>
      </c>
      <c r="DV150" s="214" t="s">
        <v>10165</v>
      </c>
      <c r="DW150" s="214" t="s">
        <v>34564</v>
      </c>
      <c r="DX150" s="214" t="s">
        <v>70</v>
      </c>
      <c r="DY150" s="214" t="s">
        <v>530</v>
      </c>
      <c r="EA150" s="214" t="s">
        <v>10166</v>
      </c>
      <c r="EB150" s="214" t="s">
        <v>485</v>
      </c>
      <c r="EC150" s="214" t="s">
        <v>70</v>
      </c>
      <c r="ED150" s="214" t="s">
        <v>530</v>
      </c>
      <c r="EF150" s="214" t="s">
        <v>10167</v>
      </c>
      <c r="EG150" s="214" t="s">
        <v>52</v>
      </c>
      <c r="EH150" s="214" t="s">
        <v>70</v>
      </c>
      <c r="EI150" s="214" t="s">
        <v>530</v>
      </c>
      <c r="EK150" s="214" t="s">
        <v>10168</v>
      </c>
      <c r="EL150" s="214" t="s">
        <v>52</v>
      </c>
      <c r="EM150" s="214" t="s">
        <v>70</v>
      </c>
      <c r="EN150" s="214" t="s">
        <v>530</v>
      </c>
      <c r="EP150" s="214" t="s">
        <v>10169</v>
      </c>
      <c r="EQ150" s="214" t="s">
        <v>90</v>
      </c>
      <c r="ER150" s="214" t="s">
        <v>70</v>
      </c>
      <c r="ES150" s="214" t="s">
        <v>530</v>
      </c>
      <c r="EU150" s="214" t="s">
        <v>10170</v>
      </c>
      <c r="EV150" s="214" t="s">
        <v>655</v>
      </c>
      <c r="EW150" s="214" t="s">
        <v>70</v>
      </c>
      <c r="EX150" s="214" t="s">
        <v>530</v>
      </c>
      <c r="EZ150" s="214" t="s">
        <v>10171</v>
      </c>
      <c r="FA150" s="214" t="s">
        <v>90</v>
      </c>
      <c r="FB150" s="214" t="s">
        <v>70</v>
      </c>
      <c r="FC150" s="214" t="s">
        <v>530</v>
      </c>
      <c r="FE150" s="214" t="s">
        <v>10172</v>
      </c>
      <c r="FF150" s="214" t="s">
        <v>52</v>
      </c>
      <c r="FG150" s="214" t="s">
        <v>70</v>
      </c>
      <c r="FH150" s="214" t="s">
        <v>530</v>
      </c>
      <c r="FJ150" s="321" t="s">
        <v>10173</v>
      </c>
      <c r="FK150" s="214" t="s">
        <v>203</v>
      </c>
      <c r="FL150" s="214" t="s">
        <v>70</v>
      </c>
      <c r="FM150" s="214" t="s">
        <v>530</v>
      </c>
      <c r="FO150" s="321" t="s">
        <v>10174</v>
      </c>
      <c r="FP150" s="214" t="s">
        <v>52</v>
      </c>
      <c r="FQ150" s="214" t="s">
        <v>70</v>
      </c>
      <c r="FR150" s="214" t="s">
        <v>530</v>
      </c>
      <c r="FT150" s="321" t="s">
        <v>10175</v>
      </c>
      <c r="FU150" s="214" t="s">
        <v>484</v>
      </c>
      <c r="FV150" s="214" t="s">
        <v>70</v>
      </c>
      <c r="FW150" s="214" t="s">
        <v>530</v>
      </c>
      <c r="FY150" s="321" t="s">
        <v>10176</v>
      </c>
      <c r="FZ150" s="214" t="s">
        <v>34642</v>
      </c>
      <c r="GA150" s="214" t="s">
        <v>70</v>
      </c>
      <c r="GB150" s="214" t="s">
        <v>530</v>
      </c>
      <c r="GD150" s="321" t="s">
        <v>10177</v>
      </c>
      <c r="GE150" s="214" t="s">
        <v>163</v>
      </c>
      <c r="GF150" s="214" t="s">
        <v>70</v>
      </c>
      <c r="GG150" s="214" t="s">
        <v>530</v>
      </c>
      <c r="GI150" s="321" t="s">
        <v>10178</v>
      </c>
      <c r="GJ150" s="214" t="s">
        <v>52</v>
      </c>
      <c r="GK150" s="214" t="s">
        <v>70</v>
      </c>
      <c r="GL150" s="214" t="s">
        <v>530</v>
      </c>
      <c r="GN150" s="321" t="s">
        <v>10179</v>
      </c>
      <c r="GO150" s="214" t="s">
        <v>286</v>
      </c>
      <c r="GP150" s="214" t="s">
        <v>70</v>
      </c>
      <c r="GQ150" s="214" t="s">
        <v>530</v>
      </c>
      <c r="GS150" s="321" t="s">
        <v>10180</v>
      </c>
      <c r="GT150" s="214" t="s">
        <v>488</v>
      </c>
      <c r="GU150" s="214" t="s">
        <v>70</v>
      </c>
      <c r="GV150" s="214" t="s">
        <v>530</v>
      </c>
      <c r="GX150" s="214" t="s">
        <v>10181</v>
      </c>
      <c r="GY150" s="214" t="s">
        <v>485</v>
      </c>
      <c r="GZ150" s="214" t="s">
        <v>70</v>
      </c>
      <c r="HA150" s="214" t="s">
        <v>530</v>
      </c>
      <c r="HC150" s="214" t="s">
        <v>10182</v>
      </c>
      <c r="HD150" s="214" t="s">
        <v>655</v>
      </c>
      <c r="HE150" s="214" t="s">
        <v>70</v>
      </c>
      <c r="HF150" s="214" t="s">
        <v>530</v>
      </c>
      <c r="HH150" s="214" t="s">
        <v>10183</v>
      </c>
      <c r="HI150" s="214" t="s">
        <v>90</v>
      </c>
      <c r="HJ150" s="214" t="s">
        <v>70</v>
      </c>
      <c r="HK150" s="214" t="s">
        <v>530</v>
      </c>
      <c r="HM150" s="214" t="s">
        <v>10184</v>
      </c>
      <c r="HN150" s="214" t="s">
        <v>468</v>
      </c>
      <c r="HO150" s="214" t="s">
        <v>70</v>
      </c>
      <c r="HP150" s="214" t="s">
        <v>530</v>
      </c>
      <c r="HR150" s="22" t="s">
        <v>10185</v>
      </c>
      <c r="HS150" s="22" t="s">
        <v>52</v>
      </c>
      <c r="HT150" s="22" t="s">
        <v>70</v>
      </c>
      <c r="HU150" s="214" t="s">
        <v>530</v>
      </c>
      <c r="HW150" s="22" t="s">
        <v>10186</v>
      </c>
      <c r="HX150" s="22" t="s">
        <v>90</v>
      </c>
      <c r="HY150" s="22" t="s">
        <v>70</v>
      </c>
      <c r="HZ150" s="214" t="s">
        <v>530</v>
      </c>
      <c r="IB150" s="22" t="s">
        <v>10187</v>
      </c>
      <c r="IC150" s="22" t="s">
        <v>912</v>
      </c>
      <c r="ID150" s="22" t="s">
        <v>70</v>
      </c>
      <c r="IE150" s="214" t="s">
        <v>530</v>
      </c>
      <c r="IG150" s="22" t="s">
        <v>10188</v>
      </c>
      <c r="IH150" s="22" t="s">
        <v>52</v>
      </c>
      <c r="II150" s="22" t="s">
        <v>70</v>
      </c>
      <c r="IJ150" s="214" t="s">
        <v>530</v>
      </c>
      <c r="IL150" s="22" t="s">
        <v>10189</v>
      </c>
      <c r="IM150" s="22" t="s">
        <v>145</v>
      </c>
      <c r="IN150" s="22" t="s">
        <v>70</v>
      </c>
      <c r="IO150" s="214" t="s">
        <v>530</v>
      </c>
      <c r="IQ150" s="236" t="s">
        <v>10190</v>
      </c>
      <c r="IR150" s="236" t="s">
        <v>145</v>
      </c>
      <c r="IS150" s="236" t="s">
        <v>74</v>
      </c>
      <c r="IT150" s="236" t="s">
        <v>841</v>
      </c>
      <c r="IV150" s="236" t="s">
        <v>10191</v>
      </c>
      <c r="IW150" s="236" t="s">
        <v>145</v>
      </c>
      <c r="IX150" s="236" t="s">
        <v>74</v>
      </c>
      <c r="IY150" s="236" t="s">
        <v>841</v>
      </c>
      <c r="JA150" s="236" t="s">
        <v>10192</v>
      </c>
      <c r="JB150" s="236" t="s">
        <v>145</v>
      </c>
      <c r="JC150" s="236" t="s">
        <v>74</v>
      </c>
      <c r="JD150" s="236" t="s">
        <v>841</v>
      </c>
      <c r="JF150" s="236" t="s">
        <v>10193</v>
      </c>
      <c r="JG150" s="236" t="s">
        <v>145</v>
      </c>
      <c r="JH150" s="236" t="s">
        <v>74</v>
      </c>
      <c r="JI150" s="236" t="s">
        <v>841</v>
      </c>
      <c r="JK150" s="236" t="s">
        <v>10194</v>
      </c>
      <c r="JL150" s="236" t="s">
        <v>145</v>
      </c>
      <c r="JM150" s="236" t="s">
        <v>74</v>
      </c>
      <c r="JN150" s="236" t="s">
        <v>841</v>
      </c>
      <c r="JP150" s="236" t="s">
        <v>10195</v>
      </c>
      <c r="JQ150" s="236" t="s">
        <v>145</v>
      </c>
      <c r="JR150" s="236" t="s">
        <v>74</v>
      </c>
      <c r="JS150" s="236" t="s">
        <v>841</v>
      </c>
      <c r="JU150" s="294" t="s">
        <v>10196</v>
      </c>
      <c r="JV150" s="218" t="s">
        <v>148</v>
      </c>
      <c r="JW150" s="263" t="s">
        <v>70</v>
      </c>
      <c r="JX150" s="263" t="s">
        <v>34258</v>
      </c>
      <c r="JZ150" s="263" t="s">
        <v>10197</v>
      </c>
      <c r="KA150" s="263" t="s">
        <v>145</v>
      </c>
      <c r="KB150" s="263" t="s">
        <v>70</v>
      </c>
      <c r="KC150" s="263" t="s">
        <v>1083</v>
      </c>
      <c r="KE150" s="263" t="s">
        <v>10198</v>
      </c>
      <c r="KF150" s="263" t="s">
        <v>52</v>
      </c>
      <c r="KG150" s="263" t="s">
        <v>70</v>
      </c>
      <c r="KH150" s="263" t="s">
        <v>1083</v>
      </c>
      <c r="KJ150" s="263" t="s">
        <v>10199</v>
      </c>
      <c r="KK150" s="263" t="s">
        <v>52</v>
      </c>
      <c r="KL150" s="263" t="s">
        <v>74</v>
      </c>
      <c r="KM150" s="263" t="s">
        <v>34074</v>
      </c>
      <c r="KO150" s="214" t="s">
        <v>10200</v>
      </c>
      <c r="KP150" s="214" t="s">
        <v>145</v>
      </c>
      <c r="KQ150" s="214" t="s">
        <v>70</v>
      </c>
      <c r="KR150" s="214" t="s">
        <v>67</v>
      </c>
      <c r="KT150" s="22" t="s">
        <v>10201</v>
      </c>
      <c r="KU150" s="22" t="s">
        <v>145</v>
      </c>
      <c r="KV150" s="22" t="s">
        <v>70</v>
      </c>
      <c r="KW150" s="22" t="s">
        <v>67</v>
      </c>
      <c r="KY150" s="214" t="s">
        <v>10202</v>
      </c>
      <c r="KZ150" s="214" t="s">
        <v>52</v>
      </c>
      <c r="LA150" s="214" t="s">
        <v>74</v>
      </c>
      <c r="LB150" s="214" t="s">
        <v>67</v>
      </c>
      <c r="LD150" s="22" t="s">
        <v>10203</v>
      </c>
      <c r="LE150" s="22" t="s">
        <v>145</v>
      </c>
      <c r="LF150" s="22" t="s">
        <v>70</v>
      </c>
      <c r="LG150" s="22" t="s">
        <v>67</v>
      </c>
    </row>
    <row r="151" spans="1:319">
      <c r="A151" s="22" t="s">
        <v>10204</v>
      </c>
      <c r="B151" s="22" t="s">
        <v>145</v>
      </c>
      <c r="C151" s="22" t="s">
        <v>70</v>
      </c>
      <c r="D151" s="22" t="s">
        <v>67</v>
      </c>
      <c r="F151" s="23" t="s">
        <v>10205</v>
      </c>
      <c r="G151" s="23" t="str">
        <f>TVIIBE1M_CalPairs!$E148</f>
        <v>0x00</v>
      </c>
      <c r="H151" s="233" t="s">
        <v>72</v>
      </c>
      <c r="I151" s="23" t="str">
        <f>TVIIBE1M_CalPairs!$C148</f>
        <v>PASS0_SAR0_DIG_CAL_VAL0</v>
      </c>
      <c r="K151" s="22" t="s">
        <v>10206</v>
      </c>
      <c r="L151" s="22" t="s">
        <v>145</v>
      </c>
      <c r="M151" s="22" t="s">
        <v>70</v>
      </c>
      <c r="N151" s="22" t="s">
        <v>67</v>
      </c>
      <c r="P151" s="22" t="s">
        <v>10207</v>
      </c>
      <c r="Q151" s="22" t="s">
        <v>145</v>
      </c>
      <c r="R151" s="22" t="s">
        <v>70</v>
      </c>
      <c r="S151" s="22" t="s">
        <v>67</v>
      </c>
      <c r="U151" s="293" t="s">
        <v>10208</v>
      </c>
      <c r="V151" s="293" t="s">
        <v>145</v>
      </c>
      <c r="W151" s="293" t="s">
        <v>74</v>
      </c>
      <c r="X151" s="293" t="s">
        <v>656</v>
      </c>
      <c r="Z151" s="293" t="s">
        <v>10209</v>
      </c>
      <c r="AA151" s="293" t="s">
        <v>145</v>
      </c>
      <c r="AB151" s="293" t="s">
        <v>74</v>
      </c>
      <c r="AC151" s="293" t="s">
        <v>656</v>
      </c>
      <c r="AE151" s="293" t="s">
        <v>10210</v>
      </c>
      <c r="AF151" s="293" t="s">
        <v>145</v>
      </c>
      <c r="AG151" s="293" t="s">
        <v>74</v>
      </c>
      <c r="AH151" s="293" t="s">
        <v>656</v>
      </c>
      <c r="AJ151" s="293" t="s">
        <v>10211</v>
      </c>
      <c r="AK151" s="293" t="s">
        <v>145</v>
      </c>
      <c r="AL151" s="293" t="s">
        <v>74</v>
      </c>
      <c r="AM151" s="293" t="s">
        <v>656</v>
      </c>
      <c r="AO151" s="22" t="s">
        <v>10212</v>
      </c>
      <c r="AP151" s="22" t="s">
        <v>145</v>
      </c>
      <c r="AQ151" s="22" t="s">
        <v>70</v>
      </c>
      <c r="AR151" s="22" t="s">
        <v>67</v>
      </c>
      <c r="AT151" s="22" t="s">
        <v>10213</v>
      </c>
      <c r="AU151" s="22" t="s">
        <v>145</v>
      </c>
      <c r="AV151" s="22" t="s">
        <v>70</v>
      </c>
      <c r="AW151" s="22" t="s">
        <v>67</v>
      </c>
      <c r="AY151" s="22" t="s">
        <v>10214</v>
      </c>
      <c r="AZ151" s="22" t="s">
        <v>145</v>
      </c>
      <c r="BA151" s="22" t="s">
        <v>70</v>
      </c>
      <c r="BB151" s="22" t="s">
        <v>67</v>
      </c>
      <c r="BD151" s="22" t="s">
        <v>10215</v>
      </c>
      <c r="BE151" s="22" t="s">
        <v>145</v>
      </c>
      <c r="BF151" s="22" t="s">
        <v>70</v>
      </c>
      <c r="BG151" s="22" t="s">
        <v>67</v>
      </c>
      <c r="BI151" s="22" t="s">
        <v>10216</v>
      </c>
      <c r="BJ151" s="22" t="s">
        <v>145</v>
      </c>
      <c r="BK151" s="22" t="s">
        <v>70</v>
      </c>
      <c r="BL151" s="22" t="s">
        <v>67</v>
      </c>
      <c r="BN151" s="22" t="s">
        <v>10217</v>
      </c>
      <c r="BO151" s="22" t="s">
        <v>145</v>
      </c>
      <c r="BP151" s="22" t="s">
        <v>70</v>
      </c>
      <c r="BQ151" s="22" t="s">
        <v>67</v>
      </c>
      <c r="BS151" s="22" t="s">
        <v>10218</v>
      </c>
      <c r="BT151" s="22" t="s">
        <v>145</v>
      </c>
      <c r="BU151" s="22" t="s">
        <v>70</v>
      </c>
      <c r="BV151" s="214" t="s">
        <v>530</v>
      </c>
      <c r="BX151" s="22" t="s">
        <v>10219</v>
      </c>
      <c r="BY151" s="22" t="s">
        <v>145</v>
      </c>
      <c r="BZ151" s="22" t="s">
        <v>70</v>
      </c>
      <c r="CA151" s="214" t="s">
        <v>530</v>
      </c>
      <c r="CC151" s="214" t="s">
        <v>10220</v>
      </c>
      <c r="CD151" s="218" t="s">
        <v>145</v>
      </c>
      <c r="CE151" s="214" t="s">
        <v>70</v>
      </c>
      <c r="CF151" s="214" t="s">
        <v>446</v>
      </c>
      <c r="CH151" s="214" t="s">
        <v>10221</v>
      </c>
      <c r="CI151" s="214" t="s">
        <v>86</v>
      </c>
      <c r="CJ151" s="214" t="s">
        <v>70</v>
      </c>
      <c r="CK151" s="214" t="s">
        <v>530</v>
      </c>
      <c r="CM151" s="214" t="s">
        <v>10222</v>
      </c>
      <c r="CN151" s="214" t="s">
        <v>599</v>
      </c>
      <c r="CO151" s="214" t="s">
        <v>70</v>
      </c>
      <c r="CP151" s="214" t="s">
        <v>530</v>
      </c>
      <c r="CR151" s="214" t="s">
        <v>10223</v>
      </c>
      <c r="CS151" s="214" t="s">
        <v>34618</v>
      </c>
      <c r="CT151" s="214" t="s">
        <v>70</v>
      </c>
      <c r="CU151" s="214" t="s">
        <v>530</v>
      </c>
      <c r="CW151" s="214" t="s">
        <v>10224</v>
      </c>
      <c r="CX151" s="214" t="s">
        <v>956</v>
      </c>
      <c r="CY151" s="214" t="s">
        <v>70</v>
      </c>
      <c r="CZ151" s="214" t="s">
        <v>530</v>
      </c>
      <c r="DB151" s="214" t="s">
        <v>10225</v>
      </c>
      <c r="DC151" s="214" t="s">
        <v>485</v>
      </c>
      <c r="DD151" s="214" t="s">
        <v>70</v>
      </c>
      <c r="DE151" s="214" t="s">
        <v>530</v>
      </c>
      <c r="DG151" s="214" t="s">
        <v>10226</v>
      </c>
      <c r="DH151" s="214" t="s">
        <v>34551</v>
      </c>
      <c r="DI151" s="214" t="s">
        <v>70</v>
      </c>
      <c r="DJ151" s="214" t="s">
        <v>530</v>
      </c>
      <c r="DL151" s="214" t="s">
        <v>10227</v>
      </c>
      <c r="DM151" s="214" t="s">
        <v>206</v>
      </c>
      <c r="DN151" s="214" t="s">
        <v>70</v>
      </c>
      <c r="DO151" s="214" t="s">
        <v>530</v>
      </c>
      <c r="DQ151" s="214" t="s">
        <v>10228</v>
      </c>
      <c r="DR151" s="214" t="s">
        <v>926</v>
      </c>
      <c r="DS151" s="214" t="s">
        <v>70</v>
      </c>
      <c r="DT151" s="214" t="s">
        <v>530</v>
      </c>
      <c r="DV151" s="214" t="s">
        <v>10229</v>
      </c>
      <c r="DW151" s="214" t="s">
        <v>912</v>
      </c>
      <c r="DX151" s="214" t="s">
        <v>70</v>
      </c>
      <c r="DY151" s="214" t="s">
        <v>530</v>
      </c>
      <c r="EA151" s="214" t="s">
        <v>10230</v>
      </c>
      <c r="EB151" s="214" t="s">
        <v>52</v>
      </c>
      <c r="EC151" s="214" t="s">
        <v>70</v>
      </c>
      <c r="ED151" s="214" t="s">
        <v>530</v>
      </c>
      <c r="EF151" s="214" t="s">
        <v>10231</v>
      </c>
      <c r="EG151" s="214" t="s">
        <v>52</v>
      </c>
      <c r="EH151" s="214" t="s">
        <v>70</v>
      </c>
      <c r="EI151" s="214" t="s">
        <v>530</v>
      </c>
      <c r="EK151" s="214" t="s">
        <v>10232</v>
      </c>
      <c r="EL151" s="214" t="s">
        <v>485</v>
      </c>
      <c r="EM151" s="214" t="s">
        <v>70</v>
      </c>
      <c r="EN151" s="214" t="s">
        <v>530</v>
      </c>
      <c r="EP151" s="214" t="s">
        <v>10233</v>
      </c>
      <c r="EQ151" s="214" t="s">
        <v>599</v>
      </c>
      <c r="ER151" s="214" t="s">
        <v>70</v>
      </c>
      <c r="ES151" s="214" t="s">
        <v>530</v>
      </c>
      <c r="EU151" s="214" t="s">
        <v>10234</v>
      </c>
      <c r="EV151" s="214" t="s">
        <v>486</v>
      </c>
      <c r="EW151" s="214" t="s">
        <v>70</v>
      </c>
      <c r="EX151" s="214" t="s">
        <v>530</v>
      </c>
      <c r="EZ151" s="214" t="s">
        <v>10235</v>
      </c>
      <c r="FA151" s="214" t="s">
        <v>482</v>
      </c>
      <c r="FB151" s="214" t="s">
        <v>70</v>
      </c>
      <c r="FC151" s="214" t="s">
        <v>530</v>
      </c>
      <c r="FE151" s="214" t="s">
        <v>10236</v>
      </c>
      <c r="FF151" s="214" t="s">
        <v>485</v>
      </c>
      <c r="FG151" s="214" t="s">
        <v>70</v>
      </c>
      <c r="FH151" s="214" t="s">
        <v>530</v>
      </c>
      <c r="FJ151" s="321" t="s">
        <v>10237</v>
      </c>
      <c r="FK151" s="214" t="s">
        <v>496</v>
      </c>
      <c r="FL151" s="214" t="s">
        <v>70</v>
      </c>
      <c r="FM151" s="214" t="s">
        <v>530</v>
      </c>
      <c r="FO151" s="321" t="s">
        <v>10238</v>
      </c>
      <c r="FP151" s="214" t="s">
        <v>52</v>
      </c>
      <c r="FQ151" s="214" t="s">
        <v>70</v>
      </c>
      <c r="FR151" s="214" t="s">
        <v>530</v>
      </c>
      <c r="FT151" s="321" t="s">
        <v>10239</v>
      </c>
      <c r="FU151" s="214" t="s">
        <v>926</v>
      </c>
      <c r="FV151" s="214" t="s">
        <v>70</v>
      </c>
      <c r="FW151" s="214" t="s">
        <v>530</v>
      </c>
      <c r="FY151" s="321" t="s">
        <v>10240</v>
      </c>
      <c r="FZ151" s="214" t="s">
        <v>145</v>
      </c>
      <c r="GA151" s="214" t="s">
        <v>70</v>
      </c>
      <c r="GB151" s="214" t="s">
        <v>530</v>
      </c>
      <c r="GD151" s="321" t="s">
        <v>10241</v>
      </c>
      <c r="GE151" s="214" t="s">
        <v>34589</v>
      </c>
      <c r="GF151" s="214" t="s">
        <v>70</v>
      </c>
      <c r="GG151" s="214" t="s">
        <v>530</v>
      </c>
      <c r="GI151" s="321" t="s">
        <v>10242</v>
      </c>
      <c r="GJ151" s="214" t="s">
        <v>34641</v>
      </c>
      <c r="GK151" s="214" t="s">
        <v>70</v>
      </c>
      <c r="GL151" s="214" t="s">
        <v>530</v>
      </c>
      <c r="GN151" s="321" t="s">
        <v>10243</v>
      </c>
      <c r="GO151" s="214" t="s">
        <v>34642</v>
      </c>
      <c r="GP151" s="214" t="s">
        <v>70</v>
      </c>
      <c r="GQ151" s="214" t="s">
        <v>530</v>
      </c>
      <c r="GS151" s="321" t="s">
        <v>10244</v>
      </c>
      <c r="GT151" s="214" t="s">
        <v>798</v>
      </c>
      <c r="GU151" s="214" t="s">
        <v>70</v>
      </c>
      <c r="GV151" s="214" t="s">
        <v>530</v>
      </c>
      <c r="GX151" s="214" t="s">
        <v>10245</v>
      </c>
      <c r="GY151" s="214" t="s">
        <v>503</v>
      </c>
      <c r="GZ151" s="214" t="s">
        <v>70</v>
      </c>
      <c r="HA151" s="214" t="s">
        <v>530</v>
      </c>
      <c r="HC151" s="214" t="s">
        <v>10246</v>
      </c>
      <c r="HD151" s="214" t="s">
        <v>491</v>
      </c>
      <c r="HE151" s="214" t="s">
        <v>70</v>
      </c>
      <c r="HF151" s="214" t="s">
        <v>530</v>
      </c>
      <c r="HH151" s="214" t="s">
        <v>10247</v>
      </c>
      <c r="HI151" s="214" t="s">
        <v>34540</v>
      </c>
      <c r="HJ151" s="214" t="s">
        <v>70</v>
      </c>
      <c r="HK151" s="214" t="s">
        <v>530</v>
      </c>
      <c r="HM151" s="214" t="s">
        <v>10248</v>
      </c>
      <c r="HN151" s="214" t="s">
        <v>52</v>
      </c>
      <c r="HO151" s="214" t="s">
        <v>70</v>
      </c>
      <c r="HP151" s="214" t="s">
        <v>530</v>
      </c>
      <c r="HR151" s="22" t="s">
        <v>10249</v>
      </c>
      <c r="HS151" s="22" t="s">
        <v>52</v>
      </c>
      <c r="HT151" s="22" t="s">
        <v>70</v>
      </c>
      <c r="HU151" s="214" t="s">
        <v>530</v>
      </c>
      <c r="HW151" s="22" t="s">
        <v>10250</v>
      </c>
      <c r="HX151" s="22" t="s">
        <v>487</v>
      </c>
      <c r="HY151" s="22" t="s">
        <v>70</v>
      </c>
      <c r="HZ151" s="214" t="s">
        <v>530</v>
      </c>
      <c r="IB151" s="22" t="s">
        <v>10251</v>
      </c>
      <c r="IC151" s="22" t="s">
        <v>93</v>
      </c>
      <c r="ID151" s="22" t="s">
        <v>70</v>
      </c>
      <c r="IE151" s="214" t="s">
        <v>530</v>
      </c>
      <c r="IG151" s="22" t="s">
        <v>10252</v>
      </c>
      <c r="IH151" s="22" t="s">
        <v>52</v>
      </c>
      <c r="II151" s="22" t="s">
        <v>70</v>
      </c>
      <c r="IJ151" s="214" t="s">
        <v>530</v>
      </c>
      <c r="IL151" s="22" t="s">
        <v>10253</v>
      </c>
      <c r="IM151" s="22" t="s">
        <v>145</v>
      </c>
      <c r="IN151" s="22" t="s">
        <v>70</v>
      </c>
      <c r="IO151" s="214" t="s">
        <v>530</v>
      </c>
      <c r="IQ151" s="236" t="s">
        <v>10254</v>
      </c>
      <c r="IR151" s="236" t="s">
        <v>145</v>
      </c>
      <c r="IS151" s="236" t="s">
        <v>74</v>
      </c>
      <c r="IT151" s="236" t="s">
        <v>841</v>
      </c>
      <c r="IV151" s="236" t="s">
        <v>10255</v>
      </c>
      <c r="IW151" s="236" t="s">
        <v>145</v>
      </c>
      <c r="IX151" s="236" t="s">
        <v>74</v>
      </c>
      <c r="IY151" s="236" t="s">
        <v>841</v>
      </c>
      <c r="JA151" s="236" t="s">
        <v>10256</v>
      </c>
      <c r="JB151" s="236" t="s">
        <v>145</v>
      </c>
      <c r="JC151" s="236" t="s">
        <v>74</v>
      </c>
      <c r="JD151" s="236" t="s">
        <v>841</v>
      </c>
      <c r="JF151" s="236" t="s">
        <v>10257</v>
      </c>
      <c r="JG151" s="236" t="s">
        <v>145</v>
      </c>
      <c r="JH151" s="236" t="s">
        <v>74</v>
      </c>
      <c r="JI151" s="236" t="s">
        <v>841</v>
      </c>
      <c r="JK151" s="236" t="s">
        <v>10258</v>
      </c>
      <c r="JL151" s="236" t="s">
        <v>145</v>
      </c>
      <c r="JM151" s="236" t="s">
        <v>74</v>
      </c>
      <c r="JN151" s="236" t="s">
        <v>841</v>
      </c>
      <c r="JP151" s="236" t="s">
        <v>10259</v>
      </c>
      <c r="JQ151" s="236" t="s">
        <v>145</v>
      </c>
      <c r="JR151" s="236" t="s">
        <v>74</v>
      </c>
      <c r="JS151" s="236" t="s">
        <v>841</v>
      </c>
      <c r="JU151" s="294" t="s">
        <v>10260</v>
      </c>
      <c r="JV151" s="263" t="s">
        <v>52</v>
      </c>
      <c r="JW151" s="263" t="s">
        <v>70</v>
      </c>
      <c r="JX151" s="263" t="s">
        <v>34259</v>
      </c>
      <c r="JZ151" s="263" t="s">
        <v>10261</v>
      </c>
      <c r="KA151" s="263" t="s">
        <v>145</v>
      </c>
      <c r="KB151" s="263" t="s">
        <v>70</v>
      </c>
      <c r="KC151" s="263" t="s">
        <v>1083</v>
      </c>
      <c r="KE151" s="263" t="s">
        <v>10262</v>
      </c>
      <c r="KF151" s="263" t="s">
        <v>52</v>
      </c>
      <c r="KG151" s="263" t="s">
        <v>70</v>
      </c>
      <c r="KH151" s="263" t="s">
        <v>1083</v>
      </c>
      <c r="KJ151" s="263" t="s">
        <v>10263</v>
      </c>
      <c r="KK151" s="263" t="s">
        <v>52</v>
      </c>
      <c r="KL151" s="263" t="s">
        <v>74</v>
      </c>
      <c r="KM151" s="263" t="s">
        <v>34074</v>
      </c>
      <c r="KO151" s="214" t="s">
        <v>10264</v>
      </c>
      <c r="KP151" s="214" t="s">
        <v>145</v>
      </c>
      <c r="KQ151" s="214" t="s">
        <v>70</v>
      </c>
      <c r="KR151" s="214" t="s">
        <v>67</v>
      </c>
      <c r="KT151" s="22" t="s">
        <v>10265</v>
      </c>
      <c r="KU151" s="22" t="s">
        <v>145</v>
      </c>
      <c r="KV151" s="22" t="s">
        <v>70</v>
      </c>
      <c r="KW151" s="22" t="s">
        <v>67</v>
      </c>
      <c r="KY151" s="214" t="s">
        <v>10266</v>
      </c>
      <c r="KZ151" s="214" t="s">
        <v>52</v>
      </c>
      <c r="LA151" s="214" t="s">
        <v>74</v>
      </c>
      <c r="LB151" s="214" t="s">
        <v>67</v>
      </c>
      <c r="LD151" s="22" t="s">
        <v>10267</v>
      </c>
      <c r="LE151" s="22" t="s">
        <v>145</v>
      </c>
      <c r="LF151" s="22" t="s">
        <v>70</v>
      </c>
      <c r="LG151" s="22" t="s">
        <v>67</v>
      </c>
    </row>
    <row r="152" spans="1:319">
      <c r="A152" s="22" t="s">
        <v>10268</v>
      </c>
      <c r="B152" s="22" t="s">
        <v>145</v>
      </c>
      <c r="C152" s="22" t="s">
        <v>70</v>
      </c>
      <c r="D152" s="22" t="s">
        <v>67</v>
      </c>
      <c r="F152" s="23" t="s">
        <v>10269</v>
      </c>
      <c r="G152" s="23" t="str">
        <f>TVIIBE1M_CalPairs!$E149</f>
        <v>0x00</v>
      </c>
      <c r="H152" s="233" t="s">
        <v>72</v>
      </c>
      <c r="I152" s="23" t="str">
        <f>TVIIBE1M_CalPairs!$C149</f>
        <v>PASS0_SAR0_DIG_CAL_VAL1</v>
      </c>
      <c r="K152" s="22" t="s">
        <v>10270</v>
      </c>
      <c r="L152" s="22" t="s">
        <v>145</v>
      </c>
      <c r="M152" s="22" t="s">
        <v>70</v>
      </c>
      <c r="N152" s="22" t="s">
        <v>67</v>
      </c>
      <c r="P152" s="22" t="s">
        <v>10271</v>
      </c>
      <c r="Q152" s="22" t="s">
        <v>145</v>
      </c>
      <c r="R152" s="22" t="s">
        <v>70</v>
      </c>
      <c r="S152" s="22" t="s">
        <v>67</v>
      </c>
      <c r="U152" s="293" t="s">
        <v>10272</v>
      </c>
      <c r="V152" s="293" t="s">
        <v>145</v>
      </c>
      <c r="W152" s="293" t="s">
        <v>74</v>
      </c>
      <c r="X152" s="293" t="s">
        <v>656</v>
      </c>
      <c r="Z152" s="293" t="s">
        <v>10273</v>
      </c>
      <c r="AA152" s="293" t="s">
        <v>145</v>
      </c>
      <c r="AB152" s="293" t="s">
        <v>74</v>
      </c>
      <c r="AC152" s="293" t="s">
        <v>656</v>
      </c>
      <c r="AE152" s="293" t="s">
        <v>10274</v>
      </c>
      <c r="AF152" s="293" t="s">
        <v>145</v>
      </c>
      <c r="AG152" s="293" t="s">
        <v>74</v>
      </c>
      <c r="AH152" s="293" t="s">
        <v>656</v>
      </c>
      <c r="AJ152" s="293" t="s">
        <v>10275</v>
      </c>
      <c r="AK152" s="293" t="s">
        <v>145</v>
      </c>
      <c r="AL152" s="293" t="s">
        <v>74</v>
      </c>
      <c r="AM152" s="293" t="s">
        <v>656</v>
      </c>
      <c r="AO152" s="22" t="s">
        <v>10276</v>
      </c>
      <c r="AP152" s="22" t="s">
        <v>145</v>
      </c>
      <c r="AQ152" s="22" t="s">
        <v>70</v>
      </c>
      <c r="AR152" s="22" t="s">
        <v>67</v>
      </c>
      <c r="AT152" s="22" t="s">
        <v>10277</v>
      </c>
      <c r="AU152" s="22" t="s">
        <v>145</v>
      </c>
      <c r="AV152" s="22" t="s">
        <v>70</v>
      </c>
      <c r="AW152" s="22" t="s">
        <v>67</v>
      </c>
      <c r="AY152" s="22" t="s">
        <v>10278</v>
      </c>
      <c r="AZ152" s="22" t="s">
        <v>145</v>
      </c>
      <c r="BA152" s="22" t="s">
        <v>70</v>
      </c>
      <c r="BB152" s="22" t="s">
        <v>67</v>
      </c>
      <c r="BD152" s="22" t="s">
        <v>10279</v>
      </c>
      <c r="BE152" s="22" t="s">
        <v>145</v>
      </c>
      <c r="BF152" s="22" t="s">
        <v>70</v>
      </c>
      <c r="BG152" s="22" t="s">
        <v>67</v>
      </c>
      <c r="BI152" s="22" t="s">
        <v>10280</v>
      </c>
      <c r="BJ152" s="22" t="s">
        <v>145</v>
      </c>
      <c r="BK152" s="22" t="s">
        <v>70</v>
      </c>
      <c r="BL152" s="22" t="s">
        <v>67</v>
      </c>
      <c r="BN152" s="22" t="s">
        <v>10281</v>
      </c>
      <c r="BO152" s="22" t="s">
        <v>145</v>
      </c>
      <c r="BP152" s="22" t="s">
        <v>70</v>
      </c>
      <c r="BQ152" s="22" t="s">
        <v>67</v>
      </c>
      <c r="BS152" s="22" t="s">
        <v>10282</v>
      </c>
      <c r="BT152" s="22" t="s">
        <v>145</v>
      </c>
      <c r="BU152" s="22" t="s">
        <v>70</v>
      </c>
      <c r="BV152" s="214" t="s">
        <v>530</v>
      </c>
      <c r="BX152" s="22" t="s">
        <v>10283</v>
      </c>
      <c r="BY152" s="22" t="s">
        <v>145</v>
      </c>
      <c r="BZ152" s="22" t="s">
        <v>70</v>
      </c>
      <c r="CA152" s="214" t="s">
        <v>530</v>
      </c>
      <c r="CC152" s="214" t="s">
        <v>10284</v>
      </c>
      <c r="CD152" s="218" t="s">
        <v>145</v>
      </c>
      <c r="CE152" s="214" t="s">
        <v>70</v>
      </c>
      <c r="CF152" s="214" t="s">
        <v>447</v>
      </c>
      <c r="CH152" s="214" t="s">
        <v>10285</v>
      </c>
      <c r="CI152" s="214" t="s">
        <v>148</v>
      </c>
      <c r="CJ152" s="214" t="s">
        <v>70</v>
      </c>
      <c r="CK152" s="214" t="s">
        <v>530</v>
      </c>
      <c r="CM152" s="214" t="s">
        <v>10286</v>
      </c>
      <c r="CN152" s="214" t="s">
        <v>34631</v>
      </c>
      <c r="CO152" s="214" t="s">
        <v>70</v>
      </c>
      <c r="CP152" s="214" t="s">
        <v>530</v>
      </c>
      <c r="CR152" s="214" t="s">
        <v>10287</v>
      </c>
      <c r="CS152" s="214" t="s">
        <v>34545</v>
      </c>
      <c r="CT152" s="214" t="s">
        <v>70</v>
      </c>
      <c r="CU152" s="214" t="s">
        <v>530</v>
      </c>
      <c r="CW152" s="214" t="s">
        <v>10288</v>
      </c>
      <c r="CX152" s="214" t="s">
        <v>928</v>
      </c>
      <c r="CY152" s="214" t="s">
        <v>70</v>
      </c>
      <c r="CZ152" s="214" t="s">
        <v>530</v>
      </c>
      <c r="DB152" s="214" t="s">
        <v>10289</v>
      </c>
      <c r="DC152" s="214" t="s">
        <v>34545</v>
      </c>
      <c r="DD152" s="214" t="s">
        <v>70</v>
      </c>
      <c r="DE152" s="214" t="s">
        <v>530</v>
      </c>
      <c r="DG152" s="214" t="s">
        <v>10290</v>
      </c>
      <c r="DH152" s="214" t="s">
        <v>206</v>
      </c>
      <c r="DI152" s="214" t="s">
        <v>70</v>
      </c>
      <c r="DJ152" s="214" t="s">
        <v>530</v>
      </c>
      <c r="DL152" s="214" t="s">
        <v>10291</v>
      </c>
      <c r="DM152" s="214" t="s">
        <v>10541</v>
      </c>
      <c r="DN152" s="214" t="s">
        <v>70</v>
      </c>
      <c r="DO152" s="214" t="s">
        <v>530</v>
      </c>
      <c r="DQ152" s="214" t="s">
        <v>10292</v>
      </c>
      <c r="DR152" s="214" t="s">
        <v>90</v>
      </c>
      <c r="DS152" s="214" t="s">
        <v>70</v>
      </c>
      <c r="DT152" s="214" t="s">
        <v>530</v>
      </c>
      <c r="DV152" s="214" t="s">
        <v>10293</v>
      </c>
      <c r="DW152" s="214" t="s">
        <v>649</v>
      </c>
      <c r="DX152" s="214" t="s">
        <v>70</v>
      </c>
      <c r="DY152" s="214" t="s">
        <v>530</v>
      </c>
      <c r="EA152" s="214" t="s">
        <v>10294</v>
      </c>
      <c r="EB152" s="214" t="s">
        <v>905</v>
      </c>
      <c r="EC152" s="214" t="s">
        <v>70</v>
      </c>
      <c r="ED152" s="214" t="s">
        <v>530</v>
      </c>
      <c r="EF152" s="214" t="s">
        <v>10295</v>
      </c>
      <c r="EG152" s="214" t="s">
        <v>34562</v>
      </c>
      <c r="EH152" s="214" t="s">
        <v>70</v>
      </c>
      <c r="EI152" s="214" t="s">
        <v>530</v>
      </c>
      <c r="EK152" s="214" t="s">
        <v>10296</v>
      </c>
      <c r="EL152" s="214" t="s">
        <v>34583</v>
      </c>
      <c r="EM152" s="214" t="s">
        <v>70</v>
      </c>
      <c r="EN152" s="214" t="s">
        <v>530</v>
      </c>
      <c r="EP152" s="214" t="s">
        <v>10297</v>
      </c>
      <c r="EQ152" s="214" t="s">
        <v>951</v>
      </c>
      <c r="ER152" s="214" t="s">
        <v>70</v>
      </c>
      <c r="ES152" s="214" t="s">
        <v>530</v>
      </c>
      <c r="EU152" s="214" t="s">
        <v>10298</v>
      </c>
      <c r="EV152" s="214" t="s">
        <v>916</v>
      </c>
      <c r="EW152" s="214" t="s">
        <v>70</v>
      </c>
      <c r="EX152" s="214" t="s">
        <v>530</v>
      </c>
      <c r="EZ152" s="214" t="s">
        <v>10299</v>
      </c>
      <c r="FA152" s="214" t="s">
        <v>34564</v>
      </c>
      <c r="FB152" s="214" t="s">
        <v>70</v>
      </c>
      <c r="FC152" s="214" t="s">
        <v>530</v>
      </c>
      <c r="FE152" s="214" t="s">
        <v>10300</v>
      </c>
      <c r="FF152" s="214" t="s">
        <v>502</v>
      </c>
      <c r="FG152" s="214" t="s">
        <v>70</v>
      </c>
      <c r="FH152" s="214" t="s">
        <v>530</v>
      </c>
      <c r="FJ152" s="321" t="s">
        <v>10301</v>
      </c>
      <c r="FK152" s="214" t="s">
        <v>34556</v>
      </c>
      <c r="FL152" s="214" t="s">
        <v>70</v>
      </c>
      <c r="FM152" s="214" t="s">
        <v>530</v>
      </c>
      <c r="FO152" s="321" t="s">
        <v>10302</v>
      </c>
      <c r="FP152" s="214" t="s">
        <v>52</v>
      </c>
      <c r="FQ152" s="214" t="s">
        <v>70</v>
      </c>
      <c r="FR152" s="214" t="s">
        <v>530</v>
      </c>
      <c r="FT152" s="321" t="s">
        <v>10303</v>
      </c>
      <c r="FU152" s="214" t="s">
        <v>164</v>
      </c>
      <c r="FV152" s="214" t="s">
        <v>70</v>
      </c>
      <c r="FW152" s="214" t="s">
        <v>530</v>
      </c>
      <c r="FY152" s="321" t="s">
        <v>10304</v>
      </c>
      <c r="FZ152" s="214" t="s">
        <v>163</v>
      </c>
      <c r="GA152" s="214" t="s">
        <v>70</v>
      </c>
      <c r="GB152" s="214" t="s">
        <v>530</v>
      </c>
      <c r="GD152" s="321" t="s">
        <v>10305</v>
      </c>
      <c r="GE152" s="214" t="s">
        <v>52</v>
      </c>
      <c r="GF152" s="214" t="s">
        <v>70</v>
      </c>
      <c r="GG152" s="214" t="s">
        <v>530</v>
      </c>
      <c r="GI152" s="321" t="s">
        <v>10306</v>
      </c>
      <c r="GJ152" s="214" t="s">
        <v>148</v>
      </c>
      <c r="GK152" s="214" t="s">
        <v>70</v>
      </c>
      <c r="GL152" s="214" t="s">
        <v>530</v>
      </c>
      <c r="GN152" s="321" t="s">
        <v>10307</v>
      </c>
      <c r="GO152" s="214" t="s">
        <v>88</v>
      </c>
      <c r="GP152" s="214" t="s">
        <v>70</v>
      </c>
      <c r="GQ152" s="214" t="s">
        <v>530</v>
      </c>
      <c r="GS152" s="321" t="s">
        <v>10308</v>
      </c>
      <c r="GT152" s="214" t="s">
        <v>917</v>
      </c>
      <c r="GU152" s="214" t="s">
        <v>70</v>
      </c>
      <c r="GV152" s="214" t="s">
        <v>530</v>
      </c>
      <c r="GX152" s="214" t="s">
        <v>10309</v>
      </c>
      <c r="GY152" s="214" t="s">
        <v>52</v>
      </c>
      <c r="GZ152" s="214" t="s">
        <v>70</v>
      </c>
      <c r="HA152" s="214" t="s">
        <v>530</v>
      </c>
      <c r="HC152" s="214" t="s">
        <v>10310</v>
      </c>
      <c r="HD152" s="214" t="s">
        <v>913</v>
      </c>
      <c r="HE152" s="214" t="s">
        <v>70</v>
      </c>
      <c r="HF152" s="214" t="s">
        <v>530</v>
      </c>
      <c r="HH152" s="214" t="s">
        <v>10311</v>
      </c>
      <c r="HI152" s="214" t="s">
        <v>601</v>
      </c>
      <c r="HJ152" s="214" t="s">
        <v>70</v>
      </c>
      <c r="HK152" s="214" t="s">
        <v>530</v>
      </c>
      <c r="HM152" s="214" t="s">
        <v>10312</v>
      </c>
      <c r="HN152" s="214" t="s">
        <v>52</v>
      </c>
      <c r="HO152" s="214" t="s">
        <v>70</v>
      </c>
      <c r="HP152" s="214" t="s">
        <v>530</v>
      </c>
      <c r="HR152" s="22" t="s">
        <v>10313</v>
      </c>
      <c r="HS152" s="22" t="s">
        <v>92</v>
      </c>
      <c r="HT152" s="22" t="s">
        <v>70</v>
      </c>
      <c r="HU152" s="214" t="s">
        <v>530</v>
      </c>
      <c r="HW152" s="22" t="s">
        <v>10314</v>
      </c>
      <c r="HX152" s="22" t="s">
        <v>52</v>
      </c>
      <c r="HY152" s="22" t="s">
        <v>70</v>
      </c>
      <c r="HZ152" s="214" t="s">
        <v>530</v>
      </c>
      <c r="IB152" s="22" t="s">
        <v>10315</v>
      </c>
      <c r="IC152" s="22" t="s">
        <v>529</v>
      </c>
      <c r="ID152" s="22" t="s">
        <v>70</v>
      </c>
      <c r="IE152" s="214" t="s">
        <v>530</v>
      </c>
      <c r="IG152" s="22" t="s">
        <v>10316</v>
      </c>
      <c r="IH152" s="22" t="s">
        <v>52</v>
      </c>
      <c r="II152" s="22" t="s">
        <v>70</v>
      </c>
      <c r="IJ152" s="214" t="s">
        <v>530</v>
      </c>
      <c r="IL152" s="22" t="s">
        <v>10317</v>
      </c>
      <c r="IM152" s="22" t="s">
        <v>145</v>
      </c>
      <c r="IN152" s="22" t="s">
        <v>70</v>
      </c>
      <c r="IO152" s="214" t="s">
        <v>530</v>
      </c>
      <c r="IQ152" s="236" t="s">
        <v>10318</v>
      </c>
      <c r="IR152" s="236" t="s">
        <v>145</v>
      </c>
      <c r="IS152" s="236" t="s">
        <v>74</v>
      </c>
      <c r="IT152" s="236" t="s">
        <v>841</v>
      </c>
      <c r="IV152" s="236" t="s">
        <v>10319</v>
      </c>
      <c r="IW152" s="236" t="s">
        <v>145</v>
      </c>
      <c r="IX152" s="236" t="s">
        <v>74</v>
      </c>
      <c r="IY152" s="236" t="s">
        <v>841</v>
      </c>
      <c r="JA152" s="236" t="s">
        <v>10320</v>
      </c>
      <c r="JB152" s="236" t="s">
        <v>145</v>
      </c>
      <c r="JC152" s="236" t="s">
        <v>74</v>
      </c>
      <c r="JD152" s="236" t="s">
        <v>841</v>
      </c>
      <c r="JF152" s="236" t="s">
        <v>10321</v>
      </c>
      <c r="JG152" s="236" t="s">
        <v>145</v>
      </c>
      <c r="JH152" s="236" t="s">
        <v>74</v>
      </c>
      <c r="JI152" s="236" t="s">
        <v>841</v>
      </c>
      <c r="JK152" s="236" t="s">
        <v>10322</v>
      </c>
      <c r="JL152" s="236" t="s">
        <v>145</v>
      </c>
      <c r="JM152" s="236" t="s">
        <v>74</v>
      </c>
      <c r="JN152" s="236" t="s">
        <v>841</v>
      </c>
      <c r="JP152" s="236" t="s">
        <v>10323</v>
      </c>
      <c r="JQ152" s="236" t="s">
        <v>145</v>
      </c>
      <c r="JR152" s="236" t="s">
        <v>74</v>
      </c>
      <c r="JS152" s="236" t="s">
        <v>841</v>
      </c>
      <c r="JU152" s="294" t="s">
        <v>10324</v>
      </c>
      <c r="JV152" s="294" t="s">
        <v>52</v>
      </c>
      <c r="JW152" s="263" t="s">
        <v>70</v>
      </c>
      <c r="JX152" s="294" t="s">
        <v>1083</v>
      </c>
      <c r="JZ152" s="263" t="s">
        <v>10325</v>
      </c>
      <c r="KA152" s="263" t="s">
        <v>145</v>
      </c>
      <c r="KB152" s="263" t="s">
        <v>70</v>
      </c>
      <c r="KC152" s="263" t="s">
        <v>1083</v>
      </c>
      <c r="KE152" s="263" t="s">
        <v>10326</v>
      </c>
      <c r="KF152" s="263" t="s">
        <v>52</v>
      </c>
      <c r="KG152" s="263" t="s">
        <v>70</v>
      </c>
      <c r="KH152" s="263" t="s">
        <v>1083</v>
      </c>
      <c r="KJ152" s="263" t="s">
        <v>10327</v>
      </c>
      <c r="KK152" s="263" t="s">
        <v>52</v>
      </c>
      <c r="KL152" s="263" t="s">
        <v>74</v>
      </c>
      <c r="KM152" s="263" t="s">
        <v>34074</v>
      </c>
      <c r="KO152" s="214" t="s">
        <v>10328</v>
      </c>
      <c r="KP152" s="214" t="s">
        <v>145</v>
      </c>
      <c r="KQ152" s="214" t="s">
        <v>70</v>
      </c>
      <c r="KR152" s="214" t="s">
        <v>67</v>
      </c>
      <c r="KT152" s="22" t="s">
        <v>10329</v>
      </c>
      <c r="KU152" s="22" t="s">
        <v>145</v>
      </c>
      <c r="KV152" s="22" t="s">
        <v>70</v>
      </c>
      <c r="KW152" s="22" t="s">
        <v>67</v>
      </c>
      <c r="KY152" s="214" t="s">
        <v>10330</v>
      </c>
      <c r="KZ152" s="214" t="s">
        <v>52</v>
      </c>
      <c r="LA152" s="214" t="s">
        <v>74</v>
      </c>
      <c r="LB152" s="214" t="s">
        <v>67</v>
      </c>
      <c r="LD152" s="22" t="s">
        <v>10331</v>
      </c>
      <c r="LE152" s="22" t="s">
        <v>145</v>
      </c>
      <c r="LF152" s="22" t="s">
        <v>70</v>
      </c>
      <c r="LG152" s="22" t="s">
        <v>67</v>
      </c>
    </row>
    <row r="153" spans="1:319">
      <c r="A153" s="22" t="s">
        <v>10332</v>
      </c>
      <c r="B153" s="22" t="s">
        <v>145</v>
      </c>
      <c r="C153" s="22" t="s">
        <v>70</v>
      </c>
      <c r="D153" s="22" t="s">
        <v>67</v>
      </c>
      <c r="F153" s="23" t="s">
        <v>10333</v>
      </c>
      <c r="G153" s="23" t="str">
        <f>TVIIBE1M_CalPairs!$E150</f>
        <v>0x00</v>
      </c>
      <c r="H153" s="233" t="s">
        <v>72</v>
      </c>
      <c r="I153" s="23" t="str">
        <f>TVIIBE1M_CalPairs!$C150</f>
        <v>PASS0_SAR0_DIG_CAL_VAL2</v>
      </c>
      <c r="K153" s="22" t="s">
        <v>10334</v>
      </c>
      <c r="L153" s="22" t="s">
        <v>145</v>
      </c>
      <c r="M153" s="22" t="s">
        <v>70</v>
      </c>
      <c r="N153" s="22" t="s">
        <v>67</v>
      </c>
      <c r="P153" s="22" t="s">
        <v>10335</v>
      </c>
      <c r="Q153" s="22" t="s">
        <v>145</v>
      </c>
      <c r="R153" s="22" t="s">
        <v>70</v>
      </c>
      <c r="S153" s="22" t="s">
        <v>67</v>
      </c>
      <c r="U153" s="293" t="s">
        <v>10336</v>
      </c>
      <c r="V153" s="293" t="s">
        <v>145</v>
      </c>
      <c r="W153" s="293" t="s">
        <v>74</v>
      </c>
      <c r="X153" s="293" t="s">
        <v>656</v>
      </c>
      <c r="Z153" s="293" t="s">
        <v>10337</v>
      </c>
      <c r="AA153" s="293" t="s">
        <v>145</v>
      </c>
      <c r="AB153" s="293" t="s">
        <v>74</v>
      </c>
      <c r="AC153" s="293" t="s">
        <v>656</v>
      </c>
      <c r="AE153" s="293" t="s">
        <v>10338</v>
      </c>
      <c r="AF153" s="293" t="s">
        <v>145</v>
      </c>
      <c r="AG153" s="293" t="s">
        <v>74</v>
      </c>
      <c r="AH153" s="293" t="s">
        <v>656</v>
      </c>
      <c r="AJ153" s="293" t="s">
        <v>10339</v>
      </c>
      <c r="AK153" s="293" t="s">
        <v>145</v>
      </c>
      <c r="AL153" s="293" t="s">
        <v>74</v>
      </c>
      <c r="AM153" s="293" t="s">
        <v>656</v>
      </c>
      <c r="AO153" s="22" t="s">
        <v>10340</v>
      </c>
      <c r="AP153" s="22" t="s">
        <v>145</v>
      </c>
      <c r="AQ153" s="22" t="s">
        <v>70</v>
      </c>
      <c r="AR153" s="22" t="s">
        <v>67</v>
      </c>
      <c r="AT153" s="22" t="s">
        <v>10341</v>
      </c>
      <c r="AU153" s="22" t="s">
        <v>145</v>
      </c>
      <c r="AV153" s="22" t="s">
        <v>70</v>
      </c>
      <c r="AW153" s="22" t="s">
        <v>67</v>
      </c>
      <c r="AY153" s="22" t="s">
        <v>10342</v>
      </c>
      <c r="AZ153" s="22" t="s">
        <v>145</v>
      </c>
      <c r="BA153" s="22" t="s">
        <v>70</v>
      </c>
      <c r="BB153" s="22" t="s">
        <v>67</v>
      </c>
      <c r="BD153" s="22" t="s">
        <v>10343</v>
      </c>
      <c r="BE153" s="22" t="s">
        <v>145</v>
      </c>
      <c r="BF153" s="22" t="s">
        <v>70</v>
      </c>
      <c r="BG153" s="22" t="s">
        <v>67</v>
      </c>
      <c r="BI153" s="22" t="s">
        <v>10344</v>
      </c>
      <c r="BJ153" s="22" t="s">
        <v>145</v>
      </c>
      <c r="BK153" s="22" t="s">
        <v>70</v>
      </c>
      <c r="BL153" s="22" t="s">
        <v>67</v>
      </c>
      <c r="BN153" s="22" t="s">
        <v>10345</v>
      </c>
      <c r="BO153" s="22" t="s">
        <v>145</v>
      </c>
      <c r="BP153" s="22" t="s">
        <v>70</v>
      </c>
      <c r="BQ153" s="22" t="s">
        <v>67</v>
      </c>
      <c r="BS153" s="22" t="s">
        <v>10346</v>
      </c>
      <c r="BT153" s="22" t="s">
        <v>145</v>
      </c>
      <c r="BU153" s="22" t="s">
        <v>70</v>
      </c>
      <c r="BV153" s="214" t="s">
        <v>530</v>
      </c>
      <c r="BX153" s="22" t="s">
        <v>10347</v>
      </c>
      <c r="BY153" s="22" t="s">
        <v>145</v>
      </c>
      <c r="BZ153" s="22" t="s">
        <v>70</v>
      </c>
      <c r="CA153" s="214" t="s">
        <v>530</v>
      </c>
      <c r="CC153" s="214" t="s">
        <v>10348</v>
      </c>
      <c r="CD153" s="218" t="s">
        <v>145</v>
      </c>
      <c r="CE153" s="214" t="s">
        <v>70</v>
      </c>
      <c r="CF153" s="214" t="s">
        <v>448</v>
      </c>
      <c r="CH153" s="214" t="s">
        <v>10349</v>
      </c>
      <c r="CI153" s="214" t="s">
        <v>950</v>
      </c>
      <c r="CJ153" s="214" t="s">
        <v>70</v>
      </c>
      <c r="CK153" s="214" t="s">
        <v>530</v>
      </c>
      <c r="CM153" s="214" t="s">
        <v>10350</v>
      </c>
      <c r="CN153" s="214" t="s">
        <v>287</v>
      </c>
      <c r="CO153" s="214" t="s">
        <v>70</v>
      </c>
      <c r="CP153" s="214" t="s">
        <v>530</v>
      </c>
      <c r="CR153" s="214" t="s">
        <v>10351</v>
      </c>
      <c r="CS153" s="214" t="s">
        <v>34551</v>
      </c>
      <c r="CT153" s="214" t="s">
        <v>70</v>
      </c>
      <c r="CU153" s="214" t="s">
        <v>530</v>
      </c>
      <c r="CW153" s="214" t="s">
        <v>10352</v>
      </c>
      <c r="CX153" s="214" t="s">
        <v>491</v>
      </c>
      <c r="CY153" s="214" t="s">
        <v>70</v>
      </c>
      <c r="CZ153" s="214" t="s">
        <v>530</v>
      </c>
      <c r="DB153" s="214" t="s">
        <v>10353</v>
      </c>
      <c r="DC153" s="214" t="s">
        <v>34561</v>
      </c>
      <c r="DD153" s="214" t="s">
        <v>70</v>
      </c>
      <c r="DE153" s="214" t="s">
        <v>530</v>
      </c>
      <c r="DG153" s="214" t="s">
        <v>10354</v>
      </c>
      <c r="DH153" s="214" t="s">
        <v>34547</v>
      </c>
      <c r="DI153" s="214" t="s">
        <v>70</v>
      </c>
      <c r="DJ153" s="214" t="s">
        <v>530</v>
      </c>
      <c r="DL153" s="214" t="s">
        <v>10355</v>
      </c>
      <c r="DM153" s="214" t="s">
        <v>206</v>
      </c>
      <c r="DN153" s="214" t="s">
        <v>70</v>
      </c>
      <c r="DO153" s="214" t="s">
        <v>530</v>
      </c>
      <c r="DQ153" s="214" t="s">
        <v>10356</v>
      </c>
      <c r="DR153" s="214" t="s">
        <v>500</v>
      </c>
      <c r="DS153" s="214" t="s">
        <v>70</v>
      </c>
      <c r="DT153" s="214" t="s">
        <v>530</v>
      </c>
      <c r="DV153" s="214" t="s">
        <v>10357</v>
      </c>
      <c r="DW153" s="214" t="s">
        <v>599</v>
      </c>
      <c r="DX153" s="214" t="s">
        <v>70</v>
      </c>
      <c r="DY153" s="214" t="s">
        <v>530</v>
      </c>
      <c r="EA153" s="214" t="s">
        <v>10358</v>
      </c>
      <c r="EB153" s="214" t="s">
        <v>86</v>
      </c>
      <c r="EC153" s="214" t="s">
        <v>70</v>
      </c>
      <c r="ED153" s="214" t="s">
        <v>530</v>
      </c>
      <c r="EF153" s="214" t="s">
        <v>10359</v>
      </c>
      <c r="EG153" s="214" t="s">
        <v>491</v>
      </c>
      <c r="EH153" s="214" t="s">
        <v>70</v>
      </c>
      <c r="EI153" s="214" t="s">
        <v>530</v>
      </c>
      <c r="EK153" s="214" t="s">
        <v>10360</v>
      </c>
      <c r="EL153" s="214" t="s">
        <v>34544</v>
      </c>
      <c r="EM153" s="214" t="s">
        <v>70</v>
      </c>
      <c r="EN153" s="214" t="s">
        <v>530</v>
      </c>
      <c r="EP153" s="214" t="s">
        <v>10361</v>
      </c>
      <c r="EQ153" s="214" t="s">
        <v>163</v>
      </c>
      <c r="ER153" s="214" t="s">
        <v>70</v>
      </c>
      <c r="ES153" s="214" t="s">
        <v>530</v>
      </c>
      <c r="EU153" s="214" t="s">
        <v>10362</v>
      </c>
      <c r="EV153" s="214" t="s">
        <v>486</v>
      </c>
      <c r="EW153" s="214" t="s">
        <v>70</v>
      </c>
      <c r="EX153" s="214" t="s">
        <v>530</v>
      </c>
      <c r="EZ153" s="214" t="s">
        <v>10363</v>
      </c>
      <c r="FA153" s="214" t="s">
        <v>491</v>
      </c>
      <c r="FB153" s="214" t="s">
        <v>70</v>
      </c>
      <c r="FC153" s="214" t="s">
        <v>530</v>
      </c>
      <c r="FE153" s="214" t="s">
        <v>10364</v>
      </c>
      <c r="FF153" s="214" t="s">
        <v>34544</v>
      </c>
      <c r="FG153" s="214" t="s">
        <v>70</v>
      </c>
      <c r="FH153" s="214" t="s">
        <v>530</v>
      </c>
      <c r="FJ153" s="321" t="s">
        <v>10365</v>
      </c>
      <c r="FK153" s="214" t="s">
        <v>482</v>
      </c>
      <c r="FL153" s="214" t="s">
        <v>70</v>
      </c>
      <c r="FM153" s="214" t="s">
        <v>530</v>
      </c>
      <c r="FO153" s="321" t="s">
        <v>10366</v>
      </c>
      <c r="FP153" s="214" t="s">
        <v>52</v>
      </c>
      <c r="FQ153" s="214" t="s">
        <v>70</v>
      </c>
      <c r="FR153" s="214" t="s">
        <v>530</v>
      </c>
      <c r="FT153" s="321" t="s">
        <v>10367</v>
      </c>
      <c r="FU153" s="214" t="s">
        <v>950</v>
      </c>
      <c r="FV153" s="214" t="s">
        <v>70</v>
      </c>
      <c r="FW153" s="214" t="s">
        <v>530</v>
      </c>
      <c r="FY153" s="321" t="s">
        <v>10368</v>
      </c>
      <c r="FZ153" s="214" t="s">
        <v>496</v>
      </c>
      <c r="GA153" s="214" t="s">
        <v>70</v>
      </c>
      <c r="GB153" s="214" t="s">
        <v>530</v>
      </c>
      <c r="GD153" s="321" t="s">
        <v>10369</v>
      </c>
      <c r="GE153" s="214" t="s">
        <v>955</v>
      </c>
      <c r="GF153" s="214" t="s">
        <v>70</v>
      </c>
      <c r="GG153" s="214" t="s">
        <v>530</v>
      </c>
      <c r="GI153" s="321" t="s">
        <v>10370</v>
      </c>
      <c r="GJ153" s="214" t="s">
        <v>34542</v>
      </c>
      <c r="GK153" s="214" t="s">
        <v>70</v>
      </c>
      <c r="GL153" s="214" t="s">
        <v>530</v>
      </c>
      <c r="GN153" s="321" t="s">
        <v>10371</v>
      </c>
      <c r="GO153" s="214" t="s">
        <v>599</v>
      </c>
      <c r="GP153" s="214" t="s">
        <v>70</v>
      </c>
      <c r="GQ153" s="214" t="s">
        <v>530</v>
      </c>
      <c r="GS153" s="321" t="s">
        <v>10372</v>
      </c>
      <c r="GT153" s="214" t="s">
        <v>468</v>
      </c>
      <c r="GU153" s="214" t="s">
        <v>70</v>
      </c>
      <c r="GV153" s="214" t="s">
        <v>530</v>
      </c>
      <c r="GX153" s="214" t="s">
        <v>10373</v>
      </c>
      <c r="GY153" s="214" t="s">
        <v>485</v>
      </c>
      <c r="GZ153" s="214" t="s">
        <v>70</v>
      </c>
      <c r="HA153" s="214" t="s">
        <v>530</v>
      </c>
      <c r="HC153" s="214" t="s">
        <v>10374</v>
      </c>
      <c r="HD153" s="214" t="s">
        <v>501</v>
      </c>
      <c r="HE153" s="214" t="s">
        <v>70</v>
      </c>
      <c r="HF153" s="214" t="s">
        <v>530</v>
      </c>
      <c r="HH153" s="214" t="s">
        <v>10375</v>
      </c>
      <c r="HI153" s="214" t="s">
        <v>34603</v>
      </c>
      <c r="HJ153" s="214" t="s">
        <v>70</v>
      </c>
      <c r="HK153" s="214" t="s">
        <v>530</v>
      </c>
      <c r="HM153" s="214" t="s">
        <v>10376</v>
      </c>
      <c r="HN153" s="214" t="s">
        <v>956</v>
      </c>
      <c r="HO153" s="214" t="s">
        <v>70</v>
      </c>
      <c r="HP153" s="214" t="s">
        <v>530</v>
      </c>
      <c r="HR153" s="22" t="s">
        <v>10377</v>
      </c>
      <c r="HS153" s="22" t="s">
        <v>482</v>
      </c>
      <c r="HT153" s="22" t="s">
        <v>70</v>
      </c>
      <c r="HU153" s="214" t="s">
        <v>530</v>
      </c>
      <c r="HW153" s="22" t="s">
        <v>10378</v>
      </c>
      <c r="HX153" s="22" t="s">
        <v>468</v>
      </c>
      <c r="HY153" s="22" t="s">
        <v>70</v>
      </c>
      <c r="HZ153" s="214" t="s">
        <v>530</v>
      </c>
      <c r="IB153" s="22" t="s">
        <v>10379</v>
      </c>
      <c r="IC153" s="22" t="s">
        <v>206</v>
      </c>
      <c r="ID153" s="22" t="s">
        <v>70</v>
      </c>
      <c r="IE153" s="214" t="s">
        <v>530</v>
      </c>
      <c r="IG153" s="22" t="s">
        <v>10380</v>
      </c>
      <c r="IH153" s="22" t="s">
        <v>52</v>
      </c>
      <c r="II153" s="22" t="s">
        <v>70</v>
      </c>
      <c r="IJ153" s="214" t="s">
        <v>530</v>
      </c>
      <c r="IL153" s="22" t="s">
        <v>10381</v>
      </c>
      <c r="IM153" s="22" t="s">
        <v>145</v>
      </c>
      <c r="IN153" s="22" t="s">
        <v>70</v>
      </c>
      <c r="IO153" s="214" t="s">
        <v>530</v>
      </c>
      <c r="IQ153" s="236" t="s">
        <v>10382</v>
      </c>
      <c r="IR153" s="236" t="s">
        <v>145</v>
      </c>
      <c r="IS153" s="236" t="s">
        <v>74</v>
      </c>
      <c r="IT153" s="236" t="s">
        <v>841</v>
      </c>
      <c r="IV153" s="236" t="s">
        <v>10383</v>
      </c>
      <c r="IW153" s="236" t="s">
        <v>145</v>
      </c>
      <c r="IX153" s="236" t="s">
        <v>74</v>
      </c>
      <c r="IY153" s="236" t="s">
        <v>841</v>
      </c>
      <c r="JA153" s="236" t="s">
        <v>10384</v>
      </c>
      <c r="JB153" s="236" t="s">
        <v>145</v>
      </c>
      <c r="JC153" s="236" t="s">
        <v>74</v>
      </c>
      <c r="JD153" s="236" t="s">
        <v>841</v>
      </c>
      <c r="JF153" s="236" t="s">
        <v>10385</v>
      </c>
      <c r="JG153" s="236" t="s">
        <v>145</v>
      </c>
      <c r="JH153" s="236" t="s">
        <v>74</v>
      </c>
      <c r="JI153" s="236" t="s">
        <v>841</v>
      </c>
      <c r="JK153" s="236" t="s">
        <v>10386</v>
      </c>
      <c r="JL153" s="236" t="s">
        <v>145</v>
      </c>
      <c r="JM153" s="236" t="s">
        <v>74</v>
      </c>
      <c r="JN153" s="236" t="s">
        <v>841</v>
      </c>
      <c r="JP153" s="236" t="s">
        <v>10387</v>
      </c>
      <c r="JQ153" s="236" t="s">
        <v>145</v>
      </c>
      <c r="JR153" s="236" t="s">
        <v>74</v>
      </c>
      <c r="JS153" s="236" t="s">
        <v>841</v>
      </c>
      <c r="JU153" s="294" t="s">
        <v>10388</v>
      </c>
      <c r="JV153" s="294" t="s">
        <v>52</v>
      </c>
      <c r="JW153" s="263" t="s">
        <v>70</v>
      </c>
      <c r="JX153" s="294" t="s">
        <v>1083</v>
      </c>
      <c r="JZ153" s="263" t="s">
        <v>10389</v>
      </c>
      <c r="KA153" s="263" t="s">
        <v>145</v>
      </c>
      <c r="KB153" s="263" t="s">
        <v>70</v>
      </c>
      <c r="KC153" s="263" t="s">
        <v>1083</v>
      </c>
      <c r="KE153" s="263" t="s">
        <v>10390</v>
      </c>
      <c r="KF153" s="263" t="s">
        <v>52</v>
      </c>
      <c r="KG153" s="263" t="s">
        <v>70</v>
      </c>
      <c r="KH153" s="263" t="s">
        <v>1083</v>
      </c>
      <c r="KJ153" s="263" t="s">
        <v>10391</v>
      </c>
      <c r="KK153" s="263" t="s">
        <v>52</v>
      </c>
      <c r="KL153" s="263" t="s">
        <v>74</v>
      </c>
      <c r="KM153" s="263" t="s">
        <v>34074</v>
      </c>
      <c r="KO153" s="214" t="s">
        <v>10392</v>
      </c>
      <c r="KP153" s="214" t="s">
        <v>145</v>
      </c>
      <c r="KQ153" s="214" t="s">
        <v>70</v>
      </c>
      <c r="KR153" s="214" t="s">
        <v>67</v>
      </c>
      <c r="KT153" s="22" t="s">
        <v>10393</v>
      </c>
      <c r="KU153" s="22" t="s">
        <v>145</v>
      </c>
      <c r="KV153" s="22" t="s">
        <v>70</v>
      </c>
      <c r="KW153" s="22" t="s">
        <v>67</v>
      </c>
      <c r="KY153" s="214" t="s">
        <v>10394</v>
      </c>
      <c r="KZ153" s="214" t="s">
        <v>52</v>
      </c>
      <c r="LA153" s="214" t="s">
        <v>74</v>
      </c>
      <c r="LB153" s="214" t="s">
        <v>67</v>
      </c>
      <c r="LD153" s="22" t="s">
        <v>10395</v>
      </c>
      <c r="LE153" s="22" t="s">
        <v>145</v>
      </c>
      <c r="LF153" s="22" t="s">
        <v>70</v>
      </c>
      <c r="LG153" s="22" t="s">
        <v>67</v>
      </c>
    </row>
    <row r="154" spans="1:319">
      <c r="A154" s="22" t="s">
        <v>10396</v>
      </c>
      <c r="B154" s="22" t="s">
        <v>145</v>
      </c>
      <c r="C154" s="22" t="s">
        <v>70</v>
      </c>
      <c r="D154" s="22" t="s">
        <v>67</v>
      </c>
      <c r="F154" s="23" t="s">
        <v>10397</v>
      </c>
      <c r="G154" s="23" t="str">
        <f>TVIIBE1M_CalPairs!$E151</f>
        <v>0x00</v>
      </c>
      <c r="H154" s="233" t="s">
        <v>72</v>
      </c>
      <c r="I154" s="23" t="str">
        <f>TVIIBE1M_CalPairs!$C151</f>
        <v>PASS0_SAR0_DIG_CAL_VAL3</v>
      </c>
      <c r="K154" s="22" t="s">
        <v>10398</v>
      </c>
      <c r="L154" s="22" t="s">
        <v>145</v>
      </c>
      <c r="M154" s="22" t="s">
        <v>70</v>
      </c>
      <c r="N154" s="22" t="s">
        <v>67</v>
      </c>
      <c r="P154" s="22" t="s">
        <v>10399</v>
      </c>
      <c r="Q154" s="22" t="s">
        <v>145</v>
      </c>
      <c r="R154" s="22" t="s">
        <v>70</v>
      </c>
      <c r="S154" s="22" t="s">
        <v>67</v>
      </c>
      <c r="U154" s="293" t="s">
        <v>10400</v>
      </c>
      <c r="V154" s="293" t="s">
        <v>145</v>
      </c>
      <c r="W154" s="293" t="s">
        <v>74</v>
      </c>
      <c r="X154" s="293" t="s">
        <v>656</v>
      </c>
      <c r="Z154" s="293" t="s">
        <v>10401</v>
      </c>
      <c r="AA154" s="293" t="s">
        <v>145</v>
      </c>
      <c r="AB154" s="293" t="s">
        <v>74</v>
      </c>
      <c r="AC154" s="293" t="s">
        <v>656</v>
      </c>
      <c r="AE154" s="293" t="s">
        <v>10402</v>
      </c>
      <c r="AF154" s="293" t="s">
        <v>145</v>
      </c>
      <c r="AG154" s="293" t="s">
        <v>74</v>
      </c>
      <c r="AH154" s="293" t="s">
        <v>656</v>
      </c>
      <c r="AJ154" s="293" t="s">
        <v>10403</v>
      </c>
      <c r="AK154" s="293" t="s">
        <v>145</v>
      </c>
      <c r="AL154" s="293" t="s">
        <v>74</v>
      </c>
      <c r="AM154" s="293" t="s">
        <v>656</v>
      </c>
      <c r="AO154" s="22" t="s">
        <v>10404</v>
      </c>
      <c r="AP154" s="22" t="s">
        <v>145</v>
      </c>
      <c r="AQ154" s="22" t="s">
        <v>70</v>
      </c>
      <c r="AR154" s="22" t="s">
        <v>67</v>
      </c>
      <c r="AT154" s="22" t="s">
        <v>10405</v>
      </c>
      <c r="AU154" s="22" t="s">
        <v>145</v>
      </c>
      <c r="AV154" s="22" t="s">
        <v>70</v>
      </c>
      <c r="AW154" s="22" t="s">
        <v>67</v>
      </c>
      <c r="AY154" s="22" t="s">
        <v>10406</v>
      </c>
      <c r="AZ154" s="22" t="s">
        <v>145</v>
      </c>
      <c r="BA154" s="22" t="s">
        <v>70</v>
      </c>
      <c r="BB154" s="22" t="s">
        <v>67</v>
      </c>
      <c r="BD154" s="22" t="s">
        <v>10407</v>
      </c>
      <c r="BE154" s="22" t="s">
        <v>145</v>
      </c>
      <c r="BF154" s="22" t="s">
        <v>70</v>
      </c>
      <c r="BG154" s="22" t="s">
        <v>67</v>
      </c>
      <c r="BI154" s="22" t="s">
        <v>10408</v>
      </c>
      <c r="BJ154" s="22" t="s">
        <v>145</v>
      </c>
      <c r="BK154" s="22" t="s">
        <v>70</v>
      </c>
      <c r="BL154" s="22" t="s">
        <v>67</v>
      </c>
      <c r="BN154" s="22" t="s">
        <v>10409</v>
      </c>
      <c r="BO154" s="22" t="s">
        <v>145</v>
      </c>
      <c r="BP154" s="22" t="s">
        <v>70</v>
      </c>
      <c r="BQ154" s="22" t="s">
        <v>67</v>
      </c>
      <c r="BS154" s="22" t="s">
        <v>10410</v>
      </c>
      <c r="BT154" s="22" t="s">
        <v>145</v>
      </c>
      <c r="BU154" s="22" t="s">
        <v>70</v>
      </c>
      <c r="BV154" s="214" t="s">
        <v>530</v>
      </c>
      <c r="BX154" s="22" t="s">
        <v>10411</v>
      </c>
      <c r="BY154" s="22" t="s">
        <v>145</v>
      </c>
      <c r="BZ154" s="22" t="s">
        <v>70</v>
      </c>
      <c r="CA154" s="214" t="s">
        <v>530</v>
      </c>
      <c r="CC154" s="214" t="s">
        <v>10412</v>
      </c>
      <c r="CD154" s="218" t="s">
        <v>145</v>
      </c>
      <c r="CE154" s="214" t="s">
        <v>70</v>
      </c>
      <c r="CF154" s="214" t="s">
        <v>449</v>
      </c>
      <c r="CH154" s="214" t="s">
        <v>10413</v>
      </c>
      <c r="CI154" s="214" t="s">
        <v>34591</v>
      </c>
      <c r="CJ154" s="214" t="s">
        <v>70</v>
      </c>
      <c r="CK154" s="214" t="s">
        <v>530</v>
      </c>
      <c r="CM154" s="214" t="s">
        <v>10414</v>
      </c>
      <c r="CN154" s="214" t="s">
        <v>468</v>
      </c>
      <c r="CO154" s="214" t="s">
        <v>70</v>
      </c>
      <c r="CP154" s="214" t="s">
        <v>530</v>
      </c>
      <c r="CR154" s="214" t="s">
        <v>10415</v>
      </c>
      <c r="CS154" s="214" t="s">
        <v>34540</v>
      </c>
      <c r="CT154" s="214" t="s">
        <v>70</v>
      </c>
      <c r="CU154" s="214" t="s">
        <v>530</v>
      </c>
      <c r="CW154" s="214" t="s">
        <v>10416</v>
      </c>
      <c r="CX154" s="214" t="s">
        <v>88</v>
      </c>
      <c r="CY154" s="214" t="s">
        <v>70</v>
      </c>
      <c r="CZ154" s="214" t="s">
        <v>530</v>
      </c>
      <c r="DB154" s="214" t="s">
        <v>10417</v>
      </c>
      <c r="DC154" s="214" t="s">
        <v>286</v>
      </c>
      <c r="DD154" s="214" t="s">
        <v>70</v>
      </c>
      <c r="DE154" s="214" t="s">
        <v>530</v>
      </c>
      <c r="DG154" s="214" t="s">
        <v>10418</v>
      </c>
      <c r="DH154" s="214" t="s">
        <v>941</v>
      </c>
      <c r="DI154" s="214" t="s">
        <v>70</v>
      </c>
      <c r="DJ154" s="214" t="s">
        <v>530</v>
      </c>
      <c r="DL154" s="214" t="s">
        <v>10419</v>
      </c>
      <c r="DM154" s="214" t="s">
        <v>146</v>
      </c>
      <c r="DN154" s="214" t="s">
        <v>70</v>
      </c>
      <c r="DO154" s="214" t="s">
        <v>530</v>
      </c>
      <c r="DQ154" s="214" t="s">
        <v>10420</v>
      </c>
      <c r="DR154" s="214" t="s">
        <v>90</v>
      </c>
      <c r="DS154" s="214" t="s">
        <v>70</v>
      </c>
      <c r="DT154" s="214" t="s">
        <v>530</v>
      </c>
      <c r="DV154" s="214" t="s">
        <v>10421</v>
      </c>
      <c r="DW154" s="214" t="s">
        <v>286</v>
      </c>
      <c r="DX154" s="214" t="s">
        <v>70</v>
      </c>
      <c r="DY154" s="214" t="s">
        <v>530</v>
      </c>
      <c r="EA154" s="214" t="s">
        <v>10422</v>
      </c>
      <c r="EB154" s="214" t="s">
        <v>87</v>
      </c>
      <c r="EC154" s="214" t="s">
        <v>70</v>
      </c>
      <c r="ED154" s="214" t="s">
        <v>530</v>
      </c>
      <c r="EF154" s="214" t="s">
        <v>10423</v>
      </c>
      <c r="EG154" s="214" t="s">
        <v>52</v>
      </c>
      <c r="EH154" s="214" t="s">
        <v>70</v>
      </c>
      <c r="EI154" s="214" t="s">
        <v>530</v>
      </c>
      <c r="EK154" s="214" t="s">
        <v>10424</v>
      </c>
      <c r="EL154" s="214" t="s">
        <v>89</v>
      </c>
      <c r="EM154" s="214" t="s">
        <v>70</v>
      </c>
      <c r="EN154" s="214" t="s">
        <v>530</v>
      </c>
      <c r="EP154" s="214" t="s">
        <v>10425</v>
      </c>
      <c r="EQ154" s="214" t="s">
        <v>163</v>
      </c>
      <c r="ER154" s="214" t="s">
        <v>70</v>
      </c>
      <c r="ES154" s="214" t="s">
        <v>530</v>
      </c>
      <c r="EU154" s="214" t="s">
        <v>10426</v>
      </c>
      <c r="EV154" s="214" t="s">
        <v>164</v>
      </c>
      <c r="EW154" s="214" t="s">
        <v>70</v>
      </c>
      <c r="EX154" s="214" t="s">
        <v>530</v>
      </c>
      <c r="EZ154" s="214" t="s">
        <v>10427</v>
      </c>
      <c r="FA154" s="214" t="s">
        <v>52</v>
      </c>
      <c r="FB154" s="214" t="s">
        <v>70</v>
      </c>
      <c r="FC154" s="214" t="s">
        <v>530</v>
      </c>
      <c r="FE154" s="214" t="s">
        <v>10428</v>
      </c>
      <c r="FF154" s="214" t="s">
        <v>52</v>
      </c>
      <c r="FG154" s="214" t="s">
        <v>70</v>
      </c>
      <c r="FH154" s="214" t="s">
        <v>530</v>
      </c>
      <c r="FJ154" s="321" t="s">
        <v>10429</v>
      </c>
      <c r="FK154" s="214" t="s">
        <v>149</v>
      </c>
      <c r="FL154" s="214" t="s">
        <v>70</v>
      </c>
      <c r="FM154" s="214" t="s">
        <v>530</v>
      </c>
      <c r="FO154" s="321" t="s">
        <v>10430</v>
      </c>
      <c r="FP154" s="214" t="s">
        <v>34582</v>
      </c>
      <c r="FQ154" s="214" t="s">
        <v>70</v>
      </c>
      <c r="FR154" s="214" t="s">
        <v>530</v>
      </c>
      <c r="FT154" s="321" t="s">
        <v>10431</v>
      </c>
      <c r="FU154" s="214" t="s">
        <v>929</v>
      </c>
      <c r="FV154" s="214" t="s">
        <v>70</v>
      </c>
      <c r="FW154" s="214" t="s">
        <v>530</v>
      </c>
      <c r="FY154" s="321" t="s">
        <v>10432</v>
      </c>
      <c r="FZ154" s="214" t="s">
        <v>146</v>
      </c>
      <c r="GA154" s="214" t="s">
        <v>70</v>
      </c>
      <c r="GB154" s="214" t="s">
        <v>530</v>
      </c>
      <c r="GD154" s="321" t="s">
        <v>10433</v>
      </c>
      <c r="GE154" s="214" t="s">
        <v>145</v>
      </c>
      <c r="GF154" s="214" t="s">
        <v>70</v>
      </c>
      <c r="GG154" s="214" t="s">
        <v>530</v>
      </c>
      <c r="GI154" s="321" t="s">
        <v>10434</v>
      </c>
      <c r="GJ154" s="214" t="s">
        <v>641</v>
      </c>
      <c r="GK154" s="214" t="s">
        <v>70</v>
      </c>
      <c r="GL154" s="214" t="s">
        <v>530</v>
      </c>
      <c r="GN154" s="321" t="s">
        <v>10435</v>
      </c>
      <c r="GO154" s="214" t="s">
        <v>89</v>
      </c>
      <c r="GP154" s="214" t="s">
        <v>70</v>
      </c>
      <c r="GQ154" s="214" t="s">
        <v>530</v>
      </c>
      <c r="GS154" s="321" t="s">
        <v>10436</v>
      </c>
      <c r="GT154" s="214" t="s">
        <v>52</v>
      </c>
      <c r="GU154" s="214" t="s">
        <v>70</v>
      </c>
      <c r="GV154" s="214" t="s">
        <v>530</v>
      </c>
      <c r="GX154" s="214" t="s">
        <v>10437</v>
      </c>
      <c r="GY154" s="214" t="s">
        <v>34610</v>
      </c>
      <c r="GZ154" s="214" t="s">
        <v>70</v>
      </c>
      <c r="HA154" s="214" t="s">
        <v>530</v>
      </c>
      <c r="HC154" s="214" t="s">
        <v>10438</v>
      </c>
      <c r="HD154" s="214" t="s">
        <v>34541</v>
      </c>
      <c r="HE154" s="214" t="s">
        <v>70</v>
      </c>
      <c r="HF154" s="214" t="s">
        <v>530</v>
      </c>
      <c r="HH154" s="214" t="s">
        <v>10439</v>
      </c>
      <c r="HI154" s="214" t="s">
        <v>163</v>
      </c>
      <c r="HJ154" s="214" t="s">
        <v>70</v>
      </c>
      <c r="HK154" s="214" t="s">
        <v>530</v>
      </c>
      <c r="HM154" s="214" t="s">
        <v>10440</v>
      </c>
      <c r="HN154" s="214" t="s">
        <v>145</v>
      </c>
      <c r="HO154" s="214" t="s">
        <v>70</v>
      </c>
      <c r="HP154" s="214" t="s">
        <v>530</v>
      </c>
      <c r="HR154" s="22" t="s">
        <v>10441</v>
      </c>
      <c r="HS154" s="22" t="s">
        <v>286</v>
      </c>
      <c r="HT154" s="22" t="s">
        <v>70</v>
      </c>
      <c r="HU154" s="214" t="s">
        <v>530</v>
      </c>
      <c r="HW154" s="22" t="s">
        <v>10442</v>
      </c>
      <c r="HX154" s="22" t="s">
        <v>34593</v>
      </c>
      <c r="HY154" s="22" t="s">
        <v>70</v>
      </c>
      <c r="HZ154" s="214" t="s">
        <v>530</v>
      </c>
      <c r="IB154" s="22" t="s">
        <v>10443</v>
      </c>
      <c r="IC154" s="22" t="s">
        <v>949</v>
      </c>
      <c r="ID154" s="22" t="s">
        <v>70</v>
      </c>
      <c r="IE154" s="214" t="s">
        <v>530</v>
      </c>
      <c r="IG154" s="22" t="s">
        <v>10444</v>
      </c>
      <c r="IH154" s="22" t="s">
        <v>52</v>
      </c>
      <c r="II154" s="22" t="s">
        <v>70</v>
      </c>
      <c r="IJ154" s="214" t="s">
        <v>530</v>
      </c>
      <c r="IL154" s="22" t="s">
        <v>10445</v>
      </c>
      <c r="IM154" s="22" t="s">
        <v>145</v>
      </c>
      <c r="IN154" s="22" t="s">
        <v>70</v>
      </c>
      <c r="IO154" s="214" t="s">
        <v>530</v>
      </c>
      <c r="IQ154" s="236" t="s">
        <v>10446</v>
      </c>
      <c r="IR154" s="236" t="s">
        <v>145</v>
      </c>
      <c r="IS154" s="236" t="s">
        <v>74</v>
      </c>
      <c r="IT154" s="236" t="s">
        <v>841</v>
      </c>
      <c r="IV154" s="236" t="s">
        <v>10447</v>
      </c>
      <c r="IW154" s="236" t="s">
        <v>145</v>
      </c>
      <c r="IX154" s="236" t="s">
        <v>74</v>
      </c>
      <c r="IY154" s="236" t="s">
        <v>841</v>
      </c>
      <c r="JA154" s="236" t="s">
        <v>10448</v>
      </c>
      <c r="JB154" s="236" t="s">
        <v>145</v>
      </c>
      <c r="JC154" s="236" t="s">
        <v>74</v>
      </c>
      <c r="JD154" s="236" t="s">
        <v>841</v>
      </c>
      <c r="JF154" s="236" t="s">
        <v>10449</v>
      </c>
      <c r="JG154" s="236" t="s">
        <v>145</v>
      </c>
      <c r="JH154" s="236" t="s">
        <v>74</v>
      </c>
      <c r="JI154" s="236" t="s">
        <v>841</v>
      </c>
      <c r="JK154" s="236" t="s">
        <v>10450</v>
      </c>
      <c r="JL154" s="236" t="s">
        <v>145</v>
      </c>
      <c r="JM154" s="236" t="s">
        <v>74</v>
      </c>
      <c r="JN154" s="236" t="s">
        <v>841</v>
      </c>
      <c r="JP154" s="236" t="s">
        <v>10451</v>
      </c>
      <c r="JQ154" s="236" t="s">
        <v>145</v>
      </c>
      <c r="JR154" s="236" t="s">
        <v>74</v>
      </c>
      <c r="JS154" s="236" t="s">
        <v>841</v>
      </c>
      <c r="JU154" s="294" t="s">
        <v>10452</v>
      </c>
      <c r="JV154" s="294" t="s">
        <v>52</v>
      </c>
      <c r="JW154" s="263" t="s">
        <v>70</v>
      </c>
      <c r="JX154" s="294" t="s">
        <v>1083</v>
      </c>
      <c r="JZ154" s="263" t="s">
        <v>10453</v>
      </c>
      <c r="KA154" s="263" t="s">
        <v>145</v>
      </c>
      <c r="KB154" s="263" t="s">
        <v>70</v>
      </c>
      <c r="KC154" s="263" t="s">
        <v>1083</v>
      </c>
      <c r="KE154" s="263" t="s">
        <v>10454</v>
      </c>
      <c r="KF154" s="263" t="s">
        <v>52</v>
      </c>
      <c r="KG154" s="263" t="s">
        <v>70</v>
      </c>
      <c r="KH154" s="263" t="s">
        <v>1083</v>
      </c>
      <c r="KJ154" s="263" t="s">
        <v>10455</v>
      </c>
      <c r="KK154" s="263" t="s">
        <v>52</v>
      </c>
      <c r="KL154" s="263" t="s">
        <v>74</v>
      </c>
      <c r="KM154" s="263" t="s">
        <v>34074</v>
      </c>
      <c r="KO154" s="214" t="s">
        <v>10456</v>
      </c>
      <c r="KP154" s="214" t="s">
        <v>145</v>
      </c>
      <c r="KQ154" s="214" t="s">
        <v>70</v>
      </c>
      <c r="KR154" s="214" t="s">
        <v>67</v>
      </c>
      <c r="KT154" s="22" t="s">
        <v>10457</v>
      </c>
      <c r="KU154" s="22" t="s">
        <v>145</v>
      </c>
      <c r="KV154" s="22" t="s">
        <v>70</v>
      </c>
      <c r="KW154" s="22" t="s">
        <v>67</v>
      </c>
      <c r="KY154" s="214" t="s">
        <v>10458</v>
      </c>
      <c r="KZ154" s="214" t="s">
        <v>52</v>
      </c>
      <c r="LA154" s="214" t="s">
        <v>74</v>
      </c>
      <c r="LB154" s="214" t="s">
        <v>67</v>
      </c>
      <c r="LD154" s="22" t="s">
        <v>10459</v>
      </c>
      <c r="LE154" s="22" t="s">
        <v>145</v>
      </c>
      <c r="LF154" s="22" t="s">
        <v>70</v>
      </c>
      <c r="LG154" s="22" t="s">
        <v>67</v>
      </c>
    </row>
    <row r="155" spans="1:319">
      <c r="A155" s="22" t="s">
        <v>10460</v>
      </c>
      <c r="B155" s="22" t="s">
        <v>145</v>
      </c>
      <c r="C155" s="22" t="s">
        <v>70</v>
      </c>
      <c r="D155" s="22" t="s">
        <v>67</v>
      </c>
      <c r="F155" s="23" t="s">
        <v>10461</v>
      </c>
      <c r="G155" s="23" t="str">
        <f>TVIIBE1M_CalPairs!$E152</f>
        <v>0x31</v>
      </c>
      <c r="H155" s="23" t="s">
        <v>70</v>
      </c>
      <c r="I155" s="23" t="str">
        <f>TVIIBE1M_CalPairs!$C152</f>
        <v>PASS0_SAR1_CMD</v>
      </c>
      <c r="K155" s="22" t="s">
        <v>10462</v>
      </c>
      <c r="L155" s="22" t="s">
        <v>145</v>
      </c>
      <c r="M155" s="22" t="s">
        <v>70</v>
      </c>
      <c r="N155" s="22" t="s">
        <v>67</v>
      </c>
      <c r="P155" s="22" t="s">
        <v>10463</v>
      </c>
      <c r="Q155" s="22" t="s">
        <v>145</v>
      </c>
      <c r="R155" s="22" t="s">
        <v>70</v>
      </c>
      <c r="S155" s="22" t="s">
        <v>67</v>
      </c>
      <c r="U155" s="293" t="s">
        <v>10464</v>
      </c>
      <c r="V155" s="293" t="s">
        <v>145</v>
      </c>
      <c r="W155" s="293" t="s">
        <v>74</v>
      </c>
      <c r="X155" s="293" t="s">
        <v>656</v>
      </c>
      <c r="Z155" s="293" t="s">
        <v>10465</v>
      </c>
      <c r="AA155" s="293" t="s">
        <v>145</v>
      </c>
      <c r="AB155" s="293" t="s">
        <v>74</v>
      </c>
      <c r="AC155" s="293" t="s">
        <v>656</v>
      </c>
      <c r="AE155" s="293" t="s">
        <v>10466</v>
      </c>
      <c r="AF155" s="293" t="s">
        <v>145</v>
      </c>
      <c r="AG155" s="293" t="s">
        <v>74</v>
      </c>
      <c r="AH155" s="293" t="s">
        <v>656</v>
      </c>
      <c r="AJ155" s="293" t="s">
        <v>10467</v>
      </c>
      <c r="AK155" s="293" t="s">
        <v>145</v>
      </c>
      <c r="AL155" s="293" t="s">
        <v>74</v>
      </c>
      <c r="AM155" s="293" t="s">
        <v>656</v>
      </c>
      <c r="AO155" s="22" t="s">
        <v>10468</v>
      </c>
      <c r="AP155" s="22" t="s">
        <v>145</v>
      </c>
      <c r="AQ155" s="22" t="s">
        <v>70</v>
      </c>
      <c r="AR155" s="22" t="s">
        <v>67</v>
      </c>
      <c r="AT155" s="22" t="s">
        <v>10469</v>
      </c>
      <c r="AU155" s="22" t="s">
        <v>145</v>
      </c>
      <c r="AV155" s="22" t="s">
        <v>70</v>
      </c>
      <c r="AW155" s="22" t="s">
        <v>67</v>
      </c>
      <c r="AY155" s="22" t="s">
        <v>10470</v>
      </c>
      <c r="AZ155" s="22" t="s">
        <v>145</v>
      </c>
      <c r="BA155" s="22" t="s">
        <v>70</v>
      </c>
      <c r="BB155" s="22" t="s">
        <v>67</v>
      </c>
      <c r="BD155" s="22" t="s">
        <v>10471</v>
      </c>
      <c r="BE155" s="22" t="s">
        <v>145</v>
      </c>
      <c r="BF155" s="22" t="s">
        <v>70</v>
      </c>
      <c r="BG155" s="22" t="s">
        <v>67</v>
      </c>
      <c r="BI155" s="22" t="s">
        <v>10472</v>
      </c>
      <c r="BJ155" s="22" t="s">
        <v>145</v>
      </c>
      <c r="BK155" s="22" t="s">
        <v>70</v>
      </c>
      <c r="BL155" s="22" t="s">
        <v>67</v>
      </c>
      <c r="BN155" s="22" t="s">
        <v>10473</v>
      </c>
      <c r="BO155" s="22" t="s">
        <v>145</v>
      </c>
      <c r="BP155" s="22" t="s">
        <v>70</v>
      </c>
      <c r="BQ155" s="22" t="s">
        <v>67</v>
      </c>
      <c r="BS155" s="22" t="s">
        <v>10474</v>
      </c>
      <c r="BT155" s="22" t="s">
        <v>145</v>
      </c>
      <c r="BU155" s="22" t="s">
        <v>70</v>
      </c>
      <c r="BV155" s="214" t="s">
        <v>530</v>
      </c>
      <c r="BX155" s="22" t="s">
        <v>10475</v>
      </c>
      <c r="BY155" s="22" t="s">
        <v>145</v>
      </c>
      <c r="BZ155" s="22" t="s">
        <v>70</v>
      </c>
      <c r="CA155" s="214" t="s">
        <v>530</v>
      </c>
      <c r="CC155" s="214" t="s">
        <v>10476</v>
      </c>
      <c r="CD155" s="218" t="s">
        <v>145</v>
      </c>
      <c r="CE155" s="214" t="s">
        <v>70</v>
      </c>
      <c r="CF155" s="214" t="s">
        <v>450</v>
      </c>
      <c r="CH155" s="214" t="s">
        <v>10477</v>
      </c>
      <c r="CI155" s="214" t="s">
        <v>34550</v>
      </c>
      <c r="CJ155" s="214" t="s">
        <v>70</v>
      </c>
      <c r="CK155" s="214" t="s">
        <v>530</v>
      </c>
      <c r="CM155" s="214" t="s">
        <v>10478</v>
      </c>
      <c r="CN155" s="214" t="s">
        <v>925</v>
      </c>
      <c r="CO155" s="214" t="s">
        <v>70</v>
      </c>
      <c r="CP155" s="214" t="s">
        <v>530</v>
      </c>
      <c r="CR155" s="214" t="s">
        <v>10479</v>
      </c>
      <c r="CS155" s="214" t="s">
        <v>34595</v>
      </c>
      <c r="CT155" s="214" t="s">
        <v>70</v>
      </c>
      <c r="CU155" s="214" t="s">
        <v>530</v>
      </c>
      <c r="CW155" s="214" t="s">
        <v>10480</v>
      </c>
      <c r="CX155" s="214" t="s">
        <v>486</v>
      </c>
      <c r="CY155" s="214" t="s">
        <v>70</v>
      </c>
      <c r="CZ155" s="214" t="s">
        <v>530</v>
      </c>
      <c r="DB155" s="214" t="s">
        <v>10481</v>
      </c>
      <c r="DC155" s="214" t="s">
        <v>955</v>
      </c>
      <c r="DD155" s="214" t="s">
        <v>70</v>
      </c>
      <c r="DE155" s="214" t="s">
        <v>530</v>
      </c>
      <c r="DG155" s="214" t="s">
        <v>10482</v>
      </c>
      <c r="DH155" s="214" t="s">
        <v>492</v>
      </c>
      <c r="DI155" s="214" t="s">
        <v>70</v>
      </c>
      <c r="DJ155" s="214" t="s">
        <v>530</v>
      </c>
      <c r="DL155" s="214" t="s">
        <v>10483</v>
      </c>
      <c r="DM155" s="214" t="s">
        <v>34539</v>
      </c>
      <c r="DN155" s="214" t="s">
        <v>70</v>
      </c>
      <c r="DO155" s="214" t="s">
        <v>530</v>
      </c>
      <c r="DQ155" s="214" t="s">
        <v>10484</v>
      </c>
      <c r="DR155" s="214" t="s">
        <v>88</v>
      </c>
      <c r="DS155" s="214" t="s">
        <v>70</v>
      </c>
      <c r="DT155" s="214" t="s">
        <v>530</v>
      </c>
      <c r="DV155" s="214" t="s">
        <v>10485</v>
      </c>
      <c r="DW155" s="214" t="s">
        <v>955</v>
      </c>
      <c r="DX155" s="214" t="s">
        <v>70</v>
      </c>
      <c r="DY155" s="214" t="s">
        <v>530</v>
      </c>
      <c r="EA155" s="214" t="s">
        <v>10486</v>
      </c>
      <c r="EB155" s="214" t="s">
        <v>488</v>
      </c>
      <c r="EC155" s="214" t="s">
        <v>70</v>
      </c>
      <c r="ED155" s="214" t="s">
        <v>530</v>
      </c>
      <c r="EF155" s="214" t="s">
        <v>10487</v>
      </c>
      <c r="EG155" s="214" t="s">
        <v>484</v>
      </c>
      <c r="EH155" s="214" t="s">
        <v>70</v>
      </c>
      <c r="EI155" s="214" t="s">
        <v>530</v>
      </c>
      <c r="EK155" s="214" t="s">
        <v>10488</v>
      </c>
      <c r="EL155" s="214" t="s">
        <v>910</v>
      </c>
      <c r="EM155" s="214" t="s">
        <v>70</v>
      </c>
      <c r="EN155" s="214" t="s">
        <v>530</v>
      </c>
      <c r="EP155" s="214" t="s">
        <v>10489</v>
      </c>
      <c r="EQ155" s="214" t="s">
        <v>486</v>
      </c>
      <c r="ER155" s="214" t="s">
        <v>70</v>
      </c>
      <c r="ES155" s="214" t="s">
        <v>530</v>
      </c>
      <c r="EU155" s="214" t="s">
        <v>10490</v>
      </c>
      <c r="EV155" s="214" t="s">
        <v>488</v>
      </c>
      <c r="EW155" s="214" t="s">
        <v>70</v>
      </c>
      <c r="EX155" s="214" t="s">
        <v>530</v>
      </c>
      <c r="EZ155" s="214" t="s">
        <v>10491</v>
      </c>
      <c r="FA155" s="214" t="s">
        <v>484</v>
      </c>
      <c r="FB155" s="214" t="s">
        <v>70</v>
      </c>
      <c r="FC155" s="214" t="s">
        <v>530</v>
      </c>
      <c r="FE155" s="214" t="s">
        <v>10492</v>
      </c>
      <c r="FF155" s="214" t="s">
        <v>955</v>
      </c>
      <c r="FG155" s="214" t="s">
        <v>70</v>
      </c>
      <c r="FH155" s="214" t="s">
        <v>530</v>
      </c>
      <c r="FJ155" s="321" t="s">
        <v>10493</v>
      </c>
      <c r="FK155" s="214" t="s">
        <v>52</v>
      </c>
      <c r="FL155" s="214" t="s">
        <v>70</v>
      </c>
      <c r="FM155" s="214" t="s">
        <v>530</v>
      </c>
      <c r="FO155" s="321" t="s">
        <v>10494</v>
      </c>
      <c r="FP155" s="214" t="s">
        <v>33910</v>
      </c>
      <c r="FQ155" s="214" t="s">
        <v>70</v>
      </c>
      <c r="FR155" s="214" t="s">
        <v>530</v>
      </c>
      <c r="FT155" s="321" t="s">
        <v>10495</v>
      </c>
      <c r="FU155" s="214" t="s">
        <v>491</v>
      </c>
      <c r="FV155" s="214" t="s">
        <v>70</v>
      </c>
      <c r="FW155" s="214" t="s">
        <v>530</v>
      </c>
      <c r="FY155" s="321" t="s">
        <v>10496</v>
      </c>
      <c r="FZ155" s="214" t="s">
        <v>93</v>
      </c>
      <c r="GA155" s="214" t="s">
        <v>70</v>
      </c>
      <c r="GB155" s="214" t="s">
        <v>530</v>
      </c>
      <c r="GD155" s="321" t="s">
        <v>10497</v>
      </c>
      <c r="GE155" s="214" t="s">
        <v>34541</v>
      </c>
      <c r="GF155" s="214" t="s">
        <v>70</v>
      </c>
      <c r="GG155" s="214" t="s">
        <v>530</v>
      </c>
      <c r="GI155" s="321" t="s">
        <v>10498</v>
      </c>
      <c r="GJ155" s="214" t="s">
        <v>488</v>
      </c>
      <c r="GK155" s="214" t="s">
        <v>70</v>
      </c>
      <c r="GL155" s="214" t="s">
        <v>530</v>
      </c>
      <c r="GN155" s="321" t="s">
        <v>10499</v>
      </c>
      <c r="GO155" s="214" t="s">
        <v>52</v>
      </c>
      <c r="GP155" s="214" t="s">
        <v>70</v>
      </c>
      <c r="GQ155" s="214" t="s">
        <v>530</v>
      </c>
      <c r="GS155" s="321" t="s">
        <v>10500</v>
      </c>
      <c r="GT155" s="214" t="s">
        <v>950</v>
      </c>
      <c r="GU155" s="214" t="s">
        <v>70</v>
      </c>
      <c r="GV155" s="214" t="s">
        <v>530</v>
      </c>
      <c r="GX155" s="214" t="s">
        <v>10501</v>
      </c>
      <c r="GY155" s="214" t="s">
        <v>34542</v>
      </c>
      <c r="GZ155" s="214" t="s">
        <v>70</v>
      </c>
      <c r="HA155" s="214" t="s">
        <v>530</v>
      </c>
      <c r="HC155" s="214" t="s">
        <v>10502</v>
      </c>
      <c r="HD155" s="214" t="s">
        <v>34551</v>
      </c>
      <c r="HE155" s="214" t="s">
        <v>70</v>
      </c>
      <c r="HF155" s="214" t="s">
        <v>530</v>
      </c>
      <c r="HH155" s="214" t="s">
        <v>10503</v>
      </c>
      <c r="HI155" s="214" t="s">
        <v>955</v>
      </c>
      <c r="HJ155" s="214" t="s">
        <v>70</v>
      </c>
      <c r="HK155" s="214" t="s">
        <v>530</v>
      </c>
      <c r="HM155" s="214" t="s">
        <v>10504</v>
      </c>
      <c r="HN155" s="214" t="s">
        <v>34541</v>
      </c>
      <c r="HO155" s="214" t="s">
        <v>70</v>
      </c>
      <c r="HP155" s="214" t="s">
        <v>530</v>
      </c>
      <c r="HR155" s="22" t="s">
        <v>10505</v>
      </c>
      <c r="HS155" s="22" t="s">
        <v>52</v>
      </c>
      <c r="HT155" s="22" t="s">
        <v>70</v>
      </c>
      <c r="HU155" s="214" t="s">
        <v>530</v>
      </c>
      <c r="HW155" s="22" t="s">
        <v>10506</v>
      </c>
      <c r="HX155" s="22" t="s">
        <v>52</v>
      </c>
      <c r="HY155" s="22" t="s">
        <v>70</v>
      </c>
      <c r="HZ155" s="214" t="s">
        <v>530</v>
      </c>
      <c r="IB155" s="22" t="s">
        <v>10507</v>
      </c>
      <c r="IC155" s="22" t="s">
        <v>85</v>
      </c>
      <c r="ID155" s="22" t="s">
        <v>70</v>
      </c>
      <c r="IE155" s="214" t="s">
        <v>530</v>
      </c>
      <c r="IG155" s="22" t="s">
        <v>10508</v>
      </c>
      <c r="IH155" s="22" t="s">
        <v>52</v>
      </c>
      <c r="II155" s="22" t="s">
        <v>70</v>
      </c>
      <c r="IJ155" s="214" t="s">
        <v>530</v>
      </c>
      <c r="IL155" s="22" t="s">
        <v>10509</v>
      </c>
      <c r="IM155" s="22" t="s">
        <v>145</v>
      </c>
      <c r="IN155" s="22" t="s">
        <v>70</v>
      </c>
      <c r="IO155" s="214" t="s">
        <v>530</v>
      </c>
      <c r="IQ155" s="236" t="s">
        <v>10510</v>
      </c>
      <c r="IR155" s="236" t="s">
        <v>145</v>
      </c>
      <c r="IS155" s="236" t="s">
        <v>74</v>
      </c>
      <c r="IT155" s="236" t="s">
        <v>841</v>
      </c>
      <c r="IV155" s="236" t="s">
        <v>10511</v>
      </c>
      <c r="IW155" s="236" t="s">
        <v>145</v>
      </c>
      <c r="IX155" s="236" t="s">
        <v>74</v>
      </c>
      <c r="IY155" s="236" t="s">
        <v>841</v>
      </c>
      <c r="JA155" s="236" t="s">
        <v>10512</v>
      </c>
      <c r="JB155" s="236" t="s">
        <v>145</v>
      </c>
      <c r="JC155" s="236" t="s">
        <v>74</v>
      </c>
      <c r="JD155" s="236" t="s">
        <v>841</v>
      </c>
      <c r="JF155" s="236" t="s">
        <v>10513</v>
      </c>
      <c r="JG155" s="236" t="s">
        <v>145</v>
      </c>
      <c r="JH155" s="236" t="s">
        <v>74</v>
      </c>
      <c r="JI155" s="236" t="s">
        <v>841</v>
      </c>
      <c r="JK155" s="236" t="s">
        <v>10514</v>
      </c>
      <c r="JL155" s="236" t="s">
        <v>145</v>
      </c>
      <c r="JM155" s="236" t="s">
        <v>74</v>
      </c>
      <c r="JN155" s="236" t="s">
        <v>841</v>
      </c>
      <c r="JP155" s="236" t="s">
        <v>10515</v>
      </c>
      <c r="JQ155" s="236" t="s">
        <v>145</v>
      </c>
      <c r="JR155" s="236" t="s">
        <v>74</v>
      </c>
      <c r="JS155" s="236" t="s">
        <v>841</v>
      </c>
      <c r="JU155" s="294" t="s">
        <v>10516</v>
      </c>
      <c r="JV155" s="294" t="s">
        <v>52</v>
      </c>
      <c r="JW155" s="263" t="s">
        <v>70</v>
      </c>
      <c r="JX155" s="294" t="s">
        <v>1083</v>
      </c>
      <c r="JZ155" s="263" t="s">
        <v>10517</v>
      </c>
      <c r="KA155" s="263" t="s">
        <v>145</v>
      </c>
      <c r="KB155" s="263" t="s">
        <v>70</v>
      </c>
      <c r="KC155" s="263" t="s">
        <v>1083</v>
      </c>
      <c r="KE155" s="263" t="s">
        <v>10518</v>
      </c>
      <c r="KF155" s="263" t="s">
        <v>52</v>
      </c>
      <c r="KG155" s="263" t="s">
        <v>70</v>
      </c>
      <c r="KH155" s="263" t="s">
        <v>1083</v>
      </c>
      <c r="KJ155" s="263" t="s">
        <v>10519</v>
      </c>
      <c r="KK155" s="263" t="s">
        <v>52</v>
      </c>
      <c r="KL155" s="263" t="s">
        <v>74</v>
      </c>
      <c r="KM155" s="263" t="s">
        <v>34074</v>
      </c>
      <c r="KO155" s="214" t="s">
        <v>10520</v>
      </c>
      <c r="KP155" s="214" t="s">
        <v>145</v>
      </c>
      <c r="KQ155" s="214" t="s">
        <v>70</v>
      </c>
      <c r="KR155" s="214" t="s">
        <v>67</v>
      </c>
      <c r="KT155" s="22" t="s">
        <v>10521</v>
      </c>
      <c r="KU155" s="22" t="s">
        <v>145</v>
      </c>
      <c r="KV155" s="22" t="s">
        <v>70</v>
      </c>
      <c r="KW155" s="22" t="s">
        <v>67</v>
      </c>
      <c r="KY155" s="214" t="s">
        <v>10522</v>
      </c>
      <c r="KZ155" s="214" t="s">
        <v>52</v>
      </c>
      <c r="LA155" s="214" t="s">
        <v>74</v>
      </c>
      <c r="LB155" s="214" t="s">
        <v>67</v>
      </c>
      <c r="LD155" s="22" t="s">
        <v>10523</v>
      </c>
      <c r="LE155" s="22" t="s">
        <v>145</v>
      </c>
      <c r="LF155" s="22" t="s">
        <v>70</v>
      </c>
      <c r="LG155" s="22" t="s">
        <v>67</v>
      </c>
    </row>
    <row r="156" spans="1:319">
      <c r="A156" s="22" t="s">
        <v>10524</v>
      </c>
      <c r="B156" s="22" t="s">
        <v>145</v>
      </c>
      <c r="C156" s="22" t="s">
        <v>70</v>
      </c>
      <c r="D156" s="22" t="s">
        <v>67</v>
      </c>
      <c r="F156" s="23" t="s">
        <v>10525</v>
      </c>
      <c r="G156" s="23" t="str">
        <f>TVIIBE1M_CalPairs!$E153</f>
        <v>0x00</v>
      </c>
      <c r="H156" s="23" t="s">
        <v>70</v>
      </c>
      <c r="I156" s="23" t="str">
        <f>TVIIBE1M_CalPairs!$C153</f>
        <v>PASS0_SAR1_ADDR0</v>
      </c>
      <c r="K156" s="22" t="s">
        <v>10526</v>
      </c>
      <c r="L156" s="22" t="s">
        <v>145</v>
      </c>
      <c r="M156" s="22" t="s">
        <v>70</v>
      </c>
      <c r="N156" s="22" t="s">
        <v>67</v>
      </c>
      <c r="P156" s="22" t="s">
        <v>10527</v>
      </c>
      <c r="Q156" s="22" t="s">
        <v>145</v>
      </c>
      <c r="R156" s="22" t="s">
        <v>70</v>
      </c>
      <c r="S156" s="22" t="s">
        <v>67</v>
      </c>
      <c r="U156" s="293" t="s">
        <v>10528</v>
      </c>
      <c r="V156" s="293" t="s">
        <v>145</v>
      </c>
      <c r="W156" s="293" t="s">
        <v>74</v>
      </c>
      <c r="X156" s="293" t="s">
        <v>656</v>
      </c>
      <c r="Z156" s="293" t="s">
        <v>10529</v>
      </c>
      <c r="AA156" s="293" t="s">
        <v>145</v>
      </c>
      <c r="AB156" s="293" t="s">
        <v>74</v>
      </c>
      <c r="AC156" s="293" t="s">
        <v>656</v>
      </c>
      <c r="AE156" s="293" t="s">
        <v>10530</v>
      </c>
      <c r="AF156" s="293" t="s">
        <v>145</v>
      </c>
      <c r="AG156" s="293" t="s">
        <v>74</v>
      </c>
      <c r="AH156" s="293" t="s">
        <v>656</v>
      </c>
      <c r="AJ156" s="293" t="s">
        <v>10531</v>
      </c>
      <c r="AK156" s="293" t="s">
        <v>145</v>
      </c>
      <c r="AL156" s="293" t="s">
        <v>74</v>
      </c>
      <c r="AM156" s="293" t="s">
        <v>656</v>
      </c>
      <c r="AO156" s="22" t="s">
        <v>10532</v>
      </c>
      <c r="AP156" s="22" t="s">
        <v>145</v>
      </c>
      <c r="AQ156" s="22" t="s">
        <v>70</v>
      </c>
      <c r="AR156" s="22" t="s">
        <v>67</v>
      </c>
      <c r="AT156" s="22" t="s">
        <v>10533</v>
      </c>
      <c r="AU156" s="22" t="s">
        <v>145</v>
      </c>
      <c r="AV156" s="22" t="s">
        <v>70</v>
      </c>
      <c r="AW156" s="22" t="s">
        <v>67</v>
      </c>
      <c r="AY156" s="22" t="s">
        <v>10534</v>
      </c>
      <c r="AZ156" s="22" t="s">
        <v>145</v>
      </c>
      <c r="BA156" s="22" t="s">
        <v>70</v>
      </c>
      <c r="BB156" s="22" t="s">
        <v>67</v>
      </c>
      <c r="BD156" s="22" t="s">
        <v>10535</v>
      </c>
      <c r="BE156" s="22" t="s">
        <v>145</v>
      </c>
      <c r="BF156" s="22" t="s">
        <v>70</v>
      </c>
      <c r="BG156" s="22" t="s">
        <v>67</v>
      </c>
      <c r="BI156" s="22" t="s">
        <v>10536</v>
      </c>
      <c r="BJ156" s="22" t="s">
        <v>145</v>
      </c>
      <c r="BK156" s="22" t="s">
        <v>70</v>
      </c>
      <c r="BL156" s="22" t="s">
        <v>67</v>
      </c>
      <c r="BN156" s="22" t="s">
        <v>10537</v>
      </c>
      <c r="BO156" s="22" t="s">
        <v>145</v>
      </c>
      <c r="BP156" s="22" t="s">
        <v>70</v>
      </c>
      <c r="BQ156" s="22" t="s">
        <v>67</v>
      </c>
      <c r="BS156" s="22" t="s">
        <v>10538</v>
      </c>
      <c r="BT156" s="22" t="s">
        <v>145</v>
      </c>
      <c r="BU156" s="22" t="s">
        <v>70</v>
      </c>
      <c r="BV156" s="214" t="s">
        <v>530</v>
      </c>
      <c r="BX156" s="22" t="s">
        <v>10539</v>
      </c>
      <c r="BY156" s="22" t="s">
        <v>145</v>
      </c>
      <c r="BZ156" s="22" t="s">
        <v>70</v>
      </c>
      <c r="CA156" s="214" t="s">
        <v>530</v>
      </c>
      <c r="CC156" s="214" t="s">
        <v>10540</v>
      </c>
      <c r="CD156" s="218" t="s">
        <v>145</v>
      </c>
      <c r="CE156" s="214" t="s">
        <v>70</v>
      </c>
      <c r="CF156" s="214" t="s">
        <v>451</v>
      </c>
      <c r="CH156" s="214" t="s">
        <v>10542</v>
      </c>
      <c r="CI156" s="214" t="s">
        <v>145</v>
      </c>
      <c r="CJ156" s="214" t="s">
        <v>70</v>
      </c>
      <c r="CK156" s="214" t="s">
        <v>530</v>
      </c>
      <c r="CM156" s="214" t="s">
        <v>10543</v>
      </c>
      <c r="CN156" s="214" t="s">
        <v>52</v>
      </c>
      <c r="CO156" s="214" t="s">
        <v>70</v>
      </c>
      <c r="CP156" s="214" t="s">
        <v>530</v>
      </c>
      <c r="CR156" s="214" t="s">
        <v>10544</v>
      </c>
      <c r="CS156" s="214" t="s">
        <v>467</v>
      </c>
      <c r="CT156" s="214" t="s">
        <v>70</v>
      </c>
      <c r="CU156" s="214" t="s">
        <v>530</v>
      </c>
      <c r="CW156" s="214" t="s">
        <v>10545</v>
      </c>
      <c r="CX156" s="214" t="s">
        <v>488</v>
      </c>
      <c r="CY156" s="214" t="s">
        <v>70</v>
      </c>
      <c r="CZ156" s="214" t="s">
        <v>530</v>
      </c>
      <c r="DB156" s="214" t="s">
        <v>10546</v>
      </c>
      <c r="DC156" s="214" t="s">
        <v>495</v>
      </c>
      <c r="DD156" s="214" t="s">
        <v>70</v>
      </c>
      <c r="DE156" s="214" t="s">
        <v>530</v>
      </c>
      <c r="DG156" s="214" t="s">
        <v>10547</v>
      </c>
      <c r="DH156" s="214" t="s">
        <v>148</v>
      </c>
      <c r="DI156" s="214" t="s">
        <v>70</v>
      </c>
      <c r="DJ156" s="214" t="s">
        <v>530</v>
      </c>
      <c r="DL156" s="214" t="s">
        <v>10548</v>
      </c>
      <c r="DM156" s="214" t="s">
        <v>492</v>
      </c>
      <c r="DN156" s="214" t="s">
        <v>70</v>
      </c>
      <c r="DO156" s="214" t="s">
        <v>530</v>
      </c>
      <c r="DQ156" s="214" t="s">
        <v>10549</v>
      </c>
      <c r="DR156" s="214" t="s">
        <v>90</v>
      </c>
      <c r="DS156" s="214" t="s">
        <v>70</v>
      </c>
      <c r="DT156" s="214" t="s">
        <v>530</v>
      </c>
      <c r="DV156" s="214" t="s">
        <v>10550</v>
      </c>
      <c r="DW156" s="214" t="s">
        <v>34570</v>
      </c>
      <c r="DX156" s="214" t="s">
        <v>70</v>
      </c>
      <c r="DY156" s="214" t="s">
        <v>530</v>
      </c>
      <c r="EA156" s="214" t="s">
        <v>10551</v>
      </c>
      <c r="EB156" s="214" t="s">
        <v>641</v>
      </c>
      <c r="EC156" s="214" t="s">
        <v>70</v>
      </c>
      <c r="ED156" s="214" t="s">
        <v>530</v>
      </c>
      <c r="EF156" s="214" t="s">
        <v>10552</v>
      </c>
      <c r="EG156" s="214" t="s">
        <v>481</v>
      </c>
      <c r="EH156" s="214" t="s">
        <v>70</v>
      </c>
      <c r="EI156" s="214" t="s">
        <v>530</v>
      </c>
      <c r="EK156" s="214" t="s">
        <v>10553</v>
      </c>
      <c r="EL156" s="214" t="s">
        <v>52</v>
      </c>
      <c r="EM156" s="214" t="s">
        <v>70</v>
      </c>
      <c r="EN156" s="214" t="s">
        <v>530</v>
      </c>
      <c r="EP156" s="214" t="s">
        <v>10554</v>
      </c>
      <c r="EQ156" s="214" t="s">
        <v>52</v>
      </c>
      <c r="ER156" s="214" t="s">
        <v>70</v>
      </c>
      <c r="ES156" s="214" t="s">
        <v>530</v>
      </c>
      <c r="EU156" s="214" t="s">
        <v>10555</v>
      </c>
      <c r="EV156" s="214" t="s">
        <v>92</v>
      </c>
      <c r="EW156" s="214" t="s">
        <v>70</v>
      </c>
      <c r="EX156" s="214" t="s">
        <v>530</v>
      </c>
      <c r="EZ156" s="214" t="s">
        <v>10556</v>
      </c>
      <c r="FA156" s="214" t="s">
        <v>90</v>
      </c>
      <c r="FB156" s="214" t="s">
        <v>70</v>
      </c>
      <c r="FC156" s="214" t="s">
        <v>530</v>
      </c>
      <c r="FE156" s="214" t="s">
        <v>10557</v>
      </c>
      <c r="FF156" s="214" t="s">
        <v>52</v>
      </c>
      <c r="FG156" s="214" t="s">
        <v>70</v>
      </c>
      <c r="FH156" s="214" t="s">
        <v>530</v>
      </c>
      <c r="FJ156" s="321" t="s">
        <v>10558</v>
      </c>
      <c r="FK156" s="214" t="s">
        <v>10541</v>
      </c>
      <c r="FL156" s="214" t="s">
        <v>70</v>
      </c>
      <c r="FM156" s="214" t="s">
        <v>530</v>
      </c>
      <c r="FO156" s="321" t="s">
        <v>10559</v>
      </c>
      <c r="FP156" s="214" t="s">
        <v>52</v>
      </c>
      <c r="FQ156" s="214" t="s">
        <v>70</v>
      </c>
      <c r="FR156" s="214" t="s">
        <v>530</v>
      </c>
      <c r="FT156" s="321" t="s">
        <v>10560</v>
      </c>
      <c r="FU156" s="214" t="s">
        <v>87</v>
      </c>
      <c r="FV156" s="214" t="s">
        <v>70</v>
      </c>
      <c r="FW156" s="214" t="s">
        <v>530</v>
      </c>
      <c r="FY156" s="321" t="s">
        <v>10561</v>
      </c>
      <c r="FZ156" s="214" t="s">
        <v>52</v>
      </c>
      <c r="GA156" s="214" t="s">
        <v>70</v>
      </c>
      <c r="GB156" s="214" t="s">
        <v>530</v>
      </c>
      <c r="GD156" s="321" t="s">
        <v>10562</v>
      </c>
      <c r="GE156" s="214" t="s">
        <v>920</v>
      </c>
      <c r="GF156" s="214" t="s">
        <v>70</v>
      </c>
      <c r="GG156" s="214" t="s">
        <v>530</v>
      </c>
      <c r="GI156" s="321" t="s">
        <v>10563</v>
      </c>
      <c r="GJ156" s="214" t="s">
        <v>52</v>
      </c>
      <c r="GK156" s="214" t="s">
        <v>70</v>
      </c>
      <c r="GL156" s="214" t="s">
        <v>530</v>
      </c>
      <c r="GN156" s="321" t="s">
        <v>10564</v>
      </c>
      <c r="GO156" s="214" t="s">
        <v>10541</v>
      </c>
      <c r="GP156" s="214" t="s">
        <v>70</v>
      </c>
      <c r="GQ156" s="214" t="s">
        <v>530</v>
      </c>
      <c r="GS156" s="321" t="s">
        <v>10565</v>
      </c>
      <c r="GT156" s="214" t="s">
        <v>148</v>
      </c>
      <c r="GU156" s="214" t="s">
        <v>70</v>
      </c>
      <c r="GV156" s="214" t="s">
        <v>530</v>
      </c>
      <c r="GX156" s="214" t="s">
        <v>10566</v>
      </c>
      <c r="GY156" s="214" t="s">
        <v>52</v>
      </c>
      <c r="GZ156" s="214" t="s">
        <v>70</v>
      </c>
      <c r="HA156" s="214" t="s">
        <v>530</v>
      </c>
      <c r="HC156" s="214" t="s">
        <v>10567</v>
      </c>
      <c r="HD156" s="214" t="s">
        <v>286</v>
      </c>
      <c r="HE156" s="214" t="s">
        <v>70</v>
      </c>
      <c r="HF156" s="214" t="s">
        <v>530</v>
      </c>
      <c r="HH156" s="214" t="s">
        <v>10568</v>
      </c>
      <c r="HI156" s="214" t="s">
        <v>145</v>
      </c>
      <c r="HJ156" s="214" t="s">
        <v>70</v>
      </c>
      <c r="HK156" s="214" t="s">
        <v>530</v>
      </c>
      <c r="HM156" s="214" t="s">
        <v>10569</v>
      </c>
      <c r="HN156" s="214" t="s">
        <v>33910</v>
      </c>
      <c r="HO156" s="214" t="s">
        <v>70</v>
      </c>
      <c r="HP156" s="214" t="s">
        <v>530</v>
      </c>
      <c r="HR156" s="22" t="s">
        <v>10570</v>
      </c>
      <c r="HS156" s="22" t="s">
        <v>52</v>
      </c>
      <c r="HT156" s="22" t="s">
        <v>70</v>
      </c>
      <c r="HU156" s="214" t="s">
        <v>530</v>
      </c>
      <c r="HW156" s="22" t="s">
        <v>10571</v>
      </c>
      <c r="HX156" s="22" t="s">
        <v>604</v>
      </c>
      <c r="HY156" s="22" t="s">
        <v>70</v>
      </c>
      <c r="HZ156" s="214" t="s">
        <v>530</v>
      </c>
      <c r="IB156" s="22" t="s">
        <v>10572</v>
      </c>
      <c r="IC156" s="22" t="s">
        <v>949</v>
      </c>
      <c r="ID156" s="22" t="s">
        <v>70</v>
      </c>
      <c r="IE156" s="214" t="s">
        <v>530</v>
      </c>
      <c r="IG156" s="22" t="s">
        <v>10573</v>
      </c>
      <c r="IH156" s="22" t="s">
        <v>52</v>
      </c>
      <c r="II156" s="22" t="s">
        <v>70</v>
      </c>
      <c r="IJ156" s="214" t="s">
        <v>530</v>
      </c>
      <c r="IL156" s="22" t="s">
        <v>10574</v>
      </c>
      <c r="IM156" s="22" t="s">
        <v>145</v>
      </c>
      <c r="IN156" s="22" t="s">
        <v>70</v>
      </c>
      <c r="IO156" s="214" t="s">
        <v>530</v>
      </c>
      <c r="IQ156" s="236" t="s">
        <v>10575</v>
      </c>
      <c r="IR156" s="236" t="s">
        <v>145</v>
      </c>
      <c r="IS156" s="236" t="s">
        <v>74</v>
      </c>
      <c r="IT156" s="236" t="s">
        <v>841</v>
      </c>
      <c r="IV156" s="236" t="s">
        <v>10576</v>
      </c>
      <c r="IW156" s="236" t="s">
        <v>145</v>
      </c>
      <c r="IX156" s="236" t="s">
        <v>74</v>
      </c>
      <c r="IY156" s="236" t="s">
        <v>841</v>
      </c>
      <c r="JA156" s="236" t="s">
        <v>10577</v>
      </c>
      <c r="JB156" s="236" t="s">
        <v>145</v>
      </c>
      <c r="JC156" s="236" t="s">
        <v>74</v>
      </c>
      <c r="JD156" s="236" t="s">
        <v>841</v>
      </c>
      <c r="JF156" s="236" t="s">
        <v>10578</v>
      </c>
      <c r="JG156" s="236" t="s">
        <v>145</v>
      </c>
      <c r="JH156" s="236" t="s">
        <v>74</v>
      </c>
      <c r="JI156" s="236" t="s">
        <v>841</v>
      </c>
      <c r="JK156" s="236" t="s">
        <v>10579</v>
      </c>
      <c r="JL156" s="236" t="s">
        <v>145</v>
      </c>
      <c r="JM156" s="236" t="s">
        <v>74</v>
      </c>
      <c r="JN156" s="236" t="s">
        <v>841</v>
      </c>
      <c r="JP156" s="236" t="s">
        <v>10580</v>
      </c>
      <c r="JQ156" s="236" t="s">
        <v>145</v>
      </c>
      <c r="JR156" s="236" t="s">
        <v>74</v>
      </c>
      <c r="JS156" s="236" t="s">
        <v>841</v>
      </c>
      <c r="JU156" s="294" t="s">
        <v>10581</v>
      </c>
      <c r="JV156" s="294" t="s">
        <v>52</v>
      </c>
      <c r="JW156" s="263" t="s">
        <v>70</v>
      </c>
      <c r="JX156" s="294" t="s">
        <v>1083</v>
      </c>
      <c r="JZ156" s="263" t="s">
        <v>10582</v>
      </c>
      <c r="KA156" s="263" t="s">
        <v>145</v>
      </c>
      <c r="KB156" s="263" t="s">
        <v>70</v>
      </c>
      <c r="KC156" s="263" t="s">
        <v>1083</v>
      </c>
      <c r="KE156" s="263" t="s">
        <v>10583</v>
      </c>
      <c r="KF156" s="263" t="s">
        <v>52</v>
      </c>
      <c r="KG156" s="263" t="s">
        <v>70</v>
      </c>
      <c r="KH156" s="263" t="s">
        <v>1083</v>
      </c>
      <c r="KJ156" s="263" t="s">
        <v>10584</v>
      </c>
      <c r="KK156" s="263" t="s">
        <v>52</v>
      </c>
      <c r="KL156" s="263" t="s">
        <v>74</v>
      </c>
      <c r="KM156" s="263" t="s">
        <v>34074</v>
      </c>
      <c r="KO156" s="214" t="s">
        <v>10585</v>
      </c>
      <c r="KP156" s="214" t="s">
        <v>145</v>
      </c>
      <c r="KQ156" s="214" t="s">
        <v>70</v>
      </c>
      <c r="KR156" s="214" t="s">
        <v>67</v>
      </c>
      <c r="KT156" s="22" t="s">
        <v>10586</v>
      </c>
      <c r="KU156" s="22" t="s">
        <v>145</v>
      </c>
      <c r="KV156" s="22" t="s">
        <v>70</v>
      </c>
      <c r="KW156" s="22" t="s">
        <v>67</v>
      </c>
      <c r="KY156" s="214" t="s">
        <v>10587</v>
      </c>
      <c r="KZ156" s="214" t="s">
        <v>52</v>
      </c>
      <c r="LA156" s="214" t="s">
        <v>74</v>
      </c>
      <c r="LB156" s="214" t="s">
        <v>67</v>
      </c>
      <c r="LD156" s="22" t="s">
        <v>10588</v>
      </c>
      <c r="LE156" s="22" t="s">
        <v>145</v>
      </c>
      <c r="LF156" s="22" t="s">
        <v>70</v>
      </c>
      <c r="LG156" s="22" t="s">
        <v>67</v>
      </c>
    </row>
    <row r="157" spans="1:319">
      <c r="A157" s="22" t="s">
        <v>10589</v>
      </c>
      <c r="B157" s="22" t="s">
        <v>145</v>
      </c>
      <c r="C157" s="22" t="s">
        <v>70</v>
      </c>
      <c r="D157" s="22" t="s">
        <v>67</v>
      </c>
      <c r="F157" s="23" t="s">
        <v>10590</v>
      </c>
      <c r="G157" s="23" t="str">
        <f>TVIIBE1M_CalPairs!$E154</f>
        <v>0x10</v>
      </c>
      <c r="H157" s="23" t="s">
        <v>70</v>
      </c>
      <c r="I157" s="23" t="str">
        <f>TVIIBE1M_CalPairs!$C154</f>
        <v>PASS0_SAR1_ADDR1</v>
      </c>
      <c r="K157" s="22" t="s">
        <v>10591</v>
      </c>
      <c r="L157" s="22" t="s">
        <v>145</v>
      </c>
      <c r="M157" s="22" t="s">
        <v>70</v>
      </c>
      <c r="N157" s="22" t="s">
        <v>67</v>
      </c>
      <c r="P157" s="22" t="s">
        <v>10592</v>
      </c>
      <c r="Q157" s="22" t="s">
        <v>145</v>
      </c>
      <c r="R157" s="22" t="s">
        <v>70</v>
      </c>
      <c r="S157" s="22" t="s">
        <v>67</v>
      </c>
      <c r="U157" s="293" t="s">
        <v>10593</v>
      </c>
      <c r="V157" s="293" t="s">
        <v>145</v>
      </c>
      <c r="W157" s="293" t="s">
        <v>74</v>
      </c>
      <c r="X157" s="293" t="s">
        <v>656</v>
      </c>
      <c r="Z157" s="293" t="s">
        <v>10594</v>
      </c>
      <c r="AA157" s="293" t="s">
        <v>145</v>
      </c>
      <c r="AB157" s="293" t="s">
        <v>74</v>
      </c>
      <c r="AC157" s="293" t="s">
        <v>656</v>
      </c>
      <c r="AE157" s="293" t="s">
        <v>10595</v>
      </c>
      <c r="AF157" s="293" t="s">
        <v>145</v>
      </c>
      <c r="AG157" s="293" t="s">
        <v>74</v>
      </c>
      <c r="AH157" s="293" t="s">
        <v>656</v>
      </c>
      <c r="AJ157" s="293" t="s">
        <v>10596</v>
      </c>
      <c r="AK157" s="293" t="s">
        <v>145</v>
      </c>
      <c r="AL157" s="293" t="s">
        <v>74</v>
      </c>
      <c r="AM157" s="293" t="s">
        <v>656</v>
      </c>
      <c r="AO157" s="22" t="s">
        <v>10597</v>
      </c>
      <c r="AP157" s="22" t="s">
        <v>145</v>
      </c>
      <c r="AQ157" s="22" t="s">
        <v>70</v>
      </c>
      <c r="AR157" s="22" t="s">
        <v>67</v>
      </c>
      <c r="AT157" s="22" t="s">
        <v>10598</v>
      </c>
      <c r="AU157" s="22" t="s">
        <v>145</v>
      </c>
      <c r="AV157" s="22" t="s">
        <v>70</v>
      </c>
      <c r="AW157" s="22" t="s">
        <v>67</v>
      </c>
      <c r="AY157" s="22" t="s">
        <v>10599</v>
      </c>
      <c r="AZ157" s="22" t="s">
        <v>145</v>
      </c>
      <c r="BA157" s="22" t="s">
        <v>70</v>
      </c>
      <c r="BB157" s="22" t="s">
        <v>67</v>
      </c>
      <c r="BD157" s="22" t="s">
        <v>10600</v>
      </c>
      <c r="BE157" s="22" t="s">
        <v>145</v>
      </c>
      <c r="BF157" s="22" t="s">
        <v>70</v>
      </c>
      <c r="BG157" s="22" t="s">
        <v>67</v>
      </c>
      <c r="BI157" s="22" t="s">
        <v>10601</v>
      </c>
      <c r="BJ157" s="22" t="s">
        <v>145</v>
      </c>
      <c r="BK157" s="22" t="s">
        <v>70</v>
      </c>
      <c r="BL157" s="22" t="s">
        <v>67</v>
      </c>
      <c r="BN157" s="22" t="s">
        <v>10602</v>
      </c>
      <c r="BO157" s="22" t="s">
        <v>145</v>
      </c>
      <c r="BP157" s="22" t="s">
        <v>70</v>
      </c>
      <c r="BQ157" s="22" t="s">
        <v>67</v>
      </c>
      <c r="BS157" s="22" t="s">
        <v>10603</v>
      </c>
      <c r="BT157" s="22" t="s">
        <v>145</v>
      </c>
      <c r="BU157" s="22" t="s">
        <v>70</v>
      </c>
      <c r="BV157" s="214" t="s">
        <v>530</v>
      </c>
      <c r="BX157" s="22" t="s">
        <v>10604</v>
      </c>
      <c r="BY157" s="22" t="s">
        <v>145</v>
      </c>
      <c r="BZ157" s="22" t="s">
        <v>70</v>
      </c>
      <c r="CA157" s="214" t="s">
        <v>530</v>
      </c>
      <c r="CC157" s="214" t="s">
        <v>10605</v>
      </c>
      <c r="CD157" s="218" t="s">
        <v>145</v>
      </c>
      <c r="CE157" s="214" t="s">
        <v>70</v>
      </c>
      <c r="CF157" s="214" t="s">
        <v>452</v>
      </c>
      <c r="CH157" s="214" t="s">
        <v>10606</v>
      </c>
      <c r="CI157" s="214" t="s">
        <v>86</v>
      </c>
      <c r="CJ157" s="214" t="s">
        <v>70</v>
      </c>
      <c r="CK157" s="214" t="s">
        <v>530</v>
      </c>
      <c r="CM157" s="214" t="s">
        <v>10607</v>
      </c>
      <c r="CN157" s="214" t="s">
        <v>955</v>
      </c>
      <c r="CO157" s="214" t="s">
        <v>70</v>
      </c>
      <c r="CP157" s="214" t="s">
        <v>530</v>
      </c>
      <c r="CR157" s="214" t="s">
        <v>10608</v>
      </c>
      <c r="CS157" s="214" t="s">
        <v>486</v>
      </c>
      <c r="CT157" s="214" t="s">
        <v>70</v>
      </c>
      <c r="CU157" s="214" t="s">
        <v>530</v>
      </c>
      <c r="CW157" s="214" t="s">
        <v>10609</v>
      </c>
      <c r="CX157" s="214" t="s">
        <v>488</v>
      </c>
      <c r="CY157" s="214" t="s">
        <v>70</v>
      </c>
      <c r="CZ157" s="214" t="s">
        <v>530</v>
      </c>
      <c r="DB157" s="214" t="s">
        <v>10610</v>
      </c>
      <c r="DC157" s="214" t="s">
        <v>502</v>
      </c>
      <c r="DD157" s="214" t="s">
        <v>70</v>
      </c>
      <c r="DE157" s="214" t="s">
        <v>530</v>
      </c>
      <c r="DG157" s="214" t="s">
        <v>10611</v>
      </c>
      <c r="DH157" s="214" t="s">
        <v>486</v>
      </c>
      <c r="DI157" s="214" t="s">
        <v>70</v>
      </c>
      <c r="DJ157" s="214" t="s">
        <v>530</v>
      </c>
      <c r="DL157" s="214" t="s">
        <v>10612</v>
      </c>
      <c r="DM157" s="214" t="s">
        <v>34539</v>
      </c>
      <c r="DN157" s="214" t="s">
        <v>70</v>
      </c>
      <c r="DO157" s="214" t="s">
        <v>530</v>
      </c>
      <c r="DQ157" s="214" t="s">
        <v>10613</v>
      </c>
      <c r="DR157" s="214" t="s">
        <v>52</v>
      </c>
      <c r="DS157" s="214" t="s">
        <v>70</v>
      </c>
      <c r="DT157" s="214" t="s">
        <v>530</v>
      </c>
      <c r="DV157" s="214" t="s">
        <v>10614</v>
      </c>
      <c r="DW157" s="214" t="s">
        <v>34555</v>
      </c>
      <c r="DX157" s="214" t="s">
        <v>70</v>
      </c>
      <c r="DY157" s="214" t="s">
        <v>530</v>
      </c>
      <c r="EA157" s="214" t="s">
        <v>10615</v>
      </c>
      <c r="EB157" s="214" t="s">
        <v>488</v>
      </c>
      <c r="EC157" s="214" t="s">
        <v>70</v>
      </c>
      <c r="ED157" s="214" t="s">
        <v>530</v>
      </c>
      <c r="EF157" s="214" t="s">
        <v>10616</v>
      </c>
      <c r="EG157" s="214" t="s">
        <v>502</v>
      </c>
      <c r="EH157" s="214" t="s">
        <v>70</v>
      </c>
      <c r="EI157" s="214" t="s">
        <v>530</v>
      </c>
      <c r="EK157" s="214" t="s">
        <v>10617</v>
      </c>
      <c r="EL157" s="214" t="s">
        <v>485</v>
      </c>
      <c r="EM157" s="214" t="s">
        <v>70</v>
      </c>
      <c r="EN157" s="214" t="s">
        <v>530</v>
      </c>
      <c r="EP157" s="214" t="s">
        <v>10618</v>
      </c>
      <c r="EQ157" s="214" t="s">
        <v>955</v>
      </c>
      <c r="ER157" s="214" t="s">
        <v>70</v>
      </c>
      <c r="ES157" s="214" t="s">
        <v>530</v>
      </c>
      <c r="EU157" s="214" t="s">
        <v>10619</v>
      </c>
      <c r="EV157" s="214" t="s">
        <v>496</v>
      </c>
      <c r="EW157" s="214" t="s">
        <v>70</v>
      </c>
      <c r="EX157" s="214" t="s">
        <v>530</v>
      </c>
      <c r="EZ157" s="214" t="s">
        <v>10620</v>
      </c>
      <c r="FA157" s="214" t="s">
        <v>87</v>
      </c>
      <c r="FB157" s="214" t="s">
        <v>70</v>
      </c>
      <c r="FC157" s="214" t="s">
        <v>530</v>
      </c>
      <c r="FE157" s="214" t="s">
        <v>10621</v>
      </c>
      <c r="FF157" s="214" t="s">
        <v>484</v>
      </c>
      <c r="FG157" s="214" t="s">
        <v>70</v>
      </c>
      <c r="FH157" s="214" t="s">
        <v>530</v>
      </c>
      <c r="FJ157" s="321" t="s">
        <v>10622</v>
      </c>
      <c r="FK157" s="214" t="s">
        <v>52</v>
      </c>
      <c r="FL157" s="214" t="s">
        <v>70</v>
      </c>
      <c r="FM157" s="214" t="s">
        <v>530</v>
      </c>
      <c r="FO157" s="321" t="s">
        <v>10623</v>
      </c>
      <c r="FP157" s="214" t="s">
        <v>52</v>
      </c>
      <c r="FQ157" s="214" t="s">
        <v>70</v>
      </c>
      <c r="FR157" s="214" t="s">
        <v>530</v>
      </c>
      <c r="FT157" s="321" t="s">
        <v>10624</v>
      </c>
      <c r="FU157" s="214" t="s">
        <v>950</v>
      </c>
      <c r="FV157" s="214" t="s">
        <v>70</v>
      </c>
      <c r="FW157" s="214" t="s">
        <v>530</v>
      </c>
      <c r="FY157" s="321" t="s">
        <v>10625</v>
      </c>
      <c r="FZ157" s="214" t="s">
        <v>34550</v>
      </c>
      <c r="GA157" s="214" t="s">
        <v>70</v>
      </c>
      <c r="GB157" s="214" t="s">
        <v>530</v>
      </c>
      <c r="GD157" s="321" t="s">
        <v>10626</v>
      </c>
      <c r="GE157" s="214" t="s">
        <v>145</v>
      </c>
      <c r="GF157" s="214" t="s">
        <v>70</v>
      </c>
      <c r="GG157" s="214" t="s">
        <v>530</v>
      </c>
      <c r="GI157" s="321" t="s">
        <v>10627</v>
      </c>
      <c r="GJ157" s="214" t="s">
        <v>34558</v>
      </c>
      <c r="GK157" s="214" t="s">
        <v>70</v>
      </c>
      <c r="GL157" s="214" t="s">
        <v>530</v>
      </c>
      <c r="GN157" s="321" t="s">
        <v>10628</v>
      </c>
      <c r="GO157" s="214" t="s">
        <v>86</v>
      </c>
      <c r="GP157" s="214" t="s">
        <v>70</v>
      </c>
      <c r="GQ157" s="214" t="s">
        <v>530</v>
      </c>
      <c r="GS157" s="321" t="s">
        <v>10629</v>
      </c>
      <c r="GT157" s="214" t="s">
        <v>531</v>
      </c>
      <c r="GU157" s="214" t="s">
        <v>70</v>
      </c>
      <c r="GV157" s="214" t="s">
        <v>530</v>
      </c>
      <c r="GX157" s="214" t="s">
        <v>10630</v>
      </c>
      <c r="GY157" s="214" t="s">
        <v>955</v>
      </c>
      <c r="GZ157" s="214" t="s">
        <v>70</v>
      </c>
      <c r="HA157" s="214" t="s">
        <v>530</v>
      </c>
      <c r="HC157" s="214" t="s">
        <v>10631</v>
      </c>
      <c r="HD157" s="214" t="s">
        <v>491</v>
      </c>
      <c r="HE157" s="214" t="s">
        <v>70</v>
      </c>
      <c r="HF157" s="214" t="s">
        <v>530</v>
      </c>
      <c r="HH157" s="214" t="s">
        <v>10632</v>
      </c>
      <c r="HI157" s="214" t="s">
        <v>34541</v>
      </c>
      <c r="HJ157" s="214" t="s">
        <v>70</v>
      </c>
      <c r="HK157" s="214" t="s">
        <v>530</v>
      </c>
      <c r="HM157" s="214" t="s">
        <v>10633</v>
      </c>
      <c r="HN157" s="214" t="s">
        <v>34405</v>
      </c>
      <c r="HO157" s="214" t="s">
        <v>70</v>
      </c>
      <c r="HP157" s="214" t="s">
        <v>530</v>
      </c>
      <c r="HR157" s="22" t="s">
        <v>10634</v>
      </c>
      <c r="HS157" s="22" t="s">
        <v>502</v>
      </c>
      <c r="HT157" s="22" t="s">
        <v>70</v>
      </c>
      <c r="HU157" s="214" t="s">
        <v>530</v>
      </c>
      <c r="HW157" s="22" t="s">
        <v>10635</v>
      </c>
      <c r="HX157" s="22" t="s">
        <v>93</v>
      </c>
      <c r="HY157" s="22" t="s">
        <v>70</v>
      </c>
      <c r="HZ157" s="214" t="s">
        <v>530</v>
      </c>
      <c r="IB157" s="22" t="s">
        <v>10636</v>
      </c>
      <c r="IC157" s="22" t="s">
        <v>34516</v>
      </c>
      <c r="ID157" s="22" t="s">
        <v>70</v>
      </c>
      <c r="IE157" s="214" t="s">
        <v>530</v>
      </c>
      <c r="IG157" s="22" t="s">
        <v>10637</v>
      </c>
      <c r="IH157" s="22" t="s">
        <v>52</v>
      </c>
      <c r="II157" s="22" t="s">
        <v>70</v>
      </c>
      <c r="IJ157" s="214" t="s">
        <v>530</v>
      </c>
      <c r="IL157" s="22" t="s">
        <v>10638</v>
      </c>
      <c r="IM157" s="22" t="s">
        <v>145</v>
      </c>
      <c r="IN157" s="22" t="s">
        <v>70</v>
      </c>
      <c r="IO157" s="214" t="s">
        <v>530</v>
      </c>
      <c r="IQ157" s="236" t="s">
        <v>10639</v>
      </c>
      <c r="IR157" s="236" t="s">
        <v>145</v>
      </c>
      <c r="IS157" s="236" t="s">
        <v>74</v>
      </c>
      <c r="IT157" s="236" t="s">
        <v>841</v>
      </c>
      <c r="IV157" s="236" t="s">
        <v>10640</v>
      </c>
      <c r="IW157" s="236" t="s">
        <v>145</v>
      </c>
      <c r="IX157" s="236" t="s">
        <v>74</v>
      </c>
      <c r="IY157" s="236" t="s">
        <v>841</v>
      </c>
      <c r="JA157" s="236" t="s">
        <v>10641</v>
      </c>
      <c r="JB157" s="236" t="s">
        <v>145</v>
      </c>
      <c r="JC157" s="236" t="s">
        <v>74</v>
      </c>
      <c r="JD157" s="236" t="s">
        <v>841</v>
      </c>
      <c r="JF157" s="236" t="s">
        <v>10642</v>
      </c>
      <c r="JG157" s="236" t="s">
        <v>145</v>
      </c>
      <c r="JH157" s="236" t="s">
        <v>74</v>
      </c>
      <c r="JI157" s="236" t="s">
        <v>841</v>
      </c>
      <c r="JK157" s="236" t="s">
        <v>10643</v>
      </c>
      <c r="JL157" s="236" t="s">
        <v>145</v>
      </c>
      <c r="JM157" s="236" t="s">
        <v>74</v>
      </c>
      <c r="JN157" s="236" t="s">
        <v>841</v>
      </c>
      <c r="JP157" s="236" t="s">
        <v>10644</v>
      </c>
      <c r="JQ157" s="236" t="s">
        <v>145</v>
      </c>
      <c r="JR157" s="236" t="s">
        <v>74</v>
      </c>
      <c r="JS157" s="236" t="s">
        <v>841</v>
      </c>
      <c r="JU157" s="294" t="s">
        <v>10645</v>
      </c>
      <c r="JV157" s="294" t="s">
        <v>52</v>
      </c>
      <c r="JW157" s="263" t="s">
        <v>70</v>
      </c>
      <c r="JX157" s="294" t="s">
        <v>1083</v>
      </c>
      <c r="JZ157" s="263" t="s">
        <v>10646</v>
      </c>
      <c r="KA157" s="263" t="s">
        <v>145</v>
      </c>
      <c r="KB157" s="263" t="s">
        <v>70</v>
      </c>
      <c r="KC157" s="263" t="s">
        <v>1083</v>
      </c>
      <c r="KE157" s="263" t="s">
        <v>10647</v>
      </c>
      <c r="KF157" s="263" t="s">
        <v>52</v>
      </c>
      <c r="KG157" s="263" t="s">
        <v>70</v>
      </c>
      <c r="KH157" s="263" t="s">
        <v>1083</v>
      </c>
      <c r="KJ157" s="263" t="s">
        <v>10648</v>
      </c>
      <c r="KK157" s="263" t="s">
        <v>52</v>
      </c>
      <c r="KL157" s="263" t="s">
        <v>74</v>
      </c>
      <c r="KM157" s="263" t="s">
        <v>34074</v>
      </c>
      <c r="KO157" s="214" t="s">
        <v>10649</v>
      </c>
      <c r="KP157" s="214" t="s">
        <v>145</v>
      </c>
      <c r="KQ157" s="214" t="s">
        <v>70</v>
      </c>
      <c r="KR157" s="214" t="s">
        <v>67</v>
      </c>
      <c r="KT157" s="22" t="s">
        <v>10650</v>
      </c>
      <c r="KU157" s="22" t="s">
        <v>145</v>
      </c>
      <c r="KV157" s="22" t="s">
        <v>70</v>
      </c>
      <c r="KW157" s="22" t="s">
        <v>67</v>
      </c>
      <c r="KY157" s="214" t="s">
        <v>10651</v>
      </c>
      <c r="KZ157" s="214" t="s">
        <v>52</v>
      </c>
      <c r="LA157" s="214" t="s">
        <v>74</v>
      </c>
      <c r="LB157" s="214" t="s">
        <v>67</v>
      </c>
      <c r="LD157" s="22" t="s">
        <v>10652</v>
      </c>
      <c r="LE157" s="22" t="s">
        <v>145</v>
      </c>
      <c r="LF157" s="22" t="s">
        <v>70</v>
      </c>
      <c r="LG157" s="22" t="s">
        <v>67</v>
      </c>
    </row>
    <row r="158" spans="1:319">
      <c r="A158" s="22" t="s">
        <v>10653</v>
      </c>
      <c r="B158" s="22" t="s">
        <v>145</v>
      </c>
      <c r="C158" s="22" t="s">
        <v>70</v>
      </c>
      <c r="D158" s="22" t="s">
        <v>67</v>
      </c>
      <c r="F158" s="23" t="s">
        <v>10654</v>
      </c>
      <c r="G158" s="23" t="str">
        <f>TVIIBE1M_CalPairs!$E155</f>
        <v>0x00</v>
      </c>
      <c r="H158" s="23" t="s">
        <v>72</v>
      </c>
      <c r="I158" s="23" t="str">
        <f>TVIIBE1M_CalPairs!$C155</f>
        <v>PASS0_SAR1_ANA_CAL_VAL0</v>
      </c>
      <c r="K158" s="22" t="s">
        <v>10655</v>
      </c>
      <c r="L158" s="22" t="s">
        <v>145</v>
      </c>
      <c r="M158" s="22" t="s">
        <v>70</v>
      </c>
      <c r="N158" s="22" t="s">
        <v>67</v>
      </c>
      <c r="P158" s="22" t="s">
        <v>10656</v>
      </c>
      <c r="Q158" s="22" t="s">
        <v>145</v>
      </c>
      <c r="R158" s="22" t="s">
        <v>70</v>
      </c>
      <c r="S158" s="22" t="s">
        <v>67</v>
      </c>
      <c r="U158" s="293" t="s">
        <v>10657</v>
      </c>
      <c r="V158" s="293" t="s">
        <v>145</v>
      </c>
      <c r="W158" s="293" t="s">
        <v>74</v>
      </c>
      <c r="X158" s="293" t="s">
        <v>656</v>
      </c>
      <c r="Z158" s="293" t="s">
        <v>10658</v>
      </c>
      <c r="AA158" s="293" t="s">
        <v>145</v>
      </c>
      <c r="AB158" s="293" t="s">
        <v>74</v>
      </c>
      <c r="AC158" s="293" t="s">
        <v>656</v>
      </c>
      <c r="AE158" s="293" t="s">
        <v>10659</v>
      </c>
      <c r="AF158" s="293" t="s">
        <v>145</v>
      </c>
      <c r="AG158" s="293" t="s">
        <v>74</v>
      </c>
      <c r="AH158" s="293" t="s">
        <v>656</v>
      </c>
      <c r="AJ158" s="293" t="s">
        <v>10660</v>
      </c>
      <c r="AK158" s="293" t="s">
        <v>145</v>
      </c>
      <c r="AL158" s="293" t="s">
        <v>74</v>
      </c>
      <c r="AM158" s="293" t="s">
        <v>656</v>
      </c>
      <c r="AO158" s="22" t="s">
        <v>10661</v>
      </c>
      <c r="AP158" s="22" t="s">
        <v>145</v>
      </c>
      <c r="AQ158" s="22" t="s">
        <v>70</v>
      </c>
      <c r="AR158" s="22" t="s">
        <v>67</v>
      </c>
      <c r="AT158" s="22" t="s">
        <v>10662</v>
      </c>
      <c r="AU158" s="22" t="s">
        <v>145</v>
      </c>
      <c r="AV158" s="22" t="s">
        <v>70</v>
      </c>
      <c r="AW158" s="22" t="s">
        <v>67</v>
      </c>
      <c r="AY158" s="22" t="s">
        <v>10663</v>
      </c>
      <c r="AZ158" s="22" t="s">
        <v>145</v>
      </c>
      <c r="BA158" s="22" t="s">
        <v>70</v>
      </c>
      <c r="BB158" s="22" t="s">
        <v>67</v>
      </c>
      <c r="BD158" s="22" t="s">
        <v>10664</v>
      </c>
      <c r="BE158" s="22" t="s">
        <v>145</v>
      </c>
      <c r="BF158" s="22" t="s">
        <v>70</v>
      </c>
      <c r="BG158" s="22" t="s">
        <v>67</v>
      </c>
      <c r="BI158" s="22" t="s">
        <v>10665</v>
      </c>
      <c r="BJ158" s="22" t="s">
        <v>145</v>
      </c>
      <c r="BK158" s="22" t="s">
        <v>70</v>
      </c>
      <c r="BL158" s="22" t="s">
        <v>67</v>
      </c>
      <c r="BN158" s="22" t="s">
        <v>10666</v>
      </c>
      <c r="BO158" s="22" t="s">
        <v>145</v>
      </c>
      <c r="BP158" s="22" t="s">
        <v>70</v>
      </c>
      <c r="BQ158" s="22" t="s">
        <v>67</v>
      </c>
      <c r="BS158" s="22" t="s">
        <v>10667</v>
      </c>
      <c r="BT158" s="22" t="s">
        <v>145</v>
      </c>
      <c r="BU158" s="22" t="s">
        <v>70</v>
      </c>
      <c r="BV158" s="214" t="s">
        <v>530</v>
      </c>
      <c r="BX158" s="22" t="s">
        <v>10668</v>
      </c>
      <c r="BY158" s="22" t="s">
        <v>145</v>
      </c>
      <c r="BZ158" s="22" t="s">
        <v>70</v>
      </c>
      <c r="CA158" s="214" t="s">
        <v>530</v>
      </c>
      <c r="CC158" s="214" t="s">
        <v>10669</v>
      </c>
      <c r="CD158" s="218" t="s">
        <v>145</v>
      </c>
      <c r="CE158" s="214" t="s">
        <v>70</v>
      </c>
      <c r="CF158" s="214" t="s">
        <v>453</v>
      </c>
      <c r="CH158" s="214" t="s">
        <v>10670</v>
      </c>
      <c r="CI158" s="214" t="s">
        <v>34590</v>
      </c>
      <c r="CJ158" s="214" t="s">
        <v>70</v>
      </c>
      <c r="CK158" s="214" t="s">
        <v>530</v>
      </c>
      <c r="CM158" s="214" t="s">
        <v>10671</v>
      </c>
      <c r="CN158" s="214" t="s">
        <v>52</v>
      </c>
      <c r="CO158" s="214" t="s">
        <v>70</v>
      </c>
      <c r="CP158" s="214" t="s">
        <v>530</v>
      </c>
      <c r="CR158" s="214" t="s">
        <v>10672</v>
      </c>
      <c r="CS158" s="214" t="s">
        <v>926</v>
      </c>
      <c r="CT158" s="214" t="s">
        <v>70</v>
      </c>
      <c r="CU158" s="214" t="s">
        <v>530</v>
      </c>
      <c r="CW158" s="214" t="s">
        <v>10673</v>
      </c>
      <c r="CX158" s="214" t="s">
        <v>468</v>
      </c>
      <c r="CY158" s="214" t="s">
        <v>70</v>
      </c>
      <c r="CZ158" s="214" t="s">
        <v>530</v>
      </c>
      <c r="DB158" s="214" t="s">
        <v>10674</v>
      </c>
      <c r="DC158" s="214" t="s">
        <v>529</v>
      </c>
      <c r="DD158" s="214" t="s">
        <v>70</v>
      </c>
      <c r="DE158" s="214" t="s">
        <v>530</v>
      </c>
      <c r="DG158" s="214" t="s">
        <v>10675</v>
      </c>
      <c r="DH158" s="214" t="s">
        <v>912</v>
      </c>
      <c r="DI158" s="214" t="s">
        <v>70</v>
      </c>
      <c r="DJ158" s="214" t="s">
        <v>530</v>
      </c>
      <c r="DL158" s="214" t="s">
        <v>10676</v>
      </c>
      <c r="DM158" s="214" t="s">
        <v>34639</v>
      </c>
      <c r="DN158" s="214" t="s">
        <v>70</v>
      </c>
      <c r="DO158" s="214" t="s">
        <v>530</v>
      </c>
      <c r="DQ158" s="214" t="s">
        <v>10677</v>
      </c>
      <c r="DR158" s="214" t="s">
        <v>88</v>
      </c>
      <c r="DS158" s="214" t="s">
        <v>70</v>
      </c>
      <c r="DT158" s="214" t="s">
        <v>530</v>
      </c>
      <c r="DV158" s="214" t="s">
        <v>10678</v>
      </c>
      <c r="DW158" s="214" t="s">
        <v>164</v>
      </c>
      <c r="DX158" s="214" t="s">
        <v>70</v>
      </c>
      <c r="DY158" s="214" t="s">
        <v>530</v>
      </c>
      <c r="EA158" s="214" t="s">
        <v>10679</v>
      </c>
      <c r="EB158" s="214" t="s">
        <v>937</v>
      </c>
      <c r="EC158" s="214" t="s">
        <v>70</v>
      </c>
      <c r="ED158" s="214" t="s">
        <v>530</v>
      </c>
      <c r="EF158" s="214" t="s">
        <v>10680</v>
      </c>
      <c r="EG158" s="214" t="s">
        <v>148</v>
      </c>
      <c r="EH158" s="214" t="s">
        <v>70</v>
      </c>
      <c r="EI158" s="214" t="s">
        <v>530</v>
      </c>
      <c r="EK158" s="214" t="s">
        <v>10681</v>
      </c>
      <c r="EL158" s="214" t="s">
        <v>149</v>
      </c>
      <c r="EM158" s="214" t="s">
        <v>70</v>
      </c>
      <c r="EN158" s="214" t="s">
        <v>530</v>
      </c>
      <c r="EP158" s="214" t="s">
        <v>10682</v>
      </c>
      <c r="EQ158" s="214" t="s">
        <v>90</v>
      </c>
      <c r="ER158" s="214" t="s">
        <v>70</v>
      </c>
      <c r="ES158" s="214" t="s">
        <v>530</v>
      </c>
      <c r="EU158" s="214" t="s">
        <v>10683</v>
      </c>
      <c r="EV158" s="214" t="s">
        <v>52</v>
      </c>
      <c r="EW158" s="214" t="s">
        <v>70</v>
      </c>
      <c r="EX158" s="214" t="s">
        <v>530</v>
      </c>
      <c r="EZ158" s="214" t="s">
        <v>10684</v>
      </c>
      <c r="FA158" s="214" t="s">
        <v>90</v>
      </c>
      <c r="FB158" s="214" t="s">
        <v>70</v>
      </c>
      <c r="FC158" s="214" t="s">
        <v>530</v>
      </c>
      <c r="FE158" s="214" t="s">
        <v>10685</v>
      </c>
      <c r="FF158" s="214" t="s">
        <v>34575</v>
      </c>
      <c r="FG158" s="214" t="s">
        <v>70</v>
      </c>
      <c r="FH158" s="214" t="s">
        <v>530</v>
      </c>
      <c r="FJ158" s="321" t="s">
        <v>10686</v>
      </c>
      <c r="FK158" s="214" t="s">
        <v>467</v>
      </c>
      <c r="FL158" s="214" t="s">
        <v>70</v>
      </c>
      <c r="FM158" s="214" t="s">
        <v>530</v>
      </c>
      <c r="FO158" s="321" t="s">
        <v>10687</v>
      </c>
      <c r="FP158" s="214" t="s">
        <v>86</v>
      </c>
      <c r="FQ158" s="214" t="s">
        <v>70</v>
      </c>
      <c r="FR158" s="214" t="s">
        <v>530</v>
      </c>
      <c r="FT158" s="321" t="s">
        <v>10688</v>
      </c>
      <c r="FU158" s="214" t="s">
        <v>929</v>
      </c>
      <c r="FV158" s="214" t="s">
        <v>70</v>
      </c>
      <c r="FW158" s="214" t="s">
        <v>530</v>
      </c>
      <c r="FY158" s="321" t="s">
        <v>10689</v>
      </c>
      <c r="FZ158" s="214" t="s">
        <v>481</v>
      </c>
      <c r="GA158" s="214" t="s">
        <v>70</v>
      </c>
      <c r="GB158" s="214" t="s">
        <v>530</v>
      </c>
      <c r="GD158" s="321" t="s">
        <v>10690</v>
      </c>
      <c r="GE158" s="214" t="s">
        <v>34587</v>
      </c>
      <c r="GF158" s="214" t="s">
        <v>70</v>
      </c>
      <c r="GG158" s="214" t="s">
        <v>530</v>
      </c>
      <c r="GI158" s="321" t="s">
        <v>10691</v>
      </c>
      <c r="GJ158" s="214" t="s">
        <v>905</v>
      </c>
      <c r="GK158" s="214" t="s">
        <v>70</v>
      </c>
      <c r="GL158" s="214" t="s">
        <v>530</v>
      </c>
      <c r="GN158" s="321" t="s">
        <v>10692</v>
      </c>
      <c r="GO158" s="214" t="s">
        <v>34556</v>
      </c>
      <c r="GP158" s="214" t="s">
        <v>70</v>
      </c>
      <c r="GQ158" s="214" t="s">
        <v>530</v>
      </c>
      <c r="GS158" s="321" t="s">
        <v>10693</v>
      </c>
      <c r="GT158" s="214" t="s">
        <v>483</v>
      </c>
      <c r="GU158" s="214" t="s">
        <v>70</v>
      </c>
      <c r="GV158" s="214" t="s">
        <v>530</v>
      </c>
      <c r="GX158" s="214" t="s">
        <v>10694</v>
      </c>
      <c r="GY158" s="214" t="s">
        <v>88</v>
      </c>
      <c r="GZ158" s="214" t="s">
        <v>70</v>
      </c>
      <c r="HA158" s="214" t="s">
        <v>530</v>
      </c>
      <c r="HC158" s="214" t="s">
        <v>10695</v>
      </c>
      <c r="HD158" s="214" t="s">
        <v>52</v>
      </c>
      <c r="HE158" s="214" t="s">
        <v>70</v>
      </c>
      <c r="HF158" s="214" t="s">
        <v>530</v>
      </c>
      <c r="HH158" s="214" t="s">
        <v>10696</v>
      </c>
      <c r="HI158" s="214" t="s">
        <v>34603</v>
      </c>
      <c r="HJ158" s="214" t="s">
        <v>70</v>
      </c>
      <c r="HK158" s="214" t="s">
        <v>530</v>
      </c>
      <c r="HM158" s="214" t="s">
        <v>10697</v>
      </c>
      <c r="HN158" s="214" t="s">
        <v>148</v>
      </c>
      <c r="HO158" s="214" t="s">
        <v>70</v>
      </c>
      <c r="HP158" s="214" t="s">
        <v>530</v>
      </c>
      <c r="HR158" s="22" t="s">
        <v>10698</v>
      </c>
      <c r="HS158" s="22" t="s">
        <v>52</v>
      </c>
      <c r="HT158" s="22" t="s">
        <v>70</v>
      </c>
      <c r="HU158" s="214" t="s">
        <v>530</v>
      </c>
      <c r="HW158" s="22" t="s">
        <v>10699</v>
      </c>
      <c r="HX158" s="22" t="s">
        <v>529</v>
      </c>
      <c r="HY158" s="22" t="s">
        <v>70</v>
      </c>
      <c r="HZ158" s="214" t="s">
        <v>530</v>
      </c>
      <c r="IB158" s="22" t="s">
        <v>10700</v>
      </c>
      <c r="IC158" s="22" t="s">
        <v>164</v>
      </c>
      <c r="ID158" s="22" t="s">
        <v>70</v>
      </c>
      <c r="IE158" s="214" t="s">
        <v>530</v>
      </c>
      <c r="IG158" s="22" t="s">
        <v>10701</v>
      </c>
      <c r="IH158" s="22" t="s">
        <v>52</v>
      </c>
      <c r="II158" s="22" t="s">
        <v>70</v>
      </c>
      <c r="IJ158" s="214" t="s">
        <v>530</v>
      </c>
      <c r="IL158" s="22" t="s">
        <v>10702</v>
      </c>
      <c r="IM158" s="22" t="s">
        <v>145</v>
      </c>
      <c r="IN158" s="22" t="s">
        <v>70</v>
      </c>
      <c r="IO158" s="214" t="s">
        <v>530</v>
      </c>
      <c r="IQ158" s="236" t="s">
        <v>10703</v>
      </c>
      <c r="IR158" s="236" t="s">
        <v>145</v>
      </c>
      <c r="IS158" s="236" t="s">
        <v>74</v>
      </c>
      <c r="IT158" s="236" t="s">
        <v>841</v>
      </c>
      <c r="IV158" s="236" t="s">
        <v>10704</v>
      </c>
      <c r="IW158" s="236" t="s">
        <v>145</v>
      </c>
      <c r="IX158" s="236" t="s">
        <v>74</v>
      </c>
      <c r="IY158" s="236" t="s">
        <v>841</v>
      </c>
      <c r="JA158" s="236" t="s">
        <v>10705</v>
      </c>
      <c r="JB158" s="236" t="s">
        <v>145</v>
      </c>
      <c r="JC158" s="236" t="s">
        <v>74</v>
      </c>
      <c r="JD158" s="236" t="s">
        <v>841</v>
      </c>
      <c r="JF158" s="236" t="s">
        <v>10706</v>
      </c>
      <c r="JG158" s="236" t="s">
        <v>145</v>
      </c>
      <c r="JH158" s="236" t="s">
        <v>74</v>
      </c>
      <c r="JI158" s="236" t="s">
        <v>841</v>
      </c>
      <c r="JK158" s="236" t="s">
        <v>10707</v>
      </c>
      <c r="JL158" s="236" t="s">
        <v>145</v>
      </c>
      <c r="JM158" s="236" t="s">
        <v>74</v>
      </c>
      <c r="JN158" s="236" t="s">
        <v>841</v>
      </c>
      <c r="JP158" s="236" t="s">
        <v>10708</v>
      </c>
      <c r="JQ158" s="236" t="s">
        <v>145</v>
      </c>
      <c r="JR158" s="236" t="s">
        <v>74</v>
      </c>
      <c r="JS158" s="236" t="s">
        <v>841</v>
      </c>
      <c r="JU158" s="294" t="s">
        <v>10709</v>
      </c>
      <c r="JV158" s="294" t="s">
        <v>52</v>
      </c>
      <c r="JW158" s="263" t="s">
        <v>70</v>
      </c>
      <c r="JX158" s="294" t="s">
        <v>1083</v>
      </c>
      <c r="JZ158" s="263" t="s">
        <v>10710</v>
      </c>
      <c r="KA158" s="263" t="s">
        <v>145</v>
      </c>
      <c r="KB158" s="263" t="s">
        <v>70</v>
      </c>
      <c r="KC158" s="263" t="s">
        <v>1083</v>
      </c>
      <c r="KE158" s="263" t="s">
        <v>10711</v>
      </c>
      <c r="KF158" s="263" t="s">
        <v>52</v>
      </c>
      <c r="KG158" s="263" t="s">
        <v>70</v>
      </c>
      <c r="KH158" s="263" t="s">
        <v>1083</v>
      </c>
      <c r="KJ158" s="263" t="s">
        <v>10712</v>
      </c>
      <c r="KK158" s="263" t="s">
        <v>52</v>
      </c>
      <c r="KL158" s="263" t="s">
        <v>74</v>
      </c>
      <c r="KM158" s="263" t="s">
        <v>34074</v>
      </c>
      <c r="KO158" s="214" t="s">
        <v>10713</v>
      </c>
      <c r="KP158" s="214" t="s">
        <v>145</v>
      </c>
      <c r="KQ158" s="214" t="s">
        <v>70</v>
      </c>
      <c r="KR158" s="214" t="s">
        <v>67</v>
      </c>
      <c r="KT158" s="22" t="s">
        <v>10714</v>
      </c>
      <c r="KU158" s="22" t="s">
        <v>145</v>
      </c>
      <c r="KV158" s="22" t="s">
        <v>70</v>
      </c>
      <c r="KW158" s="22" t="s">
        <v>67</v>
      </c>
      <c r="KY158" s="214" t="s">
        <v>10715</v>
      </c>
      <c r="KZ158" s="214" t="s">
        <v>52</v>
      </c>
      <c r="LA158" s="214" t="s">
        <v>74</v>
      </c>
      <c r="LB158" s="214" t="s">
        <v>67</v>
      </c>
      <c r="LD158" s="22" t="s">
        <v>10716</v>
      </c>
      <c r="LE158" s="22" t="s">
        <v>145</v>
      </c>
      <c r="LF158" s="22" t="s">
        <v>70</v>
      </c>
      <c r="LG158" s="22" t="s">
        <v>67</v>
      </c>
    </row>
    <row r="159" spans="1:319">
      <c r="A159" s="22" t="s">
        <v>10717</v>
      </c>
      <c r="B159" s="22" t="s">
        <v>145</v>
      </c>
      <c r="C159" s="22" t="s">
        <v>70</v>
      </c>
      <c r="D159" s="22" t="s">
        <v>67</v>
      </c>
      <c r="F159" s="23" t="s">
        <v>10718</v>
      </c>
      <c r="G159" s="23" t="str">
        <f>TVIIBE1M_CalPairs!$E156</f>
        <v>0x00</v>
      </c>
      <c r="H159" s="23" t="s">
        <v>72</v>
      </c>
      <c r="I159" s="23" t="str">
        <f>TVIIBE1M_CalPairs!$C156</f>
        <v>PASS0_SAR1_ANA_CAL_VAL1</v>
      </c>
      <c r="K159" s="22" t="s">
        <v>10719</v>
      </c>
      <c r="L159" s="22" t="s">
        <v>145</v>
      </c>
      <c r="M159" s="22" t="s">
        <v>70</v>
      </c>
      <c r="N159" s="22" t="s">
        <v>67</v>
      </c>
      <c r="P159" s="22" t="s">
        <v>10720</v>
      </c>
      <c r="Q159" s="22" t="s">
        <v>145</v>
      </c>
      <c r="R159" s="22" t="s">
        <v>70</v>
      </c>
      <c r="S159" s="22" t="s">
        <v>67</v>
      </c>
      <c r="U159" s="293" t="s">
        <v>10721</v>
      </c>
      <c r="V159" s="293" t="s">
        <v>145</v>
      </c>
      <c r="W159" s="293" t="s">
        <v>74</v>
      </c>
      <c r="X159" s="293" t="s">
        <v>656</v>
      </c>
      <c r="Z159" s="293" t="s">
        <v>10722</v>
      </c>
      <c r="AA159" s="293" t="s">
        <v>145</v>
      </c>
      <c r="AB159" s="293" t="s">
        <v>74</v>
      </c>
      <c r="AC159" s="293" t="s">
        <v>656</v>
      </c>
      <c r="AE159" s="293" t="s">
        <v>10723</v>
      </c>
      <c r="AF159" s="293" t="s">
        <v>145</v>
      </c>
      <c r="AG159" s="293" t="s">
        <v>74</v>
      </c>
      <c r="AH159" s="293" t="s">
        <v>656</v>
      </c>
      <c r="AJ159" s="293" t="s">
        <v>10724</v>
      </c>
      <c r="AK159" s="293" t="s">
        <v>145</v>
      </c>
      <c r="AL159" s="293" t="s">
        <v>74</v>
      </c>
      <c r="AM159" s="293" t="s">
        <v>656</v>
      </c>
      <c r="AO159" s="22" t="s">
        <v>10725</v>
      </c>
      <c r="AP159" s="22" t="s">
        <v>145</v>
      </c>
      <c r="AQ159" s="22" t="s">
        <v>70</v>
      </c>
      <c r="AR159" s="22" t="s">
        <v>67</v>
      </c>
      <c r="AT159" s="22" t="s">
        <v>10726</v>
      </c>
      <c r="AU159" s="22" t="s">
        <v>145</v>
      </c>
      <c r="AV159" s="22" t="s">
        <v>70</v>
      </c>
      <c r="AW159" s="22" t="s">
        <v>67</v>
      </c>
      <c r="AY159" s="22" t="s">
        <v>10727</v>
      </c>
      <c r="AZ159" s="22" t="s">
        <v>145</v>
      </c>
      <c r="BA159" s="22" t="s">
        <v>70</v>
      </c>
      <c r="BB159" s="22" t="s">
        <v>67</v>
      </c>
      <c r="BD159" s="22" t="s">
        <v>10728</v>
      </c>
      <c r="BE159" s="22" t="s">
        <v>145</v>
      </c>
      <c r="BF159" s="22" t="s">
        <v>70</v>
      </c>
      <c r="BG159" s="22" t="s">
        <v>67</v>
      </c>
      <c r="BI159" s="22" t="s">
        <v>10729</v>
      </c>
      <c r="BJ159" s="22" t="s">
        <v>145</v>
      </c>
      <c r="BK159" s="22" t="s">
        <v>70</v>
      </c>
      <c r="BL159" s="22" t="s">
        <v>67</v>
      </c>
      <c r="BN159" s="22" t="s">
        <v>10730</v>
      </c>
      <c r="BO159" s="22" t="s">
        <v>145</v>
      </c>
      <c r="BP159" s="22" t="s">
        <v>70</v>
      </c>
      <c r="BQ159" s="22" t="s">
        <v>67</v>
      </c>
      <c r="BS159" s="22" t="s">
        <v>10731</v>
      </c>
      <c r="BT159" s="22" t="s">
        <v>145</v>
      </c>
      <c r="BU159" s="22" t="s">
        <v>70</v>
      </c>
      <c r="BV159" s="214" t="s">
        <v>530</v>
      </c>
      <c r="BX159" s="22" t="s">
        <v>10732</v>
      </c>
      <c r="BY159" s="22" t="s">
        <v>145</v>
      </c>
      <c r="BZ159" s="22" t="s">
        <v>70</v>
      </c>
      <c r="CA159" s="214" t="s">
        <v>530</v>
      </c>
      <c r="CC159" s="214" t="s">
        <v>10733</v>
      </c>
      <c r="CD159" s="218" t="s">
        <v>145</v>
      </c>
      <c r="CE159" s="214" t="s">
        <v>70</v>
      </c>
      <c r="CF159" s="214" t="s">
        <v>454</v>
      </c>
      <c r="CH159" s="214" t="s">
        <v>10734</v>
      </c>
      <c r="CI159" s="214" t="s">
        <v>86</v>
      </c>
      <c r="CJ159" s="214" t="s">
        <v>70</v>
      </c>
      <c r="CK159" s="214" t="s">
        <v>530</v>
      </c>
      <c r="CM159" s="214" t="s">
        <v>10735</v>
      </c>
      <c r="CN159" s="214" t="s">
        <v>203</v>
      </c>
      <c r="CO159" s="214" t="s">
        <v>70</v>
      </c>
      <c r="CP159" s="214" t="s">
        <v>530</v>
      </c>
      <c r="CR159" s="214" t="s">
        <v>10736</v>
      </c>
      <c r="CS159" s="214" t="s">
        <v>488</v>
      </c>
      <c r="CT159" s="214" t="s">
        <v>70</v>
      </c>
      <c r="CU159" s="214" t="s">
        <v>530</v>
      </c>
      <c r="CW159" s="214" t="s">
        <v>10737</v>
      </c>
      <c r="CX159" s="214" t="s">
        <v>484</v>
      </c>
      <c r="CY159" s="214" t="s">
        <v>70</v>
      </c>
      <c r="CZ159" s="214" t="s">
        <v>530</v>
      </c>
      <c r="DB159" s="214" t="s">
        <v>10738</v>
      </c>
      <c r="DC159" s="214" t="s">
        <v>163</v>
      </c>
      <c r="DD159" s="214" t="s">
        <v>70</v>
      </c>
      <c r="DE159" s="214" t="s">
        <v>530</v>
      </c>
      <c r="DG159" s="214" t="s">
        <v>10739</v>
      </c>
      <c r="DH159" s="214" t="s">
        <v>488</v>
      </c>
      <c r="DI159" s="214" t="s">
        <v>70</v>
      </c>
      <c r="DJ159" s="214" t="s">
        <v>530</v>
      </c>
      <c r="DL159" s="214" t="s">
        <v>10740</v>
      </c>
      <c r="DM159" s="214" t="s">
        <v>501</v>
      </c>
      <c r="DN159" s="214" t="s">
        <v>70</v>
      </c>
      <c r="DO159" s="214" t="s">
        <v>530</v>
      </c>
      <c r="DQ159" s="214" t="s">
        <v>10741</v>
      </c>
      <c r="DR159" s="214" t="s">
        <v>486</v>
      </c>
      <c r="DS159" s="214" t="s">
        <v>70</v>
      </c>
      <c r="DT159" s="214" t="s">
        <v>530</v>
      </c>
      <c r="DV159" s="214" t="s">
        <v>10742</v>
      </c>
      <c r="DW159" s="214" t="s">
        <v>146</v>
      </c>
      <c r="DX159" s="214" t="s">
        <v>70</v>
      </c>
      <c r="DY159" s="214" t="s">
        <v>530</v>
      </c>
      <c r="EA159" s="214" t="s">
        <v>10743</v>
      </c>
      <c r="EB159" s="214" t="s">
        <v>492</v>
      </c>
      <c r="EC159" s="214" t="s">
        <v>70</v>
      </c>
      <c r="ED159" s="214" t="s">
        <v>530</v>
      </c>
      <c r="EF159" s="214" t="s">
        <v>10744</v>
      </c>
      <c r="EG159" s="214" t="s">
        <v>146</v>
      </c>
      <c r="EH159" s="214" t="s">
        <v>70</v>
      </c>
      <c r="EI159" s="214" t="s">
        <v>530</v>
      </c>
      <c r="EK159" s="214" t="s">
        <v>10745</v>
      </c>
      <c r="EL159" s="214" t="s">
        <v>34544</v>
      </c>
      <c r="EM159" s="214" t="s">
        <v>70</v>
      </c>
      <c r="EN159" s="214" t="s">
        <v>530</v>
      </c>
      <c r="EP159" s="214" t="s">
        <v>10746</v>
      </c>
      <c r="EQ159" s="214" t="s">
        <v>103</v>
      </c>
      <c r="ER159" s="214" t="s">
        <v>70</v>
      </c>
      <c r="ES159" s="214" t="s">
        <v>530</v>
      </c>
      <c r="EU159" s="214" t="s">
        <v>10747</v>
      </c>
      <c r="EV159" s="214" t="s">
        <v>52</v>
      </c>
      <c r="EW159" s="214" t="s">
        <v>70</v>
      </c>
      <c r="EX159" s="214" t="s">
        <v>530</v>
      </c>
      <c r="EZ159" s="214" t="s">
        <v>10748</v>
      </c>
      <c r="FA159" s="214" t="s">
        <v>34516</v>
      </c>
      <c r="FB159" s="214" t="s">
        <v>70</v>
      </c>
      <c r="FC159" s="214" t="s">
        <v>530</v>
      </c>
      <c r="FE159" s="214" t="s">
        <v>10749</v>
      </c>
      <c r="FF159" s="214" t="s">
        <v>502</v>
      </c>
      <c r="FG159" s="214" t="s">
        <v>70</v>
      </c>
      <c r="FH159" s="214" t="s">
        <v>530</v>
      </c>
      <c r="FJ159" s="321" t="s">
        <v>10750</v>
      </c>
      <c r="FK159" s="214" t="s">
        <v>52</v>
      </c>
      <c r="FL159" s="214" t="s">
        <v>70</v>
      </c>
      <c r="FM159" s="214" t="s">
        <v>530</v>
      </c>
      <c r="FO159" s="321" t="s">
        <v>10751</v>
      </c>
      <c r="FP159" s="214" t="s">
        <v>146</v>
      </c>
      <c r="FQ159" s="214" t="s">
        <v>70</v>
      </c>
      <c r="FR159" s="214" t="s">
        <v>530</v>
      </c>
      <c r="FT159" s="321" t="s">
        <v>10752</v>
      </c>
      <c r="FU159" s="214" t="s">
        <v>491</v>
      </c>
      <c r="FV159" s="214" t="s">
        <v>70</v>
      </c>
      <c r="FW159" s="214" t="s">
        <v>530</v>
      </c>
      <c r="FY159" s="321" t="s">
        <v>10753</v>
      </c>
      <c r="FZ159" s="214" t="s">
        <v>487</v>
      </c>
      <c r="GA159" s="214" t="s">
        <v>70</v>
      </c>
      <c r="GB159" s="214" t="s">
        <v>530</v>
      </c>
      <c r="GD159" s="321" t="s">
        <v>10754</v>
      </c>
      <c r="GE159" s="214" t="s">
        <v>34558</v>
      </c>
      <c r="GF159" s="214" t="s">
        <v>70</v>
      </c>
      <c r="GG159" s="214" t="s">
        <v>530</v>
      </c>
      <c r="GI159" s="321" t="s">
        <v>10755</v>
      </c>
      <c r="GJ159" s="214" t="s">
        <v>488</v>
      </c>
      <c r="GK159" s="214" t="s">
        <v>70</v>
      </c>
      <c r="GL159" s="214" t="s">
        <v>530</v>
      </c>
      <c r="GN159" s="321" t="s">
        <v>10756</v>
      </c>
      <c r="GO159" s="214" t="s">
        <v>34541</v>
      </c>
      <c r="GP159" s="214" t="s">
        <v>70</v>
      </c>
      <c r="GQ159" s="214" t="s">
        <v>530</v>
      </c>
      <c r="GS159" s="321" t="s">
        <v>10757</v>
      </c>
      <c r="GT159" s="214" t="s">
        <v>599</v>
      </c>
      <c r="GU159" s="214" t="s">
        <v>70</v>
      </c>
      <c r="GV159" s="214" t="s">
        <v>530</v>
      </c>
      <c r="GX159" s="214" t="s">
        <v>10758</v>
      </c>
      <c r="GY159" s="214" t="s">
        <v>485</v>
      </c>
      <c r="GZ159" s="214" t="s">
        <v>70</v>
      </c>
      <c r="HA159" s="214" t="s">
        <v>530</v>
      </c>
      <c r="HC159" s="214" t="s">
        <v>10759</v>
      </c>
      <c r="HD159" s="214" t="s">
        <v>484</v>
      </c>
      <c r="HE159" s="214" t="s">
        <v>70</v>
      </c>
      <c r="HF159" s="214" t="s">
        <v>530</v>
      </c>
      <c r="HH159" s="214" t="s">
        <v>10760</v>
      </c>
      <c r="HI159" s="214" t="s">
        <v>145</v>
      </c>
      <c r="HJ159" s="214" t="s">
        <v>70</v>
      </c>
      <c r="HK159" s="214" t="s">
        <v>530</v>
      </c>
      <c r="HM159" s="214" t="s">
        <v>10761</v>
      </c>
      <c r="HN159" s="214" t="s">
        <v>603</v>
      </c>
      <c r="HO159" s="214" t="s">
        <v>70</v>
      </c>
      <c r="HP159" s="214" t="s">
        <v>530</v>
      </c>
      <c r="HR159" s="22" t="s">
        <v>10762</v>
      </c>
      <c r="HS159" s="22" t="s">
        <v>485</v>
      </c>
      <c r="HT159" s="22" t="s">
        <v>70</v>
      </c>
      <c r="HU159" s="214" t="s">
        <v>530</v>
      </c>
      <c r="HW159" s="22" t="s">
        <v>10763</v>
      </c>
      <c r="HX159" s="22" t="s">
        <v>484</v>
      </c>
      <c r="HY159" s="22" t="s">
        <v>70</v>
      </c>
      <c r="HZ159" s="214" t="s">
        <v>530</v>
      </c>
      <c r="IB159" s="22" t="s">
        <v>10764</v>
      </c>
      <c r="IC159" s="22" t="s">
        <v>921</v>
      </c>
      <c r="ID159" s="22" t="s">
        <v>70</v>
      </c>
      <c r="IE159" s="214" t="s">
        <v>530</v>
      </c>
      <c r="IG159" s="22" t="s">
        <v>10765</v>
      </c>
      <c r="IH159" s="22" t="s">
        <v>52</v>
      </c>
      <c r="II159" s="22" t="s">
        <v>70</v>
      </c>
      <c r="IJ159" s="214" t="s">
        <v>530</v>
      </c>
      <c r="IL159" s="22" t="s">
        <v>10766</v>
      </c>
      <c r="IM159" s="22" t="s">
        <v>145</v>
      </c>
      <c r="IN159" s="22" t="s">
        <v>70</v>
      </c>
      <c r="IO159" s="214" t="s">
        <v>530</v>
      </c>
      <c r="IQ159" s="236" t="s">
        <v>10767</v>
      </c>
      <c r="IR159" s="236" t="s">
        <v>145</v>
      </c>
      <c r="IS159" s="236" t="s">
        <v>74</v>
      </c>
      <c r="IT159" s="236" t="s">
        <v>841</v>
      </c>
      <c r="IV159" s="236" t="s">
        <v>10768</v>
      </c>
      <c r="IW159" s="236" t="s">
        <v>145</v>
      </c>
      <c r="IX159" s="236" t="s">
        <v>74</v>
      </c>
      <c r="IY159" s="236" t="s">
        <v>841</v>
      </c>
      <c r="JA159" s="236" t="s">
        <v>10769</v>
      </c>
      <c r="JB159" s="236" t="s">
        <v>145</v>
      </c>
      <c r="JC159" s="236" t="s">
        <v>74</v>
      </c>
      <c r="JD159" s="236" t="s">
        <v>841</v>
      </c>
      <c r="JF159" s="236" t="s">
        <v>10770</v>
      </c>
      <c r="JG159" s="236" t="s">
        <v>145</v>
      </c>
      <c r="JH159" s="236" t="s">
        <v>74</v>
      </c>
      <c r="JI159" s="236" t="s">
        <v>841</v>
      </c>
      <c r="JK159" s="236" t="s">
        <v>10771</v>
      </c>
      <c r="JL159" s="236" t="s">
        <v>145</v>
      </c>
      <c r="JM159" s="236" t="s">
        <v>74</v>
      </c>
      <c r="JN159" s="236" t="s">
        <v>841</v>
      </c>
      <c r="JP159" s="236" t="s">
        <v>10772</v>
      </c>
      <c r="JQ159" s="236" t="s">
        <v>145</v>
      </c>
      <c r="JR159" s="236" t="s">
        <v>74</v>
      </c>
      <c r="JS159" s="236" t="s">
        <v>841</v>
      </c>
      <c r="JU159" s="294" t="s">
        <v>10773</v>
      </c>
      <c r="JV159" s="294" t="s">
        <v>52</v>
      </c>
      <c r="JW159" s="263" t="s">
        <v>70</v>
      </c>
      <c r="JX159" s="294" t="s">
        <v>1083</v>
      </c>
      <c r="JZ159" s="263" t="s">
        <v>10774</v>
      </c>
      <c r="KA159" s="263" t="s">
        <v>145</v>
      </c>
      <c r="KB159" s="263" t="s">
        <v>70</v>
      </c>
      <c r="KC159" s="263" t="s">
        <v>1083</v>
      </c>
      <c r="KE159" s="263" t="s">
        <v>10775</v>
      </c>
      <c r="KF159" s="263" t="s">
        <v>52</v>
      </c>
      <c r="KG159" s="263" t="s">
        <v>70</v>
      </c>
      <c r="KH159" s="263" t="s">
        <v>1083</v>
      </c>
      <c r="KJ159" s="263" t="s">
        <v>10776</v>
      </c>
      <c r="KK159" s="263" t="s">
        <v>52</v>
      </c>
      <c r="KL159" s="263" t="s">
        <v>74</v>
      </c>
      <c r="KM159" s="263" t="s">
        <v>34074</v>
      </c>
      <c r="KO159" s="214" t="s">
        <v>10777</v>
      </c>
      <c r="KP159" s="214" t="s">
        <v>145</v>
      </c>
      <c r="KQ159" s="214" t="s">
        <v>70</v>
      </c>
      <c r="KR159" s="214" t="s">
        <v>67</v>
      </c>
      <c r="KT159" s="22" t="s">
        <v>10778</v>
      </c>
      <c r="KU159" s="22" t="s">
        <v>145</v>
      </c>
      <c r="KV159" s="22" t="s">
        <v>70</v>
      </c>
      <c r="KW159" s="22" t="s">
        <v>67</v>
      </c>
      <c r="KY159" s="214" t="s">
        <v>10779</v>
      </c>
      <c r="KZ159" s="214" t="s">
        <v>52</v>
      </c>
      <c r="LA159" s="214" t="s">
        <v>74</v>
      </c>
      <c r="LB159" s="214" t="s">
        <v>67</v>
      </c>
      <c r="LD159" s="22" t="s">
        <v>10780</v>
      </c>
      <c r="LE159" s="22" t="s">
        <v>145</v>
      </c>
      <c r="LF159" s="22" t="s">
        <v>70</v>
      </c>
      <c r="LG159" s="22" t="s">
        <v>67</v>
      </c>
    </row>
    <row r="160" spans="1:319">
      <c r="A160" s="22" t="s">
        <v>10781</v>
      </c>
      <c r="B160" s="22" t="s">
        <v>145</v>
      </c>
      <c r="C160" s="22" t="s">
        <v>70</v>
      </c>
      <c r="D160" s="22" t="s">
        <v>67</v>
      </c>
      <c r="F160" s="23" t="s">
        <v>10782</v>
      </c>
      <c r="G160" s="23" t="str">
        <f>TVIIBE1M_CalPairs!$E157</f>
        <v>0x00</v>
      </c>
      <c r="H160" s="23" t="s">
        <v>72</v>
      </c>
      <c r="I160" s="23" t="str">
        <f>TVIIBE1M_CalPairs!$C157</f>
        <v>PASS0_SAR1_ANA_CAL_VAL2</v>
      </c>
      <c r="K160" s="22" t="s">
        <v>10783</v>
      </c>
      <c r="L160" s="22" t="s">
        <v>145</v>
      </c>
      <c r="M160" s="22" t="s">
        <v>70</v>
      </c>
      <c r="N160" s="22" t="s">
        <v>67</v>
      </c>
      <c r="P160" s="22" t="s">
        <v>10784</v>
      </c>
      <c r="Q160" s="22" t="s">
        <v>145</v>
      </c>
      <c r="R160" s="22" t="s">
        <v>70</v>
      </c>
      <c r="S160" s="22" t="s">
        <v>67</v>
      </c>
      <c r="U160" s="293" t="s">
        <v>10785</v>
      </c>
      <c r="V160" s="293" t="s">
        <v>145</v>
      </c>
      <c r="W160" s="293" t="s">
        <v>74</v>
      </c>
      <c r="X160" s="293" t="s">
        <v>656</v>
      </c>
      <c r="Z160" s="293" t="s">
        <v>10786</v>
      </c>
      <c r="AA160" s="293" t="s">
        <v>145</v>
      </c>
      <c r="AB160" s="293" t="s">
        <v>74</v>
      </c>
      <c r="AC160" s="293" t="s">
        <v>656</v>
      </c>
      <c r="AE160" s="293" t="s">
        <v>10787</v>
      </c>
      <c r="AF160" s="293" t="s">
        <v>145</v>
      </c>
      <c r="AG160" s="293" t="s">
        <v>74</v>
      </c>
      <c r="AH160" s="293" t="s">
        <v>656</v>
      </c>
      <c r="AJ160" s="293" t="s">
        <v>10788</v>
      </c>
      <c r="AK160" s="293" t="s">
        <v>145</v>
      </c>
      <c r="AL160" s="293" t="s">
        <v>74</v>
      </c>
      <c r="AM160" s="293" t="s">
        <v>656</v>
      </c>
      <c r="AO160" s="22" t="s">
        <v>10789</v>
      </c>
      <c r="AP160" s="22" t="s">
        <v>145</v>
      </c>
      <c r="AQ160" s="22" t="s">
        <v>70</v>
      </c>
      <c r="AR160" s="22" t="s">
        <v>67</v>
      </c>
      <c r="AT160" s="22" t="s">
        <v>10790</v>
      </c>
      <c r="AU160" s="22" t="s">
        <v>145</v>
      </c>
      <c r="AV160" s="22" t="s">
        <v>70</v>
      </c>
      <c r="AW160" s="22" t="s">
        <v>67</v>
      </c>
      <c r="AY160" s="22" t="s">
        <v>10791</v>
      </c>
      <c r="AZ160" s="22" t="s">
        <v>145</v>
      </c>
      <c r="BA160" s="22" t="s">
        <v>70</v>
      </c>
      <c r="BB160" s="22" t="s">
        <v>67</v>
      </c>
      <c r="BD160" s="22" t="s">
        <v>10792</v>
      </c>
      <c r="BE160" s="22" t="s">
        <v>145</v>
      </c>
      <c r="BF160" s="22" t="s">
        <v>70</v>
      </c>
      <c r="BG160" s="22" t="s">
        <v>67</v>
      </c>
      <c r="BI160" s="22" t="s">
        <v>10793</v>
      </c>
      <c r="BJ160" s="22" t="s">
        <v>145</v>
      </c>
      <c r="BK160" s="22" t="s">
        <v>70</v>
      </c>
      <c r="BL160" s="22" t="s">
        <v>67</v>
      </c>
      <c r="BN160" s="22" t="s">
        <v>10794</v>
      </c>
      <c r="BO160" s="22" t="s">
        <v>145</v>
      </c>
      <c r="BP160" s="22" t="s">
        <v>70</v>
      </c>
      <c r="BQ160" s="22" t="s">
        <v>67</v>
      </c>
      <c r="BS160" s="22" t="s">
        <v>10795</v>
      </c>
      <c r="BT160" s="22" t="s">
        <v>145</v>
      </c>
      <c r="BU160" s="22" t="s">
        <v>70</v>
      </c>
      <c r="BV160" s="214" t="s">
        <v>530</v>
      </c>
      <c r="BX160" s="22" t="s">
        <v>10796</v>
      </c>
      <c r="BY160" s="22" t="s">
        <v>145</v>
      </c>
      <c r="BZ160" s="22" t="s">
        <v>70</v>
      </c>
      <c r="CA160" s="214" t="s">
        <v>530</v>
      </c>
      <c r="CC160" s="214" t="s">
        <v>10797</v>
      </c>
      <c r="CD160" s="218" t="s">
        <v>145</v>
      </c>
      <c r="CE160" s="214" t="s">
        <v>70</v>
      </c>
      <c r="CF160" s="214" t="s">
        <v>455</v>
      </c>
      <c r="CH160" s="214" t="s">
        <v>10798</v>
      </c>
      <c r="CI160" s="214" t="s">
        <v>90</v>
      </c>
      <c r="CJ160" s="214" t="s">
        <v>70</v>
      </c>
      <c r="CK160" s="214" t="s">
        <v>530</v>
      </c>
      <c r="CM160" s="214" t="s">
        <v>10799</v>
      </c>
      <c r="CN160" s="214" t="s">
        <v>34541</v>
      </c>
      <c r="CO160" s="214" t="s">
        <v>70</v>
      </c>
      <c r="CP160" s="214" t="s">
        <v>530</v>
      </c>
      <c r="CR160" s="214" t="s">
        <v>10800</v>
      </c>
      <c r="CS160" s="214" t="s">
        <v>103</v>
      </c>
      <c r="CT160" s="214" t="s">
        <v>70</v>
      </c>
      <c r="CU160" s="214" t="s">
        <v>530</v>
      </c>
      <c r="CW160" s="214" t="s">
        <v>10801</v>
      </c>
      <c r="CX160" s="214" t="s">
        <v>485</v>
      </c>
      <c r="CY160" s="214" t="s">
        <v>70</v>
      </c>
      <c r="CZ160" s="214" t="s">
        <v>530</v>
      </c>
      <c r="DB160" s="214" t="s">
        <v>10802</v>
      </c>
      <c r="DC160" s="214" t="s">
        <v>148</v>
      </c>
      <c r="DD160" s="214" t="s">
        <v>70</v>
      </c>
      <c r="DE160" s="214" t="s">
        <v>530</v>
      </c>
      <c r="DG160" s="214" t="s">
        <v>10803</v>
      </c>
      <c r="DH160" s="214" t="s">
        <v>502</v>
      </c>
      <c r="DI160" s="214" t="s">
        <v>70</v>
      </c>
      <c r="DJ160" s="214" t="s">
        <v>530</v>
      </c>
      <c r="DL160" s="214" t="s">
        <v>10804</v>
      </c>
      <c r="DM160" s="214" t="s">
        <v>34541</v>
      </c>
      <c r="DN160" s="214" t="s">
        <v>70</v>
      </c>
      <c r="DO160" s="214" t="s">
        <v>530</v>
      </c>
      <c r="DQ160" s="214" t="s">
        <v>10805</v>
      </c>
      <c r="DR160" s="214" t="s">
        <v>89</v>
      </c>
      <c r="DS160" s="214" t="s">
        <v>70</v>
      </c>
      <c r="DT160" s="214" t="s">
        <v>530</v>
      </c>
      <c r="DV160" s="214" t="s">
        <v>10806</v>
      </c>
      <c r="DW160" s="214" t="s">
        <v>34558</v>
      </c>
      <c r="DX160" s="214" t="s">
        <v>70</v>
      </c>
      <c r="DY160" s="214" t="s">
        <v>530</v>
      </c>
      <c r="EA160" s="214" t="s">
        <v>10807</v>
      </c>
      <c r="EB160" s="214" t="s">
        <v>34537</v>
      </c>
      <c r="EC160" s="214" t="s">
        <v>70</v>
      </c>
      <c r="ED160" s="214" t="s">
        <v>530</v>
      </c>
      <c r="EF160" s="214" t="s">
        <v>10808</v>
      </c>
      <c r="EG160" s="214" t="s">
        <v>90</v>
      </c>
      <c r="EH160" s="214" t="s">
        <v>70</v>
      </c>
      <c r="EI160" s="214" t="s">
        <v>530</v>
      </c>
      <c r="EK160" s="214" t="s">
        <v>10809</v>
      </c>
      <c r="EL160" s="214" t="s">
        <v>148</v>
      </c>
      <c r="EM160" s="214" t="s">
        <v>70</v>
      </c>
      <c r="EN160" s="214" t="s">
        <v>530</v>
      </c>
      <c r="EP160" s="214" t="s">
        <v>10810</v>
      </c>
      <c r="EQ160" s="214" t="s">
        <v>164</v>
      </c>
      <c r="ER160" s="214" t="s">
        <v>70</v>
      </c>
      <c r="ES160" s="214" t="s">
        <v>530</v>
      </c>
      <c r="EU160" s="214" t="s">
        <v>10811</v>
      </c>
      <c r="EV160" s="214" t="s">
        <v>89</v>
      </c>
      <c r="EW160" s="214" t="s">
        <v>70</v>
      </c>
      <c r="EX160" s="214" t="s">
        <v>530</v>
      </c>
      <c r="EZ160" s="214" t="s">
        <v>10812</v>
      </c>
      <c r="FA160" s="214" t="s">
        <v>164</v>
      </c>
      <c r="FB160" s="214" t="s">
        <v>70</v>
      </c>
      <c r="FC160" s="214" t="s">
        <v>530</v>
      </c>
      <c r="FE160" s="214" t="s">
        <v>10813</v>
      </c>
      <c r="FF160" s="214" t="s">
        <v>492</v>
      </c>
      <c r="FG160" s="214" t="s">
        <v>70</v>
      </c>
      <c r="FH160" s="214" t="s">
        <v>530</v>
      </c>
      <c r="FJ160" s="321" t="s">
        <v>10814</v>
      </c>
      <c r="FK160" s="214" t="s">
        <v>598</v>
      </c>
      <c r="FL160" s="214" t="s">
        <v>70</v>
      </c>
      <c r="FM160" s="214" t="s">
        <v>530</v>
      </c>
      <c r="FO160" s="321" t="s">
        <v>10815</v>
      </c>
      <c r="FP160" s="214" t="s">
        <v>164</v>
      </c>
      <c r="FQ160" s="214" t="s">
        <v>70</v>
      </c>
      <c r="FR160" s="214" t="s">
        <v>530</v>
      </c>
      <c r="FT160" s="321" t="s">
        <v>10816</v>
      </c>
      <c r="FU160" s="214" t="s">
        <v>149</v>
      </c>
      <c r="FV160" s="214" t="s">
        <v>70</v>
      </c>
      <c r="FW160" s="214" t="s">
        <v>530</v>
      </c>
      <c r="FY160" s="321" t="s">
        <v>10817</v>
      </c>
      <c r="FZ160" s="214" t="s">
        <v>52</v>
      </c>
      <c r="GA160" s="214" t="s">
        <v>70</v>
      </c>
      <c r="GB160" s="214" t="s">
        <v>530</v>
      </c>
      <c r="GD160" s="321" t="s">
        <v>10818</v>
      </c>
      <c r="GE160" s="214" t="s">
        <v>87</v>
      </c>
      <c r="GF160" s="214" t="s">
        <v>70</v>
      </c>
      <c r="GG160" s="214" t="s">
        <v>530</v>
      </c>
      <c r="GI160" s="321" t="s">
        <v>10819</v>
      </c>
      <c r="GJ160" s="214" t="s">
        <v>149</v>
      </c>
      <c r="GK160" s="214" t="s">
        <v>70</v>
      </c>
      <c r="GL160" s="214" t="s">
        <v>530</v>
      </c>
      <c r="GN160" s="321" t="s">
        <v>10820</v>
      </c>
      <c r="GO160" s="214" t="s">
        <v>165</v>
      </c>
      <c r="GP160" s="214" t="s">
        <v>70</v>
      </c>
      <c r="GQ160" s="214" t="s">
        <v>530</v>
      </c>
      <c r="GS160" s="321" t="s">
        <v>10821</v>
      </c>
      <c r="GT160" s="214" t="s">
        <v>148</v>
      </c>
      <c r="GU160" s="214" t="s">
        <v>70</v>
      </c>
      <c r="GV160" s="214" t="s">
        <v>530</v>
      </c>
      <c r="GX160" s="214" t="s">
        <v>10822</v>
      </c>
      <c r="GY160" s="214" t="s">
        <v>148</v>
      </c>
      <c r="GZ160" s="214" t="s">
        <v>70</v>
      </c>
      <c r="HA160" s="214" t="s">
        <v>530</v>
      </c>
      <c r="HC160" s="214" t="s">
        <v>10823</v>
      </c>
      <c r="HD160" s="214" t="s">
        <v>211</v>
      </c>
      <c r="HE160" s="214" t="s">
        <v>70</v>
      </c>
      <c r="HF160" s="214" t="s">
        <v>530</v>
      </c>
      <c r="HH160" s="214" t="s">
        <v>10824</v>
      </c>
      <c r="HI160" s="214" t="s">
        <v>90</v>
      </c>
      <c r="HJ160" s="214" t="s">
        <v>70</v>
      </c>
      <c r="HK160" s="214" t="s">
        <v>530</v>
      </c>
      <c r="HM160" s="214" t="s">
        <v>10825</v>
      </c>
      <c r="HN160" s="214" t="s">
        <v>938</v>
      </c>
      <c r="HO160" s="214" t="s">
        <v>70</v>
      </c>
      <c r="HP160" s="214" t="s">
        <v>530</v>
      </c>
      <c r="HR160" s="22" t="s">
        <v>10826</v>
      </c>
      <c r="HS160" s="22" t="s">
        <v>148</v>
      </c>
      <c r="HT160" s="22" t="s">
        <v>70</v>
      </c>
      <c r="HU160" s="214" t="s">
        <v>530</v>
      </c>
      <c r="HW160" s="22" t="s">
        <v>10827</v>
      </c>
      <c r="HX160" s="22" t="s">
        <v>34577</v>
      </c>
      <c r="HY160" s="22" t="s">
        <v>70</v>
      </c>
      <c r="HZ160" s="214" t="s">
        <v>530</v>
      </c>
      <c r="IB160" s="22" t="s">
        <v>10828</v>
      </c>
      <c r="IC160" s="22" t="s">
        <v>492</v>
      </c>
      <c r="ID160" s="22" t="s">
        <v>70</v>
      </c>
      <c r="IE160" s="214" t="s">
        <v>530</v>
      </c>
      <c r="IG160" s="22" t="s">
        <v>10829</v>
      </c>
      <c r="IH160" s="22" t="s">
        <v>52</v>
      </c>
      <c r="II160" s="22" t="s">
        <v>70</v>
      </c>
      <c r="IJ160" s="214" t="s">
        <v>530</v>
      </c>
      <c r="IL160" s="22" t="s">
        <v>10830</v>
      </c>
      <c r="IM160" s="22" t="s">
        <v>145</v>
      </c>
      <c r="IN160" s="22" t="s">
        <v>70</v>
      </c>
      <c r="IO160" s="214" t="s">
        <v>530</v>
      </c>
      <c r="IQ160" s="236" t="s">
        <v>10831</v>
      </c>
      <c r="IR160" s="236" t="s">
        <v>145</v>
      </c>
      <c r="IS160" s="236" t="s">
        <v>74</v>
      </c>
      <c r="IT160" s="236" t="s">
        <v>841</v>
      </c>
      <c r="IV160" s="236" t="s">
        <v>10832</v>
      </c>
      <c r="IW160" s="236" t="s">
        <v>145</v>
      </c>
      <c r="IX160" s="236" t="s">
        <v>74</v>
      </c>
      <c r="IY160" s="236" t="s">
        <v>841</v>
      </c>
      <c r="JA160" s="236" t="s">
        <v>10833</v>
      </c>
      <c r="JB160" s="236" t="s">
        <v>145</v>
      </c>
      <c r="JC160" s="236" t="s">
        <v>74</v>
      </c>
      <c r="JD160" s="236" t="s">
        <v>841</v>
      </c>
      <c r="JF160" s="236" t="s">
        <v>10834</v>
      </c>
      <c r="JG160" s="236" t="s">
        <v>145</v>
      </c>
      <c r="JH160" s="236" t="s">
        <v>74</v>
      </c>
      <c r="JI160" s="236" t="s">
        <v>841</v>
      </c>
      <c r="JK160" s="236" t="s">
        <v>10835</v>
      </c>
      <c r="JL160" s="236" t="s">
        <v>145</v>
      </c>
      <c r="JM160" s="236" t="s">
        <v>74</v>
      </c>
      <c r="JN160" s="236" t="s">
        <v>841</v>
      </c>
      <c r="JP160" s="236" t="s">
        <v>10836</v>
      </c>
      <c r="JQ160" s="236" t="s">
        <v>145</v>
      </c>
      <c r="JR160" s="236" t="s">
        <v>74</v>
      </c>
      <c r="JS160" s="236" t="s">
        <v>841</v>
      </c>
      <c r="JU160" s="294" t="s">
        <v>10837</v>
      </c>
      <c r="JV160" s="294" t="s">
        <v>52</v>
      </c>
      <c r="JW160" s="263" t="s">
        <v>70</v>
      </c>
      <c r="JX160" s="294" t="s">
        <v>1083</v>
      </c>
      <c r="JZ160" s="263" t="s">
        <v>10838</v>
      </c>
      <c r="KA160" s="263" t="s">
        <v>145</v>
      </c>
      <c r="KB160" s="263" t="s">
        <v>70</v>
      </c>
      <c r="KC160" s="263" t="s">
        <v>1083</v>
      </c>
      <c r="KE160" s="263" t="s">
        <v>10839</v>
      </c>
      <c r="KF160" s="263" t="s">
        <v>52</v>
      </c>
      <c r="KG160" s="263" t="s">
        <v>70</v>
      </c>
      <c r="KH160" s="263" t="s">
        <v>1083</v>
      </c>
      <c r="KJ160" s="263" t="s">
        <v>10840</v>
      </c>
      <c r="KK160" s="263" t="s">
        <v>52</v>
      </c>
      <c r="KL160" s="263" t="s">
        <v>74</v>
      </c>
      <c r="KM160" s="263" t="s">
        <v>34074</v>
      </c>
      <c r="KO160" s="214" t="s">
        <v>10841</v>
      </c>
      <c r="KP160" s="214" t="s">
        <v>145</v>
      </c>
      <c r="KQ160" s="214" t="s">
        <v>70</v>
      </c>
      <c r="KR160" s="214" t="s">
        <v>67</v>
      </c>
      <c r="KT160" s="22" t="s">
        <v>10842</v>
      </c>
      <c r="KU160" s="22" t="s">
        <v>145</v>
      </c>
      <c r="KV160" s="22" t="s">
        <v>70</v>
      </c>
      <c r="KW160" s="22" t="s">
        <v>67</v>
      </c>
      <c r="KY160" s="214" t="s">
        <v>10843</v>
      </c>
      <c r="KZ160" s="214" t="s">
        <v>52</v>
      </c>
      <c r="LA160" s="214" t="s">
        <v>74</v>
      </c>
      <c r="LB160" s="214" t="s">
        <v>67</v>
      </c>
      <c r="LD160" s="22" t="s">
        <v>10844</v>
      </c>
      <c r="LE160" s="22" t="s">
        <v>145</v>
      </c>
      <c r="LF160" s="22" t="s">
        <v>70</v>
      </c>
      <c r="LG160" s="22" t="s">
        <v>67</v>
      </c>
    </row>
    <row r="161" spans="1:319">
      <c r="A161" s="22" t="s">
        <v>10845</v>
      </c>
      <c r="B161" s="22" t="s">
        <v>145</v>
      </c>
      <c r="C161" s="22" t="s">
        <v>70</v>
      </c>
      <c r="D161" s="22" t="s">
        <v>67</v>
      </c>
      <c r="F161" s="23" t="s">
        <v>10846</v>
      </c>
      <c r="G161" s="23" t="str">
        <f>TVIIBE1M_CalPairs!$E158</f>
        <v>0x00</v>
      </c>
      <c r="H161" s="23" t="s">
        <v>72</v>
      </c>
      <c r="I161" s="23" t="str">
        <f>TVIIBE1M_CalPairs!$C158</f>
        <v>PASS0_SAR1_ANA_CAL_VAL3</v>
      </c>
      <c r="K161" s="22" t="s">
        <v>10847</v>
      </c>
      <c r="L161" s="22" t="s">
        <v>145</v>
      </c>
      <c r="M161" s="22" t="s">
        <v>70</v>
      </c>
      <c r="N161" s="22" t="s">
        <v>67</v>
      </c>
      <c r="P161" s="22" t="s">
        <v>10848</v>
      </c>
      <c r="Q161" s="22" t="s">
        <v>145</v>
      </c>
      <c r="R161" s="22" t="s">
        <v>70</v>
      </c>
      <c r="S161" s="22" t="s">
        <v>67</v>
      </c>
      <c r="U161" s="293" t="s">
        <v>10849</v>
      </c>
      <c r="V161" s="293" t="s">
        <v>145</v>
      </c>
      <c r="W161" s="293" t="s">
        <v>74</v>
      </c>
      <c r="X161" s="293" t="s">
        <v>656</v>
      </c>
      <c r="Z161" s="293" t="s">
        <v>10850</v>
      </c>
      <c r="AA161" s="293" t="s">
        <v>145</v>
      </c>
      <c r="AB161" s="293" t="s">
        <v>74</v>
      </c>
      <c r="AC161" s="293" t="s">
        <v>656</v>
      </c>
      <c r="AE161" s="293" t="s">
        <v>10851</v>
      </c>
      <c r="AF161" s="293" t="s">
        <v>145</v>
      </c>
      <c r="AG161" s="293" t="s">
        <v>74</v>
      </c>
      <c r="AH161" s="293" t="s">
        <v>656</v>
      </c>
      <c r="AJ161" s="293" t="s">
        <v>10852</v>
      </c>
      <c r="AK161" s="293" t="s">
        <v>145</v>
      </c>
      <c r="AL161" s="293" t="s">
        <v>74</v>
      </c>
      <c r="AM161" s="293" t="s">
        <v>656</v>
      </c>
      <c r="AO161" s="22" t="s">
        <v>10853</v>
      </c>
      <c r="AP161" s="22" t="s">
        <v>145</v>
      </c>
      <c r="AQ161" s="22" t="s">
        <v>70</v>
      </c>
      <c r="AR161" s="22" t="s">
        <v>67</v>
      </c>
      <c r="AT161" s="22" t="s">
        <v>10854</v>
      </c>
      <c r="AU161" s="22" t="s">
        <v>145</v>
      </c>
      <c r="AV161" s="22" t="s">
        <v>70</v>
      </c>
      <c r="AW161" s="22" t="s">
        <v>67</v>
      </c>
      <c r="AY161" s="22" t="s">
        <v>10855</v>
      </c>
      <c r="AZ161" s="22" t="s">
        <v>145</v>
      </c>
      <c r="BA161" s="22" t="s">
        <v>70</v>
      </c>
      <c r="BB161" s="22" t="s">
        <v>67</v>
      </c>
      <c r="BD161" s="22" t="s">
        <v>10856</v>
      </c>
      <c r="BE161" s="22" t="s">
        <v>145</v>
      </c>
      <c r="BF161" s="22" t="s">
        <v>70</v>
      </c>
      <c r="BG161" s="22" t="s">
        <v>67</v>
      </c>
      <c r="BI161" s="22" t="s">
        <v>10857</v>
      </c>
      <c r="BJ161" s="22" t="s">
        <v>145</v>
      </c>
      <c r="BK161" s="22" t="s">
        <v>70</v>
      </c>
      <c r="BL161" s="22" t="s">
        <v>67</v>
      </c>
      <c r="BN161" s="22" t="s">
        <v>10858</v>
      </c>
      <c r="BO161" s="22" t="s">
        <v>145</v>
      </c>
      <c r="BP161" s="22" t="s">
        <v>70</v>
      </c>
      <c r="BQ161" s="22" t="s">
        <v>67</v>
      </c>
      <c r="BS161" s="22" t="s">
        <v>10859</v>
      </c>
      <c r="BT161" s="22" t="s">
        <v>145</v>
      </c>
      <c r="BU161" s="22" t="s">
        <v>70</v>
      </c>
      <c r="BV161" s="214" t="s">
        <v>530</v>
      </c>
      <c r="BX161" s="22" t="s">
        <v>10860</v>
      </c>
      <c r="BY161" s="22" t="s">
        <v>145</v>
      </c>
      <c r="BZ161" s="22" t="s">
        <v>70</v>
      </c>
      <c r="CA161" s="214" t="s">
        <v>530</v>
      </c>
      <c r="CC161" s="214" t="s">
        <v>10861</v>
      </c>
      <c r="CD161" s="218" t="s">
        <v>145</v>
      </c>
      <c r="CE161" s="214" t="s">
        <v>70</v>
      </c>
      <c r="CF161" s="214" t="s">
        <v>456</v>
      </c>
      <c r="CH161" s="214" t="s">
        <v>10862</v>
      </c>
      <c r="CI161" s="214" t="s">
        <v>920</v>
      </c>
      <c r="CJ161" s="214" t="s">
        <v>70</v>
      </c>
      <c r="CK161" s="214" t="s">
        <v>530</v>
      </c>
      <c r="CM161" s="214" t="s">
        <v>10863</v>
      </c>
      <c r="CN161" s="214" t="s">
        <v>503</v>
      </c>
      <c r="CO161" s="214" t="s">
        <v>70</v>
      </c>
      <c r="CP161" s="214" t="s">
        <v>530</v>
      </c>
      <c r="CR161" s="214" t="s">
        <v>10864</v>
      </c>
      <c r="CS161" s="214" t="s">
        <v>484</v>
      </c>
      <c r="CT161" s="214" t="s">
        <v>70</v>
      </c>
      <c r="CU161" s="214" t="s">
        <v>530</v>
      </c>
      <c r="CW161" s="214" t="s">
        <v>10865</v>
      </c>
      <c r="CX161" s="214" t="s">
        <v>146</v>
      </c>
      <c r="CY161" s="214" t="s">
        <v>70</v>
      </c>
      <c r="CZ161" s="214" t="s">
        <v>530</v>
      </c>
      <c r="DB161" s="214" t="s">
        <v>10866</v>
      </c>
      <c r="DC161" s="214" t="s">
        <v>486</v>
      </c>
      <c r="DD161" s="214" t="s">
        <v>70</v>
      </c>
      <c r="DE161" s="214" t="s">
        <v>530</v>
      </c>
      <c r="DG161" s="214" t="s">
        <v>10867</v>
      </c>
      <c r="DH161" s="214" t="s">
        <v>484</v>
      </c>
      <c r="DI161" s="214" t="s">
        <v>70</v>
      </c>
      <c r="DJ161" s="214" t="s">
        <v>530</v>
      </c>
      <c r="DL161" s="214" t="s">
        <v>10868</v>
      </c>
      <c r="DM161" s="214" t="s">
        <v>34544</v>
      </c>
      <c r="DN161" s="214" t="s">
        <v>70</v>
      </c>
      <c r="DO161" s="214" t="s">
        <v>530</v>
      </c>
      <c r="DQ161" s="214" t="s">
        <v>10869</v>
      </c>
      <c r="DR161" s="214" t="s">
        <v>488</v>
      </c>
      <c r="DS161" s="214" t="s">
        <v>70</v>
      </c>
      <c r="DT161" s="214" t="s">
        <v>530</v>
      </c>
      <c r="DV161" s="214" t="s">
        <v>10870</v>
      </c>
      <c r="DW161" s="214" t="s">
        <v>21742</v>
      </c>
      <c r="DX161" s="214" t="s">
        <v>70</v>
      </c>
      <c r="DY161" s="214" t="s">
        <v>530</v>
      </c>
      <c r="EA161" s="214" t="s">
        <v>10871</v>
      </c>
      <c r="EB161" s="214" t="s">
        <v>488</v>
      </c>
      <c r="EC161" s="214" t="s">
        <v>70</v>
      </c>
      <c r="ED161" s="214" t="s">
        <v>530</v>
      </c>
      <c r="EF161" s="214" t="s">
        <v>10872</v>
      </c>
      <c r="EG161" s="214" t="s">
        <v>599</v>
      </c>
      <c r="EH161" s="214" t="s">
        <v>70</v>
      </c>
      <c r="EI161" s="214" t="s">
        <v>530</v>
      </c>
      <c r="EK161" s="214" t="s">
        <v>10873</v>
      </c>
      <c r="EL161" s="214" t="s">
        <v>34562</v>
      </c>
      <c r="EM161" s="214" t="s">
        <v>70</v>
      </c>
      <c r="EN161" s="214" t="s">
        <v>530</v>
      </c>
      <c r="EP161" s="214" t="s">
        <v>10874</v>
      </c>
      <c r="EQ161" s="214" t="s">
        <v>34549</v>
      </c>
      <c r="ER161" s="214" t="s">
        <v>70</v>
      </c>
      <c r="ES161" s="214" t="s">
        <v>530</v>
      </c>
      <c r="EU161" s="214" t="s">
        <v>10875</v>
      </c>
      <c r="EV161" s="214" t="s">
        <v>34579</v>
      </c>
      <c r="EW161" s="214" t="s">
        <v>70</v>
      </c>
      <c r="EX161" s="214" t="s">
        <v>530</v>
      </c>
      <c r="EZ161" s="214" t="s">
        <v>10876</v>
      </c>
      <c r="FA161" s="214" t="s">
        <v>34544</v>
      </c>
      <c r="FB161" s="214" t="s">
        <v>70</v>
      </c>
      <c r="FC161" s="214" t="s">
        <v>530</v>
      </c>
      <c r="FE161" s="214" t="s">
        <v>10877</v>
      </c>
      <c r="FF161" s="214" t="s">
        <v>52</v>
      </c>
      <c r="FG161" s="214" t="s">
        <v>70</v>
      </c>
      <c r="FH161" s="214" t="s">
        <v>530</v>
      </c>
      <c r="FJ161" s="321" t="s">
        <v>10878</v>
      </c>
      <c r="FK161" s="214" t="s">
        <v>52</v>
      </c>
      <c r="FL161" s="214" t="s">
        <v>70</v>
      </c>
      <c r="FM161" s="214" t="s">
        <v>530</v>
      </c>
      <c r="FO161" s="321" t="s">
        <v>10879</v>
      </c>
      <c r="FP161" s="214" t="s">
        <v>52</v>
      </c>
      <c r="FQ161" s="214" t="s">
        <v>70</v>
      </c>
      <c r="FR161" s="214" t="s">
        <v>530</v>
      </c>
      <c r="FT161" s="321" t="s">
        <v>10880</v>
      </c>
      <c r="FU161" s="214" t="s">
        <v>950</v>
      </c>
      <c r="FV161" s="214" t="s">
        <v>70</v>
      </c>
      <c r="FW161" s="214" t="s">
        <v>530</v>
      </c>
      <c r="FY161" s="321" t="s">
        <v>10881</v>
      </c>
      <c r="FZ161" s="214" t="s">
        <v>599</v>
      </c>
      <c r="GA161" s="214" t="s">
        <v>70</v>
      </c>
      <c r="GB161" s="214" t="s">
        <v>530</v>
      </c>
      <c r="GD161" s="321" t="s">
        <v>10882</v>
      </c>
      <c r="GE161" s="214" t="s">
        <v>485</v>
      </c>
      <c r="GF161" s="214" t="s">
        <v>70</v>
      </c>
      <c r="GG161" s="214" t="s">
        <v>530</v>
      </c>
      <c r="GI161" s="321" t="s">
        <v>10883</v>
      </c>
      <c r="GJ161" s="214" t="s">
        <v>34546</v>
      </c>
      <c r="GK161" s="214" t="s">
        <v>70</v>
      </c>
      <c r="GL161" s="214" t="s">
        <v>530</v>
      </c>
      <c r="GN161" s="321" t="s">
        <v>10884</v>
      </c>
      <c r="GO161" s="214" t="s">
        <v>490</v>
      </c>
      <c r="GP161" s="214" t="s">
        <v>70</v>
      </c>
      <c r="GQ161" s="214" t="s">
        <v>530</v>
      </c>
      <c r="GS161" s="321" t="s">
        <v>10885</v>
      </c>
      <c r="GT161" s="214" t="s">
        <v>502</v>
      </c>
      <c r="GU161" s="214" t="s">
        <v>70</v>
      </c>
      <c r="GV161" s="214" t="s">
        <v>530</v>
      </c>
      <c r="GX161" s="214" t="s">
        <v>10886</v>
      </c>
      <c r="GY161" s="214" t="s">
        <v>34561</v>
      </c>
      <c r="GZ161" s="214" t="s">
        <v>70</v>
      </c>
      <c r="HA161" s="214" t="s">
        <v>530</v>
      </c>
      <c r="HC161" s="214" t="s">
        <v>10887</v>
      </c>
      <c r="HD161" s="214" t="s">
        <v>486</v>
      </c>
      <c r="HE161" s="214" t="s">
        <v>70</v>
      </c>
      <c r="HF161" s="214" t="s">
        <v>530</v>
      </c>
      <c r="HH161" s="214" t="s">
        <v>10888</v>
      </c>
      <c r="HI161" s="214" t="s">
        <v>34598</v>
      </c>
      <c r="HJ161" s="214" t="s">
        <v>70</v>
      </c>
      <c r="HK161" s="214" t="s">
        <v>530</v>
      </c>
      <c r="HM161" s="214" t="s">
        <v>10889</v>
      </c>
      <c r="HN161" s="214" t="s">
        <v>34516</v>
      </c>
      <c r="HO161" s="214" t="s">
        <v>70</v>
      </c>
      <c r="HP161" s="214" t="s">
        <v>530</v>
      </c>
      <c r="HR161" s="22" t="s">
        <v>10890</v>
      </c>
      <c r="HS161" s="22" t="s">
        <v>34542</v>
      </c>
      <c r="HT161" s="22" t="s">
        <v>70</v>
      </c>
      <c r="HU161" s="214" t="s">
        <v>530</v>
      </c>
      <c r="HW161" s="22" t="s">
        <v>10891</v>
      </c>
      <c r="HX161" s="22" t="s">
        <v>287</v>
      </c>
      <c r="HY161" s="22" t="s">
        <v>70</v>
      </c>
      <c r="HZ161" s="214" t="s">
        <v>530</v>
      </c>
      <c r="IB161" s="22" t="s">
        <v>10892</v>
      </c>
      <c r="IC161" s="22" t="s">
        <v>34544</v>
      </c>
      <c r="ID161" s="22" t="s">
        <v>70</v>
      </c>
      <c r="IE161" s="214" t="s">
        <v>530</v>
      </c>
      <c r="IG161" s="22" t="s">
        <v>10893</v>
      </c>
      <c r="IH161" s="22" t="s">
        <v>52</v>
      </c>
      <c r="II161" s="22" t="s">
        <v>70</v>
      </c>
      <c r="IJ161" s="214" t="s">
        <v>530</v>
      </c>
      <c r="IL161" s="22" t="s">
        <v>10894</v>
      </c>
      <c r="IM161" s="22" t="s">
        <v>145</v>
      </c>
      <c r="IN161" s="22" t="s">
        <v>70</v>
      </c>
      <c r="IO161" s="214" t="s">
        <v>530</v>
      </c>
      <c r="IQ161" s="236" t="s">
        <v>10895</v>
      </c>
      <c r="IR161" s="236" t="s">
        <v>145</v>
      </c>
      <c r="IS161" s="236" t="s">
        <v>74</v>
      </c>
      <c r="IT161" s="236" t="s">
        <v>841</v>
      </c>
      <c r="IV161" s="236" t="s">
        <v>10896</v>
      </c>
      <c r="IW161" s="236" t="s">
        <v>145</v>
      </c>
      <c r="IX161" s="236" t="s">
        <v>74</v>
      </c>
      <c r="IY161" s="236" t="s">
        <v>841</v>
      </c>
      <c r="JA161" s="236" t="s">
        <v>10897</v>
      </c>
      <c r="JB161" s="236" t="s">
        <v>145</v>
      </c>
      <c r="JC161" s="236" t="s">
        <v>74</v>
      </c>
      <c r="JD161" s="236" t="s">
        <v>841</v>
      </c>
      <c r="JF161" s="236" t="s">
        <v>10898</v>
      </c>
      <c r="JG161" s="236" t="s">
        <v>145</v>
      </c>
      <c r="JH161" s="236" t="s">
        <v>74</v>
      </c>
      <c r="JI161" s="236" t="s">
        <v>841</v>
      </c>
      <c r="JK161" s="236" t="s">
        <v>10899</v>
      </c>
      <c r="JL161" s="236" t="s">
        <v>145</v>
      </c>
      <c r="JM161" s="236" t="s">
        <v>74</v>
      </c>
      <c r="JN161" s="236" t="s">
        <v>841</v>
      </c>
      <c r="JP161" s="236" t="s">
        <v>10900</v>
      </c>
      <c r="JQ161" s="236" t="s">
        <v>145</v>
      </c>
      <c r="JR161" s="236" t="s">
        <v>74</v>
      </c>
      <c r="JS161" s="236" t="s">
        <v>841</v>
      </c>
      <c r="JU161" s="294" t="s">
        <v>10901</v>
      </c>
      <c r="JV161" s="294" t="s">
        <v>52</v>
      </c>
      <c r="JW161" s="263" t="s">
        <v>70</v>
      </c>
      <c r="JX161" s="294" t="s">
        <v>1083</v>
      </c>
      <c r="JZ161" s="263" t="s">
        <v>10902</v>
      </c>
      <c r="KA161" s="263" t="s">
        <v>145</v>
      </c>
      <c r="KB161" s="263" t="s">
        <v>70</v>
      </c>
      <c r="KC161" s="263" t="s">
        <v>1083</v>
      </c>
      <c r="KE161" s="263" t="s">
        <v>10903</v>
      </c>
      <c r="KF161" s="263" t="s">
        <v>52</v>
      </c>
      <c r="KG161" s="263" t="s">
        <v>70</v>
      </c>
      <c r="KH161" s="263" t="s">
        <v>1083</v>
      </c>
      <c r="KJ161" s="263" t="s">
        <v>10904</v>
      </c>
      <c r="KK161" s="263" t="s">
        <v>52</v>
      </c>
      <c r="KL161" s="263" t="s">
        <v>74</v>
      </c>
      <c r="KM161" s="263" t="s">
        <v>34074</v>
      </c>
      <c r="KO161" s="214" t="s">
        <v>10905</v>
      </c>
      <c r="KP161" s="214" t="s">
        <v>145</v>
      </c>
      <c r="KQ161" s="214" t="s">
        <v>70</v>
      </c>
      <c r="KR161" s="214" t="s">
        <v>67</v>
      </c>
      <c r="KT161" s="22" t="s">
        <v>10906</v>
      </c>
      <c r="KU161" s="22" t="s">
        <v>145</v>
      </c>
      <c r="KV161" s="22" t="s">
        <v>70</v>
      </c>
      <c r="KW161" s="22" t="s">
        <v>67</v>
      </c>
      <c r="KY161" s="214" t="s">
        <v>10907</v>
      </c>
      <c r="KZ161" s="214" t="s">
        <v>52</v>
      </c>
      <c r="LA161" s="214" t="s">
        <v>74</v>
      </c>
      <c r="LB161" s="214" t="s">
        <v>67</v>
      </c>
      <c r="LD161" s="22" t="s">
        <v>10908</v>
      </c>
      <c r="LE161" s="22" t="s">
        <v>145</v>
      </c>
      <c r="LF161" s="22" t="s">
        <v>70</v>
      </c>
      <c r="LG161" s="22" t="s">
        <v>67</v>
      </c>
    </row>
    <row r="162" spans="1:319">
      <c r="A162" s="22" t="s">
        <v>10909</v>
      </c>
      <c r="B162" s="22" t="s">
        <v>145</v>
      </c>
      <c r="C162" s="22" t="s">
        <v>70</v>
      </c>
      <c r="D162" s="22" t="s">
        <v>67</v>
      </c>
      <c r="F162" s="23" t="s">
        <v>10910</v>
      </c>
      <c r="G162" s="23" t="str">
        <f>TVIIBE1M_CalPairs!$E159</f>
        <v>0x00</v>
      </c>
      <c r="H162" s="233" t="s">
        <v>72</v>
      </c>
      <c r="I162" s="23" t="str">
        <f>TVIIBE1M_CalPairs!$C159</f>
        <v>PASS0_SAR1_DIG_CAL_VAL0</v>
      </c>
      <c r="K162" s="22" t="s">
        <v>10911</v>
      </c>
      <c r="L162" s="22" t="s">
        <v>145</v>
      </c>
      <c r="M162" s="22" t="s">
        <v>70</v>
      </c>
      <c r="N162" s="22" t="s">
        <v>67</v>
      </c>
      <c r="P162" s="22" t="s">
        <v>10912</v>
      </c>
      <c r="Q162" s="22" t="s">
        <v>145</v>
      </c>
      <c r="R162" s="22" t="s">
        <v>70</v>
      </c>
      <c r="S162" s="22" t="s">
        <v>67</v>
      </c>
      <c r="U162" s="293" t="s">
        <v>10913</v>
      </c>
      <c r="V162" s="293" t="s">
        <v>145</v>
      </c>
      <c r="W162" s="293" t="s">
        <v>74</v>
      </c>
      <c r="X162" s="293" t="s">
        <v>656</v>
      </c>
      <c r="Z162" s="293" t="s">
        <v>10914</v>
      </c>
      <c r="AA162" s="293" t="s">
        <v>145</v>
      </c>
      <c r="AB162" s="293" t="s">
        <v>74</v>
      </c>
      <c r="AC162" s="293" t="s">
        <v>656</v>
      </c>
      <c r="AE162" s="293" t="s">
        <v>10915</v>
      </c>
      <c r="AF162" s="293" t="s">
        <v>145</v>
      </c>
      <c r="AG162" s="293" t="s">
        <v>74</v>
      </c>
      <c r="AH162" s="293" t="s">
        <v>656</v>
      </c>
      <c r="AJ162" s="293" t="s">
        <v>10916</v>
      </c>
      <c r="AK162" s="293" t="s">
        <v>145</v>
      </c>
      <c r="AL162" s="293" t="s">
        <v>74</v>
      </c>
      <c r="AM162" s="293" t="s">
        <v>656</v>
      </c>
      <c r="AO162" s="22" t="s">
        <v>10917</v>
      </c>
      <c r="AP162" s="22" t="s">
        <v>145</v>
      </c>
      <c r="AQ162" s="22" t="s">
        <v>70</v>
      </c>
      <c r="AR162" s="22" t="s">
        <v>67</v>
      </c>
      <c r="AT162" s="22" t="s">
        <v>10918</v>
      </c>
      <c r="AU162" s="22" t="s">
        <v>145</v>
      </c>
      <c r="AV162" s="22" t="s">
        <v>70</v>
      </c>
      <c r="AW162" s="22" t="s">
        <v>67</v>
      </c>
      <c r="AY162" s="22" t="s">
        <v>10919</v>
      </c>
      <c r="AZ162" s="22" t="s">
        <v>145</v>
      </c>
      <c r="BA162" s="22" t="s">
        <v>70</v>
      </c>
      <c r="BB162" s="22" t="s">
        <v>67</v>
      </c>
      <c r="BD162" s="22" t="s">
        <v>10920</v>
      </c>
      <c r="BE162" s="22" t="s">
        <v>145</v>
      </c>
      <c r="BF162" s="22" t="s">
        <v>70</v>
      </c>
      <c r="BG162" s="22" t="s">
        <v>67</v>
      </c>
      <c r="BI162" s="22" t="s">
        <v>10921</v>
      </c>
      <c r="BJ162" s="22" t="s">
        <v>145</v>
      </c>
      <c r="BK162" s="22" t="s">
        <v>70</v>
      </c>
      <c r="BL162" s="22" t="s">
        <v>67</v>
      </c>
      <c r="BN162" s="22" t="s">
        <v>10922</v>
      </c>
      <c r="BO162" s="22" t="s">
        <v>145</v>
      </c>
      <c r="BP162" s="22" t="s">
        <v>70</v>
      </c>
      <c r="BQ162" s="22" t="s">
        <v>67</v>
      </c>
      <c r="BS162" s="22" t="s">
        <v>10923</v>
      </c>
      <c r="BT162" s="22" t="s">
        <v>145</v>
      </c>
      <c r="BU162" s="22" t="s">
        <v>70</v>
      </c>
      <c r="BV162" s="214" t="s">
        <v>530</v>
      </c>
      <c r="BX162" s="22" t="s">
        <v>10924</v>
      </c>
      <c r="BY162" s="22" t="s">
        <v>145</v>
      </c>
      <c r="BZ162" s="22" t="s">
        <v>70</v>
      </c>
      <c r="CA162" s="214" t="s">
        <v>530</v>
      </c>
      <c r="CC162" s="214" t="s">
        <v>10925</v>
      </c>
      <c r="CD162" s="218" t="s">
        <v>145</v>
      </c>
      <c r="CE162" s="214" t="s">
        <v>70</v>
      </c>
      <c r="CF162" s="214" t="s">
        <v>457</v>
      </c>
      <c r="CH162" s="214" t="s">
        <v>10926</v>
      </c>
      <c r="CI162" s="214" t="s">
        <v>52</v>
      </c>
      <c r="CJ162" s="214" t="s">
        <v>70</v>
      </c>
      <c r="CK162" s="214" t="s">
        <v>530</v>
      </c>
      <c r="CM162" s="214" t="s">
        <v>10927</v>
      </c>
      <c r="CN162" s="214" t="s">
        <v>52</v>
      </c>
      <c r="CO162" s="214" t="s">
        <v>70</v>
      </c>
      <c r="CP162" s="214" t="s">
        <v>530</v>
      </c>
      <c r="CR162" s="214" t="s">
        <v>10928</v>
      </c>
      <c r="CS162" s="214" t="s">
        <v>497</v>
      </c>
      <c r="CT162" s="214" t="s">
        <v>70</v>
      </c>
      <c r="CU162" s="214" t="s">
        <v>530</v>
      </c>
      <c r="CW162" s="214" t="s">
        <v>10929</v>
      </c>
      <c r="CX162" s="214" t="s">
        <v>85</v>
      </c>
      <c r="CY162" s="214" t="s">
        <v>70</v>
      </c>
      <c r="CZ162" s="214" t="s">
        <v>530</v>
      </c>
      <c r="DB162" s="214" t="s">
        <v>10930</v>
      </c>
      <c r="DC162" s="214" t="s">
        <v>912</v>
      </c>
      <c r="DD162" s="214" t="s">
        <v>70</v>
      </c>
      <c r="DE162" s="214" t="s">
        <v>530</v>
      </c>
      <c r="DG162" s="214" t="s">
        <v>10931</v>
      </c>
      <c r="DH162" s="214" t="s">
        <v>604</v>
      </c>
      <c r="DI162" s="214" t="s">
        <v>70</v>
      </c>
      <c r="DJ162" s="214" t="s">
        <v>530</v>
      </c>
      <c r="DL162" s="214" t="s">
        <v>10932</v>
      </c>
      <c r="DM162" s="214" t="s">
        <v>93</v>
      </c>
      <c r="DN162" s="214" t="s">
        <v>70</v>
      </c>
      <c r="DO162" s="214" t="s">
        <v>530</v>
      </c>
      <c r="DQ162" s="214" t="s">
        <v>10933</v>
      </c>
      <c r="DR162" s="214" t="s">
        <v>34556</v>
      </c>
      <c r="DS162" s="214" t="s">
        <v>70</v>
      </c>
      <c r="DT162" s="214" t="s">
        <v>530</v>
      </c>
      <c r="DV162" s="214" t="s">
        <v>10934</v>
      </c>
      <c r="DW162" s="214" t="s">
        <v>52</v>
      </c>
      <c r="DX162" s="214" t="s">
        <v>70</v>
      </c>
      <c r="DY162" s="214" t="s">
        <v>530</v>
      </c>
      <c r="EA162" s="214" t="s">
        <v>10935</v>
      </c>
      <c r="EB162" s="214" t="s">
        <v>905</v>
      </c>
      <c r="EC162" s="214" t="s">
        <v>70</v>
      </c>
      <c r="ED162" s="214" t="s">
        <v>530</v>
      </c>
      <c r="EF162" s="214" t="s">
        <v>10936</v>
      </c>
      <c r="EG162" s="214" t="s">
        <v>642</v>
      </c>
      <c r="EH162" s="214" t="s">
        <v>70</v>
      </c>
      <c r="EI162" s="214" t="s">
        <v>530</v>
      </c>
      <c r="EK162" s="214" t="s">
        <v>10937</v>
      </c>
      <c r="EL162" s="214" t="s">
        <v>163</v>
      </c>
      <c r="EM162" s="214" t="s">
        <v>70</v>
      </c>
      <c r="EN162" s="214" t="s">
        <v>530</v>
      </c>
      <c r="EP162" s="214" t="s">
        <v>10938</v>
      </c>
      <c r="EQ162" s="214" t="s">
        <v>92</v>
      </c>
      <c r="ER162" s="214" t="s">
        <v>70</v>
      </c>
      <c r="ES162" s="214" t="s">
        <v>530</v>
      </c>
      <c r="EU162" s="214" t="s">
        <v>10939</v>
      </c>
      <c r="EV162" s="214" t="s">
        <v>52</v>
      </c>
      <c r="EW162" s="214" t="s">
        <v>70</v>
      </c>
      <c r="EX162" s="214" t="s">
        <v>530</v>
      </c>
      <c r="EZ162" s="214" t="s">
        <v>10940</v>
      </c>
      <c r="FA162" s="214" t="s">
        <v>163</v>
      </c>
      <c r="FB162" s="214" t="s">
        <v>70</v>
      </c>
      <c r="FC162" s="214" t="s">
        <v>530</v>
      </c>
      <c r="FE162" s="214" t="s">
        <v>10941</v>
      </c>
      <c r="FF162" s="214" t="s">
        <v>148</v>
      </c>
      <c r="FG162" s="214" t="s">
        <v>70</v>
      </c>
      <c r="FH162" s="214" t="s">
        <v>530</v>
      </c>
      <c r="FJ162" s="321" t="s">
        <v>10942</v>
      </c>
      <c r="FK162" s="214" t="s">
        <v>148</v>
      </c>
      <c r="FL162" s="214" t="s">
        <v>70</v>
      </c>
      <c r="FM162" s="214" t="s">
        <v>530</v>
      </c>
      <c r="FO162" s="321" t="s">
        <v>10943</v>
      </c>
      <c r="FP162" s="214" t="s">
        <v>34583</v>
      </c>
      <c r="FQ162" s="214" t="s">
        <v>70</v>
      </c>
      <c r="FR162" s="214" t="s">
        <v>530</v>
      </c>
      <c r="FT162" s="321" t="s">
        <v>10944</v>
      </c>
      <c r="FU162" s="214" t="s">
        <v>52</v>
      </c>
      <c r="FV162" s="214" t="s">
        <v>70</v>
      </c>
      <c r="FW162" s="214" t="s">
        <v>530</v>
      </c>
      <c r="FY162" s="321" t="s">
        <v>10945</v>
      </c>
      <c r="FZ162" s="214" t="s">
        <v>529</v>
      </c>
      <c r="GA162" s="214" t="s">
        <v>70</v>
      </c>
      <c r="GB162" s="214" t="s">
        <v>530</v>
      </c>
      <c r="GD162" s="321" t="s">
        <v>10946</v>
      </c>
      <c r="GE162" s="214" t="s">
        <v>148</v>
      </c>
      <c r="GF162" s="214" t="s">
        <v>70</v>
      </c>
      <c r="GG162" s="214" t="s">
        <v>530</v>
      </c>
      <c r="GI162" s="321" t="s">
        <v>10947</v>
      </c>
      <c r="GJ162" s="214" t="s">
        <v>952</v>
      </c>
      <c r="GK162" s="214" t="s">
        <v>70</v>
      </c>
      <c r="GL162" s="214" t="s">
        <v>530</v>
      </c>
      <c r="GN162" s="321" t="s">
        <v>10948</v>
      </c>
      <c r="GO162" s="214" t="s">
        <v>88</v>
      </c>
      <c r="GP162" s="214" t="s">
        <v>70</v>
      </c>
      <c r="GQ162" s="214" t="s">
        <v>530</v>
      </c>
      <c r="GS162" s="321" t="s">
        <v>10949</v>
      </c>
      <c r="GT162" s="214" t="s">
        <v>468</v>
      </c>
      <c r="GU162" s="214" t="s">
        <v>70</v>
      </c>
      <c r="GV162" s="214" t="s">
        <v>530</v>
      </c>
      <c r="GX162" s="214" t="s">
        <v>10950</v>
      </c>
      <c r="GY162" s="214" t="s">
        <v>148</v>
      </c>
      <c r="GZ162" s="214" t="s">
        <v>70</v>
      </c>
      <c r="HA162" s="214" t="s">
        <v>530</v>
      </c>
      <c r="HC162" s="214" t="s">
        <v>10951</v>
      </c>
      <c r="HD162" s="214" t="s">
        <v>485</v>
      </c>
      <c r="HE162" s="214" t="s">
        <v>70</v>
      </c>
      <c r="HF162" s="214" t="s">
        <v>530</v>
      </c>
      <c r="HH162" s="214" t="s">
        <v>10952</v>
      </c>
      <c r="HI162" s="214" t="s">
        <v>485</v>
      </c>
      <c r="HJ162" s="214" t="s">
        <v>70</v>
      </c>
      <c r="HK162" s="214" t="s">
        <v>530</v>
      </c>
      <c r="HM162" s="214" t="s">
        <v>10953</v>
      </c>
      <c r="HN162" s="214" t="s">
        <v>34576</v>
      </c>
      <c r="HO162" s="214" t="s">
        <v>70</v>
      </c>
      <c r="HP162" s="214" t="s">
        <v>530</v>
      </c>
      <c r="HR162" s="22" t="s">
        <v>10954</v>
      </c>
      <c r="HS162" s="22" t="s">
        <v>204</v>
      </c>
      <c r="HT162" s="22" t="s">
        <v>70</v>
      </c>
      <c r="HU162" s="214" t="s">
        <v>530</v>
      </c>
      <c r="HW162" s="22" t="s">
        <v>10955</v>
      </c>
      <c r="HX162" s="22" t="s">
        <v>600</v>
      </c>
      <c r="HY162" s="22" t="s">
        <v>70</v>
      </c>
      <c r="HZ162" s="214" t="s">
        <v>530</v>
      </c>
      <c r="IB162" s="22" t="s">
        <v>10956</v>
      </c>
      <c r="IC162" s="22" t="s">
        <v>52</v>
      </c>
      <c r="ID162" s="22" t="s">
        <v>70</v>
      </c>
      <c r="IE162" s="214" t="s">
        <v>530</v>
      </c>
      <c r="IG162" s="22" t="s">
        <v>10957</v>
      </c>
      <c r="IH162" s="22" t="s">
        <v>52</v>
      </c>
      <c r="II162" s="22" t="s">
        <v>70</v>
      </c>
      <c r="IJ162" s="214" t="s">
        <v>530</v>
      </c>
      <c r="IL162" s="22" t="s">
        <v>10958</v>
      </c>
      <c r="IM162" s="22" t="s">
        <v>145</v>
      </c>
      <c r="IN162" s="22" t="s">
        <v>70</v>
      </c>
      <c r="IO162" s="214" t="s">
        <v>530</v>
      </c>
      <c r="IQ162" s="236" t="s">
        <v>10959</v>
      </c>
      <c r="IR162" s="236" t="s">
        <v>145</v>
      </c>
      <c r="IS162" s="236" t="s">
        <v>74</v>
      </c>
      <c r="IT162" s="236" t="s">
        <v>841</v>
      </c>
      <c r="IV162" s="236" t="s">
        <v>10960</v>
      </c>
      <c r="IW162" s="236" t="s">
        <v>145</v>
      </c>
      <c r="IX162" s="236" t="s">
        <v>74</v>
      </c>
      <c r="IY162" s="236" t="s">
        <v>841</v>
      </c>
      <c r="JA162" s="236" t="s">
        <v>10961</v>
      </c>
      <c r="JB162" s="236" t="s">
        <v>145</v>
      </c>
      <c r="JC162" s="236" t="s">
        <v>74</v>
      </c>
      <c r="JD162" s="236" t="s">
        <v>841</v>
      </c>
      <c r="JF162" s="236" t="s">
        <v>10962</v>
      </c>
      <c r="JG162" s="236" t="s">
        <v>145</v>
      </c>
      <c r="JH162" s="236" t="s">
        <v>74</v>
      </c>
      <c r="JI162" s="236" t="s">
        <v>841</v>
      </c>
      <c r="JK162" s="236" t="s">
        <v>10963</v>
      </c>
      <c r="JL162" s="236" t="s">
        <v>145</v>
      </c>
      <c r="JM162" s="236" t="s">
        <v>74</v>
      </c>
      <c r="JN162" s="236" t="s">
        <v>841</v>
      </c>
      <c r="JP162" s="236" t="s">
        <v>10964</v>
      </c>
      <c r="JQ162" s="236" t="s">
        <v>145</v>
      </c>
      <c r="JR162" s="236" t="s">
        <v>74</v>
      </c>
      <c r="JS162" s="236" t="s">
        <v>841</v>
      </c>
      <c r="JU162" s="294" t="s">
        <v>10965</v>
      </c>
      <c r="JV162" s="294" t="s">
        <v>52</v>
      </c>
      <c r="JW162" s="263" t="s">
        <v>70</v>
      </c>
      <c r="JX162" s="294" t="s">
        <v>1083</v>
      </c>
      <c r="JZ162" s="263" t="s">
        <v>10966</v>
      </c>
      <c r="KA162" s="263" t="s">
        <v>145</v>
      </c>
      <c r="KB162" s="263" t="s">
        <v>70</v>
      </c>
      <c r="KC162" s="263" t="s">
        <v>1083</v>
      </c>
      <c r="KE162" s="263" t="s">
        <v>10967</v>
      </c>
      <c r="KF162" s="263" t="s">
        <v>52</v>
      </c>
      <c r="KG162" s="263" t="s">
        <v>70</v>
      </c>
      <c r="KH162" s="263" t="s">
        <v>1083</v>
      </c>
      <c r="KJ162" s="263" t="s">
        <v>10968</v>
      </c>
      <c r="KK162" s="263" t="s">
        <v>52</v>
      </c>
      <c r="KL162" s="263" t="s">
        <v>74</v>
      </c>
      <c r="KM162" s="263" t="s">
        <v>34074</v>
      </c>
      <c r="KO162" s="214" t="s">
        <v>10969</v>
      </c>
      <c r="KP162" s="214" t="s">
        <v>145</v>
      </c>
      <c r="KQ162" s="214" t="s">
        <v>70</v>
      </c>
      <c r="KR162" s="214" t="s">
        <v>67</v>
      </c>
      <c r="KT162" s="22" t="s">
        <v>10970</v>
      </c>
      <c r="KU162" s="22" t="s">
        <v>145</v>
      </c>
      <c r="KV162" s="22" t="s">
        <v>70</v>
      </c>
      <c r="KW162" s="22" t="s">
        <v>67</v>
      </c>
      <c r="KY162" s="214" t="s">
        <v>10971</v>
      </c>
      <c r="KZ162" s="214" t="s">
        <v>52</v>
      </c>
      <c r="LA162" s="214" t="s">
        <v>74</v>
      </c>
      <c r="LB162" s="214" t="s">
        <v>67</v>
      </c>
      <c r="LD162" s="22" t="s">
        <v>10972</v>
      </c>
      <c r="LE162" s="22" t="s">
        <v>145</v>
      </c>
      <c r="LF162" s="22" t="s">
        <v>70</v>
      </c>
      <c r="LG162" s="22" t="s">
        <v>67</v>
      </c>
    </row>
    <row r="163" spans="1:319">
      <c r="A163" s="22" t="s">
        <v>10973</v>
      </c>
      <c r="B163" s="22" t="s">
        <v>145</v>
      </c>
      <c r="C163" s="22" t="s">
        <v>70</v>
      </c>
      <c r="D163" s="22" t="s">
        <v>67</v>
      </c>
      <c r="F163" s="23" t="s">
        <v>10974</v>
      </c>
      <c r="G163" s="23" t="str">
        <f>TVIIBE1M_CalPairs!$E160</f>
        <v>0x00</v>
      </c>
      <c r="H163" s="233" t="s">
        <v>72</v>
      </c>
      <c r="I163" s="23" t="str">
        <f>TVIIBE1M_CalPairs!$C160</f>
        <v>PASS0_SAR1_DIG_CAL_VAL1</v>
      </c>
      <c r="K163" s="22" t="s">
        <v>10975</v>
      </c>
      <c r="L163" s="22" t="s">
        <v>145</v>
      </c>
      <c r="M163" s="22" t="s">
        <v>70</v>
      </c>
      <c r="N163" s="22" t="s">
        <v>67</v>
      </c>
      <c r="P163" s="22" t="s">
        <v>10976</v>
      </c>
      <c r="Q163" s="22" t="s">
        <v>145</v>
      </c>
      <c r="R163" s="22" t="s">
        <v>70</v>
      </c>
      <c r="S163" s="22" t="s">
        <v>67</v>
      </c>
      <c r="U163" s="293" t="s">
        <v>10977</v>
      </c>
      <c r="V163" s="293" t="s">
        <v>145</v>
      </c>
      <c r="W163" s="293" t="s">
        <v>74</v>
      </c>
      <c r="X163" s="293" t="s">
        <v>656</v>
      </c>
      <c r="Z163" s="293" t="s">
        <v>10978</v>
      </c>
      <c r="AA163" s="293" t="s">
        <v>145</v>
      </c>
      <c r="AB163" s="293" t="s">
        <v>74</v>
      </c>
      <c r="AC163" s="293" t="s">
        <v>656</v>
      </c>
      <c r="AE163" s="293" t="s">
        <v>10979</v>
      </c>
      <c r="AF163" s="293" t="s">
        <v>145</v>
      </c>
      <c r="AG163" s="293" t="s">
        <v>74</v>
      </c>
      <c r="AH163" s="293" t="s">
        <v>656</v>
      </c>
      <c r="AJ163" s="293" t="s">
        <v>10980</v>
      </c>
      <c r="AK163" s="293" t="s">
        <v>145</v>
      </c>
      <c r="AL163" s="293" t="s">
        <v>74</v>
      </c>
      <c r="AM163" s="293" t="s">
        <v>656</v>
      </c>
      <c r="AO163" s="22" t="s">
        <v>10981</v>
      </c>
      <c r="AP163" s="22" t="s">
        <v>145</v>
      </c>
      <c r="AQ163" s="22" t="s">
        <v>70</v>
      </c>
      <c r="AR163" s="22" t="s">
        <v>67</v>
      </c>
      <c r="AT163" s="22" t="s">
        <v>10982</v>
      </c>
      <c r="AU163" s="22" t="s">
        <v>145</v>
      </c>
      <c r="AV163" s="22" t="s">
        <v>70</v>
      </c>
      <c r="AW163" s="22" t="s">
        <v>67</v>
      </c>
      <c r="AY163" s="22" t="s">
        <v>10983</v>
      </c>
      <c r="AZ163" s="22" t="s">
        <v>145</v>
      </c>
      <c r="BA163" s="22" t="s">
        <v>70</v>
      </c>
      <c r="BB163" s="22" t="s">
        <v>67</v>
      </c>
      <c r="BD163" s="22" t="s">
        <v>10984</v>
      </c>
      <c r="BE163" s="22" t="s">
        <v>145</v>
      </c>
      <c r="BF163" s="22" t="s">
        <v>70</v>
      </c>
      <c r="BG163" s="22" t="s">
        <v>67</v>
      </c>
      <c r="BI163" s="22" t="s">
        <v>10985</v>
      </c>
      <c r="BJ163" s="22" t="s">
        <v>145</v>
      </c>
      <c r="BK163" s="22" t="s">
        <v>70</v>
      </c>
      <c r="BL163" s="22" t="s">
        <v>67</v>
      </c>
      <c r="BN163" s="22" t="s">
        <v>10986</v>
      </c>
      <c r="BO163" s="22" t="s">
        <v>145</v>
      </c>
      <c r="BP163" s="22" t="s">
        <v>70</v>
      </c>
      <c r="BQ163" s="22" t="s">
        <v>67</v>
      </c>
      <c r="BS163" s="22" t="s">
        <v>10987</v>
      </c>
      <c r="BT163" s="22" t="s">
        <v>145</v>
      </c>
      <c r="BU163" s="22" t="s">
        <v>70</v>
      </c>
      <c r="BV163" s="214" t="s">
        <v>530</v>
      </c>
      <c r="BX163" s="22" t="s">
        <v>10988</v>
      </c>
      <c r="BY163" s="22" t="s">
        <v>145</v>
      </c>
      <c r="BZ163" s="22" t="s">
        <v>70</v>
      </c>
      <c r="CA163" s="214" t="s">
        <v>530</v>
      </c>
      <c r="CC163" s="214" t="s">
        <v>10989</v>
      </c>
      <c r="CD163" s="218" t="s">
        <v>145</v>
      </c>
      <c r="CE163" s="214" t="s">
        <v>70</v>
      </c>
      <c r="CF163" s="214" t="s">
        <v>458</v>
      </c>
      <c r="CH163" s="214" t="s">
        <v>10990</v>
      </c>
      <c r="CI163" s="214" t="s">
        <v>950</v>
      </c>
      <c r="CJ163" s="214" t="s">
        <v>70</v>
      </c>
      <c r="CK163" s="214" t="s">
        <v>530</v>
      </c>
      <c r="CM163" s="214" t="s">
        <v>10991</v>
      </c>
      <c r="CN163" s="214" t="s">
        <v>485</v>
      </c>
      <c r="CO163" s="214" t="s">
        <v>70</v>
      </c>
      <c r="CP163" s="214" t="s">
        <v>530</v>
      </c>
      <c r="CR163" s="214" t="s">
        <v>10992</v>
      </c>
      <c r="CS163" s="214" t="s">
        <v>146</v>
      </c>
      <c r="CT163" s="214" t="s">
        <v>70</v>
      </c>
      <c r="CU163" s="214" t="s">
        <v>530</v>
      </c>
      <c r="CW163" s="214" t="s">
        <v>10993</v>
      </c>
      <c r="CX163" s="214" t="s">
        <v>485</v>
      </c>
      <c r="CY163" s="214" t="s">
        <v>70</v>
      </c>
      <c r="CZ163" s="214" t="s">
        <v>530</v>
      </c>
      <c r="DB163" s="214" t="s">
        <v>10994</v>
      </c>
      <c r="DC163" s="214" t="s">
        <v>488</v>
      </c>
      <c r="DD163" s="214" t="s">
        <v>70</v>
      </c>
      <c r="DE163" s="214" t="s">
        <v>530</v>
      </c>
      <c r="DG163" s="214" t="s">
        <v>10995</v>
      </c>
      <c r="DH163" s="214" t="s">
        <v>146</v>
      </c>
      <c r="DI163" s="214" t="s">
        <v>70</v>
      </c>
      <c r="DJ163" s="214" t="s">
        <v>530</v>
      </c>
      <c r="DL163" s="214" t="s">
        <v>10996</v>
      </c>
      <c r="DM163" s="214" t="s">
        <v>765</v>
      </c>
      <c r="DN163" s="214" t="s">
        <v>70</v>
      </c>
      <c r="DO163" s="214" t="s">
        <v>530</v>
      </c>
      <c r="DQ163" s="214" t="s">
        <v>10997</v>
      </c>
      <c r="DR163" s="214" t="s">
        <v>502</v>
      </c>
      <c r="DS163" s="214" t="s">
        <v>70</v>
      </c>
      <c r="DT163" s="214" t="s">
        <v>530</v>
      </c>
      <c r="DV163" s="214" t="s">
        <v>10998</v>
      </c>
      <c r="DW163" s="214" t="s">
        <v>87</v>
      </c>
      <c r="DX163" s="214" t="s">
        <v>70</v>
      </c>
      <c r="DY163" s="214" t="s">
        <v>530</v>
      </c>
      <c r="EA163" s="214" t="s">
        <v>10999</v>
      </c>
      <c r="EB163" s="214" t="s">
        <v>936</v>
      </c>
      <c r="EC163" s="214" t="s">
        <v>70</v>
      </c>
      <c r="ED163" s="214" t="s">
        <v>530</v>
      </c>
      <c r="EF163" s="214" t="s">
        <v>11000</v>
      </c>
      <c r="EG163" s="214" t="s">
        <v>163</v>
      </c>
      <c r="EH163" s="214" t="s">
        <v>70</v>
      </c>
      <c r="EI163" s="214" t="s">
        <v>530</v>
      </c>
      <c r="EK163" s="214" t="s">
        <v>11001</v>
      </c>
      <c r="EL163" s="214" t="s">
        <v>956</v>
      </c>
      <c r="EM163" s="214" t="s">
        <v>70</v>
      </c>
      <c r="EN163" s="214" t="s">
        <v>530</v>
      </c>
      <c r="EP163" s="214" t="s">
        <v>11002</v>
      </c>
      <c r="EQ163" s="214" t="s">
        <v>52</v>
      </c>
      <c r="ER163" s="214" t="s">
        <v>70</v>
      </c>
      <c r="ES163" s="214" t="s">
        <v>530</v>
      </c>
      <c r="EU163" s="214" t="s">
        <v>11003</v>
      </c>
      <c r="EV163" s="214" t="s">
        <v>52</v>
      </c>
      <c r="EW163" s="214" t="s">
        <v>70</v>
      </c>
      <c r="EX163" s="214" t="s">
        <v>530</v>
      </c>
      <c r="EZ163" s="214" t="s">
        <v>11004</v>
      </c>
      <c r="FA163" s="214" t="s">
        <v>485</v>
      </c>
      <c r="FB163" s="214" t="s">
        <v>70</v>
      </c>
      <c r="FC163" s="214" t="s">
        <v>530</v>
      </c>
      <c r="FE163" s="214" t="s">
        <v>11005</v>
      </c>
      <c r="FF163" s="214" t="s">
        <v>146</v>
      </c>
      <c r="FG163" s="214" t="s">
        <v>70</v>
      </c>
      <c r="FH163" s="214" t="s">
        <v>530</v>
      </c>
      <c r="FJ163" s="321" t="s">
        <v>11006</v>
      </c>
      <c r="FK163" s="214" t="s">
        <v>34587</v>
      </c>
      <c r="FL163" s="214" t="s">
        <v>70</v>
      </c>
      <c r="FM163" s="214" t="s">
        <v>530</v>
      </c>
      <c r="FO163" s="321" t="s">
        <v>11007</v>
      </c>
      <c r="FP163" s="214" t="s">
        <v>52</v>
      </c>
      <c r="FQ163" s="214" t="s">
        <v>70</v>
      </c>
      <c r="FR163" s="214" t="s">
        <v>530</v>
      </c>
      <c r="FT163" s="321" t="s">
        <v>11008</v>
      </c>
      <c r="FU163" s="214" t="s">
        <v>468</v>
      </c>
      <c r="FV163" s="214" t="s">
        <v>70</v>
      </c>
      <c r="FW163" s="214" t="s">
        <v>530</v>
      </c>
      <c r="FY163" s="321" t="s">
        <v>11009</v>
      </c>
      <c r="FZ163" s="214" t="s">
        <v>34550</v>
      </c>
      <c r="GA163" s="214" t="s">
        <v>70</v>
      </c>
      <c r="GB163" s="214" t="s">
        <v>530</v>
      </c>
      <c r="GD163" s="321" t="s">
        <v>11010</v>
      </c>
      <c r="GE163" s="214" t="s">
        <v>34544</v>
      </c>
      <c r="GF163" s="214" t="s">
        <v>70</v>
      </c>
      <c r="GG163" s="214" t="s">
        <v>530</v>
      </c>
      <c r="GI163" s="321" t="s">
        <v>11011</v>
      </c>
      <c r="GJ163" s="214" t="s">
        <v>34555</v>
      </c>
      <c r="GK163" s="214" t="s">
        <v>70</v>
      </c>
      <c r="GL163" s="214" t="s">
        <v>530</v>
      </c>
      <c r="GN163" s="321" t="s">
        <v>11012</v>
      </c>
      <c r="GO163" s="214" t="s">
        <v>922</v>
      </c>
      <c r="GP163" s="214" t="s">
        <v>70</v>
      </c>
      <c r="GQ163" s="214" t="s">
        <v>530</v>
      </c>
      <c r="GS163" s="321" t="s">
        <v>11013</v>
      </c>
      <c r="GT163" s="214" t="s">
        <v>52</v>
      </c>
      <c r="GU163" s="214" t="s">
        <v>70</v>
      </c>
      <c r="GV163" s="214" t="s">
        <v>530</v>
      </c>
      <c r="GX163" s="214" t="s">
        <v>11014</v>
      </c>
      <c r="GY163" s="214" t="s">
        <v>926</v>
      </c>
      <c r="GZ163" s="214" t="s">
        <v>70</v>
      </c>
      <c r="HA163" s="214" t="s">
        <v>530</v>
      </c>
      <c r="HC163" s="214" t="s">
        <v>11015</v>
      </c>
      <c r="HD163" s="214" t="s">
        <v>52</v>
      </c>
      <c r="HE163" s="214" t="s">
        <v>70</v>
      </c>
      <c r="HF163" s="214" t="s">
        <v>530</v>
      </c>
      <c r="HH163" s="214" t="s">
        <v>11016</v>
      </c>
      <c r="HI163" s="214" t="s">
        <v>163</v>
      </c>
      <c r="HJ163" s="214" t="s">
        <v>70</v>
      </c>
      <c r="HK163" s="214" t="s">
        <v>530</v>
      </c>
      <c r="HM163" s="214" t="s">
        <v>11017</v>
      </c>
      <c r="HN163" s="214" t="s">
        <v>52</v>
      </c>
      <c r="HO163" s="214" t="s">
        <v>70</v>
      </c>
      <c r="HP163" s="214" t="s">
        <v>530</v>
      </c>
      <c r="HR163" s="22" t="s">
        <v>11018</v>
      </c>
      <c r="HS163" s="22" t="s">
        <v>492</v>
      </c>
      <c r="HT163" s="22" t="s">
        <v>70</v>
      </c>
      <c r="HU163" s="214" t="s">
        <v>530</v>
      </c>
      <c r="HW163" s="22" t="s">
        <v>11019</v>
      </c>
      <c r="HX163" s="22" t="s">
        <v>484</v>
      </c>
      <c r="HY163" s="22" t="s">
        <v>70</v>
      </c>
      <c r="HZ163" s="214" t="s">
        <v>530</v>
      </c>
      <c r="IB163" s="22" t="s">
        <v>11020</v>
      </c>
      <c r="IC163" s="22" t="s">
        <v>950</v>
      </c>
      <c r="ID163" s="22" t="s">
        <v>70</v>
      </c>
      <c r="IE163" s="214" t="s">
        <v>530</v>
      </c>
      <c r="IG163" s="22" t="s">
        <v>11021</v>
      </c>
      <c r="IH163" s="22" t="s">
        <v>52</v>
      </c>
      <c r="II163" s="22" t="s">
        <v>70</v>
      </c>
      <c r="IJ163" s="214" t="s">
        <v>530</v>
      </c>
      <c r="IL163" s="22" t="s">
        <v>11022</v>
      </c>
      <c r="IM163" s="22" t="s">
        <v>145</v>
      </c>
      <c r="IN163" s="22" t="s">
        <v>70</v>
      </c>
      <c r="IO163" s="214" t="s">
        <v>530</v>
      </c>
      <c r="IQ163" s="236" t="s">
        <v>11023</v>
      </c>
      <c r="IR163" s="236" t="s">
        <v>145</v>
      </c>
      <c r="IS163" s="236" t="s">
        <v>74</v>
      </c>
      <c r="IT163" s="236" t="s">
        <v>841</v>
      </c>
      <c r="IV163" s="236" t="s">
        <v>11024</v>
      </c>
      <c r="IW163" s="236" t="s">
        <v>145</v>
      </c>
      <c r="IX163" s="236" t="s">
        <v>74</v>
      </c>
      <c r="IY163" s="236" t="s">
        <v>841</v>
      </c>
      <c r="JA163" s="236" t="s">
        <v>11025</v>
      </c>
      <c r="JB163" s="236" t="s">
        <v>145</v>
      </c>
      <c r="JC163" s="236" t="s">
        <v>74</v>
      </c>
      <c r="JD163" s="236" t="s">
        <v>841</v>
      </c>
      <c r="JF163" s="236" t="s">
        <v>11026</v>
      </c>
      <c r="JG163" s="236" t="s">
        <v>145</v>
      </c>
      <c r="JH163" s="236" t="s">
        <v>74</v>
      </c>
      <c r="JI163" s="236" t="s">
        <v>841</v>
      </c>
      <c r="JK163" s="236" t="s">
        <v>11027</v>
      </c>
      <c r="JL163" s="236" t="s">
        <v>145</v>
      </c>
      <c r="JM163" s="236" t="s">
        <v>74</v>
      </c>
      <c r="JN163" s="236" t="s">
        <v>841</v>
      </c>
      <c r="JP163" s="236" t="s">
        <v>11028</v>
      </c>
      <c r="JQ163" s="236" t="s">
        <v>145</v>
      </c>
      <c r="JR163" s="236" t="s">
        <v>74</v>
      </c>
      <c r="JS163" s="236" t="s">
        <v>841</v>
      </c>
      <c r="JU163" s="294" t="s">
        <v>11029</v>
      </c>
      <c r="JV163" s="294" t="s">
        <v>52</v>
      </c>
      <c r="JW163" s="263" t="s">
        <v>70</v>
      </c>
      <c r="JX163" s="294" t="s">
        <v>1083</v>
      </c>
      <c r="JZ163" s="263" t="s">
        <v>11030</v>
      </c>
      <c r="KA163" s="263" t="s">
        <v>145</v>
      </c>
      <c r="KB163" s="263" t="s">
        <v>70</v>
      </c>
      <c r="KC163" s="263" t="s">
        <v>1083</v>
      </c>
      <c r="KE163" s="263" t="s">
        <v>11031</v>
      </c>
      <c r="KF163" s="263" t="s">
        <v>52</v>
      </c>
      <c r="KG163" s="263" t="s">
        <v>70</v>
      </c>
      <c r="KH163" s="263" t="s">
        <v>1083</v>
      </c>
      <c r="KJ163" s="263" t="s">
        <v>11032</v>
      </c>
      <c r="KK163" s="263" t="s">
        <v>52</v>
      </c>
      <c r="KL163" s="263" t="s">
        <v>74</v>
      </c>
      <c r="KM163" s="263" t="s">
        <v>34074</v>
      </c>
      <c r="KO163" s="214" t="s">
        <v>11033</v>
      </c>
      <c r="KP163" s="214" t="s">
        <v>145</v>
      </c>
      <c r="KQ163" s="214" t="s">
        <v>70</v>
      </c>
      <c r="KR163" s="214" t="s">
        <v>67</v>
      </c>
      <c r="KT163" s="22" t="s">
        <v>11034</v>
      </c>
      <c r="KU163" s="22" t="s">
        <v>145</v>
      </c>
      <c r="KV163" s="22" t="s">
        <v>70</v>
      </c>
      <c r="KW163" s="22" t="s">
        <v>67</v>
      </c>
      <c r="KY163" s="214" t="s">
        <v>11035</v>
      </c>
      <c r="KZ163" s="214" t="s">
        <v>52</v>
      </c>
      <c r="LA163" s="214" t="s">
        <v>74</v>
      </c>
      <c r="LB163" s="214" t="s">
        <v>67</v>
      </c>
      <c r="LD163" s="22" t="s">
        <v>11036</v>
      </c>
      <c r="LE163" s="22" t="s">
        <v>145</v>
      </c>
      <c r="LF163" s="22" t="s">
        <v>70</v>
      </c>
      <c r="LG163" s="22" t="s">
        <v>67</v>
      </c>
    </row>
    <row r="164" spans="1:319">
      <c r="A164" s="22" t="s">
        <v>11037</v>
      </c>
      <c r="B164" s="22" t="s">
        <v>145</v>
      </c>
      <c r="C164" s="22" t="s">
        <v>70</v>
      </c>
      <c r="D164" s="22" t="s">
        <v>67</v>
      </c>
      <c r="F164" s="23" t="s">
        <v>11038</v>
      </c>
      <c r="G164" s="23" t="str">
        <f>TVIIBE1M_CalPairs!$E161</f>
        <v>0x00</v>
      </c>
      <c r="H164" s="233" t="s">
        <v>72</v>
      </c>
      <c r="I164" s="23" t="str">
        <f>TVIIBE1M_CalPairs!$C161</f>
        <v>PASS0_SAR1_DIG_CAL_VAL2</v>
      </c>
      <c r="K164" s="22" t="s">
        <v>11039</v>
      </c>
      <c r="L164" s="22" t="s">
        <v>145</v>
      </c>
      <c r="M164" s="22" t="s">
        <v>70</v>
      </c>
      <c r="N164" s="22" t="s">
        <v>67</v>
      </c>
      <c r="P164" s="22" t="s">
        <v>11040</v>
      </c>
      <c r="Q164" s="22" t="s">
        <v>145</v>
      </c>
      <c r="R164" s="22" t="s">
        <v>70</v>
      </c>
      <c r="S164" s="22" t="s">
        <v>67</v>
      </c>
      <c r="U164" s="293" t="s">
        <v>11041</v>
      </c>
      <c r="V164" s="293" t="s">
        <v>145</v>
      </c>
      <c r="W164" s="293" t="s">
        <v>74</v>
      </c>
      <c r="X164" s="293" t="s">
        <v>656</v>
      </c>
      <c r="Z164" s="293" t="s">
        <v>11042</v>
      </c>
      <c r="AA164" s="293" t="s">
        <v>145</v>
      </c>
      <c r="AB164" s="293" t="s">
        <v>74</v>
      </c>
      <c r="AC164" s="293" t="s">
        <v>656</v>
      </c>
      <c r="AE164" s="293" t="s">
        <v>11043</v>
      </c>
      <c r="AF164" s="293" t="s">
        <v>145</v>
      </c>
      <c r="AG164" s="293" t="s">
        <v>74</v>
      </c>
      <c r="AH164" s="293" t="s">
        <v>656</v>
      </c>
      <c r="AJ164" s="293" t="s">
        <v>11044</v>
      </c>
      <c r="AK164" s="293" t="s">
        <v>145</v>
      </c>
      <c r="AL164" s="293" t="s">
        <v>74</v>
      </c>
      <c r="AM164" s="293" t="s">
        <v>656</v>
      </c>
      <c r="AO164" s="22" t="s">
        <v>11045</v>
      </c>
      <c r="AP164" s="22" t="s">
        <v>145</v>
      </c>
      <c r="AQ164" s="22" t="s">
        <v>70</v>
      </c>
      <c r="AR164" s="22" t="s">
        <v>67</v>
      </c>
      <c r="AT164" s="22" t="s">
        <v>11046</v>
      </c>
      <c r="AU164" s="22" t="s">
        <v>145</v>
      </c>
      <c r="AV164" s="22" t="s">
        <v>70</v>
      </c>
      <c r="AW164" s="22" t="s">
        <v>67</v>
      </c>
      <c r="AY164" s="22" t="s">
        <v>11047</v>
      </c>
      <c r="AZ164" s="22" t="s">
        <v>145</v>
      </c>
      <c r="BA164" s="22" t="s">
        <v>70</v>
      </c>
      <c r="BB164" s="22" t="s">
        <v>67</v>
      </c>
      <c r="BD164" s="22" t="s">
        <v>11048</v>
      </c>
      <c r="BE164" s="22" t="s">
        <v>145</v>
      </c>
      <c r="BF164" s="22" t="s">
        <v>70</v>
      </c>
      <c r="BG164" s="22" t="s">
        <v>67</v>
      </c>
      <c r="BI164" s="22" t="s">
        <v>11049</v>
      </c>
      <c r="BJ164" s="22" t="s">
        <v>145</v>
      </c>
      <c r="BK164" s="22" t="s">
        <v>70</v>
      </c>
      <c r="BL164" s="22" t="s">
        <v>67</v>
      </c>
      <c r="BN164" s="22" t="s">
        <v>11050</v>
      </c>
      <c r="BO164" s="22" t="s">
        <v>145</v>
      </c>
      <c r="BP164" s="22" t="s">
        <v>70</v>
      </c>
      <c r="BQ164" s="22" t="s">
        <v>67</v>
      </c>
      <c r="BS164" s="22" t="s">
        <v>11051</v>
      </c>
      <c r="BT164" s="22" t="s">
        <v>145</v>
      </c>
      <c r="BU164" s="22" t="s">
        <v>70</v>
      </c>
      <c r="BV164" s="214" t="s">
        <v>530</v>
      </c>
      <c r="BX164" s="22" t="s">
        <v>11052</v>
      </c>
      <c r="BY164" s="22" t="s">
        <v>145</v>
      </c>
      <c r="BZ164" s="22" t="s">
        <v>70</v>
      </c>
      <c r="CA164" s="214" t="s">
        <v>530</v>
      </c>
      <c r="CC164" s="214" t="s">
        <v>11053</v>
      </c>
      <c r="CD164" s="218" t="s">
        <v>145</v>
      </c>
      <c r="CE164" s="214" t="s">
        <v>70</v>
      </c>
      <c r="CF164" s="214" t="s">
        <v>459</v>
      </c>
      <c r="CH164" s="214" t="s">
        <v>11054</v>
      </c>
      <c r="CI164" s="214" t="s">
        <v>468</v>
      </c>
      <c r="CJ164" s="214" t="s">
        <v>70</v>
      </c>
      <c r="CK164" s="214" t="s">
        <v>530</v>
      </c>
      <c r="CM164" s="214" t="s">
        <v>11055</v>
      </c>
      <c r="CN164" s="214" t="s">
        <v>52</v>
      </c>
      <c r="CO164" s="214" t="s">
        <v>70</v>
      </c>
      <c r="CP164" s="214" t="s">
        <v>530</v>
      </c>
      <c r="CR164" s="214" t="s">
        <v>11056</v>
      </c>
      <c r="CS164" s="214" t="s">
        <v>85</v>
      </c>
      <c r="CT164" s="214" t="s">
        <v>70</v>
      </c>
      <c r="CU164" s="214" t="s">
        <v>530</v>
      </c>
      <c r="CW164" s="214" t="s">
        <v>11057</v>
      </c>
      <c r="CX164" s="214" t="s">
        <v>34545</v>
      </c>
      <c r="CY164" s="214" t="s">
        <v>70</v>
      </c>
      <c r="CZ164" s="214" t="s">
        <v>530</v>
      </c>
      <c r="DB164" s="214" t="s">
        <v>11058</v>
      </c>
      <c r="DC164" s="214" t="s">
        <v>468</v>
      </c>
      <c r="DD164" s="214" t="s">
        <v>70</v>
      </c>
      <c r="DE164" s="214" t="s">
        <v>530</v>
      </c>
      <c r="DG164" s="214" t="s">
        <v>11059</v>
      </c>
      <c r="DH164" s="214" t="s">
        <v>85</v>
      </c>
      <c r="DI164" s="214" t="s">
        <v>70</v>
      </c>
      <c r="DJ164" s="214" t="s">
        <v>530</v>
      </c>
      <c r="DL164" s="214" t="s">
        <v>11060</v>
      </c>
      <c r="DM164" s="214" t="s">
        <v>937</v>
      </c>
      <c r="DN164" s="214" t="s">
        <v>70</v>
      </c>
      <c r="DO164" s="214" t="s">
        <v>530</v>
      </c>
      <c r="DQ164" s="214" t="s">
        <v>11061</v>
      </c>
      <c r="DR164" s="214" t="s">
        <v>34560</v>
      </c>
      <c r="DS164" s="214" t="s">
        <v>70</v>
      </c>
      <c r="DT164" s="214" t="s">
        <v>530</v>
      </c>
      <c r="DV164" s="214" t="s">
        <v>11062</v>
      </c>
      <c r="DW164" s="214" t="s">
        <v>93</v>
      </c>
      <c r="DX164" s="214" t="s">
        <v>70</v>
      </c>
      <c r="DY164" s="214" t="s">
        <v>530</v>
      </c>
      <c r="EA164" s="214" t="s">
        <v>11063</v>
      </c>
      <c r="EB164" s="214" t="s">
        <v>34578</v>
      </c>
      <c r="EC164" s="214" t="s">
        <v>70</v>
      </c>
      <c r="ED164" s="214" t="s">
        <v>530</v>
      </c>
      <c r="EF164" s="214" t="s">
        <v>11064</v>
      </c>
      <c r="EG164" s="214" t="s">
        <v>481</v>
      </c>
      <c r="EH164" s="214" t="s">
        <v>70</v>
      </c>
      <c r="EI164" s="214" t="s">
        <v>530</v>
      </c>
      <c r="EK164" s="214" t="s">
        <v>11065</v>
      </c>
      <c r="EL164" s="214" t="s">
        <v>145</v>
      </c>
      <c r="EM164" s="214" t="s">
        <v>70</v>
      </c>
      <c r="EN164" s="214" t="s">
        <v>530</v>
      </c>
      <c r="EP164" s="214" t="s">
        <v>11066</v>
      </c>
      <c r="EQ164" s="214" t="s">
        <v>90</v>
      </c>
      <c r="ER164" s="214" t="s">
        <v>70</v>
      </c>
      <c r="ES164" s="214" t="s">
        <v>530</v>
      </c>
      <c r="EU164" s="214" t="s">
        <v>11067</v>
      </c>
      <c r="EV164" s="214" t="s">
        <v>89</v>
      </c>
      <c r="EW164" s="214" t="s">
        <v>70</v>
      </c>
      <c r="EX164" s="214" t="s">
        <v>530</v>
      </c>
      <c r="EZ164" s="214" t="s">
        <v>11068</v>
      </c>
      <c r="FA164" s="214" t="s">
        <v>85</v>
      </c>
      <c r="FB164" s="214" t="s">
        <v>70</v>
      </c>
      <c r="FC164" s="214" t="s">
        <v>530</v>
      </c>
      <c r="FE164" s="214" t="s">
        <v>11069</v>
      </c>
      <c r="FF164" s="214" t="s">
        <v>90</v>
      </c>
      <c r="FG164" s="214" t="s">
        <v>70</v>
      </c>
      <c r="FH164" s="214" t="s">
        <v>530</v>
      </c>
      <c r="FJ164" s="321" t="s">
        <v>11070</v>
      </c>
      <c r="FK164" s="214" t="s">
        <v>910</v>
      </c>
      <c r="FL164" s="214" t="s">
        <v>70</v>
      </c>
      <c r="FM164" s="214" t="s">
        <v>530</v>
      </c>
      <c r="FO164" s="321" t="s">
        <v>11071</v>
      </c>
      <c r="FP164" s="214" t="s">
        <v>286</v>
      </c>
      <c r="FQ164" s="214" t="s">
        <v>70</v>
      </c>
      <c r="FR164" s="214" t="s">
        <v>530</v>
      </c>
      <c r="FT164" s="321" t="s">
        <v>11072</v>
      </c>
      <c r="FU164" s="214" t="s">
        <v>103</v>
      </c>
      <c r="FV164" s="214" t="s">
        <v>70</v>
      </c>
      <c r="FW164" s="214" t="s">
        <v>530</v>
      </c>
      <c r="FY164" s="321" t="s">
        <v>11073</v>
      </c>
      <c r="FZ164" s="214" t="s">
        <v>163</v>
      </c>
      <c r="GA164" s="214" t="s">
        <v>70</v>
      </c>
      <c r="GB164" s="214" t="s">
        <v>530</v>
      </c>
      <c r="GD164" s="321" t="s">
        <v>11074</v>
      </c>
      <c r="GE164" s="214" t="s">
        <v>103</v>
      </c>
      <c r="GF164" s="214" t="s">
        <v>70</v>
      </c>
      <c r="GG164" s="214" t="s">
        <v>530</v>
      </c>
      <c r="GI164" s="321" t="s">
        <v>11075</v>
      </c>
      <c r="GJ164" s="214" t="s">
        <v>34637</v>
      </c>
      <c r="GK164" s="214" t="s">
        <v>70</v>
      </c>
      <c r="GL164" s="214" t="s">
        <v>530</v>
      </c>
      <c r="GN164" s="321" t="s">
        <v>11076</v>
      </c>
      <c r="GO164" s="214" t="s">
        <v>88</v>
      </c>
      <c r="GP164" s="214" t="s">
        <v>70</v>
      </c>
      <c r="GQ164" s="214" t="s">
        <v>530</v>
      </c>
      <c r="GS164" s="321" t="s">
        <v>11077</v>
      </c>
      <c r="GT164" s="214" t="s">
        <v>145</v>
      </c>
      <c r="GU164" s="214" t="s">
        <v>70</v>
      </c>
      <c r="GV164" s="214" t="s">
        <v>530</v>
      </c>
      <c r="GX164" s="214" t="s">
        <v>11078</v>
      </c>
      <c r="GY164" s="214" t="s">
        <v>52</v>
      </c>
      <c r="GZ164" s="214" t="s">
        <v>70</v>
      </c>
      <c r="HA164" s="214" t="s">
        <v>530</v>
      </c>
      <c r="HC164" s="214" t="s">
        <v>11079</v>
      </c>
      <c r="HD164" s="214" t="s">
        <v>34556</v>
      </c>
      <c r="HE164" s="214" t="s">
        <v>70</v>
      </c>
      <c r="HF164" s="214" t="s">
        <v>530</v>
      </c>
      <c r="HH164" s="214" t="s">
        <v>11080</v>
      </c>
      <c r="HI164" s="214" t="s">
        <v>85</v>
      </c>
      <c r="HJ164" s="214" t="s">
        <v>70</v>
      </c>
      <c r="HK164" s="214" t="s">
        <v>530</v>
      </c>
      <c r="HM164" s="214" t="s">
        <v>11081</v>
      </c>
      <c r="HN164" s="214" t="s">
        <v>52</v>
      </c>
      <c r="HO164" s="214" t="s">
        <v>70</v>
      </c>
      <c r="HP164" s="214" t="s">
        <v>530</v>
      </c>
      <c r="HR164" s="22" t="s">
        <v>11082</v>
      </c>
      <c r="HS164" s="22" t="s">
        <v>88</v>
      </c>
      <c r="HT164" s="22" t="s">
        <v>70</v>
      </c>
      <c r="HU164" s="214" t="s">
        <v>530</v>
      </c>
      <c r="HW164" s="22" t="s">
        <v>11083</v>
      </c>
      <c r="HX164" s="22" t="s">
        <v>603</v>
      </c>
      <c r="HY164" s="22" t="s">
        <v>70</v>
      </c>
      <c r="HZ164" s="214" t="s">
        <v>530</v>
      </c>
      <c r="IB164" s="22" t="s">
        <v>11084</v>
      </c>
      <c r="IC164" s="22" t="s">
        <v>145</v>
      </c>
      <c r="ID164" s="22" t="s">
        <v>70</v>
      </c>
      <c r="IE164" s="214" t="s">
        <v>530</v>
      </c>
      <c r="IG164" s="22" t="s">
        <v>11085</v>
      </c>
      <c r="IH164" s="22" t="s">
        <v>52</v>
      </c>
      <c r="II164" s="22" t="s">
        <v>70</v>
      </c>
      <c r="IJ164" s="214" t="s">
        <v>530</v>
      </c>
      <c r="IL164" s="22" t="s">
        <v>11086</v>
      </c>
      <c r="IM164" s="22" t="s">
        <v>145</v>
      </c>
      <c r="IN164" s="22" t="s">
        <v>70</v>
      </c>
      <c r="IO164" s="214" t="s">
        <v>530</v>
      </c>
      <c r="IQ164" s="236" t="s">
        <v>11087</v>
      </c>
      <c r="IR164" s="236" t="s">
        <v>145</v>
      </c>
      <c r="IS164" s="236" t="s">
        <v>74</v>
      </c>
      <c r="IT164" s="236" t="s">
        <v>841</v>
      </c>
      <c r="IV164" s="236" t="s">
        <v>11088</v>
      </c>
      <c r="IW164" s="236" t="s">
        <v>145</v>
      </c>
      <c r="IX164" s="236" t="s">
        <v>74</v>
      </c>
      <c r="IY164" s="236" t="s">
        <v>841</v>
      </c>
      <c r="JA164" s="236" t="s">
        <v>11089</v>
      </c>
      <c r="JB164" s="236" t="s">
        <v>145</v>
      </c>
      <c r="JC164" s="236" t="s">
        <v>74</v>
      </c>
      <c r="JD164" s="236" t="s">
        <v>841</v>
      </c>
      <c r="JF164" s="236" t="s">
        <v>11090</v>
      </c>
      <c r="JG164" s="236" t="s">
        <v>145</v>
      </c>
      <c r="JH164" s="236" t="s">
        <v>74</v>
      </c>
      <c r="JI164" s="236" t="s">
        <v>841</v>
      </c>
      <c r="JK164" s="236" t="s">
        <v>11091</v>
      </c>
      <c r="JL164" s="236" t="s">
        <v>145</v>
      </c>
      <c r="JM164" s="236" t="s">
        <v>74</v>
      </c>
      <c r="JN164" s="236" t="s">
        <v>841</v>
      </c>
      <c r="JP164" s="236" t="s">
        <v>11092</v>
      </c>
      <c r="JQ164" s="236" t="s">
        <v>145</v>
      </c>
      <c r="JR164" s="236" t="s">
        <v>74</v>
      </c>
      <c r="JS164" s="236" t="s">
        <v>841</v>
      </c>
      <c r="JU164" s="294" t="s">
        <v>11093</v>
      </c>
      <c r="JV164" s="294" t="s">
        <v>52</v>
      </c>
      <c r="JW164" s="263" t="s">
        <v>70</v>
      </c>
      <c r="JX164" s="294" t="s">
        <v>1083</v>
      </c>
      <c r="JZ164" s="263" t="s">
        <v>11094</v>
      </c>
      <c r="KA164" s="263" t="s">
        <v>145</v>
      </c>
      <c r="KB164" s="263" t="s">
        <v>70</v>
      </c>
      <c r="KC164" s="263" t="s">
        <v>1083</v>
      </c>
      <c r="KE164" s="263" t="s">
        <v>11095</v>
      </c>
      <c r="KF164" s="263" t="s">
        <v>52</v>
      </c>
      <c r="KG164" s="263" t="s">
        <v>70</v>
      </c>
      <c r="KH164" s="263" t="s">
        <v>1083</v>
      </c>
      <c r="KJ164" s="263" t="s">
        <v>11096</v>
      </c>
      <c r="KK164" s="263" t="s">
        <v>52</v>
      </c>
      <c r="KL164" s="263" t="s">
        <v>74</v>
      </c>
      <c r="KM164" s="263" t="s">
        <v>34074</v>
      </c>
      <c r="KO164" s="214" t="s">
        <v>11097</v>
      </c>
      <c r="KP164" s="214" t="s">
        <v>145</v>
      </c>
      <c r="KQ164" s="214" t="s">
        <v>70</v>
      </c>
      <c r="KR164" s="214" t="s">
        <v>67</v>
      </c>
      <c r="KT164" s="22" t="s">
        <v>11098</v>
      </c>
      <c r="KU164" s="22" t="s">
        <v>145</v>
      </c>
      <c r="KV164" s="22" t="s">
        <v>70</v>
      </c>
      <c r="KW164" s="22" t="s">
        <v>67</v>
      </c>
      <c r="KY164" s="214" t="s">
        <v>11099</v>
      </c>
      <c r="KZ164" s="214" t="s">
        <v>52</v>
      </c>
      <c r="LA164" s="214" t="s">
        <v>74</v>
      </c>
      <c r="LB164" s="214" t="s">
        <v>67</v>
      </c>
      <c r="LD164" s="22" t="s">
        <v>11100</v>
      </c>
      <c r="LE164" s="22" t="s">
        <v>145</v>
      </c>
      <c r="LF164" s="22" t="s">
        <v>70</v>
      </c>
      <c r="LG164" s="22" t="s">
        <v>67</v>
      </c>
    </row>
    <row r="165" spans="1:319">
      <c r="A165" s="22" t="s">
        <v>11101</v>
      </c>
      <c r="B165" s="22" t="s">
        <v>145</v>
      </c>
      <c r="C165" s="22" t="s">
        <v>70</v>
      </c>
      <c r="D165" s="22" t="s">
        <v>67</v>
      </c>
      <c r="F165" s="23" t="s">
        <v>11102</v>
      </c>
      <c r="G165" s="23" t="str">
        <f>TVIIBE1M_CalPairs!$E162</f>
        <v>0x00</v>
      </c>
      <c r="H165" s="23" t="s">
        <v>72</v>
      </c>
      <c r="I165" s="23" t="str">
        <f>TVIIBE1M_CalPairs!$C162</f>
        <v>PASS0_SAR1_DIG_CAL_VAL3</v>
      </c>
      <c r="K165" s="22" t="s">
        <v>11103</v>
      </c>
      <c r="L165" s="22" t="s">
        <v>145</v>
      </c>
      <c r="M165" s="22" t="s">
        <v>70</v>
      </c>
      <c r="N165" s="22" t="s">
        <v>67</v>
      </c>
      <c r="P165" s="22" t="s">
        <v>11104</v>
      </c>
      <c r="Q165" s="22" t="s">
        <v>145</v>
      </c>
      <c r="R165" s="22" t="s">
        <v>70</v>
      </c>
      <c r="S165" s="22" t="s">
        <v>67</v>
      </c>
      <c r="U165" s="293" t="s">
        <v>11105</v>
      </c>
      <c r="V165" s="293" t="s">
        <v>145</v>
      </c>
      <c r="W165" s="293" t="s">
        <v>74</v>
      </c>
      <c r="X165" s="293" t="s">
        <v>656</v>
      </c>
      <c r="Z165" s="293" t="s">
        <v>11106</v>
      </c>
      <c r="AA165" s="293" t="s">
        <v>145</v>
      </c>
      <c r="AB165" s="293" t="s">
        <v>74</v>
      </c>
      <c r="AC165" s="293" t="s">
        <v>656</v>
      </c>
      <c r="AE165" s="293" t="s">
        <v>11107</v>
      </c>
      <c r="AF165" s="293" t="s">
        <v>145</v>
      </c>
      <c r="AG165" s="293" t="s">
        <v>74</v>
      </c>
      <c r="AH165" s="293" t="s">
        <v>656</v>
      </c>
      <c r="AJ165" s="293" t="s">
        <v>11108</v>
      </c>
      <c r="AK165" s="293" t="s">
        <v>145</v>
      </c>
      <c r="AL165" s="293" t="s">
        <v>74</v>
      </c>
      <c r="AM165" s="293" t="s">
        <v>656</v>
      </c>
      <c r="AO165" s="22" t="s">
        <v>11109</v>
      </c>
      <c r="AP165" s="22" t="s">
        <v>145</v>
      </c>
      <c r="AQ165" s="22" t="s">
        <v>70</v>
      </c>
      <c r="AR165" s="22" t="s">
        <v>67</v>
      </c>
      <c r="AT165" s="22" t="s">
        <v>11110</v>
      </c>
      <c r="AU165" s="22" t="s">
        <v>145</v>
      </c>
      <c r="AV165" s="22" t="s">
        <v>70</v>
      </c>
      <c r="AW165" s="22" t="s">
        <v>67</v>
      </c>
      <c r="AY165" s="22" t="s">
        <v>11111</v>
      </c>
      <c r="AZ165" s="22" t="s">
        <v>145</v>
      </c>
      <c r="BA165" s="22" t="s">
        <v>70</v>
      </c>
      <c r="BB165" s="22" t="s">
        <v>67</v>
      </c>
      <c r="BD165" s="22" t="s">
        <v>11112</v>
      </c>
      <c r="BE165" s="22" t="s">
        <v>145</v>
      </c>
      <c r="BF165" s="22" t="s">
        <v>70</v>
      </c>
      <c r="BG165" s="22" t="s">
        <v>67</v>
      </c>
      <c r="BI165" s="22" t="s">
        <v>11113</v>
      </c>
      <c r="BJ165" s="22" t="s">
        <v>145</v>
      </c>
      <c r="BK165" s="22" t="s">
        <v>70</v>
      </c>
      <c r="BL165" s="22" t="s">
        <v>67</v>
      </c>
      <c r="BN165" s="22" t="s">
        <v>11114</v>
      </c>
      <c r="BO165" s="22" t="s">
        <v>145</v>
      </c>
      <c r="BP165" s="22" t="s">
        <v>70</v>
      </c>
      <c r="BQ165" s="22" t="s">
        <v>67</v>
      </c>
      <c r="BS165" s="22" t="s">
        <v>11115</v>
      </c>
      <c r="BT165" s="22" t="s">
        <v>145</v>
      </c>
      <c r="BU165" s="22" t="s">
        <v>70</v>
      </c>
      <c r="BV165" s="214" t="s">
        <v>530</v>
      </c>
      <c r="BX165" s="22" t="s">
        <v>11116</v>
      </c>
      <c r="BY165" s="22" t="s">
        <v>145</v>
      </c>
      <c r="BZ165" s="22" t="s">
        <v>70</v>
      </c>
      <c r="CA165" s="214" t="s">
        <v>530</v>
      </c>
      <c r="CC165" s="214" t="s">
        <v>11117</v>
      </c>
      <c r="CD165" s="218" t="s">
        <v>145</v>
      </c>
      <c r="CE165" s="214" t="s">
        <v>70</v>
      </c>
      <c r="CF165" s="214" t="s">
        <v>460</v>
      </c>
      <c r="CH165" s="214" t="s">
        <v>11118</v>
      </c>
      <c r="CI165" s="214" t="s">
        <v>926</v>
      </c>
      <c r="CJ165" s="214" t="s">
        <v>70</v>
      </c>
      <c r="CK165" s="214" t="s">
        <v>530</v>
      </c>
      <c r="CM165" s="214" t="s">
        <v>11119</v>
      </c>
      <c r="CN165" s="214" t="s">
        <v>34542</v>
      </c>
      <c r="CO165" s="214" t="s">
        <v>70</v>
      </c>
      <c r="CP165" s="214" t="s">
        <v>530</v>
      </c>
      <c r="CR165" s="214" t="s">
        <v>11120</v>
      </c>
      <c r="CS165" s="214" t="s">
        <v>34618</v>
      </c>
      <c r="CT165" s="214" t="s">
        <v>70</v>
      </c>
      <c r="CU165" s="214" t="s">
        <v>530</v>
      </c>
      <c r="CW165" s="214" t="s">
        <v>11121</v>
      </c>
      <c r="CX165" s="214" t="s">
        <v>34551</v>
      </c>
      <c r="CY165" s="214" t="s">
        <v>70</v>
      </c>
      <c r="CZ165" s="214" t="s">
        <v>530</v>
      </c>
      <c r="DB165" s="214" t="s">
        <v>11122</v>
      </c>
      <c r="DC165" s="214" t="s">
        <v>484</v>
      </c>
      <c r="DD165" s="214" t="s">
        <v>70</v>
      </c>
      <c r="DE165" s="214" t="s">
        <v>530</v>
      </c>
      <c r="DG165" s="214" t="s">
        <v>11123</v>
      </c>
      <c r="DH165" s="214" t="s">
        <v>921</v>
      </c>
      <c r="DI165" s="214" t="s">
        <v>70</v>
      </c>
      <c r="DJ165" s="214" t="s">
        <v>530</v>
      </c>
      <c r="DL165" s="214" t="s">
        <v>11124</v>
      </c>
      <c r="DM165" s="214" t="s">
        <v>926</v>
      </c>
      <c r="DN165" s="214" t="s">
        <v>70</v>
      </c>
      <c r="DO165" s="214" t="s">
        <v>530</v>
      </c>
      <c r="DQ165" s="214" t="s">
        <v>11125</v>
      </c>
      <c r="DR165" s="214" t="s">
        <v>164</v>
      </c>
      <c r="DS165" s="214" t="s">
        <v>70</v>
      </c>
      <c r="DT165" s="214" t="s">
        <v>530</v>
      </c>
      <c r="DV165" s="214" t="s">
        <v>11126</v>
      </c>
      <c r="DW165" s="214" t="s">
        <v>486</v>
      </c>
      <c r="DX165" s="214" t="s">
        <v>70</v>
      </c>
      <c r="DY165" s="214" t="s">
        <v>530</v>
      </c>
      <c r="EA165" s="214" t="s">
        <v>11127</v>
      </c>
      <c r="EB165" s="214" t="s">
        <v>912</v>
      </c>
      <c r="EC165" s="214" t="s">
        <v>70</v>
      </c>
      <c r="ED165" s="214" t="s">
        <v>530</v>
      </c>
      <c r="EF165" s="214" t="s">
        <v>11128</v>
      </c>
      <c r="EG165" s="214" t="s">
        <v>921</v>
      </c>
      <c r="EH165" s="214" t="s">
        <v>70</v>
      </c>
      <c r="EI165" s="214" t="s">
        <v>530</v>
      </c>
      <c r="EK165" s="214" t="s">
        <v>11129</v>
      </c>
      <c r="EL165" s="214" t="s">
        <v>34541</v>
      </c>
      <c r="EM165" s="214" t="s">
        <v>70</v>
      </c>
      <c r="EN165" s="214" t="s">
        <v>530</v>
      </c>
      <c r="EP165" s="214" t="s">
        <v>11130</v>
      </c>
      <c r="EQ165" s="214" t="s">
        <v>599</v>
      </c>
      <c r="ER165" s="214" t="s">
        <v>70</v>
      </c>
      <c r="ES165" s="214" t="s">
        <v>530</v>
      </c>
      <c r="EU165" s="214" t="s">
        <v>11131</v>
      </c>
      <c r="EV165" s="214" t="s">
        <v>482</v>
      </c>
      <c r="EW165" s="214" t="s">
        <v>70</v>
      </c>
      <c r="EX165" s="214" t="s">
        <v>530</v>
      </c>
      <c r="EZ165" s="214" t="s">
        <v>11132</v>
      </c>
      <c r="FA165" s="214" t="s">
        <v>34544</v>
      </c>
      <c r="FB165" s="214" t="s">
        <v>70</v>
      </c>
      <c r="FC165" s="214" t="s">
        <v>530</v>
      </c>
      <c r="FE165" s="214" t="s">
        <v>11133</v>
      </c>
      <c r="FF165" s="214" t="s">
        <v>921</v>
      </c>
      <c r="FG165" s="214" t="s">
        <v>70</v>
      </c>
      <c r="FH165" s="214" t="s">
        <v>530</v>
      </c>
      <c r="FJ165" s="321" t="s">
        <v>11134</v>
      </c>
      <c r="FK165" s="214" t="s">
        <v>926</v>
      </c>
      <c r="FL165" s="214" t="s">
        <v>70</v>
      </c>
      <c r="FM165" s="214" t="s">
        <v>530</v>
      </c>
      <c r="FO165" s="321" t="s">
        <v>11135</v>
      </c>
      <c r="FP165" s="214" t="s">
        <v>52</v>
      </c>
      <c r="FQ165" s="214" t="s">
        <v>70</v>
      </c>
      <c r="FR165" s="214" t="s">
        <v>530</v>
      </c>
      <c r="FT165" s="321" t="s">
        <v>11136</v>
      </c>
      <c r="FU165" s="214" t="s">
        <v>950</v>
      </c>
      <c r="FV165" s="214" t="s">
        <v>70</v>
      </c>
      <c r="FW165" s="214" t="s">
        <v>530</v>
      </c>
      <c r="FY165" s="321" t="s">
        <v>11137</v>
      </c>
      <c r="FZ165" s="214" t="s">
        <v>34558</v>
      </c>
      <c r="GA165" s="214" t="s">
        <v>70</v>
      </c>
      <c r="GB165" s="214" t="s">
        <v>530</v>
      </c>
      <c r="GD165" s="321" t="s">
        <v>11138</v>
      </c>
      <c r="GE165" s="214" t="s">
        <v>485</v>
      </c>
      <c r="GF165" s="214" t="s">
        <v>70</v>
      </c>
      <c r="GG165" s="214" t="s">
        <v>530</v>
      </c>
      <c r="GI165" s="321" t="s">
        <v>11139</v>
      </c>
      <c r="GJ165" s="214" t="s">
        <v>93</v>
      </c>
      <c r="GK165" s="214" t="s">
        <v>70</v>
      </c>
      <c r="GL165" s="214" t="s">
        <v>530</v>
      </c>
      <c r="GN165" s="321" t="s">
        <v>11140</v>
      </c>
      <c r="GO165" s="214" t="s">
        <v>34599</v>
      </c>
      <c r="GP165" s="214" t="s">
        <v>70</v>
      </c>
      <c r="GQ165" s="214" t="s">
        <v>530</v>
      </c>
      <c r="GS165" s="321" t="s">
        <v>11141</v>
      </c>
      <c r="GT165" s="214" t="s">
        <v>34541</v>
      </c>
      <c r="GU165" s="214" t="s">
        <v>70</v>
      </c>
      <c r="GV165" s="214" t="s">
        <v>530</v>
      </c>
      <c r="GX165" s="214" t="s">
        <v>11142</v>
      </c>
      <c r="GY165" s="214" t="s">
        <v>34558</v>
      </c>
      <c r="GZ165" s="214" t="s">
        <v>70</v>
      </c>
      <c r="HA165" s="214" t="s">
        <v>530</v>
      </c>
      <c r="HC165" s="214" t="s">
        <v>11143</v>
      </c>
      <c r="HD165" s="214" t="s">
        <v>34541</v>
      </c>
      <c r="HE165" s="214" t="s">
        <v>70</v>
      </c>
      <c r="HF165" s="214" t="s">
        <v>530</v>
      </c>
      <c r="HH165" s="214" t="s">
        <v>11144</v>
      </c>
      <c r="HI165" s="214" t="s">
        <v>486</v>
      </c>
      <c r="HJ165" s="214" t="s">
        <v>70</v>
      </c>
      <c r="HK165" s="214" t="s">
        <v>530</v>
      </c>
      <c r="HM165" s="214" t="s">
        <v>11145</v>
      </c>
      <c r="HN165" s="214" t="s">
        <v>955</v>
      </c>
      <c r="HO165" s="214" t="s">
        <v>70</v>
      </c>
      <c r="HP165" s="214" t="s">
        <v>530</v>
      </c>
      <c r="HR165" s="22" t="s">
        <v>11146</v>
      </c>
      <c r="HS165" s="22" t="s">
        <v>34558</v>
      </c>
      <c r="HT165" s="22" t="s">
        <v>70</v>
      </c>
      <c r="HU165" s="214" t="s">
        <v>530</v>
      </c>
      <c r="HW165" s="22" t="s">
        <v>11147</v>
      </c>
      <c r="HX165" s="22" t="s">
        <v>501</v>
      </c>
      <c r="HY165" s="22" t="s">
        <v>70</v>
      </c>
      <c r="HZ165" s="214" t="s">
        <v>530</v>
      </c>
      <c r="IB165" s="22" t="s">
        <v>11148</v>
      </c>
      <c r="IC165" s="22" t="s">
        <v>34541</v>
      </c>
      <c r="ID165" s="22" t="s">
        <v>70</v>
      </c>
      <c r="IE165" s="214" t="s">
        <v>530</v>
      </c>
      <c r="IG165" s="22" t="s">
        <v>11149</v>
      </c>
      <c r="IH165" s="22" t="s">
        <v>52</v>
      </c>
      <c r="II165" s="22" t="s">
        <v>70</v>
      </c>
      <c r="IJ165" s="214" t="s">
        <v>530</v>
      </c>
      <c r="IL165" s="22" t="s">
        <v>11150</v>
      </c>
      <c r="IM165" s="22" t="s">
        <v>145</v>
      </c>
      <c r="IN165" s="22" t="s">
        <v>70</v>
      </c>
      <c r="IO165" s="214" t="s">
        <v>530</v>
      </c>
      <c r="IQ165" s="236" t="s">
        <v>11151</v>
      </c>
      <c r="IR165" s="236" t="s">
        <v>145</v>
      </c>
      <c r="IS165" s="236" t="s">
        <v>74</v>
      </c>
      <c r="IT165" s="236" t="s">
        <v>841</v>
      </c>
      <c r="IV165" s="236" t="s">
        <v>11152</v>
      </c>
      <c r="IW165" s="236" t="s">
        <v>145</v>
      </c>
      <c r="IX165" s="236" t="s">
        <v>74</v>
      </c>
      <c r="IY165" s="236" t="s">
        <v>841</v>
      </c>
      <c r="JA165" s="236" t="s">
        <v>11153</v>
      </c>
      <c r="JB165" s="236" t="s">
        <v>145</v>
      </c>
      <c r="JC165" s="236" t="s">
        <v>74</v>
      </c>
      <c r="JD165" s="236" t="s">
        <v>841</v>
      </c>
      <c r="JF165" s="236" t="s">
        <v>11154</v>
      </c>
      <c r="JG165" s="236" t="s">
        <v>145</v>
      </c>
      <c r="JH165" s="236" t="s">
        <v>74</v>
      </c>
      <c r="JI165" s="236" t="s">
        <v>841</v>
      </c>
      <c r="JK165" s="236" t="s">
        <v>11155</v>
      </c>
      <c r="JL165" s="236" t="s">
        <v>145</v>
      </c>
      <c r="JM165" s="236" t="s">
        <v>74</v>
      </c>
      <c r="JN165" s="236" t="s">
        <v>841</v>
      </c>
      <c r="JP165" s="236" t="s">
        <v>11156</v>
      </c>
      <c r="JQ165" s="236" t="s">
        <v>145</v>
      </c>
      <c r="JR165" s="236" t="s">
        <v>74</v>
      </c>
      <c r="JS165" s="236" t="s">
        <v>841</v>
      </c>
      <c r="JU165" s="294" t="s">
        <v>11157</v>
      </c>
      <c r="JV165" s="294" t="s">
        <v>52</v>
      </c>
      <c r="JW165" s="263" t="s">
        <v>70</v>
      </c>
      <c r="JX165" s="294" t="s">
        <v>1083</v>
      </c>
      <c r="JZ165" s="263" t="s">
        <v>11158</v>
      </c>
      <c r="KA165" s="263" t="s">
        <v>145</v>
      </c>
      <c r="KB165" s="263" t="s">
        <v>70</v>
      </c>
      <c r="KC165" s="263" t="s">
        <v>1083</v>
      </c>
      <c r="KE165" s="263" t="s">
        <v>11159</v>
      </c>
      <c r="KF165" s="263" t="s">
        <v>52</v>
      </c>
      <c r="KG165" s="263" t="s">
        <v>70</v>
      </c>
      <c r="KH165" s="263" t="s">
        <v>1083</v>
      </c>
      <c r="KJ165" s="263" t="s">
        <v>11160</v>
      </c>
      <c r="KK165" s="263" t="s">
        <v>52</v>
      </c>
      <c r="KL165" s="263" t="s">
        <v>74</v>
      </c>
      <c r="KM165" s="263" t="s">
        <v>34074</v>
      </c>
      <c r="KO165" s="214" t="s">
        <v>11161</v>
      </c>
      <c r="KP165" s="214" t="s">
        <v>145</v>
      </c>
      <c r="KQ165" s="214" t="s">
        <v>70</v>
      </c>
      <c r="KR165" s="214" t="s">
        <v>67</v>
      </c>
      <c r="KT165" s="22" t="s">
        <v>11162</v>
      </c>
      <c r="KU165" s="22" t="s">
        <v>145</v>
      </c>
      <c r="KV165" s="22" t="s">
        <v>70</v>
      </c>
      <c r="KW165" s="22" t="s">
        <v>67</v>
      </c>
      <c r="KY165" s="214" t="s">
        <v>11163</v>
      </c>
      <c r="KZ165" s="214" t="s">
        <v>52</v>
      </c>
      <c r="LA165" s="214" t="s">
        <v>74</v>
      </c>
      <c r="LB165" s="214" t="s">
        <v>67</v>
      </c>
      <c r="LD165" s="22" t="s">
        <v>11164</v>
      </c>
      <c r="LE165" s="22" t="s">
        <v>145</v>
      </c>
      <c r="LF165" s="22" t="s">
        <v>70</v>
      </c>
      <c r="LG165" s="22" t="s">
        <v>67</v>
      </c>
    </row>
    <row r="166" spans="1:319">
      <c r="A166" s="22" t="s">
        <v>11165</v>
      </c>
      <c r="B166" s="22" t="s">
        <v>145</v>
      </c>
      <c r="C166" s="22" t="s">
        <v>70</v>
      </c>
      <c r="D166" s="22" t="s">
        <v>67</v>
      </c>
      <c r="F166" s="23" t="s">
        <v>11166</v>
      </c>
      <c r="G166" s="23" t="str">
        <f>TVIIBE1M_CalPairs!$E163</f>
        <v>0x31</v>
      </c>
      <c r="H166" s="23" t="s">
        <v>70</v>
      </c>
      <c r="I166" s="23" t="str">
        <f>TVIIBE1M_CalPairs!$C163</f>
        <v>PASS0_SAR2_CMD</v>
      </c>
      <c r="K166" s="22" t="s">
        <v>11167</v>
      </c>
      <c r="L166" s="22" t="s">
        <v>145</v>
      </c>
      <c r="M166" s="22" t="s">
        <v>70</v>
      </c>
      <c r="N166" s="22" t="s">
        <v>67</v>
      </c>
      <c r="P166" s="22" t="s">
        <v>11168</v>
      </c>
      <c r="Q166" s="22" t="s">
        <v>145</v>
      </c>
      <c r="R166" s="22" t="s">
        <v>70</v>
      </c>
      <c r="S166" s="22" t="s">
        <v>67</v>
      </c>
      <c r="U166" s="293" t="s">
        <v>11169</v>
      </c>
      <c r="V166" s="293" t="s">
        <v>145</v>
      </c>
      <c r="W166" s="293" t="s">
        <v>74</v>
      </c>
      <c r="X166" s="293" t="s">
        <v>656</v>
      </c>
      <c r="Z166" s="293" t="s">
        <v>11170</v>
      </c>
      <c r="AA166" s="293" t="s">
        <v>145</v>
      </c>
      <c r="AB166" s="293" t="s">
        <v>74</v>
      </c>
      <c r="AC166" s="293" t="s">
        <v>656</v>
      </c>
      <c r="AE166" s="293" t="s">
        <v>11171</v>
      </c>
      <c r="AF166" s="293" t="s">
        <v>145</v>
      </c>
      <c r="AG166" s="293" t="s">
        <v>74</v>
      </c>
      <c r="AH166" s="293" t="s">
        <v>656</v>
      </c>
      <c r="AJ166" s="293" t="s">
        <v>11172</v>
      </c>
      <c r="AK166" s="293" t="s">
        <v>145</v>
      </c>
      <c r="AL166" s="293" t="s">
        <v>74</v>
      </c>
      <c r="AM166" s="293" t="s">
        <v>656</v>
      </c>
      <c r="AO166" s="22" t="s">
        <v>11173</v>
      </c>
      <c r="AP166" s="22" t="s">
        <v>145</v>
      </c>
      <c r="AQ166" s="22" t="s">
        <v>70</v>
      </c>
      <c r="AR166" s="22" t="s">
        <v>67</v>
      </c>
      <c r="AT166" s="22" t="s">
        <v>11174</v>
      </c>
      <c r="AU166" s="22" t="s">
        <v>145</v>
      </c>
      <c r="AV166" s="22" t="s">
        <v>70</v>
      </c>
      <c r="AW166" s="22" t="s">
        <v>67</v>
      </c>
      <c r="AY166" s="22" t="s">
        <v>11175</v>
      </c>
      <c r="AZ166" s="22" t="s">
        <v>145</v>
      </c>
      <c r="BA166" s="22" t="s">
        <v>70</v>
      </c>
      <c r="BB166" s="22" t="s">
        <v>67</v>
      </c>
      <c r="BD166" s="22" t="s">
        <v>11176</v>
      </c>
      <c r="BE166" s="22" t="s">
        <v>145</v>
      </c>
      <c r="BF166" s="22" t="s">
        <v>70</v>
      </c>
      <c r="BG166" s="22" t="s">
        <v>67</v>
      </c>
      <c r="BI166" s="22" t="s">
        <v>11177</v>
      </c>
      <c r="BJ166" s="22" t="s">
        <v>145</v>
      </c>
      <c r="BK166" s="22" t="s">
        <v>70</v>
      </c>
      <c r="BL166" s="22" t="s">
        <v>67</v>
      </c>
      <c r="BN166" s="22" t="s">
        <v>11178</v>
      </c>
      <c r="BO166" s="22" t="s">
        <v>145</v>
      </c>
      <c r="BP166" s="22" t="s">
        <v>70</v>
      </c>
      <c r="BQ166" s="22" t="s">
        <v>67</v>
      </c>
      <c r="BS166" s="22" t="s">
        <v>11179</v>
      </c>
      <c r="BT166" s="22" t="s">
        <v>145</v>
      </c>
      <c r="BU166" s="22" t="s">
        <v>70</v>
      </c>
      <c r="BV166" s="214" t="s">
        <v>530</v>
      </c>
      <c r="BX166" s="22" t="s">
        <v>11180</v>
      </c>
      <c r="BY166" s="22" t="s">
        <v>145</v>
      </c>
      <c r="BZ166" s="22" t="s">
        <v>70</v>
      </c>
      <c r="CA166" s="214" t="s">
        <v>530</v>
      </c>
      <c r="CC166" s="214" t="s">
        <v>11181</v>
      </c>
      <c r="CD166" s="218" t="s">
        <v>145</v>
      </c>
      <c r="CE166" s="214" t="s">
        <v>70</v>
      </c>
      <c r="CF166" s="214" t="s">
        <v>461</v>
      </c>
      <c r="CH166" s="214" t="s">
        <v>11182</v>
      </c>
      <c r="CI166" s="214" t="s">
        <v>52</v>
      </c>
      <c r="CJ166" s="214" t="s">
        <v>70</v>
      </c>
      <c r="CK166" s="214" t="s">
        <v>530</v>
      </c>
      <c r="CM166" s="214" t="s">
        <v>11183</v>
      </c>
      <c r="CN166" s="214" t="s">
        <v>34593</v>
      </c>
      <c r="CO166" s="214" t="s">
        <v>70</v>
      </c>
      <c r="CP166" s="214" t="s">
        <v>530</v>
      </c>
      <c r="CR166" s="214" t="s">
        <v>11184</v>
      </c>
      <c r="CS166" s="214" t="s">
        <v>34545</v>
      </c>
      <c r="CT166" s="214" t="s">
        <v>70</v>
      </c>
      <c r="CU166" s="214" t="s">
        <v>530</v>
      </c>
      <c r="CW166" s="214" t="s">
        <v>11185</v>
      </c>
      <c r="CX166" s="214" t="s">
        <v>491</v>
      </c>
      <c r="CY166" s="214" t="s">
        <v>70</v>
      </c>
      <c r="CZ166" s="214" t="s">
        <v>530</v>
      </c>
      <c r="DB166" s="214" t="s">
        <v>11186</v>
      </c>
      <c r="DC166" s="214" t="s">
        <v>485</v>
      </c>
      <c r="DD166" s="214" t="s">
        <v>70</v>
      </c>
      <c r="DE166" s="214" t="s">
        <v>530</v>
      </c>
      <c r="DG166" s="214" t="s">
        <v>11187</v>
      </c>
      <c r="DH166" s="214" t="s">
        <v>34545</v>
      </c>
      <c r="DI166" s="214" t="s">
        <v>70</v>
      </c>
      <c r="DJ166" s="214" t="s">
        <v>530</v>
      </c>
      <c r="DL166" s="214" t="s">
        <v>11188</v>
      </c>
      <c r="DM166" s="214" t="s">
        <v>481</v>
      </c>
      <c r="DN166" s="214" t="s">
        <v>70</v>
      </c>
      <c r="DO166" s="214" t="s">
        <v>530</v>
      </c>
      <c r="DQ166" s="214" t="s">
        <v>11189</v>
      </c>
      <c r="DR166" s="214" t="s">
        <v>92</v>
      </c>
      <c r="DS166" s="214" t="s">
        <v>70</v>
      </c>
      <c r="DT166" s="214" t="s">
        <v>530</v>
      </c>
      <c r="DV166" s="214" t="s">
        <v>11190</v>
      </c>
      <c r="DW166" s="214" t="s">
        <v>34562</v>
      </c>
      <c r="DX166" s="214" t="s">
        <v>70</v>
      </c>
      <c r="DY166" s="214" t="s">
        <v>530</v>
      </c>
      <c r="EA166" s="214" t="s">
        <v>11191</v>
      </c>
      <c r="EB166" s="214" t="s">
        <v>34578</v>
      </c>
      <c r="EC166" s="214" t="s">
        <v>70</v>
      </c>
      <c r="ED166" s="214" t="s">
        <v>530</v>
      </c>
      <c r="EF166" s="214" t="s">
        <v>11192</v>
      </c>
      <c r="EG166" s="214" t="s">
        <v>85</v>
      </c>
      <c r="EH166" s="214" t="s">
        <v>70</v>
      </c>
      <c r="EI166" s="214" t="s">
        <v>530</v>
      </c>
      <c r="EK166" s="214" t="s">
        <v>11193</v>
      </c>
      <c r="EL166" s="214" t="s">
        <v>34601</v>
      </c>
      <c r="EM166" s="214" t="s">
        <v>70</v>
      </c>
      <c r="EN166" s="214" t="s">
        <v>530</v>
      </c>
      <c r="EP166" s="214" t="s">
        <v>11194</v>
      </c>
      <c r="EQ166" s="214" t="s">
        <v>34551</v>
      </c>
      <c r="ER166" s="214" t="s">
        <v>70</v>
      </c>
      <c r="ES166" s="214" t="s">
        <v>530</v>
      </c>
      <c r="EU166" s="214" t="s">
        <v>11195</v>
      </c>
      <c r="EV166" s="214" t="s">
        <v>87</v>
      </c>
      <c r="EW166" s="214" t="s">
        <v>70</v>
      </c>
      <c r="EX166" s="214" t="s">
        <v>530</v>
      </c>
      <c r="EZ166" s="214" t="s">
        <v>11196</v>
      </c>
      <c r="FA166" s="214" t="s">
        <v>164</v>
      </c>
      <c r="FB166" s="214" t="s">
        <v>70</v>
      </c>
      <c r="FC166" s="214" t="s">
        <v>530</v>
      </c>
      <c r="FE166" s="214" t="s">
        <v>11197</v>
      </c>
      <c r="FF166" s="214" t="s">
        <v>34583</v>
      </c>
      <c r="FG166" s="214" t="s">
        <v>70</v>
      </c>
      <c r="FH166" s="214" t="s">
        <v>530</v>
      </c>
      <c r="FJ166" s="321" t="s">
        <v>11198</v>
      </c>
      <c r="FK166" s="214" t="s">
        <v>89</v>
      </c>
      <c r="FL166" s="214" t="s">
        <v>70</v>
      </c>
      <c r="FM166" s="214" t="s">
        <v>530</v>
      </c>
      <c r="FO166" s="321" t="s">
        <v>11199</v>
      </c>
      <c r="FP166" s="214" t="s">
        <v>34583</v>
      </c>
      <c r="FQ166" s="214" t="s">
        <v>70</v>
      </c>
      <c r="FR166" s="214" t="s">
        <v>530</v>
      </c>
      <c r="FT166" s="321" t="s">
        <v>11200</v>
      </c>
      <c r="FU166" s="214" t="s">
        <v>85</v>
      </c>
      <c r="FV166" s="214" t="s">
        <v>70</v>
      </c>
      <c r="FW166" s="214" t="s">
        <v>530</v>
      </c>
      <c r="FY166" s="321" t="s">
        <v>11201</v>
      </c>
      <c r="FZ166" s="214" t="s">
        <v>492</v>
      </c>
      <c r="GA166" s="214" t="s">
        <v>70</v>
      </c>
      <c r="GB166" s="214" t="s">
        <v>530</v>
      </c>
      <c r="GD166" s="321" t="s">
        <v>11202</v>
      </c>
      <c r="GE166" s="214" t="s">
        <v>34590</v>
      </c>
      <c r="GF166" s="214" t="s">
        <v>70</v>
      </c>
      <c r="GG166" s="214" t="s">
        <v>530</v>
      </c>
      <c r="GI166" s="321" t="s">
        <v>11203</v>
      </c>
      <c r="GJ166" s="214" t="s">
        <v>34616</v>
      </c>
      <c r="GK166" s="214" t="s">
        <v>70</v>
      </c>
      <c r="GL166" s="214" t="s">
        <v>530</v>
      </c>
      <c r="GN166" s="321" t="s">
        <v>11204</v>
      </c>
      <c r="GO166" s="214" t="s">
        <v>88</v>
      </c>
      <c r="GP166" s="214" t="s">
        <v>70</v>
      </c>
      <c r="GQ166" s="214" t="s">
        <v>530</v>
      </c>
      <c r="GS166" s="321" t="s">
        <v>11205</v>
      </c>
      <c r="GT166" s="214" t="s">
        <v>798</v>
      </c>
      <c r="GU166" s="214" t="s">
        <v>70</v>
      </c>
      <c r="GV166" s="214" t="s">
        <v>530</v>
      </c>
      <c r="GX166" s="214" t="s">
        <v>11206</v>
      </c>
      <c r="GY166" s="214" t="s">
        <v>88</v>
      </c>
      <c r="GZ166" s="214" t="s">
        <v>70</v>
      </c>
      <c r="HA166" s="214" t="s">
        <v>530</v>
      </c>
      <c r="HC166" s="214" t="s">
        <v>11207</v>
      </c>
      <c r="HD166" s="214" t="s">
        <v>500</v>
      </c>
      <c r="HE166" s="214" t="s">
        <v>70</v>
      </c>
      <c r="HF166" s="214" t="s">
        <v>530</v>
      </c>
      <c r="HH166" s="214" t="s">
        <v>11208</v>
      </c>
      <c r="HI166" s="214" t="s">
        <v>34610</v>
      </c>
      <c r="HJ166" s="214" t="s">
        <v>70</v>
      </c>
      <c r="HK166" s="214" t="s">
        <v>530</v>
      </c>
      <c r="HM166" s="214" t="s">
        <v>11209</v>
      </c>
      <c r="HN166" s="214" t="s">
        <v>90</v>
      </c>
      <c r="HO166" s="214" t="s">
        <v>70</v>
      </c>
      <c r="HP166" s="214" t="s">
        <v>530</v>
      </c>
      <c r="HR166" s="22" t="s">
        <v>11210</v>
      </c>
      <c r="HS166" s="22" t="s">
        <v>486</v>
      </c>
      <c r="HT166" s="22" t="s">
        <v>70</v>
      </c>
      <c r="HU166" s="214" t="s">
        <v>530</v>
      </c>
      <c r="HW166" s="22" t="s">
        <v>11211</v>
      </c>
      <c r="HX166" s="22" t="s">
        <v>52</v>
      </c>
      <c r="HY166" s="22" t="s">
        <v>70</v>
      </c>
      <c r="HZ166" s="214" t="s">
        <v>530</v>
      </c>
      <c r="IB166" s="22" t="s">
        <v>11212</v>
      </c>
      <c r="IC166" s="22" t="s">
        <v>34551</v>
      </c>
      <c r="ID166" s="22" t="s">
        <v>70</v>
      </c>
      <c r="IE166" s="214" t="s">
        <v>530</v>
      </c>
      <c r="IG166" s="22" t="s">
        <v>11213</v>
      </c>
      <c r="IH166" s="22" t="s">
        <v>52</v>
      </c>
      <c r="II166" s="22" t="s">
        <v>70</v>
      </c>
      <c r="IJ166" s="214" t="s">
        <v>530</v>
      </c>
      <c r="IL166" s="22" t="s">
        <v>11214</v>
      </c>
      <c r="IM166" s="22" t="s">
        <v>145</v>
      </c>
      <c r="IN166" s="22" t="s">
        <v>70</v>
      </c>
      <c r="IO166" s="214" t="s">
        <v>530</v>
      </c>
      <c r="IQ166" s="236" t="s">
        <v>11215</v>
      </c>
      <c r="IR166" s="236" t="s">
        <v>145</v>
      </c>
      <c r="IS166" s="236" t="s">
        <v>74</v>
      </c>
      <c r="IT166" s="236" t="s">
        <v>841</v>
      </c>
      <c r="IV166" s="236" t="s">
        <v>11216</v>
      </c>
      <c r="IW166" s="236" t="s">
        <v>145</v>
      </c>
      <c r="IX166" s="236" t="s">
        <v>74</v>
      </c>
      <c r="IY166" s="236" t="s">
        <v>841</v>
      </c>
      <c r="JA166" s="236" t="s">
        <v>11217</v>
      </c>
      <c r="JB166" s="236" t="s">
        <v>145</v>
      </c>
      <c r="JC166" s="236" t="s">
        <v>74</v>
      </c>
      <c r="JD166" s="236" t="s">
        <v>841</v>
      </c>
      <c r="JF166" s="236" t="s">
        <v>11218</v>
      </c>
      <c r="JG166" s="236" t="s">
        <v>145</v>
      </c>
      <c r="JH166" s="236" t="s">
        <v>74</v>
      </c>
      <c r="JI166" s="236" t="s">
        <v>841</v>
      </c>
      <c r="JK166" s="236" t="s">
        <v>11219</v>
      </c>
      <c r="JL166" s="236" t="s">
        <v>145</v>
      </c>
      <c r="JM166" s="236" t="s">
        <v>74</v>
      </c>
      <c r="JN166" s="236" t="s">
        <v>841</v>
      </c>
      <c r="JP166" s="236" t="s">
        <v>11220</v>
      </c>
      <c r="JQ166" s="236" t="s">
        <v>145</v>
      </c>
      <c r="JR166" s="236" t="s">
        <v>74</v>
      </c>
      <c r="JS166" s="236" t="s">
        <v>841</v>
      </c>
      <c r="JU166" s="294" t="s">
        <v>11221</v>
      </c>
      <c r="JV166" s="294" t="s">
        <v>52</v>
      </c>
      <c r="JW166" s="263" t="s">
        <v>70</v>
      </c>
      <c r="JX166" s="294" t="s">
        <v>1083</v>
      </c>
      <c r="JZ166" s="263" t="s">
        <v>11222</v>
      </c>
      <c r="KA166" s="263" t="s">
        <v>145</v>
      </c>
      <c r="KB166" s="263" t="s">
        <v>70</v>
      </c>
      <c r="KC166" s="263" t="s">
        <v>1083</v>
      </c>
      <c r="KE166" s="263" t="s">
        <v>11223</v>
      </c>
      <c r="KF166" s="263" t="s">
        <v>52</v>
      </c>
      <c r="KG166" s="263" t="s">
        <v>70</v>
      </c>
      <c r="KH166" s="263" t="s">
        <v>1083</v>
      </c>
      <c r="KJ166" s="263" t="s">
        <v>11224</v>
      </c>
      <c r="KK166" s="263" t="s">
        <v>52</v>
      </c>
      <c r="KL166" s="263" t="s">
        <v>74</v>
      </c>
      <c r="KM166" s="263" t="s">
        <v>34074</v>
      </c>
      <c r="KO166" s="214" t="s">
        <v>11225</v>
      </c>
      <c r="KP166" s="214" t="s">
        <v>145</v>
      </c>
      <c r="KQ166" s="214" t="s">
        <v>70</v>
      </c>
      <c r="KR166" s="214" t="s">
        <v>67</v>
      </c>
      <c r="KT166" s="22" t="s">
        <v>11226</v>
      </c>
      <c r="KU166" s="22" t="s">
        <v>145</v>
      </c>
      <c r="KV166" s="22" t="s">
        <v>70</v>
      </c>
      <c r="KW166" s="22" t="s">
        <v>67</v>
      </c>
      <c r="KY166" s="214" t="s">
        <v>11227</v>
      </c>
      <c r="KZ166" s="214" t="s">
        <v>52</v>
      </c>
      <c r="LA166" s="214" t="s">
        <v>74</v>
      </c>
      <c r="LB166" s="214" t="s">
        <v>67</v>
      </c>
      <c r="LD166" s="22" t="s">
        <v>11228</v>
      </c>
      <c r="LE166" s="22" t="s">
        <v>145</v>
      </c>
      <c r="LF166" s="22" t="s">
        <v>70</v>
      </c>
      <c r="LG166" s="22" t="s">
        <v>67</v>
      </c>
    </row>
    <row r="167" spans="1:319">
      <c r="A167" s="22" t="s">
        <v>11229</v>
      </c>
      <c r="B167" s="22" t="s">
        <v>145</v>
      </c>
      <c r="C167" s="22" t="s">
        <v>70</v>
      </c>
      <c r="D167" s="22" t="s">
        <v>67</v>
      </c>
      <c r="F167" s="23" t="s">
        <v>11230</v>
      </c>
      <c r="G167" s="23" t="str">
        <f>TVIIBE1M_CalPairs!$E164</f>
        <v>0x00</v>
      </c>
      <c r="H167" s="23" t="s">
        <v>70</v>
      </c>
      <c r="I167" s="23" t="str">
        <f>TVIIBE1M_CalPairs!$C164</f>
        <v>PASS0_SAR2_ADDR0</v>
      </c>
      <c r="K167" s="22" t="s">
        <v>11231</v>
      </c>
      <c r="L167" s="22" t="s">
        <v>145</v>
      </c>
      <c r="M167" s="22" t="s">
        <v>70</v>
      </c>
      <c r="N167" s="22" t="s">
        <v>67</v>
      </c>
      <c r="P167" s="22" t="s">
        <v>11232</v>
      </c>
      <c r="Q167" s="22" t="s">
        <v>145</v>
      </c>
      <c r="R167" s="22" t="s">
        <v>70</v>
      </c>
      <c r="S167" s="22" t="s">
        <v>67</v>
      </c>
      <c r="U167" s="293" t="s">
        <v>11233</v>
      </c>
      <c r="V167" s="293" t="s">
        <v>145</v>
      </c>
      <c r="W167" s="293" t="s">
        <v>74</v>
      </c>
      <c r="X167" s="293" t="s">
        <v>656</v>
      </c>
      <c r="Z167" s="293" t="s">
        <v>11234</v>
      </c>
      <c r="AA167" s="293" t="s">
        <v>145</v>
      </c>
      <c r="AB167" s="293" t="s">
        <v>74</v>
      </c>
      <c r="AC167" s="293" t="s">
        <v>656</v>
      </c>
      <c r="AE167" s="293" t="s">
        <v>11235</v>
      </c>
      <c r="AF167" s="293" t="s">
        <v>145</v>
      </c>
      <c r="AG167" s="293" t="s">
        <v>74</v>
      </c>
      <c r="AH167" s="293" t="s">
        <v>656</v>
      </c>
      <c r="AJ167" s="293" t="s">
        <v>11236</v>
      </c>
      <c r="AK167" s="293" t="s">
        <v>145</v>
      </c>
      <c r="AL167" s="293" t="s">
        <v>74</v>
      </c>
      <c r="AM167" s="293" t="s">
        <v>656</v>
      </c>
      <c r="AO167" s="22" t="s">
        <v>11237</v>
      </c>
      <c r="AP167" s="22" t="s">
        <v>145</v>
      </c>
      <c r="AQ167" s="22" t="s">
        <v>70</v>
      </c>
      <c r="AR167" s="22" t="s">
        <v>67</v>
      </c>
      <c r="AT167" s="22" t="s">
        <v>11238</v>
      </c>
      <c r="AU167" s="22" t="s">
        <v>145</v>
      </c>
      <c r="AV167" s="22" t="s">
        <v>70</v>
      </c>
      <c r="AW167" s="22" t="s">
        <v>67</v>
      </c>
      <c r="AY167" s="22" t="s">
        <v>11239</v>
      </c>
      <c r="AZ167" s="22" t="s">
        <v>145</v>
      </c>
      <c r="BA167" s="22" t="s">
        <v>70</v>
      </c>
      <c r="BB167" s="22" t="s">
        <v>67</v>
      </c>
      <c r="BD167" s="22" t="s">
        <v>11240</v>
      </c>
      <c r="BE167" s="22" t="s">
        <v>145</v>
      </c>
      <c r="BF167" s="22" t="s">
        <v>70</v>
      </c>
      <c r="BG167" s="22" t="s">
        <v>67</v>
      </c>
      <c r="BI167" s="22" t="s">
        <v>11241</v>
      </c>
      <c r="BJ167" s="22" t="s">
        <v>145</v>
      </c>
      <c r="BK167" s="22" t="s">
        <v>70</v>
      </c>
      <c r="BL167" s="22" t="s">
        <v>67</v>
      </c>
      <c r="BN167" s="22" t="s">
        <v>11242</v>
      </c>
      <c r="BO167" s="22" t="s">
        <v>145</v>
      </c>
      <c r="BP167" s="22" t="s">
        <v>70</v>
      </c>
      <c r="BQ167" s="22" t="s">
        <v>67</v>
      </c>
      <c r="BS167" s="22" t="s">
        <v>11243</v>
      </c>
      <c r="BT167" s="22" t="s">
        <v>145</v>
      </c>
      <c r="BU167" s="22" t="s">
        <v>70</v>
      </c>
      <c r="BV167" s="214" t="s">
        <v>530</v>
      </c>
      <c r="BX167" s="22" t="s">
        <v>11244</v>
      </c>
      <c r="BY167" s="22" t="s">
        <v>145</v>
      </c>
      <c r="BZ167" s="22" t="s">
        <v>70</v>
      </c>
      <c r="CA167" s="214" t="s">
        <v>530</v>
      </c>
      <c r="CC167" s="214" t="s">
        <v>11245</v>
      </c>
      <c r="CD167" s="218" t="s">
        <v>145</v>
      </c>
      <c r="CE167" s="214" t="s">
        <v>70</v>
      </c>
      <c r="CF167" s="214" t="s">
        <v>462</v>
      </c>
      <c r="CH167" s="214" t="s">
        <v>11246</v>
      </c>
      <c r="CI167" s="214" t="s">
        <v>203</v>
      </c>
      <c r="CJ167" s="214" t="s">
        <v>70</v>
      </c>
      <c r="CK167" s="214" t="s">
        <v>530</v>
      </c>
      <c r="CM167" s="214" t="s">
        <v>11247</v>
      </c>
      <c r="CN167" s="214" t="s">
        <v>481</v>
      </c>
      <c r="CO167" s="214" t="s">
        <v>70</v>
      </c>
      <c r="CP167" s="214" t="s">
        <v>530</v>
      </c>
      <c r="CR167" s="214" t="s">
        <v>11248</v>
      </c>
      <c r="CS167" s="214" t="s">
        <v>34551</v>
      </c>
      <c r="CT167" s="214" t="s">
        <v>70</v>
      </c>
      <c r="CU167" s="214" t="s">
        <v>530</v>
      </c>
      <c r="CW167" s="214" t="s">
        <v>11249</v>
      </c>
      <c r="CX167" s="214" t="s">
        <v>52</v>
      </c>
      <c r="CY167" s="214" t="s">
        <v>70</v>
      </c>
      <c r="CZ167" s="214" t="s">
        <v>530</v>
      </c>
      <c r="DB167" s="214" t="s">
        <v>11250</v>
      </c>
      <c r="DC167" s="214" t="s">
        <v>146</v>
      </c>
      <c r="DD167" s="214" t="s">
        <v>70</v>
      </c>
      <c r="DE167" s="214" t="s">
        <v>530</v>
      </c>
      <c r="DG167" s="214" t="s">
        <v>11251</v>
      </c>
      <c r="DH167" s="214" t="s">
        <v>34551</v>
      </c>
      <c r="DI167" s="214" t="s">
        <v>70</v>
      </c>
      <c r="DJ167" s="214" t="s">
        <v>530</v>
      </c>
      <c r="DL167" s="214" t="s">
        <v>11252</v>
      </c>
      <c r="DM167" s="214" t="s">
        <v>487</v>
      </c>
      <c r="DN167" s="214" t="s">
        <v>70</v>
      </c>
      <c r="DO167" s="214" t="s">
        <v>530</v>
      </c>
      <c r="DQ167" s="214" t="s">
        <v>11253</v>
      </c>
      <c r="DR167" s="214" t="s">
        <v>955</v>
      </c>
      <c r="DS167" s="214" t="s">
        <v>70</v>
      </c>
      <c r="DT167" s="214" t="s">
        <v>530</v>
      </c>
      <c r="DV167" s="214" t="s">
        <v>11254</v>
      </c>
      <c r="DW167" s="214" t="s">
        <v>34555</v>
      </c>
      <c r="DX167" s="214" t="s">
        <v>70</v>
      </c>
      <c r="DY167" s="214" t="s">
        <v>530</v>
      </c>
      <c r="EA167" s="214" t="s">
        <v>11255</v>
      </c>
      <c r="EB167" s="214" t="s">
        <v>935</v>
      </c>
      <c r="EC167" s="214" t="s">
        <v>70</v>
      </c>
      <c r="ED167" s="214" t="s">
        <v>530</v>
      </c>
      <c r="EF167" s="214" t="s">
        <v>11256</v>
      </c>
      <c r="EG167" s="214" t="s">
        <v>34544</v>
      </c>
      <c r="EH167" s="214" t="s">
        <v>70</v>
      </c>
      <c r="EI167" s="214" t="s">
        <v>530</v>
      </c>
      <c r="EK167" s="214" t="s">
        <v>11257</v>
      </c>
      <c r="EL167" s="214" t="s">
        <v>145</v>
      </c>
      <c r="EM167" s="214" t="s">
        <v>70</v>
      </c>
      <c r="EN167" s="214" t="s">
        <v>530</v>
      </c>
      <c r="EP167" s="214" t="s">
        <v>11258</v>
      </c>
      <c r="EQ167" s="214" t="s">
        <v>163</v>
      </c>
      <c r="ER167" s="214" t="s">
        <v>70</v>
      </c>
      <c r="ES167" s="214" t="s">
        <v>530</v>
      </c>
      <c r="EU167" s="214" t="s">
        <v>11259</v>
      </c>
      <c r="EV167" s="214" t="s">
        <v>52</v>
      </c>
      <c r="EW167" s="214" t="s">
        <v>70</v>
      </c>
      <c r="EX167" s="214" t="s">
        <v>530</v>
      </c>
      <c r="EZ167" s="214" t="s">
        <v>11260</v>
      </c>
      <c r="FA167" s="214" t="s">
        <v>34580</v>
      </c>
      <c r="FB167" s="214" t="s">
        <v>70</v>
      </c>
      <c r="FC167" s="214" t="s">
        <v>530</v>
      </c>
      <c r="FE167" s="214" t="s">
        <v>11261</v>
      </c>
      <c r="FF167" s="214" t="s">
        <v>34544</v>
      </c>
      <c r="FG167" s="214" t="s">
        <v>70</v>
      </c>
      <c r="FH167" s="214" t="s">
        <v>530</v>
      </c>
      <c r="FJ167" s="321" t="s">
        <v>11262</v>
      </c>
      <c r="FK167" s="214" t="s">
        <v>910</v>
      </c>
      <c r="FL167" s="214" t="s">
        <v>70</v>
      </c>
      <c r="FM167" s="214" t="s">
        <v>530</v>
      </c>
      <c r="FO167" s="321" t="s">
        <v>11263</v>
      </c>
      <c r="FP167" s="214" t="s">
        <v>52</v>
      </c>
      <c r="FQ167" s="214" t="s">
        <v>70</v>
      </c>
      <c r="FR167" s="214" t="s">
        <v>530</v>
      </c>
      <c r="FT167" s="321" t="s">
        <v>11264</v>
      </c>
      <c r="FU167" s="214" t="s">
        <v>950</v>
      </c>
      <c r="FV167" s="214" t="s">
        <v>70</v>
      </c>
      <c r="FW167" s="214" t="s">
        <v>530</v>
      </c>
      <c r="FY167" s="321" t="s">
        <v>11265</v>
      </c>
      <c r="FZ167" s="214" t="s">
        <v>34547</v>
      </c>
      <c r="GA167" s="214" t="s">
        <v>70</v>
      </c>
      <c r="GB167" s="214" t="s">
        <v>530</v>
      </c>
      <c r="GD167" s="321" t="s">
        <v>11266</v>
      </c>
      <c r="GE167" s="214" t="s">
        <v>34542</v>
      </c>
      <c r="GF167" s="214" t="s">
        <v>70</v>
      </c>
      <c r="GG167" s="214" t="s">
        <v>530</v>
      </c>
      <c r="GI167" s="321" t="s">
        <v>11267</v>
      </c>
      <c r="GJ167" s="214" t="s">
        <v>529</v>
      </c>
      <c r="GK167" s="214" t="s">
        <v>70</v>
      </c>
      <c r="GL167" s="214" t="s">
        <v>530</v>
      </c>
      <c r="GN167" s="321" t="s">
        <v>11268</v>
      </c>
      <c r="GO167" s="214" t="s">
        <v>468</v>
      </c>
      <c r="GP167" s="214" t="s">
        <v>70</v>
      </c>
      <c r="GQ167" s="214" t="s">
        <v>530</v>
      </c>
      <c r="GS167" s="321" t="s">
        <v>11269</v>
      </c>
      <c r="GT167" s="214" t="s">
        <v>145</v>
      </c>
      <c r="GU167" s="214" t="s">
        <v>70</v>
      </c>
      <c r="GV167" s="214" t="s">
        <v>530</v>
      </c>
      <c r="GX167" s="214" t="s">
        <v>11270</v>
      </c>
      <c r="GY167" s="214" t="s">
        <v>502</v>
      </c>
      <c r="GZ167" s="214" t="s">
        <v>70</v>
      </c>
      <c r="HA167" s="214" t="s">
        <v>530</v>
      </c>
      <c r="HC167" s="214" t="s">
        <v>11271</v>
      </c>
      <c r="HD167" s="214" t="s">
        <v>34556</v>
      </c>
      <c r="HE167" s="214" t="s">
        <v>70</v>
      </c>
      <c r="HF167" s="214" t="s">
        <v>530</v>
      </c>
      <c r="HH167" s="214" t="s">
        <v>11272</v>
      </c>
      <c r="HI167" s="214" t="s">
        <v>486</v>
      </c>
      <c r="HJ167" s="214" t="s">
        <v>70</v>
      </c>
      <c r="HK167" s="214" t="s">
        <v>530</v>
      </c>
      <c r="HM167" s="214" t="s">
        <v>11273</v>
      </c>
      <c r="HN167" s="214" t="s">
        <v>485</v>
      </c>
      <c r="HO167" s="214" t="s">
        <v>70</v>
      </c>
      <c r="HP167" s="214" t="s">
        <v>530</v>
      </c>
      <c r="HR167" s="22" t="s">
        <v>11274</v>
      </c>
      <c r="HS167" s="22" t="s">
        <v>484</v>
      </c>
      <c r="HT167" s="22" t="s">
        <v>70</v>
      </c>
      <c r="HU167" s="214" t="s">
        <v>530</v>
      </c>
      <c r="HW167" s="22" t="s">
        <v>11275</v>
      </c>
      <c r="HX167" s="22" t="s">
        <v>34544</v>
      </c>
      <c r="HY167" s="22" t="s">
        <v>70</v>
      </c>
      <c r="HZ167" s="214" t="s">
        <v>530</v>
      </c>
      <c r="IB167" s="22" t="s">
        <v>11276</v>
      </c>
      <c r="IC167" s="22" t="s">
        <v>145</v>
      </c>
      <c r="ID167" s="22" t="s">
        <v>70</v>
      </c>
      <c r="IE167" s="214" t="s">
        <v>530</v>
      </c>
      <c r="IG167" s="22" t="s">
        <v>11277</v>
      </c>
      <c r="IH167" s="22" t="s">
        <v>52</v>
      </c>
      <c r="II167" s="22" t="s">
        <v>70</v>
      </c>
      <c r="IJ167" s="214" t="s">
        <v>530</v>
      </c>
      <c r="IL167" s="22" t="s">
        <v>11278</v>
      </c>
      <c r="IM167" s="22" t="s">
        <v>145</v>
      </c>
      <c r="IN167" s="22" t="s">
        <v>70</v>
      </c>
      <c r="IO167" s="214" t="s">
        <v>530</v>
      </c>
      <c r="IQ167" s="236" t="s">
        <v>11279</v>
      </c>
      <c r="IR167" s="236" t="s">
        <v>145</v>
      </c>
      <c r="IS167" s="236" t="s">
        <v>74</v>
      </c>
      <c r="IT167" s="236" t="s">
        <v>841</v>
      </c>
      <c r="IV167" s="236" t="s">
        <v>11280</v>
      </c>
      <c r="IW167" s="236" t="s">
        <v>145</v>
      </c>
      <c r="IX167" s="236" t="s">
        <v>74</v>
      </c>
      <c r="IY167" s="236" t="s">
        <v>841</v>
      </c>
      <c r="JA167" s="236" t="s">
        <v>11281</v>
      </c>
      <c r="JB167" s="236" t="s">
        <v>145</v>
      </c>
      <c r="JC167" s="236" t="s">
        <v>74</v>
      </c>
      <c r="JD167" s="236" t="s">
        <v>841</v>
      </c>
      <c r="JF167" s="236" t="s">
        <v>11282</v>
      </c>
      <c r="JG167" s="236" t="s">
        <v>145</v>
      </c>
      <c r="JH167" s="236" t="s">
        <v>74</v>
      </c>
      <c r="JI167" s="236" t="s">
        <v>841</v>
      </c>
      <c r="JK167" s="236" t="s">
        <v>11283</v>
      </c>
      <c r="JL167" s="236" t="s">
        <v>145</v>
      </c>
      <c r="JM167" s="236" t="s">
        <v>74</v>
      </c>
      <c r="JN167" s="236" t="s">
        <v>841</v>
      </c>
      <c r="JP167" s="236" t="s">
        <v>11284</v>
      </c>
      <c r="JQ167" s="236" t="s">
        <v>145</v>
      </c>
      <c r="JR167" s="236" t="s">
        <v>74</v>
      </c>
      <c r="JS167" s="236" t="s">
        <v>841</v>
      </c>
      <c r="JU167" s="294" t="s">
        <v>11285</v>
      </c>
      <c r="JV167" s="294" t="s">
        <v>52</v>
      </c>
      <c r="JW167" s="263" t="s">
        <v>70</v>
      </c>
      <c r="JX167" s="294" t="s">
        <v>1083</v>
      </c>
      <c r="JZ167" s="263" t="s">
        <v>11286</v>
      </c>
      <c r="KA167" s="263" t="s">
        <v>145</v>
      </c>
      <c r="KB167" s="263" t="s">
        <v>70</v>
      </c>
      <c r="KC167" s="263" t="s">
        <v>1083</v>
      </c>
      <c r="KE167" s="263" t="s">
        <v>11287</v>
      </c>
      <c r="KF167" s="263" t="s">
        <v>52</v>
      </c>
      <c r="KG167" s="263" t="s">
        <v>70</v>
      </c>
      <c r="KH167" s="263" t="s">
        <v>1083</v>
      </c>
      <c r="KJ167" s="263" t="s">
        <v>11288</v>
      </c>
      <c r="KK167" s="263" t="s">
        <v>52</v>
      </c>
      <c r="KL167" s="263" t="s">
        <v>74</v>
      </c>
      <c r="KM167" s="263" t="s">
        <v>34074</v>
      </c>
      <c r="KO167" s="214" t="s">
        <v>11289</v>
      </c>
      <c r="KP167" s="214" t="s">
        <v>145</v>
      </c>
      <c r="KQ167" s="214" t="s">
        <v>70</v>
      </c>
      <c r="KR167" s="214" t="s">
        <v>67</v>
      </c>
      <c r="KT167" s="22" t="s">
        <v>11290</v>
      </c>
      <c r="KU167" s="22" t="s">
        <v>145</v>
      </c>
      <c r="KV167" s="22" t="s">
        <v>70</v>
      </c>
      <c r="KW167" s="22" t="s">
        <v>67</v>
      </c>
      <c r="KY167" s="214" t="s">
        <v>11291</v>
      </c>
      <c r="KZ167" s="214" t="s">
        <v>52</v>
      </c>
      <c r="LA167" s="214" t="s">
        <v>74</v>
      </c>
      <c r="LB167" s="214" t="s">
        <v>67</v>
      </c>
      <c r="LD167" s="22" t="s">
        <v>11292</v>
      </c>
      <c r="LE167" s="22" t="s">
        <v>145</v>
      </c>
      <c r="LF167" s="22" t="s">
        <v>70</v>
      </c>
      <c r="LG167" s="22" t="s">
        <v>67</v>
      </c>
    </row>
    <row r="168" spans="1:319">
      <c r="A168" s="22" t="s">
        <v>11293</v>
      </c>
      <c r="B168" s="218" t="s">
        <v>145</v>
      </c>
      <c r="C168" s="218" t="s">
        <v>75</v>
      </c>
      <c r="D168" s="218" t="s">
        <v>34722</v>
      </c>
      <c r="F168" s="23" t="s">
        <v>11294</v>
      </c>
      <c r="G168" s="23" t="str">
        <f>TVIIBE1M_CalPairs!$E165</f>
        <v>0x10</v>
      </c>
      <c r="H168" s="23" t="s">
        <v>70</v>
      </c>
      <c r="I168" s="23" t="str">
        <f>TVIIBE1M_CalPairs!$C165</f>
        <v>PASS0_SAR2_ADDR1</v>
      </c>
      <c r="K168" s="22" t="s">
        <v>11295</v>
      </c>
      <c r="L168" s="22" t="s">
        <v>145</v>
      </c>
      <c r="M168" s="22" t="s">
        <v>70</v>
      </c>
      <c r="N168" s="22" t="s">
        <v>67</v>
      </c>
      <c r="P168" s="22" t="s">
        <v>11296</v>
      </c>
      <c r="Q168" s="22" t="s">
        <v>145</v>
      </c>
      <c r="R168" s="22" t="s">
        <v>70</v>
      </c>
      <c r="S168" s="22" t="s">
        <v>67</v>
      </c>
      <c r="U168" s="293" t="s">
        <v>11297</v>
      </c>
      <c r="V168" s="293" t="s">
        <v>145</v>
      </c>
      <c r="W168" s="293" t="s">
        <v>74</v>
      </c>
      <c r="X168" s="293" t="s">
        <v>656</v>
      </c>
      <c r="Z168" s="293" t="s">
        <v>11298</v>
      </c>
      <c r="AA168" s="293" t="s">
        <v>145</v>
      </c>
      <c r="AB168" s="293" t="s">
        <v>74</v>
      </c>
      <c r="AC168" s="293" t="s">
        <v>656</v>
      </c>
      <c r="AE168" s="293" t="s">
        <v>11299</v>
      </c>
      <c r="AF168" s="293" t="s">
        <v>145</v>
      </c>
      <c r="AG168" s="293" t="s">
        <v>74</v>
      </c>
      <c r="AH168" s="293" t="s">
        <v>656</v>
      </c>
      <c r="AJ168" s="293" t="s">
        <v>11300</v>
      </c>
      <c r="AK168" s="293" t="s">
        <v>145</v>
      </c>
      <c r="AL168" s="293" t="s">
        <v>74</v>
      </c>
      <c r="AM168" s="293" t="s">
        <v>656</v>
      </c>
      <c r="AO168" s="22" t="s">
        <v>11301</v>
      </c>
      <c r="AP168" s="22" t="s">
        <v>145</v>
      </c>
      <c r="AQ168" s="22" t="s">
        <v>70</v>
      </c>
      <c r="AR168" s="22" t="s">
        <v>67</v>
      </c>
      <c r="AT168" s="22" t="s">
        <v>11302</v>
      </c>
      <c r="AU168" s="22" t="s">
        <v>145</v>
      </c>
      <c r="AV168" s="22" t="s">
        <v>70</v>
      </c>
      <c r="AW168" s="22" t="s">
        <v>67</v>
      </c>
      <c r="AY168" s="22" t="s">
        <v>11303</v>
      </c>
      <c r="AZ168" s="22" t="s">
        <v>145</v>
      </c>
      <c r="BA168" s="22" t="s">
        <v>70</v>
      </c>
      <c r="BB168" s="22" t="s">
        <v>67</v>
      </c>
      <c r="BD168" s="22" t="s">
        <v>11304</v>
      </c>
      <c r="BE168" s="22" t="s">
        <v>145</v>
      </c>
      <c r="BF168" s="22" t="s">
        <v>70</v>
      </c>
      <c r="BG168" s="22" t="s">
        <v>67</v>
      </c>
      <c r="BI168" s="22" t="s">
        <v>11305</v>
      </c>
      <c r="BJ168" s="22" t="s">
        <v>145</v>
      </c>
      <c r="BK168" s="22" t="s">
        <v>70</v>
      </c>
      <c r="BL168" s="22" t="s">
        <v>67</v>
      </c>
      <c r="BN168" s="22" t="s">
        <v>11306</v>
      </c>
      <c r="BO168" s="22" t="s">
        <v>145</v>
      </c>
      <c r="BP168" s="22" t="s">
        <v>70</v>
      </c>
      <c r="BQ168" s="22" t="s">
        <v>67</v>
      </c>
      <c r="BS168" s="22" t="s">
        <v>11307</v>
      </c>
      <c r="BT168" s="22" t="s">
        <v>145</v>
      </c>
      <c r="BU168" s="22" t="s">
        <v>70</v>
      </c>
      <c r="BV168" s="214" t="s">
        <v>530</v>
      </c>
      <c r="BX168" s="22" t="s">
        <v>11308</v>
      </c>
      <c r="BY168" s="22" t="s">
        <v>145</v>
      </c>
      <c r="BZ168" s="22" t="s">
        <v>70</v>
      </c>
      <c r="CA168" s="214" t="s">
        <v>530</v>
      </c>
      <c r="CC168" s="214" t="s">
        <v>11309</v>
      </c>
      <c r="CD168" s="218" t="s">
        <v>145</v>
      </c>
      <c r="CE168" s="214" t="s">
        <v>70</v>
      </c>
      <c r="CF168" s="214" t="s">
        <v>463</v>
      </c>
      <c r="CH168" s="214" t="s">
        <v>11310</v>
      </c>
      <c r="CI168" s="214" t="s">
        <v>949</v>
      </c>
      <c r="CJ168" s="214" t="s">
        <v>70</v>
      </c>
      <c r="CK168" s="214" t="s">
        <v>530</v>
      </c>
      <c r="CM168" s="214" t="s">
        <v>11311</v>
      </c>
      <c r="CN168" s="214" t="s">
        <v>52</v>
      </c>
      <c r="CO168" s="214" t="s">
        <v>70</v>
      </c>
      <c r="CP168" s="214" t="s">
        <v>530</v>
      </c>
      <c r="CR168" s="214" t="s">
        <v>11312</v>
      </c>
      <c r="CS168" s="214" t="s">
        <v>920</v>
      </c>
      <c r="CT168" s="214" t="s">
        <v>70</v>
      </c>
      <c r="CU168" s="214" t="s">
        <v>530</v>
      </c>
      <c r="CW168" s="214" t="s">
        <v>11313</v>
      </c>
      <c r="CX168" s="214" t="s">
        <v>146</v>
      </c>
      <c r="CY168" s="214" t="s">
        <v>70</v>
      </c>
      <c r="CZ168" s="214" t="s">
        <v>530</v>
      </c>
      <c r="DB168" s="214" t="s">
        <v>11314</v>
      </c>
      <c r="DC168" s="214" t="s">
        <v>103</v>
      </c>
      <c r="DD168" s="214" t="s">
        <v>70</v>
      </c>
      <c r="DE168" s="214" t="s">
        <v>530</v>
      </c>
      <c r="DG168" s="214" t="s">
        <v>11315</v>
      </c>
      <c r="DH168" s="214" t="s">
        <v>939</v>
      </c>
      <c r="DI168" s="214" t="s">
        <v>70</v>
      </c>
      <c r="DJ168" s="214" t="s">
        <v>530</v>
      </c>
      <c r="DL168" s="214" t="s">
        <v>11316</v>
      </c>
      <c r="DM168" s="214" t="s">
        <v>52</v>
      </c>
      <c r="DN168" s="214" t="s">
        <v>70</v>
      </c>
      <c r="DO168" s="214" t="s">
        <v>530</v>
      </c>
      <c r="DQ168" s="214" t="s">
        <v>11317</v>
      </c>
      <c r="DR168" s="214" t="s">
        <v>34609</v>
      </c>
      <c r="DS168" s="214" t="s">
        <v>70</v>
      </c>
      <c r="DT168" s="214" t="s">
        <v>530</v>
      </c>
      <c r="DV168" s="214" t="s">
        <v>11318</v>
      </c>
      <c r="DW168" s="214" t="s">
        <v>164</v>
      </c>
      <c r="DX168" s="214" t="s">
        <v>70</v>
      </c>
      <c r="DY168" s="214" t="s">
        <v>530</v>
      </c>
      <c r="EA168" s="214" t="s">
        <v>11319</v>
      </c>
      <c r="EB168" s="214" t="s">
        <v>34553</v>
      </c>
      <c r="EC168" s="214" t="s">
        <v>70</v>
      </c>
      <c r="ED168" s="214" t="s">
        <v>530</v>
      </c>
      <c r="EF168" s="214" t="s">
        <v>11320</v>
      </c>
      <c r="EG168" s="214" t="s">
        <v>88</v>
      </c>
      <c r="EH168" s="214" t="s">
        <v>70</v>
      </c>
      <c r="EI168" s="214" t="s">
        <v>530</v>
      </c>
      <c r="EK168" s="214" t="s">
        <v>11321</v>
      </c>
      <c r="EL168" s="214" t="s">
        <v>52</v>
      </c>
      <c r="EM168" s="214" t="s">
        <v>70</v>
      </c>
      <c r="EN168" s="214" t="s">
        <v>530</v>
      </c>
      <c r="EP168" s="214" t="s">
        <v>11322</v>
      </c>
      <c r="EQ168" s="214" t="s">
        <v>163</v>
      </c>
      <c r="ER168" s="214" t="s">
        <v>70</v>
      </c>
      <c r="ES168" s="214" t="s">
        <v>530</v>
      </c>
      <c r="EU168" s="214" t="s">
        <v>11323</v>
      </c>
      <c r="EV168" s="214" t="s">
        <v>34540</v>
      </c>
      <c r="EW168" s="214" t="s">
        <v>70</v>
      </c>
      <c r="EX168" s="214" t="s">
        <v>530</v>
      </c>
      <c r="EZ168" s="214" t="s">
        <v>11324</v>
      </c>
      <c r="FA168" s="214" t="s">
        <v>85</v>
      </c>
      <c r="FB168" s="214" t="s">
        <v>70</v>
      </c>
      <c r="FC168" s="214" t="s">
        <v>530</v>
      </c>
      <c r="FE168" s="214" t="s">
        <v>11325</v>
      </c>
      <c r="FF168" s="214" t="s">
        <v>945</v>
      </c>
      <c r="FG168" s="214" t="s">
        <v>70</v>
      </c>
      <c r="FH168" s="214" t="s">
        <v>530</v>
      </c>
      <c r="FJ168" s="321" t="s">
        <v>11326</v>
      </c>
      <c r="FK168" s="214" t="s">
        <v>52</v>
      </c>
      <c r="FL168" s="214" t="s">
        <v>70</v>
      </c>
      <c r="FM168" s="214" t="s">
        <v>530</v>
      </c>
      <c r="FO168" s="321" t="s">
        <v>11327</v>
      </c>
      <c r="FP168" s="214" t="s">
        <v>163</v>
      </c>
      <c r="FQ168" s="214" t="s">
        <v>70</v>
      </c>
      <c r="FR168" s="214" t="s">
        <v>530</v>
      </c>
      <c r="FT168" s="321" t="s">
        <v>11328</v>
      </c>
      <c r="FU168" s="214" t="s">
        <v>88</v>
      </c>
      <c r="FV168" s="214" t="s">
        <v>70</v>
      </c>
      <c r="FW168" s="214" t="s">
        <v>530</v>
      </c>
      <c r="FY168" s="321" t="s">
        <v>11329</v>
      </c>
      <c r="FZ168" s="214" t="s">
        <v>486</v>
      </c>
      <c r="GA168" s="214" t="s">
        <v>70</v>
      </c>
      <c r="GB168" s="214" t="s">
        <v>530</v>
      </c>
      <c r="GD168" s="321" t="s">
        <v>11330</v>
      </c>
      <c r="GE168" s="214" t="s">
        <v>34608</v>
      </c>
      <c r="GF168" s="214" t="s">
        <v>70</v>
      </c>
      <c r="GG168" s="214" t="s">
        <v>530</v>
      </c>
      <c r="GI168" s="321" t="s">
        <v>11331</v>
      </c>
      <c r="GJ168" s="214" t="s">
        <v>765</v>
      </c>
      <c r="GK168" s="214" t="s">
        <v>70</v>
      </c>
      <c r="GL168" s="214" t="s">
        <v>530</v>
      </c>
      <c r="GN168" s="321" t="s">
        <v>11332</v>
      </c>
      <c r="GO168" s="214" t="s">
        <v>798</v>
      </c>
      <c r="GP168" s="214" t="s">
        <v>70</v>
      </c>
      <c r="GQ168" s="214" t="s">
        <v>530</v>
      </c>
      <c r="GS168" s="321" t="s">
        <v>11333</v>
      </c>
      <c r="GT168" s="214" t="s">
        <v>917</v>
      </c>
      <c r="GU168" s="214" t="s">
        <v>70</v>
      </c>
      <c r="GV168" s="214" t="s">
        <v>530</v>
      </c>
      <c r="GX168" s="214" t="s">
        <v>11334</v>
      </c>
      <c r="GY168" s="214" t="s">
        <v>146</v>
      </c>
      <c r="GZ168" s="214" t="s">
        <v>70</v>
      </c>
      <c r="HA168" s="214" t="s">
        <v>530</v>
      </c>
      <c r="HC168" s="214" t="s">
        <v>11335</v>
      </c>
      <c r="HD168" s="214" t="s">
        <v>604</v>
      </c>
      <c r="HE168" s="214" t="s">
        <v>70</v>
      </c>
      <c r="HF168" s="214" t="s">
        <v>530</v>
      </c>
      <c r="HH168" s="214" t="s">
        <v>11336</v>
      </c>
      <c r="HI168" s="214" t="s">
        <v>655</v>
      </c>
      <c r="HJ168" s="214" t="s">
        <v>70</v>
      </c>
      <c r="HK168" s="214" t="s">
        <v>530</v>
      </c>
      <c r="HM168" s="214" t="s">
        <v>11337</v>
      </c>
      <c r="HN168" s="214" t="s">
        <v>148</v>
      </c>
      <c r="HO168" s="214" t="s">
        <v>70</v>
      </c>
      <c r="HP168" s="214" t="s">
        <v>530</v>
      </c>
      <c r="HR168" s="22" t="s">
        <v>11338</v>
      </c>
      <c r="HS168" s="22" t="s">
        <v>1028</v>
      </c>
      <c r="HT168" s="22" t="s">
        <v>70</v>
      </c>
      <c r="HU168" s="214" t="s">
        <v>530</v>
      </c>
      <c r="HW168" s="22" t="s">
        <v>11339</v>
      </c>
      <c r="HX168" s="22" t="s">
        <v>34599</v>
      </c>
      <c r="HY168" s="22" t="s">
        <v>70</v>
      </c>
      <c r="HZ168" s="214" t="s">
        <v>530</v>
      </c>
      <c r="IB168" s="22" t="s">
        <v>11340</v>
      </c>
      <c r="IC168" s="22" t="s">
        <v>52</v>
      </c>
      <c r="ID168" s="22" t="s">
        <v>70</v>
      </c>
      <c r="IE168" s="214" t="s">
        <v>530</v>
      </c>
      <c r="IG168" s="22" t="s">
        <v>11341</v>
      </c>
      <c r="IH168" s="22" t="s">
        <v>52</v>
      </c>
      <c r="II168" s="22" t="s">
        <v>70</v>
      </c>
      <c r="IJ168" s="214" t="s">
        <v>530</v>
      </c>
      <c r="IL168" s="22" t="s">
        <v>11342</v>
      </c>
      <c r="IM168" s="22" t="s">
        <v>145</v>
      </c>
      <c r="IN168" s="22" t="s">
        <v>70</v>
      </c>
      <c r="IO168" s="214" t="s">
        <v>530</v>
      </c>
      <c r="IQ168" s="236" t="s">
        <v>11343</v>
      </c>
      <c r="IR168" s="236" t="s">
        <v>145</v>
      </c>
      <c r="IS168" s="236" t="s">
        <v>74</v>
      </c>
      <c r="IT168" s="236" t="s">
        <v>841</v>
      </c>
      <c r="IV168" s="236" t="s">
        <v>11344</v>
      </c>
      <c r="IW168" s="236" t="s">
        <v>145</v>
      </c>
      <c r="IX168" s="236" t="s">
        <v>74</v>
      </c>
      <c r="IY168" s="236" t="s">
        <v>841</v>
      </c>
      <c r="JA168" s="236" t="s">
        <v>11345</v>
      </c>
      <c r="JB168" s="236" t="s">
        <v>145</v>
      </c>
      <c r="JC168" s="236" t="s">
        <v>74</v>
      </c>
      <c r="JD168" s="236" t="s">
        <v>841</v>
      </c>
      <c r="JF168" s="236" t="s">
        <v>11346</v>
      </c>
      <c r="JG168" s="236" t="s">
        <v>145</v>
      </c>
      <c r="JH168" s="236" t="s">
        <v>74</v>
      </c>
      <c r="JI168" s="236" t="s">
        <v>841</v>
      </c>
      <c r="JK168" s="236" t="s">
        <v>11347</v>
      </c>
      <c r="JL168" s="236" t="s">
        <v>145</v>
      </c>
      <c r="JM168" s="236" t="s">
        <v>74</v>
      </c>
      <c r="JN168" s="236" t="s">
        <v>841</v>
      </c>
      <c r="JP168" s="236" t="s">
        <v>11348</v>
      </c>
      <c r="JQ168" s="236" t="s">
        <v>145</v>
      </c>
      <c r="JR168" s="236" t="s">
        <v>74</v>
      </c>
      <c r="JS168" s="236" t="s">
        <v>841</v>
      </c>
      <c r="JU168" s="294" t="s">
        <v>11349</v>
      </c>
      <c r="JV168" s="294" t="s">
        <v>52</v>
      </c>
      <c r="JW168" s="263" t="s">
        <v>70</v>
      </c>
      <c r="JX168" s="294" t="s">
        <v>1083</v>
      </c>
      <c r="JZ168" s="263" t="s">
        <v>11350</v>
      </c>
      <c r="KA168" s="263" t="s">
        <v>145</v>
      </c>
      <c r="KB168" s="263" t="s">
        <v>70</v>
      </c>
      <c r="KC168" s="263" t="s">
        <v>1083</v>
      </c>
      <c r="KE168" s="263" t="s">
        <v>11351</v>
      </c>
      <c r="KF168" s="263" t="s">
        <v>52</v>
      </c>
      <c r="KG168" s="263" t="s">
        <v>70</v>
      </c>
      <c r="KH168" s="263" t="s">
        <v>1083</v>
      </c>
      <c r="KJ168" s="263" t="s">
        <v>11352</v>
      </c>
      <c r="KK168" s="263" t="s">
        <v>52</v>
      </c>
      <c r="KL168" s="263" t="s">
        <v>74</v>
      </c>
      <c r="KM168" s="263" t="s">
        <v>34074</v>
      </c>
      <c r="KO168" s="214" t="s">
        <v>11353</v>
      </c>
      <c r="KP168" s="214" t="s">
        <v>145</v>
      </c>
      <c r="KQ168" s="214" t="s">
        <v>70</v>
      </c>
      <c r="KR168" s="214" t="s">
        <v>67</v>
      </c>
      <c r="KT168" s="22" t="s">
        <v>11354</v>
      </c>
      <c r="KU168" s="22" t="s">
        <v>145</v>
      </c>
      <c r="KV168" s="22" t="s">
        <v>70</v>
      </c>
      <c r="KW168" s="22" t="s">
        <v>67</v>
      </c>
      <c r="KY168" s="214" t="s">
        <v>11355</v>
      </c>
      <c r="KZ168" s="214" t="s">
        <v>52</v>
      </c>
      <c r="LA168" s="214" t="s">
        <v>74</v>
      </c>
      <c r="LB168" s="214" t="s">
        <v>67</v>
      </c>
      <c r="LD168" s="22" t="s">
        <v>11356</v>
      </c>
      <c r="LE168" s="22" t="s">
        <v>145</v>
      </c>
      <c r="LF168" s="22" t="s">
        <v>70</v>
      </c>
      <c r="LG168" s="22" t="s">
        <v>67</v>
      </c>
    </row>
    <row r="169" spans="1:319">
      <c r="A169" s="22" t="s">
        <v>11357</v>
      </c>
      <c r="B169" s="218" t="s">
        <v>145</v>
      </c>
      <c r="C169" s="218" t="s">
        <v>75</v>
      </c>
      <c r="D169" s="218" t="s">
        <v>34723</v>
      </c>
      <c r="F169" s="23" t="s">
        <v>11358</v>
      </c>
      <c r="G169" s="23" t="str">
        <f>TVIIBE1M_CalPairs!$E166</f>
        <v>0x00</v>
      </c>
      <c r="H169" s="23" t="s">
        <v>72</v>
      </c>
      <c r="I169" s="23" t="str">
        <f>TVIIBE1M_CalPairs!$C166</f>
        <v>PASS0_SAR2_ANA_CAL_VAL0</v>
      </c>
      <c r="K169" s="22" t="s">
        <v>11359</v>
      </c>
      <c r="L169" s="22" t="s">
        <v>145</v>
      </c>
      <c r="M169" s="22" t="s">
        <v>70</v>
      </c>
      <c r="N169" s="22" t="s">
        <v>67</v>
      </c>
      <c r="P169" s="22" t="s">
        <v>11360</v>
      </c>
      <c r="Q169" s="22" t="s">
        <v>145</v>
      </c>
      <c r="R169" s="22" t="s">
        <v>70</v>
      </c>
      <c r="S169" s="22" t="s">
        <v>67</v>
      </c>
      <c r="U169" s="293" t="s">
        <v>11361</v>
      </c>
      <c r="V169" s="293" t="s">
        <v>145</v>
      </c>
      <c r="W169" s="293" t="s">
        <v>74</v>
      </c>
      <c r="X169" s="293" t="s">
        <v>656</v>
      </c>
      <c r="Z169" s="293" t="s">
        <v>11362</v>
      </c>
      <c r="AA169" s="293" t="s">
        <v>145</v>
      </c>
      <c r="AB169" s="293" t="s">
        <v>74</v>
      </c>
      <c r="AC169" s="293" t="s">
        <v>656</v>
      </c>
      <c r="AE169" s="293" t="s">
        <v>11363</v>
      </c>
      <c r="AF169" s="293" t="s">
        <v>145</v>
      </c>
      <c r="AG169" s="293" t="s">
        <v>74</v>
      </c>
      <c r="AH169" s="293" t="s">
        <v>656</v>
      </c>
      <c r="AJ169" s="293" t="s">
        <v>11364</v>
      </c>
      <c r="AK169" s="293" t="s">
        <v>145</v>
      </c>
      <c r="AL169" s="293" t="s">
        <v>74</v>
      </c>
      <c r="AM169" s="293" t="s">
        <v>656</v>
      </c>
      <c r="AO169" s="22" t="s">
        <v>11365</v>
      </c>
      <c r="AP169" s="22" t="s">
        <v>145</v>
      </c>
      <c r="AQ169" s="22" t="s">
        <v>70</v>
      </c>
      <c r="AR169" s="22" t="s">
        <v>67</v>
      </c>
      <c r="AT169" s="22" t="s">
        <v>11366</v>
      </c>
      <c r="AU169" s="22" t="s">
        <v>145</v>
      </c>
      <c r="AV169" s="22" t="s">
        <v>70</v>
      </c>
      <c r="AW169" s="22" t="s">
        <v>67</v>
      </c>
      <c r="AY169" s="22" t="s">
        <v>11367</v>
      </c>
      <c r="AZ169" s="22" t="s">
        <v>145</v>
      </c>
      <c r="BA169" s="22" t="s">
        <v>70</v>
      </c>
      <c r="BB169" s="22" t="s">
        <v>67</v>
      </c>
      <c r="BD169" s="22" t="s">
        <v>11368</v>
      </c>
      <c r="BE169" s="22" t="s">
        <v>145</v>
      </c>
      <c r="BF169" s="22" t="s">
        <v>70</v>
      </c>
      <c r="BG169" s="22" t="s">
        <v>67</v>
      </c>
      <c r="BI169" s="22" t="s">
        <v>11369</v>
      </c>
      <c r="BJ169" s="22" t="s">
        <v>145</v>
      </c>
      <c r="BK169" s="22" t="s">
        <v>70</v>
      </c>
      <c r="BL169" s="22" t="s">
        <v>67</v>
      </c>
      <c r="BN169" s="22" t="s">
        <v>11370</v>
      </c>
      <c r="BO169" s="22" t="s">
        <v>145</v>
      </c>
      <c r="BP169" s="22" t="s">
        <v>70</v>
      </c>
      <c r="BQ169" s="22" t="s">
        <v>67</v>
      </c>
      <c r="BS169" s="22" t="s">
        <v>11371</v>
      </c>
      <c r="BT169" s="22" t="s">
        <v>145</v>
      </c>
      <c r="BU169" s="22" t="s">
        <v>70</v>
      </c>
      <c r="BV169" s="214" t="s">
        <v>530</v>
      </c>
      <c r="BX169" s="22" t="s">
        <v>11372</v>
      </c>
      <c r="BY169" s="22" t="s">
        <v>145</v>
      </c>
      <c r="BZ169" s="22" t="s">
        <v>70</v>
      </c>
      <c r="CA169" s="214" t="s">
        <v>530</v>
      </c>
      <c r="CC169" s="214" t="s">
        <v>11373</v>
      </c>
      <c r="CD169" s="218" t="s">
        <v>145</v>
      </c>
      <c r="CE169" s="214" t="s">
        <v>70</v>
      </c>
      <c r="CF169" s="214" t="s">
        <v>464</v>
      </c>
      <c r="CH169" s="214" t="s">
        <v>11374</v>
      </c>
      <c r="CI169" s="214" t="s">
        <v>490</v>
      </c>
      <c r="CJ169" s="214" t="s">
        <v>70</v>
      </c>
      <c r="CK169" s="214" t="s">
        <v>530</v>
      </c>
      <c r="CM169" s="214" t="s">
        <v>11375</v>
      </c>
      <c r="CN169" s="214" t="s">
        <v>468</v>
      </c>
      <c r="CO169" s="214" t="s">
        <v>70</v>
      </c>
      <c r="CP169" s="214" t="s">
        <v>530</v>
      </c>
      <c r="CR169" s="214" t="s">
        <v>11376</v>
      </c>
      <c r="CS169" s="214" t="s">
        <v>34595</v>
      </c>
      <c r="CT169" s="214" t="s">
        <v>70</v>
      </c>
      <c r="CU169" s="214" t="s">
        <v>530</v>
      </c>
      <c r="CW169" s="214" t="s">
        <v>11377</v>
      </c>
      <c r="CX169" s="214" t="s">
        <v>34547</v>
      </c>
      <c r="CY169" s="214" t="s">
        <v>70</v>
      </c>
      <c r="CZ169" s="214" t="s">
        <v>530</v>
      </c>
      <c r="DB169" s="214" t="s">
        <v>11378</v>
      </c>
      <c r="DC169" s="214" t="s">
        <v>485</v>
      </c>
      <c r="DD169" s="214" t="s">
        <v>70</v>
      </c>
      <c r="DE169" s="214" t="s">
        <v>530</v>
      </c>
      <c r="DG169" s="214" t="s">
        <v>11379</v>
      </c>
      <c r="DH169" s="214" t="s">
        <v>492</v>
      </c>
      <c r="DI169" s="214" t="s">
        <v>70</v>
      </c>
      <c r="DJ169" s="214" t="s">
        <v>530</v>
      </c>
      <c r="DL169" s="214" t="s">
        <v>11380</v>
      </c>
      <c r="DM169" s="214" t="s">
        <v>468</v>
      </c>
      <c r="DN169" s="214" t="s">
        <v>70</v>
      </c>
      <c r="DO169" s="214" t="s">
        <v>530</v>
      </c>
      <c r="DQ169" s="214" t="s">
        <v>11381</v>
      </c>
      <c r="DR169" s="214" t="s">
        <v>34557</v>
      </c>
      <c r="DS169" s="214" t="s">
        <v>70</v>
      </c>
      <c r="DT169" s="214" t="s">
        <v>530</v>
      </c>
      <c r="DV169" s="214" t="s">
        <v>11382</v>
      </c>
      <c r="DW169" s="214" t="s">
        <v>146</v>
      </c>
      <c r="DX169" s="214" t="s">
        <v>70</v>
      </c>
      <c r="DY169" s="214" t="s">
        <v>530</v>
      </c>
      <c r="EA169" s="214" t="s">
        <v>11383</v>
      </c>
      <c r="EB169" s="214" t="s">
        <v>148</v>
      </c>
      <c r="EC169" s="214" t="s">
        <v>70</v>
      </c>
      <c r="ED169" s="214" t="s">
        <v>530</v>
      </c>
      <c r="EF169" s="214" t="s">
        <v>11384</v>
      </c>
      <c r="EG169" s="214" t="s">
        <v>529</v>
      </c>
      <c r="EH169" s="214" t="s">
        <v>70</v>
      </c>
      <c r="EI169" s="214" t="s">
        <v>530</v>
      </c>
      <c r="EK169" s="214" t="s">
        <v>11385</v>
      </c>
      <c r="EL169" s="214" t="s">
        <v>485</v>
      </c>
      <c r="EM169" s="214" t="s">
        <v>70</v>
      </c>
      <c r="EN169" s="214" t="s">
        <v>530</v>
      </c>
      <c r="EP169" s="214" t="s">
        <v>11386</v>
      </c>
      <c r="EQ169" s="214" t="s">
        <v>486</v>
      </c>
      <c r="ER169" s="214" t="s">
        <v>70</v>
      </c>
      <c r="ES169" s="214" t="s">
        <v>530</v>
      </c>
      <c r="EU169" s="214" t="s">
        <v>11387</v>
      </c>
      <c r="EV169" s="214" t="s">
        <v>491</v>
      </c>
      <c r="EW169" s="214" t="s">
        <v>70</v>
      </c>
      <c r="EX169" s="214" t="s">
        <v>530</v>
      </c>
      <c r="EZ169" s="214" t="s">
        <v>11388</v>
      </c>
      <c r="FA169" s="214" t="s">
        <v>34558</v>
      </c>
      <c r="FB169" s="214" t="s">
        <v>70</v>
      </c>
      <c r="FC169" s="214" t="s">
        <v>530</v>
      </c>
      <c r="FE169" s="214" t="s">
        <v>11389</v>
      </c>
      <c r="FF169" s="214" t="s">
        <v>468</v>
      </c>
      <c r="FG169" s="214" t="s">
        <v>70</v>
      </c>
      <c r="FH169" s="214" t="s">
        <v>530</v>
      </c>
      <c r="FJ169" s="321" t="s">
        <v>11390</v>
      </c>
      <c r="FK169" s="214" t="s">
        <v>203</v>
      </c>
      <c r="FL169" s="214" t="s">
        <v>70</v>
      </c>
      <c r="FM169" s="214" t="s">
        <v>530</v>
      </c>
      <c r="FO169" s="321" t="s">
        <v>11391</v>
      </c>
      <c r="FP169" s="214" t="s">
        <v>52</v>
      </c>
      <c r="FQ169" s="214" t="s">
        <v>70</v>
      </c>
      <c r="FR169" s="214" t="s">
        <v>530</v>
      </c>
      <c r="FT169" s="321" t="s">
        <v>11392</v>
      </c>
      <c r="FU169" s="214" t="s">
        <v>950</v>
      </c>
      <c r="FV169" s="214" t="s">
        <v>70</v>
      </c>
      <c r="FW169" s="214" t="s">
        <v>530</v>
      </c>
      <c r="FY169" s="321" t="s">
        <v>11393</v>
      </c>
      <c r="FZ169" s="214" t="s">
        <v>34548</v>
      </c>
      <c r="GA169" s="214" t="s">
        <v>70</v>
      </c>
      <c r="GB169" s="214" t="s">
        <v>530</v>
      </c>
      <c r="GD169" s="321" t="s">
        <v>11394</v>
      </c>
      <c r="GE169" s="214" t="s">
        <v>34539</v>
      </c>
      <c r="GF169" s="214" t="s">
        <v>70</v>
      </c>
      <c r="GG169" s="214" t="s">
        <v>530</v>
      </c>
      <c r="GI169" s="321" t="s">
        <v>11395</v>
      </c>
      <c r="GJ169" s="214" t="s">
        <v>148</v>
      </c>
      <c r="GK169" s="214" t="s">
        <v>70</v>
      </c>
      <c r="GL169" s="214" t="s">
        <v>530</v>
      </c>
      <c r="GN169" s="321" t="s">
        <v>11396</v>
      </c>
      <c r="GO169" s="214" t="s">
        <v>502</v>
      </c>
      <c r="GP169" s="214" t="s">
        <v>70</v>
      </c>
      <c r="GQ169" s="214" t="s">
        <v>530</v>
      </c>
      <c r="GS169" s="321" t="s">
        <v>11397</v>
      </c>
      <c r="GT169" s="214" t="s">
        <v>468</v>
      </c>
      <c r="GU169" s="214" t="s">
        <v>70</v>
      </c>
      <c r="GV169" s="214" t="s">
        <v>530</v>
      </c>
      <c r="GX169" s="214" t="s">
        <v>11398</v>
      </c>
      <c r="GY169" s="214" t="s">
        <v>34583</v>
      </c>
      <c r="GZ169" s="214" t="s">
        <v>70</v>
      </c>
      <c r="HA169" s="214" t="s">
        <v>530</v>
      </c>
      <c r="HC169" s="214" t="s">
        <v>11399</v>
      </c>
      <c r="HD169" s="214" t="s">
        <v>496</v>
      </c>
      <c r="HE169" s="214" t="s">
        <v>70</v>
      </c>
      <c r="HF169" s="214" t="s">
        <v>530</v>
      </c>
      <c r="HH169" s="214" t="s">
        <v>11400</v>
      </c>
      <c r="HI169" s="214" t="s">
        <v>34558</v>
      </c>
      <c r="HJ169" s="214" t="s">
        <v>70</v>
      </c>
      <c r="HK169" s="214" t="s">
        <v>530</v>
      </c>
      <c r="HM169" s="214" t="s">
        <v>11401</v>
      </c>
      <c r="HN169" s="214" t="s">
        <v>34542</v>
      </c>
      <c r="HO169" s="214" t="s">
        <v>70</v>
      </c>
      <c r="HP169" s="214" t="s">
        <v>530</v>
      </c>
      <c r="HR169" s="22" t="s">
        <v>11402</v>
      </c>
      <c r="HS169" s="22" t="s">
        <v>798</v>
      </c>
      <c r="HT169" s="22" t="s">
        <v>70</v>
      </c>
      <c r="HU169" s="214" t="s">
        <v>530</v>
      </c>
      <c r="HW169" s="22" t="s">
        <v>11403</v>
      </c>
      <c r="HX169" s="22" t="s">
        <v>798</v>
      </c>
      <c r="HY169" s="22" t="s">
        <v>70</v>
      </c>
      <c r="HZ169" s="214" t="s">
        <v>530</v>
      </c>
      <c r="IB169" s="22" t="s">
        <v>11404</v>
      </c>
      <c r="IC169" s="22" t="s">
        <v>204</v>
      </c>
      <c r="ID169" s="22" t="s">
        <v>70</v>
      </c>
      <c r="IE169" s="214" t="s">
        <v>530</v>
      </c>
      <c r="IG169" s="22" t="s">
        <v>11405</v>
      </c>
      <c r="IH169" s="22" t="s">
        <v>52</v>
      </c>
      <c r="II169" s="22" t="s">
        <v>70</v>
      </c>
      <c r="IJ169" s="214" t="s">
        <v>530</v>
      </c>
      <c r="IL169" s="22" t="s">
        <v>11406</v>
      </c>
      <c r="IM169" s="22" t="s">
        <v>145</v>
      </c>
      <c r="IN169" s="22" t="s">
        <v>70</v>
      </c>
      <c r="IO169" s="214" t="s">
        <v>530</v>
      </c>
      <c r="IQ169" s="236" t="s">
        <v>11407</v>
      </c>
      <c r="IR169" s="236" t="s">
        <v>145</v>
      </c>
      <c r="IS169" s="236" t="s">
        <v>74</v>
      </c>
      <c r="IT169" s="236" t="s">
        <v>841</v>
      </c>
      <c r="IV169" s="236" t="s">
        <v>11408</v>
      </c>
      <c r="IW169" s="236" t="s">
        <v>145</v>
      </c>
      <c r="IX169" s="236" t="s">
        <v>74</v>
      </c>
      <c r="IY169" s="236" t="s">
        <v>841</v>
      </c>
      <c r="JA169" s="236" t="s">
        <v>11409</v>
      </c>
      <c r="JB169" s="236" t="s">
        <v>145</v>
      </c>
      <c r="JC169" s="236" t="s">
        <v>74</v>
      </c>
      <c r="JD169" s="236" t="s">
        <v>841</v>
      </c>
      <c r="JF169" s="236" t="s">
        <v>11410</v>
      </c>
      <c r="JG169" s="236" t="s">
        <v>145</v>
      </c>
      <c r="JH169" s="236" t="s">
        <v>74</v>
      </c>
      <c r="JI169" s="236" t="s">
        <v>841</v>
      </c>
      <c r="JK169" s="236" t="s">
        <v>11411</v>
      </c>
      <c r="JL169" s="236" t="s">
        <v>145</v>
      </c>
      <c r="JM169" s="236" t="s">
        <v>74</v>
      </c>
      <c r="JN169" s="236" t="s">
        <v>841</v>
      </c>
      <c r="JP169" s="236" t="s">
        <v>11412</v>
      </c>
      <c r="JQ169" s="236" t="s">
        <v>145</v>
      </c>
      <c r="JR169" s="236" t="s">
        <v>74</v>
      </c>
      <c r="JS169" s="236" t="s">
        <v>841</v>
      </c>
      <c r="JU169" s="294" t="s">
        <v>11413</v>
      </c>
      <c r="JV169" s="294" t="s">
        <v>52</v>
      </c>
      <c r="JW169" s="263" t="s">
        <v>70</v>
      </c>
      <c r="JX169" s="294" t="s">
        <v>1083</v>
      </c>
      <c r="JZ169" s="263" t="s">
        <v>11414</v>
      </c>
      <c r="KA169" s="263" t="s">
        <v>145</v>
      </c>
      <c r="KB169" s="263" t="s">
        <v>70</v>
      </c>
      <c r="KC169" s="263" t="s">
        <v>1083</v>
      </c>
      <c r="KE169" s="263" t="s">
        <v>11415</v>
      </c>
      <c r="KF169" s="263" t="s">
        <v>52</v>
      </c>
      <c r="KG169" s="263" t="s">
        <v>70</v>
      </c>
      <c r="KH169" s="263" t="s">
        <v>1083</v>
      </c>
      <c r="KJ169" s="263" t="s">
        <v>11416</v>
      </c>
      <c r="KK169" s="263" t="s">
        <v>52</v>
      </c>
      <c r="KL169" s="263" t="s">
        <v>74</v>
      </c>
      <c r="KM169" s="263" t="s">
        <v>34074</v>
      </c>
      <c r="KO169" s="214" t="s">
        <v>11417</v>
      </c>
      <c r="KP169" s="214" t="s">
        <v>145</v>
      </c>
      <c r="KQ169" s="214" t="s">
        <v>70</v>
      </c>
      <c r="KR169" s="214" t="s">
        <v>67</v>
      </c>
      <c r="KT169" s="22" t="s">
        <v>11418</v>
      </c>
      <c r="KU169" s="22" t="s">
        <v>145</v>
      </c>
      <c r="KV169" s="22" t="s">
        <v>70</v>
      </c>
      <c r="KW169" s="22" t="s">
        <v>67</v>
      </c>
      <c r="KY169" s="214" t="s">
        <v>11419</v>
      </c>
      <c r="KZ169" s="214" t="s">
        <v>52</v>
      </c>
      <c r="LA169" s="214" t="s">
        <v>74</v>
      </c>
      <c r="LB169" s="214" t="s">
        <v>67</v>
      </c>
      <c r="LD169" s="22" t="s">
        <v>11420</v>
      </c>
      <c r="LE169" s="22" t="s">
        <v>145</v>
      </c>
      <c r="LF169" s="22" t="s">
        <v>70</v>
      </c>
      <c r="LG169" s="22" t="s">
        <v>67</v>
      </c>
    </row>
    <row r="170" spans="1:319">
      <c r="A170" s="22" t="s">
        <v>11421</v>
      </c>
      <c r="B170" s="218" t="s">
        <v>145</v>
      </c>
      <c r="C170" s="218" t="s">
        <v>75</v>
      </c>
      <c r="D170" s="218" t="s">
        <v>34724</v>
      </c>
      <c r="F170" s="23" t="s">
        <v>11422</v>
      </c>
      <c r="G170" s="23" t="str">
        <f>TVIIBE1M_CalPairs!$E167</f>
        <v>0x00</v>
      </c>
      <c r="H170" s="23" t="s">
        <v>72</v>
      </c>
      <c r="I170" s="23" t="str">
        <f>TVIIBE1M_CalPairs!$C167</f>
        <v>PASS0_SAR2_ANA_CAL_VAL1</v>
      </c>
      <c r="K170" s="22" t="s">
        <v>11423</v>
      </c>
      <c r="L170" s="22" t="s">
        <v>145</v>
      </c>
      <c r="M170" s="22" t="s">
        <v>70</v>
      </c>
      <c r="N170" s="22" t="s">
        <v>67</v>
      </c>
      <c r="P170" s="22" t="s">
        <v>11424</v>
      </c>
      <c r="Q170" s="22" t="s">
        <v>145</v>
      </c>
      <c r="R170" s="22" t="s">
        <v>70</v>
      </c>
      <c r="S170" s="22" t="s">
        <v>67</v>
      </c>
      <c r="U170" s="293" t="s">
        <v>11425</v>
      </c>
      <c r="V170" s="293" t="s">
        <v>145</v>
      </c>
      <c r="W170" s="293" t="s">
        <v>74</v>
      </c>
      <c r="X170" s="293" t="s">
        <v>656</v>
      </c>
      <c r="Z170" s="293" t="s">
        <v>11426</v>
      </c>
      <c r="AA170" s="293" t="s">
        <v>145</v>
      </c>
      <c r="AB170" s="293" t="s">
        <v>74</v>
      </c>
      <c r="AC170" s="293" t="s">
        <v>656</v>
      </c>
      <c r="AE170" s="293" t="s">
        <v>11427</v>
      </c>
      <c r="AF170" s="293" t="s">
        <v>145</v>
      </c>
      <c r="AG170" s="293" t="s">
        <v>74</v>
      </c>
      <c r="AH170" s="293" t="s">
        <v>656</v>
      </c>
      <c r="AJ170" s="293" t="s">
        <v>11428</v>
      </c>
      <c r="AK170" s="293" t="s">
        <v>145</v>
      </c>
      <c r="AL170" s="293" t="s">
        <v>74</v>
      </c>
      <c r="AM170" s="293" t="s">
        <v>656</v>
      </c>
      <c r="AO170" s="22" t="s">
        <v>11429</v>
      </c>
      <c r="AP170" s="22" t="s">
        <v>145</v>
      </c>
      <c r="AQ170" s="22" t="s">
        <v>70</v>
      </c>
      <c r="AR170" s="22" t="s">
        <v>67</v>
      </c>
      <c r="AT170" s="22" t="s">
        <v>11430</v>
      </c>
      <c r="AU170" s="22" t="s">
        <v>145</v>
      </c>
      <c r="AV170" s="22" t="s">
        <v>70</v>
      </c>
      <c r="AW170" s="22" t="s">
        <v>67</v>
      </c>
      <c r="AY170" s="22" t="s">
        <v>11431</v>
      </c>
      <c r="AZ170" s="22" t="s">
        <v>145</v>
      </c>
      <c r="BA170" s="22" t="s">
        <v>70</v>
      </c>
      <c r="BB170" s="22" t="s">
        <v>67</v>
      </c>
      <c r="BD170" s="22" t="s">
        <v>11432</v>
      </c>
      <c r="BE170" s="22" t="s">
        <v>145</v>
      </c>
      <c r="BF170" s="22" t="s">
        <v>70</v>
      </c>
      <c r="BG170" s="22" t="s">
        <v>67</v>
      </c>
      <c r="BI170" s="22" t="s">
        <v>11433</v>
      </c>
      <c r="BJ170" s="22" t="s">
        <v>145</v>
      </c>
      <c r="BK170" s="22" t="s">
        <v>70</v>
      </c>
      <c r="BL170" s="22" t="s">
        <v>67</v>
      </c>
      <c r="BN170" s="22" t="s">
        <v>11434</v>
      </c>
      <c r="BO170" s="22" t="s">
        <v>145</v>
      </c>
      <c r="BP170" s="22" t="s">
        <v>70</v>
      </c>
      <c r="BQ170" s="22" t="s">
        <v>67</v>
      </c>
      <c r="BS170" s="22" t="s">
        <v>11435</v>
      </c>
      <c r="BT170" s="22" t="s">
        <v>145</v>
      </c>
      <c r="BU170" s="22" t="s">
        <v>70</v>
      </c>
      <c r="BV170" s="214" t="s">
        <v>530</v>
      </c>
      <c r="BX170" s="22" t="s">
        <v>11436</v>
      </c>
      <c r="BY170" s="22" t="s">
        <v>145</v>
      </c>
      <c r="BZ170" s="22" t="s">
        <v>70</v>
      </c>
      <c r="CA170" s="214" t="s">
        <v>530</v>
      </c>
      <c r="CC170" s="214" t="s">
        <v>11437</v>
      </c>
      <c r="CD170" s="218" t="s">
        <v>145</v>
      </c>
      <c r="CE170" s="214" t="s">
        <v>70</v>
      </c>
      <c r="CF170" s="214" t="s">
        <v>465</v>
      </c>
      <c r="CH170" s="214" t="s">
        <v>11438</v>
      </c>
      <c r="CI170" s="214" t="s">
        <v>52</v>
      </c>
      <c r="CJ170" s="214" t="s">
        <v>70</v>
      </c>
      <c r="CK170" s="214" t="s">
        <v>530</v>
      </c>
      <c r="CM170" s="214" t="s">
        <v>11439</v>
      </c>
      <c r="CN170" s="214" t="s">
        <v>34538</v>
      </c>
      <c r="CO170" s="214" t="s">
        <v>70</v>
      </c>
      <c r="CP170" s="214" t="s">
        <v>530</v>
      </c>
      <c r="CR170" s="214" t="s">
        <v>11440</v>
      </c>
      <c r="CS170" s="214" t="s">
        <v>926</v>
      </c>
      <c r="CT170" s="214" t="s">
        <v>70</v>
      </c>
      <c r="CU170" s="214" t="s">
        <v>530</v>
      </c>
      <c r="CW170" s="214" t="s">
        <v>11441</v>
      </c>
      <c r="CX170" s="214" t="s">
        <v>932</v>
      </c>
      <c r="CY170" s="214" t="s">
        <v>70</v>
      </c>
      <c r="CZ170" s="214" t="s">
        <v>530</v>
      </c>
      <c r="DB170" s="214" t="s">
        <v>11442</v>
      </c>
      <c r="DC170" s="214" t="s">
        <v>34545</v>
      </c>
      <c r="DD170" s="214" t="s">
        <v>70</v>
      </c>
      <c r="DE170" s="214" t="s">
        <v>530</v>
      </c>
      <c r="DG170" s="214" t="s">
        <v>11443</v>
      </c>
      <c r="DH170" s="214" t="s">
        <v>148</v>
      </c>
      <c r="DI170" s="214" t="s">
        <v>70</v>
      </c>
      <c r="DJ170" s="214" t="s">
        <v>530</v>
      </c>
      <c r="DL170" s="214" t="s">
        <v>11444</v>
      </c>
      <c r="DM170" s="214" t="s">
        <v>937</v>
      </c>
      <c r="DN170" s="214" t="s">
        <v>70</v>
      </c>
      <c r="DO170" s="214" t="s">
        <v>530</v>
      </c>
      <c r="DQ170" s="214" t="s">
        <v>11445</v>
      </c>
      <c r="DR170" s="214" t="s">
        <v>163</v>
      </c>
      <c r="DS170" s="214" t="s">
        <v>70</v>
      </c>
      <c r="DT170" s="214" t="s">
        <v>530</v>
      </c>
      <c r="DV170" s="214" t="s">
        <v>11446</v>
      </c>
      <c r="DW170" s="214" t="s">
        <v>468</v>
      </c>
      <c r="DX170" s="214" t="s">
        <v>70</v>
      </c>
      <c r="DY170" s="214" t="s">
        <v>530</v>
      </c>
      <c r="EA170" s="214" t="s">
        <v>11447</v>
      </c>
      <c r="EB170" s="214" t="s">
        <v>34611</v>
      </c>
      <c r="EC170" s="214" t="s">
        <v>70</v>
      </c>
      <c r="ED170" s="214" t="s">
        <v>530</v>
      </c>
      <c r="EF170" s="214" t="s">
        <v>11448</v>
      </c>
      <c r="EG170" s="214" t="s">
        <v>148</v>
      </c>
      <c r="EH170" s="214" t="s">
        <v>70</v>
      </c>
      <c r="EI170" s="214" t="s">
        <v>530</v>
      </c>
      <c r="EK170" s="214" t="s">
        <v>11449</v>
      </c>
      <c r="EL170" s="214" t="s">
        <v>915</v>
      </c>
      <c r="EM170" s="214" t="s">
        <v>70</v>
      </c>
      <c r="EN170" s="214" t="s">
        <v>530</v>
      </c>
      <c r="EP170" s="214" t="s">
        <v>11450</v>
      </c>
      <c r="EQ170" s="214" t="s">
        <v>603</v>
      </c>
      <c r="ER170" s="214" t="s">
        <v>70</v>
      </c>
      <c r="ES170" s="214" t="s">
        <v>530</v>
      </c>
      <c r="EU170" s="214" t="s">
        <v>11451</v>
      </c>
      <c r="EV170" s="214" t="s">
        <v>52</v>
      </c>
      <c r="EW170" s="214" t="s">
        <v>70</v>
      </c>
      <c r="EX170" s="214" t="s">
        <v>530</v>
      </c>
      <c r="EZ170" s="214" t="s">
        <v>11452</v>
      </c>
      <c r="FA170" s="214" t="s">
        <v>500</v>
      </c>
      <c r="FB170" s="214" t="s">
        <v>70</v>
      </c>
      <c r="FC170" s="214" t="s">
        <v>530</v>
      </c>
      <c r="FE170" s="214" t="s">
        <v>11453</v>
      </c>
      <c r="FF170" s="214" t="s">
        <v>146</v>
      </c>
      <c r="FG170" s="214" t="s">
        <v>70</v>
      </c>
      <c r="FH170" s="214" t="s">
        <v>530</v>
      </c>
      <c r="FJ170" s="321" t="s">
        <v>11454</v>
      </c>
      <c r="FK170" s="214" t="s">
        <v>34622</v>
      </c>
      <c r="FL170" s="214" t="s">
        <v>70</v>
      </c>
      <c r="FM170" s="214" t="s">
        <v>530</v>
      </c>
      <c r="FO170" s="321" t="s">
        <v>11455</v>
      </c>
      <c r="FP170" s="214" t="s">
        <v>34583</v>
      </c>
      <c r="FQ170" s="214" t="s">
        <v>70</v>
      </c>
      <c r="FR170" s="214" t="s">
        <v>530</v>
      </c>
      <c r="FT170" s="321" t="s">
        <v>11456</v>
      </c>
      <c r="FU170" s="214" t="s">
        <v>529</v>
      </c>
      <c r="FV170" s="214" t="s">
        <v>70</v>
      </c>
      <c r="FW170" s="214" t="s">
        <v>530</v>
      </c>
      <c r="FY170" s="321" t="s">
        <v>11457</v>
      </c>
      <c r="FZ170" s="214" t="s">
        <v>34551</v>
      </c>
      <c r="GA170" s="214" t="s">
        <v>70</v>
      </c>
      <c r="GB170" s="214" t="s">
        <v>530</v>
      </c>
      <c r="GD170" s="321" t="s">
        <v>11458</v>
      </c>
      <c r="GE170" s="214" t="s">
        <v>164</v>
      </c>
      <c r="GF170" s="214" t="s">
        <v>70</v>
      </c>
      <c r="GG170" s="214" t="s">
        <v>530</v>
      </c>
      <c r="GI170" s="321" t="s">
        <v>11459</v>
      </c>
      <c r="GJ170" s="214" t="s">
        <v>914</v>
      </c>
      <c r="GK170" s="214" t="s">
        <v>70</v>
      </c>
      <c r="GL170" s="214" t="s">
        <v>530</v>
      </c>
      <c r="GN170" s="321" t="s">
        <v>11460</v>
      </c>
      <c r="GO170" s="214" t="s">
        <v>206</v>
      </c>
      <c r="GP170" s="214" t="s">
        <v>70</v>
      </c>
      <c r="GQ170" s="214" t="s">
        <v>530</v>
      </c>
      <c r="GS170" s="321" t="s">
        <v>11461</v>
      </c>
      <c r="GT170" s="214" t="s">
        <v>52</v>
      </c>
      <c r="GU170" s="214" t="s">
        <v>70</v>
      </c>
      <c r="GV170" s="214" t="s">
        <v>530</v>
      </c>
      <c r="GX170" s="214" t="s">
        <v>11462</v>
      </c>
      <c r="GY170" s="214" t="s">
        <v>52</v>
      </c>
      <c r="GZ170" s="214" t="s">
        <v>70</v>
      </c>
      <c r="HA170" s="214" t="s">
        <v>530</v>
      </c>
      <c r="HC170" s="214" t="s">
        <v>11463</v>
      </c>
      <c r="HD170" s="214" t="s">
        <v>90</v>
      </c>
      <c r="HE170" s="214" t="s">
        <v>70</v>
      </c>
      <c r="HF170" s="214" t="s">
        <v>530</v>
      </c>
      <c r="HH170" s="214" t="s">
        <v>11464</v>
      </c>
      <c r="HI170" s="214" t="s">
        <v>90</v>
      </c>
      <c r="HJ170" s="214" t="s">
        <v>70</v>
      </c>
      <c r="HK170" s="214" t="s">
        <v>530</v>
      </c>
      <c r="HM170" s="214" t="s">
        <v>11465</v>
      </c>
      <c r="HN170" s="214" t="s">
        <v>481</v>
      </c>
      <c r="HO170" s="214" t="s">
        <v>70</v>
      </c>
      <c r="HP170" s="214" t="s">
        <v>530</v>
      </c>
      <c r="HR170" s="22" t="s">
        <v>11466</v>
      </c>
      <c r="HS170" s="22" t="s">
        <v>34539</v>
      </c>
      <c r="HT170" s="22" t="s">
        <v>70</v>
      </c>
      <c r="HU170" s="214" t="s">
        <v>530</v>
      </c>
      <c r="HW170" s="22" t="s">
        <v>11467</v>
      </c>
      <c r="HX170" s="22" t="s">
        <v>52</v>
      </c>
      <c r="HY170" s="22" t="s">
        <v>70</v>
      </c>
      <c r="HZ170" s="214" t="s">
        <v>530</v>
      </c>
      <c r="IB170" s="22" t="s">
        <v>11468</v>
      </c>
      <c r="IC170" s="22" t="s">
        <v>34618</v>
      </c>
      <c r="ID170" s="22" t="s">
        <v>70</v>
      </c>
      <c r="IE170" s="214" t="s">
        <v>530</v>
      </c>
      <c r="IG170" s="22" t="s">
        <v>11469</v>
      </c>
      <c r="IH170" s="22" t="s">
        <v>52</v>
      </c>
      <c r="II170" s="22" t="s">
        <v>70</v>
      </c>
      <c r="IJ170" s="214" t="s">
        <v>530</v>
      </c>
      <c r="IL170" s="22" t="s">
        <v>11470</v>
      </c>
      <c r="IM170" s="22" t="s">
        <v>145</v>
      </c>
      <c r="IN170" s="22" t="s">
        <v>70</v>
      </c>
      <c r="IO170" s="214" t="s">
        <v>530</v>
      </c>
      <c r="IQ170" s="236" t="s">
        <v>11471</v>
      </c>
      <c r="IR170" s="236" t="s">
        <v>145</v>
      </c>
      <c r="IS170" s="236" t="s">
        <v>74</v>
      </c>
      <c r="IT170" s="236" t="s">
        <v>841</v>
      </c>
      <c r="IV170" s="236" t="s">
        <v>11472</v>
      </c>
      <c r="IW170" s="236" t="s">
        <v>145</v>
      </c>
      <c r="IX170" s="236" t="s">
        <v>74</v>
      </c>
      <c r="IY170" s="236" t="s">
        <v>841</v>
      </c>
      <c r="JA170" s="236" t="s">
        <v>11473</v>
      </c>
      <c r="JB170" s="236" t="s">
        <v>145</v>
      </c>
      <c r="JC170" s="236" t="s">
        <v>74</v>
      </c>
      <c r="JD170" s="236" t="s">
        <v>841</v>
      </c>
      <c r="JF170" s="236" t="s">
        <v>11474</v>
      </c>
      <c r="JG170" s="236" t="s">
        <v>145</v>
      </c>
      <c r="JH170" s="236" t="s">
        <v>74</v>
      </c>
      <c r="JI170" s="236" t="s">
        <v>841</v>
      </c>
      <c r="JK170" s="236" t="s">
        <v>11475</v>
      </c>
      <c r="JL170" s="236" t="s">
        <v>145</v>
      </c>
      <c r="JM170" s="236" t="s">
        <v>74</v>
      </c>
      <c r="JN170" s="236" t="s">
        <v>841</v>
      </c>
      <c r="JP170" s="236" t="s">
        <v>11476</v>
      </c>
      <c r="JQ170" s="236" t="s">
        <v>145</v>
      </c>
      <c r="JR170" s="236" t="s">
        <v>74</v>
      </c>
      <c r="JS170" s="236" t="s">
        <v>841</v>
      </c>
      <c r="JU170" s="294" t="s">
        <v>11477</v>
      </c>
      <c r="JV170" s="294" t="s">
        <v>52</v>
      </c>
      <c r="JW170" s="263" t="s">
        <v>70</v>
      </c>
      <c r="JX170" s="294" t="s">
        <v>1083</v>
      </c>
      <c r="JZ170" s="263" t="s">
        <v>11478</v>
      </c>
      <c r="KA170" s="263" t="s">
        <v>145</v>
      </c>
      <c r="KB170" s="263" t="s">
        <v>70</v>
      </c>
      <c r="KC170" s="263" t="s">
        <v>1083</v>
      </c>
      <c r="KE170" s="263" t="s">
        <v>11479</v>
      </c>
      <c r="KF170" s="263" t="s">
        <v>52</v>
      </c>
      <c r="KG170" s="263" t="s">
        <v>70</v>
      </c>
      <c r="KH170" s="263" t="s">
        <v>1083</v>
      </c>
      <c r="KJ170" s="263" t="s">
        <v>11480</v>
      </c>
      <c r="KK170" s="263" t="s">
        <v>52</v>
      </c>
      <c r="KL170" s="263" t="s">
        <v>74</v>
      </c>
      <c r="KM170" s="263" t="s">
        <v>34074</v>
      </c>
      <c r="KO170" s="214" t="s">
        <v>11481</v>
      </c>
      <c r="KP170" s="214" t="s">
        <v>145</v>
      </c>
      <c r="KQ170" s="214" t="s">
        <v>70</v>
      </c>
      <c r="KR170" s="214" t="s">
        <v>67</v>
      </c>
      <c r="KT170" s="22" t="s">
        <v>11482</v>
      </c>
      <c r="KU170" s="22" t="s">
        <v>145</v>
      </c>
      <c r="KV170" s="22" t="s">
        <v>70</v>
      </c>
      <c r="KW170" s="22" t="s">
        <v>67</v>
      </c>
      <c r="KY170" s="214" t="s">
        <v>11483</v>
      </c>
      <c r="KZ170" s="214" t="s">
        <v>52</v>
      </c>
      <c r="LA170" s="214" t="s">
        <v>74</v>
      </c>
      <c r="LB170" s="214" t="s">
        <v>67</v>
      </c>
      <c r="LD170" s="22" t="s">
        <v>11484</v>
      </c>
      <c r="LE170" s="22" t="s">
        <v>145</v>
      </c>
      <c r="LF170" s="22" t="s">
        <v>70</v>
      </c>
      <c r="LG170" s="22" t="s">
        <v>67</v>
      </c>
    </row>
    <row r="171" spans="1:319">
      <c r="A171" s="22" t="s">
        <v>11485</v>
      </c>
      <c r="B171" s="218" t="s">
        <v>145</v>
      </c>
      <c r="C171" s="218" t="s">
        <v>75</v>
      </c>
      <c r="D171" s="218" t="s">
        <v>34659</v>
      </c>
      <c r="F171" s="23" t="s">
        <v>11486</v>
      </c>
      <c r="G171" s="23" t="str">
        <f>TVIIBE1M_CalPairs!$E168</f>
        <v>0x00</v>
      </c>
      <c r="H171" s="23" t="s">
        <v>72</v>
      </c>
      <c r="I171" s="23" t="str">
        <f>TVIIBE1M_CalPairs!$C168</f>
        <v>PASS0_SAR2_ANA_CAL_VAL2</v>
      </c>
      <c r="K171" s="22" t="s">
        <v>11487</v>
      </c>
      <c r="L171" s="22" t="s">
        <v>145</v>
      </c>
      <c r="M171" s="22" t="s">
        <v>70</v>
      </c>
      <c r="N171" s="22" t="s">
        <v>67</v>
      </c>
      <c r="P171" s="22" t="s">
        <v>11488</v>
      </c>
      <c r="Q171" s="22" t="s">
        <v>145</v>
      </c>
      <c r="R171" s="22" t="s">
        <v>70</v>
      </c>
      <c r="S171" s="22" t="s">
        <v>67</v>
      </c>
      <c r="U171" s="293" t="s">
        <v>11489</v>
      </c>
      <c r="V171" s="293" t="s">
        <v>145</v>
      </c>
      <c r="W171" s="293" t="s">
        <v>74</v>
      </c>
      <c r="X171" s="293" t="s">
        <v>656</v>
      </c>
      <c r="Z171" s="293" t="s">
        <v>11490</v>
      </c>
      <c r="AA171" s="293" t="s">
        <v>145</v>
      </c>
      <c r="AB171" s="293" t="s">
        <v>74</v>
      </c>
      <c r="AC171" s="293" t="s">
        <v>656</v>
      </c>
      <c r="AE171" s="293" t="s">
        <v>11491</v>
      </c>
      <c r="AF171" s="293" t="s">
        <v>145</v>
      </c>
      <c r="AG171" s="293" t="s">
        <v>74</v>
      </c>
      <c r="AH171" s="293" t="s">
        <v>656</v>
      </c>
      <c r="AJ171" s="293" t="s">
        <v>11492</v>
      </c>
      <c r="AK171" s="293" t="s">
        <v>145</v>
      </c>
      <c r="AL171" s="293" t="s">
        <v>74</v>
      </c>
      <c r="AM171" s="293" t="s">
        <v>656</v>
      </c>
      <c r="AO171" s="22" t="s">
        <v>11493</v>
      </c>
      <c r="AP171" s="22" t="s">
        <v>145</v>
      </c>
      <c r="AQ171" s="22" t="s">
        <v>70</v>
      </c>
      <c r="AR171" s="22" t="s">
        <v>67</v>
      </c>
      <c r="AT171" s="22" t="s">
        <v>11494</v>
      </c>
      <c r="AU171" s="22" t="s">
        <v>145</v>
      </c>
      <c r="AV171" s="22" t="s">
        <v>70</v>
      </c>
      <c r="AW171" s="22" t="s">
        <v>67</v>
      </c>
      <c r="AY171" s="22" t="s">
        <v>11495</v>
      </c>
      <c r="AZ171" s="22" t="s">
        <v>145</v>
      </c>
      <c r="BA171" s="22" t="s">
        <v>70</v>
      </c>
      <c r="BB171" s="22" t="s">
        <v>67</v>
      </c>
      <c r="BD171" s="22" t="s">
        <v>11496</v>
      </c>
      <c r="BE171" s="22" t="s">
        <v>145</v>
      </c>
      <c r="BF171" s="22" t="s">
        <v>70</v>
      </c>
      <c r="BG171" s="22" t="s">
        <v>67</v>
      </c>
      <c r="BI171" s="22" t="s">
        <v>11497</v>
      </c>
      <c r="BJ171" s="22" t="s">
        <v>145</v>
      </c>
      <c r="BK171" s="22" t="s">
        <v>70</v>
      </c>
      <c r="BL171" s="22" t="s">
        <v>67</v>
      </c>
      <c r="BN171" s="22" t="s">
        <v>11498</v>
      </c>
      <c r="BO171" s="22" t="s">
        <v>145</v>
      </c>
      <c r="BP171" s="22" t="s">
        <v>70</v>
      </c>
      <c r="BQ171" s="22" t="s">
        <v>67</v>
      </c>
      <c r="BS171" s="22" t="s">
        <v>11499</v>
      </c>
      <c r="BT171" s="22" t="s">
        <v>145</v>
      </c>
      <c r="BU171" s="22" t="s">
        <v>70</v>
      </c>
      <c r="BV171" s="214" t="s">
        <v>530</v>
      </c>
      <c r="BX171" s="22" t="s">
        <v>11500</v>
      </c>
      <c r="BY171" s="22" t="s">
        <v>145</v>
      </c>
      <c r="BZ171" s="22" t="s">
        <v>70</v>
      </c>
      <c r="CA171" s="214" t="s">
        <v>530</v>
      </c>
      <c r="CC171" s="214" t="s">
        <v>11501</v>
      </c>
      <c r="CD171" s="218" t="s">
        <v>145</v>
      </c>
      <c r="CE171" s="214" t="s">
        <v>70</v>
      </c>
      <c r="CF171" s="214" t="s">
        <v>466</v>
      </c>
      <c r="CH171" s="214" t="s">
        <v>11502</v>
      </c>
      <c r="CI171" s="214" t="s">
        <v>485</v>
      </c>
      <c r="CJ171" s="214" t="s">
        <v>70</v>
      </c>
      <c r="CK171" s="214" t="s">
        <v>530</v>
      </c>
      <c r="CM171" s="214" t="s">
        <v>11503</v>
      </c>
      <c r="CN171" s="214" t="s">
        <v>496</v>
      </c>
      <c r="CO171" s="214" t="s">
        <v>70</v>
      </c>
      <c r="CP171" s="214" t="s">
        <v>530</v>
      </c>
      <c r="CR171" s="214" t="s">
        <v>11504</v>
      </c>
      <c r="CS171" s="214" t="s">
        <v>488</v>
      </c>
      <c r="CT171" s="214" t="s">
        <v>70</v>
      </c>
      <c r="CU171" s="214" t="s">
        <v>530</v>
      </c>
      <c r="CW171" s="214" t="s">
        <v>11505</v>
      </c>
      <c r="CX171" s="214" t="s">
        <v>34595</v>
      </c>
      <c r="CY171" s="214" t="s">
        <v>70</v>
      </c>
      <c r="CZ171" s="214" t="s">
        <v>530</v>
      </c>
      <c r="DB171" s="214" t="s">
        <v>11506</v>
      </c>
      <c r="DC171" s="214" t="s">
        <v>34561</v>
      </c>
      <c r="DD171" s="214" t="s">
        <v>70</v>
      </c>
      <c r="DE171" s="214" t="s">
        <v>530</v>
      </c>
      <c r="DG171" s="214" t="s">
        <v>11507</v>
      </c>
      <c r="DH171" s="214" t="s">
        <v>486</v>
      </c>
      <c r="DI171" s="214" t="s">
        <v>70</v>
      </c>
      <c r="DJ171" s="214" t="s">
        <v>530</v>
      </c>
      <c r="DL171" s="214" t="s">
        <v>11508</v>
      </c>
      <c r="DM171" s="214" t="s">
        <v>926</v>
      </c>
      <c r="DN171" s="214" t="s">
        <v>70</v>
      </c>
      <c r="DO171" s="214" t="s">
        <v>530</v>
      </c>
      <c r="DQ171" s="214" t="s">
        <v>11509</v>
      </c>
      <c r="DR171" s="214" t="s">
        <v>146</v>
      </c>
      <c r="DS171" s="214" t="s">
        <v>70</v>
      </c>
      <c r="DT171" s="214" t="s">
        <v>530</v>
      </c>
      <c r="DV171" s="214" t="s">
        <v>11510</v>
      </c>
      <c r="DW171" s="214" t="s">
        <v>34629</v>
      </c>
      <c r="DX171" s="214" t="s">
        <v>70</v>
      </c>
      <c r="DY171" s="214" t="s">
        <v>530</v>
      </c>
      <c r="EA171" s="214" t="s">
        <v>11511</v>
      </c>
      <c r="EB171" s="214" t="s">
        <v>602</v>
      </c>
      <c r="EC171" s="214" t="s">
        <v>70</v>
      </c>
      <c r="ED171" s="214" t="s">
        <v>530</v>
      </c>
      <c r="EF171" s="214" t="s">
        <v>11512</v>
      </c>
      <c r="EG171" s="214" t="s">
        <v>34542</v>
      </c>
      <c r="EH171" s="214" t="s">
        <v>70</v>
      </c>
      <c r="EI171" s="214" t="s">
        <v>530</v>
      </c>
      <c r="EK171" s="214" t="s">
        <v>11513</v>
      </c>
      <c r="EL171" s="214" t="s">
        <v>34544</v>
      </c>
      <c r="EM171" s="214" t="s">
        <v>70</v>
      </c>
      <c r="EN171" s="214" t="s">
        <v>530</v>
      </c>
      <c r="EP171" s="214" t="s">
        <v>11514</v>
      </c>
      <c r="EQ171" s="214" t="s">
        <v>491</v>
      </c>
      <c r="ER171" s="214" t="s">
        <v>70</v>
      </c>
      <c r="ES171" s="214" t="s">
        <v>530</v>
      </c>
      <c r="EU171" s="214" t="s">
        <v>11515</v>
      </c>
      <c r="EV171" s="214" t="s">
        <v>484</v>
      </c>
      <c r="EW171" s="214" t="s">
        <v>70</v>
      </c>
      <c r="EX171" s="214" t="s">
        <v>530</v>
      </c>
      <c r="EZ171" s="214" t="s">
        <v>11516</v>
      </c>
      <c r="FA171" s="214" t="s">
        <v>468</v>
      </c>
      <c r="FB171" s="214" t="s">
        <v>70</v>
      </c>
      <c r="FC171" s="214" t="s">
        <v>530</v>
      </c>
      <c r="FE171" s="214" t="s">
        <v>11517</v>
      </c>
      <c r="FF171" s="214" t="s">
        <v>52</v>
      </c>
      <c r="FG171" s="214" t="s">
        <v>70</v>
      </c>
      <c r="FH171" s="214" t="s">
        <v>530</v>
      </c>
      <c r="FJ171" s="321" t="s">
        <v>11518</v>
      </c>
      <c r="FK171" s="214" t="s">
        <v>503</v>
      </c>
      <c r="FL171" s="214" t="s">
        <v>70</v>
      </c>
      <c r="FM171" s="214" t="s">
        <v>530</v>
      </c>
      <c r="FO171" s="321" t="s">
        <v>11519</v>
      </c>
      <c r="FP171" s="214" t="s">
        <v>52</v>
      </c>
      <c r="FQ171" s="214" t="s">
        <v>70</v>
      </c>
      <c r="FR171" s="214" t="s">
        <v>530</v>
      </c>
      <c r="FT171" s="321" t="s">
        <v>11520</v>
      </c>
      <c r="FU171" s="214" t="s">
        <v>950</v>
      </c>
      <c r="FV171" s="214" t="s">
        <v>70</v>
      </c>
      <c r="FW171" s="214" t="s">
        <v>530</v>
      </c>
      <c r="FY171" s="321" t="s">
        <v>11521</v>
      </c>
      <c r="FZ171" s="214" t="s">
        <v>93</v>
      </c>
      <c r="GA171" s="214" t="s">
        <v>70</v>
      </c>
      <c r="GB171" s="214" t="s">
        <v>530</v>
      </c>
      <c r="GD171" s="321" t="s">
        <v>11522</v>
      </c>
      <c r="GE171" s="214" t="s">
        <v>34646</v>
      </c>
      <c r="GF171" s="214" t="s">
        <v>70</v>
      </c>
      <c r="GG171" s="214" t="s">
        <v>530</v>
      </c>
      <c r="GI171" s="321" t="s">
        <v>11523</v>
      </c>
      <c r="GJ171" s="214" t="s">
        <v>798</v>
      </c>
      <c r="GK171" s="214" t="s">
        <v>70</v>
      </c>
      <c r="GL171" s="214" t="s">
        <v>530</v>
      </c>
      <c r="GN171" s="321" t="s">
        <v>11524</v>
      </c>
      <c r="GO171" s="214" t="s">
        <v>929</v>
      </c>
      <c r="GP171" s="214" t="s">
        <v>70</v>
      </c>
      <c r="GQ171" s="214" t="s">
        <v>530</v>
      </c>
      <c r="GS171" s="321" t="s">
        <v>11525</v>
      </c>
      <c r="GT171" s="214" t="s">
        <v>950</v>
      </c>
      <c r="GU171" s="214" t="s">
        <v>70</v>
      </c>
      <c r="GV171" s="214" t="s">
        <v>530</v>
      </c>
      <c r="GX171" s="214" t="s">
        <v>11526</v>
      </c>
      <c r="GY171" s="214" t="s">
        <v>950</v>
      </c>
      <c r="GZ171" s="214" t="s">
        <v>70</v>
      </c>
      <c r="HA171" s="214" t="s">
        <v>530</v>
      </c>
      <c r="HC171" s="214" t="s">
        <v>11527</v>
      </c>
      <c r="HD171" s="214" t="s">
        <v>482</v>
      </c>
      <c r="HE171" s="214" t="s">
        <v>70</v>
      </c>
      <c r="HF171" s="214" t="s">
        <v>530</v>
      </c>
      <c r="HH171" s="214" t="s">
        <v>11528</v>
      </c>
      <c r="HI171" s="214" t="s">
        <v>502</v>
      </c>
      <c r="HJ171" s="214" t="s">
        <v>70</v>
      </c>
      <c r="HK171" s="214" t="s">
        <v>530</v>
      </c>
      <c r="HM171" s="214" t="s">
        <v>11529</v>
      </c>
      <c r="HN171" s="214" t="s">
        <v>920</v>
      </c>
      <c r="HO171" s="214" t="s">
        <v>70</v>
      </c>
      <c r="HP171" s="214" t="s">
        <v>530</v>
      </c>
      <c r="HR171" s="22" t="s">
        <v>11530</v>
      </c>
      <c r="HS171" s="22" t="s">
        <v>146</v>
      </c>
      <c r="HT171" s="22" t="s">
        <v>70</v>
      </c>
      <c r="HU171" s="214" t="s">
        <v>530</v>
      </c>
      <c r="HW171" s="22" t="s">
        <v>11531</v>
      </c>
      <c r="HX171" s="22" t="s">
        <v>34550</v>
      </c>
      <c r="HY171" s="22" t="s">
        <v>70</v>
      </c>
      <c r="HZ171" s="214" t="s">
        <v>530</v>
      </c>
      <c r="IB171" s="22" t="s">
        <v>11532</v>
      </c>
      <c r="IC171" s="22" t="s">
        <v>491</v>
      </c>
      <c r="ID171" s="22" t="s">
        <v>70</v>
      </c>
      <c r="IE171" s="214" t="s">
        <v>530</v>
      </c>
      <c r="IG171" s="22" t="s">
        <v>11533</v>
      </c>
      <c r="IH171" s="22" t="s">
        <v>52</v>
      </c>
      <c r="II171" s="22" t="s">
        <v>70</v>
      </c>
      <c r="IJ171" s="214" t="s">
        <v>530</v>
      </c>
      <c r="IL171" s="22" t="s">
        <v>11534</v>
      </c>
      <c r="IM171" s="22" t="s">
        <v>145</v>
      </c>
      <c r="IN171" s="22" t="s">
        <v>70</v>
      </c>
      <c r="IO171" s="214" t="s">
        <v>530</v>
      </c>
      <c r="IQ171" s="236" t="s">
        <v>11535</v>
      </c>
      <c r="IR171" s="236" t="s">
        <v>145</v>
      </c>
      <c r="IS171" s="236" t="s">
        <v>74</v>
      </c>
      <c r="IT171" s="236" t="s">
        <v>841</v>
      </c>
      <c r="IV171" s="236" t="s">
        <v>11536</v>
      </c>
      <c r="IW171" s="236" t="s">
        <v>145</v>
      </c>
      <c r="IX171" s="236" t="s">
        <v>74</v>
      </c>
      <c r="IY171" s="236" t="s">
        <v>841</v>
      </c>
      <c r="JA171" s="236" t="s">
        <v>11537</v>
      </c>
      <c r="JB171" s="236" t="s">
        <v>145</v>
      </c>
      <c r="JC171" s="236" t="s">
        <v>74</v>
      </c>
      <c r="JD171" s="236" t="s">
        <v>841</v>
      </c>
      <c r="JF171" s="236" t="s">
        <v>11538</v>
      </c>
      <c r="JG171" s="236" t="s">
        <v>145</v>
      </c>
      <c r="JH171" s="236" t="s">
        <v>74</v>
      </c>
      <c r="JI171" s="236" t="s">
        <v>841</v>
      </c>
      <c r="JK171" s="236" t="s">
        <v>11539</v>
      </c>
      <c r="JL171" s="236" t="s">
        <v>145</v>
      </c>
      <c r="JM171" s="236" t="s">
        <v>74</v>
      </c>
      <c r="JN171" s="236" t="s">
        <v>841</v>
      </c>
      <c r="JP171" s="236" t="s">
        <v>11540</v>
      </c>
      <c r="JQ171" s="236" t="s">
        <v>145</v>
      </c>
      <c r="JR171" s="236" t="s">
        <v>74</v>
      </c>
      <c r="JS171" s="236" t="s">
        <v>841</v>
      </c>
      <c r="JU171" s="294" t="s">
        <v>11541</v>
      </c>
      <c r="JV171" s="294" t="s">
        <v>52</v>
      </c>
      <c r="JW171" s="263" t="s">
        <v>70</v>
      </c>
      <c r="JX171" s="294" t="s">
        <v>1083</v>
      </c>
      <c r="JZ171" s="263" t="s">
        <v>11542</v>
      </c>
      <c r="KA171" s="263" t="s">
        <v>145</v>
      </c>
      <c r="KB171" s="263" t="s">
        <v>70</v>
      </c>
      <c r="KC171" s="263" t="s">
        <v>1083</v>
      </c>
      <c r="KE171" s="263" t="s">
        <v>11543</v>
      </c>
      <c r="KF171" s="263" t="s">
        <v>52</v>
      </c>
      <c r="KG171" s="263" t="s">
        <v>70</v>
      </c>
      <c r="KH171" s="263" t="s">
        <v>1083</v>
      </c>
      <c r="KJ171" s="263" t="s">
        <v>11544</v>
      </c>
      <c r="KK171" s="263" t="s">
        <v>52</v>
      </c>
      <c r="KL171" s="263" t="s">
        <v>74</v>
      </c>
      <c r="KM171" s="263" t="s">
        <v>34074</v>
      </c>
      <c r="KO171" s="214" t="s">
        <v>11545</v>
      </c>
      <c r="KP171" s="214" t="s">
        <v>145</v>
      </c>
      <c r="KQ171" s="214" t="s">
        <v>70</v>
      </c>
      <c r="KR171" s="214" t="s">
        <v>67</v>
      </c>
      <c r="KT171" s="22" t="s">
        <v>11546</v>
      </c>
      <c r="KU171" s="22" t="s">
        <v>145</v>
      </c>
      <c r="KV171" s="22" t="s">
        <v>70</v>
      </c>
      <c r="KW171" s="22" t="s">
        <v>67</v>
      </c>
      <c r="KY171" s="214" t="s">
        <v>11547</v>
      </c>
      <c r="KZ171" s="214" t="s">
        <v>52</v>
      </c>
      <c r="LA171" s="214" t="s">
        <v>74</v>
      </c>
      <c r="LB171" s="214" t="s">
        <v>67</v>
      </c>
      <c r="LD171" s="22" t="s">
        <v>11548</v>
      </c>
      <c r="LE171" s="22" t="s">
        <v>145</v>
      </c>
      <c r="LF171" s="22" t="s">
        <v>70</v>
      </c>
      <c r="LG171" s="22" t="s">
        <v>67</v>
      </c>
    </row>
    <row r="172" spans="1:319">
      <c r="A172" s="22" t="s">
        <v>11549</v>
      </c>
      <c r="B172" s="218" t="s">
        <v>145</v>
      </c>
      <c r="C172" s="218" t="s">
        <v>75</v>
      </c>
      <c r="D172" s="218" t="s">
        <v>34660</v>
      </c>
      <c r="F172" s="23" t="s">
        <v>11550</v>
      </c>
      <c r="G172" s="23" t="str">
        <f>TVIIBE1M_CalPairs!$E169</f>
        <v>0x00</v>
      </c>
      <c r="H172" s="23" t="s">
        <v>72</v>
      </c>
      <c r="I172" s="23" t="str">
        <f>TVIIBE1M_CalPairs!$C169</f>
        <v>PASS0_SAR2_ANA_CAL_VAL3</v>
      </c>
      <c r="K172" s="22" t="s">
        <v>11551</v>
      </c>
      <c r="L172" s="22" t="s">
        <v>145</v>
      </c>
      <c r="M172" s="22" t="s">
        <v>70</v>
      </c>
      <c r="N172" s="22" t="s">
        <v>67</v>
      </c>
      <c r="P172" s="22" t="s">
        <v>11552</v>
      </c>
      <c r="Q172" s="22" t="s">
        <v>145</v>
      </c>
      <c r="R172" s="22" t="s">
        <v>70</v>
      </c>
      <c r="S172" s="22" t="s">
        <v>67</v>
      </c>
      <c r="U172" s="293" t="s">
        <v>11553</v>
      </c>
      <c r="V172" s="293" t="s">
        <v>145</v>
      </c>
      <c r="W172" s="293" t="s">
        <v>74</v>
      </c>
      <c r="X172" s="293" t="s">
        <v>656</v>
      </c>
      <c r="Z172" s="293" t="s">
        <v>11554</v>
      </c>
      <c r="AA172" s="293" t="s">
        <v>145</v>
      </c>
      <c r="AB172" s="293" t="s">
        <v>74</v>
      </c>
      <c r="AC172" s="293" t="s">
        <v>656</v>
      </c>
      <c r="AE172" s="293" t="s">
        <v>11555</v>
      </c>
      <c r="AF172" s="293" t="s">
        <v>145</v>
      </c>
      <c r="AG172" s="293" t="s">
        <v>74</v>
      </c>
      <c r="AH172" s="293" t="s">
        <v>656</v>
      </c>
      <c r="AJ172" s="293" t="s">
        <v>11556</v>
      </c>
      <c r="AK172" s="293" t="s">
        <v>145</v>
      </c>
      <c r="AL172" s="293" t="s">
        <v>74</v>
      </c>
      <c r="AM172" s="293" t="s">
        <v>656</v>
      </c>
      <c r="AO172" s="22" t="s">
        <v>11557</v>
      </c>
      <c r="AP172" s="22" t="s">
        <v>145</v>
      </c>
      <c r="AQ172" s="22" t="s">
        <v>70</v>
      </c>
      <c r="AR172" s="22" t="s">
        <v>67</v>
      </c>
      <c r="AT172" s="22" t="s">
        <v>11558</v>
      </c>
      <c r="AU172" s="22" t="s">
        <v>145</v>
      </c>
      <c r="AV172" s="22" t="s">
        <v>70</v>
      </c>
      <c r="AW172" s="22" t="s">
        <v>67</v>
      </c>
      <c r="AY172" s="22" t="s">
        <v>11559</v>
      </c>
      <c r="AZ172" s="22" t="s">
        <v>145</v>
      </c>
      <c r="BA172" s="22" t="s">
        <v>70</v>
      </c>
      <c r="BB172" s="22" t="s">
        <v>67</v>
      </c>
      <c r="BD172" s="22" t="s">
        <v>11560</v>
      </c>
      <c r="BE172" s="22" t="s">
        <v>145</v>
      </c>
      <c r="BF172" s="22" t="s">
        <v>70</v>
      </c>
      <c r="BG172" s="22" t="s">
        <v>67</v>
      </c>
      <c r="BI172" s="22" t="s">
        <v>11561</v>
      </c>
      <c r="BJ172" s="22" t="s">
        <v>145</v>
      </c>
      <c r="BK172" s="22" t="s">
        <v>70</v>
      </c>
      <c r="BL172" s="22" t="s">
        <v>67</v>
      </c>
      <c r="BN172" s="22" t="s">
        <v>11562</v>
      </c>
      <c r="BO172" s="22" t="s">
        <v>145</v>
      </c>
      <c r="BP172" s="22" t="s">
        <v>70</v>
      </c>
      <c r="BQ172" s="22" t="s">
        <v>67</v>
      </c>
      <c r="BS172" s="22" t="s">
        <v>11563</v>
      </c>
      <c r="BT172" s="22" t="s">
        <v>145</v>
      </c>
      <c r="BU172" s="22" t="s">
        <v>70</v>
      </c>
      <c r="BV172" s="214" t="s">
        <v>530</v>
      </c>
      <c r="BX172" s="22" t="s">
        <v>11564</v>
      </c>
      <c r="BY172" s="22" t="s">
        <v>145</v>
      </c>
      <c r="BZ172" s="22" t="s">
        <v>70</v>
      </c>
      <c r="CA172" s="214" t="s">
        <v>530</v>
      </c>
      <c r="CC172" s="214" t="s">
        <v>11565</v>
      </c>
      <c r="CD172" s="218" t="s">
        <v>145</v>
      </c>
      <c r="CE172" s="214" t="s">
        <v>70</v>
      </c>
      <c r="CF172" s="214" t="s">
        <v>532</v>
      </c>
      <c r="CH172" s="214" t="s">
        <v>11566</v>
      </c>
      <c r="CI172" s="214" t="s">
        <v>149</v>
      </c>
      <c r="CJ172" s="214" t="s">
        <v>70</v>
      </c>
      <c r="CK172" s="214" t="s">
        <v>530</v>
      </c>
      <c r="CM172" s="214" t="s">
        <v>11567</v>
      </c>
      <c r="CN172" s="214" t="s">
        <v>86</v>
      </c>
      <c r="CO172" s="214" t="s">
        <v>70</v>
      </c>
      <c r="CP172" s="214" t="s">
        <v>530</v>
      </c>
      <c r="CR172" s="214" t="s">
        <v>11568</v>
      </c>
      <c r="CS172" s="214" t="s">
        <v>103</v>
      </c>
      <c r="CT172" s="214" t="s">
        <v>70</v>
      </c>
      <c r="CU172" s="214" t="s">
        <v>530</v>
      </c>
      <c r="CW172" s="214" t="s">
        <v>11569</v>
      </c>
      <c r="CX172" s="214" t="s">
        <v>103</v>
      </c>
      <c r="CY172" s="214" t="s">
        <v>70</v>
      </c>
      <c r="CZ172" s="214" t="s">
        <v>530</v>
      </c>
      <c r="DB172" s="214" t="s">
        <v>11570</v>
      </c>
      <c r="DC172" s="214" t="s">
        <v>529</v>
      </c>
      <c r="DD172" s="214" t="s">
        <v>70</v>
      </c>
      <c r="DE172" s="214" t="s">
        <v>530</v>
      </c>
      <c r="DG172" s="214" t="s">
        <v>11571</v>
      </c>
      <c r="DH172" s="214" t="s">
        <v>912</v>
      </c>
      <c r="DI172" s="214" t="s">
        <v>70</v>
      </c>
      <c r="DJ172" s="214" t="s">
        <v>530</v>
      </c>
      <c r="DL172" s="214" t="s">
        <v>11572</v>
      </c>
      <c r="DM172" s="214" t="s">
        <v>481</v>
      </c>
      <c r="DN172" s="214" t="s">
        <v>70</v>
      </c>
      <c r="DO172" s="214" t="s">
        <v>530</v>
      </c>
      <c r="DQ172" s="214" t="s">
        <v>11573</v>
      </c>
      <c r="DR172" s="214" t="s">
        <v>86</v>
      </c>
      <c r="DS172" s="214" t="s">
        <v>70</v>
      </c>
      <c r="DT172" s="214" t="s">
        <v>530</v>
      </c>
      <c r="DV172" s="214" t="s">
        <v>11574</v>
      </c>
      <c r="DW172" s="214" t="s">
        <v>52</v>
      </c>
      <c r="DX172" s="214" t="s">
        <v>70</v>
      </c>
      <c r="DY172" s="214" t="s">
        <v>530</v>
      </c>
      <c r="EA172" s="214" t="s">
        <v>11575</v>
      </c>
      <c r="EB172" s="214" t="s">
        <v>905</v>
      </c>
      <c r="EC172" s="214" t="s">
        <v>70</v>
      </c>
      <c r="ED172" s="214" t="s">
        <v>530</v>
      </c>
      <c r="EF172" s="214" t="s">
        <v>11576</v>
      </c>
      <c r="EG172" s="214" t="s">
        <v>954</v>
      </c>
      <c r="EH172" s="214" t="s">
        <v>70</v>
      </c>
      <c r="EI172" s="214" t="s">
        <v>530</v>
      </c>
      <c r="EK172" s="214" t="s">
        <v>11577</v>
      </c>
      <c r="EL172" s="214" t="s">
        <v>206</v>
      </c>
      <c r="EM172" s="214" t="s">
        <v>70</v>
      </c>
      <c r="EN172" s="214" t="s">
        <v>530</v>
      </c>
      <c r="EP172" s="214" t="s">
        <v>11578</v>
      </c>
      <c r="EQ172" s="214" t="s">
        <v>163</v>
      </c>
      <c r="ER172" s="214" t="s">
        <v>70</v>
      </c>
      <c r="ES172" s="214" t="s">
        <v>530</v>
      </c>
      <c r="EU172" s="214" t="s">
        <v>11579</v>
      </c>
      <c r="EV172" s="214" t="s">
        <v>148</v>
      </c>
      <c r="EW172" s="214" t="s">
        <v>70</v>
      </c>
      <c r="EX172" s="214" t="s">
        <v>530</v>
      </c>
      <c r="EZ172" s="214" t="s">
        <v>11580</v>
      </c>
      <c r="FA172" s="214" t="s">
        <v>146</v>
      </c>
      <c r="FB172" s="214" t="s">
        <v>70</v>
      </c>
      <c r="FC172" s="214" t="s">
        <v>530</v>
      </c>
      <c r="FE172" s="214" t="s">
        <v>11581</v>
      </c>
      <c r="FF172" s="214" t="s">
        <v>89</v>
      </c>
      <c r="FG172" s="214" t="s">
        <v>70</v>
      </c>
      <c r="FH172" s="214" t="s">
        <v>530</v>
      </c>
      <c r="FJ172" s="321" t="s">
        <v>11582</v>
      </c>
      <c r="FK172" s="214" t="s">
        <v>52</v>
      </c>
      <c r="FL172" s="214" t="s">
        <v>70</v>
      </c>
      <c r="FM172" s="214" t="s">
        <v>530</v>
      </c>
      <c r="FO172" s="321" t="s">
        <v>11583</v>
      </c>
      <c r="FP172" s="214" t="s">
        <v>34586</v>
      </c>
      <c r="FQ172" s="214" t="s">
        <v>70</v>
      </c>
      <c r="FR172" s="214" t="s">
        <v>530</v>
      </c>
      <c r="FT172" s="321" t="s">
        <v>11584</v>
      </c>
      <c r="FU172" s="214" t="s">
        <v>927</v>
      </c>
      <c r="FV172" s="214" t="s">
        <v>70</v>
      </c>
      <c r="FW172" s="214" t="s">
        <v>530</v>
      </c>
      <c r="FY172" s="321" t="s">
        <v>11585</v>
      </c>
      <c r="FZ172" s="214" t="s">
        <v>52</v>
      </c>
      <c r="GA172" s="214" t="s">
        <v>70</v>
      </c>
      <c r="GB172" s="214" t="s">
        <v>530</v>
      </c>
      <c r="GD172" s="321" t="s">
        <v>11586</v>
      </c>
      <c r="GE172" s="214" t="s">
        <v>52</v>
      </c>
      <c r="GF172" s="214" t="s">
        <v>70</v>
      </c>
      <c r="GG172" s="214" t="s">
        <v>530</v>
      </c>
      <c r="GI172" s="321" t="s">
        <v>11587</v>
      </c>
      <c r="GJ172" s="214" t="s">
        <v>765</v>
      </c>
      <c r="GK172" s="214" t="s">
        <v>70</v>
      </c>
      <c r="GL172" s="214" t="s">
        <v>530</v>
      </c>
      <c r="GN172" s="321" t="s">
        <v>11588</v>
      </c>
      <c r="GO172" s="214" t="s">
        <v>85</v>
      </c>
      <c r="GP172" s="214" t="s">
        <v>70</v>
      </c>
      <c r="GQ172" s="214" t="s">
        <v>530</v>
      </c>
      <c r="GS172" s="321" t="s">
        <v>11589</v>
      </c>
      <c r="GT172" s="214" t="s">
        <v>52</v>
      </c>
      <c r="GU172" s="214" t="s">
        <v>70</v>
      </c>
      <c r="GV172" s="214" t="s">
        <v>530</v>
      </c>
      <c r="GX172" s="214" t="s">
        <v>11590</v>
      </c>
      <c r="GY172" s="214" t="s">
        <v>52</v>
      </c>
      <c r="GZ172" s="214" t="s">
        <v>70</v>
      </c>
      <c r="HA172" s="214" t="s">
        <v>530</v>
      </c>
      <c r="HC172" s="214" t="s">
        <v>11591</v>
      </c>
      <c r="HD172" s="214" t="s">
        <v>148</v>
      </c>
      <c r="HE172" s="214" t="s">
        <v>70</v>
      </c>
      <c r="HF172" s="214" t="s">
        <v>530</v>
      </c>
      <c r="HH172" s="214" t="s">
        <v>11592</v>
      </c>
      <c r="HI172" s="214" t="s">
        <v>492</v>
      </c>
      <c r="HJ172" s="214" t="s">
        <v>70</v>
      </c>
      <c r="HK172" s="214" t="s">
        <v>530</v>
      </c>
      <c r="HM172" s="214" t="s">
        <v>11593</v>
      </c>
      <c r="HN172" s="214" t="s">
        <v>52</v>
      </c>
      <c r="HO172" s="214" t="s">
        <v>70</v>
      </c>
      <c r="HP172" s="214" t="s">
        <v>530</v>
      </c>
      <c r="HR172" s="22" t="s">
        <v>11594</v>
      </c>
      <c r="HS172" s="22" t="s">
        <v>600</v>
      </c>
      <c r="HT172" s="22" t="s">
        <v>70</v>
      </c>
      <c r="HU172" s="214" t="s">
        <v>530</v>
      </c>
      <c r="HW172" s="22" t="s">
        <v>11595</v>
      </c>
      <c r="HX172" s="22" t="s">
        <v>468</v>
      </c>
      <c r="HY172" s="22" t="s">
        <v>70</v>
      </c>
      <c r="HZ172" s="214" t="s">
        <v>530</v>
      </c>
      <c r="IB172" s="22" t="s">
        <v>11596</v>
      </c>
      <c r="IC172" s="22" t="s">
        <v>149</v>
      </c>
      <c r="ID172" s="22" t="s">
        <v>70</v>
      </c>
      <c r="IE172" s="214" t="s">
        <v>530</v>
      </c>
      <c r="IG172" s="22" t="s">
        <v>11597</v>
      </c>
      <c r="IH172" s="22" t="s">
        <v>52</v>
      </c>
      <c r="II172" s="22" t="s">
        <v>70</v>
      </c>
      <c r="IJ172" s="214" t="s">
        <v>530</v>
      </c>
      <c r="IL172" s="22" t="s">
        <v>11598</v>
      </c>
      <c r="IM172" s="22" t="s">
        <v>145</v>
      </c>
      <c r="IN172" s="22" t="s">
        <v>70</v>
      </c>
      <c r="IO172" s="214" t="s">
        <v>530</v>
      </c>
      <c r="IQ172" s="236" t="s">
        <v>11599</v>
      </c>
      <c r="IR172" s="236" t="s">
        <v>145</v>
      </c>
      <c r="IS172" s="236" t="s">
        <v>74</v>
      </c>
      <c r="IT172" s="236" t="s">
        <v>841</v>
      </c>
      <c r="IV172" s="236" t="s">
        <v>11600</v>
      </c>
      <c r="IW172" s="236" t="s">
        <v>145</v>
      </c>
      <c r="IX172" s="236" t="s">
        <v>74</v>
      </c>
      <c r="IY172" s="236" t="s">
        <v>841</v>
      </c>
      <c r="JA172" s="236" t="s">
        <v>11601</v>
      </c>
      <c r="JB172" s="236" t="s">
        <v>145</v>
      </c>
      <c r="JC172" s="236" t="s">
        <v>74</v>
      </c>
      <c r="JD172" s="236" t="s">
        <v>841</v>
      </c>
      <c r="JF172" s="236" t="s">
        <v>11602</v>
      </c>
      <c r="JG172" s="236" t="s">
        <v>145</v>
      </c>
      <c r="JH172" s="236" t="s">
        <v>74</v>
      </c>
      <c r="JI172" s="236" t="s">
        <v>841</v>
      </c>
      <c r="JK172" s="236" t="s">
        <v>11603</v>
      </c>
      <c r="JL172" s="236" t="s">
        <v>145</v>
      </c>
      <c r="JM172" s="236" t="s">
        <v>74</v>
      </c>
      <c r="JN172" s="236" t="s">
        <v>841</v>
      </c>
      <c r="JP172" s="236" t="s">
        <v>11604</v>
      </c>
      <c r="JQ172" s="236" t="s">
        <v>145</v>
      </c>
      <c r="JR172" s="236" t="s">
        <v>74</v>
      </c>
      <c r="JS172" s="236" t="s">
        <v>841</v>
      </c>
      <c r="JU172" s="294" t="s">
        <v>11605</v>
      </c>
      <c r="JV172" s="294" t="s">
        <v>52</v>
      </c>
      <c r="JW172" s="263" t="s">
        <v>70</v>
      </c>
      <c r="JX172" s="294" t="s">
        <v>1083</v>
      </c>
      <c r="JZ172" s="263" t="s">
        <v>11606</v>
      </c>
      <c r="KA172" s="263" t="s">
        <v>145</v>
      </c>
      <c r="KB172" s="263" t="s">
        <v>70</v>
      </c>
      <c r="KC172" s="263" t="s">
        <v>1083</v>
      </c>
      <c r="KE172" s="263" t="s">
        <v>11607</v>
      </c>
      <c r="KF172" s="263" t="s">
        <v>52</v>
      </c>
      <c r="KG172" s="263" t="s">
        <v>70</v>
      </c>
      <c r="KH172" s="263" t="s">
        <v>1083</v>
      </c>
      <c r="KJ172" s="263" t="s">
        <v>11608</v>
      </c>
      <c r="KK172" s="263" t="s">
        <v>52</v>
      </c>
      <c r="KL172" s="263" t="s">
        <v>74</v>
      </c>
      <c r="KM172" s="263" t="s">
        <v>34074</v>
      </c>
      <c r="KO172" s="214" t="s">
        <v>11609</v>
      </c>
      <c r="KP172" s="214" t="s">
        <v>145</v>
      </c>
      <c r="KQ172" s="214" t="s">
        <v>70</v>
      </c>
      <c r="KR172" s="214" t="s">
        <v>67</v>
      </c>
      <c r="KT172" s="22" t="s">
        <v>11610</v>
      </c>
      <c r="KU172" s="22" t="s">
        <v>145</v>
      </c>
      <c r="KV172" s="22" t="s">
        <v>70</v>
      </c>
      <c r="KW172" s="22" t="s">
        <v>67</v>
      </c>
      <c r="KY172" s="214" t="s">
        <v>11611</v>
      </c>
      <c r="KZ172" s="214" t="s">
        <v>52</v>
      </c>
      <c r="LA172" s="214" t="s">
        <v>74</v>
      </c>
      <c r="LB172" s="214" t="s">
        <v>67</v>
      </c>
      <c r="LD172" s="22" t="s">
        <v>11612</v>
      </c>
      <c r="LE172" s="22" t="s">
        <v>145</v>
      </c>
      <c r="LF172" s="22" t="s">
        <v>70</v>
      </c>
      <c r="LG172" s="22" t="s">
        <v>67</v>
      </c>
    </row>
    <row r="173" spans="1:319">
      <c r="A173" s="22" t="s">
        <v>11613</v>
      </c>
      <c r="B173" s="218" t="s">
        <v>145</v>
      </c>
      <c r="C173" s="218" t="s">
        <v>75</v>
      </c>
      <c r="D173" s="218" t="s">
        <v>34661</v>
      </c>
      <c r="F173" s="23" t="s">
        <v>11614</v>
      </c>
      <c r="G173" s="23" t="str">
        <f>TVIIBE1M_CalPairs!$E170</f>
        <v>0x00</v>
      </c>
      <c r="H173" s="23" t="s">
        <v>72</v>
      </c>
      <c r="I173" s="23" t="str">
        <f>TVIIBE1M_CalPairs!$C170</f>
        <v>PASS0_SAR2_DIG_CAL_VAL0</v>
      </c>
      <c r="K173" s="22" t="s">
        <v>11615</v>
      </c>
      <c r="L173" s="22" t="s">
        <v>145</v>
      </c>
      <c r="M173" s="22" t="s">
        <v>70</v>
      </c>
      <c r="N173" s="22" t="s">
        <v>67</v>
      </c>
      <c r="P173" s="22" t="s">
        <v>11616</v>
      </c>
      <c r="Q173" s="22" t="s">
        <v>145</v>
      </c>
      <c r="R173" s="22" t="s">
        <v>70</v>
      </c>
      <c r="S173" s="22" t="s">
        <v>67</v>
      </c>
      <c r="U173" s="293" t="s">
        <v>11617</v>
      </c>
      <c r="V173" s="293" t="s">
        <v>145</v>
      </c>
      <c r="W173" s="293" t="s">
        <v>74</v>
      </c>
      <c r="X173" s="293" t="s">
        <v>656</v>
      </c>
      <c r="Z173" s="293" t="s">
        <v>11618</v>
      </c>
      <c r="AA173" s="293" t="s">
        <v>145</v>
      </c>
      <c r="AB173" s="293" t="s">
        <v>74</v>
      </c>
      <c r="AC173" s="293" t="s">
        <v>656</v>
      </c>
      <c r="AE173" s="293" t="s">
        <v>11619</v>
      </c>
      <c r="AF173" s="293" t="s">
        <v>145</v>
      </c>
      <c r="AG173" s="293" t="s">
        <v>74</v>
      </c>
      <c r="AH173" s="293" t="s">
        <v>656</v>
      </c>
      <c r="AJ173" s="293" t="s">
        <v>11620</v>
      </c>
      <c r="AK173" s="293" t="s">
        <v>145</v>
      </c>
      <c r="AL173" s="293" t="s">
        <v>74</v>
      </c>
      <c r="AM173" s="293" t="s">
        <v>656</v>
      </c>
      <c r="AO173" s="22" t="s">
        <v>11621</v>
      </c>
      <c r="AP173" s="22" t="s">
        <v>145</v>
      </c>
      <c r="AQ173" s="22" t="s">
        <v>70</v>
      </c>
      <c r="AR173" s="22" t="s">
        <v>67</v>
      </c>
      <c r="AT173" s="22" t="s">
        <v>11622</v>
      </c>
      <c r="AU173" s="22" t="s">
        <v>145</v>
      </c>
      <c r="AV173" s="22" t="s">
        <v>70</v>
      </c>
      <c r="AW173" s="22" t="s">
        <v>67</v>
      </c>
      <c r="AY173" s="22" t="s">
        <v>11623</v>
      </c>
      <c r="AZ173" s="22" t="s">
        <v>145</v>
      </c>
      <c r="BA173" s="22" t="s">
        <v>70</v>
      </c>
      <c r="BB173" s="22" t="s">
        <v>67</v>
      </c>
      <c r="BD173" s="22" t="s">
        <v>11624</v>
      </c>
      <c r="BE173" s="22" t="s">
        <v>145</v>
      </c>
      <c r="BF173" s="22" t="s">
        <v>70</v>
      </c>
      <c r="BG173" s="22" t="s">
        <v>67</v>
      </c>
      <c r="BI173" s="22" t="s">
        <v>11625</v>
      </c>
      <c r="BJ173" s="22" t="s">
        <v>145</v>
      </c>
      <c r="BK173" s="22" t="s">
        <v>70</v>
      </c>
      <c r="BL173" s="22" t="s">
        <v>67</v>
      </c>
      <c r="BN173" s="22" t="s">
        <v>11626</v>
      </c>
      <c r="BO173" s="22" t="s">
        <v>145</v>
      </c>
      <c r="BP173" s="22" t="s">
        <v>70</v>
      </c>
      <c r="BQ173" s="22" t="s">
        <v>67</v>
      </c>
      <c r="BS173" s="22" t="s">
        <v>11627</v>
      </c>
      <c r="BT173" s="22" t="s">
        <v>145</v>
      </c>
      <c r="BU173" s="22" t="s">
        <v>70</v>
      </c>
      <c r="BV173" s="214" t="s">
        <v>530</v>
      </c>
      <c r="BX173" s="22" t="s">
        <v>11628</v>
      </c>
      <c r="BY173" s="22" t="s">
        <v>145</v>
      </c>
      <c r="BZ173" s="22" t="s">
        <v>70</v>
      </c>
      <c r="CA173" s="214" t="s">
        <v>530</v>
      </c>
      <c r="CC173" s="214" t="s">
        <v>11629</v>
      </c>
      <c r="CD173" s="218" t="s">
        <v>145</v>
      </c>
      <c r="CE173" s="214" t="s">
        <v>70</v>
      </c>
      <c r="CF173" s="214" t="s">
        <v>533</v>
      </c>
      <c r="CH173" s="214" t="s">
        <v>11630</v>
      </c>
      <c r="CI173" s="214" t="s">
        <v>34544</v>
      </c>
      <c r="CJ173" s="214" t="s">
        <v>70</v>
      </c>
      <c r="CK173" s="214" t="s">
        <v>530</v>
      </c>
      <c r="CM173" s="214" t="s">
        <v>11631</v>
      </c>
      <c r="CN173" s="214" t="s">
        <v>604</v>
      </c>
      <c r="CO173" s="214" t="s">
        <v>70</v>
      </c>
      <c r="CP173" s="214" t="s">
        <v>530</v>
      </c>
      <c r="CR173" s="214" t="s">
        <v>11632</v>
      </c>
      <c r="CS173" s="214" t="s">
        <v>484</v>
      </c>
      <c r="CT173" s="214" t="s">
        <v>70</v>
      </c>
      <c r="CU173" s="214" t="s">
        <v>530</v>
      </c>
      <c r="CW173" s="214" t="s">
        <v>11633</v>
      </c>
      <c r="CX173" s="214" t="s">
        <v>486</v>
      </c>
      <c r="CY173" s="214" t="s">
        <v>70</v>
      </c>
      <c r="CZ173" s="214" t="s">
        <v>530</v>
      </c>
      <c r="DB173" s="214" t="s">
        <v>11634</v>
      </c>
      <c r="DC173" s="214" t="s">
        <v>955</v>
      </c>
      <c r="DD173" s="214" t="s">
        <v>70</v>
      </c>
      <c r="DE173" s="214" t="s">
        <v>530</v>
      </c>
      <c r="DG173" s="214" t="s">
        <v>11635</v>
      </c>
      <c r="DH173" s="214" t="s">
        <v>488</v>
      </c>
      <c r="DI173" s="214" t="s">
        <v>70</v>
      </c>
      <c r="DJ173" s="214" t="s">
        <v>530</v>
      </c>
      <c r="DL173" s="214" t="s">
        <v>11636</v>
      </c>
      <c r="DM173" s="214" t="s">
        <v>487</v>
      </c>
      <c r="DN173" s="214" t="s">
        <v>70</v>
      </c>
      <c r="DO173" s="214" t="s">
        <v>530</v>
      </c>
      <c r="DQ173" s="214" t="s">
        <v>11637</v>
      </c>
      <c r="DR173" s="214" t="s">
        <v>468</v>
      </c>
      <c r="DS173" s="214" t="s">
        <v>70</v>
      </c>
      <c r="DT173" s="214" t="s">
        <v>530</v>
      </c>
      <c r="DV173" s="214" t="s">
        <v>11638</v>
      </c>
      <c r="DW173" s="214" t="s">
        <v>163</v>
      </c>
      <c r="DX173" s="214" t="s">
        <v>70</v>
      </c>
      <c r="DY173" s="214" t="s">
        <v>530</v>
      </c>
      <c r="EA173" s="214" t="s">
        <v>11639</v>
      </c>
      <c r="EB173" s="214" t="s">
        <v>935</v>
      </c>
      <c r="EC173" s="214" t="s">
        <v>70</v>
      </c>
      <c r="ED173" s="214" t="s">
        <v>530</v>
      </c>
      <c r="EF173" s="214" t="s">
        <v>11640</v>
      </c>
      <c r="EG173" s="214" t="s">
        <v>491</v>
      </c>
      <c r="EH173" s="214" t="s">
        <v>70</v>
      </c>
      <c r="EI173" s="214" t="s">
        <v>530</v>
      </c>
      <c r="EK173" s="214" t="s">
        <v>11641</v>
      </c>
      <c r="EL173" s="214" t="s">
        <v>910</v>
      </c>
      <c r="EM173" s="214" t="s">
        <v>70</v>
      </c>
      <c r="EN173" s="214" t="s">
        <v>530</v>
      </c>
      <c r="EP173" s="214" t="s">
        <v>11642</v>
      </c>
      <c r="EQ173" s="214" t="s">
        <v>488</v>
      </c>
      <c r="ER173" s="214" t="s">
        <v>70</v>
      </c>
      <c r="ES173" s="214" t="s">
        <v>530</v>
      </c>
      <c r="EU173" s="214" t="s">
        <v>11643</v>
      </c>
      <c r="EV173" s="214" t="s">
        <v>485</v>
      </c>
      <c r="EW173" s="214" t="s">
        <v>70</v>
      </c>
      <c r="EX173" s="214" t="s">
        <v>530</v>
      </c>
      <c r="EZ173" s="214" t="s">
        <v>11644</v>
      </c>
      <c r="FA173" s="214" t="s">
        <v>164</v>
      </c>
      <c r="FB173" s="214" t="s">
        <v>70</v>
      </c>
      <c r="FC173" s="214" t="s">
        <v>530</v>
      </c>
      <c r="FE173" s="214" t="s">
        <v>11645</v>
      </c>
      <c r="FF173" s="214" t="s">
        <v>93</v>
      </c>
      <c r="FG173" s="214" t="s">
        <v>70</v>
      </c>
      <c r="FH173" s="214" t="s">
        <v>530</v>
      </c>
      <c r="FJ173" s="321" t="s">
        <v>11646</v>
      </c>
      <c r="FK173" s="214" t="s">
        <v>955</v>
      </c>
      <c r="FL173" s="214" t="s">
        <v>70</v>
      </c>
      <c r="FM173" s="214" t="s">
        <v>530</v>
      </c>
      <c r="FO173" s="321" t="s">
        <v>11647</v>
      </c>
      <c r="FP173" s="214" t="s">
        <v>518</v>
      </c>
      <c r="FQ173" s="214" t="s">
        <v>70</v>
      </c>
      <c r="FR173" s="214" t="s">
        <v>530</v>
      </c>
      <c r="FT173" s="321" t="s">
        <v>11648</v>
      </c>
      <c r="FU173" s="214" t="s">
        <v>798</v>
      </c>
      <c r="FV173" s="214" t="s">
        <v>70</v>
      </c>
      <c r="FW173" s="214" t="s">
        <v>530</v>
      </c>
      <c r="FY173" s="321" t="s">
        <v>11649</v>
      </c>
      <c r="FZ173" s="214" t="s">
        <v>921</v>
      </c>
      <c r="GA173" s="214" t="s">
        <v>70</v>
      </c>
      <c r="GB173" s="214" t="s">
        <v>530</v>
      </c>
      <c r="GD173" s="321" t="s">
        <v>11650</v>
      </c>
      <c r="GE173" s="214" t="s">
        <v>955</v>
      </c>
      <c r="GF173" s="214" t="s">
        <v>70</v>
      </c>
      <c r="GG173" s="214" t="s">
        <v>530</v>
      </c>
      <c r="GI173" s="321" t="s">
        <v>11651</v>
      </c>
      <c r="GJ173" s="214" t="s">
        <v>287</v>
      </c>
      <c r="GK173" s="214" t="s">
        <v>70</v>
      </c>
      <c r="GL173" s="214" t="s">
        <v>530</v>
      </c>
      <c r="GN173" s="321" t="s">
        <v>11652</v>
      </c>
      <c r="GO173" s="214" t="s">
        <v>34558</v>
      </c>
      <c r="GP173" s="214" t="s">
        <v>70</v>
      </c>
      <c r="GQ173" s="214" t="s">
        <v>530</v>
      </c>
      <c r="GS173" s="321" t="s">
        <v>11653</v>
      </c>
      <c r="GT173" s="214" t="s">
        <v>531</v>
      </c>
      <c r="GU173" s="214" t="s">
        <v>70</v>
      </c>
      <c r="GV173" s="214" t="s">
        <v>530</v>
      </c>
      <c r="GX173" s="214" t="s">
        <v>11654</v>
      </c>
      <c r="GY173" s="214" t="s">
        <v>920</v>
      </c>
      <c r="GZ173" s="214" t="s">
        <v>70</v>
      </c>
      <c r="HA173" s="214" t="s">
        <v>530</v>
      </c>
      <c r="HC173" s="214" t="s">
        <v>11655</v>
      </c>
      <c r="HD173" s="214" t="s">
        <v>52</v>
      </c>
      <c r="HE173" s="214" t="s">
        <v>70</v>
      </c>
      <c r="HF173" s="214" t="s">
        <v>530</v>
      </c>
      <c r="HH173" s="214" t="s">
        <v>11656</v>
      </c>
      <c r="HI173" s="214" t="s">
        <v>765</v>
      </c>
      <c r="HJ173" s="214" t="s">
        <v>70</v>
      </c>
      <c r="HK173" s="214" t="s">
        <v>530</v>
      </c>
      <c r="HM173" s="214" t="s">
        <v>11657</v>
      </c>
      <c r="HN173" s="214" t="s">
        <v>34558</v>
      </c>
      <c r="HO173" s="214" t="s">
        <v>70</v>
      </c>
      <c r="HP173" s="214" t="s">
        <v>530</v>
      </c>
      <c r="HR173" s="22" t="s">
        <v>11658</v>
      </c>
      <c r="HS173" s="22" t="s">
        <v>163</v>
      </c>
      <c r="HT173" s="22" t="s">
        <v>70</v>
      </c>
      <c r="HU173" s="214" t="s">
        <v>530</v>
      </c>
      <c r="HW173" s="22" t="s">
        <v>11659</v>
      </c>
      <c r="HX173" s="22" t="s">
        <v>485</v>
      </c>
      <c r="HY173" s="22" t="s">
        <v>70</v>
      </c>
      <c r="HZ173" s="214" t="s">
        <v>530</v>
      </c>
      <c r="IB173" s="22" t="s">
        <v>11660</v>
      </c>
      <c r="IC173" s="22" t="s">
        <v>488</v>
      </c>
      <c r="ID173" s="22" t="s">
        <v>70</v>
      </c>
      <c r="IE173" s="214" t="s">
        <v>530</v>
      </c>
      <c r="IG173" s="22" t="s">
        <v>11661</v>
      </c>
      <c r="IH173" s="22" t="s">
        <v>52</v>
      </c>
      <c r="II173" s="22" t="s">
        <v>70</v>
      </c>
      <c r="IJ173" s="214" t="s">
        <v>530</v>
      </c>
      <c r="IL173" s="22" t="s">
        <v>11662</v>
      </c>
      <c r="IM173" s="22" t="s">
        <v>145</v>
      </c>
      <c r="IN173" s="22" t="s">
        <v>70</v>
      </c>
      <c r="IO173" s="214" t="s">
        <v>530</v>
      </c>
      <c r="IQ173" s="236" t="s">
        <v>11663</v>
      </c>
      <c r="IR173" s="236" t="s">
        <v>145</v>
      </c>
      <c r="IS173" s="236" t="s">
        <v>74</v>
      </c>
      <c r="IT173" s="236" t="s">
        <v>841</v>
      </c>
      <c r="IV173" s="236" t="s">
        <v>11664</v>
      </c>
      <c r="IW173" s="236" t="s">
        <v>145</v>
      </c>
      <c r="IX173" s="236" t="s">
        <v>74</v>
      </c>
      <c r="IY173" s="236" t="s">
        <v>841</v>
      </c>
      <c r="JA173" s="236" t="s">
        <v>11665</v>
      </c>
      <c r="JB173" s="236" t="s">
        <v>145</v>
      </c>
      <c r="JC173" s="236" t="s">
        <v>74</v>
      </c>
      <c r="JD173" s="236" t="s">
        <v>841</v>
      </c>
      <c r="JF173" s="236" t="s">
        <v>11666</v>
      </c>
      <c r="JG173" s="236" t="s">
        <v>145</v>
      </c>
      <c r="JH173" s="236" t="s">
        <v>74</v>
      </c>
      <c r="JI173" s="236" t="s">
        <v>841</v>
      </c>
      <c r="JK173" s="236" t="s">
        <v>11667</v>
      </c>
      <c r="JL173" s="236" t="s">
        <v>145</v>
      </c>
      <c r="JM173" s="236" t="s">
        <v>74</v>
      </c>
      <c r="JN173" s="236" t="s">
        <v>841</v>
      </c>
      <c r="JP173" s="236" t="s">
        <v>11668</v>
      </c>
      <c r="JQ173" s="236" t="s">
        <v>145</v>
      </c>
      <c r="JR173" s="236" t="s">
        <v>74</v>
      </c>
      <c r="JS173" s="236" t="s">
        <v>841</v>
      </c>
      <c r="JU173" s="294" t="s">
        <v>11669</v>
      </c>
      <c r="JV173" s="294" t="s">
        <v>52</v>
      </c>
      <c r="JW173" s="263" t="s">
        <v>70</v>
      </c>
      <c r="JX173" s="294" t="s">
        <v>1083</v>
      </c>
      <c r="JZ173" s="263" t="s">
        <v>11670</v>
      </c>
      <c r="KA173" s="263" t="s">
        <v>145</v>
      </c>
      <c r="KB173" s="263" t="s">
        <v>70</v>
      </c>
      <c r="KC173" s="263" t="s">
        <v>1083</v>
      </c>
      <c r="KE173" s="263" t="s">
        <v>11671</v>
      </c>
      <c r="KF173" s="263" t="s">
        <v>52</v>
      </c>
      <c r="KG173" s="263" t="s">
        <v>70</v>
      </c>
      <c r="KH173" s="263" t="s">
        <v>1083</v>
      </c>
      <c r="KJ173" s="263" t="s">
        <v>11672</v>
      </c>
      <c r="KK173" s="263" t="s">
        <v>52</v>
      </c>
      <c r="KL173" s="263" t="s">
        <v>74</v>
      </c>
      <c r="KM173" s="263" t="s">
        <v>34074</v>
      </c>
      <c r="KO173" s="214" t="s">
        <v>11673</v>
      </c>
      <c r="KP173" s="214" t="s">
        <v>145</v>
      </c>
      <c r="KQ173" s="214" t="s">
        <v>70</v>
      </c>
      <c r="KR173" s="214" t="s">
        <v>67</v>
      </c>
      <c r="KT173" s="22" t="s">
        <v>11674</v>
      </c>
      <c r="KU173" s="22" t="s">
        <v>145</v>
      </c>
      <c r="KV173" s="22" t="s">
        <v>70</v>
      </c>
      <c r="KW173" s="22" t="s">
        <v>67</v>
      </c>
      <c r="KY173" s="214" t="s">
        <v>11675</v>
      </c>
      <c r="KZ173" s="214" t="s">
        <v>52</v>
      </c>
      <c r="LA173" s="214" t="s">
        <v>74</v>
      </c>
      <c r="LB173" s="214" t="s">
        <v>67</v>
      </c>
      <c r="LD173" s="22" t="s">
        <v>11676</v>
      </c>
      <c r="LE173" s="22" t="s">
        <v>145</v>
      </c>
      <c r="LF173" s="22" t="s">
        <v>70</v>
      </c>
      <c r="LG173" s="22" t="s">
        <v>67</v>
      </c>
    </row>
    <row r="174" spans="1:319">
      <c r="A174" s="22" t="s">
        <v>11677</v>
      </c>
      <c r="B174" s="22" t="s">
        <v>145</v>
      </c>
      <c r="C174" s="22" t="s">
        <v>70</v>
      </c>
      <c r="D174" s="22" t="s">
        <v>67</v>
      </c>
      <c r="F174" s="23" t="s">
        <v>11678</v>
      </c>
      <c r="G174" s="23" t="str">
        <f>TVIIBE1M_CalPairs!$E171</f>
        <v>0x00</v>
      </c>
      <c r="H174" s="23" t="s">
        <v>72</v>
      </c>
      <c r="I174" s="23" t="str">
        <f>TVIIBE1M_CalPairs!$C171</f>
        <v>PASS0_SAR2_DIG_CAL_VAL1</v>
      </c>
      <c r="K174" s="22" t="s">
        <v>11679</v>
      </c>
      <c r="L174" s="22" t="s">
        <v>145</v>
      </c>
      <c r="M174" s="22" t="s">
        <v>70</v>
      </c>
      <c r="N174" s="22" t="s">
        <v>67</v>
      </c>
      <c r="P174" s="22" t="s">
        <v>11680</v>
      </c>
      <c r="Q174" s="22" t="s">
        <v>145</v>
      </c>
      <c r="R174" s="22" t="s">
        <v>70</v>
      </c>
      <c r="S174" s="22" t="s">
        <v>67</v>
      </c>
      <c r="U174" s="293" t="s">
        <v>11681</v>
      </c>
      <c r="V174" s="293" t="s">
        <v>145</v>
      </c>
      <c r="W174" s="293" t="s">
        <v>74</v>
      </c>
      <c r="X174" s="293" t="s">
        <v>656</v>
      </c>
      <c r="Z174" s="293" t="s">
        <v>11682</v>
      </c>
      <c r="AA174" s="293" t="s">
        <v>145</v>
      </c>
      <c r="AB174" s="293" t="s">
        <v>74</v>
      </c>
      <c r="AC174" s="293" t="s">
        <v>656</v>
      </c>
      <c r="AE174" s="293" t="s">
        <v>11683</v>
      </c>
      <c r="AF174" s="293" t="s">
        <v>145</v>
      </c>
      <c r="AG174" s="293" t="s">
        <v>74</v>
      </c>
      <c r="AH174" s="293" t="s">
        <v>656</v>
      </c>
      <c r="AJ174" s="293" t="s">
        <v>11684</v>
      </c>
      <c r="AK174" s="293" t="s">
        <v>145</v>
      </c>
      <c r="AL174" s="293" t="s">
        <v>74</v>
      </c>
      <c r="AM174" s="293" t="s">
        <v>656</v>
      </c>
      <c r="AO174" s="22" t="s">
        <v>11685</v>
      </c>
      <c r="AP174" s="22" t="s">
        <v>145</v>
      </c>
      <c r="AQ174" s="22" t="s">
        <v>70</v>
      </c>
      <c r="AR174" s="22" t="s">
        <v>67</v>
      </c>
      <c r="AT174" s="22" t="s">
        <v>11686</v>
      </c>
      <c r="AU174" s="22" t="s">
        <v>145</v>
      </c>
      <c r="AV174" s="22" t="s">
        <v>70</v>
      </c>
      <c r="AW174" s="22" t="s">
        <v>67</v>
      </c>
      <c r="AY174" s="22" t="s">
        <v>11687</v>
      </c>
      <c r="AZ174" s="22" t="s">
        <v>145</v>
      </c>
      <c r="BA174" s="22" t="s">
        <v>70</v>
      </c>
      <c r="BB174" s="22" t="s">
        <v>67</v>
      </c>
      <c r="BD174" s="22" t="s">
        <v>11688</v>
      </c>
      <c r="BE174" s="22" t="s">
        <v>145</v>
      </c>
      <c r="BF174" s="22" t="s">
        <v>70</v>
      </c>
      <c r="BG174" s="22" t="s">
        <v>67</v>
      </c>
      <c r="BI174" s="22" t="s">
        <v>11689</v>
      </c>
      <c r="BJ174" s="22" t="s">
        <v>145</v>
      </c>
      <c r="BK174" s="22" t="s">
        <v>70</v>
      </c>
      <c r="BL174" s="22" t="s">
        <v>67</v>
      </c>
      <c r="BN174" s="22" t="s">
        <v>11690</v>
      </c>
      <c r="BO174" s="22" t="s">
        <v>145</v>
      </c>
      <c r="BP174" s="22" t="s">
        <v>70</v>
      </c>
      <c r="BQ174" s="22" t="s">
        <v>67</v>
      </c>
      <c r="BS174" s="22" t="s">
        <v>11691</v>
      </c>
      <c r="BT174" s="22" t="s">
        <v>145</v>
      </c>
      <c r="BU174" s="22" t="s">
        <v>70</v>
      </c>
      <c r="BV174" s="214" t="s">
        <v>530</v>
      </c>
      <c r="BX174" s="22" t="s">
        <v>11692</v>
      </c>
      <c r="BY174" s="22" t="s">
        <v>145</v>
      </c>
      <c r="BZ174" s="22" t="s">
        <v>70</v>
      </c>
      <c r="CA174" s="214" t="s">
        <v>530</v>
      </c>
      <c r="CC174" s="214" t="s">
        <v>11693</v>
      </c>
      <c r="CD174" s="218" t="s">
        <v>145</v>
      </c>
      <c r="CE174" s="214" t="s">
        <v>70</v>
      </c>
      <c r="CF174" s="214" t="s">
        <v>534</v>
      </c>
      <c r="CH174" s="214" t="s">
        <v>11694</v>
      </c>
      <c r="CI174" s="214" t="s">
        <v>89</v>
      </c>
      <c r="CJ174" s="214" t="s">
        <v>70</v>
      </c>
      <c r="CK174" s="214" t="s">
        <v>530</v>
      </c>
      <c r="CM174" s="214" t="s">
        <v>11695</v>
      </c>
      <c r="CN174" s="214" t="s">
        <v>86</v>
      </c>
      <c r="CO174" s="214" t="s">
        <v>70</v>
      </c>
      <c r="CP174" s="214" t="s">
        <v>530</v>
      </c>
      <c r="CR174" s="214" t="s">
        <v>11696</v>
      </c>
      <c r="CS174" s="214" t="s">
        <v>497</v>
      </c>
      <c r="CT174" s="214" t="s">
        <v>70</v>
      </c>
      <c r="CU174" s="214" t="s">
        <v>530</v>
      </c>
      <c r="CW174" s="214" t="s">
        <v>11697</v>
      </c>
      <c r="CX174" s="214" t="s">
        <v>34073</v>
      </c>
      <c r="CY174" s="214" t="s">
        <v>70</v>
      </c>
      <c r="CZ174" s="214" t="s">
        <v>530</v>
      </c>
      <c r="DB174" s="214" t="s">
        <v>11698</v>
      </c>
      <c r="DC174" s="214" t="s">
        <v>34575</v>
      </c>
      <c r="DD174" s="214" t="s">
        <v>70</v>
      </c>
      <c r="DE174" s="214" t="s">
        <v>530</v>
      </c>
      <c r="DG174" s="214" t="s">
        <v>11699</v>
      </c>
      <c r="DH174" s="214" t="s">
        <v>502</v>
      </c>
      <c r="DI174" s="214" t="s">
        <v>70</v>
      </c>
      <c r="DJ174" s="214" t="s">
        <v>530</v>
      </c>
      <c r="DL174" s="214" t="s">
        <v>11700</v>
      </c>
      <c r="DM174" s="214" t="s">
        <v>52</v>
      </c>
      <c r="DN174" s="214" t="s">
        <v>70</v>
      </c>
      <c r="DO174" s="214" t="s">
        <v>530</v>
      </c>
      <c r="DQ174" s="214" t="s">
        <v>11701</v>
      </c>
      <c r="DR174" s="214" t="s">
        <v>468</v>
      </c>
      <c r="DS174" s="214" t="s">
        <v>70</v>
      </c>
      <c r="DT174" s="214" t="s">
        <v>530</v>
      </c>
      <c r="DV174" s="214" t="s">
        <v>11702</v>
      </c>
      <c r="DW174" s="214" t="s">
        <v>93</v>
      </c>
      <c r="DX174" s="214" t="s">
        <v>70</v>
      </c>
      <c r="DY174" s="214" t="s">
        <v>530</v>
      </c>
      <c r="EA174" s="214" t="s">
        <v>11703</v>
      </c>
      <c r="EB174" s="214" t="s">
        <v>641</v>
      </c>
      <c r="EC174" s="214" t="s">
        <v>70</v>
      </c>
      <c r="ED174" s="214" t="s">
        <v>530</v>
      </c>
      <c r="EF174" s="214" t="s">
        <v>11704</v>
      </c>
      <c r="EG174" s="214" t="s">
        <v>481</v>
      </c>
      <c r="EH174" s="214" t="s">
        <v>70</v>
      </c>
      <c r="EI174" s="214" t="s">
        <v>530</v>
      </c>
      <c r="EK174" s="214" t="s">
        <v>11705</v>
      </c>
      <c r="EL174" s="214" t="s">
        <v>52</v>
      </c>
      <c r="EM174" s="214" t="s">
        <v>70</v>
      </c>
      <c r="EN174" s="214" t="s">
        <v>530</v>
      </c>
      <c r="EP174" s="214" t="s">
        <v>11706</v>
      </c>
      <c r="EQ174" s="214" t="s">
        <v>604</v>
      </c>
      <c r="ER174" s="214" t="s">
        <v>70</v>
      </c>
      <c r="ES174" s="214" t="s">
        <v>530</v>
      </c>
      <c r="EU174" s="214" t="s">
        <v>11707</v>
      </c>
      <c r="EV174" s="214" t="s">
        <v>92</v>
      </c>
      <c r="EW174" s="214" t="s">
        <v>70</v>
      </c>
      <c r="EX174" s="214" t="s">
        <v>530</v>
      </c>
      <c r="EZ174" s="214" t="s">
        <v>11708</v>
      </c>
      <c r="FA174" s="214" t="s">
        <v>163</v>
      </c>
      <c r="FB174" s="214" t="s">
        <v>70</v>
      </c>
      <c r="FC174" s="214" t="s">
        <v>530</v>
      </c>
      <c r="FE174" s="214" t="s">
        <v>11709</v>
      </c>
      <c r="FF174" s="214" t="s">
        <v>149</v>
      </c>
      <c r="FG174" s="214" t="s">
        <v>70</v>
      </c>
      <c r="FH174" s="214" t="s">
        <v>530</v>
      </c>
      <c r="FJ174" s="321" t="s">
        <v>11710</v>
      </c>
      <c r="FK174" s="214" t="s">
        <v>913</v>
      </c>
      <c r="FL174" s="214" t="s">
        <v>70</v>
      </c>
      <c r="FM174" s="214" t="s">
        <v>530</v>
      </c>
      <c r="FO174" s="321" t="s">
        <v>11711</v>
      </c>
      <c r="FP174" s="214" t="s">
        <v>52</v>
      </c>
      <c r="FQ174" s="214" t="s">
        <v>70</v>
      </c>
      <c r="FR174" s="214" t="s">
        <v>530</v>
      </c>
      <c r="FT174" s="321" t="s">
        <v>11712</v>
      </c>
      <c r="FU174" s="214" t="s">
        <v>468</v>
      </c>
      <c r="FV174" s="214" t="s">
        <v>70</v>
      </c>
      <c r="FW174" s="214" t="s">
        <v>530</v>
      </c>
      <c r="FY174" s="321" t="s">
        <v>11713</v>
      </c>
      <c r="FZ174" s="214" t="s">
        <v>34590</v>
      </c>
      <c r="GA174" s="214" t="s">
        <v>70</v>
      </c>
      <c r="GB174" s="214" t="s">
        <v>530</v>
      </c>
      <c r="GD174" s="321" t="s">
        <v>11714</v>
      </c>
      <c r="GE174" s="214" t="s">
        <v>52</v>
      </c>
      <c r="GF174" s="214" t="s">
        <v>70</v>
      </c>
      <c r="GG174" s="214" t="s">
        <v>530</v>
      </c>
      <c r="GI174" s="321" t="s">
        <v>11715</v>
      </c>
      <c r="GJ174" s="214" t="s">
        <v>598</v>
      </c>
      <c r="GK174" s="214" t="s">
        <v>70</v>
      </c>
      <c r="GL174" s="214" t="s">
        <v>530</v>
      </c>
      <c r="GN174" s="321" t="s">
        <v>11716</v>
      </c>
      <c r="GO174" s="214" t="s">
        <v>599</v>
      </c>
      <c r="GP174" s="214" t="s">
        <v>70</v>
      </c>
      <c r="GQ174" s="214" t="s">
        <v>530</v>
      </c>
      <c r="GS174" s="321" t="s">
        <v>11717</v>
      </c>
      <c r="GT174" s="214" t="s">
        <v>88</v>
      </c>
      <c r="GU174" s="214" t="s">
        <v>70</v>
      </c>
      <c r="GV174" s="214" t="s">
        <v>530</v>
      </c>
      <c r="GX174" s="214" t="s">
        <v>11718</v>
      </c>
      <c r="GY174" s="214" t="s">
        <v>52</v>
      </c>
      <c r="GZ174" s="214" t="s">
        <v>70</v>
      </c>
      <c r="HA174" s="214" t="s">
        <v>530</v>
      </c>
      <c r="HC174" s="214" t="s">
        <v>11719</v>
      </c>
      <c r="HD174" s="214" t="s">
        <v>85</v>
      </c>
      <c r="HE174" s="214" t="s">
        <v>70</v>
      </c>
      <c r="HF174" s="214" t="s">
        <v>530</v>
      </c>
      <c r="HH174" s="214" t="s">
        <v>11720</v>
      </c>
      <c r="HI174" s="214" t="s">
        <v>148</v>
      </c>
      <c r="HJ174" s="214" t="s">
        <v>70</v>
      </c>
      <c r="HK174" s="214" t="s">
        <v>530</v>
      </c>
      <c r="HM174" s="214" t="s">
        <v>11721</v>
      </c>
      <c r="HN174" s="214" t="s">
        <v>89</v>
      </c>
      <c r="HO174" s="214" t="s">
        <v>70</v>
      </c>
      <c r="HP174" s="214" t="s">
        <v>530</v>
      </c>
      <c r="HR174" s="22" t="s">
        <v>11722</v>
      </c>
      <c r="HS174" s="22" t="s">
        <v>90</v>
      </c>
      <c r="HT174" s="22" t="s">
        <v>70</v>
      </c>
      <c r="HU174" s="214" t="s">
        <v>530</v>
      </c>
      <c r="HW174" s="22" t="s">
        <v>11723</v>
      </c>
      <c r="HX174" s="22" t="s">
        <v>489</v>
      </c>
      <c r="HY174" s="22" t="s">
        <v>70</v>
      </c>
      <c r="HZ174" s="214" t="s">
        <v>530</v>
      </c>
      <c r="IB174" s="22" t="s">
        <v>11724</v>
      </c>
      <c r="IC174" s="22" t="s">
        <v>90</v>
      </c>
      <c r="ID174" s="22" t="s">
        <v>70</v>
      </c>
      <c r="IE174" s="214" t="s">
        <v>530</v>
      </c>
      <c r="IG174" s="22" t="s">
        <v>11725</v>
      </c>
      <c r="IH174" s="22" t="s">
        <v>52</v>
      </c>
      <c r="II174" s="22" t="s">
        <v>70</v>
      </c>
      <c r="IJ174" s="214" t="s">
        <v>530</v>
      </c>
      <c r="IL174" s="22" t="s">
        <v>11726</v>
      </c>
      <c r="IM174" s="22" t="s">
        <v>145</v>
      </c>
      <c r="IN174" s="22" t="s">
        <v>70</v>
      </c>
      <c r="IO174" s="214" t="s">
        <v>530</v>
      </c>
      <c r="IQ174" s="236" t="s">
        <v>11727</v>
      </c>
      <c r="IR174" s="236" t="s">
        <v>145</v>
      </c>
      <c r="IS174" s="236" t="s">
        <v>74</v>
      </c>
      <c r="IT174" s="236" t="s">
        <v>841</v>
      </c>
      <c r="IV174" s="236" t="s">
        <v>11728</v>
      </c>
      <c r="IW174" s="236" t="s">
        <v>145</v>
      </c>
      <c r="IX174" s="236" t="s">
        <v>74</v>
      </c>
      <c r="IY174" s="236" t="s">
        <v>841</v>
      </c>
      <c r="JA174" s="236" t="s">
        <v>11729</v>
      </c>
      <c r="JB174" s="236" t="s">
        <v>145</v>
      </c>
      <c r="JC174" s="236" t="s">
        <v>74</v>
      </c>
      <c r="JD174" s="236" t="s">
        <v>841</v>
      </c>
      <c r="JF174" s="236" t="s">
        <v>11730</v>
      </c>
      <c r="JG174" s="236" t="s">
        <v>145</v>
      </c>
      <c r="JH174" s="236" t="s">
        <v>74</v>
      </c>
      <c r="JI174" s="236" t="s">
        <v>841</v>
      </c>
      <c r="JK174" s="236" t="s">
        <v>11731</v>
      </c>
      <c r="JL174" s="236" t="s">
        <v>145</v>
      </c>
      <c r="JM174" s="236" t="s">
        <v>74</v>
      </c>
      <c r="JN174" s="236" t="s">
        <v>841</v>
      </c>
      <c r="JP174" s="236" t="s">
        <v>11732</v>
      </c>
      <c r="JQ174" s="236" t="s">
        <v>145</v>
      </c>
      <c r="JR174" s="236" t="s">
        <v>74</v>
      </c>
      <c r="JS174" s="236" t="s">
        <v>841</v>
      </c>
      <c r="JU174" s="294" t="s">
        <v>11733</v>
      </c>
      <c r="JV174" s="294" t="s">
        <v>52</v>
      </c>
      <c r="JW174" s="263" t="s">
        <v>70</v>
      </c>
      <c r="JX174" s="294" t="s">
        <v>1083</v>
      </c>
      <c r="JZ174" s="263" t="s">
        <v>11734</v>
      </c>
      <c r="KA174" s="263" t="s">
        <v>145</v>
      </c>
      <c r="KB174" s="263" t="s">
        <v>70</v>
      </c>
      <c r="KC174" s="263" t="s">
        <v>1083</v>
      </c>
      <c r="KE174" s="263" t="s">
        <v>11735</v>
      </c>
      <c r="KF174" s="263" t="s">
        <v>52</v>
      </c>
      <c r="KG174" s="263" t="s">
        <v>70</v>
      </c>
      <c r="KH174" s="263" t="s">
        <v>1083</v>
      </c>
      <c r="KJ174" s="263" t="s">
        <v>11736</v>
      </c>
      <c r="KK174" s="263" t="s">
        <v>52</v>
      </c>
      <c r="KL174" s="263" t="s">
        <v>74</v>
      </c>
      <c r="KM174" s="263" t="s">
        <v>34074</v>
      </c>
      <c r="KO174" s="214" t="s">
        <v>11737</v>
      </c>
      <c r="KP174" s="214" t="s">
        <v>145</v>
      </c>
      <c r="KQ174" s="214" t="s">
        <v>70</v>
      </c>
      <c r="KR174" s="214" t="s">
        <v>67</v>
      </c>
      <c r="KT174" s="22" t="s">
        <v>11738</v>
      </c>
      <c r="KU174" s="22" t="s">
        <v>145</v>
      </c>
      <c r="KV174" s="22" t="s">
        <v>70</v>
      </c>
      <c r="KW174" s="22" t="s">
        <v>67</v>
      </c>
      <c r="KY174" s="214" t="s">
        <v>11739</v>
      </c>
      <c r="KZ174" s="214" t="s">
        <v>52</v>
      </c>
      <c r="LA174" s="214" t="s">
        <v>74</v>
      </c>
      <c r="LB174" s="214" t="s">
        <v>67</v>
      </c>
      <c r="LD174" s="22" t="s">
        <v>11740</v>
      </c>
      <c r="LE174" s="22" t="s">
        <v>145</v>
      </c>
      <c r="LF174" s="22" t="s">
        <v>70</v>
      </c>
      <c r="LG174" s="22" t="s">
        <v>67</v>
      </c>
    </row>
    <row r="175" spans="1:319">
      <c r="A175" s="22" t="s">
        <v>11741</v>
      </c>
      <c r="B175" s="22" t="s">
        <v>145</v>
      </c>
      <c r="C175" s="22" t="s">
        <v>70</v>
      </c>
      <c r="D175" s="22" t="s">
        <v>67</v>
      </c>
      <c r="F175" s="23" t="s">
        <v>11742</v>
      </c>
      <c r="G175" s="23" t="str">
        <f>TVIIBE1M_CalPairs!$E172</f>
        <v>0x00</v>
      </c>
      <c r="H175" s="23" t="s">
        <v>72</v>
      </c>
      <c r="I175" s="23" t="str">
        <f>TVIIBE1M_CalPairs!$C172</f>
        <v>PASS0_SAR2_DIG_CAL_VAL2</v>
      </c>
      <c r="K175" s="22" t="s">
        <v>11743</v>
      </c>
      <c r="L175" s="22" t="s">
        <v>145</v>
      </c>
      <c r="M175" s="22" t="s">
        <v>70</v>
      </c>
      <c r="N175" s="22" t="s">
        <v>67</v>
      </c>
      <c r="P175" s="22" t="s">
        <v>11744</v>
      </c>
      <c r="Q175" s="22" t="s">
        <v>145</v>
      </c>
      <c r="R175" s="22" t="s">
        <v>70</v>
      </c>
      <c r="S175" s="22" t="s">
        <v>67</v>
      </c>
      <c r="U175" s="293" t="s">
        <v>11745</v>
      </c>
      <c r="V175" s="293" t="s">
        <v>145</v>
      </c>
      <c r="W175" s="293" t="s">
        <v>74</v>
      </c>
      <c r="X175" s="293" t="s">
        <v>656</v>
      </c>
      <c r="Z175" s="293" t="s">
        <v>11746</v>
      </c>
      <c r="AA175" s="293" t="s">
        <v>145</v>
      </c>
      <c r="AB175" s="293" t="s">
        <v>74</v>
      </c>
      <c r="AC175" s="293" t="s">
        <v>656</v>
      </c>
      <c r="AE175" s="293" t="s">
        <v>11747</v>
      </c>
      <c r="AF175" s="293" t="s">
        <v>145</v>
      </c>
      <c r="AG175" s="293" t="s">
        <v>74</v>
      </c>
      <c r="AH175" s="293" t="s">
        <v>656</v>
      </c>
      <c r="AJ175" s="293" t="s">
        <v>11748</v>
      </c>
      <c r="AK175" s="293" t="s">
        <v>145</v>
      </c>
      <c r="AL175" s="293" t="s">
        <v>74</v>
      </c>
      <c r="AM175" s="293" t="s">
        <v>656</v>
      </c>
      <c r="AO175" s="22" t="s">
        <v>11749</v>
      </c>
      <c r="AP175" s="22" t="s">
        <v>145</v>
      </c>
      <c r="AQ175" s="22" t="s">
        <v>70</v>
      </c>
      <c r="AR175" s="22" t="s">
        <v>67</v>
      </c>
      <c r="AT175" s="22" t="s">
        <v>11750</v>
      </c>
      <c r="AU175" s="22" t="s">
        <v>145</v>
      </c>
      <c r="AV175" s="22" t="s">
        <v>70</v>
      </c>
      <c r="AW175" s="22" t="s">
        <v>67</v>
      </c>
      <c r="AY175" s="22" t="s">
        <v>11751</v>
      </c>
      <c r="AZ175" s="22" t="s">
        <v>145</v>
      </c>
      <c r="BA175" s="22" t="s">
        <v>70</v>
      </c>
      <c r="BB175" s="22" t="s">
        <v>67</v>
      </c>
      <c r="BD175" s="22" t="s">
        <v>11752</v>
      </c>
      <c r="BE175" s="22" t="s">
        <v>145</v>
      </c>
      <c r="BF175" s="22" t="s">
        <v>70</v>
      </c>
      <c r="BG175" s="22" t="s">
        <v>67</v>
      </c>
      <c r="BI175" s="22" t="s">
        <v>11753</v>
      </c>
      <c r="BJ175" s="22" t="s">
        <v>145</v>
      </c>
      <c r="BK175" s="22" t="s">
        <v>70</v>
      </c>
      <c r="BL175" s="22" t="s">
        <v>67</v>
      </c>
      <c r="BN175" s="22" t="s">
        <v>11754</v>
      </c>
      <c r="BO175" s="22" t="s">
        <v>145</v>
      </c>
      <c r="BP175" s="22" t="s">
        <v>70</v>
      </c>
      <c r="BQ175" s="22" t="s">
        <v>67</v>
      </c>
      <c r="BS175" s="22" t="s">
        <v>11755</v>
      </c>
      <c r="BT175" s="22" t="s">
        <v>145</v>
      </c>
      <c r="BU175" s="22" t="s">
        <v>70</v>
      </c>
      <c r="BV175" s="214" t="s">
        <v>530</v>
      </c>
      <c r="BX175" s="22" t="s">
        <v>11756</v>
      </c>
      <c r="BY175" s="22" t="s">
        <v>145</v>
      </c>
      <c r="BZ175" s="22" t="s">
        <v>70</v>
      </c>
      <c r="CA175" s="214" t="s">
        <v>530</v>
      </c>
      <c r="CC175" s="214" t="s">
        <v>11757</v>
      </c>
      <c r="CD175" s="218" t="s">
        <v>145</v>
      </c>
      <c r="CE175" s="214" t="s">
        <v>70</v>
      </c>
      <c r="CF175" s="214" t="s">
        <v>535</v>
      </c>
      <c r="CH175" s="214" t="s">
        <v>11758</v>
      </c>
      <c r="CI175" s="214" t="s">
        <v>491</v>
      </c>
      <c r="CJ175" s="214" t="s">
        <v>70</v>
      </c>
      <c r="CK175" s="214" t="s">
        <v>530</v>
      </c>
      <c r="CM175" s="214" t="s">
        <v>11759</v>
      </c>
      <c r="CN175" s="214" t="s">
        <v>34579</v>
      </c>
      <c r="CO175" s="214" t="s">
        <v>70</v>
      </c>
      <c r="CP175" s="214" t="s">
        <v>530</v>
      </c>
      <c r="CR175" s="214" t="s">
        <v>11760</v>
      </c>
      <c r="CS175" s="214" t="s">
        <v>146</v>
      </c>
      <c r="CT175" s="214" t="s">
        <v>70</v>
      </c>
      <c r="CU175" s="214" t="s">
        <v>530</v>
      </c>
      <c r="CW175" s="214" t="s">
        <v>11761</v>
      </c>
      <c r="CX175" s="214" t="s">
        <v>488</v>
      </c>
      <c r="CY175" s="214" t="s">
        <v>70</v>
      </c>
      <c r="CZ175" s="214" t="s">
        <v>530</v>
      </c>
      <c r="DB175" s="214" t="s">
        <v>11762</v>
      </c>
      <c r="DC175" s="214" t="s">
        <v>502</v>
      </c>
      <c r="DD175" s="214" t="s">
        <v>70</v>
      </c>
      <c r="DE175" s="214" t="s">
        <v>530</v>
      </c>
      <c r="DG175" s="214" t="s">
        <v>11763</v>
      </c>
      <c r="DH175" s="214" t="s">
        <v>484</v>
      </c>
      <c r="DI175" s="214" t="s">
        <v>70</v>
      </c>
      <c r="DJ175" s="214" t="s">
        <v>530</v>
      </c>
      <c r="DL175" s="214" t="s">
        <v>11764</v>
      </c>
      <c r="DM175" s="214" t="s">
        <v>52</v>
      </c>
      <c r="DN175" s="214" t="s">
        <v>70</v>
      </c>
      <c r="DO175" s="214" t="s">
        <v>530</v>
      </c>
      <c r="DQ175" s="214" t="s">
        <v>11765</v>
      </c>
      <c r="DR175" s="214" t="s">
        <v>34548</v>
      </c>
      <c r="DS175" s="214" t="s">
        <v>70</v>
      </c>
      <c r="DT175" s="214" t="s">
        <v>530</v>
      </c>
      <c r="DV175" s="214" t="s">
        <v>11766</v>
      </c>
      <c r="DW175" s="214" t="s">
        <v>486</v>
      </c>
      <c r="DX175" s="214" t="s">
        <v>70</v>
      </c>
      <c r="DY175" s="214" t="s">
        <v>530</v>
      </c>
      <c r="EA175" s="214" t="s">
        <v>11767</v>
      </c>
      <c r="EB175" s="214" t="s">
        <v>937</v>
      </c>
      <c r="EC175" s="214" t="s">
        <v>70</v>
      </c>
      <c r="ED175" s="214" t="s">
        <v>530</v>
      </c>
      <c r="EF175" s="214" t="s">
        <v>11768</v>
      </c>
      <c r="EG175" s="214" t="s">
        <v>487</v>
      </c>
      <c r="EH175" s="214" t="s">
        <v>70</v>
      </c>
      <c r="EI175" s="214" t="s">
        <v>530</v>
      </c>
      <c r="EK175" s="214" t="s">
        <v>11769</v>
      </c>
      <c r="EL175" s="214" t="s">
        <v>485</v>
      </c>
      <c r="EM175" s="214" t="s">
        <v>70</v>
      </c>
      <c r="EN175" s="214" t="s">
        <v>530</v>
      </c>
      <c r="EP175" s="214" t="s">
        <v>11770</v>
      </c>
      <c r="EQ175" s="214" t="s">
        <v>496</v>
      </c>
      <c r="ER175" s="214" t="s">
        <v>70</v>
      </c>
      <c r="ES175" s="214" t="s">
        <v>530</v>
      </c>
      <c r="EU175" s="214" t="s">
        <v>11771</v>
      </c>
      <c r="EV175" s="214" t="s">
        <v>34544</v>
      </c>
      <c r="EW175" s="214" t="s">
        <v>70</v>
      </c>
      <c r="EX175" s="214" t="s">
        <v>530</v>
      </c>
      <c r="EZ175" s="214" t="s">
        <v>11772</v>
      </c>
      <c r="FA175" s="214" t="s">
        <v>496</v>
      </c>
      <c r="FB175" s="214" t="s">
        <v>70</v>
      </c>
      <c r="FC175" s="214" t="s">
        <v>530</v>
      </c>
      <c r="FE175" s="214" t="s">
        <v>11773</v>
      </c>
      <c r="FF175" s="214" t="s">
        <v>484</v>
      </c>
      <c r="FG175" s="214" t="s">
        <v>70</v>
      </c>
      <c r="FH175" s="214" t="s">
        <v>530</v>
      </c>
      <c r="FJ175" s="321" t="s">
        <v>11774</v>
      </c>
      <c r="FK175" s="214" t="s">
        <v>501</v>
      </c>
      <c r="FL175" s="214" t="s">
        <v>70</v>
      </c>
      <c r="FM175" s="214" t="s">
        <v>530</v>
      </c>
      <c r="FO175" s="321" t="s">
        <v>11775</v>
      </c>
      <c r="FP175" s="214" t="s">
        <v>468</v>
      </c>
      <c r="FQ175" s="214" t="s">
        <v>70</v>
      </c>
      <c r="FR175" s="214" t="s">
        <v>530</v>
      </c>
      <c r="FT175" s="321" t="s">
        <v>11776</v>
      </c>
      <c r="FU175" s="214" t="s">
        <v>52</v>
      </c>
      <c r="FV175" s="214" t="s">
        <v>70</v>
      </c>
      <c r="FW175" s="214" t="s">
        <v>530</v>
      </c>
      <c r="FY175" s="321" t="s">
        <v>11777</v>
      </c>
      <c r="FZ175" s="214" t="s">
        <v>34542</v>
      </c>
      <c r="GA175" s="214" t="s">
        <v>70</v>
      </c>
      <c r="GB175" s="214" t="s">
        <v>530</v>
      </c>
      <c r="GD175" s="321" t="s">
        <v>11778</v>
      </c>
      <c r="GE175" s="214" t="s">
        <v>34550</v>
      </c>
      <c r="GF175" s="214" t="s">
        <v>70</v>
      </c>
      <c r="GG175" s="214" t="s">
        <v>530</v>
      </c>
      <c r="GI175" s="321" t="s">
        <v>11779</v>
      </c>
      <c r="GJ175" s="214" t="s">
        <v>919</v>
      </c>
      <c r="GK175" s="214" t="s">
        <v>70</v>
      </c>
      <c r="GL175" s="214" t="s">
        <v>530</v>
      </c>
      <c r="GN175" s="321" t="s">
        <v>11780</v>
      </c>
      <c r="GO175" s="214" t="s">
        <v>52</v>
      </c>
      <c r="GP175" s="214" t="s">
        <v>70</v>
      </c>
      <c r="GQ175" s="214" t="s">
        <v>530</v>
      </c>
      <c r="GS175" s="321" t="s">
        <v>11781</v>
      </c>
      <c r="GT175" s="214" t="s">
        <v>599</v>
      </c>
      <c r="GU175" s="214" t="s">
        <v>70</v>
      </c>
      <c r="GV175" s="214" t="s">
        <v>530</v>
      </c>
      <c r="GX175" s="214" t="s">
        <v>11782</v>
      </c>
      <c r="GY175" s="214" t="s">
        <v>599</v>
      </c>
      <c r="GZ175" s="214" t="s">
        <v>70</v>
      </c>
      <c r="HA175" s="214" t="s">
        <v>530</v>
      </c>
      <c r="HC175" s="214" t="s">
        <v>11783</v>
      </c>
      <c r="HD175" s="214" t="s">
        <v>491</v>
      </c>
      <c r="HE175" s="214" t="s">
        <v>70</v>
      </c>
      <c r="HF175" s="214" t="s">
        <v>530</v>
      </c>
      <c r="HH175" s="214" t="s">
        <v>11784</v>
      </c>
      <c r="HI175" s="214" t="s">
        <v>486</v>
      </c>
      <c r="HJ175" s="214" t="s">
        <v>70</v>
      </c>
      <c r="HK175" s="214" t="s">
        <v>530</v>
      </c>
      <c r="HM175" s="214" t="s">
        <v>11785</v>
      </c>
      <c r="HN175" s="214" t="s">
        <v>920</v>
      </c>
      <c r="HO175" s="214" t="s">
        <v>70</v>
      </c>
      <c r="HP175" s="214" t="s">
        <v>530</v>
      </c>
      <c r="HR175" s="22" t="s">
        <v>11786</v>
      </c>
      <c r="HS175" s="22" t="s">
        <v>531</v>
      </c>
      <c r="HT175" s="22" t="s">
        <v>70</v>
      </c>
      <c r="HU175" s="214" t="s">
        <v>530</v>
      </c>
      <c r="HW175" s="22" t="s">
        <v>11787</v>
      </c>
      <c r="HX175" s="22" t="s">
        <v>34580</v>
      </c>
      <c r="HY175" s="22" t="s">
        <v>70</v>
      </c>
      <c r="HZ175" s="214" t="s">
        <v>530</v>
      </c>
      <c r="IB175" s="22" t="s">
        <v>11788</v>
      </c>
      <c r="IC175" s="22" t="s">
        <v>920</v>
      </c>
      <c r="ID175" s="22" t="s">
        <v>70</v>
      </c>
      <c r="IE175" s="214" t="s">
        <v>530</v>
      </c>
      <c r="IG175" s="22" t="s">
        <v>11789</v>
      </c>
      <c r="IH175" s="22" t="s">
        <v>52</v>
      </c>
      <c r="II175" s="22" t="s">
        <v>70</v>
      </c>
      <c r="IJ175" s="214" t="s">
        <v>530</v>
      </c>
      <c r="IL175" s="22" t="s">
        <v>11790</v>
      </c>
      <c r="IM175" s="22" t="s">
        <v>145</v>
      </c>
      <c r="IN175" s="22" t="s">
        <v>70</v>
      </c>
      <c r="IO175" s="214" t="s">
        <v>530</v>
      </c>
      <c r="IQ175" s="236" t="s">
        <v>11791</v>
      </c>
      <c r="IR175" s="236" t="s">
        <v>145</v>
      </c>
      <c r="IS175" s="236" t="s">
        <v>74</v>
      </c>
      <c r="IT175" s="236" t="s">
        <v>841</v>
      </c>
      <c r="IV175" s="236" t="s">
        <v>11792</v>
      </c>
      <c r="IW175" s="236" t="s">
        <v>145</v>
      </c>
      <c r="IX175" s="236" t="s">
        <v>74</v>
      </c>
      <c r="IY175" s="236" t="s">
        <v>841</v>
      </c>
      <c r="JA175" s="236" t="s">
        <v>11793</v>
      </c>
      <c r="JB175" s="236" t="s">
        <v>145</v>
      </c>
      <c r="JC175" s="236" t="s">
        <v>74</v>
      </c>
      <c r="JD175" s="236" t="s">
        <v>841</v>
      </c>
      <c r="JF175" s="236" t="s">
        <v>11794</v>
      </c>
      <c r="JG175" s="236" t="s">
        <v>145</v>
      </c>
      <c r="JH175" s="236" t="s">
        <v>74</v>
      </c>
      <c r="JI175" s="236" t="s">
        <v>841</v>
      </c>
      <c r="JK175" s="236" t="s">
        <v>11795</v>
      </c>
      <c r="JL175" s="236" t="s">
        <v>145</v>
      </c>
      <c r="JM175" s="236" t="s">
        <v>74</v>
      </c>
      <c r="JN175" s="236" t="s">
        <v>841</v>
      </c>
      <c r="JP175" s="236" t="s">
        <v>11796</v>
      </c>
      <c r="JQ175" s="236" t="s">
        <v>145</v>
      </c>
      <c r="JR175" s="236" t="s">
        <v>74</v>
      </c>
      <c r="JS175" s="236" t="s">
        <v>841</v>
      </c>
      <c r="JU175" s="294" t="s">
        <v>11797</v>
      </c>
      <c r="JV175" s="294" t="s">
        <v>52</v>
      </c>
      <c r="JW175" s="263" t="s">
        <v>70</v>
      </c>
      <c r="JX175" s="294" t="s">
        <v>1083</v>
      </c>
      <c r="JZ175" s="263" t="s">
        <v>11798</v>
      </c>
      <c r="KA175" s="263" t="s">
        <v>145</v>
      </c>
      <c r="KB175" s="263" t="s">
        <v>70</v>
      </c>
      <c r="KC175" s="263" t="s">
        <v>1083</v>
      </c>
      <c r="KE175" s="263" t="s">
        <v>11799</v>
      </c>
      <c r="KF175" s="263" t="s">
        <v>52</v>
      </c>
      <c r="KG175" s="263" t="s">
        <v>70</v>
      </c>
      <c r="KH175" s="263" t="s">
        <v>1083</v>
      </c>
      <c r="KJ175" s="263" t="s">
        <v>11800</v>
      </c>
      <c r="KK175" s="263" t="s">
        <v>52</v>
      </c>
      <c r="KL175" s="263" t="s">
        <v>74</v>
      </c>
      <c r="KM175" s="263" t="s">
        <v>34074</v>
      </c>
      <c r="KO175" s="214" t="s">
        <v>11801</v>
      </c>
      <c r="KP175" s="214" t="s">
        <v>145</v>
      </c>
      <c r="KQ175" s="214" t="s">
        <v>70</v>
      </c>
      <c r="KR175" s="214" t="s">
        <v>67</v>
      </c>
      <c r="KT175" s="22" t="s">
        <v>11802</v>
      </c>
      <c r="KU175" s="22" t="s">
        <v>145</v>
      </c>
      <c r="KV175" s="22" t="s">
        <v>70</v>
      </c>
      <c r="KW175" s="22" t="s">
        <v>67</v>
      </c>
      <c r="KY175" s="214" t="s">
        <v>11803</v>
      </c>
      <c r="KZ175" s="214" t="s">
        <v>52</v>
      </c>
      <c r="LA175" s="214" t="s">
        <v>74</v>
      </c>
      <c r="LB175" s="214" t="s">
        <v>67</v>
      </c>
      <c r="LD175" s="22" t="s">
        <v>11804</v>
      </c>
      <c r="LE175" s="22" t="s">
        <v>145</v>
      </c>
      <c r="LF175" s="22" t="s">
        <v>70</v>
      </c>
      <c r="LG175" s="22" t="s">
        <v>67</v>
      </c>
    </row>
    <row r="176" spans="1:319">
      <c r="A176" s="22" t="s">
        <v>11805</v>
      </c>
      <c r="B176" s="218" t="s">
        <v>145</v>
      </c>
      <c r="C176" s="218" t="s">
        <v>75</v>
      </c>
      <c r="D176" s="218" t="s">
        <v>34671</v>
      </c>
      <c r="F176" s="23" t="s">
        <v>11806</v>
      </c>
      <c r="G176" s="23" t="str">
        <f>TVIIBE1M_CalPairs!$E173</f>
        <v>0x00</v>
      </c>
      <c r="H176" s="23" t="s">
        <v>72</v>
      </c>
      <c r="I176" s="23" t="str">
        <f>TVIIBE1M_CalPairs!$C173</f>
        <v>PASS0_SAR2_DIG_CAL_VAL3</v>
      </c>
      <c r="K176" s="22" t="s">
        <v>11807</v>
      </c>
      <c r="L176" s="22" t="s">
        <v>145</v>
      </c>
      <c r="M176" s="22" t="s">
        <v>70</v>
      </c>
      <c r="N176" s="22" t="s">
        <v>67</v>
      </c>
      <c r="P176" s="22" t="s">
        <v>11808</v>
      </c>
      <c r="Q176" s="22" t="s">
        <v>145</v>
      </c>
      <c r="R176" s="22" t="s">
        <v>70</v>
      </c>
      <c r="S176" s="22" t="s">
        <v>67</v>
      </c>
      <c r="U176" s="293" t="s">
        <v>11809</v>
      </c>
      <c r="V176" s="293" t="s">
        <v>145</v>
      </c>
      <c r="W176" s="293" t="s">
        <v>74</v>
      </c>
      <c r="X176" s="293" t="s">
        <v>656</v>
      </c>
      <c r="Z176" s="293" t="s">
        <v>11810</v>
      </c>
      <c r="AA176" s="293" t="s">
        <v>145</v>
      </c>
      <c r="AB176" s="293" t="s">
        <v>74</v>
      </c>
      <c r="AC176" s="293" t="s">
        <v>656</v>
      </c>
      <c r="AE176" s="293" t="s">
        <v>11811</v>
      </c>
      <c r="AF176" s="293" t="s">
        <v>145</v>
      </c>
      <c r="AG176" s="293" t="s">
        <v>74</v>
      </c>
      <c r="AH176" s="293" t="s">
        <v>656</v>
      </c>
      <c r="AJ176" s="293" t="s">
        <v>11812</v>
      </c>
      <c r="AK176" s="293" t="s">
        <v>145</v>
      </c>
      <c r="AL176" s="293" t="s">
        <v>74</v>
      </c>
      <c r="AM176" s="293" t="s">
        <v>656</v>
      </c>
      <c r="AO176" s="22" t="s">
        <v>11813</v>
      </c>
      <c r="AP176" s="22" t="s">
        <v>145</v>
      </c>
      <c r="AQ176" s="22" t="s">
        <v>70</v>
      </c>
      <c r="AR176" s="22" t="s">
        <v>67</v>
      </c>
      <c r="AT176" s="22" t="s">
        <v>11814</v>
      </c>
      <c r="AU176" s="22" t="s">
        <v>145</v>
      </c>
      <c r="AV176" s="22" t="s">
        <v>70</v>
      </c>
      <c r="AW176" s="22" t="s">
        <v>67</v>
      </c>
      <c r="AY176" s="22" t="s">
        <v>11815</v>
      </c>
      <c r="AZ176" s="22" t="s">
        <v>145</v>
      </c>
      <c r="BA176" s="22" t="s">
        <v>70</v>
      </c>
      <c r="BB176" s="22" t="s">
        <v>67</v>
      </c>
      <c r="BD176" s="22" t="s">
        <v>11816</v>
      </c>
      <c r="BE176" s="22" t="s">
        <v>145</v>
      </c>
      <c r="BF176" s="22" t="s">
        <v>70</v>
      </c>
      <c r="BG176" s="22" t="s">
        <v>67</v>
      </c>
      <c r="BI176" s="22" t="s">
        <v>11817</v>
      </c>
      <c r="BJ176" s="22" t="s">
        <v>145</v>
      </c>
      <c r="BK176" s="22" t="s">
        <v>70</v>
      </c>
      <c r="BL176" s="22" t="s">
        <v>67</v>
      </c>
      <c r="BN176" s="22" t="s">
        <v>11818</v>
      </c>
      <c r="BO176" s="22" t="s">
        <v>145</v>
      </c>
      <c r="BP176" s="22" t="s">
        <v>70</v>
      </c>
      <c r="BQ176" s="22" t="s">
        <v>67</v>
      </c>
      <c r="BS176" s="22" t="s">
        <v>11819</v>
      </c>
      <c r="BT176" s="22" t="s">
        <v>145</v>
      </c>
      <c r="BU176" s="22" t="s">
        <v>70</v>
      </c>
      <c r="BV176" s="214" t="s">
        <v>530</v>
      </c>
      <c r="BX176" s="22" t="s">
        <v>11820</v>
      </c>
      <c r="BY176" s="22" t="s">
        <v>145</v>
      </c>
      <c r="BZ176" s="22" t="s">
        <v>70</v>
      </c>
      <c r="CA176" s="214" t="s">
        <v>530</v>
      </c>
      <c r="CC176" s="214" t="s">
        <v>11821</v>
      </c>
      <c r="CD176" s="218" t="s">
        <v>145</v>
      </c>
      <c r="CE176" s="214" t="s">
        <v>70</v>
      </c>
      <c r="CF176" s="214" t="s">
        <v>536</v>
      </c>
      <c r="CH176" s="214" t="s">
        <v>11822</v>
      </c>
      <c r="CI176" s="214" t="s">
        <v>655</v>
      </c>
      <c r="CJ176" s="214" t="s">
        <v>70</v>
      </c>
      <c r="CK176" s="214" t="s">
        <v>530</v>
      </c>
      <c r="CM176" s="322" t="s">
        <v>11823</v>
      </c>
      <c r="CN176" s="214" t="s">
        <v>103</v>
      </c>
      <c r="CO176" s="214" t="s">
        <v>70</v>
      </c>
      <c r="CP176" s="214" t="s">
        <v>530</v>
      </c>
      <c r="CR176" s="214" t="s">
        <v>11824</v>
      </c>
      <c r="CS176" s="214" t="s">
        <v>85</v>
      </c>
      <c r="CT176" s="214" t="s">
        <v>70</v>
      </c>
      <c r="CU176" s="214" t="s">
        <v>530</v>
      </c>
      <c r="CW176" s="214" t="s">
        <v>11825</v>
      </c>
      <c r="CX176" s="214" t="s">
        <v>497</v>
      </c>
      <c r="CY176" s="214" t="s">
        <v>70</v>
      </c>
      <c r="CZ176" s="214" t="s">
        <v>530</v>
      </c>
      <c r="DB176" s="214" t="s">
        <v>11826</v>
      </c>
      <c r="DC176" s="214" t="s">
        <v>529</v>
      </c>
      <c r="DD176" s="214" t="s">
        <v>70</v>
      </c>
      <c r="DE176" s="214" t="s">
        <v>530</v>
      </c>
      <c r="DG176" s="214" t="s">
        <v>11827</v>
      </c>
      <c r="DH176" s="214" t="s">
        <v>604</v>
      </c>
      <c r="DI176" s="214" t="s">
        <v>70</v>
      </c>
      <c r="DJ176" s="214" t="s">
        <v>530</v>
      </c>
      <c r="DL176" s="214" t="s">
        <v>11828</v>
      </c>
      <c r="DM176" s="214" t="s">
        <v>103</v>
      </c>
      <c r="DN176" s="214" t="s">
        <v>70</v>
      </c>
      <c r="DO176" s="214" t="s">
        <v>530</v>
      </c>
      <c r="DQ176" s="214" t="s">
        <v>11829</v>
      </c>
      <c r="DR176" s="214" t="s">
        <v>52</v>
      </c>
      <c r="DS176" s="214" t="s">
        <v>70</v>
      </c>
      <c r="DT176" s="214" t="s">
        <v>530</v>
      </c>
      <c r="DV176" s="214" t="s">
        <v>11830</v>
      </c>
      <c r="DW176" s="214" t="s">
        <v>936</v>
      </c>
      <c r="DX176" s="214" t="s">
        <v>70</v>
      </c>
      <c r="DY176" s="214" t="s">
        <v>530</v>
      </c>
      <c r="EA176" s="214" t="s">
        <v>11831</v>
      </c>
      <c r="EB176" s="214" t="s">
        <v>34578</v>
      </c>
      <c r="EC176" s="214" t="s">
        <v>70</v>
      </c>
      <c r="ED176" s="214" t="s">
        <v>530</v>
      </c>
      <c r="EF176" s="214" t="s">
        <v>11832</v>
      </c>
      <c r="EG176" s="214" t="s">
        <v>915</v>
      </c>
      <c r="EH176" s="214" t="s">
        <v>70</v>
      </c>
      <c r="EI176" s="214" t="s">
        <v>530</v>
      </c>
      <c r="EK176" s="214" t="s">
        <v>11833</v>
      </c>
      <c r="EL176" s="214" t="s">
        <v>149</v>
      </c>
      <c r="EM176" s="214" t="s">
        <v>70</v>
      </c>
      <c r="EN176" s="214" t="s">
        <v>530</v>
      </c>
      <c r="EP176" s="214" t="s">
        <v>11834</v>
      </c>
      <c r="EQ176" s="214" t="s">
        <v>34640</v>
      </c>
      <c r="ER176" s="214" t="s">
        <v>70</v>
      </c>
      <c r="ES176" s="214" t="s">
        <v>530</v>
      </c>
      <c r="EU176" s="214" t="s">
        <v>11835</v>
      </c>
      <c r="EV176" s="214" t="s">
        <v>148</v>
      </c>
      <c r="EW176" s="214" t="s">
        <v>70</v>
      </c>
      <c r="EX176" s="214" t="s">
        <v>530</v>
      </c>
      <c r="EZ176" s="214" t="s">
        <v>11836</v>
      </c>
      <c r="FA176" s="214" t="s">
        <v>34544</v>
      </c>
      <c r="FB176" s="214" t="s">
        <v>70</v>
      </c>
      <c r="FC176" s="214" t="s">
        <v>530</v>
      </c>
      <c r="FE176" s="214" t="s">
        <v>11837</v>
      </c>
      <c r="FF176" s="214" t="s">
        <v>88</v>
      </c>
      <c r="FG176" s="214" t="s">
        <v>70</v>
      </c>
      <c r="FH176" s="214" t="s">
        <v>530</v>
      </c>
      <c r="FJ176" s="321" t="s">
        <v>11838</v>
      </c>
      <c r="FK176" s="214" t="s">
        <v>34579</v>
      </c>
      <c r="FL176" s="214" t="s">
        <v>70</v>
      </c>
      <c r="FM176" s="214" t="s">
        <v>530</v>
      </c>
      <c r="FO176" s="321" t="s">
        <v>11839</v>
      </c>
      <c r="FP176" s="214" t="s">
        <v>163</v>
      </c>
      <c r="FQ176" s="214" t="s">
        <v>70</v>
      </c>
      <c r="FR176" s="214" t="s">
        <v>530</v>
      </c>
      <c r="FT176" s="321" t="s">
        <v>11840</v>
      </c>
      <c r="FU176" s="214" t="s">
        <v>52</v>
      </c>
      <c r="FV176" s="214" t="s">
        <v>70</v>
      </c>
      <c r="FW176" s="214" t="s">
        <v>530</v>
      </c>
      <c r="FY176" s="321" t="s">
        <v>11841</v>
      </c>
      <c r="FZ176" s="214" t="s">
        <v>951</v>
      </c>
      <c r="GA176" s="214" t="s">
        <v>70</v>
      </c>
      <c r="GB176" s="214" t="s">
        <v>530</v>
      </c>
      <c r="GD176" s="321" t="s">
        <v>11842</v>
      </c>
      <c r="GE176" s="214" t="s">
        <v>145</v>
      </c>
      <c r="GF176" s="214" t="s">
        <v>70</v>
      </c>
      <c r="GG176" s="214" t="s">
        <v>530</v>
      </c>
      <c r="GI176" s="321" t="s">
        <v>11843</v>
      </c>
      <c r="GJ176" s="214" t="s">
        <v>204</v>
      </c>
      <c r="GK176" s="214" t="s">
        <v>70</v>
      </c>
      <c r="GL176" s="214" t="s">
        <v>530</v>
      </c>
      <c r="GN176" s="321" t="s">
        <v>11844</v>
      </c>
      <c r="GO176" s="214" t="s">
        <v>89</v>
      </c>
      <c r="GP176" s="214" t="s">
        <v>70</v>
      </c>
      <c r="GQ176" s="214" t="s">
        <v>530</v>
      </c>
      <c r="GS176" s="321" t="s">
        <v>11845</v>
      </c>
      <c r="GT176" s="214" t="s">
        <v>52</v>
      </c>
      <c r="GU176" s="214" t="s">
        <v>70</v>
      </c>
      <c r="GV176" s="214" t="s">
        <v>530</v>
      </c>
      <c r="GX176" s="214" t="s">
        <v>11846</v>
      </c>
      <c r="GY176" s="214" t="s">
        <v>21742</v>
      </c>
      <c r="GZ176" s="214" t="s">
        <v>70</v>
      </c>
      <c r="HA176" s="214" t="s">
        <v>530</v>
      </c>
      <c r="HC176" s="214" t="s">
        <v>11847</v>
      </c>
      <c r="HD176" s="214" t="s">
        <v>52</v>
      </c>
      <c r="HE176" s="214" t="s">
        <v>70</v>
      </c>
      <c r="HF176" s="214" t="s">
        <v>530</v>
      </c>
      <c r="HH176" s="214" t="s">
        <v>11848</v>
      </c>
      <c r="HI176" s="214" t="s">
        <v>604</v>
      </c>
      <c r="HJ176" s="214" t="s">
        <v>70</v>
      </c>
      <c r="HK176" s="214" t="s">
        <v>530</v>
      </c>
      <c r="HM176" s="214" t="s">
        <v>11849</v>
      </c>
      <c r="HN176" s="214" t="s">
        <v>34604</v>
      </c>
      <c r="HO176" s="214" t="s">
        <v>70</v>
      </c>
      <c r="HP176" s="214" t="s">
        <v>530</v>
      </c>
      <c r="HR176" s="22" t="s">
        <v>11850</v>
      </c>
      <c r="HS176" s="22" t="s">
        <v>34607</v>
      </c>
      <c r="HT176" s="22" t="s">
        <v>70</v>
      </c>
      <c r="HU176" s="214" t="s">
        <v>530</v>
      </c>
      <c r="HW176" s="22" t="s">
        <v>11851</v>
      </c>
      <c r="HX176" s="22" t="s">
        <v>52</v>
      </c>
      <c r="HY176" s="22" t="s">
        <v>70</v>
      </c>
      <c r="HZ176" s="214" t="s">
        <v>530</v>
      </c>
      <c r="IB176" s="22" t="s">
        <v>11852</v>
      </c>
      <c r="IC176" s="22" t="s">
        <v>34624</v>
      </c>
      <c r="ID176" s="22" t="s">
        <v>70</v>
      </c>
      <c r="IE176" s="214" t="s">
        <v>530</v>
      </c>
      <c r="IG176" s="22" t="s">
        <v>11853</v>
      </c>
      <c r="IH176" s="22" t="s">
        <v>34619</v>
      </c>
      <c r="II176" s="22" t="s">
        <v>70</v>
      </c>
      <c r="IJ176" s="214" t="s">
        <v>530</v>
      </c>
      <c r="IL176" s="22" t="s">
        <v>11854</v>
      </c>
      <c r="IM176" s="22" t="s">
        <v>145</v>
      </c>
      <c r="IN176" s="22" t="s">
        <v>70</v>
      </c>
      <c r="IO176" s="214" t="s">
        <v>530</v>
      </c>
      <c r="IQ176" s="236" t="s">
        <v>11855</v>
      </c>
      <c r="IR176" s="236" t="s">
        <v>145</v>
      </c>
      <c r="IS176" s="236" t="s">
        <v>74</v>
      </c>
      <c r="IT176" s="236" t="s">
        <v>841</v>
      </c>
      <c r="IV176" s="236" t="s">
        <v>11856</v>
      </c>
      <c r="IW176" s="236" t="s">
        <v>145</v>
      </c>
      <c r="IX176" s="236" t="s">
        <v>74</v>
      </c>
      <c r="IY176" s="236" t="s">
        <v>841</v>
      </c>
      <c r="JA176" s="236" t="s">
        <v>11857</v>
      </c>
      <c r="JB176" s="236" t="s">
        <v>145</v>
      </c>
      <c r="JC176" s="236" t="s">
        <v>74</v>
      </c>
      <c r="JD176" s="236" t="s">
        <v>841</v>
      </c>
      <c r="JF176" s="236" t="s">
        <v>11858</v>
      </c>
      <c r="JG176" s="236" t="s">
        <v>145</v>
      </c>
      <c r="JH176" s="236" t="s">
        <v>74</v>
      </c>
      <c r="JI176" s="236" t="s">
        <v>841</v>
      </c>
      <c r="JK176" s="236" t="s">
        <v>11859</v>
      </c>
      <c r="JL176" s="236" t="s">
        <v>145</v>
      </c>
      <c r="JM176" s="236" t="s">
        <v>74</v>
      </c>
      <c r="JN176" s="236" t="s">
        <v>841</v>
      </c>
      <c r="JP176" s="236" t="s">
        <v>11860</v>
      </c>
      <c r="JQ176" s="236" t="s">
        <v>145</v>
      </c>
      <c r="JR176" s="236" t="s">
        <v>74</v>
      </c>
      <c r="JS176" s="236" t="s">
        <v>841</v>
      </c>
      <c r="JU176" s="294" t="s">
        <v>11861</v>
      </c>
      <c r="JV176" s="294" t="s">
        <v>52</v>
      </c>
      <c r="JW176" s="263" t="s">
        <v>70</v>
      </c>
      <c r="JX176" s="294" t="s">
        <v>1083</v>
      </c>
      <c r="JZ176" s="263" t="s">
        <v>11862</v>
      </c>
      <c r="KA176" s="263" t="s">
        <v>145</v>
      </c>
      <c r="KB176" s="263" t="s">
        <v>70</v>
      </c>
      <c r="KC176" s="263" t="s">
        <v>1083</v>
      </c>
      <c r="KE176" s="263" t="s">
        <v>11863</v>
      </c>
      <c r="KF176" s="263" t="s">
        <v>52</v>
      </c>
      <c r="KG176" s="263" t="s">
        <v>70</v>
      </c>
      <c r="KH176" s="263" t="s">
        <v>1083</v>
      </c>
      <c r="KJ176" s="263" t="s">
        <v>11864</v>
      </c>
      <c r="KK176" s="263" t="s">
        <v>52</v>
      </c>
      <c r="KL176" s="263" t="s">
        <v>74</v>
      </c>
      <c r="KM176" s="263" t="s">
        <v>34074</v>
      </c>
      <c r="KO176" s="214" t="s">
        <v>11865</v>
      </c>
      <c r="KP176" s="214" t="s">
        <v>145</v>
      </c>
      <c r="KQ176" s="214" t="s">
        <v>70</v>
      </c>
      <c r="KR176" s="214" t="s">
        <v>67</v>
      </c>
      <c r="KT176" s="22" t="s">
        <v>11866</v>
      </c>
      <c r="KU176" s="22" t="s">
        <v>145</v>
      </c>
      <c r="KV176" s="22" t="s">
        <v>70</v>
      </c>
      <c r="KW176" s="22" t="s">
        <v>67</v>
      </c>
      <c r="KY176" s="214" t="s">
        <v>11867</v>
      </c>
      <c r="KZ176" s="214" t="s">
        <v>52</v>
      </c>
      <c r="LA176" s="214" t="s">
        <v>74</v>
      </c>
      <c r="LB176" s="214" t="s">
        <v>67</v>
      </c>
      <c r="LD176" s="22" t="s">
        <v>11868</v>
      </c>
      <c r="LE176" s="22" t="s">
        <v>145</v>
      </c>
      <c r="LF176" s="22" t="s">
        <v>70</v>
      </c>
      <c r="LG176" s="22" t="s">
        <v>67</v>
      </c>
    </row>
    <row r="177" spans="1:319">
      <c r="A177" s="22" t="s">
        <v>11869</v>
      </c>
      <c r="B177" s="218" t="s">
        <v>145</v>
      </c>
      <c r="C177" s="218" t="s">
        <v>75</v>
      </c>
      <c r="D177" s="218" t="s">
        <v>34672</v>
      </c>
      <c r="F177" s="23" t="s">
        <v>11870</v>
      </c>
      <c r="G177" s="23" t="str">
        <f>TVIIBE1M_CalPairs!$E174</f>
        <v>0xB0</v>
      </c>
      <c r="H177" s="23" t="s">
        <v>70</v>
      </c>
      <c r="I177" s="23" t="str">
        <f>TVIIBE1M_CalPairs!$C174</f>
        <v>BACKUP_CMD</v>
      </c>
      <c r="K177" s="22" t="s">
        <v>11871</v>
      </c>
      <c r="L177" s="22" t="s">
        <v>145</v>
      </c>
      <c r="M177" s="22" t="s">
        <v>70</v>
      </c>
      <c r="N177" s="22" t="s">
        <v>67</v>
      </c>
      <c r="P177" s="22" t="s">
        <v>11872</v>
      </c>
      <c r="Q177" s="22" t="s">
        <v>145</v>
      </c>
      <c r="R177" s="22" t="s">
        <v>70</v>
      </c>
      <c r="S177" s="22" t="s">
        <v>67</v>
      </c>
      <c r="U177" s="293" t="s">
        <v>11873</v>
      </c>
      <c r="V177" s="293" t="s">
        <v>145</v>
      </c>
      <c r="W177" s="293" t="s">
        <v>74</v>
      </c>
      <c r="X177" s="293" t="s">
        <v>656</v>
      </c>
      <c r="Z177" s="293" t="s">
        <v>11874</v>
      </c>
      <c r="AA177" s="293" t="s">
        <v>145</v>
      </c>
      <c r="AB177" s="293" t="s">
        <v>74</v>
      </c>
      <c r="AC177" s="293" t="s">
        <v>656</v>
      </c>
      <c r="AE177" s="293" t="s">
        <v>11875</v>
      </c>
      <c r="AF177" s="293" t="s">
        <v>145</v>
      </c>
      <c r="AG177" s="293" t="s">
        <v>74</v>
      </c>
      <c r="AH177" s="293" t="s">
        <v>656</v>
      </c>
      <c r="AJ177" s="293" t="s">
        <v>11876</v>
      </c>
      <c r="AK177" s="293" t="s">
        <v>145</v>
      </c>
      <c r="AL177" s="293" t="s">
        <v>74</v>
      </c>
      <c r="AM177" s="293" t="s">
        <v>656</v>
      </c>
      <c r="AO177" s="22" t="s">
        <v>11877</v>
      </c>
      <c r="AP177" s="22" t="s">
        <v>145</v>
      </c>
      <c r="AQ177" s="22" t="s">
        <v>70</v>
      </c>
      <c r="AR177" s="22" t="s">
        <v>67</v>
      </c>
      <c r="AT177" s="22" t="s">
        <v>11878</v>
      </c>
      <c r="AU177" s="22" t="s">
        <v>145</v>
      </c>
      <c r="AV177" s="22" t="s">
        <v>70</v>
      </c>
      <c r="AW177" s="22" t="s">
        <v>67</v>
      </c>
      <c r="AY177" s="22" t="s">
        <v>11879</v>
      </c>
      <c r="AZ177" s="22" t="s">
        <v>145</v>
      </c>
      <c r="BA177" s="22" t="s">
        <v>70</v>
      </c>
      <c r="BB177" s="22" t="s">
        <v>67</v>
      </c>
      <c r="BD177" s="22" t="s">
        <v>11880</v>
      </c>
      <c r="BE177" s="22" t="s">
        <v>145</v>
      </c>
      <c r="BF177" s="22" t="s">
        <v>70</v>
      </c>
      <c r="BG177" s="22" t="s">
        <v>67</v>
      </c>
      <c r="BI177" s="22" t="s">
        <v>11881</v>
      </c>
      <c r="BJ177" s="22" t="s">
        <v>145</v>
      </c>
      <c r="BK177" s="22" t="s">
        <v>70</v>
      </c>
      <c r="BL177" s="22" t="s">
        <v>67</v>
      </c>
      <c r="BN177" s="22" t="s">
        <v>11882</v>
      </c>
      <c r="BO177" s="22" t="s">
        <v>145</v>
      </c>
      <c r="BP177" s="22" t="s">
        <v>70</v>
      </c>
      <c r="BQ177" s="22" t="s">
        <v>67</v>
      </c>
      <c r="BS177" s="22" t="s">
        <v>11883</v>
      </c>
      <c r="BT177" s="22" t="s">
        <v>145</v>
      </c>
      <c r="BU177" s="22" t="s">
        <v>70</v>
      </c>
      <c r="BV177" s="214" t="s">
        <v>530</v>
      </c>
      <c r="BX177" s="22" t="s">
        <v>11884</v>
      </c>
      <c r="BY177" s="22" t="s">
        <v>145</v>
      </c>
      <c r="BZ177" s="22" t="s">
        <v>70</v>
      </c>
      <c r="CA177" s="214" t="s">
        <v>530</v>
      </c>
      <c r="CC177" s="214" t="s">
        <v>11885</v>
      </c>
      <c r="CD177" s="218" t="s">
        <v>145</v>
      </c>
      <c r="CE177" s="214" t="s">
        <v>70</v>
      </c>
      <c r="CF177" s="214" t="s">
        <v>537</v>
      </c>
      <c r="CH177" s="214" t="s">
        <v>11886</v>
      </c>
      <c r="CI177" s="214" t="s">
        <v>89</v>
      </c>
      <c r="CJ177" s="214" t="s">
        <v>70</v>
      </c>
      <c r="CK177" s="214" t="s">
        <v>530</v>
      </c>
      <c r="CM177" s="322" t="s">
        <v>11887</v>
      </c>
      <c r="CN177" s="214" t="s">
        <v>529</v>
      </c>
      <c r="CO177" s="214" t="s">
        <v>70</v>
      </c>
      <c r="CP177" s="214" t="s">
        <v>530</v>
      </c>
      <c r="CR177" s="214" t="s">
        <v>11888</v>
      </c>
      <c r="CS177" s="214" t="s">
        <v>34618</v>
      </c>
      <c r="CT177" s="214" t="s">
        <v>70</v>
      </c>
      <c r="CU177" s="214" t="s">
        <v>530</v>
      </c>
      <c r="CW177" s="214" t="s">
        <v>11889</v>
      </c>
      <c r="CX177" s="214" t="s">
        <v>484</v>
      </c>
      <c r="CY177" s="214" t="s">
        <v>70</v>
      </c>
      <c r="CZ177" s="214" t="s">
        <v>530</v>
      </c>
      <c r="DB177" s="214" t="s">
        <v>11890</v>
      </c>
      <c r="DC177" s="214" t="s">
        <v>163</v>
      </c>
      <c r="DD177" s="214" t="s">
        <v>70</v>
      </c>
      <c r="DE177" s="214" t="s">
        <v>530</v>
      </c>
      <c r="DG177" s="214" t="s">
        <v>11891</v>
      </c>
      <c r="DH177" s="214" t="s">
        <v>146</v>
      </c>
      <c r="DI177" s="214" t="s">
        <v>70</v>
      </c>
      <c r="DJ177" s="214" t="s">
        <v>530</v>
      </c>
      <c r="DL177" s="214" t="s">
        <v>11892</v>
      </c>
      <c r="DM177" s="214" t="s">
        <v>492</v>
      </c>
      <c r="DN177" s="214" t="s">
        <v>70</v>
      </c>
      <c r="DO177" s="214" t="s">
        <v>530</v>
      </c>
      <c r="DQ177" s="214" t="s">
        <v>11893</v>
      </c>
      <c r="DR177" s="214" t="s">
        <v>87</v>
      </c>
      <c r="DS177" s="214" t="s">
        <v>70</v>
      </c>
      <c r="DT177" s="214" t="s">
        <v>530</v>
      </c>
      <c r="DV177" s="214" t="s">
        <v>11894</v>
      </c>
      <c r="DW177" s="214" t="s">
        <v>34629</v>
      </c>
      <c r="DX177" s="214" t="s">
        <v>70</v>
      </c>
      <c r="DY177" s="214" t="s">
        <v>530</v>
      </c>
      <c r="EA177" s="214" t="s">
        <v>11895</v>
      </c>
      <c r="EB177" s="214" t="s">
        <v>34073</v>
      </c>
      <c r="EC177" s="214" t="s">
        <v>70</v>
      </c>
      <c r="ED177" s="214" t="s">
        <v>530</v>
      </c>
      <c r="EF177" s="214" t="s">
        <v>11896</v>
      </c>
      <c r="EG177" s="214" t="s">
        <v>52</v>
      </c>
      <c r="EH177" s="214" t="s">
        <v>70</v>
      </c>
      <c r="EI177" s="214" t="s">
        <v>530</v>
      </c>
      <c r="EK177" s="214" t="s">
        <v>11897</v>
      </c>
      <c r="EL177" s="214" t="s">
        <v>34544</v>
      </c>
      <c r="EM177" s="214" t="s">
        <v>70</v>
      </c>
      <c r="EN177" s="214" t="s">
        <v>530</v>
      </c>
      <c r="EP177" s="214" t="s">
        <v>11898</v>
      </c>
      <c r="EQ177" s="214" t="s">
        <v>491</v>
      </c>
      <c r="ER177" s="214" t="s">
        <v>70</v>
      </c>
      <c r="ES177" s="214" t="s">
        <v>530</v>
      </c>
      <c r="EU177" s="214" t="s">
        <v>11899</v>
      </c>
      <c r="EV177" s="214" t="s">
        <v>204</v>
      </c>
      <c r="EW177" s="214" t="s">
        <v>70</v>
      </c>
      <c r="EX177" s="214" t="s">
        <v>530</v>
      </c>
      <c r="EZ177" s="214" t="s">
        <v>11900</v>
      </c>
      <c r="FA177" s="214" t="s">
        <v>468</v>
      </c>
      <c r="FB177" s="214" t="s">
        <v>70</v>
      </c>
      <c r="FC177" s="214" t="s">
        <v>530</v>
      </c>
      <c r="FE177" s="214" t="s">
        <v>11901</v>
      </c>
      <c r="FF177" s="214" t="s">
        <v>922</v>
      </c>
      <c r="FG177" s="214" t="s">
        <v>70</v>
      </c>
      <c r="FH177" s="214" t="s">
        <v>530</v>
      </c>
      <c r="FJ177" s="321" t="s">
        <v>11902</v>
      </c>
      <c r="FK177" s="214" t="s">
        <v>34580</v>
      </c>
      <c r="FL177" s="214" t="s">
        <v>70</v>
      </c>
      <c r="FM177" s="214" t="s">
        <v>530</v>
      </c>
      <c r="FO177" s="321" t="s">
        <v>11903</v>
      </c>
      <c r="FP177" s="214" t="s">
        <v>950</v>
      </c>
      <c r="FQ177" s="214" t="s">
        <v>70</v>
      </c>
      <c r="FR177" s="214" t="s">
        <v>530</v>
      </c>
      <c r="FT177" s="321" t="s">
        <v>11904</v>
      </c>
      <c r="FU177" s="214" t="s">
        <v>203</v>
      </c>
      <c r="FV177" s="214" t="s">
        <v>70</v>
      </c>
      <c r="FW177" s="214" t="s">
        <v>530</v>
      </c>
      <c r="FY177" s="321" t="s">
        <v>11905</v>
      </c>
      <c r="FZ177" s="214" t="s">
        <v>34567</v>
      </c>
      <c r="GA177" s="214" t="s">
        <v>70</v>
      </c>
      <c r="GB177" s="214" t="s">
        <v>530</v>
      </c>
      <c r="GD177" s="321" t="s">
        <v>11906</v>
      </c>
      <c r="GE177" s="214" t="s">
        <v>34541</v>
      </c>
      <c r="GF177" s="214" t="s">
        <v>70</v>
      </c>
      <c r="GG177" s="214" t="s">
        <v>530</v>
      </c>
      <c r="GI177" s="321" t="s">
        <v>11907</v>
      </c>
      <c r="GJ177" s="214" t="s">
        <v>146</v>
      </c>
      <c r="GK177" s="214" t="s">
        <v>70</v>
      </c>
      <c r="GL177" s="214" t="s">
        <v>530</v>
      </c>
      <c r="GN177" s="321" t="s">
        <v>11908</v>
      </c>
      <c r="GO177" s="214" t="s">
        <v>52</v>
      </c>
      <c r="GP177" s="214" t="s">
        <v>70</v>
      </c>
      <c r="GQ177" s="214" t="s">
        <v>530</v>
      </c>
      <c r="GS177" s="321" t="s">
        <v>11909</v>
      </c>
      <c r="GT177" s="214" t="s">
        <v>502</v>
      </c>
      <c r="GU177" s="214" t="s">
        <v>70</v>
      </c>
      <c r="GV177" s="214" t="s">
        <v>530</v>
      </c>
      <c r="GX177" s="214" t="s">
        <v>11910</v>
      </c>
      <c r="GY177" s="214" t="s">
        <v>501</v>
      </c>
      <c r="GZ177" s="214" t="s">
        <v>70</v>
      </c>
      <c r="HA177" s="214" t="s">
        <v>530</v>
      </c>
      <c r="HC177" s="214" t="s">
        <v>11911</v>
      </c>
      <c r="HD177" s="214" t="s">
        <v>206</v>
      </c>
      <c r="HE177" s="214" t="s">
        <v>70</v>
      </c>
      <c r="HF177" s="214" t="s">
        <v>530</v>
      </c>
      <c r="HH177" s="214" t="s">
        <v>11912</v>
      </c>
      <c r="HI177" s="214" t="s">
        <v>486</v>
      </c>
      <c r="HJ177" s="214" t="s">
        <v>70</v>
      </c>
      <c r="HK177" s="214" t="s">
        <v>530</v>
      </c>
      <c r="HM177" s="214" t="s">
        <v>11913</v>
      </c>
      <c r="HN177" s="214" t="s">
        <v>34567</v>
      </c>
      <c r="HO177" s="214" t="s">
        <v>70</v>
      </c>
      <c r="HP177" s="214" t="s">
        <v>530</v>
      </c>
      <c r="HR177" s="22" t="s">
        <v>11914</v>
      </c>
      <c r="HS177" s="22" t="s">
        <v>52</v>
      </c>
      <c r="HT177" s="22" t="s">
        <v>70</v>
      </c>
      <c r="HU177" s="214" t="s">
        <v>530</v>
      </c>
      <c r="HW177" s="22" t="s">
        <v>11915</v>
      </c>
      <c r="HX177" s="22" t="s">
        <v>954</v>
      </c>
      <c r="HY177" s="22" t="s">
        <v>70</v>
      </c>
      <c r="HZ177" s="214" t="s">
        <v>530</v>
      </c>
      <c r="IB177" s="22" t="s">
        <v>11916</v>
      </c>
      <c r="IC177" s="22" t="s">
        <v>103</v>
      </c>
      <c r="ID177" s="22" t="s">
        <v>70</v>
      </c>
      <c r="IE177" s="214" t="s">
        <v>530</v>
      </c>
      <c r="IG177" s="22" t="s">
        <v>11917</v>
      </c>
      <c r="IH177" s="22" t="s">
        <v>34213</v>
      </c>
      <c r="II177" s="22" t="s">
        <v>70</v>
      </c>
      <c r="IJ177" s="214" t="s">
        <v>530</v>
      </c>
      <c r="IL177" s="22" t="s">
        <v>11918</v>
      </c>
      <c r="IM177" s="22" t="s">
        <v>145</v>
      </c>
      <c r="IN177" s="22" t="s">
        <v>70</v>
      </c>
      <c r="IO177" s="214" t="s">
        <v>530</v>
      </c>
      <c r="IQ177" s="236" t="s">
        <v>11919</v>
      </c>
      <c r="IR177" s="236" t="s">
        <v>145</v>
      </c>
      <c r="IS177" s="236" t="s">
        <v>74</v>
      </c>
      <c r="IT177" s="236" t="s">
        <v>841</v>
      </c>
      <c r="IV177" s="236" t="s">
        <v>11920</v>
      </c>
      <c r="IW177" s="236" t="s">
        <v>145</v>
      </c>
      <c r="IX177" s="236" t="s">
        <v>74</v>
      </c>
      <c r="IY177" s="236" t="s">
        <v>841</v>
      </c>
      <c r="JA177" s="236" t="s">
        <v>11921</v>
      </c>
      <c r="JB177" s="236" t="s">
        <v>145</v>
      </c>
      <c r="JC177" s="236" t="s">
        <v>74</v>
      </c>
      <c r="JD177" s="236" t="s">
        <v>841</v>
      </c>
      <c r="JF177" s="236" t="s">
        <v>11922</v>
      </c>
      <c r="JG177" s="236" t="s">
        <v>145</v>
      </c>
      <c r="JH177" s="236" t="s">
        <v>74</v>
      </c>
      <c r="JI177" s="236" t="s">
        <v>841</v>
      </c>
      <c r="JK177" s="236" t="s">
        <v>11923</v>
      </c>
      <c r="JL177" s="236" t="s">
        <v>145</v>
      </c>
      <c r="JM177" s="236" t="s">
        <v>74</v>
      </c>
      <c r="JN177" s="236" t="s">
        <v>841</v>
      </c>
      <c r="JP177" s="236" t="s">
        <v>11924</v>
      </c>
      <c r="JQ177" s="236" t="s">
        <v>145</v>
      </c>
      <c r="JR177" s="236" t="s">
        <v>74</v>
      </c>
      <c r="JS177" s="236" t="s">
        <v>841</v>
      </c>
      <c r="JU177" s="294" t="s">
        <v>11925</v>
      </c>
      <c r="JV177" s="294" t="s">
        <v>52</v>
      </c>
      <c r="JW177" s="263" t="s">
        <v>70</v>
      </c>
      <c r="JX177" s="294" t="s">
        <v>1083</v>
      </c>
      <c r="JZ177" s="263" t="s">
        <v>11926</v>
      </c>
      <c r="KA177" s="263" t="s">
        <v>145</v>
      </c>
      <c r="KB177" s="263" t="s">
        <v>70</v>
      </c>
      <c r="KC177" s="263" t="s">
        <v>1083</v>
      </c>
      <c r="KE177" s="263" t="s">
        <v>11927</v>
      </c>
      <c r="KF177" s="263" t="s">
        <v>52</v>
      </c>
      <c r="KG177" s="263" t="s">
        <v>70</v>
      </c>
      <c r="KH177" s="263" t="s">
        <v>1083</v>
      </c>
      <c r="KJ177" s="263" t="s">
        <v>11928</v>
      </c>
      <c r="KK177" s="263" t="s">
        <v>52</v>
      </c>
      <c r="KL177" s="263" t="s">
        <v>74</v>
      </c>
      <c r="KM177" s="263" t="s">
        <v>34074</v>
      </c>
      <c r="KO177" s="214" t="s">
        <v>11929</v>
      </c>
      <c r="KP177" s="214" t="s">
        <v>145</v>
      </c>
      <c r="KQ177" s="214" t="s">
        <v>70</v>
      </c>
      <c r="KR177" s="214" t="s">
        <v>67</v>
      </c>
      <c r="KT177" s="22" t="s">
        <v>11930</v>
      </c>
      <c r="KU177" s="22" t="s">
        <v>145</v>
      </c>
      <c r="KV177" s="22" t="s">
        <v>70</v>
      </c>
      <c r="KW177" s="22" t="s">
        <v>67</v>
      </c>
      <c r="KY177" s="214" t="s">
        <v>11931</v>
      </c>
      <c r="KZ177" s="214" t="s">
        <v>52</v>
      </c>
      <c r="LA177" s="214" t="s">
        <v>74</v>
      </c>
      <c r="LB177" s="214" t="s">
        <v>67</v>
      </c>
      <c r="LD177" s="22" t="s">
        <v>11932</v>
      </c>
      <c r="LE177" s="22" t="s">
        <v>145</v>
      </c>
      <c r="LF177" s="22" t="s">
        <v>70</v>
      </c>
      <c r="LG177" s="22" t="s">
        <v>67</v>
      </c>
    </row>
    <row r="178" spans="1:319">
      <c r="A178" s="22" t="s">
        <v>11933</v>
      </c>
      <c r="B178" s="218" t="s">
        <v>145</v>
      </c>
      <c r="C178" s="218" t="s">
        <v>75</v>
      </c>
      <c r="D178" s="218" t="s">
        <v>34673</v>
      </c>
      <c r="F178" s="23" t="s">
        <v>11934</v>
      </c>
      <c r="G178" s="23" t="str">
        <f>TVIIBE1M_CalPairs!$E175</f>
        <v>0x00</v>
      </c>
      <c r="H178" s="23" t="s">
        <v>70</v>
      </c>
      <c r="I178" s="23" t="str">
        <f>TVIIBE1M_CalPairs!$C175</f>
        <v>BACKUP_ADDR0</v>
      </c>
      <c r="K178" s="22" t="s">
        <v>11935</v>
      </c>
      <c r="L178" s="22" t="s">
        <v>145</v>
      </c>
      <c r="M178" s="22" t="s">
        <v>70</v>
      </c>
      <c r="N178" s="22" t="s">
        <v>67</v>
      </c>
      <c r="P178" s="22" t="s">
        <v>11936</v>
      </c>
      <c r="Q178" s="22" t="s">
        <v>145</v>
      </c>
      <c r="R178" s="22" t="s">
        <v>70</v>
      </c>
      <c r="S178" s="22" t="s">
        <v>67</v>
      </c>
      <c r="U178" s="293" t="s">
        <v>11937</v>
      </c>
      <c r="V178" s="293" t="s">
        <v>145</v>
      </c>
      <c r="W178" s="293" t="s">
        <v>74</v>
      </c>
      <c r="X178" s="293" t="s">
        <v>656</v>
      </c>
      <c r="Z178" s="293" t="s">
        <v>11938</v>
      </c>
      <c r="AA178" s="293" t="s">
        <v>145</v>
      </c>
      <c r="AB178" s="293" t="s">
        <v>74</v>
      </c>
      <c r="AC178" s="293" t="s">
        <v>656</v>
      </c>
      <c r="AE178" s="293" t="s">
        <v>11939</v>
      </c>
      <c r="AF178" s="293" t="s">
        <v>145</v>
      </c>
      <c r="AG178" s="293" t="s">
        <v>74</v>
      </c>
      <c r="AH178" s="293" t="s">
        <v>656</v>
      </c>
      <c r="AJ178" s="293" t="s">
        <v>11940</v>
      </c>
      <c r="AK178" s="293" t="s">
        <v>145</v>
      </c>
      <c r="AL178" s="293" t="s">
        <v>74</v>
      </c>
      <c r="AM178" s="293" t="s">
        <v>656</v>
      </c>
      <c r="AO178" s="22" t="s">
        <v>11941</v>
      </c>
      <c r="AP178" s="22" t="s">
        <v>145</v>
      </c>
      <c r="AQ178" s="22" t="s">
        <v>70</v>
      </c>
      <c r="AR178" s="22" t="s">
        <v>67</v>
      </c>
      <c r="AT178" s="22" t="s">
        <v>11942</v>
      </c>
      <c r="AU178" s="22" t="s">
        <v>145</v>
      </c>
      <c r="AV178" s="22" t="s">
        <v>70</v>
      </c>
      <c r="AW178" s="22" t="s">
        <v>67</v>
      </c>
      <c r="AY178" s="22" t="s">
        <v>11943</v>
      </c>
      <c r="AZ178" s="22" t="s">
        <v>145</v>
      </c>
      <c r="BA178" s="22" t="s">
        <v>70</v>
      </c>
      <c r="BB178" s="22" t="s">
        <v>67</v>
      </c>
      <c r="BD178" s="22" t="s">
        <v>11944</v>
      </c>
      <c r="BE178" s="22" t="s">
        <v>145</v>
      </c>
      <c r="BF178" s="22" t="s">
        <v>70</v>
      </c>
      <c r="BG178" s="22" t="s">
        <v>67</v>
      </c>
      <c r="BI178" s="22" t="s">
        <v>11945</v>
      </c>
      <c r="BJ178" s="22" t="s">
        <v>145</v>
      </c>
      <c r="BK178" s="22" t="s">
        <v>70</v>
      </c>
      <c r="BL178" s="22" t="s">
        <v>67</v>
      </c>
      <c r="BN178" s="22" t="s">
        <v>11946</v>
      </c>
      <c r="BO178" s="22" t="s">
        <v>145</v>
      </c>
      <c r="BP178" s="22" t="s">
        <v>70</v>
      </c>
      <c r="BQ178" s="22" t="s">
        <v>67</v>
      </c>
      <c r="BS178" s="22" t="s">
        <v>11947</v>
      </c>
      <c r="BT178" s="22" t="s">
        <v>145</v>
      </c>
      <c r="BU178" s="22" t="s">
        <v>70</v>
      </c>
      <c r="BV178" s="214" t="s">
        <v>530</v>
      </c>
      <c r="BX178" s="22" t="s">
        <v>11948</v>
      </c>
      <c r="BY178" s="22" t="s">
        <v>145</v>
      </c>
      <c r="BZ178" s="22" t="s">
        <v>70</v>
      </c>
      <c r="CA178" s="214" t="s">
        <v>530</v>
      </c>
      <c r="CC178" s="214" t="s">
        <v>11949</v>
      </c>
      <c r="CD178" s="218" t="s">
        <v>145</v>
      </c>
      <c r="CE178" s="214" t="s">
        <v>70</v>
      </c>
      <c r="CF178" s="214" t="s">
        <v>538</v>
      </c>
      <c r="CH178" s="214" t="s">
        <v>11950</v>
      </c>
      <c r="CI178" s="214" t="s">
        <v>484</v>
      </c>
      <c r="CJ178" s="214" t="s">
        <v>70</v>
      </c>
      <c r="CK178" s="214" t="s">
        <v>530</v>
      </c>
      <c r="CM178" s="322" t="s">
        <v>11951</v>
      </c>
      <c r="CN178" s="214" t="s">
        <v>488</v>
      </c>
      <c r="CO178" s="214" t="s">
        <v>70</v>
      </c>
      <c r="CP178" s="214" t="s">
        <v>530</v>
      </c>
      <c r="CR178" s="214" t="s">
        <v>11952</v>
      </c>
      <c r="CS178" s="214" t="s">
        <v>34545</v>
      </c>
      <c r="CT178" s="214" t="s">
        <v>70</v>
      </c>
      <c r="CU178" s="214" t="s">
        <v>530</v>
      </c>
      <c r="CW178" s="214" t="s">
        <v>11953</v>
      </c>
      <c r="CX178" s="214" t="s">
        <v>34618</v>
      </c>
      <c r="CY178" s="214" t="s">
        <v>70</v>
      </c>
      <c r="CZ178" s="214" t="s">
        <v>530</v>
      </c>
      <c r="DB178" s="214" t="s">
        <v>11954</v>
      </c>
      <c r="DC178" s="214" t="s">
        <v>148</v>
      </c>
      <c r="DD178" s="214" t="s">
        <v>70</v>
      </c>
      <c r="DE178" s="214" t="s">
        <v>530</v>
      </c>
      <c r="DG178" s="214" t="s">
        <v>11955</v>
      </c>
      <c r="DH178" s="214" t="s">
        <v>85</v>
      </c>
      <c r="DI178" s="214" t="s">
        <v>70</v>
      </c>
      <c r="DJ178" s="214" t="s">
        <v>530</v>
      </c>
      <c r="DL178" s="214" t="s">
        <v>11956</v>
      </c>
      <c r="DM178" s="214" t="s">
        <v>305</v>
      </c>
      <c r="DN178" s="214" t="s">
        <v>70</v>
      </c>
      <c r="DO178" s="214" t="s">
        <v>530</v>
      </c>
      <c r="DQ178" s="214" t="s">
        <v>11957</v>
      </c>
      <c r="DR178" s="214" t="s">
        <v>88</v>
      </c>
      <c r="DS178" s="214" t="s">
        <v>70</v>
      </c>
      <c r="DT178" s="214" t="s">
        <v>530</v>
      </c>
      <c r="DV178" s="214" t="s">
        <v>11958</v>
      </c>
      <c r="DW178" s="214" t="s">
        <v>916</v>
      </c>
      <c r="DX178" s="214" t="s">
        <v>70</v>
      </c>
      <c r="DY178" s="214" t="s">
        <v>530</v>
      </c>
      <c r="EA178" s="214" t="s">
        <v>11959</v>
      </c>
      <c r="EB178" s="214" t="s">
        <v>34578</v>
      </c>
      <c r="EC178" s="214" t="s">
        <v>70</v>
      </c>
      <c r="ED178" s="214" t="s">
        <v>530</v>
      </c>
      <c r="EF178" s="214" t="s">
        <v>11960</v>
      </c>
      <c r="EG178" s="214" t="s">
        <v>34537</v>
      </c>
      <c r="EH178" s="214" t="s">
        <v>70</v>
      </c>
      <c r="EI178" s="214" t="s">
        <v>530</v>
      </c>
      <c r="EK178" s="214" t="s">
        <v>11961</v>
      </c>
      <c r="EL178" s="214" t="s">
        <v>148</v>
      </c>
      <c r="EM178" s="214" t="s">
        <v>70</v>
      </c>
      <c r="EN178" s="214" t="s">
        <v>530</v>
      </c>
      <c r="EP178" s="214" t="s">
        <v>11962</v>
      </c>
      <c r="EQ178" s="214" t="s">
        <v>52</v>
      </c>
      <c r="ER178" s="214" t="s">
        <v>70</v>
      </c>
      <c r="ES178" s="214" t="s">
        <v>530</v>
      </c>
      <c r="EU178" s="214" t="s">
        <v>11963</v>
      </c>
      <c r="EV178" s="214" t="s">
        <v>502</v>
      </c>
      <c r="EW178" s="214" t="s">
        <v>70</v>
      </c>
      <c r="EX178" s="214" t="s">
        <v>530</v>
      </c>
      <c r="EZ178" s="214" t="s">
        <v>11964</v>
      </c>
      <c r="FA178" s="214" t="s">
        <v>52</v>
      </c>
      <c r="FB178" s="214" t="s">
        <v>70</v>
      </c>
      <c r="FC178" s="214" t="s">
        <v>530</v>
      </c>
      <c r="FE178" s="214" t="s">
        <v>11965</v>
      </c>
      <c r="FF178" s="214" t="s">
        <v>921</v>
      </c>
      <c r="FG178" s="214" t="s">
        <v>70</v>
      </c>
      <c r="FH178" s="214" t="s">
        <v>530</v>
      </c>
      <c r="FJ178" s="321" t="s">
        <v>11966</v>
      </c>
      <c r="FK178" s="214" t="s">
        <v>599</v>
      </c>
      <c r="FL178" s="214" t="s">
        <v>70</v>
      </c>
      <c r="FM178" s="214" t="s">
        <v>530</v>
      </c>
      <c r="FO178" s="321" t="s">
        <v>11967</v>
      </c>
      <c r="FP178" s="214" t="s">
        <v>52</v>
      </c>
      <c r="FQ178" s="214" t="s">
        <v>70</v>
      </c>
      <c r="FR178" s="214" t="s">
        <v>530</v>
      </c>
      <c r="FT178" s="321" t="s">
        <v>11968</v>
      </c>
      <c r="FU178" s="214" t="s">
        <v>483</v>
      </c>
      <c r="FV178" s="214" t="s">
        <v>70</v>
      </c>
      <c r="FW178" s="214" t="s">
        <v>530</v>
      </c>
      <c r="FY178" s="321" t="s">
        <v>11969</v>
      </c>
      <c r="FZ178" s="214" t="s">
        <v>34544</v>
      </c>
      <c r="GA178" s="214" t="s">
        <v>70</v>
      </c>
      <c r="GB178" s="214" t="s">
        <v>530</v>
      </c>
      <c r="GD178" s="321" t="s">
        <v>11970</v>
      </c>
      <c r="GE178" s="214" t="s">
        <v>34549</v>
      </c>
      <c r="GF178" s="214" t="s">
        <v>70</v>
      </c>
      <c r="GG178" s="214" t="s">
        <v>530</v>
      </c>
      <c r="GI178" s="321" t="s">
        <v>11971</v>
      </c>
      <c r="GJ178" s="214" t="s">
        <v>87</v>
      </c>
      <c r="GK178" s="214" t="s">
        <v>70</v>
      </c>
      <c r="GL178" s="214" t="s">
        <v>530</v>
      </c>
      <c r="GN178" s="321" t="s">
        <v>11972</v>
      </c>
      <c r="GO178" s="214" t="s">
        <v>10541</v>
      </c>
      <c r="GP178" s="214" t="s">
        <v>70</v>
      </c>
      <c r="GQ178" s="214" t="s">
        <v>530</v>
      </c>
      <c r="GS178" s="321" t="s">
        <v>11973</v>
      </c>
      <c r="GT178" s="214" t="s">
        <v>468</v>
      </c>
      <c r="GU178" s="214" t="s">
        <v>70</v>
      </c>
      <c r="GV178" s="214" t="s">
        <v>530</v>
      </c>
      <c r="GX178" s="214" t="s">
        <v>11974</v>
      </c>
      <c r="GY178" s="214" t="s">
        <v>916</v>
      </c>
      <c r="GZ178" s="214" t="s">
        <v>70</v>
      </c>
      <c r="HA178" s="214" t="s">
        <v>530</v>
      </c>
      <c r="HC178" s="214" t="s">
        <v>11975</v>
      </c>
      <c r="HD178" s="214" t="s">
        <v>491</v>
      </c>
      <c r="HE178" s="214" t="s">
        <v>70</v>
      </c>
      <c r="HF178" s="214" t="s">
        <v>530</v>
      </c>
      <c r="HH178" s="214" t="s">
        <v>11976</v>
      </c>
      <c r="HI178" s="214" t="s">
        <v>912</v>
      </c>
      <c r="HJ178" s="214" t="s">
        <v>70</v>
      </c>
      <c r="HK178" s="214" t="s">
        <v>530</v>
      </c>
      <c r="HM178" s="214" t="s">
        <v>11977</v>
      </c>
      <c r="HN178" s="214" t="s">
        <v>52</v>
      </c>
      <c r="HO178" s="214" t="s">
        <v>70</v>
      </c>
      <c r="HP178" s="214" t="s">
        <v>530</v>
      </c>
      <c r="HR178" s="22" t="s">
        <v>11978</v>
      </c>
      <c r="HS178" s="22" t="s">
        <v>34583</v>
      </c>
      <c r="HT178" s="22" t="s">
        <v>70</v>
      </c>
      <c r="HU178" s="214" t="s">
        <v>530</v>
      </c>
      <c r="HW178" s="22" t="s">
        <v>11979</v>
      </c>
      <c r="HX178" s="22" t="s">
        <v>604</v>
      </c>
      <c r="HY178" s="22" t="s">
        <v>70</v>
      </c>
      <c r="HZ178" s="214" t="s">
        <v>530</v>
      </c>
      <c r="IB178" s="22" t="s">
        <v>11980</v>
      </c>
      <c r="IC178" s="22" t="s">
        <v>85</v>
      </c>
      <c r="ID178" s="22" t="s">
        <v>70</v>
      </c>
      <c r="IE178" s="214" t="s">
        <v>530</v>
      </c>
      <c r="IG178" s="22" t="s">
        <v>11981</v>
      </c>
      <c r="IH178" s="22" t="s">
        <v>34645</v>
      </c>
      <c r="II178" s="22" t="s">
        <v>70</v>
      </c>
      <c r="IJ178" s="214" t="s">
        <v>530</v>
      </c>
      <c r="IL178" s="22" t="s">
        <v>11982</v>
      </c>
      <c r="IM178" s="22" t="s">
        <v>145</v>
      </c>
      <c r="IN178" s="22" t="s">
        <v>70</v>
      </c>
      <c r="IO178" s="214" t="s">
        <v>530</v>
      </c>
      <c r="IQ178" s="236" t="s">
        <v>11983</v>
      </c>
      <c r="IR178" s="236" t="s">
        <v>145</v>
      </c>
      <c r="IS178" s="236" t="s">
        <v>74</v>
      </c>
      <c r="IT178" s="236" t="s">
        <v>841</v>
      </c>
      <c r="IV178" s="236" t="s">
        <v>11984</v>
      </c>
      <c r="IW178" s="236" t="s">
        <v>145</v>
      </c>
      <c r="IX178" s="236" t="s">
        <v>74</v>
      </c>
      <c r="IY178" s="236" t="s">
        <v>841</v>
      </c>
      <c r="JA178" s="236" t="s">
        <v>11985</v>
      </c>
      <c r="JB178" s="236" t="s">
        <v>145</v>
      </c>
      <c r="JC178" s="236" t="s">
        <v>74</v>
      </c>
      <c r="JD178" s="236" t="s">
        <v>841</v>
      </c>
      <c r="JF178" s="236" t="s">
        <v>11986</v>
      </c>
      <c r="JG178" s="236" t="s">
        <v>145</v>
      </c>
      <c r="JH178" s="236" t="s">
        <v>74</v>
      </c>
      <c r="JI178" s="236" t="s">
        <v>841</v>
      </c>
      <c r="JK178" s="236" t="s">
        <v>11987</v>
      </c>
      <c r="JL178" s="236" t="s">
        <v>145</v>
      </c>
      <c r="JM178" s="236" t="s">
        <v>74</v>
      </c>
      <c r="JN178" s="236" t="s">
        <v>841</v>
      </c>
      <c r="JP178" s="236" t="s">
        <v>11988</v>
      </c>
      <c r="JQ178" s="236" t="s">
        <v>145</v>
      </c>
      <c r="JR178" s="236" t="s">
        <v>74</v>
      </c>
      <c r="JS178" s="236" t="s">
        <v>841</v>
      </c>
      <c r="JU178" s="294" t="s">
        <v>11989</v>
      </c>
      <c r="JV178" s="294" t="s">
        <v>52</v>
      </c>
      <c r="JW178" s="263" t="s">
        <v>70</v>
      </c>
      <c r="JX178" s="294" t="s">
        <v>1083</v>
      </c>
      <c r="JZ178" s="263" t="s">
        <v>11990</v>
      </c>
      <c r="KA178" s="263" t="s">
        <v>145</v>
      </c>
      <c r="KB178" s="263" t="s">
        <v>70</v>
      </c>
      <c r="KC178" s="263" t="s">
        <v>1083</v>
      </c>
      <c r="KE178" s="263" t="s">
        <v>11991</v>
      </c>
      <c r="KF178" s="263" t="s">
        <v>52</v>
      </c>
      <c r="KG178" s="263" t="s">
        <v>70</v>
      </c>
      <c r="KH178" s="263" t="s">
        <v>1083</v>
      </c>
      <c r="KJ178" s="263" t="s">
        <v>11992</v>
      </c>
      <c r="KK178" s="263" t="s">
        <v>52</v>
      </c>
      <c r="KL178" s="263" t="s">
        <v>74</v>
      </c>
      <c r="KM178" s="263" t="s">
        <v>34074</v>
      </c>
      <c r="KO178" s="214" t="s">
        <v>11993</v>
      </c>
      <c r="KP178" s="214" t="s">
        <v>145</v>
      </c>
      <c r="KQ178" s="214" t="s">
        <v>70</v>
      </c>
      <c r="KR178" s="214" t="s">
        <v>67</v>
      </c>
      <c r="KT178" s="22" t="s">
        <v>11994</v>
      </c>
      <c r="KU178" s="22" t="s">
        <v>145</v>
      </c>
      <c r="KV178" s="22" t="s">
        <v>70</v>
      </c>
      <c r="KW178" s="22" t="s">
        <v>67</v>
      </c>
      <c r="KY178" s="214" t="s">
        <v>11995</v>
      </c>
      <c r="KZ178" s="214" t="s">
        <v>52</v>
      </c>
      <c r="LA178" s="214" t="s">
        <v>74</v>
      </c>
      <c r="LB178" s="214" t="s">
        <v>67</v>
      </c>
      <c r="LD178" s="22" t="s">
        <v>11996</v>
      </c>
      <c r="LE178" s="22" t="s">
        <v>145</v>
      </c>
      <c r="LF178" s="22" t="s">
        <v>70</v>
      </c>
      <c r="LG178" s="22" t="s">
        <v>67</v>
      </c>
    </row>
    <row r="179" spans="1:319">
      <c r="A179" s="22" t="s">
        <v>11997</v>
      </c>
      <c r="B179" s="218" t="s">
        <v>145</v>
      </c>
      <c r="C179" s="218" t="s">
        <v>75</v>
      </c>
      <c r="D179" s="218" t="s">
        <v>34674</v>
      </c>
      <c r="F179" s="23" t="s">
        <v>11998</v>
      </c>
      <c r="G179" s="23" t="str">
        <f>TVIIBE1M_CalPairs!$E176</f>
        <v>0xFF</v>
      </c>
      <c r="H179" s="23" t="s">
        <v>70</v>
      </c>
      <c r="I179" s="23" t="str">
        <f>TVIIBE1M_CalPairs!$C176</f>
        <v>BACKUP_ADDR1</v>
      </c>
      <c r="K179" s="22" t="s">
        <v>11999</v>
      </c>
      <c r="L179" s="22" t="s">
        <v>145</v>
      </c>
      <c r="M179" s="22" t="s">
        <v>70</v>
      </c>
      <c r="N179" s="22" t="s">
        <v>67</v>
      </c>
      <c r="P179" s="22" t="s">
        <v>12000</v>
      </c>
      <c r="Q179" s="22" t="s">
        <v>145</v>
      </c>
      <c r="R179" s="22" t="s">
        <v>70</v>
      </c>
      <c r="S179" s="22" t="s">
        <v>67</v>
      </c>
      <c r="U179" s="293" t="s">
        <v>12001</v>
      </c>
      <c r="V179" s="293" t="s">
        <v>145</v>
      </c>
      <c r="W179" s="293" t="s">
        <v>74</v>
      </c>
      <c r="X179" s="293" t="s">
        <v>656</v>
      </c>
      <c r="Z179" s="293" t="s">
        <v>12002</v>
      </c>
      <c r="AA179" s="293" t="s">
        <v>145</v>
      </c>
      <c r="AB179" s="293" t="s">
        <v>74</v>
      </c>
      <c r="AC179" s="293" t="s">
        <v>656</v>
      </c>
      <c r="AE179" s="293" t="s">
        <v>12003</v>
      </c>
      <c r="AF179" s="293" t="s">
        <v>145</v>
      </c>
      <c r="AG179" s="293" t="s">
        <v>74</v>
      </c>
      <c r="AH179" s="293" t="s">
        <v>656</v>
      </c>
      <c r="AJ179" s="293" t="s">
        <v>12004</v>
      </c>
      <c r="AK179" s="293" t="s">
        <v>145</v>
      </c>
      <c r="AL179" s="293" t="s">
        <v>74</v>
      </c>
      <c r="AM179" s="293" t="s">
        <v>656</v>
      </c>
      <c r="AO179" s="22" t="s">
        <v>12005</v>
      </c>
      <c r="AP179" s="22" t="s">
        <v>145</v>
      </c>
      <c r="AQ179" s="22" t="s">
        <v>70</v>
      </c>
      <c r="AR179" s="22" t="s">
        <v>67</v>
      </c>
      <c r="AT179" s="22" t="s">
        <v>12006</v>
      </c>
      <c r="AU179" s="22" t="s">
        <v>145</v>
      </c>
      <c r="AV179" s="22" t="s">
        <v>70</v>
      </c>
      <c r="AW179" s="22" t="s">
        <v>67</v>
      </c>
      <c r="AY179" s="22" t="s">
        <v>12007</v>
      </c>
      <c r="AZ179" s="22" t="s">
        <v>145</v>
      </c>
      <c r="BA179" s="22" t="s">
        <v>70</v>
      </c>
      <c r="BB179" s="22" t="s">
        <v>67</v>
      </c>
      <c r="BD179" s="22" t="s">
        <v>12008</v>
      </c>
      <c r="BE179" s="22" t="s">
        <v>145</v>
      </c>
      <c r="BF179" s="22" t="s">
        <v>70</v>
      </c>
      <c r="BG179" s="22" t="s">
        <v>67</v>
      </c>
      <c r="BI179" s="22" t="s">
        <v>12009</v>
      </c>
      <c r="BJ179" s="22" t="s">
        <v>145</v>
      </c>
      <c r="BK179" s="22" t="s">
        <v>70</v>
      </c>
      <c r="BL179" s="22" t="s">
        <v>67</v>
      </c>
      <c r="BN179" s="22" t="s">
        <v>12010</v>
      </c>
      <c r="BO179" s="22" t="s">
        <v>145</v>
      </c>
      <c r="BP179" s="22" t="s">
        <v>70</v>
      </c>
      <c r="BQ179" s="22" t="s">
        <v>67</v>
      </c>
      <c r="BS179" s="22" t="s">
        <v>12011</v>
      </c>
      <c r="BT179" s="22" t="s">
        <v>145</v>
      </c>
      <c r="BU179" s="22" t="s">
        <v>70</v>
      </c>
      <c r="BV179" s="214" t="s">
        <v>530</v>
      </c>
      <c r="BX179" s="22" t="s">
        <v>12012</v>
      </c>
      <c r="BY179" s="22" t="s">
        <v>145</v>
      </c>
      <c r="BZ179" s="22" t="s">
        <v>70</v>
      </c>
      <c r="CA179" s="214" t="s">
        <v>530</v>
      </c>
      <c r="CC179" s="214" t="s">
        <v>12013</v>
      </c>
      <c r="CD179" s="218" t="s">
        <v>145</v>
      </c>
      <c r="CE179" s="214" t="s">
        <v>70</v>
      </c>
      <c r="CF179" s="214" t="s">
        <v>539</v>
      </c>
      <c r="CH179" s="214" t="s">
        <v>12014</v>
      </c>
      <c r="CI179" s="214" t="s">
        <v>34558</v>
      </c>
      <c r="CJ179" s="214" t="s">
        <v>70</v>
      </c>
      <c r="CK179" s="214" t="s">
        <v>530</v>
      </c>
      <c r="CM179" s="322" t="s">
        <v>12015</v>
      </c>
      <c r="CN179" s="214" t="s">
        <v>947</v>
      </c>
      <c r="CO179" s="214" t="s">
        <v>70</v>
      </c>
      <c r="CP179" s="214" t="s">
        <v>530</v>
      </c>
      <c r="CR179" s="214" t="s">
        <v>12016</v>
      </c>
      <c r="CS179" s="214" t="s">
        <v>34551</v>
      </c>
      <c r="CT179" s="214" t="s">
        <v>70</v>
      </c>
      <c r="CU179" s="214" t="s">
        <v>530</v>
      </c>
      <c r="CW179" s="214" t="s">
        <v>12017</v>
      </c>
      <c r="CX179" s="214" t="s">
        <v>146</v>
      </c>
      <c r="CY179" s="214" t="s">
        <v>70</v>
      </c>
      <c r="CZ179" s="214" t="s">
        <v>530</v>
      </c>
      <c r="DB179" s="214" t="s">
        <v>12018</v>
      </c>
      <c r="DC179" s="214" t="s">
        <v>486</v>
      </c>
      <c r="DD179" s="214" t="s">
        <v>70</v>
      </c>
      <c r="DE179" s="214" t="s">
        <v>530</v>
      </c>
      <c r="DG179" s="214" t="s">
        <v>12019</v>
      </c>
      <c r="DH179" s="214" t="s">
        <v>921</v>
      </c>
      <c r="DI179" s="214" t="s">
        <v>70</v>
      </c>
      <c r="DJ179" s="214" t="s">
        <v>530</v>
      </c>
      <c r="DL179" s="214" t="s">
        <v>12020</v>
      </c>
      <c r="DM179" s="214" t="s">
        <v>933</v>
      </c>
      <c r="DN179" s="214" t="s">
        <v>70</v>
      </c>
      <c r="DO179" s="214" t="s">
        <v>530</v>
      </c>
      <c r="DQ179" s="214" t="s">
        <v>12021</v>
      </c>
      <c r="DR179" s="214" t="s">
        <v>146</v>
      </c>
      <c r="DS179" s="214" t="s">
        <v>70</v>
      </c>
      <c r="DT179" s="214" t="s">
        <v>530</v>
      </c>
      <c r="DV179" s="214" t="s">
        <v>12022</v>
      </c>
      <c r="DW179" s="214" t="s">
        <v>146</v>
      </c>
      <c r="DX179" s="214" t="s">
        <v>70</v>
      </c>
      <c r="DY179" s="214" t="s">
        <v>530</v>
      </c>
      <c r="EA179" s="214" t="s">
        <v>12023</v>
      </c>
      <c r="EB179" s="214" t="s">
        <v>936</v>
      </c>
      <c r="EC179" s="214" t="s">
        <v>70</v>
      </c>
      <c r="ED179" s="214" t="s">
        <v>530</v>
      </c>
      <c r="EF179" s="214" t="s">
        <v>12024</v>
      </c>
      <c r="EG179" s="214" t="s">
        <v>146</v>
      </c>
      <c r="EH179" s="214" t="s">
        <v>70</v>
      </c>
      <c r="EI179" s="214" t="s">
        <v>530</v>
      </c>
      <c r="EK179" s="214" t="s">
        <v>12025</v>
      </c>
      <c r="EL179" s="214" t="s">
        <v>34562</v>
      </c>
      <c r="EM179" s="214" t="s">
        <v>70</v>
      </c>
      <c r="EN179" s="214" t="s">
        <v>530</v>
      </c>
      <c r="EP179" s="214" t="s">
        <v>12026</v>
      </c>
      <c r="EQ179" s="214" t="s">
        <v>484</v>
      </c>
      <c r="ER179" s="214" t="s">
        <v>70</v>
      </c>
      <c r="ES179" s="214" t="s">
        <v>530</v>
      </c>
      <c r="EU179" s="214" t="s">
        <v>12027</v>
      </c>
      <c r="EV179" s="214" t="s">
        <v>52</v>
      </c>
      <c r="EW179" s="214" t="s">
        <v>70</v>
      </c>
      <c r="EX179" s="214" t="s">
        <v>530</v>
      </c>
      <c r="EZ179" s="214" t="s">
        <v>12028</v>
      </c>
      <c r="FA179" s="214" t="s">
        <v>164</v>
      </c>
      <c r="FB179" s="214" t="s">
        <v>70</v>
      </c>
      <c r="FC179" s="214" t="s">
        <v>530</v>
      </c>
      <c r="FE179" s="214" t="s">
        <v>12029</v>
      </c>
      <c r="FF179" s="214" t="s">
        <v>52</v>
      </c>
      <c r="FG179" s="214" t="s">
        <v>70</v>
      </c>
      <c r="FH179" s="214" t="s">
        <v>530</v>
      </c>
      <c r="FJ179" s="321" t="s">
        <v>12030</v>
      </c>
      <c r="FK179" s="214" t="s">
        <v>52</v>
      </c>
      <c r="FL179" s="214" t="s">
        <v>70</v>
      </c>
      <c r="FM179" s="214" t="s">
        <v>530</v>
      </c>
      <c r="FO179" s="321" t="s">
        <v>12031</v>
      </c>
      <c r="FP179" s="214" t="s">
        <v>920</v>
      </c>
      <c r="FQ179" s="214" t="s">
        <v>70</v>
      </c>
      <c r="FR179" s="214" t="s">
        <v>530</v>
      </c>
      <c r="FT179" s="321" t="s">
        <v>12032</v>
      </c>
      <c r="FU179" s="214" t="s">
        <v>145</v>
      </c>
      <c r="FV179" s="214" t="s">
        <v>70</v>
      </c>
      <c r="FW179" s="214" t="s">
        <v>530</v>
      </c>
      <c r="FY179" s="321" t="s">
        <v>12033</v>
      </c>
      <c r="FZ179" s="214" t="s">
        <v>486</v>
      </c>
      <c r="GA179" s="214" t="s">
        <v>70</v>
      </c>
      <c r="GB179" s="214" t="s">
        <v>530</v>
      </c>
      <c r="GD179" s="321" t="s">
        <v>12034</v>
      </c>
      <c r="GE179" s="214" t="s">
        <v>34556</v>
      </c>
      <c r="GF179" s="214" t="s">
        <v>70</v>
      </c>
      <c r="GG179" s="214" t="s">
        <v>530</v>
      </c>
      <c r="GI179" s="321" t="s">
        <v>12035</v>
      </c>
      <c r="GJ179" s="214" t="s">
        <v>921</v>
      </c>
      <c r="GK179" s="214" t="s">
        <v>70</v>
      </c>
      <c r="GL179" s="214" t="s">
        <v>530</v>
      </c>
      <c r="GN179" s="321" t="s">
        <v>12036</v>
      </c>
      <c r="GO179" s="214" t="s">
        <v>86</v>
      </c>
      <c r="GP179" s="214" t="s">
        <v>70</v>
      </c>
      <c r="GQ179" s="214" t="s">
        <v>530</v>
      </c>
      <c r="GS179" s="321" t="s">
        <v>12037</v>
      </c>
      <c r="GT179" s="214" t="s">
        <v>52</v>
      </c>
      <c r="GU179" s="214" t="s">
        <v>70</v>
      </c>
      <c r="GV179" s="214" t="s">
        <v>530</v>
      </c>
      <c r="GX179" s="214" t="s">
        <v>12038</v>
      </c>
      <c r="GY179" s="214" t="s">
        <v>34551</v>
      </c>
      <c r="GZ179" s="214" t="s">
        <v>70</v>
      </c>
      <c r="HA179" s="214" t="s">
        <v>530</v>
      </c>
      <c r="HC179" s="214" t="s">
        <v>12039</v>
      </c>
      <c r="HD179" s="214" t="s">
        <v>486</v>
      </c>
      <c r="HE179" s="214" t="s">
        <v>70</v>
      </c>
      <c r="HF179" s="214" t="s">
        <v>530</v>
      </c>
      <c r="HH179" s="214" t="s">
        <v>12040</v>
      </c>
      <c r="HI179" s="214" t="s">
        <v>488</v>
      </c>
      <c r="HJ179" s="214" t="s">
        <v>70</v>
      </c>
      <c r="HK179" s="214" t="s">
        <v>530</v>
      </c>
      <c r="HM179" s="214" t="s">
        <v>12041</v>
      </c>
      <c r="HN179" s="214" t="s">
        <v>502</v>
      </c>
      <c r="HO179" s="214" t="s">
        <v>70</v>
      </c>
      <c r="HP179" s="214" t="s">
        <v>530</v>
      </c>
      <c r="HR179" s="22" t="s">
        <v>12042</v>
      </c>
      <c r="HS179" s="22" t="s">
        <v>146</v>
      </c>
      <c r="HT179" s="22" t="s">
        <v>70</v>
      </c>
      <c r="HU179" s="214" t="s">
        <v>530</v>
      </c>
      <c r="HW179" s="22" t="s">
        <v>12043</v>
      </c>
      <c r="HX179" s="22" t="s">
        <v>491</v>
      </c>
      <c r="HY179" s="22" t="s">
        <v>70</v>
      </c>
      <c r="HZ179" s="214" t="s">
        <v>530</v>
      </c>
      <c r="IB179" s="22" t="s">
        <v>12044</v>
      </c>
      <c r="IC179" s="22" t="s">
        <v>937</v>
      </c>
      <c r="ID179" s="22" t="s">
        <v>70</v>
      </c>
      <c r="IE179" s="214" t="s">
        <v>530</v>
      </c>
      <c r="IG179" s="22" t="s">
        <v>12045</v>
      </c>
      <c r="IH179" s="22" t="s">
        <v>92</v>
      </c>
      <c r="II179" s="22" t="s">
        <v>70</v>
      </c>
      <c r="IJ179" s="214" t="s">
        <v>530</v>
      </c>
      <c r="IL179" s="22" t="s">
        <v>12046</v>
      </c>
      <c r="IM179" s="22" t="s">
        <v>145</v>
      </c>
      <c r="IN179" s="22" t="s">
        <v>70</v>
      </c>
      <c r="IO179" s="214" t="s">
        <v>530</v>
      </c>
      <c r="IQ179" s="236" t="s">
        <v>12047</v>
      </c>
      <c r="IR179" s="236" t="s">
        <v>145</v>
      </c>
      <c r="IS179" s="236" t="s">
        <v>74</v>
      </c>
      <c r="IT179" s="236" t="s">
        <v>841</v>
      </c>
      <c r="IV179" s="236" t="s">
        <v>12048</v>
      </c>
      <c r="IW179" s="236" t="s">
        <v>145</v>
      </c>
      <c r="IX179" s="236" t="s">
        <v>74</v>
      </c>
      <c r="IY179" s="236" t="s">
        <v>841</v>
      </c>
      <c r="JA179" s="236" t="s">
        <v>12049</v>
      </c>
      <c r="JB179" s="236" t="s">
        <v>145</v>
      </c>
      <c r="JC179" s="236" t="s">
        <v>74</v>
      </c>
      <c r="JD179" s="236" t="s">
        <v>841</v>
      </c>
      <c r="JF179" s="236" t="s">
        <v>12050</v>
      </c>
      <c r="JG179" s="236" t="s">
        <v>145</v>
      </c>
      <c r="JH179" s="236" t="s">
        <v>74</v>
      </c>
      <c r="JI179" s="236" t="s">
        <v>841</v>
      </c>
      <c r="JK179" s="236" t="s">
        <v>12051</v>
      </c>
      <c r="JL179" s="236" t="s">
        <v>145</v>
      </c>
      <c r="JM179" s="236" t="s">
        <v>74</v>
      </c>
      <c r="JN179" s="236" t="s">
        <v>841</v>
      </c>
      <c r="JP179" s="236" t="s">
        <v>12052</v>
      </c>
      <c r="JQ179" s="236" t="s">
        <v>145</v>
      </c>
      <c r="JR179" s="236" t="s">
        <v>74</v>
      </c>
      <c r="JS179" s="236" t="s">
        <v>841</v>
      </c>
      <c r="JU179" s="294" t="s">
        <v>12053</v>
      </c>
      <c r="JV179" s="294" t="s">
        <v>52</v>
      </c>
      <c r="JW179" s="263" t="s">
        <v>70</v>
      </c>
      <c r="JX179" s="294" t="s">
        <v>1083</v>
      </c>
      <c r="JZ179" s="263" t="s">
        <v>12054</v>
      </c>
      <c r="KA179" s="263" t="s">
        <v>145</v>
      </c>
      <c r="KB179" s="263" t="s">
        <v>70</v>
      </c>
      <c r="KC179" s="263" t="s">
        <v>1083</v>
      </c>
      <c r="KE179" s="263" t="s">
        <v>12055</v>
      </c>
      <c r="KF179" s="263" t="s">
        <v>52</v>
      </c>
      <c r="KG179" s="263" t="s">
        <v>70</v>
      </c>
      <c r="KH179" s="263" t="s">
        <v>1083</v>
      </c>
      <c r="KJ179" s="263" t="s">
        <v>12056</v>
      </c>
      <c r="KK179" s="263" t="s">
        <v>52</v>
      </c>
      <c r="KL179" s="263" t="s">
        <v>74</v>
      </c>
      <c r="KM179" s="263" t="s">
        <v>34074</v>
      </c>
      <c r="KO179" s="214" t="s">
        <v>12057</v>
      </c>
      <c r="KP179" s="214" t="s">
        <v>145</v>
      </c>
      <c r="KQ179" s="214" t="s">
        <v>70</v>
      </c>
      <c r="KR179" s="214" t="s">
        <v>67</v>
      </c>
      <c r="KT179" s="22" t="s">
        <v>12058</v>
      </c>
      <c r="KU179" s="22" t="s">
        <v>145</v>
      </c>
      <c r="KV179" s="22" t="s">
        <v>70</v>
      </c>
      <c r="KW179" s="22" t="s">
        <v>67</v>
      </c>
      <c r="KY179" s="214" t="s">
        <v>12059</v>
      </c>
      <c r="KZ179" s="214" t="s">
        <v>52</v>
      </c>
      <c r="LA179" s="214" t="s">
        <v>74</v>
      </c>
      <c r="LB179" s="214" t="s">
        <v>67</v>
      </c>
      <c r="LD179" s="22" t="s">
        <v>12060</v>
      </c>
      <c r="LE179" s="22" t="s">
        <v>145</v>
      </c>
      <c r="LF179" s="22" t="s">
        <v>70</v>
      </c>
      <c r="LG179" s="22" t="s">
        <v>67</v>
      </c>
    </row>
    <row r="180" spans="1:319">
      <c r="A180" s="22" t="s">
        <v>12061</v>
      </c>
      <c r="B180" s="22" t="s">
        <v>145</v>
      </c>
      <c r="C180" s="22" t="s">
        <v>70</v>
      </c>
      <c r="D180" s="22" t="s">
        <v>67</v>
      </c>
      <c r="F180" s="23" t="s">
        <v>12062</v>
      </c>
      <c r="G180" s="23" t="str">
        <f>TVIIBE1M_CalPairs!$E177</f>
        <v>0x27</v>
      </c>
      <c r="H180" s="23" t="s">
        <v>70</v>
      </c>
      <c r="I180" s="23" t="str">
        <f>TVIIBE1M_CalPairs!$C177</f>
        <v>BACKUP_ADDR2</v>
      </c>
      <c r="K180" s="22" t="s">
        <v>12063</v>
      </c>
      <c r="L180" s="22" t="s">
        <v>145</v>
      </c>
      <c r="M180" s="22" t="s">
        <v>70</v>
      </c>
      <c r="N180" s="22" t="s">
        <v>67</v>
      </c>
      <c r="P180" s="22" t="s">
        <v>12064</v>
      </c>
      <c r="Q180" s="22" t="s">
        <v>145</v>
      </c>
      <c r="R180" s="22" t="s">
        <v>70</v>
      </c>
      <c r="S180" s="22" t="s">
        <v>67</v>
      </c>
      <c r="U180" s="293" t="s">
        <v>12065</v>
      </c>
      <c r="V180" s="293" t="s">
        <v>145</v>
      </c>
      <c r="W180" s="293" t="s">
        <v>74</v>
      </c>
      <c r="X180" s="293" t="s">
        <v>656</v>
      </c>
      <c r="Z180" s="293" t="s">
        <v>12066</v>
      </c>
      <c r="AA180" s="293" t="s">
        <v>145</v>
      </c>
      <c r="AB180" s="293" t="s">
        <v>74</v>
      </c>
      <c r="AC180" s="293" t="s">
        <v>656</v>
      </c>
      <c r="AE180" s="293" t="s">
        <v>12067</v>
      </c>
      <c r="AF180" s="293" t="s">
        <v>145</v>
      </c>
      <c r="AG180" s="293" t="s">
        <v>74</v>
      </c>
      <c r="AH180" s="293" t="s">
        <v>656</v>
      </c>
      <c r="AJ180" s="293" t="s">
        <v>12068</v>
      </c>
      <c r="AK180" s="293" t="s">
        <v>145</v>
      </c>
      <c r="AL180" s="293" t="s">
        <v>74</v>
      </c>
      <c r="AM180" s="293" t="s">
        <v>656</v>
      </c>
      <c r="AO180" s="22" t="s">
        <v>12069</v>
      </c>
      <c r="AP180" s="22" t="s">
        <v>145</v>
      </c>
      <c r="AQ180" s="22" t="s">
        <v>70</v>
      </c>
      <c r="AR180" s="22" t="s">
        <v>67</v>
      </c>
      <c r="AT180" s="22" t="s">
        <v>12070</v>
      </c>
      <c r="AU180" s="22" t="s">
        <v>145</v>
      </c>
      <c r="AV180" s="22" t="s">
        <v>70</v>
      </c>
      <c r="AW180" s="22" t="s">
        <v>67</v>
      </c>
      <c r="AY180" s="22" t="s">
        <v>12071</v>
      </c>
      <c r="AZ180" s="22" t="s">
        <v>145</v>
      </c>
      <c r="BA180" s="22" t="s">
        <v>70</v>
      </c>
      <c r="BB180" s="22" t="s">
        <v>67</v>
      </c>
      <c r="BD180" s="22" t="s">
        <v>12072</v>
      </c>
      <c r="BE180" s="22" t="s">
        <v>145</v>
      </c>
      <c r="BF180" s="22" t="s">
        <v>70</v>
      </c>
      <c r="BG180" s="22" t="s">
        <v>67</v>
      </c>
      <c r="BI180" s="22" t="s">
        <v>12073</v>
      </c>
      <c r="BJ180" s="22" t="s">
        <v>145</v>
      </c>
      <c r="BK180" s="22" t="s">
        <v>70</v>
      </c>
      <c r="BL180" s="22" t="s">
        <v>67</v>
      </c>
      <c r="BN180" s="22" t="s">
        <v>12074</v>
      </c>
      <c r="BO180" s="22" t="s">
        <v>145</v>
      </c>
      <c r="BP180" s="22" t="s">
        <v>70</v>
      </c>
      <c r="BQ180" s="22" t="s">
        <v>67</v>
      </c>
      <c r="BS180" s="22" t="s">
        <v>12075</v>
      </c>
      <c r="BT180" s="22" t="s">
        <v>145</v>
      </c>
      <c r="BU180" s="22" t="s">
        <v>70</v>
      </c>
      <c r="BV180" s="214" t="s">
        <v>530</v>
      </c>
      <c r="BX180" s="22" t="s">
        <v>12076</v>
      </c>
      <c r="BY180" s="22" t="s">
        <v>145</v>
      </c>
      <c r="BZ180" s="22" t="s">
        <v>70</v>
      </c>
      <c r="CA180" s="214" t="s">
        <v>530</v>
      </c>
      <c r="CC180" s="214" t="s">
        <v>12077</v>
      </c>
      <c r="CD180" s="218" t="s">
        <v>145</v>
      </c>
      <c r="CE180" s="214" t="s">
        <v>70</v>
      </c>
      <c r="CF180" s="214" t="s">
        <v>540</v>
      </c>
      <c r="CH180" s="214" t="s">
        <v>12078</v>
      </c>
      <c r="CI180" s="214" t="s">
        <v>923</v>
      </c>
      <c r="CJ180" s="214" t="s">
        <v>70</v>
      </c>
      <c r="CK180" s="214" t="s">
        <v>530</v>
      </c>
      <c r="CM180" s="322" t="s">
        <v>12079</v>
      </c>
      <c r="CN180" s="214" t="s">
        <v>491</v>
      </c>
      <c r="CO180" s="214" t="s">
        <v>70</v>
      </c>
      <c r="CP180" s="214" t="s">
        <v>530</v>
      </c>
      <c r="CR180" s="214" t="s">
        <v>12080</v>
      </c>
      <c r="CS180" s="214" t="s">
        <v>483</v>
      </c>
      <c r="CT180" s="214" t="s">
        <v>70</v>
      </c>
      <c r="CU180" s="214" t="s">
        <v>530</v>
      </c>
      <c r="CW180" s="214" t="s">
        <v>12081</v>
      </c>
      <c r="CX180" s="214" t="s">
        <v>85</v>
      </c>
      <c r="CY180" s="214" t="s">
        <v>70</v>
      </c>
      <c r="CZ180" s="214" t="s">
        <v>530</v>
      </c>
      <c r="DB180" s="214" t="s">
        <v>12082</v>
      </c>
      <c r="DC180" s="214" t="s">
        <v>912</v>
      </c>
      <c r="DD180" s="214" t="s">
        <v>70</v>
      </c>
      <c r="DE180" s="214" t="s">
        <v>530</v>
      </c>
      <c r="DG180" s="214" t="s">
        <v>12083</v>
      </c>
      <c r="DH180" s="214" t="s">
        <v>34545</v>
      </c>
      <c r="DI180" s="214" t="s">
        <v>70</v>
      </c>
      <c r="DJ180" s="214" t="s">
        <v>530</v>
      </c>
      <c r="DL180" s="214" t="s">
        <v>12084</v>
      </c>
      <c r="DM180" s="214" t="s">
        <v>34560</v>
      </c>
      <c r="DN180" s="214" t="s">
        <v>70</v>
      </c>
      <c r="DO180" s="214" t="s">
        <v>530</v>
      </c>
      <c r="DQ180" s="214" t="s">
        <v>12085</v>
      </c>
      <c r="DR180" s="214" t="s">
        <v>92</v>
      </c>
      <c r="DS180" s="214" t="s">
        <v>70</v>
      </c>
      <c r="DT180" s="214" t="s">
        <v>530</v>
      </c>
      <c r="DV180" s="214" t="s">
        <v>12086</v>
      </c>
      <c r="DW180" s="214" t="s">
        <v>164</v>
      </c>
      <c r="DX180" s="214" t="s">
        <v>70</v>
      </c>
      <c r="DY180" s="214" t="s">
        <v>530</v>
      </c>
      <c r="EA180" s="214" t="s">
        <v>12087</v>
      </c>
      <c r="EB180" s="214" t="s">
        <v>148</v>
      </c>
      <c r="EC180" s="214" t="s">
        <v>70</v>
      </c>
      <c r="ED180" s="214" t="s">
        <v>530</v>
      </c>
      <c r="EF180" s="214" t="s">
        <v>12088</v>
      </c>
      <c r="EG180" s="214" t="s">
        <v>21742</v>
      </c>
      <c r="EH180" s="214" t="s">
        <v>70</v>
      </c>
      <c r="EI180" s="214" t="s">
        <v>530</v>
      </c>
      <c r="EK180" s="214" t="s">
        <v>12089</v>
      </c>
      <c r="EL180" s="214" t="s">
        <v>163</v>
      </c>
      <c r="EM180" s="214" t="s">
        <v>70</v>
      </c>
      <c r="EN180" s="214" t="s">
        <v>530</v>
      </c>
      <c r="EP180" s="214" t="s">
        <v>12090</v>
      </c>
      <c r="EQ180" s="214" t="s">
        <v>148</v>
      </c>
      <c r="ER180" s="214" t="s">
        <v>70</v>
      </c>
      <c r="ES180" s="214" t="s">
        <v>530</v>
      </c>
      <c r="EU180" s="214" t="s">
        <v>12091</v>
      </c>
      <c r="EV180" s="214" t="s">
        <v>485</v>
      </c>
      <c r="EW180" s="214" t="s">
        <v>70</v>
      </c>
      <c r="EX180" s="214" t="s">
        <v>530</v>
      </c>
      <c r="EZ180" s="214" t="s">
        <v>12092</v>
      </c>
      <c r="FA180" s="214" t="s">
        <v>163</v>
      </c>
      <c r="FB180" s="214" t="s">
        <v>70</v>
      </c>
      <c r="FC180" s="214" t="s">
        <v>530</v>
      </c>
      <c r="FE180" s="214" t="s">
        <v>12093</v>
      </c>
      <c r="FF180" s="214" t="s">
        <v>89</v>
      </c>
      <c r="FG180" s="214" t="s">
        <v>70</v>
      </c>
      <c r="FH180" s="214" t="s">
        <v>530</v>
      </c>
      <c r="FJ180" s="321" t="s">
        <v>12094</v>
      </c>
      <c r="FK180" s="214" t="s">
        <v>148</v>
      </c>
      <c r="FL180" s="214" t="s">
        <v>70</v>
      </c>
      <c r="FM180" s="214" t="s">
        <v>530</v>
      </c>
      <c r="FO180" s="321" t="s">
        <v>12095</v>
      </c>
      <c r="FP180" s="214" t="s">
        <v>52</v>
      </c>
      <c r="FQ180" s="214" t="s">
        <v>70</v>
      </c>
      <c r="FR180" s="214" t="s">
        <v>530</v>
      </c>
      <c r="FT180" s="321" t="s">
        <v>12096</v>
      </c>
      <c r="FU180" s="214" t="s">
        <v>148</v>
      </c>
      <c r="FV180" s="214" t="s">
        <v>70</v>
      </c>
      <c r="FW180" s="214" t="s">
        <v>530</v>
      </c>
      <c r="FY180" s="321" t="s">
        <v>12097</v>
      </c>
      <c r="FZ180" s="214" t="s">
        <v>146</v>
      </c>
      <c r="GA180" s="214" t="s">
        <v>70</v>
      </c>
      <c r="GB180" s="214" t="s">
        <v>530</v>
      </c>
      <c r="GD180" s="321" t="s">
        <v>12098</v>
      </c>
      <c r="GE180" s="214" t="s">
        <v>947</v>
      </c>
      <c r="GF180" s="214" t="s">
        <v>70</v>
      </c>
      <c r="GG180" s="214" t="s">
        <v>530</v>
      </c>
      <c r="GI180" s="321" t="s">
        <v>12099</v>
      </c>
      <c r="GJ180" s="214" t="s">
        <v>85</v>
      </c>
      <c r="GK180" s="214" t="s">
        <v>70</v>
      </c>
      <c r="GL180" s="214" t="s">
        <v>530</v>
      </c>
      <c r="GN180" s="321" t="s">
        <v>12100</v>
      </c>
      <c r="GO180" s="214" t="s">
        <v>34556</v>
      </c>
      <c r="GP180" s="214" t="s">
        <v>70</v>
      </c>
      <c r="GQ180" s="214" t="s">
        <v>530</v>
      </c>
      <c r="GS180" s="321" t="s">
        <v>12101</v>
      </c>
      <c r="GT180" s="214" t="s">
        <v>145</v>
      </c>
      <c r="GU180" s="214" t="s">
        <v>70</v>
      </c>
      <c r="GV180" s="214" t="s">
        <v>530</v>
      </c>
      <c r="GX180" s="214" t="s">
        <v>12102</v>
      </c>
      <c r="GY180" s="214" t="s">
        <v>87</v>
      </c>
      <c r="GZ180" s="214" t="s">
        <v>70</v>
      </c>
      <c r="HA180" s="214" t="s">
        <v>530</v>
      </c>
      <c r="HC180" s="214" t="s">
        <v>12103</v>
      </c>
      <c r="HD180" s="214" t="s">
        <v>34556</v>
      </c>
      <c r="HE180" s="214" t="s">
        <v>70</v>
      </c>
      <c r="HF180" s="214" t="s">
        <v>530</v>
      </c>
      <c r="HH180" s="214" t="s">
        <v>12104</v>
      </c>
      <c r="HI180" s="214" t="s">
        <v>163</v>
      </c>
      <c r="HJ180" s="214" t="s">
        <v>70</v>
      </c>
      <c r="HK180" s="214" t="s">
        <v>530</v>
      </c>
      <c r="HM180" s="214" t="s">
        <v>12105</v>
      </c>
      <c r="HN180" s="214" t="s">
        <v>164</v>
      </c>
      <c r="HO180" s="214" t="s">
        <v>70</v>
      </c>
      <c r="HP180" s="214" t="s">
        <v>530</v>
      </c>
      <c r="HR180" s="22" t="s">
        <v>12106</v>
      </c>
      <c r="HS180" s="22" t="s">
        <v>599</v>
      </c>
      <c r="HT180" s="22" t="s">
        <v>70</v>
      </c>
      <c r="HU180" s="214" t="s">
        <v>530</v>
      </c>
      <c r="HW180" s="22" t="s">
        <v>12107</v>
      </c>
      <c r="HX180" s="22" t="s">
        <v>146</v>
      </c>
      <c r="HY180" s="22" t="s">
        <v>70</v>
      </c>
      <c r="HZ180" s="214" t="s">
        <v>530</v>
      </c>
      <c r="IB180" s="22" t="s">
        <v>12108</v>
      </c>
      <c r="IC180" s="22" t="s">
        <v>52</v>
      </c>
      <c r="ID180" s="22" t="s">
        <v>70</v>
      </c>
      <c r="IE180" s="214" t="s">
        <v>530</v>
      </c>
      <c r="IG180" s="22" t="s">
        <v>12109</v>
      </c>
      <c r="IH180" s="22" t="s">
        <v>34644</v>
      </c>
      <c r="II180" s="22" t="s">
        <v>70</v>
      </c>
      <c r="IJ180" s="214" t="s">
        <v>530</v>
      </c>
      <c r="IL180" s="22" t="s">
        <v>12110</v>
      </c>
      <c r="IM180" s="22" t="s">
        <v>145</v>
      </c>
      <c r="IN180" s="22" t="s">
        <v>70</v>
      </c>
      <c r="IO180" s="214" t="s">
        <v>530</v>
      </c>
      <c r="IQ180" s="236" t="s">
        <v>12111</v>
      </c>
      <c r="IR180" s="236" t="s">
        <v>145</v>
      </c>
      <c r="IS180" s="236" t="s">
        <v>74</v>
      </c>
      <c r="IT180" s="236" t="s">
        <v>841</v>
      </c>
      <c r="IV180" s="236" t="s">
        <v>12112</v>
      </c>
      <c r="IW180" s="236" t="s">
        <v>145</v>
      </c>
      <c r="IX180" s="236" t="s">
        <v>74</v>
      </c>
      <c r="IY180" s="236" t="s">
        <v>841</v>
      </c>
      <c r="JA180" s="236" t="s">
        <v>12113</v>
      </c>
      <c r="JB180" s="236" t="s">
        <v>145</v>
      </c>
      <c r="JC180" s="236" t="s">
        <v>74</v>
      </c>
      <c r="JD180" s="236" t="s">
        <v>841</v>
      </c>
      <c r="JF180" s="236" t="s">
        <v>12114</v>
      </c>
      <c r="JG180" s="236" t="s">
        <v>145</v>
      </c>
      <c r="JH180" s="236" t="s">
        <v>74</v>
      </c>
      <c r="JI180" s="236" t="s">
        <v>841</v>
      </c>
      <c r="JK180" s="236" t="s">
        <v>12115</v>
      </c>
      <c r="JL180" s="236" t="s">
        <v>145</v>
      </c>
      <c r="JM180" s="236" t="s">
        <v>74</v>
      </c>
      <c r="JN180" s="236" t="s">
        <v>841</v>
      </c>
      <c r="JP180" s="236" t="s">
        <v>12116</v>
      </c>
      <c r="JQ180" s="236" t="s">
        <v>145</v>
      </c>
      <c r="JR180" s="236" t="s">
        <v>74</v>
      </c>
      <c r="JS180" s="236" t="s">
        <v>841</v>
      </c>
      <c r="JU180" s="294" t="s">
        <v>12117</v>
      </c>
      <c r="JV180" s="294" t="s">
        <v>52</v>
      </c>
      <c r="JW180" s="263" t="s">
        <v>70</v>
      </c>
      <c r="JX180" s="294" t="s">
        <v>1083</v>
      </c>
      <c r="JZ180" s="263" t="s">
        <v>12118</v>
      </c>
      <c r="KA180" s="263" t="s">
        <v>145</v>
      </c>
      <c r="KB180" s="263" t="s">
        <v>70</v>
      </c>
      <c r="KC180" s="263" t="s">
        <v>1083</v>
      </c>
      <c r="KE180" s="263" t="s">
        <v>12119</v>
      </c>
      <c r="KF180" s="263" t="s">
        <v>52</v>
      </c>
      <c r="KG180" s="263" t="s">
        <v>70</v>
      </c>
      <c r="KH180" s="263" t="s">
        <v>1083</v>
      </c>
      <c r="KJ180" s="263" t="s">
        <v>12120</v>
      </c>
      <c r="KK180" s="263" t="s">
        <v>52</v>
      </c>
      <c r="KL180" s="263" t="s">
        <v>74</v>
      </c>
      <c r="KM180" s="263" t="s">
        <v>34074</v>
      </c>
      <c r="KO180" s="214" t="s">
        <v>12121</v>
      </c>
      <c r="KP180" s="214" t="s">
        <v>145</v>
      </c>
      <c r="KQ180" s="214" t="s">
        <v>70</v>
      </c>
      <c r="KR180" s="214" t="s">
        <v>67</v>
      </c>
      <c r="KT180" s="22" t="s">
        <v>12122</v>
      </c>
      <c r="KU180" s="22" t="s">
        <v>145</v>
      </c>
      <c r="KV180" s="22" t="s">
        <v>70</v>
      </c>
      <c r="KW180" s="22" t="s">
        <v>67</v>
      </c>
      <c r="KY180" s="214" t="s">
        <v>12123</v>
      </c>
      <c r="KZ180" s="214" t="s">
        <v>52</v>
      </c>
      <c r="LA180" s="214" t="s">
        <v>74</v>
      </c>
      <c r="LB180" s="214" t="s">
        <v>67</v>
      </c>
      <c r="LD180" s="22" t="s">
        <v>12124</v>
      </c>
      <c r="LE180" s="22" t="s">
        <v>145</v>
      </c>
      <c r="LF180" s="22" t="s">
        <v>70</v>
      </c>
      <c r="LG180" s="22" t="s">
        <v>67</v>
      </c>
    </row>
    <row r="181" spans="1:319">
      <c r="A181" s="22" t="s">
        <v>12125</v>
      </c>
      <c r="B181" s="22" t="s">
        <v>145</v>
      </c>
      <c r="C181" s="22" t="s">
        <v>70</v>
      </c>
      <c r="D181" s="22" t="s">
        <v>67</v>
      </c>
      <c r="F181" s="23" t="s">
        <v>12126</v>
      </c>
      <c r="G181" s="23" t="str">
        <f>TVIIBE1M_CalPairs!$E178</f>
        <v>0x40</v>
      </c>
      <c r="H181" s="23" t="s">
        <v>70</v>
      </c>
      <c r="I181" s="23" t="str">
        <f>TVIIBE1M_CalPairs!$C178</f>
        <v>BACKUP_ADDR3</v>
      </c>
      <c r="K181" s="22" t="s">
        <v>12127</v>
      </c>
      <c r="L181" s="22" t="s">
        <v>145</v>
      </c>
      <c r="M181" s="22" t="s">
        <v>70</v>
      </c>
      <c r="N181" s="22" t="s">
        <v>67</v>
      </c>
      <c r="P181" s="22" t="s">
        <v>12128</v>
      </c>
      <c r="Q181" s="22" t="s">
        <v>145</v>
      </c>
      <c r="R181" s="22" t="s">
        <v>70</v>
      </c>
      <c r="S181" s="22" t="s">
        <v>67</v>
      </c>
      <c r="U181" s="293" t="s">
        <v>12129</v>
      </c>
      <c r="V181" s="293" t="s">
        <v>145</v>
      </c>
      <c r="W181" s="293" t="s">
        <v>74</v>
      </c>
      <c r="X181" s="293" t="s">
        <v>656</v>
      </c>
      <c r="Z181" s="293" t="s">
        <v>12130</v>
      </c>
      <c r="AA181" s="293" t="s">
        <v>145</v>
      </c>
      <c r="AB181" s="293" t="s">
        <v>74</v>
      </c>
      <c r="AC181" s="293" t="s">
        <v>656</v>
      </c>
      <c r="AE181" s="293" t="s">
        <v>12131</v>
      </c>
      <c r="AF181" s="293" t="s">
        <v>145</v>
      </c>
      <c r="AG181" s="293" t="s">
        <v>74</v>
      </c>
      <c r="AH181" s="293" t="s">
        <v>656</v>
      </c>
      <c r="AJ181" s="293" t="s">
        <v>12132</v>
      </c>
      <c r="AK181" s="293" t="s">
        <v>145</v>
      </c>
      <c r="AL181" s="293" t="s">
        <v>74</v>
      </c>
      <c r="AM181" s="293" t="s">
        <v>656</v>
      </c>
      <c r="AO181" s="22" t="s">
        <v>12133</v>
      </c>
      <c r="AP181" s="22" t="s">
        <v>145</v>
      </c>
      <c r="AQ181" s="22" t="s">
        <v>70</v>
      </c>
      <c r="AR181" s="22" t="s">
        <v>67</v>
      </c>
      <c r="AT181" s="22" t="s">
        <v>12134</v>
      </c>
      <c r="AU181" s="22" t="s">
        <v>145</v>
      </c>
      <c r="AV181" s="22" t="s">
        <v>70</v>
      </c>
      <c r="AW181" s="22" t="s">
        <v>67</v>
      </c>
      <c r="AY181" s="22" t="s">
        <v>12135</v>
      </c>
      <c r="AZ181" s="22" t="s">
        <v>145</v>
      </c>
      <c r="BA181" s="22" t="s">
        <v>70</v>
      </c>
      <c r="BB181" s="22" t="s">
        <v>67</v>
      </c>
      <c r="BD181" s="22" t="s">
        <v>12136</v>
      </c>
      <c r="BE181" s="22" t="s">
        <v>145</v>
      </c>
      <c r="BF181" s="22" t="s">
        <v>70</v>
      </c>
      <c r="BG181" s="22" t="s">
        <v>67</v>
      </c>
      <c r="BI181" s="22" t="s">
        <v>12137</v>
      </c>
      <c r="BJ181" s="22" t="s">
        <v>145</v>
      </c>
      <c r="BK181" s="22" t="s">
        <v>70</v>
      </c>
      <c r="BL181" s="22" t="s">
        <v>67</v>
      </c>
      <c r="BN181" s="22" t="s">
        <v>12138</v>
      </c>
      <c r="BO181" s="22" t="s">
        <v>145</v>
      </c>
      <c r="BP181" s="22" t="s">
        <v>70</v>
      </c>
      <c r="BQ181" s="22" t="s">
        <v>67</v>
      </c>
      <c r="BS181" s="22" t="s">
        <v>12139</v>
      </c>
      <c r="BT181" s="22" t="s">
        <v>145</v>
      </c>
      <c r="BU181" s="22" t="s">
        <v>70</v>
      </c>
      <c r="BV181" s="214" t="s">
        <v>530</v>
      </c>
      <c r="BX181" s="22" t="s">
        <v>12140</v>
      </c>
      <c r="BY181" s="22" t="s">
        <v>145</v>
      </c>
      <c r="BZ181" s="22" t="s">
        <v>70</v>
      </c>
      <c r="CA181" s="214" t="s">
        <v>530</v>
      </c>
      <c r="CC181" s="214" t="s">
        <v>12141</v>
      </c>
      <c r="CD181" s="218" t="s">
        <v>145</v>
      </c>
      <c r="CE181" s="214" t="s">
        <v>70</v>
      </c>
      <c r="CF181" s="214" t="s">
        <v>541</v>
      </c>
      <c r="CH181" s="214" t="s">
        <v>12142</v>
      </c>
      <c r="CI181" s="214" t="s">
        <v>491</v>
      </c>
      <c r="CJ181" s="214" t="s">
        <v>70</v>
      </c>
      <c r="CK181" s="214" t="s">
        <v>530</v>
      </c>
      <c r="CM181" s="322" t="s">
        <v>12143</v>
      </c>
      <c r="CN181" s="214" t="s">
        <v>148</v>
      </c>
      <c r="CO181" s="214" t="s">
        <v>70</v>
      </c>
      <c r="CP181" s="214" t="s">
        <v>530</v>
      </c>
      <c r="CR181" s="214" t="s">
        <v>12144</v>
      </c>
      <c r="CS181" s="214" t="s">
        <v>148</v>
      </c>
      <c r="CT181" s="214" t="s">
        <v>70</v>
      </c>
      <c r="CU181" s="214" t="s">
        <v>530</v>
      </c>
      <c r="CW181" s="214" t="s">
        <v>12145</v>
      </c>
      <c r="CX181" s="214" t="s">
        <v>34618</v>
      </c>
      <c r="CY181" s="214" t="s">
        <v>70</v>
      </c>
      <c r="CZ181" s="214" t="s">
        <v>530</v>
      </c>
      <c r="DB181" s="214" t="s">
        <v>12146</v>
      </c>
      <c r="DC181" s="214" t="s">
        <v>488</v>
      </c>
      <c r="DD181" s="214" t="s">
        <v>70</v>
      </c>
      <c r="DE181" s="214" t="s">
        <v>530</v>
      </c>
      <c r="DG181" s="214" t="s">
        <v>12147</v>
      </c>
      <c r="DH181" s="214" t="s">
        <v>34551</v>
      </c>
      <c r="DI181" s="214" t="s">
        <v>70</v>
      </c>
      <c r="DJ181" s="214" t="s">
        <v>530</v>
      </c>
      <c r="DL181" s="214" t="s">
        <v>12148</v>
      </c>
      <c r="DM181" s="214" t="s">
        <v>34516</v>
      </c>
      <c r="DN181" s="214" t="s">
        <v>70</v>
      </c>
      <c r="DO181" s="214" t="s">
        <v>530</v>
      </c>
      <c r="DQ181" s="214" t="s">
        <v>12149</v>
      </c>
      <c r="DR181" s="214" t="s">
        <v>486</v>
      </c>
      <c r="DS181" s="214" t="s">
        <v>70</v>
      </c>
      <c r="DT181" s="214" t="s">
        <v>530</v>
      </c>
      <c r="DV181" s="214" t="s">
        <v>12150</v>
      </c>
      <c r="DW181" s="214" t="s">
        <v>486</v>
      </c>
      <c r="DX181" s="214" t="s">
        <v>70</v>
      </c>
      <c r="DY181" s="214" t="s">
        <v>530</v>
      </c>
      <c r="EA181" s="214" t="s">
        <v>12151</v>
      </c>
      <c r="EB181" s="214" t="s">
        <v>955</v>
      </c>
      <c r="EC181" s="214" t="s">
        <v>70</v>
      </c>
      <c r="ED181" s="214" t="s">
        <v>530</v>
      </c>
      <c r="EF181" s="214" t="s">
        <v>12152</v>
      </c>
      <c r="EG181" s="214" t="s">
        <v>93</v>
      </c>
      <c r="EH181" s="214" t="s">
        <v>70</v>
      </c>
      <c r="EI181" s="214" t="s">
        <v>530</v>
      </c>
      <c r="EK181" s="214" t="s">
        <v>12153</v>
      </c>
      <c r="EL181" s="214" t="s">
        <v>956</v>
      </c>
      <c r="EM181" s="214" t="s">
        <v>70</v>
      </c>
      <c r="EN181" s="214" t="s">
        <v>530</v>
      </c>
      <c r="EP181" s="214" t="s">
        <v>12154</v>
      </c>
      <c r="EQ181" s="214" t="s">
        <v>10541</v>
      </c>
      <c r="ER181" s="214" t="s">
        <v>70</v>
      </c>
      <c r="ES181" s="214" t="s">
        <v>530</v>
      </c>
      <c r="EU181" s="214" t="s">
        <v>12155</v>
      </c>
      <c r="EV181" s="214" t="s">
        <v>52</v>
      </c>
      <c r="EW181" s="214" t="s">
        <v>70</v>
      </c>
      <c r="EX181" s="214" t="s">
        <v>530</v>
      </c>
      <c r="EZ181" s="214" t="s">
        <v>12156</v>
      </c>
      <c r="FA181" s="214" t="s">
        <v>496</v>
      </c>
      <c r="FB181" s="214" t="s">
        <v>70</v>
      </c>
      <c r="FC181" s="214" t="s">
        <v>530</v>
      </c>
      <c r="FE181" s="214" t="s">
        <v>12157</v>
      </c>
      <c r="FF181" s="214" t="s">
        <v>52</v>
      </c>
      <c r="FG181" s="214" t="s">
        <v>70</v>
      </c>
      <c r="FH181" s="214" t="s">
        <v>530</v>
      </c>
      <c r="FJ181" s="321" t="s">
        <v>12158</v>
      </c>
      <c r="FK181" s="214" t="s">
        <v>956</v>
      </c>
      <c r="FL181" s="214" t="s">
        <v>70</v>
      </c>
      <c r="FM181" s="214" t="s">
        <v>530</v>
      </c>
      <c r="FO181" s="321" t="s">
        <v>12159</v>
      </c>
      <c r="FP181" s="214" t="s">
        <v>497</v>
      </c>
      <c r="FQ181" s="214" t="s">
        <v>70</v>
      </c>
      <c r="FR181" s="214" t="s">
        <v>530</v>
      </c>
      <c r="FT181" s="321" t="s">
        <v>12160</v>
      </c>
      <c r="FU181" s="214" t="s">
        <v>34589</v>
      </c>
      <c r="FV181" s="214" t="s">
        <v>70</v>
      </c>
      <c r="FW181" s="214" t="s">
        <v>530</v>
      </c>
      <c r="FY181" s="321" t="s">
        <v>12161</v>
      </c>
      <c r="FZ181" s="214" t="s">
        <v>34539</v>
      </c>
      <c r="GA181" s="214" t="s">
        <v>70</v>
      </c>
      <c r="GB181" s="214" t="s">
        <v>530</v>
      </c>
      <c r="GD181" s="321" t="s">
        <v>12162</v>
      </c>
      <c r="GE181" s="214" t="s">
        <v>501</v>
      </c>
      <c r="GF181" s="214" t="s">
        <v>70</v>
      </c>
      <c r="GG181" s="214" t="s">
        <v>530</v>
      </c>
      <c r="GI181" s="321" t="s">
        <v>12163</v>
      </c>
      <c r="GJ181" s="214" t="s">
        <v>34551</v>
      </c>
      <c r="GK181" s="214" t="s">
        <v>70</v>
      </c>
      <c r="GL181" s="214" t="s">
        <v>530</v>
      </c>
      <c r="GN181" s="321" t="s">
        <v>12164</v>
      </c>
      <c r="GO181" s="214" t="s">
        <v>34541</v>
      </c>
      <c r="GP181" s="214" t="s">
        <v>70</v>
      </c>
      <c r="GQ181" s="214" t="s">
        <v>530</v>
      </c>
      <c r="GS181" s="321" t="s">
        <v>12165</v>
      </c>
      <c r="GT181" s="214" t="s">
        <v>34541</v>
      </c>
      <c r="GU181" s="214" t="s">
        <v>70</v>
      </c>
      <c r="GV181" s="214" t="s">
        <v>530</v>
      </c>
      <c r="GX181" s="214" t="s">
        <v>12166</v>
      </c>
      <c r="GY181" s="214" t="s">
        <v>955</v>
      </c>
      <c r="GZ181" s="214" t="s">
        <v>70</v>
      </c>
      <c r="HA181" s="214" t="s">
        <v>530</v>
      </c>
      <c r="HC181" s="214" t="s">
        <v>12167</v>
      </c>
      <c r="HD181" s="214" t="s">
        <v>34541</v>
      </c>
      <c r="HE181" s="214" t="s">
        <v>70</v>
      </c>
      <c r="HF181" s="214" t="s">
        <v>530</v>
      </c>
      <c r="HH181" s="214" t="s">
        <v>12168</v>
      </c>
      <c r="HI181" s="214" t="s">
        <v>955</v>
      </c>
      <c r="HJ181" s="214" t="s">
        <v>70</v>
      </c>
      <c r="HK181" s="214" t="s">
        <v>530</v>
      </c>
      <c r="HM181" s="214" t="s">
        <v>12169</v>
      </c>
      <c r="HN181" s="214" t="s">
        <v>955</v>
      </c>
      <c r="HO181" s="214" t="s">
        <v>70</v>
      </c>
      <c r="HP181" s="214" t="s">
        <v>530</v>
      </c>
      <c r="HR181" s="22" t="s">
        <v>12170</v>
      </c>
      <c r="HS181" s="22" t="s">
        <v>486</v>
      </c>
      <c r="HT181" s="22" t="s">
        <v>70</v>
      </c>
      <c r="HU181" s="214" t="s">
        <v>530</v>
      </c>
      <c r="HW181" s="22" t="s">
        <v>12171</v>
      </c>
      <c r="HX181" s="22" t="s">
        <v>484</v>
      </c>
      <c r="HY181" s="22" t="s">
        <v>70</v>
      </c>
      <c r="HZ181" s="214" t="s">
        <v>530</v>
      </c>
      <c r="IB181" s="22" t="s">
        <v>12172</v>
      </c>
      <c r="IC181" s="22" t="s">
        <v>955</v>
      </c>
      <c r="ID181" s="22" t="s">
        <v>70</v>
      </c>
      <c r="IE181" s="214" t="s">
        <v>530</v>
      </c>
      <c r="IG181" s="22" t="s">
        <v>12173</v>
      </c>
      <c r="IH181" s="22" t="s">
        <v>293</v>
      </c>
      <c r="II181" s="22" t="s">
        <v>70</v>
      </c>
      <c r="IJ181" s="214" t="s">
        <v>530</v>
      </c>
      <c r="IL181" s="22" t="s">
        <v>12174</v>
      </c>
      <c r="IM181" s="22" t="s">
        <v>145</v>
      </c>
      <c r="IN181" s="22" t="s">
        <v>70</v>
      </c>
      <c r="IO181" s="214" t="s">
        <v>530</v>
      </c>
      <c r="IQ181" s="236" t="s">
        <v>12175</v>
      </c>
      <c r="IR181" s="236" t="s">
        <v>145</v>
      </c>
      <c r="IS181" s="236" t="s">
        <v>74</v>
      </c>
      <c r="IT181" s="236" t="s">
        <v>841</v>
      </c>
      <c r="IV181" s="236" t="s">
        <v>12176</v>
      </c>
      <c r="IW181" s="236" t="s">
        <v>145</v>
      </c>
      <c r="IX181" s="236" t="s">
        <v>74</v>
      </c>
      <c r="IY181" s="236" t="s">
        <v>841</v>
      </c>
      <c r="JA181" s="236" t="s">
        <v>12177</v>
      </c>
      <c r="JB181" s="236" t="s">
        <v>145</v>
      </c>
      <c r="JC181" s="236" t="s">
        <v>74</v>
      </c>
      <c r="JD181" s="236" t="s">
        <v>841</v>
      </c>
      <c r="JF181" s="236" t="s">
        <v>12178</v>
      </c>
      <c r="JG181" s="236" t="s">
        <v>145</v>
      </c>
      <c r="JH181" s="236" t="s">
        <v>74</v>
      </c>
      <c r="JI181" s="236" t="s">
        <v>841</v>
      </c>
      <c r="JK181" s="236" t="s">
        <v>12179</v>
      </c>
      <c r="JL181" s="236" t="s">
        <v>145</v>
      </c>
      <c r="JM181" s="236" t="s">
        <v>74</v>
      </c>
      <c r="JN181" s="236" t="s">
        <v>841</v>
      </c>
      <c r="JP181" s="236" t="s">
        <v>12180</v>
      </c>
      <c r="JQ181" s="236" t="s">
        <v>145</v>
      </c>
      <c r="JR181" s="236" t="s">
        <v>74</v>
      </c>
      <c r="JS181" s="236" t="s">
        <v>841</v>
      </c>
      <c r="JU181" s="294" t="s">
        <v>12181</v>
      </c>
      <c r="JV181" s="294" t="s">
        <v>52</v>
      </c>
      <c r="JW181" s="263" t="s">
        <v>70</v>
      </c>
      <c r="JX181" s="294" t="s">
        <v>1083</v>
      </c>
      <c r="JZ181" s="263" t="s">
        <v>12182</v>
      </c>
      <c r="KA181" s="263" t="s">
        <v>145</v>
      </c>
      <c r="KB181" s="263" t="s">
        <v>70</v>
      </c>
      <c r="KC181" s="263" t="s">
        <v>1083</v>
      </c>
      <c r="KE181" s="263" t="s">
        <v>12183</v>
      </c>
      <c r="KF181" s="263" t="s">
        <v>52</v>
      </c>
      <c r="KG181" s="263" t="s">
        <v>70</v>
      </c>
      <c r="KH181" s="263" t="s">
        <v>1083</v>
      </c>
      <c r="KJ181" s="263" t="s">
        <v>12184</v>
      </c>
      <c r="KK181" s="263" t="s">
        <v>52</v>
      </c>
      <c r="KL181" s="263" t="s">
        <v>74</v>
      </c>
      <c r="KM181" s="263" t="s">
        <v>34074</v>
      </c>
      <c r="KO181" s="214" t="s">
        <v>12185</v>
      </c>
      <c r="KP181" s="214" t="s">
        <v>145</v>
      </c>
      <c r="KQ181" s="214" t="s">
        <v>70</v>
      </c>
      <c r="KR181" s="214" t="s">
        <v>67</v>
      </c>
      <c r="KT181" s="22" t="s">
        <v>12186</v>
      </c>
      <c r="KU181" s="22" t="s">
        <v>145</v>
      </c>
      <c r="KV181" s="22" t="s">
        <v>70</v>
      </c>
      <c r="KW181" s="22" t="s">
        <v>67</v>
      </c>
      <c r="KY181" s="214" t="s">
        <v>12187</v>
      </c>
      <c r="KZ181" s="214" t="s">
        <v>52</v>
      </c>
      <c r="LA181" s="214" t="s">
        <v>74</v>
      </c>
      <c r="LB181" s="214" t="s">
        <v>67</v>
      </c>
      <c r="LD181" s="22" t="s">
        <v>12188</v>
      </c>
      <c r="LE181" s="22" t="s">
        <v>145</v>
      </c>
      <c r="LF181" s="22" t="s">
        <v>70</v>
      </c>
      <c r="LG181" s="22" t="s">
        <v>67</v>
      </c>
    </row>
    <row r="182" spans="1:319">
      <c r="A182" s="22" t="s">
        <v>12189</v>
      </c>
      <c r="B182" s="22" t="s">
        <v>145</v>
      </c>
      <c r="C182" s="22" t="s">
        <v>70</v>
      </c>
      <c r="D182" s="22" t="s">
        <v>67</v>
      </c>
      <c r="F182" s="23" t="s">
        <v>12190</v>
      </c>
      <c r="G182" s="23" t="str">
        <f>TVIIBE1M_CalPairs!$E179</f>
        <v>0x17</v>
      </c>
      <c r="H182" s="23" t="s">
        <v>72</v>
      </c>
      <c r="I182" s="23" t="str">
        <f>TVIIBE1M_CalPairs!$C179</f>
        <v>BACKUP_TRIM_VAL0</v>
      </c>
      <c r="K182" s="22" t="s">
        <v>12191</v>
      </c>
      <c r="L182" s="22" t="s">
        <v>145</v>
      </c>
      <c r="M182" s="22" t="s">
        <v>70</v>
      </c>
      <c r="N182" s="22" t="s">
        <v>67</v>
      </c>
      <c r="P182" s="22" t="s">
        <v>12192</v>
      </c>
      <c r="Q182" s="22" t="s">
        <v>145</v>
      </c>
      <c r="R182" s="22" t="s">
        <v>70</v>
      </c>
      <c r="S182" s="22" t="s">
        <v>67</v>
      </c>
      <c r="U182" s="293" t="s">
        <v>12193</v>
      </c>
      <c r="V182" s="293" t="s">
        <v>145</v>
      </c>
      <c r="W182" s="293" t="s">
        <v>74</v>
      </c>
      <c r="X182" s="293" t="s">
        <v>656</v>
      </c>
      <c r="Z182" s="293" t="s">
        <v>12194</v>
      </c>
      <c r="AA182" s="293" t="s">
        <v>145</v>
      </c>
      <c r="AB182" s="293" t="s">
        <v>74</v>
      </c>
      <c r="AC182" s="293" t="s">
        <v>656</v>
      </c>
      <c r="AE182" s="293" t="s">
        <v>12195</v>
      </c>
      <c r="AF182" s="293" t="s">
        <v>145</v>
      </c>
      <c r="AG182" s="293" t="s">
        <v>74</v>
      </c>
      <c r="AH182" s="293" t="s">
        <v>656</v>
      </c>
      <c r="AJ182" s="293" t="s">
        <v>12196</v>
      </c>
      <c r="AK182" s="293" t="s">
        <v>145</v>
      </c>
      <c r="AL182" s="293" t="s">
        <v>74</v>
      </c>
      <c r="AM182" s="293" t="s">
        <v>656</v>
      </c>
      <c r="AO182" s="22" t="s">
        <v>12197</v>
      </c>
      <c r="AP182" s="22" t="s">
        <v>145</v>
      </c>
      <c r="AQ182" s="22" t="s">
        <v>70</v>
      </c>
      <c r="AR182" s="22" t="s">
        <v>67</v>
      </c>
      <c r="AT182" s="22" t="s">
        <v>12198</v>
      </c>
      <c r="AU182" s="22" t="s">
        <v>145</v>
      </c>
      <c r="AV182" s="22" t="s">
        <v>70</v>
      </c>
      <c r="AW182" s="22" t="s">
        <v>67</v>
      </c>
      <c r="AY182" s="22" t="s">
        <v>12199</v>
      </c>
      <c r="AZ182" s="22" t="s">
        <v>145</v>
      </c>
      <c r="BA182" s="22" t="s">
        <v>70</v>
      </c>
      <c r="BB182" s="22" t="s">
        <v>67</v>
      </c>
      <c r="BD182" s="22" t="s">
        <v>12200</v>
      </c>
      <c r="BE182" s="22" t="s">
        <v>145</v>
      </c>
      <c r="BF182" s="22" t="s">
        <v>70</v>
      </c>
      <c r="BG182" s="22" t="s">
        <v>67</v>
      </c>
      <c r="BI182" s="22" t="s">
        <v>12201</v>
      </c>
      <c r="BJ182" s="22" t="s">
        <v>145</v>
      </c>
      <c r="BK182" s="22" t="s">
        <v>70</v>
      </c>
      <c r="BL182" s="22" t="s">
        <v>67</v>
      </c>
      <c r="BN182" s="22" t="s">
        <v>12202</v>
      </c>
      <c r="BO182" s="22" t="s">
        <v>145</v>
      </c>
      <c r="BP182" s="22" t="s">
        <v>70</v>
      </c>
      <c r="BQ182" s="22" t="s">
        <v>67</v>
      </c>
      <c r="BS182" s="22" t="s">
        <v>12203</v>
      </c>
      <c r="BT182" s="22" t="s">
        <v>145</v>
      </c>
      <c r="BU182" s="22" t="s">
        <v>70</v>
      </c>
      <c r="BV182" s="214" t="s">
        <v>530</v>
      </c>
      <c r="BX182" s="22" t="s">
        <v>12204</v>
      </c>
      <c r="BY182" s="22" t="s">
        <v>145</v>
      </c>
      <c r="BZ182" s="22" t="s">
        <v>70</v>
      </c>
      <c r="CA182" s="214" t="s">
        <v>530</v>
      </c>
      <c r="CC182" s="214" t="s">
        <v>12205</v>
      </c>
      <c r="CD182" s="218" t="s">
        <v>145</v>
      </c>
      <c r="CE182" s="214" t="s">
        <v>70</v>
      </c>
      <c r="CF182" s="214" t="s">
        <v>542</v>
      </c>
      <c r="CH182" s="214" t="s">
        <v>12206</v>
      </c>
      <c r="CI182" s="214" t="s">
        <v>956</v>
      </c>
      <c r="CJ182" s="214" t="s">
        <v>70</v>
      </c>
      <c r="CK182" s="214" t="s">
        <v>530</v>
      </c>
      <c r="CM182" s="322" t="s">
        <v>12207</v>
      </c>
      <c r="CN182" s="214" t="s">
        <v>938</v>
      </c>
      <c r="CO182" s="214" t="s">
        <v>70</v>
      </c>
      <c r="CP182" s="214" t="s">
        <v>530</v>
      </c>
      <c r="CR182" s="214" t="s">
        <v>12208</v>
      </c>
      <c r="CS182" s="214" t="s">
        <v>34618</v>
      </c>
      <c r="CT182" s="214" t="s">
        <v>70</v>
      </c>
      <c r="CU182" s="214" t="s">
        <v>530</v>
      </c>
      <c r="CW182" s="214" t="s">
        <v>12209</v>
      </c>
      <c r="CX182" s="214" t="s">
        <v>34545</v>
      </c>
      <c r="CY182" s="214" t="s">
        <v>70</v>
      </c>
      <c r="CZ182" s="214" t="s">
        <v>530</v>
      </c>
      <c r="DB182" s="214" t="s">
        <v>12210</v>
      </c>
      <c r="DC182" s="214" t="s">
        <v>468</v>
      </c>
      <c r="DD182" s="214" t="s">
        <v>70</v>
      </c>
      <c r="DE182" s="214" t="s">
        <v>530</v>
      </c>
      <c r="DG182" s="214" t="s">
        <v>12211</v>
      </c>
      <c r="DH182" s="214" t="s">
        <v>481</v>
      </c>
      <c r="DI182" s="214" t="s">
        <v>70</v>
      </c>
      <c r="DJ182" s="214" t="s">
        <v>530</v>
      </c>
      <c r="DL182" s="214" t="s">
        <v>12212</v>
      </c>
      <c r="DM182" s="214" t="s">
        <v>34545</v>
      </c>
      <c r="DN182" s="214" t="s">
        <v>70</v>
      </c>
      <c r="DO182" s="214" t="s">
        <v>530</v>
      </c>
      <c r="DQ182" s="214" t="s">
        <v>12213</v>
      </c>
      <c r="DR182" s="214" t="s">
        <v>636</v>
      </c>
      <c r="DS182" s="214" t="s">
        <v>70</v>
      </c>
      <c r="DT182" s="214" t="s">
        <v>530</v>
      </c>
      <c r="DV182" s="214" t="s">
        <v>12214</v>
      </c>
      <c r="DW182" s="214" t="s">
        <v>495</v>
      </c>
      <c r="DX182" s="214" t="s">
        <v>70</v>
      </c>
      <c r="DY182" s="214" t="s">
        <v>530</v>
      </c>
      <c r="EA182" s="214" t="s">
        <v>12215</v>
      </c>
      <c r="EB182" s="214" t="s">
        <v>90</v>
      </c>
      <c r="EC182" s="214" t="s">
        <v>70</v>
      </c>
      <c r="ED182" s="214" t="s">
        <v>530</v>
      </c>
      <c r="EF182" s="214" t="s">
        <v>12216</v>
      </c>
      <c r="EG182" s="214" t="s">
        <v>149</v>
      </c>
      <c r="EH182" s="214" t="s">
        <v>70</v>
      </c>
      <c r="EI182" s="214" t="s">
        <v>530</v>
      </c>
      <c r="EK182" s="214" t="s">
        <v>12217</v>
      </c>
      <c r="EL182" s="214" t="s">
        <v>145</v>
      </c>
      <c r="EM182" s="214" t="s">
        <v>70</v>
      </c>
      <c r="EN182" s="214" t="s">
        <v>530</v>
      </c>
      <c r="EP182" s="214" t="s">
        <v>12218</v>
      </c>
      <c r="EQ182" s="214" t="s">
        <v>34604</v>
      </c>
      <c r="ER182" s="214" t="s">
        <v>70</v>
      </c>
      <c r="ES182" s="214" t="s">
        <v>530</v>
      </c>
      <c r="EU182" s="214" t="s">
        <v>12219</v>
      </c>
      <c r="EV182" s="214" t="s">
        <v>145</v>
      </c>
      <c r="EW182" s="214" t="s">
        <v>70</v>
      </c>
      <c r="EX182" s="214" t="s">
        <v>530</v>
      </c>
      <c r="EZ182" s="214" t="s">
        <v>12220</v>
      </c>
      <c r="FA182" s="214" t="s">
        <v>950</v>
      </c>
      <c r="FB182" s="214" t="s">
        <v>70</v>
      </c>
      <c r="FC182" s="214" t="s">
        <v>530</v>
      </c>
      <c r="FE182" s="214" t="s">
        <v>12221</v>
      </c>
      <c r="FF182" s="214" t="s">
        <v>145</v>
      </c>
      <c r="FG182" s="214" t="s">
        <v>70</v>
      </c>
      <c r="FH182" s="214" t="s">
        <v>530</v>
      </c>
      <c r="FJ182" s="321" t="s">
        <v>12222</v>
      </c>
      <c r="FK182" s="214" t="s">
        <v>146</v>
      </c>
      <c r="FL182" s="214" t="s">
        <v>70</v>
      </c>
      <c r="FM182" s="214" t="s">
        <v>530</v>
      </c>
      <c r="FO182" s="321" t="s">
        <v>12223</v>
      </c>
      <c r="FP182" s="214" t="s">
        <v>935</v>
      </c>
      <c r="FQ182" s="214" t="s">
        <v>70</v>
      </c>
      <c r="FR182" s="214" t="s">
        <v>530</v>
      </c>
      <c r="FT182" s="321" t="s">
        <v>12224</v>
      </c>
      <c r="FU182" s="214" t="s">
        <v>468</v>
      </c>
      <c r="FV182" s="214" t="s">
        <v>70</v>
      </c>
      <c r="FW182" s="214" t="s">
        <v>530</v>
      </c>
      <c r="FY182" s="321" t="s">
        <v>12225</v>
      </c>
      <c r="FZ182" s="214" t="s">
        <v>90</v>
      </c>
      <c r="GA182" s="214" t="s">
        <v>70</v>
      </c>
      <c r="GB182" s="214" t="s">
        <v>530</v>
      </c>
      <c r="GD182" s="321" t="s">
        <v>12226</v>
      </c>
      <c r="GE182" s="214" t="s">
        <v>149</v>
      </c>
      <c r="GF182" s="214" t="s">
        <v>70</v>
      </c>
      <c r="GG182" s="214" t="s">
        <v>530</v>
      </c>
      <c r="GI182" s="321" t="s">
        <v>12227</v>
      </c>
      <c r="GJ182" s="214" t="s">
        <v>34654</v>
      </c>
      <c r="GK182" s="214" t="s">
        <v>70</v>
      </c>
      <c r="GL182" s="214" t="s">
        <v>530</v>
      </c>
      <c r="GN182" s="321" t="s">
        <v>12228</v>
      </c>
      <c r="GO182" s="214" t="s">
        <v>485</v>
      </c>
      <c r="GP182" s="214" t="s">
        <v>70</v>
      </c>
      <c r="GQ182" s="214" t="s">
        <v>530</v>
      </c>
      <c r="GS182" s="321" t="s">
        <v>12229</v>
      </c>
      <c r="GT182" s="214" t="s">
        <v>641</v>
      </c>
      <c r="GU182" s="214" t="s">
        <v>70</v>
      </c>
      <c r="GV182" s="214" t="s">
        <v>530</v>
      </c>
      <c r="GX182" s="214" t="s">
        <v>12230</v>
      </c>
      <c r="GY182" s="214" t="s">
        <v>52</v>
      </c>
      <c r="GZ182" s="214" t="s">
        <v>70</v>
      </c>
      <c r="HA182" s="214" t="s">
        <v>530</v>
      </c>
      <c r="HC182" s="214" t="s">
        <v>12231</v>
      </c>
      <c r="HD182" s="214" t="s">
        <v>90</v>
      </c>
      <c r="HE182" s="214" t="s">
        <v>70</v>
      </c>
      <c r="HF182" s="214" t="s">
        <v>530</v>
      </c>
      <c r="HH182" s="214" t="s">
        <v>12232</v>
      </c>
      <c r="HI182" s="214" t="s">
        <v>145</v>
      </c>
      <c r="HJ182" s="214" t="s">
        <v>70</v>
      </c>
      <c r="HK182" s="214" t="s">
        <v>530</v>
      </c>
      <c r="HM182" s="214" t="s">
        <v>12233</v>
      </c>
      <c r="HN182" s="214" t="s">
        <v>145</v>
      </c>
      <c r="HO182" s="214" t="s">
        <v>70</v>
      </c>
      <c r="HP182" s="214" t="s">
        <v>530</v>
      </c>
      <c r="HR182" s="22" t="s">
        <v>12234</v>
      </c>
      <c r="HS182" s="22" t="s">
        <v>501</v>
      </c>
      <c r="HT182" s="22" t="s">
        <v>70</v>
      </c>
      <c r="HU182" s="214" t="s">
        <v>530</v>
      </c>
      <c r="HW182" s="22" t="s">
        <v>12235</v>
      </c>
      <c r="HX182" s="22" t="s">
        <v>90</v>
      </c>
      <c r="HY182" s="22" t="s">
        <v>70</v>
      </c>
      <c r="HZ182" s="214" t="s">
        <v>530</v>
      </c>
      <c r="IB182" s="22" t="s">
        <v>12236</v>
      </c>
      <c r="IC182" s="22" t="s">
        <v>88</v>
      </c>
      <c r="ID182" s="22" t="s">
        <v>70</v>
      </c>
      <c r="IE182" s="214" t="s">
        <v>530</v>
      </c>
      <c r="IG182" s="22" t="s">
        <v>12237</v>
      </c>
      <c r="IH182" s="22" t="s">
        <v>496</v>
      </c>
      <c r="II182" s="22" t="s">
        <v>70</v>
      </c>
      <c r="IJ182" s="214" t="s">
        <v>530</v>
      </c>
      <c r="IL182" s="22" t="s">
        <v>12238</v>
      </c>
      <c r="IM182" s="22" t="s">
        <v>145</v>
      </c>
      <c r="IN182" s="22" t="s">
        <v>70</v>
      </c>
      <c r="IO182" s="214" t="s">
        <v>530</v>
      </c>
      <c r="IQ182" s="236" t="s">
        <v>12239</v>
      </c>
      <c r="IR182" s="236" t="s">
        <v>145</v>
      </c>
      <c r="IS182" s="236" t="s">
        <v>74</v>
      </c>
      <c r="IT182" s="236" t="s">
        <v>841</v>
      </c>
      <c r="IV182" s="236" t="s">
        <v>12240</v>
      </c>
      <c r="IW182" s="236" t="s">
        <v>145</v>
      </c>
      <c r="IX182" s="236" t="s">
        <v>74</v>
      </c>
      <c r="IY182" s="236" t="s">
        <v>841</v>
      </c>
      <c r="JA182" s="236" t="s">
        <v>12241</v>
      </c>
      <c r="JB182" s="236" t="s">
        <v>145</v>
      </c>
      <c r="JC182" s="236" t="s">
        <v>74</v>
      </c>
      <c r="JD182" s="236" t="s">
        <v>841</v>
      </c>
      <c r="JF182" s="236" t="s">
        <v>12242</v>
      </c>
      <c r="JG182" s="236" t="s">
        <v>145</v>
      </c>
      <c r="JH182" s="236" t="s">
        <v>74</v>
      </c>
      <c r="JI182" s="236" t="s">
        <v>841</v>
      </c>
      <c r="JK182" s="236" t="s">
        <v>12243</v>
      </c>
      <c r="JL182" s="236" t="s">
        <v>145</v>
      </c>
      <c r="JM182" s="236" t="s">
        <v>74</v>
      </c>
      <c r="JN182" s="236" t="s">
        <v>841</v>
      </c>
      <c r="JP182" s="236" t="s">
        <v>12244</v>
      </c>
      <c r="JQ182" s="236" t="s">
        <v>145</v>
      </c>
      <c r="JR182" s="236" t="s">
        <v>74</v>
      </c>
      <c r="JS182" s="236" t="s">
        <v>841</v>
      </c>
      <c r="JU182" s="294" t="s">
        <v>12245</v>
      </c>
      <c r="JV182" s="294" t="s">
        <v>52</v>
      </c>
      <c r="JW182" s="263" t="s">
        <v>70</v>
      </c>
      <c r="JX182" s="294" t="s">
        <v>1083</v>
      </c>
      <c r="JZ182" s="263" t="s">
        <v>12246</v>
      </c>
      <c r="KA182" s="263" t="s">
        <v>145</v>
      </c>
      <c r="KB182" s="263" t="s">
        <v>70</v>
      </c>
      <c r="KC182" s="263" t="s">
        <v>1083</v>
      </c>
      <c r="KE182" s="263" t="s">
        <v>12247</v>
      </c>
      <c r="KF182" s="263" t="s">
        <v>52</v>
      </c>
      <c r="KG182" s="263" t="s">
        <v>70</v>
      </c>
      <c r="KH182" s="263" t="s">
        <v>1083</v>
      </c>
      <c r="KJ182" s="263" t="s">
        <v>12248</v>
      </c>
      <c r="KK182" s="263" t="s">
        <v>52</v>
      </c>
      <c r="KL182" s="263" t="s">
        <v>74</v>
      </c>
      <c r="KM182" s="263" t="s">
        <v>34074</v>
      </c>
      <c r="KO182" s="214" t="s">
        <v>12249</v>
      </c>
      <c r="KP182" s="214" t="s">
        <v>145</v>
      </c>
      <c r="KQ182" s="214" t="s">
        <v>70</v>
      </c>
      <c r="KR182" s="214" t="s">
        <v>67</v>
      </c>
      <c r="KT182" s="22" t="s">
        <v>12250</v>
      </c>
      <c r="KU182" s="22" t="s">
        <v>145</v>
      </c>
      <c r="KV182" s="22" t="s">
        <v>70</v>
      </c>
      <c r="KW182" s="22" t="s">
        <v>67</v>
      </c>
      <c r="KY182" s="214" t="s">
        <v>12251</v>
      </c>
      <c r="KZ182" s="214" t="s">
        <v>52</v>
      </c>
      <c r="LA182" s="214" t="s">
        <v>74</v>
      </c>
      <c r="LB182" s="214" t="s">
        <v>67</v>
      </c>
      <c r="LD182" s="22" t="s">
        <v>12252</v>
      </c>
      <c r="LE182" s="22" t="s">
        <v>145</v>
      </c>
      <c r="LF182" s="22" t="s">
        <v>70</v>
      </c>
      <c r="LG182" s="22" t="s">
        <v>67</v>
      </c>
    </row>
    <row r="183" spans="1:319">
      <c r="A183" s="22" t="s">
        <v>12253</v>
      </c>
      <c r="B183" s="22" t="s">
        <v>145</v>
      </c>
      <c r="C183" s="22" t="s">
        <v>70</v>
      </c>
      <c r="D183" s="22" t="s">
        <v>67</v>
      </c>
      <c r="F183" s="23" t="s">
        <v>12254</v>
      </c>
      <c r="G183" s="233" t="str">
        <f>TVIIBE1M_CalPairs!$E180</f>
        <v>0x12</v>
      </c>
      <c r="H183" s="23" t="s">
        <v>72</v>
      </c>
      <c r="I183" s="23" t="str">
        <f>TVIIBE1M_CalPairs!$C180</f>
        <v>BACKUP_TRIM_VAL1</v>
      </c>
      <c r="K183" s="22" t="s">
        <v>12255</v>
      </c>
      <c r="L183" s="22" t="s">
        <v>145</v>
      </c>
      <c r="M183" s="22" t="s">
        <v>70</v>
      </c>
      <c r="N183" s="22" t="s">
        <v>67</v>
      </c>
      <c r="P183" s="22" t="s">
        <v>12256</v>
      </c>
      <c r="Q183" s="22" t="s">
        <v>145</v>
      </c>
      <c r="R183" s="22" t="s">
        <v>70</v>
      </c>
      <c r="S183" s="22" t="s">
        <v>67</v>
      </c>
      <c r="U183" s="293" t="s">
        <v>12257</v>
      </c>
      <c r="V183" s="293" t="s">
        <v>145</v>
      </c>
      <c r="W183" s="293" t="s">
        <v>74</v>
      </c>
      <c r="X183" s="293" t="s">
        <v>656</v>
      </c>
      <c r="Z183" s="293" t="s">
        <v>12258</v>
      </c>
      <c r="AA183" s="293" t="s">
        <v>145</v>
      </c>
      <c r="AB183" s="293" t="s">
        <v>74</v>
      </c>
      <c r="AC183" s="293" t="s">
        <v>656</v>
      </c>
      <c r="AE183" s="293" t="s">
        <v>12259</v>
      </c>
      <c r="AF183" s="293" t="s">
        <v>145</v>
      </c>
      <c r="AG183" s="293" t="s">
        <v>74</v>
      </c>
      <c r="AH183" s="293" t="s">
        <v>656</v>
      </c>
      <c r="AJ183" s="293" t="s">
        <v>12260</v>
      </c>
      <c r="AK183" s="293" t="s">
        <v>145</v>
      </c>
      <c r="AL183" s="293" t="s">
        <v>74</v>
      </c>
      <c r="AM183" s="293" t="s">
        <v>656</v>
      </c>
      <c r="AO183" s="22" t="s">
        <v>12261</v>
      </c>
      <c r="AP183" s="22" t="s">
        <v>145</v>
      </c>
      <c r="AQ183" s="22" t="s">
        <v>70</v>
      </c>
      <c r="AR183" s="22" t="s">
        <v>67</v>
      </c>
      <c r="AT183" s="22" t="s">
        <v>12262</v>
      </c>
      <c r="AU183" s="22" t="s">
        <v>145</v>
      </c>
      <c r="AV183" s="22" t="s">
        <v>70</v>
      </c>
      <c r="AW183" s="22" t="s">
        <v>67</v>
      </c>
      <c r="AY183" s="22" t="s">
        <v>12263</v>
      </c>
      <c r="AZ183" s="22" t="s">
        <v>145</v>
      </c>
      <c r="BA183" s="22" t="s">
        <v>70</v>
      </c>
      <c r="BB183" s="22" t="s">
        <v>67</v>
      </c>
      <c r="BD183" s="22" t="s">
        <v>12264</v>
      </c>
      <c r="BE183" s="22" t="s">
        <v>145</v>
      </c>
      <c r="BF183" s="22" t="s">
        <v>70</v>
      </c>
      <c r="BG183" s="22" t="s">
        <v>67</v>
      </c>
      <c r="BI183" s="22" t="s">
        <v>12265</v>
      </c>
      <c r="BJ183" s="22" t="s">
        <v>145</v>
      </c>
      <c r="BK183" s="22" t="s">
        <v>70</v>
      </c>
      <c r="BL183" s="22" t="s">
        <v>67</v>
      </c>
      <c r="BN183" s="22" t="s">
        <v>12266</v>
      </c>
      <c r="BO183" s="22" t="s">
        <v>145</v>
      </c>
      <c r="BP183" s="22" t="s">
        <v>70</v>
      </c>
      <c r="BQ183" s="22" t="s">
        <v>67</v>
      </c>
      <c r="BS183" s="22" t="s">
        <v>12267</v>
      </c>
      <c r="BT183" s="22" t="s">
        <v>145</v>
      </c>
      <c r="BU183" s="22" t="s">
        <v>70</v>
      </c>
      <c r="BV183" s="214" t="s">
        <v>530</v>
      </c>
      <c r="BX183" s="22" t="s">
        <v>12268</v>
      </c>
      <c r="BY183" s="22" t="s">
        <v>145</v>
      </c>
      <c r="BZ183" s="22" t="s">
        <v>70</v>
      </c>
      <c r="CA183" s="214" t="s">
        <v>530</v>
      </c>
      <c r="CC183" s="214" t="s">
        <v>12269</v>
      </c>
      <c r="CD183" s="218" t="s">
        <v>145</v>
      </c>
      <c r="CE183" s="214" t="s">
        <v>70</v>
      </c>
      <c r="CF183" s="214" t="s">
        <v>543</v>
      </c>
      <c r="CH183" s="214" t="s">
        <v>12270</v>
      </c>
      <c r="CI183" s="214" t="s">
        <v>86</v>
      </c>
      <c r="CJ183" s="214" t="s">
        <v>70</v>
      </c>
      <c r="CK183" s="214" t="s">
        <v>530</v>
      </c>
      <c r="CM183" s="322" t="s">
        <v>12271</v>
      </c>
      <c r="CN183" s="214" t="s">
        <v>164</v>
      </c>
      <c r="CO183" s="214" t="s">
        <v>70</v>
      </c>
      <c r="CP183" s="214" t="s">
        <v>530</v>
      </c>
      <c r="CR183" s="214" t="s">
        <v>12272</v>
      </c>
      <c r="CS183" s="214" t="s">
        <v>486</v>
      </c>
      <c r="CT183" s="214" t="s">
        <v>70</v>
      </c>
      <c r="CU183" s="214" t="s">
        <v>530</v>
      </c>
      <c r="CW183" s="214" t="s">
        <v>12273</v>
      </c>
      <c r="CX183" s="214" t="s">
        <v>34551</v>
      </c>
      <c r="CY183" s="214" t="s">
        <v>70</v>
      </c>
      <c r="CZ183" s="214" t="s">
        <v>530</v>
      </c>
      <c r="DB183" s="214" t="s">
        <v>12274</v>
      </c>
      <c r="DC183" s="214" t="s">
        <v>484</v>
      </c>
      <c r="DD183" s="214" t="s">
        <v>70</v>
      </c>
      <c r="DE183" s="214" t="s">
        <v>530</v>
      </c>
      <c r="DG183" s="214" t="s">
        <v>12275</v>
      </c>
      <c r="DH183" s="214" t="s">
        <v>492</v>
      </c>
      <c r="DI183" s="214" t="s">
        <v>70</v>
      </c>
      <c r="DJ183" s="214" t="s">
        <v>530</v>
      </c>
      <c r="DL183" s="214" t="s">
        <v>12276</v>
      </c>
      <c r="DM183" s="214" t="s">
        <v>34542</v>
      </c>
      <c r="DN183" s="214" t="s">
        <v>70</v>
      </c>
      <c r="DO183" s="214" t="s">
        <v>530</v>
      </c>
      <c r="DQ183" s="214" t="s">
        <v>12277</v>
      </c>
      <c r="DR183" s="214" t="s">
        <v>484</v>
      </c>
      <c r="DS183" s="214" t="s">
        <v>70</v>
      </c>
      <c r="DT183" s="214" t="s">
        <v>530</v>
      </c>
      <c r="DV183" s="214" t="s">
        <v>12278</v>
      </c>
      <c r="DW183" s="214" t="s">
        <v>34629</v>
      </c>
      <c r="DX183" s="214" t="s">
        <v>70</v>
      </c>
      <c r="DY183" s="214" t="s">
        <v>530</v>
      </c>
      <c r="EA183" s="214" t="s">
        <v>12279</v>
      </c>
      <c r="EB183" s="214" t="s">
        <v>88</v>
      </c>
      <c r="EC183" s="214" t="s">
        <v>70</v>
      </c>
      <c r="ED183" s="214" t="s">
        <v>530</v>
      </c>
      <c r="EF183" s="214" t="s">
        <v>12280</v>
      </c>
      <c r="EG183" s="214" t="s">
        <v>34558</v>
      </c>
      <c r="EH183" s="214" t="s">
        <v>70</v>
      </c>
      <c r="EI183" s="214" t="s">
        <v>530</v>
      </c>
      <c r="EK183" s="214" t="s">
        <v>12281</v>
      </c>
      <c r="EL183" s="214" t="s">
        <v>34541</v>
      </c>
      <c r="EM183" s="214" t="s">
        <v>70</v>
      </c>
      <c r="EN183" s="214" t="s">
        <v>530</v>
      </c>
      <c r="EP183" s="214" t="s">
        <v>12282</v>
      </c>
      <c r="EQ183" s="214" t="s">
        <v>486</v>
      </c>
      <c r="ER183" s="214" t="s">
        <v>70</v>
      </c>
      <c r="ES183" s="214" t="s">
        <v>530</v>
      </c>
      <c r="EU183" s="214" t="s">
        <v>12283</v>
      </c>
      <c r="EV183" s="214" t="s">
        <v>34541</v>
      </c>
      <c r="EW183" s="214" t="s">
        <v>70</v>
      </c>
      <c r="EX183" s="214" t="s">
        <v>530</v>
      </c>
      <c r="EZ183" s="214" t="s">
        <v>12284</v>
      </c>
      <c r="FA183" s="214" t="s">
        <v>468</v>
      </c>
      <c r="FB183" s="214" t="s">
        <v>70</v>
      </c>
      <c r="FC183" s="214" t="s">
        <v>530</v>
      </c>
      <c r="FE183" s="214" t="s">
        <v>12285</v>
      </c>
      <c r="FF183" s="214" t="s">
        <v>34541</v>
      </c>
      <c r="FG183" s="214" t="s">
        <v>70</v>
      </c>
      <c r="FH183" s="214" t="s">
        <v>530</v>
      </c>
      <c r="FJ183" s="321" t="s">
        <v>12286</v>
      </c>
      <c r="FK183" s="214" t="s">
        <v>93</v>
      </c>
      <c r="FL183" s="214" t="s">
        <v>70</v>
      </c>
      <c r="FM183" s="214" t="s">
        <v>530</v>
      </c>
      <c r="FO183" s="321" t="s">
        <v>12287</v>
      </c>
      <c r="FP183" s="214" t="s">
        <v>34626</v>
      </c>
      <c r="FQ183" s="214" t="s">
        <v>70</v>
      </c>
      <c r="FR183" s="214" t="s">
        <v>530</v>
      </c>
      <c r="FT183" s="321" t="s">
        <v>12288</v>
      </c>
      <c r="FU183" s="214" t="s">
        <v>52</v>
      </c>
      <c r="FV183" s="214" t="s">
        <v>70</v>
      </c>
      <c r="FW183" s="214" t="s">
        <v>530</v>
      </c>
      <c r="FY183" s="321" t="s">
        <v>12289</v>
      </c>
      <c r="FZ183" s="214" t="s">
        <v>34567</v>
      </c>
      <c r="GA183" s="214" t="s">
        <v>70</v>
      </c>
      <c r="GB183" s="214" t="s">
        <v>530</v>
      </c>
      <c r="GD183" s="321" t="s">
        <v>12290</v>
      </c>
      <c r="GE183" s="214" t="s">
        <v>34542</v>
      </c>
      <c r="GF183" s="214" t="s">
        <v>70</v>
      </c>
      <c r="GG183" s="214" t="s">
        <v>530</v>
      </c>
      <c r="GI183" s="321" t="s">
        <v>12291</v>
      </c>
      <c r="GJ183" s="214" t="s">
        <v>52</v>
      </c>
      <c r="GK183" s="214" t="s">
        <v>70</v>
      </c>
      <c r="GL183" s="214" t="s">
        <v>530</v>
      </c>
      <c r="GN183" s="321" t="s">
        <v>12292</v>
      </c>
      <c r="GO183" s="214" t="s">
        <v>490</v>
      </c>
      <c r="GP183" s="214" t="s">
        <v>70</v>
      </c>
      <c r="GQ183" s="214" t="s">
        <v>530</v>
      </c>
      <c r="GS183" s="321" t="s">
        <v>12293</v>
      </c>
      <c r="GT183" s="214" t="s">
        <v>145</v>
      </c>
      <c r="GU183" s="214" t="s">
        <v>70</v>
      </c>
      <c r="GV183" s="214" t="s">
        <v>530</v>
      </c>
      <c r="GX183" s="214" t="s">
        <v>12294</v>
      </c>
      <c r="GY183" s="214" t="s">
        <v>34602</v>
      </c>
      <c r="GZ183" s="214" t="s">
        <v>70</v>
      </c>
      <c r="HA183" s="214" t="s">
        <v>530</v>
      </c>
      <c r="HC183" s="214" t="s">
        <v>12295</v>
      </c>
      <c r="HD183" s="214" t="s">
        <v>34556</v>
      </c>
      <c r="HE183" s="214" t="s">
        <v>70</v>
      </c>
      <c r="HF183" s="214" t="s">
        <v>530</v>
      </c>
      <c r="HH183" s="214" t="s">
        <v>12296</v>
      </c>
      <c r="HI183" s="214" t="s">
        <v>34541</v>
      </c>
      <c r="HJ183" s="214" t="s">
        <v>70</v>
      </c>
      <c r="HK183" s="214" t="s">
        <v>530</v>
      </c>
      <c r="HM183" s="214" t="s">
        <v>12297</v>
      </c>
      <c r="HN183" s="214" t="s">
        <v>34541</v>
      </c>
      <c r="HO183" s="214" t="s">
        <v>70</v>
      </c>
      <c r="HP183" s="214" t="s">
        <v>530</v>
      </c>
      <c r="HR183" s="22" t="s">
        <v>12298</v>
      </c>
      <c r="HS183" s="22" t="s">
        <v>488</v>
      </c>
      <c r="HT183" s="22" t="s">
        <v>70</v>
      </c>
      <c r="HU183" s="214" t="s">
        <v>530</v>
      </c>
      <c r="HW183" s="22" t="s">
        <v>12299</v>
      </c>
      <c r="HX183" s="22" t="s">
        <v>487</v>
      </c>
      <c r="HY183" s="22" t="s">
        <v>70</v>
      </c>
      <c r="HZ183" s="214" t="s">
        <v>530</v>
      </c>
      <c r="IB183" s="22" t="s">
        <v>12300</v>
      </c>
      <c r="IC183" s="22" t="s">
        <v>485</v>
      </c>
      <c r="ID183" s="22" t="s">
        <v>70</v>
      </c>
      <c r="IE183" s="214" t="s">
        <v>530</v>
      </c>
      <c r="IG183" s="22" t="s">
        <v>12301</v>
      </c>
      <c r="IH183" s="22" t="s">
        <v>468</v>
      </c>
      <c r="II183" s="22" t="s">
        <v>70</v>
      </c>
      <c r="IJ183" s="214" t="s">
        <v>530</v>
      </c>
      <c r="IL183" s="22" t="s">
        <v>12302</v>
      </c>
      <c r="IM183" s="22" t="s">
        <v>145</v>
      </c>
      <c r="IN183" s="22" t="s">
        <v>70</v>
      </c>
      <c r="IO183" s="214" t="s">
        <v>530</v>
      </c>
      <c r="IQ183" s="236" t="s">
        <v>12303</v>
      </c>
      <c r="IR183" s="236" t="s">
        <v>145</v>
      </c>
      <c r="IS183" s="236" t="s">
        <v>74</v>
      </c>
      <c r="IT183" s="236" t="s">
        <v>841</v>
      </c>
      <c r="IV183" s="236" t="s">
        <v>12304</v>
      </c>
      <c r="IW183" s="236" t="s">
        <v>145</v>
      </c>
      <c r="IX183" s="236" t="s">
        <v>74</v>
      </c>
      <c r="IY183" s="236" t="s">
        <v>841</v>
      </c>
      <c r="JA183" s="236" t="s">
        <v>12305</v>
      </c>
      <c r="JB183" s="236" t="s">
        <v>145</v>
      </c>
      <c r="JC183" s="236" t="s">
        <v>74</v>
      </c>
      <c r="JD183" s="236" t="s">
        <v>841</v>
      </c>
      <c r="JF183" s="236" t="s">
        <v>12306</v>
      </c>
      <c r="JG183" s="236" t="s">
        <v>145</v>
      </c>
      <c r="JH183" s="236" t="s">
        <v>74</v>
      </c>
      <c r="JI183" s="236" t="s">
        <v>841</v>
      </c>
      <c r="JK183" s="236" t="s">
        <v>12307</v>
      </c>
      <c r="JL183" s="236" t="s">
        <v>145</v>
      </c>
      <c r="JM183" s="236" t="s">
        <v>74</v>
      </c>
      <c r="JN183" s="236" t="s">
        <v>841</v>
      </c>
      <c r="JP183" s="236" t="s">
        <v>12308</v>
      </c>
      <c r="JQ183" s="236" t="s">
        <v>145</v>
      </c>
      <c r="JR183" s="236" t="s">
        <v>74</v>
      </c>
      <c r="JS183" s="236" t="s">
        <v>841</v>
      </c>
      <c r="JU183" s="294" t="s">
        <v>12309</v>
      </c>
      <c r="JV183" s="294" t="s">
        <v>52</v>
      </c>
      <c r="JW183" s="263" t="s">
        <v>70</v>
      </c>
      <c r="JX183" s="294" t="s">
        <v>1083</v>
      </c>
      <c r="JZ183" s="263" t="s">
        <v>12310</v>
      </c>
      <c r="KA183" s="263" t="s">
        <v>145</v>
      </c>
      <c r="KB183" s="263" t="s">
        <v>70</v>
      </c>
      <c r="KC183" s="263" t="s">
        <v>1083</v>
      </c>
      <c r="KE183" s="263" t="s">
        <v>12311</v>
      </c>
      <c r="KF183" s="263" t="s">
        <v>52</v>
      </c>
      <c r="KG183" s="263" t="s">
        <v>70</v>
      </c>
      <c r="KH183" s="263" t="s">
        <v>1083</v>
      </c>
      <c r="KJ183" s="263" t="s">
        <v>12312</v>
      </c>
      <c r="KK183" s="263" t="s">
        <v>52</v>
      </c>
      <c r="KL183" s="263" t="s">
        <v>74</v>
      </c>
      <c r="KM183" s="263" t="s">
        <v>34074</v>
      </c>
      <c r="KO183" s="214" t="s">
        <v>12313</v>
      </c>
      <c r="KP183" s="214" t="s">
        <v>145</v>
      </c>
      <c r="KQ183" s="214" t="s">
        <v>70</v>
      </c>
      <c r="KR183" s="214" t="s">
        <v>67</v>
      </c>
      <c r="KT183" s="22" t="s">
        <v>12314</v>
      </c>
      <c r="KU183" s="22" t="s">
        <v>145</v>
      </c>
      <c r="KV183" s="22" t="s">
        <v>70</v>
      </c>
      <c r="KW183" s="22" t="s">
        <v>67</v>
      </c>
      <c r="KY183" s="214" t="s">
        <v>12315</v>
      </c>
      <c r="KZ183" s="214" t="s">
        <v>52</v>
      </c>
      <c r="LA183" s="214" t="s">
        <v>74</v>
      </c>
      <c r="LB183" s="214" t="s">
        <v>67</v>
      </c>
      <c r="LD183" s="22" t="s">
        <v>12316</v>
      </c>
      <c r="LE183" s="22" t="s">
        <v>145</v>
      </c>
      <c r="LF183" s="22" t="s">
        <v>70</v>
      </c>
      <c r="LG183" s="22" t="s">
        <v>67</v>
      </c>
    </row>
    <row r="184" spans="1:319">
      <c r="A184" s="22" t="s">
        <v>12317</v>
      </c>
      <c r="B184" s="22" t="s">
        <v>145</v>
      </c>
      <c r="C184" s="22" t="s">
        <v>70</v>
      </c>
      <c r="D184" s="22" t="s">
        <v>67</v>
      </c>
      <c r="F184" s="23" t="s">
        <v>12318</v>
      </c>
      <c r="G184" s="23" t="str">
        <f>TVIIBE1M_CalPairs!$E181</f>
        <v>0x00</v>
      </c>
      <c r="H184" s="23" t="s">
        <v>72</v>
      </c>
      <c r="I184" s="23" t="str">
        <f>TVIIBE1M_CalPairs!$C181</f>
        <v>BACKUP_TRIM_VAL2</v>
      </c>
      <c r="K184" s="22" t="s">
        <v>12319</v>
      </c>
      <c r="L184" s="22" t="s">
        <v>145</v>
      </c>
      <c r="M184" s="22" t="s">
        <v>70</v>
      </c>
      <c r="N184" s="22" t="s">
        <v>67</v>
      </c>
      <c r="P184" s="22" t="s">
        <v>12320</v>
      </c>
      <c r="Q184" s="22" t="s">
        <v>145</v>
      </c>
      <c r="R184" s="22" t="s">
        <v>70</v>
      </c>
      <c r="S184" s="22" t="s">
        <v>67</v>
      </c>
      <c r="U184" s="293" t="s">
        <v>12321</v>
      </c>
      <c r="V184" s="293" t="s">
        <v>145</v>
      </c>
      <c r="W184" s="293" t="s">
        <v>74</v>
      </c>
      <c r="X184" s="293" t="s">
        <v>656</v>
      </c>
      <c r="Z184" s="293" t="s">
        <v>12322</v>
      </c>
      <c r="AA184" s="293" t="s">
        <v>145</v>
      </c>
      <c r="AB184" s="293" t="s">
        <v>74</v>
      </c>
      <c r="AC184" s="293" t="s">
        <v>656</v>
      </c>
      <c r="AE184" s="293" t="s">
        <v>12323</v>
      </c>
      <c r="AF184" s="293" t="s">
        <v>145</v>
      </c>
      <c r="AG184" s="293" t="s">
        <v>74</v>
      </c>
      <c r="AH184" s="293" t="s">
        <v>656</v>
      </c>
      <c r="AJ184" s="293" t="s">
        <v>12324</v>
      </c>
      <c r="AK184" s="293" t="s">
        <v>145</v>
      </c>
      <c r="AL184" s="293" t="s">
        <v>74</v>
      </c>
      <c r="AM184" s="293" t="s">
        <v>656</v>
      </c>
      <c r="AO184" s="22" t="s">
        <v>12325</v>
      </c>
      <c r="AP184" s="22" t="s">
        <v>145</v>
      </c>
      <c r="AQ184" s="22" t="s">
        <v>70</v>
      </c>
      <c r="AR184" s="22" t="s">
        <v>67</v>
      </c>
      <c r="AT184" s="22" t="s">
        <v>12326</v>
      </c>
      <c r="AU184" s="22" t="s">
        <v>145</v>
      </c>
      <c r="AV184" s="22" t="s">
        <v>70</v>
      </c>
      <c r="AW184" s="22" t="s">
        <v>67</v>
      </c>
      <c r="AY184" s="22" t="s">
        <v>12327</v>
      </c>
      <c r="AZ184" s="22" t="s">
        <v>145</v>
      </c>
      <c r="BA184" s="22" t="s">
        <v>70</v>
      </c>
      <c r="BB184" s="22" t="s">
        <v>67</v>
      </c>
      <c r="BD184" s="22" t="s">
        <v>12328</v>
      </c>
      <c r="BE184" s="22" t="s">
        <v>145</v>
      </c>
      <c r="BF184" s="22" t="s">
        <v>70</v>
      </c>
      <c r="BG184" s="22" t="s">
        <v>67</v>
      </c>
      <c r="BI184" s="22" t="s">
        <v>12329</v>
      </c>
      <c r="BJ184" s="22" t="s">
        <v>145</v>
      </c>
      <c r="BK184" s="22" t="s">
        <v>70</v>
      </c>
      <c r="BL184" s="22" t="s">
        <v>67</v>
      </c>
      <c r="BN184" s="22" t="s">
        <v>12330</v>
      </c>
      <c r="BO184" s="22" t="s">
        <v>145</v>
      </c>
      <c r="BP184" s="22" t="s">
        <v>70</v>
      </c>
      <c r="BQ184" s="22" t="s">
        <v>67</v>
      </c>
      <c r="BS184" s="22" t="s">
        <v>12331</v>
      </c>
      <c r="BT184" s="22" t="s">
        <v>145</v>
      </c>
      <c r="BU184" s="22" t="s">
        <v>70</v>
      </c>
      <c r="BV184" s="214" t="s">
        <v>530</v>
      </c>
      <c r="BX184" s="22" t="s">
        <v>12332</v>
      </c>
      <c r="BY184" s="22" t="s">
        <v>145</v>
      </c>
      <c r="BZ184" s="22" t="s">
        <v>70</v>
      </c>
      <c r="CA184" s="214" t="s">
        <v>530</v>
      </c>
      <c r="CC184" s="214" t="s">
        <v>12333</v>
      </c>
      <c r="CD184" s="218" t="s">
        <v>145</v>
      </c>
      <c r="CE184" s="214" t="s">
        <v>70</v>
      </c>
      <c r="CF184" s="214" t="s">
        <v>544</v>
      </c>
      <c r="CH184" s="214" t="s">
        <v>12334</v>
      </c>
      <c r="CI184" s="214" t="s">
        <v>938</v>
      </c>
      <c r="CJ184" s="214" t="s">
        <v>70</v>
      </c>
      <c r="CK184" s="214" t="s">
        <v>530</v>
      </c>
      <c r="CM184" s="322" t="s">
        <v>12335</v>
      </c>
      <c r="CN184" s="214" t="s">
        <v>87</v>
      </c>
      <c r="CO184" s="214" t="s">
        <v>70</v>
      </c>
      <c r="CP184" s="214" t="s">
        <v>530</v>
      </c>
      <c r="CR184" s="214" t="s">
        <v>12336</v>
      </c>
      <c r="CS184" s="214" t="s">
        <v>919</v>
      </c>
      <c r="CT184" s="214" t="s">
        <v>70</v>
      </c>
      <c r="CU184" s="214" t="s">
        <v>530</v>
      </c>
      <c r="CW184" s="214" t="s">
        <v>12337</v>
      </c>
      <c r="CX184" s="214" t="s">
        <v>929</v>
      </c>
      <c r="CY184" s="214" t="s">
        <v>70</v>
      </c>
      <c r="CZ184" s="214" t="s">
        <v>530</v>
      </c>
      <c r="DB184" s="214" t="s">
        <v>12338</v>
      </c>
      <c r="DC184" s="214" t="s">
        <v>485</v>
      </c>
      <c r="DD184" s="214" t="s">
        <v>70</v>
      </c>
      <c r="DE184" s="214" t="s">
        <v>530</v>
      </c>
      <c r="DG184" s="214" t="s">
        <v>12339</v>
      </c>
      <c r="DH184" s="214" t="s">
        <v>148</v>
      </c>
      <c r="DI184" s="214" t="s">
        <v>70</v>
      </c>
      <c r="DJ184" s="214" t="s">
        <v>530</v>
      </c>
      <c r="DL184" s="214" t="s">
        <v>12340</v>
      </c>
      <c r="DM184" s="214" t="s">
        <v>481</v>
      </c>
      <c r="DN184" s="214" t="s">
        <v>70</v>
      </c>
      <c r="DO184" s="214" t="s">
        <v>530</v>
      </c>
      <c r="DQ184" s="214" t="s">
        <v>12341</v>
      </c>
      <c r="DR184" s="214" t="s">
        <v>951</v>
      </c>
      <c r="DS184" s="214" t="s">
        <v>70</v>
      </c>
      <c r="DT184" s="214" t="s">
        <v>530</v>
      </c>
      <c r="DV184" s="214" t="s">
        <v>12342</v>
      </c>
      <c r="DW184" s="214" t="s">
        <v>146</v>
      </c>
      <c r="DX184" s="214" t="s">
        <v>70</v>
      </c>
      <c r="DY184" s="214" t="s">
        <v>530</v>
      </c>
      <c r="EA184" s="214" t="s">
        <v>12343</v>
      </c>
      <c r="EB184" s="214" t="s">
        <v>286</v>
      </c>
      <c r="EC184" s="214" t="s">
        <v>70</v>
      </c>
      <c r="ED184" s="214" t="s">
        <v>530</v>
      </c>
      <c r="EF184" s="214" t="s">
        <v>12344</v>
      </c>
      <c r="EG184" s="214" t="s">
        <v>146</v>
      </c>
      <c r="EH184" s="214" t="s">
        <v>70</v>
      </c>
      <c r="EI184" s="214" t="s">
        <v>530</v>
      </c>
      <c r="EK184" s="214" t="s">
        <v>12345</v>
      </c>
      <c r="EL184" s="214" t="s">
        <v>905</v>
      </c>
      <c r="EM184" s="214" t="s">
        <v>70</v>
      </c>
      <c r="EN184" s="214" t="s">
        <v>530</v>
      </c>
      <c r="EP184" s="214" t="s">
        <v>12346</v>
      </c>
      <c r="EQ184" s="214" t="s">
        <v>163</v>
      </c>
      <c r="ER184" s="214" t="s">
        <v>70</v>
      </c>
      <c r="ES184" s="214" t="s">
        <v>530</v>
      </c>
      <c r="EU184" s="214" t="s">
        <v>12347</v>
      </c>
      <c r="EV184" s="214" t="s">
        <v>34643</v>
      </c>
      <c r="EW184" s="214" t="s">
        <v>70</v>
      </c>
      <c r="EX184" s="214" t="s">
        <v>530</v>
      </c>
      <c r="EZ184" s="214" t="s">
        <v>12348</v>
      </c>
      <c r="FA184" s="214" t="s">
        <v>34545</v>
      </c>
      <c r="FB184" s="214" t="s">
        <v>70</v>
      </c>
      <c r="FC184" s="214" t="s">
        <v>530</v>
      </c>
      <c r="FE184" s="214" t="s">
        <v>12349</v>
      </c>
      <c r="FF184" s="214" t="s">
        <v>950</v>
      </c>
      <c r="FG184" s="214" t="s">
        <v>70</v>
      </c>
      <c r="FH184" s="214" t="s">
        <v>530</v>
      </c>
      <c r="FJ184" s="321" t="s">
        <v>12350</v>
      </c>
      <c r="FK184" s="214" t="s">
        <v>52</v>
      </c>
      <c r="FL184" s="214" t="s">
        <v>70</v>
      </c>
      <c r="FM184" s="214" t="s">
        <v>530</v>
      </c>
      <c r="FO184" s="321" t="s">
        <v>12351</v>
      </c>
      <c r="FP184" s="214" t="s">
        <v>145</v>
      </c>
      <c r="FQ184" s="214" t="s">
        <v>70</v>
      </c>
      <c r="FR184" s="214" t="s">
        <v>530</v>
      </c>
      <c r="FT184" s="321" t="s">
        <v>12352</v>
      </c>
      <c r="FU184" s="214" t="s">
        <v>148</v>
      </c>
      <c r="FV184" s="214" t="s">
        <v>70</v>
      </c>
      <c r="FW184" s="214" t="s">
        <v>530</v>
      </c>
      <c r="FY184" s="321" t="s">
        <v>12353</v>
      </c>
      <c r="FZ184" s="214" t="s">
        <v>481</v>
      </c>
      <c r="GA184" s="214" t="s">
        <v>70</v>
      </c>
      <c r="GB184" s="214" t="s">
        <v>530</v>
      </c>
      <c r="GD184" s="321" t="s">
        <v>12354</v>
      </c>
      <c r="GE184" s="214" t="s">
        <v>103</v>
      </c>
      <c r="GF184" s="214" t="s">
        <v>70</v>
      </c>
      <c r="GG184" s="214" t="s">
        <v>530</v>
      </c>
      <c r="GI184" s="321" t="s">
        <v>12355</v>
      </c>
      <c r="GJ184" s="214" t="s">
        <v>598</v>
      </c>
      <c r="GK184" s="214" t="s">
        <v>70</v>
      </c>
      <c r="GL184" s="214" t="s">
        <v>530</v>
      </c>
      <c r="GN184" s="321" t="s">
        <v>12356</v>
      </c>
      <c r="GO184" s="214" t="s">
        <v>798</v>
      </c>
      <c r="GP184" s="214" t="s">
        <v>70</v>
      </c>
      <c r="GQ184" s="214" t="s">
        <v>530</v>
      </c>
      <c r="GS184" s="321" t="s">
        <v>12357</v>
      </c>
      <c r="GT184" s="214" t="s">
        <v>86</v>
      </c>
      <c r="GU184" s="214" t="s">
        <v>70</v>
      </c>
      <c r="GV184" s="214" t="s">
        <v>530</v>
      </c>
      <c r="GX184" s="214" t="s">
        <v>12358</v>
      </c>
      <c r="GY184" s="214" t="s">
        <v>87</v>
      </c>
      <c r="GZ184" s="214" t="s">
        <v>70</v>
      </c>
      <c r="HA184" s="214" t="s">
        <v>530</v>
      </c>
      <c r="HC184" s="214" t="s">
        <v>12359</v>
      </c>
      <c r="HD184" s="214" t="s">
        <v>148</v>
      </c>
      <c r="HE184" s="214" t="s">
        <v>70</v>
      </c>
      <c r="HF184" s="214" t="s">
        <v>530</v>
      </c>
      <c r="HH184" s="214" t="s">
        <v>12360</v>
      </c>
      <c r="HI184" s="214" t="s">
        <v>34582</v>
      </c>
      <c r="HJ184" s="214" t="s">
        <v>70</v>
      </c>
      <c r="HK184" s="214" t="s">
        <v>530</v>
      </c>
      <c r="HM184" s="214" t="s">
        <v>12361</v>
      </c>
      <c r="HN184" s="214" t="s">
        <v>494</v>
      </c>
      <c r="HO184" s="214" t="s">
        <v>70</v>
      </c>
      <c r="HP184" s="214" t="s">
        <v>530</v>
      </c>
      <c r="HR184" s="22" t="s">
        <v>12362</v>
      </c>
      <c r="HS184" s="22" t="s">
        <v>88</v>
      </c>
      <c r="HT184" s="22" t="s">
        <v>70</v>
      </c>
      <c r="HU184" s="214" t="s">
        <v>530</v>
      </c>
      <c r="HW184" s="22" t="s">
        <v>12363</v>
      </c>
      <c r="HX184" s="22" t="s">
        <v>495</v>
      </c>
      <c r="HY184" s="22" t="s">
        <v>70</v>
      </c>
      <c r="HZ184" s="214" t="s">
        <v>530</v>
      </c>
      <c r="IB184" s="22" t="s">
        <v>12364</v>
      </c>
      <c r="IC184" s="22" t="s">
        <v>34599</v>
      </c>
      <c r="ID184" s="22" t="s">
        <v>70</v>
      </c>
      <c r="IE184" s="214" t="s">
        <v>530</v>
      </c>
      <c r="IG184" s="22" t="s">
        <v>12365</v>
      </c>
      <c r="IH184" s="22" t="s">
        <v>34652</v>
      </c>
      <c r="II184" s="22" t="s">
        <v>70</v>
      </c>
      <c r="IJ184" s="214" t="s">
        <v>530</v>
      </c>
      <c r="IL184" s="22" t="s">
        <v>12366</v>
      </c>
      <c r="IM184" s="22" t="s">
        <v>145</v>
      </c>
      <c r="IN184" s="22" t="s">
        <v>70</v>
      </c>
      <c r="IO184" s="214" t="s">
        <v>530</v>
      </c>
      <c r="IQ184" s="236" t="s">
        <v>12367</v>
      </c>
      <c r="IR184" s="236" t="s">
        <v>145</v>
      </c>
      <c r="IS184" s="236" t="s">
        <v>74</v>
      </c>
      <c r="IT184" s="236" t="s">
        <v>841</v>
      </c>
      <c r="IV184" s="236" t="s">
        <v>12368</v>
      </c>
      <c r="IW184" s="236" t="s">
        <v>145</v>
      </c>
      <c r="IX184" s="236" t="s">
        <v>74</v>
      </c>
      <c r="IY184" s="236" t="s">
        <v>841</v>
      </c>
      <c r="JA184" s="236" t="s">
        <v>12369</v>
      </c>
      <c r="JB184" s="236" t="s">
        <v>145</v>
      </c>
      <c r="JC184" s="236" t="s">
        <v>74</v>
      </c>
      <c r="JD184" s="236" t="s">
        <v>841</v>
      </c>
      <c r="JF184" s="236" t="s">
        <v>12370</v>
      </c>
      <c r="JG184" s="236" t="s">
        <v>145</v>
      </c>
      <c r="JH184" s="236" t="s">
        <v>74</v>
      </c>
      <c r="JI184" s="236" t="s">
        <v>841</v>
      </c>
      <c r="JK184" s="236" t="s">
        <v>12371</v>
      </c>
      <c r="JL184" s="236" t="s">
        <v>145</v>
      </c>
      <c r="JM184" s="236" t="s">
        <v>74</v>
      </c>
      <c r="JN184" s="236" t="s">
        <v>841</v>
      </c>
      <c r="JP184" s="236" t="s">
        <v>12372</v>
      </c>
      <c r="JQ184" s="236" t="s">
        <v>145</v>
      </c>
      <c r="JR184" s="236" t="s">
        <v>74</v>
      </c>
      <c r="JS184" s="236" t="s">
        <v>841</v>
      </c>
      <c r="JU184" s="294" t="s">
        <v>12373</v>
      </c>
      <c r="JV184" s="294" t="s">
        <v>52</v>
      </c>
      <c r="JW184" s="263" t="s">
        <v>70</v>
      </c>
      <c r="JX184" s="294" t="s">
        <v>1083</v>
      </c>
      <c r="JZ184" s="263" t="s">
        <v>12374</v>
      </c>
      <c r="KA184" s="263" t="s">
        <v>145</v>
      </c>
      <c r="KB184" s="263" t="s">
        <v>70</v>
      </c>
      <c r="KC184" s="263" t="s">
        <v>1083</v>
      </c>
      <c r="KE184" s="263" t="s">
        <v>12375</v>
      </c>
      <c r="KF184" s="263" t="s">
        <v>52</v>
      </c>
      <c r="KG184" s="263" t="s">
        <v>70</v>
      </c>
      <c r="KH184" s="263" t="s">
        <v>1083</v>
      </c>
      <c r="KJ184" s="263" t="s">
        <v>12376</v>
      </c>
      <c r="KK184" s="263" t="s">
        <v>52</v>
      </c>
      <c r="KL184" s="263" t="s">
        <v>74</v>
      </c>
      <c r="KM184" s="263" t="s">
        <v>34074</v>
      </c>
      <c r="KO184" s="214" t="s">
        <v>12377</v>
      </c>
      <c r="KP184" s="214" t="s">
        <v>145</v>
      </c>
      <c r="KQ184" s="214" t="s">
        <v>70</v>
      </c>
      <c r="KR184" s="214" t="s">
        <v>67</v>
      </c>
      <c r="KT184" s="22" t="s">
        <v>12378</v>
      </c>
      <c r="KU184" s="22" t="s">
        <v>145</v>
      </c>
      <c r="KV184" s="22" t="s">
        <v>70</v>
      </c>
      <c r="KW184" s="22" t="s">
        <v>67</v>
      </c>
      <c r="KY184" s="214" t="s">
        <v>12379</v>
      </c>
      <c r="KZ184" s="214" t="s">
        <v>52</v>
      </c>
      <c r="LA184" s="214" t="s">
        <v>74</v>
      </c>
      <c r="LB184" s="214" t="s">
        <v>67</v>
      </c>
      <c r="LD184" s="22" t="s">
        <v>12380</v>
      </c>
      <c r="LE184" s="22" t="s">
        <v>145</v>
      </c>
      <c r="LF184" s="22" t="s">
        <v>70</v>
      </c>
      <c r="LG184" s="22" t="s">
        <v>67</v>
      </c>
    </row>
    <row r="185" spans="1:319">
      <c r="A185" s="22" t="s">
        <v>12381</v>
      </c>
      <c r="B185" s="22" t="s">
        <v>145</v>
      </c>
      <c r="C185" s="22" t="s">
        <v>70</v>
      </c>
      <c r="D185" s="22" t="s">
        <v>67</v>
      </c>
      <c r="F185" s="23" t="s">
        <v>12382</v>
      </c>
      <c r="G185" s="23" t="str">
        <f>TVIIBE1M_CalPairs!$E182</f>
        <v>0x00</v>
      </c>
      <c r="H185" s="23" t="s">
        <v>72</v>
      </c>
      <c r="I185" s="23" t="str">
        <f>TVIIBE1M_CalPairs!$C182</f>
        <v>BACKUP_TRIM_VAL3</v>
      </c>
      <c r="K185" s="22" t="s">
        <v>12383</v>
      </c>
      <c r="L185" s="22" t="s">
        <v>145</v>
      </c>
      <c r="M185" s="22" t="s">
        <v>70</v>
      </c>
      <c r="N185" s="22" t="s">
        <v>67</v>
      </c>
      <c r="P185" s="22" t="s">
        <v>12384</v>
      </c>
      <c r="Q185" s="22" t="s">
        <v>145</v>
      </c>
      <c r="R185" s="22" t="s">
        <v>70</v>
      </c>
      <c r="S185" s="22" t="s">
        <v>67</v>
      </c>
      <c r="U185" s="293" t="s">
        <v>12385</v>
      </c>
      <c r="V185" s="293" t="s">
        <v>145</v>
      </c>
      <c r="W185" s="293" t="s">
        <v>74</v>
      </c>
      <c r="X185" s="293" t="s">
        <v>656</v>
      </c>
      <c r="Z185" s="293" t="s">
        <v>12386</v>
      </c>
      <c r="AA185" s="293" t="s">
        <v>145</v>
      </c>
      <c r="AB185" s="293" t="s">
        <v>74</v>
      </c>
      <c r="AC185" s="293" t="s">
        <v>656</v>
      </c>
      <c r="AE185" s="293" t="s">
        <v>12387</v>
      </c>
      <c r="AF185" s="293" t="s">
        <v>145</v>
      </c>
      <c r="AG185" s="293" t="s">
        <v>74</v>
      </c>
      <c r="AH185" s="293" t="s">
        <v>656</v>
      </c>
      <c r="AJ185" s="293" t="s">
        <v>12388</v>
      </c>
      <c r="AK185" s="293" t="s">
        <v>145</v>
      </c>
      <c r="AL185" s="293" t="s">
        <v>74</v>
      </c>
      <c r="AM185" s="293" t="s">
        <v>656</v>
      </c>
      <c r="AO185" s="22" t="s">
        <v>12389</v>
      </c>
      <c r="AP185" s="22" t="s">
        <v>145</v>
      </c>
      <c r="AQ185" s="22" t="s">
        <v>70</v>
      </c>
      <c r="AR185" s="22" t="s">
        <v>67</v>
      </c>
      <c r="AT185" s="22" t="s">
        <v>12390</v>
      </c>
      <c r="AU185" s="22" t="s">
        <v>145</v>
      </c>
      <c r="AV185" s="22" t="s">
        <v>70</v>
      </c>
      <c r="AW185" s="22" t="s">
        <v>67</v>
      </c>
      <c r="AY185" s="22" t="s">
        <v>12391</v>
      </c>
      <c r="AZ185" s="22" t="s">
        <v>145</v>
      </c>
      <c r="BA185" s="22" t="s">
        <v>70</v>
      </c>
      <c r="BB185" s="22" t="s">
        <v>67</v>
      </c>
      <c r="BD185" s="22" t="s">
        <v>12392</v>
      </c>
      <c r="BE185" s="22" t="s">
        <v>145</v>
      </c>
      <c r="BF185" s="22" t="s">
        <v>70</v>
      </c>
      <c r="BG185" s="22" t="s">
        <v>67</v>
      </c>
      <c r="BI185" s="22" t="s">
        <v>12393</v>
      </c>
      <c r="BJ185" s="22" t="s">
        <v>145</v>
      </c>
      <c r="BK185" s="22" t="s">
        <v>70</v>
      </c>
      <c r="BL185" s="22" t="s">
        <v>67</v>
      </c>
      <c r="BN185" s="22" t="s">
        <v>12394</v>
      </c>
      <c r="BO185" s="22" t="s">
        <v>145</v>
      </c>
      <c r="BP185" s="22" t="s">
        <v>70</v>
      </c>
      <c r="BQ185" s="22" t="s">
        <v>67</v>
      </c>
      <c r="BS185" s="22" t="s">
        <v>12395</v>
      </c>
      <c r="BT185" s="22" t="s">
        <v>145</v>
      </c>
      <c r="BU185" s="22" t="s">
        <v>70</v>
      </c>
      <c r="BV185" s="214" t="s">
        <v>530</v>
      </c>
      <c r="BX185" s="22" t="s">
        <v>12396</v>
      </c>
      <c r="BY185" s="22" t="s">
        <v>145</v>
      </c>
      <c r="BZ185" s="22" t="s">
        <v>70</v>
      </c>
      <c r="CA185" s="214" t="s">
        <v>530</v>
      </c>
      <c r="CC185" s="214" t="s">
        <v>12397</v>
      </c>
      <c r="CD185" s="218" t="s">
        <v>145</v>
      </c>
      <c r="CE185" s="214" t="s">
        <v>70</v>
      </c>
      <c r="CF185" s="214" t="s">
        <v>545</v>
      </c>
      <c r="CH185" s="214" t="s">
        <v>12398</v>
      </c>
      <c r="CI185" s="214" t="s">
        <v>34558</v>
      </c>
      <c r="CJ185" s="214" t="s">
        <v>70</v>
      </c>
      <c r="CK185" s="214" t="s">
        <v>530</v>
      </c>
      <c r="CM185" s="322" t="s">
        <v>12399</v>
      </c>
      <c r="CN185" s="214" t="s">
        <v>163</v>
      </c>
      <c r="CO185" s="214" t="s">
        <v>70</v>
      </c>
      <c r="CP185" s="214" t="s">
        <v>530</v>
      </c>
      <c r="CR185" s="214" t="s">
        <v>12400</v>
      </c>
      <c r="CS185" s="214" t="s">
        <v>34566</v>
      </c>
      <c r="CT185" s="214" t="s">
        <v>70</v>
      </c>
      <c r="CU185" s="214" t="s">
        <v>530</v>
      </c>
      <c r="CW185" s="214" t="s">
        <v>12401</v>
      </c>
      <c r="CX185" s="214" t="s">
        <v>34595</v>
      </c>
      <c r="CY185" s="214" t="s">
        <v>70</v>
      </c>
      <c r="CZ185" s="214" t="s">
        <v>530</v>
      </c>
      <c r="DB185" s="214" t="s">
        <v>12402</v>
      </c>
      <c r="DC185" s="214" t="s">
        <v>146</v>
      </c>
      <c r="DD185" s="214" t="s">
        <v>70</v>
      </c>
      <c r="DE185" s="214" t="s">
        <v>530</v>
      </c>
      <c r="DG185" s="214" t="s">
        <v>12403</v>
      </c>
      <c r="DH185" s="214" t="s">
        <v>486</v>
      </c>
      <c r="DI185" s="214" t="s">
        <v>70</v>
      </c>
      <c r="DJ185" s="214" t="s">
        <v>530</v>
      </c>
      <c r="DL185" s="214" t="s">
        <v>12404</v>
      </c>
      <c r="DM185" s="214" t="s">
        <v>487</v>
      </c>
      <c r="DN185" s="214" t="s">
        <v>70</v>
      </c>
      <c r="DO185" s="214" t="s">
        <v>530</v>
      </c>
      <c r="DQ185" s="214" t="s">
        <v>12405</v>
      </c>
      <c r="DR185" s="214" t="s">
        <v>88</v>
      </c>
      <c r="DS185" s="214" t="s">
        <v>70</v>
      </c>
      <c r="DT185" s="214" t="s">
        <v>530</v>
      </c>
      <c r="DV185" s="214" t="s">
        <v>12406</v>
      </c>
      <c r="DW185" s="214" t="s">
        <v>103</v>
      </c>
      <c r="DX185" s="214" t="s">
        <v>70</v>
      </c>
      <c r="DY185" s="214" t="s">
        <v>530</v>
      </c>
      <c r="EA185" s="214" t="s">
        <v>12407</v>
      </c>
      <c r="EB185" s="214" t="s">
        <v>34544</v>
      </c>
      <c r="EC185" s="214" t="s">
        <v>70</v>
      </c>
      <c r="ED185" s="214" t="s">
        <v>530</v>
      </c>
      <c r="EF185" s="214" t="s">
        <v>12408</v>
      </c>
      <c r="EG185" s="214" t="s">
        <v>85</v>
      </c>
      <c r="EH185" s="214" t="s">
        <v>70</v>
      </c>
      <c r="EI185" s="214" t="s">
        <v>530</v>
      </c>
      <c r="EK185" s="214" t="s">
        <v>12409</v>
      </c>
      <c r="EL185" s="214" t="s">
        <v>145</v>
      </c>
      <c r="EM185" s="214" t="s">
        <v>70</v>
      </c>
      <c r="EN185" s="214" t="s">
        <v>530</v>
      </c>
      <c r="EP185" s="214" t="s">
        <v>12410</v>
      </c>
      <c r="EQ185" s="214" t="s">
        <v>146</v>
      </c>
      <c r="ER185" s="214" t="s">
        <v>70</v>
      </c>
      <c r="ES185" s="214" t="s">
        <v>530</v>
      </c>
      <c r="EU185" s="214" t="s">
        <v>12411</v>
      </c>
      <c r="EV185" s="214" t="s">
        <v>145</v>
      </c>
      <c r="EW185" s="214" t="s">
        <v>70</v>
      </c>
      <c r="EX185" s="214" t="s">
        <v>530</v>
      </c>
      <c r="EZ185" s="214" t="s">
        <v>12412</v>
      </c>
      <c r="FA185" s="214" t="s">
        <v>34543</v>
      </c>
      <c r="FB185" s="214" t="s">
        <v>70</v>
      </c>
      <c r="FC185" s="214" t="s">
        <v>530</v>
      </c>
      <c r="FE185" s="214" t="s">
        <v>12413</v>
      </c>
      <c r="FF185" s="214" t="s">
        <v>34545</v>
      </c>
      <c r="FG185" s="214" t="s">
        <v>70</v>
      </c>
      <c r="FH185" s="214" t="s">
        <v>530</v>
      </c>
      <c r="FJ185" s="321" t="s">
        <v>12414</v>
      </c>
      <c r="FK185" s="214" t="s">
        <v>34550</v>
      </c>
      <c r="FL185" s="214" t="s">
        <v>70</v>
      </c>
      <c r="FM185" s="214" t="s">
        <v>530</v>
      </c>
      <c r="FO185" s="321" t="s">
        <v>12415</v>
      </c>
      <c r="FP185" s="214" t="s">
        <v>34541</v>
      </c>
      <c r="FQ185" s="214" t="s">
        <v>70</v>
      </c>
      <c r="FR185" s="214" t="s">
        <v>530</v>
      </c>
      <c r="FT185" s="321" t="s">
        <v>12416</v>
      </c>
      <c r="FU185" s="214" t="s">
        <v>203</v>
      </c>
      <c r="FV185" s="214" t="s">
        <v>70</v>
      </c>
      <c r="FW185" s="214" t="s">
        <v>530</v>
      </c>
      <c r="FY185" s="321" t="s">
        <v>12417</v>
      </c>
      <c r="FZ185" s="214" t="s">
        <v>487</v>
      </c>
      <c r="GA185" s="214" t="s">
        <v>70</v>
      </c>
      <c r="GB185" s="214" t="s">
        <v>530</v>
      </c>
      <c r="GD185" s="321" t="s">
        <v>12418</v>
      </c>
      <c r="GE185" s="214" t="s">
        <v>34562</v>
      </c>
      <c r="GF185" s="214" t="s">
        <v>70</v>
      </c>
      <c r="GG185" s="214" t="s">
        <v>530</v>
      </c>
      <c r="GI185" s="321" t="s">
        <v>12419</v>
      </c>
      <c r="GJ185" s="214" t="s">
        <v>484</v>
      </c>
      <c r="GK185" s="214" t="s">
        <v>70</v>
      </c>
      <c r="GL185" s="214" t="s">
        <v>530</v>
      </c>
      <c r="GN185" s="321" t="s">
        <v>12420</v>
      </c>
      <c r="GO185" s="214" t="s">
        <v>468</v>
      </c>
      <c r="GP185" s="214" t="s">
        <v>70</v>
      </c>
      <c r="GQ185" s="214" t="s">
        <v>530</v>
      </c>
      <c r="GS185" s="321" t="s">
        <v>12421</v>
      </c>
      <c r="GT185" s="214" t="s">
        <v>206</v>
      </c>
      <c r="GU185" s="214" t="s">
        <v>70</v>
      </c>
      <c r="GV185" s="214" t="s">
        <v>530</v>
      </c>
      <c r="GX185" s="214" t="s">
        <v>12422</v>
      </c>
      <c r="GY185" s="214" t="s">
        <v>34540</v>
      </c>
      <c r="GZ185" s="214" t="s">
        <v>70</v>
      </c>
      <c r="HA185" s="214" t="s">
        <v>530</v>
      </c>
      <c r="HC185" s="214" t="s">
        <v>12423</v>
      </c>
      <c r="HD185" s="214" t="s">
        <v>496</v>
      </c>
      <c r="HE185" s="214" t="s">
        <v>70</v>
      </c>
      <c r="HF185" s="214" t="s">
        <v>530</v>
      </c>
      <c r="HH185" s="214" t="s">
        <v>12424</v>
      </c>
      <c r="HI185" s="214" t="s">
        <v>145</v>
      </c>
      <c r="HJ185" s="214" t="s">
        <v>70</v>
      </c>
      <c r="HK185" s="214" t="s">
        <v>530</v>
      </c>
      <c r="HM185" s="214" t="s">
        <v>12425</v>
      </c>
      <c r="HN185" s="214" t="s">
        <v>34556</v>
      </c>
      <c r="HO185" s="214" t="s">
        <v>70</v>
      </c>
      <c r="HP185" s="214" t="s">
        <v>530</v>
      </c>
      <c r="HR185" s="22" t="s">
        <v>12426</v>
      </c>
      <c r="HS185" s="22" t="s">
        <v>52</v>
      </c>
      <c r="HT185" s="22" t="s">
        <v>70</v>
      </c>
      <c r="HU185" s="214" t="s">
        <v>530</v>
      </c>
      <c r="HW185" s="22" t="s">
        <v>12427</v>
      </c>
      <c r="HX185" s="22" t="s">
        <v>468</v>
      </c>
      <c r="HY185" s="22" t="s">
        <v>70</v>
      </c>
      <c r="HZ185" s="214" t="s">
        <v>530</v>
      </c>
      <c r="IB185" s="22" t="s">
        <v>12428</v>
      </c>
      <c r="IC185" s="22" t="s">
        <v>34544</v>
      </c>
      <c r="ID185" s="22" t="s">
        <v>70</v>
      </c>
      <c r="IE185" s="214" t="s">
        <v>530</v>
      </c>
      <c r="IG185" s="22" t="s">
        <v>12429</v>
      </c>
      <c r="IH185" s="22" t="s">
        <v>492</v>
      </c>
      <c r="II185" s="22" t="s">
        <v>70</v>
      </c>
      <c r="IJ185" s="214" t="s">
        <v>530</v>
      </c>
      <c r="IL185" s="22" t="s">
        <v>12430</v>
      </c>
      <c r="IM185" s="22" t="s">
        <v>145</v>
      </c>
      <c r="IN185" s="22" t="s">
        <v>70</v>
      </c>
      <c r="IO185" s="214" t="s">
        <v>530</v>
      </c>
      <c r="IQ185" s="236" t="s">
        <v>12431</v>
      </c>
      <c r="IR185" s="236" t="s">
        <v>145</v>
      </c>
      <c r="IS185" s="236" t="s">
        <v>74</v>
      </c>
      <c r="IT185" s="236" t="s">
        <v>841</v>
      </c>
      <c r="IV185" s="236" t="s">
        <v>12432</v>
      </c>
      <c r="IW185" s="236" t="s">
        <v>145</v>
      </c>
      <c r="IX185" s="236" t="s">
        <v>74</v>
      </c>
      <c r="IY185" s="236" t="s">
        <v>841</v>
      </c>
      <c r="JA185" s="236" t="s">
        <v>12433</v>
      </c>
      <c r="JB185" s="236" t="s">
        <v>145</v>
      </c>
      <c r="JC185" s="236" t="s">
        <v>74</v>
      </c>
      <c r="JD185" s="236" t="s">
        <v>841</v>
      </c>
      <c r="JF185" s="236" t="s">
        <v>12434</v>
      </c>
      <c r="JG185" s="236" t="s">
        <v>145</v>
      </c>
      <c r="JH185" s="236" t="s">
        <v>74</v>
      </c>
      <c r="JI185" s="236" t="s">
        <v>841</v>
      </c>
      <c r="JK185" s="236" t="s">
        <v>12435</v>
      </c>
      <c r="JL185" s="236" t="s">
        <v>145</v>
      </c>
      <c r="JM185" s="236" t="s">
        <v>74</v>
      </c>
      <c r="JN185" s="236" t="s">
        <v>841</v>
      </c>
      <c r="JP185" s="236" t="s">
        <v>12436</v>
      </c>
      <c r="JQ185" s="236" t="s">
        <v>145</v>
      </c>
      <c r="JR185" s="236" t="s">
        <v>74</v>
      </c>
      <c r="JS185" s="236" t="s">
        <v>841</v>
      </c>
      <c r="JU185" s="294" t="s">
        <v>12437</v>
      </c>
      <c r="JV185" s="294" t="s">
        <v>52</v>
      </c>
      <c r="JW185" s="263" t="s">
        <v>70</v>
      </c>
      <c r="JX185" s="294" t="s">
        <v>1083</v>
      </c>
      <c r="JZ185" s="263" t="s">
        <v>12438</v>
      </c>
      <c r="KA185" s="263" t="s">
        <v>145</v>
      </c>
      <c r="KB185" s="263" t="s">
        <v>70</v>
      </c>
      <c r="KC185" s="263" t="s">
        <v>1083</v>
      </c>
      <c r="KE185" s="263" t="s">
        <v>12439</v>
      </c>
      <c r="KF185" s="263" t="s">
        <v>52</v>
      </c>
      <c r="KG185" s="263" t="s">
        <v>70</v>
      </c>
      <c r="KH185" s="263" t="s">
        <v>1083</v>
      </c>
      <c r="KJ185" s="263" t="s">
        <v>12440</v>
      </c>
      <c r="KK185" s="263" t="s">
        <v>52</v>
      </c>
      <c r="KL185" s="263" t="s">
        <v>74</v>
      </c>
      <c r="KM185" s="263" t="s">
        <v>34074</v>
      </c>
      <c r="KO185" s="214" t="s">
        <v>12441</v>
      </c>
      <c r="KP185" s="214" t="s">
        <v>145</v>
      </c>
      <c r="KQ185" s="214" t="s">
        <v>70</v>
      </c>
      <c r="KR185" s="214" t="s">
        <v>67</v>
      </c>
      <c r="KT185" s="22" t="s">
        <v>12442</v>
      </c>
      <c r="KU185" s="22" t="s">
        <v>145</v>
      </c>
      <c r="KV185" s="22" t="s">
        <v>70</v>
      </c>
      <c r="KW185" s="22" t="s">
        <v>67</v>
      </c>
      <c r="KY185" s="214" t="s">
        <v>12443</v>
      </c>
      <c r="KZ185" s="214" t="s">
        <v>52</v>
      </c>
      <c r="LA185" s="214" t="s">
        <v>74</v>
      </c>
      <c r="LB185" s="214" t="s">
        <v>67</v>
      </c>
      <c r="LD185" s="22" t="s">
        <v>12444</v>
      </c>
      <c r="LE185" s="22" t="s">
        <v>145</v>
      </c>
      <c r="LF185" s="22" t="s">
        <v>70</v>
      </c>
      <c r="LG185" s="22" t="s">
        <v>67</v>
      </c>
    </row>
    <row r="186" spans="1:319">
      <c r="A186" s="22" t="s">
        <v>12445</v>
      </c>
      <c r="B186" s="22" t="s">
        <v>145</v>
      </c>
      <c r="C186" s="22" t="s">
        <v>70</v>
      </c>
      <c r="D186" s="22" t="s">
        <v>67</v>
      </c>
      <c r="F186" s="23" t="s">
        <v>12446</v>
      </c>
      <c r="G186" s="23" t="str">
        <f>TVIIBE1M_CalPairs!$E183</f>
        <v>0xB0</v>
      </c>
      <c r="H186" s="23" t="s">
        <v>70</v>
      </c>
      <c r="I186" s="23" t="str">
        <f>TVIIBE1M_CalPairs!$C183</f>
        <v>PWR_TRIM_HT_ACT_PC_CTL_CMD</v>
      </c>
      <c r="K186" s="22" t="s">
        <v>12447</v>
      </c>
      <c r="L186" s="22" t="s">
        <v>145</v>
      </c>
      <c r="M186" s="22" t="s">
        <v>70</v>
      </c>
      <c r="N186" s="22" t="s">
        <v>67</v>
      </c>
      <c r="P186" s="22" t="s">
        <v>12448</v>
      </c>
      <c r="Q186" s="22" t="s">
        <v>145</v>
      </c>
      <c r="R186" s="22" t="s">
        <v>70</v>
      </c>
      <c r="S186" s="22" t="s">
        <v>67</v>
      </c>
      <c r="U186" s="293" t="s">
        <v>12449</v>
      </c>
      <c r="V186" s="293" t="s">
        <v>145</v>
      </c>
      <c r="W186" s="293" t="s">
        <v>74</v>
      </c>
      <c r="X186" s="293" t="s">
        <v>656</v>
      </c>
      <c r="Z186" s="293" t="s">
        <v>12450</v>
      </c>
      <c r="AA186" s="293" t="s">
        <v>145</v>
      </c>
      <c r="AB186" s="293" t="s">
        <v>74</v>
      </c>
      <c r="AC186" s="293" t="s">
        <v>656</v>
      </c>
      <c r="AE186" s="293" t="s">
        <v>12451</v>
      </c>
      <c r="AF186" s="293" t="s">
        <v>145</v>
      </c>
      <c r="AG186" s="293" t="s">
        <v>74</v>
      </c>
      <c r="AH186" s="293" t="s">
        <v>656</v>
      </c>
      <c r="AJ186" s="293" t="s">
        <v>12452</v>
      </c>
      <c r="AK186" s="293" t="s">
        <v>145</v>
      </c>
      <c r="AL186" s="293" t="s">
        <v>74</v>
      </c>
      <c r="AM186" s="293" t="s">
        <v>656</v>
      </c>
      <c r="AO186" s="22" t="s">
        <v>12453</v>
      </c>
      <c r="AP186" s="22" t="s">
        <v>145</v>
      </c>
      <c r="AQ186" s="22" t="s">
        <v>70</v>
      </c>
      <c r="AR186" s="22" t="s">
        <v>67</v>
      </c>
      <c r="AT186" s="22" t="s">
        <v>12454</v>
      </c>
      <c r="AU186" s="22" t="s">
        <v>145</v>
      </c>
      <c r="AV186" s="22" t="s">
        <v>70</v>
      </c>
      <c r="AW186" s="22" t="s">
        <v>67</v>
      </c>
      <c r="AY186" s="22" t="s">
        <v>12455</v>
      </c>
      <c r="AZ186" s="22" t="s">
        <v>145</v>
      </c>
      <c r="BA186" s="22" t="s">
        <v>70</v>
      </c>
      <c r="BB186" s="22" t="s">
        <v>67</v>
      </c>
      <c r="BD186" s="22" t="s">
        <v>12456</v>
      </c>
      <c r="BE186" s="22" t="s">
        <v>145</v>
      </c>
      <c r="BF186" s="22" t="s">
        <v>70</v>
      </c>
      <c r="BG186" s="22" t="s">
        <v>67</v>
      </c>
      <c r="BI186" s="22" t="s">
        <v>12457</v>
      </c>
      <c r="BJ186" s="22" t="s">
        <v>145</v>
      </c>
      <c r="BK186" s="22" t="s">
        <v>70</v>
      </c>
      <c r="BL186" s="22" t="s">
        <v>67</v>
      </c>
      <c r="BN186" s="22" t="s">
        <v>12458</v>
      </c>
      <c r="BO186" s="22" t="s">
        <v>145</v>
      </c>
      <c r="BP186" s="22" t="s">
        <v>70</v>
      </c>
      <c r="BQ186" s="22" t="s">
        <v>67</v>
      </c>
      <c r="BS186" s="22" t="s">
        <v>12459</v>
      </c>
      <c r="BT186" s="22" t="s">
        <v>145</v>
      </c>
      <c r="BU186" s="22" t="s">
        <v>70</v>
      </c>
      <c r="BV186" s="214" t="s">
        <v>530</v>
      </c>
      <c r="BX186" s="22" t="s">
        <v>12460</v>
      </c>
      <c r="BY186" s="22" t="s">
        <v>145</v>
      </c>
      <c r="BZ186" s="22" t="s">
        <v>70</v>
      </c>
      <c r="CA186" s="214" t="s">
        <v>530</v>
      </c>
      <c r="CC186" s="214" t="s">
        <v>12461</v>
      </c>
      <c r="CD186" s="218" t="s">
        <v>145</v>
      </c>
      <c r="CE186" s="214" t="s">
        <v>70</v>
      </c>
      <c r="CF186" s="214" t="s">
        <v>546</v>
      </c>
      <c r="CH186" s="214" t="s">
        <v>12462</v>
      </c>
      <c r="CI186" s="214" t="s">
        <v>148</v>
      </c>
      <c r="CJ186" s="214" t="s">
        <v>70</v>
      </c>
      <c r="CK186" s="214" t="s">
        <v>530</v>
      </c>
      <c r="CM186" s="322" t="s">
        <v>12463</v>
      </c>
      <c r="CN186" s="214" t="s">
        <v>148</v>
      </c>
      <c r="CO186" s="214" t="s">
        <v>70</v>
      </c>
      <c r="CP186" s="214" t="s">
        <v>530</v>
      </c>
      <c r="CR186" s="214" t="s">
        <v>12464</v>
      </c>
      <c r="CS186" s="214" t="s">
        <v>924</v>
      </c>
      <c r="CT186" s="214" t="s">
        <v>70</v>
      </c>
      <c r="CU186" s="214" t="s">
        <v>530</v>
      </c>
      <c r="CW186" s="214" t="s">
        <v>12465</v>
      </c>
      <c r="CX186" s="214" t="s">
        <v>103</v>
      </c>
      <c r="CY186" s="214" t="s">
        <v>70</v>
      </c>
      <c r="CZ186" s="214" t="s">
        <v>530</v>
      </c>
      <c r="DB186" s="214" t="s">
        <v>12466</v>
      </c>
      <c r="DC186" s="214" t="s">
        <v>103</v>
      </c>
      <c r="DD186" s="214" t="s">
        <v>70</v>
      </c>
      <c r="DE186" s="214" t="s">
        <v>530</v>
      </c>
      <c r="DG186" s="214" t="s">
        <v>12467</v>
      </c>
      <c r="DH186" s="214" t="s">
        <v>912</v>
      </c>
      <c r="DI186" s="214" t="s">
        <v>70</v>
      </c>
      <c r="DJ186" s="214" t="s">
        <v>530</v>
      </c>
      <c r="DL186" s="214" t="s">
        <v>12468</v>
      </c>
      <c r="DM186" s="214" t="s">
        <v>87</v>
      </c>
      <c r="DN186" s="214" t="s">
        <v>70</v>
      </c>
      <c r="DO186" s="214" t="s">
        <v>530</v>
      </c>
      <c r="DQ186" s="214" t="s">
        <v>12469</v>
      </c>
      <c r="DR186" s="214" t="s">
        <v>485</v>
      </c>
      <c r="DS186" s="214" t="s">
        <v>70</v>
      </c>
      <c r="DT186" s="214" t="s">
        <v>530</v>
      </c>
      <c r="DV186" s="214" t="s">
        <v>12470</v>
      </c>
      <c r="DW186" s="214" t="s">
        <v>93</v>
      </c>
      <c r="DX186" s="214" t="s">
        <v>70</v>
      </c>
      <c r="DY186" s="214" t="s">
        <v>530</v>
      </c>
      <c r="EA186" s="214" t="s">
        <v>12471</v>
      </c>
      <c r="EB186" s="214" t="s">
        <v>498</v>
      </c>
      <c r="EC186" s="214" t="s">
        <v>70</v>
      </c>
      <c r="ED186" s="214" t="s">
        <v>530</v>
      </c>
      <c r="EF186" s="214" t="s">
        <v>12472</v>
      </c>
      <c r="EG186" s="214" t="s">
        <v>146</v>
      </c>
      <c r="EH186" s="214" t="s">
        <v>70</v>
      </c>
      <c r="EI186" s="214" t="s">
        <v>530</v>
      </c>
      <c r="EK186" s="214" t="s">
        <v>12473</v>
      </c>
      <c r="EL186" s="214" t="s">
        <v>52</v>
      </c>
      <c r="EM186" s="214" t="s">
        <v>70</v>
      </c>
      <c r="EN186" s="214" t="s">
        <v>530</v>
      </c>
      <c r="EP186" s="214" t="s">
        <v>12474</v>
      </c>
      <c r="EQ186" s="214" t="s">
        <v>602</v>
      </c>
      <c r="ER186" s="214" t="s">
        <v>70</v>
      </c>
      <c r="ES186" s="214" t="s">
        <v>530</v>
      </c>
      <c r="EU186" s="214" t="s">
        <v>12475</v>
      </c>
      <c r="EV186" s="214" t="s">
        <v>34608</v>
      </c>
      <c r="EW186" s="214" t="s">
        <v>70</v>
      </c>
      <c r="EX186" s="214" t="s">
        <v>530</v>
      </c>
      <c r="EZ186" s="214" t="s">
        <v>12476</v>
      </c>
      <c r="FA186" s="214" t="s">
        <v>34574</v>
      </c>
      <c r="FB186" s="214" t="s">
        <v>70</v>
      </c>
      <c r="FC186" s="214" t="s">
        <v>530</v>
      </c>
      <c r="FE186" s="214" t="s">
        <v>12477</v>
      </c>
      <c r="FF186" s="214" t="s">
        <v>52</v>
      </c>
      <c r="FG186" s="214" t="s">
        <v>70</v>
      </c>
      <c r="FH186" s="214" t="s">
        <v>530</v>
      </c>
      <c r="FJ186" s="321" t="s">
        <v>12478</v>
      </c>
      <c r="FK186" s="214" t="s">
        <v>34589</v>
      </c>
      <c r="FL186" s="214" t="s">
        <v>70</v>
      </c>
      <c r="FM186" s="214" t="s">
        <v>530</v>
      </c>
      <c r="FO186" s="321" t="s">
        <v>12479</v>
      </c>
      <c r="FP186" s="214" t="s">
        <v>34577</v>
      </c>
      <c r="FQ186" s="214" t="s">
        <v>70</v>
      </c>
      <c r="FR186" s="214" t="s">
        <v>530</v>
      </c>
      <c r="FT186" s="321" t="s">
        <v>12480</v>
      </c>
      <c r="FU186" s="214" t="s">
        <v>481</v>
      </c>
      <c r="FV186" s="214" t="s">
        <v>70</v>
      </c>
      <c r="FW186" s="214" t="s">
        <v>530</v>
      </c>
      <c r="FY186" s="321" t="s">
        <v>12481</v>
      </c>
      <c r="FZ186" s="214" t="s">
        <v>86</v>
      </c>
      <c r="GA186" s="214" t="s">
        <v>70</v>
      </c>
      <c r="GB186" s="214" t="s">
        <v>530</v>
      </c>
      <c r="GD186" s="321" t="s">
        <v>12482</v>
      </c>
      <c r="GE186" s="214" t="s">
        <v>163</v>
      </c>
      <c r="GF186" s="214" t="s">
        <v>70</v>
      </c>
      <c r="GG186" s="214" t="s">
        <v>530</v>
      </c>
      <c r="GI186" s="321" t="s">
        <v>12483</v>
      </c>
      <c r="GJ186" s="214" t="s">
        <v>34565</v>
      </c>
      <c r="GK186" s="214" t="s">
        <v>70</v>
      </c>
      <c r="GL186" s="214" t="s">
        <v>530</v>
      </c>
      <c r="GN186" s="321" t="s">
        <v>12484</v>
      </c>
      <c r="GO186" s="214" t="s">
        <v>34599</v>
      </c>
      <c r="GP186" s="214" t="s">
        <v>70</v>
      </c>
      <c r="GQ186" s="214" t="s">
        <v>530</v>
      </c>
      <c r="GS186" s="321" t="s">
        <v>12485</v>
      </c>
      <c r="GT186" s="214" t="s">
        <v>52</v>
      </c>
      <c r="GU186" s="214" t="s">
        <v>70</v>
      </c>
      <c r="GV186" s="214" t="s">
        <v>530</v>
      </c>
      <c r="GX186" s="214" t="s">
        <v>12486</v>
      </c>
      <c r="GY186" s="214" t="s">
        <v>87</v>
      </c>
      <c r="GZ186" s="214" t="s">
        <v>70</v>
      </c>
      <c r="HA186" s="214" t="s">
        <v>530</v>
      </c>
      <c r="HC186" s="214" t="s">
        <v>12487</v>
      </c>
      <c r="HD186" s="214" t="s">
        <v>52</v>
      </c>
      <c r="HE186" s="214" t="s">
        <v>70</v>
      </c>
      <c r="HF186" s="214" t="s">
        <v>530</v>
      </c>
      <c r="HH186" s="214" t="s">
        <v>12488</v>
      </c>
      <c r="HI186" s="214" t="s">
        <v>52</v>
      </c>
      <c r="HJ186" s="214" t="s">
        <v>70</v>
      </c>
      <c r="HK186" s="214" t="s">
        <v>530</v>
      </c>
      <c r="HM186" s="214" t="s">
        <v>12489</v>
      </c>
      <c r="HN186" s="214" t="s">
        <v>148</v>
      </c>
      <c r="HO186" s="214" t="s">
        <v>70</v>
      </c>
      <c r="HP186" s="214" t="s">
        <v>530</v>
      </c>
      <c r="HR186" s="22" t="s">
        <v>12490</v>
      </c>
      <c r="HS186" s="22" t="s">
        <v>92</v>
      </c>
      <c r="HT186" s="22" t="s">
        <v>70</v>
      </c>
      <c r="HU186" s="214" t="s">
        <v>530</v>
      </c>
      <c r="HW186" s="22" t="s">
        <v>12491</v>
      </c>
      <c r="HX186" s="22" t="s">
        <v>52</v>
      </c>
      <c r="HY186" s="22" t="s">
        <v>70</v>
      </c>
      <c r="HZ186" s="214" t="s">
        <v>530</v>
      </c>
      <c r="IB186" s="22" t="s">
        <v>12492</v>
      </c>
      <c r="IC186" s="22" t="s">
        <v>287</v>
      </c>
      <c r="ID186" s="22" t="s">
        <v>70</v>
      </c>
      <c r="IE186" s="214" t="s">
        <v>530</v>
      </c>
      <c r="IG186" s="22" t="s">
        <v>12493</v>
      </c>
      <c r="IH186" s="22" t="s">
        <v>1224</v>
      </c>
      <c r="II186" s="22" t="s">
        <v>70</v>
      </c>
      <c r="IJ186" s="214" t="s">
        <v>530</v>
      </c>
      <c r="IL186" s="22" t="s">
        <v>12494</v>
      </c>
      <c r="IM186" s="22" t="s">
        <v>145</v>
      </c>
      <c r="IN186" s="22" t="s">
        <v>70</v>
      </c>
      <c r="IO186" s="214" t="s">
        <v>530</v>
      </c>
      <c r="IQ186" s="236" t="s">
        <v>12495</v>
      </c>
      <c r="IR186" s="236" t="s">
        <v>145</v>
      </c>
      <c r="IS186" s="236" t="s">
        <v>74</v>
      </c>
      <c r="IT186" s="236" t="s">
        <v>841</v>
      </c>
      <c r="IV186" s="236" t="s">
        <v>12496</v>
      </c>
      <c r="IW186" s="236" t="s">
        <v>145</v>
      </c>
      <c r="IX186" s="236" t="s">
        <v>74</v>
      </c>
      <c r="IY186" s="236" t="s">
        <v>841</v>
      </c>
      <c r="JA186" s="236" t="s">
        <v>12497</v>
      </c>
      <c r="JB186" s="236" t="s">
        <v>145</v>
      </c>
      <c r="JC186" s="236" t="s">
        <v>74</v>
      </c>
      <c r="JD186" s="236" t="s">
        <v>841</v>
      </c>
      <c r="JF186" s="236" t="s">
        <v>12498</v>
      </c>
      <c r="JG186" s="236" t="s">
        <v>145</v>
      </c>
      <c r="JH186" s="236" t="s">
        <v>74</v>
      </c>
      <c r="JI186" s="236" t="s">
        <v>841</v>
      </c>
      <c r="JK186" s="236" t="s">
        <v>12499</v>
      </c>
      <c r="JL186" s="236" t="s">
        <v>145</v>
      </c>
      <c r="JM186" s="236" t="s">
        <v>74</v>
      </c>
      <c r="JN186" s="236" t="s">
        <v>841</v>
      </c>
      <c r="JP186" s="236" t="s">
        <v>12500</v>
      </c>
      <c r="JQ186" s="236" t="s">
        <v>145</v>
      </c>
      <c r="JR186" s="236" t="s">
        <v>74</v>
      </c>
      <c r="JS186" s="236" t="s">
        <v>841</v>
      </c>
      <c r="JU186" s="294" t="s">
        <v>12501</v>
      </c>
      <c r="JV186" s="294" t="s">
        <v>52</v>
      </c>
      <c r="JW186" s="263" t="s">
        <v>70</v>
      </c>
      <c r="JX186" s="294" t="s">
        <v>1083</v>
      </c>
      <c r="JZ186" s="263" t="s">
        <v>12502</v>
      </c>
      <c r="KA186" s="263" t="s">
        <v>145</v>
      </c>
      <c r="KB186" s="263" t="s">
        <v>70</v>
      </c>
      <c r="KC186" s="263" t="s">
        <v>1083</v>
      </c>
      <c r="KE186" s="263" t="s">
        <v>12503</v>
      </c>
      <c r="KF186" s="263" t="s">
        <v>52</v>
      </c>
      <c r="KG186" s="263" t="s">
        <v>70</v>
      </c>
      <c r="KH186" s="263" t="s">
        <v>1083</v>
      </c>
      <c r="KJ186" s="263" t="s">
        <v>12504</v>
      </c>
      <c r="KK186" s="263" t="s">
        <v>52</v>
      </c>
      <c r="KL186" s="263" t="s">
        <v>74</v>
      </c>
      <c r="KM186" s="263" t="s">
        <v>34074</v>
      </c>
      <c r="KO186" s="214" t="s">
        <v>12505</v>
      </c>
      <c r="KP186" s="214" t="s">
        <v>145</v>
      </c>
      <c r="KQ186" s="214" t="s">
        <v>70</v>
      </c>
      <c r="KR186" s="214" t="s">
        <v>67</v>
      </c>
      <c r="KT186" s="22" t="s">
        <v>12506</v>
      </c>
      <c r="KU186" s="22" t="s">
        <v>145</v>
      </c>
      <c r="KV186" s="22" t="s">
        <v>70</v>
      </c>
      <c r="KW186" s="22" t="s">
        <v>67</v>
      </c>
      <c r="KY186" s="214" t="s">
        <v>12507</v>
      </c>
      <c r="KZ186" s="214" t="s">
        <v>52</v>
      </c>
      <c r="LA186" s="214" t="s">
        <v>74</v>
      </c>
      <c r="LB186" s="214" t="s">
        <v>67</v>
      </c>
      <c r="LD186" s="22" t="s">
        <v>12508</v>
      </c>
      <c r="LE186" s="22" t="s">
        <v>145</v>
      </c>
      <c r="LF186" s="22" t="s">
        <v>70</v>
      </c>
      <c r="LG186" s="22" t="s">
        <v>67</v>
      </c>
    </row>
    <row r="187" spans="1:319">
      <c r="A187" s="22" t="s">
        <v>12509</v>
      </c>
      <c r="B187" s="22" t="s">
        <v>145</v>
      </c>
      <c r="C187" s="22" t="s">
        <v>70</v>
      </c>
      <c r="D187" s="22" t="s">
        <v>67</v>
      </c>
      <c r="F187" s="23" t="s">
        <v>12510</v>
      </c>
      <c r="G187" s="23" t="str">
        <f>TVIIBE1M_CalPairs!$E184</f>
        <v>0x30</v>
      </c>
      <c r="H187" s="23" t="s">
        <v>70</v>
      </c>
      <c r="I187" s="23" t="str">
        <f>TVIIBE1M_CalPairs!$C184</f>
        <v>PWR_TRIM_HT_ACT_PC_CTL_ADDR0</v>
      </c>
      <c r="K187" s="22" t="s">
        <v>12511</v>
      </c>
      <c r="L187" s="22" t="s">
        <v>145</v>
      </c>
      <c r="M187" s="22" t="s">
        <v>70</v>
      </c>
      <c r="N187" s="22" t="s">
        <v>67</v>
      </c>
      <c r="P187" s="22" t="s">
        <v>12512</v>
      </c>
      <c r="Q187" s="22" t="s">
        <v>145</v>
      </c>
      <c r="R187" s="22" t="s">
        <v>70</v>
      </c>
      <c r="S187" s="22" t="s">
        <v>67</v>
      </c>
      <c r="U187" s="293" t="s">
        <v>12513</v>
      </c>
      <c r="V187" s="293" t="s">
        <v>145</v>
      </c>
      <c r="W187" s="293" t="s">
        <v>74</v>
      </c>
      <c r="X187" s="293" t="s">
        <v>656</v>
      </c>
      <c r="Z187" s="293" t="s">
        <v>12514</v>
      </c>
      <c r="AA187" s="293" t="s">
        <v>145</v>
      </c>
      <c r="AB187" s="293" t="s">
        <v>74</v>
      </c>
      <c r="AC187" s="293" t="s">
        <v>656</v>
      </c>
      <c r="AE187" s="293" t="s">
        <v>12515</v>
      </c>
      <c r="AF187" s="293" t="s">
        <v>145</v>
      </c>
      <c r="AG187" s="293" t="s">
        <v>74</v>
      </c>
      <c r="AH187" s="293" t="s">
        <v>656</v>
      </c>
      <c r="AJ187" s="293" t="s">
        <v>12516</v>
      </c>
      <c r="AK187" s="293" t="s">
        <v>145</v>
      </c>
      <c r="AL187" s="293" t="s">
        <v>74</v>
      </c>
      <c r="AM187" s="293" t="s">
        <v>656</v>
      </c>
      <c r="AO187" s="22" t="s">
        <v>12517</v>
      </c>
      <c r="AP187" s="22" t="s">
        <v>145</v>
      </c>
      <c r="AQ187" s="22" t="s">
        <v>70</v>
      </c>
      <c r="AR187" s="22" t="s">
        <v>67</v>
      </c>
      <c r="AT187" s="22" t="s">
        <v>12518</v>
      </c>
      <c r="AU187" s="22" t="s">
        <v>145</v>
      </c>
      <c r="AV187" s="22" t="s">
        <v>70</v>
      </c>
      <c r="AW187" s="22" t="s">
        <v>67</v>
      </c>
      <c r="AY187" s="22" t="s">
        <v>12519</v>
      </c>
      <c r="AZ187" s="22" t="s">
        <v>145</v>
      </c>
      <c r="BA187" s="22" t="s">
        <v>70</v>
      </c>
      <c r="BB187" s="22" t="s">
        <v>67</v>
      </c>
      <c r="BD187" s="22" t="s">
        <v>12520</v>
      </c>
      <c r="BE187" s="22" t="s">
        <v>145</v>
      </c>
      <c r="BF187" s="22" t="s">
        <v>70</v>
      </c>
      <c r="BG187" s="22" t="s">
        <v>67</v>
      </c>
      <c r="BI187" s="22" t="s">
        <v>12521</v>
      </c>
      <c r="BJ187" s="22" t="s">
        <v>145</v>
      </c>
      <c r="BK187" s="22" t="s">
        <v>70</v>
      </c>
      <c r="BL187" s="22" t="s">
        <v>67</v>
      </c>
      <c r="BN187" s="22" t="s">
        <v>12522</v>
      </c>
      <c r="BO187" s="22" t="s">
        <v>145</v>
      </c>
      <c r="BP187" s="22" t="s">
        <v>70</v>
      </c>
      <c r="BQ187" s="22" t="s">
        <v>67</v>
      </c>
      <c r="BS187" s="22" t="s">
        <v>12523</v>
      </c>
      <c r="BT187" s="22" t="s">
        <v>145</v>
      </c>
      <c r="BU187" s="22" t="s">
        <v>70</v>
      </c>
      <c r="BV187" s="214" t="s">
        <v>530</v>
      </c>
      <c r="BX187" s="22" t="s">
        <v>12524</v>
      </c>
      <c r="BY187" s="22" t="s">
        <v>145</v>
      </c>
      <c r="BZ187" s="22" t="s">
        <v>70</v>
      </c>
      <c r="CA187" s="214" t="s">
        <v>530</v>
      </c>
      <c r="CC187" s="214" t="s">
        <v>12525</v>
      </c>
      <c r="CD187" s="218" t="s">
        <v>145</v>
      </c>
      <c r="CE187" s="214" t="s">
        <v>70</v>
      </c>
      <c r="CF187" s="214" t="s">
        <v>547</v>
      </c>
      <c r="CH187" s="214" t="s">
        <v>12526</v>
      </c>
      <c r="CI187" s="214" t="s">
        <v>34562</v>
      </c>
      <c r="CJ187" s="214" t="s">
        <v>70</v>
      </c>
      <c r="CK187" s="214" t="s">
        <v>530</v>
      </c>
      <c r="CM187" s="322" t="s">
        <v>12527</v>
      </c>
      <c r="CN187" s="214" t="s">
        <v>149</v>
      </c>
      <c r="CO187" s="214" t="s">
        <v>70</v>
      </c>
      <c r="CP187" s="214" t="s">
        <v>530</v>
      </c>
      <c r="CR187" s="214" t="s">
        <v>12528</v>
      </c>
      <c r="CS187" s="214" t="s">
        <v>486</v>
      </c>
      <c r="CT187" s="214" t="s">
        <v>70</v>
      </c>
      <c r="CU187" s="214" t="s">
        <v>530</v>
      </c>
      <c r="CW187" s="214" t="s">
        <v>12529</v>
      </c>
      <c r="CX187" s="214" t="s">
        <v>486</v>
      </c>
      <c r="CY187" s="214" t="s">
        <v>70</v>
      </c>
      <c r="CZ187" s="214" t="s">
        <v>530</v>
      </c>
      <c r="DB187" s="214" t="s">
        <v>12530</v>
      </c>
      <c r="DC187" s="214" t="s">
        <v>485</v>
      </c>
      <c r="DD187" s="214" t="s">
        <v>70</v>
      </c>
      <c r="DE187" s="214" t="s">
        <v>530</v>
      </c>
      <c r="DG187" s="214" t="s">
        <v>12531</v>
      </c>
      <c r="DH187" s="214" t="s">
        <v>488</v>
      </c>
      <c r="DI187" s="214" t="s">
        <v>70</v>
      </c>
      <c r="DJ187" s="214" t="s">
        <v>530</v>
      </c>
      <c r="DL187" s="214" t="s">
        <v>12532</v>
      </c>
      <c r="DM187" s="214" t="s">
        <v>492</v>
      </c>
      <c r="DN187" s="214" t="s">
        <v>70</v>
      </c>
      <c r="DO187" s="214" t="s">
        <v>530</v>
      </c>
      <c r="DQ187" s="214" t="s">
        <v>12533</v>
      </c>
      <c r="DR187" s="214" t="s">
        <v>531</v>
      </c>
      <c r="DS187" s="214" t="s">
        <v>70</v>
      </c>
      <c r="DT187" s="214" t="s">
        <v>530</v>
      </c>
      <c r="DV187" s="214" t="s">
        <v>12534</v>
      </c>
      <c r="DW187" s="214" t="s">
        <v>486</v>
      </c>
      <c r="DX187" s="214" t="s">
        <v>70</v>
      </c>
      <c r="DY187" s="214" t="s">
        <v>530</v>
      </c>
      <c r="EA187" s="214" t="s">
        <v>12535</v>
      </c>
      <c r="EB187" s="214" t="s">
        <v>52</v>
      </c>
      <c r="EC187" s="214" t="s">
        <v>70</v>
      </c>
      <c r="ED187" s="214" t="s">
        <v>530</v>
      </c>
      <c r="EF187" s="214" t="s">
        <v>12536</v>
      </c>
      <c r="EG187" s="214" t="s">
        <v>34516</v>
      </c>
      <c r="EH187" s="214" t="s">
        <v>70</v>
      </c>
      <c r="EI187" s="214" t="s">
        <v>530</v>
      </c>
      <c r="EK187" s="214" t="s">
        <v>12537</v>
      </c>
      <c r="EL187" s="214" t="s">
        <v>485</v>
      </c>
      <c r="EM187" s="214" t="s">
        <v>70</v>
      </c>
      <c r="EN187" s="214" t="s">
        <v>530</v>
      </c>
      <c r="EP187" s="214" t="s">
        <v>12538</v>
      </c>
      <c r="EQ187" s="214" t="s">
        <v>85</v>
      </c>
      <c r="ER187" s="214" t="s">
        <v>70</v>
      </c>
      <c r="ES187" s="214" t="s">
        <v>530</v>
      </c>
      <c r="EU187" s="214" t="s">
        <v>12539</v>
      </c>
      <c r="EV187" s="214" t="s">
        <v>34539</v>
      </c>
      <c r="EW187" s="214" t="s">
        <v>70</v>
      </c>
      <c r="EX187" s="214" t="s">
        <v>530</v>
      </c>
      <c r="EZ187" s="214" t="s">
        <v>12540</v>
      </c>
      <c r="FA187" s="214" t="s">
        <v>491</v>
      </c>
      <c r="FB187" s="214" t="s">
        <v>70</v>
      </c>
      <c r="FC187" s="214" t="s">
        <v>530</v>
      </c>
      <c r="FE187" s="214" t="s">
        <v>12541</v>
      </c>
      <c r="FF187" s="214" t="s">
        <v>485</v>
      </c>
      <c r="FG187" s="214" t="s">
        <v>70</v>
      </c>
      <c r="FH187" s="214" t="s">
        <v>530</v>
      </c>
      <c r="FJ187" s="321" t="s">
        <v>12542</v>
      </c>
      <c r="FK187" s="214" t="s">
        <v>93</v>
      </c>
      <c r="FL187" s="214" t="s">
        <v>70</v>
      </c>
      <c r="FM187" s="214" t="s">
        <v>530</v>
      </c>
      <c r="FO187" s="321" t="s">
        <v>12543</v>
      </c>
      <c r="FP187" s="214" t="s">
        <v>145</v>
      </c>
      <c r="FQ187" s="214" t="s">
        <v>70</v>
      </c>
      <c r="FR187" s="214" t="s">
        <v>530</v>
      </c>
      <c r="FT187" s="321" t="s">
        <v>12544</v>
      </c>
      <c r="FU187" s="214" t="s">
        <v>490</v>
      </c>
      <c r="FV187" s="214" t="s">
        <v>70</v>
      </c>
      <c r="FW187" s="214" t="s">
        <v>530</v>
      </c>
      <c r="FY187" s="321" t="s">
        <v>12545</v>
      </c>
      <c r="FZ187" s="214" t="s">
        <v>482</v>
      </c>
      <c r="GA187" s="214" t="s">
        <v>70</v>
      </c>
      <c r="GB187" s="214" t="s">
        <v>530</v>
      </c>
      <c r="GD187" s="321" t="s">
        <v>12546</v>
      </c>
      <c r="GE187" s="214" t="s">
        <v>34589</v>
      </c>
      <c r="GF187" s="214" t="s">
        <v>70</v>
      </c>
      <c r="GG187" s="214" t="s">
        <v>530</v>
      </c>
      <c r="GI187" s="321" t="s">
        <v>12547</v>
      </c>
      <c r="GJ187" s="214" t="s">
        <v>146</v>
      </c>
      <c r="GK187" s="214" t="s">
        <v>70</v>
      </c>
      <c r="GL187" s="214" t="s">
        <v>530</v>
      </c>
      <c r="GN187" s="321" t="s">
        <v>12548</v>
      </c>
      <c r="GO187" s="214" t="s">
        <v>929</v>
      </c>
      <c r="GP187" s="214" t="s">
        <v>70</v>
      </c>
      <c r="GQ187" s="214" t="s">
        <v>530</v>
      </c>
      <c r="GS187" s="321" t="s">
        <v>12549</v>
      </c>
      <c r="GT187" s="214" t="s">
        <v>485</v>
      </c>
      <c r="GU187" s="214" t="s">
        <v>70</v>
      </c>
      <c r="GV187" s="214" t="s">
        <v>530</v>
      </c>
      <c r="GX187" s="214" t="s">
        <v>12550</v>
      </c>
      <c r="GY187" s="214" t="s">
        <v>34580</v>
      </c>
      <c r="GZ187" s="214" t="s">
        <v>70</v>
      </c>
      <c r="HA187" s="214" t="s">
        <v>530</v>
      </c>
      <c r="HC187" s="214" t="s">
        <v>12551</v>
      </c>
      <c r="HD187" s="214" t="s">
        <v>52</v>
      </c>
      <c r="HE187" s="214" t="s">
        <v>70</v>
      </c>
      <c r="HF187" s="214" t="s">
        <v>530</v>
      </c>
      <c r="HH187" s="214" t="s">
        <v>12552</v>
      </c>
      <c r="HI187" s="214" t="s">
        <v>955</v>
      </c>
      <c r="HJ187" s="214" t="s">
        <v>70</v>
      </c>
      <c r="HK187" s="214" t="s">
        <v>530</v>
      </c>
      <c r="HM187" s="214" t="s">
        <v>12553</v>
      </c>
      <c r="HN187" s="214" t="s">
        <v>955</v>
      </c>
      <c r="HO187" s="214" t="s">
        <v>70</v>
      </c>
      <c r="HP187" s="214" t="s">
        <v>530</v>
      </c>
      <c r="HR187" s="22" t="s">
        <v>12554</v>
      </c>
      <c r="HS187" s="22" t="s">
        <v>496</v>
      </c>
      <c r="HT187" s="22" t="s">
        <v>70</v>
      </c>
      <c r="HU187" s="214" t="s">
        <v>530</v>
      </c>
      <c r="HW187" s="22" t="s">
        <v>12555</v>
      </c>
      <c r="HX187" s="22" t="s">
        <v>103</v>
      </c>
      <c r="HY187" s="22" t="s">
        <v>70</v>
      </c>
      <c r="HZ187" s="214" t="s">
        <v>530</v>
      </c>
      <c r="IB187" s="22" t="s">
        <v>12556</v>
      </c>
      <c r="IC187" s="22" t="s">
        <v>485</v>
      </c>
      <c r="ID187" s="22" t="s">
        <v>70</v>
      </c>
      <c r="IE187" s="214" t="s">
        <v>530</v>
      </c>
      <c r="IG187" s="22" t="s">
        <v>12557</v>
      </c>
      <c r="IH187" s="22" t="s">
        <v>86</v>
      </c>
      <c r="II187" s="22" t="s">
        <v>70</v>
      </c>
      <c r="IJ187" s="214" t="s">
        <v>530</v>
      </c>
      <c r="IL187" s="22" t="s">
        <v>12558</v>
      </c>
      <c r="IM187" s="22" t="s">
        <v>145</v>
      </c>
      <c r="IN187" s="22" t="s">
        <v>70</v>
      </c>
      <c r="IO187" s="214" t="s">
        <v>530</v>
      </c>
      <c r="IQ187" s="236" t="s">
        <v>12559</v>
      </c>
      <c r="IR187" s="236" t="s">
        <v>145</v>
      </c>
      <c r="IS187" s="236" t="s">
        <v>74</v>
      </c>
      <c r="IT187" s="236" t="s">
        <v>841</v>
      </c>
      <c r="IV187" s="236" t="s">
        <v>12560</v>
      </c>
      <c r="IW187" s="236" t="s">
        <v>145</v>
      </c>
      <c r="IX187" s="236" t="s">
        <v>74</v>
      </c>
      <c r="IY187" s="236" t="s">
        <v>841</v>
      </c>
      <c r="JA187" s="236" t="s">
        <v>12561</v>
      </c>
      <c r="JB187" s="236" t="s">
        <v>145</v>
      </c>
      <c r="JC187" s="236" t="s">
        <v>74</v>
      </c>
      <c r="JD187" s="236" t="s">
        <v>841</v>
      </c>
      <c r="JF187" s="236" t="s">
        <v>12562</v>
      </c>
      <c r="JG187" s="236" t="s">
        <v>145</v>
      </c>
      <c r="JH187" s="236" t="s">
        <v>74</v>
      </c>
      <c r="JI187" s="236" t="s">
        <v>841</v>
      </c>
      <c r="JK187" s="236" t="s">
        <v>12563</v>
      </c>
      <c r="JL187" s="236" t="s">
        <v>145</v>
      </c>
      <c r="JM187" s="236" t="s">
        <v>74</v>
      </c>
      <c r="JN187" s="236" t="s">
        <v>841</v>
      </c>
      <c r="JP187" s="236" t="s">
        <v>12564</v>
      </c>
      <c r="JQ187" s="236" t="s">
        <v>145</v>
      </c>
      <c r="JR187" s="236" t="s">
        <v>74</v>
      </c>
      <c r="JS187" s="236" t="s">
        <v>841</v>
      </c>
      <c r="JU187" s="294" t="s">
        <v>12565</v>
      </c>
      <c r="JV187" s="294" t="s">
        <v>52</v>
      </c>
      <c r="JW187" s="263" t="s">
        <v>70</v>
      </c>
      <c r="JX187" s="294" t="s">
        <v>1083</v>
      </c>
      <c r="JZ187" s="263" t="s">
        <v>12566</v>
      </c>
      <c r="KA187" s="263" t="s">
        <v>145</v>
      </c>
      <c r="KB187" s="263" t="s">
        <v>70</v>
      </c>
      <c r="KC187" s="263" t="s">
        <v>1083</v>
      </c>
      <c r="KE187" s="263" t="s">
        <v>12567</v>
      </c>
      <c r="KF187" s="263" t="s">
        <v>52</v>
      </c>
      <c r="KG187" s="263" t="s">
        <v>70</v>
      </c>
      <c r="KH187" s="263" t="s">
        <v>1083</v>
      </c>
      <c r="KJ187" s="263" t="s">
        <v>12568</v>
      </c>
      <c r="KK187" s="263" t="s">
        <v>52</v>
      </c>
      <c r="KL187" s="263" t="s">
        <v>74</v>
      </c>
      <c r="KM187" s="263" t="s">
        <v>34074</v>
      </c>
      <c r="KO187" s="214" t="s">
        <v>12569</v>
      </c>
      <c r="KP187" s="214" t="s">
        <v>145</v>
      </c>
      <c r="KQ187" s="214" t="s">
        <v>70</v>
      </c>
      <c r="KR187" s="214" t="s">
        <v>67</v>
      </c>
      <c r="KT187" s="22" t="s">
        <v>12570</v>
      </c>
      <c r="KU187" s="22" t="s">
        <v>145</v>
      </c>
      <c r="KV187" s="22" t="s">
        <v>70</v>
      </c>
      <c r="KW187" s="22" t="s">
        <v>67</v>
      </c>
      <c r="KY187" s="214" t="s">
        <v>12571</v>
      </c>
      <c r="KZ187" s="214" t="s">
        <v>52</v>
      </c>
      <c r="LA187" s="214" t="s">
        <v>74</v>
      </c>
      <c r="LB187" s="214" t="s">
        <v>67</v>
      </c>
      <c r="LD187" s="22" t="s">
        <v>12572</v>
      </c>
      <c r="LE187" s="22" t="s">
        <v>145</v>
      </c>
      <c r="LF187" s="22" t="s">
        <v>70</v>
      </c>
      <c r="LG187" s="22" t="s">
        <v>67</v>
      </c>
    </row>
    <row r="188" spans="1:319">
      <c r="A188" s="22" t="s">
        <v>12573</v>
      </c>
      <c r="B188" s="22" t="s">
        <v>145</v>
      </c>
      <c r="C188" s="22" t="s">
        <v>70</v>
      </c>
      <c r="D188" s="22" t="s">
        <v>67</v>
      </c>
      <c r="F188" s="23" t="s">
        <v>12574</v>
      </c>
      <c r="G188" s="23" t="str">
        <f>TVIIBE1M_CalPairs!$E185</f>
        <v>0x32</v>
      </c>
      <c r="H188" s="23" t="s">
        <v>70</v>
      </c>
      <c r="I188" s="23" t="str">
        <f>TVIIBE1M_CalPairs!$C185</f>
        <v>PWR_TRIM_HT_ACT_PC_CTL_ADDR1</v>
      </c>
      <c r="K188" s="22" t="s">
        <v>12575</v>
      </c>
      <c r="L188" s="22" t="s">
        <v>145</v>
      </c>
      <c r="M188" s="22" t="s">
        <v>70</v>
      </c>
      <c r="N188" s="22" t="s">
        <v>67</v>
      </c>
      <c r="P188" s="22" t="s">
        <v>12576</v>
      </c>
      <c r="Q188" s="22" t="s">
        <v>145</v>
      </c>
      <c r="R188" s="22" t="s">
        <v>70</v>
      </c>
      <c r="S188" s="22" t="s">
        <v>67</v>
      </c>
      <c r="U188" s="293" t="s">
        <v>12577</v>
      </c>
      <c r="V188" s="293" t="s">
        <v>145</v>
      </c>
      <c r="W188" s="293" t="s">
        <v>74</v>
      </c>
      <c r="X188" s="293" t="s">
        <v>656</v>
      </c>
      <c r="Z188" s="293" t="s">
        <v>12578</v>
      </c>
      <c r="AA188" s="293" t="s">
        <v>145</v>
      </c>
      <c r="AB188" s="293" t="s">
        <v>74</v>
      </c>
      <c r="AC188" s="293" t="s">
        <v>656</v>
      </c>
      <c r="AE188" s="293" t="s">
        <v>12579</v>
      </c>
      <c r="AF188" s="293" t="s">
        <v>145</v>
      </c>
      <c r="AG188" s="293" t="s">
        <v>74</v>
      </c>
      <c r="AH188" s="293" t="s">
        <v>656</v>
      </c>
      <c r="AJ188" s="293" t="s">
        <v>12580</v>
      </c>
      <c r="AK188" s="293" t="s">
        <v>145</v>
      </c>
      <c r="AL188" s="293" t="s">
        <v>74</v>
      </c>
      <c r="AM188" s="293" t="s">
        <v>656</v>
      </c>
      <c r="AO188" s="22" t="s">
        <v>12581</v>
      </c>
      <c r="AP188" s="22" t="s">
        <v>145</v>
      </c>
      <c r="AQ188" s="22" t="s">
        <v>70</v>
      </c>
      <c r="AR188" s="22" t="s">
        <v>67</v>
      </c>
      <c r="AT188" s="22" t="s">
        <v>12582</v>
      </c>
      <c r="AU188" s="22" t="s">
        <v>145</v>
      </c>
      <c r="AV188" s="22" t="s">
        <v>70</v>
      </c>
      <c r="AW188" s="22" t="s">
        <v>67</v>
      </c>
      <c r="AY188" s="22" t="s">
        <v>12583</v>
      </c>
      <c r="AZ188" s="22" t="s">
        <v>145</v>
      </c>
      <c r="BA188" s="22" t="s">
        <v>70</v>
      </c>
      <c r="BB188" s="22" t="s">
        <v>67</v>
      </c>
      <c r="BD188" s="22" t="s">
        <v>12584</v>
      </c>
      <c r="BE188" s="22" t="s">
        <v>145</v>
      </c>
      <c r="BF188" s="22" t="s">
        <v>70</v>
      </c>
      <c r="BG188" s="22" t="s">
        <v>67</v>
      </c>
      <c r="BI188" s="22" t="s">
        <v>12585</v>
      </c>
      <c r="BJ188" s="22" t="s">
        <v>145</v>
      </c>
      <c r="BK188" s="22" t="s">
        <v>70</v>
      </c>
      <c r="BL188" s="22" t="s">
        <v>67</v>
      </c>
      <c r="BN188" s="22" t="s">
        <v>12586</v>
      </c>
      <c r="BO188" s="22" t="s">
        <v>145</v>
      </c>
      <c r="BP188" s="22" t="s">
        <v>70</v>
      </c>
      <c r="BQ188" s="22" t="s">
        <v>67</v>
      </c>
      <c r="BS188" s="22" t="s">
        <v>12587</v>
      </c>
      <c r="BT188" s="22" t="s">
        <v>145</v>
      </c>
      <c r="BU188" s="22" t="s">
        <v>70</v>
      </c>
      <c r="BV188" s="214" t="s">
        <v>530</v>
      </c>
      <c r="BX188" s="22" t="s">
        <v>12588</v>
      </c>
      <c r="BY188" s="22" t="s">
        <v>145</v>
      </c>
      <c r="BZ188" s="22" t="s">
        <v>70</v>
      </c>
      <c r="CA188" s="214" t="s">
        <v>530</v>
      </c>
      <c r="CC188" s="214" t="s">
        <v>12589</v>
      </c>
      <c r="CD188" s="218" t="s">
        <v>145</v>
      </c>
      <c r="CE188" s="214" t="s">
        <v>70</v>
      </c>
      <c r="CF188" s="214" t="s">
        <v>548</v>
      </c>
      <c r="CH188" s="214" t="s">
        <v>12590</v>
      </c>
      <c r="CI188" s="214" t="s">
        <v>149</v>
      </c>
      <c r="CJ188" s="214" t="s">
        <v>70</v>
      </c>
      <c r="CK188" s="214" t="s">
        <v>530</v>
      </c>
      <c r="CM188" s="322" t="s">
        <v>12591</v>
      </c>
      <c r="CN188" s="214" t="s">
        <v>52</v>
      </c>
      <c r="CO188" s="214" t="s">
        <v>70</v>
      </c>
      <c r="CP188" s="214" t="s">
        <v>530</v>
      </c>
      <c r="CR188" s="214" t="s">
        <v>12592</v>
      </c>
      <c r="CS188" s="214" t="s">
        <v>487</v>
      </c>
      <c r="CT188" s="214" t="s">
        <v>70</v>
      </c>
      <c r="CU188" s="214" t="s">
        <v>530</v>
      </c>
      <c r="CW188" s="214" t="s">
        <v>12593</v>
      </c>
      <c r="CX188" s="214" t="s">
        <v>34073</v>
      </c>
      <c r="CY188" s="214" t="s">
        <v>70</v>
      </c>
      <c r="CZ188" s="214" t="s">
        <v>530</v>
      </c>
      <c r="DB188" s="214" t="s">
        <v>12594</v>
      </c>
      <c r="DC188" s="214" t="s">
        <v>34545</v>
      </c>
      <c r="DD188" s="214" t="s">
        <v>70</v>
      </c>
      <c r="DE188" s="214" t="s">
        <v>530</v>
      </c>
      <c r="DG188" s="214" t="s">
        <v>12595</v>
      </c>
      <c r="DH188" s="214" t="s">
        <v>502</v>
      </c>
      <c r="DI188" s="214" t="s">
        <v>70</v>
      </c>
      <c r="DJ188" s="214" t="s">
        <v>530</v>
      </c>
      <c r="DL188" s="214" t="s">
        <v>12596</v>
      </c>
      <c r="DM188" s="214" t="s">
        <v>305</v>
      </c>
      <c r="DN188" s="214" t="s">
        <v>70</v>
      </c>
      <c r="DO188" s="214" t="s">
        <v>530</v>
      </c>
      <c r="DQ188" s="214" t="s">
        <v>12597</v>
      </c>
      <c r="DR188" s="214" t="s">
        <v>1224</v>
      </c>
      <c r="DS188" s="214" t="s">
        <v>70</v>
      </c>
      <c r="DT188" s="214" t="s">
        <v>530</v>
      </c>
      <c r="DV188" s="214" t="s">
        <v>12598</v>
      </c>
      <c r="DW188" s="214" t="s">
        <v>34591</v>
      </c>
      <c r="DX188" s="214" t="s">
        <v>70</v>
      </c>
      <c r="DY188" s="214" t="s">
        <v>530</v>
      </c>
      <c r="EA188" s="214" t="s">
        <v>12599</v>
      </c>
      <c r="EB188" s="214" t="s">
        <v>485</v>
      </c>
      <c r="EC188" s="214" t="s">
        <v>70</v>
      </c>
      <c r="ED188" s="214" t="s">
        <v>530</v>
      </c>
      <c r="EF188" s="214" t="s">
        <v>12600</v>
      </c>
      <c r="EG188" s="214" t="s">
        <v>148</v>
      </c>
      <c r="EH188" s="214" t="s">
        <v>70</v>
      </c>
      <c r="EI188" s="214" t="s">
        <v>530</v>
      </c>
      <c r="EK188" s="214" t="s">
        <v>12601</v>
      </c>
      <c r="EL188" s="214" t="s">
        <v>88</v>
      </c>
      <c r="EM188" s="214" t="s">
        <v>70</v>
      </c>
      <c r="EN188" s="214" t="s">
        <v>530</v>
      </c>
      <c r="EP188" s="214" t="s">
        <v>12602</v>
      </c>
      <c r="EQ188" s="214" t="s">
        <v>146</v>
      </c>
      <c r="ER188" s="214" t="s">
        <v>70</v>
      </c>
      <c r="ES188" s="214" t="s">
        <v>530</v>
      </c>
      <c r="EU188" s="214" t="s">
        <v>12603</v>
      </c>
      <c r="EV188" s="214" t="s">
        <v>92</v>
      </c>
      <c r="EW188" s="214" t="s">
        <v>70</v>
      </c>
      <c r="EX188" s="214" t="s">
        <v>530</v>
      </c>
      <c r="EZ188" s="214" t="s">
        <v>12604</v>
      </c>
      <c r="FA188" s="214" t="s">
        <v>145</v>
      </c>
      <c r="FB188" s="214" t="s">
        <v>70</v>
      </c>
      <c r="FC188" s="214" t="s">
        <v>530</v>
      </c>
      <c r="FE188" s="214" t="s">
        <v>12605</v>
      </c>
      <c r="FF188" s="214" t="s">
        <v>34579</v>
      </c>
      <c r="FG188" s="214" t="s">
        <v>70</v>
      </c>
      <c r="FH188" s="214" t="s">
        <v>530</v>
      </c>
      <c r="FJ188" s="321" t="s">
        <v>12606</v>
      </c>
      <c r="FK188" s="214" t="s">
        <v>500</v>
      </c>
      <c r="FL188" s="214" t="s">
        <v>70</v>
      </c>
      <c r="FM188" s="214" t="s">
        <v>530</v>
      </c>
      <c r="FO188" s="321" t="s">
        <v>12607</v>
      </c>
      <c r="FP188" s="214" t="s">
        <v>90</v>
      </c>
      <c r="FQ188" s="214" t="s">
        <v>70</v>
      </c>
      <c r="FR188" s="214" t="s">
        <v>530</v>
      </c>
      <c r="FT188" s="321" t="s">
        <v>12608</v>
      </c>
      <c r="FU188" s="214" t="s">
        <v>148</v>
      </c>
      <c r="FV188" s="214" t="s">
        <v>70</v>
      </c>
      <c r="FW188" s="214" t="s">
        <v>530</v>
      </c>
      <c r="FY188" s="321" t="s">
        <v>12609</v>
      </c>
      <c r="FZ188" s="214" t="s">
        <v>52</v>
      </c>
      <c r="GA188" s="214" t="s">
        <v>70</v>
      </c>
      <c r="GB188" s="214" t="s">
        <v>530</v>
      </c>
      <c r="GD188" s="321" t="s">
        <v>12610</v>
      </c>
      <c r="GE188" s="214" t="s">
        <v>52</v>
      </c>
      <c r="GF188" s="214" t="s">
        <v>70</v>
      </c>
      <c r="GG188" s="214" t="s">
        <v>530</v>
      </c>
      <c r="GI188" s="321" t="s">
        <v>12611</v>
      </c>
      <c r="GJ188" s="214" t="s">
        <v>34655</v>
      </c>
      <c r="GK188" s="214" t="s">
        <v>70</v>
      </c>
      <c r="GL188" s="214" t="s">
        <v>530</v>
      </c>
      <c r="GN188" s="321" t="s">
        <v>12612</v>
      </c>
      <c r="GO188" s="214" t="s">
        <v>52</v>
      </c>
      <c r="GP188" s="214" t="s">
        <v>70</v>
      </c>
      <c r="GQ188" s="214" t="s">
        <v>530</v>
      </c>
      <c r="GS188" s="321" t="s">
        <v>12613</v>
      </c>
      <c r="GT188" s="214" t="s">
        <v>87</v>
      </c>
      <c r="GU188" s="214" t="s">
        <v>70</v>
      </c>
      <c r="GV188" s="214" t="s">
        <v>530</v>
      </c>
      <c r="GX188" s="214" t="s">
        <v>12614</v>
      </c>
      <c r="GY188" s="214" t="s">
        <v>148</v>
      </c>
      <c r="GZ188" s="214" t="s">
        <v>70</v>
      </c>
      <c r="HA188" s="214" t="s">
        <v>530</v>
      </c>
      <c r="HC188" s="214" t="s">
        <v>12615</v>
      </c>
      <c r="HD188" s="214" t="s">
        <v>146</v>
      </c>
      <c r="HE188" s="214" t="s">
        <v>70</v>
      </c>
      <c r="HF188" s="214" t="s">
        <v>530</v>
      </c>
      <c r="HH188" s="214" t="s">
        <v>12616</v>
      </c>
      <c r="HI188" s="214" t="s">
        <v>146</v>
      </c>
      <c r="HJ188" s="214" t="s">
        <v>70</v>
      </c>
      <c r="HK188" s="214" t="s">
        <v>530</v>
      </c>
      <c r="HM188" s="214" t="s">
        <v>12617</v>
      </c>
      <c r="HN188" s="214" t="s">
        <v>34572</v>
      </c>
      <c r="HO188" s="214" t="s">
        <v>70</v>
      </c>
      <c r="HP188" s="214" t="s">
        <v>530</v>
      </c>
      <c r="HR188" s="22" t="s">
        <v>12618</v>
      </c>
      <c r="HS188" s="22" t="s">
        <v>92</v>
      </c>
      <c r="HT188" s="22" t="s">
        <v>70</v>
      </c>
      <c r="HU188" s="214" t="s">
        <v>530</v>
      </c>
      <c r="HW188" s="22" t="s">
        <v>12619</v>
      </c>
      <c r="HX188" s="22" t="s">
        <v>905</v>
      </c>
      <c r="HY188" s="22" t="s">
        <v>70</v>
      </c>
      <c r="HZ188" s="214" t="s">
        <v>530</v>
      </c>
      <c r="IB188" s="22" t="s">
        <v>12620</v>
      </c>
      <c r="IC188" s="22" t="s">
        <v>52</v>
      </c>
      <c r="ID188" s="22" t="s">
        <v>70</v>
      </c>
      <c r="IE188" s="214" t="s">
        <v>530</v>
      </c>
      <c r="IG188" s="22" t="s">
        <v>12621</v>
      </c>
      <c r="IH188" s="22" t="s">
        <v>34524</v>
      </c>
      <c r="II188" s="22" t="s">
        <v>70</v>
      </c>
      <c r="IJ188" s="214" t="s">
        <v>530</v>
      </c>
      <c r="IL188" s="22" t="s">
        <v>12622</v>
      </c>
      <c r="IM188" s="22" t="s">
        <v>145</v>
      </c>
      <c r="IN188" s="22" t="s">
        <v>70</v>
      </c>
      <c r="IO188" s="214" t="s">
        <v>530</v>
      </c>
      <c r="IQ188" s="236" t="s">
        <v>12623</v>
      </c>
      <c r="IR188" s="236" t="s">
        <v>145</v>
      </c>
      <c r="IS188" s="236" t="s">
        <v>74</v>
      </c>
      <c r="IT188" s="236" t="s">
        <v>841</v>
      </c>
      <c r="IV188" s="236" t="s">
        <v>12624</v>
      </c>
      <c r="IW188" s="236" t="s">
        <v>145</v>
      </c>
      <c r="IX188" s="236" t="s">
        <v>74</v>
      </c>
      <c r="IY188" s="236" t="s">
        <v>841</v>
      </c>
      <c r="JA188" s="236" t="s">
        <v>12625</v>
      </c>
      <c r="JB188" s="236" t="s">
        <v>145</v>
      </c>
      <c r="JC188" s="236" t="s">
        <v>74</v>
      </c>
      <c r="JD188" s="236" t="s">
        <v>841</v>
      </c>
      <c r="JF188" s="236" t="s">
        <v>12626</v>
      </c>
      <c r="JG188" s="236" t="s">
        <v>145</v>
      </c>
      <c r="JH188" s="236" t="s">
        <v>74</v>
      </c>
      <c r="JI188" s="236" t="s">
        <v>841</v>
      </c>
      <c r="JK188" s="236" t="s">
        <v>12627</v>
      </c>
      <c r="JL188" s="236" t="s">
        <v>145</v>
      </c>
      <c r="JM188" s="236" t="s">
        <v>74</v>
      </c>
      <c r="JN188" s="236" t="s">
        <v>841</v>
      </c>
      <c r="JP188" s="236" t="s">
        <v>12628</v>
      </c>
      <c r="JQ188" s="236" t="s">
        <v>145</v>
      </c>
      <c r="JR188" s="236" t="s">
        <v>74</v>
      </c>
      <c r="JS188" s="236" t="s">
        <v>841</v>
      </c>
      <c r="JU188" s="294" t="s">
        <v>12629</v>
      </c>
      <c r="JV188" s="294" t="s">
        <v>52</v>
      </c>
      <c r="JW188" s="263" t="s">
        <v>70</v>
      </c>
      <c r="JX188" s="294" t="s">
        <v>1083</v>
      </c>
      <c r="JZ188" s="263" t="s">
        <v>12630</v>
      </c>
      <c r="KA188" s="263" t="s">
        <v>145</v>
      </c>
      <c r="KB188" s="263" t="s">
        <v>70</v>
      </c>
      <c r="KC188" s="263" t="s">
        <v>1083</v>
      </c>
      <c r="KE188" s="263" t="s">
        <v>12631</v>
      </c>
      <c r="KF188" s="263" t="s">
        <v>52</v>
      </c>
      <c r="KG188" s="263" t="s">
        <v>70</v>
      </c>
      <c r="KH188" s="263" t="s">
        <v>1083</v>
      </c>
      <c r="KJ188" s="263" t="s">
        <v>12632</v>
      </c>
      <c r="KK188" s="263" t="s">
        <v>52</v>
      </c>
      <c r="KL188" s="263" t="s">
        <v>74</v>
      </c>
      <c r="KM188" s="263" t="s">
        <v>34074</v>
      </c>
      <c r="KO188" s="214" t="s">
        <v>12633</v>
      </c>
      <c r="KP188" s="214" t="s">
        <v>145</v>
      </c>
      <c r="KQ188" s="214" t="s">
        <v>70</v>
      </c>
      <c r="KR188" s="214" t="s">
        <v>67</v>
      </c>
      <c r="KT188" s="22" t="s">
        <v>12634</v>
      </c>
      <c r="KU188" s="22" t="s">
        <v>145</v>
      </c>
      <c r="KV188" s="22" t="s">
        <v>70</v>
      </c>
      <c r="KW188" s="22" t="s">
        <v>67</v>
      </c>
      <c r="KY188" s="214" t="s">
        <v>12635</v>
      </c>
      <c r="KZ188" s="214" t="s">
        <v>52</v>
      </c>
      <c r="LA188" s="214" t="s">
        <v>74</v>
      </c>
      <c r="LB188" s="214" t="s">
        <v>67</v>
      </c>
      <c r="LD188" s="22" t="s">
        <v>12636</v>
      </c>
      <c r="LE188" s="22" t="s">
        <v>145</v>
      </c>
      <c r="LF188" s="22" t="s">
        <v>70</v>
      </c>
      <c r="LG188" s="22" t="s">
        <v>67</v>
      </c>
    </row>
    <row r="189" spans="1:319">
      <c r="A189" s="22" t="s">
        <v>12637</v>
      </c>
      <c r="B189" s="22" t="s">
        <v>145</v>
      </c>
      <c r="C189" s="22" t="s">
        <v>70</v>
      </c>
      <c r="D189" s="22" t="s">
        <v>67</v>
      </c>
      <c r="F189" s="23" t="s">
        <v>12638</v>
      </c>
      <c r="G189" s="23" t="str">
        <f>TVIIBE1M_CalPairs!$E186</f>
        <v>0x26</v>
      </c>
      <c r="H189" s="23" t="s">
        <v>70</v>
      </c>
      <c r="I189" s="23" t="str">
        <f>TVIIBE1M_CalPairs!$C186</f>
        <v>PWR_TRIM_HT_ACT_PC_CTL_ADDR2</v>
      </c>
      <c r="K189" s="22" t="s">
        <v>12639</v>
      </c>
      <c r="L189" s="22" t="s">
        <v>145</v>
      </c>
      <c r="M189" s="22" t="s">
        <v>70</v>
      </c>
      <c r="N189" s="22" t="s">
        <v>67</v>
      </c>
      <c r="P189" s="22" t="s">
        <v>12640</v>
      </c>
      <c r="Q189" s="22" t="s">
        <v>145</v>
      </c>
      <c r="R189" s="22" t="s">
        <v>70</v>
      </c>
      <c r="S189" s="22" t="s">
        <v>67</v>
      </c>
      <c r="U189" s="293" t="s">
        <v>12641</v>
      </c>
      <c r="V189" s="293" t="s">
        <v>145</v>
      </c>
      <c r="W189" s="293" t="s">
        <v>74</v>
      </c>
      <c r="X189" s="293" t="s">
        <v>656</v>
      </c>
      <c r="Z189" s="293" t="s">
        <v>12642</v>
      </c>
      <c r="AA189" s="293" t="s">
        <v>145</v>
      </c>
      <c r="AB189" s="293" t="s">
        <v>74</v>
      </c>
      <c r="AC189" s="293" t="s">
        <v>656</v>
      </c>
      <c r="AE189" s="293" t="s">
        <v>12643</v>
      </c>
      <c r="AF189" s="293" t="s">
        <v>145</v>
      </c>
      <c r="AG189" s="293" t="s">
        <v>74</v>
      </c>
      <c r="AH189" s="293" t="s">
        <v>656</v>
      </c>
      <c r="AJ189" s="293" t="s">
        <v>12644</v>
      </c>
      <c r="AK189" s="293" t="s">
        <v>145</v>
      </c>
      <c r="AL189" s="293" t="s">
        <v>74</v>
      </c>
      <c r="AM189" s="293" t="s">
        <v>656</v>
      </c>
      <c r="AO189" s="22" t="s">
        <v>12645</v>
      </c>
      <c r="AP189" s="22" t="s">
        <v>145</v>
      </c>
      <c r="AQ189" s="22" t="s">
        <v>70</v>
      </c>
      <c r="AR189" s="22" t="s">
        <v>67</v>
      </c>
      <c r="AT189" s="22" t="s">
        <v>12646</v>
      </c>
      <c r="AU189" s="22" t="s">
        <v>145</v>
      </c>
      <c r="AV189" s="22" t="s">
        <v>70</v>
      </c>
      <c r="AW189" s="22" t="s">
        <v>67</v>
      </c>
      <c r="AY189" s="22" t="s">
        <v>12647</v>
      </c>
      <c r="AZ189" s="22" t="s">
        <v>145</v>
      </c>
      <c r="BA189" s="22" t="s">
        <v>70</v>
      </c>
      <c r="BB189" s="22" t="s">
        <v>67</v>
      </c>
      <c r="BD189" s="22" t="s">
        <v>12648</v>
      </c>
      <c r="BE189" s="22" t="s">
        <v>145</v>
      </c>
      <c r="BF189" s="22" t="s">
        <v>70</v>
      </c>
      <c r="BG189" s="22" t="s">
        <v>67</v>
      </c>
      <c r="BI189" s="22" t="s">
        <v>12649</v>
      </c>
      <c r="BJ189" s="22" t="s">
        <v>145</v>
      </c>
      <c r="BK189" s="22" t="s">
        <v>70</v>
      </c>
      <c r="BL189" s="22" t="s">
        <v>67</v>
      </c>
      <c r="BN189" s="22" t="s">
        <v>12650</v>
      </c>
      <c r="BO189" s="22" t="s">
        <v>145</v>
      </c>
      <c r="BP189" s="22" t="s">
        <v>70</v>
      </c>
      <c r="BQ189" s="22" t="s">
        <v>67</v>
      </c>
      <c r="BS189" s="22" t="s">
        <v>12651</v>
      </c>
      <c r="BT189" s="22" t="s">
        <v>145</v>
      </c>
      <c r="BU189" s="22" t="s">
        <v>70</v>
      </c>
      <c r="BV189" s="214" t="s">
        <v>530</v>
      </c>
      <c r="BX189" s="22" t="s">
        <v>12652</v>
      </c>
      <c r="BY189" s="22" t="s">
        <v>145</v>
      </c>
      <c r="BZ189" s="22" t="s">
        <v>70</v>
      </c>
      <c r="CA189" s="214" t="s">
        <v>530</v>
      </c>
      <c r="CC189" s="214" t="s">
        <v>12653</v>
      </c>
      <c r="CD189" s="218" t="s">
        <v>145</v>
      </c>
      <c r="CE189" s="214" t="s">
        <v>70</v>
      </c>
      <c r="CF189" s="214" t="s">
        <v>549</v>
      </c>
      <c r="CH189" s="214" t="s">
        <v>12654</v>
      </c>
      <c r="CI189" s="214" t="s">
        <v>531</v>
      </c>
      <c r="CJ189" s="214" t="s">
        <v>70</v>
      </c>
      <c r="CK189" s="214" t="s">
        <v>530</v>
      </c>
      <c r="CM189" s="322" t="s">
        <v>12655</v>
      </c>
      <c r="CN189" s="214" t="s">
        <v>87</v>
      </c>
      <c r="CO189" s="214" t="s">
        <v>70</v>
      </c>
      <c r="CP189" s="214" t="s">
        <v>530</v>
      </c>
      <c r="CR189" s="214" t="s">
        <v>12656</v>
      </c>
      <c r="CS189" s="214" t="s">
        <v>488</v>
      </c>
      <c r="CT189" s="214" t="s">
        <v>70</v>
      </c>
      <c r="CU189" s="214" t="s">
        <v>530</v>
      </c>
      <c r="CW189" s="214" t="s">
        <v>12657</v>
      </c>
      <c r="CX189" s="214" t="s">
        <v>488</v>
      </c>
      <c r="CY189" s="214" t="s">
        <v>70</v>
      </c>
      <c r="CZ189" s="214" t="s">
        <v>530</v>
      </c>
      <c r="DB189" s="214" t="s">
        <v>12658</v>
      </c>
      <c r="DC189" s="214" t="s">
        <v>34561</v>
      </c>
      <c r="DD189" s="214" t="s">
        <v>70</v>
      </c>
      <c r="DE189" s="214" t="s">
        <v>530</v>
      </c>
      <c r="DG189" s="214" t="s">
        <v>12659</v>
      </c>
      <c r="DH189" s="214" t="s">
        <v>484</v>
      </c>
      <c r="DI189" s="214" t="s">
        <v>70</v>
      </c>
      <c r="DJ189" s="214" t="s">
        <v>530</v>
      </c>
      <c r="DL189" s="214" t="s">
        <v>12660</v>
      </c>
      <c r="DM189" s="214" t="s">
        <v>933</v>
      </c>
      <c r="DN189" s="214" t="s">
        <v>70</v>
      </c>
      <c r="DO189" s="214" t="s">
        <v>530</v>
      </c>
      <c r="DQ189" s="214" t="s">
        <v>12661</v>
      </c>
      <c r="DR189" s="214" t="s">
        <v>34548</v>
      </c>
      <c r="DS189" s="214" t="s">
        <v>70</v>
      </c>
      <c r="DT189" s="214" t="s">
        <v>530</v>
      </c>
      <c r="DV189" s="214" t="s">
        <v>12662</v>
      </c>
      <c r="DW189" s="214" t="s">
        <v>912</v>
      </c>
      <c r="DX189" s="214" t="s">
        <v>70</v>
      </c>
      <c r="DY189" s="214" t="s">
        <v>530</v>
      </c>
      <c r="EA189" s="214" t="s">
        <v>12663</v>
      </c>
      <c r="EB189" s="214" t="s">
        <v>10541</v>
      </c>
      <c r="EC189" s="214" t="s">
        <v>70</v>
      </c>
      <c r="ED189" s="214" t="s">
        <v>530</v>
      </c>
      <c r="EF189" s="214" t="s">
        <v>12664</v>
      </c>
      <c r="EG189" s="214" t="s">
        <v>34542</v>
      </c>
      <c r="EH189" s="214" t="s">
        <v>70</v>
      </c>
      <c r="EI189" s="214" t="s">
        <v>530</v>
      </c>
      <c r="EK189" s="214" t="s">
        <v>12665</v>
      </c>
      <c r="EL189" s="214" t="s">
        <v>34544</v>
      </c>
      <c r="EM189" s="214" t="s">
        <v>70</v>
      </c>
      <c r="EN189" s="214" t="s">
        <v>530</v>
      </c>
      <c r="EP189" s="214" t="s">
        <v>12666</v>
      </c>
      <c r="EQ189" s="214" t="s">
        <v>34516</v>
      </c>
      <c r="ER189" s="214" t="s">
        <v>70</v>
      </c>
      <c r="ES189" s="214" t="s">
        <v>530</v>
      </c>
      <c r="EU189" s="214" t="s">
        <v>12667</v>
      </c>
      <c r="EV189" s="214" t="s">
        <v>34569</v>
      </c>
      <c r="EW189" s="214" t="s">
        <v>70</v>
      </c>
      <c r="EX189" s="214" t="s">
        <v>530</v>
      </c>
      <c r="EZ189" s="214" t="s">
        <v>12668</v>
      </c>
      <c r="FA189" s="214" t="s">
        <v>34541</v>
      </c>
      <c r="FB189" s="214" t="s">
        <v>70</v>
      </c>
      <c r="FC189" s="214" t="s">
        <v>530</v>
      </c>
      <c r="FE189" s="214" t="s">
        <v>12669</v>
      </c>
      <c r="FF189" s="214" t="s">
        <v>34544</v>
      </c>
      <c r="FG189" s="214" t="s">
        <v>70</v>
      </c>
      <c r="FH189" s="214" t="s">
        <v>530</v>
      </c>
      <c r="FJ189" s="321" t="s">
        <v>12670</v>
      </c>
      <c r="FK189" s="214" t="s">
        <v>501</v>
      </c>
      <c r="FL189" s="214" t="s">
        <v>70</v>
      </c>
      <c r="FM189" s="214" t="s">
        <v>530</v>
      </c>
      <c r="FO189" s="321" t="s">
        <v>12671</v>
      </c>
      <c r="FP189" s="214" t="s">
        <v>599</v>
      </c>
      <c r="FQ189" s="214" t="s">
        <v>70</v>
      </c>
      <c r="FR189" s="214" t="s">
        <v>530</v>
      </c>
      <c r="FT189" s="321" t="s">
        <v>12672</v>
      </c>
      <c r="FU189" s="214" t="s">
        <v>34589</v>
      </c>
      <c r="FV189" s="214" t="s">
        <v>70</v>
      </c>
      <c r="FW189" s="214" t="s">
        <v>530</v>
      </c>
      <c r="FY189" s="321" t="s">
        <v>12673</v>
      </c>
      <c r="FZ189" s="214" t="s">
        <v>599</v>
      </c>
      <c r="GA189" s="214" t="s">
        <v>70</v>
      </c>
      <c r="GB189" s="214" t="s">
        <v>530</v>
      </c>
      <c r="GD189" s="321" t="s">
        <v>12674</v>
      </c>
      <c r="GE189" s="214" t="s">
        <v>955</v>
      </c>
      <c r="GF189" s="214" t="s">
        <v>70</v>
      </c>
      <c r="GG189" s="214" t="s">
        <v>530</v>
      </c>
      <c r="GI189" s="321" t="s">
        <v>12675</v>
      </c>
      <c r="GJ189" s="214" t="s">
        <v>486</v>
      </c>
      <c r="GK189" s="214" t="s">
        <v>70</v>
      </c>
      <c r="GL189" s="214" t="s">
        <v>530</v>
      </c>
      <c r="GN189" s="321" t="s">
        <v>12676</v>
      </c>
      <c r="GO189" s="214" t="s">
        <v>919</v>
      </c>
      <c r="GP189" s="214" t="s">
        <v>70</v>
      </c>
      <c r="GQ189" s="214" t="s">
        <v>530</v>
      </c>
      <c r="GS189" s="321" t="s">
        <v>12677</v>
      </c>
      <c r="GT189" s="214" t="s">
        <v>34544</v>
      </c>
      <c r="GU189" s="214" t="s">
        <v>70</v>
      </c>
      <c r="GV189" s="214" t="s">
        <v>530</v>
      </c>
      <c r="GX189" s="214" t="s">
        <v>12678</v>
      </c>
      <c r="GY189" s="214" t="s">
        <v>34592</v>
      </c>
      <c r="GZ189" s="214" t="s">
        <v>70</v>
      </c>
      <c r="HA189" s="214" t="s">
        <v>530</v>
      </c>
      <c r="HC189" s="214" t="s">
        <v>12679</v>
      </c>
      <c r="HD189" s="214" t="s">
        <v>88</v>
      </c>
      <c r="HE189" s="214" t="s">
        <v>70</v>
      </c>
      <c r="HF189" s="214" t="s">
        <v>530</v>
      </c>
      <c r="HH189" s="214" t="s">
        <v>12680</v>
      </c>
      <c r="HI189" s="214" t="s">
        <v>287</v>
      </c>
      <c r="HJ189" s="214" t="s">
        <v>70</v>
      </c>
      <c r="HK189" s="214" t="s">
        <v>530</v>
      </c>
      <c r="HM189" s="214" t="s">
        <v>12681</v>
      </c>
      <c r="HN189" s="214" t="s">
        <v>501</v>
      </c>
      <c r="HO189" s="214" t="s">
        <v>70</v>
      </c>
      <c r="HP189" s="214" t="s">
        <v>530</v>
      </c>
      <c r="HR189" s="22" t="s">
        <v>12682</v>
      </c>
      <c r="HS189" s="22" t="s">
        <v>482</v>
      </c>
      <c r="HT189" s="22" t="s">
        <v>70</v>
      </c>
      <c r="HU189" s="214" t="s">
        <v>530</v>
      </c>
      <c r="HW189" s="22" t="s">
        <v>12683</v>
      </c>
      <c r="HX189" s="22" t="s">
        <v>501</v>
      </c>
      <c r="HY189" s="22" t="s">
        <v>70</v>
      </c>
      <c r="HZ189" s="214" t="s">
        <v>530</v>
      </c>
      <c r="IB189" s="22" t="s">
        <v>12684</v>
      </c>
      <c r="IC189" s="22" t="s">
        <v>34544</v>
      </c>
      <c r="ID189" s="22" t="s">
        <v>70</v>
      </c>
      <c r="IE189" s="214" t="s">
        <v>530</v>
      </c>
      <c r="IG189" s="22" t="s">
        <v>12685</v>
      </c>
      <c r="IH189" s="22" t="s">
        <v>34550</v>
      </c>
      <c r="II189" s="22" t="s">
        <v>70</v>
      </c>
      <c r="IJ189" s="214" t="s">
        <v>530</v>
      </c>
      <c r="IL189" s="22" t="s">
        <v>12686</v>
      </c>
      <c r="IM189" s="22" t="s">
        <v>145</v>
      </c>
      <c r="IN189" s="22" t="s">
        <v>70</v>
      </c>
      <c r="IO189" s="214" t="s">
        <v>530</v>
      </c>
      <c r="IQ189" s="236" t="s">
        <v>12687</v>
      </c>
      <c r="IR189" s="236" t="s">
        <v>145</v>
      </c>
      <c r="IS189" s="236" t="s">
        <v>74</v>
      </c>
      <c r="IT189" s="236" t="s">
        <v>841</v>
      </c>
      <c r="IV189" s="236" t="s">
        <v>12688</v>
      </c>
      <c r="IW189" s="236" t="s">
        <v>145</v>
      </c>
      <c r="IX189" s="236" t="s">
        <v>74</v>
      </c>
      <c r="IY189" s="236" t="s">
        <v>841</v>
      </c>
      <c r="JA189" s="236" t="s">
        <v>12689</v>
      </c>
      <c r="JB189" s="236" t="s">
        <v>145</v>
      </c>
      <c r="JC189" s="236" t="s">
        <v>74</v>
      </c>
      <c r="JD189" s="236" t="s">
        <v>841</v>
      </c>
      <c r="JF189" s="236" t="s">
        <v>12690</v>
      </c>
      <c r="JG189" s="236" t="s">
        <v>145</v>
      </c>
      <c r="JH189" s="236" t="s">
        <v>74</v>
      </c>
      <c r="JI189" s="236" t="s">
        <v>841</v>
      </c>
      <c r="JK189" s="236" t="s">
        <v>12691</v>
      </c>
      <c r="JL189" s="236" t="s">
        <v>145</v>
      </c>
      <c r="JM189" s="236" t="s">
        <v>74</v>
      </c>
      <c r="JN189" s="236" t="s">
        <v>841</v>
      </c>
      <c r="JP189" s="236" t="s">
        <v>12692</v>
      </c>
      <c r="JQ189" s="236" t="s">
        <v>145</v>
      </c>
      <c r="JR189" s="236" t="s">
        <v>74</v>
      </c>
      <c r="JS189" s="236" t="s">
        <v>841</v>
      </c>
      <c r="JU189" s="294" t="s">
        <v>12693</v>
      </c>
      <c r="JV189" s="294" t="s">
        <v>52</v>
      </c>
      <c r="JW189" s="263" t="s">
        <v>70</v>
      </c>
      <c r="JX189" s="294" t="s">
        <v>1083</v>
      </c>
      <c r="JZ189" s="263" t="s">
        <v>12694</v>
      </c>
      <c r="KA189" s="263" t="s">
        <v>145</v>
      </c>
      <c r="KB189" s="263" t="s">
        <v>70</v>
      </c>
      <c r="KC189" s="263" t="s">
        <v>1083</v>
      </c>
      <c r="KE189" s="263" t="s">
        <v>12695</v>
      </c>
      <c r="KF189" s="263" t="s">
        <v>52</v>
      </c>
      <c r="KG189" s="263" t="s">
        <v>70</v>
      </c>
      <c r="KH189" s="263" t="s">
        <v>1083</v>
      </c>
      <c r="KJ189" s="263" t="s">
        <v>12696</v>
      </c>
      <c r="KK189" s="263" t="s">
        <v>52</v>
      </c>
      <c r="KL189" s="263" t="s">
        <v>74</v>
      </c>
      <c r="KM189" s="263" t="s">
        <v>34074</v>
      </c>
      <c r="KO189" s="214" t="s">
        <v>12697</v>
      </c>
      <c r="KP189" s="214" t="s">
        <v>145</v>
      </c>
      <c r="KQ189" s="214" t="s">
        <v>70</v>
      </c>
      <c r="KR189" s="214" t="s">
        <v>67</v>
      </c>
      <c r="KT189" s="22" t="s">
        <v>12698</v>
      </c>
      <c r="KU189" s="22" t="s">
        <v>145</v>
      </c>
      <c r="KV189" s="22" t="s">
        <v>70</v>
      </c>
      <c r="KW189" s="22" t="s">
        <v>67</v>
      </c>
      <c r="KY189" s="214" t="s">
        <v>12699</v>
      </c>
      <c r="KZ189" s="214" t="s">
        <v>52</v>
      </c>
      <c r="LA189" s="214" t="s">
        <v>74</v>
      </c>
      <c r="LB189" s="214" t="s">
        <v>67</v>
      </c>
      <c r="LD189" s="22" t="s">
        <v>12700</v>
      </c>
      <c r="LE189" s="22" t="s">
        <v>145</v>
      </c>
      <c r="LF189" s="22" t="s">
        <v>70</v>
      </c>
      <c r="LG189" s="22" t="s">
        <v>67</v>
      </c>
    </row>
    <row r="190" spans="1:319">
      <c r="A190" s="22" t="s">
        <v>12701</v>
      </c>
      <c r="B190" s="22" t="s">
        <v>145</v>
      </c>
      <c r="C190" s="22" t="s">
        <v>70</v>
      </c>
      <c r="D190" s="22" t="s">
        <v>67</v>
      </c>
      <c r="F190" s="23" t="s">
        <v>12702</v>
      </c>
      <c r="G190" s="23" t="str">
        <f>TVIIBE1M_CalPairs!$E187</f>
        <v>0x40</v>
      </c>
      <c r="H190" s="23" t="s">
        <v>70</v>
      </c>
      <c r="I190" s="23" t="str">
        <f>TVIIBE1M_CalPairs!$C187</f>
        <v>PWR_TRIM_HT_ACT_PC_CTL_ADDR3</v>
      </c>
      <c r="K190" s="22" t="s">
        <v>12703</v>
      </c>
      <c r="L190" s="22" t="s">
        <v>145</v>
      </c>
      <c r="M190" s="22" t="s">
        <v>70</v>
      </c>
      <c r="N190" s="22" t="s">
        <v>67</v>
      </c>
      <c r="P190" s="22" t="s">
        <v>12704</v>
      </c>
      <c r="Q190" s="22" t="s">
        <v>145</v>
      </c>
      <c r="R190" s="22" t="s">
        <v>70</v>
      </c>
      <c r="S190" s="22" t="s">
        <v>67</v>
      </c>
      <c r="U190" s="293" t="s">
        <v>12705</v>
      </c>
      <c r="V190" s="293" t="s">
        <v>145</v>
      </c>
      <c r="W190" s="293" t="s">
        <v>74</v>
      </c>
      <c r="X190" s="293" t="s">
        <v>656</v>
      </c>
      <c r="Z190" s="293" t="s">
        <v>12706</v>
      </c>
      <c r="AA190" s="293" t="s">
        <v>145</v>
      </c>
      <c r="AB190" s="293" t="s">
        <v>74</v>
      </c>
      <c r="AC190" s="293" t="s">
        <v>656</v>
      </c>
      <c r="AE190" s="293" t="s">
        <v>12707</v>
      </c>
      <c r="AF190" s="293" t="s">
        <v>145</v>
      </c>
      <c r="AG190" s="293" t="s">
        <v>74</v>
      </c>
      <c r="AH190" s="293" t="s">
        <v>656</v>
      </c>
      <c r="AJ190" s="293" t="s">
        <v>12708</v>
      </c>
      <c r="AK190" s="293" t="s">
        <v>145</v>
      </c>
      <c r="AL190" s="293" t="s">
        <v>74</v>
      </c>
      <c r="AM190" s="293" t="s">
        <v>656</v>
      </c>
      <c r="AO190" s="22" t="s">
        <v>12709</v>
      </c>
      <c r="AP190" s="22" t="s">
        <v>145</v>
      </c>
      <c r="AQ190" s="22" t="s">
        <v>70</v>
      </c>
      <c r="AR190" s="22" t="s">
        <v>67</v>
      </c>
      <c r="AT190" s="22" t="s">
        <v>12710</v>
      </c>
      <c r="AU190" s="22" t="s">
        <v>145</v>
      </c>
      <c r="AV190" s="22" t="s">
        <v>70</v>
      </c>
      <c r="AW190" s="22" t="s">
        <v>67</v>
      </c>
      <c r="AY190" s="22" t="s">
        <v>12711</v>
      </c>
      <c r="AZ190" s="22" t="s">
        <v>145</v>
      </c>
      <c r="BA190" s="22" t="s">
        <v>70</v>
      </c>
      <c r="BB190" s="22" t="s">
        <v>67</v>
      </c>
      <c r="BD190" s="22" t="s">
        <v>12712</v>
      </c>
      <c r="BE190" s="22" t="s">
        <v>145</v>
      </c>
      <c r="BF190" s="22" t="s">
        <v>70</v>
      </c>
      <c r="BG190" s="22" t="s">
        <v>67</v>
      </c>
      <c r="BI190" s="22" t="s">
        <v>12713</v>
      </c>
      <c r="BJ190" s="22" t="s">
        <v>145</v>
      </c>
      <c r="BK190" s="22" t="s">
        <v>70</v>
      </c>
      <c r="BL190" s="22" t="s">
        <v>67</v>
      </c>
      <c r="BN190" s="22" t="s">
        <v>12714</v>
      </c>
      <c r="BO190" s="22" t="s">
        <v>145</v>
      </c>
      <c r="BP190" s="22" t="s">
        <v>70</v>
      </c>
      <c r="BQ190" s="22" t="s">
        <v>67</v>
      </c>
      <c r="BS190" s="22" t="s">
        <v>12715</v>
      </c>
      <c r="BT190" s="22" t="s">
        <v>145</v>
      </c>
      <c r="BU190" s="22" t="s">
        <v>70</v>
      </c>
      <c r="BV190" s="214" t="s">
        <v>530</v>
      </c>
      <c r="BX190" s="22" t="s">
        <v>12716</v>
      </c>
      <c r="BY190" s="22" t="s">
        <v>145</v>
      </c>
      <c r="BZ190" s="22" t="s">
        <v>70</v>
      </c>
      <c r="CA190" s="214" t="s">
        <v>530</v>
      </c>
      <c r="CC190" s="214" t="s">
        <v>12717</v>
      </c>
      <c r="CD190" s="218" t="s">
        <v>145</v>
      </c>
      <c r="CE190" s="214" t="s">
        <v>70</v>
      </c>
      <c r="CF190" s="214" t="s">
        <v>550</v>
      </c>
      <c r="CH190" s="214" t="s">
        <v>12718</v>
      </c>
      <c r="CI190" s="214" t="s">
        <v>502</v>
      </c>
      <c r="CJ190" s="214" t="s">
        <v>70</v>
      </c>
      <c r="CK190" s="214" t="s">
        <v>530</v>
      </c>
      <c r="CM190" s="322" t="s">
        <v>12719</v>
      </c>
      <c r="CN190" s="214" t="s">
        <v>468</v>
      </c>
      <c r="CO190" s="214" t="s">
        <v>70</v>
      </c>
      <c r="CP190" s="214" t="s">
        <v>530</v>
      </c>
      <c r="CR190" s="214" t="s">
        <v>12720</v>
      </c>
      <c r="CS190" s="214" t="s">
        <v>103</v>
      </c>
      <c r="CT190" s="214" t="s">
        <v>70</v>
      </c>
      <c r="CU190" s="214" t="s">
        <v>530</v>
      </c>
      <c r="CW190" s="214" t="s">
        <v>12721</v>
      </c>
      <c r="CX190" s="214" t="s">
        <v>468</v>
      </c>
      <c r="CY190" s="214" t="s">
        <v>70</v>
      </c>
      <c r="CZ190" s="214" t="s">
        <v>530</v>
      </c>
      <c r="DB190" s="214" t="s">
        <v>12722</v>
      </c>
      <c r="DC190" s="214" t="s">
        <v>655</v>
      </c>
      <c r="DD190" s="214" t="s">
        <v>70</v>
      </c>
      <c r="DE190" s="214" t="s">
        <v>530</v>
      </c>
      <c r="DG190" s="214" t="s">
        <v>12723</v>
      </c>
      <c r="DH190" s="214" t="s">
        <v>604</v>
      </c>
      <c r="DI190" s="214" t="s">
        <v>70</v>
      </c>
      <c r="DJ190" s="214" t="s">
        <v>530</v>
      </c>
      <c r="DL190" s="214" t="s">
        <v>12724</v>
      </c>
      <c r="DM190" s="214" t="s">
        <v>34560</v>
      </c>
      <c r="DN190" s="214" t="s">
        <v>70</v>
      </c>
      <c r="DO190" s="214" t="s">
        <v>530</v>
      </c>
      <c r="DQ190" s="214" t="s">
        <v>12725</v>
      </c>
      <c r="DR190" s="214" t="s">
        <v>34551</v>
      </c>
      <c r="DS190" s="214" t="s">
        <v>70</v>
      </c>
      <c r="DT190" s="214" t="s">
        <v>530</v>
      </c>
      <c r="DV190" s="214" t="s">
        <v>12726</v>
      </c>
      <c r="DW190" s="214" t="s">
        <v>148</v>
      </c>
      <c r="DX190" s="214" t="s">
        <v>70</v>
      </c>
      <c r="DY190" s="214" t="s">
        <v>530</v>
      </c>
      <c r="EA190" s="214" t="s">
        <v>12727</v>
      </c>
      <c r="EB190" s="214" t="s">
        <v>52</v>
      </c>
      <c r="EC190" s="214" t="s">
        <v>70</v>
      </c>
      <c r="ED190" s="214" t="s">
        <v>530</v>
      </c>
      <c r="EF190" s="214" t="s">
        <v>12728</v>
      </c>
      <c r="EG190" s="214" t="s">
        <v>914</v>
      </c>
      <c r="EH190" s="214" t="s">
        <v>70</v>
      </c>
      <c r="EI190" s="214" t="s">
        <v>530</v>
      </c>
      <c r="EK190" s="214" t="s">
        <v>12729</v>
      </c>
      <c r="EL190" s="214" t="s">
        <v>34572</v>
      </c>
      <c r="EM190" s="214" t="s">
        <v>70</v>
      </c>
      <c r="EN190" s="214" t="s">
        <v>530</v>
      </c>
      <c r="EP190" s="214" t="s">
        <v>12730</v>
      </c>
      <c r="EQ190" s="214" t="s">
        <v>52</v>
      </c>
      <c r="ER190" s="214" t="s">
        <v>70</v>
      </c>
      <c r="ES190" s="214" t="s">
        <v>530</v>
      </c>
      <c r="EU190" s="214" t="s">
        <v>12731</v>
      </c>
      <c r="EV190" s="214" t="s">
        <v>490</v>
      </c>
      <c r="EW190" s="214" t="s">
        <v>70</v>
      </c>
      <c r="EX190" s="214" t="s">
        <v>530</v>
      </c>
      <c r="EZ190" s="214" t="s">
        <v>12732</v>
      </c>
      <c r="FA190" s="214" t="s">
        <v>87</v>
      </c>
      <c r="FB190" s="214" t="s">
        <v>70</v>
      </c>
      <c r="FC190" s="214" t="s">
        <v>530</v>
      </c>
      <c r="FE190" s="214" t="s">
        <v>12733</v>
      </c>
      <c r="FF190" s="214" t="s">
        <v>34641</v>
      </c>
      <c r="FG190" s="214" t="s">
        <v>70</v>
      </c>
      <c r="FH190" s="214" t="s">
        <v>530</v>
      </c>
      <c r="FJ190" s="321" t="s">
        <v>12734</v>
      </c>
      <c r="FK190" s="214" t="s">
        <v>103</v>
      </c>
      <c r="FL190" s="214" t="s">
        <v>70</v>
      </c>
      <c r="FM190" s="214" t="s">
        <v>530</v>
      </c>
      <c r="FO190" s="321" t="s">
        <v>12735</v>
      </c>
      <c r="FP190" s="214" t="s">
        <v>951</v>
      </c>
      <c r="FQ190" s="214" t="s">
        <v>70</v>
      </c>
      <c r="FR190" s="214" t="s">
        <v>530</v>
      </c>
      <c r="FT190" s="321" t="s">
        <v>12736</v>
      </c>
      <c r="FU190" s="214" t="s">
        <v>468</v>
      </c>
      <c r="FV190" s="214" t="s">
        <v>70</v>
      </c>
      <c r="FW190" s="214" t="s">
        <v>530</v>
      </c>
      <c r="FY190" s="321" t="s">
        <v>12737</v>
      </c>
      <c r="FZ190" s="214" t="s">
        <v>34551</v>
      </c>
      <c r="GA190" s="214" t="s">
        <v>70</v>
      </c>
      <c r="GB190" s="214" t="s">
        <v>530</v>
      </c>
      <c r="GD190" s="321" t="s">
        <v>12738</v>
      </c>
      <c r="GE190" s="214" t="s">
        <v>145</v>
      </c>
      <c r="GF190" s="214" t="s">
        <v>70</v>
      </c>
      <c r="GG190" s="214" t="s">
        <v>530</v>
      </c>
      <c r="GI190" s="321" t="s">
        <v>12739</v>
      </c>
      <c r="GJ190" s="214" t="s">
        <v>482</v>
      </c>
      <c r="GK190" s="214" t="s">
        <v>70</v>
      </c>
      <c r="GL190" s="214" t="s">
        <v>530</v>
      </c>
      <c r="GN190" s="321" t="s">
        <v>12740</v>
      </c>
      <c r="GO190" s="214" t="s">
        <v>148</v>
      </c>
      <c r="GP190" s="214" t="s">
        <v>70</v>
      </c>
      <c r="GQ190" s="214" t="s">
        <v>530</v>
      </c>
      <c r="GS190" s="321" t="s">
        <v>12741</v>
      </c>
      <c r="GT190" s="214" t="s">
        <v>145</v>
      </c>
      <c r="GU190" s="214" t="s">
        <v>70</v>
      </c>
      <c r="GV190" s="214" t="s">
        <v>530</v>
      </c>
      <c r="GX190" s="214" t="s">
        <v>12742</v>
      </c>
      <c r="GY190" s="214" t="s">
        <v>34570</v>
      </c>
      <c r="GZ190" s="214" t="s">
        <v>70</v>
      </c>
      <c r="HA190" s="214" t="s">
        <v>530</v>
      </c>
      <c r="HC190" s="214" t="s">
        <v>12743</v>
      </c>
      <c r="HD190" s="214" t="s">
        <v>52</v>
      </c>
      <c r="HE190" s="214" t="s">
        <v>70</v>
      </c>
      <c r="HF190" s="214" t="s">
        <v>530</v>
      </c>
      <c r="HH190" s="214" t="s">
        <v>12744</v>
      </c>
      <c r="HI190" s="214" t="s">
        <v>90</v>
      </c>
      <c r="HJ190" s="214" t="s">
        <v>70</v>
      </c>
      <c r="HK190" s="214" t="s">
        <v>530</v>
      </c>
      <c r="HM190" s="214" t="s">
        <v>12745</v>
      </c>
      <c r="HN190" s="214" t="s">
        <v>286</v>
      </c>
      <c r="HO190" s="214" t="s">
        <v>70</v>
      </c>
      <c r="HP190" s="214" t="s">
        <v>530</v>
      </c>
      <c r="HR190" s="22" t="s">
        <v>12746</v>
      </c>
      <c r="HS190" s="22" t="s">
        <v>286</v>
      </c>
      <c r="HT190" s="22" t="s">
        <v>70</v>
      </c>
      <c r="HU190" s="214" t="s">
        <v>530</v>
      </c>
      <c r="HW190" s="22" t="s">
        <v>12747</v>
      </c>
      <c r="HX190" s="22" t="s">
        <v>165</v>
      </c>
      <c r="HY190" s="22" t="s">
        <v>70</v>
      </c>
      <c r="HZ190" s="214" t="s">
        <v>530</v>
      </c>
      <c r="IB190" s="22" t="s">
        <v>12748</v>
      </c>
      <c r="IC190" s="22" t="s">
        <v>92</v>
      </c>
      <c r="ID190" s="22" t="s">
        <v>70</v>
      </c>
      <c r="IE190" s="214" t="s">
        <v>530</v>
      </c>
      <c r="IG190" s="22" t="s">
        <v>12749</v>
      </c>
      <c r="IH190" s="22" t="s">
        <v>34628</v>
      </c>
      <c r="II190" s="22" t="s">
        <v>70</v>
      </c>
      <c r="IJ190" s="214" t="s">
        <v>530</v>
      </c>
      <c r="IL190" s="22" t="s">
        <v>12750</v>
      </c>
      <c r="IM190" s="22" t="s">
        <v>145</v>
      </c>
      <c r="IN190" s="22" t="s">
        <v>70</v>
      </c>
      <c r="IO190" s="214" t="s">
        <v>530</v>
      </c>
      <c r="IQ190" s="236" t="s">
        <v>12751</v>
      </c>
      <c r="IR190" s="236" t="s">
        <v>145</v>
      </c>
      <c r="IS190" s="236" t="s">
        <v>74</v>
      </c>
      <c r="IT190" s="236" t="s">
        <v>841</v>
      </c>
      <c r="IV190" s="236" t="s">
        <v>12752</v>
      </c>
      <c r="IW190" s="236" t="s">
        <v>145</v>
      </c>
      <c r="IX190" s="236" t="s">
        <v>74</v>
      </c>
      <c r="IY190" s="236" t="s">
        <v>841</v>
      </c>
      <c r="JA190" s="236" t="s">
        <v>12753</v>
      </c>
      <c r="JB190" s="236" t="s">
        <v>145</v>
      </c>
      <c r="JC190" s="236" t="s">
        <v>74</v>
      </c>
      <c r="JD190" s="236" t="s">
        <v>841</v>
      </c>
      <c r="JF190" s="236" t="s">
        <v>12754</v>
      </c>
      <c r="JG190" s="236" t="s">
        <v>145</v>
      </c>
      <c r="JH190" s="236" t="s">
        <v>74</v>
      </c>
      <c r="JI190" s="236" t="s">
        <v>841</v>
      </c>
      <c r="JK190" s="236" t="s">
        <v>12755</v>
      </c>
      <c r="JL190" s="236" t="s">
        <v>145</v>
      </c>
      <c r="JM190" s="236" t="s">
        <v>74</v>
      </c>
      <c r="JN190" s="236" t="s">
        <v>841</v>
      </c>
      <c r="JP190" s="236" t="s">
        <v>12756</v>
      </c>
      <c r="JQ190" s="236" t="s">
        <v>145</v>
      </c>
      <c r="JR190" s="236" t="s">
        <v>74</v>
      </c>
      <c r="JS190" s="236" t="s">
        <v>841</v>
      </c>
      <c r="JU190" s="294" t="s">
        <v>12757</v>
      </c>
      <c r="JV190" s="294" t="s">
        <v>52</v>
      </c>
      <c r="JW190" s="263" t="s">
        <v>70</v>
      </c>
      <c r="JX190" s="294" t="s">
        <v>1083</v>
      </c>
      <c r="JZ190" s="263" t="s">
        <v>12758</v>
      </c>
      <c r="KA190" s="263" t="s">
        <v>145</v>
      </c>
      <c r="KB190" s="263" t="s">
        <v>70</v>
      </c>
      <c r="KC190" s="263" t="s">
        <v>1083</v>
      </c>
      <c r="KE190" s="263" t="s">
        <v>12759</v>
      </c>
      <c r="KF190" s="263" t="s">
        <v>52</v>
      </c>
      <c r="KG190" s="263" t="s">
        <v>70</v>
      </c>
      <c r="KH190" s="263" t="s">
        <v>1083</v>
      </c>
      <c r="KJ190" s="263" t="s">
        <v>12760</v>
      </c>
      <c r="KK190" s="263" t="s">
        <v>52</v>
      </c>
      <c r="KL190" s="263" t="s">
        <v>74</v>
      </c>
      <c r="KM190" s="263" t="s">
        <v>34074</v>
      </c>
      <c r="KO190" s="214" t="s">
        <v>12761</v>
      </c>
      <c r="KP190" s="214" t="s">
        <v>145</v>
      </c>
      <c r="KQ190" s="214" t="s">
        <v>70</v>
      </c>
      <c r="KR190" s="214" t="s">
        <v>67</v>
      </c>
      <c r="KT190" s="22" t="s">
        <v>12762</v>
      </c>
      <c r="KU190" s="22" t="s">
        <v>145</v>
      </c>
      <c r="KV190" s="22" t="s">
        <v>70</v>
      </c>
      <c r="KW190" s="22" t="s">
        <v>67</v>
      </c>
      <c r="KY190" s="214" t="s">
        <v>12763</v>
      </c>
      <c r="KZ190" s="214" t="s">
        <v>52</v>
      </c>
      <c r="LA190" s="214" t="s">
        <v>74</v>
      </c>
      <c r="LB190" s="214" t="s">
        <v>67</v>
      </c>
      <c r="LD190" s="22" t="s">
        <v>12764</v>
      </c>
      <c r="LE190" s="22" t="s">
        <v>145</v>
      </c>
      <c r="LF190" s="22" t="s">
        <v>70</v>
      </c>
      <c r="LG190" s="22" t="s">
        <v>67</v>
      </c>
    </row>
    <row r="191" spans="1:319">
      <c r="A191" s="22" t="s">
        <v>12765</v>
      </c>
      <c r="B191" s="22" t="s">
        <v>145</v>
      </c>
      <c r="C191" s="22" t="s">
        <v>70</v>
      </c>
      <c r="D191" s="22" t="s">
        <v>67</v>
      </c>
      <c r="F191" s="23" t="s">
        <v>12766</v>
      </c>
      <c r="G191" s="23" t="str">
        <f>TVIIBE1M_CalPairs!$E188</f>
        <v>0x03</v>
      </c>
      <c r="H191" s="23" t="s">
        <v>72</v>
      </c>
      <c r="I191" s="23" t="str">
        <f>TVIIBE1M_CalPairs!$C188</f>
        <v>PWR_TRIM_HT_ACT_PC_CTL_VAL0</v>
      </c>
      <c r="K191" s="22" t="s">
        <v>12767</v>
      </c>
      <c r="L191" s="22" t="s">
        <v>145</v>
      </c>
      <c r="M191" s="22" t="s">
        <v>70</v>
      </c>
      <c r="N191" s="22" t="s">
        <v>67</v>
      </c>
      <c r="P191" s="22" t="s">
        <v>12768</v>
      </c>
      <c r="Q191" s="22" t="s">
        <v>145</v>
      </c>
      <c r="R191" s="22" t="s">
        <v>70</v>
      </c>
      <c r="S191" s="22" t="s">
        <v>67</v>
      </c>
      <c r="U191" s="293" t="s">
        <v>12769</v>
      </c>
      <c r="V191" s="293" t="s">
        <v>145</v>
      </c>
      <c r="W191" s="293" t="s">
        <v>74</v>
      </c>
      <c r="X191" s="293" t="s">
        <v>656</v>
      </c>
      <c r="Z191" s="293" t="s">
        <v>12770</v>
      </c>
      <c r="AA191" s="293" t="s">
        <v>145</v>
      </c>
      <c r="AB191" s="293" t="s">
        <v>74</v>
      </c>
      <c r="AC191" s="293" t="s">
        <v>656</v>
      </c>
      <c r="AE191" s="293" t="s">
        <v>12771</v>
      </c>
      <c r="AF191" s="293" t="s">
        <v>145</v>
      </c>
      <c r="AG191" s="293" t="s">
        <v>74</v>
      </c>
      <c r="AH191" s="293" t="s">
        <v>656</v>
      </c>
      <c r="AJ191" s="293" t="s">
        <v>12772</v>
      </c>
      <c r="AK191" s="293" t="s">
        <v>145</v>
      </c>
      <c r="AL191" s="293" t="s">
        <v>74</v>
      </c>
      <c r="AM191" s="293" t="s">
        <v>656</v>
      </c>
      <c r="AO191" s="22" t="s">
        <v>12773</v>
      </c>
      <c r="AP191" s="22" t="s">
        <v>145</v>
      </c>
      <c r="AQ191" s="22" t="s">
        <v>70</v>
      </c>
      <c r="AR191" s="22" t="s">
        <v>67</v>
      </c>
      <c r="AT191" s="22" t="s">
        <v>12774</v>
      </c>
      <c r="AU191" s="22" t="s">
        <v>145</v>
      </c>
      <c r="AV191" s="22" t="s">
        <v>70</v>
      </c>
      <c r="AW191" s="22" t="s">
        <v>67</v>
      </c>
      <c r="AY191" s="22" t="s">
        <v>12775</v>
      </c>
      <c r="AZ191" s="22" t="s">
        <v>145</v>
      </c>
      <c r="BA191" s="22" t="s">
        <v>70</v>
      </c>
      <c r="BB191" s="22" t="s">
        <v>67</v>
      </c>
      <c r="BD191" s="22" t="s">
        <v>12776</v>
      </c>
      <c r="BE191" s="22" t="s">
        <v>145</v>
      </c>
      <c r="BF191" s="22" t="s">
        <v>70</v>
      </c>
      <c r="BG191" s="22" t="s">
        <v>67</v>
      </c>
      <c r="BI191" s="22" t="s">
        <v>12777</v>
      </c>
      <c r="BJ191" s="22" t="s">
        <v>145</v>
      </c>
      <c r="BK191" s="22" t="s">
        <v>70</v>
      </c>
      <c r="BL191" s="22" t="s">
        <v>67</v>
      </c>
      <c r="BN191" s="22" t="s">
        <v>12778</v>
      </c>
      <c r="BO191" s="22" t="s">
        <v>145</v>
      </c>
      <c r="BP191" s="22" t="s">
        <v>70</v>
      </c>
      <c r="BQ191" s="22" t="s">
        <v>67</v>
      </c>
      <c r="BS191" s="22" t="s">
        <v>12779</v>
      </c>
      <c r="BT191" s="22" t="s">
        <v>145</v>
      </c>
      <c r="BU191" s="22" t="s">
        <v>70</v>
      </c>
      <c r="BV191" s="214" t="s">
        <v>530</v>
      </c>
      <c r="BX191" s="22" t="s">
        <v>12780</v>
      </c>
      <c r="BY191" s="22" t="s">
        <v>145</v>
      </c>
      <c r="BZ191" s="22" t="s">
        <v>70</v>
      </c>
      <c r="CA191" s="214" t="s">
        <v>530</v>
      </c>
      <c r="CC191" s="214" t="s">
        <v>12781</v>
      </c>
      <c r="CD191" s="218" t="s">
        <v>145</v>
      </c>
      <c r="CE191" s="214" t="s">
        <v>70</v>
      </c>
      <c r="CF191" s="214" t="s">
        <v>551</v>
      </c>
      <c r="CH191" s="214" t="s">
        <v>12782</v>
      </c>
      <c r="CI191" s="214" t="s">
        <v>926</v>
      </c>
      <c r="CJ191" s="214" t="s">
        <v>70</v>
      </c>
      <c r="CK191" s="214" t="s">
        <v>530</v>
      </c>
      <c r="CM191" s="322" t="s">
        <v>12783</v>
      </c>
      <c r="CN191" s="214" t="s">
        <v>52</v>
      </c>
      <c r="CO191" s="214" t="s">
        <v>70</v>
      </c>
      <c r="CP191" s="214" t="s">
        <v>530</v>
      </c>
      <c r="CR191" s="214" t="s">
        <v>12784</v>
      </c>
      <c r="CS191" s="214" t="s">
        <v>484</v>
      </c>
      <c r="CT191" s="214" t="s">
        <v>70</v>
      </c>
      <c r="CU191" s="214" t="s">
        <v>530</v>
      </c>
      <c r="CW191" s="214" t="s">
        <v>12785</v>
      </c>
      <c r="CX191" s="214" t="s">
        <v>484</v>
      </c>
      <c r="CY191" s="214" t="s">
        <v>70</v>
      </c>
      <c r="CZ191" s="214" t="s">
        <v>530</v>
      </c>
      <c r="DB191" s="214" t="s">
        <v>12786</v>
      </c>
      <c r="DC191" s="214" t="s">
        <v>955</v>
      </c>
      <c r="DD191" s="214" t="s">
        <v>70</v>
      </c>
      <c r="DE191" s="214" t="s">
        <v>530</v>
      </c>
      <c r="DG191" s="214" t="s">
        <v>12787</v>
      </c>
      <c r="DH191" s="214" t="s">
        <v>146</v>
      </c>
      <c r="DI191" s="214" t="s">
        <v>70</v>
      </c>
      <c r="DJ191" s="214" t="s">
        <v>530</v>
      </c>
      <c r="DL191" s="214" t="s">
        <v>12788</v>
      </c>
      <c r="DM191" s="214" t="s">
        <v>34516</v>
      </c>
      <c r="DN191" s="214" t="s">
        <v>70</v>
      </c>
      <c r="DO191" s="214" t="s">
        <v>530</v>
      </c>
      <c r="DQ191" s="214" t="s">
        <v>12789</v>
      </c>
      <c r="DR191" s="214" t="s">
        <v>93</v>
      </c>
      <c r="DS191" s="214" t="s">
        <v>70</v>
      </c>
      <c r="DT191" s="214" t="s">
        <v>530</v>
      </c>
      <c r="DV191" s="214" t="s">
        <v>12790</v>
      </c>
      <c r="DW191" s="214" t="s">
        <v>921</v>
      </c>
      <c r="DX191" s="214" t="s">
        <v>70</v>
      </c>
      <c r="DY191" s="214" t="s">
        <v>530</v>
      </c>
      <c r="EA191" s="214" t="s">
        <v>12791</v>
      </c>
      <c r="EB191" s="214" t="s">
        <v>87</v>
      </c>
      <c r="EC191" s="214" t="s">
        <v>70</v>
      </c>
      <c r="ED191" s="214" t="s">
        <v>530</v>
      </c>
      <c r="EF191" s="214" t="s">
        <v>12792</v>
      </c>
      <c r="EG191" s="214" t="s">
        <v>491</v>
      </c>
      <c r="EH191" s="214" t="s">
        <v>70</v>
      </c>
      <c r="EI191" s="214" t="s">
        <v>530</v>
      </c>
      <c r="EK191" s="214" t="s">
        <v>12793</v>
      </c>
      <c r="EL191" s="214" t="s">
        <v>910</v>
      </c>
      <c r="EM191" s="214" t="s">
        <v>70</v>
      </c>
      <c r="EN191" s="214" t="s">
        <v>530</v>
      </c>
      <c r="EP191" s="214" t="s">
        <v>12794</v>
      </c>
      <c r="EQ191" s="214" t="s">
        <v>34544</v>
      </c>
      <c r="ER191" s="214" t="s">
        <v>70</v>
      </c>
      <c r="ES191" s="214" t="s">
        <v>530</v>
      </c>
      <c r="EU191" s="214" t="s">
        <v>12795</v>
      </c>
      <c r="EV191" s="214" t="s">
        <v>34580</v>
      </c>
      <c r="EW191" s="214" t="s">
        <v>70</v>
      </c>
      <c r="EX191" s="214" t="s">
        <v>530</v>
      </c>
      <c r="EZ191" s="214" t="s">
        <v>12796</v>
      </c>
      <c r="FA191" s="214" t="s">
        <v>34556</v>
      </c>
      <c r="FB191" s="214" t="s">
        <v>70</v>
      </c>
      <c r="FC191" s="214" t="s">
        <v>530</v>
      </c>
      <c r="FE191" s="214" t="s">
        <v>12797</v>
      </c>
      <c r="FF191" s="214" t="s">
        <v>52</v>
      </c>
      <c r="FG191" s="214" t="s">
        <v>70</v>
      </c>
      <c r="FH191" s="214" t="s">
        <v>530</v>
      </c>
      <c r="FJ191" s="321" t="s">
        <v>12798</v>
      </c>
      <c r="FK191" s="214" t="s">
        <v>34580</v>
      </c>
      <c r="FL191" s="214" t="s">
        <v>70</v>
      </c>
      <c r="FM191" s="214" t="s">
        <v>530</v>
      </c>
      <c r="FO191" s="321" t="s">
        <v>12799</v>
      </c>
      <c r="FP191" s="214" t="s">
        <v>52</v>
      </c>
      <c r="FQ191" s="214" t="s">
        <v>70</v>
      </c>
      <c r="FR191" s="214" t="s">
        <v>530</v>
      </c>
      <c r="FT191" s="321" t="s">
        <v>12800</v>
      </c>
      <c r="FU191" s="214" t="s">
        <v>52</v>
      </c>
      <c r="FV191" s="214" t="s">
        <v>70</v>
      </c>
      <c r="FW191" s="214" t="s">
        <v>530</v>
      </c>
      <c r="FY191" s="321" t="s">
        <v>12801</v>
      </c>
      <c r="FZ191" s="214" t="s">
        <v>486</v>
      </c>
      <c r="GA191" s="214" t="s">
        <v>70</v>
      </c>
      <c r="GB191" s="214" t="s">
        <v>530</v>
      </c>
      <c r="GD191" s="321" t="s">
        <v>12802</v>
      </c>
      <c r="GE191" s="214" t="s">
        <v>34541</v>
      </c>
      <c r="GF191" s="214" t="s">
        <v>70</v>
      </c>
      <c r="GG191" s="214" t="s">
        <v>530</v>
      </c>
      <c r="GI191" s="321" t="s">
        <v>12803</v>
      </c>
      <c r="GJ191" s="214" t="s">
        <v>146</v>
      </c>
      <c r="GK191" s="214" t="s">
        <v>70</v>
      </c>
      <c r="GL191" s="214" t="s">
        <v>530</v>
      </c>
      <c r="GN191" s="321" t="s">
        <v>12804</v>
      </c>
      <c r="GO191" s="214" t="s">
        <v>34587</v>
      </c>
      <c r="GP191" s="214" t="s">
        <v>70</v>
      </c>
      <c r="GQ191" s="214" t="s">
        <v>530</v>
      </c>
      <c r="GS191" s="321" t="s">
        <v>12805</v>
      </c>
      <c r="GT191" s="214" t="s">
        <v>34541</v>
      </c>
      <c r="GU191" s="214" t="s">
        <v>70</v>
      </c>
      <c r="GV191" s="214" t="s">
        <v>530</v>
      </c>
      <c r="GX191" s="214" t="s">
        <v>12806</v>
      </c>
      <c r="GY191" s="214" t="s">
        <v>93</v>
      </c>
      <c r="GZ191" s="214" t="s">
        <v>70</v>
      </c>
      <c r="HA191" s="214" t="s">
        <v>530</v>
      </c>
      <c r="HC191" s="214" t="s">
        <v>12807</v>
      </c>
      <c r="HD191" s="214" t="s">
        <v>88</v>
      </c>
      <c r="HE191" s="214" t="s">
        <v>70</v>
      </c>
      <c r="HF191" s="214" t="s">
        <v>530</v>
      </c>
      <c r="HH191" s="214" t="s">
        <v>12808</v>
      </c>
      <c r="HI191" s="214" t="s">
        <v>89</v>
      </c>
      <c r="HJ191" s="214" t="s">
        <v>70</v>
      </c>
      <c r="HK191" s="214" t="s">
        <v>530</v>
      </c>
      <c r="HM191" s="214" t="s">
        <v>12809</v>
      </c>
      <c r="HN191" s="214" t="s">
        <v>34580</v>
      </c>
      <c r="HO191" s="214" t="s">
        <v>70</v>
      </c>
      <c r="HP191" s="214" t="s">
        <v>530</v>
      </c>
      <c r="HR191" s="22" t="s">
        <v>12810</v>
      </c>
      <c r="HS191" s="22" t="s">
        <v>52</v>
      </c>
      <c r="HT191" s="22" t="s">
        <v>70</v>
      </c>
      <c r="HU191" s="214" t="s">
        <v>530</v>
      </c>
      <c r="HW191" s="22" t="s">
        <v>12811</v>
      </c>
      <c r="HX191" s="22" t="s">
        <v>34542</v>
      </c>
      <c r="HY191" s="22" t="s">
        <v>70</v>
      </c>
      <c r="HZ191" s="214" t="s">
        <v>530</v>
      </c>
      <c r="IB191" s="22" t="s">
        <v>12812</v>
      </c>
      <c r="IC191" s="22" t="s">
        <v>204</v>
      </c>
      <c r="ID191" s="22" t="s">
        <v>70</v>
      </c>
      <c r="IE191" s="214" t="s">
        <v>530</v>
      </c>
      <c r="IG191" s="22" t="s">
        <v>12813</v>
      </c>
      <c r="IH191" s="22" t="s">
        <v>305</v>
      </c>
      <c r="II191" s="22" t="s">
        <v>70</v>
      </c>
      <c r="IJ191" s="214" t="s">
        <v>530</v>
      </c>
      <c r="IL191" s="22" t="s">
        <v>12814</v>
      </c>
      <c r="IM191" s="22" t="s">
        <v>145</v>
      </c>
      <c r="IN191" s="22" t="s">
        <v>70</v>
      </c>
      <c r="IO191" s="214" t="s">
        <v>530</v>
      </c>
      <c r="IQ191" s="236" t="s">
        <v>12815</v>
      </c>
      <c r="IR191" s="236" t="s">
        <v>145</v>
      </c>
      <c r="IS191" s="236" t="s">
        <v>74</v>
      </c>
      <c r="IT191" s="236" t="s">
        <v>841</v>
      </c>
      <c r="IV191" s="236" t="s">
        <v>12816</v>
      </c>
      <c r="IW191" s="236" t="s">
        <v>145</v>
      </c>
      <c r="IX191" s="236" t="s">
        <v>74</v>
      </c>
      <c r="IY191" s="236" t="s">
        <v>841</v>
      </c>
      <c r="JA191" s="236" t="s">
        <v>12817</v>
      </c>
      <c r="JB191" s="236" t="s">
        <v>145</v>
      </c>
      <c r="JC191" s="236" t="s">
        <v>74</v>
      </c>
      <c r="JD191" s="236" t="s">
        <v>841</v>
      </c>
      <c r="JF191" s="236" t="s">
        <v>12818</v>
      </c>
      <c r="JG191" s="236" t="s">
        <v>145</v>
      </c>
      <c r="JH191" s="236" t="s">
        <v>74</v>
      </c>
      <c r="JI191" s="236" t="s">
        <v>841</v>
      </c>
      <c r="JK191" s="236" t="s">
        <v>12819</v>
      </c>
      <c r="JL191" s="236" t="s">
        <v>145</v>
      </c>
      <c r="JM191" s="236" t="s">
        <v>74</v>
      </c>
      <c r="JN191" s="236" t="s">
        <v>841</v>
      </c>
      <c r="JP191" s="236" t="s">
        <v>12820</v>
      </c>
      <c r="JQ191" s="236" t="s">
        <v>145</v>
      </c>
      <c r="JR191" s="236" t="s">
        <v>74</v>
      </c>
      <c r="JS191" s="236" t="s">
        <v>841</v>
      </c>
      <c r="JU191" s="294" t="s">
        <v>12821</v>
      </c>
      <c r="JV191" s="294" t="s">
        <v>52</v>
      </c>
      <c r="JW191" s="263" t="s">
        <v>70</v>
      </c>
      <c r="JX191" s="294" t="s">
        <v>1083</v>
      </c>
      <c r="JZ191" s="263" t="s">
        <v>12822</v>
      </c>
      <c r="KA191" s="263" t="s">
        <v>145</v>
      </c>
      <c r="KB191" s="263" t="s">
        <v>70</v>
      </c>
      <c r="KC191" s="263" t="s">
        <v>1083</v>
      </c>
      <c r="KE191" s="263" t="s">
        <v>12823</v>
      </c>
      <c r="KF191" s="263" t="s">
        <v>52</v>
      </c>
      <c r="KG191" s="263" t="s">
        <v>70</v>
      </c>
      <c r="KH191" s="263" t="s">
        <v>1083</v>
      </c>
      <c r="KJ191" s="263" t="s">
        <v>12824</v>
      </c>
      <c r="KK191" s="263" t="s">
        <v>52</v>
      </c>
      <c r="KL191" s="263" t="s">
        <v>74</v>
      </c>
      <c r="KM191" s="263" t="s">
        <v>34074</v>
      </c>
      <c r="KO191" s="214" t="s">
        <v>12825</v>
      </c>
      <c r="KP191" s="214" t="s">
        <v>145</v>
      </c>
      <c r="KQ191" s="214" t="s">
        <v>70</v>
      </c>
      <c r="KR191" s="214" t="s">
        <v>67</v>
      </c>
      <c r="KT191" s="22" t="s">
        <v>12826</v>
      </c>
      <c r="KU191" s="22" t="s">
        <v>145</v>
      </c>
      <c r="KV191" s="22" t="s">
        <v>70</v>
      </c>
      <c r="KW191" s="22" t="s">
        <v>67</v>
      </c>
      <c r="KY191" s="214" t="s">
        <v>12827</v>
      </c>
      <c r="KZ191" s="214" t="s">
        <v>52</v>
      </c>
      <c r="LA191" s="214" t="s">
        <v>74</v>
      </c>
      <c r="LB191" s="214" t="s">
        <v>67</v>
      </c>
      <c r="LD191" s="22" t="s">
        <v>12828</v>
      </c>
      <c r="LE191" s="22" t="s">
        <v>145</v>
      </c>
      <c r="LF191" s="22" t="s">
        <v>70</v>
      </c>
      <c r="LG191" s="22" t="s">
        <v>67</v>
      </c>
    </row>
    <row r="192" spans="1:319">
      <c r="A192" s="22" t="s">
        <v>12829</v>
      </c>
      <c r="B192" s="22" t="s">
        <v>145</v>
      </c>
      <c r="C192" s="22" t="s">
        <v>70</v>
      </c>
      <c r="D192" s="22" t="s">
        <v>67</v>
      </c>
      <c r="F192" s="23" t="s">
        <v>12830</v>
      </c>
      <c r="G192" s="23" t="str">
        <f>TVIIBE1M_CalPairs!$E189</f>
        <v>0x01</v>
      </c>
      <c r="H192" s="23" t="s">
        <v>72</v>
      </c>
      <c r="I192" s="23" t="str">
        <f>TVIIBE1M_CalPairs!$C189</f>
        <v>PWR_TRIM_HT_ACT_PC_CTL_VAL1</v>
      </c>
      <c r="K192" s="22" t="s">
        <v>12831</v>
      </c>
      <c r="L192" s="22" t="s">
        <v>145</v>
      </c>
      <c r="M192" s="22" t="s">
        <v>70</v>
      </c>
      <c r="N192" s="22" t="s">
        <v>67</v>
      </c>
      <c r="P192" s="22" t="s">
        <v>12832</v>
      </c>
      <c r="Q192" s="22" t="s">
        <v>145</v>
      </c>
      <c r="R192" s="22" t="s">
        <v>70</v>
      </c>
      <c r="S192" s="22" t="s">
        <v>67</v>
      </c>
      <c r="U192" s="293" t="s">
        <v>12833</v>
      </c>
      <c r="V192" s="293" t="s">
        <v>145</v>
      </c>
      <c r="W192" s="293" t="s">
        <v>74</v>
      </c>
      <c r="X192" s="293" t="s">
        <v>656</v>
      </c>
      <c r="Z192" s="293" t="s">
        <v>12834</v>
      </c>
      <c r="AA192" s="293" t="s">
        <v>145</v>
      </c>
      <c r="AB192" s="293" t="s">
        <v>74</v>
      </c>
      <c r="AC192" s="293" t="s">
        <v>656</v>
      </c>
      <c r="AE192" s="293" t="s">
        <v>12835</v>
      </c>
      <c r="AF192" s="293" t="s">
        <v>145</v>
      </c>
      <c r="AG192" s="293" t="s">
        <v>74</v>
      </c>
      <c r="AH192" s="293" t="s">
        <v>656</v>
      </c>
      <c r="AJ192" s="293" t="s">
        <v>12836</v>
      </c>
      <c r="AK192" s="293" t="s">
        <v>145</v>
      </c>
      <c r="AL192" s="293" t="s">
        <v>74</v>
      </c>
      <c r="AM192" s="293" t="s">
        <v>656</v>
      </c>
      <c r="AO192" s="22" t="s">
        <v>12837</v>
      </c>
      <c r="AP192" s="22" t="s">
        <v>145</v>
      </c>
      <c r="AQ192" s="22" t="s">
        <v>70</v>
      </c>
      <c r="AR192" s="22" t="s">
        <v>67</v>
      </c>
      <c r="AT192" s="22" t="s">
        <v>12838</v>
      </c>
      <c r="AU192" s="22" t="s">
        <v>145</v>
      </c>
      <c r="AV192" s="22" t="s">
        <v>70</v>
      </c>
      <c r="AW192" s="22" t="s">
        <v>67</v>
      </c>
      <c r="AY192" s="22" t="s">
        <v>12839</v>
      </c>
      <c r="AZ192" s="22" t="s">
        <v>145</v>
      </c>
      <c r="BA192" s="22" t="s">
        <v>70</v>
      </c>
      <c r="BB192" s="22" t="s">
        <v>67</v>
      </c>
      <c r="BD192" s="22" t="s">
        <v>12840</v>
      </c>
      <c r="BE192" s="22" t="s">
        <v>145</v>
      </c>
      <c r="BF192" s="22" t="s">
        <v>70</v>
      </c>
      <c r="BG192" s="22" t="s">
        <v>67</v>
      </c>
      <c r="BI192" s="22" t="s">
        <v>12841</v>
      </c>
      <c r="BJ192" s="22" t="s">
        <v>145</v>
      </c>
      <c r="BK192" s="22" t="s">
        <v>70</v>
      </c>
      <c r="BL192" s="22" t="s">
        <v>67</v>
      </c>
      <c r="BN192" s="22" t="s">
        <v>12842</v>
      </c>
      <c r="BO192" s="22" t="s">
        <v>145</v>
      </c>
      <c r="BP192" s="22" t="s">
        <v>70</v>
      </c>
      <c r="BQ192" s="22" t="s">
        <v>67</v>
      </c>
      <c r="BS192" s="22" t="s">
        <v>12843</v>
      </c>
      <c r="BT192" s="22" t="s">
        <v>145</v>
      </c>
      <c r="BU192" s="22" t="s">
        <v>70</v>
      </c>
      <c r="BV192" s="214" t="s">
        <v>530</v>
      </c>
      <c r="BX192" s="22" t="s">
        <v>12844</v>
      </c>
      <c r="BY192" s="22" t="s">
        <v>145</v>
      </c>
      <c r="BZ192" s="22" t="s">
        <v>70</v>
      </c>
      <c r="CA192" s="214" t="s">
        <v>530</v>
      </c>
      <c r="CC192" s="214" t="s">
        <v>12845</v>
      </c>
      <c r="CD192" s="218" t="s">
        <v>145</v>
      </c>
      <c r="CE192" s="214" t="s">
        <v>70</v>
      </c>
      <c r="CF192" s="214" t="s">
        <v>552</v>
      </c>
      <c r="CH192" s="214" t="s">
        <v>12846</v>
      </c>
      <c r="CI192" s="214" t="s">
        <v>642</v>
      </c>
      <c r="CJ192" s="214" t="s">
        <v>70</v>
      </c>
      <c r="CK192" s="214" t="s">
        <v>530</v>
      </c>
      <c r="CM192" s="214" t="s">
        <v>12847</v>
      </c>
      <c r="CN192" s="214" t="s">
        <v>490</v>
      </c>
      <c r="CO192" s="214" t="s">
        <v>70</v>
      </c>
      <c r="CP192" s="214" t="s">
        <v>530</v>
      </c>
      <c r="CR192" s="214" t="s">
        <v>12848</v>
      </c>
      <c r="CS192" s="214" t="s">
        <v>497</v>
      </c>
      <c r="CT192" s="214" t="s">
        <v>70</v>
      </c>
      <c r="CU192" s="214" t="s">
        <v>530</v>
      </c>
      <c r="CW192" s="214" t="s">
        <v>12849</v>
      </c>
      <c r="CX192" s="214" t="s">
        <v>485</v>
      </c>
      <c r="CY192" s="214" t="s">
        <v>70</v>
      </c>
      <c r="CZ192" s="214" t="s">
        <v>530</v>
      </c>
      <c r="DB192" s="214" t="s">
        <v>12850</v>
      </c>
      <c r="DC192" s="214" t="s">
        <v>34612</v>
      </c>
      <c r="DD192" s="214" t="s">
        <v>70</v>
      </c>
      <c r="DE192" s="214" t="s">
        <v>530</v>
      </c>
      <c r="DG192" s="214" t="s">
        <v>12851</v>
      </c>
      <c r="DH192" s="214" t="s">
        <v>85</v>
      </c>
      <c r="DI192" s="214" t="s">
        <v>70</v>
      </c>
      <c r="DJ192" s="214" t="s">
        <v>530</v>
      </c>
      <c r="DL192" s="214" t="s">
        <v>12852</v>
      </c>
      <c r="DM192" s="214" t="s">
        <v>34545</v>
      </c>
      <c r="DN192" s="214" t="s">
        <v>70</v>
      </c>
      <c r="DO192" s="214" t="s">
        <v>530</v>
      </c>
      <c r="DQ192" s="214" t="s">
        <v>12853</v>
      </c>
      <c r="DR192" s="214" t="s">
        <v>914</v>
      </c>
      <c r="DS192" s="214" t="s">
        <v>70</v>
      </c>
      <c r="DT192" s="214" t="s">
        <v>530</v>
      </c>
      <c r="DV192" s="214" t="s">
        <v>12854</v>
      </c>
      <c r="DW192" s="214" t="s">
        <v>928</v>
      </c>
      <c r="DX192" s="214" t="s">
        <v>70</v>
      </c>
      <c r="DY192" s="214" t="s">
        <v>530</v>
      </c>
      <c r="EA192" s="214" t="s">
        <v>12855</v>
      </c>
      <c r="EB192" s="214" t="s">
        <v>34620</v>
      </c>
      <c r="EC192" s="214" t="s">
        <v>70</v>
      </c>
      <c r="ED192" s="214" t="s">
        <v>530</v>
      </c>
      <c r="EF192" s="214" t="s">
        <v>12856</v>
      </c>
      <c r="EG192" s="214" t="s">
        <v>481</v>
      </c>
      <c r="EH192" s="214" t="s">
        <v>70</v>
      </c>
      <c r="EI192" s="214" t="s">
        <v>530</v>
      </c>
      <c r="EK192" s="214" t="s">
        <v>12857</v>
      </c>
      <c r="EL192" s="214" t="s">
        <v>52</v>
      </c>
      <c r="EM192" s="214" t="s">
        <v>70</v>
      </c>
      <c r="EN192" s="214" t="s">
        <v>530</v>
      </c>
      <c r="EP192" s="214" t="s">
        <v>12858</v>
      </c>
      <c r="EQ192" s="214" t="s">
        <v>148</v>
      </c>
      <c r="ER192" s="214" t="s">
        <v>70</v>
      </c>
      <c r="ES192" s="214" t="s">
        <v>530</v>
      </c>
      <c r="EU192" s="214" t="s">
        <v>12859</v>
      </c>
      <c r="EV192" s="214" t="s">
        <v>204</v>
      </c>
      <c r="EW192" s="214" t="s">
        <v>70</v>
      </c>
      <c r="EX192" s="214" t="s">
        <v>530</v>
      </c>
      <c r="EZ192" s="214" t="s">
        <v>12860</v>
      </c>
      <c r="FA192" s="214" t="s">
        <v>52</v>
      </c>
      <c r="FB192" s="214" t="s">
        <v>70</v>
      </c>
      <c r="FC192" s="214" t="s">
        <v>530</v>
      </c>
      <c r="FE192" s="214" t="s">
        <v>12861</v>
      </c>
      <c r="FF192" s="214" t="s">
        <v>149</v>
      </c>
      <c r="FG192" s="214" t="s">
        <v>70</v>
      </c>
      <c r="FH192" s="214" t="s">
        <v>530</v>
      </c>
      <c r="FJ192" s="321" t="s">
        <v>12862</v>
      </c>
      <c r="FK192" s="214" t="s">
        <v>52</v>
      </c>
      <c r="FL192" s="214" t="s">
        <v>70</v>
      </c>
      <c r="FM192" s="214" t="s">
        <v>530</v>
      </c>
      <c r="FO192" s="321" t="s">
        <v>12863</v>
      </c>
      <c r="FP192" s="214" t="s">
        <v>52</v>
      </c>
      <c r="FQ192" s="214" t="s">
        <v>70</v>
      </c>
      <c r="FR192" s="214" t="s">
        <v>530</v>
      </c>
      <c r="FT192" s="321" t="s">
        <v>12864</v>
      </c>
      <c r="FU192" s="214" t="s">
        <v>148</v>
      </c>
      <c r="FV192" s="214" t="s">
        <v>70</v>
      </c>
      <c r="FW192" s="214" t="s">
        <v>530</v>
      </c>
      <c r="FY192" s="321" t="s">
        <v>12865</v>
      </c>
      <c r="FZ192" s="214" t="s">
        <v>52</v>
      </c>
      <c r="GA192" s="214" t="s">
        <v>70</v>
      </c>
      <c r="GB192" s="214" t="s">
        <v>530</v>
      </c>
      <c r="GD192" s="321" t="s">
        <v>12866</v>
      </c>
      <c r="GE192" s="214" t="s">
        <v>918</v>
      </c>
      <c r="GF192" s="214" t="s">
        <v>70</v>
      </c>
      <c r="GG192" s="214" t="s">
        <v>530</v>
      </c>
      <c r="GI192" s="321" t="s">
        <v>12867</v>
      </c>
      <c r="GJ192" s="214" t="s">
        <v>34598</v>
      </c>
      <c r="GK192" s="214" t="s">
        <v>70</v>
      </c>
      <c r="GL192" s="214" t="s">
        <v>530</v>
      </c>
      <c r="GN192" s="321" t="s">
        <v>12868</v>
      </c>
      <c r="GO192" s="214" t="s">
        <v>52</v>
      </c>
      <c r="GP192" s="214" t="s">
        <v>70</v>
      </c>
      <c r="GQ192" s="214" t="s">
        <v>530</v>
      </c>
      <c r="GS192" s="321" t="s">
        <v>12869</v>
      </c>
      <c r="GT192" s="214" t="s">
        <v>34601</v>
      </c>
      <c r="GU192" s="214" t="s">
        <v>70</v>
      </c>
      <c r="GV192" s="214" t="s">
        <v>530</v>
      </c>
      <c r="GX192" s="214" t="s">
        <v>12870</v>
      </c>
      <c r="GY192" s="214" t="s">
        <v>765</v>
      </c>
      <c r="GZ192" s="214" t="s">
        <v>70</v>
      </c>
      <c r="HA192" s="214" t="s">
        <v>530</v>
      </c>
      <c r="HC192" s="214" t="s">
        <v>12871</v>
      </c>
      <c r="HD192" s="214" t="s">
        <v>52</v>
      </c>
      <c r="HE192" s="214" t="s">
        <v>70</v>
      </c>
      <c r="HF192" s="214" t="s">
        <v>530</v>
      </c>
      <c r="HH192" s="214" t="s">
        <v>12872</v>
      </c>
      <c r="HI192" s="214" t="s">
        <v>103</v>
      </c>
      <c r="HJ192" s="214" t="s">
        <v>70</v>
      </c>
      <c r="HK192" s="214" t="s">
        <v>530</v>
      </c>
      <c r="HM192" s="214" t="s">
        <v>12873</v>
      </c>
      <c r="HN192" s="214" t="s">
        <v>90</v>
      </c>
      <c r="HO192" s="214" t="s">
        <v>70</v>
      </c>
      <c r="HP192" s="214" t="s">
        <v>530</v>
      </c>
      <c r="HR192" s="22" t="s">
        <v>12874</v>
      </c>
      <c r="HS192" s="22" t="s">
        <v>52</v>
      </c>
      <c r="HT192" s="22" t="s">
        <v>70</v>
      </c>
      <c r="HU192" s="214" t="s">
        <v>530</v>
      </c>
      <c r="HW192" s="22" t="s">
        <v>12875</v>
      </c>
      <c r="HX192" s="22" t="s">
        <v>52</v>
      </c>
      <c r="HY192" s="22" t="s">
        <v>70</v>
      </c>
      <c r="HZ192" s="214" t="s">
        <v>530</v>
      </c>
      <c r="IB192" s="22" t="s">
        <v>12876</v>
      </c>
      <c r="IC192" s="22" t="s">
        <v>937</v>
      </c>
      <c r="ID192" s="22" t="s">
        <v>70</v>
      </c>
      <c r="IE192" s="214" t="s">
        <v>530</v>
      </c>
      <c r="IG192" s="22" t="s">
        <v>12877</v>
      </c>
      <c r="IH192" s="22" t="s">
        <v>34580</v>
      </c>
      <c r="II192" s="22" t="s">
        <v>70</v>
      </c>
      <c r="IJ192" s="214" t="s">
        <v>530</v>
      </c>
      <c r="IL192" s="22" t="s">
        <v>12878</v>
      </c>
      <c r="IM192" s="22" t="s">
        <v>145</v>
      </c>
      <c r="IN192" s="22" t="s">
        <v>70</v>
      </c>
      <c r="IO192" s="214" t="s">
        <v>530</v>
      </c>
      <c r="IQ192" s="236" t="s">
        <v>12879</v>
      </c>
      <c r="IR192" s="236" t="s">
        <v>145</v>
      </c>
      <c r="IS192" s="236" t="s">
        <v>74</v>
      </c>
      <c r="IT192" s="236" t="s">
        <v>841</v>
      </c>
      <c r="IV192" s="236" t="s">
        <v>12880</v>
      </c>
      <c r="IW192" s="236" t="s">
        <v>145</v>
      </c>
      <c r="IX192" s="236" t="s">
        <v>74</v>
      </c>
      <c r="IY192" s="236" t="s">
        <v>841</v>
      </c>
      <c r="JA192" s="236" t="s">
        <v>12881</v>
      </c>
      <c r="JB192" s="236" t="s">
        <v>145</v>
      </c>
      <c r="JC192" s="236" t="s">
        <v>74</v>
      </c>
      <c r="JD192" s="236" t="s">
        <v>841</v>
      </c>
      <c r="JF192" s="236" t="s">
        <v>12882</v>
      </c>
      <c r="JG192" s="236" t="s">
        <v>145</v>
      </c>
      <c r="JH192" s="236" t="s">
        <v>74</v>
      </c>
      <c r="JI192" s="236" t="s">
        <v>841</v>
      </c>
      <c r="JK192" s="236" t="s">
        <v>12883</v>
      </c>
      <c r="JL192" s="236" t="s">
        <v>145</v>
      </c>
      <c r="JM192" s="236" t="s">
        <v>74</v>
      </c>
      <c r="JN192" s="236" t="s">
        <v>841</v>
      </c>
      <c r="JP192" s="236" t="s">
        <v>12884</v>
      </c>
      <c r="JQ192" s="236" t="s">
        <v>145</v>
      </c>
      <c r="JR192" s="236" t="s">
        <v>74</v>
      </c>
      <c r="JS192" s="236" t="s">
        <v>841</v>
      </c>
      <c r="JU192" s="294" t="s">
        <v>12885</v>
      </c>
      <c r="JV192" s="294" t="s">
        <v>52</v>
      </c>
      <c r="JW192" s="263" t="s">
        <v>70</v>
      </c>
      <c r="JX192" s="294" t="s">
        <v>1083</v>
      </c>
      <c r="JZ192" s="263" t="s">
        <v>12886</v>
      </c>
      <c r="KA192" s="263" t="s">
        <v>145</v>
      </c>
      <c r="KB192" s="263" t="s">
        <v>70</v>
      </c>
      <c r="KC192" s="263" t="s">
        <v>1083</v>
      </c>
      <c r="KE192" s="263" t="s">
        <v>12887</v>
      </c>
      <c r="KF192" s="263" t="s">
        <v>52</v>
      </c>
      <c r="KG192" s="263" t="s">
        <v>70</v>
      </c>
      <c r="KH192" s="263" t="s">
        <v>1083</v>
      </c>
      <c r="KJ192" s="263" t="s">
        <v>12888</v>
      </c>
      <c r="KK192" s="263" t="s">
        <v>52</v>
      </c>
      <c r="KL192" s="263" t="s">
        <v>74</v>
      </c>
      <c r="KM192" s="263" t="s">
        <v>34074</v>
      </c>
      <c r="KO192" s="214" t="s">
        <v>12889</v>
      </c>
      <c r="KP192" s="214" t="s">
        <v>145</v>
      </c>
      <c r="KQ192" s="214" t="s">
        <v>70</v>
      </c>
      <c r="KR192" s="214" t="s">
        <v>67</v>
      </c>
      <c r="KT192" s="22" t="s">
        <v>12890</v>
      </c>
      <c r="KU192" s="22" t="s">
        <v>145</v>
      </c>
      <c r="KV192" s="22" t="s">
        <v>70</v>
      </c>
      <c r="KW192" s="22" t="s">
        <v>67</v>
      </c>
      <c r="KY192" s="214" t="s">
        <v>12891</v>
      </c>
      <c r="KZ192" s="214" t="s">
        <v>52</v>
      </c>
      <c r="LA192" s="214" t="s">
        <v>74</v>
      </c>
      <c r="LB192" s="214" t="s">
        <v>67</v>
      </c>
      <c r="LD192" s="22" t="s">
        <v>12892</v>
      </c>
      <c r="LE192" s="22" t="s">
        <v>145</v>
      </c>
      <c r="LF192" s="22" t="s">
        <v>70</v>
      </c>
      <c r="LG192" s="22" t="s">
        <v>67</v>
      </c>
    </row>
    <row r="193" spans="1:319">
      <c r="A193" s="22" t="s">
        <v>12893</v>
      </c>
      <c r="B193" s="22" t="s">
        <v>145</v>
      </c>
      <c r="C193" s="22" t="s">
        <v>70</v>
      </c>
      <c r="D193" s="22" t="s">
        <v>67</v>
      </c>
      <c r="F193" s="23" t="s">
        <v>12894</v>
      </c>
      <c r="G193" s="23" t="str">
        <f>TVIIBE1M_CalPairs!$E190</f>
        <v>0x00</v>
      </c>
      <c r="H193" s="23" t="s">
        <v>72</v>
      </c>
      <c r="I193" s="23" t="str">
        <f>TVIIBE1M_CalPairs!$C190</f>
        <v>PWR_TRIM_HT_ACT_PC_CTL_VAL2</v>
      </c>
      <c r="K193" s="22" t="s">
        <v>12895</v>
      </c>
      <c r="L193" s="22" t="s">
        <v>145</v>
      </c>
      <c r="M193" s="22" t="s">
        <v>70</v>
      </c>
      <c r="N193" s="22" t="s">
        <v>67</v>
      </c>
      <c r="P193" s="22" t="s">
        <v>12896</v>
      </c>
      <c r="Q193" s="22" t="s">
        <v>145</v>
      </c>
      <c r="R193" s="22" t="s">
        <v>70</v>
      </c>
      <c r="S193" s="22" t="s">
        <v>67</v>
      </c>
      <c r="U193" s="293" t="s">
        <v>12897</v>
      </c>
      <c r="V193" s="293" t="s">
        <v>145</v>
      </c>
      <c r="W193" s="293" t="s">
        <v>74</v>
      </c>
      <c r="X193" s="293" t="s">
        <v>656</v>
      </c>
      <c r="Z193" s="293" t="s">
        <v>12898</v>
      </c>
      <c r="AA193" s="293" t="s">
        <v>145</v>
      </c>
      <c r="AB193" s="293" t="s">
        <v>74</v>
      </c>
      <c r="AC193" s="293" t="s">
        <v>656</v>
      </c>
      <c r="AE193" s="293" t="s">
        <v>12899</v>
      </c>
      <c r="AF193" s="293" t="s">
        <v>145</v>
      </c>
      <c r="AG193" s="293" t="s">
        <v>74</v>
      </c>
      <c r="AH193" s="293" t="s">
        <v>656</v>
      </c>
      <c r="AJ193" s="293" t="s">
        <v>12900</v>
      </c>
      <c r="AK193" s="293" t="s">
        <v>145</v>
      </c>
      <c r="AL193" s="293" t="s">
        <v>74</v>
      </c>
      <c r="AM193" s="293" t="s">
        <v>656</v>
      </c>
      <c r="AO193" s="22" t="s">
        <v>12901</v>
      </c>
      <c r="AP193" s="22" t="s">
        <v>145</v>
      </c>
      <c r="AQ193" s="22" t="s">
        <v>70</v>
      </c>
      <c r="AR193" s="22" t="s">
        <v>67</v>
      </c>
      <c r="AT193" s="22" t="s">
        <v>12902</v>
      </c>
      <c r="AU193" s="22" t="s">
        <v>145</v>
      </c>
      <c r="AV193" s="22" t="s">
        <v>70</v>
      </c>
      <c r="AW193" s="22" t="s">
        <v>67</v>
      </c>
      <c r="AY193" s="22" t="s">
        <v>12903</v>
      </c>
      <c r="AZ193" s="22" t="s">
        <v>145</v>
      </c>
      <c r="BA193" s="22" t="s">
        <v>70</v>
      </c>
      <c r="BB193" s="22" t="s">
        <v>67</v>
      </c>
      <c r="BD193" s="22" t="s">
        <v>12904</v>
      </c>
      <c r="BE193" s="22" t="s">
        <v>145</v>
      </c>
      <c r="BF193" s="22" t="s">
        <v>70</v>
      </c>
      <c r="BG193" s="22" t="s">
        <v>67</v>
      </c>
      <c r="BI193" s="22" t="s">
        <v>12905</v>
      </c>
      <c r="BJ193" s="22" t="s">
        <v>145</v>
      </c>
      <c r="BK193" s="22" t="s">
        <v>70</v>
      </c>
      <c r="BL193" s="22" t="s">
        <v>67</v>
      </c>
      <c r="BN193" s="22" t="s">
        <v>12906</v>
      </c>
      <c r="BO193" s="22" t="s">
        <v>145</v>
      </c>
      <c r="BP193" s="22" t="s">
        <v>70</v>
      </c>
      <c r="BQ193" s="22" t="s">
        <v>67</v>
      </c>
      <c r="BS193" s="22" t="s">
        <v>12907</v>
      </c>
      <c r="BT193" s="22" t="s">
        <v>145</v>
      </c>
      <c r="BU193" s="22" t="s">
        <v>70</v>
      </c>
      <c r="BV193" s="214" t="s">
        <v>530</v>
      </c>
      <c r="BX193" s="22" t="s">
        <v>12908</v>
      </c>
      <c r="BY193" s="22" t="s">
        <v>145</v>
      </c>
      <c r="BZ193" s="22" t="s">
        <v>70</v>
      </c>
      <c r="CA193" s="214" t="s">
        <v>530</v>
      </c>
      <c r="CC193" s="214" t="s">
        <v>12909</v>
      </c>
      <c r="CD193" s="218" t="s">
        <v>145</v>
      </c>
      <c r="CE193" s="214" t="s">
        <v>70</v>
      </c>
      <c r="CF193" s="214" t="s">
        <v>553</v>
      </c>
      <c r="CH193" s="214" t="s">
        <v>12910</v>
      </c>
      <c r="CI193" s="214" t="s">
        <v>34547</v>
      </c>
      <c r="CJ193" s="214" t="s">
        <v>70</v>
      </c>
      <c r="CK193" s="214" t="s">
        <v>530</v>
      </c>
      <c r="CM193" s="214" t="s">
        <v>12911</v>
      </c>
      <c r="CN193" s="214" t="s">
        <v>482</v>
      </c>
      <c r="CO193" s="214" t="s">
        <v>70</v>
      </c>
      <c r="CP193" s="214" t="s">
        <v>530</v>
      </c>
      <c r="CR193" s="214" t="s">
        <v>12912</v>
      </c>
      <c r="CS193" s="214" t="s">
        <v>146</v>
      </c>
      <c r="CT193" s="214" t="s">
        <v>70</v>
      </c>
      <c r="CU193" s="214" t="s">
        <v>530</v>
      </c>
      <c r="CW193" s="214" t="s">
        <v>12913</v>
      </c>
      <c r="CX193" s="214" t="s">
        <v>146</v>
      </c>
      <c r="CY193" s="214" t="s">
        <v>70</v>
      </c>
      <c r="CZ193" s="214" t="s">
        <v>530</v>
      </c>
      <c r="DB193" s="214" t="s">
        <v>12914</v>
      </c>
      <c r="DC193" s="214" t="s">
        <v>492</v>
      </c>
      <c r="DD193" s="214" t="s">
        <v>70</v>
      </c>
      <c r="DE193" s="214" t="s">
        <v>530</v>
      </c>
      <c r="DG193" s="214" t="s">
        <v>12915</v>
      </c>
      <c r="DH193" s="214" t="s">
        <v>921</v>
      </c>
      <c r="DI193" s="214" t="s">
        <v>70</v>
      </c>
      <c r="DJ193" s="214" t="s">
        <v>530</v>
      </c>
      <c r="DL193" s="214" t="s">
        <v>12916</v>
      </c>
      <c r="DM193" s="214" t="s">
        <v>34542</v>
      </c>
      <c r="DN193" s="214" t="s">
        <v>70</v>
      </c>
      <c r="DO193" s="214" t="s">
        <v>530</v>
      </c>
      <c r="DQ193" s="214" t="s">
        <v>12917</v>
      </c>
      <c r="DR193" s="214" t="s">
        <v>52</v>
      </c>
      <c r="DS193" s="214" t="s">
        <v>70</v>
      </c>
      <c r="DT193" s="214" t="s">
        <v>530</v>
      </c>
      <c r="DV193" s="214" t="s">
        <v>12918</v>
      </c>
      <c r="DW193" s="214" t="s">
        <v>34542</v>
      </c>
      <c r="DX193" s="214" t="s">
        <v>70</v>
      </c>
      <c r="DY193" s="214" t="s">
        <v>530</v>
      </c>
      <c r="EA193" s="214" t="s">
        <v>12919</v>
      </c>
      <c r="EB193" s="214" t="s">
        <v>926</v>
      </c>
      <c r="EC193" s="214" t="s">
        <v>70</v>
      </c>
      <c r="ED193" s="214" t="s">
        <v>530</v>
      </c>
      <c r="EF193" s="214" t="s">
        <v>12920</v>
      </c>
      <c r="EG193" s="214" t="s">
        <v>487</v>
      </c>
      <c r="EH193" s="214" t="s">
        <v>70</v>
      </c>
      <c r="EI193" s="214" t="s">
        <v>530</v>
      </c>
      <c r="EK193" s="214" t="s">
        <v>12921</v>
      </c>
      <c r="EL193" s="214" t="s">
        <v>485</v>
      </c>
      <c r="EM193" s="214" t="s">
        <v>70</v>
      </c>
      <c r="EN193" s="214" t="s">
        <v>530</v>
      </c>
      <c r="EP193" s="214" t="s">
        <v>12922</v>
      </c>
      <c r="EQ193" s="214" t="s">
        <v>468</v>
      </c>
      <c r="ER193" s="214" t="s">
        <v>70</v>
      </c>
      <c r="ES193" s="214" t="s">
        <v>530</v>
      </c>
      <c r="EU193" s="214" t="s">
        <v>12923</v>
      </c>
      <c r="EV193" s="214" t="s">
        <v>491</v>
      </c>
      <c r="EW193" s="214" t="s">
        <v>70</v>
      </c>
      <c r="EX193" s="214" t="s">
        <v>530</v>
      </c>
      <c r="EZ193" s="214" t="s">
        <v>12924</v>
      </c>
      <c r="FA193" s="214" t="s">
        <v>33910</v>
      </c>
      <c r="FB193" s="214" t="s">
        <v>70</v>
      </c>
      <c r="FC193" s="214" t="s">
        <v>530</v>
      </c>
      <c r="FE193" s="214" t="s">
        <v>12925</v>
      </c>
      <c r="FF193" s="214" t="s">
        <v>34562</v>
      </c>
      <c r="FG193" s="214" t="s">
        <v>70</v>
      </c>
      <c r="FH193" s="214" t="s">
        <v>530</v>
      </c>
      <c r="FJ193" s="321" t="s">
        <v>12926</v>
      </c>
      <c r="FK193" s="214" t="s">
        <v>919</v>
      </c>
      <c r="FL193" s="214" t="s">
        <v>70</v>
      </c>
      <c r="FM193" s="214" t="s">
        <v>530</v>
      </c>
      <c r="FO193" s="321" t="s">
        <v>12927</v>
      </c>
      <c r="FP193" s="214" t="s">
        <v>502</v>
      </c>
      <c r="FQ193" s="214" t="s">
        <v>70</v>
      </c>
      <c r="FR193" s="214" t="s">
        <v>530</v>
      </c>
      <c r="FT193" s="321" t="s">
        <v>12928</v>
      </c>
      <c r="FU193" s="214" t="s">
        <v>203</v>
      </c>
      <c r="FV193" s="214" t="s">
        <v>70</v>
      </c>
      <c r="FW193" s="214" t="s">
        <v>530</v>
      </c>
      <c r="FY193" s="321" t="s">
        <v>12929</v>
      </c>
      <c r="FZ193" s="214" t="s">
        <v>921</v>
      </c>
      <c r="GA193" s="214" t="s">
        <v>70</v>
      </c>
      <c r="GB193" s="214" t="s">
        <v>530</v>
      </c>
      <c r="GD193" s="321" t="s">
        <v>12930</v>
      </c>
      <c r="GE193" s="214" t="s">
        <v>145</v>
      </c>
      <c r="GF193" s="214" t="s">
        <v>70</v>
      </c>
      <c r="GG193" s="214" t="s">
        <v>530</v>
      </c>
      <c r="GI193" s="321" t="s">
        <v>12931</v>
      </c>
      <c r="GJ193" s="214" t="s">
        <v>486</v>
      </c>
      <c r="GK193" s="214" t="s">
        <v>70</v>
      </c>
      <c r="GL193" s="214" t="s">
        <v>530</v>
      </c>
      <c r="GN193" s="321" t="s">
        <v>12932</v>
      </c>
      <c r="GO193" s="214" t="s">
        <v>502</v>
      </c>
      <c r="GP193" s="214" t="s">
        <v>70</v>
      </c>
      <c r="GQ193" s="214" t="s">
        <v>530</v>
      </c>
      <c r="GS193" s="321" t="s">
        <v>12933</v>
      </c>
      <c r="GT193" s="214" t="s">
        <v>145</v>
      </c>
      <c r="GU193" s="214" t="s">
        <v>70</v>
      </c>
      <c r="GV193" s="214" t="s">
        <v>530</v>
      </c>
      <c r="GX193" s="214" t="s">
        <v>12934</v>
      </c>
      <c r="GY193" s="214" t="s">
        <v>598</v>
      </c>
      <c r="GZ193" s="214" t="s">
        <v>70</v>
      </c>
      <c r="HA193" s="214" t="s">
        <v>530</v>
      </c>
      <c r="HC193" s="214" t="s">
        <v>12935</v>
      </c>
      <c r="HD193" s="214" t="s">
        <v>90</v>
      </c>
      <c r="HE193" s="214" t="s">
        <v>70</v>
      </c>
      <c r="HF193" s="214" t="s">
        <v>530</v>
      </c>
      <c r="HH193" s="214" t="s">
        <v>12936</v>
      </c>
      <c r="HI193" s="214" t="s">
        <v>486</v>
      </c>
      <c r="HJ193" s="214" t="s">
        <v>70</v>
      </c>
      <c r="HK193" s="214" t="s">
        <v>530</v>
      </c>
      <c r="HM193" s="214" t="s">
        <v>12937</v>
      </c>
      <c r="HN193" s="214" t="s">
        <v>599</v>
      </c>
      <c r="HO193" s="214" t="s">
        <v>70</v>
      </c>
      <c r="HP193" s="214" t="s">
        <v>530</v>
      </c>
      <c r="HR193" s="22" t="s">
        <v>12938</v>
      </c>
      <c r="HS193" s="22" t="s">
        <v>502</v>
      </c>
      <c r="HT193" s="22" t="s">
        <v>70</v>
      </c>
      <c r="HU193" s="214" t="s">
        <v>530</v>
      </c>
      <c r="HW193" s="22" t="s">
        <v>12939</v>
      </c>
      <c r="HX193" s="22" t="s">
        <v>956</v>
      </c>
      <c r="HY193" s="22" t="s">
        <v>70</v>
      </c>
      <c r="HZ193" s="214" t="s">
        <v>530</v>
      </c>
      <c r="IB193" s="22" t="s">
        <v>12940</v>
      </c>
      <c r="IC193" s="22" t="s">
        <v>468</v>
      </c>
      <c r="ID193" s="22" t="s">
        <v>70</v>
      </c>
      <c r="IE193" s="214" t="s">
        <v>530</v>
      </c>
      <c r="IG193" s="22" t="s">
        <v>12941</v>
      </c>
      <c r="IH193" s="22" t="s">
        <v>494</v>
      </c>
      <c r="II193" s="22" t="s">
        <v>70</v>
      </c>
      <c r="IJ193" s="214" t="s">
        <v>530</v>
      </c>
      <c r="IL193" s="22" t="s">
        <v>12942</v>
      </c>
      <c r="IM193" s="22" t="s">
        <v>145</v>
      </c>
      <c r="IN193" s="22" t="s">
        <v>70</v>
      </c>
      <c r="IO193" s="214" t="s">
        <v>530</v>
      </c>
      <c r="IQ193" s="236" t="s">
        <v>12943</v>
      </c>
      <c r="IR193" s="236" t="s">
        <v>145</v>
      </c>
      <c r="IS193" s="236" t="s">
        <v>74</v>
      </c>
      <c r="IT193" s="236" t="s">
        <v>841</v>
      </c>
      <c r="IV193" s="236" t="s">
        <v>12944</v>
      </c>
      <c r="IW193" s="236" t="s">
        <v>145</v>
      </c>
      <c r="IX193" s="236" t="s">
        <v>74</v>
      </c>
      <c r="IY193" s="236" t="s">
        <v>841</v>
      </c>
      <c r="JA193" s="236" t="s">
        <v>12945</v>
      </c>
      <c r="JB193" s="236" t="s">
        <v>145</v>
      </c>
      <c r="JC193" s="236" t="s">
        <v>74</v>
      </c>
      <c r="JD193" s="236" t="s">
        <v>841</v>
      </c>
      <c r="JF193" s="236" t="s">
        <v>12946</v>
      </c>
      <c r="JG193" s="236" t="s">
        <v>145</v>
      </c>
      <c r="JH193" s="236" t="s">
        <v>74</v>
      </c>
      <c r="JI193" s="236" t="s">
        <v>841</v>
      </c>
      <c r="JK193" s="236" t="s">
        <v>12947</v>
      </c>
      <c r="JL193" s="236" t="s">
        <v>145</v>
      </c>
      <c r="JM193" s="236" t="s">
        <v>74</v>
      </c>
      <c r="JN193" s="236" t="s">
        <v>841</v>
      </c>
      <c r="JP193" s="236" t="s">
        <v>12948</v>
      </c>
      <c r="JQ193" s="236" t="s">
        <v>145</v>
      </c>
      <c r="JR193" s="236" t="s">
        <v>74</v>
      </c>
      <c r="JS193" s="236" t="s">
        <v>841</v>
      </c>
      <c r="JU193" s="294" t="s">
        <v>12949</v>
      </c>
      <c r="JV193" s="294" t="s">
        <v>52</v>
      </c>
      <c r="JW193" s="263" t="s">
        <v>70</v>
      </c>
      <c r="JX193" s="294" t="s">
        <v>1083</v>
      </c>
      <c r="JZ193" s="263" t="s">
        <v>12950</v>
      </c>
      <c r="KA193" s="263" t="s">
        <v>145</v>
      </c>
      <c r="KB193" s="263" t="s">
        <v>70</v>
      </c>
      <c r="KC193" s="263" t="s">
        <v>1083</v>
      </c>
      <c r="KE193" s="263" t="s">
        <v>12951</v>
      </c>
      <c r="KF193" s="263" t="s">
        <v>52</v>
      </c>
      <c r="KG193" s="263" t="s">
        <v>70</v>
      </c>
      <c r="KH193" s="263" t="s">
        <v>1083</v>
      </c>
      <c r="KJ193" s="263" t="s">
        <v>12952</v>
      </c>
      <c r="KK193" s="263" t="s">
        <v>52</v>
      </c>
      <c r="KL193" s="263" t="s">
        <v>74</v>
      </c>
      <c r="KM193" s="263" t="s">
        <v>34074</v>
      </c>
      <c r="KO193" s="214" t="s">
        <v>12953</v>
      </c>
      <c r="KP193" s="214" t="s">
        <v>145</v>
      </c>
      <c r="KQ193" s="214" t="s">
        <v>70</v>
      </c>
      <c r="KR193" s="214" t="s">
        <v>67</v>
      </c>
      <c r="KT193" s="22" t="s">
        <v>12954</v>
      </c>
      <c r="KU193" s="22" t="s">
        <v>145</v>
      </c>
      <c r="KV193" s="22" t="s">
        <v>70</v>
      </c>
      <c r="KW193" s="22" t="s">
        <v>67</v>
      </c>
      <c r="KY193" s="214" t="s">
        <v>12955</v>
      </c>
      <c r="KZ193" s="214" t="s">
        <v>52</v>
      </c>
      <c r="LA193" s="214" t="s">
        <v>74</v>
      </c>
      <c r="LB193" s="214" t="s">
        <v>67</v>
      </c>
      <c r="LD193" s="22" t="s">
        <v>12956</v>
      </c>
      <c r="LE193" s="22" t="s">
        <v>145</v>
      </c>
      <c r="LF193" s="22" t="s">
        <v>70</v>
      </c>
      <c r="LG193" s="22" t="s">
        <v>67</v>
      </c>
    </row>
    <row r="194" spans="1:319">
      <c r="A194" s="22" t="s">
        <v>12957</v>
      </c>
      <c r="B194" s="22" t="s">
        <v>145</v>
      </c>
      <c r="C194" s="22" t="s">
        <v>70</v>
      </c>
      <c r="D194" s="22" t="s">
        <v>67</v>
      </c>
      <c r="F194" s="23" t="s">
        <v>12958</v>
      </c>
      <c r="G194" s="23" t="str">
        <f>TVIIBE1M_CalPairs!$E191</f>
        <v>0x80</v>
      </c>
      <c r="H194" s="23" t="s">
        <v>72</v>
      </c>
      <c r="I194" s="23" t="str">
        <f>TVIIBE1M_CalPairs!$C191</f>
        <v>PWR_TRIM_HT_ACT_PC_CTL_VAL3</v>
      </c>
      <c r="K194" s="22" t="s">
        <v>12959</v>
      </c>
      <c r="L194" s="22" t="s">
        <v>145</v>
      </c>
      <c r="M194" s="22" t="s">
        <v>70</v>
      </c>
      <c r="N194" s="22" t="s">
        <v>67</v>
      </c>
      <c r="P194" s="22" t="s">
        <v>12960</v>
      </c>
      <c r="Q194" s="22" t="s">
        <v>145</v>
      </c>
      <c r="R194" s="22" t="s">
        <v>70</v>
      </c>
      <c r="S194" s="22" t="s">
        <v>67</v>
      </c>
      <c r="U194" s="293" t="s">
        <v>12961</v>
      </c>
      <c r="V194" s="293" t="s">
        <v>145</v>
      </c>
      <c r="W194" s="293" t="s">
        <v>74</v>
      </c>
      <c r="X194" s="293" t="s">
        <v>656</v>
      </c>
      <c r="Z194" s="293" t="s">
        <v>12962</v>
      </c>
      <c r="AA194" s="293" t="s">
        <v>145</v>
      </c>
      <c r="AB194" s="293" t="s">
        <v>74</v>
      </c>
      <c r="AC194" s="293" t="s">
        <v>656</v>
      </c>
      <c r="AE194" s="293" t="s">
        <v>12963</v>
      </c>
      <c r="AF194" s="293" t="s">
        <v>145</v>
      </c>
      <c r="AG194" s="293" t="s">
        <v>74</v>
      </c>
      <c r="AH194" s="293" t="s">
        <v>656</v>
      </c>
      <c r="AJ194" s="293" t="s">
        <v>12964</v>
      </c>
      <c r="AK194" s="293" t="s">
        <v>145</v>
      </c>
      <c r="AL194" s="293" t="s">
        <v>74</v>
      </c>
      <c r="AM194" s="293" t="s">
        <v>656</v>
      </c>
      <c r="AO194" s="22" t="s">
        <v>12965</v>
      </c>
      <c r="AP194" s="22" t="s">
        <v>145</v>
      </c>
      <c r="AQ194" s="22" t="s">
        <v>70</v>
      </c>
      <c r="AR194" s="22" t="s">
        <v>67</v>
      </c>
      <c r="AT194" s="22" t="s">
        <v>12966</v>
      </c>
      <c r="AU194" s="22" t="s">
        <v>145</v>
      </c>
      <c r="AV194" s="22" t="s">
        <v>70</v>
      </c>
      <c r="AW194" s="22" t="s">
        <v>67</v>
      </c>
      <c r="AY194" s="22" t="s">
        <v>12967</v>
      </c>
      <c r="AZ194" s="22" t="s">
        <v>145</v>
      </c>
      <c r="BA194" s="22" t="s">
        <v>70</v>
      </c>
      <c r="BB194" s="22" t="s">
        <v>67</v>
      </c>
      <c r="BD194" s="22" t="s">
        <v>12968</v>
      </c>
      <c r="BE194" s="22" t="s">
        <v>145</v>
      </c>
      <c r="BF194" s="22" t="s">
        <v>70</v>
      </c>
      <c r="BG194" s="22" t="s">
        <v>67</v>
      </c>
      <c r="BI194" s="22" t="s">
        <v>12969</v>
      </c>
      <c r="BJ194" s="22" t="s">
        <v>145</v>
      </c>
      <c r="BK194" s="22" t="s">
        <v>70</v>
      </c>
      <c r="BL194" s="22" t="s">
        <v>67</v>
      </c>
      <c r="BN194" s="22" t="s">
        <v>12970</v>
      </c>
      <c r="BO194" s="22" t="s">
        <v>145</v>
      </c>
      <c r="BP194" s="22" t="s">
        <v>70</v>
      </c>
      <c r="BQ194" s="22" t="s">
        <v>67</v>
      </c>
      <c r="BS194" s="22" t="s">
        <v>12971</v>
      </c>
      <c r="BT194" s="22" t="s">
        <v>145</v>
      </c>
      <c r="BU194" s="22" t="s">
        <v>70</v>
      </c>
      <c r="BV194" s="214" t="s">
        <v>530</v>
      </c>
      <c r="BX194" s="22" t="s">
        <v>12972</v>
      </c>
      <c r="BY194" s="22" t="s">
        <v>145</v>
      </c>
      <c r="BZ194" s="22" t="s">
        <v>70</v>
      </c>
      <c r="CA194" s="214" t="s">
        <v>530</v>
      </c>
      <c r="CC194" s="214" t="s">
        <v>12973</v>
      </c>
      <c r="CD194" s="218" t="s">
        <v>145</v>
      </c>
      <c r="CE194" s="214" t="s">
        <v>70</v>
      </c>
      <c r="CF194" s="214" t="s">
        <v>554</v>
      </c>
      <c r="CH194" s="214" t="s">
        <v>12974</v>
      </c>
      <c r="CI194" s="214" t="s">
        <v>483</v>
      </c>
      <c r="CJ194" s="214" t="s">
        <v>70</v>
      </c>
      <c r="CK194" s="214" t="s">
        <v>530</v>
      </c>
      <c r="CM194" s="214" t="s">
        <v>12975</v>
      </c>
      <c r="CN194" s="214" t="s">
        <v>85</v>
      </c>
      <c r="CO194" s="214" t="s">
        <v>70</v>
      </c>
      <c r="CP194" s="214" t="s">
        <v>530</v>
      </c>
      <c r="CR194" s="214" t="s">
        <v>12976</v>
      </c>
      <c r="CS194" s="214" t="s">
        <v>85</v>
      </c>
      <c r="CT194" s="214" t="s">
        <v>70</v>
      </c>
      <c r="CU194" s="214" t="s">
        <v>530</v>
      </c>
      <c r="CW194" s="214" t="s">
        <v>12977</v>
      </c>
      <c r="CX194" s="214" t="s">
        <v>85</v>
      </c>
      <c r="CY194" s="214" t="s">
        <v>70</v>
      </c>
      <c r="CZ194" s="214" t="s">
        <v>530</v>
      </c>
      <c r="DB194" s="214" t="s">
        <v>12978</v>
      </c>
      <c r="DC194" s="214" t="s">
        <v>148</v>
      </c>
      <c r="DD194" s="214" t="s">
        <v>70</v>
      </c>
      <c r="DE194" s="214" t="s">
        <v>530</v>
      </c>
      <c r="DG194" s="214" t="s">
        <v>12979</v>
      </c>
      <c r="DH194" s="214" t="s">
        <v>34545</v>
      </c>
      <c r="DI194" s="214" t="s">
        <v>70</v>
      </c>
      <c r="DJ194" s="214" t="s">
        <v>530</v>
      </c>
      <c r="DL194" s="214" t="s">
        <v>12980</v>
      </c>
      <c r="DM194" s="214" t="s">
        <v>164</v>
      </c>
      <c r="DN194" s="214" t="s">
        <v>70</v>
      </c>
      <c r="DO194" s="214" t="s">
        <v>530</v>
      </c>
      <c r="DQ194" s="214" t="s">
        <v>12981</v>
      </c>
      <c r="DR194" s="214" t="s">
        <v>34605</v>
      </c>
      <c r="DS194" s="214" t="s">
        <v>70</v>
      </c>
      <c r="DT194" s="214" t="s">
        <v>530</v>
      </c>
      <c r="DV194" s="214" t="s">
        <v>12982</v>
      </c>
      <c r="DW194" s="214" t="s">
        <v>529</v>
      </c>
      <c r="DX194" s="214" t="s">
        <v>70</v>
      </c>
      <c r="DY194" s="214" t="s">
        <v>530</v>
      </c>
      <c r="EA194" s="214" t="s">
        <v>12983</v>
      </c>
      <c r="EB194" s="214" t="s">
        <v>600</v>
      </c>
      <c r="EC194" s="214" t="s">
        <v>70</v>
      </c>
      <c r="ED194" s="214" t="s">
        <v>530</v>
      </c>
      <c r="EF194" s="214" t="s">
        <v>12984</v>
      </c>
      <c r="EG194" s="214" t="s">
        <v>34577</v>
      </c>
      <c r="EH194" s="214" t="s">
        <v>70</v>
      </c>
      <c r="EI194" s="214" t="s">
        <v>530</v>
      </c>
      <c r="EK194" s="214" t="s">
        <v>12985</v>
      </c>
      <c r="EL194" s="214" t="s">
        <v>85</v>
      </c>
      <c r="EM194" s="214" t="s">
        <v>70</v>
      </c>
      <c r="EN194" s="214" t="s">
        <v>530</v>
      </c>
      <c r="EP194" s="214" t="s">
        <v>12986</v>
      </c>
      <c r="EQ194" s="214" t="s">
        <v>481</v>
      </c>
      <c r="ER194" s="214" t="s">
        <v>70</v>
      </c>
      <c r="ES194" s="214" t="s">
        <v>530</v>
      </c>
      <c r="EU194" s="214" t="s">
        <v>12987</v>
      </c>
      <c r="EV194" s="214" t="s">
        <v>52</v>
      </c>
      <c r="EW194" s="214" t="s">
        <v>70</v>
      </c>
      <c r="EX194" s="214" t="s">
        <v>530</v>
      </c>
      <c r="EZ194" s="214" t="s">
        <v>12988</v>
      </c>
      <c r="FA194" s="214" t="s">
        <v>481</v>
      </c>
      <c r="FB194" s="214" t="s">
        <v>70</v>
      </c>
      <c r="FC194" s="214" t="s">
        <v>530</v>
      </c>
      <c r="FE194" s="214" t="s">
        <v>12989</v>
      </c>
      <c r="FF194" s="214" t="s">
        <v>87</v>
      </c>
      <c r="FG194" s="214" t="s">
        <v>70</v>
      </c>
      <c r="FH194" s="214" t="s">
        <v>530</v>
      </c>
      <c r="FJ194" s="321" t="s">
        <v>12990</v>
      </c>
      <c r="FK194" s="214" t="s">
        <v>145</v>
      </c>
      <c r="FL194" s="214" t="s">
        <v>70</v>
      </c>
      <c r="FM194" s="214" t="s">
        <v>530</v>
      </c>
      <c r="FO194" s="321" t="s">
        <v>12991</v>
      </c>
      <c r="FP194" s="214" t="s">
        <v>34602</v>
      </c>
      <c r="FQ194" s="214" t="s">
        <v>70</v>
      </c>
      <c r="FR194" s="214" t="s">
        <v>530</v>
      </c>
      <c r="FT194" s="321" t="s">
        <v>12992</v>
      </c>
      <c r="FU194" s="214" t="s">
        <v>34601</v>
      </c>
      <c r="FV194" s="214" t="s">
        <v>70</v>
      </c>
      <c r="FW194" s="214" t="s">
        <v>530</v>
      </c>
      <c r="FY194" s="321" t="s">
        <v>12993</v>
      </c>
      <c r="FZ194" s="214" t="s">
        <v>501</v>
      </c>
      <c r="GA194" s="214" t="s">
        <v>70</v>
      </c>
      <c r="GB194" s="214" t="s">
        <v>530</v>
      </c>
      <c r="GD194" s="321" t="s">
        <v>12994</v>
      </c>
      <c r="GE194" s="214" t="s">
        <v>52</v>
      </c>
      <c r="GF194" s="214" t="s">
        <v>70</v>
      </c>
      <c r="GG194" s="214" t="s">
        <v>530</v>
      </c>
      <c r="GI194" s="321" t="s">
        <v>12995</v>
      </c>
      <c r="GJ194" s="214" t="s">
        <v>34550</v>
      </c>
      <c r="GK194" s="214" t="s">
        <v>70</v>
      </c>
      <c r="GL194" s="214" t="s">
        <v>530</v>
      </c>
      <c r="GN194" s="321" t="s">
        <v>12996</v>
      </c>
      <c r="GO194" s="214" t="s">
        <v>86</v>
      </c>
      <c r="GP194" s="214" t="s">
        <v>70</v>
      </c>
      <c r="GQ194" s="214" t="s">
        <v>530</v>
      </c>
      <c r="GS194" s="321" t="s">
        <v>12997</v>
      </c>
      <c r="GT194" s="214" t="s">
        <v>148</v>
      </c>
      <c r="GU194" s="214" t="s">
        <v>70</v>
      </c>
      <c r="GV194" s="214" t="s">
        <v>530</v>
      </c>
      <c r="GX194" s="214" t="s">
        <v>12998</v>
      </c>
      <c r="GY194" s="214" t="s">
        <v>93</v>
      </c>
      <c r="GZ194" s="214" t="s">
        <v>70</v>
      </c>
      <c r="HA194" s="214" t="s">
        <v>530</v>
      </c>
      <c r="HC194" s="214" t="s">
        <v>12999</v>
      </c>
      <c r="HD194" s="214" t="s">
        <v>145</v>
      </c>
      <c r="HE194" s="214" t="s">
        <v>70</v>
      </c>
      <c r="HF194" s="214" t="s">
        <v>530</v>
      </c>
      <c r="HH194" s="214" t="s">
        <v>13000</v>
      </c>
      <c r="HI194" s="214" t="s">
        <v>34073</v>
      </c>
      <c r="HJ194" s="214" t="s">
        <v>70</v>
      </c>
      <c r="HK194" s="214" t="s">
        <v>530</v>
      </c>
      <c r="HM194" s="214" t="s">
        <v>13001</v>
      </c>
      <c r="HN194" s="214" t="s">
        <v>34537</v>
      </c>
      <c r="HO194" s="214" t="s">
        <v>70</v>
      </c>
      <c r="HP194" s="214" t="s">
        <v>530</v>
      </c>
      <c r="HR194" s="22" t="s">
        <v>13002</v>
      </c>
      <c r="HS194" s="22" t="s">
        <v>52</v>
      </c>
      <c r="HT194" s="22" t="s">
        <v>70</v>
      </c>
      <c r="HU194" s="214" t="s">
        <v>530</v>
      </c>
      <c r="HW194" s="22" t="s">
        <v>13003</v>
      </c>
      <c r="HX194" s="22" t="s">
        <v>52</v>
      </c>
      <c r="HY194" s="22" t="s">
        <v>70</v>
      </c>
      <c r="HZ194" s="214" t="s">
        <v>530</v>
      </c>
      <c r="IB194" s="22" t="s">
        <v>13004</v>
      </c>
      <c r="IC194" s="22" t="s">
        <v>145</v>
      </c>
      <c r="ID194" s="22" t="s">
        <v>70</v>
      </c>
      <c r="IE194" s="214" t="s">
        <v>530</v>
      </c>
      <c r="IG194" s="22" t="s">
        <v>13005</v>
      </c>
      <c r="IH194" s="22" t="s">
        <v>204</v>
      </c>
      <c r="II194" s="22" t="s">
        <v>70</v>
      </c>
      <c r="IJ194" s="214" t="s">
        <v>530</v>
      </c>
      <c r="IL194" s="22" t="s">
        <v>13006</v>
      </c>
      <c r="IM194" s="22" t="s">
        <v>145</v>
      </c>
      <c r="IN194" s="22" t="s">
        <v>70</v>
      </c>
      <c r="IO194" s="214" t="s">
        <v>530</v>
      </c>
      <c r="IQ194" s="236" t="s">
        <v>13007</v>
      </c>
      <c r="IR194" s="236" t="s">
        <v>145</v>
      </c>
      <c r="IS194" s="236" t="s">
        <v>74</v>
      </c>
      <c r="IT194" s="236" t="s">
        <v>841</v>
      </c>
      <c r="IV194" s="236" t="s">
        <v>13008</v>
      </c>
      <c r="IW194" s="236" t="s">
        <v>145</v>
      </c>
      <c r="IX194" s="236" t="s">
        <v>74</v>
      </c>
      <c r="IY194" s="236" t="s">
        <v>841</v>
      </c>
      <c r="JA194" s="236" t="s">
        <v>13009</v>
      </c>
      <c r="JB194" s="236" t="s">
        <v>145</v>
      </c>
      <c r="JC194" s="236" t="s">
        <v>74</v>
      </c>
      <c r="JD194" s="236" t="s">
        <v>841</v>
      </c>
      <c r="JF194" s="236" t="s">
        <v>13010</v>
      </c>
      <c r="JG194" s="236" t="s">
        <v>145</v>
      </c>
      <c r="JH194" s="236" t="s">
        <v>74</v>
      </c>
      <c r="JI194" s="236" t="s">
        <v>841</v>
      </c>
      <c r="JK194" s="236" t="s">
        <v>13011</v>
      </c>
      <c r="JL194" s="236" t="s">
        <v>145</v>
      </c>
      <c r="JM194" s="236" t="s">
        <v>74</v>
      </c>
      <c r="JN194" s="236" t="s">
        <v>841</v>
      </c>
      <c r="JP194" s="236" t="s">
        <v>13012</v>
      </c>
      <c r="JQ194" s="236" t="s">
        <v>145</v>
      </c>
      <c r="JR194" s="236" t="s">
        <v>74</v>
      </c>
      <c r="JS194" s="236" t="s">
        <v>841</v>
      </c>
      <c r="JU194" s="294" t="s">
        <v>13013</v>
      </c>
      <c r="JV194" s="294" t="s">
        <v>52</v>
      </c>
      <c r="JW194" s="263" t="s">
        <v>70</v>
      </c>
      <c r="JX194" s="294" t="s">
        <v>1083</v>
      </c>
      <c r="JZ194" s="263" t="s">
        <v>13014</v>
      </c>
      <c r="KA194" s="263" t="s">
        <v>145</v>
      </c>
      <c r="KB194" s="263" t="s">
        <v>70</v>
      </c>
      <c r="KC194" s="263" t="s">
        <v>1083</v>
      </c>
      <c r="KE194" s="263" t="s">
        <v>13015</v>
      </c>
      <c r="KF194" s="263" t="s">
        <v>52</v>
      </c>
      <c r="KG194" s="263" t="s">
        <v>70</v>
      </c>
      <c r="KH194" s="263" t="s">
        <v>1083</v>
      </c>
      <c r="KJ194" s="263" t="s">
        <v>13016</v>
      </c>
      <c r="KK194" s="263" t="s">
        <v>52</v>
      </c>
      <c r="KL194" s="263" t="s">
        <v>74</v>
      </c>
      <c r="KM194" s="263" t="s">
        <v>34074</v>
      </c>
      <c r="KO194" s="214" t="s">
        <v>13017</v>
      </c>
      <c r="KP194" s="214" t="s">
        <v>145</v>
      </c>
      <c r="KQ194" s="214" t="s">
        <v>70</v>
      </c>
      <c r="KR194" s="214" t="s">
        <v>67</v>
      </c>
      <c r="KT194" s="22" t="s">
        <v>13018</v>
      </c>
      <c r="KU194" s="22" t="s">
        <v>145</v>
      </c>
      <c r="KV194" s="22" t="s">
        <v>70</v>
      </c>
      <c r="KW194" s="22" t="s">
        <v>67</v>
      </c>
      <c r="KY194" s="214" t="s">
        <v>13019</v>
      </c>
      <c r="KZ194" s="214" t="s">
        <v>52</v>
      </c>
      <c r="LA194" s="214" t="s">
        <v>74</v>
      </c>
      <c r="LB194" s="214" t="s">
        <v>67</v>
      </c>
      <c r="LD194" s="22" t="s">
        <v>13020</v>
      </c>
      <c r="LE194" s="22" t="s">
        <v>145</v>
      </c>
      <c r="LF194" s="22" t="s">
        <v>70</v>
      </c>
      <c r="LG194" s="22" t="s">
        <v>67</v>
      </c>
    </row>
    <row r="195" spans="1:319">
      <c r="A195" s="22" t="s">
        <v>13021</v>
      </c>
      <c r="B195" s="22" t="s">
        <v>145</v>
      </c>
      <c r="C195" s="22" t="s">
        <v>70</v>
      </c>
      <c r="D195" s="22" t="s">
        <v>67</v>
      </c>
      <c r="F195" s="73" t="s">
        <v>13022</v>
      </c>
      <c r="G195" s="22" t="s">
        <v>145</v>
      </c>
      <c r="H195" s="22" t="s">
        <v>70</v>
      </c>
      <c r="I195" s="22" t="s">
        <v>67</v>
      </c>
      <c r="K195" s="22" t="s">
        <v>13023</v>
      </c>
      <c r="L195" s="22" t="s">
        <v>145</v>
      </c>
      <c r="M195" s="22" t="s">
        <v>70</v>
      </c>
      <c r="N195" s="22" t="s">
        <v>67</v>
      </c>
      <c r="P195" s="22" t="s">
        <v>13024</v>
      </c>
      <c r="Q195" s="22" t="s">
        <v>145</v>
      </c>
      <c r="R195" s="22" t="s">
        <v>70</v>
      </c>
      <c r="S195" s="22" t="s">
        <v>67</v>
      </c>
      <c r="U195" s="293" t="s">
        <v>13025</v>
      </c>
      <c r="V195" s="293" t="s">
        <v>145</v>
      </c>
      <c r="W195" s="293" t="s">
        <v>74</v>
      </c>
      <c r="X195" s="293" t="s">
        <v>656</v>
      </c>
      <c r="Z195" s="293" t="s">
        <v>13026</v>
      </c>
      <c r="AA195" s="293" t="s">
        <v>145</v>
      </c>
      <c r="AB195" s="293" t="s">
        <v>74</v>
      </c>
      <c r="AC195" s="293" t="s">
        <v>656</v>
      </c>
      <c r="AE195" s="293" t="s">
        <v>13027</v>
      </c>
      <c r="AF195" s="293" t="s">
        <v>145</v>
      </c>
      <c r="AG195" s="293" t="s">
        <v>74</v>
      </c>
      <c r="AH195" s="293" t="s">
        <v>656</v>
      </c>
      <c r="AJ195" s="293" t="s">
        <v>13028</v>
      </c>
      <c r="AK195" s="293" t="s">
        <v>145</v>
      </c>
      <c r="AL195" s="293" t="s">
        <v>74</v>
      </c>
      <c r="AM195" s="293" t="s">
        <v>656</v>
      </c>
      <c r="AO195" s="22" t="s">
        <v>13029</v>
      </c>
      <c r="AP195" s="22" t="s">
        <v>145</v>
      </c>
      <c r="AQ195" s="22" t="s">
        <v>70</v>
      </c>
      <c r="AR195" s="22" t="s">
        <v>67</v>
      </c>
      <c r="AT195" s="22" t="s">
        <v>13030</v>
      </c>
      <c r="AU195" s="22" t="s">
        <v>145</v>
      </c>
      <c r="AV195" s="22" t="s">
        <v>70</v>
      </c>
      <c r="AW195" s="22" t="s">
        <v>67</v>
      </c>
      <c r="AY195" s="22" t="s">
        <v>13031</v>
      </c>
      <c r="AZ195" s="22" t="s">
        <v>145</v>
      </c>
      <c r="BA195" s="22" t="s">
        <v>70</v>
      </c>
      <c r="BB195" s="22" t="s">
        <v>67</v>
      </c>
      <c r="BD195" s="22" t="s">
        <v>13032</v>
      </c>
      <c r="BE195" s="22" t="s">
        <v>145</v>
      </c>
      <c r="BF195" s="22" t="s">
        <v>70</v>
      </c>
      <c r="BG195" s="22" t="s">
        <v>67</v>
      </c>
      <c r="BI195" s="22" t="s">
        <v>13033</v>
      </c>
      <c r="BJ195" s="22" t="s">
        <v>145</v>
      </c>
      <c r="BK195" s="22" t="s">
        <v>70</v>
      </c>
      <c r="BL195" s="22" t="s">
        <v>67</v>
      </c>
      <c r="BN195" s="22" t="s">
        <v>13034</v>
      </c>
      <c r="BO195" s="22" t="s">
        <v>145</v>
      </c>
      <c r="BP195" s="22" t="s">
        <v>70</v>
      </c>
      <c r="BQ195" s="22" t="s">
        <v>67</v>
      </c>
      <c r="BS195" s="22" t="s">
        <v>13035</v>
      </c>
      <c r="BT195" s="22" t="s">
        <v>145</v>
      </c>
      <c r="BU195" s="22" t="s">
        <v>70</v>
      </c>
      <c r="BV195" s="214" t="s">
        <v>530</v>
      </c>
      <c r="BX195" s="22" t="s">
        <v>13036</v>
      </c>
      <c r="BY195" s="22" t="s">
        <v>145</v>
      </c>
      <c r="BZ195" s="22" t="s">
        <v>70</v>
      </c>
      <c r="CA195" s="214" t="s">
        <v>530</v>
      </c>
      <c r="CC195" s="214" t="s">
        <v>13037</v>
      </c>
      <c r="CD195" s="218" t="s">
        <v>145</v>
      </c>
      <c r="CE195" s="214" t="s">
        <v>70</v>
      </c>
      <c r="CF195" s="214" t="s">
        <v>555</v>
      </c>
      <c r="CH195" s="214" t="s">
        <v>13038</v>
      </c>
      <c r="CI195" s="214" t="s">
        <v>955</v>
      </c>
      <c r="CJ195" s="214" t="s">
        <v>70</v>
      </c>
      <c r="CK195" s="214" t="s">
        <v>530</v>
      </c>
      <c r="CM195" s="214" t="s">
        <v>13039</v>
      </c>
      <c r="CN195" s="214" t="s">
        <v>52</v>
      </c>
      <c r="CO195" s="214" t="s">
        <v>70</v>
      </c>
      <c r="CP195" s="214" t="s">
        <v>530</v>
      </c>
      <c r="CR195" s="214" t="s">
        <v>13040</v>
      </c>
      <c r="CS195" s="214" t="s">
        <v>34618</v>
      </c>
      <c r="CT195" s="214" t="s">
        <v>70</v>
      </c>
      <c r="CU195" s="214" t="s">
        <v>530</v>
      </c>
      <c r="CW195" s="214" t="s">
        <v>13041</v>
      </c>
      <c r="CX195" s="214" t="s">
        <v>485</v>
      </c>
      <c r="CY195" s="214" t="s">
        <v>70</v>
      </c>
      <c r="CZ195" s="214" t="s">
        <v>530</v>
      </c>
      <c r="DB195" s="214" t="s">
        <v>13042</v>
      </c>
      <c r="DC195" s="214" t="s">
        <v>486</v>
      </c>
      <c r="DD195" s="214" t="s">
        <v>70</v>
      </c>
      <c r="DE195" s="214" t="s">
        <v>530</v>
      </c>
      <c r="DG195" s="214" t="s">
        <v>13043</v>
      </c>
      <c r="DH195" s="214" t="s">
        <v>34551</v>
      </c>
      <c r="DI195" s="214" t="s">
        <v>70</v>
      </c>
      <c r="DJ195" s="214" t="s">
        <v>530</v>
      </c>
      <c r="DL195" s="214" t="s">
        <v>13044</v>
      </c>
      <c r="DM195" s="214" t="s">
        <v>492</v>
      </c>
      <c r="DN195" s="214" t="s">
        <v>70</v>
      </c>
      <c r="DO195" s="214" t="s">
        <v>530</v>
      </c>
      <c r="DQ195" s="214" t="s">
        <v>13045</v>
      </c>
      <c r="DR195" s="214" t="s">
        <v>34557</v>
      </c>
      <c r="DS195" s="214" t="s">
        <v>70</v>
      </c>
      <c r="DT195" s="214" t="s">
        <v>530</v>
      </c>
      <c r="DV195" s="214" t="s">
        <v>13046</v>
      </c>
      <c r="DW195" s="214" t="s">
        <v>956</v>
      </c>
      <c r="DX195" s="214" t="s">
        <v>70</v>
      </c>
      <c r="DY195" s="214" t="s">
        <v>530</v>
      </c>
      <c r="EA195" s="214" t="s">
        <v>13047</v>
      </c>
      <c r="EB195" s="214" t="s">
        <v>500</v>
      </c>
      <c r="EC195" s="214" t="s">
        <v>70</v>
      </c>
      <c r="ED195" s="214" t="s">
        <v>530</v>
      </c>
      <c r="EF195" s="214" t="s">
        <v>13048</v>
      </c>
      <c r="EG195" s="214" t="s">
        <v>146</v>
      </c>
      <c r="EH195" s="214" t="s">
        <v>70</v>
      </c>
      <c r="EI195" s="214" t="s">
        <v>530</v>
      </c>
      <c r="EK195" s="214" t="s">
        <v>13049</v>
      </c>
      <c r="EL195" s="214" t="s">
        <v>34544</v>
      </c>
      <c r="EM195" s="214" t="s">
        <v>70</v>
      </c>
      <c r="EN195" s="214" t="s">
        <v>530</v>
      </c>
      <c r="EP195" s="214" t="s">
        <v>13050</v>
      </c>
      <c r="EQ195" s="214" t="s">
        <v>487</v>
      </c>
      <c r="ER195" s="214" t="s">
        <v>70</v>
      </c>
      <c r="ES195" s="214" t="s">
        <v>530</v>
      </c>
      <c r="EU195" s="214" t="s">
        <v>13051</v>
      </c>
      <c r="EV195" s="214" t="s">
        <v>502</v>
      </c>
      <c r="EW195" s="214" t="s">
        <v>70</v>
      </c>
      <c r="EX195" s="214" t="s">
        <v>530</v>
      </c>
      <c r="EZ195" s="214" t="s">
        <v>13052</v>
      </c>
      <c r="FA195" s="214" t="s">
        <v>482</v>
      </c>
      <c r="FB195" s="214" t="s">
        <v>70</v>
      </c>
      <c r="FC195" s="214" t="s">
        <v>530</v>
      </c>
      <c r="FE195" s="214" t="s">
        <v>13053</v>
      </c>
      <c r="FF195" s="214" t="s">
        <v>956</v>
      </c>
      <c r="FG195" s="214" t="s">
        <v>70</v>
      </c>
      <c r="FH195" s="214" t="s">
        <v>530</v>
      </c>
      <c r="FJ195" s="321" t="s">
        <v>13054</v>
      </c>
      <c r="FK195" s="214" t="s">
        <v>468</v>
      </c>
      <c r="FL195" s="214" t="s">
        <v>70</v>
      </c>
      <c r="FM195" s="214" t="s">
        <v>530</v>
      </c>
      <c r="FO195" s="321" t="s">
        <v>13055</v>
      </c>
      <c r="FP195" s="214" t="s">
        <v>491</v>
      </c>
      <c r="FQ195" s="214" t="s">
        <v>70</v>
      </c>
      <c r="FR195" s="214" t="s">
        <v>530</v>
      </c>
      <c r="FT195" s="321" t="s">
        <v>13056</v>
      </c>
      <c r="FU195" s="214" t="s">
        <v>490</v>
      </c>
      <c r="FV195" s="214" t="s">
        <v>70</v>
      </c>
      <c r="FW195" s="214" t="s">
        <v>530</v>
      </c>
      <c r="FY195" s="321" t="s">
        <v>13057</v>
      </c>
      <c r="FZ195" s="214" t="s">
        <v>34555</v>
      </c>
      <c r="GA195" s="214" t="s">
        <v>70</v>
      </c>
      <c r="GB195" s="214" t="s">
        <v>530</v>
      </c>
      <c r="GD195" s="321" t="s">
        <v>13058</v>
      </c>
      <c r="GE195" s="214" t="s">
        <v>204</v>
      </c>
      <c r="GF195" s="214" t="s">
        <v>70</v>
      </c>
      <c r="GG195" s="214" t="s">
        <v>530</v>
      </c>
      <c r="GI195" s="321" t="s">
        <v>13059</v>
      </c>
      <c r="GJ195" s="214" t="s">
        <v>488</v>
      </c>
      <c r="GK195" s="214" t="s">
        <v>70</v>
      </c>
      <c r="GL195" s="214" t="s">
        <v>530</v>
      </c>
      <c r="GN195" s="321" t="s">
        <v>13060</v>
      </c>
      <c r="GO195" s="214" t="s">
        <v>52</v>
      </c>
      <c r="GP195" s="214" t="s">
        <v>70</v>
      </c>
      <c r="GQ195" s="214" t="s">
        <v>530</v>
      </c>
      <c r="GS195" s="321" t="s">
        <v>13061</v>
      </c>
      <c r="GT195" s="214" t="s">
        <v>468</v>
      </c>
      <c r="GU195" s="214" t="s">
        <v>70</v>
      </c>
      <c r="GV195" s="214" t="s">
        <v>530</v>
      </c>
      <c r="GX195" s="214" t="s">
        <v>13062</v>
      </c>
      <c r="GY195" s="214" t="s">
        <v>481</v>
      </c>
      <c r="GZ195" s="214" t="s">
        <v>70</v>
      </c>
      <c r="HA195" s="214" t="s">
        <v>530</v>
      </c>
      <c r="HC195" s="214" t="s">
        <v>13063</v>
      </c>
      <c r="HD195" s="214" t="s">
        <v>145</v>
      </c>
      <c r="HE195" s="214" t="s">
        <v>70</v>
      </c>
      <c r="HF195" s="214" t="s">
        <v>530</v>
      </c>
      <c r="HH195" s="214" t="s">
        <v>13064</v>
      </c>
      <c r="HI195" s="214" t="s">
        <v>488</v>
      </c>
      <c r="HJ195" s="214" t="s">
        <v>70</v>
      </c>
      <c r="HK195" s="214" t="s">
        <v>530</v>
      </c>
      <c r="HM195" s="214" t="s">
        <v>13065</v>
      </c>
      <c r="HN195" s="214" t="s">
        <v>34567</v>
      </c>
      <c r="HO195" s="214" t="s">
        <v>70</v>
      </c>
      <c r="HP195" s="214" t="s">
        <v>530</v>
      </c>
      <c r="HR195" s="22" t="s">
        <v>13066</v>
      </c>
      <c r="HS195" s="22" t="s">
        <v>485</v>
      </c>
      <c r="HT195" s="22" t="s">
        <v>70</v>
      </c>
      <c r="HU195" s="214" t="s">
        <v>530</v>
      </c>
      <c r="HW195" s="22" t="s">
        <v>13067</v>
      </c>
      <c r="HX195" s="22" t="s">
        <v>599</v>
      </c>
      <c r="HY195" s="22" t="s">
        <v>70</v>
      </c>
      <c r="HZ195" s="214" t="s">
        <v>530</v>
      </c>
      <c r="IB195" s="22" t="s">
        <v>13068</v>
      </c>
      <c r="IC195" s="22" t="s">
        <v>34541</v>
      </c>
      <c r="ID195" s="22" t="s">
        <v>70</v>
      </c>
      <c r="IE195" s="214" t="s">
        <v>530</v>
      </c>
      <c r="IG195" s="22" t="s">
        <v>13069</v>
      </c>
      <c r="IH195" s="22" t="s">
        <v>927</v>
      </c>
      <c r="II195" s="22" t="s">
        <v>70</v>
      </c>
      <c r="IJ195" s="214" t="s">
        <v>530</v>
      </c>
      <c r="IL195" s="22" t="s">
        <v>13070</v>
      </c>
      <c r="IM195" s="22" t="s">
        <v>145</v>
      </c>
      <c r="IN195" s="22" t="s">
        <v>70</v>
      </c>
      <c r="IO195" s="214" t="s">
        <v>530</v>
      </c>
      <c r="IQ195" s="236" t="s">
        <v>13071</v>
      </c>
      <c r="IR195" s="236" t="s">
        <v>145</v>
      </c>
      <c r="IS195" s="236" t="s">
        <v>74</v>
      </c>
      <c r="IT195" s="236" t="s">
        <v>841</v>
      </c>
      <c r="IV195" s="236" t="s">
        <v>13072</v>
      </c>
      <c r="IW195" s="236" t="s">
        <v>145</v>
      </c>
      <c r="IX195" s="236" t="s">
        <v>74</v>
      </c>
      <c r="IY195" s="236" t="s">
        <v>841</v>
      </c>
      <c r="JA195" s="236" t="s">
        <v>13073</v>
      </c>
      <c r="JB195" s="236" t="s">
        <v>145</v>
      </c>
      <c r="JC195" s="236" t="s">
        <v>74</v>
      </c>
      <c r="JD195" s="236" t="s">
        <v>841</v>
      </c>
      <c r="JF195" s="236" t="s">
        <v>13074</v>
      </c>
      <c r="JG195" s="236" t="s">
        <v>145</v>
      </c>
      <c r="JH195" s="236" t="s">
        <v>74</v>
      </c>
      <c r="JI195" s="236" t="s">
        <v>841</v>
      </c>
      <c r="JK195" s="236" t="s">
        <v>13075</v>
      </c>
      <c r="JL195" s="236" t="s">
        <v>145</v>
      </c>
      <c r="JM195" s="236" t="s">
        <v>74</v>
      </c>
      <c r="JN195" s="236" t="s">
        <v>841</v>
      </c>
      <c r="JP195" s="236" t="s">
        <v>13076</v>
      </c>
      <c r="JQ195" s="236" t="s">
        <v>145</v>
      </c>
      <c r="JR195" s="236" t="s">
        <v>74</v>
      </c>
      <c r="JS195" s="236" t="s">
        <v>841</v>
      </c>
      <c r="JU195" s="294" t="s">
        <v>13077</v>
      </c>
      <c r="JV195" s="294" t="s">
        <v>52</v>
      </c>
      <c r="JW195" s="263" t="s">
        <v>70</v>
      </c>
      <c r="JX195" s="294" t="s">
        <v>1083</v>
      </c>
      <c r="JZ195" s="263" t="s">
        <v>13078</v>
      </c>
      <c r="KA195" s="263" t="s">
        <v>145</v>
      </c>
      <c r="KB195" s="263" t="s">
        <v>70</v>
      </c>
      <c r="KC195" s="263" t="s">
        <v>1083</v>
      </c>
      <c r="KE195" s="263" t="s">
        <v>13079</v>
      </c>
      <c r="KF195" s="263" t="s">
        <v>52</v>
      </c>
      <c r="KG195" s="263" t="s">
        <v>70</v>
      </c>
      <c r="KH195" s="263" t="s">
        <v>1083</v>
      </c>
      <c r="KJ195" s="263" t="s">
        <v>13080</v>
      </c>
      <c r="KK195" s="263" t="s">
        <v>52</v>
      </c>
      <c r="KL195" s="263" t="s">
        <v>74</v>
      </c>
      <c r="KM195" s="263" t="s">
        <v>34074</v>
      </c>
      <c r="KO195" s="214" t="s">
        <v>13081</v>
      </c>
      <c r="KP195" s="214" t="s">
        <v>145</v>
      </c>
      <c r="KQ195" s="214" t="s">
        <v>70</v>
      </c>
      <c r="KR195" s="214" t="s">
        <v>67</v>
      </c>
      <c r="KT195" s="22" t="s">
        <v>13082</v>
      </c>
      <c r="KU195" s="22" t="s">
        <v>145</v>
      </c>
      <c r="KV195" s="22" t="s">
        <v>70</v>
      </c>
      <c r="KW195" s="22" t="s">
        <v>67</v>
      </c>
      <c r="KY195" s="214" t="s">
        <v>13083</v>
      </c>
      <c r="KZ195" s="214" t="s">
        <v>52</v>
      </c>
      <c r="LA195" s="214" t="s">
        <v>74</v>
      </c>
      <c r="LB195" s="214" t="s">
        <v>67</v>
      </c>
      <c r="LD195" s="22" t="s">
        <v>13084</v>
      </c>
      <c r="LE195" s="22" t="s">
        <v>145</v>
      </c>
      <c r="LF195" s="22" t="s">
        <v>70</v>
      </c>
      <c r="LG195" s="22" t="s">
        <v>67</v>
      </c>
    </row>
    <row r="196" spans="1:319">
      <c r="A196" s="22" t="s">
        <v>13085</v>
      </c>
      <c r="B196" s="22" t="s">
        <v>145</v>
      </c>
      <c r="C196" s="22" t="s">
        <v>70</v>
      </c>
      <c r="D196" s="22" t="s">
        <v>67</v>
      </c>
      <c r="F196" s="73" t="s">
        <v>13086</v>
      </c>
      <c r="G196" s="22" t="s">
        <v>145</v>
      </c>
      <c r="H196" s="22" t="s">
        <v>70</v>
      </c>
      <c r="I196" s="22" t="s">
        <v>67</v>
      </c>
      <c r="K196" s="22" t="s">
        <v>13087</v>
      </c>
      <c r="L196" s="22" t="s">
        <v>145</v>
      </c>
      <c r="M196" s="22" t="s">
        <v>70</v>
      </c>
      <c r="N196" s="22" t="s">
        <v>67</v>
      </c>
      <c r="P196" s="22" t="s">
        <v>13088</v>
      </c>
      <c r="Q196" s="22" t="s">
        <v>145</v>
      </c>
      <c r="R196" s="22" t="s">
        <v>70</v>
      </c>
      <c r="S196" s="22" t="s">
        <v>67</v>
      </c>
      <c r="U196" s="293" t="s">
        <v>13089</v>
      </c>
      <c r="V196" s="293" t="s">
        <v>145</v>
      </c>
      <c r="W196" s="293" t="s">
        <v>74</v>
      </c>
      <c r="X196" s="293" t="s">
        <v>656</v>
      </c>
      <c r="Z196" s="293" t="s">
        <v>13090</v>
      </c>
      <c r="AA196" s="293" t="s">
        <v>145</v>
      </c>
      <c r="AB196" s="293" t="s">
        <v>74</v>
      </c>
      <c r="AC196" s="293" t="s">
        <v>656</v>
      </c>
      <c r="AE196" s="293" t="s">
        <v>13091</v>
      </c>
      <c r="AF196" s="293" t="s">
        <v>145</v>
      </c>
      <c r="AG196" s="293" t="s">
        <v>74</v>
      </c>
      <c r="AH196" s="293" t="s">
        <v>656</v>
      </c>
      <c r="AJ196" s="293" t="s">
        <v>13092</v>
      </c>
      <c r="AK196" s="293" t="s">
        <v>145</v>
      </c>
      <c r="AL196" s="293" t="s">
        <v>74</v>
      </c>
      <c r="AM196" s="293" t="s">
        <v>656</v>
      </c>
      <c r="AO196" s="22" t="s">
        <v>13093</v>
      </c>
      <c r="AP196" s="22" t="s">
        <v>145</v>
      </c>
      <c r="AQ196" s="22" t="s">
        <v>70</v>
      </c>
      <c r="AR196" s="22" t="s">
        <v>67</v>
      </c>
      <c r="AT196" s="22" t="s">
        <v>13094</v>
      </c>
      <c r="AU196" s="22" t="s">
        <v>145</v>
      </c>
      <c r="AV196" s="22" t="s">
        <v>70</v>
      </c>
      <c r="AW196" s="22" t="s">
        <v>67</v>
      </c>
      <c r="AY196" s="22" t="s">
        <v>13095</v>
      </c>
      <c r="AZ196" s="22" t="s">
        <v>145</v>
      </c>
      <c r="BA196" s="22" t="s">
        <v>70</v>
      </c>
      <c r="BB196" s="22" t="s">
        <v>67</v>
      </c>
      <c r="BD196" s="22" t="s">
        <v>13096</v>
      </c>
      <c r="BE196" s="22" t="s">
        <v>145</v>
      </c>
      <c r="BF196" s="22" t="s">
        <v>70</v>
      </c>
      <c r="BG196" s="22" t="s">
        <v>67</v>
      </c>
      <c r="BI196" s="22" t="s">
        <v>13097</v>
      </c>
      <c r="BJ196" s="22" t="s">
        <v>145</v>
      </c>
      <c r="BK196" s="22" t="s">
        <v>70</v>
      </c>
      <c r="BL196" s="22" t="s">
        <v>67</v>
      </c>
      <c r="BN196" s="22" t="s">
        <v>13098</v>
      </c>
      <c r="BO196" s="22" t="s">
        <v>145</v>
      </c>
      <c r="BP196" s="22" t="s">
        <v>70</v>
      </c>
      <c r="BQ196" s="22" t="s">
        <v>67</v>
      </c>
      <c r="BS196" s="22" t="s">
        <v>13099</v>
      </c>
      <c r="BT196" s="22" t="s">
        <v>145</v>
      </c>
      <c r="BU196" s="22" t="s">
        <v>70</v>
      </c>
      <c r="BV196" s="214" t="s">
        <v>530</v>
      </c>
      <c r="BX196" s="22" t="s">
        <v>13100</v>
      </c>
      <c r="BY196" s="22" t="s">
        <v>145</v>
      </c>
      <c r="BZ196" s="22" t="s">
        <v>70</v>
      </c>
      <c r="CA196" s="214" t="s">
        <v>530</v>
      </c>
      <c r="CC196" s="214" t="s">
        <v>13101</v>
      </c>
      <c r="CD196" s="218" t="s">
        <v>145</v>
      </c>
      <c r="CE196" s="214" t="s">
        <v>70</v>
      </c>
      <c r="CF196" s="214" t="s">
        <v>556</v>
      </c>
      <c r="CH196" s="214" t="s">
        <v>13102</v>
      </c>
      <c r="CI196" s="214" t="s">
        <v>52</v>
      </c>
      <c r="CJ196" s="214" t="s">
        <v>70</v>
      </c>
      <c r="CK196" s="214" t="s">
        <v>530</v>
      </c>
      <c r="CM196" s="214" t="s">
        <v>13103</v>
      </c>
      <c r="CN196" s="214" t="s">
        <v>949</v>
      </c>
      <c r="CO196" s="214" t="s">
        <v>70</v>
      </c>
      <c r="CP196" s="214" t="s">
        <v>530</v>
      </c>
      <c r="CR196" s="214" t="s">
        <v>13104</v>
      </c>
      <c r="CS196" s="214" t="s">
        <v>34545</v>
      </c>
      <c r="CT196" s="214" t="s">
        <v>70</v>
      </c>
      <c r="CU196" s="214" t="s">
        <v>530</v>
      </c>
      <c r="CW196" s="214" t="s">
        <v>13105</v>
      </c>
      <c r="CX196" s="214" t="s">
        <v>34545</v>
      </c>
      <c r="CY196" s="214" t="s">
        <v>70</v>
      </c>
      <c r="CZ196" s="214" t="s">
        <v>530</v>
      </c>
      <c r="DB196" s="214" t="s">
        <v>13106</v>
      </c>
      <c r="DC196" s="214" t="s">
        <v>912</v>
      </c>
      <c r="DD196" s="214" t="s">
        <v>70</v>
      </c>
      <c r="DE196" s="214" t="s">
        <v>530</v>
      </c>
      <c r="DG196" s="214" t="s">
        <v>13107</v>
      </c>
      <c r="DH196" s="214" t="s">
        <v>34608</v>
      </c>
      <c r="DI196" s="214" t="s">
        <v>70</v>
      </c>
      <c r="DJ196" s="214" t="s">
        <v>530</v>
      </c>
      <c r="DL196" s="214" t="s">
        <v>13108</v>
      </c>
      <c r="DM196" s="214" t="s">
        <v>146</v>
      </c>
      <c r="DN196" s="214" t="s">
        <v>70</v>
      </c>
      <c r="DO196" s="214" t="s">
        <v>530</v>
      </c>
      <c r="DQ196" s="214" t="s">
        <v>13109</v>
      </c>
      <c r="DR196" s="214" t="s">
        <v>34583</v>
      </c>
      <c r="DS196" s="214" t="s">
        <v>70</v>
      </c>
      <c r="DT196" s="214" t="s">
        <v>530</v>
      </c>
      <c r="DV196" s="214" t="s">
        <v>13110</v>
      </c>
      <c r="DW196" s="214" t="s">
        <v>914</v>
      </c>
      <c r="DX196" s="214" t="s">
        <v>70</v>
      </c>
      <c r="DY196" s="214" t="s">
        <v>530</v>
      </c>
      <c r="EA196" s="214" t="s">
        <v>13111</v>
      </c>
      <c r="EB196" s="214" t="s">
        <v>90</v>
      </c>
      <c r="EC196" s="214" t="s">
        <v>70</v>
      </c>
      <c r="ED196" s="214" t="s">
        <v>530</v>
      </c>
      <c r="EF196" s="214" t="s">
        <v>13112</v>
      </c>
      <c r="EG196" s="214" t="s">
        <v>90</v>
      </c>
      <c r="EH196" s="214" t="s">
        <v>70</v>
      </c>
      <c r="EI196" s="214" t="s">
        <v>530</v>
      </c>
      <c r="EK196" s="214" t="s">
        <v>13113</v>
      </c>
      <c r="EL196" s="214" t="s">
        <v>148</v>
      </c>
      <c r="EM196" s="214" t="s">
        <v>70</v>
      </c>
      <c r="EN196" s="214" t="s">
        <v>530</v>
      </c>
      <c r="EP196" s="214" t="s">
        <v>13114</v>
      </c>
      <c r="EQ196" s="214" t="s">
        <v>34643</v>
      </c>
      <c r="ER196" s="214" t="s">
        <v>70</v>
      </c>
      <c r="ES196" s="214" t="s">
        <v>530</v>
      </c>
      <c r="EU196" s="214" t="s">
        <v>13115</v>
      </c>
      <c r="EV196" s="214" t="s">
        <v>148</v>
      </c>
      <c r="EW196" s="214" t="s">
        <v>70</v>
      </c>
      <c r="EX196" s="214" t="s">
        <v>530</v>
      </c>
      <c r="EZ196" s="214" t="s">
        <v>13116</v>
      </c>
      <c r="FA196" s="214" t="s">
        <v>87</v>
      </c>
      <c r="FB196" s="214" t="s">
        <v>70</v>
      </c>
      <c r="FC196" s="214" t="s">
        <v>530</v>
      </c>
      <c r="FE196" s="214" t="s">
        <v>13117</v>
      </c>
      <c r="FF196" s="214" t="s">
        <v>164</v>
      </c>
      <c r="FG196" s="214" t="s">
        <v>70</v>
      </c>
      <c r="FH196" s="214" t="s">
        <v>530</v>
      </c>
      <c r="FJ196" s="321" t="s">
        <v>13118</v>
      </c>
      <c r="FK196" s="214" t="s">
        <v>90</v>
      </c>
      <c r="FL196" s="214" t="s">
        <v>70</v>
      </c>
      <c r="FM196" s="214" t="s">
        <v>530</v>
      </c>
      <c r="FO196" s="321" t="s">
        <v>13119</v>
      </c>
      <c r="FP196" s="214" t="s">
        <v>145</v>
      </c>
      <c r="FQ196" s="214" t="s">
        <v>70</v>
      </c>
      <c r="FR196" s="214" t="s">
        <v>530</v>
      </c>
      <c r="FT196" s="321" t="s">
        <v>13120</v>
      </c>
      <c r="FU196" s="214" t="s">
        <v>468</v>
      </c>
      <c r="FV196" s="214" t="s">
        <v>70</v>
      </c>
      <c r="FW196" s="214" t="s">
        <v>530</v>
      </c>
      <c r="FY196" s="321" t="s">
        <v>13121</v>
      </c>
      <c r="FZ196" s="214" t="s">
        <v>92</v>
      </c>
      <c r="GA196" s="214" t="s">
        <v>70</v>
      </c>
      <c r="GB196" s="214" t="s">
        <v>530</v>
      </c>
      <c r="GD196" s="321" t="s">
        <v>13122</v>
      </c>
      <c r="GE196" s="214" t="s">
        <v>653</v>
      </c>
      <c r="GF196" s="214" t="s">
        <v>70</v>
      </c>
      <c r="GG196" s="214" t="s">
        <v>530</v>
      </c>
      <c r="GI196" s="321" t="s">
        <v>13123</v>
      </c>
      <c r="GJ196" s="214" t="s">
        <v>85</v>
      </c>
      <c r="GK196" s="214" t="s">
        <v>70</v>
      </c>
      <c r="GL196" s="214" t="s">
        <v>530</v>
      </c>
      <c r="GN196" s="321" t="s">
        <v>13124</v>
      </c>
      <c r="GO196" s="214" t="s">
        <v>34556</v>
      </c>
      <c r="GP196" s="214" t="s">
        <v>70</v>
      </c>
      <c r="GQ196" s="214" t="s">
        <v>530</v>
      </c>
      <c r="GS196" s="321" t="s">
        <v>13125</v>
      </c>
      <c r="GT196" s="214" t="s">
        <v>145</v>
      </c>
      <c r="GU196" s="214" t="s">
        <v>70</v>
      </c>
      <c r="GV196" s="214" t="s">
        <v>530</v>
      </c>
      <c r="GX196" s="214" t="s">
        <v>13126</v>
      </c>
      <c r="GY196" s="214" t="s">
        <v>148</v>
      </c>
      <c r="GZ196" s="214" t="s">
        <v>70</v>
      </c>
      <c r="HA196" s="214" t="s">
        <v>530</v>
      </c>
      <c r="HC196" s="214" t="s">
        <v>13127</v>
      </c>
      <c r="HD196" s="214" t="s">
        <v>148</v>
      </c>
      <c r="HE196" s="214" t="s">
        <v>70</v>
      </c>
      <c r="HF196" s="214" t="s">
        <v>530</v>
      </c>
      <c r="HH196" s="214" t="s">
        <v>13128</v>
      </c>
      <c r="HI196" s="214" t="s">
        <v>163</v>
      </c>
      <c r="HJ196" s="214" t="s">
        <v>70</v>
      </c>
      <c r="HK196" s="214" t="s">
        <v>530</v>
      </c>
      <c r="HM196" s="214" t="s">
        <v>13129</v>
      </c>
      <c r="HN196" s="214" t="s">
        <v>164</v>
      </c>
      <c r="HO196" s="214" t="s">
        <v>70</v>
      </c>
      <c r="HP196" s="214" t="s">
        <v>530</v>
      </c>
      <c r="HR196" s="22" t="s">
        <v>13130</v>
      </c>
      <c r="HS196" s="22" t="s">
        <v>87</v>
      </c>
      <c r="HT196" s="22" t="s">
        <v>70</v>
      </c>
      <c r="HU196" s="214" t="s">
        <v>530</v>
      </c>
      <c r="HW196" s="22" t="s">
        <v>13131</v>
      </c>
      <c r="HX196" s="22" t="s">
        <v>88</v>
      </c>
      <c r="HY196" s="22" t="s">
        <v>70</v>
      </c>
      <c r="HZ196" s="214" t="s">
        <v>530</v>
      </c>
      <c r="IB196" s="22" t="s">
        <v>13132</v>
      </c>
      <c r="IC196" s="22" t="s">
        <v>34546</v>
      </c>
      <c r="ID196" s="22" t="s">
        <v>70</v>
      </c>
      <c r="IE196" s="214" t="s">
        <v>530</v>
      </c>
      <c r="IG196" s="22" t="s">
        <v>13133</v>
      </c>
      <c r="IH196" s="22" t="s">
        <v>935</v>
      </c>
      <c r="II196" s="22" t="s">
        <v>70</v>
      </c>
      <c r="IJ196" s="214" t="s">
        <v>530</v>
      </c>
      <c r="IL196" s="22" t="s">
        <v>13134</v>
      </c>
      <c r="IM196" s="22" t="s">
        <v>145</v>
      </c>
      <c r="IN196" s="22" t="s">
        <v>70</v>
      </c>
      <c r="IO196" s="214" t="s">
        <v>530</v>
      </c>
      <c r="IQ196" s="236" t="s">
        <v>13135</v>
      </c>
      <c r="IR196" s="236" t="s">
        <v>145</v>
      </c>
      <c r="IS196" s="236" t="s">
        <v>74</v>
      </c>
      <c r="IT196" s="236" t="s">
        <v>841</v>
      </c>
      <c r="IV196" s="236" t="s">
        <v>13136</v>
      </c>
      <c r="IW196" s="236" t="s">
        <v>145</v>
      </c>
      <c r="IX196" s="236" t="s">
        <v>74</v>
      </c>
      <c r="IY196" s="236" t="s">
        <v>841</v>
      </c>
      <c r="JA196" s="236" t="s">
        <v>13137</v>
      </c>
      <c r="JB196" s="236" t="s">
        <v>145</v>
      </c>
      <c r="JC196" s="236" t="s">
        <v>74</v>
      </c>
      <c r="JD196" s="236" t="s">
        <v>841</v>
      </c>
      <c r="JF196" s="236" t="s">
        <v>13138</v>
      </c>
      <c r="JG196" s="236" t="s">
        <v>145</v>
      </c>
      <c r="JH196" s="236" t="s">
        <v>74</v>
      </c>
      <c r="JI196" s="236" t="s">
        <v>841</v>
      </c>
      <c r="JK196" s="236" t="s">
        <v>13139</v>
      </c>
      <c r="JL196" s="236" t="s">
        <v>145</v>
      </c>
      <c r="JM196" s="236" t="s">
        <v>74</v>
      </c>
      <c r="JN196" s="236" t="s">
        <v>841</v>
      </c>
      <c r="JP196" s="236" t="s">
        <v>13140</v>
      </c>
      <c r="JQ196" s="236" t="s">
        <v>145</v>
      </c>
      <c r="JR196" s="236" t="s">
        <v>74</v>
      </c>
      <c r="JS196" s="236" t="s">
        <v>841</v>
      </c>
      <c r="JU196" s="294" t="s">
        <v>13141</v>
      </c>
      <c r="JV196" s="294" t="s">
        <v>52</v>
      </c>
      <c r="JW196" s="263" t="s">
        <v>70</v>
      </c>
      <c r="JX196" s="294" t="s">
        <v>1083</v>
      </c>
      <c r="JZ196" s="263" t="s">
        <v>13142</v>
      </c>
      <c r="KA196" s="263" t="s">
        <v>145</v>
      </c>
      <c r="KB196" s="263" t="s">
        <v>70</v>
      </c>
      <c r="KC196" s="263" t="s">
        <v>1083</v>
      </c>
      <c r="KE196" s="263" t="s">
        <v>13143</v>
      </c>
      <c r="KF196" s="263" t="s">
        <v>52</v>
      </c>
      <c r="KG196" s="263" t="s">
        <v>70</v>
      </c>
      <c r="KH196" s="263" t="s">
        <v>1083</v>
      </c>
      <c r="KJ196" s="263" t="s">
        <v>13144</v>
      </c>
      <c r="KK196" s="263" t="s">
        <v>52</v>
      </c>
      <c r="KL196" s="263" t="s">
        <v>74</v>
      </c>
      <c r="KM196" s="263" t="s">
        <v>34074</v>
      </c>
      <c r="KO196" s="214" t="s">
        <v>13145</v>
      </c>
      <c r="KP196" s="214" t="s">
        <v>145</v>
      </c>
      <c r="KQ196" s="214" t="s">
        <v>70</v>
      </c>
      <c r="KR196" s="214" t="s">
        <v>67</v>
      </c>
      <c r="KT196" s="22" t="s">
        <v>13146</v>
      </c>
      <c r="KU196" s="22" t="s">
        <v>145</v>
      </c>
      <c r="KV196" s="22" t="s">
        <v>70</v>
      </c>
      <c r="KW196" s="22" t="s">
        <v>67</v>
      </c>
      <c r="KY196" s="214" t="s">
        <v>13147</v>
      </c>
      <c r="KZ196" s="214" t="s">
        <v>52</v>
      </c>
      <c r="LA196" s="214" t="s">
        <v>74</v>
      </c>
      <c r="LB196" s="214" t="s">
        <v>67</v>
      </c>
      <c r="LD196" s="22" t="s">
        <v>13148</v>
      </c>
      <c r="LE196" s="22" t="s">
        <v>145</v>
      </c>
      <c r="LF196" s="22" t="s">
        <v>70</v>
      </c>
      <c r="LG196" s="22" t="s">
        <v>67</v>
      </c>
    </row>
    <row r="197" spans="1:319">
      <c r="A197" s="22" t="s">
        <v>13149</v>
      </c>
      <c r="B197" s="22" t="s">
        <v>145</v>
      </c>
      <c r="C197" s="22" t="s">
        <v>70</v>
      </c>
      <c r="D197" s="22" t="s">
        <v>67</v>
      </c>
      <c r="F197" s="73" t="s">
        <v>13150</v>
      </c>
      <c r="G197" s="22" t="s">
        <v>145</v>
      </c>
      <c r="H197" s="22" t="s">
        <v>70</v>
      </c>
      <c r="I197" s="22" t="s">
        <v>67</v>
      </c>
      <c r="K197" s="22" t="s">
        <v>13151</v>
      </c>
      <c r="L197" s="22" t="s">
        <v>145</v>
      </c>
      <c r="M197" s="22" t="s">
        <v>70</v>
      </c>
      <c r="N197" s="22" t="s">
        <v>67</v>
      </c>
      <c r="P197" s="22" t="s">
        <v>13152</v>
      </c>
      <c r="Q197" s="22" t="s">
        <v>145</v>
      </c>
      <c r="R197" s="22" t="s">
        <v>70</v>
      </c>
      <c r="S197" s="22" t="s">
        <v>67</v>
      </c>
      <c r="U197" s="293" t="s">
        <v>13153</v>
      </c>
      <c r="V197" s="293" t="s">
        <v>145</v>
      </c>
      <c r="W197" s="293" t="s">
        <v>74</v>
      </c>
      <c r="X197" s="293" t="s">
        <v>656</v>
      </c>
      <c r="Z197" s="293" t="s">
        <v>13154</v>
      </c>
      <c r="AA197" s="293" t="s">
        <v>145</v>
      </c>
      <c r="AB197" s="293" t="s">
        <v>74</v>
      </c>
      <c r="AC197" s="293" t="s">
        <v>656</v>
      </c>
      <c r="AE197" s="293" t="s">
        <v>13155</v>
      </c>
      <c r="AF197" s="293" t="s">
        <v>145</v>
      </c>
      <c r="AG197" s="293" t="s">
        <v>74</v>
      </c>
      <c r="AH197" s="293" t="s">
        <v>656</v>
      </c>
      <c r="AJ197" s="293" t="s">
        <v>13156</v>
      </c>
      <c r="AK197" s="293" t="s">
        <v>145</v>
      </c>
      <c r="AL197" s="293" t="s">
        <v>74</v>
      </c>
      <c r="AM197" s="293" t="s">
        <v>656</v>
      </c>
      <c r="AO197" s="22" t="s">
        <v>13157</v>
      </c>
      <c r="AP197" s="22" t="s">
        <v>145</v>
      </c>
      <c r="AQ197" s="22" t="s">
        <v>70</v>
      </c>
      <c r="AR197" s="22" t="s">
        <v>67</v>
      </c>
      <c r="AT197" s="22" t="s">
        <v>13158</v>
      </c>
      <c r="AU197" s="22" t="s">
        <v>145</v>
      </c>
      <c r="AV197" s="22" t="s">
        <v>70</v>
      </c>
      <c r="AW197" s="22" t="s">
        <v>67</v>
      </c>
      <c r="AY197" s="22" t="s">
        <v>13159</v>
      </c>
      <c r="AZ197" s="22" t="s">
        <v>145</v>
      </c>
      <c r="BA197" s="22" t="s">
        <v>70</v>
      </c>
      <c r="BB197" s="22" t="s">
        <v>67</v>
      </c>
      <c r="BD197" s="22" t="s">
        <v>13160</v>
      </c>
      <c r="BE197" s="22" t="s">
        <v>145</v>
      </c>
      <c r="BF197" s="22" t="s">
        <v>70</v>
      </c>
      <c r="BG197" s="22" t="s">
        <v>67</v>
      </c>
      <c r="BI197" s="22" t="s">
        <v>13161</v>
      </c>
      <c r="BJ197" s="22" t="s">
        <v>145</v>
      </c>
      <c r="BK197" s="22" t="s">
        <v>70</v>
      </c>
      <c r="BL197" s="22" t="s">
        <v>67</v>
      </c>
      <c r="BN197" s="22" t="s">
        <v>13162</v>
      </c>
      <c r="BO197" s="22" t="s">
        <v>145</v>
      </c>
      <c r="BP197" s="22" t="s">
        <v>70</v>
      </c>
      <c r="BQ197" s="22" t="s">
        <v>67</v>
      </c>
      <c r="BS197" s="22" t="s">
        <v>13163</v>
      </c>
      <c r="BT197" s="22" t="s">
        <v>145</v>
      </c>
      <c r="BU197" s="22" t="s">
        <v>70</v>
      </c>
      <c r="BV197" s="214" t="s">
        <v>530</v>
      </c>
      <c r="BX197" s="22" t="s">
        <v>13164</v>
      </c>
      <c r="BY197" s="22" t="s">
        <v>145</v>
      </c>
      <c r="BZ197" s="22" t="s">
        <v>70</v>
      </c>
      <c r="CA197" s="214" t="s">
        <v>530</v>
      </c>
      <c r="CC197" s="214" t="s">
        <v>13165</v>
      </c>
      <c r="CD197" s="218" t="s">
        <v>145</v>
      </c>
      <c r="CE197" s="214" t="s">
        <v>70</v>
      </c>
      <c r="CF197" s="214" t="s">
        <v>557</v>
      </c>
      <c r="CH197" s="214" t="s">
        <v>13166</v>
      </c>
      <c r="CI197" s="214" t="s">
        <v>203</v>
      </c>
      <c r="CJ197" s="214" t="s">
        <v>70</v>
      </c>
      <c r="CK197" s="214" t="s">
        <v>530</v>
      </c>
      <c r="CM197" s="214" t="s">
        <v>13167</v>
      </c>
      <c r="CN197" s="214" t="s">
        <v>491</v>
      </c>
      <c r="CO197" s="214" t="s">
        <v>70</v>
      </c>
      <c r="CP197" s="214" t="s">
        <v>530</v>
      </c>
      <c r="CR197" s="214" t="s">
        <v>13168</v>
      </c>
      <c r="CS197" s="214" t="s">
        <v>34551</v>
      </c>
      <c r="CT197" s="214" t="s">
        <v>70</v>
      </c>
      <c r="CU197" s="214" t="s">
        <v>530</v>
      </c>
      <c r="CW197" s="214" t="s">
        <v>13169</v>
      </c>
      <c r="CX197" s="214" t="s">
        <v>34551</v>
      </c>
      <c r="CY197" s="214" t="s">
        <v>70</v>
      </c>
      <c r="CZ197" s="214" t="s">
        <v>530</v>
      </c>
      <c r="DB197" s="214" t="s">
        <v>13170</v>
      </c>
      <c r="DC197" s="214" t="s">
        <v>488</v>
      </c>
      <c r="DD197" s="214" t="s">
        <v>70</v>
      </c>
      <c r="DE197" s="214" t="s">
        <v>530</v>
      </c>
      <c r="DG197" s="214" t="s">
        <v>13171</v>
      </c>
      <c r="DH197" s="214" t="s">
        <v>492</v>
      </c>
      <c r="DI197" s="214" t="s">
        <v>70</v>
      </c>
      <c r="DJ197" s="214" t="s">
        <v>530</v>
      </c>
      <c r="DL197" s="214" t="s">
        <v>13172</v>
      </c>
      <c r="DM197" s="214" t="s">
        <v>933</v>
      </c>
      <c r="DN197" s="214" t="s">
        <v>70</v>
      </c>
      <c r="DO197" s="214" t="s">
        <v>530</v>
      </c>
      <c r="DQ197" s="214" t="s">
        <v>13173</v>
      </c>
      <c r="DR197" s="214" t="s">
        <v>146</v>
      </c>
      <c r="DS197" s="214" t="s">
        <v>70</v>
      </c>
      <c r="DT197" s="214" t="s">
        <v>530</v>
      </c>
      <c r="DV197" s="214" t="s">
        <v>13174</v>
      </c>
      <c r="DW197" s="214" t="s">
        <v>491</v>
      </c>
      <c r="DX197" s="214" t="s">
        <v>70</v>
      </c>
      <c r="DY197" s="214" t="s">
        <v>530</v>
      </c>
      <c r="EA197" s="214" t="s">
        <v>13175</v>
      </c>
      <c r="EB197" s="214" t="s">
        <v>93</v>
      </c>
      <c r="EC197" s="214" t="s">
        <v>70</v>
      </c>
      <c r="ED197" s="214" t="s">
        <v>530</v>
      </c>
      <c r="EF197" s="214" t="s">
        <v>13176</v>
      </c>
      <c r="EG197" s="214" t="s">
        <v>468</v>
      </c>
      <c r="EH197" s="214" t="s">
        <v>70</v>
      </c>
      <c r="EI197" s="214" t="s">
        <v>530</v>
      </c>
      <c r="EK197" s="214" t="s">
        <v>13177</v>
      </c>
      <c r="EL197" s="214" t="s">
        <v>34562</v>
      </c>
      <c r="EM197" s="214" t="s">
        <v>70</v>
      </c>
      <c r="EN197" s="214" t="s">
        <v>530</v>
      </c>
      <c r="EP197" s="214" t="s">
        <v>13178</v>
      </c>
      <c r="EQ197" s="214" t="s">
        <v>655</v>
      </c>
      <c r="ER197" s="214" t="s">
        <v>70</v>
      </c>
      <c r="ES197" s="214" t="s">
        <v>530</v>
      </c>
      <c r="EU197" s="214" t="s">
        <v>13179</v>
      </c>
      <c r="EV197" s="214" t="s">
        <v>488</v>
      </c>
      <c r="EW197" s="214" t="s">
        <v>70</v>
      </c>
      <c r="EX197" s="214" t="s">
        <v>530</v>
      </c>
      <c r="EZ197" s="214" t="s">
        <v>13180</v>
      </c>
      <c r="FA197" s="214" t="s">
        <v>52</v>
      </c>
      <c r="FB197" s="214" t="s">
        <v>70</v>
      </c>
      <c r="FC197" s="214" t="s">
        <v>530</v>
      </c>
      <c r="FE197" s="214" t="s">
        <v>13181</v>
      </c>
      <c r="FF197" s="214" t="s">
        <v>955</v>
      </c>
      <c r="FG197" s="214" t="s">
        <v>70</v>
      </c>
      <c r="FH197" s="214" t="s">
        <v>530</v>
      </c>
      <c r="FJ197" s="321" t="s">
        <v>13182</v>
      </c>
      <c r="FK197" s="214" t="s">
        <v>34539</v>
      </c>
      <c r="FL197" s="214" t="s">
        <v>70</v>
      </c>
      <c r="FM197" s="214" t="s">
        <v>530</v>
      </c>
      <c r="FO197" s="321" t="s">
        <v>13183</v>
      </c>
      <c r="FP197" s="214" t="s">
        <v>34541</v>
      </c>
      <c r="FQ197" s="214" t="s">
        <v>70</v>
      </c>
      <c r="FR197" s="214" t="s">
        <v>530</v>
      </c>
      <c r="FT197" s="321" t="s">
        <v>13184</v>
      </c>
      <c r="FU197" s="214" t="s">
        <v>52</v>
      </c>
      <c r="FV197" s="214" t="s">
        <v>70</v>
      </c>
      <c r="FW197" s="214" t="s">
        <v>530</v>
      </c>
      <c r="FY197" s="321" t="s">
        <v>13185</v>
      </c>
      <c r="FZ197" s="214" t="s">
        <v>34544</v>
      </c>
      <c r="GA197" s="214" t="s">
        <v>70</v>
      </c>
      <c r="GB197" s="214" t="s">
        <v>530</v>
      </c>
      <c r="GD197" s="321" t="s">
        <v>13186</v>
      </c>
      <c r="GE197" s="214" t="s">
        <v>34558</v>
      </c>
      <c r="GF197" s="214" t="s">
        <v>70</v>
      </c>
      <c r="GG197" s="214" t="s">
        <v>530</v>
      </c>
      <c r="GI197" s="321" t="s">
        <v>13187</v>
      </c>
      <c r="GJ197" s="214" t="s">
        <v>34558</v>
      </c>
      <c r="GK197" s="214" t="s">
        <v>70</v>
      </c>
      <c r="GL197" s="214" t="s">
        <v>530</v>
      </c>
      <c r="GN197" s="321" t="s">
        <v>13188</v>
      </c>
      <c r="GO197" s="214" t="s">
        <v>34541</v>
      </c>
      <c r="GP197" s="214" t="s">
        <v>70</v>
      </c>
      <c r="GQ197" s="214" t="s">
        <v>530</v>
      </c>
      <c r="GS197" s="321" t="s">
        <v>13189</v>
      </c>
      <c r="GT197" s="214" t="s">
        <v>34541</v>
      </c>
      <c r="GU197" s="214" t="s">
        <v>70</v>
      </c>
      <c r="GV197" s="214" t="s">
        <v>530</v>
      </c>
      <c r="GX197" s="214" t="s">
        <v>13190</v>
      </c>
      <c r="GY197" s="214" t="s">
        <v>34558</v>
      </c>
      <c r="GZ197" s="214" t="s">
        <v>70</v>
      </c>
      <c r="HA197" s="214" t="s">
        <v>530</v>
      </c>
      <c r="HC197" s="214" t="s">
        <v>13191</v>
      </c>
      <c r="HD197" s="214" t="s">
        <v>90</v>
      </c>
      <c r="HE197" s="214" t="s">
        <v>70</v>
      </c>
      <c r="HF197" s="214" t="s">
        <v>530</v>
      </c>
      <c r="HH197" s="214" t="s">
        <v>13192</v>
      </c>
      <c r="HI197" s="214" t="s">
        <v>955</v>
      </c>
      <c r="HJ197" s="214" t="s">
        <v>70</v>
      </c>
      <c r="HK197" s="214" t="s">
        <v>530</v>
      </c>
      <c r="HM197" s="214" t="s">
        <v>13193</v>
      </c>
      <c r="HN197" s="214" t="s">
        <v>955</v>
      </c>
      <c r="HO197" s="214" t="s">
        <v>70</v>
      </c>
      <c r="HP197" s="214" t="s">
        <v>530</v>
      </c>
      <c r="HR197" s="22" t="s">
        <v>13194</v>
      </c>
      <c r="HS197" s="22" t="s">
        <v>34544</v>
      </c>
      <c r="HT197" s="22" t="s">
        <v>70</v>
      </c>
      <c r="HU197" s="214" t="s">
        <v>530</v>
      </c>
      <c r="HW197" s="22" t="s">
        <v>13195</v>
      </c>
      <c r="HX197" s="22" t="s">
        <v>531</v>
      </c>
      <c r="HY197" s="22" t="s">
        <v>70</v>
      </c>
      <c r="HZ197" s="214" t="s">
        <v>530</v>
      </c>
      <c r="IB197" s="22" t="s">
        <v>13196</v>
      </c>
      <c r="IC197" s="22" t="s">
        <v>145</v>
      </c>
      <c r="ID197" s="22" t="s">
        <v>70</v>
      </c>
      <c r="IE197" s="214" t="s">
        <v>530</v>
      </c>
      <c r="IG197" s="22" t="s">
        <v>13197</v>
      </c>
      <c r="IH197" s="22" t="s">
        <v>914</v>
      </c>
      <c r="II197" s="22" t="s">
        <v>70</v>
      </c>
      <c r="IJ197" s="214" t="s">
        <v>530</v>
      </c>
      <c r="IL197" s="22" t="s">
        <v>13198</v>
      </c>
      <c r="IM197" s="22" t="s">
        <v>145</v>
      </c>
      <c r="IN197" s="22" t="s">
        <v>70</v>
      </c>
      <c r="IO197" s="214" t="s">
        <v>530</v>
      </c>
      <c r="IQ197" s="236" t="s">
        <v>13199</v>
      </c>
      <c r="IR197" s="236" t="s">
        <v>145</v>
      </c>
      <c r="IS197" s="236" t="s">
        <v>74</v>
      </c>
      <c r="IT197" s="236" t="s">
        <v>841</v>
      </c>
      <c r="IV197" s="236" t="s">
        <v>13200</v>
      </c>
      <c r="IW197" s="236" t="s">
        <v>145</v>
      </c>
      <c r="IX197" s="236" t="s">
        <v>74</v>
      </c>
      <c r="IY197" s="236" t="s">
        <v>841</v>
      </c>
      <c r="JA197" s="236" t="s">
        <v>13201</v>
      </c>
      <c r="JB197" s="236" t="s">
        <v>145</v>
      </c>
      <c r="JC197" s="236" t="s">
        <v>74</v>
      </c>
      <c r="JD197" s="236" t="s">
        <v>841</v>
      </c>
      <c r="JF197" s="236" t="s">
        <v>13202</v>
      </c>
      <c r="JG197" s="236" t="s">
        <v>145</v>
      </c>
      <c r="JH197" s="236" t="s">
        <v>74</v>
      </c>
      <c r="JI197" s="236" t="s">
        <v>841</v>
      </c>
      <c r="JK197" s="236" t="s">
        <v>13203</v>
      </c>
      <c r="JL197" s="236" t="s">
        <v>145</v>
      </c>
      <c r="JM197" s="236" t="s">
        <v>74</v>
      </c>
      <c r="JN197" s="236" t="s">
        <v>841</v>
      </c>
      <c r="JP197" s="236" t="s">
        <v>13204</v>
      </c>
      <c r="JQ197" s="236" t="s">
        <v>145</v>
      </c>
      <c r="JR197" s="236" t="s">
        <v>74</v>
      </c>
      <c r="JS197" s="236" t="s">
        <v>841</v>
      </c>
      <c r="JU197" s="294" t="s">
        <v>13205</v>
      </c>
      <c r="JV197" s="294" t="s">
        <v>52</v>
      </c>
      <c r="JW197" s="263" t="s">
        <v>70</v>
      </c>
      <c r="JX197" s="294" t="s">
        <v>1083</v>
      </c>
      <c r="JZ197" s="263" t="s">
        <v>13206</v>
      </c>
      <c r="KA197" s="263" t="s">
        <v>145</v>
      </c>
      <c r="KB197" s="263" t="s">
        <v>70</v>
      </c>
      <c r="KC197" s="263" t="s">
        <v>1083</v>
      </c>
      <c r="KE197" s="263" t="s">
        <v>13207</v>
      </c>
      <c r="KF197" s="263" t="s">
        <v>52</v>
      </c>
      <c r="KG197" s="263" t="s">
        <v>70</v>
      </c>
      <c r="KH197" s="263" t="s">
        <v>1083</v>
      </c>
      <c r="KJ197" s="263" t="s">
        <v>13208</v>
      </c>
      <c r="KK197" s="263" t="s">
        <v>52</v>
      </c>
      <c r="KL197" s="263" t="s">
        <v>74</v>
      </c>
      <c r="KM197" s="263" t="s">
        <v>34074</v>
      </c>
      <c r="KO197" s="214" t="s">
        <v>13209</v>
      </c>
      <c r="KP197" s="214" t="s">
        <v>145</v>
      </c>
      <c r="KQ197" s="214" t="s">
        <v>70</v>
      </c>
      <c r="KR197" s="214" t="s">
        <v>67</v>
      </c>
      <c r="KT197" s="22" t="s">
        <v>13210</v>
      </c>
      <c r="KU197" s="22" t="s">
        <v>145</v>
      </c>
      <c r="KV197" s="22" t="s">
        <v>70</v>
      </c>
      <c r="KW197" s="22" t="s">
        <v>67</v>
      </c>
      <c r="KY197" s="214" t="s">
        <v>13211</v>
      </c>
      <c r="KZ197" s="214" t="s">
        <v>52</v>
      </c>
      <c r="LA197" s="214" t="s">
        <v>74</v>
      </c>
      <c r="LB197" s="214" t="s">
        <v>67</v>
      </c>
      <c r="LD197" s="22" t="s">
        <v>13212</v>
      </c>
      <c r="LE197" s="22" t="s">
        <v>145</v>
      </c>
      <c r="LF197" s="22" t="s">
        <v>70</v>
      </c>
      <c r="LG197" s="22" t="s">
        <v>67</v>
      </c>
    </row>
    <row r="198" spans="1:319">
      <c r="A198" s="22" t="s">
        <v>13213</v>
      </c>
      <c r="B198" s="22" t="s">
        <v>145</v>
      </c>
      <c r="C198" s="22" t="s">
        <v>70</v>
      </c>
      <c r="D198" s="22" t="s">
        <v>67</v>
      </c>
      <c r="F198" s="73" t="s">
        <v>13214</v>
      </c>
      <c r="G198" s="22" t="s">
        <v>145</v>
      </c>
      <c r="H198" s="22" t="s">
        <v>70</v>
      </c>
      <c r="I198" s="22" t="s">
        <v>67</v>
      </c>
      <c r="K198" s="22" t="s">
        <v>13215</v>
      </c>
      <c r="L198" s="22" t="s">
        <v>145</v>
      </c>
      <c r="M198" s="22" t="s">
        <v>70</v>
      </c>
      <c r="N198" s="22" t="s">
        <v>67</v>
      </c>
      <c r="P198" s="22" t="s">
        <v>13216</v>
      </c>
      <c r="Q198" s="22" t="s">
        <v>145</v>
      </c>
      <c r="R198" s="22" t="s">
        <v>70</v>
      </c>
      <c r="S198" s="22" t="s">
        <v>67</v>
      </c>
      <c r="U198" s="293" t="s">
        <v>13217</v>
      </c>
      <c r="V198" s="293" t="s">
        <v>145</v>
      </c>
      <c r="W198" s="293" t="s">
        <v>74</v>
      </c>
      <c r="X198" s="293" t="s">
        <v>656</v>
      </c>
      <c r="Z198" s="293" t="s">
        <v>13218</v>
      </c>
      <c r="AA198" s="293" t="s">
        <v>145</v>
      </c>
      <c r="AB198" s="293" t="s">
        <v>74</v>
      </c>
      <c r="AC198" s="293" t="s">
        <v>656</v>
      </c>
      <c r="AE198" s="293" t="s">
        <v>13219</v>
      </c>
      <c r="AF198" s="293" t="s">
        <v>145</v>
      </c>
      <c r="AG198" s="293" t="s">
        <v>74</v>
      </c>
      <c r="AH198" s="293" t="s">
        <v>656</v>
      </c>
      <c r="AJ198" s="293" t="s">
        <v>13220</v>
      </c>
      <c r="AK198" s="293" t="s">
        <v>145</v>
      </c>
      <c r="AL198" s="293" t="s">
        <v>74</v>
      </c>
      <c r="AM198" s="293" t="s">
        <v>656</v>
      </c>
      <c r="AO198" s="22" t="s">
        <v>13221</v>
      </c>
      <c r="AP198" s="22" t="s">
        <v>145</v>
      </c>
      <c r="AQ198" s="22" t="s">
        <v>70</v>
      </c>
      <c r="AR198" s="22" t="s">
        <v>67</v>
      </c>
      <c r="AT198" s="22" t="s">
        <v>13222</v>
      </c>
      <c r="AU198" s="22" t="s">
        <v>145</v>
      </c>
      <c r="AV198" s="22" t="s">
        <v>70</v>
      </c>
      <c r="AW198" s="22" t="s">
        <v>67</v>
      </c>
      <c r="AY198" s="22" t="s">
        <v>13223</v>
      </c>
      <c r="AZ198" s="22" t="s">
        <v>145</v>
      </c>
      <c r="BA198" s="22" t="s">
        <v>70</v>
      </c>
      <c r="BB198" s="22" t="s">
        <v>67</v>
      </c>
      <c r="BD198" s="22" t="s">
        <v>13224</v>
      </c>
      <c r="BE198" s="22" t="s">
        <v>145</v>
      </c>
      <c r="BF198" s="22" t="s">
        <v>70</v>
      </c>
      <c r="BG198" s="22" t="s">
        <v>67</v>
      </c>
      <c r="BI198" s="22" t="s">
        <v>13225</v>
      </c>
      <c r="BJ198" s="22" t="s">
        <v>145</v>
      </c>
      <c r="BK198" s="22" t="s">
        <v>70</v>
      </c>
      <c r="BL198" s="22" t="s">
        <v>67</v>
      </c>
      <c r="BN198" s="22" t="s">
        <v>13226</v>
      </c>
      <c r="BO198" s="22" t="s">
        <v>145</v>
      </c>
      <c r="BP198" s="22" t="s">
        <v>70</v>
      </c>
      <c r="BQ198" s="22" t="s">
        <v>67</v>
      </c>
      <c r="BS198" s="22" t="s">
        <v>13227</v>
      </c>
      <c r="BT198" s="22" t="s">
        <v>145</v>
      </c>
      <c r="BU198" s="22" t="s">
        <v>70</v>
      </c>
      <c r="BV198" s="214" t="s">
        <v>530</v>
      </c>
      <c r="BX198" s="22" t="s">
        <v>13228</v>
      </c>
      <c r="BY198" s="22" t="s">
        <v>145</v>
      </c>
      <c r="BZ198" s="22" t="s">
        <v>70</v>
      </c>
      <c r="CA198" s="214" t="s">
        <v>530</v>
      </c>
      <c r="CC198" s="214" t="s">
        <v>13229</v>
      </c>
      <c r="CD198" s="218" t="s">
        <v>145</v>
      </c>
      <c r="CE198" s="214" t="s">
        <v>70</v>
      </c>
      <c r="CF198" s="214" t="s">
        <v>558</v>
      </c>
      <c r="CH198" s="214" t="s">
        <v>13230</v>
      </c>
      <c r="CI198" s="214" t="s">
        <v>34594</v>
      </c>
      <c r="CJ198" s="214" t="s">
        <v>70</v>
      </c>
      <c r="CK198" s="214" t="s">
        <v>530</v>
      </c>
      <c r="CM198" s="214" t="s">
        <v>13231</v>
      </c>
      <c r="CN198" s="214" t="s">
        <v>34599</v>
      </c>
      <c r="CO198" s="214" t="s">
        <v>70</v>
      </c>
      <c r="CP198" s="214" t="s">
        <v>530</v>
      </c>
      <c r="CR198" s="214" t="s">
        <v>13232</v>
      </c>
      <c r="CS198" s="214" t="s">
        <v>905</v>
      </c>
      <c r="CT198" s="214" t="s">
        <v>70</v>
      </c>
      <c r="CU198" s="214" t="s">
        <v>530</v>
      </c>
      <c r="CW198" s="214" t="s">
        <v>13233</v>
      </c>
      <c r="CX198" s="214" t="s">
        <v>90</v>
      </c>
      <c r="CY198" s="214" t="s">
        <v>70</v>
      </c>
      <c r="CZ198" s="214" t="s">
        <v>530</v>
      </c>
      <c r="DB198" s="214" t="s">
        <v>13234</v>
      </c>
      <c r="DC198" s="214" t="s">
        <v>468</v>
      </c>
      <c r="DD198" s="214" t="s">
        <v>70</v>
      </c>
      <c r="DE198" s="214" t="s">
        <v>530</v>
      </c>
      <c r="DG198" s="214" t="s">
        <v>13235</v>
      </c>
      <c r="DH198" s="214" t="s">
        <v>148</v>
      </c>
      <c r="DI198" s="214" t="s">
        <v>70</v>
      </c>
      <c r="DJ198" s="214" t="s">
        <v>530</v>
      </c>
      <c r="DL198" s="214" t="s">
        <v>13236</v>
      </c>
      <c r="DM198" s="214" t="s">
        <v>90</v>
      </c>
      <c r="DN198" s="214" t="s">
        <v>70</v>
      </c>
      <c r="DO198" s="214" t="s">
        <v>530</v>
      </c>
      <c r="DQ198" s="214" t="s">
        <v>13237</v>
      </c>
      <c r="DR198" s="214" t="s">
        <v>163</v>
      </c>
      <c r="DS198" s="214" t="s">
        <v>70</v>
      </c>
      <c r="DT198" s="214" t="s">
        <v>530</v>
      </c>
      <c r="DV198" s="214" t="s">
        <v>13238</v>
      </c>
      <c r="DW198" s="214" t="s">
        <v>88</v>
      </c>
      <c r="DX198" s="214" t="s">
        <v>70</v>
      </c>
      <c r="DY198" s="214" t="s">
        <v>530</v>
      </c>
      <c r="EA198" s="214" t="s">
        <v>13239</v>
      </c>
      <c r="EB198" s="214" t="s">
        <v>90</v>
      </c>
      <c r="EC198" s="214" t="s">
        <v>70</v>
      </c>
      <c r="ED198" s="214" t="s">
        <v>530</v>
      </c>
      <c r="EF198" s="214" t="s">
        <v>13240</v>
      </c>
      <c r="EG198" s="214" t="s">
        <v>52</v>
      </c>
      <c r="EH198" s="214" t="s">
        <v>70</v>
      </c>
      <c r="EI198" s="214" t="s">
        <v>530</v>
      </c>
      <c r="EK198" s="214" t="s">
        <v>13241</v>
      </c>
      <c r="EL198" s="214" t="s">
        <v>163</v>
      </c>
      <c r="EM198" s="214" t="s">
        <v>70</v>
      </c>
      <c r="EN198" s="214" t="s">
        <v>530</v>
      </c>
      <c r="EP198" s="214" t="s">
        <v>13242</v>
      </c>
      <c r="EQ198" s="214" t="s">
        <v>52</v>
      </c>
      <c r="ER198" s="214" t="s">
        <v>70</v>
      </c>
      <c r="ES198" s="214" t="s">
        <v>530</v>
      </c>
      <c r="EU198" s="214" t="s">
        <v>13243</v>
      </c>
      <c r="EV198" s="214" t="s">
        <v>305</v>
      </c>
      <c r="EW198" s="214" t="s">
        <v>70</v>
      </c>
      <c r="EX198" s="214" t="s">
        <v>530</v>
      </c>
      <c r="EZ198" s="214" t="s">
        <v>13244</v>
      </c>
      <c r="FA198" s="214" t="s">
        <v>145</v>
      </c>
      <c r="FB198" s="214" t="s">
        <v>70</v>
      </c>
      <c r="FC198" s="214" t="s">
        <v>530</v>
      </c>
      <c r="FE198" s="214" t="s">
        <v>13245</v>
      </c>
      <c r="FF198" s="214" t="s">
        <v>52</v>
      </c>
      <c r="FG198" s="214" t="s">
        <v>70</v>
      </c>
      <c r="FH198" s="214" t="s">
        <v>530</v>
      </c>
      <c r="FJ198" s="321" t="s">
        <v>13246</v>
      </c>
      <c r="FK198" s="214" t="s">
        <v>945</v>
      </c>
      <c r="FL198" s="214" t="s">
        <v>70</v>
      </c>
      <c r="FM198" s="214" t="s">
        <v>530</v>
      </c>
      <c r="FO198" s="321" t="s">
        <v>13247</v>
      </c>
      <c r="FP198" s="214" t="s">
        <v>602</v>
      </c>
      <c r="FQ198" s="214" t="s">
        <v>70</v>
      </c>
      <c r="FR198" s="214" t="s">
        <v>530</v>
      </c>
      <c r="FT198" s="321" t="s">
        <v>13248</v>
      </c>
      <c r="FU198" s="214" t="s">
        <v>52</v>
      </c>
      <c r="FV198" s="214" t="s">
        <v>70</v>
      </c>
      <c r="FW198" s="214" t="s">
        <v>530</v>
      </c>
      <c r="FY198" s="321" t="s">
        <v>13249</v>
      </c>
      <c r="FZ198" s="214" t="s">
        <v>87</v>
      </c>
      <c r="GA198" s="214" t="s">
        <v>70</v>
      </c>
      <c r="GB198" s="214" t="s">
        <v>530</v>
      </c>
      <c r="GD198" s="321" t="s">
        <v>13250</v>
      </c>
      <c r="GE198" s="214" t="s">
        <v>34226</v>
      </c>
      <c r="GF198" s="214" t="s">
        <v>70</v>
      </c>
      <c r="GG198" s="214" t="s">
        <v>530</v>
      </c>
      <c r="GI198" s="321" t="s">
        <v>13251</v>
      </c>
      <c r="GJ198" s="214" t="s">
        <v>483</v>
      </c>
      <c r="GK198" s="214" t="s">
        <v>70</v>
      </c>
      <c r="GL198" s="214" t="s">
        <v>530</v>
      </c>
      <c r="GN198" s="321" t="s">
        <v>13252</v>
      </c>
      <c r="GO198" s="214" t="s">
        <v>485</v>
      </c>
      <c r="GP198" s="214" t="s">
        <v>70</v>
      </c>
      <c r="GQ198" s="214" t="s">
        <v>530</v>
      </c>
      <c r="GS198" s="321" t="s">
        <v>13253</v>
      </c>
      <c r="GT198" s="214" t="s">
        <v>34524</v>
      </c>
      <c r="GU198" s="214" t="s">
        <v>70</v>
      </c>
      <c r="GV198" s="214" t="s">
        <v>530</v>
      </c>
      <c r="GX198" s="214" t="s">
        <v>13254</v>
      </c>
      <c r="GY198" s="214" t="s">
        <v>163</v>
      </c>
      <c r="GZ198" s="214" t="s">
        <v>70</v>
      </c>
      <c r="HA198" s="214" t="s">
        <v>530</v>
      </c>
      <c r="HC198" s="214" t="s">
        <v>13255</v>
      </c>
      <c r="HD198" s="214" t="s">
        <v>52</v>
      </c>
      <c r="HE198" s="214" t="s">
        <v>70</v>
      </c>
      <c r="HF198" s="214" t="s">
        <v>530</v>
      </c>
      <c r="HH198" s="214" t="s">
        <v>13256</v>
      </c>
      <c r="HI198" s="214" t="s">
        <v>145</v>
      </c>
      <c r="HJ198" s="214" t="s">
        <v>70</v>
      </c>
      <c r="HK198" s="214" t="s">
        <v>530</v>
      </c>
      <c r="HM198" s="214" t="s">
        <v>13257</v>
      </c>
      <c r="HN198" s="214" t="s">
        <v>145</v>
      </c>
      <c r="HO198" s="214" t="s">
        <v>70</v>
      </c>
      <c r="HP198" s="214" t="s">
        <v>530</v>
      </c>
      <c r="HR198" s="22" t="s">
        <v>13258</v>
      </c>
      <c r="HS198" s="22" t="s">
        <v>916</v>
      </c>
      <c r="HT198" s="22" t="s">
        <v>70</v>
      </c>
      <c r="HU198" s="214" t="s">
        <v>530</v>
      </c>
      <c r="HW198" s="22" t="s">
        <v>13259</v>
      </c>
      <c r="HX198" s="22" t="s">
        <v>34607</v>
      </c>
      <c r="HY198" s="22" t="s">
        <v>70</v>
      </c>
      <c r="HZ198" s="214" t="s">
        <v>530</v>
      </c>
      <c r="IB198" s="22" t="s">
        <v>13260</v>
      </c>
      <c r="IC198" s="22" t="s">
        <v>497</v>
      </c>
      <c r="ID198" s="22" t="s">
        <v>70</v>
      </c>
      <c r="IE198" s="214" t="s">
        <v>530</v>
      </c>
      <c r="IG198" s="22" t="s">
        <v>13261</v>
      </c>
      <c r="IH198" s="22" t="s">
        <v>34212</v>
      </c>
      <c r="II198" s="22" t="s">
        <v>70</v>
      </c>
      <c r="IJ198" s="214" t="s">
        <v>530</v>
      </c>
      <c r="IL198" s="22" t="s">
        <v>13262</v>
      </c>
      <c r="IM198" s="22" t="s">
        <v>145</v>
      </c>
      <c r="IN198" s="22" t="s">
        <v>70</v>
      </c>
      <c r="IO198" s="214" t="s">
        <v>530</v>
      </c>
      <c r="IQ198" s="236" t="s">
        <v>13263</v>
      </c>
      <c r="IR198" s="236" t="s">
        <v>145</v>
      </c>
      <c r="IS198" s="236" t="s">
        <v>74</v>
      </c>
      <c r="IT198" s="236" t="s">
        <v>841</v>
      </c>
      <c r="IV198" s="236" t="s">
        <v>13264</v>
      </c>
      <c r="IW198" s="236" t="s">
        <v>145</v>
      </c>
      <c r="IX198" s="236" t="s">
        <v>74</v>
      </c>
      <c r="IY198" s="236" t="s">
        <v>841</v>
      </c>
      <c r="JA198" s="236" t="s">
        <v>13265</v>
      </c>
      <c r="JB198" s="236" t="s">
        <v>145</v>
      </c>
      <c r="JC198" s="236" t="s">
        <v>74</v>
      </c>
      <c r="JD198" s="236" t="s">
        <v>841</v>
      </c>
      <c r="JF198" s="236" t="s">
        <v>13266</v>
      </c>
      <c r="JG198" s="236" t="s">
        <v>145</v>
      </c>
      <c r="JH198" s="236" t="s">
        <v>74</v>
      </c>
      <c r="JI198" s="236" t="s">
        <v>841</v>
      </c>
      <c r="JK198" s="236" t="s">
        <v>13267</v>
      </c>
      <c r="JL198" s="236" t="s">
        <v>145</v>
      </c>
      <c r="JM198" s="236" t="s">
        <v>74</v>
      </c>
      <c r="JN198" s="236" t="s">
        <v>841</v>
      </c>
      <c r="JP198" s="236" t="s">
        <v>13268</v>
      </c>
      <c r="JQ198" s="236" t="s">
        <v>145</v>
      </c>
      <c r="JR198" s="236" t="s">
        <v>74</v>
      </c>
      <c r="JS198" s="236" t="s">
        <v>841</v>
      </c>
      <c r="JU198" s="294" t="s">
        <v>13269</v>
      </c>
      <c r="JV198" s="294" t="s">
        <v>52</v>
      </c>
      <c r="JW198" s="263" t="s">
        <v>70</v>
      </c>
      <c r="JX198" s="294" t="s">
        <v>1083</v>
      </c>
      <c r="JZ198" s="263" t="s">
        <v>13270</v>
      </c>
      <c r="KA198" s="263" t="s">
        <v>145</v>
      </c>
      <c r="KB198" s="263" t="s">
        <v>70</v>
      </c>
      <c r="KC198" s="263" t="s">
        <v>1083</v>
      </c>
      <c r="KE198" s="263" t="s">
        <v>13271</v>
      </c>
      <c r="KF198" s="263" t="s">
        <v>52</v>
      </c>
      <c r="KG198" s="263" t="s">
        <v>70</v>
      </c>
      <c r="KH198" s="263" t="s">
        <v>1083</v>
      </c>
      <c r="KJ198" s="263" t="s">
        <v>13272</v>
      </c>
      <c r="KK198" s="263" t="s">
        <v>52</v>
      </c>
      <c r="KL198" s="263" t="s">
        <v>74</v>
      </c>
      <c r="KM198" s="263" t="s">
        <v>34074</v>
      </c>
      <c r="KO198" s="214" t="s">
        <v>13273</v>
      </c>
      <c r="KP198" s="214" t="s">
        <v>145</v>
      </c>
      <c r="KQ198" s="214" t="s">
        <v>70</v>
      </c>
      <c r="KR198" s="214" t="s">
        <v>67</v>
      </c>
      <c r="KT198" s="22" t="s">
        <v>13274</v>
      </c>
      <c r="KU198" s="22" t="s">
        <v>145</v>
      </c>
      <c r="KV198" s="22" t="s">
        <v>70</v>
      </c>
      <c r="KW198" s="22" t="s">
        <v>67</v>
      </c>
      <c r="KY198" s="214" t="s">
        <v>13275</v>
      </c>
      <c r="KZ198" s="214" t="s">
        <v>52</v>
      </c>
      <c r="LA198" s="214" t="s">
        <v>74</v>
      </c>
      <c r="LB198" s="214" t="s">
        <v>67</v>
      </c>
      <c r="LD198" s="22" t="s">
        <v>13276</v>
      </c>
      <c r="LE198" s="22" t="s">
        <v>145</v>
      </c>
      <c r="LF198" s="22" t="s">
        <v>70</v>
      </c>
      <c r="LG198" s="22" t="s">
        <v>67</v>
      </c>
    </row>
    <row r="199" spans="1:319">
      <c r="A199" s="22" t="s">
        <v>13277</v>
      </c>
      <c r="B199" s="22" t="s">
        <v>145</v>
      </c>
      <c r="C199" s="22" t="s">
        <v>70</v>
      </c>
      <c r="D199" s="22" t="s">
        <v>67</v>
      </c>
      <c r="F199" s="73" t="s">
        <v>13278</v>
      </c>
      <c r="G199" s="22" t="s">
        <v>145</v>
      </c>
      <c r="H199" s="22" t="s">
        <v>70</v>
      </c>
      <c r="I199" s="22" t="s">
        <v>67</v>
      </c>
      <c r="K199" s="22" t="s">
        <v>13279</v>
      </c>
      <c r="L199" s="22" t="s">
        <v>145</v>
      </c>
      <c r="M199" s="22" t="s">
        <v>70</v>
      </c>
      <c r="N199" s="22" t="s">
        <v>67</v>
      </c>
      <c r="P199" s="22" t="s">
        <v>13280</v>
      </c>
      <c r="Q199" s="22" t="s">
        <v>145</v>
      </c>
      <c r="R199" s="22" t="s">
        <v>70</v>
      </c>
      <c r="S199" s="22" t="s">
        <v>67</v>
      </c>
      <c r="U199" s="293" t="s">
        <v>13281</v>
      </c>
      <c r="V199" s="293" t="s">
        <v>145</v>
      </c>
      <c r="W199" s="293" t="s">
        <v>74</v>
      </c>
      <c r="X199" s="293" t="s">
        <v>656</v>
      </c>
      <c r="Z199" s="293" t="s">
        <v>13282</v>
      </c>
      <c r="AA199" s="293" t="s">
        <v>145</v>
      </c>
      <c r="AB199" s="293" t="s">
        <v>74</v>
      </c>
      <c r="AC199" s="293" t="s">
        <v>656</v>
      </c>
      <c r="AE199" s="293" t="s">
        <v>13283</v>
      </c>
      <c r="AF199" s="293" t="s">
        <v>145</v>
      </c>
      <c r="AG199" s="293" t="s">
        <v>74</v>
      </c>
      <c r="AH199" s="293" t="s">
        <v>656</v>
      </c>
      <c r="AJ199" s="293" t="s">
        <v>13284</v>
      </c>
      <c r="AK199" s="293" t="s">
        <v>145</v>
      </c>
      <c r="AL199" s="293" t="s">
        <v>74</v>
      </c>
      <c r="AM199" s="293" t="s">
        <v>656</v>
      </c>
      <c r="AO199" s="22" t="s">
        <v>13285</v>
      </c>
      <c r="AP199" s="22" t="s">
        <v>145</v>
      </c>
      <c r="AQ199" s="22" t="s">
        <v>70</v>
      </c>
      <c r="AR199" s="22" t="s">
        <v>67</v>
      </c>
      <c r="AT199" s="22" t="s">
        <v>13286</v>
      </c>
      <c r="AU199" s="22" t="s">
        <v>145</v>
      </c>
      <c r="AV199" s="22" t="s">
        <v>70</v>
      </c>
      <c r="AW199" s="22" t="s">
        <v>67</v>
      </c>
      <c r="AY199" s="22" t="s">
        <v>13287</v>
      </c>
      <c r="AZ199" s="22" t="s">
        <v>145</v>
      </c>
      <c r="BA199" s="22" t="s">
        <v>70</v>
      </c>
      <c r="BB199" s="22" t="s">
        <v>67</v>
      </c>
      <c r="BD199" s="22" t="s">
        <v>13288</v>
      </c>
      <c r="BE199" s="22" t="s">
        <v>145</v>
      </c>
      <c r="BF199" s="22" t="s">
        <v>70</v>
      </c>
      <c r="BG199" s="22" t="s">
        <v>67</v>
      </c>
      <c r="BI199" s="22" t="s">
        <v>13289</v>
      </c>
      <c r="BJ199" s="22" t="s">
        <v>145</v>
      </c>
      <c r="BK199" s="22" t="s">
        <v>70</v>
      </c>
      <c r="BL199" s="22" t="s">
        <v>67</v>
      </c>
      <c r="BN199" s="22" t="s">
        <v>13290</v>
      </c>
      <c r="BO199" s="22" t="s">
        <v>145</v>
      </c>
      <c r="BP199" s="22" t="s">
        <v>70</v>
      </c>
      <c r="BQ199" s="22" t="s">
        <v>67</v>
      </c>
      <c r="BS199" s="22" t="s">
        <v>13291</v>
      </c>
      <c r="BT199" s="22" t="s">
        <v>145</v>
      </c>
      <c r="BU199" s="22" t="s">
        <v>70</v>
      </c>
      <c r="BV199" s="214" t="s">
        <v>530</v>
      </c>
      <c r="BX199" s="22" t="s">
        <v>13292</v>
      </c>
      <c r="BY199" s="22" t="s">
        <v>145</v>
      </c>
      <c r="BZ199" s="22" t="s">
        <v>70</v>
      </c>
      <c r="CA199" s="214" t="s">
        <v>530</v>
      </c>
      <c r="CC199" s="214" t="s">
        <v>13293</v>
      </c>
      <c r="CD199" s="218" t="s">
        <v>145</v>
      </c>
      <c r="CE199" s="214" t="s">
        <v>70</v>
      </c>
      <c r="CF199" s="214" t="s">
        <v>559</v>
      </c>
      <c r="CH199" s="214" t="s">
        <v>13294</v>
      </c>
      <c r="CI199" s="214" t="s">
        <v>490</v>
      </c>
      <c r="CJ199" s="214" t="s">
        <v>70</v>
      </c>
      <c r="CK199" s="214" t="s">
        <v>530</v>
      </c>
      <c r="CM199" s="214" t="s">
        <v>13295</v>
      </c>
      <c r="CN199" s="214" t="s">
        <v>93</v>
      </c>
      <c r="CO199" s="214" t="s">
        <v>70</v>
      </c>
      <c r="CP199" s="214" t="s">
        <v>530</v>
      </c>
      <c r="CR199" s="214" t="s">
        <v>13296</v>
      </c>
      <c r="CS199" s="214" t="s">
        <v>497</v>
      </c>
      <c r="CT199" s="214" t="s">
        <v>70</v>
      </c>
      <c r="CU199" s="214" t="s">
        <v>530</v>
      </c>
      <c r="CW199" s="214" t="s">
        <v>13297</v>
      </c>
      <c r="CX199" s="214" t="s">
        <v>468</v>
      </c>
      <c r="CY199" s="214" t="s">
        <v>70</v>
      </c>
      <c r="CZ199" s="214" t="s">
        <v>530</v>
      </c>
      <c r="DB199" s="214" t="s">
        <v>13298</v>
      </c>
      <c r="DC199" s="214" t="s">
        <v>484</v>
      </c>
      <c r="DD199" s="214" t="s">
        <v>70</v>
      </c>
      <c r="DE199" s="214" t="s">
        <v>530</v>
      </c>
      <c r="DG199" s="214" t="s">
        <v>13299</v>
      </c>
      <c r="DH199" s="214" t="s">
        <v>486</v>
      </c>
      <c r="DI199" s="214" t="s">
        <v>70</v>
      </c>
      <c r="DJ199" s="214" t="s">
        <v>530</v>
      </c>
      <c r="DL199" s="214" t="s">
        <v>13300</v>
      </c>
      <c r="DM199" s="214" t="s">
        <v>34567</v>
      </c>
      <c r="DN199" s="214" t="s">
        <v>70</v>
      </c>
      <c r="DO199" s="214" t="s">
        <v>530</v>
      </c>
      <c r="DQ199" s="214" t="s">
        <v>13301</v>
      </c>
      <c r="DR199" s="214" t="s">
        <v>486</v>
      </c>
      <c r="DS199" s="214" t="s">
        <v>70</v>
      </c>
      <c r="DT199" s="214" t="s">
        <v>530</v>
      </c>
      <c r="DV199" s="214" t="s">
        <v>13302</v>
      </c>
      <c r="DW199" s="214" t="s">
        <v>146</v>
      </c>
      <c r="DX199" s="214" t="s">
        <v>70</v>
      </c>
      <c r="DY199" s="214" t="s">
        <v>530</v>
      </c>
      <c r="EA199" s="214" t="s">
        <v>13303</v>
      </c>
      <c r="EB199" s="214" t="s">
        <v>599</v>
      </c>
      <c r="EC199" s="214" t="s">
        <v>70</v>
      </c>
      <c r="ED199" s="214" t="s">
        <v>530</v>
      </c>
      <c r="EF199" s="214" t="s">
        <v>13304</v>
      </c>
      <c r="EG199" s="214" t="s">
        <v>149</v>
      </c>
      <c r="EH199" s="214" t="s">
        <v>70</v>
      </c>
      <c r="EI199" s="214" t="s">
        <v>530</v>
      </c>
      <c r="EK199" s="214" t="s">
        <v>13305</v>
      </c>
      <c r="EL199" s="214" t="s">
        <v>956</v>
      </c>
      <c r="EM199" s="214" t="s">
        <v>70</v>
      </c>
      <c r="EN199" s="214" t="s">
        <v>530</v>
      </c>
      <c r="EP199" s="214" t="s">
        <v>13306</v>
      </c>
      <c r="EQ199" s="214" t="s">
        <v>52</v>
      </c>
      <c r="ER199" s="214" t="s">
        <v>70</v>
      </c>
      <c r="ES199" s="214" t="s">
        <v>530</v>
      </c>
      <c r="EU199" s="214" t="s">
        <v>13307</v>
      </c>
      <c r="EV199" s="214" t="s">
        <v>938</v>
      </c>
      <c r="EW199" s="214" t="s">
        <v>70</v>
      </c>
      <c r="EX199" s="214" t="s">
        <v>530</v>
      </c>
      <c r="EZ199" s="214" t="s">
        <v>13308</v>
      </c>
      <c r="FA199" s="214" t="s">
        <v>34541</v>
      </c>
      <c r="FB199" s="214" t="s">
        <v>70</v>
      </c>
      <c r="FC199" s="214" t="s">
        <v>530</v>
      </c>
      <c r="FE199" s="214" t="s">
        <v>13309</v>
      </c>
      <c r="FF199" s="214" t="s">
        <v>203</v>
      </c>
      <c r="FG199" s="214" t="s">
        <v>70</v>
      </c>
      <c r="FH199" s="214" t="s">
        <v>530</v>
      </c>
      <c r="FJ199" s="321" t="s">
        <v>13310</v>
      </c>
      <c r="FK199" s="214" t="s">
        <v>501</v>
      </c>
      <c r="FL199" s="214" t="s">
        <v>70</v>
      </c>
      <c r="FM199" s="214" t="s">
        <v>530</v>
      </c>
      <c r="FO199" s="321" t="s">
        <v>13311</v>
      </c>
      <c r="FP199" s="214" t="s">
        <v>503</v>
      </c>
      <c r="FQ199" s="214" t="s">
        <v>70</v>
      </c>
      <c r="FR199" s="214" t="s">
        <v>530</v>
      </c>
      <c r="FT199" s="321" t="s">
        <v>13312</v>
      </c>
      <c r="FU199" s="214" t="s">
        <v>203</v>
      </c>
      <c r="FV199" s="214" t="s">
        <v>70</v>
      </c>
      <c r="FW199" s="214" t="s">
        <v>530</v>
      </c>
      <c r="FY199" s="321" t="s">
        <v>13313</v>
      </c>
      <c r="FZ199" s="214" t="s">
        <v>206</v>
      </c>
      <c r="GA199" s="214" t="s">
        <v>70</v>
      </c>
      <c r="GB199" s="214" t="s">
        <v>530</v>
      </c>
      <c r="GD199" s="321" t="s">
        <v>13314</v>
      </c>
      <c r="GE199" s="214" t="s">
        <v>921</v>
      </c>
      <c r="GF199" s="214" t="s">
        <v>70</v>
      </c>
      <c r="GG199" s="214" t="s">
        <v>530</v>
      </c>
      <c r="GI199" s="321" t="s">
        <v>13315</v>
      </c>
      <c r="GJ199" s="214" t="s">
        <v>598</v>
      </c>
      <c r="GK199" s="214" t="s">
        <v>70</v>
      </c>
      <c r="GL199" s="214" t="s">
        <v>530</v>
      </c>
      <c r="GN199" s="321" t="s">
        <v>13316</v>
      </c>
      <c r="GO199" s="214" t="s">
        <v>34545</v>
      </c>
      <c r="GP199" s="214" t="s">
        <v>70</v>
      </c>
      <c r="GQ199" s="214" t="s">
        <v>530</v>
      </c>
      <c r="GS199" s="321" t="s">
        <v>13317</v>
      </c>
      <c r="GT199" s="214" t="s">
        <v>34552</v>
      </c>
      <c r="GU199" s="214" t="s">
        <v>70</v>
      </c>
      <c r="GV199" s="214" t="s">
        <v>530</v>
      </c>
      <c r="GX199" s="214" t="s">
        <v>13318</v>
      </c>
      <c r="GY199" s="214" t="s">
        <v>34592</v>
      </c>
      <c r="GZ199" s="214" t="s">
        <v>70</v>
      </c>
      <c r="HA199" s="214" t="s">
        <v>530</v>
      </c>
      <c r="HC199" s="214" t="s">
        <v>13319</v>
      </c>
      <c r="HD199" s="214" t="s">
        <v>52</v>
      </c>
      <c r="HE199" s="214" t="s">
        <v>70</v>
      </c>
      <c r="HF199" s="214" t="s">
        <v>530</v>
      </c>
      <c r="HH199" s="214" t="s">
        <v>13320</v>
      </c>
      <c r="HI199" s="214" t="s">
        <v>34541</v>
      </c>
      <c r="HJ199" s="214" t="s">
        <v>70</v>
      </c>
      <c r="HK199" s="214" t="s">
        <v>530</v>
      </c>
      <c r="HM199" s="214" t="s">
        <v>13321</v>
      </c>
      <c r="HN199" s="214" t="s">
        <v>34541</v>
      </c>
      <c r="HO199" s="214" t="s">
        <v>70</v>
      </c>
      <c r="HP199" s="214" t="s">
        <v>530</v>
      </c>
      <c r="HR199" s="22" t="s">
        <v>13322</v>
      </c>
      <c r="HS199" s="22" t="s">
        <v>52</v>
      </c>
      <c r="HT199" s="22" t="s">
        <v>70</v>
      </c>
      <c r="HU199" s="214" t="s">
        <v>530</v>
      </c>
      <c r="HW199" s="22" t="s">
        <v>13323</v>
      </c>
      <c r="HX199" s="22" t="s">
        <v>34547</v>
      </c>
      <c r="HY199" s="22" t="s">
        <v>70</v>
      </c>
      <c r="HZ199" s="214" t="s">
        <v>530</v>
      </c>
      <c r="IB199" s="22" t="s">
        <v>13324</v>
      </c>
      <c r="IC199" s="22" t="s">
        <v>798</v>
      </c>
      <c r="ID199" s="22" t="s">
        <v>70</v>
      </c>
      <c r="IE199" s="214" t="s">
        <v>530</v>
      </c>
      <c r="IG199" s="22" t="s">
        <v>13325</v>
      </c>
      <c r="IH199" s="22" t="s">
        <v>912</v>
      </c>
      <c r="II199" s="22" t="s">
        <v>70</v>
      </c>
      <c r="IJ199" s="214" t="s">
        <v>530</v>
      </c>
      <c r="IL199" s="22" t="s">
        <v>13326</v>
      </c>
      <c r="IM199" s="22" t="s">
        <v>145</v>
      </c>
      <c r="IN199" s="22" t="s">
        <v>70</v>
      </c>
      <c r="IO199" s="214" t="s">
        <v>530</v>
      </c>
      <c r="IQ199" s="236" t="s">
        <v>13327</v>
      </c>
      <c r="IR199" s="236" t="s">
        <v>145</v>
      </c>
      <c r="IS199" s="236" t="s">
        <v>74</v>
      </c>
      <c r="IT199" s="236" t="s">
        <v>841</v>
      </c>
      <c r="IV199" s="236" t="s">
        <v>13328</v>
      </c>
      <c r="IW199" s="236" t="s">
        <v>145</v>
      </c>
      <c r="IX199" s="236" t="s">
        <v>74</v>
      </c>
      <c r="IY199" s="236" t="s">
        <v>841</v>
      </c>
      <c r="JA199" s="236" t="s">
        <v>13329</v>
      </c>
      <c r="JB199" s="236" t="s">
        <v>145</v>
      </c>
      <c r="JC199" s="236" t="s">
        <v>74</v>
      </c>
      <c r="JD199" s="236" t="s">
        <v>841</v>
      </c>
      <c r="JF199" s="236" t="s">
        <v>13330</v>
      </c>
      <c r="JG199" s="236" t="s">
        <v>145</v>
      </c>
      <c r="JH199" s="236" t="s">
        <v>74</v>
      </c>
      <c r="JI199" s="236" t="s">
        <v>841</v>
      </c>
      <c r="JK199" s="236" t="s">
        <v>13331</v>
      </c>
      <c r="JL199" s="236" t="s">
        <v>145</v>
      </c>
      <c r="JM199" s="236" t="s">
        <v>74</v>
      </c>
      <c r="JN199" s="236" t="s">
        <v>841</v>
      </c>
      <c r="JP199" s="236" t="s">
        <v>13332</v>
      </c>
      <c r="JQ199" s="236" t="s">
        <v>145</v>
      </c>
      <c r="JR199" s="236" t="s">
        <v>74</v>
      </c>
      <c r="JS199" s="236" t="s">
        <v>841</v>
      </c>
      <c r="JU199" s="294" t="s">
        <v>13333</v>
      </c>
      <c r="JV199" s="294" t="s">
        <v>52</v>
      </c>
      <c r="JW199" s="263" t="s">
        <v>70</v>
      </c>
      <c r="JX199" s="294" t="s">
        <v>1083</v>
      </c>
      <c r="JZ199" s="263" t="s">
        <v>13334</v>
      </c>
      <c r="KA199" s="263" t="s">
        <v>145</v>
      </c>
      <c r="KB199" s="263" t="s">
        <v>70</v>
      </c>
      <c r="KC199" s="263" t="s">
        <v>1083</v>
      </c>
      <c r="KE199" s="263" t="s">
        <v>13335</v>
      </c>
      <c r="KF199" s="263" t="s">
        <v>52</v>
      </c>
      <c r="KG199" s="263" t="s">
        <v>70</v>
      </c>
      <c r="KH199" s="263" t="s">
        <v>1083</v>
      </c>
      <c r="KJ199" s="263" t="s">
        <v>13336</v>
      </c>
      <c r="KK199" s="263" t="s">
        <v>52</v>
      </c>
      <c r="KL199" s="263" t="s">
        <v>74</v>
      </c>
      <c r="KM199" s="263" t="s">
        <v>34074</v>
      </c>
      <c r="KO199" s="214" t="s">
        <v>13337</v>
      </c>
      <c r="KP199" s="214" t="s">
        <v>145</v>
      </c>
      <c r="KQ199" s="214" t="s">
        <v>70</v>
      </c>
      <c r="KR199" s="214" t="s">
        <v>67</v>
      </c>
      <c r="KT199" s="22" t="s">
        <v>13338</v>
      </c>
      <c r="KU199" s="22" t="s">
        <v>145</v>
      </c>
      <c r="KV199" s="22" t="s">
        <v>70</v>
      </c>
      <c r="KW199" s="22" t="s">
        <v>67</v>
      </c>
      <c r="KY199" s="214" t="s">
        <v>13339</v>
      </c>
      <c r="KZ199" s="214" t="s">
        <v>52</v>
      </c>
      <c r="LA199" s="214" t="s">
        <v>74</v>
      </c>
      <c r="LB199" s="214" t="s">
        <v>67</v>
      </c>
      <c r="LD199" s="22" t="s">
        <v>13340</v>
      </c>
      <c r="LE199" s="22" t="s">
        <v>145</v>
      </c>
      <c r="LF199" s="22" t="s">
        <v>70</v>
      </c>
      <c r="LG199" s="22" t="s">
        <v>67</v>
      </c>
    </row>
    <row r="200" spans="1:319">
      <c r="A200" s="22" t="s">
        <v>13341</v>
      </c>
      <c r="B200" s="22" t="s">
        <v>145</v>
      </c>
      <c r="C200" s="22" t="s">
        <v>70</v>
      </c>
      <c r="D200" s="22" t="s">
        <v>67</v>
      </c>
      <c r="F200" s="73" t="s">
        <v>13342</v>
      </c>
      <c r="G200" s="22" t="s">
        <v>145</v>
      </c>
      <c r="H200" s="22" t="s">
        <v>70</v>
      </c>
      <c r="I200" s="22" t="s">
        <v>67</v>
      </c>
      <c r="K200" s="22" t="s">
        <v>13343</v>
      </c>
      <c r="L200" s="22" t="s">
        <v>145</v>
      </c>
      <c r="M200" s="22" t="s">
        <v>70</v>
      </c>
      <c r="N200" s="22" t="s">
        <v>67</v>
      </c>
      <c r="P200" s="22" t="s">
        <v>13344</v>
      </c>
      <c r="Q200" s="22" t="s">
        <v>145</v>
      </c>
      <c r="R200" s="22" t="s">
        <v>70</v>
      </c>
      <c r="S200" s="22" t="s">
        <v>67</v>
      </c>
      <c r="U200" s="293" t="s">
        <v>13345</v>
      </c>
      <c r="V200" s="293" t="s">
        <v>145</v>
      </c>
      <c r="W200" s="293" t="s">
        <v>74</v>
      </c>
      <c r="X200" s="293" t="s">
        <v>656</v>
      </c>
      <c r="Z200" s="293" t="s">
        <v>13346</v>
      </c>
      <c r="AA200" s="293" t="s">
        <v>145</v>
      </c>
      <c r="AB200" s="293" t="s">
        <v>74</v>
      </c>
      <c r="AC200" s="293" t="s">
        <v>656</v>
      </c>
      <c r="AE200" s="293" t="s">
        <v>13347</v>
      </c>
      <c r="AF200" s="293" t="s">
        <v>145</v>
      </c>
      <c r="AG200" s="293" t="s">
        <v>74</v>
      </c>
      <c r="AH200" s="293" t="s">
        <v>656</v>
      </c>
      <c r="AJ200" s="293" t="s">
        <v>13348</v>
      </c>
      <c r="AK200" s="293" t="s">
        <v>145</v>
      </c>
      <c r="AL200" s="293" t="s">
        <v>74</v>
      </c>
      <c r="AM200" s="293" t="s">
        <v>656</v>
      </c>
      <c r="AO200" s="22" t="s">
        <v>13349</v>
      </c>
      <c r="AP200" s="22" t="s">
        <v>145</v>
      </c>
      <c r="AQ200" s="22" t="s">
        <v>70</v>
      </c>
      <c r="AR200" s="22" t="s">
        <v>67</v>
      </c>
      <c r="AT200" s="22" t="s">
        <v>13350</v>
      </c>
      <c r="AU200" s="22" t="s">
        <v>145</v>
      </c>
      <c r="AV200" s="22" t="s">
        <v>70</v>
      </c>
      <c r="AW200" s="22" t="s">
        <v>67</v>
      </c>
      <c r="AY200" s="22" t="s">
        <v>13351</v>
      </c>
      <c r="AZ200" s="22" t="s">
        <v>145</v>
      </c>
      <c r="BA200" s="22" t="s">
        <v>70</v>
      </c>
      <c r="BB200" s="22" t="s">
        <v>67</v>
      </c>
      <c r="BD200" s="22" t="s">
        <v>13352</v>
      </c>
      <c r="BE200" s="22" t="s">
        <v>145</v>
      </c>
      <c r="BF200" s="22" t="s">
        <v>70</v>
      </c>
      <c r="BG200" s="22" t="s">
        <v>67</v>
      </c>
      <c r="BI200" s="22" t="s">
        <v>13353</v>
      </c>
      <c r="BJ200" s="22" t="s">
        <v>145</v>
      </c>
      <c r="BK200" s="22" t="s">
        <v>70</v>
      </c>
      <c r="BL200" s="22" t="s">
        <v>67</v>
      </c>
      <c r="BN200" s="22" t="s">
        <v>13354</v>
      </c>
      <c r="BO200" s="22" t="s">
        <v>145</v>
      </c>
      <c r="BP200" s="22" t="s">
        <v>70</v>
      </c>
      <c r="BQ200" s="22" t="s">
        <v>67</v>
      </c>
      <c r="BS200" s="22" t="s">
        <v>13355</v>
      </c>
      <c r="BT200" s="22" t="s">
        <v>145</v>
      </c>
      <c r="BU200" s="22" t="s">
        <v>70</v>
      </c>
      <c r="BV200" s="214" t="s">
        <v>530</v>
      </c>
      <c r="BX200" s="22" t="s">
        <v>13356</v>
      </c>
      <c r="BY200" s="22" t="s">
        <v>145</v>
      </c>
      <c r="BZ200" s="22" t="s">
        <v>70</v>
      </c>
      <c r="CA200" s="214" t="s">
        <v>530</v>
      </c>
      <c r="CC200" s="214" t="s">
        <v>13357</v>
      </c>
      <c r="CD200" s="218" t="s">
        <v>145</v>
      </c>
      <c r="CE200" s="214" t="s">
        <v>70</v>
      </c>
      <c r="CF200" s="214" t="s">
        <v>560</v>
      </c>
      <c r="CH200" s="214" t="s">
        <v>13358</v>
      </c>
      <c r="CI200" s="214" t="s">
        <v>52</v>
      </c>
      <c r="CJ200" s="214" t="s">
        <v>70</v>
      </c>
      <c r="CK200" s="214" t="s">
        <v>530</v>
      </c>
      <c r="CM200" s="214" t="s">
        <v>13359</v>
      </c>
      <c r="CN200" s="214" t="s">
        <v>34516</v>
      </c>
      <c r="CO200" s="214" t="s">
        <v>70</v>
      </c>
      <c r="CP200" s="214" t="s">
        <v>530</v>
      </c>
      <c r="CR200" s="214" t="s">
        <v>13360</v>
      </c>
      <c r="CS200" s="214" t="s">
        <v>34626</v>
      </c>
      <c r="CT200" s="214" t="s">
        <v>70</v>
      </c>
      <c r="CU200" s="214" t="s">
        <v>530</v>
      </c>
      <c r="CW200" s="214" t="s">
        <v>13361</v>
      </c>
      <c r="CX200" s="214" t="s">
        <v>52</v>
      </c>
      <c r="CY200" s="214" t="s">
        <v>70</v>
      </c>
      <c r="CZ200" s="214" t="s">
        <v>530</v>
      </c>
      <c r="DB200" s="214" t="s">
        <v>13362</v>
      </c>
      <c r="DC200" s="214" t="s">
        <v>485</v>
      </c>
      <c r="DD200" s="214" t="s">
        <v>70</v>
      </c>
      <c r="DE200" s="214" t="s">
        <v>530</v>
      </c>
      <c r="DG200" s="214" t="s">
        <v>13363</v>
      </c>
      <c r="DH200" s="214" t="s">
        <v>912</v>
      </c>
      <c r="DI200" s="214" t="s">
        <v>70</v>
      </c>
      <c r="DJ200" s="214" t="s">
        <v>530</v>
      </c>
      <c r="DL200" s="214" t="s">
        <v>13364</v>
      </c>
      <c r="DM200" s="214" t="s">
        <v>481</v>
      </c>
      <c r="DN200" s="214" t="s">
        <v>70</v>
      </c>
      <c r="DO200" s="214" t="s">
        <v>530</v>
      </c>
      <c r="DQ200" s="214" t="s">
        <v>13365</v>
      </c>
      <c r="DR200" s="214" t="s">
        <v>34623</v>
      </c>
      <c r="DS200" s="214" t="s">
        <v>70</v>
      </c>
      <c r="DT200" s="214" t="s">
        <v>530</v>
      </c>
      <c r="DV200" s="214" t="s">
        <v>13366</v>
      </c>
      <c r="DW200" s="214" t="s">
        <v>34574</v>
      </c>
      <c r="DX200" s="214" t="s">
        <v>70</v>
      </c>
      <c r="DY200" s="214" t="s">
        <v>530</v>
      </c>
      <c r="EA200" s="214" t="s">
        <v>13367</v>
      </c>
      <c r="EB200" s="214" t="s">
        <v>642</v>
      </c>
      <c r="EC200" s="214" t="s">
        <v>70</v>
      </c>
      <c r="ED200" s="214" t="s">
        <v>530</v>
      </c>
      <c r="EF200" s="214" t="s">
        <v>13368</v>
      </c>
      <c r="EG200" s="214" t="s">
        <v>92</v>
      </c>
      <c r="EH200" s="214" t="s">
        <v>70</v>
      </c>
      <c r="EI200" s="214" t="s">
        <v>530</v>
      </c>
      <c r="EK200" s="214" t="s">
        <v>13369</v>
      </c>
      <c r="EL200" s="214" t="s">
        <v>145</v>
      </c>
      <c r="EM200" s="214" t="s">
        <v>70</v>
      </c>
      <c r="EN200" s="214" t="s">
        <v>530</v>
      </c>
      <c r="EP200" s="214" t="s">
        <v>13370</v>
      </c>
      <c r="EQ200" s="214" t="s">
        <v>945</v>
      </c>
      <c r="ER200" s="214" t="s">
        <v>70</v>
      </c>
      <c r="ES200" s="214" t="s">
        <v>530</v>
      </c>
      <c r="EU200" s="214" t="s">
        <v>13371</v>
      </c>
      <c r="EV200" s="214" t="s">
        <v>498</v>
      </c>
      <c r="EW200" s="214" t="s">
        <v>70</v>
      </c>
      <c r="EX200" s="214" t="s">
        <v>530</v>
      </c>
      <c r="EZ200" s="214" t="s">
        <v>13372</v>
      </c>
      <c r="FA200" s="214" t="s">
        <v>34543</v>
      </c>
      <c r="FB200" s="214" t="s">
        <v>70</v>
      </c>
      <c r="FC200" s="214" t="s">
        <v>530</v>
      </c>
      <c r="FE200" s="214" t="s">
        <v>13373</v>
      </c>
      <c r="FF200" s="214" t="s">
        <v>87</v>
      </c>
      <c r="FG200" s="214" t="s">
        <v>70</v>
      </c>
      <c r="FH200" s="214" t="s">
        <v>530</v>
      </c>
      <c r="FJ200" s="321" t="s">
        <v>13374</v>
      </c>
      <c r="FK200" s="214" t="s">
        <v>164</v>
      </c>
      <c r="FL200" s="214" t="s">
        <v>70</v>
      </c>
      <c r="FM200" s="214" t="s">
        <v>530</v>
      </c>
      <c r="FO200" s="321" t="s">
        <v>13375</v>
      </c>
      <c r="FP200" s="214" t="s">
        <v>34595</v>
      </c>
      <c r="FQ200" s="214" t="s">
        <v>70</v>
      </c>
      <c r="FR200" s="214" t="s">
        <v>530</v>
      </c>
      <c r="FT200" s="321" t="s">
        <v>13376</v>
      </c>
      <c r="FU200" s="214" t="s">
        <v>34639</v>
      </c>
      <c r="FV200" s="214" t="s">
        <v>70</v>
      </c>
      <c r="FW200" s="214" t="s">
        <v>530</v>
      </c>
      <c r="FY200" s="321" t="s">
        <v>13377</v>
      </c>
      <c r="FZ200" s="214" t="s">
        <v>929</v>
      </c>
      <c r="GA200" s="214" t="s">
        <v>70</v>
      </c>
      <c r="GB200" s="214" t="s">
        <v>530</v>
      </c>
      <c r="GD200" s="321" t="s">
        <v>13378</v>
      </c>
      <c r="GE200" s="214" t="s">
        <v>164</v>
      </c>
      <c r="GF200" s="214" t="s">
        <v>70</v>
      </c>
      <c r="GG200" s="214" t="s">
        <v>530</v>
      </c>
      <c r="GI200" s="321" t="s">
        <v>13379</v>
      </c>
      <c r="GJ200" s="214" t="s">
        <v>34613</v>
      </c>
      <c r="GK200" s="214" t="s">
        <v>70</v>
      </c>
      <c r="GL200" s="214" t="s">
        <v>530</v>
      </c>
      <c r="GN200" s="321" t="s">
        <v>13380</v>
      </c>
      <c r="GO200" s="214" t="s">
        <v>52</v>
      </c>
      <c r="GP200" s="214" t="s">
        <v>70</v>
      </c>
      <c r="GQ200" s="214" t="s">
        <v>530</v>
      </c>
      <c r="GS200" s="321" t="s">
        <v>13381</v>
      </c>
      <c r="GT200" s="214" t="s">
        <v>34574</v>
      </c>
      <c r="GU200" s="214" t="s">
        <v>70</v>
      </c>
      <c r="GV200" s="214" t="s">
        <v>530</v>
      </c>
      <c r="GX200" s="214" t="s">
        <v>13382</v>
      </c>
      <c r="GY200" s="214" t="s">
        <v>955</v>
      </c>
      <c r="GZ200" s="214" t="s">
        <v>70</v>
      </c>
      <c r="HA200" s="214" t="s">
        <v>530</v>
      </c>
      <c r="HC200" s="214" t="s">
        <v>13383</v>
      </c>
      <c r="HD200" s="214" t="s">
        <v>34599</v>
      </c>
      <c r="HE200" s="214" t="s">
        <v>70</v>
      </c>
      <c r="HF200" s="214" t="s">
        <v>530</v>
      </c>
      <c r="HH200" s="214" t="s">
        <v>13384</v>
      </c>
      <c r="HI200" s="214" t="s">
        <v>34213</v>
      </c>
      <c r="HJ200" s="214" t="s">
        <v>70</v>
      </c>
      <c r="HK200" s="214" t="s">
        <v>530</v>
      </c>
      <c r="HM200" s="214" t="s">
        <v>13385</v>
      </c>
      <c r="HN200" s="214" t="s">
        <v>924</v>
      </c>
      <c r="HO200" s="214" t="s">
        <v>70</v>
      </c>
      <c r="HP200" s="214" t="s">
        <v>530</v>
      </c>
      <c r="HR200" s="22" t="s">
        <v>13386</v>
      </c>
      <c r="HS200" s="22" t="s">
        <v>529</v>
      </c>
      <c r="HT200" s="22" t="s">
        <v>70</v>
      </c>
      <c r="HU200" s="214" t="s">
        <v>530</v>
      </c>
      <c r="HW200" s="22" t="s">
        <v>13387</v>
      </c>
      <c r="HX200" s="22" t="s">
        <v>955</v>
      </c>
      <c r="HY200" s="22" t="s">
        <v>70</v>
      </c>
      <c r="HZ200" s="214" t="s">
        <v>530</v>
      </c>
      <c r="IB200" s="22" t="s">
        <v>13388</v>
      </c>
      <c r="IC200" s="22" t="s">
        <v>920</v>
      </c>
      <c r="ID200" s="22" t="s">
        <v>70</v>
      </c>
      <c r="IE200" s="214" t="s">
        <v>530</v>
      </c>
      <c r="IG200" s="22" t="s">
        <v>13389</v>
      </c>
      <c r="IH200" s="22" t="s">
        <v>34579</v>
      </c>
      <c r="II200" s="22" t="s">
        <v>70</v>
      </c>
      <c r="IJ200" s="214" t="s">
        <v>530</v>
      </c>
      <c r="IL200" s="22" t="s">
        <v>13390</v>
      </c>
      <c r="IM200" s="22" t="s">
        <v>145</v>
      </c>
      <c r="IN200" s="22" t="s">
        <v>70</v>
      </c>
      <c r="IO200" s="214" t="s">
        <v>530</v>
      </c>
      <c r="IQ200" s="236" t="s">
        <v>13391</v>
      </c>
      <c r="IR200" s="236" t="s">
        <v>145</v>
      </c>
      <c r="IS200" s="236" t="s">
        <v>74</v>
      </c>
      <c r="IT200" s="236" t="s">
        <v>841</v>
      </c>
      <c r="IV200" s="236" t="s">
        <v>13392</v>
      </c>
      <c r="IW200" s="236" t="s">
        <v>145</v>
      </c>
      <c r="IX200" s="236" t="s">
        <v>74</v>
      </c>
      <c r="IY200" s="236" t="s">
        <v>841</v>
      </c>
      <c r="JA200" s="236" t="s">
        <v>13393</v>
      </c>
      <c r="JB200" s="236" t="s">
        <v>145</v>
      </c>
      <c r="JC200" s="236" t="s">
        <v>74</v>
      </c>
      <c r="JD200" s="236" t="s">
        <v>841</v>
      </c>
      <c r="JF200" s="236" t="s">
        <v>13394</v>
      </c>
      <c r="JG200" s="236" t="s">
        <v>145</v>
      </c>
      <c r="JH200" s="236" t="s">
        <v>74</v>
      </c>
      <c r="JI200" s="236" t="s">
        <v>841</v>
      </c>
      <c r="JK200" s="236" t="s">
        <v>13395</v>
      </c>
      <c r="JL200" s="236" t="s">
        <v>145</v>
      </c>
      <c r="JM200" s="236" t="s">
        <v>74</v>
      </c>
      <c r="JN200" s="236" t="s">
        <v>841</v>
      </c>
      <c r="JP200" s="236" t="s">
        <v>13396</v>
      </c>
      <c r="JQ200" s="236" t="s">
        <v>145</v>
      </c>
      <c r="JR200" s="236" t="s">
        <v>74</v>
      </c>
      <c r="JS200" s="236" t="s">
        <v>841</v>
      </c>
      <c r="JU200" s="294" t="s">
        <v>13397</v>
      </c>
      <c r="JV200" s="294" t="s">
        <v>52</v>
      </c>
      <c r="JW200" s="263" t="s">
        <v>70</v>
      </c>
      <c r="JX200" s="294" t="s">
        <v>1083</v>
      </c>
      <c r="JZ200" s="263" t="s">
        <v>13398</v>
      </c>
      <c r="KA200" s="263" t="s">
        <v>145</v>
      </c>
      <c r="KB200" s="263" t="s">
        <v>70</v>
      </c>
      <c r="KC200" s="263" t="s">
        <v>1083</v>
      </c>
      <c r="KE200" s="263" t="s">
        <v>13399</v>
      </c>
      <c r="KF200" s="263" t="s">
        <v>52</v>
      </c>
      <c r="KG200" s="263" t="s">
        <v>70</v>
      </c>
      <c r="KH200" s="263" t="s">
        <v>1083</v>
      </c>
      <c r="KJ200" s="263" t="s">
        <v>13400</v>
      </c>
      <c r="KK200" s="263" t="s">
        <v>52</v>
      </c>
      <c r="KL200" s="263" t="s">
        <v>74</v>
      </c>
      <c r="KM200" s="263" t="s">
        <v>34074</v>
      </c>
      <c r="KO200" s="214" t="s">
        <v>13401</v>
      </c>
      <c r="KP200" s="214" t="s">
        <v>145</v>
      </c>
      <c r="KQ200" s="214" t="s">
        <v>70</v>
      </c>
      <c r="KR200" s="214" t="s">
        <v>67</v>
      </c>
      <c r="KT200" s="22" t="s">
        <v>13402</v>
      </c>
      <c r="KU200" s="22" t="s">
        <v>145</v>
      </c>
      <c r="KV200" s="22" t="s">
        <v>70</v>
      </c>
      <c r="KW200" s="22" t="s">
        <v>67</v>
      </c>
      <c r="KY200" s="214" t="s">
        <v>13403</v>
      </c>
      <c r="KZ200" s="214" t="s">
        <v>52</v>
      </c>
      <c r="LA200" s="214" t="s">
        <v>74</v>
      </c>
      <c r="LB200" s="214" t="s">
        <v>67</v>
      </c>
      <c r="LD200" s="22" t="s">
        <v>13404</v>
      </c>
      <c r="LE200" s="22" t="s">
        <v>145</v>
      </c>
      <c r="LF200" s="22" t="s">
        <v>70</v>
      </c>
      <c r="LG200" s="22" t="s">
        <v>67</v>
      </c>
    </row>
    <row r="201" spans="1:319">
      <c r="A201" s="22" t="s">
        <v>13405</v>
      </c>
      <c r="B201" s="22" t="s">
        <v>145</v>
      </c>
      <c r="C201" s="22" t="s">
        <v>70</v>
      </c>
      <c r="D201" s="22" t="s">
        <v>67</v>
      </c>
      <c r="F201" s="73" t="s">
        <v>13406</v>
      </c>
      <c r="G201" s="22" t="s">
        <v>145</v>
      </c>
      <c r="H201" s="22" t="s">
        <v>70</v>
      </c>
      <c r="I201" s="22" t="s">
        <v>67</v>
      </c>
      <c r="K201" s="22" t="s">
        <v>13407</v>
      </c>
      <c r="L201" s="22" t="s">
        <v>145</v>
      </c>
      <c r="M201" s="22" t="s">
        <v>70</v>
      </c>
      <c r="N201" s="22" t="s">
        <v>67</v>
      </c>
      <c r="P201" s="22" t="s">
        <v>13408</v>
      </c>
      <c r="Q201" s="22" t="s">
        <v>145</v>
      </c>
      <c r="R201" s="22" t="s">
        <v>70</v>
      </c>
      <c r="S201" s="22" t="s">
        <v>67</v>
      </c>
      <c r="U201" s="293" t="s">
        <v>13409</v>
      </c>
      <c r="V201" s="293" t="s">
        <v>145</v>
      </c>
      <c r="W201" s="293" t="s">
        <v>74</v>
      </c>
      <c r="X201" s="293" t="s">
        <v>656</v>
      </c>
      <c r="Z201" s="293" t="s">
        <v>13410</v>
      </c>
      <c r="AA201" s="293" t="s">
        <v>145</v>
      </c>
      <c r="AB201" s="293" t="s">
        <v>74</v>
      </c>
      <c r="AC201" s="293" t="s">
        <v>656</v>
      </c>
      <c r="AE201" s="293" t="s">
        <v>13411</v>
      </c>
      <c r="AF201" s="293" t="s">
        <v>145</v>
      </c>
      <c r="AG201" s="293" t="s">
        <v>74</v>
      </c>
      <c r="AH201" s="293" t="s">
        <v>656</v>
      </c>
      <c r="AJ201" s="293" t="s">
        <v>13412</v>
      </c>
      <c r="AK201" s="293" t="s">
        <v>145</v>
      </c>
      <c r="AL201" s="293" t="s">
        <v>74</v>
      </c>
      <c r="AM201" s="293" t="s">
        <v>656</v>
      </c>
      <c r="AO201" s="22" t="s">
        <v>13413</v>
      </c>
      <c r="AP201" s="22" t="s">
        <v>145</v>
      </c>
      <c r="AQ201" s="22" t="s">
        <v>70</v>
      </c>
      <c r="AR201" s="22" t="s">
        <v>67</v>
      </c>
      <c r="AT201" s="22" t="s">
        <v>13414</v>
      </c>
      <c r="AU201" s="22" t="s">
        <v>145</v>
      </c>
      <c r="AV201" s="22" t="s">
        <v>70</v>
      </c>
      <c r="AW201" s="22" t="s">
        <v>67</v>
      </c>
      <c r="AY201" s="22" t="s">
        <v>13415</v>
      </c>
      <c r="AZ201" s="22" t="s">
        <v>145</v>
      </c>
      <c r="BA201" s="22" t="s">
        <v>70</v>
      </c>
      <c r="BB201" s="22" t="s">
        <v>67</v>
      </c>
      <c r="BD201" s="22" t="s">
        <v>13416</v>
      </c>
      <c r="BE201" s="22" t="s">
        <v>145</v>
      </c>
      <c r="BF201" s="22" t="s">
        <v>70</v>
      </c>
      <c r="BG201" s="22" t="s">
        <v>67</v>
      </c>
      <c r="BI201" s="22" t="s">
        <v>13417</v>
      </c>
      <c r="BJ201" s="22" t="s">
        <v>145</v>
      </c>
      <c r="BK201" s="22" t="s">
        <v>70</v>
      </c>
      <c r="BL201" s="22" t="s">
        <v>67</v>
      </c>
      <c r="BN201" s="22" t="s">
        <v>13418</v>
      </c>
      <c r="BO201" s="22" t="s">
        <v>145</v>
      </c>
      <c r="BP201" s="22" t="s">
        <v>70</v>
      </c>
      <c r="BQ201" s="22" t="s">
        <v>67</v>
      </c>
      <c r="BS201" s="22" t="s">
        <v>13419</v>
      </c>
      <c r="BT201" s="22" t="s">
        <v>145</v>
      </c>
      <c r="BU201" s="22" t="s">
        <v>70</v>
      </c>
      <c r="BV201" s="214" t="s">
        <v>530</v>
      </c>
      <c r="BX201" s="22" t="s">
        <v>13420</v>
      </c>
      <c r="BY201" s="22" t="s">
        <v>145</v>
      </c>
      <c r="BZ201" s="22" t="s">
        <v>70</v>
      </c>
      <c r="CA201" s="214" t="s">
        <v>530</v>
      </c>
      <c r="CC201" s="214" t="s">
        <v>13421</v>
      </c>
      <c r="CD201" s="218" t="s">
        <v>145</v>
      </c>
      <c r="CE201" s="214" t="s">
        <v>70</v>
      </c>
      <c r="CF201" s="214" t="s">
        <v>561</v>
      </c>
      <c r="CH201" s="214" t="s">
        <v>13422</v>
      </c>
      <c r="CI201" s="214" t="s">
        <v>485</v>
      </c>
      <c r="CJ201" s="214" t="s">
        <v>70</v>
      </c>
      <c r="CK201" s="214" t="s">
        <v>530</v>
      </c>
      <c r="CM201" s="214" t="s">
        <v>13423</v>
      </c>
      <c r="CN201" s="214" t="s">
        <v>204</v>
      </c>
      <c r="CO201" s="214" t="s">
        <v>70</v>
      </c>
      <c r="CP201" s="214" t="s">
        <v>530</v>
      </c>
      <c r="CR201" s="214" t="s">
        <v>13424</v>
      </c>
      <c r="CS201" s="214" t="s">
        <v>149</v>
      </c>
      <c r="CT201" s="214" t="s">
        <v>70</v>
      </c>
      <c r="CU201" s="214" t="s">
        <v>530</v>
      </c>
      <c r="CW201" s="214" t="s">
        <v>13425</v>
      </c>
      <c r="CX201" s="214" t="s">
        <v>103</v>
      </c>
      <c r="CY201" s="214" t="s">
        <v>70</v>
      </c>
      <c r="CZ201" s="214" t="s">
        <v>530</v>
      </c>
      <c r="DB201" s="214" t="s">
        <v>13426</v>
      </c>
      <c r="DC201" s="214" t="s">
        <v>146</v>
      </c>
      <c r="DD201" s="214" t="s">
        <v>70</v>
      </c>
      <c r="DE201" s="214" t="s">
        <v>530</v>
      </c>
      <c r="DG201" s="214" t="s">
        <v>13427</v>
      </c>
      <c r="DH201" s="214" t="s">
        <v>488</v>
      </c>
      <c r="DI201" s="214" t="s">
        <v>70</v>
      </c>
      <c r="DJ201" s="214" t="s">
        <v>530</v>
      </c>
      <c r="DL201" s="214" t="s">
        <v>13428</v>
      </c>
      <c r="DM201" s="214" t="s">
        <v>487</v>
      </c>
      <c r="DN201" s="214" t="s">
        <v>70</v>
      </c>
      <c r="DO201" s="214" t="s">
        <v>530</v>
      </c>
      <c r="DQ201" s="214" t="s">
        <v>13429</v>
      </c>
      <c r="DR201" s="214" t="s">
        <v>488</v>
      </c>
      <c r="DS201" s="214" t="s">
        <v>70</v>
      </c>
      <c r="DT201" s="214" t="s">
        <v>530</v>
      </c>
      <c r="DV201" s="214" t="s">
        <v>13430</v>
      </c>
      <c r="DW201" s="214" t="s">
        <v>34636</v>
      </c>
      <c r="DX201" s="214" t="s">
        <v>70</v>
      </c>
      <c r="DY201" s="214" t="s">
        <v>530</v>
      </c>
      <c r="EA201" s="214" t="s">
        <v>13431</v>
      </c>
      <c r="EB201" s="214" t="s">
        <v>163</v>
      </c>
      <c r="EC201" s="214" t="s">
        <v>70</v>
      </c>
      <c r="ED201" s="214" t="s">
        <v>530</v>
      </c>
      <c r="EF201" s="214" t="s">
        <v>13432</v>
      </c>
      <c r="EG201" s="214" t="s">
        <v>93</v>
      </c>
      <c r="EH201" s="214" t="s">
        <v>70</v>
      </c>
      <c r="EI201" s="214" t="s">
        <v>530</v>
      </c>
      <c r="EK201" s="214" t="s">
        <v>13433</v>
      </c>
      <c r="EL201" s="214" t="s">
        <v>34541</v>
      </c>
      <c r="EM201" s="214" t="s">
        <v>70</v>
      </c>
      <c r="EN201" s="214" t="s">
        <v>530</v>
      </c>
      <c r="EP201" s="214" t="s">
        <v>13434</v>
      </c>
      <c r="EQ201" s="214" t="s">
        <v>518</v>
      </c>
      <c r="ER201" s="214" t="s">
        <v>70</v>
      </c>
      <c r="ES201" s="214" t="s">
        <v>530</v>
      </c>
      <c r="EU201" s="214" t="s">
        <v>13435</v>
      </c>
      <c r="EV201" s="214" t="s">
        <v>938</v>
      </c>
      <c r="EW201" s="214" t="s">
        <v>70</v>
      </c>
      <c r="EX201" s="214" t="s">
        <v>530</v>
      </c>
      <c r="EZ201" s="214" t="s">
        <v>13436</v>
      </c>
      <c r="FA201" s="214" t="s">
        <v>34545</v>
      </c>
      <c r="FB201" s="214" t="s">
        <v>70</v>
      </c>
      <c r="FC201" s="214" t="s">
        <v>530</v>
      </c>
      <c r="FE201" s="214" t="s">
        <v>13437</v>
      </c>
      <c r="FF201" s="214" t="s">
        <v>34545</v>
      </c>
      <c r="FG201" s="214" t="s">
        <v>70</v>
      </c>
      <c r="FH201" s="214" t="s">
        <v>530</v>
      </c>
      <c r="FJ201" s="321" t="s">
        <v>13438</v>
      </c>
      <c r="FK201" s="214" t="s">
        <v>34580</v>
      </c>
      <c r="FL201" s="214" t="s">
        <v>70</v>
      </c>
      <c r="FM201" s="214" t="s">
        <v>530</v>
      </c>
      <c r="FO201" s="321" t="s">
        <v>13439</v>
      </c>
      <c r="FP201" s="214" t="s">
        <v>34615</v>
      </c>
      <c r="FQ201" s="214" t="s">
        <v>70</v>
      </c>
      <c r="FR201" s="214" t="s">
        <v>530</v>
      </c>
      <c r="FT201" s="321" t="s">
        <v>13440</v>
      </c>
      <c r="FU201" s="214" t="s">
        <v>145</v>
      </c>
      <c r="FV201" s="214" t="s">
        <v>70</v>
      </c>
      <c r="FW201" s="214" t="s">
        <v>530</v>
      </c>
      <c r="FY201" s="321" t="s">
        <v>13441</v>
      </c>
      <c r="FZ201" s="214" t="s">
        <v>146</v>
      </c>
      <c r="GA201" s="214" t="s">
        <v>70</v>
      </c>
      <c r="GB201" s="214" t="s">
        <v>530</v>
      </c>
      <c r="GD201" s="321" t="s">
        <v>13442</v>
      </c>
      <c r="GE201" s="214" t="s">
        <v>34542</v>
      </c>
      <c r="GF201" s="214" t="s">
        <v>70</v>
      </c>
      <c r="GG201" s="214" t="s">
        <v>530</v>
      </c>
      <c r="GI201" s="321" t="s">
        <v>13443</v>
      </c>
      <c r="GJ201" s="214" t="s">
        <v>52</v>
      </c>
      <c r="GK201" s="214" t="s">
        <v>70</v>
      </c>
      <c r="GL201" s="214" t="s">
        <v>530</v>
      </c>
      <c r="GN201" s="321" t="s">
        <v>13444</v>
      </c>
      <c r="GO201" s="214" t="s">
        <v>485</v>
      </c>
      <c r="GP201" s="214" t="s">
        <v>70</v>
      </c>
      <c r="GQ201" s="214" t="s">
        <v>530</v>
      </c>
      <c r="GS201" s="321" t="s">
        <v>13445</v>
      </c>
      <c r="GT201" s="214" t="s">
        <v>798</v>
      </c>
      <c r="GU201" s="214" t="s">
        <v>70</v>
      </c>
      <c r="GV201" s="214" t="s">
        <v>530</v>
      </c>
      <c r="GX201" s="214" t="s">
        <v>13446</v>
      </c>
      <c r="GY201" s="214" t="s">
        <v>929</v>
      </c>
      <c r="GZ201" s="214" t="s">
        <v>70</v>
      </c>
      <c r="HA201" s="214" t="s">
        <v>530</v>
      </c>
      <c r="HC201" s="214" t="s">
        <v>13447</v>
      </c>
      <c r="HD201" s="214" t="s">
        <v>88</v>
      </c>
      <c r="HE201" s="214" t="s">
        <v>70</v>
      </c>
      <c r="HF201" s="214" t="s">
        <v>530</v>
      </c>
      <c r="HH201" s="214" t="s">
        <v>13448</v>
      </c>
      <c r="HI201" s="214" t="s">
        <v>145</v>
      </c>
      <c r="HJ201" s="214" t="s">
        <v>70</v>
      </c>
      <c r="HK201" s="214" t="s">
        <v>530</v>
      </c>
      <c r="HM201" s="214" t="s">
        <v>13449</v>
      </c>
      <c r="HN201" s="214" t="s">
        <v>145</v>
      </c>
      <c r="HO201" s="214" t="s">
        <v>70</v>
      </c>
      <c r="HP201" s="214" t="s">
        <v>530</v>
      </c>
      <c r="HR201" s="22" t="s">
        <v>13450</v>
      </c>
      <c r="HS201" s="22" t="s">
        <v>34641</v>
      </c>
      <c r="HT201" s="22" t="s">
        <v>70</v>
      </c>
      <c r="HU201" s="214" t="s">
        <v>530</v>
      </c>
      <c r="HW201" s="22" t="s">
        <v>13451</v>
      </c>
      <c r="HX201" s="22" t="s">
        <v>52</v>
      </c>
      <c r="HY201" s="22" t="s">
        <v>70</v>
      </c>
      <c r="HZ201" s="214" t="s">
        <v>530</v>
      </c>
      <c r="IB201" s="22" t="s">
        <v>13452</v>
      </c>
      <c r="IC201" s="22" t="s">
        <v>495</v>
      </c>
      <c r="ID201" s="22" t="s">
        <v>70</v>
      </c>
      <c r="IE201" s="214" t="s">
        <v>530</v>
      </c>
      <c r="IG201" s="22" t="s">
        <v>13453</v>
      </c>
      <c r="IH201" s="22" t="s">
        <v>929</v>
      </c>
      <c r="II201" s="22" t="s">
        <v>70</v>
      </c>
      <c r="IJ201" s="214" t="s">
        <v>530</v>
      </c>
      <c r="IL201" s="22" t="s">
        <v>13454</v>
      </c>
      <c r="IM201" s="22" t="s">
        <v>145</v>
      </c>
      <c r="IN201" s="22" t="s">
        <v>70</v>
      </c>
      <c r="IO201" s="214" t="s">
        <v>530</v>
      </c>
      <c r="IQ201" s="236" t="s">
        <v>13455</v>
      </c>
      <c r="IR201" s="236" t="s">
        <v>145</v>
      </c>
      <c r="IS201" s="236" t="s">
        <v>74</v>
      </c>
      <c r="IT201" s="236" t="s">
        <v>841</v>
      </c>
      <c r="IV201" s="236" t="s">
        <v>13456</v>
      </c>
      <c r="IW201" s="236" t="s">
        <v>145</v>
      </c>
      <c r="IX201" s="236" t="s">
        <v>74</v>
      </c>
      <c r="IY201" s="236" t="s">
        <v>841</v>
      </c>
      <c r="JA201" s="236" t="s">
        <v>13457</v>
      </c>
      <c r="JB201" s="236" t="s">
        <v>145</v>
      </c>
      <c r="JC201" s="236" t="s">
        <v>74</v>
      </c>
      <c r="JD201" s="236" t="s">
        <v>841</v>
      </c>
      <c r="JF201" s="236" t="s">
        <v>13458</v>
      </c>
      <c r="JG201" s="236" t="s">
        <v>145</v>
      </c>
      <c r="JH201" s="236" t="s">
        <v>74</v>
      </c>
      <c r="JI201" s="236" t="s">
        <v>841</v>
      </c>
      <c r="JK201" s="236" t="s">
        <v>13459</v>
      </c>
      <c r="JL201" s="236" t="s">
        <v>145</v>
      </c>
      <c r="JM201" s="236" t="s">
        <v>74</v>
      </c>
      <c r="JN201" s="236" t="s">
        <v>841</v>
      </c>
      <c r="JP201" s="236" t="s">
        <v>13460</v>
      </c>
      <c r="JQ201" s="236" t="s">
        <v>145</v>
      </c>
      <c r="JR201" s="236" t="s">
        <v>74</v>
      </c>
      <c r="JS201" s="236" t="s">
        <v>841</v>
      </c>
      <c r="JU201" s="294" t="s">
        <v>13461</v>
      </c>
      <c r="JV201" s="294" t="s">
        <v>52</v>
      </c>
      <c r="JW201" s="263" t="s">
        <v>70</v>
      </c>
      <c r="JX201" s="294" t="s">
        <v>1083</v>
      </c>
      <c r="JZ201" s="263" t="s">
        <v>13462</v>
      </c>
      <c r="KA201" s="263" t="s">
        <v>145</v>
      </c>
      <c r="KB201" s="263" t="s">
        <v>70</v>
      </c>
      <c r="KC201" s="263" t="s">
        <v>1083</v>
      </c>
      <c r="KE201" s="263" t="s">
        <v>13463</v>
      </c>
      <c r="KF201" s="263" t="s">
        <v>52</v>
      </c>
      <c r="KG201" s="263" t="s">
        <v>70</v>
      </c>
      <c r="KH201" s="263" t="s">
        <v>1083</v>
      </c>
      <c r="KJ201" s="263" t="s">
        <v>13464</v>
      </c>
      <c r="KK201" s="263" t="s">
        <v>52</v>
      </c>
      <c r="KL201" s="263" t="s">
        <v>74</v>
      </c>
      <c r="KM201" s="263" t="s">
        <v>34074</v>
      </c>
      <c r="KO201" s="214" t="s">
        <v>13465</v>
      </c>
      <c r="KP201" s="214" t="s">
        <v>145</v>
      </c>
      <c r="KQ201" s="214" t="s">
        <v>70</v>
      </c>
      <c r="KR201" s="214" t="s">
        <v>67</v>
      </c>
      <c r="KT201" s="22" t="s">
        <v>13466</v>
      </c>
      <c r="KU201" s="22" t="s">
        <v>145</v>
      </c>
      <c r="KV201" s="22" t="s">
        <v>70</v>
      </c>
      <c r="KW201" s="22" t="s">
        <v>67</v>
      </c>
      <c r="KY201" s="214" t="s">
        <v>13467</v>
      </c>
      <c r="KZ201" s="214" t="s">
        <v>52</v>
      </c>
      <c r="LA201" s="214" t="s">
        <v>74</v>
      </c>
      <c r="LB201" s="214" t="s">
        <v>67</v>
      </c>
      <c r="LD201" s="22" t="s">
        <v>13468</v>
      </c>
      <c r="LE201" s="22" t="s">
        <v>145</v>
      </c>
      <c r="LF201" s="22" t="s">
        <v>70</v>
      </c>
      <c r="LG201" s="22" t="s">
        <v>67</v>
      </c>
    </row>
    <row r="202" spans="1:319">
      <c r="A202" s="22" t="s">
        <v>13469</v>
      </c>
      <c r="B202" s="22" t="s">
        <v>145</v>
      </c>
      <c r="C202" s="22" t="s">
        <v>70</v>
      </c>
      <c r="D202" s="22" t="s">
        <v>67</v>
      </c>
      <c r="F202" s="73" t="s">
        <v>13470</v>
      </c>
      <c r="G202" s="22" t="s">
        <v>145</v>
      </c>
      <c r="H202" s="22" t="s">
        <v>70</v>
      </c>
      <c r="I202" s="22" t="s">
        <v>67</v>
      </c>
      <c r="K202" s="22" t="s">
        <v>13471</v>
      </c>
      <c r="L202" s="22" t="s">
        <v>145</v>
      </c>
      <c r="M202" s="22" t="s">
        <v>70</v>
      </c>
      <c r="N202" s="22" t="s">
        <v>67</v>
      </c>
      <c r="P202" s="22" t="s">
        <v>13472</v>
      </c>
      <c r="Q202" s="22" t="s">
        <v>145</v>
      </c>
      <c r="R202" s="22" t="s">
        <v>70</v>
      </c>
      <c r="S202" s="22" t="s">
        <v>67</v>
      </c>
      <c r="U202" s="293" t="s">
        <v>13473</v>
      </c>
      <c r="V202" s="293" t="s">
        <v>145</v>
      </c>
      <c r="W202" s="293" t="s">
        <v>74</v>
      </c>
      <c r="X202" s="293" t="s">
        <v>656</v>
      </c>
      <c r="Z202" s="293" t="s">
        <v>13474</v>
      </c>
      <c r="AA202" s="293" t="s">
        <v>145</v>
      </c>
      <c r="AB202" s="293" t="s">
        <v>74</v>
      </c>
      <c r="AC202" s="293" t="s">
        <v>656</v>
      </c>
      <c r="AE202" s="293" t="s">
        <v>13475</v>
      </c>
      <c r="AF202" s="293" t="s">
        <v>145</v>
      </c>
      <c r="AG202" s="293" t="s">
        <v>74</v>
      </c>
      <c r="AH202" s="293" t="s">
        <v>656</v>
      </c>
      <c r="AJ202" s="293" t="s">
        <v>13476</v>
      </c>
      <c r="AK202" s="293" t="s">
        <v>145</v>
      </c>
      <c r="AL202" s="293" t="s">
        <v>74</v>
      </c>
      <c r="AM202" s="293" t="s">
        <v>656</v>
      </c>
      <c r="AO202" s="22" t="s">
        <v>13477</v>
      </c>
      <c r="AP202" s="22" t="s">
        <v>145</v>
      </c>
      <c r="AQ202" s="22" t="s">
        <v>70</v>
      </c>
      <c r="AR202" s="22" t="s">
        <v>67</v>
      </c>
      <c r="AT202" s="22" t="s">
        <v>13478</v>
      </c>
      <c r="AU202" s="22" t="s">
        <v>145</v>
      </c>
      <c r="AV202" s="22" t="s">
        <v>70</v>
      </c>
      <c r="AW202" s="22" t="s">
        <v>67</v>
      </c>
      <c r="AY202" s="22" t="s">
        <v>13479</v>
      </c>
      <c r="AZ202" s="22" t="s">
        <v>145</v>
      </c>
      <c r="BA202" s="22" t="s">
        <v>70</v>
      </c>
      <c r="BB202" s="22" t="s">
        <v>67</v>
      </c>
      <c r="BD202" s="22" t="s">
        <v>13480</v>
      </c>
      <c r="BE202" s="22" t="s">
        <v>145</v>
      </c>
      <c r="BF202" s="22" t="s">
        <v>70</v>
      </c>
      <c r="BG202" s="22" t="s">
        <v>67</v>
      </c>
      <c r="BI202" s="22" t="s">
        <v>13481</v>
      </c>
      <c r="BJ202" s="22" t="s">
        <v>145</v>
      </c>
      <c r="BK202" s="22" t="s">
        <v>70</v>
      </c>
      <c r="BL202" s="22" t="s">
        <v>67</v>
      </c>
      <c r="BN202" s="22" t="s">
        <v>13482</v>
      </c>
      <c r="BO202" s="22" t="s">
        <v>145</v>
      </c>
      <c r="BP202" s="22" t="s">
        <v>70</v>
      </c>
      <c r="BQ202" s="22" t="s">
        <v>67</v>
      </c>
      <c r="BS202" s="22" t="s">
        <v>13483</v>
      </c>
      <c r="BT202" s="22" t="s">
        <v>145</v>
      </c>
      <c r="BU202" s="22" t="s">
        <v>70</v>
      </c>
      <c r="BV202" s="214" t="s">
        <v>530</v>
      </c>
      <c r="BX202" s="22" t="s">
        <v>13484</v>
      </c>
      <c r="BY202" s="22" t="s">
        <v>145</v>
      </c>
      <c r="BZ202" s="22" t="s">
        <v>70</v>
      </c>
      <c r="CA202" s="214" t="s">
        <v>530</v>
      </c>
      <c r="CC202" s="214" t="s">
        <v>13485</v>
      </c>
      <c r="CD202" s="218" t="s">
        <v>145</v>
      </c>
      <c r="CE202" s="214" t="s">
        <v>70</v>
      </c>
      <c r="CF202" s="214" t="s">
        <v>562</v>
      </c>
      <c r="CH202" s="214" t="s">
        <v>13486</v>
      </c>
      <c r="CI202" s="214" t="s">
        <v>34539</v>
      </c>
      <c r="CJ202" s="214" t="s">
        <v>70</v>
      </c>
      <c r="CK202" s="214" t="s">
        <v>530</v>
      </c>
      <c r="CM202" s="214" t="s">
        <v>13487</v>
      </c>
      <c r="CN202" s="214" t="s">
        <v>468</v>
      </c>
      <c r="CO202" s="214" t="s">
        <v>70</v>
      </c>
      <c r="CP202" s="214" t="s">
        <v>530</v>
      </c>
      <c r="CR202" s="214" t="s">
        <v>13488</v>
      </c>
      <c r="CS202" s="214" t="s">
        <v>926</v>
      </c>
      <c r="CT202" s="214" t="s">
        <v>70</v>
      </c>
      <c r="CU202" s="214" t="s">
        <v>530</v>
      </c>
      <c r="CW202" s="214" t="s">
        <v>13489</v>
      </c>
      <c r="CX202" s="214" t="s">
        <v>492</v>
      </c>
      <c r="CY202" s="214" t="s">
        <v>70</v>
      </c>
      <c r="CZ202" s="214" t="s">
        <v>530</v>
      </c>
      <c r="DB202" s="214" t="s">
        <v>13490</v>
      </c>
      <c r="DC202" s="214" t="s">
        <v>103</v>
      </c>
      <c r="DD202" s="214" t="s">
        <v>70</v>
      </c>
      <c r="DE202" s="214" t="s">
        <v>530</v>
      </c>
      <c r="DG202" s="214" t="s">
        <v>13491</v>
      </c>
      <c r="DH202" s="214" t="s">
        <v>502</v>
      </c>
      <c r="DI202" s="214" t="s">
        <v>70</v>
      </c>
      <c r="DJ202" s="214" t="s">
        <v>530</v>
      </c>
      <c r="DL202" s="214" t="s">
        <v>13492</v>
      </c>
      <c r="DM202" s="214" t="s">
        <v>52</v>
      </c>
      <c r="DN202" s="214" t="s">
        <v>70</v>
      </c>
      <c r="DO202" s="214" t="s">
        <v>530</v>
      </c>
      <c r="DQ202" s="214" t="s">
        <v>13493</v>
      </c>
      <c r="DR202" s="214" t="s">
        <v>34516</v>
      </c>
      <c r="DS202" s="214" t="s">
        <v>70</v>
      </c>
      <c r="DT202" s="214" t="s">
        <v>530</v>
      </c>
      <c r="DV202" s="214" t="s">
        <v>13494</v>
      </c>
      <c r="DW202" s="214" t="s">
        <v>655</v>
      </c>
      <c r="DX202" s="214" t="s">
        <v>70</v>
      </c>
      <c r="DY202" s="214" t="s">
        <v>530</v>
      </c>
      <c r="EA202" s="214" t="s">
        <v>13495</v>
      </c>
      <c r="EB202" s="214" t="s">
        <v>90</v>
      </c>
      <c r="EC202" s="214" t="s">
        <v>70</v>
      </c>
      <c r="ED202" s="214" t="s">
        <v>530</v>
      </c>
      <c r="EF202" s="214" t="s">
        <v>13496</v>
      </c>
      <c r="EG202" s="214" t="s">
        <v>481</v>
      </c>
      <c r="EH202" s="214" t="s">
        <v>70</v>
      </c>
      <c r="EI202" s="214" t="s">
        <v>530</v>
      </c>
      <c r="EK202" s="214" t="s">
        <v>13497</v>
      </c>
      <c r="EL202" s="214" t="s">
        <v>34628</v>
      </c>
      <c r="EM202" s="214" t="s">
        <v>70</v>
      </c>
      <c r="EN202" s="214" t="s">
        <v>530</v>
      </c>
      <c r="EP202" s="214" t="s">
        <v>13498</v>
      </c>
      <c r="EQ202" s="214" t="s">
        <v>34548</v>
      </c>
      <c r="ER202" s="214" t="s">
        <v>70</v>
      </c>
      <c r="ES202" s="214" t="s">
        <v>530</v>
      </c>
      <c r="EU202" s="214" t="s">
        <v>13499</v>
      </c>
      <c r="EV202" s="214" t="s">
        <v>502</v>
      </c>
      <c r="EW202" s="214" t="s">
        <v>70</v>
      </c>
      <c r="EX202" s="214" t="s">
        <v>530</v>
      </c>
      <c r="EZ202" s="214" t="s">
        <v>13500</v>
      </c>
      <c r="FA202" s="214" t="s">
        <v>148</v>
      </c>
      <c r="FB202" s="214" t="s">
        <v>70</v>
      </c>
      <c r="FC202" s="214" t="s">
        <v>530</v>
      </c>
      <c r="FE202" s="214" t="s">
        <v>13501</v>
      </c>
      <c r="FF202" s="214" t="s">
        <v>52</v>
      </c>
      <c r="FG202" s="214" t="s">
        <v>70</v>
      </c>
      <c r="FH202" s="214" t="s">
        <v>530</v>
      </c>
      <c r="FJ202" s="321" t="s">
        <v>13502</v>
      </c>
      <c r="FK202" s="214" t="s">
        <v>941</v>
      </c>
      <c r="FL202" s="214" t="s">
        <v>70</v>
      </c>
      <c r="FM202" s="214" t="s">
        <v>530</v>
      </c>
      <c r="FO202" s="321" t="s">
        <v>13503</v>
      </c>
      <c r="FP202" s="214" t="s">
        <v>34548</v>
      </c>
      <c r="FQ202" s="214" t="s">
        <v>70</v>
      </c>
      <c r="FR202" s="214" t="s">
        <v>530</v>
      </c>
      <c r="FT202" s="321" t="s">
        <v>13504</v>
      </c>
      <c r="FU202" s="214" t="s">
        <v>52</v>
      </c>
      <c r="FV202" s="214" t="s">
        <v>70</v>
      </c>
      <c r="FW202" s="214" t="s">
        <v>530</v>
      </c>
      <c r="FY202" s="321" t="s">
        <v>13505</v>
      </c>
      <c r="FZ202" s="214" t="s">
        <v>34516</v>
      </c>
      <c r="GA202" s="214" t="s">
        <v>70</v>
      </c>
      <c r="GB202" s="214" t="s">
        <v>530</v>
      </c>
      <c r="GD202" s="321" t="s">
        <v>13506</v>
      </c>
      <c r="GE202" s="214" t="s">
        <v>163</v>
      </c>
      <c r="GF202" s="214" t="s">
        <v>70</v>
      </c>
      <c r="GG202" s="214" t="s">
        <v>530</v>
      </c>
      <c r="GI202" s="321" t="s">
        <v>13507</v>
      </c>
      <c r="GJ202" s="214" t="s">
        <v>34606</v>
      </c>
      <c r="GK202" s="214" t="s">
        <v>70</v>
      </c>
      <c r="GL202" s="214" t="s">
        <v>530</v>
      </c>
      <c r="GN202" s="321" t="s">
        <v>13508</v>
      </c>
      <c r="GO202" s="214" t="s">
        <v>149</v>
      </c>
      <c r="GP202" s="214" t="s">
        <v>70</v>
      </c>
      <c r="GQ202" s="214" t="s">
        <v>530</v>
      </c>
      <c r="GS202" s="321" t="s">
        <v>13509</v>
      </c>
      <c r="GT202" s="214" t="s">
        <v>468</v>
      </c>
      <c r="GU202" s="214" t="s">
        <v>70</v>
      </c>
      <c r="GV202" s="214" t="s">
        <v>530</v>
      </c>
      <c r="GX202" s="214" t="s">
        <v>13510</v>
      </c>
      <c r="GY202" s="214" t="s">
        <v>642</v>
      </c>
      <c r="GZ202" s="214" t="s">
        <v>70</v>
      </c>
      <c r="HA202" s="214" t="s">
        <v>530</v>
      </c>
      <c r="HC202" s="214" t="s">
        <v>13511</v>
      </c>
      <c r="HD202" s="214" t="s">
        <v>52</v>
      </c>
      <c r="HE202" s="214" t="s">
        <v>70</v>
      </c>
      <c r="HF202" s="214" t="s">
        <v>530</v>
      </c>
      <c r="HH202" s="214" t="s">
        <v>13512</v>
      </c>
      <c r="HI202" s="214" t="s">
        <v>34541</v>
      </c>
      <c r="HJ202" s="214" t="s">
        <v>70</v>
      </c>
      <c r="HK202" s="214" t="s">
        <v>530</v>
      </c>
      <c r="HM202" s="214" t="s">
        <v>13513</v>
      </c>
      <c r="HN202" s="214" t="s">
        <v>519</v>
      </c>
      <c r="HO202" s="214" t="s">
        <v>70</v>
      </c>
      <c r="HP202" s="214" t="s">
        <v>530</v>
      </c>
      <c r="HR202" s="22" t="s">
        <v>13514</v>
      </c>
      <c r="HS202" s="22" t="s">
        <v>148</v>
      </c>
      <c r="HT202" s="22" t="s">
        <v>70</v>
      </c>
      <c r="HU202" s="214" t="s">
        <v>530</v>
      </c>
      <c r="HW202" s="22" t="s">
        <v>13515</v>
      </c>
      <c r="HX202" s="22" t="s">
        <v>88</v>
      </c>
      <c r="HY202" s="22" t="s">
        <v>70</v>
      </c>
      <c r="HZ202" s="214" t="s">
        <v>530</v>
      </c>
      <c r="IB202" s="22" t="s">
        <v>13516</v>
      </c>
      <c r="IC202" s="22" t="s">
        <v>305</v>
      </c>
      <c r="ID202" s="22" t="s">
        <v>70</v>
      </c>
      <c r="IE202" s="214" t="s">
        <v>530</v>
      </c>
      <c r="IG202" s="22" t="s">
        <v>13517</v>
      </c>
      <c r="IH202" s="22" t="s">
        <v>955</v>
      </c>
      <c r="II202" s="22" t="s">
        <v>70</v>
      </c>
      <c r="IJ202" s="214" t="s">
        <v>530</v>
      </c>
      <c r="IL202" s="22" t="s">
        <v>13518</v>
      </c>
      <c r="IM202" s="22" t="s">
        <v>145</v>
      </c>
      <c r="IN202" s="22" t="s">
        <v>70</v>
      </c>
      <c r="IO202" s="214" t="s">
        <v>530</v>
      </c>
      <c r="IQ202" s="236" t="s">
        <v>13519</v>
      </c>
      <c r="IR202" s="236" t="s">
        <v>145</v>
      </c>
      <c r="IS202" s="236" t="s">
        <v>74</v>
      </c>
      <c r="IT202" s="236" t="s">
        <v>841</v>
      </c>
      <c r="IV202" s="236" t="s">
        <v>13520</v>
      </c>
      <c r="IW202" s="236" t="s">
        <v>145</v>
      </c>
      <c r="IX202" s="236" t="s">
        <v>74</v>
      </c>
      <c r="IY202" s="236" t="s">
        <v>841</v>
      </c>
      <c r="JA202" s="236" t="s">
        <v>13521</v>
      </c>
      <c r="JB202" s="236" t="s">
        <v>145</v>
      </c>
      <c r="JC202" s="236" t="s">
        <v>74</v>
      </c>
      <c r="JD202" s="236" t="s">
        <v>841</v>
      </c>
      <c r="JF202" s="236" t="s">
        <v>13522</v>
      </c>
      <c r="JG202" s="236" t="s">
        <v>145</v>
      </c>
      <c r="JH202" s="236" t="s">
        <v>74</v>
      </c>
      <c r="JI202" s="236" t="s">
        <v>841</v>
      </c>
      <c r="JK202" s="236" t="s">
        <v>13523</v>
      </c>
      <c r="JL202" s="236" t="s">
        <v>145</v>
      </c>
      <c r="JM202" s="236" t="s">
        <v>74</v>
      </c>
      <c r="JN202" s="236" t="s">
        <v>841</v>
      </c>
      <c r="JP202" s="236" t="s">
        <v>13524</v>
      </c>
      <c r="JQ202" s="236" t="s">
        <v>145</v>
      </c>
      <c r="JR202" s="236" t="s">
        <v>74</v>
      </c>
      <c r="JS202" s="236" t="s">
        <v>841</v>
      </c>
      <c r="JU202" s="294" t="s">
        <v>13525</v>
      </c>
      <c r="JV202" s="294" t="s">
        <v>52</v>
      </c>
      <c r="JW202" s="263" t="s">
        <v>70</v>
      </c>
      <c r="JX202" s="294" t="s">
        <v>1083</v>
      </c>
      <c r="JZ202" s="263" t="s">
        <v>13526</v>
      </c>
      <c r="KA202" s="263" t="s">
        <v>145</v>
      </c>
      <c r="KB202" s="263" t="s">
        <v>70</v>
      </c>
      <c r="KC202" s="263" t="s">
        <v>1083</v>
      </c>
      <c r="KE202" s="263" t="s">
        <v>13527</v>
      </c>
      <c r="KF202" s="263" t="s">
        <v>52</v>
      </c>
      <c r="KG202" s="263" t="s">
        <v>70</v>
      </c>
      <c r="KH202" s="263" t="s">
        <v>1083</v>
      </c>
      <c r="KJ202" s="263" t="s">
        <v>13528</v>
      </c>
      <c r="KK202" s="263" t="s">
        <v>52</v>
      </c>
      <c r="KL202" s="263" t="s">
        <v>74</v>
      </c>
      <c r="KM202" s="263" t="s">
        <v>34074</v>
      </c>
      <c r="KO202" s="214" t="s">
        <v>13529</v>
      </c>
      <c r="KP202" s="214" t="s">
        <v>145</v>
      </c>
      <c r="KQ202" s="214" t="s">
        <v>70</v>
      </c>
      <c r="KR202" s="214" t="s">
        <v>67</v>
      </c>
      <c r="KT202" s="22" t="s">
        <v>13530</v>
      </c>
      <c r="KU202" s="22" t="s">
        <v>145</v>
      </c>
      <c r="KV202" s="22" t="s">
        <v>70</v>
      </c>
      <c r="KW202" s="22" t="s">
        <v>67</v>
      </c>
      <c r="KY202" s="214" t="s">
        <v>13531</v>
      </c>
      <c r="KZ202" s="214" t="s">
        <v>52</v>
      </c>
      <c r="LA202" s="214" t="s">
        <v>74</v>
      </c>
      <c r="LB202" s="214" t="s">
        <v>67</v>
      </c>
      <c r="LD202" s="22" t="s">
        <v>13532</v>
      </c>
      <c r="LE202" s="22" t="s">
        <v>145</v>
      </c>
      <c r="LF202" s="22" t="s">
        <v>70</v>
      </c>
      <c r="LG202" s="22" t="s">
        <v>67</v>
      </c>
    </row>
    <row r="203" spans="1:319">
      <c r="A203" s="22" t="s">
        <v>13533</v>
      </c>
      <c r="B203" s="22" t="s">
        <v>145</v>
      </c>
      <c r="C203" s="22" t="s">
        <v>70</v>
      </c>
      <c r="D203" s="22" t="s">
        <v>67</v>
      </c>
      <c r="F203" s="73" t="s">
        <v>13534</v>
      </c>
      <c r="G203" s="22" t="s">
        <v>145</v>
      </c>
      <c r="H203" s="22" t="s">
        <v>70</v>
      </c>
      <c r="I203" s="22" t="s">
        <v>67</v>
      </c>
      <c r="K203" s="22" t="s">
        <v>13535</v>
      </c>
      <c r="L203" s="22" t="s">
        <v>145</v>
      </c>
      <c r="M203" s="22" t="s">
        <v>70</v>
      </c>
      <c r="N203" s="22" t="s">
        <v>67</v>
      </c>
      <c r="P203" s="22" t="s">
        <v>13536</v>
      </c>
      <c r="Q203" s="22" t="s">
        <v>145</v>
      </c>
      <c r="R203" s="22" t="s">
        <v>70</v>
      </c>
      <c r="S203" s="22" t="s">
        <v>67</v>
      </c>
      <c r="U203" s="293" t="s">
        <v>13537</v>
      </c>
      <c r="V203" s="293" t="s">
        <v>145</v>
      </c>
      <c r="W203" s="293" t="s">
        <v>74</v>
      </c>
      <c r="X203" s="293" t="s">
        <v>656</v>
      </c>
      <c r="Z203" s="293" t="s">
        <v>13538</v>
      </c>
      <c r="AA203" s="293" t="s">
        <v>145</v>
      </c>
      <c r="AB203" s="293" t="s">
        <v>74</v>
      </c>
      <c r="AC203" s="293" t="s">
        <v>656</v>
      </c>
      <c r="AE203" s="293" t="s">
        <v>13539</v>
      </c>
      <c r="AF203" s="293" t="s">
        <v>145</v>
      </c>
      <c r="AG203" s="293" t="s">
        <v>74</v>
      </c>
      <c r="AH203" s="293" t="s">
        <v>656</v>
      </c>
      <c r="AJ203" s="293" t="s">
        <v>13540</v>
      </c>
      <c r="AK203" s="293" t="s">
        <v>145</v>
      </c>
      <c r="AL203" s="293" t="s">
        <v>74</v>
      </c>
      <c r="AM203" s="293" t="s">
        <v>656</v>
      </c>
      <c r="AO203" s="22" t="s">
        <v>13541</v>
      </c>
      <c r="AP203" s="22" t="s">
        <v>145</v>
      </c>
      <c r="AQ203" s="22" t="s">
        <v>70</v>
      </c>
      <c r="AR203" s="22" t="s">
        <v>67</v>
      </c>
      <c r="AT203" s="22" t="s">
        <v>13542</v>
      </c>
      <c r="AU203" s="22" t="s">
        <v>145</v>
      </c>
      <c r="AV203" s="22" t="s">
        <v>70</v>
      </c>
      <c r="AW203" s="22" t="s">
        <v>67</v>
      </c>
      <c r="AY203" s="22" t="s">
        <v>13543</v>
      </c>
      <c r="AZ203" s="22" t="s">
        <v>145</v>
      </c>
      <c r="BA203" s="22" t="s">
        <v>70</v>
      </c>
      <c r="BB203" s="22" t="s">
        <v>67</v>
      </c>
      <c r="BD203" s="22" t="s">
        <v>13544</v>
      </c>
      <c r="BE203" s="22" t="s">
        <v>145</v>
      </c>
      <c r="BF203" s="22" t="s">
        <v>70</v>
      </c>
      <c r="BG203" s="22" t="s">
        <v>67</v>
      </c>
      <c r="BI203" s="22" t="s">
        <v>13545</v>
      </c>
      <c r="BJ203" s="22" t="s">
        <v>145</v>
      </c>
      <c r="BK203" s="22" t="s">
        <v>70</v>
      </c>
      <c r="BL203" s="22" t="s">
        <v>67</v>
      </c>
      <c r="BN203" s="22" t="s">
        <v>13546</v>
      </c>
      <c r="BO203" s="22" t="s">
        <v>145</v>
      </c>
      <c r="BP203" s="22" t="s">
        <v>70</v>
      </c>
      <c r="BQ203" s="22" t="s">
        <v>67</v>
      </c>
      <c r="BS203" s="22" t="s">
        <v>13547</v>
      </c>
      <c r="BT203" s="22" t="s">
        <v>145</v>
      </c>
      <c r="BU203" s="22" t="s">
        <v>70</v>
      </c>
      <c r="BV203" s="214" t="s">
        <v>530</v>
      </c>
      <c r="BX203" s="22" t="s">
        <v>13548</v>
      </c>
      <c r="BY203" s="22" t="s">
        <v>145</v>
      </c>
      <c r="BZ203" s="22" t="s">
        <v>70</v>
      </c>
      <c r="CA203" s="214" t="s">
        <v>530</v>
      </c>
      <c r="CC203" s="214" t="s">
        <v>13549</v>
      </c>
      <c r="CD203" s="218" t="s">
        <v>145</v>
      </c>
      <c r="CE203" s="214" t="s">
        <v>70</v>
      </c>
      <c r="CF203" s="214" t="s">
        <v>563</v>
      </c>
      <c r="CH203" s="214" t="s">
        <v>13550</v>
      </c>
      <c r="CI203" s="214" t="s">
        <v>34544</v>
      </c>
      <c r="CJ203" s="214" t="s">
        <v>70</v>
      </c>
      <c r="CK203" s="214" t="s">
        <v>530</v>
      </c>
      <c r="CM203" s="214" t="s">
        <v>13551</v>
      </c>
      <c r="CN203" s="214" t="s">
        <v>484</v>
      </c>
      <c r="CO203" s="214" t="s">
        <v>70</v>
      </c>
      <c r="CP203" s="214" t="s">
        <v>530</v>
      </c>
      <c r="CR203" s="214" t="s">
        <v>13552</v>
      </c>
      <c r="CS203" s="214" t="s">
        <v>488</v>
      </c>
      <c r="CT203" s="214" t="s">
        <v>70</v>
      </c>
      <c r="CU203" s="214" t="s">
        <v>530</v>
      </c>
      <c r="CW203" s="214" t="s">
        <v>13553</v>
      </c>
      <c r="CX203" s="214" t="s">
        <v>164</v>
      </c>
      <c r="CY203" s="214" t="s">
        <v>70</v>
      </c>
      <c r="CZ203" s="214" t="s">
        <v>530</v>
      </c>
      <c r="DB203" s="214" t="s">
        <v>13554</v>
      </c>
      <c r="DC203" s="214" t="s">
        <v>485</v>
      </c>
      <c r="DD203" s="214" t="s">
        <v>70</v>
      </c>
      <c r="DE203" s="214" t="s">
        <v>530</v>
      </c>
      <c r="DG203" s="214" t="s">
        <v>13555</v>
      </c>
      <c r="DH203" s="214" t="s">
        <v>484</v>
      </c>
      <c r="DI203" s="214" t="s">
        <v>70</v>
      </c>
      <c r="DJ203" s="214" t="s">
        <v>530</v>
      </c>
      <c r="DL203" s="214" t="s">
        <v>13556</v>
      </c>
      <c r="DM203" s="214" t="s">
        <v>52</v>
      </c>
      <c r="DN203" s="214" t="s">
        <v>70</v>
      </c>
      <c r="DO203" s="214" t="s">
        <v>530</v>
      </c>
      <c r="DQ203" s="214" t="s">
        <v>13557</v>
      </c>
      <c r="DR203" s="214" t="s">
        <v>955</v>
      </c>
      <c r="DS203" s="214" t="s">
        <v>70</v>
      </c>
      <c r="DT203" s="214" t="s">
        <v>530</v>
      </c>
      <c r="DV203" s="214" t="s">
        <v>13558</v>
      </c>
      <c r="DW203" s="214" t="s">
        <v>87</v>
      </c>
      <c r="DX203" s="214" t="s">
        <v>70</v>
      </c>
      <c r="DY203" s="214" t="s">
        <v>530</v>
      </c>
      <c r="EA203" s="214" t="s">
        <v>13559</v>
      </c>
      <c r="EB203" s="214" t="s">
        <v>93</v>
      </c>
      <c r="EC203" s="214" t="s">
        <v>70</v>
      </c>
      <c r="ED203" s="214" t="s">
        <v>530</v>
      </c>
      <c r="EF203" s="214" t="s">
        <v>13560</v>
      </c>
      <c r="EG203" s="214" t="s">
        <v>487</v>
      </c>
      <c r="EH203" s="214" t="s">
        <v>70</v>
      </c>
      <c r="EI203" s="214" t="s">
        <v>530</v>
      </c>
      <c r="EK203" s="214" t="s">
        <v>13561</v>
      </c>
      <c r="EL203" s="214" t="s">
        <v>145</v>
      </c>
      <c r="EM203" s="214" t="s">
        <v>70</v>
      </c>
      <c r="EN203" s="214" t="s">
        <v>530</v>
      </c>
      <c r="EP203" s="214" t="s">
        <v>13562</v>
      </c>
      <c r="EQ203" s="214" t="s">
        <v>492</v>
      </c>
      <c r="ER203" s="214" t="s">
        <v>70</v>
      </c>
      <c r="ES203" s="214" t="s">
        <v>530</v>
      </c>
      <c r="EU203" s="214" t="s">
        <v>13563</v>
      </c>
      <c r="EV203" s="214" t="s">
        <v>52</v>
      </c>
      <c r="EW203" s="214" t="s">
        <v>70</v>
      </c>
      <c r="EX203" s="214" t="s">
        <v>530</v>
      </c>
      <c r="EZ203" s="214" t="s">
        <v>13564</v>
      </c>
      <c r="FA203" s="214" t="s">
        <v>204</v>
      </c>
      <c r="FB203" s="214" t="s">
        <v>70</v>
      </c>
      <c r="FC203" s="214" t="s">
        <v>530</v>
      </c>
      <c r="FE203" s="214" t="s">
        <v>13565</v>
      </c>
      <c r="FF203" s="214" t="s">
        <v>485</v>
      </c>
      <c r="FG203" s="214" t="s">
        <v>70</v>
      </c>
      <c r="FH203" s="214" t="s">
        <v>530</v>
      </c>
      <c r="FJ203" s="321" t="s">
        <v>13566</v>
      </c>
      <c r="FK203" s="214" t="s">
        <v>798</v>
      </c>
      <c r="FL203" s="214" t="s">
        <v>70</v>
      </c>
      <c r="FM203" s="214" t="s">
        <v>530</v>
      </c>
      <c r="FO203" s="321" t="s">
        <v>13567</v>
      </c>
      <c r="FP203" s="214" t="s">
        <v>491</v>
      </c>
      <c r="FQ203" s="214" t="s">
        <v>70</v>
      </c>
      <c r="FR203" s="214" t="s">
        <v>530</v>
      </c>
      <c r="FT203" s="321" t="s">
        <v>13568</v>
      </c>
      <c r="FU203" s="214" t="s">
        <v>955</v>
      </c>
      <c r="FV203" s="214" t="s">
        <v>70</v>
      </c>
      <c r="FW203" s="214" t="s">
        <v>530</v>
      </c>
      <c r="FY203" s="321" t="s">
        <v>13569</v>
      </c>
      <c r="FZ203" s="214" t="s">
        <v>599</v>
      </c>
      <c r="GA203" s="214" t="s">
        <v>70</v>
      </c>
      <c r="GB203" s="214" t="s">
        <v>530</v>
      </c>
      <c r="GD203" s="321" t="s">
        <v>13570</v>
      </c>
      <c r="GE203" s="214" t="s">
        <v>468</v>
      </c>
      <c r="GF203" s="214" t="s">
        <v>70</v>
      </c>
      <c r="GG203" s="214" t="s">
        <v>530</v>
      </c>
      <c r="GI203" s="321" t="s">
        <v>13571</v>
      </c>
      <c r="GJ203" s="214" t="s">
        <v>484</v>
      </c>
      <c r="GK203" s="214" t="s">
        <v>70</v>
      </c>
      <c r="GL203" s="214" t="s">
        <v>530</v>
      </c>
      <c r="GN203" s="321" t="s">
        <v>13572</v>
      </c>
      <c r="GO203" s="214" t="s">
        <v>34544</v>
      </c>
      <c r="GP203" s="214" t="s">
        <v>70</v>
      </c>
      <c r="GQ203" s="214" t="s">
        <v>530</v>
      </c>
      <c r="GS203" s="321" t="s">
        <v>13573</v>
      </c>
      <c r="GT203" s="214" t="s">
        <v>52</v>
      </c>
      <c r="GU203" s="214" t="s">
        <v>70</v>
      </c>
      <c r="GV203" s="214" t="s">
        <v>530</v>
      </c>
      <c r="GX203" s="214" t="s">
        <v>13574</v>
      </c>
      <c r="GY203" s="214" t="s">
        <v>34539</v>
      </c>
      <c r="GZ203" s="214" t="s">
        <v>70</v>
      </c>
      <c r="HA203" s="214" t="s">
        <v>530</v>
      </c>
      <c r="HC203" s="214" t="s">
        <v>13575</v>
      </c>
      <c r="HD203" s="214" t="s">
        <v>88</v>
      </c>
      <c r="HE203" s="214" t="s">
        <v>70</v>
      </c>
      <c r="HF203" s="214" t="s">
        <v>530</v>
      </c>
      <c r="HH203" s="214" t="s">
        <v>13576</v>
      </c>
      <c r="HI203" s="214" t="s">
        <v>496</v>
      </c>
      <c r="HJ203" s="214" t="s">
        <v>70</v>
      </c>
      <c r="HK203" s="214" t="s">
        <v>530</v>
      </c>
      <c r="HM203" s="214" t="s">
        <v>13577</v>
      </c>
      <c r="HN203" s="214" t="s">
        <v>910</v>
      </c>
      <c r="HO203" s="214" t="s">
        <v>70</v>
      </c>
      <c r="HP203" s="214" t="s">
        <v>530</v>
      </c>
      <c r="HR203" s="22" t="s">
        <v>13578</v>
      </c>
      <c r="HS203" s="22" t="s">
        <v>34551</v>
      </c>
      <c r="HT203" s="22" t="s">
        <v>70</v>
      </c>
      <c r="HU203" s="214" t="s">
        <v>530</v>
      </c>
      <c r="HW203" s="22" t="s">
        <v>13579</v>
      </c>
      <c r="HX203" s="22" t="s">
        <v>933</v>
      </c>
      <c r="HY203" s="22" t="s">
        <v>70</v>
      </c>
      <c r="HZ203" s="214" t="s">
        <v>530</v>
      </c>
      <c r="IB203" s="22" t="s">
        <v>13580</v>
      </c>
      <c r="IC203" s="22" t="s">
        <v>287</v>
      </c>
      <c r="ID203" s="22" t="s">
        <v>70</v>
      </c>
      <c r="IE203" s="214" t="s">
        <v>530</v>
      </c>
      <c r="IG203" s="22" t="s">
        <v>13581</v>
      </c>
      <c r="IH203" s="22" t="s">
        <v>519</v>
      </c>
      <c r="II203" s="22" t="s">
        <v>70</v>
      </c>
      <c r="IJ203" s="214" t="s">
        <v>530</v>
      </c>
      <c r="IL203" s="22" t="s">
        <v>13582</v>
      </c>
      <c r="IM203" s="22" t="s">
        <v>145</v>
      </c>
      <c r="IN203" s="22" t="s">
        <v>70</v>
      </c>
      <c r="IO203" s="214" t="s">
        <v>530</v>
      </c>
      <c r="IQ203" s="236" t="s">
        <v>13583</v>
      </c>
      <c r="IR203" s="236" t="s">
        <v>145</v>
      </c>
      <c r="IS203" s="236" t="s">
        <v>74</v>
      </c>
      <c r="IT203" s="236" t="s">
        <v>841</v>
      </c>
      <c r="IV203" s="236" t="s">
        <v>13584</v>
      </c>
      <c r="IW203" s="236" t="s">
        <v>145</v>
      </c>
      <c r="IX203" s="236" t="s">
        <v>74</v>
      </c>
      <c r="IY203" s="236" t="s">
        <v>841</v>
      </c>
      <c r="JA203" s="236" t="s">
        <v>13585</v>
      </c>
      <c r="JB203" s="236" t="s">
        <v>145</v>
      </c>
      <c r="JC203" s="236" t="s">
        <v>74</v>
      </c>
      <c r="JD203" s="236" t="s">
        <v>841</v>
      </c>
      <c r="JF203" s="236" t="s">
        <v>13586</v>
      </c>
      <c r="JG203" s="236" t="s">
        <v>145</v>
      </c>
      <c r="JH203" s="236" t="s">
        <v>74</v>
      </c>
      <c r="JI203" s="236" t="s">
        <v>841</v>
      </c>
      <c r="JK203" s="236" t="s">
        <v>13587</v>
      </c>
      <c r="JL203" s="236" t="s">
        <v>145</v>
      </c>
      <c r="JM203" s="236" t="s">
        <v>74</v>
      </c>
      <c r="JN203" s="236" t="s">
        <v>841</v>
      </c>
      <c r="JP203" s="236" t="s">
        <v>13588</v>
      </c>
      <c r="JQ203" s="236" t="s">
        <v>145</v>
      </c>
      <c r="JR203" s="236" t="s">
        <v>74</v>
      </c>
      <c r="JS203" s="236" t="s">
        <v>841</v>
      </c>
      <c r="JU203" s="294" t="s">
        <v>13589</v>
      </c>
      <c r="JV203" s="294" t="s">
        <v>52</v>
      </c>
      <c r="JW203" s="263" t="s">
        <v>70</v>
      </c>
      <c r="JX203" s="294" t="s">
        <v>1083</v>
      </c>
      <c r="JZ203" s="263" t="s">
        <v>13590</v>
      </c>
      <c r="KA203" s="263" t="s">
        <v>145</v>
      </c>
      <c r="KB203" s="263" t="s">
        <v>70</v>
      </c>
      <c r="KC203" s="263" t="s">
        <v>1083</v>
      </c>
      <c r="KE203" s="263" t="s">
        <v>13591</v>
      </c>
      <c r="KF203" s="263" t="s">
        <v>52</v>
      </c>
      <c r="KG203" s="263" t="s">
        <v>70</v>
      </c>
      <c r="KH203" s="263" t="s">
        <v>1083</v>
      </c>
      <c r="KJ203" s="263" t="s">
        <v>13592</v>
      </c>
      <c r="KK203" s="263" t="s">
        <v>52</v>
      </c>
      <c r="KL203" s="263" t="s">
        <v>74</v>
      </c>
      <c r="KM203" s="263" t="s">
        <v>34074</v>
      </c>
      <c r="KO203" s="214" t="s">
        <v>13593</v>
      </c>
      <c r="KP203" s="214" t="s">
        <v>145</v>
      </c>
      <c r="KQ203" s="214" t="s">
        <v>70</v>
      </c>
      <c r="KR203" s="214" t="s">
        <v>67</v>
      </c>
      <c r="KT203" s="22" t="s">
        <v>13594</v>
      </c>
      <c r="KU203" s="22" t="s">
        <v>145</v>
      </c>
      <c r="KV203" s="22" t="s">
        <v>70</v>
      </c>
      <c r="KW203" s="22" t="s">
        <v>67</v>
      </c>
      <c r="KY203" s="214" t="s">
        <v>13595</v>
      </c>
      <c r="KZ203" s="214" t="s">
        <v>52</v>
      </c>
      <c r="LA203" s="214" t="s">
        <v>74</v>
      </c>
      <c r="LB203" s="214" t="s">
        <v>67</v>
      </c>
      <c r="LD203" s="22" t="s">
        <v>13596</v>
      </c>
      <c r="LE203" s="22" t="s">
        <v>145</v>
      </c>
      <c r="LF203" s="22" t="s">
        <v>70</v>
      </c>
      <c r="LG203" s="22" t="s">
        <v>67</v>
      </c>
    </row>
    <row r="204" spans="1:319">
      <c r="A204" s="22" t="s">
        <v>13597</v>
      </c>
      <c r="B204" s="22" t="s">
        <v>145</v>
      </c>
      <c r="C204" s="22" t="s">
        <v>70</v>
      </c>
      <c r="D204" s="22" t="s">
        <v>67</v>
      </c>
      <c r="F204" s="73" t="s">
        <v>13598</v>
      </c>
      <c r="G204" s="22" t="s">
        <v>145</v>
      </c>
      <c r="H204" s="22" t="s">
        <v>70</v>
      </c>
      <c r="I204" s="22" t="s">
        <v>67</v>
      </c>
      <c r="K204" s="22" t="s">
        <v>13599</v>
      </c>
      <c r="L204" s="22" t="s">
        <v>145</v>
      </c>
      <c r="M204" s="22" t="s">
        <v>70</v>
      </c>
      <c r="N204" s="22" t="s">
        <v>67</v>
      </c>
      <c r="P204" s="22" t="s">
        <v>13600</v>
      </c>
      <c r="Q204" s="22" t="s">
        <v>145</v>
      </c>
      <c r="R204" s="22" t="s">
        <v>70</v>
      </c>
      <c r="S204" s="22" t="s">
        <v>67</v>
      </c>
      <c r="U204" s="293" t="s">
        <v>13601</v>
      </c>
      <c r="V204" s="293" t="s">
        <v>145</v>
      </c>
      <c r="W204" s="293" t="s">
        <v>74</v>
      </c>
      <c r="X204" s="293" t="s">
        <v>656</v>
      </c>
      <c r="Z204" s="293" t="s">
        <v>13602</v>
      </c>
      <c r="AA204" s="293" t="s">
        <v>145</v>
      </c>
      <c r="AB204" s="293" t="s">
        <v>74</v>
      </c>
      <c r="AC204" s="293" t="s">
        <v>656</v>
      </c>
      <c r="AE204" s="293" t="s">
        <v>13603</v>
      </c>
      <c r="AF204" s="293" t="s">
        <v>145</v>
      </c>
      <c r="AG204" s="293" t="s">
        <v>74</v>
      </c>
      <c r="AH204" s="293" t="s">
        <v>656</v>
      </c>
      <c r="AJ204" s="293" t="s">
        <v>13604</v>
      </c>
      <c r="AK204" s="293" t="s">
        <v>145</v>
      </c>
      <c r="AL204" s="293" t="s">
        <v>74</v>
      </c>
      <c r="AM204" s="293" t="s">
        <v>656</v>
      </c>
      <c r="AO204" s="22" t="s">
        <v>13605</v>
      </c>
      <c r="AP204" s="22" t="s">
        <v>145</v>
      </c>
      <c r="AQ204" s="22" t="s">
        <v>70</v>
      </c>
      <c r="AR204" s="22" t="s">
        <v>67</v>
      </c>
      <c r="AT204" s="22" t="s">
        <v>13606</v>
      </c>
      <c r="AU204" s="22" t="s">
        <v>145</v>
      </c>
      <c r="AV204" s="22" t="s">
        <v>70</v>
      </c>
      <c r="AW204" s="22" t="s">
        <v>67</v>
      </c>
      <c r="AY204" s="22" t="s">
        <v>13607</v>
      </c>
      <c r="AZ204" s="22" t="s">
        <v>145</v>
      </c>
      <c r="BA204" s="22" t="s">
        <v>70</v>
      </c>
      <c r="BB204" s="22" t="s">
        <v>67</v>
      </c>
      <c r="BD204" s="22" t="s">
        <v>13608</v>
      </c>
      <c r="BE204" s="22" t="s">
        <v>145</v>
      </c>
      <c r="BF204" s="22" t="s">
        <v>70</v>
      </c>
      <c r="BG204" s="22" t="s">
        <v>67</v>
      </c>
      <c r="BI204" s="22" t="s">
        <v>13609</v>
      </c>
      <c r="BJ204" s="22" t="s">
        <v>145</v>
      </c>
      <c r="BK204" s="22" t="s">
        <v>70</v>
      </c>
      <c r="BL204" s="22" t="s">
        <v>67</v>
      </c>
      <c r="BN204" s="22" t="s">
        <v>13610</v>
      </c>
      <c r="BO204" s="22" t="s">
        <v>145</v>
      </c>
      <c r="BP204" s="22" t="s">
        <v>70</v>
      </c>
      <c r="BQ204" s="22" t="s">
        <v>67</v>
      </c>
      <c r="BS204" s="22" t="s">
        <v>13611</v>
      </c>
      <c r="BT204" s="22" t="s">
        <v>145</v>
      </c>
      <c r="BU204" s="22" t="s">
        <v>70</v>
      </c>
      <c r="BV204" s="214" t="s">
        <v>530</v>
      </c>
      <c r="BX204" s="22" t="s">
        <v>13612</v>
      </c>
      <c r="BY204" s="22" t="s">
        <v>145</v>
      </c>
      <c r="BZ204" s="22" t="s">
        <v>70</v>
      </c>
      <c r="CA204" s="214" t="s">
        <v>530</v>
      </c>
      <c r="CC204" s="214" t="s">
        <v>13613</v>
      </c>
      <c r="CD204" s="218" t="s">
        <v>145</v>
      </c>
      <c r="CE204" s="214" t="s">
        <v>70</v>
      </c>
      <c r="CF204" s="214" t="s">
        <v>564</v>
      </c>
      <c r="CH204" s="214" t="s">
        <v>13614</v>
      </c>
      <c r="CI204" s="214" t="s">
        <v>468</v>
      </c>
      <c r="CJ204" s="214" t="s">
        <v>70</v>
      </c>
      <c r="CK204" s="214" t="s">
        <v>530</v>
      </c>
      <c r="CM204" s="214" t="s">
        <v>13615</v>
      </c>
      <c r="CN204" s="214" t="s">
        <v>485</v>
      </c>
      <c r="CO204" s="214" t="s">
        <v>70</v>
      </c>
      <c r="CP204" s="214" t="s">
        <v>530</v>
      </c>
      <c r="CR204" s="214" t="s">
        <v>13616</v>
      </c>
      <c r="CS204" s="214" t="s">
        <v>103</v>
      </c>
      <c r="CT204" s="214" t="s">
        <v>70</v>
      </c>
      <c r="CU204" s="214" t="s">
        <v>530</v>
      </c>
      <c r="CW204" s="214" t="s">
        <v>13617</v>
      </c>
      <c r="CX204" s="214" t="s">
        <v>148</v>
      </c>
      <c r="CY204" s="214" t="s">
        <v>70</v>
      </c>
      <c r="CZ204" s="214" t="s">
        <v>530</v>
      </c>
      <c r="DB204" s="214" t="s">
        <v>13618</v>
      </c>
      <c r="DC204" s="214" t="s">
        <v>34545</v>
      </c>
      <c r="DD204" s="214" t="s">
        <v>70</v>
      </c>
      <c r="DE204" s="214" t="s">
        <v>530</v>
      </c>
      <c r="DG204" s="214" t="s">
        <v>13619</v>
      </c>
      <c r="DH204" s="214" t="s">
        <v>604</v>
      </c>
      <c r="DI204" s="214" t="s">
        <v>70</v>
      </c>
      <c r="DJ204" s="214" t="s">
        <v>530</v>
      </c>
      <c r="DL204" s="214" t="s">
        <v>13620</v>
      </c>
      <c r="DM204" s="214" t="s">
        <v>87</v>
      </c>
      <c r="DN204" s="214" t="s">
        <v>70</v>
      </c>
      <c r="DO204" s="214" t="s">
        <v>530</v>
      </c>
      <c r="DQ204" s="214" t="s">
        <v>13621</v>
      </c>
      <c r="DR204" s="214" t="s">
        <v>146</v>
      </c>
      <c r="DS204" s="214" t="s">
        <v>70</v>
      </c>
      <c r="DT204" s="214" t="s">
        <v>530</v>
      </c>
      <c r="DV204" s="214" t="s">
        <v>13622</v>
      </c>
      <c r="DW204" s="214" t="s">
        <v>490</v>
      </c>
      <c r="DX204" s="214" t="s">
        <v>70</v>
      </c>
      <c r="DY204" s="214" t="s">
        <v>530</v>
      </c>
      <c r="EA204" s="214" t="s">
        <v>13623</v>
      </c>
      <c r="EB204" s="214" t="s">
        <v>34556</v>
      </c>
      <c r="EC204" s="214" t="s">
        <v>70</v>
      </c>
      <c r="ED204" s="214" t="s">
        <v>530</v>
      </c>
      <c r="EF204" s="214" t="s">
        <v>13624</v>
      </c>
      <c r="EG204" s="214" t="s">
        <v>52</v>
      </c>
      <c r="EH204" s="214" t="s">
        <v>70</v>
      </c>
      <c r="EI204" s="214" t="s">
        <v>530</v>
      </c>
      <c r="EK204" s="214" t="s">
        <v>13625</v>
      </c>
      <c r="EL204" s="214" t="s">
        <v>52</v>
      </c>
      <c r="EM204" s="214" t="s">
        <v>70</v>
      </c>
      <c r="EN204" s="214" t="s">
        <v>530</v>
      </c>
      <c r="EP204" s="214" t="s">
        <v>13626</v>
      </c>
      <c r="EQ204" s="214" t="s">
        <v>10541</v>
      </c>
      <c r="ER204" s="214" t="s">
        <v>70</v>
      </c>
      <c r="ES204" s="214" t="s">
        <v>530</v>
      </c>
      <c r="EU204" s="214" t="s">
        <v>13627</v>
      </c>
      <c r="EV204" s="214" t="s">
        <v>52</v>
      </c>
      <c r="EW204" s="214" t="s">
        <v>70</v>
      </c>
      <c r="EX204" s="214" t="s">
        <v>530</v>
      </c>
      <c r="EZ204" s="214" t="s">
        <v>13628</v>
      </c>
      <c r="FA204" s="214" t="s">
        <v>34546</v>
      </c>
      <c r="FB204" s="214" t="s">
        <v>70</v>
      </c>
      <c r="FC204" s="214" t="s">
        <v>530</v>
      </c>
      <c r="FE204" s="214" t="s">
        <v>13629</v>
      </c>
      <c r="FF204" s="214" t="s">
        <v>85</v>
      </c>
      <c r="FG204" s="214" t="s">
        <v>70</v>
      </c>
      <c r="FH204" s="214" t="s">
        <v>530</v>
      </c>
      <c r="FJ204" s="321" t="s">
        <v>13630</v>
      </c>
      <c r="FK204" s="214" t="s">
        <v>34579</v>
      </c>
      <c r="FL204" s="214" t="s">
        <v>70</v>
      </c>
      <c r="FM204" s="214" t="s">
        <v>530</v>
      </c>
      <c r="FO204" s="321" t="s">
        <v>13631</v>
      </c>
      <c r="FP204" s="214" t="s">
        <v>485</v>
      </c>
      <c r="FQ204" s="214" t="s">
        <v>70</v>
      </c>
      <c r="FR204" s="214" t="s">
        <v>530</v>
      </c>
      <c r="FT204" s="321" t="s">
        <v>13632</v>
      </c>
      <c r="FU204" s="214" t="s">
        <v>52</v>
      </c>
      <c r="FV204" s="214" t="s">
        <v>70</v>
      </c>
      <c r="FW204" s="214" t="s">
        <v>530</v>
      </c>
      <c r="FY204" s="321" t="s">
        <v>13633</v>
      </c>
      <c r="FZ204" s="214" t="s">
        <v>204</v>
      </c>
      <c r="GA204" s="214" t="s">
        <v>70</v>
      </c>
      <c r="GB204" s="214" t="s">
        <v>530</v>
      </c>
      <c r="GD204" s="321" t="s">
        <v>13634</v>
      </c>
      <c r="GE204" s="214" t="s">
        <v>103</v>
      </c>
      <c r="GF204" s="214" t="s">
        <v>70</v>
      </c>
      <c r="GG204" s="214" t="s">
        <v>530</v>
      </c>
      <c r="GI204" s="321" t="s">
        <v>13635</v>
      </c>
      <c r="GJ204" s="214" t="s">
        <v>34565</v>
      </c>
      <c r="GK204" s="214" t="s">
        <v>70</v>
      </c>
      <c r="GL204" s="214" t="s">
        <v>530</v>
      </c>
      <c r="GN204" s="321" t="s">
        <v>13636</v>
      </c>
      <c r="GO204" s="214" t="s">
        <v>467</v>
      </c>
      <c r="GP204" s="214" t="s">
        <v>70</v>
      </c>
      <c r="GQ204" s="214" t="s">
        <v>530</v>
      </c>
      <c r="GS204" s="321" t="s">
        <v>13637</v>
      </c>
      <c r="GT204" s="214" t="s">
        <v>52</v>
      </c>
      <c r="GU204" s="214" t="s">
        <v>70</v>
      </c>
      <c r="GV204" s="214" t="s">
        <v>530</v>
      </c>
      <c r="GX204" s="214" t="s">
        <v>13638</v>
      </c>
      <c r="GY204" s="214" t="s">
        <v>937</v>
      </c>
      <c r="GZ204" s="214" t="s">
        <v>70</v>
      </c>
      <c r="HA204" s="214" t="s">
        <v>530</v>
      </c>
      <c r="HC204" s="214" t="s">
        <v>13639</v>
      </c>
      <c r="HD204" s="214" t="s">
        <v>93</v>
      </c>
      <c r="HE204" s="214" t="s">
        <v>70</v>
      </c>
      <c r="HF204" s="214" t="s">
        <v>530</v>
      </c>
      <c r="HH204" s="214" t="s">
        <v>13640</v>
      </c>
      <c r="HI204" s="214" t="s">
        <v>34553</v>
      </c>
      <c r="HJ204" s="214" t="s">
        <v>70</v>
      </c>
      <c r="HK204" s="214" t="s">
        <v>530</v>
      </c>
      <c r="HM204" s="214" t="s">
        <v>13641</v>
      </c>
      <c r="HN204" s="214" t="s">
        <v>34560</v>
      </c>
      <c r="HO204" s="214" t="s">
        <v>70</v>
      </c>
      <c r="HP204" s="214" t="s">
        <v>530</v>
      </c>
      <c r="HR204" s="22" t="s">
        <v>13642</v>
      </c>
      <c r="HS204" s="22" t="s">
        <v>52</v>
      </c>
      <c r="HT204" s="22" t="s">
        <v>70</v>
      </c>
      <c r="HU204" s="214" t="s">
        <v>530</v>
      </c>
      <c r="HW204" s="22" t="s">
        <v>13643</v>
      </c>
      <c r="HX204" s="22" t="s">
        <v>211</v>
      </c>
      <c r="HY204" s="22" t="s">
        <v>70</v>
      </c>
      <c r="HZ204" s="214" t="s">
        <v>530</v>
      </c>
      <c r="IB204" s="22" t="s">
        <v>13644</v>
      </c>
      <c r="IC204" s="22" t="s">
        <v>34560</v>
      </c>
      <c r="ID204" s="22" t="s">
        <v>70</v>
      </c>
      <c r="IE204" s="214" t="s">
        <v>530</v>
      </c>
      <c r="IG204" s="22" t="s">
        <v>13645</v>
      </c>
      <c r="IH204" s="22" t="s">
        <v>206</v>
      </c>
      <c r="II204" s="22" t="s">
        <v>70</v>
      </c>
      <c r="IJ204" s="214" t="s">
        <v>530</v>
      </c>
      <c r="IL204" s="22" t="s">
        <v>13646</v>
      </c>
      <c r="IM204" s="22" t="s">
        <v>145</v>
      </c>
      <c r="IN204" s="22" t="s">
        <v>70</v>
      </c>
      <c r="IO204" s="214" t="s">
        <v>530</v>
      </c>
      <c r="IQ204" s="236" t="s">
        <v>13647</v>
      </c>
      <c r="IR204" s="236" t="s">
        <v>145</v>
      </c>
      <c r="IS204" s="236" t="s">
        <v>74</v>
      </c>
      <c r="IT204" s="236" t="s">
        <v>841</v>
      </c>
      <c r="IV204" s="236" t="s">
        <v>13648</v>
      </c>
      <c r="IW204" s="236" t="s">
        <v>145</v>
      </c>
      <c r="IX204" s="236" t="s">
        <v>74</v>
      </c>
      <c r="IY204" s="236" t="s">
        <v>841</v>
      </c>
      <c r="JA204" s="236" t="s">
        <v>13649</v>
      </c>
      <c r="JB204" s="236" t="s">
        <v>145</v>
      </c>
      <c r="JC204" s="236" t="s">
        <v>74</v>
      </c>
      <c r="JD204" s="236" t="s">
        <v>841</v>
      </c>
      <c r="JF204" s="236" t="s">
        <v>13650</v>
      </c>
      <c r="JG204" s="236" t="s">
        <v>145</v>
      </c>
      <c r="JH204" s="236" t="s">
        <v>74</v>
      </c>
      <c r="JI204" s="236" t="s">
        <v>841</v>
      </c>
      <c r="JK204" s="236" t="s">
        <v>13651</v>
      </c>
      <c r="JL204" s="236" t="s">
        <v>145</v>
      </c>
      <c r="JM204" s="236" t="s">
        <v>74</v>
      </c>
      <c r="JN204" s="236" t="s">
        <v>841</v>
      </c>
      <c r="JP204" s="236" t="s">
        <v>13652</v>
      </c>
      <c r="JQ204" s="236" t="s">
        <v>145</v>
      </c>
      <c r="JR204" s="236" t="s">
        <v>74</v>
      </c>
      <c r="JS204" s="236" t="s">
        <v>841</v>
      </c>
      <c r="JU204" s="294" t="s">
        <v>13653</v>
      </c>
      <c r="JV204" s="294" t="s">
        <v>52</v>
      </c>
      <c r="JW204" s="263" t="s">
        <v>70</v>
      </c>
      <c r="JX204" s="294" t="s">
        <v>1083</v>
      </c>
      <c r="JZ204" s="263" t="s">
        <v>13654</v>
      </c>
      <c r="KA204" s="263" t="s">
        <v>145</v>
      </c>
      <c r="KB204" s="263" t="s">
        <v>70</v>
      </c>
      <c r="KC204" s="263" t="s">
        <v>1083</v>
      </c>
      <c r="KE204" s="263" t="s">
        <v>13655</v>
      </c>
      <c r="KF204" s="263" t="s">
        <v>52</v>
      </c>
      <c r="KG204" s="263" t="s">
        <v>70</v>
      </c>
      <c r="KH204" s="263" t="s">
        <v>1083</v>
      </c>
      <c r="KJ204" s="263" t="s">
        <v>13656</v>
      </c>
      <c r="KK204" s="263" t="s">
        <v>52</v>
      </c>
      <c r="KL204" s="263" t="s">
        <v>74</v>
      </c>
      <c r="KM204" s="263" t="s">
        <v>34074</v>
      </c>
      <c r="KO204" s="214" t="s">
        <v>13657</v>
      </c>
      <c r="KP204" s="214" t="s">
        <v>145</v>
      </c>
      <c r="KQ204" s="214" t="s">
        <v>70</v>
      </c>
      <c r="KR204" s="214" t="s">
        <v>67</v>
      </c>
      <c r="KT204" s="22" t="s">
        <v>13658</v>
      </c>
      <c r="KU204" s="22" t="s">
        <v>145</v>
      </c>
      <c r="KV204" s="22" t="s">
        <v>70</v>
      </c>
      <c r="KW204" s="22" t="s">
        <v>67</v>
      </c>
      <c r="KY204" s="214" t="s">
        <v>13659</v>
      </c>
      <c r="KZ204" s="214" t="s">
        <v>52</v>
      </c>
      <c r="LA204" s="214" t="s">
        <v>74</v>
      </c>
      <c r="LB204" s="214" t="s">
        <v>67</v>
      </c>
      <c r="LD204" s="22" t="s">
        <v>13660</v>
      </c>
      <c r="LE204" s="22" t="s">
        <v>145</v>
      </c>
      <c r="LF204" s="22" t="s">
        <v>70</v>
      </c>
      <c r="LG204" s="22" t="s">
        <v>67</v>
      </c>
    </row>
    <row r="205" spans="1:319">
      <c r="A205" s="22" t="s">
        <v>13661</v>
      </c>
      <c r="B205" s="22" t="s">
        <v>145</v>
      </c>
      <c r="C205" s="22" t="s">
        <v>70</v>
      </c>
      <c r="D205" s="22" t="s">
        <v>67</v>
      </c>
      <c r="F205" s="73" t="s">
        <v>13662</v>
      </c>
      <c r="G205" s="22" t="s">
        <v>145</v>
      </c>
      <c r="H205" s="22" t="s">
        <v>70</v>
      </c>
      <c r="I205" s="22" t="s">
        <v>67</v>
      </c>
      <c r="K205" s="22" t="s">
        <v>13663</v>
      </c>
      <c r="L205" s="22" t="s">
        <v>145</v>
      </c>
      <c r="M205" s="22" t="s">
        <v>70</v>
      </c>
      <c r="N205" s="22" t="s">
        <v>67</v>
      </c>
      <c r="P205" s="22" t="s">
        <v>13664</v>
      </c>
      <c r="Q205" s="22" t="s">
        <v>145</v>
      </c>
      <c r="R205" s="22" t="s">
        <v>70</v>
      </c>
      <c r="S205" s="22" t="s">
        <v>67</v>
      </c>
      <c r="U205" s="293" t="s">
        <v>13665</v>
      </c>
      <c r="V205" s="293" t="s">
        <v>145</v>
      </c>
      <c r="W205" s="293" t="s">
        <v>74</v>
      </c>
      <c r="X205" s="293" t="s">
        <v>656</v>
      </c>
      <c r="Z205" s="293" t="s">
        <v>13666</v>
      </c>
      <c r="AA205" s="293" t="s">
        <v>145</v>
      </c>
      <c r="AB205" s="293" t="s">
        <v>74</v>
      </c>
      <c r="AC205" s="293" t="s">
        <v>656</v>
      </c>
      <c r="AE205" s="293" t="s">
        <v>13667</v>
      </c>
      <c r="AF205" s="293" t="s">
        <v>145</v>
      </c>
      <c r="AG205" s="293" t="s">
        <v>74</v>
      </c>
      <c r="AH205" s="293" t="s">
        <v>656</v>
      </c>
      <c r="AJ205" s="293" t="s">
        <v>13668</v>
      </c>
      <c r="AK205" s="293" t="s">
        <v>145</v>
      </c>
      <c r="AL205" s="293" t="s">
        <v>74</v>
      </c>
      <c r="AM205" s="293" t="s">
        <v>656</v>
      </c>
      <c r="AO205" s="22" t="s">
        <v>13669</v>
      </c>
      <c r="AP205" s="22" t="s">
        <v>145</v>
      </c>
      <c r="AQ205" s="22" t="s">
        <v>70</v>
      </c>
      <c r="AR205" s="22" t="s">
        <v>67</v>
      </c>
      <c r="AT205" s="22" t="s">
        <v>13670</v>
      </c>
      <c r="AU205" s="22" t="s">
        <v>145</v>
      </c>
      <c r="AV205" s="22" t="s">
        <v>70</v>
      </c>
      <c r="AW205" s="22" t="s">
        <v>67</v>
      </c>
      <c r="AY205" s="22" t="s">
        <v>13671</v>
      </c>
      <c r="AZ205" s="22" t="s">
        <v>145</v>
      </c>
      <c r="BA205" s="22" t="s">
        <v>70</v>
      </c>
      <c r="BB205" s="22" t="s">
        <v>67</v>
      </c>
      <c r="BD205" s="22" t="s">
        <v>13672</v>
      </c>
      <c r="BE205" s="22" t="s">
        <v>145</v>
      </c>
      <c r="BF205" s="22" t="s">
        <v>70</v>
      </c>
      <c r="BG205" s="22" t="s">
        <v>67</v>
      </c>
      <c r="BI205" s="22" t="s">
        <v>13673</v>
      </c>
      <c r="BJ205" s="22" t="s">
        <v>145</v>
      </c>
      <c r="BK205" s="22" t="s">
        <v>70</v>
      </c>
      <c r="BL205" s="22" t="s">
        <v>67</v>
      </c>
      <c r="BN205" s="22" t="s">
        <v>13674</v>
      </c>
      <c r="BO205" s="22" t="s">
        <v>145</v>
      </c>
      <c r="BP205" s="22" t="s">
        <v>70</v>
      </c>
      <c r="BQ205" s="22" t="s">
        <v>67</v>
      </c>
      <c r="BS205" s="22" t="s">
        <v>13675</v>
      </c>
      <c r="BT205" s="22" t="s">
        <v>145</v>
      </c>
      <c r="BU205" s="22" t="s">
        <v>70</v>
      </c>
      <c r="BV205" s="214" t="s">
        <v>530</v>
      </c>
      <c r="BX205" s="22" t="s">
        <v>13676</v>
      </c>
      <c r="BY205" s="22" t="s">
        <v>145</v>
      </c>
      <c r="BZ205" s="22" t="s">
        <v>70</v>
      </c>
      <c r="CA205" s="214" t="s">
        <v>530</v>
      </c>
      <c r="CC205" s="214" t="s">
        <v>13677</v>
      </c>
      <c r="CD205" s="218" t="s">
        <v>145</v>
      </c>
      <c r="CE205" s="214" t="s">
        <v>70</v>
      </c>
      <c r="CF205" s="214" t="s">
        <v>565</v>
      </c>
      <c r="CH205" s="214" t="s">
        <v>13678</v>
      </c>
      <c r="CI205" s="214" t="s">
        <v>926</v>
      </c>
      <c r="CJ205" s="214" t="s">
        <v>70</v>
      </c>
      <c r="CK205" s="214" t="s">
        <v>530</v>
      </c>
      <c r="CM205" s="214" t="s">
        <v>13679</v>
      </c>
      <c r="CN205" s="214" t="s">
        <v>146</v>
      </c>
      <c r="CO205" s="214" t="s">
        <v>70</v>
      </c>
      <c r="CP205" s="214" t="s">
        <v>530</v>
      </c>
      <c r="CR205" s="214" t="s">
        <v>13680</v>
      </c>
      <c r="CS205" s="214" t="s">
        <v>484</v>
      </c>
      <c r="CT205" s="214" t="s">
        <v>70</v>
      </c>
      <c r="CU205" s="214" t="s">
        <v>530</v>
      </c>
      <c r="CW205" s="214" t="s">
        <v>13681</v>
      </c>
      <c r="CX205" s="214" t="s">
        <v>486</v>
      </c>
      <c r="CY205" s="214" t="s">
        <v>70</v>
      </c>
      <c r="CZ205" s="214" t="s">
        <v>530</v>
      </c>
      <c r="DB205" s="214" t="s">
        <v>13682</v>
      </c>
      <c r="DC205" s="214" t="s">
        <v>34561</v>
      </c>
      <c r="DD205" s="214" t="s">
        <v>70</v>
      </c>
      <c r="DE205" s="214" t="s">
        <v>530</v>
      </c>
      <c r="DG205" s="214" t="s">
        <v>13683</v>
      </c>
      <c r="DH205" s="214" t="s">
        <v>146</v>
      </c>
      <c r="DI205" s="214" t="s">
        <v>70</v>
      </c>
      <c r="DJ205" s="214" t="s">
        <v>530</v>
      </c>
      <c r="DL205" s="214" t="s">
        <v>13684</v>
      </c>
      <c r="DM205" s="214" t="s">
        <v>92</v>
      </c>
      <c r="DN205" s="214" t="s">
        <v>70</v>
      </c>
      <c r="DO205" s="214" t="s">
        <v>530</v>
      </c>
      <c r="DQ205" s="214" t="s">
        <v>13685</v>
      </c>
      <c r="DR205" s="214" t="s">
        <v>34516</v>
      </c>
      <c r="DS205" s="214" t="s">
        <v>70</v>
      </c>
      <c r="DT205" s="214" t="s">
        <v>530</v>
      </c>
      <c r="DV205" s="214" t="s">
        <v>13686</v>
      </c>
      <c r="DW205" s="214" t="s">
        <v>502</v>
      </c>
      <c r="DX205" s="214" t="s">
        <v>70</v>
      </c>
      <c r="DY205" s="214" t="s">
        <v>530</v>
      </c>
      <c r="EA205" s="214" t="s">
        <v>13687</v>
      </c>
      <c r="EB205" s="214" t="s">
        <v>34541</v>
      </c>
      <c r="EC205" s="214" t="s">
        <v>70</v>
      </c>
      <c r="ED205" s="214" t="s">
        <v>530</v>
      </c>
      <c r="EF205" s="214" t="s">
        <v>13688</v>
      </c>
      <c r="EG205" s="214" t="s">
        <v>468</v>
      </c>
      <c r="EH205" s="214" t="s">
        <v>70</v>
      </c>
      <c r="EI205" s="214" t="s">
        <v>530</v>
      </c>
      <c r="EK205" s="214" t="s">
        <v>13689</v>
      </c>
      <c r="EL205" s="214" t="s">
        <v>485</v>
      </c>
      <c r="EM205" s="214" t="s">
        <v>70</v>
      </c>
      <c r="EN205" s="214" t="s">
        <v>530</v>
      </c>
      <c r="EP205" s="214" t="s">
        <v>13690</v>
      </c>
      <c r="EQ205" s="214" t="s">
        <v>484</v>
      </c>
      <c r="ER205" s="214" t="s">
        <v>70</v>
      </c>
      <c r="ES205" s="214" t="s">
        <v>530</v>
      </c>
      <c r="EU205" s="214" t="s">
        <v>13691</v>
      </c>
      <c r="EV205" s="214" t="s">
        <v>468</v>
      </c>
      <c r="EW205" s="214" t="s">
        <v>70</v>
      </c>
      <c r="EX205" s="214" t="s">
        <v>530</v>
      </c>
      <c r="EZ205" s="214" t="s">
        <v>13692</v>
      </c>
      <c r="FA205" s="214" t="s">
        <v>492</v>
      </c>
      <c r="FB205" s="214" t="s">
        <v>70</v>
      </c>
      <c r="FC205" s="214" t="s">
        <v>530</v>
      </c>
      <c r="FE205" s="214" t="s">
        <v>13693</v>
      </c>
      <c r="FF205" s="214" t="s">
        <v>34542</v>
      </c>
      <c r="FG205" s="214" t="s">
        <v>70</v>
      </c>
      <c r="FH205" s="214" t="s">
        <v>530</v>
      </c>
      <c r="FJ205" s="321" t="s">
        <v>13694</v>
      </c>
      <c r="FK205" s="214" t="s">
        <v>34558</v>
      </c>
      <c r="FL205" s="214" t="s">
        <v>70</v>
      </c>
      <c r="FM205" s="214" t="s">
        <v>530</v>
      </c>
      <c r="FO205" s="321" t="s">
        <v>13695</v>
      </c>
      <c r="FP205" s="214" t="s">
        <v>935</v>
      </c>
      <c r="FQ205" s="214" t="s">
        <v>70</v>
      </c>
      <c r="FR205" s="214" t="s">
        <v>530</v>
      </c>
      <c r="FT205" s="321" t="s">
        <v>13696</v>
      </c>
      <c r="FU205" s="214" t="s">
        <v>10541</v>
      </c>
      <c r="FV205" s="214" t="s">
        <v>70</v>
      </c>
      <c r="FW205" s="214" t="s">
        <v>530</v>
      </c>
      <c r="FY205" s="321" t="s">
        <v>13697</v>
      </c>
      <c r="FZ205" s="214" t="s">
        <v>529</v>
      </c>
      <c r="GA205" s="214" t="s">
        <v>70</v>
      </c>
      <c r="GB205" s="214" t="s">
        <v>530</v>
      </c>
      <c r="GD205" s="321" t="s">
        <v>13698</v>
      </c>
      <c r="GE205" s="214" t="s">
        <v>956</v>
      </c>
      <c r="GF205" s="214" t="s">
        <v>70</v>
      </c>
      <c r="GG205" s="214" t="s">
        <v>530</v>
      </c>
      <c r="GI205" s="321" t="s">
        <v>13699</v>
      </c>
      <c r="GJ205" s="214" t="s">
        <v>146</v>
      </c>
      <c r="GK205" s="214" t="s">
        <v>70</v>
      </c>
      <c r="GL205" s="214" t="s">
        <v>530</v>
      </c>
      <c r="GN205" s="321" t="s">
        <v>13700</v>
      </c>
      <c r="GO205" s="214" t="s">
        <v>491</v>
      </c>
      <c r="GP205" s="214" t="s">
        <v>70</v>
      </c>
      <c r="GQ205" s="214" t="s">
        <v>530</v>
      </c>
      <c r="GS205" s="321" t="s">
        <v>13701</v>
      </c>
      <c r="GT205" s="214" t="s">
        <v>203</v>
      </c>
      <c r="GU205" s="214" t="s">
        <v>70</v>
      </c>
      <c r="GV205" s="214" t="s">
        <v>530</v>
      </c>
      <c r="GX205" s="214" t="s">
        <v>13702</v>
      </c>
      <c r="GY205" s="214" t="s">
        <v>34539</v>
      </c>
      <c r="GZ205" s="214" t="s">
        <v>70</v>
      </c>
      <c r="HA205" s="214" t="s">
        <v>530</v>
      </c>
      <c r="HC205" s="214" t="s">
        <v>13703</v>
      </c>
      <c r="HD205" s="214" t="s">
        <v>88</v>
      </c>
      <c r="HE205" s="214" t="s">
        <v>70</v>
      </c>
      <c r="HF205" s="214" t="s">
        <v>530</v>
      </c>
      <c r="HH205" s="214" t="s">
        <v>13704</v>
      </c>
      <c r="HI205" s="214" t="s">
        <v>482</v>
      </c>
      <c r="HJ205" s="214" t="s">
        <v>70</v>
      </c>
      <c r="HK205" s="214" t="s">
        <v>530</v>
      </c>
      <c r="HM205" s="214" t="s">
        <v>13705</v>
      </c>
      <c r="HN205" s="214" t="s">
        <v>34567</v>
      </c>
      <c r="HO205" s="214" t="s">
        <v>70</v>
      </c>
      <c r="HP205" s="214" t="s">
        <v>530</v>
      </c>
      <c r="HR205" s="22" t="s">
        <v>13706</v>
      </c>
      <c r="HS205" s="22" t="s">
        <v>34540</v>
      </c>
      <c r="HT205" s="22" t="s">
        <v>70</v>
      </c>
      <c r="HU205" s="214" t="s">
        <v>530</v>
      </c>
      <c r="HW205" s="22" t="s">
        <v>13707</v>
      </c>
      <c r="HX205" s="22" t="s">
        <v>88</v>
      </c>
      <c r="HY205" s="22" t="s">
        <v>70</v>
      </c>
      <c r="HZ205" s="214" t="s">
        <v>530</v>
      </c>
      <c r="IB205" s="22" t="s">
        <v>13708</v>
      </c>
      <c r="IC205" s="22" t="s">
        <v>484</v>
      </c>
      <c r="ID205" s="22" t="s">
        <v>70</v>
      </c>
      <c r="IE205" s="214" t="s">
        <v>530</v>
      </c>
      <c r="IG205" s="22" t="s">
        <v>13709</v>
      </c>
      <c r="IH205" s="22" t="s">
        <v>34226</v>
      </c>
      <c r="II205" s="22" t="s">
        <v>70</v>
      </c>
      <c r="IJ205" s="214" t="s">
        <v>530</v>
      </c>
      <c r="IL205" s="22" t="s">
        <v>13710</v>
      </c>
      <c r="IM205" s="22" t="s">
        <v>145</v>
      </c>
      <c r="IN205" s="22" t="s">
        <v>70</v>
      </c>
      <c r="IO205" s="214" t="s">
        <v>530</v>
      </c>
      <c r="IQ205" s="236" t="s">
        <v>13711</v>
      </c>
      <c r="IR205" s="236" t="s">
        <v>145</v>
      </c>
      <c r="IS205" s="236" t="s">
        <v>74</v>
      </c>
      <c r="IT205" s="236" t="s">
        <v>841</v>
      </c>
      <c r="IV205" s="236" t="s">
        <v>13712</v>
      </c>
      <c r="IW205" s="236" t="s">
        <v>145</v>
      </c>
      <c r="IX205" s="236" t="s">
        <v>74</v>
      </c>
      <c r="IY205" s="236" t="s">
        <v>841</v>
      </c>
      <c r="JA205" s="236" t="s">
        <v>13713</v>
      </c>
      <c r="JB205" s="236" t="s">
        <v>145</v>
      </c>
      <c r="JC205" s="236" t="s">
        <v>74</v>
      </c>
      <c r="JD205" s="236" t="s">
        <v>841</v>
      </c>
      <c r="JF205" s="236" t="s">
        <v>13714</v>
      </c>
      <c r="JG205" s="236" t="s">
        <v>145</v>
      </c>
      <c r="JH205" s="236" t="s">
        <v>74</v>
      </c>
      <c r="JI205" s="236" t="s">
        <v>841</v>
      </c>
      <c r="JK205" s="236" t="s">
        <v>13715</v>
      </c>
      <c r="JL205" s="236" t="s">
        <v>145</v>
      </c>
      <c r="JM205" s="236" t="s">
        <v>74</v>
      </c>
      <c r="JN205" s="236" t="s">
        <v>841</v>
      </c>
      <c r="JP205" s="236" t="s">
        <v>13716</v>
      </c>
      <c r="JQ205" s="236" t="s">
        <v>145</v>
      </c>
      <c r="JR205" s="236" t="s">
        <v>74</v>
      </c>
      <c r="JS205" s="236" t="s">
        <v>841</v>
      </c>
      <c r="JU205" s="294" t="s">
        <v>13717</v>
      </c>
      <c r="JV205" s="294" t="s">
        <v>52</v>
      </c>
      <c r="JW205" s="263" t="s">
        <v>70</v>
      </c>
      <c r="JX205" s="294" t="s">
        <v>1083</v>
      </c>
      <c r="JZ205" s="263" t="s">
        <v>13718</v>
      </c>
      <c r="KA205" s="263" t="s">
        <v>145</v>
      </c>
      <c r="KB205" s="263" t="s">
        <v>70</v>
      </c>
      <c r="KC205" s="263" t="s">
        <v>1083</v>
      </c>
      <c r="KE205" s="263" t="s">
        <v>13719</v>
      </c>
      <c r="KF205" s="263" t="s">
        <v>52</v>
      </c>
      <c r="KG205" s="263" t="s">
        <v>70</v>
      </c>
      <c r="KH205" s="263" t="s">
        <v>1083</v>
      </c>
      <c r="KJ205" s="263" t="s">
        <v>13720</v>
      </c>
      <c r="KK205" s="263" t="s">
        <v>52</v>
      </c>
      <c r="KL205" s="263" t="s">
        <v>74</v>
      </c>
      <c r="KM205" s="263" t="s">
        <v>34074</v>
      </c>
      <c r="KO205" s="214" t="s">
        <v>13721</v>
      </c>
      <c r="KP205" s="214" t="s">
        <v>145</v>
      </c>
      <c r="KQ205" s="214" t="s">
        <v>70</v>
      </c>
      <c r="KR205" s="214" t="s">
        <v>67</v>
      </c>
      <c r="KT205" s="22" t="s">
        <v>13722</v>
      </c>
      <c r="KU205" s="22" t="s">
        <v>145</v>
      </c>
      <c r="KV205" s="22" t="s">
        <v>70</v>
      </c>
      <c r="KW205" s="22" t="s">
        <v>67</v>
      </c>
      <c r="KY205" s="214" t="s">
        <v>13723</v>
      </c>
      <c r="KZ205" s="214" t="s">
        <v>52</v>
      </c>
      <c r="LA205" s="214" t="s">
        <v>74</v>
      </c>
      <c r="LB205" s="214" t="s">
        <v>67</v>
      </c>
      <c r="LD205" s="22" t="s">
        <v>13724</v>
      </c>
      <c r="LE205" s="22" t="s">
        <v>145</v>
      </c>
      <c r="LF205" s="22" t="s">
        <v>70</v>
      </c>
      <c r="LG205" s="22" t="s">
        <v>67</v>
      </c>
    </row>
    <row r="206" spans="1:319">
      <c r="A206" s="22" t="s">
        <v>13725</v>
      </c>
      <c r="B206" s="22" t="s">
        <v>145</v>
      </c>
      <c r="C206" s="22" t="s">
        <v>70</v>
      </c>
      <c r="D206" s="22" t="s">
        <v>67</v>
      </c>
      <c r="F206" s="73" t="s">
        <v>13726</v>
      </c>
      <c r="G206" s="22" t="s">
        <v>145</v>
      </c>
      <c r="H206" s="22" t="s">
        <v>70</v>
      </c>
      <c r="I206" s="22" t="s">
        <v>67</v>
      </c>
      <c r="K206" s="22" t="s">
        <v>13727</v>
      </c>
      <c r="L206" s="22" t="s">
        <v>145</v>
      </c>
      <c r="M206" s="22" t="s">
        <v>70</v>
      </c>
      <c r="N206" s="22" t="s">
        <v>67</v>
      </c>
      <c r="P206" s="22" t="s">
        <v>13728</v>
      </c>
      <c r="Q206" s="22" t="s">
        <v>145</v>
      </c>
      <c r="R206" s="22" t="s">
        <v>70</v>
      </c>
      <c r="S206" s="22" t="s">
        <v>67</v>
      </c>
      <c r="U206" s="293" t="s">
        <v>13729</v>
      </c>
      <c r="V206" s="293" t="s">
        <v>145</v>
      </c>
      <c r="W206" s="293" t="s">
        <v>74</v>
      </c>
      <c r="X206" s="293" t="s">
        <v>656</v>
      </c>
      <c r="Z206" s="293" t="s">
        <v>13730</v>
      </c>
      <c r="AA206" s="293" t="s">
        <v>145</v>
      </c>
      <c r="AB206" s="293" t="s">
        <v>74</v>
      </c>
      <c r="AC206" s="293" t="s">
        <v>656</v>
      </c>
      <c r="AE206" s="293" t="s">
        <v>13731</v>
      </c>
      <c r="AF206" s="293" t="s">
        <v>145</v>
      </c>
      <c r="AG206" s="293" t="s">
        <v>74</v>
      </c>
      <c r="AH206" s="293" t="s">
        <v>656</v>
      </c>
      <c r="AJ206" s="293" t="s">
        <v>13732</v>
      </c>
      <c r="AK206" s="293" t="s">
        <v>145</v>
      </c>
      <c r="AL206" s="293" t="s">
        <v>74</v>
      </c>
      <c r="AM206" s="293" t="s">
        <v>656</v>
      </c>
      <c r="AO206" s="22" t="s">
        <v>13733</v>
      </c>
      <c r="AP206" s="22" t="s">
        <v>145</v>
      </c>
      <c r="AQ206" s="22" t="s">
        <v>70</v>
      </c>
      <c r="AR206" s="22" t="s">
        <v>67</v>
      </c>
      <c r="AT206" s="22" t="s">
        <v>13734</v>
      </c>
      <c r="AU206" s="22" t="s">
        <v>145</v>
      </c>
      <c r="AV206" s="22" t="s">
        <v>70</v>
      </c>
      <c r="AW206" s="22" t="s">
        <v>67</v>
      </c>
      <c r="AY206" s="22" t="s">
        <v>13735</v>
      </c>
      <c r="AZ206" s="22" t="s">
        <v>145</v>
      </c>
      <c r="BA206" s="22" t="s">
        <v>70</v>
      </c>
      <c r="BB206" s="22" t="s">
        <v>67</v>
      </c>
      <c r="BD206" s="22" t="s">
        <v>13736</v>
      </c>
      <c r="BE206" s="22" t="s">
        <v>145</v>
      </c>
      <c r="BF206" s="22" t="s">
        <v>70</v>
      </c>
      <c r="BG206" s="22" t="s">
        <v>67</v>
      </c>
      <c r="BI206" s="22" t="s">
        <v>13737</v>
      </c>
      <c r="BJ206" s="22" t="s">
        <v>145</v>
      </c>
      <c r="BK206" s="22" t="s">
        <v>70</v>
      </c>
      <c r="BL206" s="22" t="s">
        <v>67</v>
      </c>
      <c r="BN206" s="22" t="s">
        <v>13738</v>
      </c>
      <c r="BO206" s="22" t="s">
        <v>145</v>
      </c>
      <c r="BP206" s="22" t="s">
        <v>70</v>
      </c>
      <c r="BQ206" s="22" t="s">
        <v>67</v>
      </c>
      <c r="BS206" s="22" t="s">
        <v>13739</v>
      </c>
      <c r="BT206" s="22" t="s">
        <v>145</v>
      </c>
      <c r="BU206" s="22" t="s">
        <v>70</v>
      </c>
      <c r="BV206" s="214" t="s">
        <v>530</v>
      </c>
      <c r="BX206" s="22" t="s">
        <v>13740</v>
      </c>
      <c r="BY206" s="22" t="s">
        <v>145</v>
      </c>
      <c r="BZ206" s="22" t="s">
        <v>70</v>
      </c>
      <c r="CA206" s="214" t="s">
        <v>530</v>
      </c>
      <c r="CC206" s="214" t="s">
        <v>13741</v>
      </c>
      <c r="CD206" s="218" t="s">
        <v>145</v>
      </c>
      <c r="CE206" s="214" t="s">
        <v>70</v>
      </c>
      <c r="CF206" s="214" t="s">
        <v>566</v>
      </c>
      <c r="CH206" s="214" t="s">
        <v>13742</v>
      </c>
      <c r="CI206" s="214" t="s">
        <v>52</v>
      </c>
      <c r="CJ206" s="214" t="s">
        <v>70</v>
      </c>
      <c r="CK206" s="214" t="s">
        <v>530</v>
      </c>
      <c r="CM206" s="214" t="s">
        <v>13743</v>
      </c>
      <c r="CN206" s="214" t="s">
        <v>85</v>
      </c>
      <c r="CO206" s="214" t="s">
        <v>70</v>
      </c>
      <c r="CP206" s="214" t="s">
        <v>530</v>
      </c>
      <c r="CR206" s="214" t="s">
        <v>13744</v>
      </c>
      <c r="CS206" s="214" t="s">
        <v>497</v>
      </c>
      <c r="CT206" s="214" t="s">
        <v>70</v>
      </c>
      <c r="CU206" s="214" t="s">
        <v>530</v>
      </c>
      <c r="CW206" s="214" t="s">
        <v>13745</v>
      </c>
      <c r="CX206" s="214" t="s">
        <v>912</v>
      </c>
      <c r="CY206" s="214" t="s">
        <v>70</v>
      </c>
      <c r="CZ206" s="214" t="s">
        <v>530</v>
      </c>
      <c r="DB206" s="214" t="s">
        <v>13746</v>
      </c>
      <c r="DC206" s="214" t="s">
        <v>10541</v>
      </c>
      <c r="DD206" s="214" t="s">
        <v>70</v>
      </c>
      <c r="DE206" s="214" t="s">
        <v>530</v>
      </c>
      <c r="DG206" s="214" t="s">
        <v>13747</v>
      </c>
      <c r="DH206" s="214" t="s">
        <v>85</v>
      </c>
      <c r="DI206" s="214" t="s">
        <v>70</v>
      </c>
      <c r="DJ206" s="214" t="s">
        <v>530</v>
      </c>
      <c r="DL206" s="214" t="s">
        <v>13748</v>
      </c>
      <c r="DM206" s="214" t="s">
        <v>52</v>
      </c>
      <c r="DN206" s="214" t="s">
        <v>70</v>
      </c>
      <c r="DO206" s="214" t="s">
        <v>530</v>
      </c>
      <c r="DQ206" s="214" t="s">
        <v>13749</v>
      </c>
      <c r="DR206" s="214" t="s">
        <v>146</v>
      </c>
      <c r="DS206" s="214" t="s">
        <v>70</v>
      </c>
      <c r="DT206" s="214" t="s">
        <v>530</v>
      </c>
      <c r="DV206" s="214" t="s">
        <v>13750</v>
      </c>
      <c r="DW206" s="214" t="s">
        <v>492</v>
      </c>
      <c r="DX206" s="214" t="s">
        <v>70</v>
      </c>
      <c r="DY206" s="214" t="s">
        <v>530</v>
      </c>
      <c r="EA206" s="214" t="s">
        <v>13751</v>
      </c>
      <c r="EB206" s="214" t="s">
        <v>518</v>
      </c>
      <c r="EC206" s="214" t="s">
        <v>70</v>
      </c>
      <c r="ED206" s="214" t="s">
        <v>530</v>
      </c>
      <c r="EF206" s="214" t="s">
        <v>13752</v>
      </c>
      <c r="EG206" s="214" t="s">
        <v>52</v>
      </c>
      <c r="EH206" s="214" t="s">
        <v>70</v>
      </c>
      <c r="EI206" s="214" t="s">
        <v>530</v>
      </c>
      <c r="EK206" s="214" t="s">
        <v>13753</v>
      </c>
      <c r="EL206" s="214" t="s">
        <v>148</v>
      </c>
      <c r="EM206" s="214" t="s">
        <v>70</v>
      </c>
      <c r="EN206" s="214" t="s">
        <v>530</v>
      </c>
      <c r="EP206" s="214" t="s">
        <v>13754</v>
      </c>
      <c r="EQ206" s="214" t="s">
        <v>949</v>
      </c>
      <c r="ER206" s="214" t="s">
        <v>70</v>
      </c>
      <c r="ES206" s="214" t="s">
        <v>530</v>
      </c>
      <c r="EU206" s="214" t="s">
        <v>13755</v>
      </c>
      <c r="EV206" s="214" t="s">
        <v>145</v>
      </c>
      <c r="EW206" s="214" t="s">
        <v>70</v>
      </c>
      <c r="EX206" s="214" t="s">
        <v>530</v>
      </c>
      <c r="EZ206" s="214" t="s">
        <v>13756</v>
      </c>
      <c r="FA206" s="214" t="s">
        <v>34581</v>
      </c>
      <c r="FB206" s="214" t="s">
        <v>70</v>
      </c>
      <c r="FC206" s="214" t="s">
        <v>530</v>
      </c>
      <c r="FE206" s="214" t="s">
        <v>13757</v>
      </c>
      <c r="FF206" s="214" t="s">
        <v>937</v>
      </c>
      <c r="FG206" s="214" t="s">
        <v>70</v>
      </c>
      <c r="FH206" s="214" t="s">
        <v>530</v>
      </c>
      <c r="FJ206" s="321" t="s">
        <v>13758</v>
      </c>
      <c r="FK206" s="214" t="s">
        <v>941</v>
      </c>
      <c r="FL206" s="214" t="s">
        <v>70</v>
      </c>
      <c r="FM206" s="214" t="s">
        <v>530</v>
      </c>
      <c r="FO206" s="321" t="s">
        <v>13759</v>
      </c>
      <c r="FP206" s="214" t="s">
        <v>34548</v>
      </c>
      <c r="FQ206" s="214" t="s">
        <v>70</v>
      </c>
      <c r="FR206" s="214" t="s">
        <v>530</v>
      </c>
      <c r="FT206" s="321" t="s">
        <v>13760</v>
      </c>
      <c r="FU206" s="214" t="s">
        <v>286</v>
      </c>
      <c r="FV206" s="214" t="s">
        <v>70</v>
      </c>
      <c r="FW206" s="214" t="s">
        <v>530</v>
      </c>
      <c r="FY206" s="321" t="s">
        <v>13761</v>
      </c>
      <c r="FZ206" s="214" t="s">
        <v>917</v>
      </c>
      <c r="GA206" s="214" t="s">
        <v>70</v>
      </c>
      <c r="GB206" s="214" t="s">
        <v>530</v>
      </c>
      <c r="GD206" s="321" t="s">
        <v>13762</v>
      </c>
      <c r="GE206" s="214" t="s">
        <v>88</v>
      </c>
      <c r="GF206" s="214" t="s">
        <v>70</v>
      </c>
      <c r="GG206" s="214" t="s">
        <v>530</v>
      </c>
      <c r="GI206" s="321" t="s">
        <v>13763</v>
      </c>
      <c r="GJ206" s="214" t="s">
        <v>34655</v>
      </c>
      <c r="GK206" s="214" t="s">
        <v>70</v>
      </c>
      <c r="GL206" s="214" t="s">
        <v>530</v>
      </c>
      <c r="GN206" s="321" t="s">
        <v>13764</v>
      </c>
      <c r="GO206" s="214" t="s">
        <v>52</v>
      </c>
      <c r="GP206" s="214" t="s">
        <v>70</v>
      </c>
      <c r="GQ206" s="214" t="s">
        <v>530</v>
      </c>
      <c r="GS206" s="321" t="s">
        <v>13765</v>
      </c>
      <c r="GT206" s="214" t="s">
        <v>34581</v>
      </c>
      <c r="GU206" s="214" t="s">
        <v>70</v>
      </c>
      <c r="GV206" s="214" t="s">
        <v>530</v>
      </c>
      <c r="GX206" s="214" t="s">
        <v>13766</v>
      </c>
      <c r="GY206" s="214" t="s">
        <v>34597</v>
      </c>
      <c r="GZ206" s="214" t="s">
        <v>70</v>
      </c>
      <c r="HA206" s="214" t="s">
        <v>530</v>
      </c>
      <c r="HC206" s="214" t="s">
        <v>13767</v>
      </c>
      <c r="HD206" s="214" t="s">
        <v>52</v>
      </c>
      <c r="HE206" s="214" t="s">
        <v>70</v>
      </c>
      <c r="HF206" s="214" t="s">
        <v>530</v>
      </c>
      <c r="HH206" s="214" t="s">
        <v>13768</v>
      </c>
      <c r="HI206" s="214" t="s">
        <v>945</v>
      </c>
      <c r="HJ206" s="214" t="s">
        <v>70</v>
      </c>
      <c r="HK206" s="214" t="s">
        <v>530</v>
      </c>
      <c r="HM206" s="214" t="s">
        <v>13769</v>
      </c>
      <c r="HN206" s="214" t="s">
        <v>164</v>
      </c>
      <c r="HO206" s="214" t="s">
        <v>70</v>
      </c>
      <c r="HP206" s="214" t="s">
        <v>530</v>
      </c>
      <c r="HR206" s="22" t="s">
        <v>13770</v>
      </c>
      <c r="HS206" s="22" t="s">
        <v>148</v>
      </c>
      <c r="HT206" s="22" t="s">
        <v>70</v>
      </c>
      <c r="HU206" s="214" t="s">
        <v>530</v>
      </c>
      <c r="HW206" s="22" t="s">
        <v>13771</v>
      </c>
      <c r="HX206" s="22" t="s">
        <v>292</v>
      </c>
      <c r="HY206" s="22" t="s">
        <v>70</v>
      </c>
      <c r="HZ206" s="214" t="s">
        <v>530</v>
      </c>
      <c r="IB206" s="22" t="s">
        <v>13772</v>
      </c>
      <c r="IC206" s="22" t="s">
        <v>912</v>
      </c>
      <c r="ID206" s="22" t="s">
        <v>70</v>
      </c>
      <c r="IE206" s="214" t="s">
        <v>530</v>
      </c>
      <c r="IG206" s="22" t="s">
        <v>13773</v>
      </c>
      <c r="IH206" s="22" t="s">
        <v>34613</v>
      </c>
      <c r="II206" s="22" t="s">
        <v>70</v>
      </c>
      <c r="IJ206" s="214" t="s">
        <v>530</v>
      </c>
      <c r="IL206" s="22" t="s">
        <v>13774</v>
      </c>
      <c r="IM206" s="22" t="s">
        <v>145</v>
      </c>
      <c r="IN206" s="22" t="s">
        <v>70</v>
      </c>
      <c r="IO206" s="214" t="s">
        <v>530</v>
      </c>
      <c r="IQ206" s="236" t="s">
        <v>13775</v>
      </c>
      <c r="IR206" s="236" t="s">
        <v>145</v>
      </c>
      <c r="IS206" s="236" t="s">
        <v>74</v>
      </c>
      <c r="IT206" s="236" t="s">
        <v>841</v>
      </c>
      <c r="IV206" s="236" t="s">
        <v>13776</v>
      </c>
      <c r="IW206" s="236" t="s">
        <v>145</v>
      </c>
      <c r="IX206" s="236" t="s">
        <v>74</v>
      </c>
      <c r="IY206" s="236" t="s">
        <v>841</v>
      </c>
      <c r="JA206" s="236" t="s">
        <v>13777</v>
      </c>
      <c r="JB206" s="236" t="s">
        <v>145</v>
      </c>
      <c r="JC206" s="236" t="s">
        <v>74</v>
      </c>
      <c r="JD206" s="236" t="s">
        <v>841</v>
      </c>
      <c r="JF206" s="236" t="s">
        <v>13778</v>
      </c>
      <c r="JG206" s="236" t="s">
        <v>145</v>
      </c>
      <c r="JH206" s="236" t="s">
        <v>74</v>
      </c>
      <c r="JI206" s="236" t="s">
        <v>841</v>
      </c>
      <c r="JK206" s="236" t="s">
        <v>13779</v>
      </c>
      <c r="JL206" s="236" t="s">
        <v>145</v>
      </c>
      <c r="JM206" s="236" t="s">
        <v>74</v>
      </c>
      <c r="JN206" s="236" t="s">
        <v>841</v>
      </c>
      <c r="JP206" s="236" t="s">
        <v>13780</v>
      </c>
      <c r="JQ206" s="236" t="s">
        <v>145</v>
      </c>
      <c r="JR206" s="236" t="s">
        <v>74</v>
      </c>
      <c r="JS206" s="236" t="s">
        <v>841</v>
      </c>
      <c r="JU206" s="294" t="s">
        <v>13781</v>
      </c>
      <c r="JV206" s="294" t="s">
        <v>52</v>
      </c>
      <c r="JW206" s="263" t="s">
        <v>70</v>
      </c>
      <c r="JX206" s="294" t="s">
        <v>1083</v>
      </c>
      <c r="JZ206" s="263" t="s">
        <v>13782</v>
      </c>
      <c r="KA206" s="263" t="s">
        <v>145</v>
      </c>
      <c r="KB206" s="263" t="s">
        <v>70</v>
      </c>
      <c r="KC206" s="263" t="s">
        <v>1083</v>
      </c>
      <c r="KE206" s="263" t="s">
        <v>13783</v>
      </c>
      <c r="KF206" s="263" t="s">
        <v>52</v>
      </c>
      <c r="KG206" s="263" t="s">
        <v>70</v>
      </c>
      <c r="KH206" s="263" t="s">
        <v>1083</v>
      </c>
      <c r="KJ206" s="263" t="s">
        <v>13784</v>
      </c>
      <c r="KK206" s="263" t="s">
        <v>52</v>
      </c>
      <c r="KL206" s="263" t="s">
        <v>74</v>
      </c>
      <c r="KM206" s="263" t="s">
        <v>34074</v>
      </c>
      <c r="KO206" s="214" t="s">
        <v>13785</v>
      </c>
      <c r="KP206" s="214" t="s">
        <v>145</v>
      </c>
      <c r="KQ206" s="214" t="s">
        <v>70</v>
      </c>
      <c r="KR206" s="214" t="s">
        <v>67</v>
      </c>
      <c r="KT206" s="22" t="s">
        <v>13786</v>
      </c>
      <c r="KU206" s="22" t="s">
        <v>145</v>
      </c>
      <c r="KV206" s="22" t="s">
        <v>70</v>
      </c>
      <c r="KW206" s="22" t="s">
        <v>67</v>
      </c>
      <c r="KY206" s="214" t="s">
        <v>13787</v>
      </c>
      <c r="KZ206" s="214" t="s">
        <v>52</v>
      </c>
      <c r="LA206" s="214" t="s">
        <v>74</v>
      </c>
      <c r="LB206" s="214" t="s">
        <v>67</v>
      </c>
      <c r="LD206" s="22" t="s">
        <v>13788</v>
      </c>
      <c r="LE206" s="22" t="s">
        <v>145</v>
      </c>
      <c r="LF206" s="22" t="s">
        <v>70</v>
      </c>
      <c r="LG206" s="22" t="s">
        <v>67</v>
      </c>
    </row>
    <row r="207" spans="1:319">
      <c r="A207" s="22" t="s">
        <v>13789</v>
      </c>
      <c r="B207" s="22" t="s">
        <v>145</v>
      </c>
      <c r="C207" s="22" t="s">
        <v>70</v>
      </c>
      <c r="D207" s="22" t="s">
        <v>67</v>
      </c>
      <c r="F207" s="73" t="s">
        <v>13790</v>
      </c>
      <c r="G207" s="22" t="s">
        <v>145</v>
      </c>
      <c r="H207" s="22" t="s">
        <v>70</v>
      </c>
      <c r="I207" s="22" t="s">
        <v>67</v>
      </c>
      <c r="K207" s="22" t="s">
        <v>13791</v>
      </c>
      <c r="L207" s="22" t="s">
        <v>145</v>
      </c>
      <c r="M207" s="22" t="s">
        <v>70</v>
      </c>
      <c r="N207" s="22" t="s">
        <v>67</v>
      </c>
      <c r="P207" s="22" t="s">
        <v>13792</v>
      </c>
      <c r="Q207" s="22" t="s">
        <v>145</v>
      </c>
      <c r="R207" s="22" t="s">
        <v>70</v>
      </c>
      <c r="S207" s="22" t="s">
        <v>67</v>
      </c>
      <c r="U207" s="293" t="s">
        <v>13793</v>
      </c>
      <c r="V207" s="293" t="s">
        <v>145</v>
      </c>
      <c r="W207" s="293" t="s">
        <v>74</v>
      </c>
      <c r="X207" s="293" t="s">
        <v>656</v>
      </c>
      <c r="Z207" s="293" t="s">
        <v>13794</v>
      </c>
      <c r="AA207" s="293" t="s">
        <v>145</v>
      </c>
      <c r="AB207" s="293" t="s">
        <v>74</v>
      </c>
      <c r="AC207" s="293" t="s">
        <v>656</v>
      </c>
      <c r="AE207" s="293" t="s">
        <v>13795</v>
      </c>
      <c r="AF207" s="293" t="s">
        <v>145</v>
      </c>
      <c r="AG207" s="293" t="s">
        <v>74</v>
      </c>
      <c r="AH207" s="293" t="s">
        <v>656</v>
      </c>
      <c r="AJ207" s="293" t="s">
        <v>13796</v>
      </c>
      <c r="AK207" s="293" t="s">
        <v>145</v>
      </c>
      <c r="AL207" s="293" t="s">
        <v>74</v>
      </c>
      <c r="AM207" s="293" t="s">
        <v>656</v>
      </c>
      <c r="AO207" s="22" t="s">
        <v>13797</v>
      </c>
      <c r="AP207" s="22" t="s">
        <v>145</v>
      </c>
      <c r="AQ207" s="22" t="s">
        <v>70</v>
      </c>
      <c r="AR207" s="22" t="s">
        <v>67</v>
      </c>
      <c r="AT207" s="22" t="s">
        <v>13798</v>
      </c>
      <c r="AU207" s="22" t="s">
        <v>145</v>
      </c>
      <c r="AV207" s="22" t="s">
        <v>70</v>
      </c>
      <c r="AW207" s="22" t="s">
        <v>67</v>
      </c>
      <c r="AY207" s="22" t="s">
        <v>13799</v>
      </c>
      <c r="AZ207" s="22" t="s">
        <v>145</v>
      </c>
      <c r="BA207" s="22" t="s">
        <v>70</v>
      </c>
      <c r="BB207" s="22" t="s">
        <v>67</v>
      </c>
      <c r="BD207" s="22" t="s">
        <v>13800</v>
      </c>
      <c r="BE207" s="22" t="s">
        <v>145</v>
      </c>
      <c r="BF207" s="22" t="s">
        <v>70</v>
      </c>
      <c r="BG207" s="22" t="s">
        <v>67</v>
      </c>
      <c r="BI207" s="22" t="s">
        <v>13801</v>
      </c>
      <c r="BJ207" s="22" t="s">
        <v>145</v>
      </c>
      <c r="BK207" s="22" t="s">
        <v>70</v>
      </c>
      <c r="BL207" s="22" t="s">
        <v>67</v>
      </c>
      <c r="BN207" s="22" t="s">
        <v>13802</v>
      </c>
      <c r="BO207" s="22" t="s">
        <v>145</v>
      </c>
      <c r="BP207" s="22" t="s">
        <v>70</v>
      </c>
      <c r="BQ207" s="22" t="s">
        <v>67</v>
      </c>
      <c r="BS207" s="22" t="s">
        <v>13803</v>
      </c>
      <c r="BT207" s="22" t="s">
        <v>145</v>
      </c>
      <c r="BU207" s="22" t="s">
        <v>70</v>
      </c>
      <c r="BV207" s="214" t="s">
        <v>530</v>
      </c>
      <c r="BX207" s="22" t="s">
        <v>13804</v>
      </c>
      <c r="BY207" s="22" t="s">
        <v>145</v>
      </c>
      <c r="BZ207" s="22" t="s">
        <v>70</v>
      </c>
      <c r="CA207" s="214" t="s">
        <v>530</v>
      </c>
      <c r="CC207" s="214" t="s">
        <v>13805</v>
      </c>
      <c r="CD207" s="218" t="s">
        <v>145</v>
      </c>
      <c r="CE207" s="214" t="s">
        <v>70</v>
      </c>
      <c r="CF207" s="214" t="s">
        <v>567</v>
      </c>
      <c r="CH207" s="214" t="s">
        <v>13806</v>
      </c>
      <c r="CI207" s="214" t="s">
        <v>203</v>
      </c>
      <c r="CJ207" s="214" t="s">
        <v>70</v>
      </c>
      <c r="CK207" s="214" t="s">
        <v>530</v>
      </c>
      <c r="CM207" s="214" t="s">
        <v>13807</v>
      </c>
      <c r="CN207" s="214" t="s">
        <v>485</v>
      </c>
      <c r="CO207" s="214" t="s">
        <v>70</v>
      </c>
      <c r="CP207" s="214" t="s">
        <v>530</v>
      </c>
      <c r="CR207" s="214" t="s">
        <v>13808</v>
      </c>
      <c r="CS207" s="214" t="s">
        <v>146</v>
      </c>
      <c r="CT207" s="214" t="s">
        <v>70</v>
      </c>
      <c r="CU207" s="214" t="s">
        <v>530</v>
      </c>
      <c r="CW207" s="214" t="s">
        <v>13809</v>
      </c>
      <c r="CX207" s="214" t="s">
        <v>488</v>
      </c>
      <c r="CY207" s="214" t="s">
        <v>70</v>
      </c>
      <c r="CZ207" s="214" t="s">
        <v>530</v>
      </c>
      <c r="DB207" s="214" t="s">
        <v>13810</v>
      </c>
      <c r="DC207" s="214" t="s">
        <v>955</v>
      </c>
      <c r="DD207" s="214" t="s">
        <v>70</v>
      </c>
      <c r="DE207" s="214" t="s">
        <v>530</v>
      </c>
      <c r="DG207" s="214" t="s">
        <v>13811</v>
      </c>
      <c r="DH207" s="214" t="s">
        <v>921</v>
      </c>
      <c r="DI207" s="214" t="s">
        <v>70</v>
      </c>
      <c r="DJ207" s="214" t="s">
        <v>530</v>
      </c>
      <c r="DL207" s="214" t="s">
        <v>13812</v>
      </c>
      <c r="DM207" s="214" t="s">
        <v>52</v>
      </c>
      <c r="DN207" s="214" t="s">
        <v>70</v>
      </c>
      <c r="DO207" s="214" t="s">
        <v>530</v>
      </c>
      <c r="DQ207" s="214" t="s">
        <v>13813</v>
      </c>
      <c r="DR207" s="214" t="s">
        <v>85</v>
      </c>
      <c r="DS207" s="214" t="s">
        <v>70</v>
      </c>
      <c r="DT207" s="214" t="s">
        <v>530</v>
      </c>
      <c r="DV207" s="214" t="s">
        <v>13814</v>
      </c>
      <c r="DW207" s="214" t="s">
        <v>164</v>
      </c>
      <c r="DX207" s="214" t="s">
        <v>70</v>
      </c>
      <c r="DY207" s="214" t="s">
        <v>530</v>
      </c>
      <c r="EA207" s="214" t="s">
        <v>13815</v>
      </c>
      <c r="EB207" s="214" t="s">
        <v>34405</v>
      </c>
      <c r="EC207" s="214" t="s">
        <v>70</v>
      </c>
      <c r="ED207" s="214" t="s">
        <v>530</v>
      </c>
      <c r="EF207" s="214" t="s">
        <v>13816</v>
      </c>
      <c r="EG207" s="214" t="s">
        <v>203</v>
      </c>
      <c r="EH207" s="214" t="s">
        <v>70</v>
      </c>
      <c r="EI207" s="214" t="s">
        <v>530</v>
      </c>
      <c r="EK207" s="214" t="s">
        <v>13817</v>
      </c>
      <c r="EL207" s="214" t="s">
        <v>34542</v>
      </c>
      <c r="EM207" s="214" t="s">
        <v>70</v>
      </c>
      <c r="EN207" s="214" t="s">
        <v>530</v>
      </c>
      <c r="EP207" s="214" t="s">
        <v>13818</v>
      </c>
      <c r="EQ207" s="214" t="s">
        <v>492</v>
      </c>
      <c r="ER207" s="214" t="s">
        <v>70</v>
      </c>
      <c r="ES207" s="214" t="s">
        <v>530</v>
      </c>
      <c r="EU207" s="214" t="s">
        <v>13819</v>
      </c>
      <c r="EV207" s="214" t="s">
        <v>34541</v>
      </c>
      <c r="EW207" s="214" t="s">
        <v>70</v>
      </c>
      <c r="EX207" s="214" t="s">
        <v>530</v>
      </c>
      <c r="EZ207" s="214" t="s">
        <v>13820</v>
      </c>
      <c r="FA207" s="214" t="s">
        <v>501</v>
      </c>
      <c r="FB207" s="214" t="s">
        <v>70</v>
      </c>
      <c r="FC207" s="214" t="s">
        <v>530</v>
      </c>
      <c r="FE207" s="214" t="s">
        <v>13821</v>
      </c>
      <c r="FF207" s="214" t="s">
        <v>34539</v>
      </c>
      <c r="FG207" s="214" t="s">
        <v>70</v>
      </c>
      <c r="FH207" s="214" t="s">
        <v>530</v>
      </c>
      <c r="FJ207" s="321" t="s">
        <v>13822</v>
      </c>
      <c r="FK207" s="214" t="s">
        <v>798</v>
      </c>
      <c r="FL207" s="214" t="s">
        <v>70</v>
      </c>
      <c r="FM207" s="214" t="s">
        <v>530</v>
      </c>
      <c r="FO207" s="321" t="s">
        <v>13823</v>
      </c>
      <c r="FP207" s="214" t="s">
        <v>491</v>
      </c>
      <c r="FQ207" s="214" t="s">
        <v>70</v>
      </c>
      <c r="FR207" s="214" t="s">
        <v>530</v>
      </c>
      <c r="FT207" s="321" t="s">
        <v>13824</v>
      </c>
      <c r="FU207" s="214" t="s">
        <v>518</v>
      </c>
      <c r="FV207" s="214" t="s">
        <v>70</v>
      </c>
      <c r="FW207" s="214" t="s">
        <v>530</v>
      </c>
      <c r="FY207" s="321" t="s">
        <v>13825</v>
      </c>
      <c r="FZ207" s="214" t="s">
        <v>146</v>
      </c>
      <c r="GA207" s="214" t="s">
        <v>70</v>
      </c>
      <c r="GB207" s="214" t="s">
        <v>530</v>
      </c>
      <c r="GD207" s="321" t="s">
        <v>13826</v>
      </c>
      <c r="GE207" s="214" t="s">
        <v>488</v>
      </c>
      <c r="GF207" s="214" t="s">
        <v>70</v>
      </c>
      <c r="GG207" s="214" t="s">
        <v>530</v>
      </c>
      <c r="GI207" s="321" t="s">
        <v>13827</v>
      </c>
      <c r="GJ207" s="214" t="s">
        <v>486</v>
      </c>
      <c r="GK207" s="214" t="s">
        <v>70</v>
      </c>
      <c r="GL207" s="214" t="s">
        <v>530</v>
      </c>
      <c r="GN207" s="321" t="s">
        <v>13828</v>
      </c>
      <c r="GO207" s="214" t="s">
        <v>950</v>
      </c>
      <c r="GP207" s="214" t="s">
        <v>70</v>
      </c>
      <c r="GQ207" s="214" t="s">
        <v>530</v>
      </c>
      <c r="GS207" s="321" t="s">
        <v>13829</v>
      </c>
      <c r="GT207" s="214" t="s">
        <v>503</v>
      </c>
      <c r="GU207" s="214" t="s">
        <v>70</v>
      </c>
      <c r="GV207" s="214" t="s">
        <v>530</v>
      </c>
      <c r="GX207" s="214" t="s">
        <v>13830</v>
      </c>
      <c r="GY207" s="214" t="s">
        <v>34543</v>
      </c>
      <c r="GZ207" s="214" t="s">
        <v>70</v>
      </c>
      <c r="HA207" s="214" t="s">
        <v>530</v>
      </c>
      <c r="HC207" s="214" t="s">
        <v>13831</v>
      </c>
      <c r="HD207" s="214" t="s">
        <v>88</v>
      </c>
      <c r="HE207" s="214" t="s">
        <v>70</v>
      </c>
      <c r="HF207" s="214" t="s">
        <v>530</v>
      </c>
      <c r="HH207" s="214" t="s">
        <v>13832</v>
      </c>
      <c r="HI207" s="214" t="s">
        <v>518</v>
      </c>
      <c r="HJ207" s="214" t="s">
        <v>70</v>
      </c>
      <c r="HK207" s="214" t="s">
        <v>530</v>
      </c>
      <c r="HM207" s="214" t="s">
        <v>13833</v>
      </c>
      <c r="HN207" s="214" t="s">
        <v>955</v>
      </c>
      <c r="HO207" s="214" t="s">
        <v>70</v>
      </c>
      <c r="HP207" s="214" t="s">
        <v>530</v>
      </c>
      <c r="HR207" s="22" t="s">
        <v>13834</v>
      </c>
      <c r="HS207" s="22" t="s">
        <v>34542</v>
      </c>
      <c r="HT207" s="22" t="s">
        <v>70</v>
      </c>
      <c r="HU207" s="214" t="s">
        <v>530</v>
      </c>
      <c r="HW207" s="22" t="s">
        <v>13835</v>
      </c>
      <c r="HX207" s="22" t="s">
        <v>34595</v>
      </c>
      <c r="HY207" s="22" t="s">
        <v>70</v>
      </c>
      <c r="HZ207" s="214" t="s">
        <v>530</v>
      </c>
      <c r="IB207" s="22" t="s">
        <v>13836</v>
      </c>
      <c r="IC207" s="22" t="s">
        <v>488</v>
      </c>
      <c r="ID207" s="22" t="s">
        <v>70</v>
      </c>
      <c r="IE207" s="214" t="s">
        <v>530</v>
      </c>
      <c r="IG207" s="22" t="s">
        <v>13837</v>
      </c>
      <c r="IH207" s="22" t="s">
        <v>945</v>
      </c>
      <c r="II207" s="22" t="s">
        <v>70</v>
      </c>
      <c r="IJ207" s="214" t="s">
        <v>530</v>
      </c>
      <c r="IL207" s="22" t="s">
        <v>13838</v>
      </c>
      <c r="IM207" s="22" t="s">
        <v>145</v>
      </c>
      <c r="IN207" s="22" t="s">
        <v>70</v>
      </c>
      <c r="IO207" s="214" t="s">
        <v>530</v>
      </c>
      <c r="IQ207" s="236" t="s">
        <v>13839</v>
      </c>
      <c r="IR207" s="236" t="s">
        <v>145</v>
      </c>
      <c r="IS207" s="236" t="s">
        <v>74</v>
      </c>
      <c r="IT207" s="236" t="s">
        <v>841</v>
      </c>
      <c r="IV207" s="236" t="s">
        <v>13840</v>
      </c>
      <c r="IW207" s="236" t="s">
        <v>145</v>
      </c>
      <c r="IX207" s="236" t="s">
        <v>74</v>
      </c>
      <c r="IY207" s="236" t="s">
        <v>841</v>
      </c>
      <c r="JA207" s="236" t="s">
        <v>13841</v>
      </c>
      <c r="JB207" s="236" t="s">
        <v>145</v>
      </c>
      <c r="JC207" s="236" t="s">
        <v>74</v>
      </c>
      <c r="JD207" s="236" t="s">
        <v>841</v>
      </c>
      <c r="JF207" s="236" t="s">
        <v>13842</v>
      </c>
      <c r="JG207" s="236" t="s">
        <v>145</v>
      </c>
      <c r="JH207" s="236" t="s">
        <v>74</v>
      </c>
      <c r="JI207" s="236" t="s">
        <v>841</v>
      </c>
      <c r="JK207" s="236" t="s">
        <v>13843</v>
      </c>
      <c r="JL207" s="236" t="s">
        <v>145</v>
      </c>
      <c r="JM207" s="236" t="s">
        <v>74</v>
      </c>
      <c r="JN207" s="236" t="s">
        <v>841</v>
      </c>
      <c r="JP207" s="236" t="s">
        <v>13844</v>
      </c>
      <c r="JQ207" s="236" t="s">
        <v>145</v>
      </c>
      <c r="JR207" s="236" t="s">
        <v>74</v>
      </c>
      <c r="JS207" s="236" t="s">
        <v>841</v>
      </c>
      <c r="JU207" s="294" t="s">
        <v>13845</v>
      </c>
      <c r="JV207" s="294" t="s">
        <v>52</v>
      </c>
      <c r="JW207" s="263" t="s">
        <v>70</v>
      </c>
      <c r="JX207" s="294" t="s">
        <v>1083</v>
      </c>
      <c r="JZ207" s="263" t="s">
        <v>13846</v>
      </c>
      <c r="KA207" s="263" t="s">
        <v>145</v>
      </c>
      <c r="KB207" s="263" t="s">
        <v>70</v>
      </c>
      <c r="KC207" s="263" t="s">
        <v>1083</v>
      </c>
      <c r="KE207" s="263" t="s">
        <v>13847</v>
      </c>
      <c r="KF207" s="263" t="s">
        <v>52</v>
      </c>
      <c r="KG207" s="263" t="s">
        <v>70</v>
      </c>
      <c r="KH207" s="263" t="s">
        <v>1083</v>
      </c>
      <c r="KJ207" s="263" t="s">
        <v>13848</v>
      </c>
      <c r="KK207" s="263" t="s">
        <v>52</v>
      </c>
      <c r="KL207" s="263" t="s">
        <v>74</v>
      </c>
      <c r="KM207" s="263" t="s">
        <v>34074</v>
      </c>
      <c r="KO207" s="214" t="s">
        <v>13849</v>
      </c>
      <c r="KP207" s="214" t="s">
        <v>145</v>
      </c>
      <c r="KQ207" s="214" t="s">
        <v>70</v>
      </c>
      <c r="KR207" s="214" t="s">
        <v>67</v>
      </c>
      <c r="KT207" s="22" t="s">
        <v>13850</v>
      </c>
      <c r="KU207" s="22" t="s">
        <v>145</v>
      </c>
      <c r="KV207" s="22" t="s">
        <v>70</v>
      </c>
      <c r="KW207" s="22" t="s">
        <v>67</v>
      </c>
      <c r="KY207" s="214" t="s">
        <v>13851</v>
      </c>
      <c r="KZ207" s="214" t="s">
        <v>52</v>
      </c>
      <c r="LA207" s="214" t="s">
        <v>74</v>
      </c>
      <c r="LB207" s="214" t="s">
        <v>67</v>
      </c>
      <c r="LD207" s="22" t="s">
        <v>13852</v>
      </c>
      <c r="LE207" s="22" t="s">
        <v>145</v>
      </c>
      <c r="LF207" s="22" t="s">
        <v>70</v>
      </c>
      <c r="LG207" s="22" t="s">
        <v>67</v>
      </c>
    </row>
    <row r="208" spans="1:319">
      <c r="A208" s="22" t="s">
        <v>13853</v>
      </c>
      <c r="B208" s="22" t="s">
        <v>145</v>
      </c>
      <c r="C208" s="22" t="s">
        <v>70</v>
      </c>
      <c r="D208" s="22" t="s">
        <v>67</v>
      </c>
      <c r="F208" s="73" t="s">
        <v>13854</v>
      </c>
      <c r="G208" s="22" t="s">
        <v>145</v>
      </c>
      <c r="H208" s="22" t="s">
        <v>70</v>
      </c>
      <c r="I208" s="22" t="s">
        <v>67</v>
      </c>
      <c r="K208" s="22" t="s">
        <v>13855</v>
      </c>
      <c r="L208" s="22" t="s">
        <v>145</v>
      </c>
      <c r="M208" s="22" t="s">
        <v>70</v>
      </c>
      <c r="N208" s="22" t="s">
        <v>67</v>
      </c>
      <c r="P208" s="22" t="s">
        <v>13856</v>
      </c>
      <c r="Q208" s="22" t="s">
        <v>145</v>
      </c>
      <c r="R208" s="22" t="s">
        <v>70</v>
      </c>
      <c r="S208" s="22" t="s">
        <v>67</v>
      </c>
      <c r="U208" s="293" t="s">
        <v>13857</v>
      </c>
      <c r="V208" s="293" t="s">
        <v>145</v>
      </c>
      <c r="W208" s="293" t="s">
        <v>74</v>
      </c>
      <c r="X208" s="293" t="s">
        <v>656</v>
      </c>
      <c r="Z208" s="293" t="s">
        <v>13858</v>
      </c>
      <c r="AA208" s="293" t="s">
        <v>145</v>
      </c>
      <c r="AB208" s="293" t="s">
        <v>74</v>
      </c>
      <c r="AC208" s="293" t="s">
        <v>656</v>
      </c>
      <c r="AE208" s="293" t="s">
        <v>13859</v>
      </c>
      <c r="AF208" s="293" t="s">
        <v>145</v>
      </c>
      <c r="AG208" s="293" t="s">
        <v>74</v>
      </c>
      <c r="AH208" s="293" t="s">
        <v>656</v>
      </c>
      <c r="AJ208" s="293" t="s">
        <v>13860</v>
      </c>
      <c r="AK208" s="293" t="s">
        <v>145</v>
      </c>
      <c r="AL208" s="293" t="s">
        <v>74</v>
      </c>
      <c r="AM208" s="293" t="s">
        <v>656</v>
      </c>
      <c r="AO208" s="22" t="s">
        <v>13861</v>
      </c>
      <c r="AP208" s="22" t="s">
        <v>145</v>
      </c>
      <c r="AQ208" s="22" t="s">
        <v>70</v>
      </c>
      <c r="AR208" s="22" t="s">
        <v>67</v>
      </c>
      <c r="AT208" s="22" t="s">
        <v>13862</v>
      </c>
      <c r="AU208" s="22" t="s">
        <v>145</v>
      </c>
      <c r="AV208" s="22" t="s">
        <v>70</v>
      </c>
      <c r="AW208" s="22" t="s">
        <v>67</v>
      </c>
      <c r="AY208" s="22" t="s">
        <v>13863</v>
      </c>
      <c r="AZ208" s="22" t="s">
        <v>145</v>
      </c>
      <c r="BA208" s="22" t="s">
        <v>70</v>
      </c>
      <c r="BB208" s="22" t="s">
        <v>67</v>
      </c>
      <c r="BD208" s="22" t="s">
        <v>13864</v>
      </c>
      <c r="BE208" s="22" t="s">
        <v>145</v>
      </c>
      <c r="BF208" s="22" t="s">
        <v>70</v>
      </c>
      <c r="BG208" s="22" t="s">
        <v>67</v>
      </c>
      <c r="BI208" s="22" t="s">
        <v>13865</v>
      </c>
      <c r="BJ208" s="22" t="s">
        <v>145</v>
      </c>
      <c r="BK208" s="22" t="s">
        <v>70</v>
      </c>
      <c r="BL208" s="22" t="s">
        <v>67</v>
      </c>
      <c r="BN208" s="22" t="s">
        <v>13866</v>
      </c>
      <c r="BO208" s="22" t="s">
        <v>145</v>
      </c>
      <c r="BP208" s="22" t="s">
        <v>70</v>
      </c>
      <c r="BQ208" s="22" t="s">
        <v>67</v>
      </c>
      <c r="BS208" s="22" t="s">
        <v>13867</v>
      </c>
      <c r="BT208" s="22" t="s">
        <v>145</v>
      </c>
      <c r="BU208" s="22" t="s">
        <v>70</v>
      </c>
      <c r="BV208" s="214" t="s">
        <v>530</v>
      </c>
      <c r="BX208" s="22" t="s">
        <v>13868</v>
      </c>
      <c r="BY208" s="22" t="s">
        <v>145</v>
      </c>
      <c r="BZ208" s="22" t="s">
        <v>70</v>
      </c>
      <c r="CA208" s="214" t="s">
        <v>530</v>
      </c>
      <c r="CC208" s="214" t="s">
        <v>13869</v>
      </c>
      <c r="CD208" s="218" t="s">
        <v>145</v>
      </c>
      <c r="CE208" s="214" t="s">
        <v>70</v>
      </c>
      <c r="CF208" s="214" t="s">
        <v>661</v>
      </c>
      <c r="CH208" s="214" t="s">
        <v>13870</v>
      </c>
      <c r="CI208" s="214" t="s">
        <v>34628</v>
      </c>
      <c r="CJ208" s="214" t="s">
        <v>70</v>
      </c>
      <c r="CK208" s="214" t="s">
        <v>530</v>
      </c>
      <c r="CM208" s="214" t="s">
        <v>13871</v>
      </c>
      <c r="CN208" s="214" t="s">
        <v>34545</v>
      </c>
      <c r="CO208" s="214" t="s">
        <v>70</v>
      </c>
      <c r="CP208" s="214" t="s">
        <v>530</v>
      </c>
      <c r="CR208" s="214" t="s">
        <v>13872</v>
      </c>
      <c r="CS208" s="214" t="s">
        <v>85</v>
      </c>
      <c r="CT208" s="214" t="s">
        <v>70</v>
      </c>
      <c r="CU208" s="214" t="s">
        <v>530</v>
      </c>
      <c r="CW208" s="214" t="s">
        <v>13873</v>
      </c>
      <c r="CX208" s="214" t="s">
        <v>497</v>
      </c>
      <c r="CY208" s="214" t="s">
        <v>70</v>
      </c>
      <c r="CZ208" s="214" t="s">
        <v>530</v>
      </c>
      <c r="DB208" s="214" t="s">
        <v>13874</v>
      </c>
      <c r="DC208" s="214" t="s">
        <v>146</v>
      </c>
      <c r="DD208" s="214" t="s">
        <v>70</v>
      </c>
      <c r="DE208" s="214" t="s">
        <v>530</v>
      </c>
      <c r="DG208" s="214" t="s">
        <v>13875</v>
      </c>
      <c r="DH208" s="214" t="s">
        <v>34545</v>
      </c>
      <c r="DI208" s="214" t="s">
        <v>70</v>
      </c>
      <c r="DJ208" s="214" t="s">
        <v>530</v>
      </c>
      <c r="DL208" s="214" t="s">
        <v>13876</v>
      </c>
      <c r="DM208" s="214" t="s">
        <v>950</v>
      </c>
      <c r="DN208" s="214" t="s">
        <v>70</v>
      </c>
      <c r="DO208" s="214" t="s">
        <v>530</v>
      </c>
      <c r="DQ208" s="214" t="s">
        <v>13877</v>
      </c>
      <c r="DR208" s="214" t="s">
        <v>34584</v>
      </c>
      <c r="DS208" s="214" t="s">
        <v>70</v>
      </c>
      <c r="DT208" s="214" t="s">
        <v>530</v>
      </c>
      <c r="DV208" s="214" t="s">
        <v>13878</v>
      </c>
      <c r="DW208" s="214" t="s">
        <v>287</v>
      </c>
      <c r="DX208" s="214" t="s">
        <v>70</v>
      </c>
      <c r="DY208" s="214" t="s">
        <v>530</v>
      </c>
      <c r="EA208" s="214" t="s">
        <v>13879</v>
      </c>
      <c r="EB208" s="214" t="s">
        <v>34600</v>
      </c>
      <c r="EC208" s="214" t="s">
        <v>70</v>
      </c>
      <c r="ED208" s="214" t="s">
        <v>530</v>
      </c>
      <c r="EF208" s="214" t="s">
        <v>13880</v>
      </c>
      <c r="EG208" s="214" t="s">
        <v>919</v>
      </c>
      <c r="EH208" s="214" t="s">
        <v>70</v>
      </c>
      <c r="EI208" s="214" t="s">
        <v>530</v>
      </c>
      <c r="EK208" s="214" t="s">
        <v>13881</v>
      </c>
      <c r="EL208" s="214" t="s">
        <v>484</v>
      </c>
      <c r="EM208" s="214" t="s">
        <v>70</v>
      </c>
      <c r="EN208" s="214" t="s">
        <v>530</v>
      </c>
      <c r="EP208" s="214" t="s">
        <v>13882</v>
      </c>
      <c r="EQ208" s="214" t="s">
        <v>88</v>
      </c>
      <c r="ER208" s="214" t="s">
        <v>70</v>
      </c>
      <c r="ES208" s="214" t="s">
        <v>530</v>
      </c>
      <c r="EU208" s="214" t="s">
        <v>13883</v>
      </c>
      <c r="EV208" s="214" t="s">
        <v>34542</v>
      </c>
      <c r="EW208" s="214" t="s">
        <v>70</v>
      </c>
      <c r="EX208" s="214" t="s">
        <v>530</v>
      </c>
      <c r="EZ208" s="214" t="s">
        <v>13884</v>
      </c>
      <c r="FA208" s="214" t="s">
        <v>148</v>
      </c>
      <c r="FB208" s="214" t="s">
        <v>70</v>
      </c>
      <c r="FC208" s="214" t="s">
        <v>530</v>
      </c>
      <c r="FE208" s="214" t="s">
        <v>13885</v>
      </c>
      <c r="FF208" s="214" t="s">
        <v>148</v>
      </c>
      <c r="FG208" s="214" t="s">
        <v>70</v>
      </c>
      <c r="FH208" s="214" t="s">
        <v>530</v>
      </c>
      <c r="FJ208" s="321" t="s">
        <v>13886</v>
      </c>
      <c r="FK208" s="214" t="s">
        <v>655</v>
      </c>
      <c r="FL208" s="214" t="s">
        <v>70</v>
      </c>
      <c r="FM208" s="214" t="s">
        <v>530</v>
      </c>
      <c r="FO208" s="321" t="s">
        <v>13887</v>
      </c>
      <c r="FP208" s="214" t="s">
        <v>484</v>
      </c>
      <c r="FQ208" s="214" t="s">
        <v>70</v>
      </c>
      <c r="FR208" s="214" t="s">
        <v>530</v>
      </c>
      <c r="FT208" s="321" t="s">
        <v>13888</v>
      </c>
      <c r="FU208" s="214" t="s">
        <v>92</v>
      </c>
      <c r="FV208" s="214" t="s">
        <v>70</v>
      </c>
      <c r="FW208" s="214" t="s">
        <v>530</v>
      </c>
      <c r="FY208" s="321" t="s">
        <v>13889</v>
      </c>
      <c r="FZ208" s="214" t="s">
        <v>34536</v>
      </c>
      <c r="GA208" s="214" t="s">
        <v>70</v>
      </c>
      <c r="GB208" s="214" t="s">
        <v>530</v>
      </c>
      <c r="GD208" s="321" t="s">
        <v>13890</v>
      </c>
      <c r="GE208" s="214" t="s">
        <v>34621</v>
      </c>
      <c r="GF208" s="214" t="s">
        <v>70</v>
      </c>
      <c r="GG208" s="214" t="s">
        <v>530</v>
      </c>
      <c r="GI208" s="321" t="s">
        <v>13891</v>
      </c>
      <c r="GJ208" s="214" t="s">
        <v>482</v>
      </c>
      <c r="GK208" s="214" t="s">
        <v>70</v>
      </c>
      <c r="GL208" s="214" t="s">
        <v>530</v>
      </c>
      <c r="GN208" s="321" t="s">
        <v>13892</v>
      </c>
      <c r="GO208" s="214" t="s">
        <v>286</v>
      </c>
      <c r="GP208" s="214" t="s">
        <v>70</v>
      </c>
      <c r="GQ208" s="214" t="s">
        <v>530</v>
      </c>
      <c r="GS208" s="321" t="s">
        <v>13893</v>
      </c>
      <c r="GT208" s="214" t="s">
        <v>34589</v>
      </c>
      <c r="GU208" s="214" t="s">
        <v>70</v>
      </c>
      <c r="GV208" s="214" t="s">
        <v>530</v>
      </c>
      <c r="GX208" s="214" t="s">
        <v>13894</v>
      </c>
      <c r="GY208" s="214" t="s">
        <v>52</v>
      </c>
      <c r="GZ208" s="214" t="s">
        <v>70</v>
      </c>
      <c r="HA208" s="214" t="s">
        <v>530</v>
      </c>
      <c r="HC208" s="214" t="s">
        <v>13895</v>
      </c>
      <c r="HD208" s="214" t="s">
        <v>490</v>
      </c>
      <c r="HE208" s="214" t="s">
        <v>70</v>
      </c>
      <c r="HF208" s="214" t="s">
        <v>530</v>
      </c>
      <c r="HH208" s="214" t="s">
        <v>13896</v>
      </c>
      <c r="HI208" s="214" t="s">
        <v>604</v>
      </c>
      <c r="HJ208" s="214" t="s">
        <v>70</v>
      </c>
      <c r="HK208" s="214" t="s">
        <v>530</v>
      </c>
      <c r="HM208" s="214" t="s">
        <v>13897</v>
      </c>
      <c r="HN208" s="214" t="s">
        <v>145</v>
      </c>
      <c r="HO208" s="214" t="s">
        <v>70</v>
      </c>
      <c r="HP208" s="214" t="s">
        <v>530</v>
      </c>
      <c r="HR208" s="22" t="s">
        <v>13898</v>
      </c>
      <c r="HS208" s="22" t="s">
        <v>287</v>
      </c>
      <c r="HT208" s="22" t="s">
        <v>70</v>
      </c>
      <c r="HU208" s="214" t="s">
        <v>530</v>
      </c>
      <c r="HW208" s="22" t="s">
        <v>13899</v>
      </c>
      <c r="HX208" s="22" t="s">
        <v>34618</v>
      </c>
      <c r="HY208" s="22" t="s">
        <v>70</v>
      </c>
      <c r="HZ208" s="214" t="s">
        <v>530</v>
      </c>
      <c r="IB208" s="22" t="s">
        <v>13900</v>
      </c>
      <c r="IC208" s="22" t="s">
        <v>305</v>
      </c>
      <c r="ID208" s="22" t="s">
        <v>70</v>
      </c>
      <c r="IE208" s="214" t="s">
        <v>530</v>
      </c>
      <c r="IG208" s="22" t="s">
        <v>13901</v>
      </c>
      <c r="IH208" s="22" t="s">
        <v>601</v>
      </c>
      <c r="II208" s="22" t="s">
        <v>70</v>
      </c>
      <c r="IJ208" s="214" t="s">
        <v>530</v>
      </c>
      <c r="IL208" s="22" t="s">
        <v>13902</v>
      </c>
      <c r="IM208" s="22" t="s">
        <v>145</v>
      </c>
      <c r="IN208" s="22" t="s">
        <v>70</v>
      </c>
      <c r="IO208" s="214" t="s">
        <v>530</v>
      </c>
      <c r="IQ208" s="236" t="s">
        <v>13903</v>
      </c>
      <c r="IR208" s="236" t="s">
        <v>145</v>
      </c>
      <c r="IS208" s="236" t="s">
        <v>74</v>
      </c>
      <c r="IT208" s="236" t="s">
        <v>841</v>
      </c>
      <c r="IV208" s="236" t="s">
        <v>13904</v>
      </c>
      <c r="IW208" s="236" t="s">
        <v>145</v>
      </c>
      <c r="IX208" s="236" t="s">
        <v>74</v>
      </c>
      <c r="IY208" s="236" t="s">
        <v>841</v>
      </c>
      <c r="JA208" s="236" t="s">
        <v>13905</v>
      </c>
      <c r="JB208" s="236" t="s">
        <v>145</v>
      </c>
      <c r="JC208" s="236" t="s">
        <v>74</v>
      </c>
      <c r="JD208" s="236" t="s">
        <v>841</v>
      </c>
      <c r="JF208" s="236" t="s">
        <v>13906</v>
      </c>
      <c r="JG208" s="236" t="s">
        <v>145</v>
      </c>
      <c r="JH208" s="236" t="s">
        <v>74</v>
      </c>
      <c r="JI208" s="236" t="s">
        <v>841</v>
      </c>
      <c r="JK208" s="236" t="s">
        <v>13907</v>
      </c>
      <c r="JL208" s="236" t="s">
        <v>145</v>
      </c>
      <c r="JM208" s="236" t="s">
        <v>74</v>
      </c>
      <c r="JN208" s="236" t="s">
        <v>841</v>
      </c>
      <c r="JP208" s="236" t="s">
        <v>13908</v>
      </c>
      <c r="JQ208" s="236" t="s">
        <v>145</v>
      </c>
      <c r="JR208" s="236" t="s">
        <v>74</v>
      </c>
      <c r="JS208" s="236" t="s">
        <v>841</v>
      </c>
      <c r="JU208" s="294" t="s">
        <v>13909</v>
      </c>
      <c r="JV208" s="294" t="s">
        <v>52</v>
      </c>
      <c r="JW208" s="263" t="s">
        <v>70</v>
      </c>
      <c r="JX208" s="294" t="s">
        <v>1083</v>
      </c>
      <c r="JZ208" s="263" t="s">
        <v>13910</v>
      </c>
      <c r="KA208" s="263" t="s">
        <v>145</v>
      </c>
      <c r="KB208" s="263" t="s">
        <v>70</v>
      </c>
      <c r="KC208" s="263" t="s">
        <v>1083</v>
      </c>
      <c r="KE208" s="263" t="s">
        <v>13911</v>
      </c>
      <c r="KF208" s="263" t="s">
        <v>52</v>
      </c>
      <c r="KG208" s="263" t="s">
        <v>70</v>
      </c>
      <c r="KH208" s="263" t="s">
        <v>1083</v>
      </c>
      <c r="KJ208" s="263" t="s">
        <v>13912</v>
      </c>
      <c r="KK208" s="263" t="s">
        <v>52</v>
      </c>
      <c r="KL208" s="263" t="s">
        <v>74</v>
      </c>
      <c r="KM208" s="263" t="s">
        <v>34074</v>
      </c>
      <c r="KO208" s="214" t="s">
        <v>13913</v>
      </c>
      <c r="KP208" s="214" t="s">
        <v>145</v>
      </c>
      <c r="KQ208" s="214" t="s">
        <v>70</v>
      </c>
      <c r="KR208" s="214" t="s">
        <v>67</v>
      </c>
      <c r="KT208" s="22" t="s">
        <v>13914</v>
      </c>
      <c r="KU208" s="22" t="s">
        <v>145</v>
      </c>
      <c r="KV208" s="22" t="s">
        <v>70</v>
      </c>
      <c r="KW208" s="22" t="s">
        <v>67</v>
      </c>
      <c r="KY208" s="214" t="s">
        <v>13915</v>
      </c>
      <c r="KZ208" s="214" t="s">
        <v>52</v>
      </c>
      <c r="LA208" s="214" t="s">
        <v>74</v>
      </c>
      <c r="LB208" s="214" t="s">
        <v>67</v>
      </c>
      <c r="LD208" s="22" t="s">
        <v>13916</v>
      </c>
      <c r="LE208" s="22" t="s">
        <v>145</v>
      </c>
      <c r="LF208" s="22" t="s">
        <v>70</v>
      </c>
      <c r="LG208" s="22" t="s">
        <v>67</v>
      </c>
    </row>
    <row r="209" spans="1:319">
      <c r="A209" s="22" t="s">
        <v>13917</v>
      </c>
      <c r="B209" s="22" t="s">
        <v>145</v>
      </c>
      <c r="C209" s="22" t="s">
        <v>70</v>
      </c>
      <c r="D209" s="22" t="s">
        <v>67</v>
      </c>
      <c r="F209" s="73" t="s">
        <v>13918</v>
      </c>
      <c r="G209" s="22" t="s">
        <v>145</v>
      </c>
      <c r="H209" s="22" t="s">
        <v>70</v>
      </c>
      <c r="I209" s="22" t="s">
        <v>67</v>
      </c>
      <c r="K209" s="22" t="s">
        <v>13919</v>
      </c>
      <c r="L209" s="22" t="s">
        <v>145</v>
      </c>
      <c r="M209" s="22" t="s">
        <v>70</v>
      </c>
      <c r="N209" s="22" t="s">
        <v>67</v>
      </c>
      <c r="P209" s="22" t="s">
        <v>13920</v>
      </c>
      <c r="Q209" s="22" t="s">
        <v>145</v>
      </c>
      <c r="R209" s="22" t="s">
        <v>70</v>
      </c>
      <c r="S209" s="22" t="s">
        <v>67</v>
      </c>
      <c r="U209" s="293" t="s">
        <v>13921</v>
      </c>
      <c r="V209" s="293" t="s">
        <v>145</v>
      </c>
      <c r="W209" s="293" t="s">
        <v>74</v>
      </c>
      <c r="X209" s="293" t="s">
        <v>656</v>
      </c>
      <c r="Z209" s="293" t="s">
        <v>13922</v>
      </c>
      <c r="AA209" s="293" t="s">
        <v>145</v>
      </c>
      <c r="AB209" s="293" t="s">
        <v>74</v>
      </c>
      <c r="AC209" s="293" t="s">
        <v>656</v>
      </c>
      <c r="AE209" s="293" t="s">
        <v>13923</v>
      </c>
      <c r="AF209" s="293" t="s">
        <v>145</v>
      </c>
      <c r="AG209" s="293" t="s">
        <v>74</v>
      </c>
      <c r="AH209" s="293" t="s">
        <v>656</v>
      </c>
      <c r="AJ209" s="293" t="s">
        <v>13924</v>
      </c>
      <c r="AK209" s="293" t="s">
        <v>145</v>
      </c>
      <c r="AL209" s="293" t="s">
        <v>74</v>
      </c>
      <c r="AM209" s="293" t="s">
        <v>656</v>
      </c>
      <c r="AO209" s="22" t="s">
        <v>13925</v>
      </c>
      <c r="AP209" s="22" t="s">
        <v>145</v>
      </c>
      <c r="AQ209" s="22" t="s">
        <v>70</v>
      </c>
      <c r="AR209" s="22" t="s">
        <v>67</v>
      </c>
      <c r="AT209" s="22" t="s">
        <v>13926</v>
      </c>
      <c r="AU209" s="22" t="s">
        <v>145</v>
      </c>
      <c r="AV209" s="22" t="s">
        <v>70</v>
      </c>
      <c r="AW209" s="22" t="s">
        <v>67</v>
      </c>
      <c r="AY209" s="22" t="s">
        <v>13927</v>
      </c>
      <c r="AZ209" s="22" t="s">
        <v>145</v>
      </c>
      <c r="BA209" s="22" t="s">
        <v>70</v>
      </c>
      <c r="BB209" s="22" t="s">
        <v>67</v>
      </c>
      <c r="BD209" s="22" t="s">
        <v>13928</v>
      </c>
      <c r="BE209" s="22" t="s">
        <v>145</v>
      </c>
      <c r="BF209" s="22" t="s">
        <v>70</v>
      </c>
      <c r="BG209" s="22" t="s">
        <v>67</v>
      </c>
      <c r="BI209" s="22" t="s">
        <v>13929</v>
      </c>
      <c r="BJ209" s="22" t="s">
        <v>145</v>
      </c>
      <c r="BK209" s="22" t="s">
        <v>70</v>
      </c>
      <c r="BL209" s="22" t="s">
        <v>67</v>
      </c>
      <c r="BN209" s="22" t="s">
        <v>13930</v>
      </c>
      <c r="BO209" s="22" t="s">
        <v>145</v>
      </c>
      <c r="BP209" s="22" t="s">
        <v>70</v>
      </c>
      <c r="BQ209" s="22" t="s">
        <v>67</v>
      </c>
      <c r="BS209" s="22" t="s">
        <v>13931</v>
      </c>
      <c r="BT209" s="22" t="s">
        <v>145</v>
      </c>
      <c r="BU209" s="22" t="s">
        <v>70</v>
      </c>
      <c r="BV209" s="214" t="s">
        <v>530</v>
      </c>
      <c r="BX209" s="22" t="s">
        <v>13932</v>
      </c>
      <c r="BY209" s="22" t="s">
        <v>145</v>
      </c>
      <c r="BZ209" s="22" t="s">
        <v>70</v>
      </c>
      <c r="CA209" s="214" t="s">
        <v>530</v>
      </c>
      <c r="CC209" s="214" t="s">
        <v>13933</v>
      </c>
      <c r="CD209" s="218" t="s">
        <v>145</v>
      </c>
      <c r="CE209" s="214" t="s">
        <v>70</v>
      </c>
      <c r="CF209" s="214" t="s">
        <v>662</v>
      </c>
      <c r="CH209" s="214" t="s">
        <v>13934</v>
      </c>
      <c r="CI209" s="214" t="s">
        <v>490</v>
      </c>
      <c r="CJ209" s="214" t="s">
        <v>70</v>
      </c>
      <c r="CK209" s="214" t="s">
        <v>530</v>
      </c>
      <c r="CM209" s="214" t="s">
        <v>13935</v>
      </c>
      <c r="CN209" s="214" t="s">
        <v>34551</v>
      </c>
      <c r="CO209" s="214" t="s">
        <v>70</v>
      </c>
      <c r="CP209" s="214" t="s">
        <v>530</v>
      </c>
      <c r="CR209" s="214" t="s">
        <v>13936</v>
      </c>
      <c r="CS209" s="214" t="s">
        <v>34618</v>
      </c>
      <c r="CT209" s="214" t="s">
        <v>70</v>
      </c>
      <c r="CU209" s="214" t="s">
        <v>530</v>
      </c>
      <c r="CW209" s="214" t="s">
        <v>13937</v>
      </c>
      <c r="CX209" s="214" t="s">
        <v>484</v>
      </c>
      <c r="CY209" s="214" t="s">
        <v>70</v>
      </c>
      <c r="CZ209" s="214" t="s">
        <v>530</v>
      </c>
      <c r="DB209" s="214" t="s">
        <v>13938</v>
      </c>
      <c r="DC209" s="214" t="s">
        <v>34547</v>
      </c>
      <c r="DD209" s="214" t="s">
        <v>70</v>
      </c>
      <c r="DE209" s="214" t="s">
        <v>530</v>
      </c>
      <c r="DG209" s="214" t="s">
        <v>13939</v>
      </c>
      <c r="DH209" s="214" t="s">
        <v>34551</v>
      </c>
      <c r="DI209" s="214" t="s">
        <v>70</v>
      </c>
      <c r="DJ209" s="214" t="s">
        <v>530</v>
      </c>
      <c r="DL209" s="214" t="s">
        <v>13940</v>
      </c>
      <c r="DM209" s="214" t="s">
        <v>917</v>
      </c>
      <c r="DN209" s="214" t="s">
        <v>70</v>
      </c>
      <c r="DO209" s="214" t="s">
        <v>530</v>
      </c>
      <c r="DQ209" s="214" t="s">
        <v>13941</v>
      </c>
      <c r="DR209" s="214" t="s">
        <v>34573</v>
      </c>
      <c r="DS209" s="214" t="s">
        <v>70</v>
      </c>
      <c r="DT209" s="214" t="s">
        <v>530</v>
      </c>
      <c r="DV209" s="214" t="s">
        <v>13942</v>
      </c>
      <c r="DW209" s="214" t="s">
        <v>146</v>
      </c>
      <c r="DX209" s="214" t="s">
        <v>70</v>
      </c>
      <c r="DY209" s="214" t="s">
        <v>530</v>
      </c>
      <c r="EA209" s="214" t="s">
        <v>13943</v>
      </c>
      <c r="EB209" s="214" t="s">
        <v>912</v>
      </c>
      <c r="EC209" s="214" t="s">
        <v>70</v>
      </c>
      <c r="ED209" s="214" t="s">
        <v>530</v>
      </c>
      <c r="EF209" s="214" t="s">
        <v>13944</v>
      </c>
      <c r="EG209" s="214" t="s">
        <v>490</v>
      </c>
      <c r="EH209" s="214" t="s">
        <v>70</v>
      </c>
      <c r="EI209" s="214" t="s">
        <v>530</v>
      </c>
      <c r="EK209" s="214" t="s">
        <v>13945</v>
      </c>
      <c r="EL209" s="214" t="s">
        <v>926</v>
      </c>
      <c r="EM209" s="214" t="s">
        <v>70</v>
      </c>
      <c r="EN209" s="214" t="s">
        <v>530</v>
      </c>
      <c r="EP209" s="214" t="s">
        <v>13946</v>
      </c>
      <c r="EQ209" s="214" t="s">
        <v>488</v>
      </c>
      <c r="ER209" s="214" t="s">
        <v>70</v>
      </c>
      <c r="ES209" s="214" t="s">
        <v>530</v>
      </c>
      <c r="EU209" s="214" t="s">
        <v>13947</v>
      </c>
      <c r="EV209" s="214" t="s">
        <v>145</v>
      </c>
      <c r="EW209" s="214" t="s">
        <v>70</v>
      </c>
      <c r="EX209" s="214" t="s">
        <v>530</v>
      </c>
      <c r="EZ209" s="214" t="s">
        <v>13948</v>
      </c>
      <c r="FA209" s="214" t="s">
        <v>34580</v>
      </c>
      <c r="FB209" s="214" t="s">
        <v>70</v>
      </c>
      <c r="FC209" s="214" t="s">
        <v>530</v>
      </c>
      <c r="FE209" s="214" t="s">
        <v>13949</v>
      </c>
      <c r="FF209" s="214" t="s">
        <v>34593</v>
      </c>
      <c r="FG209" s="214" t="s">
        <v>70</v>
      </c>
      <c r="FH209" s="214" t="s">
        <v>530</v>
      </c>
      <c r="FJ209" s="321" t="s">
        <v>13950</v>
      </c>
      <c r="FK209" s="214" t="s">
        <v>34558</v>
      </c>
      <c r="FL209" s="214" t="s">
        <v>70</v>
      </c>
      <c r="FM209" s="214" t="s">
        <v>530</v>
      </c>
      <c r="FO209" s="321" t="s">
        <v>13951</v>
      </c>
      <c r="FP209" s="214" t="s">
        <v>935</v>
      </c>
      <c r="FQ209" s="214" t="s">
        <v>70</v>
      </c>
      <c r="FR209" s="214" t="s">
        <v>530</v>
      </c>
      <c r="FT209" s="321" t="s">
        <v>13952</v>
      </c>
      <c r="FU209" s="214" t="s">
        <v>496</v>
      </c>
      <c r="FV209" s="214" t="s">
        <v>70</v>
      </c>
      <c r="FW209" s="214" t="s">
        <v>530</v>
      </c>
      <c r="FY209" s="321" t="s">
        <v>13953</v>
      </c>
      <c r="FZ209" s="214" t="s">
        <v>52</v>
      </c>
      <c r="GA209" s="214" t="s">
        <v>70</v>
      </c>
      <c r="GB209" s="214" t="s">
        <v>530</v>
      </c>
      <c r="GD209" s="321" t="s">
        <v>13954</v>
      </c>
      <c r="GE209" s="214" t="s">
        <v>34558</v>
      </c>
      <c r="GF209" s="214" t="s">
        <v>70</v>
      </c>
      <c r="GG209" s="214" t="s">
        <v>530</v>
      </c>
      <c r="GI209" s="321" t="s">
        <v>13955</v>
      </c>
      <c r="GJ209" s="214" t="s">
        <v>146</v>
      </c>
      <c r="GK209" s="214" t="s">
        <v>70</v>
      </c>
      <c r="GL209" s="214" t="s">
        <v>530</v>
      </c>
      <c r="GN209" s="321" t="s">
        <v>13956</v>
      </c>
      <c r="GO209" s="214" t="s">
        <v>34558</v>
      </c>
      <c r="GP209" s="214" t="s">
        <v>70</v>
      </c>
      <c r="GQ209" s="214" t="s">
        <v>530</v>
      </c>
      <c r="GS209" s="321" t="s">
        <v>13957</v>
      </c>
      <c r="GT209" s="214" t="s">
        <v>34574</v>
      </c>
      <c r="GU209" s="214" t="s">
        <v>70</v>
      </c>
      <c r="GV209" s="214" t="s">
        <v>530</v>
      </c>
      <c r="GX209" s="214" t="s">
        <v>13958</v>
      </c>
      <c r="GY209" s="214" t="s">
        <v>34569</v>
      </c>
      <c r="GZ209" s="214" t="s">
        <v>70</v>
      </c>
      <c r="HA209" s="214" t="s">
        <v>530</v>
      </c>
      <c r="HC209" s="214" t="s">
        <v>13959</v>
      </c>
      <c r="HD209" s="214" t="s">
        <v>482</v>
      </c>
      <c r="HE209" s="214" t="s">
        <v>70</v>
      </c>
      <c r="HF209" s="214" t="s">
        <v>530</v>
      </c>
      <c r="HH209" s="214" t="s">
        <v>13960</v>
      </c>
      <c r="HI209" s="214" t="s">
        <v>34555</v>
      </c>
      <c r="HJ209" s="214" t="s">
        <v>70</v>
      </c>
      <c r="HK209" s="214" t="s">
        <v>530</v>
      </c>
      <c r="HM209" s="214" t="s">
        <v>13961</v>
      </c>
      <c r="HN209" s="214" t="s">
        <v>34541</v>
      </c>
      <c r="HO209" s="214" t="s">
        <v>70</v>
      </c>
      <c r="HP209" s="214" t="s">
        <v>530</v>
      </c>
      <c r="HR209" s="22" t="s">
        <v>13962</v>
      </c>
      <c r="HS209" s="22" t="s">
        <v>492</v>
      </c>
      <c r="HT209" s="22" t="s">
        <v>70</v>
      </c>
      <c r="HU209" s="214" t="s">
        <v>530</v>
      </c>
      <c r="HW209" s="22" t="s">
        <v>13963</v>
      </c>
      <c r="HX209" s="22" t="s">
        <v>146</v>
      </c>
      <c r="HY209" s="22" t="s">
        <v>70</v>
      </c>
      <c r="HZ209" s="214" t="s">
        <v>530</v>
      </c>
      <c r="IB209" s="22" t="s">
        <v>13964</v>
      </c>
      <c r="IC209" s="22" t="s">
        <v>934</v>
      </c>
      <c r="ID209" s="22" t="s">
        <v>70</v>
      </c>
      <c r="IE209" s="214" t="s">
        <v>530</v>
      </c>
      <c r="IG209" s="22" t="s">
        <v>13965</v>
      </c>
      <c r="IH209" s="22" t="s">
        <v>503</v>
      </c>
      <c r="II209" s="22" t="s">
        <v>70</v>
      </c>
      <c r="IJ209" s="214" t="s">
        <v>530</v>
      </c>
      <c r="IL209" s="22" t="s">
        <v>13966</v>
      </c>
      <c r="IM209" s="22" t="s">
        <v>145</v>
      </c>
      <c r="IN209" s="22" t="s">
        <v>70</v>
      </c>
      <c r="IO209" s="214" t="s">
        <v>530</v>
      </c>
      <c r="IQ209" s="236" t="s">
        <v>13967</v>
      </c>
      <c r="IR209" s="236" t="s">
        <v>145</v>
      </c>
      <c r="IS209" s="236" t="s">
        <v>74</v>
      </c>
      <c r="IT209" s="236" t="s">
        <v>841</v>
      </c>
      <c r="IV209" s="236" t="s">
        <v>13968</v>
      </c>
      <c r="IW209" s="236" t="s">
        <v>145</v>
      </c>
      <c r="IX209" s="236" t="s">
        <v>74</v>
      </c>
      <c r="IY209" s="236" t="s">
        <v>841</v>
      </c>
      <c r="JA209" s="236" t="s">
        <v>13969</v>
      </c>
      <c r="JB209" s="236" t="s">
        <v>145</v>
      </c>
      <c r="JC209" s="236" t="s">
        <v>74</v>
      </c>
      <c r="JD209" s="236" t="s">
        <v>841</v>
      </c>
      <c r="JF209" s="236" t="s">
        <v>13970</v>
      </c>
      <c r="JG209" s="236" t="s">
        <v>145</v>
      </c>
      <c r="JH209" s="236" t="s">
        <v>74</v>
      </c>
      <c r="JI209" s="236" t="s">
        <v>841</v>
      </c>
      <c r="JK209" s="236" t="s">
        <v>13971</v>
      </c>
      <c r="JL209" s="236" t="s">
        <v>145</v>
      </c>
      <c r="JM209" s="236" t="s">
        <v>74</v>
      </c>
      <c r="JN209" s="236" t="s">
        <v>841</v>
      </c>
      <c r="JP209" s="236" t="s">
        <v>13972</v>
      </c>
      <c r="JQ209" s="236" t="s">
        <v>145</v>
      </c>
      <c r="JR209" s="236" t="s">
        <v>74</v>
      </c>
      <c r="JS209" s="236" t="s">
        <v>841</v>
      </c>
      <c r="JU209" s="294" t="s">
        <v>13973</v>
      </c>
      <c r="JV209" s="294" t="s">
        <v>52</v>
      </c>
      <c r="JW209" s="263" t="s">
        <v>70</v>
      </c>
      <c r="JX209" s="294" t="s">
        <v>1083</v>
      </c>
      <c r="JZ209" s="263" t="s">
        <v>13974</v>
      </c>
      <c r="KA209" s="263" t="s">
        <v>145</v>
      </c>
      <c r="KB209" s="263" t="s">
        <v>70</v>
      </c>
      <c r="KC209" s="263" t="s">
        <v>1083</v>
      </c>
      <c r="KE209" s="263" t="s">
        <v>13975</v>
      </c>
      <c r="KF209" s="263" t="s">
        <v>52</v>
      </c>
      <c r="KG209" s="263" t="s">
        <v>70</v>
      </c>
      <c r="KH209" s="263" t="s">
        <v>1083</v>
      </c>
      <c r="KJ209" s="263" t="s">
        <v>13976</v>
      </c>
      <c r="KK209" s="263" t="s">
        <v>52</v>
      </c>
      <c r="KL209" s="263" t="s">
        <v>74</v>
      </c>
      <c r="KM209" s="263" t="s">
        <v>34074</v>
      </c>
      <c r="KO209" s="214" t="s">
        <v>13977</v>
      </c>
      <c r="KP209" s="214" t="s">
        <v>145</v>
      </c>
      <c r="KQ209" s="214" t="s">
        <v>70</v>
      </c>
      <c r="KR209" s="214" t="s">
        <v>67</v>
      </c>
      <c r="KT209" s="22" t="s">
        <v>13978</v>
      </c>
      <c r="KU209" s="22" t="s">
        <v>145</v>
      </c>
      <c r="KV209" s="22" t="s">
        <v>70</v>
      </c>
      <c r="KW209" s="22" t="s">
        <v>67</v>
      </c>
      <c r="KY209" s="214" t="s">
        <v>13979</v>
      </c>
      <c r="KZ209" s="214" t="s">
        <v>52</v>
      </c>
      <c r="LA209" s="214" t="s">
        <v>74</v>
      </c>
      <c r="LB209" s="214" t="s">
        <v>67</v>
      </c>
      <c r="LD209" s="22" t="s">
        <v>13980</v>
      </c>
      <c r="LE209" s="22" t="s">
        <v>145</v>
      </c>
      <c r="LF209" s="22" t="s">
        <v>70</v>
      </c>
      <c r="LG209" s="22" t="s">
        <v>67</v>
      </c>
    </row>
    <row r="210" spans="1:319">
      <c r="A210" s="22" t="s">
        <v>13981</v>
      </c>
      <c r="B210" s="22" t="s">
        <v>145</v>
      </c>
      <c r="C210" s="22" t="s">
        <v>70</v>
      </c>
      <c r="D210" s="22" t="s">
        <v>67</v>
      </c>
      <c r="F210" s="73" t="s">
        <v>13982</v>
      </c>
      <c r="G210" s="22" t="s">
        <v>145</v>
      </c>
      <c r="H210" s="22" t="s">
        <v>70</v>
      </c>
      <c r="I210" s="22" t="s">
        <v>67</v>
      </c>
      <c r="K210" s="22" t="s">
        <v>13983</v>
      </c>
      <c r="L210" s="22" t="s">
        <v>145</v>
      </c>
      <c r="M210" s="22" t="s">
        <v>70</v>
      </c>
      <c r="N210" s="22" t="s">
        <v>67</v>
      </c>
      <c r="P210" s="22" t="s">
        <v>13984</v>
      </c>
      <c r="Q210" s="22" t="s">
        <v>145</v>
      </c>
      <c r="R210" s="22" t="s">
        <v>70</v>
      </c>
      <c r="S210" s="22" t="s">
        <v>67</v>
      </c>
      <c r="U210" s="293" t="s">
        <v>13985</v>
      </c>
      <c r="V210" s="293" t="s">
        <v>145</v>
      </c>
      <c r="W210" s="293" t="s">
        <v>74</v>
      </c>
      <c r="X210" s="293" t="s">
        <v>656</v>
      </c>
      <c r="Z210" s="293" t="s">
        <v>13986</v>
      </c>
      <c r="AA210" s="293" t="s">
        <v>145</v>
      </c>
      <c r="AB210" s="293" t="s">
        <v>74</v>
      </c>
      <c r="AC210" s="293" t="s">
        <v>656</v>
      </c>
      <c r="AE210" s="293" t="s">
        <v>13987</v>
      </c>
      <c r="AF210" s="293" t="s">
        <v>145</v>
      </c>
      <c r="AG210" s="293" t="s">
        <v>74</v>
      </c>
      <c r="AH210" s="293" t="s">
        <v>656</v>
      </c>
      <c r="AJ210" s="293" t="s">
        <v>13988</v>
      </c>
      <c r="AK210" s="293" t="s">
        <v>145</v>
      </c>
      <c r="AL210" s="293" t="s">
        <v>74</v>
      </c>
      <c r="AM210" s="293" t="s">
        <v>656</v>
      </c>
      <c r="AO210" s="22" t="s">
        <v>13989</v>
      </c>
      <c r="AP210" s="22" t="s">
        <v>145</v>
      </c>
      <c r="AQ210" s="22" t="s">
        <v>70</v>
      </c>
      <c r="AR210" s="22" t="s">
        <v>67</v>
      </c>
      <c r="AT210" s="22" t="s">
        <v>13990</v>
      </c>
      <c r="AU210" s="22" t="s">
        <v>145</v>
      </c>
      <c r="AV210" s="22" t="s">
        <v>70</v>
      </c>
      <c r="AW210" s="22" t="s">
        <v>67</v>
      </c>
      <c r="AY210" s="22" t="s">
        <v>13991</v>
      </c>
      <c r="AZ210" s="22" t="s">
        <v>145</v>
      </c>
      <c r="BA210" s="22" t="s">
        <v>70</v>
      </c>
      <c r="BB210" s="22" t="s">
        <v>67</v>
      </c>
      <c r="BD210" s="22" t="s">
        <v>13992</v>
      </c>
      <c r="BE210" s="22" t="s">
        <v>145</v>
      </c>
      <c r="BF210" s="22" t="s">
        <v>70</v>
      </c>
      <c r="BG210" s="22" t="s">
        <v>67</v>
      </c>
      <c r="BI210" s="22" t="s">
        <v>13993</v>
      </c>
      <c r="BJ210" s="22" t="s">
        <v>145</v>
      </c>
      <c r="BK210" s="22" t="s">
        <v>70</v>
      </c>
      <c r="BL210" s="22" t="s">
        <v>67</v>
      </c>
      <c r="BN210" s="22" t="s">
        <v>13994</v>
      </c>
      <c r="BO210" s="22" t="s">
        <v>145</v>
      </c>
      <c r="BP210" s="22" t="s">
        <v>70</v>
      </c>
      <c r="BQ210" s="22" t="s">
        <v>67</v>
      </c>
      <c r="BS210" s="22" t="s">
        <v>13995</v>
      </c>
      <c r="BT210" s="22" t="s">
        <v>145</v>
      </c>
      <c r="BU210" s="22" t="s">
        <v>70</v>
      </c>
      <c r="BV210" s="214" t="s">
        <v>530</v>
      </c>
      <c r="BX210" s="22" t="s">
        <v>13996</v>
      </c>
      <c r="BY210" s="22" t="s">
        <v>145</v>
      </c>
      <c r="BZ210" s="22" t="s">
        <v>70</v>
      </c>
      <c r="CA210" s="214" t="s">
        <v>530</v>
      </c>
      <c r="CC210" s="214" t="s">
        <v>13997</v>
      </c>
      <c r="CD210" s="218" t="s">
        <v>145</v>
      </c>
      <c r="CE210" s="214" t="s">
        <v>70</v>
      </c>
      <c r="CF210" s="214" t="s">
        <v>663</v>
      </c>
      <c r="CH210" s="214" t="s">
        <v>13998</v>
      </c>
      <c r="CI210" s="214" t="s">
        <v>88</v>
      </c>
      <c r="CJ210" s="214" t="s">
        <v>70</v>
      </c>
      <c r="CK210" s="214" t="s">
        <v>530</v>
      </c>
      <c r="CM210" s="214" t="s">
        <v>13999</v>
      </c>
      <c r="CN210" s="214" t="s">
        <v>90</v>
      </c>
      <c r="CO210" s="214" t="s">
        <v>70</v>
      </c>
      <c r="CP210" s="214" t="s">
        <v>530</v>
      </c>
      <c r="CR210" s="214" t="s">
        <v>14000</v>
      </c>
      <c r="CS210" s="214" t="s">
        <v>34545</v>
      </c>
      <c r="CT210" s="214" t="s">
        <v>70</v>
      </c>
      <c r="CU210" s="214" t="s">
        <v>530</v>
      </c>
      <c r="CW210" s="214" t="s">
        <v>14001</v>
      </c>
      <c r="CX210" s="214" t="s">
        <v>34618</v>
      </c>
      <c r="CY210" s="214" t="s">
        <v>70</v>
      </c>
      <c r="CZ210" s="214" t="s">
        <v>530</v>
      </c>
      <c r="DB210" s="214" t="s">
        <v>14002</v>
      </c>
      <c r="DC210" s="214" t="s">
        <v>932</v>
      </c>
      <c r="DD210" s="214" t="s">
        <v>70</v>
      </c>
      <c r="DE210" s="214" t="s">
        <v>530</v>
      </c>
      <c r="DG210" s="214" t="s">
        <v>14003</v>
      </c>
      <c r="DH210" s="214" t="s">
        <v>34573</v>
      </c>
      <c r="DI210" s="214" t="s">
        <v>70</v>
      </c>
      <c r="DJ210" s="214" t="s">
        <v>530</v>
      </c>
      <c r="DL210" s="214" t="s">
        <v>14004</v>
      </c>
      <c r="DM210" s="214" t="s">
        <v>52</v>
      </c>
      <c r="DN210" s="214" t="s">
        <v>70</v>
      </c>
      <c r="DO210" s="214" t="s">
        <v>530</v>
      </c>
      <c r="DQ210" s="214" t="s">
        <v>14005</v>
      </c>
      <c r="DR210" s="214" t="s">
        <v>34551</v>
      </c>
      <c r="DS210" s="214" t="s">
        <v>70</v>
      </c>
      <c r="DT210" s="214" t="s">
        <v>530</v>
      </c>
      <c r="DV210" s="214" t="s">
        <v>14006</v>
      </c>
      <c r="DW210" s="214" t="s">
        <v>148</v>
      </c>
      <c r="DX210" s="214" t="s">
        <v>70</v>
      </c>
      <c r="DY210" s="214" t="s">
        <v>530</v>
      </c>
      <c r="EA210" s="214" t="s">
        <v>14007</v>
      </c>
      <c r="EB210" s="214" t="s">
        <v>933</v>
      </c>
      <c r="EC210" s="214" t="s">
        <v>70</v>
      </c>
      <c r="ED210" s="214" t="s">
        <v>530</v>
      </c>
      <c r="EF210" s="214" t="s">
        <v>14008</v>
      </c>
      <c r="EG210" s="214" t="s">
        <v>34597</v>
      </c>
      <c r="EH210" s="214" t="s">
        <v>70</v>
      </c>
      <c r="EI210" s="214" t="s">
        <v>530</v>
      </c>
      <c r="EK210" s="214" t="s">
        <v>14009</v>
      </c>
      <c r="EL210" s="214" t="s">
        <v>87</v>
      </c>
      <c r="EM210" s="214" t="s">
        <v>70</v>
      </c>
      <c r="EN210" s="214" t="s">
        <v>530</v>
      </c>
      <c r="EP210" s="214" t="s">
        <v>14010</v>
      </c>
      <c r="EQ210" s="214" t="s">
        <v>949</v>
      </c>
      <c r="ER210" s="214" t="s">
        <v>70</v>
      </c>
      <c r="ES210" s="214" t="s">
        <v>530</v>
      </c>
      <c r="EU210" s="214" t="s">
        <v>14011</v>
      </c>
      <c r="EV210" s="214" t="s">
        <v>604</v>
      </c>
      <c r="EW210" s="214" t="s">
        <v>70</v>
      </c>
      <c r="EX210" s="214" t="s">
        <v>530</v>
      </c>
      <c r="EZ210" s="214" t="s">
        <v>14012</v>
      </c>
      <c r="FA210" s="214" t="s">
        <v>905</v>
      </c>
      <c r="FB210" s="214" t="s">
        <v>70</v>
      </c>
      <c r="FC210" s="214" t="s">
        <v>530</v>
      </c>
      <c r="FE210" s="214" t="s">
        <v>14013</v>
      </c>
      <c r="FF210" s="214" t="s">
        <v>34544</v>
      </c>
      <c r="FG210" s="214" t="s">
        <v>70</v>
      </c>
      <c r="FH210" s="214" t="s">
        <v>530</v>
      </c>
      <c r="FJ210" s="321" t="s">
        <v>14014</v>
      </c>
      <c r="FK210" s="214" t="s">
        <v>89</v>
      </c>
      <c r="FL210" s="214" t="s">
        <v>70</v>
      </c>
      <c r="FM210" s="214" t="s">
        <v>530</v>
      </c>
      <c r="FO210" s="321" t="s">
        <v>14015</v>
      </c>
      <c r="FP210" s="214" t="s">
        <v>205</v>
      </c>
      <c r="FQ210" s="214" t="s">
        <v>70</v>
      </c>
      <c r="FR210" s="214" t="s">
        <v>530</v>
      </c>
      <c r="FT210" s="321" t="s">
        <v>14016</v>
      </c>
      <c r="FU210" s="214" t="s">
        <v>34541</v>
      </c>
      <c r="FV210" s="214" t="s">
        <v>70</v>
      </c>
      <c r="FW210" s="214" t="s">
        <v>530</v>
      </c>
      <c r="FY210" s="321" t="s">
        <v>14017</v>
      </c>
      <c r="FZ210" s="214" t="s">
        <v>34539</v>
      </c>
      <c r="GA210" s="214" t="s">
        <v>70</v>
      </c>
      <c r="GB210" s="214" t="s">
        <v>530</v>
      </c>
      <c r="GD210" s="321" t="s">
        <v>14018</v>
      </c>
      <c r="GE210" s="214" t="s">
        <v>34572</v>
      </c>
      <c r="GF210" s="214" t="s">
        <v>70</v>
      </c>
      <c r="GG210" s="214" t="s">
        <v>530</v>
      </c>
      <c r="GI210" s="321" t="s">
        <v>14019</v>
      </c>
      <c r="GJ210" s="214" t="s">
        <v>34598</v>
      </c>
      <c r="GK210" s="214" t="s">
        <v>70</v>
      </c>
      <c r="GL210" s="214" t="s">
        <v>530</v>
      </c>
      <c r="GN210" s="321" t="s">
        <v>14020</v>
      </c>
      <c r="GO210" s="214" t="s">
        <v>148</v>
      </c>
      <c r="GP210" s="214" t="s">
        <v>70</v>
      </c>
      <c r="GQ210" s="214" t="s">
        <v>530</v>
      </c>
      <c r="GS210" s="321" t="s">
        <v>14021</v>
      </c>
      <c r="GT210" s="214" t="s">
        <v>468</v>
      </c>
      <c r="GU210" s="214" t="s">
        <v>70</v>
      </c>
      <c r="GV210" s="214" t="s">
        <v>530</v>
      </c>
      <c r="GX210" s="214" t="s">
        <v>14022</v>
      </c>
      <c r="GY210" s="214" t="s">
        <v>89</v>
      </c>
      <c r="GZ210" s="214" t="s">
        <v>70</v>
      </c>
      <c r="HA210" s="214" t="s">
        <v>530</v>
      </c>
      <c r="HC210" s="214" t="s">
        <v>14023</v>
      </c>
      <c r="HD210" s="214" t="s">
        <v>103</v>
      </c>
      <c r="HE210" s="214" t="s">
        <v>70</v>
      </c>
      <c r="HF210" s="214" t="s">
        <v>530</v>
      </c>
      <c r="HH210" s="214" t="s">
        <v>14024</v>
      </c>
      <c r="HI210" s="214" t="s">
        <v>34578</v>
      </c>
      <c r="HJ210" s="214" t="s">
        <v>70</v>
      </c>
      <c r="HK210" s="214" t="s">
        <v>530</v>
      </c>
      <c r="HM210" s="214" t="s">
        <v>14025</v>
      </c>
      <c r="HN210" s="214" t="s">
        <v>931</v>
      </c>
      <c r="HO210" s="214" t="s">
        <v>70</v>
      </c>
      <c r="HP210" s="214" t="s">
        <v>530</v>
      </c>
      <c r="HR210" s="22" t="s">
        <v>14026</v>
      </c>
      <c r="HS210" s="22" t="s">
        <v>85</v>
      </c>
      <c r="HT210" s="22" t="s">
        <v>70</v>
      </c>
      <c r="HU210" s="214" t="s">
        <v>530</v>
      </c>
      <c r="HW210" s="22" t="s">
        <v>14027</v>
      </c>
      <c r="HX210" s="22" t="s">
        <v>913</v>
      </c>
      <c r="HY210" s="22" t="s">
        <v>70</v>
      </c>
      <c r="HZ210" s="214" t="s">
        <v>530</v>
      </c>
      <c r="IB210" s="22" t="s">
        <v>14028</v>
      </c>
      <c r="IC210" s="22" t="s">
        <v>502</v>
      </c>
      <c r="ID210" s="22" t="s">
        <v>70</v>
      </c>
      <c r="IE210" s="214" t="s">
        <v>530</v>
      </c>
      <c r="IG210" s="22" t="s">
        <v>14029</v>
      </c>
      <c r="IH210" s="22" t="s">
        <v>34564</v>
      </c>
      <c r="II210" s="22" t="s">
        <v>70</v>
      </c>
      <c r="IJ210" s="214" t="s">
        <v>530</v>
      </c>
      <c r="IL210" s="22" t="s">
        <v>14030</v>
      </c>
      <c r="IM210" s="22" t="s">
        <v>145</v>
      </c>
      <c r="IN210" s="22" t="s">
        <v>70</v>
      </c>
      <c r="IO210" s="214" t="s">
        <v>530</v>
      </c>
      <c r="IQ210" s="236" t="s">
        <v>14031</v>
      </c>
      <c r="IR210" s="236" t="s">
        <v>145</v>
      </c>
      <c r="IS210" s="236" t="s">
        <v>74</v>
      </c>
      <c r="IT210" s="236" t="s">
        <v>841</v>
      </c>
      <c r="IV210" s="236" t="s">
        <v>14032</v>
      </c>
      <c r="IW210" s="236" t="s">
        <v>145</v>
      </c>
      <c r="IX210" s="236" t="s">
        <v>74</v>
      </c>
      <c r="IY210" s="236" t="s">
        <v>841</v>
      </c>
      <c r="JA210" s="236" t="s">
        <v>14033</v>
      </c>
      <c r="JB210" s="236" t="s">
        <v>145</v>
      </c>
      <c r="JC210" s="236" t="s">
        <v>74</v>
      </c>
      <c r="JD210" s="236" t="s">
        <v>841</v>
      </c>
      <c r="JF210" s="236" t="s">
        <v>14034</v>
      </c>
      <c r="JG210" s="236" t="s">
        <v>145</v>
      </c>
      <c r="JH210" s="236" t="s">
        <v>74</v>
      </c>
      <c r="JI210" s="236" t="s">
        <v>841</v>
      </c>
      <c r="JK210" s="236" t="s">
        <v>14035</v>
      </c>
      <c r="JL210" s="236" t="s">
        <v>145</v>
      </c>
      <c r="JM210" s="236" t="s">
        <v>74</v>
      </c>
      <c r="JN210" s="236" t="s">
        <v>841</v>
      </c>
      <c r="JP210" s="236" t="s">
        <v>14036</v>
      </c>
      <c r="JQ210" s="236" t="s">
        <v>145</v>
      </c>
      <c r="JR210" s="236" t="s">
        <v>74</v>
      </c>
      <c r="JS210" s="236" t="s">
        <v>841</v>
      </c>
      <c r="JU210" s="294" t="s">
        <v>14037</v>
      </c>
      <c r="JV210" s="294" t="s">
        <v>52</v>
      </c>
      <c r="JW210" s="263" t="s">
        <v>70</v>
      </c>
      <c r="JX210" s="294" t="s">
        <v>1083</v>
      </c>
      <c r="JZ210" s="263" t="s">
        <v>14038</v>
      </c>
      <c r="KA210" s="263" t="s">
        <v>145</v>
      </c>
      <c r="KB210" s="263" t="s">
        <v>70</v>
      </c>
      <c r="KC210" s="263" t="s">
        <v>1083</v>
      </c>
      <c r="KE210" s="263" t="s">
        <v>14039</v>
      </c>
      <c r="KF210" s="263" t="s">
        <v>52</v>
      </c>
      <c r="KG210" s="263" t="s">
        <v>70</v>
      </c>
      <c r="KH210" s="263" t="s">
        <v>1083</v>
      </c>
      <c r="KJ210" s="263" t="s">
        <v>14040</v>
      </c>
      <c r="KK210" s="263" t="s">
        <v>52</v>
      </c>
      <c r="KL210" s="263" t="s">
        <v>74</v>
      </c>
      <c r="KM210" s="263" t="s">
        <v>34074</v>
      </c>
      <c r="KO210" s="214" t="s">
        <v>14041</v>
      </c>
      <c r="KP210" s="214" t="s">
        <v>145</v>
      </c>
      <c r="KQ210" s="214" t="s">
        <v>70</v>
      </c>
      <c r="KR210" s="214" t="s">
        <v>67</v>
      </c>
      <c r="KT210" s="22" t="s">
        <v>14042</v>
      </c>
      <c r="KU210" s="22" t="s">
        <v>145</v>
      </c>
      <c r="KV210" s="22" t="s">
        <v>70</v>
      </c>
      <c r="KW210" s="22" t="s">
        <v>67</v>
      </c>
      <c r="KY210" s="214" t="s">
        <v>14043</v>
      </c>
      <c r="KZ210" s="214" t="s">
        <v>52</v>
      </c>
      <c r="LA210" s="214" t="s">
        <v>74</v>
      </c>
      <c r="LB210" s="214" t="s">
        <v>67</v>
      </c>
      <c r="LD210" s="22" t="s">
        <v>14044</v>
      </c>
      <c r="LE210" s="22" t="s">
        <v>145</v>
      </c>
      <c r="LF210" s="22" t="s">
        <v>70</v>
      </c>
      <c r="LG210" s="22" t="s">
        <v>67</v>
      </c>
    </row>
    <row r="211" spans="1:319">
      <c r="A211" s="22" t="s">
        <v>14045</v>
      </c>
      <c r="B211" s="22" t="s">
        <v>145</v>
      </c>
      <c r="C211" s="22" t="s">
        <v>70</v>
      </c>
      <c r="D211" s="22" t="s">
        <v>67</v>
      </c>
      <c r="F211" s="73" t="s">
        <v>14046</v>
      </c>
      <c r="G211" s="22" t="s">
        <v>145</v>
      </c>
      <c r="H211" s="22" t="s">
        <v>70</v>
      </c>
      <c r="I211" s="22" t="s">
        <v>67</v>
      </c>
      <c r="K211" s="22" t="s">
        <v>14047</v>
      </c>
      <c r="L211" s="22" t="s">
        <v>145</v>
      </c>
      <c r="M211" s="22" t="s">
        <v>70</v>
      </c>
      <c r="N211" s="22" t="s">
        <v>67</v>
      </c>
      <c r="P211" s="22" t="s">
        <v>14048</v>
      </c>
      <c r="Q211" s="22" t="s">
        <v>145</v>
      </c>
      <c r="R211" s="22" t="s">
        <v>70</v>
      </c>
      <c r="S211" s="22" t="s">
        <v>67</v>
      </c>
      <c r="U211" s="293" t="s">
        <v>14049</v>
      </c>
      <c r="V211" s="293" t="s">
        <v>145</v>
      </c>
      <c r="W211" s="293" t="s">
        <v>74</v>
      </c>
      <c r="X211" s="293" t="s">
        <v>656</v>
      </c>
      <c r="Z211" s="293" t="s">
        <v>14050</v>
      </c>
      <c r="AA211" s="293" t="s">
        <v>145</v>
      </c>
      <c r="AB211" s="293" t="s">
        <v>74</v>
      </c>
      <c r="AC211" s="293" t="s">
        <v>656</v>
      </c>
      <c r="AE211" s="293" t="s">
        <v>14051</v>
      </c>
      <c r="AF211" s="293" t="s">
        <v>145</v>
      </c>
      <c r="AG211" s="293" t="s">
        <v>74</v>
      </c>
      <c r="AH211" s="293" t="s">
        <v>656</v>
      </c>
      <c r="AJ211" s="293" t="s">
        <v>14052</v>
      </c>
      <c r="AK211" s="293" t="s">
        <v>145</v>
      </c>
      <c r="AL211" s="293" t="s">
        <v>74</v>
      </c>
      <c r="AM211" s="293" t="s">
        <v>656</v>
      </c>
      <c r="AO211" s="22" t="s">
        <v>14053</v>
      </c>
      <c r="AP211" s="22" t="s">
        <v>145</v>
      </c>
      <c r="AQ211" s="22" t="s">
        <v>70</v>
      </c>
      <c r="AR211" s="22" t="s">
        <v>67</v>
      </c>
      <c r="AT211" s="22" t="s">
        <v>14054</v>
      </c>
      <c r="AU211" s="22" t="s">
        <v>145</v>
      </c>
      <c r="AV211" s="22" t="s">
        <v>70</v>
      </c>
      <c r="AW211" s="22" t="s">
        <v>67</v>
      </c>
      <c r="AY211" s="22" t="s">
        <v>14055</v>
      </c>
      <c r="AZ211" s="22" t="s">
        <v>145</v>
      </c>
      <c r="BA211" s="22" t="s">
        <v>70</v>
      </c>
      <c r="BB211" s="22" t="s">
        <v>67</v>
      </c>
      <c r="BD211" s="22" t="s">
        <v>14056</v>
      </c>
      <c r="BE211" s="22" t="s">
        <v>145</v>
      </c>
      <c r="BF211" s="22" t="s">
        <v>70</v>
      </c>
      <c r="BG211" s="22" t="s">
        <v>67</v>
      </c>
      <c r="BI211" s="22" t="s">
        <v>14057</v>
      </c>
      <c r="BJ211" s="22" t="s">
        <v>145</v>
      </c>
      <c r="BK211" s="22" t="s">
        <v>70</v>
      </c>
      <c r="BL211" s="22" t="s">
        <v>67</v>
      </c>
      <c r="BN211" s="22" t="s">
        <v>14058</v>
      </c>
      <c r="BO211" s="22" t="s">
        <v>145</v>
      </c>
      <c r="BP211" s="22" t="s">
        <v>70</v>
      </c>
      <c r="BQ211" s="22" t="s">
        <v>67</v>
      </c>
      <c r="BS211" s="22" t="s">
        <v>14059</v>
      </c>
      <c r="BT211" s="22" t="s">
        <v>145</v>
      </c>
      <c r="BU211" s="22" t="s">
        <v>70</v>
      </c>
      <c r="BV211" s="214" t="s">
        <v>530</v>
      </c>
      <c r="BX211" s="22" t="s">
        <v>14060</v>
      </c>
      <c r="BY211" s="22" t="s">
        <v>145</v>
      </c>
      <c r="BZ211" s="22" t="s">
        <v>70</v>
      </c>
      <c r="CA211" s="214" t="s">
        <v>530</v>
      </c>
      <c r="CC211" s="214" t="s">
        <v>14061</v>
      </c>
      <c r="CD211" s="218" t="s">
        <v>145</v>
      </c>
      <c r="CE211" s="214" t="s">
        <v>70</v>
      </c>
      <c r="CF211" s="214" t="s">
        <v>664</v>
      </c>
      <c r="CH211" s="214" t="s">
        <v>14062</v>
      </c>
      <c r="CI211" s="214" t="s">
        <v>950</v>
      </c>
      <c r="CJ211" s="214" t="s">
        <v>70</v>
      </c>
      <c r="CK211" s="214" t="s">
        <v>530</v>
      </c>
      <c r="CM211" s="214" t="s">
        <v>14063</v>
      </c>
      <c r="CN211" s="214" t="s">
        <v>468</v>
      </c>
      <c r="CO211" s="214" t="s">
        <v>70</v>
      </c>
      <c r="CP211" s="214" t="s">
        <v>530</v>
      </c>
      <c r="CR211" s="214" t="s">
        <v>14064</v>
      </c>
      <c r="CS211" s="214" t="s">
        <v>34551</v>
      </c>
      <c r="CT211" s="214" t="s">
        <v>70</v>
      </c>
      <c r="CU211" s="214" t="s">
        <v>530</v>
      </c>
      <c r="CW211" s="214" t="s">
        <v>14065</v>
      </c>
      <c r="CX211" s="214" t="s">
        <v>146</v>
      </c>
      <c r="CY211" s="214" t="s">
        <v>70</v>
      </c>
      <c r="CZ211" s="214" t="s">
        <v>530</v>
      </c>
      <c r="DB211" s="214" t="s">
        <v>14066</v>
      </c>
      <c r="DC211" s="214" t="s">
        <v>492</v>
      </c>
      <c r="DD211" s="214" t="s">
        <v>70</v>
      </c>
      <c r="DE211" s="214" t="s">
        <v>530</v>
      </c>
      <c r="DG211" s="214" t="s">
        <v>14067</v>
      </c>
      <c r="DH211" s="214" t="s">
        <v>492</v>
      </c>
      <c r="DI211" s="214" t="s">
        <v>70</v>
      </c>
      <c r="DJ211" s="214" t="s">
        <v>530</v>
      </c>
      <c r="DL211" s="214" t="s">
        <v>14068</v>
      </c>
      <c r="DM211" s="214" t="s">
        <v>52</v>
      </c>
      <c r="DN211" s="214" t="s">
        <v>70</v>
      </c>
      <c r="DO211" s="214" t="s">
        <v>530</v>
      </c>
      <c r="DQ211" s="214" t="s">
        <v>14069</v>
      </c>
      <c r="DR211" s="214" t="s">
        <v>52</v>
      </c>
      <c r="DS211" s="214" t="s">
        <v>70</v>
      </c>
      <c r="DT211" s="214" t="s">
        <v>530</v>
      </c>
      <c r="DV211" s="214" t="s">
        <v>14070</v>
      </c>
      <c r="DW211" s="214" t="s">
        <v>486</v>
      </c>
      <c r="DX211" s="214" t="s">
        <v>70</v>
      </c>
      <c r="DY211" s="214" t="s">
        <v>530</v>
      </c>
      <c r="EA211" s="214" t="s">
        <v>14071</v>
      </c>
      <c r="EB211" s="214" t="s">
        <v>491</v>
      </c>
      <c r="EC211" s="214" t="s">
        <v>70</v>
      </c>
      <c r="ED211" s="214" t="s">
        <v>530</v>
      </c>
      <c r="EF211" s="214" t="s">
        <v>14072</v>
      </c>
      <c r="EG211" s="214" t="s">
        <v>499</v>
      </c>
      <c r="EH211" s="214" t="s">
        <v>70</v>
      </c>
      <c r="EI211" s="214" t="s">
        <v>530</v>
      </c>
      <c r="EK211" s="214" t="s">
        <v>14073</v>
      </c>
      <c r="EL211" s="214" t="s">
        <v>481</v>
      </c>
      <c r="EM211" s="214" t="s">
        <v>70</v>
      </c>
      <c r="EN211" s="214" t="s">
        <v>530</v>
      </c>
      <c r="EP211" s="214" t="s">
        <v>14074</v>
      </c>
      <c r="EQ211" s="214" t="s">
        <v>491</v>
      </c>
      <c r="ER211" s="214" t="s">
        <v>70</v>
      </c>
      <c r="ES211" s="214" t="s">
        <v>530</v>
      </c>
      <c r="EU211" s="214" t="s">
        <v>14075</v>
      </c>
      <c r="EV211" s="214" t="s">
        <v>496</v>
      </c>
      <c r="EW211" s="214" t="s">
        <v>70</v>
      </c>
      <c r="EX211" s="214" t="s">
        <v>530</v>
      </c>
      <c r="EZ211" s="214" t="s">
        <v>14076</v>
      </c>
      <c r="FA211" s="214" t="s">
        <v>501</v>
      </c>
      <c r="FB211" s="214" t="s">
        <v>70</v>
      </c>
      <c r="FC211" s="214" t="s">
        <v>530</v>
      </c>
      <c r="FE211" s="214" t="s">
        <v>14077</v>
      </c>
      <c r="FF211" s="214" t="s">
        <v>34642</v>
      </c>
      <c r="FG211" s="214" t="s">
        <v>70</v>
      </c>
      <c r="FH211" s="214" t="s">
        <v>530</v>
      </c>
      <c r="FJ211" s="321" t="s">
        <v>14078</v>
      </c>
      <c r="FK211" s="214" t="s">
        <v>484</v>
      </c>
      <c r="FL211" s="214" t="s">
        <v>70</v>
      </c>
      <c r="FM211" s="214" t="s">
        <v>530</v>
      </c>
      <c r="FO211" s="321" t="s">
        <v>14079</v>
      </c>
      <c r="FP211" s="214" t="s">
        <v>468</v>
      </c>
      <c r="FQ211" s="214" t="s">
        <v>70</v>
      </c>
      <c r="FR211" s="214" t="s">
        <v>530</v>
      </c>
      <c r="FT211" s="321" t="s">
        <v>14080</v>
      </c>
      <c r="FU211" s="214" t="s">
        <v>482</v>
      </c>
      <c r="FV211" s="214" t="s">
        <v>70</v>
      </c>
      <c r="FW211" s="214" t="s">
        <v>530</v>
      </c>
      <c r="FY211" s="321" t="s">
        <v>14081</v>
      </c>
      <c r="FZ211" s="214" t="s">
        <v>934</v>
      </c>
      <c r="GA211" s="214" t="s">
        <v>70</v>
      </c>
      <c r="GB211" s="214" t="s">
        <v>530</v>
      </c>
      <c r="GD211" s="321" t="s">
        <v>14082</v>
      </c>
      <c r="GE211" s="214" t="s">
        <v>34539</v>
      </c>
      <c r="GF211" s="214" t="s">
        <v>70</v>
      </c>
      <c r="GG211" s="214" t="s">
        <v>530</v>
      </c>
      <c r="GI211" s="321" t="s">
        <v>14083</v>
      </c>
      <c r="GJ211" s="214" t="s">
        <v>486</v>
      </c>
      <c r="GK211" s="214" t="s">
        <v>70</v>
      </c>
      <c r="GL211" s="214" t="s">
        <v>530</v>
      </c>
      <c r="GN211" s="321" t="s">
        <v>14084</v>
      </c>
      <c r="GO211" s="214" t="s">
        <v>468</v>
      </c>
      <c r="GP211" s="214" t="s">
        <v>70</v>
      </c>
      <c r="GQ211" s="214" t="s">
        <v>530</v>
      </c>
      <c r="GS211" s="321" t="s">
        <v>14085</v>
      </c>
      <c r="GT211" s="214" t="s">
        <v>52</v>
      </c>
      <c r="GU211" s="214" t="s">
        <v>70</v>
      </c>
      <c r="GV211" s="214" t="s">
        <v>530</v>
      </c>
      <c r="GX211" s="214" t="s">
        <v>14086</v>
      </c>
      <c r="GY211" s="214" t="s">
        <v>34544</v>
      </c>
      <c r="GZ211" s="214" t="s">
        <v>70</v>
      </c>
      <c r="HA211" s="214" t="s">
        <v>530</v>
      </c>
      <c r="HC211" s="214" t="s">
        <v>14087</v>
      </c>
      <c r="HD211" s="214" t="s">
        <v>52</v>
      </c>
      <c r="HE211" s="214" t="s">
        <v>70</v>
      </c>
      <c r="HF211" s="214" t="s">
        <v>530</v>
      </c>
      <c r="HH211" s="214" t="s">
        <v>14088</v>
      </c>
      <c r="HI211" s="214" t="s">
        <v>93</v>
      </c>
      <c r="HJ211" s="214" t="s">
        <v>70</v>
      </c>
      <c r="HK211" s="214" t="s">
        <v>530</v>
      </c>
      <c r="HM211" s="214" t="s">
        <v>14089</v>
      </c>
      <c r="HN211" s="214" t="s">
        <v>145</v>
      </c>
      <c r="HO211" s="214" t="s">
        <v>70</v>
      </c>
      <c r="HP211" s="214" t="s">
        <v>530</v>
      </c>
      <c r="HR211" s="22" t="s">
        <v>14090</v>
      </c>
      <c r="HS211" s="22" t="s">
        <v>34558</v>
      </c>
      <c r="HT211" s="22" t="s">
        <v>70</v>
      </c>
      <c r="HU211" s="214" t="s">
        <v>530</v>
      </c>
      <c r="HW211" s="22" t="s">
        <v>14091</v>
      </c>
      <c r="HX211" s="22" t="s">
        <v>765</v>
      </c>
      <c r="HY211" s="22" t="s">
        <v>70</v>
      </c>
      <c r="HZ211" s="214" t="s">
        <v>530</v>
      </c>
      <c r="IB211" s="22" t="s">
        <v>14092</v>
      </c>
      <c r="IC211" s="22" t="s">
        <v>34557</v>
      </c>
      <c r="ID211" s="22" t="s">
        <v>70</v>
      </c>
      <c r="IE211" s="214" t="s">
        <v>530</v>
      </c>
      <c r="IG211" s="22" t="s">
        <v>14093</v>
      </c>
      <c r="IH211" s="22" t="s">
        <v>951</v>
      </c>
      <c r="II211" s="22" t="s">
        <v>70</v>
      </c>
      <c r="IJ211" s="214" t="s">
        <v>530</v>
      </c>
      <c r="IL211" s="22" t="s">
        <v>14094</v>
      </c>
      <c r="IM211" s="22" t="s">
        <v>145</v>
      </c>
      <c r="IN211" s="22" t="s">
        <v>70</v>
      </c>
      <c r="IO211" s="214" t="s">
        <v>530</v>
      </c>
      <c r="IQ211" s="236" t="s">
        <v>14095</v>
      </c>
      <c r="IR211" s="236" t="s">
        <v>145</v>
      </c>
      <c r="IS211" s="236" t="s">
        <v>74</v>
      </c>
      <c r="IT211" s="236" t="s">
        <v>841</v>
      </c>
      <c r="IV211" s="236" t="s">
        <v>14096</v>
      </c>
      <c r="IW211" s="236" t="s">
        <v>145</v>
      </c>
      <c r="IX211" s="236" t="s">
        <v>74</v>
      </c>
      <c r="IY211" s="236" t="s">
        <v>841</v>
      </c>
      <c r="JA211" s="236" t="s">
        <v>14097</v>
      </c>
      <c r="JB211" s="236" t="s">
        <v>145</v>
      </c>
      <c r="JC211" s="236" t="s">
        <v>74</v>
      </c>
      <c r="JD211" s="236" t="s">
        <v>841</v>
      </c>
      <c r="JF211" s="236" t="s">
        <v>14098</v>
      </c>
      <c r="JG211" s="236" t="s">
        <v>145</v>
      </c>
      <c r="JH211" s="236" t="s">
        <v>74</v>
      </c>
      <c r="JI211" s="236" t="s">
        <v>841</v>
      </c>
      <c r="JK211" s="236" t="s">
        <v>14099</v>
      </c>
      <c r="JL211" s="236" t="s">
        <v>145</v>
      </c>
      <c r="JM211" s="236" t="s">
        <v>74</v>
      </c>
      <c r="JN211" s="236" t="s">
        <v>841</v>
      </c>
      <c r="JP211" s="236" t="s">
        <v>14100</v>
      </c>
      <c r="JQ211" s="236" t="s">
        <v>145</v>
      </c>
      <c r="JR211" s="236" t="s">
        <v>74</v>
      </c>
      <c r="JS211" s="236" t="s">
        <v>841</v>
      </c>
      <c r="JU211" s="294" t="s">
        <v>14101</v>
      </c>
      <c r="JV211" s="294" t="s">
        <v>52</v>
      </c>
      <c r="JW211" s="263" t="s">
        <v>70</v>
      </c>
      <c r="JX211" s="294" t="s">
        <v>1083</v>
      </c>
      <c r="JZ211" s="263" t="s">
        <v>14102</v>
      </c>
      <c r="KA211" s="263" t="s">
        <v>145</v>
      </c>
      <c r="KB211" s="263" t="s">
        <v>70</v>
      </c>
      <c r="KC211" s="263" t="s">
        <v>1083</v>
      </c>
      <c r="KE211" s="263" t="s">
        <v>14103</v>
      </c>
      <c r="KF211" s="263" t="s">
        <v>52</v>
      </c>
      <c r="KG211" s="263" t="s">
        <v>70</v>
      </c>
      <c r="KH211" s="263" t="s">
        <v>1083</v>
      </c>
      <c r="KJ211" s="263" t="s">
        <v>14104</v>
      </c>
      <c r="KK211" s="263" t="s">
        <v>52</v>
      </c>
      <c r="KL211" s="263" t="s">
        <v>74</v>
      </c>
      <c r="KM211" s="263" t="s">
        <v>34074</v>
      </c>
      <c r="KO211" s="214" t="s">
        <v>14105</v>
      </c>
      <c r="KP211" s="214" t="s">
        <v>145</v>
      </c>
      <c r="KQ211" s="214" t="s">
        <v>70</v>
      </c>
      <c r="KR211" s="214" t="s">
        <v>67</v>
      </c>
      <c r="KT211" s="22" t="s">
        <v>14106</v>
      </c>
      <c r="KU211" s="22" t="s">
        <v>145</v>
      </c>
      <c r="KV211" s="22" t="s">
        <v>70</v>
      </c>
      <c r="KW211" s="22" t="s">
        <v>67</v>
      </c>
      <c r="KY211" s="214" t="s">
        <v>14107</v>
      </c>
      <c r="KZ211" s="214" t="s">
        <v>52</v>
      </c>
      <c r="LA211" s="214" t="s">
        <v>74</v>
      </c>
      <c r="LB211" s="214" t="s">
        <v>67</v>
      </c>
      <c r="LD211" s="22" t="s">
        <v>14108</v>
      </c>
      <c r="LE211" s="22" t="s">
        <v>145</v>
      </c>
      <c r="LF211" s="22" t="s">
        <v>70</v>
      </c>
      <c r="LG211" s="22" t="s">
        <v>67</v>
      </c>
    </row>
    <row r="212" spans="1:319">
      <c r="A212" s="22" t="s">
        <v>14109</v>
      </c>
      <c r="B212" s="22" t="s">
        <v>145</v>
      </c>
      <c r="C212" s="22" t="s">
        <v>70</v>
      </c>
      <c r="D212" s="22" t="s">
        <v>67</v>
      </c>
      <c r="F212" s="73" t="s">
        <v>14110</v>
      </c>
      <c r="G212" s="22" t="s">
        <v>145</v>
      </c>
      <c r="H212" s="22" t="s">
        <v>70</v>
      </c>
      <c r="I212" s="22" t="s">
        <v>67</v>
      </c>
      <c r="K212" s="22" t="s">
        <v>14111</v>
      </c>
      <c r="L212" s="22" t="s">
        <v>145</v>
      </c>
      <c r="M212" s="22" t="s">
        <v>70</v>
      </c>
      <c r="N212" s="22" t="s">
        <v>67</v>
      </c>
      <c r="P212" s="22" t="s">
        <v>14112</v>
      </c>
      <c r="Q212" s="22" t="s">
        <v>145</v>
      </c>
      <c r="R212" s="22" t="s">
        <v>70</v>
      </c>
      <c r="S212" s="22" t="s">
        <v>67</v>
      </c>
      <c r="U212" s="293" t="s">
        <v>14113</v>
      </c>
      <c r="V212" s="293" t="s">
        <v>145</v>
      </c>
      <c r="W212" s="293" t="s">
        <v>74</v>
      </c>
      <c r="X212" s="293" t="s">
        <v>656</v>
      </c>
      <c r="Z212" s="293" t="s">
        <v>14114</v>
      </c>
      <c r="AA212" s="293" t="s">
        <v>145</v>
      </c>
      <c r="AB212" s="293" t="s">
        <v>74</v>
      </c>
      <c r="AC212" s="293" t="s">
        <v>656</v>
      </c>
      <c r="AE212" s="293" t="s">
        <v>14115</v>
      </c>
      <c r="AF212" s="293" t="s">
        <v>145</v>
      </c>
      <c r="AG212" s="293" t="s">
        <v>74</v>
      </c>
      <c r="AH212" s="293" t="s">
        <v>656</v>
      </c>
      <c r="AJ212" s="293" t="s">
        <v>14116</v>
      </c>
      <c r="AK212" s="293" t="s">
        <v>145</v>
      </c>
      <c r="AL212" s="293" t="s">
        <v>74</v>
      </c>
      <c r="AM212" s="293" t="s">
        <v>656</v>
      </c>
      <c r="AO212" s="22" t="s">
        <v>14117</v>
      </c>
      <c r="AP212" s="22" t="s">
        <v>145</v>
      </c>
      <c r="AQ212" s="22" t="s">
        <v>70</v>
      </c>
      <c r="AR212" s="22" t="s">
        <v>67</v>
      </c>
      <c r="AT212" s="22" t="s">
        <v>14118</v>
      </c>
      <c r="AU212" s="22" t="s">
        <v>145</v>
      </c>
      <c r="AV212" s="22" t="s">
        <v>70</v>
      </c>
      <c r="AW212" s="22" t="s">
        <v>67</v>
      </c>
      <c r="AY212" s="22" t="s">
        <v>14119</v>
      </c>
      <c r="AZ212" s="22" t="s">
        <v>145</v>
      </c>
      <c r="BA212" s="22" t="s">
        <v>70</v>
      </c>
      <c r="BB212" s="22" t="s">
        <v>67</v>
      </c>
      <c r="BD212" s="22" t="s">
        <v>14120</v>
      </c>
      <c r="BE212" s="22" t="s">
        <v>145</v>
      </c>
      <c r="BF212" s="22" t="s">
        <v>70</v>
      </c>
      <c r="BG212" s="22" t="s">
        <v>67</v>
      </c>
      <c r="BI212" s="22" t="s">
        <v>14121</v>
      </c>
      <c r="BJ212" s="22" t="s">
        <v>145</v>
      </c>
      <c r="BK212" s="22" t="s">
        <v>70</v>
      </c>
      <c r="BL212" s="22" t="s">
        <v>67</v>
      </c>
      <c r="BN212" s="22" t="s">
        <v>14122</v>
      </c>
      <c r="BO212" s="22" t="s">
        <v>145</v>
      </c>
      <c r="BP212" s="22" t="s">
        <v>70</v>
      </c>
      <c r="BQ212" s="22" t="s">
        <v>67</v>
      </c>
      <c r="BS212" s="22" t="s">
        <v>14123</v>
      </c>
      <c r="BT212" s="22" t="s">
        <v>145</v>
      </c>
      <c r="BU212" s="22" t="s">
        <v>70</v>
      </c>
      <c r="BV212" s="214" t="s">
        <v>530</v>
      </c>
      <c r="BX212" s="22" t="s">
        <v>14124</v>
      </c>
      <c r="BY212" s="22" t="s">
        <v>145</v>
      </c>
      <c r="BZ212" s="22" t="s">
        <v>70</v>
      </c>
      <c r="CA212" s="214" t="s">
        <v>530</v>
      </c>
      <c r="CC212" s="214" t="s">
        <v>14125</v>
      </c>
      <c r="CD212" s="218" t="s">
        <v>145</v>
      </c>
      <c r="CE212" s="214" t="s">
        <v>70</v>
      </c>
      <c r="CF212" s="214" t="s">
        <v>665</v>
      </c>
      <c r="CH212" s="214" t="s">
        <v>14126</v>
      </c>
      <c r="CI212" s="214" t="s">
        <v>485</v>
      </c>
      <c r="CJ212" s="214" t="s">
        <v>70</v>
      </c>
      <c r="CK212" s="214" t="s">
        <v>530</v>
      </c>
      <c r="CM212" s="214" t="s">
        <v>14127</v>
      </c>
      <c r="CN212" s="214" t="s">
        <v>146</v>
      </c>
      <c r="CO212" s="214" t="s">
        <v>70</v>
      </c>
      <c r="CP212" s="214" t="s">
        <v>530</v>
      </c>
      <c r="CR212" s="214" t="s">
        <v>14128</v>
      </c>
      <c r="CS212" s="214" t="s">
        <v>34547</v>
      </c>
      <c r="CT212" s="214" t="s">
        <v>70</v>
      </c>
      <c r="CU212" s="214" t="s">
        <v>530</v>
      </c>
      <c r="CW212" s="214" t="s">
        <v>14129</v>
      </c>
      <c r="CX212" s="214" t="s">
        <v>85</v>
      </c>
      <c r="CY212" s="214" t="s">
        <v>70</v>
      </c>
      <c r="CZ212" s="214" t="s">
        <v>530</v>
      </c>
      <c r="DB212" s="214" t="s">
        <v>14130</v>
      </c>
      <c r="DC212" s="214" t="s">
        <v>148</v>
      </c>
      <c r="DD212" s="214" t="s">
        <v>70</v>
      </c>
      <c r="DE212" s="214" t="s">
        <v>530</v>
      </c>
      <c r="DG212" s="214" t="s">
        <v>14131</v>
      </c>
      <c r="DH212" s="214" t="s">
        <v>925</v>
      </c>
      <c r="DI212" s="214" t="s">
        <v>70</v>
      </c>
      <c r="DJ212" s="214" t="s">
        <v>530</v>
      </c>
      <c r="DL212" s="214" t="s">
        <v>14132</v>
      </c>
      <c r="DM212" s="214" t="s">
        <v>481</v>
      </c>
      <c r="DN212" s="214" t="s">
        <v>70</v>
      </c>
      <c r="DO212" s="214" t="s">
        <v>530</v>
      </c>
      <c r="DQ212" s="214" t="s">
        <v>14133</v>
      </c>
      <c r="DR212" s="214" t="s">
        <v>34551</v>
      </c>
      <c r="DS212" s="214" t="s">
        <v>70</v>
      </c>
      <c r="DT212" s="214" t="s">
        <v>530</v>
      </c>
      <c r="DV212" s="214" t="s">
        <v>14134</v>
      </c>
      <c r="DW212" s="214" t="s">
        <v>495</v>
      </c>
      <c r="DX212" s="214" t="s">
        <v>70</v>
      </c>
      <c r="DY212" s="214" t="s">
        <v>530</v>
      </c>
      <c r="EA212" s="214" t="s">
        <v>14135</v>
      </c>
      <c r="EB212" s="214" t="s">
        <v>34591</v>
      </c>
      <c r="EC212" s="214" t="s">
        <v>70</v>
      </c>
      <c r="ED212" s="214" t="s">
        <v>530</v>
      </c>
      <c r="EF212" s="214" t="s">
        <v>14136</v>
      </c>
      <c r="EG212" s="214" t="s">
        <v>88</v>
      </c>
      <c r="EH212" s="214" t="s">
        <v>70</v>
      </c>
      <c r="EI212" s="214" t="s">
        <v>530</v>
      </c>
      <c r="EK212" s="214" t="s">
        <v>14137</v>
      </c>
      <c r="EL212" s="214" t="s">
        <v>484</v>
      </c>
      <c r="EM212" s="214" t="s">
        <v>70</v>
      </c>
      <c r="EN212" s="214" t="s">
        <v>530</v>
      </c>
      <c r="EP212" s="214" t="s">
        <v>14138</v>
      </c>
      <c r="EQ212" s="214" t="s">
        <v>949</v>
      </c>
      <c r="ER212" s="214" t="s">
        <v>70</v>
      </c>
      <c r="ES212" s="214" t="s">
        <v>530</v>
      </c>
      <c r="EU212" s="214" t="s">
        <v>14139</v>
      </c>
      <c r="EV212" s="214" t="s">
        <v>92</v>
      </c>
      <c r="EW212" s="214" t="s">
        <v>70</v>
      </c>
      <c r="EX212" s="214" t="s">
        <v>530</v>
      </c>
      <c r="EZ212" s="214" t="s">
        <v>14140</v>
      </c>
      <c r="FA212" s="214" t="s">
        <v>34557</v>
      </c>
      <c r="FB212" s="214" t="s">
        <v>70</v>
      </c>
      <c r="FC212" s="214" t="s">
        <v>530</v>
      </c>
      <c r="FE212" s="214" t="s">
        <v>14141</v>
      </c>
      <c r="FF212" s="214" t="s">
        <v>204</v>
      </c>
      <c r="FG212" s="214" t="s">
        <v>70</v>
      </c>
      <c r="FH212" s="214" t="s">
        <v>530</v>
      </c>
      <c r="FJ212" s="321" t="s">
        <v>14142</v>
      </c>
      <c r="FK212" s="214" t="s">
        <v>921</v>
      </c>
      <c r="FL212" s="214" t="s">
        <v>70</v>
      </c>
      <c r="FM212" s="214" t="s">
        <v>530</v>
      </c>
      <c r="FO212" s="321" t="s">
        <v>14143</v>
      </c>
      <c r="FP212" s="214" t="s">
        <v>485</v>
      </c>
      <c r="FQ212" s="214" t="s">
        <v>70</v>
      </c>
      <c r="FR212" s="214" t="s">
        <v>530</v>
      </c>
      <c r="FT212" s="321" t="s">
        <v>14144</v>
      </c>
      <c r="FU212" s="214" t="s">
        <v>85</v>
      </c>
      <c r="FV212" s="214" t="s">
        <v>70</v>
      </c>
      <c r="FW212" s="214" t="s">
        <v>530</v>
      </c>
      <c r="FY212" s="321" t="s">
        <v>14145</v>
      </c>
      <c r="FZ212" s="214" t="s">
        <v>34611</v>
      </c>
      <c r="GA212" s="214" t="s">
        <v>70</v>
      </c>
      <c r="GB212" s="214" t="s">
        <v>530</v>
      </c>
      <c r="GD212" s="321" t="s">
        <v>14146</v>
      </c>
      <c r="GE212" s="214" t="s">
        <v>103</v>
      </c>
      <c r="GF212" s="214" t="s">
        <v>70</v>
      </c>
      <c r="GG212" s="214" t="s">
        <v>530</v>
      </c>
      <c r="GI212" s="321" t="s">
        <v>14147</v>
      </c>
      <c r="GJ212" s="214" t="s">
        <v>34602</v>
      </c>
      <c r="GK212" s="214" t="s">
        <v>70</v>
      </c>
      <c r="GL212" s="214" t="s">
        <v>530</v>
      </c>
      <c r="GN212" s="321" t="s">
        <v>14148</v>
      </c>
      <c r="GO212" s="214" t="s">
        <v>52</v>
      </c>
      <c r="GP212" s="214" t="s">
        <v>70</v>
      </c>
      <c r="GQ212" s="214" t="s">
        <v>530</v>
      </c>
      <c r="GS212" s="321" t="s">
        <v>14149</v>
      </c>
      <c r="GT212" s="214" t="s">
        <v>52</v>
      </c>
      <c r="GU212" s="214" t="s">
        <v>70</v>
      </c>
      <c r="GV212" s="214" t="s">
        <v>530</v>
      </c>
      <c r="GX212" s="214" t="s">
        <v>14150</v>
      </c>
      <c r="GY212" s="214" t="s">
        <v>148</v>
      </c>
      <c r="GZ212" s="214" t="s">
        <v>70</v>
      </c>
      <c r="HA212" s="214" t="s">
        <v>530</v>
      </c>
      <c r="HC212" s="214" t="s">
        <v>14151</v>
      </c>
      <c r="HD212" s="214" t="s">
        <v>34615</v>
      </c>
      <c r="HE212" s="214" t="s">
        <v>70</v>
      </c>
      <c r="HF212" s="214" t="s">
        <v>530</v>
      </c>
      <c r="HH212" s="214" t="s">
        <v>14152</v>
      </c>
      <c r="HI212" s="214" t="s">
        <v>468</v>
      </c>
      <c r="HJ212" s="214" t="s">
        <v>70</v>
      </c>
      <c r="HK212" s="214" t="s">
        <v>530</v>
      </c>
      <c r="HM212" s="214" t="s">
        <v>14153</v>
      </c>
      <c r="HN212" s="214" t="s">
        <v>87</v>
      </c>
      <c r="HO212" s="214" t="s">
        <v>70</v>
      </c>
      <c r="HP212" s="214" t="s">
        <v>530</v>
      </c>
      <c r="HR212" s="22" t="s">
        <v>14154</v>
      </c>
      <c r="HS212" s="22" t="s">
        <v>501</v>
      </c>
      <c r="HT212" s="22" t="s">
        <v>70</v>
      </c>
      <c r="HU212" s="214" t="s">
        <v>530</v>
      </c>
      <c r="HW212" s="22" t="s">
        <v>14155</v>
      </c>
      <c r="HX212" s="22" t="s">
        <v>165</v>
      </c>
      <c r="HY212" s="22" t="s">
        <v>70</v>
      </c>
      <c r="HZ212" s="214" t="s">
        <v>530</v>
      </c>
      <c r="IB212" s="22" t="s">
        <v>14156</v>
      </c>
      <c r="IC212" s="22" t="s">
        <v>915</v>
      </c>
      <c r="ID212" s="22" t="s">
        <v>70</v>
      </c>
      <c r="IE212" s="214" t="s">
        <v>530</v>
      </c>
      <c r="IG212" s="22" t="s">
        <v>14157</v>
      </c>
      <c r="IH212" s="22" t="s">
        <v>34617</v>
      </c>
      <c r="II212" s="22" t="s">
        <v>70</v>
      </c>
      <c r="IJ212" s="214" t="s">
        <v>530</v>
      </c>
      <c r="IL212" s="22" t="s">
        <v>14158</v>
      </c>
      <c r="IM212" s="22" t="s">
        <v>145</v>
      </c>
      <c r="IN212" s="22" t="s">
        <v>70</v>
      </c>
      <c r="IO212" s="214" t="s">
        <v>530</v>
      </c>
      <c r="IQ212" s="236" t="s">
        <v>14159</v>
      </c>
      <c r="IR212" s="236" t="s">
        <v>145</v>
      </c>
      <c r="IS212" s="236" t="s">
        <v>74</v>
      </c>
      <c r="IT212" s="236" t="s">
        <v>841</v>
      </c>
      <c r="IV212" s="236" t="s">
        <v>14160</v>
      </c>
      <c r="IW212" s="236" t="s">
        <v>145</v>
      </c>
      <c r="IX212" s="236" t="s">
        <v>74</v>
      </c>
      <c r="IY212" s="236" t="s">
        <v>841</v>
      </c>
      <c r="JA212" s="236" t="s">
        <v>14161</v>
      </c>
      <c r="JB212" s="236" t="s">
        <v>145</v>
      </c>
      <c r="JC212" s="236" t="s">
        <v>74</v>
      </c>
      <c r="JD212" s="236" t="s">
        <v>841</v>
      </c>
      <c r="JF212" s="236" t="s">
        <v>14162</v>
      </c>
      <c r="JG212" s="236" t="s">
        <v>145</v>
      </c>
      <c r="JH212" s="236" t="s">
        <v>74</v>
      </c>
      <c r="JI212" s="236" t="s">
        <v>841</v>
      </c>
      <c r="JK212" s="236" t="s">
        <v>14163</v>
      </c>
      <c r="JL212" s="236" t="s">
        <v>145</v>
      </c>
      <c r="JM212" s="236" t="s">
        <v>74</v>
      </c>
      <c r="JN212" s="236" t="s">
        <v>841</v>
      </c>
      <c r="JP212" s="236" t="s">
        <v>14164</v>
      </c>
      <c r="JQ212" s="236" t="s">
        <v>145</v>
      </c>
      <c r="JR212" s="236" t="s">
        <v>74</v>
      </c>
      <c r="JS212" s="236" t="s">
        <v>841</v>
      </c>
      <c r="JU212" s="294" t="s">
        <v>14165</v>
      </c>
      <c r="JV212" s="294" t="s">
        <v>52</v>
      </c>
      <c r="JW212" s="263" t="s">
        <v>70</v>
      </c>
      <c r="JX212" s="294" t="s">
        <v>1083</v>
      </c>
      <c r="JZ212" s="263" t="s">
        <v>14166</v>
      </c>
      <c r="KA212" s="263" t="s">
        <v>145</v>
      </c>
      <c r="KB212" s="263" t="s">
        <v>70</v>
      </c>
      <c r="KC212" s="263" t="s">
        <v>1083</v>
      </c>
      <c r="KE212" s="263" t="s">
        <v>14167</v>
      </c>
      <c r="KF212" s="263" t="s">
        <v>52</v>
      </c>
      <c r="KG212" s="263" t="s">
        <v>70</v>
      </c>
      <c r="KH212" s="263" t="s">
        <v>1083</v>
      </c>
      <c r="KJ212" s="263" t="s">
        <v>14168</v>
      </c>
      <c r="KK212" s="263" t="s">
        <v>52</v>
      </c>
      <c r="KL212" s="263" t="s">
        <v>74</v>
      </c>
      <c r="KM212" s="263" t="s">
        <v>34074</v>
      </c>
      <c r="KO212" s="214" t="s">
        <v>14169</v>
      </c>
      <c r="KP212" s="214" t="s">
        <v>145</v>
      </c>
      <c r="KQ212" s="214" t="s">
        <v>70</v>
      </c>
      <c r="KR212" s="214" t="s">
        <v>67</v>
      </c>
      <c r="KT212" s="22" t="s">
        <v>14170</v>
      </c>
      <c r="KU212" s="22" t="s">
        <v>145</v>
      </c>
      <c r="KV212" s="22" t="s">
        <v>70</v>
      </c>
      <c r="KW212" s="22" t="s">
        <v>67</v>
      </c>
      <c r="KY212" s="214" t="s">
        <v>14171</v>
      </c>
      <c r="KZ212" s="214" t="s">
        <v>52</v>
      </c>
      <c r="LA212" s="214" t="s">
        <v>74</v>
      </c>
      <c r="LB212" s="214" t="s">
        <v>67</v>
      </c>
      <c r="LD212" s="22" t="s">
        <v>14172</v>
      </c>
      <c r="LE212" s="22" t="s">
        <v>145</v>
      </c>
      <c r="LF212" s="22" t="s">
        <v>70</v>
      </c>
      <c r="LG212" s="22" t="s">
        <v>67</v>
      </c>
    </row>
    <row r="213" spans="1:319">
      <c r="A213" s="22" t="s">
        <v>14173</v>
      </c>
      <c r="B213" s="22" t="s">
        <v>145</v>
      </c>
      <c r="C213" s="22" t="s">
        <v>70</v>
      </c>
      <c r="D213" s="22" t="s">
        <v>67</v>
      </c>
      <c r="F213" s="73" t="s">
        <v>14174</v>
      </c>
      <c r="G213" s="22" t="s">
        <v>145</v>
      </c>
      <c r="H213" s="22" t="s">
        <v>70</v>
      </c>
      <c r="I213" s="22" t="s">
        <v>67</v>
      </c>
      <c r="K213" s="22" t="s">
        <v>14175</v>
      </c>
      <c r="L213" s="22" t="s">
        <v>145</v>
      </c>
      <c r="M213" s="22" t="s">
        <v>70</v>
      </c>
      <c r="N213" s="22" t="s">
        <v>67</v>
      </c>
      <c r="P213" s="22" t="s">
        <v>14176</v>
      </c>
      <c r="Q213" s="22" t="s">
        <v>145</v>
      </c>
      <c r="R213" s="22" t="s">
        <v>70</v>
      </c>
      <c r="S213" s="22" t="s">
        <v>67</v>
      </c>
      <c r="U213" s="293" t="s">
        <v>14177</v>
      </c>
      <c r="V213" s="293" t="s">
        <v>145</v>
      </c>
      <c r="W213" s="293" t="s">
        <v>74</v>
      </c>
      <c r="X213" s="293" t="s">
        <v>656</v>
      </c>
      <c r="Z213" s="293" t="s">
        <v>14178</v>
      </c>
      <c r="AA213" s="293" t="s">
        <v>145</v>
      </c>
      <c r="AB213" s="293" t="s">
        <v>74</v>
      </c>
      <c r="AC213" s="293" t="s">
        <v>656</v>
      </c>
      <c r="AE213" s="293" t="s">
        <v>14179</v>
      </c>
      <c r="AF213" s="293" t="s">
        <v>145</v>
      </c>
      <c r="AG213" s="293" t="s">
        <v>74</v>
      </c>
      <c r="AH213" s="293" t="s">
        <v>656</v>
      </c>
      <c r="AJ213" s="293" t="s">
        <v>14180</v>
      </c>
      <c r="AK213" s="293" t="s">
        <v>145</v>
      </c>
      <c r="AL213" s="293" t="s">
        <v>74</v>
      </c>
      <c r="AM213" s="293" t="s">
        <v>656</v>
      </c>
      <c r="AO213" s="22" t="s">
        <v>14181</v>
      </c>
      <c r="AP213" s="22" t="s">
        <v>145</v>
      </c>
      <c r="AQ213" s="22" t="s">
        <v>70</v>
      </c>
      <c r="AR213" s="22" t="s">
        <v>67</v>
      </c>
      <c r="AT213" s="22" t="s">
        <v>14182</v>
      </c>
      <c r="AU213" s="22" t="s">
        <v>145</v>
      </c>
      <c r="AV213" s="22" t="s">
        <v>70</v>
      </c>
      <c r="AW213" s="22" t="s">
        <v>67</v>
      </c>
      <c r="AY213" s="22" t="s">
        <v>14183</v>
      </c>
      <c r="AZ213" s="22" t="s">
        <v>145</v>
      </c>
      <c r="BA213" s="22" t="s">
        <v>70</v>
      </c>
      <c r="BB213" s="22" t="s">
        <v>67</v>
      </c>
      <c r="BD213" s="22" t="s">
        <v>14184</v>
      </c>
      <c r="BE213" s="22" t="s">
        <v>145</v>
      </c>
      <c r="BF213" s="22" t="s">
        <v>70</v>
      </c>
      <c r="BG213" s="22" t="s">
        <v>67</v>
      </c>
      <c r="BI213" s="22" t="s">
        <v>14185</v>
      </c>
      <c r="BJ213" s="22" t="s">
        <v>145</v>
      </c>
      <c r="BK213" s="22" t="s">
        <v>70</v>
      </c>
      <c r="BL213" s="22" t="s">
        <v>67</v>
      </c>
      <c r="BN213" s="22" t="s">
        <v>14186</v>
      </c>
      <c r="BO213" s="22" t="s">
        <v>145</v>
      </c>
      <c r="BP213" s="22" t="s">
        <v>70</v>
      </c>
      <c r="BQ213" s="22" t="s">
        <v>67</v>
      </c>
      <c r="BS213" s="22" t="s">
        <v>14187</v>
      </c>
      <c r="BT213" s="22" t="s">
        <v>145</v>
      </c>
      <c r="BU213" s="22" t="s">
        <v>70</v>
      </c>
      <c r="BV213" s="214" t="s">
        <v>530</v>
      </c>
      <c r="BX213" s="22" t="s">
        <v>14188</v>
      </c>
      <c r="BY213" s="22" t="s">
        <v>145</v>
      </c>
      <c r="BZ213" s="22" t="s">
        <v>70</v>
      </c>
      <c r="CA213" s="214" t="s">
        <v>530</v>
      </c>
      <c r="CC213" s="214" t="s">
        <v>14189</v>
      </c>
      <c r="CD213" s="218" t="s">
        <v>145</v>
      </c>
      <c r="CE213" s="214" t="s">
        <v>70</v>
      </c>
      <c r="CF213" s="214" t="s">
        <v>666</v>
      </c>
      <c r="CH213" s="214" t="s">
        <v>14190</v>
      </c>
      <c r="CI213" s="214" t="s">
        <v>926</v>
      </c>
      <c r="CJ213" s="214" t="s">
        <v>70</v>
      </c>
      <c r="CK213" s="214" t="s">
        <v>530</v>
      </c>
      <c r="CM213" s="214" t="s">
        <v>14191</v>
      </c>
      <c r="CN213" s="214" t="s">
        <v>149</v>
      </c>
      <c r="CO213" s="214" t="s">
        <v>70</v>
      </c>
      <c r="CP213" s="214" t="s">
        <v>530</v>
      </c>
      <c r="CR213" s="214" t="s">
        <v>14192</v>
      </c>
      <c r="CS213" s="214" t="s">
        <v>34595</v>
      </c>
      <c r="CT213" s="214" t="s">
        <v>70</v>
      </c>
      <c r="CU213" s="214" t="s">
        <v>530</v>
      </c>
      <c r="CW213" s="214" t="s">
        <v>14193</v>
      </c>
      <c r="CX213" s="214" t="s">
        <v>34618</v>
      </c>
      <c r="CY213" s="214" t="s">
        <v>70</v>
      </c>
      <c r="CZ213" s="214" t="s">
        <v>530</v>
      </c>
      <c r="DB213" s="214" t="s">
        <v>14194</v>
      </c>
      <c r="DC213" s="214" t="s">
        <v>486</v>
      </c>
      <c r="DD213" s="214" t="s">
        <v>70</v>
      </c>
      <c r="DE213" s="214" t="s">
        <v>530</v>
      </c>
      <c r="DG213" s="214" t="s">
        <v>14195</v>
      </c>
      <c r="DH213" s="214" t="s">
        <v>486</v>
      </c>
      <c r="DI213" s="214" t="s">
        <v>70</v>
      </c>
      <c r="DJ213" s="214" t="s">
        <v>530</v>
      </c>
      <c r="DL213" s="214" t="s">
        <v>14196</v>
      </c>
      <c r="DM213" s="214" t="s">
        <v>34565</v>
      </c>
      <c r="DN213" s="214" t="s">
        <v>70</v>
      </c>
      <c r="DO213" s="214" t="s">
        <v>530</v>
      </c>
      <c r="DQ213" s="214" t="s">
        <v>14197</v>
      </c>
      <c r="DR213" s="214" t="s">
        <v>88</v>
      </c>
      <c r="DS213" s="214" t="s">
        <v>70</v>
      </c>
      <c r="DT213" s="214" t="s">
        <v>530</v>
      </c>
      <c r="DV213" s="214" t="s">
        <v>14198</v>
      </c>
      <c r="DW213" s="214" t="s">
        <v>649</v>
      </c>
      <c r="DX213" s="214" t="s">
        <v>70</v>
      </c>
      <c r="DY213" s="214" t="s">
        <v>530</v>
      </c>
      <c r="EA213" s="214" t="s">
        <v>14199</v>
      </c>
      <c r="EB213" s="214" t="s">
        <v>912</v>
      </c>
      <c r="EC213" s="214" t="s">
        <v>70</v>
      </c>
      <c r="ED213" s="214" t="s">
        <v>530</v>
      </c>
      <c r="EF213" s="214" t="s">
        <v>14200</v>
      </c>
      <c r="EG213" s="214" t="s">
        <v>500</v>
      </c>
      <c r="EH213" s="214" t="s">
        <v>70</v>
      </c>
      <c r="EI213" s="214" t="s">
        <v>530</v>
      </c>
      <c r="EK213" s="214" t="s">
        <v>14201</v>
      </c>
      <c r="EL213" s="214" t="s">
        <v>926</v>
      </c>
      <c r="EM213" s="214" t="s">
        <v>70</v>
      </c>
      <c r="EN213" s="214" t="s">
        <v>530</v>
      </c>
      <c r="EP213" s="214" t="s">
        <v>14202</v>
      </c>
      <c r="EQ213" s="214" t="s">
        <v>492</v>
      </c>
      <c r="ER213" s="214" t="s">
        <v>70</v>
      </c>
      <c r="ES213" s="214" t="s">
        <v>530</v>
      </c>
      <c r="EU213" s="214" t="s">
        <v>14203</v>
      </c>
      <c r="EV213" s="214" t="s">
        <v>482</v>
      </c>
      <c r="EW213" s="214" t="s">
        <v>70</v>
      </c>
      <c r="EX213" s="214" t="s">
        <v>530</v>
      </c>
      <c r="EZ213" s="214" t="s">
        <v>14204</v>
      </c>
      <c r="FA213" s="214" t="s">
        <v>34580</v>
      </c>
      <c r="FB213" s="214" t="s">
        <v>70</v>
      </c>
      <c r="FC213" s="214" t="s">
        <v>530</v>
      </c>
      <c r="FE213" s="214" t="s">
        <v>14205</v>
      </c>
      <c r="FF213" s="214" t="s">
        <v>491</v>
      </c>
      <c r="FG213" s="214" t="s">
        <v>70</v>
      </c>
      <c r="FH213" s="214" t="s">
        <v>530</v>
      </c>
      <c r="FJ213" s="321" t="s">
        <v>14206</v>
      </c>
      <c r="FK213" s="214" t="s">
        <v>52</v>
      </c>
      <c r="FL213" s="214" t="s">
        <v>70</v>
      </c>
      <c r="FM213" s="214" t="s">
        <v>530</v>
      </c>
      <c r="FO213" s="321" t="s">
        <v>14207</v>
      </c>
      <c r="FP213" s="214" t="s">
        <v>481</v>
      </c>
      <c r="FQ213" s="214" t="s">
        <v>70</v>
      </c>
      <c r="FR213" s="214" t="s">
        <v>530</v>
      </c>
      <c r="FT213" s="321" t="s">
        <v>14208</v>
      </c>
      <c r="FU213" s="214" t="s">
        <v>52</v>
      </c>
      <c r="FV213" s="214" t="s">
        <v>70</v>
      </c>
      <c r="FW213" s="214" t="s">
        <v>530</v>
      </c>
      <c r="FY213" s="321" t="s">
        <v>14209</v>
      </c>
      <c r="FZ213" s="214" t="s">
        <v>146</v>
      </c>
      <c r="GA213" s="214" t="s">
        <v>70</v>
      </c>
      <c r="GB213" s="214" t="s">
        <v>530</v>
      </c>
      <c r="GD213" s="321" t="s">
        <v>14210</v>
      </c>
      <c r="GE213" s="214" t="s">
        <v>34562</v>
      </c>
      <c r="GF213" s="214" t="s">
        <v>70</v>
      </c>
      <c r="GG213" s="214" t="s">
        <v>530</v>
      </c>
      <c r="GI213" s="321" t="s">
        <v>14211</v>
      </c>
      <c r="GJ213" s="214" t="s">
        <v>488</v>
      </c>
      <c r="GK213" s="214" t="s">
        <v>70</v>
      </c>
      <c r="GL213" s="214" t="s">
        <v>530</v>
      </c>
      <c r="GN213" s="321" t="s">
        <v>14212</v>
      </c>
      <c r="GO213" s="214" t="s">
        <v>203</v>
      </c>
      <c r="GP213" s="214" t="s">
        <v>70</v>
      </c>
      <c r="GQ213" s="214" t="s">
        <v>530</v>
      </c>
      <c r="GS213" s="321" t="s">
        <v>14213</v>
      </c>
      <c r="GT213" s="214" t="s">
        <v>203</v>
      </c>
      <c r="GU213" s="214" t="s">
        <v>70</v>
      </c>
      <c r="GV213" s="214" t="s">
        <v>530</v>
      </c>
      <c r="GX213" s="214" t="s">
        <v>14214</v>
      </c>
      <c r="GY213" s="214" t="s">
        <v>468</v>
      </c>
      <c r="GZ213" s="214" t="s">
        <v>70</v>
      </c>
      <c r="HA213" s="214" t="s">
        <v>530</v>
      </c>
      <c r="HC213" s="214" t="s">
        <v>14215</v>
      </c>
      <c r="HD213" s="214" t="s">
        <v>495</v>
      </c>
      <c r="HE213" s="214" t="s">
        <v>70</v>
      </c>
      <c r="HF213" s="214" t="s">
        <v>530</v>
      </c>
      <c r="HH213" s="214" t="s">
        <v>14216</v>
      </c>
      <c r="HI213" s="214" t="s">
        <v>484</v>
      </c>
      <c r="HJ213" s="214" t="s">
        <v>70</v>
      </c>
      <c r="HK213" s="214" t="s">
        <v>530</v>
      </c>
      <c r="HM213" s="214" t="s">
        <v>14217</v>
      </c>
      <c r="HN213" s="214" t="s">
        <v>34558</v>
      </c>
      <c r="HO213" s="214" t="s">
        <v>70</v>
      </c>
      <c r="HP213" s="214" t="s">
        <v>530</v>
      </c>
      <c r="HR213" s="22" t="s">
        <v>14218</v>
      </c>
      <c r="HS213" s="22" t="s">
        <v>484</v>
      </c>
      <c r="HT213" s="22" t="s">
        <v>70</v>
      </c>
      <c r="HU213" s="214" t="s">
        <v>530</v>
      </c>
      <c r="HW213" s="22" t="s">
        <v>14219</v>
      </c>
      <c r="HX213" s="22" t="s">
        <v>491</v>
      </c>
      <c r="HY213" s="22" t="s">
        <v>70</v>
      </c>
      <c r="HZ213" s="214" t="s">
        <v>530</v>
      </c>
      <c r="IB213" s="22" t="s">
        <v>14220</v>
      </c>
      <c r="IC213" s="22" t="s">
        <v>488</v>
      </c>
      <c r="ID213" s="22" t="s">
        <v>70</v>
      </c>
      <c r="IE213" s="214" t="s">
        <v>530</v>
      </c>
      <c r="IG213" s="22" t="s">
        <v>14221</v>
      </c>
      <c r="IH213" s="22" t="s">
        <v>482</v>
      </c>
      <c r="II213" s="22" t="s">
        <v>70</v>
      </c>
      <c r="IJ213" s="214" t="s">
        <v>530</v>
      </c>
      <c r="IL213" s="22" t="s">
        <v>14222</v>
      </c>
      <c r="IM213" s="22" t="s">
        <v>145</v>
      </c>
      <c r="IN213" s="22" t="s">
        <v>70</v>
      </c>
      <c r="IO213" s="214" t="s">
        <v>530</v>
      </c>
      <c r="IQ213" s="236" t="s">
        <v>14223</v>
      </c>
      <c r="IR213" s="236" t="s">
        <v>145</v>
      </c>
      <c r="IS213" s="236" t="s">
        <v>74</v>
      </c>
      <c r="IT213" s="236" t="s">
        <v>841</v>
      </c>
      <c r="IV213" s="236" t="s">
        <v>14224</v>
      </c>
      <c r="IW213" s="236" t="s">
        <v>145</v>
      </c>
      <c r="IX213" s="236" t="s">
        <v>74</v>
      </c>
      <c r="IY213" s="236" t="s">
        <v>841</v>
      </c>
      <c r="JA213" s="236" t="s">
        <v>14225</v>
      </c>
      <c r="JB213" s="236" t="s">
        <v>145</v>
      </c>
      <c r="JC213" s="236" t="s">
        <v>74</v>
      </c>
      <c r="JD213" s="236" t="s">
        <v>841</v>
      </c>
      <c r="JF213" s="236" t="s">
        <v>14226</v>
      </c>
      <c r="JG213" s="236" t="s">
        <v>145</v>
      </c>
      <c r="JH213" s="236" t="s">
        <v>74</v>
      </c>
      <c r="JI213" s="236" t="s">
        <v>841</v>
      </c>
      <c r="JK213" s="236" t="s">
        <v>14227</v>
      </c>
      <c r="JL213" s="236" t="s">
        <v>145</v>
      </c>
      <c r="JM213" s="236" t="s">
        <v>74</v>
      </c>
      <c r="JN213" s="236" t="s">
        <v>841</v>
      </c>
      <c r="JP213" s="236" t="s">
        <v>14228</v>
      </c>
      <c r="JQ213" s="236" t="s">
        <v>145</v>
      </c>
      <c r="JR213" s="236" t="s">
        <v>74</v>
      </c>
      <c r="JS213" s="236" t="s">
        <v>841</v>
      </c>
      <c r="JU213" s="294" t="s">
        <v>14229</v>
      </c>
      <c r="JV213" s="294" t="s">
        <v>52</v>
      </c>
      <c r="JW213" s="263" t="s">
        <v>70</v>
      </c>
      <c r="JX213" s="294" t="s">
        <v>1083</v>
      </c>
      <c r="JZ213" s="263" t="s">
        <v>14230</v>
      </c>
      <c r="KA213" s="263" t="s">
        <v>145</v>
      </c>
      <c r="KB213" s="263" t="s">
        <v>70</v>
      </c>
      <c r="KC213" s="263" t="s">
        <v>1083</v>
      </c>
      <c r="KE213" s="263" t="s">
        <v>14231</v>
      </c>
      <c r="KF213" s="263" t="s">
        <v>52</v>
      </c>
      <c r="KG213" s="263" t="s">
        <v>70</v>
      </c>
      <c r="KH213" s="263" t="s">
        <v>1083</v>
      </c>
      <c r="KJ213" s="263" t="s">
        <v>14232</v>
      </c>
      <c r="KK213" s="263" t="s">
        <v>52</v>
      </c>
      <c r="KL213" s="263" t="s">
        <v>74</v>
      </c>
      <c r="KM213" s="263" t="s">
        <v>34074</v>
      </c>
      <c r="KO213" s="214" t="s">
        <v>14233</v>
      </c>
      <c r="KP213" s="214" t="s">
        <v>145</v>
      </c>
      <c r="KQ213" s="214" t="s">
        <v>70</v>
      </c>
      <c r="KR213" s="214" t="s">
        <v>67</v>
      </c>
      <c r="KT213" s="22" t="s">
        <v>14234</v>
      </c>
      <c r="KU213" s="22" t="s">
        <v>145</v>
      </c>
      <c r="KV213" s="22" t="s">
        <v>70</v>
      </c>
      <c r="KW213" s="22" t="s">
        <v>67</v>
      </c>
      <c r="KY213" s="214" t="s">
        <v>14235</v>
      </c>
      <c r="KZ213" s="214" t="s">
        <v>52</v>
      </c>
      <c r="LA213" s="214" t="s">
        <v>74</v>
      </c>
      <c r="LB213" s="214" t="s">
        <v>67</v>
      </c>
      <c r="LD213" s="22" t="s">
        <v>14236</v>
      </c>
      <c r="LE213" s="22" t="s">
        <v>145</v>
      </c>
      <c r="LF213" s="22" t="s">
        <v>70</v>
      </c>
      <c r="LG213" s="22" t="s">
        <v>67</v>
      </c>
    </row>
    <row r="214" spans="1:319">
      <c r="A214" s="22" t="s">
        <v>14237</v>
      </c>
      <c r="B214" s="22" t="s">
        <v>145</v>
      </c>
      <c r="C214" s="22" t="s">
        <v>70</v>
      </c>
      <c r="D214" s="22" t="s">
        <v>67</v>
      </c>
      <c r="F214" s="73" t="s">
        <v>14238</v>
      </c>
      <c r="G214" s="22" t="s">
        <v>145</v>
      </c>
      <c r="H214" s="22" t="s">
        <v>70</v>
      </c>
      <c r="I214" s="22" t="s">
        <v>67</v>
      </c>
      <c r="K214" s="22" t="s">
        <v>14239</v>
      </c>
      <c r="L214" s="22" t="s">
        <v>145</v>
      </c>
      <c r="M214" s="22" t="s">
        <v>70</v>
      </c>
      <c r="N214" s="22" t="s">
        <v>67</v>
      </c>
      <c r="P214" s="22" t="s">
        <v>14240</v>
      </c>
      <c r="Q214" s="22" t="s">
        <v>145</v>
      </c>
      <c r="R214" s="22" t="s">
        <v>70</v>
      </c>
      <c r="S214" s="22" t="s">
        <v>67</v>
      </c>
      <c r="U214" s="293" t="s">
        <v>14241</v>
      </c>
      <c r="V214" s="293" t="s">
        <v>145</v>
      </c>
      <c r="W214" s="293" t="s">
        <v>74</v>
      </c>
      <c r="X214" s="293" t="s">
        <v>656</v>
      </c>
      <c r="Z214" s="293" t="s">
        <v>14242</v>
      </c>
      <c r="AA214" s="293" t="s">
        <v>145</v>
      </c>
      <c r="AB214" s="293" t="s">
        <v>74</v>
      </c>
      <c r="AC214" s="293" t="s">
        <v>656</v>
      </c>
      <c r="AE214" s="293" t="s">
        <v>14243</v>
      </c>
      <c r="AF214" s="293" t="s">
        <v>145</v>
      </c>
      <c r="AG214" s="293" t="s">
        <v>74</v>
      </c>
      <c r="AH214" s="293" t="s">
        <v>656</v>
      </c>
      <c r="AJ214" s="293" t="s">
        <v>14244</v>
      </c>
      <c r="AK214" s="293" t="s">
        <v>145</v>
      </c>
      <c r="AL214" s="293" t="s">
        <v>74</v>
      </c>
      <c r="AM214" s="293" t="s">
        <v>656</v>
      </c>
      <c r="AO214" s="22" t="s">
        <v>14245</v>
      </c>
      <c r="AP214" s="22" t="s">
        <v>145</v>
      </c>
      <c r="AQ214" s="22" t="s">
        <v>70</v>
      </c>
      <c r="AR214" s="22" t="s">
        <v>67</v>
      </c>
      <c r="AT214" s="22" t="s">
        <v>14246</v>
      </c>
      <c r="AU214" s="22" t="s">
        <v>145</v>
      </c>
      <c r="AV214" s="22" t="s">
        <v>70</v>
      </c>
      <c r="AW214" s="22" t="s">
        <v>67</v>
      </c>
      <c r="AY214" s="22" t="s">
        <v>14247</v>
      </c>
      <c r="AZ214" s="22" t="s">
        <v>145</v>
      </c>
      <c r="BA214" s="22" t="s">
        <v>70</v>
      </c>
      <c r="BB214" s="22" t="s">
        <v>67</v>
      </c>
      <c r="BD214" s="22" t="s">
        <v>14248</v>
      </c>
      <c r="BE214" s="22" t="s">
        <v>145</v>
      </c>
      <c r="BF214" s="22" t="s">
        <v>70</v>
      </c>
      <c r="BG214" s="22" t="s">
        <v>67</v>
      </c>
      <c r="BI214" s="22" t="s">
        <v>14249</v>
      </c>
      <c r="BJ214" s="22" t="s">
        <v>145</v>
      </c>
      <c r="BK214" s="22" t="s">
        <v>70</v>
      </c>
      <c r="BL214" s="22" t="s">
        <v>67</v>
      </c>
      <c r="BN214" s="22" t="s">
        <v>14250</v>
      </c>
      <c r="BO214" s="22" t="s">
        <v>145</v>
      </c>
      <c r="BP214" s="22" t="s">
        <v>70</v>
      </c>
      <c r="BQ214" s="22" t="s">
        <v>67</v>
      </c>
      <c r="BS214" s="22" t="s">
        <v>14251</v>
      </c>
      <c r="BT214" s="22" t="s">
        <v>145</v>
      </c>
      <c r="BU214" s="22" t="s">
        <v>70</v>
      </c>
      <c r="BV214" s="214" t="s">
        <v>530</v>
      </c>
      <c r="BX214" s="22" t="s">
        <v>14252</v>
      </c>
      <c r="BY214" s="22" t="s">
        <v>145</v>
      </c>
      <c r="BZ214" s="22" t="s">
        <v>70</v>
      </c>
      <c r="CA214" s="214" t="s">
        <v>530</v>
      </c>
      <c r="CC214" s="214" t="s">
        <v>14253</v>
      </c>
      <c r="CD214" s="218" t="s">
        <v>145</v>
      </c>
      <c r="CE214" s="214" t="s">
        <v>70</v>
      </c>
      <c r="CF214" s="214" t="s">
        <v>667</v>
      </c>
      <c r="CH214" s="214" t="s">
        <v>14254</v>
      </c>
      <c r="CI214" s="214" t="s">
        <v>52</v>
      </c>
      <c r="CJ214" s="214" t="s">
        <v>70</v>
      </c>
      <c r="CK214" s="214" t="s">
        <v>530</v>
      </c>
      <c r="CM214" s="214" t="s">
        <v>14255</v>
      </c>
      <c r="CN214" s="214" t="s">
        <v>488</v>
      </c>
      <c r="CO214" s="214" t="s">
        <v>70</v>
      </c>
      <c r="CP214" s="214" t="s">
        <v>530</v>
      </c>
      <c r="CR214" s="214" t="s">
        <v>14256</v>
      </c>
      <c r="CS214" s="214" t="s">
        <v>926</v>
      </c>
      <c r="CT214" s="214" t="s">
        <v>70</v>
      </c>
      <c r="CU214" s="214" t="s">
        <v>530</v>
      </c>
      <c r="CW214" s="214" t="s">
        <v>14257</v>
      </c>
      <c r="CX214" s="214" t="s">
        <v>34545</v>
      </c>
      <c r="CY214" s="214" t="s">
        <v>70</v>
      </c>
      <c r="CZ214" s="214" t="s">
        <v>530</v>
      </c>
      <c r="DB214" s="214" t="s">
        <v>14258</v>
      </c>
      <c r="DC214" s="214" t="s">
        <v>912</v>
      </c>
      <c r="DD214" s="214" t="s">
        <v>70</v>
      </c>
      <c r="DE214" s="214" t="s">
        <v>530</v>
      </c>
      <c r="DG214" s="214" t="s">
        <v>14259</v>
      </c>
      <c r="DH214" s="214" t="s">
        <v>912</v>
      </c>
      <c r="DI214" s="214" t="s">
        <v>70</v>
      </c>
      <c r="DJ214" s="214" t="s">
        <v>530</v>
      </c>
      <c r="DL214" s="214" t="s">
        <v>14260</v>
      </c>
      <c r="DM214" s="214" t="s">
        <v>92</v>
      </c>
      <c r="DN214" s="214" t="s">
        <v>70</v>
      </c>
      <c r="DO214" s="214" t="s">
        <v>530</v>
      </c>
      <c r="DQ214" s="214" t="s">
        <v>14261</v>
      </c>
      <c r="DR214" s="214" t="s">
        <v>163</v>
      </c>
      <c r="DS214" s="214" t="s">
        <v>70</v>
      </c>
      <c r="DT214" s="214" t="s">
        <v>530</v>
      </c>
      <c r="DV214" s="214" t="s">
        <v>14262</v>
      </c>
      <c r="DW214" s="214" t="s">
        <v>164</v>
      </c>
      <c r="DX214" s="214" t="s">
        <v>70</v>
      </c>
      <c r="DY214" s="214" t="s">
        <v>530</v>
      </c>
      <c r="EA214" s="214" t="s">
        <v>14263</v>
      </c>
      <c r="EB214" s="214" t="s">
        <v>933</v>
      </c>
      <c r="EC214" s="214" t="s">
        <v>70</v>
      </c>
      <c r="ED214" s="214" t="s">
        <v>530</v>
      </c>
      <c r="EF214" s="214" t="s">
        <v>14264</v>
      </c>
      <c r="EG214" s="214" t="s">
        <v>145</v>
      </c>
      <c r="EH214" s="214" t="s">
        <v>70</v>
      </c>
      <c r="EI214" s="214" t="s">
        <v>530</v>
      </c>
      <c r="EK214" s="214" t="s">
        <v>14265</v>
      </c>
      <c r="EL214" s="214" t="s">
        <v>52</v>
      </c>
      <c r="EM214" s="214" t="s">
        <v>70</v>
      </c>
      <c r="EN214" s="214" t="s">
        <v>530</v>
      </c>
      <c r="EP214" s="214" t="s">
        <v>14266</v>
      </c>
      <c r="EQ214" s="214" t="s">
        <v>88</v>
      </c>
      <c r="ER214" s="214" t="s">
        <v>70</v>
      </c>
      <c r="ES214" s="214" t="s">
        <v>530</v>
      </c>
      <c r="EU214" s="214" t="s">
        <v>14267</v>
      </c>
      <c r="EV214" s="214" t="s">
        <v>87</v>
      </c>
      <c r="EW214" s="214" t="s">
        <v>70</v>
      </c>
      <c r="EX214" s="214" t="s">
        <v>530</v>
      </c>
      <c r="EZ214" s="214" t="s">
        <v>14268</v>
      </c>
      <c r="FA214" s="214" t="s">
        <v>52</v>
      </c>
      <c r="FB214" s="214" t="s">
        <v>70</v>
      </c>
      <c r="FC214" s="214" t="s">
        <v>530</v>
      </c>
      <c r="FE214" s="214" t="s">
        <v>14269</v>
      </c>
      <c r="FF214" s="214" t="s">
        <v>145</v>
      </c>
      <c r="FG214" s="214" t="s">
        <v>70</v>
      </c>
      <c r="FH214" s="214" t="s">
        <v>530</v>
      </c>
      <c r="FJ214" s="321" t="s">
        <v>14270</v>
      </c>
      <c r="FK214" s="214" t="s">
        <v>499</v>
      </c>
      <c r="FL214" s="214" t="s">
        <v>70</v>
      </c>
      <c r="FM214" s="214" t="s">
        <v>530</v>
      </c>
      <c r="FO214" s="321" t="s">
        <v>14271</v>
      </c>
      <c r="FP214" s="214" t="s">
        <v>34607</v>
      </c>
      <c r="FQ214" s="214" t="s">
        <v>70</v>
      </c>
      <c r="FR214" s="214" t="s">
        <v>530</v>
      </c>
      <c r="FT214" s="321" t="s">
        <v>14272</v>
      </c>
      <c r="FU214" s="214" t="s">
        <v>10541</v>
      </c>
      <c r="FV214" s="214" t="s">
        <v>70</v>
      </c>
      <c r="FW214" s="214" t="s">
        <v>530</v>
      </c>
      <c r="FY214" s="321" t="s">
        <v>14273</v>
      </c>
      <c r="FZ214" s="214" t="s">
        <v>204</v>
      </c>
      <c r="GA214" s="214" t="s">
        <v>70</v>
      </c>
      <c r="GB214" s="214" t="s">
        <v>530</v>
      </c>
      <c r="GD214" s="321" t="s">
        <v>14274</v>
      </c>
      <c r="GE214" s="214" t="s">
        <v>600</v>
      </c>
      <c r="GF214" s="214" t="s">
        <v>70</v>
      </c>
      <c r="GG214" s="214" t="s">
        <v>530</v>
      </c>
      <c r="GI214" s="321" t="s">
        <v>14275</v>
      </c>
      <c r="GJ214" s="214" t="s">
        <v>34636</v>
      </c>
      <c r="GK214" s="214" t="s">
        <v>70</v>
      </c>
      <c r="GL214" s="214" t="s">
        <v>530</v>
      </c>
      <c r="GN214" s="321" t="s">
        <v>14276</v>
      </c>
      <c r="GO214" s="214" t="s">
        <v>34554</v>
      </c>
      <c r="GP214" s="214" t="s">
        <v>70</v>
      </c>
      <c r="GQ214" s="214" t="s">
        <v>530</v>
      </c>
      <c r="GS214" s="321" t="s">
        <v>14277</v>
      </c>
      <c r="GT214" s="214" t="s">
        <v>34564</v>
      </c>
      <c r="GU214" s="214" t="s">
        <v>70</v>
      </c>
      <c r="GV214" s="214" t="s">
        <v>530</v>
      </c>
      <c r="GX214" s="214" t="s">
        <v>14278</v>
      </c>
      <c r="GY214" s="214" t="s">
        <v>52</v>
      </c>
      <c r="GZ214" s="214" t="s">
        <v>70</v>
      </c>
      <c r="HA214" s="214" t="s">
        <v>530</v>
      </c>
      <c r="HC214" s="214" t="s">
        <v>14279</v>
      </c>
      <c r="HD214" s="214" t="s">
        <v>52</v>
      </c>
      <c r="HE214" s="214" t="s">
        <v>70</v>
      </c>
      <c r="HF214" s="214" t="s">
        <v>530</v>
      </c>
      <c r="HH214" s="214" t="s">
        <v>14280</v>
      </c>
      <c r="HI214" s="214" t="s">
        <v>52</v>
      </c>
      <c r="HJ214" s="214" t="s">
        <v>70</v>
      </c>
      <c r="HK214" s="214" t="s">
        <v>530</v>
      </c>
      <c r="HM214" s="214" t="s">
        <v>14281</v>
      </c>
      <c r="HN214" s="214" t="s">
        <v>90</v>
      </c>
      <c r="HO214" s="214" t="s">
        <v>70</v>
      </c>
      <c r="HP214" s="214" t="s">
        <v>530</v>
      </c>
      <c r="HR214" s="22" t="s">
        <v>14282</v>
      </c>
      <c r="HS214" s="22" t="s">
        <v>85</v>
      </c>
      <c r="HT214" s="22" t="s">
        <v>70</v>
      </c>
      <c r="HU214" s="214" t="s">
        <v>530</v>
      </c>
      <c r="HW214" s="22" t="s">
        <v>14283</v>
      </c>
      <c r="HX214" s="22" t="s">
        <v>485</v>
      </c>
      <c r="HY214" s="22" t="s">
        <v>70</v>
      </c>
      <c r="HZ214" s="214" t="s">
        <v>530</v>
      </c>
      <c r="IB214" s="22" t="s">
        <v>14284</v>
      </c>
      <c r="IC214" s="22" t="s">
        <v>305</v>
      </c>
      <c r="ID214" s="22" t="s">
        <v>70</v>
      </c>
      <c r="IE214" s="214" t="s">
        <v>530</v>
      </c>
      <c r="IG214" s="22" t="s">
        <v>14285</v>
      </c>
      <c r="IH214" s="22" t="s">
        <v>34555</v>
      </c>
      <c r="II214" s="22" t="s">
        <v>70</v>
      </c>
      <c r="IJ214" s="214" t="s">
        <v>530</v>
      </c>
      <c r="IL214" s="22" t="s">
        <v>14286</v>
      </c>
      <c r="IM214" s="22" t="s">
        <v>145</v>
      </c>
      <c r="IN214" s="22" t="s">
        <v>70</v>
      </c>
      <c r="IO214" s="214" t="s">
        <v>530</v>
      </c>
      <c r="IQ214" s="236" t="s">
        <v>14287</v>
      </c>
      <c r="IR214" s="236" t="s">
        <v>145</v>
      </c>
      <c r="IS214" s="236" t="s">
        <v>74</v>
      </c>
      <c r="IT214" s="236" t="s">
        <v>841</v>
      </c>
      <c r="IV214" s="236" t="s">
        <v>14288</v>
      </c>
      <c r="IW214" s="236" t="s">
        <v>145</v>
      </c>
      <c r="IX214" s="236" t="s">
        <v>74</v>
      </c>
      <c r="IY214" s="236" t="s">
        <v>841</v>
      </c>
      <c r="JA214" s="236" t="s">
        <v>14289</v>
      </c>
      <c r="JB214" s="236" t="s">
        <v>145</v>
      </c>
      <c r="JC214" s="236" t="s">
        <v>74</v>
      </c>
      <c r="JD214" s="236" t="s">
        <v>841</v>
      </c>
      <c r="JF214" s="236" t="s">
        <v>14290</v>
      </c>
      <c r="JG214" s="236" t="s">
        <v>145</v>
      </c>
      <c r="JH214" s="236" t="s">
        <v>74</v>
      </c>
      <c r="JI214" s="236" t="s">
        <v>841</v>
      </c>
      <c r="JK214" s="236" t="s">
        <v>14291</v>
      </c>
      <c r="JL214" s="236" t="s">
        <v>145</v>
      </c>
      <c r="JM214" s="236" t="s">
        <v>74</v>
      </c>
      <c r="JN214" s="236" t="s">
        <v>841</v>
      </c>
      <c r="JP214" s="236" t="s">
        <v>14292</v>
      </c>
      <c r="JQ214" s="236" t="s">
        <v>145</v>
      </c>
      <c r="JR214" s="236" t="s">
        <v>74</v>
      </c>
      <c r="JS214" s="236" t="s">
        <v>841</v>
      </c>
      <c r="JU214" s="294" t="s">
        <v>14293</v>
      </c>
      <c r="JV214" s="294" t="s">
        <v>52</v>
      </c>
      <c r="JW214" s="263" t="s">
        <v>70</v>
      </c>
      <c r="JX214" s="294" t="s">
        <v>1083</v>
      </c>
      <c r="JZ214" s="263" t="s">
        <v>14294</v>
      </c>
      <c r="KA214" s="263" t="s">
        <v>145</v>
      </c>
      <c r="KB214" s="263" t="s">
        <v>70</v>
      </c>
      <c r="KC214" s="263" t="s">
        <v>1083</v>
      </c>
      <c r="KE214" s="263" t="s">
        <v>14295</v>
      </c>
      <c r="KF214" s="263" t="s">
        <v>52</v>
      </c>
      <c r="KG214" s="263" t="s">
        <v>70</v>
      </c>
      <c r="KH214" s="263" t="s">
        <v>1083</v>
      </c>
      <c r="KJ214" s="263" t="s">
        <v>14296</v>
      </c>
      <c r="KK214" s="263" t="s">
        <v>52</v>
      </c>
      <c r="KL214" s="263" t="s">
        <v>74</v>
      </c>
      <c r="KM214" s="263" t="s">
        <v>34074</v>
      </c>
      <c r="KO214" s="214" t="s">
        <v>14297</v>
      </c>
      <c r="KP214" s="214" t="s">
        <v>145</v>
      </c>
      <c r="KQ214" s="214" t="s">
        <v>70</v>
      </c>
      <c r="KR214" s="214" t="s">
        <v>67</v>
      </c>
      <c r="KT214" s="22" t="s">
        <v>14298</v>
      </c>
      <c r="KU214" s="22" t="s">
        <v>145</v>
      </c>
      <c r="KV214" s="22" t="s">
        <v>70</v>
      </c>
      <c r="KW214" s="22" t="s">
        <v>67</v>
      </c>
      <c r="KY214" s="214" t="s">
        <v>14299</v>
      </c>
      <c r="KZ214" s="214" t="s">
        <v>52</v>
      </c>
      <c r="LA214" s="214" t="s">
        <v>74</v>
      </c>
      <c r="LB214" s="214" t="s">
        <v>67</v>
      </c>
      <c r="LD214" s="22" t="s">
        <v>14300</v>
      </c>
      <c r="LE214" s="22" t="s">
        <v>145</v>
      </c>
      <c r="LF214" s="22" t="s">
        <v>70</v>
      </c>
      <c r="LG214" s="22" t="s">
        <v>67</v>
      </c>
    </row>
    <row r="215" spans="1:319">
      <c r="A215" s="22" t="s">
        <v>14301</v>
      </c>
      <c r="B215" s="22" t="s">
        <v>145</v>
      </c>
      <c r="C215" s="22" t="s">
        <v>70</v>
      </c>
      <c r="D215" s="22" t="s">
        <v>67</v>
      </c>
      <c r="F215" s="73" t="s">
        <v>14302</v>
      </c>
      <c r="G215" s="22" t="s">
        <v>145</v>
      </c>
      <c r="H215" s="22" t="s">
        <v>70</v>
      </c>
      <c r="I215" s="22" t="s">
        <v>67</v>
      </c>
      <c r="K215" s="22" t="s">
        <v>14303</v>
      </c>
      <c r="L215" s="22" t="s">
        <v>145</v>
      </c>
      <c r="M215" s="22" t="s">
        <v>70</v>
      </c>
      <c r="N215" s="22" t="s">
        <v>67</v>
      </c>
      <c r="P215" s="22" t="s">
        <v>14304</v>
      </c>
      <c r="Q215" s="22" t="s">
        <v>145</v>
      </c>
      <c r="R215" s="22" t="s">
        <v>70</v>
      </c>
      <c r="S215" s="22" t="s">
        <v>67</v>
      </c>
      <c r="U215" s="293" t="s">
        <v>14305</v>
      </c>
      <c r="V215" s="293" t="s">
        <v>145</v>
      </c>
      <c r="W215" s="293" t="s">
        <v>74</v>
      </c>
      <c r="X215" s="293" t="s">
        <v>656</v>
      </c>
      <c r="Z215" s="293" t="s">
        <v>14306</v>
      </c>
      <c r="AA215" s="293" t="s">
        <v>145</v>
      </c>
      <c r="AB215" s="293" t="s">
        <v>74</v>
      </c>
      <c r="AC215" s="293" t="s">
        <v>656</v>
      </c>
      <c r="AE215" s="293" t="s">
        <v>14307</v>
      </c>
      <c r="AF215" s="293" t="s">
        <v>145</v>
      </c>
      <c r="AG215" s="293" t="s">
        <v>74</v>
      </c>
      <c r="AH215" s="293" t="s">
        <v>656</v>
      </c>
      <c r="AJ215" s="293" t="s">
        <v>14308</v>
      </c>
      <c r="AK215" s="293" t="s">
        <v>145</v>
      </c>
      <c r="AL215" s="293" t="s">
        <v>74</v>
      </c>
      <c r="AM215" s="293" t="s">
        <v>656</v>
      </c>
      <c r="AO215" s="22" t="s">
        <v>14309</v>
      </c>
      <c r="AP215" s="22" t="s">
        <v>145</v>
      </c>
      <c r="AQ215" s="22" t="s">
        <v>70</v>
      </c>
      <c r="AR215" s="22" t="s">
        <v>67</v>
      </c>
      <c r="AT215" s="22" t="s">
        <v>14310</v>
      </c>
      <c r="AU215" s="22" t="s">
        <v>145</v>
      </c>
      <c r="AV215" s="22" t="s">
        <v>70</v>
      </c>
      <c r="AW215" s="22" t="s">
        <v>67</v>
      </c>
      <c r="AY215" s="22" t="s">
        <v>14311</v>
      </c>
      <c r="AZ215" s="22" t="s">
        <v>145</v>
      </c>
      <c r="BA215" s="22" t="s">
        <v>70</v>
      </c>
      <c r="BB215" s="22" t="s">
        <v>67</v>
      </c>
      <c r="BD215" s="22" t="s">
        <v>14312</v>
      </c>
      <c r="BE215" s="22" t="s">
        <v>145</v>
      </c>
      <c r="BF215" s="22" t="s">
        <v>70</v>
      </c>
      <c r="BG215" s="22" t="s">
        <v>67</v>
      </c>
      <c r="BI215" s="22" t="s">
        <v>14313</v>
      </c>
      <c r="BJ215" s="22" t="s">
        <v>145</v>
      </c>
      <c r="BK215" s="22" t="s">
        <v>70</v>
      </c>
      <c r="BL215" s="22" t="s">
        <v>67</v>
      </c>
      <c r="BN215" s="22" t="s">
        <v>14314</v>
      </c>
      <c r="BO215" s="22" t="s">
        <v>145</v>
      </c>
      <c r="BP215" s="22" t="s">
        <v>70</v>
      </c>
      <c r="BQ215" s="22" t="s">
        <v>67</v>
      </c>
      <c r="BS215" s="22" t="s">
        <v>14315</v>
      </c>
      <c r="BT215" s="22" t="s">
        <v>145</v>
      </c>
      <c r="BU215" s="22" t="s">
        <v>70</v>
      </c>
      <c r="BV215" s="214" t="s">
        <v>530</v>
      </c>
      <c r="BX215" s="22" t="s">
        <v>14316</v>
      </c>
      <c r="BY215" s="22" t="s">
        <v>145</v>
      </c>
      <c r="BZ215" s="22" t="s">
        <v>70</v>
      </c>
      <c r="CA215" s="214" t="s">
        <v>530</v>
      </c>
      <c r="CC215" s="214" t="s">
        <v>14317</v>
      </c>
      <c r="CD215" s="218" t="s">
        <v>145</v>
      </c>
      <c r="CE215" s="214" t="s">
        <v>70</v>
      </c>
      <c r="CF215" s="214" t="s">
        <v>668</v>
      </c>
      <c r="CH215" s="214" t="s">
        <v>14318</v>
      </c>
      <c r="CI215" s="214" t="s">
        <v>203</v>
      </c>
      <c r="CJ215" s="214" t="s">
        <v>70</v>
      </c>
      <c r="CK215" s="214" t="s">
        <v>530</v>
      </c>
      <c r="CM215" s="214" t="s">
        <v>14319</v>
      </c>
      <c r="CN215" s="214" t="s">
        <v>488</v>
      </c>
      <c r="CO215" s="214" t="s">
        <v>70</v>
      </c>
      <c r="CP215" s="214" t="s">
        <v>530</v>
      </c>
      <c r="CR215" s="214" t="s">
        <v>14320</v>
      </c>
      <c r="CS215" s="214" t="s">
        <v>488</v>
      </c>
      <c r="CT215" s="214" t="s">
        <v>70</v>
      </c>
      <c r="CU215" s="214" t="s">
        <v>530</v>
      </c>
      <c r="CW215" s="214" t="s">
        <v>14321</v>
      </c>
      <c r="CX215" s="214" t="s">
        <v>34551</v>
      </c>
      <c r="CY215" s="214" t="s">
        <v>70</v>
      </c>
      <c r="CZ215" s="214" t="s">
        <v>530</v>
      </c>
      <c r="DB215" s="214" t="s">
        <v>14322</v>
      </c>
      <c r="DC215" s="214" t="s">
        <v>488</v>
      </c>
      <c r="DD215" s="214" t="s">
        <v>70</v>
      </c>
      <c r="DE215" s="214" t="s">
        <v>530</v>
      </c>
      <c r="DG215" s="214" t="s">
        <v>14323</v>
      </c>
      <c r="DH215" s="214" t="s">
        <v>488</v>
      </c>
      <c r="DI215" s="214" t="s">
        <v>70</v>
      </c>
      <c r="DJ215" s="214" t="s">
        <v>530</v>
      </c>
      <c r="DL215" s="214" t="s">
        <v>14324</v>
      </c>
      <c r="DM215" s="214" t="s">
        <v>636</v>
      </c>
      <c r="DN215" s="214" t="s">
        <v>70</v>
      </c>
      <c r="DO215" s="214" t="s">
        <v>530</v>
      </c>
      <c r="DQ215" s="214" t="s">
        <v>14325</v>
      </c>
      <c r="DR215" s="214" t="s">
        <v>486</v>
      </c>
      <c r="DS215" s="214" t="s">
        <v>70</v>
      </c>
      <c r="DT215" s="214" t="s">
        <v>530</v>
      </c>
      <c r="DV215" s="214" t="s">
        <v>14326</v>
      </c>
      <c r="DW215" s="214" t="s">
        <v>163</v>
      </c>
      <c r="DX215" s="214" t="s">
        <v>70</v>
      </c>
      <c r="DY215" s="214" t="s">
        <v>530</v>
      </c>
      <c r="EA215" s="214" t="s">
        <v>14327</v>
      </c>
      <c r="EB215" s="214" t="s">
        <v>491</v>
      </c>
      <c r="EC215" s="214" t="s">
        <v>70</v>
      </c>
      <c r="ED215" s="214" t="s">
        <v>530</v>
      </c>
      <c r="EF215" s="214" t="s">
        <v>14328</v>
      </c>
      <c r="EG215" s="214" t="s">
        <v>34541</v>
      </c>
      <c r="EH215" s="214" t="s">
        <v>70</v>
      </c>
      <c r="EI215" s="214" t="s">
        <v>530</v>
      </c>
      <c r="EK215" s="214" t="s">
        <v>14329</v>
      </c>
      <c r="EL215" s="214" t="s">
        <v>206</v>
      </c>
      <c r="EM215" s="214" t="s">
        <v>70</v>
      </c>
      <c r="EN215" s="214" t="s">
        <v>530</v>
      </c>
      <c r="EP215" s="214" t="s">
        <v>14330</v>
      </c>
      <c r="EQ215" s="214" t="s">
        <v>488</v>
      </c>
      <c r="ER215" s="214" t="s">
        <v>70</v>
      </c>
      <c r="ES215" s="214" t="s">
        <v>530</v>
      </c>
      <c r="EU215" s="214" t="s">
        <v>14331</v>
      </c>
      <c r="EV215" s="214" t="s">
        <v>52</v>
      </c>
      <c r="EW215" s="214" t="s">
        <v>70</v>
      </c>
      <c r="EX215" s="214" t="s">
        <v>530</v>
      </c>
      <c r="EZ215" s="214" t="s">
        <v>14332</v>
      </c>
      <c r="FA215" s="214" t="s">
        <v>497</v>
      </c>
      <c r="FB215" s="214" t="s">
        <v>70</v>
      </c>
      <c r="FC215" s="214" t="s">
        <v>530</v>
      </c>
      <c r="FE215" s="214" t="s">
        <v>14333</v>
      </c>
      <c r="FF215" s="214" t="s">
        <v>34541</v>
      </c>
      <c r="FG215" s="214" t="s">
        <v>70</v>
      </c>
      <c r="FH215" s="214" t="s">
        <v>530</v>
      </c>
      <c r="FJ215" s="321" t="s">
        <v>14334</v>
      </c>
      <c r="FK215" s="214" t="s">
        <v>85</v>
      </c>
      <c r="FL215" s="214" t="s">
        <v>70</v>
      </c>
      <c r="FM215" s="214" t="s">
        <v>530</v>
      </c>
      <c r="FO215" s="321" t="s">
        <v>14335</v>
      </c>
      <c r="FP215" s="214" t="s">
        <v>491</v>
      </c>
      <c r="FQ215" s="214" t="s">
        <v>70</v>
      </c>
      <c r="FR215" s="214" t="s">
        <v>530</v>
      </c>
      <c r="FT215" s="321" t="s">
        <v>14336</v>
      </c>
      <c r="FU215" s="214" t="s">
        <v>52</v>
      </c>
      <c r="FV215" s="214" t="s">
        <v>70</v>
      </c>
      <c r="FW215" s="214" t="s">
        <v>530</v>
      </c>
      <c r="FY215" s="321" t="s">
        <v>14337</v>
      </c>
      <c r="FZ215" s="214" t="s">
        <v>529</v>
      </c>
      <c r="GA215" s="214" t="s">
        <v>70</v>
      </c>
      <c r="GB215" s="214" t="s">
        <v>530</v>
      </c>
      <c r="GD215" s="321" t="s">
        <v>14338</v>
      </c>
      <c r="GE215" s="214" t="s">
        <v>484</v>
      </c>
      <c r="GF215" s="214" t="s">
        <v>70</v>
      </c>
      <c r="GG215" s="214" t="s">
        <v>530</v>
      </c>
      <c r="GI215" s="321" t="s">
        <v>14339</v>
      </c>
      <c r="GJ215" s="214" t="s">
        <v>52</v>
      </c>
      <c r="GK215" s="214" t="s">
        <v>70</v>
      </c>
      <c r="GL215" s="214" t="s">
        <v>530</v>
      </c>
      <c r="GN215" s="321" t="s">
        <v>14340</v>
      </c>
      <c r="GO215" s="214" t="s">
        <v>34590</v>
      </c>
      <c r="GP215" s="214" t="s">
        <v>70</v>
      </c>
      <c r="GQ215" s="214" t="s">
        <v>530</v>
      </c>
      <c r="GS215" s="321" t="s">
        <v>14341</v>
      </c>
      <c r="GT215" s="214" t="s">
        <v>503</v>
      </c>
      <c r="GU215" s="214" t="s">
        <v>70</v>
      </c>
      <c r="GV215" s="214" t="s">
        <v>530</v>
      </c>
      <c r="GX215" s="214" t="s">
        <v>14342</v>
      </c>
      <c r="GY215" s="214" t="s">
        <v>203</v>
      </c>
      <c r="GZ215" s="214" t="s">
        <v>70</v>
      </c>
      <c r="HA215" s="214" t="s">
        <v>530</v>
      </c>
      <c r="HC215" s="214" t="s">
        <v>14343</v>
      </c>
      <c r="HD215" s="214" t="s">
        <v>484</v>
      </c>
      <c r="HE215" s="214" t="s">
        <v>70</v>
      </c>
      <c r="HF215" s="214" t="s">
        <v>530</v>
      </c>
      <c r="HH215" s="214" t="s">
        <v>14344</v>
      </c>
      <c r="HI215" s="214" t="s">
        <v>85</v>
      </c>
      <c r="HJ215" s="214" t="s">
        <v>70</v>
      </c>
      <c r="HK215" s="214" t="s">
        <v>530</v>
      </c>
      <c r="HM215" s="214" t="s">
        <v>14345</v>
      </c>
      <c r="HN215" s="214" t="s">
        <v>599</v>
      </c>
      <c r="HO215" s="214" t="s">
        <v>70</v>
      </c>
      <c r="HP215" s="214" t="s">
        <v>530</v>
      </c>
      <c r="HR215" s="22" t="s">
        <v>14346</v>
      </c>
      <c r="HS215" s="22" t="s">
        <v>919</v>
      </c>
      <c r="HT215" s="22" t="s">
        <v>70</v>
      </c>
      <c r="HU215" s="214" t="s">
        <v>530</v>
      </c>
      <c r="HW215" s="22" t="s">
        <v>14347</v>
      </c>
      <c r="HX215" s="22" t="s">
        <v>146</v>
      </c>
      <c r="HY215" s="22" t="s">
        <v>70</v>
      </c>
      <c r="HZ215" s="214" t="s">
        <v>530</v>
      </c>
      <c r="IB215" s="22" t="s">
        <v>14348</v>
      </c>
      <c r="IC215" s="22" t="s">
        <v>287</v>
      </c>
      <c r="ID215" s="22" t="s">
        <v>70</v>
      </c>
      <c r="IE215" s="214" t="s">
        <v>530</v>
      </c>
      <c r="IG215" s="22" t="s">
        <v>14349</v>
      </c>
      <c r="IH215" s="22" t="s">
        <v>34584</v>
      </c>
      <c r="II215" s="22" t="s">
        <v>70</v>
      </c>
      <c r="IJ215" s="214" t="s">
        <v>530</v>
      </c>
      <c r="IL215" s="22" t="s">
        <v>14350</v>
      </c>
      <c r="IM215" s="22" t="s">
        <v>145</v>
      </c>
      <c r="IN215" s="22" t="s">
        <v>70</v>
      </c>
      <c r="IO215" s="214" t="s">
        <v>530</v>
      </c>
      <c r="IQ215" s="236" t="s">
        <v>14351</v>
      </c>
      <c r="IR215" s="236" t="s">
        <v>145</v>
      </c>
      <c r="IS215" s="236" t="s">
        <v>74</v>
      </c>
      <c r="IT215" s="236" t="s">
        <v>841</v>
      </c>
      <c r="IV215" s="236" t="s">
        <v>14352</v>
      </c>
      <c r="IW215" s="236" t="s">
        <v>145</v>
      </c>
      <c r="IX215" s="236" t="s">
        <v>74</v>
      </c>
      <c r="IY215" s="236" t="s">
        <v>841</v>
      </c>
      <c r="JA215" s="236" t="s">
        <v>14353</v>
      </c>
      <c r="JB215" s="236" t="s">
        <v>145</v>
      </c>
      <c r="JC215" s="236" t="s">
        <v>74</v>
      </c>
      <c r="JD215" s="236" t="s">
        <v>841</v>
      </c>
      <c r="JF215" s="236" t="s">
        <v>14354</v>
      </c>
      <c r="JG215" s="236" t="s">
        <v>145</v>
      </c>
      <c r="JH215" s="236" t="s">
        <v>74</v>
      </c>
      <c r="JI215" s="236" t="s">
        <v>841</v>
      </c>
      <c r="JK215" s="236" t="s">
        <v>14355</v>
      </c>
      <c r="JL215" s="236" t="s">
        <v>145</v>
      </c>
      <c r="JM215" s="236" t="s">
        <v>74</v>
      </c>
      <c r="JN215" s="236" t="s">
        <v>841</v>
      </c>
      <c r="JP215" s="236" t="s">
        <v>14356</v>
      </c>
      <c r="JQ215" s="236" t="s">
        <v>145</v>
      </c>
      <c r="JR215" s="236" t="s">
        <v>74</v>
      </c>
      <c r="JS215" s="236" t="s">
        <v>841</v>
      </c>
      <c r="JU215" s="294" t="s">
        <v>14357</v>
      </c>
      <c r="JV215" s="294" t="s">
        <v>52</v>
      </c>
      <c r="JW215" s="263" t="s">
        <v>70</v>
      </c>
      <c r="JX215" s="294" t="s">
        <v>1083</v>
      </c>
      <c r="JZ215" s="263" t="s">
        <v>14358</v>
      </c>
      <c r="KA215" s="263" t="s">
        <v>145</v>
      </c>
      <c r="KB215" s="263" t="s">
        <v>70</v>
      </c>
      <c r="KC215" s="263" t="s">
        <v>1083</v>
      </c>
      <c r="KE215" s="263" t="s">
        <v>14359</v>
      </c>
      <c r="KF215" s="263" t="s">
        <v>52</v>
      </c>
      <c r="KG215" s="263" t="s">
        <v>70</v>
      </c>
      <c r="KH215" s="263" t="s">
        <v>1083</v>
      </c>
      <c r="KJ215" s="263" t="s">
        <v>14360</v>
      </c>
      <c r="KK215" s="263" t="s">
        <v>52</v>
      </c>
      <c r="KL215" s="263" t="s">
        <v>74</v>
      </c>
      <c r="KM215" s="263" t="s">
        <v>34074</v>
      </c>
      <c r="KO215" s="214" t="s">
        <v>14361</v>
      </c>
      <c r="KP215" s="214" t="s">
        <v>145</v>
      </c>
      <c r="KQ215" s="214" t="s">
        <v>70</v>
      </c>
      <c r="KR215" s="214" t="s">
        <v>67</v>
      </c>
      <c r="KT215" s="22" t="s">
        <v>14362</v>
      </c>
      <c r="KU215" s="22" t="s">
        <v>145</v>
      </c>
      <c r="KV215" s="22" t="s">
        <v>70</v>
      </c>
      <c r="KW215" s="22" t="s">
        <v>67</v>
      </c>
      <c r="KY215" s="214" t="s">
        <v>14363</v>
      </c>
      <c r="KZ215" s="214" t="s">
        <v>52</v>
      </c>
      <c r="LA215" s="214" t="s">
        <v>74</v>
      </c>
      <c r="LB215" s="214" t="s">
        <v>67</v>
      </c>
      <c r="LD215" s="22" t="s">
        <v>14364</v>
      </c>
      <c r="LE215" s="22" t="s">
        <v>145</v>
      </c>
      <c r="LF215" s="22" t="s">
        <v>70</v>
      </c>
      <c r="LG215" s="22" t="s">
        <v>67</v>
      </c>
    </row>
    <row r="216" spans="1:319">
      <c r="A216" s="22" t="s">
        <v>14365</v>
      </c>
      <c r="B216" s="22" t="s">
        <v>145</v>
      </c>
      <c r="C216" s="22" t="s">
        <v>70</v>
      </c>
      <c r="D216" s="22" t="s">
        <v>67</v>
      </c>
      <c r="F216" s="73" t="s">
        <v>14366</v>
      </c>
      <c r="G216" s="22" t="s">
        <v>145</v>
      </c>
      <c r="H216" s="22" t="s">
        <v>70</v>
      </c>
      <c r="I216" s="22" t="s">
        <v>67</v>
      </c>
      <c r="K216" s="22" t="s">
        <v>14367</v>
      </c>
      <c r="L216" s="22" t="s">
        <v>145</v>
      </c>
      <c r="M216" s="22" t="s">
        <v>70</v>
      </c>
      <c r="N216" s="22" t="s">
        <v>67</v>
      </c>
      <c r="P216" s="22" t="s">
        <v>14368</v>
      </c>
      <c r="Q216" s="22" t="s">
        <v>145</v>
      </c>
      <c r="R216" s="22" t="s">
        <v>70</v>
      </c>
      <c r="S216" s="22" t="s">
        <v>67</v>
      </c>
      <c r="U216" s="293" t="s">
        <v>14369</v>
      </c>
      <c r="V216" s="293" t="s">
        <v>145</v>
      </c>
      <c r="W216" s="293" t="s">
        <v>74</v>
      </c>
      <c r="X216" s="293" t="s">
        <v>656</v>
      </c>
      <c r="Z216" s="293" t="s">
        <v>14370</v>
      </c>
      <c r="AA216" s="293" t="s">
        <v>145</v>
      </c>
      <c r="AB216" s="293" t="s">
        <v>74</v>
      </c>
      <c r="AC216" s="293" t="s">
        <v>656</v>
      </c>
      <c r="AE216" s="293" t="s">
        <v>14371</v>
      </c>
      <c r="AF216" s="293" t="s">
        <v>145</v>
      </c>
      <c r="AG216" s="293" t="s">
        <v>74</v>
      </c>
      <c r="AH216" s="293" t="s">
        <v>656</v>
      </c>
      <c r="AJ216" s="293" t="s">
        <v>14372</v>
      </c>
      <c r="AK216" s="293" t="s">
        <v>145</v>
      </c>
      <c r="AL216" s="293" t="s">
        <v>74</v>
      </c>
      <c r="AM216" s="293" t="s">
        <v>656</v>
      </c>
      <c r="AO216" s="22" t="s">
        <v>14373</v>
      </c>
      <c r="AP216" s="22" t="s">
        <v>145</v>
      </c>
      <c r="AQ216" s="22" t="s">
        <v>70</v>
      </c>
      <c r="AR216" s="22" t="s">
        <v>67</v>
      </c>
      <c r="AT216" s="22" t="s">
        <v>14374</v>
      </c>
      <c r="AU216" s="22" t="s">
        <v>145</v>
      </c>
      <c r="AV216" s="22" t="s">
        <v>70</v>
      </c>
      <c r="AW216" s="22" t="s">
        <v>67</v>
      </c>
      <c r="AY216" s="22" t="s">
        <v>14375</v>
      </c>
      <c r="AZ216" s="22" t="s">
        <v>145</v>
      </c>
      <c r="BA216" s="22" t="s">
        <v>70</v>
      </c>
      <c r="BB216" s="22" t="s">
        <v>67</v>
      </c>
      <c r="BD216" s="22" t="s">
        <v>14376</v>
      </c>
      <c r="BE216" s="22" t="s">
        <v>145</v>
      </c>
      <c r="BF216" s="22" t="s">
        <v>70</v>
      </c>
      <c r="BG216" s="22" t="s">
        <v>67</v>
      </c>
      <c r="BI216" s="22" t="s">
        <v>14377</v>
      </c>
      <c r="BJ216" s="22" t="s">
        <v>145</v>
      </c>
      <c r="BK216" s="22" t="s">
        <v>70</v>
      </c>
      <c r="BL216" s="22" t="s">
        <v>67</v>
      </c>
      <c r="BN216" s="22" t="s">
        <v>14378</v>
      </c>
      <c r="BO216" s="22" t="s">
        <v>145</v>
      </c>
      <c r="BP216" s="22" t="s">
        <v>70</v>
      </c>
      <c r="BQ216" s="22" t="s">
        <v>67</v>
      </c>
      <c r="BS216" s="22" t="s">
        <v>14379</v>
      </c>
      <c r="BT216" s="22" t="s">
        <v>145</v>
      </c>
      <c r="BU216" s="22" t="s">
        <v>70</v>
      </c>
      <c r="BV216" s="214" t="s">
        <v>530</v>
      </c>
      <c r="BX216" s="22" t="s">
        <v>14380</v>
      </c>
      <c r="BY216" s="22" t="s">
        <v>145</v>
      </c>
      <c r="BZ216" s="22" t="s">
        <v>70</v>
      </c>
      <c r="CA216" s="214" t="s">
        <v>530</v>
      </c>
      <c r="CC216" s="214" t="s">
        <v>14381</v>
      </c>
      <c r="CD216" s="218" t="s">
        <v>145</v>
      </c>
      <c r="CE216" s="214" t="s">
        <v>70</v>
      </c>
      <c r="CF216" s="214" t="s">
        <v>669</v>
      </c>
      <c r="CH216" s="214" t="s">
        <v>14382</v>
      </c>
      <c r="CI216" s="214" t="s">
        <v>34563</v>
      </c>
      <c r="CJ216" s="214" t="s">
        <v>70</v>
      </c>
      <c r="CK216" s="214" t="s">
        <v>530</v>
      </c>
      <c r="CM216" s="214" t="s">
        <v>14383</v>
      </c>
      <c r="CN216" s="214" t="s">
        <v>468</v>
      </c>
      <c r="CO216" s="214" t="s">
        <v>70</v>
      </c>
      <c r="CP216" s="214" t="s">
        <v>530</v>
      </c>
      <c r="CR216" s="214" t="s">
        <v>14384</v>
      </c>
      <c r="CS216" s="214" t="s">
        <v>34607</v>
      </c>
      <c r="CT216" s="214" t="s">
        <v>70</v>
      </c>
      <c r="CU216" s="214" t="s">
        <v>530</v>
      </c>
      <c r="CW216" s="214" t="s">
        <v>14385</v>
      </c>
      <c r="CX216" s="214" t="s">
        <v>600</v>
      </c>
      <c r="CY216" s="214" t="s">
        <v>70</v>
      </c>
      <c r="CZ216" s="214" t="s">
        <v>530</v>
      </c>
      <c r="DB216" s="214" t="s">
        <v>14386</v>
      </c>
      <c r="DC216" s="214" t="s">
        <v>502</v>
      </c>
      <c r="DD216" s="214" t="s">
        <v>70</v>
      </c>
      <c r="DE216" s="214" t="s">
        <v>530</v>
      </c>
      <c r="DG216" s="214" t="s">
        <v>14387</v>
      </c>
      <c r="DH216" s="214" t="s">
        <v>502</v>
      </c>
      <c r="DI216" s="214" t="s">
        <v>70</v>
      </c>
      <c r="DJ216" s="214" t="s">
        <v>530</v>
      </c>
      <c r="DL216" s="214" t="s">
        <v>14388</v>
      </c>
      <c r="DM216" s="214" t="s">
        <v>164</v>
      </c>
      <c r="DN216" s="214" t="s">
        <v>70</v>
      </c>
      <c r="DO216" s="214" t="s">
        <v>530</v>
      </c>
      <c r="DQ216" s="214" t="s">
        <v>14389</v>
      </c>
      <c r="DR216" s="214" t="s">
        <v>34590</v>
      </c>
      <c r="DS216" s="214" t="s">
        <v>70</v>
      </c>
      <c r="DT216" s="214" t="s">
        <v>530</v>
      </c>
      <c r="DV216" s="214" t="s">
        <v>14390</v>
      </c>
      <c r="DW216" s="214" t="s">
        <v>490</v>
      </c>
      <c r="DX216" s="214" t="s">
        <v>70</v>
      </c>
      <c r="DY216" s="214" t="s">
        <v>530</v>
      </c>
      <c r="EA216" s="214" t="s">
        <v>14391</v>
      </c>
      <c r="EB216" s="214" t="s">
        <v>34591</v>
      </c>
      <c r="EC216" s="214" t="s">
        <v>70</v>
      </c>
      <c r="ED216" s="214" t="s">
        <v>530</v>
      </c>
      <c r="EF216" s="214" t="s">
        <v>14392</v>
      </c>
      <c r="EG216" s="214" t="s">
        <v>34656</v>
      </c>
      <c r="EH216" s="214" t="s">
        <v>70</v>
      </c>
      <c r="EI216" s="214" t="s">
        <v>530</v>
      </c>
      <c r="EK216" s="214" t="s">
        <v>14393</v>
      </c>
      <c r="EL216" s="214" t="s">
        <v>34556</v>
      </c>
      <c r="EM216" s="214" t="s">
        <v>70</v>
      </c>
      <c r="EN216" s="214" t="s">
        <v>530</v>
      </c>
      <c r="EP216" s="214" t="s">
        <v>14394</v>
      </c>
      <c r="EQ216" s="214" t="s">
        <v>949</v>
      </c>
      <c r="ER216" s="214" t="s">
        <v>70</v>
      </c>
      <c r="ES216" s="214" t="s">
        <v>530</v>
      </c>
      <c r="EU216" s="214" t="s">
        <v>14395</v>
      </c>
      <c r="EV216" s="214" t="s">
        <v>468</v>
      </c>
      <c r="EW216" s="214" t="s">
        <v>70</v>
      </c>
      <c r="EX216" s="214" t="s">
        <v>530</v>
      </c>
      <c r="EZ216" s="214" t="s">
        <v>14396</v>
      </c>
      <c r="FA216" s="214" t="s">
        <v>145</v>
      </c>
      <c r="FB216" s="214" t="s">
        <v>70</v>
      </c>
      <c r="FC216" s="214" t="s">
        <v>530</v>
      </c>
      <c r="FE216" s="214" t="s">
        <v>14397</v>
      </c>
      <c r="FF216" s="214" t="s">
        <v>34541</v>
      </c>
      <c r="FG216" s="214" t="s">
        <v>70</v>
      </c>
      <c r="FH216" s="214" t="s">
        <v>530</v>
      </c>
      <c r="FJ216" s="321" t="s">
        <v>14398</v>
      </c>
      <c r="FK216" s="214" t="s">
        <v>163</v>
      </c>
      <c r="FL216" s="214" t="s">
        <v>70</v>
      </c>
      <c r="FM216" s="214" t="s">
        <v>530</v>
      </c>
      <c r="FO216" s="321" t="s">
        <v>14399</v>
      </c>
      <c r="FP216" s="214" t="s">
        <v>34564</v>
      </c>
      <c r="FQ216" s="214" t="s">
        <v>70</v>
      </c>
      <c r="FR216" s="214" t="s">
        <v>530</v>
      </c>
      <c r="FT216" s="321" t="s">
        <v>14400</v>
      </c>
      <c r="FU216" s="214" t="s">
        <v>34550</v>
      </c>
      <c r="FV216" s="214" t="s">
        <v>70</v>
      </c>
      <c r="FW216" s="214" t="s">
        <v>530</v>
      </c>
      <c r="FY216" s="321" t="s">
        <v>14401</v>
      </c>
      <c r="FZ216" s="214" t="s">
        <v>599</v>
      </c>
      <c r="GA216" s="214" t="s">
        <v>70</v>
      </c>
      <c r="GB216" s="214" t="s">
        <v>530</v>
      </c>
      <c r="GD216" s="321" t="s">
        <v>14402</v>
      </c>
      <c r="GE216" s="214" t="s">
        <v>148</v>
      </c>
      <c r="GF216" s="214" t="s">
        <v>70</v>
      </c>
      <c r="GG216" s="214" t="s">
        <v>530</v>
      </c>
      <c r="GI216" s="321" t="s">
        <v>14403</v>
      </c>
      <c r="GJ216" s="214" t="s">
        <v>34516</v>
      </c>
      <c r="GK216" s="214" t="s">
        <v>70</v>
      </c>
      <c r="GL216" s="214" t="s">
        <v>530</v>
      </c>
      <c r="GN216" s="321" t="s">
        <v>14404</v>
      </c>
      <c r="GO216" s="214" t="s">
        <v>52</v>
      </c>
      <c r="GP216" s="214" t="s">
        <v>70</v>
      </c>
      <c r="GQ216" s="214" t="s">
        <v>530</v>
      </c>
      <c r="GS216" s="321" t="s">
        <v>14405</v>
      </c>
      <c r="GT216" s="214" t="s">
        <v>52</v>
      </c>
      <c r="GU216" s="214" t="s">
        <v>70</v>
      </c>
      <c r="GV216" s="214" t="s">
        <v>530</v>
      </c>
      <c r="GX216" s="214" t="s">
        <v>14406</v>
      </c>
      <c r="GY216" s="214" t="s">
        <v>34591</v>
      </c>
      <c r="GZ216" s="214" t="s">
        <v>70</v>
      </c>
      <c r="HA216" s="214" t="s">
        <v>530</v>
      </c>
      <c r="HC216" s="214" t="s">
        <v>14407</v>
      </c>
      <c r="HD216" s="214" t="s">
        <v>85</v>
      </c>
      <c r="HE216" s="214" t="s">
        <v>70</v>
      </c>
      <c r="HF216" s="214" t="s">
        <v>530</v>
      </c>
      <c r="HH216" s="214" t="s">
        <v>14408</v>
      </c>
      <c r="HI216" s="214" t="s">
        <v>52</v>
      </c>
      <c r="HJ216" s="214" t="s">
        <v>70</v>
      </c>
      <c r="HK216" s="214" t="s">
        <v>530</v>
      </c>
      <c r="HM216" s="214" t="s">
        <v>14409</v>
      </c>
      <c r="HN216" s="214" t="s">
        <v>34537</v>
      </c>
      <c r="HO216" s="214" t="s">
        <v>70</v>
      </c>
      <c r="HP216" s="214" t="s">
        <v>530</v>
      </c>
      <c r="HR216" s="22" t="s">
        <v>14410</v>
      </c>
      <c r="HS216" s="22" t="s">
        <v>34584</v>
      </c>
      <c r="HT216" s="22" t="s">
        <v>70</v>
      </c>
      <c r="HU216" s="214" t="s">
        <v>530</v>
      </c>
      <c r="HW216" s="22" t="s">
        <v>14411</v>
      </c>
      <c r="HX216" s="22" t="s">
        <v>34638</v>
      </c>
      <c r="HY216" s="22" t="s">
        <v>70</v>
      </c>
      <c r="HZ216" s="214" t="s">
        <v>530</v>
      </c>
      <c r="IB216" s="22" t="s">
        <v>14412</v>
      </c>
      <c r="IC216" s="22" t="s">
        <v>492</v>
      </c>
      <c r="ID216" s="22" t="s">
        <v>70</v>
      </c>
      <c r="IE216" s="214" t="s">
        <v>530</v>
      </c>
      <c r="IG216" s="22" t="s">
        <v>14413</v>
      </c>
      <c r="IH216" s="22" t="s">
        <v>34560</v>
      </c>
      <c r="II216" s="22" t="s">
        <v>70</v>
      </c>
      <c r="IJ216" s="214" t="s">
        <v>530</v>
      </c>
      <c r="IL216" s="22" t="s">
        <v>14414</v>
      </c>
      <c r="IM216" s="22" t="s">
        <v>145</v>
      </c>
      <c r="IN216" s="22" t="s">
        <v>70</v>
      </c>
      <c r="IO216" s="214" t="s">
        <v>530</v>
      </c>
      <c r="IQ216" s="236" t="s">
        <v>14415</v>
      </c>
      <c r="IR216" s="236" t="s">
        <v>145</v>
      </c>
      <c r="IS216" s="236" t="s">
        <v>74</v>
      </c>
      <c r="IT216" s="236" t="s">
        <v>841</v>
      </c>
      <c r="IV216" s="236" t="s">
        <v>14416</v>
      </c>
      <c r="IW216" s="236" t="s">
        <v>145</v>
      </c>
      <c r="IX216" s="236" t="s">
        <v>74</v>
      </c>
      <c r="IY216" s="236" t="s">
        <v>841</v>
      </c>
      <c r="JA216" s="236" t="s">
        <v>14417</v>
      </c>
      <c r="JB216" s="236" t="s">
        <v>145</v>
      </c>
      <c r="JC216" s="236" t="s">
        <v>74</v>
      </c>
      <c r="JD216" s="236" t="s">
        <v>841</v>
      </c>
      <c r="JF216" s="236" t="s">
        <v>14418</v>
      </c>
      <c r="JG216" s="236" t="s">
        <v>145</v>
      </c>
      <c r="JH216" s="236" t="s">
        <v>74</v>
      </c>
      <c r="JI216" s="236" t="s">
        <v>841</v>
      </c>
      <c r="JK216" s="236" t="s">
        <v>14419</v>
      </c>
      <c r="JL216" s="236" t="s">
        <v>145</v>
      </c>
      <c r="JM216" s="236" t="s">
        <v>74</v>
      </c>
      <c r="JN216" s="236" t="s">
        <v>841</v>
      </c>
      <c r="JP216" s="236" t="s">
        <v>14420</v>
      </c>
      <c r="JQ216" s="236" t="s">
        <v>145</v>
      </c>
      <c r="JR216" s="236" t="s">
        <v>74</v>
      </c>
      <c r="JS216" s="236" t="s">
        <v>841</v>
      </c>
      <c r="JU216" s="294" t="s">
        <v>14421</v>
      </c>
      <c r="JV216" s="294" t="s">
        <v>52</v>
      </c>
      <c r="JW216" s="263" t="s">
        <v>70</v>
      </c>
      <c r="JX216" s="294" t="s">
        <v>1083</v>
      </c>
      <c r="JZ216" s="263" t="s">
        <v>14422</v>
      </c>
      <c r="KA216" s="263" t="s">
        <v>145</v>
      </c>
      <c r="KB216" s="263" t="s">
        <v>70</v>
      </c>
      <c r="KC216" s="263" t="s">
        <v>1083</v>
      </c>
      <c r="KE216" s="263" t="s">
        <v>14423</v>
      </c>
      <c r="KF216" s="263" t="s">
        <v>52</v>
      </c>
      <c r="KG216" s="263" t="s">
        <v>70</v>
      </c>
      <c r="KH216" s="263" t="s">
        <v>1083</v>
      </c>
      <c r="KJ216" s="263" t="s">
        <v>14424</v>
      </c>
      <c r="KK216" s="263" t="s">
        <v>52</v>
      </c>
      <c r="KL216" s="263" t="s">
        <v>74</v>
      </c>
      <c r="KM216" s="263" t="s">
        <v>34074</v>
      </c>
      <c r="KO216" s="214" t="s">
        <v>14425</v>
      </c>
      <c r="KP216" s="214" t="s">
        <v>145</v>
      </c>
      <c r="KQ216" s="214" t="s">
        <v>70</v>
      </c>
      <c r="KR216" s="214" t="s">
        <v>67</v>
      </c>
      <c r="KT216" s="22" t="s">
        <v>14426</v>
      </c>
      <c r="KU216" s="22" t="s">
        <v>145</v>
      </c>
      <c r="KV216" s="22" t="s">
        <v>70</v>
      </c>
      <c r="KW216" s="22" t="s">
        <v>67</v>
      </c>
      <c r="KY216" s="214" t="s">
        <v>14427</v>
      </c>
      <c r="KZ216" s="214" t="s">
        <v>52</v>
      </c>
      <c r="LA216" s="214" t="s">
        <v>74</v>
      </c>
      <c r="LB216" s="214" t="s">
        <v>67</v>
      </c>
      <c r="LD216" s="22" t="s">
        <v>14428</v>
      </c>
      <c r="LE216" s="22" t="s">
        <v>145</v>
      </c>
      <c r="LF216" s="22" t="s">
        <v>70</v>
      </c>
      <c r="LG216" s="22" t="s">
        <v>67</v>
      </c>
    </row>
    <row r="217" spans="1:319">
      <c r="A217" s="22" t="s">
        <v>14429</v>
      </c>
      <c r="B217" s="22" t="s">
        <v>145</v>
      </c>
      <c r="C217" s="22" t="s">
        <v>70</v>
      </c>
      <c r="D217" s="22" t="s">
        <v>67</v>
      </c>
      <c r="F217" s="73" t="s">
        <v>14430</v>
      </c>
      <c r="G217" s="22" t="s">
        <v>145</v>
      </c>
      <c r="H217" s="22" t="s">
        <v>70</v>
      </c>
      <c r="I217" s="22" t="s">
        <v>67</v>
      </c>
      <c r="K217" s="22" t="s">
        <v>14431</v>
      </c>
      <c r="L217" s="22" t="s">
        <v>145</v>
      </c>
      <c r="M217" s="22" t="s">
        <v>70</v>
      </c>
      <c r="N217" s="22" t="s">
        <v>67</v>
      </c>
      <c r="P217" s="22" t="s">
        <v>14432</v>
      </c>
      <c r="Q217" s="22" t="s">
        <v>145</v>
      </c>
      <c r="R217" s="22" t="s">
        <v>70</v>
      </c>
      <c r="S217" s="22" t="s">
        <v>67</v>
      </c>
      <c r="U217" s="293" t="s">
        <v>14433</v>
      </c>
      <c r="V217" s="293" t="s">
        <v>145</v>
      </c>
      <c r="W217" s="293" t="s">
        <v>74</v>
      </c>
      <c r="X217" s="293" t="s">
        <v>656</v>
      </c>
      <c r="Z217" s="293" t="s">
        <v>14434</v>
      </c>
      <c r="AA217" s="293" t="s">
        <v>145</v>
      </c>
      <c r="AB217" s="293" t="s">
        <v>74</v>
      </c>
      <c r="AC217" s="293" t="s">
        <v>656</v>
      </c>
      <c r="AE217" s="293" t="s">
        <v>14435</v>
      </c>
      <c r="AF217" s="293" t="s">
        <v>145</v>
      </c>
      <c r="AG217" s="293" t="s">
        <v>74</v>
      </c>
      <c r="AH217" s="293" t="s">
        <v>656</v>
      </c>
      <c r="AJ217" s="293" t="s">
        <v>14436</v>
      </c>
      <c r="AK217" s="293" t="s">
        <v>145</v>
      </c>
      <c r="AL217" s="293" t="s">
        <v>74</v>
      </c>
      <c r="AM217" s="293" t="s">
        <v>656</v>
      </c>
      <c r="AO217" s="22" t="s">
        <v>14437</v>
      </c>
      <c r="AP217" s="22" t="s">
        <v>145</v>
      </c>
      <c r="AQ217" s="22" t="s">
        <v>70</v>
      </c>
      <c r="AR217" s="22" t="s">
        <v>67</v>
      </c>
      <c r="AT217" s="22" t="s">
        <v>14438</v>
      </c>
      <c r="AU217" s="22" t="s">
        <v>145</v>
      </c>
      <c r="AV217" s="22" t="s">
        <v>70</v>
      </c>
      <c r="AW217" s="22" t="s">
        <v>67</v>
      </c>
      <c r="AY217" s="22" t="s">
        <v>14439</v>
      </c>
      <c r="AZ217" s="22" t="s">
        <v>145</v>
      </c>
      <c r="BA217" s="22" t="s">
        <v>70</v>
      </c>
      <c r="BB217" s="22" t="s">
        <v>67</v>
      </c>
      <c r="BD217" s="22" t="s">
        <v>14440</v>
      </c>
      <c r="BE217" s="22" t="s">
        <v>145</v>
      </c>
      <c r="BF217" s="22" t="s">
        <v>70</v>
      </c>
      <c r="BG217" s="22" t="s">
        <v>67</v>
      </c>
      <c r="BI217" s="22" t="s">
        <v>14441</v>
      </c>
      <c r="BJ217" s="22" t="s">
        <v>145</v>
      </c>
      <c r="BK217" s="22" t="s">
        <v>70</v>
      </c>
      <c r="BL217" s="22" t="s">
        <v>67</v>
      </c>
      <c r="BN217" s="22" t="s">
        <v>14442</v>
      </c>
      <c r="BO217" s="22" t="s">
        <v>145</v>
      </c>
      <c r="BP217" s="22" t="s">
        <v>70</v>
      </c>
      <c r="BQ217" s="22" t="s">
        <v>67</v>
      </c>
      <c r="BS217" s="22" t="s">
        <v>14443</v>
      </c>
      <c r="BT217" s="22" t="s">
        <v>145</v>
      </c>
      <c r="BU217" s="22" t="s">
        <v>70</v>
      </c>
      <c r="BV217" s="214" t="s">
        <v>530</v>
      </c>
      <c r="BX217" s="22" t="s">
        <v>14444</v>
      </c>
      <c r="BY217" s="22" t="s">
        <v>145</v>
      </c>
      <c r="BZ217" s="22" t="s">
        <v>70</v>
      </c>
      <c r="CA217" s="214" t="s">
        <v>530</v>
      </c>
      <c r="CC217" s="214" t="s">
        <v>14445</v>
      </c>
      <c r="CD217" s="218" t="s">
        <v>145</v>
      </c>
      <c r="CE217" s="214" t="s">
        <v>70</v>
      </c>
      <c r="CF217" s="214" t="s">
        <v>670</v>
      </c>
      <c r="CH217" s="214" t="s">
        <v>14446</v>
      </c>
      <c r="CI217" s="214" t="s">
        <v>490</v>
      </c>
      <c r="CJ217" s="214" t="s">
        <v>70</v>
      </c>
      <c r="CK217" s="214" t="s">
        <v>530</v>
      </c>
      <c r="CM217" s="214" t="s">
        <v>14447</v>
      </c>
      <c r="CN217" s="214" t="s">
        <v>484</v>
      </c>
      <c r="CO217" s="214" t="s">
        <v>70</v>
      </c>
      <c r="CP217" s="214" t="s">
        <v>530</v>
      </c>
      <c r="CR217" s="214" t="s">
        <v>14448</v>
      </c>
      <c r="CS217" s="214" t="s">
        <v>34547</v>
      </c>
      <c r="CT217" s="214" t="s">
        <v>70</v>
      </c>
      <c r="CU217" s="214" t="s">
        <v>530</v>
      </c>
      <c r="CW217" s="214" t="s">
        <v>14449</v>
      </c>
      <c r="CX217" s="214" t="s">
        <v>148</v>
      </c>
      <c r="CY217" s="214" t="s">
        <v>70</v>
      </c>
      <c r="CZ217" s="214" t="s">
        <v>530</v>
      </c>
      <c r="DB217" s="214" t="s">
        <v>14450</v>
      </c>
      <c r="DC217" s="214" t="s">
        <v>484</v>
      </c>
      <c r="DD217" s="214" t="s">
        <v>70</v>
      </c>
      <c r="DE217" s="214" t="s">
        <v>530</v>
      </c>
      <c r="DG217" s="214" t="s">
        <v>14451</v>
      </c>
      <c r="DH217" s="214" t="s">
        <v>484</v>
      </c>
      <c r="DI217" s="214" t="s">
        <v>70</v>
      </c>
      <c r="DJ217" s="214" t="s">
        <v>530</v>
      </c>
      <c r="DL217" s="214" t="s">
        <v>14452</v>
      </c>
      <c r="DM217" s="214" t="s">
        <v>34580</v>
      </c>
      <c r="DN217" s="214" t="s">
        <v>70</v>
      </c>
      <c r="DO217" s="214" t="s">
        <v>530</v>
      </c>
      <c r="DQ217" s="214" t="s">
        <v>14453</v>
      </c>
      <c r="DR217" s="214" t="s">
        <v>488</v>
      </c>
      <c r="DS217" s="214" t="s">
        <v>70</v>
      </c>
      <c r="DT217" s="214" t="s">
        <v>530</v>
      </c>
      <c r="DV217" s="214" t="s">
        <v>14454</v>
      </c>
      <c r="DW217" s="214" t="s">
        <v>468</v>
      </c>
      <c r="DX217" s="214" t="s">
        <v>70</v>
      </c>
      <c r="DY217" s="214" t="s">
        <v>530</v>
      </c>
      <c r="EA217" s="214" t="s">
        <v>14455</v>
      </c>
      <c r="EB217" s="214" t="s">
        <v>488</v>
      </c>
      <c r="EC217" s="214" t="s">
        <v>70</v>
      </c>
      <c r="ED217" s="214" t="s">
        <v>530</v>
      </c>
      <c r="EF217" s="214" t="s">
        <v>14456</v>
      </c>
      <c r="EG217" s="214" t="s">
        <v>145</v>
      </c>
      <c r="EH217" s="214" t="s">
        <v>70</v>
      </c>
      <c r="EI217" s="214" t="s">
        <v>530</v>
      </c>
      <c r="EK217" s="214" t="s">
        <v>14457</v>
      </c>
      <c r="EL217" s="214" t="s">
        <v>496</v>
      </c>
      <c r="EM217" s="214" t="s">
        <v>70</v>
      </c>
      <c r="EN217" s="214" t="s">
        <v>530</v>
      </c>
      <c r="EP217" s="214" t="s">
        <v>14458</v>
      </c>
      <c r="EQ217" s="214" t="s">
        <v>492</v>
      </c>
      <c r="ER217" s="214" t="s">
        <v>70</v>
      </c>
      <c r="ES217" s="214" t="s">
        <v>530</v>
      </c>
      <c r="EU217" s="214" t="s">
        <v>14459</v>
      </c>
      <c r="EV217" s="214" t="s">
        <v>492</v>
      </c>
      <c r="EW217" s="214" t="s">
        <v>70</v>
      </c>
      <c r="EX217" s="214" t="s">
        <v>530</v>
      </c>
      <c r="EZ217" s="214" t="s">
        <v>14460</v>
      </c>
      <c r="FA217" s="214" t="s">
        <v>34541</v>
      </c>
      <c r="FB217" s="214" t="s">
        <v>70</v>
      </c>
      <c r="FC217" s="214" t="s">
        <v>530</v>
      </c>
      <c r="FE217" s="214" t="s">
        <v>14461</v>
      </c>
      <c r="FF217" s="214" t="s">
        <v>503</v>
      </c>
      <c r="FG217" s="214" t="s">
        <v>70</v>
      </c>
      <c r="FH217" s="214" t="s">
        <v>530</v>
      </c>
      <c r="FJ217" s="321" t="s">
        <v>14462</v>
      </c>
      <c r="FK217" s="214" t="s">
        <v>493</v>
      </c>
      <c r="FL217" s="214" t="s">
        <v>70</v>
      </c>
      <c r="FM217" s="214" t="s">
        <v>530</v>
      </c>
      <c r="FO217" s="321" t="s">
        <v>14463</v>
      </c>
      <c r="FP217" s="214" t="s">
        <v>935</v>
      </c>
      <c r="FQ217" s="214" t="s">
        <v>70</v>
      </c>
      <c r="FR217" s="214" t="s">
        <v>530</v>
      </c>
      <c r="FT217" s="321" t="s">
        <v>14464</v>
      </c>
      <c r="FU217" s="214" t="s">
        <v>52</v>
      </c>
      <c r="FV217" s="214" t="s">
        <v>70</v>
      </c>
      <c r="FW217" s="214" t="s">
        <v>530</v>
      </c>
      <c r="FY217" s="321" t="s">
        <v>14465</v>
      </c>
      <c r="FZ217" s="214" t="s">
        <v>146</v>
      </c>
      <c r="GA217" s="214" t="s">
        <v>70</v>
      </c>
      <c r="GB217" s="214" t="s">
        <v>530</v>
      </c>
      <c r="GD217" s="321" t="s">
        <v>14466</v>
      </c>
      <c r="GE217" s="214" t="s">
        <v>34540</v>
      </c>
      <c r="GF217" s="214" t="s">
        <v>70</v>
      </c>
      <c r="GG217" s="214" t="s">
        <v>530</v>
      </c>
      <c r="GI217" s="321" t="s">
        <v>14467</v>
      </c>
      <c r="GJ217" s="214" t="s">
        <v>919</v>
      </c>
      <c r="GK217" s="214" t="s">
        <v>70</v>
      </c>
      <c r="GL217" s="214" t="s">
        <v>530</v>
      </c>
      <c r="GN217" s="321" t="s">
        <v>14468</v>
      </c>
      <c r="GO217" s="214" t="s">
        <v>502</v>
      </c>
      <c r="GP217" s="214" t="s">
        <v>70</v>
      </c>
      <c r="GQ217" s="214" t="s">
        <v>530</v>
      </c>
      <c r="GS217" s="321" t="s">
        <v>14469</v>
      </c>
      <c r="GT217" s="214" t="s">
        <v>485</v>
      </c>
      <c r="GU217" s="214" t="s">
        <v>70</v>
      </c>
      <c r="GV217" s="214" t="s">
        <v>530</v>
      </c>
      <c r="GX217" s="214" t="s">
        <v>14470</v>
      </c>
      <c r="GY217" s="214" t="s">
        <v>490</v>
      </c>
      <c r="GZ217" s="214" t="s">
        <v>70</v>
      </c>
      <c r="HA217" s="214" t="s">
        <v>530</v>
      </c>
      <c r="HC217" s="214" t="s">
        <v>14471</v>
      </c>
      <c r="HD217" s="214" t="s">
        <v>502</v>
      </c>
      <c r="HE217" s="214" t="s">
        <v>70</v>
      </c>
      <c r="HF217" s="214" t="s">
        <v>530</v>
      </c>
      <c r="HH217" s="214" t="s">
        <v>14472</v>
      </c>
      <c r="HI217" s="214" t="s">
        <v>34516</v>
      </c>
      <c r="HJ217" s="214" t="s">
        <v>70</v>
      </c>
      <c r="HK217" s="214" t="s">
        <v>530</v>
      </c>
      <c r="HM217" s="214" t="s">
        <v>14473</v>
      </c>
      <c r="HN217" s="214" t="s">
        <v>34567</v>
      </c>
      <c r="HO217" s="214" t="s">
        <v>70</v>
      </c>
      <c r="HP217" s="214" t="s">
        <v>530</v>
      </c>
      <c r="HR217" s="22" t="s">
        <v>14474</v>
      </c>
      <c r="HS217" s="22" t="s">
        <v>486</v>
      </c>
      <c r="HT217" s="22" t="s">
        <v>70</v>
      </c>
      <c r="HU217" s="214" t="s">
        <v>530</v>
      </c>
      <c r="HW217" s="22" t="s">
        <v>14475</v>
      </c>
      <c r="HX217" s="22" t="s">
        <v>88</v>
      </c>
      <c r="HY217" s="22" t="s">
        <v>70</v>
      </c>
      <c r="HZ217" s="214" t="s">
        <v>530</v>
      </c>
      <c r="IB217" s="22" t="s">
        <v>14476</v>
      </c>
      <c r="IC217" s="22" t="s">
        <v>484</v>
      </c>
      <c r="ID217" s="22" t="s">
        <v>70</v>
      </c>
      <c r="IE217" s="214" t="s">
        <v>530</v>
      </c>
      <c r="IG217" s="22" t="s">
        <v>14477</v>
      </c>
      <c r="IH217" s="22" t="s">
        <v>939</v>
      </c>
      <c r="II217" s="22" t="s">
        <v>70</v>
      </c>
      <c r="IJ217" s="214" t="s">
        <v>530</v>
      </c>
      <c r="IL217" s="22" t="s">
        <v>14478</v>
      </c>
      <c r="IM217" s="22" t="s">
        <v>145</v>
      </c>
      <c r="IN217" s="22" t="s">
        <v>70</v>
      </c>
      <c r="IO217" s="214" t="s">
        <v>530</v>
      </c>
      <c r="IQ217" s="236" t="s">
        <v>14479</v>
      </c>
      <c r="IR217" s="236" t="s">
        <v>145</v>
      </c>
      <c r="IS217" s="236" t="s">
        <v>74</v>
      </c>
      <c r="IT217" s="236" t="s">
        <v>841</v>
      </c>
      <c r="IV217" s="236" t="s">
        <v>14480</v>
      </c>
      <c r="IW217" s="236" t="s">
        <v>145</v>
      </c>
      <c r="IX217" s="236" t="s">
        <v>74</v>
      </c>
      <c r="IY217" s="236" t="s">
        <v>841</v>
      </c>
      <c r="JA217" s="236" t="s">
        <v>14481</v>
      </c>
      <c r="JB217" s="236" t="s">
        <v>145</v>
      </c>
      <c r="JC217" s="236" t="s">
        <v>74</v>
      </c>
      <c r="JD217" s="236" t="s">
        <v>841</v>
      </c>
      <c r="JF217" s="236" t="s">
        <v>14482</v>
      </c>
      <c r="JG217" s="236" t="s">
        <v>145</v>
      </c>
      <c r="JH217" s="236" t="s">
        <v>74</v>
      </c>
      <c r="JI217" s="236" t="s">
        <v>841</v>
      </c>
      <c r="JK217" s="236" t="s">
        <v>14483</v>
      </c>
      <c r="JL217" s="236" t="s">
        <v>145</v>
      </c>
      <c r="JM217" s="236" t="s">
        <v>74</v>
      </c>
      <c r="JN217" s="236" t="s">
        <v>841</v>
      </c>
      <c r="JP217" s="236" t="s">
        <v>14484</v>
      </c>
      <c r="JQ217" s="236" t="s">
        <v>145</v>
      </c>
      <c r="JR217" s="236" t="s">
        <v>74</v>
      </c>
      <c r="JS217" s="236" t="s">
        <v>841</v>
      </c>
      <c r="JU217" s="294" t="s">
        <v>14485</v>
      </c>
      <c r="JV217" s="294" t="s">
        <v>52</v>
      </c>
      <c r="JW217" s="263" t="s">
        <v>70</v>
      </c>
      <c r="JX217" s="294" t="s">
        <v>1083</v>
      </c>
      <c r="JZ217" s="263" t="s">
        <v>14486</v>
      </c>
      <c r="KA217" s="263" t="s">
        <v>145</v>
      </c>
      <c r="KB217" s="263" t="s">
        <v>70</v>
      </c>
      <c r="KC217" s="263" t="s">
        <v>1083</v>
      </c>
      <c r="KE217" s="263" t="s">
        <v>14487</v>
      </c>
      <c r="KF217" s="263" t="s">
        <v>52</v>
      </c>
      <c r="KG217" s="263" t="s">
        <v>70</v>
      </c>
      <c r="KH217" s="263" t="s">
        <v>1083</v>
      </c>
      <c r="KJ217" s="263" t="s">
        <v>14488</v>
      </c>
      <c r="KK217" s="263" t="s">
        <v>52</v>
      </c>
      <c r="KL217" s="263" t="s">
        <v>74</v>
      </c>
      <c r="KM217" s="263" t="s">
        <v>34074</v>
      </c>
      <c r="KO217" s="214" t="s">
        <v>14489</v>
      </c>
      <c r="KP217" s="214" t="s">
        <v>145</v>
      </c>
      <c r="KQ217" s="214" t="s">
        <v>70</v>
      </c>
      <c r="KR217" s="214" t="s">
        <v>67</v>
      </c>
      <c r="KT217" s="22" t="s">
        <v>14490</v>
      </c>
      <c r="KU217" s="22" t="s">
        <v>145</v>
      </c>
      <c r="KV217" s="22" t="s">
        <v>70</v>
      </c>
      <c r="KW217" s="22" t="s">
        <v>67</v>
      </c>
      <c r="KY217" s="214" t="s">
        <v>14491</v>
      </c>
      <c r="KZ217" s="214" t="s">
        <v>52</v>
      </c>
      <c r="LA217" s="214" t="s">
        <v>74</v>
      </c>
      <c r="LB217" s="214" t="s">
        <v>67</v>
      </c>
      <c r="LD217" s="22" t="s">
        <v>14492</v>
      </c>
      <c r="LE217" s="22" t="s">
        <v>145</v>
      </c>
      <c r="LF217" s="22" t="s">
        <v>70</v>
      </c>
      <c r="LG217" s="22" t="s">
        <v>67</v>
      </c>
    </row>
    <row r="218" spans="1:319">
      <c r="A218" s="22" t="s">
        <v>14493</v>
      </c>
      <c r="B218" s="22" t="s">
        <v>145</v>
      </c>
      <c r="C218" s="22" t="s">
        <v>70</v>
      </c>
      <c r="D218" s="22" t="s">
        <v>67</v>
      </c>
      <c r="F218" s="73" t="s">
        <v>14494</v>
      </c>
      <c r="G218" s="22" t="s">
        <v>145</v>
      </c>
      <c r="H218" s="22" t="s">
        <v>70</v>
      </c>
      <c r="I218" s="22" t="s">
        <v>67</v>
      </c>
      <c r="K218" s="22" t="s">
        <v>14495</v>
      </c>
      <c r="L218" s="22" t="s">
        <v>145</v>
      </c>
      <c r="M218" s="22" t="s">
        <v>70</v>
      </c>
      <c r="N218" s="22" t="s">
        <v>67</v>
      </c>
      <c r="P218" s="22" t="s">
        <v>14496</v>
      </c>
      <c r="Q218" s="22" t="s">
        <v>145</v>
      </c>
      <c r="R218" s="22" t="s">
        <v>70</v>
      </c>
      <c r="S218" s="22" t="s">
        <v>67</v>
      </c>
      <c r="U218" s="293" t="s">
        <v>14497</v>
      </c>
      <c r="V218" s="293" t="s">
        <v>145</v>
      </c>
      <c r="W218" s="293" t="s">
        <v>74</v>
      </c>
      <c r="X218" s="293" t="s">
        <v>656</v>
      </c>
      <c r="Z218" s="293" t="s">
        <v>14498</v>
      </c>
      <c r="AA218" s="293" t="s">
        <v>145</v>
      </c>
      <c r="AB218" s="293" t="s">
        <v>74</v>
      </c>
      <c r="AC218" s="293" t="s">
        <v>656</v>
      </c>
      <c r="AE218" s="293" t="s">
        <v>14499</v>
      </c>
      <c r="AF218" s="293" t="s">
        <v>145</v>
      </c>
      <c r="AG218" s="293" t="s">
        <v>74</v>
      </c>
      <c r="AH218" s="293" t="s">
        <v>656</v>
      </c>
      <c r="AJ218" s="293" t="s">
        <v>14500</v>
      </c>
      <c r="AK218" s="293" t="s">
        <v>145</v>
      </c>
      <c r="AL218" s="293" t="s">
        <v>74</v>
      </c>
      <c r="AM218" s="293" t="s">
        <v>656</v>
      </c>
      <c r="AO218" s="22" t="s">
        <v>14501</v>
      </c>
      <c r="AP218" s="22" t="s">
        <v>145</v>
      </c>
      <c r="AQ218" s="22" t="s">
        <v>70</v>
      </c>
      <c r="AR218" s="22" t="s">
        <v>67</v>
      </c>
      <c r="AT218" s="22" t="s">
        <v>14502</v>
      </c>
      <c r="AU218" s="22" t="s">
        <v>145</v>
      </c>
      <c r="AV218" s="22" t="s">
        <v>70</v>
      </c>
      <c r="AW218" s="22" t="s">
        <v>67</v>
      </c>
      <c r="AY218" s="22" t="s">
        <v>14503</v>
      </c>
      <c r="AZ218" s="22" t="s">
        <v>145</v>
      </c>
      <c r="BA218" s="22" t="s">
        <v>70</v>
      </c>
      <c r="BB218" s="22" t="s">
        <v>67</v>
      </c>
      <c r="BD218" s="22" t="s">
        <v>14504</v>
      </c>
      <c r="BE218" s="22" t="s">
        <v>145</v>
      </c>
      <c r="BF218" s="22" t="s">
        <v>70</v>
      </c>
      <c r="BG218" s="22" t="s">
        <v>67</v>
      </c>
      <c r="BI218" s="22" t="s">
        <v>14505</v>
      </c>
      <c r="BJ218" s="22" t="s">
        <v>145</v>
      </c>
      <c r="BK218" s="22" t="s">
        <v>70</v>
      </c>
      <c r="BL218" s="22" t="s">
        <v>67</v>
      </c>
      <c r="BN218" s="22" t="s">
        <v>14506</v>
      </c>
      <c r="BO218" s="22" t="s">
        <v>145</v>
      </c>
      <c r="BP218" s="22" t="s">
        <v>70</v>
      </c>
      <c r="BQ218" s="22" t="s">
        <v>67</v>
      </c>
      <c r="BS218" s="22" t="s">
        <v>14507</v>
      </c>
      <c r="BT218" s="22" t="s">
        <v>145</v>
      </c>
      <c r="BU218" s="22" t="s">
        <v>70</v>
      </c>
      <c r="BV218" s="214" t="s">
        <v>530</v>
      </c>
      <c r="BX218" s="22" t="s">
        <v>14508</v>
      </c>
      <c r="BY218" s="22" t="s">
        <v>145</v>
      </c>
      <c r="BZ218" s="22" t="s">
        <v>70</v>
      </c>
      <c r="CA218" s="214" t="s">
        <v>530</v>
      </c>
      <c r="CC218" s="214" t="s">
        <v>14509</v>
      </c>
      <c r="CD218" s="218" t="s">
        <v>145</v>
      </c>
      <c r="CE218" s="214" t="s">
        <v>70</v>
      </c>
      <c r="CF218" s="214" t="s">
        <v>671</v>
      </c>
      <c r="CH218" s="214" t="s">
        <v>14510</v>
      </c>
      <c r="CI218" s="214" t="s">
        <v>52</v>
      </c>
      <c r="CJ218" s="214" t="s">
        <v>70</v>
      </c>
      <c r="CK218" s="214" t="s">
        <v>530</v>
      </c>
      <c r="CM218" s="214" t="s">
        <v>14511</v>
      </c>
      <c r="CN218" s="214" t="s">
        <v>485</v>
      </c>
      <c r="CO218" s="214" t="s">
        <v>70</v>
      </c>
      <c r="CP218" s="214" t="s">
        <v>530</v>
      </c>
      <c r="CR218" s="214" t="s">
        <v>14512</v>
      </c>
      <c r="CS218" s="214" t="s">
        <v>52</v>
      </c>
      <c r="CT218" s="214" t="s">
        <v>70</v>
      </c>
      <c r="CU218" s="214" t="s">
        <v>530</v>
      </c>
      <c r="CW218" s="214" t="s">
        <v>14513</v>
      </c>
      <c r="CX218" s="214" t="s">
        <v>916</v>
      </c>
      <c r="CY218" s="214" t="s">
        <v>70</v>
      </c>
      <c r="CZ218" s="214" t="s">
        <v>530</v>
      </c>
      <c r="DB218" s="214" t="s">
        <v>14514</v>
      </c>
      <c r="DC218" s="214" t="s">
        <v>921</v>
      </c>
      <c r="DD218" s="214" t="s">
        <v>70</v>
      </c>
      <c r="DE218" s="214" t="s">
        <v>530</v>
      </c>
      <c r="DG218" s="214" t="s">
        <v>14515</v>
      </c>
      <c r="DH218" s="214" t="s">
        <v>604</v>
      </c>
      <c r="DI218" s="214" t="s">
        <v>70</v>
      </c>
      <c r="DJ218" s="214" t="s">
        <v>530</v>
      </c>
      <c r="DL218" s="214" t="s">
        <v>14516</v>
      </c>
      <c r="DM218" s="214" t="s">
        <v>206</v>
      </c>
      <c r="DN218" s="214" t="s">
        <v>70</v>
      </c>
      <c r="DO218" s="214" t="s">
        <v>530</v>
      </c>
      <c r="DQ218" s="214" t="s">
        <v>14517</v>
      </c>
      <c r="DR218" s="214" t="s">
        <v>103</v>
      </c>
      <c r="DS218" s="214" t="s">
        <v>70</v>
      </c>
      <c r="DT218" s="214" t="s">
        <v>530</v>
      </c>
      <c r="DV218" s="214" t="s">
        <v>14518</v>
      </c>
      <c r="DW218" s="214" t="s">
        <v>146</v>
      </c>
      <c r="DX218" s="214" t="s">
        <v>70</v>
      </c>
      <c r="DY218" s="214" t="s">
        <v>530</v>
      </c>
      <c r="EA218" s="214" t="s">
        <v>14519</v>
      </c>
      <c r="EB218" s="214" t="s">
        <v>34614</v>
      </c>
      <c r="EC218" s="214" t="s">
        <v>70</v>
      </c>
      <c r="ED218" s="214" t="s">
        <v>530</v>
      </c>
      <c r="EF218" s="214" t="s">
        <v>14520</v>
      </c>
      <c r="EG218" s="214" t="s">
        <v>90</v>
      </c>
      <c r="EH218" s="214" t="s">
        <v>70</v>
      </c>
      <c r="EI218" s="214" t="s">
        <v>530</v>
      </c>
      <c r="EK218" s="214" t="s">
        <v>14521</v>
      </c>
      <c r="EL218" s="214" t="s">
        <v>148</v>
      </c>
      <c r="EM218" s="214" t="s">
        <v>70</v>
      </c>
      <c r="EN218" s="214" t="s">
        <v>530</v>
      </c>
      <c r="EP218" s="214" t="s">
        <v>14522</v>
      </c>
      <c r="EQ218" s="214" t="s">
        <v>88</v>
      </c>
      <c r="ER218" s="214" t="s">
        <v>70</v>
      </c>
      <c r="ES218" s="214" t="s">
        <v>530</v>
      </c>
      <c r="EU218" s="214" t="s">
        <v>14523</v>
      </c>
      <c r="EV218" s="214" t="s">
        <v>529</v>
      </c>
      <c r="EW218" s="214" t="s">
        <v>70</v>
      </c>
      <c r="EX218" s="214" t="s">
        <v>530</v>
      </c>
      <c r="EZ218" s="214" t="s">
        <v>14524</v>
      </c>
      <c r="FA218" s="214" t="s">
        <v>34643</v>
      </c>
      <c r="FB218" s="214" t="s">
        <v>70</v>
      </c>
      <c r="FC218" s="214" t="s">
        <v>530</v>
      </c>
      <c r="FE218" s="214" t="s">
        <v>14525</v>
      </c>
      <c r="FF218" s="214" t="s">
        <v>204</v>
      </c>
      <c r="FG218" s="214" t="s">
        <v>70</v>
      </c>
      <c r="FH218" s="214" t="s">
        <v>530</v>
      </c>
      <c r="FJ218" s="321" t="s">
        <v>14526</v>
      </c>
      <c r="FK218" s="214" t="s">
        <v>34556</v>
      </c>
      <c r="FL218" s="214" t="s">
        <v>70</v>
      </c>
      <c r="FM218" s="214" t="s">
        <v>530</v>
      </c>
      <c r="FO218" s="321" t="s">
        <v>14527</v>
      </c>
      <c r="FP218" s="214" t="s">
        <v>52</v>
      </c>
      <c r="FQ218" s="214" t="s">
        <v>70</v>
      </c>
      <c r="FR218" s="214" t="s">
        <v>530</v>
      </c>
      <c r="FT218" s="321" t="s">
        <v>14528</v>
      </c>
      <c r="FU218" s="214" t="s">
        <v>487</v>
      </c>
      <c r="FV218" s="214" t="s">
        <v>70</v>
      </c>
      <c r="FW218" s="214" t="s">
        <v>530</v>
      </c>
      <c r="FY218" s="321" t="s">
        <v>14529</v>
      </c>
      <c r="FZ218" s="214" t="s">
        <v>951</v>
      </c>
      <c r="GA218" s="214" t="s">
        <v>70</v>
      </c>
      <c r="GB218" s="214" t="s">
        <v>530</v>
      </c>
      <c r="GD218" s="321" t="s">
        <v>14530</v>
      </c>
      <c r="GE218" s="214" t="s">
        <v>599</v>
      </c>
      <c r="GF218" s="214" t="s">
        <v>70</v>
      </c>
      <c r="GG218" s="214" t="s">
        <v>530</v>
      </c>
      <c r="GI218" s="321" t="s">
        <v>14531</v>
      </c>
      <c r="GJ218" s="214" t="s">
        <v>211</v>
      </c>
      <c r="GK218" s="214" t="s">
        <v>70</v>
      </c>
      <c r="GL218" s="214" t="s">
        <v>530</v>
      </c>
      <c r="GN218" s="321" t="s">
        <v>14532</v>
      </c>
      <c r="GO218" s="214" t="s">
        <v>86</v>
      </c>
      <c r="GP218" s="214" t="s">
        <v>70</v>
      </c>
      <c r="GQ218" s="214" t="s">
        <v>530</v>
      </c>
      <c r="GS218" s="321" t="s">
        <v>14533</v>
      </c>
      <c r="GT218" s="214" t="s">
        <v>148</v>
      </c>
      <c r="GU218" s="214" t="s">
        <v>70</v>
      </c>
      <c r="GV218" s="214" t="s">
        <v>530</v>
      </c>
      <c r="GX218" s="214" t="s">
        <v>14534</v>
      </c>
      <c r="GY218" s="214" t="s">
        <v>34608</v>
      </c>
      <c r="GZ218" s="214" t="s">
        <v>70</v>
      </c>
      <c r="HA218" s="214" t="s">
        <v>530</v>
      </c>
      <c r="HC218" s="214" t="s">
        <v>14535</v>
      </c>
      <c r="HD218" s="214" t="s">
        <v>500</v>
      </c>
      <c r="HE218" s="214" t="s">
        <v>70</v>
      </c>
      <c r="HF218" s="214" t="s">
        <v>530</v>
      </c>
      <c r="HH218" s="214" t="s">
        <v>14536</v>
      </c>
      <c r="HI218" s="214" t="s">
        <v>85</v>
      </c>
      <c r="HJ218" s="214" t="s">
        <v>70</v>
      </c>
      <c r="HK218" s="214" t="s">
        <v>530</v>
      </c>
      <c r="HM218" s="214" t="s">
        <v>14537</v>
      </c>
      <c r="HN218" s="214" t="s">
        <v>164</v>
      </c>
      <c r="HO218" s="214" t="s">
        <v>70</v>
      </c>
      <c r="HP218" s="214" t="s">
        <v>530</v>
      </c>
      <c r="HR218" s="22" t="s">
        <v>14538</v>
      </c>
      <c r="HS218" s="22" t="s">
        <v>34607</v>
      </c>
      <c r="HT218" s="22" t="s">
        <v>70</v>
      </c>
      <c r="HU218" s="214" t="s">
        <v>530</v>
      </c>
      <c r="HW218" s="22" t="s">
        <v>14539</v>
      </c>
      <c r="HX218" s="22" t="s">
        <v>205</v>
      </c>
      <c r="HY218" s="22" t="s">
        <v>70</v>
      </c>
      <c r="HZ218" s="214" t="s">
        <v>530</v>
      </c>
      <c r="IB218" s="22" t="s">
        <v>14540</v>
      </c>
      <c r="IC218" s="22" t="s">
        <v>927</v>
      </c>
      <c r="ID218" s="22" t="s">
        <v>70</v>
      </c>
      <c r="IE218" s="214" t="s">
        <v>530</v>
      </c>
      <c r="IG218" s="22" t="s">
        <v>14541</v>
      </c>
      <c r="IH218" s="22" t="s">
        <v>918</v>
      </c>
      <c r="II218" s="22" t="s">
        <v>70</v>
      </c>
      <c r="IJ218" s="214" t="s">
        <v>530</v>
      </c>
      <c r="IL218" s="22" t="s">
        <v>14542</v>
      </c>
      <c r="IM218" s="22" t="s">
        <v>145</v>
      </c>
      <c r="IN218" s="22" t="s">
        <v>70</v>
      </c>
      <c r="IO218" s="214" t="s">
        <v>530</v>
      </c>
      <c r="IQ218" s="236" t="s">
        <v>14543</v>
      </c>
      <c r="IR218" s="236" t="s">
        <v>145</v>
      </c>
      <c r="IS218" s="236" t="s">
        <v>74</v>
      </c>
      <c r="IT218" s="236" t="s">
        <v>841</v>
      </c>
      <c r="IV218" s="236" t="s">
        <v>14544</v>
      </c>
      <c r="IW218" s="236" t="s">
        <v>145</v>
      </c>
      <c r="IX218" s="236" t="s">
        <v>74</v>
      </c>
      <c r="IY218" s="236" t="s">
        <v>841</v>
      </c>
      <c r="JA218" s="236" t="s">
        <v>14545</v>
      </c>
      <c r="JB218" s="236" t="s">
        <v>145</v>
      </c>
      <c r="JC218" s="236" t="s">
        <v>74</v>
      </c>
      <c r="JD218" s="236" t="s">
        <v>841</v>
      </c>
      <c r="JF218" s="236" t="s">
        <v>14546</v>
      </c>
      <c r="JG218" s="236" t="s">
        <v>145</v>
      </c>
      <c r="JH218" s="236" t="s">
        <v>74</v>
      </c>
      <c r="JI218" s="236" t="s">
        <v>841</v>
      </c>
      <c r="JK218" s="236" t="s">
        <v>14547</v>
      </c>
      <c r="JL218" s="236" t="s">
        <v>145</v>
      </c>
      <c r="JM218" s="236" t="s">
        <v>74</v>
      </c>
      <c r="JN218" s="236" t="s">
        <v>841</v>
      </c>
      <c r="JP218" s="236" t="s">
        <v>14548</v>
      </c>
      <c r="JQ218" s="236" t="s">
        <v>145</v>
      </c>
      <c r="JR218" s="236" t="s">
        <v>74</v>
      </c>
      <c r="JS218" s="236" t="s">
        <v>841</v>
      </c>
      <c r="JU218" s="294" t="s">
        <v>14549</v>
      </c>
      <c r="JV218" s="294" t="s">
        <v>52</v>
      </c>
      <c r="JW218" s="263" t="s">
        <v>70</v>
      </c>
      <c r="JX218" s="294" t="s">
        <v>1083</v>
      </c>
      <c r="JZ218" s="263" t="s">
        <v>14550</v>
      </c>
      <c r="KA218" s="263" t="s">
        <v>145</v>
      </c>
      <c r="KB218" s="263" t="s">
        <v>70</v>
      </c>
      <c r="KC218" s="263" t="s">
        <v>1083</v>
      </c>
      <c r="KE218" s="263" t="s">
        <v>14551</v>
      </c>
      <c r="KF218" s="263" t="s">
        <v>52</v>
      </c>
      <c r="KG218" s="263" t="s">
        <v>70</v>
      </c>
      <c r="KH218" s="263" t="s">
        <v>1083</v>
      </c>
      <c r="KJ218" s="263" t="s">
        <v>14552</v>
      </c>
      <c r="KK218" s="263" t="s">
        <v>52</v>
      </c>
      <c r="KL218" s="263" t="s">
        <v>74</v>
      </c>
      <c r="KM218" s="263" t="s">
        <v>34074</v>
      </c>
      <c r="KO218" s="214" t="s">
        <v>14553</v>
      </c>
      <c r="KP218" s="214" t="s">
        <v>145</v>
      </c>
      <c r="KQ218" s="214" t="s">
        <v>70</v>
      </c>
      <c r="KR218" s="214" t="s">
        <v>67</v>
      </c>
      <c r="KT218" s="22" t="s">
        <v>14554</v>
      </c>
      <c r="KU218" s="22" t="s">
        <v>145</v>
      </c>
      <c r="KV218" s="22" t="s">
        <v>70</v>
      </c>
      <c r="KW218" s="22" t="s">
        <v>67</v>
      </c>
      <c r="KY218" s="214" t="s">
        <v>14555</v>
      </c>
      <c r="KZ218" s="214" t="s">
        <v>52</v>
      </c>
      <c r="LA218" s="214" t="s">
        <v>74</v>
      </c>
      <c r="LB218" s="214" t="s">
        <v>67</v>
      </c>
      <c r="LD218" s="22" t="s">
        <v>14556</v>
      </c>
      <c r="LE218" s="22" t="s">
        <v>145</v>
      </c>
      <c r="LF218" s="22" t="s">
        <v>70</v>
      </c>
      <c r="LG218" s="22" t="s">
        <v>67</v>
      </c>
    </row>
    <row r="219" spans="1:319">
      <c r="A219" s="22" t="s">
        <v>14557</v>
      </c>
      <c r="B219" s="22" t="s">
        <v>145</v>
      </c>
      <c r="C219" s="22" t="s">
        <v>70</v>
      </c>
      <c r="D219" s="22" t="s">
        <v>67</v>
      </c>
      <c r="F219" s="73" t="s">
        <v>14558</v>
      </c>
      <c r="G219" s="22" t="s">
        <v>145</v>
      </c>
      <c r="H219" s="22" t="s">
        <v>70</v>
      </c>
      <c r="I219" s="22" t="s">
        <v>67</v>
      </c>
      <c r="K219" s="22" t="s">
        <v>14559</v>
      </c>
      <c r="L219" s="22" t="s">
        <v>145</v>
      </c>
      <c r="M219" s="22" t="s">
        <v>70</v>
      </c>
      <c r="N219" s="22" t="s">
        <v>67</v>
      </c>
      <c r="P219" s="22" t="s">
        <v>14560</v>
      </c>
      <c r="Q219" s="22" t="s">
        <v>145</v>
      </c>
      <c r="R219" s="22" t="s">
        <v>70</v>
      </c>
      <c r="S219" s="22" t="s">
        <v>67</v>
      </c>
      <c r="U219" s="293" t="s">
        <v>14561</v>
      </c>
      <c r="V219" s="293" t="s">
        <v>145</v>
      </c>
      <c r="W219" s="293" t="s">
        <v>74</v>
      </c>
      <c r="X219" s="293" t="s">
        <v>656</v>
      </c>
      <c r="Z219" s="293" t="s">
        <v>14562</v>
      </c>
      <c r="AA219" s="293" t="s">
        <v>145</v>
      </c>
      <c r="AB219" s="293" t="s">
        <v>74</v>
      </c>
      <c r="AC219" s="293" t="s">
        <v>656</v>
      </c>
      <c r="AE219" s="293" t="s">
        <v>14563</v>
      </c>
      <c r="AF219" s="293" t="s">
        <v>145</v>
      </c>
      <c r="AG219" s="293" t="s">
        <v>74</v>
      </c>
      <c r="AH219" s="293" t="s">
        <v>656</v>
      </c>
      <c r="AJ219" s="293" t="s">
        <v>14564</v>
      </c>
      <c r="AK219" s="293" t="s">
        <v>145</v>
      </c>
      <c r="AL219" s="293" t="s">
        <v>74</v>
      </c>
      <c r="AM219" s="293" t="s">
        <v>656</v>
      </c>
      <c r="AO219" s="22" t="s">
        <v>14565</v>
      </c>
      <c r="AP219" s="22" t="s">
        <v>145</v>
      </c>
      <c r="AQ219" s="22" t="s">
        <v>70</v>
      </c>
      <c r="AR219" s="22" t="s">
        <v>67</v>
      </c>
      <c r="AT219" s="22" t="s">
        <v>14566</v>
      </c>
      <c r="AU219" s="22" t="s">
        <v>145</v>
      </c>
      <c r="AV219" s="22" t="s">
        <v>70</v>
      </c>
      <c r="AW219" s="22" t="s">
        <v>67</v>
      </c>
      <c r="AY219" s="22" t="s">
        <v>14567</v>
      </c>
      <c r="AZ219" s="22" t="s">
        <v>145</v>
      </c>
      <c r="BA219" s="22" t="s">
        <v>70</v>
      </c>
      <c r="BB219" s="22" t="s">
        <v>67</v>
      </c>
      <c r="BD219" s="22" t="s">
        <v>14568</v>
      </c>
      <c r="BE219" s="22" t="s">
        <v>145</v>
      </c>
      <c r="BF219" s="22" t="s">
        <v>70</v>
      </c>
      <c r="BG219" s="22" t="s">
        <v>67</v>
      </c>
      <c r="BI219" s="22" t="s">
        <v>14569</v>
      </c>
      <c r="BJ219" s="22" t="s">
        <v>145</v>
      </c>
      <c r="BK219" s="22" t="s">
        <v>70</v>
      </c>
      <c r="BL219" s="22" t="s">
        <v>67</v>
      </c>
      <c r="BN219" s="22" t="s">
        <v>14570</v>
      </c>
      <c r="BO219" s="22" t="s">
        <v>145</v>
      </c>
      <c r="BP219" s="22" t="s">
        <v>70</v>
      </c>
      <c r="BQ219" s="22" t="s">
        <v>67</v>
      </c>
      <c r="BS219" s="22" t="s">
        <v>14571</v>
      </c>
      <c r="BT219" s="22" t="s">
        <v>145</v>
      </c>
      <c r="BU219" s="22" t="s">
        <v>70</v>
      </c>
      <c r="BV219" s="214" t="s">
        <v>530</v>
      </c>
      <c r="BX219" s="22" t="s">
        <v>14572</v>
      </c>
      <c r="BY219" s="22" t="s">
        <v>145</v>
      </c>
      <c r="BZ219" s="22" t="s">
        <v>70</v>
      </c>
      <c r="CA219" s="214" t="s">
        <v>530</v>
      </c>
      <c r="CC219" s="214" t="s">
        <v>14573</v>
      </c>
      <c r="CD219" s="218" t="s">
        <v>145</v>
      </c>
      <c r="CE219" s="214" t="s">
        <v>70</v>
      </c>
      <c r="CF219" s="214" t="s">
        <v>672</v>
      </c>
      <c r="CH219" s="214" t="s">
        <v>14574</v>
      </c>
      <c r="CI219" s="214" t="s">
        <v>485</v>
      </c>
      <c r="CJ219" s="214" t="s">
        <v>70</v>
      </c>
      <c r="CK219" s="214" t="s">
        <v>530</v>
      </c>
      <c r="CM219" s="214" t="s">
        <v>14575</v>
      </c>
      <c r="CN219" s="214" t="s">
        <v>146</v>
      </c>
      <c r="CO219" s="214" t="s">
        <v>70</v>
      </c>
      <c r="CP219" s="214" t="s">
        <v>530</v>
      </c>
      <c r="CR219" s="214" t="s">
        <v>14576</v>
      </c>
      <c r="CS219" s="214" t="s">
        <v>34641</v>
      </c>
      <c r="CT219" s="214" t="s">
        <v>70</v>
      </c>
      <c r="CU219" s="214" t="s">
        <v>530</v>
      </c>
      <c r="CW219" s="214" t="s">
        <v>14577</v>
      </c>
      <c r="CX219" s="214" t="s">
        <v>486</v>
      </c>
      <c r="CY219" s="214" t="s">
        <v>70</v>
      </c>
      <c r="CZ219" s="214" t="s">
        <v>530</v>
      </c>
      <c r="DB219" s="214" t="s">
        <v>14578</v>
      </c>
      <c r="DC219" s="214" t="s">
        <v>146</v>
      </c>
      <c r="DD219" s="214" t="s">
        <v>70</v>
      </c>
      <c r="DE219" s="214" t="s">
        <v>530</v>
      </c>
      <c r="DG219" s="214" t="s">
        <v>14579</v>
      </c>
      <c r="DH219" s="214" t="s">
        <v>146</v>
      </c>
      <c r="DI219" s="214" t="s">
        <v>70</v>
      </c>
      <c r="DJ219" s="214" t="s">
        <v>530</v>
      </c>
      <c r="DL219" s="214" t="s">
        <v>14580</v>
      </c>
      <c r="DM219" s="214" t="s">
        <v>34560</v>
      </c>
      <c r="DN219" s="214" t="s">
        <v>70</v>
      </c>
      <c r="DO219" s="214" t="s">
        <v>530</v>
      </c>
      <c r="DQ219" s="214" t="s">
        <v>14581</v>
      </c>
      <c r="DR219" s="214" t="s">
        <v>34562</v>
      </c>
      <c r="DS219" s="214" t="s">
        <v>70</v>
      </c>
      <c r="DT219" s="214" t="s">
        <v>530</v>
      </c>
      <c r="DV219" s="214" t="s">
        <v>14582</v>
      </c>
      <c r="DW219" s="214" t="s">
        <v>148</v>
      </c>
      <c r="DX219" s="214" t="s">
        <v>70</v>
      </c>
      <c r="DY219" s="214" t="s">
        <v>530</v>
      </c>
      <c r="EA219" s="214" t="s">
        <v>14583</v>
      </c>
      <c r="EB219" s="214" t="s">
        <v>937</v>
      </c>
      <c r="EC219" s="214" t="s">
        <v>70</v>
      </c>
      <c r="ED219" s="214" t="s">
        <v>530</v>
      </c>
      <c r="EF219" s="214" t="s">
        <v>14584</v>
      </c>
      <c r="EG219" s="214" t="s">
        <v>499</v>
      </c>
      <c r="EH219" s="214" t="s">
        <v>70</v>
      </c>
      <c r="EI219" s="214" t="s">
        <v>530</v>
      </c>
      <c r="EK219" s="214" t="s">
        <v>14585</v>
      </c>
      <c r="EL219" s="214" t="s">
        <v>34550</v>
      </c>
      <c r="EM219" s="214" t="s">
        <v>70</v>
      </c>
      <c r="EN219" s="214" t="s">
        <v>530</v>
      </c>
      <c r="EP219" s="214" t="s">
        <v>14586</v>
      </c>
      <c r="EQ219" s="214" t="s">
        <v>488</v>
      </c>
      <c r="ER219" s="214" t="s">
        <v>70</v>
      </c>
      <c r="ES219" s="214" t="s">
        <v>530</v>
      </c>
      <c r="EU219" s="214" t="s">
        <v>14587</v>
      </c>
      <c r="EV219" s="214" t="s">
        <v>484</v>
      </c>
      <c r="EW219" s="214" t="s">
        <v>70</v>
      </c>
      <c r="EX219" s="214" t="s">
        <v>530</v>
      </c>
      <c r="EZ219" s="214" t="s">
        <v>14588</v>
      </c>
      <c r="FA219" s="214" t="s">
        <v>145</v>
      </c>
      <c r="FB219" s="214" t="s">
        <v>70</v>
      </c>
      <c r="FC219" s="214" t="s">
        <v>530</v>
      </c>
      <c r="FE219" s="214" t="s">
        <v>14589</v>
      </c>
      <c r="FF219" s="214" t="s">
        <v>491</v>
      </c>
      <c r="FG219" s="214" t="s">
        <v>70</v>
      </c>
      <c r="FH219" s="214" t="s">
        <v>530</v>
      </c>
      <c r="FJ219" s="321" t="s">
        <v>14590</v>
      </c>
      <c r="FK219" s="214" t="s">
        <v>34541</v>
      </c>
      <c r="FL219" s="214" t="s">
        <v>70</v>
      </c>
      <c r="FM219" s="214" t="s">
        <v>530</v>
      </c>
      <c r="FO219" s="321" t="s">
        <v>14591</v>
      </c>
      <c r="FP219" s="214" t="s">
        <v>954</v>
      </c>
      <c r="FQ219" s="214" t="s">
        <v>70</v>
      </c>
      <c r="FR219" s="214" t="s">
        <v>530</v>
      </c>
      <c r="FT219" s="321" t="s">
        <v>14592</v>
      </c>
      <c r="FU219" s="214" t="s">
        <v>491</v>
      </c>
      <c r="FV219" s="214" t="s">
        <v>70</v>
      </c>
      <c r="FW219" s="214" t="s">
        <v>530</v>
      </c>
      <c r="FY219" s="321" t="s">
        <v>14593</v>
      </c>
      <c r="FZ219" s="214" t="s">
        <v>52</v>
      </c>
      <c r="GA219" s="214" t="s">
        <v>70</v>
      </c>
      <c r="GB219" s="214" t="s">
        <v>530</v>
      </c>
      <c r="GD219" s="321" t="s">
        <v>14594</v>
      </c>
      <c r="GE219" s="214" t="s">
        <v>34542</v>
      </c>
      <c r="GF219" s="214" t="s">
        <v>70</v>
      </c>
      <c r="GG219" s="214" t="s">
        <v>530</v>
      </c>
      <c r="GI219" s="321" t="s">
        <v>14595</v>
      </c>
      <c r="GJ219" s="214" t="s">
        <v>34611</v>
      </c>
      <c r="GK219" s="214" t="s">
        <v>70</v>
      </c>
      <c r="GL219" s="214" t="s">
        <v>530</v>
      </c>
      <c r="GN219" s="321" t="s">
        <v>14596</v>
      </c>
      <c r="GO219" s="214" t="s">
        <v>52</v>
      </c>
      <c r="GP219" s="214" t="s">
        <v>70</v>
      </c>
      <c r="GQ219" s="214" t="s">
        <v>530</v>
      </c>
      <c r="GS219" s="321" t="s">
        <v>14597</v>
      </c>
      <c r="GT219" s="214" t="s">
        <v>34544</v>
      </c>
      <c r="GU219" s="214" t="s">
        <v>70</v>
      </c>
      <c r="GV219" s="214" t="s">
        <v>530</v>
      </c>
      <c r="GX219" s="214" t="s">
        <v>14598</v>
      </c>
      <c r="GY219" s="214" t="s">
        <v>34547</v>
      </c>
      <c r="GZ219" s="214" t="s">
        <v>70</v>
      </c>
      <c r="HA219" s="214" t="s">
        <v>530</v>
      </c>
      <c r="HC219" s="214" t="s">
        <v>14599</v>
      </c>
      <c r="HD219" s="214" t="s">
        <v>486</v>
      </c>
      <c r="HE219" s="214" t="s">
        <v>70</v>
      </c>
      <c r="HF219" s="214" t="s">
        <v>530</v>
      </c>
      <c r="HH219" s="214" t="s">
        <v>14600</v>
      </c>
      <c r="HI219" s="214" t="s">
        <v>485</v>
      </c>
      <c r="HJ219" s="214" t="s">
        <v>70</v>
      </c>
      <c r="HK219" s="214" t="s">
        <v>530</v>
      </c>
      <c r="HM219" s="214" t="s">
        <v>14601</v>
      </c>
      <c r="HN219" s="214" t="s">
        <v>955</v>
      </c>
      <c r="HO219" s="214" t="s">
        <v>70</v>
      </c>
      <c r="HP219" s="214" t="s">
        <v>530</v>
      </c>
      <c r="HR219" s="22" t="s">
        <v>14602</v>
      </c>
      <c r="HS219" s="22" t="s">
        <v>34547</v>
      </c>
      <c r="HT219" s="22" t="s">
        <v>70</v>
      </c>
      <c r="HU219" s="214" t="s">
        <v>530</v>
      </c>
      <c r="HW219" s="22" t="s">
        <v>14603</v>
      </c>
      <c r="HX219" s="22" t="s">
        <v>34595</v>
      </c>
      <c r="HY219" s="22" t="s">
        <v>70</v>
      </c>
      <c r="HZ219" s="214" t="s">
        <v>530</v>
      </c>
      <c r="IB219" s="22" t="s">
        <v>14604</v>
      </c>
      <c r="IC219" s="22" t="s">
        <v>488</v>
      </c>
      <c r="ID219" s="22" t="s">
        <v>70</v>
      </c>
      <c r="IE219" s="214" t="s">
        <v>530</v>
      </c>
      <c r="IG219" s="22" t="s">
        <v>14605</v>
      </c>
      <c r="IH219" s="22" t="s">
        <v>34567</v>
      </c>
      <c r="II219" s="22" t="s">
        <v>70</v>
      </c>
      <c r="IJ219" s="214" t="s">
        <v>530</v>
      </c>
      <c r="IL219" s="22" t="s">
        <v>14606</v>
      </c>
      <c r="IM219" s="22" t="s">
        <v>145</v>
      </c>
      <c r="IN219" s="22" t="s">
        <v>70</v>
      </c>
      <c r="IO219" s="214" t="s">
        <v>530</v>
      </c>
      <c r="IQ219" s="236" t="s">
        <v>14607</v>
      </c>
      <c r="IR219" s="236" t="s">
        <v>145</v>
      </c>
      <c r="IS219" s="236" t="s">
        <v>74</v>
      </c>
      <c r="IT219" s="236" t="s">
        <v>841</v>
      </c>
      <c r="IV219" s="236" t="s">
        <v>14608</v>
      </c>
      <c r="IW219" s="236" t="s">
        <v>145</v>
      </c>
      <c r="IX219" s="236" t="s">
        <v>74</v>
      </c>
      <c r="IY219" s="236" t="s">
        <v>841</v>
      </c>
      <c r="JA219" s="236" t="s">
        <v>14609</v>
      </c>
      <c r="JB219" s="236" t="s">
        <v>145</v>
      </c>
      <c r="JC219" s="236" t="s">
        <v>74</v>
      </c>
      <c r="JD219" s="236" t="s">
        <v>841</v>
      </c>
      <c r="JF219" s="236" t="s">
        <v>14610</v>
      </c>
      <c r="JG219" s="236" t="s">
        <v>145</v>
      </c>
      <c r="JH219" s="236" t="s">
        <v>74</v>
      </c>
      <c r="JI219" s="236" t="s">
        <v>841</v>
      </c>
      <c r="JK219" s="236" t="s">
        <v>14611</v>
      </c>
      <c r="JL219" s="236" t="s">
        <v>145</v>
      </c>
      <c r="JM219" s="236" t="s">
        <v>74</v>
      </c>
      <c r="JN219" s="236" t="s">
        <v>841</v>
      </c>
      <c r="JP219" s="236" t="s">
        <v>14612</v>
      </c>
      <c r="JQ219" s="236" t="s">
        <v>145</v>
      </c>
      <c r="JR219" s="236" t="s">
        <v>74</v>
      </c>
      <c r="JS219" s="236" t="s">
        <v>841</v>
      </c>
      <c r="JU219" s="294" t="s">
        <v>14613</v>
      </c>
      <c r="JV219" s="294" t="s">
        <v>52</v>
      </c>
      <c r="JW219" s="263" t="s">
        <v>70</v>
      </c>
      <c r="JX219" s="294" t="s">
        <v>1083</v>
      </c>
      <c r="JZ219" s="263" t="s">
        <v>14614</v>
      </c>
      <c r="KA219" s="263" t="s">
        <v>145</v>
      </c>
      <c r="KB219" s="263" t="s">
        <v>70</v>
      </c>
      <c r="KC219" s="263" t="s">
        <v>1083</v>
      </c>
      <c r="KE219" s="263" t="s">
        <v>14615</v>
      </c>
      <c r="KF219" s="263" t="s">
        <v>52</v>
      </c>
      <c r="KG219" s="263" t="s">
        <v>70</v>
      </c>
      <c r="KH219" s="263" t="s">
        <v>1083</v>
      </c>
      <c r="KJ219" s="263" t="s">
        <v>14616</v>
      </c>
      <c r="KK219" s="263" t="s">
        <v>52</v>
      </c>
      <c r="KL219" s="263" t="s">
        <v>74</v>
      </c>
      <c r="KM219" s="263" t="s">
        <v>34074</v>
      </c>
      <c r="KO219" s="214" t="s">
        <v>14617</v>
      </c>
      <c r="KP219" s="214" t="s">
        <v>145</v>
      </c>
      <c r="KQ219" s="214" t="s">
        <v>70</v>
      </c>
      <c r="KR219" s="214" t="s">
        <v>67</v>
      </c>
      <c r="KT219" s="22" t="s">
        <v>14618</v>
      </c>
      <c r="KU219" s="22" t="s">
        <v>145</v>
      </c>
      <c r="KV219" s="22" t="s">
        <v>70</v>
      </c>
      <c r="KW219" s="22" t="s">
        <v>67</v>
      </c>
      <c r="KY219" s="214" t="s">
        <v>14619</v>
      </c>
      <c r="KZ219" s="214" t="s">
        <v>52</v>
      </c>
      <c r="LA219" s="214" t="s">
        <v>74</v>
      </c>
      <c r="LB219" s="214" t="s">
        <v>67</v>
      </c>
      <c r="LD219" s="22" t="s">
        <v>14620</v>
      </c>
      <c r="LE219" s="22" t="s">
        <v>145</v>
      </c>
      <c r="LF219" s="22" t="s">
        <v>70</v>
      </c>
      <c r="LG219" s="22" t="s">
        <v>67</v>
      </c>
    </row>
    <row r="220" spans="1:319">
      <c r="A220" s="22" t="s">
        <v>14621</v>
      </c>
      <c r="B220" s="22" t="s">
        <v>145</v>
      </c>
      <c r="C220" s="22" t="s">
        <v>70</v>
      </c>
      <c r="D220" s="22" t="s">
        <v>67</v>
      </c>
      <c r="F220" s="73" t="s">
        <v>14622</v>
      </c>
      <c r="G220" s="22" t="s">
        <v>145</v>
      </c>
      <c r="H220" s="22" t="s">
        <v>70</v>
      </c>
      <c r="I220" s="22" t="s">
        <v>67</v>
      </c>
      <c r="K220" s="22" t="s">
        <v>14623</v>
      </c>
      <c r="L220" s="22" t="s">
        <v>145</v>
      </c>
      <c r="M220" s="22" t="s">
        <v>70</v>
      </c>
      <c r="N220" s="22" t="s">
        <v>67</v>
      </c>
      <c r="P220" s="22" t="s">
        <v>14624</v>
      </c>
      <c r="Q220" s="22" t="s">
        <v>145</v>
      </c>
      <c r="R220" s="22" t="s">
        <v>70</v>
      </c>
      <c r="S220" s="22" t="s">
        <v>67</v>
      </c>
      <c r="U220" s="293" t="s">
        <v>14625</v>
      </c>
      <c r="V220" s="293" t="s">
        <v>145</v>
      </c>
      <c r="W220" s="293" t="s">
        <v>74</v>
      </c>
      <c r="X220" s="293" t="s">
        <v>656</v>
      </c>
      <c r="Z220" s="293" t="s">
        <v>14626</v>
      </c>
      <c r="AA220" s="293" t="s">
        <v>145</v>
      </c>
      <c r="AB220" s="293" t="s">
        <v>74</v>
      </c>
      <c r="AC220" s="293" t="s">
        <v>656</v>
      </c>
      <c r="AE220" s="293" t="s">
        <v>14627</v>
      </c>
      <c r="AF220" s="293" t="s">
        <v>145</v>
      </c>
      <c r="AG220" s="293" t="s">
        <v>74</v>
      </c>
      <c r="AH220" s="293" t="s">
        <v>656</v>
      </c>
      <c r="AJ220" s="293" t="s">
        <v>14628</v>
      </c>
      <c r="AK220" s="293" t="s">
        <v>145</v>
      </c>
      <c r="AL220" s="293" t="s">
        <v>74</v>
      </c>
      <c r="AM220" s="293" t="s">
        <v>656</v>
      </c>
      <c r="AO220" s="22" t="s">
        <v>14629</v>
      </c>
      <c r="AP220" s="22" t="s">
        <v>145</v>
      </c>
      <c r="AQ220" s="22" t="s">
        <v>70</v>
      </c>
      <c r="AR220" s="22" t="s">
        <v>67</v>
      </c>
      <c r="AT220" s="22" t="s">
        <v>14630</v>
      </c>
      <c r="AU220" s="22" t="s">
        <v>145</v>
      </c>
      <c r="AV220" s="22" t="s">
        <v>70</v>
      </c>
      <c r="AW220" s="22" t="s">
        <v>67</v>
      </c>
      <c r="AY220" s="22" t="s">
        <v>14631</v>
      </c>
      <c r="AZ220" s="22" t="s">
        <v>145</v>
      </c>
      <c r="BA220" s="22" t="s">
        <v>70</v>
      </c>
      <c r="BB220" s="22" t="s">
        <v>67</v>
      </c>
      <c r="BD220" s="22" t="s">
        <v>14632</v>
      </c>
      <c r="BE220" s="22" t="s">
        <v>145</v>
      </c>
      <c r="BF220" s="22" t="s">
        <v>70</v>
      </c>
      <c r="BG220" s="22" t="s">
        <v>67</v>
      </c>
      <c r="BI220" s="22" t="s">
        <v>14633</v>
      </c>
      <c r="BJ220" s="22" t="s">
        <v>145</v>
      </c>
      <c r="BK220" s="22" t="s">
        <v>70</v>
      </c>
      <c r="BL220" s="22" t="s">
        <v>67</v>
      </c>
      <c r="BN220" s="22" t="s">
        <v>14634</v>
      </c>
      <c r="BO220" s="22" t="s">
        <v>145</v>
      </c>
      <c r="BP220" s="22" t="s">
        <v>70</v>
      </c>
      <c r="BQ220" s="22" t="s">
        <v>67</v>
      </c>
      <c r="BS220" s="22" t="s">
        <v>14635</v>
      </c>
      <c r="BT220" s="22" t="s">
        <v>145</v>
      </c>
      <c r="BU220" s="22" t="s">
        <v>70</v>
      </c>
      <c r="BV220" s="214" t="s">
        <v>530</v>
      </c>
      <c r="BX220" s="22" t="s">
        <v>14636</v>
      </c>
      <c r="BY220" s="22" t="s">
        <v>145</v>
      </c>
      <c r="BZ220" s="22" t="s">
        <v>70</v>
      </c>
      <c r="CA220" s="214" t="s">
        <v>530</v>
      </c>
      <c r="CC220" s="214" t="s">
        <v>14637</v>
      </c>
      <c r="CD220" s="218" t="s">
        <v>145</v>
      </c>
      <c r="CE220" s="214" t="s">
        <v>70</v>
      </c>
      <c r="CF220" s="214" t="s">
        <v>673</v>
      </c>
      <c r="CH220" s="214" t="s">
        <v>14638</v>
      </c>
      <c r="CI220" s="214" t="s">
        <v>467</v>
      </c>
      <c r="CJ220" s="214" t="s">
        <v>70</v>
      </c>
      <c r="CK220" s="214" t="s">
        <v>530</v>
      </c>
      <c r="CM220" s="214" t="s">
        <v>14639</v>
      </c>
      <c r="CN220" s="214" t="s">
        <v>85</v>
      </c>
      <c r="CO220" s="214" t="s">
        <v>70</v>
      </c>
      <c r="CP220" s="214" t="s">
        <v>530</v>
      </c>
      <c r="CR220" s="214" t="s">
        <v>14640</v>
      </c>
      <c r="CS220" s="214" t="s">
        <v>34642</v>
      </c>
      <c r="CT220" s="214" t="s">
        <v>70</v>
      </c>
      <c r="CU220" s="214" t="s">
        <v>530</v>
      </c>
      <c r="CW220" s="214" t="s">
        <v>14641</v>
      </c>
      <c r="CX220" s="214" t="s">
        <v>798</v>
      </c>
      <c r="CY220" s="214" t="s">
        <v>70</v>
      </c>
      <c r="CZ220" s="214" t="s">
        <v>530</v>
      </c>
      <c r="DB220" s="214" t="s">
        <v>14642</v>
      </c>
      <c r="DC220" s="214" t="s">
        <v>103</v>
      </c>
      <c r="DD220" s="214" t="s">
        <v>70</v>
      </c>
      <c r="DE220" s="214" t="s">
        <v>530</v>
      </c>
      <c r="DG220" s="214" t="s">
        <v>14643</v>
      </c>
      <c r="DH220" s="214" t="s">
        <v>85</v>
      </c>
      <c r="DI220" s="214" t="s">
        <v>70</v>
      </c>
      <c r="DJ220" s="214" t="s">
        <v>530</v>
      </c>
      <c r="DL220" s="214" t="s">
        <v>14644</v>
      </c>
      <c r="DM220" s="214" t="s">
        <v>92</v>
      </c>
      <c r="DN220" s="214" t="s">
        <v>70</v>
      </c>
      <c r="DO220" s="214" t="s">
        <v>530</v>
      </c>
      <c r="DQ220" s="214" t="s">
        <v>14645</v>
      </c>
      <c r="DR220" s="214" t="s">
        <v>34616</v>
      </c>
      <c r="DS220" s="214" t="s">
        <v>70</v>
      </c>
      <c r="DT220" s="214" t="s">
        <v>530</v>
      </c>
      <c r="DV220" s="214" t="s">
        <v>14646</v>
      </c>
      <c r="DW220" s="214" t="s">
        <v>93</v>
      </c>
      <c r="DX220" s="214" t="s">
        <v>70</v>
      </c>
      <c r="DY220" s="214" t="s">
        <v>530</v>
      </c>
      <c r="EA220" s="214" t="s">
        <v>14647</v>
      </c>
      <c r="EB220" s="214" t="s">
        <v>90</v>
      </c>
      <c r="EC220" s="214" t="s">
        <v>70</v>
      </c>
      <c r="ED220" s="214" t="s">
        <v>530</v>
      </c>
      <c r="EF220" s="214" t="s">
        <v>14648</v>
      </c>
      <c r="EG220" s="214" t="s">
        <v>88</v>
      </c>
      <c r="EH220" s="214" t="s">
        <v>70</v>
      </c>
      <c r="EI220" s="214" t="s">
        <v>530</v>
      </c>
      <c r="EK220" s="214" t="s">
        <v>14649</v>
      </c>
      <c r="EL220" s="214" t="s">
        <v>529</v>
      </c>
      <c r="EM220" s="214" t="s">
        <v>70</v>
      </c>
      <c r="EN220" s="214" t="s">
        <v>530</v>
      </c>
      <c r="EP220" s="214" t="s">
        <v>14650</v>
      </c>
      <c r="EQ220" s="214" t="s">
        <v>148</v>
      </c>
      <c r="ER220" s="214" t="s">
        <v>70</v>
      </c>
      <c r="ES220" s="214" t="s">
        <v>530</v>
      </c>
      <c r="EU220" s="214" t="s">
        <v>14651</v>
      </c>
      <c r="EV220" s="214" t="s">
        <v>500</v>
      </c>
      <c r="EW220" s="214" t="s">
        <v>70</v>
      </c>
      <c r="EX220" s="214" t="s">
        <v>530</v>
      </c>
      <c r="EZ220" s="214" t="s">
        <v>14652</v>
      </c>
      <c r="FA220" s="214" t="s">
        <v>34540</v>
      </c>
      <c r="FB220" s="214" t="s">
        <v>70</v>
      </c>
      <c r="FC220" s="214" t="s">
        <v>530</v>
      </c>
      <c r="FE220" s="214" t="s">
        <v>14653</v>
      </c>
      <c r="FF220" s="214" t="s">
        <v>34545</v>
      </c>
      <c r="FG220" s="214" t="s">
        <v>70</v>
      </c>
      <c r="FH220" s="214" t="s">
        <v>530</v>
      </c>
      <c r="FJ220" s="321" t="s">
        <v>14654</v>
      </c>
      <c r="FK220" s="214" t="s">
        <v>918</v>
      </c>
      <c r="FL220" s="214" t="s">
        <v>70</v>
      </c>
      <c r="FM220" s="214" t="s">
        <v>530</v>
      </c>
      <c r="FO220" s="321" t="s">
        <v>14655</v>
      </c>
      <c r="FP220" s="214" t="s">
        <v>148</v>
      </c>
      <c r="FQ220" s="214" t="s">
        <v>70</v>
      </c>
      <c r="FR220" s="214" t="s">
        <v>530</v>
      </c>
      <c r="FT220" s="321" t="s">
        <v>14656</v>
      </c>
      <c r="FU220" s="214" t="s">
        <v>52</v>
      </c>
      <c r="FV220" s="214" t="s">
        <v>70</v>
      </c>
      <c r="FW220" s="214" t="s">
        <v>530</v>
      </c>
      <c r="FY220" s="321" t="s">
        <v>14657</v>
      </c>
      <c r="FZ220" s="214" t="s">
        <v>34562</v>
      </c>
      <c r="GA220" s="214" t="s">
        <v>70</v>
      </c>
      <c r="GB220" s="214" t="s">
        <v>530</v>
      </c>
      <c r="GD220" s="321" t="s">
        <v>14658</v>
      </c>
      <c r="GE220" s="214" t="s">
        <v>604</v>
      </c>
      <c r="GF220" s="214" t="s">
        <v>70</v>
      </c>
      <c r="GG220" s="214" t="s">
        <v>530</v>
      </c>
      <c r="GI220" s="321" t="s">
        <v>14659</v>
      </c>
      <c r="GJ220" s="214" t="s">
        <v>34516</v>
      </c>
      <c r="GK220" s="214" t="s">
        <v>70</v>
      </c>
      <c r="GL220" s="214" t="s">
        <v>530</v>
      </c>
      <c r="GN220" s="321" t="s">
        <v>14660</v>
      </c>
      <c r="GO220" s="214" t="s">
        <v>34556</v>
      </c>
      <c r="GP220" s="214" t="s">
        <v>70</v>
      </c>
      <c r="GQ220" s="214" t="s">
        <v>530</v>
      </c>
      <c r="GS220" s="321" t="s">
        <v>14661</v>
      </c>
      <c r="GT220" s="214" t="s">
        <v>34546</v>
      </c>
      <c r="GU220" s="214" t="s">
        <v>70</v>
      </c>
      <c r="GV220" s="214" t="s">
        <v>530</v>
      </c>
      <c r="GX220" s="214" t="s">
        <v>14662</v>
      </c>
      <c r="GY220" s="214" t="s">
        <v>502</v>
      </c>
      <c r="GZ220" s="214" t="s">
        <v>70</v>
      </c>
      <c r="HA220" s="214" t="s">
        <v>530</v>
      </c>
      <c r="HC220" s="214" t="s">
        <v>14663</v>
      </c>
      <c r="HD220" s="214" t="s">
        <v>34575</v>
      </c>
      <c r="HE220" s="214" t="s">
        <v>70</v>
      </c>
      <c r="HF220" s="214" t="s">
        <v>530</v>
      </c>
      <c r="HH220" s="214" t="s">
        <v>14664</v>
      </c>
      <c r="HI220" s="214" t="s">
        <v>34590</v>
      </c>
      <c r="HJ220" s="214" t="s">
        <v>70</v>
      </c>
      <c r="HK220" s="214" t="s">
        <v>530</v>
      </c>
      <c r="HM220" s="214" t="s">
        <v>14665</v>
      </c>
      <c r="HN220" s="214" t="s">
        <v>145</v>
      </c>
      <c r="HO220" s="214" t="s">
        <v>70</v>
      </c>
      <c r="HP220" s="214" t="s">
        <v>530</v>
      </c>
      <c r="HR220" s="22" t="s">
        <v>14666</v>
      </c>
      <c r="HS220" s="22" t="s">
        <v>34607</v>
      </c>
      <c r="HT220" s="22" t="s">
        <v>70</v>
      </c>
      <c r="HU220" s="214" t="s">
        <v>530</v>
      </c>
      <c r="HW220" s="22" t="s">
        <v>14667</v>
      </c>
      <c r="HX220" s="22" t="s">
        <v>34618</v>
      </c>
      <c r="HY220" s="22" t="s">
        <v>70</v>
      </c>
      <c r="HZ220" s="214" t="s">
        <v>530</v>
      </c>
      <c r="IB220" s="22" t="s">
        <v>14668</v>
      </c>
      <c r="IC220" s="22" t="s">
        <v>146</v>
      </c>
      <c r="ID220" s="22" t="s">
        <v>70</v>
      </c>
      <c r="IE220" s="214" t="s">
        <v>530</v>
      </c>
      <c r="IG220" s="22" t="s">
        <v>14669</v>
      </c>
      <c r="IH220" s="22" t="s">
        <v>34578</v>
      </c>
      <c r="II220" s="22" t="s">
        <v>70</v>
      </c>
      <c r="IJ220" s="214" t="s">
        <v>530</v>
      </c>
      <c r="IL220" s="22" t="s">
        <v>14670</v>
      </c>
      <c r="IM220" s="22" t="s">
        <v>145</v>
      </c>
      <c r="IN220" s="22" t="s">
        <v>70</v>
      </c>
      <c r="IO220" s="214" t="s">
        <v>530</v>
      </c>
      <c r="IQ220" s="236" t="s">
        <v>14671</v>
      </c>
      <c r="IR220" s="236" t="s">
        <v>145</v>
      </c>
      <c r="IS220" s="236" t="s">
        <v>74</v>
      </c>
      <c r="IT220" s="236" t="s">
        <v>841</v>
      </c>
      <c r="IV220" s="236" t="s">
        <v>14672</v>
      </c>
      <c r="IW220" s="236" t="s">
        <v>145</v>
      </c>
      <c r="IX220" s="236" t="s">
        <v>74</v>
      </c>
      <c r="IY220" s="236" t="s">
        <v>841</v>
      </c>
      <c r="JA220" s="236" t="s">
        <v>14673</v>
      </c>
      <c r="JB220" s="236" t="s">
        <v>145</v>
      </c>
      <c r="JC220" s="236" t="s">
        <v>74</v>
      </c>
      <c r="JD220" s="236" t="s">
        <v>841</v>
      </c>
      <c r="JF220" s="236" t="s">
        <v>14674</v>
      </c>
      <c r="JG220" s="236" t="s">
        <v>145</v>
      </c>
      <c r="JH220" s="236" t="s">
        <v>74</v>
      </c>
      <c r="JI220" s="236" t="s">
        <v>841</v>
      </c>
      <c r="JK220" s="236" t="s">
        <v>14675</v>
      </c>
      <c r="JL220" s="236" t="s">
        <v>145</v>
      </c>
      <c r="JM220" s="236" t="s">
        <v>74</v>
      </c>
      <c r="JN220" s="236" t="s">
        <v>841</v>
      </c>
      <c r="JP220" s="236" t="s">
        <v>14676</v>
      </c>
      <c r="JQ220" s="236" t="s">
        <v>145</v>
      </c>
      <c r="JR220" s="236" t="s">
        <v>74</v>
      </c>
      <c r="JS220" s="236" t="s">
        <v>841</v>
      </c>
      <c r="JU220" s="294" t="s">
        <v>14677</v>
      </c>
      <c r="JV220" s="294" t="s">
        <v>52</v>
      </c>
      <c r="JW220" s="263" t="s">
        <v>70</v>
      </c>
      <c r="JX220" s="294" t="s">
        <v>1083</v>
      </c>
      <c r="JZ220" s="263" t="s">
        <v>14678</v>
      </c>
      <c r="KA220" s="263" t="s">
        <v>145</v>
      </c>
      <c r="KB220" s="263" t="s">
        <v>70</v>
      </c>
      <c r="KC220" s="263" t="s">
        <v>1083</v>
      </c>
      <c r="KE220" s="263" t="s">
        <v>14679</v>
      </c>
      <c r="KF220" s="263" t="s">
        <v>52</v>
      </c>
      <c r="KG220" s="263" t="s">
        <v>70</v>
      </c>
      <c r="KH220" s="263" t="s">
        <v>1083</v>
      </c>
      <c r="KJ220" s="263" t="s">
        <v>14680</v>
      </c>
      <c r="KK220" s="263" t="s">
        <v>52</v>
      </c>
      <c r="KL220" s="263" t="s">
        <v>74</v>
      </c>
      <c r="KM220" s="263" t="s">
        <v>34074</v>
      </c>
      <c r="KO220" s="214" t="s">
        <v>14681</v>
      </c>
      <c r="KP220" s="214" t="s">
        <v>145</v>
      </c>
      <c r="KQ220" s="214" t="s">
        <v>70</v>
      </c>
      <c r="KR220" s="214" t="s">
        <v>67</v>
      </c>
      <c r="KT220" s="22" t="s">
        <v>14682</v>
      </c>
      <c r="KU220" s="22" t="s">
        <v>145</v>
      </c>
      <c r="KV220" s="22" t="s">
        <v>70</v>
      </c>
      <c r="KW220" s="22" t="s">
        <v>67</v>
      </c>
      <c r="KY220" s="214" t="s">
        <v>14683</v>
      </c>
      <c r="KZ220" s="214" t="s">
        <v>52</v>
      </c>
      <c r="LA220" s="214" t="s">
        <v>74</v>
      </c>
      <c r="LB220" s="214" t="s">
        <v>67</v>
      </c>
      <c r="LD220" s="22" t="s">
        <v>14684</v>
      </c>
      <c r="LE220" s="22" t="s">
        <v>145</v>
      </c>
      <c r="LF220" s="22" t="s">
        <v>70</v>
      </c>
      <c r="LG220" s="22" t="s">
        <v>67</v>
      </c>
    </row>
    <row r="221" spans="1:319">
      <c r="A221" s="22" t="s">
        <v>14685</v>
      </c>
      <c r="B221" s="22" t="s">
        <v>145</v>
      </c>
      <c r="C221" s="22" t="s">
        <v>70</v>
      </c>
      <c r="D221" s="22" t="s">
        <v>67</v>
      </c>
      <c r="F221" s="73" t="s">
        <v>14686</v>
      </c>
      <c r="G221" s="22" t="s">
        <v>145</v>
      </c>
      <c r="H221" s="22" t="s">
        <v>70</v>
      </c>
      <c r="I221" s="22" t="s">
        <v>67</v>
      </c>
      <c r="K221" s="22" t="s">
        <v>14687</v>
      </c>
      <c r="L221" s="22" t="s">
        <v>145</v>
      </c>
      <c r="M221" s="22" t="s">
        <v>70</v>
      </c>
      <c r="N221" s="22" t="s">
        <v>67</v>
      </c>
      <c r="P221" s="22" t="s">
        <v>14688</v>
      </c>
      <c r="Q221" s="22" t="s">
        <v>145</v>
      </c>
      <c r="R221" s="22" t="s">
        <v>70</v>
      </c>
      <c r="S221" s="22" t="s">
        <v>67</v>
      </c>
      <c r="U221" s="293" t="s">
        <v>14689</v>
      </c>
      <c r="V221" s="293" t="s">
        <v>145</v>
      </c>
      <c r="W221" s="293" t="s">
        <v>74</v>
      </c>
      <c r="X221" s="293" t="s">
        <v>656</v>
      </c>
      <c r="Z221" s="293" t="s">
        <v>14690</v>
      </c>
      <c r="AA221" s="293" t="s">
        <v>145</v>
      </c>
      <c r="AB221" s="293" t="s">
        <v>74</v>
      </c>
      <c r="AC221" s="293" t="s">
        <v>656</v>
      </c>
      <c r="AE221" s="293" t="s">
        <v>14691</v>
      </c>
      <c r="AF221" s="293" t="s">
        <v>145</v>
      </c>
      <c r="AG221" s="293" t="s">
        <v>74</v>
      </c>
      <c r="AH221" s="293" t="s">
        <v>656</v>
      </c>
      <c r="AJ221" s="293" t="s">
        <v>14692</v>
      </c>
      <c r="AK221" s="293" t="s">
        <v>145</v>
      </c>
      <c r="AL221" s="293" t="s">
        <v>74</v>
      </c>
      <c r="AM221" s="293" t="s">
        <v>656</v>
      </c>
      <c r="AO221" s="22" t="s">
        <v>14693</v>
      </c>
      <c r="AP221" s="22" t="s">
        <v>145</v>
      </c>
      <c r="AQ221" s="22" t="s">
        <v>70</v>
      </c>
      <c r="AR221" s="22" t="s">
        <v>67</v>
      </c>
      <c r="AT221" s="22" t="s">
        <v>14694</v>
      </c>
      <c r="AU221" s="22" t="s">
        <v>145</v>
      </c>
      <c r="AV221" s="22" t="s">
        <v>70</v>
      </c>
      <c r="AW221" s="22" t="s">
        <v>67</v>
      </c>
      <c r="AY221" s="22" t="s">
        <v>14695</v>
      </c>
      <c r="AZ221" s="22" t="s">
        <v>145</v>
      </c>
      <c r="BA221" s="22" t="s">
        <v>70</v>
      </c>
      <c r="BB221" s="22" t="s">
        <v>67</v>
      </c>
      <c r="BD221" s="22" t="s">
        <v>14696</v>
      </c>
      <c r="BE221" s="22" t="s">
        <v>145</v>
      </c>
      <c r="BF221" s="22" t="s">
        <v>70</v>
      </c>
      <c r="BG221" s="22" t="s">
        <v>67</v>
      </c>
      <c r="BI221" s="22" t="s">
        <v>14697</v>
      </c>
      <c r="BJ221" s="22" t="s">
        <v>145</v>
      </c>
      <c r="BK221" s="22" t="s">
        <v>70</v>
      </c>
      <c r="BL221" s="22" t="s">
        <v>67</v>
      </c>
      <c r="BN221" s="22" t="s">
        <v>14698</v>
      </c>
      <c r="BO221" s="22" t="s">
        <v>145</v>
      </c>
      <c r="BP221" s="22" t="s">
        <v>70</v>
      </c>
      <c r="BQ221" s="22" t="s">
        <v>67</v>
      </c>
      <c r="BS221" s="22" t="s">
        <v>14699</v>
      </c>
      <c r="BT221" s="22" t="s">
        <v>145</v>
      </c>
      <c r="BU221" s="22" t="s">
        <v>70</v>
      </c>
      <c r="BV221" s="214" t="s">
        <v>530</v>
      </c>
      <c r="BX221" s="22" t="s">
        <v>14700</v>
      </c>
      <c r="BY221" s="22" t="s">
        <v>145</v>
      </c>
      <c r="BZ221" s="22" t="s">
        <v>70</v>
      </c>
      <c r="CA221" s="214" t="s">
        <v>530</v>
      </c>
      <c r="CC221" s="214" t="s">
        <v>14701</v>
      </c>
      <c r="CD221" s="218" t="s">
        <v>145</v>
      </c>
      <c r="CE221" s="214" t="s">
        <v>70</v>
      </c>
      <c r="CF221" s="214" t="s">
        <v>674</v>
      </c>
      <c r="CH221" s="214" t="s">
        <v>14702</v>
      </c>
      <c r="CI221" s="214" t="s">
        <v>34544</v>
      </c>
      <c r="CJ221" s="214" t="s">
        <v>70</v>
      </c>
      <c r="CK221" s="214" t="s">
        <v>530</v>
      </c>
      <c r="CM221" s="214" t="s">
        <v>14703</v>
      </c>
      <c r="CN221" s="214" t="s">
        <v>485</v>
      </c>
      <c r="CO221" s="214" t="s">
        <v>70</v>
      </c>
      <c r="CP221" s="214" t="s">
        <v>530</v>
      </c>
      <c r="CR221" s="214" t="s">
        <v>14704</v>
      </c>
      <c r="CS221" s="214" t="s">
        <v>34549</v>
      </c>
      <c r="CT221" s="214" t="s">
        <v>70</v>
      </c>
      <c r="CU221" s="214" t="s">
        <v>530</v>
      </c>
      <c r="CW221" s="214" t="s">
        <v>14705</v>
      </c>
      <c r="CX221" s="214" t="s">
        <v>34557</v>
      </c>
      <c r="CY221" s="214" t="s">
        <v>70</v>
      </c>
      <c r="CZ221" s="214" t="s">
        <v>530</v>
      </c>
      <c r="DB221" s="214" t="s">
        <v>14706</v>
      </c>
      <c r="DC221" s="214" t="s">
        <v>921</v>
      </c>
      <c r="DD221" s="214" t="s">
        <v>70</v>
      </c>
      <c r="DE221" s="214" t="s">
        <v>530</v>
      </c>
      <c r="DG221" s="214" t="s">
        <v>14707</v>
      </c>
      <c r="DH221" s="214" t="s">
        <v>921</v>
      </c>
      <c r="DI221" s="214" t="s">
        <v>70</v>
      </c>
      <c r="DJ221" s="214" t="s">
        <v>530</v>
      </c>
      <c r="DL221" s="214" t="s">
        <v>14708</v>
      </c>
      <c r="DM221" s="214" t="s">
        <v>636</v>
      </c>
      <c r="DN221" s="214" t="s">
        <v>70</v>
      </c>
      <c r="DO221" s="214" t="s">
        <v>530</v>
      </c>
      <c r="DQ221" s="214" t="s">
        <v>14709</v>
      </c>
      <c r="DR221" s="214" t="s">
        <v>491</v>
      </c>
      <c r="DS221" s="214" t="s">
        <v>70</v>
      </c>
      <c r="DT221" s="214" t="s">
        <v>530</v>
      </c>
      <c r="DV221" s="214" t="s">
        <v>14710</v>
      </c>
      <c r="DW221" s="214" t="s">
        <v>146</v>
      </c>
      <c r="DX221" s="214" t="s">
        <v>70</v>
      </c>
      <c r="DY221" s="214" t="s">
        <v>530</v>
      </c>
      <c r="EA221" s="214" t="s">
        <v>14711</v>
      </c>
      <c r="EB221" s="214" t="s">
        <v>468</v>
      </c>
      <c r="EC221" s="214" t="s">
        <v>70</v>
      </c>
      <c r="ED221" s="214" t="s">
        <v>530</v>
      </c>
      <c r="EF221" s="214" t="s">
        <v>14712</v>
      </c>
      <c r="EG221" s="214" t="s">
        <v>500</v>
      </c>
      <c r="EH221" s="214" t="s">
        <v>70</v>
      </c>
      <c r="EI221" s="214" t="s">
        <v>530</v>
      </c>
      <c r="EK221" s="214" t="s">
        <v>14713</v>
      </c>
      <c r="EL221" s="214" t="s">
        <v>484</v>
      </c>
      <c r="EM221" s="214" t="s">
        <v>70</v>
      </c>
      <c r="EN221" s="214" t="s">
        <v>530</v>
      </c>
      <c r="EP221" s="214" t="s">
        <v>14714</v>
      </c>
      <c r="EQ221" s="214" t="s">
        <v>34593</v>
      </c>
      <c r="ER221" s="214" t="s">
        <v>70</v>
      </c>
      <c r="ES221" s="214" t="s">
        <v>530</v>
      </c>
      <c r="EU221" s="214" t="s">
        <v>14715</v>
      </c>
      <c r="EV221" s="214" t="s">
        <v>487</v>
      </c>
      <c r="EW221" s="214" t="s">
        <v>70</v>
      </c>
      <c r="EX221" s="214" t="s">
        <v>530</v>
      </c>
      <c r="EZ221" s="214" t="s">
        <v>14716</v>
      </c>
      <c r="FA221" s="214" t="s">
        <v>85</v>
      </c>
      <c r="FB221" s="214" t="s">
        <v>70</v>
      </c>
      <c r="FC221" s="214" t="s">
        <v>530</v>
      </c>
      <c r="FE221" s="214" t="s">
        <v>14717</v>
      </c>
      <c r="FF221" s="214" t="s">
        <v>34543</v>
      </c>
      <c r="FG221" s="214" t="s">
        <v>70</v>
      </c>
      <c r="FH221" s="214" t="s">
        <v>530</v>
      </c>
      <c r="FJ221" s="321" t="s">
        <v>14718</v>
      </c>
      <c r="FK221" s="214" t="s">
        <v>34556</v>
      </c>
      <c r="FL221" s="214" t="s">
        <v>70</v>
      </c>
      <c r="FM221" s="214" t="s">
        <v>530</v>
      </c>
      <c r="FO221" s="321" t="s">
        <v>14719</v>
      </c>
      <c r="FP221" s="214" t="s">
        <v>531</v>
      </c>
      <c r="FQ221" s="214" t="s">
        <v>70</v>
      </c>
      <c r="FR221" s="214" t="s">
        <v>530</v>
      </c>
      <c r="FT221" s="321" t="s">
        <v>14720</v>
      </c>
      <c r="FU221" s="214" t="s">
        <v>484</v>
      </c>
      <c r="FV221" s="214" t="s">
        <v>70</v>
      </c>
      <c r="FW221" s="214" t="s">
        <v>530</v>
      </c>
      <c r="FY221" s="321" t="s">
        <v>14721</v>
      </c>
      <c r="FZ221" s="214" t="s">
        <v>933</v>
      </c>
      <c r="GA221" s="214" t="s">
        <v>70</v>
      </c>
      <c r="GB221" s="214" t="s">
        <v>530</v>
      </c>
      <c r="GD221" s="321" t="s">
        <v>14722</v>
      </c>
      <c r="GE221" s="214" t="s">
        <v>921</v>
      </c>
      <c r="GF221" s="214" t="s">
        <v>70</v>
      </c>
      <c r="GG221" s="214" t="s">
        <v>530</v>
      </c>
      <c r="GI221" s="321" t="s">
        <v>14723</v>
      </c>
      <c r="GJ221" s="214" t="s">
        <v>502</v>
      </c>
      <c r="GK221" s="214" t="s">
        <v>70</v>
      </c>
      <c r="GL221" s="214" t="s">
        <v>530</v>
      </c>
      <c r="GN221" s="321" t="s">
        <v>14724</v>
      </c>
      <c r="GO221" s="214" t="s">
        <v>34541</v>
      </c>
      <c r="GP221" s="214" t="s">
        <v>70</v>
      </c>
      <c r="GQ221" s="214" t="s">
        <v>530</v>
      </c>
      <c r="GS221" s="321" t="s">
        <v>14725</v>
      </c>
      <c r="GT221" s="214" t="s">
        <v>491</v>
      </c>
      <c r="GU221" s="214" t="s">
        <v>70</v>
      </c>
      <c r="GV221" s="214" t="s">
        <v>530</v>
      </c>
      <c r="GX221" s="214" t="s">
        <v>14726</v>
      </c>
      <c r="GY221" s="214" t="s">
        <v>34595</v>
      </c>
      <c r="GZ221" s="214" t="s">
        <v>70</v>
      </c>
      <c r="HA221" s="214" t="s">
        <v>530</v>
      </c>
      <c r="HC221" s="214" t="s">
        <v>14727</v>
      </c>
      <c r="HD221" s="214" t="s">
        <v>502</v>
      </c>
      <c r="HE221" s="214" t="s">
        <v>70</v>
      </c>
      <c r="HF221" s="214" t="s">
        <v>530</v>
      </c>
      <c r="HH221" s="214" t="s">
        <v>14728</v>
      </c>
      <c r="HI221" s="214" t="s">
        <v>34551</v>
      </c>
      <c r="HJ221" s="214" t="s">
        <v>70</v>
      </c>
      <c r="HK221" s="214" t="s">
        <v>530</v>
      </c>
      <c r="HM221" s="214" t="s">
        <v>14729</v>
      </c>
      <c r="HN221" s="214" t="s">
        <v>34541</v>
      </c>
      <c r="HO221" s="214" t="s">
        <v>70</v>
      </c>
      <c r="HP221" s="214" t="s">
        <v>530</v>
      </c>
      <c r="HR221" s="22" t="s">
        <v>14730</v>
      </c>
      <c r="HS221" s="22" t="s">
        <v>85</v>
      </c>
      <c r="HT221" s="22" t="s">
        <v>70</v>
      </c>
      <c r="HU221" s="214" t="s">
        <v>530</v>
      </c>
      <c r="HW221" s="22" t="s">
        <v>14731</v>
      </c>
      <c r="HX221" s="22" t="s">
        <v>146</v>
      </c>
      <c r="HY221" s="22" t="s">
        <v>70</v>
      </c>
      <c r="HZ221" s="214" t="s">
        <v>530</v>
      </c>
      <c r="IB221" s="22" t="s">
        <v>14732</v>
      </c>
      <c r="IC221" s="22" t="s">
        <v>287</v>
      </c>
      <c r="ID221" s="22" t="s">
        <v>70</v>
      </c>
      <c r="IE221" s="214" t="s">
        <v>530</v>
      </c>
      <c r="IG221" s="22" t="s">
        <v>14733</v>
      </c>
      <c r="IH221" s="22" t="s">
        <v>497</v>
      </c>
      <c r="II221" s="22" t="s">
        <v>70</v>
      </c>
      <c r="IJ221" s="214" t="s">
        <v>530</v>
      </c>
      <c r="IL221" s="22" t="s">
        <v>14734</v>
      </c>
      <c r="IM221" s="22" t="s">
        <v>145</v>
      </c>
      <c r="IN221" s="22" t="s">
        <v>70</v>
      </c>
      <c r="IO221" s="214" t="s">
        <v>530</v>
      </c>
      <c r="IQ221" s="236" t="s">
        <v>14735</v>
      </c>
      <c r="IR221" s="236" t="s">
        <v>145</v>
      </c>
      <c r="IS221" s="236" t="s">
        <v>74</v>
      </c>
      <c r="IT221" s="236" t="s">
        <v>841</v>
      </c>
      <c r="IV221" s="236" t="s">
        <v>14736</v>
      </c>
      <c r="IW221" s="236" t="s">
        <v>145</v>
      </c>
      <c r="IX221" s="236" t="s">
        <v>74</v>
      </c>
      <c r="IY221" s="236" t="s">
        <v>841</v>
      </c>
      <c r="JA221" s="236" t="s">
        <v>14737</v>
      </c>
      <c r="JB221" s="236" t="s">
        <v>145</v>
      </c>
      <c r="JC221" s="236" t="s">
        <v>74</v>
      </c>
      <c r="JD221" s="236" t="s">
        <v>841</v>
      </c>
      <c r="JF221" s="236" t="s">
        <v>14738</v>
      </c>
      <c r="JG221" s="236" t="s">
        <v>145</v>
      </c>
      <c r="JH221" s="236" t="s">
        <v>74</v>
      </c>
      <c r="JI221" s="236" t="s">
        <v>841</v>
      </c>
      <c r="JK221" s="236" t="s">
        <v>14739</v>
      </c>
      <c r="JL221" s="236" t="s">
        <v>145</v>
      </c>
      <c r="JM221" s="236" t="s">
        <v>74</v>
      </c>
      <c r="JN221" s="236" t="s">
        <v>841</v>
      </c>
      <c r="JP221" s="236" t="s">
        <v>14740</v>
      </c>
      <c r="JQ221" s="236" t="s">
        <v>145</v>
      </c>
      <c r="JR221" s="236" t="s">
        <v>74</v>
      </c>
      <c r="JS221" s="236" t="s">
        <v>841</v>
      </c>
      <c r="JU221" s="294" t="s">
        <v>14741</v>
      </c>
      <c r="JV221" s="294" t="s">
        <v>52</v>
      </c>
      <c r="JW221" s="263" t="s">
        <v>70</v>
      </c>
      <c r="JX221" s="294" t="s">
        <v>1083</v>
      </c>
      <c r="JZ221" s="263" t="s">
        <v>14742</v>
      </c>
      <c r="KA221" s="263" t="s">
        <v>145</v>
      </c>
      <c r="KB221" s="263" t="s">
        <v>70</v>
      </c>
      <c r="KC221" s="263" t="s">
        <v>1083</v>
      </c>
      <c r="KE221" s="263" t="s">
        <v>14743</v>
      </c>
      <c r="KF221" s="263" t="s">
        <v>52</v>
      </c>
      <c r="KG221" s="263" t="s">
        <v>70</v>
      </c>
      <c r="KH221" s="263" t="s">
        <v>1083</v>
      </c>
      <c r="KJ221" s="263" t="s">
        <v>14744</v>
      </c>
      <c r="KK221" s="263" t="s">
        <v>52</v>
      </c>
      <c r="KL221" s="263" t="s">
        <v>74</v>
      </c>
      <c r="KM221" s="263" t="s">
        <v>34074</v>
      </c>
      <c r="KO221" s="214" t="s">
        <v>14745</v>
      </c>
      <c r="KP221" s="214" t="s">
        <v>145</v>
      </c>
      <c r="KQ221" s="214" t="s">
        <v>70</v>
      </c>
      <c r="KR221" s="214" t="s">
        <v>67</v>
      </c>
      <c r="KT221" s="22" t="s">
        <v>14746</v>
      </c>
      <c r="KU221" s="22" t="s">
        <v>145</v>
      </c>
      <c r="KV221" s="22" t="s">
        <v>70</v>
      </c>
      <c r="KW221" s="22" t="s">
        <v>67</v>
      </c>
      <c r="KY221" s="214" t="s">
        <v>14747</v>
      </c>
      <c r="KZ221" s="214" t="s">
        <v>52</v>
      </c>
      <c r="LA221" s="214" t="s">
        <v>74</v>
      </c>
      <c r="LB221" s="214" t="s">
        <v>67</v>
      </c>
      <c r="LD221" s="22" t="s">
        <v>14748</v>
      </c>
      <c r="LE221" s="22" t="s">
        <v>145</v>
      </c>
      <c r="LF221" s="22" t="s">
        <v>70</v>
      </c>
      <c r="LG221" s="22" t="s">
        <v>67</v>
      </c>
    </row>
    <row r="222" spans="1:319">
      <c r="A222" s="22" t="s">
        <v>14749</v>
      </c>
      <c r="B222" s="22" t="s">
        <v>145</v>
      </c>
      <c r="C222" s="22" t="s">
        <v>70</v>
      </c>
      <c r="D222" s="22" t="s">
        <v>67</v>
      </c>
      <c r="F222" s="73" t="s">
        <v>14750</v>
      </c>
      <c r="G222" s="22" t="s">
        <v>145</v>
      </c>
      <c r="H222" s="22" t="s">
        <v>70</v>
      </c>
      <c r="I222" s="22" t="s">
        <v>67</v>
      </c>
      <c r="K222" s="22" t="s">
        <v>14751</v>
      </c>
      <c r="L222" s="22" t="s">
        <v>145</v>
      </c>
      <c r="M222" s="22" t="s">
        <v>70</v>
      </c>
      <c r="N222" s="22" t="s">
        <v>67</v>
      </c>
      <c r="P222" s="22" t="s">
        <v>14752</v>
      </c>
      <c r="Q222" s="22" t="s">
        <v>145</v>
      </c>
      <c r="R222" s="22" t="s">
        <v>70</v>
      </c>
      <c r="S222" s="22" t="s">
        <v>67</v>
      </c>
      <c r="U222" s="293" t="s">
        <v>14753</v>
      </c>
      <c r="V222" s="293" t="s">
        <v>145</v>
      </c>
      <c r="W222" s="293" t="s">
        <v>74</v>
      </c>
      <c r="X222" s="293" t="s">
        <v>656</v>
      </c>
      <c r="Z222" s="293" t="s">
        <v>14754</v>
      </c>
      <c r="AA222" s="293" t="s">
        <v>145</v>
      </c>
      <c r="AB222" s="293" t="s">
        <v>74</v>
      </c>
      <c r="AC222" s="293" t="s">
        <v>656</v>
      </c>
      <c r="AE222" s="293" t="s">
        <v>14755</v>
      </c>
      <c r="AF222" s="293" t="s">
        <v>145</v>
      </c>
      <c r="AG222" s="293" t="s">
        <v>74</v>
      </c>
      <c r="AH222" s="293" t="s">
        <v>656</v>
      </c>
      <c r="AJ222" s="293" t="s">
        <v>14756</v>
      </c>
      <c r="AK222" s="293" t="s">
        <v>145</v>
      </c>
      <c r="AL222" s="293" t="s">
        <v>74</v>
      </c>
      <c r="AM222" s="293" t="s">
        <v>656</v>
      </c>
      <c r="AO222" s="22" t="s">
        <v>14757</v>
      </c>
      <c r="AP222" s="22" t="s">
        <v>145</v>
      </c>
      <c r="AQ222" s="22" t="s">
        <v>70</v>
      </c>
      <c r="AR222" s="22" t="s">
        <v>67</v>
      </c>
      <c r="AT222" s="22" t="s">
        <v>14758</v>
      </c>
      <c r="AU222" s="22" t="s">
        <v>145</v>
      </c>
      <c r="AV222" s="22" t="s">
        <v>70</v>
      </c>
      <c r="AW222" s="22" t="s">
        <v>67</v>
      </c>
      <c r="AY222" s="22" t="s">
        <v>14759</v>
      </c>
      <c r="AZ222" s="22" t="s">
        <v>145</v>
      </c>
      <c r="BA222" s="22" t="s">
        <v>70</v>
      </c>
      <c r="BB222" s="22" t="s">
        <v>67</v>
      </c>
      <c r="BD222" s="22" t="s">
        <v>14760</v>
      </c>
      <c r="BE222" s="22" t="s">
        <v>145</v>
      </c>
      <c r="BF222" s="22" t="s">
        <v>70</v>
      </c>
      <c r="BG222" s="22" t="s">
        <v>67</v>
      </c>
      <c r="BI222" s="22" t="s">
        <v>14761</v>
      </c>
      <c r="BJ222" s="22" t="s">
        <v>145</v>
      </c>
      <c r="BK222" s="22" t="s">
        <v>70</v>
      </c>
      <c r="BL222" s="22" t="s">
        <v>67</v>
      </c>
      <c r="BN222" s="22" t="s">
        <v>14762</v>
      </c>
      <c r="BO222" s="22" t="s">
        <v>145</v>
      </c>
      <c r="BP222" s="22" t="s">
        <v>70</v>
      </c>
      <c r="BQ222" s="22" t="s">
        <v>67</v>
      </c>
      <c r="BS222" s="22" t="s">
        <v>14763</v>
      </c>
      <c r="BT222" s="22" t="s">
        <v>145</v>
      </c>
      <c r="BU222" s="22" t="s">
        <v>70</v>
      </c>
      <c r="BV222" s="214" t="s">
        <v>530</v>
      </c>
      <c r="BX222" s="22" t="s">
        <v>14764</v>
      </c>
      <c r="BY222" s="22" t="s">
        <v>145</v>
      </c>
      <c r="BZ222" s="22" t="s">
        <v>70</v>
      </c>
      <c r="CA222" s="214" t="s">
        <v>530</v>
      </c>
      <c r="CC222" s="214" t="s">
        <v>14765</v>
      </c>
      <c r="CD222" s="218" t="s">
        <v>145</v>
      </c>
      <c r="CE222" s="214" t="s">
        <v>70</v>
      </c>
      <c r="CF222" s="214" t="s">
        <v>675</v>
      </c>
      <c r="CH222" s="214" t="s">
        <v>14766</v>
      </c>
      <c r="CI222" s="214" t="s">
        <v>52</v>
      </c>
      <c r="CJ222" s="214" t="s">
        <v>70</v>
      </c>
      <c r="CK222" s="214" t="s">
        <v>530</v>
      </c>
      <c r="CM222" s="214" t="s">
        <v>14767</v>
      </c>
      <c r="CN222" s="214" t="s">
        <v>34545</v>
      </c>
      <c r="CO222" s="214" t="s">
        <v>70</v>
      </c>
      <c r="CP222" s="214" t="s">
        <v>530</v>
      </c>
      <c r="CR222" s="214" t="s">
        <v>14768</v>
      </c>
      <c r="CS222" s="214" t="s">
        <v>148</v>
      </c>
      <c r="CT222" s="214" t="s">
        <v>70</v>
      </c>
      <c r="CU222" s="214" t="s">
        <v>530</v>
      </c>
      <c r="CW222" s="214" t="s">
        <v>14769</v>
      </c>
      <c r="CX222" s="214" t="s">
        <v>34583</v>
      </c>
      <c r="CY222" s="214" t="s">
        <v>70</v>
      </c>
      <c r="CZ222" s="214" t="s">
        <v>530</v>
      </c>
      <c r="DB222" s="214" t="s">
        <v>14770</v>
      </c>
      <c r="DC222" s="214" t="s">
        <v>34545</v>
      </c>
      <c r="DD222" s="214" t="s">
        <v>70</v>
      </c>
      <c r="DE222" s="214" t="s">
        <v>530</v>
      </c>
      <c r="DG222" s="214" t="s">
        <v>14771</v>
      </c>
      <c r="DH222" s="214" t="s">
        <v>34545</v>
      </c>
      <c r="DI222" s="214" t="s">
        <v>70</v>
      </c>
      <c r="DJ222" s="214" t="s">
        <v>530</v>
      </c>
      <c r="DL222" s="214" t="s">
        <v>14772</v>
      </c>
      <c r="DM222" s="214" t="s">
        <v>206</v>
      </c>
      <c r="DN222" s="214" t="s">
        <v>70</v>
      </c>
      <c r="DO222" s="214" t="s">
        <v>530</v>
      </c>
      <c r="DQ222" s="214" t="s">
        <v>14773</v>
      </c>
      <c r="DR222" s="214" t="s">
        <v>92</v>
      </c>
      <c r="DS222" s="214" t="s">
        <v>70</v>
      </c>
      <c r="DT222" s="214" t="s">
        <v>530</v>
      </c>
      <c r="DV222" s="214" t="s">
        <v>14774</v>
      </c>
      <c r="DW222" s="214" t="s">
        <v>88</v>
      </c>
      <c r="DX222" s="214" t="s">
        <v>70</v>
      </c>
      <c r="DY222" s="214" t="s">
        <v>530</v>
      </c>
      <c r="EA222" s="214" t="s">
        <v>14775</v>
      </c>
      <c r="EB222" s="214" t="s">
        <v>34593</v>
      </c>
      <c r="EC222" s="214" t="s">
        <v>70</v>
      </c>
      <c r="ED222" s="214" t="s">
        <v>530</v>
      </c>
      <c r="EF222" s="214" t="s">
        <v>14776</v>
      </c>
      <c r="EG222" s="214" t="s">
        <v>34581</v>
      </c>
      <c r="EH222" s="214" t="s">
        <v>70</v>
      </c>
      <c r="EI222" s="214" t="s">
        <v>530</v>
      </c>
      <c r="EK222" s="214" t="s">
        <v>14777</v>
      </c>
      <c r="EL222" s="214" t="s">
        <v>163</v>
      </c>
      <c r="EM222" s="214" t="s">
        <v>70</v>
      </c>
      <c r="EN222" s="214" t="s">
        <v>530</v>
      </c>
      <c r="EP222" s="214" t="s">
        <v>14778</v>
      </c>
      <c r="EQ222" s="214" t="s">
        <v>205</v>
      </c>
      <c r="ER222" s="214" t="s">
        <v>70</v>
      </c>
      <c r="ES222" s="214" t="s">
        <v>530</v>
      </c>
      <c r="EU222" s="214" t="s">
        <v>14779</v>
      </c>
      <c r="EV222" s="214" t="s">
        <v>52</v>
      </c>
      <c r="EW222" s="214" t="s">
        <v>70</v>
      </c>
      <c r="EX222" s="214" t="s">
        <v>530</v>
      </c>
      <c r="EZ222" s="214" t="s">
        <v>14780</v>
      </c>
      <c r="FA222" s="214" t="s">
        <v>34562</v>
      </c>
      <c r="FB222" s="214" t="s">
        <v>70</v>
      </c>
      <c r="FC222" s="214" t="s">
        <v>530</v>
      </c>
      <c r="FE222" s="214" t="s">
        <v>14781</v>
      </c>
      <c r="FF222" s="214" t="s">
        <v>52</v>
      </c>
      <c r="FG222" s="214" t="s">
        <v>70</v>
      </c>
      <c r="FH222" s="214" t="s">
        <v>530</v>
      </c>
      <c r="FJ222" s="321" t="s">
        <v>14782</v>
      </c>
      <c r="FK222" s="214" t="s">
        <v>87</v>
      </c>
      <c r="FL222" s="214" t="s">
        <v>70</v>
      </c>
      <c r="FM222" s="214" t="s">
        <v>530</v>
      </c>
      <c r="FO222" s="321" t="s">
        <v>14783</v>
      </c>
      <c r="FP222" s="214" t="s">
        <v>483</v>
      </c>
      <c r="FQ222" s="214" t="s">
        <v>70</v>
      </c>
      <c r="FR222" s="214" t="s">
        <v>530</v>
      </c>
      <c r="FT222" s="321" t="s">
        <v>14784</v>
      </c>
      <c r="FU222" s="214" t="s">
        <v>52</v>
      </c>
      <c r="FV222" s="214" t="s">
        <v>70</v>
      </c>
      <c r="FW222" s="214" t="s">
        <v>530</v>
      </c>
      <c r="FY222" s="321" t="s">
        <v>14785</v>
      </c>
      <c r="FZ222" s="214" t="s">
        <v>34620</v>
      </c>
      <c r="GA222" s="214" t="s">
        <v>70</v>
      </c>
      <c r="GB222" s="214" t="s">
        <v>530</v>
      </c>
      <c r="GD222" s="321" t="s">
        <v>14786</v>
      </c>
      <c r="GE222" s="214" t="s">
        <v>604</v>
      </c>
      <c r="GF222" s="214" t="s">
        <v>70</v>
      </c>
      <c r="GG222" s="214" t="s">
        <v>530</v>
      </c>
      <c r="GI222" s="321" t="s">
        <v>14787</v>
      </c>
      <c r="GJ222" s="214" t="s">
        <v>956</v>
      </c>
      <c r="GK222" s="214" t="s">
        <v>70</v>
      </c>
      <c r="GL222" s="214" t="s">
        <v>530</v>
      </c>
      <c r="GN222" s="321" t="s">
        <v>14788</v>
      </c>
      <c r="GO222" s="214" t="s">
        <v>34572</v>
      </c>
      <c r="GP222" s="214" t="s">
        <v>70</v>
      </c>
      <c r="GQ222" s="214" t="s">
        <v>530</v>
      </c>
      <c r="GS222" s="321" t="s">
        <v>14789</v>
      </c>
      <c r="GT222" s="214" t="s">
        <v>34516</v>
      </c>
      <c r="GU222" s="214" t="s">
        <v>70</v>
      </c>
      <c r="GV222" s="214" t="s">
        <v>530</v>
      </c>
      <c r="GX222" s="214" t="s">
        <v>14790</v>
      </c>
      <c r="GY222" s="214" t="s">
        <v>86</v>
      </c>
      <c r="GZ222" s="214" t="s">
        <v>70</v>
      </c>
      <c r="HA222" s="214" t="s">
        <v>530</v>
      </c>
      <c r="HC222" s="214" t="s">
        <v>14791</v>
      </c>
      <c r="HD222" s="214" t="s">
        <v>949</v>
      </c>
      <c r="HE222" s="214" t="s">
        <v>70</v>
      </c>
      <c r="HF222" s="214" t="s">
        <v>530</v>
      </c>
      <c r="HH222" s="214" t="s">
        <v>14792</v>
      </c>
      <c r="HI222" s="214" t="s">
        <v>601</v>
      </c>
      <c r="HJ222" s="214" t="s">
        <v>70</v>
      </c>
      <c r="HK222" s="214" t="s">
        <v>530</v>
      </c>
      <c r="HM222" s="214" t="s">
        <v>14793</v>
      </c>
      <c r="HN222" s="214" t="s">
        <v>34593</v>
      </c>
      <c r="HO222" s="214" t="s">
        <v>70</v>
      </c>
      <c r="HP222" s="214" t="s">
        <v>530</v>
      </c>
      <c r="HR222" s="22" t="s">
        <v>14794</v>
      </c>
      <c r="HS222" s="22" t="s">
        <v>34607</v>
      </c>
      <c r="HT222" s="22" t="s">
        <v>70</v>
      </c>
      <c r="HU222" s="214" t="s">
        <v>530</v>
      </c>
      <c r="HW222" s="22" t="s">
        <v>14795</v>
      </c>
      <c r="HX222" s="22" t="s">
        <v>90</v>
      </c>
      <c r="HY222" s="22" t="s">
        <v>70</v>
      </c>
      <c r="HZ222" s="214" t="s">
        <v>530</v>
      </c>
      <c r="IB222" s="22" t="s">
        <v>14796</v>
      </c>
      <c r="IC222" s="22" t="s">
        <v>90</v>
      </c>
      <c r="ID222" s="22" t="s">
        <v>70</v>
      </c>
      <c r="IE222" s="214" t="s">
        <v>530</v>
      </c>
      <c r="IG222" s="22" t="s">
        <v>14797</v>
      </c>
      <c r="IH222" s="22" t="s">
        <v>34601</v>
      </c>
      <c r="II222" s="22" t="s">
        <v>70</v>
      </c>
      <c r="IJ222" s="214" t="s">
        <v>530</v>
      </c>
      <c r="IL222" s="22" t="s">
        <v>14798</v>
      </c>
      <c r="IM222" s="22" t="s">
        <v>145</v>
      </c>
      <c r="IN222" s="22" t="s">
        <v>70</v>
      </c>
      <c r="IO222" s="214" t="s">
        <v>530</v>
      </c>
      <c r="IQ222" s="236" t="s">
        <v>14799</v>
      </c>
      <c r="IR222" s="236" t="s">
        <v>145</v>
      </c>
      <c r="IS222" s="236" t="s">
        <v>74</v>
      </c>
      <c r="IT222" s="236" t="s">
        <v>841</v>
      </c>
      <c r="IV222" s="236" t="s">
        <v>14800</v>
      </c>
      <c r="IW222" s="236" t="s">
        <v>145</v>
      </c>
      <c r="IX222" s="236" t="s">
        <v>74</v>
      </c>
      <c r="IY222" s="236" t="s">
        <v>841</v>
      </c>
      <c r="JA222" s="236" t="s">
        <v>14801</v>
      </c>
      <c r="JB222" s="236" t="s">
        <v>145</v>
      </c>
      <c r="JC222" s="236" t="s">
        <v>74</v>
      </c>
      <c r="JD222" s="236" t="s">
        <v>841</v>
      </c>
      <c r="JF222" s="236" t="s">
        <v>14802</v>
      </c>
      <c r="JG222" s="236" t="s">
        <v>145</v>
      </c>
      <c r="JH222" s="236" t="s">
        <v>74</v>
      </c>
      <c r="JI222" s="236" t="s">
        <v>841</v>
      </c>
      <c r="JK222" s="236" t="s">
        <v>14803</v>
      </c>
      <c r="JL222" s="236" t="s">
        <v>145</v>
      </c>
      <c r="JM222" s="236" t="s">
        <v>74</v>
      </c>
      <c r="JN222" s="236" t="s">
        <v>841</v>
      </c>
      <c r="JP222" s="236" t="s">
        <v>14804</v>
      </c>
      <c r="JQ222" s="236" t="s">
        <v>145</v>
      </c>
      <c r="JR222" s="236" t="s">
        <v>74</v>
      </c>
      <c r="JS222" s="236" t="s">
        <v>841</v>
      </c>
      <c r="JU222" s="294" t="s">
        <v>14805</v>
      </c>
      <c r="JV222" s="294" t="s">
        <v>52</v>
      </c>
      <c r="JW222" s="263" t="s">
        <v>70</v>
      </c>
      <c r="JX222" s="294" t="s">
        <v>1083</v>
      </c>
      <c r="JZ222" s="263" t="s">
        <v>14806</v>
      </c>
      <c r="KA222" s="263" t="s">
        <v>145</v>
      </c>
      <c r="KB222" s="263" t="s">
        <v>70</v>
      </c>
      <c r="KC222" s="263" t="s">
        <v>1083</v>
      </c>
      <c r="KE222" s="263" t="s">
        <v>14807</v>
      </c>
      <c r="KF222" s="263" t="s">
        <v>52</v>
      </c>
      <c r="KG222" s="263" t="s">
        <v>70</v>
      </c>
      <c r="KH222" s="263" t="s">
        <v>1083</v>
      </c>
      <c r="KJ222" s="263" t="s">
        <v>14808</v>
      </c>
      <c r="KK222" s="263" t="s">
        <v>52</v>
      </c>
      <c r="KL222" s="263" t="s">
        <v>74</v>
      </c>
      <c r="KM222" s="263" t="s">
        <v>34074</v>
      </c>
      <c r="KO222" s="214" t="s">
        <v>14809</v>
      </c>
      <c r="KP222" s="214" t="s">
        <v>145</v>
      </c>
      <c r="KQ222" s="214" t="s">
        <v>70</v>
      </c>
      <c r="KR222" s="214" t="s">
        <v>67</v>
      </c>
      <c r="KT222" s="22" t="s">
        <v>14810</v>
      </c>
      <c r="KU222" s="22" t="s">
        <v>145</v>
      </c>
      <c r="KV222" s="22" t="s">
        <v>70</v>
      </c>
      <c r="KW222" s="22" t="s">
        <v>67</v>
      </c>
      <c r="KY222" s="214" t="s">
        <v>14811</v>
      </c>
      <c r="KZ222" s="214" t="s">
        <v>52</v>
      </c>
      <c r="LA222" s="214" t="s">
        <v>74</v>
      </c>
      <c r="LB222" s="214" t="s">
        <v>67</v>
      </c>
      <c r="LD222" s="22" t="s">
        <v>14812</v>
      </c>
      <c r="LE222" s="22" t="s">
        <v>145</v>
      </c>
      <c r="LF222" s="22" t="s">
        <v>70</v>
      </c>
      <c r="LG222" s="22" t="s">
        <v>67</v>
      </c>
    </row>
    <row r="223" spans="1:319">
      <c r="A223" s="22" t="s">
        <v>14813</v>
      </c>
      <c r="B223" s="22" t="s">
        <v>145</v>
      </c>
      <c r="C223" s="22" t="s">
        <v>70</v>
      </c>
      <c r="D223" s="22" t="s">
        <v>67</v>
      </c>
      <c r="F223" s="73" t="s">
        <v>14814</v>
      </c>
      <c r="G223" s="22" t="s">
        <v>145</v>
      </c>
      <c r="H223" s="22" t="s">
        <v>70</v>
      </c>
      <c r="I223" s="22" t="s">
        <v>67</v>
      </c>
      <c r="K223" s="22" t="s">
        <v>14815</v>
      </c>
      <c r="L223" s="22" t="s">
        <v>145</v>
      </c>
      <c r="M223" s="22" t="s">
        <v>70</v>
      </c>
      <c r="N223" s="22" t="s">
        <v>67</v>
      </c>
      <c r="P223" s="22" t="s">
        <v>14816</v>
      </c>
      <c r="Q223" s="22" t="s">
        <v>145</v>
      </c>
      <c r="R223" s="22" t="s">
        <v>70</v>
      </c>
      <c r="S223" s="22" t="s">
        <v>67</v>
      </c>
      <c r="U223" s="293" t="s">
        <v>14817</v>
      </c>
      <c r="V223" s="293" t="s">
        <v>145</v>
      </c>
      <c r="W223" s="293" t="s">
        <v>74</v>
      </c>
      <c r="X223" s="293" t="s">
        <v>656</v>
      </c>
      <c r="Z223" s="293" t="s">
        <v>14818</v>
      </c>
      <c r="AA223" s="293" t="s">
        <v>145</v>
      </c>
      <c r="AB223" s="293" t="s">
        <v>74</v>
      </c>
      <c r="AC223" s="293" t="s">
        <v>656</v>
      </c>
      <c r="AE223" s="293" t="s">
        <v>14819</v>
      </c>
      <c r="AF223" s="293" t="s">
        <v>145</v>
      </c>
      <c r="AG223" s="293" t="s">
        <v>74</v>
      </c>
      <c r="AH223" s="293" t="s">
        <v>656</v>
      </c>
      <c r="AJ223" s="293" t="s">
        <v>14820</v>
      </c>
      <c r="AK223" s="293" t="s">
        <v>145</v>
      </c>
      <c r="AL223" s="293" t="s">
        <v>74</v>
      </c>
      <c r="AM223" s="293" t="s">
        <v>656</v>
      </c>
      <c r="AO223" s="22" t="s">
        <v>14821</v>
      </c>
      <c r="AP223" s="22" t="s">
        <v>145</v>
      </c>
      <c r="AQ223" s="22" t="s">
        <v>70</v>
      </c>
      <c r="AR223" s="22" t="s">
        <v>67</v>
      </c>
      <c r="AT223" s="22" t="s">
        <v>14822</v>
      </c>
      <c r="AU223" s="22" t="s">
        <v>145</v>
      </c>
      <c r="AV223" s="22" t="s">
        <v>70</v>
      </c>
      <c r="AW223" s="22" t="s">
        <v>67</v>
      </c>
      <c r="AY223" s="22" t="s">
        <v>14823</v>
      </c>
      <c r="AZ223" s="22" t="s">
        <v>145</v>
      </c>
      <c r="BA223" s="22" t="s">
        <v>70</v>
      </c>
      <c r="BB223" s="22" t="s">
        <v>67</v>
      </c>
      <c r="BD223" s="22" t="s">
        <v>14824</v>
      </c>
      <c r="BE223" s="22" t="s">
        <v>145</v>
      </c>
      <c r="BF223" s="22" t="s">
        <v>70</v>
      </c>
      <c r="BG223" s="22" t="s">
        <v>67</v>
      </c>
      <c r="BI223" s="22" t="s">
        <v>14825</v>
      </c>
      <c r="BJ223" s="22" t="s">
        <v>145</v>
      </c>
      <c r="BK223" s="22" t="s">
        <v>70</v>
      </c>
      <c r="BL223" s="22" t="s">
        <v>67</v>
      </c>
      <c r="BN223" s="22" t="s">
        <v>14826</v>
      </c>
      <c r="BO223" s="22" t="s">
        <v>145</v>
      </c>
      <c r="BP223" s="22" t="s">
        <v>70</v>
      </c>
      <c r="BQ223" s="22" t="s">
        <v>67</v>
      </c>
      <c r="BS223" s="22" t="s">
        <v>14827</v>
      </c>
      <c r="BT223" s="22" t="s">
        <v>145</v>
      </c>
      <c r="BU223" s="22" t="s">
        <v>70</v>
      </c>
      <c r="BV223" s="214" t="s">
        <v>530</v>
      </c>
      <c r="BX223" s="22" t="s">
        <v>14828</v>
      </c>
      <c r="BY223" s="22" t="s">
        <v>145</v>
      </c>
      <c r="BZ223" s="22" t="s">
        <v>70</v>
      </c>
      <c r="CA223" s="214" t="s">
        <v>530</v>
      </c>
      <c r="CC223" s="214" t="s">
        <v>14829</v>
      </c>
      <c r="CD223" s="218" t="s">
        <v>145</v>
      </c>
      <c r="CE223" s="214" t="s">
        <v>70</v>
      </c>
      <c r="CF223" s="214" t="s">
        <v>676</v>
      </c>
      <c r="CH223" s="214" t="s">
        <v>14830</v>
      </c>
      <c r="CI223" s="214" t="s">
        <v>955</v>
      </c>
      <c r="CJ223" s="214" t="s">
        <v>70</v>
      </c>
      <c r="CK223" s="214" t="s">
        <v>530</v>
      </c>
      <c r="CM223" s="214" t="s">
        <v>14831</v>
      </c>
      <c r="CN223" s="214" t="s">
        <v>34551</v>
      </c>
      <c r="CO223" s="214" t="s">
        <v>70</v>
      </c>
      <c r="CP223" s="214" t="s">
        <v>530</v>
      </c>
      <c r="CR223" s="214" t="s">
        <v>14832</v>
      </c>
      <c r="CS223" s="214" t="s">
        <v>484</v>
      </c>
      <c r="CT223" s="214" t="s">
        <v>70</v>
      </c>
      <c r="CU223" s="214" t="s">
        <v>530</v>
      </c>
      <c r="CW223" s="214" t="s">
        <v>14833</v>
      </c>
      <c r="CX223" s="214" t="s">
        <v>486</v>
      </c>
      <c r="CY223" s="214" t="s">
        <v>70</v>
      </c>
      <c r="CZ223" s="214" t="s">
        <v>530</v>
      </c>
      <c r="DB223" s="214" t="s">
        <v>14834</v>
      </c>
      <c r="DC223" s="214" t="s">
        <v>34561</v>
      </c>
      <c r="DD223" s="214" t="s">
        <v>70</v>
      </c>
      <c r="DE223" s="214" t="s">
        <v>530</v>
      </c>
      <c r="DG223" s="214" t="s">
        <v>14835</v>
      </c>
      <c r="DH223" s="214" t="s">
        <v>34551</v>
      </c>
      <c r="DI223" s="214" t="s">
        <v>70</v>
      </c>
      <c r="DJ223" s="214" t="s">
        <v>530</v>
      </c>
      <c r="DL223" s="214" t="s">
        <v>14836</v>
      </c>
      <c r="DM223" s="214" t="s">
        <v>34575</v>
      </c>
      <c r="DN223" s="214" t="s">
        <v>70</v>
      </c>
      <c r="DO223" s="214" t="s">
        <v>530</v>
      </c>
      <c r="DQ223" s="214" t="s">
        <v>14837</v>
      </c>
      <c r="DR223" s="214" t="s">
        <v>146</v>
      </c>
      <c r="DS223" s="214" t="s">
        <v>70</v>
      </c>
      <c r="DT223" s="214" t="s">
        <v>530</v>
      </c>
      <c r="DV223" s="214" t="s">
        <v>14838</v>
      </c>
      <c r="DW223" s="214" t="s">
        <v>486</v>
      </c>
      <c r="DX223" s="214" t="s">
        <v>70</v>
      </c>
      <c r="DY223" s="214" t="s">
        <v>530</v>
      </c>
      <c r="EA223" s="214" t="s">
        <v>14839</v>
      </c>
      <c r="EB223" s="214" t="s">
        <v>602</v>
      </c>
      <c r="EC223" s="214" t="s">
        <v>70</v>
      </c>
      <c r="ED223" s="214" t="s">
        <v>530</v>
      </c>
      <c r="EF223" s="214" t="s">
        <v>14840</v>
      </c>
      <c r="EG223" s="214" t="s">
        <v>491</v>
      </c>
      <c r="EH223" s="214" t="s">
        <v>70</v>
      </c>
      <c r="EI223" s="214" t="s">
        <v>530</v>
      </c>
      <c r="EK223" s="214" t="s">
        <v>14841</v>
      </c>
      <c r="EL223" s="214" t="s">
        <v>484</v>
      </c>
      <c r="EM223" s="214" t="s">
        <v>70</v>
      </c>
      <c r="EN223" s="214" t="s">
        <v>530</v>
      </c>
      <c r="EP223" s="214" t="s">
        <v>14842</v>
      </c>
      <c r="EQ223" s="214" t="s">
        <v>34544</v>
      </c>
      <c r="ER223" s="214" t="s">
        <v>70</v>
      </c>
      <c r="ES223" s="214" t="s">
        <v>530</v>
      </c>
      <c r="EU223" s="214" t="s">
        <v>14843</v>
      </c>
      <c r="EV223" s="214" t="s">
        <v>34593</v>
      </c>
      <c r="EW223" s="214" t="s">
        <v>70</v>
      </c>
      <c r="EX223" s="214" t="s">
        <v>530</v>
      </c>
      <c r="EZ223" s="214" t="s">
        <v>14844</v>
      </c>
      <c r="FA223" s="214" t="s">
        <v>492</v>
      </c>
      <c r="FB223" s="214" t="s">
        <v>70</v>
      </c>
      <c r="FC223" s="214" t="s">
        <v>530</v>
      </c>
      <c r="FE223" s="214" t="s">
        <v>14845</v>
      </c>
      <c r="FF223" s="214" t="s">
        <v>955</v>
      </c>
      <c r="FG223" s="214" t="s">
        <v>70</v>
      </c>
      <c r="FH223" s="214" t="s">
        <v>530</v>
      </c>
      <c r="FJ223" s="321" t="s">
        <v>14846</v>
      </c>
      <c r="FK223" s="214" t="s">
        <v>34558</v>
      </c>
      <c r="FL223" s="214" t="s">
        <v>70</v>
      </c>
      <c r="FM223" s="214" t="s">
        <v>530</v>
      </c>
      <c r="FO223" s="321" t="s">
        <v>14847</v>
      </c>
      <c r="FP223" s="214" t="s">
        <v>599</v>
      </c>
      <c r="FQ223" s="214" t="s">
        <v>70</v>
      </c>
      <c r="FR223" s="214" t="s">
        <v>530</v>
      </c>
      <c r="FT223" s="321" t="s">
        <v>14848</v>
      </c>
      <c r="FU223" s="214" t="s">
        <v>85</v>
      </c>
      <c r="FV223" s="214" t="s">
        <v>70</v>
      </c>
      <c r="FW223" s="214" t="s">
        <v>530</v>
      </c>
      <c r="FY223" s="321" t="s">
        <v>14849</v>
      </c>
      <c r="FZ223" s="214" t="s">
        <v>146</v>
      </c>
      <c r="GA223" s="214" t="s">
        <v>70</v>
      </c>
      <c r="GB223" s="214" t="s">
        <v>530</v>
      </c>
      <c r="GD223" s="321" t="s">
        <v>14850</v>
      </c>
      <c r="GE223" s="214" t="s">
        <v>34544</v>
      </c>
      <c r="GF223" s="214" t="s">
        <v>70</v>
      </c>
      <c r="GG223" s="214" t="s">
        <v>530</v>
      </c>
      <c r="GI223" s="321" t="s">
        <v>14851</v>
      </c>
      <c r="GJ223" s="214" t="s">
        <v>146</v>
      </c>
      <c r="GK223" s="214" t="s">
        <v>70</v>
      </c>
      <c r="GL223" s="214" t="s">
        <v>530</v>
      </c>
      <c r="GN223" s="321" t="s">
        <v>14852</v>
      </c>
      <c r="GO223" s="214" t="s">
        <v>34545</v>
      </c>
      <c r="GP223" s="214" t="s">
        <v>70</v>
      </c>
      <c r="GQ223" s="214" t="s">
        <v>530</v>
      </c>
      <c r="GS223" s="321" t="s">
        <v>14853</v>
      </c>
      <c r="GT223" s="214" t="s">
        <v>34558</v>
      </c>
      <c r="GU223" s="214" t="s">
        <v>70</v>
      </c>
      <c r="GV223" s="214" t="s">
        <v>530</v>
      </c>
      <c r="GX223" s="214" t="s">
        <v>14854</v>
      </c>
      <c r="GY223" s="214" t="s">
        <v>34611</v>
      </c>
      <c r="GZ223" s="214" t="s">
        <v>70</v>
      </c>
      <c r="HA223" s="214" t="s">
        <v>530</v>
      </c>
      <c r="HC223" s="214" t="s">
        <v>14855</v>
      </c>
      <c r="HD223" s="214" t="s">
        <v>163</v>
      </c>
      <c r="HE223" s="214" t="s">
        <v>70</v>
      </c>
      <c r="HF223" s="214" t="s">
        <v>530</v>
      </c>
      <c r="HH223" s="214" t="s">
        <v>14856</v>
      </c>
      <c r="HI223" s="214" t="s">
        <v>52</v>
      </c>
      <c r="HJ223" s="214" t="s">
        <v>70</v>
      </c>
      <c r="HK223" s="214" t="s">
        <v>530</v>
      </c>
      <c r="HM223" s="214" t="s">
        <v>14857</v>
      </c>
      <c r="HN223" s="214" t="s">
        <v>145</v>
      </c>
      <c r="HO223" s="214" t="s">
        <v>70</v>
      </c>
      <c r="HP223" s="214" t="s">
        <v>530</v>
      </c>
      <c r="HR223" s="22" t="s">
        <v>14858</v>
      </c>
      <c r="HS223" s="22" t="s">
        <v>34516</v>
      </c>
      <c r="HT223" s="22" t="s">
        <v>70</v>
      </c>
      <c r="HU223" s="214" t="s">
        <v>530</v>
      </c>
      <c r="HW223" s="22" t="s">
        <v>14859</v>
      </c>
      <c r="HX223" s="22" t="s">
        <v>287</v>
      </c>
      <c r="HY223" s="22" t="s">
        <v>70</v>
      </c>
      <c r="HZ223" s="214" t="s">
        <v>530</v>
      </c>
      <c r="IB223" s="22" t="s">
        <v>14860</v>
      </c>
      <c r="IC223" s="22" t="s">
        <v>484</v>
      </c>
      <c r="ID223" s="22" t="s">
        <v>70</v>
      </c>
      <c r="IE223" s="214" t="s">
        <v>530</v>
      </c>
      <c r="IG223" s="22" t="s">
        <v>14861</v>
      </c>
      <c r="IH223" s="22" t="s">
        <v>34637</v>
      </c>
      <c r="II223" s="22" t="s">
        <v>70</v>
      </c>
      <c r="IJ223" s="214" t="s">
        <v>530</v>
      </c>
      <c r="IL223" s="22" t="s">
        <v>14862</v>
      </c>
      <c r="IM223" s="22" t="s">
        <v>145</v>
      </c>
      <c r="IN223" s="22" t="s">
        <v>70</v>
      </c>
      <c r="IO223" s="214" t="s">
        <v>530</v>
      </c>
      <c r="IQ223" s="236" t="s">
        <v>14863</v>
      </c>
      <c r="IR223" s="236" t="s">
        <v>145</v>
      </c>
      <c r="IS223" s="236" t="s">
        <v>74</v>
      </c>
      <c r="IT223" s="236" t="s">
        <v>841</v>
      </c>
      <c r="IV223" s="236" t="s">
        <v>14864</v>
      </c>
      <c r="IW223" s="236" t="s">
        <v>145</v>
      </c>
      <c r="IX223" s="236" t="s">
        <v>74</v>
      </c>
      <c r="IY223" s="236" t="s">
        <v>841</v>
      </c>
      <c r="JA223" s="236" t="s">
        <v>14865</v>
      </c>
      <c r="JB223" s="236" t="s">
        <v>145</v>
      </c>
      <c r="JC223" s="236" t="s">
        <v>74</v>
      </c>
      <c r="JD223" s="236" t="s">
        <v>841</v>
      </c>
      <c r="JF223" s="236" t="s">
        <v>14866</v>
      </c>
      <c r="JG223" s="236" t="s">
        <v>145</v>
      </c>
      <c r="JH223" s="236" t="s">
        <v>74</v>
      </c>
      <c r="JI223" s="236" t="s">
        <v>841</v>
      </c>
      <c r="JK223" s="236" t="s">
        <v>14867</v>
      </c>
      <c r="JL223" s="236" t="s">
        <v>145</v>
      </c>
      <c r="JM223" s="236" t="s">
        <v>74</v>
      </c>
      <c r="JN223" s="236" t="s">
        <v>841</v>
      </c>
      <c r="JP223" s="236" t="s">
        <v>14868</v>
      </c>
      <c r="JQ223" s="236" t="s">
        <v>145</v>
      </c>
      <c r="JR223" s="236" t="s">
        <v>74</v>
      </c>
      <c r="JS223" s="236" t="s">
        <v>841</v>
      </c>
      <c r="JU223" s="294" t="s">
        <v>14869</v>
      </c>
      <c r="JV223" s="294" t="s">
        <v>52</v>
      </c>
      <c r="JW223" s="263" t="s">
        <v>70</v>
      </c>
      <c r="JX223" s="294" t="s">
        <v>1083</v>
      </c>
      <c r="JZ223" s="263" t="s">
        <v>14870</v>
      </c>
      <c r="KA223" s="263" t="s">
        <v>145</v>
      </c>
      <c r="KB223" s="263" t="s">
        <v>70</v>
      </c>
      <c r="KC223" s="263" t="s">
        <v>1083</v>
      </c>
      <c r="KE223" s="263" t="s">
        <v>14871</v>
      </c>
      <c r="KF223" s="263" t="s">
        <v>52</v>
      </c>
      <c r="KG223" s="263" t="s">
        <v>70</v>
      </c>
      <c r="KH223" s="263" t="s">
        <v>1083</v>
      </c>
      <c r="KJ223" s="263" t="s">
        <v>14872</v>
      </c>
      <c r="KK223" s="263" t="s">
        <v>52</v>
      </c>
      <c r="KL223" s="263" t="s">
        <v>74</v>
      </c>
      <c r="KM223" s="263" t="s">
        <v>34074</v>
      </c>
      <c r="KO223" s="214" t="s">
        <v>14873</v>
      </c>
      <c r="KP223" s="214" t="s">
        <v>145</v>
      </c>
      <c r="KQ223" s="214" t="s">
        <v>70</v>
      </c>
      <c r="KR223" s="214" t="s">
        <v>67</v>
      </c>
      <c r="KT223" s="22" t="s">
        <v>14874</v>
      </c>
      <c r="KU223" s="22" t="s">
        <v>145</v>
      </c>
      <c r="KV223" s="22" t="s">
        <v>70</v>
      </c>
      <c r="KW223" s="22" t="s">
        <v>67</v>
      </c>
      <c r="KY223" s="214" t="s">
        <v>14875</v>
      </c>
      <c r="KZ223" s="214" t="s">
        <v>52</v>
      </c>
      <c r="LA223" s="214" t="s">
        <v>74</v>
      </c>
      <c r="LB223" s="214" t="s">
        <v>67</v>
      </c>
      <c r="LD223" s="22" t="s">
        <v>14876</v>
      </c>
      <c r="LE223" s="22" t="s">
        <v>145</v>
      </c>
      <c r="LF223" s="22" t="s">
        <v>70</v>
      </c>
      <c r="LG223" s="22" t="s">
        <v>67</v>
      </c>
    </row>
    <row r="224" spans="1:319">
      <c r="A224" s="22" t="s">
        <v>14877</v>
      </c>
      <c r="B224" s="22" t="s">
        <v>145</v>
      </c>
      <c r="C224" s="22" t="s">
        <v>70</v>
      </c>
      <c r="D224" s="22" t="s">
        <v>67</v>
      </c>
      <c r="F224" s="73" t="s">
        <v>14878</v>
      </c>
      <c r="G224" s="22" t="s">
        <v>145</v>
      </c>
      <c r="H224" s="22" t="s">
        <v>70</v>
      </c>
      <c r="I224" s="22" t="s">
        <v>67</v>
      </c>
      <c r="K224" s="22" t="s">
        <v>14879</v>
      </c>
      <c r="L224" s="22" t="s">
        <v>145</v>
      </c>
      <c r="M224" s="22" t="s">
        <v>70</v>
      </c>
      <c r="N224" s="22" t="s">
        <v>67</v>
      </c>
      <c r="P224" s="22" t="s">
        <v>14880</v>
      </c>
      <c r="Q224" s="22" t="s">
        <v>145</v>
      </c>
      <c r="R224" s="22" t="s">
        <v>70</v>
      </c>
      <c r="S224" s="22" t="s">
        <v>67</v>
      </c>
      <c r="U224" s="293" t="s">
        <v>14881</v>
      </c>
      <c r="V224" s="293" t="s">
        <v>145</v>
      </c>
      <c r="W224" s="293" t="s">
        <v>74</v>
      </c>
      <c r="X224" s="293" t="s">
        <v>656</v>
      </c>
      <c r="Z224" s="293" t="s">
        <v>14882</v>
      </c>
      <c r="AA224" s="293" t="s">
        <v>145</v>
      </c>
      <c r="AB224" s="293" t="s">
        <v>74</v>
      </c>
      <c r="AC224" s="293" t="s">
        <v>656</v>
      </c>
      <c r="AE224" s="293" t="s">
        <v>14883</v>
      </c>
      <c r="AF224" s="293" t="s">
        <v>145</v>
      </c>
      <c r="AG224" s="293" t="s">
        <v>74</v>
      </c>
      <c r="AH224" s="293" t="s">
        <v>656</v>
      </c>
      <c r="AJ224" s="293" t="s">
        <v>14884</v>
      </c>
      <c r="AK224" s="293" t="s">
        <v>145</v>
      </c>
      <c r="AL224" s="293" t="s">
        <v>74</v>
      </c>
      <c r="AM224" s="293" t="s">
        <v>656</v>
      </c>
      <c r="AO224" s="22" t="s">
        <v>14885</v>
      </c>
      <c r="AP224" s="22" t="s">
        <v>145</v>
      </c>
      <c r="AQ224" s="22" t="s">
        <v>70</v>
      </c>
      <c r="AR224" s="22" t="s">
        <v>67</v>
      </c>
      <c r="AT224" s="22" t="s">
        <v>14886</v>
      </c>
      <c r="AU224" s="22" t="s">
        <v>145</v>
      </c>
      <c r="AV224" s="22" t="s">
        <v>70</v>
      </c>
      <c r="AW224" s="22" t="s">
        <v>67</v>
      </c>
      <c r="AY224" s="22" t="s">
        <v>14887</v>
      </c>
      <c r="AZ224" s="22" t="s">
        <v>145</v>
      </c>
      <c r="BA224" s="22" t="s">
        <v>70</v>
      </c>
      <c r="BB224" s="22" t="s">
        <v>67</v>
      </c>
      <c r="BD224" s="22" t="s">
        <v>14888</v>
      </c>
      <c r="BE224" s="22" t="s">
        <v>145</v>
      </c>
      <c r="BF224" s="22" t="s">
        <v>70</v>
      </c>
      <c r="BG224" s="22" t="s">
        <v>67</v>
      </c>
      <c r="BI224" s="22" t="s">
        <v>14889</v>
      </c>
      <c r="BJ224" s="22" t="s">
        <v>145</v>
      </c>
      <c r="BK224" s="22" t="s">
        <v>70</v>
      </c>
      <c r="BL224" s="22" t="s">
        <v>67</v>
      </c>
      <c r="BN224" s="22" t="s">
        <v>14890</v>
      </c>
      <c r="BO224" s="22" t="s">
        <v>145</v>
      </c>
      <c r="BP224" s="22" t="s">
        <v>70</v>
      </c>
      <c r="BQ224" s="22" t="s">
        <v>67</v>
      </c>
      <c r="BS224" s="22" t="s">
        <v>14891</v>
      </c>
      <c r="BT224" s="22" t="s">
        <v>145</v>
      </c>
      <c r="BU224" s="22" t="s">
        <v>70</v>
      </c>
      <c r="BV224" s="214" t="s">
        <v>530</v>
      </c>
      <c r="BX224" s="22" t="s">
        <v>14892</v>
      </c>
      <c r="BY224" s="22" t="s">
        <v>145</v>
      </c>
      <c r="BZ224" s="22" t="s">
        <v>70</v>
      </c>
      <c r="CA224" s="214" t="s">
        <v>530</v>
      </c>
      <c r="CC224" s="214" t="s">
        <v>14893</v>
      </c>
      <c r="CD224" s="218" t="s">
        <v>145</v>
      </c>
      <c r="CE224" s="214" t="s">
        <v>70</v>
      </c>
      <c r="CF224" s="214" t="s">
        <v>677</v>
      </c>
      <c r="CH224" s="214" t="s">
        <v>14894</v>
      </c>
      <c r="CI224" s="214" t="s">
        <v>52</v>
      </c>
      <c r="CJ224" s="214" t="s">
        <v>70</v>
      </c>
      <c r="CK224" s="214" t="s">
        <v>530</v>
      </c>
      <c r="CM224" s="214" t="s">
        <v>14895</v>
      </c>
      <c r="CN224" s="214" t="s">
        <v>34558</v>
      </c>
      <c r="CO224" s="214" t="s">
        <v>70</v>
      </c>
      <c r="CP224" s="214" t="s">
        <v>530</v>
      </c>
      <c r="CR224" s="214" t="s">
        <v>14896</v>
      </c>
      <c r="CS224" s="214" t="s">
        <v>502</v>
      </c>
      <c r="CT224" s="214" t="s">
        <v>70</v>
      </c>
      <c r="CU224" s="214" t="s">
        <v>530</v>
      </c>
      <c r="CW224" s="214" t="s">
        <v>14897</v>
      </c>
      <c r="CX224" s="214" t="s">
        <v>935</v>
      </c>
      <c r="CY224" s="214" t="s">
        <v>70</v>
      </c>
      <c r="CZ224" s="214" t="s">
        <v>530</v>
      </c>
      <c r="DB224" s="214" t="s">
        <v>14898</v>
      </c>
      <c r="DC224" s="214" t="s">
        <v>929</v>
      </c>
      <c r="DD224" s="214" t="s">
        <v>70</v>
      </c>
      <c r="DE224" s="214" t="s">
        <v>530</v>
      </c>
      <c r="DG224" s="214" t="s">
        <v>14899</v>
      </c>
      <c r="DH224" s="214" t="s">
        <v>484</v>
      </c>
      <c r="DI224" s="214" t="s">
        <v>70</v>
      </c>
      <c r="DJ224" s="214" t="s">
        <v>530</v>
      </c>
      <c r="DL224" s="214" t="s">
        <v>14900</v>
      </c>
      <c r="DM224" s="214" t="s">
        <v>34545</v>
      </c>
      <c r="DN224" s="214" t="s">
        <v>70</v>
      </c>
      <c r="DO224" s="214" t="s">
        <v>530</v>
      </c>
      <c r="DQ224" s="214" t="s">
        <v>14901</v>
      </c>
      <c r="DR224" s="214" t="s">
        <v>146</v>
      </c>
      <c r="DS224" s="214" t="s">
        <v>70</v>
      </c>
      <c r="DT224" s="214" t="s">
        <v>530</v>
      </c>
      <c r="DV224" s="214" t="s">
        <v>14902</v>
      </c>
      <c r="DW224" s="214" t="s">
        <v>34605</v>
      </c>
      <c r="DX224" s="214" t="s">
        <v>70</v>
      </c>
      <c r="DY224" s="214" t="s">
        <v>530</v>
      </c>
      <c r="EA224" s="214" t="s">
        <v>14903</v>
      </c>
      <c r="EB224" s="214" t="s">
        <v>34611</v>
      </c>
      <c r="EC224" s="214" t="s">
        <v>70</v>
      </c>
      <c r="ED224" s="214" t="s">
        <v>530</v>
      </c>
      <c r="EF224" s="214" t="s">
        <v>14904</v>
      </c>
      <c r="EG224" s="214" t="s">
        <v>52</v>
      </c>
      <c r="EH224" s="214" t="s">
        <v>70</v>
      </c>
      <c r="EI224" s="214" t="s">
        <v>530</v>
      </c>
      <c r="EK224" s="214" t="s">
        <v>14905</v>
      </c>
      <c r="EL224" s="214" t="s">
        <v>52</v>
      </c>
      <c r="EM224" s="214" t="s">
        <v>70</v>
      </c>
      <c r="EN224" s="214" t="s">
        <v>530</v>
      </c>
      <c r="EP224" s="214" t="s">
        <v>14906</v>
      </c>
      <c r="EQ224" s="214" t="s">
        <v>52</v>
      </c>
      <c r="ER224" s="214" t="s">
        <v>70</v>
      </c>
      <c r="ES224" s="214" t="s">
        <v>530</v>
      </c>
      <c r="EU224" s="214" t="s">
        <v>14907</v>
      </c>
      <c r="EV224" s="214" t="s">
        <v>87</v>
      </c>
      <c r="EW224" s="214" t="s">
        <v>70</v>
      </c>
      <c r="EX224" s="214" t="s">
        <v>530</v>
      </c>
      <c r="EZ224" s="214" t="s">
        <v>14908</v>
      </c>
      <c r="FA224" s="214" t="s">
        <v>655</v>
      </c>
      <c r="FB224" s="214" t="s">
        <v>70</v>
      </c>
      <c r="FC224" s="214" t="s">
        <v>530</v>
      </c>
      <c r="FE224" s="214" t="s">
        <v>14909</v>
      </c>
      <c r="FF224" s="214" t="s">
        <v>52</v>
      </c>
      <c r="FG224" s="214" t="s">
        <v>70</v>
      </c>
      <c r="FH224" s="214" t="s">
        <v>530</v>
      </c>
      <c r="FJ224" s="321" t="s">
        <v>14910</v>
      </c>
      <c r="FK224" s="214" t="s">
        <v>34556</v>
      </c>
      <c r="FL224" s="214" t="s">
        <v>70</v>
      </c>
      <c r="FM224" s="214" t="s">
        <v>530</v>
      </c>
      <c r="FO224" s="321" t="s">
        <v>14911</v>
      </c>
      <c r="FP224" s="214" t="s">
        <v>148</v>
      </c>
      <c r="FQ224" s="214" t="s">
        <v>70</v>
      </c>
      <c r="FR224" s="214" t="s">
        <v>530</v>
      </c>
      <c r="FT224" s="321" t="s">
        <v>14912</v>
      </c>
      <c r="FU224" s="214" t="s">
        <v>52</v>
      </c>
      <c r="FV224" s="214" t="s">
        <v>70</v>
      </c>
      <c r="FW224" s="214" t="s">
        <v>530</v>
      </c>
      <c r="FY224" s="321" t="s">
        <v>14913</v>
      </c>
      <c r="FZ224" s="214" t="s">
        <v>492</v>
      </c>
      <c r="GA224" s="214" t="s">
        <v>70</v>
      </c>
      <c r="GB224" s="214" t="s">
        <v>530</v>
      </c>
      <c r="GD224" s="321" t="s">
        <v>14914</v>
      </c>
      <c r="GE224" s="214" t="s">
        <v>922</v>
      </c>
      <c r="GF224" s="214" t="s">
        <v>70</v>
      </c>
      <c r="GG224" s="214" t="s">
        <v>530</v>
      </c>
      <c r="GI224" s="321" t="s">
        <v>14915</v>
      </c>
      <c r="GJ224" s="214" t="s">
        <v>34601</v>
      </c>
      <c r="GK224" s="214" t="s">
        <v>70</v>
      </c>
      <c r="GL224" s="214" t="s">
        <v>530</v>
      </c>
      <c r="GN224" s="321" t="s">
        <v>14916</v>
      </c>
      <c r="GO224" s="214" t="s">
        <v>163</v>
      </c>
      <c r="GP224" s="214" t="s">
        <v>70</v>
      </c>
      <c r="GQ224" s="214" t="s">
        <v>530</v>
      </c>
      <c r="GS224" s="321" t="s">
        <v>14917</v>
      </c>
      <c r="GT224" s="214" t="s">
        <v>88</v>
      </c>
      <c r="GU224" s="214" t="s">
        <v>70</v>
      </c>
      <c r="GV224" s="214" t="s">
        <v>530</v>
      </c>
      <c r="GX224" s="214" t="s">
        <v>14918</v>
      </c>
      <c r="GY224" s="214" t="s">
        <v>34575</v>
      </c>
      <c r="GZ224" s="214" t="s">
        <v>70</v>
      </c>
      <c r="HA224" s="214" t="s">
        <v>530</v>
      </c>
      <c r="HC224" s="214" t="s">
        <v>14919</v>
      </c>
      <c r="HD224" s="214" t="s">
        <v>148</v>
      </c>
      <c r="HE224" s="214" t="s">
        <v>70</v>
      </c>
      <c r="HF224" s="214" t="s">
        <v>530</v>
      </c>
      <c r="HH224" s="214" t="s">
        <v>14920</v>
      </c>
      <c r="HI224" s="214" t="s">
        <v>52</v>
      </c>
      <c r="HJ224" s="214" t="s">
        <v>70</v>
      </c>
      <c r="HK224" s="214" t="s">
        <v>530</v>
      </c>
      <c r="HM224" s="214" t="s">
        <v>14921</v>
      </c>
      <c r="HN224" s="214" t="s">
        <v>87</v>
      </c>
      <c r="HO224" s="214" t="s">
        <v>70</v>
      </c>
      <c r="HP224" s="214" t="s">
        <v>530</v>
      </c>
      <c r="HR224" s="22" t="s">
        <v>14922</v>
      </c>
      <c r="HS224" s="22" t="s">
        <v>916</v>
      </c>
      <c r="HT224" s="22" t="s">
        <v>70</v>
      </c>
      <c r="HU224" s="214" t="s">
        <v>530</v>
      </c>
      <c r="HW224" s="22" t="s">
        <v>14923</v>
      </c>
      <c r="HX224" s="22" t="s">
        <v>149</v>
      </c>
      <c r="HY224" s="22" t="s">
        <v>70</v>
      </c>
      <c r="HZ224" s="214" t="s">
        <v>530</v>
      </c>
      <c r="IB224" s="22" t="s">
        <v>14924</v>
      </c>
      <c r="IC224" s="22" t="s">
        <v>950</v>
      </c>
      <c r="ID224" s="22" t="s">
        <v>70</v>
      </c>
      <c r="IE224" s="214" t="s">
        <v>530</v>
      </c>
      <c r="IG224" s="22" t="s">
        <v>14925</v>
      </c>
      <c r="IH224" s="22" t="s">
        <v>34592</v>
      </c>
      <c r="II224" s="22" t="s">
        <v>70</v>
      </c>
      <c r="IJ224" s="214" t="s">
        <v>530</v>
      </c>
      <c r="IL224" s="22" t="s">
        <v>14926</v>
      </c>
      <c r="IM224" s="22" t="s">
        <v>145</v>
      </c>
      <c r="IN224" s="22" t="s">
        <v>70</v>
      </c>
      <c r="IO224" s="214" t="s">
        <v>530</v>
      </c>
      <c r="IQ224" s="236" t="s">
        <v>14927</v>
      </c>
      <c r="IR224" s="236" t="s">
        <v>145</v>
      </c>
      <c r="IS224" s="236" t="s">
        <v>74</v>
      </c>
      <c r="IT224" s="236" t="s">
        <v>841</v>
      </c>
      <c r="IV224" s="236" t="s">
        <v>14928</v>
      </c>
      <c r="IW224" s="236" t="s">
        <v>145</v>
      </c>
      <c r="IX224" s="236" t="s">
        <v>74</v>
      </c>
      <c r="IY224" s="236" t="s">
        <v>841</v>
      </c>
      <c r="JA224" s="236" t="s">
        <v>14929</v>
      </c>
      <c r="JB224" s="236" t="s">
        <v>145</v>
      </c>
      <c r="JC224" s="236" t="s">
        <v>74</v>
      </c>
      <c r="JD224" s="236" t="s">
        <v>841</v>
      </c>
      <c r="JF224" s="236" t="s">
        <v>14930</v>
      </c>
      <c r="JG224" s="236" t="s">
        <v>145</v>
      </c>
      <c r="JH224" s="236" t="s">
        <v>74</v>
      </c>
      <c r="JI224" s="236" t="s">
        <v>841</v>
      </c>
      <c r="JK224" s="236" t="s">
        <v>14931</v>
      </c>
      <c r="JL224" s="236" t="s">
        <v>145</v>
      </c>
      <c r="JM224" s="236" t="s">
        <v>74</v>
      </c>
      <c r="JN224" s="236" t="s">
        <v>841</v>
      </c>
      <c r="JP224" s="236" t="s">
        <v>14932</v>
      </c>
      <c r="JQ224" s="236" t="s">
        <v>145</v>
      </c>
      <c r="JR224" s="236" t="s">
        <v>74</v>
      </c>
      <c r="JS224" s="236" t="s">
        <v>841</v>
      </c>
      <c r="JU224" s="294" t="s">
        <v>14933</v>
      </c>
      <c r="JV224" s="294" t="s">
        <v>52</v>
      </c>
      <c r="JW224" s="263" t="s">
        <v>70</v>
      </c>
      <c r="JX224" s="294" t="s">
        <v>1083</v>
      </c>
      <c r="JZ224" s="263" t="s">
        <v>14934</v>
      </c>
      <c r="KA224" s="263" t="s">
        <v>145</v>
      </c>
      <c r="KB224" s="263" t="s">
        <v>70</v>
      </c>
      <c r="KC224" s="263" t="s">
        <v>1083</v>
      </c>
      <c r="KE224" s="263" t="s">
        <v>14935</v>
      </c>
      <c r="KF224" s="263" t="s">
        <v>52</v>
      </c>
      <c r="KG224" s="263" t="s">
        <v>70</v>
      </c>
      <c r="KH224" s="263" t="s">
        <v>1083</v>
      </c>
      <c r="KJ224" s="263" t="s">
        <v>14936</v>
      </c>
      <c r="KK224" s="263" t="s">
        <v>52</v>
      </c>
      <c r="KL224" s="263" t="s">
        <v>74</v>
      </c>
      <c r="KM224" s="263" t="s">
        <v>34074</v>
      </c>
      <c r="KO224" s="214" t="s">
        <v>14937</v>
      </c>
      <c r="KP224" s="214" t="s">
        <v>145</v>
      </c>
      <c r="KQ224" s="214" t="s">
        <v>70</v>
      </c>
      <c r="KR224" s="214" t="s">
        <v>67</v>
      </c>
      <c r="KT224" s="22" t="s">
        <v>14938</v>
      </c>
      <c r="KU224" s="22" t="s">
        <v>145</v>
      </c>
      <c r="KV224" s="22" t="s">
        <v>70</v>
      </c>
      <c r="KW224" s="22" t="s">
        <v>67</v>
      </c>
      <c r="KY224" s="214" t="s">
        <v>14939</v>
      </c>
      <c r="KZ224" s="214" t="s">
        <v>52</v>
      </c>
      <c r="LA224" s="214" t="s">
        <v>74</v>
      </c>
      <c r="LB224" s="214" t="s">
        <v>67</v>
      </c>
      <c r="LD224" s="22" t="s">
        <v>14940</v>
      </c>
      <c r="LE224" s="22" t="s">
        <v>145</v>
      </c>
      <c r="LF224" s="22" t="s">
        <v>70</v>
      </c>
      <c r="LG224" s="22" t="s">
        <v>67</v>
      </c>
    </row>
    <row r="225" spans="1:319">
      <c r="A225" s="22" t="s">
        <v>14941</v>
      </c>
      <c r="B225" s="22" t="s">
        <v>145</v>
      </c>
      <c r="C225" s="22" t="s">
        <v>70</v>
      </c>
      <c r="D225" s="22" t="s">
        <v>67</v>
      </c>
      <c r="F225" s="73" t="s">
        <v>14942</v>
      </c>
      <c r="G225" s="22" t="s">
        <v>145</v>
      </c>
      <c r="H225" s="22" t="s">
        <v>70</v>
      </c>
      <c r="I225" s="22" t="s">
        <v>67</v>
      </c>
      <c r="K225" s="22" t="s">
        <v>14943</v>
      </c>
      <c r="L225" s="22" t="s">
        <v>145</v>
      </c>
      <c r="M225" s="22" t="s">
        <v>70</v>
      </c>
      <c r="N225" s="22" t="s">
        <v>67</v>
      </c>
      <c r="P225" s="22" t="s">
        <v>14944</v>
      </c>
      <c r="Q225" s="22" t="s">
        <v>145</v>
      </c>
      <c r="R225" s="22" t="s">
        <v>70</v>
      </c>
      <c r="S225" s="22" t="s">
        <v>67</v>
      </c>
      <c r="U225" s="293" t="s">
        <v>14945</v>
      </c>
      <c r="V225" s="293" t="s">
        <v>145</v>
      </c>
      <c r="W225" s="293" t="s">
        <v>74</v>
      </c>
      <c r="X225" s="293" t="s">
        <v>656</v>
      </c>
      <c r="Z225" s="293" t="s">
        <v>14946</v>
      </c>
      <c r="AA225" s="293" t="s">
        <v>145</v>
      </c>
      <c r="AB225" s="293" t="s">
        <v>74</v>
      </c>
      <c r="AC225" s="293" t="s">
        <v>656</v>
      </c>
      <c r="AE225" s="293" t="s">
        <v>14947</v>
      </c>
      <c r="AF225" s="293" t="s">
        <v>145</v>
      </c>
      <c r="AG225" s="293" t="s">
        <v>74</v>
      </c>
      <c r="AH225" s="293" t="s">
        <v>656</v>
      </c>
      <c r="AJ225" s="293" t="s">
        <v>14948</v>
      </c>
      <c r="AK225" s="293" t="s">
        <v>145</v>
      </c>
      <c r="AL225" s="293" t="s">
        <v>74</v>
      </c>
      <c r="AM225" s="293" t="s">
        <v>656</v>
      </c>
      <c r="AO225" s="22" t="s">
        <v>14949</v>
      </c>
      <c r="AP225" s="22" t="s">
        <v>145</v>
      </c>
      <c r="AQ225" s="22" t="s">
        <v>70</v>
      </c>
      <c r="AR225" s="22" t="s">
        <v>67</v>
      </c>
      <c r="AT225" s="22" t="s">
        <v>14950</v>
      </c>
      <c r="AU225" s="22" t="s">
        <v>145</v>
      </c>
      <c r="AV225" s="22" t="s">
        <v>70</v>
      </c>
      <c r="AW225" s="22" t="s">
        <v>67</v>
      </c>
      <c r="AY225" s="22" t="s">
        <v>14951</v>
      </c>
      <c r="AZ225" s="22" t="s">
        <v>145</v>
      </c>
      <c r="BA225" s="22" t="s">
        <v>70</v>
      </c>
      <c r="BB225" s="22" t="s">
        <v>67</v>
      </c>
      <c r="BD225" s="22" t="s">
        <v>14952</v>
      </c>
      <c r="BE225" s="22" t="s">
        <v>145</v>
      </c>
      <c r="BF225" s="22" t="s">
        <v>70</v>
      </c>
      <c r="BG225" s="22" t="s">
        <v>67</v>
      </c>
      <c r="BI225" s="22" t="s">
        <v>14953</v>
      </c>
      <c r="BJ225" s="22" t="s">
        <v>145</v>
      </c>
      <c r="BK225" s="22" t="s">
        <v>70</v>
      </c>
      <c r="BL225" s="22" t="s">
        <v>67</v>
      </c>
      <c r="BN225" s="22" t="s">
        <v>14954</v>
      </c>
      <c r="BO225" s="22" t="s">
        <v>145</v>
      </c>
      <c r="BP225" s="22" t="s">
        <v>70</v>
      </c>
      <c r="BQ225" s="22" t="s">
        <v>67</v>
      </c>
      <c r="BS225" s="22" t="s">
        <v>14955</v>
      </c>
      <c r="BT225" s="22" t="s">
        <v>145</v>
      </c>
      <c r="BU225" s="22" t="s">
        <v>70</v>
      </c>
      <c r="BV225" s="214" t="s">
        <v>530</v>
      </c>
      <c r="BX225" s="22" t="s">
        <v>14956</v>
      </c>
      <c r="BY225" s="22" t="s">
        <v>145</v>
      </c>
      <c r="BZ225" s="22" t="s">
        <v>70</v>
      </c>
      <c r="CA225" s="214" t="s">
        <v>530</v>
      </c>
      <c r="CC225" s="214" t="s">
        <v>14957</v>
      </c>
      <c r="CD225" s="218" t="s">
        <v>145</v>
      </c>
      <c r="CE225" s="214" t="s">
        <v>70</v>
      </c>
      <c r="CF225" s="214" t="s">
        <v>678</v>
      </c>
      <c r="CH225" s="214" t="s">
        <v>14958</v>
      </c>
      <c r="CI225" s="214" t="s">
        <v>203</v>
      </c>
      <c r="CJ225" s="214" t="s">
        <v>70</v>
      </c>
      <c r="CK225" s="214" t="s">
        <v>530</v>
      </c>
      <c r="CM225" s="214" t="s">
        <v>14959</v>
      </c>
      <c r="CN225" s="214" t="s">
        <v>468</v>
      </c>
      <c r="CO225" s="214" t="s">
        <v>70</v>
      </c>
      <c r="CP225" s="214" t="s">
        <v>530</v>
      </c>
      <c r="CR225" s="214" t="s">
        <v>14960</v>
      </c>
      <c r="CS225" s="214" t="s">
        <v>146</v>
      </c>
      <c r="CT225" s="214" t="s">
        <v>70</v>
      </c>
      <c r="CU225" s="214" t="s">
        <v>530</v>
      </c>
      <c r="CW225" s="214" t="s">
        <v>14961</v>
      </c>
      <c r="CX225" s="214" t="s">
        <v>488</v>
      </c>
      <c r="CY225" s="214" t="s">
        <v>70</v>
      </c>
      <c r="CZ225" s="214" t="s">
        <v>530</v>
      </c>
      <c r="DB225" s="214" t="s">
        <v>14962</v>
      </c>
      <c r="DC225" s="214" t="s">
        <v>492</v>
      </c>
      <c r="DD225" s="214" t="s">
        <v>70</v>
      </c>
      <c r="DE225" s="214" t="s">
        <v>530</v>
      </c>
      <c r="DG225" s="214" t="s">
        <v>14963</v>
      </c>
      <c r="DH225" s="214" t="s">
        <v>492</v>
      </c>
      <c r="DI225" s="214" t="s">
        <v>70</v>
      </c>
      <c r="DJ225" s="214" t="s">
        <v>530</v>
      </c>
      <c r="DL225" s="214" t="s">
        <v>14964</v>
      </c>
      <c r="DM225" s="214" t="s">
        <v>34551</v>
      </c>
      <c r="DN225" s="214" t="s">
        <v>70</v>
      </c>
      <c r="DO225" s="214" t="s">
        <v>530</v>
      </c>
      <c r="DQ225" s="214" t="s">
        <v>14965</v>
      </c>
      <c r="DR225" s="214" t="s">
        <v>599</v>
      </c>
      <c r="DS225" s="214" t="s">
        <v>70</v>
      </c>
      <c r="DT225" s="214" t="s">
        <v>530</v>
      </c>
      <c r="DV225" s="214" t="s">
        <v>14966</v>
      </c>
      <c r="DW225" s="214" t="s">
        <v>649</v>
      </c>
      <c r="DX225" s="214" t="s">
        <v>70</v>
      </c>
      <c r="DY225" s="214" t="s">
        <v>530</v>
      </c>
      <c r="EA225" s="214" t="s">
        <v>14967</v>
      </c>
      <c r="EB225" s="214" t="s">
        <v>938</v>
      </c>
      <c r="EC225" s="214" t="s">
        <v>70</v>
      </c>
      <c r="ED225" s="214" t="s">
        <v>530</v>
      </c>
      <c r="EF225" s="214" t="s">
        <v>14968</v>
      </c>
      <c r="EG225" s="214" t="s">
        <v>484</v>
      </c>
      <c r="EH225" s="214" t="s">
        <v>70</v>
      </c>
      <c r="EI225" s="214" t="s">
        <v>530</v>
      </c>
      <c r="EK225" s="214" t="s">
        <v>14969</v>
      </c>
      <c r="EL225" s="214" t="s">
        <v>531</v>
      </c>
      <c r="EM225" s="214" t="s">
        <v>70</v>
      </c>
      <c r="EN225" s="214" t="s">
        <v>530</v>
      </c>
      <c r="EP225" s="214" t="s">
        <v>14970</v>
      </c>
      <c r="EQ225" s="214" t="s">
        <v>203</v>
      </c>
      <c r="ER225" s="214" t="s">
        <v>70</v>
      </c>
      <c r="ES225" s="214" t="s">
        <v>530</v>
      </c>
      <c r="EU225" s="214" t="s">
        <v>14971</v>
      </c>
      <c r="EV225" s="214" t="s">
        <v>34544</v>
      </c>
      <c r="EW225" s="214" t="s">
        <v>70</v>
      </c>
      <c r="EX225" s="214" t="s">
        <v>530</v>
      </c>
      <c r="EZ225" s="214" t="s">
        <v>14972</v>
      </c>
      <c r="FA225" s="214" t="s">
        <v>484</v>
      </c>
      <c r="FB225" s="214" t="s">
        <v>70</v>
      </c>
      <c r="FC225" s="214" t="s">
        <v>530</v>
      </c>
      <c r="FE225" s="214" t="s">
        <v>14973</v>
      </c>
      <c r="FF225" s="214" t="s">
        <v>206</v>
      </c>
      <c r="FG225" s="214" t="s">
        <v>70</v>
      </c>
      <c r="FH225" s="214" t="s">
        <v>530</v>
      </c>
      <c r="FJ225" s="321" t="s">
        <v>14974</v>
      </c>
      <c r="FK225" s="214" t="s">
        <v>34541</v>
      </c>
      <c r="FL225" s="214" t="s">
        <v>70</v>
      </c>
      <c r="FM225" s="214" t="s">
        <v>530</v>
      </c>
      <c r="FO225" s="321" t="s">
        <v>14975</v>
      </c>
      <c r="FP225" s="214" t="s">
        <v>502</v>
      </c>
      <c r="FQ225" s="214" t="s">
        <v>70</v>
      </c>
      <c r="FR225" s="214" t="s">
        <v>530</v>
      </c>
      <c r="FT225" s="321" t="s">
        <v>14976</v>
      </c>
      <c r="FU225" s="214" t="s">
        <v>34516</v>
      </c>
      <c r="FV225" s="214" t="s">
        <v>70</v>
      </c>
      <c r="FW225" s="214" t="s">
        <v>530</v>
      </c>
      <c r="FY225" s="321" t="s">
        <v>14977</v>
      </c>
      <c r="FZ225" s="214" t="s">
        <v>34547</v>
      </c>
      <c r="GA225" s="214" t="s">
        <v>70</v>
      </c>
      <c r="GB225" s="214" t="s">
        <v>530</v>
      </c>
      <c r="GD225" s="321" t="s">
        <v>14978</v>
      </c>
      <c r="GE225" s="214" t="s">
        <v>921</v>
      </c>
      <c r="GF225" s="214" t="s">
        <v>70</v>
      </c>
      <c r="GG225" s="214" t="s">
        <v>530</v>
      </c>
      <c r="GI225" s="321" t="s">
        <v>14979</v>
      </c>
      <c r="GJ225" s="214" t="s">
        <v>486</v>
      </c>
      <c r="GK225" s="214" t="s">
        <v>70</v>
      </c>
      <c r="GL225" s="214" t="s">
        <v>530</v>
      </c>
      <c r="GN225" s="321" t="s">
        <v>14980</v>
      </c>
      <c r="GO225" s="214" t="s">
        <v>485</v>
      </c>
      <c r="GP225" s="214" t="s">
        <v>70</v>
      </c>
      <c r="GQ225" s="214" t="s">
        <v>530</v>
      </c>
      <c r="GS225" s="321" t="s">
        <v>14981</v>
      </c>
      <c r="GT225" s="214" t="s">
        <v>502</v>
      </c>
      <c r="GU225" s="214" t="s">
        <v>70</v>
      </c>
      <c r="GV225" s="214" t="s">
        <v>530</v>
      </c>
      <c r="GX225" s="214" t="s">
        <v>14982</v>
      </c>
      <c r="GY225" s="214" t="s">
        <v>149</v>
      </c>
      <c r="GZ225" s="214" t="s">
        <v>70</v>
      </c>
      <c r="HA225" s="214" t="s">
        <v>530</v>
      </c>
      <c r="HC225" s="214" t="s">
        <v>14983</v>
      </c>
      <c r="HD225" s="214" t="s">
        <v>486</v>
      </c>
      <c r="HE225" s="214" t="s">
        <v>70</v>
      </c>
      <c r="HF225" s="214" t="s">
        <v>530</v>
      </c>
      <c r="HH225" s="214" t="s">
        <v>14984</v>
      </c>
      <c r="HI225" s="214" t="s">
        <v>951</v>
      </c>
      <c r="HJ225" s="214" t="s">
        <v>70</v>
      </c>
      <c r="HK225" s="214" t="s">
        <v>530</v>
      </c>
      <c r="HM225" s="214" t="s">
        <v>14985</v>
      </c>
      <c r="HN225" s="214" t="s">
        <v>34559</v>
      </c>
      <c r="HO225" s="214" t="s">
        <v>70</v>
      </c>
      <c r="HP225" s="214" t="s">
        <v>530</v>
      </c>
      <c r="HR225" s="22" t="s">
        <v>14986</v>
      </c>
      <c r="HS225" s="22" t="s">
        <v>486</v>
      </c>
      <c r="HT225" s="22" t="s">
        <v>70</v>
      </c>
      <c r="HU225" s="214" t="s">
        <v>530</v>
      </c>
      <c r="HW225" s="22" t="s">
        <v>14987</v>
      </c>
      <c r="HX225" s="22" t="s">
        <v>529</v>
      </c>
      <c r="HY225" s="22" t="s">
        <v>70</v>
      </c>
      <c r="HZ225" s="214" t="s">
        <v>530</v>
      </c>
      <c r="IB225" s="22" t="s">
        <v>14988</v>
      </c>
      <c r="IC225" s="22" t="s">
        <v>488</v>
      </c>
      <c r="ID225" s="22" t="s">
        <v>70</v>
      </c>
      <c r="IE225" s="214" t="s">
        <v>530</v>
      </c>
      <c r="IG225" s="22" t="s">
        <v>14989</v>
      </c>
      <c r="IH225" s="22" t="s">
        <v>34605</v>
      </c>
      <c r="II225" s="22" t="s">
        <v>70</v>
      </c>
      <c r="IJ225" s="214" t="s">
        <v>530</v>
      </c>
      <c r="IL225" s="22" t="s">
        <v>14990</v>
      </c>
      <c r="IM225" s="22" t="s">
        <v>145</v>
      </c>
      <c r="IN225" s="22" t="s">
        <v>70</v>
      </c>
      <c r="IO225" s="214" t="s">
        <v>530</v>
      </c>
      <c r="IQ225" s="236" t="s">
        <v>14991</v>
      </c>
      <c r="IR225" s="236" t="s">
        <v>145</v>
      </c>
      <c r="IS225" s="236" t="s">
        <v>74</v>
      </c>
      <c r="IT225" s="236" t="s">
        <v>841</v>
      </c>
      <c r="IV225" s="236" t="s">
        <v>14992</v>
      </c>
      <c r="IW225" s="236" t="s">
        <v>145</v>
      </c>
      <c r="IX225" s="236" t="s">
        <v>74</v>
      </c>
      <c r="IY225" s="236" t="s">
        <v>841</v>
      </c>
      <c r="JA225" s="236" t="s">
        <v>14993</v>
      </c>
      <c r="JB225" s="236" t="s">
        <v>145</v>
      </c>
      <c r="JC225" s="236" t="s">
        <v>74</v>
      </c>
      <c r="JD225" s="236" t="s">
        <v>841</v>
      </c>
      <c r="JF225" s="236" t="s">
        <v>14994</v>
      </c>
      <c r="JG225" s="236" t="s">
        <v>145</v>
      </c>
      <c r="JH225" s="236" t="s">
        <v>74</v>
      </c>
      <c r="JI225" s="236" t="s">
        <v>841</v>
      </c>
      <c r="JK225" s="236" t="s">
        <v>14995</v>
      </c>
      <c r="JL225" s="236" t="s">
        <v>145</v>
      </c>
      <c r="JM225" s="236" t="s">
        <v>74</v>
      </c>
      <c r="JN225" s="236" t="s">
        <v>841</v>
      </c>
      <c r="JP225" s="236" t="s">
        <v>14996</v>
      </c>
      <c r="JQ225" s="236" t="s">
        <v>145</v>
      </c>
      <c r="JR225" s="236" t="s">
        <v>74</v>
      </c>
      <c r="JS225" s="236" t="s">
        <v>841</v>
      </c>
      <c r="JU225" s="294" t="s">
        <v>14997</v>
      </c>
      <c r="JV225" s="294" t="s">
        <v>52</v>
      </c>
      <c r="JW225" s="263" t="s">
        <v>70</v>
      </c>
      <c r="JX225" s="294" t="s">
        <v>1083</v>
      </c>
      <c r="JZ225" s="263" t="s">
        <v>14998</v>
      </c>
      <c r="KA225" s="263" t="s">
        <v>145</v>
      </c>
      <c r="KB225" s="263" t="s">
        <v>70</v>
      </c>
      <c r="KC225" s="263" t="s">
        <v>1083</v>
      </c>
      <c r="KE225" s="263" t="s">
        <v>14999</v>
      </c>
      <c r="KF225" s="263" t="s">
        <v>52</v>
      </c>
      <c r="KG225" s="263" t="s">
        <v>70</v>
      </c>
      <c r="KH225" s="263" t="s">
        <v>1083</v>
      </c>
      <c r="KJ225" s="263" t="s">
        <v>15000</v>
      </c>
      <c r="KK225" s="263" t="s">
        <v>52</v>
      </c>
      <c r="KL225" s="263" t="s">
        <v>74</v>
      </c>
      <c r="KM225" s="263" t="s">
        <v>34074</v>
      </c>
      <c r="KO225" s="214" t="s">
        <v>15001</v>
      </c>
      <c r="KP225" s="214" t="s">
        <v>145</v>
      </c>
      <c r="KQ225" s="214" t="s">
        <v>70</v>
      </c>
      <c r="KR225" s="214" t="s">
        <v>67</v>
      </c>
      <c r="KT225" s="22" t="s">
        <v>15002</v>
      </c>
      <c r="KU225" s="22" t="s">
        <v>145</v>
      </c>
      <c r="KV225" s="22" t="s">
        <v>70</v>
      </c>
      <c r="KW225" s="22" t="s">
        <v>67</v>
      </c>
      <c r="KY225" s="214" t="s">
        <v>15003</v>
      </c>
      <c r="KZ225" s="214" t="s">
        <v>52</v>
      </c>
      <c r="LA225" s="214" t="s">
        <v>74</v>
      </c>
      <c r="LB225" s="214" t="s">
        <v>67</v>
      </c>
      <c r="LD225" s="22" t="s">
        <v>15004</v>
      </c>
      <c r="LE225" s="22" t="s">
        <v>145</v>
      </c>
      <c r="LF225" s="22" t="s">
        <v>70</v>
      </c>
      <c r="LG225" s="22" t="s">
        <v>67</v>
      </c>
    </row>
    <row r="226" spans="1:319">
      <c r="A226" s="22" t="s">
        <v>15005</v>
      </c>
      <c r="B226" s="22" t="s">
        <v>145</v>
      </c>
      <c r="C226" s="22" t="s">
        <v>70</v>
      </c>
      <c r="D226" s="22" t="s">
        <v>67</v>
      </c>
      <c r="F226" s="73" t="s">
        <v>15006</v>
      </c>
      <c r="G226" s="22" t="s">
        <v>145</v>
      </c>
      <c r="H226" s="22" t="s">
        <v>70</v>
      </c>
      <c r="I226" s="22" t="s">
        <v>67</v>
      </c>
      <c r="K226" s="22" t="s">
        <v>15007</v>
      </c>
      <c r="L226" s="22" t="s">
        <v>145</v>
      </c>
      <c r="M226" s="22" t="s">
        <v>70</v>
      </c>
      <c r="N226" s="22" t="s">
        <v>67</v>
      </c>
      <c r="P226" s="22" t="s">
        <v>15008</v>
      </c>
      <c r="Q226" s="22" t="s">
        <v>145</v>
      </c>
      <c r="R226" s="22" t="s">
        <v>70</v>
      </c>
      <c r="S226" s="22" t="s">
        <v>67</v>
      </c>
      <c r="U226" s="293" t="s">
        <v>15009</v>
      </c>
      <c r="V226" s="293" t="s">
        <v>145</v>
      </c>
      <c r="W226" s="293" t="s">
        <v>74</v>
      </c>
      <c r="X226" s="293" t="s">
        <v>656</v>
      </c>
      <c r="Z226" s="293" t="s">
        <v>15010</v>
      </c>
      <c r="AA226" s="293" t="s">
        <v>145</v>
      </c>
      <c r="AB226" s="293" t="s">
        <v>74</v>
      </c>
      <c r="AC226" s="293" t="s">
        <v>656</v>
      </c>
      <c r="AE226" s="293" t="s">
        <v>15011</v>
      </c>
      <c r="AF226" s="293" t="s">
        <v>145</v>
      </c>
      <c r="AG226" s="293" t="s">
        <v>74</v>
      </c>
      <c r="AH226" s="293" t="s">
        <v>656</v>
      </c>
      <c r="AJ226" s="293" t="s">
        <v>15012</v>
      </c>
      <c r="AK226" s="293" t="s">
        <v>145</v>
      </c>
      <c r="AL226" s="293" t="s">
        <v>74</v>
      </c>
      <c r="AM226" s="293" t="s">
        <v>656</v>
      </c>
      <c r="AO226" s="22" t="s">
        <v>15013</v>
      </c>
      <c r="AP226" s="22" t="s">
        <v>145</v>
      </c>
      <c r="AQ226" s="22" t="s">
        <v>70</v>
      </c>
      <c r="AR226" s="22" t="s">
        <v>67</v>
      </c>
      <c r="AT226" s="22" t="s">
        <v>15014</v>
      </c>
      <c r="AU226" s="22" t="s">
        <v>145</v>
      </c>
      <c r="AV226" s="22" t="s">
        <v>70</v>
      </c>
      <c r="AW226" s="22" t="s">
        <v>67</v>
      </c>
      <c r="AY226" s="22" t="s">
        <v>15015</v>
      </c>
      <c r="AZ226" s="22" t="s">
        <v>145</v>
      </c>
      <c r="BA226" s="22" t="s">
        <v>70</v>
      </c>
      <c r="BB226" s="22" t="s">
        <v>67</v>
      </c>
      <c r="BD226" s="22" t="s">
        <v>15016</v>
      </c>
      <c r="BE226" s="22" t="s">
        <v>145</v>
      </c>
      <c r="BF226" s="22" t="s">
        <v>70</v>
      </c>
      <c r="BG226" s="22" t="s">
        <v>67</v>
      </c>
      <c r="BI226" s="22" t="s">
        <v>15017</v>
      </c>
      <c r="BJ226" s="22" t="s">
        <v>145</v>
      </c>
      <c r="BK226" s="22" t="s">
        <v>70</v>
      </c>
      <c r="BL226" s="22" t="s">
        <v>67</v>
      </c>
      <c r="BN226" s="22" t="s">
        <v>15018</v>
      </c>
      <c r="BO226" s="22" t="s">
        <v>145</v>
      </c>
      <c r="BP226" s="22" t="s">
        <v>70</v>
      </c>
      <c r="BQ226" s="22" t="s">
        <v>67</v>
      </c>
      <c r="BS226" s="22" t="s">
        <v>15019</v>
      </c>
      <c r="BT226" s="22" t="s">
        <v>145</v>
      </c>
      <c r="BU226" s="22" t="s">
        <v>70</v>
      </c>
      <c r="BV226" s="214" t="s">
        <v>530</v>
      </c>
      <c r="BX226" s="22" t="s">
        <v>15020</v>
      </c>
      <c r="BY226" s="22" t="s">
        <v>145</v>
      </c>
      <c r="BZ226" s="22" t="s">
        <v>70</v>
      </c>
      <c r="CA226" s="214" t="s">
        <v>530</v>
      </c>
      <c r="CC226" s="214" t="s">
        <v>15021</v>
      </c>
      <c r="CD226" s="218" t="s">
        <v>145</v>
      </c>
      <c r="CE226" s="214" t="s">
        <v>70</v>
      </c>
      <c r="CF226" s="214" t="s">
        <v>679</v>
      </c>
      <c r="CH226" s="214" t="s">
        <v>15022</v>
      </c>
      <c r="CI226" s="214" t="s">
        <v>206</v>
      </c>
      <c r="CJ226" s="214" t="s">
        <v>70</v>
      </c>
      <c r="CK226" s="214" t="s">
        <v>530</v>
      </c>
      <c r="CM226" s="214" t="s">
        <v>15023</v>
      </c>
      <c r="CN226" s="214" t="s">
        <v>52</v>
      </c>
      <c r="CO226" s="214" t="s">
        <v>70</v>
      </c>
      <c r="CP226" s="214" t="s">
        <v>530</v>
      </c>
      <c r="CR226" s="214" t="s">
        <v>15024</v>
      </c>
      <c r="CS226" s="214" t="s">
        <v>85</v>
      </c>
      <c r="CT226" s="214" t="s">
        <v>70</v>
      </c>
      <c r="CU226" s="214" t="s">
        <v>530</v>
      </c>
      <c r="CW226" s="214" t="s">
        <v>15025</v>
      </c>
      <c r="CX226" s="214" t="s">
        <v>599</v>
      </c>
      <c r="CY226" s="214" t="s">
        <v>70</v>
      </c>
      <c r="CZ226" s="214" t="s">
        <v>530</v>
      </c>
      <c r="DB226" s="214" t="s">
        <v>15026</v>
      </c>
      <c r="DC226" s="214" t="s">
        <v>148</v>
      </c>
      <c r="DD226" s="214" t="s">
        <v>70</v>
      </c>
      <c r="DE226" s="214" t="s">
        <v>530</v>
      </c>
      <c r="DG226" s="214" t="s">
        <v>15027</v>
      </c>
      <c r="DH226" s="214" t="s">
        <v>148</v>
      </c>
      <c r="DI226" s="214" t="s">
        <v>70</v>
      </c>
      <c r="DJ226" s="214" t="s">
        <v>530</v>
      </c>
      <c r="DL226" s="214" t="s">
        <v>15028</v>
      </c>
      <c r="DM226" s="214" t="s">
        <v>928</v>
      </c>
      <c r="DN226" s="214" t="s">
        <v>70</v>
      </c>
      <c r="DO226" s="214" t="s">
        <v>530</v>
      </c>
      <c r="DQ226" s="214" t="s">
        <v>15029</v>
      </c>
      <c r="DR226" s="214" t="s">
        <v>34584</v>
      </c>
      <c r="DS226" s="214" t="s">
        <v>70</v>
      </c>
      <c r="DT226" s="214" t="s">
        <v>530</v>
      </c>
      <c r="DV226" s="214" t="s">
        <v>15030</v>
      </c>
      <c r="DW226" s="214" t="s">
        <v>655</v>
      </c>
      <c r="DX226" s="214" t="s">
        <v>70</v>
      </c>
      <c r="DY226" s="214" t="s">
        <v>530</v>
      </c>
      <c r="EA226" s="214" t="s">
        <v>15031</v>
      </c>
      <c r="EB226" s="214" t="s">
        <v>34614</v>
      </c>
      <c r="EC226" s="214" t="s">
        <v>70</v>
      </c>
      <c r="ED226" s="214" t="s">
        <v>530</v>
      </c>
      <c r="EF226" s="214" t="s">
        <v>15032</v>
      </c>
      <c r="EG226" s="214" t="s">
        <v>90</v>
      </c>
      <c r="EH226" s="214" t="s">
        <v>70</v>
      </c>
      <c r="EI226" s="214" t="s">
        <v>530</v>
      </c>
      <c r="EK226" s="214" t="s">
        <v>15033</v>
      </c>
      <c r="EL226" s="214" t="s">
        <v>34616</v>
      </c>
      <c r="EM226" s="214" t="s">
        <v>70</v>
      </c>
      <c r="EN226" s="214" t="s">
        <v>530</v>
      </c>
      <c r="EP226" s="214" t="s">
        <v>15034</v>
      </c>
      <c r="EQ226" s="214" t="s">
        <v>491</v>
      </c>
      <c r="ER226" s="214" t="s">
        <v>70</v>
      </c>
      <c r="ES226" s="214" t="s">
        <v>530</v>
      </c>
      <c r="EU226" s="214" t="s">
        <v>15035</v>
      </c>
      <c r="EV226" s="214" t="s">
        <v>598</v>
      </c>
      <c r="EW226" s="214" t="s">
        <v>70</v>
      </c>
      <c r="EX226" s="214" t="s">
        <v>530</v>
      </c>
      <c r="EZ226" s="214" t="s">
        <v>15036</v>
      </c>
      <c r="FA226" s="214" t="s">
        <v>765</v>
      </c>
      <c r="FB226" s="214" t="s">
        <v>70</v>
      </c>
      <c r="FC226" s="214" t="s">
        <v>530</v>
      </c>
      <c r="FE226" s="214" t="s">
        <v>15037</v>
      </c>
      <c r="FF226" s="214" t="s">
        <v>488</v>
      </c>
      <c r="FG226" s="214" t="s">
        <v>70</v>
      </c>
      <c r="FH226" s="214" t="s">
        <v>530</v>
      </c>
      <c r="FJ226" s="321" t="s">
        <v>15038</v>
      </c>
      <c r="FK226" s="214" t="s">
        <v>34658</v>
      </c>
      <c r="FL226" s="214" t="s">
        <v>70</v>
      </c>
      <c r="FM226" s="214" t="s">
        <v>530</v>
      </c>
      <c r="FO226" s="321" t="s">
        <v>15039</v>
      </c>
      <c r="FP226" s="214" t="s">
        <v>34557</v>
      </c>
      <c r="FQ226" s="214" t="s">
        <v>70</v>
      </c>
      <c r="FR226" s="214" t="s">
        <v>530</v>
      </c>
      <c r="FT226" s="321" t="s">
        <v>15040</v>
      </c>
      <c r="FU226" s="214" t="s">
        <v>52</v>
      </c>
      <c r="FV226" s="214" t="s">
        <v>70</v>
      </c>
      <c r="FW226" s="214" t="s">
        <v>530</v>
      </c>
      <c r="FY226" s="321" t="s">
        <v>15041</v>
      </c>
      <c r="FZ226" s="214" t="s">
        <v>146</v>
      </c>
      <c r="GA226" s="214" t="s">
        <v>70</v>
      </c>
      <c r="GB226" s="214" t="s">
        <v>530</v>
      </c>
      <c r="GD226" s="321" t="s">
        <v>15042</v>
      </c>
      <c r="GE226" s="214" t="s">
        <v>598</v>
      </c>
      <c r="GF226" s="214" t="s">
        <v>70</v>
      </c>
      <c r="GG226" s="214" t="s">
        <v>530</v>
      </c>
      <c r="GI226" s="321" t="s">
        <v>15043</v>
      </c>
      <c r="GJ226" s="214" t="s">
        <v>917</v>
      </c>
      <c r="GK226" s="214" t="s">
        <v>70</v>
      </c>
      <c r="GL226" s="214" t="s">
        <v>530</v>
      </c>
      <c r="GN226" s="321" t="s">
        <v>15044</v>
      </c>
      <c r="GO226" s="214" t="s">
        <v>34613</v>
      </c>
      <c r="GP226" s="214" t="s">
        <v>70</v>
      </c>
      <c r="GQ226" s="214" t="s">
        <v>530</v>
      </c>
      <c r="GS226" s="321" t="s">
        <v>15045</v>
      </c>
      <c r="GT226" s="214" t="s">
        <v>468</v>
      </c>
      <c r="GU226" s="214" t="s">
        <v>70</v>
      </c>
      <c r="GV226" s="214" t="s">
        <v>530</v>
      </c>
      <c r="GX226" s="214" t="s">
        <v>15046</v>
      </c>
      <c r="GY226" s="214" t="s">
        <v>489</v>
      </c>
      <c r="GZ226" s="214" t="s">
        <v>70</v>
      </c>
      <c r="HA226" s="214" t="s">
        <v>530</v>
      </c>
      <c r="HC226" s="214" t="s">
        <v>15047</v>
      </c>
      <c r="HD226" s="214" t="s">
        <v>86</v>
      </c>
      <c r="HE226" s="214" t="s">
        <v>70</v>
      </c>
      <c r="HF226" s="214" t="s">
        <v>530</v>
      </c>
      <c r="HH226" s="214" t="s">
        <v>15048</v>
      </c>
      <c r="HI226" s="214" t="s">
        <v>34579</v>
      </c>
      <c r="HJ226" s="214" t="s">
        <v>70</v>
      </c>
      <c r="HK226" s="214" t="s">
        <v>530</v>
      </c>
      <c r="HM226" s="214" t="s">
        <v>15049</v>
      </c>
      <c r="HN226" s="214" t="s">
        <v>34540</v>
      </c>
      <c r="HO226" s="214" t="s">
        <v>70</v>
      </c>
      <c r="HP226" s="214" t="s">
        <v>530</v>
      </c>
      <c r="HR226" s="22" t="s">
        <v>15050</v>
      </c>
      <c r="HS226" s="22" t="s">
        <v>486</v>
      </c>
      <c r="HT226" s="22" t="s">
        <v>70</v>
      </c>
      <c r="HU226" s="214" t="s">
        <v>530</v>
      </c>
      <c r="HW226" s="22" t="s">
        <v>15051</v>
      </c>
      <c r="HX226" s="22" t="s">
        <v>211</v>
      </c>
      <c r="HY226" s="22" t="s">
        <v>70</v>
      </c>
      <c r="HZ226" s="214" t="s">
        <v>530</v>
      </c>
      <c r="IB226" s="22" t="s">
        <v>15052</v>
      </c>
      <c r="IC226" s="22" t="s">
        <v>468</v>
      </c>
      <c r="ID226" s="22" t="s">
        <v>70</v>
      </c>
      <c r="IE226" s="214" t="s">
        <v>530</v>
      </c>
      <c r="IG226" s="22" t="s">
        <v>15053</v>
      </c>
      <c r="IH226" s="22" t="s">
        <v>34580</v>
      </c>
      <c r="II226" s="22" t="s">
        <v>70</v>
      </c>
      <c r="IJ226" s="214" t="s">
        <v>530</v>
      </c>
      <c r="IL226" s="22" t="s">
        <v>15054</v>
      </c>
      <c r="IM226" s="22" t="s">
        <v>145</v>
      </c>
      <c r="IN226" s="22" t="s">
        <v>70</v>
      </c>
      <c r="IO226" s="214" t="s">
        <v>530</v>
      </c>
      <c r="IQ226" s="236" t="s">
        <v>15055</v>
      </c>
      <c r="IR226" s="236" t="s">
        <v>145</v>
      </c>
      <c r="IS226" s="236" t="s">
        <v>74</v>
      </c>
      <c r="IT226" s="236" t="s">
        <v>841</v>
      </c>
      <c r="IV226" s="236" t="s">
        <v>15056</v>
      </c>
      <c r="IW226" s="236" t="s">
        <v>145</v>
      </c>
      <c r="IX226" s="236" t="s">
        <v>74</v>
      </c>
      <c r="IY226" s="236" t="s">
        <v>841</v>
      </c>
      <c r="JA226" s="236" t="s">
        <v>15057</v>
      </c>
      <c r="JB226" s="236" t="s">
        <v>145</v>
      </c>
      <c r="JC226" s="236" t="s">
        <v>74</v>
      </c>
      <c r="JD226" s="236" t="s">
        <v>841</v>
      </c>
      <c r="JF226" s="236" t="s">
        <v>15058</v>
      </c>
      <c r="JG226" s="236" t="s">
        <v>145</v>
      </c>
      <c r="JH226" s="236" t="s">
        <v>74</v>
      </c>
      <c r="JI226" s="236" t="s">
        <v>841</v>
      </c>
      <c r="JK226" s="236" t="s">
        <v>15059</v>
      </c>
      <c r="JL226" s="236" t="s">
        <v>145</v>
      </c>
      <c r="JM226" s="236" t="s">
        <v>74</v>
      </c>
      <c r="JN226" s="236" t="s">
        <v>841</v>
      </c>
      <c r="JP226" s="236" t="s">
        <v>15060</v>
      </c>
      <c r="JQ226" s="236" t="s">
        <v>145</v>
      </c>
      <c r="JR226" s="236" t="s">
        <v>74</v>
      </c>
      <c r="JS226" s="236" t="s">
        <v>841</v>
      </c>
      <c r="JU226" s="294" t="s">
        <v>15061</v>
      </c>
      <c r="JV226" s="294" t="s">
        <v>52</v>
      </c>
      <c r="JW226" s="263" t="s">
        <v>70</v>
      </c>
      <c r="JX226" s="294" t="s">
        <v>1083</v>
      </c>
      <c r="JZ226" s="263" t="s">
        <v>15062</v>
      </c>
      <c r="KA226" s="263" t="s">
        <v>145</v>
      </c>
      <c r="KB226" s="263" t="s">
        <v>70</v>
      </c>
      <c r="KC226" s="263" t="s">
        <v>1083</v>
      </c>
      <c r="KE226" s="263" t="s">
        <v>15063</v>
      </c>
      <c r="KF226" s="263" t="s">
        <v>52</v>
      </c>
      <c r="KG226" s="263" t="s">
        <v>70</v>
      </c>
      <c r="KH226" s="263" t="s">
        <v>1083</v>
      </c>
      <c r="KJ226" s="263" t="s">
        <v>15064</v>
      </c>
      <c r="KK226" s="263" t="s">
        <v>52</v>
      </c>
      <c r="KL226" s="263" t="s">
        <v>74</v>
      </c>
      <c r="KM226" s="263" t="s">
        <v>34074</v>
      </c>
      <c r="KO226" s="214" t="s">
        <v>15065</v>
      </c>
      <c r="KP226" s="214" t="s">
        <v>145</v>
      </c>
      <c r="KQ226" s="214" t="s">
        <v>70</v>
      </c>
      <c r="KR226" s="214" t="s">
        <v>67</v>
      </c>
      <c r="KT226" s="22" t="s">
        <v>15066</v>
      </c>
      <c r="KU226" s="22" t="s">
        <v>145</v>
      </c>
      <c r="KV226" s="22" t="s">
        <v>70</v>
      </c>
      <c r="KW226" s="22" t="s">
        <v>67</v>
      </c>
      <c r="KY226" s="214" t="s">
        <v>15067</v>
      </c>
      <c r="KZ226" s="214" t="s">
        <v>52</v>
      </c>
      <c r="LA226" s="214" t="s">
        <v>74</v>
      </c>
      <c r="LB226" s="214" t="s">
        <v>67</v>
      </c>
      <c r="LD226" s="22" t="s">
        <v>15068</v>
      </c>
      <c r="LE226" s="22" t="s">
        <v>145</v>
      </c>
      <c r="LF226" s="22" t="s">
        <v>70</v>
      </c>
      <c r="LG226" s="22" t="s">
        <v>67</v>
      </c>
    </row>
    <row r="227" spans="1:319">
      <c r="A227" s="22" t="s">
        <v>15069</v>
      </c>
      <c r="B227" s="22" t="s">
        <v>145</v>
      </c>
      <c r="C227" s="22" t="s">
        <v>70</v>
      </c>
      <c r="D227" s="22" t="s">
        <v>67</v>
      </c>
      <c r="F227" s="73" t="s">
        <v>15070</v>
      </c>
      <c r="G227" s="22" t="s">
        <v>145</v>
      </c>
      <c r="H227" s="22" t="s">
        <v>70</v>
      </c>
      <c r="I227" s="22" t="s">
        <v>67</v>
      </c>
      <c r="K227" s="22" t="s">
        <v>15071</v>
      </c>
      <c r="L227" s="22" t="s">
        <v>145</v>
      </c>
      <c r="M227" s="22" t="s">
        <v>70</v>
      </c>
      <c r="N227" s="22" t="s">
        <v>67</v>
      </c>
      <c r="P227" s="22" t="s">
        <v>15072</v>
      </c>
      <c r="Q227" s="22" t="s">
        <v>145</v>
      </c>
      <c r="R227" s="22" t="s">
        <v>70</v>
      </c>
      <c r="S227" s="22" t="s">
        <v>67</v>
      </c>
      <c r="U227" s="293" t="s">
        <v>15073</v>
      </c>
      <c r="V227" s="293" t="s">
        <v>145</v>
      </c>
      <c r="W227" s="293" t="s">
        <v>74</v>
      </c>
      <c r="X227" s="293" t="s">
        <v>656</v>
      </c>
      <c r="Z227" s="293" t="s">
        <v>15074</v>
      </c>
      <c r="AA227" s="293" t="s">
        <v>145</v>
      </c>
      <c r="AB227" s="293" t="s">
        <v>74</v>
      </c>
      <c r="AC227" s="293" t="s">
        <v>656</v>
      </c>
      <c r="AE227" s="293" t="s">
        <v>15075</v>
      </c>
      <c r="AF227" s="293" t="s">
        <v>145</v>
      </c>
      <c r="AG227" s="293" t="s">
        <v>74</v>
      </c>
      <c r="AH227" s="293" t="s">
        <v>656</v>
      </c>
      <c r="AJ227" s="293" t="s">
        <v>15076</v>
      </c>
      <c r="AK227" s="293" t="s">
        <v>145</v>
      </c>
      <c r="AL227" s="293" t="s">
        <v>74</v>
      </c>
      <c r="AM227" s="293" t="s">
        <v>656</v>
      </c>
      <c r="AO227" s="22" t="s">
        <v>15077</v>
      </c>
      <c r="AP227" s="22" t="s">
        <v>145</v>
      </c>
      <c r="AQ227" s="22" t="s">
        <v>70</v>
      </c>
      <c r="AR227" s="22" t="s">
        <v>67</v>
      </c>
      <c r="AT227" s="22" t="s">
        <v>15078</v>
      </c>
      <c r="AU227" s="22" t="s">
        <v>145</v>
      </c>
      <c r="AV227" s="22" t="s">
        <v>70</v>
      </c>
      <c r="AW227" s="22" t="s">
        <v>67</v>
      </c>
      <c r="AY227" s="22" t="s">
        <v>15079</v>
      </c>
      <c r="AZ227" s="22" t="s">
        <v>145</v>
      </c>
      <c r="BA227" s="22" t="s">
        <v>70</v>
      </c>
      <c r="BB227" s="22" t="s">
        <v>67</v>
      </c>
      <c r="BD227" s="22" t="s">
        <v>15080</v>
      </c>
      <c r="BE227" s="22" t="s">
        <v>145</v>
      </c>
      <c r="BF227" s="22" t="s">
        <v>70</v>
      </c>
      <c r="BG227" s="22" t="s">
        <v>67</v>
      </c>
      <c r="BI227" s="22" t="s">
        <v>15081</v>
      </c>
      <c r="BJ227" s="22" t="s">
        <v>145</v>
      </c>
      <c r="BK227" s="22" t="s">
        <v>70</v>
      </c>
      <c r="BL227" s="22" t="s">
        <v>67</v>
      </c>
      <c r="BN227" s="22" t="s">
        <v>15082</v>
      </c>
      <c r="BO227" s="22" t="s">
        <v>145</v>
      </c>
      <c r="BP227" s="22" t="s">
        <v>70</v>
      </c>
      <c r="BQ227" s="22" t="s">
        <v>67</v>
      </c>
      <c r="BS227" s="22" t="s">
        <v>15083</v>
      </c>
      <c r="BT227" s="22" t="s">
        <v>145</v>
      </c>
      <c r="BU227" s="22" t="s">
        <v>70</v>
      </c>
      <c r="BV227" s="214" t="s">
        <v>530</v>
      </c>
      <c r="BX227" s="22" t="s">
        <v>15084</v>
      </c>
      <c r="BY227" s="22" t="s">
        <v>145</v>
      </c>
      <c r="BZ227" s="22" t="s">
        <v>70</v>
      </c>
      <c r="CA227" s="214" t="s">
        <v>530</v>
      </c>
      <c r="CC227" s="214" t="s">
        <v>15085</v>
      </c>
      <c r="CD227" s="218" t="s">
        <v>145</v>
      </c>
      <c r="CE227" s="214" t="s">
        <v>70</v>
      </c>
      <c r="CF227" s="214" t="s">
        <v>680</v>
      </c>
      <c r="CH227" s="214" t="s">
        <v>15086</v>
      </c>
      <c r="CI227" s="214" t="s">
        <v>490</v>
      </c>
      <c r="CJ227" s="214" t="s">
        <v>70</v>
      </c>
      <c r="CK227" s="214" t="s">
        <v>530</v>
      </c>
      <c r="CM227" s="214" t="s">
        <v>15087</v>
      </c>
      <c r="CN227" s="214" t="s">
        <v>163</v>
      </c>
      <c r="CO227" s="214" t="s">
        <v>70</v>
      </c>
      <c r="CP227" s="214" t="s">
        <v>530</v>
      </c>
      <c r="CR227" s="214" t="s">
        <v>15088</v>
      </c>
      <c r="CS227" s="214" t="s">
        <v>921</v>
      </c>
      <c r="CT227" s="214" t="s">
        <v>70</v>
      </c>
      <c r="CU227" s="214" t="s">
        <v>530</v>
      </c>
      <c r="CW227" s="214" t="s">
        <v>15089</v>
      </c>
      <c r="CX227" s="214" t="s">
        <v>484</v>
      </c>
      <c r="CY227" s="214" t="s">
        <v>70</v>
      </c>
      <c r="CZ227" s="214" t="s">
        <v>530</v>
      </c>
      <c r="DB227" s="214" t="s">
        <v>15090</v>
      </c>
      <c r="DC227" s="214" t="s">
        <v>486</v>
      </c>
      <c r="DD227" s="214" t="s">
        <v>70</v>
      </c>
      <c r="DE227" s="214" t="s">
        <v>530</v>
      </c>
      <c r="DG227" s="214" t="s">
        <v>15091</v>
      </c>
      <c r="DH227" s="214" t="s">
        <v>486</v>
      </c>
      <c r="DI227" s="214" t="s">
        <v>70</v>
      </c>
      <c r="DJ227" s="214" t="s">
        <v>530</v>
      </c>
      <c r="DL227" s="214" t="s">
        <v>15092</v>
      </c>
      <c r="DM227" s="214" t="s">
        <v>85</v>
      </c>
      <c r="DN227" s="214" t="s">
        <v>70</v>
      </c>
      <c r="DO227" s="214" t="s">
        <v>530</v>
      </c>
      <c r="DQ227" s="214" t="s">
        <v>15093</v>
      </c>
      <c r="DR227" s="214" t="s">
        <v>34548</v>
      </c>
      <c r="DS227" s="214" t="s">
        <v>70</v>
      </c>
      <c r="DT227" s="214" t="s">
        <v>530</v>
      </c>
      <c r="DV227" s="214" t="s">
        <v>15094</v>
      </c>
      <c r="DW227" s="214" t="s">
        <v>148</v>
      </c>
      <c r="DX227" s="214" t="s">
        <v>70</v>
      </c>
      <c r="DY227" s="214" t="s">
        <v>530</v>
      </c>
      <c r="EA227" s="214" t="s">
        <v>15095</v>
      </c>
      <c r="EB227" s="214" t="s">
        <v>938</v>
      </c>
      <c r="EC227" s="214" t="s">
        <v>70</v>
      </c>
      <c r="ED227" s="214" t="s">
        <v>530</v>
      </c>
      <c r="EF227" s="214" t="s">
        <v>15096</v>
      </c>
      <c r="EG227" s="214" t="s">
        <v>487</v>
      </c>
      <c r="EH227" s="214" t="s">
        <v>70</v>
      </c>
      <c r="EI227" s="214" t="s">
        <v>530</v>
      </c>
      <c r="EK227" s="214" t="s">
        <v>15097</v>
      </c>
      <c r="EL227" s="214" t="s">
        <v>486</v>
      </c>
      <c r="EM227" s="214" t="s">
        <v>70</v>
      </c>
      <c r="EN227" s="214" t="s">
        <v>530</v>
      </c>
      <c r="EP227" s="214" t="s">
        <v>15098</v>
      </c>
      <c r="EQ227" s="214" t="s">
        <v>34545</v>
      </c>
      <c r="ER227" s="214" t="s">
        <v>70</v>
      </c>
      <c r="ES227" s="214" t="s">
        <v>530</v>
      </c>
      <c r="EU227" s="214" t="s">
        <v>15099</v>
      </c>
      <c r="EV227" s="214" t="s">
        <v>491</v>
      </c>
      <c r="EW227" s="214" t="s">
        <v>70</v>
      </c>
      <c r="EX227" s="214" t="s">
        <v>530</v>
      </c>
      <c r="EZ227" s="214" t="s">
        <v>15100</v>
      </c>
      <c r="FA227" s="214" t="s">
        <v>655</v>
      </c>
      <c r="FB227" s="214" t="s">
        <v>70</v>
      </c>
      <c r="FC227" s="214" t="s">
        <v>530</v>
      </c>
      <c r="FE227" s="214" t="s">
        <v>15101</v>
      </c>
      <c r="FF227" s="214" t="s">
        <v>502</v>
      </c>
      <c r="FG227" s="214" t="s">
        <v>70</v>
      </c>
      <c r="FH227" s="214" t="s">
        <v>530</v>
      </c>
      <c r="FJ227" s="321" t="s">
        <v>15102</v>
      </c>
      <c r="FK227" s="214" t="s">
        <v>34405</v>
      </c>
      <c r="FL227" s="214" t="s">
        <v>70</v>
      </c>
      <c r="FM227" s="214" t="s">
        <v>530</v>
      </c>
      <c r="FO227" s="321" t="s">
        <v>15103</v>
      </c>
      <c r="FP227" s="214" t="s">
        <v>491</v>
      </c>
      <c r="FQ227" s="214" t="s">
        <v>70</v>
      </c>
      <c r="FR227" s="214" t="s">
        <v>530</v>
      </c>
      <c r="FT227" s="321" t="s">
        <v>15104</v>
      </c>
      <c r="FU227" s="214" t="s">
        <v>950</v>
      </c>
      <c r="FV227" s="214" t="s">
        <v>70</v>
      </c>
      <c r="FW227" s="214" t="s">
        <v>530</v>
      </c>
      <c r="FY227" s="321" t="s">
        <v>15105</v>
      </c>
      <c r="FZ227" s="214" t="s">
        <v>34539</v>
      </c>
      <c r="GA227" s="214" t="s">
        <v>70</v>
      </c>
      <c r="GB227" s="214" t="s">
        <v>530</v>
      </c>
      <c r="GD227" s="321" t="s">
        <v>15106</v>
      </c>
      <c r="GE227" s="214" t="s">
        <v>34544</v>
      </c>
      <c r="GF227" s="214" t="s">
        <v>70</v>
      </c>
      <c r="GG227" s="214" t="s">
        <v>530</v>
      </c>
      <c r="GI227" s="321" t="s">
        <v>15107</v>
      </c>
      <c r="GJ227" s="214" t="s">
        <v>146</v>
      </c>
      <c r="GK227" s="214" t="s">
        <v>70</v>
      </c>
      <c r="GL227" s="214" t="s">
        <v>530</v>
      </c>
      <c r="GN227" s="321" t="s">
        <v>15108</v>
      </c>
      <c r="GO227" s="214" t="s">
        <v>34542</v>
      </c>
      <c r="GP227" s="214" t="s">
        <v>70</v>
      </c>
      <c r="GQ227" s="214" t="s">
        <v>530</v>
      </c>
      <c r="GS227" s="321" t="s">
        <v>15109</v>
      </c>
      <c r="GT227" s="214" t="s">
        <v>52</v>
      </c>
      <c r="GU227" s="214" t="s">
        <v>70</v>
      </c>
      <c r="GV227" s="214" t="s">
        <v>530</v>
      </c>
      <c r="GX227" s="214" t="s">
        <v>15110</v>
      </c>
      <c r="GY227" s="214" t="s">
        <v>34549</v>
      </c>
      <c r="GZ227" s="214" t="s">
        <v>70</v>
      </c>
      <c r="HA227" s="214" t="s">
        <v>530</v>
      </c>
      <c r="HC227" s="214" t="s">
        <v>15111</v>
      </c>
      <c r="HD227" s="214" t="s">
        <v>484</v>
      </c>
      <c r="HE227" s="214" t="s">
        <v>70</v>
      </c>
      <c r="HF227" s="214" t="s">
        <v>530</v>
      </c>
      <c r="HH227" s="214" t="s">
        <v>15112</v>
      </c>
      <c r="HI227" s="214" t="s">
        <v>52</v>
      </c>
      <c r="HJ227" s="214" t="s">
        <v>70</v>
      </c>
      <c r="HK227" s="214" t="s">
        <v>530</v>
      </c>
      <c r="HM227" s="214" t="s">
        <v>15113</v>
      </c>
      <c r="HN227" s="214" t="s">
        <v>52</v>
      </c>
      <c r="HO227" s="214" t="s">
        <v>70</v>
      </c>
      <c r="HP227" s="214" t="s">
        <v>530</v>
      </c>
      <c r="HR227" s="22" t="s">
        <v>15114</v>
      </c>
      <c r="HS227" s="22" t="s">
        <v>488</v>
      </c>
      <c r="HT227" s="22" t="s">
        <v>70</v>
      </c>
      <c r="HU227" s="214" t="s">
        <v>530</v>
      </c>
      <c r="HW227" s="22" t="s">
        <v>15115</v>
      </c>
      <c r="HX227" s="22" t="s">
        <v>287</v>
      </c>
      <c r="HY227" s="22" t="s">
        <v>70</v>
      </c>
      <c r="HZ227" s="214" t="s">
        <v>530</v>
      </c>
      <c r="IB227" s="22" t="s">
        <v>15116</v>
      </c>
      <c r="IC227" s="22" t="s">
        <v>484</v>
      </c>
      <c r="ID227" s="22" t="s">
        <v>70</v>
      </c>
      <c r="IE227" s="214" t="s">
        <v>530</v>
      </c>
      <c r="IG227" s="22" t="s">
        <v>15117</v>
      </c>
      <c r="IH227" s="22" t="s">
        <v>34580</v>
      </c>
      <c r="II227" s="22" t="s">
        <v>70</v>
      </c>
      <c r="IJ227" s="214" t="s">
        <v>530</v>
      </c>
      <c r="IL227" s="22" t="s">
        <v>15118</v>
      </c>
      <c r="IM227" s="22" t="s">
        <v>145</v>
      </c>
      <c r="IN227" s="22" t="s">
        <v>70</v>
      </c>
      <c r="IO227" s="214" t="s">
        <v>530</v>
      </c>
      <c r="IQ227" s="236" t="s">
        <v>15119</v>
      </c>
      <c r="IR227" s="236" t="s">
        <v>145</v>
      </c>
      <c r="IS227" s="236" t="s">
        <v>74</v>
      </c>
      <c r="IT227" s="236" t="s">
        <v>841</v>
      </c>
      <c r="IV227" s="236" t="s">
        <v>15120</v>
      </c>
      <c r="IW227" s="236" t="s">
        <v>145</v>
      </c>
      <c r="IX227" s="236" t="s">
        <v>74</v>
      </c>
      <c r="IY227" s="236" t="s">
        <v>841</v>
      </c>
      <c r="JA227" s="236" t="s">
        <v>15121</v>
      </c>
      <c r="JB227" s="236" t="s">
        <v>145</v>
      </c>
      <c r="JC227" s="236" t="s">
        <v>74</v>
      </c>
      <c r="JD227" s="236" t="s">
        <v>841</v>
      </c>
      <c r="JF227" s="236" t="s">
        <v>15122</v>
      </c>
      <c r="JG227" s="236" t="s">
        <v>145</v>
      </c>
      <c r="JH227" s="236" t="s">
        <v>74</v>
      </c>
      <c r="JI227" s="236" t="s">
        <v>841</v>
      </c>
      <c r="JK227" s="236" t="s">
        <v>15123</v>
      </c>
      <c r="JL227" s="236" t="s">
        <v>145</v>
      </c>
      <c r="JM227" s="236" t="s">
        <v>74</v>
      </c>
      <c r="JN227" s="236" t="s">
        <v>841</v>
      </c>
      <c r="JP227" s="236" t="s">
        <v>15124</v>
      </c>
      <c r="JQ227" s="236" t="s">
        <v>145</v>
      </c>
      <c r="JR227" s="236" t="s">
        <v>74</v>
      </c>
      <c r="JS227" s="236" t="s">
        <v>841</v>
      </c>
      <c r="JU227" s="294" t="s">
        <v>15125</v>
      </c>
      <c r="JV227" s="294" t="s">
        <v>52</v>
      </c>
      <c r="JW227" s="263" t="s">
        <v>70</v>
      </c>
      <c r="JX227" s="294" t="s">
        <v>1083</v>
      </c>
      <c r="JZ227" s="263" t="s">
        <v>15126</v>
      </c>
      <c r="KA227" s="263" t="s">
        <v>145</v>
      </c>
      <c r="KB227" s="263" t="s">
        <v>70</v>
      </c>
      <c r="KC227" s="263" t="s">
        <v>1083</v>
      </c>
      <c r="KE227" s="263" t="s">
        <v>15127</v>
      </c>
      <c r="KF227" s="263" t="s">
        <v>52</v>
      </c>
      <c r="KG227" s="263" t="s">
        <v>70</v>
      </c>
      <c r="KH227" s="263" t="s">
        <v>1083</v>
      </c>
      <c r="KJ227" s="263" t="s">
        <v>15128</v>
      </c>
      <c r="KK227" s="263" t="s">
        <v>52</v>
      </c>
      <c r="KL227" s="263" t="s">
        <v>74</v>
      </c>
      <c r="KM227" s="263" t="s">
        <v>34074</v>
      </c>
      <c r="KO227" s="214" t="s">
        <v>15129</v>
      </c>
      <c r="KP227" s="214" t="s">
        <v>145</v>
      </c>
      <c r="KQ227" s="214" t="s">
        <v>70</v>
      </c>
      <c r="KR227" s="214" t="s">
        <v>67</v>
      </c>
      <c r="KT227" s="22" t="s">
        <v>15130</v>
      </c>
      <c r="KU227" s="22" t="s">
        <v>145</v>
      </c>
      <c r="KV227" s="22" t="s">
        <v>70</v>
      </c>
      <c r="KW227" s="22" t="s">
        <v>67</v>
      </c>
      <c r="KY227" s="214" t="s">
        <v>15131</v>
      </c>
      <c r="KZ227" s="214" t="s">
        <v>52</v>
      </c>
      <c r="LA227" s="214" t="s">
        <v>74</v>
      </c>
      <c r="LB227" s="214" t="s">
        <v>67</v>
      </c>
      <c r="LD227" s="22" t="s">
        <v>15132</v>
      </c>
      <c r="LE227" s="22" t="s">
        <v>145</v>
      </c>
      <c r="LF227" s="22" t="s">
        <v>70</v>
      </c>
      <c r="LG227" s="22" t="s">
        <v>67</v>
      </c>
    </row>
    <row r="228" spans="1:319">
      <c r="A228" s="22" t="s">
        <v>15133</v>
      </c>
      <c r="B228" s="22" t="s">
        <v>145</v>
      </c>
      <c r="C228" s="22" t="s">
        <v>70</v>
      </c>
      <c r="D228" s="22" t="s">
        <v>67</v>
      </c>
      <c r="F228" s="73" t="s">
        <v>15134</v>
      </c>
      <c r="G228" s="22" t="s">
        <v>145</v>
      </c>
      <c r="H228" s="22" t="s">
        <v>70</v>
      </c>
      <c r="I228" s="22" t="s">
        <v>67</v>
      </c>
      <c r="K228" s="22" t="s">
        <v>15135</v>
      </c>
      <c r="L228" s="22" t="s">
        <v>145</v>
      </c>
      <c r="M228" s="22" t="s">
        <v>70</v>
      </c>
      <c r="N228" s="22" t="s">
        <v>67</v>
      </c>
      <c r="P228" s="22" t="s">
        <v>15136</v>
      </c>
      <c r="Q228" s="22" t="s">
        <v>145</v>
      </c>
      <c r="R228" s="22" t="s">
        <v>70</v>
      </c>
      <c r="S228" s="22" t="s">
        <v>67</v>
      </c>
      <c r="U228" s="293" t="s">
        <v>15137</v>
      </c>
      <c r="V228" s="293" t="s">
        <v>145</v>
      </c>
      <c r="W228" s="293" t="s">
        <v>74</v>
      </c>
      <c r="X228" s="293" t="s">
        <v>656</v>
      </c>
      <c r="Z228" s="293" t="s">
        <v>15138</v>
      </c>
      <c r="AA228" s="293" t="s">
        <v>145</v>
      </c>
      <c r="AB228" s="293" t="s">
        <v>74</v>
      </c>
      <c r="AC228" s="293" t="s">
        <v>656</v>
      </c>
      <c r="AE228" s="293" t="s">
        <v>15139</v>
      </c>
      <c r="AF228" s="293" t="s">
        <v>145</v>
      </c>
      <c r="AG228" s="293" t="s">
        <v>74</v>
      </c>
      <c r="AH228" s="293" t="s">
        <v>656</v>
      </c>
      <c r="AJ228" s="293" t="s">
        <v>15140</v>
      </c>
      <c r="AK228" s="293" t="s">
        <v>145</v>
      </c>
      <c r="AL228" s="293" t="s">
        <v>74</v>
      </c>
      <c r="AM228" s="293" t="s">
        <v>656</v>
      </c>
      <c r="AO228" s="22" t="s">
        <v>15141</v>
      </c>
      <c r="AP228" s="22" t="s">
        <v>145</v>
      </c>
      <c r="AQ228" s="22" t="s">
        <v>70</v>
      </c>
      <c r="AR228" s="22" t="s">
        <v>67</v>
      </c>
      <c r="AT228" s="22" t="s">
        <v>15142</v>
      </c>
      <c r="AU228" s="22" t="s">
        <v>145</v>
      </c>
      <c r="AV228" s="22" t="s">
        <v>70</v>
      </c>
      <c r="AW228" s="22" t="s">
        <v>67</v>
      </c>
      <c r="AY228" s="22" t="s">
        <v>15143</v>
      </c>
      <c r="AZ228" s="22" t="s">
        <v>145</v>
      </c>
      <c r="BA228" s="22" t="s">
        <v>70</v>
      </c>
      <c r="BB228" s="22" t="s">
        <v>67</v>
      </c>
      <c r="BD228" s="22" t="s">
        <v>15144</v>
      </c>
      <c r="BE228" s="22" t="s">
        <v>145</v>
      </c>
      <c r="BF228" s="22" t="s">
        <v>70</v>
      </c>
      <c r="BG228" s="22" t="s">
        <v>67</v>
      </c>
      <c r="BI228" s="22" t="s">
        <v>15145</v>
      </c>
      <c r="BJ228" s="22" t="s">
        <v>145</v>
      </c>
      <c r="BK228" s="22" t="s">
        <v>70</v>
      </c>
      <c r="BL228" s="22" t="s">
        <v>67</v>
      </c>
      <c r="BN228" s="22" t="s">
        <v>15146</v>
      </c>
      <c r="BO228" s="22" t="s">
        <v>145</v>
      </c>
      <c r="BP228" s="22" t="s">
        <v>70</v>
      </c>
      <c r="BQ228" s="22" t="s">
        <v>67</v>
      </c>
      <c r="BS228" s="22" t="s">
        <v>15147</v>
      </c>
      <c r="BT228" s="22" t="s">
        <v>145</v>
      </c>
      <c r="BU228" s="22" t="s">
        <v>70</v>
      </c>
      <c r="BV228" s="214" t="s">
        <v>530</v>
      </c>
      <c r="BX228" s="22" t="s">
        <v>15148</v>
      </c>
      <c r="BY228" s="22" t="s">
        <v>145</v>
      </c>
      <c r="BZ228" s="22" t="s">
        <v>70</v>
      </c>
      <c r="CA228" s="214" t="s">
        <v>530</v>
      </c>
      <c r="CC228" s="214" t="s">
        <v>15149</v>
      </c>
      <c r="CD228" s="218" t="s">
        <v>145</v>
      </c>
      <c r="CE228" s="214" t="s">
        <v>70</v>
      </c>
      <c r="CF228" s="214" t="s">
        <v>681</v>
      </c>
      <c r="CH228" s="214" t="s">
        <v>15150</v>
      </c>
      <c r="CI228" s="214" t="s">
        <v>52</v>
      </c>
      <c r="CJ228" s="214" t="s">
        <v>70</v>
      </c>
      <c r="CK228" s="214" t="s">
        <v>530</v>
      </c>
      <c r="CM228" s="214" t="s">
        <v>15151</v>
      </c>
      <c r="CN228" s="214" t="s">
        <v>88</v>
      </c>
      <c r="CO228" s="214" t="s">
        <v>70</v>
      </c>
      <c r="CP228" s="214" t="s">
        <v>530</v>
      </c>
      <c r="CR228" s="214" t="s">
        <v>15152</v>
      </c>
      <c r="CS228" s="214" t="s">
        <v>34545</v>
      </c>
      <c r="CT228" s="214" t="s">
        <v>70</v>
      </c>
      <c r="CU228" s="214" t="s">
        <v>530</v>
      </c>
      <c r="CW228" s="214" t="s">
        <v>15153</v>
      </c>
      <c r="CX228" s="214" t="s">
        <v>34540</v>
      </c>
      <c r="CY228" s="214" t="s">
        <v>70</v>
      </c>
      <c r="CZ228" s="214" t="s">
        <v>530</v>
      </c>
      <c r="DB228" s="214" t="s">
        <v>15154</v>
      </c>
      <c r="DC228" s="214" t="s">
        <v>912</v>
      </c>
      <c r="DD228" s="214" t="s">
        <v>70</v>
      </c>
      <c r="DE228" s="214" t="s">
        <v>530</v>
      </c>
      <c r="DG228" s="214" t="s">
        <v>15155</v>
      </c>
      <c r="DH228" s="214" t="s">
        <v>912</v>
      </c>
      <c r="DI228" s="214" t="s">
        <v>70</v>
      </c>
      <c r="DJ228" s="214" t="s">
        <v>530</v>
      </c>
      <c r="DL228" s="214" t="s">
        <v>15156</v>
      </c>
      <c r="DM228" s="214" t="s">
        <v>148</v>
      </c>
      <c r="DN228" s="214" t="s">
        <v>70</v>
      </c>
      <c r="DO228" s="214" t="s">
        <v>530</v>
      </c>
      <c r="DQ228" s="214" t="s">
        <v>15157</v>
      </c>
      <c r="DR228" s="214" t="s">
        <v>916</v>
      </c>
      <c r="DS228" s="214" t="s">
        <v>70</v>
      </c>
      <c r="DT228" s="214" t="s">
        <v>530</v>
      </c>
      <c r="DV228" s="214" t="s">
        <v>15158</v>
      </c>
      <c r="DW228" s="214" t="s">
        <v>203</v>
      </c>
      <c r="DX228" s="214" t="s">
        <v>70</v>
      </c>
      <c r="DY228" s="214" t="s">
        <v>530</v>
      </c>
      <c r="EA228" s="214" t="s">
        <v>15159</v>
      </c>
      <c r="EB228" s="214" t="s">
        <v>34632</v>
      </c>
      <c r="EC228" s="214" t="s">
        <v>70</v>
      </c>
      <c r="ED228" s="214" t="s">
        <v>530</v>
      </c>
      <c r="EF228" s="214" t="s">
        <v>15160</v>
      </c>
      <c r="EG228" s="214" t="s">
        <v>34556</v>
      </c>
      <c r="EH228" s="214" t="s">
        <v>70</v>
      </c>
      <c r="EI228" s="214" t="s">
        <v>530</v>
      </c>
      <c r="EK228" s="214" t="s">
        <v>15161</v>
      </c>
      <c r="EL228" s="214" t="s">
        <v>34562</v>
      </c>
      <c r="EM228" s="214" t="s">
        <v>70</v>
      </c>
      <c r="EN228" s="214" t="s">
        <v>530</v>
      </c>
      <c r="EP228" s="214" t="s">
        <v>15162</v>
      </c>
      <c r="EQ228" s="214" t="s">
        <v>149</v>
      </c>
      <c r="ER228" s="214" t="s">
        <v>70</v>
      </c>
      <c r="ES228" s="214" t="s">
        <v>530</v>
      </c>
      <c r="EU228" s="214" t="s">
        <v>15163</v>
      </c>
      <c r="EV228" s="214" t="s">
        <v>148</v>
      </c>
      <c r="EW228" s="214" t="s">
        <v>70</v>
      </c>
      <c r="EX228" s="214" t="s">
        <v>530</v>
      </c>
      <c r="EZ228" s="214" t="s">
        <v>15164</v>
      </c>
      <c r="FA228" s="214" t="s">
        <v>34641</v>
      </c>
      <c r="FB228" s="214" t="s">
        <v>70</v>
      </c>
      <c r="FC228" s="214" t="s">
        <v>530</v>
      </c>
      <c r="FE228" s="214" t="s">
        <v>15165</v>
      </c>
      <c r="FF228" s="214" t="s">
        <v>148</v>
      </c>
      <c r="FG228" s="214" t="s">
        <v>70</v>
      </c>
      <c r="FH228" s="214" t="s">
        <v>530</v>
      </c>
      <c r="FJ228" s="321" t="s">
        <v>15166</v>
      </c>
      <c r="FK228" s="214" t="s">
        <v>52</v>
      </c>
      <c r="FL228" s="214" t="s">
        <v>70</v>
      </c>
      <c r="FM228" s="214" t="s">
        <v>530</v>
      </c>
      <c r="FO228" s="321" t="s">
        <v>15167</v>
      </c>
      <c r="FP228" s="214" t="s">
        <v>145</v>
      </c>
      <c r="FQ228" s="214" t="s">
        <v>70</v>
      </c>
      <c r="FR228" s="214" t="s">
        <v>530</v>
      </c>
      <c r="FT228" s="321" t="s">
        <v>15168</v>
      </c>
      <c r="FU228" s="214" t="s">
        <v>203</v>
      </c>
      <c r="FV228" s="214" t="s">
        <v>70</v>
      </c>
      <c r="FW228" s="214" t="s">
        <v>530</v>
      </c>
      <c r="FY228" s="321" t="s">
        <v>15169</v>
      </c>
      <c r="FZ228" s="214" t="s">
        <v>52</v>
      </c>
      <c r="GA228" s="214" t="s">
        <v>70</v>
      </c>
      <c r="GB228" s="214" t="s">
        <v>530</v>
      </c>
      <c r="GD228" s="321" t="s">
        <v>15170</v>
      </c>
      <c r="GE228" s="214" t="s">
        <v>924</v>
      </c>
      <c r="GF228" s="214" t="s">
        <v>70</v>
      </c>
      <c r="GG228" s="214" t="s">
        <v>530</v>
      </c>
      <c r="GI228" s="321" t="s">
        <v>15171</v>
      </c>
      <c r="GJ228" s="214" t="s">
        <v>34571</v>
      </c>
      <c r="GK228" s="214" t="s">
        <v>70</v>
      </c>
      <c r="GL228" s="214" t="s">
        <v>530</v>
      </c>
      <c r="GN228" s="321" t="s">
        <v>15172</v>
      </c>
      <c r="GO228" s="214" t="s">
        <v>52</v>
      </c>
      <c r="GP228" s="214" t="s">
        <v>70</v>
      </c>
      <c r="GQ228" s="214" t="s">
        <v>530</v>
      </c>
      <c r="GS228" s="321" t="s">
        <v>15173</v>
      </c>
      <c r="GT228" s="214" t="s">
        <v>52</v>
      </c>
      <c r="GU228" s="214" t="s">
        <v>70</v>
      </c>
      <c r="GV228" s="214" t="s">
        <v>530</v>
      </c>
      <c r="GX228" s="214" t="s">
        <v>15174</v>
      </c>
      <c r="GY228" s="214" t="s">
        <v>52</v>
      </c>
      <c r="GZ228" s="214" t="s">
        <v>70</v>
      </c>
      <c r="HA228" s="214" t="s">
        <v>530</v>
      </c>
      <c r="HC228" s="214" t="s">
        <v>15175</v>
      </c>
      <c r="HD228" s="214" t="s">
        <v>146</v>
      </c>
      <c r="HE228" s="214" t="s">
        <v>70</v>
      </c>
      <c r="HF228" s="214" t="s">
        <v>530</v>
      </c>
      <c r="HH228" s="214" t="s">
        <v>15176</v>
      </c>
      <c r="HI228" s="214" t="s">
        <v>34654</v>
      </c>
      <c r="HJ228" s="214" t="s">
        <v>70</v>
      </c>
      <c r="HK228" s="214" t="s">
        <v>530</v>
      </c>
      <c r="HM228" s="214" t="s">
        <v>15177</v>
      </c>
      <c r="HN228" s="214" t="s">
        <v>52</v>
      </c>
      <c r="HO228" s="214" t="s">
        <v>70</v>
      </c>
      <c r="HP228" s="214" t="s">
        <v>530</v>
      </c>
      <c r="HR228" s="22" t="s">
        <v>15178</v>
      </c>
      <c r="HS228" s="22" t="s">
        <v>88</v>
      </c>
      <c r="HT228" s="22" t="s">
        <v>70</v>
      </c>
      <c r="HU228" s="214" t="s">
        <v>530</v>
      </c>
      <c r="HW228" s="22" t="s">
        <v>15179</v>
      </c>
      <c r="HX228" s="22" t="s">
        <v>86</v>
      </c>
      <c r="HY228" s="22" t="s">
        <v>70</v>
      </c>
      <c r="HZ228" s="214" t="s">
        <v>530</v>
      </c>
      <c r="IB228" s="22" t="s">
        <v>15180</v>
      </c>
      <c r="IC228" s="22" t="s">
        <v>34547</v>
      </c>
      <c r="ID228" s="22" t="s">
        <v>70</v>
      </c>
      <c r="IE228" s="214" t="s">
        <v>530</v>
      </c>
      <c r="IG228" s="22" t="s">
        <v>15181</v>
      </c>
      <c r="IH228" s="22" t="s">
        <v>34583</v>
      </c>
      <c r="II228" s="22" t="s">
        <v>70</v>
      </c>
      <c r="IJ228" s="214" t="s">
        <v>530</v>
      </c>
      <c r="IL228" s="22" t="s">
        <v>15182</v>
      </c>
      <c r="IM228" s="22" t="s">
        <v>145</v>
      </c>
      <c r="IN228" s="22" t="s">
        <v>70</v>
      </c>
      <c r="IO228" s="214" t="s">
        <v>530</v>
      </c>
      <c r="IQ228" s="236" t="s">
        <v>15183</v>
      </c>
      <c r="IR228" s="236" t="s">
        <v>145</v>
      </c>
      <c r="IS228" s="236" t="s">
        <v>74</v>
      </c>
      <c r="IT228" s="236" t="s">
        <v>841</v>
      </c>
      <c r="IV228" s="236" t="s">
        <v>15184</v>
      </c>
      <c r="IW228" s="236" t="s">
        <v>145</v>
      </c>
      <c r="IX228" s="236" t="s">
        <v>74</v>
      </c>
      <c r="IY228" s="236" t="s">
        <v>841</v>
      </c>
      <c r="JA228" s="236" t="s">
        <v>15185</v>
      </c>
      <c r="JB228" s="236" t="s">
        <v>145</v>
      </c>
      <c r="JC228" s="236" t="s">
        <v>74</v>
      </c>
      <c r="JD228" s="236" t="s">
        <v>841</v>
      </c>
      <c r="JF228" s="236" t="s">
        <v>15186</v>
      </c>
      <c r="JG228" s="236" t="s">
        <v>145</v>
      </c>
      <c r="JH228" s="236" t="s">
        <v>74</v>
      </c>
      <c r="JI228" s="236" t="s">
        <v>841</v>
      </c>
      <c r="JK228" s="236" t="s">
        <v>15187</v>
      </c>
      <c r="JL228" s="236" t="s">
        <v>145</v>
      </c>
      <c r="JM228" s="236" t="s">
        <v>74</v>
      </c>
      <c r="JN228" s="236" t="s">
        <v>841</v>
      </c>
      <c r="JP228" s="236" t="s">
        <v>15188</v>
      </c>
      <c r="JQ228" s="236" t="s">
        <v>145</v>
      </c>
      <c r="JR228" s="236" t="s">
        <v>74</v>
      </c>
      <c r="JS228" s="236" t="s">
        <v>841</v>
      </c>
      <c r="JU228" s="294" t="s">
        <v>15189</v>
      </c>
      <c r="JV228" s="294" t="s">
        <v>52</v>
      </c>
      <c r="JW228" s="263" t="s">
        <v>70</v>
      </c>
      <c r="JX228" s="294" t="s">
        <v>1083</v>
      </c>
      <c r="JZ228" s="263" t="s">
        <v>15190</v>
      </c>
      <c r="KA228" s="263" t="s">
        <v>145</v>
      </c>
      <c r="KB228" s="263" t="s">
        <v>70</v>
      </c>
      <c r="KC228" s="263" t="s">
        <v>1083</v>
      </c>
      <c r="KE228" s="263" t="s">
        <v>15191</v>
      </c>
      <c r="KF228" s="263" t="s">
        <v>52</v>
      </c>
      <c r="KG228" s="263" t="s">
        <v>70</v>
      </c>
      <c r="KH228" s="263" t="s">
        <v>1083</v>
      </c>
      <c r="KJ228" s="263" t="s">
        <v>15192</v>
      </c>
      <c r="KK228" s="263" t="s">
        <v>52</v>
      </c>
      <c r="KL228" s="263" t="s">
        <v>74</v>
      </c>
      <c r="KM228" s="263" t="s">
        <v>34074</v>
      </c>
      <c r="KO228" s="214" t="s">
        <v>15193</v>
      </c>
      <c r="KP228" s="214" t="s">
        <v>145</v>
      </c>
      <c r="KQ228" s="214" t="s">
        <v>70</v>
      </c>
      <c r="KR228" s="214" t="s">
        <v>67</v>
      </c>
      <c r="KT228" s="22" t="s">
        <v>15194</v>
      </c>
      <c r="KU228" s="22" t="s">
        <v>145</v>
      </c>
      <c r="KV228" s="22" t="s">
        <v>70</v>
      </c>
      <c r="KW228" s="22" t="s">
        <v>67</v>
      </c>
      <c r="KY228" s="214" t="s">
        <v>15195</v>
      </c>
      <c r="KZ228" s="214" t="s">
        <v>52</v>
      </c>
      <c r="LA228" s="214" t="s">
        <v>74</v>
      </c>
      <c r="LB228" s="214" t="s">
        <v>67</v>
      </c>
      <c r="LD228" s="22" t="s">
        <v>15196</v>
      </c>
      <c r="LE228" s="22" t="s">
        <v>145</v>
      </c>
      <c r="LF228" s="22" t="s">
        <v>70</v>
      </c>
      <c r="LG228" s="22" t="s">
        <v>67</v>
      </c>
    </row>
    <row r="229" spans="1:319">
      <c r="A229" s="22" t="s">
        <v>15197</v>
      </c>
      <c r="B229" s="22" t="s">
        <v>145</v>
      </c>
      <c r="C229" s="22" t="s">
        <v>70</v>
      </c>
      <c r="D229" s="22" t="s">
        <v>67</v>
      </c>
      <c r="F229" s="73" t="s">
        <v>15198</v>
      </c>
      <c r="G229" s="22" t="s">
        <v>145</v>
      </c>
      <c r="H229" s="22" t="s">
        <v>70</v>
      </c>
      <c r="I229" s="22" t="s">
        <v>67</v>
      </c>
      <c r="K229" s="22" t="s">
        <v>15199</v>
      </c>
      <c r="L229" s="22" t="s">
        <v>145</v>
      </c>
      <c r="M229" s="22" t="s">
        <v>70</v>
      </c>
      <c r="N229" s="22" t="s">
        <v>67</v>
      </c>
      <c r="P229" s="22" t="s">
        <v>15200</v>
      </c>
      <c r="Q229" s="22" t="s">
        <v>145</v>
      </c>
      <c r="R229" s="22" t="s">
        <v>70</v>
      </c>
      <c r="S229" s="22" t="s">
        <v>67</v>
      </c>
      <c r="U229" s="293" t="s">
        <v>15201</v>
      </c>
      <c r="V229" s="293" t="s">
        <v>145</v>
      </c>
      <c r="W229" s="293" t="s">
        <v>74</v>
      </c>
      <c r="X229" s="293" t="s">
        <v>656</v>
      </c>
      <c r="Z229" s="293" t="s">
        <v>15202</v>
      </c>
      <c r="AA229" s="293" t="s">
        <v>145</v>
      </c>
      <c r="AB229" s="293" t="s">
        <v>74</v>
      </c>
      <c r="AC229" s="293" t="s">
        <v>656</v>
      </c>
      <c r="AE229" s="293" t="s">
        <v>15203</v>
      </c>
      <c r="AF229" s="293" t="s">
        <v>145</v>
      </c>
      <c r="AG229" s="293" t="s">
        <v>74</v>
      </c>
      <c r="AH229" s="293" t="s">
        <v>656</v>
      </c>
      <c r="AJ229" s="293" t="s">
        <v>15204</v>
      </c>
      <c r="AK229" s="293" t="s">
        <v>145</v>
      </c>
      <c r="AL229" s="293" t="s">
        <v>74</v>
      </c>
      <c r="AM229" s="293" t="s">
        <v>656</v>
      </c>
      <c r="AO229" s="22" t="s">
        <v>15205</v>
      </c>
      <c r="AP229" s="22" t="s">
        <v>145</v>
      </c>
      <c r="AQ229" s="22" t="s">
        <v>70</v>
      </c>
      <c r="AR229" s="22" t="s">
        <v>67</v>
      </c>
      <c r="AT229" s="22" t="s">
        <v>15206</v>
      </c>
      <c r="AU229" s="22" t="s">
        <v>145</v>
      </c>
      <c r="AV229" s="22" t="s">
        <v>70</v>
      </c>
      <c r="AW229" s="22" t="s">
        <v>67</v>
      </c>
      <c r="AY229" s="22" t="s">
        <v>15207</v>
      </c>
      <c r="AZ229" s="22" t="s">
        <v>145</v>
      </c>
      <c r="BA229" s="22" t="s">
        <v>70</v>
      </c>
      <c r="BB229" s="22" t="s">
        <v>67</v>
      </c>
      <c r="BD229" s="22" t="s">
        <v>15208</v>
      </c>
      <c r="BE229" s="22" t="s">
        <v>145</v>
      </c>
      <c r="BF229" s="22" t="s">
        <v>70</v>
      </c>
      <c r="BG229" s="22" t="s">
        <v>67</v>
      </c>
      <c r="BI229" s="22" t="s">
        <v>15209</v>
      </c>
      <c r="BJ229" s="22" t="s">
        <v>145</v>
      </c>
      <c r="BK229" s="22" t="s">
        <v>70</v>
      </c>
      <c r="BL229" s="22" t="s">
        <v>67</v>
      </c>
      <c r="BN229" s="22" t="s">
        <v>15210</v>
      </c>
      <c r="BO229" s="22" t="s">
        <v>145</v>
      </c>
      <c r="BP229" s="22" t="s">
        <v>70</v>
      </c>
      <c r="BQ229" s="22" t="s">
        <v>67</v>
      </c>
      <c r="BS229" s="22" t="s">
        <v>15211</v>
      </c>
      <c r="BT229" s="22" t="s">
        <v>145</v>
      </c>
      <c r="BU229" s="22" t="s">
        <v>70</v>
      </c>
      <c r="BV229" s="214" t="s">
        <v>530</v>
      </c>
      <c r="BX229" s="22" t="s">
        <v>15212</v>
      </c>
      <c r="BY229" s="22" t="s">
        <v>145</v>
      </c>
      <c r="BZ229" s="22" t="s">
        <v>70</v>
      </c>
      <c r="CA229" s="214" t="s">
        <v>530</v>
      </c>
      <c r="CC229" s="214" t="s">
        <v>15213</v>
      </c>
      <c r="CD229" s="218" t="s">
        <v>145</v>
      </c>
      <c r="CE229" s="214" t="s">
        <v>70</v>
      </c>
      <c r="CF229" s="214" t="s">
        <v>682</v>
      </c>
      <c r="CH229" s="214" t="s">
        <v>15214</v>
      </c>
      <c r="CI229" s="214" t="s">
        <v>485</v>
      </c>
      <c r="CJ229" s="214" t="s">
        <v>70</v>
      </c>
      <c r="CK229" s="214" t="s">
        <v>530</v>
      </c>
      <c r="CM229" s="214" t="s">
        <v>15215</v>
      </c>
      <c r="CN229" s="214" t="s">
        <v>486</v>
      </c>
      <c r="CO229" s="214" t="s">
        <v>70</v>
      </c>
      <c r="CP229" s="214" t="s">
        <v>530</v>
      </c>
      <c r="CR229" s="214" t="s">
        <v>15216</v>
      </c>
      <c r="CS229" s="214" t="s">
        <v>34551</v>
      </c>
      <c r="CT229" s="214" t="s">
        <v>70</v>
      </c>
      <c r="CU229" s="214" t="s">
        <v>530</v>
      </c>
      <c r="CW229" s="214" t="s">
        <v>15217</v>
      </c>
      <c r="CX229" s="214" t="s">
        <v>146</v>
      </c>
      <c r="CY229" s="214" t="s">
        <v>70</v>
      </c>
      <c r="CZ229" s="214" t="s">
        <v>530</v>
      </c>
      <c r="DB229" s="214" t="s">
        <v>15218</v>
      </c>
      <c r="DC229" s="214" t="s">
        <v>488</v>
      </c>
      <c r="DD229" s="214" t="s">
        <v>70</v>
      </c>
      <c r="DE229" s="214" t="s">
        <v>530</v>
      </c>
      <c r="DG229" s="214" t="s">
        <v>15219</v>
      </c>
      <c r="DH229" s="214" t="s">
        <v>488</v>
      </c>
      <c r="DI229" s="214" t="s">
        <v>70</v>
      </c>
      <c r="DJ229" s="214" t="s">
        <v>530</v>
      </c>
      <c r="DL229" s="214" t="s">
        <v>15220</v>
      </c>
      <c r="DM229" s="214" t="s">
        <v>34580</v>
      </c>
      <c r="DN229" s="214" t="s">
        <v>70</v>
      </c>
      <c r="DO229" s="214" t="s">
        <v>530</v>
      </c>
      <c r="DQ229" s="214" t="s">
        <v>15221</v>
      </c>
      <c r="DR229" s="214" t="s">
        <v>163</v>
      </c>
      <c r="DS229" s="214" t="s">
        <v>70</v>
      </c>
      <c r="DT229" s="214" t="s">
        <v>530</v>
      </c>
      <c r="DV229" s="214" t="s">
        <v>15222</v>
      </c>
      <c r="DW229" s="214" t="s">
        <v>502</v>
      </c>
      <c r="DX229" s="214" t="s">
        <v>70</v>
      </c>
      <c r="DY229" s="214" t="s">
        <v>530</v>
      </c>
      <c r="EA229" s="214" t="s">
        <v>15223</v>
      </c>
      <c r="EB229" s="214" t="s">
        <v>938</v>
      </c>
      <c r="EC229" s="214" t="s">
        <v>70</v>
      </c>
      <c r="ED229" s="214" t="s">
        <v>530</v>
      </c>
      <c r="EF229" s="214" t="s">
        <v>15224</v>
      </c>
      <c r="EG229" s="214" t="s">
        <v>34543</v>
      </c>
      <c r="EH229" s="214" t="s">
        <v>70</v>
      </c>
      <c r="EI229" s="214" t="s">
        <v>530</v>
      </c>
      <c r="EK229" s="214" t="s">
        <v>15225</v>
      </c>
      <c r="EL229" s="214" t="s">
        <v>501</v>
      </c>
      <c r="EM229" s="214" t="s">
        <v>70</v>
      </c>
      <c r="EN229" s="214" t="s">
        <v>530</v>
      </c>
      <c r="EP229" s="214" t="s">
        <v>15226</v>
      </c>
      <c r="EQ229" s="214" t="s">
        <v>52</v>
      </c>
      <c r="ER229" s="214" t="s">
        <v>70</v>
      </c>
      <c r="ES229" s="214" t="s">
        <v>530</v>
      </c>
      <c r="EU229" s="214" t="s">
        <v>15227</v>
      </c>
      <c r="EV229" s="214" t="s">
        <v>484</v>
      </c>
      <c r="EW229" s="214" t="s">
        <v>70</v>
      </c>
      <c r="EX229" s="214" t="s">
        <v>530</v>
      </c>
      <c r="EZ229" s="214" t="s">
        <v>15228</v>
      </c>
      <c r="FA229" s="214" t="s">
        <v>146</v>
      </c>
      <c r="FB229" s="214" t="s">
        <v>70</v>
      </c>
      <c r="FC229" s="214" t="s">
        <v>530</v>
      </c>
      <c r="FE229" s="214" t="s">
        <v>15229</v>
      </c>
      <c r="FF229" s="214" t="s">
        <v>146</v>
      </c>
      <c r="FG229" s="214" t="s">
        <v>70</v>
      </c>
      <c r="FH229" s="214" t="s">
        <v>530</v>
      </c>
      <c r="FJ229" s="321" t="s">
        <v>15230</v>
      </c>
      <c r="FK229" s="214" t="s">
        <v>485</v>
      </c>
      <c r="FL229" s="214" t="s">
        <v>70</v>
      </c>
      <c r="FM229" s="214" t="s">
        <v>530</v>
      </c>
      <c r="FO229" s="321" t="s">
        <v>15231</v>
      </c>
      <c r="FP229" s="214" t="s">
        <v>34541</v>
      </c>
      <c r="FQ229" s="214" t="s">
        <v>70</v>
      </c>
      <c r="FR229" s="214" t="s">
        <v>530</v>
      </c>
      <c r="FT229" s="321" t="s">
        <v>15232</v>
      </c>
      <c r="FU229" s="214" t="s">
        <v>497</v>
      </c>
      <c r="FV229" s="214" t="s">
        <v>70</v>
      </c>
      <c r="FW229" s="214" t="s">
        <v>530</v>
      </c>
      <c r="FY229" s="321" t="s">
        <v>15233</v>
      </c>
      <c r="FZ229" s="214" t="s">
        <v>921</v>
      </c>
      <c r="GA229" s="214" t="s">
        <v>70</v>
      </c>
      <c r="GB229" s="214" t="s">
        <v>530</v>
      </c>
      <c r="GD229" s="321" t="s">
        <v>15234</v>
      </c>
      <c r="GE229" s="214" t="s">
        <v>921</v>
      </c>
      <c r="GF229" s="214" t="s">
        <v>70</v>
      </c>
      <c r="GG229" s="214" t="s">
        <v>530</v>
      </c>
      <c r="GI229" s="321" t="s">
        <v>15235</v>
      </c>
      <c r="GJ229" s="214" t="s">
        <v>146</v>
      </c>
      <c r="GK229" s="214" t="s">
        <v>70</v>
      </c>
      <c r="GL229" s="214" t="s">
        <v>530</v>
      </c>
      <c r="GN229" s="321" t="s">
        <v>15236</v>
      </c>
      <c r="GO229" s="214" t="s">
        <v>34593</v>
      </c>
      <c r="GP229" s="214" t="s">
        <v>70</v>
      </c>
      <c r="GQ229" s="214" t="s">
        <v>530</v>
      </c>
      <c r="GS229" s="321" t="s">
        <v>15237</v>
      </c>
      <c r="GT229" s="214" t="s">
        <v>203</v>
      </c>
      <c r="GU229" s="214" t="s">
        <v>70</v>
      </c>
      <c r="GV229" s="214" t="s">
        <v>530</v>
      </c>
      <c r="GX229" s="214" t="s">
        <v>15238</v>
      </c>
      <c r="GY229" s="214" t="s">
        <v>34569</v>
      </c>
      <c r="GZ229" s="214" t="s">
        <v>70</v>
      </c>
      <c r="HA229" s="214" t="s">
        <v>530</v>
      </c>
      <c r="HC229" s="214" t="s">
        <v>15239</v>
      </c>
      <c r="HD229" s="214" t="s">
        <v>52</v>
      </c>
      <c r="HE229" s="214" t="s">
        <v>70</v>
      </c>
      <c r="HF229" s="214" t="s">
        <v>530</v>
      </c>
      <c r="HH229" s="214" t="s">
        <v>15240</v>
      </c>
      <c r="HI229" s="214" t="s">
        <v>497</v>
      </c>
      <c r="HJ229" s="214" t="s">
        <v>70</v>
      </c>
      <c r="HK229" s="214" t="s">
        <v>530</v>
      </c>
      <c r="HM229" s="214" t="s">
        <v>15241</v>
      </c>
      <c r="HN229" s="214" t="s">
        <v>955</v>
      </c>
      <c r="HO229" s="214" t="s">
        <v>70</v>
      </c>
      <c r="HP229" s="214" t="s">
        <v>530</v>
      </c>
      <c r="HR229" s="22" t="s">
        <v>15242</v>
      </c>
      <c r="HS229" s="22" t="s">
        <v>52</v>
      </c>
      <c r="HT229" s="22" t="s">
        <v>70</v>
      </c>
      <c r="HU229" s="214" t="s">
        <v>530</v>
      </c>
      <c r="HW229" s="22" t="s">
        <v>15243</v>
      </c>
      <c r="HX229" s="22" t="s">
        <v>491</v>
      </c>
      <c r="HY229" s="22" t="s">
        <v>70</v>
      </c>
      <c r="HZ229" s="214" t="s">
        <v>530</v>
      </c>
      <c r="IB229" s="22" t="s">
        <v>15244</v>
      </c>
      <c r="IC229" s="22" t="s">
        <v>204</v>
      </c>
      <c r="ID229" s="22" t="s">
        <v>70</v>
      </c>
      <c r="IE229" s="214" t="s">
        <v>530</v>
      </c>
      <c r="IG229" s="22" t="s">
        <v>15245</v>
      </c>
      <c r="IH229" s="22" t="s">
        <v>34564</v>
      </c>
      <c r="II229" s="22" t="s">
        <v>70</v>
      </c>
      <c r="IJ229" s="214" t="s">
        <v>530</v>
      </c>
      <c r="IL229" s="22" t="s">
        <v>15246</v>
      </c>
      <c r="IM229" s="22" t="s">
        <v>145</v>
      </c>
      <c r="IN229" s="22" t="s">
        <v>70</v>
      </c>
      <c r="IO229" s="214" t="s">
        <v>530</v>
      </c>
      <c r="IQ229" s="236" t="s">
        <v>15247</v>
      </c>
      <c r="IR229" s="236" t="s">
        <v>145</v>
      </c>
      <c r="IS229" s="236" t="s">
        <v>74</v>
      </c>
      <c r="IT229" s="236" t="s">
        <v>841</v>
      </c>
      <c r="IV229" s="236" t="s">
        <v>15248</v>
      </c>
      <c r="IW229" s="236" t="s">
        <v>145</v>
      </c>
      <c r="IX229" s="236" t="s">
        <v>74</v>
      </c>
      <c r="IY229" s="236" t="s">
        <v>841</v>
      </c>
      <c r="JA229" s="236" t="s">
        <v>15249</v>
      </c>
      <c r="JB229" s="236" t="s">
        <v>145</v>
      </c>
      <c r="JC229" s="236" t="s">
        <v>74</v>
      </c>
      <c r="JD229" s="236" t="s">
        <v>841</v>
      </c>
      <c r="JF229" s="236" t="s">
        <v>15250</v>
      </c>
      <c r="JG229" s="236" t="s">
        <v>145</v>
      </c>
      <c r="JH229" s="236" t="s">
        <v>74</v>
      </c>
      <c r="JI229" s="236" t="s">
        <v>841</v>
      </c>
      <c r="JK229" s="236" t="s">
        <v>15251</v>
      </c>
      <c r="JL229" s="236" t="s">
        <v>145</v>
      </c>
      <c r="JM229" s="236" t="s">
        <v>74</v>
      </c>
      <c r="JN229" s="236" t="s">
        <v>841</v>
      </c>
      <c r="JP229" s="236" t="s">
        <v>15252</v>
      </c>
      <c r="JQ229" s="236" t="s">
        <v>145</v>
      </c>
      <c r="JR229" s="236" t="s">
        <v>74</v>
      </c>
      <c r="JS229" s="236" t="s">
        <v>841</v>
      </c>
      <c r="JU229" s="294" t="s">
        <v>15253</v>
      </c>
      <c r="JV229" s="294" t="s">
        <v>52</v>
      </c>
      <c r="JW229" s="263" t="s">
        <v>70</v>
      </c>
      <c r="JX229" s="294" t="s">
        <v>1083</v>
      </c>
      <c r="JZ229" s="263" t="s">
        <v>15254</v>
      </c>
      <c r="KA229" s="263" t="s">
        <v>145</v>
      </c>
      <c r="KB229" s="263" t="s">
        <v>70</v>
      </c>
      <c r="KC229" s="263" t="s">
        <v>1083</v>
      </c>
      <c r="KE229" s="263" t="s">
        <v>15255</v>
      </c>
      <c r="KF229" s="263" t="s">
        <v>52</v>
      </c>
      <c r="KG229" s="263" t="s">
        <v>70</v>
      </c>
      <c r="KH229" s="263" t="s">
        <v>1083</v>
      </c>
      <c r="KJ229" s="263" t="s">
        <v>15256</v>
      </c>
      <c r="KK229" s="263" t="s">
        <v>52</v>
      </c>
      <c r="KL229" s="263" t="s">
        <v>74</v>
      </c>
      <c r="KM229" s="263" t="s">
        <v>34074</v>
      </c>
      <c r="KO229" s="214" t="s">
        <v>15257</v>
      </c>
      <c r="KP229" s="214" t="s">
        <v>145</v>
      </c>
      <c r="KQ229" s="214" t="s">
        <v>70</v>
      </c>
      <c r="KR229" s="214" t="s">
        <v>67</v>
      </c>
      <c r="KT229" s="22" t="s">
        <v>15258</v>
      </c>
      <c r="KU229" s="22" t="s">
        <v>145</v>
      </c>
      <c r="KV229" s="22" t="s">
        <v>70</v>
      </c>
      <c r="KW229" s="22" t="s">
        <v>67</v>
      </c>
      <c r="KY229" s="214" t="s">
        <v>15259</v>
      </c>
      <c r="KZ229" s="214" t="s">
        <v>52</v>
      </c>
      <c r="LA229" s="214" t="s">
        <v>74</v>
      </c>
      <c r="LB229" s="214" t="s">
        <v>67</v>
      </c>
      <c r="LD229" s="22" t="s">
        <v>15260</v>
      </c>
      <c r="LE229" s="22" t="s">
        <v>145</v>
      </c>
      <c r="LF229" s="22" t="s">
        <v>70</v>
      </c>
      <c r="LG229" s="22" t="s">
        <v>67</v>
      </c>
    </row>
    <row r="230" spans="1:319">
      <c r="A230" s="22" t="s">
        <v>15261</v>
      </c>
      <c r="B230" s="22" t="s">
        <v>145</v>
      </c>
      <c r="C230" s="22" t="s">
        <v>70</v>
      </c>
      <c r="D230" s="22" t="s">
        <v>67</v>
      </c>
      <c r="F230" s="73" t="s">
        <v>15262</v>
      </c>
      <c r="G230" s="22" t="s">
        <v>145</v>
      </c>
      <c r="H230" s="22" t="s">
        <v>70</v>
      </c>
      <c r="I230" s="22" t="s">
        <v>67</v>
      </c>
      <c r="K230" s="22" t="s">
        <v>15263</v>
      </c>
      <c r="L230" s="22" t="s">
        <v>145</v>
      </c>
      <c r="M230" s="22" t="s">
        <v>70</v>
      </c>
      <c r="N230" s="22" t="s">
        <v>67</v>
      </c>
      <c r="P230" s="22" t="s">
        <v>15264</v>
      </c>
      <c r="Q230" s="22" t="s">
        <v>145</v>
      </c>
      <c r="R230" s="22" t="s">
        <v>70</v>
      </c>
      <c r="S230" s="22" t="s">
        <v>67</v>
      </c>
      <c r="U230" s="293" t="s">
        <v>15265</v>
      </c>
      <c r="V230" s="293" t="s">
        <v>145</v>
      </c>
      <c r="W230" s="293" t="s">
        <v>74</v>
      </c>
      <c r="X230" s="293" t="s">
        <v>656</v>
      </c>
      <c r="Z230" s="293" t="s">
        <v>15266</v>
      </c>
      <c r="AA230" s="293" t="s">
        <v>145</v>
      </c>
      <c r="AB230" s="293" t="s">
        <v>74</v>
      </c>
      <c r="AC230" s="293" t="s">
        <v>656</v>
      </c>
      <c r="AE230" s="293" t="s">
        <v>15267</v>
      </c>
      <c r="AF230" s="293" t="s">
        <v>145</v>
      </c>
      <c r="AG230" s="293" t="s">
        <v>74</v>
      </c>
      <c r="AH230" s="293" t="s">
        <v>656</v>
      </c>
      <c r="AJ230" s="293" t="s">
        <v>15268</v>
      </c>
      <c r="AK230" s="293" t="s">
        <v>145</v>
      </c>
      <c r="AL230" s="293" t="s">
        <v>74</v>
      </c>
      <c r="AM230" s="293" t="s">
        <v>656</v>
      </c>
      <c r="AO230" s="22" t="s">
        <v>15269</v>
      </c>
      <c r="AP230" s="22" t="s">
        <v>145</v>
      </c>
      <c r="AQ230" s="22" t="s">
        <v>70</v>
      </c>
      <c r="AR230" s="22" t="s">
        <v>67</v>
      </c>
      <c r="AT230" s="22" t="s">
        <v>15270</v>
      </c>
      <c r="AU230" s="22" t="s">
        <v>145</v>
      </c>
      <c r="AV230" s="22" t="s">
        <v>70</v>
      </c>
      <c r="AW230" s="22" t="s">
        <v>67</v>
      </c>
      <c r="AY230" s="22" t="s">
        <v>15271</v>
      </c>
      <c r="AZ230" s="22" t="s">
        <v>145</v>
      </c>
      <c r="BA230" s="22" t="s">
        <v>70</v>
      </c>
      <c r="BB230" s="22" t="s">
        <v>67</v>
      </c>
      <c r="BD230" s="22" t="s">
        <v>15272</v>
      </c>
      <c r="BE230" s="22" t="s">
        <v>145</v>
      </c>
      <c r="BF230" s="22" t="s">
        <v>70</v>
      </c>
      <c r="BG230" s="22" t="s">
        <v>67</v>
      </c>
      <c r="BI230" s="22" t="s">
        <v>15273</v>
      </c>
      <c r="BJ230" s="22" t="s">
        <v>145</v>
      </c>
      <c r="BK230" s="22" t="s">
        <v>70</v>
      </c>
      <c r="BL230" s="22" t="s">
        <v>67</v>
      </c>
      <c r="BN230" s="22" t="s">
        <v>15274</v>
      </c>
      <c r="BO230" s="22" t="s">
        <v>145</v>
      </c>
      <c r="BP230" s="22" t="s">
        <v>70</v>
      </c>
      <c r="BQ230" s="22" t="s">
        <v>67</v>
      </c>
      <c r="BS230" s="22" t="s">
        <v>15275</v>
      </c>
      <c r="BT230" s="22" t="s">
        <v>145</v>
      </c>
      <c r="BU230" s="22" t="s">
        <v>70</v>
      </c>
      <c r="BV230" s="214" t="s">
        <v>530</v>
      </c>
      <c r="BX230" s="22" t="s">
        <v>15276</v>
      </c>
      <c r="BY230" s="22" t="s">
        <v>145</v>
      </c>
      <c r="BZ230" s="22" t="s">
        <v>70</v>
      </c>
      <c r="CA230" s="214" t="s">
        <v>530</v>
      </c>
      <c r="CC230" s="214" t="s">
        <v>15277</v>
      </c>
      <c r="CD230" s="218" t="s">
        <v>145</v>
      </c>
      <c r="CE230" s="214" t="s">
        <v>70</v>
      </c>
      <c r="CF230" s="214" t="s">
        <v>683</v>
      </c>
      <c r="CH230" s="214" t="s">
        <v>15278</v>
      </c>
      <c r="CI230" s="214" t="s">
        <v>915</v>
      </c>
      <c r="CJ230" s="214" t="s">
        <v>70</v>
      </c>
      <c r="CK230" s="214" t="s">
        <v>530</v>
      </c>
      <c r="CM230" s="214" t="s">
        <v>15279</v>
      </c>
      <c r="CN230" s="214" t="s">
        <v>488</v>
      </c>
      <c r="CO230" s="214" t="s">
        <v>70</v>
      </c>
      <c r="CP230" s="214" t="s">
        <v>530</v>
      </c>
      <c r="CR230" s="214" t="s">
        <v>15280</v>
      </c>
      <c r="CS230" s="214" t="s">
        <v>488</v>
      </c>
      <c r="CT230" s="214" t="s">
        <v>70</v>
      </c>
      <c r="CU230" s="214" t="s">
        <v>530</v>
      </c>
      <c r="CW230" s="214" t="s">
        <v>15281</v>
      </c>
      <c r="CX230" s="214" t="s">
        <v>85</v>
      </c>
      <c r="CY230" s="214" t="s">
        <v>70</v>
      </c>
      <c r="CZ230" s="214" t="s">
        <v>530</v>
      </c>
      <c r="DB230" s="214" t="s">
        <v>15282</v>
      </c>
      <c r="DC230" s="214" t="s">
        <v>502</v>
      </c>
      <c r="DD230" s="214" t="s">
        <v>70</v>
      </c>
      <c r="DE230" s="214" t="s">
        <v>530</v>
      </c>
      <c r="DG230" s="214" t="s">
        <v>15283</v>
      </c>
      <c r="DH230" s="214" t="s">
        <v>502</v>
      </c>
      <c r="DI230" s="214" t="s">
        <v>70</v>
      </c>
      <c r="DJ230" s="214" t="s">
        <v>530</v>
      </c>
      <c r="DL230" s="214" t="s">
        <v>15284</v>
      </c>
      <c r="DM230" s="214" t="s">
        <v>93</v>
      </c>
      <c r="DN230" s="214" t="s">
        <v>70</v>
      </c>
      <c r="DO230" s="214" t="s">
        <v>530</v>
      </c>
      <c r="DQ230" s="214" t="s">
        <v>15285</v>
      </c>
      <c r="DR230" s="214" t="s">
        <v>34558</v>
      </c>
      <c r="DS230" s="214" t="s">
        <v>70</v>
      </c>
      <c r="DT230" s="214" t="s">
        <v>530</v>
      </c>
      <c r="DV230" s="214" t="s">
        <v>15286</v>
      </c>
      <c r="DW230" s="214" t="s">
        <v>287</v>
      </c>
      <c r="DX230" s="214" t="s">
        <v>70</v>
      </c>
      <c r="DY230" s="214" t="s">
        <v>530</v>
      </c>
      <c r="EA230" s="214" t="s">
        <v>15287</v>
      </c>
      <c r="EB230" s="214" t="s">
        <v>485</v>
      </c>
      <c r="EC230" s="214" t="s">
        <v>70</v>
      </c>
      <c r="ED230" s="214" t="s">
        <v>530</v>
      </c>
      <c r="EF230" s="214" t="s">
        <v>15288</v>
      </c>
      <c r="EG230" s="214" t="s">
        <v>90</v>
      </c>
      <c r="EH230" s="214" t="s">
        <v>70</v>
      </c>
      <c r="EI230" s="214" t="s">
        <v>530</v>
      </c>
      <c r="EK230" s="214" t="s">
        <v>15289</v>
      </c>
      <c r="EL230" s="214" t="s">
        <v>164</v>
      </c>
      <c r="EM230" s="214" t="s">
        <v>70</v>
      </c>
      <c r="EN230" s="214" t="s">
        <v>530</v>
      </c>
      <c r="EP230" s="214" t="s">
        <v>15290</v>
      </c>
      <c r="EQ230" s="214" t="s">
        <v>87</v>
      </c>
      <c r="ER230" s="214" t="s">
        <v>70</v>
      </c>
      <c r="ES230" s="214" t="s">
        <v>530</v>
      </c>
      <c r="EU230" s="214" t="s">
        <v>15291</v>
      </c>
      <c r="EV230" s="214" t="s">
        <v>598</v>
      </c>
      <c r="EW230" s="214" t="s">
        <v>70</v>
      </c>
      <c r="EX230" s="214" t="s">
        <v>530</v>
      </c>
      <c r="EZ230" s="214" t="s">
        <v>15292</v>
      </c>
      <c r="FA230" s="214" t="s">
        <v>34516</v>
      </c>
      <c r="FB230" s="214" t="s">
        <v>70</v>
      </c>
      <c r="FC230" s="214" t="s">
        <v>530</v>
      </c>
      <c r="FE230" s="214" t="s">
        <v>15293</v>
      </c>
      <c r="FF230" s="214" t="s">
        <v>146</v>
      </c>
      <c r="FG230" s="214" t="s">
        <v>70</v>
      </c>
      <c r="FH230" s="214" t="s">
        <v>530</v>
      </c>
      <c r="FJ230" s="321" t="s">
        <v>15294</v>
      </c>
      <c r="FK230" s="214" t="s">
        <v>52</v>
      </c>
      <c r="FL230" s="214" t="s">
        <v>70</v>
      </c>
      <c r="FM230" s="214" t="s">
        <v>530</v>
      </c>
      <c r="FO230" s="321" t="s">
        <v>15295</v>
      </c>
      <c r="FP230" s="214" t="s">
        <v>34587</v>
      </c>
      <c r="FQ230" s="214" t="s">
        <v>70</v>
      </c>
      <c r="FR230" s="214" t="s">
        <v>530</v>
      </c>
      <c r="FT230" s="321" t="s">
        <v>15296</v>
      </c>
      <c r="FU230" s="214" t="s">
        <v>923</v>
      </c>
      <c r="FV230" s="214" t="s">
        <v>70</v>
      </c>
      <c r="FW230" s="214" t="s">
        <v>530</v>
      </c>
      <c r="FY230" s="321" t="s">
        <v>15297</v>
      </c>
      <c r="FZ230" s="214" t="s">
        <v>34651</v>
      </c>
      <c r="GA230" s="214" t="s">
        <v>70</v>
      </c>
      <c r="GB230" s="214" t="s">
        <v>530</v>
      </c>
      <c r="GD230" s="321" t="s">
        <v>15298</v>
      </c>
      <c r="GE230" s="214" t="s">
        <v>468</v>
      </c>
      <c r="GF230" s="214" t="s">
        <v>70</v>
      </c>
      <c r="GG230" s="214" t="s">
        <v>530</v>
      </c>
      <c r="GI230" s="321" t="s">
        <v>15299</v>
      </c>
      <c r="GJ230" s="214" t="s">
        <v>34593</v>
      </c>
      <c r="GK230" s="214" t="s">
        <v>70</v>
      </c>
      <c r="GL230" s="214" t="s">
        <v>530</v>
      </c>
      <c r="GN230" s="321" t="s">
        <v>15300</v>
      </c>
      <c r="GO230" s="214" t="s">
        <v>34580</v>
      </c>
      <c r="GP230" s="214" t="s">
        <v>70</v>
      </c>
      <c r="GQ230" s="214" t="s">
        <v>530</v>
      </c>
      <c r="GS230" s="321" t="s">
        <v>15301</v>
      </c>
      <c r="GT230" s="214" t="s">
        <v>34588</v>
      </c>
      <c r="GU230" s="214" t="s">
        <v>70</v>
      </c>
      <c r="GV230" s="214" t="s">
        <v>530</v>
      </c>
      <c r="GX230" s="214" t="s">
        <v>15302</v>
      </c>
      <c r="GY230" s="214" t="s">
        <v>34618</v>
      </c>
      <c r="GZ230" s="214" t="s">
        <v>70</v>
      </c>
      <c r="HA230" s="214" t="s">
        <v>530</v>
      </c>
      <c r="HC230" s="214" t="s">
        <v>15303</v>
      </c>
      <c r="HD230" s="214" t="s">
        <v>146</v>
      </c>
      <c r="HE230" s="214" t="s">
        <v>70</v>
      </c>
      <c r="HF230" s="214" t="s">
        <v>530</v>
      </c>
      <c r="HH230" s="214" t="s">
        <v>15304</v>
      </c>
      <c r="HI230" s="214" t="s">
        <v>34613</v>
      </c>
      <c r="HJ230" s="214" t="s">
        <v>70</v>
      </c>
      <c r="HK230" s="214" t="s">
        <v>530</v>
      </c>
      <c r="HM230" s="214" t="s">
        <v>15305</v>
      </c>
      <c r="HN230" s="214" t="s">
        <v>305</v>
      </c>
      <c r="HO230" s="214" t="s">
        <v>70</v>
      </c>
      <c r="HP230" s="214" t="s">
        <v>530</v>
      </c>
      <c r="HR230" s="22" t="s">
        <v>15306</v>
      </c>
      <c r="HS230" s="22" t="s">
        <v>92</v>
      </c>
      <c r="HT230" s="22" t="s">
        <v>70</v>
      </c>
      <c r="HU230" s="214" t="s">
        <v>530</v>
      </c>
      <c r="HW230" s="22" t="s">
        <v>15307</v>
      </c>
      <c r="HX230" s="22" t="s">
        <v>485</v>
      </c>
      <c r="HY230" s="22" t="s">
        <v>70</v>
      </c>
      <c r="HZ230" s="214" t="s">
        <v>530</v>
      </c>
      <c r="IB230" s="22" t="s">
        <v>15308</v>
      </c>
      <c r="IC230" s="22" t="s">
        <v>488</v>
      </c>
      <c r="ID230" s="22" t="s">
        <v>70</v>
      </c>
      <c r="IE230" s="214" t="s">
        <v>530</v>
      </c>
      <c r="IG230" s="22" t="s">
        <v>15309</v>
      </c>
      <c r="IH230" s="22" t="s">
        <v>86</v>
      </c>
      <c r="II230" s="22" t="s">
        <v>70</v>
      </c>
      <c r="IJ230" s="214" t="s">
        <v>530</v>
      </c>
      <c r="IL230" s="22" t="s">
        <v>15310</v>
      </c>
      <c r="IM230" s="22" t="s">
        <v>145</v>
      </c>
      <c r="IN230" s="22" t="s">
        <v>70</v>
      </c>
      <c r="IO230" s="214" t="s">
        <v>530</v>
      </c>
      <c r="IQ230" s="236" t="s">
        <v>15311</v>
      </c>
      <c r="IR230" s="236" t="s">
        <v>145</v>
      </c>
      <c r="IS230" s="236" t="s">
        <v>74</v>
      </c>
      <c r="IT230" s="236" t="s">
        <v>841</v>
      </c>
      <c r="IV230" s="236" t="s">
        <v>15312</v>
      </c>
      <c r="IW230" s="236" t="s">
        <v>145</v>
      </c>
      <c r="IX230" s="236" t="s">
        <v>74</v>
      </c>
      <c r="IY230" s="236" t="s">
        <v>841</v>
      </c>
      <c r="JA230" s="236" t="s">
        <v>15313</v>
      </c>
      <c r="JB230" s="236" t="s">
        <v>145</v>
      </c>
      <c r="JC230" s="236" t="s">
        <v>74</v>
      </c>
      <c r="JD230" s="236" t="s">
        <v>841</v>
      </c>
      <c r="JF230" s="236" t="s">
        <v>15314</v>
      </c>
      <c r="JG230" s="236" t="s">
        <v>145</v>
      </c>
      <c r="JH230" s="236" t="s">
        <v>74</v>
      </c>
      <c r="JI230" s="236" t="s">
        <v>841</v>
      </c>
      <c r="JK230" s="236" t="s">
        <v>15315</v>
      </c>
      <c r="JL230" s="236" t="s">
        <v>145</v>
      </c>
      <c r="JM230" s="236" t="s">
        <v>74</v>
      </c>
      <c r="JN230" s="236" t="s">
        <v>841</v>
      </c>
      <c r="JP230" s="236" t="s">
        <v>15316</v>
      </c>
      <c r="JQ230" s="236" t="s">
        <v>145</v>
      </c>
      <c r="JR230" s="236" t="s">
        <v>74</v>
      </c>
      <c r="JS230" s="236" t="s">
        <v>841</v>
      </c>
      <c r="JU230" s="294" t="s">
        <v>15317</v>
      </c>
      <c r="JV230" s="294" t="s">
        <v>52</v>
      </c>
      <c r="JW230" s="263" t="s">
        <v>70</v>
      </c>
      <c r="JX230" s="294" t="s">
        <v>1083</v>
      </c>
      <c r="JZ230" s="263" t="s">
        <v>15318</v>
      </c>
      <c r="KA230" s="263" t="s">
        <v>145</v>
      </c>
      <c r="KB230" s="263" t="s">
        <v>70</v>
      </c>
      <c r="KC230" s="263" t="s">
        <v>1083</v>
      </c>
      <c r="KE230" s="263" t="s">
        <v>15319</v>
      </c>
      <c r="KF230" s="263" t="s">
        <v>52</v>
      </c>
      <c r="KG230" s="263" t="s">
        <v>70</v>
      </c>
      <c r="KH230" s="263" t="s">
        <v>1083</v>
      </c>
      <c r="KJ230" s="263" t="s">
        <v>15320</v>
      </c>
      <c r="KK230" s="263" t="s">
        <v>52</v>
      </c>
      <c r="KL230" s="263" t="s">
        <v>74</v>
      </c>
      <c r="KM230" s="263" t="s">
        <v>34074</v>
      </c>
      <c r="KO230" s="214" t="s">
        <v>15321</v>
      </c>
      <c r="KP230" s="214" t="s">
        <v>145</v>
      </c>
      <c r="KQ230" s="214" t="s">
        <v>70</v>
      </c>
      <c r="KR230" s="214" t="s">
        <v>67</v>
      </c>
      <c r="KT230" s="22" t="s">
        <v>15322</v>
      </c>
      <c r="KU230" s="22" t="s">
        <v>145</v>
      </c>
      <c r="KV230" s="22" t="s">
        <v>70</v>
      </c>
      <c r="KW230" s="22" t="s">
        <v>67</v>
      </c>
      <c r="KY230" s="214" t="s">
        <v>15323</v>
      </c>
      <c r="KZ230" s="214" t="s">
        <v>52</v>
      </c>
      <c r="LA230" s="214" t="s">
        <v>74</v>
      </c>
      <c r="LB230" s="214" t="s">
        <v>67</v>
      </c>
      <c r="LD230" s="22" t="s">
        <v>15324</v>
      </c>
      <c r="LE230" s="22" t="s">
        <v>145</v>
      </c>
      <c r="LF230" s="22" t="s">
        <v>70</v>
      </c>
      <c r="LG230" s="22" t="s">
        <v>67</v>
      </c>
    </row>
    <row r="231" spans="1:319">
      <c r="A231" s="22" t="s">
        <v>15325</v>
      </c>
      <c r="B231" s="22" t="s">
        <v>145</v>
      </c>
      <c r="C231" s="22" t="s">
        <v>70</v>
      </c>
      <c r="D231" s="22" t="s">
        <v>67</v>
      </c>
      <c r="F231" s="73" t="s">
        <v>15326</v>
      </c>
      <c r="G231" s="22" t="s">
        <v>145</v>
      </c>
      <c r="H231" s="22" t="s">
        <v>70</v>
      </c>
      <c r="I231" s="22" t="s">
        <v>67</v>
      </c>
      <c r="K231" s="22" t="s">
        <v>15327</v>
      </c>
      <c r="L231" s="22" t="s">
        <v>145</v>
      </c>
      <c r="M231" s="22" t="s">
        <v>70</v>
      </c>
      <c r="N231" s="22" t="s">
        <v>67</v>
      </c>
      <c r="P231" s="22" t="s">
        <v>15328</v>
      </c>
      <c r="Q231" s="22" t="s">
        <v>145</v>
      </c>
      <c r="R231" s="22" t="s">
        <v>70</v>
      </c>
      <c r="S231" s="22" t="s">
        <v>67</v>
      </c>
      <c r="U231" s="293" t="s">
        <v>15329</v>
      </c>
      <c r="V231" s="293" t="s">
        <v>145</v>
      </c>
      <c r="W231" s="293" t="s">
        <v>74</v>
      </c>
      <c r="X231" s="293" t="s">
        <v>656</v>
      </c>
      <c r="Z231" s="293" t="s">
        <v>15330</v>
      </c>
      <c r="AA231" s="293" t="s">
        <v>145</v>
      </c>
      <c r="AB231" s="293" t="s">
        <v>74</v>
      </c>
      <c r="AC231" s="293" t="s">
        <v>656</v>
      </c>
      <c r="AE231" s="293" t="s">
        <v>15331</v>
      </c>
      <c r="AF231" s="293" t="s">
        <v>145</v>
      </c>
      <c r="AG231" s="293" t="s">
        <v>74</v>
      </c>
      <c r="AH231" s="293" t="s">
        <v>656</v>
      </c>
      <c r="AJ231" s="293" t="s">
        <v>15332</v>
      </c>
      <c r="AK231" s="293" t="s">
        <v>145</v>
      </c>
      <c r="AL231" s="293" t="s">
        <v>74</v>
      </c>
      <c r="AM231" s="293" t="s">
        <v>656</v>
      </c>
      <c r="AO231" s="22" t="s">
        <v>15333</v>
      </c>
      <c r="AP231" s="22" t="s">
        <v>145</v>
      </c>
      <c r="AQ231" s="22" t="s">
        <v>70</v>
      </c>
      <c r="AR231" s="22" t="s">
        <v>67</v>
      </c>
      <c r="AT231" s="22" t="s">
        <v>15334</v>
      </c>
      <c r="AU231" s="22" t="s">
        <v>145</v>
      </c>
      <c r="AV231" s="22" t="s">
        <v>70</v>
      </c>
      <c r="AW231" s="22" t="s">
        <v>67</v>
      </c>
      <c r="AY231" s="22" t="s">
        <v>15335</v>
      </c>
      <c r="AZ231" s="22" t="s">
        <v>145</v>
      </c>
      <c r="BA231" s="22" t="s">
        <v>70</v>
      </c>
      <c r="BB231" s="22" t="s">
        <v>67</v>
      </c>
      <c r="BD231" s="22" t="s">
        <v>15336</v>
      </c>
      <c r="BE231" s="22" t="s">
        <v>145</v>
      </c>
      <c r="BF231" s="22" t="s">
        <v>70</v>
      </c>
      <c r="BG231" s="22" t="s">
        <v>67</v>
      </c>
      <c r="BI231" s="22" t="s">
        <v>15337</v>
      </c>
      <c r="BJ231" s="22" t="s">
        <v>145</v>
      </c>
      <c r="BK231" s="22" t="s">
        <v>70</v>
      </c>
      <c r="BL231" s="22" t="s">
        <v>67</v>
      </c>
      <c r="BN231" s="22" t="s">
        <v>15338</v>
      </c>
      <c r="BO231" s="22" t="s">
        <v>145</v>
      </c>
      <c r="BP231" s="22" t="s">
        <v>70</v>
      </c>
      <c r="BQ231" s="22" t="s">
        <v>67</v>
      </c>
      <c r="BS231" s="22" t="s">
        <v>15339</v>
      </c>
      <c r="BT231" s="22" t="s">
        <v>145</v>
      </c>
      <c r="BU231" s="22" t="s">
        <v>70</v>
      </c>
      <c r="BV231" s="214" t="s">
        <v>530</v>
      </c>
      <c r="BX231" s="22" t="s">
        <v>15340</v>
      </c>
      <c r="BY231" s="22" t="s">
        <v>145</v>
      </c>
      <c r="BZ231" s="22" t="s">
        <v>70</v>
      </c>
      <c r="CA231" s="214" t="s">
        <v>530</v>
      </c>
      <c r="CC231" s="214" t="s">
        <v>15341</v>
      </c>
      <c r="CD231" s="218" t="s">
        <v>145</v>
      </c>
      <c r="CE231" s="214" t="s">
        <v>70</v>
      </c>
      <c r="CF231" s="214" t="s">
        <v>684</v>
      </c>
      <c r="CH231" s="214" t="s">
        <v>15342</v>
      </c>
      <c r="CI231" s="214" t="s">
        <v>34544</v>
      </c>
      <c r="CJ231" s="214" t="s">
        <v>70</v>
      </c>
      <c r="CK231" s="214" t="s">
        <v>530</v>
      </c>
      <c r="CM231" s="214" t="s">
        <v>15343</v>
      </c>
      <c r="CN231" s="214" t="s">
        <v>488</v>
      </c>
      <c r="CO231" s="214" t="s">
        <v>70</v>
      </c>
      <c r="CP231" s="214" t="s">
        <v>530</v>
      </c>
      <c r="CR231" s="214" t="s">
        <v>15344</v>
      </c>
      <c r="CS231" s="214" t="s">
        <v>492</v>
      </c>
      <c r="CT231" s="214" t="s">
        <v>70</v>
      </c>
      <c r="CU231" s="214" t="s">
        <v>530</v>
      </c>
      <c r="CW231" s="214" t="s">
        <v>15345</v>
      </c>
      <c r="CX231" s="214" t="s">
        <v>34540</v>
      </c>
      <c r="CY231" s="214" t="s">
        <v>70</v>
      </c>
      <c r="CZ231" s="214" t="s">
        <v>530</v>
      </c>
      <c r="DB231" s="214" t="s">
        <v>15346</v>
      </c>
      <c r="DC231" s="214" t="s">
        <v>484</v>
      </c>
      <c r="DD231" s="214" t="s">
        <v>70</v>
      </c>
      <c r="DE231" s="214" t="s">
        <v>530</v>
      </c>
      <c r="DG231" s="214" t="s">
        <v>15347</v>
      </c>
      <c r="DH231" s="214" t="s">
        <v>484</v>
      </c>
      <c r="DI231" s="214" t="s">
        <v>70</v>
      </c>
      <c r="DJ231" s="214" t="s">
        <v>530</v>
      </c>
      <c r="DL231" s="214" t="s">
        <v>15348</v>
      </c>
      <c r="DM231" s="214" t="s">
        <v>34560</v>
      </c>
      <c r="DN231" s="214" t="s">
        <v>70</v>
      </c>
      <c r="DO231" s="214" t="s">
        <v>530</v>
      </c>
      <c r="DQ231" s="214" t="s">
        <v>15349</v>
      </c>
      <c r="DR231" s="214" t="s">
        <v>599</v>
      </c>
      <c r="DS231" s="214" t="s">
        <v>70</v>
      </c>
      <c r="DT231" s="214" t="s">
        <v>530</v>
      </c>
      <c r="DV231" s="214" t="s">
        <v>15350</v>
      </c>
      <c r="DW231" s="214" t="s">
        <v>146</v>
      </c>
      <c r="DX231" s="214" t="s">
        <v>70</v>
      </c>
      <c r="DY231" s="214" t="s">
        <v>530</v>
      </c>
      <c r="EA231" s="214" t="s">
        <v>15351</v>
      </c>
      <c r="EB231" s="214" t="s">
        <v>52</v>
      </c>
      <c r="EC231" s="214" t="s">
        <v>70</v>
      </c>
      <c r="ED231" s="214" t="s">
        <v>530</v>
      </c>
      <c r="EF231" s="214" t="s">
        <v>15352</v>
      </c>
      <c r="EG231" s="214" t="s">
        <v>482</v>
      </c>
      <c r="EH231" s="214" t="s">
        <v>70</v>
      </c>
      <c r="EI231" s="214" t="s">
        <v>530</v>
      </c>
      <c r="EK231" s="214" t="s">
        <v>15353</v>
      </c>
      <c r="EL231" s="214" t="s">
        <v>34542</v>
      </c>
      <c r="EM231" s="214" t="s">
        <v>70</v>
      </c>
      <c r="EN231" s="214" t="s">
        <v>530</v>
      </c>
      <c r="EP231" s="214" t="s">
        <v>15354</v>
      </c>
      <c r="EQ231" s="214" t="s">
        <v>497</v>
      </c>
      <c r="ER231" s="214" t="s">
        <v>70</v>
      </c>
      <c r="ES231" s="214" t="s">
        <v>530</v>
      </c>
      <c r="EU231" s="214" t="s">
        <v>15355</v>
      </c>
      <c r="EV231" s="214" t="s">
        <v>34557</v>
      </c>
      <c r="EW231" s="214" t="s">
        <v>70</v>
      </c>
      <c r="EX231" s="214" t="s">
        <v>530</v>
      </c>
      <c r="EZ231" s="214" t="s">
        <v>15356</v>
      </c>
      <c r="FA231" s="214" t="s">
        <v>34542</v>
      </c>
      <c r="FB231" s="214" t="s">
        <v>70</v>
      </c>
      <c r="FC231" s="214" t="s">
        <v>530</v>
      </c>
      <c r="FE231" s="214" t="s">
        <v>15357</v>
      </c>
      <c r="FF231" s="214" t="s">
        <v>921</v>
      </c>
      <c r="FG231" s="214" t="s">
        <v>70</v>
      </c>
      <c r="FH231" s="214" t="s">
        <v>530</v>
      </c>
      <c r="FJ231" s="321" t="s">
        <v>15358</v>
      </c>
      <c r="FK231" s="214" t="s">
        <v>34544</v>
      </c>
      <c r="FL231" s="214" t="s">
        <v>70</v>
      </c>
      <c r="FM231" s="214" t="s">
        <v>530</v>
      </c>
      <c r="FO231" s="321" t="s">
        <v>15359</v>
      </c>
      <c r="FP231" s="214" t="s">
        <v>34556</v>
      </c>
      <c r="FQ231" s="214" t="s">
        <v>70</v>
      </c>
      <c r="FR231" s="214" t="s">
        <v>530</v>
      </c>
      <c r="FT231" s="321" t="s">
        <v>15360</v>
      </c>
      <c r="FU231" s="214" t="s">
        <v>149</v>
      </c>
      <c r="FV231" s="214" t="s">
        <v>70</v>
      </c>
      <c r="FW231" s="214" t="s">
        <v>530</v>
      </c>
      <c r="FY231" s="321" t="s">
        <v>15361</v>
      </c>
      <c r="FZ231" s="214" t="s">
        <v>34542</v>
      </c>
      <c r="GA231" s="214" t="s">
        <v>70</v>
      </c>
      <c r="GB231" s="214" t="s">
        <v>530</v>
      </c>
      <c r="GD231" s="321" t="s">
        <v>15362</v>
      </c>
      <c r="GE231" s="214" t="s">
        <v>34544</v>
      </c>
      <c r="GF231" s="214" t="s">
        <v>70</v>
      </c>
      <c r="GG231" s="214" t="s">
        <v>530</v>
      </c>
      <c r="GI231" s="321" t="s">
        <v>15363</v>
      </c>
      <c r="GJ231" s="214" t="s">
        <v>486</v>
      </c>
      <c r="GK231" s="214" t="s">
        <v>70</v>
      </c>
      <c r="GL231" s="214" t="s">
        <v>530</v>
      </c>
      <c r="GN231" s="321" t="s">
        <v>15364</v>
      </c>
      <c r="GO231" s="214" t="s">
        <v>34542</v>
      </c>
      <c r="GP231" s="214" t="s">
        <v>70</v>
      </c>
      <c r="GQ231" s="214" t="s">
        <v>530</v>
      </c>
      <c r="GS231" s="321" t="s">
        <v>15365</v>
      </c>
      <c r="GT231" s="214" t="s">
        <v>503</v>
      </c>
      <c r="GU231" s="214" t="s">
        <v>70</v>
      </c>
      <c r="GV231" s="214" t="s">
        <v>530</v>
      </c>
      <c r="GX231" s="214" t="s">
        <v>15366</v>
      </c>
      <c r="GY231" s="214" t="s">
        <v>34544</v>
      </c>
      <c r="GZ231" s="214" t="s">
        <v>70</v>
      </c>
      <c r="HA231" s="214" t="s">
        <v>530</v>
      </c>
      <c r="HC231" s="214" t="s">
        <v>15367</v>
      </c>
      <c r="HD231" s="214" t="s">
        <v>88</v>
      </c>
      <c r="HE231" s="214" t="s">
        <v>70</v>
      </c>
      <c r="HF231" s="214" t="s">
        <v>530</v>
      </c>
      <c r="HH231" s="214" t="s">
        <v>15368</v>
      </c>
      <c r="HI231" s="214" t="s">
        <v>149</v>
      </c>
      <c r="HJ231" s="214" t="s">
        <v>70</v>
      </c>
      <c r="HK231" s="214" t="s">
        <v>530</v>
      </c>
      <c r="HM231" s="214" t="s">
        <v>15369</v>
      </c>
      <c r="HN231" s="214" t="s">
        <v>598</v>
      </c>
      <c r="HO231" s="214" t="s">
        <v>70</v>
      </c>
      <c r="HP231" s="214" t="s">
        <v>530</v>
      </c>
      <c r="HR231" s="22" t="s">
        <v>15370</v>
      </c>
      <c r="HS231" s="22" t="s">
        <v>496</v>
      </c>
      <c r="HT231" s="22" t="s">
        <v>70</v>
      </c>
      <c r="HU231" s="214" t="s">
        <v>530</v>
      </c>
      <c r="HW231" s="22" t="s">
        <v>15371</v>
      </c>
      <c r="HX231" s="22" t="s">
        <v>146</v>
      </c>
      <c r="HY231" s="22" t="s">
        <v>70</v>
      </c>
      <c r="HZ231" s="214" t="s">
        <v>530</v>
      </c>
      <c r="IB231" s="22" t="s">
        <v>15372</v>
      </c>
      <c r="IC231" s="22" t="s">
        <v>484</v>
      </c>
      <c r="ID231" s="22" t="s">
        <v>70</v>
      </c>
      <c r="IE231" s="214" t="s">
        <v>530</v>
      </c>
      <c r="IG231" s="22" t="s">
        <v>15373</v>
      </c>
      <c r="IH231" s="22" t="s">
        <v>1224</v>
      </c>
      <c r="II231" s="22" t="s">
        <v>70</v>
      </c>
      <c r="IJ231" s="214" t="s">
        <v>530</v>
      </c>
      <c r="IL231" s="22" t="s">
        <v>15374</v>
      </c>
      <c r="IM231" s="22" t="s">
        <v>145</v>
      </c>
      <c r="IN231" s="22" t="s">
        <v>70</v>
      </c>
      <c r="IO231" s="214" t="s">
        <v>530</v>
      </c>
      <c r="IQ231" s="236" t="s">
        <v>15375</v>
      </c>
      <c r="IR231" s="236" t="s">
        <v>145</v>
      </c>
      <c r="IS231" s="236" t="s">
        <v>74</v>
      </c>
      <c r="IT231" s="236" t="s">
        <v>841</v>
      </c>
      <c r="IV231" s="236" t="s">
        <v>15376</v>
      </c>
      <c r="IW231" s="236" t="s">
        <v>145</v>
      </c>
      <c r="IX231" s="236" t="s">
        <v>74</v>
      </c>
      <c r="IY231" s="236" t="s">
        <v>841</v>
      </c>
      <c r="JA231" s="236" t="s">
        <v>15377</v>
      </c>
      <c r="JB231" s="236" t="s">
        <v>145</v>
      </c>
      <c r="JC231" s="236" t="s">
        <v>74</v>
      </c>
      <c r="JD231" s="236" t="s">
        <v>841</v>
      </c>
      <c r="JF231" s="236" t="s">
        <v>15378</v>
      </c>
      <c r="JG231" s="236" t="s">
        <v>145</v>
      </c>
      <c r="JH231" s="236" t="s">
        <v>74</v>
      </c>
      <c r="JI231" s="236" t="s">
        <v>841</v>
      </c>
      <c r="JK231" s="236" t="s">
        <v>15379</v>
      </c>
      <c r="JL231" s="236" t="s">
        <v>145</v>
      </c>
      <c r="JM231" s="236" t="s">
        <v>74</v>
      </c>
      <c r="JN231" s="236" t="s">
        <v>841</v>
      </c>
      <c r="JP231" s="236" t="s">
        <v>15380</v>
      </c>
      <c r="JQ231" s="236" t="s">
        <v>145</v>
      </c>
      <c r="JR231" s="236" t="s">
        <v>74</v>
      </c>
      <c r="JS231" s="236" t="s">
        <v>841</v>
      </c>
      <c r="JU231" s="294" t="s">
        <v>15381</v>
      </c>
      <c r="JV231" s="294" t="s">
        <v>52</v>
      </c>
      <c r="JW231" s="263" t="s">
        <v>70</v>
      </c>
      <c r="JX231" s="294" t="s">
        <v>1083</v>
      </c>
      <c r="JZ231" s="263" t="s">
        <v>15382</v>
      </c>
      <c r="KA231" s="263" t="s">
        <v>145</v>
      </c>
      <c r="KB231" s="263" t="s">
        <v>70</v>
      </c>
      <c r="KC231" s="263" t="s">
        <v>1083</v>
      </c>
      <c r="KE231" s="263" t="s">
        <v>15383</v>
      </c>
      <c r="KF231" s="263" t="s">
        <v>52</v>
      </c>
      <c r="KG231" s="263" t="s">
        <v>70</v>
      </c>
      <c r="KH231" s="263" t="s">
        <v>1083</v>
      </c>
      <c r="KJ231" s="263" t="s">
        <v>15384</v>
      </c>
      <c r="KK231" s="263" t="s">
        <v>52</v>
      </c>
      <c r="KL231" s="263" t="s">
        <v>74</v>
      </c>
      <c r="KM231" s="263" t="s">
        <v>34074</v>
      </c>
      <c r="KO231" s="214" t="s">
        <v>15385</v>
      </c>
      <c r="KP231" s="214" t="s">
        <v>145</v>
      </c>
      <c r="KQ231" s="214" t="s">
        <v>70</v>
      </c>
      <c r="KR231" s="214" t="s">
        <v>67</v>
      </c>
      <c r="KT231" s="22" t="s">
        <v>15386</v>
      </c>
      <c r="KU231" s="22" t="s">
        <v>145</v>
      </c>
      <c r="KV231" s="22" t="s">
        <v>70</v>
      </c>
      <c r="KW231" s="22" t="s">
        <v>67</v>
      </c>
      <c r="KY231" s="214" t="s">
        <v>15387</v>
      </c>
      <c r="KZ231" s="214" t="s">
        <v>52</v>
      </c>
      <c r="LA231" s="214" t="s">
        <v>74</v>
      </c>
      <c r="LB231" s="214" t="s">
        <v>67</v>
      </c>
      <c r="LD231" s="22" t="s">
        <v>15388</v>
      </c>
      <c r="LE231" s="22" t="s">
        <v>145</v>
      </c>
      <c r="LF231" s="22" t="s">
        <v>70</v>
      </c>
      <c r="LG231" s="22" t="s">
        <v>67</v>
      </c>
    </row>
    <row r="232" spans="1:319">
      <c r="A232" s="22" t="s">
        <v>15389</v>
      </c>
      <c r="B232" s="22" t="s">
        <v>145</v>
      </c>
      <c r="C232" s="22" t="s">
        <v>70</v>
      </c>
      <c r="D232" s="22" t="s">
        <v>67</v>
      </c>
      <c r="F232" s="73" t="s">
        <v>15390</v>
      </c>
      <c r="G232" s="22" t="s">
        <v>145</v>
      </c>
      <c r="H232" s="22" t="s">
        <v>70</v>
      </c>
      <c r="I232" s="22" t="s">
        <v>67</v>
      </c>
      <c r="K232" s="22" t="s">
        <v>15391</v>
      </c>
      <c r="L232" s="22" t="s">
        <v>145</v>
      </c>
      <c r="M232" s="22" t="s">
        <v>70</v>
      </c>
      <c r="N232" s="22" t="s">
        <v>67</v>
      </c>
      <c r="P232" s="22" t="s">
        <v>15392</v>
      </c>
      <c r="Q232" s="22" t="s">
        <v>145</v>
      </c>
      <c r="R232" s="22" t="s">
        <v>70</v>
      </c>
      <c r="S232" s="22" t="s">
        <v>67</v>
      </c>
      <c r="U232" s="293" t="s">
        <v>15393</v>
      </c>
      <c r="V232" s="293" t="s">
        <v>145</v>
      </c>
      <c r="W232" s="293" t="s">
        <v>74</v>
      </c>
      <c r="X232" s="293" t="s">
        <v>656</v>
      </c>
      <c r="Z232" s="293" t="s">
        <v>15394</v>
      </c>
      <c r="AA232" s="293" t="s">
        <v>145</v>
      </c>
      <c r="AB232" s="293" t="s">
        <v>74</v>
      </c>
      <c r="AC232" s="293" t="s">
        <v>656</v>
      </c>
      <c r="AE232" s="293" t="s">
        <v>15395</v>
      </c>
      <c r="AF232" s="293" t="s">
        <v>145</v>
      </c>
      <c r="AG232" s="293" t="s">
        <v>74</v>
      </c>
      <c r="AH232" s="293" t="s">
        <v>656</v>
      </c>
      <c r="AJ232" s="293" t="s">
        <v>15396</v>
      </c>
      <c r="AK232" s="293" t="s">
        <v>145</v>
      </c>
      <c r="AL232" s="293" t="s">
        <v>74</v>
      </c>
      <c r="AM232" s="293" t="s">
        <v>656</v>
      </c>
      <c r="AO232" s="22" t="s">
        <v>15397</v>
      </c>
      <c r="AP232" s="22" t="s">
        <v>145</v>
      </c>
      <c r="AQ232" s="22" t="s">
        <v>70</v>
      </c>
      <c r="AR232" s="22" t="s">
        <v>67</v>
      </c>
      <c r="AT232" s="22" t="s">
        <v>15398</v>
      </c>
      <c r="AU232" s="22" t="s">
        <v>145</v>
      </c>
      <c r="AV232" s="22" t="s">
        <v>70</v>
      </c>
      <c r="AW232" s="22" t="s">
        <v>67</v>
      </c>
      <c r="AY232" s="22" t="s">
        <v>15399</v>
      </c>
      <c r="AZ232" s="22" t="s">
        <v>145</v>
      </c>
      <c r="BA232" s="22" t="s">
        <v>70</v>
      </c>
      <c r="BB232" s="22" t="s">
        <v>67</v>
      </c>
      <c r="BD232" s="22" t="s">
        <v>15400</v>
      </c>
      <c r="BE232" s="22" t="s">
        <v>145</v>
      </c>
      <c r="BF232" s="22" t="s">
        <v>70</v>
      </c>
      <c r="BG232" s="22" t="s">
        <v>67</v>
      </c>
      <c r="BI232" s="22" t="s">
        <v>15401</v>
      </c>
      <c r="BJ232" s="22" t="s">
        <v>145</v>
      </c>
      <c r="BK232" s="22" t="s">
        <v>70</v>
      </c>
      <c r="BL232" s="22" t="s">
        <v>67</v>
      </c>
      <c r="BN232" s="22" t="s">
        <v>15402</v>
      </c>
      <c r="BO232" s="22" t="s">
        <v>145</v>
      </c>
      <c r="BP232" s="22" t="s">
        <v>70</v>
      </c>
      <c r="BQ232" s="22" t="s">
        <v>67</v>
      </c>
      <c r="BS232" s="22" t="s">
        <v>15403</v>
      </c>
      <c r="BT232" s="22" t="s">
        <v>145</v>
      </c>
      <c r="BU232" s="22" t="s">
        <v>70</v>
      </c>
      <c r="BV232" s="214" t="s">
        <v>530</v>
      </c>
      <c r="BX232" s="22" t="s">
        <v>15404</v>
      </c>
      <c r="BY232" s="22" t="s">
        <v>145</v>
      </c>
      <c r="BZ232" s="22" t="s">
        <v>70</v>
      </c>
      <c r="CA232" s="214" t="s">
        <v>530</v>
      </c>
      <c r="CC232" s="214" t="s">
        <v>15405</v>
      </c>
      <c r="CD232" s="218" t="s">
        <v>145</v>
      </c>
      <c r="CE232" s="214" t="s">
        <v>70</v>
      </c>
      <c r="CF232" s="214" t="s">
        <v>685</v>
      </c>
      <c r="CH232" s="214" t="s">
        <v>15406</v>
      </c>
      <c r="CI232" s="214" t="s">
        <v>485</v>
      </c>
      <c r="CJ232" s="214" t="s">
        <v>70</v>
      </c>
      <c r="CK232" s="214" t="s">
        <v>530</v>
      </c>
      <c r="CM232" s="214" t="s">
        <v>15407</v>
      </c>
      <c r="CN232" s="214" t="s">
        <v>468</v>
      </c>
      <c r="CO232" s="214" t="s">
        <v>70</v>
      </c>
      <c r="CP232" s="214" t="s">
        <v>530</v>
      </c>
      <c r="CR232" s="214" t="s">
        <v>15408</v>
      </c>
      <c r="CS232" s="214" t="s">
        <v>305</v>
      </c>
      <c r="CT232" s="214" t="s">
        <v>70</v>
      </c>
      <c r="CU232" s="214" t="s">
        <v>530</v>
      </c>
      <c r="CW232" s="214" t="s">
        <v>15409</v>
      </c>
      <c r="CX232" s="214" t="s">
        <v>34545</v>
      </c>
      <c r="CY232" s="214" t="s">
        <v>70</v>
      </c>
      <c r="CZ232" s="214" t="s">
        <v>530</v>
      </c>
      <c r="DB232" s="214" t="s">
        <v>15410</v>
      </c>
      <c r="DC232" s="214" t="s">
        <v>921</v>
      </c>
      <c r="DD232" s="214" t="s">
        <v>70</v>
      </c>
      <c r="DE232" s="214" t="s">
        <v>530</v>
      </c>
      <c r="DG232" s="214" t="s">
        <v>15411</v>
      </c>
      <c r="DH232" s="214" t="s">
        <v>604</v>
      </c>
      <c r="DI232" s="214" t="s">
        <v>70</v>
      </c>
      <c r="DJ232" s="214" t="s">
        <v>530</v>
      </c>
      <c r="DL232" s="214" t="s">
        <v>15412</v>
      </c>
      <c r="DM232" s="214" t="s">
        <v>93</v>
      </c>
      <c r="DN232" s="214" t="s">
        <v>70</v>
      </c>
      <c r="DO232" s="214" t="s">
        <v>530</v>
      </c>
      <c r="DQ232" s="214" t="s">
        <v>15413</v>
      </c>
      <c r="DR232" s="214" t="s">
        <v>34551</v>
      </c>
      <c r="DS232" s="214" t="s">
        <v>70</v>
      </c>
      <c r="DT232" s="214" t="s">
        <v>530</v>
      </c>
      <c r="DV232" s="214" t="s">
        <v>15414</v>
      </c>
      <c r="DW232" s="214" t="s">
        <v>148</v>
      </c>
      <c r="DX232" s="214" t="s">
        <v>70</v>
      </c>
      <c r="DY232" s="214" t="s">
        <v>530</v>
      </c>
      <c r="EA232" s="214" t="s">
        <v>15415</v>
      </c>
      <c r="EB232" s="214" t="s">
        <v>145</v>
      </c>
      <c r="EC232" s="214" t="s">
        <v>70</v>
      </c>
      <c r="ED232" s="214" t="s">
        <v>530</v>
      </c>
      <c r="EF232" s="214" t="s">
        <v>15416</v>
      </c>
      <c r="EG232" s="214" t="s">
        <v>498</v>
      </c>
      <c r="EH232" s="214" t="s">
        <v>70</v>
      </c>
      <c r="EI232" s="214" t="s">
        <v>530</v>
      </c>
      <c r="EK232" s="214" t="s">
        <v>15417</v>
      </c>
      <c r="EL232" s="214" t="s">
        <v>956</v>
      </c>
      <c r="EM232" s="214" t="s">
        <v>70</v>
      </c>
      <c r="EN232" s="214" t="s">
        <v>530</v>
      </c>
      <c r="EP232" s="214" t="s">
        <v>15418</v>
      </c>
      <c r="EQ232" s="214" t="s">
        <v>52</v>
      </c>
      <c r="ER232" s="214" t="s">
        <v>70</v>
      </c>
      <c r="ES232" s="214" t="s">
        <v>530</v>
      </c>
      <c r="EU232" s="214" t="s">
        <v>15419</v>
      </c>
      <c r="EV232" s="214" t="s">
        <v>286</v>
      </c>
      <c r="EW232" s="214" t="s">
        <v>70</v>
      </c>
      <c r="EX232" s="214" t="s">
        <v>530</v>
      </c>
      <c r="EZ232" s="214" t="s">
        <v>15420</v>
      </c>
      <c r="FA232" s="214" t="s">
        <v>952</v>
      </c>
      <c r="FB232" s="214" t="s">
        <v>70</v>
      </c>
      <c r="FC232" s="214" t="s">
        <v>530</v>
      </c>
      <c r="FE232" s="214" t="s">
        <v>15421</v>
      </c>
      <c r="FF232" s="214" t="s">
        <v>148</v>
      </c>
      <c r="FG232" s="214" t="s">
        <v>70</v>
      </c>
      <c r="FH232" s="214" t="s">
        <v>530</v>
      </c>
      <c r="FJ232" s="321" t="s">
        <v>15422</v>
      </c>
      <c r="FK232" s="214" t="s">
        <v>34619</v>
      </c>
      <c r="FL232" s="214" t="s">
        <v>70</v>
      </c>
      <c r="FM232" s="214" t="s">
        <v>530</v>
      </c>
      <c r="FO232" s="321" t="s">
        <v>15423</v>
      </c>
      <c r="FP232" s="214" t="s">
        <v>52</v>
      </c>
      <c r="FQ232" s="214" t="s">
        <v>70</v>
      </c>
      <c r="FR232" s="214" t="s">
        <v>530</v>
      </c>
      <c r="FT232" s="321" t="s">
        <v>15424</v>
      </c>
      <c r="FU232" s="214" t="s">
        <v>148</v>
      </c>
      <c r="FV232" s="214" t="s">
        <v>70</v>
      </c>
      <c r="FW232" s="214" t="s">
        <v>530</v>
      </c>
      <c r="FY232" s="321" t="s">
        <v>15425</v>
      </c>
      <c r="FZ232" s="214" t="s">
        <v>34544</v>
      </c>
      <c r="GA232" s="214" t="s">
        <v>70</v>
      </c>
      <c r="GB232" s="214" t="s">
        <v>530</v>
      </c>
      <c r="GD232" s="321" t="s">
        <v>15426</v>
      </c>
      <c r="GE232" s="214" t="s">
        <v>487</v>
      </c>
      <c r="GF232" s="214" t="s">
        <v>70</v>
      </c>
      <c r="GG232" s="214" t="s">
        <v>530</v>
      </c>
      <c r="GI232" s="321" t="s">
        <v>15427</v>
      </c>
      <c r="GJ232" s="214" t="s">
        <v>641</v>
      </c>
      <c r="GK232" s="214" t="s">
        <v>70</v>
      </c>
      <c r="GL232" s="214" t="s">
        <v>530</v>
      </c>
      <c r="GN232" s="321" t="s">
        <v>15428</v>
      </c>
      <c r="GO232" s="214" t="s">
        <v>93</v>
      </c>
      <c r="GP232" s="214" t="s">
        <v>70</v>
      </c>
      <c r="GQ232" s="214" t="s">
        <v>530</v>
      </c>
      <c r="GS232" s="321" t="s">
        <v>15429</v>
      </c>
      <c r="GT232" s="214" t="s">
        <v>52</v>
      </c>
      <c r="GU232" s="214" t="s">
        <v>70</v>
      </c>
      <c r="GV232" s="214" t="s">
        <v>530</v>
      </c>
      <c r="GX232" s="214" t="s">
        <v>15430</v>
      </c>
      <c r="GY232" s="214" t="s">
        <v>86</v>
      </c>
      <c r="GZ232" s="214" t="s">
        <v>70</v>
      </c>
      <c r="HA232" s="214" t="s">
        <v>530</v>
      </c>
      <c r="HC232" s="214" t="s">
        <v>15431</v>
      </c>
      <c r="HD232" s="214" t="s">
        <v>86</v>
      </c>
      <c r="HE232" s="214" t="s">
        <v>70</v>
      </c>
      <c r="HF232" s="214" t="s">
        <v>530</v>
      </c>
      <c r="HH232" s="214" t="s">
        <v>15432</v>
      </c>
      <c r="HI232" s="214" t="s">
        <v>90</v>
      </c>
      <c r="HJ232" s="214" t="s">
        <v>70</v>
      </c>
      <c r="HK232" s="214" t="s">
        <v>530</v>
      </c>
      <c r="HM232" s="214" t="s">
        <v>15433</v>
      </c>
      <c r="HN232" s="214" t="s">
        <v>34560</v>
      </c>
      <c r="HO232" s="214" t="s">
        <v>70</v>
      </c>
      <c r="HP232" s="214" t="s">
        <v>530</v>
      </c>
      <c r="HR232" s="22" t="s">
        <v>15434</v>
      </c>
      <c r="HS232" s="22" t="s">
        <v>481</v>
      </c>
      <c r="HT232" s="22" t="s">
        <v>70</v>
      </c>
      <c r="HU232" s="214" t="s">
        <v>530</v>
      </c>
      <c r="HW232" s="22" t="s">
        <v>15435</v>
      </c>
      <c r="HX232" s="22" t="s">
        <v>149</v>
      </c>
      <c r="HY232" s="22" t="s">
        <v>70</v>
      </c>
      <c r="HZ232" s="214" t="s">
        <v>530</v>
      </c>
      <c r="IB232" s="22" t="s">
        <v>15436</v>
      </c>
      <c r="IC232" s="22" t="s">
        <v>89</v>
      </c>
      <c r="ID232" s="22" t="s">
        <v>70</v>
      </c>
      <c r="IE232" s="214" t="s">
        <v>530</v>
      </c>
      <c r="IG232" s="22" t="s">
        <v>15437</v>
      </c>
      <c r="IH232" s="22" t="s">
        <v>941</v>
      </c>
      <c r="II232" s="22" t="s">
        <v>70</v>
      </c>
      <c r="IJ232" s="214" t="s">
        <v>530</v>
      </c>
      <c r="IL232" s="22" t="s">
        <v>15438</v>
      </c>
      <c r="IM232" s="22" t="s">
        <v>145</v>
      </c>
      <c r="IN232" s="22" t="s">
        <v>70</v>
      </c>
      <c r="IO232" s="214" t="s">
        <v>530</v>
      </c>
      <c r="IQ232" s="236" t="s">
        <v>15439</v>
      </c>
      <c r="IR232" s="236" t="s">
        <v>145</v>
      </c>
      <c r="IS232" s="236" t="s">
        <v>74</v>
      </c>
      <c r="IT232" s="236" t="s">
        <v>841</v>
      </c>
      <c r="IV232" s="236" t="s">
        <v>15440</v>
      </c>
      <c r="IW232" s="236" t="s">
        <v>145</v>
      </c>
      <c r="IX232" s="236" t="s">
        <v>74</v>
      </c>
      <c r="IY232" s="236" t="s">
        <v>841</v>
      </c>
      <c r="JA232" s="236" t="s">
        <v>15441</v>
      </c>
      <c r="JB232" s="236" t="s">
        <v>145</v>
      </c>
      <c r="JC232" s="236" t="s">
        <v>74</v>
      </c>
      <c r="JD232" s="236" t="s">
        <v>841</v>
      </c>
      <c r="JF232" s="236" t="s">
        <v>15442</v>
      </c>
      <c r="JG232" s="236" t="s">
        <v>145</v>
      </c>
      <c r="JH232" s="236" t="s">
        <v>74</v>
      </c>
      <c r="JI232" s="236" t="s">
        <v>841</v>
      </c>
      <c r="JK232" s="236" t="s">
        <v>15443</v>
      </c>
      <c r="JL232" s="236" t="s">
        <v>145</v>
      </c>
      <c r="JM232" s="236" t="s">
        <v>74</v>
      </c>
      <c r="JN232" s="236" t="s">
        <v>841</v>
      </c>
      <c r="JP232" s="236" t="s">
        <v>15444</v>
      </c>
      <c r="JQ232" s="236" t="s">
        <v>145</v>
      </c>
      <c r="JR232" s="236" t="s">
        <v>74</v>
      </c>
      <c r="JS232" s="236" t="s">
        <v>841</v>
      </c>
      <c r="JU232" s="294" t="s">
        <v>15445</v>
      </c>
      <c r="JV232" s="294" t="s">
        <v>52</v>
      </c>
      <c r="JW232" s="263" t="s">
        <v>70</v>
      </c>
      <c r="JX232" s="294" t="s">
        <v>1083</v>
      </c>
      <c r="JZ232" s="263" t="s">
        <v>15446</v>
      </c>
      <c r="KA232" s="263" t="s">
        <v>145</v>
      </c>
      <c r="KB232" s="263" t="s">
        <v>70</v>
      </c>
      <c r="KC232" s="263" t="s">
        <v>1083</v>
      </c>
      <c r="KE232" s="263" t="s">
        <v>15447</v>
      </c>
      <c r="KF232" s="263" t="s">
        <v>52</v>
      </c>
      <c r="KG232" s="263" t="s">
        <v>70</v>
      </c>
      <c r="KH232" s="263" t="s">
        <v>1083</v>
      </c>
      <c r="KJ232" s="263" t="s">
        <v>15448</v>
      </c>
      <c r="KK232" s="263" t="s">
        <v>52</v>
      </c>
      <c r="KL232" s="263" t="s">
        <v>74</v>
      </c>
      <c r="KM232" s="263" t="s">
        <v>34074</v>
      </c>
      <c r="KO232" s="214" t="s">
        <v>15449</v>
      </c>
      <c r="KP232" s="214" t="s">
        <v>145</v>
      </c>
      <c r="KQ232" s="214" t="s">
        <v>70</v>
      </c>
      <c r="KR232" s="214" t="s">
        <v>67</v>
      </c>
      <c r="KT232" s="22" t="s">
        <v>15450</v>
      </c>
      <c r="KU232" s="22" t="s">
        <v>145</v>
      </c>
      <c r="KV232" s="22" t="s">
        <v>70</v>
      </c>
      <c r="KW232" s="22" t="s">
        <v>67</v>
      </c>
      <c r="KY232" s="214" t="s">
        <v>15451</v>
      </c>
      <c r="KZ232" s="214" t="s">
        <v>52</v>
      </c>
      <c r="LA232" s="214" t="s">
        <v>74</v>
      </c>
      <c r="LB232" s="214" t="s">
        <v>67</v>
      </c>
      <c r="LD232" s="22" t="s">
        <v>15452</v>
      </c>
      <c r="LE232" s="22" t="s">
        <v>145</v>
      </c>
      <c r="LF232" s="22" t="s">
        <v>70</v>
      </c>
      <c r="LG232" s="22" t="s">
        <v>67</v>
      </c>
    </row>
    <row r="233" spans="1:319">
      <c r="A233" s="22" t="s">
        <v>15453</v>
      </c>
      <c r="B233" s="22" t="s">
        <v>145</v>
      </c>
      <c r="C233" s="22" t="s">
        <v>70</v>
      </c>
      <c r="D233" s="22" t="s">
        <v>67</v>
      </c>
      <c r="F233" s="73" t="s">
        <v>15454</v>
      </c>
      <c r="G233" s="22" t="s">
        <v>145</v>
      </c>
      <c r="H233" s="22" t="s">
        <v>70</v>
      </c>
      <c r="I233" s="22" t="s">
        <v>67</v>
      </c>
      <c r="K233" s="22" t="s">
        <v>15455</v>
      </c>
      <c r="L233" s="22" t="s">
        <v>145</v>
      </c>
      <c r="M233" s="22" t="s">
        <v>70</v>
      </c>
      <c r="N233" s="22" t="s">
        <v>67</v>
      </c>
      <c r="P233" s="22" t="s">
        <v>15456</v>
      </c>
      <c r="Q233" s="22" t="s">
        <v>145</v>
      </c>
      <c r="R233" s="22" t="s">
        <v>70</v>
      </c>
      <c r="S233" s="22" t="s">
        <v>67</v>
      </c>
      <c r="U233" s="293" t="s">
        <v>15457</v>
      </c>
      <c r="V233" s="293" t="s">
        <v>145</v>
      </c>
      <c r="W233" s="293" t="s">
        <v>74</v>
      </c>
      <c r="X233" s="293" t="s">
        <v>656</v>
      </c>
      <c r="Z233" s="293" t="s">
        <v>15458</v>
      </c>
      <c r="AA233" s="293" t="s">
        <v>145</v>
      </c>
      <c r="AB233" s="293" t="s">
        <v>74</v>
      </c>
      <c r="AC233" s="293" t="s">
        <v>656</v>
      </c>
      <c r="AE233" s="293" t="s">
        <v>15459</v>
      </c>
      <c r="AF233" s="293" t="s">
        <v>145</v>
      </c>
      <c r="AG233" s="293" t="s">
        <v>74</v>
      </c>
      <c r="AH233" s="293" t="s">
        <v>656</v>
      </c>
      <c r="AJ233" s="293" t="s">
        <v>15460</v>
      </c>
      <c r="AK233" s="293" t="s">
        <v>145</v>
      </c>
      <c r="AL233" s="293" t="s">
        <v>74</v>
      </c>
      <c r="AM233" s="293" t="s">
        <v>656</v>
      </c>
      <c r="AO233" s="22" t="s">
        <v>15461</v>
      </c>
      <c r="AP233" s="22" t="s">
        <v>145</v>
      </c>
      <c r="AQ233" s="22" t="s">
        <v>70</v>
      </c>
      <c r="AR233" s="22" t="s">
        <v>67</v>
      </c>
      <c r="AT233" s="22" t="s">
        <v>15462</v>
      </c>
      <c r="AU233" s="22" t="s">
        <v>145</v>
      </c>
      <c r="AV233" s="22" t="s">
        <v>70</v>
      </c>
      <c r="AW233" s="22" t="s">
        <v>67</v>
      </c>
      <c r="AY233" s="22" t="s">
        <v>15463</v>
      </c>
      <c r="AZ233" s="22" t="s">
        <v>145</v>
      </c>
      <c r="BA233" s="22" t="s">
        <v>70</v>
      </c>
      <c r="BB233" s="22" t="s">
        <v>67</v>
      </c>
      <c r="BD233" s="22" t="s">
        <v>15464</v>
      </c>
      <c r="BE233" s="22" t="s">
        <v>145</v>
      </c>
      <c r="BF233" s="22" t="s">
        <v>70</v>
      </c>
      <c r="BG233" s="22" t="s">
        <v>67</v>
      </c>
      <c r="BI233" s="22" t="s">
        <v>15465</v>
      </c>
      <c r="BJ233" s="22" t="s">
        <v>145</v>
      </c>
      <c r="BK233" s="22" t="s">
        <v>70</v>
      </c>
      <c r="BL233" s="22" t="s">
        <v>67</v>
      </c>
      <c r="BN233" s="22" t="s">
        <v>15466</v>
      </c>
      <c r="BO233" s="22" t="s">
        <v>145</v>
      </c>
      <c r="BP233" s="22" t="s">
        <v>70</v>
      </c>
      <c r="BQ233" s="22" t="s">
        <v>67</v>
      </c>
      <c r="BS233" s="22" t="s">
        <v>15467</v>
      </c>
      <c r="BT233" s="22" t="s">
        <v>145</v>
      </c>
      <c r="BU233" s="22" t="s">
        <v>70</v>
      </c>
      <c r="BV233" s="214" t="s">
        <v>530</v>
      </c>
      <c r="BX233" s="22" t="s">
        <v>15468</v>
      </c>
      <c r="BY233" s="22" t="s">
        <v>145</v>
      </c>
      <c r="BZ233" s="22" t="s">
        <v>70</v>
      </c>
      <c r="CA233" s="214" t="s">
        <v>530</v>
      </c>
      <c r="CC233" s="214" t="s">
        <v>15469</v>
      </c>
      <c r="CD233" s="218" t="s">
        <v>145</v>
      </c>
      <c r="CE233" s="214" t="s">
        <v>70</v>
      </c>
      <c r="CF233" s="214" t="s">
        <v>686</v>
      </c>
      <c r="CH233" s="214" t="s">
        <v>15470</v>
      </c>
      <c r="CI233" s="214" t="s">
        <v>926</v>
      </c>
      <c r="CJ233" s="214" t="s">
        <v>70</v>
      </c>
      <c r="CK233" s="214" t="s">
        <v>530</v>
      </c>
      <c r="CM233" s="214" t="s">
        <v>15471</v>
      </c>
      <c r="CN233" s="214" t="s">
        <v>484</v>
      </c>
      <c r="CO233" s="214" t="s">
        <v>70</v>
      </c>
      <c r="CP233" s="214" t="s">
        <v>530</v>
      </c>
      <c r="CR233" s="214" t="s">
        <v>15472</v>
      </c>
      <c r="CS233" s="214" t="s">
        <v>488</v>
      </c>
      <c r="CT233" s="214" t="s">
        <v>70</v>
      </c>
      <c r="CU233" s="214" t="s">
        <v>530</v>
      </c>
      <c r="CW233" s="214" t="s">
        <v>15473</v>
      </c>
      <c r="CX233" s="214" t="s">
        <v>34551</v>
      </c>
      <c r="CY233" s="214" t="s">
        <v>70</v>
      </c>
      <c r="CZ233" s="214" t="s">
        <v>530</v>
      </c>
      <c r="DB233" s="214" t="s">
        <v>15474</v>
      </c>
      <c r="DC233" s="214" t="s">
        <v>146</v>
      </c>
      <c r="DD233" s="214" t="s">
        <v>70</v>
      </c>
      <c r="DE233" s="214" t="s">
        <v>530</v>
      </c>
      <c r="DG233" s="214" t="s">
        <v>15475</v>
      </c>
      <c r="DH233" s="214" t="s">
        <v>146</v>
      </c>
      <c r="DI233" s="214" t="s">
        <v>70</v>
      </c>
      <c r="DJ233" s="214" t="s">
        <v>530</v>
      </c>
      <c r="DL233" s="214" t="s">
        <v>15476</v>
      </c>
      <c r="DM233" s="214" t="s">
        <v>34575</v>
      </c>
      <c r="DN233" s="214" t="s">
        <v>70</v>
      </c>
      <c r="DO233" s="214" t="s">
        <v>530</v>
      </c>
      <c r="DQ233" s="214" t="s">
        <v>15477</v>
      </c>
      <c r="DR233" s="214" t="s">
        <v>52</v>
      </c>
      <c r="DS233" s="214" t="s">
        <v>70</v>
      </c>
      <c r="DT233" s="214" t="s">
        <v>530</v>
      </c>
      <c r="DV233" s="214" t="s">
        <v>15478</v>
      </c>
      <c r="DW233" s="214" t="s">
        <v>486</v>
      </c>
      <c r="DX233" s="214" t="s">
        <v>70</v>
      </c>
      <c r="DY233" s="214" t="s">
        <v>530</v>
      </c>
      <c r="EA233" s="214" t="s">
        <v>15479</v>
      </c>
      <c r="EB233" s="214" t="s">
        <v>34541</v>
      </c>
      <c r="EC233" s="214" t="s">
        <v>70</v>
      </c>
      <c r="ED233" s="214" t="s">
        <v>530</v>
      </c>
      <c r="EF233" s="214" t="s">
        <v>15480</v>
      </c>
      <c r="EG233" s="214" t="s">
        <v>85</v>
      </c>
      <c r="EH233" s="214" t="s">
        <v>70</v>
      </c>
      <c r="EI233" s="214" t="s">
        <v>530</v>
      </c>
      <c r="EK233" s="214" t="s">
        <v>15481</v>
      </c>
      <c r="EL233" s="214" t="s">
        <v>501</v>
      </c>
      <c r="EM233" s="214" t="s">
        <v>70</v>
      </c>
      <c r="EN233" s="214" t="s">
        <v>530</v>
      </c>
      <c r="EP233" s="214" t="s">
        <v>15482</v>
      </c>
      <c r="EQ233" s="214" t="s">
        <v>34569</v>
      </c>
      <c r="ER233" s="214" t="s">
        <v>70</v>
      </c>
      <c r="ES233" s="214" t="s">
        <v>530</v>
      </c>
      <c r="EU233" s="214" t="s">
        <v>15483</v>
      </c>
      <c r="EV233" s="214" t="s">
        <v>486</v>
      </c>
      <c r="EW233" s="214" t="s">
        <v>70</v>
      </c>
      <c r="EX233" s="214" t="s">
        <v>530</v>
      </c>
      <c r="EZ233" s="214" t="s">
        <v>15484</v>
      </c>
      <c r="FA233" s="214" t="s">
        <v>501</v>
      </c>
      <c r="FB233" s="214" t="s">
        <v>70</v>
      </c>
      <c r="FC233" s="214" t="s">
        <v>530</v>
      </c>
      <c r="FE233" s="214" t="s">
        <v>15485</v>
      </c>
      <c r="FF233" s="214" t="s">
        <v>34542</v>
      </c>
      <c r="FG233" s="214" t="s">
        <v>70</v>
      </c>
      <c r="FH233" s="214" t="s">
        <v>530</v>
      </c>
      <c r="FJ233" s="321" t="s">
        <v>15486</v>
      </c>
      <c r="FK233" s="214" t="s">
        <v>798</v>
      </c>
      <c r="FL233" s="214" t="s">
        <v>70</v>
      </c>
      <c r="FM233" s="214" t="s">
        <v>530</v>
      </c>
      <c r="FO233" s="321" t="s">
        <v>15487</v>
      </c>
      <c r="FP233" s="214" t="s">
        <v>954</v>
      </c>
      <c r="FQ233" s="214" t="s">
        <v>70</v>
      </c>
      <c r="FR233" s="214" t="s">
        <v>530</v>
      </c>
      <c r="FT233" s="321" t="s">
        <v>15488</v>
      </c>
      <c r="FU233" s="214" t="s">
        <v>485</v>
      </c>
      <c r="FV233" s="214" t="s">
        <v>70</v>
      </c>
      <c r="FW233" s="214" t="s">
        <v>530</v>
      </c>
      <c r="FY233" s="321" t="s">
        <v>15489</v>
      </c>
      <c r="FZ233" s="214" t="s">
        <v>486</v>
      </c>
      <c r="GA233" s="214" t="s">
        <v>70</v>
      </c>
      <c r="GB233" s="214" t="s">
        <v>530</v>
      </c>
      <c r="GD233" s="321" t="s">
        <v>15490</v>
      </c>
      <c r="GE233" s="214" t="s">
        <v>921</v>
      </c>
      <c r="GF233" s="214" t="s">
        <v>70</v>
      </c>
      <c r="GG233" s="214" t="s">
        <v>530</v>
      </c>
      <c r="GI233" s="321" t="s">
        <v>15491</v>
      </c>
      <c r="GJ233" s="214" t="s">
        <v>937</v>
      </c>
      <c r="GK233" s="214" t="s">
        <v>70</v>
      </c>
      <c r="GL233" s="214" t="s">
        <v>530</v>
      </c>
      <c r="GN233" s="321" t="s">
        <v>15492</v>
      </c>
      <c r="GO233" s="214" t="s">
        <v>955</v>
      </c>
      <c r="GP233" s="214" t="s">
        <v>70</v>
      </c>
      <c r="GQ233" s="214" t="s">
        <v>530</v>
      </c>
      <c r="GS233" s="321" t="s">
        <v>15493</v>
      </c>
      <c r="GT233" s="214" t="s">
        <v>502</v>
      </c>
      <c r="GU233" s="214" t="s">
        <v>70</v>
      </c>
      <c r="GV233" s="214" t="s">
        <v>530</v>
      </c>
      <c r="GX233" s="214" t="s">
        <v>15494</v>
      </c>
      <c r="GY233" s="214" t="s">
        <v>484</v>
      </c>
      <c r="GZ233" s="214" t="s">
        <v>70</v>
      </c>
      <c r="HA233" s="214" t="s">
        <v>530</v>
      </c>
      <c r="HC233" s="214" t="s">
        <v>15495</v>
      </c>
      <c r="HD233" s="214" t="s">
        <v>488</v>
      </c>
      <c r="HE233" s="214" t="s">
        <v>70</v>
      </c>
      <c r="HF233" s="214" t="s">
        <v>530</v>
      </c>
      <c r="HH233" s="214" t="s">
        <v>15496</v>
      </c>
      <c r="HI233" s="214" t="s">
        <v>34569</v>
      </c>
      <c r="HJ233" s="214" t="s">
        <v>70</v>
      </c>
      <c r="HK233" s="214" t="s">
        <v>530</v>
      </c>
      <c r="HM233" s="214" t="s">
        <v>15497</v>
      </c>
      <c r="HN233" s="214" t="s">
        <v>34567</v>
      </c>
      <c r="HO233" s="214" t="s">
        <v>70</v>
      </c>
      <c r="HP233" s="214" t="s">
        <v>530</v>
      </c>
      <c r="HR233" s="22" t="s">
        <v>15498</v>
      </c>
      <c r="HS233" s="22" t="s">
        <v>482</v>
      </c>
      <c r="HT233" s="22" t="s">
        <v>70</v>
      </c>
      <c r="HU233" s="214" t="s">
        <v>530</v>
      </c>
      <c r="HW233" s="22" t="s">
        <v>15499</v>
      </c>
      <c r="HX233" s="22" t="s">
        <v>286</v>
      </c>
      <c r="HY233" s="22" t="s">
        <v>70</v>
      </c>
      <c r="HZ233" s="214" t="s">
        <v>530</v>
      </c>
      <c r="IB233" s="22" t="s">
        <v>15500</v>
      </c>
      <c r="IC233" s="22" t="s">
        <v>486</v>
      </c>
      <c r="ID233" s="22" t="s">
        <v>70</v>
      </c>
      <c r="IE233" s="214" t="s">
        <v>530</v>
      </c>
      <c r="IG233" s="22" t="s">
        <v>15501</v>
      </c>
      <c r="IH233" s="22" t="s">
        <v>34619</v>
      </c>
      <c r="II233" s="22" t="s">
        <v>70</v>
      </c>
      <c r="IJ233" s="214" t="s">
        <v>530</v>
      </c>
      <c r="IL233" s="22" t="s">
        <v>15502</v>
      </c>
      <c r="IM233" s="22" t="s">
        <v>145</v>
      </c>
      <c r="IN233" s="22" t="s">
        <v>70</v>
      </c>
      <c r="IO233" s="214" t="s">
        <v>530</v>
      </c>
      <c r="IQ233" s="236" t="s">
        <v>15503</v>
      </c>
      <c r="IR233" s="236" t="s">
        <v>145</v>
      </c>
      <c r="IS233" s="236" t="s">
        <v>74</v>
      </c>
      <c r="IT233" s="236" t="s">
        <v>841</v>
      </c>
      <c r="IV233" s="236" t="s">
        <v>15504</v>
      </c>
      <c r="IW233" s="236" t="s">
        <v>145</v>
      </c>
      <c r="IX233" s="236" t="s">
        <v>74</v>
      </c>
      <c r="IY233" s="236" t="s">
        <v>841</v>
      </c>
      <c r="JA233" s="236" t="s">
        <v>15505</v>
      </c>
      <c r="JB233" s="236" t="s">
        <v>145</v>
      </c>
      <c r="JC233" s="236" t="s">
        <v>74</v>
      </c>
      <c r="JD233" s="236" t="s">
        <v>841</v>
      </c>
      <c r="JF233" s="236" t="s">
        <v>15506</v>
      </c>
      <c r="JG233" s="236" t="s">
        <v>145</v>
      </c>
      <c r="JH233" s="236" t="s">
        <v>74</v>
      </c>
      <c r="JI233" s="236" t="s">
        <v>841</v>
      </c>
      <c r="JK233" s="236" t="s">
        <v>15507</v>
      </c>
      <c r="JL233" s="236" t="s">
        <v>145</v>
      </c>
      <c r="JM233" s="236" t="s">
        <v>74</v>
      </c>
      <c r="JN233" s="236" t="s">
        <v>841</v>
      </c>
      <c r="JP233" s="236" t="s">
        <v>15508</v>
      </c>
      <c r="JQ233" s="236" t="s">
        <v>145</v>
      </c>
      <c r="JR233" s="236" t="s">
        <v>74</v>
      </c>
      <c r="JS233" s="236" t="s">
        <v>841</v>
      </c>
      <c r="JU233" s="294" t="s">
        <v>15509</v>
      </c>
      <c r="JV233" s="294" t="s">
        <v>52</v>
      </c>
      <c r="JW233" s="263" t="s">
        <v>70</v>
      </c>
      <c r="JX233" s="294" t="s">
        <v>1083</v>
      </c>
      <c r="JZ233" s="263" t="s">
        <v>15510</v>
      </c>
      <c r="KA233" s="263" t="s">
        <v>145</v>
      </c>
      <c r="KB233" s="263" t="s">
        <v>70</v>
      </c>
      <c r="KC233" s="263" t="s">
        <v>1083</v>
      </c>
      <c r="KE233" s="263" t="s">
        <v>15511</v>
      </c>
      <c r="KF233" s="263" t="s">
        <v>52</v>
      </c>
      <c r="KG233" s="263" t="s">
        <v>70</v>
      </c>
      <c r="KH233" s="263" t="s">
        <v>1083</v>
      </c>
      <c r="KJ233" s="263" t="s">
        <v>15512</v>
      </c>
      <c r="KK233" s="263" t="s">
        <v>52</v>
      </c>
      <c r="KL233" s="263" t="s">
        <v>74</v>
      </c>
      <c r="KM233" s="263" t="s">
        <v>34074</v>
      </c>
      <c r="KO233" s="214" t="s">
        <v>15513</v>
      </c>
      <c r="KP233" s="214" t="s">
        <v>145</v>
      </c>
      <c r="KQ233" s="214" t="s">
        <v>70</v>
      </c>
      <c r="KR233" s="214" t="s">
        <v>67</v>
      </c>
      <c r="KT233" s="22" t="s">
        <v>15514</v>
      </c>
      <c r="KU233" s="22" t="s">
        <v>145</v>
      </c>
      <c r="KV233" s="22" t="s">
        <v>70</v>
      </c>
      <c r="KW233" s="22" t="s">
        <v>67</v>
      </c>
      <c r="KY233" s="214" t="s">
        <v>15515</v>
      </c>
      <c r="KZ233" s="214" t="s">
        <v>52</v>
      </c>
      <c r="LA233" s="214" t="s">
        <v>74</v>
      </c>
      <c r="LB233" s="214" t="s">
        <v>67</v>
      </c>
      <c r="LD233" s="22" t="s">
        <v>15516</v>
      </c>
      <c r="LE233" s="22" t="s">
        <v>145</v>
      </c>
      <c r="LF233" s="22" t="s">
        <v>70</v>
      </c>
      <c r="LG233" s="22" t="s">
        <v>67</v>
      </c>
    </row>
    <row r="234" spans="1:319">
      <c r="A234" s="22" t="s">
        <v>15517</v>
      </c>
      <c r="B234" s="22" t="s">
        <v>145</v>
      </c>
      <c r="C234" s="22" t="s">
        <v>70</v>
      </c>
      <c r="D234" s="22" t="s">
        <v>67</v>
      </c>
      <c r="F234" s="73" t="s">
        <v>15518</v>
      </c>
      <c r="G234" s="22" t="s">
        <v>145</v>
      </c>
      <c r="H234" s="22" t="s">
        <v>70</v>
      </c>
      <c r="I234" s="22" t="s">
        <v>67</v>
      </c>
      <c r="K234" s="22" t="s">
        <v>15519</v>
      </c>
      <c r="L234" s="22" t="s">
        <v>145</v>
      </c>
      <c r="M234" s="22" t="s">
        <v>70</v>
      </c>
      <c r="N234" s="22" t="s">
        <v>67</v>
      </c>
      <c r="P234" s="22" t="s">
        <v>15520</v>
      </c>
      <c r="Q234" s="22" t="s">
        <v>145</v>
      </c>
      <c r="R234" s="22" t="s">
        <v>70</v>
      </c>
      <c r="S234" s="22" t="s">
        <v>67</v>
      </c>
      <c r="U234" s="293" t="s">
        <v>15521</v>
      </c>
      <c r="V234" s="293" t="s">
        <v>145</v>
      </c>
      <c r="W234" s="293" t="s">
        <v>74</v>
      </c>
      <c r="X234" s="293" t="s">
        <v>656</v>
      </c>
      <c r="Z234" s="293" t="s">
        <v>15522</v>
      </c>
      <c r="AA234" s="293" t="s">
        <v>145</v>
      </c>
      <c r="AB234" s="293" t="s">
        <v>74</v>
      </c>
      <c r="AC234" s="293" t="s">
        <v>656</v>
      </c>
      <c r="AE234" s="293" t="s">
        <v>15523</v>
      </c>
      <c r="AF234" s="293" t="s">
        <v>145</v>
      </c>
      <c r="AG234" s="293" t="s">
        <v>74</v>
      </c>
      <c r="AH234" s="293" t="s">
        <v>656</v>
      </c>
      <c r="AJ234" s="293" t="s">
        <v>15524</v>
      </c>
      <c r="AK234" s="293" t="s">
        <v>145</v>
      </c>
      <c r="AL234" s="293" t="s">
        <v>74</v>
      </c>
      <c r="AM234" s="293" t="s">
        <v>656</v>
      </c>
      <c r="AO234" s="22" t="s">
        <v>15525</v>
      </c>
      <c r="AP234" s="22" t="s">
        <v>145</v>
      </c>
      <c r="AQ234" s="22" t="s">
        <v>70</v>
      </c>
      <c r="AR234" s="22" t="s">
        <v>67</v>
      </c>
      <c r="AT234" s="22" t="s">
        <v>15526</v>
      </c>
      <c r="AU234" s="22" t="s">
        <v>145</v>
      </c>
      <c r="AV234" s="22" t="s">
        <v>70</v>
      </c>
      <c r="AW234" s="22" t="s">
        <v>67</v>
      </c>
      <c r="AY234" s="22" t="s">
        <v>15527</v>
      </c>
      <c r="AZ234" s="22" t="s">
        <v>145</v>
      </c>
      <c r="BA234" s="22" t="s">
        <v>70</v>
      </c>
      <c r="BB234" s="22" t="s">
        <v>67</v>
      </c>
      <c r="BD234" s="22" t="s">
        <v>15528</v>
      </c>
      <c r="BE234" s="22" t="s">
        <v>145</v>
      </c>
      <c r="BF234" s="22" t="s">
        <v>70</v>
      </c>
      <c r="BG234" s="22" t="s">
        <v>67</v>
      </c>
      <c r="BI234" s="22" t="s">
        <v>15529</v>
      </c>
      <c r="BJ234" s="22" t="s">
        <v>145</v>
      </c>
      <c r="BK234" s="22" t="s">
        <v>70</v>
      </c>
      <c r="BL234" s="22" t="s">
        <v>67</v>
      </c>
      <c r="BN234" s="22" t="s">
        <v>15530</v>
      </c>
      <c r="BO234" s="22" t="s">
        <v>145</v>
      </c>
      <c r="BP234" s="22" t="s">
        <v>70</v>
      </c>
      <c r="BQ234" s="22" t="s">
        <v>67</v>
      </c>
      <c r="BS234" s="22" t="s">
        <v>15531</v>
      </c>
      <c r="BT234" s="22" t="s">
        <v>145</v>
      </c>
      <c r="BU234" s="22" t="s">
        <v>70</v>
      </c>
      <c r="BV234" s="214" t="s">
        <v>530</v>
      </c>
      <c r="BX234" s="22" t="s">
        <v>15532</v>
      </c>
      <c r="BY234" s="22" t="s">
        <v>145</v>
      </c>
      <c r="BZ234" s="22" t="s">
        <v>70</v>
      </c>
      <c r="CA234" s="214" t="s">
        <v>530</v>
      </c>
      <c r="CC234" s="214" t="s">
        <v>15533</v>
      </c>
      <c r="CD234" s="218" t="s">
        <v>145</v>
      </c>
      <c r="CE234" s="214" t="s">
        <v>70</v>
      </c>
      <c r="CF234" s="214" t="s">
        <v>687</v>
      </c>
      <c r="CH234" s="214" t="s">
        <v>15534</v>
      </c>
      <c r="CI234" s="214" t="s">
        <v>52</v>
      </c>
      <c r="CJ234" s="214" t="s">
        <v>70</v>
      </c>
      <c r="CK234" s="214" t="s">
        <v>530</v>
      </c>
      <c r="CM234" s="214" t="s">
        <v>15535</v>
      </c>
      <c r="CN234" s="214" t="s">
        <v>485</v>
      </c>
      <c r="CO234" s="214" t="s">
        <v>70</v>
      </c>
      <c r="CP234" s="214" t="s">
        <v>530</v>
      </c>
      <c r="CR234" s="214" t="s">
        <v>15536</v>
      </c>
      <c r="CS234" s="214" t="s">
        <v>203</v>
      </c>
      <c r="CT234" s="214" t="s">
        <v>70</v>
      </c>
      <c r="CU234" s="214" t="s">
        <v>530</v>
      </c>
      <c r="CW234" s="214" t="s">
        <v>15537</v>
      </c>
      <c r="CX234" s="214" t="s">
        <v>103</v>
      </c>
      <c r="CY234" s="214" t="s">
        <v>70</v>
      </c>
      <c r="CZ234" s="214" t="s">
        <v>530</v>
      </c>
      <c r="DB234" s="214" t="s">
        <v>15538</v>
      </c>
      <c r="DC234" s="214" t="s">
        <v>103</v>
      </c>
      <c r="DD234" s="214" t="s">
        <v>70</v>
      </c>
      <c r="DE234" s="214" t="s">
        <v>530</v>
      </c>
      <c r="DG234" s="214" t="s">
        <v>15539</v>
      </c>
      <c r="DH234" s="214" t="s">
        <v>85</v>
      </c>
      <c r="DI234" s="214" t="s">
        <v>70</v>
      </c>
      <c r="DJ234" s="214" t="s">
        <v>530</v>
      </c>
      <c r="DL234" s="214" t="s">
        <v>15540</v>
      </c>
      <c r="DM234" s="214" t="s">
        <v>148</v>
      </c>
      <c r="DN234" s="214" t="s">
        <v>70</v>
      </c>
      <c r="DO234" s="214" t="s">
        <v>530</v>
      </c>
      <c r="DQ234" s="214" t="s">
        <v>15541</v>
      </c>
      <c r="DR234" s="214" t="s">
        <v>34583</v>
      </c>
      <c r="DS234" s="214" t="s">
        <v>70</v>
      </c>
      <c r="DT234" s="214" t="s">
        <v>530</v>
      </c>
      <c r="DV234" s="214" t="s">
        <v>15542</v>
      </c>
      <c r="DW234" s="214" t="s">
        <v>468</v>
      </c>
      <c r="DX234" s="214" t="s">
        <v>70</v>
      </c>
      <c r="DY234" s="214" t="s">
        <v>530</v>
      </c>
      <c r="EA234" s="214" t="s">
        <v>15543</v>
      </c>
      <c r="EB234" s="214" t="s">
        <v>491</v>
      </c>
      <c r="EC234" s="214" t="s">
        <v>70</v>
      </c>
      <c r="ED234" s="214" t="s">
        <v>530</v>
      </c>
      <c r="EF234" s="214" t="s">
        <v>15544</v>
      </c>
      <c r="EG234" s="214" t="s">
        <v>148</v>
      </c>
      <c r="EH234" s="214" t="s">
        <v>70</v>
      </c>
      <c r="EI234" s="214" t="s">
        <v>530</v>
      </c>
      <c r="EK234" s="214" t="s">
        <v>15545</v>
      </c>
      <c r="EL234" s="214" t="s">
        <v>148</v>
      </c>
      <c r="EM234" s="214" t="s">
        <v>70</v>
      </c>
      <c r="EN234" s="214" t="s">
        <v>530</v>
      </c>
      <c r="EP234" s="214" t="s">
        <v>15546</v>
      </c>
      <c r="EQ234" s="214" t="s">
        <v>148</v>
      </c>
      <c r="ER234" s="214" t="s">
        <v>70</v>
      </c>
      <c r="ES234" s="214" t="s">
        <v>530</v>
      </c>
      <c r="EU234" s="214" t="s">
        <v>15547</v>
      </c>
      <c r="EV234" s="214" t="s">
        <v>163</v>
      </c>
      <c r="EW234" s="214" t="s">
        <v>70</v>
      </c>
      <c r="EX234" s="214" t="s">
        <v>530</v>
      </c>
      <c r="EZ234" s="214" t="s">
        <v>15548</v>
      </c>
      <c r="FA234" s="214" t="s">
        <v>163</v>
      </c>
      <c r="FB234" s="214" t="s">
        <v>70</v>
      </c>
      <c r="FC234" s="214" t="s">
        <v>530</v>
      </c>
      <c r="FE234" s="214" t="s">
        <v>15549</v>
      </c>
      <c r="FF234" s="214" t="s">
        <v>148</v>
      </c>
      <c r="FG234" s="214" t="s">
        <v>70</v>
      </c>
      <c r="FH234" s="214" t="s">
        <v>530</v>
      </c>
      <c r="FJ234" s="321" t="s">
        <v>15550</v>
      </c>
      <c r="FK234" s="214" t="s">
        <v>468</v>
      </c>
      <c r="FL234" s="214" t="s">
        <v>70</v>
      </c>
      <c r="FM234" s="214" t="s">
        <v>530</v>
      </c>
      <c r="FO234" s="321" t="s">
        <v>15551</v>
      </c>
      <c r="FP234" s="214" t="s">
        <v>52</v>
      </c>
      <c r="FQ234" s="214" t="s">
        <v>70</v>
      </c>
      <c r="FR234" s="214" t="s">
        <v>530</v>
      </c>
      <c r="FT234" s="321" t="s">
        <v>15552</v>
      </c>
      <c r="FU234" s="214" t="s">
        <v>655</v>
      </c>
      <c r="FV234" s="214" t="s">
        <v>70</v>
      </c>
      <c r="FW234" s="214" t="s">
        <v>530</v>
      </c>
      <c r="FY234" s="321" t="s">
        <v>15553</v>
      </c>
      <c r="FZ234" s="214" t="s">
        <v>86</v>
      </c>
      <c r="GA234" s="214" t="s">
        <v>70</v>
      </c>
      <c r="GB234" s="214" t="s">
        <v>530</v>
      </c>
      <c r="GD234" s="321" t="s">
        <v>15554</v>
      </c>
      <c r="GE234" s="214" t="s">
        <v>919</v>
      </c>
      <c r="GF234" s="214" t="s">
        <v>70</v>
      </c>
      <c r="GG234" s="214" t="s">
        <v>530</v>
      </c>
      <c r="GI234" s="321" t="s">
        <v>15555</v>
      </c>
      <c r="GJ234" s="214" t="s">
        <v>203</v>
      </c>
      <c r="GK234" s="214" t="s">
        <v>70</v>
      </c>
      <c r="GL234" s="214" t="s">
        <v>530</v>
      </c>
      <c r="GN234" s="321" t="s">
        <v>15556</v>
      </c>
      <c r="GO234" s="214" t="s">
        <v>601</v>
      </c>
      <c r="GP234" s="214" t="s">
        <v>70</v>
      </c>
      <c r="GQ234" s="214" t="s">
        <v>530</v>
      </c>
      <c r="GS234" s="321" t="s">
        <v>15557</v>
      </c>
      <c r="GT234" s="214" t="s">
        <v>468</v>
      </c>
      <c r="GU234" s="214" t="s">
        <v>70</v>
      </c>
      <c r="GV234" s="214" t="s">
        <v>530</v>
      </c>
      <c r="GX234" s="214" t="s">
        <v>15558</v>
      </c>
      <c r="GY234" s="214" t="s">
        <v>90</v>
      </c>
      <c r="GZ234" s="214" t="s">
        <v>70</v>
      </c>
      <c r="HA234" s="214" t="s">
        <v>530</v>
      </c>
      <c r="HC234" s="214" t="s">
        <v>15559</v>
      </c>
      <c r="HD234" s="214" t="s">
        <v>945</v>
      </c>
      <c r="HE234" s="214" t="s">
        <v>70</v>
      </c>
      <c r="HF234" s="214" t="s">
        <v>530</v>
      </c>
      <c r="HH234" s="214" t="s">
        <v>15560</v>
      </c>
      <c r="HI234" s="214" t="s">
        <v>164</v>
      </c>
      <c r="HJ234" s="214" t="s">
        <v>70</v>
      </c>
      <c r="HK234" s="214" t="s">
        <v>530</v>
      </c>
      <c r="HM234" s="214" t="s">
        <v>15561</v>
      </c>
      <c r="HN234" s="214" t="s">
        <v>164</v>
      </c>
      <c r="HO234" s="214" t="s">
        <v>70</v>
      </c>
      <c r="HP234" s="214" t="s">
        <v>530</v>
      </c>
      <c r="HR234" s="22" t="s">
        <v>15562</v>
      </c>
      <c r="HS234" s="22" t="s">
        <v>163</v>
      </c>
      <c r="HT234" s="22" t="s">
        <v>70</v>
      </c>
      <c r="HU234" s="214" t="s">
        <v>530</v>
      </c>
      <c r="HW234" s="22" t="s">
        <v>15563</v>
      </c>
      <c r="HX234" s="22" t="s">
        <v>146</v>
      </c>
      <c r="HY234" s="22" t="s">
        <v>70</v>
      </c>
      <c r="HZ234" s="214" t="s">
        <v>530</v>
      </c>
      <c r="IB234" s="22" t="s">
        <v>15564</v>
      </c>
      <c r="IC234" s="22" t="s">
        <v>488</v>
      </c>
      <c r="ID234" s="22" t="s">
        <v>70</v>
      </c>
      <c r="IE234" s="214" t="s">
        <v>530</v>
      </c>
      <c r="IG234" s="22" t="s">
        <v>15565</v>
      </c>
      <c r="IH234" s="22" t="s">
        <v>34594</v>
      </c>
      <c r="II234" s="22" t="s">
        <v>70</v>
      </c>
      <c r="IJ234" s="214" t="s">
        <v>530</v>
      </c>
      <c r="IL234" s="22" t="s">
        <v>15566</v>
      </c>
      <c r="IM234" s="22" t="s">
        <v>145</v>
      </c>
      <c r="IN234" s="22" t="s">
        <v>70</v>
      </c>
      <c r="IO234" s="214" t="s">
        <v>530</v>
      </c>
      <c r="IQ234" s="236" t="s">
        <v>15567</v>
      </c>
      <c r="IR234" s="236" t="s">
        <v>145</v>
      </c>
      <c r="IS234" s="236" t="s">
        <v>74</v>
      </c>
      <c r="IT234" s="236" t="s">
        <v>841</v>
      </c>
      <c r="IV234" s="236" t="s">
        <v>15568</v>
      </c>
      <c r="IW234" s="236" t="s">
        <v>145</v>
      </c>
      <c r="IX234" s="236" t="s">
        <v>74</v>
      </c>
      <c r="IY234" s="236" t="s">
        <v>841</v>
      </c>
      <c r="JA234" s="236" t="s">
        <v>15569</v>
      </c>
      <c r="JB234" s="236" t="s">
        <v>145</v>
      </c>
      <c r="JC234" s="236" t="s">
        <v>74</v>
      </c>
      <c r="JD234" s="236" t="s">
        <v>841</v>
      </c>
      <c r="JF234" s="236" t="s">
        <v>15570</v>
      </c>
      <c r="JG234" s="236" t="s">
        <v>145</v>
      </c>
      <c r="JH234" s="236" t="s">
        <v>74</v>
      </c>
      <c r="JI234" s="236" t="s">
        <v>841</v>
      </c>
      <c r="JK234" s="236" t="s">
        <v>15571</v>
      </c>
      <c r="JL234" s="236" t="s">
        <v>145</v>
      </c>
      <c r="JM234" s="236" t="s">
        <v>74</v>
      </c>
      <c r="JN234" s="236" t="s">
        <v>841</v>
      </c>
      <c r="JP234" s="236" t="s">
        <v>15572</v>
      </c>
      <c r="JQ234" s="236" t="s">
        <v>145</v>
      </c>
      <c r="JR234" s="236" t="s">
        <v>74</v>
      </c>
      <c r="JS234" s="236" t="s">
        <v>841</v>
      </c>
      <c r="JU234" s="294" t="s">
        <v>15573</v>
      </c>
      <c r="JV234" s="294" t="s">
        <v>52</v>
      </c>
      <c r="JW234" s="263" t="s">
        <v>70</v>
      </c>
      <c r="JX234" s="294" t="s">
        <v>1083</v>
      </c>
      <c r="JZ234" s="263" t="s">
        <v>15574</v>
      </c>
      <c r="KA234" s="263" t="s">
        <v>145</v>
      </c>
      <c r="KB234" s="263" t="s">
        <v>70</v>
      </c>
      <c r="KC234" s="263" t="s">
        <v>1083</v>
      </c>
      <c r="KE234" s="263" t="s">
        <v>15575</v>
      </c>
      <c r="KF234" s="263" t="s">
        <v>52</v>
      </c>
      <c r="KG234" s="263" t="s">
        <v>70</v>
      </c>
      <c r="KH234" s="263" t="s">
        <v>1083</v>
      </c>
      <c r="KJ234" s="263" t="s">
        <v>15576</v>
      </c>
      <c r="KK234" s="263" t="s">
        <v>52</v>
      </c>
      <c r="KL234" s="263" t="s">
        <v>74</v>
      </c>
      <c r="KM234" s="263" t="s">
        <v>34074</v>
      </c>
      <c r="KO234" s="214" t="s">
        <v>15577</v>
      </c>
      <c r="KP234" s="214" t="s">
        <v>145</v>
      </c>
      <c r="KQ234" s="214" t="s">
        <v>70</v>
      </c>
      <c r="KR234" s="214" t="s">
        <v>67</v>
      </c>
      <c r="KT234" s="22" t="s">
        <v>15578</v>
      </c>
      <c r="KU234" s="22" t="s">
        <v>145</v>
      </c>
      <c r="KV234" s="22" t="s">
        <v>70</v>
      </c>
      <c r="KW234" s="22" t="s">
        <v>67</v>
      </c>
      <c r="KY234" s="214" t="s">
        <v>15579</v>
      </c>
      <c r="KZ234" s="214" t="s">
        <v>52</v>
      </c>
      <c r="LA234" s="214" t="s">
        <v>74</v>
      </c>
      <c r="LB234" s="214" t="s">
        <v>67</v>
      </c>
      <c r="LD234" s="22" t="s">
        <v>15580</v>
      </c>
      <c r="LE234" s="22" t="s">
        <v>145</v>
      </c>
      <c r="LF234" s="22" t="s">
        <v>70</v>
      </c>
      <c r="LG234" s="22" t="s">
        <v>67</v>
      </c>
    </row>
    <row r="235" spans="1:319">
      <c r="A235" s="22" t="s">
        <v>15581</v>
      </c>
      <c r="B235" s="22" t="s">
        <v>145</v>
      </c>
      <c r="C235" s="22" t="s">
        <v>70</v>
      </c>
      <c r="D235" s="22" t="s">
        <v>67</v>
      </c>
      <c r="F235" s="73" t="s">
        <v>15582</v>
      </c>
      <c r="G235" s="22" t="s">
        <v>145</v>
      </c>
      <c r="H235" s="22" t="s">
        <v>70</v>
      </c>
      <c r="I235" s="22" t="s">
        <v>67</v>
      </c>
      <c r="K235" s="22" t="s">
        <v>15583</v>
      </c>
      <c r="L235" s="22" t="s">
        <v>145</v>
      </c>
      <c r="M235" s="22" t="s">
        <v>70</v>
      </c>
      <c r="N235" s="22" t="s">
        <v>67</v>
      </c>
      <c r="P235" s="22" t="s">
        <v>15584</v>
      </c>
      <c r="Q235" s="22" t="s">
        <v>145</v>
      </c>
      <c r="R235" s="22" t="s">
        <v>70</v>
      </c>
      <c r="S235" s="22" t="s">
        <v>67</v>
      </c>
      <c r="U235" s="293" t="s">
        <v>15585</v>
      </c>
      <c r="V235" s="293" t="s">
        <v>145</v>
      </c>
      <c r="W235" s="293" t="s">
        <v>74</v>
      </c>
      <c r="X235" s="293" t="s">
        <v>656</v>
      </c>
      <c r="Z235" s="293" t="s">
        <v>15586</v>
      </c>
      <c r="AA235" s="293" t="s">
        <v>145</v>
      </c>
      <c r="AB235" s="293" t="s">
        <v>74</v>
      </c>
      <c r="AC235" s="293" t="s">
        <v>656</v>
      </c>
      <c r="AE235" s="293" t="s">
        <v>15587</v>
      </c>
      <c r="AF235" s="293" t="s">
        <v>145</v>
      </c>
      <c r="AG235" s="293" t="s">
        <v>74</v>
      </c>
      <c r="AH235" s="293" t="s">
        <v>656</v>
      </c>
      <c r="AJ235" s="293" t="s">
        <v>15588</v>
      </c>
      <c r="AK235" s="293" t="s">
        <v>145</v>
      </c>
      <c r="AL235" s="293" t="s">
        <v>74</v>
      </c>
      <c r="AM235" s="293" t="s">
        <v>656</v>
      </c>
      <c r="AO235" s="22" t="s">
        <v>15589</v>
      </c>
      <c r="AP235" s="22" t="s">
        <v>145</v>
      </c>
      <c r="AQ235" s="22" t="s">
        <v>70</v>
      </c>
      <c r="AR235" s="22" t="s">
        <v>67</v>
      </c>
      <c r="AT235" s="22" t="s">
        <v>15590</v>
      </c>
      <c r="AU235" s="22" t="s">
        <v>145</v>
      </c>
      <c r="AV235" s="22" t="s">
        <v>70</v>
      </c>
      <c r="AW235" s="22" t="s">
        <v>67</v>
      </c>
      <c r="AY235" s="22" t="s">
        <v>15591</v>
      </c>
      <c r="AZ235" s="22" t="s">
        <v>145</v>
      </c>
      <c r="BA235" s="22" t="s">
        <v>70</v>
      </c>
      <c r="BB235" s="22" t="s">
        <v>67</v>
      </c>
      <c r="BD235" s="22" t="s">
        <v>15592</v>
      </c>
      <c r="BE235" s="22" t="s">
        <v>145</v>
      </c>
      <c r="BF235" s="22" t="s">
        <v>70</v>
      </c>
      <c r="BG235" s="22" t="s">
        <v>67</v>
      </c>
      <c r="BI235" s="22" t="s">
        <v>15593</v>
      </c>
      <c r="BJ235" s="22" t="s">
        <v>145</v>
      </c>
      <c r="BK235" s="22" t="s">
        <v>70</v>
      </c>
      <c r="BL235" s="22" t="s">
        <v>67</v>
      </c>
      <c r="BN235" s="22" t="s">
        <v>15594</v>
      </c>
      <c r="BO235" s="22" t="s">
        <v>145</v>
      </c>
      <c r="BP235" s="22" t="s">
        <v>70</v>
      </c>
      <c r="BQ235" s="22" t="s">
        <v>67</v>
      </c>
      <c r="BS235" s="22" t="s">
        <v>15595</v>
      </c>
      <c r="BT235" s="22" t="s">
        <v>145</v>
      </c>
      <c r="BU235" s="22" t="s">
        <v>70</v>
      </c>
      <c r="BV235" s="214" t="s">
        <v>530</v>
      </c>
      <c r="BX235" s="22" t="s">
        <v>15596</v>
      </c>
      <c r="BY235" s="22" t="s">
        <v>145</v>
      </c>
      <c r="BZ235" s="22" t="s">
        <v>70</v>
      </c>
      <c r="CA235" s="214" t="s">
        <v>530</v>
      </c>
      <c r="CC235" s="214" t="s">
        <v>15597</v>
      </c>
      <c r="CD235" s="218" t="s">
        <v>145</v>
      </c>
      <c r="CE235" s="214" t="s">
        <v>70</v>
      </c>
      <c r="CF235" s="214" t="s">
        <v>688</v>
      </c>
      <c r="CH235" s="214" t="s">
        <v>15598</v>
      </c>
      <c r="CI235" s="214" t="s">
        <v>203</v>
      </c>
      <c r="CJ235" s="214" t="s">
        <v>70</v>
      </c>
      <c r="CK235" s="214" t="s">
        <v>530</v>
      </c>
      <c r="CM235" s="214" t="s">
        <v>15599</v>
      </c>
      <c r="CN235" s="214" t="s">
        <v>146</v>
      </c>
      <c r="CO235" s="214" t="s">
        <v>70</v>
      </c>
      <c r="CP235" s="214" t="s">
        <v>530</v>
      </c>
      <c r="CR235" s="214" t="s">
        <v>15600</v>
      </c>
      <c r="CS235" s="214" t="s">
        <v>496</v>
      </c>
      <c r="CT235" s="214" t="s">
        <v>70</v>
      </c>
      <c r="CU235" s="214" t="s">
        <v>530</v>
      </c>
      <c r="CW235" s="214" t="s">
        <v>15601</v>
      </c>
      <c r="CX235" s="214" t="s">
        <v>34562</v>
      </c>
      <c r="CY235" s="214" t="s">
        <v>70</v>
      </c>
      <c r="CZ235" s="214" t="s">
        <v>530</v>
      </c>
      <c r="DB235" s="214" t="s">
        <v>15602</v>
      </c>
      <c r="DC235" s="214" t="s">
        <v>921</v>
      </c>
      <c r="DD235" s="214" t="s">
        <v>70</v>
      </c>
      <c r="DE235" s="214" t="s">
        <v>530</v>
      </c>
      <c r="DG235" s="214" t="s">
        <v>15603</v>
      </c>
      <c r="DH235" s="214" t="s">
        <v>921</v>
      </c>
      <c r="DI235" s="214" t="s">
        <v>70</v>
      </c>
      <c r="DJ235" s="214" t="s">
        <v>530</v>
      </c>
      <c r="DL235" s="214" t="s">
        <v>15604</v>
      </c>
      <c r="DM235" s="214" t="s">
        <v>34549</v>
      </c>
      <c r="DN235" s="214" t="s">
        <v>70</v>
      </c>
      <c r="DO235" s="214" t="s">
        <v>530</v>
      </c>
      <c r="DQ235" s="214" t="s">
        <v>15605</v>
      </c>
      <c r="DR235" s="214" t="s">
        <v>146</v>
      </c>
      <c r="DS235" s="214" t="s">
        <v>70</v>
      </c>
      <c r="DT235" s="214" t="s">
        <v>530</v>
      </c>
      <c r="DV235" s="214" t="s">
        <v>15606</v>
      </c>
      <c r="DW235" s="214" t="s">
        <v>468</v>
      </c>
      <c r="DX235" s="214" t="s">
        <v>70</v>
      </c>
      <c r="DY235" s="214" t="s">
        <v>530</v>
      </c>
      <c r="EA235" s="214" t="s">
        <v>15607</v>
      </c>
      <c r="EB235" s="214" t="s">
        <v>34405</v>
      </c>
      <c r="EC235" s="214" t="s">
        <v>70</v>
      </c>
      <c r="ED235" s="214" t="s">
        <v>530</v>
      </c>
      <c r="EF235" s="214" t="s">
        <v>15608</v>
      </c>
      <c r="EG235" s="214" t="s">
        <v>34544</v>
      </c>
      <c r="EH235" s="214" t="s">
        <v>70</v>
      </c>
      <c r="EI235" s="214" t="s">
        <v>530</v>
      </c>
      <c r="EK235" s="214" t="s">
        <v>15609</v>
      </c>
      <c r="EL235" s="214" t="s">
        <v>34542</v>
      </c>
      <c r="EM235" s="214" t="s">
        <v>70</v>
      </c>
      <c r="EN235" s="214" t="s">
        <v>530</v>
      </c>
      <c r="EP235" s="214" t="s">
        <v>15610</v>
      </c>
      <c r="EQ235" s="214" t="s">
        <v>34544</v>
      </c>
      <c r="ER235" s="214" t="s">
        <v>70</v>
      </c>
      <c r="ES235" s="214" t="s">
        <v>530</v>
      </c>
      <c r="EU235" s="214" t="s">
        <v>15611</v>
      </c>
      <c r="EV235" s="214" t="s">
        <v>488</v>
      </c>
      <c r="EW235" s="214" t="s">
        <v>70</v>
      </c>
      <c r="EX235" s="214" t="s">
        <v>530</v>
      </c>
      <c r="EZ235" s="214" t="s">
        <v>15612</v>
      </c>
      <c r="FA235" s="214" t="s">
        <v>34580</v>
      </c>
      <c r="FB235" s="214" t="s">
        <v>70</v>
      </c>
      <c r="FC235" s="214" t="s">
        <v>530</v>
      </c>
      <c r="FE235" s="214" t="s">
        <v>15613</v>
      </c>
      <c r="FF235" s="214" t="s">
        <v>919</v>
      </c>
      <c r="FG235" s="214" t="s">
        <v>70</v>
      </c>
      <c r="FH235" s="214" t="s">
        <v>530</v>
      </c>
      <c r="FJ235" s="321" t="s">
        <v>15614</v>
      </c>
      <c r="FK235" s="214" t="s">
        <v>52</v>
      </c>
      <c r="FL235" s="214" t="s">
        <v>70</v>
      </c>
      <c r="FM235" s="214" t="s">
        <v>530</v>
      </c>
      <c r="FO235" s="321" t="s">
        <v>15615</v>
      </c>
      <c r="FP235" s="214" t="s">
        <v>531</v>
      </c>
      <c r="FQ235" s="214" t="s">
        <v>70</v>
      </c>
      <c r="FR235" s="214" t="s">
        <v>530</v>
      </c>
      <c r="FT235" s="321" t="s">
        <v>15616</v>
      </c>
      <c r="FU235" s="214" t="s">
        <v>34542</v>
      </c>
      <c r="FV235" s="214" t="s">
        <v>70</v>
      </c>
      <c r="FW235" s="214" t="s">
        <v>530</v>
      </c>
      <c r="FY235" s="321" t="s">
        <v>15617</v>
      </c>
      <c r="FZ235" s="214" t="s">
        <v>496</v>
      </c>
      <c r="GA235" s="214" t="s">
        <v>70</v>
      </c>
      <c r="GB235" s="214" t="s">
        <v>530</v>
      </c>
      <c r="GD235" s="321" t="s">
        <v>15618</v>
      </c>
      <c r="GE235" s="214" t="s">
        <v>34544</v>
      </c>
      <c r="GF235" s="214" t="s">
        <v>70</v>
      </c>
      <c r="GG235" s="214" t="s">
        <v>530</v>
      </c>
      <c r="GI235" s="321" t="s">
        <v>15619</v>
      </c>
      <c r="GJ235" s="214" t="s">
        <v>496</v>
      </c>
      <c r="GK235" s="214" t="s">
        <v>70</v>
      </c>
      <c r="GL235" s="214" t="s">
        <v>530</v>
      </c>
      <c r="GN235" s="321" t="s">
        <v>15620</v>
      </c>
      <c r="GO235" s="214" t="s">
        <v>956</v>
      </c>
      <c r="GP235" s="214" t="s">
        <v>70</v>
      </c>
      <c r="GQ235" s="214" t="s">
        <v>530</v>
      </c>
      <c r="GS235" s="321" t="s">
        <v>15621</v>
      </c>
      <c r="GT235" s="214" t="s">
        <v>52</v>
      </c>
      <c r="GU235" s="214" t="s">
        <v>70</v>
      </c>
      <c r="GV235" s="214" t="s">
        <v>530</v>
      </c>
      <c r="GX235" s="214" t="s">
        <v>15622</v>
      </c>
      <c r="GY235" s="214" t="s">
        <v>103</v>
      </c>
      <c r="GZ235" s="214" t="s">
        <v>70</v>
      </c>
      <c r="HA235" s="214" t="s">
        <v>530</v>
      </c>
      <c r="HC235" s="214" t="s">
        <v>15623</v>
      </c>
      <c r="HD235" s="214" t="s">
        <v>468</v>
      </c>
      <c r="HE235" s="214" t="s">
        <v>70</v>
      </c>
      <c r="HF235" s="214" t="s">
        <v>530</v>
      </c>
      <c r="HH235" s="214" t="s">
        <v>15624</v>
      </c>
      <c r="HI235" s="214" t="s">
        <v>494</v>
      </c>
      <c r="HJ235" s="214" t="s">
        <v>70</v>
      </c>
      <c r="HK235" s="214" t="s">
        <v>530</v>
      </c>
      <c r="HM235" s="214" t="s">
        <v>15625</v>
      </c>
      <c r="HN235" s="214" t="s">
        <v>955</v>
      </c>
      <c r="HO235" s="214" t="s">
        <v>70</v>
      </c>
      <c r="HP235" s="214" t="s">
        <v>530</v>
      </c>
      <c r="HR235" s="22" t="s">
        <v>15626</v>
      </c>
      <c r="HS235" s="22" t="s">
        <v>52</v>
      </c>
      <c r="HT235" s="22" t="s">
        <v>70</v>
      </c>
      <c r="HU235" s="214" t="s">
        <v>530</v>
      </c>
      <c r="HW235" s="22" t="s">
        <v>15627</v>
      </c>
      <c r="HX235" s="22" t="s">
        <v>287</v>
      </c>
      <c r="HY235" s="22" t="s">
        <v>70</v>
      </c>
      <c r="HZ235" s="214" t="s">
        <v>530</v>
      </c>
      <c r="IB235" s="22" t="s">
        <v>15628</v>
      </c>
      <c r="IC235" s="22" t="s">
        <v>488</v>
      </c>
      <c r="ID235" s="22" t="s">
        <v>70</v>
      </c>
      <c r="IE235" s="214" t="s">
        <v>530</v>
      </c>
      <c r="IG235" s="22" t="s">
        <v>15629</v>
      </c>
      <c r="IH235" s="22" t="s">
        <v>499</v>
      </c>
      <c r="II235" s="22" t="s">
        <v>70</v>
      </c>
      <c r="IJ235" s="214" t="s">
        <v>530</v>
      </c>
      <c r="IL235" s="22" t="s">
        <v>15630</v>
      </c>
      <c r="IM235" s="22" t="s">
        <v>145</v>
      </c>
      <c r="IN235" s="22" t="s">
        <v>70</v>
      </c>
      <c r="IO235" s="214" t="s">
        <v>530</v>
      </c>
      <c r="IQ235" s="236" t="s">
        <v>15631</v>
      </c>
      <c r="IR235" s="236" t="s">
        <v>145</v>
      </c>
      <c r="IS235" s="236" t="s">
        <v>74</v>
      </c>
      <c r="IT235" s="236" t="s">
        <v>841</v>
      </c>
      <c r="IV235" s="236" t="s">
        <v>15632</v>
      </c>
      <c r="IW235" s="236" t="s">
        <v>145</v>
      </c>
      <c r="IX235" s="236" t="s">
        <v>74</v>
      </c>
      <c r="IY235" s="236" t="s">
        <v>841</v>
      </c>
      <c r="JA235" s="236" t="s">
        <v>15633</v>
      </c>
      <c r="JB235" s="236" t="s">
        <v>145</v>
      </c>
      <c r="JC235" s="236" t="s">
        <v>74</v>
      </c>
      <c r="JD235" s="236" t="s">
        <v>841</v>
      </c>
      <c r="JF235" s="236" t="s">
        <v>15634</v>
      </c>
      <c r="JG235" s="236" t="s">
        <v>145</v>
      </c>
      <c r="JH235" s="236" t="s">
        <v>74</v>
      </c>
      <c r="JI235" s="236" t="s">
        <v>841</v>
      </c>
      <c r="JK235" s="236" t="s">
        <v>15635</v>
      </c>
      <c r="JL235" s="236" t="s">
        <v>145</v>
      </c>
      <c r="JM235" s="236" t="s">
        <v>74</v>
      </c>
      <c r="JN235" s="236" t="s">
        <v>841</v>
      </c>
      <c r="JP235" s="236" t="s">
        <v>15636</v>
      </c>
      <c r="JQ235" s="236" t="s">
        <v>145</v>
      </c>
      <c r="JR235" s="236" t="s">
        <v>74</v>
      </c>
      <c r="JS235" s="236" t="s">
        <v>841</v>
      </c>
      <c r="JU235" s="294" t="s">
        <v>15637</v>
      </c>
      <c r="JV235" s="294" t="s">
        <v>52</v>
      </c>
      <c r="JW235" s="263" t="s">
        <v>70</v>
      </c>
      <c r="JX235" s="294" t="s">
        <v>1083</v>
      </c>
      <c r="JZ235" s="263" t="s">
        <v>15638</v>
      </c>
      <c r="KA235" s="263" t="s">
        <v>145</v>
      </c>
      <c r="KB235" s="263" t="s">
        <v>70</v>
      </c>
      <c r="KC235" s="263" t="s">
        <v>1083</v>
      </c>
      <c r="KE235" s="263" t="s">
        <v>15639</v>
      </c>
      <c r="KF235" s="263" t="s">
        <v>52</v>
      </c>
      <c r="KG235" s="263" t="s">
        <v>70</v>
      </c>
      <c r="KH235" s="263" t="s">
        <v>1083</v>
      </c>
      <c r="KJ235" s="263" t="s">
        <v>15640</v>
      </c>
      <c r="KK235" s="263" t="s">
        <v>52</v>
      </c>
      <c r="KL235" s="263" t="s">
        <v>74</v>
      </c>
      <c r="KM235" s="263" t="s">
        <v>34074</v>
      </c>
      <c r="KO235" s="214" t="s">
        <v>15641</v>
      </c>
      <c r="KP235" s="214" t="s">
        <v>145</v>
      </c>
      <c r="KQ235" s="214" t="s">
        <v>70</v>
      </c>
      <c r="KR235" s="214" t="s">
        <v>67</v>
      </c>
      <c r="KT235" s="22" t="s">
        <v>15642</v>
      </c>
      <c r="KU235" s="22" t="s">
        <v>145</v>
      </c>
      <c r="KV235" s="22" t="s">
        <v>70</v>
      </c>
      <c r="KW235" s="22" t="s">
        <v>67</v>
      </c>
      <c r="KY235" s="214" t="s">
        <v>15643</v>
      </c>
      <c r="KZ235" s="214" t="s">
        <v>52</v>
      </c>
      <c r="LA235" s="214" t="s">
        <v>74</v>
      </c>
      <c r="LB235" s="214" t="s">
        <v>67</v>
      </c>
      <c r="LD235" s="22" t="s">
        <v>15644</v>
      </c>
      <c r="LE235" s="22" t="s">
        <v>145</v>
      </c>
      <c r="LF235" s="22" t="s">
        <v>70</v>
      </c>
      <c r="LG235" s="22" t="s">
        <v>67</v>
      </c>
    </row>
    <row r="236" spans="1:319">
      <c r="A236" s="22" t="s">
        <v>15645</v>
      </c>
      <c r="B236" s="22" t="s">
        <v>145</v>
      </c>
      <c r="C236" s="22" t="s">
        <v>70</v>
      </c>
      <c r="D236" s="22" t="s">
        <v>67</v>
      </c>
      <c r="F236" s="73" t="s">
        <v>15646</v>
      </c>
      <c r="G236" s="22" t="s">
        <v>145</v>
      </c>
      <c r="H236" s="22" t="s">
        <v>70</v>
      </c>
      <c r="I236" s="22" t="s">
        <v>67</v>
      </c>
      <c r="K236" s="22" t="s">
        <v>15647</v>
      </c>
      <c r="L236" s="22" t="s">
        <v>145</v>
      </c>
      <c r="M236" s="22" t="s">
        <v>70</v>
      </c>
      <c r="N236" s="22" t="s">
        <v>67</v>
      </c>
      <c r="P236" s="22" t="s">
        <v>15648</v>
      </c>
      <c r="Q236" s="22" t="s">
        <v>145</v>
      </c>
      <c r="R236" s="22" t="s">
        <v>70</v>
      </c>
      <c r="S236" s="22" t="s">
        <v>67</v>
      </c>
      <c r="U236" s="293" t="s">
        <v>15649</v>
      </c>
      <c r="V236" s="293" t="s">
        <v>145</v>
      </c>
      <c r="W236" s="293" t="s">
        <v>74</v>
      </c>
      <c r="X236" s="293" t="s">
        <v>656</v>
      </c>
      <c r="Z236" s="293" t="s">
        <v>15650</v>
      </c>
      <c r="AA236" s="293" t="s">
        <v>145</v>
      </c>
      <c r="AB236" s="293" t="s">
        <v>74</v>
      </c>
      <c r="AC236" s="293" t="s">
        <v>656</v>
      </c>
      <c r="AE236" s="293" t="s">
        <v>15651</v>
      </c>
      <c r="AF236" s="293" t="s">
        <v>145</v>
      </c>
      <c r="AG236" s="293" t="s">
        <v>74</v>
      </c>
      <c r="AH236" s="293" t="s">
        <v>656</v>
      </c>
      <c r="AJ236" s="293" t="s">
        <v>15652</v>
      </c>
      <c r="AK236" s="293" t="s">
        <v>145</v>
      </c>
      <c r="AL236" s="293" t="s">
        <v>74</v>
      </c>
      <c r="AM236" s="293" t="s">
        <v>656</v>
      </c>
      <c r="AO236" s="22" t="s">
        <v>15653</v>
      </c>
      <c r="AP236" s="22" t="s">
        <v>145</v>
      </c>
      <c r="AQ236" s="22" t="s">
        <v>70</v>
      </c>
      <c r="AR236" s="22" t="s">
        <v>67</v>
      </c>
      <c r="AT236" s="22" t="s">
        <v>15654</v>
      </c>
      <c r="AU236" s="22" t="s">
        <v>145</v>
      </c>
      <c r="AV236" s="22" t="s">
        <v>70</v>
      </c>
      <c r="AW236" s="22" t="s">
        <v>67</v>
      </c>
      <c r="AY236" s="22" t="s">
        <v>15655</v>
      </c>
      <c r="AZ236" s="22" t="s">
        <v>145</v>
      </c>
      <c r="BA236" s="22" t="s">
        <v>70</v>
      </c>
      <c r="BB236" s="22" t="s">
        <v>67</v>
      </c>
      <c r="BD236" s="22" t="s">
        <v>15656</v>
      </c>
      <c r="BE236" s="22" t="s">
        <v>145</v>
      </c>
      <c r="BF236" s="22" t="s">
        <v>70</v>
      </c>
      <c r="BG236" s="22" t="s">
        <v>67</v>
      </c>
      <c r="BI236" s="22" t="s">
        <v>15657</v>
      </c>
      <c r="BJ236" s="22" t="s">
        <v>145</v>
      </c>
      <c r="BK236" s="22" t="s">
        <v>70</v>
      </c>
      <c r="BL236" s="22" t="s">
        <v>67</v>
      </c>
      <c r="BN236" s="22" t="s">
        <v>15658</v>
      </c>
      <c r="BO236" s="22" t="s">
        <v>145</v>
      </c>
      <c r="BP236" s="22" t="s">
        <v>70</v>
      </c>
      <c r="BQ236" s="22" t="s">
        <v>67</v>
      </c>
      <c r="BS236" s="22" t="s">
        <v>15659</v>
      </c>
      <c r="BT236" s="22" t="s">
        <v>145</v>
      </c>
      <c r="BU236" s="22" t="s">
        <v>70</v>
      </c>
      <c r="BV236" s="214" t="s">
        <v>530</v>
      </c>
      <c r="BX236" s="22" t="s">
        <v>15660</v>
      </c>
      <c r="BY236" s="22" t="s">
        <v>145</v>
      </c>
      <c r="BZ236" s="22" t="s">
        <v>70</v>
      </c>
      <c r="CA236" s="214" t="s">
        <v>530</v>
      </c>
      <c r="CC236" s="214" t="s">
        <v>15661</v>
      </c>
      <c r="CD236" s="218" t="s">
        <v>145</v>
      </c>
      <c r="CE236" s="214" t="s">
        <v>70</v>
      </c>
      <c r="CF236" s="214" t="s">
        <v>689</v>
      </c>
      <c r="CH236" s="214" t="s">
        <v>15662</v>
      </c>
      <c r="CI236" s="214" t="s">
        <v>944</v>
      </c>
      <c r="CJ236" s="214" t="s">
        <v>70</v>
      </c>
      <c r="CK236" s="214" t="s">
        <v>530</v>
      </c>
      <c r="CM236" s="214" t="s">
        <v>15663</v>
      </c>
      <c r="CN236" s="214" t="s">
        <v>85</v>
      </c>
      <c r="CO236" s="214" t="s">
        <v>70</v>
      </c>
      <c r="CP236" s="214" t="s">
        <v>530</v>
      </c>
      <c r="CR236" s="214" t="s">
        <v>15664</v>
      </c>
      <c r="CS236" s="214" t="s">
        <v>641</v>
      </c>
      <c r="CT236" s="214" t="s">
        <v>70</v>
      </c>
      <c r="CU236" s="214" t="s">
        <v>530</v>
      </c>
      <c r="CW236" s="214" t="s">
        <v>15665</v>
      </c>
      <c r="CX236" s="214" t="s">
        <v>492</v>
      </c>
      <c r="CY236" s="214" t="s">
        <v>70</v>
      </c>
      <c r="CZ236" s="214" t="s">
        <v>530</v>
      </c>
      <c r="DB236" s="214" t="s">
        <v>15666</v>
      </c>
      <c r="DC236" s="214" t="s">
        <v>34545</v>
      </c>
      <c r="DD236" s="214" t="s">
        <v>70</v>
      </c>
      <c r="DE236" s="214" t="s">
        <v>530</v>
      </c>
      <c r="DG236" s="214" t="s">
        <v>15667</v>
      </c>
      <c r="DH236" s="214" t="s">
        <v>34545</v>
      </c>
      <c r="DI236" s="214" t="s">
        <v>70</v>
      </c>
      <c r="DJ236" s="214" t="s">
        <v>530</v>
      </c>
      <c r="DL236" s="214" t="s">
        <v>15668</v>
      </c>
      <c r="DM236" s="214" t="s">
        <v>88</v>
      </c>
      <c r="DN236" s="214" t="s">
        <v>70</v>
      </c>
      <c r="DO236" s="214" t="s">
        <v>530</v>
      </c>
      <c r="DQ236" s="214" t="s">
        <v>15669</v>
      </c>
      <c r="DR236" s="214" t="s">
        <v>163</v>
      </c>
      <c r="DS236" s="214" t="s">
        <v>70</v>
      </c>
      <c r="DT236" s="214" t="s">
        <v>530</v>
      </c>
      <c r="DV236" s="214" t="s">
        <v>15670</v>
      </c>
      <c r="DW236" s="214" t="s">
        <v>468</v>
      </c>
      <c r="DX236" s="214" t="s">
        <v>70</v>
      </c>
      <c r="DY236" s="214" t="s">
        <v>530</v>
      </c>
      <c r="EA236" s="214" t="s">
        <v>15671</v>
      </c>
      <c r="EB236" s="214" t="s">
        <v>146</v>
      </c>
      <c r="EC236" s="214" t="s">
        <v>70</v>
      </c>
      <c r="ED236" s="214" t="s">
        <v>530</v>
      </c>
      <c r="EF236" s="214" t="s">
        <v>15672</v>
      </c>
      <c r="EG236" s="214" t="s">
        <v>52</v>
      </c>
      <c r="EH236" s="214" t="s">
        <v>70</v>
      </c>
      <c r="EI236" s="214" t="s">
        <v>530</v>
      </c>
      <c r="EK236" s="214" t="s">
        <v>15673</v>
      </c>
      <c r="EL236" s="214" t="s">
        <v>52</v>
      </c>
      <c r="EM236" s="214" t="s">
        <v>70</v>
      </c>
      <c r="EN236" s="214" t="s">
        <v>530</v>
      </c>
      <c r="EP236" s="214" t="s">
        <v>15674</v>
      </c>
      <c r="EQ236" s="214" t="s">
        <v>87</v>
      </c>
      <c r="ER236" s="214" t="s">
        <v>70</v>
      </c>
      <c r="ES236" s="214" t="s">
        <v>530</v>
      </c>
      <c r="EU236" s="214" t="s">
        <v>15675</v>
      </c>
      <c r="EV236" s="214" t="s">
        <v>92</v>
      </c>
      <c r="EW236" s="214" t="s">
        <v>70</v>
      </c>
      <c r="EX236" s="214" t="s">
        <v>530</v>
      </c>
      <c r="EZ236" s="214" t="s">
        <v>15676</v>
      </c>
      <c r="FA236" s="214" t="s">
        <v>90</v>
      </c>
      <c r="FB236" s="214" t="s">
        <v>70</v>
      </c>
      <c r="FC236" s="214" t="s">
        <v>530</v>
      </c>
      <c r="FE236" s="214" t="s">
        <v>15677</v>
      </c>
      <c r="FF236" s="214" t="s">
        <v>52</v>
      </c>
      <c r="FG236" s="214" t="s">
        <v>70</v>
      </c>
      <c r="FH236" s="214" t="s">
        <v>530</v>
      </c>
      <c r="FJ236" s="321" t="s">
        <v>15678</v>
      </c>
      <c r="FK236" s="214" t="s">
        <v>34556</v>
      </c>
      <c r="FL236" s="214" t="s">
        <v>70</v>
      </c>
      <c r="FM236" s="214" t="s">
        <v>530</v>
      </c>
      <c r="FO236" s="321" t="s">
        <v>15679</v>
      </c>
      <c r="FP236" s="214" t="s">
        <v>483</v>
      </c>
      <c r="FQ236" s="214" t="s">
        <v>70</v>
      </c>
      <c r="FR236" s="214" t="s">
        <v>530</v>
      </c>
      <c r="FT236" s="321" t="s">
        <v>15680</v>
      </c>
      <c r="FU236" s="214" t="s">
        <v>486</v>
      </c>
      <c r="FV236" s="214" t="s">
        <v>70</v>
      </c>
      <c r="FW236" s="214" t="s">
        <v>530</v>
      </c>
      <c r="FY236" s="321" t="s">
        <v>15681</v>
      </c>
      <c r="FZ236" s="214" t="s">
        <v>92</v>
      </c>
      <c r="GA236" s="214" t="s">
        <v>70</v>
      </c>
      <c r="GB236" s="214" t="s">
        <v>530</v>
      </c>
      <c r="GD236" s="321" t="s">
        <v>15682</v>
      </c>
      <c r="GE236" s="214" t="s">
        <v>492</v>
      </c>
      <c r="GF236" s="214" t="s">
        <v>70</v>
      </c>
      <c r="GG236" s="214" t="s">
        <v>530</v>
      </c>
      <c r="GI236" s="321" t="s">
        <v>15683</v>
      </c>
      <c r="GJ236" s="214" t="s">
        <v>52</v>
      </c>
      <c r="GK236" s="214" t="s">
        <v>70</v>
      </c>
      <c r="GL236" s="214" t="s">
        <v>530</v>
      </c>
      <c r="GN236" s="321" t="s">
        <v>15684</v>
      </c>
      <c r="GO236" s="214" t="s">
        <v>148</v>
      </c>
      <c r="GP236" s="214" t="s">
        <v>70</v>
      </c>
      <c r="GQ236" s="214" t="s">
        <v>530</v>
      </c>
      <c r="GS236" s="321" t="s">
        <v>15685</v>
      </c>
      <c r="GT236" s="214" t="s">
        <v>52</v>
      </c>
      <c r="GU236" s="214" t="s">
        <v>70</v>
      </c>
      <c r="GV236" s="214" t="s">
        <v>530</v>
      </c>
      <c r="GX236" s="214" t="s">
        <v>15686</v>
      </c>
      <c r="GY236" s="214" t="s">
        <v>90</v>
      </c>
      <c r="GZ236" s="214" t="s">
        <v>70</v>
      </c>
      <c r="HA236" s="214" t="s">
        <v>530</v>
      </c>
      <c r="HC236" s="214" t="s">
        <v>15687</v>
      </c>
      <c r="HD236" s="214" t="s">
        <v>146</v>
      </c>
      <c r="HE236" s="214" t="s">
        <v>70</v>
      </c>
      <c r="HF236" s="214" t="s">
        <v>530</v>
      </c>
      <c r="HH236" s="214" t="s">
        <v>15688</v>
      </c>
      <c r="HI236" s="214" t="s">
        <v>88</v>
      </c>
      <c r="HJ236" s="214" t="s">
        <v>70</v>
      </c>
      <c r="HK236" s="214" t="s">
        <v>530</v>
      </c>
      <c r="HM236" s="214" t="s">
        <v>15689</v>
      </c>
      <c r="HN236" s="214" t="s">
        <v>145</v>
      </c>
      <c r="HO236" s="214" t="s">
        <v>70</v>
      </c>
      <c r="HP236" s="214" t="s">
        <v>530</v>
      </c>
      <c r="HR236" s="22" t="s">
        <v>15690</v>
      </c>
      <c r="HS236" s="22" t="s">
        <v>52</v>
      </c>
      <c r="HT236" s="22" t="s">
        <v>70</v>
      </c>
      <c r="HU236" s="214" t="s">
        <v>530</v>
      </c>
      <c r="HW236" s="22" t="s">
        <v>15691</v>
      </c>
      <c r="HX236" s="22" t="s">
        <v>149</v>
      </c>
      <c r="HY236" s="22" t="s">
        <v>70</v>
      </c>
      <c r="HZ236" s="214" t="s">
        <v>530</v>
      </c>
      <c r="IB236" s="22" t="s">
        <v>15692</v>
      </c>
      <c r="IC236" s="22" t="s">
        <v>148</v>
      </c>
      <c r="ID236" s="22" t="s">
        <v>70</v>
      </c>
      <c r="IE236" s="214" t="s">
        <v>530</v>
      </c>
      <c r="IG236" s="22" t="s">
        <v>15693</v>
      </c>
      <c r="IH236" s="22" t="s">
        <v>52</v>
      </c>
      <c r="II236" s="22" t="s">
        <v>70</v>
      </c>
      <c r="IJ236" s="214" t="s">
        <v>530</v>
      </c>
      <c r="IL236" s="22" t="s">
        <v>15694</v>
      </c>
      <c r="IM236" s="22" t="s">
        <v>145</v>
      </c>
      <c r="IN236" s="22" t="s">
        <v>70</v>
      </c>
      <c r="IO236" s="214" t="s">
        <v>530</v>
      </c>
      <c r="IQ236" s="236" t="s">
        <v>15695</v>
      </c>
      <c r="IR236" s="236" t="s">
        <v>145</v>
      </c>
      <c r="IS236" s="236" t="s">
        <v>74</v>
      </c>
      <c r="IT236" s="236" t="s">
        <v>841</v>
      </c>
      <c r="IV236" s="236" t="s">
        <v>15696</v>
      </c>
      <c r="IW236" s="236" t="s">
        <v>145</v>
      </c>
      <c r="IX236" s="236" t="s">
        <v>74</v>
      </c>
      <c r="IY236" s="236" t="s">
        <v>841</v>
      </c>
      <c r="JA236" s="236" t="s">
        <v>15697</v>
      </c>
      <c r="JB236" s="236" t="s">
        <v>145</v>
      </c>
      <c r="JC236" s="236" t="s">
        <v>74</v>
      </c>
      <c r="JD236" s="236" t="s">
        <v>841</v>
      </c>
      <c r="JF236" s="236" t="s">
        <v>15698</v>
      </c>
      <c r="JG236" s="236" t="s">
        <v>145</v>
      </c>
      <c r="JH236" s="236" t="s">
        <v>74</v>
      </c>
      <c r="JI236" s="236" t="s">
        <v>841</v>
      </c>
      <c r="JK236" s="236" t="s">
        <v>15699</v>
      </c>
      <c r="JL236" s="236" t="s">
        <v>145</v>
      </c>
      <c r="JM236" s="236" t="s">
        <v>74</v>
      </c>
      <c r="JN236" s="236" t="s">
        <v>841</v>
      </c>
      <c r="JP236" s="236" t="s">
        <v>15700</v>
      </c>
      <c r="JQ236" s="236" t="s">
        <v>145</v>
      </c>
      <c r="JR236" s="236" t="s">
        <v>74</v>
      </c>
      <c r="JS236" s="236" t="s">
        <v>841</v>
      </c>
      <c r="JU236" s="294" t="s">
        <v>15701</v>
      </c>
      <c r="JV236" s="294" t="s">
        <v>52</v>
      </c>
      <c r="JW236" s="263" t="s">
        <v>70</v>
      </c>
      <c r="JX236" s="294" t="s">
        <v>1083</v>
      </c>
      <c r="JZ236" s="263" t="s">
        <v>15702</v>
      </c>
      <c r="KA236" s="263" t="s">
        <v>145</v>
      </c>
      <c r="KB236" s="263" t="s">
        <v>70</v>
      </c>
      <c r="KC236" s="263" t="s">
        <v>1083</v>
      </c>
      <c r="KE236" s="263" t="s">
        <v>15703</v>
      </c>
      <c r="KF236" s="263" t="s">
        <v>52</v>
      </c>
      <c r="KG236" s="263" t="s">
        <v>70</v>
      </c>
      <c r="KH236" s="263" t="s">
        <v>1083</v>
      </c>
      <c r="KJ236" s="263" t="s">
        <v>15704</v>
      </c>
      <c r="KK236" s="263" t="s">
        <v>52</v>
      </c>
      <c r="KL236" s="263" t="s">
        <v>74</v>
      </c>
      <c r="KM236" s="263" t="s">
        <v>34074</v>
      </c>
      <c r="KO236" s="214" t="s">
        <v>15705</v>
      </c>
      <c r="KP236" s="214" t="s">
        <v>145</v>
      </c>
      <c r="KQ236" s="214" t="s">
        <v>70</v>
      </c>
      <c r="KR236" s="214" t="s">
        <v>67</v>
      </c>
      <c r="KT236" s="22" t="s">
        <v>15706</v>
      </c>
      <c r="KU236" s="22" t="s">
        <v>145</v>
      </c>
      <c r="KV236" s="22" t="s">
        <v>70</v>
      </c>
      <c r="KW236" s="22" t="s">
        <v>67</v>
      </c>
      <c r="KY236" s="214" t="s">
        <v>15707</v>
      </c>
      <c r="KZ236" s="214" t="s">
        <v>52</v>
      </c>
      <c r="LA236" s="214" t="s">
        <v>74</v>
      </c>
      <c r="LB236" s="214" t="s">
        <v>67</v>
      </c>
      <c r="LD236" s="22" t="s">
        <v>15708</v>
      </c>
      <c r="LE236" s="22" t="s">
        <v>145</v>
      </c>
      <c r="LF236" s="22" t="s">
        <v>70</v>
      </c>
      <c r="LG236" s="22" t="s">
        <v>67</v>
      </c>
    </row>
    <row r="237" spans="1:319">
      <c r="A237" s="22" t="s">
        <v>15709</v>
      </c>
      <c r="B237" s="22" t="s">
        <v>145</v>
      </c>
      <c r="C237" s="22" t="s">
        <v>70</v>
      </c>
      <c r="D237" s="22" t="s">
        <v>67</v>
      </c>
      <c r="F237" s="73" t="s">
        <v>15710</v>
      </c>
      <c r="G237" s="22" t="s">
        <v>145</v>
      </c>
      <c r="H237" s="22" t="s">
        <v>70</v>
      </c>
      <c r="I237" s="22" t="s">
        <v>67</v>
      </c>
      <c r="K237" s="22" t="s">
        <v>15711</v>
      </c>
      <c r="L237" s="22" t="s">
        <v>145</v>
      </c>
      <c r="M237" s="22" t="s">
        <v>70</v>
      </c>
      <c r="N237" s="22" t="s">
        <v>67</v>
      </c>
      <c r="P237" s="22" t="s">
        <v>15712</v>
      </c>
      <c r="Q237" s="22" t="s">
        <v>145</v>
      </c>
      <c r="R237" s="22" t="s">
        <v>70</v>
      </c>
      <c r="S237" s="22" t="s">
        <v>67</v>
      </c>
      <c r="U237" s="293" t="s">
        <v>15713</v>
      </c>
      <c r="V237" s="293" t="s">
        <v>145</v>
      </c>
      <c r="W237" s="293" t="s">
        <v>74</v>
      </c>
      <c r="X237" s="293" t="s">
        <v>656</v>
      </c>
      <c r="Z237" s="293" t="s">
        <v>15714</v>
      </c>
      <c r="AA237" s="293" t="s">
        <v>145</v>
      </c>
      <c r="AB237" s="293" t="s">
        <v>74</v>
      </c>
      <c r="AC237" s="293" t="s">
        <v>656</v>
      </c>
      <c r="AE237" s="293" t="s">
        <v>15715</v>
      </c>
      <c r="AF237" s="293" t="s">
        <v>145</v>
      </c>
      <c r="AG237" s="293" t="s">
        <v>74</v>
      </c>
      <c r="AH237" s="293" t="s">
        <v>656</v>
      </c>
      <c r="AJ237" s="293" t="s">
        <v>15716</v>
      </c>
      <c r="AK237" s="293" t="s">
        <v>145</v>
      </c>
      <c r="AL237" s="293" t="s">
        <v>74</v>
      </c>
      <c r="AM237" s="293" t="s">
        <v>656</v>
      </c>
      <c r="AO237" s="22" t="s">
        <v>15717</v>
      </c>
      <c r="AP237" s="22" t="s">
        <v>145</v>
      </c>
      <c r="AQ237" s="22" t="s">
        <v>70</v>
      </c>
      <c r="AR237" s="22" t="s">
        <v>67</v>
      </c>
      <c r="AT237" s="22" t="s">
        <v>15718</v>
      </c>
      <c r="AU237" s="22" t="s">
        <v>145</v>
      </c>
      <c r="AV237" s="22" t="s">
        <v>70</v>
      </c>
      <c r="AW237" s="22" t="s">
        <v>67</v>
      </c>
      <c r="AY237" s="22" t="s">
        <v>15719</v>
      </c>
      <c r="AZ237" s="22" t="s">
        <v>145</v>
      </c>
      <c r="BA237" s="22" t="s">
        <v>70</v>
      </c>
      <c r="BB237" s="22" t="s">
        <v>67</v>
      </c>
      <c r="BD237" s="22" t="s">
        <v>15720</v>
      </c>
      <c r="BE237" s="22" t="s">
        <v>145</v>
      </c>
      <c r="BF237" s="22" t="s">
        <v>70</v>
      </c>
      <c r="BG237" s="22" t="s">
        <v>67</v>
      </c>
      <c r="BI237" s="22" t="s">
        <v>15721</v>
      </c>
      <c r="BJ237" s="22" t="s">
        <v>145</v>
      </c>
      <c r="BK237" s="22" t="s">
        <v>70</v>
      </c>
      <c r="BL237" s="22" t="s">
        <v>67</v>
      </c>
      <c r="BN237" s="22" t="s">
        <v>15722</v>
      </c>
      <c r="BO237" s="22" t="s">
        <v>145</v>
      </c>
      <c r="BP237" s="22" t="s">
        <v>70</v>
      </c>
      <c r="BQ237" s="22" t="s">
        <v>67</v>
      </c>
      <c r="BS237" s="22" t="s">
        <v>15723</v>
      </c>
      <c r="BT237" s="22" t="s">
        <v>145</v>
      </c>
      <c r="BU237" s="22" t="s">
        <v>70</v>
      </c>
      <c r="BV237" s="214" t="s">
        <v>530</v>
      </c>
      <c r="BX237" s="22" t="s">
        <v>15724</v>
      </c>
      <c r="BY237" s="22" t="s">
        <v>145</v>
      </c>
      <c r="BZ237" s="22" t="s">
        <v>70</v>
      </c>
      <c r="CA237" s="214" t="s">
        <v>530</v>
      </c>
      <c r="CC237" s="214" t="s">
        <v>15725</v>
      </c>
      <c r="CD237" s="218" t="s">
        <v>145</v>
      </c>
      <c r="CE237" s="214" t="s">
        <v>70</v>
      </c>
      <c r="CF237" s="214" t="s">
        <v>690</v>
      </c>
      <c r="CH237" s="214" t="s">
        <v>15726</v>
      </c>
      <c r="CI237" s="214" t="s">
        <v>490</v>
      </c>
      <c r="CJ237" s="214" t="s">
        <v>70</v>
      </c>
      <c r="CK237" s="214" t="s">
        <v>530</v>
      </c>
      <c r="CM237" s="214" t="s">
        <v>15727</v>
      </c>
      <c r="CN237" s="214" t="s">
        <v>485</v>
      </c>
      <c r="CO237" s="214" t="s">
        <v>70</v>
      </c>
      <c r="CP237" s="214" t="s">
        <v>530</v>
      </c>
      <c r="CR237" s="214" t="s">
        <v>15728</v>
      </c>
      <c r="CS237" s="214" t="s">
        <v>92</v>
      </c>
      <c r="CT237" s="214" t="s">
        <v>70</v>
      </c>
      <c r="CU237" s="214" t="s">
        <v>530</v>
      </c>
      <c r="CW237" s="214" t="s">
        <v>15729</v>
      </c>
      <c r="CX237" s="214" t="s">
        <v>34555</v>
      </c>
      <c r="CY237" s="214" t="s">
        <v>70</v>
      </c>
      <c r="CZ237" s="214" t="s">
        <v>530</v>
      </c>
      <c r="DB237" s="214" t="s">
        <v>15730</v>
      </c>
      <c r="DC237" s="214" t="s">
        <v>34561</v>
      </c>
      <c r="DD237" s="214" t="s">
        <v>70</v>
      </c>
      <c r="DE237" s="214" t="s">
        <v>530</v>
      </c>
      <c r="DG237" s="214" t="s">
        <v>15731</v>
      </c>
      <c r="DH237" s="214" t="s">
        <v>34551</v>
      </c>
      <c r="DI237" s="214" t="s">
        <v>70</v>
      </c>
      <c r="DJ237" s="214" t="s">
        <v>530</v>
      </c>
      <c r="DL237" s="214" t="s">
        <v>15732</v>
      </c>
      <c r="DM237" s="214" t="s">
        <v>34560</v>
      </c>
      <c r="DN237" s="214" t="s">
        <v>70</v>
      </c>
      <c r="DO237" s="214" t="s">
        <v>530</v>
      </c>
      <c r="DQ237" s="214" t="s">
        <v>15733</v>
      </c>
      <c r="DR237" s="214" t="s">
        <v>486</v>
      </c>
      <c r="DS237" s="214" t="s">
        <v>70</v>
      </c>
      <c r="DT237" s="214" t="s">
        <v>530</v>
      </c>
      <c r="DV237" s="214" t="s">
        <v>15734</v>
      </c>
      <c r="DW237" s="214" t="s">
        <v>34548</v>
      </c>
      <c r="DX237" s="214" t="s">
        <v>70</v>
      </c>
      <c r="DY237" s="214" t="s">
        <v>530</v>
      </c>
      <c r="EA237" s="214" t="s">
        <v>15735</v>
      </c>
      <c r="EB237" s="214" t="s">
        <v>52</v>
      </c>
      <c r="EC237" s="214" t="s">
        <v>70</v>
      </c>
      <c r="ED237" s="214" t="s">
        <v>530</v>
      </c>
      <c r="EF237" s="214" t="s">
        <v>15736</v>
      </c>
      <c r="EG237" s="214" t="s">
        <v>468</v>
      </c>
      <c r="EH237" s="214" t="s">
        <v>70</v>
      </c>
      <c r="EI237" s="214" t="s">
        <v>530</v>
      </c>
      <c r="EK237" s="214" t="s">
        <v>15737</v>
      </c>
      <c r="EL237" s="214" t="s">
        <v>468</v>
      </c>
      <c r="EM237" s="214" t="s">
        <v>70</v>
      </c>
      <c r="EN237" s="214" t="s">
        <v>530</v>
      </c>
      <c r="EP237" s="214" t="s">
        <v>15738</v>
      </c>
      <c r="EQ237" s="214" t="s">
        <v>920</v>
      </c>
      <c r="ER237" s="214" t="s">
        <v>70</v>
      </c>
      <c r="ES237" s="214" t="s">
        <v>530</v>
      </c>
      <c r="EU237" s="214" t="s">
        <v>15739</v>
      </c>
      <c r="EV237" s="214" t="s">
        <v>496</v>
      </c>
      <c r="EW237" s="214" t="s">
        <v>70</v>
      </c>
      <c r="EX237" s="214" t="s">
        <v>530</v>
      </c>
      <c r="EZ237" s="214" t="s">
        <v>15740</v>
      </c>
      <c r="FA237" s="214" t="s">
        <v>93</v>
      </c>
      <c r="FB237" s="214" t="s">
        <v>70</v>
      </c>
      <c r="FC237" s="214" t="s">
        <v>530</v>
      </c>
      <c r="FE237" s="214" t="s">
        <v>15741</v>
      </c>
      <c r="FF237" s="214" t="s">
        <v>34558</v>
      </c>
      <c r="FG237" s="214" t="s">
        <v>70</v>
      </c>
      <c r="FH237" s="214" t="s">
        <v>530</v>
      </c>
      <c r="FJ237" s="321" t="s">
        <v>15742</v>
      </c>
      <c r="FK237" s="214" t="s">
        <v>496</v>
      </c>
      <c r="FL237" s="214" t="s">
        <v>70</v>
      </c>
      <c r="FM237" s="214" t="s">
        <v>530</v>
      </c>
      <c r="FO237" s="321" t="s">
        <v>15743</v>
      </c>
      <c r="FP237" s="214" t="s">
        <v>599</v>
      </c>
      <c r="FQ237" s="214" t="s">
        <v>70</v>
      </c>
      <c r="FR237" s="214" t="s">
        <v>530</v>
      </c>
      <c r="FT237" s="321" t="s">
        <v>15744</v>
      </c>
      <c r="FU237" s="214" t="s">
        <v>491</v>
      </c>
      <c r="FV237" s="214" t="s">
        <v>70</v>
      </c>
      <c r="FW237" s="214" t="s">
        <v>530</v>
      </c>
      <c r="FY237" s="321" t="s">
        <v>15745</v>
      </c>
      <c r="FZ237" s="214" t="s">
        <v>482</v>
      </c>
      <c r="GA237" s="214" t="s">
        <v>70</v>
      </c>
      <c r="GB237" s="214" t="s">
        <v>530</v>
      </c>
      <c r="GD237" s="321" t="s">
        <v>15746</v>
      </c>
      <c r="GE237" s="214" t="s">
        <v>921</v>
      </c>
      <c r="GF237" s="214" t="s">
        <v>70</v>
      </c>
      <c r="GG237" s="214" t="s">
        <v>530</v>
      </c>
      <c r="GI237" s="321" t="s">
        <v>15747</v>
      </c>
      <c r="GJ237" s="214" t="s">
        <v>485</v>
      </c>
      <c r="GK237" s="214" t="s">
        <v>70</v>
      </c>
      <c r="GL237" s="214" t="s">
        <v>530</v>
      </c>
      <c r="GN237" s="321" t="s">
        <v>15748</v>
      </c>
      <c r="GO237" s="214" t="s">
        <v>488</v>
      </c>
      <c r="GP237" s="214" t="s">
        <v>70</v>
      </c>
      <c r="GQ237" s="214" t="s">
        <v>530</v>
      </c>
      <c r="GS237" s="321" t="s">
        <v>15749</v>
      </c>
      <c r="GT237" s="214" t="s">
        <v>203</v>
      </c>
      <c r="GU237" s="214" t="s">
        <v>70</v>
      </c>
      <c r="GV237" s="214" t="s">
        <v>530</v>
      </c>
      <c r="GX237" s="214" t="s">
        <v>15750</v>
      </c>
      <c r="GY237" s="214" t="s">
        <v>483</v>
      </c>
      <c r="GZ237" s="214" t="s">
        <v>70</v>
      </c>
      <c r="HA237" s="214" t="s">
        <v>530</v>
      </c>
      <c r="HC237" s="214" t="s">
        <v>15751</v>
      </c>
      <c r="HD237" s="214" t="s">
        <v>148</v>
      </c>
      <c r="HE237" s="214" t="s">
        <v>70</v>
      </c>
      <c r="HF237" s="214" t="s">
        <v>530</v>
      </c>
      <c r="HH237" s="214" t="s">
        <v>15752</v>
      </c>
      <c r="HI237" s="214" t="s">
        <v>163</v>
      </c>
      <c r="HJ237" s="214" t="s">
        <v>70</v>
      </c>
      <c r="HK237" s="214" t="s">
        <v>530</v>
      </c>
      <c r="HM237" s="214" t="s">
        <v>15753</v>
      </c>
      <c r="HN237" s="214" t="s">
        <v>34541</v>
      </c>
      <c r="HO237" s="214" t="s">
        <v>70</v>
      </c>
      <c r="HP237" s="214" t="s">
        <v>530</v>
      </c>
      <c r="HR237" s="22" t="s">
        <v>15754</v>
      </c>
      <c r="HS237" s="22" t="s">
        <v>468</v>
      </c>
      <c r="HT237" s="22" t="s">
        <v>70</v>
      </c>
      <c r="HU237" s="214" t="s">
        <v>530</v>
      </c>
      <c r="HW237" s="22" t="s">
        <v>15755</v>
      </c>
      <c r="HX237" s="22" t="s">
        <v>10541</v>
      </c>
      <c r="HY237" s="22" t="s">
        <v>70</v>
      </c>
      <c r="HZ237" s="214" t="s">
        <v>530</v>
      </c>
      <c r="IB237" s="22" t="s">
        <v>15756</v>
      </c>
      <c r="IC237" s="22" t="s">
        <v>497</v>
      </c>
      <c r="ID237" s="22" t="s">
        <v>70</v>
      </c>
      <c r="IE237" s="214" t="s">
        <v>530</v>
      </c>
      <c r="IG237" s="22" t="s">
        <v>15757</v>
      </c>
      <c r="IH237" s="22" t="s">
        <v>52</v>
      </c>
      <c r="II237" s="22" t="s">
        <v>70</v>
      </c>
      <c r="IJ237" s="214" t="s">
        <v>530</v>
      </c>
      <c r="IL237" s="22" t="s">
        <v>15758</v>
      </c>
      <c r="IM237" s="22" t="s">
        <v>145</v>
      </c>
      <c r="IN237" s="22" t="s">
        <v>70</v>
      </c>
      <c r="IO237" s="214" t="s">
        <v>530</v>
      </c>
      <c r="IQ237" s="236" t="s">
        <v>15759</v>
      </c>
      <c r="IR237" s="236" t="s">
        <v>145</v>
      </c>
      <c r="IS237" s="236" t="s">
        <v>74</v>
      </c>
      <c r="IT237" s="236" t="s">
        <v>841</v>
      </c>
      <c r="IV237" s="236" t="s">
        <v>15760</v>
      </c>
      <c r="IW237" s="236" t="s">
        <v>145</v>
      </c>
      <c r="IX237" s="236" t="s">
        <v>74</v>
      </c>
      <c r="IY237" s="236" t="s">
        <v>841</v>
      </c>
      <c r="JA237" s="236" t="s">
        <v>15761</v>
      </c>
      <c r="JB237" s="236" t="s">
        <v>145</v>
      </c>
      <c r="JC237" s="236" t="s">
        <v>74</v>
      </c>
      <c r="JD237" s="236" t="s">
        <v>841</v>
      </c>
      <c r="JF237" s="236" t="s">
        <v>15762</v>
      </c>
      <c r="JG237" s="236" t="s">
        <v>145</v>
      </c>
      <c r="JH237" s="236" t="s">
        <v>74</v>
      </c>
      <c r="JI237" s="236" t="s">
        <v>841</v>
      </c>
      <c r="JK237" s="236" t="s">
        <v>15763</v>
      </c>
      <c r="JL237" s="236" t="s">
        <v>145</v>
      </c>
      <c r="JM237" s="236" t="s">
        <v>74</v>
      </c>
      <c r="JN237" s="236" t="s">
        <v>841</v>
      </c>
      <c r="JP237" s="236" t="s">
        <v>15764</v>
      </c>
      <c r="JQ237" s="236" t="s">
        <v>145</v>
      </c>
      <c r="JR237" s="236" t="s">
        <v>74</v>
      </c>
      <c r="JS237" s="236" t="s">
        <v>841</v>
      </c>
      <c r="JU237" s="294" t="s">
        <v>15765</v>
      </c>
      <c r="JV237" s="294" t="s">
        <v>52</v>
      </c>
      <c r="JW237" s="263" t="s">
        <v>70</v>
      </c>
      <c r="JX237" s="294" t="s">
        <v>1083</v>
      </c>
      <c r="JZ237" s="263" t="s">
        <v>15766</v>
      </c>
      <c r="KA237" s="263" t="s">
        <v>145</v>
      </c>
      <c r="KB237" s="263" t="s">
        <v>70</v>
      </c>
      <c r="KC237" s="263" t="s">
        <v>1083</v>
      </c>
      <c r="KE237" s="263" t="s">
        <v>15767</v>
      </c>
      <c r="KF237" s="263" t="s">
        <v>52</v>
      </c>
      <c r="KG237" s="263" t="s">
        <v>70</v>
      </c>
      <c r="KH237" s="263" t="s">
        <v>1083</v>
      </c>
      <c r="KJ237" s="263" t="s">
        <v>15768</v>
      </c>
      <c r="KK237" s="263" t="s">
        <v>52</v>
      </c>
      <c r="KL237" s="263" t="s">
        <v>74</v>
      </c>
      <c r="KM237" s="263" t="s">
        <v>34074</v>
      </c>
      <c r="KO237" s="214" t="s">
        <v>15769</v>
      </c>
      <c r="KP237" s="214" t="s">
        <v>145</v>
      </c>
      <c r="KQ237" s="214" t="s">
        <v>70</v>
      </c>
      <c r="KR237" s="214" t="s">
        <v>67</v>
      </c>
      <c r="KT237" s="22" t="s">
        <v>15770</v>
      </c>
      <c r="KU237" s="22" t="s">
        <v>145</v>
      </c>
      <c r="KV237" s="22" t="s">
        <v>70</v>
      </c>
      <c r="KW237" s="22" t="s">
        <v>67</v>
      </c>
      <c r="KY237" s="214" t="s">
        <v>15771</v>
      </c>
      <c r="KZ237" s="214" t="s">
        <v>52</v>
      </c>
      <c r="LA237" s="214" t="s">
        <v>74</v>
      </c>
      <c r="LB237" s="214" t="s">
        <v>67</v>
      </c>
      <c r="LD237" s="22" t="s">
        <v>15772</v>
      </c>
      <c r="LE237" s="22" t="s">
        <v>145</v>
      </c>
      <c r="LF237" s="22" t="s">
        <v>70</v>
      </c>
      <c r="LG237" s="22" t="s">
        <v>67</v>
      </c>
    </row>
    <row r="238" spans="1:319">
      <c r="A238" s="22" t="s">
        <v>15773</v>
      </c>
      <c r="B238" s="22" t="s">
        <v>145</v>
      </c>
      <c r="C238" s="22" t="s">
        <v>70</v>
      </c>
      <c r="D238" s="22" t="s">
        <v>67</v>
      </c>
      <c r="F238" s="73" t="s">
        <v>15774</v>
      </c>
      <c r="G238" s="22" t="s">
        <v>145</v>
      </c>
      <c r="H238" s="22" t="s">
        <v>70</v>
      </c>
      <c r="I238" s="22" t="s">
        <v>67</v>
      </c>
      <c r="K238" s="22" t="s">
        <v>15775</v>
      </c>
      <c r="L238" s="22" t="s">
        <v>145</v>
      </c>
      <c r="M238" s="22" t="s">
        <v>70</v>
      </c>
      <c r="N238" s="22" t="s">
        <v>67</v>
      </c>
      <c r="P238" s="22" t="s">
        <v>15776</v>
      </c>
      <c r="Q238" s="22" t="s">
        <v>145</v>
      </c>
      <c r="R238" s="22" t="s">
        <v>70</v>
      </c>
      <c r="S238" s="22" t="s">
        <v>67</v>
      </c>
      <c r="U238" s="293" t="s">
        <v>15777</v>
      </c>
      <c r="V238" s="293" t="s">
        <v>145</v>
      </c>
      <c r="W238" s="293" t="s">
        <v>74</v>
      </c>
      <c r="X238" s="293" t="s">
        <v>656</v>
      </c>
      <c r="Z238" s="293" t="s">
        <v>15778</v>
      </c>
      <c r="AA238" s="293" t="s">
        <v>145</v>
      </c>
      <c r="AB238" s="293" t="s">
        <v>74</v>
      </c>
      <c r="AC238" s="293" t="s">
        <v>656</v>
      </c>
      <c r="AE238" s="293" t="s">
        <v>15779</v>
      </c>
      <c r="AF238" s="293" t="s">
        <v>145</v>
      </c>
      <c r="AG238" s="293" t="s">
        <v>74</v>
      </c>
      <c r="AH238" s="293" t="s">
        <v>656</v>
      </c>
      <c r="AJ238" s="293" t="s">
        <v>15780</v>
      </c>
      <c r="AK238" s="293" t="s">
        <v>145</v>
      </c>
      <c r="AL238" s="293" t="s">
        <v>74</v>
      </c>
      <c r="AM238" s="293" t="s">
        <v>656</v>
      </c>
      <c r="AO238" s="22" t="s">
        <v>15781</v>
      </c>
      <c r="AP238" s="22" t="s">
        <v>145</v>
      </c>
      <c r="AQ238" s="22" t="s">
        <v>70</v>
      </c>
      <c r="AR238" s="22" t="s">
        <v>67</v>
      </c>
      <c r="AT238" s="22" t="s">
        <v>15782</v>
      </c>
      <c r="AU238" s="22" t="s">
        <v>145</v>
      </c>
      <c r="AV238" s="22" t="s">
        <v>70</v>
      </c>
      <c r="AW238" s="22" t="s">
        <v>67</v>
      </c>
      <c r="AY238" s="22" t="s">
        <v>15783</v>
      </c>
      <c r="AZ238" s="22" t="s">
        <v>145</v>
      </c>
      <c r="BA238" s="22" t="s">
        <v>70</v>
      </c>
      <c r="BB238" s="22" t="s">
        <v>67</v>
      </c>
      <c r="BD238" s="22" t="s">
        <v>15784</v>
      </c>
      <c r="BE238" s="22" t="s">
        <v>145</v>
      </c>
      <c r="BF238" s="22" t="s">
        <v>70</v>
      </c>
      <c r="BG238" s="22" t="s">
        <v>67</v>
      </c>
      <c r="BI238" s="22" t="s">
        <v>15785</v>
      </c>
      <c r="BJ238" s="22" t="s">
        <v>145</v>
      </c>
      <c r="BK238" s="22" t="s">
        <v>70</v>
      </c>
      <c r="BL238" s="22" t="s">
        <v>67</v>
      </c>
      <c r="BN238" s="22" t="s">
        <v>15786</v>
      </c>
      <c r="BO238" s="22" t="s">
        <v>145</v>
      </c>
      <c r="BP238" s="22" t="s">
        <v>70</v>
      </c>
      <c r="BQ238" s="22" t="s">
        <v>67</v>
      </c>
      <c r="BS238" s="22" t="s">
        <v>15787</v>
      </c>
      <c r="BT238" s="22" t="s">
        <v>145</v>
      </c>
      <c r="BU238" s="22" t="s">
        <v>70</v>
      </c>
      <c r="BV238" s="214" t="s">
        <v>530</v>
      </c>
      <c r="BX238" s="22" t="s">
        <v>15788</v>
      </c>
      <c r="BY238" s="22" t="s">
        <v>145</v>
      </c>
      <c r="BZ238" s="22" t="s">
        <v>70</v>
      </c>
      <c r="CA238" s="214" t="s">
        <v>530</v>
      </c>
      <c r="CC238" s="214" t="s">
        <v>15789</v>
      </c>
      <c r="CD238" s="218" t="s">
        <v>145</v>
      </c>
      <c r="CE238" s="214" t="s">
        <v>70</v>
      </c>
      <c r="CF238" s="214" t="s">
        <v>691</v>
      </c>
      <c r="CH238" s="214" t="s">
        <v>15790</v>
      </c>
      <c r="CI238" s="214" t="s">
        <v>52</v>
      </c>
      <c r="CJ238" s="214" t="s">
        <v>70</v>
      </c>
      <c r="CK238" s="214" t="s">
        <v>530</v>
      </c>
      <c r="CM238" s="214" t="s">
        <v>15791</v>
      </c>
      <c r="CN238" s="214" t="s">
        <v>34545</v>
      </c>
      <c r="CO238" s="214" t="s">
        <v>70</v>
      </c>
      <c r="CP238" s="214" t="s">
        <v>530</v>
      </c>
      <c r="CR238" s="214" t="s">
        <v>15792</v>
      </c>
      <c r="CS238" s="214" t="s">
        <v>52</v>
      </c>
      <c r="CT238" s="214" t="s">
        <v>70</v>
      </c>
      <c r="CU238" s="214" t="s">
        <v>530</v>
      </c>
      <c r="CW238" s="214" t="s">
        <v>15793</v>
      </c>
      <c r="CX238" s="214" t="s">
        <v>916</v>
      </c>
      <c r="CY238" s="214" t="s">
        <v>70</v>
      </c>
      <c r="CZ238" s="214" t="s">
        <v>530</v>
      </c>
      <c r="DB238" s="214" t="s">
        <v>15794</v>
      </c>
      <c r="DC238" s="214" t="s">
        <v>642</v>
      </c>
      <c r="DD238" s="214" t="s">
        <v>70</v>
      </c>
      <c r="DE238" s="214" t="s">
        <v>530</v>
      </c>
      <c r="DG238" s="214" t="s">
        <v>15795</v>
      </c>
      <c r="DH238" s="214" t="s">
        <v>34073</v>
      </c>
      <c r="DI238" s="214" t="s">
        <v>70</v>
      </c>
      <c r="DJ238" s="214" t="s">
        <v>530</v>
      </c>
      <c r="DL238" s="214" t="s">
        <v>15796</v>
      </c>
      <c r="DM238" s="214" t="s">
        <v>88</v>
      </c>
      <c r="DN238" s="214" t="s">
        <v>70</v>
      </c>
      <c r="DO238" s="214" t="s">
        <v>530</v>
      </c>
      <c r="DQ238" s="214" t="s">
        <v>15797</v>
      </c>
      <c r="DR238" s="214" t="s">
        <v>305</v>
      </c>
      <c r="DS238" s="214" t="s">
        <v>70</v>
      </c>
      <c r="DT238" s="214" t="s">
        <v>530</v>
      </c>
      <c r="DV238" s="214" t="s">
        <v>15798</v>
      </c>
      <c r="DW238" s="214" t="s">
        <v>52</v>
      </c>
      <c r="DX238" s="214" t="s">
        <v>70</v>
      </c>
      <c r="DY238" s="214" t="s">
        <v>530</v>
      </c>
      <c r="EA238" s="214" t="s">
        <v>15799</v>
      </c>
      <c r="EB238" s="214" t="s">
        <v>34595</v>
      </c>
      <c r="EC238" s="214" t="s">
        <v>70</v>
      </c>
      <c r="ED238" s="214" t="s">
        <v>530</v>
      </c>
      <c r="EF238" s="214" t="s">
        <v>15800</v>
      </c>
      <c r="EG238" s="214" t="s">
        <v>163</v>
      </c>
      <c r="EH238" s="214" t="s">
        <v>70</v>
      </c>
      <c r="EI238" s="214" t="s">
        <v>530</v>
      </c>
      <c r="EK238" s="214" t="s">
        <v>15801</v>
      </c>
      <c r="EL238" s="214" t="s">
        <v>481</v>
      </c>
      <c r="EM238" s="214" t="s">
        <v>70</v>
      </c>
      <c r="EN238" s="214" t="s">
        <v>530</v>
      </c>
      <c r="EP238" s="214" t="s">
        <v>15802</v>
      </c>
      <c r="EQ238" s="214" t="s">
        <v>52</v>
      </c>
      <c r="ER238" s="214" t="s">
        <v>70</v>
      </c>
      <c r="ES238" s="214" t="s">
        <v>530</v>
      </c>
      <c r="EU238" s="214" t="s">
        <v>15803</v>
      </c>
      <c r="EV238" s="214" t="s">
        <v>52</v>
      </c>
      <c r="EW238" s="214" t="s">
        <v>70</v>
      </c>
      <c r="EX238" s="214" t="s">
        <v>530</v>
      </c>
      <c r="EZ238" s="214" t="s">
        <v>15804</v>
      </c>
      <c r="FA238" s="214" t="s">
        <v>905</v>
      </c>
      <c r="FB238" s="214" t="s">
        <v>70</v>
      </c>
      <c r="FC238" s="214" t="s">
        <v>530</v>
      </c>
      <c r="FE238" s="214" t="s">
        <v>15805</v>
      </c>
      <c r="FF238" s="214" t="s">
        <v>52</v>
      </c>
      <c r="FG238" s="214" t="s">
        <v>70</v>
      </c>
      <c r="FH238" s="214" t="s">
        <v>530</v>
      </c>
      <c r="FJ238" s="321" t="s">
        <v>15806</v>
      </c>
      <c r="FK238" s="214" t="s">
        <v>34568</v>
      </c>
      <c r="FL238" s="214" t="s">
        <v>70</v>
      </c>
      <c r="FM238" s="214" t="s">
        <v>530</v>
      </c>
      <c r="FO238" s="321" t="s">
        <v>15807</v>
      </c>
      <c r="FP238" s="214" t="s">
        <v>164</v>
      </c>
      <c r="FQ238" s="214" t="s">
        <v>70</v>
      </c>
      <c r="FR238" s="214" t="s">
        <v>530</v>
      </c>
      <c r="FT238" s="321" t="s">
        <v>15808</v>
      </c>
      <c r="FU238" s="214" t="s">
        <v>52</v>
      </c>
      <c r="FV238" s="214" t="s">
        <v>70</v>
      </c>
      <c r="FW238" s="214" t="s">
        <v>530</v>
      </c>
      <c r="FY238" s="321" t="s">
        <v>15809</v>
      </c>
      <c r="FZ238" s="214" t="s">
        <v>10541</v>
      </c>
      <c r="GA238" s="214" t="s">
        <v>70</v>
      </c>
      <c r="GB238" s="214" t="s">
        <v>530</v>
      </c>
      <c r="GD238" s="321" t="s">
        <v>15810</v>
      </c>
      <c r="GE238" s="214" t="s">
        <v>926</v>
      </c>
      <c r="GF238" s="214" t="s">
        <v>70</v>
      </c>
      <c r="GG238" s="214" t="s">
        <v>530</v>
      </c>
      <c r="GI238" s="321" t="s">
        <v>15811</v>
      </c>
      <c r="GJ238" s="214" t="s">
        <v>87</v>
      </c>
      <c r="GK238" s="214" t="s">
        <v>70</v>
      </c>
      <c r="GL238" s="214" t="s">
        <v>530</v>
      </c>
      <c r="GN238" s="321" t="s">
        <v>15812</v>
      </c>
      <c r="GO238" s="214" t="s">
        <v>52</v>
      </c>
      <c r="GP238" s="214" t="s">
        <v>70</v>
      </c>
      <c r="GQ238" s="214" t="s">
        <v>530</v>
      </c>
      <c r="GS238" s="321" t="s">
        <v>15813</v>
      </c>
      <c r="GT238" s="214" t="s">
        <v>493</v>
      </c>
      <c r="GU238" s="214" t="s">
        <v>70</v>
      </c>
      <c r="GV238" s="214" t="s">
        <v>530</v>
      </c>
      <c r="GX238" s="214" t="s">
        <v>15814</v>
      </c>
      <c r="GY238" s="214" t="s">
        <v>34618</v>
      </c>
      <c r="GZ238" s="214" t="s">
        <v>70</v>
      </c>
      <c r="HA238" s="214" t="s">
        <v>530</v>
      </c>
      <c r="HC238" s="214" t="s">
        <v>15815</v>
      </c>
      <c r="HD238" s="214" t="s">
        <v>292</v>
      </c>
      <c r="HE238" s="214" t="s">
        <v>70</v>
      </c>
      <c r="HF238" s="214" t="s">
        <v>530</v>
      </c>
      <c r="HH238" s="214" t="s">
        <v>15816</v>
      </c>
      <c r="HI238" s="214" t="s">
        <v>90</v>
      </c>
      <c r="HJ238" s="214" t="s">
        <v>70</v>
      </c>
      <c r="HK238" s="214" t="s">
        <v>530</v>
      </c>
      <c r="HM238" s="214" t="s">
        <v>15817</v>
      </c>
      <c r="HN238" s="214" t="s">
        <v>919</v>
      </c>
      <c r="HO238" s="214" t="s">
        <v>70</v>
      </c>
      <c r="HP238" s="214" t="s">
        <v>530</v>
      </c>
      <c r="HR238" s="22" t="s">
        <v>15818</v>
      </c>
      <c r="HS238" s="22" t="s">
        <v>916</v>
      </c>
      <c r="HT238" s="22" t="s">
        <v>70</v>
      </c>
      <c r="HU238" s="214" t="s">
        <v>530</v>
      </c>
      <c r="HW238" s="22" t="s">
        <v>15819</v>
      </c>
      <c r="HX238" s="22" t="s">
        <v>146</v>
      </c>
      <c r="HY238" s="22" t="s">
        <v>70</v>
      </c>
      <c r="HZ238" s="214" t="s">
        <v>530</v>
      </c>
      <c r="IB238" s="22" t="s">
        <v>15820</v>
      </c>
      <c r="IC238" s="22" t="s">
        <v>149</v>
      </c>
      <c r="ID238" s="22" t="s">
        <v>70</v>
      </c>
      <c r="IE238" s="214" t="s">
        <v>530</v>
      </c>
      <c r="IG238" s="22" t="s">
        <v>15821</v>
      </c>
      <c r="IH238" s="22" t="s">
        <v>52</v>
      </c>
      <c r="II238" s="22" t="s">
        <v>70</v>
      </c>
      <c r="IJ238" s="214" t="s">
        <v>530</v>
      </c>
      <c r="IL238" s="22" t="s">
        <v>15822</v>
      </c>
      <c r="IM238" s="22" t="s">
        <v>145</v>
      </c>
      <c r="IN238" s="22" t="s">
        <v>70</v>
      </c>
      <c r="IO238" s="214" t="s">
        <v>530</v>
      </c>
      <c r="IQ238" s="236" t="s">
        <v>15823</v>
      </c>
      <c r="IR238" s="236" t="s">
        <v>145</v>
      </c>
      <c r="IS238" s="236" t="s">
        <v>74</v>
      </c>
      <c r="IT238" s="236" t="s">
        <v>841</v>
      </c>
      <c r="IV238" s="236" t="s">
        <v>15824</v>
      </c>
      <c r="IW238" s="236" t="s">
        <v>145</v>
      </c>
      <c r="IX238" s="236" t="s">
        <v>74</v>
      </c>
      <c r="IY238" s="236" t="s">
        <v>841</v>
      </c>
      <c r="JA238" s="236" t="s">
        <v>15825</v>
      </c>
      <c r="JB238" s="236" t="s">
        <v>145</v>
      </c>
      <c r="JC238" s="236" t="s">
        <v>74</v>
      </c>
      <c r="JD238" s="236" t="s">
        <v>841</v>
      </c>
      <c r="JF238" s="236" t="s">
        <v>15826</v>
      </c>
      <c r="JG238" s="236" t="s">
        <v>145</v>
      </c>
      <c r="JH238" s="236" t="s">
        <v>74</v>
      </c>
      <c r="JI238" s="236" t="s">
        <v>841</v>
      </c>
      <c r="JK238" s="236" t="s">
        <v>15827</v>
      </c>
      <c r="JL238" s="236" t="s">
        <v>145</v>
      </c>
      <c r="JM238" s="236" t="s">
        <v>74</v>
      </c>
      <c r="JN238" s="236" t="s">
        <v>841</v>
      </c>
      <c r="JP238" s="236" t="s">
        <v>15828</v>
      </c>
      <c r="JQ238" s="236" t="s">
        <v>145</v>
      </c>
      <c r="JR238" s="236" t="s">
        <v>74</v>
      </c>
      <c r="JS238" s="236" t="s">
        <v>841</v>
      </c>
      <c r="JU238" s="294" t="s">
        <v>15829</v>
      </c>
      <c r="JV238" s="294" t="s">
        <v>52</v>
      </c>
      <c r="JW238" s="263" t="s">
        <v>70</v>
      </c>
      <c r="JX238" s="294" t="s">
        <v>1083</v>
      </c>
      <c r="JZ238" s="263" t="s">
        <v>15830</v>
      </c>
      <c r="KA238" s="263" t="s">
        <v>145</v>
      </c>
      <c r="KB238" s="263" t="s">
        <v>70</v>
      </c>
      <c r="KC238" s="263" t="s">
        <v>1083</v>
      </c>
      <c r="KE238" s="263" t="s">
        <v>15831</v>
      </c>
      <c r="KF238" s="263" t="s">
        <v>52</v>
      </c>
      <c r="KG238" s="263" t="s">
        <v>70</v>
      </c>
      <c r="KH238" s="263" t="s">
        <v>1083</v>
      </c>
      <c r="KJ238" s="263" t="s">
        <v>15832</v>
      </c>
      <c r="KK238" s="263" t="s">
        <v>52</v>
      </c>
      <c r="KL238" s="263" t="s">
        <v>74</v>
      </c>
      <c r="KM238" s="263" t="s">
        <v>34074</v>
      </c>
      <c r="KO238" s="214" t="s">
        <v>15833</v>
      </c>
      <c r="KP238" s="214" t="s">
        <v>145</v>
      </c>
      <c r="KQ238" s="214" t="s">
        <v>70</v>
      </c>
      <c r="KR238" s="214" t="s">
        <v>67</v>
      </c>
      <c r="KT238" s="22" t="s">
        <v>15834</v>
      </c>
      <c r="KU238" s="22" t="s">
        <v>145</v>
      </c>
      <c r="KV238" s="22" t="s">
        <v>70</v>
      </c>
      <c r="KW238" s="22" t="s">
        <v>67</v>
      </c>
      <c r="KY238" s="214" t="s">
        <v>15835</v>
      </c>
      <c r="KZ238" s="214" t="s">
        <v>52</v>
      </c>
      <c r="LA238" s="214" t="s">
        <v>74</v>
      </c>
      <c r="LB238" s="214" t="s">
        <v>67</v>
      </c>
      <c r="LD238" s="22" t="s">
        <v>15836</v>
      </c>
      <c r="LE238" s="22" t="s">
        <v>145</v>
      </c>
      <c r="LF238" s="22" t="s">
        <v>70</v>
      </c>
      <c r="LG238" s="22" t="s">
        <v>67</v>
      </c>
    </row>
    <row r="239" spans="1:319">
      <c r="A239" s="22" t="s">
        <v>15837</v>
      </c>
      <c r="B239" s="22" t="s">
        <v>145</v>
      </c>
      <c r="C239" s="22" t="s">
        <v>70</v>
      </c>
      <c r="D239" s="22" t="s">
        <v>67</v>
      </c>
      <c r="F239" s="73" t="s">
        <v>15838</v>
      </c>
      <c r="G239" s="22" t="s">
        <v>145</v>
      </c>
      <c r="H239" s="22" t="s">
        <v>70</v>
      </c>
      <c r="I239" s="22" t="s">
        <v>67</v>
      </c>
      <c r="K239" s="22" t="s">
        <v>15839</v>
      </c>
      <c r="L239" s="22" t="s">
        <v>145</v>
      </c>
      <c r="M239" s="22" t="s">
        <v>70</v>
      </c>
      <c r="N239" s="22" t="s">
        <v>67</v>
      </c>
      <c r="P239" s="22" t="s">
        <v>15840</v>
      </c>
      <c r="Q239" s="22" t="s">
        <v>145</v>
      </c>
      <c r="R239" s="22" t="s">
        <v>70</v>
      </c>
      <c r="S239" s="22" t="s">
        <v>67</v>
      </c>
      <c r="U239" s="293" t="s">
        <v>15841</v>
      </c>
      <c r="V239" s="293" t="s">
        <v>145</v>
      </c>
      <c r="W239" s="293" t="s">
        <v>74</v>
      </c>
      <c r="X239" s="293" t="s">
        <v>656</v>
      </c>
      <c r="Z239" s="293" t="s">
        <v>15842</v>
      </c>
      <c r="AA239" s="293" t="s">
        <v>145</v>
      </c>
      <c r="AB239" s="293" t="s">
        <v>74</v>
      </c>
      <c r="AC239" s="293" t="s">
        <v>656</v>
      </c>
      <c r="AE239" s="293" t="s">
        <v>15843</v>
      </c>
      <c r="AF239" s="293" t="s">
        <v>145</v>
      </c>
      <c r="AG239" s="293" t="s">
        <v>74</v>
      </c>
      <c r="AH239" s="293" t="s">
        <v>656</v>
      </c>
      <c r="AJ239" s="293" t="s">
        <v>15844</v>
      </c>
      <c r="AK239" s="293" t="s">
        <v>145</v>
      </c>
      <c r="AL239" s="293" t="s">
        <v>74</v>
      </c>
      <c r="AM239" s="293" t="s">
        <v>656</v>
      </c>
      <c r="AO239" s="22" t="s">
        <v>15845</v>
      </c>
      <c r="AP239" s="22" t="s">
        <v>145</v>
      </c>
      <c r="AQ239" s="22" t="s">
        <v>70</v>
      </c>
      <c r="AR239" s="22" t="s">
        <v>67</v>
      </c>
      <c r="AT239" s="22" t="s">
        <v>15846</v>
      </c>
      <c r="AU239" s="22" t="s">
        <v>145</v>
      </c>
      <c r="AV239" s="22" t="s">
        <v>70</v>
      </c>
      <c r="AW239" s="22" t="s">
        <v>67</v>
      </c>
      <c r="AY239" s="22" t="s">
        <v>15847</v>
      </c>
      <c r="AZ239" s="22" t="s">
        <v>145</v>
      </c>
      <c r="BA239" s="22" t="s">
        <v>70</v>
      </c>
      <c r="BB239" s="22" t="s">
        <v>67</v>
      </c>
      <c r="BD239" s="22" t="s">
        <v>15848</v>
      </c>
      <c r="BE239" s="22" t="s">
        <v>145</v>
      </c>
      <c r="BF239" s="22" t="s">
        <v>70</v>
      </c>
      <c r="BG239" s="22" t="s">
        <v>67</v>
      </c>
      <c r="BI239" s="22" t="s">
        <v>15849</v>
      </c>
      <c r="BJ239" s="22" t="s">
        <v>145</v>
      </c>
      <c r="BK239" s="22" t="s">
        <v>70</v>
      </c>
      <c r="BL239" s="22" t="s">
        <v>67</v>
      </c>
      <c r="BN239" s="22" t="s">
        <v>15850</v>
      </c>
      <c r="BO239" s="22" t="s">
        <v>145</v>
      </c>
      <c r="BP239" s="22" t="s">
        <v>70</v>
      </c>
      <c r="BQ239" s="22" t="s">
        <v>67</v>
      </c>
      <c r="BS239" s="22" t="s">
        <v>15851</v>
      </c>
      <c r="BT239" s="22" t="s">
        <v>145</v>
      </c>
      <c r="BU239" s="22" t="s">
        <v>70</v>
      </c>
      <c r="BV239" s="214" t="s">
        <v>530</v>
      </c>
      <c r="BX239" s="22" t="s">
        <v>15852</v>
      </c>
      <c r="BY239" s="22" t="s">
        <v>145</v>
      </c>
      <c r="BZ239" s="22" t="s">
        <v>70</v>
      </c>
      <c r="CA239" s="214" t="s">
        <v>530</v>
      </c>
      <c r="CC239" s="214" t="s">
        <v>15853</v>
      </c>
      <c r="CD239" s="218" t="s">
        <v>145</v>
      </c>
      <c r="CE239" s="214" t="s">
        <v>70</v>
      </c>
      <c r="CF239" s="214" t="s">
        <v>692</v>
      </c>
      <c r="CH239" s="214" t="s">
        <v>15854</v>
      </c>
      <c r="CI239" s="214" t="s">
        <v>485</v>
      </c>
      <c r="CJ239" s="214" t="s">
        <v>70</v>
      </c>
      <c r="CK239" s="214" t="s">
        <v>530</v>
      </c>
      <c r="CM239" s="214" t="s">
        <v>15855</v>
      </c>
      <c r="CN239" s="214" t="s">
        <v>34551</v>
      </c>
      <c r="CO239" s="214" t="s">
        <v>70</v>
      </c>
      <c r="CP239" s="214" t="s">
        <v>530</v>
      </c>
      <c r="CR239" s="214" t="s">
        <v>15856</v>
      </c>
      <c r="CS239" s="214" t="s">
        <v>52</v>
      </c>
      <c r="CT239" s="214" t="s">
        <v>70</v>
      </c>
      <c r="CU239" s="214" t="s">
        <v>530</v>
      </c>
      <c r="CW239" s="214" t="s">
        <v>15857</v>
      </c>
      <c r="CX239" s="214" t="s">
        <v>486</v>
      </c>
      <c r="CY239" s="214" t="s">
        <v>70</v>
      </c>
      <c r="CZ239" s="214" t="s">
        <v>530</v>
      </c>
      <c r="DB239" s="214" t="s">
        <v>15858</v>
      </c>
      <c r="DC239" s="214" t="s">
        <v>492</v>
      </c>
      <c r="DD239" s="214" t="s">
        <v>70</v>
      </c>
      <c r="DE239" s="214" t="s">
        <v>530</v>
      </c>
      <c r="DG239" s="214" t="s">
        <v>15859</v>
      </c>
      <c r="DH239" s="214" t="s">
        <v>492</v>
      </c>
      <c r="DI239" s="214" t="s">
        <v>70</v>
      </c>
      <c r="DJ239" s="214" t="s">
        <v>530</v>
      </c>
      <c r="DL239" s="214" t="s">
        <v>15860</v>
      </c>
      <c r="DM239" s="214" t="s">
        <v>34575</v>
      </c>
      <c r="DN239" s="214" t="s">
        <v>70</v>
      </c>
      <c r="DO239" s="214" t="s">
        <v>530</v>
      </c>
      <c r="DQ239" s="214" t="s">
        <v>15861</v>
      </c>
      <c r="DR239" s="214" t="s">
        <v>468</v>
      </c>
      <c r="DS239" s="214" t="s">
        <v>70</v>
      </c>
      <c r="DT239" s="214" t="s">
        <v>530</v>
      </c>
      <c r="DV239" s="214" t="s">
        <v>15862</v>
      </c>
      <c r="DW239" s="214" t="s">
        <v>85</v>
      </c>
      <c r="DX239" s="214" t="s">
        <v>70</v>
      </c>
      <c r="DY239" s="214" t="s">
        <v>530</v>
      </c>
      <c r="EA239" s="214" t="s">
        <v>15863</v>
      </c>
      <c r="EB239" s="214" t="s">
        <v>492</v>
      </c>
      <c r="EC239" s="214" t="s">
        <v>70</v>
      </c>
      <c r="ED239" s="214" t="s">
        <v>530</v>
      </c>
      <c r="EF239" s="214" t="s">
        <v>15864</v>
      </c>
      <c r="EG239" s="214" t="s">
        <v>496</v>
      </c>
      <c r="EH239" s="214" t="s">
        <v>70</v>
      </c>
      <c r="EI239" s="214" t="s">
        <v>530</v>
      </c>
      <c r="EK239" s="214" t="s">
        <v>15865</v>
      </c>
      <c r="EL239" s="214" t="s">
        <v>487</v>
      </c>
      <c r="EM239" s="214" t="s">
        <v>70</v>
      </c>
      <c r="EN239" s="214" t="s">
        <v>530</v>
      </c>
      <c r="EP239" s="214" t="s">
        <v>15866</v>
      </c>
      <c r="EQ239" s="214" t="s">
        <v>34558</v>
      </c>
      <c r="ER239" s="214" t="s">
        <v>70</v>
      </c>
      <c r="ES239" s="214" t="s">
        <v>530</v>
      </c>
      <c r="EU239" s="214" t="s">
        <v>15867</v>
      </c>
      <c r="EV239" s="214" t="s">
        <v>52</v>
      </c>
      <c r="EW239" s="214" t="s">
        <v>70</v>
      </c>
      <c r="EX239" s="214" t="s">
        <v>530</v>
      </c>
      <c r="EZ239" s="214" t="s">
        <v>15868</v>
      </c>
      <c r="FA239" s="214" t="s">
        <v>501</v>
      </c>
      <c r="FB239" s="214" t="s">
        <v>70</v>
      </c>
      <c r="FC239" s="214" t="s">
        <v>530</v>
      </c>
      <c r="FE239" s="214" t="s">
        <v>15869</v>
      </c>
      <c r="FF239" s="214" t="s">
        <v>919</v>
      </c>
      <c r="FG239" s="214" t="s">
        <v>70</v>
      </c>
      <c r="FH239" s="214" t="s">
        <v>530</v>
      </c>
      <c r="FJ239" s="321" t="s">
        <v>15870</v>
      </c>
      <c r="FK239" s="214" t="s">
        <v>482</v>
      </c>
      <c r="FL239" s="214" t="s">
        <v>70</v>
      </c>
      <c r="FM239" s="214" t="s">
        <v>530</v>
      </c>
      <c r="FO239" s="321" t="s">
        <v>15871</v>
      </c>
      <c r="FP239" s="214" t="s">
        <v>502</v>
      </c>
      <c r="FQ239" s="214" t="s">
        <v>70</v>
      </c>
      <c r="FR239" s="214" t="s">
        <v>530</v>
      </c>
      <c r="FT239" s="321" t="s">
        <v>15872</v>
      </c>
      <c r="FU239" s="214" t="s">
        <v>484</v>
      </c>
      <c r="FV239" s="214" t="s">
        <v>70</v>
      </c>
      <c r="FW239" s="214" t="s">
        <v>530</v>
      </c>
      <c r="FY239" s="321" t="s">
        <v>15873</v>
      </c>
      <c r="FZ239" s="214" t="s">
        <v>52</v>
      </c>
      <c r="GA239" s="214" t="s">
        <v>70</v>
      </c>
      <c r="GB239" s="214" t="s">
        <v>530</v>
      </c>
      <c r="GD239" s="321" t="s">
        <v>15874</v>
      </c>
      <c r="GE239" s="214" t="s">
        <v>34544</v>
      </c>
      <c r="GF239" s="214" t="s">
        <v>70</v>
      </c>
      <c r="GG239" s="214" t="s">
        <v>530</v>
      </c>
      <c r="GI239" s="321" t="s">
        <v>15875</v>
      </c>
      <c r="GJ239" s="214" t="s">
        <v>34544</v>
      </c>
      <c r="GK239" s="214" t="s">
        <v>70</v>
      </c>
      <c r="GL239" s="214" t="s">
        <v>530</v>
      </c>
      <c r="GN239" s="321" t="s">
        <v>15876</v>
      </c>
      <c r="GO239" s="214" t="s">
        <v>955</v>
      </c>
      <c r="GP239" s="214" t="s">
        <v>70</v>
      </c>
      <c r="GQ239" s="214" t="s">
        <v>530</v>
      </c>
      <c r="GS239" s="321" t="s">
        <v>15877</v>
      </c>
      <c r="GT239" s="214" t="s">
        <v>503</v>
      </c>
      <c r="GU239" s="214" t="s">
        <v>70</v>
      </c>
      <c r="GV239" s="214" t="s">
        <v>530</v>
      </c>
      <c r="GX239" s="214" t="s">
        <v>15878</v>
      </c>
      <c r="GY239" s="214" t="s">
        <v>485</v>
      </c>
      <c r="GZ239" s="214" t="s">
        <v>70</v>
      </c>
      <c r="HA239" s="214" t="s">
        <v>530</v>
      </c>
      <c r="HC239" s="214" t="s">
        <v>15879</v>
      </c>
      <c r="HD239" s="214" t="s">
        <v>93</v>
      </c>
      <c r="HE239" s="214" t="s">
        <v>70</v>
      </c>
      <c r="HF239" s="214" t="s">
        <v>530</v>
      </c>
      <c r="HH239" s="214" t="s">
        <v>15880</v>
      </c>
      <c r="HI239" s="214" t="s">
        <v>34540</v>
      </c>
      <c r="HJ239" s="214" t="s">
        <v>70</v>
      </c>
      <c r="HK239" s="214" t="s">
        <v>530</v>
      </c>
      <c r="HM239" s="214" t="s">
        <v>15881</v>
      </c>
      <c r="HN239" s="214" t="s">
        <v>145</v>
      </c>
      <c r="HO239" s="214" t="s">
        <v>70</v>
      </c>
      <c r="HP239" s="214" t="s">
        <v>530</v>
      </c>
      <c r="HR239" s="22" t="s">
        <v>15882</v>
      </c>
      <c r="HS239" s="22" t="s">
        <v>910</v>
      </c>
      <c r="HT239" s="22" t="s">
        <v>70</v>
      </c>
      <c r="HU239" s="214" t="s">
        <v>530</v>
      </c>
      <c r="HW239" s="22" t="s">
        <v>15883</v>
      </c>
      <c r="HX239" s="22" t="s">
        <v>287</v>
      </c>
      <c r="HY239" s="22" t="s">
        <v>70</v>
      </c>
      <c r="HZ239" s="214" t="s">
        <v>530</v>
      </c>
      <c r="IB239" s="22" t="s">
        <v>15884</v>
      </c>
      <c r="IC239" s="22" t="s">
        <v>34558</v>
      </c>
      <c r="ID239" s="22" t="s">
        <v>70</v>
      </c>
      <c r="IE239" s="214" t="s">
        <v>530</v>
      </c>
      <c r="IG239" s="22" t="s">
        <v>15885</v>
      </c>
      <c r="IH239" s="22" t="s">
        <v>52</v>
      </c>
      <c r="II239" s="22" t="s">
        <v>70</v>
      </c>
      <c r="IJ239" s="214" t="s">
        <v>530</v>
      </c>
      <c r="IL239" s="22" t="s">
        <v>15886</v>
      </c>
      <c r="IM239" s="22" t="s">
        <v>145</v>
      </c>
      <c r="IN239" s="22" t="s">
        <v>70</v>
      </c>
      <c r="IO239" s="214" t="s">
        <v>530</v>
      </c>
      <c r="IQ239" s="236" t="s">
        <v>15887</v>
      </c>
      <c r="IR239" s="236" t="s">
        <v>145</v>
      </c>
      <c r="IS239" s="236" t="s">
        <v>74</v>
      </c>
      <c r="IT239" s="236" t="s">
        <v>841</v>
      </c>
      <c r="IV239" s="236" t="s">
        <v>15888</v>
      </c>
      <c r="IW239" s="236" t="s">
        <v>145</v>
      </c>
      <c r="IX239" s="236" t="s">
        <v>74</v>
      </c>
      <c r="IY239" s="236" t="s">
        <v>841</v>
      </c>
      <c r="JA239" s="236" t="s">
        <v>15889</v>
      </c>
      <c r="JB239" s="236" t="s">
        <v>145</v>
      </c>
      <c r="JC239" s="236" t="s">
        <v>74</v>
      </c>
      <c r="JD239" s="236" t="s">
        <v>841</v>
      </c>
      <c r="JF239" s="236" t="s">
        <v>15890</v>
      </c>
      <c r="JG239" s="236" t="s">
        <v>145</v>
      </c>
      <c r="JH239" s="236" t="s">
        <v>74</v>
      </c>
      <c r="JI239" s="236" t="s">
        <v>841</v>
      </c>
      <c r="JK239" s="236" t="s">
        <v>15891</v>
      </c>
      <c r="JL239" s="236" t="s">
        <v>145</v>
      </c>
      <c r="JM239" s="236" t="s">
        <v>74</v>
      </c>
      <c r="JN239" s="236" t="s">
        <v>841</v>
      </c>
      <c r="JP239" s="236" t="s">
        <v>15892</v>
      </c>
      <c r="JQ239" s="236" t="s">
        <v>145</v>
      </c>
      <c r="JR239" s="236" t="s">
        <v>74</v>
      </c>
      <c r="JS239" s="236" t="s">
        <v>841</v>
      </c>
      <c r="JU239" s="294" t="s">
        <v>15893</v>
      </c>
      <c r="JV239" s="294" t="s">
        <v>52</v>
      </c>
      <c r="JW239" s="263" t="s">
        <v>70</v>
      </c>
      <c r="JX239" s="294" t="s">
        <v>1083</v>
      </c>
      <c r="JZ239" s="263" t="s">
        <v>15894</v>
      </c>
      <c r="KA239" s="263" t="s">
        <v>145</v>
      </c>
      <c r="KB239" s="263" t="s">
        <v>70</v>
      </c>
      <c r="KC239" s="263" t="s">
        <v>1083</v>
      </c>
      <c r="KE239" s="263" t="s">
        <v>15895</v>
      </c>
      <c r="KF239" s="263" t="s">
        <v>52</v>
      </c>
      <c r="KG239" s="263" t="s">
        <v>70</v>
      </c>
      <c r="KH239" s="263" t="s">
        <v>1083</v>
      </c>
      <c r="KJ239" s="263" t="s">
        <v>15896</v>
      </c>
      <c r="KK239" s="263" t="s">
        <v>52</v>
      </c>
      <c r="KL239" s="263" t="s">
        <v>74</v>
      </c>
      <c r="KM239" s="263" t="s">
        <v>34074</v>
      </c>
      <c r="KO239" s="214" t="s">
        <v>15897</v>
      </c>
      <c r="KP239" s="214" t="s">
        <v>145</v>
      </c>
      <c r="KQ239" s="214" t="s">
        <v>70</v>
      </c>
      <c r="KR239" s="214" t="s">
        <v>67</v>
      </c>
      <c r="KT239" s="22" t="s">
        <v>15898</v>
      </c>
      <c r="KU239" s="22" t="s">
        <v>145</v>
      </c>
      <c r="KV239" s="22" t="s">
        <v>70</v>
      </c>
      <c r="KW239" s="22" t="s">
        <v>67</v>
      </c>
      <c r="KY239" s="214" t="s">
        <v>15899</v>
      </c>
      <c r="KZ239" s="214" t="s">
        <v>52</v>
      </c>
      <c r="LA239" s="214" t="s">
        <v>74</v>
      </c>
      <c r="LB239" s="214" t="s">
        <v>67</v>
      </c>
      <c r="LD239" s="22" t="s">
        <v>15900</v>
      </c>
      <c r="LE239" s="22" t="s">
        <v>145</v>
      </c>
      <c r="LF239" s="22" t="s">
        <v>70</v>
      </c>
      <c r="LG239" s="22" t="s">
        <v>67</v>
      </c>
    </row>
    <row r="240" spans="1:319">
      <c r="A240" s="22" t="s">
        <v>15901</v>
      </c>
      <c r="B240" s="22" t="s">
        <v>145</v>
      </c>
      <c r="C240" s="22" t="s">
        <v>70</v>
      </c>
      <c r="D240" s="22" t="s">
        <v>67</v>
      </c>
      <c r="F240" s="73" t="s">
        <v>15902</v>
      </c>
      <c r="G240" s="22" t="s">
        <v>145</v>
      </c>
      <c r="H240" s="22" t="s">
        <v>70</v>
      </c>
      <c r="I240" s="22" t="s">
        <v>67</v>
      </c>
      <c r="K240" s="22" t="s">
        <v>15903</v>
      </c>
      <c r="L240" s="22" t="s">
        <v>145</v>
      </c>
      <c r="M240" s="22" t="s">
        <v>70</v>
      </c>
      <c r="N240" s="22" t="s">
        <v>67</v>
      </c>
      <c r="P240" s="22" t="s">
        <v>15904</v>
      </c>
      <c r="Q240" s="22" t="s">
        <v>145</v>
      </c>
      <c r="R240" s="22" t="s">
        <v>70</v>
      </c>
      <c r="S240" s="22" t="s">
        <v>67</v>
      </c>
      <c r="U240" s="293" t="s">
        <v>15905</v>
      </c>
      <c r="V240" s="293" t="s">
        <v>145</v>
      </c>
      <c r="W240" s="293" t="s">
        <v>74</v>
      </c>
      <c r="X240" s="293" t="s">
        <v>656</v>
      </c>
      <c r="Z240" s="293" t="s">
        <v>15906</v>
      </c>
      <c r="AA240" s="293" t="s">
        <v>145</v>
      </c>
      <c r="AB240" s="293" t="s">
        <v>74</v>
      </c>
      <c r="AC240" s="293" t="s">
        <v>656</v>
      </c>
      <c r="AE240" s="293" t="s">
        <v>15907</v>
      </c>
      <c r="AF240" s="293" t="s">
        <v>145</v>
      </c>
      <c r="AG240" s="293" t="s">
        <v>74</v>
      </c>
      <c r="AH240" s="293" t="s">
        <v>656</v>
      </c>
      <c r="AJ240" s="293" t="s">
        <v>15908</v>
      </c>
      <c r="AK240" s="293" t="s">
        <v>145</v>
      </c>
      <c r="AL240" s="293" t="s">
        <v>74</v>
      </c>
      <c r="AM240" s="293" t="s">
        <v>656</v>
      </c>
      <c r="AO240" s="22" t="s">
        <v>15909</v>
      </c>
      <c r="AP240" s="22" t="s">
        <v>145</v>
      </c>
      <c r="AQ240" s="22" t="s">
        <v>70</v>
      </c>
      <c r="AR240" s="22" t="s">
        <v>67</v>
      </c>
      <c r="AT240" s="22" t="s">
        <v>15910</v>
      </c>
      <c r="AU240" s="22" t="s">
        <v>145</v>
      </c>
      <c r="AV240" s="22" t="s">
        <v>70</v>
      </c>
      <c r="AW240" s="22" t="s">
        <v>67</v>
      </c>
      <c r="AY240" s="22" t="s">
        <v>15911</v>
      </c>
      <c r="AZ240" s="22" t="s">
        <v>145</v>
      </c>
      <c r="BA240" s="22" t="s">
        <v>70</v>
      </c>
      <c r="BB240" s="22" t="s">
        <v>67</v>
      </c>
      <c r="BD240" s="22" t="s">
        <v>15912</v>
      </c>
      <c r="BE240" s="22" t="s">
        <v>145</v>
      </c>
      <c r="BF240" s="22" t="s">
        <v>70</v>
      </c>
      <c r="BG240" s="22" t="s">
        <v>67</v>
      </c>
      <c r="BI240" s="22" t="s">
        <v>15913</v>
      </c>
      <c r="BJ240" s="22" t="s">
        <v>145</v>
      </c>
      <c r="BK240" s="22" t="s">
        <v>70</v>
      </c>
      <c r="BL240" s="22" t="s">
        <v>67</v>
      </c>
      <c r="BN240" s="22" t="s">
        <v>15914</v>
      </c>
      <c r="BO240" s="22" t="s">
        <v>145</v>
      </c>
      <c r="BP240" s="22" t="s">
        <v>70</v>
      </c>
      <c r="BQ240" s="22" t="s">
        <v>67</v>
      </c>
      <c r="BS240" s="22" t="s">
        <v>15915</v>
      </c>
      <c r="BT240" s="22" t="s">
        <v>145</v>
      </c>
      <c r="BU240" s="22" t="s">
        <v>70</v>
      </c>
      <c r="BV240" s="214" t="s">
        <v>530</v>
      </c>
      <c r="BX240" s="22" t="s">
        <v>15916</v>
      </c>
      <c r="BY240" s="22" t="s">
        <v>145</v>
      </c>
      <c r="BZ240" s="22" t="s">
        <v>70</v>
      </c>
      <c r="CA240" s="214" t="s">
        <v>530</v>
      </c>
      <c r="CC240" s="214" t="s">
        <v>15917</v>
      </c>
      <c r="CD240" s="218" t="s">
        <v>145</v>
      </c>
      <c r="CE240" s="214" t="s">
        <v>70</v>
      </c>
      <c r="CF240" s="214" t="s">
        <v>693</v>
      </c>
      <c r="CH240" s="214" t="s">
        <v>15918</v>
      </c>
      <c r="CI240" s="214" t="s">
        <v>10541</v>
      </c>
      <c r="CJ240" s="214" t="s">
        <v>70</v>
      </c>
      <c r="CK240" s="214" t="s">
        <v>530</v>
      </c>
      <c r="CM240" s="214" t="s">
        <v>15919</v>
      </c>
      <c r="CN240" s="214" t="s">
        <v>950</v>
      </c>
      <c r="CO240" s="214" t="s">
        <v>70</v>
      </c>
      <c r="CP240" s="214" t="s">
        <v>530</v>
      </c>
      <c r="CR240" s="214" t="s">
        <v>15920</v>
      </c>
      <c r="CS240" s="214" t="s">
        <v>52</v>
      </c>
      <c r="CT240" s="214" t="s">
        <v>70</v>
      </c>
      <c r="CU240" s="214" t="s">
        <v>530</v>
      </c>
      <c r="CW240" s="214" t="s">
        <v>15921</v>
      </c>
      <c r="CX240" s="214" t="s">
        <v>936</v>
      </c>
      <c r="CY240" s="214" t="s">
        <v>70</v>
      </c>
      <c r="CZ240" s="214" t="s">
        <v>530</v>
      </c>
      <c r="DB240" s="214" t="s">
        <v>15922</v>
      </c>
      <c r="DC240" s="214" t="s">
        <v>148</v>
      </c>
      <c r="DD240" s="214" t="s">
        <v>70</v>
      </c>
      <c r="DE240" s="214" t="s">
        <v>530</v>
      </c>
      <c r="DG240" s="214" t="s">
        <v>15923</v>
      </c>
      <c r="DH240" s="214" t="s">
        <v>148</v>
      </c>
      <c r="DI240" s="214" t="s">
        <v>70</v>
      </c>
      <c r="DJ240" s="214" t="s">
        <v>530</v>
      </c>
      <c r="DL240" s="214" t="s">
        <v>15924</v>
      </c>
      <c r="DM240" s="214" t="s">
        <v>34551</v>
      </c>
      <c r="DN240" s="214" t="s">
        <v>70</v>
      </c>
      <c r="DO240" s="214" t="s">
        <v>530</v>
      </c>
      <c r="DQ240" s="214" t="s">
        <v>15925</v>
      </c>
      <c r="DR240" s="214" t="s">
        <v>468</v>
      </c>
      <c r="DS240" s="214" t="s">
        <v>70</v>
      </c>
      <c r="DT240" s="214" t="s">
        <v>530</v>
      </c>
      <c r="DV240" s="214" t="s">
        <v>15926</v>
      </c>
      <c r="DW240" s="214" t="s">
        <v>52</v>
      </c>
      <c r="DX240" s="214" t="s">
        <v>70</v>
      </c>
      <c r="DY240" s="214" t="s">
        <v>530</v>
      </c>
      <c r="EA240" s="214" t="s">
        <v>15927</v>
      </c>
      <c r="EB240" s="214" t="s">
        <v>10541</v>
      </c>
      <c r="EC240" s="214" t="s">
        <v>70</v>
      </c>
      <c r="ED240" s="214" t="s">
        <v>530</v>
      </c>
      <c r="EF240" s="214" t="s">
        <v>15928</v>
      </c>
      <c r="EG240" s="214" t="s">
        <v>52</v>
      </c>
      <c r="EH240" s="214" t="s">
        <v>70</v>
      </c>
      <c r="EI240" s="214" t="s">
        <v>530</v>
      </c>
      <c r="EK240" s="214" t="s">
        <v>15929</v>
      </c>
      <c r="EL240" s="214" t="s">
        <v>34653</v>
      </c>
      <c r="EM240" s="214" t="s">
        <v>70</v>
      </c>
      <c r="EN240" s="214" t="s">
        <v>530</v>
      </c>
      <c r="EP240" s="214" t="s">
        <v>15930</v>
      </c>
      <c r="EQ240" s="214" t="s">
        <v>88</v>
      </c>
      <c r="ER240" s="214" t="s">
        <v>70</v>
      </c>
      <c r="ES240" s="214" t="s">
        <v>530</v>
      </c>
      <c r="EU240" s="214" t="s">
        <v>15931</v>
      </c>
      <c r="EV240" s="214" t="s">
        <v>917</v>
      </c>
      <c r="EW240" s="214" t="s">
        <v>70</v>
      </c>
      <c r="EX240" s="214" t="s">
        <v>530</v>
      </c>
      <c r="EZ240" s="214" t="s">
        <v>15932</v>
      </c>
      <c r="FA240" s="214" t="s">
        <v>34599</v>
      </c>
      <c r="FB240" s="214" t="s">
        <v>70</v>
      </c>
      <c r="FC240" s="214" t="s">
        <v>530</v>
      </c>
      <c r="FE240" s="214" t="s">
        <v>15933</v>
      </c>
      <c r="FF240" s="214" t="s">
        <v>93</v>
      </c>
      <c r="FG240" s="214" t="s">
        <v>70</v>
      </c>
      <c r="FH240" s="214" t="s">
        <v>530</v>
      </c>
      <c r="FJ240" s="321" t="s">
        <v>15934</v>
      </c>
      <c r="FK240" s="214" t="s">
        <v>149</v>
      </c>
      <c r="FL240" s="214" t="s">
        <v>70</v>
      </c>
      <c r="FM240" s="214" t="s">
        <v>530</v>
      </c>
      <c r="FO240" s="321" t="s">
        <v>15935</v>
      </c>
      <c r="FP240" s="214" t="s">
        <v>487</v>
      </c>
      <c r="FQ240" s="214" t="s">
        <v>70</v>
      </c>
      <c r="FR240" s="214" t="s">
        <v>530</v>
      </c>
      <c r="FT240" s="321" t="s">
        <v>15936</v>
      </c>
      <c r="FU240" s="214" t="s">
        <v>86</v>
      </c>
      <c r="FV240" s="214" t="s">
        <v>70</v>
      </c>
      <c r="FW240" s="214" t="s">
        <v>530</v>
      </c>
      <c r="FY240" s="321" t="s">
        <v>15937</v>
      </c>
      <c r="FZ240" s="214" t="s">
        <v>148</v>
      </c>
      <c r="GA240" s="214" t="s">
        <v>70</v>
      </c>
      <c r="GB240" s="214" t="s">
        <v>530</v>
      </c>
      <c r="GD240" s="321" t="s">
        <v>15938</v>
      </c>
      <c r="GE240" s="214" t="s">
        <v>798</v>
      </c>
      <c r="GF240" s="214" t="s">
        <v>70</v>
      </c>
      <c r="GG240" s="214" t="s">
        <v>530</v>
      </c>
      <c r="GI240" s="321" t="s">
        <v>15939</v>
      </c>
      <c r="GJ240" s="214" t="s">
        <v>148</v>
      </c>
      <c r="GK240" s="214" t="s">
        <v>70</v>
      </c>
      <c r="GL240" s="214" t="s">
        <v>530</v>
      </c>
      <c r="GN240" s="321" t="s">
        <v>15940</v>
      </c>
      <c r="GO240" s="214" t="s">
        <v>287</v>
      </c>
      <c r="GP240" s="214" t="s">
        <v>70</v>
      </c>
      <c r="GQ240" s="214" t="s">
        <v>530</v>
      </c>
      <c r="GS240" s="321" t="s">
        <v>15941</v>
      </c>
      <c r="GT240" s="214" t="s">
        <v>34575</v>
      </c>
      <c r="GU240" s="214" t="s">
        <v>70</v>
      </c>
      <c r="GV240" s="214" t="s">
        <v>530</v>
      </c>
      <c r="GX240" s="214" t="s">
        <v>15942</v>
      </c>
      <c r="GY240" s="214" t="s">
        <v>204</v>
      </c>
      <c r="GZ240" s="214" t="s">
        <v>70</v>
      </c>
      <c r="HA240" s="214" t="s">
        <v>530</v>
      </c>
      <c r="HC240" s="214" t="s">
        <v>15943</v>
      </c>
      <c r="HD240" s="214" t="s">
        <v>502</v>
      </c>
      <c r="HE240" s="214" t="s">
        <v>70</v>
      </c>
      <c r="HF240" s="214" t="s">
        <v>530</v>
      </c>
      <c r="HH240" s="214" t="s">
        <v>15944</v>
      </c>
      <c r="HI240" s="214" t="s">
        <v>286</v>
      </c>
      <c r="HJ240" s="214" t="s">
        <v>70</v>
      </c>
      <c r="HK240" s="214" t="s">
        <v>530</v>
      </c>
      <c r="HM240" s="214" t="s">
        <v>15945</v>
      </c>
      <c r="HN240" s="214" t="s">
        <v>599</v>
      </c>
      <c r="HO240" s="214" t="s">
        <v>70</v>
      </c>
      <c r="HP240" s="214" t="s">
        <v>530</v>
      </c>
      <c r="HR240" s="22" t="s">
        <v>15946</v>
      </c>
      <c r="HS240" s="22" t="s">
        <v>52</v>
      </c>
      <c r="HT240" s="22" t="s">
        <v>70</v>
      </c>
      <c r="HU240" s="214" t="s">
        <v>530</v>
      </c>
      <c r="HW240" s="22" t="s">
        <v>15947</v>
      </c>
      <c r="HX240" s="22" t="s">
        <v>146</v>
      </c>
      <c r="HY240" s="22" t="s">
        <v>70</v>
      </c>
      <c r="HZ240" s="214" t="s">
        <v>530</v>
      </c>
      <c r="IB240" s="22" t="s">
        <v>15948</v>
      </c>
      <c r="IC240" s="22" t="s">
        <v>52</v>
      </c>
      <c r="ID240" s="22" t="s">
        <v>70</v>
      </c>
      <c r="IE240" s="214" t="s">
        <v>530</v>
      </c>
      <c r="IG240" s="22" t="s">
        <v>15949</v>
      </c>
      <c r="IH240" s="22" t="s">
        <v>52</v>
      </c>
      <c r="II240" s="22" t="s">
        <v>70</v>
      </c>
      <c r="IJ240" s="214" t="s">
        <v>530</v>
      </c>
      <c r="IL240" s="22" t="s">
        <v>15950</v>
      </c>
      <c r="IM240" s="22" t="s">
        <v>145</v>
      </c>
      <c r="IN240" s="22" t="s">
        <v>70</v>
      </c>
      <c r="IO240" s="214" t="s">
        <v>530</v>
      </c>
      <c r="IQ240" s="236" t="s">
        <v>15951</v>
      </c>
      <c r="IR240" s="236" t="s">
        <v>145</v>
      </c>
      <c r="IS240" s="236" t="s">
        <v>74</v>
      </c>
      <c r="IT240" s="236" t="s">
        <v>841</v>
      </c>
      <c r="IV240" s="236" t="s">
        <v>15952</v>
      </c>
      <c r="IW240" s="236" t="s">
        <v>145</v>
      </c>
      <c r="IX240" s="236" t="s">
        <v>74</v>
      </c>
      <c r="IY240" s="236" t="s">
        <v>841</v>
      </c>
      <c r="JA240" s="236" t="s">
        <v>15953</v>
      </c>
      <c r="JB240" s="236" t="s">
        <v>145</v>
      </c>
      <c r="JC240" s="236" t="s">
        <v>74</v>
      </c>
      <c r="JD240" s="236" t="s">
        <v>841</v>
      </c>
      <c r="JF240" s="236" t="s">
        <v>15954</v>
      </c>
      <c r="JG240" s="236" t="s">
        <v>145</v>
      </c>
      <c r="JH240" s="236" t="s">
        <v>74</v>
      </c>
      <c r="JI240" s="236" t="s">
        <v>841</v>
      </c>
      <c r="JK240" s="236" t="s">
        <v>15955</v>
      </c>
      <c r="JL240" s="236" t="s">
        <v>145</v>
      </c>
      <c r="JM240" s="236" t="s">
        <v>74</v>
      </c>
      <c r="JN240" s="236" t="s">
        <v>841</v>
      </c>
      <c r="JP240" s="236" t="s">
        <v>15956</v>
      </c>
      <c r="JQ240" s="236" t="s">
        <v>145</v>
      </c>
      <c r="JR240" s="236" t="s">
        <v>74</v>
      </c>
      <c r="JS240" s="236" t="s">
        <v>841</v>
      </c>
      <c r="JU240" s="294" t="s">
        <v>15957</v>
      </c>
      <c r="JV240" s="294" t="s">
        <v>52</v>
      </c>
      <c r="JW240" s="263" t="s">
        <v>70</v>
      </c>
      <c r="JX240" s="294" t="s">
        <v>1083</v>
      </c>
      <c r="JZ240" s="263" t="s">
        <v>15958</v>
      </c>
      <c r="KA240" s="263" t="s">
        <v>145</v>
      </c>
      <c r="KB240" s="263" t="s">
        <v>70</v>
      </c>
      <c r="KC240" s="263" t="s">
        <v>1083</v>
      </c>
      <c r="KE240" s="263" t="s">
        <v>15959</v>
      </c>
      <c r="KF240" s="263" t="s">
        <v>52</v>
      </c>
      <c r="KG240" s="263" t="s">
        <v>70</v>
      </c>
      <c r="KH240" s="263" t="s">
        <v>1083</v>
      </c>
      <c r="KJ240" s="263" t="s">
        <v>15960</v>
      </c>
      <c r="KK240" s="263" t="s">
        <v>52</v>
      </c>
      <c r="KL240" s="263" t="s">
        <v>74</v>
      </c>
      <c r="KM240" s="263" t="s">
        <v>34074</v>
      </c>
      <c r="KO240" s="214" t="s">
        <v>15961</v>
      </c>
      <c r="KP240" s="214" t="s">
        <v>145</v>
      </c>
      <c r="KQ240" s="214" t="s">
        <v>70</v>
      </c>
      <c r="KR240" s="214" t="s">
        <v>67</v>
      </c>
      <c r="KT240" s="22" t="s">
        <v>15962</v>
      </c>
      <c r="KU240" s="22" t="s">
        <v>145</v>
      </c>
      <c r="KV240" s="22" t="s">
        <v>70</v>
      </c>
      <c r="KW240" s="22" t="s">
        <v>67</v>
      </c>
      <c r="KY240" s="214" t="s">
        <v>15963</v>
      </c>
      <c r="KZ240" s="214" t="s">
        <v>52</v>
      </c>
      <c r="LA240" s="214" t="s">
        <v>74</v>
      </c>
      <c r="LB240" s="214" t="s">
        <v>67</v>
      </c>
      <c r="LD240" s="22" t="s">
        <v>15964</v>
      </c>
      <c r="LE240" s="22" t="s">
        <v>145</v>
      </c>
      <c r="LF240" s="22" t="s">
        <v>70</v>
      </c>
      <c r="LG240" s="22" t="s">
        <v>67</v>
      </c>
    </row>
    <row r="241" spans="1:319">
      <c r="A241" s="22" t="s">
        <v>15965</v>
      </c>
      <c r="B241" s="22" t="s">
        <v>145</v>
      </c>
      <c r="C241" s="22" t="s">
        <v>70</v>
      </c>
      <c r="D241" s="22" t="s">
        <v>67</v>
      </c>
      <c r="F241" s="73" t="s">
        <v>15966</v>
      </c>
      <c r="G241" s="22" t="s">
        <v>145</v>
      </c>
      <c r="H241" s="22" t="s">
        <v>70</v>
      </c>
      <c r="I241" s="22" t="s">
        <v>67</v>
      </c>
      <c r="K241" s="22" t="s">
        <v>15967</v>
      </c>
      <c r="L241" s="22" t="s">
        <v>145</v>
      </c>
      <c r="M241" s="22" t="s">
        <v>70</v>
      </c>
      <c r="N241" s="22" t="s">
        <v>67</v>
      </c>
      <c r="P241" s="22" t="s">
        <v>15968</v>
      </c>
      <c r="Q241" s="22" t="s">
        <v>145</v>
      </c>
      <c r="R241" s="22" t="s">
        <v>70</v>
      </c>
      <c r="S241" s="22" t="s">
        <v>67</v>
      </c>
      <c r="U241" s="293" t="s">
        <v>15969</v>
      </c>
      <c r="V241" s="293" t="s">
        <v>145</v>
      </c>
      <c r="W241" s="293" t="s">
        <v>74</v>
      </c>
      <c r="X241" s="293" t="s">
        <v>656</v>
      </c>
      <c r="Z241" s="293" t="s">
        <v>15970</v>
      </c>
      <c r="AA241" s="293" t="s">
        <v>145</v>
      </c>
      <c r="AB241" s="293" t="s">
        <v>74</v>
      </c>
      <c r="AC241" s="293" t="s">
        <v>656</v>
      </c>
      <c r="AE241" s="293" t="s">
        <v>15971</v>
      </c>
      <c r="AF241" s="293" t="s">
        <v>145</v>
      </c>
      <c r="AG241" s="293" t="s">
        <v>74</v>
      </c>
      <c r="AH241" s="293" t="s">
        <v>656</v>
      </c>
      <c r="AJ241" s="293" t="s">
        <v>15972</v>
      </c>
      <c r="AK241" s="293" t="s">
        <v>145</v>
      </c>
      <c r="AL241" s="293" t="s">
        <v>74</v>
      </c>
      <c r="AM241" s="293" t="s">
        <v>656</v>
      </c>
      <c r="AO241" s="22" t="s">
        <v>15973</v>
      </c>
      <c r="AP241" s="22" t="s">
        <v>145</v>
      </c>
      <c r="AQ241" s="22" t="s">
        <v>70</v>
      </c>
      <c r="AR241" s="22" t="s">
        <v>67</v>
      </c>
      <c r="AT241" s="22" t="s">
        <v>15974</v>
      </c>
      <c r="AU241" s="22" t="s">
        <v>145</v>
      </c>
      <c r="AV241" s="22" t="s">
        <v>70</v>
      </c>
      <c r="AW241" s="22" t="s">
        <v>67</v>
      </c>
      <c r="AY241" s="22" t="s">
        <v>15975</v>
      </c>
      <c r="AZ241" s="22" t="s">
        <v>145</v>
      </c>
      <c r="BA241" s="22" t="s">
        <v>70</v>
      </c>
      <c r="BB241" s="22" t="s">
        <v>67</v>
      </c>
      <c r="BD241" s="22" t="s">
        <v>15976</v>
      </c>
      <c r="BE241" s="22" t="s">
        <v>145</v>
      </c>
      <c r="BF241" s="22" t="s">
        <v>70</v>
      </c>
      <c r="BG241" s="22" t="s">
        <v>67</v>
      </c>
      <c r="BI241" s="22" t="s">
        <v>15977</v>
      </c>
      <c r="BJ241" s="22" t="s">
        <v>145</v>
      </c>
      <c r="BK241" s="22" t="s">
        <v>70</v>
      </c>
      <c r="BL241" s="22" t="s">
        <v>67</v>
      </c>
      <c r="BN241" s="22" t="s">
        <v>15978</v>
      </c>
      <c r="BO241" s="22" t="s">
        <v>145</v>
      </c>
      <c r="BP241" s="22" t="s">
        <v>70</v>
      </c>
      <c r="BQ241" s="22" t="s">
        <v>67</v>
      </c>
      <c r="BS241" s="22" t="s">
        <v>15979</v>
      </c>
      <c r="BT241" s="22" t="s">
        <v>145</v>
      </c>
      <c r="BU241" s="22" t="s">
        <v>70</v>
      </c>
      <c r="BV241" s="214" t="s">
        <v>530</v>
      </c>
      <c r="BX241" s="22" t="s">
        <v>15980</v>
      </c>
      <c r="BY241" s="22" t="s">
        <v>145</v>
      </c>
      <c r="BZ241" s="22" t="s">
        <v>70</v>
      </c>
      <c r="CA241" s="214" t="s">
        <v>530</v>
      </c>
      <c r="CC241" s="214" t="s">
        <v>15981</v>
      </c>
      <c r="CD241" s="218" t="s">
        <v>145</v>
      </c>
      <c r="CE241" s="214" t="s">
        <v>70</v>
      </c>
      <c r="CF241" s="214" t="s">
        <v>694</v>
      </c>
      <c r="CH241" s="214" t="s">
        <v>15982</v>
      </c>
      <c r="CI241" s="214" t="s">
        <v>34544</v>
      </c>
      <c r="CJ241" s="214" t="s">
        <v>70</v>
      </c>
      <c r="CK241" s="214" t="s">
        <v>530</v>
      </c>
      <c r="CM241" s="214" t="s">
        <v>15983</v>
      </c>
      <c r="CN241" s="214" t="s">
        <v>468</v>
      </c>
      <c r="CO241" s="214" t="s">
        <v>70</v>
      </c>
      <c r="CP241" s="214" t="s">
        <v>530</v>
      </c>
      <c r="CR241" s="214" t="s">
        <v>15984</v>
      </c>
      <c r="CS241" s="214" t="s">
        <v>52</v>
      </c>
      <c r="CT241" s="214" t="s">
        <v>70</v>
      </c>
      <c r="CU241" s="214" t="s">
        <v>530</v>
      </c>
      <c r="CW241" s="214" t="s">
        <v>15985</v>
      </c>
      <c r="CX241" s="214" t="s">
        <v>488</v>
      </c>
      <c r="CY241" s="214" t="s">
        <v>70</v>
      </c>
      <c r="CZ241" s="214" t="s">
        <v>530</v>
      </c>
      <c r="DB241" s="214" t="s">
        <v>15986</v>
      </c>
      <c r="DC241" s="214" t="s">
        <v>486</v>
      </c>
      <c r="DD241" s="214" t="s">
        <v>70</v>
      </c>
      <c r="DE241" s="214" t="s">
        <v>530</v>
      </c>
      <c r="DG241" s="214" t="s">
        <v>15987</v>
      </c>
      <c r="DH241" s="214" t="s">
        <v>486</v>
      </c>
      <c r="DI241" s="214" t="s">
        <v>70</v>
      </c>
      <c r="DJ241" s="214" t="s">
        <v>530</v>
      </c>
      <c r="DL241" s="214" t="s">
        <v>15988</v>
      </c>
      <c r="DM241" s="214" t="s">
        <v>85</v>
      </c>
      <c r="DN241" s="214" t="s">
        <v>70</v>
      </c>
      <c r="DO241" s="214" t="s">
        <v>530</v>
      </c>
      <c r="DQ241" s="214" t="s">
        <v>15989</v>
      </c>
      <c r="DR241" s="214" t="s">
        <v>34548</v>
      </c>
      <c r="DS241" s="214" t="s">
        <v>70</v>
      </c>
      <c r="DT241" s="214" t="s">
        <v>530</v>
      </c>
      <c r="DV241" s="214" t="s">
        <v>15990</v>
      </c>
      <c r="DW241" s="214" t="s">
        <v>34516</v>
      </c>
      <c r="DX241" s="214" t="s">
        <v>70</v>
      </c>
      <c r="DY241" s="214" t="s">
        <v>530</v>
      </c>
      <c r="EA241" s="214" t="s">
        <v>15991</v>
      </c>
      <c r="EB241" s="214" t="s">
        <v>642</v>
      </c>
      <c r="EC241" s="214" t="s">
        <v>70</v>
      </c>
      <c r="ED241" s="214" t="s">
        <v>530</v>
      </c>
      <c r="EF241" s="214" t="s">
        <v>15992</v>
      </c>
      <c r="EG241" s="214" t="s">
        <v>203</v>
      </c>
      <c r="EH241" s="214" t="s">
        <v>70</v>
      </c>
      <c r="EI241" s="214" t="s">
        <v>530</v>
      </c>
      <c r="EK241" s="214" t="s">
        <v>15993</v>
      </c>
      <c r="EL241" s="214" t="s">
        <v>34555</v>
      </c>
      <c r="EM241" s="214" t="s">
        <v>70</v>
      </c>
      <c r="EN241" s="214" t="s">
        <v>530</v>
      </c>
      <c r="EP241" s="214" t="s">
        <v>15994</v>
      </c>
      <c r="EQ241" s="214" t="s">
        <v>920</v>
      </c>
      <c r="ER241" s="214" t="s">
        <v>70</v>
      </c>
      <c r="ES241" s="214" t="s">
        <v>530</v>
      </c>
      <c r="EU241" s="214" t="s">
        <v>15995</v>
      </c>
      <c r="EV241" s="214" t="s">
        <v>917</v>
      </c>
      <c r="EW241" s="214" t="s">
        <v>70</v>
      </c>
      <c r="EX241" s="214" t="s">
        <v>530</v>
      </c>
      <c r="EZ241" s="214" t="s">
        <v>15996</v>
      </c>
      <c r="FA241" s="214" t="s">
        <v>34580</v>
      </c>
      <c r="FB241" s="214" t="s">
        <v>70</v>
      </c>
      <c r="FC241" s="214" t="s">
        <v>530</v>
      </c>
      <c r="FE241" s="214" t="s">
        <v>15997</v>
      </c>
      <c r="FF241" s="214" t="s">
        <v>491</v>
      </c>
      <c r="FG241" s="214" t="s">
        <v>70</v>
      </c>
      <c r="FH241" s="214" t="s">
        <v>530</v>
      </c>
      <c r="FJ241" s="321" t="s">
        <v>15998</v>
      </c>
      <c r="FK241" s="214" t="s">
        <v>52</v>
      </c>
      <c r="FL241" s="214" t="s">
        <v>70</v>
      </c>
      <c r="FM241" s="214" t="s">
        <v>530</v>
      </c>
      <c r="FO241" s="321" t="s">
        <v>15999</v>
      </c>
      <c r="FP241" s="214" t="s">
        <v>491</v>
      </c>
      <c r="FQ241" s="214" t="s">
        <v>70</v>
      </c>
      <c r="FR241" s="214" t="s">
        <v>530</v>
      </c>
      <c r="FT241" s="321" t="s">
        <v>16000</v>
      </c>
      <c r="FU241" s="214" t="s">
        <v>146</v>
      </c>
      <c r="FV241" s="214" t="s">
        <v>70</v>
      </c>
      <c r="FW241" s="214" t="s">
        <v>530</v>
      </c>
      <c r="FY241" s="321" t="s">
        <v>16001</v>
      </c>
      <c r="FZ241" s="214" t="s">
        <v>502</v>
      </c>
      <c r="GA241" s="214" t="s">
        <v>70</v>
      </c>
      <c r="GB241" s="214" t="s">
        <v>530</v>
      </c>
      <c r="GD241" s="321" t="s">
        <v>16002</v>
      </c>
      <c r="GE241" s="214" t="s">
        <v>921</v>
      </c>
      <c r="GF241" s="214" t="s">
        <v>70</v>
      </c>
      <c r="GG241" s="214" t="s">
        <v>530</v>
      </c>
      <c r="GI241" s="321" t="s">
        <v>16003</v>
      </c>
      <c r="GJ241" s="214" t="s">
        <v>485</v>
      </c>
      <c r="GK241" s="214" t="s">
        <v>70</v>
      </c>
      <c r="GL241" s="214" t="s">
        <v>530</v>
      </c>
      <c r="GN241" s="321" t="s">
        <v>16004</v>
      </c>
      <c r="GO241" s="214" t="s">
        <v>518</v>
      </c>
      <c r="GP241" s="214" t="s">
        <v>70</v>
      </c>
      <c r="GQ241" s="214" t="s">
        <v>530</v>
      </c>
      <c r="GS241" s="321" t="s">
        <v>16005</v>
      </c>
      <c r="GT241" s="214" t="s">
        <v>502</v>
      </c>
      <c r="GU241" s="214" t="s">
        <v>70</v>
      </c>
      <c r="GV241" s="214" t="s">
        <v>530</v>
      </c>
      <c r="GX241" s="214" t="s">
        <v>16006</v>
      </c>
      <c r="GY241" s="214" t="s">
        <v>34542</v>
      </c>
      <c r="GZ241" s="214" t="s">
        <v>70</v>
      </c>
      <c r="HA241" s="214" t="s">
        <v>530</v>
      </c>
      <c r="HC241" s="214" t="s">
        <v>16007</v>
      </c>
      <c r="HD241" s="214" t="s">
        <v>488</v>
      </c>
      <c r="HE241" s="214" t="s">
        <v>70</v>
      </c>
      <c r="HF241" s="214" t="s">
        <v>530</v>
      </c>
      <c r="HH241" s="214" t="s">
        <v>16008</v>
      </c>
      <c r="HI241" s="214" t="s">
        <v>34603</v>
      </c>
      <c r="HJ241" s="214" t="s">
        <v>70</v>
      </c>
      <c r="HK241" s="214" t="s">
        <v>530</v>
      </c>
      <c r="HM241" s="214" t="s">
        <v>16009</v>
      </c>
      <c r="HN241" s="214" t="s">
        <v>483</v>
      </c>
      <c r="HO241" s="214" t="s">
        <v>70</v>
      </c>
      <c r="HP241" s="214" t="s">
        <v>530</v>
      </c>
      <c r="HR241" s="22" t="s">
        <v>16010</v>
      </c>
      <c r="HS241" s="22" t="s">
        <v>34540</v>
      </c>
      <c r="HT241" s="22" t="s">
        <v>70</v>
      </c>
      <c r="HU241" s="214" t="s">
        <v>530</v>
      </c>
      <c r="HW241" s="22" t="s">
        <v>16011</v>
      </c>
      <c r="HX241" s="22" t="s">
        <v>103</v>
      </c>
      <c r="HY241" s="22" t="s">
        <v>70</v>
      </c>
      <c r="HZ241" s="214" t="s">
        <v>530</v>
      </c>
      <c r="IB241" s="22" t="s">
        <v>16012</v>
      </c>
      <c r="IC241" s="22" t="s">
        <v>34569</v>
      </c>
      <c r="ID241" s="22" t="s">
        <v>70</v>
      </c>
      <c r="IE241" s="214" t="s">
        <v>530</v>
      </c>
      <c r="IG241" s="22" t="s">
        <v>16013</v>
      </c>
      <c r="IH241" s="22" t="s">
        <v>52</v>
      </c>
      <c r="II241" s="22" t="s">
        <v>70</v>
      </c>
      <c r="IJ241" s="214" t="s">
        <v>530</v>
      </c>
      <c r="IL241" s="22" t="s">
        <v>16014</v>
      </c>
      <c r="IM241" s="22" t="s">
        <v>145</v>
      </c>
      <c r="IN241" s="22" t="s">
        <v>70</v>
      </c>
      <c r="IO241" s="214" t="s">
        <v>530</v>
      </c>
      <c r="IQ241" s="236" t="s">
        <v>16015</v>
      </c>
      <c r="IR241" s="236" t="s">
        <v>145</v>
      </c>
      <c r="IS241" s="236" t="s">
        <v>74</v>
      </c>
      <c r="IT241" s="236" t="s">
        <v>841</v>
      </c>
      <c r="IV241" s="236" t="s">
        <v>16016</v>
      </c>
      <c r="IW241" s="236" t="s">
        <v>145</v>
      </c>
      <c r="IX241" s="236" t="s">
        <v>74</v>
      </c>
      <c r="IY241" s="236" t="s">
        <v>841</v>
      </c>
      <c r="JA241" s="236" t="s">
        <v>16017</v>
      </c>
      <c r="JB241" s="236" t="s">
        <v>145</v>
      </c>
      <c r="JC241" s="236" t="s">
        <v>74</v>
      </c>
      <c r="JD241" s="236" t="s">
        <v>841</v>
      </c>
      <c r="JF241" s="236" t="s">
        <v>16018</v>
      </c>
      <c r="JG241" s="236" t="s">
        <v>145</v>
      </c>
      <c r="JH241" s="236" t="s">
        <v>74</v>
      </c>
      <c r="JI241" s="236" t="s">
        <v>841</v>
      </c>
      <c r="JK241" s="236" t="s">
        <v>16019</v>
      </c>
      <c r="JL241" s="236" t="s">
        <v>145</v>
      </c>
      <c r="JM241" s="236" t="s">
        <v>74</v>
      </c>
      <c r="JN241" s="236" t="s">
        <v>841</v>
      </c>
      <c r="JP241" s="236" t="s">
        <v>16020</v>
      </c>
      <c r="JQ241" s="236" t="s">
        <v>145</v>
      </c>
      <c r="JR241" s="236" t="s">
        <v>74</v>
      </c>
      <c r="JS241" s="236" t="s">
        <v>841</v>
      </c>
      <c r="JU241" s="294" t="s">
        <v>16021</v>
      </c>
      <c r="JV241" s="294" t="s">
        <v>52</v>
      </c>
      <c r="JW241" s="263" t="s">
        <v>70</v>
      </c>
      <c r="JX241" s="294" t="s">
        <v>1083</v>
      </c>
      <c r="JZ241" s="263" t="s">
        <v>16022</v>
      </c>
      <c r="KA241" s="263" t="s">
        <v>145</v>
      </c>
      <c r="KB241" s="263" t="s">
        <v>70</v>
      </c>
      <c r="KC241" s="263" t="s">
        <v>1083</v>
      </c>
      <c r="KE241" s="263" t="s">
        <v>16023</v>
      </c>
      <c r="KF241" s="263" t="s">
        <v>52</v>
      </c>
      <c r="KG241" s="263" t="s">
        <v>70</v>
      </c>
      <c r="KH241" s="263" t="s">
        <v>1083</v>
      </c>
      <c r="KJ241" s="263" t="s">
        <v>16024</v>
      </c>
      <c r="KK241" s="263" t="s">
        <v>52</v>
      </c>
      <c r="KL241" s="263" t="s">
        <v>74</v>
      </c>
      <c r="KM241" s="263" t="s">
        <v>34074</v>
      </c>
      <c r="KO241" s="214" t="s">
        <v>16025</v>
      </c>
      <c r="KP241" s="214" t="s">
        <v>145</v>
      </c>
      <c r="KQ241" s="214" t="s">
        <v>70</v>
      </c>
      <c r="KR241" s="214" t="s">
        <v>67</v>
      </c>
      <c r="KT241" s="22" t="s">
        <v>16026</v>
      </c>
      <c r="KU241" s="22" t="s">
        <v>145</v>
      </c>
      <c r="KV241" s="22" t="s">
        <v>70</v>
      </c>
      <c r="KW241" s="22" t="s">
        <v>67</v>
      </c>
      <c r="KY241" s="214" t="s">
        <v>16027</v>
      </c>
      <c r="KZ241" s="214" t="s">
        <v>52</v>
      </c>
      <c r="LA241" s="214" t="s">
        <v>74</v>
      </c>
      <c r="LB241" s="214" t="s">
        <v>67</v>
      </c>
      <c r="LD241" s="22" t="s">
        <v>16028</v>
      </c>
      <c r="LE241" s="22" t="s">
        <v>145</v>
      </c>
      <c r="LF241" s="22" t="s">
        <v>70</v>
      </c>
      <c r="LG241" s="22" t="s">
        <v>67</v>
      </c>
    </row>
    <row r="242" spans="1:319">
      <c r="A242" s="22" t="s">
        <v>16029</v>
      </c>
      <c r="B242" s="22" t="s">
        <v>145</v>
      </c>
      <c r="C242" s="22" t="s">
        <v>70</v>
      </c>
      <c r="D242" s="22" t="s">
        <v>67</v>
      </c>
      <c r="F242" s="73" t="s">
        <v>16030</v>
      </c>
      <c r="G242" s="22" t="s">
        <v>145</v>
      </c>
      <c r="H242" s="22" t="s">
        <v>70</v>
      </c>
      <c r="I242" s="22" t="s">
        <v>67</v>
      </c>
      <c r="K242" s="22" t="s">
        <v>16031</v>
      </c>
      <c r="L242" s="22" t="s">
        <v>145</v>
      </c>
      <c r="M242" s="22" t="s">
        <v>70</v>
      </c>
      <c r="N242" s="22" t="s">
        <v>67</v>
      </c>
      <c r="P242" s="22" t="s">
        <v>16032</v>
      </c>
      <c r="Q242" s="22" t="s">
        <v>145</v>
      </c>
      <c r="R242" s="22" t="s">
        <v>70</v>
      </c>
      <c r="S242" s="22" t="s">
        <v>67</v>
      </c>
      <c r="U242" s="293" t="s">
        <v>16033</v>
      </c>
      <c r="V242" s="293" t="s">
        <v>145</v>
      </c>
      <c r="W242" s="293" t="s">
        <v>74</v>
      </c>
      <c r="X242" s="293" t="s">
        <v>656</v>
      </c>
      <c r="Z242" s="293" t="s">
        <v>16034</v>
      </c>
      <c r="AA242" s="293" t="s">
        <v>145</v>
      </c>
      <c r="AB242" s="293" t="s">
        <v>74</v>
      </c>
      <c r="AC242" s="293" t="s">
        <v>656</v>
      </c>
      <c r="AE242" s="293" t="s">
        <v>16035</v>
      </c>
      <c r="AF242" s="293" t="s">
        <v>145</v>
      </c>
      <c r="AG242" s="293" t="s">
        <v>74</v>
      </c>
      <c r="AH242" s="293" t="s">
        <v>656</v>
      </c>
      <c r="AJ242" s="293" t="s">
        <v>16036</v>
      </c>
      <c r="AK242" s="293" t="s">
        <v>145</v>
      </c>
      <c r="AL242" s="293" t="s">
        <v>74</v>
      </c>
      <c r="AM242" s="293" t="s">
        <v>656</v>
      </c>
      <c r="AO242" s="22" t="s">
        <v>16037</v>
      </c>
      <c r="AP242" s="22" t="s">
        <v>145</v>
      </c>
      <c r="AQ242" s="22" t="s">
        <v>70</v>
      </c>
      <c r="AR242" s="22" t="s">
        <v>67</v>
      </c>
      <c r="AT242" s="22" t="s">
        <v>16038</v>
      </c>
      <c r="AU242" s="22" t="s">
        <v>145</v>
      </c>
      <c r="AV242" s="22" t="s">
        <v>70</v>
      </c>
      <c r="AW242" s="22" t="s">
        <v>67</v>
      </c>
      <c r="AY242" s="22" t="s">
        <v>16039</v>
      </c>
      <c r="AZ242" s="22" t="s">
        <v>145</v>
      </c>
      <c r="BA242" s="22" t="s">
        <v>70</v>
      </c>
      <c r="BB242" s="22" t="s">
        <v>67</v>
      </c>
      <c r="BD242" s="22" t="s">
        <v>16040</v>
      </c>
      <c r="BE242" s="22" t="s">
        <v>145</v>
      </c>
      <c r="BF242" s="22" t="s">
        <v>70</v>
      </c>
      <c r="BG242" s="22" t="s">
        <v>67</v>
      </c>
      <c r="BI242" s="22" t="s">
        <v>16041</v>
      </c>
      <c r="BJ242" s="22" t="s">
        <v>145</v>
      </c>
      <c r="BK242" s="22" t="s">
        <v>70</v>
      </c>
      <c r="BL242" s="22" t="s">
        <v>67</v>
      </c>
      <c r="BN242" s="22" t="s">
        <v>16042</v>
      </c>
      <c r="BO242" s="22" t="s">
        <v>145</v>
      </c>
      <c r="BP242" s="22" t="s">
        <v>70</v>
      </c>
      <c r="BQ242" s="22" t="s">
        <v>67</v>
      </c>
      <c r="BS242" s="22" t="s">
        <v>16043</v>
      </c>
      <c r="BT242" s="22" t="s">
        <v>145</v>
      </c>
      <c r="BU242" s="22" t="s">
        <v>70</v>
      </c>
      <c r="BV242" s="214" t="s">
        <v>530</v>
      </c>
      <c r="BX242" s="22" t="s">
        <v>16044</v>
      </c>
      <c r="BY242" s="22" t="s">
        <v>145</v>
      </c>
      <c r="BZ242" s="22" t="s">
        <v>70</v>
      </c>
      <c r="CA242" s="214" t="s">
        <v>530</v>
      </c>
      <c r="CC242" s="214" t="s">
        <v>16045</v>
      </c>
      <c r="CD242" s="218" t="s">
        <v>145</v>
      </c>
      <c r="CE242" s="214" t="s">
        <v>70</v>
      </c>
      <c r="CF242" s="214" t="s">
        <v>695</v>
      </c>
      <c r="CH242" s="214" t="s">
        <v>16046</v>
      </c>
      <c r="CI242" s="214" t="s">
        <v>52</v>
      </c>
      <c r="CJ242" s="214" t="s">
        <v>70</v>
      </c>
      <c r="CK242" s="214" t="s">
        <v>530</v>
      </c>
      <c r="CM242" s="214" t="s">
        <v>16047</v>
      </c>
      <c r="CN242" s="214" t="s">
        <v>52</v>
      </c>
      <c r="CO242" s="214" t="s">
        <v>70</v>
      </c>
      <c r="CP242" s="214" t="s">
        <v>530</v>
      </c>
      <c r="CR242" s="214" t="s">
        <v>16048</v>
      </c>
      <c r="CS242" s="214" t="s">
        <v>655</v>
      </c>
      <c r="CT242" s="214" t="s">
        <v>70</v>
      </c>
      <c r="CU242" s="214" t="s">
        <v>530</v>
      </c>
      <c r="CW242" s="214" t="s">
        <v>16049</v>
      </c>
      <c r="CX242" s="214" t="s">
        <v>599</v>
      </c>
      <c r="CY242" s="214" t="s">
        <v>70</v>
      </c>
      <c r="CZ242" s="214" t="s">
        <v>530</v>
      </c>
      <c r="DB242" s="214" t="s">
        <v>16050</v>
      </c>
      <c r="DC242" s="214" t="s">
        <v>912</v>
      </c>
      <c r="DD242" s="214" t="s">
        <v>70</v>
      </c>
      <c r="DE242" s="214" t="s">
        <v>530</v>
      </c>
      <c r="DG242" s="214" t="s">
        <v>16051</v>
      </c>
      <c r="DH242" s="214" t="s">
        <v>912</v>
      </c>
      <c r="DI242" s="214" t="s">
        <v>70</v>
      </c>
      <c r="DJ242" s="214" t="s">
        <v>530</v>
      </c>
      <c r="DL242" s="214" t="s">
        <v>16052</v>
      </c>
      <c r="DM242" s="214" t="s">
        <v>87</v>
      </c>
      <c r="DN242" s="214" t="s">
        <v>70</v>
      </c>
      <c r="DO242" s="214" t="s">
        <v>530</v>
      </c>
      <c r="DQ242" s="214" t="s">
        <v>16053</v>
      </c>
      <c r="DR242" s="214" t="s">
        <v>164</v>
      </c>
      <c r="DS242" s="214" t="s">
        <v>70</v>
      </c>
      <c r="DT242" s="214" t="s">
        <v>530</v>
      </c>
      <c r="DV242" s="214" t="s">
        <v>16054</v>
      </c>
      <c r="DW242" s="214" t="s">
        <v>88</v>
      </c>
      <c r="DX242" s="214" t="s">
        <v>70</v>
      </c>
      <c r="DY242" s="214" t="s">
        <v>530</v>
      </c>
      <c r="EA242" s="214" t="s">
        <v>16055</v>
      </c>
      <c r="EB242" s="214" t="s">
        <v>52</v>
      </c>
      <c r="EC242" s="214" t="s">
        <v>70</v>
      </c>
      <c r="ED242" s="214" t="s">
        <v>530</v>
      </c>
      <c r="EF242" s="214" t="s">
        <v>16056</v>
      </c>
      <c r="EG242" s="214" t="s">
        <v>34543</v>
      </c>
      <c r="EH242" s="214" t="s">
        <v>70</v>
      </c>
      <c r="EI242" s="214" t="s">
        <v>530</v>
      </c>
      <c r="EK242" s="214" t="s">
        <v>16057</v>
      </c>
      <c r="EL242" s="214" t="s">
        <v>956</v>
      </c>
      <c r="EM242" s="214" t="s">
        <v>70</v>
      </c>
      <c r="EN242" s="214" t="s">
        <v>530</v>
      </c>
      <c r="EP242" s="214" t="s">
        <v>16058</v>
      </c>
      <c r="EQ242" s="214" t="s">
        <v>163</v>
      </c>
      <c r="ER242" s="214" t="s">
        <v>70</v>
      </c>
      <c r="ES242" s="214" t="s">
        <v>530</v>
      </c>
      <c r="EU242" s="214" t="s">
        <v>16059</v>
      </c>
      <c r="EV242" s="214" t="s">
        <v>468</v>
      </c>
      <c r="EW242" s="214" t="s">
        <v>70</v>
      </c>
      <c r="EX242" s="214" t="s">
        <v>530</v>
      </c>
      <c r="EZ242" s="214" t="s">
        <v>16060</v>
      </c>
      <c r="FA242" s="214" t="s">
        <v>951</v>
      </c>
      <c r="FB242" s="214" t="s">
        <v>70</v>
      </c>
      <c r="FC242" s="214" t="s">
        <v>530</v>
      </c>
      <c r="FE242" s="214" t="s">
        <v>16061</v>
      </c>
      <c r="FF242" s="214" t="s">
        <v>52</v>
      </c>
      <c r="FG242" s="214" t="s">
        <v>70</v>
      </c>
      <c r="FH242" s="214" t="s">
        <v>530</v>
      </c>
      <c r="FJ242" s="321" t="s">
        <v>16062</v>
      </c>
      <c r="FK242" s="214" t="s">
        <v>10541</v>
      </c>
      <c r="FL242" s="214" t="s">
        <v>70</v>
      </c>
      <c r="FM242" s="214" t="s">
        <v>530</v>
      </c>
      <c r="FO242" s="321" t="s">
        <v>16063</v>
      </c>
      <c r="FP242" s="214" t="s">
        <v>145</v>
      </c>
      <c r="FQ242" s="214" t="s">
        <v>70</v>
      </c>
      <c r="FR242" s="214" t="s">
        <v>530</v>
      </c>
      <c r="FT242" s="321" t="s">
        <v>16064</v>
      </c>
      <c r="FU242" s="214" t="s">
        <v>518</v>
      </c>
      <c r="FV242" s="214" t="s">
        <v>70</v>
      </c>
      <c r="FW242" s="214" t="s">
        <v>530</v>
      </c>
      <c r="FY242" s="321" t="s">
        <v>16065</v>
      </c>
      <c r="FZ242" s="214" t="s">
        <v>915</v>
      </c>
      <c r="GA242" s="214" t="s">
        <v>70</v>
      </c>
      <c r="GB242" s="214" t="s">
        <v>530</v>
      </c>
      <c r="GD242" s="321" t="s">
        <v>16066</v>
      </c>
      <c r="GE242" s="214" t="s">
        <v>34563</v>
      </c>
      <c r="GF242" s="214" t="s">
        <v>70</v>
      </c>
      <c r="GG242" s="214" t="s">
        <v>530</v>
      </c>
      <c r="GI242" s="321" t="s">
        <v>16067</v>
      </c>
      <c r="GJ242" s="214" t="s">
        <v>103</v>
      </c>
      <c r="GK242" s="214" t="s">
        <v>70</v>
      </c>
      <c r="GL242" s="214" t="s">
        <v>530</v>
      </c>
      <c r="GN242" s="321" t="s">
        <v>16068</v>
      </c>
      <c r="GO242" s="214" t="s">
        <v>203</v>
      </c>
      <c r="GP242" s="214" t="s">
        <v>70</v>
      </c>
      <c r="GQ242" s="214" t="s">
        <v>530</v>
      </c>
      <c r="GS242" s="321" t="s">
        <v>16069</v>
      </c>
      <c r="GT242" s="214" t="s">
        <v>949</v>
      </c>
      <c r="GU242" s="214" t="s">
        <v>70</v>
      </c>
      <c r="GV242" s="214" t="s">
        <v>530</v>
      </c>
      <c r="GX242" s="214" t="s">
        <v>16070</v>
      </c>
      <c r="GY242" s="214" t="s">
        <v>88</v>
      </c>
      <c r="GZ242" s="214" t="s">
        <v>70</v>
      </c>
      <c r="HA242" s="214" t="s">
        <v>530</v>
      </c>
      <c r="HC242" s="214" t="s">
        <v>16071</v>
      </c>
      <c r="HD242" s="214" t="s">
        <v>293</v>
      </c>
      <c r="HE242" s="214" t="s">
        <v>70</v>
      </c>
      <c r="HF242" s="214" t="s">
        <v>530</v>
      </c>
      <c r="HH242" s="214" t="s">
        <v>16072</v>
      </c>
      <c r="HI242" s="214" t="s">
        <v>34550</v>
      </c>
      <c r="HJ242" s="214" t="s">
        <v>70</v>
      </c>
      <c r="HK242" s="214" t="s">
        <v>530</v>
      </c>
      <c r="HM242" s="214" t="s">
        <v>16073</v>
      </c>
      <c r="HN242" s="214" t="s">
        <v>52</v>
      </c>
      <c r="HO242" s="214" t="s">
        <v>70</v>
      </c>
      <c r="HP242" s="214" t="s">
        <v>530</v>
      </c>
      <c r="HR242" s="22" t="s">
        <v>16074</v>
      </c>
      <c r="HS242" s="22" t="s">
        <v>286</v>
      </c>
      <c r="HT242" s="22" t="s">
        <v>70</v>
      </c>
      <c r="HU242" s="214" t="s">
        <v>530</v>
      </c>
      <c r="HW242" s="22" t="s">
        <v>16075</v>
      </c>
      <c r="HX242" s="22" t="s">
        <v>146</v>
      </c>
      <c r="HY242" s="22" t="s">
        <v>70</v>
      </c>
      <c r="HZ242" s="214" t="s">
        <v>530</v>
      </c>
      <c r="IB242" s="22" t="s">
        <v>16076</v>
      </c>
      <c r="IC242" s="22" t="s">
        <v>467</v>
      </c>
      <c r="ID242" s="22" t="s">
        <v>70</v>
      </c>
      <c r="IE242" s="214" t="s">
        <v>530</v>
      </c>
      <c r="IG242" s="22" t="s">
        <v>16077</v>
      </c>
      <c r="IH242" s="22" t="s">
        <v>52</v>
      </c>
      <c r="II242" s="22" t="s">
        <v>70</v>
      </c>
      <c r="IJ242" s="214" t="s">
        <v>530</v>
      </c>
      <c r="IL242" s="22" t="s">
        <v>16078</v>
      </c>
      <c r="IM242" s="22" t="s">
        <v>145</v>
      </c>
      <c r="IN242" s="22" t="s">
        <v>70</v>
      </c>
      <c r="IO242" s="214" t="s">
        <v>530</v>
      </c>
      <c r="IQ242" s="236" t="s">
        <v>16079</v>
      </c>
      <c r="IR242" s="236" t="s">
        <v>145</v>
      </c>
      <c r="IS242" s="236" t="s">
        <v>74</v>
      </c>
      <c r="IT242" s="236" t="s">
        <v>841</v>
      </c>
      <c r="IV242" s="236" t="s">
        <v>16080</v>
      </c>
      <c r="IW242" s="236" t="s">
        <v>145</v>
      </c>
      <c r="IX242" s="236" t="s">
        <v>74</v>
      </c>
      <c r="IY242" s="236" t="s">
        <v>841</v>
      </c>
      <c r="JA242" s="236" t="s">
        <v>16081</v>
      </c>
      <c r="JB242" s="236" t="s">
        <v>145</v>
      </c>
      <c r="JC242" s="236" t="s">
        <v>74</v>
      </c>
      <c r="JD242" s="236" t="s">
        <v>841</v>
      </c>
      <c r="JF242" s="236" t="s">
        <v>16082</v>
      </c>
      <c r="JG242" s="236" t="s">
        <v>145</v>
      </c>
      <c r="JH242" s="236" t="s">
        <v>74</v>
      </c>
      <c r="JI242" s="236" t="s">
        <v>841</v>
      </c>
      <c r="JK242" s="236" t="s">
        <v>16083</v>
      </c>
      <c r="JL242" s="236" t="s">
        <v>145</v>
      </c>
      <c r="JM242" s="236" t="s">
        <v>74</v>
      </c>
      <c r="JN242" s="236" t="s">
        <v>841</v>
      </c>
      <c r="JP242" s="236" t="s">
        <v>16084</v>
      </c>
      <c r="JQ242" s="236" t="s">
        <v>145</v>
      </c>
      <c r="JR242" s="236" t="s">
        <v>74</v>
      </c>
      <c r="JS242" s="236" t="s">
        <v>841</v>
      </c>
      <c r="JU242" s="294" t="s">
        <v>16085</v>
      </c>
      <c r="JV242" s="294" t="s">
        <v>52</v>
      </c>
      <c r="JW242" s="263" t="s">
        <v>70</v>
      </c>
      <c r="JX242" s="294" t="s">
        <v>1083</v>
      </c>
      <c r="JZ242" s="263" t="s">
        <v>16086</v>
      </c>
      <c r="KA242" s="263" t="s">
        <v>145</v>
      </c>
      <c r="KB242" s="263" t="s">
        <v>70</v>
      </c>
      <c r="KC242" s="263" t="s">
        <v>1083</v>
      </c>
      <c r="KE242" s="263" t="s">
        <v>16087</v>
      </c>
      <c r="KF242" s="263" t="s">
        <v>52</v>
      </c>
      <c r="KG242" s="263" t="s">
        <v>70</v>
      </c>
      <c r="KH242" s="263" t="s">
        <v>1083</v>
      </c>
      <c r="KJ242" s="263" t="s">
        <v>16088</v>
      </c>
      <c r="KK242" s="263" t="s">
        <v>52</v>
      </c>
      <c r="KL242" s="263" t="s">
        <v>74</v>
      </c>
      <c r="KM242" s="263" t="s">
        <v>34074</v>
      </c>
      <c r="KO242" s="214" t="s">
        <v>16089</v>
      </c>
      <c r="KP242" s="214" t="s">
        <v>145</v>
      </c>
      <c r="KQ242" s="214" t="s">
        <v>70</v>
      </c>
      <c r="KR242" s="214" t="s">
        <v>67</v>
      </c>
      <c r="KT242" s="22" t="s">
        <v>16090</v>
      </c>
      <c r="KU242" s="22" t="s">
        <v>145</v>
      </c>
      <c r="KV242" s="22" t="s">
        <v>70</v>
      </c>
      <c r="KW242" s="22" t="s">
        <v>67</v>
      </c>
      <c r="KY242" s="214" t="s">
        <v>16091</v>
      </c>
      <c r="KZ242" s="214" t="s">
        <v>52</v>
      </c>
      <c r="LA242" s="214" t="s">
        <v>74</v>
      </c>
      <c r="LB242" s="214" t="s">
        <v>67</v>
      </c>
      <c r="LD242" s="22" t="s">
        <v>16092</v>
      </c>
      <c r="LE242" s="22" t="s">
        <v>145</v>
      </c>
      <c r="LF242" s="22" t="s">
        <v>70</v>
      </c>
      <c r="LG242" s="22" t="s">
        <v>67</v>
      </c>
    </row>
    <row r="243" spans="1:319">
      <c r="A243" s="22" t="s">
        <v>16093</v>
      </c>
      <c r="B243" s="22" t="s">
        <v>145</v>
      </c>
      <c r="C243" s="22" t="s">
        <v>70</v>
      </c>
      <c r="D243" s="22" t="s">
        <v>67</v>
      </c>
      <c r="F243" s="73" t="s">
        <v>16094</v>
      </c>
      <c r="G243" s="22" t="s">
        <v>145</v>
      </c>
      <c r="H243" s="22" t="s">
        <v>70</v>
      </c>
      <c r="I243" s="22" t="s">
        <v>67</v>
      </c>
      <c r="K243" s="22" t="s">
        <v>16095</v>
      </c>
      <c r="L243" s="22" t="s">
        <v>145</v>
      </c>
      <c r="M243" s="22" t="s">
        <v>70</v>
      </c>
      <c r="N243" s="22" t="s">
        <v>67</v>
      </c>
      <c r="P243" s="22" t="s">
        <v>16096</v>
      </c>
      <c r="Q243" s="22" t="s">
        <v>145</v>
      </c>
      <c r="R243" s="22" t="s">
        <v>70</v>
      </c>
      <c r="S243" s="22" t="s">
        <v>67</v>
      </c>
      <c r="U243" s="293" t="s">
        <v>16097</v>
      </c>
      <c r="V243" s="293" t="s">
        <v>145</v>
      </c>
      <c r="W243" s="293" t="s">
        <v>74</v>
      </c>
      <c r="X243" s="293" t="s">
        <v>656</v>
      </c>
      <c r="Z243" s="293" t="s">
        <v>16098</v>
      </c>
      <c r="AA243" s="293" t="s">
        <v>145</v>
      </c>
      <c r="AB243" s="293" t="s">
        <v>74</v>
      </c>
      <c r="AC243" s="293" t="s">
        <v>656</v>
      </c>
      <c r="AE243" s="293" t="s">
        <v>16099</v>
      </c>
      <c r="AF243" s="293" t="s">
        <v>145</v>
      </c>
      <c r="AG243" s="293" t="s">
        <v>74</v>
      </c>
      <c r="AH243" s="293" t="s">
        <v>656</v>
      </c>
      <c r="AJ243" s="293" t="s">
        <v>16100</v>
      </c>
      <c r="AK243" s="293" t="s">
        <v>145</v>
      </c>
      <c r="AL243" s="293" t="s">
        <v>74</v>
      </c>
      <c r="AM243" s="293" t="s">
        <v>656</v>
      </c>
      <c r="AO243" s="22" t="s">
        <v>16101</v>
      </c>
      <c r="AP243" s="22" t="s">
        <v>145</v>
      </c>
      <c r="AQ243" s="22" t="s">
        <v>70</v>
      </c>
      <c r="AR243" s="22" t="s">
        <v>67</v>
      </c>
      <c r="AT243" s="22" t="s">
        <v>16102</v>
      </c>
      <c r="AU243" s="22" t="s">
        <v>145</v>
      </c>
      <c r="AV243" s="22" t="s">
        <v>70</v>
      </c>
      <c r="AW243" s="22" t="s">
        <v>67</v>
      </c>
      <c r="AY243" s="22" t="s">
        <v>16103</v>
      </c>
      <c r="AZ243" s="22" t="s">
        <v>145</v>
      </c>
      <c r="BA243" s="22" t="s">
        <v>70</v>
      </c>
      <c r="BB243" s="22" t="s">
        <v>67</v>
      </c>
      <c r="BD243" s="22" t="s">
        <v>16104</v>
      </c>
      <c r="BE243" s="22" t="s">
        <v>145</v>
      </c>
      <c r="BF243" s="22" t="s">
        <v>70</v>
      </c>
      <c r="BG243" s="22" t="s">
        <v>67</v>
      </c>
      <c r="BI243" s="22" t="s">
        <v>16105</v>
      </c>
      <c r="BJ243" s="22" t="s">
        <v>145</v>
      </c>
      <c r="BK243" s="22" t="s">
        <v>70</v>
      </c>
      <c r="BL243" s="22" t="s">
        <v>67</v>
      </c>
      <c r="BN243" s="22" t="s">
        <v>16106</v>
      </c>
      <c r="BO243" s="22" t="s">
        <v>145</v>
      </c>
      <c r="BP243" s="22" t="s">
        <v>70</v>
      </c>
      <c r="BQ243" s="22" t="s">
        <v>67</v>
      </c>
      <c r="BS243" s="22" t="s">
        <v>16107</v>
      </c>
      <c r="BT243" s="22" t="s">
        <v>145</v>
      </c>
      <c r="BU243" s="22" t="s">
        <v>70</v>
      </c>
      <c r="BV243" s="214" t="s">
        <v>530</v>
      </c>
      <c r="BX243" s="22" t="s">
        <v>16108</v>
      </c>
      <c r="BY243" s="22" t="s">
        <v>145</v>
      </c>
      <c r="BZ243" s="22" t="s">
        <v>70</v>
      </c>
      <c r="CA243" s="214" t="s">
        <v>530</v>
      </c>
      <c r="CC243" s="214" t="s">
        <v>16109</v>
      </c>
      <c r="CD243" s="218" t="s">
        <v>145</v>
      </c>
      <c r="CE243" s="214" t="s">
        <v>70</v>
      </c>
      <c r="CF243" s="214" t="s">
        <v>696</v>
      </c>
      <c r="CH243" s="214" t="s">
        <v>16110</v>
      </c>
      <c r="CI243" s="214" t="s">
        <v>531</v>
      </c>
      <c r="CJ243" s="214" t="s">
        <v>70</v>
      </c>
      <c r="CK243" s="214" t="s">
        <v>530</v>
      </c>
      <c r="CM243" s="214" t="s">
        <v>16111</v>
      </c>
      <c r="CN243" s="214" t="s">
        <v>163</v>
      </c>
      <c r="CO243" s="214" t="s">
        <v>70</v>
      </c>
      <c r="CP243" s="214" t="s">
        <v>530</v>
      </c>
      <c r="CR243" s="214" t="s">
        <v>16112</v>
      </c>
      <c r="CS243" s="214" t="s">
        <v>600</v>
      </c>
      <c r="CT243" s="214" t="s">
        <v>70</v>
      </c>
      <c r="CU243" s="214" t="s">
        <v>530</v>
      </c>
      <c r="CW243" s="214" t="s">
        <v>16113</v>
      </c>
      <c r="CX243" s="214" t="s">
        <v>484</v>
      </c>
      <c r="CY243" s="214" t="s">
        <v>70</v>
      </c>
      <c r="CZ243" s="214" t="s">
        <v>530</v>
      </c>
      <c r="DB243" s="214" t="s">
        <v>16114</v>
      </c>
      <c r="DC243" s="214" t="s">
        <v>488</v>
      </c>
      <c r="DD243" s="214" t="s">
        <v>70</v>
      </c>
      <c r="DE243" s="214" t="s">
        <v>530</v>
      </c>
      <c r="DG243" s="214" t="s">
        <v>16115</v>
      </c>
      <c r="DH243" s="214" t="s">
        <v>488</v>
      </c>
      <c r="DI243" s="214" t="s">
        <v>70</v>
      </c>
      <c r="DJ243" s="214" t="s">
        <v>530</v>
      </c>
      <c r="DL243" s="214" t="s">
        <v>16116</v>
      </c>
      <c r="DM243" s="214" t="s">
        <v>34580</v>
      </c>
      <c r="DN243" s="214" t="s">
        <v>70</v>
      </c>
      <c r="DO243" s="214" t="s">
        <v>530</v>
      </c>
      <c r="DQ243" s="214" t="s">
        <v>16117</v>
      </c>
      <c r="DR243" s="214" t="s">
        <v>148</v>
      </c>
      <c r="DS243" s="214" t="s">
        <v>70</v>
      </c>
      <c r="DT243" s="214" t="s">
        <v>530</v>
      </c>
      <c r="DV243" s="214" t="s">
        <v>16118</v>
      </c>
      <c r="DW243" s="214" t="s">
        <v>486</v>
      </c>
      <c r="DX243" s="214" t="s">
        <v>70</v>
      </c>
      <c r="DY243" s="214" t="s">
        <v>530</v>
      </c>
      <c r="EA243" s="214" t="s">
        <v>16119</v>
      </c>
      <c r="EB243" s="214" t="s">
        <v>468</v>
      </c>
      <c r="EC243" s="214" t="s">
        <v>70</v>
      </c>
      <c r="ED243" s="214" t="s">
        <v>530</v>
      </c>
      <c r="EF243" s="214" t="s">
        <v>16120</v>
      </c>
      <c r="EG243" s="214" t="s">
        <v>34545</v>
      </c>
      <c r="EH243" s="214" t="s">
        <v>70</v>
      </c>
      <c r="EI243" s="214" t="s">
        <v>530</v>
      </c>
      <c r="EK243" s="214" t="s">
        <v>16121</v>
      </c>
      <c r="EL243" s="214" t="s">
        <v>501</v>
      </c>
      <c r="EM243" s="214" t="s">
        <v>70</v>
      </c>
      <c r="EN243" s="214" t="s">
        <v>530</v>
      </c>
      <c r="EP243" s="214" t="s">
        <v>16122</v>
      </c>
      <c r="EQ243" s="214" t="s">
        <v>34593</v>
      </c>
      <c r="ER243" s="214" t="s">
        <v>70</v>
      </c>
      <c r="ES243" s="214" t="s">
        <v>530</v>
      </c>
      <c r="EU243" s="214" t="s">
        <v>16123</v>
      </c>
      <c r="EV243" s="214" t="s">
        <v>146</v>
      </c>
      <c r="EW243" s="214" t="s">
        <v>70</v>
      </c>
      <c r="EX243" s="214" t="s">
        <v>530</v>
      </c>
      <c r="EZ243" s="214" t="s">
        <v>16124</v>
      </c>
      <c r="FA243" s="214" t="s">
        <v>491</v>
      </c>
      <c r="FB243" s="214" t="s">
        <v>70</v>
      </c>
      <c r="FC243" s="214" t="s">
        <v>530</v>
      </c>
      <c r="FE243" s="214" t="s">
        <v>16125</v>
      </c>
      <c r="FF243" s="214" t="s">
        <v>484</v>
      </c>
      <c r="FG243" s="214" t="s">
        <v>70</v>
      </c>
      <c r="FH243" s="214" t="s">
        <v>530</v>
      </c>
      <c r="FJ243" s="321" t="s">
        <v>16126</v>
      </c>
      <c r="FK243" s="214" t="s">
        <v>52</v>
      </c>
      <c r="FL243" s="214" t="s">
        <v>70</v>
      </c>
      <c r="FM243" s="214" t="s">
        <v>530</v>
      </c>
      <c r="FO243" s="321" t="s">
        <v>16127</v>
      </c>
      <c r="FP243" s="214" t="s">
        <v>34541</v>
      </c>
      <c r="FQ243" s="214" t="s">
        <v>70</v>
      </c>
      <c r="FR243" s="214" t="s">
        <v>530</v>
      </c>
      <c r="FT243" s="321" t="s">
        <v>16128</v>
      </c>
      <c r="FU243" s="214" t="s">
        <v>502</v>
      </c>
      <c r="FV243" s="214" t="s">
        <v>70</v>
      </c>
      <c r="FW243" s="214" t="s">
        <v>530</v>
      </c>
      <c r="FY243" s="321" t="s">
        <v>16129</v>
      </c>
      <c r="FZ243" s="214" t="s">
        <v>488</v>
      </c>
      <c r="GA243" s="214" t="s">
        <v>70</v>
      </c>
      <c r="GB243" s="214" t="s">
        <v>530</v>
      </c>
      <c r="GD243" s="321" t="s">
        <v>16130</v>
      </c>
      <c r="GE243" s="214" t="s">
        <v>34542</v>
      </c>
      <c r="GF243" s="214" t="s">
        <v>70</v>
      </c>
      <c r="GG243" s="214" t="s">
        <v>530</v>
      </c>
      <c r="GI243" s="321" t="s">
        <v>16131</v>
      </c>
      <c r="GJ243" s="214" t="s">
        <v>34544</v>
      </c>
      <c r="GK243" s="214" t="s">
        <v>70</v>
      </c>
      <c r="GL243" s="214" t="s">
        <v>530</v>
      </c>
      <c r="GN243" s="321" t="s">
        <v>16132</v>
      </c>
      <c r="GO243" s="214" t="s">
        <v>496</v>
      </c>
      <c r="GP243" s="214" t="s">
        <v>70</v>
      </c>
      <c r="GQ243" s="214" t="s">
        <v>530</v>
      </c>
      <c r="GS243" s="321" t="s">
        <v>16133</v>
      </c>
      <c r="GT243" s="214" t="s">
        <v>52</v>
      </c>
      <c r="GU243" s="214" t="s">
        <v>70</v>
      </c>
      <c r="GV243" s="214" t="s">
        <v>530</v>
      </c>
      <c r="GX243" s="214" t="s">
        <v>16134</v>
      </c>
      <c r="GY243" s="214" t="s">
        <v>502</v>
      </c>
      <c r="GZ243" s="214" t="s">
        <v>70</v>
      </c>
      <c r="HA243" s="214" t="s">
        <v>530</v>
      </c>
      <c r="HC243" s="214" t="s">
        <v>16135</v>
      </c>
      <c r="HD243" s="214" t="s">
        <v>491</v>
      </c>
      <c r="HE243" s="214" t="s">
        <v>70</v>
      </c>
      <c r="HF243" s="214" t="s">
        <v>530</v>
      </c>
      <c r="HH243" s="214" t="s">
        <v>16136</v>
      </c>
      <c r="HI243" s="214" t="s">
        <v>34558</v>
      </c>
      <c r="HJ243" s="214" t="s">
        <v>70</v>
      </c>
      <c r="HK243" s="214" t="s">
        <v>530</v>
      </c>
      <c r="HM243" s="214" t="s">
        <v>16137</v>
      </c>
      <c r="HN243" s="214" t="s">
        <v>955</v>
      </c>
      <c r="HO243" s="214" t="s">
        <v>70</v>
      </c>
      <c r="HP243" s="214" t="s">
        <v>530</v>
      </c>
      <c r="HR243" s="22" t="s">
        <v>16138</v>
      </c>
      <c r="HS243" s="22" t="s">
        <v>34544</v>
      </c>
      <c r="HT243" s="22" t="s">
        <v>70</v>
      </c>
      <c r="HU243" s="214" t="s">
        <v>530</v>
      </c>
      <c r="HW243" s="22" t="s">
        <v>16139</v>
      </c>
      <c r="HX243" s="22" t="s">
        <v>483</v>
      </c>
      <c r="HY243" s="22" t="s">
        <v>70</v>
      </c>
      <c r="HZ243" s="214" t="s">
        <v>530</v>
      </c>
      <c r="IB243" s="22" t="s">
        <v>16140</v>
      </c>
      <c r="IC243" s="22" t="s">
        <v>34544</v>
      </c>
      <c r="ID243" s="22" t="s">
        <v>70</v>
      </c>
      <c r="IE243" s="214" t="s">
        <v>530</v>
      </c>
      <c r="IG243" s="22" t="s">
        <v>16141</v>
      </c>
      <c r="IH243" s="22" t="s">
        <v>52</v>
      </c>
      <c r="II243" s="22" t="s">
        <v>70</v>
      </c>
      <c r="IJ243" s="214" t="s">
        <v>530</v>
      </c>
      <c r="IL243" s="22" t="s">
        <v>16142</v>
      </c>
      <c r="IM243" s="22" t="s">
        <v>145</v>
      </c>
      <c r="IN243" s="22" t="s">
        <v>70</v>
      </c>
      <c r="IO243" s="214" t="s">
        <v>530</v>
      </c>
      <c r="IQ243" s="236" t="s">
        <v>16143</v>
      </c>
      <c r="IR243" s="236" t="s">
        <v>145</v>
      </c>
      <c r="IS243" s="236" t="s">
        <v>74</v>
      </c>
      <c r="IT243" s="236" t="s">
        <v>841</v>
      </c>
      <c r="IV243" s="236" t="s">
        <v>16144</v>
      </c>
      <c r="IW243" s="236" t="s">
        <v>145</v>
      </c>
      <c r="IX243" s="236" t="s">
        <v>74</v>
      </c>
      <c r="IY243" s="236" t="s">
        <v>841</v>
      </c>
      <c r="JA243" s="236" t="s">
        <v>16145</v>
      </c>
      <c r="JB243" s="236" t="s">
        <v>145</v>
      </c>
      <c r="JC243" s="236" t="s">
        <v>74</v>
      </c>
      <c r="JD243" s="236" t="s">
        <v>841</v>
      </c>
      <c r="JF243" s="236" t="s">
        <v>16146</v>
      </c>
      <c r="JG243" s="236" t="s">
        <v>145</v>
      </c>
      <c r="JH243" s="236" t="s">
        <v>74</v>
      </c>
      <c r="JI243" s="236" t="s">
        <v>841</v>
      </c>
      <c r="JK243" s="236" t="s">
        <v>16147</v>
      </c>
      <c r="JL243" s="236" t="s">
        <v>145</v>
      </c>
      <c r="JM243" s="236" t="s">
        <v>74</v>
      </c>
      <c r="JN243" s="236" t="s">
        <v>841</v>
      </c>
      <c r="JP243" s="236" t="s">
        <v>16148</v>
      </c>
      <c r="JQ243" s="236" t="s">
        <v>145</v>
      </c>
      <c r="JR243" s="236" t="s">
        <v>74</v>
      </c>
      <c r="JS243" s="236" t="s">
        <v>841</v>
      </c>
      <c r="JU243" s="294" t="s">
        <v>16149</v>
      </c>
      <c r="JV243" s="294" t="s">
        <v>52</v>
      </c>
      <c r="JW243" s="263" t="s">
        <v>70</v>
      </c>
      <c r="JX243" s="294" t="s">
        <v>1083</v>
      </c>
      <c r="JZ243" s="263" t="s">
        <v>16150</v>
      </c>
      <c r="KA243" s="263" t="s">
        <v>145</v>
      </c>
      <c r="KB243" s="263" t="s">
        <v>70</v>
      </c>
      <c r="KC243" s="263" t="s">
        <v>1083</v>
      </c>
      <c r="KE243" s="263" t="s">
        <v>16151</v>
      </c>
      <c r="KF243" s="263" t="s">
        <v>52</v>
      </c>
      <c r="KG243" s="263" t="s">
        <v>70</v>
      </c>
      <c r="KH243" s="263" t="s">
        <v>1083</v>
      </c>
      <c r="KJ243" s="263" t="s">
        <v>16152</v>
      </c>
      <c r="KK243" s="263" t="s">
        <v>52</v>
      </c>
      <c r="KL243" s="263" t="s">
        <v>74</v>
      </c>
      <c r="KM243" s="263" t="s">
        <v>34074</v>
      </c>
      <c r="KO243" s="214" t="s">
        <v>16153</v>
      </c>
      <c r="KP243" s="214" t="s">
        <v>145</v>
      </c>
      <c r="KQ243" s="214" t="s">
        <v>70</v>
      </c>
      <c r="KR243" s="214" t="s">
        <v>67</v>
      </c>
      <c r="KT243" s="22" t="s">
        <v>16154</v>
      </c>
      <c r="KU243" s="22" t="s">
        <v>145</v>
      </c>
      <c r="KV243" s="22" t="s">
        <v>70</v>
      </c>
      <c r="KW243" s="22" t="s">
        <v>67</v>
      </c>
      <c r="KY243" s="214" t="s">
        <v>16155</v>
      </c>
      <c r="KZ243" s="214" t="s">
        <v>52</v>
      </c>
      <c r="LA243" s="214" t="s">
        <v>74</v>
      </c>
      <c r="LB243" s="214" t="s">
        <v>67</v>
      </c>
      <c r="LD243" s="22" t="s">
        <v>16156</v>
      </c>
      <c r="LE243" s="22" t="s">
        <v>145</v>
      </c>
      <c r="LF243" s="22" t="s">
        <v>70</v>
      </c>
      <c r="LG243" s="22" t="s">
        <v>67</v>
      </c>
    </row>
    <row r="244" spans="1:319">
      <c r="A244" s="22" t="s">
        <v>16157</v>
      </c>
      <c r="B244" s="22" t="s">
        <v>145</v>
      </c>
      <c r="C244" s="22" t="s">
        <v>70</v>
      </c>
      <c r="D244" s="22" t="s">
        <v>67</v>
      </c>
      <c r="F244" s="73" t="s">
        <v>16158</v>
      </c>
      <c r="G244" s="22" t="s">
        <v>145</v>
      </c>
      <c r="H244" s="22" t="s">
        <v>70</v>
      </c>
      <c r="I244" s="22" t="s">
        <v>67</v>
      </c>
      <c r="K244" s="22" t="s">
        <v>16159</v>
      </c>
      <c r="L244" s="22" t="s">
        <v>145</v>
      </c>
      <c r="M244" s="22" t="s">
        <v>70</v>
      </c>
      <c r="N244" s="22" t="s">
        <v>67</v>
      </c>
      <c r="P244" s="22" t="s">
        <v>16160</v>
      </c>
      <c r="Q244" s="22" t="s">
        <v>145</v>
      </c>
      <c r="R244" s="22" t="s">
        <v>70</v>
      </c>
      <c r="S244" s="22" t="s">
        <v>67</v>
      </c>
      <c r="U244" s="293" t="s">
        <v>16161</v>
      </c>
      <c r="V244" s="293" t="s">
        <v>145</v>
      </c>
      <c r="W244" s="293" t="s">
        <v>74</v>
      </c>
      <c r="X244" s="293" t="s">
        <v>656</v>
      </c>
      <c r="Z244" s="293" t="s">
        <v>16162</v>
      </c>
      <c r="AA244" s="293" t="s">
        <v>145</v>
      </c>
      <c r="AB244" s="293" t="s">
        <v>74</v>
      </c>
      <c r="AC244" s="293" t="s">
        <v>656</v>
      </c>
      <c r="AE244" s="293" t="s">
        <v>16163</v>
      </c>
      <c r="AF244" s="293" t="s">
        <v>145</v>
      </c>
      <c r="AG244" s="293" t="s">
        <v>74</v>
      </c>
      <c r="AH244" s="293" t="s">
        <v>656</v>
      </c>
      <c r="AJ244" s="293" t="s">
        <v>16164</v>
      </c>
      <c r="AK244" s="293" t="s">
        <v>145</v>
      </c>
      <c r="AL244" s="293" t="s">
        <v>74</v>
      </c>
      <c r="AM244" s="293" t="s">
        <v>656</v>
      </c>
      <c r="AO244" s="22" t="s">
        <v>16165</v>
      </c>
      <c r="AP244" s="22" t="s">
        <v>145</v>
      </c>
      <c r="AQ244" s="22" t="s">
        <v>70</v>
      </c>
      <c r="AR244" s="22" t="s">
        <v>67</v>
      </c>
      <c r="AT244" s="22" t="s">
        <v>16166</v>
      </c>
      <c r="AU244" s="22" t="s">
        <v>145</v>
      </c>
      <c r="AV244" s="22" t="s">
        <v>70</v>
      </c>
      <c r="AW244" s="22" t="s">
        <v>67</v>
      </c>
      <c r="AY244" s="22" t="s">
        <v>16167</v>
      </c>
      <c r="AZ244" s="22" t="s">
        <v>145</v>
      </c>
      <c r="BA244" s="22" t="s">
        <v>70</v>
      </c>
      <c r="BB244" s="22" t="s">
        <v>67</v>
      </c>
      <c r="BD244" s="22" t="s">
        <v>16168</v>
      </c>
      <c r="BE244" s="22" t="s">
        <v>145</v>
      </c>
      <c r="BF244" s="22" t="s">
        <v>70</v>
      </c>
      <c r="BG244" s="22" t="s">
        <v>67</v>
      </c>
      <c r="BI244" s="22" t="s">
        <v>16169</v>
      </c>
      <c r="BJ244" s="22" t="s">
        <v>145</v>
      </c>
      <c r="BK244" s="22" t="s">
        <v>70</v>
      </c>
      <c r="BL244" s="22" t="s">
        <v>67</v>
      </c>
      <c r="BN244" s="22" t="s">
        <v>16170</v>
      </c>
      <c r="BO244" s="22" t="s">
        <v>145</v>
      </c>
      <c r="BP244" s="22" t="s">
        <v>70</v>
      </c>
      <c r="BQ244" s="22" t="s">
        <v>67</v>
      </c>
      <c r="BS244" s="22" t="s">
        <v>16171</v>
      </c>
      <c r="BT244" s="22" t="s">
        <v>145</v>
      </c>
      <c r="BU244" s="22" t="s">
        <v>70</v>
      </c>
      <c r="BV244" s="214" t="s">
        <v>530</v>
      </c>
      <c r="BX244" s="22" t="s">
        <v>16172</v>
      </c>
      <c r="BY244" s="22" t="s">
        <v>145</v>
      </c>
      <c r="BZ244" s="22" t="s">
        <v>70</v>
      </c>
      <c r="CA244" s="214" t="s">
        <v>530</v>
      </c>
      <c r="CC244" s="214" t="s">
        <v>16173</v>
      </c>
      <c r="CD244" s="218" t="s">
        <v>145</v>
      </c>
      <c r="CE244" s="214" t="s">
        <v>70</v>
      </c>
      <c r="CF244" s="214" t="s">
        <v>697</v>
      </c>
      <c r="CH244" s="214" t="s">
        <v>16174</v>
      </c>
      <c r="CI244" s="214" t="s">
        <v>921</v>
      </c>
      <c r="CJ244" s="214" t="s">
        <v>70</v>
      </c>
      <c r="CK244" s="214" t="s">
        <v>530</v>
      </c>
      <c r="CM244" s="214" t="s">
        <v>16175</v>
      </c>
      <c r="CN244" s="214" t="s">
        <v>92</v>
      </c>
      <c r="CO244" s="214" t="s">
        <v>70</v>
      </c>
      <c r="CP244" s="214" t="s">
        <v>530</v>
      </c>
      <c r="CR244" s="214" t="s">
        <v>16176</v>
      </c>
      <c r="CS244" s="214" t="s">
        <v>52</v>
      </c>
      <c r="CT244" s="214" t="s">
        <v>70</v>
      </c>
      <c r="CU244" s="214" t="s">
        <v>530</v>
      </c>
      <c r="CW244" s="214" t="s">
        <v>16177</v>
      </c>
      <c r="CX244" s="214" t="s">
        <v>34540</v>
      </c>
      <c r="CY244" s="214" t="s">
        <v>70</v>
      </c>
      <c r="CZ244" s="214" t="s">
        <v>530</v>
      </c>
      <c r="DB244" s="214" t="s">
        <v>16178</v>
      </c>
      <c r="DC244" s="214" t="s">
        <v>10541</v>
      </c>
      <c r="DD244" s="214" t="s">
        <v>70</v>
      </c>
      <c r="DE244" s="214" t="s">
        <v>530</v>
      </c>
      <c r="DG244" s="214" t="s">
        <v>16179</v>
      </c>
      <c r="DH244" s="214" t="s">
        <v>490</v>
      </c>
      <c r="DI244" s="214" t="s">
        <v>70</v>
      </c>
      <c r="DJ244" s="214" t="s">
        <v>530</v>
      </c>
      <c r="DL244" s="214" t="s">
        <v>16180</v>
      </c>
      <c r="DM244" s="214" t="s">
        <v>655</v>
      </c>
      <c r="DN244" s="214" t="s">
        <v>70</v>
      </c>
      <c r="DO244" s="214" t="s">
        <v>530</v>
      </c>
      <c r="DQ244" s="214" t="s">
        <v>16181</v>
      </c>
      <c r="DR244" s="214" t="s">
        <v>481</v>
      </c>
      <c r="DS244" s="214" t="s">
        <v>70</v>
      </c>
      <c r="DT244" s="214" t="s">
        <v>530</v>
      </c>
      <c r="DV244" s="214" t="s">
        <v>16182</v>
      </c>
      <c r="DW244" s="214" t="s">
        <v>599</v>
      </c>
      <c r="DX244" s="214" t="s">
        <v>70</v>
      </c>
      <c r="DY244" s="214" t="s">
        <v>530</v>
      </c>
      <c r="EA244" s="214" t="s">
        <v>16183</v>
      </c>
      <c r="EB244" s="214" t="s">
        <v>942</v>
      </c>
      <c r="EC244" s="214" t="s">
        <v>70</v>
      </c>
      <c r="ED244" s="214" t="s">
        <v>530</v>
      </c>
      <c r="EF244" s="214" t="s">
        <v>16184</v>
      </c>
      <c r="EG244" s="214" t="s">
        <v>163</v>
      </c>
      <c r="EH244" s="214" t="s">
        <v>70</v>
      </c>
      <c r="EI244" s="214" t="s">
        <v>530</v>
      </c>
      <c r="EK244" s="214" t="s">
        <v>16185</v>
      </c>
      <c r="EL244" s="214" t="s">
        <v>87</v>
      </c>
      <c r="EM244" s="214" t="s">
        <v>70</v>
      </c>
      <c r="EN244" s="214" t="s">
        <v>530</v>
      </c>
      <c r="EP244" s="214" t="s">
        <v>16186</v>
      </c>
      <c r="EQ244" s="214" t="s">
        <v>163</v>
      </c>
      <c r="ER244" s="214" t="s">
        <v>70</v>
      </c>
      <c r="ES244" s="214" t="s">
        <v>530</v>
      </c>
      <c r="EU244" s="214" t="s">
        <v>16187</v>
      </c>
      <c r="EV244" s="214" t="s">
        <v>798</v>
      </c>
      <c r="EW244" s="214" t="s">
        <v>70</v>
      </c>
      <c r="EX244" s="214" t="s">
        <v>530</v>
      </c>
      <c r="EZ244" s="214" t="s">
        <v>16188</v>
      </c>
      <c r="FA244" s="214" t="s">
        <v>52</v>
      </c>
      <c r="FB244" s="214" t="s">
        <v>70</v>
      </c>
      <c r="FC244" s="214" t="s">
        <v>530</v>
      </c>
      <c r="FE244" s="214" t="s">
        <v>16189</v>
      </c>
      <c r="FF244" s="214" t="s">
        <v>90</v>
      </c>
      <c r="FG244" s="214" t="s">
        <v>70</v>
      </c>
      <c r="FH244" s="214" t="s">
        <v>530</v>
      </c>
      <c r="FJ244" s="321" t="s">
        <v>16190</v>
      </c>
      <c r="FK244" s="214" t="s">
        <v>34547</v>
      </c>
      <c r="FL244" s="214" t="s">
        <v>70</v>
      </c>
      <c r="FM244" s="214" t="s">
        <v>530</v>
      </c>
      <c r="FO244" s="321" t="s">
        <v>16191</v>
      </c>
      <c r="FP244" s="214" t="s">
        <v>34639</v>
      </c>
      <c r="FQ244" s="214" t="s">
        <v>70</v>
      </c>
      <c r="FR244" s="214" t="s">
        <v>530</v>
      </c>
      <c r="FT244" s="321" t="s">
        <v>16192</v>
      </c>
      <c r="FU244" s="214" t="s">
        <v>529</v>
      </c>
      <c r="FV244" s="214" t="s">
        <v>70</v>
      </c>
      <c r="FW244" s="214" t="s">
        <v>530</v>
      </c>
      <c r="FY244" s="321" t="s">
        <v>16193</v>
      </c>
      <c r="FZ244" s="214" t="s">
        <v>88</v>
      </c>
      <c r="GA244" s="214" t="s">
        <v>70</v>
      </c>
      <c r="GB244" s="214" t="s">
        <v>530</v>
      </c>
      <c r="GD244" s="321" t="s">
        <v>16194</v>
      </c>
      <c r="GE244" s="214" t="s">
        <v>163</v>
      </c>
      <c r="GF244" s="214" t="s">
        <v>70</v>
      </c>
      <c r="GG244" s="214" t="s">
        <v>530</v>
      </c>
      <c r="GI244" s="321" t="s">
        <v>16195</v>
      </c>
      <c r="GJ244" s="214" t="s">
        <v>164</v>
      </c>
      <c r="GK244" s="214" t="s">
        <v>70</v>
      </c>
      <c r="GL244" s="214" t="s">
        <v>530</v>
      </c>
      <c r="GN244" s="321" t="s">
        <v>16196</v>
      </c>
      <c r="GO244" s="214" t="s">
        <v>52</v>
      </c>
      <c r="GP244" s="214" t="s">
        <v>70</v>
      </c>
      <c r="GQ244" s="214" t="s">
        <v>530</v>
      </c>
      <c r="GS244" s="321" t="s">
        <v>16197</v>
      </c>
      <c r="GT244" s="214" t="s">
        <v>468</v>
      </c>
      <c r="GU244" s="214" t="s">
        <v>70</v>
      </c>
      <c r="GV244" s="214" t="s">
        <v>530</v>
      </c>
      <c r="GX244" s="214" t="s">
        <v>16198</v>
      </c>
      <c r="GY244" s="214" t="s">
        <v>467</v>
      </c>
      <c r="GZ244" s="214" t="s">
        <v>70</v>
      </c>
      <c r="HA244" s="214" t="s">
        <v>530</v>
      </c>
      <c r="HC244" s="214" t="s">
        <v>16199</v>
      </c>
      <c r="HD244" s="214" t="s">
        <v>88</v>
      </c>
      <c r="HE244" s="214" t="s">
        <v>70</v>
      </c>
      <c r="HF244" s="214" t="s">
        <v>530</v>
      </c>
      <c r="HH244" s="214" t="s">
        <v>16200</v>
      </c>
      <c r="HI244" s="214" t="s">
        <v>90</v>
      </c>
      <c r="HJ244" s="214" t="s">
        <v>70</v>
      </c>
      <c r="HK244" s="214" t="s">
        <v>530</v>
      </c>
      <c r="HM244" s="214" t="s">
        <v>16201</v>
      </c>
      <c r="HN244" s="214" t="s">
        <v>148</v>
      </c>
      <c r="HO244" s="214" t="s">
        <v>70</v>
      </c>
      <c r="HP244" s="214" t="s">
        <v>530</v>
      </c>
      <c r="HR244" s="22" t="s">
        <v>16202</v>
      </c>
      <c r="HS244" s="22" t="s">
        <v>145</v>
      </c>
      <c r="HT244" s="22" t="s">
        <v>70</v>
      </c>
      <c r="HU244" s="214" t="s">
        <v>530</v>
      </c>
      <c r="HW244" s="22" t="s">
        <v>16203</v>
      </c>
      <c r="HX244" s="22" t="s">
        <v>600</v>
      </c>
      <c r="HY244" s="22" t="s">
        <v>70</v>
      </c>
      <c r="HZ244" s="214" t="s">
        <v>530</v>
      </c>
      <c r="IB244" s="22" t="s">
        <v>16204</v>
      </c>
      <c r="IC244" s="22" t="s">
        <v>88</v>
      </c>
      <c r="ID244" s="22" t="s">
        <v>70</v>
      </c>
      <c r="IE244" s="214" t="s">
        <v>530</v>
      </c>
      <c r="IG244" s="22" t="s">
        <v>16205</v>
      </c>
      <c r="IH244" s="22" t="s">
        <v>52</v>
      </c>
      <c r="II244" s="22" t="s">
        <v>70</v>
      </c>
      <c r="IJ244" s="214" t="s">
        <v>530</v>
      </c>
      <c r="IL244" s="22" t="s">
        <v>16206</v>
      </c>
      <c r="IM244" s="22" t="s">
        <v>145</v>
      </c>
      <c r="IN244" s="22" t="s">
        <v>70</v>
      </c>
      <c r="IO244" s="214" t="s">
        <v>530</v>
      </c>
      <c r="IQ244" s="236" t="s">
        <v>16207</v>
      </c>
      <c r="IR244" s="236" t="s">
        <v>145</v>
      </c>
      <c r="IS244" s="236" t="s">
        <v>74</v>
      </c>
      <c r="IT244" s="236" t="s">
        <v>841</v>
      </c>
      <c r="IV244" s="236" t="s">
        <v>16208</v>
      </c>
      <c r="IW244" s="236" t="s">
        <v>145</v>
      </c>
      <c r="IX244" s="236" t="s">
        <v>74</v>
      </c>
      <c r="IY244" s="236" t="s">
        <v>841</v>
      </c>
      <c r="JA244" s="236" t="s">
        <v>16209</v>
      </c>
      <c r="JB244" s="236" t="s">
        <v>145</v>
      </c>
      <c r="JC244" s="236" t="s">
        <v>74</v>
      </c>
      <c r="JD244" s="236" t="s">
        <v>841</v>
      </c>
      <c r="JF244" s="236" t="s">
        <v>16210</v>
      </c>
      <c r="JG244" s="236" t="s">
        <v>145</v>
      </c>
      <c r="JH244" s="236" t="s">
        <v>74</v>
      </c>
      <c r="JI244" s="236" t="s">
        <v>841</v>
      </c>
      <c r="JK244" s="236" t="s">
        <v>16211</v>
      </c>
      <c r="JL244" s="236" t="s">
        <v>145</v>
      </c>
      <c r="JM244" s="236" t="s">
        <v>74</v>
      </c>
      <c r="JN244" s="236" t="s">
        <v>841</v>
      </c>
      <c r="JP244" s="236" t="s">
        <v>16212</v>
      </c>
      <c r="JQ244" s="236" t="s">
        <v>145</v>
      </c>
      <c r="JR244" s="236" t="s">
        <v>74</v>
      </c>
      <c r="JS244" s="236" t="s">
        <v>841</v>
      </c>
      <c r="JU244" s="294" t="s">
        <v>16213</v>
      </c>
      <c r="JV244" s="294" t="s">
        <v>52</v>
      </c>
      <c r="JW244" s="263" t="s">
        <v>70</v>
      </c>
      <c r="JX244" s="294" t="s">
        <v>1083</v>
      </c>
      <c r="JZ244" s="263" t="s">
        <v>16214</v>
      </c>
      <c r="KA244" s="263" t="s">
        <v>145</v>
      </c>
      <c r="KB244" s="263" t="s">
        <v>70</v>
      </c>
      <c r="KC244" s="263" t="s">
        <v>1083</v>
      </c>
      <c r="KE244" s="263" t="s">
        <v>16215</v>
      </c>
      <c r="KF244" s="263" t="s">
        <v>52</v>
      </c>
      <c r="KG244" s="263" t="s">
        <v>70</v>
      </c>
      <c r="KH244" s="263" t="s">
        <v>1083</v>
      </c>
      <c r="KJ244" s="263" t="s">
        <v>16216</v>
      </c>
      <c r="KK244" s="263" t="s">
        <v>52</v>
      </c>
      <c r="KL244" s="263" t="s">
        <v>74</v>
      </c>
      <c r="KM244" s="263" t="s">
        <v>34074</v>
      </c>
      <c r="KO244" s="214" t="s">
        <v>16217</v>
      </c>
      <c r="KP244" s="214" t="s">
        <v>145</v>
      </c>
      <c r="KQ244" s="214" t="s">
        <v>70</v>
      </c>
      <c r="KR244" s="214" t="s">
        <v>67</v>
      </c>
      <c r="KT244" s="22" t="s">
        <v>16218</v>
      </c>
      <c r="KU244" s="22" t="s">
        <v>145</v>
      </c>
      <c r="KV244" s="22" t="s">
        <v>70</v>
      </c>
      <c r="KW244" s="22" t="s">
        <v>67</v>
      </c>
      <c r="KY244" s="214" t="s">
        <v>16219</v>
      </c>
      <c r="KZ244" s="214" t="s">
        <v>52</v>
      </c>
      <c r="LA244" s="214" t="s">
        <v>74</v>
      </c>
      <c r="LB244" s="214" t="s">
        <v>67</v>
      </c>
      <c r="LD244" s="22" t="s">
        <v>16220</v>
      </c>
      <c r="LE244" s="22" t="s">
        <v>145</v>
      </c>
      <c r="LF244" s="22" t="s">
        <v>70</v>
      </c>
      <c r="LG244" s="22" t="s">
        <v>67</v>
      </c>
    </row>
    <row r="245" spans="1:319">
      <c r="A245" s="22" t="s">
        <v>16221</v>
      </c>
      <c r="B245" s="22" t="s">
        <v>145</v>
      </c>
      <c r="C245" s="22" t="s">
        <v>70</v>
      </c>
      <c r="D245" s="22" t="s">
        <v>67</v>
      </c>
      <c r="F245" s="73" t="s">
        <v>16222</v>
      </c>
      <c r="G245" s="22" t="s">
        <v>145</v>
      </c>
      <c r="H245" s="22" t="s">
        <v>70</v>
      </c>
      <c r="I245" s="22" t="s">
        <v>67</v>
      </c>
      <c r="K245" s="22" t="s">
        <v>16223</v>
      </c>
      <c r="L245" s="22" t="s">
        <v>145</v>
      </c>
      <c r="M245" s="22" t="s">
        <v>70</v>
      </c>
      <c r="N245" s="22" t="s">
        <v>67</v>
      </c>
      <c r="P245" s="22" t="s">
        <v>16224</v>
      </c>
      <c r="Q245" s="22" t="s">
        <v>145</v>
      </c>
      <c r="R245" s="22" t="s">
        <v>70</v>
      </c>
      <c r="S245" s="22" t="s">
        <v>67</v>
      </c>
      <c r="U245" s="293" t="s">
        <v>16225</v>
      </c>
      <c r="V245" s="293" t="s">
        <v>145</v>
      </c>
      <c r="W245" s="293" t="s">
        <v>74</v>
      </c>
      <c r="X245" s="293" t="s">
        <v>656</v>
      </c>
      <c r="Z245" s="293" t="s">
        <v>16226</v>
      </c>
      <c r="AA245" s="293" t="s">
        <v>145</v>
      </c>
      <c r="AB245" s="293" t="s">
        <v>74</v>
      </c>
      <c r="AC245" s="293" t="s">
        <v>656</v>
      </c>
      <c r="AE245" s="293" t="s">
        <v>16227</v>
      </c>
      <c r="AF245" s="293" t="s">
        <v>145</v>
      </c>
      <c r="AG245" s="293" t="s">
        <v>74</v>
      </c>
      <c r="AH245" s="293" t="s">
        <v>656</v>
      </c>
      <c r="AJ245" s="293" t="s">
        <v>16228</v>
      </c>
      <c r="AK245" s="293" t="s">
        <v>145</v>
      </c>
      <c r="AL245" s="293" t="s">
        <v>74</v>
      </c>
      <c r="AM245" s="293" t="s">
        <v>656</v>
      </c>
      <c r="AO245" s="22" t="s">
        <v>16229</v>
      </c>
      <c r="AP245" s="22" t="s">
        <v>145</v>
      </c>
      <c r="AQ245" s="22" t="s">
        <v>70</v>
      </c>
      <c r="AR245" s="22" t="s">
        <v>67</v>
      </c>
      <c r="AT245" s="22" t="s">
        <v>16230</v>
      </c>
      <c r="AU245" s="22" t="s">
        <v>145</v>
      </c>
      <c r="AV245" s="22" t="s">
        <v>70</v>
      </c>
      <c r="AW245" s="22" t="s">
        <v>67</v>
      </c>
      <c r="AY245" s="22" t="s">
        <v>16231</v>
      </c>
      <c r="AZ245" s="22" t="s">
        <v>145</v>
      </c>
      <c r="BA245" s="22" t="s">
        <v>70</v>
      </c>
      <c r="BB245" s="22" t="s">
        <v>67</v>
      </c>
      <c r="BD245" s="22" t="s">
        <v>16232</v>
      </c>
      <c r="BE245" s="22" t="s">
        <v>145</v>
      </c>
      <c r="BF245" s="22" t="s">
        <v>70</v>
      </c>
      <c r="BG245" s="22" t="s">
        <v>67</v>
      </c>
      <c r="BI245" s="22" t="s">
        <v>16233</v>
      </c>
      <c r="BJ245" s="22" t="s">
        <v>145</v>
      </c>
      <c r="BK245" s="22" t="s">
        <v>70</v>
      </c>
      <c r="BL245" s="22" t="s">
        <v>67</v>
      </c>
      <c r="BN245" s="22" t="s">
        <v>16234</v>
      </c>
      <c r="BO245" s="22" t="s">
        <v>145</v>
      </c>
      <c r="BP245" s="22" t="s">
        <v>70</v>
      </c>
      <c r="BQ245" s="22" t="s">
        <v>67</v>
      </c>
      <c r="BS245" s="22" t="s">
        <v>16235</v>
      </c>
      <c r="BT245" s="22" t="s">
        <v>145</v>
      </c>
      <c r="BU245" s="22" t="s">
        <v>70</v>
      </c>
      <c r="BV245" s="214" t="s">
        <v>530</v>
      </c>
      <c r="BX245" s="22" t="s">
        <v>16236</v>
      </c>
      <c r="BY245" s="22" t="s">
        <v>145</v>
      </c>
      <c r="BZ245" s="22" t="s">
        <v>70</v>
      </c>
      <c r="CA245" s="214" t="s">
        <v>530</v>
      </c>
      <c r="CC245" s="214" t="s">
        <v>16237</v>
      </c>
      <c r="CD245" s="218" t="s">
        <v>145</v>
      </c>
      <c r="CE245" s="214" t="s">
        <v>70</v>
      </c>
      <c r="CF245" s="214" t="s">
        <v>698</v>
      </c>
      <c r="CH245" s="214" t="s">
        <v>16238</v>
      </c>
      <c r="CI245" s="214" t="s">
        <v>926</v>
      </c>
      <c r="CJ245" s="214" t="s">
        <v>70</v>
      </c>
      <c r="CK245" s="214" t="s">
        <v>530</v>
      </c>
      <c r="CM245" s="214" t="s">
        <v>16239</v>
      </c>
      <c r="CN245" s="214" t="s">
        <v>486</v>
      </c>
      <c r="CO245" s="214" t="s">
        <v>70</v>
      </c>
      <c r="CP245" s="214" t="s">
        <v>530</v>
      </c>
      <c r="CR245" s="214" t="s">
        <v>16240</v>
      </c>
      <c r="CS245" s="214" t="s">
        <v>52</v>
      </c>
      <c r="CT245" s="214" t="s">
        <v>70</v>
      </c>
      <c r="CU245" s="214" t="s">
        <v>530</v>
      </c>
      <c r="CW245" s="214" t="s">
        <v>16241</v>
      </c>
      <c r="CX245" s="214" t="s">
        <v>146</v>
      </c>
      <c r="CY245" s="214" t="s">
        <v>70</v>
      </c>
      <c r="CZ245" s="214" t="s">
        <v>530</v>
      </c>
      <c r="DB245" s="214" t="s">
        <v>16242</v>
      </c>
      <c r="DC245" s="214" t="s">
        <v>955</v>
      </c>
      <c r="DD245" s="214" t="s">
        <v>70</v>
      </c>
      <c r="DE245" s="214" t="s">
        <v>530</v>
      </c>
      <c r="DG245" s="214" t="s">
        <v>16243</v>
      </c>
      <c r="DH245" s="214" t="s">
        <v>88</v>
      </c>
      <c r="DI245" s="214" t="s">
        <v>70</v>
      </c>
      <c r="DJ245" s="214" t="s">
        <v>530</v>
      </c>
      <c r="DL245" s="214" t="s">
        <v>16244</v>
      </c>
      <c r="DM245" s="214" t="s">
        <v>500</v>
      </c>
      <c r="DN245" s="214" t="s">
        <v>70</v>
      </c>
      <c r="DO245" s="214" t="s">
        <v>530</v>
      </c>
      <c r="DQ245" s="214" t="s">
        <v>16245</v>
      </c>
      <c r="DR245" s="214" t="s">
        <v>468</v>
      </c>
      <c r="DS245" s="214" t="s">
        <v>70</v>
      </c>
      <c r="DT245" s="214" t="s">
        <v>530</v>
      </c>
      <c r="DV245" s="214" t="s">
        <v>16246</v>
      </c>
      <c r="DW245" s="214" t="s">
        <v>502</v>
      </c>
      <c r="DX245" s="214" t="s">
        <v>70</v>
      </c>
      <c r="DY245" s="214" t="s">
        <v>530</v>
      </c>
      <c r="EA245" s="214" t="s">
        <v>16247</v>
      </c>
      <c r="EB245" s="214" t="s">
        <v>496</v>
      </c>
      <c r="EC245" s="214" t="s">
        <v>70</v>
      </c>
      <c r="ED245" s="214" t="s">
        <v>530</v>
      </c>
      <c r="EF245" s="214" t="s">
        <v>16248</v>
      </c>
      <c r="EG245" s="214" t="s">
        <v>496</v>
      </c>
      <c r="EH245" s="214" t="s">
        <v>70</v>
      </c>
      <c r="EI245" s="214" t="s">
        <v>530</v>
      </c>
      <c r="EK245" s="214" t="s">
        <v>16249</v>
      </c>
      <c r="EL245" s="214" t="s">
        <v>34542</v>
      </c>
      <c r="EM245" s="214" t="s">
        <v>70</v>
      </c>
      <c r="EN245" s="214" t="s">
        <v>530</v>
      </c>
      <c r="EP245" s="214" t="s">
        <v>16250</v>
      </c>
      <c r="EQ245" s="214" t="s">
        <v>34542</v>
      </c>
      <c r="ER245" s="214" t="s">
        <v>70</v>
      </c>
      <c r="ES245" s="214" t="s">
        <v>530</v>
      </c>
      <c r="EU245" s="214" t="s">
        <v>16251</v>
      </c>
      <c r="EV245" s="214" t="s">
        <v>52</v>
      </c>
      <c r="EW245" s="214" t="s">
        <v>70</v>
      </c>
      <c r="EX245" s="214" t="s">
        <v>530</v>
      </c>
      <c r="EZ245" s="214" t="s">
        <v>16252</v>
      </c>
      <c r="FA245" s="214" t="s">
        <v>484</v>
      </c>
      <c r="FB245" s="214" t="s">
        <v>70</v>
      </c>
      <c r="FC245" s="214" t="s">
        <v>530</v>
      </c>
      <c r="FE245" s="214" t="s">
        <v>16253</v>
      </c>
      <c r="FF245" s="214" t="s">
        <v>487</v>
      </c>
      <c r="FG245" s="214" t="s">
        <v>70</v>
      </c>
      <c r="FH245" s="214" t="s">
        <v>530</v>
      </c>
      <c r="FJ245" s="321" t="s">
        <v>16254</v>
      </c>
      <c r="FK245" s="214" t="s">
        <v>52</v>
      </c>
      <c r="FL245" s="214" t="s">
        <v>70</v>
      </c>
      <c r="FM245" s="214" t="s">
        <v>530</v>
      </c>
      <c r="FO245" s="321" t="s">
        <v>16255</v>
      </c>
      <c r="FP245" s="214" t="s">
        <v>34556</v>
      </c>
      <c r="FQ245" s="214" t="s">
        <v>70</v>
      </c>
      <c r="FR245" s="214" t="s">
        <v>530</v>
      </c>
      <c r="FT245" s="321" t="s">
        <v>16256</v>
      </c>
      <c r="FU245" s="214" t="s">
        <v>149</v>
      </c>
      <c r="FV245" s="214" t="s">
        <v>70</v>
      </c>
      <c r="FW245" s="214" t="s">
        <v>530</v>
      </c>
      <c r="FY245" s="321" t="s">
        <v>16257</v>
      </c>
      <c r="FZ245" s="214" t="s">
        <v>502</v>
      </c>
      <c r="GA245" s="214" t="s">
        <v>70</v>
      </c>
      <c r="GB245" s="214" t="s">
        <v>530</v>
      </c>
      <c r="GD245" s="321" t="s">
        <v>16258</v>
      </c>
      <c r="GE245" s="214" t="s">
        <v>952</v>
      </c>
      <c r="GF245" s="214" t="s">
        <v>70</v>
      </c>
      <c r="GG245" s="214" t="s">
        <v>530</v>
      </c>
      <c r="GI245" s="321" t="s">
        <v>16259</v>
      </c>
      <c r="GJ245" s="214" t="s">
        <v>485</v>
      </c>
      <c r="GK245" s="214" t="s">
        <v>70</v>
      </c>
      <c r="GL245" s="214" t="s">
        <v>530</v>
      </c>
      <c r="GN245" s="321" t="s">
        <v>16260</v>
      </c>
      <c r="GO245" s="214" t="s">
        <v>52</v>
      </c>
      <c r="GP245" s="214" t="s">
        <v>70</v>
      </c>
      <c r="GQ245" s="214" t="s">
        <v>530</v>
      </c>
      <c r="GS245" s="321" t="s">
        <v>16261</v>
      </c>
      <c r="GT245" s="214" t="s">
        <v>52</v>
      </c>
      <c r="GU245" s="214" t="s">
        <v>70</v>
      </c>
      <c r="GV245" s="214" t="s">
        <v>530</v>
      </c>
      <c r="GX245" s="214" t="s">
        <v>16262</v>
      </c>
      <c r="GY245" s="214" t="s">
        <v>491</v>
      </c>
      <c r="GZ245" s="214" t="s">
        <v>70</v>
      </c>
      <c r="HA245" s="214" t="s">
        <v>530</v>
      </c>
      <c r="HC245" s="214" t="s">
        <v>16263</v>
      </c>
      <c r="HD245" s="214" t="s">
        <v>146</v>
      </c>
      <c r="HE245" s="214" t="s">
        <v>70</v>
      </c>
      <c r="HF245" s="214" t="s">
        <v>530</v>
      </c>
      <c r="HH245" s="214" t="s">
        <v>16264</v>
      </c>
      <c r="HI245" s="214" t="s">
        <v>34540</v>
      </c>
      <c r="HJ245" s="214" t="s">
        <v>70</v>
      </c>
      <c r="HK245" s="214" t="s">
        <v>530</v>
      </c>
      <c r="HM245" s="214" t="s">
        <v>16265</v>
      </c>
      <c r="HN245" s="214" t="s">
        <v>598</v>
      </c>
      <c r="HO245" s="214" t="s">
        <v>70</v>
      </c>
      <c r="HP245" s="214" t="s">
        <v>530</v>
      </c>
      <c r="HR245" s="22" t="s">
        <v>16266</v>
      </c>
      <c r="HS245" s="22" t="s">
        <v>919</v>
      </c>
      <c r="HT245" s="22" t="s">
        <v>70</v>
      </c>
      <c r="HU245" s="214" t="s">
        <v>530</v>
      </c>
      <c r="HW245" s="22" t="s">
        <v>16267</v>
      </c>
      <c r="HX245" s="22" t="s">
        <v>93</v>
      </c>
      <c r="HY245" s="22" t="s">
        <v>70</v>
      </c>
      <c r="HZ245" s="214" t="s">
        <v>530</v>
      </c>
      <c r="IB245" s="22" t="s">
        <v>16268</v>
      </c>
      <c r="IC245" s="22" t="s">
        <v>468</v>
      </c>
      <c r="ID245" s="22" t="s">
        <v>70</v>
      </c>
      <c r="IE245" s="214" t="s">
        <v>530</v>
      </c>
      <c r="IG245" s="22" t="s">
        <v>16269</v>
      </c>
      <c r="IH245" s="22" t="s">
        <v>52</v>
      </c>
      <c r="II245" s="22" t="s">
        <v>70</v>
      </c>
      <c r="IJ245" s="214" t="s">
        <v>530</v>
      </c>
      <c r="IL245" s="22" t="s">
        <v>16270</v>
      </c>
      <c r="IM245" s="22" t="s">
        <v>145</v>
      </c>
      <c r="IN245" s="22" t="s">
        <v>70</v>
      </c>
      <c r="IO245" s="214" t="s">
        <v>530</v>
      </c>
      <c r="IQ245" s="236" t="s">
        <v>16271</v>
      </c>
      <c r="IR245" s="236" t="s">
        <v>145</v>
      </c>
      <c r="IS245" s="236" t="s">
        <v>74</v>
      </c>
      <c r="IT245" s="236" t="s">
        <v>841</v>
      </c>
      <c r="IV245" s="236" t="s">
        <v>16272</v>
      </c>
      <c r="IW245" s="236" t="s">
        <v>145</v>
      </c>
      <c r="IX245" s="236" t="s">
        <v>74</v>
      </c>
      <c r="IY245" s="236" t="s">
        <v>841</v>
      </c>
      <c r="JA245" s="236" t="s">
        <v>16273</v>
      </c>
      <c r="JB245" s="236" t="s">
        <v>145</v>
      </c>
      <c r="JC245" s="236" t="s">
        <v>74</v>
      </c>
      <c r="JD245" s="236" t="s">
        <v>841</v>
      </c>
      <c r="JF245" s="236" t="s">
        <v>16274</v>
      </c>
      <c r="JG245" s="236" t="s">
        <v>145</v>
      </c>
      <c r="JH245" s="236" t="s">
        <v>74</v>
      </c>
      <c r="JI245" s="236" t="s">
        <v>841</v>
      </c>
      <c r="JK245" s="236" t="s">
        <v>16275</v>
      </c>
      <c r="JL245" s="236" t="s">
        <v>145</v>
      </c>
      <c r="JM245" s="236" t="s">
        <v>74</v>
      </c>
      <c r="JN245" s="236" t="s">
        <v>841</v>
      </c>
      <c r="JP245" s="236" t="s">
        <v>16276</v>
      </c>
      <c r="JQ245" s="236" t="s">
        <v>145</v>
      </c>
      <c r="JR245" s="236" t="s">
        <v>74</v>
      </c>
      <c r="JS245" s="236" t="s">
        <v>841</v>
      </c>
      <c r="JU245" s="294" t="s">
        <v>16277</v>
      </c>
      <c r="JV245" s="294" t="s">
        <v>52</v>
      </c>
      <c r="JW245" s="263" t="s">
        <v>70</v>
      </c>
      <c r="JX245" s="294" t="s">
        <v>1083</v>
      </c>
      <c r="JZ245" s="263" t="s">
        <v>16278</v>
      </c>
      <c r="KA245" s="263" t="s">
        <v>145</v>
      </c>
      <c r="KB245" s="263" t="s">
        <v>70</v>
      </c>
      <c r="KC245" s="263" t="s">
        <v>1083</v>
      </c>
      <c r="KE245" s="263" t="s">
        <v>16279</v>
      </c>
      <c r="KF245" s="263" t="s">
        <v>52</v>
      </c>
      <c r="KG245" s="263" t="s">
        <v>70</v>
      </c>
      <c r="KH245" s="263" t="s">
        <v>1083</v>
      </c>
      <c r="KJ245" s="263" t="s">
        <v>16280</v>
      </c>
      <c r="KK245" s="263" t="s">
        <v>52</v>
      </c>
      <c r="KL245" s="263" t="s">
        <v>74</v>
      </c>
      <c r="KM245" s="263" t="s">
        <v>34074</v>
      </c>
      <c r="KO245" s="214" t="s">
        <v>16281</v>
      </c>
      <c r="KP245" s="214" t="s">
        <v>145</v>
      </c>
      <c r="KQ245" s="214" t="s">
        <v>70</v>
      </c>
      <c r="KR245" s="214" t="s">
        <v>67</v>
      </c>
      <c r="KT245" s="22" t="s">
        <v>16282</v>
      </c>
      <c r="KU245" s="22" t="s">
        <v>145</v>
      </c>
      <c r="KV245" s="22" t="s">
        <v>70</v>
      </c>
      <c r="KW245" s="22" t="s">
        <v>67</v>
      </c>
      <c r="KY245" s="214" t="s">
        <v>16283</v>
      </c>
      <c r="KZ245" s="214" t="s">
        <v>52</v>
      </c>
      <c r="LA245" s="214" t="s">
        <v>74</v>
      </c>
      <c r="LB245" s="214" t="s">
        <v>67</v>
      </c>
      <c r="LD245" s="22" t="s">
        <v>16284</v>
      </c>
      <c r="LE245" s="22" t="s">
        <v>145</v>
      </c>
      <c r="LF245" s="22" t="s">
        <v>70</v>
      </c>
      <c r="LG245" s="22" t="s">
        <v>67</v>
      </c>
    </row>
    <row r="246" spans="1:319">
      <c r="A246" s="22" t="s">
        <v>16285</v>
      </c>
      <c r="B246" s="22" t="s">
        <v>145</v>
      </c>
      <c r="C246" s="22" t="s">
        <v>70</v>
      </c>
      <c r="D246" s="22" t="s">
        <v>67</v>
      </c>
      <c r="F246" s="73" t="s">
        <v>16286</v>
      </c>
      <c r="G246" s="22" t="s">
        <v>145</v>
      </c>
      <c r="H246" s="22" t="s">
        <v>70</v>
      </c>
      <c r="I246" s="22" t="s">
        <v>67</v>
      </c>
      <c r="K246" s="22" t="s">
        <v>16287</v>
      </c>
      <c r="L246" s="22" t="s">
        <v>145</v>
      </c>
      <c r="M246" s="22" t="s">
        <v>70</v>
      </c>
      <c r="N246" s="22" t="s">
        <v>67</v>
      </c>
      <c r="P246" s="22" t="s">
        <v>16288</v>
      </c>
      <c r="Q246" s="22" t="s">
        <v>145</v>
      </c>
      <c r="R246" s="22" t="s">
        <v>70</v>
      </c>
      <c r="S246" s="22" t="s">
        <v>67</v>
      </c>
      <c r="U246" s="293" t="s">
        <v>16289</v>
      </c>
      <c r="V246" s="293" t="s">
        <v>145</v>
      </c>
      <c r="W246" s="293" t="s">
        <v>74</v>
      </c>
      <c r="X246" s="293" t="s">
        <v>656</v>
      </c>
      <c r="Z246" s="293" t="s">
        <v>16290</v>
      </c>
      <c r="AA246" s="293" t="s">
        <v>145</v>
      </c>
      <c r="AB246" s="293" t="s">
        <v>74</v>
      </c>
      <c r="AC246" s="293" t="s">
        <v>656</v>
      </c>
      <c r="AE246" s="293" t="s">
        <v>16291</v>
      </c>
      <c r="AF246" s="293" t="s">
        <v>145</v>
      </c>
      <c r="AG246" s="293" t="s">
        <v>74</v>
      </c>
      <c r="AH246" s="293" t="s">
        <v>656</v>
      </c>
      <c r="AJ246" s="293" t="s">
        <v>16292</v>
      </c>
      <c r="AK246" s="293" t="s">
        <v>145</v>
      </c>
      <c r="AL246" s="293" t="s">
        <v>74</v>
      </c>
      <c r="AM246" s="293" t="s">
        <v>656</v>
      </c>
      <c r="AO246" s="22" t="s">
        <v>16293</v>
      </c>
      <c r="AP246" s="22" t="s">
        <v>145</v>
      </c>
      <c r="AQ246" s="22" t="s">
        <v>70</v>
      </c>
      <c r="AR246" s="22" t="s">
        <v>67</v>
      </c>
      <c r="AT246" s="22" t="s">
        <v>16294</v>
      </c>
      <c r="AU246" s="22" t="s">
        <v>145</v>
      </c>
      <c r="AV246" s="22" t="s">
        <v>70</v>
      </c>
      <c r="AW246" s="22" t="s">
        <v>67</v>
      </c>
      <c r="AY246" s="22" t="s">
        <v>16295</v>
      </c>
      <c r="AZ246" s="22" t="s">
        <v>145</v>
      </c>
      <c r="BA246" s="22" t="s">
        <v>70</v>
      </c>
      <c r="BB246" s="22" t="s">
        <v>67</v>
      </c>
      <c r="BD246" s="22" t="s">
        <v>16296</v>
      </c>
      <c r="BE246" s="22" t="s">
        <v>145</v>
      </c>
      <c r="BF246" s="22" t="s">
        <v>70</v>
      </c>
      <c r="BG246" s="22" t="s">
        <v>67</v>
      </c>
      <c r="BI246" s="22" t="s">
        <v>16297</v>
      </c>
      <c r="BJ246" s="22" t="s">
        <v>145</v>
      </c>
      <c r="BK246" s="22" t="s">
        <v>70</v>
      </c>
      <c r="BL246" s="22" t="s">
        <v>67</v>
      </c>
      <c r="BN246" s="22" t="s">
        <v>16298</v>
      </c>
      <c r="BO246" s="22" t="s">
        <v>145</v>
      </c>
      <c r="BP246" s="22" t="s">
        <v>70</v>
      </c>
      <c r="BQ246" s="22" t="s">
        <v>67</v>
      </c>
      <c r="BS246" s="22" t="s">
        <v>16299</v>
      </c>
      <c r="BT246" s="22" t="s">
        <v>145</v>
      </c>
      <c r="BU246" s="22" t="s">
        <v>70</v>
      </c>
      <c r="BV246" s="214" t="s">
        <v>530</v>
      </c>
      <c r="BX246" s="22" t="s">
        <v>16300</v>
      </c>
      <c r="BY246" s="22" t="s">
        <v>145</v>
      </c>
      <c r="BZ246" s="22" t="s">
        <v>70</v>
      </c>
      <c r="CA246" s="214" t="s">
        <v>530</v>
      </c>
      <c r="CC246" s="214" t="s">
        <v>16301</v>
      </c>
      <c r="CD246" s="218" t="s">
        <v>145</v>
      </c>
      <c r="CE246" s="214" t="s">
        <v>70</v>
      </c>
      <c r="CF246" s="214" t="s">
        <v>699</v>
      </c>
      <c r="CH246" s="214" t="s">
        <v>16302</v>
      </c>
      <c r="CI246" s="214" t="s">
        <v>52</v>
      </c>
      <c r="CJ246" s="214" t="s">
        <v>70</v>
      </c>
      <c r="CK246" s="214" t="s">
        <v>530</v>
      </c>
      <c r="CM246" s="214" t="s">
        <v>16303</v>
      </c>
      <c r="CN246" s="214" t="s">
        <v>488</v>
      </c>
      <c r="CO246" s="214" t="s">
        <v>70</v>
      </c>
      <c r="CP246" s="214" t="s">
        <v>530</v>
      </c>
      <c r="CR246" s="214" t="s">
        <v>16304</v>
      </c>
      <c r="CS246" s="214" t="s">
        <v>10541</v>
      </c>
      <c r="CT246" s="214" t="s">
        <v>70</v>
      </c>
      <c r="CU246" s="214" t="s">
        <v>530</v>
      </c>
      <c r="CW246" s="214" t="s">
        <v>16305</v>
      </c>
      <c r="CX246" s="214" t="s">
        <v>85</v>
      </c>
      <c r="CY246" s="214" t="s">
        <v>70</v>
      </c>
      <c r="CZ246" s="214" t="s">
        <v>530</v>
      </c>
      <c r="DB246" s="214" t="s">
        <v>16306</v>
      </c>
      <c r="DC246" s="214" t="s">
        <v>148</v>
      </c>
      <c r="DD246" s="214" t="s">
        <v>70</v>
      </c>
      <c r="DE246" s="214" t="s">
        <v>530</v>
      </c>
      <c r="DG246" s="214" t="s">
        <v>16307</v>
      </c>
      <c r="DH246" s="214" t="s">
        <v>103</v>
      </c>
      <c r="DI246" s="214" t="s">
        <v>70</v>
      </c>
      <c r="DJ246" s="214" t="s">
        <v>530</v>
      </c>
      <c r="DL246" s="214" t="s">
        <v>16308</v>
      </c>
      <c r="DM246" s="214" t="s">
        <v>164</v>
      </c>
      <c r="DN246" s="214" t="s">
        <v>70</v>
      </c>
      <c r="DO246" s="214" t="s">
        <v>530</v>
      </c>
      <c r="DQ246" s="214" t="s">
        <v>16309</v>
      </c>
      <c r="DR246" s="214" t="s">
        <v>93</v>
      </c>
      <c r="DS246" s="214" t="s">
        <v>70</v>
      </c>
      <c r="DT246" s="214" t="s">
        <v>530</v>
      </c>
      <c r="DV246" s="214" t="s">
        <v>16310</v>
      </c>
      <c r="DW246" s="214" t="s">
        <v>912</v>
      </c>
      <c r="DX246" s="214" t="s">
        <v>70</v>
      </c>
      <c r="DY246" s="214" t="s">
        <v>530</v>
      </c>
      <c r="EA246" s="214" t="s">
        <v>16311</v>
      </c>
      <c r="EB246" s="214" t="s">
        <v>52</v>
      </c>
      <c r="EC246" s="214" t="s">
        <v>70</v>
      </c>
      <c r="ED246" s="214" t="s">
        <v>530</v>
      </c>
      <c r="EF246" s="214" t="s">
        <v>16312</v>
      </c>
      <c r="EG246" s="214" t="s">
        <v>481</v>
      </c>
      <c r="EH246" s="214" t="s">
        <v>70</v>
      </c>
      <c r="EI246" s="214" t="s">
        <v>530</v>
      </c>
      <c r="EK246" s="214" t="s">
        <v>16313</v>
      </c>
      <c r="EL246" s="214" t="s">
        <v>88</v>
      </c>
      <c r="EM246" s="214" t="s">
        <v>70</v>
      </c>
      <c r="EN246" s="214" t="s">
        <v>530</v>
      </c>
      <c r="EP246" s="214" t="s">
        <v>16314</v>
      </c>
      <c r="EQ246" s="214" t="s">
        <v>163</v>
      </c>
      <c r="ER246" s="214" t="s">
        <v>70</v>
      </c>
      <c r="ES246" s="214" t="s">
        <v>530</v>
      </c>
      <c r="EU246" s="214" t="s">
        <v>16315</v>
      </c>
      <c r="EV246" s="214" t="s">
        <v>599</v>
      </c>
      <c r="EW246" s="214" t="s">
        <v>70</v>
      </c>
      <c r="EX246" s="214" t="s">
        <v>530</v>
      </c>
      <c r="EZ246" s="214" t="s">
        <v>16316</v>
      </c>
      <c r="FA246" s="214" t="s">
        <v>90</v>
      </c>
      <c r="FB246" s="214" t="s">
        <v>70</v>
      </c>
      <c r="FC246" s="214" t="s">
        <v>530</v>
      </c>
      <c r="FE246" s="214" t="s">
        <v>16317</v>
      </c>
      <c r="FF246" s="214" t="s">
        <v>287</v>
      </c>
      <c r="FG246" s="214" t="s">
        <v>70</v>
      </c>
      <c r="FH246" s="214" t="s">
        <v>530</v>
      </c>
      <c r="FJ246" s="321" t="s">
        <v>16318</v>
      </c>
      <c r="FK246" s="214" t="s">
        <v>148</v>
      </c>
      <c r="FL246" s="214" t="s">
        <v>70</v>
      </c>
      <c r="FM246" s="214" t="s">
        <v>530</v>
      </c>
      <c r="FO246" s="321" t="s">
        <v>16319</v>
      </c>
      <c r="FP246" s="214" t="s">
        <v>34594</v>
      </c>
      <c r="FQ246" s="214" t="s">
        <v>70</v>
      </c>
      <c r="FR246" s="214" t="s">
        <v>530</v>
      </c>
      <c r="FT246" s="321" t="s">
        <v>16320</v>
      </c>
      <c r="FU246" s="214" t="s">
        <v>148</v>
      </c>
      <c r="FV246" s="214" t="s">
        <v>70</v>
      </c>
      <c r="FW246" s="214" t="s">
        <v>530</v>
      </c>
      <c r="FY246" s="321" t="s">
        <v>16321</v>
      </c>
      <c r="FZ246" s="214" t="s">
        <v>502</v>
      </c>
      <c r="GA246" s="214" t="s">
        <v>70</v>
      </c>
      <c r="GB246" s="214" t="s">
        <v>530</v>
      </c>
      <c r="GD246" s="321" t="s">
        <v>16322</v>
      </c>
      <c r="GE246" s="214" t="s">
        <v>52</v>
      </c>
      <c r="GF246" s="214" t="s">
        <v>70</v>
      </c>
      <c r="GG246" s="214" t="s">
        <v>530</v>
      </c>
      <c r="GI246" s="321" t="s">
        <v>16323</v>
      </c>
      <c r="GJ246" s="214" t="s">
        <v>85</v>
      </c>
      <c r="GK246" s="214" t="s">
        <v>70</v>
      </c>
      <c r="GL246" s="214" t="s">
        <v>530</v>
      </c>
      <c r="GN246" s="321" t="s">
        <v>16324</v>
      </c>
      <c r="GO246" s="214" t="s">
        <v>34582</v>
      </c>
      <c r="GP246" s="214" t="s">
        <v>70</v>
      </c>
      <c r="GQ246" s="214" t="s">
        <v>530</v>
      </c>
      <c r="GS246" s="321" t="s">
        <v>16325</v>
      </c>
      <c r="GT246" s="214" t="s">
        <v>52</v>
      </c>
      <c r="GU246" s="214" t="s">
        <v>70</v>
      </c>
      <c r="GV246" s="214" t="s">
        <v>530</v>
      </c>
      <c r="GX246" s="214" t="s">
        <v>16326</v>
      </c>
      <c r="GY246" s="214" t="s">
        <v>52</v>
      </c>
      <c r="GZ246" s="214" t="s">
        <v>70</v>
      </c>
      <c r="HA246" s="214" t="s">
        <v>530</v>
      </c>
      <c r="HC246" s="214" t="s">
        <v>16327</v>
      </c>
      <c r="HD246" s="214" t="s">
        <v>468</v>
      </c>
      <c r="HE246" s="214" t="s">
        <v>70</v>
      </c>
      <c r="HF246" s="214" t="s">
        <v>530</v>
      </c>
      <c r="HH246" s="214" t="s">
        <v>16328</v>
      </c>
      <c r="HI246" s="214" t="s">
        <v>601</v>
      </c>
      <c r="HJ246" s="214" t="s">
        <v>70</v>
      </c>
      <c r="HK246" s="214" t="s">
        <v>530</v>
      </c>
      <c r="HM246" s="214" t="s">
        <v>16329</v>
      </c>
      <c r="HN246" s="214" t="s">
        <v>34560</v>
      </c>
      <c r="HO246" s="214" t="s">
        <v>70</v>
      </c>
      <c r="HP246" s="214" t="s">
        <v>530</v>
      </c>
      <c r="HR246" s="22" t="s">
        <v>16330</v>
      </c>
      <c r="HS246" s="22" t="s">
        <v>34536</v>
      </c>
      <c r="HT246" s="22" t="s">
        <v>70</v>
      </c>
      <c r="HU246" s="214" t="s">
        <v>530</v>
      </c>
      <c r="HW246" s="22" t="s">
        <v>16331</v>
      </c>
      <c r="HX246" s="22" t="s">
        <v>52</v>
      </c>
      <c r="HY246" s="22" t="s">
        <v>70</v>
      </c>
      <c r="HZ246" s="214" t="s">
        <v>530</v>
      </c>
      <c r="IB246" s="22" t="s">
        <v>16332</v>
      </c>
      <c r="IC246" s="22" t="s">
        <v>34556</v>
      </c>
      <c r="ID246" s="22" t="s">
        <v>70</v>
      </c>
      <c r="IE246" s="214" t="s">
        <v>530</v>
      </c>
      <c r="IG246" s="22" t="s">
        <v>16333</v>
      </c>
      <c r="IH246" s="22" t="s">
        <v>52</v>
      </c>
      <c r="II246" s="22" t="s">
        <v>70</v>
      </c>
      <c r="IJ246" s="214" t="s">
        <v>530</v>
      </c>
      <c r="IL246" s="22" t="s">
        <v>16334</v>
      </c>
      <c r="IM246" s="22" t="s">
        <v>145</v>
      </c>
      <c r="IN246" s="22" t="s">
        <v>70</v>
      </c>
      <c r="IO246" s="214" t="s">
        <v>530</v>
      </c>
      <c r="IQ246" s="236" t="s">
        <v>16335</v>
      </c>
      <c r="IR246" s="236" t="s">
        <v>145</v>
      </c>
      <c r="IS246" s="236" t="s">
        <v>74</v>
      </c>
      <c r="IT246" s="236" t="s">
        <v>841</v>
      </c>
      <c r="IV246" s="236" t="s">
        <v>16336</v>
      </c>
      <c r="IW246" s="236" t="s">
        <v>145</v>
      </c>
      <c r="IX246" s="236" t="s">
        <v>74</v>
      </c>
      <c r="IY246" s="236" t="s">
        <v>841</v>
      </c>
      <c r="JA246" s="236" t="s">
        <v>16337</v>
      </c>
      <c r="JB246" s="236" t="s">
        <v>145</v>
      </c>
      <c r="JC246" s="236" t="s">
        <v>74</v>
      </c>
      <c r="JD246" s="236" t="s">
        <v>841</v>
      </c>
      <c r="JF246" s="236" t="s">
        <v>16338</v>
      </c>
      <c r="JG246" s="236" t="s">
        <v>145</v>
      </c>
      <c r="JH246" s="236" t="s">
        <v>74</v>
      </c>
      <c r="JI246" s="236" t="s">
        <v>841</v>
      </c>
      <c r="JK246" s="236" t="s">
        <v>16339</v>
      </c>
      <c r="JL246" s="236" t="s">
        <v>145</v>
      </c>
      <c r="JM246" s="236" t="s">
        <v>74</v>
      </c>
      <c r="JN246" s="236" t="s">
        <v>841</v>
      </c>
      <c r="JP246" s="236" t="s">
        <v>16340</v>
      </c>
      <c r="JQ246" s="236" t="s">
        <v>145</v>
      </c>
      <c r="JR246" s="236" t="s">
        <v>74</v>
      </c>
      <c r="JS246" s="236" t="s">
        <v>841</v>
      </c>
      <c r="JU246" s="294" t="s">
        <v>16341</v>
      </c>
      <c r="JV246" s="294" t="s">
        <v>52</v>
      </c>
      <c r="JW246" s="263" t="s">
        <v>70</v>
      </c>
      <c r="JX246" s="294" t="s">
        <v>1083</v>
      </c>
      <c r="JZ246" s="263" t="s">
        <v>16342</v>
      </c>
      <c r="KA246" s="263" t="s">
        <v>145</v>
      </c>
      <c r="KB246" s="263" t="s">
        <v>70</v>
      </c>
      <c r="KC246" s="263" t="s">
        <v>1083</v>
      </c>
      <c r="KE246" s="263" t="s">
        <v>16343</v>
      </c>
      <c r="KF246" s="263" t="s">
        <v>52</v>
      </c>
      <c r="KG246" s="263" t="s">
        <v>70</v>
      </c>
      <c r="KH246" s="263" t="s">
        <v>1083</v>
      </c>
      <c r="KJ246" s="263" t="s">
        <v>16344</v>
      </c>
      <c r="KK246" s="263" t="s">
        <v>52</v>
      </c>
      <c r="KL246" s="263" t="s">
        <v>74</v>
      </c>
      <c r="KM246" s="263" t="s">
        <v>34074</v>
      </c>
      <c r="KO246" s="214" t="s">
        <v>16345</v>
      </c>
      <c r="KP246" s="214" t="s">
        <v>145</v>
      </c>
      <c r="KQ246" s="214" t="s">
        <v>70</v>
      </c>
      <c r="KR246" s="214" t="s">
        <v>67</v>
      </c>
      <c r="KT246" s="22" t="s">
        <v>16346</v>
      </c>
      <c r="KU246" s="22" t="s">
        <v>145</v>
      </c>
      <c r="KV246" s="22" t="s">
        <v>70</v>
      </c>
      <c r="KW246" s="22" t="s">
        <v>67</v>
      </c>
      <c r="KY246" s="214" t="s">
        <v>16347</v>
      </c>
      <c r="KZ246" s="214" t="s">
        <v>52</v>
      </c>
      <c r="LA246" s="214" t="s">
        <v>74</v>
      </c>
      <c r="LB246" s="214" t="s">
        <v>67</v>
      </c>
      <c r="LD246" s="22" t="s">
        <v>16348</v>
      </c>
      <c r="LE246" s="22" t="s">
        <v>145</v>
      </c>
      <c r="LF246" s="22" t="s">
        <v>70</v>
      </c>
      <c r="LG246" s="22" t="s">
        <v>67</v>
      </c>
    </row>
    <row r="247" spans="1:319">
      <c r="A247" s="22" t="s">
        <v>16349</v>
      </c>
      <c r="B247" s="22" t="s">
        <v>145</v>
      </c>
      <c r="C247" s="22" t="s">
        <v>70</v>
      </c>
      <c r="D247" s="22" t="s">
        <v>67</v>
      </c>
      <c r="F247" s="73" t="s">
        <v>16350</v>
      </c>
      <c r="G247" s="22" t="s">
        <v>145</v>
      </c>
      <c r="H247" s="22" t="s">
        <v>70</v>
      </c>
      <c r="I247" s="22" t="s">
        <v>67</v>
      </c>
      <c r="K247" s="22" t="s">
        <v>16351</v>
      </c>
      <c r="L247" s="22" t="s">
        <v>145</v>
      </c>
      <c r="M247" s="22" t="s">
        <v>70</v>
      </c>
      <c r="N247" s="22" t="s">
        <v>67</v>
      </c>
      <c r="P247" s="22" t="s">
        <v>16352</v>
      </c>
      <c r="Q247" s="22" t="s">
        <v>145</v>
      </c>
      <c r="R247" s="22" t="s">
        <v>70</v>
      </c>
      <c r="S247" s="22" t="s">
        <v>67</v>
      </c>
      <c r="U247" s="293" t="s">
        <v>16353</v>
      </c>
      <c r="V247" s="293" t="s">
        <v>145</v>
      </c>
      <c r="W247" s="293" t="s">
        <v>74</v>
      </c>
      <c r="X247" s="293" t="s">
        <v>656</v>
      </c>
      <c r="Z247" s="293" t="s">
        <v>16354</v>
      </c>
      <c r="AA247" s="293" t="s">
        <v>145</v>
      </c>
      <c r="AB247" s="293" t="s">
        <v>74</v>
      </c>
      <c r="AC247" s="293" t="s">
        <v>656</v>
      </c>
      <c r="AE247" s="293" t="s">
        <v>16355</v>
      </c>
      <c r="AF247" s="293" t="s">
        <v>145</v>
      </c>
      <c r="AG247" s="293" t="s">
        <v>74</v>
      </c>
      <c r="AH247" s="293" t="s">
        <v>656</v>
      </c>
      <c r="AJ247" s="293" t="s">
        <v>16356</v>
      </c>
      <c r="AK247" s="293" t="s">
        <v>145</v>
      </c>
      <c r="AL247" s="293" t="s">
        <v>74</v>
      </c>
      <c r="AM247" s="293" t="s">
        <v>656</v>
      </c>
      <c r="AO247" s="22" t="s">
        <v>16357</v>
      </c>
      <c r="AP247" s="22" t="s">
        <v>145</v>
      </c>
      <c r="AQ247" s="22" t="s">
        <v>70</v>
      </c>
      <c r="AR247" s="22" t="s">
        <v>67</v>
      </c>
      <c r="AT247" s="22" t="s">
        <v>16358</v>
      </c>
      <c r="AU247" s="22" t="s">
        <v>145</v>
      </c>
      <c r="AV247" s="22" t="s">
        <v>70</v>
      </c>
      <c r="AW247" s="22" t="s">
        <v>67</v>
      </c>
      <c r="AY247" s="22" t="s">
        <v>16359</v>
      </c>
      <c r="AZ247" s="22" t="s">
        <v>145</v>
      </c>
      <c r="BA247" s="22" t="s">
        <v>70</v>
      </c>
      <c r="BB247" s="22" t="s">
        <v>67</v>
      </c>
      <c r="BD247" s="22" t="s">
        <v>16360</v>
      </c>
      <c r="BE247" s="22" t="s">
        <v>145</v>
      </c>
      <c r="BF247" s="22" t="s">
        <v>70</v>
      </c>
      <c r="BG247" s="22" t="s">
        <v>67</v>
      </c>
      <c r="BI247" s="22" t="s">
        <v>16361</v>
      </c>
      <c r="BJ247" s="22" t="s">
        <v>145</v>
      </c>
      <c r="BK247" s="22" t="s">
        <v>70</v>
      </c>
      <c r="BL247" s="22" t="s">
        <v>67</v>
      </c>
      <c r="BN247" s="22" t="s">
        <v>16362</v>
      </c>
      <c r="BO247" s="22" t="s">
        <v>145</v>
      </c>
      <c r="BP247" s="22" t="s">
        <v>70</v>
      </c>
      <c r="BQ247" s="22" t="s">
        <v>67</v>
      </c>
      <c r="BS247" s="22" t="s">
        <v>16363</v>
      </c>
      <c r="BT247" s="22" t="s">
        <v>145</v>
      </c>
      <c r="BU247" s="22" t="s">
        <v>70</v>
      </c>
      <c r="BV247" s="214" t="s">
        <v>530</v>
      </c>
      <c r="BX247" s="22" t="s">
        <v>16364</v>
      </c>
      <c r="BY247" s="22" t="s">
        <v>145</v>
      </c>
      <c r="BZ247" s="22" t="s">
        <v>70</v>
      </c>
      <c r="CA247" s="214" t="s">
        <v>530</v>
      </c>
      <c r="CC247" s="214" t="s">
        <v>16365</v>
      </c>
      <c r="CD247" s="218" t="s">
        <v>145</v>
      </c>
      <c r="CE247" s="214" t="s">
        <v>70</v>
      </c>
      <c r="CF247" s="214" t="s">
        <v>700</v>
      </c>
      <c r="CH247" s="214" t="s">
        <v>16366</v>
      </c>
      <c r="CI247" s="214" t="s">
        <v>34562</v>
      </c>
      <c r="CJ247" s="214" t="s">
        <v>70</v>
      </c>
      <c r="CK247" s="214" t="s">
        <v>530</v>
      </c>
      <c r="CM247" s="214" t="s">
        <v>16367</v>
      </c>
      <c r="CN247" s="214" t="s">
        <v>488</v>
      </c>
      <c r="CO247" s="214" t="s">
        <v>70</v>
      </c>
      <c r="CP247" s="214" t="s">
        <v>530</v>
      </c>
      <c r="CR247" s="214" t="s">
        <v>16368</v>
      </c>
      <c r="CS247" s="214" t="s">
        <v>600</v>
      </c>
      <c r="CT247" s="214" t="s">
        <v>70</v>
      </c>
      <c r="CU247" s="214" t="s">
        <v>530</v>
      </c>
      <c r="CW247" s="214" t="s">
        <v>16369</v>
      </c>
      <c r="CX247" s="214" t="s">
        <v>34540</v>
      </c>
      <c r="CY247" s="214" t="s">
        <v>70</v>
      </c>
      <c r="CZ247" s="214" t="s">
        <v>530</v>
      </c>
      <c r="DB247" s="214" t="s">
        <v>16370</v>
      </c>
      <c r="DC247" s="214" t="s">
        <v>950</v>
      </c>
      <c r="DD247" s="214" t="s">
        <v>70</v>
      </c>
      <c r="DE247" s="214" t="s">
        <v>530</v>
      </c>
      <c r="DG247" s="214" t="s">
        <v>16371</v>
      </c>
      <c r="DH247" s="214" t="s">
        <v>950</v>
      </c>
      <c r="DI247" s="214" t="s">
        <v>70</v>
      </c>
      <c r="DJ247" s="214" t="s">
        <v>530</v>
      </c>
      <c r="DL247" s="214" t="s">
        <v>16372</v>
      </c>
      <c r="DM247" s="214" t="s">
        <v>90</v>
      </c>
      <c r="DN247" s="214" t="s">
        <v>70</v>
      </c>
      <c r="DO247" s="214" t="s">
        <v>530</v>
      </c>
      <c r="DQ247" s="214" t="s">
        <v>16373</v>
      </c>
      <c r="DR247" s="214" t="s">
        <v>146</v>
      </c>
      <c r="DS247" s="214" t="s">
        <v>70</v>
      </c>
      <c r="DT247" s="214" t="s">
        <v>530</v>
      </c>
      <c r="DV247" s="214" t="s">
        <v>16374</v>
      </c>
      <c r="DW247" s="214" t="s">
        <v>34548</v>
      </c>
      <c r="DX247" s="214" t="s">
        <v>70</v>
      </c>
      <c r="DY247" s="214" t="s">
        <v>530</v>
      </c>
      <c r="EA247" s="214" t="s">
        <v>16375</v>
      </c>
      <c r="EB247" s="214" t="s">
        <v>52</v>
      </c>
      <c r="EC247" s="214" t="s">
        <v>70</v>
      </c>
      <c r="ED247" s="214" t="s">
        <v>530</v>
      </c>
      <c r="EF247" s="214" t="s">
        <v>16376</v>
      </c>
      <c r="EG247" s="214" t="s">
        <v>482</v>
      </c>
      <c r="EH247" s="214" t="s">
        <v>70</v>
      </c>
      <c r="EI247" s="214" t="s">
        <v>530</v>
      </c>
      <c r="EK247" s="214" t="s">
        <v>16377</v>
      </c>
      <c r="EL247" s="214" t="s">
        <v>636</v>
      </c>
      <c r="EM247" s="214" t="s">
        <v>70</v>
      </c>
      <c r="EN247" s="214" t="s">
        <v>530</v>
      </c>
      <c r="EP247" s="214" t="s">
        <v>16378</v>
      </c>
      <c r="EQ247" s="214" t="s">
        <v>468</v>
      </c>
      <c r="ER247" s="214" t="s">
        <v>70</v>
      </c>
      <c r="ES247" s="214" t="s">
        <v>530</v>
      </c>
      <c r="EU247" s="214" t="s">
        <v>16379</v>
      </c>
      <c r="EV247" s="214" t="s">
        <v>146</v>
      </c>
      <c r="EW247" s="214" t="s">
        <v>70</v>
      </c>
      <c r="EX247" s="214" t="s">
        <v>530</v>
      </c>
      <c r="EZ247" s="214" t="s">
        <v>16380</v>
      </c>
      <c r="FA247" s="214" t="s">
        <v>164</v>
      </c>
      <c r="FB247" s="214" t="s">
        <v>70</v>
      </c>
      <c r="FC247" s="214" t="s">
        <v>530</v>
      </c>
      <c r="FE247" s="214" t="s">
        <v>16381</v>
      </c>
      <c r="FF247" s="214" t="s">
        <v>491</v>
      </c>
      <c r="FG247" s="214" t="s">
        <v>70</v>
      </c>
      <c r="FH247" s="214" t="s">
        <v>530</v>
      </c>
      <c r="FJ247" s="321" t="s">
        <v>16382</v>
      </c>
      <c r="FK247" s="214" t="s">
        <v>34587</v>
      </c>
      <c r="FL247" s="214" t="s">
        <v>70</v>
      </c>
      <c r="FM247" s="214" t="s">
        <v>530</v>
      </c>
      <c r="FO247" s="321" t="s">
        <v>16383</v>
      </c>
      <c r="FP247" s="214" t="s">
        <v>481</v>
      </c>
      <c r="FQ247" s="214" t="s">
        <v>70</v>
      </c>
      <c r="FR247" s="214" t="s">
        <v>530</v>
      </c>
      <c r="FT247" s="321" t="s">
        <v>16384</v>
      </c>
      <c r="FU247" s="214" t="s">
        <v>486</v>
      </c>
      <c r="FV247" s="214" t="s">
        <v>70</v>
      </c>
      <c r="FW247" s="214" t="s">
        <v>530</v>
      </c>
      <c r="FY247" s="321" t="s">
        <v>16385</v>
      </c>
      <c r="FZ247" s="214" t="s">
        <v>488</v>
      </c>
      <c r="GA247" s="214" t="s">
        <v>70</v>
      </c>
      <c r="GB247" s="214" t="s">
        <v>530</v>
      </c>
      <c r="GD247" s="321" t="s">
        <v>16386</v>
      </c>
      <c r="GE247" s="214" t="s">
        <v>955</v>
      </c>
      <c r="GF247" s="214" t="s">
        <v>70</v>
      </c>
      <c r="GG247" s="214" t="s">
        <v>530</v>
      </c>
      <c r="GI247" s="321" t="s">
        <v>16387</v>
      </c>
      <c r="GJ247" s="214" t="s">
        <v>34544</v>
      </c>
      <c r="GK247" s="214" t="s">
        <v>70</v>
      </c>
      <c r="GL247" s="214" t="s">
        <v>530</v>
      </c>
      <c r="GN247" s="321" t="s">
        <v>16388</v>
      </c>
      <c r="GO247" s="214" t="s">
        <v>33910</v>
      </c>
      <c r="GP247" s="214" t="s">
        <v>70</v>
      </c>
      <c r="GQ247" s="214" t="s">
        <v>530</v>
      </c>
      <c r="GS247" s="321" t="s">
        <v>16389</v>
      </c>
      <c r="GT247" s="214" t="s">
        <v>203</v>
      </c>
      <c r="GU247" s="214" t="s">
        <v>70</v>
      </c>
      <c r="GV247" s="214" t="s">
        <v>530</v>
      </c>
      <c r="GX247" s="214" t="s">
        <v>16390</v>
      </c>
      <c r="GY247" s="214" t="s">
        <v>203</v>
      </c>
      <c r="GZ247" s="214" t="s">
        <v>70</v>
      </c>
      <c r="HA247" s="214" t="s">
        <v>530</v>
      </c>
      <c r="HC247" s="214" t="s">
        <v>16391</v>
      </c>
      <c r="HD247" s="214" t="s">
        <v>488</v>
      </c>
      <c r="HE247" s="214" t="s">
        <v>70</v>
      </c>
      <c r="HF247" s="214" t="s">
        <v>530</v>
      </c>
      <c r="HH247" s="214" t="s">
        <v>16392</v>
      </c>
      <c r="HI247" s="214" t="s">
        <v>34603</v>
      </c>
      <c r="HJ247" s="214" t="s">
        <v>70</v>
      </c>
      <c r="HK247" s="214" t="s">
        <v>530</v>
      </c>
      <c r="HM247" s="214" t="s">
        <v>16393</v>
      </c>
      <c r="HN247" s="214" t="s">
        <v>34567</v>
      </c>
      <c r="HO247" s="214" t="s">
        <v>70</v>
      </c>
      <c r="HP247" s="214" t="s">
        <v>530</v>
      </c>
      <c r="HR247" s="22" t="s">
        <v>16394</v>
      </c>
      <c r="HS247" s="22" t="s">
        <v>34539</v>
      </c>
      <c r="HT247" s="22" t="s">
        <v>70</v>
      </c>
      <c r="HU247" s="214" t="s">
        <v>530</v>
      </c>
      <c r="HW247" s="22" t="s">
        <v>16395</v>
      </c>
      <c r="HX247" s="22" t="s">
        <v>34641</v>
      </c>
      <c r="HY247" s="22" t="s">
        <v>70</v>
      </c>
      <c r="HZ247" s="214" t="s">
        <v>530</v>
      </c>
      <c r="IB247" s="22" t="s">
        <v>16396</v>
      </c>
      <c r="IC247" s="22" t="s">
        <v>34541</v>
      </c>
      <c r="ID247" s="22" t="s">
        <v>70</v>
      </c>
      <c r="IE247" s="214" t="s">
        <v>530</v>
      </c>
      <c r="IG247" s="22" t="s">
        <v>16397</v>
      </c>
      <c r="IH247" s="22" t="s">
        <v>52</v>
      </c>
      <c r="II247" s="22" t="s">
        <v>70</v>
      </c>
      <c r="IJ247" s="214" t="s">
        <v>530</v>
      </c>
      <c r="IL247" s="22" t="s">
        <v>16398</v>
      </c>
      <c r="IM247" s="22" t="s">
        <v>145</v>
      </c>
      <c r="IN247" s="22" t="s">
        <v>70</v>
      </c>
      <c r="IO247" s="214" t="s">
        <v>530</v>
      </c>
      <c r="IQ247" s="236" t="s">
        <v>16399</v>
      </c>
      <c r="IR247" s="236" t="s">
        <v>145</v>
      </c>
      <c r="IS247" s="236" t="s">
        <v>74</v>
      </c>
      <c r="IT247" s="236" t="s">
        <v>841</v>
      </c>
      <c r="IV247" s="236" t="s">
        <v>16400</v>
      </c>
      <c r="IW247" s="236" t="s">
        <v>145</v>
      </c>
      <c r="IX247" s="236" t="s">
        <v>74</v>
      </c>
      <c r="IY247" s="236" t="s">
        <v>841</v>
      </c>
      <c r="JA247" s="236" t="s">
        <v>16401</v>
      </c>
      <c r="JB247" s="236" t="s">
        <v>145</v>
      </c>
      <c r="JC247" s="236" t="s">
        <v>74</v>
      </c>
      <c r="JD247" s="236" t="s">
        <v>841</v>
      </c>
      <c r="JF247" s="236" t="s">
        <v>16402</v>
      </c>
      <c r="JG247" s="236" t="s">
        <v>145</v>
      </c>
      <c r="JH247" s="236" t="s">
        <v>74</v>
      </c>
      <c r="JI247" s="236" t="s">
        <v>841</v>
      </c>
      <c r="JK247" s="236" t="s">
        <v>16403</v>
      </c>
      <c r="JL247" s="236" t="s">
        <v>145</v>
      </c>
      <c r="JM247" s="236" t="s">
        <v>74</v>
      </c>
      <c r="JN247" s="236" t="s">
        <v>841</v>
      </c>
      <c r="JP247" s="236" t="s">
        <v>16404</v>
      </c>
      <c r="JQ247" s="236" t="s">
        <v>145</v>
      </c>
      <c r="JR247" s="236" t="s">
        <v>74</v>
      </c>
      <c r="JS247" s="236" t="s">
        <v>841</v>
      </c>
      <c r="JU247" s="294" t="s">
        <v>16405</v>
      </c>
      <c r="JV247" s="294" t="s">
        <v>52</v>
      </c>
      <c r="JW247" s="263" t="s">
        <v>70</v>
      </c>
      <c r="JX247" s="294" t="s">
        <v>1083</v>
      </c>
      <c r="JZ247" s="263" t="s">
        <v>16406</v>
      </c>
      <c r="KA247" s="263" t="s">
        <v>145</v>
      </c>
      <c r="KB247" s="263" t="s">
        <v>70</v>
      </c>
      <c r="KC247" s="263" t="s">
        <v>1083</v>
      </c>
      <c r="KE247" s="263" t="s">
        <v>16407</v>
      </c>
      <c r="KF247" s="263" t="s">
        <v>52</v>
      </c>
      <c r="KG247" s="263" t="s">
        <v>70</v>
      </c>
      <c r="KH247" s="263" t="s">
        <v>1083</v>
      </c>
      <c r="KJ247" s="263" t="s">
        <v>16408</v>
      </c>
      <c r="KK247" s="263" t="s">
        <v>52</v>
      </c>
      <c r="KL247" s="263" t="s">
        <v>74</v>
      </c>
      <c r="KM247" s="263" t="s">
        <v>34074</v>
      </c>
      <c r="KO247" s="214" t="s">
        <v>16409</v>
      </c>
      <c r="KP247" s="214" t="s">
        <v>145</v>
      </c>
      <c r="KQ247" s="214" t="s">
        <v>70</v>
      </c>
      <c r="KR247" s="214" t="s">
        <v>67</v>
      </c>
      <c r="KT247" s="22" t="s">
        <v>16410</v>
      </c>
      <c r="KU247" s="22" t="s">
        <v>145</v>
      </c>
      <c r="KV247" s="22" t="s">
        <v>70</v>
      </c>
      <c r="KW247" s="22" t="s">
        <v>67</v>
      </c>
      <c r="KY247" s="214" t="s">
        <v>16411</v>
      </c>
      <c r="KZ247" s="214" t="s">
        <v>52</v>
      </c>
      <c r="LA247" s="214" t="s">
        <v>74</v>
      </c>
      <c r="LB247" s="214" t="s">
        <v>67</v>
      </c>
      <c r="LD247" s="22" t="s">
        <v>16412</v>
      </c>
      <c r="LE247" s="22" t="s">
        <v>145</v>
      </c>
      <c r="LF247" s="22" t="s">
        <v>70</v>
      </c>
      <c r="LG247" s="22" t="s">
        <v>67</v>
      </c>
    </row>
    <row r="248" spans="1:319">
      <c r="A248" s="22" t="s">
        <v>16413</v>
      </c>
      <c r="B248" s="22" t="s">
        <v>145</v>
      </c>
      <c r="C248" s="22" t="s">
        <v>70</v>
      </c>
      <c r="D248" s="22" t="s">
        <v>67</v>
      </c>
      <c r="F248" s="73" t="s">
        <v>16414</v>
      </c>
      <c r="G248" s="22" t="s">
        <v>145</v>
      </c>
      <c r="H248" s="22" t="s">
        <v>70</v>
      </c>
      <c r="I248" s="22" t="s">
        <v>67</v>
      </c>
      <c r="K248" s="22" t="s">
        <v>16415</v>
      </c>
      <c r="L248" s="22" t="s">
        <v>145</v>
      </c>
      <c r="M248" s="22" t="s">
        <v>70</v>
      </c>
      <c r="N248" s="22" t="s">
        <v>67</v>
      </c>
      <c r="P248" s="22" t="s">
        <v>16416</v>
      </c>
      <c r="Q248" s="22" t="s">
        <v>145</v>
      </c>
      <c r="R248" s="22" t="s">
        <v>70</v>
      </c>
      <c r="S248" s="22" t="s">
        <v>67</v>
      </c>
      <c r="U248" s="293" t="s">
        <v>16417</v>
      </c>
      <c r="V248" s="293" t="s">
        <v>145</v>
      </c>
      <c r="W248" s="293" t="s">
        <v>74</v>
      </c>
      <c r="X248" s="293" t="s">
        <v>656</v>
      </c>
      <c r="Z248" s="293" t="s">
        <v>16418</v>
      </c>
      <c r="AA248" s="293" t="s">
        <v>145</v>
      </c>
      <c r="AB248" s="293" t="s">
        <v>74</v>
      </c>
      <c r="AC248" s="293" t="s">
        <v>656</v>
      </c>
      <c r="AE248" s="293" t="s">
        <v>16419</v>
      </c>
      <c r="AF248" s="293" t="s">
        <v>145</v>
      </c>
      <c r="AG248" s="293" t="s">
        <v>74</v>
      </c>
      <c r="AH248" s="293" t="s">
        <v>656</v>
      </c>
      <c r="AJ248" s="293" t="s">
        <v>16420</v>
      </c>
      <c r="AK248" s="293" t="s">
        <v>145</v>
      </c>
      <c r="AL248" s="293" t="s">
        <v>74</v>
      </c>
      <c r="AM248" s="293" t="s">
        <v>656</v>
      </c>
      <c r="AO248" s="22" t="s">
        <v>16421</v>
      </c>
      <c r="AP248" s="22" t="s">
        <v>145</v>
      </c>
      <c r="AQ248" s="22" t="s">
        <v>70</v>
      </c>
      <c r="AR248" s="22" t="s">
        <v>67</v>
      </c>
      <c r="AT248" s="22" t="s">
        <v>16422</v>
      </c>
      <c r="AU248" s="22" t="s">
        <v>145</v>
      </c>
      <c r="AV248" s="22" t="s">
        <v>70</v>
      </c>
      <c r="AW248" s="22" t="s">
        <v>67</v>
      </c>
      <c r="AY248" s="22" t="s">
        <v>16423</v>
      </c>
      <c r="AZ248" s="22" t="s">
        <v>145</v>
      </c>
      <c r="BA248" s="22" t="s">
        <v>70</v>
      </c>
      <c r="BB248" s="22" t="s">
        <v>67</v>
      </c>
      <c r="BD248" s="22" t="s">
        <v>16424</v>
      </c>
      <c r="BE248" s="22" t="s">
        <v>145</v>
      </c>
      <c r="BF248" s="22" t="s">
        <v>70</v>
      </c>
      <c r="BG248" s="22" t="s">
        <v>67</v>
      </c>
      <c r="BI248" s="22" t="s">
        <v>16425</v>
      </c>
      <c r="BJ248" s="22" t="s">
        <v>145</v>
      </c>
      <c r="BK248" s="22" t="s">
        <v>70</v>
      </c>
      <c r="BL248" s="22" t="s">
        <v>67</v>
      </c>
      <c r="BN248" s="22" t="s">
        <v>16426</v>
      </c>
      <c r="BO248" s="22" t="s">
        <v>145</v>
      </c>
      <c r="BP248" s="22" t="s">
        <v>70</v>
      </c>
      <c r="BQ248" s="22" t="s">
        <v>67</v>
      </c>
      <c r="BS248" s="22" t="s">
        <v>16427</v>
      </c>
      <c r="BT248" s="22" t="s">
        <v>145</v>
      </c>
      <c r="BU248" s="22" t="s">
        <v>70</v>
      </c>
      <c r="BV248" s="214" t="s">
        <v>530</v>
      </c>
      <c r="BX248" s="22" t="s">
        <v>16428</v>
      </c>
      <c r="BY248" s="22" t="s">
        <v>145</v>
      </c>
      <c r="BZ248" s="22" t="s">
        <v>70</v>
      </c>
      <c r="CA248" s="214" t="s">
        <v>530</v>
      </c>
      <c r="CC248" s="214" t="s">
        <v>16429</v>
      </c>
      <c r="CD248" s="218" t="s">
        <v>145</v>
      </c>
      <c r="CE248" s="214" t="s">
        <v>70</v>
      </c>
      <c r="CF248" s="214" t="s">
        <v>701</v>
      </c>
      <c r="CH248" s="214" t="s">
        <v>16430</v>
      </c>
      <c r="CI248" s="214" t="s">
        <v>483</v>
      </c>
      <c r="CJ248" s="214" t="s">
        <v>70</v>
      </c>
      <c r="CK248" s="214" t="s">
        <v>530</v>
      </c>
      <c r="CM248" s="214" t="s">
        <v>16431</v>
      </c>
      <c r="CN248" s="214" t="s">
        <v>468</v>
      </c>
      <c r="CO248" s="214" t="s">
        <v>70</v>
      </c>
      <c r="CP248" s="214" t="s">
        <v>530</v>
      </c>
      <c r="CR248" s="214" t="s">
        <v>16432</v>
      </c>
      <c r="CS248" s="214" t="s">
        <v>52</v>
      </c>
      <c r="CT248" s="214" t="s">
        <v>70</v>
      </c>
      <c r="CU248" s="214" t="s">
        <v>530</v>
      </c>
      <c r="CW248" s="214" t="s">
        <v>16433</v>
      </c>
      <c r="CX248" s="214" t="s">
        <v>34545</v>
      </c>
      <c r="CY248" s="214" t="s">
        <v>70</v>
      </c>
      <c r="CZ248" s="214" t="s">
        <v>530</v>
      </c>
      <c r="DB248" s="214" t="s">
        <v>16434</v>
      </c>
      <c r="DC248" s="214" t="s">
        <v>88</v>
      </c>
      <c r="DD248" s="214" t="s">
        <v>70</v>
      </c>
      <c r="DE248" s="214" t="s">
        <v>530</v>
      </c>
      <c r="DG248" s="214" t="s">
        <v>16435</v>
      </c>
      <c r="DH248" s="214" t="s">
        <v>85</v>
      </c>
      <c r="DI248" s="214" t="s">
        <v>70</v>
      </c>
      <c r="DJ248" s="214" t="s">
        <v>530</v>
      </c>
      <c r="DL248" s="214" t="s">
        <v>16436</v>
      </c>
      <c r="DM248" s="214" t="s">
        <v>949</v>
      </c>
      <c r="DN248" s="214" t="s">
        <v>70</v>
      </c>
      <c r="DO248" s="214" t="s">
        <v>530</v>
      </c>
      <c r="DQ248" s="214" t="s">
        <v>16437</v>
      </c>
      <c r="DR248" s="214" t="s">
        <v>92</v>
      </c>
      <c r="DS248" s="214" t="s">
        <v>70</v>
      </c>
      <c r="DT248" s="214" t="s">
        <v>530</v>
      </c>
      <c r="DV248" s="214" t="s">
        <v>16438</v>
      </c>
      <c r="DW248" s="214" t="s">
        <v>148</v>
      </c>
      <c r="DX248" s="214" t="s">
        <v>70</v>
      </c>
      <c r="DY248" s="214" t="s">
        <v>530</v>
      </c>
      <c r="EA248" s="214" t="s">
        <v>16439</v>
      </c>
      <c r="EB248" s="214" t="s">
        <v>164</v>
      </c>
      <c r="EC248" s="214" t="s">
        <v>70</v>
      </c>
      <c r="ED248" s="214" t="s">
        <v>530</v>
      </c>
      <c r="EF248" s="214" t="s">
        <v>16440</v>
      </c>
      <c r="EG248" s="214" t="s">
        <v>917</v>
      </c>
      <c r="EH248" s="214" t="s">
        <v>70</v>
      </c>
      <c r="EI248" s="214" t="s">
        <v>530</v>
      </c>
      <c r="EK248" s="214" t="s">
        <v>16441</v>
      </c>
      <c r="EL248" s="214" t="s">
        <v>145</v>
      </c>
      <c r="EM248" s="214" t="s">
        <v>70</v>
      </c>
      <c r="EN248" s="214" t="s">
        <v>530</v>
      </c>
      <c r="EP248" s="214" t="s">
        <v>16442</v>
      </c>
      <c r="EQ248" s="214" t="s">
        <v>52</v>
      </c>
      <c r="ER248" s="214" t="s">
        <v>70</v>
      </c>
      <c r="ES248" s="214" t="s">
        <v>530</v>
      </c>
      <c r="EU248" s="214" t="s">
        <v>16443</v>
      </c>
      <c r="EV248" s="214" t="s">
        <v>52</v>
      </c>
      <c r="EW248" s="214" t="s">
        <v>70</v>
      </c>
      <c r="EX248" s="214" t="s">
        <v>530</v>
      </c>
      <c r="EZ248" s="214" t="s">
        <v>16444</v>
      </c>
      <c r="FA248" s="214" t="s">
        <v>90</v>
      </c>
      <c r="FB248" s="214" t="s">
        <v>70</v>
      </c>
      <c r="FC248" s="214" t="s">
        <v>530</v>
      </c>
      <c r="FE248" s="214" t="s">
        <v>16445</v>
      </c>
      <c r="FF248" s="214" t="s">
        <v>103</v>
      </c>
      <c r="FG248" s="214" t="s">
        <v>70</v>
      </c>
      <c r="FH248" s="214" t="s">
        <v>530</v>
      </c>
      <c r="FJ248" s="321" t="s">
        <v>16446</v>
      </c>
      <c r="FK248" s="214" t="s">
        <v>910</v>
      </c>
      <c r="FL248" s="214" t="s">
        <v>70</v>
      </c>
      <c r="FM248" s="214" t="s">
        <v>530</v>
      </c>
      <c r="FO248" s="321" t="s">
        <v>16447</v>
      </c>
      <c r="FP248" s="214" t="s">
        <v>34600</v>
      </c>
      <c r="FQ248" s="214" t="s">
        <v>70</v>
      </c>
      <c r="FR248" s="214" t="s">
        <v>530</v>
      </c>
      <c r="FT248" s="321" t="s">
        <v>16448</v>
      </c>
      <c r="FU248" s="214" t="s">
        <v>146</v>
      </c>
      <c r="FV248" s="214" t="s">
        <v>70</v>
      </c>
      <c r="FW248" s="214" t="s">
        <v>530</v>
      </c>
      <c r="FY248" s="321" t="s">
        <v>16449</v>
      </c>
      <c r="FZ248" s="214" t="s">
        <v>52</v>
      </c>
      <c r="GA248" s="214" t="s">
        <v>70</v>
      </c>
      <c r="GB248" s="214" t="s">
        <v>530</v>
      </c>
      <c r="GD248" s="321" t="s">
        <v>16450</v>
      </c>
      <c r="GE248" s="214" t="s">
        <v>145</v>
      </c>
      <c r="GF248" s="214" t="s">
        <v>70</v>
      </c>
      <c r="GG248" s="214" t="s">
        <v>530</v>
      </c>
      <c r="GI248" s="321" t="s">
        <v>16451</v>
      </c>
      <c r="GJ248" s="214" t="s">
        <v>88</v>
      </c>
      <c r="GK248" s="214" t="s">
        <v>70</v>
      </c>
      <c r="GL248" s="214" t="s">
        <v>530</v>
      </c>
      <c r="GN248" s="321" t="s">
        <v>16452</v>
      </c>
      <c r="GO248" s="214" t="s">
        <v>52</v>
      </c>
      <c r="GP248" s="214" t="s">
        <v>70</v>
      </c>
      <c r="GQ248" s="214" t="s">
        <v>530</v>
      </c>
      <c r="GS248" s="321" t="s">
        <v>16453</v>
      </c>
      <c r="GT248" s="214" t="s">
        <v>34541</v>
      </c>
      <c r="GU248" s="214" t="s">
        <v>70</v>
      </c>
      <c r="GV248" s="214" t="s">
        <v>530</v>
      </c>
      <c r="GX248" s="214" t="s">
        <v>16454</v>
      </c>
      <c r="GY248" s="214" t="s">
        <v>34605</v>
      </c>
      <c r="GZ248" s="214" t="s">
        <v>70</v>
      </c>
      <c r="HA248" s="214" t="s">
        <v>530</v>
      </c>
      <c r="HC248" s="214" t="s">
        <v>16455</v>
      </c>
      <c r="HD248" s="214" t="s">
        <v>90</v>
      </c>
      <c r="HE248" s="214" t="s">
        <v>70</v>
      </c>
      <c r="HF248" s="214" t="s">
        <v>530</v>
      </c>
      <c r="HH248" s="214" t="s">
        <v>16456</v>
      </c>
      <c r="HI248" s="214" t="s">
        <v>163</v>
      </c>
      <c r="HJ248" s="214" t="s">
        <v>70</v>
      </c>
      <c r="HK248" s="214" t="s">
        <v>530</v>
      </c>
      <c r="HM248" s="214" t="s">
        <v>16457</v>
      </c>
      <c r="HN248" s="214" t="s">
        <v>164</v>
      </c>
      <c r="HO248" s="214" t="s">
        <v>70</v>
      </c>
      <c r="HP248" s="214" t="s">
        <v>530</v>
      </c>
      <c r="HR248" s="22" t="s">
        <v>16458</v>
      </c>
      <c r="HS248" s="22" t="s">
        <v>204</v>
      </c>
      <c r="HT248" s="22" t="s">
        <v>70</v>
      </c>
      <c r="HU248" s="214" t="s">
        <v>530</v>
      </c>
      <c r="HW248" s="22" t="s">
        <v>16459</v>
      </c>
      <c r="HX248" s="22" t="s">
        <v>34630</v>
      </c>
      <c r="HY248" s="22" t="s">
        <v>70</v>
      </c>
      <c r="HZ248" s="214" t="s">
        <v>530</v>
      </c>
      <c r="IB248" s="22" t="s">
        <v>16460</v>
      </c>
      <c r="IC248" s="22" t="s">
        <v>34606</v>
      </c>
      <c r="ID248" s="22" t="s">
        <v>70</v>
      </c>
      <c r="IE248" s="214" t="s">
        <v>530</v>
      </c>
      <c r="IG248" s="22" t="s">
        <v>16461</v>
      </c>
      <c r="IH248" s="22" t="s">
        <v>52</v>
      </c>
      <c r="II248" s="22" t="s">
        <v>70</v>
      </c>
      <c r="IJ248" s="214" t="s">
        <v>530</v>
      </c>
      <c r="IL248" s="22" t="s">
        <v>16462</v>
      </c>
      <c r="IM248" s="22" t="s">
        <v>145</v>
      </c>
      <c r="IN248" s="22" t="s">
        <v>70</v>
      </c>
      <c r="IO248" s="214" t="s">
        <v>530</v>
      </c>
      <c r="IQ248" s="236" t="s">
        <v>16463</v>
      </c>
      <c r="IR248" s="236" t="s">
        <v>145</v>
      </c>
      <c r="IS248" s="236" t="s">
        <v>74</v>
      </c>
      <c r="IT248" s="236" t="s">
        <v>841</v>
      </c>
      <c r="IV248" s="236" t="s">
        <v>16464</v>
      </c>
      <c r="IW248" s="236" t="s">
        <v>145</v>
      </c>
      <c r="IX248" s="236" t="s">
        <v>74</v>
      </c>
      <c r="IY248" s="236" t="s">
        <v>841</v>
      </c>
      <c r="JA248" s="236" t="s">
        <v>16465</v>
      </c>
      <c r="JB248" s="236" t="s">
        <v>145</v>
      </c>
      <c r="JC248" s="236" t="s">
        <v>74</v>
      </c>
      <c r="JD248" s="236" t="s">
        <v>841</v>
      </c>
      <c r="JF248" s="236" t="s">
        <v>16466</v>
      </c>
      <c r="JG248" s="236" t="s">
        <v>145</v>
      </c>
      <c r="JH248" s="236" t="s">
        <v>74</v>
      </c>
      <c r="JI248" s="236" t="s">
        <v>841</v>
      </c>
      <c r="JK248" s="236" t="s">
        <v>16467</v>
      </c>
      <c r="JL248" s="236" t="s">
        <v>145</v>
      </c>
      <c r="JM248" s="236" t="s">
        <v>74</v>
      </c>
      <c r="JN248" s="236" t="s">
        <v>841</v>
      </c>
      <c r="JP248" s="236" t="s">
        <v>16468</v>
      </c>
      <c r="JQ248" s="236" t="s">
        <v>145</v>
      </c>
      <c r="JR248" s="236" t="s">
        <v>74</v>
      </c>
      <c r="JS248" s="236" t="s">
        <v>841</v>
      </c>
      <c r="JU248" s="294" t="s">
        <v>16469</v>
      </c>
      <c r="JV248" s="294" t="s">
        <v>52</v>
      </c>
      <c r="JW248" s="263" t="s">
        <v>70</v>
      </c>
      <c r="JX248" s="294" t="s">
        <v>1083</v>
      </c>
      <c r="JZ248" s="263" t="s">
        <v>16470</v>
      </c>
      <c r="KA248" s="263" t="s">
        <v>145</v>
      </c>
      <c r="KB248" s="263" t="s">
        <v>70</v>
      </c>
      <c r="KC248" s="263" t="s">
        <v>1083</v>
      </c>
      <c r="KE248" s="263" t="s">
        <v>16471</v>
      </c>
      <c r="KF248" s="263" t="s">
        <v>52</v>
      </c>
      <c r="KG248" s="263" t="s">
        <v>70</v>
      </c>
      <c r="KH248" s="263" t="s">
        <v>1083</v>
      </c>
      <c r="KJ248" s="263" t="s">
        <v>16472</v>
      </c>
      <c r="KK248" s="263" t="s">
        <v>52</v>
      </c>
      <c r="KL248" s="263" t="s">
        <v>74</v>
      </c>
      <c r="KM248" s="263" t="s">
        <v>34074</v>
      </c>
      <c r="KO248" s="214" t="s">
        <v>16473</v>
      </c>
      <c r="KP248" s="214" t="s">
        <v>145</v>
      </c>
      <c r="KQ248" s="214" t="s">
        <v>70</v>
      </c>
      <c r="KR248" s="214" t="s">
        <v>67</v>
      </c>
      <c r="KT248" s="22" t="s">
        <v>16474</v>
      </c>
      <c r="KU248" s="22" t="s">
        <v>145</v>
      </c>
      <c r="KV248" s="22" t="s">
        <v>70</v>
      </c>
      <c r="KW248" s="22" t="s">
        <v>67</v>
      </c>
      <c r="KY248" s="214" t="s">
        <v>16475</v>
      </c>
      <c r="KZ248" s="214" t="s">
        <v>52</v>
      </c>
      <c r="LA248" s="214" t="s">
        <v>74</v>
      </c>
      <c r="LB248" s="214" t="s">
        <v>67</v>
      </c>
      <c r="LD248" s="22" t="s">
        <v>16476</v>
      </c>
      <c r="LE248" s="22" t="s">
        <v>145</v>
      </c>
      <c r="LF248" s="22" t="s">
        <v>70</v>
      </c>
      <c r="LG248" s="22" t="s">
        <v>67</v>
      </c>
    </row>
    <row r="249" spans="1:319">
      <c r="A249" s="22" t="s">
        <v>16477</v>
      </c>
      <c r="B249" s="22" t="s">
        <v>145</v>
      </c>
      <c r="C249" s="22" t="s">
        <v>70</v>
      </c>
      <c r="D249" s="22" t="s">
        <v>67</v>
      </c>
      <c r="F249" s="73" t="s">
        <v>16478</v>
      </c>
      <c r="G249" s="22" t="s">
        <v>145</v>
      </c>
      <c r="H249" s="22" t="s">
        <v>70</v>
      </c>
      <c r="I249" s="22" t="s">
        <v>67</v>
      </c>
      <c r="K249" s="22" t="s">
        <v>16479</v>
      </c>
      <c r="L249" s="22" t="s">
        <v>145</v>
      </c>
      <c r="M249" s="22" t="s">
        <v>70</v>
      </c>
      <c r="N249" s="22" t="s">
        <v>67</v>
      </c>
      <c r="P249" s="22" t="s">
        <v>16480</v>
      </c>
      <c r="Q249" s="22" t="s">
        <v>145</v>
      </c>
      <c r="R249" s="22" t="s">
        <v>70</v>
      </c>
      <c r="S249" s="22" t="s">
        <v>67</v>
      </c>
      <c r="U249" s="293" t="s">
        <v>16481</v>
      </c>
      <c r="V249" s="293" t="s">
        <v>145</v>
      </c>
      <c r="W249" s="293" t="s">
        <v>74</v>
      </c>
      <c r="X249" s="293" t="s">
        <v>656</v>
      </c>
      <c r="Z249" s="293" t="s">
        <v>16482</v>
      </c>
      <c r="AA249" s="293" t="s">
        <v>145</v>
      </c>
      <c r="AB249" s="293" t="s">
        <v>74</v>
      </c>
      <c r="AC249" s="293" t="s">
        <v>656</v>
      </c>
      <c r="AE249" s="293" t="s">
        <v>16483</v>
      </c>
      <c r="AF249" s="293" t="s">
        <v>145</v>
      </c>
      <c r="AG249" s="293" t="s">
        <v>74</v>
      </c>
      <c r="AH249" s="293" t="s">
        <v>656</v>
      </c>
      <c r="AJ249" s="293" t="s">
        <v>16484</v>
      </c>
      <c r="AK249" s="293" t="s">
        <v>145</v>
      </c>
      <c r="AL249" s="293" t="s">
        <v>74</v>
      </c>
      <c r="AM249" s="293" t="s">
        <v>656</v>
      </c>
      <c r="AO249" s="22" t="s">
        <v>16485</v>
      </c>
      <c r="AP249" s="22" t="s">
        <v>145</v>
      </c>
      <c r="AQ249" s="22" t="s">
        <v>70</v>
      </c>
      <c r="AR249" s="22" t="s">
        <v>67</v>
      </c>
      <c r="AT249" s="22" t="s">
        <v>16486</v>
      </c>
      <c r="AU249" s="22" t="s">
        <v>145</v>
      </c>
      <c r="AV249" s="22" t="s">
        <v>70</v>
      </c>
      <c r="AW249" s="22" t="s">
        <v>67</v>
      </c>
      <c r="AY249" s="22" t="s">
        <v>16487</v>
      </c>
      <c r="AZ249" s="22" t="s">
        <v>145</v>
      </c>
      <c r="BA249" s="22" t="s">
        <v>70</v>
      </c>
      <c r="BB249" s="22" t="s">
        <v>67</v>
      </c>
      <c r="BD249" s="22" t="s">
        <v>16488</v>
      </c>
      <c r="BE249" s="22" t="s">
        <v>145</v>
      </c>
      <c r="BF249" s="22" t="s">
        <v>70</v>
      </c>
      <c r="BG249" s="22" t="s">
        <v>67</v>
      </c>
      <c r="BI249" s="22" t="s">
        <v>16489</v>
      </c>
      <c r="BJ249" s="22" t="s">
        <v>145</v>
      </c>
      <c r="BK249" s="22" t="s">
        <v>70</v>
      </c>
      <c r="BL249" s="22" t="s">
        <v>67</v>
      </c>
      <c r="BN249" s="22" t="s">
        <v>16490</v>
      </c>
      <c r="BO249" s="22" t="s">
        <v>145</v>
      </c>
      <c r="BP249" s="22" t="s">
        <v>70</v>
      </c>
      <c r="BQ249" s="22" t="s">
        <v>67</v>
      </c>
      <c r="BS249" s="22" t="s">
        <v>16491</v>
      </c>
      <c r="BT249" s="22" t="s">
        <v>145</v>
      </c>
      <c r="BU249" s="22" t="s">
        <v>70</v>
      </c>
      <c r="BV249" s="214" t="s">
        <v>530</v>
      </c>
      <c r="BX249" s="22" t="s">
        <v>16492</v>
      </c>
      <c r="BY249" s="22" t="s">
        <v>145</v>
      </c>
      <c r="BZ249" s="22" t="s">
        <v>70</v>
      </c>
      <c r="CA249" s="214" t="s">
        <v>530</v>
      </c>
      <c r="CC249" s="214" t="s">
        <v>16493</v>
      </c>
      <c r="CD249" s="218" t="s">
        <v>145</v>
      </c>
      <c r="CE249" s="214" t="s">
        <v>70</v>
      </c>
      <c r="CF249" s="214" t="s">
        <v>702</v>
      </c>
      <c r="CH249" s="214" t="s">
        <v>16494</v>
      </c>
      <c r="CI249" s="214" t="s">
        <v>955</v>
      </c>
      <c r="CJ249" s="214" t="s">
        <v>70</v>
      </c>
      <c r="CK249" s="214" t="s">
        <v>530</v>
      </c>
      <c r="CM249" s="214" t="s">
        <v>16495</v>
      </c>
      <c r="CN249" s="214" t="s">
        <v>484</v>
      </c>
      <c r="CO249" s="214" t="s">
        <v>70</v>
      </c>
      <c r="CP249" s="214" t="s">
        <v>530</v>
      </c>
      <c r="CR249" s="214" t="s">
        <v>16496</v>
      </c>
      <c r="CS249" s="214" t="s">
        <v>52</v>
      </c>
      <c r="CT249" s="214" t="s">
        <v>70</v>
      </c>
      <c r="CU249" s="214" t="s">
        <v>530</v>
      </c>
      <c r="CW249" s="214" t="s">
        <v>16497</v>
      </c>
      <c r="CX249" s="214" t="s">
        <v>34551</v>
      </c>
      <c r="CY249" s="214" t="s">
        <v>70</v>
      </c>
      <c r="CZ249" s="214" t="s">
        <v>530</v>
      </c>
      <c r="DB249" s="214" t="s">
        <v>16498</v>
      </c>
      <c r="DC249" s="214" t="s">
        <v>468</v>
      </c>
      <c r="DD249" s="214" t="s">
        <v>70</v>
      </c>
      <c r="DE249" s="214" t="s">
        <v>530</v>
      </c>
      <c r="DG249" s="214" t="s">
        <v>16499</v>
      </c>
      <c r="DH249" s="214" t="s">
        <v>468</v>
      </c>
      <c r="DI249" s="214" t="s">
        <v>70</v>
      </c>
      <c r="DJ249" s="214" t="s">
        <v>530</v>
      </c>
      <c r="DL249" s="214" t="s">
        <v>16500</v>
      </c>
      <c r="DM249" s="214" t="s">
        <v>34539</v>
      </c>
      <c r="DN249" s="214" t="s">
        <v>70</v>
      </c>
      <c r="DO249" s="214" t="s">
        <v>530</v>
      </c>
      <c r="DQ249" s="214" t="s">
        <v>16501</v>
      </c>
      <c r="DR249" s="214" t="s">
        <v>486</v>
      </c>
      <c r="DS249" s="214" t="s">
        <v>70</v>
      </c>
      <c r="DT249" s="214" t="s">
        <v>530</v>
      </c>
      <c r="DV249" s="214" t="s">
        <v>16502</v>
      </c>
      <c r="DW249" s="214" t="s">
        <v>921</v>
      </c>
      <c r="DX249" s="214" t="s">
        <v>70</v>
      </c>
      <c r="DY249" s="214" t="s">
        <v>530</v>
      </c>
      <c r="EA249" s="214" t="s">
        <v>16503</v>
      </c>
      <c r="EB249" s="214" t="s">
        <v>52</v>
      </c>
      <c r="EC249" s="214" t="s">
        <v>70</v>
      </c>
      <c r="ED249" s="214" t="s">
        <v>530</v>
      </c>
      <c r="EF249" s="214" t="s">
        <v>16504</v>
      </c>
      <c r="EG249" s="214" t="s">
        <v>52</v>
      </c>
      <c r="EH249" s="214" t="s">
        <v>70</v>
      </c>
      <c r="EI249" s="214" t="s">
        <v>530</v>
      </c>
      <c r="EK249" s="214" t="s">
        <v>16505</v>
      </c>
      <c r="EL249" s="214" t="s">
        <v>502</v>
      </c>
      <c r="EM249" s="214" t="s">
        <v>70</v>
      </c>
      <c r="EN249" s="214" t="s">
        <v>530</v>
      </c>
      <c r="EP249" s="214" t="s">
        <v>16506</v>
      </c>
      <c r="EQ249" s="214" t="s">
        <v>950</v>
      </c>
      <c r="ER249" s="214" t="s">
        <v>70</v>
      </c>
      <c r="ES249" s="214" t="s">
        <v>530</v>
      </c>
      <c r="EU249" s="214" t="s">
        <v>16507</v>
      </c>
      <c r="EV249" s="214" t="s">
        <v>52</v>
      </c>
      <c r="EW249" s="214" t="s">
        <v>70</v>
      </c>
      <c r="EX249" s="214" t="s">
        <v>530</v>
      </c>
      <c r="EZ249" s="214" t="s">
        <v>16508</v>
      </c>
      <c r="FA249" s="214" t="s">
        <v>34516</v>
      </c>
      <c r="FB249" s="214" t="s">
        <v>70</v>
      </c>
      <c r="FC249" s="214" t="s">
        <v>530</v>
      </c>
      <c r="FE249" s="214" t="s">
        <v>16509</v>
      </c>
      <c r="FF249" s="214" t="s">
        <v>488</v>
      </c>
      <c r="FG249" s="214" t="s">
        <v>70</v>
      </c>
      <c r="FH249" s="214" t="s">
        <v>530</v>
      </c>
      <c r="FJ249" s="321" t="s">
        <v>16510</v>
      </c>
      <c r="FK249" s="214" t="s">
        <v>926</v>
      </c>
      <c r="FL249" s="214" t="s">
        <v>70</v>
      </c>
      <c r="FM249" s="214" t="s">
        <v>530</v>
      </c>
      <c r="FO249" s="321" t="s">
        <v>16511</v>
      </c>
      <c r="FP249" s="214" t="s">
        <v>481</v>
      </c>
      <c r="FQ249" s="214" t="s">
        <v>70</v>
      </c>
      <c r="FR249" s="214" t="s">
        <v>530</v>
      </c>
      <c r="FT249" s="321" t="s">
        <v>16512</v>
      </c>
      <c r="FU249" s="214" t="s">
        <v>491</v>
      </c>
      <c r="FV249" s="214" t="s">
        <v>70</v>
      </c>
      <c r="FW249" s="214" t="s">
        <v>530</v>
      </c>
      <c r="FY249" s="321" t="s">
        <v>16513</v>
      </c>
      <c r="FZ249" s="214" t="s">
        <v>502</v>
      </c>
      <c r="GA249" s="214" t="s">
        <v>70</v>
      </c>
      <c r="GB249" s="214" t="s">
        <v>530</v>
      </c>
      <c r="GD249" s="321" t="s">
        <v>16514</v>
      </c>
      <c r="GE249" s="214" t="s">
        <v>34541</v>
      </c>
      <c r="GF249" s="214" t="s">
        <v>70</v>
      </c>
      <c r="GG249" s="214" t="s">
        <v>530</v>
      </c>
      <c r="GI249" s="321" t="s">
        <v>16515</v>
      </c>
      <c r="GJ249" s="214" t="s">
        <v>34558</v>
      </c>
      <c r="GK249" s="214" t="s">
        <v>70</v>
      </c>
      <c r="GL249" s="214" t="s">
        <v>530</v>
      </c>
      <c r="GN249" s="321" t="s">
        <v>16516</v>
      </c>
      <c r="GO249" s="214" t="s">
        <v>52</v>
      </c>
      <c r="GP249" s="214" t="s">
        <v>70</v>
      </c>
      <c r="GQ249" s="214" t="s">
        <v>530</v>
      </c>
      <c r="GS249" s="321" t="s">
        <v>16517</v>
      </c>
      <c r="GT249" s="214" t="s">
        <v>503</v>
      </c>
      <c r="GU249" s="214" t="s">
        <v>70</v>
      </c>
      <c r="GV249" s="214" t="s">
        <v>530</v>
      </c>
      <c r="GX249" s="214" t="s">
        <v>16518</v>
      </c>
      <c r="GY249" s="214" t="s">
        <v>34545</v>
      </c>
      <c r="GZ249" s="214" t="s">
        <v>70</v>
      </c>
      <c r="HA249" s="214" t="s">
        <v>530</v>
      </c>
      <c r="HC249" s="214" t="s">
        <v>16519</v>
      </c>
      <c r="HD249" s="214" t="s">
        <v>204</v>
      </c>
      <c r="HE249" s="214" t="s">
        <v>70</v>
      </c>
      <c r="HF249" s="214" t="s">
        <v>530</v>
      </c>
      <c r="HH249" s="214" t="s">
        <v>16520</v>
      </c>
      <c r="HI249" s="214" t="s">
        <v>955</v>
      </c>
      <c r="HJ249" s="214" t="s">
        <v>70</v>
      </c>
      <c r="HK249" s="214" t="s">
        <v>530</v>
      </c>
      <c r="HM249" s="214" t="s">
        <v>16521</v>
      </c>
      <c r="HN249" s="214" t="s">
        <v>955</v>
      </c>
      <c r="HO249" s="214" t="s">
        <v>70</v>
      </c>
      <c r="HP249" s="214" t="s">
        <v>530</v>
      </c>
      <c r="HR249" s="22" t="s">
        <v>16522</v>
      </c>
      <c r="HS249" s="22" t="s">
        <v>52</v>
      </c>
      <c r="HT249" s="22" t="s">
        <v>70</v>
      </c>
      <c r="HU249" s="214" t="s">
        <v>530</v>
      </c>
      <c r="HW249" s="22" t="s">
        <v>16523</v>
      </c>
      <c r="HX249" s="22" t="s">
        <v>34542</v>
      </c>
      <c r="HY249" s="22" t="s">
        <v>70</v>
      </c>
      <c r="HZ249" s="214" t="s">
        <v>530</v>
      </c>
      <c r="IB249" s="22" t="s">
        <v>16524</v>
      </c>
      <c r="IC249" s="22" t="s">
        <v>34552</v>
      </c>
      <c r="ID249" s="22" t="s">
        <v>70</v>
      </c>
      <c r="IE249" s="214" t="s">
        <v>530</v>
      </c>
      <c r="IG249" s="22" t="s">
        <v>16525</v>
      </c>
      <c r="IH249" s="22" t="s">
        <v>52</v>
      </c>
      <c r="II249" s="22" t="s">
        <v>70</v>
      </c>
      <c r="IJ249" s="214" t="s">
        <v>530</v>
      </c>
      <c r="IL249" s="22" t="s">
        <v>16526</v>
      </c>
      <c r="IM249" s="22" t="s">
        <v>145</v>
      </c>
      <c r="IN249" s="22" t="s">
        <v>70</v>
      </c>
      <c r="IO249" s="214" t="s">
        <v>530</v>
      </c>
      <c r="IQ249" s="236" t="s">
        <v>16527</v>
      </c>
      <c r="IR249" s="236" t="s">
        <v>145</v>
      </c>
      <c r="IS249" s="236" t="s">
        <v>74</v>
      </c>
      <c r="IT249" s="236" t="s">
        <v>841</v>
      </c>
      <c r="IV249" s="236" t="s">
        <v>16528</v>
      </c>
      <c r="IW249" s="236" t="s">
        <v>145</v>
      </c>
      <c r="IX249" s="236" t="s">
        <v>74</v>
      </c>
      <c r="IY249" s="236" t="s">
        <v>841</v>
      </c>
      <c r="JA249" s="236" t="s">
        <v>16529</v>
      </c>
      <c r="JB249" s="236" t="s">
        <v>145</v>
      </c>
      <c r="JC249" s="236" t="s">
        <v>74</v>
      </c>
      <c r="JD249" s="236" t="s">
        <v>841</v>
      </c>
      <c r="JF249" s="236" t="s">
        <v>16530</v>
      </c>
      <c r="JG249" s="236" t="s">
        <v>145</v>
      </c>
      <c r="JH249" s="236" t="s">
        <v>74</v>
      </c>
      <c r="JI249" s="236" t="s">
        <v>841</v>
      </c>
      <c r="JK249" s="236" t="s">
        <v>16531</v>
      </c>
      <c r="JL249" s="236" t="s">
        <v>145</v>
      </c>
      <c r="JM249" s="236" t="s">
        <v>74</v>
      </c>
      <c r="JN249" s="236" t="s">
        <v>841</v>
      </c>
      <c r="JP249" s="236" t="s">
        <v>16532</v>
      </c>
      <c r="JQ249" s="236" t="s">
        <v>145</v>
      </c>
      <c r="JR249" s="236" t="s">
        <v>74</v>
      </c>
      <c r="JS249" s="236" t="s">
        <v>841</v>
      </c>
      <c r="JU249" s="294" t="s">
        <v>16533</v>
      </c>
      <c r="JV249" s="294" t="s">
        <v>52</v>
      </c>
      <c r="JW249" s="263" t="s">
        <v>70</v>
      </c>
      <c r="JX249" s="294" t="s">
        <v>1083</v>
      </c>
      <c r="JZ249" s="263" t="s">
        <v>16534</v>
      </c>
      <c r="KA249" s="263" t="s">
        <v>145</v>
      </c>
      <c r="KB249" s="263" t="s">
        <v>70</v>
      </c>
      <c r="KC249" s="263" t="s">
        <v>1083</v>
      </c>
      <c r="KE249" s="263" t="s">
        <v>16535</v>
      </c>
      <c r="KF249" s="263" t="s">
        <v>52</v>
      </c>
      <c r="KG249" s="263" t="s">
        <v>70</v>
      </c>
      <c r="KH249" s="263" t="s">
        <v>1083</v>
      </c>
      <c r="KJ249" s="263" t="s">
        <v>16536</v>
      </c>
      <c r="KK249" s="263" t="s">
        <v>52</v>
      </c>
      <c r="KL249" s="263" t="s">
        <v>74</v>
      </c>
      <c r="KM249" s="263" t="s">
        <v>34074</v>
      </c>
      <c r="KO249" s="214" t="s">
        <v>16537</v>
      </c>
      <c r="KP249" s="214" t="s">
        <v>145</v>
      </c>
      <c r="KQ249" s="214" t="s">
        <v>70</v>
      </c>
      <c r="KR249" s="214" t="s">
        <v>67</v>
      </c>
      <c r="KT249" s="22" t="s">
        <v>16538</v>
      </c>
      <c r="KU249" s="22" t="s">
        <v>145</v>
      </c>
      <c r="KV249" s="22" t="s">
        <v>70</v>
      </c>
      <c r="KW249" s="22" t="s">
        <v>67</v>
      </c>
      <c r="KY249" s="214" t="s">
        <v>16539</v>
      </c>
      <c r="KZ249" s="214" t="s">
        <v>52</v>
      </c>
      <c r="LA249" s="214" t="s">
        <v>74</v>
      </c>
      <c r="LB249" s="214" t="s">
        <v>67</v>
      </c>
      <c r="LD249" s="22" t="s">
        <v>16540</v>
      </c>
      <c r="LE249" s="22" t="s">
        <v>145</v>
      </c>
      <c r="LF249" s="22" t="s">
        <v>70</v>
      </c>
      <c r="LG249" s="22" t="s">
        <v>67</v>
      </c>
    </row>
    <row r="250" spans="1:319">
      <c r="A250" s="22" t="s">
        <v>16541</v>
      </c>
      <c r="B250" s="22" t="s">
        <v>145</v>
      </c>
      <c r="C250" s="22" t="s">
        <v>70</v>
      </c>
      <c r="D250" s="22" t="s">
        <v>67</v>
      </c>
      <c r="F250" s="73" t="s">
        <v>16542</v>
      </c>
      <c r="G250" s="22" t="s">
        <v>145</v>
      </c>
      <c r="H250" s="22" t="s">
        <v>70</v>
      </c>
      <c r="I250" s="22" t="s">
        <v>67</v>
      </c>
      <c r="K250" s="22" t="s">
        <v>16543</v>
      </c>
      <c r="L250" s="22" t="s">
        <v>145</v>
      </c>
      <c r="M250" s="22" t="s">
        <v>70</v>
      </c>
      <c r="N250" s="22" t="s">
        <v>67</v>
      </c>
      <c r="P250" s="22" t="s">
        <v>16544</v>
      </c>
      <c r="Q250" s="22" t="s">
        <v>145</v>
      </c>
      <c r="R250" s="22" t="s">
        <v>70</v>
      </c>
      <c r="S250" s="22" t="s">
        <v>67</v>
      </c>
      <c r="U250" s="293" t="s">
        <v>16545</v>
      </c>
      <c r="V250" s="293" t="s">
        <v>145</v>
      </c>
      <c r="W250" s="293" t="s">
        <v>74</v>
      </c>
      <c r="X250" s="293" t="s">
        <v>656</v>
      </c>
      <c r="Z250" s="293" t="s">
        <v>16546</v>
      </c>
      <c r="AA250" s="293" t="s">
        <v>145</v>
      </c>
      <c r="AB250" s="293" t="s">
        <v>74</v>
      </c>
      <c r="AC250" s="293" t="s">
        <v>656</v>
      </c>
      <c r="AE250" s="293" t="s">
        <v>16547</v>
      </c>
      <c r="AF250" s="293" t="s">
        <v>145</v>
      </c>
      <c r="AG250" s="293" t="s">
        <v>74</v>
      </c>
      <c r="AH250" s="293" t="s">
        <v>656</v>
      </c>
      <c r="AJ250" s="293" t="s">
        <v>16548</v>
      </c>
      <c r="AK250" s="293" t="s">
        <v>145</v>
      </c>
      <c r="AL250" s="293" t="s">
        <v>74</v>
      </c>
      <c r="AM250" s="293" t="s">
        <v>656</v>
      </c>
      <c r="AO250" s="22" t="s">
        <v>16549</v>
      </c>
      <c r="AP250" s="22" t="s">
        <v>145</v>
      </c>
      <c r="AQ250" s="22" t="s">
        <v>70</v>
      </c>
      <c r="AR250" s="22" t="s">
        <v>67</v>
      </c>
      <c r="AT250" s="22" t="s">
        <v>16550</v>
      </c>
      <c r="AU250" s="22" t="s">
        <v>145</v>
      </c>
      <c r="AV250" s="22" t="s">
        <v>70</v>
      </c>
      <c r="AW250" s="22" t="s">
        <v>67</v>
      </c>
      <c r="AY250" s="22" t="s">
        <v>16551</v>
      </c>
      <c r="AZ250" s="22" t="s">
        <v>145</v>
      </c>
      <c r="BA250" s="22" t="s">
        <v>70</v>
      </c>
      <c r="BB250" s="22" t="s">
        <v>67</v>
      </c>
      <c r="BD250" s="22" t="s">
        <v>16552</v>
      </c>
      <c r="BE250" s="22" t="s">
        <v>145</v>
      </c>
      <c r="BF250" s="22" t="s">
        <v>70</v>
      </c>
      <c r="BG250" s="22" t="s">
        <v>67</v>
      </c>
      <c r="BI250" s="22" t="s">
        <v>16553</v>
      </c>
      <c r="BJ250" s="22" t="s">
        <v>145</v>
      </c>
      <c r="BK250" s="22" t="s">
        <v>70</v>
      </c>
      <c r="BL250" s="22" t="s">
        <v>67</v>
      </c>
      <c r="BN250" s="22" t="s">
        <v>16554</v>
      </c>
      <c r="BO250" s="22" t="s">
        <v>145</v>
      </c>
      <c r="BP250" s="22" t="s">
        <v>70</v>
      </c>
      <c r="BQ250" s="22" t="s">
        <v>67</v>
      </c>
      <c r="BS250" s="22" t="s">
        <v>16555</v>
      </c>
      <c r="BT250" s="22" t="s">
        <v>145</v>
      </c>
      <c r="BU250" s="22" t="s">
        <v>70</v>
      </c>
      <c r="BV250" s="214" t="s">
        <v>530</v>
      </c>
      <c r="BX250" s="22" t="s">
        <v>16556</v>
      </c>
      <c r="BY250" s="22" t="s">
        <v>145</v>
      </c>
      <c r="BZ250" s="22" t="s">
        <v>70</v>
      </c>
      <c r="CA250" s="214" t="s">
        <v>530</v>
      </c>
      <c r="CC250" s="214" t="s">
        <v>16557</v>
      </c>
      <c r="CD250" s="218" t="s">
        <v>145</v>
      </c>
      <c r="CE250" s="214" t="s">
        <v>70</v>
      </c>
      <c r="CF250" s="214" t="s">
        <v>703</v>
      </c>
      <c r="CH250" s="214" t="s">
        <v>16558</v>
      </c>
      <c r="CI250" s="214" t="s">
        <v>52</v>
      </c>
      <c r="CJ250" s="214" t="s">
        <v>70</v>
      </c>
      <c r="CK250" s="214" t="s">
        <v>530</v>
      </c>
      <c r="CM250" s="214" t="s">
        <v>16559</v>
      </c>
      <c r="CN250" s="214" t="s">
        <v>485</v>
      </c>
      <c r="CO250" s="214" t="s">
        <v>70</v>
      </c>
      <c r="CP250" s="214" t="s">
        <v>530</v>
      </c>
      <c r="CR250" s="214" t="s">
        <v>16560</v>
      </c>
      <c r="CS250" s="214" t="s">
        <v>34579</v>
      </c>
      <c r="CT250" s="214" t="s">
        <v>70</v>
      </c>
      <c r="CU250" s="214" t="s">
        <v>530</v>
      </c>
      <c r="CW250" s="214" t="s">
        <v>16561</v>
      </c>
      <c r="CX250" s="214" t="s">
        <v>487</v>
      </c>
      <c r="CY250" s="214" t="s">
        <v>70</v>
      </c>
      <c r="CZ250" s="214" t="s">
        <v>530</v>
      </c>
      <c r="DB250" s="214" t="s">
        <v>16562</v>
      </c>
      <c r="DC250" s="214" t="s">
        <v>52</v>
      </c>
      <c r="DD250" s="214" t="s">
        <v>70</v>
      </c>
      <c r="DE250" s="214" t="s">
        <v>530</v>
      </c>
      <c r="DG250" s="214" t="s">
        <v>16563</v>
      </c>
      <c r="DH250" s="214" t="s">
        <v>85</v>
      </c>
      <c r="DI250" s="214" t="s">
        <v>70</v>
      </c>
      <c r="DJ250" s="214" t="s">
        <v>530</v>
      </c>
      <c r="DL250" s="214" t="s">
        <v>16564</v>
      </c>
      <c r="DM250" s="214" t="s">
        <v>90</v>
      </c>
      <c r="DN250" s="214" t="s">
        <v>70</v>
      </c>
      <c r="DO250" s="214" t="s">
        <v>530</v>
      </c>
      <c r="DQ250" s="214" t="s">
        <v>16565</v>
      </c>
      <c r="DR250" s="214" t="s">
        <v>501</v>
      </c>
      <c r="DS250" s="214" t="s">
        <v>70</v>
      </c>
      <c r="DT250" s="214" t="s">
        <v>530</v>
      </c>
      <c r="DV250" s="214" t="s">
        <v>16566</v>
      </c>
      <c r="DW250" s="214" t="s">
        <v>531</v>
      </c>
      <c r="DX250" s="214" t="s">
        <v>70</v>
      </c>
      <c r="DY250" s="214" t="s">
        <v>530</v>
      </c>
      <c r="EA250" s="214" t="s">
        <v>16567</v>
      </c>
      <c r="EB250" s="214" t="s">
        <v>34575</v>
      </c>
      <c r="EC250" s="214" t="s">
        <v>70</v>
      </c>
      <c r="ED250" s="214" t="s">
        <v>530</v>
      </c>
      <c r="EF250" s="214" t="s">
        <v>16568</v>
      </c>
      <c r="EG250" s="214" t="s">
        <v>949</v>
      </c>
      <c r="EH250" s="214" t="s">
        <v>70</v>
      </c>
      <c r="EI250" s="214" t="s">
        <v>530</v>
      </c>
      <c r="EK250" s="214" t="s">
        <v>16569</v>
      </c>
      <c r="EL250" s="214" t="s">
        <v>34590</v>
      </c>
      <c r="EM250" s="214" t="s">
        <v>70</v>
      </c>
      <c r="EN250" s="214" t="s">
        <v>530</v>
      </c>
      <c r="EP250" s="214" t="s">
        <v>16570</v>
      </c>
      <c r="EQ250" s="214" t="s">
        <v>52</v>
      </c>
      <c r="ER250" s="214" t="s">
        <v>70</v>
      </c>
      <c r="ES250" s="214" t="s">
        <v>530</v>
      </c>
      <c r="EU250" s="214" t="s">
        <v>16571</v>
      </c>
      <c r="EV250" s="214" t="s">
        <v>145</v>
      </c>
      <c r="EW250" s="214" t="s">
        <v>70</v>
      </c>
      <c r="EX250" s="214" t="s">
        <v>530</v>
      </c>
      <c r="EZ250" s="214" t="s">
        <v>16572</v>
      </c>
      <c r="FA250" s="214" t="s">
        <v>916</v>
      </c>
      <c r="FB250" s="214" t="s">
        <v>70</v>
      </c>
      <c r="FC250" s="214" t="s">
        <v>530</v>
      </c>
      <c r="FE250" s="214" t="s">
        <v>16573</v>
      </c>
      <c r="FF250" s="214" t="s">
        <v>601</v>
      </c>
      <c r="FG250" s="214" t="s">
        <v>70</v>
      </c>
      <c r="FH250" s="214" t="s">
        <v>530</v>
      </c>
      <c r="FJ250" s="321" t="s">
        <v>16574</v>
      </c>
      <c r="FK250" s="214" t="s">
        <v>86</v>
      </c>
      <c r="FL250" s="214" t="s">
        <v>70</v>
      </c>
      <c r="FM250" s="214" t="s">
        <v>530</v>
      </c>
      <c r="FO250" s="321" t="s">
        <v>16575</v>
      </c>
      <c r="FP250" s="214" t="s">
        <v>485</v>
      </c>
      <c r="FQ250" s="214" t="s">
        <v>70</v>
      </c>
      <c r="FR250" s="214" t="s">
        <v>530</v>
      </c>
      <c r="FT250" s="321" t="s">
        <v>16576</v>
      </c>
      <c r="FU250" s="214" t="s">
        <v>148</v>
      </c>
      <c r="FV250" s="214" t="s">
        <v>70</v>
      </c>
      <c r="FW250" s="214" t="s">
        <v>530</v>
      </c>
      <c r="FY250" s="321" t="s">
        <v>16577</v>
      </c>
      <c r="FZ250" s="214" t="s">
        <v>145</v>
      </c>
      <c r="GA250" s="214" t="s">
        <v>70</v>
      </c>
      <c r="GB250" s="214" t="s">
        <v>530</v>
      </c>
      <c r="GD250" s="321" t="s">
        <v>16578</v>
      </c>
      <c r="GE250" s="214" t="s">
        <v>34604</v>
      </c>
      <c r="GF250" s="214" t="s">
        <v>70</v>
      </c>
      <c r="GG250" s="214" t="s">
        <v>530</v>
      </c>
      <c r="GI250" s="321" t="s">
        <v>16579</v>
      </c>
      <c r="GJ250" s="214" t="s">
        <v>468</v>
      </c>
      <c r="GK250" s="214" t="s">
        <v>70</v>
      </c>
      <c r="GL250" s="214" t="s">
        <v>530</v>
      </c>
      <c r="GN250" s="321" t="s">
        <v>16580</v>
      </c>
      <c r="GO250" s="214" t="s">
        <v>86</v>
      </c>
      <c r="GP250" s="214" t="s">
        <v>70</v>
      </c>
      <c r="GQ250" s="214" t="s">
        <v>530</v>
      </c>
      <c r="GS250" s="321" t="s">
        <v>16581</v>
      </c>
      <c r="GT250" s="214" t="s">
        <v>52</v>
      </c>
      <c r="GU250" s="214" t="s">
        <v>70</v>
      </c>
      <c r="GV250" s="214" t="s">
        <v>530</v>
      </c>
      <c r="GX250" s="214" t="s">
        <v>16582</v>
      </c>
      <c r="GY250" s="214" t="s">
        <v>52</v>
      </c>
      <c r="GZ250" s="214" t="s">
        <v>70</v>
      </c>
      <c r="HA250" s="214" t="s">
        <v>530</v>
      </c>
      <c r="HC250" s="214" t="s">
        <v>16583</v>
      </c>
      <c r="HD250" s="214" t="s">
        <v>34569</v>
      </c>
      <c r="HE250" s="214" t="s">
        <v>70</v>
      </c>
      <c r="HF250" s="214" t="s">
        <v>530</v>
      </c>
      <c r="HH250" s="214" t="s">
        <v>16584</v>
      </c>
      <c r="HI250" s="214" t="s">
        <v>145</v>
      </c>
      <c r="HJ250" s="214" t="s">
        <v>70</v>
      </c>
      <c r="HK250" s="214" t="s">
        <v>530</v>
      </c>
      <c r="HM250" s="214" t="s">
        <v>16585</v>
      </c>
      <c r="HN250" s="214" t="s">
        <v>145</v>
      </c>
      <c r="HO250" s="214" t="s">
        <v>70</v>
      </c>
      <c r="HP250" s="214" t="s">
        <v>530</v>
      </c>
      <c r="HR250" s="22" t="s">
        <v>16586</v>
      </c>
      <c r="HS250" s="22" t="s">
        <v>34579</v>
      </c>
      <c r="HT250" s="22" t="s">
        <v>70</v>
      </c>
      <c r="HU250" s="214" t="s">
        <v>530</v>
      </c>
      <c r="HW250" s="22" t="s">
        <v>16587</v>
      </c>
      <c r="HX250" s="22" t="s">
        <v>34572</v>
      </c>
      <c r="HY250" s="22" t="s">
        <v>70</v>
      </c>
      <c r="HZ250" s="214" t="s">
        <v>530</v>
      </c>
      <c r="IB250" s="22" t="s">
        <v>16588</v>
      </c>
      <c r="IC250" s="22" t="s">
        <v>34608</v>
      </c>
      <c r="ID250" s="22" t="s">
        <v>70</v>
      </c>
      <c r="IE250" s="214" t="s">
        <v>530</v>
      </c>
      <c r="IG250" s="22" t="s">
        <v>16589</v>
      </c>
      <c r="IH250" s="22" t="s">
        <v>52</v>
      </c>
      <c r="II250" s="22" t="s">
        <v>70</v>
      </c>
      <c r="IJ250" s="214" t="s">
        <v>530</v>
      </c>
      <c r="IL250" s="22" t="s">
        <v>16590</v>
      </c>
      <c r="IM250" s="22" t="s">
        <v>145</v>
      </c>
      <c r="IN250" s="22" t="s">
        <v>70</v>
      </c>
      <c r="IO250" s="214" t="s">
        <v>530</v>
      </c>
      <c r="IQ250" s="236" t="s">
        <v>16591</v>
      </c>
      <c r="IR250" s="236" t="s">
        <v>145</v>
      </c>
      <c r="IS250" s="236" t="s">
        <v>74</v>
      </c>
      <c r="IT250" s="236" t="s">
        <v>841</v>
      </c>
      <c r="IV250" s="236" t="s">
        <v>16592</v>
      </c>
      <c r="IW250" s="236" t="s">
        <v>145</v>
      </c>
      <c r="IX250" s="236" t="s">
        <v>74</v>
      </c>
      <c r="IY250" s="236" t="s">
        <v>841</v>
      </c>
      <c r="JA250" s="236" t="s">
        <v>16593</v>
      </c>
      <c r="JB250" s="236" t="s">
        <v>145</v>
      </c>
      <c r="JC250" s="236" t="s">
        <v>74</v>
      </c>
      <c r="JD250" s="236" t="s">
        <v>841</v>
      </c>
      <c r="JF250" s="236" t="s">
        <v>16594</v>
      </c>
      <c r="JG250" s="236" t="s">
        <v>145</v>
      </c>
      <c r="JH250" s="236" t="s">
        <v>74</v>
      </c>
      <c r="JI250" s="236" t="s">
        <v>841</v>
      </c>
      <c r="JK250" s="236" t="s">
        <v>16595</v>
      </c>
      <c r="JL250" s="236" t="s">
        <v>145</v>
      </c>
      <c r="JM250" s="236" t="s">
        <v>74</v>
      </c>
      <c r="JN250" s="236" t="s">
        <v>841</v>
      </c>
      <c r="JP250" s="236" t="s">
        <v>16596</v>
      </c>
      <c r="JQ250" s="236" t="s">
        <v>145</v>
      </c>
      <c r="JR250" s="236" t="s">
        <v>74</v>
      </c>
      <c r="JS250" s="236" t="s">
        <v>841</v>
      </c>
      <c r="JU250" s="294" t="s">
        <v>16597</v>
      </c>
      <c r="JV250" s="294" t="s">
        <v>52</v>
      </c>
      <c r="JW250" s="263" t="s">
        <v>70</v>
      </c>
      <c r="JX250" s="294" t="s">
        <v>1083</v>
      </c>
      <c r="JZ250" s="263" t="s">
        <v>16598</v>
      </c>
      <c r="KA250" s="263" t="s">
        <v>145</v>
      </c>
      <c r="KB250" s="263" t="s">
        <v>70</v>
      </c>
      <c r="KC250" s="263" t="s">
        <v>1083</v>
      </c>
      <c r="KE250" s="263" t="s">
        <v>16599</v>
      </c>
      <c r="KF250" s="263" t="s">
        <v>52</v>
      </c>
      <c r="KG250" s="263" t="s">
        <v>70</v>
      </c>
      <c r="KH250" s="263" t="s">
        <v>1083</v>
      </c>
      <c r="KJ250" s="263" t="s">
        <v>16600</v>
      </c>
      <c r="KK250" s="263" t="s">
        <v>52</v>
      </c>
      <c r="KL250" s="263" t="s">
        <v>74</v>
      </c>
      <c r="KM250" s="263" t="s">
        <v>34074</v>
      </c>
      <c r="KO250" s="214" t="s">
        <v>16601</v>
      </c>
      <c r="KP250" s="214" t="s">
        <v>145</v>
      </c>
      <c r="KQ250" s="214" t="s">
        <v>70</v>
      </c>
      <c r="KR250" s="214" t="s">
        <v>67</v>
      </c>
      <c r="KT250" s="22" t="s">
        <v>16602</v>
      </c>
      <c r="KU250" s="22" t="s">
        <v>145</v>
      </c>
      <c r="KV250" s="22" t="s">
        <v>70</v>
      </c>
      <c r="KW250" s="22" t="s">
        <v>67</v>
      </c>
      <c r="KY250" s="214" t="s">
        <v>16603</v>
      </c>
      <c r="KZ250" s="214" t="s">
        <v>52</v>
      </c>
      <c r="LA250" s="214" t="s">
        <v>74</v>
      </c>
      <c r="LB250" s="214" t="s">
        <v>67</v>
      </c>
      <c r="LD250" s="22" t="s">
        <v>16604</v>
      </c>
      <c r="LE250" s="22" t="s">
        <v>145</v>
      </c>
      <c r="LF250" s="22" t="s">
        <v>70</v>
      </c>
      <c r="LG250" s="22" t="s">
        <v>67</v>
      </c>
    </row>
    <row r="251" spans="1:319">
      <c r="A251" s="22" t="s">
        <v>16605</v>
      </c>
      <c r="B251" s="22" t="s">
        <v>145</v>
      </c>
      <c r="C251" s="22" t="s">
        <v>70</v>
      </c>
      <c r="D251" s="22" t="s">
        <v>67</v>
      </c>
      <c r="F251" s="73" t="s">
        <v>16606</v>
      </c>
      <c r="G251" s="22" t="s">
        <v>145</v>
      </c>
      <c r="H251" s="22" t="s">
        <v>70</v>
      </c>
      <c r="I251" s="22" t="s">
        <v>67</v>
      </c>
      <c r="K251" s="22" t="s">
        <v>16607</v>
      </c>
      <c r="L251" s="22" t="s">
        <v>145</v>
      </c>
      <c r="M251" s="22" t="s">
        <v>70</v>
      </c>
      <c r="N251" s="22" t="s">
        <v>67</v>
      </c>
      <c r="P251" s="22" t="s">
        <v>16608</v>
      </c>
      <c r="Q251" s="22" t="s">
        <v>145</v>
      </c>
      <c r="R251" s="22" t="s">
        <v>70</v>
      </c>
      <c r="S251" s="22" t="s">
        <v>67</v>
      </c>
      <c r="U251" s="293" t="s">
        <v>16609</v>
      </c>
      <c r="V251" s="293" t="s">
        <v>145</v>
      </c>
      <c r="W251" s="293" t="s">
        <v>74</v>
      </c>
      <c r="X251" s="293" t="s">
        <v>656</v>
      </c>
      <c r="Z251" s="293" t="s">
        <v>16610</v>
      </c>
      <c r="AA251" s="293" t="s">
        <v>145</v>
      </c>
      <c r="AB251" s="293" t="s">
        <v>74</v>
      </c>
      <c r="AC251" s="293" t="s">
        <v>656</v>
      </c>
      <c r="AE251" s="293" t="s">
        <v>16611</v>
      </c>
      <c r="AF251" s="293" t="s">
        <v>145</v>
      </c>
      <c r="AG251" s="293" t="s">
        <v>74</v>
      </c>
      <c r="AH251" s="293" t="s">
        <v>656</v>
      </c>
      <c r="AJ251" s="293" t="s">
        <v>16612</v>
      </c>
      <c r="AK251" s="293" t="s">
        <v>145</v>
      </c>
      <c r="AL251" s="293" t="s">
        <v>74</v>
      </c>
      <c r="AM251" s="293" t="s">
        <v>656</v>
      </c>
      <c r="AO251" s="22" t="s">
        <v>16613</v>
      </c>
      <c r="AP251" s="22" t="s">
        <v>145</v>
      </c>
      <c r="AQ251" s="22" t="s">
        <v>70</v>
      </c>
      <c r="AR251" s="22" t="s">
        <v>67</v>
      </c>
      <c r="AT251" s="22" t="s">
        <v>16614</v>
      </c>
      <c r="AU251" s="22" t="s">
        <v>145</v>
      </c>
      <c r="AV251" s="22" t="s">
        <v>70</v>
      </c>
      <c r="AW251" s="22" t="s">
        <v>67</v>
      </c>
      <c r="AY251" s="22" t="s">
        <v>16615</v>
      </c>
      <c r="AZ251" s="22" t="s">
        <v>145</v>
      </c>
      <c r="BA251" s="22" t="s">
        <v>70</v>
      </c>
      <c r="BB251" s="22" t="s">
        <v>67</v>
      </c>
      <c r="BD251" s="22" t="s">
        <v>16616</v>
      </c>
      <c r="BE251" s="22" t="s">
        <v>145</v>
      </c>
      <c r="BF251" s="22" t="s">
        <v>70</v>
      </c>
      <c r="BG251" s="22" t="s">
        <v>67</v>
      </c>
      <c r="BI251" s="22" t="s">
        <v>16617</v>
      </c>
      <c r="BJ251" s="22" t="s">
        <v>145</v>
      </c>
      <c r="BK251" s="22" t="s">
        <v>70</v>
      </c>
      <c r="BL251" s="22" t="s">
        <v>67</v>
      </c>
      <c r="BN251" s="22" t="s">
        <v>16618</v>
      </c>
      <c r="BO251" s="22" t="s">
        <v>145</v>
      </c>
      <c r="BP251" s="22" t="s">
        <v>70</v>
      </c>
      <c r="BQ251" s="22" t="s">
        <v>67</v>
      </c>
      <c r="BS251" s="22" t="s">
        <v>16619</v>
      </c>
      <c r="BT251" s="22" t="s">
        <v>145</v>
      </c>
      <c r="BU251" s="22" t="s">
        <v>70</v>
      </c>
      <c r="BV251" s="214" t="s">
        <v>530</v>
      </c>
      <c r="BX251" s="22" t="s">
        <v>16620</v>
      </c>
      <c r="BY251" s="22" t="s">
        <v>145</v>
      </c>
      <c r="BZ251" s="22" t="s">
        <v>70</v>
      </c>
      <c r="CA251" s="214" t="s">
        <v>530</v>
      </c>
      <c r="CC251" s="214" t="s">
        <v>16621</v>
      </c>
      <c r="CD251" s="218" t="s">
        <v>145</v>
      </c>
      <c r="CE251" s="214" t="s">
        <v>70</v>
      </c>
      <c r="CF251" s="214" t="s">
        <v>704</v>
      </c>
      <c r="CH251" s="214" t="s">
        <v>16622</v>
      </c>
      <c r="CI251" s="214" t="s">
        <v>203</v>
      </c>
      <c r="CJ251" s="214" t="s">
        <v>70</v>
      </c>
      <c r="CK251" s="214" t="s">
        <v>530</v>
      </c>
      <c r="CM251" s="214" t="s">
        <v>16623</v>
      </c>
      <c r="CN251" s="214" t="s">
        <v>146</v>
      </c>
      <c r="CO251" s="214" t="s">
        <v>70</v>
      </c>
      <c r="CP251" s="214" t="s">
        <v>530</v>
      </c>
      <c r="CR251" s="214" t="s">
        <v>16624</v>
      </c>
      <c r="CS251" s="214" t="s">
        <v>600</v>
      </c>
      <c r="CT251" s="214" t="s">
        <v>70</v>
      </c>
      <c r="CU251" s="214" t="s">
        <v>530</v>
      </c>
      <c r="CW251" s="214" t="s">
        <v>16625</v>
      </c>
      <c r="CX251" s="214" t="s">
        <v>34557</v>
      </c>
      <c r="CY251" s="214" t="s">
        <v>70</v>
      </c>
      <c r="CZ251" s="214" t="s">
        <v>530</v>
      </c>
      <c r="DB251" s="214" t="s">
        <v>16626</v>
      </c>
      <c r="DC251" s="214" t="s">
        <v>950</v>
      </c>
      <c r="DD251" s="214" t="s">
        <v>70</v>
      </c>
      <c r="DE251" s="214" t="s">
        <v>530</v>
      </c>
      <c r="DG251" s="214" t="s">
        <v>16627</v>
      </c>
      <c r="DH251" s="214" t="s">
        <v>501</v>
      </c>
      <c r="DI251" s="214" t="s">
        <v>70</v>
      </c>
      <c r="DJ251" s="214" t="s">
        <v>530</v>
      </c>
      <c r="DL251" s="214" t="s">
        <v>16628</v>
      </c>
      <c r="DM251" s="214" t="s">
        <v>34539</v>
      </c>
      <c r="DN251" s="214" t="s">
        <v>70</v>
      </c>
      <c r="DO251" s="214" t="s">
        <v>530</v>
      </c>
      <c r="DQ251" s="214" t="s">
        <v>16629</v>
      </c>
      <c r="DR251" s="214" t="s">
        <v>599</v>
      </c>
      <c r="DS251" s="214" t="s">
        <v>70</v>
      </c>
      <c r="DT251" s="214" t="s">
        <v>530</v>
      </c>
      <c r="DV251" s="214" t="s">
        <v>16630</v>
      </c>
      <c r="DW251" s="214" t="s">
        <v>34542</v>
      </c>
      <c r="DX251" s="214" t="s">
        <v>70</v>
      </c>
      <c r="DY251" s="214" t="s">
        <v>530</v>
      </c>
      <c r="EA251" s="214" t="s">
        <v>16631</v>
      </c>
      <c r="EB251" s="214" t="s">
        <v>34575</v>
      </c>
      <c r="EC251" s="214" t="s">
        <v>70</v>
      </c>
      <c r="ED251" s="214" t="s">
        <v>530</v>
      </c>
      <c r="EF251" s="214" t="s">
        <v>16632</v>
      </c>
      <c r="EG251" s="214" t="s">
        <v>52</v>
      </c>
      <c r="EH251" s="214" t="s">
        <v>70</v>
      </c>
      <c r="EI251" s="214" t="s">
        <v>530</v>
      </c>
      <c r="EK251" s="214" t="s">
        <v>16633</v>
      </c>
      <c r="EL251" s="214" t="s">
        <v>604</v>
      </c>
      <c r="EM251" s="214" t="s">
        <v>70</v>
      </c>
      <c r="EN251" s="214" t="s">
        <v>530</v>
      </c>
      <c r="EP251" s="214" t="s">
        <v>16634</v>
      </c>
      <c r="EQ251" s="214" t="s">
        <v>34558</v>
      </c>
      <c r="ER251" s="214" t="s">
        <v>70</v>
      </c>
      <c r="ES251" s="214" t="s">
        <v>530</v>
      </c>
      <c r="EU251" s="214" t="s">
        <v>16635</v>
      </c>
      <c r="EV251" s="214" t="s">
        <v>145</v>
      </c>
      <c r="EW251" s="214" t="s">
        <v>70</v>
      </c>
      <c r="EX251" s="214" t="s">
        <v>530</v>
      </c>
      <c r="EZ251" s="214" t="s">
        <v>16636</v>
      </c>
      <c r="FA251" s="214" t="s">
        <v>34544</v>
      </c>
      <c r="FB251" s="214" t="s">
        <v>70</v>
      </c>
      <c r="FC251" s="214" t="s">
        <v>530</v>
      </c>
      <c r="FE251" s="214" t="s">
        <v>16637</v>
      </c>
      <c r="FF251" s="214" t="s">
        <v>491</v>
      </c>
      <c r="FG251" s="214" t="s">
        <v>70</v>
      </c>
      <c r="FH251" s="214" t="s">
        <v>530</v>
      </c>
      <c r="FJ251" s="321" t="s">
        <v>16638</v>
      </c>
      <c r="FK251" s="214" t="s">
        <v>910</v>
      </c>
      <c r="FL251" s="214" t="s">
        <v>70</v>
      </c>
      <c r="FM251" s="214" t="s">
        <v>530</v>
      </c>
      <c r="FO251" s="321" t="s">
        <v>16639</v>
      </c>
      <c r="FP251" s="214" t="s">
        <v>52</v>
      </c>
      <c r="FQ251" s="214" t="s">
        <v>70</v>
      </c>
      <c r="FR251" s="214" t="s">
        <v>530</v>
      </c>
      <c r="FT251" s="321" t="s">
        <v>16640</v>
      </c>
      <c r="FU251" s="214" t="s">
        <v>488</v>
      </c>
      <c r="FV251" s="214" t="s">
        <v>70</v>
      </c>
      <c r="FW251" s="214" t="s">
        <v>530</v>
      </c>
      <c r="FY251" s="321" t="s">
        <v>16641</v>
      </c>
      <c r="FZ251" s="214" t="s">
        <v>34541</v>
      </c>
      <c r="GA251" s="214" t="s">
        <v>70</v>
      </c>
      <c r="GB251" s="214" t="s">
        <v>530</v>
      </c>
      <c r="GD251" s="321" t="s">
        <v>16642</v>
      </c>
      <c r="GE251" s="214" t="s">
        <v>34556</v>
      </c>
      <c r="GF251" s="214" t="s">
        <v>70</v>
      </c>
      <c r="GG251" s="214" t="s">
        <v>530</v>
      </c>
      <c r="GI251" s="321" t="s">
        <v>16643</v>
      </c>
      <c r="GJ251" s="214" t="s">
        <v>921</v>
      </c>
      <c r="GK251" s="214" t="s">
        <v>70</v>
      </c>
      <c r="GL251" s="214" t="s">
        <v>530</v>
      </c>
      <c r="GN251" s="321" t="s">
        <v>16644</v>
      </c>
      <c r="GO251" s="214" t="s">
        <v>146</v>
      </c>
      <c r="GP251" s="214" t="s">
        <v>70</v>
      </c>
      <c r="GQ251" s="214" t="s">
        <v>530</v>
      </c>
      <c r="GS251" s="321" t="s">
        <v>16645</v>
      </c>
      <c r="GT251" s="214" t="s">
        <v>485</v>
      </c>
      <c r="GU251" s="214" t="s">
        <v>70</v>
      </c>
      <c r="GV251" s="214" t="s">
        <v>530</v>
      </c>
      <c r="GX251" s="214" t="s">
        <v>16646</v>
      </c>
      <c r="GY251" s="214" t="s">
        <v>502</v>
      </c>
      <c r="GZ251" s="214" t="s">
        <v>70</v>
      </c>
      <c r="HA251" s="214" t="s">
        <v>530</v>
      </c>
      <c r="HC251" s="214" t="s">
        <v>16647</v>
      </c>
      <c r="HD251" s="214" t="s">
        <v>103</v>
      </c>
      <c r="HE251" s="214" t="s">
        <v>70</v>
      </c>
      <c r="HF251" s="214" t="s">
        <v>530</v>
      </c>
      <c r="HH251" s="214" t="s">
        <v>16648</v>
      </c>
      <c r="HI251" s="214" t="s">
        <v>34541</v>
      </c>
      <c r="HJ251" s="214" t="s">
        <v>70</v>
      </c>
      <c r="HK251" s="214" t="s">
        <v>530</v>
      </c>
      <c r="HM251" s="214" t="s">
        <v>16649</v>
      </c>
      <c r="HN251" s="214" t="s">
        <v>34541</v>
      </c>
      <c r="HO251" s="214" t="s">
        <v>70</v>
      </c>
      <c r="HP251" s="214" t="s">
        <v>530</v>
      </c>
      <c r="HR251" s="22" t="s">
        <v>16650</v>
      </c>
      <c r="HS251" s="22" t="s">
        <v>146</v>
      </c>
      <c r="HT251" s="22" t="s">
        <v>70</v>
      </c>
      <c r="HU251" s="214" t="s">
        <v>530</v>
      </c>
      <c r="HW251" s="22" t="s">
        <v>16651</v>
      </c>
      <c r="HX251" s="22" t="s">
        <v>34579</v>
      </c>
      <c r="HY251" s="22" t="s">
        <v>70</v>
      </c>
      <c r="HZ251" s="214" t="s">
        <v>530</v>
      </c>
      <c r="IB251" s="22" t="s">
        <v>16652</v>
      </c>
      <c r="IC251" s="22" t="s">
        <v>34547</v>
      </c>
      <c r="ID251" s="22" t="s">
        <v>70</v>
      </c>
      <c r="IE251" s="214" t="s">
        <v>530</v>
      </c>
      <c r="IG251" s="22" t="s">
        <v>16653</v>
      </c>
      <c r="IH251" s="22" t="s">
        <v>52</v>
      </c>
      <c r="II251" s="22" t="s">
        <v>70</v>
      </c>
      <c r="IJ251" s="214" t="s">
        <v>530</v>
      </c>
      <c r="IL251" s="22" t="s">
        <v>16654</v>
      </c>
      <c r="IM251" s="22" t="s">
        <v>145</v>
      </c>
      <c r="IN251" s="22" t="s">
        <v>70</v>
      </c>
      <c r="IO251" s="214" t="s">
        <v>530</v>
      </c>
      <c r="IQ251" s="236" t="s">
        <v>16655</v>
      </c>
      <c r="IR251" s="236" t="s">
        <v>145</v>
      </c>
      <c r="IS251" s="236" t="s">
        <v>74</v>
      </c>
      <c r="IT251" s="236" t="s">
        <v>841</v>
      </c>
      <c r="IV251" s="236" t="s">
        <v>16656</v>
      </c>
      <c r="IW251" s="236" t="s">
        <v>145</v>
      </c>
      <c r="IX251" s="236" t="s">
        <v>74</v>
      </c>
      <c r="IY251" s="236" t="s">
        <v>841</v>
      </c>
      <c r="JA251" s="236" t="s">
        <v>16657</v>
      </c>
      <c r="JB251" s="236" t="s">
        <v>145</v>
      </c>
      <c r="JC251" s="236" t="s">
        <v>74</v>
      </c>
      <c r="JD251" s="236" t="s">
        <v>841</v>
      </c>
      <c r="JF251" s="236" t="s">
        <v>16658</v>
      </c>
      <c r="JG251" s="236" t="s">
        <v>145</v>
      </c>
      <c r="JH251" s="236" t="s">
        <v>74</v>
      </c>
      <c r="JI251" s="236" t="s">
        <v>841</v>
      </c>
      <c r="JK251" s="236" t="s">
        <v>16659</v>
      </c>
      <c r="JL251" s="236" t="s">
        <v>145</v>
      </c>
      <c r="JM251" s="236" t="s">
        <v>74</v>
      </c>
      <c r="JN251" s="236" t="s">
        <v>841</v>
      </c>
      <c r="JP251" s="236" t="s">
        <v>16660</v>
      </c>
      <c r="JQ251" s="236" t="s">
        <v>145</v>
      </c>
      <c r="JR251" s="236" t="s">
        <v>74</v>
      </c>
      <c r="JS251" s="236" t="s">
        <v>841</v>
      </c>
      <c r="JU251" s="294" t="s">
        <v>16661</v>
      </c>
      <c r="JV251" s="294" t="s">
        <v>52</v>
      </c>
      <c r="JW251" s="263" t="s">
        <v>70</v>
      </c>
      <c r="JX251" s="294" t="s">
        <v>1083</v>
      </c>
      <c r="JZ251" s="263" t="s">
        <v>16662</v>
      </c>
      <c r="KA251" s="263" t="s">
        <v>145</v>
      </c>
      <c r="KB251" s="263" t="s">
        <v>70</v>
      </c>
      <c r="KC251" s="263" t="s">
        <v>1083</v>
      </c>
      <c r="KE251" s="263" t="s">
        <v>16663</v>
      </c>
      <c r="KF251" s="263" t="s">
        <v>52</v>
      </c>
      <c r="KG251" s="263" t="s">
        <v>70</v>
      </c>
      <c r="KH251" s="263" t="s">
        <v>1083</v>
      </c>
      <c r="KJ251" s="263" t="s">
        <v>16664</v>
      </c>
      <c r="KK251" s="263" t="s">
        <v>52</v>
      </c>
      <c r="KL251" s="263" t="s">
        <v>74</v>
      </c>
      <c r="KM251" s="263" t="s">
        <v>34074</v>
      </c>
      <c r="KO251" s="214" t="s">
        <v>16665</v>
      </c>
      <c r="KP251" s="214" t="s">
        <v>145</v>
      </c>
      <c r="KQ251" s="214" t="s">
        <v>70</v>
      </c>
      <c r="KR251" s="214" t="s">
        <v>67</v>
      </c>
      <c r="KT251" s="22" t="s">
        <v>16666</v>
      </c>
      <c r="KU251" s="22" t="s">
        <v>145</v>
      </c>
      <c r="KV251" s="22" t="s">
        <v>70</v>
      </c>
      <c r="KW251" s="22" t="s">
        <v>67</v>
      </c>
      <c r="KY251" s="214" t="s">
        <v>16667</v>
      </c>
      <c r="KZ251" s="214" t="s">
        <v>52</v>
      </c>
      <c r="LA251" s="214" t="s">
        <v>74</v>
      </c>
      <c r="LB251" s="214" t="s">
        <v>67</v>
      </c>
      <c r="LD251" s="22" t="s">
        <v>16668</v>
      </c>
      <c r="LE251" s="22" t="s">
        <v>145</v>
      </c>
      <c r="LF251" s="22" t="s">
        <v>70</v>
      </c>
      <c r="LG251" s="22" t="s">
        <v>67</v>
      </c>
    </row>
    <row r="252" spans="1:319">
      <c r="A252" s="22" t="s">
        <v>16669</v>
      </c>
      <c r="B252" s="22" t="s">
        <v>145</v>
      </c>
      <c r="C252" s="22" t="s">
        <v>70</v>
      </c>
      <c r="D252" s="22" t="s">
        <v>67</v>
      </c>
      <c r="F252" s="73" t="s">
        <v>16670</v>
      </c>
      <c r="G252" s="22" t="s">
        <v>145</v>
      </c>
      <c r="H252" s="22" t="s">
        <v>70</v>
      </c>
      <c r="I252" s="22" t="s">
        <v>67</v>
      </c>
      <c r="K252" s="22" t="s">
        <v>16671</v>
      </c>
      <c r="L252" s="22" t="s">
        <v>145</v>
      </c>
      <c r="M252" s="22" t="s">
        <v>70</v>
      </c>
      <c r="N252" s="22" t="s">
        <v>67</v>
      </c>
      <c r="P252" s="22" t="s">
        <v>16672</v>
      </c>
      <c r="Q252" s="22" t="s">
        <v>145</v>
      </c>
      <c r="R252" s="22" t="s">
        <v>70</v>
      </c>
      <c r="S252" s="22" t="s">
        <v>67</v>
      </c>
      <c r="U252" s="293" t="s">
        <v>16673</v>
      </c>
      <c r="V252" s="293" t="s">
        <v>145</v>
      </c>
      <c r="W252" s="293" t="s">
        <v>74</v>
      </c>
      <c r="X252" s="293" t="s">
        <v>656</v>
      </c>
      <c r="Z252" s="293" t="s">
        <v>16674</v>
      </c>
      <c r="AA252" s="293" t="s">
        <v>145</v>
      </c>
      <c r="AB252" s="293" t="s">
        <v>74</v>
      </c>
      <c r="AC252" s="293" t="s">
        <v>656</v>
      </c>
      <c r="AE252" s="293" t="s">
        <v>16675</v>
      </c>
      <c r="AF252" s="293" t="s">
        <v>145</v>
      </c>
      <c r="AG252" s="293" t="s">
        <v>74</v>
      </c>
      <c r="AH252" s="293" t="s">
        <v>656</v>
      </c>
      <c r="AJ252" s="293" t="s">
        <v>16676</v>
      </c>
      <c r="AK252" s="293" t="s">
        <v>145</v>
      </c>
      <c r="AL252" s="293" t="s">
        <v>74</v>
      </c>
      <c r="AM252" s="293" t="s">
        <v>656</v>
      </c>
      <c r="AO252" s="22" t="s">
        <v>16677</v>
      </c>
      <c r="AP252" s="22" t="s">
        <v>145</v>
      </c>
      <c r="AQ252" s="22" t="s">
        <v>70</v>
      </c>
      <c r="AR252" s="22" t="s">
        <v>67</v>
      </c>
      <c r="AT252" s="22" t="s">
        <v>16678</v>
      </c>
      <c r="AU252" s="22" t="s">
        <v>145</v>
      </c>
      <c r="AV252" s="22" t="s">
        <v>70</v>
      </c>
      <c r="AW252" s="22" t="s">
        <v>67</v>
      </c>
      <c r="AY252" s="22" t="s">
        <v>16679</v>
      </c>
      <c r="AZ252" s="22" t="s">
        <v>145</v>
      </c>
      <c r="BA252" s="22" t="s">
        <v>70</v>
      </c>
      <c r="BB252" s="22" t="s">
        <v>67</v>
      </c>
      <c r="BD252" s="22" t="s">
        <v>16680</v>
      </c>
      <c r="BE252" s="22" t="s">
        <v>145</v>
      </c>
      <c r="BF252" s="22" t="s">
        <v>70</v>
      </c>
      <c r="BG252" s="22" t="s">
        <v>67</v>
      </c>
      <c r="BI252" s="22" t="s">
        <v>16681</v>
      </c>
      <c r="BJ252" s="22" t="s">
        <v>145</v>
      </c>
      <c r="BK252" s="22" t="s">
        <v>70</v>
      </c>
      <c r="BL252" s="22" t="s">
        <v>67</v>
      </c>
      <c r="BN252" s="22" t="s">
        <v>16682</v>
      </c>
      <c r="BO252" s="22" t="s">
        <v>145</v>
      </c>
      <c r="BP252" s="22" t="s">
        <v>70</v>
      </c>
      <c r="BQ252" s="22" t="s">
        <v>67</v>
      </c>
      <c r="BS252" s="22" t="s">
        <v>16683</v>
      </c>
      <c r="BT252" s="22" t="s">
        <v>145</v>
      </c>
      <c r="BU252" s="22" t="s">
        <v>70</v>
      </c>
      <c r="BV252" s="214" t="s">
        <v>530</v>
      </c>
      <c r="BX252" s="22" t="s">
        <v>16684</v>
      </c>
      <c r="BY252" s="22" t="s">
        <v>145</v>
      </c>
      <c r="BZ252" s="22" t="s">
        <v>70</v>
      </c>
      <c r="CA252" s="214" t="s">
        <v>530</v>
      </c>
      <c r="CC252" s="214" t="s">
        <v>16685</v>
      </c>
      <c r="CD252" s="218" t="s">
        <v>145</v>
      </c>
      <c r="CE252" s="214" t="s">
        <v>70</v>
      </c>
      <c r="CF252" s="214" t="s">
        <v>705</v>
      </c>
      <c r="CH252" s="214" t="s">
        <v>16686</v>
      </c>
      <c r="CI252" s="214" t="s">
        <v>928</v>
      </c>
      <c r="CJ252" s="214" t="s">
        <v>70</v>
      </c>
      <c r="CK252" s="214" t="s">
        <v>530</v>
      </c>
      <c r="CM252" s="214" t="s">
        <v>16687</v>
      </c>
      <c r="CN252" s="214" t="s">
        <v>85</v>
      </c>
      <c r="CO252" s="214" t="s">
        <v>70</v>
      </c>
      <c r="CP252" s="214" t="s">
        <v>530</v>
      </c>
      <c r="CR252" s="214" t="s">
        <v>16688</v>
      </c>
      <c r="CS252" s="214" t="s">
        <v>52</v>
      </c>
      <c r="CT252" s="214" t="s">
        <v>70</v>
      </c>
      <c r="CU252" s="214" t="s">
        <v>530</v>
      </c>
      <c r="CW252" s="214" t="s">
        <v>16689</v>
      </c>
      <c r="CX252" s="214" t="s">
        <v>935</v>
      </c>
      <c r="CY252" s="214" t="s">
        <v>70</v>
      </c>
      <c r="CZ252" s="214" t="s">
        <v>530</v>
      </c>
      <c r="DB252" s="214" t="s">
        <v>16690</v>
      </c>
      <c r="DC252" s="214" t="s">
        <v>10541</v>
      </c>
      <c r="DD252" s="214" t="s">
        <v>70</v>
      </c>
      <c r="DE252" s="214" t="s">
        <v>530</v>
      </c>
      <c r="DG252" s="214" t="s">
        <v>16691</v>
      </c>
      <c r="DH252" s="214" t="s">
        <v>163</v>
      </c>
      <c r="DI252" s="214" t="s">
        <v>70</v>
      </c>
      <c r="DJ252" s="214" t="s">
        <v>530</v>
      </c>
      <c r="DL252" s="214" t="s">
        <v>16692</v>
      </c>
      <c r="DM252" s="214" t="s">
        <v>52</v>
      </c>
      <c r="DN252" s="214" t="s">
        <v>70</v>
      </c>
      <c r="DO252" s="214" t="s">
        <v>530</v>
      </c>
      <c r="DQ252" s="214" t="s">
        <v>16693</v>
      </c>
      <c r="DR252" s="214" t="s">
        <v>34584</v>
      </c>
      <c r="DS252" s="214" t="s">
        <v>70</v>
      </c>
      <c r="DT252" s="214" t="s">
        <v>530</v>
      </c>
      <c r="DV252" s="214" t="s">
        <v>16694</v>
      </c>
      <c r="DW252" s="214" t="s">
        <v>90</v>
      </c>
      <c r="DX252" s="214" t="s">
        <v>70</v>
      </c>
      <c r="DY252" s="214" t="s">
        <v>530</v>
      </c>
      <c r="EA252" s="214" t="s">
        <v>16695</v>
      </c>
      <c r="EB252" s="214" t="s">
        <v>164</v>
      </c>
      <c r="EC252" s="214" t="s">
        <v>70</v>
      </c>
      <c r="ED252" s="214" t="s">
        <v>530</v>
      </c>
      <c r="EF252" s="214" t="s">
        <v>16696</v>
      </c>
      <c r="EG252" s="214" t="s">
        <v>211</v>
      </c>
      <c r="EH252" s="214" t="s">
        <v>70</v>
      </c>
      <c r="EI252" s="214" t="s">
        <v>530</v>
      </c>
      <c r="EK252" s="214" t="s">
        <v>16697</v>
      </c>
      <c r="EL252" s="214" t="s">
        <v>21742</v>
      </c>
      <c r="EM252" s="214" t="s">
        <v>70</v>
      </c>
      <c r="EN252" s="214" t="s">
        <v>530</v>
      </c>
      <c r="EP252" s="214" t="s">
        <v>16698</v>
      </c>
      <c r="EQ252" s="214" t="s">
        <v>52</v>
      </c>
      <c r="ER252" s="214" t="s">
        <v>70</v>
      </c>
      <c r="ES252" s="214" t="s">
        <v>530</v>
      </c>
      <c r="EU252" s="214" t="s">
        <v>16699</v>
      </c>
      <c r="EV252" s="214" t="s">
        <v>468</v>
      </c>
      <c r="EW252" s="214" t="s">
        <v>70</v>
      </c>
      <c r="EX252" s="214" t="s">
        <v>530</v>
      </c>
      <c r="EZ252" s="214" t="s">
        <v>16700</v>
      </c>
      <c r="FA252" s="214" t="s">
        <v>163</v>
      </c>
      <c r="FB252" s="214" t="s">
        <v>70</v>
      </c>
      <c r="FC252" s="214" t="s">
        <v>530</v>
      </c>
      <c r="FE252" s="214" t="s">
        <v>16701</v>
      </c>
      <c r="FF252" s="214" t="s">
        <v>93</v>
      </c>
      <c r="FG252" s="214" t="s">
        <v>70</v>
      </c>
      <c r="FH252" s="214" t="s">
        <v>530</v>
      </c>
      <c r="FJ252" s="321" t="s">
        <v>16702</v>
      </c>
      <c r="FK252" s="214" t="s">
        <v>52</v>
      </c>
      <c r="FL252" s="214" t="s">
        <v>70</v>
      </c>
      <c r="FM252" s="214" t="s">
        <v>530</v>
      </c>
      <c r="FO252" s="321" t="s">
        <v>16703</v>
      </c>
      <c r="FP252" s="214" t="s">
        <v>917</v>
      </c>
      <c r="FQ252" s="214" t="s">
        <v>70</v>
      </c>
      <c r="FR252" s="214" t="s">
        <v>530</v>
      </c>
      <c r="FT252" s="321" t="s">
        <v>16704</v>
      </c>
      <c r="FU252" s="214" t="s">
        <v>146</v>
      </c>
      <c r="FV252" s="214" t="s">
        <v>70</v>
      </c>
      <c r="FW252" s="214" t="s">
        <v>530</v>
      </c>
      <c r="FY252" s="321" t="s">
        <v>16705</v>
      </c>
      <c r="FZ252" s="214" t="s">
        <v>34654</v>
      </c>
      <c r="GA252" s="214" t="s">
        <v>70</v>
      </c>
      <c r="GB252" s="214" t="s">
        <v>530</v>
      </c>
      <c r="GD252" s="321" t="s">
        <v>16706</v>
      </c>
      <c r="GE252" s="214" t="s">
        <v>529</v>
      </c>
      <c r="GF252" s="214" t="s">
        <v>70</v>
      </c>
      <c r="GG252" s="214" t="s">
        <v>530</v>
      </c>
      <c r="GI252" s="321" t="s">
        <v>16707</v>
      </c>
      <c r="GJ252" s="214" t="s">
        <v>103</v>
      </c>
      <c r="GK252" s="214" t="s">
        <v>70</v>
      </c>
      <c r="GL252" s="214" t="s">
        <v>530</v>
      </c>
      <c r="GN252" s="321" t="s">
        <v>16708</v>
      </c>
      <c r="GO252" s="214" t="s">
        <v>52</v>
      </c>
      <c r="GP252" s="214" t="s">
        <v>70</v>
      </c>
      <c r="GQ252" s="214" t="s">
        <v>530</v>
      </c>
      <c r="GS252" s="321" t="s">
        <v>16709</v>
      </c>
      <c r="GT252" s="214" t="s">
        <v>163</v>
      </c>
      <c r="GU252" s="214" t="s">
        <v>70</v>
      </c>
      <c r="GV252" s="214" t="s">
        <v>530</v>
      </c>
      <c r="GX252" s="214" t="s">
        <v>16710</v>
      </c>
      <c r="GY252" s="214" t="s">
        <v>917</v>
      </c>
      <c r="GZ252" s="214" t="s">
        <v>70</v>
      </c>
      <c r="HA252" s="214" t="s">
        <v>530</v>
      </c>
      <c r="HC252" s="214" t="s">
        <v>16711</v>
      </c>
      <c r="HD252" s="214" t="s">
        <v>86</v>
      </c>
      <c r="HE252" s="214" t="s">
        <v>70</v>
      </c>
      <c r="HF252" s="214" t="s">
        <v>530</v>
      </c>
      <c r="HH252" s="214" t="s">
        <v>16712</v>
      </c>
      <c r="HI252" s="214" t="s">
        <v>34638</v>
      </c>
      <c r="HJ252" s="214" t="s">
        <v>70</v>
      </c>
      <c r="HK252" s="214" t="s">
        <v>530</v>
      </c>
      <c r="HM252" s="214" t="s">
        <v>16713</v>
      </c>
      <c r="HN252" s="214" t="s">
        <v>34550</v>
      </c>
      <c r="HO252" s="214" t="s">
        <v>70</v>
      </c>
      <c r="HP252" s="214" t="s">
        <v>530</v>
      </c>
      <c r="HR252" s="22" t="s">
        <v>16714</v>
      </c>
      <c r="HS252" s="22" t="s">
        <v>34649</v>
      </c>
      <c r="HT252" s="22" t="s">
        <v>70</v>
      </c>
      <c r="HU252" s="214" t="s">
        <v>530</v>
      </c>
      <c r="HW252" s="22" t="s">
        <v>16715</v>
      </c>
      <c r="HX252" s="22" t="s">
        <v>947</v>
      </c>
      <c r="HY252" s="22" t="s">
        <v>70</v>
      </c>
      <c r="HZ252" s="214" t="s">
        <v>530</v>
      </c>
      <c r="IB252" s="22" t="s">
        <v>16716</v>
      </c>
      <c r="IC252" s="22" t="s">
        <v>495</v>
      </c>
      <c r="ID252" s="22" t="s">
        <v>70</v>
      </c>
      <c r="IE252" s="214" t="s">
        <v>530</v>
      </c>
      <c r="IG252" s="22" t="s">
        <v>16717</v>
      </c>
      <c r="IH252" s="22" t="s">
        <v>52</v>
      </c>
      <c r="II252" s="22" t="s">
        <v>70</v>
      </c>
      <c r="IJ252" s="214" t="s">
        <v>530</v>
      </c>
      <c r="IL252" s="22" t="s">
        <v>16718</v>
      </c>
      <c r="IM252" s="22" t="s">
        <v>145</v>
      </c>
      <c r="IN252" s="22" t="s">
        <v>70</v>
      </c>
      <c r="IO252" s="214" t="s">
        <v>530</v>
      </c>
      <c r="IQ252" s="236" t="s">
        <v>16719</v>
      </c>
      <c r="IR252" s="236" t="s">
        <v>145</v>
      </c>
      <c r="IS252" s="236" t="s">
        <v>74</v>
      </c>
      <c r="IT252" s="236" t="s">
        <v>841</v>
      </c>
      <c r="IV252" s="236" t="s">
        <v>16720</v>
      </c>
      <c r="IW252" s="236" t="s">
        <v>145</v>
      </c>
      <c r="IX252" s="236" t="s">
        <v>74</v>
      </c>
      <c r="IY252" s="236" t="s">
        <v>841</v>
      </c>
      <c r="JA252" s="236" t="s">
        <v>16721</v>
      </c>
      <c r="JB252" s="236" t="s">
        <v>145</v>
      </c>
      <c r="JC252" s="236" t="s">
        <v>74</v>
      </c>
      <c r="JD252" s="236" t="s">
        <v>841</v>
      </c>
      <c r="JF252" s="236" t="s">
        <v>16722</v>
      </c>
      <c r="JG252" s="236" t="s">
        <v>145</v>
      </c>
      <c r="JH252" s="236" t="s">
        <v>74</v>
      </c>
      <c r="JI252" s="236" t="s">
        <v>841</v>
      </c>
      <c r="JK252" s="236" t="s">
        <v>16723</v>
      </c>
      <c r="JL252" s="236" t="s">
        <v>145</v>
      </c>
      <c r="JM252" s="236" t="s">
        <v>74</v>
      </c>
      <c r="JN252" s="236" t="s">
        <v>841</v>
      </c>
      <c r="JP252" s="236" t="s">
        <v>16724</v>
      </c>
      <c r="JQ252" s="236" t="s">
        <v>145</v>
      </c>
      <c r="JR252" s="236" t="s">
        <v>74</v>
      </c>
      <c r="JS252" s="236" t="s">
        <v>841</v>
      </c>
      <c r="JU252" s="294" t="s">
        <v>16725</v>
      </c>
      <c r="JV252" s="294" t="s">
        <v>52</v>
      </c>
      <c r="JW252" s="263" t="s">
        <v>70</v>
      </c>
      <c r="JX252" s="294" t="s">
        <v>1083</v>
      </c>
      <c r="JZ252" s="263" t="s">
        <v>16726</v>
      </c>
      <c r="KA252" s="263" t="s">
        <v>145</v>
      </c>
      <c r="KB252" s="263" t="s">
        <v>70</v>
      </c>
      <c r="KC252" s="263" t="s">
        <v>1083</v>
      </c>
      <c r="KE252" s="263" t="s">
        <v>16727</v>
      </c>
      <c r="KF252" s="263" t="s">
        <v>52</v>
      </c>
      <c r="KG252" s="263" t="s">
        <v>70</v>
      </c>
      <c r="KH252" s="263" t="s">
        <v>1083</v>
      </c>
      <c r="KJ252" s="263" t="s">
        <v>16728</v>
      </c>
      <c r="KK252" s="263" t="s">
        <v>52</v>
      </c>
      <c r="KL252" s="263" t="s">
        <v>74</v>
      </c>
      <c r="KM252" s="263" t="s">
        <v>34074</v>
      </c>
      <c r="KO252" s="214" t="s">
        <v>16729</v>
      </c>
      <c r="KP252" s="214" t="s">
        <v>145</v>
      </c>
      <c r="KQ252" s="214" t="s">
        <v>70</v>
      </c>
      <c r="KR252" s="214" t="s">
        <v>67</v>
      </c>
      <c r="KT252" s="22" t="s">
        <v>16730</v>
      </c>
      <c r="KU252" s="22" t="s">
        <v>145</v>
      </c>
      <c r="KV252" s="22" t="s">
        <v>70</v>
      </c>
      <c r="KW252" s="22" t="s">
        <v>67</v>
      </c>
      <c r="KY252" s="214" t="s">
        <v>16731</v>
      </c>
      <c r="KZ252" s="214" t="s">
        <v>52</v>
      </c>
      <c r="LA252" s="214" t="s">
        <v>74</v>
      </c>
      <c r="LB252" s="214" t="s">
        <v>67</v>
      </c>
      <c r="LD252" s="22" t="s">
        <v>16732</v>
      </c>
      <c r="LE252" s="22" t="s">
        <v>145</v>
      </c>
      <c r="LF252" s="22" t="s">
        <v>70</v>
      </c>
      <c r="LG252" s="22" t="s">
        <v>67</v>
      </c>
    </row>
    <row r="253" spans="1:319">
      <c r="A253" s="22" t="s">
        <v>16733</v>
      </c>
      <c r="B253" s="22" t="s">
        <v>145</v>
      </c>
      <c r="C253" s="22" t="s">
        <v>70</v>
      </c>
      <c r="D253" s="22" t="s">
        <v>67</v>
      </c>
      <c r="F253" s="73" t="s">
        <v>16734</v>
      </c>
      <c r="G253" s="22" t="s">
        <v>145</v>
      </c>
      <c r="H253" s="22" t="s">
        <v>70</v>
      </c>
      <c r="I253" s="22" t="s">
        <v>67</v>
      </c>
      <c r="K253" s="22" t="s">
        <v>16735</v>
      </c>
      <c r="L253" s="22" t="s">
        <v>145</v>
      </c>
      <c r="M253" s="22" t="s">
        <v>70</v>
      </c>
      <c r="N253" s="22" t="s">
        <v>67</v>
      </c>
      <c r="P253" s="22" t="s">
        <v>16736</v>
      </c>
      <c r="Q253" s="22" t="s">
        <v>145</v>
      </c>
      <c r="R253" s="22" t="s">
        <v>70</v>
      </c>
      <c r="S253" s="22" t="s">
        <v>67</v>
      </c>
      <c r="U253" s="293" t="s">
        <v>16737</v>
      </c>
      <c r="V253" s="293" t="s">
        <v>145</v>
      </c>
      <c r="W253" s="293" t="s">
        <v>74</v>
      </c>
      <c r="X253" s="293" t="s">
        <v>656</v>
      </c>
      <c r="Z253" s="293" t="s">
        <v>16738</v>
      </c>
      <c r="AA253" s="293" t="s">
        <v>145</v>
      </c>
      <c r="AB253" s="293" t="s">
        <v>74</v>
      </c>
      <c r="AC253" s="293" t="s">
        <v>656</v>
      </c>
      <c r="AE253" s="293" t="s">
        <v>16739</v>
      </c>
      <c r="AF253" s="293" t="s">
        <v>145</v>
      </c>
      <c r="AG253" s="293" t="s">
        <v>74</v>
      </c>
      <c r="AH253" s="293" t="s">
        <v>656</v>
      </c>
      <c r="AJ253" s="293" t="s">
        <v>16740</v>
      </c>
      <c r="AK253" s="293" t="s">
        <v>145</v>
      </c>
      <c r="AL253" s="293" t="s">
        <v>74</v>
      </c>
      <c r="AM253" s="293" t="s">
        <v>656</v>
      </c>
      <c r="AO253" s="22" t="s">
        <v>16741</v>
      </c>
      <c r="AP253" s="22" t="s">
        <v>145</v>
      </c>
      <c r="AQ253" s="22" t="s">
        <v>70</v>
      </c>
      <c r="AR253" s="22" t="s">
        <v>67</v>
      </c>
      <c r="AT253" s="22" t="s">
        <v>16742</v>
      </c>
      <c r="AU253" s="22" t="s">
        <v>145</v>
      </c>
      <c r="AV253" s="22" t="s">
        <v>70</v>
      </c>
      <c r="AW253" s="22" t="s">
        <v>67</v>
      </c>
      <c r="AY253" s="22" t="s">
        <v>16743</v>
      </c>
      <c r="AZ253" s="22" t="s">
        <v>145</v>
      </c>
      <c r="BA253" s="22" t="s">
        <v>70</v>
      </c>
      <c r="BB253" s="22" t="s">
        <v>67</v>
      </c>
      <c r="BD253" s="22" t="s">
        <v>16744</v>
      </c>
      <c r="BE253" s="22" t="s">
        <v>145</v>
      </c>
      <c r="BF253" s="22" t="s">
        <v>70</v>
      </c>
      <c r="BG253" s="22" t="s">
        <v>67</v>
      </c>
      <c r="BI253" s="22" t="s">
        <v>16745</v>
      </c>
      <c r="BJ253" s="22" t="s">
        <v>145</v>
      </c>
      <c r="BK253" s="22" t="s">
        <v>70</v>
      </c>
      <c r="BL253" s="22" t="s">
        <v>67</v>
      </c>
      <c r="BN253" s="22" t="s">
        <v>16746</v>
      </c>
      <c r="BO253" s="22" t="s">
        <v>145</v>
      </c>
      <c r="BP253" s="22" t="s">
        <v>70</v>
      </c>
      <c r="BQ253" s="22" t="s">
        <v>67</v>
      </c>
      <c r="BS253" s="22" t="s">
        <v>16747</v>
      </c>
      <c r="BT253" s="22" t="s">
        <v>145</v>
      </c>
      <c r="BU253" s="22" t="s">
        <v>70</v>
      </c>
      <c r="BV253" s="214" t="s">
        <v>530</v>
      </c>
      <c r="BX253" s="22" t="s">
        <v>16748</v>
      </c>
      <c r="BY253" s="22" t="s">
        <v>145</v>
      </c>
      <c r="BZ253" s="22" t="s">
        <v>70</v>
      </c>
      <c r="CA253" s="214" t="s">
        <v>530</v>
      </c>
      <c r="CC253" s="214" t="s">
        <v>16749</v>
      </c>
      <c r="CD253" s="218" t="s">
        <v>145</v>
      </c>
      <c r="CE253" s="214" t="s">
        <v>70</v>
      </c>
      <c r="CF253" s="214" t="s">
        <v>706</v>
      </c>
      <c r="CH253" s="214" t="s">
        <v>16750</v>
      </c>
      <c r="CI253" s="214" t="s">
        <v>490</v>
      </c>
      <c r="CJ253" s="214" t="s">
        <v>70</v>
      </c>
      <c r="CK253" s="214" t="s">
        <v>530</v>
      </c>
      <c r="CM253" s="214" t="s">
        <v>16751</v>
      </c>
      <c r="CN253" s="214" t="s">
        <v>485</v>
      </c>
      <c r="CO253" s="214" t="s">
        <v>70</v>
      </c>
      <c r="CP253" s="214" t="s">
        <v>530</v>
      </c>
      <c r="CR253" s="214" t="s">
        <v>16752</v>
      </c>
      <c r="CS253" s="214" t="s">
        <v>34544</v>
      </c>
      <c r="CT253" s="214" t="s">
        <v>70</v>
      </c>
      <c r="CU253" s="214" t="s">
        <v>530</v>
      </c>
      <c r="CW253" s="214" t="s">
        <v>16753</v>
      </c>
      <c r="CX253" s="214" t="s">
        <v>488</v>
      </c>
      <c r="CY253" s="214" t="s">
        <v>70</v>
      </c>
      <c r="CZ253" s="214" t="s">
        <v>530</v>
      </c>
      <c r="DB253" s="214" t="s">
        <v>16754</v>
      </c>
      <c r="DC253" s="214" t="s">
        <v>531</v>
      </c>
      <c r="DD253" s="214" t="s">
        <v>70</v>
      </c>
      <c r="DE253" s="214" t="s">
        <v>530</v>
      </c>
      <c r="DG253" s="214" t="s">
        <v>16755</v>
      </c>
      <c r="DH253" s="214" t="s">
        <v>34544</v>
      </c>
      <c r="DI253" s="214" t="s">
        <v>70</v>
      </c>
      <c r="DJ253" s="214" t="s">
        <v>530</v>
      </c>
      <c r="DL253" s="214" t="s">
        <v>16756</v>
      </c>
      <c r="DM253" s="214" t="s">
        <v>34540</v>
      </c>
      <c r="DN253" s="214" t="s">
        <v>70</v>
      </c>
      <c r="DO253" s="214" t="s">
        <v>530</v>
      </c>
      <c r="DQ253" s="214" t="s">
        <v>16757</v>
      </c>
      <c r="DR253" s="214" t="s">
        <v>34548</v>
      </c>
      <c r="DS253" s="214" t="s">
        <v>70</v>
      </c>
      <c r="DT253" s="214" t="s">
        <v>530</v>
      </c>
      <c r="DV253" s="214" t="s">
        <v>16758</v>
      </c>
      <c r="DW253" s="214" t="s">
        <v>502</v>
      </c>
      <c r="DX253" s="214" t="s">
        <v>70</v>
      </c>
      <c r="DY253" s="214" t="s">
        <v>530</v>
      </c>
      <c r="EA253" s="214" t="s">
        <v>16759</v>
      </c>
      <c r="EB253" s="214" t="s">
        <v>52</v>
      </c>
      <c r="EC253" s="214" t="s">
        <v>70</v>
      </c>
      <c r="ED253" s="214" t="s">
        <v>530</v>
      </c>
      <c r="EF253" s="214" t="s">
        <v>16760</v>
      </c>
      <c r="EG253" s="214" t="s">
        <v>93</v>
      </c>
      <c r="EH253" s="214" t="s">
        <v>70</v>
      </c>
      <c r="EI253" s="214" t="s">
        <v>530</v>
      </c>
      <c r="EK253" s="214" t="s">
        <v>16761</v>
      </c>
      <c r="EL253" s="214" t="s">
        <v>501</v>
      </c>
      <c r="EM253" s="214" t="s">
        <v>70</v>
      </c>
      <c r="EN253" s="214" t="s">
        <v>530</v>
      </c>
      <c r="EP253" s="214" t="s">
        <v>16762</v>
      </c>
      <c r="EQ253" s="214" t="s">
        <v>954</v>
      </c>
      <c r="ER253" s="214" t="s">
        <v>70</v>
      </c>
      <c r="ES253" s="214" t="s">
        <v>530</v>
      </c>
      <c r="EU253" s="214" t="s">
        <v>16763</v>
      </c>
      <c r="EV253" s="214" t="s">
        <v>915</v>
      </c>
      <c r="EW253" s="214" t="s">
        <v>70</v>
      </c>
      <c r="EX253" s="214" t="s">
        <v>530</v>
      </c>
      <c r="EZ253" s="214" t="s">
        <v>16764</v>
      </c>
      <c r="FA253" s="214" t="s">
        <v>485</v>
      </c>
      <c r="FB253" s="214" t="s">
        <v>70</v>
      </c>
      <c r="FC253" s="214" t="s">
        <v>530</v>
      </c>
      <c r="FE253" s="214" t="s">
        <v>16765</v>
      </c>
      <c r="FF253" s="214" t="s">
        <v>492</v>
      </c>
      <c r="FG253" s="214" t="s">
        <v>70</v>
      </c>
      <c r="FH253" s="214" t="s">
        <v>530</v>
      </c>
      <c r="FJ253" s="321" t="s">
        <v>16766</v>
      </c>
      <c r="FK253" s="214" t="s">
        <v>203</v>
      </c>
      <c r="FL253" s="214" t="s">
        <v>70</v>
      </c>
      <c r="FM253" s="214" t="s">
        <v>530</v>
      </c>
      <c r="FO253" s="321" t="s">
        <v>16767</v>
      </c>
      <c r="FP253" s="214" t="s">
        <v>86</v>
      </c>
      <c r="FQ253" s="214" t="s">
        <v>70</v>
      </c>
      <c r="FR253" s="214" t="s">
        <v>530</v>
      </c>
      <c r="FT253" s="321" t="s">
        <v>16768</v>
      </c>
      <c r="FU253" s="214" t="s">
        <v>492</v>
      </c>
      <c r="FV253" s="214" t="s">
        <v>70</v>
      </c>
      <c r="FW253" s="214" t="s">
        <v>530</v>
      </c>
      <c r="FY253" s="321" t="s">
        <v>16769</v>
      </c>
      <c r="FZ253" s="214" t="s">
        <v>145</v>
      </c>
      <c r="GA253" s="214" t="s">
        <v>70</v>
      </c>
      <c r="GB253" s="214" t="s">
        <v>530</v>
      </c>
      <c r="GD253" s="321" t="s">
        <v>16770</v>
      </c>
      <c r="GE253" s="214" t="s">
        <v>485</v>
      </c>
      <c r="GF253" s="214" t="s">
        <v>70</v>
      </c>
      <c r="GG253" s="214" t="s">
        <v>530</v>
      </c>
      <c r="GI253" s="321" t="s">
        <v>16771</v>
      </c>
      <c r="GJ253" s="214" t="s">
        <v>34551</v>
      </c>
      <c r="GK253" s="214" t="s">
        <v>70</v>
      </c>
      <c r="GL253" s="214" t="s">
        <v>530</v>
      </c>
      <c r="GN253" s="321" t="s">
        <v>16772</v>
      </c>
      <c r="GO253" s="214" t="s">
        <v>503</v>
      </c>
      <c r="GP253" s="214" t="s">
        <v>70</v>
      </c>
      <c r="GQ253" s="214" t="s">
        <v>530</v>
      </c>
      <c r="GS253" s="321" t="s">
        <v>16773</v>
      </c>
      <c r="GT253" s="214" t="s">
        <v>34544</v>
      </c>
      <c r="GU253" s="214" t="s">
        <v>70</v>
      </c>
      <c r="GV253" s="214" t="s">
        <v>530</v>
      </c>
      <c r="GX253" s="214" t="s">
        <v>16774</v>
      </c>
      <c r="GY253" s="214" t="s">
        <v>491</v>
      </c>
      <c r="GZ253" s="214" t="s">
        <v>70</v>
      </c>
      <c r="HA253" s="214" t="s">
        <v>530</v>
      </c>
      <c r="HC253" s="214" t="s">
        <v>16775</v>
      </c>
      <c r="HD253" s="214" t="s">
        <v>484</v>
      </c>
      <c r="HE253" s="214" t="s">
        <v>70</v>
      </c>
      <c r="HF253" s="214" t="s">
        <v>530</v>
      </c>
      <c r="HH253" s="214" t="s">
        <v>16776</v>
      </c>
      <c r="HI253" s="214" t="s">
        <v>145</v>
      </c>
      <c r="HJ253" s="214" t="s">
        <v>70</v>
      </c>
      <c r="HK253" s="214" t="s">
        <v>530</v>
      </c>
      <c r="HM253" s="214" t="s">
        <v>16777</v>
      </c>
      <c r="HN253" s="214" t="s">
        <v>145</v>
      </c>
      <c r="HO253" s="214" t="s">
        <v>70</v>
      </c>
      <c r="HP253" s="214" t="s">
        <v>530</v>
      </c>
      <c r="HR253" s="22" t="s">
        <v>16778</v>
      </c>
      <c r="HS253" s="22" t="s">
        <v>501</v>
      </c>
      <c r="HT253" s="22" t="s">
        <v>70</v>
      </c>
      <c r="HU253" s="214" t="s">
        <v>530</v>
      </c>
      <c r="HW253" s="22" t="s">
        <v>16779</v>
      </c>
      <c r="HX253" s="22" t="s">
        <v>34583</v>
      </c>
      <c r="HY253" s="22" t="s">
        <v>70</v>
      </c>
      <c r="HZ253" s="214" t="s">
        <v>530</v>
      </c>
      <c r="IB253" s="22" t="s">
        <v>16780</v>
      </c>
      <c r="IC253" s="22" t="s">
        <v>484</v>
      </c>
      <c r="ID253" s="22" t="s">
        <v>70</v>
      </c>
      <c r="IE253" s="214" t="s">
        <v>530</v>
      </c>
      <c r="IG253" s="22" t="s">
        <v>16781</v>
      </c>
      <c r="IH253" s="22" t="s">
        <v>52</v>
      </c>
      <c r="II253" s="22" t="s">
        <v>70</v>
      </c>
      <c r="IJ253" s="214" t="s">
        <v>530</v>
      </c>
      <c r="IL253" s="22" t="s">
        <v>16782</v>
      </c>
      <c r="IM253" s="22" t="s">
        <v>145</v>
      </c>
      <c r="IN253" s="22" t="s">
        <v>70</v>
      </c>
      <c r="IO253" s="214" t="s">
        <v>530</v>
      </c>
      <c r="IQ253" s="236" t="s">
        <v>16783</v>
      </c>
      <c r="IR253" s="236" t="s">
        <v>145</v>
      </c>
      <c r="IS253" s="236" t="s">
        <v>74</v>
      </c>
      <c r="IT253" s="236" t="s">
        <v>841</v>
      </c>
      <c r="IV253" s="236" t="s">
        <v>16784</v>
      </c>
      <c r="IW253" s="236" t="s">
        <v>145</v>
      </c>
      <c r="IX253" s="236" t="s">
        <v>74</v>
      </c>
      <c r="IY253" s="236" t="s">
        <v>841</v>
      </c>
      <c r="JA253" s="236" t="s">
        <v>16785</v>
      </c>
      <c r="JB253" s="236" t="s">
        <v>145</v>
      </c>
      <c r="JC253" s="236" t="s">
        <v>74</v>
      </c>
      <c r="JD253" s="236" t="s">
        <v>841</v>
      </c>
      <c r="JF253" s="236" t="s">
        <v>16786</v>
      </c>
      <c r="JG253" s="236" t="s">
        <v>145</v>
      </c>
      <c r="JH253" s="236" t="s">
        <v>74</v>
      </c>
      <c r="JI253" s="236" t="s">
        <v>841</v>
      </c>
      <c r="JK253" s="236" t="s">
        <v>16787</v>
      </c>
      <c r="JL253" s="236" t="s">
        <v>145</v>
      </c>
      <c r="JM253" s="236" t="s">
        <v>74</v>
      </c>
      <c r="JN253" s="236" t="s">
        <v>841</v>
      </c>
      <c r="JP253" s="236" t="s">
        <v>16788</v>
      </c>
      <c r="JQ253" s="236" t="s">
        <v>145</v>
      </c>
      <c r="JR253" s="236" t="s">
        <v>74</v>
      </c>
      <c r="JS253" s="236" t="s">
        <v>841</v>
      </c>
      <c r="JU253" s="294" t="s">
        <v>16789</v>
      </c>
      <c r="JV253" s="294" t="s">
        <v>52</v>
      </c>
      <c r="JW253" s="263" t="s">
        <v>70</v>
      </c>
      <c r="JX253" s="294" t="s">
        <v>1083</v>
      </c>
      <c r="JZ253" s="263" t="s">
        <v>16790</v>
      </c>
      <c r="KA253" s="263" t="s">
        <v>145</v>
      </c>
      <c r="KB253" s="263" t="s">
        <v>70</v>
      </c>
      <c r="KC253" s="263" t="s">
        <v>1083</v>
      </c>
      <c r="KE253" s="263" t="s">
        <v>16791</v>
      </c>
      <c r="KF253" s="263" t="s">
        <v>52</v>
      </c>
      <c r="KG253" s="263" t="s">
        <v>70</v>
      </c>
      <c r="KH253" s="263" t="s">
        <v>1083</v>
      </c>
      <c r="KJ253" s="263" t="s">
        <v>16792</v>
      </c>
      <c r="KK253" s="263" t="s">
        <v>52</v>
      </c>
      <c r="KL253" s="263" t="s">
        <v>74</v>
      </c>
      <c r="KM253" s="263" t="s">
        <v>34074</v>
      </c>
      <c r="KO253" s="214" t="s">
        <v>16793</v>
      </c>
      <c r="KP253" s="214" t="s">
        <v>145</v>
      </c>
      <c r="KQ253" s="214" t="s">
        <v>70</v>
      </c>
      <c r="KR253" s="214" t="s">
        <v>67</v>
      </c>
      <c r="KT253" s="22" t="s">
        <v>16794</v>
      </c>
      <c r="KU253" s="22" t="s">
        <v>145</v>
      </c>
      <c r="KV253" s="22" t="s">
        <v>70</v>
      </c>
      <c r="KW253" s="22" t="s">
        <v>67</v>
      </c>
      <c r="KY253" s="214" t="s">
        <v>16795</v>
      </c>
      <c r="KZ253" s="214" t="s">
        <v>52</v>
      </c>
      <c r="LA253" s="214" t="s">
        <v>74</v>
      </c>
      <c r="LB253" s="214" t="s">
        <v>67</v>
      </c>
      <c r="LD253" s="22" t="s">
        <v>16796</v>
      </c>
      <c r="LE253" s="22" t="s">
        <v>145</v>
      </c>
      <c r="LF253" s="22" t="s">
        <v>70</v>
      </c>
      <c r="LG253" s="22" t="s">
        <v>67</v>
      </c>
    </row>
    <row r="254" spans="1:319">
      <c r="A254" s="22" t="s">
        <v>16797</v>
      </c>
      <c r="B254" s="22" t="s">
        <v>145</v>
      </c>
      <c r="C254" s="22" t="s">
        <v>70</v>
      </c>
      <c r="D254" s="22" t="s">
        <v>67</v>
      </c>
      <c r="F254" s="73" t="s">
        <v>16798</v>
      </c>
      <c r="G254" s="22" t="s">
        <v>145</v>
      </c>
      <c r="H254" s="22" t="s">
        <v>70</v>
      </c>
      <c r="I254" s="22" t="s">
        <v>67</v>
      </c>
      <c r="K254" s="22" t="s">
        <v>16799</v>
      </c>
      <c r="L254" s="22" t="s">
        <v>145</v>
      </c>
      <c r="M254" s="22" t="s">
        <v>70</v>
      </c>
      <c r="N254" s="22" t="s">
        <v>67</v>
      </c>
      <c r="P254" s="22" t="s">
        <v>16800</v>
      </c>
      <c r="Q254" s="22" t="s">
        <v>145</v>
      </c>
      <c r="R254" s="22" t="s">
        <v>70</v>
      </c>
      <c r="S254" s="22" t="s">
        <v>67</v>
      </c>
      <c r="U254" s="293" t="s">
        <v>16801</v>
      </c>
      <c r="V254" s="293" t="s">
        <v>145</v>
      </c>
      <c r="W254" s="293" t="s">
        <v>74</v>
      </c>
      <c r="X254" s="293" t="s">
        <v>656</v>
      </c>
      <c r="Z254" s="293" t="s">
        <v>16802</v>
      </c>
      <c r="AA254" s="293" t="s">
        <v>145</v>
      </c>
      <c r="AB254" s="293" t="s">
        <v>74</v>
      </c>
      <c r="AC254" s="293" t="s">
        <v>656</v>
      </c>
      <c r="AE254" s="293" t="s">
        <v>16803</v>
      </c>
      <c r="AF254" s="293" t="s">
        <v>145</v>
      </c>
      <c r="AG254" s="293" t="s">
        <v>74</v>
      </c>
      <c r="AH254" s="293" t="s">
        <v>656</v>
      </c>
      <c r="AJ254" s="293" t="s">
        <v>16804</v>
      </c>
      <c r="AK254" s="293" t="s">
        <v>145</v>
      </c>
      <c r="AL254" s="293" t="s">
        <v>74</v>
      </c>
      <c r="AM254" s="293" t="s">
        <v>656</v>
      </c>
      <c r="AO254" s="22" t="s">
        <v>16805</v>
      </c>
      <c r="AP254" s="22" t="s">
        <v>145</v>
      </c>
      <c r="AQ254" s="22" t="s">
        <v>70</v>
      </c>
      <c r="AR254" s="22" t="s">
        <v>67</v>
      </c>
      <c r="AT254" s="22" t="s">
        <v>16806</v>
      </c>
      <c r="AU254" s="22" t="s">
        <v>145</v>
      </c>
      <c r="AV254" s="22" t="s">
        <v>70</v>
      </c>
      <c r="AW254" s="22" t="s">
        <v>67</v>
      </c>
      <c r="AY254" s="22" t="s">
        <v>16807</v>
      </c>
      <c r="AZ254" s="22" t="s">
        <v>145</v>
      </c>
      <c r="BA254" s="22" t="s">
        <v>70</v>
      </c>
      <c r="BB254" s="22" t="s">
        <v>67</v>
      </c>
      <c r="BD254" s="22" t="s">
        <v>16808</v>
      </c>
      <c r="BE254" s="22" t="s">
        <v>145</v>
      </c>
      <c r="BF254" s="22" t="s">
        <v>70</v>
      </c>
      <c r="BG254" s="22" t="s">
        <v>67</v>
      </c>
      <c r="BI254" s="22" t="s">
        <v>16809</v>
      </c>
      <c r="BJ254" s="22" t="s">
        <v>145</v>
      </c>
      <c r="BK254" s="22" t="s">
        <v>70</v>
      </c>
      <c r="BL254" s="22" t="s">
        <v>67</v>
      </c>
      <c r="BN254" s="22" t="s">
        <v>16810</v>
      </c>
      <c r="BO254" s="22" t="s">
        <v>145</v>
      </c>
      <c r="BP254" s="22" t="s">
        <v>70</v>
      </c>
      <c r="BQ254" s="22" t="s">
        <v>67</v>
      </c>
      <c r="BS254" s="22" t="s">
        <v>16811</v>
      </c>
      <c r="BT254" s="22" t="s">
        <v>145</v>
      </c>
      <c r="BU254" s="22" t="s">
        <v>70</v>
      </c>
      <c r="BV254" s="214" t="s">
        <v>530</v>
      </c>
      <c r="BX254" s="22" t="s">
        <v>16812</v>
      </c>
      <c r="BY254" s="22" t="s">
        <v>145</v>
      </c>
      <c r="BZ254" s="22" t="s">
        <v>70</v>
      </c>
      <c r="CA254" s="214" t="s">
        <v>530</v>
      </c>
      <c r="CC254" s="214" t="s">
        <v>16813</v>
      </c>
      <c r="CD254" s="218" t="s">
        <v>145</v>
      </c>
      <c r="CE254" s="214" t="s">
        <v>70</v>
      </c>
      <c r="CF254" s="214" t="s">
        <v>707</v>
      </c>
      <c r="CH254" s="214" t="s">
        <v>16814</v>
      </c>
      <c r="CI254" s="214" t="s">
        <v>52</v>
      </c>
      <c r="CJ254" s="214" t="s">
        <v>70</v>
      </c>
      <c r="CK254" s="214" t="s">
        <v>530</v>
      </c>
      <c r="CM254" s="214" t="s">
        <v>16815</v>
      </c>
      <c r="CN254" s="214" t="s">
        <v>34545</v>
      </c>
      <c r="CO254" s="214" t="s">
        <v>70</v>
      </c>
      <c r="CP254" s="214" t="s">
        <v>530</v>
      </c>
      <c r="CR254" s="214" t="s">
        <v>16816</v>
      </c>
      <c r="CS254" s="214" t="s">
        <v>52</v>
      </c>
      <c r="CT254" s="214" t="s">
        <v>70</v>
      </c>
      <c r="CU254" s="214" t="s">
        <v>530</v>
      </c>
      <c r="CW254" s="214" t="s">
        <v>16817</v>
      </c>
      <c r="CX254" s="214" t="s">
        <v>599</v>
      </c>
      <c r="CY254" s="214" t="s">
        <v>70</v>
      </c>
      <c r="CZ254" s="214" t="s">
        <v>530</v>
      </c>
      <c r="DB254" s="214" t="s">
        <v>16818</v>
      </c>
      <c r="DC254" s="214" t="s">
        <v>103</v>
      </c>
      <c r="DD254" s="214" t="s">
        <v>70</v>
      </c>
      <c r="DE254" s="214" t="s">
        <v>530</v>
      </c>
      <c r="DG254" s="214" t="s">
        <v>16819</v>
      </c>
      <c r="DH254" s="214" t="s">
        <v>103</v>
      </c>
      <c r="DI254" s="214" t="s">
        <v>70</v>
      </c>
      <c r="DJ254" s="214" t="s">
        <v>530</v>
      </c>
      <c r="DL254" s="214" t="s">
        <v>16820</v>
      </c>
      <c r="DM254" s="214" t="s">
        <v>148</v>
      </c>
      <c r="DN254" s="214" t="s">
        <v>70</v>
      </c>
      <c r="DO254" s="214" t="s">
        <v>530</v>
      </c>
      <c r="DQ254" s="214" t="s">
        <v>16821</v>
      </c>
      <c r="DR254" s="214" t="s">
        <v>642</v>
      </c>
      <c r="DS254" s="214" t="s">
        <v>70</v>
      </c>
      <c r="DT254" s="214" t="s">
        <v>530</v>
      </c>
      <c r="DV254" s="214" t="s">
        <v>16822</v>
      </c>
      <c r="DW254" s="214" t="s">
        <v>529</v>
      </c>
      <c r="DX254" s="214" t="s">
        <v>70</v>
      </c>
      <c r="DY254" s="214" t="s">
        <v>530</v>
      </c>
      <c r="EA254" s="214" t="s">
        <v>16823</v>
      </c>
      <c r="EB254" s="214" t="s">
        <v>34575</v>
      </c>
      <c r="EC254" s="214" t="s">
        <v>70</v>
      </c>
      <c r="ED254" s="214" t="s">
        <v>530</v>
      </c>
      <c r="EF254" s="214" t="s">
        <v>16824</v>
      </c>
      <c r="EG254" s="214" t="s">
        <v>52</v>
      </c>
      <c r="EH254" s="214" t="s">
        <v>70</v>
      </c>
      <c r="EI254" s="214" t="s">
        <v>530</v>
      </c>
      <c r="EK254" s="214" t="s">
        <v>16825</v>
      </c>
      <c r="EL254" s="214" t="s">
        <v>52</v>
      </c>
      <c r="EM254" s="214" t="s">
        <v>70</v>
      </c>
      <c r="EN254" s="214" t="s">
        <v>530</v>
      </c>
      <c r="EP254" s="214" t="s">
        <v>16826</v>
      </c>
      <c r="EQ254" s="214" t="s">
        <v>52</v>
      </c>
      <c r="ER254" s="214" t="s">
        <v>70</v>
      </c>
      <c r="ES254" s="214" t="s">
        <v>530</v>
      </c>
      <c r="EU254" s="214" t="s">
        <v>16827</v>
      </c>
      <c r="EV254" s="214" t="s">
        <v>468</v>
      </c>
      <c r="EW254" s="214" t="s">
        <v>70</v>
      </c>
      <c r="EX254" s="214" t="s">
        <v>530</v>
      </c>
      <c r="EZ254" s="214" t="s">
        <v>16828</v>
      </c>
      <c r="FA254" s="214" t="s">
        <v>148</v>
      </c>
      <c r="FB254" s="214" t="s">
        <v>70</v>
      </c>
      <c r="FC254" s="214" t="s">
        <v>530</v>
      </c>
      <c r="FE254" s="214" t="s">
        <v>16829</v>
      </c>
      <c r="FF254" s="214" t="s">
        <v>88</v>
      </c>
      <c r="FG254" s="214" t="s">
        <v>70</v>
      </c>
      <c r="FH254" s="214" t="s">
        <v>530</v>
      </c>
      <c r="FJ254" s="321" t="s">
        <v>16830</v>
      </c>
      <c r="FK254" s="214" t="s">
        <v>34572</v>
      </c>
      <c r="FL254" s="214" t="s">
        <v>70</v>
      </c>
      <c r="FM254" s="214" t="s">
        <v>530</v>
      </c>
      <c r="FO254" s="321" t="s">
        <v>16831</v>
      </c>
      <c r="FP254" s="214" t="s">
        <v>34591</v>
      </c>
      <c r="FQ254" s="214" t="s">
        <v>70</v>
      </c>
      <c r="FR254" s="214" t="s">
        <v>530</v>
      </c>
      <c r="FT254" s="321" t="s">
        <v>16832</v>
      </c>
      <c r="FU254" s="214" t="s">
        <v>305</v>
      </c>
      <c r="FV254" s="214" t="s">
        <v>70</v>
      </c>
      <c r="FW254" s="214" t="s">
        <v>530</v>
      </c>
      <c r="FY254" s="321" t="s">
        <v>16833</v>
      </c>
      <c r="FZ254" s="214" t="s">
        <v>599</v>
      </c>
      <c r="GA254" s="214" t="s">
        <v>70</v>
      </c>
      <c r="GB254" s="214" t="s">
        <v>530</v>
      </c>
      <c r="GD254" s="321" t="s">
        <v>16834</v>
      </c>
      <c r="GE254" s="214" t="s">
        <v>941</v>
      </c>
      <c r="GF254" s="214" t="s">
        <v>70</v>
      </c>
      <c r="GG254" s="214" t="s">
        <v>530</v>
      </c>
      <c r="GI254" s="321" t="s">
        <v>16835</v>
      </c>
      <c r="GJ254" s="214" t="s">
        <v>52</v>
      </c>
      <c r="GK254" s="214" t="s">
        <v>70</v>
      </c>
      <c r="GL254" s="214" t="s">
        <v>530</v>
      </c>
      <c r="GN254" s="321" t="s">
        <v>16836</v>
      </c>
      <c r="GO254" s="214" t="s">
        <v>145</v>
      </c>
      <c r="GP254" s="214" t="s">
        <v>70</v>
      </c>
      <c r="GQ254" s="214" t="s">
        <v>530</v>
      </c>
      <c r="GS254" s="321" t="s">
        <v>16837</v>
      </c>
      <c r="GT254" s="214" t="s">
        <v>954</v>
      </c>
      <c r="GU254" s="214" t="s">
        <v>70</v>
      </c>
      <c r="GV254" s="214" t="s">
        <v>530</v>
      </c>
      <c r="GX254" s="214" t="s">
        <v>16838</v>
      </c>
      <c r="GY254" s="214" t="s">
        <v>52</v>
      </c>
      <c r="GZ254" s="214" t="s">
        <v>70</v>
      </c>
      <c r="HA254" s="214" t="s">
        <v>530</v>
      </c>
      <c r="HC254" s="214" t="s">
        <v>16839</v>
      </c>
      <c r="HD254" s="214" t="s">
        <v>485</v>
      </c>
      <c r="HE254" s="214" t="s">
        <v>70</v>
      </c>
      <c r="HF254" s="214" t="s">
        <v>530</v>
      </c>
      <c r="HH254" s="214" t="s">
        <v>16840</v>
      </c>
      <c r="HI254" s="214" t="s">
        <v>90</v>
      </c>
      <c r="HJ254" s="214" t="s">
        <v>70</v>
      </c>
      <c r="HK254" s="214" t="s">
        <v>530</v>
      </c>
      <c r="HM254" s="214" t="s">
        <v>16841</v>
      </c>
      <c r="HN254" s="214" t="s">
        <v>599</v>
      </c>
      <c r="HO254" s="214" t="s">
        <v>70</v>
      </c>
      <c r="HP254" s="214" t="s">
        <v>530</v>
      </c>
      <c r="HR254" s="22" t="s">
        <v>16842</v>
      </c>
      <c r="HS254" s="22" t="s">
        <v>87</v>
      </c>
      <c r="HT254" s="22" t="s">
        <v>70</v>
      </c>
      <c r="HU254" s="214" t="s">
        <v>530</v>
      </c>
      <c r="HW254" s="22" t="s">
        <v>16843</v>
      </c>
      <c r="HX254" s="22" t="s">
        <v>604</v>
      </c>
      <c r="HY254" s="22" t="s">
        <v>70</v>
      </c>
      <c r="HZ254" s="214" t="s">
        <v>530</v>
      </c>
      <c r="IB254" s="22" t="s">
        <v>16844</v>
      </c>
      <c r="IC254" s="22" t="s">
        <v>90</v>
      </c>
      <c r="ID254" s="22" t="s">
        <v>70</v>
      </c>
      <c r="IE254" s="214" t="s">
        <v>530</v>
      </c>
      <c r="IG254" s="22" t="s">
        <v>16845</v>
      </c>
      <c r="IH254" s="22" t="s">
        <v>52</v>
      </c>
      <c r="II254" s="22" t="s">
        <v>70</v>
      </c>
      <c r="IJ254" s="214" t="s">
        <v>530</v>
      </c>
      <c r="IL254" s="22" t="s">
        <v>16846</v>
      </c>
      <c r="IM254" s="22" t="s">
        <v>145</v>
      </c>
      <c r="IN254" s="22" t="s">
        <v>70</v>
      </c>
      <c r="IO254" s="214" t="s">
        <v>530</v>
      </c>
      <c r="IQ254" s="236" t="s">
        <v>16847</v>
      </c>
      <c r="IR254" s="236" t="s">
        <v>145</v>
      </c>
      <c r="IS254" s="236" t="s">
        <v>74</v>
      </c>
      <c r="IT254" s="236" t="s">
        <v>841</v>
      </c>
      <c r="IV254" s="236" t="s">
        <v>16848</v>
      </c>
      <c r="IW254" s="236" t="s">
        <v>145</v>
      </c>
      <c r="IX254" s="236" t="s">
        <v>74</v>
      </c>
      <c r="IY254" s="236" t="s">
        <v>841</v>
      </c>
      <c r="JA254" s="236" t="s">
        <v>16849</v>
      </c>
      <c r="JB254" s="236" t="s">
        <v>145</v>
      </c>
      <c r="JC254" s="236" t="s">
        <v>74</v>
      </c>
      <c r="JD254" s="236" t="s">
        <v>841</v>
      </c>
      <c r="JF254" s="236" t="s">
        <v>16850</v>
      </c>
      <c r="JG254" s="236" t="s">
        <v>145</v>
      </c>
      <c r="JH254" s="236" t="s">
        <v>74</v>
      </c>
      <c r="JI254" s="236" t="s">
        <v>841</v>
      </c>
      <c r="JK254" s="236" t="s">
        <v>16851</v>
      </c>
      <c r="JL254" s="236" t="s">
        <v>145</v>
      </c>
      <c r="JM254" s="236" t="s">
        <v>74</v>
      </c>
      <c r="JN254" s="236" t="s">
        <v>841</v>
      </c>
      <c r="JP254" s="236" t="s">
        <v>16852</v>
      </c>
      <c r="JQ254" s="236" t="s">
        <v>145</v>
      </c>
      <c r="JR254" s="236" t="s">
        <v>74</v>
      </c>
      <c r="JS254" s="236" t="s">
        <v>841</v>
      </c>
      <c r="JU254" s="294" t="s">
        <v>16853</v>
      </c>
      <c r="JV254" s="294" t="s">
        <v>52</v>
      </c>
      <c r="JW254" s="263" t="s">
        <v>70</v>
      </c>
      <c r="JX254" s="294" t="s">
        <v>1083</v>
      </c>
      <c r="JZ254" s="263" t="s">
        <v>16854</v>
      </c>
      <c r="KA254" s="263" t="s">
        <v>145</v>
      </c>
      <c r="KB254" s="263" t="s">
        <v>70</v>
      </c>
      <c r="KC254" s="263" t="s">
        <v>1083</v>
      </c>
      <c r="KE254" s="263" t="s">
        <v>16855</v>
      </c>
      <c r="KF254" s="263" t="s">
        <v>52</v>
      </c>
      <c r="KG254" s="263" t="s">
        <v>70</v>
      </c>
      <c r="KH254" s="263" t="s">
        <v>1083</v>
      </c>
      <c r="KJ254" s="263" t="s">
        <v>16856</v>
      </c>
      <c r="KK254" s="263" t="s">
        <v>52</v>
      </c>
      <c r="KL254" s="263" t="s">
        <v>74</v>
      </c>
      <c r="KM254" s="263" t="s">
        <v>34074</v>
      </c>
      <c r="KO254" s="214" t="s">
        <v>16857</v>
      </c>
      <c r="KP254" s="214" t="s">
        <v>145</v>
      </c>
      <c r="KQ254" s="214" t="s">
        <v>70</v>
      </c>
      <c r="KR254" s="214" t="s">
        <v>67</v>
      </c>
      <c r="KT254" s="22" t="s">
        <v>16858</v>
      </c>
      <c r="KU254" s="22" t="s">
        <v>145</v>
      </c>
      <c r="KV254" s="22" t="s">
        <v>70</v>
      </c>
      <c r="KW254" s="22" t="s">
        <v>67</v>
      </c>
      <c r="KY254" s="214" t="s">
        <v>16859</v>
      </c>
      <c r="KZ254" s="214" t="s">
        <v>52</v>
      </c>
      <c r="LA254" s="214" t="s">
        <v>74</v>
      </c>
      <c r="LB254" s="214" t="s">
        <v>67</v>
      </c>
      <c r="LD254" s="22" t="s">
        <v>16860</v>
      </c>
      <c r="LE254" s="22" t="s">
        <v>145</v>
      </c>
      <c r="LF254" s="22" t="s">
        <v>70</v>
      </c>
      <c r="LG254" s="22" t="s">
        <v>67</v>
      </c>
    </row>
    <row r="255" spans="1:319">
      <c r="A255" s="22" t="s">
        <v>16861</v>
      </c>
      <c r="B255" s="22" t="s">
        <v>145</v>
      </c>
      <c r="C255" s="22" t="s">
        <v>70</v>
      </c>
      <c r="D255" s="22" t="s">
        <v>67</v>
      </c>
      <c r="F255" s="73" t="s">
        <v>16862</v>
      </c>
      <c r="G255" s="22" t="s">
        <v>145</v>
      </c>
      <c r="H255" s="22" t="s">
        <v>70</v>
      </c>
      <c r="I255" s="22" t="s">
        <v>67</v>
      </c>
      <c r="K255" s="22" t="s">
        <v>16863</v>
      </c>
      <c r="L255" s="22" t="s">
        <v>145</v>
      </c>
      <c r="M255" s="22" t="s">
        <v>70</v>
      </c>
      <c r="N255" s="22" t="s">
        <v>67</v>
      </c>
      <c r="P255" s="22" t="s">
        <v>16864</v>
      </c>
      <c r="Q255" s="22" t="s">
        <v>145</v>
      </c>
      <c r="R255" s="22" t="s">
        <v>70</v>
      </c>
      <c r="S255" s="22" t="s">
        <v>67</v>
      </c>
      <c r="U255" s="293" t="s">
        <v>16865</v>
      </c>
      <c r="V255" s="293" t="s">
        <v>145</v>
      </c>
      <c r="W255" s="293" t="s">
        <v>74</v>
      </c>
      <c r="X255" s="293" t="s">
        <v>656</v>
      </c>
      <c r="Z255" s="293" t="s">
        <v>16866</v>
      </c>
      <c r="AA255" s="293" t="s">
        <v>145</v>
      </c>
      <c r="AB255" s="293" t="s">
        <v>74</v>
      </c>
      <c r="AC255" s="293" t="s">
        <v>656</v>
      </c>
      <c r="AE255" s="293" t="s">
        <v>16867</v>
      </c>
      <c r="AF255" s="293" t="s">
        <v>145</v>
      </c>
      <c r="AG255" s="293" t="s">
        <v>74</v>
      </c>
      <c r="AH255" s="293" t="s">
        <v>656</v>
      </c>
      <c r="AJ255" s="293" t="s">
        <v>16868</v>
      </c>
      <c r="AK255" s="293" t="s">
        <v>145</v>
      </c>
      <c r="AL255" s="293" t="s">
        <v>74</v>
      </c>
      <c r="AM255" s="293" t="s">
        <v>656</v>
      </c>
      <c r="AO255" s="22" t="s">
        <v>16869</v>
      </c>
      <c r="AP255" s="22" t="s">
        <v>145</v>
      </c>
      <c r="AQ255" s="22" t="s">
        <v>70</v>
      </c>
      <c r="AR255" s="22" t="s">
        <v>67</v>
      </c>
      <c r="AT255" s="22" t="s">
        <v>16870</v>
      </c>
      <c r="AU255" s="22" t="s">
        <v>145</v>
      </c>
      <c r="AV255" s="22" t="s">
        <v>70</v>
      </c>
      <c r="AW255" s="22" t="s">
        <v>67</v>
      </c>
      <c r="AY255" s="22" t="s">
        <v>16871</v>
      </c>
      <c r="AZ255" s="22" t="s">
        <v>145</v>
      </c>
      <c r="BA255" s="22" t="s">
        <v>70</v>
      </c>
      <c r="BB255" s="22" t="s">
        <v>67</v>
      </c>
      <c r="BD255" s="22" t="s">
        <v>16872</v>
      </c>
      <c r="BE255" s="22" t="s">
        <v>145</v>
      </c>
      <c r="BF255" s="22" t="s">
        <v>70</v>
      </c>
      <c r="BG255" s="22" t="s">
        <v>67</v>
      </c>
      <c r="BI255" s="22" t="s">
        <v>16873</v>
      </c>
      <c r="BJ255" s="22" t="s">
        <v>145</v>
      </c>
      <c r="BK255" s="22" t="s">
        <v>70</v>
      </c>
      <c r="BL255" s="22" t="s">
        <v>67</v>
      </c>
      <c r="BN255" s="22" t="s">
        <v>16874</v>
      </c>
      <c r="BO255" s="22" t="s">
        <v>145</v>
      </c>
      <c r="BP255" s="22" t="s">
        <v>70</v>
      </c>
      <c r="BQ255" s="22" t="s">
        <v>67</v>
      </c>
      <c r="BS255" s="22" t="s">
        <v>16875</v>
      </c>
      <c r="BT255" s="22" t="s">
        <v>145</v>
      </c>
      <c r="BU255" s="22" t="s">
        <v>70</v>
      </c>
      <c r="BV255" s="214" t="s">
        <v>530</v>
      </c>
      <c r="BX255" s="22" t="s">
        <v>16876</v>
      </c>
      <c r="BY255" s="22" t="s">
        <v>145</v>
      </c>
      <c r="BZ255" s="22" t="s">
        <v>70</v>
      </c>
      <c r="CA255" s="214" t="s">
        <v>530</v>
      </c>
      <c r="CC255" s="214" t="s">
        <v>16877</v>
      </c>
      <c r="CD255" s="218" t="s">
        <v>145</v>
      </c>
      <c r="CE255" s="214" t="s">
        <v>70</v>
      </c>
      <c r="CF255" s="214" t="s">
        <v>708</v>
      </c>
      <c r="CH255" s="214" t="s">
        <v>16878</v>
      </c>
      <c r="CI255" s="214" t="s">
        <v>485</v>
      </c>
      <c r="CJ255" s="214" t="s">
        <v>70</v>
      </c>
      <c r="CK255" s="214" t="s">
        <v>530</v>
      </c>
      <c r="CM255" s="214" t="s">
        <v>16879</v>
      </c>
      <c r="CN255" s="214" t="s">
        <v>34551</v>
      </c>
      <c r="CO255" s="214" t="s">
        <v>70</v>
      </c>
      <c r="CP255" s="214" t="s">
        <v>530</v>
      </c>
      <c r="CR255" s="214" t="s">
        <v>16880</v>
      </c>
      <c r="CS255" s="214" t="s">
        <v>922</v>
      </c>
      <c r="CT255" s="214" t="s">
        <v>70</v>
      </c>
      <c r="CU255" s="214" t="s">
        <v>530</v>
      </c>
      <c r="CW255" s="214" t="s">
        <v>16881</v>
      </c>
      <c r="CX255" s="214" t="s">
        <v>484</v>
      </c>
      <c r="CY255" s="214" t="s">
        <v>70</v>
      </c>
      <c r="CZ255" s="214" t="s">
        <v>530</v>
      </c>
      <c r="DB255" s="214" t="s">
        <v>16882</v>
      </c>
      <c r="DC255" s="214" t="s">
        <v>599</v>
      </c>
      <c r="DD255" s="214" t="s">
        <v>70</v>
      </c>
      <c r="DE255" s="214" t="s">
        <v>530</v>
      </c>
      <c r="DG255" s="214" t="s">
        <v>16883</v>
      </c>
      <c r="DH255" s="214" t="s">
        <v>956</v>
      </c>
      <c r="DI255" s="214" t="s">
        <v>70</v>
      </c>
      <c r="DJ255" s="214" t="s">
        <v>530</v>
      </c>
      <c r="DL255" s="214" t="s">
        <v>16884</v>
      </c>
      <c r="DM255" s="214" t="s">
        <v>34549</v>
      </c>
      <c r="DN255" s="214" t="s">
        <v>70</v>
      </c>
      <c r="DO255" s="214" t="s">
        <v>530</v>
      </c>
      <c r="DQ255" s="214" t="s">
        <v>16885</v>
      </c>
      <c r="DR255" s="214" t="s">
        <v>85</v>
      </c>
      <c r="DS255" s="214" t="s">
        <v>70</v>
      </c>
      <c r="DT255" s="214" t="s">
        <v>530</v>
      </c>
      <c r="DV255" s="214" t="s">
        <v>16886</v>
      </c>
      <c r="DW255" s="214" t="s">
        <v>87</v>
      </c>
      <c r="DX255" s="214" t="s">
        <v>70</v>
      </c>
      <c r="DY255" s="214" t="s">
        <v>530</v>
      </c>
      <c r="EA255" s="214" t="s">
        <v>16887</v>
      </c>
      <c r="EB255" s="214" t="s">
        <v>90</v>
      </c>
      <c r="EC255" s="214" t="s">
        <v>70</v>
      </c>
      <c r="ED255" s="214" t="s">
        <v>530</v>
      </c>
      <c r="EF255" s="214" t="s">
        <v>16888</v>
      </c>
      <c r="EG255" s="214" t="s">
        <v>497</v>
      </c>
      <c r="EH255" s="214" t="s">
        <v>70</v>
      </c>
      <c r="EI255" s="214" t="s">
        <v>530</v>
      </c>
      <c r="EK255" s="214" t="s">
        <v>16889</v>
      </c>
      <c r="EL255" s="214" t="s">
        <v>34580</v>
      </c>
      <c r="EM255" s="214" t="s">
        <v>70</v>
      </c>
      <c r="EN255" s="214" t="s">
        <v>530</v>
      </c>
      <c r="EP255" s="214" t="s">
        <v>16890</v>
      </c>
      <c r="EQ255" s="214" t="s">
        <v>468</v>
      </c>
      <c r="ER255" s="214" t="s">
        <v>70</v>
      </c>
      <c r="ES255" s="214" t="s">
        <v>530</v>
      </c>
      <c r="EU255" s="214" t="s">
        <v>16891</v>
      </c>
      <c r="EV255" s="214" t="s">
        <v>146</v>
      </c>
      <c r="EW255" s="214" t="s">
        <v>70</v>
      </c>
      <c r="EX255" s="214" t="s">
        <v>530</v>
      </c>
      <c r="EZ255" s="214" t="s">
        <v>16892</v>
      </c>
      <c r="FA255" s="214" t="s">
        <v>34544</v>
      </c>
      <c r="FB255" s="214" t="s">
        <v>70</v>
      </c>
      <c r="FC255" s="214" t="s">
        <v>530</v>
      </c>
      <c r="FE255" s="214" t="s">
        <v>16893</v>
      </c>
      <c r="FF255" s="214" t="s">
        <v>488</v>
      </c>
      <c r="FG255" s="214" t="s">
        <v>70</v>
      </c>
      <c r="FH255" s="214" t="s">
        <v>530</v>
      </c>
      <c r="FJ255" s="321" t="s">
        <v>16894</v>
      </c>
      <c r="FK255" s="214" t="s">
        <v>503</v>
      </c>
      <c r="FL255" s="214" t="s">
        <v>70</v>
      </c>
      <c r="FM255" s="214" t="s">
        <v>530</v>
      </c>
      <c r="FO255" s="321" t="s">
        <v>16895</v>
      </c>
      <c r="FP255" s="214" t="s">
        <v>935</v>
      </c>
      <c r="FQ255" s="214" t="s">
        <v>70</v>
      </c>
      <c r="FR255" s="214" t="s">
        <v>530</v>
      </c>
      <c r="FT255" s="321" t="s">
        <v>16896</v>
      </c>
      <c r="FU255" s="214" t="s">
        <v>491</v>
      </c>
      <c r="FV255" s="214" t="s">
        <v>70</v>
      </c>
      <c r="FW255" s="214" t="s">
        <v>530</v>
      </c>
      <c r="FY255" s="321" t="s">
        <v>16897</v>
      </c>
      <c r="FZ255" s="214" t="s">
        <v>484</v>
      </c>
      <c r="GA255" s="214" t="s">
        <v>70</v>
      </c>
      <c r="GB255" s="214" t="s">
        <v>530</v>
      </c>
      <c r="GD255" s="321" t="s">
        <v>16898</v>
      </c>
      <c r="GE255" s="214" t="s">
        <v>34542</v>
      </c>
      <c r="GF255" s="214" t="s">
        <v>70</v>
      </c>
      <c r="GG255" s="214" t="s">
        <v>530</v>
      </c>
      <c r="GI255" s="321" t="s">
        <v>16899</v>
      </c>
      <c r="GJ255" s="214" t="s">
        <v>468</v>
      </c>
      <c r="GK255" s="214" t="s">
        <v>70</v>
      </c>
      <c r="GL255" s="214" t="s">
        <v>530</v>
      </c>
      <c r="GN255" s="321" t="s">
        <v>16900</v>
      </c>
      <c r="GO255" s="214" t="s">
        <v>145</v>
      </c>
      <c r="GP255" s="214" t="s">
        <v>70</v>
      </c>
      <c r="GQ255" s="214" t="s">
        <v>530</v>
      </c>
      <c r="GS255" s="321" t="s">
        <v>16901</v>
      </c>
      <c r="GT255" s="214" t="s">
        <v>491</v>
      </c>
      <c r="GU255" s="214" t="s">
        <v>70</v>
      </c>
      <c r="GV255" s="214" t="s">
        <v>530</v>
      </c>
      <c r="GX255" s="214" t="s">
        <v>16902</v>
      </c>
      <c r="GY255" s="214" t="s">
        <v>203</v>
      </c>
      <c r="GZ255" s="214" t="s">
        <v>70</v>
      </c>
      <c r="HA255" s="214" t="s">
        <v>530</v>
      </c>
      <c r="HC255" s="214" t="s">
        <v>16903</v>
      </c>
      <c r="HD255" s="214" t="s">
        <v>486</v>
      </c>
      <c r="HE255" s="214" t="s">
        <v>70</v>
      </c>
      <c r="HF255" s="214" t="s">
        <v>530</v>
      </c>
      <c r="HH255" s="214" t="s">
        <v>16904</v>
      </c>
      <c r="HI255" s="214" t="s">
        <v>34598</v>
      </c>
      <c r="HJ255" s="214" t="s">
        <v>70</v>
      </c>
      <c r="HK255" s="214" t="s">
        <v>530</v>
      </c>
      <c r="HM255" s="214" t="s">
        <v>16905</v>
      </c>
      <c r="HN255" s="214" t="s">
        <v>163</v>
      </c>
      <c r="HO255" s="214" t="s">
        <v>70</v>
      </c>
      <c r="HP255" s="214" t="s">
        <v>530</v>
      </c>
      <c r="HR255" s="22" t="s">
        <v>16906</v>
      </c>
      <c r="HS255" s="22" t="s">
        <v>34544</v>
      </c>
      <c r="HT255" s="22" t="s">
        <v>70</v>
      </c>
      <c r="HU255" s="214" t="s">
        <v>530</v>
      </c>
      <c r="HW255" s="22" t="s">
        <v>16907</v>
      </c>
      <c r="HX255" s="22" t="s">
        <v>52</v>
      </c>
      <c r="HY255" s="22" t="s">
        <v>70</v>
      </c>
      <c r="HZ255" s="214" t="s">
        <v>530</v>
      </c>
      <c r="IB255" s="22" t="s">
        <v>16908</v>
      </c>
      <c r="IC255" s="22" t="s">
        <v>88</v>
      </c>
      <c r="ID255" s="22" t="s">
        <v>70</v>
      </c>
      <c r="IE255" s="214" t="s">
        <v>530</v>
      </c>
      <c r="IG255" s="22" t="s">
        <v>16909</v>
      </c>
      <c r="IH255" s="22" t="s">
        <v>52</v>
      </c>
      <c r="II255" s="22" t="s">
        <v>70</v>
      </c>
      <c r="IJ255" s="214" t="s">
        <v>530</v>
      </c>
      <c r="IL255" s="22" t="s">
        <v>16910</v>
      </c>
      <c r="IM255" s="22" t="s">
        <v>145</v>
      </c>
      <c r="IN255" s="22" t="s">
        <v>70</v>
      </c>
      <c r="IO255" s="214" t="s">
        <v>530</v>
      </c>
      <c r="IQ255" s="236" t="s">
        <v>16911</v>
      </c>
      <c r="IR255" s="236" t="s">
        <v>145</v>
      </c>
      <c r="IS255" s="236" t="s">
        <v>74</v>
      </c>
      <c r="IT255" s="236" t="s">
        <v>841</v>
      </c>
      <c r="IV255" s="236" t="s">
        <v>16912</v>
      </c>
      <c r="IW255" s="236" t="s">
        <v>145</v>
      </c>
      <c r="IX255" s="236" t="s">
        <v>74</v>
      </c>
      <c r="IY255" s="236" t="s">
        <v>841</v>
      </c>
      <c r="JA255" s="236" t="s">
        <v>16913</v>
      </c>
      <c r="JB255" s="236" t="s">
        <v>145</v>
      </c>
      <c r="JC255" s="236" t="s">
        <v>74</v>
      </c>
      <c r="JD255" s="236" t="s">
        <v>841</v>
      </c>
      <c r="JF255" s="236" t="s">
        <v>16914</v>
      </c>
      <c r="JG255" s="236" t="s">
        <v>145</v>
      </c>
      <c r="JH255" s="236" t="s">
        <v>74</v>
      </c>
      <c r="JI255" s="236" t="s">
        <v>841</v>
      </c>
      <c r="JK255" s="236" t="s">
        <v>16915</v>
      </c>
      <c r="JL255" s="236" t="s">
        <v>145</v>
      </c>
      <c r="JM255" s="236" t="s">
        <v>74</v>
      </c>
      <c r="JN255" s="236" t="s">
        <v>841</v>
      </c>
      <c r="JP255" s="236" t="s">
        <v>16916</v>
      </c>
      <c r="JQ255" s="236" t="s">
        <v>145</v>
      </c>
      <c r="JR255" s="236" t="s">
        <v>74</v>
      </c>
      <c r="JS255" s="236" t="s">
        <v>841</v>
      </c>
      <c r="JU255" s="294" t="s">
        <v>16917</v>
      </c>
      <c r="JV255" s="294" t="s">
        <v>52</v>
      </c>
      <c r="JW255" s="263" t="s">
        <v>70</v>
      </c>
      <c r="JX255" s="294" t="s">
        <v>1083</v>
      </c>
      <c r="JZ255" s="263" t="s">
        <v>16918</v>
      </c>
      <c r="KA255" s="263" t="s">
        <v>145</v>
      </c>
      <c r="KB255" s="263" t="s">
        <v>70</v>
      </c>
      <c r="KC255" s="263" t="s">
        <v>1083</v>
      </c>
      <c r="KE255" s="263" t="s">
        <v>16919</v>
      </c>
      <c r="KF255" s="263" t="s">
        <v>52</v>
      </c>
      <c r="KG255" s="263" t="s">
        <v>70</v>
      </c>
      <c r="KH255" s="263" t="s">
        <v>1083</v>
      </c>
      <c r="KJ255" s="263" t="s">
        <v>16920</v>
      </c>
      <c r="KK255" s="263" t="s">
        <v>52</v>
      </c>
      <c r="KL255" s="263" t="s">
        <v>74</v>
      </c>
      <c r="KM255" s="263" t="s">
        <v>34074</v>
      </c>
      <c r="KO255" s="214" t="s">
        <v>16921</v>
      </c>
      <c r="KP255" s="214" t="s">
        <v>145</v>
      </c>
      <c r="KQ255" s="214" t="s">
        <v>70</v>
      </c>
      <c r="KR255" s="214" t="s">
        <v>67</v>
      </c>
      <c r="KT255" s="22" t="s">
        <v>16922</v>
      </c>
      <c r="KU255" s="22" t="s">
        <v>145</v>
      </c>
      <c r="KV255" s="22" t="s">
        <v>70</v>
      </c>
      <c r="KW255" s="22" t="s">
        <v>67</v>
      </c>
      <c r="KY255" s="214" t="s">
        <v>16923</v>
      </c>
      <c r="KZ255" s="214" t="s">
        <v>52</v>
      </c>
      <c r="LA255" s="214" t="s">
        <v>74</v>
      </c>
      <c r="LB255" s="214" t="s">
        <v>67</v>
      </c>
      <c r="LD255" s="22" t="s">
        <v>16924</v>
      </c>
      <c r="LE255" s="22" t="s">
        <v>145</v>
      </c>
      <c r="LF255" s="22" t="s">
        <v>70</v>
      </c>
      <c r="LG255" s="22" t="s">
        <v>67</v>
      </c>
    </row>
    <row r="256" spans="1:319">
      <c r="A256" s="22" t="s">
        <v>16925</v>
      </c>
      <c r="B256" s="22" t="s">
        <v>145</v>
      </c>
      <c r="C256" s="22" t="s">
        <v>70</v>
      </c>
      <c r="D256" s="22" t="s">
        <v>67</v>
      </c>
      <c r="F256" s="73" t="s">
        <v>16926</v>
      </c>
      <c r="G256" s="22" t="s">
        <v>145</v>
      </c>
      <c r="H256" s="22" t="s">
        <v>70</v>
      </c>
      <c r="I256" s="22" t="s">
        <v>67</v>
      </c>
      <c r="K256" s="22" t="s">
        <v>16927</v>
      </c>
      <c r="L256" s="22" t="s">
        <v>145</v>
      </c>
      <c r="M256" s="22" t="s">
        <v>70</v>
      </c>
      <c r="N256" s="22" t="s">
        <v>67</v>
      </c>
      <c r="P256" s="22" t="s">
        <v>16928</v>
      </c>
      <c r="Q256" s="22" t="s">
        <v>145</v>
      </c>
      <c r="R256" s="22" t="s">
        <v>70</v>
      </c>
      <c r="S256" s="22" t="s">
        <v>67</v>
      </c>
      <c r="U256" s="293" t="s">
        <v>16929</v>
      </c>
      <c r="V256" s="293" t="s">
        <v>145</v>
      </c>
      <c r="W256" s="293" t="s">
        <v>74</v>
      </c>
      <c r="X256" s="293" t="s">
        <v>656</v>
      </c>
      <c r="Z256" s="293" t="s">
        <v>16930</v>
      </c>
      <c r="AA256" s="293" t="s">
        <v>145</v>
      </c>
      <c r="AB256" s="293" t="s">
        <v>74</v>
      </c>
      <c r="AC256" s="293" t="s">
        <v>656</v>
      </c>
      <c r="AE256" s="293" t="s">
        <v>16931</v>
      </c>
      <c r="AF256" s="293" t="s">
        <v>145</v>
      </c>
      <c r="AG256" s="293" t="s">
        <v>74</v>
      </c>
      <c r="AH256" s="293" t="s">
        <v>656</v>
      </c>
      <c r="AJ256" s="293" t="s">
        <v>16932</v>
      </c>
      <c r="AK256" s="293" t="s">
        <v>145</v>
      </c>
      <c r="AL256" s="293" t="s">
        <v>74</v>
      </c>
      <c r="AM256" s="293" t="s">
        <v>656</v>
      </c>
      <c r="AO256" s="22" t="s">
        <v>16933</v>
      </c>
      <c r="AP256" s="22" t="s">
        <v>145</v>
      </c>
      <c r="AQ256" s="22" t="s">
        <v>70</v>
      </c>
      <c r="AR256" s="22" t="s">
        <v>67</v>
      </c>
      <c r="AT256" s="22" t="s">
        <v>16934</v>
      </c>
      <c r="AU256" s="22" t="s">
        <v>145</v>
      </c>
      <c r="AV256" s="22" t="s">
        <v>70</v>
      </c>
      <c r="AW256" s="22" t="s">
        <v>67</v>
      </c>
      <c r="AY256" s="22" t="s">
        <v>16935</v>
      </c>
      <c r="AZ256" s="22" t="s">
        <v>145</v>
      </c>
      <c r="BA256" s="22" t="s">
        <v>70</v>
      </c>
      <c r="BB256" s="22" t="s">
        <v>67</v>
      </c>
      <c r="BD256" s="22" t="s">
        <v>16936</v>
      </c>
      <c r="BE256" s="22" t="s">
        <v>145</v>
      </c>
      <c r="BF256" s="22" t="s">
        <v>70</v>
      </c>
      <c r="BG256" s="22" t="s">
        <v>67</v>
      </c>
      <c r="BI256" s="22" t="s">
        <v>16937</v>
      </c>
      <c r="BJ256" s="22" t="s">
        <v>145</v>
      </c>
      <c r="BK256" s="22" t="s">
        <v>70</v>
      </c>
      <c r="BL256" s="22" t="s">
        <v>67</v>
      </c>
      <c r="BN256" s="22" t="s">
        <v>16938</v>
      </c>
      <c r="BO256" s="22" t="s">
        <v>145</v>
      </c>
      <c r="BP256" s="22" t="s">
        <v>70</v>
      </c>
      <c r="BQ256" s="22" t="s">
        <v>67</v>
      </c>
      <c r="BS256" s="22" t="s">
        <v>16939</v>
      </c>
      <c r="BT256" s="22" t="s">
        <v>145</v>
      </c>
      <c r="BU256" s="22" t="s">
        <v>70</v>
      </c>
      <c r="BV256" s="214" t="s">
        <v>530</v>
      </c>
      <c r="BX256" s="22" t="s">
        <v>16940</v>
      </c>
      <c r="BY256" s="22" t="s">
        <v>145</v>
      </c>
      <c r="BZ256" s="22" t="s">
        <v>70</v>
      </c>
      <c r="CA256" s="214" t="s">
        <v>530</v>
      </c>
      <c r="CC256" s="214" t="s">
        <v>16941</v>
      </c>
      <c r="CD256" s="218" t="s">
        <v>145</v>
      </c>
      <c r="CE256" s="214" t="s">
        <v>70</v>
      </c>
      <c r="CF256" s="214" t="s">
        <v>709</v>
      </c>
      <c r="CH256" s="214" t="s">
        <v>16942</v>
      </c>
      <c r="CI256" s="214" t="s">
        <v>85</v>
      </c>
      <c r="CJ256" s="214" t="s">
        <v>70</v>
      </c>
      <c r="CK256" s="214" t="s">
        <v>530</v>
      </c>
      <c r="CM256" s="214" t="s">
        <v>16943</v>
      </c>
      <c r="CN256" s="214" t="s">
        <v>34607</v>
      </c>
      <c r="CO256" s="214" t="s">
        <v>70</v>
      </c>
      <c r="CP256" s="214" t="s">
        <v>530</v>
      </c>
      <c r="CR256" s="214" t="s">
        <v>16944</v>
      </c>
      <c r="CS256" s="214" t="s">
        <v>52</v>
      </c>
      <c r="CT256" s="214" t="s">
        <v>70</v>
      </c>
      <c r="CU256" s="214" t="s">
        <v>530</v>
      </c>
      <c r="CW256" s="214" t="s">
        <v>16945</v>
      </c>
      <c r="CX256" s="214" t="s">
        <v>34540</v>
      </c>
      <c r="CY256" s="214" t="s">
        <v>70</v>
      </c>
      <c r="CZ256" s="214" t="s">
        <v>530</v>
      </c>
      <c r="DB256" s="214" t="s">
        <v>16946</v>
      </c>
      <c r="DC256" s="214" t="s">
        <v>34579</v>
      </c>
      <c r="DD256" s="214" t="s">
        <v>70</v>
      </c>
      <c r="DE256" s="214" t="s">
        <v>530</v>
      </c>
      <c r="DG256" s="214" t="s">
        <v>16947</v>
      </c>
      <c r="DH256" s="214" t="s">
        <v>492</v>
      </c>
      <c r="DI256" s="214" t="s">
        <v>70</v>
      </c>
      <c r="DJ256" s="214" t="s">
        <v>530</v>
      </c>
      <c r="DL256" s="214" t="s">
        <v>16948</v>
      </c>
      <c r="DM256" s="214" t="s">
        <v>655</v>
      </c>
      <c r="DN256" s="214" t="s">
        <v>70</v>
      </c>
      <c r="DO256" s="214" t="s">
        <v>530</v>
      </c>
      <c r="DQ256" s="214" t="s">
        <v>16949</v>
      </c>
      <c r="DR256" s="214" t="s">
        <v>642</v>
      </c>
      <c r="DS256" s="214" t="s">
        <v>70</v>
      </c>
      <c r="DT256" s="214" t="s">
        <v>530</v>
      </c>
      <c r="DV256" s="214" t="s">
        <v>16950</v>
      </c>
      <c r="DW256" s="214" t="s">
        <v>502</v>
      </c>
      <c r="DX256" s="214" t="s">
        <v>70</v>
      </c>
      <c r="DY256" s="214" t="s">
        <v>530</v>
      </c>
      <c r="EA256" s="214" t="s">
        <v>16951</v>
      </c>
      <c r="EB256" s="214" t="s">
        <v>145</v>
      </c>
      <c r="EC256" s="214" t="s">
        <v>70</v>
      </c>
      <c r="ED256" s="214" t="s">
        <v>530</v>
      </c>
      <c r="EF256" s="214" t="s">
        <v>16952</v>
      </c>
      <c r="EG256" s="214" t="s">
        <v>497</v>
      </c>
      <c r="EH256" s="214" t="s">
        <v>70</v>
      </c>
      <c r="EI256" s="214" t="s">
        <v>530</v>
      </c>
      <c r="EK256" s="214" t="s">
        <v>16953</v>
      </c>
      <c r="EL256" s="214" t="s">
        <v>148</v>
      </c>
      <c r="EM256" s="214" t="s">
        <v>70</v>
      </c>
      <c r="EN256" s="214" t="s">
        <v>530</v>
      </c>
      <c r="EP256" s="214" t="s">
        <v>16954</v>
      </c>
      <c r="EQ256" s="214" t="s">
        <v>145</v>
      </c>
      <c r="ER256" s="214" t="s">
        <v>70</v>
      </c>
      <c r="ES256" s="214" t="s">
        <v>530</v>
      </c>
      <c r="EU256" s="214" t="s">
        <v>16955</v>
      </c>
      <c r="EV256" s="214" t="s">
        <v>52</v>
      </c>
      <c r="EW256" s="214" t="s">
        <v>70</v>
      </c>
      <c r="EX256" s="214" t="s">
        <v>530</v>
      </c>
      <c r="EZ256" s="214" t="s">
        <v>16956</v>
      </c>
      <c r="FA256" s="214" t="s">
        <v>92</v>
      </c>
      <c r="FB256" s="214" t="s">
        <v>70</v>
      </c>
      <c r="FC256" s="214" t="s">
        <v>530</v>
      </c>
      <c r="FE256" s="214" t="s">
        <v>16957</v>
      </c>
      <c r="FF256" s="214" t="s">
        <v>52</v>
      </c>
      <c r="FG256" s="214" t="s">
        <v>70</v>
      </c>
      <c r="FH256" s="214" t="s">
        <v>530</v>
      </c>
      <c r="FJ256" s="321" t="s">
        <v>16958</v>
      </c>
      <c r="FK256" s="214" t="s">
        <v>52</v>
      </c>
      <c r="FL256" s="214" t="s">
        <v>70</v>
      </c>
      <c r="FM256" s="214" t="s">
        <v>530</v>
      </c>
      <c r="FO256" s="321" t="s">
        <v>16959</v>
      </c>
      <c r="FP256" s="214" t="s">
        <v>163</v>
      </c>
      <c r="FQ256" s="214" t="s">
        <v>70</v>
      </c>
      <c r="FR256" s="214" t="s">
        <v>530</v>
      </c>
      <c r="FT256" s="321" t="s">
        <v>16960</v>
      </c>
      <c r="FU256" s="214" t="s">
        <v>145</v>
      </c>
      <c r="FV256" s="214" t="s">
        <v>70</v>
      </c>
      <c r="FW256" s="214" t="s">
        <v>530</v>
      </c>
      <c r="FY256" s="321" t="s">
        <v>16961</v>
      </c>
      <c r="FZ256" s="214" t="s">
        <v>148</v>
      </c>
      <c r="GA256" s="214" t="s">
        <v>70</v>
      </c>
      <c r="GB256" s="214" t="s">
        <v>530</v>
      </c>
      <c r="GD256" s="321" t="s">
        <v>16962</v>
      </c>
      <c r="GE256" s="214" t="s">
        <v>52</v>
      </c>
      <c r="GF256" s="214" t="s">
        <v>70</v>
      </c>
      <c r="GG256" s="214" t="s">
        <v>530</v>
      </c>
      <c r="GI256" s="321" t="s">
        <v>16963</v>
      </c>
      <c r="GJ256" s="214" t="s">
        <v>481</v>
      </c>
      <c r="GK256" s="214" t="s">
        <v>70</v>
      </c>
      <c r="GL256" s="214" t="s">
        <v>530</v>
      </c>
      <c r="GN256" s="321" t="s">
        <v>16964</v>
      </c>
      <c r="GO256" s="214" t="s">
        <v>34539</v>
      </c>
      <c r="GP256" s="214" t="s">
        <v>70</v>
      </c>
      <c r="GQ256" s="214" t="s">
        <v>530</v>
      </c>
      <c r="GS256" s="321" t="s">
        <v>16965</v>
      </c>
      <c r="GT256" s="214" t="s">
        <v>34556</v>
      </c>
      <c r="GU256" s="214" t="s">
        <v>70</v>
      </c>
      <c r="GV256" s="214" t="s">
        <v>530</v>
      </c>
      <c r="GX256" s="214" t="s">
        <v>16966</v>
      </c>
      <c r="GY256" s="214" t="s">
        <v>34625</v>
      </c>
      <c r="GZ256" s="214" t="s">
        <v>70</v>
      </c>
      <c r="HA256" s="214" t="s">
        <v>530</v>
      </c>
      <c r="HC256" s="214" t="s">
        <v>16967</v>
      </c>
      <c r="HD256" s="214" t="s">
        <v>86</v>
      </c>
      <c r="HE256" s="214" t="s">
        <v>70</v>
      </c>
      <c r="HF256" s="214" t="s">
        <v>530</v>
      </c>
      <c r="HH256" s="214" t="s">
        <v>16968</v>
      </c>
      <c r="HI256" s="214" t="s">
        <v>485</v>
      </c>
      <c r="HJ256" s="214" t="s">
        <v>70</v>
      </c>
      <c r="HK256" s="214" t="s">
        <v>530</v>
      </c>
      <c r="HM256" s="214" t="s">
        <v>16969</v>
      </c>
      <c r="HN256" s="214" t="s">
        <v>600</v>
      </c>
      <c r="HO256" s="214" t="s">
        <v>70</v>
      </c>
      <c r="HP256" s="214" t="s">
        <v>530</v>
      </c>
      <c r="HR256" s="22" t="s">
        <v>16970</v>
      </c>
      <c r="HS256" s="22" t="s">
        <v>34583</v>
      </c>
      <c r="HT256" s="22" t="s">
        <v>70</v>
      </c>
      <c r="HU256" s="214" t="s">
        <v>530</v>
      </c>
      <c r="HW256" s="22" t="s">
        <v>16971</v>
      </c>
      <c r="HX256" s="22" t="s">
        <v>937</v>
      </c>
      <c r="HY256" s="22" t="s">
        <v>70</v>
      </c>
      <c r="HZ256" s="214" t="s">
        <v>530</v>
      </c>
      <c r="IB256" s="22" t="s">
        <v>16972</v>
      </c>
      <c r="IC256" s="22" t="s">
        <v>86</v>
      </c>
      <c r="ID256" s="22" t="s">
        <v>70</v>
      </c>
      <c r="IE256" s="214" t="s">
        <v>530</v>
      </c>
      <c r="IG256" s="22" t="s">
        <v>16973</v>
      </c>
      <c r="IH256" s="22" t="s">
        <v>52</v>
      </c>
      <c r="II256" s="22" t="s">
        <v>70</v>
      </c>
      <c r="IJ256" s="214" t="s">
        <v>530</v>
      </c>
      <c r="IL256" s="22" t="s">
        <v>16974</v>
      </c>
      <c r="IM256" s="22" t="s">
        <v>145</v>
      </c>
      <c r="IN256" s="22" t="s">
        <v>70</v>
      </c>
      <c r="IO256" s="214" t="s">
        <v>530</v>
      </c>
      <c r="IQ256" s="236" t="s">
        <v>16975</v>
      </c>
      <c r="IR256" s="236" t="s">
        <v>145</v>
      </c>
      <c r="IS256" s="236" t="s">
        <v>74</v>
      </c>
      <c r="IT256" s="236" t="s">
        <v>841</v>
      </c>
      <c r="IV256" s="236" t="s">
        <v>16976</v>
      </c>
      <c r="IW256" s="236" t="s">
        <v>145</v>
      </c>
      <c r="IX256" s="236" t="s">
        <v>74</v>
      </c>
      <c r="IY256" s="236" t="s">
        <v>841</v>
      </c>
      <c r="JA256" s="236" t="s">
        <v>16977</v>
      </c>
      <c r="JB256" s="236" t="s">
        <v>145</v>
      </c>
      <c r="JC256" s="236" t="s">
        <v>74</v>
      </c>
      <c r="JD256" s="236" t="s">
        <v>841</v>
      </c>
      <c r="JF256" s="236" t="s">
        <v>16978</v>
      </c>
      <c r="JG256" s="236" t="s">
        <v>145</v>
      </c>
      <c r="JH256" s="236" t="s">
        <v>74</v>
      </c>
      <c r="JI256" s="236" t="s">
        <v>841</v>
      </c>
      <c r="JK256" s="236" t="s">
        <v>16979</v>
      </c>
      <c r="JL256" s="236" t="s">
        <v>145</v>
      </c>
      <c r="JM256" s="236" t="s">
        <v>74</v>
      </c>
      <c r="JN256" s="236" t="s">
        <v>841</v>
      </c>
      <c r="JP256" s="236" t="s">
        <v>16980</v>
      </c>
      <c r="JQ256" s="236" t="s">
        <v>145</v>
      </c>
      <c r="JR256" s="236" t="s">
        <v>74</v>
      </c>
      <c r="JS256" s="236" t="s">
        <v>841</v>
      </c>
      <c r="JU256" s="294" t="s">
        <v>16981</v>
      </c>
      <c r="JV256" s="294" t="s">
        <v>52</v>
      </c>
      <c r="JW256" s="263" t="s">
        <v>70</v>
      </c>
      <c r="JX256" s="294" t="s">
        <v>1083</v>
      </c>
      <c r="JZ256" s="263" t="s">
        <v>16982</v>
      </c>
      <c r="KA256" s="263" t="s">
        <v>145</v>
      </c>
      <c r="KB256" s="263" t="s">
        <v>70</v>
      </c>
      <c r="KC256" s="263" t="s">
        <v>1083</v>
      </c>
      <c r="KE256" s="263" t="s">
        <v>16983</v>
      </c>
      <c r="KF256" s="263" t="s">
        <v>52</v>
      </c>
      <c r="KG256" s="263" t="s">
        <v>70</v>
      </c>
      <c r="KH256" s="263" t="s">
        <v>1083</v>
      </c>
      <c r="KJ256" s="263" t="s">
        <v>16984</v>
      </c>
      <c r="KK256" s="263" t="s">
        <v>52</v>
      </c>
      <c r="KL256" s="263" t="s">
        <v>74</v>
      </c>
      <c r="KM256" s="263" t="s">
        <v>34074</v>
      </c>
      <c r="KO256" s="214" t="s">
        <v>16985</v>
      </c>
      <c r="KP256" s="214" t="s">
        <v>145</v>
      </c>
      <c r="KQ256" s="214" t="s">
        <v>70</v>
      </c>
      <c r="KR256" s="214" t="s">
        <v>67</v>
      </c>
      <c r="KT256" s="22" t="s">
        <v>16986</v>
      </c>
      <c r="KU256" s="22" t="s">
        <v>145</v>
      </c>
      <c r="KV256" s="22" t="s">
        <v>70</v>
      </c>
      <c r="KW256" s="22" t="s">
        <v>67</v>
      </c>
      <c r="KY256" s="214" t="s">
        <v>16987</v>
      </c>
      <c r="KZ256" s="214" t="s">
        <v>52</v>
      </c>
      <c r="LA256" s="214" t="s">
        <v>74</v>
      </c>
      <c r="LB256" s="214" t="s">
        <v>67</v>
      </c>
      <c r="LD256" s="22" t="s">
        <v>16988</v>
      </c>
      <c r="LE256" s="22" t="s">
        <v>145</v>
      </c>
      <c r="LF256" s="22" t="s">
        <v>70</v>
      </c>
      <c r="LG256" s="22" t="s">
        <v>67</v>
      </c>
    </row>
    <row r="257" spans="1:319">
      <c r="A257" s="22" t="s">
        <v>16989</v>
      </c>
      <c r="B257" s="22" t="s">
        <v>145</v>
      </c>
      <c r="C257" s="22" t="s">
        <v>70</v>
      </c>
      <c r="D257" s="22" t="s">
        <v>67</v>
      </c>
      <c r="F257" s="73" t="s">
        <v>16990</v>
      </c>
      <c r="G257" s="22" t="s">
        <v>145</v>
      </c>
      <c r="H257" s="22" t="s">
        <v>70</v>
      </c>
      <c r="I257" s="22" t="s">
        <v>67</v>
      </c>
      <c r="K257" s="22" t="s">
        <v>16991</v>
      </c>
      <c r="L257" s="22" t="s">
        <v>145</v>
      </c>
      <c r="M257" s="22" t="s">
        <v>70</v>
      </c>
      <c r="N257" s="22" t="s">
        <v>67</v>
      </c>
      <c r="P257" s="22" t="s">
        <v>16992</v>
      </c>
      <c r="Q257" s="22" t="s">
        <v>145</v>
      </c>
      <c r="R257" s="22" t="s">
        <v>70</v>
      </c>
      <c r="S257" s="22" t="s">
        <v>67</v>
      </c>
      <c r="U257" s="293" t="s">
        <v>16993</v>
      </c>
      <c r="V257" s="293" t="s">
        <v>145</v>
      </c>
      <c r="W257" s="293" t="s">
        <v>74</v>
      </c>
      <c r="X257" s="293" t="s">
        <v>656</v>
      </c>
      <c r="Z257" s="293" t="s">
        <v>16994</v>
      </c>
      <c r="AA257" s="293" t="s">
        <v>145</v>
      </c>
      <c r="AB257" s="293" t="s">
        <v>74</v>
      </c>
      <c r="AC257" s="293" t="s">
        <v>656</v>
      </c>
      <c r="AE257" s="293" t="s">
        <v>16995</v>
      </c>
      <c r="AF257" s="293" t="s">
        <v>145</v>
      </c>
      <c r="AG257" s="293" t="s">
        <v>74</v>
      </c>
      <c r="AH257" s="293" t="s">
        <v>656</v>
      </c>
      <c r="AJ257" s="293" t="s">
        <v>16996</v>
      </c>
      <c r="AK257" s="293" t="s">
        <v>145</v>
      </c>
      <c r="AL257" s="293" t="s">
        <v>74</v>
      </c>
      <c r="AM257" s="293" t="s">
        <v>656</v>
      </c>
      <c r="AO257" s="22" t="s">
        <v>16997</v>
      </c>
      <c r="AP257" s="22" t="s">
        <v>145</v>
      </c>
      <c r="AQ257" s="22" t="s">
        <v>70</v>
      </c>
      <c r="AR257" s="22" t="s">
        <v>67</v>
      </c>
      <c r="AT257" s="22" t="s">
        <v>16998</v>
      </c>
      <c r="AU257" s="22" t="s">
        <v>145</v>
      </c>
      <c r="AV257" s="22" t="s">
        <v>70</v>
      </c>
      <c r="AW257" s="22" t="s">
        <v>67</v>
      </c>
      <c r="AY257" s="22" t="s">
        <v>16999</v>
      </c>
      <c r="AZ257" s="22" t="s">
        <v>145</v>
      </c>
      <c r="BA257" s="22" t="s">
        <v>70</v>
      </c>
      <c r="BB257" s="22" t="s">
        <v>67</v>
      </c>
      <c r="BD257" s="22" t="s">
        <v>17000</v>
      </c>
      <c r="BE257" s="22" t="s">
        <v>145</v>
      </c>
      <c r="BF257" s="22" t="s">
        <v>70</v>
      </c>
      <c r="BG257" s="22" t="s">
        <v>67</v>
      </c>
      <c r="BI257" s="22" t="s">
        <v>17001</v>
      </c>
      <c r="BJ257" s="22" t="s">
        <v>145</v>
      </c>
      <c r="BK257" s="22" t="s">
        <v>70</v>
      </c>
      <c r="BL257" s="22" t="s">
        <v>67</v>
      </c>
      <c r="BN257" s="22" t="s">
        <v>17002</v>
      </c>
      <c r="BO257" s="22" t="s">
        <v>145</v>
      </c>
      <c r="BP257" s="22" t="s">
        <v>70</v>
      </c>
      <c r="BQ257" s="22" t="s">
        <v>67</v>
      </c>
      <c r="BS257" s="22" t="s">
        <v>17003</v>
      </c>
      <c r="BT257" s="22" t="s">
        <v>145</v>
      </c>
      <c r="BU257" s="22" t="s">
        <v>70</v>
      </c>
      <c r="BV257" s="214" t="s">
        <v>530</v>
      </c>
      <c r="BX257" s="22" t="s">
        <v>17004</v>
      </c>
      <c r="BY257" s="22" t="s">
        <v>145</v>
      </c>
      <c r="BZ257" s="22" t="s">
        <v>70</v>
      </c>
      <c r="CA257" s="214" t="s">
        <v>530</v>
      </c>
      <c r="CC257" s="214" t="s">
        <v>17005</v>
      </c>
      <c r="CD257" s="218" t="s">
        <v>145</v>
      </c>
      <c r="CE257" s="214" t="s">
        <v>70</v>
      </c>
      <c r="CF257" s="214" t="s">
        <v>710</v>
      </c>
      <c r="CH257" s="214" t="s">
        <v>17006</v>
      </c>
      <c r="CI257" s="214" t="s">
        <v>34544</v>
      </c>
      <c r="CJ257" s="214" t="s">
        <v>70</v>
      </c>
      <c r="CK257" s="214" t="s">
        <v>530</v>
      </c>
      <c r="CM257" s="214" t="s">
        <v>17007</v>
      </c>
      <c r="CN257" s="214" t="s">
        <v>34547</v>
      </c>
      <c r="CO257" s="214" t="s">
        <v>70</v>
      </c>
      <c r="CP257" s="214" t="s">
        <v>530</v>
      </c>
      <c r="CR257" s="214" t="s">
        <v>17008</v>
      </c>
      <c r="CS257" s="214" t="s">
        <v>34558</v>
      </c>
      <c r="CT257" s="214" t="s">
        <v>70</v>
      </c>
      <c r="CU257" s="214" t="s">
        <v>530</v>
      </c>
      <c r="CW257" s="214" t="s">
        <v>17009</v>
      </c>
      <c r="CX257" s="214" t="s">
        <v>146</v>
      </c>
      <c r="CY257" s="214" t="s">
        <v>70</v>
      </c>
      <c r="CZ257" s="214" t="s">
        <v>530</v>
      </c>
      <c r="DB257" s="214" t="s">
        <v>17010</v>
      </c>
      <c r="DC257" s="214" t="s">
        <v>502</v>
      </c>
      <c r="DD257" s="214" t="s">
        <v>70</v>
      </c>
      <c r="DE257" s="214" t="s">
        <v>530</v>
      </c>
      <c r="DG257" s="214" t="s">
        <v>17011</v>
      </c>
      <c r="DH257" s="214" t="s">
        <v>34539</v>
      </c>
      <c r="DI257" s="214" t="s">
        <v>70</v>
      </c>
      <c r="DJ257" s="214" t="s">
        <v>530</v>
      </c>
      <c r="DL257" s="214" t="s">
        <v>17012</v>
      </c>
      <c r="DM257" s="214" t="s">
        <v>206</v>
      </c>
      <c r="DN257" s="214" t="s">
        <v>70</v>
      </c>
      <c r="DO257" s="214" t="s">
        <v>530</v>
      </c>
      <c r="DQ257" s="214" t="s">
        <v>17013</v>
      </c>
      <c r="DR257" s="214" t="s">
        <v>34516</v>
      </c>
      <c r="DS257" s="214" t="s">
        <v>70</v>
      </c>
      <c r="DT257" s="214" t="s">
        <v>530</v>
      </c>
      <c r="DV257" s="214" t="s">
        <v>17014</v>
      </c>
      <c r="DW257" s="214" t="s">
        <v>34558</v>
      </c>
      <c r="DX257" s="214" t="s">
        <v>70</v>
      </c>
      <c r="DY257" s="214" t="s">
        <v>530</v>
      </c>
      <c r="EA257" s="214" t="s">
        <v>17015</v>
      </c>
      <c r="EB257" s="214" t="s">
        <v>33910</v>
      </c>
      <c r="EC257" s="214" t="s">
        <v>70</v>
      </c>
      <c r="ED257" s="214" t="s">
        <v>530</v>
      </c>
      <c r="EF257" s="214" t="s">
        <v>17016</v>
      </c>
      <c r="EG257" s="214" t="s">
        <v>481</v>
      </c>
      <c r="EH257" s="214" t="s">
        <v>70</v>
      </c>
      <c r="EI257" s="214" t="s">
        <v>530</v>
      </c>
      <c r="EK257" s="214" t="s">
        <v>17017</v>
      </c>
      <c r="EL257" s="214" t="s">
        <v>468</v>
      </c>
      <c r="EM257" s="214" t="s">
        <v>70</v>
      </c>
      <c r="EN257" s="214" t="s">
        <v>530</v>
      </c>
      <c r="EP257" s="214" t="s">
        <v>17018</v>
      </c>
      <c r="EQ257" s="214" t="s">
        <v>34541</v>
      </c>
      <c r="ER257" s="214" t="s">
        <v>70</v>
      </c>
      <c r="ES257" s="214" t="s">
        <v>530</v>
      </c>
      <c r="EU257" s="214" t="s">
        <v>17019</v>
      </c>
      <c r="EV257" s="214" t="s">
        <v>163</v>
      </c>
      <c r="EW257" s="214" t="s">
        <v>70</v>
      </c>
      <c r="EX257" s="214" t="s">
        <v>530</v>
      </c>
      <c r="EZ257" s="214" t="s">
        <v>17020</v>
      </c>
      <c r="FA257" s="214" t="s">
        <v>34580</v>
      </c>
      <c r="FB257" s="214" t="s">
        <v>70</v>
      </c>
      <c r="FC257" s="214" t="s">
        <v>530</v>
      </c>
      <c r="FE257" s="214" t="s">
        <v>17021</v>
      </c>
      <c r="FF257" s="214" t="s">
        <v>34593</v>
      </c>
      <c r="FG257" s="214" t="s">
        <v>70</v>
      </c>
      <c r="FH257" s="214" t="s">
        <v>530</v>
      </c>
      <c r="FJ257" s="321" t="s">
        <v>17022</v>
      </c>
      <c r="FK257" s="214" t="s">
        <v>955</v>
      </c>
      <c r="FL257" s="214" t="s">
        <v>70</v>
      </c>
      <c r="FM257" s="214" t="s">
        <v>530</v>
      </c>
      <c r="FO257" s="321" t="s">
        <v>17023</v>
      </c>
      <c r="FP257" s="214" t="s">
        <v>468</v>
      </c>
      <c r="FQ257" s="214" t="s">
        <v>70</v>
      </c>
      <c r="FR257" s="214" t="s">
        <v>530</v>
      </c>
      <c r="FT257" s="321" t="s">
        <v>17024</v>
      </c>
      <c r="FU257" s="214" t="s">
        <v>34541</v>
      </c>
      <c r="FV257" s="214" t="s">
        <v>70</v>
      </c>
      <c r="FW257" s="214" t="s">
        <v>530</v>
      </c>
      <c r="FY257" s="321" t="s">
        <v>17025</v>
      </c>
      <c r="FZ257" s="214" t="s">
        <v>34574</v>
      </c>
      <c r="GA257" s="214" t="s">
        <v>70</v>
      </c>
      <c r="GB257" s="214" t="s">
        <v>530</v>
      </c>
      <c r="GD257" s="321" t="s">
        <v>17026</v>
      </c>
      <c r="GE257" s="214" t="s">
        <v>955</v>
      </c>
      <c r="GF257" s="214" t="s">
        <v>70</v>
      </c>
      <c r="GG257" s="214" t="s">
        <v>530</v>
      </c>
      <c r="GI257" s="321" t="s">
        <v>17027</v>
      </c>
      <c r="GJ257" s="214" t="s">
        <v>487</v>
      </c>
      <c r="GK257" s="214" t="s">
        <v>70</v>
      </c>
      <c r="GL257" s="214" t="s">
        <v>530</v>
      </c>
      <c r="GN257" s="321" t="s">
        <v>17028</v>
      </c>
      <c r="GO257" s="214" t="s">
        <v>10541</v>
      </c>
      <c r="GP257" s="214" t="s">
        <v>70</v>
      </c>
      <c r="GQ257" s="214" t="s">
        <v>530</v>
      </c>
      <c r="GS257" s="321" t="s">
        <v>17029</v>
      </c>
      <c r="GT257" s="214" t="s">
        <v>34541</v>
      </c>
      <c r="GU257" s="214" t="s">
        <v>70</v>
      </c>
      <c r="GV257" s="214" t="s">
        <v>530</v>
      </c>
      <c r="GX257" s="214" t="s">
        <v>17030</v>
      </c>
      <c r="GY257" s="214" t="s">
        <v>34545</v>
      </c>
      <c r="GZ257" s="214" t="s">
        <v>70</v>
      </c>
      <c r="HA257" s="214" t="s">
        <v>530</v>
      </c>
      <c r="HC257" s="214" t="s">
        <v>17031</v>
      </c>
      <c r="HD257" s="214" t="s">
        <v>488</v>
      </c>
      <c r="HE257" s="214" t="s">
        <v>70</v>
      </c>
      <c r="HF257" s="214" t="s">
        <v>530</v>
      </c>
      <c r="HH257" s="214" t="s">
        <v>17032</v>
      </c>
      <c r="HI257" s="214" t="s">
        <v>163</v>
      </c>
      <c r="HJ257" s="214" t="s">
        <v>70</v>
      </c>
      <c r="HK257" s="214" t="s">
        <v>530</v>
      </c>
      <c r="HM257" s="214" t="s">
        <v>17033</v>
      </c>
      <c r="HN257" s="214" t="s">
        <v>483</v>
      </c>
      <c r="HO257" s="214" t="s">
        <v>70</v>
      </c>
      <c r="HP257" s="214" t="s">
        <v>530</v>
      </c>
      <c r="HR257" s="22" t="s">
        <v>17034</v>
      </c>
      <c r="HS257" s="22" t="s">
        <v>798</v>
      </c>
      <c r="HT257" s="22" t="s">
        <v>70</v>
      </c>
      <c r="HU257" s="214" t="s">
        <v>530</v>
      </c>
      <c r="HW257" s="22" t="s">
        <v>17035</v>
      </c>
      <c r="HX257" s="22" t="s">
        <v>468</v>
      </c>
      <c r="HY257" s="22" t="s">
        <v>70</v>
      </c>
      <c r="HZ257" s="214" t="s">
        <v>530</v>
      </c>
      <c r="IB257" s="22" t="s">
        <v>17036</v>
      </c>
      <c r="IC257" s="22" t="s">
        <v>146</v>
      </c>
      <c r="ID257" s="22" t="s">
        <v>70</v>
      </c>
      <c r="IE257" s="214" t="s">
        <v>530</v>
      </c>
      <c r="IG257" s="22" t="s">
        <v>17037</v>
      </c>
      <c r="IH257" s="22" t="s">
        <v>52</v>
      </c>
      <c r="II257" s="22" t="s">
        <v>70</v>
      </c>
      <c r="IJ257" s="214" t="s">
        <v>530</v>
      </c>
      <c r="IL257" s="22" t="s">
        <v>17038</v>
      </c>
      <c r="IM257" s="22" t="s">
        <v>145</v>
      </c>
      <c r="IN257" s="22" t="s">
        <v>70</v>
      </c>
      <c r="IO257" s="214" t="s">
        <v>530</v>
      </c>
      <c r="IQ257" s="236" t="s">
        <v>17039</v>
      </c>
      <c r="IR257" s="236" t="s">
        <v>145</v>
      </c>
      <c r="IS257" s="236" t="s">
        <v>74</v>
      </c>
      <c r="IT257" s="236" t="s">
        <v>841</v>
      </c>
      <c r="IV257" s="236" t="s">
        <v>17040</v>
      </c>
      <c r="IW257" s="236" t="s">
        <v>145</v>
      </c>
      <c r="IX257" s="236" t="s">
        <v>74</v>
      </c>
      <c r="IY257" s="236" t="s">
        <v>841</v>
      </c>
      <c r="JA257" s="236" t="s">
        <v>17041</v>
      </c>
      <c r="JB257" s="236" t="s">
        <v>145</v>
      </c>
      <c r="JC257" s="236" t="s">
        <v>74</v>
      </c>
      <c r="JD257" s="236" t="s">
        <v>841</v>
      </c>
      <c r="JF257" s="236" t="s">
        <v>17042</v>
      </c>
      <c r="JG257" s="236" t="s">
        <v>145</v>
      </c>
      <c r="JH257" s="236" t="s">
        <v>74</v>
      </c>
      <c r="JI257" s="236" t="s">
        <v>841</v>
      </c>
      <c r="JK257" s="236" t="s">
        <v>17043</v>
      </c>
      <c r="JL257" s="236" t="s">
        <v>145</v>
      </c>
      <c r="JM257" s="236" t="s">
        <v>74</v>
      </c>
      <c r="JN257" s="236" t="s">
        <v>841</v>
      </c>
      <c r="JP257" s="236" t="s">
        <v>17044</v>
      </c>
      <c r="JQ257" s="236" t="s">
        <v>145</v>
      </c>
      <c r="JR257" s="236" t="s">
        <v>74</v>
      </c>
      <c r="JS257" s="236" t="s">
        <v>841</v>
      </c>
      <c r="JU257" s="294" t="s">
        <v>17045</v>
      </c>
      <c r="JV257" s="294" t="s">
        <v>52</v>
      </c>
      <c r="JW257" s="263" t="s">
        <v>70</v>
      </c>
      <c r="JX257" s="294" t="s">
        <v>1083</v>
      </c>
      <c r="JZ257" s="263" t="s">
        <v>17046</v>
      </c>
      <c r="KA257" s="263" t="s">
        <v>145</v>
      </c>
      <c r="KB257" s="263" t="s">
        <v>70</v>
      </c>
      <c r="KC257" s="263" t="s">
        <v>1083</v>
      </c>
      <c r="KE257" s="263" t="s">
        <v>17047</v>
      </c>
      <c r="KF257" s="263" t="s">
        <v>52</v>
      </c>
      <c r="KG257" s="263" t="s">
        <v>70</v>
      </c>
      <c r="KH257" s="263" t="s">
        <v>1083</v>
      </c>
      <c r="KJ257" s="263" t="s">
        <v>17048</v>
      </c>
      <c r="KK257" s="263" t="s">
        <v>52</v>
      </c>
      <c r="KL257" s="263" t="s">
        <v>74</v>
      </c>
      <c r="KM257" s="263" t="s">
        <v>34074</v>
      </c>
      <c r="KO257" s="214" t="s">
        <v>17049</v>
      </c>
      <c r="KP257" s="214" t="s">
        <v>145</v>
      </c>
      <c r="KQ257" s="214" t="s">
        <v>70</v>
      </c>
      <c r="KR257" s="214" t="s">
        <v>67</v>
      </c>
      <c r="KT257" s="22" t="s">
        <v>17050</v>
      </c>
      <c r="KU257" s="22" t="s">
        <v>145</v>
      </c>
      <c r="KV257" s="22" t="s">
        <v>70</v>
      </c>
      <c r="KW257" s="22" t="s">
        <v>67</v>
      </c>
      <c r="KY257" s="214" t="s">
        <v>17051</v>
      </c>
      <c r="KZ257" s="214" t="s">
        <v>52</v>
      </c>
      <c r="LA257" s="214" t="s">
        <v>74</v>
      </c>
      <c r="LB257" s="214" t="s">
        <v>67</v>
      </c>
      <c r="LD257" s="22" t="s">
        <v>17052</v>
      </c>
      <c r="LE257" s="22" t="s">
        <v>145</v>
      </c>
      <c r="LF257" s="22" t="s">
        <v>70</v>
      </c>
      <c r="LG257" s="22" t="s">
        <v>67</v>
      </c>
    </row>
    <row r="258" spans="1:319">
      <c r="A258" s="22" t="s">
        <v>17053</v>
      </c>
      <c r="B258" s="22" t="s">
        <v>145</v>
      </c>
      <c r="C258" s="22" t="s">
        <v>70</v>
      </c>
      <c r="D258" s="22" t="s">
        <v>67</v>
      </c>
      <c r="F258" s="73" t="s">
        <v>17054</v>
      </c>
      <c r="G258" s="22" t="s">
        <v>145</v>
      </c>
      <c r="H258" s="22" t="s">
        <v>70</v>
      </c>
      <c r="I258" s="22" t="s">
        <v>67</v>
      </c>
      <c r="K258" s="22" t="s">
        <v>17055</v>
      </c>
      <c r="L258" s="22" t="s">
        <v>145</v>
      </c>
      <c r="M258" s="22" t="s">
        <v>70</v>
      </c>
      <c r="N258" s="22" t="s">
        <v>67</v>
      </c>
      <c r="P258" s="22" t="s">
        <v>17056</v>
      </c>
      <c r="Q258" s="22" t="s">
        <v>145</v>
      </c>
      <c r="R258" s="22" t="s">
        <v>70</v>
      </c>
      <c r="S258" s="22" t="s">
        <v>67</v>
      </c>
      <c r="U258" s="293" t="s">
        <v>17057</v>
      </c>
      <c r="V258" s="293" t="s">
        <v>145</v>
      </c>
      <c r="W258" s="293" t="s">
        <v>74</v>
      </c>
      <c r="X258" s="293" t="s">
        <v>656</v>
      </c>
      <c r="Z258" s="293" t="s">
        <v>17058</v>
      </c>
      <c r="AA258" s="293" t="s">
        <v>145</v>
      </c>
      <c r="AB258" s="293" t="s">
        <v>74</v>
      </c>
      <c r="AC258" s="293" t="s">
        <v>656</v>
      </c>
      <c r="AE258" s="293" t="s">
        <v>17059</v>
      </c>
      <c r="AF258" s="293" t="s">
        <v>145</v>
      </c>
      <c r="AG258" s="293" t="s">
        <v>74</v>
      </c>
      <c r="AH258" s="293" t="s">
        <v>656</v>
      </c>
      <c r="AJ258" s="293" t="s">
        <v>17060</v>
      </c>
      <c r="AK258" s="293" t="s">
        <v>145</v>
      </c>
      <c r="AL258" s="293" t="s">
        <v>74</v>
      </c>
      <c r="AM258" s="293" t="s">
        <v>656</v>
      </c>
      <c r="AO258" s="22" t="s">
        <v>17061</v>
      </c>
      <c r="AP258" s="22" t="s">
        <v>145</v>
      </c>
      <c r="AQ258" s="22" t="s">
        <v>70</v>
      </c>
      <c r="AR258" s="22" t="s">
        <v>67</v>
      </c>
      <c r="AT258" s="22" t="s">
        <v>17062</v>
      </c>
      <c r="AU258" s="22" t="s">
        <v>145</v>
      </c>
      <c r="AV258" s="22" t="s">
        <v>70</v>
      </c>
      <c r="AW258" s="22" t="s">
        <v>67</v>
      </c>
      <c r="AY258" s="22" t="s">
        <v>17063</v>
      </c>
      <c r="AZ258" s="22" t="s">
        <v>145</v>
      </c>
      <c r="BA258" s="22" t="s">
        <v>70</v>
      </c>
      <c r="BB258" s="22" t="s">
        <v>67</v>
      </c>
      <c r="BD258" s="22" t="s">
        <v>17064</v>
      </c>
      <c r="BE258" s="22" t="s">
        <v>145</v>
      </c>
      <c r="BF258" s="22" t="s">
        <v>70</v>
      </c>
      <c r="BG258" s="22" t="s">
        <v>67</v>
      </c>
      <c r="BI258" s="22" t="s">
        <v>17065</v>
      </c>
      <c r="BJ258" s="22" t="s">
        <v>145</v>
      </c>
      <c r="BK258" s="22" t="s">
        <v>70</v>
      </c>
      <c r="BL258" s="22" t="s">
        <v>67</v>
      </c>
      <c r="BN258" s="22" t="s">
        <v>17066</v>
      </c>
      <c r="BO258" s="22" t="s">
        <v>145</v>
      </c>
      <c r="BP258" s="22" t="s">
        <v>70</v>
      </c>
      <c r="BQ258" s="22" t="s">
        <v>67</v>
      </c>
      <c r="BS258" s="22" t="s">
        <v>17067</v>
      </c>
      <c r="BT258" s="22" t="s">
        <v>145</v>
      </c>
      <c r="BU258" s="22" t="s">
        <v>70</v>
      </c>
      <c r="BV258" s="214" t="s">
        <v>530</v>
      </c>
      <c r="BX258" s="22" t="s">
        <v>17068</v>
      </c>
      <c r="BY258" s="22" t="s">
        <v>145</v>
      </c>
      <c r="BZ258" s="22" t="s">
        <v>70</v>
      </c>
      <c r="CA258" s="214" t="s">
        <v>530</v>
      </c>
      <c r="CC258" s="214" t="s">
        <v>17069</v>
      </c>
      <c r="CD258" s="218" t="s">
        <v>145</v>
      </c>
      <c r="CE258" s="214" t="s">
        <v>70</v>
      </c>
      <c r="CF258" s="214" t="s">
        <v>711</v>
      </c>
      <c r="CH258" s="214" t="s">
        <v>17070</v>
      </c>
      <c r="CI258" s="214" t="s">
        <v>286</v>
      </c>
      <c r="CJ258" s="214" t="s">
        <v>70</v>
      </c>
      <c r="CK258" s="214" t="s">
        <v>530</v>
      </c>
      <c r="CM258" s="214" t="s">
        <v>17071</v>
      </c>
      <c r="CN258" s="214" t="s">
        <v>34628</v>
      </c>
      <c r="CO258" s="214" t="s">
        <v>70</v>
      </c>
      <c r="CP258" s="214" t="s">
        <v>530</v>
      </c>
      <c r="CR258" s="214" t="s">
        <v>17072</v>
      </c>
      <c r="CS258" s="214" t="s">
        <v>52</v>
      </c>
      <c r="CT258" s="214" t="s">
        <v>70</v>
      </c>
      <c r="CU258" s="214" t="s">
        <v>530</v>
      </c>
      <c r="CW258" s="214" t="s">
        <v>17073</v>
      </c>
      <c r="CX258" s="214" t="s">
        <v>85</v>
      </c>
      <c r="CY258" s="214" t="s">
        <v>70</v>
      </c>
      <c r="CZ258" s="214" t="s">
        <v>530</v>
      </c>
      <c r="DB258" s="214" t="s">
        <v>17074</v>
      </c>
      <c r="DC258" s="214" t="s">
        <v>86</v>
      </c>
      <c r="DD258" s="214" t="s">
        <v>70</v>
      </c>
      <c r="DE258" s="214" t="s">
        <v>530</v>
      </c>
      <c r="DG258" s="214" t="s">
        <v>17075</v>
      </c>
      <c r="DH258" s="214" t="s">
        <v>103</v>
      </c>
      <c r="DI258" s="214" t="s">
        <v>70</v>
      </c>
      <c r="DJ258" s="214" t="s">
        <v>530</v>
      </c>
      <c r="DL258" s="214" t="s">
        <v>17076</v>
      </c>
      <c r="DM258" s="214" t="s">
        <v>164</v>
      </c>
      <c r="DN258" s="214" t="s">
        <v>70</v>
      </c>
      <c r="DO258" s="214" t="s">
        <v>530</v>
      </c>
      <c r="DQ258" s="214" t="s">
        <v>17077</v>
      </c>
      <c r="DR258" s="214" t="s">
        <v>163</v>
      </c>
      <c r="DS258" s="214" t="s">
        <v>70</v>
      </c>
      <c r="DT258" s="214" t="s">
        <v>530</v>
      </c>
      <c r="DV258" s="214" t="s">
        <v>17078</v>
      </c>
      <c r="DW258" s="214" t="s">
        <v>52</v>
      </c>
      <c r="DX258" s="214" t="s">
        <v>70</v>
      </c>
      <c r="DY258" s="214" t="s">
        <v>530</v>
      </c>
      <c r="EA258" s="214" t="s">
        <v>17079</v>
      </c>
      <c r="EB258" s="214" t="s">
        <v>145</v>
      </c>
      <c r="EC258" s="214" t="s">
        <v>70</v>
      </c>
      <c r="ED258" s="214" t="s">
        <v>530</v>
      </c>
      <c r="EF258" s="214" t="s">
        <v>17080</v>
      </c>
      <c r="EG258" s="214" t="s">
        <v>913</v>
      </c>
      <c r="EH258" s="214" t="s">
        <v>70</v>
      </c>
      <c r="EI258" s="214" t="s">
        <v>530</v>
      </c>
      <c r="EK258" s="214" t="s">
        <v>17081</v>
      </c>
      <c r="EL258" s="214" t="s">
        <v>481</v>
      </c>
      <c r="EM258" s="214" t="s">
        <v>70</v>
      </c>
      <c r="EN258" s="214" t="s">
        <v>530</v>
      </c>
      <c r="EP258" s="214" t="s">
        <v>17082</v>
      </c>
      <c r="EQ258" s="214" t="s">
        <v>655</v>
      </c>
      <c r="ER258" s="214" t="s">
        <v>70</v>
      </c>
      <c r="ES258" s="214" t="s">
        <v>530</v>
      </c>
      <c r="EU258" s="214" t="s">
        <v>17083</v>
      </c>
      <c r="EV258" s="214" t="s">
        <v>468</v>
      </c>
      <c r="EW258" s="214" t="s">
        <v>70</v>
      </c>
      <c r="EX258" s="214" t="s">
        <v>530</v>
      </c>
      <c r="EZ258" s="214" t="s">
        <v>17084</v>
      </c>
      <c r="FA258" s="214" t="s">
        <v>34550</v>
      </c>
      <c r="FB258" s="214" t="s">
        <v>70</v>
      </c>
      <c r="FC258" s="214" t="s">
        <v>530</v>
      </c>
      <c r="FE258" s="214" t="s">
        <v>17085</v>
      </c>
      <c r="FF258" s="214" t="s">
        <v>92</v>
      </c>
      <c r="FG258" s="214" t="s">
        <v>70</v>
      </c>
      <c r="FH258" s="214" t="s">
        <v>530</v>
      </c>
      <c r="FJ258" s="321" t="s">
        <v>17086</v>
      </c>
      <c r="FK258" s="214" t="s">
        <v>913</v>
      </c>
      <c r="FL258" s="214" t="s">
        <v>70</v>
      </c>
      <c r="FM258" s="214" t="s">
        <v>530</v>
      </c>
      <c r="FO258" s="321" t="s">
        <v>17087</v>
      </c>
      <c r="FP258" s="214" t="s">
        <v>485</v>
      </c>
      <c r="FQ258" s="214" t="s">
        <v>70</v>
      </c>
      <c r="FR258" s="214" t="s">
        <v>530</v>
      </c>
      <c r="FT258" s="321" t="s">
        <v>17088</v>
      </c>
      <c r="FU258" s="214" t="s">
        <v>34626</v>
      </c>
      <c r="FV258" s="214" t="s">
        <v>70</v>
      </c>
      <c r="FW258" s="214" t="s">
        <v>530</v>
      </c>
      <c r="FY258" s="321" t="s">
        <v>17089</v>
      </c>
      <c r="FZ258" s="214" t="s">
        <v>34556</v>
      </c>
      <c r="GA258" s="214" t="s">
        <v>70</v>
      </c>
      <c r="GB258" s="214" t="s">
        <v>530</v>
      </c>
      <c r="GD258" s="321" t="s">
        <v>17090</v>
      </c>
      <c r="GE258" s="214" t="s">
        <v>87</v>
      </c>
      <c r="GF258" s="214" t="s">
        <v>70</v>
      </c>
      <c r="GG258" s="214" t="s">
        <v>530</v>
      </c>
      <c r="GI258" s="321" t="s">
        <v>17091</v>
      </c>
      <c r="GJ258" s="214" t="s">
        <v>92</v>
      </c>
      <c r="GK258" s="214" t="s">
        <v>70</v>
      </c>
      <c r="GL258" s="214" t="s">
        <v>530</v>
      </c>
      <c r="GN258" s="321" t="s">
        <v>17092</v>
      </c>
      <c r="GO258" s="214" t="s">
        <v>52</v>
      </c>
      <c r="GP258" s="214" t="s">
        <v>70</v>
      </c>
      <c r="GQ258" s="214" t="s">
        <v>530</v>
      </c>
      <c r="GS258" s="321" t="s">
        <v>17093</v>
      </c>
      <c r="GT258" s="214" t="s">
        <v>636</v>
      </c>
      <c r="GU258" s="214" t="s">
        <v>70</v>
      </c>
      <c r="GV258" s="214" t="s">
        <v>530</v>
      </c>
      <c r="GX258" s="214" t="s">
        <v>17094</v>
      </c>
      <c r="GY258" s="214" t="s">
        <v>163</v>
      </c>
      <c r="GZ258" s="214" t="s">
        <v>70</v>
      </c>
      <c r="HA258" s="214" t="s">
        <v>530</v>
      </c>
      <c r="HC258" s="214" t="s">
        <v>17095</v>
      </c>
      <c r="HD258" s="214" t="s">
        <v>518</v>
      </c>
      <c r="HE258" s="214" t="s">
        <v>70</v>
      </c>
      <c r="HF258" s="214" t="s">
        <v>530</v>
      </c>
      <c r="HH258" s="214" t="s">
        <v>17096</v>
      </c>
      <c r="HI258" s="214" t="s">
        <v>85</v>
      </c>
      <c r="HJ258" s="214" t="s">
        <v>70</v>
      </c>
      <c r="HK258" s="214" t="s">
        <v>530</v>
      </c>
      <c r="HM258" s="214" t="s">
        <v>17097</v>
      </c>
      <c r="HN258" s="214" t="s">
        <v>52</v>
      </c>
      <c r="HO258" s="214" t="s">
        <v>70</v>
      </c>
      <c r="HP258" s="214" t="s">
        <v>530</v>
      </c>
      <c r="HR258" s="22" t="s">
        <v>17098</v>
      </c>
      <c r="HS258" s="22" t="s">
        <v>34615</v>
      </c>
      <c r="HT258" s="22" t="s">
        <v>70</v>
      </c>
      <c r="HU258" s="214" t="s">
        <v>530</v>
      </c>
      <c r="HW258" s="22" t="s">
        <v>17099</v>
      </c>
      <c r="HX258" s="22" t="s">
        <v>52</v>
      </c>
      <c r="HY258" s="22" t="s">
        <v>70</v>
      </c>
      <c r="HZ258" s="214" t="s">
        <v>530</v>
      </c>
      <c r="IB258" s="22" t="s">
        <v>17100</v>
      </c>
      <c r="IC258" s="22" t="s">
        <v>489</v>
      </c>
      <c r="ID258" s="22" t="s">
        <v>70</v>
      </c>
      <c r="IE258" s="214" t="s">
        <v>530</v>
      </c>
      <c r="IG258" s="22" t="s">
        <v>17101</v>
      </c>
      <c r="IH258" s="22" t="s">
        <v>52</v>
      </c>
      <c r="II258" s="22" t="s">
        <v>70</v>
      </c>
      <c r="IJ258" s="214" t="s">
        <v>530</v>
      </c>
      <c r="IL258" s="22" t="s">
        <v>17102</v>
      </c>
      <c r="IM258" s="22" t="s">
        <v>145</v>
      </c>
      <c r="IN258" s="22" t="s">
        <v>70</v>
      </c>
      <c r="IO258" s="214" t="s">
        <v>530</v>
      </c>
      <c r="IQ258" s="236" t="s">
        <v>17103</v>
      </c>
      <c r="IR258" s="236" t="s">
        <v>145</v>
      </c>
      <c r="IS258" s="236" t="s">
        <v>74</v>
      </c>
      <c r="IT258" s="236" t="s">
        <v>841</v>
      </c>
      <c r="IV258" s="236" t="s">
        <v>17104</v>
      </c>
      <c r="IW258" s="236" t="s">
        <v>145</v>
      </c>
      <c r="IX258" s="236" t="s">
        <v>74</v>
      </c>
      <c r="IY258" s="236" t="s">
        <v>841</v>
      </c>
      <c r="JA258" s="236" t="s">
        <v>17105</v>
      </c>
      <c r="JB258" s="236" t="s">
        <v>145</v>
      </c>
      <c r="JC258" s="236" t="s">
        <v>74</v>
      </c>
      <c r="JD258" s="236" t="s">
        <v>841</v>
      </c>
      <c r="JF258" s="236" t="s">
        <v>17106</v>
      </c>
      <c r="JG258" s="236" t="s">
        <v>145</v>
      </c>
      <c r="JH258" s="236" t="s">
        <v>74</v>
      </c>
      <c r="JI258" s="236" t="s">
        <v>841</v>
      </c>
      <c r="JK258" s="236" t="s">
        <v>17107</v>
      </c>
      <c r="JL258" s="236" t="s">
        <v>145</v>
      </c>
      <c r="JM258" s="236" t="s">
        <v>74</v>
      </c>
      <c r="JN258" s="236" t="s">
        <v>841</v>
      </c>
      <c r="JP258" s="236" t="s">
        <v>17108</v>
      </c>
      <c r="JQ258" s="236" t="s">
        <v>145</v>
      </c>
      <c r="JR258" s="236" t="s">
        <v>74</v>
      </c>
      <c r="JS258" s="236" t="s">
        <v>841</v>
      </c>
      <c r="JU258" s="294" t="s">
        <v>17109</v>
      </c>
      <c r="JV258" s="294" t="s">
        <v>52</v>
      </c>
      <c r="JW258" s="263" t="s">
        <v>70</v>
      </c>
      <c r="JX258" s="294" t="s">
        <v>1083</v>
      </c>
      <c r="JZ258" s="263" t="s">
        <v>17110</v>
      </c>
      <c r="KA258" s="263" t="s">
        <v>145</v>
      </c>
      <c r="KB258" s="263" t="s">
        <v>70</v>
      </c>
      <c r="KC258" s="263" t="s">
        <v>1083</v>
      </c>
      <c r="KE258" s="263" t="s">
        <v>17111</v>
      </c>
      <c r="KF258" s="263" t="s">
        <v>52</v>
      </c>
      <c r="KG258" s="263" t="s">
        <v>70</v>
      </c>
      <c r="KH258" s="263" t="s">
        <v>1083</v>
      </c>
      <c r="KJ258" s="263" t="s">
        <v>17112</v>
      </c>
      <c r="KK258" s="263" t="s">
        <v>52</v>
      </c>
      <c r="KL258" s="263" t="s">
        <v>74</v>
      </c>
      <c r="KM258" s="263" t="s">
        <v>34074</v>
      </c>
      <c r="KO258" s="214" t="s">
        <v>17113</v>
      </c>
      <c r="KP258" s="214" t="s">
        <v>145</v>
      </c>
      <c r="KQ258" s="214" t="s">
        <v>70</v>
      </c>
      <c r="KR258" s="214" t="s">
        <v>67</v>
      </c>
      <c r="KT258" s="22" t="s">
        <v>17114</v>
      </c>
      <c r="KU258" s="22" t="s">
        <v>145</v>
      </c>
      <c r="KV258" s="22" t="s">
        <v>70</v>
      </c>
      <c r="KW258" s="22" t="s">
        <v>67</v>
      </c>
      <c r="KY258" s="214" t="s">
        <v>17115</v>
      </c>
      <c r="KZ258" s="214" t="s">
        <v>52</v>
      </c>
      <c r="LA258" s="214" t="s">
        <v>74</v>
      </c>
      <c r="LB258" s="214" t="s">
        <v>67</v>
      </c>
      <c r="LD258" s="22" t="s">
        <v>17116</v>
      </c>
      <c r="LE258" s="22" t="s">
        <v>145</v>
      </c>
      <c r="LF258" s="22" t="s">
        <v>70</v>
      </c>
      <c r="LG258" s="22" t="s">
        <v>67</v>
      </c>
    </row>
    <row r="259" spans="1:319">
      <c r="A259" s="22" t="s">
        <v>17117</v>
      </c>
      <c r="B259" s="22" t="s">
        <v>145</v>
      </c>
      <c r="C259" s="22" t="s">
        <v>70</v>
      </c>
      <c r="D259" s="22" t="s">
        <v>67</v>
      </c>
      <c r="F259" s="73" t="s">
        <v>17118</v>
      </c>
      <c r="G259" s="22" t="s">
        <v>145</v>
      </c>
      <c r="H259" s="22" t="s">
        <v>70</v>
      </c>
      <c r="I259" s="22" t="s">
        <v>67</v>
      </c>
      <c r="K259" s="22" t="s">
        <v>17119</v>
      </c>
      <c r="L259" s="22" t="s">
        <v>145</v>
      </c>
      <c r="M259" s="22" t="s">
        <v>70</v>
      </c>
      <c r="N259" s="22" t="s">
        <v>67</v>
      </c>
      <c r="P259" s="22" t="s">
        <v>17120</v>
      </c>
      <c r="Q259" s="22" t="s">
        <v>145</v>
      </c>
      <c r="R259" s="22" t="s">
        <v>70</v>
      </c>
      <c r="S259" s="22" t="s">
        <v>67</v>
      </c>
      <c r="U259" s="293" t="s">
        <v>17121</v>
      </c>
      <c r="V259" s="293" t="s">
        <v>145</v>
      </c>
      <c r="W259" s="293" t="s">
        <v>74</v>
      </c>
      <c r="X259" s="293" t="s">
        <v>656</v>
      </c>
      <c r="Z259" s="293" t="s">
        <v>17122</v>
      </c>
      <c r="AA259" s="293" t="s">
        <v>145</v>
      </c>
      <c r="AB259" s="293" t="s">
        <v>74</v>
      </c>
      <c r="AC259" s="293" t="s">
        <v>656</v>
      </c>
      <c r="AE259" s="293" t="s">
        <v>17123</v>
      </c>
      <c r="AF259" s="293" t="s">
        <v>145</v>
      </c>
      <c r="AG259" s="293" t="s">
        <v>74</v>
      </c>
      <c r="AH259" s="293" t="s">
        <v>656</v>
      </c>
      <c r="AJ259" s="293" t="s">
        <v>17124</v>
      </c>
      <c r="AK259" s="293" t="s">
        <v>145</v>
      </c>
      <c r="AL259" s="293" t="s">
        <v>74</v>
      </c>
      <c r="AM259" s="293" t="s">
        <v>656</v>
      </c>
      <c r="AO259" s="22" t="s">
        <v>17125</v>
      </c>
      <c r="AP259" s="22" t="s">
        <v>145</v>
      </c>
      <c r="AQ259" s="22" t="s">
        <v>70</v>
      </c>
      <c r="AR259" s="22" t="s">
        <v>67</v>
      </c>
      <c r="AT259" s="22" t="s">
        <v>17126</v>
      </c>
      <c r="AU259" s="22" t="s">
        <v>145</v>
      </c>
      <c r="AV259" s="22" t="s">
        <v>70</v>
      </c>
      <c r="AW259" s="22" t="s">
        <v>67</v>
      </c>
      <c r="AY259" s="22" t="s">
        <v>17127</v>
      </c>
      <c r="AZ259" s="22" t="s">
        <v>145</v>
      </c>
      <c r="BA259" s="22" t="s">
        <v>70</v>
      </c>
      <c r="BB259" s="22" t="s">
        <v>67</v>
      </c>
      <c r="BD259" s="22" t="s">
        <v>17128</v>
      </c>
      <c r="BE259" s="22" t="s">
        <v>145</v>
      </c>
      <c r="BF259" s="22" t="s">
        <v>70</v>
      </c>
      <c r="BG259" s="22" t="s">
        <v>67</v>
      </c>
      <c r="BI259" s="22" t="s">
        <v>17129</v>
      </c>
      <c r="BJ259" s="22" t="s">
        <v>145</v>
      </c>
      <c r="BK259" s="22" t="s">
        <v>70</v>
      </c>
      <c r="BL259" s="22" t="s">
        <v>67</v>
      </c>
      <c r="BN259" s="22" t="s">
        <v>17130</v>
      </c>
      <c r="BO259" s="22" t="s">
        <v>145</v>
      </c>
      <c r="BP259" s="22" t="s">
        <v>70</v>
      </c>
      <c r="BQ259" s="22" t="s">
        <v>67</v>
      </c>
      <c r="BS259" s="22" t="s">
        <v>17131</v>
      </c>
      <c r="BT259" s="22" t="s">
        <v>145</v>
      </c>
      <c r="BU259" s="22" t="s">
        <v>70</v>
      </c>
      <c r="BV259" s="214" t="s">
        <v>530</v>
      </c>
      <c r="BX259" s="22" t="s">
        <v>17132</v>
      </c>
      <c r="BY259" s="22" t="s">
        <v>145</v>
      </c>
      <c r="BZ259" s="22" t="s">
        <v>70</v>
      </c>
      <c r="CA259" s="214" t="s">
        <v>530</v>
      </c>
      <c r="CC259" s="214" t="s">
        <v>17133</v>
      </c>
      <c r="CD259" s="218" t="s">
        <v>145</v>
      </c>
      <c r="CE259" s="214" t="s">
        <v>70</v>
      </c>
      <c r="CF259" s="214" t="s">
        <v>712</v>
      </c>
      <c r="CH259" s="214" t="s">
        <v>17134</v>
      </c>
      <c r="CI259" s="214" t="s">
        <v>955</v>
      </c>
      <c r="CJ259" s="214" t="s">
        <v>70</v>
      </c>
      <c r="CK259" s="214" t="s">
        <v>530</v>
      </c>
      <c r="CM259" s="214" t="s">
        <v>17135</v>
      </c>
      <c r="CN259" s="214" t="s">
        <v>491</v>
      </c>
      <c r="CO259" s="214" t="s">
        <v>70</v>
      </c>
      <c r="CP259" s="214" t="s">
        <v>530</v>
      </c>
      <c r="CR259" s="214" t="s">
        <v>17136</v>
      </c>
      <c r="CS259" s="214" t="s">
        <v>292</v>
      </c>
      <c r="CT259" s="214" t="s">
        <v>70</v>
      </c>
      <c r="CU259" s="214" t="s">
        <v>530</v>
      </c>
      <c r="CW259" s="214" t="s">
        <v>17137</v>
      </c>
      <c r="CX259" s="214" t="s">
        <v>34540</v>
      </c>
      <c r="CY259" s="214" t="s">
        <v>70</v>
      </c>
      <c r="CZ259" s="214" t="s">
        <v>530</v>
      </c>
      <c r="DB259" s="214" t="s">
        <v>17138</v>
      </c>
      <c r="DC259" s="214" t="s">
        <v>52</v>
      </c>
      <c r="DD259" s="214" t="s">
        <v>70</v>
      </c>
      <c r="DE259" s="214" t="s">
        <v>530</v>
      </c>
      <c r="DG259" s="214" t="s">
        <v>17139</v>
      </c>
      <c r="DH259" s="214" t="s">
        <v>603</v>
      </c>
      <c r="DI259" s="214" t="s">
        <v>70</v>
      </c>
      <c r="DJ259" s="214" t="s">
        <v>530</v>
      </c>
      <c r="DL259" s="214" t="s">
        <v>17140</v>
      </c>
      <c r="DM259" s="214" t="s">
        <v>481</v>
      </c>
      <c r="DN259" s="214" t="s">
        <v>70</v>
      </c>
      <c r="DO259" s="214" t="s">
        <v>530</v>
      </c>
      <c r="DQ259" s="214" t="s">
        <v>17141</v>
      </c>
      <c r="DR259" s="214" t="s">
        <v>486</v>
      </c>
      <c r="DS259" s="214" t="s">
        <v>70</v>
      </c>
      <c r="DT259" s="214" t="s">
        <v>530</v>
      </c>
      <c r="DV259" s="214" t="s">
        <v>17142</v>
      </c>
      <c r="DW259" s="214" t="s">
        <v>33910</v>
      </c>
      <c r="DX259" s="214" t="s">
        <v>70</v>
      </c>
      <c r="DY259" s="214" t="s">
        <v>530</v>
      </c>
      <c r="EA259" s="214" t="s">
        <v>17143</v>
      </c>
      <c r="EB259" s="214" t="s">
        <v>145</v>
      </c>
      <c r="EC259" s="214" t="s">
        <v>70</v>
      </c>
      <c r="ED259" s="214" t="s">
        <v>530</v>
      </c>
      <c r="EF259" s="214" t="s">
        <v>17144</v>
      </c>
      <c r="EG259" s="214" t="s">
        <v>501</v>
      </c>
      <c r="EH259" s="214" t="s">
        <v>70</v>
      </c>
      <c r="EI259" s="214" t="s">
        <v>530</v>
      </c>
      <c r="EK259" s="214" t="s">
        <v>17145</v>
      </c>
      <c r="EL259" s="214" t="s">
        <v>487</v>
      </c>
      <c r="EM259" s="214" t="s">
        <v>70</v>
      </c>
      <c r="EN259" s="214" t="s">
        <v>530</v>
      </c>
      <c r="EP259" s="214" t="s">
        <v>17146</v>
      </c>
      <c r="EQ259" s="214" t="s">
        <v>34556</v>
      </c>
      <c r="ER259" s="214" t="s">
        <v>70</v>
      </c>
      <c r="ES259" s="214" t="s">
        <v>530</v>
      </c>
      <c r="EU259" s="214" t="s">
        <v>17147</v>
      </c>
      <c r="EV259" s="214" t="s">
        <v>146</v>
      </c>
      <c r="EW259" s="214" t="s">
        <v>70</v>
      </c>
      <c r="EX259" s="214" t="s">
        <v>530</v>
      </c>
      <c r="EZ259" s="214" t="s">
        <v>17148</v>
      </c>
      <c r="FA259" s="214" t="s">
        <v>34558</v>
      </c>
      <c r="FB259" s="214" t="s">
        <v>70</v>
      </c>
      <c r="FC259" s="214" t="s">
        <v>530</v>
      </c>
      <c r="FE259" s="214" t="s">
        <v>17149</v>
      </c>
      <c r="FF259" s="214" t="s">
        <v>34544</v>
      </c>
      <c r="FG259" s="214" t="s">
        <v>70</v>
      </c>
      <c r="FH259" s="214" t="s">
        <v>530</v>
      </c>
      <c r="FJ259" s="321" t="s">
        <v>17150</v>
      </c>
      <c r="FK259" s="214" t="s">
        <v>501</v>
      </c>
      <c r="FL259" s="214" t="s">
        <v>70</v>
      </c>
      <c r="FM259" s="214" t="s">
        <v>530</v>
      </c>
      <c r="FO259" s="321" t="s">
        <v>17151</v>
      </c>
      <c r="FP259" s="214" t="s">
        <v>912</v>
      </c>
      <c r="FQ259" s="214" t="s">
        <v>70</v>
      </c>
      <c r="FR259" s="214" t="s">
        <v>530</v>
      </c>
      <c r="FT259" s="321" t="s">
        <v>17152</v>
      </c>
      <c r="FU259" s="214" t="s">
        <v>145</v>
      </c>
      <c r="FV259" s="214" t="s">
        <v>70</v>
      </c>
      <c r="FW259" s="214" t="s">
        <v>530</v>
      </c>
      <c r="FY259" s="321" t="s">
        <v>17153</v>
      </c>
      <c r="FZ259" s="214" t="s">
        <v>34541</v>
      </c>
      <c r="GA259" s="214" t="s">
        <v>70</v>
      </c>
      <c r="GB259" s="214" t="s">
        <v>530</v>
      </c>
      <c r="GD259" s="321" t="s">
        <v>17154</v>
      </c>
      <c r="GE259" s="214" t="s">
        <v>944</v>
      </c>
      <c r="GF259" s="214" t="s">
        <v>70</v>
      </c>
      <c r="GG259" s="214" t="s">
        <v>530</v>
      </c>
      <c r="GI259" s="321" t="s">
        <v>17155</v>
      </c>
      <c r="GJ259" s="214" t="s">
        <v>921</v>
      </c>
      <c r="GK259" s="214" t="s">
        <v>70</v>
      </c>
      <c r="GL259" s="214" t="s">
        <v>530</v>
      </c>
      <c r="GN259" s="321" t="s">
        <v>17156</v>
      </c>
      <c r="GO259" s="214" t="s">
        <v>146</v>
      </c>
      <c r="GP259" s="214" t="s">
        <v>70</v>
      </c>
      <c r="GQ259" s="214" t="s">
        <v>530</v>
      </c>
      <c r="GS259" s="321" t="s">
        <v>17157</v>
      </c>
      <c r="GT259" s="214" t="s">
        <v>34556</v>
      </c>
      <c r="GU259" s="214" t="s">
        <v>70</v>
      </c>
      <c r="GV259" s="214" t="s">
        <v>530</v>
      </c>
      <c r="GX259" s="214" t="s">
        <v>17158</v>
      </c>
      <c r="GY259" s="214" t="s">
        <v>955</v>
      </c>
      <c r="GZ259" s="214" t="s">
        <v>70</v>
      </c>
      <c r="HA259" s="214" t="s">
        <v>530</v>
      </c>
      <c r="HC259" s="214" t="s">
        <v>17159</v>
      </c>
      <c r="HD259" s="214" t="s">
        <v>484</v>
      </c>
      <c r="HE259" s="214" t="s">
        <v>70</v>
      </c>
      <c r="HF259" s="214" t="s">
        <v>530</v>
      </c>
      <c r="HH259" s="214" t="s">
        <v>17160</v>
      </c>
      <c r="HI259" s="214" t="s">
        <v>486</v>
      </c>
      <c r="HJ259" s="214" t="s">
        <v>70</v>
      </c>
      <c r="HK259" s="214" t="s">
        <v>530</v>
      </c>
      <c r="HM259" s="214" t="s">
        <v>17161</v>
      </c>
      <c r="HN259" s="214" t="s">
        <v>955</v>
      </c>
      <c r="HO259" s="214" t="s">
        <v>70</v>
      </c>
      <c r="HP259" s="214" t="s">
        <v>530</v>
      </c>
      <c r="HR259" s="22" t="s">
        <v>17162</v>
      </c>
      <c r="HS259" s="22" t="s">
        <v>85</v>
      </c>
      <c r="HT259" s="22" t="s">
        <v>70</v>
      </c>
      <c r="HU259" s="214" t="s">
        <v>530</v>
      </c>
      <c r="HW259" s="22" t="s">
        <v>17163</v>
      </c>
      <c r="HX259" s="22" t="s">
        <v>203</v>
      </c>
      <c r="HY259" s="22" t="s">
        <v>70</v>
      </c>
      <c r="HZ259" s="214" t="s">
        <v>530</v>
      </c>
      <c r="IB259" s="22" t="s">
        <v>17164</v>
      </c>
      <c r="IC259" s="22" t="s">
        <v>34544</v>
      </c>
      <c r="ID259" s="22" t="s">
        <v>70</v>
      </c>
      <c r="IE259" s="214" t="s">
        <v>530</v>
      </c>
      <c r="IG259" s="22" t="s">
        <v>17165</v>
      </c>
      <c r="IH259" s="22" t="s">
        <v>52</v>
      </c>
      <c r="II259" s="22" t="s">
        <v>70</v>
      </c>
      <c r="IJ259" s="214" t="s">
        <v>530</v>
      </c>
      <c r="IL259" s="22" t="s">
        <v>17166</v>
      </c>
      <c r="IM259" s="22" t="s">
        <v>145</v>
      </c>
      <c r="IN259" s="22" t="s">
        <v>70</v>
      </c>
      <c r="IO259" s="214" t="s">
        <v>530</v>
      </c>
      <c r="IQ259" s="236" t="s">
        <v>17167</v>
      </c>
      <c r="IR259" s="236" t="s">
        <v>145</v>
      </c>
      <c r="IS259" s="236" t="s">
        <v>74</v>
      </c>
      <c r="IT259" s="236" t="s">
        <v>841</v>
      </c>
      <c r="IV259" s="236" t="s">
        <v>17168</v>
      </c>
      <c r="IW259" s="236" t="s">
        <v>145</v>
      </c>
      <c r="IX259" s="236" t="s">
        <v>74</v>
      </c>
      <c r="IY259" s="236" t="s">
        <v>841</v>
      </c>
      <c r="JA259" s="236" t="s">
        <v>17169</v>
      </c>
      <c r="JB259" s="236" t="s">
        <v>145</v>
      </c>
      <c r="JC259" s="236" t="s">
        <v>74</v>
      </c>
      <c r="JD259" s="236" t="s">
        <v>841</v>
      </c>
      <c r="JF259" s="236" t="s">
        <v>17170</v>
      </c>
      <c r="JG259" s="236" t="s">
        <v>145</v>
      </c>
      <c r="JH259" s="236" t="s">
        <v>74</v>
      </c>
      <c r="JI259" s="236" t="s">
        <v>841</v>
      </c>
      <c r="JK259" s="236" t="s">
        <v>17171</v>
      </c>
      <c r="JL259" s="236" t="s">
        <v>145</v>
      </c>
      <c r="JM259" s="236" t="s">
        <v>74</v>
      </c>
      <c r="JN259" s="236" t="s">
        <v>841</v>
      </c>
      <c r="JP259" s="236" t="s">
        <v>17172</v>
      </c>
      <c r="JQ259" s="236" t="s">
        <v>145</v>
      </c>
      <c r="JR259" s="236" t="s">
        <v>74</v>
      </c>
      <c r="JS259" s="236" t="s">
        <v>841</v>
      </c>
      <c r="JU259" s="294" t="s">
        <v>17173</v>
      </c>
      <c r="JV259" s="294" t="s">
        <v>52</v>
      </c>
      <c r="JW259" s="263" t="s">
        <v>70</v>
      </c>
      <c r="JX259" s="294" t="s">
        <v>1083</v>
      </c>
      <c r="JZ259" s="263" t="s">
        <v>17174</v>
      </c>
      <c r="KA259" s="263" t="s">
        <v>145</v>
      </c>
      <c r="KB259" s="263" t="s">
        <v>70</v>
      </c>
      <c r="KC259" s="263" t="s">
        <v>1083</v>
      </c>
      <c r="KE259" s="263" t="s">
        <v>17175</v>
      </c>
      <c r="KF259" s="263" t="s">
        <v>52</v>
      </c>
      <c r="KG259" s="263" t="s">
        <v>70</v>
      </c>
      <c r="KH259" s="263" t="s">
        <v>1083</v>
      </c>
      <c r="KJ259" s="263" t="s">
        <v>17176</v>
      </c>
      <c r="KK259" s="263" t="s">
        <v>52</v>
      </c>
      <c r="KL259" s="263" t="s">
        <v>74</v>
      </c>
      <c r="KM259" s="263" t="s">
        <v>34074</v>
      </c>
      <c r="KO259" s="214" t="s">
        <v>17177</v>
      </c>
      <c r="KP259" s="214" t="s">
        <v>145</v>
      </c>
      <c r="KQ259" s="214" t="s">
        <v>70</v>
      </c>
      <c r="KR259" s="214" t="s">
        <v>67</v>
      </c>
      <c r="KT259" s="22" t="s">
        <v>17178</v>
      </c>
      <c r="KU259" s="22" t="s">
        <v>145</v>
      </c>
      <c r="KV259" s="22" t="s">
        <v>70</v>
      </c>
      <c r="KW259" s="22" t="s">
        <v>67</v>
      </c>
      <c r="KY259" s="214" t="s">
        <v>17179</v>
      </c>
      <c r="KZ259" s="214" t="s">
        <v>52</v>
      </c>
      <c r="LA259" s="214" t="s">
        <v>74</v>
      </c>
      <c r="LB259" s="214" t="s">
        <v>67</v>
      </c>
      <c r="LD259" s="22" t="s">
        <v>17180</v>
      </c>
      <c r="LE259" s="22" t="s">
        <v>145</v>
      </c>
      <c r="LF259" s="22" t="s">
        <v>70</v>
      </c>
      <c r="LG259" s="22" t="s">
        <v>67</v>
      </c>
    </row>
    <row r="260" spans="1:319">
      <c r="A260" s="22" t="s">
        <v>17181</v>
      </c>
      <c r="B260" s="22" t="s">
        <v>145</v>
      </c>
      <c r="C260" s="22" t="s">
        <v>70</v>
      </c>
      <c r="D260" s="22" t="s">
        <v>67</v>
      </c>
      <c r="F260" s="72" t="s">
        <v>17182</v>
      </c>
      <c r="G260" s="22" t="s">
        <v>145</v>
      </c>
      <c r="H260" s="22" t="s">
        <v>70</v>
      </c>
      <c r="I260" s="22" t="s">
        <v>67</v>
      </c>
      <c r="K260" s="22" t="s">
        <v>17183</v>
      </c>
      <c r="L260" s="22" t="s">
        <v>145</v>
      </c>
      <c r="M260" s="22" t="s">
        <v>70</v>
      </c>
      <c r="N260" s="22" t="s">
        <v>67</v>
      </c>
      <c r="P260" s="22" t="s">
        <v>17184</v>
      </c>
      <c r="Q260" s="22" t="s">
        <v>145</v>
      </c>
      <c r="R260" s="22" t="s">
        <v>70</v>
      </c>
      <c r="S260" s="22" t="s">
        <v>67</v>
      </c>
      <c r="U260" s="293" t="s">
        <v>17185</v>
      </c>
      <c r="V260" s="293" t="s">
        <v>145</v>
      </c>
      <c r="W260" s="293" t="s">
        <v>74</v>
      </c>
      <c r="X260" s="293" t="s">
        <v>656</v>
      </c>
      <c r="Z260" s="293" t="s">
        <v>17186</v>
      </c>
      <c r="AA260" s="293" t="s">
        <v>145</v>
      </c>
      <c r="AB260" s="293" t="s">
        <v>74</v>
      </c>
      <c r="AC260" s="293" t="s">
        <v>656</v>
      </c>
      <c r="AE260" s="293" t="s">
        <v>17187</v>
      </c>
      <c r="AF260" s="293" t="s">
        <v>145</v>
      </c>
      <c r="AG260" s="293" t="s">
        <v>74</v>
      </c>
      <c r="AH260" s="293" t="s">
        <v>656</v>
      </c>
      <c r="AJ260" s="293" t="s">
        <v>17188</v>
      </c>
      <c r="AK260" s="293" t="s">
        <v>145</v>
      </c>
      <c r="AL260" s="293" t="s">
        <v>74</v>
      </c>
      <c r="AM260" s="293" t="s">
        <v>656</v>
      </c>
      <c r="AO260" s="22" t="s">
        <v>17189</v>
      </c>
      <c r="AP260" s="22" t="s">
        <v>145</v>
      </c>
      <c r="AQ260" s="22" t="s">
        <v>70</v>
      </c>
      <c r="AR260" s="22" t="s">
        <v>67</v>
      </c>
      <c r="AT260" s="22" t="s">
        <v>17190</v>
      </c>
      <c r="AU260" s="22" t="s">
        <v>145</v>
      </c>
      <c r="AV260" s="22" t="s">
        <v>70</v>
      </c>
      <c r="AW260" s="22" t="s">
        <v>67</v>
      </c>
      <c r="AY260" s="22" t="s">
        <v>17191</v>
      </c>
      <c r="AZ260" s="22" t="s">
        <v>145</v>
      </c>
      <c r="BA260" s="22" t="s">
        <v>70</v>
      </c>
      <c r="BB260" s="22" t="s">
        <v>67</v>
      </c>
      <c r="BD260" s="22" t="s">
        <v>17192</v>
      </c>
      <c r="BE260" s="22" t="s">
        <v>145</v>
      </c>
      <c r="BF260" s="22" t="s">
        <v>70</v>
      </c>
      <c r="BG260" s="22" t="s">
        <v>67</v>
      </c>
      <c r="BI260" s="22" t="s">
        <v>17193</v>
      </c>
      <c r="BJ260" s="22" t="s">
        <v>145</v>
      </c>
      <c r="BK260" s="22" t="s">
        <v>70</v>
      </c>
      <c r="BL260" s="22" t="s">
        <v>67</v>
      </c>
      <c r="BN260" s="22" t="s">
        <v>17194</v>
      </c>
      <c r="BO260" s="22" t="s">
        <v>145</v>
      </c>
      <c r="BP260" s="22" t="s">
        <v>70</v>
      </c>
      <c r="BQ260" s="22" t="s">
        <v>67</v>
      </c>
      <c r="BS260" s="22" t="s">
        <v>17195</v>
      </c>
      <c r="BT260" s="22" t="s">
        <v>145</v>
      </c>
      <c r="BU260" s="22" t="s">
        <v>70</v>
      </c>
      <c r="BV260" s="214" t="s">
        <v>530</v>
      </c>
      <c r="BX260" s="22" t="s">
        <v>17196</v>
      </c>
      <c r="BY260" s="22" t="s">
        <v>145</v>
      </c>
      <c r="BZ260" s="22" t="s">
        <v>70</v>
      </c>
      <c r="CA260" s="214" t="s">
        <v>530</v>
      </c>
      <c r="CC260" s="214" t="s">
        <v>17197</v>
      </c>
      <c r="CD260" s="218" t="s">
        <v>145</v>
      </c>
      <c r="CE260" s="214" t="s">
        <v>70</v>
      </c>
      <c r="CF260" s="214" t="s">
        <v>713</v>
      </c>
      <c r="CH260" s="214" t="s">
        <v>17198</v>
      </c>
      <c r="CI260" s="214" t="s">
        <v>34599</v>
      </c>
      <c r="CJ260" s="214" t="s">
        <v>70</v>
      </c>
      <c r="CK260" s="214" t="s">
        <v>530</v>
      </c>
      <c r="CM260" s="214" t="s">
        <v>17199</v>
      </c>
      <c r="CN260" s="214" t="s">
        <v>93</v>
      </c>
      <c r="CO260" s="214" t="s">
        <v>70</v>
      </c>
      <c r="CP260" s="214" t="s">
        <v>530</v>
      </c>
      <c r="CR260" s="214" t="s">
        <v>17200</v>
      </c>
      <c r="CS260" s="214" t="s">
        <v>52</v>
      </c>
      <c r="CT260" s="214" t="s">
        <v>70</v>
      </c>
      <c r="CU260" s="214" t="s">
        <v>530</v>
      </c>
      <c r="CW260" s="214" t="s">
        <v>17201</v>
      </c>
      <c r="CX260" s="214" t="s">
        <v>34545</v>
      </c>
      <c r="CY260" s="214" t="s">
        <v>70</v>
      </c>
      <c r="CZ260" s="214" t="s">
        <v>530</v>
      </c>
      <c r="DB260" s="214" t="s">
        <v>17202</v>
      </c>
      <c r="DC260" s="214" t="s">
        <v>145</v>
      </c>
      <c r="DD260" s="214" t="s">
        <v>70</v>
      </c>
      <c r="DE260" s="214" t="s">
        <v>530</v>
      </c>
      <c r="DG260" s="214" t="s">
        <v>17203</v>
      </c>
      <c r="DH260" s="214" t="s">
        <v>944</v>
      </c>
      <c r="DI260" s="214" t="s">
        <v>70</v>
      </c>
      <c r="DJ260" s="214" t="s">
        <v>530</v>
      </c>
      <c r="DL260" s="214" t="s">
        <v>17204</v>
      </c>
      <c r="DM260" s="214" t="s">
        <v>481</v>
      </c>
      <c r="DN260" s="214" t="s">
        <v>70</v>
      </c>
      <c r="DO260" s="214" t="s">
        <v>530</v>
      </c>
      <c r="DQ260" s="214" t="s">
        <v>17205</v>
      </c>
      <c r="DR260" s="214" t="s">
        <v>34585</v>
      </c>
      <c r="DS260" s="214" t="s">
        <v>70</v>
      </c>
      <c r="DT260" s="214" t="s">
        <v>530</v>
      </c>
      <c r="DV260" s="214" t="s">
        <v>17206</v>
      </c>
      <c r="DW260" s="214" t="s">
        <v>488</v>
      </c>
      <c r="DX260" s="214" t="s">
        <v>70</v>
      </c>
      <c r="DY260" s="214" t="s">
        <v>530</v>
      </c>
      <c r="EA260" s="214" t="s">
        <v>17207</v>
      </c>
      <c r="EB260" s="214" t="s">
        <v>145</v>
      </c>
      <c r="EC260" s="214" t="s">
        <v>70</v>
      </c>
      <c r="ED260" s="214" t="s">
        <v>530</v>
      </c>
      <c r="EF260" s="214" t="s">
        <v>17208</v>
      </c>
      <c r="EG260" s="214" t="s">
        <v>85</v>
      </c>
      <c r="EH260" s="214" t="s">
        <v>70</v>
      </c>
      <c r="EI260" s="214" t="s">
        <v>530</v>
      </c>
      <c r="EK260" s="214" t="s">
        <v>17209</v>
      </c>
      <c r="EL260" s="214" t="s">
        <v>34575</v>
      </c>
      <c r="EM260" s="214" t="s">
        <v>70</v>
      </c>
      <c r="EN260" s="214" t="s">
        <v>530</v>
      </c>
      <c r="EP260" s="214" t="s">
        <v>17210</v>
      </c>
      <c r="EQ260" s="214" t="s">
        <v>52</v>
      </c>
      <c r="ER260" s="214" t="s">
        <v>70</v>
      </c>
      <c r="ES260" s="214" t="s">
        <v>530</v>
      </c>
      <c r="EU260" s="214" t="s">
        <v>17211</v>
      </c>
      <c r="EV260" s="214" t="s">
        <v>87</v>
      </c>
      <c r="EW260" s="214" t="s">
        <v>70</v>
      </c>
      <c r="EX260" s="214" t="s">
        <v>530</v>
      </c>
      <c r="EZ260" s="214" t="s">
        <v>17212</v>
      </c>
      <c r="FA260" s="214" t="s">
        <v>34540</v>
      </c>
      <c r="FB260" s="214" t="s">
        <v>70</v>
      </c>
      <c r="FC260" s="214" t="s">
        <v>530</v>
      </c>
      <c r="FE260" s="214" t="s">
        <v>17213</v>
      </c>
      <c r="FF260" s="214" t="s">
        <v>52</v>
      </c>
      <c r="FG260" s="214" t="s">
        <v>70</v>
      </c>
      <c r="FH260" s="214" t="s">
        <v>530</v>
      </c>
      <c r="FJ260" s="321" t="s">
        <v>17214</v>
      </c>
      <c r="FK260" s="214" t="s">
        <v>34579</v>
      </c>
      <c r="FL260" s="214" t="s">
        <v>70</v>
      </c>
      <c r="FM260" s="214" t="s">
        <v>530</v>
      </c>
      <c r="FO260" s="321" t="s">
        <v>17215</v>
      </c>
      <c r="FP260" s="214" t="s">
        <v>164</v>
      </c>
      <c r="FQ260" s="214" t="s">
        <v>70</v>
      </c>
      <c r="FR260" s="214" t="s">
        <v>530</v>
      </c>
      <c r="FT260" s="321" t="s">
        <v>17216</v>
      </c>
      <c r="FU260" s="214" t="s">
        <v>34641</v>
      </c>
      <c r="FV260" s="214" t="s">
        <v>70</v>
      </c>
      <c r="FW260" s="214" t="s">
        <v>530</v>
      </c>
      <c r="FY260" s="321" t="s">
        <v>17217</v>
      </c>
      <c r="FZ260" s="214" t="s">
        <v>148</v>
      </c>
      <c r="GA260" s="214" t="s">
        <v>70</v>
      </c>
      <c r="GB260" s="214" t="s">
        <v>530</v>
      </c>
      <c r="GD260" s="321" t="s">
        <v>17218</v>
      </c>
      <c r="GE260" s="214" t="s">
        <v>146</v>
      </c>
      <c r="GF260" s="214" t="s">
        <v>70</v>
      </c>
      <c r="GG260" s="214" t="s">
        <v>530</v>
      </c>
      <c r="GI260" s="321" t="s">
        <v>17219</v>
      </c>
      <c r="GJ260" s="214" t="s">
        <v>34545</v>
      </c>
      <c r="GK260" s="214" t="s">
        <v>70</v>
      </c>
      <c r="GL260" s="214" t="s">
        <v>530</v>
      </c>
      <c r="GN260" s="321" t="s">
        <v>17220</v>
      </c>
      <c r="GO260" s="214" t="s">
        <v>287</v>
      </c>
      <c r="GP260" s="214" t="s">
        <v>70</v>
      </c>
      <c r="GQ260" s="214" t="s">
        <v>530</v>
      </c>
      <c r="GS260" s="321" t="s">
        <v>17221</v>
      </c>
      <c r="GT260" s="214" t="s">
        <v>911</v>
      </c>
      <c r="GU260" s="214" t="s">
        <v>70</v>
      </c>
      <c r="GV260" s="214" t="s">
        <v>530</v>
      </c>
      <c r="GX260" s="214" t="s">
        <v>17222</v>
      </c>
      <c r="GY260" s="214" t="s">
        <v>481</v>
      </c>
      <c r="GZ260" s="214" t="s">
        <v>70</v>
      </c>
      <c r="HA260" s="214" t="s">
        <v>530</v>
      </c>
      <c r="HC260" s="214" t="s">
        <v>17223</v>
      </c>
      <c r="HD260" s="214" t="s">
        <v>164</v>
      </c>
      <c r="HE260" s="214" t="s">
        <v>70</v>
      </c>
      <c r="HF260" s="214" t="s">
        <v>530</v>
      </c>
      <c r="HH260" s="214" t="s">
        <v>17224</v>
      </c>
      <c r="HI260" s="214" t="s">
        <v>34610</v>
      </c>
      <c r="HJ260" s="214" t="s">
        <v>70</v>
      </c>
      <c r="HK260" s="214" t="s">
        <v>530</v>
      </c>
      <c r="HM260" s="214" t="s">
        <v>17225</v>
      </c>
      <c r="HN260" s="214" t="s">
        <v>34537</v>
      </c>
      <c r="HO260" s="214" t="s">
        <v>70</v>
      </c>
      <c r="HP260" s="214" t="s">
        <v>530</v>
      </c>
      <c r="HR260" s="22" t="s">
        <v>17226</v>
      </c>
      <c r="HS260" s="22" t="s">
        <v>164</v>
      </c>
      <c r="HT260" s="22" t="s">
        <v>70</v>
      </c>
      <c r="HU260" s="214" t="s">
        <v>530</v>
      </c>
      <c r="HW260" s="22" t="s">
        <v>17227</v>
      </c>
      <c r="HX260" s="22" t="s">
        <v>34073</v>
      </c>
      <c r="HY260" s="22" t="s">
        <v>70</v>
      </c>
      <c r="HZ260" s="214" t="s">
        <v>530</v>
      </c>
      <c r="IB260" s="22" t="s">
        <v>17228</v>
      </c>
      <c r="IC260" s="22" t="s">
        <v>52</v>
      </c>
      <c r="ID260" s="22" t="s">
        <v>70</v>
      </c>
      <c r="IE260" s="214" t="s">
        <v>530</v>
      </c>
      <c r="IG260" s="22" t="s">
        <v>17229</v>
      </c>
      <c r="IH260" s="22" t="s">
        <v>52</v>
      </c>
      <c r="II260" s="22" t="s">
        <v>70</v>
      </c>
      <c r="IJ260" s="214" t="s">
        <v>530</v>
      </c>
      <c r="IL260" s="22" t="s">
        <v>17230</v>
      </c>
      <c r="IM260" s="22" t="s">
        <v>145</v>
      </c>
      <c r="IN260" s="22" t="s">
        <v>70</v>
      </c>
      <c r="IO260" s="214" t="s">
        <v>530</v>
      </c>
      <c r="IQ260" s="236" t="s">
        <v>17231</v>
      </c>
      <c r="IR260" s="236" t="s">
        <v>145</v>
      </c>
      <c r="IS260" s="236" t="s">
        <v>74</v>
      </c>
      <c r="IT260" s="236" t="s">
        <v>841</v>
      </c>
      <c r="IV260" s="236" t="s">
        <v>17232</v>
      </c>
      <c r="IW260" s="236" t="s">
        <v>145</v>
      </c>
      <c r="IX260" s="236" t="s">
        <v>74</v>
      </c>
      <c r="IY260" s="236" t="s">
        <v>841</v>
      </c>
      <c r="JA260" s="236" t="s">
        <v>17233</v>
      </c>
      <c r="JB260" s="236" t="s">
        <v>145</v>
      </c>
      <c r="JC260" s="236" t="s">
        <v>74</v>
      </c>
      <c r="JD260" s="236" t="s">
        <v>841</v>
      </c>
      <c r="JF260" s="236" t="s">
        <v>17234</v>
      </c>
      <c r="JG260" s="236" t="s">
        <v>145</v>
      </c>
      <c r="JH260" s="236" t="s">
        <v>74</v>
      </c>
      <c r="JI260" s="236" t="s">
        <v>841</v>
      </c>
      <c r="JK260" s="236" t="s">
        <v>17235</v>
      </c>
      <c r="JL260" s="236" t="s">
        <v>145</v>
      </c>
      <c r="JM260" s="236" t="s">
        <v>74</v>
      </c>
      <c r="JN260" s="236" t="s">
        <v>841</v>
      </c>
      <c r="JP260" s="236" t="s">
        <v>17236</v>
      </c>
      <c r="JQ260" s="236" t="s">
        <v>145</v>
      </c>
      <c r="JR260" s="236" t="s">
        <v>74</v>
      </c>
      <c r="JS260" s="236" t="s">
        <v>841</v>
      </c>
      <c r="JU260" s="294" t="s">
        <v>17237</v>
      </c>
      <c r="JV260" s="294" t="s">
        <v>52</v>
      </c>
      <c r="JW260" s="263" t="s">
        <v>70</v>
      </c>
      <c r="JX260" s="294" t="s">
        <v>1083</v>
      </c>
      <c r="JZ260" s="263" t="s">
        <v>17238</v>
      </c>
      <c r="KA260" s="263" t="s">
        <v>145</v>
      </c>
      <c r="KB260" s="263" t="s">
        <v>70</v>
      </c>
      <c r="KC260" s="263" t="s">
        <v>1083</v>
      </c>
      <c r="KE260" s="263" t="s">
        <v>17239</v>
      </c>
      <c r="KF260" s="263" t="s">
        <v>52</v>
      </c>
      <c r="KG260" s="263" t="s">
        <v>70</v>
      </c>
      <c r="KH260" s="263" t="s">
        <v>1083</v>
      </c>
      <c r="KJ260" s="263" t="s">
        <v>17240</v>
      </c>
      <c r="KK260" s="263" t="s">
        <v>52</v>
      </c>
      <c r="KL260" s="263" t="s">
        <v>74</v>
      </c>
      <c r="KM260" s="263" t="s">
        <v>34074</v>
      </c>
      <c r="KO260" s="214" t="s">
        <v>17241</v>
      </c>
      <c r="KP260" s="214" t="s">
        <v>145</v>
      </c>
      <c r="KQ260" s="214" t="s">
        <v>70</v>
      </c>
      <c r="KR260" s="214" t="s">
        <v>67</v>
      </c>
      <c r="KT260" s="22" t="s">
        <v>17242</v>
      </c>
      <c r="KU260" s="22" t="s">
        <v>145</v>
      </c>
      <c r="KV260" s="22" t="s">
        <v>70</v>
      </c>
      <c r="KW260" s="22" t="s">
        <v>67</v>
      </c>
      <c r="KY260" s="214" t="s">
        <v>17243</v>
      </c>
      <c r="KZ260" s="214" t="s">
        <v>52</v>
      </c>
      <c r="LA260" s="214" t="s">
        <v>74</v>
      </c>
      <c r="LB260" s="218" t="s">
        <v>34808</v>
      </c>
      <c r="LD260" s="22" t="s">
        <v>17244</v>
      </c>
      <c r="LE260" s="22" t="s">
        <v>145</v>
      </c>
      <c r="LF260" s="22" t="s">
        <v>70</v>
      </c>
      <c r="LG260" s="22" t="s">
        <v>67</v>
      </c>
    </row>
    <row r="261" spans="1:319">
      <c r="A261" s="22" t="s">
        <v>17245</v>
      </c>
      <c r="B261" s="22" t="s">
        <v>145</v>
      </c>
      <c r="C261" s="22" t="s">
        <v>70</v>
      </c>
      <c r="D261" s="22" t="s">
        <v>67</v>
      </c>
      <c r="F261" s="72" t="s">
        <v>17246</v>
      </c>
      <c r="G261" s="22" t="s">
        <v>145</v>
      </c>
      <c r="H261" s="22" t="s">
        <v>70</v>
      </c>
      <c r="I261" s="22" t="s">
        <v>67</v>
      </c>
      <c r="K261" s="22" t="s">
        <v>17247</v>
      </c>
      <c r="L261" s="22" t="s">
        <v>145</v>
      </c>
      <c r="M261" s="22" t="s">
        <v>70</v>
      </c>
      <c r="N261" s="22" t="s">
        <v>67</v>
      </c>
      <c r="P261" s="22" t="s">
        <v>17248</v>
      </c>
      <c r="Q261" s="22" t="s">
        <v>145</v>
      </c>
      <c r="R261" s="22" t="s">
        <v>70</v>
      </c>
      <c r="S261" s="22" t="s">
        <v>67</v>
      </c>
      <c r="U261" s="293" t="s">
        <v>17249</v>
      </c>
      <c r="V261" s="293" t="s">
        <v>145</v>
      </c>
      <c r="W261" s="293" t="s">
        <v>74</v>
      </c>
      <c r="X261" s="293" t="s">
        <v>656</v>
      </c>
      <c r="Z261" s="293" t="s">
        <v>17250</v>
      </c>
      <c r="AA261" s="293" t="s">
        <v>145</v>
      </c>
      <c r="AB261" s="293" t="s">
        <v>74</v>
      </c>
      <c r="AC261" s="293" t="s">
        <v>656</v>
      </c>
      <c r="AE261" s="293" t="s">
        <v>17251</v>
      </c>
      <c r="AF261" s="293" t="s">
        <v>145</v>
      </c>
      <c r="AG261" s="293" t="s">
        <v>74</v>
      </c>
      <c r="AH261" s="293" t="s">
        <v>656</v>
      </c>
      <c r="AJ261" s="293" t="s">
        <v>17252</v>
      </c>
      <c r="AK261" s="293" t="s">
        <v>145</v>
      </c>
      <c r="AL261" s="293" t="s">
        <v>74</v>
      </c>
      <c r="AM261" s="293" t="s">
        <v>656</v>
      </c>
      <c r="AO261" s="22" t="s">
        <v>17253</v>
      </c>
      <c r="AP261" s="22" t="s">
        <v>145</v>
      </c>
      <c r="AQ261" s="22" t="s">
        <v>70</v>
      </c>
      <c r="AR261" s="22" t="s">
        <v>67</v>
      </c>
      <c r="AT261" s="22" t="s">
        <v>17254</v>
      </c>
      <c r="AU261" s="22" t="s">
        <v>145</v>
      </c>
      <c r="AV261" s="22" t="s">
        <v>70</v>
      </c>
      <c r="AW261" s="22" t="s">
        <v>67</v>
      </c>
      <c r="AY261" s="22" t="s">
        <v>17255</v>
      </c>
      <c r="AZ261" s="22" t="s">
        <v>145</v>
      </c>
      <c r="BA261" s="22" t="s">
        <v>70</v>
      </c>
      <c r="BB261" s="22" t="s">
        <v>67</v>
      </c>
      <c r="BD261" s="22" t="s">
        <v>17256</v>
      </c>
      <c r="BE261" s="22" t="s">
        <v>145</v>
      </c>
      <c r="BF261" s="22" t="s">
        <v>70</v>
      </c>
      <c r="BG261" s="22" t="s">
        <v>67</v>
      </c>
      <c r="BI261" s="22" t="s">
        <v>17257</v>
      </c>
      <c r="BJ261" s="22" t="s">
        <v>145</v>
      </c>
      <c r="BK261" s="22" t="s">
        <v>70</v>
      </c>
      <c r="BL261" s="22" t="s">
        <v>67</v>
      </c>
      <c r="BN261" s="22" t="s">
        <v>17258</v>
      </c>
      <c r="BO261" s="22" t="s">
        <v>145</v>
      </c>
      <c r="BP261" s="22" t="s">
        <v>70</v>
      </c>
      <c r="BQ261" s="22" t="s">
        <v>67</v>
      </c>
      <c r="BS261" s="22" t="s">
        <v>17259</v>
      </c>
      <c r="BT261" s="22" t="s">
        <v>145</v>
      </c>
      <c r="BU261" s="22" t="s">
        <v>70</v>
      </c>
      <c r="BV261" s="214" t="s">
        <v>530</v>
      </c>
      <c r="BX261" s="22" t="s">
        <v>17260</v>
      </c>
      <c r="BY261" s="22" t="s">
        <v>145</v>
      </c>
      <c r="BZ261" s="22" t="s">
        <v>70</v>
      </c>
      <c r="CA261" s="214" t="s">
        <v>530</v>
      </c>
      <c r="CC261" s="214" t="s">
        <v>17261</v>
      </c>
      <c r="CD261" s="218" t="s">
        <v>145</v>
      </c>
      <c r="CE261" s="214" t="s">
        <v>70</v>
      </c>
      <c r="CF261" s="214" t="s">
        <v>714</v>
      </c>
      <c r="CH261" s="214" t="s">
        <v>17262</v>
      </c>
      <c r="CI261" s="214" t="s">
        <v>34558</v>
      </c>
      <c r="CJ261" s="214" t="s">
        <v>70</v>
      </c>
      <c r="CK261" s="214" t="s">
        <v>530</v>
      </c>
      <c r="CM261" s="214" t="s">
        <v>17263</v>
      </c>
      <c r="CN261" s="214" t="s">
        <v>486</v>
      </c>
      <c r="CO261" s="214" t="s">
        <v>70</v>
      </c>
      <c r="CP261" s="214" t="s">
        <v>530</v>
      </c>
      <c r="CR261" s="214" t="s">
        <v>17264</v>
      </c>
      <c r="CS261" s="214" t="s">
        <v>518</v>
      </c>
      <c r="CT261" s="214" t="s">
        <v>70</v>
      </c>
      <c r="CU261" s="214" t="s">
        <v>530</v>
      </c>
      <c r="CW261" s="214" t="s">
        <v>17265</v>
      </c>
      <c r="CX261" s="214" t="s">
        <v>34551</v>
      </c>
      <c r="CY261" s="214" t="s">
        <v>70</v>
      </c>
      <c r="CZ261" s="214" t="s">
        <v>530</v>
      </c>
      <c r="DB261" s="214" t="s">
        <v>17266</v>
      </c>
      <c r="DC261" s="214" t="s">
        <v>34541</v>
      </c>
      <c r="DD261" s="214" t="s">
        <v>70</v>
      </c>
      <c r="DE261" s="214" t="s">
        <v>530</v>
      </c>
      <c r="DG261" s="214" t="s">
        <v>17267</v>
      </c>
      <c r="DH261" s="214" t="s">
        <v>34539</v>
      </c>
      <c r="DI261" s="214" t="s">
        <v>70</v>
      </c>
      <c r="DJ261" s="214" t="s">
        <v>530</v>
      </c>
      <c r="DL261" s="214" t="s">
        <v>17268</v>
      </c>
      <c r="DM261" s="214" t="s">
        <v>34524</v>
      </c>
      <c r="DN261" s="214" t="s">
        <v>70</v>
      </c>
      <c r="DO261" s="214" t="s">
        <v>530</v>
      </c>
      <c r="DQ261" s="214" t="s">
        <v>17269</v>
      </c>
      <c r="DR261" s="214" t="s">
        <v>936</v>
      </c>
      <c r="DS261" s="214" t="s">
        <v>70</v>
      </c>
      <c r="DT261" s="214" t="s">
        <v>530</v>
      </c>
      <c r="DV261" s="214" t="s">
        <v>17270</v>
      </c>
      <c r="DW261" s="214" t="s">
        <v>488</v>
      </c>
      <c r="DX261" s="214" t="s">
        <v>70</v>
      </c>
      <c r="DY261" s="214" t="s">
        <v>530</v>
      </c>
      <c r="EA261" s="214" t="s">
        <v>17271</v>
      </c>
      <c r="EB261" s="214" t="s">
        <v>34405</v>
      </c>
      <c r="EC261" s="214" t="s">
        <v>70</v>
      </c>
      <c r="ED261" s="214" t="s">
        <v>530</v>
      </c>
      <c r="EF261" s="214" t="s">
        <v>17272</v>
      </c>
      <c r="EG261" s="214" t="s">
        <v>34580</v>
      </c>
      <c r="EH261" s="214" t="s">
        <v>70</v>
      </c>
      <c r="EI261" s="214" t="s">
        <v>530</v>
      </c>
      <c r="EK261" s="214" t="s">
        <v>17273</v>
      </c>
      <c r="EL261" s="214" t="s">
        <v>468</v>
      </c>
      <c r="EM261" s="214" t="s">
        <v>70</v>
      </c>
      <c r="EN261" s="214" t="s">
        <v>530</v>
      </c>
      <c r="EP261" s="214" t="s">
        <v>17274</v>
      </c>
      <c r="EQ261" s="214" t="s">
        <v>34569</v>
      </c>
      <c r="ER261" s="214" t="s">
        <v>70</v>
      </c>
      <c r="ES261" s="214" t="s">
        <v>530</v>
      </c>
      <c r="EU261" s="214" t="s">
        <v>17275</v>
      </c>
      <c r="EV261" s="214" t="s">
        <v>34579</v>
      </c>
      <c r="EW261" s="214" t="s">
        <v>70</v>
      </c>
      <c r="EX261" s="214" t="s">
        <v>530</v>
      </c>
      <c r="EZ261" s="214" t="s">
        <v>17276</v>
      </c>
      <c r="FA261" s="214" t="s">
        <v>87</v>
      </c>
      <c r="FB261" s="214" t="s">
        <v>70</v>
      </c>
      <c r="FC261" s="214" t="s">
        <v>530</v>
      </c>
      <c r="FE261" s="214" t="s">
        <v>17277</v>
      </c>
      <c r="FF261" s="214" t="s">
        <v>203</v>
      </c>
      <c r="FG261" s="214" t="s">
        <v>70</v>
      </c>
      <c r="FH261" s="214" t="s">
        <v>530</v>
      </c>
      <c r="FJ261" s="321" t="s">
        <v>17278</v>
      </c>
      <c r="FK261" s="214" t="s">
        <v>34580</v>
      </c>
      <c r="FL261" s="214" t="s">
        <v>70</v>
      </c>
      <c r="FM261" s="214" t="s">
        <v>530</v>
      </c>
      <c r="FO261" s="321" t="s">
        <v>17279</v>
      </c>
      <c r="FP261" s="214" t="s">
        <v>34564</v>
      </c>
      <c r="FQ261" s="214" t="s">
        <v>70</v>
      </c>
      <c r="FR261" s="214" t="s">
        <v>530</v>
      </c>
      <c r="FT261" s="321" t="s">
        <v>17280</v>
      </c>
      <c r="FU261" s="214" t="s">
        <v>52</v>
      </c>
      <c r="FV261" s="214" t="s">
        <v>70</v>
      </c>
      <c r="FW261" s="214" t="s">
        <v>530</v>
      </c>
      <c r="FY261" s="321" t="s">
        <v>17281</v>
      </c>
      <c r="FZ261" s="214" t="s">
        <v>34545</v>
      </c>
      <c r="GA261" s="214" t="s">
        <v>70</v>
      </c>
      <c r="GB261" s="214" t="s">
        <v>530</v>
      </c>
      <c r="GD261" s="321" t="s">
        <v>17282</v>
      </c>
      <c r="GE261" s="214" t="s">
        <v>34550</v>
      </c>
      <c r="GF261" s="214" t="s">
        <v>70</v>
      </c>
      <c r="GG261" s="214" t="s">
        <v>530</v>
      </c>
      <c r="GI261" s="321" t="s">
        <v>17283</v>
      </c>
      <c r="GJ261" s="214" t="s">
        <v>34580</v>
      </c>
      <c r="GK261" s="214" t="s">
        <v>70</v>
      </c>
      <c r="GL261" s="214" t="s">
        <v>530</v>
      </c>
      <c r="GN261" s="321" t="s">
        <v>17284</v>
      </c>
      <c r="GO261" s="214" t="s">
        <v>88</v>
      </c>
      <c r="GP261" s="214" t="s">
        <v>70</v>
      </c>
      <c r="GQ261" s="214" t="s">
        <v>530</v>
      </c>
      <c r="GS261" s="321" t="s">
        <v>17285</v>
      </c>
      <c r="GT261" s="214" t="s">
        <v>496</v>
      </c>
      <c r="GU261" s="214" t="s">
        <v>70</v>
      </c>
      <c r="GV261" s="214" t="s">
        <v>530</v>
      </c>
      <c r="GX261" s="214" t="s">
        <v>17286</v>
      </c>
      <c r="GY261" s="214" t="s">
        <v>488</v>
      </c>
      <c r="GZ261" s="214" t="s">
        <v>70</v>
      </c>
      <c r="HA261" s="214" t="s">
        <v>530</v>
      </c>
      <c r="HC261" s="214" t="s">
        <v>17287</v>
      </c>
      <c r="HD261" s="214" t="s">
        <v>502</v>
      </c>
      <c r="HE261" s="214" t="s">
        <v>70</v>
      </c>
      <c r="HF261" s="214" t="s">
        <v>530</v>
      </c>
      <c r="HH261" s="214" t="s">
        <v>17288</v>
      </c>
      <c r="HI261" s="214" t="s">
        <v>486</v>
      </c>
      <c r="HJ261" s="214" t="s">
        <v>70</v>
      </c>
      <c r="HK261" s="214" t="s">
        <v>530</v>
      </c>
      <c r="HM261" s="214" t="s">
        <v>17289</v>
      </c>
      <c r="HN261" s="214" t="s">
        <v>34547</v>
      </c>
      <c r="HO261" s="214" t="s">
        <v>70</v>
      </c>
      <c r="HP261" s="214" t="s">
        <v>530</v>
      </c>
      <c r="HR261" s="22" t="s">
        <v>17290</v>
      </c>
      <c r="HS261" s="22" t="s">
        <v>34549</v>
      </c>
      <c r="HT261" s="22" t="s">
        <v>70</v>
      </c>
      <c r="HU261" s="214" t="s">
        <v>530</v>
      </c>
      <c r="HW261" s="22" t="s">
        <v>17291</v>
      </c>
      <c r="HX261" s="22" t="s">
        <v>490</v>
      </c>
      <c r="HY261" s="22" t="s">
        <v>70</v>
      </c>
      <c r="HZ261" s="214" t="s">
        <v>530</v>
      </c>
      <c r="IB261" s="22" t="s">
        <v>17292</v>
      </c>
      <c r="IC261" s="22" t="s">
        <v>34569</v>
      </c>
      <c r="ID261" s="22" t="s">
        <v>70</v>
      </c>
      <c r="IE261" s="214" t="s">
        <v>530</v>
      </c>
      <c r="IG261" s="22" t="s">
        <v>17293</v>
      </c>
      <c r="IH261" s="22" t="s">
        <v>52</v>
      </c>
      <c r="II261" s="22" t="s">
        <v>70</v>
      </c>
      <c r="IJ261" s="214" t="s">
        <v>530</v>
      </c>
      <c r="IL261" s="22" t="s">
        <v>17294</v>
      </c>
      <c r="IM261" s="22" t="s">
        <v>145</v>
      </c>
      <c r="IN261" s="22" t="s">
        <v>70</v>
      </c>
      <c r="IO261" s="214" t="s">
        <v>530</v>
      </c>
      <c r="IQ261" s="236" t="s">
        <v>17295</v>
      </c>
      <c r="IR261" s="236" t="s">
        <v>145</v>
      </c>
      <c r="IS261" s="236" t="s">
        <v>74</v>
      </c>
      <c r="IT261" s="236" t="s">
        <v>841</v>
      </c>
      <c r="IV261" s="236" t="s">
        <v>17296</v>
      </c>
      <c r="IW261" s="236" t="s">
        <v>145</v>
      </c>
      <c r="IX261" s="236" t="s">
        <v>74</v>
      </c>
      <c r="IY261" s="236" t="s">
        <v>841</v>
      </c>
      <c r="JA261" s="236" t="s">
        <v>17297</v>
      </c>
      <c r="JB261" s="236" t="s">
        <v>145</v>
      </c>
      <c r="JC261" s="236" t="s">
        <v>74</v>
      </c>
      <c r="JD261" s="236" t="s">
        <v>841</v>
      </c>
      <c r="JF261" s="236" t="s">
        <v>17298</v>
      </c>
      <c r="JG261" s="236" t="s">
        <v>145</v>
      </c>
      <c r="JH261" s="236" t="s">
        <v>74</v>
      </c>
      <c r="JI261" s="236" t="s">
        <v>841</v>
      </c>
      <c r="JK261" s="236" t="s">
        <v>17299</v>
      </c>
      <c r="JL261" s="236" t="s">
        <v>145</v>
      </c>
      <c r="JM261" s="236" t="s">
        <v>74</v>
      </c>
      <c r="JN261" s="236" t="s">
        <v>841</v>
      </c>
      <c r="JP261" s="236" t="s">
        <v>17300</v>
      </c>
      <c r="JQ261" s="236" t="s">
        <v>145</v>
      </c>
      <c r="JR261" s="236" t="s">
        <v>74</v>
      </c>
      <c r="JS261" s="236" t="s">
        <v>841</v>
      </c>
      <c r="JU261" s="294" t="s">
        <v>17301</v>
      </c>
      <c r="JV261" s="294" t="s">
        <v>52</v>
      </c>
      <c r="JW261" s="263" t="s">
        <v>70</v>
      </c>
      <c r="JX261" s="294" t="s">
        <v>1083</v>
      </c>
      <c r="JZ261" s="263" t="s">
        <v>17302</v>
      </c>
      <c r="KA261" s="263" t="s">
        <v>145</v>
      </c>
      <c r="KB261" s="263" t="s">
        <v>70</v>
      </c>
      <c r="KC261" s="263" t="s">
        <v>1083</v>
      </c>
      <c r="KE261" s="263" t="s">
        <v>17303</v>
      </c>
      <c r="KF261" s="263" t="s">
        <v>52</v>
      </c>
      <c r="KG261" s="263" t="s">
        <v>70</v>
      </c>
      <c r="KH261" s="263" t="s">
        <v>1083</v>
      </c>
      <c r="KJ261" s="263" t="s">
        <v>17304</v>
      </c>
      <c r="KK261" s="263" t="s">
        <v>52</v>
      </c>
      <c r="KL261" s="263" t="s">
        <v>74</v>
      </c>
      <c r="KM261" s="263" t="s">
        <v>34074</v>
      </c>
      <c r="KO261" s="214" t="s">
        <v>17305</v>
      </c>
      <c r="KP261" s="214" t="s">
        <v>145</v>
      </c>
      <c r="KQ261" s="214" t="s">
        <v>70</v>
      </c>
      <c r="KR261" s="214" t="s">
        <v>67</v>
      </c>
      <c r="KT261" s="22" t="s">
        <v>17306</v>
      </c>
      <c r="KU261" s="22" t="s">
        <v>145</v>
      </c>
      <c r="KV261" s="22" t="s">
        <v>70</v>
      </c>
      <c r="KW261" s="22" t="s">
        <v>67</v>
      </c>
      <c r="KY261" s="214" t="s">
        <v>17307</v>
      </c>
      <c r="KZ261" s="214" t="s">
        <v>52</v>
      </c>
      <c r="LA261" s="214" t="s">
        <v>74</v>
      </c>
      <c r="LB261" s="218" t="s">
        <v>34808</v>
      </c>
      <c r="LD261" s="22" t="s">
        <v>17308</v>
      </c>
      <c r="LE261" s="22" t="s">
        <v>145</v>
      </c>
      <c r="LF261" s="22" t="s">
        <v>70</v>
      </c>
      <c r="LG261" s="22" t="s">
        <v>67</v>
      </c>
    </row>
    <row r="262" spans="1:319">
      <c r="A262" s="22" t="s">
        <v>17309</v>
      </c>
      <c r="B262" s="22" t="s">
        <v>145</v>
      </c>
      <c r="C262" s="22" t="s">
        <v>70</v>
      </c>
      <c r="D262" s="22" t="s">
        <v>67</v>
      </c>
      <c r="F262" s="98" t="s">
        <v>17310</v>
      </c>
      <c r="G262" s="22" t="s">
        <v>145</v>
      </c>
      <c r="H262" s="22" t="s">
        <v>70</v>
      </c>
      <c r="I262" s="22" t="s">
        <v>67</v>
      </c>
      <c r="K262" s="22" t="s">
        <v>17311</v>
      </c>
      <c r="L262" s="22" t="s">
        <v>145</v>
      </c>
      <c r="M262" s="22" t="s">
        <v>70</v>
      </c>
      <c r="N262" s="22" t="s">
        <v>67</v>
      </c>
      <c r="P262" s="22" t="s">
        <v>17312</v>
      </c>
      <c r="Q262" s="22" t="s">
        <v>145</v>
      </c>
      <c r="R262" s="22" t="s">
        <v>70</v>
      </c>
      <c r="S262" s="22" t="s">
        <v>67</v>
      </c>
      <c r="U262" s="293" t="s">
        <v>17313</v>
      </c>
      <c r="V262" s="293" t="s">
        <v>145</v>
      </c>
      <c r="W262" s="293" t="s">
        <v>74</v>
      </c>
      <c r="X262" s="293" t="s">
        <v>656</v>
      </c>
      <c r="Z262" s="293" t="s">
        <v>17314</v>
      </c>
      <c r="AA262" s="293" t="s">
        <v>145</v>
      </c>
      <c r="AB262" s="293" t="s">
        <v>74</v>
      </c>
      <c r="AC262" s="293" t="s">
        <v>656</v>
      </c>
      <c r="AE262" s="293" t="s">
        <v>17315</v>
      </c>
      <c r="AF262" s="293" t="s">
        <v>145</v>
      </c>
      <c r="AG262" s="293" t="s">
        <v>74</v>
      </c>
      <c r="AH262" s="293" t="s">
        <v>656</v>
      </c>
      <c r="AJ262" s="293" t="s">
        <v>17316</v>
      </c>
      <c r="AK262" s="293" t="s">
        <v>145</v>
      </c>
      <c r="AL262" s="293" t="s">
        <v>74</v>
      </c>
      <c r="AM262" s="293" t="s">
        <v>656</v>
      </c>
      <c r="AO262" s="22" t="s">
        <v>17317</v>
      </c>
      <c r="AP262" s="22" t="s">
        <v>145</v>
      </c>
      <c r="AQ262" s="22" t="s">
        <v>70</v>
      </c>
      <c r="AR262" s="22" t="s">
        <v>67</v>
      </c>
      <c r="AT262" s="22" t="s">
        <v>17318</v>
      </c>
      <c r="AU262" s="22" t="s">
        <v>145</v>
      </c>
      <c r="AV262" s="22" t="s">
        <v>70</v>
      </c>
      <c r="AW262" s="22" t="s">
        <v>67</v>
      </c>
      <c r="AY262" s="22" t="s">
        <v>17319</v>
      </c>
      <c r="AZ262" s="22" t="s">
        <v>145</v>
      </c>
      <c r="BA262" s="22" t="s">
        <v>70</v>
      </c>
      <c r="BB262" s="22" t="s">
        <v>67</v>
      </c>
      <c r="BD262" s="22" t="s">
        <v>17320</v>
      </c>
      <c r="BE262" s="22" t="s">
        <v>145</v>
      </c>
      <c r="BF262" s="22" t="s">
        <v>70</v>
      </c>
      <c r="BG262" s="22" t="s">
        <v>67</v>
      </c>
      <c r="BI262" s="22" t="s">
        <v>17321</v>
      </c>
      <c r="BJ262" s="22" t="s">
        <v>145</v>
      </c>
      <c r="BK262" s="22" t="s">
        <v>70</v>
      </c>
      <c r="BL262" s="22" t="s">
        <v>67</v>
      </c>
      <c r="BN262" s="22" t="s">
        <v>17322</v>
      </c>
      <c r="BO262" s="22" t="s">
        <v>145</v>
      </c>
      <c r="BP262" s="22" t="s">
        <v>70</v>
      </c>
      <c r="BQ262" s="22" t="s">
        <v>67</v>
      </c>
      <c r="BS262" s="22" t="s">
        <v>17323</v>
      </c>
      <c r="BT262" s="22" t="s">
        <v>145</v>
      </c>
      <c r="BU262" s="22" t="s">
        <v>70</v>
      </c>
      <c r="BV262" s="214" t="s">
        <v>530</v>
      </c>
      <c r="BX262" s="22" t="s">
        <v>17324</v>
      </c>
      <c r="BY262" s="22" t="s">
        <v>145</v>
      </c>
      <c r="BZ262" s="22" t="s">
        <v>70</v>
      </c>
      <c r="CA262" s="214" t="s">
        <v>530</v>
      </c>
      <c r="CC262" s="214" t="s">
        <v>17325</v>
      </c>
      <c r="CD262" s="218" t="s">
        <v>145</v>
      </c>
      <c r="CE262" s="214" t="s">
        <v>70</v>
      </c>
      <c r="CF262" s="214" t="s">
        <v>715</v>
      </c>
      <c r="CH262" s="214" t="s">
        <v>17326</v>
      </c>
      <c r="CI262" s="214" t="s">
        <v>599</v>
      </c>
      <c r="CJ262" s="214" t="s">
        <v>70</v>
      </c>
      <c r="CK262" s="214" t="s">
        <v>530</v>
      </c>
      <c r="CM262" s="214" t="s">
        <v>17327</v>
      </c>
      <c r="CN262" s="214" t="s">
        <v>488</v>
      </c>
      <c r="CO262" s="214" t="s">
        <v>70</v>
      </c>
      <c r="CP262" s="214" t="s">
        <v>530</v>
      </c>
      <c r="CR262" s="214" t="s">
        <v>17328</v>
      </c>
      <c r="CS262" s="214" t="s">
        <v>52</v>
      </c>
      <c r="CT262" s="214" t="s">
        <v>70</v>
      </c>
      <c r="CU262" s="214" t="s">
        <v>530</v>
      </c>
      <c r="CW262" s="214" t="s">
        <v>17329</v>
      </c>
      <c r="CX262" s="214" t="s">
        <v>211</v>
      </c>
      <c r="CY262" s="214" t="s">
        <v>70</v>
      </c>
      <c r="CZ262" s="214" t="s">
        <v>530</v>
      </c>
      <c r="DB262" s="214" t="s">
        <v>17330</v>
      </c>
      <c r="DC262" s="214" t="s">
        <v>497</v>
      </c>
      <c r="DD262" s="214" t="s">
        <v>70</v>
      </c>
      <c r="DE262" s="214" t="s">
        <v>530</v>
      </c>
      <c r="DG262" s="214" t="s">
        <v>17331</v>
      </c>
      <c r="DH262" s="214" t="s">
        <v>34604</v>
      </c>
      <c r="DI262" s="214" t="s">
        <v>70</v>
      </c>
      <c r="DJ262" s="214" t="s">
        <v>530</v>
      </c>
      <c r="DL262" s="214" t="s">
        <v>17332</v>
      </c>
      <c r="DM262" s="214" t="s">
        <v>481</v>
      </c>
      <c r="DN262" s="214" t="s">
        <v>70</v>
      </c>
      <c r="DO262" s="214" t="s">
        <v>530</v>
      </c>
      <c r="DQ262" s="214" t="s">
        <v>17333</v>
      </c>
      <c r="DR262" s="214" t="s">
        <v>34551</v>
      </c>
      <c r="DS262" s="214" t="s">
        <v>70</v>
      </c>
      <c r="DT262" s="214" t="s">
        <v>530</v>
      </c>
      <c r="DV262" s="214" t="s">
        <v>17334</v>
      </c>
      <c r="DW262" s="214" t="s">
        <v>52</v>
      </c>
      <c r="DX262" s="214" t="s">
        <v>70</v>
      </c>
      <c r="DY262" s="214" t="s">
        <v>530</v>
      </c>
      <c r="EA262" s="214" t="s">
        <v>17335</v>
      </c>
      <c r="EB262" s="214" t="s">
        <v>145</v>
      </c>
      <c r="EC262" s="214" t="s">
        <v>70</v>
      </c>
      <c r="ED262" s="214" t="s">
        <v>530</v>
      </c>
      <c r="EF262" s="214" t="s">
        <v>17336</v>
      </c>
      <c r="EG262" s="214" t="s">
        <v>485</v>
      </c>
      <c r="EH262" s="214" t="s">
        <v>70</v>
      </c>
      <c r="EI262" s="214" t="s">
        <v>530</v>
      </c>
      <c r="EK262" s="214" t="s">
        <v>17337</v>
      </c>
      <c r="EL262" s="214" t="s">
        <v>468</v>
      </c>
      <c r="EM262" s="214" t="s">
        <v>70</v>
      </c>
      <c r="EN262" s="214" t="s">
        <v>530</v>
      </c>
      <c r="EP262" s="214" t="s">
        <v>17338</v>
      </c>
      <c r="EQ262" s="214" t="s">
        <v>52</v>
      </c>
      <c r="ER262" s="214" t="s">
        <v>70</v>
      </c>
      <c r="ES262" s="214" t="s">
        <v>530</v>
      </c>
      <c r="EU262" s="214" t="s">
        <v>17339</v>
      </c>
      <c r="EV262" s="214" t="s">
        <v>52</v>
      </c>
      <c r="EW262" s="214" t="s">
        <v>70</v>
      </c>
      <c r="EX262" s="214" t="s">
        <v>530</v>
      </c>
      <c r="EZ262" s="214" t="s">
        <v>17340</v>
      </c>
      <c r="FA262" s="214" t="s">
        <v>34516</v>
      </c>
      <c r="FB262" s="214" t="s">
        <v>70</v>
      </c>
      <c r="FC262" s="214" t="s">
        <v>530</v>
      </c>
      <c r="FE262" s="214" t="s">
        <v>17341</v>
      </c>
      <c r="FF262" s="214" t="s">
        <v>923</v>
      </c>
      <c r="FG262" s="214" t="s">
        <v>70</v>
      </c>
      <c r="FH262" s="214" t="s">
        <v>530</v>
      </c>
      <c r="FJ262" s="321" t="s">
        <v>17342</v>
      </c>
      <c r="FK262" s="214" t="s">
        <v>599</v>
      </c>
      <c r="FL262" s="214" t="s">
        <v>70</v>
      </c>
      <c r="FM262" s="214" t="s">
        <v>530</v>
      </c>
      <c r="FO262" s="321" t="s">
        <v>17343</v>
      </c>
      <c r="FP262" s="214" t="s">
        <v>34591</v>
      </c>
      <c r="FQ262" s="214" t="s">
        <v>70</v>
      </c>
      <c r="FR262" s="214" t="s">
        <v>530</v>
      </c>
      <c r="FT262" s="321" t="s">
        <v>17344</v>
      </c>
      <c r="FU262" s="214" t="s">
        <v>163</v>
      </c>
      <c r="FV262" s="214" t="s">
        <v>70</v>
      </c>
      <c r="FW262" s="214" t="s">
        <v>530</v>
      </c>
      <c r="FY262" s="321" t="s">
        <v>17345</v>
      </c>
      <c r="FZ262" s="214" t="s">
        <v>92</v>
      </c>
      <c r="GA262" s="214" t="s">
        <v>70</v>
      </c>
      <c r="GB262" s="214" t="s">
        <v>530</v>
      </c>
      <c r="GD262" s="321" t="s">
        <v>17346</v>
      </c>
      <c r="GE262" s="214" t="s">
        <v>145</v>
      </c>
      <c r="GF262" s="214" t="s">
        <v>70</v>
      </c>
      <c r="GG262" s="214" t="s">
        <v>530</v>
      </c>
      <c r="GI262" s="321" t="s">
        <v>17347</v>
      </c>
      <c r="GJ262" s="214" t="s">
        <v>148</v>
      </c>
      <c r="GK262" s="214" t="s">
        <v>70</v>
      </c>
      <c r="GL262" s="214" t="s">
        <v>530</v>
      </c>
      <c r="GN262" s="321" t="s">
        <v>17348</v>
      </c>
      <c r="GO262" s="214" t="s">
        <v>52</v>
      </c>
      <c r="GP262" s="214" t="s">
        <v>70</v>
      </c>
      <c r="GQ262" s="214" t="s">
        <v>530</v>
      </c>
      <c r="GS262" s="321" t="s">
        <v>17349</v>
      </c>
      <c r="GT262" s="214" t="s">
        <v>92</v>
      </c>
      <c r="GU262" s="214" t="s">
        <v>70</v>
      </c>
      <c r="GV262" s="214" t="s">
        <v>530</v>
      </c>
      <c r="GX262" s="214" t="s">
        <v>17350</v>
      </c>
      <c r="GY262" s="214" t="s">
        <v>148</v>
      </c>
      <c r="GZ262" s="214" t="s">
        <v>70</v>
      </c>
      <c r="HA262" s="214" t="s">
        <v>530</v>
      </c>
      <c r="HC262" s="214" t="s">
        <v>17351</v>
      </c>
      <c r="HD262" s="214" t="s">
        <v>148</v>
      </c>
      <c r="HE262" s="214" t="s">
        <v>70</v>
      </c>
      <c r="HF262" s="214" t="s">
        <v>530</v>
      </c>
      <c r="HH262" s="214" t="s">
        <v>17352</v>
      </c>
      <c r="HI262" s="214" t="s">
        <v>655</v>
      </c>
      <c r="HJ262" s="214" t="s">
        <v>70</v>
      </c>
      <c r="HK262" s="214" t="s">
        <v>530</v>
      </c>
      <c r="HM262" s="214" t="s">
        <v>17353</v>
      </c>
      <c r="HN262" s="214" t="s">
        <v>34560</v>
      </c>
      <c r="HO262" s="214" t="s">
        <v>70</v>
      </c>
      <c r="HP262" s="214" t="s">
        <v>530</v>
      </c>
      <c r="HR262" s="22" t="s">
        <v>17354</v>
      </c>
      <c r="HS262" s="22" t="s">
        <v>502</v>
      </c>
      <c r="HT262" s="22" t="s">
        <v>70</v>
      </c>
      <c r="HU262" s="214" t="s">
        <v>530</v>
      </c>
      <c r="HW262" s="22" t="s">
        <v>17355</v>
      </c>
      <c r="HX262" s="22" t="s">
        <v>52</v>
      </c>
      <c r="HY262" s="22" t="s">
        <v>70</v>
      </c>
      <c r="HZ262" s="214" t="s">
        <v>530</v>
      </c>
      <c r="IB262" s="22" t="s">
        <v>17356</v>
      </c>
      <c r="IC262" s="22" t="s">
        <v>148</v>
      </c>
      <c r="ID262" s="22" t="s">
        <v>70</v>
      </c>
      <c r="IE262" s="214" t="s">
        <v>530</v>
      </c>
      <c r="IG262" s="22" t="s">
        <v>17357</v>
      </c>
      <c r="IH262" s="22" t="s">
        <v>52</v>
      </c>
      <c r="II262" s="22" t="s">
        <v>70</v>
      </c>
      <c r="IJ262" s="214" t="s">
        <v>530</v>
      </c>
      <c r="IL262" s="22" t="s">
        <v>17358</v>
      </c>
      <c r="IM262" s="22" t="s">
        <v>145</v>
      </c>
      <c r="IN262" s="22" t="s">
        <v>70</v>
      </c>
      <c r="IO262" s="214" t="s">
        <v>530</v>
      </c>
      <c r="IQ262" s="236" t="s">
        <v>17359</v>
      </c>
      <c r="IR262" s="236" t="s">
        <v>145</v>
      </c>
      <c r="IS262" s="236" t="s">
        <v>74</v>
      </c>
      <c r="IT262" s="236" t="s">
        <v>841</v>
      </c>
      <c r="IV262" s="236" t="s">
        <v>17360</v>
      </c>
      <c r="IW262" s="236" t="s">
        <v>145</v>
      </c>
      <c r="IX262" s="236" t="s">
        <v>74</v>
      </c>
      <c r="IY262" s="236" t="s">
        <v>841</v>
      </c>
      <c r="JA262" s="236" t="s">
        <v>17361</v>
      </c>
      <c r="JB262" s="236" t="s">
        <v>145</v>
      </c>
      <c r="JC262" s="236" t="s">
        <v>74</v>
      </c>
      <c r="JD262" s="236" t="s">
        <v>841</v>
      </c>
      <c r="JF262" s="236" t="s">
        <v>17362</v>
      </c>
      <c r="JG262" s="236" t="s">
        <v>145</v>
      </c>
      <c r="JH262" s="236" t="s">
        <v>74</v>
      </c>
      <c r="JI262" s="236" t="s">
        <v>841</v>
      </c>
      <c r="JK262" s="236" t="s">
        <v>17363</v>
      </c>
      <c r="JL262" s="236" t="s">
        <v>145</v>
      </c>
      <c r="JM262" s="236" t="s">
        <v>74</v>
      </c>
      <c r="JN262" s="236" t="s">
        <v>841</v>
      </c>
      <c r="JP262" s="236" t="s">
        <v>17364</v>
      </c>
      <c r="JQ262" s="236" t="s">
        <v>145</v>
      </c>
      <c r="JR262" s="236" t="s">
        <v>74</v>
      </c>
      <c r="JS262" s="236" t="s">
        <v>841</v>
      </c>
      <c r="JU262" s="294" t="s">
        <v>17365</v>
      </c>
      <c r="JV262" s="294" t="s">
        <v>52</v>
      </c>
      <c r="JW262" s="263" t="s">
        <v>70</v>
      </c>
      <c r="JX262" s="294" t="s">
        <v>1083</v>
      </c>
      <c r="JZ262" s="263" t="s">
        <v>17366</v>
      </c>
      <c r="KA262" s="263" t="s">
        <v>145</v>
      </c>
      <c r="KB262" s="263" t="s">
        <v>70</v>
      </c>
      <c r="KC262" s="263" t="s">
        <v>1083</v>
      </c>
      <c r="KE262" s="263" t="s">
        <v>17367</v>
      </c>
      <c r="KF262" s="263" t="s">
        <v>52</v>
      </c>
      <c r="KG262" s="263" t="s">
        <v>70</v>
      </c>
      <c r="KH262" s="263" t="s">
        <v>1083</v>
      </c>
      <c r="KJ262" s="263" t="s">
        <v>17368</v>
      </c>
      <c r="KK262" s="263" t="s">
        <v>52</v>
      </c>
      <c r="KL262" s="263" t="s">
        <v>74</v>
      </c>
      <c r="KM262" s="263" t="s">
        <v>34074</v>
      </c>
      <c r="KO262" s="214" t="s">
        <v>17369</v>
      </c>
      <c r="KP262" s="214" t="s">
        <v>145</v>
      </c>
      <c r="KQ262" s="214" t="s">
        <v>70</v>
      </c>
      <c r="KR262" s="214" t="s">
        <v>67</v>
      </c>
      <c r="KT262" s="22" t="s">
        <v>17370</v>
      </c>
      <c r="KU262" s="22" t="s">
        <v>145</v>
      </c>
      <c r="KV262" s="22" t="s">
        <v>70</v>
      </c>
      <c r="KW262" s="22" t="s">
        <v>67</v>
      </c>
      <c r="KY262" s="214" t="s">
        <v>17371</v>
      </c>
      <c r="KZ262" s="214" t="s">
        <v>52</v>
      </c>
      <c r="LA262" s="214" t="s">
        <v>74</v>
      </c>
      <c r="LB262" s="218" t="s">
        <v>34808</v>
      </c>
      <c r="LD262" s="22" t="s">
        <v>17372</v>
      </c>
      <c r="LE262" s="22" t="s">
        <v>145</v>
      </c>
      <c r="LF262" s="22" t="s">
        <v>70</v>
      </c>
      <c r="LG262" s="22" t="s">
        <v>67</v>
      </c>
    </row>
    <row r="263" spans="1:319">
      <c r="A263" s="22" t="s">
        <v>17373</v>
      </c>
      <c r="B263" s="22" t="s">
        <v>145</v>
      </c>
      <c r="C263" s="22" t="s">
        <v>70</v>
      </c>
      <c r="D263" s="22" t="s">
        <v>67</v>
      </c>
      <c r="F263" s="98" t="s">
        <v>17374</v>
      </c>
      <c r="G263" s="22" t="s">
        <v>145</v>
      </c>
      <c r="H263" s="22" t="s">
        <v>70</v>
      </c>
      <c r="I263" s="22" t="s">
        <v>67</v>
      </c>
      <c r="K263" s="22" t="s">
        <v>17375</v>
      </c>
      <c r="L263" s="22" t="s">
        <v>145</v>
      </c>
      <c r="M263" s="22" t="s">
        <v>70</v>
      </c>
      <c r="N263" s="22" t="s">
        <v>67</v>
      </c>
      <c r="P263" s="22" t="s">
        <v>17376</v>
      </c>
      <c r="Q263" s="22" t="s">
        <v>145</v>
      </c>
      <c r="R263" s="22" t="s">
        <v>70</v>
      </c>
      <c r="S263" s="22" t="s">
        <v>67</v>
      </c>
      <c r="U263" s="293" t="s">
        <v>17377</v>
      </c>
      <c r="V263" s="293" t="s">
        <v>145</v>
      </c>
      <c r="W263" s="293" t="s">
        <v>74</v>
      </c>
      <c r="X263" s="293" t="s">
        <v>656</v>
      </c>
      <c r="Z263" s="293" t="s">
        <v>17378</v>
      </c>
      <c r="AA263" s="293" t="s">
        <v>145</v>
      </c>
      <c r="AB263" s="293" t="s">
        <v>74</v>
      </c>
      <c r="AC263" s="293" t="s">
        <v>656</v>
      </c>
      <c r="AE263" s="293" t="s">
        <v>17379</v>
      </c>
      <c r="AF263" s="293" t="s">
        <v>145</v>
      </c>
      <c r="AG263" s="293" t="s">
        <v>74</v>
      </c>
      <c r="AH263" s="293" t="s">
        <v>656</v>
      </c>
      <c r="AJ263" s="293" t="s">
        <v>17380</v>
      </c>
      <c r="AK263" s="293" t="s">
        <v>145</v>
      </c>
      <c r="AL263" s="293" t="s">
        <v>74</v>
      </c>
      <c r="AM263" s="293" t="s">
        <v>656</v>
      </c>
      <c r="AO263" s="22" t="s">
        <v>17381</v>
      </c>
      <c r="AP263" s="22" t="s">
        <v>145</v>
      </c>
      <c r="AQ263" s="22" t="s">
        <v>70</v>
      </c>
      <c r="AR263" s="22" t="s">
        <v>67</v>
      </c>
      <c r="AT263" s="22" t="s">
        <v>17382</v>
      </c>
      <c r="AU263" s="22" t="s">
        <v>145</v>
      </c>
      <c r="AV263" s="22" t="s">
        <v>70</v>
      </c>
      <c r="AW263" s="22" t="s">
        <v>67</v>
      </c>
      <c r="AY263" s="22" t="s">
        <v>17383</v>
      </c>
      <c r="AZ263" s="22" t="s">
        <v>145</v>
      </c>
      <c r="BA263" s="22" t="s">
        <v>70</v>
      </c>
      <c r="BB263" s="22" t="s">
        <v>67</v>
      </c>
      <c r="BD263" s="22" t="s">
        <v>17384</v>
      </c>
      <c r="BE263" s="22" t="s">
        <v>145</v>
      </c>
      <c r="BF263" s="22" t="s">
        <v>70</v>
      </c>
      <c r="BG263" s="22" t="s">
        <v>67</v>
      </c>
      <c r="BI263" s="22" t="s">
        <v>17385</v>
      </c>
      <c r="BJ263" s="22" t="s">
        <v>145</v>
      </c>
      <c r="BK263" s="22" t="s">
        <v>70</v>
      </c>
      <c r="BL263" s="22" t="s">
        <v>67</v>
      </c>
      <c r="BN263" s="22" t="s">
        <v>17386</v>
      </c>
      <c r="BO263" s="22" t="s">
        <v>145</v>
      </c>
      <c r="BP263" s="22" t="s">
        <v>70</v>
      </c>
      <c r="BQ263" s="22" t="s">
        <v>67</v>
      </c>
      <c r="BS263" s="22" t="s">
        <v>17387</v>
      </c>
      <c r="BT263" s="22" t="s">
        <v>145</v>
      </c>
      <c r="BU263" s="22" t="s">
        <v>70</v>
      </c>
      <c r="BV263" s="214" t="s">
        <v>530</v>
      </c>
      <c r="BX263" s="22" t="s">
        <v>17388</v>
      </c>
      <c r="BY263" s="22" t="s">
        <v>145</v>
      </c>
      <c r="BZ263" s="22" t="s">
        <v>70</v>
      </c>
      <c r="CA263" s="214" t="s">
        <v>530</v>
      </c>
      <c r="CC263" s="214" t="s">
        <v>17389</v>
      </c>
      <c r="CD263" s="218" t="s">
        <v>145</v>
      </c>
      <c r="CE263" s="214" t="s">
        <v>70</v>
      </c>
      <c r="CF263" s="214" t="s">
        <v>716</v>
      </c>
      <c r="CH263" s="214" t="s">
        <v>17390</v>
      </c>
      <c r="CI263" s="214" t="s">
        <v>491</v>
      </c>
      <c r="CJ263" s="214" t="s">
        <v>70</v>
      </c>
      <c r="CK263" s="214" t="s">
        <v>530</v>
      </c>
      <c r="CM263" s="214" t="s">
        <v>17391</v>
      </c>
      <c r="CN263" s="214" t="s">
        <v>488</v>
      </c>
      <c r="CO263" s="214" t="s">
        <v>70</v>
      </c>
      <c r="CP263" s="214" t="s">
        <v>530</v>
      </c>
      <c r="CR263" s="214" t="s">
        <v>17392</v>
      </c>
      <c r="CS263" s="214" t="s">
        <v>292</v>
      </c>
      <c r="CT263" s="214" t="s">
        <v>70</v>
      </c>
      <c r="CU263" s="214" t="s">
        <v>530</v>
      </c>
      <c r="CW263" s="214" t="s">
        <v>17393</v>
      </c>
      <c r="CX263" s="214" t="s">
        <v>34557</v>
      </c>
      <c r="CY263" s="214" t="s">
        <v>70</v>
      </c>
      <c r="CZ263" s="214" t="s">
        <v>530</v>
      </c>
      <c r="DB263" s="214" t="s">
        <v>17394</v>
      </c>
      <c r="DC263" s="214" t="s">
        <v>34556</v>
      </c>
      <c r="DD263" s="214" t="s">
        <v>70</v>
      </c>
      <c r="DE263" s="214" t="s">
        <v>530</v>
      </c>
      <c r="DG263" s="214" t="s">
        <v>17395</v>
      </c>
      <c r="DH263" s="214" t="s">
        <v>88</v>
      </c>
      <c r="DI263" s="214" t="s">
        <v>70</v>
      </c>
      <c r="DJ263" s="214" t="s">
        <v>530</v>
      </c>
      <c r="DL263" s="214" t="s">
        <v>17396</v>
      </c>
      <c r="DM263" s="214" t="s">
        <v>487</v>
      </c>
      <c r="DN263" s="214" t="s">
        <v>70</v>
      </c>
      <c r="DO263" s="214" t="s">
        <v>530</v>
      </c>
      <c r="DQ263" s="214" t="s">
        <v>17397</v>
      </c>
      <c r="DR263" s="214" t="s">
        <v>34557</v>
      </c>
      <c r="DS263" s="214" t="s">
        <v>70</v>
      </c>
      <c r="DT263" s="214" t="s">
        <v>530</v>
      </c>
      <c r="DV263" s="214" t="s">
        <v>17398</v>
      </c>
      <c r="DW263" s="214" t="s">
        <v>601</v>
      </c>
      <c r="DX263" s="214" t="s">
        <v>70</v>
      </c>
      <c r="DY263" s="214" t="s">
        <v>530</v>
      </c>
      <c r="EA263" s="214" t="s">
        <v>17399</v>
      </c>
      <c r="EB263" s="214" t="s">
        <v>145</v>
      </c>
      <c r="EC263" s="214" t="s">
        <v>70</v>
      </c>
      <c r="ED263" s="214" t="s">
        <v>530</v>
      </c>
      <c r="EF263" s="214" t="s">
        <v>17400</v>
      </c>
      <c r="EG263" s="214" t="s">
        <v>52</v>
      </c>
      <c r="EH263" s="214" t="s">
        <v>70</v>
      </c>
      <c r="EI263" s="214" t="s">
        <v>530</v>
      </c>
      <c r="EK263" s="214" t="s">
        <v>17401</v>
      </c>
      <c r="EL263" s="214" t="s">
        <v>146</v>
      </c>
      <c r="EM263" s="214" t="s">
        <v>70</v>
      </c>
      <c r="EN263" s="214" t="s">
        <v>530</v>
      </c>
      <c r="EP263" s="214" t="s">
        <v>17402</v>
      </c>
      <c r="EQ263" s="214" t="s">
        <v>34544</v>
      </c>
      <c r="ER263" s="214" t="s">
        <v>70</v>
      </c>
      <c r="ES263" s="214" t="s">
        <v>530</v>
      </c>
      <c r="EU263" s="214" t="s">
        <v>17403</v>
      </c>
      <c r="EV263" s="214" t="s">
        <v>52</v>
      </c>
      <c r="EW263" s="214" t="s">
        <v>70</v>
      </c>
      <c r="EX263" s="214" t="s">
        <v>530</v>
      </c>
      <c r="EZ263" s="214" t="s">
        <v>17404</v>
      </c>
      <c r="FA263" s="214" t="s">
        <v>34558</v>
      </c>
      <c r="FB263" s="214" t="s">
        <v>70</v>
      </c>
      <c r="FC263" s="214" t="s">
        <v>530</v>
      </c>
      <c r="FE263" s="214" t="s">
        <v>17405</v>
      </c>
      <c r="FF263" s="214" t="s">
        <v>490</v>
      </c>
      <c r="FG263" s="214" t="s">
        <v>70</v>
      </c>
      <c r="FH263" s="214" t="s">
        <v>530</v>
      </c>
      <c r="FJ263" s="321" t="s">
        <v>17406</v>
      </c>
      <c r="FK263" s="214" t="s">
        <v>52</v>
      </c>
      <c r="FL263" s="214" t="s">
        <v>70</v>
      </c>
      <c r="FM263" s="214" t="s">
        <v>530</v>
      </c>
      <c r="FO263" s="321" t="s">
        <v>17407</v>
      </c>
      <c r="FP263" s="214" t="s">
        <v>488</v>
      </c>
      <c r="FQ263" s="214" t="s">
        <v>70</v>
      </c>
      <c r="FR263" s="214" t="s">
        <v>530</v>
      </c>
      <c r="FT263" s="321" t="s">
        <v>17408</v>
      </c>
      <c r="FU263" s="214" t="s">
        <v>34562</v>
      </c>
      <c r="FV263" s="214" t="s">
        <v>70</v>
      </c>
      <c r="FW263" s="214" t="s">
        <v>530</v>
      </c>
      <c r="FY263" s="321" t="s">
        <v>17409</v>
      </c>
      <c r="FZ263" s="214" t="s">
        <v>496</v>
      </c>
      <c r="GA263" s="214" t="s">
        <v>70</v>
      </c>
      <c r="GB263" s="214" t="s">
        <v>530</v>
      </c>
      <c r="GD263" s="321" t="s">
        <v>17410</v>
      </c>
      <c r="GE263" s="214" t="s">
        <v>34541</v>
      </c>
      <c r="GF263" s="214" t="s">
        <v>70</v>
      </c>
      <c r="GG263" s="214" t="s">
        <v>530</v>
      </c>
      <c r="GI263" s="321" t="s">
        <v>17411</v>
      </c>
      <c r="GJ263" s="214" t="s">
        <v>34558</v>
      </c>
      <c r="GK263" s="214" t="s">
        <v>70</v>
      </c>
      <c r="GL263" s="214" t="s">
        <v>530</v>
      </c>
      <c r="GN263" s="321" t="s">
        <v>17412</v>
      </c>
      <c r="GO263" s="214" t="s">
        <v>88</v>
      </c>
      <c r="GP263" s="214" t="s">
        <v>70</v>
      </c>
      <c r="GQ263" s="214" t="s">
        <v>530</v>
      </c>
      <c r="GS263" s="321" t="s">
        <v>17413</v>
      </c>
      <c r="GT263" s="214" t="s">
        <v>482</v>
      </c>
      <c r="GU263" s="214" t="s">
        <v>70</v>
      </c>
      <c r="GV263" s="214" t="s">
        <v>530</v>
      </c>
      <c r="GX263" s="214" t="s">
        <v>17414</v>
      </c>
      <c r="GY263" s="214" t="s">
        <v>955</v>
      </c>
      <c r="GZ263" s="214" t="s">
        <v>70</v>
      </c>
      <c r="HA263" s="214" t="s">
        <v>530</v>
      </c>
      <c r="HC263" s="214" t="s">
        <v>17415</v>
      </c>
      <c r="HD263" s="214" t="s">
        <v>486</v>
      </c>
      <c r="HE263" s="214" t="s">
        <v>70</v>
      </c>
      <c r="HF263" s="214" t="s">
        <v>530</v>
      </c>
      <c r="HH263" s="214" t="s">
        <v>17416</v>
      </c>
      <c r="HI263" s="214" t="s">
        <v>34558</v>
      </c>
      <c r="HJ263" s="214" t="s">
        <v>70</v>
      </c>
      <c r="HK263" s="214" t="s">
        <v>530</v>
      </c>
      <c r="HM263" s="214" t="s">
        <v>17417</v>
      </c>
      <c r="HN263" s="214" t="s">
        <v>34567</v>
      </c>
      <c r="HO263" s="214" t="s">
        <v>70</v>
      </c>
      <c r="HP263" s="214" t="s">
        <v>530</v>
      </c>
      <c r="HR263" s="22" t="s">
        <v>17418</v>
      </c>
      <c r="HS263" s="22" t="s">
        <v>501</v>
      </c>
      <c r="HT263" s="22" t="s">
        <v>70</v>
      </c>
      <c r="HU263" s="214" t="s">
        <v>530</v>
      </c>
      <c r="HW263" s="22" t="s">
        <v>17419</v>
      </c>
      <c r="HX263" s="22" t="s">
        <v>485</v>
      </c>
      <c r="HY263" s="22" t="s">
        <v>70</v>
      </c>
      <c r="HZ263" s="214" t="s">
        <v>530</v>
      </c>
      <c r="IB263" s="22" t="s">
        <v>17420</v>
      </c>
      <c r="IC263" s="22" t="s">
        <v>34542</v>
      </c>
      <c r="ID263" s="22" t="s">
        <v>70</v>
      </c>
      <c r="IE263" s="214" t="s">
        <v>530</v>
      </c>
      <c r="IG263" s="22" t="s">
        <v>17421</v>
      </c>
      <c r="IH263" s="22" t="s">
        <v>52</v>
      </c>
      <c r="II263" s="22" t="s">
        <v>70</v>
      </c>
      <c r="IJ263" s="214" t="s">
        <v>530</v>
      </c>
      <c r="IL263" s="22" t="s">
        <v>17422</v>
      </c>
      <c r="IM263" s="22" t="s">
        <v>145</v>
      </c>
      <c r="IN263" s="22" t="s">
        <v>70</v>
      </c>
      <c r="IO263" s="214" t="s">
        <v>530</v>
      </c>
      <c r="IQ263" s="236" t="s">
        <v>17423</v>
      </c>
      <c r="IR263" s="236" t="s">
        <v>145</v>
      </c>
      <c r="IS263" s="236" t="s">
        <v>74</v>
      </c>
      <c r="IT263" s="236" t="s">
        <v>841</v>
      </c>
      <c r="IV263" s="236" t="s">
        <v>17424</v>
      </c>
      <c r="IW263" s="236" t="s">
        <v>145</v>
      </c>
      <c r="IX263" s="236" t="s">
        <v>74</v>
      </c>
      <c r="IY263" s="236" t="s">
        <v>841</v>
      </c>
      <c r="JA263" s="236" t="s">
        <v>17425</v>
      </c>
      <c r="JB263" s="236" t="s">
        <v>145</v>
      </c>
      <c r="JC263" s="236" t="s">
        <v>74</v>
      </c>
      <c r="JD263" s="236" t="s">
        <v>841</v>
      </c>
      <c r="JF263" s="236" t="s">
        <v>17426</v>
      </c>
      <c r="JG263" s="236" t="s">
        <v>145</v>
      </c>
      <c r="JH263" s="236" t="s">
        <v>74</v>
      </c>
      <c r="JI263" s="236" t="s">
        <v>841</v>
      </c>
      <c r="JK263" s="236" t="s">
        <v>17427</v>
      </c>
      <c r="JL263" s="236" t="s">
        <v>145</v>
      </c>
      <c r="JM263" s="236" t="s">
        <v>74</v>
      </c>
      <c r="JN263" s="236" t="s">
        <v>841</v>
      </c>
      <c r="JP263" s="236" t="s">
        <v>17428</v>
      </c>
      <c r="JQ263" s="236" t="s">
        <v>145</v>
      </c>
      <c r="JR263" s="236" t="s">
        <v>74</v>
      </c>
      <c r="JS263" s="236" t="s">
        <v>841</v>
      </c>
      <c r="JU263" s="294" t="s">
        <v>17429</v>
      </c>
      <c r="JV263" s="294" t="s">
        <v>52</v>
      </c>
      <c r="JW263" s="263" t="s">
        <v>70</v>
      </c>
      <c r="JX263" s="294" t="s">
        <v>1083</v>
      </c>
      <c r="JZ263" s="263" t="s">
        <v>17430</v>
      </c>
      <c r="KA263" s="263" t="s">
        <v>145</v>
      </c>
      <c r="KB263" s="263" t="s">
        <v>70</v>
      </c>
      <c r="KC263" s="263" t="s">
        <v>1083</v>
      </c>
      <c r="KE263" s="263" t="s">
        <v>17431</v>
      </c>
      <c r="KF263" s="263" t="s">
        <v>52</v>
      </c>
      <c r="KG263" s="263" t="s">
        <v>70</v>
      </c>
      <c r="KH263" s="263" t="s">
        <v>1083</v>
      </c>
      <c r="KJ263" s="263" t="s">
        <v>17432</v>
      </c>
      <c r="KK263" s="263" t="s">
        <v>52</v>
      </c>
      <c r="KL263" s="263" t="s">
        <v>74</v>
      </c>
      <c r="KM263" s="263" t="s">
        <v>34074</v>
      </c>
      <c r="KO263" s="214" t="s">
        <v>17433</v>
      </c>
      <c r="KP263" s="214" t="s">
        <v>145</v>
      </c>
      <c r="KQ263" s="214" t="s">
        <v>70</v>
      </c>
      <c r="KR263" s="214" t="s">
        <v>67</v>
      </c>
      <c r="KT263" s="22" t="s">
        <v>17434</v>
      </c>
      <c r="KU263" s="22" t="s">
        <v>145</v>
      </c>
      <c r="KV263" s="22" t="s">
        <v>70</v>
      </c>
      <c r="KW263" s="22" t="s">
        <v>67</v>
      </c>
      <c r="KY263" s="214" t="s">
        <v>17435</v>
      </c>
      <c r="KZ263" s="214" t="s">
        <v>52</v>
      </c>
      <c r="LA263" s="214" t="s">
        <v>74</v>
      </c>
      <c r="LB263" s="218" t="s">
        <v>34808</v>
      </c>
      <c r="LD263" s="22" t="s">
        <v>17436</v>
      </c>
      <c r="LE263" s="22" t="s">
        <v>145</v>
      </c>
      <c r="LF263" s="22" t="s">
        <v>70</v>
      </c>
      <c r="LG263" s="22" t="s">
        <v>67</v>
      </c>
    </row>
    <row r="264" spans="1:319">
      <c r="A264" s="23" t="s">
        <v>17437</v>
      </c>
      <c r="B264" s="22" t="s">
        <v>145</v>
      </c>
      <c r="C264" s="22" t="s">
        <v>70</v>
      </c>
      <c r="D264" s="22" t="s">
        <v>67</v>
      </c>
      <c r="F264" s="99" t="s">
        <v>17438</v>
      </c>
      <c r="G264" s="22" t="s">
        <v>145</v>
      </c>
      <c r="H264" s="22" t="s">
        <v>70</v>
      </c>
      <c r="I264" s="22" t="s">
        <v>67</v>
      </c>
      <c r="K264" s="22" t="s">
        <v>17439</v>
      </c>
      <c r="L264" s="22" t="s">
        <v>145</v>
      </c>
      <c r="M264" s="22" t="s">
        <v>70</v>
      </c>
      <c r="N264" s="22" t="s">
        <v>67</v>
      </c>
      <c r="P264" s="218" t="s">
        <v>17440</v>
      </c>
      <c r="Q264" s="218" t="s">
        <v>52</v>
      </c>
      <c r="R264" s="218" t="s">
        <v>75</v>
      </c>
      <c r="S264" s="218" t="s">
        <v>34525</v>
      </c>
      <c r="U264" s="293" t="s">
        <v>17441</v>
      </c>
      <c r="V264" s="293" t="s">
        <v>145</v>
      </c>
      <c r="W264" s="293" t="s">
        <v>74</v>
      </c>
      <c r="X264" s="293" t="s">
        <v>656</v>
      </c>
      <c r="Z264" s="293" t="s">
        <v>17442</v>
      </c>
      <c r="AA264" s="293" t="s">
        <v>145</v>
      </c>
      <c r="AB264" s="293" t="s">
        <v>74</v>
      </c>
      <c r="AC264" s="293" t="s">
        <v>656</v>
      </c>
      <c r="AE264" s="293" t="s">
        <v>17443</v>
      </c>
      <c r="AF264" s="293" t="s">
        <v>145</v>
      </c>
      <c r="AG264" s="293" t="s">
        <v>74</v>
      </c>
      <c r="AH264" s="293" t="s">
        <v>656</v>
      </c>
      <c r="AJ264" s="293" t="s">
        <v>17444</v>
      </c>
      <c r="AK264" s="293" t="s">
        <v>145</v>
      </c>
      <c r="AL264" s="293" t="s">
        <v>74</v>
      </c>
      <c r="AM264" s="293" t="s">
        <v>656</v>
      </c>
      <c r="AO264" s="22" t="s">
        <v>17445</v>
      </c>
      <c r="AP264" s="22" t="s">
        <v>145</v>
      </c>
      <c r="AQ264" s="22" t="s">
        <v>70</v>
      </c>
      <c r="AR264" s="22" t="s">
        <v>67</v>
      </c>
      <c r="AT264" s="22" t="s">
        <v>17446</v>
      </c>
      <c r="AU264" s="22" t="s">
        <v>145</v>
      </c>
      <c r="AV264" s="22" t="s">
        <v>70</v>
      </c>
      <c r="AW264" s="22" t="s">
        <v>67</v>
      </c>
      <c r="AY264" s="22" t="s">
        <v>17447</v>
      </c>
      <c r="AZ264" s="22" t="s">
        <v>145</v>
      </c>
      <c r="BA264" s="22" t="s">
        <v>70</v>
      </c>
      <c r="BB264" s="22" t="s">
        <v>67</v>
      </c>
      <c r="BD264" s="22" t="s">
        <v>17448</v>
      </c>
      <c r="BE264" s="22" t="s">
        <v>145</v>
      </c>
      <c r="BF264" s="22" t="s">
        <v>70</v>
      </c>
      <c r="BG264" s="22" t="s">
        <v>67</v>
      </c>
      <c r="BI264" s="22" t="s">
        <v>17449</v>
      </c>
      <c r="BJ264" s="22" t="s">
        <v>145</v>
      </c>
      <c r="BK264" s="22" t="s">
        <v>70</v>
      </c>
      <c r="BL264" s="22" t="s">
        <v>67</v>
      </c>
      <c r="BN264" s="22" t="s">
        <v>17450</v>
      </c>
      <c r="BO264" s="22" t="s">
        <v>145</v>
      </c>
      <c r="BP264" s="22" t="s">
        <v>70</v>
      </c>
      <c r="BQ264" s="22" t="s">
        <v>67</v>
      </c>
      <c r="BS264" s="22" t="s">
        <v>17451</v>
      </c>
      <c r="BT264" s="22" t="s">
        <v>145</v>
      </c>
      <c r="BU264" s="22" t="s">
        <v>70</v>
      </c>
      <c r="BV264" s="214" t="s">
        <v>530</v>
      </c>
      <c r="BX264" s="22" t="s">
        <v>17452</v>
      </c>
      <c r="BY264" s="22" t="s">
        <v>145</v>
      </c>
      <c r="BZ264" s="22" t="s">
        <v>70</v>
      </c>
      <c r="CA264" s="214" t="s">
        <v>530</v>
      </c>
      <c r="CC264" s="214" t="s">
        <v>17453</v>
      </c>
      <c r="CD264" s="218" t="s">
        <v>145</v>
      </c>
      <c r="CE264" s="214" t="s">
        <v>70</v>
      </c>
      <c r="CF264" s="214" t="s">
        <v>717</v>
      </c>
      <c r="CH264" s="214" t="s">
        <v>17454</v>
      </c>
      <c r="CI264" s="214" t="s">
        <v>286</v>
      </c>
      <c r="CJ264" s="214" t="s">
        <v>70</v>
      </c>
      <c r="CK264" s="214" t="s">
        <v>530</v>
      </c>
      <c r="CM264" s="214" t="s">
        <v>17455</v>
      </c>
      <c r="CN264" s="214" t="s">
        <v>468</v>
      </c>
      <c r="CO264" s="214" t="s">
        <v>70</v>
      </c>
      <c r="CP264" s="214" t="s">
        <v>530</v>
      </c>
      <c r="CR264" s="214" t="s">
        <v>17456</v>
      </c>
      <c r="CS264" s="214" t="s">
        <v>286</v>
      </c>
      <c r="CT264" s="214" t="s">
        <v>70</v>
      </c>
      <c r="CU264" s="214" t="s">
        <v>530</v>
      </c>
      <c r="CW264" s="214" t="s">
        <v>17457</v>
      </c>
      <c r="CX264" s="214" t="s">
        <v>935</v>
      </c>
      <c r="CY264" s="214" t="s">
        <v>70</v>
      </c>
      <c r="CZ264" s="214" t="s">
        <v>530</v>
      </c>
      <c r="DB264" s="214" t="s">
        <v>17458</v>
      </c>
      <c r="DC264" s="214" t="s">
        <v>86</v>
      </c>
      <c r="DD264" s="214" t="s">
        <v>70</v>
      </c>
      <c r="DE264" s="214" t="s">
        <v>530</v>
      </c>
      <c r="DG264" s="214" t="s">
        <v>17459</v>
      </c>
      <c r="DH264" s="214" t="s">
        <v>148</v>
      </c>
      <c r="DI264" s="214" t="s">
        <v>70</v>
      </c>
      <c r="DJ264" s="214" t="s">
        <v>530</v>
      </c>
      <c r="DL264" s="214" t="s">
        <v>17460</v>
      </c>
      <c r="DM264" s="214" t="s">
        <v>34636</v>
      </c>
      <c r="DN264" s="214" t="s">
        <v>70</v>
      </c>
      <c r="DO264" s="214" t="s">
        <v>530</v>
      </c>
      <c r="DQ264" s="214" t="s">
        <v>17461</v>
      </c>
      <c r="DR264" s="214" t="s">
        <v>34551</v>
      </c>
      <c r="DS264" s="214" t="s">
        <v>70</v>
      </c>
      <c r="DT264" s="214" t="s">
        <v>530</v>
      </c>
      <c r="DV264" s="214" t="s">
        <v>17462</v>
      </c>
      <c r="DW264" s="214" t="s">
        <v>937</v>
      </c>
      <c r="DX264" s="214" t="s">
        <v>70</v>
      </c>
      <c r="DY264" s="214" t="s">
        <v>530</v>
      </c>
      <c r="EA264" s="214" t="s">
        <v>17463</v>
      </c>
      <c r="EB264" s="214" t="s">
        <v>655</v>
      </c>
      <c r="EC264" s="214" t="s">
        <v>70</v>
      </c>
      <c r="ED264" s="214" t="s">
        <v>530</v>
      </c>
      <c r="EF264" s="214" t="s">
        <v>17464</v>
      </c>
      <c r="EG264" s="214" t="s">
        <v>145</v>
      </c>
      <c r="EH264" s="214" t="s">
        <v>70</v>
      </c>
      <c r="EI264" s="214" t="s">
        <v>530</v>
      </c>
      <c r="EK264" s="214" t="s">
        <v>17465</v>
      </c>
      <c r="EL264" s="214" t="s">
        <v>52</v>
      </c>
      <c r="EM264" s="214" t="s">
        <v>70</v>
      </c>
      <c r="EN264" s="214" t="s">
        <v>530</v>
      </c>
      <c r="EP264" s="214" t="s">
        <v>17466</v>
      </c>
      <c r="EQ264" s="214" t="s">
        <v>87</v>
      </c>
      <c r="ER264" s="214" t="s">
        <v>70</v>
      </c>
      <c r="ES264" s="214" t="s">
        <v>530</v>
      </c>
      <c r="EU264" s="214" t="s">
        <v>17467</v>
      </c>
      <c r="EV264" s="214" t="s">
        <v>501</v>
      </c>
      <c r="EW264" s="214" t="s">
        <v>70</v>
      </c>
      <c r="EX264" s="214" t="s">
        <v>530</v>
      </c>
      <c r="EZ264" s="214" t="s">
        <v>17468</v>
      </c>
      <c r="FA264" s="214" t="s">
        <v>146</v>
      </c>
      <c r="FB264" s="214" t="s">
        <v>70</v>
      </c>
      <c r="FC264" s="214" t="s">
        <v>530</v>
      </c>
      <c r="FE264" s="214" t="s">
        <v>17469</v>
      </c>
      <c r="FF264" s="214" t="s">
        <v>52</v>
      </c>
      <c r="FG264" s="214" t="s">
        <v>70</v>
      </c>
      <c r="FH264" s="214" t="s">
        <v>530</v>
      </c>
      <c r="FJ264" s="321" t="s">
        <v>17470</v>
      </c>
      <c r="FK264" s="214" t="s">
        <v>148</v>
      </c>
      <c r="FL264" s="214" t="s">
        <v>70</v>
      </c>
      <c r="FM264" s="214" t="s">
        <v>530</v>
      </c>
      <c r="FO264" s="321" t="s">
        <v>17471</v>
      </c>
      <c r="FP264" s="214" t="s">
        <v>655</v>
      </c>
      <c r="FQ264" s="214" t="s">
        <v>70</v>
      </c>
      <c r="FR264" s="214" t="s">
        <v>530</v>
      </c>
      <c r="FT264" s="321" t="s">
        <v>17472</v>
      </c>
      <c r="FU264" s="214" t="s">
        <v>502</v>
      </c>
      <c r="FV264" s="214" t="s">
        <v>70</v>
      </c>
      <c r="FW264" s="214" t="s">
        <v>530</v>
      </c>
      <c r="FY264" s="321" t="s">
        <v>17473</v>
      </c>
      <c r="FZ264" s="214" t="s">
        <v>52</v>
      </c>
      <c r="GA264" s="214" t="s">
        <v>70</v>
      </c>
      <c r="GB264" s="214" t="s">
        <v>530</v>
      </c>
      <c r="GD264" s="321" t="s">
        <v>17474</v>
      </c>
      <c r="GE264" s="214" t="s">
        <v>34587</v>
      </c>
      <c r="GF264" s="214" t="s">
        <v>70</v>
      </c>
      <c r="GG264" s="214" t="s">
        <v>530</v>
      </c>
      <c r="GI264" s="321" t="s">
        <v>17475</v>
      </c>
      <c r="GJ264" s="214" t="s">
        <v>88</v>
      </c>
      <c r="GK264" s="214" t="s">
        <v>70</v>
      </c>
      <c r="GL264" s="214" t="s">
        <v>530</v>
      </c>
      <c r="GN264" s="321" t="s">
        <v>17476</v>
      </c>
      <c r="GO264" s="214" t="s">
        <v>52</v>
      </c>
      <c r="GP264" s="214" t="s">
        <v>70</v>
      </c>
      <c r="GQ264" s="214" t="s">
        <v>530</v>
      </c>
      <c r="GS264" s="321" t="s">
        <v>17477</v>
      </c>
      <c r="GT264" s="214" t="s">
        <v>603</v>
      </c>
      <c r="GU264" s="214" t="s">
        <v>70</v>
      </c>
      <c r="GV264" s="214" t="s">
        <v>530</v>
      </c>
      <c r="GX264" s="214" t="s">
        <v>17478</v>
      </c>
      <c r="GY264" s="214" t="s">
        <v>518</v>
      </c>
      <c r="GZ264" s="214" t="s">
        <v>70</v>
      </c>
      <c r="HA264" s="214" t="s">
        <v>530</v>
      </c>
      <c r="HC264" s="214" t="s">
        <v>17479</v>
      </c>
      <c r="HD264" s="214" t="s">
        <v>34652</v>
      </c>
      <c r="HE264" s="214" t="s">
        <v>70</v>
      </c>
      <c r="HF264" s="214" t="s">
        <v>530</v>
      </c>
      <c r="HH264" s="214" t="s">
        <v>17480</v>
      </c>
      <c r="HI264" s="214" t="s">
        <v>90</v>
      </c>
      <c r="HJ264" s="214" t="s">
        <v>70</v>
      </c>
      <c r="HK264" s="214" t="s">
        <v>530</v>
      </c>
      <c r="HM264" s="214" t="s">
        <v>17481</v>
      </c>
      <c r="HN264" s="214" t="s">
        <v>164</v>
      </c>
      <c r="HO264" s="214" t="s">
        <v>70</v>
      </c>
      <c r="HP264" s="214" t="s">
        <v>530</v>
      </c>
      <c r="HR264" s="22" t="s">
        <v>17482</v>
      </c>
      <c r="HS264" s="22" t="s">
        <v>148</v>
      </c>
      <c r="HT264" s="22" t="s">
        <v>70</v>
      </c>
      <c r="HU264" s="214" t="s">
        <v>530</v>
      </c>
      <c r="HW264" s="22" t="s">
        <v>17483</v>
      </c>
      <c r="HX264" s="22" t="s">
        <v>148</v>
      </c>
      <c r="HY264" s="22" t="s">
        <v>70</v>
      </c>
      <c r="HZ264" s="214" t="s">
        <v>530</v>
      </c>
      <c r="IB264" s="22" t="s">
        <v>17484</v>
      </c>
      <c r="IC264" s="22" t="s">
        <v>495</v>
      </c>
      <c r="ID264" s="22" t="s">
        <v>70</v>
      </c>
      <c r="IE264" s="214" t="s">
        <v>530</v>
      </c>
      <c r="IG264" s="22" t="s">
        <v>17485</v>
      </c>
      <c r="IH264" s="22" t="s">
        <v>52</v>
      </c>
      <c r="II264" s="22" t="s">
        <v>70</v>
      </c>
      <c r="IJ264" s="214" t="s">
        <v>530</v>
      </c>
      <c r="IL264" s="22" t="s">
        <v>17486</v>
      </c>
      <c r="IM264" s="22" t="s">
        <v>145</v>
      </c>
      <c r="IN264" s="22" t="s">
        <v>70</v>
      </c>
      <c r="IO264" s="214" t="s">
        <v>530</v>
      </c>
      <c r="IQ264" s="236" t="s">
        <v>17487</v>
      </c>
      <c r="IR264" s="236" t="s">
        <v>145</v>
      </c>
      <c r="IS264" s="236" t="s">
        <v>74</v>
      </c>
      <c r="IT264" s="236" t="s">
        <v>841</v>
      </c>
      <c r="IV264" s="236" t="s">
        <v>17488</v>
      </c>
      <c r="IW264" s="236" t="s">
        <v>145</v>
      </c>
      <c r="IX264" s="236" t="s">
        <v>74</v>
      </c>
      <c r="IY264" s="236" t="s">
        <v>841</v>
      </c>
      <c r="JA264" s="236" t="s">
        <v>17489</v>
      </c>
      <c r="JB264" s="236" t="s">
        <v>145</v>
      </c>
      <c r="JC264" s="236" t="s">
        <v>74</v>
      </c>
      <c r="JD264" s="236" t="s">
        <v>841</v>
      </c>
      <c r="JF264" s="236" t="s">
        <v>17490</v>
      </c>
      <c r="JG264" s="236" t="s">
        <v>145</v>
      </c>
      <c r="JH264" s="236" t="s">
        <v>74</v>
      </c>
      <c r="JI264" s="236" t="s">
        <v>841</v>
      </c>
      <c r="JK264" s="236" t="s">
        <v>17491</v>
      </c>
      <c r="JL264" s="236" t="s">
        <v>145</v>
      </c>
      <c r="JM264" s="236" t="s">
        <v>74</v>
      </c>
      <c r="JN264" s="236" t="s">
        <v>841</v>
      </c>
      <c r="JP264" s="236" t="s">
        <v>17492</v>
      </c>
      <c r="JQ264" s="236" t="s">
        <v>145</v>
      </c>
      <c r="JR264" s="236" t="s">
        <v>74</v>
      </c>
      <c r="JS264" s="236" t="s">
        <v>841</v>
      </c>
      <c r="JU264" s="294" t="s">
        <v>17493</v>
      </c>
      <c r="JV264" s="294" t="s">
        <v>52</v>
      </c>
      <c r="JW264" s="263" t="s">
        <v>70</v>
      </c>
      <c r="JX264" s="294" t="s">
        <v>1083</v>
      </c>
      <c r="JZ264" s="263" t="s">
        <v>17494</v>
      </c>
      <c r="KA264" s="263" t="s">
        <v>145</v>
      </c>
      <c r="KB264" s="263" t="s">
        <v>70</v>
      </c>
      <c r="KC264" s="263" t="s">
        <v>1083</v>
      </c>
      <c r="KE264" s="263" t="s">
        <v>17495</v>
      </c>
      <c r="KF264" s="263" t="s">
        <v>52</v>
      </c>
      <c r="KG264" s="263" t="s">
        <v>70</v>
      </c>
      <c r="KH264" s="263" t="s">
        <v>1083</v>
      </c>
      <c r="KJ264" s="263" t="s">
        <v>17496</v>
      </c>
      <c r="KK264" s="263" t="s">
        <v>52</v>
      </c>
      <c r="KL264" s="263" t="s">
        <v>74</v>
      </c>
      <c r="KM264" s="263" t="s">
        <v>34074</v>
      </c>
      <c r="KO264" s="214" t="s">
        <v>17497</v>
      </c>
      <c r="KP264" s="214" t="s">
        <v>145</v>
      </c>
      <c r="KQ264" s="214" t="s">
        <v>70</v>
      </c>
      <c r="KR264" s="214" t="s">
        <v>67</v>
      </c>
      <c r="KT264" s="22" t="s">
        <v>17498</v>
      </c>
      <c r="KU264" s="22" t="s">
        <v>145</v>
      </c>
      <c r="KV264" s="22" t="s">
        <v>70</v>
      </c>
      <c r="KW264" s="22" t="s">
        <v>67</v>
      </c>
      <c r="KY264" s="214" t="s">
        <v>17499</v>
      </c>
      <c r="KZ264" s="218" t="s">
        <v>164</v>
      </c>
      <c r="LA264" s="214" t="s">
        <v>74</v>
      </c>
      <c r="LB264" s="214" t="s">
        <v>1017</v>
      </c>
      <c r="LD264" s="22" t="s">
        <v>17500</v>
      </c>
      <c r="LE264" s="22" t="s">
        <v>145</v>
      </c>
      <c r="LF264" s="22" t="s">
        <v>70</v>
      </c>
      <c r="LG264" s="22" t="s">
        <v>67</v>
      </c>
    </row>
    <row r="265" spans="1:319">
      <c r="A265" s="23" t="s">
        <v>17501</v>
      </c>
      <c r="B265" s="22" t="s">
        <v>145</v>
      </c>
      <c r="C265" s="22" t="s">
        <v>70</v>
      </c>
      <c r="D265" s="22" t="s">
        <v>67</v>
      </c>
      <c r="F265" s="99" t="s">
        <v>17502</v>
      </c>
      <c r="G265" s="22" t="s">
        <v>145</v>
      </c>
      <c r="H265" s="22" t="s">
        <v>70</v>
      </c>
      <c r="I265" s="22" t="s">
        <v>67</v>
      </c>
      <c r="K265" s="22" t="s">
        <v>17503</v>
      </c>
      <c r="L265" s="22" t="s">
        <v>145</v>
      </c>
      <c r="M265" s="22" t="s">
        <v>70</v>
      </c>
      <c r="N265" s="22" t="s">
        <v>67</v>
      </c>
      <c r="P265" s="218" t="s">
        <v>17504</v>
      </c>
      <c r="Q265" s="218" t="s">
        <v>52</v>
      </c>
      <c r="R265" s="218" t="s">
        <v>75</v>
      </c>
      <c r="S265" s="218" t="s">
        <v>34526</v>
      </c>
      <c r="U265" s="293" t="s">
        <v>17505</v>
      </c>
      <c r="V265" s="293" t="s">
        <v>145</v>
      </c>
      <c r="W265" s="293" t="s">
        <v>74</v>
      </c>
      <c r="X265" s="293" t="s">
        <v>656</v>
      </c>
      <c r="Z265" s="293" t="s">
        <v>17506</v>
      </c>
      <c r="AA265" s="293" t="s">
        <v>145</v>
      </c>
      <c r="AB265" s="293" t="s">
        <v>74</v>
      </c>
      <c r="AC265" s="293" t="s">
        <v>656</v>
      </c>
      <c r="AE265" s="293" t="s">
        <v>17507</v>
      </c>
      <c r="AF265" s="293" t="s">
        <v>145</v>
      </c>
      <c r="AG265" s="293" t="s">
        <v>74</v>
      </c>
      <c r="AH265" s="293" t="s">
        <v>656</v>
      </c>
      <c r="AJ265" s="293" t="s">
        <v>17508</v>
      </c>
      <c r="AK265" s="293" t="s">
        <v>145</v>
      </c>
      <c r="AL265" s="293" t="s">
        <v>74</v>
      </c>
      <c r="AM265" s="293" t="s">
        <v>656</v>
      </c>
      <c r="AO265" s="22" t="s">
        <v>17509</v>
      </c>
      <c r="AP265" s="22" t="s">
        <v>145</v>
      </c>
      <c r="AQ265" s="22" t="s">
        <v>70</v>
      </c>
      <c r="AR265" s="22" t="s">
        <v>67</v>
      </c>
      <c r="AT265" s="22" t="s">
        <v>17510</v>
      </c>
      <c r="AU265" s="22" t="s">
        <v>145</v>
      </c>
      <c r="AV265" s="22" t="s">
        <v>70</v>
      </c>
      <c r="AW265" s="22" t="s">
        <v>67</v>
      </c>
      <c r="AY265" s="22" t="s">
        <v>17511</v>
      </c>
      <c r="AZ265" s="22" t="s">
        <v>145</v>
      </c>
      <c r="BA265" s="22" t="s">
        <v>70</v>
      </c>
      <c r="BB265" s="22" t="s">
        <v>67</v>
      </c>
      <c r="BD265" s="22" t="s">
        <v>17512</v>
      </c>
      <c r="BE265" s="22" t="s">
        <v>145</v>
      </c>
      <c r="BF265" s="22" t="s">
        <v>70</v>
      </c>
      <c r="BG265" s="22" t="s">
        <v>67</v>
      </c>
      <c r="BI265" s="22" t="s">
        <v>17513</v>
      </c>
      <c r="BJ265" s="22" t="s">
        <v>145</v>
      </c>
      <c r="BK265" s="22" t="s">
        <v>70</v>
      </c>
      <c r="BL265" s="22" t="s">
        <v>67</v>
      </c>
      <c r="BN265" s="22" t="s">
        <v>17514</v>
      </c>
      <c r="BO265" s="22" t="s">
        <v>145</v>
      </c>
      <c r="BP265" s="22" t="s">
        <v>70</v>
      </c>
      <c r="BQ265" s="22" t="s">
        <v>67</v>
      </c>
      <c r="BS265" s="22" t="s">
        <v>17515</v>
      </c>
      <c r="BT265" s="22" t="s">
        <v>145</v>
      </c>
      <c r="BU265" s="22" t="s">
        <v>70</v>
      </c>
      <c r="BV265" s="214" t="s">
        <v>530</v>
      </c>
      <c r="BX265" s="22" t="s">
        <v>17516</v>
      </c>
      <c r="BY265" s="22" t="s">
        <v>145</v>
      </c>
      <c r="BZ265" s="22" t="s">
        <v>70</v>
      </c>
      <c r="CA265" s="214" t="s">
        <v>530</v>
      </c>
      <c r="CC265" s="214" t="s">
        <v>17517</v>
      </c>
      <c r="CD265" s="218" t="s">
        <v>145</v>
      </c>
      <c r="CE265" s="214" t="s">
        <v>70</v>
      </c>
      <c r="CF265" s="214" t="s">
        <v>718</v>
      </c>
      <c r="CH265" s="214" t="s">
        <v>17518</v>
      </c>
      <c r="CI265" s="214" t="s">
        <v>89</v>
      </c>
      <c r="CJ265" s="214" t="s">
        <v>70</v>
      </c>
      <c r="CK265" s="214" t="s">
        <v>530</v>
      </c>
      <c r="CM265" s="214" t="s">
        <v>17519</v>
      </c>
      <c r="CN265" s="214" t="s">
        <v>484</v>
      </c>
      <c r="CO265" s="214" t="s">
        <v>70</v>
      </c>
      <c r="CP265" s="214" t="s">
        <v>530</v>
      </c>
      <c r="CR265" s="214" t="s">
        <v>17520</v>
      </c>
      <c r="CS265" s="214" t="s">
        <v>518</v>
      </c>
      <c r="CT265" s="214" t="s">
        <v>70</v>
      </c>
      <c r="CU265" s="214" t="s">
        <v>530</v>
      </c>
      <c r="CW265" s="214" t="s">
        <v>17521</v>
      </c>
      <c r="CX265" s="214" t="s">
        <v>488</v>
      </c>
      <c r="CY265" s="214" t="s">
        <v>70</v>
      </c>
      <c r="CZ265" s="214" t="s">
        <v>530</v>
      </c>
      <c r="DB265" s="214" t="s">
        <v>17522</v>
      </c>
      <c r="DC265" s="214" t="s">
        <v>52</v>
      </c>
      <c r="DD265" s="214" t="s">
        <v>70</v>
      </c>
      <c r="DE265" s="214" t="s">
        <v>530</v>
      </c>
      <c r="DG265" s="214" t="s">
        <v>17523</v>
      </c>
      <c r="DH265" s="214" t="s">
        <v>951</v>
      </c>
      <c r="DI265" s="214" t="s">
        <v>70</v>
      </c>
      <c r="DJ265" s="214" t="s">
        <v>530</v>
      </c>
      <c r="DL265" s="214" t="s">
        <v>17524</v>
      </c>
      <c r="DM265" s="214" t="s">
        <v>85</v>
      </c>
      <c r="DN265" s="214" t="s">
        <v>70</v>
      </c>
      <c r="DO265" s="214" t="s">
        <v>530</v>
      </c>
      <c r="DQ265" s="214" t="s">
        <v>17525</v>
      </c>
      <c r="DR265" s="214" t="s">
        <v>34555</v>
      </c>
      <c r="DS265" s="214" t="s">
        <v>70</v>
      </c>
      <c r="DT265" s="214" t="s">
        <v>530</v>
      </c>
      <c r="DV265" s="214" t="s">
        <v>17526</v>
      </c>
      <c r="DW265" s="214" t="s">
        <v>488</v>
      </c>
      <c r="DX265" s="214" t="s">
        <v>70</v>
      </c>
      <c r="DY265" s="214" t="s">
        <v>530</v>
      </c>
      <c r="EA265" s="214" t="s">
        <v>17527</v>
      </c>
      <c r="EB265" s="214" t="s">
        <v>34556</v>
      </c>
      <c r="EC265" s="214" t="s">
        <v>70</v>
      </c>
      <c r="ED265" s="214" t="s">
        <v>530</v>
      </c>
      <c r="EF265" s="214" t="s">
        <v>17528</v>
      </c>
      <c r="EG265" s="214" t="s">
        <v>34541</v>
      </c>
      <c r="EH265" s="214" t="s">
        <v>70</v>
      </c>
      <c r="EI265" s="214" t="s">
        <v>530</v>
      </c>
      <c r="EK265" s="214" t="s">
        <v>17529</v>
      </c>
      <c r="EL265" s="214" t="s">
        <v>52</v>
      </c>
      <c r="EM265" s="214" t="s">
        <v>70</v>
      </c>
      <c r="EN265" s="214" t="s">
        <v>530</v>
      </c>
      <c r="EP265" s="214" t="s">
        <v>17530</v>
      </c>
      <c r="EQ265" s="214" t="s">
        <v>919</v>
      </c>
      <c r="ER265" s="214" t="s">
        <v>70</v>
      </c>
      <c r="ES265" s="214" t="s">
        <v>530</v>
      </c>
      <c r="EU265" s="214" t="s">
        <v>17531</v>
      </c>
      <c r="EV265" s="214" t="s">
        <v>163</v>
      </c>
      <c r="EW265" s="214" t="s">
        <v>70</v>
      </c>
      <c r="EX265" s="214" t="s">
        <v>530</v>
      </c>
      <c r="EZ265" s="214" t="s">
        <v>17532</v>
      </c>
      <c r="FA265" s="214" t="s">
        <v>88</v>
      </c>
      <c r="FB265" s="214" t="s">
        <v>70</v>
      </c>
      <c r="FC265" s="214" t="s">
        <v>530</v>
      </c>
      <c r="FE265" s="214" t="s">
        <v>17533</v>
      </c>
      <c r="FF265" s="214" t="s">
        <v>485</v>
      </c>
      <c r="FG265" s="214" t="s">
        <v>70</v>
      </c>
      <c r="FH265" s="214" t="s">
        <v>530</v>
      </c>
      <c r="FJ265" s="321" t="s">
        <v>17534</v>
      </c>
      <c r="FK265" s="214" t="s">
        <v>956</v>
      </c>
      <c r="FL265" s="214" t="s">
        <v>70</v>
      </c>
      <c r="FM265" s="214" t="s">
        <v>530</v>
      </c>
      <c r="FO265" s="321" t="s">
        <v>17535</v>
      </c>
      <c r="FP265" s="214" t="s">
        <v>34564</v>
      </c>
      <c r="FQ265" s="214" t="s">
        <v>70</v>
      </c>
      <c r="FR265" s="214" t="s">
        <v>530</v>
      </c>
      <c r="FT265" s="321" t="s">
        <v>17536</v>
      </c>
      <c r="FU265" s="214" t="s">
        <v>52</v>
      </c>
      <c r="FV265" s="214" t="s">
        <v>70</v>
      </c>
      <c r="FW265" s="214" t="s">
        <v>530</v>
      </c>
      <c r="FY265" s="321" t="s">
        <v>17537</v>
      </c>
      <c r="FZ265" s="214" t="s">
        <v>52</v>
      </c>
      <c r="GA265" s="214" t="s">
        <v>70</v>
      </c>
      <c r="GB265" s="214" t="s">
        <v>530</v>
      </c>
      <c r="GD265" s="321" t="s">
        <v>17538</v>
      </c>
      <c r="GE265" s="214" t="s">
        <v>34556</v>
      </c>
      <c r="GF265" s="214" t="s">
        <v>70</v>
      </c>
      <c r="GG265" s="214" t="s">
        <v>530</v>
      </c>
      <c r="GI265" s="321" t="s">
        <v>17539</v>
      </c>
      <c r="GJ265" s="214" t="s">
        <v>921</v>
      </c>
      <c r="GK265" s="214" t="s">
        <v>70</v>
      </c>
      <c r="GL265" s="214" t="s">
        <v>530</v>
      </c>
      <c r="GN265" s="321" t="s">
        <v>17540</v>
      </c>
      <c r="GO265" s="214" t="s">
        <v>92</v>
      </c>
      <c r="GP265" s="214" t="s">
        <v>70</v>
      </c>
      <c r="GQ265" s="214" t="s">
        <v>530</v>
      </c>
      <c r="GS265" s="321" t="s">
        <v>17541</v>
      </c>
      <c r="GT265" s="214" t="s">
        <v>491</v>
      </c>
      <c r="GU265" s="214" t="s">
        <v>70</v>
      </c>
      <c r="GV265" s="214" t="s">
        <v>530</v>
      </c>
      <c r="GX265" s="214" t="s">
        <v>17542</v>
      </c>
      <c r="GY265" s="214" t="s">
        <v>488</v>
      </c>
      <c r="GZ265" s="214" t="s">
        <v>70</v>
      </c>
      <c r="HA265" s="214" t="s">
        <v>530</v>
      </c>
      <c r="HC265" s="214" t="s">
        <v>17543</v>
      </c>
      <c r="HD265" s="214" t="s">
        <v>488</v>
      </c>
      <c r="HE265" s="214" t="s">
        <v>70</v>
      </c>
      <c r="HF265" s="214" t="s">
        <v>530</v>
      </c>
      <c r="HH265" s="214" t="s">
        <v>17544</v>
      </c>
      <c r="HI265" s="214" t="s">
        <v>502</v>
      </c>
      <c r="HJ265" s="214" t="s">
        <v>70</v>
      </c>
      <c r="HK265" s="214" t="s">
        <v>530</v>
      </c>
      <c r="HM265" s="214" t="s">
        <v>17545</v>
      </c>
      <c r="HN265" s="214" t="s">
        <v>955</v>
      </c>
      <c r="HO265" s="214" t="s">
        <v>70</v>
      </c>
      <c r="HP265" s="214" t="s">
        <v>530</v>
      </c>
      <c r="HR265" s="22" t="s">
        <v>17546</v>
      </c>
      <c r="HS265" s="22" t="s">
        <v>34544</v>
      </c>
      <c r="HT265" s="22" t="s">
        <v>70</v>
      </c>
      <c r="HU265" s="214" t="s">
        <v>530</v>
      </c>
      <c r="HW265" s="22" t="s">
        <v>17547</v>
      </c>
      <c r="HX265" s="22" t="s">
        <v>34542</v>
      </c>
      <c r="HY265" s="22" t="s">
        <v>70</v>
      </c>
      <c r="HZ265" s="214" t="s">
        <v>530</v>
      </c>
      <c r="IB265" s="22" t="s">
        <v>17548</v>
      </c>
      <c r="IC265" s="22" t="s">
        <v>484</v>
      </c>
      <c r="ID265" s="22" t="s">
        <v>70</v>
      </c>
      <c r="IE265" s="214" t="s">
        <v>530</v>
      </c>
      <c r="IG265" s="22" t="s">
        <v>17549</v>
      </c>
      <c r="IH265" s="22" t="s">
        <v>52</v>
      </c>
      <c r="II265" s="22" t="s">
        <v>70</v>
      </c>
      <c r="IJ265" s="214" t="s">
        <v>530</v>
      </c>
      <c r="IL265" s="22" t="s">
        <v>17550</v>
      </c>
      <c r="IM265" s="22" t="s">
        <v>145</v>
      </c>
      <c r="IN265" s="22" t="s">
        <v>70</v>
      </c>
      <c r="IO265" s="214" t="s">
        <v>530</v>
      </c>
      <c r="IQ265" s="236" t="s">
        <v>17551</v>
      </c>
      <c r="IR265" s="236" t="s">
        <v>145</v>
      </c>
      <c r="IS265" s="236" t="s">
        <v>74</v>
      </c>
      <c r="IT265" s="236" t="s">
        <v>841</v>
      </c>
      <c r="IV265" s="236" t="s">
        <v>17552</v>
      </c>
      <c r="IW265" s="236" t="s">
        <v>145</v>
      </c>
      <c r="IX265" s="236" t="s">
        <v>74</v>
      </c>
      <c r="IY265" s="236" t="s">
        <v>841</v>
      </c>
      <c r="JA265" s="236" t="s">
        <v>17553</v>
      </c>
      <c r="JB265" s="236" t="s">
        <v>145</v>
      </c>
      <c r="JC265" s="236" t="s">
        <v>74</v>
      </c>
      <c r="JD265" s="236" t="s">
        <v>841</v>
      </c>
      <c r="JF265" s="236" t="s">
        <v>17554</v>
      </c>
      <c r="JG265" s="236" t="s">
        <v>145</v>
      </c>
      <c r="JH265" s="236" t="s">
        <v>74</v>
      </c>
      <c r="JI265" s="236" t="s">
        <v>841</v>
      </c>
      <c r="JK265" s="236" t="s">
        <v>17555</v>
      </c>
      <c r="JL265" s="236" t="s">
        <v>145</v>
      </c>
      <c r="JM265" s="236" t="s">
        <v>74</v>
      </c>
      <c r="JN265" s="236" t="s">
        <v>841</v>
      </c>
      <c r="JP265" s="236" t="s">
        <v>17556</v>
      </c>
      <c r="JQ265" s="236" t="s">
        <v>145</v>
      </c>
      <c r="JR265" s="236" t="s">
        <v>74</v>
      </c>
      <c r="JS265" s="236" t="s">
        <v>841</v>
      </c>
      <c r="JU265" s="294" t="s">
        <v>17557</v>
      </c>
      <c r="JV265" s="294" t="s">
        <v>52</v>
      </c>
      <c r="JW265" s="263" t="s">
        <v>70</v>
      </c>
      <c r="JX265" s="294" t="s">
        <v>1083</v>
      </c>
      <c r="JZ265" s="263" t="s">
        <v>17558</v>
      </c>
      <c r="KA265" s="263" t="s">
        <v>145</v>
      </c>
      <c r="KB265" s="263" t="s">
        <v>70</v>
      </c>
      <c r="KC265" s="263" t="s">
        <v>1083</v>
      </c>
      <c r="KE265" s="263" t="s">
        <v>17559</v>
      </c>
      <c r="KF265" s="263" t="s">
        <v>52</v>
      </c>
      <c r="KG265" s="263" t="s">
        <v>70</v>
      </c>
      <c r="KH265" s="263" t="s">
        <v>1083</v>
      </c>
      <c r="KJ265" s="263" t="s">
        <v>17560</v>
      </c>
      <c r="KK265" s="263" t="s">
        <v>52</v>
      </c>
      <c r="KL265" s="263" t="s">
        <v>74</v>
      </c>
      <c r="KM265" s="263" t="s">
        <v>34074</v>
      </c>
      <c r="KO265" s="214" t="s">
        <v>17561</v>
      </c>
      <c r="KP265" s="214" t="s">
        <v>145</v>
      </c>
      <c r="KQ265" s="214" t="s">
        <v>70</v>
      </c>
      <c r="KR265" s="214" t="s">
        <v>67</v>
      </c>
      <c r="KT265" s="22" t="s">
        <v>17562</v>
      </c>
      <c r="KU265" s="22" t="s">
        <v>145</v>
      </c>
      <c r="KV265" s="22" t="s">
        <v>70</v>
      </c>
      <c r="KW265" s="22" t="s">
        <v>67</v>
      </c>
      <c r="KY265" s="214" t="s">
        <v>17563</v>
      </c>
      <c r="KZ265" s="214" t="s">
        <v>52</v>
      </c>
      <c r="LA265" s="214" t="s">
        <v>74</v>
      </c>
      <c r="LB265" s="214" t="s">
        <v>1017</v>
      </c>
      <c r="LD265" s="22" t="s">
        <v>17564</v>
      </c>
      <c r="LE265" s="22" t="s">
        <v>145</v>
      </c>
      <c r="LF265" s="22" t="s">
        <v>70</v>
      </c>
      <c r="LG265" s="22" t="s">
        <v>67</v>
      </c>
    </row>
    <row r="266" spans="1:319">
      <c r="A266" s="23" t="s">
        <v>17565</v>
      </c>
      <c r="B266" s="22" t="s">
        <v>145</v>
      </c>
      <c r="C266" s="22" t="s">
        <v>70</v>
      </c>
      <c r="D266" s="22" t="s">
        <v>67</v>
      </c>
      <c r="F266" s="99" t="s">
        <v>17566</v>
      </c>
      <c r="G266" s="22" t="s">
        <v>145</v>
      </c>
      <c r="H266" s="22" t="s">
        <v>70</v>
      </c>
      <c r="I266" s="22" t="s">
        <v>67</v>
      </c>
      <c r="K266" s="22" t="s">
        <v>17567</v>
      </c>
      <c r="L266" s="22" t="s">
        <v>145</v>
      </c>
      <c r="M266" s="22" t="s">
        <v>70</v>
      </c>
      <c r="N266" s="22" t="s">
        <v>67</v>
      </c>
      <c r="P266" s="218" t="s">
        <v>17568</v>
      </c>
      <c r="Q266" s="218" t="s">
        <v>52</v>
      </c>
      <c r="R266" s="218" t="s">
        <v>75</v>
      </c>
      <c r="S266" s="218" t="s">
        <v>34527</v>
      </c>
      <c r="U266" s="293" t="s">
        <v>17569</v>
      </c>
      <c r="V266" s="293" t="s">
        <v>145</v>
      </c>
      <c r="W266" s="293" t="s">
        <v>74</v>
      </c>
      <c r="X266" s="293" t="s">
        <v>656</v>
      </c>
      <c r="Z266" s="293" t="s">
        <v>17570</v>
      </c>
      <c r="AA266" s="293" t="s">
        <v>145</v>
      </c>
      <c r="AB266" s="293" t="s">
        <v>74</v>
      </c>
      <c r="AC266" s="293" t="s">
        <v>656</v>
      </c>
      <c r="AE266" s="293" t="s">
        <v>17571</v>
      </c>
      <c r="AF266" s="293" t="s">
        <v>145</v>
      </c>
      <c r="AG266" s="293" t="s">
        <v>74</v>
      </c>
      <c r="AH266" s="293" t="s">
        <v>656</v>
      </c>
      <c r="AJ266" s="293" t="s">
        <v>17572</v>
      </c>
      <c r="AK266" s="293" t="s">
        <v>145</v>
      </c>
      <c r="AL266" s="293" t="s">
        <v>74</v>
      </c>
      <c r="AM266" s="293" t="s">
        <v>656</v>
      </c>
      <c r="AO266" s="22" t="s">
        <v>17573</v>
      </c>
      <c r="AP266" s="22" t="s">
        <v>145</v>
      </c>
      <c r="AQ266" s="22" t="s">
        <v>70</v>
      </c>
      <c r="AR266" s="22" t="s">
        <v>67</v>
      </c>
      <c r="AT266" s="22" t="s">
        <v>17574</v>
      </c>
      <c r="AU266" s="22" t="s">
        <v>145</v>
      </c>
      <c r="AV266" s="22" t="s">
        <v>70</v>
      </c>
      <c r="AW266" s="22" t="s">
        <v>67</v>
      </c>
      <c r="AY266" s="22" t="s">
        <v>17575</v>
      </c>
      <c r="AZ266" s="22" t="s">
        <v>145</v>
      </c>
      <c r="BA266" s="22" t="s">
        <v>70</v>
      </c>
      <c r="BB266" s="22" t="s">
        <v>67</v>
      </c>
      <c r="BD266" s="22" t="s">
        <v>17576</v>
      </c>
      <c r="BE266" s="22" t="s">
        <v>145</v>
      </c>
      <c r="BF266" s="22" t="s">
        <v>70</v>
      </c>
      <c r="BG266" s="22" t="s">
        <v>67</v>
      </c>
      <c r="BI266" s="22" t="s">
        <v>17577</v>
      </c>
      <c r="BJ266" s="22" t="s">
        <v>145</v>
      </c>
      <c r="BK266" s="22" t="s">
        <v>70</v>
      </c>
      <c r="BL266" s="22" t="s">
        <v>67</v>
      </c>
      <c r="BN266" s="22" t="s">
        <v>17578</v>
      </c>
      <c r="BO266" s="22" t="s">
        <v>145</v>
      </c>
      <c r="BP266" s="22" t="s">
        <v>70</v>
      </c>
      <c r="BQ266" s="22" t="s">
        <v>67</v>
      </c>
      <c r="BS266" s="22" t="s">
        <v>17579</v>
      </c>
      <c r="BT266" s="22" t="s">
        <v>145</v>
      </c>
      <c r="BU266" s="22" t="s">
        <v>70</v>
      </c>
      <c r="BV266" s="214" t="s">
        <v>530</v>
      </c>
      <c r="BX266" s="22" t="s">
        <v>17580</v>
      </c>
      <c r="BY266" s="22" t="s">
        <v>145</v>
      </c>
      <c r="BZ266" s="22" t="s">
        <v>70</v>
      </c>
      <c r="CA266" s="214" t="s">
        <v>530</v>
      </c>
      <c r="CC266" s="214" t="s">
        <v>17581</v>
      </c>
      <c r="CD266" s="218" t="s">
        <v>145</v>
      </c>
      <c r="CE266" s="214" t="s">
        <v>70</v>
      </c>
      <c r="CF266" s="214" t="s">
        <v>719</v>
      </c>
      <c r="CH266" s="214" t="s">
        <v>17582</v>
      </c>
      <c r="CI266" s="214" t="s">
        <v>34599</v>
      </c>
      <c r="CJ266" s="214" t="s">
        <v>70</v>
      </c>
      <c r="CK266" s="214" t="s">
        <v>530</v>
      </c>
      <c r="CM266" s="214" t="s">
        <v>17583</v>
      </c>
      <c r="CN266" s="214" t="s">
        <v>485</v>
      </c>
      <c r="CO266" s="214" t="s">
        <v>70</v>
      </c>
      <c r="CP266" s="214" t="s">
        <v>530</v>
      </c>
      <c r="CR266" s="214" t="s">
        <v>17584</v>
      </c>
      <c r="CS266" s="214" t="s">
        <v>52</v>
      </c>
      <c r="CT266" s="214" t="s">
        <v>70</v>
      </c>
      <c r="CU266" s="214" t="s">
        <v>530</v>
      </c>
      <c r="CW266" s="214" t="s">
        <v>17585</v>
      </c>
      <c r="CX266" s="214" t="s">
        <v>599</v>
      </c>
      <c r="CY266" s="214" t="s">
        <v>70</v>
      </c>
      <c r="CZ266" s="214" t="s">
        <v>530</v>
      </c>
      <c r="DB266" s="214" t="s">
        <v>17586</v>
      </c>
      <c r="DC266" s="214" t="s">
        <v>52</v>
      </c>
      <c r="DD266" s="214" t="s">
        <v>70</v>
      </c>
      <c r="DE266" s="214" t="s">
        <v>530</v>
      </c>
      <c r="DG266" s="214" t="s">
        <v>17587</v>
      </c>
      <c r="DH266" s="214" t="s">
        <v>148</v>
      </c>
      <c r="DI266" s="214" t="s">
        <v>70</v>
      </c>
      <c r="DJ266" s="214" t="s">
        <v>530</v>
      </c>
      <c r="DL266" s="214" t="s">
        <v>17588</v>
      </c>
      <c r="DM266" s="214" t="s">
        <v>148</v>
      </c>
      <c r="DN266" s="214" t="s">
        <v>70</v>
      </c>
      <c r="DO266" s="214" t="s">
        <v>530</v>
      </c>
      <c r="DQ266" s="214" t="s">
        <v>17589</v>
      </c>
      <c r="DR266" s="214" t="s">
        <v>34547</v>
      </c>
      <c r="DS266" s="214" t="s">
        <v>70</v>
      </c>
      <c r="DT266" s="214" t="s">
        <v>530</v>
      </c>
      <c r="DV266" s="214" t="s">
        <v>17590</v>
      </c>
      <c r="DW266" s="214" t="s">
        <v>52</v>
      </c>
      <c r="DX266" s="214" t="s">
        <v>70</v>
      </c>
      <c r="DY266" s="214" t="s">
        <v>530</v>
      </c>
      <c r="EA266" s="214" t="s">
        <v>17591</v>
      </c>
      <c r="EB266" s="214" t="s">
        <v>145</v>
      </c>
      <c r="EC266" s="214" t="s">
        <v>70</v>
      </c>
      <c r="ED266" s="214" t="s">
        <v>530</v>
      </c>
      <c r="EF266" s="214" t="s">
        <v>17592</v>
      </c>
      <c r="EG266" s="214" t="s">
        <v>34635</v>
      </c>
      <c r="EH266" s="214" t="s">
        <v>70</v>
      </c>
      <c r="EI266" s="214" t="s">
        <v>530</v>
      </c>
      <c r="EK266" s="214" t="s">
        <v>17593</v>
      </c>
      <c r="EL266" s="214" t="s">
        <v>163</v>
      </c>
      <c r="EM266" s="214" t="s">
        <v>70</v>
      </c>
      <c r="EN266" s="214" t="s">
        <v>530</v>
      </c>
      <c r="EP266" s="214" t="s">
        <v>17594</v>
      </c>
      <c r="EQ266" s="214" t="s">
        <v>798</v>
      </c>
      <c r="ER266" s="214" t="s">
        <v>70</v>
      </c>
      <c r="ES266" s="214" t="s">
        <v>530</v>
      </c>
      <c r="EU266" s="214" t="s">
        <v>17595</v>
      </c>
      <c r="EV266" s="214" t="s">
        <v>52</v>
      </c>
      <c r="EW266" s="214" t="s">
        <v>70</v>
      </c>
      <c r="EX266" s="214" t="s">
        <v>530</v>
      </c>
      <c r="EZ266" s="214" t="s">
        <v>17596</v>
      </c>
      <c r="FA266" s="214" t="s">
        <v>952</v>
      </c>
      <c r="FB266" s="214" t="s">
        <v>70</v>
      </c>
      <c r="FC266" s="214" t="s">
        <v>530</v>
      </c>
      <c r="FE266" s="214" t="s">
        <v>17597</v>
      </c>
      <c r="FF266" s="214" t="s">
        <v>148</v>
      </c>
      <c r="FG266" s="214" t="s">
        <v>70</v>
      </c>
      <c r="FH266" s="214" t="s">
        <v>530</v>
      </c>
      <c r="FJ266" s="321" t="s">
        <v>17598</v>
      </c>
      <c r="FK266" s="214" t="s">
        <v>146</v>
      </c>
      <c r="FL266" s="214" t="s">
        <v>70</v>
      </c>
      <c r="FM266" s="214" t="s">
        <v>530</v>
      </c>
      <c r="FO266" s="321" t="s">
        <v>17599</v>
      </c>
      <c r="FP266" s="214" t="s">
        <v>484</v>
      </c>
      <c r="FQ266" s="214" t="s">
        <v>70</v>
      </c>
      <c r="FR266" s="214" t="s">
        <v>530</v>
      </c>
      <c r="FT266" s="321" t="s">
        <v>17600</v>
      </c>
      <c r="FU266" s="214" t="s">
        <v>89</v>
      </c>
      <c r="FV266" s="214" t="s">
        <v>70</v>
      </c>
      <c r="FW266" s="214" t="s">
        <v>530</v>
      </c>
      <c r="FY266" s="321" t="s">
        <v>17601</v>
      </c>
      <c r="FZ266" s="214" t="s">
        <v>52</v>
      </c>
      <c r="GA266" s="214" t="s">
        <v>70</v>
      </c>
      <c r="GB266" s="214" t="s">
        <v>530</v>
      </c>
      <c r="GD266" s="321" t="s">
        <v>17602</v>
      </c>
      <c r="GE266" s="214" t="s">
        <v>149</v>
      </c>
      <c r="GF266" s="214" t="s">
        <v>70</v>
      </c>
      <c r="GG266" s="214" t="s">
        <v>530</v>
      </c>
      <c r="GI266" s="321" t="s">
        <v>17603</v>
      </c>
      <c r="GJ266" s="214" t="s">
        <v>490</v>
      </c>
      <c r="GK266" s="214" t="s">
        <v>70</v>
      </c>
      <c r="GL266" s="214" t="s">
        <v>530</v>
      </c>
      <c r="GN266" s="321" t="s">
        <v>17604</v>
      </c>
      <c r="GO266" s="214" t="s">
        <v>52</v>
      </c>
      <c r="GP266" s="214" t="s">
        <v>70</v>
      </c>
      <c r="GQ266" s="214" t="s">
        <v>530</v>
      </c>
      <c r="GS266" s="321" t="s">
        <v>17605</v>
      </c>
      <c r="GT266" s="214" t="s">
        <v>52</v>
      </c>
      <c r="GU266" s="214" t="s">
        <v>70</v>
      </c>
      <c r="GV266" s="214" t="s">
        <v>530</v>
      </c>
      <c r="GX266" s="214" t="s">
        <v>17606</v>
      </c>
      <c r="GY266" s="214" t="s">
        <v>163</v>
      </c>
      <c r="GZ266" s="214" t="s">
        <v>70</v>
      </c>
      <c r="HA266" s="214" t="s">
        <v>530</v>
      </c>
      <c r="HC266" s="214" t="s">
        <v>17607</v>
      </c>
      <c r="HD266" s="214" t="s">
        <v>485</v>
      </c>
      <c r="HE266" s="214" t="s">
        <v>70</v>
      </c>
      <c r="HF266" s="214" t="s">
        <v>530</v>
      </c>
      <c r="HH266" s="214" t="s">
        <v>17608</v>
      </c>
      <c r="HI266" s="214" t="s">
        <v>492</v>
      </c>
      <c r="HJ266" s="214" t="s">
        <v>70</v>
      </c>
      <c r="HK266" s="214" t="s">
        <v>530</v>
      </c>
      <c r="HM266" s="214" t="s">
        <v>17609</v>
      </c>
      <c r="HN266" s="214" t="s">
        <v>145</v>
      </c>
      <c r="HO266" s="214" t="s">
        <v>70</v>
      </c>
      <c r="HP266" s="214" t="s">
        <v>530</v>
      </c>
      <c r="HR266" s="22" t="s">
        <v>17610</v>
      </c>
      <c r="HS266" s="22" t="s">
        <v>655</v>
      </c>
      <c r="HT266" s="22" t="s">
        <v>70</v>
      </c>
      <c r="HU266" s="214" t="s">
        <v>530</v>
      </c>
      <c r="HW266" s="22" t="s">
        <v>17611</v>
      </c>
      <c r="HX266" s="22" t="s">
        <v>485</v>
      </c>
      <c r="HY266" s="22" t="s">
        <v>70</v>
      </c>
      <c r="HZ266" s="214" t="s">
        <v>530</v>
      </c>
      <c r="IB266" s="22" t="s">
        <v>17612</v>
      </c>
      <c r="IC266" s="22" t="s">
        <v>601</v>
      </c>
      <c r="ID266" s="22" t="s">
        <v>70</v>
      </c>
      <c r="IE266" s="214" t="s">
        <v>530</v>
      </c>
      <c r="IG266" s="22" t="s">
        <v>17613</v>
      </c>
      <c r="IH266" s="22" t="s">
        <v>52</v>
      </c>
      <c r="II266" s="22" t="s">
        <v>70</v>
      </c>
      <c r="IJ266" s="214" t="s">
        <v>530</v>
      </c>
      <c r="IL266" s="22" t="s">
        <v>17614</v>
      </c>
      <c r="IM266" s="22" t="s">
        <v>145</v>
      </c>
      <c r="IN266" s="22" t="s">
        <v>70</v>
      </c>
      <c r="IO266" s="214" t="s">
        <v>530</v>
      </c>
      <c r="IQ266" s="236" t="s">
        <v>17615</v>
      </c>
      <c r="IR266" s="236" t="s">
        <v>145</v>
      </c>
      <c r="IS266" s="236" t="s">
        <v>74</v>
      </c>
      <c r="IT266" s="236" t="s">
        <v>841</v>
      </c>
      <c r="IV266" s="236" t="s">
        <v>17616</v>
      </c>
      <c r="IW266" s="236" t="s">
        <v>145</v>
      </c>
      <c r="IX266" s="236" t="s">
        <v>74</v>
      </c>
      <c r="IY266" s="236" t="s">
        <v>841</v>
      </c>
      <c r="JA266" s="236" t="s">
        <v>17617</v>
      </c>
      <c r="JB266" s="236" t="s">
        <v>145</v>
      </c>
      <c r="JC266" s="236" t="s">
        <v>74</v>
      </c>
      <c r="JD266" s="236" t="s">
        <v>841</v>
      </c>
      <c r="JF266" s="236" t="s">
        <v>17618</v>
      </c>
      <c r="JG266" s="236" t="s">
        <v>145</v>
      </c>
      <c r="JH266" s="236" t="s">
        <v>74</v>
      </c>
      <c r="JI266" s="236" t="s">
        <v>841</v>
      </c>
      <c r="JK266" s="236" t="s">
        <v>17619</v>
      </c>
      <c r="JL266" s="236" t="s">
        <v>145</v>
      </c>
      <c r="JM266" s="236" t="s">
        <v>74</v>
      </c>
      <c r="JN266" s="236" t="s">
        <v>841</v>
      </c>
      <c r="JP266" s="236" t="s">
        <v>17620</v>
      </c>
      <c r="JQ266" s="236" t="s">
        <v>145</v>
      </c>
      <c r="JR266" s="236" t="s">
        <v>74</v>
      </c>
      <c r="JS266" s="236" t="s">
        <v>841</v>
      </c>
      <c r="JU266" s="294" t="s">
        <v>17621</v>
      </c>
      <c r="JV266" s="294" t="s">
        <v>52</v>
      </c>
      <c r="JW266" s="263" t="s">
        <v>70</v>
      </c>
      <c r="JX266" s="294" t="s">
        <v>1083</v>
      </c>
      <c r="JZ266" s="263" t="s">
        <v>17622</v>
      </c>
      <c r="KA266" s="263" t="s">
        <v>145</v>
      </c>
      <c r="KB266" s="263" t="s">
        <v>70</v>
      </c>
      <c r="KC266" s="263" t="s">
        <v>1083</v>
      </c>
      <c r="KE266" s="263" t="s">
        <v>17623</v>
      </c>
      <c r="KF266" s="263" t="s">
        <v>52</v>
      </c>
      <c r="KG266" s="263" t="s">
        <v>70</v>
      </c>
      <c r="KH266" s="263" t="s">
        <v>1083</v>
      </c>
      <c r="KJ266" s="263" t="s">
        <v>17624</v>
      </c>
      <c r="KK266" s="263" t="s">
        <v>52</v>
      </c>
      <c r="KL266" s="263" t="s">
        <v>74</v>
      </c>
      <c r="KM266" s="263" t="s">
        <v>34074</v>
      </c>
      <c r="KO266" s="214" t="s">
        <v>17625</v>
      </c>
      <c r="KP266" s="214" t="s">
        <v>145</v>
      </c>
      <c r="KQ266" s="214" t="s">
        <v>70</v>
      </c>
      <c r="KR266" s="214" t="s">
        <v>67</v>
      </c>
      <c r="KT266" s="22" t="s">
        <v>17626</v>
      </c>
      <c r="KU266" s="22" t="s">
        <v>145</v>
      </c>
      <c r="KV266" s="22" t="s">
        <v>70</v>
      </c>
      <c r="KW266" s="22" t="s">
        <v>67</v>
      </c>
      <c r="KY266" s="214" t="s">
        <v>17627</v>
      </c>
      <c r="KZ266" s="214" t="s">
        <v>52</v>
      </c>
      <c r="LA266" s="214" t="s">
        <v>74</v>
      </c>
      <c r="LB266" s="214" t="s">
        <v>1017</v>
      </c>
      <c r="LD266" s="22" t="s">
        <v>17628</v>
      </c>
      <c r="LE266" s="22" t="s">
        <v>145</v>
      </c>
      <c r="LF266" s="22" t="s">
        <v>70</v>
      </c>
      <c r="LG266" s="22" t="s">
        <v>67</v>
      </c>
    </row>
    <row r="267" spans="1:319">
      <c r="A267" s="23" t="s">
        <v>17629</v>
      </c>
      <c r="B267" s="22" t="s">
        <v>145</v>
      </c>
      <c r="C267" s="22" t="s">
        <v>70</v>
      </c>
      <c r="D267" s="22" t="s">
        <v>67</v>
      </c>
      <c r="F267" s="99" t="s">
        <v>17630</v>
      </c>
      <c r="G267" s="22" t="s">
        <v>145</v>
      </c>
      <c r="H267" s="22" t="s">
        <v>70</v>
      </c>
      <c r="I267" s="22" t="s">
        <v>67</v>
      </c>
      <c r="K267" s="22" t="s">
        <v>17631</v>
      </c>
      <c r="L267" s="22" t="s">
        <v>145</v>
      </c>
      <c r="M267" s="22" t="s">
        <v>70</v>
      </c>
      <c r="N267" s="22" t="s">
        <v>67</v>
      </c>
      <c r="P267" s="22" t="s">
        <v>17632</v>
      </c>
      <c r="Q267" s="22" t="s">
        <v>145</v>
      </c>
      <c r="R267" s="22" t="s">
        <v>70</v>
      </c>
      <c r="S267" s="22" t="s">
        <v>67</v>
      </c>
      <c r="U267" s="293" t="s">
        <v>17633</v>
      </c>
      <c r="V267" s="293" t="s">
        <v>145</v>
      </c>
      <c r="W267" s="293" t="s">
        <v>74</v>
      </c>
      <c r="X267" s="293" t="s">
        <v>656</v>
      </c>
      <c r="Z267" s="293" t="s">
        <v>17634</v>
      </c>
      <c r="AA267" s="293" t="s">
        <v>145</v>
      </c>
      <c r="AB267" s="293" t="s">
        <v>74</v>
      </c>
      <c r="AC267" s="293" t="s">
        <v>656</v>
      </c>
      <c r="AE267" s="293" t="s">
        <v>17635</v>
      </c>
      <c r="AF267" s="293" t="s">
        <v>145</v>
      </c>
      <c r="AG267" s="293" t="s">
        <v>74</v>
      </c>
      <c r="AH267" s="293" t="s">
        <v>656</v>
      </c>
      <c r="AJ267" s="293" t="s">
        <v>17636</v>
      </c>
      <c r="AK267" s="293" t="s">
        <v>145</v>
      </c>
      <c r="AL267" s="293" t="s">
        <v>74</v>
      </c>
      <c r="AM267" s="293" t="s">
        <v>656</v>
      </c>
      <c r="AO267" s="22" t="s">
        <v>17637</v>
      </c>
      <c r="AP267" s="22" t="s">
        <v>145</v>
      </c>
      <c r="AQ267" s="22" t="s">
        <v>70</v>
      </c>
      <c r="AR267" s="22" t="s">
        <v>67</v>
      </c>
      <c r="AT267" s="22" t="s">
        <v>17638</v>
      </c>
      <c r="AU267" s="22" t="s">
        <v>145</v>
      </c>
      <c r="AV267" s="22" t="s">
        <v>70</v>
      </c>
      <c r="AW267" s="22" t="s">
        <v>67</v>
      </c>
      <c r="AY267" s="22" t="s">
        <v>17639</v>
      </c>
      <c r="AZ267" s="22" t="s">
        <v>145</v>
      </c>
      <c r="BA267" s="22" t="s">
        <v>70</v>
      </c>
      <c r="BB267" s="22" t="s">
        <v>67</v>
      </c>
      <c r="BD267" s="22" t="s">
        <v>17640</v>
      </c>
      <c r="BE267" s="22" t="s">
        <v>145</v>
      </c>
      <c r="BF267" s="22" t="s">
        <v>70</v>
      </c>
      <c r="BG267" s="22" t="s">
        <v>67</v>
      </c>
      <c r="BI267" s="22" t="s">
        <v>17641</v>
      </c>
      <c r="BJ267" s="22" t="s">
        <v>145</v>
      </c>
      <c r="BK267" s="22" t="s">
        <v>70</v>
      </c>
      <c r="BL267" s="22" t="s">
        <v>67</v>
      </c>
      <c r="BN267" s="22" t="s">
        <v>17642</v>
      </c>
      <c r="BO267" s="22" t="s">
        <v>145</v>
      </c>
      <c r="BP267" s="22" t="s">
        <v>70</v>
      </c>
      <c r="BQ267" s="22" t="s">
        <v>67</v>
      </c>
      <c r="BS267" s="22" t="s">
        <v>17643</v>
      </c>
      <c r="BT267" s="22" t="s">
        <v>145</v>
      </c>
      <c r="BU267" s="22" t="s">
        <v>70</v>
      </c>
      <c r="BV267" s="214" t="s">
        <v>530</v>
      </c>
      <c r="BX267" s="22" t="s">
        <v>17644</v>
      </c>
      <c r="BY267" s="22" t="s">
        <v>145</v>
      </c>
      <c r="BZ267" s="22" t="s">
        <v>70</v>
      </c>
      <c r="CA267" s="214" t="s">
        <v>530</v>
      </c>
      <c r="CC267" s="214" t="s">
        <v>17645</v>
      </c>
      <c r="CD267" s="218" t="s">
        <v>145</v>
      </c>
      <c r="CE267" s="214" t="s">
        <v>70</v>
      </c>
      <c r="CF267" s="214" t="s">
        <v>720</v>
      </c>
      <c r="CH267" s="214" t="s">
        <v>17646</v>
      </c>
      <c r="CI267" s="214" t="s">
        <v>34558</v>
      </c>
      <c r="CJ267" s="214" t="s">
        <v>70</v>
      </c>
      <c r="CK267" s="214" t="s">
        <v>530</v>
      </c>
      <c r="CM267" s="214" t="s">
        <v>17647</v>
      </c>
      <c r="CN267" s="214" t="s">
        <v>146</v>
      </c>
      <c r="CO267" s="214" t="s">
        <v>70</v>
      </c>
      <c r="CP267" s="214" t="s">
        <v>530</v>
      </c>
      <c r="CR267" s="214" t="s">
        <v>17648</v>
      </c>
      <c r="CS267" s="214" t="s">
        <v>485</v>
      </c>
      <c r="CT267" s="214" t="s">
        <v>70</v>
      </c>
      <c r="CU267" s="214" t="s">
        <v>530</v>
      </c>
      <c r="CW267" s="214" t="s">
        <v>17649</v>
      </c>
      <c r="CX267" s="214" t="s">
        <v>484</v>
      </c>
      <c r="CY267" s="214" t="s">
        <v>70</v>
      </c>
      <c r="CZ267" s="214" t="s">
        <v>530</v>
      </c>
      <c r="DB267" s="214" t="s">
        <v>17650</v>
      </c>
      <c r="DC267" s="214" t="s">
        <v>203</v>
      </c>
      <c r="DD267" s="214" t="s">
        <v>70</v>
      </c>
      <c r="DE267" s="214" t="s">
        <v>530</v>
      </c>
      <c r="DG267" s="214" t="s">
        <v>17651</v>
      </c>
      <c r="DH267" s="214" t="s">
        <v>146</v>
      </c>
      <c r="DI267" s="214" t="s">
        <v>70</v>
      </c>
      <c r="DJ267" s="214" t="s">
        <v>530</v>
      </c>
      <c r="DL267" s="214" t="s">
        <v>17652</v>
      </c>
      <c r="DM267" s="214" t="s">
        <v>34542</v>
      </c>
      <c r="DN267" s="214" t="s">
        <v>70</v>
      </c>
      <c r="DO267" s="214" t="s">
        <v>530</v>
      </c>
      <c r="DQ267" s="214" t="s">
        <v>17653</v>
      </c>
      <c r="DR267" s="214" t="s">
        <v>146</v>
      </c>
      <c r="DS267" s="214" t="s">
        <v>70</v>
      </c>
      <c r="DT267" s="214" t="s">
        <v>530</v>
      </c>
      <c r="DV267" s="214" t="s">
        <v>17654</v>
      </c>
      <c r="DW267" s="214" t="s">
        <v>601</v>
      </c>
      <c r="DX267" s="214" t="s">
        <v>70</v>
      </c>
      <c r="DY267" s="214" t="s">
        <v>530</v>
      </c>
      <c r="EA267" s="214" t="s">
        <v>17655</v>
      </c>
      <c r="EB267" s="214" t="s">
        <v>145</v>
      </c>
      <c r="EC267" s="214" t="s">
        <v>70</v>
      </c>
      <c r="ED267" s="214" t="s">
        <v>530</v>
      </c>
      <c r="EF267" s="214" t="s">
        <v>17656</v>
      </c>
      <c r="EG267" s="214" t="s">
        <v>145</v>
      </c>
      <c r="EH267" s="214" t="s">
        <v>70</v>
      </c>
      <c r="EI267" s="214" t="s">
        <v>530</v>
      </c>
      <c r="EK267" s="214" t="s">
        <v>17657</v>
      </c>
      <c r="EL267" s="214" t="s">
        <v>88</v>
      </c>
      <c r="EM267" s="214" t="s">
        <v>70</v>
      </c>
      <c r="EN267" s="214" t="s">
        <v>530</v>
      </c>
      <c r="EP267" s="214" t="s">
        <v>17658</v>
      </c>
      <c r="EQ267" s="214" t="s">
        <v>491</v>
      </c>
      <c r="ER267" s="214" t="s">
        <v>70</v>
      </c>
      <c r="ES267" s="214" t="s">
        <v>530</v>
      </c>
      <c r="EU267" s="214" t="s">
        <v>17659</v>
      </c>
      <c r="EV267" s="214" t="s">
        <v>52</v>
      </c>
      <c r="EW267" s="214" t="s">
        <v>70</v>
      </c>
      <c r="EX267" s="214" t="s">
        <v>530</v>
      </c>
      <c r="EZ267" s="214" t="s">
        <v>17660</v>
      </c>
      <c r="FA267" s="214" t="s">
        <v>501</v>
      </c>
      <c r="FB267" s="214" t="s">
        <v>70</v>
      </c>
      <c r="FC267" s="214" t="s">
        <v>530</v>
      </c>
      <c r="FE267" s="214" t="s">
        <v>17661</v>
      </c>
      <c r="FF267" s="214" t="s">
        <v>34544</v>
      </c>
      <c r="FG267" s="214" t="s">
        <v>70</v>
      </c>
      <c r="FH267" s="214" t="s">
        <v>530</v>
      </c>
      <c r="FJ267" s="321" t="s">
        <v>17662</v>
      </c>
      <c r="FK267" s="214" t="s">
        <v>93</v>
      </c>
      <c r="FL267" s="214" t="s">
        <v>70</v>
      </c>
      <c r="FM267" s="214" t="s">
        <v>530</v>
      </c>
      <c r="FO267" s="321" t="s">
        <v>17663</v>
      </c>
      <c r="FP267" s="214" t="s">
        <v>488</v>
      </c>
      <c r="FQ267" s="214" t="s">
        <v>70</v>
      </c>
      <c r="FR267" s="214" t="s">
        <v>530</v>
      </c>
      <c r="FT267" s="321" t="s">
        <v>17664</v>
      </c>
      <c r="FU267" s="214" t="s">
        <v>52</v>
      </c>
      <c r="FV267" s="214" t="s">
        <v>70</v>
      </c>
      <c r="FW267" s="214" t="s">
        <v>530</v>
      </c>
      <c r="FY267" s="321" t="s">
        <v>17665</v>
      </c>
      <c r="FZ267" s="214" t="s">
        <v>52</v>
      </c>
      <c r="GA267" s="214" t="s">
        <v>70</v>
      </c>
      <c r="GB267" s="214" t="s">
        <v>530</v>
      </c>
      <c r="GD267" s="321" t="s">
        <v>17666</v>
      </c>
      <c r="GE267" s="214" t="s">
        <v>52</v>
      </c>
      <c r="GF267" s="214" t="s">
        <v>70</v>
      </c>
      <c r="GG267" s="214" t="s">
        <v>530</v>
      </c>
      <c r="GI267" s="321" t="s">
        <v>17667</v>
      </c>
      <c r="GJ267" s="214" t="s">
        <v>34580</v>
      </c>
      <c r="GK267" s="214" t="s">
        <v>70</v>
      </c>
      <c r="GL267" s="214" t="s">
        <v>530</v>
      </c>
      <c r="GN267" s="321" t="s">
        <v>17668</v>
      </c>
      <c r="GO267" s="214" t="s">
        <v>146</v>
      </c>
      <c r="GP267" s="214" t="s">
        <v>70</v>
      </c>
      <c r="GQ267" s="214" t="s">
        <v>530</v>
      </c>
      <c r="GS267" s="321" t="s">
        <v>17669</v>
      </c>
      <c r="GT267" s="214" t="s">
        <v>203</v>
      </c>
      <c r="GU267" s="214" t="s">
        <v>70</v>
      </c>
      <c r="GV267" s="214" t="s">
        <v>530</v>
      </c>
      <c r="GX267" s="214" t="s">
        <v>17670</v>
      </c>
      <c r="GY267" s="214" t="s">
        <v>502</v>
      </c>
      <c r="GZ267" s="214" t="s">
        <v>70</v>
      </c>
      <c r="HA267" s="214" t="s">
        <v>530</v>
      </c>
      <c r="HC267" s="214" t="s">
        <v>17671</v>
      </c>
      <c r="HD267" s="214" t="s">
        <v>10541</v>
      </c>
      <c r="HE267" s="214" t="s">
        <v>70</v>
      </c>
      <c r="HF267" s="214" t="s">
        <v>530</v>
      </c>
      <c r="HH267" s="214" t="s">
        <v>17672</v>
      </c>
      <c r="HI267" s="214" t="s">
        <v>765</v>
      </c>
      <c r="HJ267" s="214" t="s">
        <v>70</v>
      </c>
      <c r="HK267" s="214" t="s">
        <v>530</v>
      </c>
      <c r="HM267" s="214" t="s">
        <v>17673</v>
      </c>
      <c r="HN267" s="214" t="s">
        <v>34541</v>
      </c>
      <c r="HO267" s="214" t="s">
        <v>70</v>
      </c>
      <c r="HP267" s="214" t="s">
        <v>530</v>
      </c>
      <c r="HR267" s="22" t="s">
        <v>17674</v>
      </c>
      <c r="HS267" s="22" t="s">
        <v>491</v>
      </c>
      <c r="HT267" s="22" t="s">
        <v>70</v>
      </c>
      <c r="HU267" s="214" t="s">
        <v>530</v>
      </c>
      <c r="HW267" s="22" t="s">
        <v>17675</v>
      </c>
      <c r="HX267" s="22" t="s">
        <v>798</v>
      </c>
      <c r="HY267" s="22" t="s">
        <v>70</v>
      </c>
      <c r="HZ267" s="214" t="s">
        <v>530</v>
      </c>
      <c r="IB267" s="22" t="s">
        <v>17676</v>
      </c>
      <c r="IC267" s="22" t="s">
        <v>34558</v>
      </c>
      <c r="ID267" s="22" t="s">
        <v>70</v>
      </c>
      <c r="IE267" s="214" t="s">
        <v>530</v>
      </c>
      <c r="IG267" s="22" t="s">
        <v>17677</v>
      </c>
      <c r="IH267" s="22" t="s">
        <v>52</v>
      </c>
      <c r="II267" s="22" t="s">
        <v>70</v>
      </c>
      <c r="IJ267" s="214" t="s">
        <v>530</v>
      </c>
      <c r="IL267" s="22" t="s">
        <v>17678</v>
      </c>
      <c r="IM267" s="22" t="s">
        <v>145</v>
      </c>
      <c r="IN267" s="22" t="s">
        <v>70</v>
      </c>
      <c r="IO267" s="214" t="s">
        <v>530</v>
      </c>
      <c r="IQ267" s="236" t="s">
        <v>17679</v>
      </c>
      <c r="IR267" s="236" t="s">
        <v>145</v>
      </c>
      <c r="IS267" s="236" t="s">
        <v>74</v>
      </c>
      <c r="IT267" s="236" t="s">
        <v>841</v>
      </c>
      <c r="IV267" s="236" t="s">
        <v>17680</v>
      </c>
      <c r="IW267" s="236" t="s">
        <v>145</v>
      </c>
      <c r="IX267" s="236" t="s">
        <v>74</v>
      </c>
      <c r="IY267" s="236" t="s">
        <v>841</v>
      </c>
      <c r="JA267" s="236" t="s">
        <v>17681</v>
      </c>
      <c r="JB267" s="236" t="s">
        <v>145</v>
      </c>
      <c r="JC267" s="236" t="s">
        <v>74</v>
      </c>
      <c r="JD267" s="236" t="s">
        <v>841</v>
      </c>
      <c r="JF267" s="236" t="s">
        <v>17682</v>
      </c>
      <c r="JG267" s="236" t="s">
        <v>145</v>
      </c>
      <c r="JH267" s="236" t="s">
        <v>74</v>
      </c>
      <c r="JI267" s="236" t="s">
        <v>841</v>
      </c>
      <c r="JK267" s="236" t="s">
        <v>17683</v>
      </c>
      <c r="JL267" s="236" t="s">
        <v>145</v>
      </c>
      <c r="JM267" s="236" t="s">
        <v>74</v>
      </c>
      <c r="JN267" s="236" t="s">
        <v>841</v>
      </c>
      <c r="JP267" s="236" t="s">
        <v>17684</v>
      </c>
      <c r="JQ267" s="236" t="s">
        <v>145</v>
      </c>
      <c r="JR267" s="236" t="s">
        <v>74</v>
      </c>
      <c r="JS267" s="236" t="s">
        <v>841</v>
      </c>
      <c r="JU267" s="294" t="s">
        <v>17685</v>
      </c>
      <c r="JV267" s="294" t="s">
        <v>52</v>
      </c>
      <c r="JW267" s="263" t="s">
        <v>70</v>
      </c>
      <c r="JX267" s="294" t="s">
        <v>1083</v>
      </c>
      <c r="JZ267" s="263" t="s">
        <v>17686</v>
      </c>
      <c r="KA267" s="263" t="s">
        <v>145</v>
      </c>
      <c r="KB267" s="263" t="s">
        <v>70</v>
      </c>
      <c r="KC267" s="263" t="s">
        <v>1083</v>
      </c>
      <c r="KE267" s="263" t="s">
        <v>17687</v>
      </c>
      <c r="KF267" s="263" t="s">
        <v>52</v>
      </c>
      <c r="KG267" s="263" t="s">
        <v>70</v>
      </c>
      <c r="KH267" s="263" t="s">
        <v>1083</v>
      </c>
      <c r="KJ267" s="263" t="s">
        <v>17688</v>
      </c>
      <c r="KK267" s="263" t="s">
        <v>52</v>
      </c>
      <c r="KL267" s="263" t="s">
        <v>74</v>
      </c>
      <c r="KM267" s="263" t="s">
        <v>34074</v>
      </c>
      <c r="KO267" s="214" t="s">
        <v>17689</v>
      </c>
      <c r="KP267" s="214" t="s">
        <v>145</v>
      </c>
      <c r="KQ267" s="214" t="s">
        <v>70</v>
      </c>
      <c r="KR267" s="214" t="s">
        <v>67</v>
      </c>
      <c r="KT267" s="22" t="s">
        <v>17690</v>
      </c>
      <c r="KU267" s="22" t="s">
        <v>145</v>
      </c>
      <c r="KV267" s="22" t="s">
        <v>70</v>
      </c>
      <c r="KW267" s="22" t="s">
        <v>67</v>
      </c>
      <c r="KY267" s="214" t="s">
        <v>17691</v>
      </c>
      <c r="KZ267" s="214" t="s">
        <v>52</v>
      </c>
      <c r="LA267" s="214" t="s">
        <v>74</v>
      </c>
      <c r="LB267" s="214" t="s">
        <v>1017</v>
      </c>
      <c r="LD267" s="22" t="s">
        <v>17692</v>
      </c>
      <c r="LE267" s="22" t="s">
        <v>145</v>
      </c>
      <c r="LF267" s="22" t="s">
        <v>70</v>
      </c>
      <c r="LG267" s="22" t="s">
        <v>67</v>
      </c>
    </row>
    <row r="268" spans="1:319">
      <c r="A268" s="22" t="s">
        <v>17693</v>
      </c>
      <c r="B268" s="22" t="s">
        <v>145</v>
      </c>
      <c r="C268" s="22" t="s">
        <v>70</v>
      </c>
      <c r="D268" s="22" t="s">
        <v>67</v>
      </c>
      <c r="F268" s="99" t="s">
        <v>17694</v>
      </c>
      <c r="G268" s="22" t="s">
        <v>145</v>
      </c>
      <c r="H268" s="22" t="s">
        <v>70</v>
      </c>
      <c r="I268" s="22" t="s">
        <v>67</v>
      </c>
      <c r="K268" s="22" t="s">
        <v>17695</v>
      </c>
      <c r="L268" s="22" t="s">
        <v>145</v>
      </c>
      <c r="M268" s="22" t="s">
        <v>70</v>
      </c>
      <c r="N268" s="22" t="s">
        <v>67</v>
      </c>
      <c r="P268" s="22" t="s">
        <v>17696</v>
      </c>
      <c r="Q268" s="22" t="s">
        <v>145</v>
      </c>
      <c r="R268" s="22" t="s">
        <v>70</v>
      </c>
      <c r="S268" s="22" t="s">
        <v>67</v>
      </c>
      <c r="U268" s="293" t="s">
        <v>17697</v>
      </c>
      <c r="V268" s="293" t="s">
        <v>145</v>
      </c>
      <c r="W268" s="293" t="s">
        <v>74</v>
      </c>
      <c r="X268" s="293" t="s">
        <v>656</v>
      </c>
      <c r="Z268" s="293" t="s">
        <v>17698</v>
      </c>
      <c r="AA268" s="293" t="s">
        <v>145</v>
      </c>
      <c r="AB268" s="293" t="s">
        <v>74</v>
      </c>
      <c r="AC268" s="293" t="s">
        <v>656</v>
      </c>
      <c r="AE268" s="293" t="s">
        <v>17699</v>
      </c>
      <c r="AF268" s="293" t="s">
        <v>145</v>
      </c>
      <c r="AG268" s="293" t="s">
        <v>74</v>
      </c>
      <c r="AH268" s="293" t="s">
        <v>656</v>
      </c>
      <c r="AJ268" s="293" t="s">
        <v>17700</v>
      </c>
      <c r="AK268" s="293" t="s">
        <v>145</v>
      </c>
      <c r="AL268" s="293" t="s">
        <v>74</v>
      </c>
      <c r="AM268" s="293" t="s">
        <v>656</v>
      </c>
      <c r="AO268" s="22" t="s">
        <v>17701</v>
      </c>
      <c r="AP268" s="22" t="s">
        <v>145</v>
      </c>
      <c r="AQ268" s="22" t="s">
        <v>70</v>
      </c>
      <c r="AR268" s="22" t="s">
        <v>67</v>
      </c>
      <c r="AT268" s="22" t="s">
        <v>17702</v>
      </c>
      <c r="AU268" s="22" t="s">
        <v>145</v>
      </c>
      <c r="AV268" s="22" t="s">
        <v>70</v>
      </c>
      <c r="AW268" s="22" t="s">
        <v>67</v>
      </c>
      <c r="AY268" s="22" t="s">
        <v>17703</v>
      </c>
      <c r="AZ268" s="22" t="s">
        <v>145</v>
      </c>
      <c r="BA268" s="22" t="s">
        <v>70</v>
      </c>
      <c r="BB268" s="22" t="s">
        <v>67</v>
      </c>
      <c r="BD268" s="22" t="s">
        <v>17704</v>
      </c>
      <c r="BE268" s="22" t="s">
        <v>145</v>
      </c>
      <c r="BF268" s="22" t="s">
        <v>70</v>
      </c>
      <c r="BG268" s="22" t="s">
        <v>67</v>
      </c>
      <c r="BI268" s="22" t="s">
        <v>17705</v>
      </c>
      <c r="BJ268" s="22" t="s">
        <v>145</v>
      </c>
      <c r="BK268" s="22" t="s">
        <v>70</v>
      </c>
      <c r="BL268" s="22" t="s">
        <v>67</v>
      </c>
      <c r="BN268" s="22" t="s">
        <v>17706</v>
      </c>
      <c r="BO268" s="22" t="s">
        <v>145</v>
      </c>
      <c r="BP268" s="22" t="s">
        <v>70</v>
      </c>
      <c r="BQ268" s="22" t="s">
        <v>67</v>
      </c>
      <c r="BS268" s="22" t="s">
        <v>17707</v>
      </c>
      <c r="BT268" s="22" t="s">
        <v>145</v>
      </c>
      <c r="BU268" s="22" t="s">
        <v>70</v>
      </c>
      <c r="BV268" s="214" t="s">
        <v>530</v>
      </c>
      <c r="BX268" s="22" t="s">
        <v>17708</v>
      </c>
      <c r="BY268" s="22" t="s">
        <v>145</v>
      </c>
      <c r="BZ268" s="22" t="s">
        <v>70</v>
      </c>
      <c r="CA268" s="214" t="s">
        <v>530</v>
      </c>
      <c r="CC268" s="214" t="s">
        <v>17709</v>
      </c>
      <c r="CD268" s="218" t="s">
        <v>145</v>
      </c>
      <c r="CE268" s="214" t="s">
        <v>70</v>
      </c>
      <c r="CF268" s="214" t="s">
        <v>721</v>
      </c>
      <c r="CH268" s="214" t="s">
        <v>17710</v>
      </c>
      <c r="CI268" s="214" t="s">
        <v>468</v>
      </c>
      <c r="CJ268" s="214" t="s">
        <v>70</v>
      </c>
      <c r="CK268" s="214" t="s">
        <v>530</v>
      </c>
      <c r="CM268" s="214" t="s">
        <v>17711</v>
      </c>
      <c r="CN268" s="214" t="s">
        <v>85</v>
      </c>
      <c r="CO268" s="214" t="s">
        <v>70</v>
      </c>
      <c r="CP268" s="214" t="s">
        <v>530</v>
      </c>
      <c r="CR268" s="214" t="s">
        <v>17712</v>
      </c>
      <c r="CS268" s="214" t="s">
        <v>529</v>
      </c>
      <c r="CT268" s="214" t="s">
        <v>70</v>
      </c>
      <c r="CU268" s="214" t="s">
        <v>530</v>
      </c>
      <c r="CW268" s="214" t="s">
        <v>17713</v>
      </c>
      <c r="CX268" s="214" t="s">
        <v>34540</v>
      </c>
      <c r="CY268" s="214" t="s">
        <v>70</v>
      </c>
      <c r="CZ268" s="214" t="s">
        <v>530</v>
      </c>
      <c r="DB268" s="214" t="s">
        <v>17714</v>
      </c>
      <c r="DC268" s="214" t="s">
        <v>34542</v>
      </c>
      <c r="DD268" s="214" t="s">
        <v>70</v>
      </c>
      <c r="DE268" s="214" t="s">
        <v>530</v>
      </c>
      <c r="DG268" s="214" t="s">
        <v>17715</v>
      </c>
      <c r="DH268" s="214" t="s">
        <v>148</v>
      </c>
      <c r="DI268" s="214" t="s">
        <v>70</v>
      </c>
      <c r="DJ268" s="214" t="s">
        <v>530</v>
      </c>
      <c r="DL268" s="214" t="s">
        <v>17716</v>
      </c>
      <c r="DM268" s="214" t="s">
        <v>946</v>
      </c>
      <c r="DN268" s="214" t="s">
        <v>70</v>
      </c>
      <c r="DO268" s="214" t="s">
        <v>530</v>
      </c>
      <c r="DQ268" s="214" t="s">
        <v>17717</v>
      </c>
      <c r="DR268" s="214" t="s">
        <v>641</v>
      </c>
      <c r="DS268" s="214" t="s">
        <v>70</v>
      </c>
      <c r="DT268" s="214" t="s">
        <v>530</v>
      </c>
      <c r="DV268" s="214" t="s">
        <v>17718</v>
      </c>
      <c r="DW268" s="214" t="s">
        <v>484</v>
      </c>
      <c r="DX268" s="214" t="s">
        <v>70</v>
      </c>
      <c r="DY268" s="214" t="s">
        <v>530</v>
      </c>
      <c r="EA268" s="214" t="s">
        <v>17719</v>
      </c>
      <c r="EB268" s="214" t="s">
        <v>145</v>
      </c>
      <c r="EC268" s="214" t="s">
        <v>70</v>
      </c>
      <c r="ED268" s="214" t="s">
        <v>530</v>
      </c>
      <c r="EF268" s="214" t="s">
        <v>17720</v>
      </c>
      <c r="EG268" s="214" t="s">
        <v>52</v>
      </c>
      <c r="EH268" s="214" t="s">
        <v>70</v>
      </c>
      <c r="EI268" s="214" t="s">
        <v>530</v>
      </c>
      <c r="EK268" s="214" t="s">
        <v>17721</v>
      </c>
      <c r="EL268" s="214" t="s">
        <v>52</v>
      </c>
      <c r="EM268" s="214" t="s">
        <v>70</v>
      </c>
      <c r="EN268" s="214" t="s">
        <v>530</v>
      </c>
      <c r="EP268" s="214" t="s">
        <v>17722</v>
      </c>
      <c r="EQ268" s="214" t="s">
        <v>87</v>
      </c>
      <c r="ER268" s="214" t="s">
        <v>70</v>
      </c>
      <c r="ES268" s="214" t="s">
        <v>530</v>
      </c>
      <c r="EU268" s="214" t="s">
        <v>17723</v>
      </c>
      <c r="EV268" s="214" t="s">
        <v>468</v>
      </c>
      <c r="EW268" s="214" t="s">
        <v>70</v>
      </c>
      <c r="EX268" s="214" t="s">
        <v>530</v>
      </c>
      <c r="EZ268" s="214" t="s">
        <v>17724</v>
      </c>
      <c r="FA268" s="214" t="s">
        <v>163</v>
      </c>
      <c r="FB268" s="214" t="s">
        <v>70</v>
      </c>
      <c r="FC268" s="214" t="s">
        <v>530</v>
      </c>
      <c r="FE268" s="214" t="s">
        <v>17725</v>
      </c>
      <c r="FF268" s="214" t="s">
        <v>164</v>
      </c>
      <c r="FG268" s="214" t="s">
        <v>70</v>
      </c>
      <c r="FH268" s="214" t="s">
        <v>530</v>
      </c>
      <c r="FJ268" s="321" t="s">
        <v>17726</v>
      </c>
      <c r="FK268" s="214" t="s">
        <v>52</v>
      </c>
      <c r="FL268" s="214" t="s">
        <v>70</v>
      </c>
      <c r="FM268" s="214" t="s">
        <v>530</v>
      </c>
      <c r="FO268" s="321" t="s">
        <v>17727</v>
      </c>
      <c r="FP268" s="214" t="s">
        <v>163</v>
      </c>
      <c r="FQ268" s="214" t="s">
        <v>70</v>
      </c>
      <c r="FR268" s="214" t="s">
        <v>530</v>
      </c>
      <c r="FT268" s="321" t="s">
        <v>17728</v>
      </c>
      <c r="FU268" s="214" t="s">
        <v>52</v>
      </c>
      <c r="FV268" s="214" t="s">
        <v>70</v>
      </c>
      <c r="FW268" s="214" t="s">
        <v>530</v>
      </c>
      <c r="FY268" s="321" t="s">
        <v>17729</v>
      </c>
      <c r="FZ268" s="214" t="s">
        <v>52</v>
      </c>
      <c r="GA268" s="214" t="s">
        <v>70</v>
      </c>
      <c r="GB268" s="214" t="s">
        <v>530</v>
      </c>
      <c r="GD268" s="321" t="s">
        <v>17730</v>
      </c>
      <c r="GE268" s="214" t="s">
        <v>52</v>
      </c>
      <c r="GF268" s="214" t="s">
        <v>70</v>
      </c>
      <c r="GG268" s="214" t="s">
        <v>530</v>
      </c>
      <c r="GI268" s="321" t="s">
        <v>17731</v>
      </c>
      <c r="GJ268" s="214" t="s">
        <v>148</v>
      </c>
      <c r="GK268" s="214" t="s">
        <v>70</v>
      </c>
      <c r="GL268" s="214" t="s">
        <v>530</v>
      </c>
      <c r="GN268" s="321" t="s">
        <v>17732</v>
      </c>
      <c r="GO268" s="214" t="s">
        <v>145</v>
      </c>
      <c r="GP268" s="214" t="s">
        <v>70</v>
      </c>
      <c r="GQ268" s="214" t="s">
        <v>530</v>
      </c>
      <c r="GS268" s="321" t="s">
        <v>17733</v>
      </c>
      <c r="GT268" s="214" t="s">
        <v>34608</v>
      </c>
      <c r="GU268" s="214" t="s">
        <v>70</v>
      </c>
      <c r="GV268" s="214" t="s">
        <v>530</v>
      </c>
      <c r="GX268" s="214" t="s">
        <v>17734</v>
      </c>
      <c r="GY268" s="214" t="s">
        <v>92</v>
      </c>
      <c r="GZ268" s="214" t="s">
        <v>70</v>
      </c>
      <c r="HA268" s="214" t="s">
        <v>530</v>
      </c>
      <c r="HC268" s="214" t="s">
        <v>17735</v>
      </c>
      <c r="HD268" s="214" t="s">
        <v>924</v>
      </c>
      <c r="HE268" s="214" t="s">
        <v>70</v>
      </c>
      <c r="HF268" s="214" t="s">
        <v>530</v>
      </c>
      <c r="HH268" s="214" t="s">
        <v>17736</v>
      </c>
      <c r="HI268" s="214" t="s">
        <v>148</v>
      </c>
      <c r="HJ268" s="214" t="s">
        <v>70</v>
      </c>
      <c r="HK268" s="214" t="s">
        <v>530</v>
      </c>
      <c r="HM268" s="214" t="s">
        <v>17737</v>
      </c>
      <c r="HN268" s="214" t="s">
        <v>918</v>
      </c>
      <c r="HO268" s="214" t="s">
        <v>70</v>
      </c>
      <c r="HP268" s="214" t="s">
        <v>530</v>
      </c>
      <c r="HR268" s="22" t="s">
        <v>17738</v>
      </c>
      <c r="HS268" s="22" t="s">
        <v>481</v>
      </c>
      <c r="HT268" s="22" t="s">
        <v>70</v>
      </c>
      <c r="HU268" s="214" t="s">
        <v>530</v>
      </c>
      <c r="HW268" s="22" t="s">
        <v>17739</v>
      </c>
      <c r="HX268" s="22" t="s">
        <v>10541</v>
      </c>
      <c r="HY268" s="22" t="s">
        <v>70</v>
      </c>
      <c r="HZ268" s="214" t="s">
        <v>530</v>
      </c>
      <c r="IB268" s="22" t="s">
        <v>17740</v>
      </c>
      <c r="IC268" s="22" t="s">
        <v>600</v>
      </c>
      <c r="ID268" s="22" t="s">
        <v>70</v>
      </c>
      <c r="IE268" s="214" t="s">
        <v>530</v>
      </c>
      <c r="IG268" s="22" t="s">
        <v>17741</v>
      </c>
      <c r="IH268" s="22" t="s">
        <v>52</v>
      </c>
      <c r="II268" s="22" t="s">
        <v>70</v>
      </c>
      <c r="IJ268" s="214" t="s">
        <v>530</v>
      </c>
      <c r="IL268" s="22" t="s">
        <v>17742</v>
      </c>
      <c r="IM268" s="22" t="s">
        <v>145</v>
      </c>
      <c r="IN268" s="22" t="s">
        <v>70</v>
      </c>
      <c r="IO268" s="214" t="s">
        <v>530</v>
      </c>
      <c r="IQ268" s="236" t="s">
        <v>17743</v>
      </c>
      <c r="IR268" s="236" t="s">
        <v>145</v>
      </c>
      <c r="IS268" s="236" t="s">
        <v>74</v>
      </c>
      <c r="IT268" s="236" t="s">
        <v>841</v>
      </c>
      <c r="IV268" s="236" t="s">
        <v>17744</v>
      </c>
      <c r="IW268" s="236" t="s">
        <v>145</v>
      </c>
      <c r="IX268" s="236" t="s">
        <v>74</v>
      </c>
      <c r="IY268" s="236" t="s">
        <v>841</v>
      </c>
      <c r="JA268" s="236" t="s">
        <v>17745</v>
      </c>
      <c r="JB268" s="236" t="s">
        <v>145</v>
      </c>
      <c r="JC268" s="236" t="s">
        <v>74</v>
      </c>
      <c r="JD268" s="236" t="s">
        <v>841</v>
      </c>
      <c r="JF268" s="236" t="s">
        <v>17746</v>
      </c>
      <c r="JG268" s="236" t="s">
        <v>145</v>
      </c>
      <c r="JH268" s="236" t="s">
        <v>74</v>
      </c>
      <c r="JI268" s="236" t="s">
        <v>841</v>
      </c>
      <c r="JK268" s="236" t="s">
        <v>17747</v>
      </c>
      <c r="JL268" s="236" t="s">
        <v>145</v>
      </c>
      <c r="JM268" s="236" t="s">
        <v>74</v>
      </c>
      <c r="JN268" s="236" t="s">
        <v>841</v>
      </c>
      <c r="JP268" s="236" t="s">
        <v>17748</v>
      </c>
      <c r="JQ268" s="236" t="s">
        <v>145</v>
      </c>
      <c r="JR268" s="236" t="s">
        <v>74</v>
      </c>
      <c r="JS268" s="236" t="s">
        <v>841</v>
      </c>
      <c r="JU268" s="294" t="s">
        <v>17749</v>
      </c>
      <c r="JV268" s="294" t="s">
        <v>52</v>
      </c>
      <c r="JW268" s="263" t="s">
        <v>70</v>
      </c>
      <c r="JX268" s="294" t="s">
        <v>1083</v>
      </c>
      <c r="JZ268" s="263" t="s">
        <v>17750</v>
      </c>
      <c r="KA268" s="263" t="s">
        <v>145</v>
      </c>
      <c r="KB268" s="263" t="s">
        <v>70</v>
      </c>
      <c r="KC268" s="263" t="s">
        <v>1083</v>
      </c>
      <c r="KE268" s="263" t="s">
        <v>17751</v>
      </c>
      <c r="KF268" s="263" t="s">
        <v>52</v>
      </c>
      <c r="KG268" s="263" t="s">
        <v>70</v>
      </c>
      <c r="KH268" s="263" t="s">
        <v>1083</v>
      </c>
      <c r="KJ268" s="263" t="s">
        <v>17752</v>
      </c>
      <c r="KK268" s="263" t="s">
        <v>52</v>
      </c>
      <c r="KL268" s="263" t="s">
        <v>74</v>
      </c>
      <c r="KM268" s="263" t="s">
        <v>34074</v>
      </c>
      <c r="KO268" s="214" t="s">
        <v>17753</v>
      </c>
      <c r="KP268" s="214" t="s">
        <v>145</v>
      </c>
      <c r="KQ268" s="214" t="s">
        <v>70</v>
      </c>
      <c r="KR268" s="214" t="s">
        <v>67</v>
      </c>
      <c r="KT268" s="22" t="s">
        <v>17754</v>
      </c>
      <c r="KU268" s="22" t="s">
        <v>145</v>
      </c>
      <c r="KV268" s="22" t="s">
        <v>70</v>
      </c>
      <c r="KW268" s="22" t="s">
        <v>67</v>
      </c>
      <c r="KY268" s="214" t="s">
        <v>17755</v>
      </c>
      <c r="KZ268" s="214" t="s">
        <v>52</v>
      </c>
      <c r="LA268" s="214" t="s">
        <v>74</v>
      </c>
      <c r="LB268" s="214" t="s">
        <v>34118</v>
      </c>
      <c r="LD268" s="22" t="s">
        <v>17756</v>
      </c>
      <c r="LE268" s="22" t="s">
        <v>145</v>
      </c>
      <c r="LF268" s="22" t="s">
        <v>70</v>
      </c>
      <c r="LG268" s="22" t="s">
        <v>67</v>
      </c>
    </row>
    <row r="269" spans="1:319">
      <c r="A269" s="22" t="s">
        <v>17757</v>
      </c>
      <c r="B269" s="22" t="s">
        <v>145</v>
      </c>
      <c r="C269" s="22" t="s">
        <v>70</v>
      </c>
      <c r="D269" s="22" t="s">
        <v>67</v>
      </c>
      <c r="F269" s="99" t="s">
        <v>17758</v>
      </c>
      <c r="G269" s="22" t="s">
        <v>145</v>
      </c>
      <c r="H269" s="22" t="s">
        <v>70</v>
      </c>
      <c r="I269" s="22" t="s">
        <v>67</v>
      </c>
      <c r="K269" s="22" t="s">
        <v>17759</v>
      </c>
      <c r="L269" s="22" t="s">
        <v>145</v>
      </c>
      <c r="M269" s="22" t="s">
        <v>70</v>
      </c>
      <c r="N269" s="22" t="s">
        <v>67</v>
      </c>
      <c r="P269" s="22" t="s">
        <v>17760</v>
      </c>
      <c r="Q269" s="22" t="s">
        <v>145</v>
      </c>
      <c r="R269" s="22" t="s">
        <v>70</v>
      </c>
      <c r="S269" s="22" t="s">
        <v>67</v>
      </c>
      <c r="U269" s="293" t="s">
        <v>17761</v>
      </c>
      <c r="V269" s="293" t="s">
        <v>145</v>
      </c>
      <c r="W269" s="293" t="s">
        <v>74</v>
      </c>
      <c r="X269" s="293" t="s">
        <v>656</v>
      </c>
      <c r="Z269" s="293" t="s">
        <v>17762</v>
      </c>
      <c r="AA269" s="293" t="s">
        <v>145</v>
      </c>
      <c r="AB269" s="293" t="s">
        <v>74</v>
      </c>
      <c r="AC269" s="293" t="s">
        <v>656</v>
      </c>
      <c r="AE269" s="293" t="s">
        <v>17763</v>
      </c>
      <c r="AF269" s="293" t="s">
        <v>145</v>
      </c>
      <c r="AG269" s="293" t="s">
        <v>74</v>
      </c>
      <c r="AH269" s="293" t="s">
        <v>656</v>
      </c>
      <c r="AJ269" s="293" t="s">
        <v>17764</v>
      </c>
      <c r="AK269" s="293" t="s">
        <v>145</v>
      </c>
      <c r="AL269" s="293" t="s">
        <v>74</v>
      </c>
      <c r="AM269" s="293" t="s">
        <v>656</v>
      </c>
      <c r="AO269" s="22" t="s">
        <v>17765</v>
      </c>
      <c r="AP269" s="22" t="s">
        <v>145</v>
      </c>
      <c r="AQ269" s="22" t="s">
        <v>70</v>
      </c>
      <c r="AR269" s="22" t="s">
        <v>67</v>
      </c>
      <c r="AT269" s="22" t="s">
        <v>17766</v>
      </c>
      <c r="AU269" s="22" t="s">
        <v>145</v>
      </c>
      <c r="AV269" s="22" t="s">
        <v>70</v>
      </c>
      <c r="AW269" s="22" t="s">
        <v>67</v>
      </c>
      <c r="AY269" s="22" t="s">
        <v>17767</v>
      </c>
      <c r="AZ269" s="22" t="s">
        <v>145</v>
      </c>
      <c r="BA269" s="22" t="s">
        <v>70</v>
      </c>
      <c r="BB269" s="22" t="s">
        <v>67</v>
      </c>
      <c r="BD269" s="22" t="s">
        <v>17768</v>
      </c>
      <c r="BE269" s="22" t="s">
        <v>145</v>
      </c>
      <c r="BF269" s="22" t="s">
        <v>70</v>
      </c>
      <c r="BG269" s="22" t="s">
        <v>67</v>
      </c>
      <c r="BI269" s="22" t="s">
        <v>17769</v>
      </c>
      <c r="BJ269" s="22" t="s">
        <v>145</v>
      </c>
      <c r="BK269" s="22" t="s">
        <v>70</v>
      </c>
      <c r="BL269" s="22" t="s">
        <v>67</v>
      </c>
      <c r="BN269" s="22" t="s">
        <v>17770</v>
      </c>
      <c r="BO269" s="22" t="s">
        <v>145</v>
      </c>
      <c r="BP269" s="22" t="s">
        <v>70</v>
      </c>
      <c r="BQ269" s="22" t="s">
        <v>67</v>
      </c>
      <c r="BS269" s="22" t="s">
        <v>17771</v>
      </c>
      <c r="BT269" s="22" t="s">
        <v>145</v>
      </c>
      <c r="BU269" s="22" t="s">
        <v>70</v>
      </c>
      <c r="BV269" s="214" t="s">
        <v>530</v>
      </c>
      <c r="BX269" s="22" t="s">
        <v>17772</v>
      </c>
      <c r="BY269" s="22" t="s">
        <v>145</v>
      </c>
      <c r="BZ269" s="22" t="s">
        <v>70</v>
      </c>
      <c r="CA269" s="214" t="s">
        <v>530</v>
      </c>
      <c r="CC269" s="214" t="s">
        <v>17773</v>
      </c>
      <c r="CD269" s="218" t="s">
        <v>145</v>
      </c>
      <c r="CE269" s="214" t="s">
        <v>70</v>
      </c>
      <c r="CF269" s="214" t="s">
        <v>722</v>
      </c>
      <c r="CH269" s="214" t="s">
        <v>17774</v>
      </c>
      <c r="CI269" s="214" t="s">
        <v>491</v>
      </c>
      <c r="CJ269" s="214" t="s">
        <v>70</v>
      </c>
      <c r="CK269" s="214" t="s">
        <v>530</v>
      </c>
      <c r="CM269" s="214" t="s">
        <v>17775</v>
      </c>
      <c r="CN269" s="214" t="s">
        <v>485</v>
      </c>
      <c r="CO269" s="214" t="s">
        <v>70</v>
      </c>
      <c r="CP269" s="214" t="s">
        <v>530</v>
      </c>
      <c r="CR269" s="214" t="s">
        <v>17776</v>
      </c>
      <c r="CS269" s="214" t="s">
        <v>34575</v>
      </c>
      <c r="CT269" s="214" t="s">
        <v>70</v>
      </c>
      <c r="CU269" s="214" t="s">
        <v>530</v>
      </c>
      <c r="CW269" s="214" t="s">
        <v>17777</v>
      </c>
      <c r="CX269" s="214" t="s">
        <v>146</v>
      </c>
      <c r="CY269" s="214" t="s">
        <v>70</v>
      </c>
      <c r="CZ269" s="214" t="s">
        <v>530</v>
      </c>
      <c r="DB269" s="214" t="s">
        <v>17778</v>
      </c>
      <c r="DC269" s="214" t="s">
        <v>34552</v>
      </c>
      <c r="DD269" s="214" t="s">
        <v>70</v>
      </c>
      <c r="DE269" s="214" t="s">
        <v>530</v>
      </c>
      <c r="DG269" s="214" t="s">
        <v>17779</v>
      </c>
      <c r="DH269" s="214" t="s">
        <v>34544</v>
      </c>
      <c r="DI269" s="214" t="s">
        <v>70</v>
      </c>
      <c r="DJ269" s="214" t="s">
        <v>530</v>
      </c>
      <c r="DL269" s="214" t="s">
        <v>17780</v>
      </c>
      <c r="DM269" s="214" t="s">
        <v>85</v>
      </c>
      <c r="DN269" s="214" t="s">
        <v>70</v>
      </c>
      <c r="DO269" s="214" t="s">
        <v>530</v>
      </c>
      <c r="DQ269" s="214" t="s">
        <v>17781</v>
      </c>
      <c r="DR269" s="214" t="s">
        <v>468</v>
      </c>
      <c r="DS269" s="214" t="s">
        <v>70</v>
      </c>
      <c r="DT269" s="214" t="s">
        <v>530</v>
      </c>
      <c r="DV269" s="214" t="s">
        <v>17782</v>
      </c>
      <c r="DW269" s="214" t="s">
        <v>488</v>
      </c>
      <c r="DX269" s="214" t="s">
        <v>70</v>
      </c>
      <c r="DY269" s="214" t="s">
        <v>530</v>
      </c>
      <c r="EA269" s="214" t="s">
        <v>17783</v>
      </c>
      <c r="EB269" s="214" t="s">
        <v>145</v>
      </c>
      <c r="EC269" s="214" t="s">
        <v>70</v>
      </c>
      <c r="ED269" s="214" t="s">
        <v>530</v>
      </c>
      <c r="EF269" s="214" t="s">
        <v>17784</v>
      </c>
      <c r="EG269" s="214" t="s">
        <v>485</v>
      </c>
      <c r="EH269" s="214" t="s">
        <v>70</v>
      </c>
      <c r="EI269" s="214" t="s">
        <v>530</v>
      </c>
      <c r="EK269" s="214" t="s">
        <v>17785</v>
      </c>
      <c r="EL269" s="214" t="s">
        <v>52</v>
      </c>
      <c r="EM269" s="214" t="s">
        <v>70</v>
      </c>
      <c r="EN269" s="214" t="s">
        <v>530</v>
      </c>
      <c r="EP269" s="214" t="s">
        <v>17786</v>
      </c>
      <c r="EQ269" s="214" t="s">
        <v>488</v>
      </c>
      <c r="ER269" s="214" t="s">
        <v>70</v>
      </c>
      <c r="ES269" s="214" t="s">
        <v>530</v>
      </c>
      <c r="EU269" s="214" t="s">
        <v>17787</v>
      </c>
      <c r="EV269" s="214" t="s">
        <v>34595</v>
      </c>
      <c r="EW269" s="214" t="s">
        <v>70</v>
      </c>
      <c r="EX269" s="214" t="s">
        <v>530</v>
      </c>
      <c r="EZ269" s="214" t="s">
        <v>17788</v>
      </c>
      <c r="FA269" s="214" t="s">
        <v>34580</v>
      </c>
      <c r="FB269" s="214" t="s">
        <v>70</v>
      </c>
      <c r="FC269" s="214" t="s">
        <v>530</v>
      </c>
      <c r="FE269" s="214" t="s">
        <v>17789</v>
      </c>
      <c r="FF269" s="214" t="s">
        <v>502</v>
      </c>
      <c r="FG269" s="214" t="s">
        <v>70</v>
      </c>
      <c r="FH269" s="214" t="s">
        <v>530</v>
      </c>
      <c r="FJ269" s="321" t="s">
        <v>17790</v>
      </c>
      <c r="FK269" s="214" t="s">
        <v>34550</v>
      </c>
      <c r="FL269" s="214" t="s">
        <v>70</v>
      </c>
      <c r="FM269" s="214" t="s">
        <v>530</v>
      </c>
      <c r="FO269" s="321" t="s">
        <v>17791</v>
      </c>
      <c r="FP269" s="214" t="s">
        <v>34587</v>
      </c>
      <c r="FQ269" s="214" t="s">
        <v>70</v>
      </c>
      <c r="FR269" s="214" t="s">
        <v>530</v>
      </c>
      <c r="FT269" s="321" t="s">
        <v>17792</v>
      </c>
      <c r="FU269" s="214" t="s">
        <v>203</v>
      </c>
      <c r="FV269" s="214" t="s">
        <v>70</v>
      </c>
      <c r="FW269" s="214" t="s">
        <v>530</v>
      </c>
      <c r="FY269" s="321" t="s">
        <v>17793</v>
      </c>
      <c r="FZ269" s="214" t="s">
        <v>917</v>
      </c>
      <c r="GA269" s="214" t="s">
        <v>70</v>
      </c>
      <c r="GB269" s="214" t="s">
        <v>530</v>
      </c>
      <c r="GD269" s="321" t="s">
        <v>17794</v>
      </c>
      <c r="GE269" s="214" t="s">
        <v>955</v>
      </c>
      <c r="GF269" s="214" t="s">
        <v>70</v>
      </c>
      <c r="GG269" s="214" t="s">
        <v>530</v>
      </c>
      <c r="GI269" s="321" t="s">
        <v>17795</v>
      </c>
      <c r="GJ269" s="214" t="s">
        <v>468</v>
      </c>
      <c r="GK269" s="214" t="s">
        <v>70</v>
      </c>
      <c r="GL269" s="214" t="s">
        <v>530</v>
      </c>
      <c r="GN269" s="321" t="s">
        <v>17796</v>
      </c>
      <c r="GO269" s="214" t="s">
        <v>52</v>
      </c>
      <c r="GP269" s="214" t="s">
        <v>70</v>
      </c>
      <c r="GQ269" s="214" t="s">
        <v>530</v>
      </c>
      <c r="GS269" s="321" t="s">
        <v>17797</v>
      </c>
      <c r="GT269" s="214" t="s">
        <v>503</v>
      </c>
      <c r="GU269" s="214" t="s">
        <v>70</v>
      </c>
      <c r="GV269" s="214" t="s">
        <v>530</v>
      </c>
      <c r="GX269" s="214" t="s">
        <v>17798</v>
      </c>
      <c r="GY269" s="214" t="s">
        <v>491</v>
      </c>
      <c r="GZ269" s="214" t="s">
        <v>70</v>
      </c>
      <c r="HA269" s="214" t="s">
        <v>530</v>
      </c>
      <c r="HC269" s="214" t="s">
        <v>17799</v>
      </c>
      <c r="HD269" s="214" t="s">
        <v>93</v>
      </c>
      <c r="HE269" s="214" t="s">
        <v>70</v>
      </c>
      <c r="HF269" s="214" t="s">
        <v>530</v>
      </c>
      <c r="HH269" s="214" t="s">
        <v>17800</v>
      </c>
      <c r="HI269" s="214" t="s">
        <v>486</v>
      </c>
      <c r="HJ269" s="214" t="s">
        <v>70</v>
      </c>
      <c r="HK269" s="214" t="s">
        <v>530</v>
      </c>
      <c r="HM269" s="214" t="s">
        <v>17801</v>
      </c>
      <c r="HN269" s="214" t="s">
        <v>145</v>
      </c>
      <c r="HO269" s="214" t="s">
        <v>70</v>
      </c>
      <c r="HP269" s="214" t="s">
        <v>530</v>
      </c>
      <c r="HR269" s="22" t="s">
        <v>17802</v>
      </c>
      <c r="HS269" s="22" t="s">
        <v>496</v>
      </c>
      <c r="HT269" s="22" t="s">
        <v>70</v>
      </c>
      <c r="HU269" s="214" t="s">
        <v>530</v>
      </c>
      <c r="HW269" s="22" t="s">
        <v>17803</v>
      </c>
      <c r="HX269" s="22" t="s">
        <v>34558</v>
      </c>
      <c r="HY269" s="22" t="s">
        <v>70</v>
      </c>
      <c r="HZ269" s="214" t="s">
        <v>530</v>
      </c>
      <c r="IB269" s="22" t="s">
        <v>17804</v>
      </c>
      <c r="IC269" s="22" t="s">
        <v>491</v>
      </c>
      <c r="ID269" s="22" t="s">
        <v>70</v>
      </c>
      <c r="IE269" s="214" t="s">
        <v>530</v>
      </c>
      <c r="IG269" s="22" t="s">
        <v>17805</v>
      </c>
      <c r="IH269" s="22" t="s">
        <v>52</v>
      </c>
      <c r="II269" s="22" t="s">
        <v>70</v>
      </c>
      <c r="IJ269" s="214" t="s">
        <v>530</v>
      </c>
      <c r="IL269" s="22" t="s">
        <v>17806</v>
      </c>
      <c r="IM269" s="22" t="s">
        <v>145</v>
      </c>
      <c r="IN269" s="22" t="s">
        <v>70</v>
      </c>
      <c r="IO269" s="214" t="s">
        <v>530</v>
      </c>
      <c r="IQ269" s="236" t="s">
        <v>17807</v>
      </c>
      <c r="IR269" s="236" t="s">
        <v>145</v>
      </c>
      <c r="IS269" s="236" t="s">
        <v>74</v>
      </c>
      <c r="IT269" s="236" t="s">
        <v>841</v>
      </c>
      <c r="IV269" s="236" t="s">
        <v>17808</v>
      </c>
      <c r="IW269" s="236" t="s">
        <v>145</v>
      </c>
      <c r="IX269" s="236" t="s">
        <v>74</v>
      </c>
      <c r="IY269" s="236" t="s">
        <v>841</v>
      </c>
      <c r="JA269" s="236" t="s">
        <v>17809</v>
      </c>
      <c r="JB269" s="236" t="s">
        <v>145</v>
      </c>
      <c r="JC269" s="236" t="s">
        <v>74</v>
      </c>
      <c r="JD269" s="236" t="s">
        <v>841</v>
      </c>
      <c r="JF269" s="236" t="s">
        <v>17810</v>
      </c>
      <c r="JG269" s="236" t="s">
        <v>145</v>
      </c>
      <c r="JH269" s="236" t="s">
        <v>74</v>
      </c>
      <c r="JI269" s="236" t="s">
        <v>841</v>
      </c>
      <c r="JK269" s="236" t="s">
        <v>17811</v>
      </c>
      <c r="JL269" s="236" t="s">
        <v>145</v>
      </c>
      <c r="JM269" s="236" t="s">
        <v>74</v>
      </c>
      <c r="JN269" s="236" t="s">
        <v>841</v>
      </c>
      <c r="JP269" s="236" t="s">
        <v>17812</v>
      </c>
      <c r="JQ269" s="236" t="s">
        <v>145</v>
      </c>
      <c r="JR269" s="236" t="s">
        <v>74</v>
      </c>
      <c r="JS269" s="236" t="s">
        <v>841</v>
      </c>
      <c r="JU269" s="294" t="s">
        <v>17813</v>
      </c>
      <c r="JV269" s="294" t="s">
        <v>52</v>
      </c>
      <c r="JW269" s="263" t="s">
        <v>70</v>
      </c>
      <c r="JX269" s="294" t="s">
        <v>1083</v>
      </c>
      <c r="JZ269" s="263" t="s">
        <v>17814</v>
      </c>
      <c r="KA269" s="263" t="s">
        <v>145</v>
      </c>
      <c r="KB269" s="263" t="s">
        <v>70</v>
      </c>
      <c r="KC269" s="263" t="s">
        <v>1083</v>
      </c>
      <c r="KE269" s="263" t="s">
        <v>17815</v>
      </c>
      <c r="KF269" s="263" t="s">
        <v>52</v>
      </c>
      <c r="KG269" s="263" t="s">
        <v>70</v>
      </c>
      <c r="KH269" s="263" t="s">
        <v>1083</v>
      </c>
      <c r="KJ269" s="263" t="s">
        <v>17816</v>
      </c>
      <c r="KK269" s="263" t="s">
        <v>52</v>
      </c>
      <c r="KL269" s="263" t="s">
        <v>74</v>
      </c>
      <c r="KM269" s="263" t="s">
        <v>34074</v>
      </c>
      <c r="KO269" s="214" t="s">
        <v>17817</v>
      </c>
      <c r="KP269" s="214" t="s">
        <v>145</v>
      </c>
      <c r="KQ269" s="214" t="s">
        <v>70</v>
      </c>
      <c r="KR269" s="214" t="s">
        <v>67</v>
      </c>
      <c r="KT269" s="22" t="s">
        <v>17818</v>
      </c>
      <c r="KU269" s="22" t="s">
        <v>145</v>
      </c>
      <c r="KV269" s="22" t="s">
        <v>70</v>
      </c>
      <c r="KW269" s="22" t="s">
        <v>67</v>
      </c>
      <c r="KY269" s="214" t="s">
        <v>17819</v>
      </c>
      <c r="KZ269" s="214" t="s">
        <v>52</v>
      </c>
      <c r="LA269" s="214" t="s">
        <v>74</v>
      </c>
      <c r="LB269" s="214" t="s">
        <v>34118</v>
      </c>
      <c r="LD269" s="22" t="s">
        <v>17820</v>
      </c>
      <c r="LE269" s="22" t="s">
        <v>145</v>
      </c>
      <c r="LF269" s="22" t="s">
        <v>70</v>
      </c>
      <c r="LG269" s="22" t="s">
        <v>67</v>
      </c>
    </row>
    <row r="270" spans="1:319">
      <c r="A270" s="22" t="s">
        <v>17821</v>
      </c>
      <c r="B270" s="22" t="s">
        <v>145</v>
      </c>
      <c r="C270" s="22" t="s">
        <v>70</v>
      </c>
      <c r="D270" s="22" t="s">
        <v>67</v>
      </c>
      <c r="F270" s="99" t="s">
        <v>17822</v>
      </c>
      <c r="G270" s="22" t="s">
        <v>145</v>
      </c>
      <c r="H270" s="22" t="s">
        <v>70</v>
      </c>
      <c r="I270" s="22" t="s">
        <v>67</v>
      </c>
      <c r="K270" s="22" t="s">
        <v>17823</v>
      </c>
      <c r="L270" s="22" t="s">
        <v>145</v>
      </c>
      <c r="M270" s="22" t="s">
        <v>70</v>
      </c>
      <c r="N270" s="22" t="s">
        <v>67</v>
      </c>
      <c r="P270" s="22" t="s">
        <v>17824</v>
      </c>
      <c r="Q270" s="22" t="s">
        <v>145</v>
      </c>
      <c r="R270" s="22" t="s">
        <v>70</v>
      </c>
      <c r="S270" s="22" t="s">
        <v>67</v>
      </c>
      <c r="U270" s="293" t="s">
        <v>17825</v>
      </c>
      <c r="V270" s="293" t="s">
        <v>145</v>
      </c>
      <c r="W270" s="293" t="s">
        <v>74</v>
      </c>
      <c r="X270" s="293" t="s">
        <v>656</v>
      </c>
      <c r="Z270" s="293" t="s">
        <v>17826</v>
      </c>
      <c r="AA270" s="293" t="s">
        <v>145</v>
      </c>
      <c r="AB270" s="293" t="s">
        <v>74</v>
      </c>
      <c r="AC270" s="293" t="s">
        <v>656</v>
      </c>
      <c r="AE270" s="293" t="s">
        <v>17827</v>
      </c>
      <c r="AF270" s="293" t="s">
        <v>145</v>
      </c>
      <c r="AG270" s="293" t="s">
        <v>74</v>
      </c>
      <c r="AH270" s="293" t="s">
        <v>656</v>
      </c>
      <c r="AJ270" s="293" t="s">
        <v>17828</v>
      </c>
      <c r="AK270" s="293" t="s">
        <v>145</v>
      </c>
      <c r="AL270" s="293" t="s">
        <v>74</v>
      </c>
      <c r="AM270" s="293" t="s">
        <v>656</v>
      </c>
      <c r="AO270" s="22" t="s">
        <v>17829</v>
      </c>
      <c r="AP270" s="22" t="s">
        <v>145</v>
      </c>
      <c r="AQ270" s="22" t="s">
        <v>70</v>
      </c>
      <c r="AR270" s="22" t="s">
        <v>67</v>
      </c>
      <c r="AT270" s="22" t="s">
        <v>17830</v>
      </c>
      <c r="AU270" s="22" t="s">
        <v>145</v>
      </c>
      <c r="AV270" s="22" t="s">
        <v>70</v>
      </c>
      <c r="AW270" s="22" t="s">
        <v>67</v>
      </c>
      <c r="AY270" s="22" t="s">
        <v>17831</v>
      </c>
      <c r="AZ270" s="22" t="s">
        <v>145</v>
      </c>
      <c r="BA270" s="22" t="s">
        <v>70</v>
      </c>
      <c r="BB270" s="22" t="s">
        <v>67</v>
      </c>
      <c r="BD270" s="22" t="s">
        <v>17832</v>
      </c>
      <c r="BE270" s="22" t="s">
        <v>145</v>
      </c>
      <c r="BF270" s="22" t="s">
        <v>70</v>
      </c>
      <c r="BG270" s="22" t="s">
        <v>67</v>
      </c>
      <c r="BI270" s="22" t="s">
        <v>17833</v>
      </c>
      <c r="BJ270" s="22" t="s">
        <v>145</v>
      </c>
      <c r="BK270" s="22" t="s">
        <v>70</v>
      </c>
      <c r="BL270" s="22" t="s">
        <v>67</v>
      </c>
      <c r="BN270" s="22" t="s">
        <v>17834</v>
      </c>
      <c r="BO270" s="22" t="s">
        <v>145</v>
      </c>
      <c r="BP270" s="22" t="s">
        <v>70</v>
      </c>
      <c r="BQ270" s="22" t="s">
        <v>67</v>
      </c>
      <c r="BS270" s="22" t="s">
        <v>17835</v>
      </c>
      <c r="BT270" s="22" t="s">
        <v>145</v>
      </c>
      <c r="BU270" s="22" t="s">
        <v>70</v>
      </c>
      <c r="BV270" s="214" t="s">
        <v>530</v>
      </c>
      <c r="BX270" s="22" t="s">
        <v>17836</v>
      </c>
      <c r="BY270" s="22" t="s">
        <v>145</v>
      </c>
      <c r="BZ270" s="22" t="s">
        <v>70</v>
      </c>
      <c r="CA270" s="214" t="s">
        <v>530</v>
      </c>
      <c r="CC270" s="214" t="s">
        <v>17837</v>
      </c>
      <c r="CD270" s="218" t="s">
        <v>145</v>
      </c>
      <c r="CE270" s="214" t="s">
        <v>70</v>
      </c>
      <c r="CF270" s="214" t="s">
        <v>723</v>
      </c>
      <c r="CH270" s="214" t="s">
        <v>17838</v>
      </c>
      <c r="CI270" s="214" t="s">
        <v>52</v>
      </c>
      <c r="CJ270" s="214" t="s">
        <v>70</v>
      </c>
      <c r="CK270" s="214" t="s">
        <v>530</v>
      </c>
      <c r="CM270" s="214" t="s">
        <v>17839</v>
      </c>
      <c r="CN270" s="214" t="s">
        <v>34545</v>
      </c>
      <c r="CO270" s="214" t="s">
        <v>70</v>
      </c>
      <c r="CP270" s="214" t="s">
        <v>530</v>
      </c>
      <c r="CR270" s="214" t="s">
        <v>17840</v>
      </c>
      <c r="CS270" s="214" t="s">
        <v>52</v>
      </c>
      <c r="CT270" s="214" t="s">
        <v>70</v>
      </c>
      <c r="CU270" s="214" t="s">
        <v>530</v>
      </c>
      <c r="CW270" s="214" t="s">
        <v>17841</v>
      </c>
      <c r="CX270" s="214" t="s">
        <v>85</v>
      </c>
      <c r="CY270" s="214" t="s">
        <v>70</v>
      </c>
      <c r="CZ270" s="214" t="s">
        <v>530</v>
      </c>
      <c r="DB270" s="214" t="s">
        <v>17842</v>
      </c>
      <c r="DC270" s="214" t="s">
        <v>468</v>
      </c>
      <c r="DD270" s="214" t="s">
        <v>70</v>
      </c>
      <c r="DE270" s="214" t="s">
        <v>530</v>
      </c>
      <c r="DG270" s="214" t="s">
        <v>17843</v>
      </c>
      <c r="DH270" s="214" t="s">
        <v>927</v>
      </c>
      <c r="DI270" s="214" t="s">
        <v>70</v>
      </c>
      <c r="DJ270" s="214" t="s">
        <v>530</v>
      </c>
      <c r="DL270" s="214" t="s">
        <v>17844</v>
      </c>
      <c r="DM270" s="214" t="s">
        <v>34605</v>
      </c>
      <c r="DN270" s="214" t="s">
        <v>70</v>
      </c>
      <c r="DO270" s="214" t="s">
        <v>530</v>
      </c>
      <c r="DQ270" s="214" t="s">
        <v>17845</v>
      </c>
      <c r="DR270" s="214" t="s">
        <v>468</v>
      </c>
      <c r="DS270" s="214" t="s">
        <v>70</v>
      </c>
      <c r="DT270" s="214" t="s">
        <v>530</v>
      </c>
      <c r="DV270" s="214" t="s">
        <v>17846</v>
      </c>
      <c r="DW270" s="214" t="s">
        <v>52</v>
      </c>
      <c r="DX270" s="214" t="s">
        <v>70</v>
      </c>
      <c r="DY270" s="214" t="s">
        <v>530</v>
      </c>
      <c r="EA270" s="214" t="s">
        <v>17847</v>
      </c>
      <c r="EB270" s="214" t="s">
        <v>52</v>
      </c>
      <c r="EC270" s="214" t="s">
        <v>70</v>
      </c>
      <c r="ED270" s="214" t="s">
        <v>530</v>
      </c>
      <c r="EF270" s="214" t="s">
        <v>17848</v>
      </c>
      <c r="EG270" s="214" t="s">
        <v>163</v>
      </c>
      <c r="EH270" s="214" t="s">
        <v>70</v>
      </c>
      <c r="EI270" s="214" t="s">
        <v>530</v>
      </c>
      <c r="EK270" s="214" t="s">
        <v>17849</v>
      </c>
      <c r="EL270" s="214" t="s">
        <v>148</v>
      </c>
      <c r="EM270" s="214" t="s">
        <v>70</v>
      </c>
      <c r="EN270" s="214" t="s">
        <v>530</v>
      </c>
      <c r="EP270" s="214" t="s">
        <v>17850</v>
      </c>
      <c r="EQ270" s="214" t="s">
        <v>34563</v>
      </c>
      <c r="ER270" s="214" t="s">
        <v>70</v>
      </c>
      <c r="ES270" s="214" t="s">
        <v>530</v>
      </c>
      <c r="EU270" s="214" t="s">
        <v>17851</v>
      </c>
      <c r="EV270" s="214" t="s">
        <v>52</v>
      </c>
      <c r="EW270" s="214" t="s">
        <v>70</v>
      </c>
      <c r="EX270" s="214" t="s">
        <v>530</v>
      </c>
      <c r="EZ270" s="214" t="s">
        <v>17852</v>
      </c>
      <c r="FA270" s="214" t="s">
        <v>945</v>
      </c>
      <c r="FB270" s="214" t="s">
        <v>70</v>
      </c>
      <c r="FC270" s="214" t="s">
        <v>530</v>
      </c>
      <c r="FE270" s="214" t="s">
        <v>17853</v>
      </c>
      <c r="FF270" s="214" t="s">
        <v>103</v>
      </c>
      <c r="FG270" s="214" t="s">
        <v>70</v>
      </c>
      <c r="FH270" s="214" t="s">
        <v>530</v>
      </c>
      <c r="FJ270" s="321" t="s">
        <v>17854</v>
      </c>
      <c r="FK270" s="214" t="s">
        <v>34589</v>
      </c>
      <c r="FL270" s="214" t="s">
        <v>70</v>
      </c>
      <c r="FM270" s="214" t="s">
        <v>530</v>
      </c>
      <c r="FO270" s="321" t="s">
        <v>17855</v>
      </c>
      <c r="FP270" s="214" t="s">
        <v>921</v>
      </c>
      <c r="FQ270" s="214" t="s">
        <v>70</v>
      </c>
      <c r="FR270" s="214" t="s">
        <v>530</v>
      </c>
      <c r="FT270" s="321" t="s">
        <v>17856</v>
      </c>
      <c r="FU270" s="214" t="s">
        <v>915</v>
      </c>
      <c r="FV270" s="214" t="s">
        <v>70</v>
      </c>
      <c r="FW270" s="214" t="s">
        <v>530</v>
      </c>
      <c r="FY270" s="321" t="s">
        <v>17857</v>
      </c>
      <c r="FZ270" s="214" t="s">
        <v>163</v>
      </c>
      <c r="GA270" s="214" t="s">
        <v>70</v>
      </c>
      <c r="GB270" s="214" t="s">
        <v>530</v>
      </c>
      <c r="GD270" s="321" t="s">
        <v>17858</v>
      </c>
      <c r="GE270" s="214" t="s">
        <v>529</v>
      </c>
      <c r="GF270" s="214" t="s">
        <v>70</v>
      </c>
      <c r="GG270" s="214" t="s">
        <v>530</v>
      </c>
      <c r="GI270" s="321" t="s">
        <v>17859</v>
      </c>
      <c r="GJ270" s="214" t="s">
        <v>481</v>
      </c>
      <c r="GK270" s="214" t="s">
        <v>70</v>
      </c>
      <c r="GL270" s="214" t="s">
        <v>530</v>
      </c>
      <c r="GN270" s="321" t="s">
        <v>17860</v>
      </c>
      <c r="GO270" s="214" t="s">
        <v>145</v>
      </c>
      <c r="GP270" s="214" t="s">
        <v>70</v>
      </c>
      <c r="GQ270" s="214" t="s">
        <v>530</v>
      </c>
      <c r="GS270" s="321" t="s">
        <v>17861</v>
      </c>
      <c r="GT270" s="214" t="s">
        <v>641</v>
      </c>
      <c r="GU270" s="214" t="s">
        <v>70</v>
      </c>
      <c r="GV270" s="214" t="s">
        <v>530</v>
      </c>
      <c r="GX270" s="214" t="s">
        <v>17862</v>
      </c>
      <c r="GY270" s="214" t="s">
        <v>52</v>
      </c>
      <c r="GZ270" s="214" t="s">
        <v>70</v>
      </c>
      <c r="HA270" s="214" t="s">
        <v>530</v>
      </c>
      <c r="HC270" s="214" t="s">
        <v>17863</v>
      </c>
      <c r="HD270" s="214" t="s">
        <v>498</v>
      </c>
      <c r="HE270" s="214" t="s">
        <v>70</v>
      </c>
      <c r="HF270" s="214" t="s">
        <v>530</v>
      </c>
      <c r="HH270" s="214" t="s">
        <v>17864</v>
      </c>
      <c r="HI270" s="214" t="s">
        <v>604</v>
      </c>
      <c r="HJ270" s="214" t="s">
        <v>70</v>
      </c>
      <c r="HK270" s="214" t="s">
        <v>530</v>
      </c>
      <c r="HM270" s="214" t="s">
        <v>17865</v>
      </c>
      <c r="HN270" s="214" t="s">
        <v>599</v>
      </c>
      <c r="HO270" s="214" t="s">
        <v>70</v>
      </c>
      <c r="HP270" s="214" t="s">
        <v>530</v>
      </c>
      <c r="HR270" s="22" t="s">
        <v>17866</v>
      </c>
      <c r="HS270" s="22" t="s">
        <v>90</v>
      </c>
      <c r="HT270" s="22" t="s">
        <v>70</v>
      </c>
      <c r="HU270" s="214" t="s">
        <v>530</v>
      </c>
      <c r="HW270" s="22" t="s">
        <v>17867</v>
      </c>
      <c r="HX270" s="22" t="s">
        <v>599</v>
      </c>
      <c r="HY270" s="22" t="s">
        <v>70</v>
      </c>
      <c r="HZ270" s="214" t="s">
        <v>530</v>
      </c>
      <c r="IB270" s="22" t="s">
        <v>17868</v>
      </c>
      <c r="IC270" s="22" t="s">
        <v>148</v>
      </c>
      <c r="ID270" s="22" t="s">
        <v>70</v>
      </c>
      <c r="IE270" s="214" t="s">
        <v>530</v>
      </c>
      <c r="IG270" s="22" t="s">
        <v>17869</v>
      </c>
      <c r="IH270" s="22" t="s">
        <v>52</v>
      </c>
      <c r="II270" s="22" t="s">
        <v>70</v>
      </c>
      <c r="IJ270" s="214" t="s">
        <v>530</v>
      </c>
      <c r="IL270" s="22" t="s">
        <v>17870</v>
      </c>
      <c r="IM270" s="22" t="s">
        <v>145</v>
      </c>
      <c r="IN270" s="22" t="s">
        <v>70</v>
      </c>
      <c r="IO270" s="214" t="s">
        <v>530</v>
      </c>
      <c r="IQ270" s="236" t="s">
        <v>17871</v>
      </c>
      <c r="IR270" s="236" t="s">
        <v>145</v>
      </c>
      <c r="IS270" s="236" t="s">
        <v>74</v>
      </c>
      <c r="IT270" s="236" t="s">
        <v>841</v>
      </c>
      <c r="IV270" s="236" t="s">
        <v>17872</v>
      </c>
      <c r="IW270" s="236" t="s">
        <v>145</v>
      </c>
      <c r="IX270" s="236" t="s">
        <v>74</v>
      </c>
      <c r="IY270" s="236" t="s">
        <v>841</v>
      </c>
      <c r="JA270" s="236" t="s">
        <v>17873</v>
      </c>
      <c r="JB270" s="236" t="s">
        <v>145</v>
      </c>
      <c r="JC270" s="236" t="s">
        <v>74</v>
      </c>
      <c r="JD270" s="236" t="s">
        <v>841</v>
      </c>
      <c r="JF270" s="236" t="s">
        <v>17874</v>
      </c>
      <c r="JG270" s="236" t="s">
        <v>145</v>
      </c>
      <c r="JH270" s="236" t="s">
        <v>74</v>
      </c>
      <c r="JI270" s="236" t="s">
        <v>841</v>
      </c>
      <c r="JK270" s="236" t="s">
        <v>17875</v>
      </c>
      <c r="JL270" s="236" t="s">
        <v>145</v>
      </c>
      <c r="JM270" s="236" t="s">
        <v>74</v>
      </c>
      <c r="JN270" s="236" t="s">
        <v>841</v>
      </c>
      <c r="JP270" s="236" t="s">
        <v>17876</v>
      </c>
      <c r="JQ270" s="236" t="s">
        <v>145</v>
      </c>
      <c r="JR270" s="236" t="s">
        <v>74</v>
      </c>
      <c r="JS270" s="236" t="s">
        <v>841</v>
      </c>
      <c r="JU270" s="294" t="s">
        <v>17877</v>
      </c>
      <c r="JV270" s="294" t="s">
        <v>52</v>
      </c>
      <c r="JW270" s="263" t="s">
        <v>70</v>
      </c>
      <c r="JX270" s="294" t="s">
        <v>1083</v>
      </c>
      <c r="JZ270" s="263" t="s">
        <v>17878</v>
      </c>
      <c r="KA270" s="263" t="s">
        <v>145</v>
      </c>
      <c r="KB270" s="263" t="s">
        <v>70</v>
      </c>
      <c r="KC270" s="263" t="s">
        <v>1083</v>
      </c>
      <c r="KE270" s="263" t="s">
        <v>17879</v>
      </c>
      <c r="KF270" s="263" t="s">
        <v>52</v>
      </c>
      <c r="KG270" s="263" t="s">
        <v>70</v>
      </c>
      <c r="KH270" s="263" t="s">
        <v>1083</v>
      </c>
      <c r="KJ270" s="263" t="s">
        <v>17880</v>
      </c>
      <c r="KK270" s="263" t="s">
        <v>52</v>
      </c>
      <c r="KL270" s="263" t="s">
        <v>74</v>
      </c>
      <c r="KM270" s="263" t="s">
        <v>34074</v>
      </c>
      <c r="KO270" s="214" t="s">
        <v>17881</v>
      </c>
      <c r="KP270" s="214" t="s">
        <v>145</v>
      </c>
      <c r="KQ270" s="214" t="s">
        <v>70</v>
      </c>
      <c r="KR270" s="214" t="s">
        <v>67</v>
      </c>
      <c r="KT270" s="22" t="s">
        <v>17882</v>
      </c>
      <c r="KU270" s="22" t="s">
        <v>145</v>
      </c>
      <c r="KV270" s="22" t="s">
        <v>70</v>
      </c>
      <c r="KW270" s="22" t="s">
        <v>67</v>
      </c>
      <c r="KY270" s="214" t="s">
        <v>17883</v>
      </c>
      <c r="KZ270" s="214" t="s">
        <v>52</v>
      </c>
      <c r="LA270" s="214" t="s">
        <v>74</v>
      </c>
      <c r="LB270" s="214" t="s">
        <v>34118</v>
      </c>
      <c r="LD270" s="22" t="s">
        <v>17884</v>
      </c>
      <c r="LE270" s="22" t="s">
        <v>145</v>
      </c>
      <c r="LF270" s="22" t="s">
        <v>70</v>
      </c>
      <c r="LG270" s="22" t="s">
        <v>67</v>
      </c>
    </row>
    <row r="271" spans="1:319">
      <c r="A271" s="22" t="s">
        <v>17885</v>
      </c>
      <c r="B271" s="22" t="s">
        <v>145</v>
      </c>
      <c r="C271" s="22" t="s">
        <v>70</v>
      </c>
      <c r="D271" s="22" t="s">
        <v>67</v>
      </c>
      <c r="F271" s="99" t="s">
        <v>17886</v>
      </c>
      <c r="G271" s="22" t="s">
        <v>145</v>
      </c>
      <c r="H271" s="22" t="s">
        <v>70</v>
      </c>
      <c r="I271" s="22" t="s">
        <v>67</v>
      </c>
      <c r="K271" s="22" t="s">
        <v>17887</v>
      </c>
      <c r="L271" s="22" t="s">
        <v>145</v>
      </c>
      <c r="M271" s="22" t="s">
        <v>70</v>
      </c>
      <c r="N271" s="22" t="s">
        <v>67</v>
      </c>
      <c r="P271" s="22" t="s">
        <v>17888</v>
      </c>
      <c r="Q271" s="22" t="s">
        <v>145</v>
      </c>
      <c r="R271" s="22" t="s">
        <v>70</v>
      </c>
      <c r="S271" s="22" t="s">
        <v>67</v>
      </c>
      <c r="U271" s="293" t="s">
        <v>17889</v>
      </c>
      <c r="V271" s="293" t="s">
        <v>145</v>
      </c>
      <c r="W271" s="293" t="s">
        <v>74</v>
      </c>
      <c r="X271" s="293" t="s">
        <v>656</v>
      </c>
      <c r="Z271" s="293" t="s">
        <v>17890</v>
      </c>
      <c r="AA271" s="293" t="s">
        <v>145</v>
      </c>
      <c r="AB271" s="293" t="s">
        <v>74</v>
      </c>
      <c r="AC271" s="293" t="s">
        <v>656</v>
      </c>
      <c r="AE271" s="293" t="s">
        <v>17891</v>
      </c>
      <c r="AF271" s="293" t="s">
        <v>145</v>
      </c>
      <c r="AG271" s="293" t="s">
        <v>74</v>
      </c>
      <c r="AH271" s="293" t="s">
        <v>656</v>
      </c>
      <c r="AJ271" s="293" t="s">
        <v>17892</v>
      </c>
      <c r="AK271" s="293" t="s">
        <v>145</v>
      </c>
      <c r="AL271" s="293" t="s">
        <v>74</v>
      </c>
      <c r="AM271" s="293" t="s">
        <v>656</v>
      </c>
      <c r="AO271" s="22" t="s">
        <v>17893</v>
      </c>
      <c r="AP271" s="22" t="s">
        <v>145</v>
      </c>
      <c r="AQ271" s="22" t="s">
        <v>70</v>
      </c>
      <c r="AR271" s="22" t="s">
        <v>67</v>
      </c>
      <c r="AT271" s="22" t="s">
        <v>17894</v>
      </c>
      <c r="AU271" s="22" t="s">
        <v>145</v>
      </c>
      <c r="AV271" s="22" t="s">
        <v>70</v>
      </c>
      <c r="AW271" s="22" t="s">
        <v>67</v>
      </c>
      <c r="AY271" s="22" t="s">
        <v>17895</v>
      </c>
      <c r="AZ271" s="22" t="s">
        <v>145</v>
      </c>
      <c r="BA271" s="22" t="s">
        <v>70</v>
      </c>
      <c r="BB271" s="22" t="s">
        <v>67</v>
      </c>
      <c r="BD271" s="22" t="s">
        <v>17896</v>
      </c>
      <c r="BE271" s="22" t="s">
        <v>145</v>
      </c>
      <c r="BF271" s="22" t="s">
        <v>70</v>
      </c>
      <c r="BG271" s="22" t="s">
        <v>67</v>
      </c>
      <c r="BI271" s="22" t="s">
        <v>17897</v>
      </c>
      <c r="BJ271" s="22" t="s">
        <v>145</v>
      </c>
      <c r="BK271" s="22" t="s">
        <v>70</v>
      </c>
      <c r="BL271" s="22" t="s">
        <v>67</v>
      </c>
      <c r="BN271" s="22" t="s">
        <v>17898</v>
      </c>
      <c r="BO271" s="22" t="s">
        <v>145</v>
      </c>
      <c r="BP271" s="22" t="s">
        <v>70</v>
      </c>
      <c r="BQ271" s="22" t="s">
        <v>67</v>
      </c>
      <c r="BS271" s="22" t="s">
        <v>17899</v>
      </c>
      <c r="BT271" s="22" t="s">
        <v>145</v>
      </c>
      <c r="BU271" s="22" t="s">
        <v>70</v>
      </c>
      <c r="BV271" s="214" t="s">
        <v>530</v>
      </c>
      <c r="BX271" s="22" t="s">
        <v>17900</v>
      </c>
      <c r="BY271" s="22" t="s">
        <v>145</v>
      </c>
      <c r="BZ271" s="22" t="s">
        <v>70</v>
      </c>
      <c r="CA271" s="214" t="s">
        <v>530</v>
      </c>
      <c r="CC271" s="214" t="s">
        <v>17901</v>
      </c>
      <c r="CD271" s="218" t="s">
        <v>145</v>
      </c>
      <c r="CE271" s="214" t="s">
        <v>70</v>
      </c>
      <c r="CF271" s="214" t="s">
        <v>724</v>
      </c>
      <c r="CH271" s="214" t="s">
        <v>17902</v>
      </c>
      <c r="CI271" s="214" t="s">
        <v>34550</v>
      </c>
      <c r="CJ271" s="214" t="s">
        <v>70</v>
      </c>
      <c r="CK271" s="214" t="s">
        <v>530</v>
      </c>
      <c r="CM271" s="214" t="s">
        <v>17903</v>
      </c>
      <c r="CN271" s="214" t="s">
        <v>34551</v>
      </c>
      <c r="CO271" s="214" t="s">
        <v>70</v>
      </c>
      <c r="CP271" s="214" t="s">
        <v>530</v>
      </c>
      <c r="CR271" s="214" t="s">
        <v>17904</v>
      </c>
      <c r="CS271" s="214" t="s">
        <v>86</v>
      </c>
      <c r="CT271" s="214" t="s">
        <v>70</v>
      </c>
      <c r="CU271" s="214" t="s">
        <v>530</v>
      </c>
      <c r="CW271" s="214" t="s">
        <v>17905</v>
      </c>
      <c r="CX271" s="214" t="s">
        <v>34540</v>
      </c>
      <c r="CY271" s="214" t="s">
        <v>70</v>
      </c>
      <c r="CZ271" s="214" t="s">
        <v>530</v>
      </c>
      <c r="DB271" s="214" t="s">
        <v>17906</v>
      </c>
      <c r="DC271" s="214" t="s">
        <v>484</v>
      </c>
      <c r="DD271" s="214" t="s">
        <v>70</v>
      </c>
      <c r="DE271" s="214" t="s">
        <v>530</v>
      </c>
      <c r="DG271" s="214" t="s">
        <v>17907</v>
      </c>
      <c r="DH271" s="214" t="s">
        <v>34539</v>
      </c>
      <c r="DI271" s="214" t="s">
        <v>70</v>
      </c>
      <c r="DJ271" s="214" t="s">
        <v>530</v>
      </c>
      <c r="DL271" s="214" t="s">
        <v>17908</v>
      </c>
      <c r="DM271" s="214" t="s">
        <v>34544</v>
      </c>
      <c r="DN271" s="214" t="s">
        <v>70</v>
      </c>
      <c r="DO271" s="214" t="s">
        <v>530</v>
      </c>
      <c r="DQ271" s="214" t="s">
        <v>17909</v>
      </c>
      <c r="DR271" s="214" t="s">
        <v>34548</v>
      </c>
      <c r="DS271" s="214" t="s">
        <v>70</v>
      </c>
      <c r="DT271" s="214" t="s">
        <v>530</v>
      </c>
      <c r="DV271" s="214" t="s">
        <v>17910</v>
      </c>
      <c r="DW271" s="214" t="s">
        <v>601</v>
      </c>
      <c r="DX271" s="214" t="s">
        <v>70</v>
      </c>
      <c r="DY271" s="214" t="s">
        <v>530</v>
      </c>
      <c r="EA271" s="214" t="s">
        <v>17911</v>
      </c>
      <c r="EB271" s="214" t="s">
        <v>34556</v>
      </c>
      <c r="EC271" s="214" t="s">
        <v>70</v>
      </c>
      <c r="ED271" s="214" t="s">
        <v>530</v>
      </c>
      <c r="EF271" s="214" t="s">
        <v>17912</v>
      </c>
      <c r="EG271" s="214" t="s">
        <v>34544</v>
      </c>
      <c r="EH271" s="214" t="s">
        <v>70</v>
      </c>
      <c r="EI271" s="214" t="s">
        <v>530</v>
      </c>
      <c r="EK271" s="214" t="s">
        <v>17913</v>
      </c>
      <c r="EL271" s="214" t="s">
        <v>88</v>
      </c>
      <c r="EM271" s="214" t="s">
        <v>70</v>
      </c>
      <c r="EN271" s="214" t="s">
        <v>530</v>
      </c>
      <c r="EP271" s="214" t="s">
        <v>17914</v>
      </c>
      <c r="EQ271" s="214" t="s">
        <v>798</v>
      </c>
      <c r="ER271" s="214" t="s">
        <v>70</v>
      </c>
      <c r="ES271" s="214" t="s">
        <v>530</v>
      </c>
      <c r="EU271" s="214" t="s">
        <v>17915</v>
      </c>
      <c r="EV271" s="214" t="s">
        <v>52</v>
      </c>
      <c r="EW271" s="214" t="s">
        <v>70</v>
      </c>
      <c r="EX271" s="214" t="s">
        <v>530</v>
      </c>
      <c r="EZ271" s="214" t="s">
        <v>17916</v>
      </c>
      <c r="FA271" s="214" t="s">
        <v>93</v>
      </c>
      <c r="FB271" s="214" t="s">
        <v>70</v>
      </c>
      <c r="FC271" s="214" t="s">
        <v>530</v>
      </c>
      <c r="FE271" s="214" t="s">
        <v>17917</v>
      </c>
      <c r="FF271" s="214" t="s">
        <v>34558</v>
      </c>
      <c r="FG271" s="214" t="s">
        <v>70</v>
      </c>
      <c r="FH271" s="214" t="s">
        <v>530</v>
      </c>
      <c r="FJ271" s="321" t="s">
        <v>17918</v>
      </c>
      <c r="FK271" s="214" t="s">
        <v>93</v>
      </c>
      <c r="FL271" s="214" t="s">
        <v>70</v>
      </c>
      <c r="FM271" s="214" t="s">
        <v>530</v>
      </c>
      <c r="FO271" s="321" t="s">
        <v>17919</v>
      </c>
      <c r="FP271" s="214" t="s">
        <v>34550</v>
      </c>
      <c r="FQ271" s="214" t="s">
        <v>70</v>
      </c>
      <c r="FR271" s="214" t="s">
        <v>530</v>
      </c>
      <c r="FT271" s="321" t="s">
        <v>17920</v>
      </c>
      <c r="FU271" s="214" t="s">
        <v>490</v>
      </c>
      <c r="FV271" s="214" t="s">
        <v>70</v>
      </c>
      <c r="FW271" s="214" t="s">
        <v>530</v>
      </c>
      <c r="FY271" s="321" t="s">
        <v>17921</v>
      </c>
      <c r="FZ271" s="214" t="s">
        <v>148</v>
      </c>
      <c r="GA271" s="214" t="s">
        <v>70</v>
      </c>
      <c r="GB271" s="214" t="s">
        <v>530</v>
      </c>
      <c r="GD271" s="321" t="s">
        <v>17922</v>
      </c>
      <c r="GE271" s="214" t="s">
        <v>86</v>
      </c>
      <c r="GF271" s="214" t="s">
        <v>70</v>
      </c>
      <c r="GG271" s="214" t="s">
        <v>530</v>
      </c>
      <c r="GI271" s="321" t="s">
        <v>17923</v>
      </c>
      <c r="GJ271" s="214" t="s">
        <v>487</v>
      </c>
      <c r="GK271" s="214" t="s">
        <v>70</v>
      </c>
      <c r="GL271" s="214" t="s">
        <v>530</v>
      </c>
      <c r="GN271" s="321" t="s">
        <v>17924</v>
      </c>
      <c r="GO271" s="214" t="s">
        <v>145</v>
      </c>
      <c r="GP271" s="214" t="s">
        <v>70</v>
      </c>
      <c r="GQ271" s="214" t="s">
        <v>530</v>
      </c>
      <c r="GS271" s="321" t="s">
        <v>17925</v>
      </c>
      <c r="GT271" s="214" t="s">
        <v>798</v>
      </c>
      <c r="GU271" s="214" t="s">
        <v>70</v>
      </c>
      <c r="GV271" s="214" t="s">
        <v>530</v>
      </c>
      <c r="GX271" s="214" t="s">
        <v>17926</v>
      </c>
      <c r="GY271" s="214" t="s">
        <v>203</v>
      </c>
      <c r="GZ271" s="214" t="s">
        <v>70</v>
      </c>
      <c r="HA271" s="214" t="s">
        <v>530</v>
      </c>
      <c r="HC271" s="214" t="s">
        <v>17927</v>
      </c>
      <c r="HD271" s="214" t="s">
        <v>88</v>
      </c>
      <c r="HE271" s="214" t="s">
        <v>70</v>
      </c>
      <c r="HF271" s="214" t="s">
        <v>530</v>
      </c>
      <c r="HH271" s="214" t="s">
        <v>17928</v>
      </c>
      <c r="HI271" s="214" t="s">
        <v>486</v>
      </c>
      <c r="HJ271" s="214" t="s">
        <v>70</v>
      </c>
      <c r="HK271" s="214" t="s">
        <v>530</v>
      </c>
      <c r="HM271" s="214" t="s">
        <v>17929</v>
      </c>
      <c r="HN271" s="214" t="s">
        <v>87</v>
      </c>
      <c r="HO271" s="214" t="s">
        <v>70</v>
      </c>
      <c r="HP271" s="214" t="s">
        <v>530</v>
      </c>
      <c r="HR271" s="22" t="s">
        <v>17930</v>
      </c>
      <c r="HS271" s="22" t="s">
        <v>204</v>
      </c>
      <c r="HT271" s="22" t="s">
        <v>70</v>
      </c>
      <c r="HU271" s="214" t="s">
        <v>530</v>
      </c>
      <c r="HW271" s="22" t="s">
        <v>17931</v>
      </c>
      <c r="HX271" s="22" t="s">
        <v>491</v>
      </c>
      <c r="HY271" s="22" t="s">
        <v>70</v>
      </c>
      <c r="HZ271" s="214" t="s">
        <v>530</v>
      </c>
      <c r="IB271" s="22" t="s">
        <v>17932</v>
      </c>
      <c r="IC271" s="22" t="s">
        <v>484</v>
      </c>
      <c r="ID271" s="22" t="s">
        <v>70</v>
      </c>
      <c r="IE271" s="214" t="s">
        <v>530</v>
      </c>
      <c r="IG271" s="22" t="s">
        <v>17933</v>
      </c>
      <c r="IH271" s="22" t="s">
        <v>52</v>
      </c>
      <c r="II271" s="22" t="s">
        <v>70</v>
      </c>
      <c r="IJ271" s="214" t="s">
        <v>530</v>
      </c>
      <c r="IL271" s="22" t="s">
        <v>17934</v>
      </c>
      <c r="IM271" s="22" t="s">
        <v>145</v>
      </c>
      <c r="IN271" s="22" t="s">
        <v>70</v>
      </c>
      <c r="IO271" s="214" t="s">
        <v>530</v>
      </c>
      <c r="IQ271" s="236" t="s">
        <v>17935</v>
      </c>
      <c r="IR271" s="236" t="s">
        <v>145</v>
      </c>
      <c r="IS271" s="236" t="s">
        <v>74</v>
      </c>
      <c r="IT271" s="236" t="s">
        <v>841</v>
      </c>
      <c r="IV271" s="236" t="s">
        <v>17936</v>
      </c>
      <c r="IW271" s="236" t="s">
        <v>145</v>
      </c>
      <c r="IX271" s="236" t="s">
        <v>74</v>
      </c>
      <c r="IY271" s="236" t="s">
        <v>841</v>
      </c>
      <c r="JA271" s="236" t="s">
        <v>17937</v>
      </c>
      <c r="JB271" s="236" t="s">
        <v>145</v>
      </c>
      <c r="JC271" s="236" t="s">
        <v>74</v>
      </c>
      <c r="JD271" s="236" t="s">
        <v>841</v>
      </c>
      <c r="JF271" s="236" t="s">
        <v>17938</v>
      </c>
      <c r="JG271" s="236" t="s">
        <v>145</v>
      </c>
      <c r="JH271" s="236" t="s">
        <v>74</v>
      </c>
      <c r="JI271" s="236" t="s">
        <v>841</v>
      </c>
      <c r="JK271" s="236" t="s">
        <v>17939</v>
      </c>
      <c r="JL271" s="236" t="s">
        <v>145</v>
      </c>
      <c r="JM271" s="236" t="s">
        <v>74</v>
      </c>
      <c r="JN271" s="236" t="s">
        <v>841</v>
      </c>
      <c r="JP271" s="236" t="s">
        <v>17940</v>
      </c>
      <c r="JQ271" s="236" t="s">
        <v>145</v>
      </c>
      <c r="JR271" s="236" t="s">
        <v>74</v>
      </c>
      <c r="JS271" s="236" t="s">
        <v>841</v>
      </c>
      <c r="JU271" s="294" t="s">
        <v>17941</v>
      </c>
      <c r="JV271" s="294" t="s">
        <v>52</v>
      </c>
      <c r="JW271" s="263" t="s">
        <v>70</v>
      </c>
      <c r="JX271" s="294" t="s">
        <v>1083</v>
      </c>
      <c r="JZ271" s="263" t="s">
        <v>17942</v>
      </c>
      <c r="KA271" s="263" t="s">
        <v>145</v>
      </c>
      <c r="KB271" s="263" t="s">
        <v>70</v>
      </c>
      <c r="KC271" s="263" t="s">
        <v>1083</v>
      </c>
      <c r="KE271" s="263" t="s">
        <v>17943</v>
      </c>
      <c r="KF271" s="263" t="s">
        <v>52</v>
      </c>
      <c r="KG271" s="263" t="s">
        <v>70</v>
      </c>
      <c r="KH271" s="263" t="s">
        <v>1083</v>
      </c>
      <c r="KJ271" s="263" t="s">
        <v>17944</v>
      </c>
      <c r="KK271" s="263" t="s">
        <v>52</v>
      </c>
      <c r="KL271" s="263" t="s">
        <v>74</v>
      </c>
      <c r="KM271" s="263" t="s">
        <v>34074</v>
      </c>
      <c r="KO271" s="214" t="s">
        <v>17945</v>
      </c>
      <c r="KP271" s="214" t="s">
        <v>145</v>
      </c>
      <c r="KQ271" s="214" t="s">
        <v>70</v>
      </c>
      <c r="KR271" s="214" t="s">
        <v>67</v>
      </c>
      <c r="KT271" s="22" t="s">
        <v>17946</v>
      </c>
      <c r="KU271" s="22" t="s">
        <v>145</v>
      </c>
      <c r="KV271" s="22" t="s">
        <v>70</v>
      </c>
      <c r="KW271" s="22" t="s">
        <v>67</v>
      </c>
      <c r="KY271" s="214" t="s">
        <v>17947</v>
      </c>
      <c r="KZ271" s="214" t="s">
        <v>52</v>
      </c>
      <c r="LA271" s="214" t="s">
        <v>74</v>
      </c>
      <c r="LB271" s="214" t="s">
        <v>34118</v>
      </c>
      <c r="LD271" s="22" t="s">
        <v>17948</v>
      </c>
      <c r="LE271" s="22" t="s">
        <v>145</v>
      </c>
      <c r="LF271" s="22" t="s">
        <v>70</v>
      </c>
      <c r="LG271" s="22" t="s">
        <v>67</v>
      </c>
    </row>
    <row r="272" spans="1:319">
      <c r="A272" s="22" t="s">
        <v>17949</v>
      </c>
      <c r="B272" s="22" t="s">
        <v>145</v>
      </c>
      <c r="C272" s="22" t="s">
        <v>70</v>
      </c>
      <c r="D272" s="22" t="s">
        <v>67</v>
      </c>
      <c r="F272" s="99" t="s">
        <v>17950</v>
      </c>
      <c r="G272" s="22" t="s">
        <v>145</v>
      </c>
      <c r="H272" s="22" t="s">
        <v>70</v>
      </c>
      <c r="I272" s="22" t="s">
        <v>67</v>
      </c>
      <c r="K272" s="22" t="s">
        <v>17951</v>
      </c>
      <c r="L272" s="22" t="s">
        <v>145</v>
      </c>
      <c r="M272" s="22" t="s">
        <v>70</v>
      </c>
      <c r="N272" s="22" t="s">
        <v>67</v>
      </c>
      <c r="P272" s="22" t="s">
        <v>17952</v>
      </c>
      <c r="Q272" s="22" t="s">
        <v>145</v>
      </c>
      <c r="R272" s="22" t="s">
        <v>70</v>
      </c>
      <c r="S272" s="22" t="s">
        <v>67</v>
      </c>
      <c r="U272" s="293" t="s">
        <v>17953</v>
      </c>
      <c r="V272" s="293" t="s">
        <v>145</v>
      </c>
      <c r="W272" s="293" t="s">
        <v>74</v>
      </c>
      <c r="X272" s="293" t="s">
        <v>656</v>
      </c>
      <c r="Z272" s="293" t="s">
        <v>17954</v>
      </c>
      <c r="AA272" s="293" t="s">
        <v>145</v>
      </c>
      <c r="AB272" s="293" t="s">
        <v>74</v>
      </c>
      <c r="AC272" s="293" t="s">
        <v>656</v>
      </c>
      <c r="AE272" s="293" t="s">
        <v>17955</v>
      </c>
      <c r="AF272" s="293" t="s">
        <v>145</v>
      </c>
      <c r="AG272" s="293" t="s">
        <v>74</v>
      </c>
      <c r="AH272" s="293" t="s">
        <v>656</v>
      </c>
      <c r="AJ272" s="293" t="s">
        <v>17956</v>
      </c>
      <c r="AK272" s="293" t="s">
        <v>145</v>
      </c>
      <c r="AL272" s="293" t="s">
        <v>74</v>
      </c>
      <c r="AM272" s="293" t="s">
        <v>656</v>
      </c>
      <c r="AO272" s="22" t="s">
        <v>17957</v>
      </c>
      <c r="AP272" s="22" t="s">
        <v>145</v>
      </c>
      <c r="AQ272" s="22" t="s">
        <v>70</v>
      </c>
      <c r="AR272" s="22" t="s">
        <v>67</v>
      </c>
      <c r="AT272" s="22" t="s">
        <v>17958</v>
      </c>
      <c r="AU272" s="22" t="s">
        <v>145</v>
      </c>
      <c r="AV272" s="22" t="s">
        <v>70</v>
      </c>
      <c r="AW272" s="22" t="s">
        <v>67</v>
      </c>
      <c r="AY272" s="22" t="s">
        <v>17959</v>
      </c>
      <c r="AZ272" s="22" t="s">
        <v>145</v>
      </c>
      <c r="BA272" s="22" t="s">
        <v>70</v>
      </c>
      <c r="BB272" s="22" t="s">
        <v>67</v>
      </c>
      <c r="BD272" s="22" t="s">
        <v>17960</v>
      </c>
      <c r="BE272" s="22" t="s">
        <v>145</v>
      </c>
      <c r="BF272" s="22" t="s">
        <v>70</v>
      </c>
      <c r="BG272" s="22" t="s">
        <v>67</v>
      </c>
      <c r="BI272" s="22" t="s">
        <v>17961</v>
      </c>
      <c r="BJ272" s="22" t="s">
        <v>145</v>
      </c>
      <c r="BK272" s="22" t="s">
        <v>70</v>
      </c>
      <c r="BL272" s="22" t="s">
        <v>67</v>
      </c>
      <c r="BN272" s="22" t="s">
        <v>17962</v>
      </c>
      <c r="BO272" s="22" t="s">
        <v>145</v>
      </c>
      <c r="BP272" s="22" t="s">
        <v>70</v>
      </c>
      <c r="BQ272" s="22" t="s">
        <v>67</v>
      </c>
      <c r="BS272" s="22" t="s">
        <v>17963</v>
      </c>
      <c r="BT272" s="22" t="s">
        <v>145</v>
      </c>
      <c r="BU272" s="22" t="s">
        <v>70</v>
      </c>
      <c r="BV272" s="214" t="s">
        <v>530</v>
      </c>
      <c r="BX272" s="22" t="s">
        <v>17964</v>
      </c>
      <c r="BY272" s="22" t="s">
        <v>145</v>
      </c>
      <c r="BZ272" s="22" t="s">
        <v>70</v>
      </c>
      <c r="CA272" s="214" t="s">
        <v>530</v>
      </c>
      <c r="CC272" s="214" t="s">
        <v>17965</v>
      </c>
      <c r="CD272" s="218" t="s">
        <v>145</v>
      </c>
      <c r="CE272" s="214" t="s">
        <v>70</v>
      </c>
      <c r="CF272" s="214" t="s">
        <v>725</v>
      </c>
      <c r="CH272" s="214" t="s">
        <v>17966</v>
      </c>
      <c r="CI272" s="214" t="s">
        <v>925</v>
      </c>
      <c r="CJ272" s="214" t="s">
        <v>70</v>
      </c>
      <c r="CK272" s="214" t="s">
        <v>530</v>
      </c>
      <c r="CM272" s="214" t="s">
        <v>17967</v>
      </c>
      <c r="CN272" s="214" t="s">
        <v>206</v>
      </c>
      <c r="CO272" s="214" t="s">
        <v>70</v>
      </c>
      <c r="CP272" s="214" t="s">
        <v>530</v>
      </c>
      <c r="CR272" s="214" t="s">
        <v>17968</v>
      </c>
      <c r="CS272" s="214" t="s">
        <v>34558</v>
      </c>
      <c r="CT272" s="214" t="s">
        <v>70</v>
      </c>
      <c r="CU272" s="214" t="s">
        <v>530</v>
      </c>
      <c r="CW272" s="214" t="s">
        <v>17969</v>
      </c>
      <c r="CX272" s="214" t="s">
        <v>34545</v>
      </c>
      <c r="CY272" s="214" t="s">
        <v>70</v>
      </c>
      <c r="CZ272" s="214" t="s">
        <v>530</v>
      </c>
      <c r="DB272" s="214" t="s">
        <v>17970</v>
      </c>
      <c r="DC272" s="214" t="s">
        <v>485</v>
      </c>
      <c r="DD272" s="214" t="s">
        <v>70</v>
      </c>
      <c r="DE272" s="214" t="s">
        <v>530</v>
      </c>
      <c r="DG272" s="214" t="s">
        <v>17971</v>
      </c>
      <c r="DH272" s="214" t="s">
        <v>148</v>
      </c>
      <c r="DI272" s="214" t="s">
        <v>70</v>
      </c>
      <c r="DJ272" s="214" t="s">
        <v>530</v>
      </c>
      <c r="DL272" s="214" t="s">
        <v>17972</v>
      </c>
      <c r="DM272" s="214" t="s">
        <v>600</v>
      </c>
      <c r="DN272" s="214" t="s">
        <v>70</v>
      </c>
      <c r="DO272" s="214" t="s">
        <v>530</v>
      </c>
      <c r="DQ272" s="214" t="s">
        <v>17973</v>
      </c>
      <c r="DR272" s="214" t="s">
        <v>34575</v>
      </c>
      <c r="DS272" s="214" t="s">
        <v>70</v>
      </c>
      <c r="DT272" s="214" t="s">
        <v>530</v>
      </c>
      <c r="DV272" s="214" t="s">
        <v>17974</v>
      </c>
      <c r="DW272" s="214" t="s">
        <v>34611</v>
      </c>
      <c r="DX272" s="214" t="s">
        <v>70</v>
      </c>
      <c r="DY272" s="214" t="s">
        <v>530</v>
      </c>
      <c r="EA272" s="214" t="s">
        <v>17975</v>
      </c>
      <c r="EB272" s="214" t="s">
        <v>90</v>
      </c>
      <c r="EC272" s="214" t="s">
        <v>70</v>
      </c>
      <c r="ED272" s="214" t="s">
        <v>530</v>
      </c>
      <c r="EF272" s="214" t="s">
        <v>17976</v>
      </c>
      <c r="EG272" s="214" t="s">
        <v>34618</v>
      </c>
      <c r="EH272" s="214" t="s">
        <v>70</v>
      </c>
      <c r="EI272" s="214" t="s">
        <v>530</v>
      </c>
      <c r="EK272" s="214" t="s">
        <v>17977</v>
      </c>
      <c r="EL272" s="214" t="s">
        <v>88</v>
      </c>
      <c r="EM272" s="214" t="s">
        <v>70</v>
      </c>
      <c r="EN272" s="214" t="s">
        <v>530</v>
      </c>
      <c r="EP272" s="214" t="s">
        <v>17978</v>
      </c>
      <c r="EQ272" s="214" t="s">
        <v>495</v>
      </c>
      <c r="ER272" s="214" t="s">
        <v>70</v>
      </c>
      <c r="ES272" s="214" t="s">
        <v>530</v>
      </c>
      <c r="EU272" s="214" t="s">
        <v>17979</v>
      </c>
      <c r="EV272" s="214" t="s">
        <v>92</v>
      </c>
      <c r="EW272" s="214" t="s">
        <v>70</v>
      </c>
      <c r="EX272" s="214" t="s">
        <v>530</v>
      </c>
      <c r="EZ272" s="214" t="s">
        <v>17980</v>
      </c>
      <c r="FA272" s="214" t="s">
        <v>952</v>
      </c>
      <c r="FB272" s="214" t="s">
        <v>70</v>
      </c>
      <c r="FC272" s="214" t="s">
        <v>530</v>
      </c>
      <c r="FE272" s="214" t="s">
        <v>17981</v>
      </c>
      <c r="FF272" s="214" t="s">
        <v>483</v>
      </c>
      <c r="FG272" s="214" t="s">
        <v>70</v>
      </c>
      <c r="FH272" s="214" t="s">
        <v>530</v>
      </c>
      <c r="FJ272" s="321" t="s">
        <v>17982</v>
      </c>
      <c r="FK272" s="214" t="s">
        <v>500</v>
      </c>
      <c r="FL272" s="214" t="s">
        <v>70</v>
      </c>
      <c r="FM272" s="214" t="s">
        <v>530</v>
      </c>
      <c r="FO272" s="321" t="s">
        <v>17983</v>
      </c>
      <c r="FP272" s="214" t="s">
        <v>148</v>
      </c>
      <c r="FQ272" s="214" t="s">
        <v>70</v>
      </c>
      <c r="FR272" s="214" t="s">
        <v>530</v>
      </c>
      <c r="FT272" s="321" t="s">
        <v>17984</v>
      </c>
      <c r="FU272" s="214" t="s">
        <v>87</v>
      </c>
      <c r="FV272" s="214" t="s">
        <v>70</v>
      </c>
      <c r="FW272" s="214" t="s">
        <v>530</v>
      </c>
      <c r="FY272" s="321" t="s">
        <v>17985</v>
      </c>
      <c r="FZ272" s="214" t="s">
        <v>490</v>
      </c>
      <c r="GA272" s="214" t="s">
        <v>70</v>
      </c>
      <c r="GB272" s="214" t="s">
        <v>530</v>
      </c>
      <c r="GD272" s="321" t="s">
        <v>17986</v>
      </c>
      <c r="GE272" s="214" t="s">
        <v>145</v>
      </c>
      <c r="GF272" s="214" t="s">
        <v>70</v>
      </c>
      <c r="GG272" s="214" t="s">
        <v>530</v>
      </c>
      <c r="GI272" s="321" t="s">
        <v>17987</v>
      </c>
      <c r="GJ272" s="214" t="s">
        <v>89</v>
      </c>
      <c r="GK272" s="214" t="s">
        <v>70</v>
      </c>
      <c r="GL272" s="214" t="s">
        <v>530</v>
      </c>
      <c r="GN272" s="321" t="s">
        <v>17988</v>
      </c>
      <c r="GO272" s="214" t="s">
        <v>52</v>
      </c>
      <c r="GP272" s="214" t="s">
        <v>70</v>
      </c>
      <c r="GQ272" s="214" t="s">
        <v>530</v>
      </c>
      <c r="GS272" s="321" t="s">
        <v>17989</v>
      </c>
      <c r="GT272" s="214" t="s">
        <v>468</v>
      </c>
      <c r="GU272" s="214" t="s">
        <v>70</v>
      </c>
      <c r="GV272" s="214" t="s">
        <v>530</v>
      </c>
      <c r="GX272" s="214" t="s">
        <v>17990</v>
      </c>
      <c r="GY272" s="214" t="s">
        <v>34657</v>
      </c>
      <c r="GZ272" s="214" t="s">
        <v>70</v>
      </c>
      <c r="HA272" s="214" t="s">
        <v>530</v>
      </c>
      <c r="HC272" s="214" t="s">
        <v>17991</v>
      </c>
      <c r="HD272" s="214" t="s">
        <v>89</v>
      </c>
      <c r="HE272" s="214" t="s">
        <v>70</v>
      </c>
      <c r="HF272" s="214" t="s">
        <v>530</v>
      </c>
      <c r="HH272" s="214" t="s">
        <v>17992</v>
      </c>
      <c r="HI272" s="214" t="s">
        <v>912</v>
      </c>
      <c r="HJ272" s="214" t="s">
        <v>70</v>
      </c>
      <c r="HK272" s="214" t="s">
        <v>530</v>
      </c>
      <c r="HM272" s="214" t="s">
        <v>17993</v>
      </c>
      <c r="HN272" s="214" t="s">
        <v>600</v>
      </c>
      <c r="HO272" s="214" t="s">
        <v>70</v>
      </c>
      <c r="HP272" s="214" t="s">
        <v>530</v>
      </c>
      <c r="HR272" s="22" t="s">
        <v>17994</v>
      </c>
      <c r="HS272" s="22" t="s">
        <v>34608</v>
      </c>
      <c r="HT272" s="22" t="s">
        <v>70</v>
      </c>
      <c r="HU272" s="214" t="s">
        <v>530</v>
      </c>
      <c r="HW272" s="22" t="s">
        <v>17995</v>
      </c>
      <c r="HX272" s="22" t="s">
        <v>34556</v>
      </c>
      <c r="HY272" s="22" t="s">
        <v>70</v>
      </c>
      <c r="HZ272" s="214" t="s">
        <v>530</v>
      </c>
      <c r="IB272" s="22" t="s">
        <v>17996</v>
      </c>
      <c r="IC272" s="22" t="s">
        <v>34516</v>
      </c>
      <c r="ID272" s="22" t="s">
        <v>70</v>
      </c>
      <c r="IE272" s="214" t="s">
        <v>530</v>
      </c>
      <c r="IG272" s="22" t="s">
        <v>17997</v>
      </c>
      <c r="IH272" s="22" t="s">
        <v>52</v>
      </c>
      <c r="II272" s="22" t="s">
        <v>70</v>
      </c>
      <c r="IJ272" s="214" t="s">
        <v>530</v>
      </c>
      <c r="IL272" s="22" t="s">
        <v>17998</v>
      </c>
      <c r="IM272" s="22" t="s">
        <v>145</v>
      </c>
      <c r="IN272" s="22" t="s">
        <v>70</v>
      </c>
      <c r="IO272" s="214" t="s">
        <v>530</v>
      </c>
      <c r="IQ272" s="236" t="s">
        <v>17999</v>
      </c>
      <c r="IR272" s="236" t="s">
        <v>145</v>
      </c>
      <c r="IS272" s="236" t="s">
        <v>74</v>
      </c>
      <c r="IT272" s="236" t="s">
        <v>841</v>
      </c>
      <c r="IV272" s="236" t="s">
        <v>18000</v>
      </c>
      <c r="IW272" s="236" t="s">
        <v>145</v>
      </c>
      <c r="IX272" s="236" t="s">
        <v>74</v>
      </c>
      <c r="IY272" s="236" t="s">
        <v>841</v>
      </c>
      <c r="JA272" s="236" t="s">
        <v>18001</v>
      </c>
      <c r="JB272" s="236" t="s">
        <v>145</v>
      </c>
      <c r="JC272" s="236" t="s">
        <v>74</v>
      </c>
      <c r="JD272" s="236" t="s">
        <v>841</v>
      </c>
      <c r="JF272" s="236" t="s">
        <v>18002</v>
      </c>
      <c r="JG272" s="236" t="s">
        <v>145</v>
      </c>
      <c r="JH272" s="236" t="s">
        <v>74</v>
      </c>
      <c r="JI272" s="236" t="s">
        <v>841</v>
      </c>
      <c r="JK272" s="236" t="s">
        <v>18003</v>
      </c>
      <c r="JL272" s="236" t="s">
        <v>145</v>
      </c>
      <c r="JM272" s="236" t="s">
        <v>74</v>
      </c>
      <c r="JN272" s="236" t="s">
        <v>841</v>
      </c>
      <c r="JP272" s="236" t="s">
        <v>18004</v>
      </c>
      <c r="JQ272" s="236" t="s">
        <v>145</v>
      </c>
      <c r="JR272" s="236" t="s">
        <v>74</v>
      </c>
      <c r="JS272" s="236" t="s">
        <v>841</v>
      </c>
      <c r="JU272" s="294" t="s">
        <v>18005</v>
      </c>
      <c r="JV272" s="294" t="s">
        <v>52</v>
      </c>
      <c r="JW272" s="263" t="s">
        <v>70</v>
      </c>
      <c r="JX272" s="294" t="s">
        <v>1083</v>
      </c>
      <c r="JZ272" s="263" t="s">
        <v>18006</v>
      </c>
      <c r="KA272" s="263" t="s">
        <v>145</v>
      </c>
      <c r="KB272" s="263" t="s">
        <v>70</v>
      </c>
      <c r="KC272" s="263" t="s">
        <v>1083</v>
      </c>
      <c r="KE272" s="263" t="s">
        <v>18007</v>
      </c>
      <c r="KF272" s="263" t="s">
        <v>52</v>
      </c>
      <c r="KG272" s="263" t="s">
        <v>70</v>
      </c>
      <c r="KH272" s="263" t="s">
        <v>1083</v>
      </c>
      <c r="KJ272" s="263" t="s">
        <v>18008</v>
      </c>
      <c r="KK272" s="263" t="s">
        <v>52</v>
      </c>
      <c r="KL272" s="263" t="s">
        <v>74</v>
      </c>
      <c r="KM272" s="263" t="s">
        <v>34074</v>
      </c>
      <c r="KO272" s="214" t="s">
        <v>18009</v>
      </c>
      <c r="KP272" s="214" t="s">
        <v>145</v>
      </c>
      <c r="KQ272" s="214" t="s">
        <v>70</v>
      </c>
      <c r="KR272" s="214" t="s">
        <v>67</v>
      </c>
      <c r="KT272" s="22" t="s">
        <v>18010</v>
      </c>
      <c r="KU272" s="22" t="s">
        <v>145</v>
      </c>
      <c r="KV272" s="22" t="s">
        <v>70</v>
      </c>
      <c r="KW272" s="22" t="s">
        <v>67</v>
      </c>
      <c r="KY272" s="214" t="s">
        <v>18011</v>
      </c>
      <c r="KZ272" s="214" t="s">
        <v>52</v>
      </c>
      <c r="LA272" s="214" t="s">
        <v>74</v>
      </c>
      <c r="LB272" s="214" t="s">
        <v>34075</v>
      </c>
      <c r="LD272" s="22" t="s">
        <v>18012</v>
      </c>
      <c r="LE272" s="22" t="s">
        <v>145</v>
      </c>
      <c r="LF272" s="22" t="s">
        <v>70</v>
      </c>
      <c r="LG272" s="22" t="s">
        <v>67</v>
      </c>
    </row>
    <row r="273" spans="1:319">
      <c r="A273" s="22" t="s">
        <v>18013</v>
      </c>
      <c r="B273" s="22" t="s">
        <v>145</v>
      </c>
      <c r="C273" s="22" t="s">
        <v>70</v>
      </c>
      <c r="D273" s="22" t="s">
        <v>67</v>
      </c>
      <c r="F273" s="99" t="s">
        <v>18014</v>
      </c>
      <c r="G273" s="22" t="s">
        <v>145</v>
      </c>
      <c r="H273" s="22" t="s">
        <v>70</v>
      </c>
      <c r="I273" s="22" t="s">
        <v>67</v>
      </c>
      <c r="K273" s="22" t="s">
        <v>18015</v>
      </c>
      <c r="L273" s="22" t="s">
        <v>145</v>
      </c>
      <c r="M273" s="22" t="s">
        <v>70</v>
      </c>
      <c r="N273" s="22" t="s">
        <v>67</v>
      </c>
      <c r="P273" s="22" t="s">
        <v>18016</v>
      </c>
      <c r="Q273" s="22" t="s">
        <v>145</v>
      </c>
      <c r="R273" s="22" t="s">
        <v>70</v>
      </c>
      <c r="S273" s="22" t="s">
        <v>67</v>
      </c>
      <c r="U273" s="293" t="s">
        <v>18017</v>
      </c>
      <c r="V273" s="293" t="s">
        <v>145</v>
      </c>
      <c r="W273" s="293" t="s">
        <v>74</v>
      </c>
      <c r="X273" s="293" t="s">
        <v>656</v>
      </c>
      <c r="Z273" s="293" t="s">
        <v>18018</v>
      </c>
      <c r="AA273" s="293" t="s">
        <v>145</v>
      </c>
      <c r="AB273" s="293" t="s">
        <v>74</v>
      </c>
      <c r="AC273" s="293" t="s">
        <v>656</v>
      </c>
      <c r="AE273" s="293" t="s">
        <v>18019</v>
      </c>
      <c r="AF273" s="293" t="s">
        <v>145</v>
      </c>
      <c r="AG273" s="293" t="s">
        <v>74</v>
      </c>
      <c r="AH273" s="293" t="s">
        <v>656</v>
      </c>
      <c r="AJ273" s="293" t="s">
        <v>18020</v>
      </c>
      <c r="AK273" s="293" t="s">
        <v>145</v>
      </c>
      <c r="AL273" s="293" t="s">
        <v>74</v>
      </c>
      <c r="AM273" s="293" t="s">
        <v>656</v>
      </c>
      <c r="AO273" s="22" t="s">
        <v>18021</v>
      </c>
      <c r="AP273" s="22" t="s">
        <v>145</v>
      </c>
      <c r="AQ273" s="22" t="s">
        <v>70</v>
      </c>
      <c r="AR273" s="22" t="s">
        <v>67</v>
      </c>
      <c r="AT273" s="22" t="s">
        <v>18022</v>
      </c>
      <c r="AU273" s="22" t="s">
        <v>145</v>
      </c>
      <c r="AV273" s="22" t="s">
        <v>70</v>
      </c>
      <c r="AW273" s="22" t="s">
        <v>67</v>
      </c>
      <c r="AY273" s="22" t="s">
        <v>18023</v>
      </c>
      <c r="AZ273" s="22" t="s">
        <v>145</v>
      </c>
      <c r="BA273" s="22" t="s">
        <v>70</v>
      </c>
      <c r="BB273" s="22" t="s">
        <v>67</v>
      </c>
      <c r="BD273" s="22" t="s">
        <v>18024</v>
      </c>
      <c r="BE273" s="22" t="s">
        <v>145</v>
      </c>
      <c r="BF273" s="22" t="s">
        <v>70</v>
      </c>
      <c r="BG273" s="22" t="s">
        <v>67</v>
      </c>
      <c r="BI273" s="22" t="s">
        <v>18025</v>
      </c>
      <c r="BJ273" s="22" t="s">
        <v>145</v>
      </c>
      <c r="BK273" s="22" t="s">
        <v>70</v>
      </c>
      <c r="BL273" s="22" t="s">
        <v>67</v>
      </c>
      <c r="BN273" s="22" t="s">
        <v>18026</v>
      </c>
      <c r="BO273" s="22" t="s">
        <v>145</v>
      </c>
      <c r="BP273" s="22" t="s">
        <v>70</v>
      </c>
      <c r="BQ273" s="22" t="s">
        <v>67</v>
      </c>
      <c r="BS273" s="22" t="s">
        <v>18027</v>
      </c>
      <c r="BT273" s="22" t="s">
        <v>145</v>
      </c>
      <c r="BU273" s="22" t="s">
        <v>70</v>
      </c>
      <c r="BV273" s="214" t="s">
        <v>530</v>
      </c>
      <c r="BX273" s="22" t="s">
        <v>18028</v>
      </c>
      <c r="BY273" s="22" t="s">
        <v>145</v>
      </c>
      <c r="BZ273" s="22" t="s">
        <v>70</v>
      </c>
      <c r="CA273" s="214" t="s">
        <v>530</v>
      </c>
      <c r="CC273" s="214" t="s">
        <v>18029</v>
      </c>
      <c r="CD273" s="218" t="s">
        <v>145</v>
      </c>
      <c r="CE273" s="214" t="s">
        <v>70</v>
      </c>
      <c r="CF273" s="214" t="s">
        <v>726</v>
      </c>
      <c r="CH273" s="214" t="s">
        <v>18030</v>
      </c>
      <c r="CI273" s="214" t="s">
        <v>34558</v>
      </c>
      <c r="CJ273" s="214" t="s">
        <v>70</v>
      </c>
      <c r="CK273" s="214" t="s">
        <v>530</v>
      </c>
      <c r="CM273" s="214" t="s">
        <v>18031</v>
      </c>
      <c r="CN273" s="214" t="s">
        <v>491</v>
      </c>
      <c r="CO273" s="214" t="s">
        <v>70</v>
      </c>
      <c r="CP273" s="214" t="s">
        <v>530</v>
      </c>
      <c r="CR273" s="214" t="s">
        <v>18032</v>
      </c>
      <c r="CS273" s="214" t="s">
        <v>34558</v>
      </c>
      <c r="CT273" s="214" t="s">
        <v>70</v>
      </c>
      <c r="CU273" s="214" t="s">
        <v>530</v>
      </c>
      <c r="CW273" s="214" t="s">
        <v>18033</v>
      </c>
      <c r="CX273" s="214" t="s">
        <v>34551</v>
      </c>
      <c r="CY273" s="214" t="s">
        <v>70</v>
      </c>
      <c r="CZ273" s="214" t="s">
        <v>530</v>
      </c>
      <c r="DB273" s="214" t="s">
        <v>18034</v>
      </c>
      <c r="DC273" s="214" t="s">
        <v>146</v>
      </c>
      <c r="DD273" s="214" t="s">
        <v>70</v>
      </c>
      <c r="DE273" s="214" t="s">
        <v>530</v>
      </c>
      <c r="DG273" s="214" t="s">
        <v>18035</v>
      </c>
      <c r="DH273" s="214" t="s">
        <v>603</v>
      </c>
      <c r="DI273" s="214" t="s">
        <v>70</v>
      </c>
      <c r="DJ273" s="214" t="s">
        <v>530</v>
      </c>
      <c r="DL273" s="214" t="s">
        <v>18036</v>
      </c>
      <c r="DM273" s="214" t="s">
        <v>501</v>
      </c>
      <c r="DN273" s="214" t="s">
        <v>70</v>
      </c>
      <c r="DO273" s="214" t="s">
        <v>530</v>
      </c>
      <c r="DQ273" s="214" t="s">
        <v>18037</v>
      </c>
      <c r="DR273" s="214" t="s">
        <v>85</v>
      </c>
      <c r="DS273" s="214" t="s">
        <v>70</v>
      </c>
      <c r="DT273" s="214" t="s">
        <v>530</v>
      </c>
      <c r="DV273" s="214" t="s">
        <v>18038</v>
      </c>
      <c r="DW273" s="214" t="s">
        <v>488</v>
      </c>
      <c r="DX273" s="214" t="s">
        <v>70</v>
      </c>
      <c r="DY273" s="214" t="s">
        <v>530</v>
      </c>
      <c r="EA273" s="214" t="s">
        <v>18039</v>
      </c>
      <c r="EB273" s="214" t="s">
        <v>52</v>
      </c>
      <c r="EC273" s="214" t="s">
        <v>70</v>
      </c>
      <c r="ED273" s="214" t="s">
        <v>530</v>
      </c>
      <c r="EF273" s="214" t="s">
        <v>18040</v>
      </c>
      <c r="EG273" s="214" t="s">
        <v>484</v>
      </c>
      <c r="EH273" s="214" t="s">
        <v>70</v>
      </c>
      <c r="EI273" s="214" t="s">
        <v>530</v>
      </c>
      <c r="EK273" s="214" t="s">
        <v>18041</v>
      </c>
      <c r="EL273" s="214" t="s">
        <v>34579</v>
      </c>
      <c r="EM273" s="214" t="s">
        <v>70</v>
      </c>
      <c r="EN273" s="214" t="s">
        <v>530</v>
      </c>
      <c r="EP273" s="214" t="s">
        <v>18042</v>
      </c>
      <c r="EQ273" s="214" t="s">
        <v>484</v>
      </c>
      <c r="ER273" s="214" t="s">
        <v>70</v>
      </c>
      <c r="ES273" s="214" t="s">
        <v>530</v>
      </c>
      <c r="EU273" s="214" t="s">
        <v>18043</v>
      </c>
      <c r="EV273" s="214" t="s">
        <v>920</v>
      </c>
      <c r="EW273" s="214" t="s">
        <v>70</v>
      </c>
      <c r="EX273" s="214" t="s">
        <v>530</v>
      </c>
      <c r="EZ273" s="214" t="s">
        <v>18044</v>
      </c>
      <c r="FA273" s="214" t="s">
        <v>501</v>
      </c>
      <c r="FB273" s="214" t="s">
        <v>70</v>
      </c>
      <c r="FC273" s="214" t="s">
        <v>530</v>
      </c>
      <c r="FE273" s="214" t="s">
        <v>18045</v>
      </c>
      <c r="FF273" s="214" t="s">
        <v>491</v>
      </c>
      <c r="FG273" s="214" t="s">
        <v>70</v>
      </c>
      <c r="FH273" s="214" t="s">
        <v>530</v>
      </c>
      <c r="FJ273" s="321" t="s">
        <v>18046</v>
      </c>
      <c r="FK273" s="214" t="s">
        <v>501</v>
      </c>
      <c r="FL273" s="214" t="s">
        <v>70</v>
      </c>
      <c r="FM273" s="214" t="s">
        <v>530</v>
      </c>
      <c r="FO273" s="321" t="s">
        <v>18047</v>
      </c>
      <c r="FP273" s="214" t="s">
        <v>34564</v>
      </c>
      <c r="FQ273" s="214" t="s">
        <v>70</v>
      </c>
      <c r="FR273" s="214" t="s">
        <v>530</v>
      </c>
      <c r="FT273" s="321" t="s">
        <v>18048</v>
      </c>
      <c r="FU273" s="214" t="s">
        <v>52</v>
      </c>
      <c r="FV273" s="214" t="s">
        <v>70</v>
      </c>
      <c r="FW273" s="214" t="s">
        <v>530</v>
      </c>
      <c r="FY273" s="321" t="s">
        <v>18049</v>
      </c>
      <c r="FZ273" s="214" t="s">
        <v>482</v>
      </c>
      <c r="GA273" s="214" t="s">
        <v>70</v>
      </c>
      <c r="GB273" s="214" t="s">
        <v>530</v>
      </c>
      <c r="GD273" s="321" t="s">
        <v>18050</v>
      </c>
      <c r="GE273" s="214" t="s">
        <v>34541</v>
      </c>
      <c r="GF273" s="214" t="s">
        <v>70</v>
      </c>
      <c r="GG273" s="214" t="s">
        <v>530</v>
      </c>
      <c r="GI273" s="321" t="s">
        <v>18051</v>
      </c>
      <c r="GJ273" s="214" t="s">
        <v>482</v>
      </c>
      <c r="GK273" s="214" t="s">
        <v>70</v>
      </c>
      <c r="GL273" s="214" t="s">
        <v>530</v>
      </c>
      <c r="GN273" s="321" t="s">
        <v>18052</v>
      </c>
      <c r="GO273" s="214" t="s">
        <v>87</v>
      </c>
      <c r="GP273" s="214" t="s">
        <v>70</v>
      </c>
      <c r="GQ273" s="214" t="s">
        <v>530</v>
      </c>
      <c r="GS273" s="321" t="s">
        <v>18053</v>
      </c>
      <c r="GT273" s="214" t="s">
        <v>206</v>
      </c>
      <c r="GU273" s="214" t="s">
        <v>70</v>
      </c>
      <c r="GV273" s="214" t="s">
        <v>530</v>
      </c>
      <c r="GX273" s="214" t="s">
        <v>18054</v>
      </c>
      <c r="GY273" s="214" t="s">
        <v>34545</v>
      </c>
      <c r="GZ273" s="214" t="s">
        <v>70</v>
      </c>
      <c r="HA273" s="214" t="s">
        <v>530</v>
      </c>
      <c r="HC273" s="214" t="s">
        <v>18055</v>
      </c>
      <c r="HD273" s="214" t="s">
        <v>52</v>
      </c>
      <c r="HE273" s="214" t="s">
        <v>70</v>
      </c>
      <c r="HF273" s="214" t="s">
        <v>530</v>
      </c>
      <c r="HH273" s="214" t="s">
        <v>18056</v>
      </c>
      <c r="HI273" s="214" t="s">
        <v>488</v>
      </c>
      <c r="HJ273" s="214" t="s">
        <v>70</v>
      </c>
      <c r="HK273" s="214" t="s">
        <v>530</v>
      </c>
      <c r="HM273" s="214" t="s">
        <v>18057</v>
      </c>
      <c r="HN273" s="214" t="s">
        <v>483</v>
      </c>
      <c r="HO273" s="214" t="s">
        <v>70</v>
      </c>
      <c r="HP273" s="214" t="s">
        <v>530</v>
      </c>
      <c r="HR273" s="22" t="s">
        <v>18058</v>
      </c>
      <c r="HS273" s="22" t="s">
        <v>52</v>
      </c>
      <c r="HT273" s="22" t="s">
        <v>70</v>
      </c>
      <c r="HU273" s="214" t="s">
        <v>530</v>
      </c>
      <c r="HW273" s="22" t="s">
        <v>18059</v>
      </c>
      <c r="HX273" s="22" t="s">
        <v>34541</v>
      </c>
      <c r="HY273" s="22" t="s">
        <v>70</v>
      </c>
      <c r="HZ273" s="214" t="s">
        <v>530</v>
      </c>
      <c r="IB273" s="22" t="s">
        <v>18060</v>
      </c>
      <c r="IC273" s="22" t="s">
        <v>486</v>
      </c>
      <c r="ID273" s="22" t="s">
        <v>70</v>
      </c>
      <c r="IE273" s="214" t="s">
        <v>530</v>
      </c>
      <c r="IG273" s="22" t="s">
        <v>18061</v>
      </c>
      <c r="IH273" s="22" t="s">
        <v>52</v>
      </c>
      <c r="II273" s="22" t="s">
        <v>70</v>
      </c>
      <c r="IJ273" s="214" t="s">
        <v>530</v>
      </c>
      <c r="IL273" s="22" t="s">
        <v>18062</v>
      </c>
      <c r="IM273" s="22" t="s">
        <v>145</v>
      </c>
      <c r="IN273" s="22" t="s">
        <v>70</v>
      </c>
      <c r="IO273" s="214" t="s">
        <v>530</v>
      </c>
      <c r="IQ273" s="236" t="s">
        <v>18063</v>
      </c>
      <c r="IR273" s="236" t="s">
        <v>145</v>
      </c>
      <c r="IS273" s="236" t="s">
        <v>74</v>
      </c>
      <c r="IT273" s="236" t="s">
        <v>841</v>
      </c>
      <c r="IV273" s="236" t="s">
        <v>18064</v>
      </c>
      <c r="IW273" s="236" t="s">
        <v>145</v>
      </c>
      <c r="IX273" s="236" t="s">
        <v>74</v>
      </c>
      <c r="IY273" s="236" t="s">
        <v>841</v>
      </c>
      <c r="JA273" s="236" t="s">
        <v>18065</v>
      </c>
      <c r="JB273" s="236" t="s">
        <v>145</v>
      </c>
      <c r="JC273" s="236" t="s">
        <v>74</v>
      </c>
      <c r="JD273" s="236" t="s">
        <v>841</v>
      </c>
      <c r="JF273" s="236" t="s">
        <v>18066</v>
      </c>
      <c r="JG273" s="236" t="s">
        <v>145</v>
      </c>
      <c r="JH273" s="236" t="s">
        <v>74</v>
      </c>
      <c r="JI273" s="236" t="s">
        <v>841</v>
      </c>
      <c r="JK273" s="236" t="s">
        <v>18067</v>
      </c>
      <c r="JL273" s="236" t="s">
        <v>145</v>
      </c>
      <c r="JM273" s="236" t="s">
        <v>74</v>
      </c>
      <c r="JN273" s="236" t="s">
        <v>841</v>
      </c>
      <c r="JP273" s="236" t="s">
        <v>18068</v>
      </c>
      <c r="JQ273" s="236" t="s">
        <v>145</v>
      </c>
      <c r="JR273" s="236" t="s">
        <v>74</v>
      </c>
      <c r="JS273" s="236" t="s">
        <v>841</v>
      </c>
      <c r="JU273" s="294" t="s">
        <v>18069</v>
      </c>
      <c r="JV273" s="294" t="s">
        <v>52</v>
      </c>
      <c r="JW273" s="263" t="s">
        <v>70</v>
      </c>
      <c r="JX273" s="294" t="s">
        <v>1083</v>
      </c>
      <c r="JZ273" s="263" t="s">
        <v>18070</v>
      </c>
      <c r="KA273" s="263" t="s">
        <v>145</v>
      </c>
      <c r="KB273" s="263" t="s">
        <v>70</v>
      </c>
      <c r="KC273" s="263" t="s">
        <v>1083</v>
      </c>
      <c r="KE273" s="263" t="s">
        <v>18071</v>
      </c>
      <c r="KF273" s="263" t="s">
        <v>52</v>
      </c>
      <c r="KG273" s="263" t="s">
        <v>70</v>
      </c>
      <c r="KH273" s="263" t="s">
        <v>1083</v>
      </c>
      <c r="KJ273" s="263" t="s">
        <v>18072</v>
      </c>
      <c r="KK273" s="263" t="s">
        <v>52</v>
      </c>
      <c r="KL273" s="263" t="s">
        <v>74</v>
      </c>
      <c r="KM273" s="263" t="s">
        <v>34074</v>
      </c>
      <c r="KO273" s="214" t="s">
        <v>18073</v>
      </c>
      <c r="KP273" s="214" t="s">
        <v>145</v>
      </c>
      <c r="KQ273" s="214" t="s">
        <v>70</v>
      </c>
      <c r="KR273" s="214" t="s">
        <v>67</v>
      </c>
      <c r="KT273" s="22" t="s">
        <v>18074</v>
      </c>
      <c r="KU273" s="22" t="s">
        <v>145</v>
      </c>
      <c r="KV273" s="22" t="s">
        <v>70</v>
      </c>
      <c r="KW273" s="22" t="s">
        <v>67</v>
      </c>
      <c r="KY273" s="214" t="s">
        <v>18075</v>
      </c>
      <c r="KZ273" s="214" t="s">
        <v>942</v>
      </c>
      <c r="LA273" s="214" t="s">
        <v>74</v>
      </c>
      <c r="LB273" s="214" t="s">
        <v>34075</v>
      </c>
      <c r="LD273" s="22" t="s">
        <v>18076</v>
      </c>
      <c r="LE273" s="22" t="s">
        <v>145</v>
      </c>
      <c r="LF273" s="22" t="s">
        <v>70</v>
      </c>
      <c r="LG273" s="22" t="s">
        <v>67</v>
      </c>
    </row>
    <row r="274" spans="1:319">
      <c r="A274" s="22" t="s">
        <v>18077</v>
      </c>
      <c r="B274" s="22" t="s">
        <v>145</v>
      </c>
      <c r="C274" s="22" t="s">
        <v>70</v>
      </c>
      <c r="D274" s="22" t="s">
        <v>67</v>
      </c>
      <c r="F274" s="99" t="s">
        <v>18078</v>
      </c>
      <c r="G274" s="22" t="s">
        <v>145</v>
      </c>
      <c r="H274" s="22" t="s">
        <v>70</v>
      </c>
      <c r="I274" s="22" t="s">
        <v>67</v>
      </c>
      <c r="K274" s="22" t="s">
        <v>18079</v>
      </c>
      <c r="L274" s="22" t="s">
        <v>145</v>
      </c>
      <c r="M274" s="22" t="s">
        <v>70</v>
      </c>
      <c r="N274" s="22" t="s">
        <v>67</v>
      </c>
      <c r="P274" s="22" t="s">
        <v>18080</v>
      </c>
      <c r="Q274" s="22" t="s">
        <v>145</v>
      </c>
      <c r="R274" s="22" t="s">
        <v>70</v>
      </c>
      <c r="S274" s="22" t="s">
        <v>67</v>
      </c>
      <c r="U274" s="293" t="s">
        <v>18081</v>
      </c>
      <c r="V274" s="293" t="s">
        <v>145</v>
      </c>
      <c r="W274" s="293" t="s">
        <v>74</v>
      </c>
      <c r="X274" s="293" t="s">
        <v>656</v>
      </c>
      <c r="Z274" s="293" t="s">
        <v>18082</v>
      </c>
      <c r="AA274" s="293" t="s">
        <v>145</v>
      </c>
      <c r="AB274" s="293" t="s">
        <v>74</v>
      </c>
      <c r="AC274" s="293" t="s">
        <v>656</v>
      </c>
      <c r="AE274" s="293" t="s">
        <v>18083</v>
      </c>
      <c r="AF274" s="293" t="s">
        <v>145</v>
      </c>
      <c r="AG274" s="293" t="s">
        <v>74</v>
      </c>
      <c r="AH274" s="293" t="s">
        <v>656</v>
      </c>
      <c r="AJ274" s="293" t="s">
        <v>18084</v>
      </c>
      <c r="AK274" s="293" t="s">
        <v>145</v>
      </c>
      <c r="AL274" s="293" t="s">
        <v>74</v>
      </c>
      <c r="AM274" s="293" t="s">
        <v>656</v>
      </c>
      <c r="AO274" s="22" t="s">
        <v>18085</v>
      </c>
      <c r="AP274" s="22" t="s">
        <v>145</v>
      </c>
      <c r="AQ274" s="22" t="s">
        <v>70</v>
      </c>
      <c r="AR274" s="22" t="s">
        <v>67</v>
      </c>
      <c r="AT274" s="22" t="s">
        <v>18086</v>
      </c>
      <c r="AU274" s="22" t="s">
        <v>145</v>
      </c>
      <c r="AV274" s="22" t="s">
        <v>70</v>
      </c>
      <c r="AW274" s="22" t="s">
        <v>67</v>
      </c>
      <c r="AY274" s="22" t="s">
        <v>18087</v>
      </c>
      <c r="AZ274" s="22" t="s">
        <v>145</v>
      </c>
      <c r="BA274" s="22" t="s">
        <v>70</v>
      </c>
      <c r="BB274" s="22" t="s">
        <v>67</v>
      </c>
      <c r="BD274" s="22" t="s">
        <v>18088</v>
      </c>
      <c r="BE274" s="22" t="s">
        <v>145</v>
      </c>
      <c r="BF274" s="22" t="s">
        <v>70</v>
      </c>
      <c r="BG274" s="22" t="s">
        <v>67</v>
      </c>
      <c r="BI274" s="22" t="s">
        <v>18089</v>
      </c>
      <c r="BJ274" s="22" t="s">
        <v>145</v>
      </c>
      <c r="BK274" s="22" t="s">
        <v>70</v>
      </c>
      <c r="BL274" s="22" t="s">
        <v>67</v>
      </c>
      <c r="BN274" s="22" t="s">
        <v>18090</v>
      </c>
      <c r="BO274" s="22" t="s">
        <v>145</v>
      </c>
      <c r="BP274" s="22" t="s">
        <v>70</v>
      </c>
      <c r="BQ274" s="22" t="s">
        <v>67</v>
      </c>
      <c r="BS274" s="22" t="s">
        <v>18091</v>
      </c>
      <c r="BT274" s="22" t="s">
        <v>145</v>
      </c>
      <c r="BU274" s="22" t="s">
        <v>70</v>
      </c>
      <c r="BV274" s="214" t="s">
        <v>530</v>
      </c>
      <c r="BX274" s="22" t="s">
        <v>18092</v>
      </c>
      <c r="BY274" s="22" t="s">
        <v>145</v>
      </c>
      <c r="BZ274" s="22" t="s">
        <v>70</v>
      </c>
      <c r="CA274" s="214" t="s">
        <v>530</v>
      </c>
      <c r="CC274" s="214" t="s">
        <v>18093</v>
      </c>
      <c r="CD274" s="218" t="s">
        <v>145</v>
      </c>
      <c r="CE274" s="214" t="s">
        <v>70</v>
      </c>
      <c r="CF274" s="214" t="s">
        <v>727</v>
      </c>
      <c r="CH274" s="214" t="s">
        <v>18094</v>
      </c>
      <c r="CI274" s="214" t="s">
        <v>598</v>
      </c>
      <c r="CJ274" s="214" t="s">
        <v>70</v>
      </c>
      <c r="CK274" s="214" t="s">
        <v>530</v>
      </c>
      <c r="CM274" s="214" t="s">
        <v>18095</v>
      </c>
      <c r="CN274" s="214" t="s">
        <v>93</v>
      </c>
      <c r="CO274" s="214" t="s">
        <v>70</v>
      </c>
      <c r="CP274" s="214" t="s">
        <v>530</v>
      </c>
      <c r="CR274" s="214" t="s">
        <v>18096</v>
      </c>
      <c r="CS274" s="214" t="s">
        <v>52</v>
      </c>
      <c r="CT274" s="214" t="s">
        <v>70</v>
      </c>
      <c r="CU274" s="214" t="s">
        <v>530</v>
      </c>
      <c r="CW274" s="214" t="s">
        <v>18097</v>
      </c>
      <c r="CX274" s="214" t="s">
        <v>85</v>
      </c>
      <c r="CY274" s="214" t="s">
        <v>70</v>
      </c>
      <c r="CZ274" s="214" t="s">
        <v>530</v>
      </c>
      <c r="DB274" s="214" t="s">
        <v>18098</v>
      </c>
      <c r="DC274" s="214" t="s">
        <v>103</v>
      </c>
      <c r="DD274" s="214" t="s">
        <v>70</v>
      </c>
      <c r="DE274" s="214" t="s">
        <v>530</v>
      </c>
      <c r="DG274" s="214" t="s">
        <v>18099</v>
      </c>
      <c r="DH274" s="214" t="s">
        <v>149</v>
      </c>
      <c r="DI274" s="214" t="s">
        <v>70</v>
      </c>
      <c r="DJ274" s="214" t="s">
        <v>530</v>
      </c>
      <c r="DL274" s="214" t="s">
        <v>18100</v>
      </c>
      <c r="DM274" s="214" t="s">
        <v>149</v>
      </c>
      <c r="DN274" s="214" t="s">
        <v>70</v>
      </c>
      <c r="DO274" s="214" t="s">
        <v>530</v>
      </c>
      <c r="DQ274" s="214" t="s">
        <v>18101</v>
      </c>
      <c r="DR274" s="214" t="s">
        <v>86</v>
      </c>
      <c r="DS274" s="214" t="s">
        <v>70</v>
      </c>
      <c r="DT274" s="214" t="s">
        <v>530</v>
      </c>
      <c r="DV274" s="214" t="s">
        <v>18102</v>
      </c>
      <c r="DW274" s="214" t="s">
        <v>52</v>
      </c>
      <c r="DX274" s="214" t="s">
        <v>70</v>
      </c>
      <c r="DY274" s="214" t="s">
        <v>530</v>
      </c>
      <c r="EA274" s="214" t="s">
        <v>18103</v>
      </c>
      <c r="EB274" s="214" t="s">
        <v>145</v>
      </c>
      <c r="EC274" s="214" t="s">
        <v>70</v>
      </c>
      <c r="ED274" s="214" t="s">
        <v>530</v>
      </c>
      <c r="EF274" s="214" t="s">
        <v>18104</v>
      </c>
      <c r="EG274" s="214" t="s">
        <v>148</v>
      </c>
      <c r="EH274" s="214" t="s">
        <v>70</v>
      </c>
      <c r="EI274" s="214" t="s">
        <v>530</v>
      </c>
      <c r="EK274" s="214" t="s">
        <v>18105</v>
      </c>
      <c r="EL274" s="214" t="s">
        <v>52</v>
      </c>
      <c r="EM274" s="214" t="s">
        <v>70</v>
      </c>
      <c r="EN274" s="214" t="s">
        <v>530</v>
      </c>
      <c r="EP274" s="214" t="s">
        <v>18106</v>
      </c>
      <c r="EQ274" s="214" t="s">
        <v>90</v>
      </c>
      <c r="ER274" s="214" t="s">
        <v>70</v>
      </c>
      <c r="ES274" s="214" t="s">
        <v>530</v>
      </c>
      <c r="EU274" s="214" t="s">
        <v>18107</v>
      </c>
      <c r="EV274" s="214" t="s">
        <v>52</v>
      </c>
      <c r="EW274" s="214" t="s">
        <v>70</v>
      </c>
      <c r="EX274" s="214" t="s">
        <v>530</v>
      </c>
      <c r="EZ274" s="214" t="s">
        <v>18108</v>
      </c>
      <c r="FA274" s="214" t="s">
        <v>34641</v>
      </c>
      <c r="FB274" s="214" t="s">
        <v>70</v>
      </c>
      <c r="FC274" s="214" t="s">
        <v>530</v>
      </c>
      <c r="FE274" s="214" t="s">
        <v>18109</v>
      </c>
      <c r="FF274" s="214" t="s">
        <v>52</v>
      </c>
      <c r="FG274" s="214" t="s">
        <v>70</v>
      </c>
      <c r="FH274" s="214" t="s">
        <v>530</v>
      </c>
      <c r="FJ274" s="321" t="s">
        <v>18110</v>
      </c>
      <c r="FK274" s="214" t="s">
        <v>103</v>
      </c>
      <c r="FL274" s="214" t="s">
        <v>70</v>
      </c>
      <c r="FM274" s="214" t="s">
        <v>530</v>
      </c>
      <c r="FO274" s="321" t="s">
        <v>18111</v>
      </c>
      <c r="FP274" s="214" t="s">
        <v>145</v>
      </c>
      <c r="FQ274" s="214" t="s">
        <v>70</v>
      </c>
      <c r="FR274" s="214" t="s">
        <v>530</v>
      </c>
      <c r="FT274" s="321" t="s">
        <v>18112</v>
      </c>
      <c r="FU274" s="214" t="s">
        <v>52</v>
      </c>
      <c r="FV274" s="214" t="s">
        <v>70</v>
      </c>
      <c r="FW274" s="214" t="s">
        <v>530</v>
      </c>
      <c r="FY274" s="321" t="s">
        <v>18113</v>
      </c>
      <c r="FZ274" s="214" t="s">
        <v>10541</v>
      </c>
      <c r="GA274" s="214" t="s">
        <v>70</v>
      </c>
      <c r="GB274" s="214" t="s">
        <v>530</v>
      </c>
      <c r="GD274" s="321" t="s">
        <v>18114</v>
      </c>
      <c r="GE274" s="214" t="s">
        <v>34649</v>
      </c>
      <c r="GF274" s="214" t="s">
        <v>70</v>
      </c>
      <c r="GG274" s="214" t="s">
        <v>530</v>
      </c>
      <c r="GI274" s="321" t="s">
        <v>18115</v>
      </c>
      <c r="GJ274" s="214" t="s">
        <v>34623</v>
      </c>
      <c r="GK274" s="214" t="s">
        <v>70</v>
      </c>
      <c r="GL274" s="214" t="s">
        <v>530</v>
      </c>
      <c r="GN274" s="321" t="s">
        <v>18116</v>
      </c>
      <c r="GO274" s="214" t="s">
        <v>52</v>
      </c>
      <c r="GP274" s="214" t="s">
        <v>70</v>
      </c>
      <c r="GQ274" s="214" t="s">
        <v>530</v>
      </c>
      <c r="GS274" s="321" t="s">
        <v>18117</v>
      </c>
      <c r="GT274" s="214" t="s">
        <v>52</v>
      </c>
      <c r="GU274" s="214" t="s">
        <v>70</v>
      </c>
      <c r="GV274" s="214" t="s">
        <v>530</v>
      </c>
      <c r="GX274" s="214" t="s">
        <v>18118</v>
      </c>
      <c r="GY274" s="214" t="s">
        <v>52</v>
      </c>
      <c r="GZ274" s="214" t="s">
        <v>70</v>
      </c>
      <c r="HA274" s="214" t="s">
        <v>530</v>
      </c>
      <c r="HC274" s="214" t="s">
        <v>18119</v>
      </c>
      <c r="HD274" s="214" t="s">
        <v>503</v>
      </c>
      <c r="HE274" s="214" t="s">
        <v>70</v>
      </c>
      <c r="HF274" s="214" t="s">
        <v>530</v>
      </c>
      <c r="HH274" s="214" t="s">
        <v>18120</v>
      </c>
      <c r="HI274" s="214" t="s">
        <v>163</v>
      </c>
      <c r="HJ274" s="214" t="s">
        <v>70</v>
      </c>
      <c r="HK274" s="214" t="s">
        <v>530</v>
      </c>
      <c r="HM274" s="214" t="s">
        <v>18121</v>
      </c>
      <c r="HN274" s="214" t="s">
        <v>52</v>
      </c>
      <c r="HO274" s="214" t="s">
        <v>70</v>
      </c>
      <c r="HP274" s="214" t="s">
        <v>530</v>
      </c>
      <c r="HR274" s="22" t="s">
        <v>18122</v>
      </c>
      <c r="HS274" s="22" t="s">
        <v>34644</v>
      </c>
      <c r="HT274" s="22" t="s">
        <v>70</v>
      </c>
      <c r="HU274" s="214" t="s">
        <v>530</v>
      </c>
      <c r="HW274" s="22" t="s">
        <v>18123</v>
      </c>
      <c r="HX274" s="22" t="s">
        <v>642</v>
      </c>
      <c r="HY274" s="22" t="s">
        <v>70</v>
      </c>
      <c r="HZ274" s="214" t="s">
        <v>530</v>
      </c>
      <c r="IB274" s="22" t="s">
        <v>18124</v>
      </c>
      <c r="IC274" s="22" t="s">
        <v>85</v>
      </c>
      <c r="ID274" s="22" t="s">
        <v>70</v>
      </c>
      <c r="IE274" s="214" t="s">
        <v>530</v>
      </c>
      <c r="IG274" s="22" t="s">
        <v>18125</v>
      </c>
      <c r="IH274" s="22" t="s">
        <v>52</v>
      </c>
      <c r="II274" s="22" t="s">
        <v>70</v>
      </c>
      <c r="IJ274" s="214" t="s">
        <v>530</v>
      </c>
      <c r="IL274" s="22" t="s">
        <v>18126</v>
      </c>
      <c r="IM274" s="22" t="s">
        <v>145</v>
      </c>
      <c r="IN274" s="22" t="s">
        <v>70</v>
      </c>
      <c r="IO274" s="214" t="s">
        <v>530</v>
      </c>
      <c r="IQ274" s="236" t="s">
        <v>18127</v>
      </c>
      <c r="IR274" s="236" t="s">
        <v>145</v>
      </c>
      <c r="IS274" s="236" t="s">
        <v>74</v>
      </c>
      <c r="IT274" s="236" t="s">
        <v>841</v>
      </c>
      <c r="IV274" s="236" t="s">
        <v>18128</v>
      </c>
      <c r="IW274" s="236" t="s">
        <v>145</v>
      </c>
      <c r="IX274" s="236" t="s">
        <v>74</v>
      </c>
      <c r="IY274" s="236" t="s">
        <v>841</v>
      </c>
      <c r="JA274" s="236" t="s">
        <v>18129</v>
      </c>
      <c r="JB274" s="236" t="s">
        <v>145</v>
      </c>
      <c r="JC274" s="236" t="s">
        <v>74</v>
      </c>
      <c r="JD274" s="236" t="s">
        <v>841</v>
      </c>
      <c r="JF274" s="236" t="s">
        <v>18130</v>
      </c>
      <c r="JG274" s="236" t="s">
        <v>145</v>
      </c>
      <c r="JH274" s="236" t="s">
        <v>74</v>
      </c>
      <c r="JI274" s="236" t="s">
        <v>841</v>
      </c>
      <c r="JK274" s="236" t="s">
        <v>18131</v>
      </c>
      <c r="JL274" s="236" t="s">
        <v>145</v>
      </c>
      <c r="JM274" s="236" t="s">
        <v>74</v>
      </c>
      <c r="JN274" s="236" t="s">
        <v>841</v>
      </c>
      <c r="JP274" s="236" t="s">
        <v>18132</v>
      </c>
      <c r="JQ274" s="236" t="s">
        <v>145</v>
      </c>
      <c r="JR274" s="236" t="s">
        <v>74</v>
      </c>
      <c r="JS274" s="236" t="s">
        <v>841</v>
      </c>
      <c r="JU274" s="294" t="s">
        <v>18133</v>
      </c>
      <c r="JV274" s="294" t="s">
        <v>52</v>
      </c>
      <c r="JW274" s="263" t="s">
        <v>70</v>
      </c>
      <c r="JX274" s="294" t="s">
        <v>1083</v>
      </c>
      <c r="JZ274" s="263" t="s">
        <v>18134</v>
      </c>
      <c r="KA274" s="263" t="s">
        <v>145</v>
      </c>
      <c r="KB274" s="263" t="s">
        <v>70</v>
      </c>
      <c r="KC274" s="263" t="s">
        <v>1083</v>
      </c>
      <c r="KE274" s="263" t="s">
        <v>18135</v>
      </c>
      <c r="KF274" s="263" t="s">
        <v>52</v>
      </c>
      <c r="KG274" s="263" t="s">
        <v>70</v>
      </c>
      <c r="KH274" s="263" t="s">
        <v>1083</v>
      </c>
      <c r="KJ274" s="263" t="s">
        <v>18136</v>
      </c>
      <c r="KK274" s="263" t="s">
        <v>52</v>
      </c>
      <c r="KL274" s="263" t="s">
        <v>74</v>
      </c>
      <c r="KM274" s="263" t="s">
        <v>34074</v>
      </c>
      <c r="KO274" s="214" t="s">
        <v>18137</v>
      </c>
      <c r="KP274" s="214" t="s">
        <v>145</v>
      </c>
      <c r="KQ274" s="214" t="s">
        <v>70</v>
      </c>
      <c r="KR274" s="214" t="s">
        <v>67</v>
      </c>
      <c r="KT274" s="22" t="s">
        <v>18138</v>
      </c>
      <c r="KU274" s="22" t="s">
        <v>145</v>
      </c>
      <c r="KV274" s="22" t="s">
        <v>70</v>
      </c>
      <c r="KW274" s="22" t="s">
        <v>67</v>
      </c>
      <c r="KY274" s="214" t="s">
        <v>18139</v>
      </c>
      <c r="KZ274" s="214" t="s">
        <v>52</v>
      </c>
      <c r="LA274" s="214" t="s">
        <v>74</v>
      </c>
      <c r="LB274" s="214" t="s">
        <v>34075</v>
      </c>
      <c r="LD274" s="22" t="s">
        <v>18140</v>
      </c>
      <c r="LE274" s="22" t="s">
        <v>145</v>
      </c>
      <c r="LF274" s="22" t="s">
        <v>70</v>
      </c>
      <c r="LG274" s="22" t="s">
        <v>67</v>
      </c>
    </row>
    <row r="275" spans="1:319">
      <c r="A275" s="22" t="s">
        <v>18141</v>
      </c>
      <c r="B275" s="22" t="s">
        <v>145</v>
      </c>
      <c r="C275" s="22" t="s">
        <v>70</v>
      </c>
      <c r="D275" s="22" t="s">
        <v>67</v>
      </c>
      <c r="F275" s="99" t="s">
        <v>18142</v>
      </c>
      <c r="G275" s="22" t="s">
        <v>145</v>
      </c>
      <c r="H275" s="22" t="s">
        <v>70</v>
      </c>
      <c r="I275" s="22" t="s">
        <v>67</v>
      </c>
      <c r="K275" s="22" t="s">
        <v>18143</v>
      </c>
      <c r="L275" s="22" t="s">
        <v>145</v>
      </c>
      <c r="M275" s="22" t="s">
        <v>70</v>
      </c>
      <c r="N275" s="22" t="s">
        <v>67</v>
      </c>
      <c r="P275" s="22" t="s">
        <v>18144</v>
      </c>
      <c r="Q275" s="22" t="s">
        <v>145</v>
      </c>
      <c r="R275" s="22" t="s">
        <v>70</v>
      </c>
      <c r="S275" s="22" t="s">
        <v>67</v>
      </c>
      <c r="U275" s="293" t="s">
        <v>18145</v>
      </c>
      <c r="V275" s="293" t="s">
        <v>145</v>
      </c>
      <c r="W275" s="293" t="s">
        <v>74</v>
      </c>
      <c r="X275" s="293" t="s">
        <v>656</v>
      </c>
      <c r="Z275" s="293" t="s">
        <v>18146</v>
      </c>
      <c r="AA275" s="293" t="s">
        <v>145</v>
      </c>
      <c r="AB275" s="293" t="s">
        <v>74</v>
      </c>
      <c r="AC275" s="293" t="s">
        <v>656</v>
      </c>
      <c r="AE275" s="293" t="s">
        <v>18147</v>
      </c>
      <c r="AF275" s="293" t="s">
        <v>145</v>
      </c>
      <c r="AG275" s="293" t="s">
        <v>74</v>
      </c>
      <c r="AH275" s="293" t="s">
        <v>656</v>
      </c>
      <c r="AJ275" s="293" t="s">
        <v>18148</v>
      </c>
      <c r="AK275" s="293" t="s">
        <v>145</v>
      </c>
      <c r="AL275" s="293" t="s">
        <v>74</v>
      </c>
      <c r="AM275" s="293" t="s">
        <v>656</v>
      </c>
      <c r="AO275" s="22" t="s">
        <v>18149</v>
      </c>
      <c r="AP275" s="22" t="s">
        <v>145</v>
      </c>
      <c r="AQ275" s="22" t="s">
        <v>70</v>
      </c>
      <c r="AR275" s="22" t="s">
        <v>67</v>
      </c>
      <c r="AT275" s="22" t="s">
        <v>18150</v>
      </c>
      <c r="AU275" s="22" t="s">
        <v>145</v>
      </c>
      <c r="AV275" s="22" t="s">
        <v>70</v>
      </c>
      <c r="AW275" s="22" t="s">
        <v>67</v>
      </c>
      <c r="AY275" s="22" t="s">
        <v>18151</v>
      </c>
      <c r="AZ275" s="22" t="s">
        <v>145</v>
      </c>
      <c r="BA275" s="22" t="s">
        <v>70</v>
      </c>
      <c r="BB275" s="22" t="s">
        <v>67</v>
      </c>
      <c r="BD275" s="22" t="s">
        <v>18152</v>
      </c>
      <c r="BE275" s="22" t="s">
        <v>145</v>
      </c>
      <c r="BF275" s="22" t="s">
        <v>70</v>
      </c>
      <c r="BG275" s="22" t="s">
        <v>67</v>
      </c>
      <c r="BI275" s="22" t="s">
        <v>18153</v>
      </c>
      <c r="BJ275" s="22" t="s">
        <v>145</v>
      </c>
      <c r="BK275" s="22" t="s">
        <v>70</v>
      </c>
      <c r="BL275" s="22" t="s">
        <v>67</v>
      </c>
      <c r="BN275" s="22" t="s">
        <v>18154</v>
      </c>
      <c r="BO275" s="22" t="s">
        <v>145</v>
      </c>
      <c r="BP275" s="22" t="s">
        <v>70</v>
      </c>
      <c r="BQ275" s="22" t="s">
        <v>67</v>
      </c>
      <c r="BS275" s="22" t="s">
        <v>18155</v>
      </c>
      <c r="BT275" s="22" t="s">
        <v>145</v>
      </c>
      <c r="BU275" s="22" t="s">
        <v>70</v>
      </c>
      <c r="BV275" s="214" t="s">
        <v>530</v>
      </c>
      <c r="BX275" s="22" t="s">
        <v>18156</v>
      </c>
      <c r="BY275" s="22" t="s">
        <v>145</v>
      </c>
      <c r="BZ275" s="22" t="s">
        <v>70</v>
      </c>
      <c r="CA275" s="214" t="s">
        <v>530</v>
      </c>
      <c r="CC275" s="214" t="s">
        <v>18157</v>
      </c>
      <c r="CD275" s="218" t="s">
        <v>145</v>
      </c>
      <c r="CE275" s="214" t="s">
        <v>70</v>
      </c>
      <c r="CF275" s="214" t="s">
        <v>728</v>
      </c>
      <c r="CH275" s="214" t="s">
        <v>18158</v>
      </c>
      <c r="CI275" s="214" t="s">
        <v>491</v>
      </c>
      <c r="CJ275" s="214" t="s">
        <v>70</v>
      </c>
      <c r="CK275" s="214" t="s">
        <v>530</v>
      </c>
      <c r="CM275" s="214" t="s">
        <v>18159</v>
      </c>
      <c r="CN275" s="214" t="s">
        <v>486</v>
      </c>
      <c r="CO275" s="214" t="s">
        <v>70</v>
      </c>
      <c r="CP275" s="214" t="s">
        <v>530</v>
      </c>
      <c r="CR275" s="214" t="s">
        <v>18160</v>
      </c>
      <c r="CS275" s="214" t="s">
        <v>919</v>
      </c>
      <c r="CT275" s="214" t="s">
        <v>70</v>
      </c>
      <c r="CU275" s="214" t="s">
        <v>530</v>
      </c>
      <c r="CW275" s="214" t="s">
        <v>18161</v>
      </c>
      <c r="CX275" s="214" t="s">
        <v>34646</v>
      </c>
      <c r="CY275" s="214" t="s">
        <v>70</v>
      </c>
      <c r="CZ275" s="214" t="s">
        <v>530</v>
      </c>
      <c r="DB275" s="214" t="s">
        <v>18162</v>
      </c>
      <c r="DC275" s="214" t="s">
        <v>485</v>
      </c>
      <c r="DD275" s="214" t="s">
        <v>70</v>
      </c>
      <c r="DE275" s="214" t="s">
        <v>530</v>
      </c>
      <c r="DG275" s="214" t="s">
        <v>18163</v>
      </c>
      <c r="DH275" s="214" t="s">
        <v>956</v>
      </c>
      <c r="DI275" s="214" t="s">
        <v>70</v>
      </c>
      <c r="DJ275" s="214" t="s">
        <v>530</v>
      </c>
      <c r="DL275" s="214" t="s">
        <v>18164</v>
      </c>
      <c r="DM275" s="214" t="s">
        <v>34544</v>
      </c>
      <c r="DN275" s="214" t="s">
        <v>70</v>
      </c>
      <c r="DO275" s="214" t="s">
        <v>530</v>
      </c>
      <c r="DQ275" s="214" t="s">
        <v>18165</v>
      </c>
      <c r="DR275" s="214" t="s">
        <v>486</v>
      </c>
      <c r="DS275" s="214" t="s">
        <v>70</v>
      </c>
      <c r="DT275" s="214" t="s">
        <v>530</v>
      </c>
      <c r="DV275" s="214" t="s">
        <v>18166</v>
      </c>
      <c r="DW275" s="214" t="s">
        <v>601</v>
      </c>
      <c r="DX275" s="214" t="s">
        <v>70</v>
      </c>
      <c r="DY275" s="214" t="s">
        <v>530</v>
      </c>
      <c r="EA275" s="214" t="s">
        <v>18167</v>
      </c>
      <c r="EB275" s="214" t="s">
        <v>148</v>
      </c>
      <c r="EC275" s="214" t="s">
        <v>70</v>
      </c>
      <c r="ED275" s="214" t="s">
        <v>530</v>
      </c>
      <c r="EF275" s="214" t="s">
        <v>18168</v>
      </c>
      <c r="EG275" s="214" t="s">
        <v>468</v>
      </c>
      <c r="EH275" s="214" t="s">
        <v>70</v>
      </c>
      <c r="EI275" s="214" t="s">
        <v>530</v>
      </c>
      <c r="EK275" s="214" t="s">
        <v>18169</v>
      </c>
      <c r="EL275" s="214" t="s">
        <v>52</v>
      </c>
      <c r="EM275" s="214" t="s">
        <v>70</v>
      </c>
      <c r="EN275" s="214" t="s">
        <v>530</v>
      </c>
      <c r="EP275" s="214" t="s">
        <v>18170</v>
      </c>
      <c r="EQ275" s="214" t="s">
        <v>487</v>
      </c>
      <c r="ER275" s="214" t="s">
        <v>70</v>
      </c>
      <c r="ES275" s="214" t="s">
        <v>530</v>
      </c>
      <c r="EU275" s="214" t="s">
        <v>18171</v>
      </c>
      <c r="EV275" s="214" t="s">
        <v>52</v>
      </c>
      <c r="EW275" s="214" t="s">
        <v>70</v>
      </c>
      <c r="EX275" s="214" t="s">
        <v>530</v>
      </c>
      <c r="EZ275" s="214" t="s">
        <v>18172</v>
      </c>
      <c r="FA275" s="214" t="s">
        <v>34580</v>
      </c>
      <c r="FB275" s="214" t="s">
        <v>70</v>
      </c>
      <c r="FC275" s="214" t="s">
        <v>530</v>
      </c>
      <c r="FE275" s="214" t="s">
        <v>18173</v>
      </c>
      <c r="FF275" s="214" t="s">
        <v>484</v>
      </c>
      <c r="FG275" s="214" t="s">
        <v>70</v>
      </c>
      <c r="FH275" s="214" t="s">
        <v>530</v>
      </c>
      <c r="FJ275" s="321" t="s">
        <v>18174</v>
      </c>
      <c r="FK275" s="214" t="s">
        <v>34580</v>
      </c>
      <c r="FL275" s="214" t="s">
        <v>70</v>
      </c>
      <c r="FM275" s="214" t="s">
        <v>530</v>
      </c>
      <c r="FO275" s="321" t="s">
        <v>18175</v>
      </c>
      <c r="FP275" s="214" t="s">
        <v>34541</v>
      </c>
      <c r="FQ275" s="214" t="s">
        <v>70</v>
      </c>
      <c r="FR275" s="214" t="s">
        <v>530</v>
      </c>
      <c r="FT275" s="321" t="s">
        <v>18176</v>
      </c>
      <c r="FU275" s="214" t="s">
        <v>955</v>
      </c>
      <c r="FV275" s="214" t="s">
        <v>70</v>
      </c>
      <c r="FW275" s="214" t="s">
        <v>530</v>
      </c>
      <c r="FY275" s="321" t="s">
        <v>18177</v>
      </c>
      <c r="FZ275" s="214" t="s">
        <v>52</v>
      </c>
      <c r="GA275" s="214" t="s">
        <v>70</v>
      </c>
      <c r="GB275" s="214" t="s">
        <v>530</v>
      </c>
      <c r="GD275" s="321" t="s">
        <v>18178</v>
      </c>
      <c r="GE275" s="214" t="s">
        <v>34556</v>
      </c>
      <c r="GF275" s="214" t="s">
        <v>70</v>
      </c>
      <c r="GG275" s="214" t="s">
        <v>530</v>
      </c>
      <c r="GI275" s="321" t="s">
        <v>18179</v>
      </c>
      <c r="GJ275" s="214" t="s">
        <v>798</v>
      </c>
      <c r="GK275" s="214" t="s">
        <v>70</v>
      </c>
      <c r="GL275" s="214" t="s">
        <v>530</v>
      </c>
      <c r="GN275" s="321" t="s">
        <v>18180</v>
      </c>
      <c r="GO275" s="214" t="s">
        <v>146</v>
      </c>
      <c r="GP275" s="214" t="s">
        <v>70</v>
      </c>
      <c r="GQ275" s="214" t="s">
        <v>530</v>
      </c>
      <c r="GS275" s="321" t="s">
        <v>18181</v>
      </c>
      <c r="GT275" s="214" t="s">
        <v>485</v>
      </c>
      <c r="GU275" s="214" t="s">
        <v>70</v>
      </c>
      <c r="GV275" s="214" t="s">
        <v>530</v>
      </c>
      <c r="GX275" s="214" t="s">
        <v>18182</v>
      </c>
      <c r="GY275" s="214" t="s">
        <v>485</v>
      </c>
      <c r="GZ275" s="214" t="s">
        <v>70</v>
      </c>
      <c r="HA275" s="214" t="s">
        <v>530</v>
      </c>
      <c r="HC275" s="214" t="s">
        <v>18183</v>
      </c>
      <c r="HD275" s="214" t="s">
        <v>34541</v>
      </c>
      <c r="HE275" s="214" t="s">
        <v>70</v>
      </c>
      <c r="HF275" s="214" t="s">
        <v>530</v>
      </c>
      <c r="HH275" s="214" t="s">
        <v>18184</v>
      </c>
      <c r="HI275" s="214" t="s">
        <v>955</v>
      </c>
      <c r="HJ275" s="214" t="s">
        <v>70</v>
      </c>
      <c r="HK275" s="214" t="s">
        <v>530</v>
      </c>
      <c r="HM275" s="214" t="s">
        <v>18185</v>
      </c>
      <c r="HN275" s="214" t="s">
        <v>955</v>
      </c>
      <c r="HO275" s="214" t="s">
        <v>70</v>
      </c>
      <c r="HP275" s="214" t="s">
        <v>530</v>
      </c>
      <c r="HR275" s="22" t="s">
        <v>18186</v>
      </c>
      <c r="HS275" s="22" t="s">
        <v>85</v>
      </c>
      <c r="HT275" s="22" t="s">
        <v>70</v>
      </c>
      <c r="HU275" s="214" t="s">
        <v>530</v>
      </c>
      <c r="HW275" s="22" t="s">
        <v>18187</v>
      </c>
      <c r="HX275" s="22" t="s">
        <v>34590</v>
      </c>
      <c r="HY275" s="22" t="s">
        <v>70</v>
      </c>
      <c r="HZ275" s="214" t="s">
        <v>530</v>
      </c>
      <c r="IB275" s="22" t="s">
        <v>18188</v>
      </c>
      <c r="IC275" s="22" t="s">
        <v>488</v>
      </c>
      <c r="ID275" s="22" t="s">
        <v>70</v>
      </c>
      <c r="IE275" s="214" t="s">
        <v>530</v>
      </c>
      <c r="IG275" s="22" t="s">
        <v>18189</v>
      </c>
      <c r="IH275" s="22" t="s">
        <v>52</v>
      </c>
      <c r="II275" s="22" t="s">
        <v>70</v>
      </c>
      <c r="IJ275" s="214" t="s">
        <v>530</v>
      </c>
      <c r="IL275" s="22" t="s">
        <v>18190</v>
      </c>
      <c r="IM275" s="22" t="s">
        <v>145</v>
      </c>
      <c r="IN275" s="22" t="s">
        <v>70</v>
      </c>
      <c r="IO275" s="214" t="s">
        <v>530</v>
      </c>
      <c r="IQ275" s="236" t="s">
        <v>18191</v>
      </c>
      <c r="IR275" s="236" t="s">
        <v>145</v>
      </c>
      <c r="IS275" s="236" t="s">
        <v>74</v>
      </c>
      <c r="IT275" s="236" t="s">
        <v>841</v>
      </c>
      <c r="IV275" s="236" t="s">
        <v>18192</v>
      </c>
      <c r="IW275" s="236" t="s">
        <v>145</v>
      </c>
      <c r="IX275" s="236" t="s">
        <v>74</v>
      </c>
      <c r="IY275" s="236" t="s">
        <v>841</v>
      </c>
      <c r="JA275" s="236" t="s">
        <v>18193</v>
      </c>
      <c r="JB275" s="236" t="s">
        <v>145</v>
      </c>
      <c r="JC275" s="236" t="s">
        <v>74</v>
      </c>
      <c r="JD275" s="236" t="s">
        <v>841</v>
      </c>
      <c r="JF275" s="236" t="s">
        <v>18194</v>
      </c>
      <c r="JG275" s="236" t="s">
        <v>145</v>
      </c>
      <c r="JH275" s="236" t="s">
        <v>74</v>
      </c>
      <c r="JI275" s="236" t="s">
        <v>841</v>
      </c>
      <c r="JK275" s="236" t="s">
        <v>18195</v>
      </c>
      <c r="JL275" s="236" t="s">
        <v>145</v>
      </c>
      <c r="JM275" s="236" t="s">
        <v>74</v>
      </c>
      <c r="JN275" s="236" t="s">
        <v>841</v>
      </c>
      <c r="JP275" s="236" t="s">
        <v>18196</v>
      </c>
      <c r="JQ275" s="236" t="s">
        <v>145</v>
      </c>
      <c r="JR275" s="236" t="s">
        <v>74</v>
      </c>
      <c r="JS275" s="236" t="s">
        <v>841</v>
      </c>
      <c r="JU275" s="294" t="s">
        <v>18197</v>
      </c>
      <c r="JV275" s="294" t="s">
        <v>52</v>
      </c>
      <c r="JW275" s="263" t="s">
        <v>70</v>
      </c>
      <c r="JX275" s="294" t="s">
        <v>1083</v>
      </c>
      <c r="JZ275" s="263" t="s">
        <v>18198</v>
      </c>
      <c r="KA275" s="263" t="s">
        <v>145</v>
      </c>
      <c r="KB275" s="263" t="s">
        <v>70</v>
      </c>
      <c r="KC275" s="263" t="s">
        <v>1083</v>
      </c>
      <c r="KE275" s="263" t="s">
        <v>18199</v>
      </c>
      <c r="KF275" s="263" t="s">
        <v>52</v>
      </c>
      <c r="KG275" s="263" t="s">
        <v>70</v>
      </c>
      <c r="KH275" s="263" t="s">
        <v>1083</v>
      </c>
      <c r="KJ275" s="263" t="s">
        <v>18200</v>
      </c>
      <c r="KK275" s="263" t="s">
        <v>52</v>
      </c>
      <c r="KL275" s="263" t="s">
        <v>74</v>
      </c>
      <c r="KM275" s="263" t="s">
        <v>34074</v>
      </c>
      <c r="KO275" s="214" t="s">
        <v>18201</v>
      </c>
      <c r="KP275" s="214" t="s">
        <v>145</v>
      </c>
      <c r="KQ275" s="214" t="s">
        <v>70</v>
      </c>
      <c r="KR275" s="214" t="s">
        <v>67</v>
      </c>
      <c r="KT275" s="22" t="s">
        <v>18202</v>
      </c>
      <c r="KU275" s="22" t="s">
        <v>145</v>
      </c>
      <c r="KV275" s="22" t="s">
        <v>70</v>
      </c>
      <c r="KW275" s="22" t="s">
        <v>67</v>
      </c>
      <c r="KY275" s="214" t="s">
        <v>18203</v>
      </c>
      <c r="KZ275" s="214" t="s">
        <v>601</v>
      </c>
      <c r="LA275" s="214" t="s">
        <v>74</v>
      </c>
      <c r="LB275" s="214" t="s">
        <v>34075</v>
      </c>
      <c r="LD275" s="22" t="s">
        <v>18204</v>
      </c>
      <c r="LE275" s="22" t="s">
        <v>145</v>
      </c>
      <c r="LF275" s="22" t="s">
        <v>70</v>
      </c>
      <c r="LG275" s="22" t="s">
        <v>67</v>
      </c>
    </row>
    <row r="276" spans="1:319">
      <c r="A276" s="22" t="s">
        <v>18205</v>
      </c>
      <c r="B276" s="22" t="s">
        <v>145</v>
      </c>
      <c r="C276" s="22" t="s">
        <v>70</v>
      </c>
      <c r="D276" s="22" t="s">
        <v>67</v>
      </c>
      <c r="F276" s="99" t="s">
        <v>18206</v>
      </c>
      <c r="G276" s="22" t="s">
        <v>145</v>
      </c>
      <c r="H276" s="22" t="s">
        <v>70</v>
      </c>
      <c r="I276" s="22" t="s">
        <v>67</v>
      </c>
      <c r="K276" s="22" t="s">
        <v>18207</v>
      </c>
      <c r="L276" s="22" t="s">
        <v>145</v>
      </c>
      <c r="M276" s="22" t="s">
        <v>70</v>
      </c>
      <c r="N276" s="22" t="s">
        <v>67</v>
      </c>
      <c r="P276" s="22" t="s">
        <v>18208</v>
      </c>
      <c r="Q276" s="22" t="s">
        <v>145</v>
      </c>
      <c r="R276" s="22" t="s">
        <v>70</v>
      </c>
      <c r="S276" s="22" t="s">
        <v>67</v>
      </c>
      <c r="U276" s="293" t="s">
        <v>18209</v>
      </c>
      <c r="V276" s="293" t="s">
        <v>145</v>
      </c>
      <c r="W276" s="293" t="s">
        <v>74</v>
      </c>
      <c r="X276" s="293" t="s">
        <v>656</v>
      </c>
      <c r="Z276" s="293" t="s">
        <v>18210</v>
      </c>
      <c r="AA276" s="293" t="s">
        <v>145</v>
      </c>
      <c r="AB276" s="293" t="s">
        <v>74</v>
      </c>
      <c r="AC276" s="293" t="s">
        <v>656</v>
      </c>
      <c r="AE276" s="293" t="s">
        <v>18211</v>
      </c>
      <c r="AF276" s="293" t="s">
        <v>145</v>
      </c>
      <c r="AG276" s="293" t="s">
        <v>74</v>
      </c>
      <c r="AH276" s="293" t="s">
        <v>656</v>
      </c>
      <c r="AJ276" s="293" t="s">
        <v>18212</v>
      </c>
      <c r="AK276" s="293" t="s">
        <v>145</v>
      </c>
      <c r="AL276" s="293" t="s">
        <v>74</v>
      </c>
      <c r="AM276" s="293" t="s">
        <v>656</v>
      </c>
      <c r="AO276" s="22" t="s">
        <v>18213</v>
      </c>
      <c r="AP276" s="22" t="s">
        <v>145</v>
      </c>
      <c r="AQ276" s="22" t="s">
        <v>70</v>
      </c>
      <c r="AR276" s="22" t="s">
        <v>67</v>
      </c>
      <c r="AT276" s="22" t="s">
        <v>18214</v>
      </c>
      <c r="AU276" s="22" t="s">
        <v>145</v>
      </c>
      <c r="AV276" s="22" t="s">
        <v>70</v>
      </c>
      <c r="AW276" s="22" t="s">
        <v>67</v>
      </c>
      <c r="AY276" s="22" t="s">
        <v>18215</v>
      </c>
      <c r="AZ276" s="22" t="s">
        <v>145</v>
      </c>
      <c r="BA276" s="22" t="s">
        <v>70</v>
      </c>
      <c r="BB276" s="22" t="s">
        <v>67</v>
      </c>
      <c r="BD276" s="22" t="s">
        <v>18216</v>
      </c>
      <c r="BE276" s="22" t="s">
        <v>145</v>
      </c>
      <c r="BF276" s="22" t="s">
        <v>70</v>
      </c>
      <c r="BG276" s="22" t="s">
        <v>67</v>
      </c>
      <c r="BI276" s="22" t="s">
        <v>18217</v>
      </c>
      <c r="BJ276" s="22" t="s">
        <v>145</v>
      </c>
      <c r="BK276" s="22" t="s">
        <v>70</v>
      </c>
      <c r="BL276" s="22" t="s">
        <v>67</v>
      </c>
      <c r="BN276" s="22" t="s">
        <v>18218</v>
      </c>
      <c r="BO276" s="22" t="s">
        <v>145</v>
      </c>
      <c r="BP276" s="22" t="s">
        <v>70</v>
      </c>
      <c r="BQ276" s="22" t="s">
        <v>67</v>
      </c>
      <c r="BS276" s="22" t="s">
        <v>18219</v>
      </c>
      <c r="BT276" s="22" t="s">
        <v>145</v>
      </c>
      <c r="BU276" s="22" t="s">
        <v>70</v>
      </c>
      <c r="BV276" s="214" t="s">
        <v>530</v>
      </c>
      <c r="BX276" s="22" t="s">
        <v>18220</v>
      </c>
      <c r="BY276" s="22" t="s">
        <v>145</v>
      </c>
      <c r="BZ276" s="22" t="s">
        <v>70</v>
      </c>
      <c r="CA276" s="214" t="s">
        <v>530</v>
      </c>
      <c r="CC276" s="214" t="s">
        <v>18221</v>
      </c>
      <c r="CD276" s="218" t="s">
        <v>145</v>
      </c>
      <c r="CE276" s="214" t="s">
        <v>70</v>
      </c>
      <c r="CF276" s="214" t="s">
        <v>729</v>
      </c>
      <c r="CH276" s="214" t="s">
        <v>18222</v>
      </c>
      <c r="CI276" s="214" t="s">
        <v>34575</v>
      </c>
      <c r="CJ276" s="214" t="s">
        <v>70</v>
      </c>
      <c r="CK276" s="214" t="s">
        <v>530</v>
      </c>
      <c r="CM276" s="214" t="s">
        <v>18223</v>
      </c>
      <c r="CN276" s="214" t="s">
        <v>488</v>
      </c>
      <c r="CO276" s="214" t="s">
        <v>70</v>
      </c>
      <c r="CP276" s="214" t="s">
        <v>530</v>
      </c>
      <c r="CR276" s="214" t="s">
        <v>18224</v>
      </c>
      <c r="CS276" s="214" t="s">
        <v>34544</v>
      </c>
      <c r="CT276" s="214" t="s">
        <v>70</v>
      </c>
      <c r="CU276" s="214" t="s">
        <v>530</v>
      </c>
      <c r="CW276" s="214" t="s">
        <v>18225</v>
      </c>
      <c r="CX276" s="214" t="s">
        <v>501</v>
      </c>
      <c r="CY276" s="214" t="s">
        <v>70</v>
      </c>
      <c r="CZ276" s="214" t="s">
        <v>530</v>
      </c>
      <c r="DB276" s="214" t="s">
        <v>18226</v>
      </c>
      <c r="DC276" s="214" t="s">
        <v>34545</v>
      </c>
      <c r="DD276" s="214" t="s">
        <v>70</v>
      </c>
      <c r="DE276" s="214" t="s">
        <v>530</v>
      </c>
      <c r="DG276" s="214" t="s">
        <v>18227</v>
      </c>
      <c r="DH276" s="214" t="s">
        <v>34560</v>
      </c>
      <c r="DI276" s="214" t="s">
        <v>70</v>
      </c>
      <c r="DJ276" s="214" t="s">
        <v>530</v>
      </c>
      <c r="DL276" s="214" t="s">
        <v>18228</v>
      </c>
      <c r="DM276" s="214" t="s">
        <v>655</v>
      </c>
      <c r="DN276" s="214" t="s">
        <v>70</v>
      </c>
      <c r="DO276" s="214" t="s">
        <v>530</v>
      </c>
      <c r="DQ276" s="214" t="s">
        <v>18229</v>
      </c>
      <c r="DR276" s="214" t="s">
        <v>92</v>
      </c>
      <c r="DS276" s="214" t="s">
        <v>70</v>
      </c>
      <c r="DT276" s="214" t="s">
        <v>530</v>
      </c>
      <c r="DV276" s="214" t="s">
        <v>18230</v>
      </c>
      <c r="DW276" s="214" t="s">
        <v>481</v>
      </c>
      <c r="DX276" s="214" t="s">
        <v>70</v>
      </c>
      <c r="DY276" s="214" t="s">
        <v>530</v>
      </c>
      <c r="EA276" s="214" t="s">
        <v>18231</v>
      </c>
      <c r="EB276" s="214" t="s">
        <v>52</v>
      </c>
      <c r="EC276" s="214" t="s">
        <v>70</v>
      </c>
      <c r="ED276" s="214" t="s">
        <v>530</v>
      </c>
      <c r="EF276" s="214" t="s">
        <v>18232</v>
      </c>
      <c r="EG276" s="214" t="s">
        <v>468</v>
      </c>
      <c r="EH276" s="214" t="s">
        <v>70</v>
      </c>
      <c r="EI276" s="214" t="s">
        <v>530</v>
      </c>
      <c r="EK276" s="214" t="s">
        <v>18233</v>
      </c>
      <c r="EL276" s="214" t="s">
        <v>503</v>
      </c>
      <c r="EM276" s="214" t="s">
        <v>70</v>
      </c>
      <c r="EN276" s="214" t="s">
        <v>530</v>
      </c>
      <c r="EP276" s="214" t="s">
        <v>18234</v>
      </c>
      <c r="EQ276" s="214" t="s">
        <v>89</v>
      </c>
      <c r="ER276" s="214" t="s">
        <v>70</v>
      </c>
      <c r="ES276" s="214" t="s">
        <v>530</v>
      </c>
      <c r="EU276" s="214" t="s">
        <v>18235</v>
      </c>
      <c r="EV276" s="214" t="s">
        <v>495</v>
      </c>
      <c r="EW276" s="214" t="s">
        <v>70</v>
      </c>
      <c r="EX276" s="214" t="s">
        <v>530</v>
      </c>
      <c r="EZ276" s="214" t="s">
        <v>18236</v>
      </c>
      <c r="FA276" s="214" t="s">
        <v>950</v>
      </c>
      <c r="FB276" s="214" t="s">
        <v>70</v>
      </c>
      <c r="FC276" s="214" t="s">
        <v>530</v>
      </c>
      <c r="FE276" s="214" t="s">
        <v>18237</v>
      </c>
      <c r="FF276" s="214" t="s">
        <v>148</v>
      </c>
      <c r="FG276" s="214" t="s">
        <v>70</v>
      </c>
      <c r="FH276" s="214" t="s">
        <v>530</v>
      </c>
      <c r="FJ276" s="321" t="s">
        <v>18238</v>
      </c>
      <c r="FK276" s="214" t="s">
        <v>52</v>
      </c>
      <c r="FL276" s="214" t="s">
        <v>70</v>
      </c>
      <c r="FM276" s="214" t="s">
        <v>530</v>
      </c>
      <c r="FO276" s="321" t="s">
        <v>18239</v>
      </c>
      <c r="FP276" s="214" t="s">
        <v>498</v>
      </c>
      <c r="FQ276" s="214" t="s">
        <v>70</v>
      </c>
      <c r="FR276" s="214" t="s">
        <v>530</v>
      </c>
      <c r="FT276" s="321" t="s">
        <v>18240</v>
      </c>
      <c r="FU276" s="214" t="s">
        <v>148</v>
      </c>
      <c r="FV276" s="214" t="s">
        <v>70</v>
      </c>
      <c r="FW276" s="214" t="s">
        <v>530</v>
      </c>
      <c r="FY276" s="321" t="s">
        <v>18241</v>
      </c>
      <c r="FZ276" s="214" t="s">
        <v>915</v>
      </c>
      <c r="GA276" s="214" t="s">
        <v>70</v>
      </c>
      <c r="GB276" s="214" t="s">
        <v>530</v>
      </c>
      <c r="GD276" s="321" t="s">
        <v>18242</v>
      </c>
      <c r="GE276" s="214" t="s">
        <v>163</v>
      </c>
      <c r="GF276" s="214" t="s">
        <v>70</v>
      </c>
      <c r="GG276" s="214" t="s">
        <v>530</v>
      </c>
      <c r="GI276" s="321" t="s">
        <v>18243</v>
      </c>
      <c r="GJ276" s="214" t="s">
        <v>52</v>
      </c>
      <c r="GK276" s="214" t="s">
        <v>70</v>
      </c>
      <c r="GL276" s="214" t="s">
        <v>530</v>
      </c>
      <c r="GN276" s="321" t="s">
        <v>18244</v>
      </c>
      <c r="GO276" s="214" t="s">
        <v>52</v>
      </c>
      <c r="GP276" s="214" t="s">
        <v>70</v>
      </c>
      <c r="GQ276" s="214" t="s">
        <v>530</v>
      </c>
      <c r="GS276" s="321" t="s">
        <v>18245</v>
      </c>
      <c r="GT276" s="214" t="s">
        <v>103</v>
      </c>
      <c r="GU276" s="214" t="s">
        <v>70</v>
      </c>
      <c r="GV276" s="214" t="s">
        <v>530</v>
      </c>
      <c r="GX276" s="214" t="s">
        <v>18246</v>
      </c>
      <c r="GY276" s="214" t="s">
        <v>148</v>
      </c>
      <c r="GZ276" s="214" t="s">
        <v>70</v>
      </c>
      <c r="HA276" s="214" t="s">
        <v>530</v>
      </c>
      <c r="HC276" s="214" t="s">
        <v>18247</v>
      </c>
      <c r="HD276" s="214" t="s">
        <v>34601</v>
      </c>
      <c r="HE276" s="214" t="s">
        <v>70</v>
      </c>
      <c r="HF276" s="214" t="s">
        <v>530</v>
      </c>
      <c r="HH276" s="214" t="s">
        <v>18248</v>
      </c>
      <c r="HI276" s="214" t="s">
        <v>145</v>
      </c>
      <c r="HJ276" s="214" t="s">
        <v>70</v>
      </c>
      <c r="HK276" s="214" t="s">
        <v>530</v>
      </c>
      <c r="HM276" s="214" t="s">
        <v>18249</v>
      </c>
      <c r="HN276" s="214" t="s">
        <v>498</v>
      </c>
      <c r="HO276" s="214" t="s">
        <v>70</v>
      </c>
      <c r="HP276" s="214" t="s">
        <v>530</v>
      </c>
      <c r="HR276" s="22" t="s">
        <v>18250</v>
      </c>
      <c r="HS276" s="22" t="s">
        <v>148</v>
      </c>
      <c r="HT276" s="22" t="s">
        <v>70</v>
      </c>
      <c r="HU276" s="214" t="s">
        <v>530</v>
      </c>
      <c r="HW276" s="22" t="s">
        <v>18251</v>
      </c>
      <c r="HX276" s="22" t="s">
        <v>93</v>
      </c>
      <c r="HY276" s="22" t="s">
        <v>70</v>
      </c>
      <c r="HZ276" s="214" t="s">
        <v>530</v>
      </c>
      <c r="IB276" s="22" t="s">
        <v>18252</v>
      </c>
      <c r="IC276" s="22" t="s">
        <v>149</v>
      </c>
      <c r="ID276" s="22" t="s">
        <v>70</v>
      </c>
      <c r="IE276" s="214" t="s">
        <v>530</v>
      </c>
      <c r="IG276" s="22" t="s">
        <v>18253</v>
      </c>
      <c r="IH276" s="22" t="s">
        <v>52</v>
      </c>
      <c r="II276" s="22" t="s">
        <v>70</v>
      </c>
      <c r="IJ276" s="214" t="s">
        <v>530</v>
      </c>
      <c r="IL276" s="22" t="s">
        <v>18254</v>
      </c>
      <c r="IM276" s="22" t="s">
        <v>145</v>
      </c>
      <c r="IN276" s="22" t="s">
        <v>70</v>
      </c>
      <c r="IO276" s="214" t="s">
        <v>530</v>
      </c>
      <c r="IQ276" s="236" t="s">
        <v>18255</v>
      </c>
      <c r="IR276" s="236" t="s">
        <v>145</v>
      </c>
      <c r="IS276" s="236" t="s">
        <v>74</v>
      </c>
      <c r="IT276" s="236" t="s">
        <v>841</v>
      </c>
      <c r="IV276" s="236" t="s">
        <v>18256</v>
      </c>
      <c r="IW276" s="236" t="s">
        <v>145</v>
      </c>
      <c r="IX276" s="236" t="s">
        <v>74</v>
      </c>
      <c r="IY276" s="236" t="s">
        <v>841</v>
      </c>
      <c r="JA276" s="236" t="s">
        <v>18257</v>
      </c>
      <c r="JB276" s="236" t="s">
        <v>145</v>
      </c>
      <c r="JC276" s="236" t="s">
        <v>74</v>
      </c>
      <c r="JD276" s="236" t="s">
        <v>841</v>
      </c>
      <c r="JF276" s="236" t="s">
        <v>18258</v>
      </c>
      <c r="JG276" s="236" t="s">
        <v>145</v>
      </c>
      <c r="JH276" s="236" t="s">
        <v>74</v>
      </c>
      <c r="JI276" s="236" t="s">
        <v>841</v>
      </c>
      <c r="JK276" s="236" t="s">
        <v>18259</v>
      </c>
      <c r="JL276" s="236" t="s">
        <v>145</v>
      </c>
      <c r="JM276" s="236" t="s">
        <v>74</v>
      </c>
      <c r="JN276" s="236" t="s">
        <v>841</v>
      </c>
      <c r="JP276" s="236" t="s">
        <v>18260</v>
      </c>
      <c r="JQ276" s="236" t="s">
        <v>145</v>
      </c>
      <c r="JR276" s="236" t="s">
        <v>74</v>
      </c>
      <c r="JS276" s="236" t="s">
        <v>841</v>
      </c>
      <c r="JU276" s="294" t="s">
        <v>18261</v>
      </c>
      <c r="JV276" s="294" t="s">
        <v>52</v>
      </c>
      <c r="JW276" s="263" t="s">
        <v>70</v>
      </c>
      <c r="JX276" s="294" t="s">
        <v>1083</v>
      </c>
      <c r="JZ276" s="263" t="s">
        <v>18262</v>
      </c>
      <c r="KA276" s="263" t="s">
        <v>145</v>
      </c>
      <c r="KB276" s="263" t="s">
        <v>70</v>
      </c>
      <c r="KC276" s="263" t="s">
        <v>1083</v>
      </c>
      <c r="KE276" s="263" t="s">
        <v>18263</v>
      </c>
      <c r="KF276" s="263" t="s">
        <v>52</v>
      </c>
      <c r="KG276" s="263" t="s">
        <v>70</v>
      </c>
      <c r="KH276" s="263" t="s">
        <v>1083</v>
      </c>
      <c r="KJ276" s="263" t="s">
        <v>18264</v>
      </c>
      <c r="KK276" s="263" t="s">
        <v>52</v>
      </c>
      <c r="KL276" s="263" t="s">
        <v>74</v>
      </c>
      <c r="KM276" s="263" t="s">
        <v>34074</v>
      </c>
      <c r="KO276" s="214" t="s">
        <v>18265</v>
      </c>
      <c r="KP276" s="214" t="s">
        <v>145</v>
      </c>
      <c r="KQ276" s="214" t="s">
        <v>70</v>
      </c>
      <c r="KR276" s="214" t="s">
        <v>67</v>
      </c>
      <c r="KT276" s="22" t="s">
        <v>18266</v>
      </c>
      <c r="KU276" s="22" t="s">
        <v>145</v>
      </c>
      <c r="KV276" s="22" t="s">
        <v>70</v>
      </c>
      <c r="KW276" s="22" t="s">
        <v>67</v>
      </c>
      <c r="KY276" s="214" t="s">
        <v>18267</v>
      </c>
      <c r="KZ276" s="218" t="s">
        <v>52</v>
      </c>
      <c r="LA276" s="214" t="s">
        <v>74</v>
      </c>
      <c r="LB276" s="218" t="s">
        <v>34502</v>
      </c>
      <c r="LD276" s="22" t="s">
        <v>18268</v>
      </c>
      <c r="LE276" s="22" t="s">
        <v>145</v>
      </c>
      <c r="LF276" s="22" t="s">
        <v>70</v>
      </c>
      <c r="LG276" s="22" t="s">
        <v>67</v>
      </c>
    </row>
    <row r="277" spans="1:319">
      <c r="A277" s="22" t="s">
        <v>18269</v>
      </c>
      <c r="B277" s="22" t="s">
        <v>145</v>
      </c>
      <c r="C277" s="22" t="s">
        <v>70</v>
      </c>
      <c r="D277" s="22" t="s">
        <v>67</v>
      </c>
      <c r="F277" s="99" t="s">
        <v>18270</v>
      </c>
      <c r="G277" s="22" t="s">
        <v>145</v>
      </c>
      <c r="H277" s="22" t="s">
        <v>70</v>
      </c>
      <c r="I277" s="22" t="s">
        <v>67</v>
      </c>
      <c r="K277" s="22" t="s">
        <v>18271</v>
      </c>
      <c r="L277" s="22" t="s">
        <v>145</v>
      </c>
      <c r="M277" s="22" t="s">
        <v>70</v>
      </c>
      <c r="N277" s="22" t="s">
        <v>67</v>
      </c>
      <c r="P277" s="22" t="s">
        <v>18272</v>
      </c>
      <c r="Q277" s="22" t="s">
        <v>145</v>
      </c>
      <c r="R277" s="22" t="s">
        <v>70</v>
      </c>
      <c r="S277" s="22" t="s">
        <v>67</v>
      </c>
      <c r="U277" s="293" t="s">
        <v>18273</v>
      </c>
      <c r="V277" s="293" t="s">
        <v>145</v>
      </c>
      <c r="W277" s="293" t="s">
        <v>74</v>
      </c>
      <c r="X277" s="293" t="s">
        <v>656</v>
      </c>
      <c r="Z277" s="293" t="s">
        <v>18274</v>
      </c>
      <c r="AA277" s="293" t="s">
        <v>145</v>
      </c>
      <c r="AB277" s="293" t="s">
        <v>74</v>
      </c>
      <c r="AC277" s="293" t="s">
        <v>656</v>
      </c>
      <c r="AE277" s="293" t="s">
        <v>18275</v>
      </c>
      <c r="AF277" s="293" t="s">
        <v>145</v>
      </c>
      <c r="AG277" s="293" t="s">
        <v>74</v>
      </c>
      <c r="AH277" s="293" t="s">
        <v>656</v>
      </c>
      <c r="AJ277" s="293" t="s">
        <v>18276</v>
      </c>
      <c r="AK277" s="293" t="s">
        <v>145</v>
      </c>
      <c r="AL277" s="293" t="s">
        <v>74</v>
      </c>
      <c r="AM277" s="293" t="s">
        <v>656</v>
      </c>
      <c r="AO277" s="22" t="s">
        <v>18277</v>
      </c>
      <c r="AP277" s="22" t="s">
        <v>145</v>
      </c>
      <c r="AQ277" s="22" t="s">
        <v>70</v>
      </c>
      <c r="AR277" s="22" t="s">
        <v>67</v>
      </c>
      <c r="AT277" s="22" t="s">
        <v>18278</v>
      </c>
      <c r="AU277" s="22" t="s">
        <v>145</v>
      </c>
      <c r="AV277" s="22" t="s">
        <v>70</v>
      </c>
      <c r="AW277" s="22" t="s">
        <v>67</v>
      </c>
      <c r="AY277" s="22" t="s">
        <v>18279</v>
      </c>
      <c r="AZ277" s="22" t="s">
        <v>145</v>
      </c>
      <c r="BA277" s="22" t="s">
        <v>70</v>
      </c>
      <c r="BB277" s="22" t="s">
        <v>67</v>
      </c>
      <c r="BD277" s="22" t="s">
        <v>18280</v>
      </c>
      <c r="BE277" s="22" t="s">
        <v>145</v>
      </c>
      <c r="BF277" s="22" t="s">
        <v>70</v>
      </c>
      <c r="BG277" s="22" t="s">
        <v>67</v>
      </c>
      <c r="BI277" s="22" t="s">
        <v>18281</v>
      </c>
      <c r="BJ277" s="22" t="s">
        <v>145</v>
      </c>
      <c r="BK277" s="22" t="s">
        <v>70</v>
      </c>
      <c r="BL277" s="22" t="s">
        <v>67</v>
      </c>
      <c r="BN277" s="22" t="s">
        <v>18282</v>
      </c>
      <c r="BO277" s="22" t="s">
        <v>145</v>
      </c>
      <c r="BP277" s="22" t="s">
        <v>70</v>
      </c>
      <c r="BQ277" s="22" t="s">
        <v>67</v>
      </c>
      <c r="BS277" s="22" t="s">
        <v>18283</v>
      </c>
      <c r="BT277" s="22" t="s">
        <v>145</v>
      </c>
      <c r="BU277" s="22" t="s">
        <v>70</v>
      </c>
      <c r="BV277" s="214" t="s">
        <v>530</v>
      </c>
      <c r="BX277" s="22" t="s">
        <v>18284</v>
      </c>
      <c r="BY277" s="22" t="s">
        <v>145</v>
      </c>
      <c r="BZ277" s="22" t="s">
        <v>70</v>
      </c>
      <c r="CA277" s="214" t="s">
        <v>530</v>
      </c>
      <c r="CC277" s="214" t="s">
        <v>18285</v>
      </c>
      <c r="CD277" s="218" t="s">
        <v>145</v>
      </c>
      <c r="CE277" s="214" t="s">
        <v>70</v>
      </c>
      <c r="CF277" s="214" t="s">
        <v>730</v>
      </c>
      <c r="CH277" s="214" t="s">
        <v>18286</v>
      </c>
      <c r="CI277" s="214" t="s">
        <v>598</v>
      </c>
      <c r="CJ277" s="214" t="s">
        <v>70</v>
      </c>
      <c r="CK277" s="214" t="s">
        <v>530</v>
      </c>
      <c r="CM277" s="214" t="s">
        <v>18287</v>
      </c>
      <c r="CN277" s="214" t="s">
        <v>488</v>
      </c>
      <c r="CO277" s="214" t="s">
        <v>70</v>
      </c>
      <c r="CP277" s="214" t="s">
        <v>530</v>
      </c>
      <c r="CR277" s="214" t="s">
        <v>18288</v>
      </c>
      <c r="CS277" s="214" t="s">
        <v>34544</v>
      </c>
      <c r="CT277" s="214" t="s">
        <v>70</v>
      </c>
      <c r="CU277" s="214" t="s">
        <v>530</v>
      </c>
      <c r="CW277" s="214" t="s">
        <v>18289</v>
      </c>
      <c r="CX277" s="214" t="s">
        <v>34557</v>
      </c>
      <c r="CY277" s="214" t="s">
        <v>70</v>
      </c>
      <c r="CZ277" s="214" t="s">
        <v>530</v>
      </c>
      <c r="DB277" s="214" t="s">
        <v>18290</v>
      </c>
      <c r="DC277" s="214" t="s">
        <v>34561</v>
      </c>
      <c r="DD277" s="214" t="s">
        <v>70</v>
      </c>
      <c r="DE277" s="214" t="s">
        <v>530</v>
      </c>
      <c r="DG277" s="214" t="s">
        <v>18291</v>
      </c>
      <c r="DH277" s="214" t="s">
        <v>88</v>
      </c>
      <c r="DI277" s="214" t="s">
        <v>70</v>
      </c>
      <c r="DJ277" s="214" t="s">
        <v>530</v>
      </c>
      <c r="DL277" s="214" t="s">
        <v>18292</v>
      </c>
      <c r="DM277" s="214" t="s">
        <v>206</v>
      </c>
      <c r="DN277" s="214" t="s">
        <v>70</v>
      </c>
      <c r="DO277" s="214" t="s">
        <v>530</v>
      </c>
      <c r="DQ277" s="214" t="s">
        <v>18293</v>
      </c>
      <c r="DR277" s="214" t="s">
        <v>146</v>
      </c>
      <c r="DS277" s="214" t="s">
        <v>70</v>
      </c>
      <c r="DT277" s="214" t="s">
        <v>530</v>
      </c>
      <c r="DV277" s="214" t="s">
        <v>18294</v>
      </c>
      <c r="DW277" s="214" t="s">
        <v>488</v>
      </c>
      <c r="DX277" s="214" t="s">
        <v>70</v>
      </c>
      <c r="DY277" s="214" t="s">
        <v>530</v>
      </c>
      <c r="EA277" s="214" t="s">
        <v>18295</v>
      </c>
      <c r="EB277" s="214" t="s">
        <v>34558</v>
      </c>
      <c r="EC277" s="214" t="s">
        <v>70</v>
      </c>
      <c r="ED277" s="214" t="s">
        <v>530</v>
      </c>
      <c r="EF277" s="214" t="s">
        <v>18296</v>
      </c>
      <c r="EG277" s="214" t="s">
        <v>481</v>
      </c>
      <c r="EH277" s="214" t="s">
        <v>70</v>
      </c>
      <c r="EI277" s="214" t="s">
        <v>530</v>
      </c>
      <c r="EK277" s="214" t="s">
        <v>18297</v>
      </c>
      <c r="EL277" s="214" t="s">
        <v>148</v>
      </c>
      <c r="EM277" s="214" t="s">
        <v>70</v>
      </c>
      <c r="EN277" s="214" t="s">
        <v>530</v>
      </c>
      <c r="EP277" s="214" t="s">
        <v>18298</v>
      </c>
      <c r="EQ277" s="214" t="s">
        <v>52</v>
      </c>
      <c r="ER277" s="214" t="s">
        <v>70</v>
      </c>
      <c r="ES277" s="214" t="s">
        <v>530</v>
      </c>
      <c r="EU277" s="214" t="s">
        <v>18299</v>
      </c>
      <c r="EV277" s="214" t="s">
        <v>947</v>
      </c>
      <c r="EW277" s="214" t="s">
        <v>70</v>
      </c>
      <c r="EX277" s="214" t="s">
        <v>530</v>
      </c>
      <c r="EZ277" s="214" t="s">
        <v>18300</v>
      </c>
      <c r="FA277" s="214" t="s">
        <v>599</v>
      </c>
      <c r="FB277" s="214" t="s">
        <v>70</v>
      </c>
      <c r="FC277" s="214" t="s">
        <v>530</v>
      </c>
      <c r="FE277" s="214" t="s">
        <v>18301</v>
      </c>
      <c r="FF277" s="214" t="s">
        <v>485</v>
      </c>
      <c r="FG277" s="214" t="s">
        <v>70</v>
      </c>
      <c r="FH277" s="214" t="s">
        <v>530</v>
      </c>
      <c r="FJ277" s="321" t="s">
        <v>18302</v>
      </c>
      <c r="FK277" s="214" t="s">
        <v>919</v>
      </c>
      <c r="FL277" s="214" t="s">
        <v>70</v>
      </c>
      <c r="FM277" s="214" t="s">
        <v>530</v>
      </c>
      <c r="FO277" s="321" t="s">
        <v>18303</v>
      </c>
      <c r="FP277" s="214" t="s">
        <v>145</v>
      </c>
      <c r="FQ277" s="214" t="s">
        <v>70</v>
      </c>
      <c r="FR277" s="214" t="s">
        <v>530</v>
      </c>
      <c r="FT277" s="321" t="s">
        <v>18304</v>
      </c>
      <c r="FU277" s="214" t="s">
        <v>485</v>
      </c>
      <c r="FV277" s="214" t="s">
        <v>70</v>
      </c>
      <c r="FW277" s="214" t="s">
        <v>530</v>
      </c>
      <c r="FY277" s="321" t="s">
        <v>18305</v>
      </c>
      <c r="FZ277" s="214" t="s">
        <v>52</v>
      </c>
      <c r="GA277" s="214" t="s">
        <v>70</v>
      </c>
      <c r="GB277" s="214" t="s">
        <v>530</v>
      </c>
      <c r="GD277" s="321" t="s">
        <v>18306</v>
      </c>
      <c r="GE277" s="214" t="s">
        <v>52</v>
      </c>
      <c r="GF277" s="214" t="s">
        <v>70</v>
      </c>
      <c r="GG277" s="214" t="s">
        <v>530</v>
      </c>
      <c r="GI277" s="321" t="s">
        <v>18307</v>
      </c>
      <c r="GJ277" s="214" t="s">
        <v>502</v>
      </c>
      <c r="GK277" s="214" t="s">
        <v>70</v>
      </c>
      <c r="GL277" s="214" t="s">
        <v>530</v>
      </c>
      <c r="GN277" s="321" t="s">
        <v>18308</v>
      </c>
      <c r="GO277" s="214" t="s">
        <v>52</v>
      </c>
      <c r="GP277" s="214" t="s">
        <v>70</v>
      </c>
      <c r="GQ277" s="214" t="s">
        <v>530</v>
      </c>
      <c r="GS277" s="321" t="s">
        <v>18309</v>
      </c>
      <c r="GT277" s="214" t="s">
        <v>34544</v>
      </c>
      <c r="GU277" s="214" t="s">
        <v>70</v>
      </c>
      <c r="GV277" s="214" t="s">
        <v>530</v>
      </c>
      <c r="GX277" s="214" t="s">
        <v>18310</v>
      </c>
      <c r="GY277" s="214" t="s">
        <v>34542</v>
      </c>
      <c r="GZ277" s="214" t="s">
        <v>70</v>
      </c>
      <c r="HA277" s="214" t="s">
        <v>530</v>
      </c>
      <c r="HC277" s="214" t="s">
        <v>18311</v>
      </c>
      <c r="HD277" s="214" t="s">
        <v>34405</v>
      </c>
      <c r="HE277" s="214" t="s">
        <v>70</v>
      </c>
      <c r="HF277" s="214" t="s">
        <v>530</v>
      </c>
      <c r="HH277" s="214" t="s">
        <v>18312</v>
      </c>
      <c r="HI277" s="214" t="s">
        <v>34541</v>
      </c>
      <c r="HJ277" s="214" t="s">
        <v>70</v>
      </c>
      <c r="HK277" s="214" t="s">
        <v>530</v>
      </c>
      <c r="HM277" s="214" t="s">
        <v>18313</v>
      </c>
      <c r="HN277" s="214" t="s">
        <v>34547</v>
      </c>
      <c r="HO277" s="214" t="s">
        <v>70</v>
      </c>
      <c r="HP277" s="214" t="s">
        <v>530</v>
      </c>
      <c r="HR277" s="22" t="s">
        <v>18314</v>
      </c>
      <c r="HS277" s="22" t="s">
        <v>34549</v>
      </c>
      <c r="HT277" s="22" t="s">
        <v>70</v>
      </c>
      <c r="HU277" s="214" t="s">
        <v>530</v>
      </c>
      <c r="HW277" s="22" t="s">
        <v>18315</v>
      </c>
      <c r="HX277" s="22" t="s">
        <v>34615</v>
      </c>
      <c r="HY277" s="22" t="s">
        <v>70</v>
      </c>
      <c r="HZ277" s="214" t="s">
        <v>530</v>
      </c>
      <c r="IB277" s="22" t="s">
        <v>18316</v>
      </c>
      <c r="IC277" s="22" t="s">
        <v>34558</v>
      </c>
      <c r="ID277" s="22" t="s">
        <v>70</v>
      </c>
      <c r="IE277" s="214" t="s">
        <v>530</v>
      </c>
      <c r="IG277" s="22" t="s">
        <v>18317</v>
      </c>
      <c r="IH277" s="22" t="s">
        <v>52</v>
      </c>
      <c r="II277" s="22" t="s">
        <v>70</v>
      </c>
      <c r="IJ277" s="214" t="s">
        <v>530</v>
      </c>
      <c r="IL277" s="22" t="s">
        <v>18318</v>
      </c>
      <c r="IM277" s="22" t="s">
        <v>145</v>
      </c>
      <c r="IN277" s="22" t="s">
        <v>70</v>
      </c>
      <c r="IO277" s="214" t="s">
        <v>530</v>
      </c>
      <c r="IQ277" s="236" t="s">
        <v>18319</v>
      </c>
      <c r="IR277" s="236" t="s">
        <v>145</v>
      </c>
      <c r="IS277" s="236" t="s">
        <v>74</v>
      </c>
      <c r="IT277" s="236" t="s">
        <v>841</v>
      </c>
      <c r="IV277" s="236" t="s">
        <v>18320</v>
      </c>
      <c r="IW277" s="236" t="s">
        <v>145</v>
      </c>
      <c r="IX277" s="236" t="s">
        <v>74</v>
      </c>
      <c r="IY277" s="236" t="s">
        <v>841</v>
      </c>
      <c r="JA277" s="236" t="s">
        <v>18321</v>
      </c>
      <c r="JB277" s="236" t="s">
        <v>145</v>
      </c>
      <c r="JC277" s="236" t="s">
        <v>74</v>
      </c>
      <c r="JD277" s="236" t="s">
        <v>841</v>
      </c>
      <c r="JF277" s="236" t="s">
        <v>18322</v>
      </c>
      <c r="JG277" s="236" t="s">
        <v>145</v>
      </c>
      <c r="JH277" s="236" t="s">
        <v>74</v>
      </c>
      <c r="JI277" s="236" t="s">
        <v>841</v>
      </c>
      <c r="JK277" s="236" t="s">
        <v>18323</v>
      </c>
      <c r="JL277" s="236" t="s">
        <v>145</v>
      </c>
      <c r="JM277" s="236" t="s">
        <v>74</v>
      </c>
      <c r="JN277" s="236" t="s">
        <v>841</v>
      </c>
      <c r="JP277" s="236" t="s">
        <v>18324</v>
      </c>
      <c r="JQ277" s="236" t="s">
        <v>145</v>
      </c>
      <c r="JR277" s="236" t="s">
        <v>74</v>
      </c>
      <c r="JS277" s="236" t="s">
        <v>841</v>
      </c>
      <c r="JU277" s="294" t="s">
        <v>18325</v>
      </c>
      <c r="JV277" s="294" t="s">
        <v>52</v>
      </c>
      <c r="JW277" s="263" t="s">
        <v>70</v>
      </c>
      <c r="JX277" s="294" t="s">
        <v>1083</v>
      </c>
      <c r="JZ277" s="263" t="s">
        <v>18326</v>
      </c>
      <c r="KA277" s="263" t="s">
        <v>145</v>
      </c>
      <c r="KB277" s="263" t="s">
        <v>70</v>
      </c>
      <c r="KC277" s="263" t="s">
        <v>1083</v>
      </c>
      <c r="KE277" s="263" t="s">
        <v>18327</v>
      </c>
      <c r="KF277" s="263" t="s">
        <v>52</v>
      </c>
      <c r="KG277" s="263" t="s">
        <v>70</v>
      </c>
      <c r="KH277" s="263" t="s">
        <v>1083</v>
      </c>
      <c r="KJ277" s="263" t="s">
        <v>18328</v>
      </c>
      <c r="KK277" s="263" t="s">
        <v>52</v>
      </c>
      <c r="KL277" s="263" t="s">
        <v>74</v>
      </c>
      <c r="KM277" s="263" t="s">
        <v>34074</v>
      </c>
      <c r="KO277" s="214" t="s">
        <v>18329</v>
      </c>
      <c r="KP277" s="214" t="s">
        <v>145</v>
      </c>
      <c r="KQ277" s="214" t="s">
        <v>70</v>
      </c>
      <c r="KR277" s="214" t="s">
        <v>67</v>
      </c>
      <c r="KT277" s="22" t="s">
        <v>18330</v>
      </c>
      <c r="KU277" s="22" t="s">
        <v>145</v>
      </c>
      <c r="KV277" s="22" t="s">
        <v>70</v>
      </c>
      <c r="KW277" s="22" t="s">
        <v>67</v>
      </c>
      <c r="KY277" s="214" t="s">
        <v>18331</v>
      </c>
      <c r="KZ277" s="218" t="s">
        <v>52</v>
      </c>
      <c r="LA277" s="214" t="s">
        <v>74</v>
      </c>
      <c r="LB277" s="218" t="s">
        <v>34502</v>
      </c>
      <c r="LD277" s="22" t="s">
        <v>18332</v>
      </c>
      <c r="LE277" s="22" t="s">
        <v>145</v>
      </c>
      <c r="LF277" s="22" t="s">
        <v>70</v>
      </c>
      <c r="LG277" s="22" t="s">
        <v>67</v>
      </c>
    </row>
    <row r="278" spans="1:319">
      <c r="A278" s="22" t="s">
        <v>18333</v>
      </c>
      <c r="B278" s="22" t="s">
        <v>145</v>
      </c>
      <c r="C278" s="22" t="s">
        <v>70</v>
      </c>
      <c r="D278" s="22" t="s">
        <v>67</v>
      </c>
      <c r="F278" s="99" t="s">
        <v>18334</v>
      </c>
      <c r="G278" s="22" t="s">
        <v>145</v>
      </c>
      <c r="H278" s="22" t="s">
        <v>70</v>
      </c>
      <c r="I278" s="22" t="s">
        <v>67</v>
      </c>
      <c r="K278" s="22" t="s">
        <v>18335</v>
      </c>
      <c r="L278" s="22" t="s">
        <v>145</v>
      </c>
      <c r="M278" s="22" t="s">
        <v>70</v>
      </c>
      <c r="N278" s="22" t="s">
        <v>67</v>
      </c>
      <c r="P278" s="22" t="s">
        <v>18336</v>
      </c>
      <c r="Q278" s="22" t="s">
        <v>145</v>
      </c>
      <c r="R278" s="22" t="s">
        <v>70</v>
      </c>
      <c r="S278" s="22" t="s">
        <v>67</v>
      </c>
      <c r="U278" s="293" t="s">
        <v>18337</v>
      </c>
      <c r="V278" s="293" t="s">
        <v>145</v>
      </c>
      <c r="W278" s="293" t="s">
        <v>74</v>
      </c>
      <c r="X278" s="293" t="s">
        <v>656</v>
      </c>
      <c r="Z278" s="293" t="s">
        <v>18338</v>
      </c>
      <c r="AA278" s="293" t="s">
        <v>145</v>
      </c>
      <c r="AB278" s="293" t="s">
        <v>74</v>
      </c>
      <c r="AC278" s="293" t="s">
        <v>656</v>
      </c>
      <c r="AE278" s="293" t="s">
        <v>18339</v>
      </c>
      <c r="AF278" s="293" t="s">
        <v>145</v>
      </c>
      <c r="AG278" s="293" t="s">
        <v>74</v>
      </c>
      <c r="AH278" s="293" t="s">
        <v>656</v>
      </c>
      <c r="AJ278" s="293" t="s">
        <v>18340</v>
      </c>
      <c r="AK278" s="293" t="s">
        <v>145</v>
      </c>
      <c r="AL278" s="293" t="s">
        <v>74</v>
      </c>
      <c r="AM278" s="293" t="s">
        <v>656</v>
      </c>
      <c r="AO278" s="22" t="s">
        <v>18341</v>
      </c>
      <c r="AP278" s="22" t="s">
        <v>145</v>
      </c>
      <c r="AQ278" s="22" t="s">
        <v>70</v>
      </c>
      <c r="AR278" s="22" t="s">
        <v>67</v>
      </c>
      <c r="AT278" s="22" t="s">
        <v>18342</v>
      </c>
      <c r="AU278" s="22" t="s">
        <v>145</v>
      </c>
      <c r="AV278" s="22" t="s">
        <v>70</v>
      </c>
      <c r="AW278" s="22" t="s">
        <v>67</v>
      </c>
      <c r="AY278" s="22" t="s">
        <v>18343</v>
      </c>
      <c r="AZ278" s="22" t="s">
        <v>145</v>
      </c>
      <c r="BA278" s="22" t="s">
        <v>70</v>
      </c>
      <c r="BB278" s="22" t="s">
        <v>67</v>
      </c>
      <c r="BD278" s="22" t="s">
        <v>18344</v>
      </c>
      <c r="BE278" s="22" t="s">
        <v>145</v>
      </c>
      <c r="BF278" s="22" t="s">
        <v>70</v>
      </c>
      <c r="BG278" s="22" t="s">
        <v>67</v>
      </c>
      <c r="BI278" s="22" t="s">
        <v>18345</v>
      </c>
      <c r="BJ278" s="22" t="s">
        <v>145</v>
      </c>
      <c r="BK278" s="22" t="s">
        <v>70</v>
      </c>
      <c r="BL278" s="22" t="s">
        <v>67</v>
      </c>
      <c r="BN278" s="22" t="s">
        <v>18346</v>
      </c>
      <c r="BO278" s="22" t="s">
        <v>145</v>
      </c>
      <c r="BP278" s="22" t="s">
        <v>70</v>
      </c>
      <c r="BQ278" s="22" t="s">
        <v>67</v>
      </c>
      <c r="BS278" s="22" t="s">
        <v>18347</v>
      </c>
      <c r="BT278" s="22" t="s">
        <v>145</v>
      </c>
      <c r="BU278" s="22" t="s">
        <v>70</v>
      </c>
      <c r="BV278" s="214" t="s">
        <v>530</v>
      </c>
      <c r="BX278" s="22" t="s">
        <v>18348</v>
      </c>
      <c r="BY278" s="22" t="s">
        <v>145</v>
      </c>
      <c r="BZ278" s="22" t="s">
        <v>70</v>
      </c>
      <c r="CA278" s="214" t="s">
        <v>530</v>
      </c>
      <c r="CC278" s="214" t="s">
        <v>18349</v>
      </c>
      <c r="CD278" s="218" t="s">
        <v>145</v>
      </c>
      <c r="CE278" s="214" t="s">
        <v>70</v>
      </c>
      <c r="CF278" s="214" t="s">
        <v>731</v>
      </c>
      <c r="CH278" s="214" t="s">
        <v>18350</v>
      </c>
      <c r="CI278" s="214" t="s">
        <v>923</v>
      </c>
      <c r="CJ278" s="214" t="s">
        <v>70</v>
      </c>
      <c r="CK278" s="214" t="s">
        <v>530</v>
      </c>
      <c r="CM278" s="214" t="s">
        <v>18351</v>
      </c>
      <c r="CN278" s="214" t="s">
        <v>468</v>
      </c>
      <c r="CO278" s="214" t="s">
        <v>70</v>
      </c>
      <c r="CP278" s="214" t="s">
        <v>530</v>
      </c>
      <c r="CR278" s="214" t="s">
        <v>18352</v>
      </c>
      <c r="CS278" s="214" t="s">
        <v>52</v>
      </c>
      <c r="CT278" s="214" t="s">
        <v>70</v>
      </c>
      <c r="CU278" s="214" t="s">
        <v>530</v>
      </c>
      <c r="CW278" s="214" t="s">
        <v>18353</v>
      </c>
      <c r="CX278" s="214" t="s">
        <v>205</v>
      </c>
      <c r="CY278" s="214" t="s">
        <v>70</v>
      </c>
      <c r="CZ278" s="214" t="s">
        <v>530</v>
      </c>
      <c r="DB278" s="214" t="s">
        <v>18354</v>
      </c>
      <c r="DC278" s="214" t="s">
        <v>492</v>
      </c>
      <c r="DD278" s="214" t="s">
        <v>70</v>
      </c>
      <c r="DE278" s="214" t="s">
        <v>530</v>
      </c>
      <c r="DG278" s="214" t="s">
        <v>18355</v>
      </c>
      <c r="DH278" s="214" t="s">
        <v>52</v>
      </c>
      <c r="DI278" s="214" t="s">
        <v>70</v>
      </c>
      <c r="DJ278" s="214" t="s">
        <v>530</v>
      </c>
      <c r="DL278" s="214" t="s">
        <v>18356</v>
      </c>
      <c r="DM278" s="214" t="s">
        <v>492</v>
      </c>
      <c r="DN278" s="214" t="s">
        <v>70</v>
      </c>
      <c r="DO278" s="214" t="s">
        <v>530</v>
      </c>
      <c r="DQ278" s="214" t="s">
        <v>18357</v>
      </c>
      <c r="DR278" s="214" t="s">
        <v>905</v>
      </c>
      <c r="DS278" s="214" t="s">
        <v>70</v>
      </c>
      <c r="DT278" s="214" t="s">
        <v>530</v>
      </c>
      <c r="DV278" s="214" t="s">
        <v>18358</v>
      </c>
      <c r="DW278" s="214" t="s">
        <v>52</v>
      </c>
      <c r="DX278" s="214" t="s">
        <v>70</v>
      </c>
      <c r="DY278" s="214" t="s">
        <v>530</v>
      </c>
      <c r="EA278" s="214" t="s">
        <v>18359</v>
      </c>
      <c r="EB278" s="214" t="s">
        <v>34558</v>
      </c>
      <c r="EC278" s="214" t="s">
        <v>70</v>
      </c>
      <c r="ED278" s="214" t="s">
        <v>530</v>
      </c>
      <c r="EF278" s="214" t="s">
        <v>18360</v>
      </c>
      <c r="EG278" s="214" t="s">
        <v>86</v>
      </c>
      <c r="EH278" s="214" t="s">
        <v>70</v>
      </c>
      <c r="EI278" s="214" t="s">
        <v>530</v>
      </c>
      <c r="EK278" s="214" t="s">
        <v>18361</v>
      </c>
      <c r="EL278" s="214" t="s">
        <v>52</v>
      </c>
      <c r="EM278" s="214" t="s">
        <v>70</v>
      </c>
      <c r="EN278" s="214" t="s">
        <v>530</v>
      </c>
      <c r="EP278" s="214" t="s">
        <v>18362</v>
      </c>
      <c r="EQ278" s="214" t="s">
        <v>502</v>
      </c>
      <c r="ER278" s="214" t="s">
        <v>70</v>
      </c>
      <c r="ES278" s="214" t="s">
        <v>530</v>
      </c>
      <c r="EU278" s="214" t="s">
        <v>18363</v>
      </c>
      <c r="EV278" s="214" t="s">
        <v>148</v>
      </c>
      <c r="EW278" s="214" t="s">
        <v>70</v>
      </c>
      <c r="EX278" s="214" t="s">
        <v>530</v>
      </c>
      <c r="EZ278" s="214" t="s">
        <v>18364</v>
      </c>
      <c r="FA278" s="214" t="s">
        <v>642</v>
      </c>
      <c r="FB278" s="214" t="s">
        <v>70</v>
      </c>
      <c r="FC278" s="214" t="s">
        <v>530</v>
      </c>
      <c r="FE278" s="214" t="s">
        <v>18365</v>
      </c>
      <c r="FF278" s="214" t="s">
        <v>148</v>
      </c>
      <c r="FG278" s="214" t="s">
        <v>70</v>
      </c>
      <c r="FH278" s="214" t="s">
        <v>530</v>
      </c>
      <c r="FJ278" s="321" t="s">
        <v>18366</v>
      </c>
      <c r="FK278" s="214" t="s">
        <v>145</v>
      </c>
      <c r="FL278" s="214" t="s">
        <v>70</v>
      </c>
      <c r="FM278" s="214" t="s">
        <v>530</v>
      </c>
      <c r="FO278" s="321" t="s">
        <v>18367</v>
      </c>
      <c r="FP278" s="214" t="s">
        <v>798</v>
      </c>
      <c r="FQ278" s="214" t="s">
        <v>70</v>
      </c>
      <c r="FR278" s="214" t="s">
        <v>530</v>
      </c>
      <c r="FT278" s="321" t="s">
        <v>18368</v>
      </c>
      <c r="FU278" s="214" t="s">
        <v>286</v>
      </c>
      <c r="FV278" s="214" t="s">
        <v>70</v>
      </c>
      <c r="FW278" s="214" t="s">
        <v>530</v>
      </c>
      <c r="FY278" s="321" t="s">
        <v>18369</v>
      </c>
      <c r="FZ278" s="214" t="s">
        <v>34593</v>
      </c>
      <c r="GA278" s="214" t="s">
        <v>70</v>
      </c>
      <c r="GB278" s="214" t="s">
        <v>530</v>
      </c>
      <c r="GD278" s="321" t="s">
        <v>18370</v>
      </c>
      <c r="GE278" s="214" t="s">
        <v>165</v>
      </c>
      <c r="GF278" s="214" t="s">
        <v>70</v>
      </c>
      <c r="GG278" s="214" t="s">
        <v>530</v>
      </c>
      <c r="GI278" s="321" t="s">
        <v>18371</v>
      </c>
      <c r="GJ278" s="214" t="s">
        <v>52</v>
      </c>
      <c r="GK278" s="214" t="s">
        <v>70</v>
      </c>
      <c r="GL278" s="214" t="s">
        <v>530</v>
      </c>
      <c r="GN278" s="321" t="s">
        <v>18372</v>
      </c>
      <c r="GO278" s="214" t="s">
        <v>145</v>
      </c>
      <c r="GP278" s="214" t="s">
        <v>70</v>
      </c>
      <c r="GQ278" s="214" t="s">
        <v>530</v>
      </c>
      <c r="GS278" s="321" t="s">
        <v>18373</v>
      </c>
      <c r="GT278" s="214" t="s">
        <v>52</v>
      </c>
      <c r="GU278" s="214" t="s">
        <v>70</v>
      </c>
      <c r="GV278" s="214" t="s">
        <v>530</v>
      </c>
      <c r="GX278" s="214" t="s">
        <v>18374</v>
      </c>
      <c r="GY278" s="214" t="s">
        <v>164</v>
      </c>
      <c r="GZ278" s="214" t="s">
        <v>70</v>
      </c>
      <c r="HA278" s="214" t="s">
        <v>530</v>
      </c>
      <c r="HC278" s="214" t="s">
        <v>18375</v>
      </c>
      <c r="HD278" s="214" t="s">
        <v>955</v>
      </c>
      <c r="HE278" s="214" t="s">
        <v>70</v>
      </c>
      <c r="HF278" s="214" t="s">
        <v>530</v>
      </c>
      <c r="HH278" s="214" t="s">
        <v>18376</v>
      </c>
      <c r="HI278" s="214" t="s">
        <v>495</v>
      </c>
      <c r="HJ278" s="214" t="s">
        <v>70</v>
      </c>
      <c r="HK278" s="214" t="s">
        <v>530</v>
      </c>
      <c r="HM278" s="214" t="s">
        <v>18377</v>
      </c>
      <c r="HN278" s="214" t="s">
        <v>34560</v>
      </c>
      <c r="HO278" s="214" t="s">
        <v>70</v>
      </c>
      <c r="HP278" s="214" t="s">
        <v>530</v>
      </c>
      <c r="HR278" s="22" t="s">
        <v>18378</v>
      </c>
      <c r="HS278" s="22" t="s">
        <v>921</v>
      </c>
      <c r="HT278" s="22" t="s">
        <v>70</v>
      </c>
      <c r="HU278" s="214" t="s">
        <v>530</v>
      </c>
      <c r="HW278" s="22" t="s">
        <v>18379</v>
      </c>
      <c r="HX278" s="22" t="s">
        <v>485</v>
      </c>
      <c r="HY278" s="22" t="s">
        <v>70</v>
      </c>
      <c r="HZ278" s="214" t="s">
        <v>530</v>
      </c>
      <c r="IB278" s="22" t="s">
        <v>18380</v>
      </c>
      <c r="IC278" s="22" t="s">
        <v>52</v>
      </c>
      <c r="ID278" s="22" t="s">
        <v>70</v>
      </c>
      <c r="IE278" s="214" t="s">
        <v>530</v>
      </c>
      <c r="IG278" s="22" t="s">
        <v>18381</v>
      </c>
      <c r="IH278" s="22" t="s">
        <v>52</v>
      </c>
      <c r="II278" s="22" t="s">
        <v>70</v>
      </c>
      <c r="IJ278" s="214" t="s">
        <v>530</v>
      </c>
      <c r="IL278" s="22" t="s">
        <v>18382</v>
      </c>
      <c r="IM278" s="22" t="s">
        <v>145</v>
      </c>
      <c r="IN278" s="22" t="s">
        <v>70</v>
      </c>
      <c r="IO278" s="214" t="s">
        <v>530</v>
      </c>
      <c r="IQ278" s="236" t="s">
        <v>18383</v>
      </c>
      <c r="IR278" s="236" t="s">
        <v>145</v>
      </c>
      <c r="IS278" s="236" t="s">
        <v>74</v>
      </c>
      <c r="IT278" s="236" t="s">
        <v>841</v>
      </c>
      <c r="IV278" s="236" t="s">
        <v>18384</v>
      </c>
      <c r="IW278" s="236" t="s">
        <v>145</v>
      </c>
      <c r="IX278" s="236" t="s">
        <v>74</v>
      </c>
      <c r="IY278" s="236" t="s">
        <v>841</v>
      </c>
      <c r="JA278" s="236" t="s">
        <v>18385</v>
      </c>
      <c r="JB278" s="236" t="s">
        <v>145</v>
      </c>
      <c r="JC278" s="236" t="s">
        <v>74</v>
      </c>
      <c r="JD278" s="236" t="s">
        <v>841</v>
      </c>
      <c r="JF278" s="236" t="s">
        <v>18386</v>
      </c>
      <c r="JG278" s="236" t="s">
        <v>145</v>
      </c>
      <c r="JH278" s="236" t="s">
        <v>74</v>
      </c>
      <c r="JI278" s="236" t="s">
        <v>841</v>
      </c>
      <c r="JK278" s="236" t="s">
        <v>18387</v>
      </c>
      <c r="JL278" s="236" t="s">
        <v>145</v>
      </c>
      <c r="JM278" s="236" t="s">
        <v>74</v>
      </c>
      <c r="JN278" s="236" t="s">
        <v>841</v>
      </c>
      <c r="JP278" s="236" t="s">
        <v>18388</v>
      </c>
      <c r="JQ278" s="236" t="s">
        <v>145</v>
      </c>
      <c r="JR278" s="236" t="s">
        <v>74</v>
      </c>
      <c r="JS278" s="236" t="s">
        <v>841</v>
      </c>
      <c r="JU278" s="294" t="s">
        <v>18389</v>
      </c>
      <c r="JV278" s="294" t="s">
        <v>52</v>
      </c>
      <c r="JW278" s="263" t="s">
        <v>70</v>
      </c>
      <c r="JX278" s="294" t="s">
        <v>1083</v>
      </c>
      <c r="JZ278" s="263" t="s">
        <v>18390</v>
      </c>
      <c r="KA278" s="263" t="s">
        <v>145</v>
      </c>
      <c r="KB278" s="263" t="s">
        <v>70</v>
      </c>
      <c r="KC278" s="263" t="s">
        <v>1083</v>
      </c>
      <c r="KE278" s="263" t="s">
        <v>18391</v>
      </c>
      <c r="KF278" s="263" t="s">
        <v>52</v>
      </c>
      <c r="KG278" s="263" t="s">
        <v>70</v>
      </c>
      <c r="KH278" s="263" t="s">
        <v>1083</v>
      </c>
      <c r="KJ278" s="263" t="s">
        <v>18392</v>
      </c>
      <c r="KK278" s="263" t="s">
        <v>52</v>
      </c>
      <c r="KL278" s="263" t="s">
        <v>74</v>
      </c>
      <c r="KM278" s="263" t="s">
        <v>34074</v>
      </c>
      <c r="KO278" s="214" t="s">
        <v>18393</v>
      </c>
      <c r="KP278" s="214" t="s">
        <v>145</v>
      </c>
      <c r="KQ278" s="214" t="s">
        <v>70</v>
      </c>
      <c r="KR278" s="214" t="s">
        <v>67</v>
      </c>
      <c r="KT278" s="22" t="s">
        <v>18394</v>
      </c>
      <c r="KU278" s="22" t="s">
        <v>145</v>
      </c>
      <c r="KV278" s="22" t="s">
        <v>70</v>
      </c>
      <c r="KW278" s="22" t="s">
        <v>67</v>
      </c>
      <c r="KY278" s="214" t="s">
        <v>18395</v>
      </c>
      <c r="KZ278" s="218" t="s">
        <v>52</v>
      </c>
      <c r="LA278" s="214" t="s">
        <v>74</v>
      </c>
      <c r="LB278" s="218" t="s">
        <v>34502</v>
      </c>
      <c r="LD278" s="22" t="s">
        <v>18396</v>
      </c>
      <c r="LE278" s="22" t="s">
        <v>145</v>
      </c>
      <c r="LF278" s="22" t="s">
        <v>70</v>
      </c>
      <c r="LG278" s="22" t="s">
        <v>67</v>
      </c>
    </row>
    <row r="279" spans="1:319">
      <c r="A279" s="22" t="s">
        <v>18397</v>
      </c>
      <c r="B279" s="22" t="s">
        <v>145</v>
      </c>
      <c r="C279" s="22" t="s">
        <v>70</v>
      </c>
      <c r="D279" s="22" t="s">
        <v>67</v>
      </c>
      <c r="F279" s="99" t="s">
        <v>18398</v>
      </c>
      <c r="G279" s="22" t="s">
        <v>145</v>
      </c>
      <c r="H279" s="22" t="s">
        <v>70</v>
      </c>
      <c r="I279" s="22" t="s">
        <v>67</v>
      </c>
      <c r="K279" s="22" t="s">
        <v>18399</v>
      </c>
      <c r="L279" s="22" t="s">
        <v>145</v>
      </c>
      <c r="M279" s="22" t="s">
        <v>70</v>
      </c>
      <c r="N279" s="22" t="s">
        <v>67</v>
      </c>
      <c r="P279" s="22" t="s">
        <v>18400</v>
      </c>
      <c r="Q279" s="22" t="s">
        <v>145</v>
      </c>
      <c r="R279" s="22" t="s">
        <v>70</v>
      </c>
      <c r="S279" s="22" t="s">
        <v>67</v>
      </c>
      <c r="U279" s="293" t="s">
        <v>18401</v>
      </c>
      <c r="V279" s="293" t="s">
        <v>145</v>
      </c>
      <c r="W279" s="293" t="s">
        <v>74</v>
      </c>
      <c r="X279" s="293" t="s">
        <v>656</v>
      </c>
      <c r="Z279" s="293" t="s">
        <v>18402</v>
      </c>
      <c r="AA279" s="293" t="s">
        <v>145</v>
      </c>
      <c r="AB279" s="293" t="s">
        <v>74</v>
      </c>
      <c r="AC279" s="293" t="s">
        <v>656</v>
      </c>
      <c r="AE279" s="293" t="s">
        <v>18403</v>
      </c>
      <c r="AF279" s="293" t="s">
        <v>145</v>
      </c>
      <c r="AG279" s="293" t="s">
        <v>74</v>
      </c>
      <c r="AH279" s="293" t="s">
        <v>656</v>
      </c>
      <c r="AJ279" s="293" t="s">
        <v>18404</v>
      </c>
      <c r="AK279" s="293" t="s">
        <v>145</v>
      </c>
      <c r="AL279" s="293" t="s">
        <v>74</v>
      </c>
      <c r="AM279" s="293" t="s">
        <v>656</v>
      </c>
      <c r="AO279" s="22" t="s">
        <v>18405</v>
      </c>
      <c r="AP279" s="22" t="s">
        <v>145</v>
      </c>
      <c r="AQ279" s="22" t="s">
        <v>70</v>
      </c>
      <c r="AR279" s="22" t="s">
        <v>67</v>
      </c>
      <c r="AT279" s="22" t="s">
        <v>18406</v>
      </c>
      <c r="AU279" s="22" t="s">
        <v>145</v>
      </c>
      <c r="AV279" s="22" t="s">
        <v>70</v>
      </c>
      <c r="AW279" s="22" t="s">
        <v>67</v>
      </c>
      <c r="AY279" s="22" t="s">
        <v>18407</v>
      </c>
      <c r="AZ279" s="22" t="s">
        <v>145</v>
      </c>
      <c r="BA279" s="22" t="s">
        <v>70</v>
      </c>
      <c r="BB279" s="22" t="s">
        <v>67</v>
      </c>
      <c r="BD279" s="22" t="s">
        <v>18408</v>
      </c>
      <c r="BE279" s="22" t="s">
        <v>145</v>
      </c>
      <c r="BF279" s="22" t="s">
        <v>70</v>
      </c>
      <c r="BG279" s="22" t="s">
        <v>67</v>
      </c>
      <c r="BI279" s="22" t="s">
        <v>18409</v>
      </c>
      <c r="BJ279" s="22" t="s">
        <v>145</v>
      </c>
      <c r="BK279" s="22" t="s">
        <v>70</v>
      </c>
      <c r="BL279" s="22" t="s">
        <v>67</v>
      </c>
      <c r="BN279" s="22" t="s">
        <v>18410</v>
      </c>
      <c r="BO279" s="22" t="s">
        <v>145</v>
      </c>
      <c r="BP279" s="22" t="s">
        <v>70</v>
      </c>
      <c r="BQ279" s="22" t="s">
        <v>67</v>
      </c>
      <c r="BS279" s="22" t="s">
        <v>18411</v>
      </c>
      <c r="BT279" s="22" t="s">
        <v>145</v>
      </c>
      <c r="BU279" s="22" t="s">
        <v>70</v>
      </c>
      <c r="BV279" s="214" t="s">
        <v>530</v>
      </c>
      <c r="BX279" s="22" t="s">
        <v>18412</v>
      </c>
      <c r="BY279" s="22" t="s">
        <v>145</v>
      </c>
      <c r="BZ279" s="22" t="s">
        <v>70</v>
      </c>
      <c r="CA279" s="214" t="s">
        <v>530</v>
      </c>
      <c r="CC279" s="214" t="s">
        <v>18413</v>
      </c>
      <c r="CD279" s="218" t="s">
        <v>145</v>
      </c>
      <c r="CE279" s="214" t="s">
        <v>70</v>
      </c>
      <c r="CF279" s="214" t="s">
        <v>732</v>
      </c>
      <c r="CH279" s="214" t="s">
        <v>18414</v>
      </c>
      <c r="CI279" s="214" t="s">
        <v>34558</v>
      </c>
      <c r="CJ279" s="214" t="s">
        <v>70</v>
      </c>
      <c r="CK279" s="214" t="s">
        <v>530</v>
      </c>
      <c r="CM279" s="214" t="s">
        <v>18415</v>
      </c>
      <c r="CN279" s="214" t="s">
        <v>484</v>
      </c>
      <c r="CO279" s="214" t="s">
        <v>70</v>
      </c>
      <c r="CP279" s="214" t="s">
        <v>530</v>
      </c>
      <c r="CR279" s="214" t="s">
        <v>18416</v>
      </c>
      <c r="CS279" s="214" t="s">
        <v>919</v>
      </c>
      <c r="CT279" s="214" t="s">
        <v>70</v>
      </c>
      <c r="CU279" s="214" t="s">
        <v>530</v>
      </c>
      <c r="CW279" s="214" t="s">
        <v>18417</v>
      </c>
      <c r="CX279" s="214" t="s">
        <v>486</v>
      </c>
      <c r="CY279" s="214" t="s">
        <v>70</v>
      </c>
      <c r="CZ279" s="214" t="s">
        <v>530</v>
      </c>
      <c r="DB279" s="214" t="s">
        <v>18418</v>
      </c>
      <c r="DC279" s="214" t="s">
        <v>491</v>
      </c>
      <c r="DD279" s="214" t="s">
        <v>70</v>
      </c>
      <c r="DE279" s="214" t="s">
        <v>530</v>
      </c>
      <c r="DG279" s="214" t="s">
        <v>18419</v>
      </c>
      <c r="DH279" s="214" t="s">
        <v>603</v>
      </c>
      <c r="DI279" s="214" t="s">
        <v>70</v>
      </c>
      <c r="DJ279" s="214" t="s">
        <v>530</v>
      </c>
      <c r="DL279" s="214" t="s">
        <v>18420</v>
      </c>
      <c r="DM279" s="214" t="s">
        <v>34539</v>
      </c>
      <c r="DN279" s="214" t="s">
        <v>70</v>
      </c>
      <c r="DO279" s="214" t="s">
        <v>530</v>
      </c>
      <c r="DQ279" s="214" t="s">
        <v>18421</v>
      </c>
      <c r="DR279" s="214" t="s">
        <v>926</v>
      </c>
      <c r="DS279" s="214" t="s">
        <v>70</v>
      </c>
      <c r="DT279" s="214" t="s">
        <v>530</v>
      </c>
      <c r="DV279" s="214" t="s">
        <v>18422</v>
      </c>
      <c r="DW279" s="214" t="s">
        <v>601</v>
      </c>
      <c r="DX279" s="214" t="s">
        <v>70</v>
      </c>
      <c r="DY279" s="214" t="s">
        <v>530</v>
      </c>
      <c r="EA279" s="214" t="s">
        <v>18423</v>
      </c>
      <c r="EB279" s="214" t="s">
        <v>145</v>
      </c>
      <c r="EC279" s="214" t="s">
        <v>70</v>
      </c>
      <c r="ED279" s="214" t="s">
        <v>530</v>
      </c>
      <c r="EF279" s="214" t="s">
        <v>18424</v>
      </c>
      <c r="EG279" s="214" t="s">
        <v>52</v>
      </c>
      <c r="EH279" s="214" t="s">
        <v>70</v>
      </c>
      <c r="EI279" s="214" t="s">
        <v>530</v>
      </c>
      <c r="EK279" s="214" t="s">
        <v>18425</v>
      </c>
      <c r="EL279" s="214" t="s">
        <v>601</v>
      </c>
      <c r="EM279" s="214" t="s">
        <v>70</v>
      </c>
      <c r="EN279" s="214" t="s">
        <v>530</v>
      </c>
      <c r="EP279" s="214" t="s">
        <v>18426</v>
      </c>
      <c r="EQ279" s="214" t="s">
        <v>34573</v>
      </c>
      <c r="ER279" s="214" t="s">
        <v>70</v>
      </c>
      <c r="ES279" s="214" t="s">
        <v>530</v>
      </c>
      <c r="EU279" s="214" t="s">
        <v>18427</v>
      </c>
      <c r="EV279" s="214" t="s">
        <v>52</v>
      </c>
      <c r="EW279" s="214" t="s">
        <v>70</v>
      </c>
      <c r="EX279" s="214" t="s">
        <v>530</v>
      </c>
      <c r="EZ279" s="214" t="s">
        <v>18428</v>
      </c>
      <c r="FA279" s="214" t="s">
        <v>149</v>
      </c>
      <c r="FB279" s="214" t="s">
        <v>70</v>
      </c>
      <c r="FC279" s="214" t="s">
        <v>530</v>
      </c>
      <c r="FE279" s="214" t="s">
        <v>18429</v>
      </c>
      <c r="FF279" s="214" t="s">
        <v>34542</v>
      </c>
      <c r="FG279" s="214" t="s">
        <v>70</v>
      </c>
      <c r="FH279" s="214" t="s">
        <v>530</v>
      </c>
      <c r="FJ279" s="321" t="s">
        <v>18430</v>
      </c>
      <c r="FK279" s="214" t="s">
        <v>468</v>
      </c>
      <c r="FL279" s="214" t="s">
        <v>70</v>
      </c>
      <c r="FM279" s="214" t="s">
        <v>530</v>
      </c>
      <c r="FO279" s="321" t="s">
        <v>18431</v>
      </c>
      <c r="FP279" s="214" t="s">
        <v>492</v>
      </c>
      <c r="FQ279" s="214" t="s">
        <v>70</v>
      </c>
      <c r="FR279" s="214" t="s">
        <v>530</v>
      </c>
      <c r="FT279" s="321" t="s">
        <v>18432</v>
      </c>
      <c r="FU279" s="214" t="s">
        <v>34542</v>
      </c>
      <c r="FV279" s="214" t="s">
        <v>70</v>
      </c>
      <c r="FW279" s="214" t="s">
        <v>530</v>
      </c>
      <c r="FY279" s="321" t="s">
        <v>18433</v>
      </c>
      <c r="FZ279" s="214" t="s">
        <v>34615</v>
      </c>
      <c r="GA279" s="214" t="s">
        <v>70</v>
      </c>
      <c r="GB279" s="214" t="s">
        <v>530</v>
      </c>
      <c r="GD279" s="321" t="s">
        <v>18434</v>
      </c>
      <c r="GE279" s="214" t="s">
        <v>52</v>
      </c>
      <c r="GF279" s="214" t="s">
        <v>70</v>
      </c>
      <c r="GG279" s="214" t="s">
        <v>530</v>
      </c>
      <c r="GI279" s="321" t="s">
        <v>18435</v>
      </c>
      <c r="GJ279" s="214" t="s">
        <v>468</v>
      </c>
      <c r="GK279" s="214" t="s">
        <v>70</v>
      </c>
      <c r="GL279" s="214" t="s">
        <v>530</v>
      </c>
      <c r="GN279" s="321" t="s">
        <v>18436</v>
      </c>
      <c r="GO279" s="214" t="s">
        <v>946</v>
      </c>
      <c r="GP279" s="214" t="s">
        <v>70</v>
      </c>
      <c r="GQ279" s="214" t="s">
        <v>530</v>
      </c>
      <c r="GS279" s="321" t="s">
        <v>18437</v>
      </c>
      <c r="GT279" s="214" t="s">
        <v>468</v>
      </c>
      <c r="GU279" s="214" t="s">
        <v>70</v>
      </c>
      <c r="GV279" s="214" t="s">
        <v>530</v>
      </c>
      <c r="GX279" s="214" t="s">
        <v>18438</v>
      </c>
      <c r="GY279" s="214" t="s">
        <v>653</v>
      </c>
      <c r="GZ279" s="214" t="s">
        <v>70</v>
      </c>
      <c r="HA279" s="214" t="s">
        <v>530</v>
      </c>
      <c r="HC279" s="214" t="s">
        <v>18439</v>
      </c>
      <c r="HD279" s="214" t="s">
        <v>491</v>
      </c>
      <c r="HE279" s="214" t="s">
        <v>70</v>
      </c>
      <c r="HF279" s="214" t="s">
        <v>530</v>
      </c>
      <c r="HH279" s="214" t="s">
        <v>18440</v>
      </c>
      <c r="HI279" s="214" t="s">
        <v>145</v>
      </c>
      <c r="HJ279" s="214" t="s">
        <v>70</v>
      </c>
      <c r="HK279" s="214" t="s">
        <v>530</v>
      </c>
      <c r="HM279" s="214" t="s">
        <v>18441</v>
      </c>
      <c r="HN279" s="214" t="s">
        <v>34567</v>
      </c>
      <c r="HO279" s="214" t="s">
        <v>70</v>
      </c>
      <c r="HP279" s="214" t="s">
        <v>530</v>
      </c>
      <c r="HR279" s="22" t="s">
        <v>18442</v>
      </c>
      <c r="HS279" s="22" t="s">
        <v>501</v>
      </c>
      <c r="HT279" s="22" t="s">
        <v>70</v>
      </c>
      <c r="HU279" s="214" t="s">
        <v>530</v>
      </c>
      <c r="HW279" s="22" t="s">
        <v>18443</v>
      </c>
      <c r="HX279" s="22" t="s">
        <v>484</v>
      </c>
      <c r="HY279" s="22" t="s">
        <v>70</v>
      </c>
      <c r="HZ279" s="214" t="s">
        <v>530</v>
      </c>
      <c r="IB279" s="22" t="s">
        <v>18444</v>
      </c>
      <c r="IC279" s="22" t="s">
        <v>34569</v>
      </c>
      <c r="ID279" s="22" t="s">
        <v>70</v>
      </c>
      <c r="IE279" s="214" t="s">
        <v>530</v>
      </c>
      <c r="IG279" s="22" t="s">
        <v>18445</v>
      </c>
      <c r="IH279" s="22" t="s">
        <v>52</v>
      </c>
      <c r="II279" s="22" t="s">
        <v>70</v>
      </c>
      <c r="IJ279" s="214" t="s">
        <v>530</v>
      </c>
      <c r="IL279" s="22" t="s">
        <v>18446</v>
      </c>
      <c r="IM279" s="22" t="s">
        <v>145</v>
      </c>
      <c r="IN279" s="22" t="s">
        <v>70</v>
      </c>
      <c r="IO279" s="214" t="s">
        <v>530</v>
      </c>
      <c r="IQ279" s="236" t="s">
        <v>18447</v>
      </c>
      <c r="IR279" s="236" t="s">
        <v>145</v>
      </c>
      <c r="IS279" s="236" t="s">
        <v>74</v>
      </c>
      <c r="IT279" s="236" t="s">
        <v>841</v>
      </c>
      <c r="IV279" s="236" t="s">
        <v>18448</v>
      </c>
      <c r="IW279" s="236" t="s">
        <v>145</v>
      </c>
      <c r="IX279" s="236" t="s">
        <v>74</v>
      </c>
      <c r="IY279" s="236" t="s">
        <v>841</v>
      </c>
      <c r="JA279" s="236" t="s">
        <v>18449</v>
      </c>
      <c r="JB279" s="236" t="s">
        <v>145</v>
      </c>
      <c r="JC279" s="236" t="s">
        <v>74</v>
      </c>
      <c r="JD279" s="236" t="s">
        <v>841</v>
      </c>
      <c r="JF279" s="236" t="s">
        <v>18450</v>
      </c>
      <c r="JG279" s="236" t="s">
        <v>145</v>
      </c>
      <c r="JH279" s="236" t="s">
        <v>74</v>
      </c>
      <c r="JI279" s="236" t="s">
        <v>841</v>
      </c>
      <c r="JK279" s="236" t="s">
        <v>18451</v>
      </c>
      <c r="JL279" s="236" t="s">
        <v>145</v>
      </c>
      <c r="JM279" s="236" t="s">
        <v>74</v>
      </c>
      <c r="JN279" s="236" t="s">
        <v>841</v>
      </c>
      <c r="JP279" s="236" t="s">
        <v>18452</v>
      </c>
      <c r="JQ279" s="236" t="s">
        <v>145</v>
      </c>
      <c r="JR279" s="236" t="s">
        <v>74</v>
      </c>
      <c r="JS279" s="236" t="s">
        <v>841</v>
      </c>
      <c r="JU279" s="294" t="s">
        <v>18453</v>
      </c>
      <c r="JV279" s="294" t="s">
        <v>52</v>
      </c>
      <c r="JW279" s="263" t="s">
        <v>70</v>
      </c>
      <c r="JX279" s="294" t="s">
        <v>1083</v>
      </c>
      <c r="JZ279" s="263" t="s">
        <v>18454</v>
      </c>
      <c r="KA279" s="263" t="s">
        <v>145</v>
      </c>
      <c r="KB279" s="263" t="s">
        <v>70</v>
      </c>
      <c r="KC279" s="263" t="s">
        <v>1083</v>
      </c>
      <c r="KE279" s="263" t="s">
        <v>18455</v>
      </c>
      <c r="KF279" s="263" t="s">
        <v>52</v>
      </c>
      <c r="KG279" s="263" t="s">
        <v>70</v>
      </c>
      <c r="KH279" s="263" t="s">
        <v>1083</v>
      </c>
      <c r="KJ279" s="263" t="s">
        <v>18456</v>
      </c>
      <c r="KK279" s="263" t="s">
        <v>52</v>
      </c>
      <c r="KL279" s="263" t="s">
        <v>74</v>
      </c>
      <c r="KM279" s="263" t="s">
        <v>34074</v>
      </c>
      <c r="KO279" s="214" t="s">
        <v>18457</v>
      </c>
      <c r="KP279" s="214" t="s">
        <v>145</v>
      </c>
      <c r="KQ279" s="214" t="s">
        <v>70</v>
      </c>
      <c r="KR279" s="214" t="s">
        <v>67</v>
      </c>
      <c r="KT279" s="22" t="s">
        <v>18458</v>
      </c>
      <c r="KU279" s="22" t="s">
        <v>145</v>
      </c>
      <c r="KV279" s="22" t="s">
        <v>70</v>
      </c>
      <c r="KW279" s="22" t="s">
        <v>67</v>
      </c>
      <c r="KY279" s="214" t="s">
        <v>18459</v>
      </c>
      <c r="KZ279" s="218" t="s">
        <v>52</v>
      </c>
      <c r="LA279" s="214" t="s">
        <v>74</v>
      </c>
      <c r="LB279" s="218" t="s">
        <v>34502</v>
      </c>
      <c r="LD279" s="22" t="s">
        <v>18460</v>
      </c>
      <c r="LE279" s="22" t="s">
        <v>145</v>
      </c>
      <c r="LF279" s="22" t="s">
        <v>70</v>
      </c>
      <c r="LG279" s="22" t="s">
        <v>67</v>
      </c>
    </row>
    <row r="280" spans="1:319">
      <c r="A280" s="22" t="s">
        <v>18461</v>
      </c>
      <c r="B280" s="22" t="s">
        <v>145</v>
      </c>
      <c r="C280" s="22" t="s">
        <v>70</v>
      </c>
      <c r="D280" s="22" t="s">
        <v>67</v>
      </c>
      <c r="F280" s="99" t="s">
        <v>18462</v>
      </c>
      <c r="G280" s="22" t="s">
        <v>145</v>
      </c>
      <c r="H280" s="22" t="s">
        <v>70</v>
      </c>
      <c r="I280" s="22" t="s">
        <v>67</v>
      </c>
      <c r="K280" s="22" t="s">
        <v>18463</v>
      </c>
      <c r="L280" s="22" t="s">
        <v>145</v>
      </c>
      <c r="M280" s="22" t="s">
        <v>70</v>
      </c>
      <c r="N280" s="22" t="s">
        <v>67</v>
      </c>
      <c r="P280" s="22" t="s">
        <v>18464</v>
      </c>
      <c r="Q280" s="22" t="s">
        <v>145</v>
      </c>
      <c r="R280" s="22" t="s">
        <v>70</v>
      </c>
      <c r="S280" s="22" t="s">
        <v>67</v>
      </c>
      <c r="U280" s="293" t="s">
        <v>18465</v>
      </c>
      <c r="V280" s="293" t="s">
        <v>145</v>
      </c>
      <c r="W280" s="293" t="s">
        <v>74</v>
      </c>
      <c r="X280" s="293" t="s">
        <v>656</v>
      </c>
      <c r="Z280" s="293" t="s">
        <v>18466</v>
      </c>
      <c r="AA280" s="293" t="s">
        <v>145</v>
      </c>
      <c r="AB280" s="293" t="s">
        <v>74</v>
      </c>
      <c r="AC280" s="293" t="s">
        <v>656</v>
      </c>
      <c r="AE280" s="293" t="s">
        <v>18467</v>
      </c>
      <c r="AF280" s="293" t="s">
        <v>145</v>
      </c>
      <c r="AG280" s="293" t="s">
        <v>74</v>
      </c>
      <c r="AH280" s="293" t="s">
        <v>656</v>
      </c>
      <c r="AJ280" s="293" t="s">
        <v>18468</v>
      </c>
      <c r="AK280" s="293" t="s">
        <v>145</v>
      </c>
      <c r="AL280" s="293" t="s">
        <v>74</v>
      </c>
      <c r="AM280" s="293" t="s">
        <v>656</v>
      </c>
      <c r="AO280" s="22" t="s">
        <v>18469</v>
      </c>
      <c r="AP280" s="22" t="s">
        <v>145</v>
      </c>
      <c r="AQ280" s="22" t="s">
        <v>70</v>
      </c>
      <c r="AR280" s="22" t="s">
        <v>67</v>
      </c>
      <c r="AT280" s="22" t="s">
        <v>18470</v>
      </c>
      <c r="AU280" s="22" t="s">
        <v>145</v>
      </c>
      <c r="AV280" s="22" t="s">
        <v>70</v>
      </c>
      <c r="AW280" s="22" t="s">
        <v>67</v>
      </c>
      <c r="AY280" s="22" t="s">
        <v>18471</v>
      </c>
      <c r="AZ280" s="22" t="s">
        <v>145</v>
      </c>
      <c r="BA280" s="22" t="s">
        <v>70</v>
      </c>
      <c r="BB280" s="22" t="s">
        <v>67</v>
      </c>
      <c r="BD280" s="22" t="s">
        <v>18472</v>
      </c>
      <c r="BE280" s="22" t="s">
        <v>145</v>
      </c>
      <c r="BF280" s="22" t="s">
        <v>70</v>
      </c>
      <c r="BG280" s="22" t="s">
        <v>67</v>
      </c>
      <c r="BI280" s="22" t="s">
        <v>18473</v>
      </c>
      <c r="BJ280" s="22" t="s">
        <v>145</v>
      </c>
      <c r="BK280" s="22" t="s">
        <v>70</v>
      </c>
      <c r="BL280" s="22" t="s">
        <v>67</v>
      </c>
      <c r="BN280" s="22" t="s">
        <v>18474</v>
      </c>
      <c r="BO280" s="22" t="s">
        <v>145</v>
      </c>
      <c r="BP280" s="22" t="s">
        <v>70</v>
      </c>
      <c r="BQ280" s="22" t="s">
        <v>67</v>
      </c>
      <c r="BS280" s="22" t="s">
        <v>18475</v>
      </c>
      <c r="BT280" s="22" t="s">
        <v>145</v>
      </c>
      <c r="BU280" s="22" t="s">
        <v>70</v>
      </c>
      <c r="BV280" s="214" t="s">
        <v>530</v>
      </c>
      <c r="BX280" s="22" t="s">
        <v>18476</v>
      </c>
      <c r="BY280" s="22" t="s">
        <v>145</v>
      </c>
      <c r="BZ280" s="22" t="s">
        <v>70</v>
      </c>
      <c r="CA280" s="214" t="s">
        <v>530</v>
      </c>
      <c r="CC280" s="214" t="s">
        <v>18477</v>
      </c>
      <c r="CD280" s="218" t="s">
        <v>145</v>
      </c>
      <c r="CE280" s="214" t="s">
        <v>70</v>
      </c>
      <c r="CF280" s="214" t="s">
        <v>733</v>
      </c>
      <c r="CH280" s="214" t="s">
        <v>18478</v>
      </c>
      <c r="CI280" s="214" t="s">
        <v>655</v>
      </c>
      <c r="CJ280" s="214" t="s">
        <v>70</v>
      </c>
      <c r="CK280" s="214" t="s">
        <v>530</v>
      </c>
      <c r="CM280" s="214" t="s">
        <v>18479</v>
      </c>
      <c r="CN280" s="214" t="s">
        <v>485</v>
      </c>
      <c r="CO280" s="214" t="s">
        <v>70</v>
      </c>
      <c r="CP280" s="214" t="s">
        <v>530</v>
      </c>
      <c r="CR280" s="214" t="s">
        <v>18480</v>
      </c>
      <c r="CS280" s="214" t="s">
        <v>655</v>
      </c>
      <c r="CT280" s="214" t="s">
        <v>70</v>
      </c>
      <c r="CU280" s="214" t="s">
        <v>530</v>
      </c>
      <c r="CW280" s="214" t="s">
        <v>18481</v>
      </c>
      <c r="CX280" s="214" t="s">
        <v>935</v>
      </c>
      <c r="CY280" s="214" t="s">
        <v>70</v>
      </c>
      <c r="CZ280" s="214" t="s">
        <v>530</v>
      </c>
      <c r="DB280" s="214" t="s">
        <v>18482</v>
      </c>
      <c r="DC280" s="214" t="s">
        <v>488</v>
      </c>
      <c r="DD280" s="214" t="s">
        <v>70</v>
      </c>
      <c r="DE280" s="214" t="s">
        <v>530</v>
      </c>
      <c r="DG280" s="214" t="s">
        <v>18483</v>
      </c>
      <c r="DH280" s="214" t="s">
        <v>149</v>
      </c>
      <c r="DI280" s="214" t="s">
        <v>70</v>
      </c>
      <c r="DJ280" s="214" t="s">
        <v>530</v>
      </c>
      <c r="DL280" s="214" t="s">
        <v>18484</v>
      </c>
      <c r="DM280" s="214" t="s">
        <v>164</v>
      </c>
      <c r="DN280" s="214" t="s">
        <v>70</v>
      </c>
      <c r="DO280" s="214" t="s">
        <v>530</v>
      </c>
      <c r="DQ280" s="214" t="s">
        <v>18485</v>
      </c>
      <c r="DR280" s="214" t="s">
        <v>211</v>
      </c>
      <c r="DS280" s="214" t="s">
        <v>70</v>
      </c>
      <c r="DT280" s="214" t="s">
        <v>530</v>
      </c>
      <c r="DV280" s="214" t="s">
        <v>18486</v>
      </c>
      <c r="DW280" s="214" t="s">
        <v>940</v>
      </c>
      <c r="DX280" s="214" t="s">
        <v>70</v>
      </c>
      <c r="DY280" s="214" t="s">
        <v>530</v>
      </c>
      <c r="EA280" s="214" t="s">
        <v>18487</v>
      </c>
      <c r="EB280" s="214" t="s">
        <v>490</v>
      </c>
      <c r="EC280" s="214" t="s">
        <v>70</v>
      </c>
      <c r="ED280" s="214" t="s">
        <v>530</v>
      </c>
      <c r="EF280" s="214" t="s">
        <v>18488</v>
      </c>
      <c r="EG280" s="214" t="s">
        <v>481</v>
      </c>
      <c r="EH280" s="214" t="s">
        <v>70</v>
      </c>
      <c r="EI280" s="214" t="s">
        <v>530</v>
      </c>
      <c r="EK280" s="214" t="s">
        <v>18489</v>
      </c>
      <c r="EL280" s="214" t="s">
        <v>905</v>
      </c>
      <c r="EM280" s="214" t="s">
        <v>70</v>
      </c>
      <c r="EN280" s="214" t="s">
        <v>530</v>
      </c>
      <c r="EP280" s="214" t="s">
        <v>18490</v>
      </c>
      <c r="EQ280" s="214" t="s">
        <v>500</v>
      </c>
      <c r="ER280" s="214" t="s">
        <v>70</v>
      </c>
      <c r="ES280" s="214" t="s">
        <v>530</v>
      </c>
      <c r="EU280" s="214" t="s">
        <v>18491</v>
      </c>
      <c r="EV280" s="214" t="s">
        <v>149</v>
      </c>
      <c r="EW280" s="214" t="s">
        <v>70</v>
      </c>
      <c r="EX280" s="214" t="s">
        <v>530</v>
      </c>
      <c r="EZ280" s="214" t="s">
        <v>18492</v>
      </c>
      <c r="FA280" s="214" t="s">
        <v>952</v>
      </c>
      <c r="FB280" s="214" t="s">
        <v>70</v>
      </c>
      <c r="FC280" s="214" t="s">
        <v>530</v>
      </c>
      <c r="FE280" s="214" t="s">
        <v>18493</v>
      </c>
      <c r="FF280" s="214" t="s">
        <v>148</v>
      </c>
      <c r="FG280" s="214" t="s">
        <v>70</v>
      </c>
      <c r="FH280" s="214" t="s">
        <v>530</v>
      </c>
      <c r="FJ280" s="321" t="s">
        <v>18494</v>
      </c>
      <c r="FK280" s="214" t="s">
        <v>90</v>
      </c>
      <c r="FL280" s="214" t="s">
        <v>70</v>
      </c>
      <c r="FM280" s="214" t="s">
        <v>530</v>
      </c>
      <c r="FO280" s="321" t="s">
        <v>18495</v>
      </c>
      <c r="FP280" s="214" t="s">
        <v>148</v>
      </c>
      <c r="FQ280" s="214" t="s">
        <v>70</v>
      </c>
      <c r="FR280" s="214" t="s">
        <v>530</v>
      </c>
      <c r="FT280" s="321" t="s">
        <v>18496</v>
      </c>
      <c r="FU280" s="214" t="s">
        <v>636</v>
      </c>
      <c r="FV280" s="214" t="s">
        <v>70</v>
      </c>
      <c r="FW280" s="214" t="s">
        <v>530</v>
      </c>
      <c r="FY280" s="321" t="s">
        <v>18497</v>
      </c>
      <c r="FZ280" s="214" t="s">
        <v>52</v>
      </c>
      <c r="GA280" s="214" t="s">
        <v>70</v>
      </c>
      <c r="GB280" s="214" t="s">
        <v>530</v>
      </c>
      <c r="GD280" s="321" t="s">
        <v>18498</v>
      </c>
      <c r="GE280" s="214" t="s">
        <v>921</v>
      </c>
      <c r="GF280" s="214" t="s">
        <v>70</v>
      </c>
      <c r="GG280" s="214" t="s">
        <v>530</v>
      </c>
      <c r="GI280" s="321" t="s">
        <v>18499</v>
      </c>
      <c r="GJ280" s="214" t="s">
        <v>145</v>
      </c>
      <c r="GK280" s="214" t="s">
        <v>70</v>
      </c>
      <c r="GL280" s="214" t="s">
        <v>530</v>
      </c>
      <c r="GN280" s="321" t="s">
        <v>18500</v>
      </c>
      <c r="GO280" s="214" t="s">
        <v>52</v>
      </c>
      <c r="GP280" s="214" t="s">
        <v>70</v>
      </c>
      <c r="GQ280" s="214" t="s">
        <v>530</v>
      </c>
      <c r="GS280" s="321" t="s">
        <v>18501</v>
      </c>
      <c r="GT280" s="214" t="s">
        <v>145</v>
      </c>
      <c r="GU280" s="214" t="s">
        <v>70</v>
      </c>
      <c r="GV280" s="214" t="s">
        <v>530</v>
      </c>
      <c r="GX280" s="214" t="s">
        <v>18502</v>
      </c>
      <c r="GY280" s="214" t="s">
        <v>103</v>
      </c>
      <c r="GZ280" s="214" t="s">
        <v>70</v>
      </c>
      <c r="HA280" s="214" t="s">
        <v>530</v>
      </c>
      <c r="HC280" s="214" t="s">
        <v>18503</v>
      </c>
      <c r="HD280" s="214" t="s">
        <v>86</v>
      </c>
      <c r="HE280" s="214" t="s">
        <v>70</v>
      </c>
      <c r="HF280" s="214" t="s">
        <v>530</v>
      </c>
      <c r="HH280" s="214" t="s">
        <v>18504</v>
      </c>
      <c r="HI280" s="214" t="s">
        <v>52</v>
      </c>
      <c r="HJ280" s="214" t="s">
        <v>70</v>
      </c>
      <c r="HK280" s="214" t="s">
        <v>530</v>
      </c>
      <c r="HM280" s="214" t="s">
        <v>18505</v>
      </c>
      <c r="HN280" s="214" t="s">
        <v>164</v>
      </c>
      <c r="HO280" s="214" t="s">
        <v>70</v>
      </c>
      <c r="HP280" s="214" t="s">
        <v>530</v>
      </c>
      <c r="HR280" s="22" t="s">
        <v>18506</v>
      </c>
      <c r="HS280" s="22" t="s">
        <v>88</v>
      </c>
      <c r="HT280" s="22" t="s">
        <v>70</v>
      </c>
      <c r="HU280" s="214" t="s">
        <v>530</v>
      </c>
      <c r="HW280" s="22" t="s">
        <v>18507</v>
      </c>
      <c r="HX280" s="22" t="s">
        <v>90</v>
      </c>
      <c r="HY280" s="22" t="s">
        <v>70</v>
      </c>
      <c r="HZ280" s="214" t="s">
        <v>530</v>
      </c>
      <c r="IB280" s="22" t="s">
        <v>18508</v>
      </c>
      <c r="IC280" s="22" t="s">
        <v>92</v>
      </c>
      <c r="ID280" s="22" t="s">
        <v>70</v>
      </c>
      <c r="IE280" s="214" t="s">
        <v>530</v>
      </c>
      <c r="IG280" s="22" t="s">
        <v>18509</v>
      </c>
      <c r="IH280" s="22" t="s">
        <v>52</v>
      </c>
      <c r="II280" s="22" t="s">
        <v>70</v>
      </c>
      <c r="IJ280" s="214" t="s">
        <v>530</v>
      </c>
      <c r="IL280" s="22" t="s">
        <v>18510</v>
      </c>
      <c r="IM280" s="22" t="s">
        <v>145</v>
      </c>
      <c r="IN280" s="22" t="s">
        <v>70</v>
      </c>
      <c r="IO280" s="214" t="s">
        <v>530</v>
      </c>
      <c r="IQ280" s="236" t="s">
        <v>18511</v>
      </c>
      <c r="IR280" s="236" t="s">
        <v>145</v>
      </c>
      <c r="IS280" s="236" t="s">
        <v>74</v>
      </c>
      <c r="IT280" s="236" t="s">
        <v>841</v>
      </c>
      <c r="IV280" s="236" t="s">
        <v>18512</v>
      </c>
      <c r="IW280" s="236" t="s">
        <v>145</v>
      </c>
      <c r="IX280" s="236" t="s">
        <v>74</v>
      </c>
      <c r="IY280" s="236" t="s">
        <v>841</v>
      </c>
      <c r="JA280" s="236" t="s">
        <v>18513</v>
      </c>
      <c r="JB280" s="236" t="s">
        <v>145</v>
      </c>
      <c r="JC280" s="236" t="s">
        <v>74</v>
      </c>
      <c r="JD280" s="236" t="s">
        <v>841</v>
      </c>
      <c r="JF280" s="236" t="s">
        <v>18514</v>
      </c>
      <c r="JG280" s="236" t="s">
        <v>145</v>
      </c>
      <c r="JH280" s="236" t="s">
        <v>74</v>
      </c>
      <c r="JI280" s="236" t="s">
        <v>841</v>
      </c>
      <c r="JK280" s="236" t="s">
        <v>18515</v>
      </c>
      <c r="JL280" s="236" t="s">
        <v>145</v>
      </c>
      <c r="JM280" s="236" t="s">
        <v>74</v>
      </c>
      <c r="JN280" s="236" t="s">
        <v>841</v>
      </c>
      <c r="JP280" s="236" t="s">
        <v>18516</v>
      </c>
      <c r="JQ280" s="236" t="s">
        <v>145</v>
      </c>
      <c r="JR280" s="236" t="s">
        <v>74</v>
      </c>
      <c r="JS280" s="236" t="s">
        <v>841</v>
      </c>
      <c r="JU280" s="294" t="s">
        <v>18517</v>
      </c>
      <c r="JV280" s="294" t="s">
        <v>52</v>
      </c>
      <c r="JW280" s="263" t="s">
        <v>70</v>
      </c>
      <c r="JX280" s="294" t="s">
        <v>1083</v>
      </c>
      <c r="JZ280" s="263" t="s">
        <v>18518</v>
      </c>
      <c r="KA280" s="263" t="s">
        <v>145</v>
      </c>
      <c r="KB280" s="263" t="s">
        <v>70</v>
      </c>
      <c r="KC280" s="263" t="s">
        <v>1083</v>
      </c>
      <c r="KE280" s="263" t="s">
        <v>18519</v>
      </c>
      <c r="KF280" s="263" t="s">
        <v>52</v>
      </c>
      <c r="KG280" s="263" t="s">
        <v>70</v>
      </c>
      <c r="KH280" s="263" t="s">
        <v>1083</v>
      </c>
      <c r="KJ280" s="263" t="s">
        <v>18520</v>
      </c>
      <c r="KK280" s="263" t="s">
        <v>52</v>
      </c>
      <c r="KL280" s="263" t="s">
        <v>74</v>
      </c>
      <c r="KM280" s="263" t="s">
        <v>34074</v>
      </c>
      <c r="KO280" s="214" t="s">
        <v>18521</v>
      </c>
      <c r="KP280" s="214" t="s">
        <v>145</v>
      </c>
      <c r="KQ280" s="214" t="s">
        <v>70</v>
      </c>
      <c r="KR280" s="214" t="s">
        <v>67</v>
      </c>
      <c r="KT280" s="22" t="s">
        <v>18522</v>
      </c>
      <c r="KU280" s="22" t="s">
        <v>145</v>
      </c>
      <c r="KV280" s="22" t="s">
        <v>70</v>
      </c>
      <c r="KW280" s="22" t="s">
        <v>67</v>
      </c>
      <c r="KY280" s="214" t="s">
        <v>18523</v>
      </c>
      <c r="KZ280" s="214" t="s">
        <v>52</v>
      </c>
      <c r="LA280" s="214" t="s">
        <v>74</v>
      </c>
      <c r="LB280" s="214" t="s">
        <v>67</v>
      </c>
      <c r="LD280" s="22" t="s">
        <v>18524</v>
      </c>
      <c r="LE280" s="22" t="s">
        <v>145</v>
      </c>
      <c r="LF280" s="22" t="s">
        <v>70</v>
      </c>
      <c r="LG280" s="22" t="s">
        <v>67</v>
      </c>
    </row>
    <row r="281" spans="1:319">
      <c r="A281" s="22" t="s">
        <v>18525</v>
      </c>
      <c r="B281" s="22" t="s">
        <v>145</v>
      </c>
      <c r="C281" s="22" t="s">
        <v>70</v>
      </c>
      <c r="D281" s="22" t="s">
        <v>67</v>
      </c>
      <c r="F281" s="99" t="s">
        <v>18526</v>
      </c>
      <c r="G281" s="22" t="s">
        <v>145</v>
      </c>
      <c r="H281" s="22" t="s">
        <v>70</v>
      </c>
      <c r="I281" s="22" t="s">
        <v>67</v>
      </c>
      <c r="K281" s="22" t="s">
        <v>18527</v>
      </c>
      <c r="L281" s="22" t="s">
        <v>145</v>
      </c>
      <c r="M281" s="22" t="s">
        <v>70</v>
      </c>
      <c r="N281" s="22" t="s">
        <v>67</v>
      </c>
      <c r="P281" s="22" t="s">
        <v>18528</v>
      </c>
      <c r="Q281" s="22" t="s">
        <v>145</v>
      </c>
      <c r="R281" s="22" t="s">
        <v>70</v>
      </c>
      <c r="S281" s="22" t="s">
        <v>67</v>
      </c>
      <c r="U281" s="293" t="s">
        <v>18529</v>
      </c>
      <c r="V281" s="293" t="s">
        <v>145</v>
      </c>
      <c r="W281" s="293" t="s">
        <v>74</v>
      </c>
      <c r="X281" s="293" t="s">
        <v>656</v>
      </c>
      <c r="Z281" s="293" t="s">
        <v>18530</v>
      </c>
      <c r="AA281" s="293" t="s">
        <v>145</v>
      </c>
      <c r="AB281" s="293" t="s">
        <v>74</v>
      </c>
      <c r="AC281" s="293" t="s">
        <v>656</v>
      </c>
      <c r="AE281" s="293" t="s">
        <v>18531</v>
      </c>
      <c r="AF281" s="293" t="s">
        <v>145</v>
      </c>
      <c r="AG281" s="293" t="s">
        <v>74</v>
      </c>
      <c r="AH281" s="293" t="s">
        <v>656</v>
      </c>
      <c r="AJ281" s="293" t="s">
        <v>18532</v>
      </c>
      <c r="AK281" s="293" t="s">
        <v>145</v>
      </c>
      <c r="AL281" s="293" t="s">
        <v>74</v>
      </c>
      <c r="AM281" s="293" t="s">
        <v>656</v>
      </c>
      <c r="AO281" s="22" t="s">
        <v>18533</v>
      </c>
      <c r="AP281" s="22" t="s">
        <v>145</v>
      </c>
      <c r="AQ281" s="22" t="s">
        <v>70</v>
      </c>
      <c r="AR281" s="22" t="s">
        <v>67</v>
      </c>
      <c r="AT281" s="22" t="s">
        <v>18534</v>
      </c>
      <c r="AU281" s="22" t="s">
        <v>145</v>
      </c>
      <c r="AV281" s="22" t="s">
        <v>70</v>
      </c>
      <c r="AW281" s="22" t="s">
        <v>67</v>
      </c>
      <c r="AY281" s="22" t="s">
        <v>18535</v>
      </c>
      <c r="AZ281" s="22" t="s">
        <v>145</v>
      </c>
      <c r="BA281" s="22" t="s">
        <v>70</v>
      </c>
      <c r="BB281" s="22" t="s">
        <v>67</v>
      </c>
      <c r="BD281" s="22" t="s">
        <v>18536</v>
      </c>
      <c r="BE281" s="22" t="s">
        <v>145</v>
      </c>
      <c r="BF281" s="22" t="s">
        <v>70</v>
      </c>
      <c r="BG281" s="22" t="s">
        <v>67</v>
      </c>
      <c r="BI281" s="22" t="s">
        <v>18537</v>
      </c>
      <c r="BJ281" s="22" t="s">
        <v>145</v>
      </c>
      <c r="BK281" s="22" t="s">
        <v>70</v>
      </c>
      <c r="BL281" s="22" t="s">
        <v>67</v>
      </c>
      <c r="BN281" s="22" t="s">
        <v>18538</v>
      </c>
      <c r="BO281" s="22" t="s">
        <v>145</v>
      </c>
      <c r="BP281" s="22" t="s">
        <v>70</v>
      </c>
      <c r="BQ281" s="22" t="s">
        <v>67</v>
      </c>
      <c r="BS281" s="22" t="s">
        <v>18539</v>
      </c>
      <c r="BT281" s="22" t="s">
        <v>145</v>
      </c>
      <c r="BU281" s="22" t="s">
        <v>70</v>
      </c>
      <c r="BV281" s="214" t="s">
        <v>530</v>
      </c>
      <c r="BX281" s="22" t="s">
        <v>18540</v>
      </c>
      <c r="BY281" s="22" t="s">
        <v>145</v>
      </c>
      <c r="BZ281" s="22" t="s">
        <v>70</v>
      </c>
      <c r="CA281" s="214" t="s">
        <v>530</v>
      </c>
      <c r="CC281" s="214" t="s">
        <v>18541</v>
      </c>
      <c r="CD281" s="218" t="s">
        <v>145</v>
      </c>
      <c r="CE281" s="214" t="s">
        <v>70</v>
      </c>
      <c r="CF281" s="214" t="s">
        <v>734</v>
      </c>
      <c r="CH281" s="214" t="s">
        <v>18542</v>
      </c>
      <c r="CI281" s="214" t="s">
        <v>955</v>
      </c>
      <c r="CJ281" s="214" t="s">
        <v>70</v>
      </c>
      <c r="CK281" s="214" t="s">
        <v>530</v>
      </c>
      <c r="CM281" s="214" t="s">
        <v>18543</v>
      </c>
      <c r="CN281" s="214" t="s">
        <v>146</v>
      </c>
      <c r="CO281" s="214" t="s">
        <v>70</v>
      </c>
      <c r="CP281" s="214" t="s">
        <v>530</v>
      </c>
      <c r="CR281" s="214" t="s">
        <v>18544</v>
      </c>
      <c r="CS281" s="214" t="s">
        <v>52</v>
      </c>
      <c r="CT281" s="214" t="s">
        <v>70</v>
      </c>
      <c r="CU281" s="214" t="s">
        <v>530</v>
      </c>
      <c r="CW281" s="214" t="s">
        <v>18545</v>
      </c>
      <c r="CX281" s="214" t="s">
        <v>488</v>
      </c>
      <c r="CY281" s="214" t="s">
        <v>70</v>
      </c>
      <c r="CZ281" s="214" t="s">
        <v>530</v>
      </c>
      <c r="DB281" s="214" t="s">
        <v>18546</v>
      </c>
      <c r="DC281" s="214" t="s">
        <v>488</v>
      </c>
      <c r="DD281" s="214" t="s">
        <v>70</v>
      </c>
      <c r="DE281" s="214" t="s">
        <v>530</v>
      </c>
      <c r="DG281" s="214" t="s">
        <v>18547</v>
      </c>
      <c r="DH281" s="214" t="s">
        <v>956</v>
      </c>
      <c r="DI281" s="214" t="s">
        <v>70</v>
      </c>
      <c r="DJ281" s="214" t="s">
        <v>530</v>
      </c>
      <c r="DL281" s="214" t="s">
        <v>18548</v>
      </c>
      <c r="DM281" s="214" t="s">
        <v>481</v>
      </c>
      <c r="DN281" s="214" t="s">
        <v>70</v>
      </c>
      <c r="DO281" s="214" t="s">
        <v>530</v>
      </c>
      <c r="DQ281" s="214" t="s">
        <v>18549</v>
      </c>
      <c r="DR281" s="214" t="s">
        <v>468</v>
      </c>
      <c r="DS281" s="214" t="s">
        <v>70</v>
      </c>
      <c r="DT281" s="214" t="s">
        <v>530</v>
      </c>
      <c r="DV281" s="214" t="s">
        <v>18550</v>
      </c>
      <c r="DW281" s="214" t="s">
        <v>488</v>
      </c>
      <c r="DX281" s="214" t="s">
        <v>70</v>
      </c>
      <c r="DY281" s="214" t="s">
        <v>530</v>
      </c>
      <c r="EA281" s="214" t="s">
        <v>18551</v>
      </c>
      <c r="EB281" s="214" t="s">
        <v>482</v>
      </c>
      <c r="EC281" s="214" t="s">
        <v>70</v>
      </c>
      <c r="ED281" s="214" t="s">
        <v>530</v>
      </c>
      <c r="EF281" s="214" t="s">
        <v>18552</v>
      </c>
      <c r="EG281" s="214" t="s">
        <v>496</v>
      </c>
      <c r="EH281" s="214" t="s">
        <v>70</v>
      </c>
      <c r="EI281" s="214" t="s">
        <v>530</v>
      </c>
      <c r="EK281" s="214" t="s">
        <v>18553</v>
      </c>
      <c r="EL281" s="214" t="s">
        <v>52</v>
      </c>
      <c r="EM281" s="214" t="s">
        <v>70</v>
      </c>
      <c r="EN281" s="214" t="s">
        <v>530</v>
      </c>
      <c r="EP281" s="214" t="s">
        <v>18554</v>
      </c>
      <c r="EQ281" s="214" t="s">
        <v>487</v>
      </c>
      <c r="ER281" s="214" t="s">
        <v>70</v>
      </c>
      <c r="ES281" s="214" t="s">
        <v>530</v>
      </c>
      <c r="EU281" s="214" t="s">
        <v>18555</v>
      </c>
      <c r="EV281" s="214" t="s">
        <v>148</v>
      </c>
      <c r="EW281" s="214" t="s">
        <v>70</v>
      </c>
      <c r="EX281" s="214" t="s">
        <v>530</v>
      </c>
      <c r="EZ281" s="214" t="s">
        <v>18556</v>
      </c>
      <c r="FA281" s="214" t="s">
        <v>501</v>
      </c>
      <c r="FB281" s="214" t="s">
        <v>70</v>
      </c>
      <c r="FC281" s="214" t="s">
        <v>530</v>
      </c>
      <c r="FE281" s="214" t="s">
        <v>18557</v>
      </c>
      <c r="FF281" s="214" t="s">
        <v>502</v>
      </c>
      <c r="FG281" s="214" t="s">
        <v>70</v>
      </c>
      <c r="FH281" s="214" t="s">
        <v>530</v>
      </c>
      <c r="FJ281" s="321" t="s">
        <v>18558</v>
      </c>
      <c r="FK281" s="214" t="s">
        <v>34539</v>
      </c>
      <c r="FL281" s="214" t="s">
        <v>70</v>
      </c>
      <c r="FM281" s="214" t="s">
        <v>530</v>
      </c>
      <c r="FO281" s="321" t="s">
        <v>18559</v>
      </c>
      <c r="FP281" s="214" t="s">
        <v>468</v>
      </c>
      <c r="FQ281" s="214" t="s">
        <v>70</v>
      </c>
      <c r="FR281" s="214" t="s">
        <v>530</v>
      </c>
      <c r="FT281" s="321" t="s">
        <v>18560</v>
      </c>
      <c r="FU281" s="214" t="s">
        <v>492</v>
      </c>
      <c r="FV281" s="214" t="s">
        <v>70</v>
      </c>
      <c r="FW281" s="214" t="s">
        <v>530</v>
      </c>
      <c r="FY281" s="321" t="s">
        <v>18561</v>
      </c>
      <c r="FZ281" s="214" t="s">
        <v>485</v>
      </c>
      <c r="GA281" s="214" t="s">
        <v>70</v>
      </c>
      <c r="GB281" s="214" t="s">
        <v>530</v>
      </c>
      <c r="GD281" s="321" t="s">
        <v>18562</v>
      </c>
      <c r="GE281" s="214" t="s">
        <v>52</v>
      </c>
      <c r="GF281" s="214" t="s">
        <v>70</v>
      </c>
      <c r="GG281" s="214" t="s">
        <v>530</v>
      </c>
      <c r="GI281" s="321" t="s">
        <v>18563</v>
      </c>
      <c r="GJ281" s="214" t="s">
        <v>34541</v>
      </c>
      <c r="GK281" s="214" t="s">
        <v>70</v>
      </c>
      <c r="GL281" s="214" t="s">
        <v>530</v>
      </c>
      <c r="GN281" s="321" t="s">
        <v>18564</v>
      </c>
      <c r="GO281" s="214" t="s">
        <v>163</v>
      </c>
      <c r="GP281" s="214" t="s">
        <v>70</v>
      </c>
      <c r="GQ281" s="214" t="s">
        <v>530</v>
      </c>
      <c r="GS281" s="321" t="s">
        <v>18565</v>
      </c>
      <c r="GT281" s="214" t="s">
        <v>34541</v>
      </c>
      <c r="GU281" s="214" t="s">
        <v>70</v>
      </c>
      <c r="GV281" s="214" t="s">
        <v>530</v>
      </c>
      <c r="GX281" s="214" t="s">
        <v>18566</v>
      </c>
      <c r="GY281" s="214" t="s">
        <v>34558</v>
      </c>
      <c r="GZ281" s="214" t="s">
        <v>70</v>
      </c>
      <c r="HA281" s="214" t="s">
        <v>530</v>
      </c>
      <c r="HC281" s="214" t="s">
        <v>18567</v>
      </c>
      <c r="HD281" s="214" t="s">
        <v>93</v>
      </c>
      <c r="HE281" s="214" t="s">
        <v>70</v>
      </c>
      <c r="HF281" s="214" t="s">
        <v>530</v>
      </c>
      <c r="HH281" s="214" t="s">
        <v>18568</v>
      </c>
      <c r="HI281" s="214" t="s">
        <v>955</v>
      </c>
      <c r="HJ281" s="214" t="s">
        <v>70</v>
      </c>
      <c r="HK281" s="214" t="s">
        <v>530</v>
      </c>
      <c r="HM281" s="214" t="s">
        <v>18569</v>
      </c>
      <c r="HN281" s="214" t="s">
        <v>955</v>
      </c>
      <c r="HO281" s="214" t="s">
        <v>70</v>
      </c>
      <c r="HP281" s="214" t="s">
        <v>530</v>
      </c>
      <c r="HR281" s="22" t="s">
        <v>18570</v>
      </c>
      <c r="HS281" s="22" t="s">
        <v>34542</v>
      </c>
      <c r="HT281" s="22" t="s">
        <v>70</v>
      </c>
      <c r="HU281" s="214" t="s">
        <v>530</v>
      </c>
      <c r="HW281" s="22" t="s">
        <v>18571</v>
      </c>
      <c r="HX281" s="22" t="s">
        <v>487</v>
      </c>
      <c r="HY281" s="22" t="s">
        <v>70</v>
      </c>
      <c r="HZ281" s="214" t="s">
        <v>530</v>
      </c>
      <c r="IB281" s="22" t="s">
        <v>18572</v>
      </c>
      <c r="IC281" s="22" t="s">
        <v>34544</v>
      </c>
      <c r="ID281" s="22" t="s">
        <v>70</v>
      </c>
      <c r="IE281" s="214" t="s">
        <v>530</v>
      </c>
      <c r="IG281" s="22" t="s">
        <v>18573</v>
      </c>
      <c r="IH281" s="22" t="s">
        <v>52</v>
      </c>
      <c r="II281" s="22" t="s">
        <v>70</v>
      </c>
      <c r="IJ281" s="214" t="s">
        <v>530</v>
      </c>
      <c r="IL281" s="22" t="s">
        <v>18574</v>
      </c>
      <c r="IM281" s="22" t="s">
        <v>145</v>
      </c>
      <c r="IN281" s="22" t="s">
        <v>70</v>
      </c>
      <c r="IO281" s="214" t="s">
        <v>530</v>
      </c>
      <c r="IQ281" s="236" t="s">
        <v>18575</v>
      </c>
      <c r="IR281" s="236" t="s">
        <v>145</v>
      </c>
      <c r="IS281" s="236" t="s">
        <v>74</v>
      </c>
      <c r="IT281" s="236" t="s">
        <v>841</v>
      </c>
      <c r="IV281" s="236" t="s">
        <v>18576</v>
      </c>
      <c r="IW281" s="236" t="s">
        <v>145</v>
      </c>
      <c r="IX281" s="236" t="s">
        <v>74</v>
      </c>
      <c r="IY281" s="236" t="s">
        <v>841</v>
      </c>
      <c r="JA281" s="236" t="s">
        <v>18577</v>
      </c>
      <c r="JB281" s="236" t="s">
        <v>145</v>
      </c>
      <c r="JC281" s="236" t="s">
        <v>74</v>
      </c>
      <c r="JD281" s="236" t="s">
        <v>841</v>
      </c>
      <c r="JF281" s="236" t="s">
        <v>18578</v>
      </c>
      <c r="JG281" s="236" t="s">
        <v>145</v>
      </c>
      <c r="JH281" s="236" t="s">
        <v>74</v>
      </c>
      <c r="JI281" s="236" t="s">
        <v>841</v>
      </c>
      <c r="JK281" s="236" t="s">
        <v>18579</v>
      </c>
      <c r="JL281" s="236" t="s">
        <v>145</v>
      </c>
      <c r="JM281" s="236" t="s">
        <v>74</v>
      </c>
      <c r="JN281" s="236" t="s">
        <v>841</v>
      </c>
      <c r="JP281" s="236" t="s">
        <v>18580</v>
      </c>
      <c r="JQ281" s="236" t="s">
        <v>145</v>
      </c>
      <c r="JR281" s="236" t="s">
        <v>74</v>
      </c>
      <c r="JS281" s="236" t="s">
        <v>841</v>
      </c>
      <c r="JU281" s="294" t="s">
        <v>18581</v>
      </c>
      <c r="JV281" s="294" t="s">
        <v>52</v>
      </c>
      <c r="JW281" s="263" t="s">
        <v>70</v>
      </c>
      <c r="JX281" s="294" t="s">
        <v>1083</v>
      </c>
      <c r="JZ281" s="263" t="s">
        <v>18582</v>
      </c>
      <c r="KA281" s="263" t="s">
        <v>145</v>
      </c>
      <c r="KB281" s="263" t="s">
        <v>70</v>
      </c>
      <c r="KC281" s="263" t="s">
        <v>1083</v>
      </c>
      <c r="KE281" s="263" t="s">
        <v>18583</v>
      </c>
      <c r="KF281" s="263" t="s">
        <v>52</v>
      </c>
      <c r="KG281" s="263" t="s">
        <v>70</v>
      </c>
      <c r="KH281" s="263" t="s">
        <v>1083</v>
      </c>
      <c r="KJ281" s="263" t="s">
        <v>18584</v>
      </c>
      <c r="KK281" s="263" t="s">
        <v>52</v>
      </c>
      <c r="KL281" s="263" t="s">
        <v>74</v>
      </c>
      <c r="KM281" s="263" t="s">
        <v>34074</v>
      </c>
      <c r="KO281" s="214" t="s">
        <v>18585</v>
      </c>
      <c r="KP281" s="214" t="s">
        <v>145</v>
      </c>
      <c r="KQ281" s="214" t="s">
        <v>70</v>
      </c>
      <c r="KR281" s="214" t="s">
        <v>67</v>
      </c>
      <c r="KT281" s="22" t="s">
        <v>18586</v>
      </c>
      <c r="KU281" s="22" t="s">
        <v>145</v>
      </c>
      <c r="KV281" s="22" t="s">
        <v>70</v>
      </c>
      <c r="KW281" s="22" t="s">
        <v>67</v>
      </c>
      <c r="KY281" s="214" t="s">
        <v>18587</v>
      </c>
      <c r="KZ281" s="214" t="s">
        <v>52</v>
      </c>
      <c r="LA281" s="214" t="s">
        <v>74</v>
      </c>
      <c r="LB281" s="214" t="s">
        <v>67</v>
      </c>
      <c r="LD281" s="22" t="s">
        <v>18588</v>
      </c>
      <c r="LE281" s="22" t="s">
        <v>145</v>
      </c>
      <c r="LF281" s="22" t="s">
        <v>70</v>
      </c>
      <c r="LG281" s="22" t="s">
        <v>67</v>
      </c>
    </row>
    <row r="282" spans="1:319">
      <c r="A282" s="22" t="s">
        <v>18589</v>
      </c>
      <c r="B282" s="22" t="s">
        <v>145</v>
      </c>
      <c r="C282" s="22" t="s">
        <v>70</v>
      </c>
      <c r="D282" s="22" t="s">
        <v>67</v>
      </c>
      <c r="F282" s="99" t="s">
        <v>18590</v>
      </c>
      <c r="G282" s="22" t="s">
        <v>145</v>
      </c>
      <c r="H282" s="22" t="s">
        <v>70</v>
      </c>
      <c r="I282" s="22" t="s">
        <v>67</v>
      </c>
      <c r="K282" s="22" t="s">
        <v>18591</v>
      </c>
      <c r="L282" s="22" t="s">
        <v>145</v>
      </c>
      <c r="M282" s="22" t="s">
        <v>70</v>
      </c>
      <c r="N282" s="22" t="s">
        <v>67</v>
      </c>
      <c r="P282" s="22" t="s">
        <v>18592</v>
      </c>
      <c r="Q282" s="22" t="s">
        <v>145</v>
      </c>
      <c r="R282" s="22" t="s">
        <v>70</v>
      </c>
      <c r="S282" s="22" t="s">
        <v>67</v>
      </c>
      <c r="U282" s="293" t="s">
        <v>18593</v>
      </c>
      <c r="V282" s="293" t="s">
        <v>145</v>
      </c>
      <c r="W282" s="293" t="s">
        <v>74</v>
      </c>
      <c r="X282" s="293" t="s">
        <v>656</v>
      </c>
      <c r="Z282" s="293" t="s">
        <v>18594</v>
      </c>
      <c r="AA282" s="293" t="s">
        <v>145</v>
      </c>
      <c r="AB282" s="293" t="s">
        <v>74</v>
      </c>
      <c r="AC282" s="293" t="s">
        <v>656</v>
      </c>
      <c r="AE282" s="293" t="s">
        <v>18595</v>
      </c>
      <c r="AF282" s="293" t="s">
        <v>145</v>
      </c>
      <c r="AG282" s="293" t="s">
        <v>74</v>
      </c>
      <c r="AH282" s="293" t="s">
        <v>656</v>
      </c>
      <c r="AJ282" s="293" t="s">
        <v>18596</v>
      </c>
      <c r="AK282" s="293" t="s">
        <v>145</v>
      </c>
      <c r="AL282" s="293" t="s">
        <v>74</v>
      </c>
      <c r="AM282" s="293" t="s">
        <v>656</v>
      </c>
      <c r="AO282" s="22" t="s">
        <v>18597</v>
      </c>
      <c r="AP282" s="22" t="s">
        <v>145</v>
      </c>
      <c r="AQ282" s="22" t="s">
        <v>70</v>
      </c>
      <c r="AR282" s="22" t="s">
        <v>67</v>
      </c>
      <c r="AT282" s="22" t="s">
        <v>18598</v>
      </c>
      <c r="AU282" s="22" t="s">
        <v>145</v>
      </c>
      <c r="AV282" s="22" t="s">
        <v>70</v>
      </c>
      <c r="AW282" s="22" t="s">
        <v>67</v>
      </c>
      <c r="AY282" s="22" t="s">
        <v>18599</v>
      </c>
      <c r="AZ282" s="22" t="s">
        <v>145</v>
      </c>
      <c r="BA282" s="22" t="s">
        <v>70</v>
      </c>
      <c r="BB282" s="22" t="s">
        <v>67</v>
      </c>
      <c r="BD282" s="22" t="s">
        <v>18600</v>
      </c>
      <c r="BE282" s="22" t="s">
        <v>145</v>
      </c>
      <c r="BF282" s="22" t="s">
        <v>70</v>
      </c>
      <c r="BG282" s="22" t="s">
        <v>67</v>
      </c>
      <c r="BI282" s="22" t="s">
        <v>18601</v>
      </c>
      <c r="BJ282" s="22" t="s">
        <v>145</v>
      </c>
      <c r="BK282" s="22" t="s">
        <v>70</v>
      </c>
      <c r="BL282" s="22" t="s">
        <v>67</v>
      </c>
      <c r="BN282" s="22" t="s">
        <v>18602</v>
      </c>
      <c r="BO282" s="22" t="s">
        <v>145</v>
      </c>
      <c r="BP282" s="22" t="s">
        <v>70</v>
      </c>
      <c r="BQ282" s="22" t="s">
        <v>67</v>
      </c>
      <c r="BS282" s="22" t="s">
        <v>18603</v>
      </c>
      <c r="BT282" s="22" t="s">
        <v>145</v>
      </c>
      <c r="BU282" s="22" t="s">
        <v>70</v>
      </c>
      <c r="BV282" s="214" t="s">
        <v>530</v>
      </c>
      <c r="BX282" s="22" t="s">
        <v>18604</v>
      </c>
      <c r="BY282" s="22" t="s">
        <v>145</v>
      </c>
      <c r="BZ282" s="22" t="s">
        <v>70</v>
      </c>
      <c r="CA282" s="214" t="s">
        <v>530</v>
      </c>
      <c r="CC282" s="214" t="s">
        <v>18605</v>
      </c>
      <c r="CD282" s="218" t="s">
        <v>145</v>
      </c>
      <c r="CE282" s="214" t="s">
        <v>70</v>
      </c>
      <c r="CF282" s="214" t="s">
        <v>735</v>
      </c>
      <c r="CH282" s="214" t="s">
        <v>18606</v>
      </c>
      <c r="CI282" s="214" t="s">
        <v>10541</v>
      </c>
      <c r="CJ282" s="214" t="s">
        <v>70</v>
      </c>
      <c r="CK282" s="214" t="s">
        <v>530</v>
      </c>
      <c r="CM282" s="214" t="s">
        <v>18607</v>
      </c>
      <c r="CN282" s="214" t="s">
        <v>85</v>
      </c>
      <c r="CO282" s="214" t="s">
        <v>70</v>
      </c>
      <c r="CP282" s="214" t="s">
        <v>530</v>
      </c>
      <c r="CR282" s="214" t="s">
        <v>18608</v>
      </c>
      <c r="CS282" s="214" t="s">
        <v>52</v>
      </c>
      <c r="CT282" s="214" t="s">
        <v>70</v>
      </c>
      <c r="CU282" s="214" t="s">
        <v>530</v>
      </c>
      <c r="CW282" s="214" t="s">
        <v>18609</v>
      </c>
      <c r="CX282" s="214" t="s">
        <v>599</v>
      </c>
      <c r="CY282" s="214" t="s">
        <v>70</v>
      </c>
      <c r="CZ282" s="214" t="s">
        <v>530</v>
      </c>
      <c r="DB282" s="214" t="s">
        <v>18610</v>
      </c>
      <c r="DC282" s="214" t="s">
        <v>468</v>
      </c>
      <c r="DD282" s="214" t="s">
        <v>70</v>
      </c>
      <c r="DE282" s="214" t="s">
        <v>530</v>
      </c>
      <c r="DG282" s="214" t="s">
        <v>18611</v>
      </c>
      <c r="DH282" s="214" t="s">
        <v>88</v>
      </c>
      <c r="DI282" s="214" t="s">
        <v>70</v>
      </c>
      <c r="DJ282" s="214" t="s">
        <v>530</v>
      </c>
      <c r="DL282" s="214" t="s">
        <v>18612</v>
      </c>
      <c r="DM282" s="214" t="s">
        <v>146</v>
      </c>
      <c r="DN282" s="214" t="s">
        <v>70</v>
      </c>
      <c r="DO282" s="214" t="s">
        <v>530</v>
      </c>
      <c r="DQ282" s="214" t="s">
        <v>18613</v>
      </c>
      <c r="DR282" s="214" t="s">
        <v>468</v>
      </c>
      <c r="DS282" s="214" t="s">
        <v>70</v>
      </c>
      <c r="DT282" s="214" t="s">
        <v>530</v>
      </c>
      <c r="DV282" s="214" t="s">
        <v>18614</v>
      </c>
      <c r="DW282" s="214" t="s">
        <v>52</v>
      </c>
      <c r="DX282" s="214" t="s">
        <v>70</v>
      </c>
      <c r="DY282" s="214" t="s">
        <v>530</v>
      </c>
      <c r="EA282" s="214" t="s">
        <v>18615</v>
      </c>
      <c r="EB282" s="214" t="s">
        <v>87</v>
      </c>
      <c r="EC282" s="214" t="s">
        <v>70</v>
      </c>
      <c r="ED282" s="214" t="s">
        <v>530</v>
      </c>
      <c r="EF282" s="214" t="s">
        <v>18616</v>
      </c>
      <c r="EG282" s="214" t="s">
        <v>34629</v>
      </c>
      <c r="EH282" s="214" t="s">
        <v>70</v>
      </c>
      <c r="EI282" s="214" t="s">
        <v>530</v>
      </c>
      <c r="EK282" s="214" t="s">
        <v>18617</v>
      </c>
      <c r="EL282" s="214" t="s">
        <v>604</v>
      </c>
      <c r="EM282" s="214" t="s">
        <v>70</v>
      </c>
      <c r="EN282" s="214" t="s">
        <v>530</v>
      </c>
      <c r="EP282" s="214" t="s">
        <v>18618</v>
      </c>
      <c r="EQ282" s="214" t="s">
        <v>468</v>
      </c>
      <c r="ER282" s="214" t="s">
        <v>70</v>
      </c>
      <c r="ES282" s="214" t="s">
        <v>530</v>
      </c>
      <c r="EU282" s="214" t="s">
        <v>18619</v>
      </c>
      <c r="EV282" s="214" t="s">
        <v>52</v>
      </c>
      <c r="EW282" s="214" t="s">
        <v>70</v>
      </c>
      <c r="EX282" s="214" t="s">
        <v>530</v>
      </c>
      <c r="EZ282" s="214" t="s">
        <v>18620</v>
      </c>
      <c r="FA282" s="214" t="s">
        <v>34588</v>
      </c>
      <c r="FB282" s="214" t="s">
        <v>70</v>
      </c>
      <c r="FC282" s="214" t="s">
        <v>530</v>
      </c>
      <c r="FE282" s="214" t="s">
        <v>18621</v>
      </c>
      <c r="FF282" s="214" t="s">
        <v>52</v>
      </c>
      <c r="FG282" s="214" t="s">
        <v>70</v>
      </c>
      <c r="FH282" s="214" t="s">
        <v>530</v>
      </c>
      <c r="FJ282" s="321" t="s">
        <v>18622</v>
      </c>
      <c r="FK282" s="214" t="s">
        <v>945</v>
      </c>
      <c r="FL282" s="214" t="s">
        <v>70</v>
      </c>
      <c r="FM282" s="214" t="s">
        <v>530</v>
      </c>
      <c r="FO282" s="321" t="s">
        <v>18623</v>
      </c>
      <c r="FP282" s="214" t="s">
        <v>52</v>
      </c>
      <c r="FQ282" s="214" t="s">
        <v>70</v>
      </c>
      <c r="FR282" s="214" t="s">
        <v>530</v>
      </c>
      <c r="FT282" s="321" t="s">
        <v>18624</v>
      </c>
      <c r="FU282" s="214" t="s">
        <v>925</v>
      </c>
      <c r="FV282" s="214" t="s">
        <v>70</v>
      </c>
      <c r="FW282" s="214" t="s">
        <v>530</v>
      </c>
      <c r="FY282" s="321" t="s">
        <v>18625</v>
      </c>
      <c r="FZ282" s="214" t="s">
        <v>916</v>
      </c>
      <c r="GA282" s="214" t="s">
        <v>70</v>
      </c>
      <c r="GB282" s="214" t="s">
        <v>530</v>
      </c>
      <c r="GD282" s="321" t="s">
        <v>18626</v>
      </c>
      <c r="GE282" s="214" t="s">
        <v>468</v>
      </c>
      <c r="GF282" s="214" t="s">
        <v>70</v>
      </c>
      <c r="GG282" s="214" t="s">
        <v>530</v>
      </c>
      <c r="GI282" s="321" t="s">
        <v>18627</v>
      </c>
      <c r="GJ282" s="214" t="s">
        <v>34591</v>
      </c>
      <c r="GK282" s="214" t="s">
        <v>70</v>
      </c>
      <c r="GL282" s="214" t="s">
        <v>530</v>
      </c>
      <c r="GN282" s="321" t="s">
        <v>18628</v>
      </c>
      <c r="GO282" s="214" t="s">
        <v>642</v>
      </c>
      <c r="GP282" s="214" t="s">
        <v>70</v>
      </c>
      <c r="GQ282" s="214" t="s">
        <v>530</v>
      </c>
      <c r="GS282" s="321" t="s">
        <v>18629</v>
      </c>
      <c r="GT282" s="214" t="s">
        <v>951</v>
      </c>
      <c r="GU282" s="214" t="s">
        <v>70</v>
      </c>
      <c r="GV282" s="214" t="s">
        <v>530</v>
      </c>
      <c r="GX282" s="214" t="s">
        <v>18630</v>
      </c>
      <c r="GY282" s="214" t="s">
        <v>34516</v>
      </c>
      <c r="GZ282" s="214" t="s">
        <v>70</v>
      </c>
      <c r="HA282" s="214" t="s">
        <v>530</v>
      </c>
      <c r="HC282" s="214" t="s">
        <v>18631</v>
      </c>
      <c r="HD282" s="214" t="s">
        <v>85</v>
      </c>
      <c r="HE282" s="214" t="s">
        <v>70</v>
      </c>
      <c r="HF282" s="214" t="s">
        <v>530</v>
      </c>
      <c r="HH282" s="214" t="s">
        <v>18632</v>
      </c>
      <c r="HI282" s="214" t="s">
        <v>146</v>
      </c>
      <c r="HJ282" s="214" t="s">
        <v>70</v>
      </c>
      <c r="HK282" s="214" t="s">
        <v>530</v>
      </c>
      <c r="HM282" s="214" t="s">
        <v>18633</v>
      </c>
      <c r="HN282" s="214" t="s">
        <v>145</v>
      </c>
      <c r="HO282" s="214" t="s">
        <v>70</v>
      </c>
      <c r="HP282" s="214" t="s">
        <v>530</v>
      </c>
      <c r="HR282" s="22" t="s">
        <v>18634</v>
      </c>
      <c r="HS282" s="22" t="s">
        <v>34550</v>
      </c>
      <c r="HT282" s="22" t="s">
        <v>70</v>
      </c>
      <c r="HU282" s="214" t="s">
        <v>530</v>
      </c>
      <c r="HW282" s="22" t="s">
        <v>18635</v>
      </c>
      <c r="HX282" s="22" t="s">
        <v>287</v>
      </c>
      <c r="HY282" s="22" t="s">
        <v>70</v>
      </c>
      <c r="HZ282" s="214" t="s">
        <v>530</v>
      </c>
      <c r="IB282" s="22" t="s">
        <v>18636</v>
      </c>
      <c r="IC282" s="22" t="s">
        <v>88</v>
      </c>
      <c r="ID282" s="22" t="s">
        <v>70</v>
      </c>
      <c r="IE282" s="214" t="s">
        <v>530</v>
      </c>
      <c r="IG282" s="22" t="s">
        <v>18637</v>
      </c>
      <c r="IH282" s="22" t="s">
        <v>52</v>
      </c>
      <c r="II282" s="22" t="s">
        <v>70</v>
      </c>
      <c r="IJ282" s="214" t="s">
        <v>530</v>
      </c>
      <c r="IL282" s="22" t="s">
        <v>18638</v>
      </c>
      <c r="IM282" s="22" t="s">
        <v>145</v>
      </c>
      <c r="IN282" s="22" t="s">
        <v>70</v>
      </c>
      <c r="IO282" s="214" t="s">
        <v>530</v>
      </c>
      <c r="IQ282" s="236" t="s">
        <v>18639</v>
      </c>
      <c r="IR282" s="236" t="s">
        <v>145</v>
      </c>
      <c r="IS282" s="236" t="s">
        <v>74</v>
      </c>
      <c r="IT282" s="236" t="s">
        <v>841</v>
      </c>
      <c r="IV282" s="236" t="s">
        <v>18640</v>
      </c>
      <c r="IW282" s="236" t="s">
        <v>145</v>
      </c>
      <c r="IX282" s="236" t="s">
        <v>74</v>
      </c>
      <c r="IY282" s="236" t="s">
        <v>841</v>
      </c>
      <c r="JA282" s="236" t="s">
        <v>18641</v>
      </c>
      <c r="JB282" s="236" t="s">
        <v>145</v>
      </c>
      <c r="JC282" s="236" t="s">
        <v>74</v>
      </c>
      <c r="JD282" s="236" t="s">
        <v>841</v>
      </c>
      <c r="JF282" s="236" t="s">
        <v>18642</v>
      </c>
      <c r="JG282" s="236" t="s">
        <v>145</v>
      </c>
      <c r="JH282" s="236" t="s">
        <v>74</v>
      </c>
      <c r="JI282" s="236" t="s">
        <v>841</v>
      </c>
      <c r="JK282" s="236" t="s">
        <v>18643</v>
      </c>
      <c r="JL282" s="236" t="s">
        <v>145</v>
      </c>
      <c r="JM282" s="236" t="s">
        <v>74</v>
      </c>
      <c r="JN282" s="236" t="s">
        <v>841</v>
      </c>
      <c r="JP282" s="236" t="s">
        <v>18644</v>
      </c>
      <c r="JQ282" s="236" t="s">
        <v>145</v>
      </c>
      <c r="JR282" s="236" t="s">
        <v>74</v>
      </c>
      <c r="JS282" s="236" t="s">
        <v>841</v>
      </c>
      <c r="JU282" s="294" t="s">
        <v>18645</v>
      </c>
      <c r="JV282" s="294" t="s">
        <v>52</v>
      </c>
      <c r="JW282" s="263" t="s">
        <v>70</v>
      </c>
      <c r="JX282" s="294" t="s">
        <v>1083</v>
      </c>
      <c r="JZ282" s="263" t="s">
        <v>18646</v>
      </c>
      <c r="KA282" s="263" t="s">
        <v>145</v>
      </c>
      <c r="KB282" s="263" t="s">
        <v>70</v>
      </c>
      <c r="KC282" s="263" t="s">
        <v>1083</v>
      </c>
      <c r="KE282" s="263" t="s">
        <v>18647</v>
      </c>
      <c r="KF282" s="263" t="s">
        <v>52</v>
      </c>
      <c r="KG282" s="263" t="s">
        <v>70</v>
      </c>
      <c r="KH282" s="263" t="s">
        <v>1083</v>
      </c>
      <c r="KJ282" s="263" t="s">
        <v>18648</v>
      </c>
      <c r="KK282" s="263" t="s">
        <v>52</v>
      </c>
      <c r="KL282" s="263" t="s">
        <v>74</v>
      </c>
      <c r="KM282" s="263" t="s">
        <v>34074</v>
      </c>
      <c r="KO282" s="214" t="s">
        <v>18649</v>
      </c>
      <c r="KP282" s="214" t="s">
        <v>145</v>
      </c>
      <c r="KQ282" s="214" t="s">
        <v>70</v>
      </c>
      <c r="KR282" s="214" t="s">
        <v>67</v>
      </c>
      <c r="KT282" s="22" t="s">
        <v>18650</v>
      </c>
      <c r="KU282" s="22" t="s">
        <v>145</v>
      </c>
      <c r="KV282" s="22" t="s">
        <v>70</v>
      </c>
      <c r="KW282" s="22" t="s">
        <v>67</v>
      </c>
      <c r="KY282" s="214" t="s">
        <v>18651</v>
      </c>
      <c r="KZ282" s="214" t="s">
        <v>52</v>
      </c>
      <c r="LA282" s="214" t="s">
        <v>74</v>
      </c>
      <c r="LB282" s="214" t="s">
        <v>67</v>
      </c>
      <c r="LD282" s="22" t="s">
        <v>18652</v>
      </c>
      <c r="LE282" s="22" t="s">
        <v>145</v>
      </c>
      <c r="LF282" s="22" t="s">
        <v>70</v>
      </c>
      <c r="LG282" s="22" t="s">
        <v>67</v>
      </c>
    </row>
    <row r="283" spans="1:319">
      <c r="A283" s="22" t="s">
        <v>18653</v>
      </c>
      <c r="B283" s="22" t="s">
        <v>145</v>
      </c>
      <c r="C283" s="22" t="s">
        <v>70</v>
      </c>
      <c r="D283" s="22" t="s">
        <v>67</v>
      </c>
      <c r="F283" s="99" t="s">
        <v>18654</v>
      </c>
      <c r="G283" s="22" t="s">
        <v>145</v>
      </c>
      <c r="H283" s="22" t="s">
        <v>70</v>
      </c>
      <c r="I283" s="22" t="s">
        <v>67</v>
      </c>
      <c r="K283" s="22" t="s">
        <v>18655</v>
      </c>
      <c r="L283" s="22" t="s">
        <v>145</v>
      </c>
      <c r="M283" s="22" t="s">
        <v>70</v>
      </c>
      <c r="N283" s="22" t="s">
        <v>67</v>
      </c>
      <c r="P283" s="22" t="s">
        <v>18656</v>
      </c>
      <c r="Q283" s="22" t="s">
        <v>145</v>
      </c>
      <c r="R283" s="22" t="s">
        <v>70</v>
      </c>
      <c r="S283" s="22" t="s">
        <v>67</v>
      </c>
      <c r="U283" s="293" t="s">
        <v>18657</v>
      </c>
      <c r="V283" s="293" t="s">
        <v>145</v>
      </c>
      <c r="W283" s="293" t="s">
        <v>74</v>
      </c>
      <c r="X283" s="293" t="s">
        <v>656</v>
      </c>
      <c r="Z283" s="293" t="s">
        <v>18658</v>
      </c>
      <c r="AA283" s="293" t="s">
        <v>145</v>
      </c>
      <c r="AB283" s="293" t="s">
        <v>74</v>
      </c>
      <c r="AC283" s="293" t="s">
        <v>656</v>
      </c>
      <c r="AE283" s="293" t="s">
        <v>18659</v>
      </c>
      <c r="AF283" s="293" t="s">
        <v>145</v>
      </c>
      <c r="AG283" s="293" t="s">
        <v>74</v>
      </c>
      <c r="AH283" s="293" t="s">
        <v>656</v>
      </c>
      <c r="AJ283" s="293" t="s">
        <v>18660</v>
      </c>
      <c r="AK283" s="293" t="s">
        <v>145</v>
      </c>
      <c r="AL283" s="293" t="s">
        <v>74</v>
      </c>
      <c r="AM283" s="293" t="s">
        <v>656</v>
      </c>
      <c r="AO283" s="22" t="s">
        <v>18661</v>
      </c>
      <c r="AP283" s="22" t="s">
        <v>145</v>
      </c>
      <c r="AQ283" s="22" t="s">
        <v>70</v>
      </c>
      <c r="AR283" s="22" t="s">
        <v>67</v>
      </c>
      <c r="AT283" s="22" t="s">
        <v>18662</v>
      </c>
      <c r="AU283" s="22" t="s">
        <v>145</v>
      </c>
      <c r="AV283" s="22" t="s">
        <v>70</v>
      </c>
      <c r="AW283" s="22" t="s">
        <v>67</v>
      </c>
      <c r="AY283" s="22" t="s">
        <v>18663</v>
      </c>
      <c r="AZ283" s="22" t="s">
        <v>145</v>
      </c>
      <c r="BA283" s="22" t="s">
        <v>70</v>
      </c>
      <c r="BB283" s="22" t="s">
        <v>67</v>
      </c>
      <c r="BD283" s="22" t="s">
        <v>18664</v>
      </c>
      <c r="BE283" s="22" t="s">
        <v>145</v>
      </c>
      <c r="BF283" s="22" t="s">
        <v>70</v>
      </c>
      <c r="BG283" s="22" t="s">
        <v>67</v>
      </c>
      <c r="BI283" s="22" t="s">
        <v>18665</v>
      </c>
      <c r="BJ283" s="22" t="s">
        <v>145</v>
      </c>
      <c r="BK283" s="22" t="s">
        <v>70</v>
      </c>
      <c r="BL283" s="22" t="s">
        <v>67</v>
      </c>
      <c r="BN283" s="22" t="s">
        <v>18666</v>
      </c>
      <c r="BO283" s="22" t="s">
        <v>145</v>
      </c>
      <c r="BP283" s="22" t="s">
        <v>70</v>
      </c>
      <c r="BQ283" s="22" t="s">
        <v>67</v>
      </c>
      <c r="BS283" s="22" t="s">
        <v>18667</v>
      </c>
      <c r="BT283" s="22" t="s">
        <v>145</v>
      </c>
      <c r="BU283" s="22" t="s">
        <v>70</v>
      </c>
      <c r="BV283" s="214" t="s">
        <v>530</v>
      </c>
      <c r="BX283" s="22" t="s">
        <v>18668</v>
      </c>
      <c r="BY283" s="22" t="s">
        <v>145</v>
      </c>
      <c r="BZ283" s="22" t="s">
        <v>70</v>
      </c>
      <c r="CA283" s="214" t="s">
        <v>530</v>
      </c>
      <c r="CC283" s="214" t="s">
        <v>18669</v>
      </c>
      <c r="CD283" s="218" t="s">
        <v>145</v>
      </c>
      <c r="CE283" s="214" t="s">
        <v>70</v>
      </c>
      <c r="CF283" s="214" t="s">
        <v>736</v>
      </c>
      <c r="CH283" s="214" t="s">
        <v>18670</v>
      </c>
      <c r="CI283" s="214" t="s">
        <v>956</v>
      </c>
      <c r="CJ283" s="214" t="s">
        <v>70</v>
      </c>
      <c r="CK283" s="214" t="s">
        <v>530</v>
      </c>
      <c r="CM283" s="214" t="s">
        <v>18671</v>
      </c>
      <c r="CN283" s="214" t="s">
        <v>485</v>
      </c>
      <c r="CO283" s="214" t="s">
        <v>70</v>
      </c>
      <c r="CP283" s="214" t="s">
        <v>530</v>
      </c>
      <c r="CR283" s="214" t="s">
        <v>18672</v>
      </c>
      <c r="CS283" s="214" t="s">
        <v>34624</v>
      </c>
      <c r="CT283" s="214" t="s">
        <v>70</v>
      </c>
      <c r="CU283" s="214" t="s">
        <v>530</v>
      </c>
      <c r="CW283" s="214" t="s">
        <v>18673</v>
      </c>
      <c r="CX283" s="214" t="s">
        <v>484</v>
      </c>
      <c r="CY283" s="214" t="s">
        <v>70</v>
      </c>
      <c r="CZ283" s="214" t="s">
        <v>530</v>
      </c>
      <c r="DB283" s="214" t="s">
        <v>18674</v>
      </c>
      <c r="DC283" s="214" t="s">
        <v>484</v>
      </c>
      <c r="DD283" s="214" t="s">
        <v>70</v>
      </c>
      <c r="DE283" s="214" t="s">
        <v>530</v>
      </c>
      <c r="DG283" s="214" t="s">
        <v>18675</v>
      </c>
      <c r="DH283" s="214" t="s">
        <v>146</v>
      </c>
      <c r="DI283" s="214" t="s">
        <v>70</v>
      </c>
      <c r="DJ283" s="214" t="s">
        <v>530</v>
      </c>
      <c r="DL283" s="214" t="s">
        <v>18676</v>
      </c>
      <c r="DM283" s="214" t="s">
        <v>34539</v>
      </c>
      <c r="DN283" s="214" t="s">
        <v>70</v>
      </c>
      <c r="DO283" s="214" t="s">
        <v>530</v>
      </c>
      <c r="DQ283" s="214" t="s">
        <v>18677</v>
      </c>
      <c r="DR283" s="214" t="s">
        <v>34548</v>
      </c>
      <c r="DS283" s="214" t="s">
        <v>70</v>
      </c>
      <c r="DT283" s="214" t="s">
        <v>530</v>
      </c>
      <c r="DV283" s="214" t="s">
        <v>18678</v>
      </c>
      <c r="DW283" s="214" t="s">
        <v>601</v>
      </c>
      <c r="DX283" s="214" t="s">
        <v>70</v>
      </c>
      <c r="DY283" s="214" t="s">
        <v>530</v>
      </c>
      <c r="EA283" s="214" t="s">
        <v>18679</v>
      </c>
      <c r="EB283" s="214" t="s">
        <v>52</v>
      </c>
      <c r="EC283" s="214" t="s">
        <v>70</v>
      </c>
      <c r="ED283" s="214" t="s">
        <v>530</v>
      </c>
      <c r="EF283" s="214" t="s">
        <v>18680</v>
      </c>
      <c r="EG283" s="214" t="s">
        <v>492</v>
      </c>
      <c r="EH283" s="214" t="s">
        <v>70</v>
      </c>
      <c r="EI283" s="214" t="s">
        <v>530</v>
      </c>
      <c r="EK283" s="214" t="s">
        <v>18681</v>
      </c>
      <c r="EL283" s="214" t="s">
        <v>146</v>
      </c>
      <c r="EM283" s="214" t="s">
        <v>70</v>
      </c>
      <c r="EN283" s="214" t="s">
        <v>530</v>
      </c>
      <c r="EP283" s="214" t="s">
        <v>18682</v>
      </c>
      <c r="EQ283" s="214" t="s">
        <v>484</v>
      </c>
      <c r="ER283" s="214" t="s">
        <v>70</v>
      </c>
      <c r="ES283" s="214" t="s">
        <v>530</v>
      </c>
      <c r="EU283" s="214" t="s">
        <v>18683</v>
      </c>
      <c r="EV283" s="214" t="s">
        <v>34553</v>
      </c>
      <c r="EW283" s="214" t="s">
        <v>70</v>
      </c>
      <c r="EX283" s="214" t="s">
        <v>530</v>
      </c>
      <c r="EZ283" s="214" t="s">
        <v>18684</v>
      </c>
      <c r="FA283" s="214" t="s">
        <v>34580</v>
      </c>
      <c r="FB283" s="214" t="s">
        <v>70</v>
      </c>
      <c r="FC283" s="214" t="s">
        <v>530</v>
      </c>
      <c r="FE283" s="214" t="s">
        <v>18685</v>
      </c>
      <c r="FF283" s="214" t="s">
        <v>34558</v>
      </c>
      <c r="FG283" s="214" t="s">
        <v>70</v>
      </c>
      <c r="FH283" s="214" t="s">
        <v>530</v>
      </c>
      <c r="FJ283" s="321" t="s">
        <v>18686</v>
      </c>
      <c r="FK283" s="214" t="s">
        <v>501</v>
      </c>
      <c r="FL283" s="214" t="s">
        <v>70</v>
      </c>
      <c r="FM283" s="214" t="s">
        <v>530</v>
      </c>
      <c r="FO283" s="321" t="s">
        <v>18687</v>
      </c>
      <c r="FP283" s="214" t="s">
        <v>203</v>
      </c>
      <c r="FQ283" s="214" t="s">
        <v>70</v>
      </c>
      <c r="FR283" s="214" t="s">
        <v>530</v>
      </c>
      <c r="FT283" s="321" t="s">
        <v>18688</v>
      </c>
      <c r="FU283" s="214" t="s">
        <v>491</v>
      </c>
      <c r="FV283" s="214" t="s">
        <v>70</v>
      </c>
      <c r="FW283" s="214" t="s">
        <v>530</v>
      </c>
      <c r="FY283" s="321" t="s">
        <v>18689</v>
      </c>
      <c r="FZ283" s="214" t="s">
        <v>34544</v>
      </c>
      <c r="GA283" s="214" t="s">
        <v>70</v>
      </c>
      <c r="GB283" s="214" t="s">
        <v>530</v>
      </c>
      <c r="GD283" s="321" t="s">
        <v>18690</v>
      </c>
      <c r="GE283" s="214" t="s">
        <v>52</v>
      </c>
      <c r="GF283" s="214" t="s">
        <v>70</v>
      </c>
      <c r="GG283" s="214" t="s">
        <v>530</v>
      </c>
      <c r="GI283" s="321" t="s">
        <v>18691</v>
      </c>
      <c r="GJ283" s="214" t="s">
        <v>145</v>
      </c>
      <c r="GK283" s="214" t="s">
        <v>70</v>
      </c>
      <c r="GL283" s="214" t="s">
        <v>530</v>
      </c>
      <c r="GN283" s="321" t="s">
        <v>18692</v>
      </c>
      <c r="GO283" s="214" t="s">
        <v>146</v>
      </c>
      <c r="GP283" s="214" t="s">
        <v>70</v>
      </c>
      <c r="GQ283" s="214" t="s">
        <v>530</v>
      </c>
      <c r="GS283" s="321" t="s">
        <v>18693</v>
      </c>
      <c r="GT283" s="214" t="s">
        <v>34552</v>
      </c>
      <c r="GU283" s="214" t="s">
        <v>70</v>
      </c>
      <c r="GV283" s="214" t="s">
        <v>530</v>
      </c>
      <c r="GX283" s="214" t="s">
        <v>18694</v>
      </c>
      <c r="GY283" s="214" t="s">
        <v>491</v>
      </c>
      <c r="GZ283" s="214" t="s">
        <v>70</v>
      </c>
      <c r="HA283" s="214" t="s">
        <v>530</v>
      </c>
      <c r="HC283" s="214" t="s">
        <v>18695</v>
      </c>
      <c r="HD283" s="214" t="s">
        <v>488</v>
      </c>
      <c r="HE283" s="214" t="s">
        <v>70</v>
      </c>
      <c r="HF283" s="214" t="s">
        <v>530</v>
      </c>
      <c r="HH283" s="214" t="s">
        <v>18696</v>
      </c>
      <c r="HI283" s="214" t="s">
        <v>287</v>
      </c>
      <c r="HJ283" s="214" t="s">
        <v>70</v>
      </c>
      <c r="HK283" s="214" t="s">
        <v>530</v>
      </c>
      <c r="HM283" s="214" t="s">
        <v>18697</v>
      </c>
      <c r="HN283" s="214" t="s">
        <v>34541</v>
      </c>
      <c r="HO283" s="214" t="s">
        <v>70</v>
      </c>
      <c r="HP283" s="214" t="s">
        <v>530</v>
      </c>
      <c r="HR283" s="22" t="s">
        <v>18698</v>
      </c>
      <c r="HS283" s="22" t="s">
        <v>146</v>
      </c>
      <c r="HT283" s="22" t="s">
        <v>70</v>
      </c>
      <c r="HU283" s="214" t="s">
        <v>530</v>
      </c>
      <c r="HW283" s="22" t="s">
        <v>18699</v>
      </c>
      <c r="HX283" s="22" t="s">
        <v>491</v>
      </c>
      <c r="HY283" s="22" t="s">
        <v>70</v>
      </c>
      <c r="HZ283" s="214" t="s">
        <v>530</v>
      </c>
      <c r="IB283" s="22" t="s">
        <v>18700</v>
      </c>
      <c r="IC283" s="22" t="s">
        <v>468</v>
      </c>
      <c r="ID283" s="22" t="s">
        <v>70</v>
      </c>
      <c r="IE283" s="214" t="s">
        <v>530</v>
      </c>
      <c r="IG283" s="22" t="s">
        <v>18701</v>
      </c>
      <c r="IH283" s="22" t="s">
        <v>52</v>
      </c>
      <c r="II283" s="22" t="s">
        <v>70</v>
      </c>
      <c r="IJ283" s="214" t="s">
        <v>530</v>
      </c>
      <c r="IL283" s="22" t="s">
        <v>18702</v>
      </c>
      <c r="IM283" s="22" t="s">
        <v>145</v>
      </c>
      <c r="IN283" s="22" t="s">
        <v>70</v>
      </c>
      <c r="IO283" s="214" t="s">
        <v>530</v>
      </c>
      <c r="IQ283" s="236" t="s">
        <v>18703</v>
      </c>
      <c r="IR283" s="236" t="s">
        <v>145</v>
      </c>
      <c r="IS283" s="236" t="s">
        <v>74</v>
      </c>
      <c r="IT283" s="236" t="s">
        <v>841</v>
      </c>
      <c r="IV283" s="236" t="s">
        <v>18704</v>
      </c>
      <c r="IW283" s="236" t="s">
        <v>145</v>
      </c>
      <c r="IX283" s="236" t="s">
        <v>74</v>
      </c>
      <c r="IY283" s="236" t="s">
        <v>841</v>
      </c>
      <c r="JA283" s="236" t="s">
        <v>18705</v>
      </c>
      <c r="JB283" s="236" t="s">
        <v>145</v>
      </c>
      <c r="JC283" s="236" t="s">
        <v>74</v>
      </c>
      <c r="JD283" s="236" t="s">
        <v>841</v>
      </c>
      <c r="JF283" s="236" t="s">
        <v>18706</v>
      </c>
      <c r="JG283" s="236" t="s">
        <v>145</v>
      </c>
      <c r="JH283" s="236" t="s">
        <v>74</v>
      </c>
      <c r="JI283" s="236" t="s">
        <v>841</v>
      </c>
      <c r="JK283" s="236" t="s">
        <v>18707</v>
      </c>
      <c r="JL283" s="236" t="s">
        <v>145</v>
      </c>
      <c r="JM283" s="236" t="s">
        <v>74</v>
      </c>
      <c r="JN283" s="236" t="s">
        <v>841</v>
      </c>
      <c r="JP283" s="236" t="s">
        <v>18708</v>
      </c>
      <c r="JQ283" s="236" t="s">
        <v>145</v>
      </c>
      <c r="JR283" s="236" t="s">
        <v>74</v>
      </c>
      <c r="JS283" s="236" t="s">
        <v>841</v>
      </c>
      <c r="JU283" s="294" t="s">
        <v>18709</v>
      </c>
      <c r="JV283" s="294" t="s">
        <v>52</v>
      </c>
      <c r="JW283" s="263" t="s">
        <v>70</v>
      </c>
      <c r="JX283" s="294" t="s">
        <v>1083</v>
      </c>
      <c r="JZ283" s="263" t="s">
        <v>18710</v>
      </c>
      <c r="KA283" s="263" t="s">
        <v>145</v>
      </c>
      <c r="KB283" s="263" t="s">
        <v>70</v>
      </c>
      <c r="KC283" s="263" t="s">
        <v>1083</v>
      </c>
      <c r="KE283" s="263" t="s">
        <v>18711</v>
      </c>
      <c r="KF283" s="263" t="s">
        <v>52</v>
      </c>
      <c r="KG283" s="263" t="s">
        <v>70</v>
      </c>
      <c r="KH283" s="263" t="s">
        <v>1083</v>
      </c>
      <c r="KJ283" s="263" t="s">
        <v>18712</v>
      </c>
      <c r="KK283" s="263" t="s">
        <v>52</v>
      </c>
      <c r="KL283" s="263" t="s">
        <v>74</v>
      </c>
      <c r="KM283" s="263" t="s">
        <v>34074</v>
      </c>
      <c r="KO283" s="214" t="s">
        <v>18713</v>
      </c>
      <c r="KP283" s="214" t="s">
        <v>145</v>
      </c>
      <c r="KQ283" s="214" t="s">
        <v>70</v>
      </c>
      <c r="KR283" s="214" t="s">
        <v>67</v>
      </c>
      <c r="KT283" s="22" t="s">
        <v>18714</v>
      </c>
      <c r="KU283" s="22" t="s">
        <v>145</v>
      </c>
      <c r="KV283" s="22" t="s">
        <v>70</v>
      </c>
      <c r="KW283" s="22" t="s">
        <v>67</v>
      </c>
      <c r="KY283" s="214" t="s">
        <v>18715</v>
      </c>
      <c r="KZ283" s="214" t="s">
        <v>52</v>
      </c>
      <c r="LA283" s="214" t="s">
        <v>74</v>
      </c>
      <c r="LB283" s="214" t="s">
        <v>67</v>
      </c>
      <c r="LD283" s="22" t="s">
        <v>18716</v>
      </c>
      <c r="LE283" s="22" t="s">
        <v>145</v>
      </c>
      <c r="LF283" s="22" t="s">
        <v>70</v>
      </c>
      <c r="LG283" s="22" t="s">
        <v>67</v>
      </c>
    </row>
    <row r="284" spans="1:319">
      <c r="A284" s="22" t="s">
        <v>18717</v>
      </c>
      <c r="B284" s="22" t="s">
        <v>145</v>
      </c>
      <c r="C284" s="22" t="s">
        <v>70</v>
      </c>
      <c r="D284" s="22" t="s">
        <v>67</v>
      </c>
      <c r="F284" s="99" t="s">
        <v>18718</v>
      </c>
      <c r="G284" s="22" t="s">
        <v>145</v>
      </c>
      <c r="H284" s="22" t="s">
        <v>70</v>
      </c>
      <c r="I284" s="22" t="s">
        <v>67</v>
      </c>
      <c r="K284" s="22" t="s">
        <v>18719</v>
      </c>
      <c r="L284" s="22" t="s">
        <v>145</v>
      </c>
      <c r="M284" s="22" t="s">
        <v>70</v>
      </c>
      <c r="N284" s="22" t="s">
        <v>67</v>
      </c>
      <c r="P284" s="22" t="s">
        <v>18720</v>
      </c>
      <c r="Q284" s="22" t="s">
        <v>145</v>
      </c>
      <c r="R284" s="22" t="s">
        <v>70</v>
      </c>
      <c r="S284" s="22" t="s">
        <v>67</v>
      </c>
      <c r="U284" s="293" t="s">
        <v>18721</v>
      </c>
      <c r="V284" s="293" t="s">
        <v>145</v>
      </c>
      <c r="W284" s="293" t="s">
        <v>74</v>
      </c>
      <c r="X284" s="293" t="s">
        <v>656</v>
      </c>
      <c r="Z284" s="293" t="s">
        <v>18722</v>
      </c>
      <c r="AA284" s="293" t="s">
        <v>145</v>
      </c>
      <c r="AB284" s="293" t="s">
        <v>74</v>
      </c>
      <c r="AC284" s="293" t="s">
        <v>656</v>
      </c>
      <c r="AE284" s="293" t="s">
        <v>18723</v>
      </c>
      <c r="AF284" s="293" t="s">
        <v>145</v>
      </c>
      <c r="AG284" s="293" t="s">
        <v>74</v>
      </c>
      <c r="AH284" s="293" t="s">
        <v>656</v>
      </c>
      <c r="AJ284" s="293" t="s">
        <v>18724</v>
      </c>
      <c r="AK284" s="293" t="s">
        <v>145</v>
      </c>
      <c r="AL284" s="293" t="s">
        <v>74</v>
      </c>
      <c r="AM284" s="293" t="s">
        <v>656</v>
      </c>
      <c r="AO284" s="22" t="s">
        <v>18725</v>
      </c>
      <c r="AP284" s="22" t="s">
        <v>145</v>
      </c>
      <c r="AQ284" s="22" t="s">
        <v>70</v>
      </c>
      <c r="AR284" s="22" t="s">
        <v>67</v>
      </c>
      <c r="AT284" s="22" t="s">
        <v>18726</v>
      </c>
      <c r="AU284" s="22" t="s">
        <v>145</v>
      </c>
      <c r="AV284" s="22" t="s">
        <v>70</v>
      </c>
      <c r="AW284" s="22" t="s">
        <v>67</v>
      </c>
      <c r="AY284" s="22" t="s">
        <v>18727</v>
      </c>
      <c r="AZ284" s="22" t="s">
        <v>145</v>
      </c>
      <c r="BA284" s="22" t="s">
        <v>70</v>
      </c>
      <c r="BB284" s="22" t="s">
        <v>67</v>
      </c>
      <c r="BD284" s="22" t="s">
        <v>18728</v>
      </c>
      <c r="BE284" s="22" t="s">
        <v>145</v>
      </c>
      <c r="BF284" s="22" t="s">
        <v>70</v>
      </c>
      <c r="BG284" s="22" t="s">
        <v>67</v>
      </c>
      <c r="BI284" s="22" t="s">
        <v>18729</v>
      </c>
      <c r="BJ284" s="22" t="s">
        <v>145</v>
      </c>
      <c r="BK284" s="22" t="s">
        <v>70</v>
      </c>
      <c r="BL284" s="22" t="s">
        <v>67</v>
      </c>
      <c r="BN284" s="22" t="s">
        <v>18730</v>
      </c>
      <c r="BO284" s="22" t="s">
        <v>145</v>
      </c>
      <c r="BP284" s="22" t="s">
        <v>70</v>
      </c>
      <c r="BQ284" s="22" t="s">
        <v>67</v>
      </c>
      <c r="BS284" s="22" t="s">
        <v>18731</v>
      </c>
      <c r="BT284" s="22" t="s">
        <v>145</v>
      </c>
      <c r="BU284" s="22" t="s">
        <v>70</v>
      </c>
      <c r="BV284" s="214" t="s">
        <v>530</v>
      </c>
      <c r="BX284" s="22" t="s">
        <v>18732</v>
      </c>
      <c r="BY284" s="22" t="s">
        <v>145</v>
      </c>
      <c r="BZ284" s="22" t="s">
        <v>70</v>
      </c>
      <c r="CA284" s="214" t="s">
        <v>530</v>
      </c>
      <c r="CC284" s="214" t="s">
        <v>18733</v>
      </c>
      <c r="CD284" s="218" t="s">
        <v>145</v>
      </c>
      <c r="CE284" s="214" t="s">
        <v>70</v>
      </c>
      <c r="CF284" s="214" t="s">
        <v>737</v>
      </c>
      <c r="CH284" s="214" t="s">
        <v>18734</v>
      </c>
      <c r="CI284" s="214" t="s">
        <v>148</v>
      </c>
      <c r="CJ284" s="214" t="s">
        <v>70</v>
      </c>
      <c r="CK284" s="214" t="s">
        <v>530</v>
      </c>
      <c r="CM284" s="214" t="s">
        <v>18735</v>
      </c>
      <c r="CN284" s="214" t="s">
        <v>34545</v>
      </c>
      <c r="CO284" s="214" t="s">
        <v>70</v>
      </c>
      <c r="CP284" s="214" t="s">
        <v>530</v>
      </c>
      <c r="CR284" s="214" t="s">
        <v>18736</v>
      </c>
      <c r="CS284" s="214" t="s">
        <v>518</v>
      </c>
      <c r="CT284" s="214" t="s">
        <v>70</v>
      </c>
      <c r="CU284" s="214" t="s">
        <v>530</v>
      </c>
      <c r="CW284" s="214" t="s">
        <v>18737</v>
      </c>
      <c r="CX284" s="214" t="s">
        <v>34540</v>
      </c>
      <c r="CY284" s="214" t="s">
        <v>70</v>
      </c>
      <c r="CZ284" s="214" t="s">
        <v>530</v>
      </c>
      <c r="DB284" s="214" t="s">
        <v>18738</v>
      </c>
      <c r="DC284" s="214" t="s">
        <v>485</v>
      </c>
      <c r="DD284" s="214" t="s">
        <v>70</v>
      </c>
      <c r="DE284" s="214" t="s">
        <v>530</v>
      </c>
      <c r="DG284" s="214" t="s">
        <v>18739</v>
      </c>
      <c r="DH284" s="214" t="s">
        <v>163</v>
      </c>
      <c r="DI284" s="214" t="s">
        <v>70</v>
      </c>
      <c r="DJ284" s="214" t="s">
        <v>530</v>
      </c>
      <c r="DL284" s="214" t="s">
        <v>18740</v>
      </c>
      <c r="DM284" s="214" t="s">
        <v>642</v>
      </c>
      <c r="DN284" s="214" t="s">
        <v>70</v>
      </c>
      <c r="DO284" s="214" t="s">
        <v>530</v>
      </c>
      <c r="DQ284" s="214" t="s">
        <v>18741</v>
      </c>
      <c r="DR284" s="214" t="s">
        <v>103</v>
      </c>
      <c r="DS284" s="214" t="s">
        <v>70</v>
      </c>
      <c r="DT284" s="214" t="s">
        <v>530</v>
      </c>
      <c r="DV284" s="214" t="s">
        <v>18742</v>
      </c>
      <c r="DW284" s="214" t="s">
        <v>206</v>
      </c>
      <c r="DX284" s="214" t="s">
        <v>70</v>
      </c>
      <c r="DY284" s="214" t="s">
        <v>530</v>
      </c>
      <c r="EA284" s="214" t="s">
        <v>18743</v>
      </c>
      <c r="EB284" s="214" t="s">
        <v>34540</v>
      </c>
      <c r="EC284" s="214" t="s">
        <v>70</v>
      </c>
      <c r="ED284" s="214" t="s">
        <v>530</v>
      </c>
      <c r="EF284" s="214" t="s">
        <v>18744</v>
      </c>
      <c r="EG284" s="214" t="s">
        <v>529</v>
      </c>
      <c r="EH284" s="214" t="s">
        <v>70</v>
      </c>
      <c r="EI284" s="214" t="s">
        <v>530</v>
      </c>
      <c r="EK284" s="214" t="s">
        <v>18745</v>
      </c>
      <c r="EL284" s="214" t="s">
        <v>92</v>
      </c>
      <c r="EM284" s="214" t="s">
        <v>70</v>
      </c>
      <c r="EN284" s="214" t="s">
        <v>530</v>
      </c>
      <c r="EP284" s="214" t="s">
        <v>18746</v>
      </c>
      <c r="EQ284" s="214" t="s">
        <v>90</v>
      </c>
      <c r="ER284" s="214" t="s">
        <v>70</v>
      </c>
      <c r="ES284" s="214" t="s">
        <v>530</v>
      </c>
      <c r="EU284" s="214" t="s">
        <v>18747</v>
      </c>
      <c r="EV284" s="214" t="s">
        <v>52</v>
      </c>
      <c r="EW284" s="214" t="s">
        <v>70</v>
      </c>
      <c r="EX284" s="214" t="s">
        <v>530</v>
      </c>
      <c r="EZ284" s="214" t="s">
        <v>18748</v>
      </c>
      <c r="FA284" s="214" t="s">
        <v>90</v>
      </c>
      <c r="FB284" s="214" t="s">
        <v>70</v>
      </c>
      <c r="FC284" s="214" t="s">
        <v>530</v>
      </c>
      <c r="FE284" s="214" t="s">
        <v>18749</v>
      </c>
      <c r="FF284" s="214" t="s">
        <v>163</v>
      </c>
      <c r="FG284" s="214" t="s">
        <v>70</v>
      </c>
      <c r="FH284" s="214" t="s">
        <v>530</v>
      </c>
      <c r="FJ284" s="321" t="s">
        <v>18750</v>
      </c>
      <c r="FK284" s="214" t="s">
        <v>164</v>
      </c>
      <c r="FL284" s="214" t="s">
        <v>70</v>
      </c>
      <c r="FM284" s="214" t="s">
        <v>530</v>
      </c>
      <c r="FO284" s="321" t="s">
        <v>18751</v>
      </c>
      <c r="FP284" s="214" t="s">
        <v>922</v>
      </c>
      <c r="FQ284" s="214" t="s">
        <v>70</v>
      </c>
      <c r="FR284" s="214" t="s">
        <v>530</v>
      </c>
      <c r="FT284" s="321" t="s">
        <v>18752</v>
      </c>
      <c r="FU284" s="214" t="s">
        <v>145</v>
      </c>
      <c r="FV284" s="214" t="s">
        <v>70</v>
      </c>
      <c r="FW284" s="214" t="s">
        <v>530</v>
      </c>
      <c r="FY284" s="321" t="s">
        <v>18753</v>
      </c>
      <c r="FZ284" s="214" t="s">
        <v>52</v>
      </c>
      <c r="GA284" s="214" t="s">
        <v>70</v>
      </c>
      <c r="GB284" s="214" t="s">
        <v>530</v>
      </c>
      <c r="GD284" s="321" t="s">
        <v>18754</v>
      </c>
      <c r="GE284" s="214" t="s">
        <v>145</v>
      </c>
      <c r="GF284" s="214" t="s">
        <v>70</v>
      </c>
      <c r="GG284" s="214" t="s">
        <v>530</v>
      </c>
      <c r="GI284" s="321" t="s">
        <v>18755</v>
      </c>
      <c r="GJ284" s="214" t="s">
        <v>148</v>
      </c>
      <c r="GK284" s="214" t="s">
        <v>70</v>
      </c>
      <c r="GL284" s="214" t="s">
        <v>530</v>
      </c>
      <c r="GN284" s="321" t="s">
        <v>18756</v>
      </c>
      <c r="GO284" s="214" t="s">
        <v>52</v>
      </c>
      <c r="GP284" s="214" t="s">
        <v>70</v>
      </c>
      <c r="GQ284" s="214" t="s">
        <v>530</v>
      </c>
      <c r="GS284" s="321" t="s">
        <v>18757</v>
      </c>
      <c r="GT284" s="214" t="s">
        <v>145</v>
      </c>
      <c r="GU284" s="214" t="s">
        <v>70</v>
      </c>
      <c r="GV284" s="214" t="s">
        <v>530</v>
      </c>
      <c r="GX284" s="214" t="s">
        <v>18758</v>
      </c>
      <c r="GY284" s="214" t="s">
        <v>34556</v>
      </c>
      <c r="GZ284" s="214" t="s">
        <v>70</v>
      </c>
      <c r="HA284" s="214" t="s">
        <v>530</v>
      </c>
      <c r="HC284" s="214" t="s">
        <v>18759</v>
      </c>
      <c r="HD284" s="214" t="s">
        <v>305</v>
      </c>
      <c r="HE284" s="214" t="s">
        <v>70</v>
      </c>
      <c r="HF284" s="214" t="s">
        <v>530</v>
      </c>
      <c r="HH284" s="214" t="s">
        <v>18760</v>
      </c>
      <c r="HI284" s="214" t="s">
        <v>90</v>
      </c>
      <c r="HJ284" s="214" t="s">
        <v>70</v>
      </c>
      <c r="HK284" s="214" t="s">
        <v>530</v>
      </c>
      <c r="HM284" s="214" t="s">
        <v>18761</v>
      </c>
      <c r="HN284" s="214" t="s">
        <v>34579</v>
      </c>
      <c r="HO284" s="214" t="s">
        <v>70</v>
      </c>
      <c r="HP284" s="214" t="s">
        <v>530</v>
      </c>
      <c r="HR284" s="22" t="s">
        <v>18762</v>
      </c>
      <c r="HS284" s="22" t="s">
        <v>148</v>
      </c>
      <c r="HT284" s="22" t="s">
        <v>70</v>
      </c>
      <c r="HU284" s="214" t="s">
        <v>530</v>
      </c>
      <c r="HW284" s="22" t="s">
        <v>18763</v>
      </c>
      <c r="HX284" s="22" t="s">
        <v>52</v>
      </c>
      <c r="HY284" s="22" t="s">
        <v>70</v>
      </c>
      <c r="HZ284" s="214" t="s">
        <v>530</v>
      </c>
      <c r="IB284" s="22" t="s">
        <v>18764</v>
      </c>
      <c r="IC284" s="22" t="s">
        <v>34556</v>
      </c>
      <c r="ID284" s="22" t="s">
        <v>70</v>
      </c>
      <c r="IE284" s="214" t="s">
        <v>530</v>
      </c>
      <c r="IG284" s="22" t="s">
        <v>18765</v>
      </c>
      <c r="IH284" s="22" t="s">
        <v>52</v>
      </c>
      <c r="II284" s="22" t="s">
        <v>70</v>
      </c>
      <c r="IJ284" s="214" t="s">
        <v>530</v>
      </c>
      <c r="IL284" s="22" t="s">
        <v>18766</v>
      </c>
      <c r="IM284" s="22" t="s">
        <v>145</v>
      </c>
      <c r="IN284" s="22" t="s">
        <v>70</v>
      </c>
      <c r="IO284" s="214" t="s">
        <v>530</v>
      </c>
      <c r="IQ284" s="236" t="s">
        <v>18767</v>
      </c>
      <c r="IR284" s="236" t="s">
        <v>145</v>
      </c>
      <c r="IS284" s="236" t="s">
        <v>74</v>
      </c>
      <c r="IT284" s="236" t="s">
        <v>841</v>
      </c>
      <c r="IV284" s="236" t="s">
        <v>18768</v>
      </c>
      <c r="IW284" s="236" t="s">
        <v>145</v>
      </c>
      <c r="IX284" s="236" t="s">
        <v>74</v>
      </c>
      <c r="IY284" s="236" t="s">
        <v>841</v>
      </c>
      <c r="JA284" s="236" t="s">
        <v>18769</v>
      </c>
      <c r="JB284" s="236" t="s">
        <v>145</v>
      </c>
      <c r="JC284" s="236" t="s">
        <v>74</v>
      </c>
      <c r="JD284" s="236" t="s">
        <v>841</v>
      </c>
      <c r="JF284" s="236" t="s">
        <v>18770</v>
      </c>
      <c r="JG284" s="236" t="s">
        <v>145</v>
      </c>
      <c r="JH284" s="236" t="s">
        <v>74</v>
      </c>
      <c r="JI284" s="236" t="s">
        <v>841</v>
      </c>
      <c r="JK284" s="236" t="s">
        <v>18771</v>
      </c>
      <c r="JL284" s="236" t="s">
        <v>145</v>
      </c>
      <c r="JM284" s="236" t="s">
        <v>74</v>
      </c>
      <c r="JN284" s="236" t="s">
        <v>841</v>
      </c>
      <c r="JP284" s="236" t="s">
        <v>18772</v>
      </c>
      <c r="JQ284" s="236" t="s">
        <v>145</v>
      </c>
      <c r="JR284" s="236" t="s">
        <v>74</v>
      </c>
      <c r="JS284" s="236" t="s">
        <v>841</v>
      </c>
      <c r="JU284" s="294" t="s">
        <v>18773</v>
      </c>
      <c r="JV284" s="294" t="s">
        <v>52</v>
      </c>
      <c r="JW284" s="263" t="s">
        <v>70</v>
      </c>
      <c r="JX284" s="294" t="s">
        <v>1083</v>
      </c>
      <c r="JZ284" s="263" t="s">
        <v>18774</v>
      </c>
      <c r="KA284" s="263" t="s">
        <v>145</v>
      </c>
      <c r="KB284" s="263" t="s">
        <v>70</v>
      </c>
      <c r="KC284" s="263" t="s">
        <v>1083</v>
      </c>
      <c r="KE284" s="263" t="s">
        <v>18775</v>
      </c>
      <c r="KF284" s="263" t="s">
        <v>52</v>
      </c>
      <c r="KG284" s="263" t="s">
        <v>70</v>
      </c>
      <c r="KH284" s="263" t="s">
        <v>1083</v>
      </c>
      <c r="KJ284" s="263" t="s">
        <v>18776</v>
      </c>
      <c r="KK284" s="263" t="s">
        <v>52</v>
      </c>
      <c r="KL284" s="263" t="s">
        <v>74</v>
      </c>
      <c r="KM284" s="263" t="s">
        <v>34074</v>
      </c>
      <c r="KO284" s="214" t="s">
        <v>18777</v>
      </c>
      <c r="KP284" s="214" t="s">
        <v>145</v>
      </c>
      <c r="KQ284" s="214" t="s">
        <v>70</v>
      </c>
      <c r="KR284" s="214" t="s">
        <v>67</v>
      </c>
      <c r="KT284" s="22" t="s">
        <v>18778</v>
      </c>
      <c r="KU284" s="22" t="s">
        <v>145</v>
      </c>
      <c r="KV284" s="22" t="s">
        <v>70</v>
      </c>
      <c r="KW284" s="22" t="s">
        <v>67</v>
      </c>
      <c r="KY284" s="214" t="s">
        <v>18779</v>
      </c>
      <c r="KZ284" s="214" t="s">
        <v>52</v>
      </c>
      <c r="LA284" s="214" t="s">
        <v>74</v>
      </c>
      <c r="LB284" s="214" t="s">
        <v>67</v>
      </c>
      <c r="LD284" s="22" t="s">
        <v>18780</v>
      </c>
      <c r="LE284" s="22" t="s">
        <v>145</v>
      </c>
      <c r="LF284" s="22" t="s">
        <v>70</v>
      </c>
      <c r="LG284" s="22" t="s">
        <v>67</v>
      </c>
    </row>
    <row r="285" spans="1:319">
      <c r="A285" s="22" t="s">
        <v>18781</v>
      </c>
      <c r="B285" s="22" t="s">
        <v>145</v>
      </c>
      <c r="C285" s="22" t="s">
        <v>70</v>
      </c>
      <c r="D285" s="22" t="s">
        <v>67</v>
      </c>
      <c r="F285" s="99" t="s">
        <v>18782</v>
      </c>
      <c r="G285" s="22" t="s">
        <v>145</v>
      </c>
      <c r="H285" s="22" t="s">
        <v>70</v>
      </c>
      <c r="I285" s="22" t="s">
        <v>67</v>
      </c>
      <c r="K285" s="22" t="s">
        <v>18783</v>
      </c>
      <c r="L285" s="22" t="s">
        <v>145</v>
      </c>
      <c r="M285" s="22" t="s">
        <v>70</v>
      </c>
      <c r="N285" s="22" t="s">
        <v>67</v>
      </c>
      <c r="P285" s="22" t="s">
        <v>18784</v>
      </c>
      <c r="Q285" s="22" t="s">
        <v>145</v>
      </c>
      <c r="R285" s="22" t="s">
        <v>70</v>
      </c>
      <c r="S285" s="22" t="s">
        <v>67</v>
      </c>
      <c r="U285" s="293" t="s">
        <v>18785</v>
      </c>
      <c r="V285" s="293" t="s">
        <v>145</v>
      </c>
      <c r="W285" s="293" t="s">
        <v>74</v>
      </c>
      <c r="X285" s="293" t="s">
        <v>656</v>
      </c>
      <c r="Z285" s="293" t="s">
        <v>18786</v>
      </c>
      <c r="AA285" s="293" t="s">
        <v>145</v>
      </c>
      <c r="AB285" s="293" t="s">
        <v>74</v>
      </c>
      <c r="AC285" s="293" t="s">
        <v>656</v>
      </c>
      <c r="AE285" s="293" t="s">
        <v>18787</v>
      </c>
      <c r="AF285" s="293" t="s">
        <v>145</v>
      </c>
      <c r="AG285" s="293" t="s">
        <v>74</v>
      </c>
      <c r="AH285" s="293" t="s">
        <v>656</v>
      </c>
      <c r="AJ285" s="293" t="s">
        <v>18788</v>
      </c>
      <c r="AK285" s="293" t="s">
        <v>145</v>
      </c>
      <c r="AL285" s="293" t="s">
        <v>74</v>
      </c>
      <c r="AM285" s="293" t="s">
        <v>656</v>
      </c>
      <c r="AO285" s="22" t="s">
        <v>18789</v>
      </c>
      <c r="AP285" s="22" t="s">
        <v>145</v>
      </c>
      <c r="AQ285" s="22" t="s">
        <v>70</v>
      </c>
      <c r="AR285" s="22" t="s">
        <v>67</v>
      </c>
      <c r="AT285" s="22" t="s">
        <v>18790</v>
      </c>
      <c r="AU285" s="22" t="s">
        <v>145</v>
      </c>
      <c r="AV285" s="22" t="s">
        <v>70</v>
      </c>
      <c r="AW285" s="22" t="s">
        <v>67</v>
      </c>
      <c r="AY285" s="22" t="s">
        <v>18791</v>
      </c>
      <c r="AZ285" s="22" t="s">
        <v>145</v>
      </c>
      <c r="BA285" s="22" t="s">
        <v>70</v>
      </c>
      <c r="BB285" s="22" t="s">
        <v>67</v>
      </c>
      <c r="BD285" s="22" t="s">
        <v>18792</v>
      </c>
      <c r="BE285" s="22" t="s">
        <v>145</v>
      </c>
      <c r="BF285" s="22" t="s">
        <v>70</v>
      </c>
      <c r="BG285" s="22" t="s">
        <v>67</v>
      </c>
      <c r="BI285" s="22" t="s">
        <v>18793</v>
      </c>
      <c r="BJ285" s="22" t="s">
        <v>145</v>
      </c>
      <c r="BK285" s="22" t="s">
        <v>70</v>
      </c>
      <c r="BL285" s="22" t="s">
        <v>67</v>
      </c>
      <c r="BN285" s="22" t="s">
        <v>18794</v>
      </c>
      <c r="BO285" s="22" t="s">
        <v>145</v>
      </c>
      <c r="BP285" s="22" t="s">
        <v>70</v>
      </c>
      <c r="BQ285" s="22" t="s">
        <v>67</v>
      </c>
      <c r="BS285" s="22" t="s">
        <v>18795</v>
      </c>
      <c r="BT285" s="22" t="s">
        <v>145</v>
      </c>
      <c r="BU285" s="22" t="s">
        <v>70</v>
      </c>
      <c r="BV285" s="214" t="s">
        <v>530</v>
      </c>
      <c r="BX285" s="22" t="s">
        <v>18796</v>
      </c>
      <c r="BY285" s="22" t="s">
        <v>145</v>
      </c>
      <c r="BZ285" s="22" t="s">
        <v>70</v>
      </c>
      <c r="CA285" s="214" t="s">
        <v>530</v>
      </c>
      <c r="CC285" s="214" t="s">
        <v>18797</v>
      </c>
      <c r="CD285" s="218" t="s">
        <v>145</v>
      </c>
      <c r="CE285" s="214" t="s">
        <v>70</v>
      </c>
      <c r="CF285" s="214" t="s">
        <v>738</v>
      </c>
      <c r="CH285" s="214" t="s">
        <v>18798</v>
      </c>
      <c r="CI285" s="214" t="s">
        <v>603</v>
      </c>
      <c r="CJ285" s="214" t="s">
        <v>70</v>
      </c>
      <c r="CK285" s="214" t="s">
        <v>530</v>
      </c>
      <c r="CM285" s="214" t="s">
        <v>18799</v>
      </c>
      <c r="CN285" s="214" t="s">
        <v>34551</v>
      </c>
      <c r="CO285" s="214" t="s">
        <v>70</v>
      </c>
      <c r="CP285" s="214" t="s">
        <v>530</v>
      </c>
      <c r="CR285" s="214" t="s">
        <v>18800</v>
      </c>
      <c r="CS285" s="214" t="s">
        <v>518</v>
      </c>
      <c r="CT285" s="214" t="s">
        <v>70</v>
      </c>
      <c r="CU285" s="214" t="s">
        <v>530</v>
      </c>
      <c r="CW285" s="214" t="s">
        <v>18801</v>
      </c>
      <c r="CX285" s="214" t="s">
        <v>146</v>
      </c>
      <c r="CY285" s="214" t="s">
        <v>70</v>
      </c>
      <c r="CZ285" s="214" t="s">
        <v>530</v>
      </c>
      <c r="DB285" s="214" t="s">
        <v>18802</v>
      </c>
      <c r="DC285" s="214" t="s">
        <v>146</v>
      </c>
      <c r="DD285" s="214" t="s">
        <v>70</v>
      </c>
      <c r="DE285" s="214" t="s">
        <v>530</v>
      </c>
      <c r="DG285" s="214" t="s">
        <v>18803</v>
      </c>
      <c r="DH285" s="214" t="s">
        <v>34544</v>
      </c>
      <c r="DI285" s="214" t="s">
        <v>70</v>
      </c>
      <c r="DJ285" s="214" t="s">
        <v>530</v>
      </c>
      <c r="DL285" s="214" t="s">
        <v>18804</v>
      </c>
      <c r="DM285" s="214" t="s">
        <v>34547</v>
      </c>
      <c r="DN285" s="214" t="s">
        <v>70</v>
      </c>
      <c r="DO285" s="214" t="s">
        <v>530</v>
      </c>
      <c r="DQ285" s="214" t="s">
        <v>18805</v>
      </c>
      <c r="DR285" s="214" t="s">
        <v>103</v>
      </c>
      <c r="DS285" s="214" t="s">
        <v>70</v>
      </c>
      <c r="DT285" s="214" t="s">
        <v>530</v>
      </c>
      <c r="DV285" s="214" t="s">
        <v>18806</v>
      </c>
      <c r="DW285" s="214" t="s">
        <v>488</v>
      </c>
      <c r="DX285" s="214" t="s">
        <v>70</v>
      </c>
      <c r="DY285" s="214" t="s">
        <v>530</v>
      </c>
      <c r="EA285" s="214" t="s">
        <v>18807</v>
      </c>
      <c r="EB285" s="214" t="s">
        <v>34544</v>
      </c>
      <c r="EC285" s="214" t="s">
        <v>70</v>
      </c>
      <c r="ED285" s="214" t="s">
        <v>530</v>
      </c>
      <c r="EF285" s="214" t="s">
        <v>18808</v>
      </c>
      <c r="EG285" s="214" t="s">
        <v>484</v>
      </c>
      <c r="EH285" s="214" t="s">
        <v>70</v>
      </c>
      <c r="EI285" s="214" t="s">
        <v>530</v>
      </c>
      <c r="EK285" s="214" t="s">
        <v>18809</v>
      </c>
      <c r="EL285" s="214" t="s">
        <v>52</v>
      </c>
      <c r="EM285" s="214" t="s">
        <v>70</v>
      </c>
      <c r="EN285" s="214" t="s">
        <v>530</v>
      </c>
      <c r="EP285" s="214" t="s">
        <v>18810</v>
      </c>
      <c r="EQ285" s="214" t="s">
        <v>487</v>
      </c>
      <c r="ER285" s="214" t="s">
        <v>70</v>
      </c>
      <c r="ES285" s="214" t="s">
        <v>530</v>
      </c>
      <c r="EU285" s="214" t="s">
        <v>18811</v>
      </c>
      <c r="EV285" s="214" t="s">
        <v>915</v>
      </c>
      <c r="EW285" s="214" t="s">
        <v>70</v>
      </c>
      <c r="EX285" s="214" t="s">
        <v>530</v>
      </c>
      <c r="EZ285" s="214" t="s">
        <v>18812</v>
      </c>
      <c r="FA285" s="214" t="s">
        <v>93</v>
      </c>
      <c r="FB285" s="214" t="s">
        <v>70</v>
      </c>
      <c r="FC285" s="214" t="s">
        <v>530</v>
      </c>
      <c r="FE285" s="214" t="s">
        <v>18813</v>
      </c>
      <c r="FF285" s="214" t="s">
        <v>502</v>
      </c>
      <c r="FG285" s="214" t="s">
        <v>70</v>
      </c>
      <c r="FH285" s="214" t="s">
        <v>530</v>
      </c>
      <c r="FJ285" s="321" t="s">
        <v>18814</v>
      </c>
      <c r="FK285" s="214" t="s">
        <v>34580</v>
      </c>
      <c r="FL285" s="214" t="s">
        <v>70</v>
      </c>
      <c r="FM285" s="214" t="s">
        <v>530</v>
      </c>
      <c r="FO285" s="321" t="s">
        <v>18815</v>
      </c>
      <c r="FP285" s="214" t="s">
        <v>145</v>
      </c>
      <c r="FQ285" s="214" t="s">
        <v>70</v>
      </c>
      <c r="FR285" s="214" t="s">
        <v>530</v>
      </c>
      <c r="FT285" s="321" t="s">
        <v>18816</v>
      </c>
      <c r="FU285" s="214" t="s">
        <v>34541</v>
      </c>
      <c r="FV285" s="214" t="s">
        <v>70</v>
      </c>
      <c r="FW285" s="214" t="s">
        <v>530</v>
      </c>
      <c r="FY285" s="321" t="s">
        <v>18817</v>
      </c>
      <c r="FZ285" s="214" t="s">
        <v>34593</v>
      </c>
      <c r="GA285" s="214" t="s">
        <v>70</v>
      </c>
      <c r="GB285" s="214" t="s">
        <v>530</v>
      </c>
      <c r="GD285" s="321" t="s">
        <v>18818</v>
      </c>
      <c r="GE285" s="214" t="s">
        <v>34541</v>
      </c>
      <c r="GF285" s="214" t="s">
        <v>70</v>
      </c>
      <c r="GG285" s="214" t="s">
        <v>530</v>
      </c>
      <c r="GI285" s="321" t="s">
        <v>18819</v>
      </c>
      <c r="GJ285" s="214" t="s">
        <v>485</v>
      </c>
      <c r="GK285" s="214" t="s">
        <v>70</v>
      </c>
      <c r="GL285" s="214" t="s">
        <v>530</v>
      </c>
      <c r="GN285" s="321" t="s">
        <v>18820</v>
      </c>
      <c r="GO285" s="214" t="s">
        <v>52</v>
      </c>
      <c r="GP285" s="214" t="s">
        <v>70</v>
      </c>
      <c r="GQ285" s="214" t="s">
        <v>530</v>
      </c>
      <c r="GS285" s="321" t="s">
        <v>18821</v>
      </c>
      <c r="GT285" s="214" t="s">
        <v>34541</v>
      </c>
      <c r="GU285" s="214" t="s">
        <v>70</v>
      </c>
      <c r="GV285" s="214" t="s">
        <v>530</v>
      </c>
      <c r="GX285" s="214" t="s">
        <v>18822</v>
      </c>
      <c r="GY285" s="214" t="s">
        <v>34541</v>
      </c>
      <c r="GZ285" s="214" t="s">
        <v>70</v>
      </c>
      <c r="HA285" s="214" t="s">
        <v>530</v>
      </c>
      <c r="HC285" s="214" t="s">
        <v>18823</v>
      </c>
      <c r="HD285" s="214" t="s">
        <v>484</v>
      </c>
      <c r="HE285" s="214" t="s">
        <v>70</v>
      </c>
      <c r="HF285" s="214" t="s">
        <v>530</v>
      </c>
      <c r="HH285" s="214" t="s">
        <v>18824</v>
      </c>
      <c r="HI285" s="214" t="s">
        <v>89</v>
      </c>
      <c r="HJ285" s="214" t="s">
        <v>70</v>
      </c>
      <c r="HK285" s="214" t="s">
        <v>530</v>
      </c>
      <c r="HM285" s="214" t="s">
        <v>18825</v>
      </c>
      <c r="HN285" s="214" t="s">
        <v>145</v>
      </c>
      <c r="HO285" s="214" t="s">
        <v>70</v>
      </c>
      <c r="HP285" s="214" t="s">
        <v>530</v>
      </c>
      <c r="HR285" s="22" t="s">
        <v>18826</v>
      </c>
      <c r="HS285" s="22" t="s">
        <v>34544</v>
      </c>
      <c r="HT285" s="22" t="s">
        <v>70</v>
      </c>
      <c r="HU285" s="214" t="s">
        <v>530</v>
      </c>
      <c r="HW285" s="22" t="s">
        <v>18827</v>
      </c>
      <c r="HX285" s="22" t="s">
        <v>206</v>
      </c>
      <c r="HY285" s="22" t="s">
        <v>70</v>
      </c>
      <c r="HZ285" s="214" t="s">
        <v>530</v>
      </c>
      <c r="IB285" s="22" t="s">
        <v>18828</v>
      </c>
      <c r="IC285" s="22" t="s">
        <v>34541</v>
      </c>
      <c r="ID285" s="22" t="s">
        <v>70</v>
      </c>
      <c r="IE285" s="214" t="s">
        <v>530</v>
      </c>
      <c r="IG285" s="22" t="s">
        <v>18829</v>
      </c>
      <c r="IH285" s="22" t="s">
        <v>52</v>
      </c>
      <c r="II285" s="22" t="s">
        <v>70</v>
      </c>
      <c r="IJ285" s="214" t="s">
        <v>530</v>
      </c>
      <c r="IL285" s="22" t="s">
        <v>18830</v>
      </c>
      <c r="IM285" s="22" t="s">
        <v>145</v>
      </c>
      <c r="IN285" s="22" t="s">
        <v>70</v>
      </c>
      <c r="IO285" s="214" t="s">
        <v>530</v>
      </c>
      <c r="IQ285" s="236" t="s">
        <v>18831</v>
      </c>
      <c r="IR285" s="236" t="s">
        <v>145</v>
      </c>
      <c r="IS285" s="236" t="s">
        <v>74</v>
      </c>
      <c r="IT285" s="236" t="s">
        <v>841</v>
      </c>
      <c r="IV285" s="236" t="s">
        <v>18832</v>
      </c>
      <c r="IW285" s="236" t="s">
        <v>145</v>
      </c>
      <c r="IX285" s="236" t="s">
        <v>74</v>
      </c>
      <c r="IY285" s="236" t="s">
        <v>841</v>
      </c>
      <c r="JA285" s="236" t="s">
        <v>18833</v>
      </c>
      <c r="JB285" s="236" t="s">
        <v>145</v>
      </c>
      <c r="JC285" s="236" t="s">
        <v>74</v>
      </c>
      <c r="JD285" s="236" t="s">
        <v>841</v>
      </c>
      <c r="JF285" s="236" t="s">
        <v>18834</v>
      </c>
      <c r="JG285" s="236" t="s">
        <v>145</v>
      </c>
      <c r="JH285" s="236" t="s">
        <v>74</v>
      </c>
      <c r="JI285" s="236" t="s">
        <v>841</v>
      </c>
      <c r="JK285" s="236" t="s">
        <v>18835</v>
      </c>
      <c r="JL285" s="236" t="s">
        <v>145</v>
      </c>
      <c r="JM285" s="236" t="s">
        <v>74</v>
      </c>
      <c r="JN285" s="236" t="s">
        <v>841</v>
      </c>
      <c r="JP285" s="236" t="s">
        <v>18836</v>
      </c>
      <c r="JQ285" s="236" t="s">
        <v>145</v>
      </c>
      <c r="JR285" s="236" t="s">
        <v>74</v>
      </c>
      <c r="JS285" s="236" t="s">
        <v>841</v>
      </c>
      <c r="JU285" s="294" t="s">
        <v>18837</v>
      </c>
      <c r="JV285" s="294" t="s">
        <v>52</v>
      </c>
      <c r="JW285" s="263" t="s">
        <v>70</v>
      </c>
      <c r="JX285" s="294" t="s">
        <v>1083</v>
      </c>
      <c r="JZ285" s="263" t="s">
        <v>18838</v>
      </c>
      <c r="KA285" s="263" t="s">
        <v>145</v>
      </c>
      <c r="KB285" s="263" t="s">
        <v>70</v>
      </c>
      <c r="KC285" s="263" t="s">
        <v>1083</v>
      </c>
      <c r="KE285" s="263" t="s">
        <v>18839</v>
      </c>
      <c r="KF285" s="263" t="s">
        <v>52</v>
      </c>
      <c r="KG285" s="263" t="s">
        <v>70</v>
      </c>
      <c r="KH285" s="263" t="s">
        <v>1083</v>
      </c>
      <c r="KJ285" s="263" t="s">
        <v>18840</v>
      </c>
      <c r="KK285" s="263" t="s">
        <v>52</v>
      </c>
      <c r="KL285" s="263" t="s">
        <v>74</v>
      </c>
      <c r="KM285" s="263" t="s">
        <v>34074</v>
      </c>
      <c r="KO285" s="214" t="s">
        <v>18841</v>
      </c>
      <c r="KP285" s="214" t="s">
        <v>145</v>
      </c>
      <c r="KQ285" s="214" t="s">
        <v>70</v>
      </c>
      <c r="KR285" s="214" t="s">
        <v>67</v>
      </c>
      <c r="KT285" s="22" t="s">
        <v>18842</v>
      </c>
      <c r="KU285" s="22" t="s">
        <v>145</v>
      </c>
      <c r="KV285" s="22" t="s">
        <v>70</v>
      </c>
      <c r="KW285" s="22" t="s">
        <v>67</v>
      </c>
      <c r="KY285" s="214" t="s">
        <v>18843</v>
      </c>
      <c r="KZ285" s="214" t="s">
        <v>52</v>
      </c>
      <c r="LA285" s="214" t="s">
        <v>74</v>
      </c>
      <c r="LB285" s="214" t="s">
        <v>67</v>
      </c>
      <c r="LD285" s="22" t="s">
        <v>18844</v>
      </c>
      <c r="LE285" s="22" t="s">
        <v>145</v>
      </c>
      <c r="LF285" s="22" t="s">
        <v>70</v>
      </c>
      <c r="LG285" s="22" t="s">
        <v>67</v>
      </c>
    </row>
    <row r="286" spans="1:319">
      <c r="A286" s="22" t="s">
        <v>18845</v>
      </c>
      <c r="B286" s="22" t="s">
        <v>145</v>
      </c>
      <c r="C286" s="22" t="s">
        <v>70</v>
      </c>
      <c r="D286" s="22" t="s">
        <v>67</v>
      </c>
      <c r="F286" s="99" t="s">
        <v>18846</v>
      </c>
      <c r="G286" s="22" t="s">
        <v>145</v>
      </c>
      <c r="H286" s="22" t="s">
        <v>70</v>
      </c>
      <c r="I286" s="22" t="s">
        <v>67</v>
      </c>
      <c r="K286" s="22" t="s">
        <v>18847</v>
      </c>
      <c r="L286" s="22" t="s">
        <v>145</v>
      </c>
      <c r="M286" s="22" t="s">
        <v>70</v>
      </c>
      <c r="N286" s="22" t="s">
        <v>67</v>
      </c>
      <c r="P286" s="22" t="s">
        <v>18848</v>
      </c>
      <c r="Q286" s="22" t="s">
        <v>145</v>
      </c>
      <c r="R286" s="22" t="s">
        <v>70</v>
      </c>
      <c r="S286" s="22" t="s">
        <v>67</v>
      </c>
      <c r="U286" s="293" t="s">
        <v>18849</v>
      </c>
      <c r="V286" s="293" t="s">
        <v>145</v>
      </c>
      <c r="W286" s="293" t="s">
        <v>74</v>
      </c>
      <c r="X286" s="293" t="s">
        <v>656</v>
      </c>
      <c r="Z286" s="293" t="s">
        <v>18850</v>
      </c>
      <c r="AA286" s="293" t="s">
        <v>145</v>
      </c>
      <c r="AB286" s="293" t="s">
        <v>74</v>
      </c>
      <c r="AC286" s="293" t="s">
        <v>656</v>
      </c>
      <c r="AE286" s="293" t="s">
        <v>18851</v>
      </c>
      <c r="AF286" s="293" t="s">
        <v>145</v>
      </c>
      <c r="AG286" s="293" t="s">
        <v>74</v>
      </c>
      <c r="AH286" s="293" t="s">
        <v>656</v>
      </c>
      <c r="AJ286" s="293" t="s">
        <v>18852</v>
      </c>
      <c r="AK286" s="293" t="s">
        <v>145</v>
      </c>
      <c r="AL286" s="293" t="s">
        <v>74</v>
      </c>
      <c r="AM286" s="293" t="s">
        <v>656</v>
      </c>
      <c r="AO286" s="22" t="s">
        <v>18853</v>
      </c>
      <c r="AP286" s="22" t="s">
        <v>145</v>
      </c>
      <c r="AQ286" s="22" t="s">
        <v>70</v>
      </c>
      <c r="AR286" s="22" t="s">
        <v>67</v>
      </c>
      <c r="AT286" s="22" t="s">
        <v>18854</v>
      </c>
      <c r="AU286" s="22" t="s">
        <v>145</v>
      </c>
      <c r="AV286" s="22" t="s">
        <v>70</v>
      </c>
      <c r="AW286" s="22" t="s">
        <v>67</v>
      </c>
      <c r="AY286" s="22" t="s">
        <v>18855</v>
      </c>
      <c r="AZ286" s="22" t="s">
        <v>145</v>
      </c>
      <c r="BA286" s="22" t="s">
        <v>70</v>
      </c>
      <c r="BB286" s="22" t="s">
        <v>67</v>
      </c>
      <c r="BD286" s="22" t="s">
        <v>18856</v>
      </c>
      <c r="BE286" s="22" t="s">
        <v>145</v>
      </c>
      <c r="BF286" s="22" t="s">
        <v>70</v>
      </c>
      <c r="BG286" s="22" t="s">
        <v>67</v>
      </c>
      <c r="BI286" s="22" t="s">
        <v>18857</v>
      </c>
      <c r="BJ286" s="22" t="s">
        <v>145</v>
      </c>
      <c r="BK286" s="22" t="s">
        <v>70</v>
      </c>
      <c r="BL286" s="22" t="s">
        <v>67</v>
      </c>
      <c r="BN286" s="22" t="s">
        <v>18858</v>
      </c>
      <c r="BO286" s="22" t="s">
        <v>145</v>
      </c>
      <c r="BP286" s="22" t="s">
        <v>70</v>
      </c>
      <c r="BQ286" s="22" t="s">
        <v>67</v>
      </c>
      <c r="BS286" s="22" t="s">
        <v>18859</v>
      </c>
      <c r="BT286" s="22" t="s">
        <v>145</v>
      </c>
      <c r="BU286" s="22" t="s">
        <v>70</v>
      </c>
      <c r="BV286" s="214" t="s">
        <v>530</v>
      </c>
      <c r="BX286" s="22" t="s">
        <v>18860</v>
      </c>
      <c r="BY286" s="22" t="s">
        <v>145</v>
      </c>
      <c r="BZ286" s="22" t="s">
        <v>70</v>
      </c>
      <c r="CA286" s="214" t="s">
        <v>530</v>
      </c>
      <c r="CC286" s="214" t="s">
        <v>18861</v>
      </c>
      <c r="CD286" s="218" t="s">
        <v>145</v>
      </c>
      <c r="CE286" s="214" t="s">
        <v>70</v>
      </c>
      <c r="CF286" s="214" t="s">
        <v>739</v>
      </c>
      <c r="CH286" s="214" t="s">
        <v>18862</v>
      </c>
      <c r="CI286" s="214" t="s">
        <v>52</v>
      </c>
      <c r="CJ286" s="214" t="s">
        <v>70</v>
      </c>
      <c r="CK286" s="214" t="s">
        <v>530</v>
      </c>
      <c r="CM286" s="214" t="s">
        <v>18863</v>
      </c>
      <c r="CN286" s="214" t="s">
        <v>942</v>
      </c>
      <c r="CO286" s="214" t="s">
        <v>70</v>
      </c>
      <c r="CP286" s="214" t="s">
        <v>530</v>
      </c>
      <c r="CR286" s="214" t="s">
        <v>18864</v>
      </c>
      <c r="CS286" s="214" t="s">
        <v>52</v>
      </c>
      <c r="CT286" s="214" t="s">
        <v>70</v>
      </c>
      <c r="CU286" s="214" t="s">
        <v>530</v>
      </c>
      <c r="CW286" s="214" t="s">
        <v>18865</v>
      </c>
      <c r="CX286" s="214" t="s">
        <v>85</v>
      </c>
      <c r="CY286" s="214" t="s">
        <v>70</v>
      </c>
      <c r="CZ286" s="214" t="s">
        <v>530</v>
      </c>
      <c r="DB286" s="214" t="s">
        <v>18866</v>
      </c>
      <c r="DC286" s="214" t="s">
        <v>103</v>
      </c>
      <c r="DD286" s="214" t="s">
        <v>70</v>
      </c>
      <c r="DE286" s="214" t="s">
        <v>530</v>
      </c>
      <c r="DG286" s="214" t="s">
        <v>18867</v>
      </c>
      <c r="DH286" s="214" t="s">
        <v>52</v>
      </c>
      <c r="DI286" s="214" t="s">
        <v>70</v>
      </c>
      <c r="DJ286" s="214" t="s">
        <v>530</v>
      </c>
      <c r="DL286" s="214" t="s">
        <v>18868</v>
      </c>
      <c r="DM286" s="214" t="s">
        <v>34552</v>
      </c>
      <c r="DN286" s="214" t="s">
        <v>70</v>
      </c>
      <c r="DO286" s="214" t="s">
        <v>530</v>
      </c>
      <c r="DQ286" s="214" t="s">
        <v>18869</v>
      </c>
      <c r="DR286" s="214" t="s">
        <v>88</v>
      </c>
      <c r="DS286" s="214" t="s">
        <v>70</v>
      </c>
      <c r="DT286" s="214" t="s">
        <v>530</v>
      </c>
      <c r="DV286" s="214" t="s">
        <v>18870</v>
      </c>
      <c r="DW286" s="214" t="s">
        <v>52</v>
      </c>
      <c r="DX286" s="214" t="s">
        <v>70</v>
      </c>
      <c r="DY286" s="214" t="s">
        <v>530</v>
      </c>
      <c r="EA286" s="214" t="s">
        <v>18871</v>
      </c>
      <c r="EB286" s="214" t="s">
        <v>918</v>
      </c>
      <c r="EC286" s="214" t="s">
        <v>70</v>
      </c>
      <c r="ED286" s="214" t="s">
        <v>530</v>
      </c>
      <c r="EF286" s="214" t="s">
        <v>18872</v>
      </c>
      <c r="EG286" s="214" t="s">
        <v>949</v>
      </c>
      <c r="EH286" s="214" t="s">
        <v>70</v>
      </c>
      <c r="EI286" s="214" t="s">
        <v>530</v>
      </c>
      <c r="EK286" s="214" t="s">
        <v>18873</v>
      </c>
      <c r="EL286" s="214" t="s">
        <v>86</v>
      </c>
      <c r="EM286" s="214" t="s">
        <v>70</v>
      </c>
      <c r="EN286" s="214" t="s">
        <v>530</v>
      </c>
      <c r="EP286" s="214" t="s">
        <v>18874</v>
      </c>
      <c r="EQ286" s="214" t="s">
        <v>89</v>
      </c>
      <c r="ER286" s="214" t="s">
        <v>70</v>
      </c>
      <c r="ES286" s="214" t="s">
        <v>530</v>
      </c>
      <c r="EU286" s="214" t="s">
        <v>18875</v>
      </c>
      <c r="EV286" s="214" t="s">
        <v>497</v>
      </c>
      <c r="EW286" s="214" t="s">
        <v>70</v>
      </c>
      <c r="EX286" s="214" t="s">
        <v>530</v>
      </c>
      <c r="EZ286" s="214" t="s">
        <v>18876</v>
      </c>
      <c r="FA286" s="214" t="s">
        <v>905</v>
      </c>
      <c r="FB286" s="214" t="s">
        <v>70</v>
      </c>
      <c r="FC286" s="214" t="s">
        <v>530</v>
      </c>
      <c r="FE286" s="214" t="s">
        <v>18877</v>
      </c>
      <c r="FF286" s="214" t="s">
        <v>89</v>
      </c>
      <c r="FG286" s="214" t="s">
        <v>70</v>
      </c>
      <c r="FH286" s="214" t="s">
        <v>530</v>
      </c>
      <c r="FJ286" s="321" t="s">
        <v>18878</v>
      </c>
      <c r="FK286" s="214" t="s">
        <v>488</v>
      </c>
      <c r="FL286" s="214" t="s">
        <v>70</v>
      </c>
      <c r="FM286" s="214" t="s">
        <v>530</v>
      </c>
      <c r="FO286" s="321" t="s">
        <v>18879</v>
      </c>
      <c r="FP286" s="214" t="s">
        <v>52</v>
      </c>
      <c r="FQ286" s="214" t="s">
        <v>70</v>
      </c>
      <c r="FR286" s="214" t="s">
        <v>530</v>
      </c>
      <c r="FT286" s="321" t="s">
        <v>18880</v>
      </c>
      <c r="FU286" s="214" t="s">
        <v>34564</v>
      </c>
      <c r="FV286" s="214" t="s">
        <v>70</v>
      </c>
      <c r="FW286" s="214" t="s">
        <v>530</v>
      </c>
      <c r="FY286" s="321" t="s">
        <v>18881</v>
      </c>
      <c r="FZ286" s="214" t="s">
        <v>915</v>
      </c>
      <c r="GA286" s="214" t="s">
        <v>70</v>
      </c>
      <c r="GB286" s="214" t="s">
        <v>530</v>
      </c>
      <c r="GD286" s="321" t="s">
        <v>18882</v>
      </c>
      <c r="GE286" s="214" t="s">
        <v>919</v>
      </c>
      <c r="GF286" s="214" t="s">
        <v>70</v>
      </c>
      <c r="GG286" s="214" t="s">
        <v>530</v>
      </c>
      <c r="GI286" s="321" t="s">
        <v>18883</v>
      </c>
      <c r="GJ286" s="214" t="s">
        <v>164</v>
      </c>
      <c r="GK286" s="214" t="s">
        <v>70</v>
      </c>
      <c r="GL286" s="214" t="s">
        <v>530</v>
      </c>
      <c r="GN286" s="321" t="s">
        <v>18884</v>
      </c>
      <c r="GO286" s="214" t="s">
        <v>604</v>
      </c>
      <c r="GP286" s="214" t="s">
        <v>70</v>
      </c>
      <c r="GQ286" s="214" t="s">
        <v>530</v>
      </c>
      <c r="GS286" s="321" t="s">
        <v>18885</v>
      </c>
      <c r="GT286" s="214" t="s">
        <v>34645</v>
      </c>
      <c r="GU286" s="214" t="s">
        <v>70</v>
      </c>
      <c r="GV286" s="214" t="s">
        <v>530</v>
      </c>
      <c r="GX286" s="214" t="s">
        <v>18886</v>
      </c>
      <c r="GY286" s="214" t="s">
        <v>34593</v>
      </c>
      <c r="GZ286" s="214" t="s">
        <v>70</v>
      </c>
      <c r="HA286" s="214" t="s">
        <v>530</v>
      </c>
      <c r="HC286" s="214" t="s">
        <v>18887</v>
      </c>
      <c r="HD286" s="214" t="s">
        <v>653</v>
      </c>
      <c r="HE286" s="214" t="s">
        <v>70</v>
      </c>
      <c r="HF286" s="214" t="s">
        <v>530</v>
      </c>
      <c r="HH286" s="214" t="s">
        <v>18888</v>
      </c>
      <c r="HI286" s="214" t="s">
        <v>103</v>
      </c>
      <c r="HJ286" s="214" t="s">
        <v>70</v>
      </c>
      <c r="HK286" s="214" t="s">
        <v>530</v>
      </c>
      <c r="HM286" s="214" t="s">
        <v>18889</v>
      </c>
      <c r="HN286" s="214" t="s">
        <v>34622</v>
      </c>
      <c r="HO286" s="214" t="s">
        <v>70</v>
      </c>
      <c r="HP286" s="214" t="s">
        <v>530</v>
      </c>
      <c r="HR286" s="22" t="s">
        <v>18890</v>
      </c>
      <c r="HS286" s="22" t="s">
        <v>34650</v>
      </c>
      <c r="HT286" s="22" t="s">
        <v>70</v>
      </c>
      <c r="HU286" s="214" t="s">
        <v>530</v>
      </c>
      <c r="HW286" s="22" t="s">
        <v>18891</v>
      </c>
      <c r="HX286" s="22" t="s">
        <v>518</v>
      </c>
      <c r="HY286" s="22" t="s">
        <v>70</v>
      </c>
      <c r="HZ286" s="214" t="s">
        <v>530</v>
      </c>
      <c r="IB286" s="22" t="s">
        <v>18892</v>
      </c>
      <c r="IC286" s="22" t="s">
        <v>798</v>
      </c>
      <c r="ID286" s="22" t="s">
        <v>70</v>
      </c>
      <c r="IE286" s="214" t="s">
        <v>530</v>
      </c>
      <c r="IG286" s="22" t="s">
        <v>18893</v>
      </c>
      <c r="IH286" s="22" t="s">
        <v>52</v>
      </c>
      <c r="II286" s="22" t="s">
        <v>70</v>
      </c>
      <c r="IJ286" s="214" t="s">
        <v>530</v>
      </c>
      <c r="IL286" s="22" t="s">
        <v>18894</v>
      </c>
      <c r="IM286" s="22" t="s">
        <v>145</v>
      </c>
      <c r="IN286" s="22" t="s">
        <v>70</v>
      </c>
      <c r="IO286" s="214" t="s">
        <v>530</v>
      </c>
      <c r="IQ286" s="236" t="s">
        <v>18895</v>
      </c>
      <c r="IR286" s="236" t="s">
        <v>145</v>
      </c>
      <c r="IS286" s="236" t="s">
        <v>74</v>
      </c>
      <c r="IT286" s="236" t="s">
        <v>841</v>
      </c>
      <c r="IV286" s="236" t="s">
        <v>18896</v>
      </c>
      <c r="IW286" s="236" t="s">
        <v>145</v>
      </c>
      <c r="IX286" s="236" t="s">
        <v>74</v>
      </c>
      <c r="IY286" s="236" t="s">
        <v>841</v>
      </c>
      <c r="JA286" s="236" t="s">
        <v>18897</v>
      </c>
      <c r="JB286" s="236" t="s">
        <v>145</v>
      </c>
      <c r="JC286" s="236" t="s">
        <v>74</v>
      </c>
      <c r="JD286" s="236" t="s">
        <v>841</v>
      </c>
      <c r="JF286" s="236" t="s">
        <v>18898</v>
      </c>
      <c r="JG286" s="236" t="s">
        <v>145</v>
      </c>
      <c r="JH286" s="236" t="s">
        <v>74</v>
      </c>
      <c r="JI286" s="236" t="s">
        <v>841</v>
      </c>
      <c r="JK286" s="236" t="s">
        <v>18899</v>
      </c>
      <c r="JL286" s="236" t="s">
        <v>145</v>
      </c>
      <c r="JM286" s="236" t="s">
        <v>74</v>
      </c>
      <c r="JN286" s="236" t="s">
        <v>841</v>
      </c>
      <c r="JP286" s="236" t="s">
        <v>18900</v>
      </c>
      <c r="JQ286" s="236" t="s">
        <v>145</v>
      </c>
      <c r="JR286" s="236" t="s">
        <v>74</v>
      </c>
      <c r="JS286" s="236" t="s">
        <v>841</v>
      </c>
      <c r="JU286" s="294" t="s">
        <v>18901</v>
      </c>
      <c r="JV286" s="294" t="s">
        <v>52</v>
      </c>
      <c r="JW286" s="263" t="s">
        <v>70</v>
      </c>
      <c r="JX286" s="294" t="s">
        <v>1083</v>
      </c>
      <c r="JZ286" s="263" t="s">
        <v>18902</v>
      </c>
      <c r="KA286" s="263" t="s">
        <v>145</v>
      </c>
      <c r="KB286" s="263" t="s">
        <v>70</v>
      </c>
      <c r="KC286" s="263" t="s">
        <v>1083</v>
      </c>
      <c r="KE286" s="263" t="s">
        <v>18903</v>
      </c>
      <c r="KF286" s="263" t="s">
        <v>52</v>
      </c>
      <c r="KG286" s="263" t="s">
        <v>70</v>
      </c>
      <c r="KH286" s="263" t="s">
        <v>1083</v>
      </c>
      <c r="KJ286" s="263" t="s">
        <v>18904</v>
      </c>
      <c r="KK286" s="263" t="s">
        <v>52</v>
      </c>
      <c r="KL286" s="263" t="s">
        <v>74</v>
      </c>
      <c r="KM286" s="263" t="s">
        <v>34074</v>
      </c>
      <c r="KO286" s="214" t="s">
        <v>18905</v>
      </c>
      <c r="KP286" s="214" t="s">
        <v>145</v>
      </c>
      <c r="KQ286" s="214" t="s">
        <v>70</v>
      </c>
      <c r="KR286" s="214" t="s">
        <v>67</v>
      </c>
      <c r="KT286" s="22" t="s">
        <v>18906</v>
      </c>
      <c r="KU286" s="22" t="s">
        <v>145</v>
      </c>
      <c r="KV286" s="22" t="s">
        <v>70</v>
      </c>
      <c r="KW286" s="22" t="s">
        <v>67</v>
      </c>
      <c r="KY286" s="214" t="s">
        <v>18907</v>
      </c>
      <c r="KZ286" s="214" t="s">
        <v>52</v>
      </c>
      <c r="LA286" s="214" t="s">
        <v>74</v>
      </c>
      <c r="LB286" s="214" t="s">
        <v>67</v>
      </c>
      <c r="LD286" s="22" t="s">
        <v>18908</v>
      </c>
      <c r="LE286" s="22" t="s">
        <v>145</v>
      </c>
      <c r="LF286" s="22" t="s">
        <v>70</v>
      </c>
      <c r="LG286" s="22" t="s">
        <v>67</v>
      </c>
    </row>
    <row r="287" spans="1:319">
      <c r="A287" s="22" t="s">
        <v>18909</v>
      </c>
      <c r="B287" s="22" t="s">
        <v>145</v>
      </c>
      <c r="C287" s="22" t="s">
        <v>70</v>
      </c>
      <c r="D287" s="22" t="s">
        <v>67</v>
      </c>
      <c r="F287" s="99" t="s">
        <v>18910</v>
      </c>
      <c r="G287" s="22" t="s">
        <v>145</v>
      </c>
      <c r="H287" s="22" t="s">
        <v>70</v>
      </c>
      <c r="I287" s="22" t="s">
        <v>67</v>
      </c>
      <c r="K287" s="22" t="s">
        <v>18911</v>
      </c>
      <c r="L287" s="22" t="s">
        <v>145</v>
      </c>
      <c r="M287" s="22" t="s">
        <v>70</v>
      </c>
      <c r="N287" s="22" t="s">
        <v>67</v>
      </c>
      <c r="P287" s="22" t="s">
        <v>18912</v>
      </c>
      <c r="Q287" s="22" t="s">
        <v>145</v>
      </c>
      <c r="R287" s="22" t="s">
        <v>70</v>
      </c>
      <c r="S287" s="22" t="s">
        <v>67</v>
      </c>
      <c r="U287" s="293" t="s">
        <v>18913</v>
      </c>
      <c r="V287" s="293" t="s">
        <v>145</v>
      </c>
      <c r="W287" s="293" t="s">
        <v>74</v>
      </c>
      <c r="X287" s="293" t="s">
        <v>656</v>
      </c>
      <c r="Z287" s="293" t="s">
        <v>18914</v>
      </c>
      <c r="AA287" s="293" t="s">
        <v>145</v>
      </c>
      <c r="AB287" s="293" t="s">
        <v>74</v>
      </c>
      <c r="AC287" s="293" t="s">
        <v>656</v>
      </c>
      <c r="AE287" s="293" t="s">
        <v>18915</v>
      </c>
      <c r="AF287" s="293" t="s">
        <v>145</v>
      </c>
      <c r="AG287" s="293" t="s">
        <v>74</v>
      </c>
      <c r="AH287" s="293" t="s">
        <v>656</v>
      </c>
      <c r="AJ287" s="293" t="s">
        <v>18916</v>
      </c>
      <c r="AK287" s="293" t="s">
        <v>145</v>
      </c>
      <c r="AL287" s="293" t="s">
        <v>74</v>
      </c>
      <c r="AM287" s="293" t="s">
        <v>656</v>
      </c>
      <c r="AO287" s="22" t="s">
        <v>18917</v>
      </c>
      <c r="AP287" s="22" t="s">
        <v>145</v>
      </c>
      <c r="AQ287" s="22" t="s">
        <v>70</v>
      </c>
      <c r="AR287" s="22" t="s">
        <v>67</v>
      </c>
      <c r="AT287" s="22" t="s">
        <v>18918</v>
      </c>
      <c r="AU287" s="22" t="s">
        <v>145</v>
      </c>
      <c r="AV287" s="22" t="s">
        <v>70</v>
      </c>
      <c r="AW287" s="22" t="s">
        <v>67</v>
      </c>
      <c r="AY287" s="22" t="s">
        <v>18919</v>
      </c>
      <c r="AZ287" s="22" t="s">
        <v>145</v>
      </c>
      <c r="BA287" s="22" t="s">
        <v>70</v>
      </c>
      <c r="BB287" s="22" t="s">
        <v>67</v>
      </c>
      <c r="BD287" s="22" t="s">
        <v>18920</v>
      </c>
      <c r="BE287" s="22" t="s">
        <v>145</v>
      </c>
      <c r="BF287" s="22" t="s">
        <v>70</v>
      </c>
      <c r="BG287" s="22" t="s">
        <v>67</v>
      </c>
      <c r="BI287" s="22" t="s">
        <v>18921</v>
      </c>
      <c r="BJ287" s="22" t="s">
        <v>145</v>
      </c>
      <c r="BK287" s="22" t="s">
        <v>70</v>
      </c>
      <c r="BL287" s="22" t="s">
        <v>67</v>
      </c>
      <c r="BN287" s="22" t="s">
        <v>18922</v>
      </c>
      <c r="BO287" s="22" t="s">
        <v>145</v>
      </c>
      <c r="BP287" s="22" t="s">
        <v>70</v>
      </c>
      <c r="BQ287" s="22" t="s">
        <v>67</v>
      </c>
      <c r="BS287" s="22" t="s">
        <v>18923</v>
      </c>
      <c r="BT287" s="22" t="s">
        <v>145</v>
      </c>
      <c r="BU287" s="22" t="s">
        <v>70</v>
      </c>
      <c r="BV287" s="214" t="s">
        <v>530</v>
      </c>
      <c r="BX287" s="22" t="s">
        <v>18924</v>
      </c>
      <c r="BY287" s="22" t="s">
        <v>145</v>
      </c>
      <c r="BZ287" s="22" t="s">
        <v>70</v>
      </c>
      <c r="CA287" s="214" t="s">
        <v>530</v>
      </c>
      <c r="CC287" s="214" t="s">
        <v>18925</v>
      </c>
      <c r="CD287" s="218" t="s">
        <v>145</v>
      </c>
      <c r="CE287" s="214" t="s">
        <v>70</v>
      </c>
      <c r="CF287" s="214" t="s">
        <v>740</v>
      </c>
      <c r="CH287" s="214" t="s">
        <v>18926</v>
      </c>
      <c r="CI287" s="214" t="s">
        <v>950</v>
      </c>
      <c r="CJ287" s="214" t="s">
        <v>70</v>
      </c>
      <c r="CK287" s="214" t="s">
        <v>530</v>
      </c>
      <c r="CM287" s="214" t="s">
        <v>18927</v>
      </c>
      <c r="CN287" s="214" t="s">
        <v>491</v>
      </c>
      <c r="CO287" s="214" t="s">
        <v>70</v>
      </c>
      <c r="CP287" s="214" t="s">
        <v>530</v>
      </c>
      <c r="CR287" s="214" t="s">
        <v>18928</v>
      </c>
      <c r="CS287" s="214" t="s">
        <v>919</v>
      </c>
      <c r="CT287" s="214" t="s">
        <v>70</v>
      </c>
      <c r="CU287" s="214" t="s">
        <v>530</v>
      </c>
      <c r="CW287" s="214" t="s">
        <v>18929</v>
      </c>
      <c r="CX287" s="214" t="s">
        <v>34540</v>
      </c>
      <c r="CY287" s="214" t="s">
        <v>70</v>
      </c>
      <c r="CZ287" s="214" t="s">
        <v>530</v>
      </c>
      <c r="DB287" s="214" t="s">
        <v>18930</v>
      </c>
      <c r="DC287" s="214" t="s">
        <v>485</v>
      </c>
      <c r="DD287" s="214" t="s">
        <v>70</v>
      </c>
      <c r="DE287" s="214" t="s">
        <v>530</v>
      </c>
      <c r="DG287" s="214" t="s">
        <v>18931</v>
      </c>
      <c r="DH287" s="214" t="s">
        <v>955</v>
      </c>
      <c r="DI287" s="214" t="s">
        <v>70</v>
      </c>
      <c r="DJ287" s="214" t="s">
        <v>530</v>
      </c>
      <c r="DL287" s="214" t="s">
        <v>18932</v>
      </c>
      <c r="DM287" s="214" t="s">
        <v>34542</v>
      </c>
      <c r="DN287" s="214" t="s">
        <v>70</v>
      </c>
      <c r="DO287" s="214" t="s">
        <v>530</v>
      </c>
      <c r="DQ287" s="214" t="s">
        <v>18933</v>
      </c>
      <c r="DR287" s="214" t="s">
        <v>163</v>
      </c>
      <c r="DS287" s="214" t="s">
        <v>70</v>
      </c>
      <c r="DT287" s="214" t="s">
        <v>530</v>
      </c>
      <c r="DV287" s="214" t="s">
        <v>18934</v>
      </c>
      <c r="DW287" s="214" t="s">
        <v>601</v>
      </c>
      <c r="DX287" s="214" t="s">
        <v>70</v>
      </c>
      <c r="DY287" s="214" t="s">
        <v>530</v>
      </c>
      <c r="EA287" s="214" t="s">
        <v>18935</v>
      </c>
      <c r="EB287" s="214" t="s">
        <v>52</v>
      </c>
      <c r="EC287" s="214" t="s">
        <v>70</v>
      </c>
      <c r="ED287" s="214" t="s">
        <v>530</v>
      </c>
      <c r="EF287" s="214" t="s">
        <v>18936</v>
      </c>
      <c r="EG287" s="214" t="s">
        <v>85</v>
      </c>
      <c r="EH287" s="214" t="s">
        <v>70</v>
      </c>
      <c r="EI287" s="214" t="s">
        <v>530</v>
      </c>
      <c r="EK287" s="214" t="s">
        <v>18937</v>
      </c>
      <c r="EL287" s="214" t="s">
        <v>146</v>
      </c>
      <c r="EM287" s="214" t="s">
        <v>70</v>
      </c>
      <c r="EN287" s="214" t="s">
        <v>530</v>
      </c>
      <c r="EP287" s="214" t="s">
        <v>18938</v>
      </c>
      <c r="EQ287" s="214" t="s">
        <v>52</v>
      </c>
      <c r="ER287" s="214" t="s">
        <v>70</v>
      </c>
      <c r="ES287" s="214" t="s">
        <v>530</v>
      </c>
      <c r="EU287" s="214" t="s">
        <v>18939</v>
      </c>
      <c r="EV287" s="214" t="s">
        <v>146</v>
      </c>
      <c r="EW287" s="214" t="s">
        <v>70</v>
      </c>
      <c r="EX287" s="214" t="s">
        <v>530</v>
      </c>
      <c r="EZ287" s="214" t="s">
        <v>18940</v>
      </c>
      <c r="FA287" s="214" t="s">
        <v>501</v>
      </c>
      <c r="FB287" s="214" t="s">
        <v>70</v>
      </c>
      <c r="FC287" s="214" t="s">
        <v>530</v>
      </c>
      <c r="FE287" s="214" t="s">
        <v>18941</v>
      </c>
      <c r="FF287" s="214" t="s">
        <v>52</v>
      </c>
      <c r="FG287" s="214" t="s">
        <v>70</v>
      </c>
      <c r="FH287" s="214" t="s">
        <v>530</v>
      </c>
      <c r="FJ287" s="321" t="s">
        <v>18942</v>
      </c>
      <c r="FK287" s="214" t="s">
        <v>798</v>
      </c>
      <c r="FL287" s="214" t="s">
        <v>70</v>
      </c>
      <c r="FM287" s="214" t="s">
        <v>530</v>
      </c>
      <c r="FO287" s="321" t="s">
        <v>18943</v>
      </c>
      <c r="FP287" s="214" t="s">
        <v>203</v>
      </c>
      <c r="FQ287" s="214" t="s">
        <v>70</v>
      </c>
      <c r="FR287" s="214" t="s">
        <v>530</v>
      </c>
      <c r="FT287" s="321" t="s">
        <v>18944</v>
      </c>
      <c r="FU287" s="214" t="s">
        <v>145</v>
      </c>
      <c r="FV287" s="214" t="s">
        <v>70</v>
      </c>
      <c r="FW287" s="214" t="s">
        <v>530</v>
      </c>
      <c r="FY287" s="321" t="s">
        <v>18945</v>
      </c>
      <c r="FZ287" s="214" t="s">
        <v>34544</v>
      </c>
      <c r="GA287" s="214" t="s">
        <v>70</v>
      </c>
      <c r="GB287" s="214" t="s">
        <v>530</v>
      </c>
      <c r="GD287" s="321" t="s">
        <v>18946</v>
      </c>
      <c r="GE287" s="214" t="s">
        <v>145</v>
      </c>
      <c r="GF287" s="214" t="s">
        <v>70</v>
      </c>
      <c r="GG287" s="214" t="s">
        <v>530</v>
      </c>
      <c r="GI287" s="321" t="s">
        <v>18947</v>
      </c>
      <c r="GJ287" s="214" t="s">
        <v>34544</v>
      </c>
      <c r="GK287" s="214" t="s">
        <v>70</v>
      </c>
      <c r="GL287" s="214" t="s">
        <v>530</v>
      </c>
      <c r="GN287" s="321" t="s">
        <v>18948</v>
      </c>
      <c r="GO287" s="214" t="s">
        <v>146</v>
      </c>
      <c r="GP287" s="214" t="s">
        <v>70</v>
      </c>
      <c r="GQ287" s="214" t="s">
        <v>530</v>
      </c>
      <c r="GS287" s="321" t="s">
        <v>18949</v>
      </c>
      <c r="GT287" s="214" t="s">
        <v>145</v>
      </c>
      <c r="GU287" s="214" t="s">
        <v>70</v>
      </c>
      <c r="GV287" s="214" t="s">
        <v>530</v>
      </c>
      <c r="GX287" s="214" t="s">
        <v>18950</v>
      </c>
      <c r="GY287" s="214" t="s">
        <v>34405</v>
      </c>
      <c r="GZ287" s="214" t="s">
        <v>70</v>
      </c>
      <c r="HA287" s="214" t="s">
        <v>530</v>
      </c>
      <c r="HC287" s="214" t="s">
        <v>18951</v>
      </c>
      <c r="HD287" s="214" t="s">
        <v>34557</v>
      </c>
      <c r="HE287" s="214" t="s">
        <v>70</v>
      </c>
      <c r="HF287" s="214" t="s">
        <v>530</v>
      </c>
      <c r="HH287" s="214" t="s">
        <v>18952</v>
      </c>
      <c r="HI287" s="214" t="s">
        <v>486</v>
      </c>
      <c r="HJ287" s="214" t="s">
        <v>70</v>
      </c>
      <c r="HK287" s="214" t="s">
        <v>530</v>
      </c>
      <c r="HM287" s="214" t="s">
        <v>18953</v>
      </c>
      <c r="HN287" s="214" t="s">
        <v>34567</v>
      </c>
      <c r="HO287" s="214" t="s">
        <v>70</v>
      </c>
      <c r="HP287" s="214" t="s">
        <v>530</v>
      </c>
      <c r="HR287" s="22" t="s">
        <v>18954</v>
      </c>
      <c r="HS287" s="22" t="s">
        <v>85</v>
      </c>
      <c r="HT287" s="22" t="s">
        <v>70</v>
      </c>
      <c r="HU287" s="214" t="s">
        <v>530</v>
      </c>
      <c r="HW287" s="22" t="s">
        <v>18955</v>
      </c>
      <c r="HX287" s="22" t="s">
        <v>501</v>
      </c>
      <c r="HY287" s="22" t="s">
        <v>70</v>
      </c>
      <c r="HZ287" s="214" t="s">
        <v>530</v>
      </c>
      <c r="IB287" s="22" t="s">
        <v>18956</v>
      </c>
      <c r="IC287" s="22" t="s">
        <v>34552</v>
      </c>
      <c r="ID287" s="22" t="s">
        <v>70</v>
      </c>
      <c r="IE287" s="214" t="s">
        <v>530</v>
      </c>
      <c r="IG287" s="22" t="s">
        <v>18957</v>
      </c>
      <c r="IH287" s="22" t="s">
        <v>52</v>
      </c>
      <c r="II287" s="22" t="s">
        <v>70</v>
      </c>
      <c r="IJ287" s="214" t="s">
        <v>530</v>
      </c>
      <c r="IL287" s="22" t="s">
        <v>18958</v>
      </c>
      <c r="IM287" s="22" t="s">
        <v>145</v>
      </c>
      <c r="IN287" s="22" t="s">
        <v>70</v>
      </c>
      <c r="IO287" s="214" t="s">
        <v>530</v>
      </c>
      <c r="IQ287" s="236" t="s">
        <v>18959</v>
      </c>
      <c r="IR287" s="236" t="s">
        <v>145</v>
      </c>
      <c r="IS287" s="236" t="s">
        <v>74</v>
      </c>
      <c r="IT287" s="236" t="s">
        <v>841</v>
      </c>
      <c r="IV287" s="236" t="s">
        <v>18960</v>
      </c>
      <c r="IW287" s="236" t="s">
        <v>145</v>
      </c>
      <c r="IX287" s="236" t="s">
        <v>74</v>
      </c>
      <c r="IY287" s="236" t="s">
        <v>841</v>
      </c>
      <c r="JA287" s="236" t="s">
        <v>18961</v>
      </c>
      <c r="JB287" s="236" t="s">
        <v>145</v>
      </c>
      <c r="JC287" s="236" t="s">
        <v>74</v>
      </c>
      <c r="JD287" s="236" t="s">
        <v>841</v>
      </c>
      <c r="JF287" s="236" t="s">
        <v>18962</v>
      </c>
      <c r="JG287" s="236" t="s">
        <v>145</v>
      </c>
      <c r="JH287" s="236" t="s">
        <v>74</v>
      </c>
      <c r="JI287" s="236" t="s">
        <v>841</v>
      </c>
      <c r="JK287" s="236" t="s">
        <v>18963</v>
      </c>
      <c r="JL287" s="236" t="s">
        <v>145</v>
      </c>
      <c r="JM287" s="236" t="s">
        <v>74</v>
      </c>
      <c r="JN287" s="236" t="s">
        <v>841</v>
      </c>
      <c r="JP287" s="236" t="s">
        <v>18964</v>
      </c>
      <c r="JQ287" s="236" t="s">
        <v>145</v>
      </c>
      <c r="JR287" s="236" t="s">
        <v>74</v>
      </c>
      <c r="JS287" s="236" t="s">
        <v>841</v>
      </c>
      <c r="JU287" s="294" t="s">
        <v>18965</v>
      </c>
      <c r="JV287" s="294" t="s">
        <v>52</v>
      </c>
      <c r="JW287" s="263" t="s">
        <v>70</v>
      </c>
      <c r="JX287" s="294" t="s">
        <v>1083</v>
      </c>
      <c r="JZ287" s="263" t="s">
        <v>18966</v>
      </c>
      <c r="KA287" s="263" t="s">
        <v>145</v>
      </c>
      <c r="KB287" s="263" t="s">
        <v>70</v>
      </c>
      <c r="KC287" s="263" t="s">
        <v>1083</v>
      </c>
      <c r="KE287" s="263" t="s">
        <v>18967</v>
      </c>
      <c r="KF287" s="263" t="s">
        <v>52</v>
      </c>
      <c r="KG287" s="263" t="s">
        <v>70</v>
      </c>
      <c r="KH287" s="263" t="s">
        <v>1083</v>
      </c>
      <c r="KJ287" s="263" t="s">
        <v>18968</v>
      </c>
      <c r="KK287" s="263" t="s">
        <v>52</v>
      </c>
      <c r="KL287" s="263" t="s">
        <v>74</v>
      </c>
      <c r="KM287" s="263" t="s">
        <v>34074</v>
      </c>
      <c r="KO287" s="214" t="s">
        <v>18969</v>
      </c>
      <c r="KP287" s="214" t="s">
        <v>145</v>
      </c>
      <c r="KQ287" s="214" t="s">
        <v>70</v>
      </c>
      <c r="KR287" s="214" t="s">
        <v>67</v>
      </c>
      <c r="KT287" s="22" t="s">
        <v>18970</v>
      </c>
      <c r="KU287" s="22" t="s">
        <v>145</v>
      </c>
      <c r="KV287" s="22" t="s">
        <v>70</v>
      </c>
      <c r="KW287" s="22" t="s">
        <v>67</v>
      </c>
      <c r="KY287" s="214" t="s">
        <v>18971</v>
      </c>
      <c r="KZ287" s="214" t="s">
        <v>52</v>
      </c>
      <c r="LA287" s="214" t="s">
        <v>74</v>
      </c>
      <c r="LB287" s="214" t="s">
        <v>67</v>
      </c>
      <c r="LD287" s="22" t="s">
        <v>18972</v>
      </c>
      <c r="LE287" s="22" t="s">
        <v>145</v>
      </c>
      <c r="LF287" s="22" t="s">
        <v>70</v>
      </c>
      <c r="LG287" s="22" t="s">
        <v>67</v>
      </c>
    </row>
    <row r="288" spans="1:319">
      <c r="A288" s="22" t="s">
        <v>18973</v>
      </c>
      <c r="B288" s="22" t="s">
        <v>145</v>
      </c>
      <c r="C288" s="22" t="s">
        <v>70</v>
      </c>
      <c r="D288" s="22" t="s">
        <v>67</v>
      </c>
      <c r="F288" s="99" t="s">
        <v>18974</v>
      </c>
      <c r="G288" s="22" t="s">
        <v>145</v>
      </c>
      <c r="H288" s="22" t="s">
        <v>70</v>
      </c>
      <c r="I288" s="22" t="s">
        <v>67</v>
      </c>
      <c r="K288" s="22" t="s">
        <v>18975</v>
      </c>
      <c r="L288" s="22" t="s">
        <v>145</v>
      </c>
      <c r="M288" s="22" t="s">
        <v>70</v>
      </c>
      <c r="N288" s="22" t="s">
        <v>67</v>
      </c>
      <c r="P288" s="22" t="s">
        <v>18976</v>
      </c>
      <c r="Q288" s="22" t="s">
        <v>145</v>
      </c>
      <c r="R288" s="22" t="s">
        <v>70</v>
      </c>
      <c r="S288" s="22" t="s">
        <v>67</v>
      </c>
      <c r="U288" s="293" t="s">
        <v>18977</v>
      </c>
      <c r="V288" s="293" t="s">
        <v>145</v>
      </c>
      <c r="W288" s="293" t="s">
        <v>74</v>
      </c>
      <c r="X288" s="293" t="s">
        <v>656</v>
      </c>
      <c r="Z288" s="293" t="s">
        <v>18978</v>
      </c>
      <c r="AA288" s="293" t="s">
        <v>145</v>
      </c>
      <c r="AB288" s="293" t="s">
        <v>74</v>
      </c>
      <c r="AC288" s="293" t="s">
        <v>656</v>
      </c>
      <c r="AE288" s="293" t="s">
        <v>18979</v>
      </c>
      <c r="AF288" s="293" t="s">
        <v>145</v>
      </c>
      <c r="AG288" s="293" t="s">
        <v>74</v>
      </c>
      <c r="AH288" s="293" t="s">
        <v>656</v>
      </c>
      <c r="AJ288" s="293" t="s">
        <v>18980</v>
      </c>
      <c r="AK288" s="293" t="s">
        <v>145</v>
      </c>
      <c r="AL288" s="293" t="s">
        <v>74</v>
      </c>
      <c r="AM288" s="293" t="s">
        <v>656</v>
      </c>
      <c r="AO288" s="22" t="s">
        <v>18981</v>
      </c>
      <c r="AP288" s="22" t="s">
        <v>145</v>
      </c>
      <c r="AQ288" s="22" t="s">
        <v>70</v>
      </c>
      <c r="AR288" s="22" t="s">
        <v>67</v>
      </c>
      <c r="AT288" s="22" t="s">
        <v>18982</v>
      </c>
      <c r="AU288" s="22" t="s">
        <v>145</v>
      </c>
      <c r="AV288" s="22" t="s">
        <v>70</v>
      </c>
      <c r="AW288" s="22" t="s">
        <v>67</v>
      </c>
      <c r="AY288" s="22" t="s">
        <v>18983</v>
      </c>
      <c r="AZ288" s="22" t="s">
        <v>145</v>
      </c>
      <c r="BA288" s="22" t="s">
        <v>70</v>
      </c>
      <c r="BB288" s="22" t="s">
        <v>67</v>
      </c>
      <c r="BD288" s="22" t="s">
        <v>18984</v>
      </c>
      <c r="BE288" s="22" t="s">
        <v>145</v>
      </c>
      <c r="BF288" s="22" t="s">
        <v>70</v>
      </c>
      <c r="BG288" s="22" t="s">
        <v>67</v>
      </c>
      <c r="BI288" s="22" t="s">
        <v>18985</v>
      </c>
      <c r="BJ288" s="22" t="s">
        <v>145</v>
      </c>
      <c r="BK288" s="22" t="s">
        <v>70</v>
      </c>
      <c r="BL288" s="22" t="s">
        <v>67</v>
      </c>
      <c r="BN288" s="22" t="s">
        <v>18986</v>
      </c>
      <c r="BO288" s="22" t="s">
        <v>145</v>
      </c>
      <c r="BP288" s="22" t="s">
        <v>70</v>
      </c>
      <c r="BQ288" s="22" t="s">
        <v>67</v>
      </c>
      <c r="BS288" s="22" t="s">
        <v>18987</v>
      </c>
      <c r="BT288" s="22" t="s">
        <v>145</v>
      </c>
      <c r="BU288" s="22" t="s">
        <v>70</v>
      </c>
      <c r="BV288" s="214" t="s">
        <v>530</v>
      </c>
      <c r="BX288" s="22" t="s">
        <v>18988</v>
      </c>
      <c r="BY288" s="22" t="s">
        <v>145</v>
      </c>
      <c r="BZ288" s="22" t="s">
        <v>70</v>
      </c>
      <c r="CA288" s="214" t="s">
        <v>530</v>
      </c>
      <c r="CC288" s="214" t="s">
        <v>18989</v>
      </c>
      <c r="CD288" s="218" t="s">
        <v>145</v>
      </c>
      <c r="CE288" s="214" t="s">
        <v>70</v>
      </c>
      <c r="CF288" s="214" t="s">
        <v>741</v>
      </c>
      <c r="CH288" s="214" t="s">
        <v>18990</v>
      </c>
      <c r="CI288" s="214" t="s">
        <v>921</v>
      </c>
      <c r="CJ288" s="214" t="s">
        <v>70</v>
      </c>
      <c r="CK288" s="214" t="s">
        <v>530</v>
      </c>
      <c r="CM288" s="214" t="s">
        <v>18991</v>
      </c>
      <c r="CN288" s="214" t="s">
        <v>93</v>
      </c>
      <c r="CO288" s="214" t="s">
        <v>70</v>
      </c>
      <c r="CP288" s="214" t="s">
        <v>530</v>
      </c>
      <c r="CR288" s="214" t="s">
        <v>18992</v>
      </c>
      <c r="CS288" s="214" t="s">
        <v>34579</v>
      </c>
      <c r="CT288" s="214" t="s">
        <v>70</v>
      </c>
      <c r="CU288" s="214" t="s">
        <v>530</v>
      </c>
      <c r="CW288" s="214" t="s">
        <v>18993</v>
      </c>
      <c r="CX288" s="214" t="s">
        <v>34545</v>
      </c>
      <c r="CY288" s="214" t="s">
        <v>70</v>
      </c>
      <c r="CZ288" s="214" t="s">
        <v>530</v>
      </c>
      <c r="DB288" s="214" t="s">
        <v>18994</v>
      </c>
      <c r="DC288" s="214" t="s">
        <v>34545</v>
      </c>
      <c r="DD288" s="214" t="s">
        <v>70</v>
      </c>
      <c r="DE288" s="214" t="s">
        <v>530</v>
      </c>
      <c r="DG288" s="214" t="s">
        <v>18995</v>
      </c>
      <c r="DH288" s="214" t="s">
        <v>146</v>
      </c>
      <c r="DI288" s="214" t="s">
        <v>70</v>
      </c>
      <c r="DJ288" s="214" t="s">
        <v>530</v>
      </c>
      <c r="DL288" s="214" t="s">
        <v>18996</v>
      </c>
      <c r="DM288" s="214" t="s">
        <v>481</v>
      </c>
      <c r="DN288" s="214" t="s">
        <v>70</v>
      </c>
      <c r="DO288" s="214" t="s">
        <v>530</v>
      </c>
      <c r="DQ288" s="214" t="s">
        <v>18997</v>
      </c>
      <c r="DR288" s="214" t="s">
        <v>86</v>
      </c>
      <c r="DS288" s="214" t="s">
        <v>70</v>
      </c>
      <c r="DT288" s="214" t="s">
        <v>530</v>
      </c>
      <c r="DV288" s="214" t="s">
        <v>18998</v>
      </c>
      <c r="DW288" s="214" t="s">
        <v>34568</v>
      </c>
      <c r="DX288" s="214" t="s">
        <v>70</v>
      </c>
      <c r="DY288" s="214" t="s">
        <v>530</v>
      </c>
      <c r="EA288" s="214" t="s">
        <v>18999</v>
      </c>
      <c r="EB288" s="214" t="s">
        <v>485</v>
      </c>
      <c r="EC288" s="214" t="s">
        <v>70</v>
      </c>
      <c r="ED288" s="214" t="s">
        <v>530</v>
      </c>
      <c r="EF288" s="214" t="s">
        <v>19000</v>
      </c>
      <c r="EG288" s="214" t="s">
        <v>949</v>
      </c>
      <c r="EH288" s="214" t="s">
        <v>70</v>
      </c>
      <c r="EI288" s="214" t="s">
        <v>530</v>
      </c>
      <c r="EK288" s="214" t="s">
        <v>19001</v>
      </c>
      <c r="EL288" s="214" t="s">
        <v>34556</v>
      </c>
      <c r="EM288" s="214" t="s">
        <v>70</v>
      </c>
      <c r="EN288" s="214" t="s">
        <v>530</v>
      </c>
      <c r="EP288" s="214" t="s">
        <v>19002</v>
      </c>
      <c r="EQ288" s="214" t="s">
        <v>145</v>
      </c>
      <c r="ER288" s="214" t="s">
        <v>70</v>
      </c>
      <c r="ES288" s="214" t="s">
        <v>530</v>
      </c>
      <c r="EU288" s="214" t="s">
        <v>19003</v>
      </c>
      <c r="EV288" s="214" t="s">
        <v>148</v>
      </c>
      <c r="EW288" s="214" t="s">
        <v>70</v>
      </c>
      <c r="EX288" s="214" t="s">
        <v>530</v>
      </c>
      <c r="EZ288" s="214" t="s">
        <v>19004</v>
      </c>
      <c r="FA288" s="214" t="s">
        <v>34543</v>
      </c>
      <c r="FB288" s="214" t="s">
        <v>70</v>
      </c>
      <c r="FC288" s="214" t="s">
        <v>530</v>
      </c>
      <c r="FE288" s="214" t="s">
        <v>19005</v>
      </c>
      <c r="FF288" s="214" t="s">
        <v>145</v>
      </c>
      <c r="FG288" s="214" t="s">
        <v>70</v>
      </c>
      <c r="FH288" s="214" t="s">
        <v>530</v>
      </c>
      <c r="FJ288" s="321" t="s">
        <v>19006</v>
      </c>
      <c r="FK288" s="214" t="s">
        <v>149</v>
      </c>
      <c r="FL288" s="214" t="s">
        <v>70</v>
      </c>
      <c r="FM288" s="214" t="s">
        <v>530</v>
      </c>
      <c r="FO288" s="321" t="s">
        <v>19007</v>
      </c>
      <c r="FP288" s="214" t="s">
        <v>926</v>
      </c>
      <c r="FQ288" s="214" t="s">
        <v>70</v>
      </c>
      <c r="FR288" s="214" t="s">
        <v>530</v>
      </c>
      <c r="FT288" s="321" t="s">
        <v>19008</v>
      </c>
      <c r="FU288" s="214" t="s">
        <v>923</v>
      </c>
      <c r="FV288" s="214" t="s">
        <v>70</v>
      </c>
      <c r="FW288" s="214" t="s">
        <v>530</v>
      </c>
      <c r="FY288" s="321" t="s">
        <v>19009</v>
      </c>
      <c r="FZ288" s="214" t="s">
        <v>52</v>
      </c>
      <c r="GA288" s="214" t="s">
        <v>70</v>
      </c>
      <c r="GB288" s="214" t="s">
        <v>530</v>
      </c>
      <c r="GD288" s="321" t="s">
        <v>19010</v>
      </c>
      <c r="GE288" s="214" t="s">
        <v>292</v>
      </c>
      <c r="GF288" s="214" t="s">
        <v>70</v>
      </c>
      <c r="GG288" s="214" t="s">
        <v>530</v>
      </c>
      <c r="GI288" s="321" t="s">
        <v>19011</v>
      </c>
      <c r="GJ288" s="214" t="s">
        <v>943</v>
      </c>
      <c r="GK288" s="214" t="s">
        <v>70</v>
      </c>
      <c r="GL288" s="214" t="s">
        <v>530</v>
      </c>
      <c r="GN288" s="321" t="s">
        <v>19012</v>
      </c>
      <c r="GO288" s="214" t="s">
        <v>92</v>
      </c>
      <c r="GP288" s="214" t="s">
        <v>70</v>
      </c>
      <c r="GQ288" s="214" t="s">
        <v>530</v>
      </c>
      <c r="GS288" s="321" t="s">
        <v>19013</v>
      </c>
      <c r="GT288" s="214" t="s">
        <v>52</v>
      </c>
      <c r="GU288" s="214" t="s">
        <v>70</v>
      </c>
      <c r="GV288" s="214" t="s">
        <v>530</v>
      </c>
      <c r="GX288" s="214" t="s">
        <v>19014</v>
      </c>
      <c r="GY288" s="214" t="s">
        <v>148</v>
      </c>
      <c r="GZ288" s="214" t="s">
        <v>70</v>
      </c>
      <c r="HA288" s="214" t="s">
        <v>530</v>
      </c>
      <c r="HC288" s="214" t="s">
        <v>19015</v>
      </c>
      <c r="HD288" s="214" t="s">
        <v>286</v>
      </c>
      <c r="HE288" s="214" t="s">
        <v>70</v>
      </c>
      <c r="HF288" s="214" t="s">
        <v>530</v>
      </c>
      <c r="HH288" s="214" t="s">
        <v>19016</v>
      </c>
      <c r="HI288" s="214" t="s">
        <v>34073</v>
      </c>
      <c r="HJ288" s="214" t="s">
        <v>70</v>
      </c>
      <c r="HK288" s="214" t="s">
        <v>530</v>
      </c>
      <c r="HM288" s="214" t="s">
        <v>19017</v>
      </c>
      <c r="HN288" s="214" t="s">
        <v>52</v>
      </c>
      <c r="HO288" s="214" t="s">
        <v>70</v>
      </c>
      <c r="HP288" s="214" t="s">
        <v>530</v>
      </c>
      <c r="HR288" s="22" t="s">
        <v>19018</v>
      </c>
      <c r="HS288" s="22" t="s">
        <v>87</v>
      </c>
      <c r="HT288" s="22" t="s">
        <v>70</v>
      </c>
      <c r="HU288" s="214" t="s">
        <v>530</v>
      </c>
      <c r="HW288" s="22" t="s">
        <v>19019</v>
      </c>
      <c r="HX288" s="22" t="s">
        <v>52</v>
      </c>
      <c r="HY288" s="22" t="s">
        <v>70</v>
      </c>
      <c r="HZ288" s="214" t="s">
        <v>530</v>
      </c>
      <c r="IB288" s="22" t="s">
        <v>19020</v>
      </c>
      <c r="IC288" s="22" t="s">
        <v>34608</v>
      </c>
      <c r="ID288" s="22" t="s">
        <v>70</v>
      </c>
      <c r="IE288" s="214" t="s">
        <v>530</v>
      </c>
      <c r="IG288" s="22" t="s">
        <v>19021</v>
      </c>
      <c r="IH288" s="22" t="s">
        <v>52</v>
      </c>
      <c r="II288" s="22" t="s">
        <v>70</v>
      </c>
      <c r="IJ288" s="214" t="s">
        <v>530</v>
      </c>
      <c r="IL288" s="22" t="s">
        <v>19022</v>
      </c>
      <c r="IM288" s="22" t="s">
        <v>145</v>
      </c>
      <c r="IN288" s="22" t="s">
        <v>70</v>
      </c>
      <c r="IO288" s="214" t="s">
        <v>530</v>
      </c>
      <c r="IQ288" s="236" t="s">
        <v>19023</v>
      </c>
      <c r="IR288" s="236" t="s">
        <v>145</v>
      </c>
      <c r="IS288" s="236" t="s">
        <v>74</v>
      </c>
      <c r="IT288" s="236" t="s">
        <v>841</v>
      </c>
      <c r="IV288" s="236" t="s">
        <v>19024</v>
      </c>
      <c r="IW288" s="236" t="s">
        <v>145</v>
      </c>
      <c r="IX288" s="236" t="s">
        <v>74</v>
      </c>
      <c r="IY288" s="236" t="s">
        <v>841</v>
      </c>
      <c r="JA288" s="236" t="s">
        <v>19025</v>
      </c>
      <c r="JB288" s="236" t="s">
        <v>145</v>
      </c>
      <c r="JC288" s="236" t="s">
        <v>74</v>
      </c>
      <c r="JD288" s="236" t="s">
        <v>841</v>
      </c>
      <c r="JF288" s="236" t="s">
        <v>19026</v>
      </c>
      <c r="JG288" s="236" t="s">
        <v>145</v>
      </c>
      <c r="JH288" s="236" t="s">
        <v>74</v>
      </c>
      <c r="JI288" s="236" t="s">
        <v>841</v>
      </c>
      <c r="JK288" s="236" t="s">
        <v>19027</v>
      </c>
      <c r="JL288" s="236" t="s">
        <v>145</v>
      </c>
      <c r="JM288" s="236" t="s">
        <v>74</v>
      </c>
      <c r="JN288" s="236" t="s">
        <v>841</v>
      </c>
      <c r="JP288" s="236" t="s">
        <v>19028</v>
      </c>
      <c r="JQ288" s="236" t="s">
        <v>145</v>
      </c>
      <c r="JR288" s="236" t="s">
        <v>74</v>
      </c>
      <c r="JS288" s="236" t="s">
        <v>841</v>
      </c>
      <c r="JU288" s="294" t="s">
        <v>19029</v>
      </c>
      <c r="JV288" s="294" t="s">
        <v>52</v>
      </c>
      <c r="JW288" s="263" t="s">
        <v>70</v>
      </c>
      <c r="JX288" s="294" t="s">
        <v>1083</v>
      </c>
      <c r="JZ288" s="263" t="s">
        <v>19030</v>
      </c>
      <c r="KA288" s="263" t="s">
        <v>145</v>
      </c>
      <c r="KB288" s="263" t="s">
        <v>70</v>
      </c>
      <c r="KC288" s="263" t="s">
        <v>1083</v>
      </c>
      <c r="KE288" s="263" t="s">
        <v>19031</v>
      </c>
      <c r="KF288" s="263" t="s">
        <v>52</v>
      </c>
      <c r="KG288" s="263" t="s">
        <v>70</v>
      </c>
      <c r="KH288" s="263" t="s">
        <v>1083</v>
      </c>
      <c r="KJ288" s="263" t="s">
        <v>19032</v>
      </c>
      <c r="KK288" s="263" t="s">
        <v>52</v>
      </c>
      <c r="KL288" s="263" t="s">
        <v>74</v>
      </c>
      <c r="KM288" s="263" t="s">
        <v>34074</v>
      </c>
      <c r="KO288" s="214" t="s">
        <v>19033</v>
      </c>
      <c r="KP288" s="214" t="s">
        <v>145</v>
      </c>
      <c r="KQ288" s="214" t="s">
        <v>70</v>
      </c>
      <c r="KR288" s="214" t="s">
        <v>67</v>
      </c>
      <c r="KT288" s="22" t="s">
        <v>19034</v>
      </c>
      <c r="KU288" s="22" t="s">
        <v>145</v>
      </c>
      <c r="KV288" s="22" t="s">
        <v>70</v>
      </c>
      <c r="KW288" s="22" t="s">
        <v>67</v>
      </c>
      <c r="KY288" s="214" t="s">
        <v>19035</v>
      </c>
      <c r="KZ288" s="214" t="s">
        <v>52</v>
      </c>
      <c r="LA288" s="214" t="s">
        <v>74</v>
      </c>
      <c r="LB288" s="214" t="s">
        <v>67</v>
      </c>
      <c r="LD288" s="22" t="s">
        <v>19036</v>
      </c>
      <c r="LE288" s="22" t="s">
        <v>145</v>
      </c>
      <c r="LF288" s="22" t="s">
        <v>70</v>
      </c>
      <c r="LG288" s="22" t="s">
        <v>67</v>
      </c>
    </row>
    <row r="289" spans="1:319">
      <c r="A289" s="22" t="s">
        <v>19037</v>
      </c>
      <c r="B289" s="22" t="s">
        <v>145</v>
      </c>
      <c r="C289" s="22" t="s">
        <v>70</v>
      </c>
      <c r="D289" s="22" t="s">
        <v>67</v>
      </c>
      <c r="F289" s="99" t="s">
        <v>19038</v>
      </c>
      <c r="G289" s="22" t="s">
        <v>145</v>
      </c>
      <c r="H289" s="22" t="s">
        <v>70</v>
      </c>
      <c r="I289" s="22" t="s">
        <v>67</v>
      </c>
      <c r="K289" s="22" t="s">
        <v>19039</v>
      </c>
      <c r="L289" s="22" t="s">
        <v>145</v>
      </c>
      <c r="M289" s="22" t="s">
        <v>70</v>
      </c>
      <c r="N289" s="22" t="s">
        <v>67</v>
      </c>
      <c r="P289" s="22" t="s">
        <v>19040</v>
      </c>
      <c r="Q289" s="22" t="s">
        <v>145</v>
      </c>
      <c r="R289" s="22" t="s">
        <v>70</v>
      </c>
      <c r="S289" s="22" t="s">
        <v>67</v>
      </c>
      <c r="U289" s="293" t="s">
        <v>19041</v>
      </c>
      <c r="V289" s="293" t="s">
        <v>145</v>
      </c>
      <c r="W289" s="293" t="s">
        <v>74</v>
      </c>
      <c r="X289" s="293" t="s">
        <v>656</v>
      </c>
      <c r="Z289" s="293" t="s">
        <v>19042</v>
      </c>
      <c r="AA289" s="293" t="s">
        <v>145</v>
      </c>
      <c r="AB289" s="293" t="s">
        <v>74</v>
      </c>
      <c r="AC289" s="293" t="s">
        <v>656</v>
      </c>
      <c r="AE289" s="293" t="s">
        <v>19043</v>
      </c>
      <c r="AF289" s="293" t="s">
        <v>145</v>
      </c>
      <c r="AG289" s="293" t="s">
        <v>74</v>
      </c>
      <c r="AH289" s="293" t="s">
        <v>656</v>
      </c>
      <c r="AJ289" s="293" t="s">
        <v>19044</v>
      </c>
      <c r="AK289" s="293" t="s">
        <v>145</v>
      </c>
      <c r="AL289" s="293" t="s">
        <v>74</v>
      </c>
      <c r="AM289" s="293" t="s">
        <v>656</v>
      </c>
      <c r="AO289" s="22" t="s">
        <v>19045</v>
      </c>
      <c r="AP289" s="22" t="s">
        <v>145</v>
      </c>
      <c r="AQ289" s="22" t="s">
        <v>70</v>
      </c>
      <c r="AR289" s="22" t="s">
        <v>67</v>
      </c>
      <c r="AT289" s="22" t="s">
        <v>19046</v>
      </c>
      <c r="AU289" s="22" t="s">
        <v>145</v>
      </c>
      <c r="AV289" s="22" t="s">
        <v>70</v>
      </c>
      <c r="AW289" s="22" t="s">
        <v>67</v>
      </c>
      <c r="AY289" s="22" t="s">
        <v>19047</v>
      </c>
      <c r="AZ289" s="22" t="s">
        <v>145</v>
      </c>
      <c r="BA289" s="22" t="s">
        <v>70</v>
      </c>
      <c r="BB289" s="22" t="s">
        <v>67</v>
      </c>
      <c r="BD289" s="22" t="s">
        <v>19048</v>
      </c>
      <c r="BE289" s="22" t="s">
        <v>145</v>
      </c>
      <c r="BF289" s="22" t="s">
        <v>70</v>
      </c>
      <c r="BG289" s="22" t="s">
        <v>67</v>
      </c>
      <c r="BI289" s="22" t="s">
        <v>19049</v>
      </c>
      <c r="BJ289" s="22" t="s">
        <v>145</v>
      </c>
      <c r="BK289" s="22" t="s">
        <v>70</v>
      </c>
      <c r="BL289" s="22" t="s">
        <v>67</v>
      </c>
      <c r="BN289" s="22" t="s">
        <v>19050</v>
      </c>
      <c r="BO289" s="22" t="s">
        <v>145</v>
      </c>
      <c r="BP289" s="22" t="s">
        <v>70</v>
      </c>
      <c r="BQ289" s="22" t="s">
        <v>67</v>
      </c>
      <c r="BS289" s="22" t="s">
        <v>19051</v>
      </c>
      <c r="BT289" s="22" t="s">
        <v>145</v>
      </c>
      <c r="BU289" s="22" t="s">
        <v>70</v>
      </c>
      <c r="BV289" s="214" t="s">
        <v>530</v>
      </c>
      <c r="BX289" s="22" t="s">
        <v>19052</v>
      </c>
      <c r="BY289" s="22" t="s">
        <v>145</v>
      </c>
      <c r="BZ289" s="22" t="s">
        <v>70</v>
      </c>
      <c r="CA289" s="214" t="s">
        <v>530</v>
      </c>
      <c r="CC289" s="214" t="s">
        <v>19053</v>
      </c>
      <c r="CD289" s="218" t="s">
        <v>145</v>
      </c>
      <c r="CE289" s="214" t="s">
        <v>70</v>
      </c>
      <c r="CF289" s="214" t="s">
        <v>742</v>
      </c>
      <c r="CH289" s="214" t="s">
        <v>19054</v>
      </c>
      <c r="CI289" s="214" t="s">
        <v>926</v>
      </c>
      <c r="CJ289" s="214" t="s">
        <v>70</v>
      </c>
      <c r="CK289" s="214" t="s">
        <v>530</v>
      </c>
      <c r="CM289" s="214" t="s">
        <v>19055</v>
      </c>
      <c r="CN289" s="214" t="s">
        <v>486</v>
      </c>
      <c r="CO289" s="214" t="s">
        <v>70</v>
      </c>
      <c r="CP289" s="214" t="s">
        <v>530</v>
      </c>
      <c r="CR289" s="214" t="s">
        <v>19056</v>
      </c>
      <c r="CS289" s="214" t="s">
        <v>52</v>
      </c>
      <c r="CT289" s="214" t="s">
        <v>70</v>
      </c>
      <c r="CU289" s="214" t="s">
        <v>530</v>
      </c>
      <c r="CW289" s="214" t="s">
        <v>19057</v>
      </c>
      <c r="CX289" s="214" t="s">
        <v>34551</v>
      </c>
      <c r="CY289" s="214" t="s">
        <v>70</v>
      </c>
      <c r="CZ289" s="214" t="s">
        <v>530</v>
      </c>
      <c r="DB289" s="214" t="s">
        <v>19058</v>
      </c>
      <c r="DC289" s="214" t="s">
        <v>34561</v>
      </c>
      <c r="DD289" s="214" t="s">
        <v>70</v>
      </c>
      <c r="DE289" s="214" t="s">
        <v>530</v>
      </c>
      <c r="DG289" s="214" t="s">
        <v>19059</v>
      </c>
      <c r="DH289" s="214" t="s">
        <v>34539</v>
      </c>
      <c r="DI289" s="214" t="s">
        <v>70</v>
      </c>
      <c r="DJ289" s="214" t="s">
        <v>530</v>
      </c>
      <c r="DL289" s="214" t="s">
        <v>19060</v>
      </c>
      <c r="DM289" s="214" t="s">
        <v>487</v>
      </c>
      <c r="DN289" s="214" t="s">
        <v>70</v>
      </c>
      <c r="DO289" s="214" t="s">
        <v>530</v>
      </c>
      <c r="DQ289" s="214" t="s">
        <v>19061</v>
      </c>
      <c r="DR289" s="214" t="s">
        <v>146</v>
      </c>
      <c r="DS289" s="214" t="s">
        <v>70</v>
      </c>
      <c r="DT289" s="214" t="s">
        <v>530</v>
      </c>
      <c r="DV289" s="214" t="s">
        <v>19062</v>
      </c>
      <c r="DW289" s="214" t="s">
        <v>488</v>
      </c>
      <c r="DX289" s="214" t="s">
        <v>70</v>
      </c>
      <c r="DY289" s="214" t="s">
        <v>530</v>
      </c>
      <c r="EA289" s="214" t="s">
        <v>19063</v>
      </c>
      <c r="EB289" s="214" t="s">
        <v>34544</v>
      </c>
      <c r="EC289" s="214" t="s">
        <v>70</v>
      </c>
      <c r="ED289" s="214" t="s">
        <v>530</v>
      </c>
      <c r="EF289" s="214" t="s">
        <v>19064</v>
      </c>
      <c r="EG289" s="214" t="s">
        <v>34516</v>
      </c>
      <c r="EH289" s="214" t="s">
        <v>70</v>
      </c>
      <c r="EI289" s="214" t="s">
        <v>530</v>
      </c>
      <c r="EK289" s="214" t="s">
        <v>19065</v>
      </c>
      <c r="EL289" s="214" t="s">
        <v>482</v>
      </c>
      <c r="EM289" s="214" t="s">
        <v>70</v>
      </c>
      <c r="EN289" s="214" t="s">
        <v>530</v>
      </c>
      <c r="EP289" s="214" t="s">
        <v>19066</v>
      </c>
      <c r="EQ289" s="214" t="s">
        <v>34541</v>
      </c>
      <c r="ER289" s="214" t="s">
        <v>70</v>
      </c>
      <c r="ES289" s="214" t="s">
        <v>530</v>
      </c>
      <c r="EU289" s="214" t="s">
        <v>19067</v>
      </c>
      <c r="EV289" s="214" t="s">
        <v>148</v>
      </c>
      <c r="EW289" s="214" t="s">
        <v>70</v>
      </c>
      <c r="EX289" s="214" t="s">
        <v>530</v>
      </c>
      <c r="EZ289" s="214" t="s">
        <v>19068</v>
      </c>
      <c r="FA289" s="214" t="s">
        <v>34551</v>
      </c>
      <c r="FB289" s="214" t="s">
        <v>70</v>
      </c>
      <c r="FC289" s="214" t="s">
        <v>530</v>
      </c>
      <c r="FE289" s="214" t="s">
        <v>19069</v>
      </c>
      <c r="FF289" s="214" t="s">
        <v>34541</v>
      </c>
      <c r="FG289" s="214" t="s">
        <v>70</v>
      </c>
      <c r="FH289" s="214" t="s">
        <v>530</v>
      </c>
      <c r="FJ289" s="321" t="s">
        <v>19070</v>
      </c>
      <c r="FK289" s="214" t="s">
        <v>34558</v>
      </c>
      <c r="FL289" s="214" t="s">
        <v>70</v>
      </c>
      <c r="FM289" s="214" t="s">
        <v>530</v>
      </c>
      <c r="FO289" s="321" t="s">
        <v>19071</v>
      </c>
      <c r="FP289" s="214" t="s">
        <v>145</v>
      </c>
      <c r="FQ289" s="214" t="s">
        <v>70</v>
      </c>
      <c r="FR289" s="214" t="s">
        <v>530</v>
      </c>
      <c r="FT289" s="321" t="s">
        <v>19072</v>
      </c>
      <c r="FU289" s="214" t="s">
        <v>492</v>
      </c>
      <c r="FV289" s="214" t="s">
        <v>70</v>
      </c>
      <c r="FW289" s="214" t="s">
        <v>530</v>
      </c>
      <c r="FY289" s="321" t="s">
        <v>19073</v>
      </c>
      <c r="FZ289" s="214" t="s">
        <v>921</v>
      </c>
      <c r="GA289" s="214" t="s">
        <v>70</v>
      </c>
      <c r="GB289" s="214" t="s">
        <v>530</v>
      </c>
      <c r="GD289" s="321" t="s">
        <v>19074</v>
      </c>
      <c r="GE289" s="214" t="s">
        <v>912</v>
      </c>
      <c r="GF289" s="214" t="s">
        <v>70</v>
      </c>
      <c r="GG289" s="214" t="s">
        <v>530</v>
      </c>
      <c r="GI289" s="321" t="s">
        <v>19075</v>
      </c>
      <c r="GJ289" s="214" t="s">
        <v>491</v>
      </c>
      <c r="GK289" s="214" t="s">
        <v>70</v>
      </c>
      <c r="GL289" s="214" t="s">
        <v>530</v>
      </c>
      <c r="GN289" s="321" t="s">
        <v>19076</v>
      </c>
      <c r="GO289" s="214" t="s">
        <v>488</v>
      </c>
      <c r="GP289" s="214" t="s">
        <v>70</v>
      </c>
      <c r="GQ289" s="214" t="s">
        <v>530</v>
      </c>
      <c r="GS289" s="321" t="s">
        <v>19077</v>
      </c>
      <c r="GT289" s="214" t="s">
        <v>468</v>
      </c>
      <c r="GU289" s="214" t="s">
        <v>70</v>
      </c>
      <c r="GV289" s="214" t="s">
        <v>530</v>
      </c>
      <c r="GX289" s="214" t="s">
        <v>19078</v>
      </c>
      <c r="GY289" s="214" t="s">
        <v>468</v>
      </c>
      <c r="GZ289" s="214" t="s">
        <v>70</v>
      </c>
      <c r="HA289" s="214" t="s">
        <v>530</v>
      </c>
      <c r="HC289" s="214" t="s">
        <v>19079</v>
      </c>
      <c r="HD289" s="214" t="s">
        <v>146</v>
      </c>
      <c r="HE289" s="214" t="s">
        <v>70</v>
      </c>
      <c r="HF289" s="214" t="s">
        <v>530</v>
      </c>
      <c r="HH289" s="214" t="s">
        <v>19080</v>
      </c>
      <c r="HI289" s="214" t="s">
        <v>488</v>
      </c>
      <c r="HJ289" s="214" t="s">
        <v>70</v>
      </c>
      <c r="HK289" s="214" t="s">
        <v>530</v>
      </c>
      <c r="HM289" s="214" t="s">
        <v>19081</v>
      </c>
      <c r="HN289" s="214" t="s">
        <v>955</v>
      </c>
      <c r="HO289" s="214" t="s">
        <v>70</v>
      </c>
      <c r="HP289" s="214" t="s">
        <v>530</v>
      </c>
      <c r="HR289" s="22" t="s">
        <v>19082</v>
      </c>
      <c r="HS289" s="22" t="s">
        <v>493</v>
      </c>
      <c r="HT289" s="22" t="s">
        <v>70</v>
      </c>
      <c r="HU289" s="214" t="s">
        <v>530</v>
      </c>
      <c r="HW289" s="22" t="s">
        <v>19083</v>
      </c>
      <c r="HX289" s="22" t="s">
        <v>34544</v>
      </c>
      <c r="HY289" s="22" t="s">
        <v>70</v>
      </c>
      <c r="HZ289" s="214" t="s">
        <v>530</v>
      </c>
      <c r="IB289" s="22" t="s">
        <v>19084</v>
      </c>
      <c r="IC289" s="22" t="s">
        <v>34547</v>
      </c>
      <c r="ID289" s="22" t="s">
        <v>70</v>
      </c>
      <c r="IE289" s="214" t="s">
        <v>530</v>
      </c>
      <c r="IG289" s="22" t="s">
        <v>19085</v>
      </c>
      <c r="IH289" s="22" t="s">
        <v>52</v>
      </c>
      <c r="II289" s="22" t="s">
        <v>70</v>
      </c>
      <c r="IJ289" s="214" t="s">
        <v>530</v>
      </c>
      <c r="IL289" s="22" t="s">
        <v>19086</v>
      </c>
      <c r="IM289" s="22" t="s">
        <v>145</v>
      </c>
      <c r="IN289" s="22" t="s">
        <v>70</v>
      </c>
      <c r="IO289" s="214" t="s">
        <v>530</v>
      </c>
      <c r="IQ289" s="236" t="s">
        <v>19087</v>
      </c>
      <c r="IR289" s="236" t="s">
        <v>145</v>
      </c>
      <c r="IS289" s="236" t="s">
        <v>74</v>
      </c>
      <c r="IT289" s="236" t="s">
        <v>841</v>
      </c>
      <c r="IV289" s="236" t="s">
        <v>19088</v>
      </c>
      <c r="IW289" s="236" t="s">
        <v>145</v>
      </c>
      <c r="IX289" s="236" t="s">
        <v>74</v>
      </c>
      <c r="IY289" s="236" t="s">
        <v>841</v>
      </c>
      <c r="JA289" s="236" t="s">
        <v>19089</v>
      </c>
      <c r="JB289" s="236" t="s">
        <v>145</v>
      </c>
      <c r="JC289" s="236" t="s">
        <v>74</v>
      </c>
      <c r="JD289" s="236" t="s">
        <v>841</v>
      </c>
      <c r="JF289" s="236" t="s">
        <v>19090</v>
      </c>
      <c r="JG289" s="236" t="s">
        <v>145</v>
      </c>
      <c r="JH289" s="236" t="s">
        <v>74</v>
      </c>
      <c r="JI289" s="236" t="s">
        <v>841</v>
      </c>
      <c r="JK289" s="236" t="s">
        <v>19091</v>
      </c>
      <c r="JL289" s="236" t="s">
        <v>145</v>
      </c>
      <c r="JM289" s="236" t="s">
        <v>74</v>
      </c>
      <c r="JN289" s="236" t="s">
        <v>841</v>
      </c>
      <c r="JP289" s="236" t="s">
        <v>19092</v>
      </c>
      <c r="JQ289" s="236" t="s">
        <v>145</v>
      </c>
      <c r="JR289" s="236" t="s">
        <v>74</v>
      </c>
      <c r="JS289" s="236" t="s">
        <v>841</v>
      </c>
      <c r="JU289" s="294" t="s">
        <v>19093</v>
      </c>
      <c r="JV289" s="294" t="s">
        <v>52</v>
      </c>
      <c r="JW289" s="263" t="s">
        <v>70</v>
      </c>
      <c r="JX289" s="294" t="s">
        <v>1083</v>
      </c>
      <c r="JZ289" s="263" t="s">
        <v>19094</v>
      </c>
      <c r="KA289" s="263" t="s">
        <v>145</v>
      </c>
      <c r="KB289" s="263" t="s">
        <v>70</v>
      </c>
      <c r="KC289" s="263" t="s">
        <v>1083</v>
      </c>
      <c r="KE289" s="263" t="s">
        <v>19095</v>
      </c>
      <c r="KF289" s="263" t="s">
        <v>52</v>
      </c>
      <c r="KG289" s="263" t="s">
        <v>70</v>
      </c>
      <c r="KH289" s="263" t="s">
        <v>1083</v>
      </c>
      <c r="KJ289" s="263" t="s">
        <v>19096</v>
      </c>
      <c r="KK289" s="263" t="s">
        <v>52</v>
      </c>
      <c r="KL289" s="263" t="s">
        <v>74</v>
      </c>
      <c r="KM289" s="263" t="s">
        <v>34074</v>
      </c>
      <c r="KO289" s="214" t="s">
        <v>19097</v>
      </c>
      <c r="KP289" s="214" t="s">
        <v>145</v>
      </c>
      <c r="KQ289" s="214" t="s">
        <v>70</v>
      </c>
      <c r="KR289" s="214" t="s">
        <v>67</v>
      </c>
      <c r="KT289" s="22" t="s">
        <v>19098</v>
      </c>
      <c r="KU289" s="22" t="s">
        <v>145</v>
      </c>
      <c r="KV289" s="22" t="s">
        <v>70</v>
      </c>
      <c r="KW289" s="22" t="s">
        <v>67</v>
      </c>
      <c r="KY289" s="214" t="s">
        <v>19099</v>
      </c>
      <c r="KZ289" s="214" t="s">
        <v>52</v>
      </c>
      <c r="LA289" s="214" t="s">
        <v>74</v>
      </c>
      <c r="LB289" s="214" t="s">
        <v>67</v>
      </c>
      <c r="LD289" s="22" t="s">
        <v>19100</v>
      </c>
      <c r="LE289" s="22" t="s">
        <v>145</v>
      </c>
      <c r="LF289" s="22" t="s">
        <v>70</v>
      </c>
      <c r="LG289" s="22" t="s">
        <v>67</v>
      </c>
    </row>
    <row r="290" spans="1:319">
      <c r="A290" s="22" t="s">
        <v>19101</v>
      </c>
      <c r="B290" s="22" t="s">
        <v>145</v>
      </c>
      <c r="C290" s="22" t="s">
        <v>70</v>
      </c>
      <c r="D290" s="22" t="s">
        <v>67</v>
      </c>
      <c r="F290" s="99" t="s">
        <v>19102</v>
      </c>
      <c r="G290" s="22" t="s">
        <v>145</v>
      </c>
      <c r="H290" s="22" t="s">
        <v>70</v>
      </c>
      <c r="I290" s="22" t="s">
        <v>67</v>
      </c>
      <c r="K290" s="22" t="s">
        <v>19103</v>
      </c>
      <c r="L290" s="22" t="s">
        <v>145</v>
      </c>
      <c r="M290" s="22" t="s">
        <v>70</v>
      </c>
      <c r="N290" s="22" t="s">
        <v>67</v>
      </c>
      <c r="P290" s="22" t="s">
        <v>19104</v>
      </c>
      <c r="Q290" s="22" t="s">
        <v>145</v>
      </c>
      <c r="R290" s="22" t="s">
        <v>70</v>
      </c>
      <c r="S290" s="22" t="s">
        <v>67</v>
      </c>
      <c r="U290" s="293" t="s">
        <v>19105</v>
      </c>
      <c r="V290" s="293" t="s">
        <v>145</v>
      </c>
      <c r="W290" s="293" t="s">
        <v>74</v>
      </c>
      <c r="X290" s="293" t="s">
        <v>656</v>
      </c>
      <c r="Z290" s="293" t="s">
        <v>19106</v>
      </c>
      <c r="AA290" s="293" t="s">
        <v>145</v>
      </c>
      <c r="AB290" s="293" t="s">
        <v>74</v>
      </c>
      <c r="AC290" s="293" t="s">
        <v>656</v>
      </c>
      <c r="AE290" s="293" t="s">
        <v>19107</v>
      </c>
      <c r="AF290" s="293" t="s">
        <v>145</v>
      </c>
      <c r="AG290" s="293" t="s">
        <v>74</v>
      </c>
      <c r="AH290" s="293" t="s">
        <v>656</v>
      </c>
      <c r="AJ290" s="293" t="s">
        <v>19108</v>
      </c>
      <c r="AK290" s="293" t="s">
        <v>145</v>
      </c>
      <c r="AL290" s="293" t="s">
        <v>74</v>
      </c>
      <c r="AM290" s="293" t="s">
        <v>656</v>
      </c>
      <c r="AO290" s="22" t="s">
        <v>19109</v>
      </c>
      <c r="AP290" s="22" t="s">
        <v>145</v>
      </c>
      <c r="AQ290" s="22" t="s">
        <v>70</v>
      </c>
      <c r="AR290" s="22" t="s">
        <v>67</v>
      </c>
      <c r="AT290" s="22" t="s">
        <v>19110</v>
      </c>
      <c r="AU290" s="22" t="s">
        <v>145</v>
      </c>
      <c r="AV290" s="22" t="s">
        <v>70</v>
      </c>
      <c r="AW290" s="22" t="s">
        <v>67</v>
      </c>
      <c r="AY290" s="22" t="s">
        <v>19111</v>
      </c>
      <c r="AZ290" s="22" t="s">
        <v>145</v>
      </c>
      <c r="BA290" s="22" t="s">
        <v>70</v>
      </c>
      <c r="BB290" s="22" t="s">
        <v>67</v>
      </c>
      <c r="BD290" s="22" t="s">
        <v>19112</v>
      </c>
      <c r="BE290" s="22" t="s">
        <v>145</v>
      </c>
      <c r="BF290" s="22" t="s">
        <v>70</v>
      </c>
      <c r="BG290" s="22" t="s">
        <v>67</v>
      </c>
      <c r="BI290" s="22" t="s">
        <v>19113</v>
      </c>
      <c r="BJ290" s="22" t="s">
        <v>145</v>
      </c>
      <c r="BK290" s="22" t="s">
        <v>70</v>
      </c>
      <c r="BL290" s="22" t="s">
        <v>67</v>
      </c>
      <c r="BN290" s="22" t="s">
        <v>19114</v>
      </c>
      <c r="BO290" s="22" t="s">
        <v>145</v>
      </c>
      <c r="BP290" s="22" t="s">
        <v>70</v>
      </c>
      <c r="BQ290" s="22" t="s">
        <v>67</v>
      </c>
      <c r="BS290" s="22" t="s">
        <v>19115</v>
      </c>
      <c r="BT290" s="22" t="s">
        <v>145</v>
      </c>
      <c r="BU290" s="22" t="s">
        <v>70</v>
      </c>
      <c r="BV290" s="214" t="s">
        <v>530</v>
      </c>
      <c r="BX290" s="22" t="s">
        <v>19116</v>
      </c>
      <c r="BY290" s="22" t="s">
        <v>145</v>
      </c>
      <c r="BZ290" s="22" t="s">
        <v>70</v>
      </c>
      <c r="CA290" s="214" t="s">
        <v>530</v>
      </c>
      <c r="CC290" s="214" t="s">
        <v>19117</v>
      </c>
      <c r="CD290" s="218" t="s">
        <v>145</v>
      </c>
      <c r="CE290" s="214" t="s">
        <v>70</v>
      </c>
      <c r="CF290" s="214" t="s">
        <v>743</v>
      </c>
      <c r="CH290" s="214" t="s">
        <v>19118</v>
      </c>
      <c r="CI290" s="214" t="s">
        <v>149</v>
      </c>
      <c r="CJ290" s="214" t="s">
        <v>70</v>
      </c>
      <c r="CK290" s="214" t="s">
        <v>530</v>
      </c>
      <c r="CM290" s="214" t="s">
        <v>19119</v>
      </c>
      <c r="CN290" s="214" t="s">
        <v>488</v>
      </c>
      <c r="CO290" s="214" t="s">
        <v>70</v>
      </c>
      <c r="CP290" s="214" t="s">
        <v>530</v>
      </c>
      <c r="CR290" s="214" t="s">
        <v>19120</v>
      </c>
      <c r="CS290" s="214" t="s">
        <v>52</v>
      </c>
      <c r="CT290" s="214" t="s">
        <v>70</v>
      </c>
      <c r="CU290" s="214" t="s">
        <v>530</v>
      </c>
      <c r="CW290" s="214" t="s">
        <v>19121</v>
      </c>
      <c r="CX290" s="214" t="s">
        <v>146</v>
      </c>
      <c r="CY290" s="214" t="s">
        <v>70</v>
      </c>
      <c r="CZ290" s="214" t="s">
        <v>530</v>
      </c>
      <c r="DB290" s="214" t="s">
        <v>19122</v>
      </c>
      <c r="DC290" s="214" t="s">
        <v>487</v>
      </c>
      <c r="DD290" s="214" t="s">
        <v>70</v>
      </c>
      <c r="DE290" s="214" t="s">
        <v>530</v>
      </c>
      <c r="DG290" s="214" t="s">
        <v>19123</v>
      </c>
      <c r="DH290" s="214" t="s">
        <v>52</v>
      </c>
      <c r="DI290" s="214" t="s">
        <v>70</v>
      </c>
      <c r="DJ290" s="214" t="s">
        <v>530</v>
      </c>
      <c r="DL290" s="214" t="s">
        <v>19124</v>
      </c>
      <c r="DM290" s="214" t="s">
        <v>52</v>
      </c>
      <c r="DN290" s="214" t="s">
        <v>70</v>
      </c>
      <c r="DO290" s="214" t="s">
        <v>530</v>
      </c>
      <c r="DQ290" s="214" t="s">
        <v>19125</v>
      </c>
      <c r="DR290" s="214" t="s">
        <v>34073</v>
      </c>
      <c r="DS290" s="214" t="s">
        <v>70</v>
      </c>
      <c r="DT290" s="214" t="s">
        <v>530</v>
      </c>
      <c r="DV290" s="214" t="s">
        <v>19126</v>
      </c>
      <c r="DW290" s="214" t="s">
        <v>52</v>
      </c>
      <c r="DX290" s="214" t="s">
        <v>70</v>
      </c>
      <c r="DY290" s="214" t="s">
        <v>530</v>
      </c>
      <c r="EA290" s="214" t="s">
        <v>19127</v>
      </c>
      <c r="EB290" s="214" t="s">
        <v>484</v>
      </c>
      <c r="EC290" s="214" t="s">
        <v>70</v>
      </c>
      <c r="ED290" s="214" t="s">
        <v>530</v>
      </c>
      <c r="EF290" s="214" t="s">
        <v>19128</v>
      </c>
      <c r="EG290" s="214" t="s">
        <v>163</v>
      </c>
      <c r="EH290" s="214" t="s">
        <v>70</v>
      </c>
      <c r="EI290" s="214" t="s">
        <v>530</v>
      </c>
      <c r="EK290" s="214" t="s">
        <v>19129</v>
      </c>
      <c r="EL290" s="214" t="s">
        <v>945</v>
      </c>
      <c r="EM290" s="214" t="s">
        <v>70</v>
      </c>
      <c r="EN290" s="214" t="s">
        <v>530</v>
      </c>
      <c r="EP290" s="214" t="s">
        <v>19130</v>
      </c>
      <c r="EQ290" s="214" t="s">
        <v>500</v>
      </c>
      <c r="ER290" s="214" t="s">
        <v>70</v>
      </c>
      <c r="ES290" s="214" t="s">
        <v>530</v>
      </c>
      <c r="EU290" s="214" t="s">
        <v>19131</v>
      </c>
      <c r="EV290" s="214" t="s">
        <v>52</v>
      </c>
      <c r="EW290" s="214" t="s">
        <v>70</v>
      </c>
      <c r="EX290" s="214" t="s">
        <v>530</v>
      </c>
      <c r="EZ290" s="214" t="s">
        <v>19132</v>
      </c>
      <c r="FA290" s="214" t="s">
        <v>531</v>
      </c>
      <c r="FB290" s="214" t="s">
        <v>70</v>
      </c>
      <c r="FC290" s="214" t="s">
        <v>530</v>
      </c>
      <c r="FE290" s="214" t="s">
        <v>19133</v>
      </c>
      <c r="FF290" s="214" t="s">
        <v>910</v>
      </c>
      <c r="FG290" s="214" t="s">
        <v>70</v>
      </c>
      <c r="FH290" s="214" t="s">
        <v>530</v>
      </c>
      <c r="FJ290" s="321" t="s">
        <v>19134</v>
      </c>
      <c r="FK290" s="214" t="s">
        <v>488</v>
      </c>
      <c r="FL290" s="214" t="s">
        <v>70</v>
      </c>
      <c r="FM290" s="214" t="s">
        <v>530</v>
      </c>
      <c r="FO290" s="321" t="s">
        <v>19135</v>
      </c>
      <c r="FP290" s="214" t="s">
        <v>103</v>
      </c>
      <c r="FQ290" s="214" t="s">
        <v>70</v>
      </c>
      <c r="FR290" s="214" t="s">
        <v>530</v>
      </c>
      <c r="FT290" s="321" t="s">
        <v>19136</v>
      </c>
      <c r="FU290" s="214" t="s">
        <v>88</v>
      </c>
      <c r="FV290" s="214" t="s">
        <v>70</v>
      </c>
      <c r="FW290" s="214" t="s">
        <v>530</v>
      </c>
      <c r="FY290" s="321" t="s">
        <v>19137</v>
      </c>
      <c r="FZ290" s="214" t="s">
        <v>34516</v>
      </c>
      <c r="GA290" s="214" t="s">
        <v>70</v>
      </c>
      <c r="GB290" s="214" t="s">
        <v>530</v>
      </c>
      <c r="GD290" s="321" t="s">
        <v>19138</v>
      </c>
      <c r="GE290" s="214" t="s">
        <v>288</v>
      </c>
      <c r="GF290" s="214" t="s">
        <v>70</v>
      </c>
      <c r="GG290" s="214" t="s">
        <v>530</v>
      </c>
      <c r="GI290" s="321" t="s">
        <v>19139</v>
      </c>
      <c r="GJ290" s="214" t="s">
        <v>148</v>
      </c>
      <c r="GK290" s="214" t="s">
        <v>70</v>
      </c>
      <c r="GL290" s="214" t="s">
        <v>530</v>
      </c>
      <c r="GN290" s="321" t="s">
        <v>19140</v>
      </c>
      <c r="GO290" s="214" t="s">
        <v>52</v>
      </c>
      <c r="GP290" s="214" t="s">
        <v>70</v>
      </c>
      <c r="GQ290" s="214" t="s">
        <v>530</v>
      </c>
      <c r="GS290" s="321" t="s">
        <v>19141</v>
      </c>
      <c r="GT290" s="214" t="s">
        <v>468</v>
      </c>
      <c r="GU290" s="214" t="s">
        <v>70</v>
      </c>
      <c r="GV290" s="214" t="s">
        <v>530</v>
      </c>
      <c r="GX290" s="214" t="s">
        <v>19142</v>
      </c>
      <c r="GY290" s="214" t="s">
        <v>52</v>
      </c>
      <c r="GZ290" s="214" t="s">
        <v>70</v>
      </c>
      <c r="HA290" s="214" t="s">
        <v>530</v>
      </c>
      <c r="HC290" s="214" t="s">
        <v>19143</v>
      </c>
      <c r="HD290" s="214" t="s">
        <v>34575</v>
      </c>
      <c r="HE290" s="214" t="s">
        <v>70</v>
      </c>
      <c r="HF290" s="214" t="s">
        <v>530</v>
      </c>
      <c r="HH290" s="214" t="s">
        <v>19144</v>
      </c>
      <c r="HI290" s="214" t="s">
        <v>163</v>
      </c>
      <c r="HJ290" s="214" t="s">
        <v>70</v>
      </c>
      <c r="HK290" s="214" t="s">
        <v>530</v>
      </c>
      <c r="HM290" s="214" t="s">
        <v>19145</v>
      </c>
      <c r="HN290" s="214" t="s">
        <v>305</v>
      </c>
      <c r="HO290" s="214" t="s">
        <v>70</v>
      </c>
      <c r="HP290" s="214" t="s">
        <v>530</v>
      </c>
      <c r="HR290" s="22" t="s">
        <v>19146</v>
      </c>
      <c r="HS290" s="22" t="s">
        <v>34602</v>
      </c>
      <c r="HT290" s="22" t="s">
        <v>70</v>
      </c>
      <c r="HU290" s="214" t="s">
        <v>530</v>
      </c>
      <c r="HW290" s="22" t="s">
        <v>19147</v>
      </c>
      <c r="HX290" s="22" t="s">
        <v>531</v>
      </c>
      <c r="HY290" s="22" t="s">
        <v>70</v>
      </c>
      <c r="HZ290" s="214" t="s">
        <v>530</v>
      </c>
      <c r="IB290" s="22" t="s">
        <v>19148</v>
      </c>
      <c r="IC290" s="22" t="s">
        <v>495</v>
      </c>
      <c r="ID290" s="22" t="s">
        <v>70</v>
      </c>
      <c r="IE290" s="214" t="s">
        <v>530</v>
      </c>
      <c r="IG290" s="22" t="s">
        <v>19149</v>
      </c>
      <c r="IH290" s="22" t="s">
        <v>52</v>
      </c>
      <c r="II290" s="22" t="s">
        <v>70</v>
      </c>
      <c r="IJ290" s="214" t="s">
        <v>530</v>
      </c>
      <c r="IL290" s="22" t="s">
        <v>19150</v>
      </c>
      <c r="IM290" s="22" t="s">
        <v>145</v>
      </c>
      <c r="IN290" s="22" t="s">
        <v>70</v>
      </c>
      <c r="IO290" s="214" t="s">
        <v>530</v>
      </c>
      <c r="IQ290" s="236" t="s">
        <v>19151</v>
      </c>
      <c r="IR290" s="236" t="s">
        <v>145</v>
      </c>
      <c r="IS290" s="236" t="s">
        <v>74</v>
      </c>
      <c r="IT290" s="236" t="s">
        <v>841</v>
      </c>
      <c r="IV290" s="236" t="s">
        <v>19152</v>
      </c>
      <c r="IW290" s="236" t="s">
        <v>145</v>
      </c>
      <c r="IX290" s="236" t="s">
        <v>74</v>
      </c>
      <c r="IY290" s="236" t="s">
        <v>841</v>
      </c>
      <c r="JA290" s="236" t="s">
        <v>19153</v>
      </c>
      <c r="JB290" s="236" t="s">
        <v>145</v>
      </c>
      <c r="JC290" s="236" t="s">
        <v>74</v>
      </c>
      <c r="JD290" s="236" t="s">
        <v>841</v>
      </c>
      <c r="JF290" s="236" t="s">
        <v>19154</v>
      </c>
      <c r="JG290" s="236" t="s">
        <v>145</v>
      </c>
      <c r="JH290" s="236" t="s">
        <v>74</v>
      </c>
      <c r="JI290" s="236" t="s">
        <v>841</v>
      </c>
      <c r="JK290" s="236" t="s">
        <v>19155</v>
      </c>
      <c r="JL290" s="236" t="s">
        <v>145</v>
      </c>
      <c r="JM290" s="236" t="s">
        <v>74</v>
      </c>
      <c r="JN290" s="236" t="s">
        <v>841</v>
      </c>
      <c r="JP290" s="236" t="s">
        <v>19156</v>
      </c>
      <c r="JQ290" s="236" t="s">
        <v>145</v>
      </c>
      <c r="JR290" s="236" t="s">
        <v>74</v>
      </c>
      <c r="JS290" s="236" t="s">
        <v>841</v>
      </c>
      <c r="JU290" s="294" t="s">
        <v>19157</v>
      </c>
      <c r="JV290" s="294" t="s">
        <v>52</v>
      </c>
      <c r="JW290" s="263" t="s">
        <v>70</v>
      </c>
      <c r="JX290" s="294" t="s">
        <v>1083</v>
      </c>
      <c r="JZ290" s="263" t="s">
        <v>19158</v>
      </c>
      <c r="KA290" s="263" t="s">
        <v>145</v>
      </c>
      <c r="KB290" s="263" t="s">
        <v>70</v>
      </c>
      <c r="KC290" s="263" t="s">
        <v>1083</v>
      </c>
      <c r="KE290" s="263" t="s">
        <v>19159</v>
      </c>
      <c r="KF290" s="263" t="s">
        <v>52</v>
      </c>
      <c r="KG290" s="263" t="s">
        <v>70</v>
      </c>
      <c r="KH290" s="263" t="s">
        <v>1083</v>
      </c>
      <c r="KJ290" s="263" t="s">
        <v>19160</v>
      </c>
      <c r="KK290" s="263" t="s">
        <v>52</v>
      </c>
      <c r="KL290" s="263" t="s">
        <v>74</v>
      </c>
      <c r="KM290" s="263" t="s">
        <v>34074</v>
      </c>
      <c r="KO290" s="214" t="s">
        <v>19161</v>
      </c>
      <c r="KP290" s="214" t="s">
        <v>145</v>
      </c>
      <c r="KQ290" s="214" t="s">
        <v>70</v>
      </c>
      <c r="KR290" s="214" t="s">
        <v>67</v>
      </c>
      <c r="KT290" s="22" t="s">
        <v>19162</v>
      </c>
      <c r="KU290" s="22" t="s">
        <v>145</v>
      </c>
      <c r="KV290" s="22" t="s">
        <v>70</v>
      </c>
      <c r="KW290" s="22" t="s">
        <v>67</v>
      </c>
      <c r="KY290" s="214" t="s">
        <v>19163</v>
      </c>
      <c r="KZ290" s="214" t="s">
        <v>52</v>
      </c>
      <c r="LA290" s="214" t="s">
        <v>74</v>
      </c>
      <c r="LB290" s="214" t="s">
        <v>67</v>
      </c>
      <c r="LD290" s="22" t="s">
        <v>19164</v>
      </c>
      <c r="LE290" s="22" t="s">
        <v>145</v>
      </c>
      <c r="LF290" s="22" t="s">
        <v>70</v>
      </c>
      <c r="LG290" s="22" t="s">
        <v>67</v>
      </c>
    </row>
    <row r="291" spans="1:319">
      <c r="A291" s="22" t="s">
        <v>19165</v>
      </c>
      <c r="B291" s="22" t="s">
        <v>145</v>
      </c>
      <c r="C291" s="22" t="s">
        <v>70</v>
      </c>
      <c r="D291" s="22" t="s">
        <v>67</v>
      </c>
      <c r="F291" s="99" t="s">
        <v>19166</v>
      </c>
      <c r="G291" s="22" t="s">
        <v>145</v>
      </c>
      <c r="H291" s="22" t="s">
        <v>70</v>
      </c>
      <c r="I291" s="22" t="s">
        <v>67</v>
      </c>
      <c r="K291" s="22" t="s">
        <v>19167</v>
      </c>
      <c r="L291" s="22" t="s">
        <v>145</v>
      </c>
      <c r="M291" s="22" t="s">
        <v>70</v>
      </c>
      <c r="N291" s="22" t="s">
        <v>67</v>
      </c>
      <c r="P291" s="22" t="s">
        <v>19168</v>
      </c>
      <c r="Q291" s="22" t="s">
        <v>145</v>
      </c>
      <c r="R291" s="22" t="s">
        <v>70</v>
      </c>
      <c r="S291" s="22" t="s">
        <v>67</v>
      </c>
      <c r="U291" s="293" t="s">
        <v>19169</v>
      </c>
      <c r="V291" s="293" t="s">
        <v>145</v>
      </c>
      <c r="W291" s="293" t="s">
        <v>74</v>
      </c>
      <c r="X291" s="293" t="s">
        <v>656</v>
      </c>
      <c r="Z291" s="293" t="s">
        <v>19170</v>
      </c>
      <c r="AA291" s="293" t="s">
        <v>145</v>
      </c>
      <c r="AB291" s="293" t="s">
        <v>74</v>
      </c>
      <c r="AC291" s="293" t="s">
        <v>656</v>
      </c>
      <c r="AE291" s="293" t="s">
        <v>19171</v>
      </c>
      <c r="AF291" s="293" t="s">
        <v>145</v>
      </c>
      <c r="AG291" s="293" t="s">
        <v>74</v>
      </c>
      <c r="AH291" s="293" t="s">
        <v>656</v>
      </c>
      <c r="AJ291" s="293" t="s">
        <v>19172</v>
      </c>
      <c r="AK291" s="293" t="s">
        <v>145</v>
      </c>
      <c r="AL291" s="293" t="s">
        <v>74</v>
      </c>
      <c r="AM291" s="293" t="s">
        <v>656</v>
      </c>
      <c r="AO291" s="22" t="s">
        <v>19173</v>
      </c>
      <c r="AP291" s="22" t="s">
        <v>145</v>
      </c>
      <c r="AQ291" s="22" t="s">
        <v>70</v>
      </c>
      <c r="AR291" s="22" t="s">
        <v>67</v>
      </c>
      <c r="AT291" s="22" t="s">
        <v>19174</v>
      </c>
      <c r="AU291" s="22" t="s">
        <v>145</v>
      </c>
      <c r="AV291" s="22" t="s">
        <v>70</v>
      </c>
      <c r="AW291" s="22" t="s">
        <v>67</v>
      </c>
      <c r="AY291" s="22" t="s">
        <v>19175</v>
      </c>
      <c r="AZ291" s="22" t="s">
        <v>145</v>
      </c>
      <c r="BA291" s="22" t="s">
        <v>70</v>
      </c>
      <c r="BB291" s="22" t="s">
        <v>67</v>
      </c>
      <c r="BD291" s="22" t="s">
        <v>19176</v>
      </c>
      <c r="BE291" s="22" t="s">
        <v>145</v>
      </c>
      <c r="BF291" s="22" t="s">
        <v>70</v>
      </c>
      <c r="BG291" s="22" t="s">
        <v>67</v>
      </c>
      <c r="BI291" s="22" t="s">
        <v>19177</v>
      </c>
      <c r="BJ291" s="22" t="s">
        <v>145</v>
      </c>
      <c r="BK291" s="22" t="s">
        <v>70</v>
      </c>
      <c r="BL291" s="22" t="s">
        <v>67</v>
      </c>
      <c r="BN291" s="22" t="s">
        <v>19178</v>
      </c>
      <c r="BO291" s="22" t="s">
        <v>145</v>
      </c>
      <c r="BP291" s="22" t="s">
        <v>70</v>
      </c>
      <c r="BQ291" s="22" t="s">
        <v>67</v>
      </c>
      <c r="BS291" s="22" t="s">
        <v>19179</v>
      </c>
      <c r="BT291" s="22" t="s">
        <v>145</v>
      </c>
      <c r="BU291" s="22" t="s">
        <v>70</v>
      </c>
      <c r="BV291" s="214" t="s">
        <v>530</v>
      </c>
      <c r="BX291" s="22" t="s">
        <v>19180</v>
      </c>
      <c r="BY291" s="22" t="s">
        <v>145</v>
      </c>
      <c r="BZ291" s="22" t="s">
        <v>70</v>
      </c>
      <c r="CA291" s="214" t="s">
        <v>530</v>
      </c>
      <c r="CC291" s="214" t="s">
        <v>19181</v>
      </c>
      <c r="CD291" s="218" t="s">
        <v>145</v>
      </c>
      <c r="CE291" s="214" t="s">
        <v>70</v>
      </c>
      <c r="CF291" s="214" t="s">
        <v>744</v>
      </c>
      <c r="CH291" s="214" t="s">
        <v>19182</v>
      </c>
      <c r="CI291" s="214" t="s">
        <v>34570</v>
      </c>
      <c r="CJ291" s="214" t="s">
        <v>70</v>
      </c>
      <c r="CK291" s="214" t="s">
        <v>530</v>
      </c>
      <c r="CM291" s="214" t="s">
        <v>19183</v>
      </c>
      <c r="CN291" s="214" t="s">
        <v>488</v>
      </c>
      <c r="CO291" s="214" t="s">
        <v>70</v>
      </c>
      <c r="CP291" s="214" t="s">
        <v>530</v>
      </c>
      <c r="CR291" s="214" t="s">
        <v>19184</v>
      </c>
      <c r="CS291" s="214" t="s">
        <v>34624</v>
      </c>
      <c r="CT291" s="214" t="s">
        <v>70</v>
      </c>
      <c r="CU291" s="214" t="s">
        <v>530</v>
      </c>
      <c r="CW291" s="214" t="s">
        <v>19185</v>
      </c>
      <c r="CX291" s="214" t="s">
        <v>34557</v>
      </c>
      <c r="CY291" s="214" t="s">
        <v>70</v>
      </c>
      <c r="CZ291" s="214" t="s">
        <v>530</v>
      </c>
      <c r="DB291" s="214" t="s">
        <v>19186</v>
      </c>
      <c r="DC291" s="214" t="s">
        <v>491</v>
      </c>
      <c r="DD291" s="214" t="s">
        <v>70</v>
      </c>
      <c r="DE291" s="214" t="s">
        <v>530</v>
      </c>
      <c r="DG291" s="214" t="s">
        <v>19187</v>
      </c>
      <c r="DH291" s="214" t="s">
        <v>950</v>
      </c>
      <c r="DI291" s="214" t="s">
        <v>70</v>
      </c>
      <c r="DJ291" s="214" t="s">
        <v>530</v>
      </c>
      <c r="DL291" s="214" t="s">
        <v>19188</v>
      </c>
      <c r="DM291" s="214" t="s">
        <v>52</v>
      </c>
      <c r="DN291" s="214" t="s">
        <v>70</v>
      </c>
      <c r="DO291" s="214" t="s">
        <v>530</v>
      </c>
      <c r="DQ291" s="214" t="s">
        <v>19189</v>
      </c>
      <c r="DR291" s="214" t="s">
        <v>926</v>
      </c>
      <c r="DS291" s="214" t="s">
        <v>70</v>
      </c>
      <c r="DT291" s="214" t="s">
        <v>530</v>
      </c>
      <c r="DV291" s="214" t="s">
        <v>19190</v>
      </c>
      <c r="DW291" s="214" t="s">
        <v>601</v>
      </c>
      <c r="DX291" s="214" t="s">
        <v>70</v>
      </c>
      <c r="DY291" s="214" t="s">
        <v>530</v>
      </c>
      <c r="EA291" s="214" t="s">
        <v>19191</v>
      </c>
      <c r="EB291" s="214" t="s">
        <v>926</v>
      </c>
      <c r="EC291" s="214" t="s">
        <v>70</v>
      </c>
      <c r="ED291" s="214" t="s">
        <v>530</v>
      </c>
      <c r="EF291" s="214" t="s">
        <v>19192</v>
      </c>
      <c r="EG291" s="214" t="s">
        <v>921</v>
      </c>
      <c r="EH291" s="214" t="s">
        <v>70</v>
      </c>
      <c r="EI291" s="214" t="s">
        <v>530</v>
      </c>
      <c r="EK291" s="214" t="s">
        <v>19193</v>
      </c>
      <c r="EL291" s="214" t="s">
        <v>531</v>
      </c>
      <c r="EM291" s="214" t="s">
        <v>70</v>
      </c>
      <c r="EN291" s="214" t="s">
        <v>530</v>
      </c>
      <c r="EP291" s="214" t="s">
        <v>19194</v>
      </c>
      <c r="EQ291" s="214" t="s">
        <v>145</v>
      </c>
      <c r="ER291" s="214" t="s">
        <v>70</v>
      </c>
      <c r="ES291" s="214" t="s">
        <v>530</v>
      </c>
      <c r="EU291" s="214" t="s">
        <v>19195</v>
      </c>
      <c r="EV291" s="214" t="s">
        <v>34574</v>
      </c>
      <c r="EW291" s="214" t="s">
        <v>70</v>
      </c>
      <c r="EX291" s="214" t="s">
        <v>530</v>
      </c>
      <c r="EZ291" s="214" t="s">
        <v>19196</v>
      </c>
      <c r="FA291" s="214" t="s">
        <v>34558</v>
      </c>
      <c r="FB291" s="214" t="s">
        <v>70</v>
      </c>
      <c r="FC291" s="214" t="s">
        <v>530</v>
      </c>
      <c r="FE291" s="214" t="s">
        <v>19197</v>
      </c>
      <c r="FF291" s="214" t="s">
        <v>34405</v>
      </c>
      <c r="FG291" s="214" t="s">
        <v>70</v>
      </c>
      <c r="FH291" s="214" t="s">
        <v>530</v>
      </c>
      <c r="FJ291" s="321" t="s">
        <v>19198</v>
      </c>
      <c r="FK291" s="214" t="s">
        <v>798</v>
      </c>
      <c r="FL291" s="214" t="s">
        <v>70</v>
      </c>
      <c r="FM291" s="214" t="s">
        <v>530</v>
      </c>
      <c r="FO291" s="321" t="s">
        <v>19199</v>
      </c>
      <c r="FP291" s="214" t="s">
        <v>34558</v>
      </c>
      <c r="FQ291" s="214" t="s">
        <v>70</v>
      </c>
      <c r="FR291" s="214" t="s">
        <v>530</v>
      </c>
      <c r="FT291" s="321" t="s">
        <v>19200</v>
      </c>
      <c r="FU291" s="214" t="s">
        <v>484</v>
      </c>
      <c r="FV291" s="214" t="s">
        <v>70</v>
      </c>
      <c r="FW291" s="214" t="s">
        <v>530</v>
      </c>
      <c r="FY291" s="321" t="s">
        <v>19201</v>
      </c>
      <c r="FZ291" s="214" t="s">
        <v>34544</v>
      </c>
      <c r="GA291" s="214" t="s">
        <v>70</v>
      </c>
      <c r="GB291" s="214" t="s">
        <v>530</v>
      </c>
      <c r="GD291" s="321" t="s">
        <v>19202</v>
      </c>
      <c r="GE291" s="214" t="s">
        <v>34558</v>
      </c>
      <c r="GF291" s="214" t="s">
        <v>70</v>
      </c>
      <c r="GG291" s="214" t="s">
        <v>530</v>
      </c>
      <c r="GI291" s="321" t="s">
        <v>19203</v>
      </c>
      <c r="GJ291" s="214" t="s">
        <v>484</v>
      </c>
      <c r="GK291" s="214" t="s">
        <v>70</v>
      </c>
      <c r="GL291" s="214" t="s">
        <v>530</v>
      </c>
      <c r="GN291" s="321" t="s">
        <v>19204</v>
      </c>
      <c r="GO291" s="214" t="s">
        <v>601</v>
      </c>
      <c r="GP291" s="214" t="s">
        <v>70</v>
      </c>
      <c r="GQ291" s="214" t="s">
        <v>530</v>
      </c>
      <c r="GS291" s="321" t="s">
        <v>19205</v>
      </c>
      <c r="GT291" s="214" t="s">
        <v>481</v>
      </c>
      <c r="GU291" s="214" t="s">
        <v>70</v>
      </c>
      <c r="GV291" s="214" t="s">
        <v>530</v>
      </c>
      <c r="GX291" s="214" t="s">
        <v>19206</v>
      </c>
      <c r="GY291" s="214" t="s">
        <v>203</v>
      </c>
      <c r="GZ291" s="214" t="s">
        <v>70</v>
      </c>
      <c r="HA291" s="214" t="s">
        <v>530</v>
      </c>
      <c r="HC291" s="214" t="s">
        <v>19207</v>
      </c>
      <c r="HD291" s="214" t="s">
        <v>502</v>
      </c>
      <c r="HE291" s="214" t="s">
        <v>70</v>
      </c>
      <c r="HF291" s="214" t="s">
        <v>530</v>
      </c>
      <c r="HH291" s="214" t="s">
        <v>19208</v>
      </c>
      <c r="HI291" s="214" t="s">
        <v>955</v>
      </c>
      <c r="HJ291" s="214" t="s">
        <v>70</v>
      </c>
      <c r="HK291" s="214" t="s">
        <v>530</v>
      </c>
      <c r="HM291" s="214" t="s">
        <v>19209</v>
      </c>
      <c r="HN291" s="214" t="s">
        <v>34547</v>
      </c>
      <c r="HO291" s="214" t="s">
        <v>70</v>
      </c>
      <c r="HP291" s="214" t="s">
        <v>530</v>
      </c>
      <c r="HR291" s="22" t="s">
        <v>19210</v>
      </c>
      <c r="HS291" s="22" t="s">
        <v>85</v>
      </c>
      <c r="HT291" s="22" t="s">
        <v>70</v>
      </c>
      <c r="HU291" s="214" t="s">
        <v>530</v>
      </c>
      <c r="HW291" s="22" t="s">
        <v>19211</v>
      </c>
      <c r="HX291" s="22" t="s">
        <v>798</v>
      </c>
      <c r="HY291" s="22" t="s">
        <v>70</v>
      </c>
      <c r="HZ291" s="214" t="s">
        <v>530</v>
      </c>
      <c r="IB291" s="22" t="s">
        <v>19212</v>
      </c>
      <c r="IC291" s="22" t="s">
        <v>484</v>
      </c>
      <c r="ID291" s="22" t="s">
        <v>70</v>
      </c>
      <c r="IE291" s="214" t="s">
        <v>530</v>
      </c>
      <c r="IG291" s="22" t="s">
        <v>19213</v>
      </c>
      <c r="IH291" s="22" t="s">
        <v>52</v>
      </c>
      <c r="II291" s="22" t="s">
        <v>70</v>
      </c>
      <c r="IJ291" s="214" t="s">
        <v>530</v>
      </c>
      <c r="IL291" s="22" t="s">
        <v>19214</v>
      </c>
      <c r="IM291" s="22" t="s">
        <v>145</v>
      </c>
      <c r="IN291" s="22" t="s">
        <v>70</v>
      </c>
      <c r="IO291" s="214" t="s">
        <v>530</v>
      </c>
      <c r="IQ291" s="236" t="s">
        <v>19215</v>
      </c>
      <c r="IR291" s="236" t="s">
        <v>145</v>
      </c>
      <c r="IS291" s="236" t="s">
        <v>74</v>
      </c>
      <c r="IT291" s="236" t="s">
        <v>841</v>
      </c>
      <c r="IV291" s="236" t="s">
        <v>19216</v>
      </c>
      <c r="IW291" s="236" t="s">
        <v>145</v>
      </c>
      <c r="IX291" s="236" t="s">
        <v>74</v>
      </c>
      <c r="IY291" s="236" t="s">
        <v>841</v>
      </c>
      <c r="JA291" s="236" t="s">
        <v>19217</v>
      </c>
      <c r="JB291" s="236" t="s">
        <v>145</v>
      </c>
      <c r="JC291" s="236" t="s">
        <v>74</v>
      </c>
      <c r="JD291" s="236" t="s">
        <v>841</v>
      </c>
      <c r="JF291" s="236" t="s">
        <v>19218</v>
      </c>
      <c r="JG291" s="236" t="s">
        <v>145</v>
      </c>
      <c r="JH291" s="236" t="s">
        <v>74</v>
      </c>
      <c r="JI291" s="236" t="s">
        <v>841</v>
      </c>
      <c r="JK291" s="236" t="s">
        <v>19219</v>
      </c>
      <c r="JL291" s="236" t="s">
        <v>145</v>
      </c>
      <c r="JM291" s="236" t="s">
        <v>74</v>
      </c>
      <c r="JN291" s="236" t="s">
        <v>841</v>
      </c>
      <c r="JP291" s="236" t="s">
        <v>19220</v>
      </c>
      <c r="JQ291" s="236" t="s">
        <v>145</v>
      </c>
      <c r="JR291" s="236" t="s">
        <v>74</v>
      </c>
      <c r="JS291" s="236" t="s">
        <v>841</v>
      </c>
      <c r="JU291" s="294" t="s">
        <v>19221</v>
      </c>
      <c r="JV291" s="294" t="s">
        <v>52</v>
      </c>
      <c r="JW291" s="263" t="s">
        <v>70</v>
      </c>
      <c r="JX291" s="294" t="s">
        <v>1083</v>
      </c>
      <c r="JZ291" s="263" t="s">
        <v>19222</v>
      </c>
      <c r="KA291" s="263" t="s">
        <v>145</v>
      </c>
      <c r="KB291" s="263" t="s">
        <v>70</v>
      </c>
      <c r="KC291" s="263" t="s">
        <v>1083</v>
      </c>
      <c r="KE291" s="263" t="s">
        <v>19223</v>
      </c>
      <c r="KF291" s="263" t="s">
        <v>52</v>
      </c>
      <c r="KG291" s="263" t="s">
        <v>70</v>
      </c>
      <c r="KH291" s="263" t="s">
        <v>1083</v>
      </c>
      <c r="KJ291" s="263" t="s">
        <v>19224</v>
      </c>
      <c r="KK291" s="263" t="s">
        <v>52</v>
      </c>
      <c r="KL291" s="263" t="s">
        <v>74</v>
      </c>
      <c r="KM291" s="263" t="s">
        <v>34074</v>
      </c>
      <c r="KO291" s="214" t="s">
        <v>19225</v>
      </c>
      <c r="KP291" s="214" t="s">
        <v>145</v>
      </c>
      <c r="KQ291" s="214" t="s">
        <v>70</v>
      </c>
      <c r="KR291" s="214" t="s">
        <v>67</v>
      </c>
      <c r="KT291" s="22" t="s">
        <v>19226</v>
      </c>
      <c r="KU291" s="22" t="s">
        <v>145</v>
      </c>
      <c r="KV291" s="22" t="s">
        <v>70</v>
      </c>
      <c r="KW291" s="22" t="s">
        <v>67</v>
      </c>
      <c r="KY291" s="214" t="s">
        <v>19227</v>
      </c>
      <c r="KZ291" s="214" t="s">
        <v>52</v>
      </c>
      <c r="LA291" s="214" t="s">
        <v>74</v>
      </c>
      <c r="LB291" s="214" t="s">
        <v>67</v>
      </c>
      <c r="LD291" s="22" t="s">
        <v>19228</v>
      </c>
      <c r="LE291" s="22" t="s">
        <v>145</v>
      </c>
      <c r="LF291" s="22" t="s">
        <v>70</v>
      </c>
      <c r="LG291" s="22" t="s">
        <v>67</v>
      </c>
    </row>
    <row r="292" spans="1:319">
      <c r="A292" s="22" t="s">
        <v>19229</v>
      </c>
      <c r="B292" s="22" t="s">
        <v>145</v>
      </c>
      <c r="C292" s="22" t="s">
        <v>70</v>
      </c>
      <c r="D292" s="22" t="s">
        <v>67</v>
      </c>
      <c r="F292" s="99" t="s">
        <v>19230</v>
      </c>
      <c r="G292" s="22" t="s">
        <v>145</v>
      </c>
      <c r="H292" s="22" t="s">
        <v>70</v>
      </c>
      <c r="I292" s="22" t="s">
        <v>67</v>
      </c>
      <c r="K292" s="22" t="s">
        <v>19231</v>
      </c>
      <c r="L292" s="22" t="s">
        <v>145</v>
      </c>
      <c r="M292" s="22" t="s">
        <v>70</v>
      </c>
      <c r="N292" s="22" t="s">
        <v>67</v>
      </c>
      <c r="P292" s="22" t="s">
        <v>19232</v>
      </c>
      <c r="Q292" s="22" t="s">
        <v>145</v>
      </c>
      <c r="R292" s="22" t="s">
        <v>70</v>
      </c>
      <c r="S292" s="22" t="s">
        <v>67</v>
      </c>
      <c r="U292" s="293" t="s">
        <v>19233</v>
      </c>
      <c r="V292" s="293" t="s">
        <v>145</v>
      </c>
      <c r="W292" s="293" t="s">
        <v>74</v>
      </c>
      <c r="X292" s="293" t="s">
        <v>656</v>
      </c>
      <c r="Z292" s="293" t="s">
        <v>19234</v>
      </c>
      <c r="AA292" s="293" t="s">
        <v>145</v>
      </c>
      <c r="AB292" s="293" t="s">
        <v>74</v>
      </c>
      <c r="AC292" s="293" t="s">
        <v>656</v>
      </c>
      <c r="AE292" s="293" t="s">
        <v>19235</v>
      </c>
      <c r="AF292" s="293" t="s">
        <v>145</v>
      </c>
      <c r="AG292" s="293" t="s">
        <v>74</v>
      </c>
      <c r="AH292" s="293" t="s">
        <v>656</v>
      </c>
      <c r="AJ292" s="293" t="s">
        <v>19236</v>
      </c>
      <c r="AK292" s="293" t="s">
        <v>145</v>
      </c>
      <c r="AL292" s="293" t="s">
        <v>74</v>
      </c>
      <c r="AM292" s="293" t="s">
        <v>656</v>
      </c>
      <c r="AO292" s="22" t="s">
        <v>19237</v>
      </c>
      <c r="AP292" s="22" t="s">
        <v>145</v>
      </c>
      <c r="AQ292" s="22" t="s">
        <v>70</v>
      </c>
      <c r="AR292" s="22" t="s">
        <v>67</v>
      </c>
      <c r="AT292" s="22" t="s">
        <v>19238</v>
      </c>
      <c r="AU292" s="22" t="s">
        <v>145</v>
      </c>
      <c r="AV292" s="22" t="s">
        <v>70</v>
      </c>
      <c r="AW292" s="22" t="s">
        <v>67</v>
      </c>
      <c r="AY292" s="22" t="s">
        <v>19239</v>
      </c>
      <c r="AZ292" s="22" t="s">
        <v>145</v>
      </c>
      <c r="BA292" s="22" t="s">
        <v>70</v>
      </c>
      <c r="BB292" s="22" t="s">
        <v>67</v>
      </c>
      <c r="BD292" s="22" t="s">
        <v>19240</v>
      </c>
      <c r="BE292" s="22" t="s">
        <v>145</v>
      </c>
      <c r="BF292" s="22" t="s">
        <v>70</v>
      </c>
      <c r="BG292" s="22" t="s">
        <v>67</v>
      </c>
      <c r="BI292" s="22" t="s">
        <v>19241</v>
      </c>
      <c r="BJ292" s="22" t="s">
        <v>145</v>
      </c>
      <c r="BK292" s="22" t="s">
        <v>70</v>
      </c>
      <c r="BL292" s="22" t="s">
        <v>67</v>
      </c>
      <c r="BN292" s="22" t="s">
        <v>19242</v>
      </c>
      <c r="BO292" s="22" t="s">
        <v>145</v>
      </c>
      <c r="BP292" s="22" t="s">
        <v>70</v>
      </c>
      <c r="BQ292" s="22" t="s">
        <v>67</v>
      </c>
      <c r="BS292" s="22" t="s">
        <v>19243</v>
      </c>
      <c r="BT292" s="22" t="s">
        <v>145</v>
      </c>
      <c r="BU292" s="22" t="s">
        <v>70</v>
      </c>
      <c r="BV292" s="214" t="s">
        <v>530</v>
      </c>
      <c r="BX292" s="22" t="s">
        <v>19244</v>
      </c>
      <c r="BY292" s="22" t="s">
        <v>145</v>
      </c>
      <c r="BZ292" s="22" t="s">
        <v>70</v>
      </c>
      <c r="CA292" s="214" t="s">
        <v>530</v>
      </c>
      <c r="CC292" s="214" t="s">
        <v>19245</v>
      </c>
      <c r="CD292" s="218" t="s">
        <v>938</v>
      </c>
      <c r="CE292" s="214" t="s">
        <v>70</v>
      </c>
      <c r="CF292" s="214" t="s">
        <v>745</v>
      </c>
      <c r="CH292" s="214" t="s">
        <v>19246</v>
      </c>
      <c r="CI292" s="214" t="s">
        <v>103</v>
      </c>
      <c r="CJ292" s="214" t="s">
        <v>70</v>
      </c>
      <c r="CK292" s="214" t="s">
        <v>530</v>
      </c>
      <c r="CM292" s="214" t="s">
        <v>19247</v>
      </c>
      <c r="CN292" s="214" t="s">
        <v>468</v>
      </c>
      <c r="CO292" s="214" t="s">
        <v>70</v>
      </c>
      <c r="CP292" s="214" t="s">
        <v>530</v>
      </c>
      <c r="CR292" s="214" t="s">
        <v>19248</v>
      </c>
      <c r="CS292" s="214" t="s">
        <v>34603</v>
      </c>
      <c r="CT292" s="214" t="s">
        <v>70</v>
      </c>
      <c r="CU292" s="214" t="s">
        <v>530</v>
      </c>
      <c r="CW292" s="214" t="s">
        <v>19249</v>
      </c>
      <c r="CX292" s="214" t="s">
        <v>935</v>
      </c>
      <c r="CY292" s="214" t="s">
        <v>70</v>
      </c>
      <c r="CZ292" s="214" t="s">
        <v>530</v>
      </c>
      <c r="DB292" s="214" t="s">
        <v>19250</v>
      </c>
      <c r="DC292" s="214" t="s">
        <v>488</v>
      </c>
      <c r="DD292" s="214" t="s">
        <v>70</v>
      </c>
      <c r="DE292" s="214" t="s">
        <v>530</v>
      </c>
      <c r="DG292" s="214" t="s">
        <v>19251</v>
      </c>
      <c r="DH292" s="214" t="s">
        <v>88</v>
      </c>
      <c r="DI292" s="214" t="s">
        <v>70</v>
      </c>
      <c r="DJ292" s="214" t="s">
        <v>530</v>
      </c>
      <c r="DL292" s="214" t="s">
        <v>19252</v>
      </c>
      <c r="DM292" s="214" t="s">
        <v>52</v>
      </c>
      <c r="DN292" s="214" t="s">
        <v>70</v>
      </c>
      <c r="DO292" s="214" t="s">
        <v>530</v>
      </c>
      <c r="DQ292" s="214" t="s">
        <v>19253</v>
      </c>
      <c r="DR292" s="214" t="s">
        <v>86</v>
      </c>
      <c r="DS292" s="214" t="s">
        <v>70</v>
      </c>
      <c r="DT292" s="214" t="s">
        <v>530</v>
      </c>
      <c r="DV292" s="214" t="s">
        <v>19254</v>
      </c>
      <c r="DW292" s="214" t="s">
        <v>90</v>
      </c>
      <c r="DX292" s="214" t="s">
        <v>70</v>
      </c>
      <c r="DY292" s="214" t="s">
        <v>530</v>
      </c>
      <c r="EA292" s="214" t="s">
        <v>19255</v>
      </c>
      <c r="EB292" s="214" t="s">
        <v>148</v>
      </c>
      <c r="EC292" s="214" t="s">
        <v>70</v>
      </c>
      <c r="ED292" s="214" t="s">
        <v>530</v>
      </c>
      <c r="EF292" s="214" t="s">
        <v>19256</v>
      </c>
      <c r="EG292" s="214" t="s">
        <v>915</v>
      </c>
      <c r="EH292" s="214" t="s">
        <v>70</v>
      </c>
      <c r="EI292" s="214" t="s">
        <v>530</v>
      </c>
      <c r="EK292" s="214" t="s">
        <v>19257</v>
      </c>
      <c r="EL292" s="214" t="s">
        <v>34607</v>
      </c>
      <c r="EM292" s="214" t="s">
        <v>70</v>
      </c>
      <c r="EN292" s="214" t="s">
        <v>530</v>
      </c>
      <c r="EP292" s="214" t="s">
        <v>19258</v>
      </c>
      <c r="EQ292" s="214" t="s">
        <v>488</v>
      </c>
      <c r="ER292" s="214" t="s">
        <v>70</v>
      </c>
      <c r="ES292" s="214" t="s">
        <v>530</v>
      </c>
      <c r="EU292" s="214" t="s">
        <v>19259</v>
      </c>
      <c r="EV292" s="214" t="s">
        <v>10541</v>
      </c>
      <c r="EW292" s="214" t="s">
        <v>70</v>
      </c>
      <c r="EX292" s="214" t="s">
        <v>530</v>
      </c>
      <c r="EZ292" s="214" t="s">
        <v>19260</v>
      </c>
      <c r="FA292" s="214" t="s">
        <v>34575</v>
      </c>
      <c r="FB292" s="214" t="s">
        <v>70</v>
      </c>
      <c r="FC292" s="214" t="s">
        <v>530</v>
      </c>
      <c r="FE292" s="214" t="s">
        <v>19261</v>
      </c>
      <c r="FF292" s="214" t="s">
        <v>163</v>
      </c>
      <c r="FG292" s="214" t="s">
        <v>70</v>
      </c>
      <c r="FH292" s="214" t="s">
        <v>530</v>
      </c>
      <c r="FJ292" s="321" t="s">
        <v>19262</v>
      </c>
      <c r="FK292" s="214" t="s">
        <v>164</v>
      </c>
      <c r="FL292" s="214" t="s">
        <v>70</v>
      </c>
      <c r="FM292" s="214" t="s">
        <v>530</v>
      </c>
      <c r="FO292" s="321" t="s">
        <v>19263</v>
      </c>
      <c r="FP292" s="214" t="s">
        <v>145</v>
      </c>
      <c r="FQ292" s="214" t="s">
        <v>70</v>
      </c>
      <c r="FR292" s="214" t="s">
        <v>530</v>
      </c>
      <c r="FT292" s="321" t="s">
        <v>19264</v>
      </c>
      <c r="FU292" s="214" t="s">
        <v>103</v>
      </c>
      <c r="FV292" s="214" t="s">
        <v>70</v>
      </c>
      <c r="FW292" s="214" t="s">
        <v>530</v>
      </c>
      <c r="FY292" s="321" t="s">
        <v>19265</v>
      </c>
      <c r="FZ292" s="214" t="s">
        <v>34547</v>
      </c>
      <c r="GA292" s="214" t="s">
        <v>70</v>
      </c>
      <c r="GB292" s="214" t="s">
        <v>530</v>
      </c>
      <c r="GD292" s="321" t="s">
        <v>19266</v>
      </c>
      <c r="GE292" s="214" t="s">
        <v>940</v>
      </c>
      <c r="GF292" s="214" t="s">
        <v>70</v>
      </c>
      <c r="GG292" s="214" t="s">
        <v>530</v>
      </c>
      <c r="GI292" s="321" t="s">
        <v>19267</v>
      </c>
      <c r="GJ292" s="214" t="s">
        <v>502</v>
      </c>
      <c r="GK292" s="214" t="s">
        <v>70</v>
      </c>
      <c r="GL292" s="214" t="s">
        <v>530</v>
      </c>
      <c r="GN292" s="321" t="s">
        <v>19268</v>
      </c>
      <c r="GO292" s="214" t="s">
        <v>486</v>
      </c>
      <c r="GP292" s="214" t="s">
        <v>70</v>
      </c>
      <c r="GQ292" s="214" t="s">
        <v>530</v>
      </c>
      <c r="GS292" s="321" t="s">
        <v>19269</v>
      </c>
      <c r="GT292" s="214" t="s">
        <v>92</v>
      </c>
      <c r="GU292" s="214" t="s">
        <v>70</v>
      </c>
      <c r="GV292" s="214" t="s">
        <v>530</v>
      </c>
      <c r="GX292" s="214" t="s">
        <v>19270</v>
      </c>
      <c r="GY292" s="214" t="s">
        <v>34577</v>
      </c>
      <c r="GZ292" s="214" t="s">
        <v>70</v>
      </c>
      <c r="HA292" s="214" t="s">
        <v>530</v>
      </c>
      <c r="HC292" s="214" t="s">
        <v>19271</v>
      </c>
      <c r="HD292" s="214" t="s">
        <v>34560</v>
      </c>
      <c r="HE292" s="214" t="s">
        <v>70</v>
      </c>
      <c r="HF292" s="214" t="s">
        <v>530</v>
      </c>
      <c r="HH292" s="214" t="s">
        <v>19272</v>
      </c>
      <c r="HI292" s="214" t="s">
        <v>145</v>
      </c>
      <c r="HJ292" s="214" t="s">
        <v>70</v>
      </c>
      <c r="HK292" s="214" t="s">
        <v>530</v>
      </c>
      <c r="HM292" s="214" t="s">
        <v>19273</v>
      </c>
      <c r="HN292" s="214" t="s">
        <v>34560</v>
      </c>
      <c r="HO292" s="214" t="s">
        <v>70</v>
      </c>
      <c r="HP292" s="214" t="s">
        <v>530</v>
      </c>
      <c r="HR292" s="22" t="s">
        <v>19274</v>
      </c>
      <c r="HS292" s="22" t="s">
        <v>34635</v>
      </c>
      <c r="HT292" s="22" t="s">
        <v>70</v>
      </c>
      <c r="HU292" s="214" t="s">
        <v>530</v>
      </c>
      <c r="HW292" s="22" t="s">
        <v>19275</v>
      </c>
      <c r="HX292" s="22" t="s">
        <v>484</v>
      </c>
      <c r="HY292" s="22" t="s">
        <v>70</v>
      </c>
      <c r="HZ292" s="214" t="s">
        <v>530</v>
      </c>
      <c r="IB292" s="22" t="s">
        <v>19276</v>
      </c>
      <c r="IC292" s="22" t="s">
        <v>86</v>
      </c>
      <c r="ID292" s="22" t="s">
        <v>70</v>
      </c>
      <c r="IE292" s="214" t="s">
        <v>530</v>
      </c>
      <c r="IG292" s="22" t="s">
        <v>19277</v>
      </c>
      <c r="IH292" s="22" t="s">
        <v>52</v>
      </c>
      <c r="II292" s="22" t="s">
        <v>70</v>
      </c>
      <c r="IJ292" s="214" t="s">
        <v>530</v>
      </c>
      <c r="IL292" s="22" t="s">
        <v>19278</v>
      </c>
      <c r="IM292" s="22" t="s">
        <v>145</v>
      </c>
      <c r="IN292" s="22" t="s">
        <v>70</v>
      </c>
      <c r="IO292" s="214" t="s">
        <v>530</v>
      </c>
      <c r="IQ292" s="236" t="s">
        <v>19279</v>
      </c>
      <c r="IR292" s="236" t="s">
        <v>145</v>
      </c>
      <c r="IS292" s="236" t="s">
        <v>74</v>
      </c>
      <c r="IT292" s="236" t="s">
        <v>841</v>
      </c>
      <c r="IV292" s="236" t="s">
        <v>19280</v>
      </c>
      <c r="IW292" s="236" t="s">
        <v>145</v>
      </c>
      <c r="IX292" s="236" t="s">
        <v>74</v>
      </c>
      <c r="IY292" s="236" t="s">
        <v>841</v>
      </c>
      <c r="JA292" s="236" t="s">
        <v>19281</v>
      </c>
      <c r="JB292" s="236" t="s">
        <v>145</v>
      </c>
      <c r="JC292" s="236" t="s">
        <v>74</v>
      </c>
      <c r="JD292" s="236" t="s">
        <v>841</v>
      </c>
      <c r="JF292" s="236" t="s">
        <v>19282</v>
      </c>
      <c r="JG292" s="236" t="s">
        <v>145</v>
      </c>
      <c r="JH292" s="236" t="s">
        <v>74</v>
      </c>
      <c r="JI292" s="236" t="s">
        <v>841</v>
      </c>
      <c r="JK292" s="236" t="s">
        <v>19283</v>
      </c>
      <c r="JL292" s="236" t="s">
        <v>145</v>
      </c>
      <c r="JM292" s="236" t="s">
        <v>74</v>
      </c>
      <c r="JN292" s="236" t="s">
        <v>841</v>
      </c>
      <c r="JP292" s="236" t="s">
        <v>19284</v>
      </c>
      <c r="JQ292" s="236" t="s">
        <v>145</v>
      </c>
      <c r="JR292" s="236" t="s">
        <v>74</v>
      </c>
      <c r="JS292" s="236" t="s">
        <v>841</v>
      </c>
      <c r="JU292" s="294" t="s">
        <v>19285</v>
      </c>
      <c r="JV292" s="294" t="s">
        <v>52</v>
      </c>
      <c r="JW292" s="263" t="s">
        <v>70</v>
      </c>
      <c r="JX292" s="294" t="s">
        <v>1083</v>
      </c>
      <c r="JZ292" s="263" t="s">
        <v>19286</v>
      </c>
      <c r="KA292" s="263" t="s">
        <v>145</v>
      </c>
      <c r="KB292" s="263" t="s">
        <v>70</v>
      </c>
      <c r="KC292" s="263" t="s">
        <v>1083</v>
      </c>
      <c r="KE292" s="263" t="s">
        <v>19287</v>
      </c>
      <c r="KF292" s="263" t="s">
        <v>52</v>
      </c>
      <c r="KG292" s="263" t="s">
        <v>70</v>
      </c>
      <c r="KH292" s="263" t="s">
        <v>1083</v>
      </c>
      <c r="KJ292" s="263" t="s">
        <v>19288</v>
      </c>
      <c r="KK292" s="263" t="s">
        <v>52</v>
      </c>
      <c r="KL292" s="263" t="s">
        <v>74</v>
      </c>
      <c r="KM292" s="263" t="s">
        <v>34074</v>
      </c>
      <c r="KO292" s="214" t="s">
        <v>19289</v>
      </c>
      <c r="KP292" s="214" t="s">
        <v>145</v>
      </c>
      <c r="KQ292" s="214" t="s">
        <v>70</v>
      </c>
      <c r="KR292" s="214" t="s">
        <v>67</v>
      </c>
      <c r="KT292" s="22" t="s">
        <v>19290</v>
      </c>
      <c r="KU292" s="22" t="s">
        <v>145</v>
      </c>
      <c r="KV292" s="22" t="s">
        <v>70</v>
      </c>
      <c r="KW292" s="22" t="s">
        <v>67</v>
      </c>
      <c r="KY292" s="214" t="s">
        <v>19291</v>
      </c>
      <c r="KZ292" s="214" t="s">
        <v>52</v>
      </c>
      <c r="LA292" s="214" t="s">
        <v>74</v>
      </c>
      <c r="LB292" s="214" t="s">
        <v>67</v>
      </c>
      <c r="LD292" s="22" t="s">
        <v>19292</v>
      </c>
      <c r="LE292" s="22" t="s">
        <v>145</v>
      </c>
      <c r="LF292" s="22" t="s">
        <v>70</v>
      </c>
      <c r="LG292" s="22" t="s">
        <v>67</v>
      </c>
    </row>
    <row r="293" spans="1:319">
      <c r="A293" s="22" t="s">
        <v>19293</v>
      </c>
      <c r="B293" s="22" t="s">
        <v>145</v>
      </c>
      <c r="C293" s="22" t="s">
        <v>70</v>
      </c>
      <c r="D293" s="22" t="s">
        <v>67</v>
      </c>
      <c r="F293" s="99" t="s">
        <v>19294</v>
      </c>
      <c r="G293" s="22" t="s">
        <v>145</v>
      </c>
      <c r="H293" s="22" t="s">
        <v>70</v>
      </c>
      <c r="I293" s="22" t="s">
        <v>67</v>
      </c>
      <c r="K293" s="22" t="s">
        <v>19295</v>
      </c>
      <c r="L293" s="22" t="s">
        <v>145</v>
      </c>
      <c r="M293" s="22" t="s">
        <v>70</v>
      </c>
      <c r="N293" s="22" t="s">
        <v>67</v>
      </c>
      <c r="P293" s="22" t="s">
        <v>19296</v>
      </c>
      <c r="Q293" s="22" t="s">
        <v>145</v>
      </c>
      <c r="R293" s="22" t="s">
        <v>70</v>
      </c>
      <c r="S293" s="22" t="s">
        <v>67</v>
      </c>
      <c r="U293" s="293" t="s">
        <v>19297</v>
      </c>
      <c r="V293" s="293" t="s">
        <v>145</v>
      </c>
      <c r="W293" s="293" t="s">
        <v>74</v>
      </c>
      <c r="X293" s="293" t="s">
        <v>656</v>
      </c>
      <c r="Z293" s="293" t="s">
        <v>19298</v>
      </c>
      <c r="AA293" s="293" t="s">
        <v>145</v>
      </c>
      <c r="AB293" s="293" t="s">
        <v>74</v>
      </c>
      <c r="AC293" s="293" t="s">
        <v>656</v>
      </c>
      <c r="AE293" s="293" t="s">
        <v>19299</v>
      </c>
      <c r="AF293" s="293" t="s">
        <v>145</v>
      </c>
      <c r="AG293" s="293" t="s">
        <v>74</v>
      </c>
      <c r="AH293" s="293" t="s">
        <v>656</v>
      </c>
      <c r="AJ293" s="293" t="s">
        <v>19300</v>
      </c>
      <c r="AK293" s="293" t="s">
        <v>145</v>
      </c>
      <c r="AL293" s="293" t="s">
        <v>74</v>
      </c>
      <c r="AM293" s="293" t="s">
        <v>656</v>
      </c>
      <c r="AO293" s="22" t="s">
        <v>19301</v>
      </c>
      <c r="AP293" s="22" t="s">
        <v>145</v>
      </c>
      <c r="AQ293" s="22" t="s">
        <v>70</v>
      </c>
      <c r="AR293" s="22" t="s">
        <v>67</v>
      </c>
      <c r="AT293" s="22" t="s">
        <v>19302</v>
      </c>
      <c r="AU293" s="22" t="s">
        <v>145</v>
      </c>
      <c r="AV293" s="22" t="s">
        <v>70</v>
      </c>
      <c r="AW293" s="22" t="s">
        <v>67</v>
      </c>
      <c r="AY293" s="22" t="s">
        <v>19303</v>
      </c>
      <c r="AZ293" s="22" t="s">
        <v>145</v>
      </c>
      <c r="BA293" s="22" t="s">
        <v>70</v>
      </c>
      <c r="BB293" s="22" t="s">
        <v>67</v>
      </c>
      <c r="BD293" s="22" t="s">
        <v>19304</v>
      </c>
      <c r="BE293" s="22" t="s">
        <v>145</v>
      </c>
      <c r="BF293" s="22" t="s">
        <v>70</v>
      </c>
      <c r="BG293" s="22" t="s">
        <v>67</v>
      </c>
      <c r="BI293" s="22" t="s">
        <v>19305</v>
      </c>
      <c r="BJ293" s="22" t="s">
        <v>145</v>
      </c>
      <c r="BK293" s="22" t="s">
        <v>70</v>
      </c>
      <c r="BL293" s="22" t="s">
        <v>67</v>
      </c>
      <c r="BN293" s="22" t="s">
        <v>19306</v>
      </c>
      <c r="BO293" s="22" t="s">
        <v>145</v>
      </c>
      <c r="BP293" s="22" t="s">
        <v>70</v>
      </c>
      <c r="BQ293" s="22" t="s">
        <v>67</v>
      </c>
      <c r="BS293" s="22" t="s">
        <v>19307</v>
      </c>
      <c r="BT293" s="22" t="s">
        <v>145</v>
      </c>
      <c r="BU293" s="22" t="s">
        <v>70</v>
      </c>
      <c r="BV293" s="214" t="s">
        <v>530</v>
      </c>
      <c r="BX293" s="22" t="s">
        <v>19308</v>
      </c>
      <c r="BY293" s="22" t="s">
        <v>145</v>
      </c>
      <c r="BZ293" s="22" t="s">
        <v>70</v>
      </c>
      <c r="CA293" s="214" t="s">
        <v>530</v>
      </c>
      <c r="CC293" s="214" t="s">
        <v>19309</v>
      </c>
      <c r="CD293" s="218" t="s">
        <v>502</v>
      </c>
      <c r="CE293" s="214" t="s">
        <v>70</v>
      </c>
      <c r="CF293" s="214" t="s">
        <v>746</v>
      </c>
      <c r="CH293" s="214" t="s">
        <v>19310</v>
      </c>
      <c r="CI293" s="214" t="s">
        <v>34562</v>
      </c>
      <c r="CJ293" s="214" t="s">
        <v>70</v>
      </c>
      <c r="CK293" s="214" t="s">
        <v>530</v>
      </c>
      <c r="CM293" s="214" t="s">
        <v>19311</v>
      </c>
      <c r="CN293" s="214" t="s">
        <v>484</v>
      </c>
      <c r="CO293" s="214" t="s">
        <v>70</v>
      </c>
      <c r="CP293" s="214" t="s">
        <v>530</v>
      </c>
      <c r="CR293" s="214" t="s">
        <v>19312</v>
      </c>
      <c r="CS293" s="214" t="s">
        <v>34544</v>
      </c>
      <c r="CT293" s="214" t="s">
        <v>70</v>
      </c>
      <c r="CU293" s="214" t="s">
        <v>530</v>
      </c>
      <c r="CW293" s="214" t="s">
        <v>19313</v>
      </c>
      <c r="CX293" s="214" t="s">
        <v>488</v>
      </c>
      <c r="CY293" s="214" t="s">
        <v>70</v>
      </c>
      <c r="CZ293" s="214" t="s">
        <v>530</v>
      </c>
      <c r="DB293" s="214" t="s">
        <v>19314</v>
      </c>
      <c r="DC293" s="214" t="s">
        <v>488</v>
      </c>
      <c r="DD293" s="214" t="s">
        <v>70</v>
      </c>
      <c r="DE293" s="214" t="s">
        <v>530</v>
      </c>
      <c r="DG293" s="214" t="s">
        <v>19315</v>
      </c>
      <c r="DH293" s="214" t="s">
        <v>502</v>
      </c>
      <c r="DI293" s="214" t="s">
        <v>70</v>
      </c>
      <c r="DJ293" s="214" t="s">
        <v>530</v>
      </c>
      <c r="DL293" s="214" t="s">
        <v>19316</v>
      </c>
      <c r="DM293" s="214" t="s">
        <v>485</v>
      </c>
      <c r="DN293" s="214" t="s">
        <v>70</v>
      </c>
      <c r="DO293" s="214" t="s">
        <v>530</v>
      </c>
      <c r="DQ293" s="214" t="s">
        <v>19317</v>
      </c>
      <c r="DR293" s="214" t="s">
        <v>486</v>
      </c>
      <c r="DS293" s="214" t="s">
        <v>70</v>
      </c>
      <c r="DT293" s="214" t="s">
        <v>530</v>
      </c>
      <c r="DV293" s="214" t="s">
        <v>19318</v>
      </c>
      <c r="DW293" s="214" t="s">
        <v>488</v>
      </c>
      <c r="DX293" s="214" t="s">
        <v>70</v>
      </c>
      <c r="DY293" s="214" t="s">
        <v>530</v>
      </c>
      <c r="EA293" s="214" t="s">
        <v>19319</v>
      </c>
      <c r="EB293" s="214" t="s">
        <v>481</v>
      </c>
      <c r="EC293" s="214" t="s">
        <v>70</v>
      </c>
      <c r="ED293" s="214" t="s">
        <v>530</v>
      </c>
      <c r="EF293" s="214" t="s">
        <v>19320</v>
      </c>
      <c r="EG293" s="214" t="s">
        <v>34542</v>
      </c>
      <c r="EH293" s="214" t="s">
        <v>70</v>
      </c>
      <c r="EI293" s="214" t="s">
        <v>530</v>
      </c>
      <c r="EK293" s="214" t="s">
        <v>19321</v>
      </c>
      <c r="EL293" s="214" t="s">
        <v>52</v>
      </c>
      <c r="EM293" s="214" t="s">
        <v>70</v>
      </c>
      <c r="EN293" s="214" t="s">
        <v>530</v>
      </c>
      <c r="EP293" s="214" t="s">
        <v>19322</v>
      </c>
      <c r="EQ293" s="214" t="s">
        <v>34620</v>
      </c>
      <c r="ER293" s="214" t="s">
        <v>70</v>
      </c>
      <c r="ES293" s="214" t="s">
        <v>530</v>
      </c>
      <c r="EU293" s="214" t="s">
        <v>19323</v>
      </c>
      <c r="EV293" s="214" t="s">
        <v>34579</v>
      </c>
      <c r="EW293" s="214" t="s">
        <v>70</v>
      </c>
      <c r="EX293" s="214" t="s">
        <v>530</v>
      </c>
      <c r="EZ293" s="214" t="s">
        <v>19324</v>
      </c>
      <c r="FA293" s="214" t="s">
        <v>599</v>
      </c>
      <c r="FB293" s="214" t="s">
        <v>70</v>
      </c>
      <c r="FC293" s="214" t="s">
        <v>530</v>
      </c>
      <c r="FE293" s="214" t="s">
        <v>19325</v>
      </c>
      <c r="FF293" s="214" t="s">
        <v>34558</v>
      </c>
      <c r="FG293" s="214" t="s">
        <v>70</v>
      </c>
      <c r="FH293" s="214" t="s">
        <v>530</v>
      </c>
      <c r="FJ293" s="321" t="s">
        <v>19326</v>
      </c>
      <c r="FK293" s="214" t="s">
        <v>34558</v>
      </c>
      <c r="FL293" s="214" t="s">
        <v>70</v>
      </c>
      <c r="FM293" s="214" t="s">
        <v>530</v>
      </c>
      <c r="FO293" s="321" t="s">
        <v>19327</v>
      </c>
      <c r="FP293" s="214" t="s">
        <v>34541</v>
      </c>
      <c r="FQ293" s="214" t="s">
        <v>70</v>
      </c>
      <c r="FR293" s="214" t="s">
        <v>530</v>
      </c>
      <c r="FT293" s="321" t="s">
        <v>19328</v>
      </c>
      <c r="FU293" s="214" t="s">
        <v>146</v>
      </c>
      <c r="FV293" s="214" t="s">
        <v>70</v>
      </c>
      <c r="FW293" s="214" t="s">
        <v>530</v>
      </c>
      <c r="FY293" s="321" t="s">
        <v>19329</v>
      </c>
      <c r="FZ293" s="214" t="s">
        <v>52</v>
      </c>
      <c r="GA293" s="214" t="s">
        <v>70</v>
      </c>
      <c r="GB293" s="214" t="s">
        <v>530</v>
      </c>
      <c r="GD293" s="321" t="s">
        <v>19330</v>
      </c>
      <c r="GE293" s="214" t="s">
        <v>488</v>
      </c>
      <c r="GF293" s="214" t="s">
        <v>70</v>
      </c>
      <c r="GG293" s="214" t="s">
        <v>530</v>
      </c>
      <c r="GI293" s="321" t="s">
        <v>19331</v>
      </c>
      <c r="GJ293" s="214" t="s">
        <v>146</v>
      </c>
      <c r="GK293" s="214" t="s">
        <v>70</v>
      </c>
      <c r="GL293" s="214" t="s">
        <v>530</v>
      </c>
      <c r="GN293" s="321" t="s">
        <v>19332</v>
      </c>
      <c r="GO293" s="214" t="s">
        <v>148</v>
      </c>
      <c r="GP293" s="214" t="s">
        <v>70</v>
      </c>
      <c r="GQ293" s="214" t="s">
        <v>530</v>
      </c>
      <c r="GS293" s="321" t="s">
        <v>19333</v>
      </c>
      <c r="GT293" s="214" t="s">
        <v>496</v>
      </c>
      <c r="GU293" s="214" t="s">
        <v>70</v>
      </c>
      <c r="GV293" s="214" t="s">
        <v>530</v>
      </c>
      <c r="GX293" s="214" t="s">
        <v>19334</v>
      </c>
      <c r="GY293" s="214" t="s">
        <v>490</v>
      </c>
      <c r="GZ293" s="214" t="s">
        <v>70</v>
      </c>
      <c r="HA293" s="214" t="s">
        <v>530</v>
      </c>
      <c r="HC293" s="214" t="s">
        <v>19335</v>
      </c>
      <c r="HD293" s="214" t="s">
        <v>148</v>
      </c>
      <c r="HE293" s="214" t="s">
        <v>70</v>
      </c>
      <c r="HF293" s="214" t="s">
        <v>530</v>
      </c>
      <c r="HH293" s="214" t="s">
        <v>19336</v>
      </c>
      <c r="HI293" s="214" t="s">
        <v>34541</v>
      </c>
      <c r="HJ293" s="214" t="s">
        <v>70</v>
      </c>
      <c r="HK293" s="214" t="s">
        <v>530</v>
      </c>
      <c r="HM293" s="214" t="s">
        <v>19337</v>
      </c>
      <c r="HN293" s="214" t="s">
        <v>34567</v>
      </c>
      <c r="HO293" s="214" t="s">
        <v>70</v>
      </c>
      <c r="HP293" s="214" t="s">
        <v>530</v>
      </c>
      <c r="HR293" s="22" t="s">
        <v>19338</v>
      </c>
      <c r="HS293" s="22" t="s">
        <v>34516</v>
      </c>
      <c r="HT293" s="22" t="s">
        <v>70</v>
      </c>
      <c r="HU293" s="214" t="s">
        <v>530</v>
      </c>
      <c r="HW293" s="22" t="s">
        <v>19339</v>
      </c>
      <c r="HX293" s="22" t="s">
        <v>484</v>
      </c>
      <c r="HY293" s="22" t="s">
        <v>70</v>
      </c>
      <c r="HZ293" s="214" t="s">
        <v>530</v>
      </c>
      <c r="IB293" s="22" t="s">
        <v>19340</v>
      </c>
      <c r="IC293" s="22" t="s">
        <v>146</v>
      </c>
      <c r="ID293" s="22" t="s">
        <v>70</v>
      </c>
      <c r="IE293" s="214" t="s">
        <v>530</v>
      </c>
      <c r="IG293" s="22" t="s">
        <v>19341</v>
      </c>
      <c r="IH293" s="22" t="s">
        <v>52</v>
      </c>
      <c r="II293" s="22" t="s">
        <v>70</v>
      </c>
      <c r="IJ293" s="214" t="s">
        <v>530</v>
      </c>
      <c r="IL293" s="22" t="s">
        <v>19342</v>
      </c>
      <c r="IM293" s="22" t="s">
        <v>145</v>
      </c>
      <c r="IN293" s="22" t="s">
        <v>70</v>
      </c>
      <c r="IO293" s="214" t="s">
        <v>530</v>
      </c>
      <c r="IQ293" s="236" t="s">
        <v>19343</v>
      </c>
      <c r="IR293" s="236" t="s">
        <v>145</v>
      </c>
      <c r="IS293" s="236" t="s">
        <v>74</v>
      </c>
      <c r="IT293" s="236" t="s">
        <v>841</v>
      </c>
      <c r="IV293" s="236" t="s">
        <v>19344</v>
      </c>
      <c r="IW293" s="236" t="s">
        <v>145</v>
      </c>
      <c r="IX293" s="236" t="s">
        <v>74</v>
      </c>
      <c r="IY293" s="236" t="s">
        <v>841</v>
      </c>
      <c r="JA293" s="236" t="s">
        <v>19345</v>
      </c>
      <c r="JB293" s="236" t="s">
        <v>145</v>
      </c>
      <c r="JC293" s="236" t="s">
        <v>74</v>
      </c>
      <c r="JD293" s="236" t="s">
        <v>841</v>
      </c>
      <c r="JF293" s="236" t="s">
        <v>19346</v>
      </c>
      <c r="JG293" s="236" t="s">
        <v>145</v>
      </c>
      <c r="JH293" s="236" t="s">
        <v>74</v>
      </c>
      <c r="JI293" s="236" t="s">
        <v>841</v>
      </c>
      <c r="JK293" s="236" t="s">
        <v>19347</v>
      </c>
      <c r="JL293" s="236" t="s">
        <v>145</v>
      </c>
      <c r="JM293" s="236" t="s">
        <v>74</v>
      </c>
      <c r="JN293" s="236" t="s">
        <v>841</v>
      </c>
      <c r="JP293" s="236" t="s">
        <v>19348</v>
      </c>
      <c r="JQ293" s="236" t="s">
        <v>145</v>
      </c>
      <c r="JR293" s="236" t="s">
        <v>74</v>
      </c>
      <c r="JS293" s="236" t="s">
        <v>841</v>
      </c>
      <c r="JU293" s="294" t="s">
        <v>19349</v>
      </c>
      <c r="JV293" s="294" t="s">
        <v>52</v>
      </c>
      <c r="JW293" s="263" t="s">
        <v>70</v>
      </c>
      <c r="JX293" s="294" t="s">
        <v>1083</v>
      </c>
      <c r="JZ293" s="263" t="s">
        <v>19350</v>
      </c>
      <c r="KA293" s="263" t="s">
        <v>145</v>
      </c>
      <c r="KB293" s="263" t="s">
        <v>70</v>
      </c>
      <c r="KC293" s="263" t="s">
        <v>1083</v>
      </c>
      <c r="KE293" s="263" t="s">
        <v>19351</v>
      </c>
      <c r="KF293" s="263" t="s">
        <v>52</v>
      </c>
      <c r="KG293" s="263" t="s">
        <v>70</v>
      </c>
      <c r="KH293" s="263" t="s">
        <v>1083</v>
      </c>
      <c r="KJ293" s="263" t="s">
        <v>19352</v>
      </c>
      <c r="KK293" s="263" t="s">
        <v>52</v>
      </c>
      <c r="KL293" s="263" t="s">
        <v>74</v>
      </c>
      <c r="KM293" s="263" t="s">
        <v>34074</v>
      </c>
      <c r="KO293" s="214" t="s">
        <v>19353</v>
      </c>
      <c r="KP293" s="214" t="s">
        <v>145</v>
      </c>
      <c r="KQ293" s="214" t="s">
        <v>70</v>
      </c>
      <c r="KR293" s="214" t="s">
        <v>67</v>
      </c>
      <c r="KT293" s="22" t="s">
        <v>19354</v>
      </c>
      <c r="KU293" s="22" t="s">
        <v>145</v>
      </c>
      <c r="KV293" s="22" t="s">
        <v>70</v>
      </c>
      <c r="KW293" s="22" t="s">
        <v>67</v>
      </c>
      <c r="KY293" s="214" t="s">
        <v>19355</v>
      </c>
      <c r="KZ293" s="214" t="s">
        <v>52</v>
      </c>
      <c r="LA293" s="214" t="s">
        <v>74</v>
      </c>
      <c r="LB293" s="214" t="s">
        <v>67</v>
      </c>
      <c r="LD293" s="22" t="s">
        <v>19356</v>
      </c>
      <c r="LE293" s="22" t="s">
        <v>145</v>
      </c>
      <c r="LF293" s="22" t="s">
        <v>70</v>
      </c>
      <c r="LG293" s="22" t="s">
        <v>67</v>
      </c>
    </row>
    <row r="294" spans="1:319">
      <c r="A294" s="22" t="s">
        <v>19357</v>
      </c>
      <c r="B294" s="22" t="s">
        <v>145</v>
      </c>
      <c r="C294" s="22" t="s">
        <v>70</v>
      </c>
      <c r="D294" s="22" t="s">
        <v>67</v>
      </c>
      <c r="F294" s="99" t="s">
        <v>19358</v>
      </c>
      <c r="G294" s="22" t="s">
        <v>145</v>
      </c>
      <c r="H294" s="22" t="s">
        <v>70</v>
      </c>
      <c r="I294" s="22" t="s">
        <v>67</v>
      </c>
      <c r="K294" s="22" t="s">
        <v>19359</v>
      </c>
      <c r="L294" s="22" t="s">
        <v>145</v>
      </c>
      <c r="M294" s="22" t="s">
        <v>70</v>
      </c>
      <c r="N294" s="22" t="s">
        <v>67</v>
      </c>
      <c r="P294" s="22" t="s">
        <v>19360</v>
      </c>
      <c r="Q294" s="22" t="s">
        <v>145</v>
      </c>
      <c r="R294" s="22" t="s">
        <v>70</v>
      </c>
      <c r="S294" s="22" t="s">
        <v>67</v>
      </c>
      <c r="U294" s="293" t="s">
        <v>19361</v>
      </c>
      <c r="V294" s="293" t="s">
        <v>145</v>
      </c>
      <c r="W294" s="293" t="s">
        <v>74</v>
      </c>
      <c r="X294" s="293" t="s">
        <v>656</v>
      </c>
      <c r="Z294" s="293" t="s">
        <v>19362</v>
      </c>
      <c r="AA294" s="293" t="s">
        <v>145</v>
      </c>
      <c r="AB294" s="293" t="s">
        <v>74</v>
      </c>
      <c r="AC294" s="293" t="s">
        <v>656</v>
      </c>
      <c r="AE294" s="293" t="s">
        <v>19363</v>
      </c>
      <c r="AF294" s="293" t="s">
        <v>145</v>
      </c>
      <c r="AG294" s="293" t="s">
        <v>74</v>
      </c>
      <c r="AH294" s="293" t="s">
        <v>656</v>
      </c>
      <c r="AJ294" s="293" t="s">
        <v>19364</v>
      </c>
      <c r="AK294" s="293" t="s">
        <v>145</v>
      </c>
      <c r="AL294" s="293" t="s">
        <v>74</v>
      </c>
      <c r="AM294" s="293" t="s">
        <v>656</v>
      </c>
      <c r="AO294" s="22" t="s">
        <v>19365</v>
      </c>
      <c r="AP294" s="22" t="s">
        <v>145</v>
      </c>
      <c r="AQ294" s="22" t="s">
        <v>70</v>
      </c>
      <c r="AR294" s="22" t="s">
        <v>67</v>
      </c>
      <c r="AT294" s="22" t="s">
        <v>19366</v>
      </c>
      <c r="AU294" s="22" t="s">
        <v>145</v>
      </c>
      <c r="AV294" s="22" t="s">
        <v>70</v>
      </c>
      <c r="AW294" s="22" t="s">
        <v>67</v>
      </c>
      <c r="AY294" s="22" t="s">
        <v>19367</v>
      </c>
      <c r="AZ294" s="22" t="s">
        <v>145</v>
      </c>
      <c r="BA294" s="22" t="s">
        <v>70</v>
      </c>
      <c r="BB294" s="22" t="s">
        <v>67</v>
      </c>
      <c r="BD294" s="22" t="s">
        <v>19368</v>
      </c>
      <c r="BE294" s="22" t="s">
        <v>145</v>
      </c>
      <c r="BF294" s="22" t="s">
        <v>70</v>
      </c>
      <c r="BG294" s="22" t="s">
        <v>67</v>
      </c>
      <c r="BI294" s="22" t="s">
        <v>19369</v>
      </c>
      <c r="BJ294" s="22" t="s">
        <v>145</v>
      </c>
      <c r="BK294" s="22" t="s">
        <v>70</v>
      </c>
      <c r="BL294" s="22" t="s">
        <v>67</v>
      </c>
      <c r="BN294" s="22" t="s">
        <v>19370</v>
      </c>
      <c r="BO294" s="22" t="s">
        <v>145</v>
      </c>
      <c r="BP294" s="22" t="s">
        <v>70</v>
      </c>
      <c r="BQ294" s="22" t="s">
        <v>67</v>
      </c>
      <c r="BS294" s="22" t="s">
        <v>19371</v>
      </c>
      <c r="BT294" s="22" t="s">
        <v>145</v>
      </c>
      <c r="BU294" s="22" t="s">
        <v>70</v>
      </c>
      <c r="BV294" s="214" t="s">
        <v>530</v>
      </c>
      <c r="BX294" s="22" t="s">
        <v>19372</v>
      </c>
      <c r="BY294" s="22" t="s">
        <v>145</v>
      </c>
      <c r="BZ294" s="22" t="s">
        <v>70</v>
      </c>
      <c r="CA294" s="214" t="s">
        <v>530</v>
      </c>
      <c r="CC294" s="214" t="s">
        <v>19373</v>
      </c>
      <c r="CD294" s="218" t="s">
        <v>52</v>
      </c>
      <c r="CE294" s="214" t="s">
        <v>70</v>
      </c>
      <c r="CF294" s="214" t="s">
        <v>747</v>
      </c>
      <c r="CH294" s="214" t="s">
        <v>19374</v>
      </c>
      <c r="CI294" s="214" t="s">
        <v>88</v>
      </c>
      <c r="CJ294" s="214" t="s">
        <v>70</v>
      </c>
      <c r="CK294" s="214" t="s">
        <v>530</v>
      </c>
      <c r="CM294" s="214" t="s">
        <v>19375</v>
      </c>
      <c r="CN294" s="214" t="s">
        <v>485</v>
      </c>
      <c r="CO294" s="214" t="s">
        <v>70</v>
      </c>
      <c r="CP294" s="214" t="s">
        <v>530</v>
      </c>
      <c r="CR294" s="214" t="s">
        <v>19376</v>
      </c>
      <c r="CS294" s="214" t="s">
        <v>52</v>
      </c>
      <c r="CT294" s="214" t="s">
        <v>70</v>
      </c>
      <c r="CU294" s="214" t="s">
        <v>530</v>
      </c>
      <c r="CW294" s="214" t="s">
        <v>19377</v>
      </c>
      <c r="CX294" s="214" t="s">
        <v>599</v>
      </c>
      <c r="CY294" s="214" t="s">
        <v>70</v>
      </c>
      <c r="CZ294" s="214" t="s">
        <v>530</v>
      </c>
      <c r="DB294" s="214" t="s">
        <v>19378</v>
      </c>
      <c r="DC294" s="214" t="s">
        <v>468</v>
      </c>
      <c r="DD294" s="214" t="s">
        <v>70</v>
      </c>
      <c r="DE294" s="214" t="s">
        <v>530</v>
      </c>
      <c r="DG294" s="214" t="s">
        <v>19379</v>
      </c>
      <c r="DH294" s="214" t="s">
        <v>485</v>
      </c>
      <c r="DI294" s="214" t="s">
        <v>70</v>
      </c>
      <c r="DJ294" s="214" t="s">
        <v>530</v>
      </c>
      <c r="DL294" s="214" t="s">
        <v>19380</v>
      </c>
      <c r="DM294" s="214" t="s">
        <v>34547</v>
      </c>
      <c r="DN294" s="214" t="s">
        <v>70</v>
      </c>
      <c r="DO294" s="214" t="s">
        <v>530</v>
      </c>
      <c r="DQ294" s="214" t="s">
        <v>19381</v>
      </c>
      <c r="DR294" s="214" t="s">
        <v>926</v>
      </c>
      <c r="DS294" s="214" t="s">
        <v>70</v>
      </c>
      <c r="DT294" s="214" t="s">
        <v>530</v>
      </c>
      <c r="DV294" s="214" t="s">
        <v>19382</v>
      </c>
      <c r="DW294" s="214" t="s">
        <v>52</v>
      </c>
      <c r="DX294" s="214" t="s">
        <v>70</v>
      </c>
      <c r="DY294" s="214" t="s">
        <v>530</v>
      </c>
      <c r="EA294" s="214" t="s">
        <v>19383</v>
      </c>
      <c r="EB294" s="214" t="s">
        <v>483</v>
      </c>
      <c r="EC294" s="214" t="s">
        <v>70</v>
      </c>
      <c r="ED294" s="214" t="s">
        <v>530</v>
      </c>
      <c r="EF294" s="214" t="s">
        <v>19384</v>
      </c>
      <c r="EG294" s="214" t="s">
        <v>34568</v>
      </c>
      <c r="EH294" s="214" t="s">
        <v>70</v>
      </c>
      <c r="EI294" s="214" t="s">
        <v>530</v>
      </c>
      <c r="EK294" s="214" t="s">
        <v>19385</v>
      </c>
      <c r="EL294" s="214" t="s">
        <v>34637</v>
      </c>
      <c r="EM294" s="214" t="s">
        <v>70</v>
      </c>
      <c r="EN294" s="214" t="s">
        <v>530</v>
      </c>
      <c r="EP294" s="214" t="s">
        <v>19386</v>
      </c>
      <c r="EQ294" s="214" t="s">
        <v>90</v>
      </c>
      <c r="ER294" s="214" t="s">
        <v>70</v>
      </c>
      <c r="ES294" s="214" t="s">
        <v>530</v>
      </c>
      <c r="EU294" s="214" t="s">
        <v>19387</v>
      </c>
      <c r="EV294" s="214" t="s">
        <v>52</v>
      </c>
      <c r="EW294" s="214" t="s">
        <v>70</v>
      </c>
      <c r="EX294" s="214" t="s">
        <v>530</v>
      </c>
      <c r="EZ294" s="214" t="s">
        <v>19388</v>
      </c>
      <c r="FA294" s="214" t="s">
        <v>642</v>
      </c>
      <c r="FB294" s="214" t="s">
        <v>70</v>
      </c>
      <c r="FC294" s="214" t="s">
        <v>530</v>
      </c>
      <c r="FE294" s="214" t="s">
        <v>19389</v>
      </c>
      <c r="FF294" s="214" t="s">
        <v>163</v>
      </c>
      <c r="FG294" s="214" t="s">
        <v>70</v>
      </c>
      <c r="FH294" s="214" t="s">
        <v>530</v>
      </c>
      <c r="FJ294" s="321" t="s">
        <v>19390</v>
      </c>
      <c r="FK294" s="214" t="s">
        <v>604</v>
      </c>
      <c r="FL294" s="214" t="s">
        <v>70</v>
      </c>
      <c r="FM294" s="214" t="s">
        <v>530</v>
      </c>
      <c r="FO294" s="321" t="s">
        <v>19391</v>
      </c>
      <c r="FP294" s="214" t="s">
        <v>916</v>
      </c>
      <c r="FQ294" s="214" t="s">
        <v>70</v>
      </c>
      <c r="FR294" s="214" t="s">
        <v>530</v>
      </c>
      <c r="FT294" s="321" t="s">
        <v>19392</v>
      </c>
      <c r="FU294" s="214" t="s">
        <v>495</v>
      </c>
      <c r="FV294" s="214" t="s">
        <v>70</v>
      </c>
      <c r="FW294" s="214" t="s">
        <v>530</v>
      </c>
      <c r="FY294" s="321" t="s">
        <v>19393</v>
      </c>
      <c r="FZ294" s="214" t="s">
        <v>10541</v>
      </c>
      <c r="GA294" s="214" t="s">
        <v>70</v>
      </c>
      <c r="GB294" s="214" t="s">
        <v>530</v>
      </c>
      <c r="GD294" s="321" t="s">
        <v>19394</v>
      </c>
      <c r="GE294" s="214" t="s">
        <v>798</v>
      </c>
      <c r="GF294" s="214" t="s">
        <v>70</v>
      </c>
      <c r="GG294" s="214" t="s">
        <v>530</v>
      </c>
      <c r="GI294" s="321" t="s">
        <v>19395</v>
      </c>
      <c r="GJ294" s="214" t="s">
        <v>148</v>
      </c>
      <c r="GK294" s="214" t="s">
        <v>70</v>
      </c>
      <c r="GL294" s="214" t="s">
        <v>530</v>
      </c>
      <c r="GN294" s="321" t="s">
        <v>19396</v>
      </c>
      <c r="GO294" s="214" t="s">
        <v>52</v>
      </c>
      <c r="GP294" s="214" t="s">
        <v>70</v>
      </c>
      <c r="GQ294" s="214" t="s">
        <v>530</v>
      </c>
      <c r="GS294" s="321" t="s">
        <v>19397</v>
      </c>
      <c r="GT294" s="214" t="s">
        <v>52</v>
      </c>
      <c r="GU294" s="214" t="s">
        <v>70</v>
      </c>
      <c r="GV294" s="214" t="s">
        <v>530</v>
      </c>
      <c r="GX294" s="214" t="s">
        <v>19398</v>
      </c>
      <c r="GY294" s="214" t="s">
        <v>34608</v>
      </c>
      <c r="GZ294" s="214" t="s">
        <v>70</v>
      </c>
      <c r="HA294" s="214" t="s">
        <v>530</v>
      </c>
      <c r="HC294" s="214" t="s">
        <v>19399</v>
      </c>
      <c r="HD294" s="214" t="s">
        <v>915</v>
      </c>
      <c r="HE294" s="214" t="s">
        <v>70</v>
      </c>
      <c r="HF294" s="214" t="s">
        <v>530</v>
      </c>
      <c r="HH294" s="214" t="s">
        <v>19400</v>
      </c>
      <c r="HI294" s="214" t="s">
        <v>955</v>
      </c>
      <c r="HJ294" s="214" t="s">
        <v>70</v>
      </c>
      <c r="HK294" s="214" t="s">
        <v>530</v>
      </c>
      <c r="HM294" s="214" t="s">
        <v>19401</v>
      </c>
      <c r="HN294" s="214" t="s">
        <v>164</v>
      </c>
      <c r="HO294" s="214" t="s">
        <v>70</v>
      </c>
      <c r="HP294" s="214" t="s">
        <v>530</v>
      </c>
      <c r="HR294" s="22" t="s">
        <v>19402</v>
      </c>
      <c r="HS294" s="22" t="s">
        <v>164</v>
      </c>
      <c r="HT294" s="22" t="s">
        <v>70</v>
      </c>
      <c r="HU294" s="214" t="s">
        <v>530</v>
      </c>
      <c r="HW294" s="22" t="s">
        <v>19403</v>
      </c>
      <c r="HX294" s="22" t="s">
        <v>90</v>
      </c>
      <c r="HY294" s="22" t="s">
        <v>70</v>
      </c>
      <c r="HZ294" s="214" t="s">
        <v>530</v>
      </c>
      <c r="IB294" s="22" t="s">
        <v>19404</v>
      </c>
      <c r="IC294" s="22" t="s">
        <v>34613</v>
      </c>
      <c r="ID294" s="22" t="s">
        <v>70</v>
      </c>
      <c r="IE294" s="214" t="s">
        <v>530</v>
      </c>
      <c r="IG294" s="22" t="s">
        <v>19405</v>
      </c>
      <c r="IH294" s="22" t="s">
        <v>52</v>
      </c>
      <c r="II294" s="22" t="s">
        <v>70</v>
      </c>
      <c r="IJ294" s="214" t="s">
        <v>530</v>
      </c>
      <c r="IL294" s="22" t="s">
        <v>19406</v>
      </c>
      <c r="IM294" s="22" t="s">
        <v>145</v>
      </c>
      <c r="IN294" s="22" t="s">
        <v>70</v>
      </c>
      <c r="IO294" s="214" t="s">
        <v>530</v>
      </c>
      <c r="IQ294" s="236" t="s">
        <v>19407</v>
      </c>
      <c r="IR294" s="236" t="s">
        <v>145</v>
      </c>
      <c r="IS294" s="236" t="s">
        <v>74</v>
      </c>
      <c r="IT294" s="236" t="s">
        <v>841</v>
      </c>
      <c r="IV294" s="236" t="s">
        <v>19408</v>
      </c>
      <c r="IW294" s="236" t="s">
        <v>145</v>
      </c>
      <c r="IX294" s="236" t="s">
        <v>74</v>
      </c>
      <c r="IY294" s="236" t="s">
        <v>841</v>
      </c>
      <c r="JA294" s="236" t="s">
        <v>19409</v>
      </c>
      <c r="JB294" s="236" t="s">
        <v>145</v>
      </c>
      <c r="JC294" s="236" t="s">
        <v>74</v>
      </c>
      <c r="JD294" s="236" t="s">
        <v>841</v>
      </c>
      <c r="JF294" s="236" t="s">
        <v>19410</v>
      </c>
      <c r="JG294" s="236" t="s">
        <v>145</v>
      </c>
      <c r="JH294" s="236" t="s">
        <v>74</v>
      </c>
      <c r="JI294" s="236" t="s">
        <v>841</v>
      </c>
      <c r="JK294" s="236" t="s">
        <v>19411</v>
      </c>
      <c r="JL294" s="236" t="s">
        <v>145</v>
      </c>
      <c r="JM294" s="236" t="s">
        <v>74</v>
      </c>
      <c r="JN294" s="236" t="s">
        <v>841</v>
      </c>
      <c r="JP294" s="236" t="s">
        <v>19412</v>
      </c>
      <c r="JQ294" s="236" t="s">
        <v>145</v>
      </c>
      <c r="JR294" s="236" t="s">
        <v>74</v>
      </c>
      <c r="JS294" s="236" t="s">
        <v>841</v>
      </c>
      <c r="JU294" s="294" t="s">
        <v>19413</v>
      </c>
      <c r="JV294" s="294" t="s">
        <v>52</v>
      </c>
      <c r="JW294" s="263" t="s">
        <v>70</v>
      </c>
      <c r="JX294" s="294" t="s">
        <v>1083</v>
      </c>
      <c r="JZ294" s="263" t="s">
        <v>19414</v>
      </c>
      <c r="KA294" s="263" t="s">
        <v>145</v>
      </c>
      <c r="KB294" s="263" t="s">
        <v>70</v>
      </c>
      <c r="KC294" s="263" t="s">
        <v>1083</v>
      </c>
      <c r="KE294" s="263" t="s">
        <v>19415</v>
      </c>
      <c r="KF294" s="263" t="s">
        <v>52</v>
      </c>
      <c r="KG294" s="263" t="s">
        <v>70</v>
      </c>
      <c r="KH294" s="263" t="s">
        <v>1083</v>
      </c>
      <c r="KJ294" s="263" t="s">
        <v>19416</v>
      </c>
      <c r="KK294" s="263" t="s">
        <v>52</v>
      </c>
      <c r="KL294" s="263" t="s">
        <v>74</v>
      </c>
      <c r="KM294" s="263" t="s">
        <v>34074</v>
      </c>
      <c r="KO294" s="214" t="s">
        <v>19417</v>
      </c>
      <c r="KP294" s="214" t="s">
        <v>145</v>
      </c>
      <c r="KQ294" s="214" t="s">
        <v>70</v>
      </c>
      <c r="KR294" s="214" t="s">
        <v>67</v>
      </c>
      <c r="KT294" s="22" t="s">
        <v>19418</v>
      </c>
      <c r="KU294" s="22" t="s">
        <v>145</v>
      </c>
      <c r="KV294" s="22" t="s">
        <v>70</v>
      </c>
      <c r="KW294" s="22" t="s">
        <v>67</v>
      </c>
      <c r="KY294" s="214" t="s">
        <v>19419</v>
      </c>
      <c r="KZ294" s="214" t="s">
        <v>52</v>
      </c>
      <c r="LA294" s="214" t="s">
        <v>74</v>
      </c>
      <c r="LB294" s="214" t="s">
        <v>67</v>
      </c>
      <c r="LD294" s="22" t="s">
        <v>19420</v>
      </c>
      <c r="LE294" s="22" t="s">
        <v>145</v>
      </c>
      <c r="LF294" s="22" t="s">
        <v>70</v>
      </c>
      <c r="LG294" s="22" t="s">
        <v>67</v>
      </c>
    </row>
    <row r="295" spans="1:319">
      <c r="A295" s="22" t="s">
        <v>19421</v>
      </c>
      <c r="B295" s="22" t="s">
        <v>145</v>
      </c>
      <c r="C295" s="22" t="s">
        <v>70</v>
      </c>
      <c r="D295" s="22" t="s">
        <v>67</v>
      </c>
      <c r="F295" s="99" t="s">
        <v>19422</v>
      </c>
      <c r="G295" s="22" t="s">
        <v>145</v>
      </c>
      <c r="H295" s="22" t="s">
        <v>70</v>
      </c>
      <c r="I295" s="22" t="s">
        <v>67</v>
      </c>
      <c r="K295" s="22" t="s">
        <v>19423</v>
      </c>
      <c r="L295" s="22" t="s">
        <v>145</v>
      </c>
      <c r="M295" s="22" t="s">
        <v>70</v>
      </c>
      <c r="N295" s="22" t="s">
        <v>67</v>
      </c>
      <c r="P295" s="22" t="s">
        <v>19424</v>
      </c>
      <c r="Q295" s="22" t="s">
        <v>145</v>
      </c>
      <c r="R295" s="22" t="s">
        <v>70</v>
      </c>
      <c r="S295" s="22" t="s">
        <v>67</v>
      </c>
      <c r="U295" s="293" t="s">
        <v>19425</v>
      </c>
      <c r="V295" s="293" t="s">
        <v>145</v>
      </c>
      <c r="W295" s="293" t="s">
        <v>74</v>
      </c>
      <c r="X295" s="293" t="s">
        <v>656</v>
      </c>
      <c r="Z295" s="293" t="s">
        <v>19426</v>
      </c>
      <c r="AA295" s="293" t="s">
        <v>145</v>
      </c>
      <c r="AB295" s="293" t="s">
        <v>74</v>
      </c>
      <c r="AC295" s="293" t="s">
        <v>656</v>
      </c>
      <c r="AE295" s="293" t="s">
        <v>19427</v>
      </c>
      <c r="AF295" s="293" t="s">
        <v>145</v>
      </c>
      <c r="AG295" s="293" t="s">
        <v>74</v>
      </c>
      <c r="AH295" s="293" t="s">
        <v>656</v>
      </c>
      <c r="AJ295" s="293" t="s">
        <v>19428</v>
      </c>
      <c r="AK295" s="293" t="s">
        <v>145</v>
      </c>
      <c r="AL295" s="293" t="s">
        <v>74</v>
      </c>
      <c r="AM295" s="293" t="s">
        <v>656</v>
      </c>
      <c r="AO295" s="22" t="s">
        <v>19429</v>
      </c>
      <c r="AP295" s="22" t="s">
        <v>145</v>
      </c>
      <c r="AQ295" s="22" t="s">
        <v>70</v>
      </c>
      <c r="AR295" s="22" t="s">
        <v>67</v>
      </c>
      <c r="AT295" s="22" t="s">
        <v>19430</v>
      </c>
      <c r="AU295" s="22" t="s">
        <v>145</v>
      </c>
      <c r="AV295" s="22" t="s">
        <v>70</v>
      </c>
      <c r="AW295" s="22" t="s">
        <v>67</v>
      </c>
      <c r="AY295" s="22" t="s">
        <v>19431</v>
      </c>
      <c r="AZ295" s="22" t="s">
        <v>145</v>
      </c>
      <c r="BA295" s="22" t="s">
        <v>70</v>
      </c>
      <c r="BB295" s="22" t="s">
        <v>67</v>
      </c>
      <c r="BD295" s="22" t="s">
        <v>19432</v>
      </c>
      <c r="BE295" s="22" t="s">
        <v>145</v>
      </c>
      <c r="BF295" s="22" t="s">
        <v>70</v>
      </c>
      <c r="BG295" s="22" t="s">
        <v>67</v>
      </c>
      <c r="BI295" s="22" t="s">
        <v>19433</v>
      </c>
      <c r="BJ295" s="22" t="s">
        <v>145</v>
      </c>
      <c r="BK295" s="22" t="s">
        <v>70</v>
      </c>
      <c r="BL295" s="22" t="s">
        <v>67</v>
      </c>
      <c r="BN295" s="22" t="s">
        <v>19434</v>
      </c>
      <c r="BO295" s="22" t="s">
        <v>145</v>
      </c>
      <c r="BP295" s="22" t="s">
        <v>70</v>
      </c>
      <c r="BQ295" s="22" t="s">
        <v>67</v>
      </c>
      <c r="BS295" s="22" t="s">
        <v>19435</v>
      </c>
      <c r="BT295" s="22" t="s">
        <v>145</v>
      </c>
      <c r="BU295" s="22" t="s">
        <v>70</v>
      </c>
      <c r="BV295" s="214" t="s">
        <v>530</v>
      </c>
      <c r="BX295" s="22" t="s">
        <v>19436</v>
      </c>
      <c r="BY295" s="22" t="s">
        <v>145</v>
      </c>
      <c r="BZ295" s="22" t="s">
        <v>70</v>
      </c>
      <c r="CA295" s="214" t="s">
        <v>530</v>
      </c>
      <c r="CC295" s="214" t="s">
        <v>19437</v>
      </c>
      <c r="CD295" s="218" t="s">
        <v>601</v>
      </c>
      <c r="CE295" s="214" t="s">
        <v>70</v>
      </c>
      <c r="CF295" s="214" t="s">
        <v>748</v>
      </c>
      <c r="CH295" s="214" t="s">
        <v>19438</v>
      </c>
      <c r="CI295" s="214" t="s">
        <v>955</v>
      </c>
      <c r="CJ295" s="214" t="s">
        <v>70</v>
      </c>
      <c r="CK295" s="214" t="s">
        <v>530</v>
      </c>
      <c r="CM295" s="214" t="s">
        <v>19439</v>
      </c>
      <c r="CN295" s="214" t="s">
        <v>146</v>
      </c>
      <c r="CO295" s="214" t="s">
        <v>70</v>
      </c>
      <c r="CP295" s="214" t="s">
        <v>530</v>
      </c>
      <c r="CR295" s="214" t="s">
        <v>19440</v>
      </c>
      <c r="CS295" s="214" t="s">
        <v>923</v>
      </c>
      <c r="CT295" s="214" t="s">
        <v>70</v>
      </c>
      <c r="CU295" s="214" t="s">
        <v>530</v>
      </c>
      <c r="CW295" s="214" t="s">
        <v>19441</v>
      </c>
      <c r="CX295" s="214" t="s">
        <v>484</v>
      </c>
      <c r="CY295" s="214" t="s">
        <v>70</v>
      </c>
      <c r="CZ295" s="214" t="s">
        <v>530</v>
      </c>
      <c r="DB295" s="214" t="s">
        <v>19442</v>
      </c>
      <c r="DC295" s="214" t="s">
        <v>484</v>
      </c>
      <c r="DD295" s="214" t="s">
        <v>70</v>
      </c>
      <c r="DE295" s="214" t="s">
        <v>530</v>
      </c>
      <c r="DG295" s="214" t="s">
        <v>19443</v>
      </c>
      <c r="DH295" s="214" t="s">
        <v>52</v>
      </c>
      <c r="DI295" s="214" t="s">
        <v>70</v>
      </c>
      <c r="DJ295" s="214" t="s">
        <v>530</v>
      </c>
      <c r="DL295" s="214" t="s">
        <v>19444</v>
      </c>
      <c r="DM295" s="214" t="s">
        <v>34544</v>
      </c>
      <c r="DN295" s="214" t="s">
        <v>70</v>
      </c>
      <c r="DO295" s="214" t="s">
        <v>530</v>
      </c>
      <c r="DQ295" s="214" t="s">
        <v>19445</v>
      </c>
      <c r="DR295" s="214" t="s">
        <v>497</v>
      </c>
      <c r="DS295" s="214" t="s">
        <v>70</v>
      </c>
      <c r="DT295" s="214" t="s">
        <v>530</v>
      </c>
      <c r="DV295" s="214" t="s">
        <v>19446</v>
      </c>
      <c r="DW295" s="214" t="s">
        <v>601</v>
      </c>
      <c r="DX295" s="214" t="s">
        <v>70</v>
      </c>
      <c r="DY295" s="214" t="s">
        <v>530</v>
      </c>
      <c r="EA295" s="214" t="s">
        <v>19447</v>
      </c>
      <c r="EB295" s="214" t="s">
        <v>926</v>
      </c>
      <c r="EC295" s="214" t="s">
        <v>70</v>
      </c>
      <c r="ED295" s="214" t="s">
        <v>530</v>
      </c>
      <c r="EF295" s="214" t="s">
        <v>19448</v>
      </c>
      <c r="EG295" s="214" t="s">
        <v>492</v>
      </c>
      <c r="EH295" s="214" t="s">
        <v>70</v>
      </c>
      <c r="EI295" s="214" t="s">
        <v>530</v>
      </c>
      <c r="EK295" s="214" t="s">
        <v>19449</v>
      </c>
      <c r="EL295" s="214" t="s">
        <v>93</v>
      </c>
      <c r="EM295" s="214" t="s">
        <v>70</v>
      </c>
      <c r="EN295" s="214" t="s">
        <v>530</v>
      </c>
      <c r="EP295" s="214" t="s">
        <v>19450</v>
      </c>
      <c r="EQ295" s="214" t="s">
        <v>487</v>
      </c>
      <c r="ER295" s="214" t="s">
        <v>70</v>
      </c>
      <c r="ES295" s="214" t="s">
        <v>530</v>
      </c>
      <c r="EU295" s="214" t="s">
        <v>19451</v>
      </c>
      <c r="EV295" s="214" t="s">
        <v>52</v>
      </c>
      <c r="EW295" s="214" t="s">
        <v>70</v>
      </c>
      <c r="EX295" s="214" t="s">
        <v>530</v>
      </c>
      <c r="EZ295" s="214" t="s">
        <v>19452</v>
      </c>
      <c r="FA295" s="214" t="s">
        <v>163</v>
      </c>
      <c r="FB295" s="214" t="s">
        <v>70</v>
      </c>
      <c r="FC295" s="214" t="s">
        <v>530</v>
      </c>
      <c r="FE295" s="214" t="s">
        <v>19453</v>
      </c>
      <c r="FF295" s="214" t="s">
        <v>468</v>
      </c>
      <c r="FG295" s="214" t="s">
        <v>70</v>
      </c>
      <c r="FH295" s="214" t="s">
        <v>530</v>
      </c>
      <c r="FJ295" s="321" t="s">
        <v>19454</v>
      </c>
      <c r="FK295" s="214" t="s">
        <v>484</v>
      </c>
      <c r="FL295" s="214" t="s">
        <v>70</v>
      </c>
      <c r="FM295" s="214" t="s">
        <v>530</v>
      </c>
      <c r="FO295" s="321" t="s">
        <v>19455</v>
      </c>
      <c r="FP295" s="214" t="s">
        <v>145</v>
      </c>
      <c r="FQ295" s="214" t="s">
        <v>70</v>
      </c>
      <c r="FR295" s="214" t="s">
        <v>530</v>
      </c>
      <c r="FT295" s="321" t="s">
        <v>19456</v>
      </c>
      <c r="FU295" s="214" t="s">
        <v>468</v>
      </c>
      <c r="FV295" s="214" t="s">
        <v>70</v>
      </c>
      <c r="FW295" s="214" t="s">
        <v>530</v>
      </c>
      <c r="FY295" s="321" t="s">
        <v>19457</v>
      </c>
      <c r="FZ295" s="214" t="s">
        <v>34598</v>
      </c>
      <c r="GA295" s="214" t="s">
        <v>70</v>
      </c>
      <c r="GB295" s="214" t="s">
        <v>530</v>
      </c>
      <c r="GD295" s="321" t="s">
        <v>19458</v>
      </c>
      <c r="GE295" s="214" t="s">
        <v>34615</v>
      </c>
      <c r="GF295" s="214" t="s">
        <v>70</v>
      </c>
      <c r="GG295" s="214" t="s">
        <v>530</v>
      </c>
      <c r="GI295" s="321" t="s">
        <v>19459</v>
      </c>
      <c r="GJ295" s="214" t="s">
        <v>488</v>
      </c>
      <c r="GK295" s="214" t="s">
        <v>70</v>
      </c>
      <c r="GL295" s="214" t="s">
        <v>530</v>
      </c>
      <c r="GN295" s="321" t="s">
        <v>19460</v>
      </c>
      <c r="GO295" s="214" t="s">
        <v>34553</v>
      </c>
      <c r="GP295" s="214" t="s">
        <v>70</v>
      </c>
      <c r="GQ295" s="214" t="s">
        <v>530</v>
      </c>
      <c r="GS295" s="321" t="s">
        <v>19461</v>
      </c>
      <c r="GT295" s="214" t="s">
        <v>52</v>
      </c>
      <c r="GU295" s="214" t="s">
        <v>70</v>
      </c>
      <c r="GV295" s="214" t="s">
        <v>530</v>
      </c>
      <c r="GX295" s="214" t="s">
        <v>19462</v>
      </c>
      <c r="GY295" s="214" t="s">
        <v>34547</v>
      </c>
      <c r="GZ295" s="214" t="s">
        <v>70</v>
      </c>
      <c r="HA295" s="214" t="s">
        <v>530</v>
      </c>
      <c r="HC295" s="214" t="s">
        <v>19463</v>
      </c>
      <c r="HD295" s="214" t="s">
        <v>486</v>
      </c>
      <c r="HE295" s="214" t="s">
        <v>70</v>
      </c>
      <c r="HF295" s="214" t="s">
        <v>530</v>
      </c>
      <c r="HH295" s="214" t="s">
        <v>19464</v>
      </c>
      <c r="HI295" s="214" t="s">
        <v>145</v>
      </c>
      <c r="HJ295" s="214" t="s">
        <v>70</v>
      </c>
      <c r="HK295" s="214" t="s">
        <v>530</v>
      </c>
      <c r="HM295" s="214" t="s">
        <v>19465</v>
      </c>
      <c r="HN295" s="214" t="s">
        <v>955</v>
      </c>
      <c r="HO295" s="214" t="s">
        <v>70</v>
      </c>
      <c r="HP295" s="214" t="s">
        <v>530</v>
      </c>
      <c r="HR295" s="22" t="s">
        <v>19466</v>
      </c>
      <c r="HS295" s="22" t="s">
        <v>34544</v>
      </c>
      <c r="HT295" s="22" t="s">
        <v>70</v>
      </c>
      <c r="HU295" s="214" t="s">
        <v>530</v>
      </c>
      <c r="HW295" s="22" t="s">
        <v>19467</v>
      </c>
      <c r="HX295" s="22" t="s">
        <v>487</v>
      </c>
      <c r="HY295" s="22" t="s">
        <v>70</v>
      </c>
      <c r="HZ295" s="214" t="s">
        <v>530</v>
      </c>
      <c r="IB295" s="22" t="s">
        <v>19468</v>
      </c>
      <c r="IC295" s="22" t="s">
        <v>34544</v>
      </c>
      <c r="ID295" s="22" t="s">
        <v>70</v>
      </c>
      <c r="IE295" s="214" t="s">
        <v>530</v>
      </c>
      <c r="IG295" s="22" t="s">
        <v>19469</v>
      </c>
      <c r="IH295" s="22" t="s">
        <v>52</v>
      </c>
      <c r="II295" s="22" t="s">
        <v>70</v>
      </c>
      <c r="IJ295" s="214" t="s">
        <v>530</v>
      </c>
      <c r="IL295" s="22" t="s">
        <v>19470</v>
      </c>
      <c r="IM295" s="22" t="s">
        <v>145</v>
      </c>
      <c r="IN295" s="22" t="s">
        <v>70</v>
      </c>
      <c r="IO295" s="214" t="s">
        <v>530</v>
      </c>
      <c r="IQ295" s="236" t="s">
        <v>19471</v>
      </c>
      <c r="IR295" s="236" t="s">
        <v>145</v>
      </c>
      <c r="IS295" s="236" t="s">
        <v>74</v>
      </c>
      <c r="IT295" s="236" t="s">
        <v>841</v>
      </c>
      <c r="IV295" s="236" t="s">
        <v>19472</v>
      </c>
      <c r="IW295" s="236" t="s">
        <v>145</v>
      </c>
      <c r="IX295" s="236" t="s">
        <v>74</v>
      </c>
      <c r="IY295" s="236" t="s">
        <v>841</v>
      </c>
      <c r="JA295" s="236" t="s">
        <v>19473</v>
      </c>
      <c r="JB295" s="236" t="s">
        <v>145</v>
      </c>
      <c r="JC295" s="236" t="s">
        <v>74</v>
      </c>
      <c r="JD295" s="236" t="s">
        <v>841</v>
      </c>
      <c r="JF295" s="236" t="s">
        <v>19474</v>
      </c>
      <c r="JG295" s="236" t="s">
        <v>145</v>
      </c>
      <c r="JH295" s="236" t="s">
        <v>74</v>
      </c>
      <c r="JI295" s="236" t="s">
        <v>841</v>
      </c>
      <c r="JK295" s="236" t="s">
        <v>19475</v>
      </c>
      <c r="JL295" s="236" t="s">
        <v>145</v>
      </c>
      <c r="JM295" s="236" t="s">
        <v>74</v>
      </c>
      <c r="JN295" s="236" t="s">
        <v>841</v>
      </c>
      <c r="JP295" s="236" t="s">
        <v>19476</v>
      </c>
      <c r="JQ295" s="236" t="s">
        <v>145</v>
      </c>
      <c r="JR295" s="236" t="s">
        <v>74</v>
      </c>
      <c r="JS295" s="236" t="s">
        <v>841</v>
      </c>
      <c r="JU295" s="294" t="s">
        <v>19477</v>
      </c>
      <c r="JV295" s="294" t="s">
        <v>52</v>
      </c>
      <c r="JW295" s="263" t="s">
        <v>70</v>
      </c>
      <c r="JX295" s="294" t="s">
        <v>1083</v>
      </c>
      <c r="JZ295" s="263" t="s">
        <v>19478</v>
      </c>
      <c r="KA295" s="263" t="s">
        <v>145</v>
      </c>
      <c r="KB295" s="263" t="s">
        <v>70</v>
      </c>
      <c r="KC295" s="263" t="s">
        <v>1083</v>
      </c>
      <c r="KE295" s="263" t="s">
        <v>19479</v>
      </c>
      <c r="KF295" s="263" t="s">
        <v>52</v>
      </c>
      <c r="KG295" s="263" t="s">
        <v>70</v>
      </c>
      <c r="KH295" s="263" t="s">
        <v>1083</v>
      </c>
      <c r="KJ295" s="263" t="s">
        <v>19480</v>
      </c>
      <c r="KK295" s="263" t="s">
        <v>52</v>
      </c>
      <c r="KL295" s="263" t="s">
        <v>74</v>
      </c>
      <c r="KM295" s="263" t="s">
        <v>34074</v>
      </c>
      <c r="KO295" s="214" t="s">
        <v>19481</v>
      </c>
      <c r="KP295" s="214" t="s">
        <v>145</v>
      </c>
      <c r="KQ295" s="214" t="s">
        <v>70</v>
      </c>
      <c r="KR295" s="214" t="s">
        <v>67</v>
      </c>
      <c r="KT295" s="22" t="s">
        <v>19482</v>
      </c>
      <c r="KU295" s="22" t="s">
        <v>145</v>
      </c>
      <c r="KV295" s="22" t="s">
        <v>70</v>
      </c>
      <c r="KW295" s="22" t="s">
        <v>67</v>
      </c>
      <c r="KY295" s="214" t="s">
        <v>19483</v>
      </c>
      <c r="KZ295" s="214" t="s">
        <v>52</v>
      </c>
      <c r="LA295" s="214" t="s">
        <v>74</v>
      </c>
      <c r="LB295" s="214" t="s">
        <v>67</v>
      </c>
      <c r="LD295" s="22" t="s">
        <v>19484</v>
      </c>
      <c r="LE295" s="22" t="s">
        <v>145</v>
      </c>
      <c r="LF295" s="22" t="s">
        <v>70</v>
      </c>
      <c r="LG295" s="22" t="s">
        <v>67</v>
      </c>
    </row>
    <row r="296" spans="1:319">
      <c r="A296" s="22" t="s">
        <v>19485</v>
      </c>
      <c r="B296" s="22" t="s">
        <v>145</v>
      </c>
      <c r="C296" s="22" t="s">
        <v>70</v>
      </c>
      <c r="D296" s="22" t="s">
        <v>67</v>
      </c>
      <c r="F296" s="99" t="s">
        <v>19486</v>
      </c>
      <c r="G296" s="22" t="s">
        <v>145</v>
      </c>
      <c r="H296" s="22" t="s">
        <v>70</v>
      </c>
      <c r="I296" s="22" t="s">
        <v>67</v>
      </c>
      <c r="K296" s="22" t="s">
        <v>19487</v>
      </c>
      <c r="L296" s="22" t="s">
        <v>145</v>
      </c>
      <c r="M296" s="22" t="s">
        <v>70</v>
      </c>
      <c r="N296" s="22" t="s">
        <v>67</v>
      </c>
      <c r="P296" s="22" t="s">
        <v>19488</v>
      </c>
      <c r="Q296" s="22" t="s">
        <v>145</v>
      </c>
      <c r="R296" s="22" t="s">
        <v>70</v>
      </c>
      <c r="S296" s="22" t="s">
        <v>67</v>
      </c>
      <c r="U296" s="293" t="s">
        <v>19489</v>
      </c>
      <c r="V296" s="293" t="s">
        <v>145</v>
      </c>
      <c r="W296" s="293" t="s">
        <v>74</v>
      </c>
      <c r="X296" s="293" t="s">
        <v>656</v>
      </c>
      <c r="Z296" s="293" t="s">
        <v>19490</v>
      </c>
      <c r="AA296" s="293" t="s">
        <v>145</v>
      </c>
      <c r="AB296" s="293" t="s">
        <v>74</v>
      </c>
      <c r="AC296" s="293" t="s">
        <v>656</v>
      </c>
      <c r="AE296" s="293" t="s">
        <v>19491</v>
      </c>
      <c r="AF296" s="293" t="s">
        <v>145</v>
      </c>
      <c r="AG296" s="293" t="s">
        <v>74</v>
      </c>
      <c r="AH296" s="293" t="s">
        <v>656</v>
      </c>
      <c r="AJ296" s="293" t="s">
        <v>19492</v>
      </c>
      <c r="AK296" s="293" t="s">
        <v>145</v>
      </c>
      <c r="AL296" s="293" t="s">
        <v>74</v>
      </c>
      <c r="AM296" s="293" t="s">
        <v>656</v>
      </c>
      <c r="AO296" s="22" t="s">
        <v>19493</v>
      </c>
      <c r="AP296" s="22" t="s">
        <v>145</v>
      </c>
      <c r="AQ296" s="22" t="s">
        <v>70</v>
      </c>
      <c r="AR296" s="22" t="s">
        <v>67</v>
      </c>
      <c r="AT296" s="22" t="s">
        <v>19494</v>
      </c>
      <c r="AU296" s="22" t="s">
        <v>145</v>
      </c>
      <c r="AV296" s="22" t="s">
        <v>70</v>
      </c>
      <c r="AW296" s="22" t="s">
        <v>67</v>
      </c>
      <c r="AY296" s="22" t="s">
        <v>19495</v>
      </c>
      <c r="AZ296" s="22" t="s">
        <v>145</v>
      </c>
      <c r="BA296" s="22" t="s">
        <v>70</v>
      </c>
      <c r="BB296" s="22" t="s">
        <v>67</v>
      </c>
      <c r="BD296" s="22" t="s">
        <v>19496</v>
      </c>
      <c r="BE296" s="22" t="s">
        <v>145</v>
      </c>
      <c r="BF296" s="22" t="s">
        <v>70</v>
      </c>
      <c r="BG296" s="22" t="s">
        <v>67</v>
      </c>
      <c r="BI296" s="22" t="s">
        <v>19497</v>
      </c>
      <c r="BJ296" s="22" t="s">
        <v>145</v>
      </c>
      <c r="BK296" s="22" t="s">
        <v>70</v>
      </c>
      <c r="BL296" s="22" t="s">
        <v>67</v>
      </c>
      <c r="BN296" s="22" t="s">
        <v>19498</v>
      </c>
      <c r="BO296" s="22" t="s">
        <v>145</v>
      </c>
      <c r="BP296" s="22" t="s">
        <v>70</v>
      </c>
      <c r="BQ296" s="22" t="s">
        <v>67</v>
      </c>
      <c r="BS296" s="22" t="s">
        <v>19499</v>
      </c>
      <c r="BT296" s="22" t="s">
        <v>145</v>
      </c>
      <c r="BU296" s="22" t="s">
        <v>70</v>
      </c>
      <c r="BV296" s="214" t="s">
        <v>530</v>
      </c>
      <c r="BX296" s="22" t="s">
        <v>19500</v>
      </c>
      <c r="BY296" s="22" t="s">
        <v>145</v>
      </c>
      <c r="BZ296" s="22" t="s">
        <v>70</v>
      </c>
      <c r="CA296" s="214" t="s">
        <v>530</v>
      </c>
      <c r="CC296" s="214" t="s">
        <v>19501</v>
      </c>
      <c r="CD296" s="218" t="s">
        <v>34608</v>
      </c>
      <c r="CE296" s="214" t="s">
        <v>70</v>
      </c>
      <c r="CF296" s="214" t="s">
        <v>749</v>
      </c>
      <c r="CH296" s="214" t="s">
        <v>19502</v>
      </c>
      <c r="CI296" s="214" t="s">
        <v>52</v>
      </c>
      <c r="CJ296" s="214" t="s">
        <v>70</v>
      </c>
      <c r="CK296" s="214" t="s">
        <v>530</v>
      </c>
      <c r="CM296" s="214" t="s">
        <v>19503</v>
      </c>
      <c r="CN296" s="214" t="s">
        <v>85</v>
      </c>
      <c r="CO296" s="214" t="s">
        <v>70</v>
      </c>
      <c r="CP296" s="214" t="s">
        <v>530</v>
      </c>
      <c r="CR296" s="214" t="s">
        <v>19504</v>
      </c>
      <c r="CS296" s="214" t="s">
        <v>34544</v>
      </c>
      <c r="CT296" s="214" t="s">
        <v>70</v>
      </c>
      <c r="CU296" s="214" t="s">
        <v>530</v>
      </c>
      <c r="CW296" s="214" t="s">
        <v>19505</v>
      </c>
      <c r="CX296" s="214" t="s">
        <v>34540</v>
      </c>
      <c r="CY296" s="214" t="s">
        <v>70</v>
      </c>
      <c r="CZ296" s="214" t="s">
        <v>530</v>
      </c>
      <c r="DB296" s="214" t="s">
        <v>19506</v>
      </c>
      <c r="DC296" s="214" t="s">
        <v>485</v>
      </c>
      <c r="DD296" s="214" t="s">
        <v>70</v>
      </c>
      <c r="DE296" s="214" t="s">
        <v>530</v>
      </c>
      <c r="DG296" s="214" t="s">
        <v>19507</v>
      </c>
      <c r="DH296" s="214" t="s">
        <v>145</v>
      </c>
      <c r="DI296" s="214" t="s">
        <v>70</v>
      </c>
      <c r="DJ296" s="214" t="s">
        <v>530</v>
      </c>
      <c r="DL296" s="214" t="s">
        <v>19508</v>
      </c>
      <c r="DM296" s="214" t="s">
        <v>52</v>
      </c>
      <c r="DN296" s="214" t="s">
        <v>70</v>
      </c>
      <c r="DO296" s="214" t="s">
        <v>530</v>
      </c>
      <c r="DQ296" s="214" t="s">
        <v>19509</v>
      </c>
      <c r="DR296" s="214" t="s">
        <v>34617</v>
      </c>
      <c r="DS296" s="214" t="s">
        <v>70</v>
      </c>
      <c r="DT296" s="214" t="s">
        <v>530</v>
      </c>
      <c r="DV296" s="214" t="s">
        <v>19510</v>
      </c>
      <c r="DW296" s="214" t="s">
        <v>905</v>
      </c>
      <c r="DX296" s="214" t="s">
        <v>70</v>
      </c>
      <c r="DY296" s="214" t="s">
        <v>530</v>
      </c>
      <c r="EA296" s="214" t="s">
        <v>19511</v>
      </c>
      <c r="EB296" s="214" t="s">
        <v>468</v>
      </c>
      <c r="EC296" s="214" t="s">
        <v>70</v>
      </c>
      <c r="ED296" s="214" t="s">
        <v>530</v>
      </c>
      <c r="EF296" s="214" t="s">
        <v>19512</v>
      </c>
      <c r="EG296" s="214" t="s">
        <v>148</v>
      </c>
      <c r="EH296" s="214" t="s">
        <v>70</v>
      </c>
      <c r="EI296" s="214" t="s">
        <v>530</v>
      </c>
      <c r="EK296" s="214" t="s">
        <v>19513</v>
      </c>
      <c r="EL296" s="214" t="s">
        <v>598</v>
      </c>
      <c r="EM296" s="214" t="s">
        <v>70</v>
      </c>
      <c r="EN296" s="214" t="s">
        <v>530</v>
      </c>
      <c r="EP296" s="214" t="s">
        <v>19514</v>
      </c>
      <c r="EQ296" s="214" t="s">
        <v>34558</v>
      </c>
      <c r="ER296" s="214" t="s">
        <v>70</v>
      </c>
      <c r="ES296" s="214" t="s">
        <v>530</v>
      </c>
      <c r="EU296" s="214" t="s">
        <v>19515</v>
      </c>
      <c r="EV296" s="214" t="s">
        <v>88</v>
      </c>
      <c r="EW296" s="214" t="s">
        <v>70</v>
      </c>
      <c r="EX296" s="214" t="s">
        <v>530</v>
      </c>
      <c r="EZ296" s="214" t="s">
        <v>19516</v>
      </c>
      <c r="FA296" s="214" t="s">
        <v>495</v>
      </c>
      <c r="FB296" s="214" t="s">
        <v>70</v>
      </c>
      <c r="FC296" s="214" t="s">
        <v>530</v>
      </c>
      <c r="FE296" s="214" t="s">
        <v>19517</v>
      </c>
      <c r="FF296" s="214" t="s">
        <v>145</v>
      </c>
      <c r="FG296" s="214" t="s">
        <v>70</v>
      </c>
      <c r="FH296" s="214" t="s">
        <v>530</v>
      </c>
      <c r="FJ296" s="321" t="s">
        <v>19518</v>
      </c>
      <c r="FK296" s="214" t="s">
        <v>485</v>
      </c>
      <c r="FL296" s="214" t="s">
        <v>70</v>
      </c>
      <c r="FM296" s="214" t="s">
        <v>530</v>
      </c>
      <c r="FO296" s="321" t="s">
        <v>19519</v>
      </c>
      <c r="FP296" s="214" t="s">
        <v>145</v>
      </c>
      <c r="FQ296" s="214" t="s">
        <v>70</v>
      </c>
      <c r="FR296" s="214" t="s">
        <v>530</v>
      </c>
      <c r="FT296" s="321" t="s">
        <v>19520</v>
      </c>
      <c r="FU296" s="214" t="s">
        <v>52</v>
      </c>
      <c r="FV296" s="214" t="s">
        <v>70</v>
      </c>
      <c r="FW296" s="214" t="s">
        <v>530</v>
      </c>
      <c r="FY296" s="321" t="s">
        <v>19521</v>
      </c>
      <c r="FZ296" s="214" t="s">
        <v>531</v>
      </c>
      <c r="GA296" s="214" t="s">
        <v>70</v>
      </c>
      <c r="GB296" s="214" t="s">
        <v>530</v>
      </c>
      <c r="GD296" s="321" t="s">
        <v>19522</v>
      </c>
      <c r="GE296" s="214" t="s">
        <v>34636</v>
      </c>
      <c r="GF296" s="214" t="s">
        <v>70</v>
      </c>
      <c r="GG296" s="214" t="s">
        <v>530</v>
      </c>
      <c r="GI296" s="321" t="s">
        <v>19523</v>
      </c>
      <c r="GJ296" s="214" t="s">
        <v>942</v>
      </c>
      <c r="GK296" s="214" t="s">
        <v>70</v>
      </c>
      <c r="GL296" s="214" t="s">
        <v>530</v>
      </c>
      <c r="GN296" s="321" t="s">
        <v>19524</v>
      </c>
      <c r="GO296" s="214" t="s">
        <v>34516</v>
      </c>
      <c r="GP296" s="214" t="s">
        <v>70</v>
      </c>
      <c r="GQ296" s="214" t="s">
        <v>530</v>
      </c>
      <c r="GS296" s="321" t="s">
        <v>19525</v>
      </c>
      <c r="GT296" s="214" t="s">
        <v>52</v>
      </c>
      <c r="GU296" s="214" t="s">
        <v>70</v>
      </c>
      <c r="GV296" s="214" t="s">
        <v>530</v>
      </c>
      <c r="GX296" s="214" t="s">
        <v>19526</v>
      </c>
      <c r="GY296" s="214" t="s">
        <v>86</v>
      </c>
      <c r="GZ296" s="214" t="s">
        <v>70</v>
      </c>
      <c r="HA296" s="214" t="s">
        <v>530</v>
      </c>
      <c r="HC296" s="214" t="s">
        <v>19527</v>
      </c>
      <c r="HD296" s="214" t="s">
        <v>305</v>
      </c>
      <c r="HE296" s="214" t="s">
        <v>70</v>
      </c>
      <c r="HF296" s="214" t="s">
        <v>530</v>
      </c>
      <c r="HH296" s="214" t="s">
        <v>19528</v>
      </c>
      <c r="HI296" s="214" t="s">
        <v>34541</v>
      </c>
      <c r="HJ296" s="214" t="s">
        <v>70</v>
      </c>
      <c r="HK296" s="214" t="s">
        <v>530</v>
      </c>
      <c r="HM296" s="214" t="s">
        <v>19529</v>
      </c>
      <c r="HN296" s="214" t="s">
        <v>145</v>
      </c>
      <c r="HO296" s="214" t="s">
        <v>70</v>
      </c>
      <c r="HP296" s="214" t="s">
        <v>530</v>
      </c>
      <c r="HR296" s="22" t="s">
        <v>19530</v>
      </c>
      <c r="HS296" s="22" t="s">
        <v>10541</v>
      </c>
      <c r="HT296" s="22" t="s">
        <v>70</v>
      </c>
      <c r="HU296" s="214" t="s">
        <v>530</v>
      </c>
      <c r="HW296" s="22" t="s">
        <v>19531</v>
      </c>
      <c r="HX296" s="22" t="s">
        <v>52</v>
      </c>
      <c r="HY296" s="22" t="s">
        <v>70</v>
      </c>
      <c r="HZ296" s="214" t="s">
        <v>530</v>
      </c>
      <c r="IB296" s="22" t="s">
        <v>19532</v>
      </c>
      <c r="IC296" s="22" t="s">
        <v>52</v>
      </c>
      <c r="ID296" s="22" t="s">
        <v>70</v>
      </c>
      <c r="IE296" s="214" t="s">
        <v>530</v>
      </c>
      <c r="IG296" s="22" t="s">
        <v>19533</v>
      </c>
      <c r="IH296" s="22" t="s">
        <v>52</v>
      </c>
      <c r="II296" s="22" t="s">
        <v>70</v>
      </c>
      <c r="IJ296" s="214" t="s">
        <v>530</v>
      </c>
      <c r="IL296" s="22" t="s">
        <v>19534</v>
      </c>
      <c r="IM296" s="22" t="s">
        <v>145</v>
      </c>
      <c r="IN296" s="22" t="s">
        <v>70</v>
      </c>
      <c r="IO296" s="214" t="s">
        <v>530</v>
      </c>
      <c r="IQ296" s="236" t="s">
        <v>19535</v>
      </c>
      <c r="IR296" s="236" t="s">
        <v>145</v>
      </c>
      <c r="IS296" s="236" t="s">
        <v>74</v>
      </c>
      <c r="IT296" s="236" t="s">
        <v>841</v>
      </c>
      <c r="IV296" s="236" t="s">
        <v>19536</v>
      </c>
      <c r="IW296" s="236" t="s">
        <v>145</v>
      </c>
      <c r="IX296" s="236" t="s">
        <v>74</v>
      </c>
      <c r="IY296" s="236" t="s">
        <v>841</v>
      </c>
      <c r="JA296" s="236" t="s">
        <v>19537</v>
      </c>
      <c r="JB296" s="236" t="s">
        <v>145</v>
      </c>
      <c r="JC296" s="236" t="s">
        <v>74</v>
      </c>
      <c r="JD296" s="236" t="s">
        <v>841</v>
      </c>
      <c r="JF296" s="236" t="s">
        <v>19538</v>
      </c>
      <c r="JG296" s="236" t="s">
        <v>145</v>
      </c>
      <c r="JH296" s="236" t="s">
        <v>74</v>
      </c>
      <c r="JI296" s="236" t="s">
        <v>841</v>
      </c>
      <c r="JK296" s="236" t="s">
        <v>19539</v>
      </c>
      <c r="JL296" s="236" t="s">
        <v>145</v>
      </c>
      <c r="JM296" s="236" t="s">
        <v>74</v>
      </c>
      <c r="JN296" s="236" t="s">
        <v>841</v>
      </c>
      <c r="JP296" s="236" t="s">
        <v>19540</v>
      </c>
      <c r="JQ296" s="236" t="s">
        <v>145</v>
      </c>
      <c r="JR296" s="236" t="s">
        <v>74</v>
      </c>
      <c r="JS296" s="236" t="s">
        <v>841</v>
      </c>
      <c r="JU296" s="294" t="s">
        <v>19541</v>
      </c>
      <c r="JV296" s="294" t="s">
        <v>52</v>
      </c>
      <c r="JW296" s="263" t="s">
        <v>70</v>
      </c>
      <c r="JX296" s="294" t="s">
        <v>1083</v>
      </c>
      <c r="JZ296" s="263" t="s">
        <v>19542</v>
      </c>
      <c r="KA296" s="263" t="s">
        <v>145</v>
      </c>
      <c r="KB296" s="263" t="s">
        <v>70</v>
      </c>
      <c r="KC296" s="263" t="s">
        <v>1083</v>
      </c>
      <c r="KE296" s="263" t="s">
        <v>19543</v>
      </c>
      <c r="KF296" s="263" t="s">
        <v>52</v>
      </c>
      <c r="KG296" s="263" t="s">
        <v>70</v>
      </c>
      <c r="KH296" s="263" t="s">
        <v>1083</v>
      </c>
      <c r="KJ296" s="263" t="s">
        <v>19544</v>
      </c>
      <c r="KK296" s="263" t="s">
        <v>52</v>
      </c>
      <c r="KL296" s="263" t="s">
        <v>74</v>
      </c>
      <c r="KM296" s="263" t="s">
        <v>34074</v>
      </c>
      <c r="KO296" s="214" t="s">
        <v>19545</v>
      </c>
      <c r="KP296" s="214" t="s">
        <v>145</v>
      </c>
      <c r="KQ296" s="214" t="s">
        <v>70</v>
      </c>
      <c r="KR296" s="214" t="s">
        <v>67</v>
      </c>
      <c r="KT296" s="22" t="s">
        <v>19546</v>
      </c>
      <c r="KU296" s="22" t="s">
        <v>145</v>
      </c>
      <c r="KV296" s="22" t="s">
        <v>70</v>
      </c>
      <c r="KW296" s="22" t="s">
        <v>67</v>
      </c>
      <c r="KY296" s="214" t="s">
        <v>19547</v>
      </c>
      <c r="KZ296" s="214" t="s">
        <v>52</v>
      </c>
      <c r="LA296" s="214" t="s">
        <v>74</v>
      </c>
      <c r="LB296" s="214" t="s">
        <v>67</v>
      </c>
      <c r="LD296" s="22" t="s">
        <v>19548</v>
      </c>
      <c r="LE296" s="22" t="s">
        <v>145</v>
      </c>
      <c r="LF296" s="22" t="s">
        <v>70</v>
      </c>
      <c r="LG296" s="22" t="s">
        <v>67</v>
      </c>
    </row>
    <row r="297" spans="1:319">
      <c r="A297" s="22" t="s">
        <v>19549</v>
      </c>
      <c r="B297" s="22" t="s">
        <v>145</v>
      </c>
      <c r="C297" s="22" t="s">
        <v>70</v>
      </c>
      <c r="D297" s="22" t="s">
        <v>67</v>
      </c>
      <c r="F297" s="99" t="s">
        <v>19550</v>
      </c>
      <c r="G297" s="22" t="s">
        <v>145</v>
      </c>
      <c r="H297" s="22" t="s">
        <v>70</v>
      </c>
      <c r="I297" s="22" t="s">
        <v>67</v>
      </c>
      <c r="K297" s="22" t="s">
        <v>19551</v>
      </c>
      <c r="L297" s="22" t="s">
        <v>145</v>
      </c>
      <c r="M297" s="22" t="s">
        <v>70</v>
      </c>
      <c r="N297" s="22" t="s">
        <v>67</v>
      </c>
      <c r="P297" s="22" t="s">
        <v>19552</v>
      </c>
      <c r="Q297" s="22" t="s">
        <v>145</v>
      </c>
      <c r="R297" s="22" t="s">
        <v>70</v>
      </c>
      <c r="S297" s="22" t="s">
        <v>67</v>
      </c>
      <c r="U297" s="293" t="s">
        <v>19553</v>
      </c>
      <c r="V297" s="293" t="s">
        <v>145</v>
      </c>
      <c r="W297" s="293" t="s">
        <v>74</v>
      </c>
      <c r="X297" s="293" t="s">
        <v>656</v>
      </c>
      <c r="Z297" s="293" t="s">
        <v>19554</v>
      </c>
      <c r="AA297" s="293" t="s">
        <v>145</v>
      </c>
      <c r="AB297" s="293" t="s">
        <v>74</v>
      </c>
      <c r="AC297" s="293" t="s">
        <v>656</v>
      </c>
      <c r="AE297" s="293" t="s">
        <v>19555</v>
      </c>
      <c r="AF297" s="293" t="s">
        <v>145</v>
      </c>
      <c r="AG297" s="293" t="s">
        <v>74</v>
      </c>
      <c r="AH297" s="293" t="s">
        <v>656</v>
      </c>
      <c r="AJ297" s="293" t="s">
        <v>19556</v>
      </c>
      <c r="AK297" s="293" t="s">
        <v>145</v>
      </c>
      <c r="AL297" s="293" t="s">
        <v>74</v>
      </c>
      <c r="AM297" s="293" t="s">
        <v>656</v>
      </c>
      <c r="AO297" s="22" t="s">
        <v>19557</v>
      </c>
      <c r="AP297" s="22" t="s">
        <v>145</v>
      </c>
      <c r="AQ297" s="22" t="s">
        <v>70</v>
      </c>
      <c r="AR297" s="22" t="s">
        <v>67</v>
      </c>
      <c r="AT297" s="22" t="s">
        <v>19558</v>
      </c>
      <c r="AU297" s="22" t="s">
        <v>145</v>
      </c>
      <c r="AV297" s="22" t="s">
        <v>70</v>
      </c>
      <c r="AW297" s="22" t="s">
        <v>67</v>
      </c>
      <c r="AY297" s="22" t="s">
        <v>19559</v>
      </c>
      <c r="AZ297" s="22" t="s">
        <v>145</v>
      </c>
      <c r="BA297" s="22" t="s">
        <v>70</v>
      </c>
      <c r="BB297" s="22" t="s">
        <v>67</v>
      </c>
      <c r="BD297" s="22" t="s">
        <v>19560</v>
      </c>
      <c r="BE297" s="22" t="s">
        <v>145</v>
      </c>
      <c r="BF297" s="22" t="s">
        <v>70</v>
      </c>
      <c r="BG297" s="22" t="s">
        <v>67</v>
      </c>
      <c r="BI297" s="22" t="s">
        <v>19561</v>
      </c>
      <c r="BJ297" s="22" t="s">
        <v>145</v>
      </c>
      <c r="BK297" s="22" t="s">
        <v>70</v>
      </c>
      <c r="BL297" s="22" t="s">
        <v>67</v>
      </c>
      <c r="BN297" s="22" t="s">
        <v>19562</v>
      </c>
      <c r="BO297" s="22" t="s">
        <v>145</v>
      </c>
      <c r="BP297" s="22" t="s">
        <v>70</v>
      </c>
      <c r="BQ297" s="22" t="s">
        <v>67</v>
      </c>
      <c r="BS297" s="22" t="s">
        <v>19563</v>
      </c>
      <c r="BT297" s="22" t="s">
        <v>145</v>
      </c>
      <c r="BU297" s="22" t="s">
        <v>70</v>
      </c>
      <c r="BV297" s="214" t="s">
        <v>530</v>
      </c>
      <c r="BX297" s="22" t="s">
        <v>19564</v>
      </c>
      <c r="BY297" s="22" t="s">
        <v>145</v>
      </c>
      <c r="BZ297" s="22" t="s">
        <v>70</v>
      </c>
      <c r="CA297" s="214" t="s">
        <v>530</v>
      </c>
      <c r="CC297" s="214" t="s">
        <v>19565</v>
      </c>
      <c r="CD297" s="218" t="s">
        <v>34607</v>
      </c>
      <c r="CE297" s="214" t="s">
        <v>70</v>
      </c>
      <c r="CF297" s="214" t="s">
        <v>750</v>
      </c>
      <c r="CH297" s="214" t="s">
        <v>19566</v>
      </c>
      <c r="CI297" s="214" t="s">
        <v>203</v>
      </c>
      <c r="CJ297" s="214" t="s">
        <v>70</v>
      </c>
      <c r="CK297" s="214" t="s">
        <v>530</v>
      </c>
      <c r="CM297" s="214" t="s">
        <v>19567</v>
      </c>
      <c r="CN297" s="214" t="s">
        <v>485</v>
      </c>
      <c r="CO297" s="214" t="s">
        <v>70</v>
      </c>
      <c r="CP297" s="214" t="s">
        <v>530</v>
      </c>
      <c r="CR297" s="214" t="s">
        <v>19568</v>
      </c>
      <c r="CS297" s="214" t="s">
        <v>34544</v>
      </c>
      <c r="CT297" s="214" t="s">
        <v>70</v>
      </c>
      <c r="CU297" s="214" t="s">
        <v>530</v>
      </c>
      <c r="CW297" s="214" t="s">
        <v>19569</v>
      </c>
      <c r="CX297" s="214" t="s">
        <v>146</v>
      </c>
      <c r="CY297" s="214" t="s">
        <v>70</v>
      </c>
      <c r="CZ297" s="214" t="s">
        <v>530</v>
      </c>
      <c r="DB297" s="214" t="s">
        <v>19570</v>
      </c>
      <c r="DC297" s="214" t="s">
        <v>146</v>
      </c>
      <c r="DD297" s="214" t="s">
        <v>70</v>
      </c>
      <c r="DE297" s="214" t="s">
        <v>530</v>
      </c>
      <c r="DG297" s="214" t="s">
        <v>19571</v>
      </c>
      <c r="DH297" s="214" t="s">
        <v>34541</v>
      </c>
      <c r="DI297" s="214" t="s">
        <v>70</v>
      </c>
      <c r="DJ297" s="214" t="s">
        <v>530</v>
      </c>
      <c r="DL297" s="214" t="s">
        <v>19572</v>
      </c>
      <c r="DM297" s="214" t="s">
        <v>921</v>
      </c>
      <c r="DN297" s="214" t="s">
        <v>70</v>
      </c>
      <c r="DO297" s="214" t="s">
        <v>530</v>
      </c>
      <c r="DQ297" s="214" t="s">
        <v>19573</v>
      </c>
      <c r="DR297" s="214" t="s">
        <v>34602</v>
      </c>
      <c r="DS297" s="214" t="s">
        <v>70</v>
      </c>
      <c r="DT297" s="214" t="s">
        <v>530</v>
      </c>
      <c r="DV297" s="214" t="s">
        <v>19574</v>
      </c>
      <c r="DW297" s="214" t="s">
        <v>488</v>
      </c>
      <c r="DX297" s="214" t="s">
        <v>70</v>
      </c>
      <c r="DY297" s="214" t="s">
        <v>530</v>
      </c>
      <c r="EA297" s="214" t="s">
        <v>19575</v>
      </c>
      <c r="EB297" s="214" t="s">
        <v>34618</v>
      </c>
      <c r="EC297" s="214" t="s">
        <v>70</v>
      </c>
      <c r="ED297" s="214" t="s">
        <v>530</v>
      </c>
      <c r="EF297" s="214" t="s">
        <v>19576</v>
      </c>
      <c r="EG297" s="214" t="s">
        <v>599</v>
      </c>
      <c r="EH297" s="214" t="s">
        <v>70</v>
      </c>
      <c r="EI297" s="214" t="s">
        <v>530</v>
      </c>
      <c r="EK297" s="214" t="s">
        <v>19577</v>
      </c>
      <c r="EL297" s="214" t="s">
        <v>484</v>
      </c>
      <c r="EM297" s="214" t="s">
        <v>70</v>
      </c>
      <c r="EN297" s="214" t="s">
        <v>530</v>
      </c>
      <c r="EP297" s="214" t="s">
        <v>19578</v>
      </c>
      <c r="EQ297" s="214" t="s">
        <v>484</v>
      </c>
      <c r="ER297" s="214" t="s">
        <v>70</v>
      </c>
      <c r="ES297" s="214" t="s">
        <v>530</v>
      </c>
      <c r="EU297" s="214" t="s">
        <v>19579</v>
      </c>
      <c r="EV297" s="214" t="s">
        <v>92</v>
      </c>
      <c r="EW297" s="214" t="s">
        <v>70</v>
      </c>
      <c r="EX297" s="214" t="s">
        <v>530</v>
      </c>
      <c r="EZ297" s="214" t="s">
        <v>19580</v>
      </c>
      <c r="FA297" s="214" t="s">
        <v>468</v>
      </c>
      <c r="FB297" s="214" t="s">
        <v>70</v>
      </c>
      <c r="FC297" s="214" t="s">
        <v>530</v>
      </c>
      <c r="FE297" s="214" t="s">
        <v>19581</v>
      </c>
      <c r="FF297" s="214" t="s">
        <v>34541</v>
      </c>
      <c r="FG297" s="214" t="s">
        <v>70</v>
      </c>
      <c r="FH297" s="214" t="s">
        <v>530</v>
      </c>
      <c r="FJ297" s="321" t="s">
        <v>19582</v>
      </c>
      <c r="FK297" s="214" t="s">
        <v>52</v>
      </c>
      <c r="FL297" s="214" t="s">
        <v>70</v>
      </c>
      <c r="FM297" s="214" t="s">
        <v>530</v>
      </c>
      <c r="FO297" s="321" t="s">
        <v>19583</v>
      </c>
      <c r="FP297" s="214" t="s">
        <v>34541</v>
      </c>
      <c r="FQ297" s="214" t="s">
        <v>70</v>
      </c>
      <c r="FR297" s="214" t="s">
        <v>530</v>
      </c>
      <c r="FT297" s="321" t="s">
        <v>19584</v>
      </c>
      <c r="FU297" s="214" t="s">
        <v>149</v>
      </c>
      <c r="FV297" s="214" t="s">
        <v>70</v>
      </c>
      <c r="FW297" s="214" t="s">
        <v>530</v>
      </c>
      <c r="FY297" s="321" t="s">
        <v>19585</v>
      </c>
      <c r="FZ297" s="214" t="s">
        <v>484</v>
      </c>
      <c r="GA297" s="214" t="s">
        <v>70</v>
      </c>
      <c r="GB297" s="214" t="s">
        <v>530</v>
      </c>
      <c r="GD297" s="321" t="s">
        <v>19586</v>
      </c>
      <c r="GE297" s="214" t="s">
        <v>34558</v>
      </c>
      <c r="GF297" s="214" t="s">
        <v>70</v>
      </c>
      <c r="GG297" s="214" t="s">
        <v>530</v>
      </c>
      <c r="GI297" s="321" t="s">
        <v>19587</v>
      </c>
      <c r="GJ297" s="214" t="s">
        <v>491</v>
      </c>
      <c r="GK297" s="214" t="s">
        <v>70</v>
      </c>
      <c r="GL297" s="214" t="s">
        <v>530</v>
      </c>
      <c r="GN297" s="321" t="s">
        <v>19588</v>
      </c>
      <c r="GO297" s="214" t="s">
        <v>52</v>
      </c>
      <c r="GP297" s="214" t="s">
        <v>70</v>
      </c>
      <c r="GQ297" s="214" t="s">
        <v>530</v>
      </c>
      <c r="GS297" s="321" t="s">
        <v>19589</v>
      </c>
      <c r="GT297" s="214" t="s">
        <v>52</v>
      </c>
      <c r="GU297" s="214" t="s">
        <v>70</v>
      </c>
      <c r="GV297" s="214" t="s">
        <v>530</v>
      </c>
      <c r="GX297" s="214" t="s">
        <v>19590</v>
      </c>
      <c r="GY297" s="214" t="s">
        <v>34611</v>
      </c>
      <c r="GZ297" s="214" t="s">
        <v>70</v>
      </c>
      <c r="HA297" s="214" t="s">
        <v>530</v>
      </c>
      <c r="HC297" s="214" t="s">
        <v>19591</v>
      </c>
      <c r="HD297" s="214" t="s">
        <v>488</v>
      </c>
      <c r="HE297" s="214" t="s">
        <v>70</v>
      </c>
      <c r="HF297" s="214" t="s">
        <v>530</v>
      </c>
      <c r="HH297" s="214" t="s">
        <v>19592</v>
      </c>
      <c r="HI297" s="214" t="s">
        <v>496</v>
      </c>
      <c r="HJ297" s="214" t="s">
        <v>70</v>
      </c>
      <c r="HK297" s="214" t="s">
        <v>530</v>
      </c>
      <c r="HM297" s="214" t="s">
        <v>19593</v>
      </c>
      <c r="HN297" s="214" t="s">
        <v>34541</v>
      </c>
      <c r="HO297" s="214" t="s">
        <v>70</v>
      </c>
      <c r="HP297" s="214" t="s">
        <v>530</v>
      </c>
      <c r="HR297" s="22" t="s">
        <v>19594</v>
      </c>
      <c r="HS297" s="22" t="s">
        <v>146</v>
      </c>
      <c r="HT297" s="22" t="s">
        <v>70</v>
      </c>
      <c r="HU297" s="214" t="s">
        <v>530</v>
      </c>
      <c r="HW297" s="22" t="s">
        <v>19595</v>
      </c>
      <c r="HX297" s="22" t="s">
        <v>204</v>
      </c>
      <c r="HY297" s="22" t="s">
        <v>70</v>
      </c>
      <c r="HZ297" s="214" t="s">
        <v>530</v>
      </c>
      <c r="IB297" s="22" t="s">
        <v>19596</v>
      </c>
      <c r="IC297" s="22" t="s">
        <v>34569</v>
      </c>
      <c r="ID297" s="22" t="s">
        <v>70</v>
      </c>
      <c r="IE297" s="214" t="s">
        <v>530</v>
      </c>
      <c r="IG297" s="22" t="s">
        <v>19597</v>
      </c>
      <c r="IH297" s="22" t="s">
        <v>52</v>
      </c>
      <c r="II297" s="22" t="s">
        <v>70</v>
      </c>
      <c r="IJ297" s="214" t="s">
        <v>530</v>
      </c>
      <c r="IL297" s="22" t="s">
        <v>19598</v>
      </c>
      <c r="IM297" s="22" t="s">
        <v>145</v>
      </c>
      <c r="IN297" s="22" t="s">
        <v>70</v>
      </c>
      <c r="IO297" s="214" t="s">
        <v>530</v>
      </c>
      <c r="IQ297" s="236" t="s">
        <v>19599</v>
      </c>
      <c r="IR297" s="236" t="s">
        <v>145</v>
      </c>
      <c r="IS297" s="236" t="s">
        <v>74</v>
      </c>
      <c r="IT297" s="236" t="s">
        <v>841</v>
      </c>
      <c r="IV297" s="236" t="s">
        <v>19600</v>
      </c>
      <c r="IW297" s="236" t="s">
        <v>145</v>
      </c>
      <c r="IX297" s="236" t="s">
        <v>74</v>
      </c>
      <c r="IY297" s="236" t="s">
        <v>841</v>
      </c>
      <c r="JA297" s="236" t="s">
        <v>19601</v>
      </c>
      <c r="JB297" s="236" t="s">
        <v>145</v>
      </c>
      <c r="JC297" s="236" t="s">
        <v>74</v>
      </c>
      <c r="JD297" s="236" t="s">
        <v>841</v>
      </c>
      <c r="JF297" s="236" t="s">
        <v>19602</v>
      </c>
      <c r="JG297" s="236" t="s">
        <v>145</v>
      </c>
      <c r="JH297" s="236" t="s">
        <v>74</v>
      </c>
      <c r="JI297" s="236" t="s">
        <v>841</v>
      </c>
      <c r="JK297" s="236" t="s">
        <v>19603</v>
      </c>
      <c r="JL297" s="236" t="s">
        <v>145</v>
      </c>
      <c r="JM297" s="236" t="s">
        <v>74</v>
      </c>
      <c r="JN297" s="236" t="s">
        <v>841</v>
      </c>
      <c r="JP297" s="236" t="s">
        <v>19604</v>
      </c>
      <c r="JQ297" s="236" t="s">
        <v>145</v>
      </c>
      <c r="JR297" s="236" t="s">
        <v>74</v>
      </c>
      <c r="JS297" s="236" t="s">
        <v>841</v>
      </c>
      <c r="JU297" s="294" t="s">
        <v>19605</v>
      </c>
      <c r="JV297" s="294" t="s">
        <v>52</v>
      </c>
      <c r="JW297" s="263" t="s">
        <v>70</v>
      </c>
      <c r="JX297" s="294" t="s">
        <v>1083</v>
      </c>
      <c r="JZ297" s="263" t="s">
        <v>19606</v>
      </c>
      <c r="KA297" s="263" t="s">
        <v>145</v>
      </c>
      <c r="KB297" s="263" t="s">
        <v>70</v>
      </c>
      <c r="KC297" s="263" t="s">
        <v>1083</v>
      </c>
      <c r="KE297" s="263" t="s">
        <v>19607</v>
      </c>
      <c r="KF297" s="263" t="s">
        <v>52</v>
      </c>
      <c r="KG297" s="263" t="s">
        <v>70</v>
      </c>
      <c r="KH297" s="263" t="s">
        <v>1083</v>
      </c>
      <c r="KJ297" s="263" t="s">
        <v>19608</v>
      </c>
      <c r="KK297" s="263" t="s">
        <v>52</v>
      </c>
      <c r="KL297" s="263" t="s">
        <v>74</v>
      </c>
      <c r="KM297" s="263" t="s">
        <v>34074</v>
      </c>
      <c r="KO297" s="214" t="s">
        <v>19609</v>
      </c>
      <c r="KP297" s="214" t="s">
        <v>145</v>
      </c>
      <c r="KQ297" s="214" t="s">
        <v>70</v>
      </c>
      <c r="KR297" s="214" t="s">
        <v>67</v>
      </c>
      <c r="KT297" s="22" t="s">
        <v>19610</v>
      </c>
      <c r="KU297" s="22" t="s">
        <v>145</v>
      </c>
      <c r="KV297" s="22" t="s">
        <v>70</v>
      </c>
      <c r="KW297" s="22" t="s">
        <v>67</v>
      </c>
      <c r="KY297" s="214" t="s">
        <v>19611</v>
      </c>
      <c r="KZ297" s="214" t="s">
        <v>52</v>
      </c>
      <c r="LA297" s="214" t="s">
        <v>74</v>
      </c>
      <c r="LB297" s="214" t="s">
        <v>67</v>
      </c>
      <c r="LD297" s="22" t="s">
        <v>19612</v>
      </c>
      <c r="LE297" s="22" t="s">
        <v>145</v>
      </c>
      <c r="LF297" s="22" t="s">
        <v>70</v>
      </c>
      <c r="LG297" s="22" t="s">
        <v>67</v>
      </c>
    </row>
    <row r="298" spans="1:319">
      <c r="A298" s="22" t="s">
        <v>19613</v>
      </c>
      <c r="B298" s="22" t="s">
        <v>145</v>
      </c>
      <c r="C298" s="22" t="s">
        <v>70</v>
      </c>
      <c r="D298" s="22" t="s">
        <v>67</v>
      </c>
      <c r="F298" s="99" t="s">
        <v>19614</v>
      </c>
      <c r="G298" s="22" t="s">
        <v>145</v>
      </c>
      <c r="H298" s="22" t="s">
        <v>70</v>
      </c>
      <c r="I298" s="22" t="s">
        <v>67</v>
      </c>
      <c r="K298" s="22" t="s">
        <v>19615</v>
      </c>
      <c r="L298" s="22" t="s">
        <v>145</v>
      </c>
      <c r="M298" s="22" t="s">
        <v>70</v>
      </c>
      <c r="N298" s="22" t="s">
        <v>67</v>
      </c>
      <c r="P298" s="22" t="s">
        <v>19616</v>
      </c>
      <c r="Q298" s="22" t="s">
        <v>145</v>
      </c>
      <c r="R298" s="22" t="s">
        <v>70</v>
      </c>
      <c r="S298" s="22" t="s">
        <v>67</v>
      </c>
      <c r="U298" s="293" t="s">
        <v>19617</v>
      </c>
      <c r="V298" s="293" t="s">
        <v>145</v>
      </c>
      <c r="W298" s="293" t="s">
        <v>74</v>
      </c>
      <c r="X298" s="293" t="s">
        <v>656</v>
      </c>
      <c r="Z298" s="293" t="s">
        <v>19618</v>
      </c>
      <c r="AA298" s="293" t="s">
        <v>145</v>
      </c>
      <c r="AB298" s="293" t="s">
        <v>74</v>
      </c>
      <c r="AC298" s="293" t="s">
        <v>656</v>
      </c>
      <c r="AE298" s="293" t="s">
        <v>19619</v>
      </c>
      <c r="AF298" s="293" t="s">
        <v>145</v>
      </c>
      <c r="AG298" s="293" t="s">
        <v>74</v>
      </c>
      <c r="AH298" s="293" t="s">
        <v>656</v>
      </c>
      <c r="AJ298" s="293" t="s">
        <v>19620</v>
      </c>
      <c r="AK298" s="293" t="s">
        <v>145</v>
      </c>
      <c r="AL298" s="293" t="s">
        <v>74</v>
      </c>
      <c r="AM298" s="293" t="s">
        <v>656</v>
      </c>
      <c r="AO298" s="22" t="s">
        <v>19621</v>
      </c>
      <c r="AP298" s="22" t="s">
        <v>145</v>
      </c>
      <c r="AQ298" s="22" t="s">
        <v>70</v>
      </c>
      <c r="AR298" s="22" t="s">
        <v>67</v>
      </c>
      <c r="AT298" s="22" t="s">
        <v>19622</v>
      </c>
      <c r="AU298" s="22" t="s">
        <v>145</v>
      </c>
      <c r="AV298" s="22" t="s">
        <v>70</v>
      </c>
      <c r="AW298" s="22" t="s">
        <v>67</v>
      </c>
      <c r="AY298" s="22" t="s">
        <v>19623</v>
      </c>
      <c r="AZ298" s="22" t="s">
        <v>145</v>
      </c>
      <c r="BA298" s="22" t="s">
        <v>70</v>
      </c>
      <c r="BB298" s="22" t="s">
        <v>67</v>
      </c>
      <c r="BD298" s="22" t="s">
        <v>19624</v>
      </c>
      <c r="BE298" s="22" t="s">
        <v>145</v>
      </c>
      <c r="BF298" s="22" t="s">
        <v>70</v>
      </c>
      <c r="BG298" s="22" t="s">
        <v>67</v>
      </c>
      <c r="BI298" s="22" t="s">
        <v>19625</v>
      </c>
      <c r="BJ298" s="22" t="s">
        <v>145</v>
      </c>
      <c r="BK298" s="22" t="s">
        <v>70</v>
      </c>
      <c r="BL298" s="22" t="s">
        <v>67</v>
      </c>
      <c r="BN298" s="22" t="s">
        <v>19626</v>
      </c>
      <c r="BO298" s="22" t="s">
        <v>145</v>
      </c>
      <c r="BP298" s="22" t="s">
        <v>70</v>
      </c>
      <c r="BQ298" s="22" t="s">
        <v>67</v>
      </c>
      <c r="BS298" s="22" t="s">
        <v>19627</v>
      </c>
      <c r="BT298" s="22" t="s">
        <v>145</v>
      </c>
      <c r="BU298" s="22" t="s">
        <v>70</v>
      </c>
      <c r="BV298" s="214" t="s">
        <v>530</v>
      </c>
      <c r="BX298" s="22" t="s">
        <v>19628</v>
      </c>
      <c r="BY298" s="22" t="s">
        <v>145</v>
      </c>
      <c r="BZ298" s="22" t="s">
        <v>70</v>
      </c>
      <c r="CA298" s="214" t="s">
        <v>530</v>
      </c>
      <c r="CC298" s="214" t="s">
        <v>19629</v>
      </c>
      <c r="CD298" s="218" t="s">
        <v>52</v>
      </c>
      <c r="CE298" s="214" t="s">
        <v>70</v>
      </c>
      <c r="CF298" s="214" t="s">
        <v>751</v>
      </c>
      <c r="CH298" s="214" t="s">
        <v>19630</v>
      </c>
      <c r="CI298" s="214" t="s">
        <v>488</v>
      </c>
      <c r="CJ298" s="214" t="s">
        <v>70</v>
      </c>
      <c r="CK298" s="214" t="s">
        <v>530</v>
      </c>
      <c r="CM298" s="214" t="s">
        <v>19631</v>
      </c>
      <c r="CN298" s="214" t="s">
        <v>34545</v>
      </c>
      <c r="CO298" s="214" t="s">
        <v>70</v>
      </c>
      <c r="CP298" s="214" t="s">
        <v>530</v>
      </c>
      <c r="CR298" s="214" t="s">
        <v>19632</v>
      </c>
      <c r="CS298" s="214" t="s">
        <v>52</v>
      </c>
      <c r="CT298" s="214" t="s">
        <v>70</v>
      </c>
      <c r="CU298" s="214" t="s">
        <v>530</v>
      </c>
      <c r="CW298" s="214" t="s">
        <v>19633</v>
      </c>
      <c r="CX298" s="214" t="s">
        <v>85</v>
      </c>
      <c r="CY298" s="214" t="s">
        <v>70</v>
      </c>
      <c r="CZ298" s="214" t="s">
        <v>530</v>
      </c>
      <c r="DB298" s="214" t="s">
        <v>19634</v>
      </c>
      <c r="DC298" s="214" t="s">
        <v>103</v>
      </c>
      <c r="DD298" s="214" t="s">
        <v>70</v>
      </c>
      <c r="DE298" s="214" t="s">
        <v>530</v>
      </c>
      <c r="DG298" s="214" t="s">
        <v>19635</v>
      </c>
      <c r="DH298" s="214" t="s">
        <v>947</v>
      </c>
      <c r="DI298" s="214" t="s">
        <v>70</v>
      </c>
      <c r="DJ298" s="214" t="s">
        <v>530</v>
      </c>
      <c r="DL298" s="214" t="s">
        <v>19636</v>
      </c>
      <c r="DM298" s="214" t="s">
        <v>34539</v>
      </c>
      <c r="DN298" s="214" t="s">
        <v>70</v>
      </c>
      <c r="DO298" s="214" t="s">
        <v>530</v>
      </c>
      <c r="DQ298" s="214" t="s">
        <v>19637</v>
      </c>
      <c r="DR298" s="214" t="s">
        <v>923</v>
      </c>
      <c r="DS298" s="214" t="s">
        <v>70</v>
      </c>
      <c r="DT298" s="214" t="s">
        <v>530</v>
      </c>
      <c r="DV298" s="214" t="s">
        <v>19638</v>
      </c>
      <c r="DW298" s="214" t="s">
        <v>52</v>
      </c>
      <c r="DX298" s="214" t="s">
        <v>70</v>
      </c>
      <c r="DY298" s="214" t="s">
        <v>530</v>
      </c>
      <c r="EA298" s="214" t="s">
        <v>19639</v>
      </c>
      <c r="EB298" s="214" t="s">
        <v>531</v>
      </c>
      <c r="EC298" s="214" t="s">
        <v>70</v>
      </c>
      <c r="ED298" s="214" t="s">
        <v>530</v>
      </c>
      <c r="EF298" s="214" t="s">
        <v>19640</v>
      </c>
      <c r="EG298" s="214" t="s">
        <v>52</v>
      </c>
      <c r="EH298" s="214" t="s">
        <v>70</v>
      </c>
      <c r="EI298" s="214" t="s">
        <v>530</v>
      </c>
      <c r="EK298" s="214" t="s">
        <v>19641</v>
      </c>
      <c r="EL298" s="214" t="s">
        <v>88</v>
      </c>
      <c r="EM298" s="214" t="s">
        <v>70</v>
      </c>
      <c r="EN298" s="214" t="s">
        <v>530</v>
      </c>
      <c r="EP298" s="214" t="s">
        <v>19642</v>
      </c>
      <c r="EQ298" s="214" t="s">
        <v>90</v>
      </c>
      <c r="ER298" s="214" t="s">
        <v>70</v>
      </c>
      <c r="ES298" s="214" t="s">
        <v>530</v>
      </c>
      <c r="EU298" s="214" t="s">
        <v>19643</v>
      </c>
      <c r="EV298" s="214" t="s">
        <v>497</v>
      </c>
      <c r="EW298" s="214" t="s">
        <v>70</v>
      </c>
      <c r="EX298" s="214" t="s">
        <v>530</v>
      </c>
      <c r="EZ298" s="214" t="s">
        <v>19644</v>
      </c>
      <c r="FA298" s="214" t="s">
        <v>146</v>
      </c>
      <c r="FB298" s="214" t="s">
        <v>70</v>
      </c>
      <c r="FC298" s="214" t="s">
        <v>530</v>
      </c>
      <c r="FE298" s="214" t="s">
        <v>19645</v>
      </c>
      <c r="FF298" s="214" t="s">
        <v>34524</v>
      </c>
      <c r="FG298" s="214" t="s">
        <v>70</v>
      </c>
      <c r="FH298" s="214" t="s">
        <v>530</v>
      </c>
      <c r="FJ298" s="321" t="s">
        <v>19646</v>
      </c>
      <c r="FK298" s="214" t="s">
        <v>34556</v>
      </c>
      <c r="FL298" s="214" t="s">
        <v>70</v>
      </c>
      <c r="FM298" s="214" t="s">
        <v>530</v>
      </c>
      <c r="FO298" s="321" t="s">
        <v>19647</v>
      </c>
      <c r="FP298" s="214" t="s">
        <v>920</v>
      </c>
      <c r="FQ298" s="214" t="s">
        <v>70</v>
      </c>
      <c r="FR298" s="214" t="s">
        <v>530</v>
      </c>
      <c r="FT298" s="321" t="s">
        <v>19648</v>
      </c>
      <c r="FU298" s="214" t="s">
        <v>86</v>
      </c>
      <c r="FV298" s="214" t="s">
        <v>70</v>
      </c>
      <c r="FW298" s="214" t="s">
        <v>530</v>
      </c>
      <c r="FY298" s="321" t="s">
        <v>19649</v>
      </c>
      <c r="FZ298" s="214" t="s">
        <v>34562</v>
      </c>
      <c r="GA298" s="214" t="s">
        <v>70</v>
      </c>
      <c r="GB298" s="214" t="s">
        <v>530</v>
      </c>
      <c r="GD298" s="321" t="s">
        <v>19650</v>
      </c>
      <c r="GE298" s="214" t="s">
        <v>205</v>
      </c>
      <c r="GF298" s="214" t="s">
        <v>70</v>
      </c>
      <c r="GG298" s="214" t="s">
        <v>530</v>
      </c>
      <c r="GI298" s="321" t="s">
        <v>19651</v>
      </c>
      <c r="GJ298" s="214" t="s">
        <v>52</v>
      </c>
      <c r="GK298" s="214" t="s">
        <v>70</v>
      </c>
      <c r="GL298" s="214" t="s">
        <v>530</v>
      </c>
      <c r="GN298" s="321" t="s">
        <v>19652</v>
      </c>
      <c r="GO298" s="214" t="s">
        <v>34583</v>
      </c>
      <c r="GP298" s="214" t="s">
        <v>70</v>
      </c>
      <c r="GQ298" s="214" t="s">
        <v>530</v>
      </c>
      <c r="GS298" s="321" t="s">
        <v>19653</v>
      </c>
      <c r="GT298" s="214" t="s">
        <v>34582</v>
      </c>
      <c r="GU298" s="214" t="s">
        <v>70</v>
      </c>
      <c r="GV298" s="214" t="s">
        <v>530</v>
      </c>
      <c r="GX298" s="214" t="s">
        <v>19654</v>
      </c>
      <c r="GY298" s="214" t="s">
        <v>90</v>
      </c>
      <c r="GZ298" s="214" t="s">
        <v>70</v>
      </c>
      <c r="HA298" s="214" t="s">
        <v>530</v>
      </c>
      <c r="HC298" s="214" t="s">
        <v>19655</v>
      </c>
      <c r="HD298" s="214" t="s">
        <v>34516</v>
      </c>
      <c r="HE298" s="214" t="s">
        <v>70</v>
      </c>
      <c r="HF298" s="214" t="s">
        <v>530</v>
      </c>
      <c r="HH298" s="214" t="s">
        <v>19656</v>
      </c>
      <c r="HI298" s="214" t="s">
        <v>52</v>
      </c>
      <c r="HJ298" s="214" t="s">
        <v>70</v>
      </c>
      <c r="HK298" s="214" t="s">
        <v>530</v>
      </c>
      <c r="HM298" s="214" t="s">
        <v>19657</v>
      </c>
      <c r="HN298" s="214" t="s">
        <v>103</v>
      </c>
      <c r="HO298" s="214" t="s">
        <v>70</v>
      </c>
      <c r="HP298" s="214" t="s">
        <v>530</v>
      </c>
      <c r="HR298" s="22" t="s">
        <v>19658</v>
      </c>
      <c r="HS298" s="22" t="s">
        <v>148</v>
      </c>
      <c r="HT298" s="22" t="s">
        <v>70</v>
      </c>
      <c r="HU298" s="214" t="s">
        <v>530</v>
      </c>
      <c r="HW298" s="22" t="s">
        <v>19659</v>
      </c>
      <c r="HX298" s="22" t="s">
        <v>495</v>
      </c>
      <c r="HY298" s="22" t="s">
        <v>70</v>
      </c>
      <c r="HZ298" s="214" t="s">
        <v>530</v>
      </c>
      <c r="IB298" s="22" t="s">
        <v>19660</v>
      </c>
      <c r="IC298" s="22" t="s">
        <v>85</v>
      </c>
      <c r="ID298" s="22" t="s">
        <v>70</v>
      </c>
      <c r="IE298" s="214" t="s">
        <v>530</v>
      </c>
      <c r="IG298" s="22" t="s">
        <v>19661</v>
      </c>
      <c r="IH298" s="22" t="s">
        <v>52</v>
      </c>
      <c r="II298" s="22" t="s">
        <v>70</v>
      </c>
      <c r="IJ298" s="214" t="s">
        <v>530</v>
      </c>
      <c r="IL298" s="22" t="s">
        <v>19662</v>
      </c>
      <c r="IM298" s="22" t="s">
        <v>145</v>
      </c>
      <c r="IN298" s="22" t="s">
        <v>70</v>
      </c>
      <c r="IO298" s="214" t="s">
        <v>530</v>
      </c>
      <c r="IQ298" s="236" t="s">
        <v>19663</v>
      </c>
      <c r="IR298" s="236" t="s">
        <v>145</v>
      </c>
      <c r="IS298" s="236" t="s">
        <v>74</v>
      </c>
      <c r="IT298" s="236" t="s">
        <v>841</v>
      </c>
      <c r="IV298" s="236" t="s">
        <v>19664</v>
      </c>
      <c r="IW298" s="236" t="s">
        <v>145</v>
      </c>
      <c r="IX298" s="236" t="s">
        <v>74</v>
      </c>
      <c r="IY298" s="236" t="s">
        <v>841</v>
      </c>
      <c r="JA298" s="236" t="s">
        <v>19665</v>
      </c>
      <c r="JB298" s="236" t="s">
        <v>145</v>
      </c>
      <c r="JC298" s="236" t="s">
        <v>74</v>
      </c>
      <c r="JD298" s="236" t="s">
        <v>841</v>
      </c>
      <c r="JF298" s="236" t="s">
        <v>19666</v>
      </c>
      <c r="JG298" s="236" t="s">
        <v>145</v>
      </c>
      <c r="JH298" s="236" t="s">
        <v>74</v>
      </c>
      <c r="JI298" s="236" t="s">
        <v>841</v>
      </c>
      <c r="JK298" s="236" t="s">
        <v>19667</v>
      </c>
      <c r="JL298" s="236" t="s">
        <v>145</v>
      </c>
      <c r="JM298" s="236" t="s">
        <v>74</v>
      </c>
      <c r="JN298" s="236" t="s">
        <v>841</v>
      </c>
      <c r="JP298" s="236" t="s">
        <v>19668</v>
      </c>
      <c r="JQ298" s="236" t="s">
        <v>145</v>
      </c>
      <c r="JR298" s="236" t="s">
        <v>74</v>
      </c>
      <c r="JS298" s="236" t="s">
        <v>841</v>
      </c>
      <c r="JU298" s="294" t="s">
        <v>19669</v>
      </c>
      <c r="JV298" s="294" t="s">
        <v>52</v>
      </c>
      <c r="JW298" s="263" t="s">
        <v>70</v>
      </c>
      <c r="JX298" s="294" t="s">
        <v>1083</v>
      </c>
      <c r="JZ298" s="263" t="s">
        <v>19670</v>
      </c>
      <c r="KA298" s="263" t="s">
        <v>145</v>
      </c>
      <c r="KB298" s="263" t="s">
        <v>70</v>
      </c>
      <c r="KC298" s="263" t="s">
        <v>1083</v>
      </c>
      <c r="KE298" s="263" t="s">
        <v>19671</v>
      </c>
      <c r="KF298" s="263" t="s">
        <v>52</v>
      </c>
      <c r="KG298" s="263" t="s">
        <v>70</v>
      </c>
      <c r="KH298" s="263" t="s">
        <v>1083</v>
      </c>
      <c r="KJ298" s="263" t="s">
        <v>19672</v>
      </c>
      <c r="KK298" s="263" t="s">
        <v>52</v>
      </c>
      <c r="KL298" s="263" t="s">
        <v>74</v>
      </c>
      <c r="KM298" s="263" t="s">
        <v>34074</v>
      </c>
      <c r="KO298" s="214" t="s">
        <v>19673</v>
      </c>
      <c r="KP298" s="214" t="s">
        <v>145</v>
      </c>
      <c r="KQ298" s="214" t="s">
        <v>70</v>
      </c>
      <c r="KR298" s="214" t="s">
        <v>67</v>
      </c>
      <c r="KT298" s="22" t="s">
        <v>19674</v>
      </c>
      <c r="KU298" s="22" t="s">
        <v>145</v>
      </c>
      <c r="KV298" s="22" t="s">
        <v>70</v>
      </c>
      <c r="KW298" s="22" t="s">
        <v>67</v>
      </c>
      <c r="KY298" s="214" t="s">
        <v>19675</v>
      </c>
      <c r="KZ298" s="214" t="s">
        <v>52</v>
      </c>
      <c r="LA298" s="214" t="s">
        <v>74</v>
      </c>
      <c r="LB298" s="214" t="s">
        <v>67</v>
      </c>
      <c r="LD298" s="22" t="s">
        <v>19676</v>
      </c>
      <c r="LE298" s="22" t="s">
        <v>145</v>
      </c>
      <c r="LF298" s="22" t="s">
        <v>70</v>
      </c>
      <c r="LG298" s="22" t="s">
        <v>67</v>
      </c>
    </row>
    <row r="299" spans="1:319">
      <c r="A299" s="22" t="s">
        <v>19677</v>
      </c>
      <c r="B299" s="22" t="s">
        <v>145</v>
      </c>
      <c r="C299" s="22" t="s">
        <v>70</v>
      </c>
      <c r="D299" s="22" t="s">
        <v>67</v>
      </c>
      <c r="F299" s="99" t="s">
        <v>19678</v>
      </c>
      <c r="G299" s="22" t="s">
        <v>145</v>
      </c>
      <c r="H299" s="22" t="s">
        <v>70</v>
      </c>
      <c r="I299" s="22" t="s">
        <v>67</v>
      </c>
      <c r="K299" s="22" t="s">
        <v>19679</v>
      </c>
      <c r="L299" s="22" t="s">
        <v>145</v>
      </c>
      <c r="M299" s="22" t="s">
        <v>70</v>
      </c>
      <c r="N299" s="22" t="s">
        <v>67</v>
      </c>
      <c r="P299" s="22" t="s">
        <v>19680</v>
      </c>
      <c r="Q299" s="22" t="s">
        <v>145</v>
      </c>
      <c r="R299" s="22" t="s">
        <v>70</v>
      </c>
      <c r="S299" s="22" t="s">
        <v>67</v>
      </c>
      <c r="U299" s="293" t="s">
        <v>19681</v>
      </c>
      <c r="V299" s="293" t="s">
        <v>145</v>
      </c>
      <c r="W299" s="293" t="s">
        <v>74</v>
      </c>
      <c r="X299" s="293" t="s">
        <v>656</v>
      </c>
      <c r="Z299" s="293" t="s">
        <v>19682</v>
      </c>
      <c r="AA299" s="293" t="s">
        <v>145</v>
      </c>
      <c r="AB299" s="293" t="s">
        <v>74</v>
      </c>
      <c r="AC299" s="293" t="s">
        <v>656</v>
      </c>
      <c r="AE299" s="293" t="s">
        <v>19683</v>
      </c>
      <c r="AF299" s="293" t="s">
        <v>145</v>
      </c>
      <c r="AG299" s="293" t="s">
        <v>74</v>
      </c>
      <c r="AH299" s="293" t="s">
        <v>656</v>
      </c>
      <c r="AJ299" s="293" t="s">
        <v>19684</v>
      </c>
      <c r="AK299" s="293" t="s">
        <v>145</v>
      </c>
      <c r="AL299" s="293" t="s">
        <v>74</v>
      </c>
      <c r="AM299" s="293" t="s">
        <v>656</v>
      </c>
      <c r="AO299" s="22" t="s">
        <v>19685</v>
      </c>
      <c r="AP299" s="22" t="s">
        <v>145</v>
      </c>
      <c r="AQ299" s="22" t="s">
        <v>70</v>
      </c>
      <c r="AR299" s="22" t="s">
        <v>67</v>
      </c>
      <c r="AT299" s="22" t="s">
        <v>19686</v>
      </c>
      <c r="AU299" s="22" t="s">
        <v>145</v>
      </c>
      <c r="AV299" s="22" t="s">
        <v>70</v>
      </c>
      <c r="AW299" s="22" t="s">
        <v>67</v>
      </c>
      <c r="AY299" s="22" t="s">
        <v>19687</v>
      </c>
      <c r="AZ299" s="22" t="s">
        <v>145</v>
      </c>
      <c r="BA299" s="22" t="s">
        <v>70</v>
      </c>
      <c r="BB299" s="22" t="s">
        <v>67</v>
      </c>
      <c r="BD299" s="22" t="s">
        <v>19688</v>
      </c>
      <c r="BE299" s="22" t="s">
        <v>145</v>
      </c>
      <c r="BF299" s="22" t="s">
        <v>70</v>
      </c>
      <c r="BG299" s="22" t="s">
        <v>67</v>
      </c>
      <c r="BI299" s="22" t="s">
        <v>19689</v>
      </c>
      <c r="BJ299" s="22" t="s">
        <v>145</v>
      </c>
      <c r="BK299" s="22" t="s">
        <v>70</v>
      </c>
      <c r="BL299" s="22" t="s">
        <v>67</v>
      </c>
      <c r="BN299" s="22" t="s">
        <v>19690</v>
      </c>
      <c r="BO299" s="22" t="s">
        <v>145</v>
      </c>
      <c r="BP299" s="22" t="s">
        <v>70</v>
      </c>
      <c r="BQ299" s="22" t="s">
        <v>67</v>
      </c>
      <c r="BS299" s="22" t="s">
        <v>19691</v>
      </c>
      <c r="BT299" s="22" t="s">
        <v>145</v>
      </c>
      <c r="BU299" s="22" t="s">
        <v>70</v>
      </c>
      <c r="BV299" s="214" t="s">
        <v>530</v>
      </c>
      <c r="BX299" s="22" t="s">
        <v>19692</v>
      </c>
      <c r="BY299" s="22" t="s">
        <v>145</v>
      </c>
      <c r="BZ299" s="22" t="s">
        <v>70</v>
      </c>
      <c r="CA299" s="214" t="s">
        <v>530</v>
      </c>
      <c r="CC299" s="214" t="s">
        <v>19693</v>
      </c>
      <c r="CD299" s="218" t="s">
        <v>601</v>
      </c>
      <c r="CE299" s="214" t="s">
        <v>70</v>
      </c>
      <c r="CF299" s="214" t="s">
        <v>752</v>
      </c>
      <c r="CH299" s="214" t="s">
        <v>19694</v>
      </c>
      <c r="CI299" s="214" t="s">
        <v>490</v>
      </c>
      <c r="CJ299" s="214" t="s">
        <v>70</v>
      </c>
      <c r="CK299" s="214" t="s">
        <v>530</v>
      </c>
      <c r="CM299" s="214" t="s">
        <v>19695</v>
      </c>
      <c r="CN299" s="214" t="s">
        <v>34551</v>
      </c>
      <c r="CO299" s="214" t="s">
        <v>70</v>
      </c>
      <c r="CP299" s="214" t="s">
        <v>530</v>
      </c>
      <c r="CR299" s="214" t="s">
        <v>19696</v>
      </c>
      <c r="CS299" s="214" t="s">
        <v>204</v>
      </c>
      <c r="CT299" s="214" t="s">
        <v>70</v>
      </c>
      <c r="CU299" s="214" t="s">
        <v>530</v>
      </c>
      <c r="CW299" s="214" t="s">
        <v>19697</v>
      </c>
      <c r="CX299" s="214" t="s">
        <v>34540</v>
      </c>
      <c r="CY299" s="214" t="s">
        <v>70</v>
      </c>
      <c r="CZ299" s="214" t="s">
        <v>530</v>
      </c>
      <c r="DB299" s="214" t="s">
        <v>19698</v>
      </c>
      <c r="DC299" s="214" t="s">
        <v>485</v>
      </c>
      <c r="DD299" s="214" t="s">
        <v>70</v>
      </c>
      <c r="DE299" s="214" t="s">
        <v>530</v>
      </c>
      <c r="DG299" s="214" t="s">
        <v>19699</v>
      </c>
      <c r="DH299" s="214" t="s">
        <v>34545</v>
      </c>
      <c r="DI299" s="214" t="s">
        <v>70</v>
      </c>
      <c r="DJ299" s="214" t="s">
        <v>530</v>
      </c>
      <c r="DL299" s="214" t="s">
        <v>19700</v>
      </c>
      <c r="DM299" s="214" t="s">
        <v>34544</v>
      </c>
      <c r="DN299" s="214" t="s">
        <v>70</v>
      </c>
      <c r="DO299" s="214" t="s">
        <v>530</v>
      </c>
      <c r="DQ299" s="214" t="s">
        <v>19701</v>
      </c>
      <c r="DR299" s="214" t="s">
        <v>87</v>
      </c>
      <c r="DS299" s="214" t="s">
        <v>70</v>
      </c>
      <c r="DT299" s="214" t="s">
        <v>530</v>
      </c>
      <c r="DV299" s="214" t="s">
        <v>19702</v>
      </c>
      <c r="DW299" s="214" t="s">
        <v>601</v>
      </c>
      <c r="DX299" s="214" t="s">
        <v>70</v>
      </c>
      <c r="DY299" s="214" t="s">
        <v>530</v>
      </c>
      <c r="EA299" s="214" t="s">
        <v>19703</v>
      </c>
      <c r="EB299" s="214" t="s">
        <v>494</v>
      </c>
      <c r="EC299" s="214" t="s">
        <v>70</v>
      </c>
      <c r="ED299" s="214" t="s">
        <v>530</v>
      </c>
      <c r="EF299" s="214" t="s">
        <v>19704</v>
      </c>
      <c r="EG299" s="214" t="s">
        <v>485</v>
      </c>
      <c r="EH299" s="214" t="s">
        <v>70</v>
      </c>
      <c r="EI299" s="214" t="s">
        <v>530</v>
      </c>
      <c r="EK299" s="214" t="s">
        <v>19705</v>
      </c>
      <c r="EL299" s="214" t="s">
        <v>924</v>
      </c>
      <c r="EM299" s="214" t="s">
        <v>70</v>
      </c>
      <c r="EN299" s="214" t="s">
        <v>530</v>
      </c>
      <c r="EP299" s="214" t="s">
        <v>19706</v>
      </c>
      <c r="EQ299" s="214" t="s">
        <v>487</v>
      </c>
      <c r="ER299" s="214" t="s">
        <v>70</v>
      </c>
      <c r="ES299" s="214" t="s">
        <v>530</v>
      </c>
      <c r="EU299" s="214" t="s">
        <v>19707</v>
      </c>
      <c r="EV299" s="214" t="s">
        <v>146</v>
      </c>
      <c r="EW299" s="214" t="s">
        <v>70</v>
      </c>
      <c r="EX299" s="214" t="s">
        <v>530</v>
      </c>
      <c r="EZ299" s="214" t="s">
        <v>19708</v>
      </c>
      <c r="FA299" s="214" t="s">
        <v>149</v>
      </c>
      <c r="FB299" s="214" t="s">
        <v>70</v>
      </c>
      <c r="FC299" s="214" t="s">
        <v>530</v>
      </c>
      <c r="FE299" s="214" t="s">
        <v>19709</v>
      </c>
      <c r="FF299" s="214" t="s">
        <v>34405</v>
      </c>
      <c r="FG299" s="214" t="s">
        <v>70</v>
      </c>
      <c r="FH299" s="214" t="s">
        <v>530</v>
      </c>
      <c r="FJ299" s="321" t="s">
        <v>19710</v>
      </c>
      <c r="FK299" s="214" t="s">
        <v>34541</v>
      </c>
      <c r="FL299" s="214" t="s">
        <v>70</v>
      </c>
      <c r="FM299" s="214" t="s">
        <v>530</v>
      </c>
      <c r="FO299" s="321" t="s">
        <v>19711</v>
      </c>
      <c r="FP299" s="214" t="s">
        <v>145</v>
      </c>
      <c r="FQ299" s="214" t="s">
        <v>70</v>
      </c>
      <c r="FR299" s="214" t="s">
        <v>530</v>
      </c>
      <c r="FT299" s="321" t="s">
        <v>19712</v>
      </c>
      <c r="FU299" s="214" t="s">
        <v>486</v>
      </c>
      <c r="FV299" s="214" t="s">
        <v>70</v>
      </c>
      <c r="FW299" s="214" t="s">
        <v>530</v>
      </c>
      <c r="FY299" s="321" t="s">
        <v>19713</v>
      </c>
      <c r="FZ299" s="214" t="s">
        <v>287</v>
      </c>
      <c r="GA299" s="214" t="s">
        <v>70</v>
      </c>
      <c r="GB299" s="214" t="s">
        <v>530</v>
      </c>
      <c r="GD299" s="321" t="s">
        <v>19714</v>
      </c>
      <c r="GE299" s="214" t="s">
        <v>52</v>
      </c>
      <c r="GF299" s="214" t="s">
        <v>70</v>
      </c>
      <c r="GG299" s="214" t="s">
        <v>530</v>
      </c>
      <c r="GI299" s="321" t="s">
        <v>19715</v>
      </c>
      <c r="GJ299" s="214" t="s">
        <v>206</v>
      </c>
      <c r="GK299" s="214" t="s">
        <v>70</v>
      </c>
      <c r="GL299" s="214" t="s">
        <v>530</v>
      </c>
      <c r="GN299" s="321" t="s">
        <v>19716</v>
      </c>
      <c r="GO299" s="214" t="s">
        <v>52</v>
      </c>
      <c r="GP299" s="214" t="s">
        <v>70</v>
      </c>
      <c r="GQ299" s="214" t="s">
        <v>530</v>
      </c>
      <c r="GS299" s="321" t="s">
        <v>19717</v>
      </c>
      <c r="GT299" s="214" t="s">
        <v>33910</v>
      </c>
      <c r="GU299" s="214" t="s">
        <v>70</v>
      </c>
      <c r="GV299" s="214" t="s">
        <v>530</v>
      </c>
      <c r="GX299" s="214" t="s">
        <v>19718</v>
      </c>
      <c r="GY299" s="214" t="s">
        <v>85</v>
      </c>
      <c r="GZ299" s="214" t="s">
        <v>70</v>
      </c>
      <c r="HA299" s="214" t="s">
        <v>530</v>
      </c>
      <c r="HC299" s="214" t="s">
        <v>19719</v>
      </c>
      <c r="HD299" s="214" t="s">
        <v>468</v>
      </c>
      <c r="HE299" s="214" t="s">
        <v>70</v>
      </c>
      <c r="HF299" s="214" t="s">
        <v>530</v>
      </c>
      <c r="HH299" s="214" t="s">
        <v>19720</v>
      </c>
      <c r="HI299" s="214" t="s">
        <v>52</v>
      </c>
      <c r="HJ299" s="214" t="s">
        <v>70</v>
      </c>
      <c r="HK299" s="214" t="s">
        <v>530</v>
      </c>
      <c r="HM299" s="214" t="s">
        <v>19721</v>
      </c>
      <c r="HN299" s="214" t="s">
        <v>145</v>
      </c>
      <c r="HO299" s="214" t="s">
        <v>70</v>
      </c>
      <c r="HP299" s="214" t="s">
        <v>530</v>
      </c>
      <c r="HR299" s="22" t="s">
        <v>19722</v>
      </c>
      <c r="HS299" s="22" t="s">
        <v>34544</v>
      </c>
      <c r="HT299" s="22" t="s">
        <v>70</v>
      </c>
      <c r="HU299" s="214" t="s">
        <v>530</v>
      </c>
      <c r="HW299" s="22" t="s">
        <v>19723</v>
      </c>
      <c r="HX299" s="22" t="s">
        <v>468</v>
      </c>
      <c r="HY299" s="22" t="s">
        <v>70</v>
      </c>
      <c r="HZ299" s="214" t="s">
        <v>530</v>
      </c>
      <c r="IB299" s="22" t="s">
        <v>19724</v>
      </c>
      <c r="IC299" s="22" t="s">
        <v>34544</v>
      </c>
      <c r="ID299" s="22" t="s">
        <v>70</v>
      </c>
      <c r="IE299" s="214" t="s">
        <v>530</v>
      </c>
      <c r="IG299" s="22" t="s">
        <v>19725</v>
      </c>
      <c r="IH299" s="22" t="s">
        <v>52</v>
      </c>
      <c r="II299" s="22" t="s">
        <v>70</v>
      </c>
      <c r="IJ299" s="214" t="s">
        <v>530</v>
      </c>
      <c r="IL299" s="22" t="s">
        <v>19726</v>
      </c>
      <c r="IM299" s="22" t="s">
        <v>145</v>
      </c>
      <c r="IN299" s="22" t="s">
        <v>70</v>
      </c>
      <c r="IO299" s="214" t="s">
        <v>530</v>
      </c>
      <c r="IQ299" s="236" t="s">
        <v>19727</v>
      </c>
      <c r="IR299" s="236" t="s">
        <v>145</v>
      </c>
      <c r="IS299" s="236" t="s">
        <v>74</v>
      </c>
      <c r="IT299" s="236" t="s">
        <v>841</v>
      </c>
      <c r="IV299" s="236" t="s">
        <v>19728</v>
      </c>
      <c r="IW299" s="236" t="s">
        <v>145</v>
      </c>
      <c r="IX299" s="236" t="s">
        <v>74</v>
      </c>
      <c r="IY299" s="236" t="s">
        <v>841</v>
      </c>
      <c r="JA299" s="236" t="s">
        <v>19729</v>
      </c>
      <c r="JB299" s="236" t="s">
        <v>145</v>
      </c>
      <c r="JC299" s="236" t="s">
        <v>74</v>
      </c>
      <c r="JD299" s="236" t="s">
        <v>841</v>
      </c>
      <c r="JF299" s="236" t="s">
        <v>19730</v>
      </c>
      <c r="JG299" s="236" t="s">
        <v>145</v>
      </c>
      <c r="JH299" s="236" t="s">
        <v>74</v>
      </c>
      <c r="JI299" s="236" t="s">
        <v>841</v>
      </c>
      <c r="JK299" s="236" t="s">
        <v>19731</v>
      </c>
      <c r="JL299" s="236" t="s">
        <v>145</v>
      </c>
      <c r="JM299" s="236" t="s">
        <v>74</v>
      </c>
      <c r="JN299" s="236" t="s">
        <v>841</v>
      </c>
      <c r="JP299" s="236" t="s">
        <v>19732</v>
      </c>
      <c r="JQ299" s="236" t="s">
        <v>145</v>
      </c>
      <c r="JR299" s="236" t="s">
        <v>74</v>
      </c>
      <c r="JS299" s="236" t="s">
        <v>841</v>
      </c>
      <c r="JU299" s="294" t="s">
        <v>19733</v>
      </c>
      <c r="JV299" s="294" t="s">
        <v>52</v>
      </c>
      <c r="JW299" s="263" t="s">
        <v>70</v>
      </c>
      <c r="JX299" s="294" t="s">
        <v>1083</v>
      </c>
      <c r="JZ299" s="263" t="s">
        <v>19734</v>
      </c>
      <c r="KA299" s="263" t="s">
        <v>145</v>
      </c>
      <c r="KB299" s="263" t="s">
        <v>70</v>
      </c>
      <c r="KC299" s="263" t="s">
        <v>1083</v>
      </c>
      <c r="KE299" s="263" t="s">
        <v>19735</v>
      </c>
      <c r="KF299" s="263" t="s">
        <v>52</v>
      </c>
      <c r="KG299" s="263" t="s">
        <v>70</v>
      </c>
      <c r="KH299" s="263" t="s">
        <v>1083</v>
      </c>
      <c r="KJ299" s="263" t="s">
        <v>19736</v>
      </c>
      <c r="KK299" s="263" t="s">
        <v>52</v>
      </c>
      <c r="KL299" s="263" t="s">
        <v>74</v>
      </c>
      <c r="KM299" s="263" t="s">
        <v>34074</v>
      </c>
      <c r="KO299" s="214" t="s">
        <v>19737</v>
      </c>
      <c r="KP299" s="214" t="s">
        <v>145</v>
      </c>
      <c r="KQ299" s="214" t="s">
        <v>70</v>
      </c>
      <c r="KR299" s="214" t="s">
        <v>67</v>
      </c>
      <c r="KT299" s="22" t="s">
        <v>19738</v>
      </c>
      <c r="KU299" s="22" t="s">
        <v>145</v>
      </c>
      <c r="KV299" s="22" t="s">
        <v>70</v>
      </c>
      <c r="KW299" s="22" t="s">
        <v>67</v>
      </c>
      <c r="KY299" s="214" t="s">
        <v>19739</v>
      </c>
      <c r="KZ299" s="214" t="s">
        <v>52</v>
      </c>
      <c r="LA299" s="214" t="s">
        <v>74</v>
      </c>
      <c r="LB299" s="214" t="s">
        <v>67</v>
      </c>
      <c r="LD299" s="22" t="s">
        <v>19740</v>
      </c>
      <c r="LE299" s="22" t="s">
        <v>145</v>
      </c>
      <c r="LF299" s="22" t="s">
        <v>70</v>
      </c>
      <c r="LG299" s="22" t="s">
        <v>67</v>
      </c>
    </row>
    <row r="300" spans="1:319">
      <c r="A300" s="22" t="s">
        <v>19741</v>
      </c>
      <c r="B300" s="22" t="s">
        <v>145</v>
      </c>
      <c r="C300" s="22" t="s">
        <v>70</v>
      </c>
      <c r="D300" s="22" t="s">
        <v>67</v>
      </c>
      <c r="F300" s="99" t="s">
        <v>19742</v>
      </c>
      <c r="G300" s="22" t="s">
        <v>145</v>
      </c>
      <c r="H300" s="22" t="s">
        <v>70</v>
      </c>
      <c r="I300" s="22" t="s">
        <v>67</v>
      </c>
      <c r="K300" s="22" t="s">
        <v>19743</v>
      </c>
      <c r="L300" s="22" t="s">
        <v>145</v>
      </c>
      <c r="M300" s="22" t="s">
        <v>70</v>
      </c>
      <c r="N300" s="22" t="s">
        <v>67</v>
      </c>
      <c r="P300" s="22" t="s">
        <v>19744</v>
      </c>
      <c r="Q300" s="22" t="s">
        <v>145</v>
      </c>
      <c r="R300" s="22" t="s">
        <v>70</v>
      </c>
      <c r="S300" s="22" t="s">
        <v>67</v>
      </c>
      <c r="U300" s="293" t="s">
        <v>19745</v>
      </c>
      <c r="V300" s="293" t="s">
        <v>145</v>
      </c>
      <c r="W300" s="293" t="s">
        <v>74</v>
      </c>
      <c r="X300" s="293" t="s">
        <v>656</v>
      </c>
      <c r="Z300" s="293" t="s">
        <v>19746</v>
      </c>
      <c r="AA300" s="293" t="s">
        <v>145</v>
      </c>
      <c r="AB300" s="293" t="s">
        <v>74</v>
      </c>
      <c r="AC300" s="293" t="s">
        <v>656</v>
      </c>
      <c r="AE300" s="293" t="s">
        <v>19747</v>
      </c>
      <c r="AF300" s="293" t="s">
        <v>145</v>
      </c>
      <c r="AG300" s="293" t="s">
        <v>74</v>
      </c>
      <c r="AH300" s="293" t="s">
        <v>656</v>
      </c>
      <c r="AJ300" s="293" t="s">
        <v>19748</v>
      </c>
      <c r="AK300" s="293" t="s">
        <v>145</v>
      </c>
      <c r="AL300" s="293" t="s">
        <v>74</v>
      </c>
      <c r="AM300" s="293" t="s">
        <v>656</v>
      </c>
      <c r="AO300" s="22" t="s">
        <v>19749</v>
      </c>
      <c r="AP300" s="22" t="s">
        <v>145</v>
      </c>
      <c r="AQ300" s="22" t="s">
        <v>70</v>
      </c>
      <c r="AR300" s="22" t="s">
        <v>67</v>
      </c>
      <c r="AT300" s="22" t="s">
        <v>19750</v>
      </c>
      <c r="AU300" s="22" t="s">
        <v>145</v>
      </c>
      <c r="AV300" s="22" t="s">
        <v>70</v>
      </c>
      <c r="AW300" s="22" t="s">
        <v>67</v>
      </c>
      <c r="AY300" s="22" t="s">
        <v>19751</v>
      </c>
      <c r="AZ300" s="22" t="s">
        <v>145</v>
      </c>
      <c r="BA300" s="22" t="s">
        <v>70</v>
      </c>
      <c r="BB300" s="22" t="s">
        <v>67</v>
      </c>
      <c r="BD300" s="22" t="s">
        <v>19752</v>
      </c>
      <c r="BE300" s="22" t="s">
        <v>145</v>
      </c>
      <c r="BF300" s="22" t="s">
        <v>70</v>
      </c>
      <c r="BG300" s="22" t="s">
        <v>67</v>
      </c>
      <c r="BI300" s="22" t="s">
        <v>19753</v>
      </c>
      <c r="BJ300" s="22" t="s">
        <v>145</v>
      </c>
      <c r="BK300" s="22" t="s">
        <v>70</v>
      </c>
      <c r="BL300" s="22" t="s">
        <v>67</v>
      </c>
      <c r="BN300" s="22" t="s">
        <v>19754</v>
      </c>
      <c r="BO300" s="22" t="s">
        <v>145</v>
      </c>
      <c r="BP300" s="22" t="s">
        <v>70</v>
      </c>
      <c r="BQ300" s="22" t="s">
        <v>67</v>
      </c>
      <c r="BS300" s="22" t="s">
        <v>19755</v>
      </c>
      <c r="BT300" s="22" t="s">
        <v>145</v>
      </c>
      <c r="BU300" s="22" t="s">
        <v>70</v>
      </c>
      <c r="BV300" s="214" t="s">
        <v>530</v>
      </c>
      <c r="BX300" s="22" t="s">
        <v>19756</v>
      </c>
      <c r="BY300" s="22" t="s">
        <v>145</v>
      </c>
      <c r="BZ300" s="22" t="s">
        <v>70</v>
      </c>
      <c r="CA300" s="214" t="s">
        <v>530</v>
      </c>
      <c r="CC300" s="214" t="s">
        <v>19757</v>
      </c>
      <c r="CD300" s="218" t="s">
        <v>34608</v>
      </c>
      <c r="CE300" s="214" t="s">
        <v>70</v>
      </c>
      <c r="CF300" s="214" t="s">
        <v>753</v>
      </c>
      <c r="CH300" s="214" t="s">
        <v>19758</v>
      </c>
      <c r="CI300" s="214" t="s">
        <v>149</v>
      </c>
      <c r="CJ300" s="214" t="s">
        <v>70</v>
      </c>
      <c r="CK300" s="214" t="s">
        <v>530</v>
      </c>
      <c r="CM300" s="214" t="s">
        <v>19759</v>
      </c>
      <c r="CN300" s="214" t="s">
        <v>911</v>
      </c>
      <c r="CO300" s="214" t="s">
        <v>70</v>
      </c>
      <c r="CP300" s="214" t="s">
        <v>530</v>
      </c>
      <c r="CR300" s="214" t="s">
        <v>19760</v>
      </c>
      <c r="CS300" s="214" t="s">
        <v>286</v>
      </c>
      <c r="CT300" s="214" t="s">
        <v>70</v>
      </c>
      <c r="CU300" s="214" t="s">
        <v>530</v>
      </c>
      <c r="CW300" s="214" t="s">
        <v>19761</v>
      </c>
      <c r="CX300" s="214" t="s">
        <v>34545</v>
      </c>
      <c r="CY300" s="214" t="s">
        <v>70</v>
      </c>
      <c r="CZ300" s="214" t="s">
        <v>530</v>
      </c>
      <c r="DB300" s="214" t="s">
        <v>19762</v>
      </c>
      <c r="DC300" s="214" t="s">
        <v>34545</v>
      </c>
      <c r="DD300" s="214" t="s">
        <v>70</v>
      </c>
      <c r="DE300" s="214" t="s">
        <v>530</v>
      </c>
      <c r="DG300" s="214" t="s">
        <v>19763</v>
      </c>
      <c r="DH300" s="214" t="s">
        <v>90</v>
      </c>
      <c r="DI300" s="214" t="s">
        <v>70</v>
      </c>
      <c r="DJ300" s="214" t="s">
        <v>530</v>
      </c>
      <c r="DL300" s="214" t="s">
        <v>19764</v>
      </c>
      <c r="DM300" s="214" t="s">
        <v>90</v>
      </c>
      <c r="DN300" s="214" t="s">
        <v>70</v>
      </c>
      <c r="DO300" s="214" t="s">
        <v>530</v>
      </c>
      <c r="DQ300" s="214" t="s">
        <v>19765</v>
      </c>
      <c r="DR300" s="214" t="s">
        <v>483</v>
      </c>
      <c r="DS300" s="214" t="s">
        <v>70</v>
      </c>
      <c r="DT300" s="214" t="s">
        <v>530</v>
      </c>
      <c r="DV300" s="214" t="s">
        <v>19766</v>
      </c>
      <c r="DW300" s="214" t="s">
        <v>500</v>
      </c>
      <c r="DX300" s="214" t="s">
        <v>70</v>
      </c>
      <c r="DY300" s="214" t="s">
        <v>530</v>
      </c>
      <c r="EA300" s="214" t="s">
        <v>19767</v>
      </c>
      <c r="EB300" s="214" t="s">
        <v>468</v>
      </c>
      <c r="EC300" s="214" t="s">
        <v>70</v>
      </c>
      <c r="ED300" s="214" t="s">
        <v>530</v>
      </c>
      <c r="EF300" s="214" t="s">
        <v>19768</v>
      </c>
      <c r="EG300" s="214" t="s">
        <v>148</v>
      </c>
      <c r="EH300" s="214" t="s">
        <v>70</v>
      </c>
      <c r="EI300" s="214" t="s">
        <v>530</v>
      </c>
      <c r="EK300" s="214" t="s">
        <v>19769</v>
      </c>
      <c r="EL300" s="214" t="s">
        <v>148</v>
      </c>
      <c r="EM300" s="214" t="s">
        <v>70</v>
      </c>
      <c r="EN300" s="214" t="s">
        <v>530</v>
      </c>
      <c r="EP300" s="214" t="s">
        <v>19770</v>
      </c>
      <c r="EQ300" s="214" t="s">
        <v>52</v>
      </c>
      <c r="ER300" s="214" t="s">
        <v>70</v>
      </c>
      <c r="ES300" s="214" t="s">
        <v>530</v>
      </c>
      <c r="EU300" s="214" t="s">
        <v>19771</v>
      </c>
      <c r="EV300" s="214" t="s">
        <v>163</v>
      </c>
      <c r="EW300" s="214" t="s">
        <v>70</v>
      </c>
      <c r="EX300" s="214" t="s">
        <v>530</v>
      </c>
      <c r="EZ300" s="214" t="s">
        <v>19772</v>
      </c>
      <c r="FA300" s="214" t="s">
        <v>529</v>
      </c>
      <c r="FB300" s="214" t="s">
        <v>70</v>
      </c>
      <c r="FC300" s="214" t="s">
        <v>530</v>
      </c>
      <c r="FE300" s="214" t="s">
        <v>19773</v>
      </c>
      <c r="FF300" s="214" t="s">
        <v>145</v>
      </c>
      <c r="FG300" s="214" t="s">
        <v>70</v>
      </c>
      <c r="FH300" s="214" t="s">
        <v>530</v>
      </c>
      <c r="FJ300" s="321" t="s">
        <v>19774</v>
      </c>
      <c r="FK300" s="214" t="s">
        <v>34635</v>
      </c>
      <c r="FL300" s="214" t="s">
        <v>70</v>
      </c>
      <c r="FM300" s="214" t="s">
        <v>530</v>
      </c>
      <c r="FO300" s="321" t="s">
        <v>19775</v>
      </c>
      <c r="FP300" s="214" t="s">
        <v>484</v>
      </c>
      <c r="FQ300" s="214" t="s">
        <v>70</v>
      </c>
      <c r="FR300" s="214" t="s">
        <v>530</v>
      </c>
      <c r="FT300" s="321" t="s">
        <v>19776</v>
      </c>
      <c r="FU300" s="214" t="s">
        <v>88</v>
      </c>
      <c r="FV300" s="214" t="s">
        <v>70</v>
      </c>
      <c r="FW300" s="214" t="s">
        <v>530</v>
      </c>
      <c r="FY300" s="321" t="s">
        <v>19777</v>
      </c>
      <c r="FZ300" s="214" t="s">
        <v>145</v>
      </c>
      <c r="GA300" s="214" t="s">
        <v>70</v>
      </c>
      <c r="GB300" s="214" t="s">
        <v>530</v>
      </c>
      <c r="GD300" s="321" t="s">
        <v>19778</v>
      </c>
      <c r="GE300" s="214" t="s">
        <v>163</v>
      </c>
      <c r="GF300" s="214" t="s">
        <v>70</v>
      </c>
      <c r="GG300" s="214" t="s">
        <v>530</v>
      </c>
      <c r="GI300" s="321" t="s">
        <v>19779</v>
      </c>
      <c r="GJ300" s="214" t="s">
        <v>148</v>
      </c>
      <c r="GK300" s="214" t="s">
        <v>70</v>
      </c>
      <c r="GL300" s="214" t="s">
        <v>530</v>
      </c>
      <c r="GN300" s="321" t="s">
        <v>19780</v>
      </c>
      <c r="GO300" s="214" t="s">
        <v>146</v>
      </c>
      <c r="GP300" s="214" t="s">
        <v>70</v>
      </c>
      <c r="GQ300" s="214" t="s">
        <v>530</v>
      </c>
      <c r="GS300" s="321" t="s">
        <v>19781</v>
      </c>
      <c r="GT300" s="214" t="s">
        <v>90</v>
      </c>
      <c r="GU300" s="214" t="s">
        <v>70</v>
      </c>
      <c r="GV300" s="214" t="s">
        <v>530</v>
      </c>
      <c r="GX300" s="214" t="s">
        <v>19782</v>
      </c>
      <c r="GY300" s="214" t="s">
        <v>148</v>
      </c>
      <c r="GZ300" s="214" t="s">
        <v>70</v>
      </c>
      <c r="HA300" s="214" t="s">
        <v>530</v>
      </c>
      <c r="HC300" s="214" t="s">
        <v>19783</v>
      </c>
      <c r="HD300" s="214" t="s">
        <v>912</v>
      </c>
      <c r="HE300" s="214" t="s">
        <v>70</v>
      </c>
      <c r="HF300" s="214" t="s">
        <v>530</v>
      </c>
      <c r="HH300" s="214" t="s">
        <v>19784</v>
      </c>
      <c r="HI300" s="214" t="s">
        <v>145</v>
      </c>
      <c r="HJ300" s="214" t="s">
        <v>70</v>
      </c>
      <c r="HK300" s="214" t="s">
        <v>530</v>
      </c>
      <c r="HM300" s="214" t="s">
        <v>19785</v>
      </c>
      <c r="HN300" s="214" t="s">
        <v>519</v>
      </c>
      <c r="HO300" s="214" t="s">
        <v>70</v>
      </c>
      <c r="HP300" s="214" t="s">
        <v>530</v>
      </c>
      <c r="HR300" s="22" t="s">
        <v>19786</v>
      </c>
      <c r="HS300" s="22" t="s">
        <v>34579</v>
      </c>
      <c r="HT300" s="22" t="s">
        <v>70</v>
      </c>
      <c r="HU300" s="214" t="s">
        <v>530</v>
      </c>
      <c r="HW300" s="22" t="s">
        <v>19787</v>
      </c>
      <c r="HX300" s="22" t="s">
        <v>52</v>
      </c>
      <c r="HY300" s="22" t="s">
        <v>70</v>
      </c>
      <c r="HZ300" s="214" t="s">
        <v>530</v>
      </c>
      <c r="IB300" s="22" t="s">
        <v>19788</v>
      </c>
      <c r="IC300" s="22" t="s">
        <v>495</v>
      </c>
      <c r="ID300" s="22" t="s">
        <v>70</v>
      </c>
      <c r="IE300" s="214" t="s">
        <v>530</v>
      </c>
      <c r="IG300" s="22" t="s">
        <v>19789</v>
      </c>
      <c r="IH300" s="22" t="s">
        <v>52</v>
      </c>
      <c r="II300" s="22" t="s">
        <v>70</v>
      </c>
      <c r="IJ300" s="214" t="s">
        <v>530</v>
      </c>
      <c r="IL300" s="22" t="s">
        <v>19790</v>
      </c>
      <c r="IM300" s="22" t="s">
        <v>145</v>
      </c>
      <c r="IN300" s="22" t="s">
        <v>70</v>
      </c>
      <c r="IO300" s="214" t="s">
        <v>530</v>
      </c>
      <c r="IQ300" s="236" t="s">
        <v>19791</v>
      </c>
      <c r="IR300" s="236" t="s">
        <v>145</v>
      </c>
      <c r="IS300" s="236" t="s">
        <v>74</v>
      </c>
      <c r="IT300" s="236" t="s">
        <v>841</v>
      </c>
      <c r="IV300" s="236" t="s">
        <v>19792</v>
      </c>
      <c r="IW300" s="236" t="s">
        <v>145</v>
      </c>
      <c r="IX300" s="236" t="s">
        <v>74</v>
      </c>
      <c r="IY300" s="236" t="s">
        <v>841</v>
      </c>
      <c r="JA300" s="236" t="s">
        <v>19793</v>
      </c>
      <c r="JB300" s="236" t="s">
        <v>145</v>
      </c>
      <c r="JC300" s="236" t="s">
        <v>74</v>
      </c>
      <c r="JD300" s="236" t="s">
        <v>841</v>
      </c>
      <c r="JF300" s="236" t="s">
        <v>19794</v>
      </c>
      <c r="JG300" s="236" t="s">
        <v>145</v>
      </c>
      <c r="JH300" s="236" t="s">
        <v>74</v>
      </c>
      <c r="JI300" s="236" t="s">
        <v>841</v>
      </c>
      <c r="JK300" s="236" t="s">
        <v>19795</v>
      </c>
      <c r="JL300" s="236" t="s">
        <v>145</v>
      </c>
      <c r="JM300" s="236" t="s">
        <v>74</v>
      </c>
      <c r="JN300" s="236" t="s">
        <v>841</v>
      </c>
      <c r="JP300" s="236" t="s">
        <v>19796</v>
      </c>
      <c r="JQ300" s="236" t="s">
        <v>145</v>
      </c>
      <c r="JR300" s="236" t="s">
        <v>74</v>
      </c>
      <c r="JS300" s="236" t="s">
        <v>841</v>
      </c>
      <c r="JU300" s="294" t="s">
        <v>19797</v>
      </c>
      <c r="JV300" s="294" t="s">
        <v>52</v>
      </c>
      <c r="JW300" s="263" t="s">
        <v>70</v>
      </c>
      <c r="JX300" s="294" t="s">
        <v>1083</v>
      </c>
      <c r="JZ300" s="263" t="s">
        <v>19798</v>
      </c>
      <c r="KA300" s="263" t="s">
        <v>145</v>
      </c>
      <c r="KB300" s="263" t="s">
        <v>70</v>
      </c>
      <c r="KC300" s="263" t="s">
        <v>1083</v>
      </c>
      <c r="KE300" s="263" t="s">
        <v>19799</v>
      </c>
      <c r="KF300" s="263" t="s">
        <v>52</v>
      </c>
      <c r="KG300" s="263" t="s">
        <v>70</v>
      </c>
      <c r="KH300" s="263" t="s">
        <v>1083</v>
      </c>
      <c r="KJ300" s="263" t="s">
        <v>19800</v>
      </c>
      <c r="KK300" s="263" t="s">
        <v>52</v>
      </c>
      <c r="KL300" s="263" t="s">
        <v>74</v>
      </c>
      <c r="KM300" s="263" t="s">
        <v>34074</v>
      </c>
      <c r="KO300" s="214" t="s">
        <v>19801</v>
      </c>
      <c r="KP300" s="214" t="s">
        <v>145</v>
      </c>
      <c r="KQ300" s="214" t="s">
        <v>70</v>
      </c>
      <c r="KR300" s="214" t="s">
        <v>67</v>
      </c>
      <c r="KT300" s="22" t="s">
        <v>19802</v>
      </c>
      <c r="KU300" s="22" t="s">
        <v>145</v>
      </c>
      <c r="KV300" s="22" t="s">
        <v>70</v>
      </c>
      <c r="KW300" s="22" t="s">
        <v>67</v>
      </c>
      <c r="KY300" s="214" t="s">
        <v>19803</v>
      </c>
      <c r="KZ300" s="214" t="s">
        <v>52</v>
      </c>
      <c r="LA300" s="214" t="s">
        <v>74</v>
      </c>
      <c r="LB300" s="214" t="s">
        <v>67</v>
      </c>
      <c r="LD300" s="22" t="s">
        <v>19804</v>
      </c>
      <c r="LE300" s="22" t="s">
        <v>145</v>
      </c>
      <c r="LF300" s="22" t="s">
        <v>70</v>
      </c>
      <c r="LG300" s="22" t="s">
        <v>67</v>
      </c>
    </row>
    <row r="301" spans="1:319">
      <c r="A301" s="22" t="s">
        <v>19805</v>
      </c>
      <c r="B301" s="22" t="s">
        <v>145</v>
      </c>
      <c r="C301" s="22" t="s">
        <v>70</v>
      </c>
      <c r="D301" s="22" t="s">
        <v>67</v>
      </c>
      <c r="F301" s="99" t="s">
        <v>19806</v>
      </c>
      <c r="G301" s="22" t="s">
        <v>145</v>
      </c>
      <c r="H301" s="22" t="s">
        <v>70</v>
      </c>
      <c r="I301" s="22" t="s">
        <v>67</v>
      </c>
      <c r="K301" s="22" t="s">
        <v>19807</v>
      </c>
      <c r="L301" s="22" t="s">
        <v>145</v>
      </c>
      <c r="M301" s="22" t="s">
        <v>70</v>
      </c>
      <c r="N301" s="22" t="s">
        <v>67</v>
      </c>
      <c r="P301" s="22" t="s">
        <v>19808</v>
      </c>
      <c r="Q301" s="22" t="s">
        <v>145</v>
      </c>
      <c r="R301" s="22" t="s">
        <v>70</v>
      </c>
      <c r="S301" s="22" t="s">
        <v>67</v>
      </c>
      <c r="U301" s="293" t="s">
        <v>19809</v>
      </c>
      <c r="V301" s="293" t="s">
        <v>145</v>
      </c>
      <c r="W301" s="293" t="s">
        <v>74</v>
      </c>
      <c r="X301" s="293" t="s">
        <v>656</v>
      </c>
      <c r="Z301" s="293" t="s">
        <v>19810</v>
      </c>
      <c r="AA301" s="293" t="s">
        <v>145</v>
      </c>
      <c r="AB301" s="293" t="s">
        <v>74</v>
      </c>
      <c r="AC301" s="293" t="s">
        <v>656</v>
      </c>
      <c r="AE301" s="293" t="s">
        <v>19811</v>
      </c>
      <c r="AF301" s="293" t="s">
        <v>145</v>
      </c>
      <c r="AG301" s="293" t="s">
        <v>74</v>
      </c>
      <c r="AH301" s="293" t="s">
        <v>656</v>
      </c>
      <c r="AJ301" s="293" t="s">
        <v>19812</v>
      </c>
      <c r="AK301" s="293" t="s">
        <v>145</v>
      </c>
      <c r="AL301" s="293" t="s">
        <v>74</v>
      </c>
      <c r="AM301" s="293" t="s">
        <v>656</v>
      </c>
      <c r="AO301" s="22" t="s">
        <v>19813</v>
      </c>
      <c r="AP301" s="22" t="s">
        <v>145</v>
      </c>
      <c r="AQ301" s="22" t="s">
        <v>70</v>
      </c>
      <c r="AR301" s="22" t="s">
        <v>67</v>
      </c>
      <c r="AT301" s="22" t="s">
        <v>19814</v>
      </c>
      <c r="AU301" s="22" t="s">
        <v>145</v>
      </c>
      <c r="AV301" s="22" t="s">
        <v>70</v>
      </c>
      <c r="AW301" s="22" t="s">
        <v>67</v>
      </c>
      <c r="AY301" s="22" t="s">
        <v>19815</v>
      </c>
      <c r="AZ301" s="22" t="s">
        <v>145</v>
      </c>
      <c r="BA301" s="22" t="s">
        <v>70</v>
      </c>
      <c r="BB301" s="22" t="s">
        <v>67</v>
      </c>
      <c r="BD301" s="22" t="s">
        <v>19816</v>
      </c>
      <c r="BE301" s="22" t="s">
        <v>145</v>
      </c>
      <c r="BF301" s="22" t="s">
        <v>70</v>
      </c>
      <c r="BG301" s="22" t="s">
        <v>67</v>
      </c>
      <c r="BI301" s="22" t="s">
        <v>19817</v>
      </c>
      <c r="BJ301" s="22" t="s">
        <v>145</v>
      </c>
      <c r="BK301" s="22" t="s">
        <v>70</v>
      </c>
      <c r="BL301" s="22" t="s">
        <v>67</v>
      </c>
      <c r="BN301" s="22" t="s">
        <v>19818</v>
      </c>
      <c r="BO301" s="22" t="s">
        <v>145</v>
      </c>
      <c r="BP301" s="22" t="s">
        <v>70</v>
      </c>
      <c r="BQ301" s="22" t="s">
        <v>67</v>
      </c>
      <c r="BS301" s="22" t="s">
        <v>19819</v>
      </c>
      <c r="BT301" s="22" t="s">
        <v>145</v>
      </c>
      <c r="BU301" s="22" t="s">
        <v>70</v>
      </c>
      <c r="BV301" s="214" t="s">
        <v>530</v>
      </c>
      <c r="BX301" s="22" t="s">
        <v>19820</v>
      </c>
      <c r="BY301" s="22" t="s">
        <v>145</v>
      </c>
      <c r="BZ301" s="22" t="s">
        <v>70</v>
      </c>
      <c r="CA301" s="214" t="s">
        <v>530</v>
      </c>
      <c r="CC301" s="214" t="s">
        <v>19821</v>
      </c>
      <c r="CD301" s="218" t="s">
        <v>34607</v>
      </c>
      <c r="CE301" s="214" t="s">
        <v>70</v>
      </c>
      <c r="CF301" s="214" t="s">
        <v>754</v>
      </c>
      <c r="CH301" s="214" t="s">
        <v>19822</v>
      </c>
      <c r="CI301" s="214" t="s">
        <v>502</v>
      </c>
      <c r="CJ301" s="214" t="s">
        <v>70</v>
      </c>
      <c r="CK301" s="214" t="s">
        <v>530</v>
      </c>
      <c r="CM301" s="214" t="s">
        <v>19823</v>
      </c>
      <c r="CN301" s="214" t="s">
        <v>491</v>
      </c>
      <c r="CO301" s="214" t="s">
        <v>70</v>
      </c>
      <c r="CP301" s="214" t="s">
        <v>530</v>
      </c>
      <c r="CR301" s="214" t="s">
        <v>19824</v>
      </c>
      <c r="CS301" s="214" t="s">
        <v>34558</v>
      </c>
      <c r="CT301" s="214" t="s">
        <v>70</v>
      </c>
      <c r="CU301" s="214" t="s">
        <v>530</v>
      </c>
      <c r="CW301" s="214" t="s">
        <v>19825</v>
      </c>
      <c r="CX301" s="214" t="s">
        <v>34551</v>
      </c>
      <c r="CY301" s="214" t="s">
        <v>70</v>
      </c>
      <c r="CZ301" s="214" t="s">
        <v>530</v>
      </c>
      <c r="DB301" s="214" t="s">
        <v>19826</v>
      </c>
      <c r="DC301" s="214" t="s">
        <v>34561</v>
      </c>
      <c r="DD301" s="214" t="s">
        <v>70</v>
      </c>
      <c r="DE301" s="214" t="s">
        <v>530</v>
      </c>
      <c r="DG301" s="214" t="s">
        <v>19827</v>
      </c>
      <c r="DH301" s="214" t="s">
        <v>502</v>
      </c>
      <c r="DI301" s="214" t="s">
        <v>70</v>
      </c>
      <c r="DJ301" s="214" t="s">
        <v>530</v>
      </c>
      <c r="DL301" s="214" t="s">
        <v>19828</v>
      </c>
      <c r="DM301" s="214" t="s">
        <v>599</v>
      </c>
      <c r="DN301" s="214" t="s">
        <v>70</v>
      </c>
      <c r="DO301" s="214" t="s">
        <v>530</v>
      </c>
      <c r="DQ301" s="214" t="s">
        <v>19829</v>
      </c>
      <c r="DR301" s="214" t="s">
        <v>146</v>
      </c>
      <c r="DS301" s="214" t="s">
        <v>70</v>
      </c>
      <c r="DT301" s="214" t="s">
        <v>530</v>
      </c>
      <c r="DV301" s="214" t="s">
        <v>19830</v>
      </c>
      <c r="DW301" s="214" t="s">
        <v>488</v>
      </c>
      <c r="DX301" s="214" t="s">
        <v>70</v>
      </c>
      <c r="DY301" s="214" t="s">
        <v>530</v>
      </c>
      <c r="EA301" s="214" t="s">
        <v>19831</v>
      </c>
      <c r="EB301" s="214" t="s">
        <v>52</v>
      </c>
      <c r="EC301" s="214" t="s">
        <v>70</v>
      </c>
      <c r="ED301" s="214" t="s">
        <v>530</v>
      </c>
      <c r="EF301" s="214" t="s">
        <v>19832</v>
      </c>
      <c r="EG301" s="214" t="s">
        <v>34542</v>
      </c>
      <c r="EH301" s="214" t="s">
        <v>70</v>
      </c>
      <c r="EI301" s="214" t="s">
        <v>530</v>
      </c>
      <c r="EK301" s="214" t="s">
        <v>19833</v>
      </c>
      <c r="EL301" s="214" t="s">
        <v>531</v>
      </c>
      <c r="EM301" s="214" t="s">
        <v>70</v>
      </c>
      <c r="EN301" s="214" t="s">
        <v>530</v>
      </c>
      <c r="EP301" s="214" t="s">
        <v>19834</v>
      </c>
      <c r="EQ301" s="214" t="s">
        <v>203</v>
      </c>
      <c r="ER301" s="214" t="s">
        <v>70</v>
      </c>
      <c r="ES301" s="214" t="s">
        <v>530</v>
      </c>
      <c r="EU301" s="214" t="s">
        <v>19835</v>
      </c>
      <c r="EV301" s="214" t="s">
        <v>52</v>
      </c>
      <c r="EW301" s="214" t="s">
        <v>70</v>
      </c>
      <c r="EX301" s="214" t="s">
        <v>530</v>
      </c>
      <c r="EZ301" s="214" t="s">
        <v>19836</v>
      </c>
      <c r="FA301" s="214" t="s">
        <v>484</v>
      </c>
      <c r="FB301" s="214" t="s">
        <v>70</v>
      </c>
      <c r="FC301" s="214" t="s">
        <v>530</v>
      </c>
      <c r="FE301" s="214" t="s">
        <v>19837</v>
      </c>
      <c r="FF301" s="214" t="s">
        <v>34541</v>
      </c>
      <c r="FG301" s="214" t="s">
        <v>70</v>
      </c>
      <c r="FH301" s="214" t="s">
        <v>530</v>
      </c>
      <c r="FJ301" s="321" t="s">
        <v>19838</v>
      </c>
      <c r="FK301" s="214" t="s">
        <v>34405</v>
      </c>
      <c r="FL301" s="214" t="s">
        <v>70</v>
      </c>
      <c r="FM301" s="214" t="s">
        <v>530</v>
      </c>
      <c r="FO301" s="321" t="s">
        <v>19839</v>
      </c>
      <c r="FP301" s="214" t="s">
        <v>910</v>
      </c>
      <c r="FQ301" s="214" t="s">
        <v>70</v>
      </c>
      <c r="FR301" s="214" t="s">
        <v>530</v>
      </c>
      <c r="FT301" s="321" t="s">
        <v>19840</v>
      </c>
      <c r="FU301" s="214" t="s">
        <v>488</v>
      </c>
      <c r="FV301" s="214" t="s">
        <v>70</v>
      </c>
      <c r="FW301" s="214" t="s">
        <v>530</v>
      </c>
      <c r="FY301" s="321" t="s">
        <v>19841</v>
      </c>
      <c r="FZ301" s="214" t="s">
        <v>920</v>
      </c>
      <c r="GA301" s="214" t="s">
        <v>70</v>
      </c>
      <c r="GB301" s="214" t="s">
        <v>530</v>
      </c>
      <c r="GD301" s="321" t="s">
        <v>19842</v>
      </c>
      <c r="GE301" s="214" t="s">
        <v>34589</v>
      </c>
      <c r="GF301" s="214" t="s">
        <v>70</v>
      </c>
      <c r="GG301" s="214" t="s">
        <v>530</v>
      </c>
      <c r="GI301" s="321" t="s">
        <v>19843</v>
      </c>
      <c r="GJ301" s="214" t="s">
        <v>485</v>
      </c>
      <c r="GK301" s="214" t="s">
        <v>70</v>
      </c>
      <c r="GL301" s="214" t="s">
        <v>530</v>
      </c>
      <c r="GN301" s="321" t="s">
        <v>19844</v>
      </c>
      <c r="GO301" s="214" t="s">
        <v>52</v>
      </c>
      <c r="GP301" s="214" t="s">
        <v>70</v>
      </c>
      <c r="GQ301" s="214" t="s">
        <v>530</v>
      </c>
      <c r="GS301" s="321" t="s">
        <v>19845</v>
      </c>
      <c r="GT301" s="214" t="s">
        <v>482</v>
      </c>
      <c r="GU301" s="214" t="s">
        <v>70</v>
      </c>
      <c r="GV301" s="214" t="s">
        <v>530</v>
      </c>
      <c r="GX301" s="214" t="s">
        <v>19846</v>
      </c>
      <c r="GY301" s="214" t="s">
        <v>493</v>
      </c>
      <c r="GZ301" s="214" t="s">
        <v>70</v>
      </c>
      <c r="HA301" s="214" t="s">
        <v>530</v>
      </c>
      <c r="HC301" s="214" t="s">
        <v>19847</v>
      </c>
      <c r="HD301" s="214" t="s">
        <v>484</v>
      </c>
      <c r="HE301" s="214" t="s">
        <v>70</v>
      </c>
      <c r="HF301" s="214" t="s">
        <v>530</v>
      </c>
      <c r="HH301" s="214" t="s">
        <v>19848</v>
      </c>
      <c r="HI301" s="214" t="s">
        <v>145</v>
      </c>
      <c r="HJ301" s="214" t="s">
        <v>70</v>
      </c>
      <c r="HK301" s="214" t="s">
        <v>530</v>
      </c>
      <c r="HM301" s="214" t="s">
        <v>19849</v>
      </c>
      <c r="HN301" s="214" t="s">
        <v>910</v>
      </c>
      <c r="HO301" s="214" t="s">
        <v>70</v>
      </c>
      <c r="HP301" s="214" t="s">
        <v>530</v>
      </c>
      <c r="HR301" s="22" t="s">
        <v>19850</v>
      </c>
      <c r="HS301" s="22" t="s">
        <v>491</v>
      </c>
      <c r="HT301" s="22" t="s">
        <v>70</v>
      </c>
      <c r="HU301" s="214" t="s">
        <v>530</v>
      </c>
      <c r="HW301" s="22" t="s">
        <v>19851</v>
      </c>
      <c r="HX301" s="22" t="s">
        <v>103</v>
      </c>
      <c r="HY301" s="22" t="s">
        <v>70</v>
      </c>
      <c r="HZ301" s="214" t="s">
        <v>530</v>
      </c>
      <c r="IB301" s="22" t="s">
        <v>19852</v>
      </c>
      <c r="IC301" s="22" t="s">
        <v>484</v>
      </c>
      <c r="ID301" s="22" t="s">
        <v>70</v>
      </c>
      <c r="IE301" s="214" t="s">
        <v>530</v>
      </c>
      <c r="IG301" s="22" t="s">
        <v>19853</v>
      </c>
      <c r="IH301" s="22" t="s">
        <v>52</v>
      </c>
      <c r="II301" s="22" t="s">
        <v>70</v>
      </c>
      <c r="IJ301" s="214" t="s">
        <v>530</v>
      </c>
      <c r="IL301" s="22" t="s">
        <v>19854</v>
      </c>
      <c r="IM301" s="22" t="s">
        <v>145</v>
      </c>
      <c r="IN301" s="22" t="s">
        <v>70</v>
      </c>
      <c r="IO301" s="214" t="s">
        <v>530</v>
      </c>
      <c r="IQ301" s="236" t="s">
        <v>19855</v>
      </c>
      <c r="IR301" s="236" t="s">
        <v>145</v>
      </c>
      <c r="IS301" s="236" t="s">
        <v>74</v>
      </c>
      <c r="IT301" s="236" t="s">
        <v>841</v>
      </c>
      <c r="IV301" s="236" t="s">
        <v>19856</v>
      </c>
      <c r="IW301" s="236" t="s">
        <v>145</v>
      </c>
      <c r="IX301" s="236" t="s">
        <v>74</v>
      </c>
      <c r="IY301" s="236" t="s">
        <v>841</v>
      </c>
      <c r="JA301" s="236" t="s">
        <v>19857</v>
      </c>
      <c r="JB301" s="236" t="s">
        <v>145</v>
      </c>
      <c r="JC301" s="236" t="s">
        <v>74</v>
      </c>
      <c r="JD301" s="236" t="s">
        <v>841</v>
      </c>
      <c r="JF301" s="236" t="s">
        <v>19858</v>
      </c>
      <c r="JG301" s="236" t="s">
        <v>145</v>
      </c>
      <c r="JH301" s="236" t="s">
        <v>74</v>
      </c>
      <c r="JI301" s="236" t="s">
        <v>841</v>
      </c>
      <c r="JK301" s="236" t="s">
        <v>19859</v>
      </c>
      <c r="JL301" s="236" t="s">
        <v>145</v>
      </c>
      <c r="JM301" s="236" t="s">
        <v>74</v>
      </c>
      <c r="JN301" s="236" t="s">
        <v>841</v>
      </c>
      <c r="JP301" s="236" t="s">
        <v>19860</v>
      </c>
      <c r="JQ301" s="236" t="s">
        <v>145</v>
      </c>
      <c r="JR301" s="236" t="s">
        <v>74</v>
      </c>
      <c r="JS301" s="236" t="s">
        <v>841</v>
      </c>
      <c r="JU301" s="294" t="s">
        <v>19861</v>
      </c>
      <c r="JV301" s="294" t="s">
        <v>52</v>
      </c>
      <c r="JW301" s="263" t="s">
        <v>70</v>
      </c>
      <c r="JX301" s="294" t="s">
        <v>1083</v>
      </c>
      <c r="JZ301" s="263" t="s">
        <v>19862</v>
      </c>
      <c r="KA301" s="263" t="s">
        <v>145</v>
      </c>
      <c r="KB301" s="263" t="s">
        <v>70</v>
      </c>
      <c r="KC301" s="263" t="s">
        <v>1083</v>
      </c>
      <c r="KE301" s="263" t="s">
        <v>19863</v>
      </c>
      <c r="KF301" s="263" t="s">
        <v>52</v>
      </c>
      <c r="KG301" s="263" t="s">
        <v>70</v>
      </c>
      <c r="KH301" s="263" t="s">
        <v>1083</v>
      </c>
      <c r="KJ301" s="263" t="s">
        <v>19864</v>
      </c>
      <c r="KK301" s="263" t="s">
        <v>52</v>
      </c>
      <c r="KL301" s="263" t="s">
        <v>74</v>
      </c>
      <c r="KM301" s="263" t="s">
        <v>34074</v>
      </c>
      <c r="KO301" s="214" t="s">
        <v>19865</v>
      </c>
      <c r="KP301" s="214" t="s">
        <v>145</v>
      </c>
      <c r="KQ301" s="214" t="s">
        <v>70</v>
      </c>
      <c r="KR301" s="214" t="s">
        <v>67</v>
      </c>
      <c r="KT301" s="22" t="s">
        <v>19866</v>
      </c>
      <c r="KU301" s="22" t="s">
        <v>145</v>
      </c>
      <c r="KV301" s="22" t="s">
        <v>70</v>
      </c>
      <c r="KW301" s="22" t="s">
        <v>67</v>
      </c>
      <c r="KY301" s="214" t="s">
        <v>19867</v>
      </c>
      <c r="KZ301" s="214" t="s">
        <v>52</v>
      </c>
      <c r="LA301" s="214" t="s">
        <v>74</v>
      </c>
      <c r="LB301" s="214" t="s">
        <v>67</v>
      </c>
      <c r="LD301" s="22" t="s">
        <v>19868</v>
      </c>
      <c r="LE301" s="22" t="s">
        <v>145</v>
      </c>
      <c r="LF301" s="22" t="s">
        <v>70</v>
      </c>
      <c r="LG301" s="22" t="s">
        <v>67</v>
      </c>
    </row>
    <row r="302" spans="1:319">
      <c r="A302" s="22" t="s">
        <v>19869</v>
      </c>
      <c r="B302" s="22" t="s">
        <v>145</v>
      </c>
      <c r="C302" s="22" t="s">
        <v>70</v>
      </c>
      <c r="D302" s="22" t="s">
        <v>67</v>
      </c>
      <c r="F302" s="99" t="s">
        <v>19870</v>
      </c>
      <c r="G302" s="22" t="s">
        <v>145</v>
      </c>
      <c r="H302" s="22" t="s">
        <v>70</v>
      </c>
      <c r="I302" s="22" t="s">
        <v>67</v>
      </c>
      <c r="K302" s="22" t="s">
        <v>19871</v>
      </c>
      <c r="L302" s="22" t="s">
        <v>145</v>
      </c>
      <c r="M302" s="22" t="s">
        <v>70</v>
      </c>
      <c r="N302" s="22" t="s">
        <v>67</v>
      </c>
      <c r="P302" s="22" t="s">
        <v>19872</v>
      </c>
      <c r="Q302" s="22" t="s">
        <v>145</v>
      </c>
      <c r="R302" s="22" t="s">
        <v>70</v>
      </c>
      <c r="S302" s="22" t="s">
        <v>67</v>
      </c>
      <c r="U302" s="293" t="s">
        <v>19873</v>
      </c>
      <c r="V302" s="293" t="s">
        <v>145</v>
      </c>
      <c r="W302" s="293" t="s">
        <v>74</v>
      </c>
      <c r="X302" s="293" t="s">
        <v>656</v>
      </c>
      <c r="Z302" s="293" t="s">
        <v>19874</v>
      </c>
      <c r="AA302" s="293" t="s">
        <v>145</v>
      </c>
      <c r="AB302" s="293" t="s">
        <v>74</v>
      </c>
      <c r="AC302" s="293" t="s">
        <v>656</v>
      </c>
      <c r="AE302" s="293" t="s">
        <v>19875</v>
      </c>
      <c r="AF302" s="293" t="s">
        <v>145</v>
      </c>
      <c r="AG302" s="293" t="s">
        <v>74</v>
      </c>
      <c r="AH302" s="293" t="s">
        <v>656</v>
      </c>
      <c r="AJ302" s="293" t="s">
        <v>19876</v>
      </c>
      <c r="AK302" s="293" t="s">
        <v>145</v>
      </c>
      <c r="AL302" s="293" t="s">
        <v>74</v>
      </c>
      <c r="AM302" s="293" t="s">
        <v>656</v>
      </c>
      <c r="AO302" s="22" t="s">
        <v>19877</v>
      </c>
      <c r="AP302" s="22" t="s">
        <v>145</v>
      </c>
      <c r="AQ302" s="22" t="s">
        <v>70</v>
      </c>
      <c r="AR302" s="22" t="s">
        <v>67</v>
      </c>
      <c r="AT302" s="22" t="s">
        <v>19878</v>
      </c>
      <c r="AU302" s="22" t="s">
        <v>145</v>
      </c>
      <c r="AV302" s="22" t="s">
        <v>70</v>
      </c>
      <c r="AW302" s="22" t="s">
        <v>67</v>
      </c>
      <c r="AY302" s="22" t="s">
        <v>19879</v>
      </c>
      <c r="AZ302" s="22" t="s">
        <v>145</v>
      </c>
      <c r="BA302" s="22" t="s">
        <v>70</v>
      </c>
      <c r="BB302" s="22" t="s">
        <v>67</v>
      </c>
      <c r="BD302" s="22" t="s">
        <v>19880</v>
      </c>
      <c r="BE302" s="22" t="s">
        <v>145</v>
      </c>
      <c r="BF302" s="22" t="s">
        <v>70</v>
      </c>
      <c r="BG302" s="22" t="s">
        <v>67</v>
      </c>
      <c r="BI302" s="22" t="s">
        <v>19881</v>
      </c>
      <c r="BJ302" s="22" t="s">
        <v>145</v>
      </c>
      <c r="BK302" s="22" t="s">
        <v>70</v>
      </c>
      <c r="BL302" s="22" t="s">
        <v>67</v>
      </c>
      <c r="BN302" s="22" t="s">
        <v>19882</v>
      </c>
      <c r="BO302" s="22" t="s">
        <v>145</v>
      </c>
      <c r="BP302" s="22" t="s">
        <v>70</v>
      </c>
      <c r="BQ302" s="22" t="s">
        <v>67</v>
      </c>
      <c r="BS302" s="22" t="s">
        <v>19883</v>
      </c>
      <c r="BT302" s="22" t="s">
        <v>145</v>
      </c>
      <c r="BU302" s="22" t="s">
        <v>70</v>
      </c>
      <c r="BV302" s="214" t="s">
        <v>530</v>
      </c>
      <c r="BX302" s="22" t="s">
        <v>19884</v>
      </c>
      <c r="BY302" s="22" t="s">
        <v>145</v>
      </c>
      <c r="BZ302" s="22" t="s">
        <v>70</v>
      </c>
      <c r="CA302" s="214" t="s">
        <v>530</v>
      </c>
      <c r="CC302" s="214" t="s">
        <v>19885</v>
      </c>
      <c r="CD302" s="218" t="s">
        <v>52</v>
      </c>
      <c r="CE302" s="214" t="s">
        <v>70</v>
      </c>
      <c r="CF302" s="214" t="s">
        <v>755</v>
      </c>
      <c r="CH302" s="214" t="s">
        <v>19886</v>
      </c>
      <c r="CI302" s="214" t="s">
        <v>492</v>
      </c>
      <c r="CJ302" s="214" t="s">
        <v>70</v>
      </c>
      <c r="CK302" s="214" t="s">
        <v>530</v>
      </c>
      <c r="CM302" s="214" t="s">
        <v>19887</v>
      </c>
      <c r="CN302" s="214" t="s">
        <v>488</v>
      </c>
      <c r="CO302" s="214" t="s">
        <v>70</v>
      </c>
      <c r="CP302" s="214" t="s">
        <v>530</v>
      </c>
      <c r="CR302" s="214" t="s">
        <v>19888</v>
      </c>
      <c r="CS302" s="214" t="s">
        <v>52</v>
      </c>
      <c r="CT302" s="214" t="s">
        <v>70</v>
      </c>
      <c r="CU302" s="214" t="s">
        <v>530</v>
      </c>
      <c r="CW302" s="214" t="s">
        <v>19889</v>
      </c>
      <c r="CX302" s="214" t="s">
        <v>34610</v>
      </c>
      <c r="CY302" s="214" t="s">
        <v>70</v>
      </c>
      <c r="CZ302" s="214" t="s">
        <v>530</v>
      </c>
      <c r="DB302" s="214" t="s">
        <v>19890</v>
      </c>
      <c r="DC302" s="214" t="s">
        <v>211</v>
      </c>
      <c r="DD302" s="214" t="s">
        <v>70</v>
      </c>
      <c r="DE302" s="214" t="s">
        <v>530</v>
      </c>
      <c r="DG302" s="214" t="s">
        <v>19891</v>
      </c>
      <c r="DH302" s="214" t="s">
        <v>529</v>
      </c>
      <c r="DI302" s="214" t="s">
        <v>70</v>
      </c>
      <c r="DJ302" s="214" t="s">
        <v>530</v>
      </c>
      <c r="DL302" s="214" t="s">
        <v>19892</v>
      </c>
      <c r="DM302" s="214" t="s">
        <v>642</v>
      </c>
      <c r="DN302" s="214" t="s">
        <v>70</v>
      </c>
      <c r="DO302" s="214" t="s">
        <v>530</v>
      </c>
      <c r="DQ302" s="214" t="s">
        <v>19893</v>
      </c>
      <c r="DR302" s="214" t="s">
        <v>103</v>
      </c>
      <c r="DS302" s="214" t="s">
        <v>70</v>
      </c>
      <c r="DT302" s="214" t="s">
        <v>530</v>
      </c>
      <c r="DV302" s="214" t="s">
        <v>19894</v>
      </c>
      <c r="DW302" s="214" t="s">
        <v>52</v>
      </c>
      <c r="DX302" s="214" t="s">
        <v>70</v>
      </c>
      <c r="DY302" s="214" t="s">
        <v>530</v>
      </c>
      <c r="EA302" s="214" t="s">
        <v>19895</v>
      </c>
      <c r="EB302" s="214" t="s">
        <v>145</v>
      </c>
      <c r="EC302" s="214" t="s">
        <v>70</v>
      </c>
      <c r="ED302" s="214" t="s">
        <v>530</v>
      </c>
      <c r="EF302" s="214" t="s">
        <v>19896</v>
      </c>
      <c r="EG302" s="214" t="s">
        <v>286</v>
      </c>
      <c r="EH302" s="214" t="s">
        <v>70</v>
      </c>
      <c r="EI302" s="214" t="s">
        <v>530</v>
      </c>
      <c r="EK302" s="214" t="s">
        <v>19897</v>
      </c>
      <c r="EL302" s="214" t="s">
        <v>34611</v>
      </c>
      <c r="EM302" s="214" t="s">
        <v>70</v>
      </c>
      <c r="EN302" s="214" t="s">
        <v>530</v>
      </c>
      <c r="EP302" s="214" t="s">
        <v>19898</v>
      </c>
      <c r="EQ302" s="214" t="s">
        <v>34569</v>
      </c>
      <c r="ER302" s="214" t="s">
        <v>70</v>
      </c>
      <c r="ES302" s="214" t="s">
        <v>530</v>
      </c>
      <c r="EU302" s="214" t="s">
        <v>19899</v>
      </c>
      <c r="EV302" s="214" t="s">
        <v>148</v>
      </c>
      <c r="EW302" s="214" t="s">
        <v>70</v>
      </c>
      <c r="EX302" s="214" t="s">
        <v>530</v>
      </c>
      <c r="EZ302" s="214" t="s">
        <v>19900</v>
      </c>
      <c r="FA302" s="214" t="s">
        <v>492</v>
      </c>
      <c r="FB302" s="214" t="s">
        <v>70</v>
      </c>
      <c r="FC302" s="214" t="s">
        <v>530</v>
      </c>
      <c r="FE302" s="214" t="s">
        <v>19901</v>
      </c>
      <c r="FF302" s="214" t="s">
        <v>500</v>
      </c>
      <c r="FG302" s="214" t="s">
        <v>70</v>
      </c>
      <c r="FH302" s="214" t="s">
        <v>530</v>
      </c>
      <c r="FJ302" s="321" t="s">
        <v>19902</v>
      </c>
      <c r="FK302" s="214" t="s">
        <v>468</v>
      </c>
      <c r="FL302" s="214" t="s">
        <v>70</v>
      </c>
      <c r="FM302" s="214" t="s">
        <v>530</v>
      </c>
      <c r="FO302" s="321" t="s">
        <v>19903</v>
      </c>
      <c r="FP302" s="214" t="s">
        <v>52</v>
      </c>
      <c r="FQ302" s="214" t="s">
        <v>70</v>
      </c>
      <c r="FR302" s="214" t="s">
        <v>530</v>
      </c>
      <c r="FT302" s="321" t="s">
        <v>19904</v>
      </c>
      <c r="FU302" s="214" t="s">
        <v>468</v>
      </c>
      <c r="FV302" s="214" t="s">
        <v>70</v>
      </c>
      <c r="FW302" s="214" t="s">
        <v>530</v>
      </c>
      <c r="FY302" s="321" t="s">
        <v>19905</v>
      </c>
      <c r="FZ302" s="214" t="s">
        <v>33910</v>
      </c>
      <c r="GA302" s="214" t="s">
        <v>70</v>
      </c>
      <c r="GB302" s="214" t="s">
        <v>530</v>
      </c>
      <c r="GD302" s="321" t="s">
        <v>19906</v>
      </c>
      <c r="GE302" s="214" t="s">
        <v>52</v>
      </c>
      <c r="GF302" s="214" t="s">
        <v>70</v>
      </c>
      <c r="GG302" s="214" t="s">
        <v>530</v>
      </c>
      <c r="GI302" s="321" t="s">
        <v>19907</v>
      </c>
      <c r="GJ302" s="214" t="s">
        <v>148</v>
      </c>
      <c r="GK302" s="214" t="s">
        <v>70</v>
      </c>
      <c r="GL302" s="214" t="s">
        <v>530</v>
      </c>
      <c r="GN302" s="321" t="s">
        <v>19908</v>
      </c>
      <c r="GO302" s="214" t="s">
        <v>642</v>
      </c>
      <c r="GP302" s="214" t="s">
        <v>70</v>
      </c>
      <c r="GQ302" s="214" t="s">
        <v>530</v>
      </c>
      <c r="GS302" s="321" t="s">
        <v>19909</v>
      </c>
      <c r="GT302" s="214" t="s">
        <v>145</v>
      </c>
      <c r="GU302" s="214" t="s">
        <v>70</v>
      </c>
      <c r="GV302" s="214" t="s">
        <v>530</v>
      </c>
      <c r="GX302" s="214" t="s">
        <v>19910</v>
      </c>
      <c r="GY302" s="214" t="s">
        <v>52</v>
      </c>
      <c r="GZ302" s="214" t="s">
        <v>70</v>
      </c>
      <c r="HA302" s="214" t="s">
        <v>530</v>
      </c>
      <c r="HC302" s="214" t="s">
        <v>19911</v>
      </c>
      <c r="HD302" s="214" t="s">
        <v>148</v>
      </c>
      <c r="HE302" s="214" t="s">
        <v>70</v>
      </c>
      <c r="HF302" s="214" t="s">
        <v>530</v>
      </c>
      <c r="HH302" s="214" t="s">
        <v>19912</v>
      </c>
      <c r="HI302" s="214" t="s">
        <v>34556</v>
      </c>
      <c r="HJ302" s="214" t="s">
        <v>70</v>
      </c>
      <c r="HK302" s="214" t="s">
        <v>530</v>
      </c>
      <c r="HM302" s="214" t="s">
        <v>19913</v>
      </c>
      <c r="HN302" s="214" t="s">
        <v>34560</v>
      </c>
      <c r="HO302" s="214" t="s">
        <v>70</v>
      </c>
      <c r="HP302" s="214" t="s">
        <v>530</v>
      </c>
      <c r="HR302" s="22" t="s">
        <v>19914</v>
      </c>
      <c r="HS302" s="22" t="s">
        <v>481</v>
      </c>
      <c r="HT302" s="22" t="s">
        <v>70</v>
      </c>
      <c r="HU302" s="214" t="s">
        <v>530</v>
      </c>
      <c r="HW302" s="22" t="s">
        <v>19915</v>
      </c>
      <c r="HX302" s="22" t="s">
        <v>905</v>
      </c>
      <c r="HY302" s="22" t="s">
        <v>70</v>
      </c>
      <c r="HZ302" s="214" t="s">
        <v>530</v>
      </c>
      <c r="IB302" s="22" t="s">
        <v>19916</v>
      </c>
      <c r="IC302" s="22" t="s">
        <v>163</v>
      </c>
      <c r="ID302" s="22" t="s">
        <v>70</v>
      </c>
      <c r="IE302" s="214" t="s">
        <v>530</v>
      </c>
      <c r="IG302" s="22" t="s">
        <v>19917</v>
      </c>
      <c r="IH302" s="22" t="s">
        <v>52</v>
      </c>
      <c r="II302" s="22" t="s">
        <v>70</v>
      </c>
      <c r="IJ302" s="214" t="s">
        <v>530</v>
      </c>
      <c r="IL302" s="22" t="s">
        <v>19918</v>
      </c>
      <c r="IM302" s="22" t="s">
        <v>145</v>
      </c>
      <c r="IN302" s="22" t="s">
        <v>70</v>
      </c>
      <c r="IO302" s="214" t="s">
        <v>530</v>
      </c>
      <c r="IQ302" s="236" t="s">
        <v>19919</v>
      </c>
      <c r="IR302" s="236" t="s">
        <v>145</v>
      </c>
      <c r="IS302" s="236" t="s">
        <v>74</v>
      </c>
      <c r="IT302" s="236" t="s">
        <v>841</v>
      </c>
      <c r="IV302" s="236" t="s">
        <v>19920</v>
      </c>
      <c r="IW302" s="236" t="s">
        <v>145</v>
      </c>
      <c r="IX302" s="236" t="s">
        <v>74</v>
      </c>
      <c r="IY302" s="236" t="s">
        <v>841</v>
      </c>
      <c r="JA302" s="236" t="s">
        <v>19921</v>
      </c>
      <c r="JB302" s="236" t="s">
        <v>145</v>
      </c>
      <c r="JC302" s="236" t="s">
        <v>74</v>
      </c>
      <c r="JD302" s="236" t="s">
        <v>841</v>
      </c>
      <c r="JF302" s="236" t="s">
        <v>19922</v>
      </c>
      <c r="JG302" s="236" t="s">
        <v>145</v>
      </c>
      <c r="JH302" s="236" t="s">
        <v>74</v>
      </c>
      <c r="JI302" s="236" t="s">
        <v>841</v>
      </c>
      <c r="JK302" s="236" t="s">
        <v>19923</v>
      </c>
      <c r="JL302" s="236" t="s">
        <v>145</v>
      </c>
      <c r="JM302" s="236" t="s">
        <v>74</v>
      </c>
      <c r="JN302" s="236" t="s">
        <v>841</v>
      </c>
      <c r="JP302" s="236" t="s">
        <v>19924</v>
      </c>
      <c r="JQ302" s="236" t="s">
        <v>145</v>
      </c>
      <c r="JR302" s="236" t="s">
        <v>74</v>
      </c>
      <c r="JS302" s="236" t="s">
        <v>841</v>
      </c>
      <c r="JU302" s="294" t="s">
        <v>19925</v>
      </c>
      <c r="JV302" s="294" t="s">
        <v>52</v>
      </c>
      <c r="JW302" s="263" t="s">
        <v>70</v>
      </c>
      <c r="JX302" s="294" t="s">
        <v>1083</v>
      </c>
      <c r="JZ302" s="263" t="s">
        <v>19926</v>
      </c>
      <c r="KA302" s="263" t="s">
        <v>145</v>
      </c>
      <c r="KB302" s="263" t="s">
        <v>70</v>
      </c>
      <c r="KC302" s="263" t="s">
        <v>1083</v>
      </c>
      <c r="KE302" s="263" t="s">
        <v>19927</v>
      </c>
      <c r="KF302" s="263" t="s">
        <v>52</v>
      </c>
      <c r="KG302" s="263" t="s">
        <v>70</v>
      </c>
      <c r="KH302" s="263" t="s">
        <v>1083</v>
      </c>
      <c r="KJ302" s="263" t="s">
        <v>19928</v>
      </c>
      <c r="KK302" s="263" t="s">
        <v>52</v>
      </c>
      <c r="KL302" s="263" t="s">
        <v>74</v>
      </c>
      <c r="KM302" s="263" t="s">
        <v>34074</v>
      </c>
      <c r="KO302" s="214" t="s">
        <v>19929</v>
      </c>
      <c r="KP302" s="214" t="s">
        <v>145</v>
      </c>
      <c r="KQ302" s="214" t="s">
        <v>70</v>
      </c>
      <c r="KR302" s="214" t="s">
        <v>67</v>
      </c>
      <c r="KT302" s="22" t="s">
        <v>19930</v>
      </c>
      <c r="KU302" s="22" t="s">
        <v>145</v>
      </c>
      <c r="KV302" s="22" t="s">
        <v>70</v>
      </c>
      <c r="KW302" s="22" t="s">
        <v>67</v>
      </c>
      <c r="KY302" s="214" t="s">
        <v>19931</v>
      </c>
      <c r="KZ302" s="214" t="s">
        <v>52</v>
      </c>
      <c r="LA302" s="214" t="s">
        <v>74</v>
      </c>
      <c r="LB302" s="214" t="s">
        <v>67</v>
      </c>
      <c r="LD302" s="22" t="s">
        <v>19932</v>
      </c>
      <c r="LE302" s="22" t="s">
        <v>145</v>
      </c>
      <c r="LF302" s="22" t="s">
        <v>70</v>
      </c>
      <c r="LG302" s="22" t="s">
        <v>67</v>
      </c>
    </row>
    <row r="303" spans="1:319">
      <c r="A303" s="22" t="s">
        <v>19933</v>
      </c>
      <c r="B303" s="22" t="s">
        <v>145</v>
      </c>
      <c r="C303" s="22" t="s">
        <v>70</v>
      </c>
      <c r="D303" s="22" t="s">
        <v>67</v>
      </c>
      <c r="F303" s="99" t="s">
        <v>19934</v>
      </c>
      <c r="G303" s="22" t="s">
        <v>145</v>
      </c>
      <c r="H303" s="22" t="s">
        <v>70</v>
      </c>
      <c r="I303" s="22" t="s">
        <v>67</v>
      </c>
      <c r="K303" s="22" t="s">
        <v>19935</v>
      </c>
      <c r="L303" s="22" t="s">
        <v>145</v>
      </c>
      <c r="M303" s="22" t="s">
        <v>70</v>
      </c>
      <c r="N303" s="22" t="s">
        <v>67</v>
      </c>
      <c r="P303" s="22" t="s">
        <v>19936</v>
      </c>
      <c r="Q303" s="22" t="s">
        <v>145</v>
      </c>
      <c r="R303" s="22" t="s">
        <v>70</v>
      </c>
      <c r="S303" s="22" t="s">
        <v>67</v>
      </c>
      <c r="U303" s="293" t="s">
        <v>19937</v>
      </c>
      <c r="V303" s="293" t="s">
        <v>145</v>
      </c>
      <c r="W303" s="293" t="s">
        <v>74</v>
      </c>
      <c r="X303" s="293" t="s">
        <v>656</v>
      </c>
      <c r="Z303" s="293" t="s">
        <v>19938</v>
      </c>
      <c r="AA303" s="293" t="s">
        <v>145</v>
      </c>
      <c r="AB303" s="293" t="s">
        <v>74</v>
      </c>
      <c r="AC303" s="293" t="s">
        <v>656</v>
      </c>
      <c r="AE303" s="293" t="s">
        <v>19939</v>
      </c>
      <c r="AF303" s="293" t="s">
        <v>145</v>
      </c>
      <c r="AG303" s="293" t="s">
        <v>74</v>
      </c>
      <c r="AH303" s="293" t="s">
        <v>656</v>
      </c>
      <c r="AJ303" s="293" t="s">
        <v>19940</v>
      </c>
      <c r="AK303" s="293" t="s">
        <v>145</v>
      </c>
      <c r="AL303" s="293" t="s">
        <v>74</v>
      </c>
      <c r="AM303" s="293" t="s">
        <v>656</v>
      </c>
      <c r="AO303" s="22" t="s">
        <v>19941</v>
      </c>
      <c r="AP303" s="22" t="s">
        <v>145</v>
      </c>
      <c r="AQ303" s="22" t="s">
        <v>70</v>
      </c>
      <c r="AR303" s="22" t="s">
        <v>67</v>
      </c>
      <c r="AT303" s="22" t="s">
        <v>19942</v>
      </c>
      <c r="AU303" s="22" t="s">
        <v>145</v>
      </c>
      <c r="AV303" s="22" t="s">
        <v>70</v>
      </c>
      <c r="AW303" s="22" t="s">
        <v>67</v>
      </c>
      <c r="AY303" s="22" t="s">
        <v>19943</v>
      </c>
      <c r="AZ303" s="22" t="s">
        <v>145</v>
      </c>
      <c r="BA303" s="22" t="s">
        <v>70</v>
      </c>
      <c r="BB303" s="22" t="s">
        <v>67</v>
      </c>
      <c r="BD303" s="22" t="s">
        <v>19944</v>
      </c>
      <c r="BE303" s="22" t="s">
        <v>145</v>
      </c>
      <c r="BF303" s="22" t="s">
        <v>70</v>
      </c>
      <c r="BG303" s="22" t="s">
        <v>67</v>
      </c>
      <c r="BI303" s="22" t="s">
        <v>19945</v>
      </c>
      <c r="BJ303" s="22" t="s">
        <v>145</v>
      </c>
      <c r="BK303" s="22" t="s">
        <v>70</v>
      </c>
      <c r="BL303" s="22" t="s">
        <v>67</v>
      </c>
      <c r="BN303" s="22" t="s">
        <v>19946</v>
      </c>
      <c r="BO303" s="22" t="s">
        <v>145</v>
      </c>
      <c r="BP303" s="22" t="s">
        <v>70</v>
      </c>
      <c r="BQ303" s="22" t="s">
        <v>67</v>
      </c>
      <c r="BS303" s="22" t="s">
        <v>19947</v>
      </c>
      <c r="BT303" s="22" t="s">
        <v>145</v>
      </c>
      <c r="BU303" s="22" t="s">
        <v>70</v>
      </c>
      <c r="BV303" s="214" t="s">
        <v>530</v>
      </c>
      <c r="BX303" s="22" t="s">
        <v>19948</v>
      </c>
      <c r="BY303" s="22" t="s">
        <v>145</v>
      </c>
      <c r="BZ303" s="22" t="s">
        <v>70</v>
      </c>
      <c r="CA303" s="214" t="s">
        <v>530</v>
      </c>
      <c r="CC303" s="214" t="s">
        <v>19949</v>
      </c>
      <c r="CD303" s="218" t="s">
        <v>601</v>
      </c>
      <c r="CE303" s="214" t="s">
        <v>70</v>
      </c>
      <c r="CF303" s="214" t="s">
        <v>756</v>
      </c>
      <c r="CH303" s="214" t="s">
        <v>19950</v>
      </c>
      <c r="CI303" s="214" t="s">
        <v>85</v>
      </c>
      <c r="CJ303" s="214" t="s">
        <v>70</v>
      </c>
      <c r="CK303" s="214" t="s">
        <v>530</v>
      </c>
      <c r="CM303" s="214" t="s">
        <v>19951</v>
      </c>
      <c r="CN303" s="214" t="s">
        <v>488</v>
      </c>
      <c r="CO303" s="214" t="s">
        <v>70</v>
      </c>
      <c r="CP303" s="214" t="s">
        <v>530</v>
      </c>
      <c r="CR303" s="214" t="s">
        <v>19952</v>
      </c>
      <c r="CS303" s="214" t="s">
        <v>485</v>
      </c>
      <c r="CT303" s="214" t="s">
        <v>70</v>
      </c>
      <c r="CU303" s="214" t="s">
        <v>530</v>
      </c>
      <c r="CW303" s="214" t="s">
        <v>19953</v>
      </c>
      <c r="CX303" s="214" t="s">
        <v>34557</v>
      </c>
      <c r="CY303" s="214" t="s">
        <v>70</v>
      </c>
      <c r="CZ303" s="214" t="s">
        <v>530</v>
      </c>
      <c r="DB303" s="214" t="s">
        <v>19954</v>
      </c>
      <c r="DC303" s="214" t="s">
        <v>491</v>
      </c>
      <c r="DD303" s="214" t="s">
        <v>70</v>
      </c>
      <c r="DE303" s="214" t="s">
        <v>530</v>
      </c>
      <c r="DG303" s="214" t="s">
        <v>19955</v>
      </c>
      <c r="DH303" s="214" t="s">
        <v>163</v>
      </c>
      <c r="DI303" s="214" t="s">
        <v>70</v>
      </c>
      <c r="DJ303" s="214" t="s">
        <v>530</v>
      </c>
      <c r="DL303" s="214" t="s">
        <v>19956</v>
      </c>
      <c r="DM303" s="214" t="s">
        <v>148</v>
      </c>
      <c r="DN303" s="214" t="s">
        <v>70</v>
      </c>
      <c r="DO303" s="214" t="s">
        <v>530</v>
      </c>
      <c r="DQ303" s="214" t="s">
        <v>19957</v>
      </c>
      <c r="DR303" s="214" t="s">
        <v>486</v>
      </c>
      <c r="DS303" s="214" t="s">
        <v>70</v>
      </c>
      <c r="DT303" s="214" t="s">
        <v>530</v>
      </c>
      <c r="DV303" s="214" t="s">
        <v>19958</v>
      </c>
      <c r="DW303" s="214" t="s">
        <v>601</v>
      </c>
      <c r="DX303" s="214" t="s">
        <v>70</v>
      </c>
      <c r="DY303" s="214" t="s">
        <v>530</v>
      </c>
      <c r="EA303" s="214" t="s">
        <v>19959</v>
      </c>
      <c r="EB303" s="214" t="s">
        <v>34541</v>
      </c>
      <c r="EC303" s="214" t="s">
        <v>70</v>
      </c>
      <c r="ED303" s="214" t="s">
        <v>530</v>
      </c>
      <c r="EF303" s="214" t="s">
        <v>19960</v>
      </c>
      <c r="EG303" s="214" t="s">
        <v>488</v>
      </c>
      <c r="EH303" s="214" t="s">
        <v>70</v>
      </c>
      <c r="EI303" s="214" t="s">
        <v>530</v>
      </c>
      <c r="EK303" s="214" t="s">
        <v>19961</v>
      </c>
      <c r="EL303" s="214" t="s">
        <v>926</v>
      </c>
      <c r="EM303" s="214" t="s">
        <v>70</v>
      </c>
      <c r="EN303" s="214" t="s">
        <v>530</v>
      </c>
      <c r="EP303" s="214" t="s">
        <v>19962</v>
      </c>
      <c r="EQ303" s="214" t="s">
        <v>34545</v>
      </c>
      <c r="ER303" s="214" t="s">
        <v>70</v>
      </c>
      <c r="ES303" s="214" t="s">
        <v>530</v>
      </c>
      <c r="EU303" s="214" t="s">
        <v>19963</v>
      </c>
      <c r="EV303" s="214" t="s">
        <v>52</v>
      </c>
      <c r="EW303" s="214" t="s">
        <v>70</v>
      </c>
      <c r="EX303" s="214" t="s">
        <v>530</v>
      </c>
      <c r="EZ303" s="214" t="s">
        <v>19964</v>
      </c>
      <c r="FA303" s="214" t="s">
        <v>655</v>
      </c>
      <c r="FB303" s="214" t="s">
        <v>70</v>
      </c>
      <c r="FC303" s="214" t="s">
        <v>530</v>
      </c>
      <c r="FE303" s="214" t="s">
        <v>19965</v>
      </c>
      <c r="FF303" s="214" t="s">
        <v>34405</v>
      </c>
      <c r="FG303" s="214" t="s">
        <v>70</v>
      </c>
      <c r="FH303" s="214" t="s">
        <v>530</v>
      </c>
      <c r="FJ303" s="321" t="s">
        <v>19966</v>
      </c>
      <c r="FK303" s="214" t="s">
        <v>52</v>
      </c>
      <c r="FL303" s="214" t="s">
        <v>70</v>
      </c>
      <c r="FM303" s="214" t="s">
        <v>530</v>
      </c>
      <c r="FO303" s="321" t="s">
        <v>19967</v>
      </c>
      <c r="FP303" s="214" t="s">
        <v>203</v>
      </c>
      <c r="FQ303" s="214" t="s">
        <v>70</v>
      </c>
      <c r="FR303" s="214" t="s">
        <v>530</v>
      </c>
      <c r="FT303" s="321" t="s">
        <v>19968</v>
      </c>
      <c r="FU303" s="214" t="s">
        <v>52</v>
      </c>
      <c r="FV303" s="214" t="s">
        <v>70</v>
      </c>
      <c r="FW303" s="214" t="s">
        <v>530</v>
      </c>
      <c r="FY303" s="321" t="s">
        <v>19969</v>
      </c>
      <c r="FZ303" s="214" t="s">
        <v>34539</v>
      </c>
      <c r="GA303" s="214" t="s">
        <v>70</v>
      </c>
      <c r="GB303" s="214" t="s">
        <v>530</v>
      </c>
      <c r="GD303" s="321" t="s">
        <v>19970</v>
      </c>
      <c r="GE303" s="214" t="s">
        <v>955</v>
      </c>
      <c r="GF303" s="214" t="s">
        <v>70</v>
      </c>
      <c r="GG303" s="214" t="s">
        <v>530</v>
      </c>
      <c r="GI303" s="321" t="s">
        <v>19971</v>
      </c>
      <c r="GJ303" s="214" t="s">
        <v>34542</v>
      </c>
      <c r="GK303" s="214" t="s">
        <v>70</v>
      </c>
      <c r="GL303" s="214" t="s">
        <v>530</v>
      </c>
      <c r="GN303" s="321" t="s">
        <v>19972</v>
      </c>
      <c r="GO303" s="214" t="s">
        <v>146</v>
      </c>
      <c r="GP303" s="214" t="s">
        <v>70</v>
      </c>
      <c r="GQ303" s="214" t="s">
        <v>530</v>
      </c>
      <c r="GS303" s="321" t="s">
        <v>19973</v>
      </c>
      <c r="GT303" s="214" t="s">
        <v>34541</v>
      </c>
      <c r="GU303" s="214" t="s">
        <v>70</v>
      </c>
      <c r="GV303" s="214" t="s">
        <v>530</v>
      </c>
      <c r="GX303" s="214" t="s">
        <v>19974</v>
      </c>
      <c r="GY303" s="214" t="s">
        <v>34569</v>
      </c>
      <c r="GZ303" s="214" t="s">
        <v>70</v>
      </c>
      <c r="HA303" s="214" t="s">
        <v>530</v>
      </c>
      <c r="HC303" s="214" t="s">
        <v>19975</v>
      </c>
      <c r="HD303" s="214" t="s">
        <v>146</v>
      </c>
      <c r="HE303" s="214" t="s">
        <v>70</v>
      </c>
      <c r="HF303" s="214" t="s">
        <v>530</v>
      </c>
      <c r="HH303" s="214" t="s">
        <v>19976</v>
      </c>
      <c r="HI303" s="214" t="s">
        <v>145</v>
      </c>
      <c r="HJ303" s="214" t="s">
        <v>70</v>
      </c>
      <c r="HK303" s="214" t="s">
        <v>530</v>
      </c>
      <c r="HM303" s="214" t="s">
        <v>19977</v>
      </c>
      <c r="HN303" s="214" t="s">
        <v>34567</v>
      </c>
      <c r="HO303" s="214" t="s">
        <v>70</v>
      </c>
      <c r="HP303" s="214" t="s">
        <v>530</v>
      </c>
      <c r="HR303" s="22" t="s">
        <v>19978</v>
      </c>
      <c r="HS303" s="22" t="s">
        <v>496</v>
      </c>
      <c r="HT303" s="22" t="s">
        <v>70</v>
      </c>
      <c r="HU303" s="214" t="s">
        <v>530</v>
      </c>
      <c r="HW303" s="22" t="s">
        <v>19979</v>
      </c>
      <c r="HX303" s="22" t="s">
        <v>501</v>
      </c>
      <c r="HY303" s="22" t="s">
        <v>70</v>
      </c>
      <c r="HZ303" s="214" t="s">
        <v>530</v>
      </c>
      <c r="IB303" s="22" t="s">
        <v>19980</v>
      </c>
      <c r="IC303" s="22" t="s">
        <v>502</v>
      </c>
      <c r="ID303" s="22" t="s">
        <v>70</v>
      </c>
      <c r="IE303" s="214" t="s">
        <v>530</v>
      </c>
      <c r="IG303" s="22" t="s">
        <v>19981</v>
      </c>
      <c r="IH303" s="22" t="s">
        <v>52</v>
      </c>
      <c r="II303" s="22" t="s">
        <v>70</v>
      </c>
      <c r="IJ303" s="214" t="s">
        <v>530</v>
      </c>
      <c r="IL303" s="22" t="s">
        <v>19982</v>
      </c>
      <c r="IM303" s="22" t="s">
        <v>145</v>
      </c>
      <c r="IN303" s="22" t="s">
        <v>70</v>
      </c>
      <c r="IO303" s="214" t="s">
        <v>530</v>
      </c>
      <c r="IQ303" s="236" t="s">
        <v>19983</v>
      </c>
      <c r="IR303" s="236" t="s">
        <v>145</v>
      </c>
      <c r="IS303" s="236" t="s">
        <v>74</v>
      </c>
      <c r="IT303" s="236" t="s">
        <v>841</v>
      </c>
      <c r="IV303" s="236" t="s">
        <v>19984</v>
      </c>
      <c r="IW303" s="236" t="s">
        <v>145</v>
      </c>
      <c r="IX303" s="236" t="s">
        <v>74</v>
      </c>
      <c r="IY303" s="236" t="s">
        <v>841</v>
      </c>
      <c r="JA303" s="236" t="s">
        <v>19985</v>
      </c>
      <c r="JB303" s="236" t="s">
        <v>145</v>
      </c>
      <c r="JC303" s="236" t="s">
        <v>74</v>
      </c>
      <c r="JD303" s="236" t="s">
        <v>841</v>
      </c>
      <c r="JF303" s="236" t="s">
        <v>19986</v>
      </c>
      <c r="JG303" s="236" t="s">
        <v>145</v>
      </c>
      <c r="JH303" s="236" t="s">
        <v>74</v>
      </c>
      <c r="JI303" s="236" t="s">
        <v>841</v>
      </c>
      <c r="JK303" s="236" t="s">
        <v>19987</v>
      </c>
      <c r="JL303" s="236" t="s">
        <v>145</v>
      </c>
      <c r="JM303" s="236" t="s">
        <v>74</v>
      </c>
      <c r="JN303" s="236" t="s">
        <v>841</v>
      </c>
      <c r="JP303" s="236" t="s">
        <v>19988</v>
      </c>
      <c r="JQ303" s="236" t="s">
        <v>145</v>
      </c>
      <c r="JR303" s="236" t="s">
        <v>74</v>
      </c>
      <c r="JS303" s="236" t="s">
        <v>841</v>
      </c>
      <c r="JU303" s="294" t="s">
        <v>19989</v>
      </c>
      <c r="JV303" s="294" t="s">
        <v>52</v>
      </c>
      <c r="JW303" s="263" t="s">
        <v>70</v>
      </c>
      <c r="JX303" s="294" t="s">
        <v>1083</v>
      </c>
      <c r="JZ303" s="263" t="s">
        <v>19990</v>
      </c>
      <c r="KA303" s="263" t="s">
        <v>145</v>
      </c>
      <c r="KB303" s="263" t="s">
        <v>70</v>
      </c>
      <c r="KC303" s="263" t="s">
        <v>1083</v>
      </c>
      <c r="KE303" s="263" t="s">
        <v>19991</v>
      </c>
      <c r="KF303" s="263" t="s">
        <v>52</v>
      </c>
      <c r="KG303" s="263" t="s">
        <v>70</v>
      </c>
      <c r="KH303" s="263" t="s">
        <v>1083</v>
      </c>
      <c r="KJ303" s="263" t="s">
        <v>19992</v>
      </c>
      <c r="KK303" s="263" t="s">
        <v>52</v>
      </c>
      <c r="KL303" s="263" t="s">
        <v>74</v>
      </c>
      <c r="KM303" s="263" t="s">
        <v>34074</v>
      </c>
      <c r="KO303" s="214" t="s">
        <v>19993</v>
      </c>
      <c r="KP303" s="214" t="s">
        <v>145</v>
      </c>
      <c r="KQ303" s="214" t="s">
        <v>70</v>
      </c>
      <c r="KR303" s="214" t="s">
        <v>67</v>
      </c>
      <c r="KT303" s="22" t="s">
        <v>19994</v>
      </c>
      <c r="KU303" s="22" t="s">
        <v>145</v>
      </c>
      <c r="KV303" s="22" t="s">
        <v>70</v>
      </c>
      <c r="KW303" s="22" t="s">
        <v>67</v>
      </c>
      <c r="KY303" s="214" t="s">
        <v>19995</v>
      </c>
      <c r="KZ303" s="214" t="s">
        <v>52</v>
      </c>
      <c r="LA303" s="214" t="s">
        <v>74</v>
      </c>
      <c r="LB303" s="214" t="s">
        <v>67</v>
      </c>
      <c r="LD303" s="22" t="s">
        <v>19996</v>
      </c>
      <c r="LE303" s="22" t="s">
        <v>145</v>
      </c>
      <c r="LF303" s="22" t="s">
        <v>70</v>
      </c>
      <c r="LG303" s="22" t="s">
        <v>67</v>
      </c>
    </row>
    <row r="304" spans="1:319">
      <c r="A304" s="22" t="s">
        <v>19997</v>
      </c>
      <c r="B304" s="22" t="s">
        <v>145</v>
      </c>
      <c r="C304" s="22" t="s">
        <v>70</v>
      </c>
      <c r="D304" s="22" t="s">
        <v>67</v>
      </c>
      <c r="F304" s="99" t="s">
        <v>19998</v>
      </c>
      <c r="G304" s="22" t="s">
        <v>145</v>
      </c>
      <c r="H304" s="22" t="s">
        <v>70</v>
      </c>
      <c r="I304" s="22" t="s">
        <v>67</v>
      </c>
      <c r="K304" s="22" t="s">
        <v>19999</v>
      </c>
      <c r="L304" s="22" t="s">
        <v>145</v>
      </c>
      <c r="M304" s="22" t="s">
        <v>70</v>
      </c>
      <c r="N304" s="22" t="s">
        <v>67</v>
      </c>
      <c r="P304" s="22" t="s">
        <v>20000</v>
      </c>
      <c r="Q304" s="22" t="s">
        <v>145</v>
      </c>
      <c r="R304" s="22" t="s">
        <v>70</v>
      </c>
      <c r="S304" s="22" t="s">
        <v>67</v>
      </c>
      <c r="U304" s="293" t="s">
        <v>20001</v>
      </c>
      <c r="V304" s="293" t="s">
        <v>145</v>
      </c>
      <c r="W304" s="293" t="s">
        <v>74</v>
      </c>
      <c r="X304" s="293" t="s">
        <v>656</v>
      </c>
      <c r="Z304" s="293" t="s">
        <v>20002</v>
      </c>
      <c r="AA304" s="293" t="s">
        <v>145</v>
      </c>
      <c r="AB304" s="293" t="s">
        <v>74</v>
      </c>
      <c r="AC304" s="293" t="s">
        <v>656</v>
      </c>
      <c r="AE304" s="293" t="s">
        <v>20003</v>
      </c>
      <c r="AF304" s="293" t="s">
        <v>145</v>
      </c>
      <c r="AG304" s="293" t="s">
        <v>74</v>
      </c>
      <c r="AH304" s="293" t="s">
        <v>656</v>
      </c>
      <c r="AJ304" s="293" t="s">
        <v>20004</v>
      </c>
      <c r="AK304" s="293" t="s">
        <v>145</v>
      </c>
      <c r="AL304" s="293" t="s">
        <v>74</v>
      </c>
      <c r="AM304" s="293" t="s">
        <v>656</v>
      </c>
      <c r="AO304" s="22" t="s">
        <v>20005</v>
      </c>
      <c r="AP304" s="22" t="s">
        <v>145</v>
      </c>
      <c r="AQ304" s="22" t="s">
        <v>70</v>
      </c>
      <c r="AR304" s="22" t="s">
        <v>67</v>
      </c>
      <c r="AT304" s="22" t="s">
        <v>20006</v>
      </c>
      <c r="AU304" s="22" t="s">
        <v>145</v>
      </c>
      <c r="AV304" s="22" t="s">
        <v>70</v>
      </c>
      <c r="AW304" s="22" t="s">
        <v>67</v>
      </c>
      <c r="AY304" s="22" t="s">
        <v>20007</v>
      </c>
      <c r="AZ304" s="22" t="s">
        <v>145</v>
      </c>
      <c r="BA304" s="22" t="s">
        <v>70</v>
      </c>
      <c r="BB304" s="22" t="s">
        <v>67</v>
      </c>
      <c r="BD304" s="22" t="s">
        <v>20008</v>
      </c>
      <c r="BE304" s="22" t="s">
        <v>145</v>
      </c>
      <c r="BF304" s="22" t="s">
        <v>70</v>
      </c>
      <c r="BG304" s="22" t="s">
        <v>67</v>
      </c>
      <c r="BI304" s="22" t="s">
        <v>20009</v>
      </c>
      <c r="BJ304" s="22" t="s">
        <v>145</v>
      </c>
      <c r="BK304" s="22" t="s">
        <v>70</v>
      </c>
      <c r="BL304" s="22" t="s">
        <v>67</v>
      </c>
      <c r="BN304" s="22" t="s">
        <v>20010</v>
      </c>
      <c r="BO304" s="22" t="s">
        <v>145</v>
      </c>
      <c r="BP304" s="22" t="s">
        <v>70</v>
      </c>
      <c r="BQ304" s="22" t="s">
        <v>67</v>
      </c>
      <c r="BS304" s="22" t="s">
        <v>20011</v>
      </c>
      <c r="BT304" s="22" t="s">
        <v>145</v>
      </c>
      <c r="BU304" s="22" t="s">
        <v>70</v>
      </c>
      <c r="BV304" s="214" t="s">
        <v>530</v>
      </c>
      <c r="BX304" s="22" t="s">
        <v>20012</v>
      </c>
      <c r="BY304" s="22" t="s">
        <v>145</v>
      </c>
      <c r="BZ304" s="22" t="s">
        <v>70</v>
      </c>
      <c r="CA304" s="214" t="s">
        <v>530</v>
      </c>
      <c r="CC304" s="214" t="s">
        <v>20013</v>
      </c>
      <c r="CD304" s="218" t="s">
        <v>34608</v>
      </c>
      <c r="CE304" s="214" t="s">
        <v>70</v>
      </c>
      <c r="CF304" s="214" t="s">
        <v>757</v>
      </c>
      <c r="CH304" s="214" t="s">
        <v>20014</v>
      </c>
      <c r="CI304" s="214" t="s">
        <v>163</v>
      </c>
      <c r="CJ304" s="214" t="s">
        <v>70</v>
      </c>
      <c r="CK304" s="214" t="s">
        <v>530</v>
      </c>
      <c r="CM304" s="214" t="s">
        <v>20015</v>
      </c>
      <c r="CN304" s="214" t="s">
        <v>468</v>
      </c>
      <c r="CO304" s="214" t="s">
        <v>70</v>
      </c>
      <c r="CP304" s="214" t="s">
        <v>530</v>
      </c>
      <c r="CR304" s="214" t="s">
        <v>20016</v>
      </c>
      <c r="CS304" s="214" t="s">
        <v>52</v>
      </c>
      <c r="CT304" s="214" t="s">
        <v>70</v>
      </c>
      <c r="CU304" s="214" t="s">
        <v>530</v>
      </c>
      <c r="CW304" s="214" t="s">
        <v>20017</v>
      </c>
      <c r="CX304" s="214" t="s">
        <v>935</v>
      </c>
      <c r="CY304" s="214" t="s">
        <v>70</v>
      </c>
      <c r="CZ304" s="214" t="s">
        <v>530</v>
      </c>
      <c r="DB304" s="214" t="s">
        <v>20018</v>
      </c>
      <c r="DC304" s="214" t="s">
        <v>488</v>
      </c>
      <c r="DD304" s="214" t="s">
        <v>70</v>
      </c>
      <c r="DE304" s="214" t="s">
        <v>530</v>
      </c>
      <c r="DG304" s="214" t="s">
        <v>20019</v>
      </c>
      <c r="DH304" s="214" t="s">
        <v>910</v>
      </c>
      <c r="DI304" s="214" t="s">
        <v>70</v>
      </c>
      <c r="DJ304" s="214" t="s">
        <v>530</v>
      </c>
      <c r="DL304" s="214" t="s">
        <v>20020</v>
      </c>
      <c r="DM304" s="214" t="s">
        <v>93</v>
      </c>
      <c r="DN304" s="214" t="s">
        <v>70</v>
      </c>
      <c r="DO304" s="214" t="s">
        <v>530</v>
      </c>
      <c r="DQ304" s="214" t="s">
        <v>20021</v>
      </c>
      <c r="DR304" s="214" t="s">
        <v>34565</v>
      </c>
      <c r="DS304" s="214" t="s">
        <v>70</v>
      </c>
      <c r="DT304" s="214" t="s">
        <v>530</v>
      </c>
      <c r="DV304" s="214" t="s">
        <v>20022</v>
      </c>
      <c r="DW304" s="214" t="s">
        <v>34581</v>
      </c>
      <c r="DX304" s="214" t="s">
        <v>70</v>
      </c>
      <c r="DY304" s="214" t="s">
        <v>530</v>
      </c>
      <c r="EA304" s="214" t="s">
        <v>20023</v>
      </c>
      <c r="EB304" s="214" t="s">
        <v>34539</v>
      </c>
      <c r="EC304" s="214" t="s">
        <v>70</v>
      </c>
      <c r="ED304" s="214" t="s">
        <v>530</v>
      </c>
      <c r="EF304" s="214" t="s">
        <v>20024</v>
      </c>
      <c r="EG304" s="214" t="s">
        <v>52</v>
      </c>
      <c r="EH304" s="214" t="s">
        <v>70</v>
      </c>
      <c r="EI304" s="214" t="s">
        <v>530</v>
      </c>
      <c r="EK304" s="214" t="s">
        <v>20025</v>
      </c>
      <c r="EL304" s="214" t="s">
        <v>531</v>
      </c>
      <c r="EM304" s="214" t="s">
        <v>70</v>
      </c>
      <c r="EN304" s="214" t="s">
        <v>530</v>
      </c>
      <c r="EP304" s="214" t="s">
        <v>20026</v>
      </c>
      <c r="EQ304" s="214" t="s">
        <v>87</v>
      </c>
      <c r="ER304" s="214" t="s">
        <v>70</v>
      </c>
      <c r="ES304" s="214" t="s">
        <v>530</v>
      </c>
      <c r="EU304" s="214" t="s">
        <v>20027</v>
      </c>
      <c r="EV304" s="214" t="s">
        <v>52</v>
      </c>
      <c r="EW304" s="214" t="s">
        <v>70</v>
      </c>
      <c r="EX304" s="214" t="s">
        <v>530</v>
      </c>
      <c r="EZ304" s="214" t="s">
        <v>20028</v>
      </c>
      <c r="FA304" s="214" t="s">
        <v>921</v>
      </c>
      <c r="FB304" s="214" t="s">
        <v>70</v>
      </c>
      <c r="FC304" s="214" t="s">
        <v>530</v>
      </c>
      <c r="FE304" s="214" t="s">
        <v>20029</v>
      </c>
      <c r="FF304" s="214" t="s">
        <v>145</v>
      </c>
      <c r="FG304" s="214" t="s">
        <v>70</v>
      </c>
      <c r="FH304" s="214" t="s">
        <v>530</v>
      </c>
      <c r="FJ304" s="321" t="s">
        <v>20030</v>
      </c>
      <c r="FK304" s="214" t="s">
        <v>942</v>
      </c>
      <c r="FL304" s="214" t="s">
        <v>70</v>
      </c>
      <c r="FM304" s="214" t="s">
        <v>530</v>
      </c>
      <c r="FO304" s="321" t="s">
        <v>20031</v>
      </c>
      <c r="FP304" s="214" t="s">
        <v>649</v>
      </c>
      <c r="FQ304" s="214" t="s">
        <v>70</v>
      </c>
      <c r="FR304" s="214" t="s">
        <v>530</v>
      </c>
      <c r="FT304" s="321" t="s">
        <v>20032</v>
      </c>
      <c r="FU304" s="214" t="s">
        <v>34556</v>
      </c>
      <c r="FV304" s="214" t="s">
        <v>70</v>
      </c>
      <c r="FW304" s="214" t="s">
        <v>530</v>
      </c>
      <c r="FY304" s="321" t="s">
        <v>20033</v>
      </c>
      <c r="FZ304" s="214" t="s">
        <v>34585</v>
      </c>
      <c r="GA304" s="214" t="s">
        <v>70</v>
      </c>
      <c r="GB304" s="214" t="s">
        <v>530</v>
      </c>
      <c r="GD304" s="321" t="s">
        <v>20034</v>
      </c>
      <c r="GE304" s="214" t="s">
        <v>145</v>
      </c>
      <c r="GF304" s="214" t="s">
        <v>70</v>
      </c>
      <c r="GG304" s="214" t="s">
        <v>530</v>
      </c>
      <c r="GI304" s="321" t="s">
        <v>20035</v>
      </c>
      <c r="GJ304" s="214" t="s">
        <v>52</v>
      </c>
      <c r="GK304" s="214" t="s">
        <v>70</v>
      </c>
      <c r="GL304" s="214" t="s">
        <v>530</v>
      </c>
      <c r="GN304" s="321" t="s">
        <v>20036</v>
      </c>
      <c r="GO304" s="214" t="s">
        <v>145</v>
      </c>
      <c r="GP304" s="214" t="s">
        <v>70</v>
      </c>
      <c r="GQ304" s="214" t="s">
        <v>530</v>
      </c>
      <c r="GS304" s="321" t="s">
        <v>20037</v>
      </c>
      <c r="GT304" s="214" t="s">
        <v>34588</v>
      </c>
      <c r="GU304" s="214" t="s">
        <v>70</v>
      </c>
      <c r="GV304" s="214" t="s">
        <v>530</v>
      </c>
      <c r="GX304" s="214" t="s">
        <v>20038</v>
      </c>
      <c r="GY304" s="214" t="s">
        <v>34613</v>
      </c>
      <c r="GZ304" s="214" t="s">
        <v>70</v>
      </c>
      <c r="HA304" s="214" t="s">
        <v>530</v>
      </c>
      <c r="HC304" s="214" t="s">
        <v>20039</v>
      </c>
      <c r="HD304" s="214" t="s">
        <v>85</v>
      </c>
      <c r="HE304" s="214" t="s">
        <v>70</v>
      </c>
      <c r="HF304" s="214" t="s">
        <v>530</v>
      </c>
      <c r="HH304" s="214" t="s">
        <v>20040</v>
      </c>
      <c r="HI304" s="214" t="s">
        <v>85</v>
      </c>
      <c r="HJ304" s="214" t="s">
        <v>70</v>
      </c>
      <c r="HK304" s="214" t="s">
        <v>530</v>
      </c>
      <c r="HM304" s="214" t="s">
        <v>20041</v>
      </c>
      <c r="HN304" s="214" t="s">
        <v>164</v>
      </c>
      <c r="HO304" s="214" t="s">
        <v>70</v>
      </c>
      <c r="HP304" s="214" t="s">
        <v>530</v>
      </c>
      <c r="HR304" s="22" t="s">
        <v>20042</v>
      </c>
      <c r="HS304" s="22" t="s">
        <v>915</v>
      </c>
      <c r="HT304" s="22" t="s">
        <v>70</v>
      </c>
      <c r="HU304" s="214" t="s">
        <v>530</v>
      </c>
      <c r="HW304" s="22" t="s">
        <v>20043</v>
      </c>
      <c r="HX304" s="22" t="s">
        <v>918</v>
      </c>
      <c r="HY304" s="22" t="s">
        <v>70</v>
      </c>
      <c r="HZ304" s="214" t="s">
        <v>530</v>
      </c>
      <c r="IB304" s="22" t="s">
        <v>20044</v>
      </c>
      <c r="IC304" s="22" t="s">
        <v>148</v>
      </c>
      <c r="ID304" s="22" t="s">
        <v>70</v>
      </c>
      <c r="IE304" s="214" t="s">
        <v>530</v>
      </c>
      <c r="IG304" s="22" t="s">
        <v>20045</v>
      </c>
      <c r="IH304" s="22" t="s">
        <v>52</v>
      </c>
      <c r="II304" s="22" t="s">
        <v>70</v>
      </c>
      <c r="IJ304" s="214" t="s">
        <v>530</v>
      </c>
      <c r="IL304" s="22" t="s">
        <v>20046</v>
      </c>
      <c r="IM304" s="22" t="s">
        <v>145</v>
      </c>
      <c r="IN304" s="22" t="s">
        <v>70</v>
      </c>
      <c r="IO304" s="214" t="s">
        <v>530</v>
      </c>
      <c r="IQ304" s="236" t="s">
        <v>20047</v>
      </c>
      <c r="IR304" s="236" t="s">
        <v>145</v>
      </c>
      <c r="IS304" s="236" t="s">
        <v>74</v>
      </c>
      <c r="IT304" s="236" t="s">
        <v>841</v>
      </c>
      <c r="IV304" s="236" t="s">
        <v>20048</v>
      </c>
      <c r="IW304" s="236" t="s">
        <v>145</v>
      </c>
      <c r="IX304" s="236" t="s">
        <v>74</v>
      </c>
      <c r="IY304" s="236" t="s">
        <v>841</v>
      </c>
      <c r="JA304" s="236" t="s">
        <v>20049</v>
      </c>
      <c r="JB304" s="236" t="s">
        <v>145</v>
      </c>
      <c r="JC304" s="236" t="s">
        <v>74</v>
      </c>
      <c r="JD304" s="236" t="s">
        <v>841</v>
      </c>
      <c r="JF304" s="236" t="s">
        <v>20050</v>
      </c>
      <c r="JG304" s="236" t="s">
        <v>145</v>
      </c>
      <c r="JH304" s="236" t="s">
        <v>74</v>
      </c>
      <c r="JI304" s="236" t="s">
        <v>841</v>
      </c>
      <c r="JK304" s="236" t="s">
        <v>20051</v>
      </c>
      <c r="JL304" s="236" t="s">
        <v>145</v>
      </c>
      <c r="JM304" s="236" t="s">
        <v>74</v>
      </c>
      <c r="JN304" s="236" t="s">
        <v>841</v>
      </c>
      <c r="JP304" s="236" t="s">
        <v>20052</v>
      </c>
      <c r="JQ304" s="236" t="s">
        <v>145</v>
      </c>
      <c r="JR304" s="236" t="s">
        <v>74</v>
      </c>
      <c r="JS304" s="236" t="s">
        <v>841</v>
      </c>
      <c r="JU304" s="294" t="s">
        <v>20053</v>
      </c>
      <c r="JV304" s="294" t="s">
        <v>52</v>
      </c>
      <c r="JW304" s="263" t="s">
        <v>70</v>
      </c>
      <c r="JX304" s="294" t="s">
        <v>1083</v>
      </c>
      <c r="JZ304" s="263" t="s">
        <v>20054</v>
      </c>
      <c r="KA304" s="263" t="s">
        <v>145</v>
      </c>
      <c r="KB304" s="263" t="s">
        <v>70</v>
      </c>
      <c r="KC304" s="263" t="s">
        <v>1083</v>
      </c>
      <c r="KE304" s="263" t="s">
        <v>20055</v>
      </c>
      <c r="KF304" s="263" t="s">
        <v>52</v>
      </c>
      <c r="KG304" s="263" t="s">
        <v>70</v>
      </c>
      <c r="KH304" s="263" t="s">
        <v>1083</v>
      </c>
      <c r="KJ304" s="263" t="s">
        <v>20056</v>
      </c>
      <c r="KK304" s="263" t="s">
        <v>52</v>
      </c>
      <c r="KL304" s="263" t="s">
        <v>74</v>
      </c>
      <c r="KM304" s="263" t="s">
        <v>34074</v>
      </c>
      <c r="KO304" s="214" t="s">
        <v>20057</v>
      </c>
      <c r="KP304" s="214" t="s">
        <v>145</v>
      </c>
      <c r="KQ304" s="214" t="s">
        <v>70</v>
      </c>
      <c r="KR304" s="214" t="s">
        <v>67</v>
      </c>
      <c r="KT304" s="22" t="s">
        <v>20058</v>
      </c>
      <c r="KU304" s="22" t="s">
        <v>145</v>
      </c>
      <c r="KV304" s="22" t="s">
        <v>70</v>
      </c>
      <c r="KW304" s="22" t="s">
        <v>67</v>
      </c>
      <c r="KY304" s="214" t="s">
        <v>20059</v>
      </c>
      <c r="KZ304" s="214" t="s">
        <v>52</v>
      </c>
      <c r="LA304" s="214" t="s">
        <v>74</v>
      </c>
      <c r="LB304" s="214" t="s">
        <v>67</v>
      </c>
      <c r="LD304" s="22" t="s">
        <v>20060</v>
      </c>
      <c r="LE304" s="22" t="s">
        <v>145</v>
      </c>
      <c r="LF304" s="22" t="s">
        <v>70</v>
      </c>
      <c r="LG304" s="22" t="s">
        <v>67</v>
      </c>
    </row>
    <row r="305" spans="1:319">
      <c r="A305" s="22" t="s">
        <v>20061</v>
      </c>
      <c r="B305" s="22" t="s">
        <v>145</v>
      </c>
      <c r="C305" s="22" t="s">
        <v>70</v>
      </c>
      <c r="D305" s="22" t="s">
        <v>67</v>
      </c>
      <c r="F305" s="99" t="s">
        <v>20062</v>
      </c>
      <c r="G305" s="22" t="s">
        <v>145</v>
      </c>
      <c r="H305" s="22" t="s">
        <v>70</v>
      </c>
      <c r="I305" s="22" t="s">
        <v>67</v>
      </c>
      <c r="K305" s="22" t="s">
        <v>20063</v>
      </c>
      <c r="L305" s="22" t="s">
        <v>145</v>
      </c>
      <c r="M305" s="22" t="s">
        <v>70</v>
      </c>
      <c r="N305" s="22" t="s">
        <v>67</v>
      </c>
      <c r="P305" s="22" t="s">
        <v>20064</v>
      </c>
      <c r="Q305" s="22" t="s">
        <v>145</v>
      </c>
      <c r="R305" s="22" t="s">
        <v>70</v>
      </c>
      <c r="S305" s="22" t="s">
        <v>67</v>
      </c>
      <c r="U305" s="293" t="s">
        <v>20065</v>
      </c>
      <c r="V305" s="293" t="s">
        <v>145</v>
      </c>
      <c r="W305" s="293" t="s">
        <v>74</v>
      </c>
      <c r="X305" s="293" t="s">
        <v>656</v>
      </c>
      <c r="Z305" s="293" t="s">
        <v>20066</v>
      </c>
      <c r="AA305" s="293" t="s">
        <v>145</v>
      </c>
      <c r="AB305" s="293" t="s">
        <v>74</v>
      </c>
      <c r="AC305" s="293" t="s">
        <v>656</v>
      </c>
      <c r="AE305" s="293" t="s">
        <v>20067</v>
      </c>
      <c r="AF305" s="293" t="s">
        <v>145</v>
      </c>
      <c r="AG305" s="293" t="s">
        <v>74</v>
      </c>
      <c r="AH305" s="293" t="s">
        <v>656</v>
      </c>
      <c r="AJ305" s="293" t="s">
        <v>20068</v>
      </c>
      <c r="AK305" s="293" t="s">
        <v>145</v>
      </c>
      <c r="AL305" s="293" t="s">
        <v>74</v>
      </c>
      <c r="AM305" s="293" t="s">
        <v>656</v>
      </c>
      <c r="AO305" s="22" t="s">
        <v>20069</v>
      </c>
      <c r="AP305" s="22" t="s">
        <v>145</v>
      </c>
      <c r="AQ305" s="22" t="s">
        <v>70</v>
      </c>
      <c r="AR305" s="22" t="s">
        <v>67</v>
      </c>
      <c r="AT305" s="22" t="s">
        <v>20070</v>
      </c>
      <c r="AU305" s="22" t="s">
        <v>145</v>
      </c>
      <c r="AV305" s="22" t="s">
        <v>70</v>
      </c>
      <c r="AW305" s="22" t="s">
        <v>67</v>
      </c>
      <c r="AY305" s="22" t="s">
        <v>20071</v>
      </c>
      <c r="AZ305" s="22" t="s">
        <v>145</v>
      </c>
      <c r="BA305" s="22" t="s">
        <v>70</v>
      </c>
      <c r="BB305" s="22" t="s">
        <v>67</v>
      </c>
      <c r="BD305" s="22" t="s">
        <v>20072</v>
      </c>
      <c r="BE305" s="22" t="s">
        <v>145</v>
      </c>
      <c r="BF305" s="22" t="s">
        <v>70</v>
      </c>
      <c r="BG305" s="22" t="s">
        <v>67</v>
      </c>
      <c r="BI305" s="22" t="s">
        <v>20073</v>
      </c>
      <c r="BJ305" s="22" t="s">
        <v>145</v>
      </c>
      <c r="BK305" s="22" t="s">
        <v>70</v>
      </c>
      <c r="BL305" s="22" t="s">
        <v>67</v>
      </c>
      <c r="BN305" s="22" t="s">
        <v>20074</v>
      </c>
      <c r="BO305" s="22" t="s">
        <v>145</v>
      </c>
      <c r="BP305" s="22" t="s">
        <v>70</v>
      </c>
      <c r="BQ305" s="22" t="s">
        <v>67</v>
      </c>
      <c r="BS305" s="22" t="s">
        <v>20075</v>
      </c>
      <c r="BT305" s="22" t="s">
        <v>145</v>
      </c>
      <c r="BU305" s="22" t="s">
        <v>70</v>
      </c>
      <c r="BV305" s="214" t="s">
        <v>530</v>
      </c>
      <c r="BX305" s="22" t="s">
        <v>20076</v>
      </c>
      <c r="BY305" s="22" t="s">
        <v>145</v>
      </c>
      <c r="BZ305" s="22" t="s">
        <v>70</v>
      </c>
      <c r="CA305" s="214" t="s">
        <v>530</v>
      </c>
      <c r="CC305" s="214" t="s">
        <v>20077</v>
      </c>
      <c r="CD305" s="218" t="s">
        <v>34607</v>
      </c>
      <c r="CE305" s="214" t="s">
        <v>70</v>
      </c>
      <c r="CF305" s="214" t="s">
        <v>758</v>
      </c>
      <c r="CH305" s="214" t="s">
        <v>20078</v>
      </c>
      <c r="CI305" s="214" t="s">
        <v>950</v>
      </c>
      <c r="CJ305" s="214" t="s">
        <v>70</v>
      </c>
      <c r="CK305" s="214" t="s">
        <v>530</v>
      </c>
      <c r="CM305" s="214" t="s">
        <v>20079</v>
      </c>
      <c r="CN305" s="214" t="s">
        <v>484</v>
      </c>
      <c r="CO305" s="214" t="s">
        <v>70</v>
      </c>
      <c r="CP305" s="214" t="s">
        <v>530</v>
      </c>
      <c r="CR305" s="214" t="s">
        <v>20080</v>
      </c>
      <c r="CS305" s="214" t="s">
        <v>89</v>
      </c>
      <c r="CT305" s="214" t="s">
        <v>70</v>
      </c>
      <c r="CU305" s="214" t="s">
        <v>530</v>
      </c>
      <c r="CW305" s="214" t="s">
        <v>20081</v>
      </c>
      <c r="CX305" s="214" t="s">
        <v>488</v>
      </c>
      <c r="CY305" s="214" t="s">
        <v>70</v>
      </c>
      <c r="CZ305" s="214" t="s">
        <v>530</v>
      </c>
      <c r="DB305" s="214" t="s">
        <v>20082</v>
      </c>
      <c r="DC305" s="214" t="s">
        <v>488</v>
      </c>
      <c r="DD305" s="214" t="s">
        <v>70</v>
      </c>
      <c r="DE305" s="214" t="s">
        <v>530</v>
      </c>
      <c r="DG305" s="214" t="s">
        <v>20083</v>
      </c>
      <c r="DH305" s="214" t="s">
        <v>93</v>
      </c>
      <c r="DI305" s="214" t="s">
        <v>70</v>
      </c>
      <c r="DJ305" s="214" t="s">
        <v>530</v>
      </c>
      <c r="DL305" s="214" t="s">
        <v>20084</v>
      </c>
      <c r="DM305" s="214" t="s">
        <v>34555</v>
      </c>
      <c r="DN305" s="214" t="s">
        <v>70</v>
      </c>
      <c r="DO305" s="214" t="s">
        <v>530</v>
      </c>
      <c r="DQ305" s="214" t="s">
        <v>20085</v>
      </c>
      <c r="DR305" s="214" t="s">
        <v>926</v>
      </c>
      <c r="DS305" s="214" t="s">
        <v>70</v>
      </c>
      <c r="DT305" s="214" t="s">
        <v>530</v>
      </c>
      <c r="DV305" s="214" t="s">
        <v>20086</v>
      </c>
      <c r="DW305" s="214" t="s">
        <v>488</v>
      </c>
      <c r="DX305" s="214" t="s">
        <v>70</v>
      </c>
      <c r="DY305" s="214" t="s">
        <v>530</v>
      </c>
      <c r="EA305" s="214" t="s">
        <v>20087</v>
      </c>
      <c r="EB305" s="214" t="s">
        <v>34405</v>
      </c>
      <c r="EC305" s="214" t="s">
        <v>70</v>
      </c>
      <c r="ED305" s="214" t="s">
        <v>530</v>
      </c>
      <c r="EF305" s="214" t="s">
        <v>20088</v>
      </c>
      <c r="EG305" s="214" t="s">
        <v>34558</v>
      </c>
      <c r="EH305" s="214" t="s">
        <v>70</v>
      </c>
      <c r="EI305" s="214" t="s">
        <v>530</v>
      </c>
      <c r="EK305" s="214" t="s">
        <v>20089</v>
      </c>
      <c r="EL305" s="214" t="s">
        <v>481</v>
      </c>
      <c r="EM305" s="214" t="s">
        <v>70</v>
      </c>
      <c r="EN305" s="214" t="s">
        <v>530</v>
      </c>
      <c r="EP305" s="214" t="s">
        <v>20090</v>
      </c>
      <c r="EQ305" s="214" t="s">
        <v>52</v>
      </c>
      <c r="ER305" s="214" t="s">
        <v>70</v>
      </c>
      <c r="ES305" s="214" t="s">
        <v>530</v>
      </c>
      <c r="EU305" s="214" t="s">
        <v>20091</v>
      </c>
      <c r="EV305" s="214" t="s">
        <v>52</v>
      </c>
      <c r="EW305" s="214" t="s">
        <v>70</v>
      </c>
      <c r="EX305" s="214" t="s">
        <v>530</v>
      </c>
      <c r="EZ305" s="214" t="s">
        <v>20092</v>
      </c>
      <c r="FA305" s="214" t="s">
        <v>146</v>
      </c>
      <c r="FB305" s="214" t="s">
        <v>70</v>
      </c>
      <c r="FC305" s="214" t="s">
        <v>530</v>
      </c>
      <c r="FE305" s="214" t="s">
        <v>20093</v>
      </c>
      <c r="FF305" s="214" t="s">
        <v>34541</v>
      </c>
      <c r="FG305" s="214" t="s">
        <v>70</v>
      </c>
      <c r="FH305" s="214" t="s">
        <v>530</v>
      </c>
      <c r="FJ305" s="321" t="s">
        <v>20094</v>
      </c>
      <c r="FK305" s="214" t="s">
        <v>496</v>
      </c>
      <c r="FL305" s="214" t="s">
        <v>70</v>
      </c>
      <c r="FM305" s="214" t="s">
        <v>530</v>
      </c>
      <c r="FO305" s="321" t="s">
        <v>20095</v>
      </c>
      <c r="FP305" s="214" t="s">
        <v>34552</v>
      </c>
      <c r="FQ305" s="214" t="s">
        <v>70</v>
      </c>
      <c r="FR305" s="214" t="s">
        <v>530</v>
      </c>
      <c r="FT305" s="321" t="s">
        <v>20096</v>
      </c>
      <c r="FU305" s="214" t="s">
        <v>496</v>
      </c>
      <c r="FV305" s="214" t="s">
        <v>70</v>
      </c>
      <c r="FW305" s="214" t="s">
        <v>530</v>
      </c>
      <c r="FY305" s="321" t="s">
        <v>20097</v>
      </c>
      <c r="FZ305" s="214" t="s">
        <v>501</v>
      </c>
      <c r="GA305" s="214" t="s">
        <v>70</v>
      </c>
      <c r="GB305" s="214" t="s">
        <v>530</v>
      </c>
      <c r="GD305" s="321" t="s">
        <v>20098</v>
      </c>
      <c r="GE305" s="214" t="s">
        <v>34541</v>
      </c>
      <c r="GF305" s="214" t="s">
        <v>70</v>
      </c>
      <c r="GG305" s="214" t="s">
        <v>530</v>
      </c>
      <c r="GI305" s="321" t="s">
        <v>20099</v>
      </c>
      <c r="GJ305" s="214" t="s">
        <v>468</v>
      </c>
      <c r="GK305" s="214" t="s">
        <v>70</v>
      </c>
      <c r="GL305" s="214" t="s">
        <v>530</v>
      </c>
      <c r="GN305" s="321" t="s">
        <v>20100</v>
      </c>
      <c r="GO305" s="214" t="s">
        <v>145</v>
      </c>
      <c r="GP305" s="214" t="s">
        <v>70</v>
      </c>
      <c r="GQ305" s="214" t="s">
        <v>530</v>
      </c>
      <c r="GS305" s="321" t="s">
        <v>20101</v>
      </c>
      <c r="GT305" s="214" t="s">
        <v>145</v>
      </c>
      <c r="GU305" s="214" t="s">
        <v>70</v>
      </c>
      <c r="GV305" s="214" t="s">
        <v>530</v>
      </c>
      <c r="GX305" s="214" t="s">
        <v>20102</v>
      </c>
      <c r="GY305" s="214" t="s">
        <v>34542</v>
      </c>
      <c r="GZ305" s="214" t="s">
        <v>70</v>
      </c>
      <c r="HA305" s="214" t="s">
        <v>530</v>
      </c>
      <c r="HC305" s="214" t="s">
        <v>20103</v>
      </c>
      <c r="HD305" s="214" t="s">
        <v>921</v>
      </c>
      <c r="HE305" s="214" t="s">
        <v>70</v>
      </c>
      <c r="HF305" s="214" t="s">
        <v>530</v>
      </c>
      <c r="HH305" s="214" t="s">
        <v>20104</v>
      </c>
      <c r="HI305" s="214" t="s">
        <v>486</v>
      </c>
      <c r="HJ305" s="214" t="s">
        <v>70</v>
      </c>
      <c r="HK305" s="214" t="s">
        <v>530</v>
      </c>
      <c r="HM305" s="214" t="s">
        <v>20105</v>
      </c>
      <c r="HN305" s="214" t="s">
        <v>955</v>
      </c>
      <c r="HO305" s="214" t="s">
        <v>70</v>
      </c>
      <c r="HP305" s="214" t="s">
        <v>530</v>
      </c>
      <c r="HR305" s="22" t="s">
        <v>20106</v>
      </c>
      <c r="HS305" s="22" t="s">
        <v>912</v>
      </c>
      <c r="HT305" s="22" t="s">
        <v>70</v>
      </c>
      <c r="HU305" s="214" t="s">
        <v>530</v>
      </c>
      <c r="HW305" s="22" t="s">
        <v>20107</v>
      </c>
      <c r="HX305" s="22" t="s">
        <v>34542</v>
      </c>
      <c r="HY305" s="22" t="s">
        <v>70</v>
      </c>
      <c r="HZ305" s="214" t="s">
        <v>530</v>
      </c>
      <c r="IB305" s="22" t="s">
        <v>20108</v>
      </c>
      <c r="IC305" s="22" t="s">
        <v>486</v>
      </c>
      <c r="ID305" s="22" t="s">
        <v>70</v>
      </c>
      <c r="IE305" s="214" t="s">
        <v>530</v>
      </c>
      <c r="IG305" s="22" t="s">
        <v>20109</v>
      </c>
      <c r="IH305" s="22" t="s">
        <v>52</v>
      </c>
      <c r="II305" s="22" t="s">
        <v>70</v>
      </c>
      <c r="IJ305" s="214" t="s">
        <v>530</v>
      </c>
      <c r="IL305" s="22" t="s">
        <v>20110</v>
      </c>
      <c r="IM305" s="22" t="s">
        <v>145</v>
      </c>
      <c r="IN305" s="22" t="s">
        <v>70</v>
      </c>
      <c r="IO305" s="214" t="s">
        <v>530</v>
      </c>
      <c r="IQ305" s="236" t="s">
        <v>20111</v>
      </c>
      <c r="IR305" s="236" t="s">
        <v>145</v>
      </c>
      <c r="IS305" s="236" t="s">
        <v>74</v>
      </c>
      <c r="IT305" s="236" t="s">
        <v>841</v>
      </c>
      <c r="IV305" s="236" t="s">
        <v>20112</v>
      </c>
      <c r="IW305" s="236" t="s">
        <v>145</v>
      </c>
      <c r="IX305" s="236" t="s">
        <v>74</v>
      </c>
      <c r="IY305" s="236" t="s">
        <v>841</v>
      </c>
      <c r="JA305" s="236" t="s">
        <v>20113</v>
      </c>
      <c r="JB305" s="236" t="s">
        <v>145</v>
      </c>
      <c r="JC305" s="236" t="s">
        <v>74</v>
      </c>
      <c r="JD305" s="236" t="s">
        <v>841</v>
      </c>
      <c r="JF305" s="236" t="s">
        <v>20114</v>
      </c>
      <c r="JG305" s="236" t="s">
        <v>145</v>
      </c>
      <c r="JH305" s="236" t="s">
        <v>74</v>
      </c>
      <c r="JI305" s="236" t="s">
        <v>841</v>
      </c>
      <c r="JK305" s="236" t="s">
        <v>20115</v>
      </c>
      <c r="JL305" s="236" t="s">
        <v>145</v>
      </c>
      <c r="JM305" s="236" t="s">
        <v>74</v>
      </c>
      <c r="JN305" s="236" t="s">
        <v>841</v>
      </c>
      <c r="JP305" s="236" t="s">
        <v>20116</v>
      </c>
      <c r="JQ305" s="236" t="s">
        <v>145</v>
      </c>
      <c r="JR305" s="236" t="s">
        <v>74</v>
      </c>
      <c r="JS305" s="236" t="s">
        <v>841</v>
      </c>
      <c r="JU305" s="294" t="s">
        <v>20117</v>
      </c>
      <c r="JV305" s="294" t="s">
        <v>52</v>
      </c>
      <c r="JW305" s="263" t="s">
        <v>70</v>
      </c>
      <c r="JX305" s="294" t="s">
        <v>1083</v>
      </c>
      <c r="JZ305" s="263" t="s">
        <v>20118</v>
      </c>
      <c r="KA305" s="263" t="s">
        <v>145</v>
      </c>
      <c r="KB305" s="263" t="s">
        <v>70</v>
      </c>
      <c r="KC305" s="263" t="s">
        <v>1083</v>
      </c>
      <c r="KE305" s="263" t="s">
        <v>20119</v>
      </c>
      <c r="KF305" s="263" t="s">
        <v>52</v>
      </c>
      <c r="KG305" s="263" t="s">
        <v>70</v>
      </c>
      <c r="KH305" s="263" t="s">
        <v>1083</v>
      </c>
      <c r="KJ305" s="263" t="s">
        <v>20120</v>
      </c>
      <c r="KK305" s="263" t="s">
        <v>52</v>
      </c>
      <c r="KL305" s="263" t="s">
        <v>74</v>
      </c>
      <c r="KM305" s="263" t="s">
        <v>34074</v>
      </c>
      <c r="KO305" s="214" t="s">
        <v>20121</v>
      </c>
      <c r="KP305" s="214" t="s">
        <v>145</v>
      </c>
      <c r="KQ305" s="214" t="s">
        <v>70</v>
      </c>
      <c r="KR305" s="214" t="s">
        <v>67</v>
      </c>
      <c r="KT305" s="22" t="s">
        <v>20122</v>
      </c>
      <c r="KU305" s="22" t="s">
        <v>145</v>
      </c>
      <c r="KV305" s="22" t="s">
        <v>70</v>
      </c>
      <c r="KW305" s="22" t="s">
        <v>67</v>
      </c>
      <c r="KY305" s="214" t="s">
        <v>20123</v>
      </c>
      <c r="KZ305" s="214" t="s">
        <v>52</v>
      </c>
      <c r="LA305" s="214" t="s">
        <v>74</v>
      </c>
      <c r="LB305" s="214" t="s">
        <v>67</v>
      </c>
      <c r="LD305" s="22" t="s">
        <v>20124</v>
      </c>
      <c r="LE305" s="22" t="s">
        <v>145</v>
      </c>
      <c r="LF305" s="22" t="s">
        <v>70</v>
      </c>
      <c r="LG305" s="22" t="s">
        <v>67</v>
      </c>
    </row>
    <row r="306" spans="1:319">
      <c r="A306" s="22" t="s">
        <v>20125</v>
      </c>
      <c r="B306" s="22" t="s">
        <v>145</v>
      </c>
      <c r="C306" s="22" t="s">
        <v>70</v>
      </c>
      <c r="D306" s="22" t="s">
        <v>67</v>
      </c>
      <c r="F306" s="99" t="s">
        <v>20126</v>
      </c>
      <c r="G306" s="22" t="s">
        <v>145</v>
      </c>
      <c r="H306" s="22" t="s">
        <v>70</v>
      </c>
      <c r="I306" s="22" t="s">
        <v>67</v>
      </c>
      <c r="K306" s="22" t="s">
        <v>20127</v>
      </c>
      <c r="L306" s="22" t="s">
        <v>145</v>
      </c>
      <c r="M306" s="22" t="s">
        <v>70</v>
      </c>
      <c r="N306" s="22" t="s">
        <v>67</v>
      </c>
      <c r="P306" s="22" t="s">
        <v>20128</v>
      </c>
      <c r="Q306" s="22" t="s">
        <v>145</v>
      </c>
      <c r="R306" s="22" t="s">
        <v>70</v>
      </c>
      <c r="S306" s="22" t="s">
        <v>67</v>
      </c>
      <c r="U306" s="293" t="s">
        <v>20129</v>
      </c>
      <c r="V306" s="293" t="s">
        <v>145</v>
      </c>
      <c r="W306" s="293" t="s">
        <v>74</v>
      </c>
      <c r="X306" s="293" t="s">
        <v>656</v>
      </c>
      <c r="Z306" s="293" t="s">
        <v>20130</v>
      </c>
      <c r="AA306" s="293" t="s">
        <v>145</v>
      </c>
      <c r="AB306" s="293" t="s">
        <v>74</v>
      </c>
      <c r="AC306" s="293" t="s">
        <v>656</v>
      </c>
      <c r="AE306" s="293" t="s">
        <v>20131</v>
      </c>
      <c r="AF306" s="293" t="s">
        <v>145</v>
      </c>
      <c r="AG306" s="293" t="s">
        <v>74</v>
      </c>
      <c r="AH306" s="293" t="s">
        <v>656</v>
      </c>
      <c r="AJ306" s="293" t="s">
        <v>20132</v>
      </c>
      <c r="AK306" s="293" t="s">
        <v>145</v>
      </c>
      <c r="AL306" s="293" t="s">
        <v>74</v>
      </c>
      <c r="AM306" s="293" t="s">
        <v>656</v>
      </c>
      <c r="AO306" s="22" t="s">
        <v>20133</v>
      </c>
      <c r="AP306" s="22" t="s">
        <v>145</v>
      </c>
      <c r="AQ306" s="22" t="s">
        <v>70</v>
      </c>
      <c r="AR306" s="22" t="s">
        <v>67</v>
      </c>
      <c r="AT306" s="22" t="s">
        <v>20134</v>
      </c>
      <c r="AU306" s="22" t="s">
        <v>145</v>
      </c>
      <c r="AV306" s="22" t="s">
        <v>70</v>
      </c>
      <c r="AW306" s="22" t="s">
        <v>67</v>
      </c>
      <c r="AY306" s="22" t="s">
        <v>20135</v>
      </c>
      <c r="AZ306" s="22" t="s">
        <v>145</v>
      </c>
      <c r="BA306" s="22" t="s">
        <v>70</v>
      </c>
      <c r="BB306" s="22" t="s">
        <v>67</v>
      </c>
      <c r="BD306" s="22" t="s">
        <v>20136</v>
      </c>
      <c r="BE306" s="22" t="s">
        <v>145</v>
      </c>
      <c r="BF306" s="22" t="s">
        <v>70</v>
      </c>
      <c r="BG306" s="22" t="s">
        <v>67</v>
      </c>
      <c r="BI306" s="22" t="s">
        <v>20137</v>
      </c>
      <c r="BJ306" s="22" t="s">
        <v>145</v>
      </c>
      <c r="BK306" s="22" t="s">
        <v>70</v>
      </c>
      <c r="BL306" s="22" t="s">
        <v>67</v>
      </c>
      <c r="BN306" s="22" t="s">
        <v>20138</v>
      </c>
      <c r="BO306" s="22" t="s">
        <v>145</v>
      </c>
      <c r="BP306" s="22" t="s">
        <v>70</v>
      </c>
      <c r="BQ306" s="22" t="s">
        <v>67</v>
      </c>
      <c r="BS306" s="22" t="s">
        <v>20139</v>
      </c>
      <c r="BT306" s="22" t="s">
        <v>145</v>
      </c>
      <c r="BU306" s="22" t="s">
        <v>70</v>
      </c>
      <c r="BV306" s="214" t="s">
        <v>530</v>
      </c>
      <c r="BX306" s="22" t="s">
        <v>20140</v>
      </c>
      <c r="BY306" s="22" t="s">
        <v>145</v>
      </c>
      <c r="BZ306" s="22" t="s">
        <v>70</v>
      </c>
      <c r="CA306" s="214" t="s">
        <v>530</v>
      </c>
      <c r="CC306" s="214" t="s">
        <v>20141</v>
      </c>
      <c r="CD306" s="218" t="s">
        <v>52</v>
      </c>
      <c r="CE306" s="214" t="s">
        <v>70</v>
      </c>
      <c r="CF306" s="214" t="s">
        <v>759</v>
      </c>
      <c r="CH306" s="214" t="s">
        <v>20142</v>
      </c>
      <c r="CI306" s="214" t="s">
        <v>500</v>
      </c>
      <c r="CJ306" s="214" t="s">
        <v>70</v>
      </c>
      <c r="CK306" s="214" t="s">
        <v>530</v>
      </c>
      <c r="CM306" s="214" t="s">
        <v>20143</v>
      </c>
      <c r="CN306" s="214" t="s">
        <v>485</v>
      </c>
      <c r="CO306" s="214" t="s">
        <v>70</v>
      </c>
      <c r="CP306" s="214" t="s">
        <v>530</v>
      </c>
      <c r="CR306" s="214" t="s">
        <v>20144</v>
      </c>
      <c r="CS306" s="214" t="s">
        <v>52</v>
      </c>
      <c r="CT306" s="214" t="s">
        <v>70</v>
      </c>
      <c r="CU306" s="214" t="s">
        <v>530</v>
      </c>
      <c r="CW306" s="214" t="s">
        <v>20145</v>
      </c>
      <c r="CX306" s="214" t="s">
        <v>599</v>
      </c>
      <c r="CY306" s="214" t="s">
        <v>70</v>
      </c>
      <c r="CZ306" s="214" t="s">
        <v>530</v>
      </c>
      <c r="DB306" s="214" t="s">
        <v>20146</v>
      </c>
      <c r="DC306" s="214" t="s">
        <v>86</v>
      </c>
      <c r="DD306" s="214" t="s">
        <v>70</v>
      </c>
      <c r="DE306" s="214" t="s">
        <v>530</v>
      </c>
      <c r="DG306" s="214" t="s">
        <v>20147</v>
      </c>
      <c r="DH306" s="214" t="s">
        <v>149</v>
      </c>
      <c r="DI306" s="214" t="s">
        <v>70</v>
      </c>
      <c r="DJ306" s="214" t="s">
        <v>530</v>
      </c>
      <c r="DL306" s="214" t="s">
        <v>20148</v>
      </c>
      <c r="DM306" s="214" t="s">
        <v>955</v>
      </c>
      <c r="DN306" s="214" t="s">
        <v>70</v>
      </c>
      <c r="DO306" s="214" t="s">
        <v>530</v>
      </c>
      <c r="DQ306" s="214" t="s">
        <v>20149</v>
      </c>
      <c r="DR306" s="214" t="s">
        <v>206</v>
      </c>
      <c r="DS306" s="214" t="s">
        <v>70</v>
      </c>
      <c r="DT306" s="214" t="s">
        <v>530</v>
      </c>
      <c r="DV306" s="214" t="s">
        <v>20150</v>
      </c>
      <c r="DW306" s="214" t="s">
        <v>52</v>
      </c>
      <c r="DX306" s="214" t="s">
        <v>70</v>
      </c>
      <c r="DY306" s="214" t="s">
        <v>530</v>
      </c>
      <c r="EA306" s="214" t="s">
        <v>20151</v>
      </c>
      <c r="EB306" s="214" t="s">
        <v>52</v>
      </c>
      <c r="EC306" s="214" t="s">
        <v>70</v>
      </c>
      <c r="ED306" s="214" t="s">
        <v>530</v>
      </c>
      <c r="EF306" s="214" t="s">
        <v>20152</v>
      </c>
      <c r="EG306" s="214" t="s">
        <v>34557</v>
      </c>
      <c r="EH306" s="214" t="s">
        <v>70</v>
      </c>
      <c r="EI306" s="214" t="s">
        <v>530</v>
      </c>
      <c r="EK306" s="214" t="s">
        <v>20153</v>
      </c>
      <c r="EL306" s="214" t="s">
        <v>52</v>
      </c>
      <c r="EM306" s="214" t="s">
        <v>70</v>
      </c>
      <c r="EN306" s="214" t="s">
        <v>530</v>
      </c>
      <c r="EP306" s="214" t="s">
        <v>20154</v>
      </c>
      <c r="EQ306" s="214" t="s">
        <v>52</v>
      </c>
      <c r="ER306" s="214" t="s">
        <v>70</v>
      </c>
      <c r="ES306" s="214" t="s">
        <v>530</v>
      </c>
      <c r="EU306" s="214" t="s">
        <v>20155</v>
      </c>
      <c r="EV306" s="214" t="s">
        <v>92</v>
      </c>
      <c r="EW306" s="214" t="s">
        <v>70</v>
      </c>
      <c r="EX306" s="214" t="s">
        <v>530</v>
      </c>
      <c r="EZ306" s="214" t="s">
        <v>20156</v>
      </c>
      <c r="FA306" s="214" t="s">
        <v>88</v>
      </c>
      <c r="FB306" s="214" t="s">
        <v>70</v>
      </c>
      <c r="FC306" s="214" t="s">
        <v>530</v>
      </c>
      <c r="FE306" s="214" t="s">
        <v>20157</v>
      </c>
      <c r="FF306" s="214" t="s">
        <v>292</v>
      </c>
      <c r="FG306" s="214" t="s">
        <v>70</v>
      </c>
      <c r="FH306" s="214" t="s">
        <v>530</v>
      </c>
      <c r="FJ306" s="321" t="s">
        <v>20158</v>
      </c>
      <c r="FK306" s="214" t="s">
        <v>90</v>
      </c>
      <c r="FL306" s="214" t="s">
        <v>70</v>
      </c>
      <c r="FM306" s="214" t="s">
        <v>530</v>
      </c>
      <c r="FO306" s="321" t="s">
        <v>20159</v>
      </c>
      <c r="FP306" s="214" t="s">
        <v>211</v>
      </c>
      <c r="FQ306" s="214" t="s">
        <v>70</v>
      </c>
      <c r="FR306" s="214" t="s">
        <v>530</v>
      </c>
      <c r="FT306" s="321" t="s">
        <v>20160</v>
      </c>
      <c r="FU306" s="214" t="s">
        <v>203</v>
      </c>
      <c r="FV306" s="214" t="s">
        <v>70</v>
      </c>
      <c r="FW306" s="214" t="s">
        <v>530</v>
      </c>
      <c r="FY306" s="321" t="s">
        <v>20161</v>
      </c>
      <c r="FZ306" s="214" t="s">
        <v>85</v>
      </c>
      <c r="GA306" s="214" t="s">
        <v>70</v>
      </c>
      <c r="GB306" s="214" t="s">
        <v>530</v>
      </c>
      <c r="GD306" s="321" t="s">
        <v>20162</v>
      </c>
      <c r="GE306" s="214" t="s">
        <v>286</v>
      </c>
      <c r="GF306" s="214" t="s">
        <v>70</v>
      </c>
      <c r="GG306" s="214" t="s">
        <v>530</v>
      </c>
      <c r="GI306" s="321" t="s">
        <v>20163</v>
      </c>
      <c r="GJ306" s="214" t="s">
        <v>52</v>
      </c>
      <c r="GK306" s="214" t="s">
        <v>70</v>
      </c>
      <c r="GL306" s="214" t="s">
        <v>530</v>
      </c>
      <c r="GN306" s="321" t="s">
        <v>20164</v>
      </c>
      <c r="GO306" s="214" t="s">
        <v>145</v>
      </c>
      <c r="GP306" s="214" t="s">
        <v>70</v>
      </c>
      <c r="GQ306" s="214" t="s">
        <v>530</v>
      </c>
      <c r="GS306" s="321" t="s">
        <v>20165</v>
      </c>
      <c r="GT306" s="214" t="s">
        <v>145</v>
      </c>
      <c r="GU306" s="214" t="s">
        <v>70</v>
      </c>
      <c r="GV306" s="214" t="s">
        <v>530</v>
      </c>
      <c r="GX306" s="214" t="s">
        <v>20166</v>
      </c>
      <c r="GY306" s="214" t="s">
        <v>34516</v>
      </c>
      <c r="GZ306" s="214" t="s">
        <v>70</v>
      </c>
      <c r="HA306" s="214" t="s">
        <v>530</v>
      </c>
      <c r="HC306" s="214" t="s">
        <v>20167</v>
      </c>
      <c r="HD306" s="214" t="s">
        <v>34545</v>
      </c>
      <c r="HE306" s="214" t="s">
        <v>70</v>
      </c>
      <c r="HF306" s="214" t="s">
        <v>530</v>
      </c>
      <c r="HH306" s="214" t="s">
        <v>20168</v>
      </c>
      <c r="HI306" s="214" t="s">
        <v>34610</v>
      </c>
      <c r="HJ306" s="214" t="s">
        <v>70</v>
      </c>
      <c r="HK306" s="214" t="s">
        <v>530</v>
      </c>
      <c r="HM306" s="214" t="s">
        <v>20169</v>
      </c>
      <c r="HN306" s="214" t="s">
        <v>145</v>
      </c>
      <c r="HO306" s="214" t="s">
        <v>70</v>
      </c>
      <c r="HP306" s="214" t="s">
        <v>530</v>
      </c>
      <c r="HR306" s="22" t="s">
        <v>20170</v>
      </c>
      <c r="HS306" s="22" t="s">
        <v>481</v>
      </c>
      <c r="HT306" s="22" t="s">
        <v>70</v>
      </c>
      <c r="HU306" s="214" t="s">
        <v>530</v>
      </c>
      <c r="HW306" s="22" t="s">
        <v>20171</v>
      </c>
      <c r="HX306" s="22" t="s">
        <v>34600</v>
      </c>
      <c r="HY306" s="22" t="s">
        <v>70</v>
      </c>
      <c r="HZ306" s="214" t="s">
        <v>530</v>
      </c>
      <c r="IB306" s="22" t="s">
        <v>20172</v>
      </c>
      <c r="IC306" s="22" t="s">
        <v>34574</v>
      </c>
      <c r="ID306" s="22" t="s">
        <v>70</v>
      </c>
      <c r="IE306" s="214" t="s">
        <v>530</v>
      </c>
      <c r="IG306" s="22" t="s">
        <v>20173</v>
      </c>
      <c r="IH306" s="22" t="s">
        <v>52</v>
      </c>
      <c r="II306" s="22" t="s">
        <v>70</v>
      </c>
      <c r="IJ306" s="214" t="s">
        <v>530</v>
      </c>
      <c r="IL306" s="22" t="s">
        <v>20174</v>
      </c>
      <c r="IM306" s="22" t="s">
        <v>145</v>
      </c>
      <c r="IN306" s="22" t="s">
        <v>70</v>
      </c>
      <c r="IO306" s="214" t="s">
        <v>530</v>
      </c>
      <c r="IQ306" s="236" t="s">
        <v>20175</v>
      </c>
      <c r="IR306" s="236" t="s">
        <v>145</v>
      </c>
      <c r="IS306" s="236" t="s">
        <v>74</v>
      </c>
      <c r="IT306" s="236" t="s">
        <v>841</v>
      </c>
      <c r="IV306" s="236" t="s">
        <v>20176</v>
      </c>
      <c r="IW306" s="236" t="s">
        <v>145</v>
      </c>
      <c r="IX306" s="236" t="s">
        <v>74</v>
      </c>
      <c r="IY306" s="236" t="s">
        <v>841</v>
      </c>
      <c r="JA306" s="236" t="s">
        <v>20177</v>
      </c>
      <c r="JB306" s="236" t="s">
        <v>145</v>
      </c>
      <c r="JC306" s="236" t="s">
        <v>74</v>
      </c>
      <c r="JD306" s="236" t="s">
        <v>841</v>
      </c>
      <c r="JF306" s="236" t="s">
        <v>20178</v>
      </c>
      <c r="JG306" s="236" t="s">
        <v>145</v>
      </c>
      <c r="JH306" s="236" t="s">
        <v>74</v>
      </c>
      <c r="JI306" s="236" t="s">
        <v>841</v>
      </c>
      <c r="JK306" s="236" t="s">
        <v>20179</v>
      </c>
      <c r="JL306" s="236" t="s">
        <v>145</v>
      </c>
      <c r="JM306" s="236" t="s">
        <v>74</v>
      </c>
      <c r="JN306" s="236" t="s">
        <v>841</v>
      </c>
      <c r="JP306" s="236" t="s">
        <v>20180</v>
      </c>
      <c r="JQ306" s="236" t="s">
        <v>145</v>
      </c>
      <c r="JR306" s="236" t="s">
        <v>74</v>
      </c>
      <c r="JS306" s="236" t="s">
        <v>841</v>
      </c>
      <c r="JU306" s="294" t="s">
        <v>20181</v>
      </c>
      <c r="JV306" s="294" t="s">
        <v>52</v>
      </c>
      <c r="JW306" s="263" t="s">
        <v>70</v>
      </c>
      <c r="JX306" s="294" t="s">
        <v>1083</v>
      </c>
      <c r="JZ306" s="263" t="s">
        <v>20182</v>
      </c>
      <c r="KA306" s="263" t="s">
        <v>145</v>
      </c>
      <c r="KB306" s="263" t="s">
        <v>70</v>
      </c>
      <c r="KC306" s="263" t="s">
        <v>1083</v>
      </c>
      <c r="KE306" s="263" t="s">
        <v>20183</v>
      </c>
      <c r="KF306" s="263" t="s">
        <v>52</v>
      </c>
      <c r="KG306" s="263" t="s">
        <v>70</v>
      </c>
      <c r="KH306" s="263" t="s">
        <v>1083</v>
      </c>
      <c r="KJ306" s="263" t="s">
        <v>20184</v>
      </c>
      <c r="KK306" s="263" t="s">
        <v>52</v>
      </c>
      <c r="KL306" s="263" t="s">
        <v>74</v>
      </c>
      <c r="KM306" s="263" t="s">
        <v>34074</v>
      </c>
      <c r="KO306" s="214" t="s">
        <v>20185</v>
      </c>
      <c r="KP306" s="214" t="s">
        <v>145</v>
      </c>
      <c r="KQ306" s="214" t="s">
        <v>70</v>
      </c>
      <c r="KR306" s="214" t="s">
        <v>67</v>
      </c>
      <c r="KT306" s="22" t="s">
        <v>20186</v>
      </c>
      <c r="KU306" s="22" t="s">
        <v>145</v>
      </c>
      <c r="KV306" s="22" t="s">
        <v>70</v>
      </c>
      <c r="KW306" s="22" t="s">
        <v>67</v>
      </c>
      <c r="KY306" s="214" t="s">
        <v>20187</v>
      </c>
      <c r="KZ306" s="214" t="s">
        <v>52</v>
      </c>
      <c r="LA306" s="214" t="s">
        <v>74</v>
      </c>
      <c r="LB306" s="214" t="s">
        <v>67</v>
      </c>
      <c r="LD306" s="22" t="s">
        <v>20188</v>
      </c>
      <c r="LE306" s="22" t="s">
        <v>145</v>
      </c>
      <c r="LF306" s="22" t="s">
        <v>70</v>
      </c>
      <c r="LG306" s="22" t="s">
        <v>67</v>
      </c>
    </row>
    <row r="307" spans="1:319">
      <c r="A307" s="22" t="s">
        <v>20189</v>
      </c>
      <c r="B307" s="22" t="s">
        <v>145</v>
      </c>
      <c r="C307" s="22" t="s">
        <v>70</v>
      </c>
      <c r="D307" s="22" t="s">
        <v>67</v>
      </c>
      <c r="F307" s="99" t="s">
        <v>20190</v>
      </c>
      <c r="G307" s="22" t="s">
        <v>145</v>
      </c>
      <c r="H307" s="22" t="s">
        <v>70</v>
      </c>
      <c r="I307" s="22" t="s">
        <v>67</v>
      </c>
      <c r="K307" s="22" t="s">
        <v>20191</v>
      </c>
      <c r="L307" s="22" t="s">
        <v>145</v>
      </c>
      <c r="M307" s="22" t="s">
        <v>70</v>
      </c>
      <c r="N307" s="22" t="s">
        <v>67</v>
      </c>
      <c r="P307" s="22" t="s">
        <v>20192</v>
      </c>
      <c r="Q307" s="22" t="s">
        <v>145</v>
      </c>
      <c r="R307" s="22" t="s">
        <v>70</v>
      </c>
      <c r="S307" s="22" t="s">
        <v>67</v>
      </c>
      <c r="U307" s="293" t="s">
        <v>20193</v>
      </c>
      <c r="V307" s="293" t="s">
        <v>145</v>
      </c>
      <c r="W307" s="293" t="s">
        <v>74</v>
      </c>
      <c r="X307" s="293" t="s">
        <v>656</v>
      </c>
      <c r="Z307" s="293" t="s">
        <v>20194</v>
      </c>
      <c r="AA307" s="293" t="s">
        <v>145</v>
      </c>
      <c r="AB307" s="293" t="s">
        <v>74</v>
      </c>
      <c r="AC307" s="293" t="s">
        <v>656</v>
      </c>
      <c r="AE307" s="293" t="s">
        <v>20195</v>
      </c>
      <c r="AF307" s="293" t="s">
        <v>145</v>
      </c>
      <c r="AG307" s="293" t="s">
        <v>74</v>
      </c>
      <c r="AH307" s="293" t="s">
        <v>656</v>
      </c>
      <c r="AJ307" s="293" t="s">
        <v>20196</v>
      </c>
      <c r="AK307" s="293" t="s">
        <v>145</v>
      </c>
      <c r="AL307" s="293" t="s">
        <v>74</v>
      </c>
      <c r="AM307" s="293" t="s">
        <v>656</v>
      </c>
      <c r="AO307" s="22" t="s">
        <v>20197</v>
      </c>
      <c r="AP307" s="22" t="s">
        <v>145</v>
      </c>
      <c r="AQ307" s="22" t="s">
        <v>70</v>
      </c>
      <c r="AR307" s="22" t="s">
        <v>67</v>
      </c>
      <c r="AT307" s="22" t="s">
        <v>20198</v>
      </c>
      <c r="AU307" s="22" t="s">
        <v>145</v>
      </c>
      <c r="AV307" s="22" t="s">
        <v>70</v>
      </c>
      <c r="AW307" s="22" t="s">
        <v>67</v>
      </c>
      <c r="AY307" s="22" t="s">
        <v>20199</v>
      </c>
      <c r="AZ307" s="22" t="s">
        <v>145</v>
      </c>
      <c r="BA307" s="22" t="s">
        <v>70</v>
      </c>
      <c r="BB307" s="22" t="s">
        <v>67</v>
      </c>
      <c r="BD307" s="22" t="s">
        <v>20200</v>
      </c>
      <c r="BE307" s="22" t="s">
        <v>145</v>
      </c>
      <c r="BF307" s="22" t="s">
        <v>70</v>
      </c>
      <c r="BG307" s="22" t="s">
        <v>67</v>
      </c>
      <c r="BI307" s="22" t="s">
        <v>20201</v>
      </c>
      <c r="BJ307" s="22" t="s">
        <v>145</v>
      </c>
      <c r="BK307" s="22" t="s">
        <v>70</v>
      </c>
      <c r="BL307" s="22" t="s">
        <v>67</v>
      </c>
      <c r="BN307" s="22" t="s">
        <v>20202</v>
      </c>
      <c r="BO307" s="22" t="s">
        <v>145</v>
      </c>
      <c r="BP307" s="22" t="s">
        <v>70</v>
      </c>
      <c r="BQ307" s="22" t="s">
        <v>67</v>
      </c>
      <c r="BS307" s="22" t="s">
        <v>20203</v>
      </c>
      <c r="BT307" s="22" t="s">
        <v>145</v>
      </c>
      <c r="BU307" s="22" t="s">
        <v>70</v>
      </c>
      <c r="BV307" s="214" t="s">
        <v>530</v>
      </c>
      <c r="BX307" s="22" t="s">
        <v>20204</v>
      </c>
      <c r="BY307" s="22" t="s">
        <v>145</v>
      </c>
      <c r="BZ307" s="22" t="s">
        <v>70</v>
      </c>
      <c r="CA307" s="214" t="s">
        <v>530</v>
      </c>
      <c r="CC307" s="214" t="s">
        <v>20205</v>
      </c>
      <c r="CD307" s="218" t="s">
        <v>601</v>
      </c>
      <c r="CE307" s="214" t="s">
        <v>70</v>
      </c>
      <c r="CF307" s="214" t="s">
        <v>760</v>
      </c>
      <c r="CH307" s="214" t="s">
        <v>20206</v>
      </c>
      <c r="CI307" s="214" t="s">
        <v>501</v>
      </c>
      <c r="CJ307" s="214" t="s">
        <v>70</v>
      </c>
      <c r="CK307" s="214" t="s">
        <v>530</v>
      </c>
      <c r="CM307" s="214" t="s">
        <v>20207</v>
      </c>
      <c r="CN307" s="214" t="s">
        <v>146</v>
      </c>
      <c r="CO307" s="214" t="s">
        <v>70</v>
      </c>
      <c r="CP307" s="214" t="s">
        <v>530</v>
      </c>
      <c r="CR307" s="214" t="s">
        <v>20208</v>
      </c>
      <c r="CS307" s="214" t="s">
        <v>916</v>
      </c>
      <c r="CT307" s="214" t="s">
        <v>70</v>
      </c>
      <c r="CU307" s="214" t="s">
        <v>530</v>
      </c>
      <c r="CW307" s="214" t="s">
        <v>20209</v>
      </c>
      <c r="CX307" s="214" t="s">
        <v>484</v>
      </c>
      <c r="CY307" s="214" t="s">
        <v>70</v>
      </c>
      <c r="CZ307" s="214" t="s">
        <v>530</v>
      </c>
      <c r="DB307" s="214" t="s">
        <v>20210</v>
      </c>
      <c r="DC307" s="214" t="s">
        <v>52</v>
      </c>
      <c r="DD307" s="214" t="s">
        <v>70</v>
      </c>
      <c r="DE307" s="214" t="s">
        <v>530</v>
      </c>
      <c r="DG307" s="214" t="s">
        <v>20211</v>
      </c>
      <c r="DH307" s="214" t="s">
        <v>603</v>
      </c>
      <c r="DI307" s="214" t="s">
        <v>70</v>
      </c>
      <c r="DJ307" s="214" t="s">
        <v>530</v>
      </c>
      <c r="DL307" s="214" t="s">
        <v>20212</v>
      </c>
      <c r="DM307" s="214" t="s">
        <v>501</v>
      </c>
      <c r="DN307" s="214" t="s">
        <v>70</v>
      </c>
      <c r="DO307" s="214" t="s">
        <v>530</v>
      </c>
      <c r="DQ307" s="214" t="s">
        <v>20213</v>
      </c>
      <c r="DR307" s="214" t="s">
        <v>484</v>
      </c>
      <c r="DS307" s="214" t="s">
        <v>70</v>
      </c>
      <c r="DT307" s="214" t="s">
        <v>530</v>
      </c>
      <c r="DV307" s="214" t="s">
        <v>20214</v>
      </c>
      <c r="DW307" s="214" t="s">
        <v>601</v>
      </c>
      <c r="DX307" s="214" t="s">
        <v>70</v>
      </c>
      <c r="DY307" s="214" t="s">
        <v>530</v>
      </c>
      <c r="EA307" s="214" t="s">
        <v>20215</v>
      </c>
      <c r="EB307" s="214" t="s">
        <v>485</v>
      </c>
      <c r="EC307" s="214" t="s">
        <v>70</v>
      </c>
      <c r="ED307" s="214" t="s">
        <v>530</v>
      </c>
      <c r="EF307" s="214" t="s">
        <v>20216</v>
      </c>
      <c r="EG307" s="214" t="s">
        <v>488</v>
      </c>
      <c r="EH307" s="214" t="s">
        <v>70</v>
      </c>
      <c r="EI307" s="214" t="s">
        <v>530</v>
      </c>
      <c r="EK307" s="214" t="s">
        <v>20217</v>
      </c>
      <c r="EL307" s="214" t="s">
        <v>919</v>
      </c>
      <c r="EM307" s="214" t="s">
        <v>70</v>
      </c>
      <c r="EN307" s="214" t="s">
        <v>530</v>
      </c>
      <c r="EP307" s="214" t="s">
        <v>20218</v>
      </c>
      <c r="EQ307" s="214" t="s">
        <v>955</v>
      </c>
      <c r="ER307" s="214" t="s">
        <v>70</v>
      </c>
      <c r="ES307" s="214" t="s">
        <v>530</v>
      </c>
      <c r="EU307" s="214" t="s">
        <v>20219</v>
      </c>
      <c r="EV307" s="214" t="s">
        <v>146</v>
      </c>
      <c r="EW307" s="214" t="s">
        <v>70</v>
      </c>
      <c r="EX307" s="214" t="s">
        <v>530</v>
      </c>
      <c r="EZ307" s="214" t="s">
        <v>20220</v>
      </c>
      <c r="FA307" s="214" t="s">
        <v>34542</v>
      </c>
      <c r="FB307" s="214" t="s">
        <v>70</v>
      </c>
      <c r="FC307" s="214" t="s">
        <v>530</v>
      </c>
      <c r="FE307" s="214" t="s">
        <v>20221</v>
      </c>
      <c r="FF307" s="214" t="s">
        <v>34545</v>
      </c>
      <c r="FG307" s="214" t="s">
        <v>70</v>
      </c>
      <c r="FH307" s="214" t="s">
        <v>530</v>
      </c>
      <c r="FJ307" s="321" t="s">
        <v>20222</v>
      </c>
      <c r="FK307" s="214" t="s">
        <v>482</v>
      </c>
      <c r="FL307" s="214" t="s">
        <v>70</v>
      </c>
      <c r="FM307" s="214" t="s">
        <v>530</v>
      </c>
      <c r="FO307" s="321" t="s">
        <v>20223</v>
      </c>
      <c r="FP307" s="214" t="s">
        <v>798</v>
      </c>
      <c r="FQ307" s="214" t="s">
        <v>70</v>
      </c>
      <c r="FR307" s="214" t="s">
        <v>530</v>
      </c>
      <c r="FT307" s="321" t="s">
        <v>20224</v>
      </c>
      <c r="FU307" s="214" t="s">
        <v>482</v>
      </c>
      <c r="FV307" s="214" t="s">
        <v>70</v>
      </c>
      <c r="FW307" s="214" t="s">
        <v>530</v>
      </c>
      <c r="FY307" s="321" t="s">
        <v>20225</v>
      </c>
      <c r="FZ307" s="214" t="s">
        <v>34551</v>
      </c>
      <c r="GA307" s="214" t="s">
        <v>70</v>
      </c>
      <c r="GB307" s="214" t="s">
        <v>530</v>
      </c>
      <c r="GD307" s="321" t="s">
        <v>20226</v>
      </c>
      <c r="GE307" s="214" t="s">
        <v>145</v>
      </c>
      <c r="GF307" s="214" t="s">
        <v>70</v>
      </c>
      <c r="GG307" s="214" t="s">
        <v>530</v>
      </c>
      <c r="GI307" s="321" t="s">
        <v>20227</v>
      </c>
      <c r="GJ307" s="214" t="s">
        <v>34558</v>
      </c>
      <c r="GK307" s="214" t="s">
        <v>70</v>
      </c>
      <c r="GL307" s="214" t="s">
        <v>530</v>
      </c>
      <c r="GN307" s="321" t="s">
        <v>20228</v>
      </c>
      <c r="GO307" s="214" t="s">
        <v>34624</v>
      </c>
      <c r="GP307" s="214" t="s">
        <v>70</v>
      </c>
      <c r="GQ307" s="214" t="s">
        <v>530</v>
      </c>
      <c r="GS307" s="321" t="s">
        <v>20229</v>
      </c>
      <c r="GT307" s="214" t="s">
        <v>34541</v>
      </c>
      <c r="GU307" s="214" t="s">
        <v>70</v>
      </c>
      <c r="GV307" s="214" t="s">
        <v>530</v>
      </c>
      <c r="GX307" s="214" t="s">
        <v>20230</v>
      </c>
      <c r="GY307" s="214" t="s">
        <v>492</v>
      </c>
      <c r="GZ307" s="214" t="s">
        <v>70</v>
      </c>
      <c r="HA307" s="214" t="s">
        <v>530</v>
      </c>
      <c r="HC307" s="214" t="s">
        <v>20231</v>
      </c>
      <c r="HD307" s="214" t="s">
        <v>34551</v>
      </c>
      <c r="HE307" s="214" t="s">
        <v>70</v>
      </c>
      <c r="HF307" s="214" t="s">
        <v>530</v>
      </c>
      <c r="HH307" s="214" t="s">
        <v>20232</v>
      </c>
      <c r="HI307" s="214" t="s">
        <v>486</v>
      </c>
      <c r="HJ307" s="214" t="s">
        <v>70</v>
      </c>
      <c r="HK307" s="214" t="s">
        <v>530</v>
      </c>
      <c r="HM307" s="214" t="s">
        <v>20233</v>
      </c>
      <c r="HN307" s="214" t="s">
        <v>34541</v>
      </c>
      <c r="HO307" s="214" t="s">
        <v>70</v>
      </c>
      <c r="HP307" s="214" t="s">
        <v>530</v>
      </c>
      <c r="HR307" s="22" t="s">
        <v>20234</v>
      </c>
      <c r="HS307" s="22" t="s">
        <v>496</v>
      </c>
      <c r="HT307" s="22" t="s">
        <v>70</v>
      </c>
      <c r="HU307" s="214" t="s">
        <v>530</v>
      </c>
      <c r="HW307" s="22" t="s">
        <v>20235</v>
      </c>
      <c r="HX307" s="22" t="s">
        <v>34550</v>
      </c>
      <c r="HY307" s="22" t="s">
        <v>70</v>
      </c>
      <c r="HZ307" s="214" t="s">
        <v>530</v>
      </c>
      <c r="IB307" s="22" t="s">
        <v>20236</v>
      </c>
      <c r="IC307" s="22" t="s">
        <v>488</v>
      </c>
      <c r="ID307" s="22" t="s">
        <v>70</v>
      </c>
      <c r="IE307" s="214" t="s">
        <v>530</v>
      </c>
      <c r="IG307" s="22" t="s">
        <v>20237</v>
      </c>
      <c r="IH307" s="22" t="s">
        <v>52</v>
      </c>
      <c r="II307" s="22" t="s">
        <v>70</v>
      </c>
      <c r="IJ307" s="214" t="s">
        <v>530</v>
      </c>
      <c r="IL307" s="22" t="s">
        <v>20238</v>
      </c>
      <c r="IM307" s="22" t="s">
        <v>145</v>
      </c>
      <c r="IN307" s="22" t="s">
        <v>70</v>
      </c>
      <c r="IO307" s="214" t="s">
        <v>530</v>
      </c>
      <c r="IQ307" s="236" t="s">
        <v>20239</v>
      </c>
      <c r="IR307" s="236" t="s">
        <v>145</v>
      </c>
      <c r="IS307" s="236" t="s">
        <v>74</v>
      </c>
      <c r="IT307" s="236" t="s">
        <v>841</v>
      </c>
      <c r="IV307" s="236" t="s">
        <v>20240</v>
      </c>
      <c r="IW307" s="236" t="s">
        <v>145</v>
      </c>
      <c r="IX307" s="236" t="s">
        <v>74</v>
      </c>
      <c r="IY307" s="236" t="s">
        <v>841</v>
      </c>
      <c r="JA307" s="236" t="s">
        <v>20241</v>
      </c>
      <c r="JB307" s="236" t="s">
        <v>145</v>
      </c>
      <c r="JC307" s="236" t="s">
        <v>74</v>
      </c>
      <c r="JD307" s="236" t="s">
        <v>841</v>
      </c>
      <c r="JF307" s="236" t="s">
        <v>20242</v>
      </c>
      <c r="JG307" s="236" t="s">
        <v>145</v>
      </c>
      <c r="JH307" s="236" t="s">
        <v>74</v>
      </c>
      <c r="JI307" s="236" t="s">
        <v>841</v>
      </c>
      <c r="JK307" s="236" t="s">
        <v>20243</v>
      </c>
      <c r="JL307" s="236" t="s">
        <v>145</v>
      </c>
      <c r="JM307" s="236" t="s">
        <v>74</v>
      </c>
      <c r="JN307" s="236" t="s">
        <v>841</v>
      </c>
      <c r="JP307" s="236" t="s">
        <v>20244</v>
      </c>
      <c r="JQ307" s="236" t="s">
        <v>145</v>
      </c>
      <c r="JR307" s="236" t="s">
        <v>74</v>
      </c>
      <c r="JS307" s="236" t="s">
        <v>841</v>
      </c>
      <c r="JU307" s="294" t="s">
        <v>20245</v>
      </c>
      <c r="JV307" s="294" t="s">
        <v>52</v>
      </c>
      <c r="JW307" s="263" t="s">
        <v>70</v>
      </c>
      <c r="JX307" s="294" t="s">
        <v>1083</v>
      </c>
      <c r="JZ307" s="263" t="s">
        <v>20246</v>
      </c>
      <c r="KA307" s="263" t="s">
        <v>145</v>
      </c>
      <c r="KB307" s="263" t="s">
        <v>70</v>
      </c>
      <c r="KC307" s="263" t="s">
        <v>1083</v>
      </c>
      <c r="KE307" s="263" t="s">
        <v>20247</v>
      </c>
      <c r="KF307" s="263" t="s">
        <v>52</v>
      </c>
      <c r="KG307" s="263" t="s">
        <v>70</v>
      </c>
      <c r="KH307" s="263" t="s">
        <v>1083</v>
      </c>
      <c r="KJ307" s="263" t="s">
        <v>20248</v>
      </c>
      <c r="KK307" s="263" t="s">
        <v>52</v>
      </c>
      <c r="KL307" s="263" t="s">
        <v>74</v>
      </c>
      <c r="KM307" s="263" t="s">
        <v>34074</v>
      </c>
      <c r="KO307" s="214" t="s">
        <v>20249</v>
      </c>
      <c r="KP307" s="214" t="s">
        <v>145</v>
      </c>
      <c r="KQ307" s="214" t="s">
        <v>70</v>
      </c>
      <c r="KR307" s="214" t="s">
        <v>67</v>
      </c>
      <c r="KT307" s="22" t="s">
        <v>20250</v>
      </c>
      <c r="KU307" s="22" t="s">
        <v>145</v>
      </c>
      <c r="KV307" s="22" t="s">
        <v>70</v>
      </c>
      <c r="KW307" s="22" t="s">
        <v>67</v>
      </c>
      <c r="KY307" s="214" t="s">
        <v>20251</v>
      </c>
      <c r="KZ307" s="214" t="s">
        <v>52</v>
      </c>
      <c r="LA307" s="214" t="s">
        <v>74</v>
      </c>
      <c r="LB307" s="214" t="s">
        <v>67</v>
      </c>
      <c r="LD307" s="22" t="s">
        <v>20252</v>
      </c>
      <c r="LE307" s="22" t="s">
        <v>145</v>
      </c>
      <c r="LF307" s="22" t="s">
        <v>70</v>
      </c>
      <c r="LG307" s="22" t="s">
        <v>67</v>
      </c>
    </row>
    <row r="308" spans="1:319">
      <c r="A308" s="22" t="s">
        <v>20253</v>
      </c>
      <c r="B308" s="22" t="s">
        <v>145</v>
      </c>
      <c r="C308" s="22" t="s">
        <v>70</v>
      </c>
      <c r="D308" s="22" t="s">
        <v>67</v>
      </c>
      <c r="F308" s="99" t="s">
        <v>20254</v>
      </c>
      <c r="G308" s="22" t="s">
        <v>145</v>
      </c>
      <c r="H308" s="22" t="s">
        <v>70</v>
      </c>
      <c r="I308" s="22" t="s">
        <v>67</v>
      </c>
      <c r="K308" s="22" t="s">
        <v>20255</v>
      </c>
      <c r="L308" s="22" t="s">
        <v>145</v>
      </c>
      <c r="M308" s="22" t="s">
        <v>70</v>
      </c>
      <c r="N308" s="22" t="s">
        <v>67</v>
      </c>
      <c r="P308" s="22" t="s">
        <v>20256</v>
      </c>
      <c r="Q308" s="22" t="s">
        <v>145</v>
      </c>
      <c r="R308" s="22" t="s">
        <v>70</v>
      </c>
      <c r="S308" s="22" t="s">
        <v>67</v>
      </c>
      <c r="U308" s="293" t="s">
        <v>20257</v>
      </c>
      <c r="V308" s="293" t="s">
        <v>145</v>
      </c>
      <c r="W308" s="293" t="s">
        <v>74</v>
      </c>
      <c r="X308" s="293" t="s">
        <v>656</v>
      </c>
      <c r="Z308" s="293" t="s">
        <v>20258</v>
      </c>
      <c r="AA308" s="293" t="s">
        <v>145</v>
      </c>
      <c r="AB308" s="293" t="s">
        <v>74</v>
      </c>
      <c r="AC308" s="293" t="s">
        <v>656</v>
      </c>
      <c r="AE308" s="293" t="s">
        <v>20259</v>
      </c>
      <c r="AF308" s="293" t="s">
        <v>145</v>
      </c>
      <c r="AG308" s="293" t="s">
        <v>74</v>
      </c>
      <c r="AH308" s="293" t="s">
        <v>656</v>
      </c>
      <c r="AJ308" s="293" t="s">
        <v>20260</v>
      </c>
      <c r="AK308" s="293" t="s">
        <v>145</v>
      </c>
      <c r="AL308" s="293" t="s">
        <v>74</v>
      </c>
      <c r="AM308" s="293" t="s">
        <v>656</v>
      </c>
      <c r="AO308" s="22" t="s">
        <v>20261</v>
      </c>
      <c r="AP308" s="22" t="s">
        <v>145</v>
      </c>
      <c r="AQ308" s="22" t="s">
        <v>70</v>
      </c>
      <c r="AR308" s="22" t="s">
        <v>67</v>
      </c>
      <c r="AT308" s="22" t="s">
        <v>20262</v>
      </c>
      <c r="AU308" s="22" t="s">
        <v>145</v>
      </c>
      <c r="AV308" s="22" t="s">
        <v>70</v>
      </c>
      <c r="AW308" s="22" t="s">
        <v>67</v>
      </c>
      <c r="AY308" s="22" t="s">
        <v>20263</v>
      </c>
      <c r="AZ308" s="22" t="s">
        <v>145</v>
      </c>
      <c r="BA308" s="22" t="s">
        <v>70</v>
      </c>
      <c r="BB308" s="22" t="s">
        <v>67</v>
      </c>
      <c r="BD308" s="22" t="s">
        <v>20264</v>
      </c>
      <c r="BE308" s="22" t="s">
        <v>145</v>
      </c>
      <c r="BF308" s="22" t="s">
        <v>70</v>
      </c>
      <c r="BG308" s="22" t="s">
        <v>67</v>
      </c>
      <c r="BI308" s="22" t="s">
        <v>20265</v>
      </c>
      <c r="BJ308" s="22" t="s">
        <v>145</v>
      </c>
      <c r="BK308" s="22" t="s">
        <v>70</v>
      </c>
      <c r="BL308" s="22" t="s">
        <v>67</v>
      </c>
      <c r="BN308" s="22" t="s">
        <v>20266</v>
      </c>
      <c r="BO308" s="22" t="s">
        <v>145</v>
      </c>
      <c r="BP308" s="22" t="s">
        <v>70</v>
      </c>
      <c r="BQ308" s="22" t="s">
        <v>67</v>
      </c>
      <c r="BS308" s="22" t="s">
        <v>20267</v>
      </c>
      <c r="BT308" s="22" t="s">
        <v>145</v>
      </c>
      <c r="BU308" s="22" t="s">
        <v>70</v>
      </c>
      <c r="BV308" s="214" t="s">
        <v>530</v>
      </c>
      <c r="BX308" s="22" t="s">
        <v>20268</v>
      </c>
      <c r="BY308" s="22" t="s">
        <v>145</v>
      </c>
      <c r="BZ308" s="22" t="s">
        <v>70</v>
      </c>
      <c r="CA308" s="214" t="s">
        <v>530</v>
      </c>
      <c r="CC308" s="214" t="s">
        <v>20269</v>
      </c>
      <c r="CD308" s="218" t="s">
        <v>34608</v>
      </c>
      <c r="CE308" s="214" t="s">
        <v>70</v>
      </c>
      <c r="CF308" s="214" t="s">
        <v>761</v>
      </c>
      <c r="CH308" s="214" t="s">
        <v>20270</v>
      </c>
      <c r="CI308" s="214" t="s">
        <v>920</v>
      </c>
      <c r="CJ308" s="214" t="s">
        <v>70</v>
      </c>
      <c r="CK308" s="214" t="s">
        <v>530</v>
      </c>
      <c r="CM308" s="214" t="s">
        <v>20271</v>
      </c>
      <c r="CN308" s="214" t="s">
        <v>85</v>
      </c>
      <c r="CO308" s="214" t="s">
        <v>70</v>
      </c>
      <c r="CP308" s="214" t="s">
        <v>530</v>
      </c>
      <c r="CR308" s="214" t="s">
        <v>20272</v>
      </c>
      <c r="CS308" s="214" t="s">
        <v>52</v>
      </c>
      <c r="CT308" s="214" t="s">
        <v>70</v>
      </c>
      <c r="CU308" s="214" t="s">
        <v>530</v>
      </c>
      <c r="CW308" s="214" t="s">
        <v>20273</v>
      </c>
      <c r="CX308" s="214" t="s">
        <v>34540</v>
      </c>
      <c r="CY308" s="214" t="s">
        <v>70</v>
      </c>
      <c r="CZ308" s="214" t="s">
        <v>530</v>
      </c>
      <c r="DB308" s="214" t="s">
        <v>20274</v>
      </c>
      <c r="DC308" s="214" t="s">
        <v>52</v>
      </c>
      <c r="DD308" s="214" t="s">
        <v>70</v>
      </c>
      <c r="DE308" s="214" t="s">
        <v>530</v>
      </c>
      <c r="DG308" s="214" t="s">
        <v>20275</v>
      </c>
      <c r="DH308" s="214" t="s">
        <v>103</v>
      </c>
      <c r="DI308" s="214" t="s">
        <v>70</v>
      </c>
      <c r="DJ308" s="214" t="s">
        <v>530</v>
      </c>
      <c r="DL308" s="214" t="s">
        <v>20276</v>
      </c>
      <c r="DM308" s="214" t="s">
        <v>88</v>
      </c>
      <c r="DN308" s="214" t="s">
        <v>70</v>
      </c>
      <c r="DO308" s="214" t="s">
        <v>530</v>
      </c>
      <c r="DQ308" s="214" t="s">
        <v>20277</v>
      </c>
      <c r="DR308" s="214" t="s">
        <v>947</v>
      </c>
      <c r="DS308" s="214" t="s">
        <v>70</v>
      </c>
      <c r="DT308" s="214" t="s">
        <v>530</v>
      </c>
      <c r="DV308" s="214" t="s">
        <v>20278</v>
      </c>
      <c r="DW308" s="214" t="s">
        <v>950</v>
      </c>
      <c r="DX308" s="214" t="s">
        <v>70</v>
      </c>
      <c r="DY308" s="214" t="s">
        <v>530</v>
      </c>
      <c r="EA308" s="214" t="s">
        <v>20279</v>
      </c>
      <c r="EB308" s="214" t="s">
        <v>34547</v>
      </c>
      <c r="EC308" s="214" t="s">
        <v>70</v>
      </c>
      <c r="ED308" s="214" t="s">
        <v>530</v>
      </c>
      <c r="EF308" s="214" t="s">
        <v>20280</v>
      </c>
      <c r="EG308" s="214" t="s">
        <v>944</v>
      </c>
      <c r="EH308" s="214" t="s">
        <v>70</v>
      </c>
      <c r="EI308" s="214" t="s">
        <v>530</v>
      </c>
      <c r="EK308" s="214" t="s">
        <v>20281</v>
      </c>
      <c r="EL308" s="214" t="s">
        <v>148</v>
      </c>
      <c r="EM308" s="214" t="s">
        <v>70</v>
      </c>
      <c r="EN308" s="214" t="s">
        <v>530</v>
      </c>
      <c r="EP308" s="214" t="s">
        <v>20282</v>
      </c>
      <c r="EQ308" s="214" t="s">
        <v>52</v>
      </c>
      <c r="ER308" s="214" t="s">
        <v>70</v>
      </c>
      <c r="ES308" s="214" t="s">
        <v>530</v>
      </c>
      <c r="EU308" s="214" t="s">
        <v>20283</v>
      </c>
      <c r="EV308" s="214" t="s">
        <v>146</v>
      </c>
      <c r="EW308" s="214" t="s">
        <v>70</v>
      </c>
      <c r="EX308" s="214" t="s">
        <v>530</v>
      </c>
      <c r="EZ308" s="214" t="s">
        <v>20284</v>
      </c>
      <c r="FA308" s="214" t="s">
        <v>905</v>
      </c>
      <c r="FB308" s="214" t="s">
        <v>70</v>
      </c>
      <c r="FC308" s="214" t="s">
        <v>530</v>
      </c>
      <c r="FE308" s="214" t="s">
        <v>20285</v>
      </c>
      <c r="FF308" s="214" t="s">
        <v>52</v>
      </c>
      <c r="FG308" s="214" t="s">
        <v>70</v>
      </c>
      <c r="FH308" s="214" t="s">
        <v>530</v>
      </c>
      <c r="FJ308" s="321" t="s">
        <v>20286</v>
      </c>
      <c r="FK308" s="214" t="s">
        <v>52</v>
      </c>
      <c r="FL308" s="214" t="s">
        <v>70</v>
      </c>
      <c r="FM308" s="214" t="s">
        <v>530</v>
      </c>
      <c r="FO308" s="321" t="s">
        <v>20287</v>
      </c>
      <c r="FP308" s="214" t="s">
        <v>52</v>
      </c>
      <c r="FQ308" s="214" t="s">
        <v>70</v>
      </c>
      <c r="FR308" s="214" t="s">
        <v>530</v>
      </c>
      <c r="FT308" s="321" t="s">
        <v>20288</v>
      </c>
      <c r="FU308" s="214" t="s">
        <v>292</v>
      </c>
      <c r="FV308" s="214" t="s">
        <v>70</v>
      </c>
      <c r="FW308" s="214" t="s">
        <v>530</v>
      </c>
      <c r="FY308" s="321" t="s">
        <v>20289</v>
      </c>
      <c r="FZ308" s="214" t="s">
        <v>52</v>
      </c>
      <c r="GA308" s="214" t="s">
        <v>70</v>
      </c>
      <c r="GB308" s="214" t="s">
        <v>530</v>
      </c>
      <c r="GD308" s="321" t="s">
        <v>20290</v>
      </c>
      <c r="GE308" s="214" t="s">
        <v>34645</v>
      </c>
      <c r="GF308" s="214" t="s">
        <v>70</v>
      </c>
      <c r="GG308" s="214" t="s">
        <v>530</v>
      </c>
      <c r="GI308" s="321" t="s">
        <v>20291</v>
      </c>
      <c r="GJ308" s="214" t="s">
        <v>87</v>
      </c>
      <c r="GK308" s="214" t="s">
        <v>70</v>
      </c>
      <c r="GL308" s="214" t="s">
        <v>530</v>
      </c>
      <c r="GN308" s="321" t="s">
        <v>20292</v>
      </c>
      <c r="GO308" s="214" t="s">
        <v>146</v>
      </c>
      <c r="GP308" s="214" t="s">
        <v>70</v>
      </c>
      <c r="GQ308" s="214" t="s">
        <v>530</v>
      </c>
      <c r="GS308" s="321" t="s">
        <v>20293</v>
      </c>
      <c r="GT308" s="214" t="s">
        <v>34640</v>
      </c>
      <c r="GU308" s="214" t="s">
        <v>70</v>
      </c>
      <c r="GV308" s="214" t="s">
        <v>530</v>
      </c>
      <c r="GX308" s="214" t="s">
        <v>20294</v>
      </c>
      <c r="GY308" s="214" t="s">
        <v>103</v>
      </c>
      <c r="GZ308" s="214" t="s">
        <v>70</v>
      </c>
      <c r="HA308" s="214" t="s">
        <v>530</v>
      </c>
      <c r="HC308" s="214" t="s">
        <v>20295</v>
      </c>
      <c r="HD308" s="214" t="s">
        <v>496</v>
      </c>
      <c r="HE308" s="214" t="s">
        <v>70</v>
      </c>
      <c r="HF308" s="214" t="s">
        <v>530</v>
      </c>
      <c r="HH308" s="214" t="s">
        <v>20296</v>
      </c>
      <c r="HI308" s="214" t="s">
        <v>34073</v>
      </c>
      <c r="HJ308" s="214" t="s">
        <v>70</v>
      </c>
      <c r="HK308" s="214" t="s">
        <v>530</v>
      </c>
      <c r="HM308" s="214" t="s">
        <v>20297</v>
      </c>
      <c r="HN308" s="214" t="s">
        <v>204</v>
      </c>
      <c r="HO308" s="214" t="s">
        <v>70</v>
      </c>
      <c r="HP308" s="214" t="s">
        <v>530</v>
      </c>
      <c r="HR308" s="22" t="s">
        <v>20298</v>
      </c>
      <c r="HS308" s="22" t="s">
        <v>52</v>
      </c>
      <c r="HT308" s="22" t="s">
        <v>70</v>
      </c>
      <c r="HU308" s="214" t="s">
        <v>530</v>
      </c>
      <c r="HW308" s="22" t="s">
        <v>20299</v>
      </c>
      <c r="HX308" s="22" t="s">
        <v>604</v>
      </c>
      <c r="HY308" s="22" t="s">
        <v>70</v>
      </c>
      <c r="HZ308" s="214" t="s">
        <v>530</v>
      </c>
      <c r="IB308" s="22" t="s">
        <v>20300</v>
      </c>
      <c r="IC308" s="22" t="s">
        <v>52</v>
      </c>
      <c r="ID308" s="22" t="s">
        <v>70</v>
      </c>
      <c r="IE308" s="214" t="s">
        <v>530</v>
      </c>
      <c r="IG308" s="22" t="s">
        <v>20301</v>
      </c>
      <c r="IH308" s="22" t="s">
        <v>52</v>
      </c>
      <c r="II308" s="22" t="s">
        <v>70</v>
      </c>
      <c r="IJ308" s="214" t="s">
        <v>530</v>
      </c>
      <c r="IL308" s="22" t="s">
        <v>20302</v>
      </c>
      <c r="IM308" s="22" t="s">
        <v>145</v>
      </c>
      <c r="IN308" s="22" t="s">
        <v>70</v>
      </c>
      <c r="IO308" s="214" t="s">
        <v>530</v>
      </c>
      <c r="IQ308" s="236" t="s">
        <v>20303</v>
      </c>
      <c r="IR308" s="236" t="s">
        <v>145</v>
      </c>
      <c r="IS308" s="236" t="s">
        <v>74</v>
      </c>
      <c r="IT308" s="236" t="s">
        <v>841</v>
      </c>
      <c r="IV308" s="236" t="s">
        <v>20304</v>
      </c>
      <c r="IW308" s="236" t="s">
        <v>145</v>
      </c>
      <c r="IX308" s="236" t="s">
        <v>74</v>
      </c>
      <c r="IY308" s="236" t="s">
        <v>841</v>
      </c>
      <c r="JA308" s="236" t="s">
        <v>20305</v>
      </c>
      <c r="JB308" s="236" t="s">
        <v>145</v>
      </c>
      <c r="JC308" s="236" t="s">
        <v>74</v>
      </c>
      <c r="JD308" s="236" t="s">
        <v>841</v>
      </c>
      <c r="JF308" s="236" t="s">
        <v>20306</v>
      </c>
      <c r="JG308" s="236" t="s">
        <v>145</v>
      </c>
      <c r="JH308" s="236" t="s">
        <v>74</v>
      </c>
      <c r="JI308" s="236" t="s">
        <v>841</v>
      </c>
      <c r="JK308" s="236" t="s">
        <v>20307</v>
      </c>
      <c r="JL308" s="236" t="s">
        <v>145</v>
      </c>
      <c r="JM308" s="236" t="s">
        <v>74</v>
      </c>
      <c r="JN308" s="236" t="s">
        <v>841</v>
      </c>
      <c r="JP308" s="236" t="s">
        <v>20308</v>
      </c>
      <c r="JQ308" s="236" t="s">
        <v>145</v>
      </c>
      <c r="JR308" s="236" t="s">
        <v>74</v>
      </c>
      <c r="JS308" s="236" t="s">
        <v>841</v>
      </c>
      <c r="JU308" s="294" t="s">
        <v>20309</v>
      </c>
      <c r="JV308" s="294" t="s">
        <v>52</v>
      </c>
      <c r="JW308" s="263" t="s">
        <v>70</v>
      </c>
      <c r="JX308" s="294" t="s">
        <v>1083</v>
      </c>
      <c r="JZ308" s="263" t="s">
        <v>20310</v>
      </c>
      <c r="KA308" s="263" t="s">
        <v>145</v>
      </c>
      <c r="KB308" s="263" t="s">
        <v>70</v>
      </c>
      <c r="KC308" s="263" t="s">
        <v>1083</v>
      </c>
      <c r="KE308" s="263" t="s">
        <v>20311</v>
      </c>
      <c r="KF308" s="263" t="s">
        <v>52</v>
      </c>
      <c r="KG308" s="263" t="s">
        <v>70</v>
      </c>
      <c r="KH308" s="263" t="s">
        <v>1083</v>
      </c>
      <c r="KJ308" s="263" t="s">
        <v>20312</v>
      </c>
      <c r="KK308" s="263" t="s">
        <v>52</v>
      </c>
      <c r="KL308" s="263" t="s">
        <v>74</v>
      </c>
      <c r="KM308" s="263" t="s">
        <v>34074</v>
      </c>
      <c r="KO308" s="214" t="s">
        <v>20313</v>
      </c>
      <c r="KP308" s="214" t="s">
        <v>145</v>
      </c>
      <c r="KQ308" s="214" t="s">
        <v>70</v>
      </c>
      <c r="KR308" s="214" t="s">
        <v>67</v>
      </c>
      <c r="KT308" s="22" t="s">
        <v>20314</v>
      </c>
      <c r="KU308" s="22" t="s">
        <v>145</v>
      </c>
      <c r="KV308" s="22" t="s">
        <v>70</v>
      </c>
      <c r="KW308" s="22" t="s">
        <v>67</v>
      </c>
      <c r="KY308" s="214" t="s">
        <v>20315</v>
      </c>
      <c r="KZ308" s="214" t="s">
        <v>52</v>
      </c>
      <c r="LA308" s="214" t="s">
        <v>74</v>
      </c>
      <c r="LB308" s="214" t="s">
        <v>67</v>
      </c>
      <c r="LD308" s="22" t="s">
        <v>20316</v>
      </c>
      <c r="LE308" s="22" t="s">
        <v>145</v>
      </c>
      <c r="LF308" s="22" t="s">
        <v>70</v>
      </c>
      <c r="LG308" s="22" t="s">
        <v>67</v>
      </c>
    </row>
    <row r="309" spans="1:319">
      <c r="A309" s="22" t="s">
        <v>20317</v>
      </c>
      <c r="B309" s="22" t="s">
        <v>145</v>
      </c>
      <c r="C309" s="22" t="s">
        <v>70</v>
      </c>
      <c r="D309" s="22" t="s">
        <v>67</v>
      </c>
      <c r="F309" s="99" t="s">
        <v>20318</v>
      </c>
      <c r="G309" s="22" t="s">
        <v>145</v>
      </c>
      <c r="H309" s="22" t="s">
        <v>70</v>
      </c>
      <c r="I309" s="22" t="s">
        <v>67</v>
      </c>
      <c r="K309" s="22" t="s">
        <v>20319</v>
      </c>
      <c r="L309" s="22" t="s">
        <v>145</v>
      </c>
      <c r="M309" s="22" t="s">
        <v>70</v>
      </c>
      <c r="N309" s="22" t="s">
        <v>67</v>
      </c>
      <c r="P309" s="22" t="s">
        <v>20320</v>
      </c>
      <c r="Q309" s="22" t="s">
        <v>145</v>
      </c>
      <c r="R309" s="22" t="s">
        <v>70</v>
      </c>
      <c r="S309" s="22" t="s">
        <v>67</v>
      </c>
      <c r="U309" s="293" t="s">
        <v>20321</v>
      </c>
      <c r="V309" s="293" t="s">
        <v>145</v>
      </c>
      <c r="W309" s="293" t="s">
        <v>74</v>
      </c>
      <c r="X309" s="293" t="s">
        <v>656</v>
      </c>
      <c r="Z309" s="293" t="s">
        <v>20322</v>
      </c>
      <c r="AA309" s="293" t="s">
        <v>145</v>
      </c>
      <c r="AB309" s="293" t="s">
        <v>74</v>
      </c>
      <c r="AC309" s="293" t="s">
        <v>656</v>
      </c>
      <c r="AE309" s="293" t="s">
        <v>20323</v>
      </c>
      <c r="AF309" s="293" t="s">
        <v>145</v>
      </c>
      <c r="AG309" s="293" t="s">
        <v>74</v>
      </c>
      <c r="AH309" s="293" t="s">
        <v>656</v>
      </c>
      <c r="AJ309" s="293" t="s">
        <v>20324</v>
      </c>
      <c r="AK309" s="293" t="s">
        <v>145</v>
      </c>
      <c r="AL309" s="293" t="s">
        <v>74</v>
      </c>
      <c r="AM309" s="293" t="s">
        <v>656</v>
      </c>
      <c r="AO309" s="22" t="s">
        <v>20325</v>
      </c>
      <c r="AP309" s="22" t="s">
        <v>145</v>
      </c>
      <c r="AQ309" s="22" t="s">
        <v>70</v>
      </c>
      <c r="AR309" s="22" t="s">
        <v>67</v>
      </c>
      <c r="AT309" s="22" t="s">
        <v>20326</v>
      </c>
      <c r="AU309" s="22" t="s">
        <v>145</v>
      </c>
      <c r="AV309" s="22" t="s">
        <v>70</v>
      </c>
      <c r="AW309" s="22" t="s">
        <v>67</v>
      </c>
      <c r="AY309" s="22" t="s">
        <v>20327</v>
      </c>
      <c r="AZ309" s="22" t="s">
        <v>145</v>
      </c>
      <c r="BA309" s="22" t="s">
        <v>70</v>
      </c>
      <c r="BB309" s="22" t="s">
        <v>67</v>
      </c>
      <c r="BD309" s="22" t="s">
        <v>20328</v>
      </c>
      <c r="BE309" s="22" t="s">
        <v>145</v>
      </c>
      <c r="BF309" s="22" t="s">
        <v>70</v>
      </c>
      <c r="BG309" s="22" t="s">
        <v>67</v>
      </c>
      <c r="BI309" s="22" t="s">
        <v>20329</v>
      </c>
      <c r="BJ309" s="22" t="s">
        <v>145</v>
      </c>
      <c r="BK309" s="22" t="s">
        <v>70</v>
      </c>
      <c r="BL309" s="22" t="s">
        <v>67</v>
      </c>
      <c r="BN309" s="22" t="s">
        <v>20330</v>
      </c>
      <c r="BO309" s="22" t="s">
        <v>145</v>
      </c>
      <c r="BP309" s="22" t="s">
        <v>70</v>
      </c>
      <c r="BQ309" s="22" t="s">
        <v>67</v>
      </c>
      <c r="BS309" s="22" t="s">
        <v>20331</v>
      </c>
      <c r="BT309" s="22" t="s">
        <v>145</v>
      </c>
      <c r="BU309" s="22" t="s">
        <v>70</v>
      </c>
      <c r="BV309" s="214" t="s">
        <v>530</v>
      </c>
      <c r="BX309" s="22" t="s">
        <v>20332</v>
      </c>
      <c r="BY309" s="22" t="s">
        <v>145</v>
      </c>
      <c r="BZ309" s="22" t="s">
        <v>70</v>
      </c>
      <c r="CA309" s="214" t="s">
        <v>530</v>
      </c>
      <c r="CC309" s="214" t="s">
        <v>20333</v>
      </c>
      <c r="CD309" s="218" t="s">
        <v>34607</v>
      </c>
      <c r="CE309" s="214" t="s">
        <v>70</v>
      </c>
      <c r="CF309" s="214" t="s">
        <v>762</v>
      </c>
      <c r="CH309" s="214" t="s">
        <v>20334</v>
      </c>
      <c r="CI309" s="214" t="s">
        <v>34542</v>
      </c>
      <c r="CJ309" s="214" t="s">
        <v>70</v>
      </c>
      <c r="CK309" s="214" t="s">
        <v>530</v>
      </c>
      <c r="CM309" s="214" t="s">
        <v>20335</v>
      </c>
      <c r="CN309" s="214" t="s">
        <v>485</v>
      </c>
      <c r="CO309" s="214" t="s">
        <v>70</v>
      </c>
      <c r="CP309" s="214" t="s">
        <v>530</v>
      </c>
      <c r="CR309" s="214" t="s">
        <v>20336</v>
      </c>
      <c r="CS309" s="214" t="s">
        <v>52</v>
      </c>
      <c r="CT309" s="214" t="s">
        <v>70</v>
      </c>
      <c r="CU309" s="214" t="s">
        <v>530</v>
      </c>
      <c r="CW309" s="214" t="s">
        <v>20337</v>
      </c>
      <c r="CX309" s="214" t="s">
        <v>146</v>
      </c>
      <c r="CY309" s="214" t="s">
        <v>70</v>
      </c>
      <c r="CZ309" s="214" t="s">
        <v>530</v>
      </c>
      <c r="DB309" s="214" t="s">
        <v>20338</v>
      </c>
      <c r="DC309" s="214" t="s">
        <v>203</v>
      </c>
      <c r="DD309" s="214" t="s">
        <v>70</v>
      </c>
      <c r="DE309" s="214" t="s">
        <v>530</v>
      </c>
      <c r="DG309" s="214" t="s">
        <v>20339</v>
      </c>
      <c r="DH309" s="214" t="s">
        <v>34562</v>
      </c>
      <c r="DI309" s="214" t="s">
        <v>70</v>
      </c>
      <c r="DJ309" s="214" t="s">
        <v>530</v>
      </c>
      <c r="DL309" s="214" t="s">
        <v>20340</v>
      </c>
      <c r="DM309" s="214" t="s">
        <v>34544</v>
      </c>
      <c r="DN309" s="214" t="s">
        <v>70</v>
      </c>
      <c r="DO309" s="214" t="s">
        <v>530</v>
      </c>
      <c r="DQ309" s="214" t="s">
        <v>20341</v>
      </c>
      <c r="DR309" s="214" t="s">
        <v>88</v>
      </c>
      <c r="DS309" s="214" t="s">
        <v>70</v>
      </c>
      <c r="DT309" s="214" t="s">
        <v>530</v>
      </c>
      <c r="DV309" s="214" t="s">
        <v>20342</v>
      </c>
      <c r="DW309" s="214" t="s">
        <v>488</v>
      </c>
      <c r="DX309" s="214" t="s">
        <v>70</v>
      </c>
      <c r="DY309" s="214" t="s">
        <v>530</v>
      </c>
      <c r="EA309" s="214" t="s">
        <v>20343</v>
      </c>
      <c r="EB309" s="214" t="s">
        <v>34544</v>
      </c>
      <c r="EC309" s="214" t="s">
        <v>70</v>
      </c>
      <c r="ED309" s="214" t="s">
        <v>530</v>
      </c>
      <c r="EF309" s="214" t="s">
        <v>20344</v>
      </c>
      <c r="EG309" s="214" t="s">
        <v>491</v>
      </c>
      <c r="EH309" s="214" t="s">
        <v>70</v>
      </c>
      <c r="EI309" s="214" t="s">
        <v>530</v>
      </c>
      <c r="EK309" s="214" t="s">
        <v>20345</v>
      </c>
      <c r="EL309" s="214" t="s">
        <v>952</v>
      </c>
      <c r="EM309" s="214" t="s">
        <v>70</v>
      </c>
      <c r="EN309" s="214" t="s">
        <v>530</v>
      </c>
      <c r="EP309" s="214" t="s">
        <v>20346</v>
      </c>
      <c r="EQ309" s="214" t="s">
        <v>203</v>
      </c>
      <c r="ER309" s="214" t="s">
        <v>70</v>
      </c>
      <c r="ES309" s="214" t="s">
        <v>530</v>
      </c>
      <c r="EU309" s="214" t="s">
        <v>20347</v>
      </c>
      <c r="EV309" s="214" t="s">
        <v>92</v>
      </c>
      <c r="EW309" s="214" t="s">
        <v>70</v>
      </c>
      <c r="EX309" s="214" t="s">
        <v>530</v>
      </c>
      <c r="EZ309" s="214" t="s">
        <v>20348</v>
      </c>
      <c r="FA309" s="214" t="s">
        <v>501</v>
      </c>
      <c r="FB309" s="214" t="s">
        <v>70</v>
      </c>
      <c r="FC309" s="214" t="s">
        <v>530</v>
      </c>
      <c r="FE309" s="214" t="s">
        <v>20349</v>
      </c>
      <c r="FF309" s="214" t="s">
        <v>33910</v>
      </c>
      <c r="FG309" s="214" t="s">
        <v>70</v>
      </c>
      <c r="FH309" s="214" t="s">
        <v>530</v>
      </c>
      <c r="FJ309" s="321" t="s">
        <v>20350</v>
      </c>
      <c r="FK309" s="214" t="s">
        <v>468</v>
      </c>
      <c r="FL309" s="214" t="s">
        <v>70</v>
      </c>
      <c r="FM309" s="214" t="s">
        <v>530</v>
      </c>
      <c r="FO309" s="321" t="s">
        <v>20351</v>
      </c>
      <c r="FP309" s="214" t="s">
        <v>203</v>
      </c>
      <c r="FQ309" s="214" t="s">
        <v>70</v>
      </c>
      <c r="FR309" s="214" t="s">
        <v>530</v>
      </c>
      <c r="FT309" s="321" t="s">
        <v>20352</v>
      </c>
      <c r="FU309" s="214" t="s">
        <v>798</v>
      </c>
      <c r="FV309" s="214" t="s">
        <v>70</v>
      </c>
      <c r="FW309" s="214" t="s">
        <v>530</v>
      </c>
      <c r="FY309" s="321" t="s">
        <v>20353</v>
      </c>
      <c r="FZ309" s="214" t="s">
        <v>204</v>
      </c>
      <c r="GA309" s="214" t="s">
        <v>70</v>
      </c>
      <c r="GB309" s="214" t="s">
        <v>530</v>
      </c>
      <c r="GD309" s="321" t="s">
        <v>20354</v>
      </c>
      <c r="GE309" s="214" t="s">
        <v>34558</v>
      </c>
      <c r="GF309" s="214" t="s">
        <v>70</v>
      </c>
      <c r="GG309" s="214" t="s">
        <v>530</v>
      </c>
      <c r="GI309" s="321" t="s">
        <v>20355</v>
      </c>
      <c r="GJ309" s="214" t="s">
        <v>468</v>
      </c>
      <c r="GK309" s="214" t="s">
        <v>70</v>
      </c>
      <c r="GL309" s="214" t="s">
        <v>530</v>
      </c>
      <c r="GN309" s="321" t="s">
        <v>20356</v>
      </c>
      <c r="GO309" s="214" t="s">
        <v>52</v>
      </c>
      <c r="GP309" s="214" t="s">
        <v>70</v>
      </c>
      <c r="GQ309" s="214" t="s">
        <v>530</v>
      </c>
      <c r="GS309" s="321" t="s">
        <v>20357</v>
      </c>
      <c r="GT309" s="214" t="s">
        <v>145</v>
      </c>
      <c r="GU309" s="214" t="s">
        <v>70</v>
      </c>
      <c r="GV309" s="214" t="s">
        <v>530</v>
      </c>
      <c r="GX309" s="214" t="s">
        <v>20358</v>
      </c>
      <c r="GY309" s="214" t="s">
        <v>491</v>
      </c>
      <c r="GZ309" s="214" t="s">
        <v>70</v>
      </c>
      <c r="HA309" s="214" t="s">
        <v>530</v>
      </c>
      <c r="HC309" s="214" t="s">
        <v>20359</v>
      </c>
      <c r="HD309" s="214" t="s">
        <v>502</v>
      </c>
      <c r="HE309" s="214" t="s">
        <v>70</v>
      </c>
      <c r="HF309" s="214" t="s">
        <v>530</v>
      </c>
      <c r="HH309" s="214" t="s">
        <v>20360</v>
      </c>
      <c r="HI309" s="214" t="s">
        <v>488</v>
      </c>
      <c r="HJ309" s="214" t="s">
        <v>70</v>
      </c>
      <c r="HK309" s="214" t="s">
        <v>530</v>
      </c>
      <c r="HM309" s="214" t="s">
        <v>20361</v>
      </c>
      <c r="HN309" s="214" t="s">
        <v>145</v>
      </c>
      <c r="HO309" s="214" t="s">
        <v>70</v>
      </c>
      <c r="HP309" s="214" t="s">
        <v>530</v>
      </c>
      <c r="HR309" s="22" t="s">
        <v>20362</v>
      </c>
      <c r="HS309" s="22" t="s">
        <v>52</v>
      </c>
      <c r="HT309" s="22" t="s">
        <v>70</v>
      </c>
      <c r="HU309" s="214" t="s">
        <v>530</v>
      </c>
      <c r="HW309" s="22" t="s">
        <v>20363</v>
      </c>
      <c r="HX309" s="22" t="s">
        <v>52</v>
      </c>
      <c r="HY309" s="22" t="s">
        <v>70</v>
      </c>
      <c r="HZ309" s="214" t="s">
        <v>530</v>
      </c>
      <c r="IB309" s="22" t="s">
        <v>20364</v>
      </c>
      <c r="IC309" s="22" t="s">
        <v>955</v>
      </c>
      <c r="ID309" s="22" t="s">
        <v>70</v>
      </c>
      <c r="IE309" s="214" t="s">
        <v>530</v>
      </c>
      <c r="IG309" s="22" t="s">
        <v>20365</v>
      </c>
      <c r="IH309" s="22" t="s">
        <v>52</v>
      </c>
      <c r="II309" s="22" t="s">
        <v>70</v>
      </c>
      <c r="IJ309" s="214" t="s">
        <v>530</v>
      </c>
      <c r="IL309" s="22" t="s">
        <v>20366</v>
      </c>
      <c r="IM309" s="22" t="s">
        <v>145</v>
      </c>
      <c r="IN309" s="22" t="s">
        <v>70</v>
      </c>
      <c r="IO309" s="214" t="s">
        <v>530</v>
      </c>
      <c r="IQ309" s="236" t="s">
        <v>20367</v>
      </c>
      <c r="IR309" s="236" t="s">
        <v>145</v>
      </c>
      <c r="IS309" s="236" t="s">
        <v>74</v>
      </c>
      <c r="IT309" s="236" t="s">
        <v>841</v>
      </c>
      <c r="IV309" s="236" t="s">
        <v>20368</v>
      </c>
      <c r="IW309" s="236" t="s">
        <v>145</v>
      </c>
      <c r="IX309" s="236" t="s">
        <v>74</v>
      </c>
      <c r="IY309" s="236" t="s">
        <v>841</v>
      </c>
      <c r="JA309" s="236" t="s">
        <v>20369</v>
      </c>
      <c r="JB309" s="236" t="s">
        <v>145</v>
      </c>
      <c r="JC309" s="236" t="s">
        <v>74</v>
      </c>
      <c r="JD309" s="236" t="s">
        <v>841</v>
      </c>
      <c r="JF309" s="236" t="s">
        <v>20370</v>
      </c>
      <c r="JG309" s="236" t="s">
        <v>145</v>
      </c>
      <c r="JH309" s="236" t="s">
        <v>74</v>
      </c>
      <c r="JI309" s="236" t="s">
        <v>841</v>
      </c>
      <c r="JK309" s="236" t="s">
        <v>20371</v>
      </c>
      <c r="JL309" s="236" t="s">
        <v>145</v>
      </c>
      <c r="JM309" s="236" t="s">
        <v>74</v>
      </c>
      <c r="JN309" s="236" t="s">
        <v>841</v>
      </c>
      <c r="JP309" s="236" t="s">
        <v>20372</v>
      </c>
      <c r="JQ309" s="236" t="s">
        <v>145</v>
      </c>
      <c r="JR309" s="236" t="s">
        <v>74</v>
      </c>
      <c r="JS309" s="236" t="s">
        <v>841</v>
      </c>
      <c r="JU309" s="294" t="s">
        <v>20373</v>
      </c>
      <c r="JV309" s="294" t="s">
        <v>52</v>
      </c>
      <c r="JW309" s="263" t="s">
        <v>70</v>
      </c>
      <c r="JX309" s="294" t="s">
        <v>1083</v>
      </c>
      <c r="JZ309" s="263" t="s">
        <v>20374</v>
      </c>
      <c r="KA309" s="263" t="s">
        <v>145</v>
      </c>
      <c r="KB309" s="263" t="s">
        <v>70</v>
      </c>
      <c r="KC309" s="263" t="s">
        <v>1083</v>
      </c>
      <c r="KE309" s="263" t="s">
        <v>20375</v>
      </c>
      <c r="KF309" s="263" t="s">
        <v>52</v>
      </c>
      <c r="KG309" s="263" t="s">
        <v>70</v>
      </c>
      <c r="KH309" s="263" t="s">
        <v>1083</v>
      </c>
      <c r="KJ309" s="263" t="s">
        <v>20376</v>
      </c>
      <c r="KK309" s="263" t="s">
        <v>52</v>
      </c>
      <c r="KL309" s="263" t="s">
        <v>74</v>
      </c>
      <c r="KM309" s="263" t="s">
        <v>34074</v>
      </c>
      <c r="KO309" s="214" t="s">
        <v>20377</v>
      </c>
      <c r="KP309" s="214" t="s">
        <v>145</v>
      </c>
      <c r="KQ309" s="214" t="s">
        <v>70</v>
      </c>
      <c r="KR309" s="214" t="s">
        <v>67</v>
      </c>
      <c r="KT309" s="22" t="s">
        <v>20378</v>
      </c>
      <c r="KU309" s="22" t="s">
        <v>145</v>
      </c>
      <c r="KV309" s="22" t="s">
        <v>70</v>
      </c>
      <c r="KW309" s="22" t="s">
        <v>67</v>
      </c>
      <c r="KY309" s="214" t="s">
        <v>20379</v>
      </c>
      <c r="KZ309" s="214" t="s">
        <v>52</v>
      </c>
      <c r="LA309" s="214" t="s">
        <v>74</v>
      </c>
      <c r="LB309" s="214" t="s">
        <v>67</v>
      </c>
      <c r="LD309" s="22" t="s">
        <v>20380</v>
      </c>
      <c r="LE309" s="22" t="s">
        <v>145</v>
      </c>
      <c r="LF309" s="22" t="s">
        <v>70</v>
      </c>
      <c r="LG309" s="22" t="s">
        <v>67</v>
      </c>
    </row>
    <row r="310" spans="1:319">
      <c r="A310" s="22" t="s">
        <v>20381</v>
      </c>
      <c r="B310" s="22" t="s">
        <v>145</v>
      </c>
      <c r="C310" s="22" t="s">
        <v>70</v>
      </c>
      <c r="D310" s="22" t="s">
        <v>67</v>
      </c>
      <c r="F310" s="99" t="s">
        <v>20382</v>
      </c>
      <c r="G310" s="22" t="s">
        <v>145</v>
      </c>
      <c r="H310" s="22" t="s">
        <v>70</v>
      </c>
      <c r="I310" s="22" t="s">
        <v>67</v>
      </c>
      <c r="K310" s="22" t="s">
        <v>20383</v>
      </c>
      <c r="L310" s="22" t="s">
        <v>145</v>
      </c>
      <c r="M310" s="22" t="s">
        <v>70</v>
      </c>
      <c r="N310" s="22" t="s">
        <v>67</v>
      </c>
      <c r="P310" s="22" t="s">
        <v>20384</v>
      </c>
      <c r="Q310" s="22" t="s">
        <v>145</v>
      </c>
      <c r="R310" s="22" t="s">
        <v>70</v>
      </c>
      <c r="S310" s="22" t="s">
        <v>67</v>
      </c>
      <c r="U310" s="293" t="s">
        <v>20385</v>
      </c>
      <c r="V310" s="293" t="s">
        <v>145</v>
      </c>
      <c r="W310" s="293" t="s">
        <v>74</v>
      </c>
      <c r="X310" s="293" t="s">
        <v>656</v>
      </c>
      <c r="Z310" s="293" t="s">
        <v>20386</v>
      </c>
      <c r="AA310" s="293" t="s">
        <v>145</v>
      </c>
      <c r="AB310" s="293" t="s">
        <v>74</v>
      </c>
      <c r="AC310" s="293" t="s">
        <v>656</v>
      </c>
      <c r="AE310" s="293" t="s">
        <v>20387</v>
      </c>
      <c r="AF310" s="293" t="s">
        <v>145</v>
      </c>
      <c r="AG310" s="293" t="s">
        <v>74</v>
      </c>
      <c r="AH310" s="293" t="s">
        <v>656</v>
      </c>
      <c r="AJ310" s="293" t="s">
        <v>20388</v>
      </c>
      <c r="AK310" s="293" t="s">
        <v>145</v>
      </c>
      <c r="AL310" s="293" t="s">
        <v>74</v>
      </c>
      <c r="AM310" s="293" t="s">
        <v>656</v>
      </c>
      <c r="AO310" s="22" t="s">
        <v>20389</v>
      </c>
      <c r="AP310" s="22" t="s">
        <v>145</v>
      </c>
      <c r="AQ310" s="22" t="s">
        <v>70</v>
      </c>
      <c r="AR310" s="22" t="s">
        <v>67</v>
      </c>
      <c r="AT310" s="22" t="s">
        <v>20390</v>
      </c>
      <c r="AU310" s="22" t="s">
        <v>145</v>
      </c>
      <c r="AV310" s="22" t="s">
        <v>70</v>
      </c>
      <c r="AW310" s="22" t="s">
        <v>67</v>
      </c>
      <c r="AY310" s="22" t="s">
        <v>20391</v>
      </c>
      <c r="AZ310" s="22" t="s">
        <v>145</v>
      </c>
      <c r="BA310" s="22" t="s">
        <v>70</v>
      </c>
      <c r="BB310" s="22" t="s">
        <v>67</v>
      </c>
      <c r="BD310" s="22" t="s">
        <v>20392</v>
      </c>
      <c r="BE310" s="22" t="s">
        <v>145</v>
      </c>
      <c r="BF310" s="22" t="s">
        <v>70</v>
      </c>
      <c r="BG310" s="22" t="s">
        <v>67</v>
      </c>
      <c r="BI310" s="22" t="s">
        <v>20393</v>
      </c>
      <c r="BJ310" s="22" t="s">
        <v>145</v>
      </c>
      <c r="BK310" s="22" t="s">
        <v>70</v>
      </c>
      <c r="BL310" s="22" t="s">
        <v>67</v>
      </c>
      <c r="BN310" s="22" t="s">
        <v>20394</v>
      </c>
      <c r="BO310" s="22" t="s">
        <v>145</v>
      </c>
      <c r="BP310" s="22" t="s">
        <v>70</v>
      </c>
      <c r="BQ310" s="22" t="s">
        <v>67</v>
      </c>
      <c r="BS310" s="22" t="s">
        <v>20395</v>
      </c>
      <c r="BT310" s="22" t="s">
        <v>145</v>
      </c>
      <c r="BU310" s="22" t="s">
        <v>70</v>
      </c>
      <c r="BV310" s="214" t="s">
        <v>530</v>
      </c>
      <c r="BX310" s="22" t="s">
        <v>20396</v>
      </c>
      <c r="BY310" s="22" t="s">
        <v>145</v>
      </c>
      <c r="BZ310" s="22" t="s">
        <v>70</v>
      </c>
      <c r="CA310" s="214" t="s">
        <v>530</v>
      </c>
      <c r="CC310" s="214" t="s">
        <v>20397</v>
      </c>
      <c r="CD310" s="218" t="s">
        <v>52</v>
      </c>
      <c r="CE310" s="214" t="s">
        <v>70</v>
      </c>
      <c r="CF310" s="214" t="s">
        <v>763</v>
      </c>
      <c r="CH310" s="214" t="s">
        <v>20398</v>
      </c>
      <c r="CI310" s="214" t="s">
        <v>52</v>
      </c>
      <c r="CJ310" s="214" t="s">
        <v>70</v>
      </c>
      <c r="CK310" s="214" t="s">
        <v>530</v>
      </c>
      <c r="CM310" s="214" t="s">
        <v>20399</v>
      </c>
      <c r="CN310" s="214" t="s">
        <v>34545</v>
      </c>
      <c r="CO310" s="214" t="s">
        <v>70</v>
      </c>
      <c r="CP310" s="214" t="s">
        <v>530</v>
      </c>
      <c r="CR310" s="214" t="s">
        <v>20400</v>
      </c>
      <c r="CS310" s="214" t="s">
        <v>148</v>
      </c>
      <c r="CT310" s="214" t="s">
        <v>70</v>
      </c>
      <c r="CU310" s="214" t="s">
        <v>530</v>
      </c>
      <c r="CW310" s="214" t="s">
        <v>20401</v>
      </c>
      <c r="CX310" s="214" t="s">
        <v>85</v>
      </c>
      <c r="CY310" s="214" t="s">
        <v>70</v>
      </c>
      <c r="CZ310" s="214" t="s">
        <v>530</v>
      </c>
      <c r="DB310" s="214" t="s">
        <v>20402</v>
      </c>
      <c r="DC310" s="214" t="s">
        <v>34524</v>
      </c>
      <c r="DD310" s="214" t="s">
        <v>70</v>
      </c>
      <c r="DE310" s="214" t="s">
        <v>530</v>
      </c>
      <c r="DG310" s="214" t="s">
        <v>20403</v>
      </c>
      <c r="DH310" s="214" t="s">
        <v>286</v>
      </c>
      <c r="DI310" s="214" t="s">
        <v>70</v>
      </c>
      <c r="DJ310" s="214" t="s">
        <v>530</v>
      </c>
      <c r="DL310" s="214" t="s">
        <v>20404</v>
      </c>
      <c r="DM310" s="214" t="s">
        <v>93</v>
      </c>
      <c r="DN310" s="214" t="s">
        <v>70</v>
      </c>
      <c r="DO310" s="214" t="s">
        <v>530</v>
      </c>
      <c r="DQ310" s="214" t="s">
        <v>20405</v>
      </c>
      <c r="DR310" s="214" t="s">
        <v>86</v>
      </c>
      <c r="DS310" s="214" t="s">
        <v>70</v>
      </c>
      <c r="DT310" s="214" t="s">
        <v>530</v>
      </c>
      <c r="DV310" s="214" t="s">
        <v>20406</v>
      </c>
      <c r="DW310" s="214" t="s">
        <v>52</v>
      </c>
      <c r="DX310" s="214" t="s">
        <v>70</v>
      </c>
      <c r="DY310" s="214" t="s">
        <v>530</v>
      </c>
      <c r="EA310" s="214" t="s">
        <v>20407</v>
      </c>
      <c r="EB310" s="214" t="s">
        <v>148</v>
      </c>
      <c r="EC310" s="214" t="s">
        <v>70</v>
      </c>
      <c r="ED310" s="214" t="s">
        <v>530</v>
      </c>
      <c r="EF310" s="214" t="s">
        <v>20408</v>
      </c>
      <c r="EG310" s="214" t="s">
        <v>163</v>
      </c>
      <c r="EH310" s="214" t="s">
        <v>70</v>
      </c>
      <c r="EI310" s="214" t="s">
        <v>530</v>
      </c>
      <c r="EK310" s="214" t="s">
        <v>20409</v>
      </c>
      <c r="EL310" s="214" t="s">
        <v>52</v>
      </c>
      <c r="EM310" s="214" t="s">
        <v>70</v>
      </c>
      <c r="EN310" s="214" t="s">
        <v>530</v>
      </c>
      <c r="EP310" s="214" t="s">
        <v>20410</v>
      </c>
      <c r="EQ310" s="214" t="s">
        <v>34626</v>
      </c>
      <c r="ER310" s="214" t="s">
        <v>70</v>
      </c>
      <c r="ES310" s="214" t="s">
        <v>530</v>
      </c>
      <c r="EU310" s="214" t="s">
        <v>20411</v>
      </c>
      <c r="EV310" s="214" t="s">
        <v>92</v>
      </c>
      <c r="EW310" s="214" t="s">
        <v>70</v>
      </c>
      <c r="EX310" s="214" t="s">
        <v>530</v>
      </c>
      <c r="EZ310" s="214" t="s">
        <v>20412</v>
      </c>
      <c r="FA310" s="214" t="s">
        <v>916</v>
      </c>
      <c r="FB310" s="214" t="s">
        <v>70</v>
      </c>
      <c r="FC310" s="214" t="s">
        <v>530</v>
      </c>
      <c r="FE310" s="214" t="s">
        <v>20413</v>
      </c>
      <c r="FF310" s="214" t="s">
        <v>52</v>
      </c>
      <c r="FG310" s="214" t="s">
        <v>70</v>
      </c>
      <c r="FH310" s="214" t="s">
        <v>530</v>
      </c>
      <c r="FJ310" s="321" t="s">
        <v>20414</v>
      </c>
      <c r="FK310" s="214" t="s">
        <v>145</v>
      </c>
      <c r="FL310" s="214" t="s">
        <v>70</v>
      </c>
      <c r="FM310" s="214" t="s">
        <v>530</v>
      </c>
      <c r="FO310" s="321" t="s">
        <v>20415</v>
      </c>
      <c r="FP310" s="214" t="s">
        <v>305</v>
      </c>
      <c r="FQ310" s="214" t="s">
        <v>70</v>
      </c>
      <c r="FR310" s="214" t="s">
        <v>530</v>
      </c>
      <c r="FT310" s="321" t="s">
        <v>20416</v>
      </c>
      <c r="FU310" s="214" t="s">
        <v>34649</v>
      </c>
      <c r="FV310" s="214" t="s">
        <v>70</v>
      </c>
      <c r="FW310" s="214" t="s">
        <v>530</v>
      </c>
      <c r="FY310" s="321" t="s">
        <v>20417</v>
      </c>
      <c r="FZ310" s="214" t="s">
        <v>205</v>
      </c>
      <c r="GA310" s="214" t="s">
        <v>70</v>
      </c>
      <c r="GB310" s="214" t="s">
        <v>530</v>
      </c>
      <c r="GD310" s="321" t="s">
        <v>20418</v>
      </c>
      <c r="GE310" s="214" t="s">
        <v>205</v>
      </c>
      <c r="GF310" s="214" t="s">
        <v>70</v>
      </c>
      <c r="GG310" s="214" t="s">
        <v>530</v>
      </c>
      <c r="GI310" s="321" t="s">
        <v>20419</v>
      </c>
      <c r="GJ310" s="214" t="s">
        <v>940</v>
      </c>
      <c r="GK310" s="214" t="s">
        <v>70</v>
      </c>
      <c r="GL310" s="214" t="s">
        <v>530</v>
      </c>
      <c r="GN310" s="321" t="s">
        <v>20420</v>
      </c>
      <c r="GO310" s="214" t="s">
        <v>34583</v>
      </c>
      <c r="GP310" s="214" t="s">
        <v>70</v>
      </c>
      <c r="GQ310" s="214" t="s">
        <v>530</v>
      </c>
      <c r="GS310" s="321" t="s">
        <v>20421</v>
      </c>
      <c r="GT310" s="214" t="s">
        <v>148</v>
      </c>
      <c r="GU310" s="214" t="s">
        <v>70</v>
      </c>
      <c r="GV310" s="214" t="s">
        <v>530</v>
      </c>
      <c r="GX310" s="214" t="s">
        <v>20422</v>
      </c>
      <c r="GY310" s="214" t="s">
        <v>52</v>
      </c>
      <c r="GZ310" s="214" t="s">
        <v>70</v>
      </c>
      <c r="HA310" s="214" t="s">
        <v>530</v>
      </c>
      <c r="HC310" s="214" t="s">
        <v>20423</v>
      </c>
      <c r="HD310" s="214" t="s">
        <v>529</v>
      </c>
      <c r="HE310" s="214" t="s">
        <v>70</v>
      </c>
      <c r="HF310" s="214" t="s">
        <v>530</v>
      </c>
      <c r="HH310" s="214" t="s">
        <v>20424</v>
      </c>
      <c r="HI310" s="214" t="s">
        <v>34541</v>
      </c>
      <c r="HJ310" s="214" t="s">
        <v>70</v>
      </c>
      <c r="HK310" s="214" t="s">
        <v>530</v>
      </c>
      <c r="HM310" s="214" t="s">
        <v>20425</v>
      </c>
      <c r="HN310" s="214" t="s">
        <v>165</v>
      </c>
      <c r="HO310" s="214" t="s">
        <v>70</v>
      </c>
      <c r="HP310" s="214" t="s">
        <v>530</v>
      </c>
      <c r="HR310" s="22" t="s">
        <v>20426</v>
      </c>
      <c r="HS310" s="22" t="s">
        <v>52</v>
      </c>
      <c r="HT310" s="22" t="s">
        <v>70</v>
      </c>
      <c r="HU310" s="214" t="s">
        <v>530</v>
      </c>
      <c r="HW310" s="22" t="s">
        <v>20427</v>
      </c>
      <c r="HX310" s="22" t="s">
        <v>52</v>
      </c>
      <c r="HY310" s="22" t="s">
        <v>70</v>
      </c>
      <c r="HZ310" s="214" t="s">
        <v>530</v>
      </c>
      <c r="IB310" s="22" t="s">
        <v>20428</v>
      </c>
      <c r="IC310" s="22" t="s">
        <v>145</v>
      </c>
      <c r="ID310" s="22" t="s">
        <v>70</v>
      </c>
      <c r="IE310" s="214" t="s">
        <v>530</v>
      </c>
      <c r="IG310" s="22" t="s">
        <v>20429</v>
      </c>
      <c r="IH310" s="22" t="s">
        <v>52</v>
      </c>
      <c r="II310" s="22" t="s">
        <v>70</v>
      </c>
      <c r="IJ310" s="214" t="s">
        <v>530</v>
      </c>
      <c r="IL310" s="22" t="s">
        <v>20430</v>
      </c>
      <c r="IM310" s="22" t="s">
        <v>145</v>
      </c>
      <c r="IN310" s="22" t="s">
        <v>70</v>
      </c>
      <c r="IO310" s="214" t="s">
        <v>530</v>
      </c>
      <c r="IQ310" s="236" t="s">
        <v>20431</v>
      </c>
      <c r="IR310" s="236" t="s">
        <v>145</v>
      </c>
      <c r="IS310" s="236" t="s">
        <v>74</v>
      </c>
      <c r="IT310" s="236" t="s">
        <v>841</v>
      </c>
      <c r="IV310" s="236" t="s">
        <v>20432</v>
      </c>
      <c r="IW310" s="236" t="s">
        <v>145</v>
      </c>
      <c r="IX310" s="236" t="s">
        <v>74</v>
      </c>
      <c r="IY310" s="236" t="s">
        <v>841</v>
      </c>
      <c r="JA310" s="236" t="s">
        <v>20433</v>
      </c>
      <c r="JB310" s="236" t="s">
        <v>145</v>
      </c>
      <c r="JC310" s="236" t="s">
        <v>74</v>
      </c>
      <c r="JD310" s="236" t="s">
        <v>841</v>
      </c>
      <c r="JF310" s="236" t="s">
        <v>20434</v>
      </c>
      <c r="JG310" s="236" t="s">
        <v>145</v>
      </c>
      <c r="JH310" s="236" t="s">
        <v>74</v>
      </c>
      <c r="JI310" s="236" t="s">
        <v>841</v>
      </c>
      <c r="JK310" s="236" t="s">
        <v>20435</v>
      </c>
      <c r="JL310" s="236" t="s">
        <v>145</v>
      </c>
      <c r="JM310" s="236" t="s">
        <v>74</v>
      </c>
      <c r="JN310" s="236" t="s">
        <v>841</v>
      </c>
      <c r="JP310" s="236" t="s">
        <v>20436</v>
      </c>
      <c r="JQ310" s="236" t="s">
        <v>145</v>
      </c>
      <c r="JR310" s="236" t="s">
        <v>74</v>
      </c>
      <c r="JS310" s="236" t="s">
        <v>841</v>
      </c>
      <c r="JU310" s="294" t="s">
        <v>20437</v>
      </c>
      <c r="JV310" s="294" t="s">
        <v>52</v>
      </c>
      <c r="JW310" s="263" t="s">
        <v>70</v>
      </c>
      <c r="JX310" s="294" t="s">
        <v>1083</v>
      </c>
      <c r="JZ310" s="263" t="s">
        <v>20438</v>
      </c>
      <c r="KA310" s="263" t="s">
        <v>145</v>
      </c>
      <c r="KB310" s="263" t="s">
        <v>70</v>
      </c>
      <c r="KC310" s="263" t="s">
        <v>1083</v>
      </c>
      <c r="KE310" s="263" t="s">
        <v>20439</v>
      </c>
      <c r="KF310" s="263" t="s">
        <v>52</v>
      </c>
      <c r="KG310" s="263" t="s">
        <v>70</v>
      </c>
      <c r="KH310" s="263" t="s">
        <v>1083</v>
      </c>
      <c r="KJ310" s="263" t="s">
        <v>20440</v>
      </c>
      <c r="KK310" s="263" t="s">
        <v>52</v>
      </c>
      <c r="KL310" s="263" t="s">
        <v>74</v>
      </c>
      <c r="KM310" s="263" t="s">
        <v>34074</v>
      </c>
      <c r="KO310" s="214" t="s">
        <v>20441</v>
      </c>
      <c r="KP310" s="214" t="s">
        <v>145</v>
      </c>
      <c r="KQ310" s="214" t="s">
        <v>70</v>
      </c>
      <c r="KR310" s="214" t="s">
        <v>67</v>
      </c>
      <c r="KT310" s="22" t="s">
        <v>20442</v>
      </c>
      <c r="KU310" s="22" t="s">
        <v>145</v>
      </c>
      <c r="KV310" s="22" t="s">
        <v>70</v>
      </c>
      <c r="KW310" s="22" t="s">
        <v>67</v>
      </c>
      <c r="KY310" s="214" t="s">
        <v>20443</v>
      </c>
      <c r="KZ310" s="214" t="s">
        <v>52</v>
      </c>
      <c r="LA310" s="214" t="s">
        <v>74</v>
      </c>
      <c r="LB310" s="214" t="s">
        <v>67</v>
      </c>
      <c r="LD310" s="22" t="s">
        <v>20444</v>
      </c>
      <c r="LE310" s="22" t="s">
        <v>145</v>
      </c>
      <c r="LF310" s="22" t="s">
        <v>70</v>
      </c>
      <c r="LG310" s="22" t="s">
        <v>67</v>
      </c>
    </row>
    <row r="311" spans="1:319">
      <c r="A311" s="22" t="s">
        <v>20445</v>
      </c>
      <c r="B311" s="22" t="s">
        <v>145</v>
      </c>
      <c r="C311" s="22" t="s">
        <v>70</v>
      </c>
      <c r="D311" s="22" t="s">
        <v>67</v>
      </c>
      <c r="F311" s="99" t="s">
        <v>20446</v>
      </c>
      <c r="G311" s="22" t="s">
        <v>145</v>
      </c>
      <c r="H311" s="22" t="s">
        <v>70</v>
      </c>
      <c r="I311" s="22" t="s">
        <v>67</v>
      </c>
      <c r="K311" s="22" t="s">
        <v>20447</v>
      </c>
      <c r="L311" s="22" t="s">
        <v>145</v>
      </c>
      <c r="M311" s="22" t="s">
        <v>70</v>
      </c>
      <c r="N311" s="22" t="s">
        <v>67</v>
      </c>
      <c r="P311" s="22" t="s">
        <v>20448</v>
      </c>
      <c r="Q311" s="22" t="s">
        <v>145</v>
      </c>
      <c r="R311" s="22" t="s">
        <v>70</v>
      </c>
      <c r="S311" s="22" t="s">
        <v>67</v>
      </c>
      <c r="U311" s="293" t="s">
        <v>20449</v>
      </c>
      <c r="V311" s="293" t="s">
        <v>145</v>
      </c>
      <c r="W311" s="293" t="s">
        <v>74</v>
      </c>
      <c r="X311" s="293" t="s">
        <v>656</v>
      </c>
      <c r="Z311" s="293" t="s">
        <v>20450</v>
      </c>
      <c r="AA311" s="293" t="s">
        <v>145</v>
      </c>
      <c r="AB311" s="293" t="s">
        <v>74</v>
      </c>
      <c r="AC311" s="293" t="s">
        <v>656</v>
      </c>
      <c r="AE311" s="293" t="s">
        <v>20451</v>
      </c>
      <c r="AF311" s="293" t="s">
        <v>145</v>
      </c>
      <c r="AG311" s="293" t="s">
        <v>74</v>
      </c>
      <c r="AH311" s="293" t="s">
        <v>656</v>
      </c>
      <c r="AJ311" s="293" t="s">
        <v>20452</v>
      </c>
      <c r="AK311" s="293" t="s">
        <v>145</v>
      </c>
      <c r="AL311" s="293" t="s">
        <v>74</v>
      </c>
      <c r="AM311" s="293" t="s">
        <v>656</v>
      </c>
      <c r="AO311" s="22" t="s">
        <v>20453</v>
      </c>
      <c r="AP311" s="22" t="s">
        <v>145</v>
      </c>
      <c r="AQ311" s="22" t="s">
        <v>70</v>
      </c>
      <c r="AR311" s="22" t="s">
        <v>67</v>
      </c>
      <c r="AT311" s="22" t="s">
        <v>20454</v>
      </c>
      <c r="AU311" s="22" t="s">
        <v>145</v>
      </c>
      <c r="AV311" s="22" t="s">
        <v>70</v>
      </c>
      <c r="AW311" s="22" t="s">
        <v>67</v>
      </c>
      <c r="AY311" s="22" t="s">
        <v>20455</v>
      </c>
      <c r="AZ311" s="22" t="s">
        <v>145</v>
      </c>
      <c r="BA311" s="22" t="s">
        <v>70</v>
      </c>
      <c r="BB311" s="22" t="s">
        <v>67</v>
      </c>
      <c r="BD311" s="22" t="s">
        <v>20456</v>
      </c>
      <c r="BE311" s="22" t="s">
        <v>145</v>
      </c>
      <c r="BF311" s="22" t="s">
        <v>70</v>
      </c>
      <c r="BG311" s="22" t="s">
        <v>67</v>
      </c>
      <c r="BI311" s="22" t="s">
        <v>20457</v>
      </c>
      <c r="BJ311" s="22" t="s">
        <v>145</v>
      </c>
      <c r="BK311" s="22" t="s">
        <v>70</v>
      </c>
      <c r="BL311" s="22" t="s">
        <v>67</v>
      </c>
      <c r="BN311" s="22" t="s">
        <v>20458</v>
      </c>
      <c r="BO311" s="22" t="s">
        <v>145</v>
      </c>
      <c r="BP311" s="22" t="s">
        <v>70</v>
      </c>
      <c r="BQ311" s="22" t="s">
        <v>67</v>
      </c>
      <c r="BS311" s="22" t="s">
        <v>20459</v>
      </c>
      <c r="BT311" s="22" t="s">
        <v>145</v>
      </c>
      <c r="BU311" s="22" t="s">
        <v>70</v>
      </c>
      <c r="BV311" s="214" t="s">
        <v>530</v>
      </c>
      <c r="BX311" s="22" t="s">
        <v>20460</v>
      </c>
      <c r="BY311" s="22" t="s">
        <v>145</v>
      </c>
      <c r="BZ311" s="22" t="s">
        <v>70</v>
      </c>
      <c r="CA311" s="214" t="s">
        <v>530</v>
      </c>
      <c r="CC311" s="214" t="s">
        <v>20461</v>
      </c>
      <c r="CD311" s="218" t="s">
        <v>601</v>
      </c>
      <c r="CE311" s="214" t="s">
        <v>70</v>
      </c>
      <c r="CF311" s="214" t="s">
        <v>764</v>
      </c>
      <c r="CH311" s="214" t="s">
        <v>20462</v>
      </c>
      <c r="CI311" s="214" t="s">
        <v>203</v>
      </c>
      <c r="CJ311" s="214" t="s">
        <v>70</v>
      </c>
      <c r="CK311" s="214" t="s">
        <v>530</v>
      </c>
      <c r="CM311" s="214" t="s">
        <v>20463</v>
      </c>
      <c r="CN311" s="214" t="s">
        <v>34551</v>
      </c>
      <c r="CO311" s="214" t="s">
        <v>70</v>
      </c>
      <c r="CP311" s="214" t="s">
        <v>530</v>
      </c>
      <c r="CR311" s="214" t="s">
        <v>20464</v>
      </c>
      <c r="CS311" s="214" t="s">
        <v>600</v>
      </c>
      <c r="CT311" s="214" t="s">
        <v>70</v>
      </c>
      <c r="CU311" s="214" t="s">
        <v>530</v>
      </c>
      <c r="CW311" s="214" t="s">
        <v>20465</v>
      </c>
      <c r="CX311" s="214" t="s">
        <v>34540</v>
      </c>
      <c r="CY311" s="214" t="s">
        <v>70</v>
      </c>
      <c r="CZ311" s="214" t="s">
        <v>530</v>
      </c>
      <c r="DB311" s="214" t="s">
        <v>20466</v>
      </c>
      <c r="DC311" s="214" t="s">
        <v>34552</v>
      </c>
      <c r="DD311" s="214" t="s">
        <v>70</v>
      </c>
      <c r="DE311" s="214" t="s">
        <v>530</v>
      </c>
      <c r="DG311" s="214" t="s">
        <v>20467</v>
      </c>
      <c r="DH311" s="214" t="s">
        <v>956</v>
      </c>
      <c r="DI311" s="214" t="s">
        <v>70</v>
      </c>
      <c r="DJ311" s="214" t="s">
        <v>530</v>
      </c>
      <c r="DL311" s="214" t="s">
        <v>20468</v>
      </c>
      <c r="DM311" s="214" t="s">
        <v>34555</v>
      </c>
      <c r="DN311" s="214" t="s">
        <v>70</v>
      </c>
      <c r="DO311" s="214" t="s">
        <v>530</v>
      </c>
      <c r="DQ311" s="214" t="s">
        <v>20469</v>
      </c>
      <c r="DR311" s="214" t="s">
        <v>468</v>
      </c>
      <c r="DS311" s="214" t="s">
        <v>70</v>
      </c>
      <c r="DT311" s="214" t="s">
        <v>530</v>
      </c>
      <c r="DV311" s="214" t="s">
        <v>20470</v>
      </c>
      <c r="DW311" s="214" t="s">
        <v>601</v>
      </c>
      <c r="DX311" s="214" t="s">
        <v>70</v>
      </c>
      <c r="DY311" s="214" t="s">
        <v>530</v>
      </c>
      <c r="EA311" s="214" t="s">
        <v>20471</v>
      </c>
      <c r="EB311" s="214" t="s">
        <v>502</v>
      </c>
      <c r="EC311" s="214" t="s">
        <v>70</v>
      </c>
      <c r="ED311" s="214" t="s">
        <v>530</v>
      </c>
      <c r="EF311" s="214" t="s">
        <v>20472</v>
      </c>
      <c r="EG311" s="214" t="s">
        <v>484</v>
      </c>
      <c r="EH311" s="214" t="s">
        <v>70</v>
      </c>
      <c r="EI311" s="214" t="s">
        <v>530</v>
      </c>
      <c r="EK311" s="214" t="s">
        <v>20473</v>
      </c>
      <c r="EL311" s="214" t="s">
        <v>34540</v>
      </c>
      <c r="EM311" s="214" t="s">
        <v>70</v>
      </c>
      <c r="EN311" s="214" t="s">
        <v>530</v>
      </c>
      <c r="EP311" s="214" t="s">
        <v>20474</v>
      </c>
      <c r="EQ311" s="214" t="s">
        <v>490</v>
      </c>
      <c r="ER311" s="214" t="s">
        <v>70</v>
      </c>
      <c r="ES311" s="214" t="s">
        <v>530</v>
      </c>
      <c r="EU311" s="214" t="s">
        <v>20475</v>
      </c>
      <c r="EV311" s="214" t="s">
        <v>146</v>
      </c>
      <c r="EW311" s="214" t="s">
        <v>70</v>
      </c>
      <c r="EX311" s="214" t="s">
        <v>530</v>
      </c>
      <c r="EZ311" s="214" t="s">
        <v>20476</v>
      </c>
      <c r="FA311" s="214" t="s">
        <v>34580</v>
      </c>
      <c r="FB311" s="214" t="s">
        <v>70</v>
      </c>
      <c r="FC311" s="214" t="s">
        <v>530</v>
      </c>
      <c r="FE311" s="214" t="s">
        <v>20477</v>
      </c>
      <c r="FF311" s="214" t="s">
        <v>52</v>
      </c>
      <c r="FG311" s="214" t="s">
        <v>70</v>
      </c>
      <c r="FH311" s="214" t="s">
        <v>530</v>
      </c>
      <c r="FJ311" s="321" t="s">
        <v>20478</v>
      </c>
      <c r="FK311" s="214" t="s">
        <v>34541</v>
      </c>
      <c r="FL311" s="214" t="s">
        <v>70</v>
      </c>
      <c r="FM311" s="214" t="s">
        <v>530</v>
      </c>
      <c r="FO311" s="321" t="s">
        <v>20479</v>
      </c>
      <c r="FP311" s="214" t="s">
        <v>145</v>
      </c>
      <c r="FQ311" s="214" t="s">
        <v>70</v>
      </c>
      <c r="FR311" s="214" t="s">
        <v>530</v>
      </c>
      <c r="FT311" s="321" t="s">
        <v>20480</v>
      </c>
      <c r="FU311" s="214" t="s">
        <v>641</v>
      </c>
      <c r="FV311" s="214" t="s">
        <v>70</v>
      </c>
      <c r="FW311" s="214" t="s">
        <v>530</v>
      </c>
      <c r="FY311" s="321" t="s">
        <v>20481</v>
      </c>
      <c r="FZ311" s="214" t="s">
        <v>52</v>
      </c>
      <c r="GA311" s="214" t="s">
        <v>70</v>
      </c>
      <c r="GB311" s="214" t="s">
        <v>530</v>
      </c>
      <c r="GD311" s="321" t="s">
        <v>20482</v>
      </c>
      <c r="GE311" s="214" t="s">
        <v>52</v>
      </c>
      <c r="GF311" s="214" t="s">
        <v>70</v>
      </c>
      <c r="GG311" s="214" t="s">
        <v>530</v>
      </c>
      <c r="GI311" s="321" t="s">
        <v>20483</v>
      </c>
      <c r="GJ311" s="214" t="s">
        <v>492</v>
      </c>
      <c r="GK311" s="214" t="s">
        <v>70</v>
      </c>
      <c r="GL311" s="214" t="s">
        <v>530</v>
      </c>
      <c r="GN311" s="321" t="s">
        <v>20484</v>
      </c>
      <c r="GO311" s="214" t="s">
        <v>52</v>
      </c>
      <c r="GP311" s="214" t="s">
        <v>70</v>
      </c>
      <c r="GQ311" s="214" t="s">
        <v>530</v>
      </c>
      <c r="GS311" s="321" t="s">
        <v>20485</v>
      </c>
      <c r="GT311" s="214" t="s">
        <v>496</v>
      </c>
      <c r="GU311" s="214" t="s">
        <v>70</v>
      </c>
      <c r="GV311" s="214" t="s">
        <v>530</v>
      </c>
      <c r="GX311" s="214" t="s">
        <v>20486</v>
      </c>
      <c r="GY311" s="214" t="s">
        <v>203</v>
      </c>
      <c r="GZ311" s="214" t="s">
        <v>70</v>
      </c>
      <c r="HA311" s="214" t="s">
        <v>530</v>
      </c>
      <c r="HC311" s="214" t="s">
        <v>20487</v>
      </c>
      <c r="HD311" s="214" t="s">
        <v>103</v>
      </c>
      <c r="HE311" s="214" t="s">
        <v>70</v>
      </c>
      <c r="HF311" s="214" t="s">
        <v>530</v>
      </c>
      <c r="HH311" s="214" t="s">
        <v>20488</v>
      </c>
      <c r="HI311" s="214" t="s">
        <v>496</v>
      </c>
      <c r="HJ311" s="214" t="s">
        <v>70</v>
      </c>
      <c r="HK311" s="214" t="s">
        <v>530</v>
      </c>
      <c r="HM311" s="214" t="s">
        <v>20489</v>
      </c>
      <c r="HN311" s="214" t="s">
        <v>910</v>
      </c>
      <c r="HO311" s="214" t="s">
        <v>70</v>
      </c>
      <c r="HP311" s="214" t="s">
        <v>530</v>
      </c>
      <c r="HR311" s="22" t="s">
        <v>20490</v>
      </c>
      <c r="HS311" s="22" t="s">
        <v>52</v>
      </c>
      <c r="HT311" s="22" t="s">
        <v>70</v>
      </c>
      <c r="HU311" s="214" t="s">
        <v>530</v>
      </c>
      <c r="HW311" s="22" t="s">
        <v>20491</v>
      </c>
      <c r="HX311" s="22" t="s">
        <v>468</v>
      </c>
      <c r="HY311" s="22" t="s">
        <v>70</v>
      </c>
      <c r="HZ311" s="214" t="s">
        <v>530</v>
      </c>
      <c r="IB311" s="22" t="s">
        <v>20492</v>
      </c>
      <c r="IC311" s="22" t="s">
        <v>34541</v>
      </c>
      <c r="ID311" s="22" t="s">
        <v>70</v>
      </c>
      <c r="IE311" s="214" t="s">
        <v>530</v>
      </c>
      <c r="IG311" s="22" t="s">
        <v>20493</v>
      </c>
      <c r="IH311" s="22" t="s">
        <v>52</v>
      </c>
      <c r="II311" s="22" t="s">
        <v>70</v>
      </c>
      <c r="IJ311" s="214" t="s">
        <v>530</v>
      </c>
      <c r="IL311" s="22" t="s">
        <v>20494</v>
      </c>
      <c r="IM311" s="22" t="s">
        <v>145</v>
      </c>
      <c r="IN311" s="22" t="s">
        <v>70</v>
      </c>
      <c r="IO311" s="214" t="s">
        <v>530</v>
      </c>
      <c r="IQ311" s="236" t="s">
        <v>20495</v>
      </c>
      <c r="IR311" s="236" t="s">
        <v>145</v>
      </c>
      <c r="IS311" s="236" t="s">
        <v>74</v>
      </c>
      <c r="IT311" s="236" t="s">
        <v>841</v>
      </c>
      <c r="IV311" s="236" t="s">
        <v>20496</v>
      </c>
      <c r="IW311" s="236" t="s">
        <v>145</v>
      </c>
      <c r="IX311" s="236" t="s">
        <v>74</v>
      </c>
      <c r="IY311" s="236" t="s">
        <v>841</v>
      </c>
      <c r="JA311" s="236" t="s">
        <v>20497</v>
      </c>
      <c r="JB311" s="236" t="s">
        <v>145</v>
      </c>
      <c r="JC311" s="236" t="s">
        <v>74</v>
      </c>
      <c r="JD311" s="236" t="s">
        <v>841</v>
      </c>
      <c r="JF311" s="236" t="s">
        <v>20498</v>
      </c>
      <c r="JG311" s="236" t="s">
        <v>145</v>
      </c>
      <c r="JH311" s="236" t="s">
        <v>74</v>
      </c>
      <c r="JI311" s="236" t="s">
        <v>841</v>
      </c>
      <c r="JK311" s="236" t="s">
        <v>20499</v>
      </c>
      <c r="JL311" s="236" t="s">
        <v>145</v>
      </c>
      <c r="JM311" s="236" t="s">
        <v>74</v>
      </c>
      <c r="JN311" s="236" t="s">
        <v>841</v>
      </c>
      <c r="JP311" s="236" t="s">
        <v>20500</v>
      </c>
      <c r="JQ311" s="236" t="s">
        <v>145</v>
      </c>
      <c r="JR311" s="236" t="s">
        <v>74</v>
      </c>
      <c r="JS311" s="236" t="s">
        <v>841</v>
      </c>
      <c r="JU311" s="294" t="s">
        <v>20501</v>
      </c>
      <c r="JV311" s="294" t="s">
        <v>52</v>
      </c>
      <c r="JW311" s="263" t="s">
        <v>70</v>
      </c>
      <c r="JX311" s="294" t="s">
        <v>1083</v>
      </c>
      <c r="JZ311" s="263" t="s">
        <v>20502</v>
      </c>
      <c r="KA311" s="263" t="s">
        <v>145</v>
      </c>
      <c r="KB311" s="263" t="s">
        <v>70</v>
      </c>
      <c r="KC311" s="263" t="s">
        <v>1083</v>
      </c>
      <c r="KE311" s="263" t="s">
        <v>20503</v>
      </c>
      <c r="KF311" s="263" t="s">
        <v>52</v>
      </c>
      <c r="KG311" s="263" t="s">
        <v>70</v>
      </c>
      <c r="KH311" s="263" t="s">
        <v>1083</v>
      </c>
      <c r="KJ311" s="263" t="s">
        <v>20504</v>
      </c>
      <c r="KK311" s="263" t="s">
        <v>52</v>
      </c>
      <c r="KL311" s="263" t="s">
        <v>74</v>
      </c>
      <c r="KM311" s="263" t="s">
        <v>34074</v>
      </c>
      <c r="KO311" s="214" t="s">
        <v>20505</v>
      </c>
      <c r="KP311" s="214" t="s">
        <v>145</v>
      </c>
      <c r="KQ311" s="214" t="s">
        <v>70</v>
      </c>
      <c r="KR311" s="214" t="s">
        <v>67</v>
      </c>
      <c r="KT311" s="22" t="s">
        <v>20506</v>
      </c>
      <c r="KU311" s="22" t="s">
        <v>145</v>
      </c>
      <c r="KV311" s="22" t="s">
        <v>70</v>
      </c>
      <c r="KW311" s="22" t="s">
        <v>67</v>
      </c>
      <c r="KY311" s="214" t="s">
        <v>20507</v>
      </c>
      <c r="KZ311" s="214" t="s">
        <v>52</v>
      </c>
      <c r="LA311" s="214" t="s">
        <v>74</v>
      </c>
      <c r="LB311" s="214" t="s">
        <v>67</v>
      </c>
      <c r="LD311" s="22" t="s">
        <v>20508</v>
      </c>
      <c r="LE311" s="22" t="s">
        <v>145</v>
      </c>
      <c r="LF311" s="22" t="s">
        <v>70</v>
      </c>
      <c r="LG311" s="22" t="s">
        <v>67</v>
      </c>
    </row>
    <row r="312" spans="1:319">
      <c r="A312" s="22" t="s">
        <v>20509</v>
      </c>
      <c r="B312" s="22" t="s">
        <v>145</v>
      </c>
      <c r="C312" s="22" t="s">
        <v>70</v>
      </c>
      <c r="D312" s="22" t="s">
        <v>67</v>
      </c>
      <c r="F312" s="99" t="s">
        <v>20510</v>
      </c>
      <c r="G312" s="22" t="s">
        <v>145</v>
      </c>
      <c r="H312" s="22" t="s">
        <v>70</v>
      </c>
      <c r="I312" s="22" t="s">
        <v>67</v>
      </c>
      <c r="K312" s="22" t="s">
        <v>20511</v>
      </c>
      <c r="L312" s="22" t="s">
        <v>145</v>
      </c>
      <c r="M312" s="22" t="s">
        <v>70</v>
      </c>
      <c r="N312" s="22" t="s">
        <v>67</v>
      </c>
      <c r="P312" s="22" t="s">
        <v>20512</v>
      </c>
      <c r="Q312" s="22" t="s">
        <v>145</v>
      </c>
      <c r="R312" s="22" t="s">
        <v>70</v>
      </c>
      <c r="S312" s="22" t="s">
        <v>67</v>
      </c>
      <c r="U312" s="293" t="s">
        <v>20513</v>
      </c>
      <c r="V312" s="293" t="s">
        <v>145</v>
      </c>
      <c r="W312" s="293" t="s">
        <v>74</v>
      </c>
      <c r="X312" s="293" t="s">
        <v>656</v>
      </c>
      <c r="Z312" s="293" t="s">
        <v>20514</v>
      </c>
      <c r="AA312" s="293" t="s">
        <v>145</v>
      </c>
      <c r="AB312" s="293" t="s">
        <v>74</v>
      </c>
      <c r="AC312" s="293" t="s">
        <v>656</v>
      </c>
      <c r="AE312" s="293" t="s">
        <v>20515</v>
      </c>
      <c r="AF312" s="293" t="s">
        <v>145</v>
      </c>
      <c r="AG312" s="293" t="s">
        <v>74</v>
      </c>
      <c r="AH312" s="293" t="s">
        <v>656</v>
      </c>
      <c r="AJ312" s="293" t="s">
        <v>20516</v>
      </c>
      <c r="AK312" s="293" t="s">
        <v>145</v>
      </c>
      <c r="AL312" s="293" t="s">
        <v>74</v>
      </c>
      <c r="AM312" s="293" t="s">
        <v>656</v>
      </c>
      <c r="AO312" s="22" t="s">
        <v>20517</v>
      </c>
      <c r="AP312" s="22" t="s">
        <v>145</v>
      </c>
      <c r="AQ312" s="22" t="s">
        <v>70</v>
      </c>
      <c r="AR312" s="22" t="s">
        <v>67</v>
      </c>
      <c r="AT312" s="22" t="s">
        <v>20518</v>
      </c>
      <c r="AU312" s="22" t="s">
        <v>145</v>
      </c>
      <c r="AV312" s="22" t="s">
        <v>70</v>
      </c>
      <c r="AW312" s="22" t="s">
        <v>67</v>
      </c>
      <c r="AY312" s="22" t="s">
        <v>20519</v>
      </c>
      <c r="AZ312" s="22" t="s">
        <v>145</v>
      </c>
      <c r="BA312" s="22" t="s">
        <v>70</v>
      </c>
      <c r="BB312" s="22" t="s">
        <v>67</v>
      </c>
      <c r="BD312" s="22" t="s">
        <v>20520</v>
      </c>
      <c r="BE312" s="22" t="s">
        <v>145</v>
      </c>
      <c r="BF312" s="22" t="s">
        <v>70</v>
      </c>
      <c r="BG312" s="22" t="s">
        <v>67</v>
      </c>
      <c r="BI312" s="22" t="s">
        <v>20521</v>
      </c>
      <c r="BJ312" s="22" t="s">
        <v>145</v>
      </c>
      <c r="BK312" s="22" t="s">
        <v>70</v>
      </c>
      <c r="BL312" s="22" t="s">
        <v>67</v>
      </c>
      <c r="BN312" s="22" t="s">
        <v>20522</v>
      </c>
      <c r="BO312" s="22" t="s">
        <v>145</v>
      </c>
      <c r="BP312" s="22" t="s">
        <v>70</v>
      </c>
      <c r="BQ312" s="22" t="s">
        <v>67</v>
      </c>
      <c r="BS312" s="22" t="s">
        <v>20523</v>
      </c>
      <c r="BT312" s="22" t="s">
        <v>145</v>
      </c>
      <c r="BU312" s="22" t="s">
        <v>70</v>
      </c>
      <c r="BV312" s="214" t="s">
        <v>530</v>
      </c>
      <c r="BX312" s="22" t="s">
        <v>20524</v>
      </c>
      <c r="BY312" s="22" t="s">
        <v>145</v>
      </c>
      <c r="BZ312" s="22" t="s">
        <v>70</v>
      </c>
      <c r="CA312" s="214" t="s">
        <v>530</v>
      </c>
      <c r="CC312" s="214" t="s">
        <v>20525</v>
      </c>
      <c r="CD312" s="218" t="s">
        <v>34589</v>
      </c>
      <c r="CE312" s="214" t="s">
        <v>70</v>
      </c>
      <c r="CF312" s="214" t="s">
        <v>766</v>
      </c>
      <c r="CH312" s="214" t="s">
        <v>20526</v>
      </c>
      <c r="CI312" s="214" t="s">
        <v>34606</v>
      </c>
      <c r="CJ312" s="214" t="s">
        <v>70</v>
      </c>
      <c r="CK312" s="214" t="s">
        <v>530</v>
      </c>
      <c r="CM312" s="214" t="s">
        <v>20527</v>
      </c>
      <c r="CN312" s="214" t="s">
        <v>519</v>
      </c>
      <c r="CO312" s="214" t="s">
        <v>70</v>
      </c>
      <c r="CP312" s="214" t="s">
        <v>530</v>
      </c>
      <c r="CR312" s="214" t="s">
        <v>20528</v>
      </c>
      <c r="CS312" s="214" t="s">
        <v>52</v>
      </c>
      <c r="CT312" s="214" t="s">
        <v>70</v>
      </c>
      <c r="CU312" s="214" t="s">
        <v>530</v>
      </c>
      <c r="CW312" s="214" t="s">
        <v>20529</v>
      </c>
      <c r="CX312" s="214" t="s">
        <v>34545</v>
      </c>
      <c r="CY312" s="214" t="s">
        <v>70</v>
      </c>
      <c r="CZ312" s="214" t="s">
        <v>530</v>
      </c>
      <c r="DB312" s="214" t="s">
        <v>20530</v>
      </c>
      <c r="DC312" s="214" t="s">
        <v>483</v>
      </c>
      <c r="DD312" s="214" t="s">
        <v>70</v>
      </c>
      <c r="DE312" s="214" t="s">
        <v>530</v>
      </c>
      <c r="DG312" s="214" t="s">
        <v>20531</v>
      </c>
      <c r="DH312" s="214" t="s">
        <v>149</v>
      </c>
      <c r="DI312" s="214" t="s">
        <v>70</v>
      </c>
      <c r="DJ312" s="214" t="s">
        <v>530</v>
      </c>
      <c r="DL312" s="214" t="s">
        <v>20532</v>
      </c>
      <c r="DM312" s="214" t="s">
        <v>955</v>
      </c>
      <c r="DN312" s="214" t="s">
        <v>70</v>
      </c>
      <c r="DO312" s="214" t="s">
        <v>530</v>
      </c>
      <c r="DQ312" s="214" t="s">
        <v>20533</v>
      </c>
      <c r="DR312" s="214" t="s">
        <v>468</v>
      </c>
      <c r="DS312" s="214" t="s">
        <v>70</v>
      </c>
      <c r="DT312" s="214" t="s">
        <v>530</v>
      </c>
      <c r="DV312" s="214" t="s">
        <v>20534</v>
      </c>
      <c r="DW312" s="214" t="s">
        <v>952</v>
      </c>
      <c r="DX312" s="214" t="s">
        <v>70</v>
      </c>
      <c r="DY312" s="214" t="s">
        <v>530</v>
      </c>
      <c r="EA312" s="214" t="s">
        <v>20535</v>
      </c>
      <c r="EB312" s="214" t="s">
        <v>495</v>
      </c>
      <c r="EC312" s="214" t="s">
        <v>70</v>
      </c>
      <c r="ED312" s="214" t="s">
        <v>530</v>
      </c>
      <c r="EF312" s="214" t="s">
        <v>20536</v>
      </c>
      <c r="EG312" s="214" t="s">
        <v>598</v>
      </c>
      <c r="EH312" s="214" t="s">
        <v>70</v>
      </c>
      <c r="EI312" s="214" t="s">
        <v>530</v>
      </c>
      <c r="EK312" s="214" t="s">
        <v>20537</v>
      </c>
      <c r="EL312" s="214" t="s">
        <v>148</v>
      </c>
      <c r="EM312" s="214" t="s">
        <v>70</v>
      </c>
      <c r="EN312" s="214" t="s">
        <v>530</v>
      </c>
      <c r="EP312" s="214" t="s">
        <v>20538</v>
      </c>
      <c r="EQ312" s="214" t="s">
        <v>145</v>
      </c>
      <c r="ER312" s="214" t="s">
        <v>70</v>
      </c>
      <c r="ES312" s="214" t="s">
        <v>530</v>
      </c>
      <c r="EU312" s="214" t="s">
        <v>20539</v>
      </c>
      <c r="EV312" s="214" t="s">
        <v>52</v>
      </c>
      <c r="EW312" s="214" t="s">
        <v>70</v>
      </c>
      <c r="EX312" s="214" t="s">
        <v>530</v>
      </c>
      <c r="EZ312" s="214" t="s">
        <v>20540</v>
      </c>
      <c r="FA312" s="214" t="s">
        <v>92</v>
      </c>
      <c r="FB312" s="214" t="s">
        <v>70</v>
      </c>
      <c r="FC312" s="214" t="s">
        <v>530</v>
      </c>
      <c r="FE312" s="214" t="s">
        <v>20541</v>
      </c>
      <c r="FF312" s="214" t="s">
        <v>34575</v>
      </c>
      <c r="FG312" s="214" t="s">
        <v>70</v>
      </c>
      <c r="FH312" s="214" t="s">
        <v>530</v>
      </c>
      <c r="FJ312" s="321" t="s">
        <v>20542</v>
      </c>
      <c r="FK312" s="214" t="s">
        <v>203</v>
      </c>
      <c r="FL312" s="214" t="s">
        <v>70</v>
      </c>
      <c r="FM312" s="214" t="s">
        <v>530</v>
      </c>
      <c r="FO312" s="321" t="s">
        <v>20543</v>
      </c>
      <c r="FP312" s="214" t="s">
        <v>468</v>
      </c>
      <c r="FQ312" s="214" t="s">
        <v>70</v>
      </c>
      <c r="FR312" s="214" t="s">
        <v>530</v>
      </c>
      <c r="FT312" s="321" t="s">
        <v>20544</v>
      </c>
      <c r="FU312" s="214" t="s">
        <v>918</v>
      </c>
      <c r="FV312" s="214" t="s">
        <v>70</v>
      </c>
      <c r="FW312" s="214" t="s">
        <v>530</v>
      </c>
      <c r="FY312" s="321" t="s">
        <v>20545</v>
      </c>
      <c r="FZ312" s="214" t="s">
        <v>34575</v>
      </c>
      <c r="GA312" s="214" t="s">
        <v>70</v>
      </c>
      <c r="GB312" s="214" t="s">
        <v>530</v>
      </c>
      <c r="GD312" s="321" t="s">
        <v>20546</v>
      </c>
      <c r="GE312" s="214" t="s">
        <v>163</v>
      </c>
      <c r="GF312" s="214" t="s">
        <v>70</v>
      </c>
      <c r="GG312" s="214" t="s">
        <v>530</v>
      </c>
      <c r="GI312" s="321" t="s">
        <v>20547</v>
      </c>
      <c r="GJ312" s="214" t="s">
        <v>286</v>
      </c>
      <c r="GK312" s="214" t="s">
        <v>70</v>
      </c>
      <c r="GL312" s="214" t="s">
        <v>530</v>
      </c>
      <c r="GN312" s="321" t="s">
        <v>20548</v>
      </c>
      <c r="GO312" s="214" t="s">
        <v>34536</v>
      </c>
      <c r="GP312" s="214" t="s">
        <v>70</v>
      </c>
      <c r="GQ312" s="214" t="s">
        <v>530</v>
      </c>
      <c r="GS312" s="321" t="s">
        <v>20549</v>
      </c>
      <c r="GT312" s="214" t="s">
        <v>34553</v>
      </c>
      <c r="GU312" s="214" t="s">
        <v>70</v>
      </c>
      <c r="GV312" s="214" t="s">
        <v>530</v>
      </c>
      <c r="GX312" s="214" t="s">
        <v>20550</v>
      </c>
      <c r="GY312" s="214" t="s">
        <v>655</v>
      </c>
      <c r="GZ312" s="214" t="s">
        <v>70</v>
      </c>
      <c r="HA312" s="214" t="s">
        <v>530</v>
      </c>
      <c r="HC312" s="214" t="s">
        <v>20551</v>
      </c>
      <c r="HD312" s="214" t="s">
        <v>34574</v>
      </c>
      <c r="HE312" s="214" t="s">
        <v>70</v>
      </c>
      <c r="HF312" s="214" t="s">
        <v>530</v>
      </c>
      <c r="HH312" s="214" t="s">
        <v>20552</v>
      </c>
      <c r="HI312" s="214" t="s">
        <v>34553</v>
      </c>
      <c r="HJ312" s="214" t="s">
        <v>70</v>
      </c>
      <c r="HK312" s="214" t="s">
        <v>530</v>
      </c>
      <c r="HM312" s="214" t="s">
        <v>20553</v>
      </c>
      <c r="HN312" s="214" t="s">
        <v>636</v>
      </c>
      <c r="HO312" s="214" t="s">
        <v>70</v>
      </c>
      <c r="HP312" s="214" t="s">
        <v>530</v>
      </c>
      <c r="HR312" s="22" t="s">
        <v>20554</v>
      </c>
      <c r="HS312" s="22" t="s">
        <v>148</v>
      </c>
      <c r="HT312" s="22" t="s">
        <v>70</v>
      </c>
      <c r="HU312" s="214" t="s">
        <v>530</v>
      </c>
      <c r="HW312" s="22" t="s">
        <v>20555</v>
      </c>
      <c r="HX312" s="22" t="s">
        <v>52</v>
      </c>
      <c r="HY312" s="22" t="s">
        <v>70</v>
      </c>
      <c r="HZ312" s="214" t="s">
        <v>530</v>
      </c>
      <c r="IB312" s="22" t="s">
        <v>20556</v>
      </c>
      <c r="IC312" s="22" t="s">
        <v>936</v>
      </c>
      <c r="ID312" s="22" t="s">
        <v>70</v>
      </c>
      <c r="IE312" s="214" t="s">
        <v>530</v>
      </c>
      <c r="IG312" s="22" t="s">
        <v>20557</v>
      </c>
      <c r="IH312" s="22" t="s">
        <v>52</v>
      </c>
      <c r="II312" s="22" t="s">
        <v>70</v>
      </c>
      <c r="IJ312" s="214" t="s">
        <v>530</v>
      </c>
      <c r="IL312" s="22" t="s">
        <v>20558</v>
      </c>
      <c r="IM312" s="22" t="s">
        <v>145</v>
      </c>
      <c r="IN312" s="22" t="s">
        <v>70</v>
      </c>
      <c r="IO312" s="214" t="s">
        <v>530</v>
      </c>
      <c r="IQ312" s="236" t="s">
        <v>20559</v>
      </c>
      <c r="IR312" s="236" t="s">
        <v>145</v>
      </c>
      <c r="IS312" s="236" t="s">
        <v>74</v>
      </c>
      <c r="IT312" s="236" t="s">
        <v>841</v>
      </c>
      <c r="IV312" s="236" t="s">
        <v>20560</v>
      </c>
      <c r="IW312" s="236" t="s">
        <v>145</v>
      </c>
      <c r="IX312" s="236" t="s">
        <v>74</v>
      </c>
      <c r="IY312" s="236" t="s">
        <v>841</v>
      </c>
      <c r="JA312" s="236" t="s">
        <v>20561</v>
      </c>
      <c r="JB312" s="236" t="s">
        <v>145</v>
      </c>
      <c r="JC312" s="236" t="s">
        <v>74</v>
      </c>
      <c r="JD312" s="236" t="s">
        <v>841</v>
      </c>
      <c r="JF312" s="236" t="s">
        <v>20562</v>
      </c>
      <c r="JG312" s="236" t="s">
        <v>145</v>
      </c>
      <c r="JH312" s="236" t="s">
        <v>74</v>
      </c>
      <c r="JI312" s="236" t="s">
        <v>841</v>
      </c>
      <c r="JK312" s="236" t="s">
        <v>20563</v>
      </c>
      <c r="JL312" s="236" t="s">
        <v>145</v>
      </c>
      <c r="JM312" s="236" t="s">
        <v>74</v>
      </c>
      <c r="JN312" s="236" t="s">
        <v>841</v>
      </c>
      <c r="JP312" s="236" t="s">
        <v>20564</v>
      </c>
      <c r="JQ312" s="236" t="s">
        <v>145</v>
      </c>
      <c r="JR312" s="236" t="s">
        <v>74</v>
      </c>
      <c r="JS312" s="236" t="s">
        <v>841</v>
      </c>
      <c r="JU312" s="294" t="s">
        <v>20565</v>
      </c>
      <c r="JV312" s="294" t="s">
        <v>52</v>
      </c>
      <c r="JW312" s="263" t="s">
        <v>70</v>
      </c>
      <c r="JX312" s="294" t="s">
        <v>1083</v>
      </c>
      <c r="JZ312" s="263" t="s">
        <v>20566</v>
      </c>
      <c r="KA312" s="263" t="s">
        <v>145</v>
      </c>
      <c r="KB312" s="263" t="s">
        <v>70</v>
      </c>
      <c r="KC312" s="263" t="s">
        <v>1083</v>
      </c>
      <c r="KE312" s="263" t="s">
        <v>20567</v>
      </c>
      <c r="KF312" s="263" t="s">
        <v>52</v>
      </c>
      <c r="KG312" s="263" t="s">
        <v>70</v>
      </c>
      <c r="KH312" s="263" t="s">
        <v>1083</v>
      </c>
      <c r="KJ312" s="263" t="s">
        <v>20568</v>
      </c>
      <c r="KK312" s="263" t="s">
        <v>52</v>
      </c>
      <c r="KL312" s="263" t="s">
        <v>74</v>
      </c>
      <c r="KM312" s="263" t="s">
        <v>34074</v>
      </c>
      <c r="KO312" s="214" t="s">
        <v>20569</v>
      </c>
      <c r="KP312" s="214" t="s">
        <v>145</v>
      </c>
      <c r="KQ312" s="214" t="s">
        <v>70</v>
      </c>
      <c r="KR312" s="214" t="s">
        <v>67</v>
      </c>
      <c r="KT312" s="22" t="s">
        <v>20570</v>
      </c>
      <c r="KU312" s="22" t="s">
        <v>145</v>
      </c>
      <c r="KV312" s="22" t="s">
        <v>70</v>
      </c>
      <c r="KW312" s="22" t="s">
        <v>67</v>
      </c>
      <c r="KY312" s="214" t="s">
        <v>20571</v>
      </c>
      <c r="KZ312" s="214" t="s">
        <v>52</v>
      </c>
      <c r="LA312" s="214" t="s">
        <v>74</v>
      </c>
      <c r="LB312" s="214" t="s">
        <v>67</v>
      </c>
      <c r="LD312" s="22" t="s">
        <v>20572</v>
      </c>
      <c r="LE312" s="22" t="s">
        <v>145</v>
      </c>
      <c r="LF312" s="22" t="s">
        <v>70</v>
      </c>
      <c r="LG312" s="22" t="s">
        <v>67</v>
      </c>
    </row>
    <row r="313" spans="1:319">
      <c r="A313" s="22" t="s">
        <v>20573</v>
      </c>
      <c r="B313" s="22" t="s">
        <v>145</v>
      </c>
      <c r="C313" s="22" t="s">
        <v>70</v>
      </c>
      <c r="D313" s="22" t="s">
        <v>67</v>
      </c>
      <c r="F313" s="99" t="s">
        <v>20574</v>
      </c>
      <c r="G313" s="22" t="s">
        <v>145</v>
      </c>
      <c r="H313" s="22" t="s">
        <v>70</v>
      </c>
      <c r="I313" s="22" t="s">
        <v>67</v>
      </c>
      <c r="K313" s="22" t="s">
        <v>20575</v>
      </c>
      <c r="L313" s="22" t="s">
        <v>145</v>
      </c>
      <c r="M313" s="22" t="s">
        <v>70</v>
      </c>
      <c r="N313" s="22" t="s">
        <v>67</v>
      </c>
      <c r="P313" s="22" t="s">
        <v>20576</v>
      </c>
      <c r="Q313" s="22" t="s">
        <v>145</v>
      </c>
      <c r="R313" s="22" t="s">
        <v>70</v>
      </c>
      <c r="S313" s="22" t="s">
        <v>67</v>
      </c>
      <c r="U313" s="293" t="s">
        <v>20577</v>
      </c>
      <c r="V313" s="293" t="s">
        <v>145</v>
      </c>
      <c r="W313" s="293" t="s">
        <v>74</v>
      </c>
      <c r="X313" s="293" t="s">
        <v>656</v>
      </c>
      <c r="Z313" s="293" t="s">
        <v>20578</v>
      </c>
      <c r="AA313" s="293" t="s">
        <v>145</v>
      </c>
      <c r="AB313" s="293" t="s">
        <v>74</v>
      </c>
      <c r="AC313" s="293" t="s">
        <v>656</v>
      </c>
      <c r="AE313" s="293" t="s">
        <v>20579</v>
      </c>
      <c r="AF313" s="293" t="s">
        <v>145</v>
      </c>
      <c r="AG313" s="293" t="s">
        <v>74</v>
      </c>
      <c r="AH313" s="293" t="s">
        <v>656</v>
      </c>
      <c r="AJ313" s="293" t="s">
        <v>20580</v>
      </c>
      <c r="AK313" s="293" t="s">
        <v>145</v>
      </c>
      <c r="AL313" s="293" t="s">
        <v>74</v>
      </c>
      <c r="AM313" s="293" t="s">
        <v>656</v>
      </c>
      <c r="AO313" s="22" t="s">
        <v>20581</v>
      </c>
      <c r="AP313" s="22" t="s">
        <v>145</v>
      </c>
      <c r="AQ313" s="22" t="s">
        <v>70</v>
      </c>
      <c r="AR313" s="22" t="s">
        <v>67</v>
      </c>
      <c r="AT313" s="22" t="s">
        <v>20582</v>
      </c>
      <c r="AU313" s="22" t="s">
        <v>145</v>
      </c>
      <c r="AV313" s="22" t="s">
        <v>70</v>
      </c>
      <c r="AW313" s="22" t="s">
        <v>67</v>
      </c>
      <c r="AY313" s="22" t="s">
        <v>20583</v>
      </c>
      <c r="AZ313" s="22" t="s">
        <v>145</v>
      </c>
      <c r="BA313" s="22" t="s">
        <v>70</v>
      </c>
      <c r="BB313" s="22" t="s">
        <v>67</v>
      </c>
      <c r="BD313" s="22" t="s">
        <v>20584</v>
      </c>
      <c r="BE313" s="22" t="s">
        <v>145</v>
      </c>
      <c r="BF313" s="22" t="s">
        <v>70</v>
      </c>
      <c r="BG313" s="22" t="s">
        <v>67</v>
      </c>
      <c r="BI313" s="22" t="s">
        <v>20585</v>
      </c>
      <c r="BJ313" s="22" t="s">
        <v>145</v>
      </c>
      <c r="BK313" s="22" t="s">
        <v>70</v>
      </c>
      <c r="BL313" s="22" t="s">
        <v>67</v>
      </c>
      <c r="BN313" s="22" t="s">
        <v>20586</v>
      </c>
      <c r="BO313" s="22" t="s">
        <v>145</v>
      </c>
      <c r="BP313" s="22" t="s">
        <v>70</v>
      </c>
      <c r="BQ313" s="22" t="s">
        <v>67</v>
      </c>
      <c r="BS313" s="22" t="s">
        <v>20587</v>
      </c>
      <c r="BT313" s="22" t="s">
        <v>145</v>
      </c>
      <c r="BU313" s="22" t="s">
        <v>70</v>
      </c>
      <c r="BV313" s="214" t="s">
        <v>530</v>
      </c>
      <c r="BX313" s="22" t="s">
        <v>20588</v>
      </c>
      <c r="BY313" s="22" t="s">
        <v>145</v>
      </c>
      <c r="BZ313" s="22" t="s">
        <v>70</v>
      </c>
      <c r="CA313" s="214" t="s">
        <v>530</v>
      </c>
      <c r="CC313" s="214" t="s">
        <v>20589</v>
      </c>
      <c r="CD313" s="218" t="s">
        <v>34607</v>
      </c>
      <c r="CE313" s="214" t="s">
        <v>70</v>
      </c>
      <c r="CF313" s="214" t="s">
        <v>767</v>
      </c>
      <c r="CH313" s="214" t="s">
        <v>20590</v>
      </c>
      <c r="CI313" s="214" t="s">
        <v>490</v>
      </c>
      <c r="CJ313" s="214" t="s">
        <v>70</v>
      </c>
      <c r="CK313" s="214" t="s">
        <v>530</v>
      </c>
      <c r="CM313" s="214" t="s">
        <v>20591</v>
      </c>
      <c r="CN313" s="214" t="s">
        <v>491</v>
      </c>
      <c r="CO313" s="214" t="s">
        <v>70</v>
      </c>
      <c r="CP313" s="214" t="s">
        <v>530</v>
      </c>
      <c r="CR313" s="214" t="s">
        <v>20592</v>
      </c>
      <c r="CS313" s="214" t="s">
        <v>52</v>
      </c>
      <c r="CT313" s="214" t="s">
        <v>70</v>
      </c>
      <c r="CU313" s="214" t="s">
        <v>530</v>
      </c>
      <c r="CW313" s="214" t="s">
        <v>20593</v>
      </c>
      <c r="CX313" s="214" t="s">
        <v>34551</v>
      </c>
      <c r="CY313" s="214" t="s">
        <v>70</v>
      </c>
      <c r="CZ313" s="214" t="s">
        <v>530</v>
      </c>
      <c r="DB313" s="214" t="s">
        <v>20594</v>
      </c>
      <c r="DC313" s="214" t="s">
        <v>502</v>
      </c>
      <c r="DD313" s="214" t="s">
        <v>70</v>
      </c>
      <c r="DE313" s="214" t="s">
        <v>530</v>
      </c>
      <c r="DG313" s="214" t="s">
        <v>20595</v>
      </c>
      <c r="DH313" s="214" t="s">
        <v>34570</v>
      </c>
      <c r="DI313" s="214" t="s">
        <v>70</v>
      </c>
      <c r="DJ313" s="214" t="s">
        <v>530</v>
      </c>
      <c r="DL313" s="214" t="s">
        <v>20596</v>
      </c>
      <c r="DM313" s="214" t="s">
        <v>501</v>
      </c>
      <c r="DN313" s="214" t="s">
        <v>70</v>
      </c>
      <c r="DO313" s="214" t="s">
        <v>530</v>
      </c>
      <c r="DQ313" s="214" t="s">
        <v>20597</v>
      </c>
      <c r="DR313" s="214" t="s">
        <v>34548</v>
      </c>
      <c r="DS313" s="214" t="s">
        <v>70</v>
      </c>
      <c r="DT313" s="214" t="s">
        <v>530</v>
      </c>
      <c r="DV313" s="214" t="s">
        <v>20598</v>
      </c>
      <c r="DW313" s="214" t="s">
        <v>488</v>
      </c>
      <c r="DX313" s="214" t="s">
        <v>70</v>
      </c>
      <c r="DY313" s="214" t="s">
        <v>530</v>
      </c>
      <c r="EA313" s="214" t="s">
        <v>20599</v>
      </c>
      <c r="EB313" s="214" t="s">
        <v>910</v>
      </c>
      <c r="EC313" s="214" t="s">
        <v>70</v>
      </c>
      <c r="ED313" s="214" t="s">
        <v>530</v>
      </c>
      <c r="EF313" s="214" t="s">
        <v>20600</v>
      </c>
      <c r="EG313" s="214" t="s">
        <v>531</v>
      </c>
      <c r="EH313" s="214" t="s">
        <v>70</v>
      </c>
      <c r="EI313" s="214" t="s">
        <v>530</v>
      </c>
      <c r="EK313" s="214" t="s">
        <v>20601</v>
      </c>
      <c r="EL313" s="214" t="s">
        <v>34542</v>
      </c>
      <c r="EM313" s="214" t="s">
        <v>70</v>
      </c>
      <c r="EN313" s="214" t="s">
        <v>530</v>
      </c>
      <c r="EP313" s="214" t="s">
        <v>20602</v>
      </c>
      <c r="EQ313" s="214" t="s">
        <v>34541</v>
      </c>
      <c r="ER313" s="214" t="s">
        <v>70</v>
      </c>
      <c r="ES313" s="214" t="s">
        <v>530</v>
      </c>
      <c r="EU313" s="214" t="s">
        <v>20603</v>
      </c>
      <c r="EV313" s="214" t="s">
        <v>917</v>
      </c>
      <c r="EW313" s="214" t="s">
        <v>70</v>
      </c>
      <c r="EX313" s="214" t="s">
        <v>530</v>
      </c>
      <c r="EZ313" s="214" t="s">
        <v>20604</v>
      </c>
      <c r="FA313" s="214" t="s">
        <v>93</v>
      </c>
      <c r="FB313" s="214" t="s">
        <v>70</v>
      </c>
      <c r="FC313" s="214" t="s">
        <v>530</v>
      </c>
      <c r="FE313" s="214" t="s">
        <v>20605</v>
      </c>
      <c r="FF313" s="214" t="s">
        <v>52</v>
      </c>
      <c r="FG313" s="214" t="s">
        <v>70</v>
      </c>
      <c r="FH313" s="214" t="s">
        <v>530</v>
      </c>
      <c r="FJ313" s="321" t="s">
        <v>20606</v>
      </c>
      <c r="FK313" s="214" t="s">
        <v>34552</v>
      </c>
      <c r="FL313" s="214" t="s">
        <v>70</v>
      </c>
      <c r="FM313" s="214" t="s">
        <v>530</v>
      </c>
      <c r="FO313" s="321" t="s">
        <v>20607</v>
      </c>
      <c r="FP313" s="214" t="s">
        <v>34583</v>
      </c>
      <c r="FQ313" s="214" t="s">
        <v>70</v>
      </c>
      <c r="FR313" s="214" t="s">
        <v>530</v>
      </c>
      <c r="FT313" s="321" t="s">
        <v>20608</v>
      </c>
      <c r="FU313" s="214" t="s">
        <v>52</v>
      </c>
      <c r="FV313" s="214" t="s">
        <v>70</v>
      </c>
      <c r="FW313" s="214" t="s">
        <v>530</v>
      </c>
      <c r="FY313" s="321" t="s">
        <v>20609</v>
      </c>
      <c r="FZ313" s="214" t="s">
        <v>93</v>
      </c>
      <c r="GA313" s="214" t="s">
        <v>70</v>
      </c>
      <c r="GB313" s="214" t="s">
        <v>530</v>
      </c>
      <c r="GD313" s="321" t="s">
        <v>20610</v>
      </c>
      <c r="GE313" s="214" t="s">
        <v>34589</v>
      </c>
      <c r="GF313" s="214" t="s">
        <v>70</v>
      </c>
      <c r="GG313" s="214" t="s">
        <v>530</v>
      </c>
      <c r="GI313" s="321" t="s">
        <v>20611</v>
      </c>
      <c r="GJ313" s="214" t="s">
        <v>484</v>
      </c>
      <c r="GK313" s="214" t="s">
        <v>70</v>
      </c>
      <c r="GL313" s="214" t="s">
        <v>530</v>
      </c>
      <c r="GN313" s="321" t="s">
        <v>20612</v>
      </c>
      <c r="GO313" s="214" t="s">
        <v>163</v>
      </c>
      <c r="GP313" s="214" t="s">
        <v>70</v>
      </c>
      <c r="GQ313" s="214" t="s">
        <v>530</v>
      </c>
      <c r="GS313" s="321" t="s">
        <v>20613</v>
      </c>
      <c r="GT313" s="214" t="s">
        <v>482</v>
      </c>
      <c r="GU313" s="214" t="s">
        <v>70</v>
      </c>
      <c r="GV313" s="214" t="s">
        <v>530</v>
      </c>
      <c r="GX313" s="214" t="s">
        <v>20614</v>
      </c>
      <c r="GY313" s="214" t="s">
        <v>503</v>
      </c>
      <c r="GZ313" s="214" t="s">
        <v>70</v>
      </c>
      <c r="HA313" s="214" t="s">
        <v>530</v>
      </c>
      <c r="HC313" s="214" t="s">
        <v>20615</v>
      </c>
      <c r="HD313" s="214" t="s">
        <v>488</v>
      </c>
      <c r="HE313" s="214" t="s">
        <v>70</v>
      </c>
      <c r="HF313" s="214" t="s">
        <v>530</v>
      </c>
      <c r="HH313" s="214" t="s">
        <v>20616</v>
      </c>
      <c r="HI313" s="214" t="s">
        <v>482</v>
      </c>
      <c r="HJ313" s="214" t="s">
        <v>70</v>
      </c>
      <c r="HK313" s="214" t="s">
        <v>530</v>
      </c>
      <c r="HM313" s="214" t="s">
        <v>20617</v>
      </c>
      <c r="HN313" s="214" t="s">
        <v>52</v>
      </c>
      <c r="HO313" s="214" t="s">
        <v>70</v>
      </c>
      <c r="HP313" s="214" t="s">
        <v>530</v>
      </c>
      <c r="HR313" s="22" t="s">
        <v>20618</v>
      </c>
      <c r="HS313" s="22" t="s">
        <v>52</v>
      </c>
      <c r="HT313" s="22" t="s">
        <v>70</v>
      </c>
      <c r="HU313" s="214" t="s">
        <v>530</v>
      </c>
      <c r="HW313" s="22" t="s">
        <v>20619</v>
      </c>
      <c r="HX313" s="22" t="s">
        <v>203</v>
      </c>
      <c r="HY313" s="22" t="s">
        <v>70</v>
      </c>
      <c r="HZ313" s="214" t="s">
        <v>530</v>
      </c>
      <c r="IB313" s="22" t="s">
        <v>20620</v>
      </c>
      <c r="IC313" s="22" t="s">
        <v>145</v>
      </c>
      <c r="ID313" s="22" t="s">
        <v>70</v>
      </c>
      <c r="IE313" s="214" t="s">
        <v>530</v>
      </c>
      <c r="IG313" s="22" t="s">
        <v>20621</v>
      </c>
      <c r="IH313" s="22" t="s">
        <v>52</v>
      </c>
      <c r="II313" s="22" t="s">
        <v>70</v>
      </c>
      <c r="IJ313" s="214" t="s">
        <v>530</v>
      </c>
      <c r="IL313" s="22" t="s">
        <v>20622</v>
      </c>
      <c r="IM313" s="22" t="s">
        <v>145</v>
      </c>
      <c r="IN313" s="22" t="s">
        <v>70</v>
      </c>
      <c r="IO313" s="214" t="s">
        <v>530</v>
      </c>
      <c r="IQ313" s="236" t="s">
        <v>20623</v>
      </c>
      <c r="IR313" s="236" t="s">
        <v>145</v>
      </c>
      <c r="IS313" s="236" t="s">
        <v>74</v>
      </c>
      <c r="IT313" s="236" t="s">
        <v>841</v>
      </c>
      <c r="IV313" s="236" t="s">
        <v>20624</v>
      </c>
      <c r="IW313" s="236" t="s">
        <v>145</v>
      </c>
      <c r="IX313" s="236" t="s">
        <v>74</v>
      </c>
      <c r="IY313" s="236" t="s">
        <v>841</v>
      </c>
      <c r="JA313" s="236" t="s">
        <v>20625</v>
      </c>
      <c r="JB313" s="236" t="s">
        <v>145</v>
      </c>
      <c r="JC313" s="236" t="s">
        <v>74</v>
      </c>
      <c r="JD313" s="236" t="s">
        <v>841</v>
      </c>
      <c r="JF313" s="236" t="s">
        <v>20626</v>
      </c>
      <c r="JG313" s="236" t="s">
        <v>145</v>
      </c>
      <c r="JH313" s="236" t="s">
        <v>74</v>
      </c>
      <c r="JI313" s="236" t="s">
        <v>841</v>
      </c>
      <c r="JK313" s="236" t="s">
        <v>20627</v>
      </c>
      <c r="JL313" s="236" t="s">
        <v>145</v>
      </c>
      <c r="JM313" s="236" t="s">
        <v>74</v>
      </c>
      <c r="JN313" s="236" t="s">
        <v>841</v>
      </c>
      <c r="JP313" s="236" t="s">
        <v>20628</v>
      </c>
      <c r="JQ313" s="236" t="s">
        <v>145</v>
      </c>
      <c r="JR313" s="236" t="s">
        <v>74</v>
      </c>
      <c r="JS313" s="236" t="s">
        <v>841</v>
      </c>
      <c r="JU313" s="294" t="s">
        <v>20629</v>
      </c>
      <c r="JV313" s="294" t="s">
        <v>52</v>
      </c>
      <c r="JW313" s="263" t="s">
        <v>70</v>
      </c>
      <c r="JX313" s="294" t="s">
        <v>1083</v>
      </c>
      <c r="JZ313" s="263" t="s">
        <v>20630</v>
      </c>
      <c r="KA313" s="263" t="s">
        <v>145</v>
      </c>
      <c r="KB313" s="263" t="s">
        <v>70</v>
      </c>
      <c r="KC313" s="263" t="s">
        <v>1083</v>
      </c>
      <c r="KE313" s="263" t="s">
        <v>20631</v>
      </c>
      <c r="KF313" s="263" t="s">
        <v>52</v>
      </c>
      <c r="KG313" s="263" t="s">
        <v>70</v>
      </c>
      <c r="KH313" s="263" t="s">
        <v>1083</v>
      </c>
      <c r="KJ313" s="263" t="s">
        <v>20632</v>
      </c>
      <c r="KK313" s="263" t="s">
        <v>52</v>
      </c>
      <c r="KL313" s="263" t="s">
        <v>74</v>
      </c>
      <c r="KM313" s="263" t="s">
        <v>34074</v>
      </c>
      <c r="KO313" s="214" t="s">
        <v>20633</v>
      </c>
      <c r="KP313" s="214" t="s">
        <v>145</v>
      </c>
      <c r="KQ313" s="214" t="s">
        <v>70</v>
      </c>
      <c r="KR313" s="214" t="s">
        <v>67</v>
      </c>
      <c r="KT313" s="22" t="s">
        <v>20634</v>
      </c>
      <c r="KU313" s="22" t="s">
        <v>145</v>
      </c>
      <c r="KV313" s="22" t="s">
        <v>70</v>
      </c>
      <c r="KW313" s="22" t="s">
        <v>67</v>
      </c>
      <c r="KY313" s="214" t="s">
        <v>20635</v>
      </c>
      <c r="KZ313" s="214" t="s">
        <v>52</v>
      </c>
      <c r="LA313" s="214" t="s">
        <v>74</v>
      </c>
      <c r="LB313" s="214" t="s">
        <v>67</v>
      </c>
      <c r="LD313" s="22" t="s">
        <v>20636</v>
      </c>
      <c r="LE313" s="22" t="s">
        <v>145</v>
      </c>
      <c r="LF313" s="22" t="s">
        <v>70</v>
      </c>
      <c r="LG313" s="22" t="s">
        <v>67</v>
      </c>
    </row>
    <row r="314" spans="1:319">
      <c r="A314" s="22" t="s">
        <v>20637</v>
      </c>
      <c r="B314" s="22" t="s">
        <v>145</v>
      </c>
      <c r="C314" s="22" t="s">
        <v>70</v>
      </c>
      <c r="D314" s="22" t="s">
        <v>67</v>
      </c>
      <c r="F314" s="99" t="s">
        <v>20638</v>
      </c>
      <c r="G314" s="22" t="s">
        <v>145</v>
      </c>
      <c r="H314" s="22" t="s">
        <v>70</v>
      </c>
      <c r="I314" s="22" t="s">
        <v>67</v>
      </c>
      <c r="K314" s="22" t="s">
        <v>20639</v>
      </c>
      <c r="L314" s="22" t="s">
        <v>145</v>
      </c>
      <c r="M314" s="22" t="s">
        <v>70</v>
      </c>
      <c r="N314" s="22" t="s">
        <v>67</v>
      </c>
      <c r="P314" s="22" t="s">
        <v>20640</v>
      </c>
      <c r="Q314" s="22" t="s">
        <v>145</v>
      </c>
      <c r="R314" s="22" t="s">
        <v>70</v>
      </c>
      <c r="S314" s="22" t="s">
        <v>67</v>
      </c>
      <c r="U314" s="293" t="s">
        <v>20641</v>
      </c>
      <c r="V314" s="293" t="s">
        <v>145</v>
      </c>
      <c r="W314" s="293" t="s">
        <v>74</v>
      </c>
      <c r="X314" s="293" t="s">
        <v>656</v>
      </c>
      <c r="Z314" s="293" t="s">
        <v>20642</v>
      </c>
      <c r="AA314" s="293" t="s">
        <v>145</v>
      </c>
      <c r="AB314" s="293" t="s">
        <v>74</v>
      </c>
      <c r="AC314" s="293" t="s">
        <v>656</v>
      </c>
      <c r="AE314" s="293" t="s">
        <v>20643</v>
      </c>
      <c r="AF314" s="293" t="s">
        <v>145</v>
      </c>
      <c r="AG314" s="293" t="s">
        <v>74</v>
      </c>
      <c r="AH314" s="293" t="s">
        <v>656</v>
      </c>
      <c r="AJ314" s="293" t="s">
        <v>20644</v>
      </c>
      <c r="AK314" s="293" t="s">
        <v>145</v>
      </c>
      <c r="AL314" s="293" t="s">
        <v>74</v>
      </c>
      <c r="AM314" s="293" t="s">
        <v>656</v>
      </c>
      <c r="AO314" s="22" t="s">
        <v>20645</v>
      </c>
      <c r="AP314" s="22" t="s">
        <v>145</v>
      </c>
      <c r="AQ314" s="22" t="s">
        <v>70</v>
      </c>
      <c r="AR314" s="22" t="s">
        <v>67</v>
      </c>
      <c r="AT314" s="22" t="s">
        <v>20646</v>
      </c>
      <c r="AU314" s="22" t="s">
        <v>145</v>
      </c>
      <c r="AV314" s="22" t="s">
        <v>70</v>
      </c>
      <c r="AW314" s="22" t="s">
        <v>67</v>
      </c>
      <c r="AY314" s="22" t="s">
        <v>20647</v>
      </c>
      <c r="AZ314" s="22" t="s">
        <v>145</v>
      </c>
      <c r="BA314" s="22" t="s">
        <v>70</v>
      </c>
      <c r="BB314" s="22" t="s">
        <v>67</v>
      </c>
      <c r="BD314" s="22" t="s">
        <v>20648</v>
      </c>
      <c r="BE314" s="22" t="s">
        <v>145</v>
      </c>
      <c r="BF314" s="22" t="s">
        <v>70</v>
      </c>
      <c r="BG314" s="22" t="s">
        <v>67</v>
      </c>
      <c r="BI314" s="22" t="s">
        <v>20649</v>
      </c>
      <c r="BJ314" s="22" t="s">
        <v>145</v>
      </c>
      <c r="BK314" s="22" t="s">
        <v>70</v>
      </c>
      <c r="BL314" s="22" t="s">
        <v>67</v>
      </c>
      <c r="BN314" s="22" t="s">
        <v>20650</v>
      </c>
      <c r="BO314" s="22" t="s">
        <v>145</v>
      </c>
      <c r="BP314" s="22" t="s">
        <v>70</v>
      </c>
      <c r="BQ314" s="22" t="s">
        <v>67</v>
      </c>
      <c r="BS314" s="22" t="s">
        <v>20651</v>
      </c>
      <c r="BT314" s="22" t="s">
        <v>145</v>
      </c>
      <c r="BU314" s="22" t="s">
        <v>70</v>
      </c>
      <c r="BV314" s="214" t="s">
        <v>530</v>
      </c>
      <c r="BX314" s="22" t="s">
        <v>20652</v>
      </c>
      <c r="BY314" s="22" t="s">
        <v>145</v>
      </c>
      <c r="BZ314" s="22" t="s">
        <v>70</v>
      </c>
      <c r="CA314" s="214" t="s">
        <v>530</v>
      </c>
      <c r="CC314" s="214" t="s">
        <v>20653</v>
      </c>
      <c r="CD314" s="218" t="s">
        <v>52</v>
      </c>
      <c r="CE314" s="214" t="s">
        <v>70</v>
      </c>
      <c r="CF314" s="214" t="s">
        <v>768</v>
      </c>
      <c r="CH314" s="214" t="s">
        <v>20654</v>
      </c>
      <c r="CI314" s="214" t="s">
        <v>467</v>
      </c>
      <c r="CJ314" s="214" t="s">
        <v>70</v>
      </c>
      <c r="CK314" s="214" t="s">
        <v>530</v>
      </c>
      <c r="CM314" s="214" t="s">
        <v>20655</v>
      </c>
      <c r="CN314" s="214" t="s">
        <v>488</v>
      </c>
      <c r="CO314" s="214" t="s">
        <v>70</v>
      </c>
      <c r="CP314" s="214" t="s">
        <v>530</v>
      </c>
      <c r="CR314" s="214" t="s">
        <v>20656</v>
      </c>
      <c r="CS314" s="214" t="s">
        <v>163</v>
      </c>
      <c r="CT314" s="214" t="s">
        <v>70</v>
      </c>
      <c r="CU314" s="214" t="s">
        <v>530</v>
      </c>
      <c r="CW314" s="214" t="s">
        <v>20657</v>
      </c>
      <c r="CX314" s="214" t="s">
        <v>34599</v>
      </c>
      <c r="CY314" s="214" t="s">
        <v>70</v>
      </c>
      <c r="CZ314" s="214" t="s">
        <v>530</v>
      </c>
      <c r="DB314" s="214" t="s">
        <v>20658</v>
      </c>
      <c r="DC314" s="214" t="s">
        <v>86</v>
      </c>
      <c r="DD314" s="214" t="s">
        <v>70</v>
      </c>
      <c r="DE314" s="214" t="s">
        <v>530</v>
      </c>
      <c r="DG314" s="214" t="s">
        <v>20659</v>
      </c>
      <c r="DH314" s="214" t="s">
        <v>90</v>
      </c>
      <c r="DI314" s="214" t="s">
        <v>70</v>
      </c>
      <c r="DJ314" s="214" t="s">
        <v>530</v>
      </c>
      <c r="DL314" s="214" t="s">
        <v>20660</v>
      </c>
      <c r="DM314" s="214" t="s">
        <v>34579</v>
      </c>
      <c r="DN314" s="214" t="s">
        <v>70</v>
      </c>
      <c r="DO314" s="214" t="s">
        <v>530</v>
      </c>
      <c r="DQ314" s="214" t="s">
        <v>20661</v>
      </c>
      <c r="DR314" s="214" t="s">
        <v>146</v>
      </c>
      <c r="DS314" s="214" t="s">
        <v>70</v>
      </c>
      <c r="DT314" s="214" t="s">
        <v>530</v>
      </c>
      <c r="DV314" s="214" t="s">
        <v>20662</v>
      </c>
      <c r="DW314" s="214" t="s">
        <v>52</v>
      </c>
      <c r="DX314" s="214" t="s">
        <v>70</v>
      </c>
      <c r="DY314" s="214" t="s">
        <v>530</v>
      </c>
      <c r="EA314" s="214" t="s">
        <v>20663</v>
      </c>
      <c r="EB314" s="214" t="s">
        <v>88</v>
      </c>
      <c r="EC314" s="214" t="s">
        <v>70</v>
      </c>
      <c r="ED314" s="214" t="s">
        <v>530</v>
      </c>
      <c r="EF314" s="214" t="s">
        <v>20664</v>
      </c>
      <c r="EG314" s="214" t="s">
        <v>34562</v>
      </c>
      <c r="EH314" s="214" t="s">
        <v>70</v>
      </c>
      <c r="EI314" s="214" t="s">
        <v>530</v>
      </c>
      <c r="EK314" s="214" t="s">
        <v>20665</v>
      </c>
      <c r="EL314" s="214" t="s">
        <v>10541</v>
      </c>
      <c r="EM314" s="214" t="s">
        <v>70</v>
      </c>
      <c r="EN314" s="214" t="s">
        <v>530</v>
      </c>
      <c r="EP314" s="214" t="s">
        <v>20666</v>
      </c>
      <c r="EQ314" s="214" t="s">
        <v>34585</v>
      </c>
      <c r="ER314" s="214" t="s">
        <v>70</v>
      </c>
      <c r="ES314" s="214" t="s">
        <v>530</v>
      </c>
      <c r="EU314" s="214" t="s">
        <v>20667</v>
      </c>
      <c r="EV314" s="214" t="s">
        <v>92</v>
      </c>
      <c r="EW314" s="214" t="s">
        <v>70</v>
      </c>
      <c r="EX314" s="214" t="s">
        <v>530</v>
      </c>
      <c r="EZ314" s="214" t="s">
        <v>20668</v>
      </c>
      <c r="FA314" s="214" t="s">
        <v>905</v>
      </c>
      <c r="FB314" s="214" t="s">
        <v>70</v>
      </c>
      <c r="FC314" s="214" t="s">
        <v>530</v>
      </c>
      <c r="FE314" s="214" t="s">
        <v>20669</v>
      </c>
      <c r="FF314" s="214" t="s">
        <v>502</v>
      </c>
      <c r="FG314" s="214" t="s">
        <v>70</v>
      </c>
      <c r="FH314" s="214" t="s">
        <v>530</v>
      </c>
      <c r="FJ314" s="321" t="s">
        <v>20670</v>
      </c>
      <c r="FK314" s="214" t="s">
        <v>34567</v>
      </c>
      <c r="FL314" s="214" t="s">
        <v>70</v>
      </c>
      <c r="FM314" s="214" t="s">
        <v>530</v>
      </c>
      <c r="FO314" s="321" t="s">
        <v>20671</v>
      </c>
      <c r="FP314" s="214" t="s">
        <v>34578</v>
      </c>
      <c r="FQ314" s="214" t="s">
        <v>70</v>
      </c>
      <c r="FR314" s="214" t="s">
        <v>530</v>
      </c>
      <c r="FT314" s="321" t="s">
        <v>20672</v>
      </c>
      <c r="FU314" s="214" t="s">
        <v>655</v>
      </c>
      <c r="FV314" s="214" t="s">
        <v>70</v>
      </c>
      <c r="FW314" s="214" t="s">
        <v>530</v>
      </c>
      <c r="FY314" s="321" t="s">
        <v>20673</v>
      </c>
      <c r="FZ314" s="214" t="s">
        <v>34556</v>
      </c>
      <c r="GA314" s="214" t="s">
        <v>70</v>
      </c>
      <c r="GB314" s="214" t="s">
        <v>530</v>
      </c>
      <c r="GD314" s="321" t="s">
        <v>20674</v>
      </c>
      <c r="GE314" s="214" t="s">
        <v>52</v>
      </c>
      <c r="GF314" s="214" t="s">
        <v>70</v>
      </c>
      <c r="GG314" s="214" t="s">
        <v>530</v>
      </c>
      <c r="GI314" s="321" t="s">
        <v>20675</v>
      </c>
      <c r="GJ314" s="214" t="s">
        <v>940</v>
      </c>
      <c r="GK314" s="214" t="s">
        <v>70</v>
      </c>
      <c r="GL314" s="214" t="s">
        <v>530</v>
      </c>
      <c r="GN314" s="321" t="s">
        <v>20676</v>
      </c>
      <c r="GO314" s="214" t="s">
        <v>642</v>
      </c>
      <c r="GP314" s="214" t="s">
        <v>70</v>
      </c>
      <c r="GQ314" s="214" t="s">
        <v>530</v>
      </c>
      <c r="GS314" s="321" t="s">
        <v>20677</v>
      </c>
      <c r="GT314" s="214" t="s">
        <v>34581</v>
      </c>
      <c r="GU314" s="214" t="s">
        <v>70</v>
      </c>
      <c r="GV314" s="214" t="s">
        <v>530</v>
      </c>
      <c r="GX314" s="214" t="s">
        <v>20678</v>
      </c>
      <c r="GY314" s="214" t="s">
        <v>52</v>
      </c>
      <c r="GZ314" s="214" t="s">
        <v>70</v>
      </c>
      <c r="HA314" s="214" t="s">
        <v>530</v>
      </c>
      <c r="HC314" s="214" t="s">
        <v>20679</v>
      </c>
      <c r="HD314" s="214" t="s">
        <v>912</v>
      </c>
      <c r="HE314" s="214" t="s">
        <v>70</v>
      </c>
      <c r="HF314" s="214" t="s">
        <v>530</v>
      </c>
      <c r="HH314" s="214" t="s">
        <v>20680</v>
      </c>
      <c r="HI314" s="214" t="s">
        <v>601</v>
      </c>
      <c r="HJ314" s="214" t="s">
        <v>70</v>
      </c>
      <c r="HK314" s="214" t="s">
        <v>530</v>
      </c>
      <c r="HM314" s="214" t="s">
        <v>20681</v>
      </c>
      <c r="HN314" s="214" t="s">
        <v>10541</v>
      </c>
      <c r="HO314" s="214" t="s">
        <v>70</v>
      </c>
      <c r="HP314" s="214" t="s">
        <v>530</v>
      </c>
      <c r="HR314" s="22" t="s">
        <v>20682</v>
      </c>
      <c r="HS314" s="22" t="s">
        <v>34644</v>
      </c>
      <c r="HT314" s="22" t="s">
        <v>70</v>
      </c>
      <c r="HU314" s="214" t="s">
        <v>530</v>
      </c>
      <c r="HW314" s="22" t="s">
        <v>20683</v>
      </c>
      <c r="HX314" s="22" t="s">
        <v>34610</v>
      </c>
      <c r="HY314" s="22" t="s">
        <v>70</v>
      </c>
      <c r="HZ314" s="214" t="s">
        <v>530</v>
      </c>
      <c r="IB314" s="22" t="s">
        <v>20684</v>
      </c>
      <c r="IC314" s="22" t="s">
        <v>34553</v>
      </c>
      <c r="ID314" s="22" t="s">
        <v>70</v>
      </c>
      <c r="IE314" s="214" t="s">
        <v>530</v>
      </c>
      <c r="IG314" s="22" t="s">
        <v>20685</v>
      </c>
      <c r="IH314" s="22" t="s">
        <v>52</v>
      </c>
      <c r="II314" s="22" t="s">
        <v>70</v>
      </c>
      <c r="IJ314" s="214" t="s">
        <v>530</v>
      </c>
      <c r="IL314" s="22" t="s">
        <v>20686</v>
      </c>
      <c r="IM314" s="22" t="s">
        <v>145</v>
      </c>
      <c r="IN314" s="22" t="s">
        <v>70</v>
      </c>
      <c r="IO314" s="214" t="s">
        <v>530</v>
      </c>
      <c r="IQ314" s="236" t="s">
        <v>20687</v>
      </c>
      <c r="IR314" s="236" t="s">
        <v>145</v>
      </c>
      <c r="IS314" s="236" t="s">
        <v>74</v>
      </c>
      <c r="IT314" s="236" t="s">
        <v>841</v>
      </c>
      <c r="IV314" s="236" t="s">
        <v>20688</v>
      </c>
      <c r="IW314" s="236" t="s">
        <v>145</v>
      </c>
      <c r="IX314" s="236" t="s">
        <v>74</v>
      </c>
      <c r="IY314" s="236" t="s">
        <v>841</v>
      </c>
      <c r="JA314" s="236" t="s">
        <v>20689</v>
      </c>
      <c r="JB314" s="236" t="s">
        <v>145</v>
      </c>
      <c r="JC314" s="236" t="s">
        <v>74</v>
      </c>
      <c r="JD314" s="236" t="s">
        <v>841</v>
      </c>
      <c r="JF314" s="236" t="s">
        <v>20690</v>
      </c>
      <c r="JG314" s="236" t="s">
        <v>145</v>
      </c>
      <c r="JH314" s="236" t="s">
        <v>74</v>
      </c>
      <c r="JI314" s="236" t="s">
        <v>841</v>
      </c>
      <c r="JK314" s="236" t="s">
        <v>20691</v>
      </c>
      <c r="JL314" s="236" t="s">
        <v>145</v>
      </c>
      <c r="JM314" s="236" t="s">
        <v>74</v>
      </c>
      <c r="JN314" s="236" t="s">
        <v>841</v>
      </c>
      <c r="JP314" s="236" t="s">
        <v>20692</v>
      </c>
      <c r="JQ314" s="236" t="s">
        <v>145</v>
      </c>
      <c r="JR314" s="236" t="s">
        <v>74</v>
      </c>
      <c r="JS314" s="236" t="s">
        <v>841</v>
      </c>
      <c r="JU314" s="294" t="s">
        <v>20693</v>
      </c>
      <c r="JV314" s="294" t="s">
        <v>52</v>
      </c>
      <c r="JW314" s="263" t="s">
        <v>70</v>
      </c>
      <c r="JX314" s="294" t="s">
        <v>1083</v>
      </c>
      <c r="JZ314" s="263" t="s">
        <v>20694</v>
      </c>
      <c r="KA314" s="263" t="s">
        <v>145</v>
      </c>
      <c r="KB314" s="263" t="s">
        <v>70</v>
      </c>
      <c r="KC314" s="263" t="s">
        <v>1083</v>
      </c>
      <c r="KE314" s="263" t="s">
        <v>20695</v>
      </c>
      <c r="KF314" s="263" t="s">
        <v>52</v>
      </c>
      <c r="KG314" s="263" t="s">
        <v>70</v>
      </c>
      <c r="KH314" s="263" t="s">
        <v>1083</v>
      </c>
      <c r="KJ314" s="263" t="s">
        <v>20696</v>
      </c>
      <c r="KK314" s="263" t="s">
        <v>52</v>
      </c>
      <c r="KL314" s="263" t="s">
        <v>74</v>
      </c>
      <c r="KM314" s="263" t="s">
        <v>34074</v>
      </c>
      <c r="KO314" s="214" t="s">
        <v>20697</v>
      </c>
      <c r="KP314" s="214" t="s">
        <v>145</v>
      </c>
      <c r="KQ314" s="214" t="s">
        <v>70</v>
      </c>
      <c r="KR314" s="214" t="s">
        <v>67</v>
      </c>
      <c r="KT314" s="22" t="s">
        <v>20698</v>
      </c>
      <c r="KU314" s="22" t="s">
        <v>145</v>
      </c>
      <c r="KV314" s="22" t="s">
        <v>70</v>
      </c>
      <c r="KW314" s="22" t="s">
        <v>67</v>
      </c>
      <c r="KY314" s="214" t="s">
        <v>20699</v>
      </c>
      <c r="KZ314" s="214" t="s">
        <v>52</v>
      </c>
      <c r="LA314" s="214" t="s">
        <v>74</v>
      </c>
      <c r="LB314" s="214" t="s">
        <v>67</v>
      </c>
      <c r="LD314" s="22" t="s">
        <v>20700</v>
      </c>
      <c r="LE314" s="22" t="s">
        <v>145</v>
      </c>
      <c r="LF314" s="22" t="s">
        <v>70</v>
      </c>
      <c r="LG314" s="22" t="s">
        <v>67</v>
      </c>
    </row>
    <row r="315" spans="1:319">
      <c r="A315" s="22" t="s">
        <v>20701</v>
      </c>
      <c r="B315" s="22" t="s">
        <v>145</v>
      </c>
      <c r="C315" s="22" t="s">
        <v>70</v>
      </c>
      <c r="D315" s="22" t="s">
        <v>67</v>
      </c>
      <c r="F315" s="99" t="s">
        <v>20702</v>
      </c>
      <c r="G315" s="22" t="s">
        <v>145</v>
      </c>
      <c r="H315" s="22" t="s">
        <v>70</v>
      </c>
      <c r="I315" s="22" t="s">
        <v>67</v>
      </c>
      <c r="K315" s="22" t="s">
        <v>20703</v>
      </c>
      <c r="L315" s="22" t="s">
        <v>145</v>
      </c>
      <c r="M315" s="22" t="s">
        <v>70</v>
      </c>
      <c r="N315" s="22" t="s">
        <v>67</v>
      </c>
      <c r="P315" s="22" t="s">
        <v>20704</v>
      </c>
      <c r="Q315" s="22" t="s">
        <v>145</v>
      </c>
      <c r="R315" s="22" t="s">
        <v>70</v>
      </c>
      <c r="S315" s="22" t="s">
        <v>67</v>
      </c>
      <c r="U315" s="293" t="s">
        <v>20705</v>
      </c>
      <c r="V315" s="293" t="s">
        <v>145</v>
      </c>
      <c r="W315" s="293" t="s">
        <v>74</v>
      </c>
      <c r="X315" s="293" t="s">
        <v>656</v>
      </c>
      <c r="Z315" s="293" t="s">
        <v>20706</v>
      </c>
      <c r="AA315" s="293" t="s">
        <v>145</v>
      </c>
      <c r="AB315" s="293" t="s">
        <v>74</v>
      </c>
      <c r="AC315" s="293" t="s">
        <v>656</v>
      </c>
      <c r="AE315" s="293" t="s">
        <v>20707</v>
      </c>
      <c r="AF315" s="293" t="s">
        <v>145</v>
      </c>
      <c r="AG315" s="293" t="s">
        <v>74</v>
      </c>
      <c r="AH315" s="293" t="s">
        <v>656</v>
      </c>
      <c r="AJ315" s="293" t="s">
        <v>20708</v>
      </c>
      <c r="AK315" s="293" t="s">
        <v>145</v>
      </c>
      <c r="AL315" s="293" t="s">
        <v>74</v>
      </c>
      <c r="AM315" s="293" t="s">
        <v>656</v>
      </c>
      <c r="AO315" s="22" t="s">
        <v>20709</v>
      </c>
      <c r="AP315" s="22" t="s">
        <v>145</v>
      </c>
      <c r="AQ315" s="22" t="s">
        <v>70</v>
      </c>
      <c r="AR315" s="22" t="s">
        <v>67</v>
      </c>
      <c r="AT315" s="22" t="s">
        <v>20710</v>
      </c>
      <c r="AU315" s="22" t="s">
        <v>145</v>
      </c>
      <c r="AV315" s="22" t="s">
        <v>70</v>
      </c>
      <c r="AW315" s="22" t="s">
        <v>67</v>
      </c>
      <c r="AY315" s="22" t="s">
        <v>20711</v>
      </c>
      <c r="AZ315" s="22" t="s">
        <v>145</v>
      </c>
      <c r="BA315" s="22" t="s">
        <v>70</v>
      </c>
      <c r="BB315" s="22" t="s">
        <v>67</v>
      </c>
      <c r="BD315" s="22" t="s">
        <v>20712</v>
      </c>
      <c r="BE315" s="22" t="s">
        <v>145</v>
      </c>
      <c r="BF315" s="22" t="s">
        <v>70</v>
      </c>
      <c r="BG315" s="22" t="s">
        <v>67</v>
      </c>
      <c r="BI315" s="22" t="s">
        <v>20713</v>
      </c>
      <c r="BJ315" s="22" t="s">
        <v>145</v>
      </c>
      <c r="BK315" s="22" t="s">
        <v>70</v>
      </c>
      <c r="BL315" s="22" t="s">
        <v>67</v>
      </c>
      <c r="BN315" s="22" t="s">
        <v>20714</v>
      </c>
      <c r="BO315" s="22" t="s">
        <v>145</v>
      </c>
      <c r="BP315" s="22" t="s">
        <v>70</v>
      </c>
      <c r="BQ315" s="22" t="s">
        <v>67</v>
      </c>
      <c r="BS315" s="22" t="s">
        <v>20715</v>
      </c>
      <c r="BT315" s="22" t="s">
        <v>145</v>
      </c>
      <c r="BU315" s="22" t="s">
        <v>70</v>
      </c>
      <c r="BV315" s="214" t="s">
        <v>530</v>
      </c>
      <c r="BX315" s="22" t="s">
        <v>20716</v>
      </c>
      <c r="BY315" s="22" t="s">
        <v>145</v>
      </c>
      <c r="BZ315" s="22" t="s">
        <v>70</v>
      </c>
      <c r="CA315" s="214" t="s">
        <v>530</v>
      </c>
      <c r="CC315" s="214" t="s">
        <v>20717</v>
      </c>
      <c r="CD315" s="218" t="s">
        <v>601</v>
      </c>
      <c r="CE315" s="214" t="s">
        <v>70</v>
      </c>
      <c r="CF315" s="214" t="s">
        <v>769</v>
      </c>
      <c r="CH315" s="214" t="s">
        <v>20718</v>
      </c>
      <c r="CI315" s="214" t="s">
        <v>492</v>
      </c>
      <c r="CJ315" s="214" t="s">
        <v>70</v>
      </c>
      <c r="CK315" s="214" t="s">
        <v>530</v>
      </c>
      <c r="CM315" s="214" t="s">
        <v>20719</v>
      </c>
      <c r="CN315" s="214" t="s">
        <v>488</v>
      </c>
      <c r="CO315" s="214" t="s">
        <v>70</v>
      </c>
      <c r="CP315" s="214" t="s">
        <v>530</v>
      </c>
      <c r="CR315" s="214" t="s">
        <v>20720</v>
      </c>
      <c r="CS315" s="214" t="s">
        <v>600</v>
      </c>
      <c r="CT315" s="214" t="s">
        <v>70</v>
      </c>
      <c r="CU315" s="214" t="s">
        <v>530</v>
      </c>
      <c r="CW315" s="214" t="s">
        <v>20721</v>
      </c>
      <c r="CX315" s="214" t="s">
        <v>34557</v>
      </c>
      <c r="CY315" s="214" t="s">
        <v>70</v>
      </c>
      <c r="CZ315" s="214" t="s">
        <v>530</v>
      </c>
      <c r="DB315" s="214" t="s">
        <v>20722</v>
      </c>
      <c r="DC315" s="214" t="s">
        <v>52</v>
      </c>
      <c r="DD315" s="214" t="s">
        <v>70</v>
      </c>
      <c r="DE315" s="214" t="s">
        <v>530</v>
      </c>
      <c r="DG315" s="214" t="s">
        <v>20723</v>
      </c>
      <c r="DH315" s="214" t="s">
        <v>52</v>
      </c>
      <c r="DI315" s="214" t="s">
        <v>70</v>
      </c>
      <c r="DJ315" s="214" t="s">
        <v>530</v>
      </c>
      <c r="DL315" s="214" t="s">
        <v>20724</v>
      </c>
      <c r="DM315" s="214" t="s">
        <v>34544</v>
      </c>
      <c r="DN315" s="214" t="s">
        <v>70</v>
      </c>
      <c r="DO315" s="214" t="s">
        <v>530</v>
      </c>
      <c r="DQ315" s="214" t="s">
        <v>20725</v>
      </c>
      <c r="DR315" s="214" t="s">
        <v>52</v>
      </c>
      <c r="DS315" s="214" t="s">
        <v>70</v>
      </c>
      <c r="DT315" s="214" t="s">
        <v>530</v>
      </c>
      <c r="DV315" s="214" t="s">
        <v>20726</v>
      </c>
      <c r="DW315" s="214" t="s">
        <v>601</v>
      </c>
      <c r="DX315" s="214" t="s">
        <v>70</v>
      </c>
      <c r="DY315" s="214" t="s">
        <v>530</v>
      </c>
      <c r="EA315" s="214" t="s">
        <v>20727</v>
      </c>
      <c r="EB315" s="214" t="s">
        <v>146</v>
      </c>
      <c r="EC315" s="214" t="s">
        <v>70</v>
      </c>
      <c r="ED315" s="214" t="s">
        <v>530</v>
      </c>
      <c r="EF315" s="214" t="s">
        <v>20728</v>
      </c>
      <c r="EG315" s="214" t="s">
        <v>486</v>
      </c>
      <c r="EH315" s="214" t="s">
        <v>70</v>
      </c>
      <c r="EI315" s="214" t="s">
        <v>530</v>
      </c>
      <c r="EK315" s="214" t="s">
        <v>20729</v>
      </c>
      <c r="EL315" s="214" t="s">
        <v>204</v>
      </c>
      <c r="EM315" s="214" t="s">
        <v>70</v>
      </c>
      <c r="EN315" s="214" t="s">
        <v>530</v>
      </c>
      <c r="EP315" s="214" t="s">
        <v>20730</v>
      </c>
      <c r="EQ315" s="214" t="s">
        <v>145</v>
      </c>
      <c r="ER315" s="214" t="s">
        <v>70</v>
      </c>
      <c r="ES315" s="214" t="s">
        <v>530</v>
      </c>
      <c r="EU315" s="214" t="s">
        <v>20731</v>
      </c>
      <c r="EV315" s="214" t="s">
        <v>146</v>
      </c>
      <c r="EW315" s="214" t="s">
        <v>70</v>
      </c>
      <c r="EX315" s="214" t="s">
        <v>530</v>
      </c>
      <c r="EZ315" s="214" t="s">
        <v>20732</v>
      </c>
      <c r="FA315" s="214" t="s">
        <v>501</v>
      </c>
      <c r="FB315" s="214" t="s">
        <v>70</v>
      </c>
      <c r="FC315" s="214" t="s">
        <v>530</v>
      </c>
      <c r="FE315" s="214" t="s">
        <v>20733</v>
      </c>
      <c r="FF315" s="214" t="s">
        <v>146</v>
      </c>
      <c r="FG315" s="214" t="s">
        <v>70</v>
      </c>
      <c r="FH315" s="214" t="s">
        <v>530</v>
      </c>
      <c r="FJ315" s="321" t="s">
        <v>20734</v>
      </c>
      <c r="FK315" s="214" t="s">
        <v>491</v>
      </c>
      <c r="FL315" s="214" t="s">
        <v>70</v>
      </c>
      <c r="FM315" s="214" t="s">
        <v>530</v>
      </c>
      <c r="FO315" s="321" t="s">
        <v>20735</v>
      </c>
      <c r="FP315" s="214" t="s">
        <v>88</v>
      </c>
      <c r="FQ315" s="214" t="s">
        <v>70</v>
      </c>
      <c r="FR315" s="214" t="s">
        <v>530</v>
      </c>
      <c r="FT315" s="321" t="s">
        <v>20736</v>
      </c>
      <c r="FU315" s="214" t="s">
        <v>950</v>
      </c>
      <c r="FV315" s="214" t="s">
        <v>70</v>
      </c>
      <c r="FW315" s="214" t="s">
        <v>530</v>
      </c>
      <c r="FY315" s="321" t="s">
        <v>20737</v>
      </c>
      <c r="FZ315" s="214" t="s">
        <v>34541</v>
      </c>
      <c r="GA315" s="214" t="s">
        <v>70</v>
      </c>
      <c r="GB315" s="214" t="s">
        <v>530</v>
      </c>
      <c r="GD315" s="321" t="s">
        <v>20738</v>
      </c>
      <c r="GE315" s="214" t="s">
        <v>955</v>
      </c>
      <c r="GF315" s="214" t="s">
        <v>70</v>
      </c>
      <c r="GG315" s="214" t="s">
        <v>530</v>
      </c>
      <c r="GI315" s="321" t="s">
        <v>20739</v>
      </c>
      <c r="GJ315" s="214" t="s">
        <v>34555</v>
      </c>
      <c r="GK315" s="214" t="s">
        <v>70</v>
      </c>
      <c r="GL315" s="214" t="s">
        <v>530</v>
      </c>
      <c r="GN315" s="321" t="s">
        <v>20740</v>
      </c>
      <c r="GO315" s="214" t="s">
        <v>146</v>
      </c>
      <c r="GP315" s="214" t="s">
        <v>70</v>
      </c>
      <c r="GQ315" s="214" t="s">
        <v>530</v>
      </c>
      <c r="GS315" s="321" t="s">
        <v>20741</v>
      </c>
      <c r="GT315" s="214" t="s">
        <v>518</v>
      </c>
      <c r="GU315" s="214" t="s">
        <v>70</v>
      </c>
      <c r="GV315" s="214" t="s">
        <v>530</v>
      </c>
      <c r="GX315" s="214" t="s">
        <v>20742</v>
      </c>
      <c r="GY315" s="214" t="s">
        <v>34569</v>
      </c>
      <c r="GZ315" s="214" t="s">
        <v>70</v>
      </c>
      <c r="HA315" s="214" t="s">
        <v>530</v>
      </c>
      <c r="HC315" s="214" t="s">
        <v>20743</v>
      </c>
      <c r="HD315" s="214" t="s">
        <v>484</v>
      </c>
      <c r="HE315" s="214" t="s">
        <v>70</v>
      </c>
      <c r="HF315" s="214" t="s">
        <v>530</v>
      </c>
      <c r="HH315" s="214" t="s">
        <v>20744</v>
      </c>
      <c r="HI315" s="214" t="s">
        <v>34555</v>
      </c>
      <c r="HJ315" s="214" t="s">
        <v>70</v>
      </c>
      <c r="HK315" s="214" t="s">
        <v>530</v>
      </c>
      <c r="HM315" s="214" t="s">
        <v>20745</v>
      </c>
      <c r="HN315" s="214" t="s">
        <v>502</v>
      </c>
      <c r="HO315" s="214" t="s">
        <v>70</v>
      </c>
      <c r="HP315" s="214" t="s">
        <v>530</v>
      </c>
      <c r="HR315" s="22" t="s">
        <v>20746</v>
      </c>
      <c r="HS315" s="22" t="s">
        <v>52</v>
      </c>
      <c r="HT315" s="22" t="s">
        <v>70</v>
      </c>
      <c r="HU315" s="214" t="s">
        <v>530</v>
      </c>
      <c r="HW315" s="22" t="s">
        <v>20747</v>
      </c>
      <c r="HX315" s="22" t="s">
        <v>490</v>
      </c>
      <c r="HY315" s="22" t="s">
        <v>70</v>
      </c>
      <c r="HZ315" s="214" t="s">
        <v>530</v>
      </c>
      <c r="IB315" s="22" t="s">
        <v>20748</v>
      </c>
      <c r="IC315" s="22" t="s">
        <v>496</v>
      </c>
      <c r="ID315" s="22" t="s">
        <v>70</v>
      </c>
      <c r="IE315" s="214" t="s">
        <v>530</v>
      </c>
      <c r="IG315" s="22" t="s">
        <v>20749</v>
      </c>
      <c r="IH315" s="22" t="s">
        <v>52</v>
      </c>
      <c r="II315" s="22" t="s">
        <v>70</v>
      </c>
      <c r="IJ315" s="214" t="s">
        <v>530</v>
      </c>
      <c r="IL315" s="22" t="s">
        <v>20750</v>
      </c>
      <c r="IM315" s="22" t="s">
        <v>145</v>
      </c>
      <c r="IN315" s="22" t="s">
        <v>70</v>
      </c>
      <c r="IO315" s="214" t="s">
        <v>530</v>
      </c>
      <c r="IQ315" s="236" t="s">
        <v>20751</v>
      </c>
      <c r="IR315" s="236" t="s">
        <v>145</v>
      </c>
      <c r="IS315" s="236" t="s">
        <v>74</v>
      </c>
      <c r="IT315" s="236" t="s">
        <v>841</v>
      </c>
      <c r="IV315" s="236" t="s">
        <v>20752</v>
      </c>
      <c r="IW315" s="236" t="s">
        <v>145</v>
      </c>
      <c r="IX315" s="236" t="s">
        <v>74</v>
      </c>
      <c r="IY315" s="236" t="s">
        <v>841</v>
      </c>
      <c r="JA315" s="236" t="s">
        <v>20753</v>
      </c>
      <c r="JB315" s="236" t="s">
        <v>145</v>
      </c>
      <c r="JC315" s="236" t="s">
        <v>74</v>
      </c>
      <c r="JD315" s="236" t="s">
        <v>841</v>
      </c>
      <c r="JF315" s="236" t="s">
        <v>20754</v>
      </c>
      <c r="JG315" s="236" t="s">
        <v>145</v>
      </c>
      <c r="JH315" s="236" t="s">
        <v>74</v>
      </c>
      <c r="JI315" s="236" t="s">
        <v>841</v>
      </c>
      <c r="JK315" s="236" t="s">
        <v>20755</v>
      </c>
      <c r="JL315" s="236" t="s">
        <v>145</v>
      </c>
      <c r="JM315" s="236" t="s">
        <v>74</v>
      </c>
      <c r="JN315" s="236" t="s">
        <v>841</v>
      </c>
      <c r="JP315" s="236" t="s">
        <v>20756</v>
      </c>
      <c r="JQ315" s="236" t="s">
        <v>145</v>
      </c>
      <c r="JR315" s="236" t="s">
        <v>74</v>
      </c>
      <c r="JS315" s="236" t="s">
        <v>841</v>
      </c>
      <c r="JU315" s="294" t="s">
        <v>20757</v>
      </c>
      <c r="JV315" s="294" t="s">
        <v>52</v>
      </c>
      <c r="JW315" s="263" t="s">
        <v>70</v>
      </c>
      <c r="JX315" s="294" t="s">
        <v>1083</v>
      </c>
      <c r="JZ315" s="263" t="s">
        <v>20758</v>
      </c>
      <c r="KA315" s="263" t="s">
        <v>145</v>
      </c>
      <c r="KB315" s="263" t="s">
        <v>70</v>
      </c>
      <c r="KC315" s="263" t="s">
        <v>1083</v>
      </c>
      <c r="KE315" s="263" t="s">
        <v>20759</v>
      </c>
      <c r="KF315" s="263" t="s">
        <v>52</v>
      </c>
      <c r="KG315" s="263" t="s">
        <v>70</v>
      </c>
      <c r="KH315" s="263" t="s">
        <v>1083</v>
      </c>
      <c r="KJ315" s="263" t="s">
        <v>20760</v>
      </c>
      <c r="KK315" s="263" t="s">
        <v>52</v>
      </c>
      <c r="KL315" s="263" t="s">
        <v>74</v>
      </c>
      <c r="KM315" s="263" t="s">
        <v>34074</v>
      </c>
      <c r="KO315" s="214" t="s">
        <v>20761</v>
      </c>
      <c r="KP315" s="214" t="s">
        <v>145</v>
      </c>
      <c r="KQ315" s="214" t="s">
        <v>70</v>
      </c>
      <c r="KR315" s="214" t="s">
        <v>67</v>
      </c>
      <c r="KT315" s="22" t="s">
        <v>20762</v>
      </c>
      <c r="KU315" s="22" t="s">
        <v>145</v>
      </c>
      <c r="KV315" s="22" t="s">
        <v>70</v>
      </c>
      <c r="KW315" s="22" t="s">
        <v>67</v>
      </c>
      <c r="KY315" s="214" t="s">
        <v>20763</v>
      </c>
      <c r="KZ315" s="214" t="s">
        <v>52</v>
      </c>
      <c r="LA315" s="214" t="s">
        <v>74</v>
      </c>
      <c r="LB315" s="214" t="s">
        <v>67</v>
      </c>
      <c r="LD315" s="22" t="s">
        <v>20764</v>
      </c>
      <c r="LE315" s="22" t="s">
        <v>145</v>
      </c>
      <c r="LF315" s="22" t="s">
        <v>70</v>
      </c>
      <c r="LG315" s="22" t="s">
        <v>67</v>
      </c>
    </row>
    <row r="316" spans="1:319">
      <c r="A316" s="22" t="s">
        <v>20765</v>
      </c>
      <c r="B316" s="22" t="s">
        <v>145</v>
      </c>
      <c r="C316" s="22" t="s">
        <v>70</v>
      </c>
      <c r="D316" s="22" t="s">
        <v>67</v>
      </c>
      <c r="F316" s="99" t="s">
        <v>20766</v>
      </c>
      <c r="G316" s="22" t="s">
        <v>145</v>
      </c>
      <c r="H316" s="22" t="s">
        <v>70</v>
      </c>
      <c r="I316" s="22" t="s">
        <v>67</v>
      </c>
      <c r="K316" s="22" t="s">
        <v>20767</v>
      </c>
      <c r="L316" s="22" t="s">
        <v>145</v>
      </c>
      <c r="M316" s="22" t="s">
        <v>70</v>
      </c>
      <c r="N316" s="22" t="s">
        <v>67</v>
      </c>
      <c r="P316" s="22" t="s">
        <v>20768</v>
      </c>
      <c r="Q316" s="22" t="s">
        <v>145</v>
      </c>
      <c r="R316" s="22" t="s">
        <v>70</v>
      </c>
      <c r="S316" s="22" t="s">
        <v>67</v>
      </c>
      <c r="U316" s="293" t="s">
        <v>20769</v>
      </c>
      <c r="V316" s="293" t="s">
        <v>145</v>
      </c>
      <c r="W316" s="293" t="s">
        <v>74</v>
      </c>
      <c r="X316" s="293" t="s">
        <v>656</v>
      </c>
      <c r="Z316" s="293" t="s">
        <v>20770</v>
      </c>
      <c r="AA316" s="293" t="s">
        <v>145</v>
      </c>
      <c r="AB316" s="293" t="s">
        <v>74</v>
      </c>
      <c r="AC316" s="293" t="s">
        <v>656</v>
      </c>
      <c r="AE316" s="293" t="s">
        <v>20771</v>
      </c>
      <c r="AF316" s="293" t="s">
        <v>145</v>
      </c>
      <c r="AG316" s="293" t="s">
        <v>74</v>
      </c>
      <c r="AH316" s="293" t="s">
        <v>656</v>
      </c>
      <c r="AJ316" s="293" t="s">
        <v>20772</v>
      </c>
      <c r="AK316" s="293" t="s">
        <v>145</v>
      </c>
      <c r="AL316" s="293" t="s">
        <v>74</v>
      </c>
      <c r="AM316" s="293" t="s">
        <v>656</v>
      </c>
      <c r="AO316" s="22" t="s">
        <v>20773</v>
      </c>
      <c r="AP316" s="22" t="s">
        <v>145</v>
      </c>
      <c r="AQ316" s="22" t="s">
        <v>70</v>
      </c>
      <c r="AR316" s="22" t="s">
        <v>67</v>
      </c>
      <c r="AT316" s="22" t="s">
        <v>20774</v>
      </c>
      <c r="AU316" s="22" t="s">
        <v>145</v>
      </c>
      <c r="AV316" s="22" t="s">
        <v>70</v>
      </c>
      <c r="AW316" s="22" t="s">
        <v>67</v>
      </c>
      <c r="AY316" s="22" t="s">
        <v>20775</v>
      </c>
      <c r="AZ316" s="22" t="s">
        <v>145</v>
      </c>
      <c r="BA316" s="22" t="s">
        <v>70</v>
      </c>
      <c r="BB316" s="22" t="s">
        <v>67</v>
      </c>
      <c r="BD316" s="22" t="s">
        <v>20776</v>
      </c>
      <c r="BE316" s="22" t="s">
        <v>145</v>
      </c>
      <c r="BF316" s="22" t="s">
        <v>70</v>
      </c>
      <c r="BG316" s="22" t="s">
        <v>67</v>
      </c>
      <c r="BI316" s="22" t="s">
        <v>20777</v>
      </c>
      <c r="BJ316" s="22" t="s">
        <v>145</v>
      </c>
      <c r="BK316" s="22" t="s">
        <v>70</v>
      </c>
      <c r="BL316" s="22" t="s">
        <v>67</v>
      </c>
      <c r="BN316" s="22" t="s">
        <v>20778</v>
      </c>
      <c r="BO316" s="22" t="s">
        <v>145</v>
      </c>
      <c r="BP316" s="22" t="s">
        <v>70</v>
      </c>
      <c r="BQ316" s="22" t="s">
        <v>67</v>
      </c>
      <c r="BS316" s="22" t="s">
        <v>20779</v>
      </c>
      <c r="BT316" s="22" t="s">
        <v>145</v>
      </c>
      <c r="BU316" s="22" t="s">
        <v>70</v>
      </c>
      <c r="BV316" s="214" t="s">
        <v>530</v>
      </c>
      <c r="BX316" s="22" t="s">
        <v>20780</v>
      </c>
      <c r="BY316" s="22" t="s">
        <v>145</v>
      </c>
      <c r="BZ316" s="22" t="s">
        <v>70</v>
      </c>
      <c r="CA316" s="214" t="s">
        <v>530</v>
      </c>
      <c r="CC316" s="214" t="s">
        <v>20781</v>
      </c>
      <c r="CD316" s="218" t="s">
        <v>34608</v>
      </c>
      <c r="CE316" s="214" t="s">
        <v>70</v>
      </c>
      <c r="CF316" s="214" t="s">
        <v>34122</v>
      </c>
      <c r="CH316" s="214" t="s">
        <v>20782</v>
      </c>
      <c r="CI316" s="214" t="s">
        <v>88</v>
      </c>
      <c r="CJ316" s="214" t="s">
        <v>70</v>
      </c>
      <c r="CK316" s="214" t="s">
        <v>530</v>
      </c>
      <c r="CM316" s="214" t="s">
        <v>20783</v>
      </c>
      <c r="CN316" s="214" t="s">
        <v>468</v>
      </c>
      <c r="CO316" s="214" t="s">
        <v>70</v>
      </c>
      <c r="CP316" s="214" t="s">
        <v>530</v>
      </c>
      <c r="CR316" s="214" t="s">
        <v>20784</v>
      </c>
      <c r="CS316" s="214" t="s">
        <v>164</v>
      </c>
      <c r="CT316" s="214" t="s">
        <v>70</v>
      </c>
      <c r="CU316" s="214" t="s">
        <v>530</v>
      </c>
      <c r="CW316" s="214" t="s">
        <v>20785</v>
      </c>
      <c r="CX316" s="214" t="s">
        <v>935</v>
      </c>
      <c r="CY316" s="214" t="s">
        <v>70</v>
      </c>
      <c r="CZ316" s="214" t="s">
        <v>530</v>
      </c>
      <c r="DB316" s="214" t="s">
        <v>20786</v>
      </c>
      <c r="DC316" s="214" t="s">
        <v>145</v>
      </c>
      <c r="DD316" s="214" t="s">
        <v>70</v>
      </c>
      <c r="DE316" s="214" t="s">
        <v>530</v>
      </c>
      <c r="DG316" s="214" t="s">
        <v>20787</v>
      </c>
      <c r="DH316" s="214" t="s">
        <v>93</v>
      </c>
      <c r="DI316" s="214" t="s">
        <v>70</v>
      </c>
      <c r="DJ316" s="214" t="s">
        <v>530</v>
      </c>
      <c r="DL316" s="214" t="s">
        <v>20788</v>
      </c>
      <c r="DM316" s="214" t="s">
        <v>601</v>
      </c>
      <c r="DN316" s="214" t="s">
        <v>70</v>
      </c>
      <c r="DO316" s="214" t="s">
        <v>530</v>
      </c>
      <c r="DQ316" s="214" t="s">
        <v>20789</v>
      </c>
      <c r="DR316" s="214" t="s">
        <v>86</v>
      </c>
      <c r="DS316" s="214" t="s">
        <v>70</v>
      </c>
      <c r="DT316" s="214" t="s">
        <v>530</v>
      </c>
      <c r="DV316" s="214" t="s">
        <v>20790</v>
      </c>
      <c r="DW316" s="214" t="s">
        <v>955</v>
      </c>
      <c r="DX316" s="214" t="s">
        <v>70</v>
      </c>
      <c r="DY316" s="214" t="s">
        <v>530</v>
      </c>
      <c r="EA316" s="214" t="s">
        <v>20791</v>
      </c>
      <c r="EB316" s="214" t="s">
        <v>34583</v>
      </c>
      <c r="EC316" s="214" t="s">
        <v>70</v>
      </c>
      <c r="ED316" s="214" t="s">
        <v>530</v>
      </c>
      <c r="EF316" s="214" t="s">
        <v>20792</v>
      </c>
      <c r="EG316" s="214" t="s">
        <v>163</v>
      </c>
      <c r="EH316" s="214" t="s">
        <v>70</v>
      </c>
      <c r="EI316" s="214" t="s">
        <v>530</v>
      </c>
      <c r="EK316" s="214" t="s">
        <v>20793</v>
      </c>
      <c r="EL316" s="214" t="s">
        <v>52</v>
      </c>
      <c r="EM316" s="214" t="s">
        <v>70</v>
      </c>
      <c r="EN316" s="214" t="s">
        <v>530</v>
      </c>
      <c r="EP316" s="214" t="s">
        <v>20794</v>
      </c>
      <c r="EQ316" s="214" t="s">
        <v>52</v>
      </c>
      <c r="ER316" s="214" t="s">
        <v>70</v>
      </c>
      <c r="ES316" s="214" t="s">
        <v>530</v>
      </c>
      <c r="EU316" s="214" t="s">
        <v>20795</v>
      </c>
      <c r="EV316" s="214" t="s">
        <v>90</v>
      </c>
      <c r="EW316" s="214" t="s">
        <v>70</v>
      </c>
      <c r="EX316" s="214" t="s">
        <v>530</v>
      </c>
      <c r="EZ316" s="214" t="s">
        <v>20796</v>
      </c>
      <c r="FA316" s="214" t="s">
        <v>92</v>
      </c>
      <c r="FB316" s="214" t="s">
        <v>70</v>
      </c>
      <c r="FC316" s="214" t="s">
        <v>530</v>
      </c>
      <c r="FE316" s="214" t="s">
        <v>20797</v>
      </c>
      <c r="FF316" s="214" t="s">
        <v>34575</v>
      </c>
      <c r="FG316" s="214" t="s">
        <v>70</v>
      </c>
      <c r="FH316" s="214" t="s">
        <v>530</v>
      </c>
      <c r="FJ316" s="321" t="s">
        <v>20798</v>
      </c>
      <c r="FK316" s="214" t="s">
        <v>146</v>
      </c>
      <c r="FL316" s="214" t="s">
        <v>70</v>
      </c>
      <c r="FM316" s="214" t="s">
        <v>530</v>
      </c>
      <c r="FO316" s="321" t="s">
        <v>20799</v>
      </c>
      <c r="FP316" s="214" t="s">
        <v>52</v>
      </c>
      <c r="FQ316" s="214" t="s">
        <v>70</v>
      </c>
      <c r="FR316" s="214" t="s">
        <v>530</v>
      </c>
      <c r="FT316" s="321" t="s">
        <v>20800</v>
      </c>
      <c r="FU316" s="214" t="s">
        <v>10541</v>
      </c>
      <c r="FV316" s="214" t="s">
        <v>70</v>
      </c>
      <c r="FW316" s="214" t="s">
        <v>530</v>
      </c>
      <c r="FY316" s="321" t="s">
        <v>20801</v>
      </c>
      <c r="FZ316" s="214" t="s">
        <v>34630</v>
      </c>
      <c r="GA316" s="214" t="s">
        <v>70</v>
      </c>
      <c r="GB316" s="214" t="s">
        <v>530</v>
      </c>
      <c r="GD316" s="321" t="s">
        <v>20802</v>
      </c>
      <c r="GE316" s="214" t="s">
        <v>145</v>
      </c>
      <c r="GF316" s="214" t="s">
        <v>70</v>
      </c>
      <c r="GG316" s="214" t="s">
        <v>530</v>
      </c>
      <c r="GI316" s="321" t="s">
        <v>20803</v>
      </c>
      <c r="GJ316" s="214" t="s">
        <v>916</v>
      </c>
      <c r="GK316" s="214" t="s">
        <v>70</v>
      </c>
      <c r="GL316" s="214" t="s">
        <v>530</v>
      </c>
      <c r="GN316" s="321" t="s">
        <v>20804</v>
      </c>
      <c r="GO316" s="214" t="s">
        <v>34564</v>
      </c>
      <c r="GP316" s="214" t="s">
        <v>70</v>
      </c>
      <c r="GQ316" s="214" t="s">
        <v>530</v>
      </c>
      <c r="GS316" s="321" t="s">
        <v>20805</v>
      </c>
      <c r="GT316" s="214" t="s">
        <v>52</v>
      </c>
      <c r="GU316" s="214" t="s">
        <v>70</v>
      </c>
      <c r="GV316" s="214" t="s">
        <v>530</v>
      </c>
      <c r="GX316" s="214" t="s">
        <v>20806</v>
      </c>
      <c r="GY316" s="214" t="s">
        <v>164</v>
      </c>
      <c r="GZ316" s="214" t="s">
        <v>70</v>
      </c>
      <c r="HA316" s="214" t="s">
        <v>530</v>
      </c>
      <c r="HC316" s="214" t="s">
        <v>20807</v>
      </c>
      <c r="HD316" s="214" t="s">
        <v>148</v>
      </c>
      <c r="HE316" s="214" t="s">
        <v>70</v>
      </c>
      <c r="HF316" s="214" t="s">
        <v>530</v>
      </c>
      <c r="HH316" s="214" t="s">
        <v>20808</v>
      </c>
      <c r="HI316" s="214" t="s">
        <v>34578</v>
      </c>
      <c r="HJ316" s="214" t="s">
        <v>70</v>
      </c>
      <c r="HK316" s="214" t="s">
        <v>530</v>
      </c>
      <c r="HM316" s="214" t="s">
        <v>20809</v>
      </c>
      <c r="HN316" s="214" t="s">
        <v>164</v>
      </c>
      <c r="HO316" s="214" t="s">
        <v>70</v>
      </c>
      <c r="HP316" s="214" t="s">
        <v>530</v>
      </c>
      <c r="HR316" s="22" t="s">
        <v>20810</v>
      </c>
      <c r="HS316" s="22" t="s">
        <v>145</v>
      </c>
      <c r="HT316" s="22" t="s">
        <v>70</v>
      </c>
      <c r="HU316" s="214" t="s">
        <v>530</v>
      </c>
      <c r="HW316" s="22" t="s">
        <v>20811</v>
      </c>
      <c r="HX316" s="22" t="s">
        <v>467</v>
      </c>
      <c r="HY316" s="22" t="s">
        <v>70</v>
      </c>
      <c r="HZ316" s="214" t="s">
        <v>530</v>
      </c>
      <c r="IB316" s="22" t="s">
        <v>20812</v>
      </c>
      <c r="IC316" s="22" t="s">
        <v>145</v>
      </c>
      <c r="ID316" s="22" t="s">
        <v>70</v>
      </c>
      <c r="IE316" s="214" t="s">
        <v>530</v>
      </c>
      <c r="IG316" s="22" t="s">
        <v>20813</v>
      </c>
      <c r="IH316" s="22" t="s">
        <v>52</v>
      </c>
      <c r="II316" s="22" t="s">
        <v>70</v>
      </c>
      <c r="IJ316" s="214" t="s">
        <v>530</v>
      </c>
      <c r="IL316" s="22" t="s">
        <v>20814</v>
      </c>
      <c r="IM316" s="22" t="s">
        <v>145</v>
      </c>
      <c r="IN316" s="22" t="s">
        <v>70</v>
      </c>
      <c r="IO316" s="214" t="s">
        <v>530</v>
      </c>
      <c r="IQ316" s="236" t="s">
        <v>20815</v>
      </c>
      <c r="IR316" s="236" t="s">
        <v>145</v>
      </c>
      <c r="IS316" s="236" t="s">
        <v>74</v>
      </c>
      <c r="IT316" s="236" t="s">
        <v>841</v>
      </c>
      <c r="IV316" s="236" t="s">
        <v>20816</v>
      </c>
      <c r="IW316" s="236" t="s">
        <v>145</v>
      </c>
      <c r="IX316" s="236" t="s">
        <v>74</v>
      </c>
      <c r="IY316" s="236" t="s">
        <v>841</v>
      </c>
      <c r="JA316" s="236" t="s">
        <v>20817</v>
      </c>
      <c r="JB316" s="236" t="s">
        <v>145</v>
      </c>
      <c r="JC316" s="236" t="s">
        <v>74</v>
      </c>
      <c r="JD316" s="236" t="s">
        <v>841</v>
      </c>
      <c r="JF316" s="236" t="s">
        <v>20818</v>
      </c>
      <c r="JG316" s="236" t="s">
        <v>145</v>
      </c>
      <c r="JH316" s="236" t="s">
        <v>74</v>
      </c>
      <c r="JI316" s="236" t="s">
        <v>841</v>
      </c>
      <c r="JK316" s="236" t="s">
        <v>20819</v>
      </c>
      <c r="JL316" s="236" t="s">
        <v>145</v>
      </c>
      <c r="JM316" s="236" t="s">
        <v>74</v>
      </c>
      <c r="JN316" s="236" t="s">
        <v>841</v>
      </c>
      <c r="JP316" s="236" t="s">
        <v>20820</v>
      </c>
      <c r="JQ316" s="236" t="s">
        <v>145</v>
      </c>
      <c r="JR316" s="236" t="s">
        <v>74</v>
      </c>
      <c r="JS316" s="236" t="s">
        <v>841</v>
      </c>
      <c r="JU316" s="294" t="s">
        <v>20821</v>
      </c>
      <c r="JV316" s="294" t="s">
        <v>52</v>
      </c>
      <c r="JW316" s="263" t="s">
        <v>70</v>
      </c>
      <c r="JX316" s="294" t="s">
        <v>1083</v>
      </c>
      <c r="JZ316" s="263" t="s">
        <v>20822</v>
      </c>
      <c r="KA316" s="263" t="s">
        <v>145</v>
      </c>
      <c r="KB316" s="263" t="s">
        <v>70</v>
      </c>
      <c r="KC316" s="263" t="s">
        <v>1083</v>
      </c>
      <c r="KE316" s="263" t="s">
        <v>20823</v>
      </c>
      <c r="KF316" s="263" t="s">
        <v>52</v>
      </c>
      <c r="KG316" s="263" t="s">
        <v>70</v>
      </c>
      <c r="KH316" s="263" t="s">
        <v>1083</v>
      </c>
      <c r="KJ316" s="263" t="s">
        <v>20824</v>
      </c>
      <c r="KK316" s="263" t="s">
        <v>52</v>
      </c>
      <c r="KL316" s="263" t="s">
        <v>74</v>
      </c>
      <c r="KM316" s="263" t="s">
        <v>34074</v>
      </c>
      <c r="KO316" s="214" t="s">
        <v>20825</v>
      </c>
      <c r="KP316" s="214" t="s">
        <v>145</v>
      </c>
      <c r="KQ316" s="214" t="s">
        <v>70</v>
      </c>
      <c r="KR316" s="214" t="s">
        <v>67</v>
      </c>
      <c r="KT316" s="22" t="s">
        <v>20826</v>
      </c>
      <c r="KU316" s="22" t="s">
        <v>145</v>
      </c>
      <c r="KV316" s="22" t="s">
        <v>70</v>
      </c>
      <c r="KW316" s="22" t="s">
        <v>67</v>
      </c>
      <c r="KY316" s="214" t="s">
        <v>20827</v>
      </c>
      <c r="KZ316" s="214" t="s">
        <v>52</v>
      </c>
      <c r="LA316" s="214" t="s">
        <v>74</v>
      </c>
      <c r="LB316" s="214" t="s">
        <v>67</v>
      </c>
      <c r="LD316" s="22" t="s">
        <v>20828</v>
      </c>
      <c r="LE316" s="22" t="s">
        <v>145</v>
      </c>
      <c r="LF316" s="22" t="s">
        <v>70</v>
      </c>
      <c r="LG316" s="22" t="s">
        <v>67</v>
      </c>
    </row>
    <row r="317" spans="1:319">
      <c r="A317" s="22" t="s">
        <v>20829</v>
      </c>
      <c r="B317" s="22" t="s">
        <v>145</v>
      </c>
      <c r="C317" s="22" t="s">
        <v>70</v>
      </c>
      <c r="D317" s="22" t="s">
        <v>67</v>
      </c>
      <c r="F317" s="99" t="s">
        <v>20830</v>
      </c>
      <c r="G317" s="22" t="s">
        <v>145</v>
      </c>
      <c r="H317" s="22" t="s">
        <v>70</v>
      </c>
      <c r="I317" s="22" t="s">
        <v>67</v>
      </c>
      <c r="K317" s="22" t="s">
        <v>20831</v>
      </c>
      <c r="L317" s="22" t="s">
        <v>145</v>
      </c>
      <c r="M317" s="22" t="s">
        <v>70</v>
      </c>
      <c r="N317" s="22" t="s">
        <v>67</v>
      </c>
      <c r="P317" s="22" t="s">
        <v>20832</v>
      </c>
      <c r="Q317" s="22" t="s">
        <v>145</v>
      </c>
      <c r="R317" s="22" t="s">
        <v>70</v>
      </c>
      <c r="S317" s="22" t="s">
        <v>67</v>
      </c>
      <c r="U317" s="293" t="s">
        <v>20833</v>
      </c>
      <c r="V317" s="293" t="s">
        <v>145</v>
      </c>
      <c r="W317" s="293" t="s">
        <v>74</v>
      </c>
      <c r="X317" s="293" t="s">
        <v>656</v>
      </c>
      <c r="Z317" s="293" t="s">
        <v>20834</v>
      </c>
      <c r="AA317" s="293" t="s">
        <v>145</v>
      </c>
      <c r="AB317" s="293" t="s">
        <v>74</v>
      </c>
      <c r="AC317" s="293" t="s">
        <v>656</v>
      </c>
      <c r="AE317" s="293" t="s">
        <v>20835</v>
      </c>
      <c r="AF317" s="293" t="s">
        <v>145</v>
      </c>
      <c r="AG317" s="293" t="s">
        <v>74</v>
      </c>
      <c r="AH317" s="293" t="s">
        <v>656</v>
      </c>
      <c r="AJ317" s="293" t="s">
        <v>20836</v>
      </c>
      <c r="AK317" s="293" t="s">
        <v>145</v>
      </c>
      <c r="AL317" s="293" t="s">
        <v>74</v>
      </c>
      <c r="AM317" s="293" t="s">
        <v>656</v>
      </c>
      <c r="AO317" s="22" t="s">
        <v>20837</v>
      </c>
      <c r="AP317" s="22" t="s">
        <v>145</v>
      </c>
      <c r="AQ317" s="22" t="s">
        <v>70</v>
      </c>
      <c r="AR317" s="22" t="s">
        <v>67</v>
      </c>
      <c r="AT317" s="22" t="s">
        <v>20838</v>
      </c>
      <c r="AU317" s="22" t="s">
        <v>145</v>
      </c>
      <c r="AV317" s="22" t="s">
        <v>70</v>
      </c>
      <c r="AW317" s="22" t="s">
        <v>67</v>
      </c>
      <c r="AY317" s="22" t="s">
        <v>20839</v>
      </c>
      <c r="AZ317" s="22" t="s">
        <v>145</v>
      </c>
      <c r="BA317" s="22" t="s">
        <v>70</v>
      </c>
      <c r="BB317" s="22" t="s">
        <v>67</v>
      </c>
      <c r="BD317" s="22" t="s">
        <v>20840</v>
      </c>
      <c r="BE317" s="22" t="s">
        <v>145</v>
      </c>
      <c r="BF317" s="22" t="s">
        <v>70</v>
      </c>
      <c r="BG317" s="22" t="s">
        <v>67</v>
      </c>
      <c r="BI317" s="22" t="s">
        <v>20841</v>
      </c>
      <c r="BJ317" s="22" t="s">
        <v>145</v>
      </c>
      <c r="BK317" s="22" t="s">
        <v>70</v>
      </c>
      <c r="BL317" s="22" t="s">
        <v>67</v>
      </c>
      <c r="BN317" s="22" t="s">
        <v>20842</v>
      </c>
      <c r="BO317" s="22" t="s">
        <v>145</v>
      </c>
      <c r="BP317" s="22" t="s">
        <v>70</v>
      </c>
      <c r="BQ317" s="22" t="s">
        <v>67</v>
      </c>
      <c r="BS317" s="22" t="s">
        <v>20843</v>
      </c>
      <c r="BT317" s="22" t="s">
        <v>145</v>
      </c>
      <c r="BU317" s="22" t="s">
        <v>70</v>
      </c>
      <c r="BV317" s="214" t="s">
        <v>530</v>
      </c>
      <c r="BX317" s="22" t="s">
        <v>20844</v>
      </c>
      <c r="BY317" s="22" t="s">
        <v>145</v>
      </c>
      <c r="BZ317" s="22" t="s">
        <v>70</v>
      </c>
      <c r="CA317" s="214" t="s">
        <v>530</v>
      </c>
      <c r="CC317" s="214" t="s">
        <v>20845</v>
      </c>
      <c r="CD317" s="218" t="s">
        <v>34607</v>
      </c>
      <c r="CE317" s="214" t="s">
        <v>70</v>
      </c>
      <c r="CF317" s="214" t="s">
        <v>34123</v>
      </c>
      <c r="CH317" s="214" t="s">
        <v>20846</v>
      </c>
      <c r="CI317" s="214" t="s">
        <v>484</v>
      </c>
      <c r="CJ317" s="214" t="s">
        <v>70</v>
      </c>
      <c r="CK317" s="214" t="s">
        <v>530</v>
      </c>
      <c r="CM317" s="214" t="s">
        <v>20847</v>
      </c>
      <c r="CN317" s="214" t="s">
        <v>484</v>
      </c>
      <c r="CO317" s="214" t="s">
        <v>70</v>
      </c>
      <c r="CP317" s="214" t="s">
        <v>530</v>
      </c>
      <c r="CR317" s="214" t="s">
        <v>20848</v>
      </c>
      <c r="CS317" s="214" t="s">
        <v>52</v>
      </c>
      <c r="CT317" s="214" t="s">
        <v>70</v>
      </c>
      <c r="CU317" s="214" t="s">
        <v>530</v>
      </c>
      <c r="CW317" s="214" t="s">
        <v>20849</v>
      </c>
      <c r="CX317" s="214" t="s">
        <v>488</v>
      </c>
      <c r="CY317" s="214" t="s">
        <v>70</v>
      </c>
      <c r="CZ317" s="214" t="s">
        <v>530</v>
      </c>
      <c r="DB317" s="214" t="s">
        <v>20850</v>
      </c>
      <c r="DC317" s="214" t="s">
        <v>34541</v>
      </c>
      <c r="DD317" s="214" t="s">
        <v>70</v>
      </c>
      <c r="DE317" s="214" t="s">
        <v>530</v>
      </c>
      <c r="DG317" s="214" t="s">
        <v>20851</v>
      </c>
      <c r="DH317" s="214" t="s">
        <v>93</v>
      </c>
      <c r="DI317" s="214" t="s">
        <v>70</v>
      </c>
      <c r="DJ317" s="214" t="s">
        <v>530</v>
      </c>
      <c r="DL317" s="214" t="s">
        <v>20852</v>
      </c>
      <c r="DM317" s="214" t="s">
        <v>34555</v>
      </c>
      <c r="DN317" s="214" t="s">
        <v>70</v>
      </c>
      <c r="DO317" s="214" t="s">
        <v>530</v>
      </c>
      <c r="DQ317" s="214" t="s">
        <v>20853</v>
      </c>
      <c r="DR317" s="214" t="s">
        <v>93</v>
      </c>
      <c r="DS317" s="214" t="s">
        <v>70</v>
      </c>
      <c r="DT317" s="214" t="s">
        <v>530</v>
      </c>
      <c r="DV317" s="214" t="s">
        <v>20854</v>
      </c>
      <c r="DW317" s="214" t="s">
        <v>488</v>
      </c>
      <c r="DX317" s="214" t="s">
        <v>70</v>
      </c>
      <c r="DY317" s="214" t="s">
        <v>530</v>
      </c>
      <c r="EA317" s="214" t="s">
        <v>20855</v>
      </c>
      <c r="EB317" s="214" t="s">
        <v>34542</v>
      </c>
      <c r="EC317" s="214" t="s">
        <v>70</v>
      </c>
      <c r="ED317" s="214" t="s">
        <v>530</v>
      </c>
      <c r="EF317" s="214" t="s">
        <v>20856</v>
      </c>
      <c r="EG317" s="214" t="s">
        <v>488</v>
      </c>
      <c r="EH317" s="214" t="s">
        <v>70</v>
      </c>
      <c r="EI317" s="214" t="s">
        <v>530</v>
      </c>
      <c r="EK317" s="214" t="s">
        <v>20857</v>
      </c>
      <c r="EL317" s="214" t="s">
        <v>34558</v>
      </c>
      <c r="EM317" s="214" t="s">
        <v>70</v>
      </c>
      <c r="EN317" s="214" t="s">
        <v>530</v>
      </c>
      <c r="EP317" s="214" t="s">
        <v>20858</v>
      </c>
      <c r="EQ317" s="214" t="s">
        <v>485</v>
      </c>
      <c r="ER317" s="214" t="s">
        <v>70</v>
      </c>
      <c r="ES317" s="214" t="s">
        <v>530</v>
      </c>
      <c r="EU317" s="214" t="s">
        <v>20859</v>
      </c>
      <c r="EV317" s="214" t="s">
        <v>915</v>
      </c>
      <c r="EW317" s="214" t="s">
        <v>70</v>
      </c>
      <c r="EX317" s="214" t="s">
        <v>530</v>
      </c>
      <c r="EZ317" s="214" t="s">
        <v>20860</v>
      </c>
      <c r="FA317" s="214" t="s">
        <v>34551</v>
      </c>
      <c r="FB317" s="214" t="s">
        <v>70</v>
      </c>
      <c r="FC317" s="214" t="s">
        <v>530</v>
      </c>
      <c r="FE317" s="214" t="s">
        <v>20861</v>
      </c>
      <c r="FF317" s="214" t="s">
        <v>468</v>
      </c>
      <c r="FG317" s="214" t="s">
        <v>70</v>
      </c>
      <c r="FH317" s="214" t="s">
        <v>530</v>
      </c>
      <c r="FJ317" s="321" t="s">
        <v>20862</v>
      </c>
      <c r="FK317" s="214" t="s">
        <v>206</v>
      </c>
      <c r="FL317" s="214" t="s">
        <v>70</v>
      </c>
      <c r="FM317" s="214" t="s">
        <v>530</v>
      </c>
      <c r="FO317" s="321" t="s">
        <v>20863</v>
      </c>
      <c r="FP317" s="214" t="s">
        <v>203</v>
      </c>
      <c r="FQ317" s="214" t="s">
        <v>70</v>
      </c>
      <c r="FR317" s="214" t="s">
        <v>530</v>
      </c>
      <c r="FT317" s="321" t="s">
        <v>20864</v>
      </c>
      <c r="FU317" s="214" t="s">
        <v>603</v>
      </c>
      <c r="FV317" s="214" t="s">
        <v>70</v>
      </c>
      <c r="FW317" s="214" t="s">
        <v>530</v>
      </c>
      <c r="FY317" s="321" t="s">
        <v>20865</v>
      </c>
      <c r="FZ317" s="214" t="s">
        <v>34590</v>
      </c>
      <c r="GA317" s="214" t="s">
        <v>70</v>
      </c>
      <c r="GB317" s="214" t="s">
        <v>530</v>
      </c>
      <c r="GD317" s="321" t="s">
        <v>20866</v>
      </c>
      <c r="GE317" s="214" t="s">
        <v>34541</v>
      </c>
      <c r="GF317" s="214" t="s">
        <v>70</v>
      </c>
      <c r="GG317" s="214" t="s">
        <v>530</v>
      </c>
      <c r="GI317" s="321" t="s">
        <v>20867</v>
      </c>
      <c r="GJ317" s="214" t="s">
        <v>146</v>
      </c>
      <c r="GK317" s="214" t="s">
        <v>70</v>
      </c>
      <c r="GL317" s="214" t="s">
        <v>530</v>
      </c>
      <c r="GN317" s="321" t="s">
        <v>20868</v>
      </c>
      <c r="GO317" s="214" t="s">
        <v>164</v>
      </c>
      <c r="GP317" s="214" t="s">
        <v>70</v>
      </c>
      <c r="GQ317" s="214" t="s">
        <v>530</v>
      </c>
      <c r="GS317" s="321" t="s">
        <v>20869</v>
      </c>
      <c r="GT317" s="214" t="s">
        <v>920</v>
      </c>
      <c r="GU317" s="214" t="s">
        <v>70</v>
      </c>
      <c r="GV317" s="214" t="s">
        <v>530</v>
      </c>
      <c r="GX317" s="214" t="s">
        <v>20870</v>
      </c>
      <c r="GY317" s="214" t="s">
        <v>34544</v>
      </c>
      <c r="GZ317" s="214" t="s">
        <v>70</v>
      </c>
      <c r="HA317" s="214" t="s">
        <v>530</v>
      </c>
      <c r="HC317" s="214" t="s">
        <v>20871</v>
      </c>
      <c r="HD317" s="214" t="s">
        <v>146</v>
      </c>
      <c r="HE317" s="214" t="s">
        <v>70</v>
      </c>
      <c r="HF317" s="214" t="s">
        <v>530</v>
      </c>
      <c r="HH317" s="214" t="s">
        <v>20872</v>
      </c>
      <c r="HI317" s="214" t="s">
        <v>93</v>
      </c>
      <c r="HJ317" s="214" t="s">
        <v>70</v>
      </c>
      <c r="HK317" s="214" t="s">
        <v>530</v>
      </c>
      <c r="HM317" s="214" t="s">
        <v>20873</v>
      </c>
      <c r="HN317" s="214" t="s">
        <v>955</v>
      </c>
      <c r="HO317" s="214" t="s">
        <v>70</v>
      </c>
      <c r="HP317" s="214" t="s">
        <v>530</v>
      </c>
      <c r="HR317" s="22" t="s">
        <v>20874</v>
      </c>
      <c r="HS317" s="22" t="s">
        <v>52</v>
      </c>
      <c r="HT317" s="22" t="s">
        <v>70</v>
      </c>
      <c r="HU317" s="214" t="s">
        <v>530</v>
      </c>
      <c r="HW317" s="22" t="s">
        <v>20875</v>
      </c>
      <c r="HX317" s="22" t="s">
        <v>491</v>
      </c>
      <c r="HY317" s="22" t="s">
        <v>70</v>
      </c>
      <c r="HZ317" s="214" t="s">
        <v>530</v>
      </c>
      <c r="IB317" s="22" t="s">
        <v>20876</v>
      </c>
      <c r="IC317" s="22" t="s">
        <v>34541</v>
      </c>
      <c r="ID317" s="22" t="s">
        <v>70</v>
      </c>
      <c r="IE317" s="214" t="s">
        <v>530</v>
      </c>
      <c r="IG317" s="22" t="s">
        <v>20877</v>
      </c>
      <c r="IH317" s="22" t="s">
        <v>52</v>
      </c>
      <c r="II317" s="22" t="s">
        <v>70</v>
      </c>
      <c r="IJ317" s="214" t="s">
        <v>530</v>
      </c>
      <c r="IL317" s="22" t="s">
        <v>20878</v>
      </c>
      <c r="IM317" s="22" t="s">
        <v>145</v>
      </c>
      <c r="IN317" s="22" t="s">
        <v>70</v>
      </c>
      <c r="IO317" s="214" t="s">
        <v>530</v>
      </c>
      <c r="IQ317" s="236" t="s">
        <v>20879</v>
      </c>
      <c r="IR317" s="236" t="s">
        <v>145</v>
      </c>
      <c r="IS317" s="236" t="s">
        <v>74</v>
      </c>
      <c r="IT317" s="236" t="s">
        <v>841</v>
      </c>
      <c r="IV317" s="236" t="s">
        <v>20880</v>
      </c>
      <c r="IW317" s="236" t="s">
        <v>145</v>
      </c>
      <c r="IX317" s="236" t="s">
        <v>74</v>
      </c>
      <c r="IY317" s="236" t="s">
        <v>841</v>
      </c>
      <c r="JA317" s="236" t="s">
        <v>20881</v>
      </c>
      <c r="JB317" s="236" t="s">
        <v>145</v>
      </c>
      <c r="JC317" s="236" t="s">
        <v>74</v>
      </c>
      <c r="JD317" s="236" t="s">
        <v>841</v>
      </c>
      <c r="JF317" s="236" t="s">
        <v>20882</v>
      </c>
      <c r="JG317" s="236" t="s">
        <v>145</v>
      </c>
      <c r="JH317" s="236" t="s">
        <v>74</v>
      </c>
      <c r="JI317" s="236" t="s">
        <v>841</v>
      </c>
      <c r="JK317" s="236" t="s">
        <v>20883</v>
      </c>
      <c r="JL317" s="236" t="s">
        <v>145</v>
      </c>
      <c r="JM317" s="236" t="s">
        <v>74</v>
      </c>
      <c r="JN317" s="236" t="s">
        <v>841</v>
      </c>
      <c r="JP317" s="236" t="s">
        <v>20884</v>
      </c>
      <c r="JQ317" s="236" t="s">
        <v>145</v>
      </c>
      <c r="JR317" s="236" t="s">
        <v>74</v>
      </c>
      <c r="JS317" s="236" t="s">
        <v>841</v>
      </c>
      <c r="JU317" s="294" t="s">
        <v>20885</v>
      </c>
      <c r="JV317" s="294" t="s">
        <v>52</v>
      </c>
      <c r="JW317" s="263" t="s">
        <v>70</v>
      </c>
      <c r="JX317" s="294" t="s">
        <v>1083</v>
      </c>
      <c r="JZ317" s="263" t="s">
        <v>20886</v>
      </c>
      <c r="KA317" s="263" t="s">
        <v>145</v>
      </c>
      <c r="KB317" s="263" t="s">
        <v>70</v>
      </c>
      <c r="KC317" s="263" t="s">
        <v>1083</v>
      </c>
      <c r="KE317" s="263" t="s">
        <v>20887</v>
      </c>
      <c r="KF317" s="263" t="s">
        <v>52</v>
      </c>
      <c r="KG317" s="263" t="s">
        <v>70</v>
      </c>
      <c r="KH317" s="263" t="s">
        <v>1083</v>
      </c>
      <c r="KJ317" s="263" t="s">
        <v>20888</v>
      </c>
      <c r="KK317" s="263" t="s">
        <v>52</v>
      </c>
      <c r="KL317" s="263" t="s">
        <v>74</v>
      </c>
      <c r="KM317" s="263" t="s">
        <v>34074</v>
      </c>
      <c r="KO317" s="214" t="s">
        <v>20889</v>
      </c>
      <c r="KP317" s="214" t="s">
        <v>145</v>
      </c>
      <c r="KQ317" s="214" t="s">
        <v>70</v>
      </c>
      <c r="KR317" s="214" t="s">
        <v>67</v>
      </c>
      <c r="KT317" s="22" t="s">
        <v>20890</v>
      </c>
      <c r="KU317" s="22" t="s">
        <v>145</v>
      </c>
      <c r="KV317" s="22" t="s">
        <v>70</v>
      </c>
      <c r="KW317" s="22" t="s">
        <v>67</v>
      </c>
      <c r="KY317" s="214" t="s">
        <v>20891</v>
      </c>
      <c r="KZ317" s="214" t="s">
        <v>52</v>
      </c>
      <c r="LA317" s="214" t="s">
        <v>74</v>
      </c>
      <c r="LB317" s="214" t="s">
        <v>67</v>
      </c>
      <c r="LD317" s="22" t="s">
        <v>20892</v>
      </c>
      <c r="LE317" s="22" t="s">
        <v>145</v>
      </c>
      <c r="LF317" s="22" t="s">
        <v>70</v>
      </c>
      <c r="LG317" s="22" t="s">
        <v>67</v>
      </c>
    </row>
    <row r="318" spans="1:319">
      <c r="A318" s="22" t="s">
        <v>20893</v>
      </c>
      <c r="B318" s="22" t="s">
        <v>145</v>
      </c>
      <c r="C318" s="22" t="s">
        <v>70</v>
      </c>
      <c r="D318" s="22" t="s">
        <v>67</v>
      </c>
      <c r="F318" s="99" t="s">
        <v>20894</v>
      </c>
      <c r="G318" s="22" t="s">
        <v>145</v>
      </c>
      <c r="H318" s="22" t="s">
        <v>70</v>
      </c>
      <c r="I318" s="22" t="s">
        <v>67</v>
      </c>
      <c r="K318" s="22" t="s">
        <v>20895</v>
      </c>
      <c r="L318" s="22" t="s">
        <v>145</v>
      </c>
      <c r="M318" s="22" t="s">
        <v>70</v>
      </c>
      <c r="N318" s="22" t="s">
        <v>67</v>
      </c>
      <c r="P318" s="22" t="s">
        <v>20896</v>
      </c>
      <c r="Q318" s="22" t="s">
        <v>145</v>
      </c>
      <c r="R318" s="22" t="s">
        <v>70</v>
      </c>
      <c r="S318" s="22" t="s">
        <v>67</v>
      </c>
      <c r="U318" s="293" t="s">
        <v>20897</v>
      </c>
      <c r="V318" s="293" t="s">
        <v>145</v>
      </c>
      <c r="W318" s="293" t="s">
        <v>74</v>
      </c>
      <c r="X318" s="293" t="s">
        <v>656</v>
      </c>
      <c r="Z318" s="293" t="s">
        <v>20898</v>
      </c>
      <c r="AA318" s="293" t="s">
        <v>145</v>
      </c>
      <c r="AB318" s="293" t="s">
        <v>74</v>
      </c>
      <c r="AC318" s="293" t="s">
        <v>656</v>
      </c>
      <c r="AE318" s="293" t="s">
        <v>20899</v>
      </c>
      <c r="AF318" s="293" t="s">
        <v>145</v>
      </c>
      <c r="AG318" s="293" t="s">
        <v>74</v>
      </c>
      <c r="AH318" s="293" t="s">
        <v>656</v>
      </c>
      <c r="AJ318" s="293" t="s">
        <v>20900</v>
      </c>
      <c r="AK318" s="293" t="s">
        <v>145</v>
      </c>
      <c r="AL318" s="293" t="s">
        <v>74</v>
      </c>
      <c r="AM318" s="293" t="s">
        <v>656</v>
      </c>
      <c r="AO318" s="22" t="s">
        <v>20901</v>
      </c>
      <c r="AP318" s="22" t="s">
        <v>145</v>
      </c>
      <c r="AQ318" s="22" t="s">
        <v>70</v>
      </c>
      <c r="AR318" s="22" t="s">
        <v>67</v>
      </c>
      <c r="AT318" s="22" t="s">
        <v>20902</v>
      </c>
      <c r="AU318" s="22" t="s">
        <v>145</v>
      </c>
      <c r="AV318" s="22" t="s">
        <v>70</v>
      </c>
      <c r="AW318" s="22" t="s">
        <v>67</v>
      </c>
      <c r="AY318" s="22" t="s">
        <v>20903</v>
      </c>
      <c r="AZ318" s="22" t="s">
        <v>145</v>
      </c>
      <c r="BA318" s="22" t="s">
        <v>70</v>
      </c>
      <c r="BB318" s="22" t="s">
        <v>67</v>
      </c>
      <c r="BD318" s="22" t="s">
        <v>20904</v>
      </c>
      <c r="BE318" s="22" t="s">
        <v>145</v>
      </c>
      <c r="BF318" s="22" t="s">
        <v>70</v>
      </c>
      <c r="BG318" s="22" t="s">
        <v>67</v>
      </c>
      <c r="BI318" s="22" t="s">
        <v>20905</v>
      </c>
      <c r="BJ318" s="22" t="s">
        <v>145</v>
      </c>
      <c r="BK318" s="22" t="s">
        <v>70</v>
      </c>
      <c r="BL318" s="22" t="s">
        <v>67</v>
      </c>
      <c r="BN318" s="22" t="s">
        <v>20906</v>
      </c>
      <c r="BO318" s="22" t="s">
        <v>145</v>
      </c>
      <c r="BP318" s="22" t="s">
        <v>70</v>
      </c>
      <c r="BQ318" s="22" t="s">
        <v>67</v>
      </c>
      <c r="BS318" s="22" t="s">
        <v>20907</v>
      </c>
      <c r="BT318" s="22" t="s">
        <v>145</v>
      </c>
      <c r="BU318" s="22" t="s">
        <v>70</v>
      </c>
      <c r="BV318" s="214" t="s">
        <v>530</v>
      </c>
      <c r="BX318" s="22" t="s">
        <v>20908</v>
      </c>
      <c r="BY318" s="22" t="s">
        <v>145</v>
      </c>
      <c r="BZ318" s="22" t="s">
        <v>70</v>
      </c>
      <c r="CA318" s="214" t="s">
        <v>530</v>
      </c>
      <c r="CC318" s="214" t="s">
        <v>20909</v>
      </c>
      <c r="CD318" s="218" t="s">
        <v>52</v>
      </c>
      <c r="CE318" s="214" t="s">
        <v>70</v>
      </c>
      <c r="CF318" s="214" t="s">
        <v>34124</v>
      </c>
      <c r="CH318" s="214" t="s">
        <v>20910</v>
      </c>
      <c r="CI318" s="214" t="s">
        <v>501</v>
      </c>
      <c r="CJ318" s="214" t="s">
        <v>70</v>
      </c>
      <c r="CK318" s="214" t="s">
        <v>530</v>
      </c>
      <c r="CM318" s="214" t="s">
        <v>20911</v>
      </c>
      <c r="CN318" s="214" t="s">
        <v>485</v>
      </c>
      <c r="CO318" s="214" t="s">
        <v>70</v>
      </c>
      <c r="CP318" s="214" t="s">
        <v>530</v>
      </c>
      <c r="CR318" s="214" t="s">
        <v>20912</v>
      </c>
      <c r="CS318" s="214" t="s">
        <v>52</v>
      </c>
      <c r="CT318" s="214" t="s">
        <v>70</v>
      </c>
      <c r="CU318" s="214" t="s">
        <v>530</v>
      </c>
      <c r="CW318" s="214" t="s">
        <v>20913</v>
      </c>
      <c r="CX318" s="214" t="s">
        <v>599</v>
      </c>
      <c r="CY318" s="214" t="s">
        <v>70</v>
      </c>
      <c r="CZ318" s="214" t="s">
        <v>530</v>
      </c>
      <c r="DB318" s="214" t="s">
        <v>20914</v>
      </c>
      <c r="DC318" s="214" t="s">
        <v>34568</v>
      </c>
      <c r="DD318" s="214" t="s">
        <v>70</v>
      </c>
      <c r="DE318" s="214" t="s">
        <v>530</v>
      </c>
      <c r="DG318" s="214" t="s">
        <v>20915</v>
      </c>
      <c r="DH318" s="214" t="s">
        <v>52</v>
      </c>
      <c r="DI318" s="214" t="s">
        <v>70</v>
      </c>
      <c r="DJ318" s="214" t="s">
        <v>530</v>
      </c>
      <c r="DL318" s="214" t="s">
        <v>20916</v>
      </c>
      <c r="DM318" s="214" t="s">
        <v>955</v>
      </c>
      <c r="DN318" s="214" t="s">
        <v>70</v>
      </c>
      <c r="DO318" s="214" t="s">
        <v>530</v>
      </c>
      <c r="DQ318" s="214" t="s">
        <v>20917</v>
      </c>
      <c r="DR318" s="214" t="s">
        <v>947</v>
      </c>
      <c r="DS318" s="214" t="s">
        <v>70</v>
      </c>
      <c r="DT318" s="214" t="s">
        <v>530</v>
      </c>
      <c r="DV318" s="214" t="s">
        <v>20918</v>
      </c>
      <c r="DW318" s="214" t="s">
        <v>52</v>
      </c>
      <c r="DX318" s="214" t="s">
        <v>70</v>
      </c>
      <c r="DY318" s="214" t="s">
        <v>530</v>
      </c>
      <c r="EA318" s="214" t="s">
        <v>20919</v>
      </c>
      <c r="EB318" s="214" t="s">
        <v>599</v>
      </c>
      <c r="EC318" s="214" t="s">
        <v>70</v>
      </c>
      <c r="ED318" s="214" t="s">
        <v>530</v>
      </c>
      <c r="EF318" s="214" t="s">
        <v>20920</v>
      </c>
      <c r="EG318" s="214" t="s">
        <v>88</v>
      </c>
      <c r="EH318" s="214" t="s">
        <v>70</v>
      </c>
      <c r="EI318" s="214" t="s">
        <v>530</v>
      </c>
      <c r="EK318" s="214" t="s">
        <v>20921</v>
      </c>
      <c r="EL318" s="214" t="s">
        <v>917</v>
      </c>
      <c r="EM318" s="214" t="s">
        <v>70</v>
      </c>
      <c r="EN318" s="214" t="s">
        <v>530</v>
      </c>
      <c r="EP318" s="214" t="s">
        <v>20922</v>
      </c>
      <c r="EQ318" s="214" t="s">
        <v>163</v>
      </c>
      <c r="ER318" s="214" t="s">
        <v>70</v>
      </c>
      <c r="ES318" s="214" t="s">
        <v>530</v>
      </c>
      <c r="EU318" s="214" t="s">
        <v>20923</v>
      </c>
      <c r="EV318" s="214" t="s">
        <v>92</v>
      </c>
      <c r="EW318" s="214" t="s">
        <v>70</v>
      </c>
      <c r="EX318" s="214" t="s">
        <v>530</v>
      </c>
      <c r="EZ318" s="214" t="s">
        <v>20924</v>
      </c>
      <c r="FA318" s="214" t="s">
        <v>918</v>
      </c>
      <c r="FB318" s="214" t="s">
        <v>70</v>
      </c>
      <c r="FC318" s="214" t="s">
        <v>530</v>
      </c>
      <c r="FE318" s="214" t="s">
        <v>20925</v>
      </c>
      <c r="FF318" s="214" t="s">
        <v>468</v>
      </c>
      <c r="FG318" s="214" t="s">
        <v>70</v>
      </c>
      <c r="FH318" s="214" t="s">
        <v>530</v>
      </c>
      <c r="FJ318" s="321" t="s">
        <v>20926</v>
      </c>
      <c r="FK318" s="214" t="s">
        <v>163</v>
      </c>
      <c r="FL318" s="214" t="s">
        <v>70</v>
      </c>
      <c r="FM318" s="214" t="s">
        <v>530</v>
      </c>
      <c r="FO318" s="321" t="s">
        <v>20927</v>
      </c>
      <c r="FP318" s="214" t="s">
        <v>912</v>
      </c>
      <c r="FQ318" s="214" t="s">
        <v>70</v>
      </c>
      <c r="FR318" s="214" t="s">
        <v>530</v>
      </c>
      <c r="FT318" s="321" t="s">
        <v>20928</v>
      </c>
      <c r="FU318" s="214" t="s">
        <v>915</v>
      </c>
      <c r="FV318" s="214" t="s">
        <v>70</v>
      </c>
      <c r="FW318" s="214" t="s">
        <v>530</v>
      </c>
      <c r="FY318" s="321" t="s">
        <v>20929</v>
      </c>
      <c r="FZ318" s="214" t="s">
        <v>468</v>
      </c>
      <c r="GA318" s="214" t="s">
        <v>70</v>
      </c>
      <c r="GB318" s="214" t="s">
        <v>530</v>
      </c>
      <c r="GD318" s="321" t="s">
        <v>20930</v>
      </c>
      <c r="GE318" s="214" t="s">
        <v>87</v>
      </c>
      <c r="GF318" s="214" t="s">
        <v>70</v>
      </c>
      <c r="GG318" s="214" t="s">
        <v>530</v>
      </c>
      <c r="GI318" s="321" t="s">
        <v>20931</v>
      </c>
      <c r="GJ318" s="214" t="s">
        <v>52</v>
      </c>
      <c r="GK318" s="214" t="s">
        <v>70</v>
      </c>
      <c r="GL318" s="214" t="s">
        <v>530</v>
      </c>
      <c r="GN318" s="321" t="s">
        <v>20932</v>
      </c>
      <c r="GO318" s="214" t="s">
        <v>642</v>
      </c>
      <c r="GP318" s="214" t="s">
        <v>70</v>
      </c>
      <c r="GQ318" s="214" t="s">
        <v>530</v>
      </c>
      <c r="GS318" s="321" t="s">
        <v>20933</v>
      </c>
      <c r="GT318" s="214" t="s">
        <v>52</v>
      </c>
      <c r="GU318" s="214" t="s">
        <v>70</v>
      </c>
      <c r="GV318" s="214" t="s">
        <v>530</v>
      </c>
      <c r="GX318" s="214" t="s">
        <v>20934</v>
      </c>
      <c r="GY318" s="214" t="s">
        <v>52</v>
      </c>
      <c r="GZ318" s="214" t="s">
        <v>70</v>
      </c>
      <c r="HA318" s="214" t="s">
        <v>530</v>
      </c>
      <c r="HC318" s="214" t="s">
        <v>20935</v>
      </c>
      <c r="HD318" s="214" t="s">
        <v>85</v>
      </c>
      <c r="HE318" s="214" t="s">
        <v>70</v>
      </c>
      <c r="HF318" s="214" t="s">
        <v>530</v>
      </c>
      <c r="HH318" s="214" t="s">
        <v>20936</v>
      </c>
      <c r="HI318" s="214" t="s">
        <v>468</v>
      </c>
      <c r="HJ318" s="214" t="s">
        <v>70</v>
      </c>
      <c r="HK318" s="214" t="s">
        <v>530</v>
      </c>
      <c r="HM318" s="214" t="s">
        <v>20937</v>
      </c>
      <c r="HN318" s="214" t="s">
        <v>145</v>
      </c>
      <c r="HO318" s="214" t="s">
        <v>70</v>
      </c>
      <c r="HP318" s="214" t="s">
        <v>530</v>
      </c>
      <c r="HR318" s="22" t="s">
        <v>20938</v>
      </c>
      <c r="HS318" s="22" t="s">
        <v>145</v>
      </c>
      <c r="HT318" s="22" t="s">
        <v>70</v>
      </c>
      <c r="HU318" s="214" t="s">
        <v>530</v>
      </c>
      <c r="HW318" s="22" t="s">
        <v>20939</v>
      </c>
      <c r="HX318" s="22" t="s">
        <v>34556</v>
      </c>
      <c r="HY318" s="22" t="s">
        <v>70</v>
      </c>
      <c r="HZ318" s="214" t="s">
        <v>530</v>
      </c>
      <c r="IB318" s="22" t="s">
        <v>20940</v>
      </c>
      <c r="IC318" s="22" t="s">
        <v>947</v>
      </c>
      <c r="ID318" s="22" t="s">
        <v>70</v>
      </c>
      <c r="IE318" s="214" t="s">
        <v>530</v>
      </c>
      <c r="IG318" s="22" t="s">
        <v>20941</v>
      </c>
      <c r="IH318" s="22" t="s">
        <v>52</v>
      </c>
      <c r="II318" s="22" t="s">
        <v>70</v>
      </c>
      <c r="IJ318" s="214" t="s">
        <v>530</v>
      </c>
      <c r="IL318" s="22" t="s">
        <v>20942</v>
      </c>
      <c r="IM318" s="22" t="s">
        <v>145</v>
      </c>
      <c r="IN318" s="22" t="s">
        <v>70</v>
      </c>
      <c r="IO318" s="214" t="s">
        <v>530</v>
      </c>
      <c r="IQ318" s="236" t="s">
        <v>20943</v>
      </c>
      <c r="IR318" s="236" t="s">
        <v>145</v>
      </c>
      <c r="IS318" s="236" t="s">
        <v>74</v>
      </c>
      <c r="IT318" s="236" t="s">
        <v>841</v>
      </c>
      <c r="IV318" s="236" t="s">
        <v>20944</v>
      </c>
      <c r="IW318" s="236" t="s">
        <v>145</v>
      </c>
      <c r="IX318" s="236" t="s">
        <v>74</v>
      </c>
      <c r="IY318" s="236" t="s">
        <v>841</v>
      </c>
      <c r="JA318" s="236" t="s">
        <v>20945</v>
      </c>
      <c r="JB318" s="236" t="s">
        <v>145</v>
      </c>
      <c r="JC318" s="236" t="s">
        <v>74</v>
      </c>
      <c r="JD318" s="236" t="s">
        <v>841</v>
      </c>
      <c r="JF318" s="236" t="s">
        <v>20946</v>
      </c>
      <c r="JG318" s="236" t="s">
        <v>145</v>
      </c>
      <c r="JH318" s="236" t="s">
        <v>74</v>
      </c>
      <c r="JI318" s="236" t="s">
        <v>841</v>
      </c>
      <c r="JK318" s="236" t="s">
        <v>20947</v>
      </c>
      <c r="JL318" s="236" t="s">
        <v>145</v>
      </c>
      <c r="JM318" s="236" t="s">
        <v>74</v>
      </c>
      <c r="JN318" s="236" t="s">
        <v>841</v>
      </c>
      <c r="JP318" s="236" t="s">
        <v>20948</v>
      </c>
      <c r="JQ318" s="236" t="s">
        <v>145</v>
      </c>
      <c r="JR318" s="236" t="s">
        <v>74</v>
      </c>
      <c r="JS318" s="236" t="s">
        <v>841</v>
      </c>
      <c r="JU318" s="294" t="s">
        <v>20949</v>
      </c>
      <c r="JV318" s="294" t="s">
        <v>52</v>
      </c>
      <c r="JW318" s="263" t="s">
        <v>70</v>
      </c>
      <c r="JX318" s="294" t="s">
        <v>1083</v>
      </c>
      <c r="JZ318" s="263" t="s">
        <v>20950</v>
      </c>
      <c r="KA318" s="263" t="s">
        <v>145</v>
      </c>
      <c r="KB318" s="263" t="s">
        <v>70</v>
      </c>
      <c r="KC318" s="263" t="s">
        <v>1083</v>
      </c>
      <c r="KE318" s="263" t="s">
        <v>20951</v>
      </c>
      <c r="KF318" s="263" t="s">
        <v>52</v>
      </c>
      <c r="KG318" s="263" t="s">
        <v>70</v>
      </c>
      <c r="KH318" s="263" t="s">
        <v>1083</v>
      </c>
      <c r="KJ318" s="263" t="s">
        <v>20952</v>
      </c>
      <c r="KK318" s="263" t="s">
        <v>52</v>
      </c>
      <c r="KL318" s="263" t="s">
        <v>74</v>
      </c>
      <c r="KM318" s="263" t="s">
        <v>34074</v>
      </c>
      <c r="KO318" s="214" t="s">
        <v>20953</v>
      </c>
      <c r="KP318" s="214" t="s">
        <v>145</v>
      </c>
      <c r="KQ318" s="214" t="s">
        <v>70</v>
      </c>
      <c r="KR318" s="214" t="s">
        <v>67</v>
      </c>
      <c r="KT318" s="22" t="s">
        <v>20954</v>
      </c>
      <c r="KU318" s="22" t="s">
        <v>145</v>
      </c>
      <c r="KV318" s="22" t="s">
        <v>70</v>
      </c>
      <c r="KW318" s="22" t="s">
        <v>67</v>
      </c>
      <c r="KY318" s="214" t="s">
        <v>20955</v>
      </c>
      <c r="KZ318" s="214" t="s">
        <v>52</v>
      </c>
      <c r="LA318" s="214" t="s">
        <v>74</v>
      </c>
      <c r="LB318" s="214" t="s">
        <v>67</v>
      </c>
      <c r="LD318" s="22" t="s">
        <v>20956</v>
      </c>
      <c r="LE318" s="22" t="s">
        <v>145</v>
      </c>
      <c r="LF318" s="22" t="s">
        <v>70</v>
      </c>
      <c r="LG318" s="22" t="s">
        <v>67</v>
      </c>
    </row>
    <row r="319" spans="1:319">
      <c r="A319" s="22" t="s">
        <v>20957</v>
      </c>
      <c r="B319" s="22" t="s">
        <v>145</v>
      </c>
      <c r="C319" s="22" t="s">
        <v>70</v>
      </c>
      <c r="D319" s="22" t="s">
        <v>67</v>
      </c>
      <c r="F319" s="99" t="s">
        <v>20958</v>
      </c>
      <c r="G319" s="22" t="s">
        <v>145</v>
      </c>
      <c r="H319" s="22" t="s">
        <v>70</v>
      </c>
      <c r="I319" s="22" t="s">
        <v>67</v>
      </c>
      <c r="K319" s="22" t="s">
        <v>20959</v>
      </c>
      <c r="L319" s="22" t="s">
        <v>145</v>
      </c>
      <c r="M319" s="22" t="s">
        <v>70</v>
      </c>
      <c r="N319" s="22" t="s">
        <v>67</v>
      </c>
      <c r="P319" s="22" t="s">
        <v>20960</v>
      </c>
      <c r="Q319" s="22" t="s">
        <v>145</v>
      </c>
      <c r="R319" s="22" t="s">
        <v>70</v>
      </c>
      <c r="S319" s="22" t="s">
        <v>67</v>
      </c>
      <c r="U319" s="293" t="s">
        <v>20961</v>
      </c>
      <c r="V319" s="293" t="s">
        <v>145</v>
      </c>
      <c r="W319" s="293" t="s">
        <v>74</v>
      </c>
      <c r="X319" s="293" t="s">
        <v>656</v>
      </c>
      <c r="Z319" s="293" t="s">
        <v>20962</v>
      </c>
      <c r="AA319" s="293" t="s">
        <v>145</v>
      </c>
      <c r="AB319" s="293" t="s">
        <v>74</v>
      </c>
      <c r="AC319" s="293" t="s">
        <v>656</v>
      </c>
      <c r="AE319" s="293" t="s">
        <v>20963</v>
      </c>
      <c r="AF319" s="293" t="s">
        <v>145</v>
      </c>
      <c r="AG319" s="293" t="s">
        <v>74</v>
      </c>
      <c r="AH319" s="293" t="s">
        <v>656</v>
      </c>
      <c r="AJ319" s="293" t="s">
        <v>20964</v>
      </c>
      <c r="AK319" s="293" t="s">
        <v>145</v>
      </c>
      <c r="AL319" s="293" t="s">
        <v>74</v>
      </c>
      <c r="AM319" s="293" t="s">
        <v>656</v>
      </c>
      <c r="AO319" s="22" t="s">
        <v>20965</v>
      </c>
      <c r="AP319" s="22" t="s">
        <v>145</v>
      </c>
      <c r="AQ319" s="22" t="s">
        <v>70</v>
      </c>
      <c r="AR319" s="22" t="s">
        <v>67</v>
      </c>
      <c r="AT319" s="22" t="s">
        <v>20966</v>
      </c>
      <c r="AU319" s="22" t="s">
        <v>145</v>
      </c>
      <c r="AV319" s="22" t="s">
        <v>70</v>
      </c>
      <c r="AW319" s="22" t="s">
        <v>67</v>
      </c>
      <c r="AY319" s="22" t="s">
        <v>20967</v>
      </c>
      <c r="AZ319" s="22" t="s">
        <v>145</v>
      </c>
      <c r="BA319" s="22" t="s">
        <v>70</v>
      </c>
      <c r="BB319" s="22" t="s">
        <v>67</v>
      </c>
      <c r="BD319" s="22" t="s">
        <v>20968</v>
      </c>
      <c r="BE319" s="22" t="s">
        <v>145</v>
      </c>
      <c r="BF319" s="22" t="s">
        <v>70</v>
      </c>
      <c r="BG319" s="22" t="s">
        <v>67</v>
      </c>
      <c r="BI319" s="22" t="s">
        <v>20969</v>
      </c>
      <c r="BJ319" s="22" t="s">
        <v>145</v>
      </c>
      <c r="BK319" s="22" t="s">
        <v>70</v>
      </c>
      <c r="BL319" s="22" t="s">
        <v>67</v>
      </c>
      <c r="BN319" s="22" t="s">
        <v>20970</v>
      </c>
      <c r="BO319" s="22" t="s">
        <v>145</v>
      </c>
      <c r="BP319" s="22" t="s">
        <v>70</v>
      </c>
      <c r="BQ319" s="22" t="s">
        <v>67</v>
      </c>
      <c r="BS319" s="22" t="s">
        <v>20971</v>
      </c>
      <c r="BT319" s="22" t="s">
        <v>145</v>
      </c>
      <c r="BU319" s="22" t="s">
        <v>70</v>
      </c>
      <c r="BV319" s="214" t="s">
        <v>530</v>
      </c>
      <c r="BX319" s="22" t="s">
        <v>20972</v>
      </c>
      <c r="BY319" s="22" t="s">
        <v>145</v>
      </c>
      <c r="BZ319" s="22" t="s">
        <v>70</v>
      </c>
      <c r="CA319" s="214" t="s">
        <v>530</v>
      </c>
      <c r="CC319" s="214" t="s">
        <v>20973</v>
      </c>
      <c r="CD319" s="218" t="s">
        <v>601</v>
      </c>
      <c r="CE319" s="214" t="s">
        <v>70</v>
      </c>
      <c r="CF319" s="214" t="s">
        <v>34125</v>
      </c>
      <c r="CH319" s="214" t="s">
        <v>20974</v>
      </c>
      <c r="CI319" s="214" t="s">
        <v>163</v>
      </c>
      <c r="CJ319" s="214" t="s">
        <v>70</v>
      </c>
      <c r="CK319" s="214" t="s">
        <v>530</v>
      </c>
      <c r="CM319" s="214" t="s">
        <v>20975</v>
      </c>
      <c r="CN319" s="214" t="s">
        <v>146</v>
      </c>
      <c r="CO319" s="214" t="s">
        <v>70</v>
      </c>
      <c r="CP319" s="214" t="s">
        <v>530</v>
      </c>
      <c r="CR319" s="214" t="s">
        <v>20976</v>
      </c>
      <c r="CS319" s="214" t="s">
        <v>485</v>
      </c>
      <c r="CT319" s="214" t="s">
        <v>70</v>
      </c>
      <c r="CU319" s="214" t="s">
        <v>530</v>
      </c>
      <c r="CW319" s="214" t="s">
        <v>20977</v>
      </c>
      <c r="CX319" s="214" t="s">
        <v>484</v>
      </c>
      <c r="CY319" s="214" t="s">
        <v>70</v>
      </c>
      <c r="CZ319" s="214" t="s">
        <v>530</v>
      </c>
      <c r="DB319" s="214" t="s">
        <v>20978</v>
      </c>
      <c r="DC319" s="214" t="s">
        <v>503</v>
      </c>
      <c r="DD319" s="214" t="s">
        <v>70</v>
      </c>
      <c r="DE319" s="214" t="s">
        <v>530</v>
      </c>
      <c r="DG319" s="214" t="s">
        <v>20979</v>
      </c>
      <c r="DH319" s="214" t="s">
        <v>203</v>
      </c>
      <c r="DI319" s="214" t="s">
        <v>70</v>
      </c>
      <c r="DJ319" s="214" t="s">
        <v>530</v>
      </c>
      <c r="DL319" s="214" t="s">
        <v>20980</v>
      </c>
      <c r="DM319" s="214" t="s">
        <v>501</v>
      </c>
      <c r="DN319" s="214" t="s">
        <v>70</v>
      </c>
      <c r="DO319" s="214" t="s">
        <v>530</v>
      </c>
      <c r="DQ319" s="214" t="s">
        <v>20981</v>
      </c>
      <c r="DR319" s="214" t="s">
        <v>52</v>
      </c>
      <c r="DS319" s="214" t="s">
        <v>70</v>
      </c>
      <c r="DT319" s="214" t="s">
        <v>530</v>
      </c>
      <c r="DV319" s="214" t="s">
        <v>20982</v>
      </c>
      <c r="DW319" s="214" t="s">
        <v>601</v>
      </c>
      <c r="DX319" s="214" t="s">
        <v>70</v>
      </c>
      <c r="DY319" s="214" t="s">
        <v>530</v>
      </c>
      <c r="EA319" s="214" t="s">
        <v>20983</v>
      </c>
      <c r="EB319" s="214" t="s">
        <v>52</v>
      </c>
      <c r="EC319" s="214" t="s">
        <v>70</v>
      </c>
      <c r="ED319" s="214" t="s">
        <v>530</v>
      </c>
      <c r="EF319" s="214" t="s">
        <v>20984</v>
      </c>
      <c r="EG319" s="214" t="s">
        <v>34611</v>
      </c>
      <c r="EH319" s="214" t="s">
        <v>70</v>
      </c>
      <c r="EI319" s="214" t="s">
        <v>530</v>
      </c>
      <c r="EK319" s="214" t="s">
        <v>20985</v>
      </c>
      <c r="EL319" s="214" t="s">
        <v>204</v>
      </c>
      <c r="EM319" s="214" t="s">
        <v>70</v>
      </c>
      <c r="EN319" s="214" t="s">
        <v>530</v>
      </c>
      <c r="EP319" s="214" t="s">
        <v>20986</v>
      </c>
      <c r="EQ319" s="214" t="s">
        <v>34544</v>
      </c>
      <c r="ER319" s="214" t="s">
        <v>70</v>
      </c>
      <c r="ES319" s="214" t="s">
        <v>530</v>
      </c>
      <c r="EU319" s="214" t="s">
        <v>20987</v>
      </c>
      <c r="EV319" s="214" t="s">
        <v>146</v>
      </c>
      <c r="EW319" s="214" t="s">
        <v>70</v>
      </c>
      <c r="EX319" s="214" t="s">
        <v>530</v>
      </c>
      <c r="EZ319" s="214" t="s">
        <v>20988</v>
      </c>
      <c r="FA319" s="214" t="s">
        <v>34558</v>
      </c>
      <c r="FB319" s="214" t="s">
        <v>70</v>
      </c>
      <c r="FC319" s="214" t="s">
        <v>530</v>
      </c>
      <c r="FE319" s="214" t="s">
        <v>20989</v>
      </c>
      <c r="FF319" s="214" t="s">
        <v>146</v>
      </c>
      <c r="FG319" s="214" t="s">
        <v>70</v>
      </c>
      <c r="FH319" s="214" t="s">
        <v>530</v>
      </c>
      <c r="FJ319" s="321" t="s">
        <v>20990</v>
      </c>
      <c r="FK319" s="214" t="s">
        <v>485</v>
      </c>
      <c r="FL319" s="214" t="s">
        <v>70</v>
      </c>
      <c r="FM319" s="214" t="s">
        <v>530</v>
      </c>
      <c r="FO319" s="321" t="s">
        <v>20991</v>
      </c>
      <c r="FP319" s="214" t="s">
        <v>145</v>
      </c>
      <c r="FQ319" s="214" t="s">
        <v>70</v>
      </c>
      <c r="FR319" s="214" t="s">
        <v>530</v>
      </c>
      <c r="FT319" s="321" t="s">
        <v>20992</v>
      </c>
      <c r="FU319" s="214" t="s">
        <v>34564</v>
      </c>
      <c r="FV319" s="214" t="s">
        <v>70</v>
      </c>
      <c r="FW319" s="214" t="s">
        <v>530</v>
      </c>
      <c r="FY319" s="321" t="s">
        <v>20993</v>
      </c>
      <c r="FZ319" s="214" t="s">
        <v>484</v>
      </c>
      <c r="GA319" s="214" t="s">
        <v>70</v>
      </c>
      <c r="GB319" s="214" t="s">
        <v>530</v>
      </c>
      <c r="GD319" s="321" t="s">
        <v>20994</v>
      </c>
      <c r="GE319" s="214" t="s">
        <v>145</v>
      </c>
      <c r="GF319" s="214" t="s">
        <v>70</v>
      </c>
      <c r="GG319" s="214" t="s">
        <v>530</v>
      </c>
      <c r="GI319" s="321" t="s">
        <v>20995</v>
      </c>
      <c r="GJ319" s="214" t="s">
        <v>163</v>
      </c>
      <c r="GK319" s="214" t="s">
        <v>70</v>
      </c>
      <c r="GL319" s="214" t="s">
        <v>530</v>
      </c>
      <c r="GN319" s="321" t="s">
        <v>20996</v>
      </c>
      <c r="GO319" s="214" t="s">
        <v>146</v>
      </c>
      <c r="GP319" s="214" t="s">
        <v>70</v>
      </c>
      <c r="GQ319" s="214" t="s">
        <v>530</v>
      </c>
      <c r="GS319" s="321" t="s">
        <v>20997</v>
      </c>
      <c r="GT319" s="214" t="s">
        <v>653</v>
      </c>
      <c r="GU319" s="214" t="s">
        <v>70</v>
      </c>
      <c r="GV319" s="214" t="s">
        <v>530</v>
      </c>
      <c r="GX319" s="214" t="s">
        <v>20998</v>
      </c>
      <c r="GY319" s="214" t="s">
        <v>955</v>
      </c>
      <c r="GZ319" s="214" t="s">
        <v>70</v>
      </c>
      <c r="HA319" s="214" t="s">
        <v>530</v>
      </c>
      <c r="HC319" s="214" t="s">
        <v>20999</v>
      </c>
      <c r="HD319" s="214" t="s">
        <v>921</v>
      </c>
      <c r="HE319" s="214" t="s">
        <v>70</v>
      </c>
      <c r="HF319" s="214" t="s">
        <v>530</v>
      </c>
      <c r="HH319" s="214" t="s">
        <v>21000</v>
      </c>
      <c r="HI319" s="214" t="s">
        <v>484</v>
      </c>
      <c r="HJ319" s="214" t="s">
        <v>70</v>
      </c>
      <c r="HK319" s="214" t="s">
        <v>530</v>
      </c>
      <c r="HM319" s="214" t="s">
        <v>21001</v>
      </c>
      <c r="HN319" s="214" t="s">
        <v>34541</v>
      </c>
      <c r="HO319" s="214" t="s">
        <v>70</v>
      </c>
      <c r="HP319" s="214" t="s">
        <v>530</v>
      </c>
      <c r="HR319" s="22" t="s">
        <v>21002</v>
      </c>
      <c r="HS319" s="22" t="s">
        <v>145</v>
      </c>
      <c r="HT319" s="22" t="s">
        <v>70</v>
      </c>
      <c r="HU319" s="214" t="s">
        <v>530</v>
      </c>
      <c r="HW319" s="22" t="s">
        <v>21003</v>
      </c>
      <c r="HX319" s="22" t="s">
        <v>34541</v>
      </c>
      <c r="HY319" s="22" t="s">
        <v>70</v>
      </c>
      <c r="HZ319" s="214" t="s">
        <v>530</v>
      </c>
      <c r="IB319" s="22" t="s">
        <v>21004</v>
      </c>
      <c r="IC319" s="22" t="s">
        <v>145</v>
      </c>
      <c r="ID319" s="22" t="s">
        <v>70</v>
      </c>
      <c r="IE319" s="214" t="s">
        <v>530</v>
      </c>
      <c r="IG319" s="22" t="s">
        <v>21005</v>
      </c>
      <c r="IH319" s="22" t="s">
        <v>52</v>
      </c>
      <c r="II319" s="22" t="s">
        <v>70</v>
      </c>
      <c r="IJ319" s="214" t="s">
        <v>530</v>
      </c>
      <c r="IL319" s="22" t="s">
        <v>21006</v>
      </c>
      <c r="IM319" s="22" t="s">
        <v>145</v>
      </c>
      <c r="IN319" s="22" t="s">
        <v>70</v>
      </c>
      <c r="IO319" s="214" t="s">
        <v>530</v>
      </c>
      <c r="IQ319" s="236" t="s">
        <v>21007</v>
      </c>
      <c r="IR319" s="236" t="s">
        <v>145</v>
      </c>
      <c r="IS319" s="236" t="s">
        <v>74</v>
      </c>
      <c r="IT319" s="236" t="s">
        <v>841</v>
      </c>
      <c r="IV319" s="236" t="s">
        <v>21008</v>
      </c>
      <c r="IW319" s="236" t="s">
        <v>145</v>
      </c>
      <c r="IX319" s="236" t="s">
        <v>74</v>
      </c>
      <c r="IY319" s="236" t="s">
        <v>841</v>
      </c>
      <c r="JA319" s="236" t="s">
        <v>21009</v>
      </c>
      <c r="JB319" s="236" t="s">
        <v>145</v>
      </c>
      <c r="JC319" s="236" t="s">
        <v>74</v>
      </c>
      <c r="JD319" s="236" t="s">
        <v>841</v>
      </c>
      <c r="JF319" s="236" t="s">
        <v>21010</v>
      </c>
      <c r="JG319" s="236" t="s">
        <v>145</v>
      </c>
      <c r="JH319" s="236" t="s">
        <v>74</v>
      </c>
      <c r="JI319" s="236" t="s">
        <v>841</v>
      </c>
      <c r="JK319" s="236" t="s">
        <v>21011</v>
      </c>
      <c r="JL319" s="236" t="s">
        <v>145</v>
      </c>
      <c r="JM319" s="236" t="s">
        <v>74</v>
      </c>
      <c r="JN319" s="236" t="s">
        <v>841</v>
      </c>
      <c r="JP319" s="236" t="s">
        <v>21012</v>
      </c>
      <c r="JQ319" s="236" t="s">
        <v>145</v>
      </c>
      <c r="JR319" s="236" t="s">
        <v>74</v>
      </c>
      <c r="JS319" s="236" t="s">
        <v>841</v>
      </c>
      <c r="JU319" s="294" t="s">
        <v>21013</v>
      </c>
      <c r="JV319" s="294" t="s">
        <v>52</v>
      </c>
      <c r="JW319" s="263" t="s">
        <v>70</v>
      </c>
      <c r="JX319" s="294" t="s">
        <v>1083</v>
      </c>
      <c r="JZ319" s="263" t="s">
        <v>21014</v>
      </c>
      <c r="KA319" s="263" t="s">
        <v>145</v>
      </c>
      <c r="KB319" s="263" t="s">
        <v>70</v>
      </c>
      <c r="KC319" s="263" t="s">
        <v>1083</v>
      </c>
      <c r="KE319" s="263" t="s">
        <v>21015</v>
      </c>
      <c r="KF319" s="263" t="s">
        <v>52</v>
      </c>
      <c r="KG319" s="263" t="s">
        <v>70</v>
      </c>
      <c r="KH319" s="263" t="s">
        <v>1083</v>
      </c>
      <c r="KJ319" s="263" t="s">
        <v>21016</v>
      </c>
      <c r="KK319" s="263" t="s">
        <v>52</v>
      </c>
      <c r="KL319" s="263" t="s">
        <v>74</v>
      </c>
      <c r="KM319" s="263" t="s">
        <v>34074</v>
      </c>
      <c r="KO319" s="214" t="s">
        <v>21017</v>
      </c>
      <c r="KP319" s="214" t="s">
        <v>145</v>
      </c>
      <c r="KQ319" s="214" t="s">
        <v>70</v>
      </c>
      <c r="KR319" s="214" t="s">
        <v>67</v>
      </c>
      <c r="KT319" s="22" t="s">
        <v>21018</v>
      </c>
      <c r="KU319" s="22" t="s">
        <v>145</v>
      </c>
      <c r="KV319" s="22" t="s">
        <v>70</v>
      </c>
      <c r="KW319" s="22" t="s">
        <v>67</v>
      </c>
      <c r="KY319" s="214" t="s">
        <v>21019</v>
      </c>
      <c r="KZ319" s="214" t="s">
        <v>52</v>
      </c>
      <c r="LA319" s="214" t="s">
        <v>74</v>
      </c>
      <c r="LB319" s="214" t="s">
        <v>67</v>
      </c>
      <c r="LD319" s="22" t="s">
        <v>21020</v>
      </c>
      <c r="LE319" s="22" t="s">
        <v>145</v>
      </c>
      <c r="LF319" s="22" t="s">
        <v>70</v>
      </c>
      <c r="LG319" s="22" t="s">
        <v>67</v>
      </c>
    </row>
    <row r="320" spans="1:319">
      <c r="A320" s="22" t="s">
        <v>21021</v>
      </c>
      <c r="B320" s="22" t="s">
        <v>145</v>
      </c>
      <c r="C320" s="22" t="s">
        <v>70</v>
      </c>
      <c r="D320" s="22" t="s">
        <v>67</v>
      </c>
      <c r="F320" s="99" t="s">
        <v>21022</v>
      </c>
      <c r="G320" s="22" t="s">
        <v>145</v>
      </c>
      <c r="H320" s="22" t="s">
        <v>70</v>
      </c>
      <c r="I320" s="22" t="s">
        <v>67</v>
      </c>
      <c r="K320" s="22" t="s">
        <v>21023</v>
      </c>
      <c r="L320" s="22" t="s">
        <v>145</v>
      </c>
      <c r="M320" s="22" t="s">
        <v>70</v>
      </c>
      <c r="N320" s="22" t="s">
        <v>67</v>
      </c>
      <c r="P320" s="22" t="s">
        <v>21024</v>
      </c>
      <c r="Q320" s="22" t="s">
        <v>145</v>
      </c>
      <c r="R320" s="22" t="s">
        <v>70</v>
      </c>
      <c r="S320" s="22" t="s">
        <v>67</v>
      </c>
      <c r="U320" s="293" t="s">
        <v>21025</v>
      </c>
      <c r="V320" s="293" t="s">
        <v>145</v>
      </c>
      <c r="W320" s="293" t="s">
        <v>74</v>
      </c>
      <c r="X320" s="293" t="s">
        <v>656</v>
      </c>
      <c r="Z320" s="293" t="s">
        <v>21026</v>
      </c>
      <c r="AA320" s="293" t="s">
        <v>145</v>
      </c>
      <c r="AB320" s="293" t="s">
        <v>74</v>
      </c>
      <c r="AC320" s="293" t="s">
        <v>656</v>
      </c>
      <c r="AE320" s="293" t="s">
        <v>21027</v>
      </c>
      <c r="AF320" s="293" t="s">
        <v>145</v>
      </c>
      <c r="AG320" s="293" t="s">
        <v>74</v>
      </c>
      <c r="AH320" s="293" t="s">
        <v>656</v>
      </c>
      <c r="AJ320" s="293" t="s">
        <v>21028</v>
      </c>
      <c r="AK320" s="293" t="s">
        <v>145</v>
      </c>
      <c r="AL320" s="293" t="s">
        <v>74</v>
      </c>
      <c r="AM320" s="293" t="s">
        <v>656</v>
      </c>
      <c r="AO320" s="22" t="s">
        <v>21029</v>
      </c>
      <c r="AP320" s="22" t="s">
        <v>145</v>
      </c>
      <c r="AQ320" s="22" t="s">
        <v>70</v>
      </c>
      <c r="AR320" s="22" t="s">
        <v>67</v>
      </c>
      <c r="AT320" s="22" t="s">
        <v>21030</v>
      </c>
      <c r="AU320" s="22" t="s">
        <v>145</v>
      </c>
      <c r="AV320" s="22" t="s">
        <v>70</v>
      </c>
      <c r="AW320" s="22" t="s">
        <v>67</v>
      </c>
      <c r="AY320" s="22" t="s">
        <v>21031</v>
      </c>
      <c r="AZ320" s="22" t="s">
        <v>145</v>
      </c>
      <c r="BA320" s="22" t="s">
        <v>70</v>
      </c>
      <c r="BB320" s="22" t="s">
        <v>67</v>
      </c>
      <c r="BD320" s="22" t="s">
        <v>21032</v>
      </c>
      <c r="BE320" s="22" t="s">
        <v>145</v>
      </c>
      <c r="BF320" s="22" t="s">
        <v>70</v>
      </c>
      <c r="BG320" s="22" t="s">
        <v>67</v>
      </c>
      <c r="BI320" s="22" t="s">
        <v>21033</v>
      </c>
      <c r="BJ320" s="22" t="s">
        <v>145</v>
      </c>
      <c r="BK320" s="22" t="s">
        <v>70</v>
      </c>
      <c r="BL320" s="22" t="s">
        <v>67</v>
      </c>
      <c r="BN320" s="22" t="s">
        <v>21034</v>
      </c>
      <c r="BO320" s="22" t="s">
        <v>145</v>
      </c>
      <c r="BP320" s="22" t="s">
        <v>70</v>
      </c>
      <c r="BQ320" s="22" t="s">
        <v>67</v>
      </c>
      <c r="BS320" s="22" t="s">
        <v>21035</v>
      </c>
      <c r="BT320" s="22" t="s">
        <v>145</v>
      </c>
      <c r="BU320" s="22" t="s">
        <v>70</v>
      </c>
      <c r="BV320" s="214" t="s">
        <v>530</v>
      </c>
      <c r="BX320" s="22" t="s">
        <v>21036</v>
      </c>
      <c r="BY320" s="22" t="s">
        <v>145</v>
      </c>
      <c r="BZ320" s="22" t="s">
        <v>70</v>
      </c>
      <c r="CA320" s="214" t="s">
        <v>530</v>
      </c>
      <c r="CC320" s="214" t="s">
        <v>21037</v>
      </c>
      <c r="CD320" s="218" t="s">
        <v>34608</v>
      </c>
      <c r="CE320" s="214" t="s">
        <v>70</v>
      </c>
      <c r="CF320" s="214" t="s">
        <v>34126</v>
      </c>
      <c r="CH320" s="214" t="s">
        <v>21038</v>
      </c>
      <c r="CI320" s="214" t="s">
        <v>34551</v>
      </c>
      <c r="CJ320" s="214" t="s">
        <v>70</v>
      </c>
      <c r="CK320" s="214" t="s">
        <v>530</v>
      </c>
      <c r="CM320" s="214" t="s">
        <v>21039</v>
      </c>
      <c r="CN320" s="214" t="s">
        <v>85</v>
      </c>
      <c r="CO320" s="214" t="s">
        <v>70</v>
      </c>
      <c r="CP320" s="214" t="s">
        <v>530</v>
      </c>
      <c r="CR320" s="214" t="s">
        <v>21040</v>
      </c>
      <c r="CS320" s="214" t="s">
        <v>52</v>
      </c>
      <c r="CT320" s="214" t="s">
        <v>70</v>
      </c>
      <c r="CU320" s="214" t="s">
        <v>530</v>
      </c>
      <c r="CW320" s="214" t="s">
        <v>21041</v>
      </c>
      <c r="CX320" s="214" t="s">
        <v>34540</v>
      </c>
      <c r="CY320" s="214" t="s">
        <v>70</v>
      </c>
      <c r="CZ320" s="214" t="s">
        <v>530</v>
      </c>
      <c r="DB320" s="214" t="s">
        <v>21042</v>
      </c>
      <c r="DC320" s="214" t="s">
        <v>305</v>
      </c>
      <c r="DD320" s="214" t="s">
        <v>70</v>
      </c>
      <c r="DE320" s="214" t="s">
        <v>530</v>
      </c>
      <c r="DG320" s="214" t="s">
        <v>21043</v>
      </c>
      <c r="DH320" s="214" t="s">
        <v>1224</v>
      </c>
      <c r="DI320" s="214" t="s">
        <v>70</v>
      </c>
      <c r="DJ320" s="214" t="s">
        <v>530</v>
      </c>
      <c r="DL320" s="214" t="s">
        <v>21044</v>
      </c>
      <c r="DM320" s="214" t="s">
        <v>34516</v>
      </c>
      <c r="DN320" s="214" t="s">
        <v>70</v>
      </c>
      <c r="DO320" s="214" t="s">
        <v>530</v>
      </c>
      <c r="DQ320" s="214" t="s">
        <v>21045</v>
      </c>
      <c r="DR320" s="214" t="s">
        <v>34537</v>
      </c>
      <c r="DS320" s="214" t="s">
        <v>70</v>
      </c>
      <c r="DT320" s="214" t="s">
        <v>530</v>
      </c>
      <c r="DV320" s="214" t="s">
        <v>21046</v>
      </c>
      <c r="DW320" s="214" t="s">
        <v>34571</v>
      </c>
      <c r="DX320" s="214" t="s">
        <v>70</v>
      </c>
      <c r="DY320" s="214" t="s">
        <v>530</v>
      </c>
      <c r="EA320" s="214" t="s">
        <v>21047</v>
      </c>
      <c r="EB320" s="214" t="s">
        <v>34575</v>
      </c>
      <c r="EC320" s="214" t="s">
        <v>70</v>
      </c>
      <c r="ED320" s="214" t="s">
        <v>530</v>
      </c>
      <c r="EF320" s="214" t="s">
        <v>21048</v>
      </c>
      <c r="EG320" s="214" t="s">
        <v>34516</v>
      </c>
      <c r="EH320" s="214" t="s">
        <v>70</v>
      </c>
      <c r="EI320" s="214" t="s">
        <v>530</v>
      </c>
      <c r="EK320" s="214" t="s">
        <v>21049</v>
      </c>
      <c r="EL320" s="214" t="s">
        <v>211</v>
      </c>
      <c r="EM320" s="214" t="s">
        <v>70</v>
      </c>
      <c r="EN320" s="214" t="s">
        <v>530</v>
      </c>
      <c r="EP320" s="214" t="s">
        <v>21050</v>
      </c>
      <c r="EQ320" s="214" t="s">
        <v>468</v>
      </c>
      <c r="ER320" s="214" t="s">
        <v>70</v>
      </c>
      <c r="ES320" s="214" t="s">
        <v>530</v>
      </c>
      <c r="EU320" s="214" t="s">
        <v>21051</v>
      </c>
      <c r="EV320" s="214" t="s">
        <v>90</v>
      </c>
      <c r="EW320" s="214" t="s">
        <v>70</v>
      </c>
      <c r="EX320" s="214" t="s">
        <v>530</v>
      </c>
      <c r="EZ320" s="214" t="s">
        <v>21052</v>
      </c>
      <c r="FA320" s="214" t="s">
        <v>649</v>
      </c>
      <c r="FB320" s="214" t="s">
        <v>70</v>
      </c>
      <c r="FC320" s="214" t="s">
        <v>530</v>
      </c>
      <c r="FE320" s="214" t="s">
        <v>21053</v>
      </c>
      <c r="FF320" s="214" t="s">
        <v>529</v>
      </c>
      <c r="FG320" s="214" t="s">
        <v>70</v>
      </c>
      <c r="FH320" s="214" t="s">
        <v>530</v>
      </c>
      <c r="FJ320" s="321" t="s">
        <v>21054</v>
      </c>
      <c r="FK320" s="214" t="s">
        <v>163</v>
      </c>
      <c r="FL320" s="214" t="s">
        <v>70</v>
      </c>
      <c r="FM320" s="214" t="s">
        <v>530</v>
      </c>
      <c r="FO320" s="321" t="s">
        <v>21055</v>
      </c>
      <c r="FP320" s="214" t="s">
        <v>163</v>
      </c>
      <c r="FQ320" s="214" t="s">
        <v>70</v>
      </c>
      <c r="FR320" s="214" t="s">
        <v>530</v>
      </c>
      <c r="FT320" s="321" t="s">
        <v>21056</v>
      </c>
      <c r="FU320" s="214" t="s">
        <v>34579</v>
      </c>
      <c r="FV320" s="214" t="s">
        <v>70</v>
      </c>
      <c r="FW320" s="214" t="s">
        <v>530</v>
      </c>
      <c r="FY320" s="321" t="s">
        <v>21057</v>
      </c>
      <c r="FZ320" s="214" t="s">
        <v>90</v>
      </c>
      <c r="GA320" s="214" t="s">
        <v>70</v>
      </c>
      <c r="GB320" s="214" t="s">
        <v>530</v>
      </c>
      <c r="GD320" s="321" t="s">
        <v>21058</v>
      </c>
      <c r="GE320" s="214" t="s">
        <v>149</v>
      </c>
      <c r="GF320" s="214" t="s">
        <v>70</v>
      </c>
      <c r="GG320" s="214" t="s">
        <v>530</v>
      </c>
      <c r="GI320" s="321" t="s">
        <v>21059</v>
      </c>
      <c r="GJ320" s="214" t="s">
        <v>93</v>
      </c>
      <c r="GK320" s="214" t="s">
        <v>70</v>
      </c>
      <c r="GL320" s="214" t="s">
        <v>530</v>
      </c>
      <c r="GN320" s="321" t="s">
        <v>21060</v>
      </c>
      <c r="GO320" s="214" t="s">
        <v>490</v>
      </c>
      <c r="GP320" s="214" t="s">
        <v>70</v>
      </c>
      <c r="GQ320" s="214" t="s">
        <v>530</v>
      </c>
      <c r="GS320" s="321" t="s">
        <v>21061</v>
      </c>
      <c r="GT320" s="214" t="s">
        <v>947</v>
      </c>
      <c r="GU320" s="214" t="s">
        <v>70</v>
      </c>
      <c r="GV320" s="214" t="s">
        <v>530</v>
      </c>
      <c r="GX320" s="214" t="s">
        <v>21062</v>
      </c>
      <c r="GY320" s="214" t="s">
        <v>52</v>
      </c>
      <c r="GZ320" s="214" t="s">
        <v>70</v>
      </c>
      <c r="HA320" s="214" t="s">
        <v>530</v>
      </c>
      <c r="HC320" s="214" t="s">
        <v>21063</v>
      </c>
      <c r="HD320" s="214" t="s">
        <v>34545</v>
      </c>
      <c r="HE320" s="214" t="s">
        <v>70</v>
      </c>
      <c r="HF320" s="214" t="s">
        <v>530</v>
      </c>
      <c r="HH320" s="214" t="s">
        <v>21064</v>
      </c>
      <c r="HI320" s="214" t="s">
        <v>52</v>
      </c>
      <c r="HJ320" s="214" t="s">
        <v>70</v>
      </c>
      <c r="HK320" s="214" t="s">
        <v>530</v>
      </c>
      <c r="HM320" s="214" t="s">
        <v>21065</v>
      </c>
      <c r="HN320" s="214" t="s">
        <v>519</v>
      </c>
      <c r="HO320" s="214" t="s">
        <v>70</v>
      </c>
      <c r="HP320" s="214" t="s">
        <v>530</v>
      </c>
      <c r="HR320" s="22" t="s">
        <v>21066</v>
      </c>
      <c r="HS320" s="22" t="s">
        <v>503</v>
      </c>
      <c r="HT320" s="22" t="s">
        <v>70</v>
      </c>
      <c r="HU320" s="214" t="s">
        <v>530</v>
      </c>
      <c r="HW320" s="22" t="s">
        <v>21067</v>
      </c>
      <c r="HX320" s="22" t="s">
        <v>34226</v>
      </c>
      <c r="HY320" s="22" t="s">
        <v>70</v>
      </c>
      <c r="HZ320" s="214" t="s">
        <v>530</v>
      </c>
      <c r="IB320" s="22" t="s">
        <v>21068</v>
      </c>
      <c r="IC320" s="22" t="s">
        <v>88</v>
      </c>
      <c r="ID320" s="22" t="s">
        <v>70</v>
      </c>
      <c r="IE320" s="214" t="s">
        <v>530</v>
      </c>
      <c r="IG320" s="22" t="s">
        <v>21069</v>
      </c>
      <c r="IH320" s="22" t="s">
        <v>52</v>
      </c>
      <c r="II320" s="22" t="s">
        <v>70</v>
      </c>
      <c r="IJ320" s="214" t="s">
        <v>530</v>
      </c>
      <c r="IL320" s="22" t="s">
        <v>21070</v>
      </c>
      <c r="IM320" s="22" t="s">
        <v>145</v>
      </c>
      <c r="IN320" s="22" t="s">
        <v>70</v>
      </c>
      <c r="IO320" s="214" t="s">
        <v>530</v>
      </c>
      <c r="IQ320" s="236" t="s">
        <v>21071</v>
      </c>
      <c r="IR320" s="236" t="s">
        <v>145</v>
      </c>
      <c r="IS320" s="236" t="s">
        <v>74</v>
      </c>
      <c r="IT320" s="236" t="s">
        <v>841</v>
      </c>
      <c r="IV320" s="236" t="s">
        <v>21072</v>
      </c>
      <c r="IW320" s="236" t="s">
        <v>145</v>
      </c>
      <c r="IX320" s="236" t="s">
        <v>74</v>
      </c>
      <c r="IY320" s="236" t="s">
        <v>841</v>
      </c>
      <c r="JA320" s="236" t="s">
        <v>21073</v>
      </c>
      <c r="JB320" s="236" t="s">
        <v>145</v>
      </c>
      <c r="JC320" s="236" t="s">
        <v>74</v>
      </c>
      <c r="JD320" s="236" t="s">
        <v>841</v>
      </c>
      <c r="JF320" s="236" t="s">
        <v>21074</v>
      </c>
      <c r="JG320" s="236" t="s">
        <v>145</v>
      </c>
      <c r="JH320" s="236" t="s">
        <v>74</v>
      </c>
      <c r="JI320" s="236" t="s">
        <v>841</v>
      </c>
      <c r="JK320" s="236" t="s">
        <v>21075</v>
      </c>
      <c r="JL320" s="236" t="s">
        <v>145</v>
      </c>
      <c r="JM320" s="236" t="s">
        <v>74</v>
      </c>
      <c r="JN320" s="236" t="s">
        <v>841</v>
      </c>
      <c r="JP320" s="236" t="s">
        <v>21076</v>
      </c>
      <c r="JQ320" s="236" t="s">
        <v>145</v>
      </c>
      <c r="JR320" s="236" t="s">
        <v>74</v>
      </c>
      <c r="JS320" s="236" t="s">
        <v>841</v>
      </c>
      <c r="JU320" s="294" t="s">
        <v>21077</v>
      </c>
      <c r="JV320" s="294" t="s">
        <v>52</v>
      </c>
      <c r="JW320" s="263" t="s">
        <v>70</v>
      </c>
      <c r="JX320" s="294" t="s">
        <v>1083</v>
      </c>
      <c r="JZ320" s="263" t="s">
        <v>21078</v>
      </c>
      <c r="KA320" s="263" t="s">
        <v>145</v>
      </c>
      <c r="KB320" s="263" t="s">
        <v>70</v>
      </c>
      <c r="KC320" s="263" t="s">
        <v>1083</v>
      </c>
      <c r="KE320" s="263" t="s">
        <v>21079</v>
      </c>
      <c r="KF320" s="263" t="s">
        <v>52</v>
      </c>
      <c r="KG320" s="263" t="s">
        <v>70</v>
      </c>
      <c r="KH320" s="263" t="s">
        <v>1083</v>
      </c>
      <c r="KJ320" s="263" t="s">
        <v>21080</v>
      </c>
      <c r="KK320" s="263" t="s">
        <v>52</v>
      </c>
      <c r="KL320" s="263" t="s">
        <v>74</v>
      </c>
      <c r="KM320" s="263" t="s">
        <v>34074</v>
      </c>
      <c r="KO320" s="214" t="s">
        <v>21081</v>
      </c>
      <c r="KP320" s="214" t="s">
        <v>145</v>
      </c>
      <c r="KQ320" s="214" t="s">
        <v>70</v>
      </c>
      <c r="KR320" s="214" t="s">
        <v>67</v>
      </c>
      <c r="KT320" s="22" t="s">
        <v>21082</v>
      </c>
      <c r="KU320" s="22" t="s">
        <v>145</v>
      </c>
      <c r="KV320" s="22" t="s">
        <v>70</v>
      </c>
      <c r="KW320" s="22" t="s">
        <v>67</v>
      </c>
      <c r="KY320" s="214" t="s">
        <v>21083</v>
      </c>
      <c r="KZ320" s="214" t="s">
        <v>52</v>
      </c>
      <c r="LA320" s="214" t="s">
        <v>74</v>
      </c>
      <c r="LB320" s="214" t="s">
        <v>67</v>
      </c>
      <c r="LD320" s="22" t="s">
        <v>21084</v>
      </c>
      <c r="LE320" s="22" t="s">
        <v>145</v>
      </c>
      <c r="LF320" s="22" t="s">
        <v>70</v>
      </c>
      <c r="LG320" s="22" t="s">
        <v>67</v>
      </c>
    </row>
    <row r="321" spans="1:319">
      <c r="A321" s="22" t="s">
        <v>21085</v>
      </c>
      <c r="B321" s="22" t="s">
        <v>145</v>
      </c>
      <c r="C321" s="22" t="s">
        <v>70</v>
      </c>
      <c r="D321" s="22" t="s">
        <v>67</v>
      </c>
      <c r="F321" s="99" t="s">
        <v>21086</v>
      </c>
      <c r="G321" s="22" t="s">
        <v>145</v>
      </c>
      <c r="H321" s="22" t="s">
        <v>70</v>
      </c>
      <c r="I321" s="22" t="s">
        <v>67</v>
      </c>
      <c r="K321" s="22" t="s">
        <v>21087</v>
      </c>
      <c r="L321" s="22" t="s">
        <v>145</v>
      </c>
      <c r="M321" s="22" t="s">
        <v>70</v>
      </c>
      <c r="N321" s="22" t="s">
        <v>67</v>
      </c>
      <c r="P321" s="22" t="s">
        <v>21088</v>
      </c>
      <c r="Q321" s="22" t="s">
        <v>145</v>
      </c>
      <c r="R321" s="22" t="s">
        <v>70</v>
      </c>
      <c r="S321" s="22" t="s">
        <v>67</v>
      </c>
      <c r="U321" s="293" t="s">
        <v>21089</v>
      </c>
      <c r="V321" s="293" t="s">
        <v>145</v>
      </c>
      <c r="W321" s="293" t="s">
        <v>74</v>
      </c>
      <c r="X321" s="293" t="s">
        <v>656</v>
      </c>
      <c r="Z321" s="293" t="s">
        <v>21090</v>
      </c>
      <c r="AA321" s="293" t="s">
        <v>145</v>
      </c>
      <c r="AB321" s="293" t="s">
        <v>74</v>
      </c>
      <c r="AC321" s="293" t="s">
        <v>656</v>
      </c>
      <c r="AE321" s="293" t="s">
        <v>21091</v>
      </c>
      <c r="AF321" s="293" t="s">
        <v>145</v>
      </c>
      <c r="AG321" s="293" t="s">
        <v>74</v>
      </c>
      <c r="AH321" s="293" t="s">
        <v>656</v>
      </c>
      <c r="AJ321" s="293" t="s">
        <v>21092</v>
      </c>
      <c r="AK321" s="293" t="s">
        <v>145</v>
      </c>
      <c r="AL321" s="293" t="s">
        <v>74</v>
      </c>
      <c r="AM321" s="293" t="s">
        <v>656</v>
      </c>
      <c r="AO321" s="22" t="s">
        <v>21093</v>
      </c>
      <c r="AP321" s="22" t="s">
        <v>145</v>
      </c>
      <c r="AQ321" s="22" t="s">
        <v>70</v>
      </c>
      <c r="AR321" s="22" t="s">
        <v>67</v>
      </c>
      <c r="AT321" s="22" t="s">
        <v>21094</v>
      </c>
      <c r="AU321" s="22" t="s">
        <v>145</v>
      </c>
      <c r="AV321" s="22" t="s">
        <v>70</v>
      </c>
      <c r="AW321" s="22" t="s">
        <v>67</v>
      </c>
      <c r="AY321" s="22" t="s">
        <v>21095</v>
      </c>
      <c r="AZ321" s="22" t="s">
        <v>145</v>
      </c>
      <c r="BA321" s="22" t="s">
        <v>70</v>
      </c>
      <c r="BB321" s="22" t="s">
        <v>67</v>
      </c>
      <c r="BD321" s="22" t="s">
        <v>21096</v>
      </c>
      <c r="BE321" s="22" t="s">
        <v>145</v>
      </c>
      <c r="BF321" s="22" t="s">
        <v>70</v>
      </c>
      <c r="BG321" s="22" t="s">
        <v>67</v>
      </c>
      <c r="BI321" s="22" t="s">
        <v>21097</v>
      </c>
      <c r="BJ321" s="22" t="s">
        <v>145</v>
      </c>
      <c r="BK321" s="22" t="s">
        <v>70</v>
      </c>
      <c r="BL321" s="22" t="s">
        <v>67</v>
      </c>
      <c r="BN321" s="22" t="s">
        <v>21098</v>
      </c>
      <c r="BO321" s="22" t="s">
        <v>145</v>
      </c>
      <c r="BP321" s="22" t="s">
        <v>70</v>
      </c>
      <c r="BQ321" s="22" t="s">
        <v>67</v>
      </c>
      <c r="BS321" s="22" t="s">
        <v>21099</v>
      </c>
      <c r="BT321" s="22" t="s">
        <v>145</v>
      </c>
      <c r="BU321" s="22" t="s">
        <v>70</v>
      </c>
      <c r="BV321" s="214" t="s">
        <v>530</v>
      </c>
      <c r="BX321" s="22" t="s">
        <v>21100</v>
      </c>
      <c r="BY321" s="22" t="s">
        <v>145</v>
      </c>
      <c r="BZ321" s="22" t="s">
        <v>70</v>
      </c>
      <c r="CA321" s="214" t="s">
        <v>530</v>
      </c>
      <c r="CC321" s="214" t="s">
        <v>21101</v>
      </c>
      <c r="CD321" s="218" t="s">
        <v>34607</v>
      </c>
      <c r="CE321" s="214" t="s">
        <v>70</v>
      </c>
      <c r="CF321" s="214" t="s">
        <v>34127</v>
      </c>
      <c r="CH321" s="214" t="s">
        <v>21102</v>
      </c>
      <c r="CI321" s="214" t="s">
        <v>34516</v>
      </c>
      <c r="CJ321" s="214" t="s">
        <v>70</v>
      </c>
      <c r="CK321" s="214" t="s">
        <v>530</v>
      </c>
      <c r="CM321" s="214" t="s">
        <v>21103</v>
      </c>
      <c r="CN321" s="214" t="s">
        <v>485</v>
      </c>
      <c r="CO321" s="214" t="s">
        <v>70</v>
      </c>
      <c r="CP321" s="214" t="s">
        <v>530</v>
      </c>
      <c r="CR321" s="214" t="s">
        <v>21104</v>
      </c>
      <c r="CS321" s="214" t="s">
        <v>468</v>
      </c>
      <c r="CT321" s="214" t="s">
        <v>70</v>
      </c>
      <c r="CU321" s="214" t="s">
        <v>530</v>
      </c>
      <c r="CW321" s="214" t="s">
        <v>21105</v>
      </c>
      <c r="CX321" s="214" t="s">
        <v>146</v>
      </c>
      <c r="CY321" s="214" t="s">
        <v>70</v>
      </c>
      <c r="CZ321" s="214" t="s">
        <v>530</v>
      </c>
      <c r="DB321" s="214" t="s">
        <v>21106</v>
      </c>
      <c r="DC321" s="214" t="s">
        <v>492</v>
      </c>
      <c r="DD321" s="214" t="s">
        <v>70</v>
      </c>
      <c r="DE321" s="214" t="s">
        <v>530</v>
      </c>
      <c r="DG321" s="214" t="s">
        <v>21107</v>
      </c>
      <c r="DH321" s="214" t="s">
        <v>490</v>
      </c>
      <c r="DI321" s="214" t="s">
        <v>70</v>
      </c>
      <c r="DJ321" s="214" t="s">
        <v>530</v>
      </c>
      <c r="DL321" s="214" t="s">
        <v>21108</v>
      </c>
      <c r="DM321" s="214" t="s">
        <v>34544</v>
      </c>
      <c r="DN321" s="214" t="s">
        <v>70</v>
      </c>
      <c r="DO321" s="214" t="s">
        <v>530</v>
      </c>
      <c r="DQ321" s="214" t="s">
        <v>21109</v>
      </c>
      <c r="DR321" s="214" t="s">
        <v>491</v>
      </c>
      <c r="DS321" s="214" t="s">
        <v>70</v>
      </c>
      <c r="DT321" s="214" t="s">
        <v>530</v>
      </c>
      <c r="DV321" s="214" t="s">
        <v>21110</v>
      </c>
      <c r="DW321" s="214" t="s">
        <v>488</v>
      </c>
      <c r="DX321" s="214" t="s">
        <v>70</v>
      </c>
      <c r="DY321" s="214" t="s">
        <v>530</v>
      </c>
      <c r="EA321" s="214" t="s">
        <v>21111</v>
      </c>
      <c r="EB321" s="214" t="s">
        <v>205</v>
      </c>
      <c r="EC321" s="214" t="s">
        <v>70</v>
      </c>
      <c r="ED321" s="214" t="s">
        <v>530</v>
      </c>
      <c r="EF321" s="214" t="s">
        <v>21112</v>
      </c>
      <c r="EG321" s="214" t="s">
        <v>599</v>
      </c>
      <c r="EH321" s="214" t="s">
        <v>70</v>
      </c>
      <c r="EI321" s="214" t="s">
        <v>530</v>
      </c>
      <c r="EK321" s="214" t="s">
        <v>21113</v>
      </c>
      <c r="EL321" s="214" t="s">
        <v>287</v>
      </c>
      <c r="EM321" s="214" t="s">
        <v>70</v>
      </c>
      <c r="EN321" s="214" t="s">
        <v>530</v>
      </c>
      <c r="EP321" s="214" t="s">
        <v>21114</v>
      </c>
      <c r="EQ321" s="214" t="s">
        <v>52</v>
      </c>
      <c r="ER321" s="214" t="s">
        <v>70</v>
      </c>
      <c r="ES321" s="214" t="s">
        <v>530</v>
      </c>
      <c r="EU321" s="214" t="s">
        <v>21115</v>
      </c>
      <c r="EV321" s="214" t="s">
        <v>917</v>
      </c>
      <c r="EW321" s="214" t="s">
        <v>70</v>
      </c>
      <c r="EX321" s="214" t="s">
        <v>530</v>
      </c>
      <c r="EZ321" s="214" t="s">
        <v>21116</v>
      </c>
      <c r="FA321" s="214" t="s">
        <v>491</v>
      </c>
      <c r="FB321" s="214" t="s">
        <v>70</v>
      </c>
      <c r="FC321" s="214" t="s">
        <v>530</v>
      </c>
      <c r="FE321" s="214" t="s">
        <v>21117</v>
      </c>
      <c r="FF321" s="214" t="s">
        <v>148</v>
      </c>
      <c r="FG321" s="214" t="s">
        <v>70</v>
      </c>
      <c r="FH321" s="214" t="s">
        <v>530</v>
      </c>
      <c r="FJ321" s="321" t="s">
        <v>21118</v>
      </c>
      <c r="FK321" s="214" t="s">
        <v>34544</v>
      </c>
      <c r="FL321" s="214" t="s">
        <v>70</v>
      </c>
      <c r="FM321" s="214" t="s">
        <v>530</v>
      </c>
      <c r="FO321" s="321" t="s">
        <v>21119</v>
      </c>
      <c r="FP321" s="214" t="s">
        <v>955</v>
      </c>
      <c r="FQ321" s="214" t="s">
        <v>70</v>
      </c>
      <c r="FR321" s="214" t="s">
        <v>530</v>
      </c>
      <c r="FT321" s="321" t="s">
        <v>21120</v>
      </c>
      <c r="FU321" s="214" t="s">
        <v>950</v>
      </c>
      <c r="FV321" s="214" t="s">
        <v>70</v>
      </c>
      <c r="FW321" s="214" t="s">
        <v>530</v>
      </c>
      <c r="FY321" s="321" t="s">
        <v>21121</v>
      </c>
      <c r="FZ321" s="214" t="s">
        <v>287</v>
      </c>
      <c r="GA321" s="214" t="s">
        <v>70</v>
      </c>
      <c r="GB321" s="214" t="s">
        <v>530</v>
      </c>
      <c r="GD321" s="321" t="s">
        <v>21122</v>
      </c>
      <c r="GE321" s="214" t="s">
        <v>52</v>
      </c>
      <c r="GF321" s="214" t="s">
        <v>70</v>
      </c>
      <c r="GG321" s="214" t="s">
        <v>530</v>
      </c>
      <c r="GI321" s="321" t="s">
        <v>21123</v>
      </c>
      <c r="GJ321" s="214" t="s">
        <v>486</v>
      </c>
      <c r="GK321" s="214" t="s">
        <v>70</v>
      </c>
      <c r="GL321" s="214" t="s">
        <v>530</v>
      </c>
      <c r="GN321" s="321" t="s">
        <v>21124</v>
      </c>
      <c r="GO321" s="214" t="s">
        <v>482</v>
      </c>
      <c r="GP321" s="214" t="s">
        <v>70</v>
      </c>
      <c r="GQ321" s="214" t="s">
        <v>530</v>
      </c>
      <c r="GS321" s="321" t="s">
        <v>21125</v>
      </c>
      <c r="GT321" s="214" t="s">
        <v>491</v>
      </c>
      <c r="GU321" s="214" t="s">
        <v>70</v>
      </c>
      <c r="GV321" s="214" t="s">
        <v>530</v>
      </c>
      <c r="GX321" s="214" t="s">
        <v>21126</v>
      </c>
      <c r="GY321" s="214" t="s">
        <v>485</v>
      </c>
      <c r="GZ321" s="214" t="s">
        <v>70</v>
      </c>
      <c r="HA321" s="214" t="s">
        <v>530</v>
      </c>
      <c r="HC321" s="214" t="s">
        <v>21127</v>
      </c>
      <c r="HD321" s="214" t="s">
        <v>34551</v>
      </c>
      <c r="HE321" s="214" t="s">
        <v>70</v>
      </c>
      <c r="HF321" s="214" t="s">
        <v>530</v>
      </c>
      <c r="HH321" s="214" t="s">
        <v>21128</v>
      </c>
      <c r="HI321" s="214" t="s">
        <v>85</v>
      </c>
      <c r="HJ321" s="214" t="s">
        <v>70</v>
      </c>
      <c r="HK321" s="214" t="s">
        <v>530</v>
      </c>
      <c r="HM321" s="214" t="s">
        <v>21129</v>
      </c>
      <c r="HN321" s="214" t="s">
        <v>34556</v>
      </c>
      <c r="HO321" s="214" t="s">
        <v>70</v>
      </c>
      <c r="HP321" s="214" t="s">
        <v>530</v>
      </c>
      <c r="HR321" s="22" t="s">
        <v>21130</v>
      </c>
      <c r="HS321" s="22" t="s">
        <v>503</v>
      </c>
      <c r="HT321" s="22" t="s">
        <v>70</v>
      </c>
      <c r="HU321" s="214" t="s">
        <v>530</v>
      </c>
      <c r="HW321" s="22" t="s">
        <v>21131</v>
      </c>
      <c r="HX321" s="22" t="s">
        <v>34590</v>
      </c>
      <c r="HY321" s="22" t="s">
        <v>70</v>
      </c>
      <c r="HZ321" s="214" t="s">
        <v>530</v>
      </c>
      <c r="IB321" s="22" t="s">
        <v>21132</v>
      </c>
      <c r="IC321" s="22" t="s">
        <v>468</v>
      </c>
      <c r="ID321" s="22" t="s">
        <v>70</v>
      </c>
      <c r="IE321" s="214" t="s">
        <v>530</v>
      </c>
      <c r="IG321" s="22" t="s">
        <v>21133</v>
      </c>
      <c r="IH321" s="22" t="s">
        <v>52</v>
      </c>
      <c r="II321" s="22" t="s">
        <v>70</v>
      </c>
      <c r="IJ321" s="214" t="s">
        <v>530</v>
      </c>
      <c r="IL321" s="22" t="s">
        <v>21134</v>
      </c>
      <c r="IM321" s="22" t="s">
        <v>145</v>
      </c>
      <c r="IN321" s="22" t="s">
        <v>70</v>
      </c>
      <c r="IO321" s="214" t="s">
        <v>530</v>
      </c>
      <c r="IQ321" s="236" t="s">
        <v>21135</v>
      </c>
      <c r="IR321" s="236" t="s">
        <v>145</v>
      </c>
      <c r="IS321" s="236" t="s">
        <v>74</v>
      </c>
      <c r="IT321" s="236" t="s">
        <v>841</v>
      </c>
      <c r="IV321" s="236" t="s">
        <v>21136</v>
      </c>
      <c r="IW321" s="236" t="s">
        <v>145</v>
      </c>
      <c r="IX321" s="236" t="s">
        <v>74</v>
      </c>
      <c r="IY321" s="236" t="s">
        <v>841</v>
      </c>
      <c r="JA321" s="236" t="s">
        <v>21137</v>
      </c>
      <c r="JB321" s="236" t="s">
        <v>145</v>
      </c>
      <c r="JC321" s="236" t="s">
        <v>74</v>
      </c>
      <c r="JD321" s="236" t="s">
        <v>841</v>
      </c>
      <c r="JF321" s="236" t="s">
        <v>21138</v>
      </c>
      <c r="JG321" s="236" t="s">
        <v>145</v>
      </c>
      <c r="JH321" s="236" t="s">
        <v>74</v>
      </c>
      <c r="JI321" s="236" t="s">
        <v>841</v>
      </c>
      <c r="JK321" s="236" t="s">
        <v>21139</v>
      </c>
      <c r="JL321" s="236" t="s">
        <v>145</v>
      </c>
      <c r="JM321" s="236" t="s">
        <v>74</v>
      </c>
      <c r="JN321" s="236" t="s">
        <v>841</v>
      </c>
      <c r="JP321" s="236" t="s">
        <v>21140</v>
      </c>
      <c r="JQ321" s="236" t="s">
        <v>145</v>
      </c>
      <c r="JR321" s="236" t="s">
        <v>74</v>
      </c>
      <c r="JS321" s="236" t="s">
        <v>841</v>
      </c>
      <c r="JU321" s="294" t="s">
        <v>21141</v>
      </c>
      <c r="JV321" s="294" t="s">
        <v>52</v>
      </c>
      <c r="JW321" s="263" t="s">
        <v>70</v>
      </c>
      <c r="JX321" s="294" t="s">
        <v>1083</v>
      </c>
      <c r="JZ321" s="263" t="s">
        <v>21142</v>
      </c>
      <c r="KA321" s="263" t="s">
        <v>145</v>
      </c>
      <c r="KB321" s="263" t="s">
        <v>70</v>
      </c>
      <c r="KC321" s="263" t="s">
        <v>1083</v>
      </c>
      <c r="KE321" s="263" t="s">
        <v>21143</v>
      </c>
      <c r="KF321" s="263" t="s">
        <v>52</v>
      </c>
      <c r="KG321" s="263" t="s">
        <v>70</v>
      </c>
      <c r="KH321" s="263" t="s">
        <v>1083</v>
      </c>
      <c r="KJ321" s="263" t="s">
        <v>21144</v>
      </c>
      <c r="KK321" s="263" t="s">
        <v>52</v>
      </c>
      <c r="KL321" s="263" t="s">
        <v>74</v>
      </c>
      <c r="KM321" s="263" t="s">
        <v>34074</v>
      </c>
      <c r="KO321" s="214" t="s">
        <v>21145</v>
      </c>
      <c r="KP321" s="214" t="s">
        <v>145</v>
      </c>
      <c r="KQ321" s="214" t="s">
        <v>70</v>
      </c>
      <c r="KR321" s="214" t="s">
        <v>67</v>
      </c>
      <c r="KT321" s="22" t="s">
        <v>21146</v>
      </c>
      <c r="KU321" s="22" t="s">
        <v>145</v>
      </c>
      <c r="KV321" s="22" t="s">
        <v>70</v>
      </c>
      <c r="KW321" s="22" t="s">
        <v>67</v>
      </c>
      <c r="KY321" s="214" t="s">
        <v>21147</v>
      </c>
      <c r="KZ321" s="214" t="s">
        <v>52</v>
      </c>
      <c r="LA321" s="214" t="s">
        <v>74</v>
      </c>
      <c r="LB321" s="214" t="s">
        <v>67</v>
      </c>
      <c r="LD321" s="22" t="s">
        <v>21148</v>
      </c>
      <c r="LE321" s="22" t="s">
        <v>145</v>
      </c>
      <c r="LF321" s="22" t="s">
        <v>70</v>
      </c>
      <c r="LG321" s="22" t="s">
        <v>67</v>
      </c>
    </row>
    <row r="322" spans="1:319">
      <c r="A322" s="22" t="s">
        <v>21149</v>
      </c>
      <c r="B322" s="22" t="s">
        <v>145</v>
      </c>
      <c r="C322" s="22" t="s">
        <v>70</v>
      </c>
      <c r="D322" s="22" t="s">
        <v>67</v>
      </c>
      <c r="F322" s="99" t="s">
        <v>21150</v>
      </c>
      <c r="G322" s="22" t="s">
        <v>145</v>
      </c>
      <c r="H322" s="22" t="s">
        <v>70</v>
      </c>
      <c r="I322" s="22" t="s">
        <v>67</v>
      </c>
      <c r="K322" s="22" t="s">
        <v>21151</v>
      </c>
      <c r="L322" s="22" t="s">
        <v>145</v>
      </c>
      <c r="M322" s="22" t="s">
        <v>70</v>
      </c>
      <c r="N322" s="22" t="s">
        <v>67</v>
      </c>
      <c r="P322" s="22" t="s">
        <v>21152</v>
      </c>
      <c r="Q322" s="22" t="s">
        <v>145</v>
      </c>
      <c r="R322" s="22" t="s">
        <v>70</v>
      </c>
      <c r="S322" s="22" t="s">
        <v>67</v>
      </c>
      <c r="U322" s="293" t="s">
        <v>21153</v>
      </c>
      <c r="V322" s="293" t="s">
        <v>145</v>
      </c>
      <c r="W322" s="293" t="s">
        <v>74</v>
      </c>
      <c r="X322" s="293" t="s">
        <v>656</v>
      </c>
      <c r="Z322" s="293" t="s">
        <v>21154</v>
      </c>
      <c r="AA322" s="293" t="s">
        <v>145</v>
      </c>
      <c r="AB322" s="293" t="s">
        <v>74</v>
      </c>
      <c r="AC322" s="293" t="s">
        <v>656</v>
      </c>
      <c r="AE322" s="293" t="s">
        <v>21155</v>
      </c>
      <c r="AF322" s="293" t="s">
        <v>145</v>
      </c>
      <c r="AG322" s="293" t="s">
        <v>74</v>
      </c>
      <c r="AH322" s="293" t="s">
        <v>656</v>
      </c>
      <c r="AJ322" s="293" t="s">
        <v>21156</v>
      </c>
      <c r="AK322" s="293" t="s">
        <v>145</v>
      </c>
      <c r="AL322" s="293" t="s">
        <v>74</v>
      </c>
      <c r="AM322" s="293" t="s">
        <v>656</v>
      </c>
      <c r="AO322" s="22" t="s">
        <v>21157</v>
      </c>
      <c r="AP322" s="22" t="s">
        <v>145</v>
      </c>
      <c r="AQ322" s="22" t="s">
        <v>70</v>
      </c>
      <c r="AR322" s="22" t="s">
        <v>67</v>
      </c>
      <c r="AT322" s="22" t="s">
        <v>21158</v>
      </c>
      <c r="AU322" s="22" t="s">
        <v>145</v>
      </c>
      <c r="AV322" s="22" t="s">
        <v>70</v>
      </c>
      <c r="AW322" s="22" t="s">
        <v>67</v>
      </c>
      <c r="AY322" s="22" t="s">
        <v>21159</v>
      </c>
      <c r="AZ322" s="22" t="s">
        <v>145</v>
      </c>
      <c r="BA322" s="22" t="s">
        <v>70</v>
      </c>
      <c r="BB322" s="22" t="s">
        <v>67</v>
      </c>
      <c r="BD322" s="22" t="s">
        <v>21160</v>
      </c>
      <c r="BE322" s="22" t="s">
        <v>145</v>
      </c>
      <c r="BF322" s="22" t="s">
        <v>70</v>
      </c>
      <c r="BG322" s="22" t="s">
        <v>67</v>
      </c>
      <c r="BI322" s="22" t="s">
        <v>21161</v>
      </c>
      <c r="BJ322" s="22" t="s">
        <v>145</v>
      </c>
      <c r="BK322" s="22" t="s">
        <v>70</v>
      </c>
      <c r="BL322" s="22" t="s">
        <v>67</v>
      </c>
      <c r="BN322" s="22" t="s">
        <v>21162</v>
      </c>
      <c r="BO322" s="22" t="s">
        <v>145</v>
      </c>
      <c r="BP322" s="22" t="s">
        <v>70</v>
      </c>
      <c r="BQ322" s="22" t="s">
        <v>67</v>
      </c>
      <c r="BS322" s="22" t="s">
        <v>21163</v>
      </c>
      <c r="BT322" s="22" t="s">
        <v>145</v>
      </c>
      <c r="BU322" s="22" t="s">
        <v>70</v>
      </c>
      <c r="BV322" s="214" t="s">
        <v>530</v>
      </c>
      <c r="BX322" s="22" t="s">
        <v>21164</v>
      </c>
      <c r="BY322" s="22" t="s">
        <v>145</v>
      </c>
      <c r="BZ322" s="22" t="s">
        <v>70</v>
      </c>
      <c r="CA322" s="214" t="s">
        <v>530</v>
      </c>
      <c r="CC322" s="214" t="s">
        <v>21165</v>
      </c>
      <c r="CD322" s="218" t="s">
        <v>52</v>
      </c>
      <c r="CE322" s="214" t="s">
        <v>70</v>
      </c>
      <c r="CF322" s="214" t="s">
        <v>34128</v>
      </c>
      <c r="CH322" s="214" t="s">
        <v>21166</v>
      </c>
      <c r="CI322" s="214" t="s">
        <v>148</v>
      </c>
      <c r="CJ322" s="214" t="s">
        <v>70</v>
      </c>
      <c r="CK322" s="214" t="s">
        <v>530</v>
      </c>
      <c r="CM322" s="214" t="s">
        <v>21167</v>
      </c>
      <c r="CN322" s="214" t="s">
        <v>34545</v>
      </c>
      <c r="CO322" s="214" t="s">
        <v>70</v>
      </c>
      <c r="CP322" s="214" t="s">
        <v>530</v>
      </c>
      <c r="CR322" s="214" t="s">
        <v>21168</v>
      </c>
      <c r="CS322" s="214" t="s">
        <v>52</v>
      </c>
      <c r="CT322" s="214" t="s">
        <v>70</v>
      </c>
      <c r="CU322" s="214" t="s">
        <v>530</v>
      </c>
      <c r="CW322" s="214" t="s">
        <v>21169</v>
      </c>
      <c r="CX322" s="214" t="s">
        <v>85</v>
      </c>
      <c r="CY322" s="214" t="s">
        <v>70</v>
      </c>
      <c r="CZ322" s="214" t="s">
        <v>530</v>
      </c>
      <c r="DB322" s="214" t="s">
        <v>21170</v>
      </c>
      <c r="DC322" s="214" t="s">
        <v>519</v>
      </c>
      <c r="DD322" s="214" t="s">
        <v>70</v>
      </c>
      <c r="DE322" s="214" t="s">
        <v>530</v>
      </c>
      <c r="DG322" s="214" t="s">
        <v>21171</v>
      </c>
      <c r="DH322" s="214" t="s">
        <v>85</v>
      </c>
      <c r="DI322" s="214" t="s">
        <v>70</v>
      </c>
      <c r="DJ322" s="214" t="s">
        <v>530</v>
      </c>
      <c r="DL322" s="214" t="s">
        <v>21172</v>
      </c>
      <c r="DM322" s="214" t="s">
        <v>601</v>
      </c>
      <c r="DN322" s="214" t="s">
        <v>70</v>
      </c>
      <c r="DO322" s="214" t="s">
        <v>530</v>
      </c>
      <c r="DQ322" s="214" t="s">
        <v>21173</v>
      </c>
      <c r="DR322" s="214" t="s">
        <v>86</v>
      </c>
      <c r="DS322" s="214" t="s">
        <v>70</v>
      </c>
      <c r="DT322" s="214" t="s">
        <v>530</v>
      </c>
      <c r="DV322" s="214" t="s">
        <v>21174</v>
      </c>
      <c r="DW322" s="214" t="s">
        <v>52</v>
      </c>
      <c r="DX322" s="214" t="s">
        <v>70</v>
      </c>
      <c r="DY322" s="214" t="s">
        <v>530</v>
      </c>
      <c r="EA322" s="214" t="s">
        <v>21175</v>
      </c>
      <c r="EB322" s="214" t="s">
        <v>34544</v>
      </c>
      <c r="EC322" s="214" t="s">
        <v>70</v>
      </c>
      <c r="ED322" s="214" t="s">
        <v>530</v>
      </c>
      <c r="EF322" s="214" t="s">
        <v>21176</v>
      </c>
      <c r="EG322" s="214" t="s">
        <v>950</v>
      </c>
      <c r="EH322" s="214" t="s">
        <v>70</v>
      </c>
      <c r="EI322" s="214" t="s">
        <v>530</v>
      </c>
      <c r="EK322" s="214" t="s">
        <v>21177</v>
      </c>
      <c r="EL322" s="214" t="s">
        <v>34618</v>
      </c>
      <c r="EM322" s="214" t="s">
        <v>70</v>
      </c>
      <c r="EN322" s="214" t="s">
        <v>530</v>
      </c>
      <c r="EP322" s="214" t="s">
        <v>21178</v>
      </c>
      <c r="EQ322" s="214" t="s">
        <v>52</v>
      </c>
      <c r="ER322" s="214" t="s">
        <v>70</v>
      </c>
      <c r="ES322" s="214" t="s">
        <v>530</v>
      </c>
      <c r="EU322" s="214" t="s">
        <v>21179</v>
      </c>
      <c r="EV322" s="214" t="s">
        <v>92</v>
      </c>
      <c r="EW322" s="214" t="s">
        <v>70</v>
      </c>
      <c r="EX322" s="214" t="s">
        <v>530</v>
      </c>
      <c r="EZ322" s="214" t="s">
        <v>21180</v>
      </c>
      <c r="FA322" s="214" t="s">
        <v>145</v>
      </c>
      <c r="FB322" s="214" t="s">
        <v>70</v>
      </c>
      <c r="FC322" s="214" t="s">
        <v>530</v>
      </c>
      <c r="FE322" s="214" t="s">
        <v>21181</v>
      </c>
      <c r="FF322" s="214" t="s">
        <v>52</v>
      </c>
      <c r="FG322" s="214" t="s">
        <v>70</v>
      </c>
      <c r="FH322" s="214" t="s">
        <v>530</v>
      </c>
      <c r="FJ322" s="321" t="s">
        <v>21182</v>
      </c>
      <c r="FK322" s="214" t="s">
        <v>52</v>
      </c>
      <c r="FL322" s="214" t="s">
        <v>70</v>
      </c>
      <c r="FM322" s="214" t="s">
        <v>530</v>
      </c>
      <c r="FO322" s="321" t="s">
        <v>21183</v>
      </c>
      <c r="FP322" s="214" t="s">
        <v>52</v>
      </c>
      <c r="FQ322" s="214" t="s">
        <v>70</v>
      </c>
      <c r="FR322" s="214" t="s">
        <v>530</v>
      </c>
      <c r="FT322" s="321" t="s">
        <v>21184</v>
      </c>
      <c r="FU322" s="214" t="s">
        <v>148</v>
      </c>
      <c r="FV322" s="214" t="s">
        <v>70</v>
      </c>
      <c r="FW322" s="214" t="s">
        <v>530</v>
      </c>
      <c r="FY322" s="321" t="s">
        <v>21185</v>
      </c>
      <c r="FZ322" s="214" t="s">
        <v>468</v>
      </c>
      <c r="GA322" s="214" t="s">
        <v>70</v>
      </c>
      <c r="GB322" s="214" t="s">
        <v>530</v>
      </c>
      <c r="GD322" s="321" t="s">
        <v>21186</v>
      </c>
      <c r="GE322" s="214" t="s">
        <v>34629</v>
      </c>
      <c r="GF322" s="214" t="s">
        <v>70</v>
      </c>
      <c r="GG322" s="214" t="s">
        <v>530</v>
      </c>
      <c r="GI322" s="321" t="s">
        <v>21187</v>
      </c>
      <c r="GJ322" s="214" t="s">
        <v>88</v>
      </c>
      <c r="GK322" s="214" t="s">
        <v>70</v>
      </c>
      <c r="GL322" s="214" t="s">
        <v>530</v>
      </c>
      <c r="GN322" s="321" t="s">
        <v>21188</v>
      </c>
      <c r="GO322" s="214" t="s">
        <v>87</v>
      </c>
      <c r="GP322" s="214" t="s">
        <v>70</v>
      </c>
      <c r="GQ322" s="214" t="s">
        <v>530</v>
      </c>
      <c r="GS322" s="321" t="s">
        <v>21189</v>
      </c>
      <c r="GT322" s="214" t="s">
        <v>148</v>
      </c>
      <c r="GU322" s="214" t="s">
        <v>70</v>
      </c>
      <c r="GV322" s="214" t="s">
        <v>530</v>
      </c>
      <c r="GX322" s="214" t="s">
        <v>21190</v>
      </c>
      <c r="GY322" s="214" t="s">
        <v>34536</v>
      </c>
      <c r="GZ322" s="214" t="s">
        <v>70</v>
      </c>
      <c r="HA322" s="214" t="s">
        <v>530</v>
      </c>
      <c r="HC322" s="214" t="s">
        <v>21191</v>
      </c>
      <c r="HD322" s="214" t="s">
        <v>34572</v>
      </c>
      <c r="HE322" s="214" t="s">
        <v>70</v>
      </c>
      <c r="HF322" s="214" t="s">
        <v>530</v>
      </c>
      <c r="HH322" s="214" t="s">
        <v>21192</v>
      </c>
      <c r="HI322" s="214" t="s">
        <v>52</v>
      </c>
      <c r="HJ322" s="214" t="s">
        <v>70</v>
      </c>
      <c r="HK322" s="214" t="s">
        <v>530</v>
      </c>
      <c r="HM322" s="214" t="s">
        <v>21193</v>
      </c>
      <c r="HN322" s="214" t="s">
        <v>205</v>
      </c>
      <c r="HO322" s="214" t="s">
        <v>70</v>
      </c>
      <c r="HP322" s="214" t="s">
        <v>530</v>
      </c>
      <c r="HR322" s="22" t="s">
        <v>21194</v>
      </c>
      <c r="HS322" s="22" t="s">
        <v>34558</v>
      </c>
      <c r="HT322" s="22" t="s">
        <v>70</v>
      </c>
      <c r="HU322" s="214" t="s">
        <v>530</v>
      </c>
      <c r="HW322" s="22" t="s">
        <v>21195</v>
      </c>
      <c r="HX322" s="22" t="s">
        <v>34579</v>
      </c>
      <c r="HY322" s="22" t="s">
        <v>70</v>
      </c>
      <c r="HZ322" s="214" t="s">
        <v>530</v>
      </c>
      <c r="IB322" s="22" t="s">
        <v>21196</v>
      </c>
      <c r="IC322" s="22" t="s">
        <v>52</v>
      </c>
      <c r="ID322" s="22" t="s">
        <v>70</v>
      </c>
      <c r="IE322" s="214" t="s">
        <v>530</v>
      </c>
      <c r="IG322" s="22" t="s">
        <v>21197</v>
      </c>
      <c r="IH322" s="22" t="s">
        <v>52</v>
      </c>
      <c r="II322" s="22" t="s">
        <v>70</v>
      </c>
      <c r="IJ322" s="214" t="s">
        <v>530</v>
      </c>
      <c r="IL322" s="22" t="s">
        <v>21198</v>
      </c>
      <c r="IM322" s="22" t="s">
        <v>145</v>
      </c>
      <c r="IN322" s="22" t="s">
        <v>70</v>
      </c>
      <c r="IO322" s="214" t="s">
        <v>530</v>
      </c>
      <c r="IQ322" s="236" t="s">
        <v>21199</v>
      </c>
      <c r="IR322" s="236" t="s">
        <v>145</v>
      </c>
      <c r="IS322" s="236" t="s">
        <v>74</v>
      </c>
      <c r="IT322" s="236" t="s">
        <v>841</v>
      </c>
      <c r="IV322" s="236" t="s">
        <v>21200</v>
      </c>
      <c r="IW322" s="236" t="s">
        <v>145</v>
      </c>
      <c r="IX322" s="236" t="s">
        <v>74</v>
      </c>
      <c r="IY322" s="236" t="s">
        <v>841</v>
      </c>
      <c r="JA322" s="236" t="s">
        <v>21201</v>
      </c>
      <c r="JB322" s="236" t="s">
        <v>145</v>
      </c>
      <c r="JC322" s="236" t="s">
        <v>74</v>
      </c>
      <c r="JD322" s="236" t="s">
        <v>841</v>
      </c>
      <c r="JF322" s="236" t="s">
        <v>21202</v>
      </c>
      <c r="JG322" s="236" t="s">
        <v>145</v>
      </c>
      <c r="JH322" s="236" t="s">
        <v>74</v>
      </c>
      <c r="JI322" s="236" t="s">
        <v>841</v>
      </c>
      <c r="JK322" s="236" t="s">
        <v>21203</v>
      </c>
      <c r="JL322" s="236" t="s">
        <v>145</v>
      </c>
      <c r="JM322" s="236" t="s">
        <v>74</v>
      </c>
      <c r="JN322" s="236" t="s">
        <v>841</v>
      </c>
      <c r="JP322" s="236" t="s">
        <v>21204</v>
      </c>
      <c r="JQ322" s="236" t="s">
        <v>145</v>
      </c>
      <c r="JR322" s="236" t="s">
        <v>74</v>
      </c>
      <c r="JS322" s="236" t="s">
        <v>841</v>
      </c>
      <c r="JU322" s="294" t="s">
        <v>21205</v>
      </c>
      <c r="JV322" s="294" t="s">
        <v>52</v>
      </c>
      <c r="JW322" s="263" t="s">
        <v>70</v>
      </c>
      <c r="JX322" s="294" t="s">
        <v>1083</v>
      </c>
      <c r="JZ322" s="263" t="s">
        <v>21206</v>
      </c>
      <c r="KA322" s="263" t="s">
        <v>145</v>
      </c>
      <c r="KB322" s="263" t="s">
        <v>70</v>
      </c>
      <c r="KC322" s="263" t="s">
        <v>1083</v>
      </c>
      <c r="KE322" s="263" t="s">
        <v>21207</v>
      </c>
      <c r="KF322" s="263" t="s">
        <v>52</v>
      </c>
      <c r="KG322" s="263" t="s">
        <v>70</v>
      </c>
      <c r="KH322" s="263" t="s">
        <v>1083</v>
      </c>
      <c r="KJ322" s="263" t="s">
        <v>21208</v>
      </c>
      <c r="KK322" s="263" t="s">
        <v>52</v>
      </c>
      <c r="KL322" s="263" t="s">
        <v>74</v>
      </c>
      <c r="KM322" s="263" t="s">
        <v>34074</v>
      </c>
      <c r="KO322" s="214" t="s">
        <v>21209</v>
      </c>
      <c r="KP322" s="214" t="s">
        <v>145</v>
      </c>
      <c r="KQ322" s="214" t="s">
        <v>70</v>
      </c>
      <c r="KR322" s="214" t="s">
        <v>67</v>
      </c>
      <c r="KT322" s="22" t="s">
        <v>21210</v>
      </c>
      <c r="KU322" s="22" t="s">
        <v>145</v>
      </c>
      <c r="KV322" s="22" t="s">
        <v>70</v>
      </c>
      <c r="KW322" s="22" t="s">
        <v>67</v>
      </c>
      <c r="KY322" s="214" t="s">
        <v>21211</v>
      </c>
      <c r="KZ322" s="214" t="s">
        <v>52</v>
      </c>
      <c r="LA322" s="214" t="s">
        <v>74</v>
      </c>
      <c r="LB322" s="214" t="s">
        <v>67</v>
      </c>
      <c r="LD322" s="22" t="s">
        <v>21212</v>
      </c>
      <c r="LE322" s="22" t="s">
        <v>145</v>
      </c>
      <c r="LF322" s="22" t="s">
        <v>70</v>
      </c>
      <c r="LG322" s="22" t="s">
        <v>67</v>
      </c>
    </row>
    <row r="323" spans="1:319">
      <c r="A323" s="22" t="s">
        <v>21213</v>
      </c>
      <c r="B323" s="22" t="s">
        <v>145</v>
      </c>
      <c r="C323" s="22" t="s">
        <v>70</v>
      </c>
      <c r="D323" s="22" t="s">
        <v>67</v>
      </c>
      <c r="F323" s="99" t="s">
        <v>21214</v>
      </c>
      <c r="G323" s="22" t="s">
        <v>145</v>
      </c>
      <c r="H323" s="22" t="s">
        <v>70</v>
      </c>
      <c r="I323" s="22" t="s">
        <v>67</v>
      </c>
      <c r="K323" s="22" t="s">
        <v>21215</v>
      </c>
      <c r="L323" s="22" t="s">
        <v>145</v>
      </c>
      <c r="M323" s="22" t="s">
        <v>70</v>
      </c>
      <c r="N323" s="22" t="s">
        <v>67</v>
      </c>
      <c r="P323" s="22" t="s">
        <v>21216</v>
      </c>
      <c r="Q323" s="22" t="s">
        <v>145</v>
      </c>
      <c r="R323" s="22" t="s">
        <v>70</v>
      </c>
      <c r="S323" s="22" t="s">
        <v>67</v>
      </c>
      <c r="U323" s="293" t="s">
        <v>21217</v>
      </c>
      <c r="V323" s="293" t="s">
        <v>145</v>
      </c>
      <c r="W323" s="293" t="s">
        <v>74</v>
      </c>
      <c r="X323" s="293" t="s">
        <v>656</v>
      </c>
      <c r="Z323" s="293" t="s">
        <v>21218</v>
      </c>
      <c r="AA323" s="293" t="s">
        <v>145</v>
      </c>
      <c r="AB323" s="293" t="s">
        <v>74</v>
      </c>
      <c r="AC323" s="293" t="s">
        <v>656</v>
      </c>
      <c r="AE323" s="293" t="s">
        <v>21219</v>
      </c>
      <c r="AF323" s="293" t="s">
        <v>145</v>
      </c>
      <c r="AG323" s="293" t="s">
        <v>74</v>
      </c>
      <c r="AH323" s="293" t="s">
        <v>656</v>
      </c>
      <c r="AJ323" s="293" t="s">
        <v>21220</v>
      </c>
      <c r="AK323" s="293" t="s">
        <v>145</v>
      </c>
      <c r="AL323" s="293" t="s">
        <v>74</v>
      </c>
      <c r="AM323" s="293" t="s">
        <v>656</v>
      </c>
      <c r="AO323" s="22" t="s">
        <v>21221</v>
      </c>
      <c r="AP323" s="22" t="s">
        <v>145</v>
      </c>
      <c r="AQ323" s="22" t="s">
        <v>70</v>
      </c>
      <c r="AR323" s="22" t="s">
        <v>67</v>
      </c>
      <c r="AT323" s="22" t="s">
        <v>21222</v>
      </c>
      <c r="AU323" s="22" t="s">
        <v>145</v>
      </c>
      <c r="AV323" s="22" t="s">
        <v>70</v>
      </c>
      <c r="AW323" s="22" t="s">
        <v>67</v>
      </c>
      <c r="AY323" s="22" t="s">
        <v>21223</v>
      </c>
      <c r="AZ323" s="22" t="s">
        <v>145</v>
      </c>
      <c r="BA323" s="22" t="s">
        <v>70</v>
      </c>
      <c r="BB323" s="22" t="s">
        <v>67</v>
      </c>
      <c r="BD323" s="22" t="s">
        <v>21224</v>
      </c>
      <c r="BE323" s="22" t="s">
        <v>145</v>
      </c>
      <c r="BF323" s="22" t="s">
        <v>70</v>
      </c>
      <c r="BG323" s="22" t="s">
        <v>67</v>
      </c>
      <c r="BI323" s="22" t="s">
        <v>21225</v>
      </c>
      <c r="BJ323" s="22" t="s">
        <v>145</v>
      </c>
      <c r="BK323" s="22" t="s">
        <v>70</v>
      </c>
      <c r="BL323" s="22" t="s">
        <v>67</v>
      </c>
      <c r="BN323" s="22" t="s">
        <v>21226</v>
      </c>
      <c r="BO323" s="22" t="s">
        <v>145</v>
      </c>
      <c r="BP323" s="22" t="s">
        <v>70</v>
      </c>
      <c r="BQ323" s="22" t="s">
        <v>67</v>
      </c>
      <c r="BS323" s="22" t="s">
        <v>21227</v>
      </c>
      <c r="BT323" s="22" t="s">
        <v>145</v>
      </c>
      <c r="BU323" s="22" t="s">
        <v>70</v>
      </c>
      <c r="BV323" s="214" t="s">
        <v>530</v>
      </c>
      <c r="BX323" s="22" t="s">
        <v>21228</v>
      </c>
      <c r="BY323" s="22" t="s">
        <v>145</v>
      </c>
      <c r="BZ323" s="22" t="s">
        <v>70</v>
      </c>
      <c r="CA323" s="214" t="s">
        <v>530</v>
      </c>
      <c r="CC323" s="214" t="s">
        <v>21229</v>
      </c>
      <c r="CD323" s="218" t="s">
        <v>601</v>
      </c>
      <c r="CE323" s="214" t="s">
        <v>70</v>
      </c>
      <c r="CF323" s="214" t="s">
        <v>34129</v>
      </c>
      <c r="CH323" s="214" t="s">
        <v>21230</v>
      </c>
      <c r="CI323" s="214" t="s">
        <v>951</v>
      </c>
      <c r="CJ323" s="214" t="s">
        <v>70</v>
      </c>
      <c r="CK323" s="214" t="s">
        <v>530</v>
      </c>
      <c r="CM323" s="214" t="s">
        <v>21231</v>
      </c>
      <c r="CN323" s="214" t="s">
        <v>34551</v>
      </c>
      <c r="CO323" s="214" t="s">
        <v>70</v>
      </c>
      <c r="CP323" s="214" t="s">
        <v>530</v>
      </c>
      <c r="CR323" s="214" t="s">
        <v>21232</v>
      </c>
      <c r="CS323" s="214" t="s">
        <v>86</v>
      </c>
      <c r="CT323" s="214" t="s">
        <v>70</v>
      </c>
      <c r="CU323" s="214" t="s">
        <v>530</v>
      </c>
      <c r="CW323" s="214" t="s">
        <v>21233</v>
      </c>
      <c r="CX323" s="214" t="s">
        <v>34540</v>
      </c>
      <c r="CY323" s="214" t="s">
        <v>70</v>
      </c>
      <c r="CZ323" s="214" t="s">
        <v>530</v>
      </c>
      <c r="DB323" s="214" t="s">
        <v>21234</v>
      </c>
      <c r="DC323" s="214" t="s">
        <v>93</v>
      </c>
      <c r="DD323" s="214" t="s">
        <v>70</v>
      </c>
      <c r="DE323" s="214" t="s">
        <v>530</v>
      </c>
      <c r="DG323" s="214" t="s">
        <v>21235</v>
      </c>
      <c r="DH323" s="214" t="s">
        <v>502</v>
      </c>
      <c r="DI323" s="214" t="s">
        <v>70</v>
      </c>
      <c r="DJ323" s="214" t="s">
        <v>530</v>
      </c>
      <c r="DL323" s="214" t="s">
        <v>21236</v>
      </c>
      <c r="DM323" s="214" t="s">
        <v>34555</v>
      </c>
      <c r="DN323" s="214" t="s">
        <v>70</v>
      </c>
      <c r="DO323" s="214" t="s">
        <v>530</v>
      </c>
      <c r="DQ323" s="214" t="s">
        <v>21237</v>
      </c>
      <c r="DR323" s="214" t="s">
        <v>146</v>
      </c>
      <c r="DS323" s="214" t="s">
        <v>70</v>
      </c>
      <c r="DT323" s="214" t="s">
        <v>530</v>
      </c>
      <c r="DV323" s="214" t="s">
        <v>21238</v>
      </c>
      <c r="DW323" s="214" t="s">
        <v>601</v>
      </c>
      <c r="DX323" s="214" t="s">
        <v>70</v>
      </c>
      <c r="DY323" s="214" t="s">
        <v>530</v>
      </c>
      <c r="EA323" s="214" t="s">
        <v>21239</v>
      </c>
      <c r="EB323" s="214" t="s">
        <v>484</v>
      </c>
      <c r="EC323" s="214" t="s">
        <v>70</v>
      </c>
      <c r="ED323" s="214" t="s">
        <v>530</v>
      </c>
      <c r="EF323" s="214" t="s">
        <v>21240</v>
      </c>
      <c r="EG323" s="214" t="s">
        <v>486</v>
      </c>
      <c r="EH323" s="214" t="s">
        <v>70</v>
      </c>
      <c r="EI323" s="214" t="s">
        <v>530</v>
      </c>
      <c r="EK323" s="214" t="s">
        <v>21241</v>
      </c>
      <c r="EL323" s="214" t="s">
        <v>484</v>
      </c>
      <c r="EM323" s="214" t="s">
        <v>70</v>
      </c>
      <c r="EN323" s="214" t="s">
        <v>530</v>
      </c>
      <c r="EP323" s="214" t="s">
        <v>21242</v>
      </c>
      <c r="EQ323" s="214" t="s">
        <v>203</v>
      </c>
      <c r="ER323" s="214" t="s">
        <v>70</v>
      </c>
      <c r="ES323" s="214" t="s">
        <v>530</v>
      </c>
      <c r="EU323" s="214" t="s">
        <v>21243</v>
      </c>
      <c r="EV323" s="214" t="s">
        <v>146</v>
      </c>
      <c r="EW323" s="214" t="s">
        <v>70</v>
      </c>
      <c r="EX323" s="214" t="s">
        <v>530</v>
      </c>
      <c r="EZ323" s="214" t="s">
        <v>21244</v>
      </c>
      <c r="FA323" s="214" t="s">
        <v>34541</v>
      </c>
      <c r="FB323" s="214" t="s">
        <v>70</v>
      </c>
      <c r="FC323" s="214" t="s">
        <v>530</v>
      </c>
      <c r="FE323" s="214" t="s">
        <v>21245</v>
      </c>
      <c r="FF323" s="214" t="s">
        <v>34553</v>
      </c>
      <c r="FG323" s="214" t="s">
        <v>70</v>
      </c>
      <c r="FH323" s="214" t="s">
        <v>530</v>
      </c>
      <c r="FJ323" s="321" t="s">
        <v>21246</v>
      </c>
      <c r="FK323" s="214" t="s">
        <v>203</v>
      </c>
      <c r="FL323" s="214" t="s">
        <v>70</v>
      </c>
      <c r="FM323" s="214" t="s">
        <v>530</v>
      </c>
      <c r="FO323" s="321" t="s">
        <v>21247</v>
      </c>
      <c r="FP323" s="214" t="s">
        <v>287</v>
      </c>
      <c r="FQ323" s="214" t="s">
        <v>70</v>
      </c>
      <c r="FR323" s="214" t="s">
        <v>530</v>
      </c>
      <c r="FT323" s="321" t="s">
        <v>21248</v>
      </c>
      <c r="FU323" s="214" t="s">
        <v>497</v>
      </c>
      <c r="FV323" s="214" t="s">
        <v>70</v>
      </c>
      <c r="FW323" s="214" t="s">
        <v>530</v>
      </c>
      <c r="FY323" s="321" t="s">
        <v>21249</v>
      </c>
      <c r="FZ323" s="214" t="s">
        <v>488</v>
      </c>
      <c r="GA323" s="214" t="s">
        <v>70</v>
      </c>
      <c r="GB323" s="214" t="s">
        <v>530</v>
      </c>
      <c r="GD323" s="321" t="s">
        <v>21250</v>
      </c>
      <c r="GE323" s="214" t="s">
        <v>34558</v>
      </c>
      <c r="GF323" s="214" t="s">
        <v>70</v>
      </c>
      <c r="GG323" s="214" t="s">
        <v>530</v>
      </c>
      <c r="GI323" s="321" t="s">
        <v>21251</v>
      </c>
      <c r="GJ323" s="214" t="s">
        <v>488</v>
      </c>
      <c r="GK323" s="214" t="s">
        <v>70</v>
      </c>
      <c r="GL323" s="214" t="s">
        <v>530</v>
      </c>
      <c r="GN323" s="321" t="s">
        <v>21252</v>
      </c>
      <c r="GO323" s="214" t="s">
        <v>52</v>
      </c>
      <c r="GP323" s="214" t="s">
        <v>70</v>
      </c>
      <c r="GQ323" s="214" t="s">
        <v>530</v>
      </c>
      <c r="GS323" s="321" t="s">
        <v>21253</v>
      </c>
      <c r="GT323" s="214" t="s">
        <v>950</v>
      </c>
      <c r="GU323" s="214" t="s">
        <v>70</v>
      </c>
      <c r="GV323" s="214" t="s">
        <v>530</v>
      </c>
      <c r="GX323" s="214" t="s">
        <v>21254</v>
      </c>
      <c r="GY323" s="214" t="s">
        <v>34542</v>
      </c>
      <c r="GZ323" s="214" t="s">
        <v>70</v>
      </c>
      <c r="HA323" s="214" t="s">
        <v>530</v>
      </c>
      <c r="HC323" s="214" t="s">
        <v>21255</v>
      </c>
      <c r="HD323" s="214" t="s">
        <v>502</v>
      </c>
      <c r="HE323" s="214" t="s">
        <v>70</v>
      </c>
      <c r="HF323" s="214" t="s">
        <v>530</v>
      </c>
      <c r="HH323" s="214" t="s">
        <v>21256</v>
      </c>
      <c r="HI323" s="214" t="s">
        <v>34516</v>
      </c>
      <c r="HJ323" s="214" t="s">
        <v>70</v>
      </c>
      <c r="HK323" s="214" t="s">
        <v>530</v>
      </c>
      <c r="HM323" s="214" t="s">
        <v>21257</v>
      </c>
      <c r="HN323" s="214" t="s">
        <v>910</v>
      </c>
      <c r="HO323" s="214" t="s">
        <v>70</v>
      </c>
      <c r="HP323" s="214" t="s">
        <v>530</v>
      </c>
      <c r="HR323" s="22" t="s">
        <v>21258</v>
      </c>
      <c r="HS323" s="22" t="s">
        <v>649</v>
      </c>
      <c r="HT323" s="22" t="s">
        <v>70</v>
      </c>
      <c r="HU323" s="214" t="s">
        <v>530</v>
      </c>
      <c r="HW323" s="22" t="s">
        <v>21259</v>
      </c>
      <c r="HX323" s="22" t="s">
        <v>491</v>
      </c>
      <c r="HY323" s="22" t="s">
        <v>70</v>
      </c>
      <c r="HZ323" s="214" t="s">
        <v>530</v>
      </c>
      <c r="IB323" s="22" t="s">
        <v>21260</v>
      </c>
      <c r="IC323" s="22" t="s">
        <v>950</v>
      </c>
      <c r="ID323" s="22" t="s">
        <v>70</v>
      </c>
      <c r="IE323" s="214" t="s">
        <v>530</v>
      </c>
      <c r="IG323" s="22" t="s">
        <v>21261</v>
      </c>
      <c r="IH323" s="22" t="s">
        <v>52</v>
      </c>
      <c r="II323" s="22" t="s">
        <v>70</v>
      </c>
      <c r="IJ323" s="214" t="s">
        <v>530</v>
      </c>
      <c r="IL323" s="22" t="s">
        <v>21262</v>
      </c>
      <c r="IM323" s="22" t="s">
        <v>145</v>
      </c>
      <c r="IN323" s="22" t="s">
        <v>70</v>
      </c>
      <c r="IO323" s="214" t="s">
        <v>530</v>
      </c>
      <c r="IQ323" s="236" t="s">
        <v>21263</v>
      </c>
      <c r="IR323" s="236" t="s">
        <v>145</v>
      </c>
      <c r="IS323" s="236" t="s">
        <v>74</v>
      </c>
      <c r="IT323" s="236" t="s">
        <v>841</v>
      </c>
      <c r="IV323" s="236" t="s">
        <v>21264</v>
      </c>
      <c r="IW323" s="236" t="s">
        <v>145</v>
      </c>
      <c r="IX323" s="236" t="s">
        <v>74</v>
      </c>
      <c r="IY323" s="236" t="s">
        <v>841</v>
      </c>
      <c r="JA323" s="236" t="s">
        <v>21265</v>
      </c>
      <c r="JB323" s="236" t="s">
        <v>145</v>
      </c>
      <c r="JC323" s="236" t="s">
        <v>74</v>
      </c>
      <c r="JD323" s="236" t="s">
        <v>841</v>
      </c>
      <c r="JF323" s="236" t="s">
        <v>21266</v>
      </c>
      <c r="JG323" s="236" t="s">
        <v>145</v>
      </c>
      <c r="JH323" s="236" t="s">
        <v>74</v>
      </c>
      <c r="JI323" s="236" t="s">
        <v>841</v>
      </c>
      <c r="JK323" s="236" t="s">
        <v>21267</v>
      </c>
      <c r="JL323" s="236" t="s">
        <v>145</v>
      </c>
      <c r="JM323" s="236" t="s">
        <v>74</v>
      </c>
      <c r="JN323" s="236" t="s">
        <v>841</v>
      </c>
      <c r="JP323" s="236" t="s">
        <v>21268</v>
      </c>
      <c r="JQ323" s="236" t="s">
        <v>145</v>
      </c>
      <c r="JR323" s="236" t="s">
        <v>74</v>
      </c>
      <c r="JS323" s="236" t="s">
        <v>841</v>
      </c>
      <c r="JU323" s="294" t="s">
        <v>21269</v>
      </c>
      <c r="JV323" s="294" t="s">
        <v>52</v>
      </c>
      <c r="JW323" s="263" t="s">
        <v>70</v>
      </c>
      <c r="JX323" s="294" t="s">
        <v>1083</v>
      </c>
      <c r="JZ323" s="263" t="s">
        <v>21270</v>
      </c>
      <c r="KA323" s="263" t="s">
        <v>145</v>
      </c>
      <c r="KB323" s="263" t="s">
        <v>70</v>
      </c>
      <c r="KC323" s="263" t="s">
        <v>1083</v>
      </c>
      <c r="KE323" s="263" t="s">
        <v>21271</v>
      </c>
      <c r="KF323" s="263" t="s">
        <v>52</v>
      </c>
      <c r="KG323" s="263" t="s">
        <v>70</v>
      </c>
      <c r="KH323" s="263" t="s">
        <v>1083</v>
      </c>
      <c r="KJ323" s="263" t="s">
        <v>21272</v>
      </c>
      <c r="KK323" s="263" t="s">
        <v>52</v>
      </c>
      <c r="KL323" s="263" t="s">
        <v>74</v>
      </c>
      <c r="KM323" s="263" t="s">
        <v>34074</v>
      </c>
      <c r="KO323" s="214" t="s">
        <v>21273</v>
      </c>
      <c r="KP323" s="214" t="s">
        <v>145</v>
      </c>
      <c r="KQ323" s="214" t="s">
        <v>70</v>
      </c>
      <c r="KR323" s="214" t="s">
        <v>67</v>
      </c>
      <c r="KT323" s="22" t="s">
        <v>21274</v>
      </c>
      <c r="KU323" s="22" t="s">
        <v>145</v>
      </c>
      <c r="KV323" s="22" t="s">
        <v>70</v>
      </c>
      <c r="KW323" s="22" t="s">
        <v>67</v>
      </c>
      <c r="KY323" s="214" t="s">
        <v>21275</v>
      </c>
      <c r="KZ323" s="214" t="s">
        <v>52</v>
      </c>
      <c r="LA323" s="214" t="s">
        <v>74</v>
      </c>
      <c r="LB323" s="214" t="s">
        <v>67</v>
      </c>
      <c r="LD323" s="22" t="s">
        <v>21276</v>
      </c>
      <c r="LE323" s="22" t="s">
        <v>145</v>
      </c>
      <c r="LF323" s="22" t="s">
        <v>70</v>
      </c>
      <c r="LG323" s="22" t="s">
        <v>67</v>
      </c>
    </row>
    <row r="324" spans="1:319">
      <c r="A324" s="22" t="s">
        <v>21277</v>
      </c>
      <c r="B324" s="22" t="s">
        <v>145</v>
      </c>
      <c r="C324" s="22" t="s">
        <v>70</v>
      </c>
      <c r="D324" s="22" t="s">
        <v>67</v>
      </c>
      <c r="F324" s="99" t="s">
        <v>21278</v>
      </c>
      <c r="G324" s="22" t="s">
        <v>145</v>
      </c>
      <c r="H324" s="22" t="s">
        <v>70</v>
      </c>
      <c r="I324" s="22" t="s">
        <v>67</v>
      </c>
      <c r="K324" s="22" t="s">
        <v>21279</v>
      </c>
      <c r="L324" s="22" t="s">
        <v>145</v>
      </c>
      <c r="M324" s="22" t="s">
        <v>70</v>
      </c>
      <c r="N324" s="22" t="s">
        <v>67</v>
      </c>
      <c r="P324" s="22" t="s">
        <v>21280</v>
      </c>
      <c r="Q324" s="22" t="s">
        <v>145</v>
      </c>
      <c r="R324" s="22" t="s">
        <v>70</v>
      </c>
      <c r="S324" s="22" t="s">
        <v>67</v>
      </c>
      <c r="U324" s="293" t="s">
        <v>21281</v>
      </c>
      <c r="V324" s="293" t="s">
        <v>145</v>
      </c>
      <c r="W324" s="293" t="s">
        <v>74</v>
      </c>
      <c r="X324" s="293" t="s">
        <v>656</v>
      </c>
      <c r="Z324" s="293" t="s">
        <v>21282</v>
      </c>
      <c r="AA324" s="293" t="s">
        <v>145</v>
      </c>
      <c r="AB324" s="293" t="s">
        <v>74</v>
      </c>
      <c r="AC324" s="293" t="s">
        <v>656</v>
      </c>
      <c r="AE324" s="293" t="s">
        <v>21283</v>
      </c>
      <c r="AF324" s="293" t="s">
        <v>145</v>
      </c>
      <c r="AG324" s="293" t="s">
        <v>74</v>
      </c>
      <c r="AH324" s="293" t="s">
        <v>656</v>
      </c>
      <c r="AJ324" s="293" t="s">
        <v>21284</v>
      </c>
      <c r="AK324" s="293" t="s">
        <v>145</v>
      </c>
      <c r="AL324" s="293" t="s">
        <v>74</v>
      </c>
      <c r="AM324" s="293" t="s">
        <v>656</v>
      </c>
      <c r="AO324" s="22" t="s">
        <v>21285</v>
      </c>
      <c r="AP324" s="22" t="s">
        <v>145</v>
      </c>
      <c r="AQ324" s="22" t="s">
        <v>70</v>
      </c>
      <c r="AR324" s="22" t="s">
        <v>67</v>
      </c>
      <c r="AT324" s="22" t="s">
        <v>21286</v>
      </c>
      <c r="AU324" s="22" t="s">
        <v>145</v>
      </c>
      <c r="AV324" s="22" t="s">
        <v>70</v>
      </c>
      <c r="AW324" s="22" t="s">
        <v>67</v>
      </c>
      <c r="AY324" s="22" t="s">
        <v>21287</v>
      </c>
      <c r="AZ324" s="22" t="s">
        <v>145</v>
      </c>
      <c r="BA324" s="22" t="s">
        <v>70</v>
      </c>
      <c r="BB324" s="22" t="s">
        <v>67</v>
      </c>
      <c r="BD324" s="22" t="s">
        <v>21288</v>
      </c>
      <c r="BE324" s="22" t="s">
        <v>145</v>
      </c>
      <c r="BF324" s="22" t="s">
        <v>70</v>
      </c>
      <c r="BG324" s="22" t="s">
        <v>67</v>
      </c>
      <c r="BI324" s="22" t="s">
        <v>21289</v>
      </c>
      <c r="BJ324" s="22" t="s">
        <v>145</v>
      </c>
      <c r="BK324" s="22" t="s">
        <v>70</v>
      </c>
      <c r="BL324" s="22" t="s">
        <v>67</v>
      </c>
      <c r="BN324" s="22" t="s">
        <v>21290</v>
      </c>
      <c r="BO324" s="22" t="s">
        <v>145</v>
      </c>
      <c r="BP324" s="22" t="s">
        <v>70</v>
      </c>
      <c r="BQ324" s="22" t="s">
        <v>67</v>
      </c>
      <c r="BS324" s="22" t="s">
        <v>21291</v>
      </c>
      <c r="BT324" s="22" t="s">
        <v>145</v>
      </c>
      <c r="BU324" s="22" t="s">
        <v>70</v>
      </c>
      <c r="BV324" s="214" t="s">
        <v>530</v>
      </c>
      <c r="BX324" s="22" t="s">
        <v>21292</v>
      </c>
      <c r="BY324" s="22" t="s">
        <v>145</v>
      </c>
      <c r="BZ324" s="22" t="s">
        <v>70</v>
      </c>
      <c r="CA324" s="214" t="s">
        <v>530</v>
      </c>
      <c r="CC324" s="214" t="s">
        <v>21293</v>
      </c>
      <c r="CD324" s="218" t="s">
        <v>34608</v>
      </c>
      <c r="CE324" s="214" t="s">
        <v>70</v>
      </c>
      <c r="CF324" s="214" t="s">
        <v>34130</v>
      </c>
      <c r="CH324" s="214" t="s">
        <v>21294</v>
      </c>
      <c r="CI324" s="214" t="s">
        <v>148</v>
      </c>
      <c r="CJ324" s="214" t="s">
        <v>70</v>
      </c>
      <c r="CK324" s="214" t="s">
        <v>530</v>
      </c>
      <c r="CM324" s="214" t="s">
        <v>21295</v>
      </c>
      <c r="CN324" s="214" t="s">
        <v>34619</v>
      </c>
      <c r="CO324" s="214" t="s">
        <v>70</v>
      </c>
      <c r="CP324" s="214" t="s">
        <v>530</v>
      </c>
      <c r="CR324" s="214" t="s">
        <v>21296</v>
      </c>
      <c r="CS324" s="214" t="s">
        <v>52</v>
      </c>
      <c r="CT324" s="214" t="s">
        <v>70</v>
      </c>
      <c r="CU324" s="214" t="s">
        <v>530</v>
      </c>
      <c r="CW324" s="214" t="s">
        <v>21297</v>
      </c>
      <c r="CX324" s="214" t="s">
        <v>34545</v>
      </c>
      <c r="CY324" s="214" t="s">
        <v>70</v>
      </c>
      <c r="CZ324" s="214" t="s">
        <v>530</v>
      </c>
      <c r="DB324" s="214" t="s">
        <v>21298</v>
      </c>
      <c r="DC324" s="214" t="s">
        <v>305</v>
      </c>
      <c r="DD324" s="214" t="s">
        <v>70</v>
      </c>
      <c r="DE324" s="214" t="s">
        <v>530</v>
      </c>
      <c r="DG324" s="214" t="s">
        <v>21299</v>
      </c>
      <c r="DH324" s="214" t="s">
        <v>485</v>
      </c>
      <c r="DI324" s="214" t="s">
        <v>70</v>
      </c>
      <c r="DJ324" s="214" t="s">
        <v>530</v>
      </c>
      <c r="DL324" s="214" t="s">
        <v>21300</v>
      </c>
      <c r="DM324" s="214" t="s">
        <v>955</v>
      </c>
      <c r="DN324" s="214" t="s">
        <v>70</v>
      </c>
      <c r="DO324" s="214" t="s">
        <v>530</v>
      </c>
      <c r="DQ324" s="214" t="s">
        <v>21301</v>
      </c>
      <c r="DR324" s="214" t="s">
        <v>34073</v>
      </c>
      <c r="DS324" s="214" t="s">
        <v>70</v>
      </c>
      <c r="DT324" s="214" t="s">
        <v>530</v>
      </c>
      <c r="DV324" s="214" t="s">
        <v>21302</v>
      </c>
      <c r="DW324" s="214" t="s">
        <v>52</v>
      </c>
      <c r="DX324" s="214" t="s">
        <v>70</v>
      </c>
      <c r="DY324" s="214" t="s">
        <v>530</v>
      </c>
      <c r="EA324" s="214" t="s">
        <v>21303</v>
      </c>
      <c r="EB324" s="214" t="s">
        <v>34573</v>
      </c>
      <c r="EC324" s="214" t="s">
        <v>70</v>
      </c>
      <c r="ED324" s="214" t="s">
        <v>530</v>
      </c>
      <c r="EF324" s="214" t="s">
        <v>21304</v>
      </c>
      <c r="EG324" s="214" t="s">
        <v>103</v>
      </c>
      <c r="EH324" s="214" t="s">
        <v>70</v>
      </c>
      <c r="EI324" s="214" t="s">
        <v>530</v>
      </c>
      <c r="EK324" s="214" t="s">
        <v>21305</v>
      </c>
      <c r="EL324" s="214" t="s">
        <v>52</v>
      </c>
      <c r="EM324" s="214" t="s">
        <v>70</v>
      </c>
      <c r="EN324" s="214" t="s">
        <v>530</v>
      </c>
      <c r="EP324" s="214" t="s">
        <v>21306</v>
      </c>
      <c r="EQ324" s="214" t="s">
        <v>34213</v>
      </c>
      <c r="ER324" s="214" t="s">
        <v>70</v>
      </c>
      <c r="ES324" s="214" t="s">
        <v>530</v>
      </c>
      <c r="EU324" s="214" t="s">
        <v>21307</v>
      </c>
      <c r="EV324" s="214" t="s">
        <v>52</v>
      </c>
      <c r="EW324" s="214" t="s">
        <v>70</v>
      </c>
      <c r="EX324" s="214" t="s">
        <v>530</v>
      </c>
      <c r="EZ324" s="214" t="s">
        <v>21308</v>
      </c>
      <c r="FA324" s="214" t="s">
        <v>34537</v>
      </c>
      <c r="FB324" s="214" t="s">
        <v>70</v>
      </c>
      <c r="FC324" s="214" t="s">
        <v>530</v>
      </c>
      <c r="FE324" s="214" t="s">
        <v>21309</v>
      </c>
      <c r="FF324" s="214" t="s">
        <v>52</v>
      </c>
      <c r="FG324" s="214" t="s">
        <v>70</v>
      </c>
      <c r="FH324" s="214" t="s">
        <v>530</v>
      </c>
      <c r="FJ324" s="321" t="s">
        <v>21310</v>
      </c>
      <c r="FK324" s="214" t="s">
        <v>34630</v>
      </c>
      <c r="FL324" s="214" t="s">
        <v>70</v>
      </c>
      <c r="FM324" s="214" t="s">
        <v>530</v>
      </c>
      <c r="FO324" s="321" t="s">
        <v>21311</v>
      </c>
      <c r="FP324" s="214" t="s">
        <v>163</v>
      </c>
      <c r="FQ324" s="214" t="s">
        <v>70</v>
      </c>
      <c r="FR324" s="214" t="s">
        <v>530</v>
      </c>
      <c r="FT324" s="321" t="s">
        <v>21312</v>
      </c>
      <c r="FU324" s="214" t="s">
        <v>655</v>
      </c>
      <c r="FV324" s="214" t="s">
        <v>70</v>
      </c>
      <c r="FW324" s="214" t="s">
        <v>530</v>
      </c>
      <c r="FY324" s="321" t="s">
        <v>21313</v>
      </c>
      <c r="FZ324" s="214" t="s">
        <v>485</v>
      </c>
      <c r="GA324" s="214" t="s">
        <v>70</v>
      </c>
      <c r="GB324" s="214" t="s">
        <v>530</v>
      </c>
      <c r="GD324" s="321" t="s">
        <v>21314</v>
      </c>
      <c r="GE324" s="214" t="s">
        <v>52</v>
      </c>
      <c r="GF324" s="214" t="s">
        <v>70</v>
      </c>
      <c r="GG324" s="214" t="s">
        <v>530</v>
      </c>
      <c r="GI324" s="321" t="s">
        <v>21315</v>
      </c>
      <c r="GJ324" s="214" t="s">
        <v>939</v>
      </c>
      <c r="GK324" s="214" t="s">
        <v>70</v>
      </c>
      <c r="GL324" s="214" t="s">
        <v>530</v>
      </c>
      <c r="GN324" s="321" t="s">
        <v>21316</v>
      </c>
      <c r="GO324" s="214" t="s">
        <v>34579</v>
      </c>
      <c r="GP324" s="214" t="s">
        <v>70</v>
      </c>
      <c r="GQ324" s="214" t="s">
        <v>530</v>
      </c>
      <c r="GS324" s="321" t="s">
        <v>21317</v>
      </c>
      <c r="GT324" s="214" t="s">
        <v>10541</v>
      </c>
      <c r="GU324" s="214" t="s">
        <v>70</v>
      </c>
      <c r="GV324" s="214" t="s">
        <v>530</v>
      </c>
      <c r="GX324" s="214" t="s">
        <v>21318</v>
      </c>
      <c r="GY324" s="214" t="s">
        <v>148</v>
      </c>
      <c r="GZ324" s="214" t="s">
        <v>70</v>
      </c>
      <c r="HA324" s="214" t="s">
        <v>530</v>
      </c>
      <c r="HC324" s="214" t="s">
        <v>21319</v>
      </c>
      <c r="HD324" s="214" t="s">
        <v>529</v>
      </c>
      <c r="HE324" s="214" t="s">
        <v>70</v>
      </c>
      <c r="HF324" s="214" t="s">
        <v>530</v>
      </c>
      <c r="HH324" s="214" t="s">
        <v>21320</v>
      </c>
      <c r="HI324" s="214" t="s">
        <v>85</v>
      </c>
      <c r="HJ324" s="214" t="s">
        <v>70</v>
      </c>
      <c r="HK324" s="214" t="s">
        <v>530</v>
      </c>
      <c r="HM324" s="214" t="s">
        <v>21321</v>
      </c>
      <c r="HN324" s="214" t="s">
        <v>34551</v>
      </c>
      <c r="HO324" s="214" t="s">
        <v>70</v>
      </c>
      <c r="HP324" s="214" t="s">
        <v>530</v>
      </c>
      <c r="HR324" s="22" t="s">
        <v>21322</v>
      </c>
      <c r="HS324" s="22" t="s">
        <v>915</v>
      </c>
      <c r="HT324" s="22" t="s">
        <v>70</v>
      </c>
      <c r="HU324" s="214" t="s">
        <v>530</v>
      </c>
      <c r="HW324" s="22" t="s">
        <v>21323</v>
      </c>
      <c r="HX324" s="22" t="s">
        <v>52</v>
      </c>
      <c r="HY324" s="22" t="s">
        <v>70</v>
      </c>
      <c r="HZ324" s="214" t="s">
        <v>530</v>
      </c>
      <c r="IB324" s="22" t="s">
        <v>21324</v>
      </c>
      <c r="IC324" s="22" t="s">
        <v>34613</v>
      </c>
      <c r="ID324" s="22" t="s">
        <v>70</v>
      </c>
      <c r="IE324" s="214" t="s">
        <v>530</v>
      </c>
      <c r="IG324" s="22" t="s">
        <v>21325</v>
      </c>
      <c r="IH324" s="22" t="s">
        <v>52</v>
      </c>
      <c r="II324" s="22" t="s">
        <v>70</v>
      </c>
      <c r="IJ324" s="214" t="s">
        <v>530</v>
      </c>
      <c r="IL324" s="22" t="s">
        <v>21326</v>
      </c>
      <c r="IM324" s="22" t="s">
        <v>145</v>
      </c>
      <c r="IN324" s="22" t="s">
        <v>70</v>
      </c>
      <c r="IO324" s="214" t="s">
        <v>530</v>
      </c>
      <c r="IQ324" s="236" t="s">
        <v>21327</v>
      </c>
      <c r="IR324" s="236" t="s">
        <v>145</v>
      </c>
      <c r="IS324" s="236" t="s">
        <v>74</v>
      </c>
      <c r="IT324" s="236" t="s">
        <v>841</v>
      </c>
      <c r="IV324" s="236" t="s">
        <v>21328</v>
      </c>
      <c r="IW324" s="236" t="s">
        <v>145</v>
      </c>
      <c r="IX324" s="236" t="s">
        <v>74</v>
      </c>
      <c r="IY324" s="236" t="s">
        <v>841</v>
      </c>
      <c r="JA324" s="236" t="s">
        <v>21329</v>
      </c>
      <c r="JB324" s="236" t="s">
        <v>145</v>
      </c>
      <c r="JC324" s="236" t="s">
        <v>74</v>
      </c>
      <c r="JD324" s="236" t="s">
        <v>841</v>
      </c>
      <c r="JF324" s="236" t="s">
        <v>21330</v>
      </c>
      <c r="JG324" s="236" t="s">
        <v>145</v>
      </c>
      <c r="JH324" s="236" t="s">
        <v>74</v>
      </c>
      <c r="JI324" s="236" t="s">
        <v>841</v>
      </c>
      <c r="JK324" s="236" t="s">
        <v>21331</v>
      </c>
      <c r="JL324" s="236" t="s">
        <v>145</v>
      </c>
      <c r="JM324" s="236" t="s">
        <v>74</v>
      </c>
      <c r="JN324" s="236" t="s">
        <v>841</v>
      </c>
      <c r="JP324" s="236" t="s">
        <v>21332</v>
      </c>
      <c r="JQ324" s="236" t="s">
        <v>145</v>
      </c>
      <c r="JR324" s="236" t="s">
        <v>74</v>
      </c>
      <c r="JS324" s="236" t="s">
        <v>841</v>
      </c>
      <c r="JU324" s="294" t="s">
        <v>21333</v>
      </c>
      <c r="JV324" s="294" t="s">
        <v>52</v>
      </c>
      <c r="JW324" s="263" t="s">
        <v>70</v>
      </c>
      <c r="JX324" s="294" t="s">
        <v>1083</v>
      </c>
      <c r="JZ324" s="263" t="s">
        <v>21334</v>
      </c>
      <c r="KA324" s="263" t="s">
        <v>145</v>
      </c>
      <c r="KB324" s="263" t="s">
        <v>70</v>
      </c>
      <c r="KC324" s="263" t="s">
        <v>1083</v>
      </c>
      <c r="KE324" s="263" t="s">
        <v>21335</v>
      </c>
      <c r="KF324" s="263" t="s">
        <v>52</v>
      </c>
      <c r="KG324" s="263" t="s">
        <v>70</v>
      </c>
      <c r="KH324" s="263" t="s">
        <v>1083</v>
      </c>
      <c r="KJ324" s="263" t="s">
        <v>21336</v>
      </c>
      <c r="KK324" s="263" t="s">
        <v>52</v>
      </c>
      <c r="KL324" s="263" t="s">
        <v>74</v>
      </c>
      <c r="KM324" s="263" t="s">
        <v>34074</v>
      </c>
      <c r="KO324" s="214" t="s">
        <v>21337</v>
      </c>
      <c r="KP324" s="214" t="s">
        <v>145</v>
      </c>
      <c r="KQ324" s="214" t="s">
        <v>70</v>
      </c>
      <c r="KR324" s="214" t="s">
        <v>67</v>
      </c>
      <c r="KT324" s="22" t="s">
        <v>21338</v>
      </c>
      <c r="KU324" s="22" t="s">
        <v>145</v>
      </c>
      <c r="KV324" s="22" t="s">
        <v>70</v>
      </c>
      <c r="KW324" s="22" t="s">
        <v>67</v>
      </c>
      <c r="KY324" s="214" t="s">
        <v>21339</v>
      </c>
      <c r="KZ324" s="214" t="s">
        <v>52</v>
      </c>
      <c r="LA324" s="214" t="s">
        <v>74</v>
      </c>
      <c r="LB324" s="214" t="s">
        <v>67</v>
      </c>
      <c r="LD324" s="22" t="s">
        <v>21340</v>
      </c>
      <c r="LE324" s="22" t="s">
        <v>145</v>
      </c>
      <c r="LF324" s="22" t="s">
        <v>70</v>
      </c>
      <c r="LG324" s="22" t="s">
        <v>67</v>
      </c>
    </row>
    <row r="325" spans="1:319">
      <c r="A325" s="22" t="s">
        <v>21341</v>
      </c>
      <c r="B325" s="22" t="s">
        <v>145</v>
      </c>
      <c r="C325" s="22" t="s">
        <v>70</v>
      </c>
      <c r="D325" s="22" t="s">
        <v>67</v>
      </c>
      <c r="F325" s="99" t="s">
        <v>21342</v>
      </c>
      <c r="G325" s="22" t="s">
        <v>145</v>
      </c>
      <c r="H325" s="22" t="s">
        <v>70</v>
      </c>
      <c r="I325" s="22" t="s">
        <v>67</v>
      </c>
      <c r="K325" s="22" t="s">
        <v>21343</v>
      </c>
      <c r="L325" s="22" t="s">
        <v>145</v>
      </c>
      <c r="M325" s="22" t="s">
        <v>70</v>
      </c>
      <c r="N325" s="22" t="s">
        <v>67</v>
      </c>
      <c r="P325" s="22" t="s">
        <v>21344</v>
      </c>
      <c r="Q325" s="22" t="s">
        <v>145</v>
      </c>
      <c r="R325" s="22" t="s">
        <v>70</v>
      </c>
      <c r="S325" s="22" t="s">
        <v>67</v>
      </c>
      <c r="U325" s="293" t="s">
        <v>21345</v>
      </c>
      <c r="V325" s="293" t="s">
        <v>145</v>
      </c>
      <c r="W325" s="293" t="s">
        <v>74</v>
      </c>
      <c r="X325" s="293" t="s">
        <v>656</v>
      </c>
      <c r="Z325" s="293" t="s">
        <v>21346</v>
      </c>
      <c r="AA325" s="293" t="s">
        <v>145</v>
      </c>
      <c r="AB325" s="293" t="s">
        <v>74</v>
      </c>
      <c r="AC325" s="293" t="s">
        <v>656</v>
      </c>
      <c r="AE325" s="293" t="s">
        <v>21347</v>
      </c>
      <c r="AF325" s="293" t="s">
        <v>145</v>
      </c>
      <c r="AG325" s="293" t="s">
        <v>74</v>
      </c>
      <c r="AH325" s="293" t="s">
        <v>656</v>
      </c>
      <c r="AJ325" s="293" t="s">
        <v>21348</v>
      </c>
      <c r="AK325" s="293" t="s">
        <v>145</v>
      </c>
      <c r="AL325" s="293" t="s">
        <v>74</v>
      </c>
      <c r="AM325" s="293" t="s">
        <v>656</v>
      </c>
      <c r="AO325" s="22" t="s">
        <v>21349</v>
      </c>
      <c r="AP325" s="22" t="s">
        <v>145</v>
      </c>
      <c r="AQ325" s="22" t="s">
        <v>70</v>
      </c>
      <c r="AR325" s="22" t="s">
        <v>67</v>
      </c>
      <c r="AT325" s="22" t="s">
        <v>21350</v>
      </c>
      <c r="AU325" s="22" t="s">
        <v>145</v>
      </c>
      <c r="AV325" s="22" t="s">
        <v>70</v>
      </c>
      <c r="AW325" s="22" t="s">
        <v>67</v>
      </c>
      <c r="AY325" s="22" t="s">
        <v>21351</v>
      </c>
      <c r="AZ325" s="22" t="s">
        <v>145</v>
      </c>
      <c r="BA325" s="22" t="s">
        <v>70</v>
      </c>
      <c r="BB325" s="22" t="s">
        <v>67</v>
      </c>
      <c r="BD325" s="22" t="s">
        <v>21352</v>
      </c>
      <c r="BE325" s="22" t="s">
        <v>145</v>
      </c>
      <c r="BF325" s="22" t="s">
        <v>70</v>
      </c>
      <c r="BG325" s="22" t="s">
        <v>67</v>
      </c>
      <c r="BI325" s="22" t="s">
        <v>21353</v>
      </c>
      <c r="BJ325" s="22" t="s">
        <v>145</v>
      </c>
      <c r="BK325" s="22" t="s">
        <v>70</v>
      </c>
      <c r="BL325" s="22" t="s">
        <v>67</v>
      </c>
      <c r="BN325" s="22" t="s">
        <v>21354</v>
      </c>
      <c r="BO325" s="22" t="s">
        <v>145</v>
      </c>
      <c r="BP325" s="22" t="s">
        <v>70</v>
      </c>
      <c r="BQ325" s="22" t="s">
        <v>67</v>
      </c>
      <c r="BS325" s="22" t="s">
        <v>21355</v>
      </c>
      <c r="BT325" s="22" t="s">
        <v>145</v>
      </c>
      <c r="BU325" s="22" t="s">
        <v>70</v>
      </c>
      <c r="BV325" s="214" t="s">
        <v>530</v>
      </c>
      <c r="BX325" s="22" t="s">
        <v>21356</v>
      </c>
      <c r="BY325" s="22" t="s">
        <v>145</v>
      </c>
      <c r="BZ325" s="22" t="s">
        <v>70</v>
      </c>
      <c r="CA325" s="214" t="s">
        <v>530</v>
      </c>
      <c r="CC325" s="214" t="s">
        <v>21357</v>
      </c>
      <c r="CD325" s="218" t="s">
        <v>34607</v>
      </c>
      <c r="CE325" s="214" t="s">
        <v>70</v>
      </c>
      <c r="CF325" s="214" t="s">
        <v>34131</v>
      </c>
      <c r="CH325" s="214" t="s">
        <v>21358</v>
      </c>
      <c r="CI325" s="214" t="s">
        <v>599</v>
      </c>
      <c r="CJ325" s="214" t="s">
        <v>70</v>
      </c>
      <c r="CK325" s="214" t="s">
        <v>530</v>
      </c>
      <c r="CM325" s="214" t="s">
        <v>21359</v>
      </c>
      <c r="CN325" s="214" t="s">
        <v>491</v>
      </c>
      <c r="CO325" s="214" t="s">
        <v>70</v>
      </c>
      <c r="CP325" s="214" t="s">
        <v>530</v>
      </c>
      <c r="CR325" s="214" t="s">
        <v>21360</v>
      </c>
      <c r="CS325" s="214" t="s">
        <v>92</v>
      </c>
      <c r="CT325" s="214" t="s">
        <v>70</v>
      </c>
      <c r="CU325" s="214" t="s">
        <v>530</v>
      </c>
      <c r="CW325" s="214" t="s">
        <v>21361</v>
      </c>
      <c r="CX325" s="214" t="s">
        <v>34551</v>
      </c>
      <c r="CY325" s="214" t="s">
        <v>70</v>
      </c>
      <c r="CZ325" s="214" t="s">
        <v>530</v>
      </c>
      <c r="DB325" s="214" t="s">
        <v>21362</v>
      </c>
      <c r="DC325" s="214" t="s">
        <v>34557</v>
      </c>
      <c r="DD325" s="214" t="s">
        <v>70</v>
      </c>
      <c r="DE325" s="214" t="s">
        <v>530</v>
      </c>
      <c r="DG325" s="214" t="s">
        <v>21363</v>
      </c>
      <c r="DH325" s="214" t="s">
        <v>52</v>
      </c>
      <c r="DI325" s="214" t="s">
        <v>70</v>
      </c>
      <c r="DJ325" s="214" t="s">
        <v>530</v>
      </c>
      <c r="DL325" s="214" t="s">
        <v>21364</v>
      </c>
      <c r="DM325" s="214" t="s">
        <v>501</v>
      </c>
      <c r="DN325" s="214" t="s">
        <v>70</v>
      </c>
      <c r="DO325" s="214" t="s">
        <v>530</v>
      </c>
      <c r="DQ325" s="214" t="s">
        <v>21365</v>
      </c>
      <c r="DR325" s="214" t="s">
        <v>926</v>
      </c>
      <c r="DS325" s="214" t="s">
        <v>70</v>
      </c>
      <c r="DT325" s="214" t="s">
        <v>530</v>
      </c>
      <c r="DV325" s="214" t="s">
        <v>21366</v>
      </c>
      <c r="DW325" s="214" t="s">
        <v>502</v>
      </c>
      <c r="DX325" s="214" t="s">
        <v>70</v>
      </c>
      <c r="DY325" s="214" t="s">
        <v>530</v>
      </c>
      <c r="EA325" s="214" t="s">
        <v>21367</v>
      </c>
      <c r="EB325" s="214" t="s">
        <v>926</v>
      </c>
      <c r="EC325" s="214" t="s">
        <v>70</v>
      </c>
      <c r="ED325" s="214" t="s">
        <v>530</v>
      </c>
      <c r="EF325" s="214" t="s">
        <v>21368</v>
      </c>
      <c r="EG325" s="214" t="s">
        <v>599</v>
      </c>
      <c r="EH325" s="214" t="s">
        <v>70</v>
      </c>
      <c r="EI325" s="214" t="s">
        <v>530</v>
      </c>
      <c r="EK325" s="214" t="s">
        <v>21369</v>
      </c>
      <c r="EL325" s="214" t="s">
        <v>34540</v>
      </c>
      <c r="EM325" s="214" t="s">
        <v>70</v>
      </c>
      <c r="EN325" s="214" t="s">
        <v>530</v>
      </c>
      <c r="EP325" s="214" t="s">
        <v>21370</v>
      </c>
      <c r="EQ325" s="214" t="s">
        <v>490</v>
      </c>
      <c r="ER325" s="214" t="s">
        <v>70</v>
      </c>
      <c r="ES325" s="214" t="s">
        <v>530</v>
      </c>
      <c r="EU325" s="214" t="s">
        <v>21371</v>
      </c>
      <c r="EV325" s="214" t="s">
        <v>148</v>
      </c>
      <c r="EW325" s="214" t="s">
        <v>70</v>
      </c>
      <c r="EX325" s="214" t="s">
        <v>530</v>
      </c>
      <c r="EZ325" s="214" t="s">
        <v>21372</v>
      </c>
      <c r="FA325" s="214" t="s">
        <v>34405</v>
      </c>
      <c r="FB325" s="214" t="s">
        <v>70</v>
      </c>
      <c r="FC325" s="214" t="s">
        <v>530</v>
      </c>
      <c r="FE325" s="214" t="s">
        <v>21373</v>
      </c>
      <c r="FF325" s="214" t="s">
        <v>88</v>
      </c>
      <c r="FG325" s="214" t="s">
        <v>70</v>
      </c>
      <c r="FH325" s="214" t="s">
        <v>530</v>
      </c>
      <c r="FJ325" s="321" t="s">
        <v>21374</v>
      </c>
      <c r="FK325" s="214" t="s">
        <v>503</v>
      </c>
      <c r="FL325" s="214" t="s">
        <v>70</v>
      </c>
      <c r="FM325" s="214" t="s">
        <v>530</v>
      </c>
      <c r="FO325" s="321" t="s">
        <v>21375</v>
      </c>
      <c r="FP325" s="214" t="s">
        <v>950</v>
      </c>
      <c r="FQ325" s="214" t="s">
        <v>70</v>
      </c>
      <c r="FR325" s="214" t="s">
        <v>530</v>
      </c>
      <c r="FT325" s="321" t="s">
        <v>21376</v>
      </c>
      <c r="FU325" s="214" t="s">
        <v>34589</v>
      </c>
      <c r="FV325" s="214" t="s">
        <v>70</v>
      </c>
      <c r="FW325" s="214" t="s">
        <v>530</v>
      </c>
      <c r="FY325" s="321" t="s">
        <v>21377</v>
      </c>
      <c r="FZ325" s="214" t="s">
        <v>52</v>
      </c>
      <c r="GA325" s="214" t="s">
        <v>70</v>
      </c>
      <c r="GB325" s="214" t="s">
        <v>530</v>
      </c>
      <c r="GD325" s="321" t="s">
        <v>21378</v>
      </c>
      <c r="GE325" s="214" t="s">
        <v>955</v>
      </c>
      <c r="GF325" s="214" t="s">
        <v>70</v>
      </c>
      <c r="GG325" s="214" t="s">
        <v>530</v>
      </c>
      <c r="GI325" s="321" t="s">
        <v>21379</v>
      </c>
      <c r="GJ325" s="214" t="s">
        <v>491</v>
      </c>
      <c r="GK325" s="214" t="s">
        <v>70</v>
      </c>
      <c r="GL325" s="214" t="s">
        <v>530</v>
      </c>
      <c r="GN325" s="321" t="s">
        <v>21380</v>
      </c>
      <c r="GO325" s="214" t="s">
        <v>52</v>
      </c>
      <c r="GP325" s="214" t="s">
        <v>70</v>
      </c>
      <c r="GQ325" s="214" t="s">
        <v>530</v>
      </c>
      <c r="GS325" s="321" t="s">
        <v>21381</v>
      </c>
      <c r="GT325" s="214" t="s">
        <v>955</v>
      </c>
      <c r="GU325" s="214" t="s">
        <v>70</v>
      </c>
      <c r="GV325" s="214" t="s">
        <v>530</v>
      </c>
      <c r="GX325" s="214" t="s">
        <v>21382</v>
      </c>
      <c r="GY325" s="214" t="s">
        <v>34558</v>
      </c>
      <c r="GZ325" s="214" t="s">
        <v>70</v>
      </c>
      <c r="HA325" s="214" t="s">
        <v>530</v>
      </c>
      <c r="HC325" s="214" t="s">
        <v>21383</v>
      </c>
      <c r="HD325" s="214" t="s">
        <v>103</v>
      </c>
      <c r="HE325" s="214" t="s">
        <v>70</v>
      </c>
      <c r="HF325" s="214" t="s">
        <v>530</v>
      </c>
      <c r="HH325" s="214" t="s">
        <v>21384</v>
      </c>
      <c r="HI325" s="214" t="s">
        <v>485</v>
      </c>
      <c r="HJ325" s="214" t="s">
        <v>70</v>
      </c>
      <c r="HK325" s="214" t="s">
        <v>530</v>
      </c>
      <c r="HM325" s="214" t="s">
        <v>21385</v>
      </c>
      <c r="HN325" s="214" t="s">
        <v>34567</v>
      </c>
      <c r="HO325" s="214" t="s">
        <v>70</v>
      </c>
      <c r="HP325" s="214" t="s">
        <v>530</v>
      </c>
      <c r="HR325" s="22" t="s">
        <v>21386</v>
      </c>
      <c r="HS325" s="22" t="s">
        <v>148</v>
      </c>
      <c r="HT325" s="22" t="s">
        <v>70</v>
      </c>
      <c r="HU325" s="214" t="s">
        <v>530</v>
      </c>
      <c r="HW325" s="22" t="s">
        <v>21387</v>
      </c>
      <c r="HX325" s="22" t="s">
        <v>484</v>
      </c>
      <c r="HY325" s="22" t="s">
        <v>70</v>
      </c>
      <c r="HZ325" s="214" t="s">
        <v>530</v>
      </c>
      <c r="IB325" s="22" t="s">
        <v>21388</v>
      </c>
      <c r="IC325" s="22" t="s">
        <v>34543</v>
      </c>
      <c r="ID325" s="22" t="s">
        <v>70</v>
      </c>
      <c r="IE325" s="214" t="s">
        <v>530</v>
      </c>
      <c r="IG325" s="22" t="s">
        <v>21389</v>
      </c>
      <c r="IH325" s="22" t="s">
        <v>52</v>
      </c>
      <c r="II325" s="22" t="s">
        <v>70</v>
      </c>
      <c r="IJ325" s="214" t="s">
        <v>530</v>
      </c>
      <c r="IL325" s="22" t="s">
        <v>21390</v>
      </c>
      <c r="IM325" s="22" t="s">
        <v>145</v>
      </c>
      <c r="IN325" s="22" t="s">
        <v>70</v>
      </c>
      <c r="IO325" s="214" t="s">
        <v>530</v>
      </c>
      <c r="IQ325" s="236" t="s">
        <v>21391</v>
      </c>
      <c r="IR325" s="236" t="s">
        <v>145</v>
      </c>
      <c r="IS325" s="236" t="s">
        <v>74</v>
      </c>
      <c r="IT325" s="236" t="s">
        <v>841</v>
      </c>
      <c r="IV325" s="236" t="s">
        <v>21392</v>
      </c>
      <c r="IW325" s="236" t="s">
        <v>145</v>
      </c>
      <c r="IX325" s="236" t="s">
        <v>74</v>
      </c>
      <c r="IY325" s="236" t="s">
        <v>841</v>
      </c>
      <c r="JA325" s="236" t="s">
        <v>21393</v>
      </c>
      <c r="JB325" s="236" t="s">
        <v>145</v>
      </c>
      <c r="JC325" s="236" t="s">
        <v>74</v>
      </c>
      <c r="JD325" s="236" t="s">
        <v>841</v>
      </c>
      <c r="JF325" s="236" t="s">
        <v>21394</v>
      </c>
      <c r="JG325" s="236" t="s">
        <v>145</v>
      </c>
      <c r="JH325" s="236" t="s">
        <v>74</v>
      </c>
      <c r="JI325" s="236" t="s">
        <v>841</v>
      </c>
      <c r="JK325" s="236" t="s">
        <v>21395</v>
      </c>
      <c r="JL325" s="236" t="s">
        <v>145</v>
      </c>
      <c r="JM325" s="236" t="s">
        <v>74</v>
      </c>
      <c r="JN325" s="236" t="s">
        <v>841</v>
      </c>
      <c r="JP325" s="236" t="s">
        <v>21396</v>
      </c>
      <c r="JQ325" s="236" t="s">
        <v>145</v>
      </c>
      <c r="JR325" s="236" t="s">
        <v>74</v>
      </c>
      <c r="JS325" s="236" t="s">
        <v>841</v>
      </c>
      <c r="JU325" s="294" t="s">
        <v>21397</v>
      </c>
      <c r="JV325" s="294" t="s">
        <v>52</v>
      </c>
      <c r="JW325" s="263" t="s">
        <v>70</v>
      </c>
      <c r="JX325" s="294" t="s">
        <v>1083</v>
      </c>
      <c r="JZ325" s="263" t="s">
        <v>21398</v>
      </c>
      <c r="KA325" s="263" t="s">
        <v>145</v>
      </c>
      <c r="KB325" s="263" t="s">
        <v>70</v>
      </c>
      <c r="KC325" s="263" t="s">
        <v>1083</v>
      </c>
      <c r="KE325" s="263" t="s">
        <v>21399</v>
      </c>
      <c r="KF325" s="263" t="s">
        <v>52</v>
      </c>
      <c r="KG325" s="263" t="s">
        <v>70</v>
      </c>
      <c r="KH325" s="263" t="s">
        <v>1083</v>
      </c>
      <c r="KJ325" s="263" t="s">
        <v>21400</v>
      </c>
      <c r="KK325" s="263" t="s">
        <v>52</v>
      </c>
      <c r="KL325" s="263" t="s">
        <v>74</v>
      </c>
      <c r="KM325" s="263" t="s">
        <v>34074</v>
      </c>
      <c r="KO325" s="214" t="s">
        <v>21401</v>
      </c>
      <c r="KP325" s="214" t="s">
        <v>145</v>
      </c>
      <c r="KQ325" s="214" t="s">
        <v>70</v>
      </c>
      <c r="KR325" s="214" t="s">
        <v>67</v>
      </c>
      <c r="KT325" s="22" t="s">
        <v>21402</v>
      </c>
      <c r="KU325" s="22" t="s">
        <v>145</v>
      </c>
      <c r="KV325" s="22" t="s">
        <v>70</v>
      </c>
      <c r="KW325" s="22" t="s">
        <v>67</v>
      </c>
      <c r="KY325" s="214" t="s">
        <v>21403</v>
      </c>
      <c r="KZ325" s="214" t="s">
        <v>52</v>
      </c>
      <c r="LA325" s="214" t="s">
        <v>74</v>
      </c>
      <c r="LB325" s="214" t="s">
        <v>67</v>
      </c>
      <c r="LD325" s="22" t="s">
        <v>21404</v>
      </c>
      <c r="LE325" s="22" t="s">
        <v>145</v>
      </c>
      <c r="LF325" s="22" t="s">
        <v>70</v>
      </c>
      <c r="LG325" s="22" t="s">
        <v>67</v>
      </c>
    </row>
    <row r="326" spans="1:319">
      <c r="A326" s="22" t="s">
        <v>21405</v>
      </c>
      <c r="B326" s="22" t="s">
        <v>145</v>
      </c>
      <c r="C326" s="22" t="s">
        <v>70</v>
      </c>
      <c r="D326" s="22" t="s">
        <v>67</v>
      </c>
      <c r="F326" s="99" t="s">
        <v>21406</v>
      </c>
      <c r="G326" s="22" t="s">
        <v>145</v>
      </c>
      <c r="H326" s="22" t="s">
        <v>70</v>
      </c>
      <c r="I326" s="22" t="s">
        <v>67</v>
      </c>
      <c r="K326" s="22" t="s">
        <v>21407</v>
      </c>
      <c r="L326" s="22" t="s">
        <v>145</v>
      </c>
      <c r="M326" s="22" t="s">
        <v>70</v>
      </c>
      <c r="N326" s="22" t="s">
        <v>67</v>
      </c>
      <c r="P326" s="22" t="s">
        <v>21408</v>
      </c>
      <c r="Q326" s="22" t="s">
        <v>145</v>
      </c>
      <c r="R326" s="22" t="s">
        <v>70</v>
      </c>
      <c r="S326" s="22" t="s">
        <v>67</v>
      </c>
      <c r="U326" s="293" t="s">
        <v>21409</v>
      </c>
      <c r="V326" s="293" t="s">
        <v>145</v>
      </c>
      <c r="W326" s="293" t="s">
        <v>74</v>
      </c>
      <c r="X326" s="293" t="s">
        <v>656</v>
      </c>
      <c r="Z326" s="293" t="s">
        <v>21410</v>
      </c>
      <c r="AA326" s="293" t="s">
        <v>145</v>
      </c>
      <c r="AB326" s="293" t="s">
        <v>74</v>
      </c>
      <c r="AC326" s="293" t="s">
        <v>656</v>
      </c>
      <c r="AE326" s="293" t="s">
        <v>21411</v>
      </c>
      <c r="AF326" s="293" t="s">
        <v>145</v>
      </c>
      <c r="AG326" s="293" t="s">
        <v>74</v>
      </c>
      <c r="AH326" s="293" t="s">
        <v>656</v>
      </c>
      <c r="AJ326" s="293" t="s">
        <v>21412</v>
      </c>
      <c r="AK326" s="293" t="s">
        <v>145</v>
      </c>
      <c r="AL326" s="293" t="s">
        <v>74</v>
      </c>
      <c r="AM326" s="293" t="s">
        <v>656</v>
      </c>
      <c r="AO326" s="22" t="s">
        <v>21413</v>
      </c>
      <c r="AP326" s="22" t="s">
        <v>145</v>
      </c>
      <c r="AQ326" s="22" t="s">
        <v>70</v>
      </c>
      <c r="AR326" s="22" t="s">
        <v>67</v>
      </c>
      <c r="AT326" s="22" t="s">
        <v>21414</v>
      </c>
      <c r="AU326" s="22" t="s">
        <v>145</v>
      </c>
      <c r="AV326" s="22" t="s">
        <v>70</v>
      </c>
      <c r="AW326" s="22" t="s">
        <v>67</v>
      </c>
      <c r="AY326" s="22" t="s">
        <v>21415</v>
      </c>
      <c r="AZ326" s="22" t="s">
        <v>145</v>
      </c>
      <c r="BA326" s="22" t="s">
        <v>70</v>
      </c>
      <c r="BB326" s="22" t="s">
        <v>67</v>
      </c>
      <c r="BD326" s="22" t="s">
        <v>21416</v>
      </c>
      <c r="BE326" s="22" t="s">
        <v>145</v>
      </c>
      <c r="BF326" s="22" t="s">
        <v>70</v>
      </c>
      <c r="BG326" s="22" t="s">
        <v>67</v>
      </c>
      <c r="BI326" s="22" t="s">
        <v>21417</v>
      </c>
      <c r="BJ326" s="22" t="s">
        <v>145</v>
      </c>
      <c r="BK326" s="22" t="s">
        <v>70</v>
      </c>
      <c r="BL326" s="22" t="s">
        <v>67</v>
      </c>
      <c r="BN326" s="22" t="s">
        <v>21418</v>
      </c>
      <c r="BO326" s="22" t="s">
        <v>145</v>
      </c>
      <c r="BP326" s="22" t="s">
        <v>70</v>
      </c>
      <c r="BQ326" s="22" t="s">
        <v>67</v>
      </c>
      <c r="BS326" s="22" t="s">
        <v>21419</v>
      </c>
      <c r="BT326" s="22" t="s">
        <v>145</v>
      </c>
      <c r="BU326" s="22" t="s">
        <v>70</v>
      </c>
      <c r="BV326" s="214" t="s">
        <v>530</v>
      </c>
      <c r="BX326" s="22" t="s">
        <v>21420</v>
      </c>
      <c r="BY326" s="22" t="s">
        <v>145</v>
      </c>
      <c r="BZ326" s="22" t="s">
        <v>70</v>
      </c>
      <c r="CA326" s="214" t="s">
        <v>530</v>
      </c>
      <c r="CC326" s="214" t="s">
        <v>21421</v>
      </c>
      <c r="CD326" s="218" t="s">
        <v>52</v>
      </c>
      <c r="CE326" s="214" t="s">
        <v>70</v>
      </c>
      <c r="CF326" s="214" t="s">
        <v>34132</v>
      </c>
      <c r="CH326" s="214" t="s">
        <v>21422</v>
      </c>
      <c r="CI326" s="214" t="s">
        <v>951</v>
      </c>
      <c r="CJ326" s="214" t="s">
        <v>70</v>
      </c>
      <c r="CK326" s="214" t="s">
        <v>530</v>
      </c>
      <c r="CM326" s="214" t="s">
        <v>21423</v>
      </c>
      <c r="CN326" s="214" t="s">
        <v>488</v>
      </c>
      <c r="CO326" s="214" t="s">
        <v>70</v>
      </c>
      <c r="CP326" s="214" t="s">
        <v>530</v>
      </c>
      <c r="CR326" s="214" t="s">
        <v>21424</v>
      </c>
      <c r="CS326" s="214" t="s">
        <v>52</v>
      </c>
      <c r="CT326" s="214" t="s">
        <v>70</v>
      </c>
      <c r="CU326" s="214" t="s">
        <v>530</v>
      </c>
      <c r="CW326" s="214" t="s">
        <v>21425</v>
      </c>
      <c r="CX326" s="214" t="s">
        <v>636</v>
      </c>
      <c r="CY326" s="214" t="s">
        <v>70</v>
      </c>
      <c r="CZ326" s="214" t="s">
        <v>530</v>
      </c>
      <c r="DB326" s="214" t="s">
        <v>21426</v>
      </c>
      <c r="DC326" s="214" t="s">
        <v>655</v>
      </c>
      <c r="DD326" s="214" t="s">
        <v>70</v>
      </c>
      <c r="DE326" s="214" t="s">
        <v>530</v>
      </c>
      <c r="DG326" s="214" t="s">
        <v>21427</v>
      </c>
      <c r="DH326" s="214" t="s">
        <v>145</v>
      </c>
      <c r="DI326" s="214" t="s">
        <v>70</v>
      </c>
      <c r="DJ326" s="214" t="s">
        <v>530</v>
      </c>
      <c r="DL326" s="214" t="s">
        <v>21428</v>
      </c>
      <c r="DM326" s="214" t="s">
        <v>87</v>
      </c>
      <c r="DN326" s="214" t="s">
        <v>70</v>
      </c>
      <c r="DO326" s="214" t="s">
        <v>530</v>
      </c>
      <c r="DQ326" s="214" t="s">
        <v>21429</v>
      </c>
      <c r="DR326" s="214" t="s">
        <v>86</v>
      </c>
      <c r="DS326" s="214" t="s">
        <v>70</v>
      </c>
      <c r="DT326" s="214" t="s">
        <v>530</v>
      </c>
      <c r="DV326" s="214" t="s">
        <v>21430</v>
      </c>
      <c r="DW326" s="214" t="s">
        <v>34626</v>
      </c>
      <c r="DX326" s="214" t="s">
        <v>70</v>
      </c>
      <c r="DY326" s="214" t="s">
        <v>530</v>
      </c>
      <c r="EA326" s="214" t="s">
        <v>21431</v>
      </c>
      <c r="EB326" s="214" t="s">
        <v>765</v>
      </c>
      <c r="EC326" s="214" t="s">
        <v>70</v>
      </c>
      <c r="ED326" s="214" t="s">
        <v>530</v>
      </c>
      <c r="EF326" s="214" t="s">
        <v>21432</v>
      </c>
      <c r="EG326" s="214" t="s">
        <v>163</v>
      </c>
      <c r="EH326" s="214" t="s">
        <v>70</v>
      </c>
      <c r="EI326" s="214" t="s">
        <v>530</v>
      </c>
      <c r="EK326" s="214" t="s">
        <v>21433</v>
      </c>
      <c r="EL326" s="214" t="s">
        <v>148</v>
      </c>
      <c r="EM326" s="214" t="s">
        <v>70</v>
      </c>
      <c r="EN326" s="214" t="s">
        <v>530</v>
      </c>
      <c r="EP326" s="214" t="s">
        <v>21434</v>
      </c>
      <c r="EQ326" s="214" t="s">
        <v>145</v>
      </c>
      <c r="ER326" s="214" t="s">
        <v>70</v>
      </c>
      <c r="ES326" s="214" t="s">
        <v>530</v>
      </c>
      <c r="EU326" s="214" t="s">
        <v>21435</v>
      </c>
      <c r="EV326" s="214" t="s">
        <v>92</v>
      </c>
      <c r="EW326" s="214" t="s">
        <v>70</v>
      </c>
      <c r="EX326" s="214" t="s">
        <v>530</v>
      </c>
      <c r="EZ326" s="214" t="s">
        <v>21436</v>
      </c>
      <c r="FA326" s="214" t="s">
        <v>927</v>
      </c>
      <c r="FB326" s="214" t="s">
        <v>70</v>
      </c>
      <c r="FC326" s="214" t="s">
        <v>530</v>
      </c>
      <c r="FE326" s="214" t="s">
        <v>21437</v>
      </c>
      <c r="FF326" s="214" t="s">
        <v>52</v>
      </c>
      <c r="FG326" s="214" t="s">
        <v>70</v>
      </c>
      <c r="FH326" s="214" t="s">
        <v>530</v>
      </c>
      <c r="FJ326" s="321" t="s">
        <v>21438</v>
      </c>
      <c r="FK326" s="214" t="s">
        <v>148</v>
      </c>
      <c r="FL326" s="214" t="s">
        <v>70</v>
      </c>
      <c r="FM326" s="214" t="s">
        <v>530</v>
      </c>
      <c r="FO326" s="321" t="s">
        <v>21439</v>
      </c>
      <c r="FP326" s="214" t="s">
        <v>34624</v>
      </c>
      <c r="FQ326" s="214" t="s">
        <v>70</v>
      </c>
      <c r="FR326" s="214" t="s">
        <v>530</v>
      </c>
      <c r="FT326" s="321" t="s">
        <v>21440</v>
      </c>
      <c r="FU326" s="214" t="s">
        <v>483</v>
      </c>
      <c r="FV326" s="214" t="s">
        <v>70</v>
      </c>
      <c r="FW326" s="214" t="s">
        <v>530</v>
      </c>
      <c r="FY326" s="321" t="s">
        <v>21441</v>
      </c>
      <c r="FZ326" s="214" t="s">
        <v>34538</v>
      </c>
      <c r="GA326" s="214" t="s">
        <v>70</v>
      </c>
      <c r="GB326" s="214" t="s">
        <v>530</v>
      </c>
      <c r="GD326" s="321" t="s">
        <v>21442</v>
      </c>
      <c r="GE326" s="214" t="s">
        <v>145</v>
      </c>
      <c r="GF326" s="214" t="s">
        <v>70</v>
      </c>
      <c r="GG326" s="214" t="s">
        <v>530</v>
      </c>
      <c r="GI326" s="321" t="s">
        <v>21443</v>
      </c>
      <c r="GJ326" s="214" t="s">
        <v>148</v>
      </c>
      <c r="GK326" s="214" t="s">
        <v>70</v>
      </c>
      <c r="GL326" s="214" t="s">
        <v>530</v>
      </c>
      <c r="GN326" s="321" t="s">
        <v>21444</v>
      </c>
      <c r="GO326" s="214" t="s">
        <v>467</v>
      </c>
      <c r="GP326" s="214" t="s">
        <v>70</v>
      </c>
      <c r="GQ326" s="214" t="s">
        <v>530</v>
      </c>
      <c r="GS326" s="321" t="s">
        <v>21445</v>
      </c>
      <c r="GT326" s="214" t="s">
        <v>52</v>
      </c>
      <c r="GU326" s="214" t="s">
        <v>70</v>
      </c>
      <c r="GV326" s="214" t="s">
        <v>530</v>
      </c>
      <c r="GX326" s="214" t="s">
        <v>21446</v>
      </c>
      <c r="GY326" s="214" t="s">
        <v>149</v>
      </c>
      <c r="GZ326" s="214" t="s">
        <v>70</v>
      </c>
      <c r="HA326" s="214" t="s">
        <v>530</v>
      </c>
      <c r="HC326" s="214" t="s">
        <v>21447</v>
      </c>
      <c r="HD326" s="214" t="s">
        <v>34574</v>
      </c>
      <c r="HE326" s="214" t="s">
        <v>70</v>
      </c>
      <c r="HF326" s="214" t="s">
        <v>530</v>
      </c>
      <c r="HH326" s="214" t="s">
        <v>21448</v>
      </c>
      <c r="HI326" s="214" t="s">
        <v>34590</v>
      </c>
      <c r="HJ326" s="214" t="s">
        <v>70</v>
      </c>
      <c r="HK326" s="214" t="s">
        <v>530</v>
      </c>
      <c r="HM326" s="214" t="s">
        <v>21449</v>
      </c>
      <c r="HN326" s="214" t="s">
        <v>90</v>
      </c>
      <c r="HO326" s="214" t="s">
        <v>70</v>
      </c>
      <c r="HP326" s="214" t="s">
        <v>530</v>
      </c>
      <c r="HR326" s="22" t="s">
        <v>21450</v>
      </c>
      <c r="HS326" s="22" t="s">
        <v>10541</v>
      </c>
      <c r="HT326" s="22" t="s">
        <v>70</v>
      </c>
      <c r="HU326" s="214" t="s">
        <v>530</v>
      </c>
      <c r="HW326" s="22" t="s">
        <v>21451</v>
      </c>
      <c r="HX326" s="22" t="s">
        <v>90</v>
      </c>
      <c r="HY326" s="22" t="s">
        <v>70</v>
      </c>
      <c r="HZ326" s="214" t="s">
        <v>530</v>
      </c>
      <c r="IB326" s="22" t="s">
        <v>21452</v>
      </c>
      <c r="IC326" s="22" t="s">
        <v>52</v>
      </c>
      <c r="ID326" s="22" t="s">
        <v>70</v>
      </c>
      <c r="IE326" s="214" t="s">
        <v>530</v>
      </c>
      <c r="IG326" s="22" t="s">
        <v>21453</v>
      </c>
      <c r="IH326" s="22" t="s">
        <v>52</v>
      </c>
      <c r="II326" s="22" t="s">
        <v>70</v>
      </c>
      <c r="IJ326" s="214" t="s">
        <v>530</v>
      </c>
      <c r="IL326" s="22" t="s">
        <v>21454</v>
      </c>
      <c r="IM326" s="22" t="s">
        <v>145</v>
      </c>
      <c r="IN326" s="22" t="s">
        <v>70</v>
      </c>
      <c r="IO326" s="214" t="s">
        <v>530</v>
      </c>
      <c r="IQ326" s="236" t="s">
        <v>21455</v>
      </c>
      <c r="IR326" s="236" t="s">
        <v>145</v>
      </c>
      <c r="IS326" s="236" t="s">
        <v>74</v>
      </c>
      <c r="IT326" s="236" t="s">
        <v>841</v>
      </c>
      <c r="IV326" s="236" t="s">
        <v>21456</v>
      </c>
      <c r="IW326" s="236" t="s">
        <v>145</v>
      </c>
      <c r="IX326" s="236" t="s">
        <v>74</v>
      </c>
      <c r="IY326" s="236" t="s">
        <v>841</v>
      </c>
      <c r="JA326" s="236" t="s">
        <v>21457</v>
      </c>
      <c r="JB326" s="236" t="s">
        <v>145</v>
      </c>
      <c r="JC326" s="236" t="s">
        <v>74</v>
      </c>
      <c r="JD326" s="236" t="s">
        <v>841</v>
      </c>
      <c r="JF326" s="236" t="s">
        <v>21458</v>
      </c>
      <c r="JG326" s="236" t="s">
        <v>145</v>
      </c>
      <c r="JH326" s="236" t="s">
        <v>74</v>
      </c>
      <c r="JI326" s="236" t="s">
        <v>841</v>
      </c>
      <c r="JK326" s="236" t="s">
        <v>21459</v>
      </c>
      <c r="JL326" s="236" t="s">
        <v>145</v>
      </c>
      <c r="JM326" s="236" t="s">
        <v>74</v>
      </c>
      <c r="JN326" s="236" t="s">
        <v>841</v>
      </c>
      <c r="JP326" s="236" t="s">
        <v>21460</v>
      </c>
      <c r="JQ326" s="236" t="s">
        <v>145</v>
      </c>
      <c r="JR326" s="236" t="s">
        <v>74</v>
      </c>
      <c r="JS326" s="236" t="s">
        <v>841</v>
      </c>
      <c r="JU326" s="294" t="s">
        <v>21461</v>
      </c>
      <c r="JV326" s="294" t="s">
        <v>52</v>
      </c>
      <c r="JW326" s="263" t="s">
        <v>70</v>
      </c>
      <c r="JX326" s="294" t="s">
        <v>1083</v>
      </c>
      <c r="JZ326" s="263" t="s">
        <v>21462</v>
      </c>
      <c r="KA326" s="263" t="s">
        <v>145</v>
      </c>
      <c r="KB326" s="263" t="s">
        <v>70</v>
      </c>
      <c r="KC326" s="263" t="s">
        <v>1083</v>
      </c>
      <c r="KE326" s="263" t="s">
        <v>21463</v>
      </c>
      <c r="KF326" s="263" t="s">
        <v>52</v>
      </c>
      <c r="KG326" s="263" t="s">
        <v>70</v>
      </c>
      <c r="KH326" s="263" t="s">
        <v>1083</v>
      </c>
      <c r="KJ326" s="263" t="s">
        <v>21464</v>
      </c>
      <c r="KK326" s="263" t="s">
        <v>52</v>
      </c>
      <c r="KL326" s="263" t="s">
        <v>74</v>
      </c>
      <c r="KM326" s="263" t="s">
        <v>34074</v>
      </c>
      <c r="KO326" s="214" t="s">
        <v>21465</v>
      </c>
      <c r="KP326" s="214" t="s">
        <v>145</v>
      </c>
      <c r="KQ326" s="214" t="s">
        <v>70</v>
      </c>
      <c r="KR326" s="214" t="s">
        <v>67</v>
      </c>
      <c r="KT326" s="22" t="s">
        <v>21466</v>
      </c>
      <c r="KU326" s="22" t="s">
        <v>145</v>
      </c>
      <c r="KV326" s="22" t="s">
        <v>70</v>
      </c>
      <c r="KW326" s="22" t="s">
        <v>67</v>
      </c>
      <c r="KY326" s="214" t="s">
        <v>21467</v>
      </c>
      <c r="KZ326" s="214" t="s">
        <v>52</v>
      </c>
      <c r="LA326" s="214" t="s">
        <v>74</v>
      </c>
      <c r="LB326" s="214" t="s">
        <v>67</v>
      </c>
      <c r="LD326" s="22" t="s">
        <v>21468</v>
      </c>
      <c r="LE326" s="22" t="s">
        <v>145</v>
      </c>
      <c r="LF326" s="22" t="s">
        <v>70</v>
      </c>
      <c r="LG326" s="22" t="s">
        <v>67</v>
      </c>
    </row>
    <row r="327" spans="1:319">
      <c r="A327" s="22" t="s">
        <v>21469</v>
      </c>
      <c r="B327" s="22" t="s">
        <v>145</v>
      </c>
      <c r="C327" s="22" t="s">
        <v>70</v>
      </c>
      <c r="D327" s="22" t="s">
        <v>67</v>
      </c>
      <c r="F327" s="99" t="s">
        <v>21470</v>
      </c>
      <c r="G327" s="22" t="s">
        <v>145</v>
      </c>
      <c r="H327" s="22" t="s">
        <v>70</v>
      </c>
      <c r="I327" s="22" t="s">
        <v>67</v>
      </c>
      <c r="K327" s="22" t="s">
        <v>21471</v>
      </c>
      <c r="L327" s="22" t="s">
        <v>145</v>
      </c>
      <c r="M327" s="22" t="s">
        <v>70</v>
      </c>
      <c r="N327" s="22" t="s">
        <v>67</v>
      </c>
      <c r="P327" s="22" t="s">
        <v>21472</v>
      </c>
      <c r="Q327" s="22" t="s">
        <v>145</v>
      </c>
      <c r="R327" s="22" t="s">
        <v>70</v>
      </c>
      <c r="S327" s="22" t="s">
        <v>67</v>
      </c>
      <c r="U327" s="293" t="s">
        <v>21473</v>
      </c>
      <c r="V327" s="293" t="s">
        <v>145</v>
      </c>
      <c r="W327" s="293" t="s">
        <v>74</v>
      </c>
      <c r="X327" s="293" t="s">
        <v>656</v>
      </c>
      <c r="Z327" s="293" t="s">
        <v>21474</v>
      </c>
      <c r="AA327" s="293" t="s">
        <v>145</v>
      </c>
      <c r="AB327" s="293" t="s">
        <v>74</v>
      </c>
      <c r="AC327" s="293" t="s">
        <v>656</v>
      </c>
      <c r="AE327" s="293" t="s">
        <v>21475</v>
      </c>
      <c r="AF327" s="293" t="s">
        <v>145</v>
      </c>
      <c r="AG327" s="293" t="s">
        <v>74</v>
      </c>
      <c r="AH327" s="293" t="s">
        <v>656</v>
      </c>
      <c r="AJ327" s="293" t="s">
        <v>21476</v>
      </c>
      <c r="AK327" s="293" t="s">
        <v>145</v>
      </c>
      <c r="AL327" s="293" t="s">
        <v>74</v>
      </c>
      <c r="AM327" s="293" t="s">
        <v>656</v>
      </c>
      <c r="AO327" s="22" t="s">
        <v>21477</v>
      </c>
      <c r="AP327" s="22" t="s">
        <v>145</v>
      </c>
      <c r="AQ327" s="22" t="s">
        <v>70</v>
      </c>
      <c r="AR327" s="22" t="s">
        <v>67</v>
      </c>
      <c r="AT327" s="22" t="s">
        <v>21478</v>
      </c>
      <c r="AU327" s="22" t="s">
        <v>145</v>
      </c>
      <c r="AV327" s="22" t="s">
        <v>70</v>
      </c>
      <c r="AW327" s="22" t="s">
        <v>67</v>
      </c>
      <c r="AY327" s="22" t="s">
        <v>21479</v>
      </c>
      <c r="AZ327" s="22" t="s">
        <v>145</v>
      </c>
      <c r="BA327" s="22" t="s">
        <v>70</v>
      </c>
      <c r="BB327" s="22" t="s">
        <v>67</v>
      </c>
      <c r="BD327" s="22" t="s">
        <v>21480</v>
      </c>
      <c r="BE327" s="22" t="s">
        <v>145</v>
      </c>
      <c r="BF327" s="22" t="s">
        <v>70</v>
      </c>
      <c r="BG327" s="22" t="s">
        <v>67</v>
      </c>
      <c r="BI327" s="22" t="s">
        <v>21481</v>
      </c>
      <c r="BJ327" s="22" t="s">
        <v>145</v>
      </c>
      <c r="BK327" s="22" t="s">
        <v>70</v>
      </c>
      <c r="BL327" s="22" t="s">
        <v>67</v>
      </c>
      <c r="BN327" s="22" t="s">
        <v>21482</v>
      </c>
      <c r="BO327" s="22" t="s">
        <v>145</v>
      </c>
      <c r="BP327" s="22" t="s">
        <v>70</v>
      </c>
      <c r="BQ327" s="22" t="s">
        <v>67</v>
      </c>
      <c r="BS327" s="22" t="s">
        <v>21483</v>
      </c>
      <c r="BT327" s="22" t="s">
        <v>145</v>
      </c>
      <c r="BU327" s="22" t="s">
        <v>70</v>
      </c>
      <c r="BV327" s="214" t="s">
        <v>530</v>
      </c>
      <c r="BX327" s="22" t="s">
        <v>21484</v>
      </c>
      <c r="BY327" s="22" t="s">
        <v>145</v>
      </c>
      <c r="BZ327" s="22" t="s">
        <v>70</v>
      </c>
      <c r="CA327" s="214" t="s">
        <v>530</v>
      </c>
      <c r="CC327" s="214" t="s">
        <v>21485</v>
      </c>
      <c r="CD327" s="218" t="s">
        <v>601</v>
      </c>
      <c r="CE327" s="214" t="s">
        <v>70</v>
      </c>
      <c r="CF327" s="214" t="s">
        <v>34133</v>
      </c>
      <c r="CH327" s="214" t="s">
        <v>21486</v>
      </c>
      <c r="CI327" s="214" t="s">
        <v>149</v>
      </c>
      <c r="CJ327" s="214" t="s">
        <v>70</v>
      </c>
      <c r="CK327" s="214" t="s">
        <v>530</v>
      </c>
      <c r="CM327" s="214" t="s">
        <v>21487</v>
      </c>
      <c r="CN327" s="214" t="s">
        <v>488</v>
      </c>
      <c r="CO327" s="214" t="s">
        <v>70</v>
      </c>
      <c r="CP327" s="214" t="s">
        <v>530</v>
      </c>
      <c r="CR327" s="214" t="s">
        <v>21488</v>
      </c>
      <c r="CS327" s="214" t="s">
        <v>924</v>
      </c>
      <c r="CT327" s="214" t="s">
        <v>70</v>
      </c>
      <c r="CU327" s="214" t="s">
        <v>530</v>
      </c>
      <c r="CW327" s="214" t="s">
        <v>21489</v>
      </c>
      <c r="CX327" s="214" t="s">
        <v>34557</v>
      </c>
      <c r="CY327" s="214" t="s">
        <v>70</v>
      </c>
      <c r="CZ327" s="214" t="s">
        <v>530</v>
      </c>
      <c r="DB327" s="214" t="s">
        <v>21490</v>
      </c>
      <c r="DC327" s="214" t="s">
        <v>484</v>
      </c>
      <c r="DD327" s="214" t="s">
        <v>70</v>
      </c>
      <c r="DE327" s="214" t="s">
        <v>530</v>
      </c>
      <c r="DG327" s="214" t="s">
        <v>21491</v>
      </c>
      <c r="DH327" s="214" t="s">
        <v>34541</v>
      </c>
      <c r="DI327" s="214" t="s">
        <v>70</v>
      </c>
      <c r="DJ327" s="214" t="s">
        <v>530</v>
      </c>
      <c r="DL327" s="214" t="s">
        <v>21492</v>
      </c>
      <c r="DM327" s="214" t="s">
        <v>34542</v>
      </c>
      <c r="DN327" s="214" t="s">
        <v>70</v>
      </c>
      <c r="DO327" s="214" t="s">
        <v>530</v>
      </c>
      <c r="DQ327" s="214" t="s">
        <v>21493</v>
      </c>
      <c r="DR327" s="214" t="s">
        <v>486</v>
      </c>
      <c r="DS327" s="214" t="s">
        <v>70</v>
      </c>
      <c r="DT327" s="214" t="s">
        <v>530</v>
      </c>
      <c r="DV327" s="214" t="s">
        <v>21494</v>
      </c>
      <c r="DW327" s="214" t="s">
        <v>34555</v>
      </c>
      <c r="DX327" s="214" t="s">
        <v>70</v>
      </c>
      <c r="DY327" s="214" t="s">
        <v>530</v>
      </c>
      <c r="EA327" s="214" t="s">
        <v>21495</v>
      </c>
      <c r="EB327" s="214" t="s">
        <v>206</v>
      </c>
      <c r="EC327" s="214" t="s">
        <v>70</v>
      </c>
      <c r="ED327" s="214" t="s">
        <v>530</v>
      </c>
      <c r="EF327" s="214" t="s">
        <v>21496</v>
      </c>
      <c r="EG327" s="214" t="s">
        <v>486</v>
      </c>
      <c r="EH327" s="214" t="s">
        <v>70</v>
      </c>
      <c r="EI327" s="214" t="s">
        <v>530</v>
      </c>
      <c r="EK327" s="214" t="s">
        <v>21497</v>
      </c>
      <c r="EL327" s="214" t="s">
        <v>34542</v>
      </c>
      <c r="EM327" s="214" t="s">
        <v>70</v>
      </c>
      <c r="EN327" s="214" t="s">
        <v>530</v>
      </c>
      <c r="EP327" s="214" t="s">
        <v>21498</v>
      </c>
      <c r="EQ327" s="214" t="s">
        <v>34541</v>
      </c>
      <c r="ER327" s="214" t="s">
        <v>70</v>
      </c>
      <c r="ES327" s="214" t="s">
        <v>530</v>
      </c>
      <c r="EU327" s="214" t="s">
        <v>21499</v>
      </c>
      <c r="EV327" s="214" t="s">
        <v>146</v>
      </c>
      <c r="EW327" s="214" t="s">
        <v>70</v>
      </c>
      <c r="EX327" s="214" t="s">
        <v>530</v>
      </c>
      <c r="EZ327" s="214" t="s">
        <v>21500</v>
      </c>
      <c r="FA327" s="214" t="s">
        <v>88</v>
      </c>
      <c r="FB327" s="214" t="s">
        <v>70</v>
      </c>
      <c r="FC327" s="214" t="s">
        <v>530</v>
      </c>
      <c r="FE327" s="214" t="s">
        <v>21501</v>
      </c>
      <c r="FF327" s="214" t="s">
        <v>88</v>
      </c>
      <c r="FG327" s="214" t="s">
        <v>70</v>
      </c>
      <c r="FH327" s="214" t="s">
        <v>530</v>
      </c>
      <c r="FJ327" s="321" t="s">
        <v>21502</v>
      </c>
      <c r="FK327" s="214" t="s">
        <v>496</v>
      </c>
      <c r="FL327" s="214" t="s">
        <v>70</v>
      </c>
      <c r="FM327" s="214" t="s">
        <v>530</v>
      </c>
      <c r="FO327" s="321" t="s">
        <v>21503</v>
      </c>
      <c r="FP327" s="214" t="s">
        <v>287</v>
      </c>
      <c r="FQ327" s="214" t="s">
        <v>70</v>
      </c>
      <c r="FR327" s="214" t="s">
        <v>530</v>
      </c>
      <c r="FT327" s="321" t="s">
        <v>21504</v>
      </c>
      <c r="FU327" s="214" t="s">
        <v>911</v>
      </c>
      <c r="FV327" s="214" t="s">
        <v>70</v>
      </c>
      <c r="FW327" s="214" t="s">
        <v>530</v>
      </c>
      <c r="FY327" s="321" t="s">
        <v>21505</v>
      </c>
      <c r="FZ327" s="214" t="s">
        <v>496</v>
      </c>
      <c r="GA327" s="214" t="s">
        <v>70</v>
      </c>
      <c r="GB327" s="214" t="s">
        <v>530</v>
      </c>
      <c r="GD327" s="321" t="s">
        <v>21506</v>
      </c>
      <c r="GE327" s="214" t="s">
        <v>34541</v>
      </c>
      <c r="GF327" s="214" t="s">
        <v>70</v>
      </c>
      <c r="GG327" s="214" t="s">
        <v>530</v>
      </c>
      <c r="GI327" s="321" t="s">
        <v>21507</v>
      </c>
      <c r="GJ327" s="214" t="s">
        <v>484</v>
      </c>
      <c r="GK327" s="214" t="s">
        <v>70</v>
      </c>
      <c r="GL327" s="214" t="s">
        <v>530</v>
      </c>
      <c r="GN327" s="321" t="s">
        <v>21508</v>
      </c>
      <c r="GO327" s="214" t="s">
        <v>52</v>
      </c>
      <c r="GP327" s="214" t="s">
        <v>70</v>
      </c>
      <c r="GQ327" s="214" t="s">
        <v>530</v>
      </c>
      <c r="GS327" s="321" t="s">
        <v>21509</v>
      </c>
      <c r="GT327" s="214" t="s">
        <v>485</v>
      </c>
      <c r="GU327" s="214" t="s">
        <v>70</v>
      </c>
      <c r="GV327" s="214" t="s">
        <v>530</v>
      </c>
      <c r="GX327" s="214" t="s">
        <v>21510</v>
      </c>
      <c r="GY327" s="214" t="s">
        <v>491</v>
      </c>
      <c r="GZ327" s="214" t="s">
        <v>70</v>
      </c>
      <c r="HA327" s="214" t="s">
        <v>530</v>
      </c>
      <c r="HC327" s="214" t="s">
        <v>21511</v>
      </c>
      <c r="HD327" s="214" t="s">
        <v>488</v>
      </c>
      <c r="HE327" s="214" t="s">
        <v>70</v>
      </c>
      <c r="HF327" s="214" t="s">
        <v>530</v>
      </c>
      <c r="HH327" s="214" t="s">
        <v>21512</v>
      </c>
      <c r="HI327" s="214" t="s">
        <v>34551</v>
      </c>
      <c r="HJ327" s="214" t="s">
        <v>70</v>
      </c>
      <c r="HK327" s="214" t="s">
        <v>530</v>
      </c>
      <c r="HM327" s="214" t="s">
        <v>21513</v>
      </c>
      <c r="HN327" s="214" t="s">
        <v>502</v>
      </c>
      <c r="HO327" s="214" t="s">
        <v>70</v>
      </c>
      <c r="HP327" s="214" t="s">
        <v>530</v>
      </c>
      <c r="HR327" s="22" t="s">
        <v>21514</v>
      </c>
      <c r="HS327" s="22" t="s">
        <v>146</v>
      </c>
      <c r="HT327" s="22" t="s">
        <v>70</v>
      </c>
      <c r="HU327" s="214" t="s">
        <v>530</v>
      </c>
      <c r="HW327" s="22" t="s">
        <v>21515</v>
      </c>
      <c r="HX327" s="22" t="s">
        <v>487</v>
      </c>
      <c r="HY327" s="22" t="s">
        <v>70</v>
      </c>
      <c r="HZ327" s="214" t="s">
        <v>530</v>
      </c>
      <c r="IB327" s="22" t="s">
        <v>21516</v>
      </c>
      <c r="IC327" s="22" t="s">
        <v>52</v>
      </c>
      <c r="ID327" s="22" t="s">
        <v>70</v>
      </c>
      <c r="IE327" s="214" t="s">
        <v>530</v>
      </c>
      <c r="IG327" s="22" t="s">
        <v>21517</v>
      </c>
      <c r="IH327" s="22" t="s">
        <v>52</v>
      </c>
      <c r="II327" s="22" t="s">
        <v>70</v>
      </c>
      <c r="IJ327" s="214" t="s">
        <v>530</v>
      </c>
      <c r="IL327" s="22" t="s">
        <v>21518</v>
      </c>
      <c r="IM327" s="22" t="s">
        <v>145</v>
      </c>
      <c r="IN327" s="22" t="s">
        <v>70</v>
      </c>
      <c r="IO327" s="214" t="s">
        <v>530</v>
      </c>
      <c r="IQ327" s="236" t="s">
        <v>21519</v>
      </c>
      <c r="IR327" s="236" t="s">
        <v>145</v>
      </c>
      <c r="IS327" s="236" t="s">
        <v>74</v>
      </c>
      <c r="IT327" s="236" t="s">
        <v>841</v>
      </c>
      <c r="IV327" s="236" t="s">
        <v>21520</v>
      </c>
      <c r="IW327" s="236" t="s">
        <v>145</v>
      </c>
      <c r="IX327" s="236" t="s">
        <v>74</v>
      </c>
      <c r="IY327" s="236" t="s">
        <v>841</v>
      </c>
      <c r="JA327" s="236" t="s">
        <v>21521</v>
      </c>
      <c r="JB327" s="236" t="s">
        <v>145</v>
      </c>
      <c r="JC327" s="236" t="s">
        <v>74</v>
      </c>
      <c r="JD327" s="236" t="s">
        <v>841</v>
      </c>
      <c r="JF327" s="236" t="s">
        <v>21522</v>
      </c>
      <c r="JG327" s="236" t="s">
        <v>145</v>
      </c>
      <c r="JH327" s="236" t="s">
        <v>74</v>
      </c>
      <c r="JI327" s="236" t="s">
        <v>841</v>
      </c>
      <c r="JK327" s="236" t="s">
        <v>21523</v>
      </c>
      <c r="JL327" s="236" t="s">
        <v>145</v>
      </c>
      <c r="JM327" s="236" t="s">
        <v>74</v>
      </c>
      <c r="JN327" s="236" t="s">
        <v>841</v>
      </c>
      <c r="JP327" s="236" t="s">
        <v>21524</v>
      </c>
      <c r="JQ327" s="236" t="s">
        <v>145</v>
      </c>
      <c r="JR327" s="236" t="s">
        <v>74</v>
      </c>
      <c r="JS327" s="236" t="s">
        <v>841</v>
      </c>
      <c r="JU327" s="294" t="s">
        <v>21525</v>
      </c>
      <c r="JV327" s="294" t="s">
        <v>52</v>
      </c>
      <c r="JW327" s="263" t="s">
        <v>70</v>
      </c>
      <c r="JX327" s="294" t="s">
        <v>1083</v>
      </c>
      <c r="JZ327" s="263" t="s">
        <v>21526</v>
      </c>
      <c r="KA327" s="263" t="s">
        <v>145</v>
      </c>
      <c r="KB327" s="263" t="s">
        <v>70</v>
      </c>
      <c r="KC327" s="263" t="s">
        <v>1083</v>
      </c>
      <c r="KE327" s="263" t="s">
        <v>21527</v>
      </c>
      <c r="KF327" s="263" t="s">
        <v>52</v>
      </c>
      <c r="KG327" s="263" t="s">
        <v>70</v>
      </c>
      <c r="KH327" s="263" t="s">
        <v>1083</v>
      </c>
      <c r="KJ327" s="263" t="s">
        <v>21528</v>
      </c>
      <c r="KK327" s="263" t="s">
        <v>52</v>
      </c>
      <c r="KL327" s="263" t="s">
        <v>74</v>
      </c>
      <c r="KM327" s="263" t="s">
        <v>34074</v>
      </c>
      <c r="KO327" s="214" t="s">
        <v>21529</v>
      </c>
      <c r="KP327" s="214" t="s">
        <v>145</v>
      </c>
      <c r="KQ327" s="214" t="s">
        <v>70</v>
      </c>
      <c r="KR327" s="214" t="s">
        <v>67</v>
      </c>
      <c r="KT327" s="22" t="s">
        <v>21530</v>
      </c>
      <c r="KU327" s="22" t="s">
        <v>145</v>
      </c>
      <c r="KV327" s="22" t="s">
        <v>70</v>
      </c>
      <c r="KW327" s="22" t="s">
        <v>67</v>
      </c>
      <c r="KY327" s="214" t="s">
        <v>21531</v>
      </c>
      <c r="KZ327" s="214" t="s">
        <v>52</v>
      </c>
      <c r="LA327" s="214" t="s">
        <v>74</v>
      </c>
      <c r="LB327" s="214" t="s">
        <v>67</v>
      </c>
      <c r="LD327" s="22" t="s">
        <v>21532</v>
      </c>
      <c r="LE327" s="22" t="s">
        <v>145</v>
      </c>
      <c r="LF327" s="22" t="s">
        <v>70</v>
      </c>
      <c r="LG327" s="22" t="s">
        <v>67</v>
      </c>
    </row>
    <row r="328" spans="1:319">
      <c r="A328" s="22" t="s">
        <v>21533</v>
      </c>
      <c r="B328" s="22" t="s">
        <v>145</v>
      </c>
      <c r="C328" s="22" t="s">
        <v>70</v>
      </c>
      <c r="D328" s="22" t="s">
        <v>67</v>
      </c>
      <c r="F328" s="99" t="s">
        <v>21534</v>
      </c>
      <c r="G328" s="22" t="s">
        <v>145</v>
      </c>
      <c r="H328" s="22" t="s">
        <v>70</v>
      </c>
      <c r="I328" s="22" t="s">
        <v>67</v>
      </c>
      <c r="K328" s="22" t="s">
        <v>21535</v>
      </c>
      <c r="L328" s="22" t="s">
        <v>145</v>
      </c>
      <c r="M328" s="22" t="s">
        <v>70</v>
      </c>
      <c r="N328" s="22" t="s">
        <v>67</v>
      </c>
      <c r="P328" s="22" t="s">
        <v>21536</v>
      </c>
      <c r="Q328" s="22" t="s">
        <v>145</v>
      </c>
      <c r="R328" s="22" t="s">
        <v>70</v>
      </c>
      <c r="S328" s="22" t="s">
        <v>67</v>
      </c>
      <c r="U328" s="293" t="s">
        <v>21537</v>
      </c>
      <c r="V328" s="293" t="s">
        <v>145</v>
      </c>
      <c r="W328" s="293" t="s">
        <v>74</v>
      </c>
      <c r="X328" s="293" t="s">
        <v>656</v>
      </c>
      <c r="Z328" s="293" t="s">
        <v>21538</v>
      </c>
      <c r="AA328" s="293" t="s">
        <v>145</v>
      </c>
      <c r="AB328" s="293" t="s">
        <v>74</v>
      </c>
      <c r="AC328" s="293" t="s">
        <v>656</v>
      </c>
      <c r="AE328" s="293" t="s">
        <v>21539</v>
      </c>
      <c r="AF328" s="293" t="s">
        <v>145</v>
      </c>
      <c r="AG328" s="293" t="s">
        <v>74</v>
      </c>
      <c r="AH328" s="293" t="s">
        <v>656</v>
      </c>
      <c r="AJ328" s="293" t="s">
        <v>21540</v>
      </c>
      <c r="AK328" s="293" t="s">
        <v>145</v>
      </c>
      <c r="AL328" s="293" t="s">
        <v>74</v>
      </c>
      <c r="AM328" s="293" t="s">
        <v>656</v>
      </c>
      <c r="AO328" s="22" t="s">
        <v>21541</v>
      </c>
      <c r="AP328" s="22" t="s">
        <v>145</v>
      </c>
      <c r="AQ328" s="22" t="s">
        <v>70</v>
      </c>
      <c r="AR328" s="22" t="s">
        <v>67</v>
      </c>
      <c r="AT328" s="22" t="s">
        <v>21542</v>
      </c>
      <c r="AU328" s="22" t="s">
        <v>145</v>
      </c>
      <c r="AV328" s="22" t="s">
        <v>70</v>
      </c>
      <c r="AW328" s="22" t="s">
        <v>67</v>
      </c>
      <c r="AY328" s="22" t="s">
        <v>21543</v>
      </c>
      <c r="AZ328" s="22" t="s">
        <v>145</v>
      </c>
      <c r="BA328" s="22" t="s">
        <v>70</v>
      </c>
      <c r="BB328" s="22" t="s">
        <v>67</v>
      </c>
      <c r="BD328" s="22" t="s">
        <v>21544</v>
      </c>
      <c r="BE328" s="22" t="s">
        <v>145</v>
      </c>
      <c r="BF328" s="22" t="s">
        <v>70</v>
      </c>
      <c r="BG328" s="22" t="s">
        <v>67</v>
      </c>
      <c r="BI328" s="22" t="s">
        <v>21545</v>
      </c>
      <c r="BJ328" s="22" t="s">
        <v>145</v>
      </c>
      <c r="BK328" s="22" t="s">
        <v>70</v>
      </c>
      <c r="BL328" s="22" t="s">
        <v>67</v>
      </c>
      <c r="BN328" s="22" t="s">
        <v>21546</v>
      </c>
      <c r="BO328" s="22" t="s">
        <v>145</v>
      </c>
      <c r="BP328" s="22" t="s">
        <v>70</v>
      </c>
      <c r="BQ328" s="22" t="s">
        <v>67</v>
      </c>
      <c r="BS328" s="22" t="s">
        <v>21547</v>
      </c>
      <c r="BT328" s="22" t="s">
        <v>145</v>
      </c>
      <c r="BU328" s="22" t="s">
        <v>70</v>
      </c>
      <c r="BV328" s="214" t="s">
        <v>530</v>
      </c>
      <c r="BX328" s="22" t="s">
        <v>21548</v>
      </c>
      <c r="BY328" s="22" t="s">
        <v>145</v>
      </c>
      <c r="BZ328" s="22" t="s">
        <v>70</v>
      </c>
      <c r="CA328" s="214" t="s">
        <v>530</v>
      </c>
      <c r="CC328" s="214" t="s">
        <v>21549</v>
      </c>
      <c r="CD328" s="218" t="s">
        <v>34608</v>
      </c>
      <c r="CE328" s="214" t="s">
        <v>70</v>
      </c>
      <c r="CF328" s="214" t="s">
        <v>34134</v>
      </c>
      <c r="CH328" s="214" t="s">
        <v>21550</v>
      </c>
      <c r="CI328" s="214" t="s">
        <v>950</v>
      </c>
      <c r="CJ328" s="214" t="s">
        <v>70</v>
      </c>
      <c r="CK328" s="214" t="s">
        <v>530</v>
      </c>
      <c r="CM328" s="214" t="s">
        <v>21551</v>
      </c>
      <c r="CN328" s="214" t="s">
        <v>468</v>
      </c>
      <c r="CO328" s="214" t="s">
        <v>70</v>
      </c>
      <c r="CP328" s="214" t="s">
        <v>530</v>
      </c>
      <c r="CR328" s="214" t="s">
        <v>21552</v>
      </c>
      <c r="CS328" s="214" t="s">
        <v>148</v>
      </c>
      <c r="CT328" s="214" t="s">
        <v>70</v>
      </c>
      <c r="CU328" s="214" t="s">
        <v>530</v>
      </c>
      <c r="CW328" s="214" t="s">
        <v>21553</v>
      </c>
      <c r="CX328" s="214" t="s">
        <v>935</v>
      </c>
      <c r="CY328" s="214" t="s">
        <v>70</v>
      </c>
      <c r="CZ328" s="214" t="s">
        <v>530</v>
      </c>
      <c r="DB328" s="214" t="s">
        <v>21554</v>
      </c>
      <c r="DC328" s="214" t="s">
        <v>601</v>
      </c>
      <c r="DD328" s="214" t="s">
        <v>70</v>
      </c>
      <c r="DE328" s="214" t="s">
        <v>530</v>
      </c>
      <c r="DG328" s="214" t="s">
        <v>21555</v>
      </c>
      <c r="DH328" s="214" t="s">
        <v>943</v>
      </c>
      <c r="DI328" s="214" t="s">
        <v>70</v>
      </c>
      <c r="DJ328" s="214" t="s">
        <v>530</v>
      </c>
      <c r="DL328" s="214" t="s">
        <v>21556</v>
      </c>
      <c r="DM328" s="214" t="s">
        <v>52</v>
      </c>
      <c r="DN328" s="214" t="s">
        <v>70</v>
      </c>
      <c r="DO328" s="214" t="s">
        <v>530</v>
      </c>
      <c r="DQ328" s="214" t="s">
        <v>21557</v>
      </c>
      <c r="DR328" s="214" t="s">
        <v>490</v>
      </c>
      <c r="DS328" s="214" t="s">
        <v>70</v>
      </c>
      <c r="DT328" s="214" t="s">
        <v>530</v>
      </c>
      <c r="DV328" s="214" t="s">
        <v>21558</v>
      </c>
      <c r="DW328" s="214" t="s">
        <v>164</v>
      </c>
      <c r="DX328" s="214" t="s">
        <v>70</v>
      </c>
      <c r="DY328" s="214" t="s">
        <v>530</v>
      </c>
      <c r="EA328" s="214" t="s">
        <v>21559</v>
      </c>
      <c r="EB328" s="214" t="s">
        <v>34561</v>
      </c>
      <c r="EC328" s="214" t="s">
        <v>70</v>
      </c>
      <c r="ED328" s="214" t="s">
        <v>530</v>
      </c>
      <c r="EF328" s="214" t="s">
        <v>21560</v>
      </c>
      <c r="EG328" s="214" t="s">
        <v>286</v>
      </c>
      <c r="EH328" s="214" t="s">
        <v>70</v>
      </c>
      <c r="EI328" s="214" t="s">
        <v>530</v>
      </c>
      <c r="EK328" s="214" t="s">
        <v>21561</v>
      </c>
      <c r="EL328" s="214" t="s">
        <v>92</v>
      </c>
      <c r="EM328" s="214" t="s">
        <v>70</v>
      </c>
      <c r="EN328" s="214" t="s">
        <v>530</v>
      </c>
      <c r="EP328" s="214" t="s">
        <v>21562</v>
      </c>
      <c r="EQ328" s="214" t="s">
        <v>34537</v>
      </c>
      <c r="ER328" s="214" t="s">
        <v>70</v>
      </c>
      <c r="ES328" s="214" t="s">
        <v>530</v>
      </c>
      <c r="EU328" s="214" t="s">
        <v>21563</v>
      </c>
      <c r="EV328" s="214" t="s">
        <v>52</v>
      </c>
      <c r="EW328" s="214" t="s">
        <v>70</v>
      </c>
      <c r="EX328" s="214" t="s">
        <v>530</v>
      </c>
      <c r="EZ328" s="214" t="s">
        <v>21564</v>
      </c>
      <c r="FA328" s="214" t="s">
        <v>905</v>
      </c>
      <c r="FB328" s="214" t="s">
        <v>70</v>
      </c>
      <c r="FC328" s="214" t="s">
        <v>530</v>
      </c>
      <c r="FE328" s="214" t="s">
        <v>21565</v>
      </c>
      <c r="FF328" s="214" t="s">
        <v>52</v>
      </c>
      <c r="FG328" s="214" t="s">
        <v>70</v>
      </c>
      <c r="FH328" s="214" t="s">
        <v>530</v>
      </c>
      <c r="FJ328" s="321" t="s">
        <v>21566</v>
      </c>
      <c r="FK328" s="214" t="s">
        <v>52</v>
      </c>
      <c r="FL328" s="214" t="s">
        <v>70</v>
      </c>
      <c r="FM328" s="214" t="s">
        <v>530</v>
      </c>
      <c r="FO328" s="321" t="s">
        <v>21567</v>
      </c>
      <c r="FP328" s="214" t="s">
        <v>923</v>
      </c>
      <c r="FQ328" s="214" t="s">
        <v>70</v>
      </c>
      <c r="FR328" s="214" t="s">
        <v>530</v>
      </c>
      <c r="FT328" s="321" t="s">
        <v>21568</v>
      </c>
      <c r="FU328" s="214" t="s">
        <v>52</v>
      </c>
      <c r="FV328" s="214" t="s">
        <v>70</v>
      </c>
      <c r="FW328" s="214" t="s">
        <v>530</v>
      </c>
      <c r="FY328" s="321" t="s">
        <v>21569</v>
      </c>
      <c r="FZ328" s="214" t="s">
        <v>490</v>
      </c>
      <c r="GA328" s="214" t="s">
        <v>70</v>
      </c>
      <c r="GB328" s="214" t="s">
        <v>530</v>
      </c>
      <c r="GD328" s="321" t="s">
        <v>21570</v>
      </c>
      <c r="GE328" s="214" t="s">
        <v>34639</v>
      </c>
      <c r="GF328" s="214" t="s">
        <v>70</v>
      </c>
      <c r="GG328" s="214" t="s">
        <v>530</v>
      </c>
      <c r="GI328" s="321" t="s">
        <v>21571</v>
      </c>
      <c r="GJ328" s="214" t="s">
        <v>10541</v>
      </c>
      <c r="GK328" s="214" t="s">
        <v>70</v>
      </c>
      <c r="GL328" s="214" t="s">
        <v>530</v>
      </c>
      <c r="GN328" s="321" t="s">
        <v>21572</v>
      </c>
      <c r="GO328" s="214" t="s">
        <v>34583</v>
      </c>
      <c r="GP328" s="214" t="s">
        <v>70</v>
      </c>
      <c r="GQ328" s="214" t="s">
        <v>530</v>
      </c>
      <c r="GS328" s="321" t="s">
        <v>21573</v>
      </c>
      <c r="GT328" s="214" t="s">
        <v>34645</v>
      </c>
      <c r="GU328" s="214" t="s">
        <v>70</v>
      </c>
      <c r="GV328" s="214" t="s">
        <v>530</v>
      </c>
      <c r="GX328" s="214" t="s">
        <v>21574</v>
      </c>
      <c r="GY328" s="214" t="s">
        <v>164</v>
      </c>
      <c r="GZ328" s="214" t="s">
        <v>70</v>
      </c>
      <c r="HA328" s="214" t="s">
        <v>530</v>
      </c>
      <c r="HC328" s="214" t="s">
        <v>21575</v>
      </c>
      <c r="HD328" s="214" t="s">
        <v>912</v>
      </c>
      <c r="HE328" s="214" t="s">
        <v>70</v>
      </c>
      <c r="HF328" s="214" t="s">
        <v>530</v>
      </c>
      <c r="HH328" s="214" t="s">
        <v>21576</v>
      </c>
      <c r="HI328" s="214" t="s">
        <v>601</v>
      </c>
      <c r="HJ328" s="214" t="s">
        <v>70</v>
      </c>
      <c r="HK328" s="214" t="s">
        <v>530</v>
      </c>
      <c r="HM328" s="214" t="s">
        <v>21577</v>
      </c>
      <c r="HN328" s="214" t="s">
        <v>164</v>
      </c>
      <c r="HO328" s="214" t="s">
        <v>70</v>
      </c>
      <c r="HP328" s="214" t="s">
        <v>530</v>
      </c>
      <c r="HR328" s="22" t="s">
        <v>21578</v>
      </c>
      <c r="HS328" s="22" t="s">
        <v>34632</v>
      </c>
      <c r="HT328" s="22" t="s">
        <v>70</v>
      </c>
      <c r="HU328" s="214" t="s">
        <v>530</v>
      </c>
      <c r="HW328" s="22" t="s">
        <v>21579</v>
      </c>
      <c r="HX328" s="22" t="s">
        <v>483</v>
      </c>
      <c r="HY328" s="22" t="s">
        <v>70</v>
      </c>
      <c r="HZ328" s="214" t="s">
        <v>530</v>
      </c>
      <c r="IB328" s="22" t="s">
        <v>21580</v>
      </c>
      <c r="IC328" s="22" t="s">
        <v>90</v>
      </c>
      <c r="ID328" s="22" t="s">
        <v>70</v>
      </c>
      <c r="IE328" s="214" t="s">
        <v>530</v>
      </c>
      <c r="IG328" s="22" t="s">
        <v>21581</v>
      </c>
      <c r="IH328" s="22" t="s">
        <v>52</v>
      </c>
      <c r="II328" s="22" t="s">
        <v>70</v>
      </c>
      <c r="IJ328" s="214" t="s">
        <v>530</v>
      </c>
      <c r="IL328" s="22" t="s">
        <v>21582</v>
      </c>
      <c r="IM328" s="22" t="s">
        <v>145</v>
      </c>
      <c r="IN328" s="22" t="s">
        <v>70</v>
      </c>
      <c r="IO328" s="214" t="s">
        <v>530</v>
      </c>
      <c r="IQ328" s="236" t="s">
        <v>21583</v>
      </c>
      <c r="IR328" s="236" t="s">
        <v>145</v>
      </c>
      <c r="IS328" s="236" t="s">
        <v>74</v>
      </c>
      <c r="IT328" s="236" t="s">
        <v>841</v>
      </c>
      <c r="IV328" s="236" t="s">
        <v>21584</v>
      </c>
      <c r="IW328" s="236" t="s">
        <v>145</v>
      </c>
      <c r="IX328" s="236" t="s">
        <v>74</v>
      </c>
      <c r="IY328" s="236" t="s">
        <v>841</v>
      </c>
      <c r="JA328" s="236" t="s">
        <v>21585</v>
      </c>
      <c r="JB328" s="236" t="s">
        <v>145</v>
      </c>
      <c r="JC328" s="236" t="s">
        <v>74</v>
      </c>
      <c r="JD328" s="236" t="s">
        <v>841</v>
      </c>
      <c r="JF328" s="236" t="s">
        <v>21586</v>
      </c>
      <c r="JG328" s="236" t="s">
        <v>145</v>
      </c>
      <c r="JH328" s="236" t="s">
        <v>74</v>
      </c>
      <c r="JI328" s="236" t="s">
        <v>841</v>
      </c>
      <c r="JK328" s="236" t="s">
        <v>21587</v>
      </c>
      <c r="JL328" s="236" t="s">
        <v>145</v>
      </c>
      <c r="JM328" s="236" t="s">
        <v>74</v>
      </c>
      <c r="JN328" s="236" t="s">
        <v>841</v>
      </c>
      <c r="JP328" s="236" t="s">
        <v>21588</v>
      </c>
      <c r="JQ328" s="236" t="s">
        <v>145</v>
      </c>
      <c r="JR328" s="236" t="s">
        <v>74</v>
      </c>
      <c r="JS328" s="236" t="s">
        <v>841</v>
      </c>
      <c r="JU328" s="294" t="s">
        <v>21589</v>
      </c>
      <c r="JV328" s="294" t="s">
        <v>52</v>
      </c>
      <c r="JW328" s="263" t="s">
        <v>70</v>
      </c>
      <c r="JX328" s="294" t="s">
        <v>1083</v>
      </c>
      <c r="JZ328" s="263" t="s">
        <v>21590</v>
      </c>
      <c r="KA328" s="263" t="s">
        <v>145</v>
      </c>
      <c r="KB328" s="263" t="s">
        <v>70</v>
      </c>
      <c r="KC328" s="263" t="s">
        <v>1083</v>
      </c>
      <c r="KE328" s="263" t="s">
        <v>21591</v>
      </c>
      <c r="KF328" s="263" t="s">
        <v>52</v>
      </c>
      <c r="KG328" s="263" t="s">
        <v>70</v>
      </c>
      <c r="KH328" s="263" t="s">
        <v>1083</v>
      </c>
      <c r="KJ328" s="263" t="s">
        <v>21592</v>
      </c>
      <c r="KK328" s="263" t="s">
        <v>52</v>
      </c>
      <c r="KL328" s="263" t="s">
        <v>74</v>
      </c>
      <c r="KM328" s="263" t="s">
        <v>34074</v>
      </c>
      <c r="KO328" s="214" t="s">
        <v>21593</v>
      </c>
      <c r="KP328" s="214" t="s">
        <v>145</v>
      </c>
      <c r="KQ328" s="214" t="s">
        <v>70</v>
      </c>
      <c r="KR328" s="214" t="s">
        <v>67</v>
      </c>
      <c r="KT328" s="22" t="s">
        <v>21594</v>
      </c>
      <c r="KU328" s="22" t="s">
        <v>145</v>
      </c>
      <c r="KV328" s="22" t="s">
        <v>70</v>
      </c>
      <c r="KW328" s="22" t="s">
        <v>67</v>
      </c>
      <c r="KY328" s="214" t="s">
        <v>21595</v>
      </c>
      <c r="KZ328" s="214" t="s">
        <v>52</v>
      </c>
      <c r="LA328" s="214" t="s">
        <v>74</v>
      </c>
      <c r="LB328" s="214" t="s">
        <v>67</v>
      </c>
      <c r="LD328" s="22" t="s">
        <v>21596</v>
      </c>
      <c r="LE328" s="22" t="s">
        <v>145</v>
      </c>
      <c r="LF328" s="22" t="s">
        <v>70</v>
      </c>
      <c r="LG328" s="22" t="s">
        <v>67</v>
      </c>
    </row>
    <row r="329" spans="1:319">
      <c r="A329" s="22" t="s">
        <v>21597</v>
      </c>
      <c r="B329" s="22" t="s">
        <v>145</v>
      </c>
      <c r="C329" s="22" t="s">
        <v>70</v>
      </c>
      <c r="D329" s="22" t="s">
        <v>67</v>
      </c>
      <c r="F329" s="99" t="s">
        <v>21598</v>
      </c>
      <c r="G329" s="22" t="s">
        <v>145</v>
      </c>
      <c r="H329" s="22" t="s">
        <v>70</v>
      </c>
      <c r="I329" s="22" t="s">
        <v>67</v>
      </c>
      <c r="K329" s="22" t="s">
        <v>21599</v>
      </c>
      <c r="L329" s="22" t="s">
        <v>145</v>
      </c>
      <c r="M329" s="22" t="s">
        <v>70</v>
      </c>
      <c r="N329" s="22" t="s">
        <v>67</v>
      </c>
      <c r="P329" s="22" t="s">
        <v>21600</v>
      </c>
      <c r="Q329" s="22" t="s">
        <v>145</v>
      </c>
      <c r="R329" s="22" t="s">
        <v>70</v>
      </c>
      <c r="S329" s="22" t="s">
        <v>67</v>
      </c>
      <c r="U329" s="293" t="s">
        <v>21601</v>
      </c>
      <c r="V329" s="293" t="s">
        <v>145</v>
      </c>
      <c r="W329" s="293" t="s">
        <v>74</v>
      </c>
      <c r="X329" s="293" t="s">
        <v>656</v>
      </c>
      <c r="Z329" s="293" t="s">
        <v>21602</v>
      </c>
      <c r="AA329" s="293" t="s">
        <v>145</v>
      </c>
      <c r="AB329" s="293" t="s">
        <v>74</v>
      </c>
      <c r="AC329" s="293" t="s">
        <v>656</v>
      </c>
      <c r="AE329" s="293" t="s">
        <v>21603</v>
      </c>
      <c r="AF329" s="293" t="s">
        <v>145</v>
      </c>
      <c r="AG329" s="293" t="s">
        <v>74</v>
      </c>
      <c r="AH329" s="293" t="s">
        <v>656</v>
      </c>
      <c r="AJ329" s="293" t="s">
        <v>21604</v>
      </c>
      <c r="AK329" s="293" t="s">
        <v>145</v>
      </c>
      <c r="AL329" s="293" t="s">
        <v>74</v>
      </c>
      <c r="AM329" s="293" t="s">
        <v>656</v>
      </c>
      <c r="AO329" s="22" t="s">
        <v>21605</v>
      </c>
      <c r="AP329" s="22" t="s">
        <v>145</v>
      </c>
      <c r="AQ329" s="22" t="s">
        <v>70</v>
      </c>
      <c r="AR329" s="22" t="s">
        <v>67</v>
      </c>
      <c r="AT329" s="22" t="s">
        <v>21606</v>
      </c>
      <c r="AU329" s="22" t="s">
        <v>145</v>
      </c>
      <c r="AV329" s="22" t="s">
        <v>70</v>
      </c>
      <c r="AW329" s="22" t="s">
        <v>67</v>
      </c>
      <c r="AY329" s="22" t="s">
        <v>21607</v>
      </c>
      <c r="AZ329" s="22" t="s">
        <v>145</v>
      </c>
      <c r="BA329" s="22" t="s">
        <v>70</v>
      </c>
      <c r="BB329" s="22" t="s">
        <v>67</v>
      </c>
      <c r="BD329" s="22" t="s">
        <v>21608</v>
      </c>
      <c r="BE329" s="22" t="s">
        <v>145</v>
      </c>
      <c r="BF329" s="22" t="s">
        <v>70</v>
      </c>
      <c r="BG329" s="22" t="s">
        <v>67</v>
      </c>
      <c r="BI329" s="22" t="s">
        <v>21609</v>
      </c>
      <c r="BJ329" s="22" t="s">
        <v>145</v>
      </c>
      <c r="BK329" s="22" t="s">
        <v>70</v>
      </c>
      <c r="BL329" s="22" t="s">
        <v>67</v>
      </c>
      <c r="BN329" s="22" t="s">
        <v>21610</v>
      </c>
      <c r="BO329" s="22" t="s">
        <v>145</v>
      </c>
      <c r="BP329" s="22" t="s">
        <v>70</v>
      </c>
      <c r="BQ329" s="22" t="s">
        <v>67</v>
      </c>
      <c r="BS329" s="22" t="s">
        <v>21611</v>
      </c>
      <c r="BT329" s="22" t="s">
        <v>145</v>
      </c>
      <c r="BU329" s="22" t="s">
        <v>70</v>
      </c>
      <c r="BV329" s="214" t="s">
        <v>530</v>
      </c>
      <c r="BX329" s="22" t="s">
        <v>21612</v>
      </c>
      <c r="BY329" s="22" t="s">
        <v>145</v>
      </c>
      <c r="BZ329" s="22" t="s">
        <v>70</v>
      </c>
      <c r="CA329" s="214" t="s">
        <v>530</v>
      </c>
      <c r="CC329" s="214" t="s">
        <v>21613</v>
      </c>
      <c r="CD329" s="218" t="s">
        <v>34607</v>
      </c>
      <c r="CE329" s="214" t="s">
        <v>70</v>
      </c>
      <c r="CF329" s="214" t="s">
        <v>34135</v>
      </c>
      <c r="CH329" s="214" t="s">
        <v>21614</v>
      </c>
      <c r="CI329" s="214" t="s">
        <v>486</v>
      </c>
      <c r="CJ329" s="214" t="s">
        <v>70</v>
      </c>
      <c r="CK329" s="214" t="s">
        <v>530</v>
      </c>
      <c r="CM329" s="214" t="s">
        <v>21615</v>
      </c>
      <c r="CN329" s="214" t="s">
        <v>484</v>
      </c>
      <c r="CO329" s="214" t="s">
        <v>70</v>
      </c>
      <c r="CP329" s="214" t="s">
        <v>530</v>
      </c>
      <c r="CR329" s="214" t="s">
        <v>21616</v>
      </c>
      <c r="CS329" s="214" t="s">
        <v>52</v>
      </c>
      <c r="CT329" s="214" t="s">
        <v>70</v>
      </c>
      <c r="CU329" s="214" t="s">
        <v>530</v>
      </c>
      <c r="CW329" s="214" t="s">
        <v>21617</v>
      </c>
      <c r="CX329" s="214" t="s">
        <v>488</v>
      </c>
      <c r="CY329" s="214" t="s">
        <v>70</v>
      </c>
      <c r="CZ329" s="214" t="s">
        <v>530</v>
      </c>
      <c r="DB329" s="214" t="s">
        <v>21618</v>
      </c>
      <c r="DC329" s="214" t="s">
        <v>52</v>
      </c>
      <c r="DD329" s="214" t="s">
        <v>70</v>
      </c>
      <c r="DE329" s="214" t="s">
        <v>530</v>
      </c>
      <c r="DG329" s="214" t="s">
        <v>21619</v>
      </c>
      <c r="DH329" s="214" t="s">
        <v>34545</v>
      </c>
      <c r="DI329" s="214" t="s">
        <v>70</v>
      </c>
      <c r="DJ329" s="214" t="s">
        <v>530</v>
      </c>
      <c r="DL329" s="214" t="s">
        <v>21620</v>
      </c>
      <c r="DM329" s="214" t="s">
        <v>468</v>
      </c>
      <c r="DN329" s="214" t="s">
        <v>70</v>
      </c>
      <c r="DO329" s="214" t="s">
        <v>530</v>
      </c>
      <c r="DQ329" s="214" t="s">
        <v>21621</v>
      </c>
      <c r="DR329" s="214" t="s">
        <v>912</v>
      </c>
      <c r="DS329" s="214" t="s">
        <v>70</v>
      </c>
      <c r="DT329" s="214" t="s">
        <v>530</v>
      </c>
      <c r="DV329" s="214" t="s">
        <v>21622</v>
      </c>
      <c r="DW329" s="214" t="s">
        <v>146</v>
      </c>
      <c r="DX329" s="214" t="s">
        <v>70</v>
      </c>
      <c r="DY329" s="214" t="s">
        <v>530</v>
      </c>
      <c r="EA329" s="214" t="s">
        <v>21623</v>
      </c>
      <c r="EB329" s="214" t="s">
        <v>146</v>
      </c>
      <c r="EC329" s="214" t="s">
        <v>70</v>
      </c>
      <c r="ED329" s="214" t="s">
        <v>530</v>
      </c>
      <c r="EF329" s="214" t="s">
        <v>21624</v>
      </c>
      <c r="EG329" s="214" t="s">
        <v>937</v>
      </c>
      <c r="EH329" s="214" t="s">
        <v>70</v>
      </c>
      <c r="EI329" s="214" t="s">
        <v>530</v>
      </c>
      <c r="EK329" s="214" t="s">
        <v>21625</v>
      </c>
      <c r="EL329" s="214" t="s">
        <v>599</v>
      </c>
      <c r="EM329" s="214" t="s">
        <v>70</v>
      </c>
      <c r="EN329" s="214" t="s">
        <v>530</v>
      </c>
      <c r="EP329" s="214" t="s">
        <v>21626</v>
      </c>
      <c r="EQ329" s="214" t="s">
        <v>34405</v>
      </c>
      <c r="ER329" s="214" t="s">
        <v>70</v>
      </c>
      <c r="ES329" s="214" t="s">
        <v>530</v>
      </c>
      <c r="EU329" s="214" t="s">
        <v>21627</v>
      </c>
      <c r="EV329" s="214" t="s">
        <v>52</v>
      </c>
      <c r="EW329" s="214" t="s">
        <v>70</v>
      </c>
      <c r="EX329" s="214" t="s">
        <v>530</v>
      </c>
      <c r="EZ329" s="214" t="s">
        <v>21628</v>
      </c>
      <c r="FA329" s="214" t="s">
        <v>501</v>
      </c>
      <c r="FB329" s="214" t="s">
        <v>70</v>
      </c>
      <c r="FC329" s="214" t="s">
        <v>530</v>
      </c>
      <c r="FE329" s="214" t="s">
        <v>21629</v>
      </c>
      <c r="FF329" s="214" t="s">
        <v>52</v>
      </c>
      <c r="FG329" s="214" t="s">
        <v>70</v>
      </c>
      <c r="FH329" s="214" t="s">
        <v>530</v>
      </c>
      <c r="FJ329" s="321" t="s">
        <v>21630</v>
      </c>
      <c r="FK329" s="214" t="s">
        <v>203</v>
      </c>
      <c r="FL329" s="214" t="s">
        <v>70</v>
      </c>
      <c r="FM329" s="214" t="s">
        <v>530</v>
      </c>
      <c r="FO329" s="321" t="s">
        <v>21631</v>
      </c>
      <c r="FP329" s="214" t="s">
        <v>287</v>
      </c>
      <c r="FQ329" s="214" t="s">
        <v>70</v>
      </c>
      <c r="FR329" s="214" t="s">
        <v>530</v>
      </c>
      <c r="FT329" s="321" t="s">
        <v>21632</v>
      </c>
      <c r="FU329" s="214" t="s">
        <v>919</v>
      </c>
      <c r="FV329" s="214" t="s">
        <v>70</v>
      </c>
      <c r="FW329" s="214" t="s">
        <v>530</v>
      </c>
      <c r="FY329" s="321" t="s">
        <v>21633</v>
      </c>
      <c r="FZ329" s="214" t="s">
        <v>482</v>
      </c>
      <c r="GA329" s="214" t="s">
        <v>70</v>
      </c>
      <c r="GB329" s="214" t="s">
        <v>530</v>
      </c>
      <c r="GD329" s="321" t="s">
        <v>21634</v>
      </c>
      <c r="GE329" s="214" t="s">
        <v>34556</v>
      </c>
      <c r="GF329" s="214" t="s">
        <v>70</v>
      </c>
      <c r="GG329" s="214" t="s">
        <v>530</v>
      </c>
      <c r="GI329" s="321" t="s">
        <v>21635</v>
      </c>
      <c r="GJ329" s="214" t="s">
        <v>146</v>
      </c>
      <c r="GK329" s="214" t="s">
        <v>70</v>
      </c>
      <c r="GL329" s="214" t="s">
        <v>530</v>
      </c>
      <c r="GN329" s="321" t="s">
        <v>21636</v>
      </c>
      <c r="GO329" s="214" t="s">
        <v>52</v>
      </c>
      <c r="GP329" s="214" t="s">
        <v>70</v>
      </c>
      <c r="GQ329" s="214" t="s">
        <v>530</v>
      </c>
      <c r="GS329" s="321" t="s">
        <v>21637</v>
      </c>
      <c r="GT329" s="214" t="s">
        <v>34544</v>
      </c>
      <c r="GU329" s="214" t="s">
        <v>70</v>
      </c>
      <c r="GV329" s="214" t="s">
        <v>530</v>
      </c>
      <c r="GX329" s="214" t="s">
        <v>21638</v>
      </c>
      <c r="GY329" s="214" t="s">
        <v>950</v>
      </c>
      <c r="GZ329" s="214" t="s">
        <v>70</v>
      </c>
      <c r="HA329" s="214" t="s">
        <v>530</v>
      </c>
      <c r="HC329" s="214" t="s">
        <v>21639</v>
      </c>
      <c r="HD329" s="214" t="s">
        <v>484</v>
      </c>
      <c r="HE329" s="214" t="s">
        <v>70</v>
      </c>
      <c r="HF329" s="214" t="s">
        <v>530</v>
      </c>
      <c r="HH329" s="214" t="s">
        <v>21640</v>
      </c>
      <c r="HI329" s="214" t="s">
        <v>52</v>
      </c>
      <c r="HJ329" s="214" t="s">
        <v>70</v>
      </c>
      <c r="HK329" s="214" t="s">
        <v>530</v>
      </c>
      <c r="HM329" s="214" t="s">
        <v>21641</v>
      </c>
      <c r="HN329" s="214" t="s">
        <v>955</v>
      </c>
      <c r="HO329" s="214" t="s">
        <v>70</v>
      </c>
      <c r="HP329" s="214" t="s">
        <v>530</v>
      </c>
      <c r="HR329" s="22" t="s">
        <v>21642</v>
      </c>
      <c r="HS329" s="22" t="s">
        <v>503</v>
      </c>
      <c r="HT329" s="22" t="s">
        <v>70</v>
      </c>
      <c r="HU329" s="214" t="s">
        <v>530</v>
      </c>
      <c r="HW329" s="22" t="s">
        <v>21643</v>
      </c>
      <c r="HX329" s="22" t="s">
        <v>491</v>
      </c>
      <c r="HY329" s="22" t="s">
        <v>70</v>
      </c>
      <c r="HZ329" s="214" t="s">
        <v>530</v>
      </c>
      <c r="IB329" s="22" t="s">
        <v>21644</v>
      </c>
      <c r="IC329" s="22" t="s">
        <v>916</v>
      </c>
      <c r="ID329" s="22" t="s">
        <v>70</v>
      </c>
      <c r="IE329" s="214" t="s">
        <v>530</v>
      </c>
      <c r="IG329" s="22" t="s">
        <v>21645</v>
      </c>
      <c r="IH329" s="22" t="s">
        <v>52</v>
      </c>
      <c r="II329" s="22" t="s">
        <v>70</v>
      </c>
      <c r="IJ329" s="214" t="s">
        <v>530</v>
      </c>
      <c r="IL329" s="22" t="s">
        <v>21646</v>
      </c>
      <c r="IM329" s="22" t="s">
        <v>145</v>
      </c>
      <c r="IN329" s="22" t="s">
        <v>70</v>
      </c>
      <c r="IO329" s="214" t="s">
        <v>530</v>
      </c>
      <c r="IQ329" s="236" t="s">
        <v>21647</v>
      </c>
      <c r="IR329" s="236" t="s">
        <v>145</v>
      </c>
      <c r="IS329" s="236" t="s">
        <v>74</v>
      </c>
      <c r="IT329" s="236" t="s">
        <v>841</v>
      </c>
      <c r="IV329" s="236" t="s">
        <v>21648</v>
      </c>
      <c r="IW329" s="236" t="s">
        <v>145</v>
      </c>
      <c r="IX329" s="236" t="s">
        <v>74</v>
      </c>
      <c r="IY329" s="236" t="s">
        <v>841</v>
      </c>
      <c r="JA329" s="236" t="s">
        <v>21649</v>
      </c>
      <c r="JB329" s="236" t="s">
        <v>145</v>
      </c>
      <c r="JC329" s="236" t="s">
        <v>74</v>
      </c>
      <c r="JD329" s="236" t="s">
        <v>841</v>
      </c>
      <c r="JF329" s="236" t="s">
        <v>21650</v>
      </c>
      <c r="JG329" s="236" t="s">
        <v>145</v>
      </c>
      <c r="JH329" s="236" t="s">
        <v>74</v>
      </c>
      <c r="JI329" s="236" t="s">
        <v>841</v>
      </c>
      <c r="JK329" s="236" t="s">
        <v>21651</v>
      </c>
      <c r="JL329" s="236" t="s">
        <v>145</v>
      </c>
      <c r="JM329" s="236" t="s">
        <v>74</v>
      </c>
      <c r="JN329" s="236" t="s">
        <v>841</v>
      </c>
      <c r="JP329" s="236" t="s">
        <v>21652</v>
      </c>
      <c r="JQ329" s="236" t="s">
        <v>145</v>
      </c>
      <c r="JR329" s="236" t="s">
        <v>74</v>
      </c>
      <c r="JS329" s="236" t="s">
        <v>841</v>
      </c>
      <c r="JU329" s="294" t="s">
        <v>21653</v>
      </c>
      <c r="JV329" s="294" t="s">
        <v>52</v>
      </c>
      <c r="JW329" s="263" t="s">
        <v>70</v>
      </c>
      <c r="JX329" s="294" t="s">
        <v>1083</v>
      </c>
      <c r="JZ329" s="263" t="s">
        <v>21654</v>
      </c>
      <c r="KA329" s="263" t="s">
        <v>145</v>
      </c>
      <c r="KB329" s="263" t="s">
        <v>70</v>
      </c>
      <c r="KC329" s="263" t="s">
        <v>1083</v>
      </c>
      <c r="KE329" s="263" t="s">
        <v>21655</v>
      </c>
      <c r="KF329" s="263" t="s">
        <v>52</v>
      </c>
      <c r="KG329" s="263" t="s">
        <v>70</v>
      </c>
      <c r="KH329" s="263" t="s">
        <v>1083</v>
      </c>
      <c r="KJ329" s="263" t="s">
        <v>21656</v>
      </c>
      <c r="KK329" s="263" t="s">
        <v>52</v>
      </c>
      <c r="KL329" s="263" t="s">
        <v>74</v>
      </c>
      <c r="KM329" s="263" t="s">
        <v>34074</v>
      </c>
      <c r="KO329" s="214" t="s">
        <v>21657</v>
      </c>
      <c r="KP329" s="214" t="s">
        <v>145</v>
      </c>
      <c r="KQ329" s="214" t="s">
        <v>70</v>
      </c>
      <c r="KR329" s="214" t="s">
        <v>67</v>
      </c>
      <c r="KT329" s="22" t="s">
        <v>21658</v>
      </c>
      <c r="KU329" s="22" t="s">
        <v>145</v>
      </c>
      <c r="KV329" s="22" t="s">
        <v>70</v>
      </c>
      <c r="KW329" s="22" t="s">
        <v>67</v>
      </c>
      <c r="KY329" s="214" t="s">
        <v>21659</v>
      </c>
      <c r="KZ329" s="214" t="s">
        <v>52</v>
      </c>
      <c r="LA329" s="214" t="s">
        <v>74</v>
      </c>
      <c r="LB329" s="214" t="s">
        <v>67</v>
      </c>
      <c r="LD329" s="22" t="s">
        <v>21660</v>
      </c>
      <c r="LE329" s="22" t="s">
        <v>145</v>
      </c>
      <c r="LF329" s="22" t="s">
        <v>70</v>
      </c>
      <c r="LG329" s="22" t="s">
        <v>67</v>
      </c>
    </row>
    <row r="330" spans="1:319">
      <c r="A330" s="22" t="s">
        <v>21661</v>
      </c>
      <c r="B330" s="22" t="s">
        <v>145</v>
      </c>
      <c r="C330" s="22" t="s">
        <v>70</v>
      </c>
      <c r="D330" s="22" t="s">
        <v>67</v>
      </c>
      <c r="F330" s="99" t="s">
        <v>21662</v>
      </c>
      <c r="G330" s="22" t="s">
        <v>145</v>
      </c>
      <c r="H330" s="22" t="s">
        <v>70</v>
      </c>
      <c r="I330" s="22" t="s">
        <v>67</v>
      </c>
      <c r="K330" s="22" t="s">
        <v>21663</v>
      </c>
      <c r="L330" s="22" t="s">
        <v>145</v>
      </c>
      <c r="M330" s="22" t="s">
        <v>70</v>
      </c>
      <c r="N330" s="22" t="s">
        <v>67</v>
      </c>
      <c r="P330" s="22" t="s">
        <v>21664</v>
      </c>
      <c r="Q330" s="22" t="s">
        <v>145</v>
      </c>
      <c r="R330" s="22" t="s">
        <v>70</v>
      </c>
      <c r="S330" s="22" t="s">
        <v>67</v>
      </c>
      <c r="U330" s="293" t="s">
        <v>21665</v>
      </c>
      <c r="V330" s="293" t="s">
        <v>145</v>
      </c>
      <c r="W330" s="293" t="s">
        <v>74</v>
      </c>
      <c r="X330" s="293" t="s">
        <v>656</v>
      </c>
      <c r="Z330" s="293" t="s">
        <v>21666</v>
      </c>
      <c r="AA330" s="293" t="s">
        <v>145</v>
      </c>
      <c r="AB330" s="293" t="s">
        <v>74</v>
      </c>
      <c r="AC330" s="293" t="s">
        <v>656</v>
      </c>
      <c r="AE330" s="293" t="s">
        <v>21667</v>
      </c>
      <c r="AF330" s="293" t="s">
        <v>145</v>
      </c>
      <c r="AG330" s="293" t="s">
        <v>74</v>
      </c>
      <c r="AH330" s="293" t="s">
        <v>656</v>
      </c>
      <c r="AJ330" s="293" t="s">
        <v>21668</v>
      </c>
      <c r="AK330" s="293" t="s">
        <v>145</v>
      </c>
      <c r="AL330" s="293" t="s">
        <v>74</v>
      </c>
      <c r="AM330" s="293" t="s">
        <v>656</v>
      </c>
      <c r="AO330" s="22" t="s">
        <v>21669</v>
      </c>
      <c r="AP330" s="22" t="s">
        <v>145</v>
      </c>
      <c r="AQ330" s="22" t="s">
        <v>70</v>
      </c>
      <c r="AR330" s="22" t="s">
        <v>67</v>
      </c>
      <c r="AT330" s="22" t="s">
        <v>21670</v>
      </c>
      <c r="AU330" s="22" t="s">
        <v>145</v>
      </c>
      <c r="AV330" s="22" t="s">
        <v>70</v>
      </c>
      <c r="AW330" s="22" t="s">
        <v>67</v>
      </c>
      <c r="AY330" s="22" t="s">
        <v>21671</v>
      </c>
      <c r="AZ330" s="22" t="s">
        <v>145</v>
      </c>
      <c r="BA330" s="22" t="s">
        <v>70</v>
      </c>
      <c r="BB330" s="22" t="s">
        <v>67</v>
      </c>
      <c r="BD330" s="22" t="s">
        <v>21672</v>
      </c>
      <c r="BE330" s="22" t="s">
        <v>145</v>
      </c>
      <c r="BF330" s="22" t="s">
        <v>70</v>
      </c>
      <c r="BG330" s="22" t="s">
        <v>67</v>
      </c>
      <c r="BI330" s="22" t="s">
        <v>21673</v>
      </c>
      <c r="BJ330" s="22" t="s">
        <v>145</v>
      </c>
      <c r="BK330" s="22" t="s">
        <v>70</v>
      </c>
      <c r="BL330" s="22" t="s">
        <v>67</v>
      </c>
      <c r="BN330" s="22" t="s">
        <v>21674</v>
      </c>
      <c r="BO330" s="22" t="s">
        <v>145</v>
      </c>
      <c r="BP330" s="22" t="s">
        <v>70</v>
      </c>
      <c r="BQ330" s="22" t="s">
        <v>67</v>
      </c>
      <c r="BS330" s="22" t="s">
        <v>21675</v>
      </c>
      <c r="BT330" s="22" t="s">
        <v>145</v>
      </c>
      <c r="BU330" s="22" t="s">
        <v>70</v>
      </c>
      <c r="BV330" s="214" t="s">
        <v>530</v>
      </c>
      <c r="BX330" s="22" t="s">
        <v>21676</v>
      </c>
      <c r="BY330" s="22" t="s">
        <v>145</v>
      </c>
      <c r="BZ330" s="22" t="s">
        <v>70</v>
      </c>
      <c r="CA330" s="214" t="s">
        <v>530</v>
      </c>
      <c r="CC330" s="214" t="s">
        <v>21677</v>
      </c>
      <c r="CD330" s="218" t="s">
        <v>52</v>
      </c>
      <c r="CE330" s="214" t="s">
        <v>70</v>
      </c>
      <c r="CF330" s="214" t="s">
        <v>34136</v>
      </c>
      <c r="CH330" s="214" t="s">
        <v>21678</v>
      </c>
      <c r="CI330" s="214" t="s">
        <v>92</v>
      </c>
      <c r="CJ330" s="214" t="s">
        <v>70</v>
      </c>
      <c r="CK330" s="214" t="s">
        <v>530</v>
      </c>
      <c r="CM330" s="214" t="s">
        <v>21679</v>
      </c>
      <c r="CN330" s="214" t="s">
        <v>485</v>
      </c>
      <c r="CO330" s="214" t="s">
        <v>70</v>
      </c>
      <c r="CP330" s="214" t="s">
        <v>530</v>
      </c>
      <c r="CR330" s="214" t="s">
        <v>21680</v>
      </c>
      <c r="CS330" s="214" t="s">
        <v>86</v>
      </c>
      <c r="CT330" s="214" t="s">
        <v>70</v>
      </c>
      <c r="CU330" s="214" t="s">
        <v>530</v>
      </c>
      <c r="CW330" s="214" t="s">
        <v>21681</v>
      </c>
      <c r="CX330" s="214" t="s">
        <v>599</v>
      </c>
      <c r="CY330" s="214" t="s">
        <v>70</v>
      </c>
      <c r="CZ330" s="214" t="s">
        <v>530</v>
      </c>
      <c r="DB330" s="214" t="s">
        <v>21682</v>
      </c>
      <c r="DC330" s="214" t="s">
        <v>598</v>
      </c>
      <c r="DD330" s="214" t="s">
        <v>70</v>
      </c>
      <c r="DE330" s="214" t="s">
        <v>530</v>
      </c>
      <c r="DG330" s="214" t="s">
        <v>21683</v>
      </c>
      <c r="DH330" s="214" t="s">
        <v>52</v>
      </c>
      <c r="DI330" s="214" t="s">
        <v>70</v>
      </c>
      <c r="DJ330" s="214" t="s">
        <v>530</v>
      </c>
      <c r="DL330" s="214" t="s">
        <v>21684</v>
      </c>
      <c r="DM330" s="214" t="s">
        <v>88</v>
      </c>
      <c r="DN330" s="214" t="s">
        <v>70</v>
      </c>
      <c r="DO330" s="214" t="s">
        <v>530</v>
      </c>
      <c r="DQ330" s="214" t="s">
        <v>21685</v>
      </c>
      <c r="DR330" s="214" t="s">
        <v>34637</v>
      </c>
      <c r="DS330" s="214" t="s">
        <v>70</v>
      </c>
      <c r="DT330" s="214" t="s">
        <v>530</v>
      </c>
      <c r="DV330" s="214" t="s">
        <v>21686</v>
      </c>
      <c r="DW330" s="214" t="s">
        <v>287</v>
      </c>
      <c r="DX330" s="214" t="s">
        <v>70</v>
      </c>
      <c r="DY330" s="214" t="s">
        <v>530</v>
      </c>
      <c r="EA330" s="214" t="s">
        <v>21687</v>
      </c>
      <c r="EB330" s="214" t="s">
        <v>88</v>
      </c>
      <c r="EC330" s="214" t="s">
        <v>70</v>
      </c>
      <c r="ED330" s="214" t="s">
        <v>530</v>
      </c>
      <c r="EF330" s="214" t="s">
        <v>21688</v>
      </c>
      <c r="EG330" s="214" t="s">
        <v>481</v>
      </c>
      <c r="EH330" s="214" t="s">
        <v>70</v>
      </c>
      <c r="EI330" s="214" t="s">
        <v>530</v>
      </c>
      <c r="EK330" s="214" t="s">
        <v>21689</v>
      </c>
      <c r="EL330" s="214" t="s">
        <v>52</v>
      </c>
      <c r="EM330" s="214" t="s">
        <v>70</v>
      </c>
      <c r="EN330" s="214" t="s">
        <v>530</v>
      </c>
      <c r="EP330" s="214" t="s">
        <v>21690</v>
      </c>
      <c r="EQ330" s="214" t="s">
        <v>52</v>
      </c>
      <c r="ER330" s="214" t="s">
        <v>70</v>
      </c>
      <c r="ES330" s="214" t="s">
        <v>530</v>
      </c>
      <c r="EU330" s="214" t="s">
        <v>21691</v>
      </c>
      <c r="EV330" s="214" t="s">
        <v>34556</v>
      </c>
      <c r="EW330" s="214" t="s">
        <v>70</v>
      </c>
      <c r="EX330" s="214" t="s">
        <v>530</v>
      </c>
      <c r="EZ330" s="214" t="s">
        <v>21692</v>
      </c>
      <c r="FA330" s="214" t="s">
        <v>163</v>
      </c>
      <c r="FB330" s="214" t="s">
        <v>70</v>
      </c>
      <c r="FC330" s="214" t="s">
        <v>530</v>
      </c>
      <c r="FE330" s="214" t="s">
        <v>21693</v>
      </c>
      <c r="FF330" s="214" t="s">
        <v>919</v>
      </c>
      <c r="FG330" s="214" t="s">
        <v>70</v>
      </c>
      <c r="FH330" s="214" t="s">
        <v>530</v>
      </c>
      <c r="FJ330" s="321" t="s">
        <v>21694</v>
      </c>
      <c r="FK330" s="214" t="s">
        <v>905</v>
      </c>
      <c r="FL330" s="214" t="s">
        <v>70</v>
      </c>
      <c r="FM330" s="214" t="s">
        <v>530</v>
      </c>
      <c r="FO330" s="321" t="s">
        <v>21695</v>
      </c>
      <c r="FP330" s="214" t="s">
        <v>52</v>
      </c>
      <c r="FQ330" s="214" t="s">
        <v>70</v>
      </c>
      <c r="FR330" s="214" t="s">
        <v>530</v>
      </c>
      <c r="FT330" s="321" t="s">
        <v>21696</v>
      </c>
      <c r="FU330" s="214" t="s">
        <v>34516</v>
      </c>
      <c r="FV330" s="214" t="s">
        <v>70</v>
      </c>
      <c r="FW330" s="214" t="s">
        <v>530</v>
      </c>
      <c r="FY330" s="321" t="s">
        <v>21697</v>
      </c>
      <c r="FZ330" s="214" t="s">
        <v>149</v>
      </c>
      <c r="GA330" s="214" t="s">
        <v>70</v>
      </c>
      <c r="GB330" s="214" t="s">
        <v>530</v>
      </c>
      <c r="GD330" s="321" t="s">
        <v>21698</v>
      </c>
      <c r="GE330" s="214" t="s">
        <v>163</v>
      </c>
      <c r="GF330" s="214" t="s">
        <v>70</v>
      </c>
      <c r="GG330" s="214" t="s">
        <v>530</v>
      </c>
      <c r="GI330" s="321" t="s">
        <v>21699</v>
      </c>
      <c r="GJ330" s="214" t="s">
        <v>939</v>
      </c>
      <c r="GK330" s="214" t="s">
        <v>70</v>
      </c>
      <c r="GL330" s="214" t="s">
        <v>530</v>
      </c>
      <c r="GN330" s="321" t="s">
        <v>21700</v>
      </c>
      <c r="GO330" s="214" t="s">
        <v>103</v>
      </c>
      <c r="GP330" s="214" t="s">
        <v>70</v>
      </c>
      <c r="GQ330" s="214" t="s">
        <v>530</v>
      </c>
      <c r="GS330" s="321" t="s">
        <v>21701</v>
      </c>
      <c r="GT330" s="214" t="s">
        <v>163</v>
      </c>
      <c r="GU330" s="214" t="s">
        <v>70</v>
      </c>
      <c r="GV330" s="214" t="s">
        <v>530</v>
      </c>
      <c r="GX330" s="214" t="s">
        <v>21702</v>
      </c>
      <c r="GY330" s="214" t="s">
        <v>164</v>
      </c>
      <c r="GZ330" s="214" t="s">
        <v>70</v>
      </c>
      <c r="HA330" s="214" t="s">
        <v>530</v>
      </c>
      <c r="HC330" s="214" t="s">
        <v>21703</v>
      </c>
      <c r="HD330" s="214" t="s">
        <v>148</v>
      </c>
      <c r="HE330" s="214" t="s">
        <v>70</v>
      </c>
      <c r="HF330" s="214" t="s">
        <v>530</v>
      </c>
      <c r="HH330" s="214" t="s">
        <v>21704</v>
      </c>
      <c r="HI330" s="214" t="s">
        <v>34579</v>
      </c>
      <c r="HJ330" s="214" t="s">
        <v>70</v>
      </c>
      <c r="HK330" s="214" t="s">
        <v>530</v>
      </c>
      <c r="HM330" s="214" t="s">
        <v>21705</v>
      </c>
      <c r="HN330" s="214" t="s">
        <v>145</v>
      </c>
      <c r="HO330" s="214" t="s">
        <v>70</v>
      </c>
      <c r="HP330" s="214" t="s">
        <v>530</v>
      </c>
      <c r="HR330" s="22" t="s">
        <v>21706</v>
      </c>
      <c r="HS330" s="22" t="s">
        <v>34558</v>
      </c>
      <c r="HT330" s="22" t="s">
        <v>70</v>
      </c>
      <c r="HU330" s="214" t="s">
        <v>530</v>
      </c>
      <c r="HW330" s="22" t="s">
        <v>21707</v>
      </c>
      <c r="HX330" s="22" t="s">
        <v>52</v>
      </c>
      <c r="HY330" s="22" t="s">
        <v>70</v>
      </c>
      <c r="HZ330" s="214" t="s">
        <v>530</v>
      </c>
      <c r="IB330" s="22" t="s">
        <v>21708</v>
      </c>
      <c r="IC330" s="22" t="s">
        <v>468</v>
      </c>
      <c r="ID330" s="22" t="s">
        <v>70</v>
      </c>
      <c r="IE330" s="214" t="s">
        <v>530</v>
      </c>
      <c r="IG330" s="22" t="s">
        <v>21709</v>
      </c>
      <c r="IH330" s="22" t="s">
        <v>52</v>
      </c>
      <c r="II330" s="22" t="s">
        <v>70</v>
      </c>
      <c r="IJ330" s="214" t="s">
        <v>530</v>
      </c>
      <c r="IL330" s="22" t="s">
        <v>21710</v>
      </c>
      <c r="IM330" s="22" t="s">
        <v>145</v>
      </c>
      <c r="IN330" s="22" t="s">
        <v>70</v>
      </c>
      <c r="IO330" s="214" t="s">
        <v>530</v>
      </c>
      <c r="IQ330" s="236" t="s">
        <v>21711</v>
      </c>
      <c r="IR330" s="236" t="s">
        <v>145</v>
      </c>
      <c r="IS330" s="236" t="s">
        <v>74</v>
      </c>
      <c r="IT330" s="236" t="s">
        <v>841</v>
      </c>
      <c r="IV330" s="236" t="s">
        <v>21712</v>
      </c>
      <c r="IW330" s="236" t="s">
        <v>145</v>
      </c>
      <c r="IX330" s="236" t="s">
        <v>74</v>
      </c>
      <c r="IY330" s="236" t="s">
        <v>841</v>
      </c>
      <c r="JA330" s="236" t="s">
        <v>21713</v>
      </c>
      <c r="JB330" s="236" t="s">
        <v>145</v>
      </c>
      <c r="JC330" s="236" t="s">
        <v>74</v>
      </c>
      <c r="JD330" s="236" t="s">
        <v>841</v>
      </c>
      <c r="JF330" s="236" t="s">
        <v>21714</v>
      </c>
      <c r="JG330" s="236" t="s">
        <v>145</v>
      </c>
      <c r="JH330" s="236" t="s">
        <v>74</v>
      </c>
      <c r="JI330" s="236" t="s">
        <v>841</v>
      </c>
      <c r="JK330" s="236" t="s">
        <v>21715</v>
      </c>
      <c r="JL330" s="236" t="s">
        <v>145</v>
      </c>
      <c r="JM330" s="236" t="s">
        <v>74</v>
      </c>
      <c r="JN330" s="236" t="s">
        <v>841</v>
      </c>
      <c r="JP330" s="236" t="s">
        <v>21716</v>
      </c>
      <c r="JQ330" s="236" t="s">
        <v>145</v>
      </c>
      <c r="JR330" s="236" t="s">
        <v>74</v>
      </c>
      <c r="JS330" s="236" t="s">
        <v>841</v>
      </c>
      <c r="JU330" s="294" t="s">
        <v>21717</v>
      </c>
      <c r="JV330" s="294" t="s">
        <v>52</v>
      </c>
      <c r="JW330" s="263" t="s">
        <v>70</v>
      </c>
      <c r="JX330" s="294" t="s">
        <v>1083</v>
      </c>
      <c r="JZ330" s="263" t="s">
        <v>21718</v>
      </c>
      <c r="KA330" s="263" t="s">
        <v>145</v>
      </c>
      <c r="KB330" s="263" t="s">
        <v>70</v>
      </c>
      <c r="KC330" s="263" t="s">
        <v>1083</v>
      </c>
      <c r="KE330" s="263" t="s">
        <v>21719</v>
      </c>
      <c r="KF330" s="263" t="s">
        <v>52</v>
      </c>
      <c r="KG330" s="263" t="s">
        <v>70</v>
      </c>
      <c r="KH330" s="263" t="s">
        <v>1083</v>
      </c>
      <c r="KJ330" s="263" t="s">
        <v>21720</v>
      </c>
      <c r="KK330" s="263" t="s">
        <v>52</v>
      </c>
      <c r="KL330" s="263" t="s">
        <v>74</v>
      </c>
      <c r="KM330" s="263" t="s">
        <v>34074</v>
      </c>
      <c r="KO330" s="214" t="s">
        <v>21721</v>
      </c>
      <c r="KP330" s="214" t="s">
        <v>145</v>
      </c>
      <c r="KQ330" s="214" t="s">
        <v>70</v>
      </c>
      <c r="KR330" s="214" t="s">
        <v>67</v>
      </c>
      <c r="KT330" s="22" t="s">
        <v>21722</v>
      </c>
      <c r="KU330" s="22" t="s">
        <v>145</v>
      </c>
      <c r="KV330" s="22" t="s">
        <v>70</v>
      </c>
      <c r="KW330" s="22" t="s">
        <v>67</v>
      </c>
      <c r="KY330" s="214" t="s">
        <v>21723</v>
      </c>
      <c r="KZ330" s="214" t="s">
        <v>52</v>
      </c>
      <c r="LA330" s="214" t="s">
        <v>74</v>
      </c>
      <c r="LB330" s="214" t="s">
        <v>67</v>
      </c>
      <c r="LD330" s="22" t="s">
        <v>21724</v>
      </c>
      <c r="LE330" s="22" t="s">
        <v>145</v>
      </c>
      <c r="LF330" s="22" t="s">
        <v>70</v>
      </c>
      <c r="LG330" s="22" t="s">
        <v>67</v>
      </c>
    </row>
    <row r="331" spans="1:319">
      <c r="A331" s="22" t="s">
        <v>21725</v>
      </c>
      <c r="B331" s="22" t="s">
        <v>145</v>
      </c>
      <c r="C331" s="22" t="s">
        <v>70</v>
      </c>
      <c r="D331" s="22" t="s">
        <v>67</v>
      </c>
      <c r="F331" s="99" t="s">
        <v>21726</v>
      </c>
      <c r="G331" s="22" t="s">
        <v>145</v>
      </c>
      <c r="H331" s="22" t="s">
        <v>70</v>
      </c>
      <c r="I331" s="22" t="s">
        <v>67</v>
      </c>
      <c r="K331" s="22" t="s">
        <v>21727</v>
      </c>
      <c r="L331" s="22" t="s">
        <v>145</v>
      </c>
      <c r="M331" s="22" t="s">
        <v>70</v>
      </c>
      <c r="N331" s="22" t="s">
        <v>67</v>
      </c>
      <c r="P331" s="22" t="s">
        <v>21728</v>
      </c>
      <c r="Q331" s="22" t="s">
        <v>145</v>
      </c>
      <c r="R331" s="22" t="s">
        <v>70</v>
      </c>
      <c r="S331" s="22" t="s">
        <v>67</v>
      </c>
      <c r="U331" s="293" t="s">
        <v>21729</v>
      </c>
      <c r="V331" s="293" t="s">
        <v>145</v>
      </c>
      <c r="W331" s="293" t="s">
        <v>74</v>
      </c>
      <c r="X331" s="293" t="s">
        <v>656</v>
      </c>
      <c r="Z331" s="293" t="s">
        <v>21730</v>
      </c>
      <c r="AA331" s="293" t="s">
        <v>145</v>
      </c>
      <c r="AB331" s="293" t="s">
        <v>74</v>
      </c>
      <c r="AC331" s="293" t="s">
        <v>656</v>
      </c>
      <c r="AE331" s="293" t="s">
        <v>21731</v>
      </c>
      <c r="AF331" s="293" t="s">
        <v>145</v>
      </c>
      <c r="AG331" s="293" t="s">
        <v>74</v>
      </c>
      <c r="AH331" s="293" t="s">
        <v>656</v>
      </c>
      <c r="AJ331" s="293" t="s">
        <v>21732</v>
      </c>
      <c r="AK331" s="293" t="s">
        <v>145</v>
      </c>
      <c r="AL331" s="293" t="s">
        <v>74</v>
      </c>
      <c r="AM331" s="293" t="s">
        <v>656</v>
      </c>
      <c r="AO331" s="22" t="s">
        <v>21733</v>
      </c>
      <c r="AP331" s="22" t="s">
        <v>145</v>
      </c>
      <c r="AQ331" s="22" t="s">
        <v>70</v>
      </c>
      <c r="AR331" s="22" t="s">
        <v>67</v>
      </c>
      <c r="AT331" s="22" t="s">
        <v>21734</v>
      </c>
      <c r="AU331" s="22" t="s">
        <v>145</v>
      </c>
      <c r="AV331" s="22" t="s">
        <v>70</v>
      </c>
      <c r="AW331" s="22" t="s">
        <v>67</v>
      </c>
      <c r="AY331" s="22" t="s">
        <v>21735</v>
      </c>
      <c r="AZ331" s="22" t="s">
        <v>145</v>
      </c>
      <c r="BA331" s="22" t="s">
        <v>70</v>
      </c>
      <c r="BB331" s="22" t="s">
        <v>67</v>
      </c>
      <c r="BD331" s="22" t="s">
        <v>21736</v>
      </c>
      <c r="BE331" s="22" t="s">
        <v>145</v>
      </c>
      <c r="BF331" s="22" t="s">
        <v>70</v>
      </c>
      <c r="BG331" s="22" t="s">
        <v>67</v>
      </c>
      <c r="BI331" s="22" t="s">
        <v>21737</v>
      </c>
      <c r="BJ331" s="22" t="s">
        <v>145</v>
      </c>
      <c r="BK331" s="22" t="s">
        <v>70</v>
      </c>
      <c r="BL331" s="22" t="s">
        <v>67</v>
      </c>
      <c r="BN331" s="22" t="s">
        <v>21738</v>
      </c>
      <c r="BO331" s="22" t="s">
        <v>145</v>
      </c>
      <c r="BP331" s="22" t="s">
        <v>70</v>
      </c>
      <c r="BQ331" s="22" t="s">
        <v>67</v>
      </c>
      <c r="BS331" s="22" t="s">
        <v>21739</v>
      </c>
      <c r="BT331" s="22" t="s">
        <v>145</v>
      </c>
      <c r="BU331" s="22" t="s">
        <v>70</v>
      </c>
      <c r="BV331" s="214" t="s">
        <v>530</v>
      </c>
      <c r="BX331" s="22" t="s">
        <v>21740</v>
      </c>
      <c r="BY331" s="22" t="s">
        <v>145</v>
      </c>
      <c r="BZ331" s="22" t="s">
        <v>70</v>
      </c>
      <c r="CA331" s="214" t="s">
        <v>530</v>
      </c>
      <c r="CC331" s="214" t="s">
        <v>21741</v>
      </c>
      <c r="CD331" s="218" t="s">
        <v>601</v>
      </c>
      <c r="CE331" s="214" t="s">
        <v>70</v>
      </c>
      <c r="CF331" s="214" t="s">
        <v>34137</v>
      </c>
      <c r="CH331" s="214" t="s">
        <v>21743</v>
      </c>
      <c r="CI331" s="214" t="s">
        <v>486</v>
      </c>
      <c r="CJ331" s="214" t="s">
        <v>70</v>
      </c>
      <c r="CK331" s="214" t="s">
        <v>530</v>
      </c>
      <c r="CM331" s="214" t="s">
        <v>21744</v>
      </c>
      <c r="CN331" s="214" t="s">
        <v>146</v>
      </c>
      <c r="CO331" s="214" t="s">
        <v>70</v>
      </c>
      <c r="CP331" s="214" t="s">
        <v>530</v>
      </c>
      <c r="CR331" s="214" t="s">
        <v>21745</v>
      </c>
      <c r="CS331" s="214" t="s">
        <v>164</v>
      </c>
      <c r="CT331" s="214" t="s">
        <v>70</v>
      </c>
      <c r="CU331" s="214" t="s">
        <v>530</v>
      </c>
      <c r="CW331" s="214" t="s">
        <v>21746</v>
      </c>
      <c r="CX331" s="214" t="s">
        <v>484</v>
      </c>
      <c r="CY331" s="214" t="s">
        <v>70</v>
      </c>
      <c r="CZ331" s="214" t="s">
        <v>530</v>
      </c>
      <c r="DB331" s="214" t="s">
        <v>21747</v>
      </c>
      <c r="DC331" s="214" t="s">
        <v>146</v>
      </c>
      <c r="DD331" s="214" t="s">
        <v>70</v>
      </c>
      <c r="DE331" s="214" t="s">
        <v>530</v>
      </c>
      <c r="DG331" s="214" t="s">
        <v>21748</v>
      </c>
      <c r="DH331" s="214" t="s">
        <v>34562</v>
      </c>
      <c r="DI331" s="214" t="s">
        <v>70</v>
      </c>
      <c r="DJ331" s="214" t="s">
        <v>530</v>
      </c>
      <c r="DL331" s="214" t="s">
        <v>21749</v>
      </c>
      <c r="DM331" s="214" t="s">
        <v>90</v>
      </c>
      <c r="DN331" s="214" t="s">
        <v>70</v>
      </c>
      <c r="DO331" s="214" t="s">
        <v>530</v>
      </c>
      <c r="DQ331" s="214" t="s">
        <v>21750</v>
      </c>
      <c r="DR331" s="214" t="s">
        <v>491</v>
      </c>
      <c r="DS331" s="214" t="s">
        <v>70</v>
      </c>
      <c r="DT331" s="214" t="s">
        <v>530</v>
      </c>
      <c r="DV331" s="214" t="s">
        <v>21751</v>
      </c>
      <c r="DW331" s="214" t="s">
        <v>486</v>
      </c>
      <c r="DX331" s="214" t="s">
        <v>70</v>
      </c>
      <c r="DY331" s="214" t="s">
        <v>530</v>
      </c>
      <c r="EA331" s="214" t="s">
        <v>21752</v>
      </c>
      <c r="EB331" s="214" t="s">
        <v>146</v>
      </c>
      <c r="EC331" s="214" t="s">
        <v>70</v>
      </c>
      <c r="ED331" s="214" t="s">
        <v>530</v>
      </c>
      <c r="EF331" s="214" t="s">
        <v>21753</v>
      </c>
      <c r="EG331" s="214" t="s">
        <v>487</v>
      </c>
      <c r="EH331" s="214" t="s">
        <v>70</v>
      </c>
      <c r="EI331" s="214" t="s">
        <v>530</v>
      </c>
      <c r="EK331" s="214" t="s">
        <v>21754</v>
      </c>
      <c r="EL331" s="214" t="s">
        <v>34558</v>
      </c>
      <c r="EM331" s="214" t="s">
        <v>70</v>
      </c>
      <c r="EN331" s="214" t="s">
        <v>530</v>
      </c>
      <c r="EP331" s="214" t="s">
        <v>21755</v>
      </c>
      <c r="EQ331" s="214" t="s">
        <v>33910</v>
      </c>
      <c r="ER331" s="214" t="s">
        <v>70</v>
      </c>
      <c r="ES331" s="214" t="s">
        <v>530</v>
      </c>
      <c r="EU331" s="214" t="s">
        <v>21756</v>
      </c>
      <c r="EV331" s="214" t="s">
        <v>145</v>
      </c>
      <c r="EW331" s="214" t="s">
        <v>70</v>
      </c>
      <c r="EX331" s="214" t="s">
        <v>530</v>
      </c>
      <c r="EZ331" s="214" t="s">
        <v>21757</v>
      </c>
      <c r="FA331" s="214" t="s">
        <v>34580</v>
      </c>
      <c r="FB331" s="214" t="s">
        <v>70</v>
      </c>
      <c r="FC331" s="214" t="s">
        <v>530</v>
      </c>
      <c r="FE331" s="214" t="s">
        <v>21758</v>
      </c>
      <c r="FF331" s="214" t="s">
        <v>146</v>
      </c>
      <c r="FG331" s="214" t="s">
        <v>70</v>
      </c>
      <c r="FH331" s="214" t="s">
        <v>530</v>
      </c>
      <c r="FJ331" s="321" t="s">
        <v>21759</v>
      </c>
      <c r="FK331" s="214" t="s">
        <v>34556</v>
      </c>
      <c r="FL331" s="214" t="s">
        <v>70</v>
      </c>
      <c r="FM331" s="214" t="s">
        <v>530</v>
      </c>
      <c r="FO331" s="321" t="s">
        <v>21760</v>
      </c>
      <c r="FP331" s="214" t="s">
        <v>919</v>
      </c>
      <c r="FQ331" s="214" t="s">
        <v>70</v>
      </c>
      <c r="FR331" s="214" t="s">
        <v>530</v>
      </c>
      <c r="FT331" s="321" t="s">
        <v>21761</v>
      </c>
      <c r="FU331" s="214" t="s">
        <v>952</v>
      </c>
      <c r="FV331" s="214" t="s">
        <v>70</v>
      </c>
      <c r="FW331" s="214" t="s">
        <v>530</v>
      </c>
      <c r="FY331" s="321" t="s">
        <v>21762</v>
      </c>
      <c r="FZ331" s="214" t="s">
        <v>52</v>
      </c>
      <c r="GA331" s="214" t="s">
        <v>70</v>
      </c>
      <c r="GB331" s="214" t="s">
        <v>530</v>
      </c>
      <c r="GD331" s="321" t="s">
        <v>21763</v>
      </c>
      <c r="GE331" s="214" t="s">
        <v>952</v>
      </c>
      <c r="GF331" s="214" t="s">
        <v>70</v>
      </c>
      <c r="GG331" s="214" t="s">
        <v>530</v>
      </c>
      <c r="GI331" s="321" t="s">
        <v>21764</v>
      </c>
      <c r="GJ331" s="214" t="s">
        <v>492</v>
      </c>
      <c r="GK331" s="214" t="s">
        <v>70</v>
      </c>
      <c r="GL331" s="214" t="s">
        <v>530</v>
      </c>
      <c r="GN331" s="321" t="s">
        <v>21765</v>
      </c>
      <c r="GO331" s="214" t="s">
        <v>34559</v>
      </c>
      <c r="GP331" s="214" t="s">
        <v>70</v>
      </c>
      <c r="GQ331" s="214" t="s">
        <v>530</v>
      </c>
      <c r="GS331" s="321" t="s">
        <v>21766</v>
      </c>
      <c r="GT331" s="214" t="s">
        <v>603</v>
      </c>
      <c r="GU331" s="214" t="s">
        <v>70</v>
      </c>
      <c r="GV331" s="214" t="s">
        <v>530</v>
      </c>
      <c r="GX331" s="214" t="s">
        <v>21767</v>
      </c>
      <c r="GY331" s="214" t="s">
        <v>955</v>
      </c>
      <c r="GZ331" s="214" t="s">
        <v>70</v>
      </c>
      <c r="HA331" s="214" t="s">
        <v>530</v>
      </c>
      <c r="HC331" s="214" t="s">
        <v>21768</v>
      </c>
      <c r="HD331" s="214" t="s">
        <v>146</v>
      </c>
      <c r="HE331" s="214" t="s">
        <v>70</v>
      </c>
      <c r="HF331" s="214" t="s">
        <v>530</v>
      </c>
      <c r="HH331" s="214" t="s">
        <v>21769</v>
      </c>
      <c r="HI331" s="214" t="s">
        <v>52</v>
      </c>
      <c r="HJ331" s="214" t="s">
        <v>70</v>
      </c>
      <c r="HK331" s="214" t="s">
        <v>530</v>
      </c>
      <c r="HM331" s="214" t="s">
        <v>21770</v>
      </c>
      <c r="HN331" s="214" t="s">
        <v>34541</v>
      </c>
      <c r="HO331" s="214" t="s">
        <v>70</v>
      </c>
      <c r="HP331" s="214" t="s">
        <v>530</v>
      </c>
      <c r="HR331" s="22" t="s">
        <v>21771</v>
      </c>
      <c r="HS331" s="22" t="s">
        <v>34626</v>
      </c>
      <c r="HT331" s="22" t="s">
        <v>70</v>
      </c>
      <c r="HU331" s="214" t="s">
        <v>530</v>
      </c>
      <c r="HW331" s="22" t="s">
        <v>21772</v>
      </c>
      <c r="HX331" s="22" t="s">
        <v>484</v>
      </c>
      <c r="HY331" s="22" t="s">
        <v>70</v>
      </c>
      <c r="HZ331" s="214" t="s">
        <v>530</v>
      </c>
      <c r="IB331" s="22" t="s">
        <v>21773</v>
      </c>
      <c r="IC331" s="22" t="s">
        <v>146</v>
      </c>
      <c r="ID331" s="22" t="s">
        <v>70</v>
      </c>
      <c r="IE331" s="214" t="s">
        <v>530</v>
      </c>
      <c r="IG331" s="22" t="s">
        <v>21774</v>
      </c>
      <c r="IH331" s="22" t="s">
        <v>52</v>
      </c>
      <c r="II331" s="22" t="s">
        <v>70</v>
      </c>
      <c r="IJ331" s="214" t="s">
        <v>530</v>
      </c>
      <c r="IL331" s="22" t="s">
        <v>21775</v>
      </c>
      <c r="IM331" s="22" t="s">
        <v>145</v>
      </c>
      <c r="IN331" s="22" t="s">
        <v>70</v>
      </c>
      <c r="IO331" s="214" t="s">
        <v>530</v>
      </c>
      <c r="IQ331" s="236" t="s">
        <v>21776</v>
      </c>
      <c r="IR331" s="236" t="s">
        <v>145</v>
      </c>
      <c r="IS331" s="236" t="s">
        <v>74</v>
      </c>
      <c r="IT331" s="236" t="s">
        <v>841</v>
      </c>
      <c r="IV331" s="236" t="s">
        <v>21777</v>
      </c>
      <c r="IW331" s="236" t="s">
        <v>145</v>
      </c>
      <c r="IX331" s="236" t="s">
        <v>74</v>
      </c>
      <c r="IY331" s="236" t="s">
        <v>841</v>
      </c>
      <c r="JA331" s="236" t="s">
        <v>21778</v>
      </c>
      <c r="JB331" s="236" t="s">
        <v>145</v>
      </c>
      <c r="JC331" s="236" t="s">
        <v>74</v>
      </c>
      <c r="JD331" s="236" t="s">
        <v>841</v>
      </c>
      <c r="JF331" s="236" t="s">
        <v>21779</v>
      </c>
      <c r="JG331" s="236" t="s">
        <v>145</v>
      </c>
      <c r="JH331" s="236" t="s">
        <v>74</v>
      </c>
      <c r="JI331" s="236" t="s">
        <v>841</v>
      </c>
      <c r="JK331" s="236" t="s">
        <v>21780</v>
      </c>
      <c r="JL331" s="236" t="s">
        <v>145</v>
      </c>
      <c r="JM331" s="236" t="s">
        <v>74</v>
      </c>
      <c r="JN331" s="236" t="s">
        <v>841</v>
      </c>
      <c r="JP331" s="236" t="s">
        <v>21781</v>
      </c>
      <c r="JQ331" s="236" t="s">
        <v>145</v>
      </c>
      <c r="JR331" s="236" t="s">
        <v>74</v>
      </c>
      <c r="JS331" s="236" t="s">
        <v>841</v>
      </c>
      <c r="JU331" s="294" t="s">
        <v>21782</v>
      </c>
      <c r="JV331" s="294" t="s">
        <v>52</v>
      </c>
      <c r="JW331" s="263" t="s">
        <v>70</v>
      </c>
      <c r="JX331" s="294" t="s">
        <v>1083</v>
      </c>
      <c r="JZ331" s="263" t="s">
        <v>21783</v>
      </c>
      <c r="KA331" s="263" t="s">
        <v>145</v>
      </c>
      <c r="KB331" s="263" t="s">
        <v>70</v>
      </c>
      <c r="KC331" s="263" t="s">
        <v>1083</v>
      </c>
      <c r="KE331" s="263" t="s">
        <v>21784</v>
      </c>
      <c r="KF331" s="263" t="s">
        <v>52</v>
      </c>
      <c r="KG331" s="263" t="s">
        <v>70</v>
      </c>
      <c r="KH331" s="263" t="s">
        <v>1083</v>
      </c>
      <c r="KJ331" s="263" t="s">
        <v>21785</v>
      </c>
      <c r="KK331" s="263" t="s">
        <v>52</v>
      </c>
      <c r="KL331" s="263" t="s">
        <v>74</v>
      </c>
      <c r="KM331" s="263" t="s">
        <v>34074</v>
      </c>
      <c r="KO331" s="214" t="s">
        <v>21786</v>
      </c>
      <c r="KP331" s="214" t="s">
        <v>145</v>
      </c>
      <c r="KQ331" s="214" t="s">
        <v>70</v>
      </c>
      <c r="KR331" s="214" t="s">
        <v>67</v>
      </c>
      <c r="KT331" s="22" t="s">
        <v>21787</v>
      </c>
      <c r="KU331" s="22" t="s">
        <v>145</v>
      </c>
      <c r="KV331" s="22" t="s">
        <v>70</v>
      </c>
      <c r="KW331" s="22" t="s">
        <v>67</v>
      </c>
      <c r="KY331" s="214" t="s">
        <v>21788</v>
      </c>
      <c r="KZ331" s="214" t="s">
        <v>52</v>
      </c>
      <c r="LA331" s="214" t="s">
        <v>74</v>
      </c>
      <c r="LB331" s="214" t="s">
        <v>67</v>
      </c>
      <c r="LD331" s="22" t="s">
        <v>21789</v>
      </c>
      <c r="LE331" s="22" t="s">
        <v>145</v>
      </c>
      <c r="LF331" s="22" t="s">
        <v>70</v>
      </c>
      <c r="LG331" s="22" t="s">
        <v>67</v>
      </c>
    </row>
    <row r="332" spans="1:319">
      <c r="A332" s="22" t="s">
        <v>21790</v>
      </c>
      <c r="B332" s="22" t="s">
        <v>145</v>
      </c>
      <c r="C332" s="22" t="s">
        <v>70</v>
      </c>
      <c r="D332" s="22" t="s">
        <v>67</v>
      </c>
      <c r="F332" s="99" t="s">
        <v>21791</v>
      </c>
      <c r="G332" s="22" t="s">
        <v>145</v>
      </c>
      <c r="H332" s="22" t="s">
        <v>70</v>
      </c>
      <c r="I332" s="22" t="s">
        <v>67</v>
      </c>
      <c r="K332" s="22" t="s">
        <v>21792</v>
      </c>
      <c r="L332" s="22" t="s">
        <v>145</v>
      </c>
      <c r="M332" s="22" t="s">
        <v>70</v>
      </c>
      <c r="N332" s="22" t="s">
        <v>67</v>
      </c>
      <c r="P332" s="22" t="s">
        <v>21793</v>
      </c>
      <c r="Q332" s="22" t="s">
        <v>145</v>
      </c>
      <c r="R332" s="22" t="s">
        <v>70</v>
      </c>
      <c r="S332" s="22" t="s">
        <v>67</v>
      </c>
      <c r="U332" s="293" t="s">
        <v>21794</v>
      </c>
      <c r="V332" s="293" t="s">
        <v>145</v>
      </c>
      <c r="W332" s="293" t="s">
        <v>74</v>
      </c>
      <c r="X332" s="293" t="s">
        <v>656</v>
      </c>
      <c r="Z332" s="293" t="s">
        <v>21795</v>
      </c>
      <c r="AA332" s="293" t="s">
        <v>145</v>
      </c>
      <c r="AB332" s="293" t="s">
        <v>74</v>
      </c>
      <c r="AC332" s="293" t="s">
        <v>656</v>
      </c>
      <c r="AE332" s="293" t="s">
        <v>21796</v>
      </c>
      <c r="AF332" s="293" t="s">
        <v>145</v>
      </c>
      <c r="AG332" s="293" t="s">
        <v>74</v>
      </c>
      <c r="AH332" s="293" t="s">
        <v>656</v>
      </c>
      <c r="AJ332" s="293" t="s">
        <v>21797</v>
      </c>
      <c r="AK332" s="293" t="s">
        <v>145</v>
      </c>
      <c r="AL332" s="293" t="s">
        <v>74</v>
      </c>
      <c r="AM332" s="293" t="s">
        <v>656</v>
      </c>
      <c r="AO332" s="22" t="s">
        <v>21798</v>
      </c>
      <c r="AP332" s="22" t="s">
        <v>145</v>
      </c>
      <c r="AQ332" s="22" t="s">
        <v>70</v>
      </c>
      <c r="AR332" s="22" t="s">
        <v>67</v>
      </c>
      <c r="AT332" s="22" t="s">
        <v>21799</v>
      </c>
      <c r="AU332" s="22" t="s">
        <v>145</v>
      </c>
      <c r="AV332" s="22" t="s">
        <v>70</v>
      </c>
      <c r="AW332" s="22" t="s">
        <v>67</v>
      </c>
      <c r="AY332" s="22" t="s">
        <v>21800</v>
      </c>
      <c r="AZ332" s="22" t="s">
        <v>145</v>
      </c>
      <c r="BA332" s="22" t="s">
        <v>70</v>
      </c>
      <c r="BB332" s="22" t="s">
        <v>67</v>
      </c>
      <c r="BD332" s="22" t="s">
        <v>21801</v>
      </c>
      <c r="BE332" s="22" t="s">
        <v>145</v>
      </c>
      <c r="BF332" s="22" t="s">
        <v>70</v>
      </c>
      <c r="BG332" s="22" t="s">
        <v>67</v>
      </c>
      <c r="BI332" s="22" t="s">
        <v>21802</v>
      </c>
      <c r="BJ332" s="22" t="s">
        <v>145</v>
      </c>
      <c r="BK332" s="22" t="s">
        <v>70</v>
      </c>
      <c r="BL332" s="22" t="s">
        <v>67</v>
      </c>
      <c r="BN332" s="22" t="s">
        <v>21803</v>
      </c>
      <c r="BO332" s="22" t="s">
        <v>145</v>
      </c>
      <c r="BP332" s="22" t="s">
        <v>70</v>
      </c>
      <c r="BQ332" s="22" t="s">
        <v>67</v>
      </c>
      <c r="BS332" s="22" t="s">
        <v>21804</v>
      </c>
      <c r="BT332" s="22" t="s">
        <v>145</v>
      </c>
      <c r="BU332" s="22" t="s">
        <v>70</v>
      </c>
      <c r="BV332" s="214" t="s">
        <v>530</v>
      </c>
      <c r="BX332" s="22" t="s">
        <v>21805</v>
      </c>
      <c r="BY332" s="22" t="s">
        <v>145</v>
      </c>
      <c r="BZ332" s="22" t="s">
        <v>70</v>
      </c>
      <c r="CA332" s="214" t="s">
        <v>530</v>
      </c>
      <c r="CC332" s="214" t="s">
        <v>21806</v>
      </c>
      <c r="CD332" s="218" t="s">
        <v>34608</v>
      </c>
      <c r="CE332" s="214" t="s">
        <v>70</v>
      </c>
      <c r="CF332" s="214" t="s">
        <v>34138</v>
      </c>
      <c r="CH332" s="214" t="s">
        <v>21807</v>
      </c>
      <c r="CI332" s="214" t="s">
        <v>88</v>
      </c>
      <c r="CJ332" s="214" t="s">
        <v>70</v>
      </c>
      <c r="CK332" s="214" t="s">
        <v>530</v>
      </c>
      <c r="CM332" s="214" t="s">
        <v>21808</v>
      </c>
      <c r="CN332" s="214" t="s">
        <v>85</v>
      </c>
      <c r="CO332" s="214" t="s">
        <v>70</v>
      </c>
      <c r="CP332" s="214" t="s">
        <v>530</v>
      </c>
      <c r="CR332" s="214" t="s">
        <v>21809</v>
      </c>
      <c r="CS332" s="214" t="s">
        <v>163</v>
      </c>
      <c r="CT332" s="214" t="s">
        <v>70</v>
      </c>
      <c r="CU332" s="214" t="s">
        <v>530</v>
      </c>
      <c r="CW332" s="214" t="s">
        <v>21810</v>
      </c>
      <c r="CX332" s="214" t="s">
        <v>34540</v>
      </c>
      <c r="CY332" s="214" t="s">
        <v>70</v>
      </c>
      <c r="CZ332" s="214" t="s">
        <v>530</v>
      </c>
      <c r="DB332" s="214" t="s">
        <v>21811</v>
      </c>
      <c r="DC332" s="214" t="s">
        <v>649</v>
      </c>
      <c r="DD332" s="214" t="s">
        <v>70</v>
      </c>
      <c r="DE332" s="214" t="s">
        <v>530</v>
      </c>
      <c r="DG332" s="214" t="s">
        <v>21812</v>
      </c>
      <c r="DH332" s="214" t="s">
        <v>655</v>
      </c>
      <c r="DI332" s="214" t="s">
        <v>70</v>
      </c>
      <c r="DJ332" s="214" t="s">
        <v>530</v>
      </c>
      <c r="DL332" s="214" t="s">
        <v>21813</v>
      </c>
      <c r="DM332" s="214" t="s">
        <v>34557</v>
      </c>
      <c r="DN332" s="214" t="s">
        <v>70</v>
      </c>
      <c r="DO332" s="214" t="s">
        <v>530</v>
      </c>
      <c r="DQ332" s="214" t="s">
        <v>21814</v>
      </c>
      <c r="DR332" s="214" t="s">
        <v>483</v>
      </c>
      <c r="DS332" s="214" t="s">
        <v>70</v>
      </c>
      <c r="DT332" s="214" t="s">
        <v>530</v>
      </c>
      <c r="DV332" s="214" t="s">
        <v>21815</v>
      </c>
      <c r="DW332" s="214" t="s">
        <v>34554</v>
      </c>
      <c r="DX332" s="214" t="s">
        <v>70</v>
      </c>
      <c r="DY332" s="214" t="s">
        <v>530</v>
      </c>
      <c r="EA332" s="214" t="s">
        <v>21816</v>
      </c>
      <c r="EB332" s="214" t="s">
        <v>600</v>
      </c>
      <c r="EC332" s="214" t="s">
        <v>70</v>
      </c>
      <c r="ED332" s="214" t="s">
        <v>530</v>
      </c>
      <c r="EF332" s="214" t="s">
        <v>21817</v>
      </c>
      <c r="EG332" s="214" t="s">
        <v>34568</v>
      </c>
      <c r="EH332" s="214" t="s">
        <v>70</v>
      </c>
      <c r="EI332" s="214" t="s">
        <v>530</v>
      </c>
      <c r="EK332" s="214" t="s">
        <v>21818</v>
      </c>
      <c r="EL332" s="214" t="s">
        <v>93</v>
      </c>
      <c r="EM332" s="214" t="s">
        <v>70</v>
      </c>
      <c r="EN332" s="214" t="s">
        <v>530</v>
      </c>
      <c r="EP332" s="214" t="s">
        <v>21819</v>
      </c>
      <c r="EQ332" s="214" t="s">
        <v>90</v>
      </c>
      <c r="ER332" s="214" t="s">
        <v>70</v>
      </c>
      <c r="ES332" s="214" t="s">
        <v>530</v>
      </c>
      <c r="EU332" s="214" t="s">
        <v>21820</v>
      </c>
      <c r="EV332" s="214" t="s">
        <v>52</v>
      </c>
      <c r="EW332" s="214" t="s">
        <v>70</v>
      </c>
      <c r="EX332" s="214" t="s">
        <v>530</v>
      </c>
      <c r="EZ332" s="214" t="s">
        <v>21821</v>
      </c>
      <c r="FA332" s="214" t="s">
        <v>88</v>
      </c>
      <c r="FB332" s="214" t="s">
        <v>70</v>
      </c>
      <c r="FC332" s="214" t="s">
        <v>530</v>
      </c>
      <c r="FE332" s="214" t="s">
        <v>21822</v>
      </c>
      <c r="FF332" s="214" t="s">
        <v>34578</v>
      </c>
      <c r="FG332" s="214" t="s">
        <v>70</v>
      </c>
      <c r="FH332" s="214" t="s">
        <v>530</v>
      </c>
      <c r="FJ332" s="321" t="s">
        <v>21823</v>
      </c>
      <c r="FK332" s="214" t="s">
        <v>148</v>
      </c>
      <c r="FL332" s="214" t="s">
        <v>70</v>
      </c>
      <c r="FM332" s="214" t="s">
        <v>530</v>
      </c>
      <c r="FO332" s="321" t="s">
        <v>21824</v>
      </c>
      <c r="FP332" s="214" t="s">
        <v>148</v>
      </c>
      <c r="FQ332" s="214" t="s">
        <v>70</v>
      </c>
      <c r="FR332" s="214" t="s">
        <v>530</v>
      </c>
      <c r="FT332" s="321" t="s">
        <v>21825</v>
      </c>
      <c r="FU332" s="214" t="s">
        <v>92</v>
      </c>
      <c r="FV332" s="214" t="s">
        <v>70</v>
      </c>
      <c r="FW332" s="214" t="s">
        <v>530</v>
      </c>
      <c r="FY332" s="321" t="s">
        <v>21826</v>
      </c>
      <c r="FZ332" s="214" t="s">
        <v>483</v>
      </c>
      <c r="GA332" s="214" t="s">
        <v>70</v>
      </c>
      <c r="GB332" s="214" t="s">
        <v>530</v>
      </c>
      <c r="GD332" s="321" t="s">
        <v>21827</v>
      </c>
      <c r="GE332" s="214" t="s">
        <v>87</v>
      </c>
      <c r="GF332" s="214" t="s">
        <v>70</v>
      </c>
      <c r="GG332" s="214" t="s">
        <v>530</v>
      </c>
      <c r="GI332" s="321" t="s">
        <v>21828</v>
      </c>
      <c r="GJ332" s="214" t="s">
        <v>502</v>
      </c>
      <c r="GK332" s="214" t="s">
        <v>70</v>
      </c>
      <c r="GL332" s="214" t="s">
        <v>530</v>
      </c>
      <c r="GN332" s="321" t="s">
        <v>21829</v>
      </c>
      <c r="GO332" s="214" t="s">
        <v>52</v>
      </c>
      <c r="GP332" s="214" t="s">
        <v>70</v>
      </c>
      <c r="GQ332" s="214" t="s">
        <v>530</v>
      </c>
      <c r="GS332" s="321" t="s">
        <v>21830</v>
      </c>
      <c r="GT332" s="214" t="s">
        <v>34590</v>
      </c>
      <c r="GU332" s="214" t="s">
        <v>70</v>
      </c>
      <c r="GV332" s="214" t="s">
        <v>530</v>
      </c>
      <c r="GX332" s="214" t="s">
        <v>21831</v>
      </c>
      <c r="GY332" s="214" t="s">
        <v>149</v>
      </c>
      <c r="GZ332" s="214" t="s">
        <v>70</v>
      </c>
      <c r="HA332" s="214" t="s">
        <v>530</v>
      </c>
      <c r="HC332" s="214" t="s">
        <v>21832</v>
      </c>
      <c r="HD332" s="214" t="s">
        <v>85</v>
      </c>
      <c r="HE332" s="214" t="s">
        <v>70</v>
      </c>
      <c r="HF332" s="214" t="s">
        <v>530</v>
      </c>
      <c r="HH332" s="214" t="s">
        <v>21833</v>
      </c>
      <c r="HI332" s="214" t="s">
        <v>34544</v>
      </c>
      <c r="HJ332" s="214" t="s">
        <v>70</v>
      </c>
      <c r="HK332" s="214" t="s">
        <v>530</v>
      </c>
      <c r="HM332" s="214" t="s">
        <v>21834</v>
      </c>
      <c r="HN332" s="214" t="s">
        <v>33910</v>
      </c>
      <c r="HO332" s="214" t="s">
        <v>70</v>
      </c>
      <c r="HP332" s="214" t="s">
        <v>530</v>
      </c>
      <c r="HR332" s="22" t="s">
        <v>21835</v>
      </c>
      <c r="HS332" s="22" t="s">
        <v>145</v>
      </c>
      <c r="HT332" s="22" t="s">
        <v>70</v>
      </c>
      <c r="HU332" s="214" t="s">
        <v>530</v>
      </c>
      <c r="HW332" s="22" t="s">
        <v>21836</v>
      </c>
      <c r="HX332" s="22" t="s">
        <v>34575</v>
      </c>
      <c r="HY332" s="22" t="s">
        <v>70</v>
      </c>
      <c r="HZ332" s="214" t="s">
        <v>530</v>
      </c>
      <c r="IB332" s="22" t="s">
        <v>21837</v>
      </c>
      <c r="IC332" s="22" t="s">
        <v>145</v>
      </c>
      <c r="ID332" s="22" t="s">
        <v>70</v>
      </c>
      <c r="IE332" s="214" t="s">
        <v>530</v>
      </c>
      <c r="IG332" s="22" t="s">
        <v>21838</v>
      </c>
      <c r="IH332" s="22" t="s">
        <v>52</v>
      </c>
      <c r="II332" s="22" t="s">
        <v>70</v>
      </c>
      <c r="IJ332" s="214" t="s">
        <v>530</v>
      </c>
      <c r="IL332" s="22" t="s">
        <v>21839</v>
      </c>
      <c r="IM332" s="22" t="s">
        <v>145</v>
      </c>
      <c r="IN332" s="22" t="s">
        <v>70</v>
      </c>
      <c r="IO332" s="214" t="s">
        <v>530</v>
      </c>
      <c r="IQ332" s="236" t="s">
        <v>21840</v>
      </c>
      <c r="IR332" s="236" t="s">
        <v>145</v>
      </c>
      <c r="IS332" s="236" t="s">
        <v>74</v>
      </c>
      <c r="IT332" s="236" t="s">
        <v>841</v>
      </c>
      <c r="IV332" s="236" t="s">
        <v>21841</v>
      </c>
      <c r="IW332" s="236" t="s">
        <v>145</v>
      </c>
      <c r="IX332" s="236" t="s">
        <v>74</v>
      </c>
      <c r="IY332" s="236" t="s">
        <v>841</v>
      </c>
      <c r="JA332" s="236" t="s">
        <v>21842</v>
      </c>
      <c r="JB332" s="236" t="s">
        <v>145</v>
      </c>
      <c r="JC332" s="236" t="s">
        <v>74</v>
      </c>
      <c r="JD332" s="236" t="s">
        <v>841</v>
      </c>
      <c r="JF332" s="236" t="s">
        <v>21843</v>
      </c>
      <c r="JG332" s="236" t="s">
        <v>145</v>
      </c>
      <c r="JH332" s="236" t="s">
        <v>74</v>
      </c>
      <c r="JI332" s="236" t="s">
        <v>841</v>
      </c>
      <c r="JK332" s="236" t="s">
        <v>21844</v>
      </c>
      <c r="JL332" s="236" t="s">
        <v>145</v>
      </c>
      <c r="JM332" s="236" t="s">
        <v>74</v>
      </c>
      <c r="JN332" s="236" t="s">
        <v>841</v>
      </c>
      <c r="JP332" s="236" t="s">
        <v>21845</v>
      </c>
      <c r="JQ332" s="236" t="s">
        <v>145</v>
      </c>
      <c r="JR332" s="236" t="s">
        <v>74</v>
      </c>
      <c r="JS332" s="236" t="s">
        <v>841</v>
      </c>
      <c r="JU332" s="294" t="s">
        <v>21846</v>
      </c>
      <c r="JV332" s="294" t="s">
        <v>52</v>
      </c>
      <c r="JW332" s="263" t="s">
        <v>70</v>
      </c>
      <c r="JX332" s="294" t="s">
        <v>1083</v>
      </c>
      <c r="JZ332" s="263" t="s">
        <v>21847</v>
      </c>
      <c r="KA332" s="263" t="s">
        <v>145</v>
      </c>
      <c r="KB332" s="263" t="s">
        <v>70</v>
      </c>
      <c r="KC332" s="263" t="s">
        <v>1083</v>
      </c>
      <c r="KE332" s="263" t="s">
        <v>21848</v>
      </c>
      <c r="KF332" s="263" t="s">
        <v>52</v>
      </c>
      <c r="KG332" s="263" t="s">
        <v>70</v>
      </c>
      <c r="KH332" s="263" t="s">
        <v>1083</v>
      </c>
      <c r="KJ332" s="263" t="s">
        <v>21849</v>
      </c>
      <c r="KK332" s="263" t="s">
        <v>52</v>
      </c>
      <c r="KL332" s="263" t="s">
        <v>74</v>
      </c>
      <c r="KM332" s="263" t="s">
        <v>34074</v>
      </c>
      <c r="KO332" s="214" t="s">
        <v>21850</v>
      </c>
      <c r="KP332" s="214" t="s">
        <v>145</v>
      </c>
      <c r="KQ332" s="214" t="s">
        <v>70</v>
      </c>
      <c r="KR332" s="214" t="s">
        <v>67</v>
      </c>
      <c r="KT332" s="22" t="s">
        <v>21851</v>
      </c>
      <c r="KU332" s="22" t="s">
        <v>145</v>
      </c>
      <c r="KV332" s="22" t="s">
        <v>70</v>
      </c>
      <c r="KW332" s="22" t="s">
        <v>67</v>
      </c>
      <c r="KY332" s="214" t="s">
        <v>21852</v>
      </c>
      <c r="KZ332" s="214" t="s">
        <v>52</v>
      </c>
      <c r="LA332" s="214" t="s">
        <v>74</v>
      </c>
      <c r="LB332" s="214" t="s">
        <v>67</v>
      </c>
      <c r="LD332" s="22" t="s">
        <v>21853</v>
      </c>
      <c r="LE332" s="22" t="s">
        <v>145</v>
      </c>
      <c r="LF332" s="22" t="s">
        <v>70</v>
      </c>
      <c r="LG332" s="22" t="s">
        <v>67</v>
      </c>
    </row>
    <row r="333" spans="1:319">
      <c r="A333" s="22" t="s">
        <v>21854</v>
      </c>
      <c r="B333" s="22" t="s">
        <v>145</v>
      </c>
      <c r="C333" s="22" t="s">
        <v>70</v>
      </c>
      <c r="D333" s="22" t="s">
        <v>67</v>
      </c>
      <c r="F333" s="99" t="s">
        <v>21855</v>
      </c>
      <c r="G333" s="22" t="s">
        <v>145</v>
      </c>
      <c r="H333" s="22" t="s">
        <v>70</v>
      </c>
      <c r="I333" s="22" t="s">
        <v>67</v>
      </c>
      <c r="K333" s="22" t="s">
        <v>21856</v>
      </c>
      <c r="L333" s="22" t="s">
        <v>145</v>
      </c>
      <c r="M333" s="22" t="s">
        <v>70</v>
      </c>
      <c r="N333" s="22" t="s">
        <v>67</v>
      </c>
      <c r="P333" s="22" t="s">
        <v>21857</v>
      </c>
      <c r="Q333" s="22" t="s">
        <v>145</v>
      </c>
      <c r="R333" s="22" t="s">
        <v>70</v>
      </c>
      <c r="S333" s="22" t="s">
        <v>67</v>
      </c>
      <c r="U333" s="293" t="s">
        <v>21858</v>
      </c>
      <c r="V333" s="293" t="s">
        <v>145</v>
      </c>
      <c r="W333" s="293" t="s">
        <v>74</v>
      </c>
      <c r="X333" s="293" t="s">
        <v>656</v>
      </c>
      <c r="Z333" s="293" t="s">
        <v>21859</v>
      </c>
      <c r="AA333" s="293" t="s">
        <v>145</v>
      </c>
      <c r="AB333" s="293" t="s">
        <v>74</v>
      </c>
      <c r="AC333" s="293" t="s">
        <v>656</v>
      </c>
      <c r="AE333" s="293" t="s">
        <v>21860</v>
      </c>
      <c r="AF333" s="293" t="s">
        <v>145</v>
      </c>
      <c r="AG333" s="293" t="s">
        <v>74</v>
      </c>
      <c r="AH333" s="293" t="s">
        <v>656</v>
      </c>
      <c r="AJ333" s="293" t="s">
        <v>21861</v>
      </c>
      <c r="AK333" s="293" t="s">
        <v>145</v>
      </c>
      <c r="AL333" s="293" t="s">
        <v>74</v>
      </c>
      <c r="AM333" s="293" t="s">
        <v>656</v>
      </c>
      <c r="AO333" s="22" t="s">
        <v>21862</v>
      </c>
      <c r="AP333" s="22" t="s">
        <v>145</v>
      </c>
      <c r="AQ333" s="22" t="s">
        <v>70</v>
      </c>
      <c r="AR333" s="22" t="s">
        <v>67</v>
      </c>
      <c r="AT333" s="22" t="s">
        <v>21863</v>
      </c>
      <c r="AU333" s="22" t="s">
        <v>145</v>
      </c>
      <c r="AV333" s="22" t="s">
        <v>70</v>
      </c>
      <c r="AW333" s="22" t="s">
        <v>67</v>
      </c>
      <c r="AY333" s="22" t="s">
        <v>21864</v>
      </c>
      <c r="AZ333" s="22" t="s">
        <v>145</v>
      </c>
      <c r="BA333" s="22" t="s">
        <v>70</v>
      </c>
      <c r="BB333" s="22" t="s">
        <v>67</v>
      </c>
      <c r="BD333" s="22" t="s">
        <v>21865</v>
      </c>
      <c r="BE333" s="22" t="s">
        <v>145</v>
      </c>
      <c r="BF333" s="22" t="s">
        <v>70</v>
      </c>
      <c r="BG333" s="22" t="s">
        <v>67</v>
      </c>
      <c r="BI333" s="22" t="s">
        <v>21866</v>
      </c>
      <c r="BJ333" s="22" t="s">
        <v>145</v>
      </c>
      <c r="BK333" s="22" t="s">
        <v>70</v>
      </c>
      <c r="BL333" s="22" t="s">
        <v>67</v>
      </c>
      <c r="BN333" s="22" t="s">
        <v>21867</v>
      </c>
      <c r="BO333" s="22" t="s">
        <v>145</v>
      </c>
      <c r="BP333" s="22" t="s">
        <v>70</v>
      </c>
      <c r="BQ333" s="22" t="s">
        <v>67</v>
      </c>
      <c r="BS333" s="22" t="s">
        <v>21868</v>
      </c>
      <c r="BT333" s="22" t="s">
        <v>145</v>
      </c>
      <c r="BU333" s="22" t="s">
        <v>70</v>
      </c>
      <c r="BV333" s="214" t="s">
        <v>530</v>
      </c>
      <c r="BX333" s="22" t="s">
        <v>21869</v>
      </c>
      <c r="BY333" s="22" t="s">
        <v>145</v>
      </c>
      <c r="BZ333" s="22" t="s">
        <v>70</v>
      </c>
      <c r="CA333" s="214" t="s">
        <v>530</v>
      </c>
      <c r="CC333" s="214" t="s">
        <v>21870</v>
      </c>
      <c r="CD333" s="218" t="s">
        <v>34607</v>
      </c>
      <c r="CE333" s="214" t="s">
        <v>70</v>
      </c>
      <c r="CF333" s="214" t="s">
        <v>34139</v>
      </c>
      <c r="CH333" s="214" t="s">
        <v>21871</v>
      </c>
      <c r="CI333" s="214" t="s">
        <v>488</v>
      </c>
      <c r="CJ333" s="214" t="s">
        <v>70</v>
      </c>
      <c r="CK333" s="214" t="s">
        <v>530</v>
      </c>
      <c r="CM333" s="214" t="s">
        <v>21872</v>
      </c>
      <c r="CN333" s="214" t="s">
        <v>485</v>
      </c>
      <c r="CO333" s="214" t="s">
        <v>70</v>
      </c>
      <c r="CP333" s="214" t="s">
        <v>530</v>
      </c>
      <c r="CR333" s="214" t="s">
        <v>21873</v>
      </c>
      <c r="CS333" s="214" t="s">
        <v>52</v>
      </c>
      <c r="CT333" s="214" t="s">
        <v>70</v>
      </c>
      <c r="CU333" s="214" t="s">
        <v>530</v>
      </c>
      <c r="CW333" s="214" t="s">
        <v>21874</v>
      </c>
      <c r="CX333" s="214" t="s">
        <v>146</v>
      </c>
      <c r="CY333" s="214" t="s">
        <v>70</v>
      </c>
      <c r="CZ333" s="214" t="s">
        <v>530</v>
      </c>
      <c r="DB333" s="214" t="s">
        <v>21875</v>
      </c>
      <c r="DC333" s="214" t="s">
        <v>34539</v>
      </c>
      <c r="DD333" s="214" t="s">
        <v>70</v>
      </c>
      <c r="DE333" s="214" t="s">
        <v>530</v>
      </c>
      <c r="DG333" s="214" t="s">
        <v>21876</v>
      </c>
      <c r="DH333" s="214" t="s">
        <v>956</v>
      </c>
      <c r="DI333" s="214" t="s">
        <v>70</v>
      </c>
      <c r="DJ333" s="214" t="s">
        <v>530</v>
      </c>
      <c r="DL333" s="214" t="s">
        <v>21877</v>
      </c>
      <c r="DM333" s="214" t="s">
        <v>488</v>
      </c>
      <c r="DN333" s="214" t="s">
        <v>70</v>
      </c>
      <c r="DO333" s="214" t="s">
        <v>530</v>
      </c>
      <c r="DQ333" s="214" t="s">
        <v>21878</v>
      </c>
      <c r="DR333" s="214" t="s">
        <v>34646</v>
      </c>
      <c r="DS333" s="214" t="s">
        <v>70</v>
      </c>
      <c r="DT333" s="214" t="s">
        <v>530</v>
      </c>
      <c r="DV333" s="214" t="s">
        <v>21879</v>
      </c>
      <c r="DW333" s="214" t="s">
        <v>488</v>
      </c>
      <c r="DX333" s="214" t="s">
        <v>70</v>
      </c>
      <c r="DY333" s="214" t="s">
        <v>530</v>
      </c>
      <c r="EA333" s="214" t="s">
        <v>21880</v>
      </c>
      <c r="EB333" s="214" t="s">
        <v>34542</v>
      </c>
      <c r="EC333" s="214" t="s">
        <v>70</v>
      </c>
      <c r="ED333" s="214" t="s">
        <v>530</v>
      </c>
      <c r="EF333" s="214" t="s">
        <v>21881</v>
      </c>
      <c r="EG333" s="214" t="s">
        <v>482</v>
      </c>
      <c r="EH333" s="214" t="s">
        <v>70</v>
      </c>
      <c r="EI333" s="214" t="s">
        <v>530</v>
      </c>
      <c r="EK333" s="214" t="s">
        <v>21882</v>
      </c>
      <c r="EL333" s="214" t="s">
        <v>599</v>
      </c>
      <c r="EM333" s="214" t="s">
        <v>70</v>
      </c>
      <c r="EN333" s="214" t="s">
        <v>530</v>
      </c>
      <c r="EP333" s="214" t="s">
        <v>21883</v>
      </c>
      <c r="EQ333" s="214" t="s">
        <v>482</v>
      </c>
      <c r="ER333" s="214" t="s">
        <v>70</v>
      </c>
      <c r="ES333" s="214" t="s">
        <v>530</v>
      </c>
      <c r="EU333" s="214" t="s">
        <v>21884</v>
      </c>
      <c r="EV333" s="214" t="s">
        <v>52</v>
      </c>
      <c r="EW333" s="214" t="s">
        <v>70</v>
      </c>
      <c r="EX333" s="214" t="s">
        <v>530</v>
      </c>
      <c r="EZ333" s="214" t="s">
        <v>21885</v>
      </c>
      <c r="FA333" s="214" t="s">
        <v>93</v>
      </c>
      <c r="FB333" s="214" t="s">
        <v>70</v>
      </c>
      <c r="FC333" s="214" t="s">
        <v>530</v>
      </c>
      <c r="FE333" s="214" t="s">
        <v>21886</v>
      </c>
      <c r="FF333" s="214" t="s">
        <v>468</v>
      </c>
      <c r="FG333" s="214" t="s">
        <v>70</v>
      </c>
      <c r="FH333" s="214" t="s">
        <v>530</v>
      </c>
      <c r="FJ333" s="321" t="s">
        <v>21887</v>
      </c>
      <c r="FK333" s="214" t="s">
        <v>496</v>
      </c>
      <c r="FL333" s="214" t="s">
        <v>70</v>
      </c>
      <c r="FM333" s="214" t="s">
        <v>530</v>
      </c>
      <c r="FO333" s="321" t="s">
        <v>21888</v>
      </c>
      <c r="FP333" s="214" t="s">
        <v>955</v>
      </c>
      <c r="FQ333" s="214" t="s">
        <v>70</v>
      </c>
      <c r="FR333" s="214" t="s">
        <v>530</v>
      </c>
      <c r="FT333" s="321" t="s">
        <v>21889</v>
      </c>
      <c r="FU333" s="214" t="s">
        <v>952</v>
      </c>
      <c r="FV333" s="214" t="s">
        <v>70</v>
      </c>
      <c r="FW333" s="214" t="s">
        <v>530</v>
      </c>
      <c r="FY333" s="321" t="s">
        <v>21890</v>
      </c>
      <c r="FZ333" s="214" t="s">
        <v>52</v>
      </c>
      <c r="GA333" s="214" t="s">
        <v>70</v>
      </c>
      <c r="GB333" s="214" t="s">
        <v>530</v>
      </c>
      <c r="GD333" s="321" t="s">
        <v>21891</v>
      </c>
      <c r="GE333" s="214" t="s">
        <v>485</v>
      </c>
      <c r="GF333" s="214" t="s">
        <v>70</v>
      </c>
      <c r="GG333" s="214" t="s">
        <v>530</v>
      </c>
      <c r="GI333" s="321" t="s">
        <v>21892</v>
      </c>
      <c r="GJ333" s="214" t="s">
        <v>486</v>
      </c>
      <c r="GK333" s="214" t="s">
        <v>70</v>
      </c>
      <c r="GL333" s="214" t="s">
        <v>530</v>
      </c>
      <c r="GN333" s="321" t="s">
        <v>21893</v>
      </c>
      <c r="GO333" s="214" t="s">
        <v>203</v>
      </c>
      <c r="GP333" s="214" t="s">
        <v>70</v>
      </c>
      <c r="GQ333" s="214" t="s">
        <v>530</v>
      </c>
      <c r="GS333" s="321" t="s">
        <v>21894</v>
      </c>
      <c r="GT333" s="214" t="s">
        <v>468</v>
      </c>
      <c r="GU333" s="214" t="s">
        <v>70</v>
      </c>
      <c r="GV333" s="214" t="s">
        <v>530</v>
      </c>
      <c r="GX333" s="214" t="s">
        <v>21895</v>
      </c>
      <c r="GY333" s="214" t="s">
        <v>518</v>
      </c>
      <c r="GZ333" s="214" t="s">
        <v>70</v>
      </c>
      <c r="HA333" s="214" t="s">
        <v>530</v>
      </c>
      <c r="HC333" s="214" t="s">
        <v>21896</v>
      </c>
      <c r="HD333" s="214" t="s">
        <v>921</v>
      </c>
      <c r="HE333" s="214" t="s">
        <v>70</v>
      </c>
      <c r="HF333" s="214" t="s">
        <v>530</v>
      </c>
      <c r="HH333" s="214" t="s">
        <v>21897</v>
      </c>
      <c r="HI333" s="214" t="s">
        <v>497</v>
      </c>
      <c r="HJ333" s="214" t="s">
        <v>70</v>
      </c>
      <c r="HK333" s="214" t="s">
        <v>530</v>
      </c>
      <c r="HM333" s="214" t="s">
        <v>21898</v>
      </c>
      <c r="HN333" s="214" t="s">
        <v>34556</v>
      </c>
      <c r="HO333" s="214" t="s">
        <v>70</v>
      </c>
      <c r="HP333" s="214" t="s">
        <v>530</v>
      </c>
      <c r="HR333" s="22" t="s">
        <v>21899</v>
      </c>
      <c r="HS333" s="22" t="s">
        <v>145</v>
      </c>
      <c r="HT333" s="22" t="s">
        <v>70</v>
      </c>
      <c r="HU333" s="214" t="s">
        <v>530</v>
      </c>
      <c r="HW333" s="22" t="s">
        <v>21900</v>
      </c>
      <c r="HX333" s="22" t="s">
        <v>502</v>
      </c>
      <c r="HY333" s="22" t="s">
        <v>70</v>
      </c>
      <c r="HZ333" s="214" t="s">
        <v>530</v>
      </c>
      <c r="IB333" s="22" t="s">
        <v>21901</v>
      </c>
      <c r="IC333" s="22" t="s">
        <v>503</v>
      </c>
      <c r="ID333" s="22" t="s">
        <v>70</v>
      </c>
      <c r="IE333" s="214" t="s">
        <v>530</v>
      </c>
      <c r="IG333" s="22" t="s">
        <v>21902</v>
      </c>
      <c r="IH333" s="22" t="s">
        <v>52</v>
      </c>
      <c r="II333" s="22" t="s">
        <v>70</v>
      </c>
      <c r="IJ333" s="214" t="s">
        <v>530</v>
      </c>
      <c r="IL333" s="22" t="s">
        <v>21903</v>
      </c>
      <c r="IM333" s="22" t="s">
        <v>145</v>
      </c>
      <c r="IN333" s="22" t="s">
        <v>70</v>
      </c>
      <c r="IO333" s="214" t="s">
        <v>530</v>
      </c>
      <c r="IQ333" s="236" t="s">
        <v>21904</v>
      </c>
      <c r="IR333" s="236" t="s">
        <v>145</v>
      </c>
      <c r="IS333" s="236" t="s">
        <v>74</v>
      </c>
      <c r="IT333" s="236" t="s">
        <v>841</v>
      </c>
      <c r="IV333" s="236" t="s">
        <v>21905</v>
      </c>
      <c r="IW333" s="236" t="s">
        <v>145</v>
      </c>
      <c r="IX333" s="236" t="s">
        <v>74</v>
      </c>
      <c r="IY333" s="236" t="s">
        <v>841</v>
      </c>
      <c r="JA333" s="236" t="s">
        <v>21906</v>
      </c>
      <c r="JB333" s="236" t="s">
        <v>145</v>
      </c>
      <c r="JC333" s="236" t="s">
        <v>74</v>
      </c>
      <c r="JD333" s="236" t="s">
        <v>841</v>
      </c>
      <c r="JF333" s="236" t="s">
        <v>21907</v>
      </c>
      <c r="JG333" s="236" t="s">
        <v>145</v>
      </c>
      <c r="JH333" s="236" t="s">
        <v>74</v>
      </c>
      <c r="JI333" s="236" t="s">
        <v>841</v>
      </c>
      <c r="JK333" s="236" t="s">
        <v>21908</v>
      </c>
      <c r="JL333" s="236" t="s">
        <v>145</v>
      </c>
      <c r="JM333" s="236" t="s">
        <v>74</v>
      </c>
      <c r="JN333" s="236" t="s">
        <v>841</v>
      </c>
      <c r="JP333" s="236" t="s">
        <v>21909</v>
      </c>
      <c r="JQ333" s="236" t="s">
        <v>145</v>
      </c>
      <c r="JR333" s="236" t="s">
        <v>74</v>
      </c>
      <c r="JS333" s="236" t="s">
        <v>841</v>
      </c>
      <c r="JU333" s="294" t="s">
        <v>21910</v>
      </c>
      <c r="JV333" s="294" t="s">
        <v>52</v>
      </c>
      <c r="JW333" s="263" t="s">
        <v>70</v>
      </c>
      <c r="JX333" s="294" t="s">
        <v>1083</v>
      </c>
      <c r="JZ333" s="263" t="s">
        <v>21911</v>
      </c>
      <c r="KA333" s="263" t="s">
        <v>145</v>
      </c>
      <c r="KB333" s="263" t="s">
        <v>70</v>
      </c>
      <c r="KC333" s="263" t="s">
        <v>1083</v>
      </c>
      <c r="KE333" s="263" t="s">
        <v>21912</v>
      </c>
      <c r="KF333" s="263" t="s">
        <v>52</v>
      </c>
      <c r="KG333" s="263" t="s">
        <v>70</v>
      </c>
      <c r="KH333" s="263" t="s">
        <v>1083</v>
      </c>
      <c r="KJ333" s="263" t="s">
        <v>21913</v>
      </c>
      <c r="KK333" s="263" t="s">
        <v>52</v>
      </c>
      <c r="KL333" s="263" t="s">
        <v>74</v>
      </c>
      <c r="KM333" s="263" t="s">
        <v>34074</v>
      </c>
      <c r="KO333" s="214" t="s">
        <v>21914</v>
      </c>
      <c r="KP333" s="214" t="s">
        <v>145</v>
      </c>
      <c r="KQ333" s="214" t="s">
        <v>70</v>
      </c>
      <c r="KR333" s="214" t="s">
        <v>67</v>
      </c>
      <c r="KT333" s="22" t="s">
        <v>21915</v>
      </c>
      <c r="KU333" s="22" t="s">
        <v>145</v>
      </c>
      <c r="KV333" s="22" t="s">
        <v>70</v>
      </c>
      <c r="KW333" s="22" t="s">
        <v>67</v>
      </c>
      <c r="KY333" s="214" t="s">
        <v>21916</v>
      </c>
      <c r="KZ333" s="214" t="s">
        <v>52</v>
      </c>
      <c r="LA333" s="214" t="s">
        <v>74</v>
      </c>
      <c r="LB333" s="214" t="s">
        <v>67</v>
      </c>
      <c r="LD333" s="22" t="s">
        <v>21917</v>
      </c>
      <c r="LE333" s="22" t="s">
        <v>145</v>
      </c>
      <c r="LF333" s="22" t="s">
        <v>70</v>
      </c>
      <c r="LG333" s="22" t="s">
        <v>67</v>
      </c>
    </row>
    <row r="334" spans="1:319">
      <c r="A334" s="22" t="s">
        <v>21918</v>
      </c>
      <c r="B334" s="22" t="s">
        <v>145</v>
      </c>
      <c r="C334" s="22" t="s">
        <v>70</v>
      </c>
      <c r="D334" s="22" t="s">
        <v>67</v>
      </c>
      <c r="F334" s="99" t="s">
        <v>21919</v>
      </c>
      <c r="G334" s="22" t="s">
        <v>145</v>
      </c>
      <c r="H334" s="22" t="s">
        <v>70</v>
      </c>
      <c r="I334" s="22" t="s">
        <v>67</v>
      </c>
      <c r="K334" s="22" t="s">
        <v>21920</v>
      </c>
      <c r="L334" s="22" t="s">
        <v>145</v>
      </c>
      <c r="M334" s="22" t="s">
        <v>70</v>
      </c>
      <c r="N334" s="22" t="s">
        <v>67</v>
      </c>
      <c r="P334" s="22" t="s">
        <v>21921</v>
      </c>
      <c r="Q334" s="22" t="s">
        <v>145</v>
      </c>
      <c r="R334" s="22" t="s">
        <v>70</v>
      </c>
      <c r="S334" s="22" t="s">
        <v>67</v>
      </c>
      <c r="U334" s="293" t="s">
        <v>21922</v>
      </c>
      <c r="V334" s="293" t="s">
        <v>145</v>
      </c>
      <c r="W334" s="293" t="s">
        <v>74</v>
      </c>
      <c r="X334" s="293" t="s">
        <v>656</v>
      </c>
      <c r="Z334" s="293" t="s">
        <v>21923</v>
      </c>
      <c r="AA334" s="293" t="s">
        <v>145</v>
      </c>
      <c r="AB334" s="293" t="s">
        <v>74</v>
      </c>
      <c r="AC334" s="293" t="s">
        <v>656</v>
      </c>
      <c r="AE334" s="293" t="s">
        <v>21924</v>
      </c>
      <c r="AF334" s="293" t="s">
        <v>145</v>
      </c>
      <c r="AG334" s="293" t="s">
        <v>74</v>
      </c>
      <c r="AH334" s="293" t="s">
        <v>656</v>
      </c>
      <c r="AJ334" s="293" t="s">
        <v>21925</v>
      </c>
      <c r="AK334" s="293" t="s">
        <v>145</v>
      </c>
      <c r="AL334" s="293" t="s">
        <v>74</v>
      </c>
      <c r="AM334" s="293" t="s">
        <v>656</v>
      </c>
      <c r="AO334" s="22" t="s">
        <v>21926</v>
      </c>
      <c r="AP334" s="22" t="s">
        <v>145</v>
      </c>
      <c r="AQ334" s="22" t="s">
        <v>70</v>
      </c>
      <c r="AR334" s="22" t="s">
        <v>67</v>
      </c>
      <c r="AT334" s="22" t="s">
        <v>21927</v>
      </c>
      <c r="AU334" s="22" t="s">
        <v>145</v>
      </c>
      <c r="AV334" s="22" t="s">
        <v>70</v>
      </c>
      <c r="AW334" s="22" t="s">
        <v>67</v>
      </c>
      <c r="AY334" s="22" t="s">
        <v>21928</v>
      </c>
      <c r="AZ334" s="22" t="s">
        <v>145</v>
      </c>
      <c r="BA334" s="22" t="s">
        <v>70</v>
      </c>
      <c r="BB334" s="22" t="s">
        <v>67</v>
      </c>
      <c r="BD334" s="22" t="s">
        <v>21929</v>
      </c>
      <c r="BE334" s="22" t="s">
        <v>145</v>
      </c>
      <c r="BF334" s="22" t="s">
        <v>70</v>
      </c>
      <c r="BG334" s="22" t="s">
        <v>67</v>
      </c>
      <c r="BI334" s="22" t="s">
        <v>21930</v>
      </c>
      <c r="BJ334" s="22" t="s">
        <v>145</v>
      </c>
      <c r="BK334" s="22" t="s">
        <v>70</v>
      </c>
      <c r="BL334" s="22" t="s">
        <v>67</v>
      </c>
      <c r="BN334" s="22" t="s">
        <v>21931</v>
      </c>
      <c r="BO334" s="22" t="s">
        <v>145</v>
      </c>
      <c r="BP334" s="22" t="s">
        <v>70</v>
      </c>
      <c r="BQ334" s="22" t="s">
        <v>67</v>
      </c>
      <c r="BS334" s="22" t="s">
        <v>21932</v>
      </c>
      <c r="BT334" s="22" t="s">
        <v>145</v>
      </c>
      <c r="BU334" s="22" t="s">
        <v>70</v>
      </c>
      <c r="BV334" s="214" t="s">
        <v>530</v>
      </c>
      <c r="BX334" s="22" t="s">
        <v>21933</v>
      </c>
      <c r="BY334" s="22" t="s">
        <v>145</v>
      </c>
      <c r="BZ334" s="22" t="s">
        <v>70</v>
      </c>
      <c r="CA334" s="214" t="s">
        <v>530</v>
      </c>
      <c r="CC334" s="214" t="s">
        <v>21934</v>
      </c>
      <c r="CD334" s="218" t="s">
        <v>52</v>
      </c>
      <c r="CE334" s="214" t="s">
        <v>70</v>
      </c>
      <c r="CF334" s="214" t="s">
        <v>34140</v>
      </c>
      <c r="CH334" s="214" t="s">
        <v>21935</v>
      </c>
      <c r="CI334" s="214" t="s">
        <v>34536</v>
      </c>
      <c r="CJ334" s="214" t="s">
        <v>70</v>
      </c>
      <c r="CK334" s="214" t="s">
        <v>530</v>
      </c>
      <c r="CM334" s="214" t="s">
        <v>21936</v>
      </c>
      <c r="CN334" s="214" t="s">
        <v>34545</v>
      </c>
      <c r="CO334" s="214" t="s">
        <v>70</v>
      </c>
      <c r="CP334" s="214" t="s">
        <v>530</v>
      </c>
      <c r="CR334" s="214" t="s">
        <v>21937</v>
      </c>
      <c r="CS334" s="214" t="s">
        <v>86</v>
      </c>
      <c r="CT334" s="214" t="s">
        <v>70</v>
      </c>
      <c r="CU334" s="214" t="s">
        <v>530</v>
      </c>
      <c r="CW334" s="214" t="s">
        <v>21938</v>
      </c>
      <c r="CX334" s="214" t="s">
        <v>85</v>
      </c>
      <c r="CY334" s="214" t="s">
        <v>70</v>
      </c>
      <c r="CZ334" s="214" t="s">
        <v>530</v>
      </c>
      <c r="DB334" s="214" t="s">
        <v>21939</v>
      </c>
      <c r="DC334" s="214" t="s">
        <v>34624</v>
      </c>
      <c r="DD334" s="214" t="s">
        <v>70</v>
      </c>
      <c r="DE334" s="214" t="s">
        <v>530</v>
      </c>
      <c r="DG334" s="214" t="s">
        <v>21940</v>
      </c>
      <c r="DH334" s="214" t="s">
        <v>149</v>
      </c>
      <c r="DI334" s="214" t="s">
        <v>70</v>
      </c>
      <c r="DJ334" s="214" t="s">
        <v>530</v>
      </c>
      <c r="DL334" s="214" t="s">
        <v>21941</v>
      </c>
      <c r="DM334" s="214" t="s">
        <v>52</v>
      </c>
      <c r="DN334" s="214" t="s">
        <v>70</v>
      </c>
      <c r="DO334" s="214" t="s">
        <v>530</v>
      </c>
      <c r="DQ334" s="214" t="s">
        <v>21942</v>
      </c>
      <c r="DR334" s="214" t="s">
        <v>165</v>
      </c>
      <c r="DS334" s="214" t="s">
        <v>70</v>
      </c>
      <c r="DT334" s="214" t="s">
        <v>530</v>
      </c>
      <c r="DV334" s="214" t="s">
        <v>21943</v>
      </c>
      <c r="DW334" s="214" t="s">
        <v>88</v>
      </c>
      <c r="DX334" s="214" t="s">
        <v>70</v>
      </c>
      <c r="DY334" s="214" t="s">
        <v>530</v>
      </c>
      <c r="EA334" s="214" t="s">
        <v>21944</v>
      </c>
      <c r="EB334" s="214" t="s">
        <v>92</v>
      </c>
      <c r="EC334" s="214" t="s">
        <v>70</v>
      </c>
      <c r="ED334" s="214" t="s">
        <v>530</v>
      </c>
      <c r="EF334" s="214" t="s">
        <v>21945</v>
      </c>
      <c r="EG334" s="214" t="s">
        <v>87</v>
      </c>
      <c r="EH334" s="214" t="s">
        <v>70</v>
      </c>
      <c r="EI334" s="214" t="s">
        <v>530</v>
      </c>
      <c r="EK334" s="214" t="s">
        <v>21946</v>
      </c>
      <c r="EL334" s="214" t="s">
        <v>34579</v>
      </c>
      <c r="EM334" s="214" t="s">
        <v>70</v>
      </c>
      <c r="EN334" s="214" t="s">
        <v>530</v>
      </c>
      <c r="EP334" s="214" t="s">
        <v>21947</v>
      </c>
      <c r="EQ334" s="214" t="s">
        <v>52</v>
      </c>
      <c r="ER334" s="214" t="s">
        <v>70</v>
      </c>
      <c r="ES334" s="214" t="s">
        <v>530</v>
      </c>
      <c r="EU334" s="214" t="s">
        <v>21948</v>
      </c>
      <c r="EV334" s="214" t="s">
        <v>531</v>
      </c>
      <c r="EW334" s="214" t="s">
        <v>70</v>
      </c>
      <c r="EX334" s="214" t="s">
        <v>530</v>
      </c>
      <c r="EZ334" s="214" t="s">
        <v>21949</v>
      </c>
      <c r="FA334" s="214" t="s">
        <v>905</v>
      </c>
      <c r="FB334" s="214" t="s">
        <v>70</v>
      </c>
      <c r="FC334" s="214" t="s">
        <v>530</v>
      </c>
      <c r="FE334" s="214" t="s">
        <v>21950</v>
      </c>
      <c r="FF334" s="214" t="s">
        <v>468</v>
      </c>
      <c r="FG334" s="214" t="s">
        <v>70</v>
      </c>
      <c r="FH334" s="214" t="s">
        <v>530</v>
      </c>
      <c r="FJ334" s="321" t="s">
        <v>21951</v>
      </c>
      <c r="FK334" s="214" t="s">
        <v>90</v>
      </c>
      <c r="FL334" s="214" t="s">
        <v>70</v>
      </c>
      <c r="FM334" s="214" t="s">
        <v>530</v>
      </c>
      <c r="FO334" s="321" t="s">
        <v>21952</v>
      </c>
      <c r="FP334" s="214" t="s">
        <v>52</v>
      </c>
      <c r="FQ334" s="214" t="s">
        <v>70</v>
      </c>
      <c r="FR334" s="214" t="s">
        <v>530</v>
      </c>
      <c r="FT334" s="321" t="s">
        <v>21953</v>
      </c>
      <c r="FU334" s="214" t="s">
        <v>148</v>
      </c>
      <c r="FV334" s="214" t="s">
        <v>70</v>
      </c>
      <c r="FW334" s="214" t="s">
        <v>530</v>
      </c>
      <c r="FY334" s="321" t="s">
        <v>21954</v>
      </c>
      <c r="FZ334" s="214" t="s">
        <v>917</v>
      </c>
      <c r="GA334" s="214" t="s">
        <v>70</v>
      </c>
      <c r="GB334" s="214" t="s">
        <v>530</v>
      </c>
      <c r="GD334" s="321" t="s">
        <v>21955</v>
      </c>
      <c r="GE334" s="214" t="s">
        <v>148</v>
      </c>
      <c r="GF334" s="214" t="s">
        <v>70</v>
      </c>
      <c r="GG334" s="214" t="s">
        <v>530</v>
      </c>
      <c r="GI334" s="321" t="s">
        <v>21956</v>
      </c>
      <c r="GJ334" s="214" t="s">
        <v>148</v>
      </c>
      <c r="GK334" s="214" t="s">
        <v>70</v>
      </c>
      <c r="GL334" s="214" t="s">
        <v>530</v>
      </c>
      <c r="GN334" s="321" t="s">
        <v>21957</v>
      </c>
      <c r="GO334" s="214" t="s">
        <v>34593</v>
      </c>
      <c r="GP334" s="214" t="s">
        <v>70</v>
      </c>
      <c r="GQ334" s="214" t="s">
        <v>530</v>
      </c>
      <c r="GS334" s="321" t="s">
        <v>21958</v>
      </c>
      <c r="GT334" s="214" t="s">
        <v>90</v>
      </c>
      <c r="GU334" s="214" t="s">
        <v>70</v>
      </c>
      <c r="GV334" s="214" t="s">
        <v>530</v>
      </c>
      <c r="GX334" s="214" t="s">
        <v>21959</v>
      </c>
      <c r="GY334" s="214" t="s">
        <v>203</v>
      </c>
      <c r="GZ334" s="214" t="s">
        <v>70</v>
      </c>
      <c r="HA334" s="214" t="s">
        <v>530</v>
      </c>
      <c r="HC334" s="214" t="s">
        <v>21960</v>
      </c>
      <c r="HD334" s="214" t="s">
        <v>34545</v>
      </c>
      <c r="HE334" s="214" t="s">
        <v>70</v>
      </c>
      <c r="HF334" s="214" t="s">
        <v>530</v>
      </c>
      <c r="HH334" s="214" t="s">
        <v>21961</v>
      </c>
      <c r="HI334" s="214" t="s">
        <v>34613</v>
      </c>
      <c r="HJ334" s="214" t="s">
        <v>70</v>
      </c>
      <c r="HK334" s="214" t="s">
        <v>530</v>
      </c>
      <c r="HM334" s="214" t="s">
        <v>21962</v>
      </c>
      <c r="HN334" s="214" t="s">
        <v>164</v>
      </c>
      <c r="HO334" s="214" t="s">
        <v>70</v>
      </c>
      <c r="HP334" s="214" t="s">
        <v>530</v>
      </c>
      <c r="HR334" s="22" t="s">
        <v>21963</v>
      </c>
      <c r="HS334" s="22" t="s">
        <v>145</v>
      </c>
      <c r="HT334" s="22" t="s">
        <v>70</v>
      </c>
      <c r="HU334" s="214" t="s">
        <v>530</v>
      </c>
      <c r="HW334" s="22" t="s">
        <v>21964</v>
      </c>
      <c r="HX334" s="22" t="s">
        <v>148</v>
      </c>
      <c r="HY334" s="22" t="s">
        <v>70</v>
      </c>
      <c r="HZ334" s="214" t="s">
        <v>530</v>
      </c>
      <c r="IB334" s="22" t="s">
        <v>21965</v>
      </c>
      <c r="IC334" s="22" t="s">
        <v>145</v>
      </c>
      <c r="ID334" s="22" t="s">
        <v>70</v>
      </c>
      <c r="IE334" s="214" t="s">
        <v>530</v>
      </c>
      <c r="IG334" s="22" t="s">
        <v>21966</v>
      </c>
      <c r="IH334" s="22" t="s">
        <v>52</v>
      </c>
      <c r="II334" s="22" t="s">
        <v>70</v>
      </c>
      <c r="IJ334" s="214" t="s">
        <v>530</v>
      </c>
      <c r="IL334" s="22" t="s">
        <v>21967</v>
      </c>
      <c r="IM334" s="22" t="s">
        <v>145</v>
      </c>
      <c r="IN334" s="22" t="s">
        <v>70</v>
      </c>
      <c r="IO334" s="214" t="s">
        <v>530</v>
      </c>
      <c r="IQ334" s="236" t="s">
        <v>21968</v>
      </c>
      <c r="IR334" s="236" t="s">
        <v>145</v>
      </c>
      <c r="IS334" s="236" t="s">
        <v>74</v>
      </c>
      <c r="IT334" s="236" t="s">
        <v>841</v>
      </c>
      <c r="IV334" s="236" t="s">
        <v>21969</v>
      </c>
      <c r="IW334" s="236" t="s">
        <v>145</v>
      </c>
      <c r="IX334" s="236" t="s">
        <v>74</v>
      </c>
      <c r="IY334" s="236" t="s">
        <v>841</v>
      </c>
      <c r="JA334" s="236" t="s">
        <v>21970</v>
      </c>
      <c r="JB334" s="236" t="s">
        <v>145</v>
      </c>
      <c r="JC334" s="236" t="s">
        <v>74</v>
      </c>
      <c r="JD334" s="236" t="s">
        <v>841</v>
      </c>
      <c r="JF334" s="236" t="s">
        <v>21971</v>
      </c>
      <c r="JG334" s="236" t="s">
        <v>145</v>
      </c>
      <c r="JH334" s="236" t="s">
        <v>74</v>
      </c>
      <c r="JI334" s="236" t="s">
        <v>841</v>
      </c>
      <c r="JK334" s="236" t="s">
        <v>21972</v>
      </c>
      <c r="JL334" s="236" t="s">
        <v>145</v>
      </c>
      <c r="JM334" s="236" t="s">
        <v>74</v>
      </c>
      <c r="JN334" s="236" t="s">
        <v>841</v>
      </c>
      <c r="JP334" s="236" t="s">
        <v>21973</v>
      </c>
      <c r="JQ334" s="236" t="s">
        <v>145</v>
      </c>
      <c r="JR334" s="236" t="s">
        <v>74</v>
      </c>
      <c r="JS334" s="236" t="s">
        <v>841</v>
      </c>
      <c r="JU334" s="294" t="s">
        <v>21974</v>
      </c>
      <c r="JV334" s="294" t="s">
        <v>52</v>
      </c>
      <c r="JW334" s="263" t="s">
        <v>70</v>
      </c>
      <c r="JX334" s="294" t="s">
        <v>1083</v>
      </c>
      <c r="JZ334" s="263" t="s">
        <v>21975</v>
      </c>
      <c r="KA334" s="263" t="s">
        <v>145</v>
      </c>
      <c r="KB334" s="263" t="s">
        <v>70</v>
      </c>
      <c r="KC334" s="263" t="s">
        <v>1083</v>
      </c>
      <c r="KE334" s="263" t="s">
        <v>21976</v>
      </c>
      <c r="KF334" s="263" t="s">
        <v>52</v>
      </c>
      <c r="KG334" s="263" t="s">
        <v>70</v>
      </c>
      <c r="KH334" s="263" t="s">
        <v>1083</v>
      </c>
      <c r="KJ334" s="263" t="s">
        <v>21977</v>
      </c>
      <c r="KK334" s="263" t="s">
        <v>52</v>
      </c>
      <c r="KL334" s="263" t="s">
        <v>74</v>
      </c>
      <c r="KM334" s="263" t="s">
        <v>34074</v>
      </c>
      <c r="KO334" s="214" t="s">
        <v>21978</v>
      </c>
      <c r="KP334" s="214" t="s">
        <v>145</v>
      </c>
      <c r="KQ334" s="214" t="s">
        <v>70</v>
      </c>
      <c r="KR334" s="214" t="s">
        <v>67</v>
      </c>
      <c r="KT334" s="22" t="s">
        <v>21979</v>
      </c>
      <c r="KU334" s="22" t="s">
        <v>145</v>
      </c>
      <c r="KV334" s="22" t="s">
        <v>70</v>
      </c>
      <c r="KW334" s="22" t="s">
        <v>67</v>
      </c>
      <c r="KY334" s="214" t="s">
        <v>21980</v>
      </c>
      <c r="KZ334" s="214" t="s">
        <v>52</v>
      </c>
      <c r="LA334" s="214" t="s">
        <v>74</v>
      </c>
      <c r="LB334" s="214" t="s">
        <v>67</v>
      </c>
      <c r="LD334" s="22" t="s">
        <v>21981</v>
      </c>
      <c r="LE334" s="22" t="s">
        <v>145</v>
      </c>
      <c r="LF334" s="22" t="s">
        <v>70</v>
      </c>
      <c r="LG334" s="22" t="s">
        <v>67</v>
      </c>
    </row>
    <row r="335" spans="1:319">
      <c r="A335" s="22" t="s">
        <v>21982</v>
      </c>
      <c r="B335" s="22" t="s">
        <v>145</v>
      </c>
      <c r="C335" s="22" t="s">
        <v>70</v>
      </c>
      <c r="D335" s="22" t="s">
        <v>67</v>
      </c>
      <c r="F335" s="99" t="s">
        <v>21983</v>
      </c>
      <c r="G335" s="22" t="s">
        <v>145</v>
      </c>
      <c r="H335" s="22" t="s">
        <v>70</v>
      </c>
      <c r="I335" s="22" t="s">
        <v>67</v>
      </c>
      <c r="K335" s="22" t="s">
        <v>21984</v>
      </c>
      <c r="L335" s="22" t="s">
        <v>145</v>
      </c>
      <c r="M335" s="22" t="s">
        <v>70</v>
      </c>
      <c r="N335" s="22" t="s">
        <v>67</v>
      </c>
      <c r="P335" s="22" t="s">
        <v>21985</v>
      </c>
      <c r="Q335" s="22" t="s">
        <v>145</v>
      </c>
      <c r="R335" s="22" t="s">
        <v>70</v>
      </c>
      <c r="S335" s="22" t="s">
        <v>67</v>
      </c>
      <c r="U335" s="293" t="s">
        <v>21986</v>
      </c>
      <c r="V335" s="293" t="s">
        <v>145</v>
      </c>
      <c r="W335" s="293" t="s">
        <v>74</v>
      </c>
      <c r="X335" s="293" t="s">
        <v>656</v>
      </c>
      <c r="Z335" s="293" t="s">
        <v>21987</v>
      </c>
      <c r="AA335" s="293" t="s">
        <v>145</v>
      </c>
      <c r="AB335" s="293" t="s">
        <v>74</v>
      </c>
      <c r="AC335" s="293" t="s">
        <v>656</v>
      </c>
      <c r="AE335" s="293" t="s">
        <v>21988</v>
      </c>
      <c r="AF335" s="293" t="s">
        <v>145</v>
      </c>
      <c r="AG335" s="293" t="s">
        <v>74</v>
      </c>
      <c r="AH335" s="293" t="s">
        <v>656</v>
      </c>
      <c r="AJ335" s="293" t="s">
        <v>21989</v>
      </c>
      <c r="AK335" s="293" t="s">
        <v>145</v>
      </c>
      <c r="AL335" s="293" t="s">
        <v>74</v>
      </c>
      <c r="AM335" s="293" t="s">
        <v>656</v>
      </c>
      <c r="AO335" s="22" t="s">
        <v>21990</v>
      </c>
      <c r="AP335" s="22" t="s">
        <v>145</v>
      </c>
      <c r="AQ335" s="22" t="s">
        <v>70</v>
      </c>
      <c r="AR335" s="22" t="s">
        <v>67</v>
      </c>
      <c r="AT335" s="22" t="s">
        <v>21991</v>
      </c>
      <c r="AU335" s="22" t="s">
        <v>145</v>
      </c>
      <c r="AV335" s="22" t="s">
        <v>70</v>
      </c>
      <c r="AW335" s="22" t="s">
        <v>67</v>
      </c>
      <c r="AY335" s="22" t="s">
        <v>21992</v>
      </c>
      <c r="AZ335" s="22" t="s">
        <v>145</v>
      </c>
      <c r="BA335" s="22" t="s">
        <v>70</v>
      </c>
      <c r="BB335" s="22" t="s">
        <v>67</v>
      </c>
      <c r="BD335" s="22" t="s">
        <v>21993</v>
      </c>
      <c r="BE335" s="22" t="s">
        <v>145</v>
      </c>
      <c r="BF335" s="22" t="s">
        <v>70</v>
      </c>
      <c r="BG335" s="22" t="s">
        <v>67</v>
      </c>
      <c r="BI335" s="22" t="s">
        <v>21994</v>
      </c>
      <c r="BJ335" s="22" t="s">
        <v>145</v>
      </c>
      <c r="BK335" s="22" t="s">
        <v>70</v>
      </c>
      <c r="BL335" s="22" t="s">
        <v>67</v>
      </c>
      <c r="BN335" s="22" t="s">
        <v>21995</v>
      </c>
      <c r="BO335" s="22" t="s">
        <v>145</v>
      </c>
      <c r="BP335" s="22" t="s">
        <v>70</v>
      </c>
      <c r="BQ335" s="22" t="s">
        <v>67</v>
      </c>
      <c r="BS335" s="22" t="s">
        <v>21996</v>
      </c>
      <c r="BT335" s="22" t="s">
        <v>145</v>
      </c>
      <c r="BU335" s="22" t="s">
        <v>70</v>
      </c>
      <c r="BV335" s="214" t="s">
        <v>530</v>
      </c>
      <c r="BX335" s="22" t="s">
        <v>21997</v>
      </c>
      <c r="BY335" s="22" t="s">
        <v>145</v>
      </c>
      <c r="BZ335" s="22" t="s">
        <v>70</v>
      </c>
      <c r="CA335" s="214" t="s">
        <v>530</v>
      </c>
      <c r="CC335" s="214" t="s">
        <v>21998</v>
      </c>
      <c r="CD335" s="218" t="s">
        <v>601</v>
      </c>
      <c r="CE335" s="214" t="s">
        <v>70</v>
      </c>
      <c r="CF335" s="214" t="s">
        <v>34141</v>
      </c>
      <c r="CH335" s="214" t="s">
        <v>21999</v>
      </c>
      <c r="CI335" s="214" t="s">
        <v>88</v>
      </c>
      <c r="CJ335" s="214" t="s">
        <v>70</v>
      </c>
      <c r="CK335" s="214" t="s">
        <v>530</v>
      </c>
      <c r="CM335" s="214" t="s">
        <v>22000</v>
      </c>
      <c r="CN335" s="214" t="s">
        <v>34551</v>
      </c>
      <c r="CO335" s="214" t="s">
        <v>70</v>
      </c>
      <c r="CP335" s="214" t="s">
        <v>530</v>
      </c>
      <c r="CR335" s="214" t="s">
        <v>22001</v>
      </c>
      <c r="CS335" s="214" t="s">
        <v>636</v>
      </c>
      <c r="CT335" s="214" t="s">
        <v>70</v>
      </c>
      <c r="CU335" s="214" t="s">
        <v>530</v>
      </c>
      <c r="CW335" s="214" t="s">
        <v>22002</v>
      </c>
      <c r="CX335" s="214" t="s">
        <v>34540</v>
      </c>
      <c r="CY335" s="214" t="s">
        <v>70</v>
      </c>
      <c r="CZ335" s="214" t="s">
        <v>530</v>
      </c>
      <c r="DB335" s="214" t="s">
        <v>22003</v>
      </c>
      <c r="DC335" s="214" t="s">
        <v>34583</v>
      </c>
      <c r="DD335" s="214" t="s">
        <v>70</v>
      </c>
      <c r="DE335" s="214" t="s">
        <v>530</v>
      </c>
      <c r="DG335" s="214" t="s">
        <v>22004</v>
      </c>
      <c r="DH335" s="214" t="s">
        <v>34570</v>
      </c>
      <c r="DI335" s="214" t="s">
        <v>70</v>
      </c>
      <c r="DJ335" s="214" t="s">
        <v>530</v>
      </c>
      <c r="DL335" s="214" t="s">
        <v>22005</v>
      </c>
      <c r="DM335" s="214" t="s">
        <v>468</v>
      </c>
      <c r="DN335" s="214" t="s">
        <v>70</v>
      </c>
      <c r="DO335" s="214" t="s">
        <v>530</v>
      </c>
      <c r="DQ335" s="214" t="s">
        <v>22006</v>
      </c>
      <c r="DR335" s="214" t="s">
        <v>146</v>
      </c>
      <c r="DS335" s="214" t="s">
        <v>70</v>
      </c>
      <c r="DT335" s="214" t="s">
        <v>530</v>
      </c>
      <c r="DV335" s="214" t="s">
        <v>22007</v>
      </c>
      <c r="DW335" s="214" t="s">
        <v>956</v>
      </c>
      <c r="DX335" s="214" t="s">
        <v>70</v>
      </c>
      <c r="DY335" s="214" t="s">
        <v>530</v>
      </c>
      <c r="EA335" s="214" t="s">
        <v>22008</v>
      </c>
      <c r="EB335" s="214" t="s">
        <v>484</v>
      </c>
      <c r="EC335" s="214" t="s">
        <v>70</v>
      </c>
      <c r="ED335" s="214" t="s">
        <v>530</v>
      </c>
      <c r="EF335" s="214" t="s">
        <v>22009</v>
      </c>
      <c r="EG335" s="214" t="s">
        <v>52</v>
      </c>
      <c r="EH335" s="214" t="s">
        <v>70</v>
      </c>
      <c r="EI335" s="214" t="s">
        <v>530</v>
      </c>
      <c r="EK335" s="214" t="s">
        <v>22010</v>
      </c>
      <c r="EL335" s="214" t="s">
        <v>52</v>
      </c>
      <c r="EM335" s="214" t="s">
        <v>70</v>
      </c>
      <c r="EN335" s="214" t="s">
        <v>530</v>
      </c>
      <c r="EP335" s="214" t="s">
        <v>22011</v>
      </c>
      <c r="EQ335" s="214" t="s">
        <v>485</v>
      </c>
      <c r="ER335" s="214" t="s">
        <v>70</v>
      </c>
      <c r="ES335" s="214" t="s">
        <v>530</v>
      </c>
      <c r="EU335" s="214" t="s">
        <v>22012</v>
      </c>
      <c r="EV335" s="214" t="s">
        <v>146</v>
      </c>
      <c r="EW335" s="214" t="s">
        <v>70</v>
      </c>
      <c r="EX335" s="214" t="s">
        <v>530</v>
      </c>
      <c r="EZ335" s="214" t="s">
        <v>22013</v>
      </c>
      <c r="FA335" s="214" t="s">
        <v>501</v>
      </c>
      <c r="FB335" s="214" t="s">
        <v>70</v>
      </c>
      <c r="FC335" s="214" t="s">
        <v>530</v>
      </c>
      <c r="FE335" s="214" t="s">
        <v>22014</v>
      </c>
      <c r="FF335" s="214" t="s">
        <v>146</v>
      </c>
      <c r="FG335" s="214" t="s">
        <v>70</v>
      </c>
      <c r="FH335" s="214" t="s">
        <v>530</v>
      </c>
      <c r="FJ335" s="321" t="s">
        <v>22015</v>
      </c>
      <c r="FK335" s="214" t="s">
        <v>482</v>
      </c>
      <c r="FL335" s="214" t="s">
        <v>70</v>
      </c>
      <c r="FM335" s="214" t="s">
        <v>530</v>
      </c>
      <c r="FO335" s="321" t="s">
        <v>22016</v>
      </c>
      <c r="FP335" s="214" t="s">
        <v>485</v>
      </c>
      <c r="FQ335" s="214" t="s">
        <v>70</v>
      </c>
      <c r="FR335" s="214" t="s">
        <v>530</v>
      </c>
      <c r="FT335" s="321" t="s">
        <v>22017</v>
      </c>
      <c r="FU335" s="214" t="s">
        <v>914</v>
      </c>
      <c r="FV335" s="214" t="s">
        <v>70</v>
      </c>
      <c r="FW335" s="214" t="s">
        <v>530</v>
      </c>
      <c r="FY335" s="321" t="s">
        <v>22018</v>
      </c>
      <c r="FZ335" s="214" t="s">
        <v>52</v>
      </c>
      <c r="GA335" s="214" t="s">
        <v>70</v>
      </c>
      <c r="GB335" s="214" t="s">
        <v>530</v>
      </c>
      <c r="GD335" s="321" t="s">
        <v>22019</v>
      </c>
      <c r="GE335" s="214" t="s">
        <v>34544</v>
      </c>
      <c r="GF335" s="214" t="s">
        <v>70</v>
      </c>
      <c r="GG335" s="214" t="s">
        <v>530</v>
      </c>
      <c r="GI335" s="321" t="s">
        <v>22020</v>
      </c>
      <c r="GJ335" s="214" t="s">
        <v>488</v>
      </c>
      <c r="GK335" s="214" t="s">
        <v>70</v>
      </c>
      <c r="GL335" s="214" t="s">
        <v>530</v>
      </c>
      <c r="GN335" s="321" t="s">
        <v>22021</v>
      </c>
      <c r="GO335" s="214" t="s">
        <v>490</v>
      </c>
      <c r="GP335" s="214" t="s">
        <v>70</v>
      </c>
      <c r="GQ335" s="214" t="s">
        <v>530</v>
      </c>
      <c r="GS335" s="321" t="s">
        <v>22022</v>
      </c>
      <c r="GT335" s="214" t="s">
        <v>52</v>
      </c>
      <c r="GU335" s="214" t="s">
        <v>70</v>
      </c>
      <c r="GV335" s="214" t="s">
        <v>530</v>
      </c>
      <c r="GX335" s="214" t="s">
        <v>22023</v>
      </c>
      <c r="GY335" s="214" t="s">
        <v>496</v>
      </c>
      <c r="GZ335" s="214" t="s">
        <v>70</v>
      </c>
      <c r="HA335" s="214" t="s">
        <v>530</v>
      </c>
      <c r="HC335" s="214" t="s">
        <v>22024</v>
      </c>
      <c r="HD335" s="214" t="s">
        <v>34551</v>
      </c>
      <c r="HE335" s="214" t="s">
        <v>70</v>
      </c>
      <c r="HF335" s="214" t="s">
        <v>530</v>
      </c>
      <c r="HH335" s="214" t="s">
        <v>22025</v>
      </c>
      <c r="HI335" s="214" t="s">
        <v>149</v>
      </c>
      <c r="HJ335" s="214" t="s">
        <v>70</v>
      </c>
      <c r="HK335" s="214" t="s">
        <v>530</v>
      </c>
      <c r="HM335" s="214" t="s">
        <v>22026</v>
      </c>
      <c r="HN335" s="214" t="s">
        <v>955</v>
      </c>
      <c r="HO335" s="214" t="s">
        <v>70</v>
      </c>
      <c r="HP335" s="214" t="s">
        <v>530</v>
      </c>
      <c r="HR335" s="22" t="s">
        <v>22027</v>
      </c>
      <c r="HS335" s="22" t="s">
        <v>34582</v>
      </c>
      <c r="HT335" s="22" t="s">
        <v>70</v>
      </c>
      <c r="HU335" s="214" t="s">
        <v>530</v>
      </c>
      <c r="HW335" s="22" t="s">
        <v>22028</v>
      </c>
      <c r="HX335" s="22" t="s">
        <v>146</v>
      </c>
      <c r="HY335" s="22" t="s">
        <v>70</v>
      </c>
      <c r="HZ335" s="214" t="s">
        <v>530</v>
      </c>
      <c r="IB335" s="22" t="s">
        <v>22029</v>
      </c>
      <c r="IC335" s="22" t="s">
        <v>145</v>
      </c>
      <c r="ID335" s="22" t="s">
        <v>70</v>
      </c>
      <c r="IE335" s="214" t="s">
        <v>530</v>
      </c>
      <c r="IG335" s="22" t="s">
        <v>22030</v>
      </c>
      <c r="IH335" s="22" t="s">
        <v>52</v>
      </c>
      <c r="II335" s="22" t="s">
        <v>70</v>
      </c>
      <c r="IJ335" s="214" t="s">
        <v>530</v>
      </c>
      <c r="IL335" s="22" t="s">
        <v>22031</v>
      </c>
      <c r="IM335" s="22" t="s">
        <v>145</v>
      </c>
      <c r="IN335" s="22" t="s">
        <v>70</v>
      </c>
      <c r="IO335" s="214" t="s">
        <v>530</v>
      </c>
      <c r="IQ335" s="236" t="s">
        <v>22032</v>
      </c>
      <c r="IR335" s="236" t="s">
        <v>145</v>
      </c>
      <c r="IS335" s="236" t="s">
        <v>74</v>
      </c>
      <c r="IT335" s="236" t="s">
        <v>841</v>
      </c>
      <c r="IV335" s="236" t="s">
        <v>22033</v>
      </c>
      <c r="IW335" s="236" t="s">
        <v>145</v>
      </c>
      <c r="IX335" s="236" t="s">
        <v>74</v>
      </c>
      <c r="IY335" s="236" t="s">
        <v>841</v>
      </c>
      <c r="JA335" s="236" t="s">
        <v>22034</v>
      </c>
      <c r="JB335" s="236" t="s">
        <v>145</v>
      </c>
      <c r="JC335" s="236" t="s">
        <v>74</v>
      </c>
      <c r="JD335" s="236" t="s">
        <v>841</v>
      </c>
      <c r="JF335" s="236" t="s">
        <v>22035</v>
      </c>
      <c r="JG335" s="236" t="s">
        <v>145</v>
      </c>
      <c r="JH335" s="236" t="s">
        <v>74</v>
      </c>
      <c r="JI335" s="236" t="s">
        <v>841</v>
      </c>
      <c r="JK335" s="236" t="s">
        <v>22036</v>
      </c>
      <c r="JL335" s="236" t="s">
        <v>145</v>
      </c>
      <c r="JM335" s="236" t="s">
        <v>74</v>
      </c>
      <c r="JN335" s="236" t="s">
        <v>841</v>
      </c>
      <c r="JP335" s="236" t="s">
        <v>22037</v>
      </c>
      <c r="JQ335" s="236" t="s">
        <v>145</v>
      </c>
      <c r="JR335" s="236" t="s">
        <v>74</v>
      </c>
      <c r="JS335" s="236" t="s">
        <v>841</v>
      </c>
      <c r="JU335" s="294" t="s">
        <v>22038</v>
      </c>
      <c r="JV335" s="294" t="s">
        <v>52</v>
      </c>
      <c r="JW335" s="263" t="s">
        <v>70</v>
      </c>
      <c r="JX335" s="294" t="s">
        <v>1083</v>
      </c>
      <c r="JZ335" s="263" t="s">
        <v>22039</v>
      </c>
      <c r="KA335" s="263" t="s">
        <v>145</v>
      </c>
      <c r="KB335" s="263" t="s">
        <v>70</v>
      </c>
      <c r="KC335" s="263" t="s">
        <v>1083</v>
      </c>
      <c r="KE335" s="263" t="s">
        <v>22040</v>
      </c>
      <c r="KF335" s="263" t="s">
        <v>52</v>
      </c>
      <c r="KG335" s="263" t="s">
        <v>70</v>
      </c>
      <c r="KH335" s="263" t="s">
        <v>1083</v>
      </c>
      <c r="KJ335" s="263" t="s">
        <v>22041</v>
      </c>
      <c r="KK335" s="263" t="s">
        <v>52</v>
      </c>
      <c r="KL335" s="263" t="s">
        <v>74</v>
      </c>
      <c r="KM335" s="263" t="s">
        <v>34074</v>
      </c>
      <c r="KO335" s="214" t="s">
        <v>22042</v>
      </c>
      <c r="KP335" s="214" t="s">
        <v>145</v>
      </c>
      <c r="KQ335" s="214" t="s">
        <v>70</v>
      </c>
      <c r="KR335" s="214" t="s">
        <v>67</v>
      </c>
      <c r="KT335" s="22" t="s">
        <v>22043</v>
      </c>
      <c r="KU335" s="22" t="s">
        <v>145</v>
      </c>
      <c r="KV335" s="22" t="s">
        <v>70</v>
      </c>
      <c r="KW335" s="22" t="s">
        <v>67</v>
      </c>
      <c r="KY335" s="214" t="s">
        <v>22044</v>
      </c>
      <c r="KZ335" s="214" t="s">
        <v>52</v>
      </c>
      <c r="LA335" s="214" t="s">
        <v>74</v>
      </c>
      <c r="LB335" s="214" t="s">
        <v>67</v>
      </c>
      <c r="LD335" s="22" t="s">
        <v>22045</v>
      </c>
      <c r="LE335" s="22" t="s">
        <v>145</v>
      </c>
      <c r="LF335" s="22" t="s">
        <v>70</v>
      </c>
      <c r="LG335" s="22" t="s">
        <v>67</v>
      </c>
    </row>
    <row r="336" spans="1:319">
      <c r="A336" s="22" t="s">
        <v>22046</v>
      </c>
      <c r="B336" s="22" t="s">
        <v>145</v>
      </c>
      <c r="C336" s="22" t="s">
        <v>70</v>
      </c>
      <c r="D336" s="22" t="s">
        <v>67</v>
      </c>
      <c r="F336" s="99" t="s">
        <v>22047</v>
      </c>
      <c r="G336" s="22" t="s">
        <v>145</v>
      </c>
      <c r="H336" s="22" t="s">
        <v>70</v>
      </c>
      <c r="I336" s="22" t="s">
        <v>67</v>
      </c>
      <c r="K336" s="22" t="s">
        <v>22048</v>
      </c>
      <c r="L336" s="22" t="s">
        <v>145</v>
      </c>
      <c r="M336" s="22" t="s">
        <v>70</v>
      </c>
      <c r="N336" s="22" t="s">
        <v>67</v>
      </c>
      <c r="P336" s="22" t="s">
        <v>22049</v>
      </c>
      <c r="Q336" s="22" t="s">
        <v>145</v>
      </c>
      <c r="R336" s="22" t="s">
        <v>70</v>
      </c>
      <c r="S336" s="22" t="s">
        <v>67</v>
      </c>
      <c r="U336" s="293" t="s">
        <v>22050</v>
      </c>
      <c r="V336" s="293" t="s">
        <v>145</v>
      </c>
      <c r="W336" s="293" t="s">
        <v>74</v>
      </c>
      <c r="X336" s="293" t="s">
        <v>656</v>
      </c>
      <c r="Z336" s="293" t="s">
        <v>22051</v>
      </c>
      <c r="AA336" s="293" t="s">
        <v>145</v>
      </c>
      <c r="AB336" s="293" t="s">
        <v>74</v>
      </c>
      <c r="AC336" s="293" t="s">
        <v>656</v>
      </c>
      <c r="AE336" s="293" t="s">
        <v>22052</v>
      </c>
      <c r="AF336" s="293" t="s">
        <v>145</v>
      </c>
      <c r="AG336" s="293" t="s">
        <v>74</v>
      </c>
      <c r="AH336" s="293" t="s">
        <v>656</v>
      </c>
      <c r="AJ336" s="293" t="s">
        <v>22053</v>
      </c>
      <c r="AK336" s="293" t="s">
        <v>145</v>
      </c>
      <c r="AL336" s="293" t="s">
        <v>74</v>
      </c>
      <c r="AM336" s="293" t="s">
        <v>656</v>
      </c>
      <c r="AO336" s="22" t="s">
        <v>22054</v>
      </c>
      <c r="AP336" s="22" t="s">
        <v>145</v>
      </c>
      <c r="AQ336" s="22" t="s">
        <v>70</v>
      </c>
      <c r="AR336" s="22" t="s">
        <v>67</v>
      </c>
      <c r="AT336" s="22" t="s">
        <v>22055</v>
      </c>
      <c r="AU336" s="22" t="s">
        <v>145</v>
      </c>
      <c r="AV336" s="22" t="s">
        <v>70</v>
      </c>
      <c r="AW336" s="22" t="s">
        <v>67</v>
      </c>
      <c r="AY336" s="22" t="s">
        <v>22056</v>
      </c>
      <c r="AZ336" s="22" t="s">
        <v>145</v>
      </c>
      <c r="BA336" s="22" t="s">
        <v>70</v>
      </c>
      <c r="BB336" s="22" t="s">
        <v>67</v>
      </c>
      <c r="BD336" s="22" t="s">
        <v>22057</v>
      </c>
      <c r="BE336" s="22" t="s">
        <v>145</v>
      </c>
      <c r="BF336" s="22" t="s">
        <v>70</v>
      </c>
      <c r="BG336" s="22" t="s">
        <v>67</v>
      </c>
      <c r="BI336" s="22" t="s">
        <v>22058</v>
      </c>
      <c r="BJ336" s="22" t="s">
        <v>145</v>
      </c>
      <c r="BK336" s="22" t="s">
        <v>70</v>
      </c>
      <c r="BL336" s="22" t="s">
        <v>67</v>
      </c>
      <c r="BN336" s="22" t="s">
        <v>22059</v>
      </c>
      <c r="BO336" s="22" t="s">
        <v>145</v>
      </c>
      <c r="BP336" s="22" t="s">
        <v>70</v>
      </c>
      <c r="BQ336" s="22" t="s">
        <v>67</v>
      </c>
      <c r="BS336" s="22" t="s">
        <v>22060</v>
      </c>
      <c r="BT336" s="22" t="s">
        <v>145</v>
      </c>
      <c r="BU336" s="22" t="s">
        <v>70</v>
      </c>
      <c r="BV336" s="214" t="s">
        <v>530</v>
      </c>
      <c r="BX336" s="22" t="s">
        <v>22061</v>
      </c>
      <c r="BY336" s="22" t="s">
        <v>145</v>
      </c>
      <c r="BZ336" s="22" t="s">
        <v>70</v>
      </c>
      <c r="CA336" s="214" t="s">
        <v>530</v>
      </c>
      <c r="CC336" s="214" t="s">
        <v>22062</v>
      </c>
      <c r="CD336" s="218" t="s">
        <v>34608</v>
      </c>
      <c r="CE336" s="214" t="s">
        <v>70</v>
      </c>
      <c r="CF336" s="214" t="s">
        <v>34142</v>
      </c>
      <c r="CH336" s="214" t="s">
        <v>22063</v>
      </c>
      <c r="CI336" s="214" t="s">
        <v>34536</v>
      </c>
      <c r="CJ336" s="214" t="s">
        <v>70</v>
      </c>
      <c r="CK336" s="214" t="s">
        <v>530</v>
      </c>
      <c r="CM336" s="214" t="s">
        <v>22064</v>
      </c>
      <c r="CN336" s="214" t="s">
        <v>933</v>
      </c>
      <c r="CO336" s="214" t="s">
        <v>70</v>
      </c>
      <c r="CP336" s="214" t="s">
        <v>530</v>
      </c>
      <c r="CR336" s="214" t="s">
        <v>22065</v>
      </c>
      <c r="CS336" s="214" t="s">
        <v>468</v>
      </c>
      <c r="CT336" s="214" t="s">
        <v>70</v>
      </c>
      <c r="CU336" s="214" t="s">
        <v>530</v>
      </c>
      <c r="CW336" s="214" t="s">
        <v>22066</v>
      </c>
      <c r="CX336" s="214" t="s">
        <v>34545</v>
      </c>
      <c r="CY336" s="214" t="s">
        <v>70</v>
      </c>
      <c r="CZ336" s="214" t="s">
        <v>530</v>
      </c>
      <c r="DB336" s="214" t="s">
        <v>22067</v>
      </c>
      <c r="DC336" s="214" t="s">
        <v>531</v>
      </c>
      <c r="DD336" s="214" t="s">
        <v>70</v>
      </c>
      <c r="DE336" s="214" t="s">
        <v>530</v>
      </c>
      <c r="DG336" s="214" t="s">
        <v>22068</v>
      </c>
      <c r="DH336" s="214" t="s">
        <v>90</v>
      </c>
      <c r="DI336" s="214" t="s">
        <v>70</v>
      </c>
      <c r="DJ336" s="214" t="s">
        <v>530</v>
      </c>
      <c r="DL336" s="214" t="s">
        <v>22069</v>
      </c>
      <c r="DM336" s="214" t="s">
        <v>481</v>
      </c>
      <c r="DN336" s="214" t="s">
        <v>70</v>
      </c>
      <c r="DO336" s="214" t="s">
        <v>530</v>
      </c>
      <c r="DQ336" s="214" t="s">
        <v>22070</v>
      </c>
      <c r="DR336" s="214" t="s">
        <v>491</v>
      </c>
      <c r="DS336" s="214" t="s">
        <v>70</v>
      </c>
      <c r="DT336" s="214" t="s">
        <v>530</v>
      </c>
      <c r="DV336" s="214" t="s">
        <v>22071</v>
      </c>
      <c r="DW336" s="214" t="s">
        <v>34565</v>
      </c>
      <c r="DX336" s="214" t="s">
        <v>70</v>
      </c>
      <c r="DY336" s="214" t="s">
        <v>530</v>
      </c>
      <c r="EA336" s="214" t="s">
        <v>22072</v>
      </c>
      <c r="EB336" s="214" t="s">
        <v>531</v>
      </c>
      <c r="EC336" s="214" t="s">
        <v>70</v>
      </c>
      <c r="ED336" s="214" t="s">
        <v>530</v>
      </c>
      <c r="EF336" s="214" t="s">
        <v>22073</v>
      </c>
      <c r="EG336" s="214" t="s">
        <v>34567</v>
      </c>
      <c r="EH336" s="214" t="s">
        <v>70</v>
      </c>
      <c r="EI336" s="214" t="s">
        <v>530</v>
      </c>
      <c r="EK336" s="214" t="s">
        <v>22074</v>
      </c>
      <c r="EL336" s="214" t="s">
        <v>90</v>
      </c>
      <c r="EM336" s="214" t="s">
        <v>70</v>
      </c>
      <c r="EN336" s="214" t="s">
        <v>530</v>
      </c>
      <c r="EP336" s="214" t="s">
        <v>22075</v>
      </c>
      <c r="EQ336" s="214" t="s">
        <v>148</v>
      </c>
      <c r="ER336" s="214" t="s">
        <v>70</v>
      </c>
      <c r="ES336" s="214" t="s">
        <v>530</v>
      </c>
      <c r="EU336" s="214" t="s">
        <v>22076</v>
      </c>
      <c r="EV336" s="214" t="s">
        <v>52</v>
      </c>
      <c r="EW336" s="214" t="s">
        <v>70</v>
      </c>
      <c r="EX336" s="214" t="s">
        <v>530</v>
      </c>
      <c r="EZ336" s="214" t="s">
        <v>22077</v>
      </c>
      <c r="FA336" s="214" t="s">
        <v>10541</v>
      </c>
      <c r="FB336" s="214" t="s">
        <v>70</v>
      </c>
      <c r="FC336" s="214" t="s">
        <v>530</v>
      </c>
      <c r="FE336" s="214" t="s">
        <v>22078</v>
      </c>
      <c r="FF336" s="214" t="s">
        <v>85</v>
      </c>
      <c r="FG336" s="214" t="s">
        <v>70</v>
      </c>
      <c r="FH336" s="214" t="s">
        <v>530</v>
      </c>
      <c r="FJ336" s="321" t="s">
        <v>22079</v>
      </c>
      <c r="FK336" s="214" t="s">
        <v>34614</v>
      </c>
      <c r="FL336" s="214" t="s">
        <v>70</v>
      </c>
      <c r="FM336" s="214" t="s">
        <v>530</v>
      </c>
      <c r="FO336" s="321" t="s">
        <v>22080</v>
      </c>
      <c r="FP336" s="214" t="s">
        <v>467</v>
      </c>
      <c r="FQ336" s="214" t="s">
        <v>70</v>
      </c>
      <c r="FR336" s="214" t="s">
        <v>530</v>
      </c>
      <c r="FT336" s="321" t="s">
        <v>22081</v>
      </c>
      <c r="FU336" s="214" t="s">
        <v>933</v>
      </c>
      <c r="FV336" s="214" t="s">
        <v>70</v>
      </c>
      <c r="FW336" s="214" t="s">
        <v>530</v>
      </c>
      <c r="FY336" s="321" t="s">
        <v>22082</v>
      </c>
      <c r="FZ336" s="214" t="s">
        <v>145</v>
      </c>
      <c r="GA336" s="214" t="s">
        <v>70</v>
      </c>
      <c r="GB336" s="214" t="s">
        <v>530</v>
      </c>
      <c r="GD336" s="321" t="s">
        <v>22083</v>
      </c>
      <c r="GE336" s="214" t="s">
        <v>148</v>
      </c>
      <c r="GF336" s="214" t="s">
        <v>70</v>
      </c>
      <c r="GG336" s="214" t="s">
        <v>530</v>
      </c>
      <c r="GI336" s="321" t="s">
        <v>22084</v>
      </c>
      <c r="GJ336" s="214" t="s">
        <v>52</v>
      </c>
      <c r="GK336" s="214" t="s">
        <v>70</v>
      </c>
      <c r="GL336" s="214" t="s">
        <v>530</v>
      </c>
      <c r="GN336" s="321" t="s">
        <v>22085</v>
      </c>
      <c r="GO336" s="214" t="s">
        <v>636</v>
      </c>
      <c r="GP336" s="214" t="s">
        <v>70</v>
      </c>
      <c r="GQ336" s="214" t="s">
        <v>530</v>
      </c>
      <c r="GS336" s="321" t="s">
        <v>22086</v>
      </c>
      <c r="GT336" s="214" t="s">
        <v>501</v>
      </c>
      <c r="GU336" s="214" t="s">
        <v>70</v>
      </c>
      <c r="GV336" s="214" t="s">
        <v>530</v>
      </c>
      <c r="GX336" s="214" t="s">
        <v>22087</v>
      </c>
      <c r="GY336" s="214" t="s">
        <v>52</v>
      </c>
      <c r="GZ336" s="214" t="s">
        <v>70</v>
      </c>
      <c r="HA336" s="214" t="s">
        <v>530</v>
      </c>
      <c r="HC336" s="214" t="s">
        <v>22088</v>
      </c>
      <c r="HD336" s="214" t="s">
        <v>34565</v>
      </c>
      <c r="HE336" s="214" t="s">
        <v>70</v>
      </c>
      <c r="HF336" s="214" t="s">
        <v>530</v>
      </c>
      <c r="HH336" s="214" t="s">
        <v>22089</v>
      </c>
      <c r="HI336" s="214" t="s">
        <v>90</v>
      </c>
      <c r="HJ336" s="214" t="s">
        <v>70</v>
      </c>
      <c r="HK336" s="214" t="s">
        <v>530</v>
      </c>
      <c r="HM336" s="214" t="s">
        <v>22090</v>
      </c>
      <c r="HN336" s="214" t="s">
        <v>163</v>
      </c>
      <c r="HO336" s="214" t="s">
        <v>70</v>
      </c>
      <c r="HP336" s="214" t="s">
        <v>530</v>
      </c>
      <c r="HR336" s="22" t="s">
        <v>22091</v>
      </c>
      <c r="HS336" s="22" t="s">
        <v>163</v>
      </c>
      <c r="HT336" s="22" t="s">
        <v>70</v>
      </c>
      <c r="HU336" s="214" t="s">
        <v>530</v>
      </c>
      <c r="HW336" s="22" t="s">
        <v>22092</v>
      </c>
      <c r="HX336" s="22" t="s">
        <v>34553</v>
      </c>
      <c r="HY336" s="22" t="s">
        <v>70</v>
      </c>
      <c r="HZ336" s="214" t="s">
        <v>530</v>
      </c>
      <c r="IB336" s="22" t="s">
        <v>22093</v>
      </c>
      <c r="IC336" s="22" t="s">
        <v>52</v>
      </c>
      <c r="ID336" s="22" t="s">
        <v>70</v>
      </c>
      <c r="IE336" s="214" t="s">
        <v>530</v>
      </c>
      <c r="IG336" s="22" t="s">
        <v>22094</v>
      </c>
      <c r="IH336" s="22" t="s">
        <v>52</v>
      </c>
      <c r="II336" s="22" t="s">
        <v>70</v>
      </c>
      <c r="IJ336" s="214" t="s">
        <v>530</v>
      </c>
      <c r="IL336" s="22" t="s">
        <v>22095</v>
      </c>
      <c r="IM336" s="22" t="s">
        <v>145</v>
      </c>
      <c r="IN336" s="22" t="s">
        <v>70</v>
      </c>
      <c r="IO336" s="214" t="s">
        <v>530</v>
      </c>
      <c r="IQ336" s="236" t="s">
        <v>22096</v>
      </c>
      <c r="IR336" s="236" t="s">
        <v>145</v>
      </c>
      <c r="IS336" s="236" t="s">
        <v>74</v>
      </c>
      <c r="IT336" s="236" t="s">
        <v>841</v>
      </c>
      <c r="IV336" s="236" t="s">
        <v>22097</v>
      </c>
      <c r="IW336" s="236" t="s">
        <v>145</v>
      </c>
      <c r="IX336" s="236" t="s">
        <v>74</v>
      </c>
      <c r="IY336" s="236" t="s">
        <v>841</v>
      </c>
      <c r="JA336" s="236" t="s">
        <v>22098</v>
      </c>
      <c r="JB336" s="236" t="s">
        <v>145</v>
      </c>
      <c r="JC336" s="236" t="s">
        <v>74</v>
      </c>
      <c r="JD336" s="236" t="s">
        <v>841</v>
      </c>
      <c r="JF336" s="236" t="s">
        <v>22099</v>
      </c>
      <c r="JG336" s="236" t="s">
        <v>145</v>
      </c>
      <c r="JH336" s="236" t="s">
        <v>74</v>
      </c>
      <c r="JI336" s="236" t="s">
        <v>841</v>
      </c>
      <c r="JK336" s="236" t="s">
        <v>22100</v>
      </c>
      <c r="JL336" s="236" t="s">
        <v>145</v>
      </c>
      <c r="JM336" s="236" t="s">
        <v>74</v>
      </c>
      <c r="JN336" s="236" t="s">
        <v>841</v>
      </c>
      <c r="JP336" s="236" t="s">
        <v>22101</v>
      </c>
      <c r="JQ336" s="236" t="s">
        <v>145</v>
      </c>
      <c r="JR336" s="236" t="s">
        <v>74</v>
      </c>
      <c r="JS336" s="236" t="s">
        <v>841</v>
      </c>
      <c r="JU336" s="294" t="s">
        <v>22102</v>
      </c>
      <c r="JV336" s="294" t="s">
        <v>52</v>
      </c>
      <c r="JW336" s="263" t="s">
        <v>70</v>
      </c>
      <c r="JX336" s="294" t="s">
        <v>1083</v>
      </c>
      <c r="JZ336" s="263" t="s">
        <v>22103</v>
      </c>
      <c r="KA336" s="263" t="s">
        <v>145</v>
      </c>
      <c r="KB336" s="263" t="s">
        <v>70</v>
      </c>
      <c r="KC336" s="263" t="s">
        <v>1083</v>
      </c>
      <c r="KE336" s="263" t="s">
        <v>22104</v>
      </c>
      <c r="KF336" s="263" t="s">
        <v>52</v>
      </c>
      <c r="KG336" s="263" t="s">
        <v>70</v>
      </c>
      <c r="KH336" s="263" t="s">
        <v>1083</v>
      </c>
      <c r="KJ336" s="263" t="s">
        <v>22105</v>
      </c>
      <c r="KK336" s="263" t="s">
        <v>52</v>
      </c>
      <c r="KL336" s="263" t="s">
        <v>74</v>
      </c>
      <c r="KM336" s="263" t="s">
        <v>34074</v>
      </c>
      <c r="KO336" s="214" t="s">
        <v>22106</v>
      </c>
      <c r="KP336" s="214" t="s">
        <v>145</v>
      </c>
      <c r="KQ336" s="214" t="s">
        <v>70</v>
      </c>
      <c r="KR336" s="214" t="s">
        <v>67</v>
      </c>
      <c r="KT336" s="22" t="s">
        <v>22107</v>
      </c>
      <c r="KU336" s="22" t="s">
        <v>145</v>
      </c>
      <c r="KV336" s="22" t="s">
        <v>70</v>
      </c>
      <c r="KW336" s="22" t="s">
        <v>67</v>
      </c>
      <c r="KY336" s="214" t="s">
        <v>22108</v>
      </c>
      <c r="KZ336" s="214" t="s">
        <v>52</v>
      </c>
      <c r="LA336" s="214" t="s">
        <v>74</v>
      </c>
      <c r="LB336" s="214" t="s">
        <v>67</v>
      </c>
      <c r="LD336" s="22" t="s">
        <v>22109</v>
      </c>
      <c r="LE336" s="22" t="s">
        <v>145</v>
      </c>
      <c r="LF336" s="22" t="s">
        <v>70</v>
      </c>
      <c r="LG336" s="22" t="s">
        <v>67</v>
      </c>
    </row>
    <row r="337" spans="1:319">
      <c r="A337" s="22" t="s">
        <v>22110</v>
      </c>
      <c r="B337" s="22" t="s">
        <v>145</v>
      </c>
      <c r="C337" s="22" t="s">
        <v>70</v>
      </c>
      <c r="D337" s="22" t="s">
        <v>67</v>
      </c>
      <c r="F337" s="99" t="s">
        <v>22111</v>
      </c>
      <c r="G337" s="22" t="s">
        <v>145</v>
      </c>
      <c r="H337" s="22" t="s">
        <v>70</v>
      </c>
      <c r="I337" s="22" t="s">
        <v>67</v>
      </c>
      <c r="K337" s="22" t="s">
        <v>22112</v>
      </c>
      <c r="L337" s="22" t="s">
        <v>145</v>
      </c>
      <c r="M337" s="22" t="s">
        <v>70</v>
      </c>
      <c r="N337" s="22" t="s">
        <v>67</v>
      </c>
      <c r="P337" s="22" t="s">
        <v>22113</v>
      </c>
      <c r="Q337" s="22" t="s">
        <v>145</v>
      </c>
      <c r="R337" s="22" t="s">
        <v>70</v>
      </c>
      <c r="S337" s="22" t="s">
        <v>67</v>
      </c>
      <c r="U337" s="293" t="s">
        <v>22114</v>
      </c>
      <c r="V337" s="293" t="s">
        <v>145</v>
      </c>
      <c r="W337" s="293" t="s">
        <v>74</v>
      </c>
      <c r="X337" s="293" t="s">
        <v>656</v>
      </c>
      <c r="Z337" s="293" t="s">
        <v>22115</v>
      </c>
      <c r="AA337" s="293" t="s">
        <v>145</v>
      </c>
      <c r="AB337" s="293" t="s">
        <v>74</v>
      </c>
      <c r="AC337" s="293" t="s">
        <v>656</v>
      </c>
      <c r="AE337" s="293" t="s">
        <v>22116</v>
      </c>
      <c r="AF337" s="293" t="s">
        <v>145</v>
      </c>
      <c r="AG337" s="293" t="s">
        <v>74</v>
      </c>
      <c r="AH337" s="293" t="s">
        <v>656</v>
      </c>
      <c r="AJ337" s="293" t="s">
        <v>22117</v>
      </c>
      <c r="AK337" s="293" t="s">
        <v>145</v>
      </c>
      <c r="AL337" s="293" t="s">
        <v>74</v>
      </c>
      <c r="AM337" s="293" t="s">
        <v>656</v>
      </c>
      <c r="AO337" s="22" t="s">
        <v>22118</v>
      </c>
      <c r="AP337" s="22" t="s">
        <v>145</v>
      </c>
      <c r="AQ337" s="22" t="s">
        <v>70</v>
      </c>
      <c r="AR337" s="22" t="s">
        <v>67</v>
      </c>
      <c r="AT337" s="22" t="s">
        <v>22119</v>
      </c>
      <c r="AU337" s="22" t="s">
        <v>145</v>
      </c>
      <c r="AV337" s="22" t="s">
        <v>70</v>
      </c>
      <c r="AW337" s="22" t="s">
        <v>67</v>
      </c>
      <c r="AY337" s="22" t="s">
        <v>22120</v>
      </c>
      <c r="AZ337" s="22" t="s">
        <v>145</v>
      </c>
      <c r="BA337" s="22" t="s">
        <v>70</v>
      </c>
      <c r="BB337" s="22" t="s">
        <v>67</v>
      </c>
      <c r="BD337" s="22" t="s">
        <v>22121</v>
      </c>
      <c r="BE337" s="22" t="s">
        <v>145</v>
      </c>
      <c r="BF337" s="22" t="s">
        <v>70</v>
      </c>
      <c r="BG337" s="22" t="s">
        <v>67</v>
      </c>
      <c r="BI337" s="22" t="s">
        <v>22122</v>
      </c>
      <c r="BJ337" s="22" t="s">
        <v>145</v>
      </c>
      <c r="BK337" s="22" t="s">
        <v>70</v>
      </c>
      <c r="BL337" s="22" t="s">
        <v>67</v>
      </c>
      <c r="BN337" s="22" t="s">
        <v>22123</v>
      </c>
      <c r="BO337" s="22" t="s">
        <v>145</v>
      </c>
      <c r="BP337" s="22" t="s">
        <v>70</v>
      </c>
      <c r="BQ337" s="22" t="s">
        <v>67</v>
      </c>
      <c r="BS337" s="22" t="s">
        <v>22124</v>
      </c>
      <c r="BT337" s="22" t="s">
        <v>145</v>
      </c>
      <c r="BU337" s="22" t="s">
        <v>70</v>
      </c>
      <c r="BV337" s="214" t="s">
        <v>530</v>
      </c>
      <c r="BX337" s="22" t="s">
        <v>22125</v>
      </c>
      <c r="BY337" s="22" t="s">
        <v>145</v>
      </c>
      <c r="BZ337" s="22" t="s">
        <v>70</v>
      </c>
      <c r="CA337" s="214" t="s">
        <v>530</v>
      </c>
      <c r="CC337" s="214" t="s">
        <v>22126</v>
      </c>
      <c r="CD337" s="218" t="s">
        <v>34607</v>
      </c>
      <c r="CE337" s="214" t="s">
        <v>70</v>
      </c>
      <c r="CF337" s="214" t="s">
        <v>34143</v>
      </c>
      <c r="CH337" s="214" t="s">
        <v>22127</v>
      </c>
      <c r="CI337" s="214" t="s">
        <v>52</v>
      </c>
      <c r="CJ337" s="214" t="s">
        <v>70</v>
      </c>
      <c r="CK337" s="214" t="s">
        <v>530</v>
      </c>
      <c r="CM337" s="214" t="s">
        <v>22128</v>
      </c>
      <c r="CN337" s="214" t="s">
        <v>164</v>
      </c>
      <c r="CO337" s="214" t="s">
        <v>70</v>
      </c>
      <c r="CP337" s="214" t="s">
        <v>530</v>
      </c>
      <c r="CR337" s="214" t="s">
        <v>22129</v>
      </c>
      <c r="CS337" s="214" t="s">
        <v>468</v>
      </c>
      <c r="CT337" s="214" t="s">
        <v>70</v>
      </c>
      <c r="CU337" s="214" t="s">
        <v>530</v>
      </c>
      <c r="CW337" s="214" t="s">
        <v>22130</v>
      </c>
      <c r="CX337" s="214" t="s">
        <v>34551</v>
      </c>
      <c r="CY337" s="214" t="s">
        <v>70</v>
      </c>
      <c r="CZ337" s="214" t="s">
        <v>530</v>
      </c>
      <c r="DB337" s="214" t="s">
        <v>22131</v>
      </c>
      <c r="DC337" s="214" t="s">
        <v>484</v>
      </c>
      <c r="DD337" s="214" t="s">
        <v>70</v>
      </c>
      <c r="DE337" s="214" t="s">
        <v>530</v>
      </c>
      <c r="DG337" s="214" t="s">
        <v>22132</v>
      </c>
      <c r="DH337" s="214" t="s">
        <v>52</v>
      </c>
      <c r="DI337" s="214" t="s">
        <v>70</v>
      </c>
      <c r="DJ337" s="214" t="s">
        <v>530</v>
      </c>
      <c r="DL337" s="214" t="s">
        <v>22133</v>
      </c>
      <c r="DM337" s="214" t="s">
        <v>487</v>
      </c>
      <c r="DN337" s="214" t="s">
        <v>70</v>
      </c>
      <c r="DO337" s="214" t="s">
        <v>530</v>
      </c>
      <c r="DQ337" s="214" t="s">
        <v>22134</v>
      </c>
      <c r="DR337" s="214" t="s">
        <v>497</v>
      </c>
      <c r="DS337" s="214" t="s">
        <v>70</v>
      </c>
      <c r="DT337" s="214" t="s">
        <v>530</v>
      </c>
      <c r="DV337" s="214" t="s">
        <v>22135</v>
      </c>
      <c r="DW337" s="214" t="s">
        <v>491</v>
      </c>
      <c r="DX337" s="214" t="s">
        <v>70</v>
      </c>
      <c r="DY337" s="214" t="s">
        <v>530</v>
      </c>
      <c r="EA337" s="214" t="s">
        <v>22136</v>
      </c>
      <c r="EB337" s="214" t="s">
        <v>10541</v>
      </c>
      <c r="EC337" s="214" t="s">
        <v>70</v>
      </c>
      <c r="ED337" s="214" t="s">
        <v>530</v>
      </c>
      <c r="EF337" s="214" t="s">
        <v>22137</v>
      </c>
      <c r="EG337" s="214" t="s">
        <v>34615</v>
      </c>
      <c r="EH337" s="214" t="s">
        <v>70</v>
      </c>
      <c r="EI337" s="214" t="s">
        <v>530</v>
      </c>
      <c r="EK337" s="214" t="s">
        <v>22138</v>
      </c>
      <c r="EL337" s="214" t="s">
        <v>93</v>
      </c>
      <c r="EM337" s="214" t="s">
        <v>70</v>
      </c>
      <c r="EN337" s="214" t="s">
        <v>530</v>
      </c>
      <c r="EP337" s="214" t="s">
        <v>22139</v>
      </c>
      <c r="EQ337" s="214" t="s">
        <v>34544</v>
      </c>
      <c r="ER337" s="214" t="s">
        <v>70</v>
      </c>
      <c r="ES337" s="214" t="s">
        <v>530</v>
      </c>
      <c r="EU337" s="214" t="s">
        <v>22140</v>
      </c>
      <c r="EV337" s="214" t="s">
        <v>146</v>
      </c>
      <c r="EW337" s="214" t="s">
        <v>70</v>
      </c>
      <c r="EX337" s="214" t="s">
        <v>530</v>
      </c>
      <c r="EZ337" s="214" t="s">
        <v>22141</v>
      </c>
      <c r="FA337" s="214" t="s">
        <v>34580</v>
      </c>
      <c r="FB337" s="214" t="s">
        <v>70</v>
      </c>
      <c r="FC337" s="214" t="s">
        <v>530</v>
      </c>
      <c r="FE337" s="214" t="s">
        <v>22142</v>
      </c>
      <c r="FF337" s="214" t="s">
        <v>148</v>
      </c>
      <c r="FG337" s="214" t="s">
        <v>70</v>
      </c>
      <c r="FH337" s="214" t="s">
        <v>530</v>
      </c>
      <c r="FJ337" s="321" t="s">
        <v>22143</v>
      </c>
      <c r="FK337" s="214" t="s">
        <v>491</v>
      </c>
      <c r="FL337" s="214" t="s">
        <v>70</v>
      </c>
      <c r="FM337" s="214" t="s">
        <v>530</v>
      </c>
      <c r="FO337" s="321" t="s">
        <v>22144</v>
      </c>
      <c r="FP337" s="214" t="s">
        <v>34542</v>
      </c>
      <c r="FQ337" s="214" t="s">
        <v>70</v>
      </c>
      <c r="FR337" s="214" t="s">
        <v>530</v>
      </c>
      <c r="FT337" s="321" t="s">
        <v>22145</v>
      </c>
      <c r="FU337" s="214" t="s">
        <v>484</v>
      </c>
      <c r="FV337" s="214" t="s">
        <v>70</v>
      </c>
      <c r="FW337" s="214" t="s">
        <v>530</v>
      </c>
      <c r="FY337" s="321" t="s">
        <v>22146</v>
      </c>
      <c r="FZ337" s="214" t="s">
        <v>34541</v>
      </c>
      <c r="GA337" s="214" t="s">
        <v>70</v>
      </c>
      <c r="GB337" s="214" t="s">
        <v>530</v>
      </c>
      <c r="GD337" s="321" t="s">
        <v>22147</v>
      </c>
      <c r="GE337" s="214" t="s">
        <v>485</v>
      </c>
      <c r="GF337" s="214" t="s">
        <v>70</v>
      </c>
      <c r="GG337" s="214" t="s">
        <v>530</v>
      </c>
      <c r="GI337" s="321" t="s">
        <v>22148</v>
      </c>
      <c r="GJ337" s="214" t="s">
        <v>484</v>
      </c>
      <c r="GK337" s="214" t="s">
        <v>70</v>
      </c>
      <c r="GL337" s="214" t="s">
        <v>530</v>
      </c>
      <c r="GN337" s="321" t="s">
        <v>22149</v>
      </c>
      <c r="GO337" s="214" t="s">
        <v>52</v>
      </c>
      <c r="GP337" s="214" t="s">
        <v>70</v>
      </c>
      <c r="GQ337" s="214" t="s">
        <v>530</v>
      </c>
      <c r="GS337" s="321" t="s">
        <v>22150</v>
      </c>
      <c r="GT337" s="214" t="s">
        <v>486</v>
      </c>
      <c r="GU337" s="214" t="s">
        <v>70</v>
      </c>
      <c r="GV337" s="214" t="s">
        <v>530</v>
      </c>
      <c r="GX337" s="214" t="s">
        <v>22151</v>
      </c>
      <c r="GY337" s="214" t="s">
        <v>498</v>
      </c>
      <c r="GZ337" s="214" t="s">
        <v>70</v>
      </c>
      <c r="HA337" s="214" t="s">
        <v>530</v>
      </c>
      <c r="HC337" s="214" t="s">
        <v>22152</v>
      </c>
      <c r="HD337" s="214" t="s">
        <v>502</v>
      </c>
      <c r="HE337" s="214" t="s">
        <v>70</v>
      </c>
      <c r="HF337" s="214" t="s">
        <v>530</v>
      </c>
      <c r="HH337" s="214" t="s">
        <v>22153</v>
      </c>
      <c r="HI337" s="214" t="s">
        <v>34569</v>
      </c>
      <c r="HJ337" s="214" t="s">
        <v>70</v>
      </c>
      <c r="HK337" s="214" t="s">
        <v>530</v>
      </c>
      <c r="HM337" s="214" t="s">
        <v>22154</v>
      </c>
      <c r="HN337" s="214" t="s">
        <v>492</v>
      </c>
      <c r="HO337" s="214" t="s">
        <v>70</v>
      </c>
      <c r="HP337" s="214" t="s">
        <v>530</v>
      </c>
      <c r="HR337" s="22" t="s">
        <v>22155</v>
      </c>
      <c r="HS337" s="22" t="s">
        <v>52</v>
      </c>
      <c r="HT337" s="22" t="s">
        <v>70</v>
      </c>
      <c r="HU337" s="214" t="s">
        <v>530</v>
      </c>
      <c r="HW337" s="22" t="s">
        <v>22156</v>
      </c>
      <c r="HX337" s="22" t="s">
        <v>146</v>
      </c>
      <c r="HY337" s="22" t="s">
        <v>70</v>
      </c>
      <c r="HZ337" s="214" t="s">
        <v>530</v>
      </c>
      <c r="IB337" s="22" t="s">
        <v>22157</v>
      </c>
      <c r="IC337" s="22" t="s">
        <v>916</v>
      </c>
      <c r="ID337" s="22" t="s">
        <v>70</v>
      </c>
      <c r="IE337" s="214" t="s">
        <v>530</v>
      </c>
      <c r="IG337" s="22" t="s">
        <v>22158</v>
      </c>
      <c r="IH337" s="22" t="s">
        <v>52</v>
      </c>
      <c r="II337" s="22" t="s">
        <v>70</v>
      </c>
      <c r="IJ337" s="214" t="s">
        <v>530</v>
      </c>
      <c r="IL337" s="22" t="s">
        <v>22159</v>
      </c>
      <c r="IM337" s="22" t="s">
        <v>145</v>
      </c>
      <c r="IN337" s="22" t="s">
        <v>70</v>
      </c>
      <c r="IO337" s="214" t="s">
        <v>530</v>
      </c>
      <c r="IQ337" s="236" t="s">
        <v>22160</v>
      </c>
      <c r="IR337" s="236" t="s">
        <v>145</v>
      </c>
      <c r="IS337" s="236" t="s">
        <v>74</v>
      </c>
      <c r="IT337" s="236" t="s">
        <v>841</v>
      </c>
      <c r="IV337" s="236" t="s">
        <v>22161</v>
      </c>
      <c r="IW337" s="236" t="s">
        <v>145</v>
      </c>
      <c r="IX337" s="236" t="s">
        <v>74</v>
      </c>
      <c r="IY337" s="236" t="s">
        <v>841</v>
      </c>
      <c r="JA337" s="236" t="s">
        <v>22162</v>
      </c>
      <c r="JB337" s="236" t="s">
        <v>145</v>
      </c>
      <c r="JC337" s="236" t="s">
        <v>74</v>
      </c>
      <c r="JD337" s="236" t="s">
        <v>841</v>
      </c>
      <c r="JF337" s="236" t="s">
        <v>22163</v>
      </c>
      <c r="JG337" s="236" t="s">
        <v>145</v>
      </c>
      <c r="JH337" s="236" t="s">
        <v>74</v>
      </c>
      <c r="JI337" s="236" t="s">
        <v>841</v>
      </c>
      <c r="JK337" s="236" t="s">
        <v>22164</v>
      </c>
      <c r="JL337" s="236" t="s">
        <v>145</v>
      </c>
      <c r="JM337" s="236" t="s">
        <v>74</v>
      </c>
      <c r="JN337" s="236" t="s">
        <v>841</v>
      </c>
      <c r="JP337" s="236" t="s">
        <v>22165</v>
      </c>
      <c r="JQ337" s="236" t="s">
        <v>145</v>
      </c>
      <c r="JR337" s="236" t="s">
        <v>74</v>
      </c>
      <c r="JS337" s="236" t="s">
        <v>841</v>
      </c>
      <c r="JU337" s="294" t="s">
        <v>22166</v>
      </c>
      <c r="JV337" s="294" t="s">
        <v>52</v>
      </c>
      <c r="JW337" s="263" t="s">
        <v>70</v>
      </c>
      <c r="JX337" s="294" t="s">
        <v>1083</v>
      </c>
      <c r="JZ337" s="263" t="s">
        <v>22167</v>
      </c>
      <c r="KA337" s="263" t="s">
        <v>145</v>
      </c>
      <c r="KB337" s="263" t="s">
        <v>70</v>
      </c>
      <c r="KC337" s="263" t="s">
        <v>1083</v>
      </c>
      <c r="KE337" s="263" t="s">
        <v>22168</v>
      </c>
      <c r="KF337" s="263" t="s">
        <v>52</v>
      </c>
      <c r="KG337" s="263" t="s">
        <v>70</v>
      </c>
      <c r="KH337" s="263" t="s">
        <v>1083</v>
      </c>
      <c r="KJ337" s="263" t="s">
        <v>22169</v>
      </c>
      <c r="KK337" s="263" t="s">
        <v>52</v>
      </c>
      <c r="KL337" s="263" t="s">
        <v>74</v>
      </c>
      <c r="KM337" s="263" t="s">
        <v>34074</v>
      </c>
      <c r="KO337" s="214" t="s">
        <v>22170</v>
      </c>
      <c r="KP337" s="214" t="s">
        <v>145</v>
      </c>
      <c r="KQ337" s="214" t="s">
        <v>70</v>
      </c>
      <c r="KR337" s="214" t="s">
        <v>67</v>
      </c>
      <c r="KT337" s="22" t="s">
        <v>22171</v>
      </c>
      <c r="KU337" s="22" t="s">
        <v>145</v>
      </c>
      <c r="KV337" s="22" t="s">
        <v>70</v>
      </c>
      <c r="KW337" s="22" t="s">
        <v>67</v>
      </c>
      <c r="KY337" s="214" t="s">
        <v>22172</v>
      </c>
      <c r="KZ337" s="214" t="s">
        <v>52</v>
      </c>
      <c r="LA337" s="214" t="s">
        <v>74</v>
      </c>
      <c r="LB337" s="214" t="s">
        <v>67</v>
      </c>
      <c r="LD337" s="22" t="s">
        <v>22173</v>
      </c>
      <c r="LE337" s="22" t="s">
        <v>145</v>
      </c>
      <c r="LF337" s="22" t="s">
        <v>70</v>
      </c>
      <c r="LG337" s="22" t="s">
        <v>67</v>
      </c>
    </row>
    <row r="338" spans="1:319">
      <c r="A338" s="22" t="s">
        <v>22174</v>
      </c>
      <c r="B338" s="22" t="s">
        <v>145</v>
      </c>
      <c r="C338" s="22" t="s">
        <v>70</v>
      </c>
      <c r="D338" s="22" t="s">
        <v>67</v>
      </c>
      <c r="F338" s="99" t="s">
        <v>22175</v>
      </c>
      <c r="G338" s="22" t="s">
        <v>145</v>
      </c>
      <c r="H338" s="22" t="s">
        <v>70</v>
      </c>
      <c r="I338" s="22" t="s">
        <v>67</v>
      </c>
      <c r="K338" s="22" t="s">
        <v>22176</v>
      </c>
      <c r="L338" s="22" t="s">
        <v>145</v>
      </c>
      <c r="M338" s="22" t="s">
        <v>70</v>
      </c>
      <c r="N338" s="22" t="s">
        <v>67</v>
      </c>
      <c r="P338" s="22" t="s">
        <v>22177</v>
      </c>
      <c r="Q338" s="22" t="s">
        <v>145</v>
      </c>
      <c r="R338" s="22" t="s">
        <v>70</v>
      </c>
      <c r="S338" s="22" t="s">
        <v>67</v>
      </c>
      <c r="U338" s="293" t="s">
        <v>22178</v>
      </c>
      <c r="V338" s="293" t="s">
        <v>145</v>
      </c>
      <c r="W338" s="293" t="s">
        <v>74</v>
      </c>
      <c r="X338" s="293" t="s">
        <v>656</v>
      </c>
      <c r="Z338" s="293" t="s">
        <v>22179</v>
      </c>
      <c r="AA338" s="293" t="s">
        <v>145</v>
      </c>
      <c r="AB338" s="293" t="s">
        <v>74</v>
      </c>
      <c r="AC338" s="293" t="s">
        <v>656</v>
      </c>
      <c r="AE338" s="293" t="s">
        <v>22180</v>
      </c>
      <c r="AF338" s="293" t="s">
        <v>145</v>
      </c>
      <c r="AG338" s="293" t="s">
        <v>74</v>
      </c>
      <c r="AH338" s="293" t="s">
        <v>656</v>
      </c>
      <c r="AJ338" s="293" t="s">
        <v>22181</v>
      </c>
      <c r="AK338" s="293" t="s">
        <v>145</v>
      </c>
      <c r="AL338" s="293" t="s">
        <v>74</v>
      </c>
      <c r="AM338" s="293" t="s">
        <v>656</v>
      </c>
      <c r="AO338" s="22" t="s">
        <v>22182</v>
      </c>
      <c r="AP338" s="22" t="s">
        <v>145</v>
      </c>
      <c r="AQ338" s="22" t="s">
        <v>70</v>
      </c>
      <c r="AR338" s="22" t="s">
        <v>67</v>
      </c>
      <c r="AT338" s="22" t="s">
        <v>22183</v>
      </c>
      <c r="AU338" s="22" t="s">
        <v>145</v>
      </c>
      <c r="AV338" s="22" t="s">
        <v>70</v>
      </c>
      <c r="AW338" s="22" t="s">
        <v>67</v>
      </c>
      <c r="AY338" s="22" t="s">
        <v>22184</v>
      </c>
      <c r="AZ338" s="22" t="s">
        <v>145</v>
      </c>
      <c r="BA338" s="22" t="s">
        <v>70</v>
      </c>
      <c r="BB338" s="22" t="s">
        <v>67</v>
      </c>
      <c r="BD338" s="22" t="s">
        <v>22185</v>
      </c>
      <c r="BE338" s="22" t="s">
        <v>145</v>
      </c>
      <c r="BF338" s="22" t="s">
        <v>70</v>
      </c>
      <c r="BG338" s="22" t="s">
        <v>67</v>
      </c>
      <c r="BI338" s="22" t="s">
        <v>22186</v>
      </c>
      <c r="BJ338" s="22" t="s">
        <v>145</v>
      </c>
      <c r="BK338" s="22" t="s">
        <v>70</v>
      </c>
      <c r="BL338" s="22" t="s">
        <v>67</v>
      </c>
      <c r="BN338" s="22" t="s">
        <v>22187</v>
      </c>
      <c r="BO338" s="22" t="s">
        <v>145</v>
      </c>
      <c r="BP338" s="22" t="s">
        <v>70</v>
      </c>
      <c r="BQ338" s="22" t="s">
        <v>67</v>
      </c>
      <c r="BS338" s="22" t="s">
        <v>22188</v>
      </c>
      <c r="BT338" s="22" t="s">
        <v>145</v>
      </c>
      <c r="BU338" s="22" t="s">
        <v>70</v>
      </c>
      <c r="BV338" s="214" t="s">
        <v>530</v>
      </c>
      <c r="BX338" s="22" t="s">
        <v>22189</v>
      </c>
      <c r="BY338" s="22" t="s">
        <v>145</v>
      </c>
      <c r="BZ338" s="22" t="s">
        <v>70</v>
      </c>
      <c r="CA338" s="214" t="s">
        <v>530</v>
      </c>
      <c r="CC338" s="214" t="s">
        <v>22190</v>
      </c>
      <c r="CD338" s="218" t="s">
        <v>52</v>
      </c>
      <c r="CE338" s="214" t="s">
        <v>70</v>
      </c>
      <c r="CF338" s="214" t="s">
        <v>34144</v>
      </c>
      <c r="CH338" s="214" t="s">
        <v>22191</v>
      </c>
      <c r="CI338" s="214" t="s">
        <v>52</v>
      </c>
      <c r="CJ338" s="214" t="s">
        <v>70</v>
      </c>
      <c r="CK338" s="214" t="s">
        <v>530</v>
      </c>
      <c r="CM338" s="214" t="s">
        <v>22192</v>
      </c>
      <c r="CN338" s="214" t="s">
        <v>34564</v>
      </c>
      <c r="CO338" s="214" t="s">
        <v>70</v>
      </c>
      <c r="CP338" s="214" t="s">
        <v>530</v>
      </c>
      <c r="CR338" s="214" t="s">
        <v>22193</v>
      </c>
      <c r="CS338" s="214" t="s">
        <v>52</v>
      </c>
      <c r="CT338" s="214" t="s">
        <v>70</v>
      </c>
      <c r="CU338" s="214" t="s">
        <v>530</v>
      </c>
      <c r="CW338" s="214" t="s">
        <v>22194</v>
      </c>
      <c r="CX338" s="214" t="s">
        <v>488</v>
      </c>
      <c r="CY338" s="214" t="s">
        <v>70</v>
      </c>
      <c r="CZ338" s="214" t="s">
        <v>530</v>
      </c>
      <c r="DB338" s="214" t="s">
        <v>22195</v>
      </c>
      <c r="DC338" s="214" t="s">
        <v>34641</v>
      </c>
      <c r="DD338" s="214" t="s">
        <v>70</v>
      </c>
      <c r="DE338" s="214" t="s">
        <v>530</v>
      </c>
      <c r="DG338" s="214" t="s">
        <v>22196</v>
      </c>
      <c r="DH338" s="214" t="s">
        <v>93</v>
      </c>
      <c r="DI338" s="214" t="s">
        <v>70</v>
      </c>
      <c r="DJ338" s="214" t="s">
        <v>530</v>
      </c>
      <c r="DL338" s="214" t="s">
        <v>22197</v>
      </c>
      <c r="DM338" s="214" t="s">
        <v>917</v>
      </c>
      <c r="DN338" s="214" t="s">
        <v>70</v>
      </c>
      <c r="DO338" s="214" t="s">
        <v>530</v>
      </c>
      <c r="DQ338" s="214" t="s">
        <v>22198</v>
      </c>
      <c r="DR338" s="214" t="s">
        <v>34617</v>
      </c>
      <c r="DS338" s="214" t="s">
        <v>70</v>
      </c>
      <c r="DT338" s="214" t="s">
        <v>530</v>
      </c>
      <c r="DV338" s="214" t="s">
        <v>22199</v>
      </c>
      <c r="DW338" s="214" t="s">
        <v>88</v>
      </c>
      <c r="DX338" s="214" t="s">
        <v>70</v>
      </c>
      <c r="DY338" s="214" t="s">
        <v>530</v>
      </c>
      <c r="EA338" s="214" t="s">
        <v>22200</v>
      </c>
      <c r="EB338" s="214" t="s">
        <v>765</v>
      </c>
      <c r="EC338" s="214" t="s">
        <v>70</v>
      </c>
      <c r="ED338" s="214" t="s">
        <v>530</v>
      </c>
      <c r="EF338" s="214" t="s">
        <v>22201</v>
      </c>
      <c r="EG338" s="214" t="s">
        <v>52</v>
      </c>
      <c r="EH338" s="214" t="s">
        <v>70</v>
      </c>
      <c r="EI338" s="214" t="s">
        <v>530</v>
      </c>
      <c r="EK338" s="214" t="s">
        <v>22202</v>
      </c>
      <c r="EL338" s="214" t="s">
        <v>52</v>
      </c>
      <c r="EM338" s="214" t="s">
        <v>70</v>
      </c>
      <c r="EN338" s="214" t="s">
        <v>530</v>
      </c>
      <c r="EP338" s="214" t="s">
        <v>22203</v>
      </c>
      <c r="EQ338" s="214" t="s">
        <v>148</v>
      </c>
      <c r="ER338" s="214" t="s">
        <v>70</v>
      </c>
      <c r="ES338" s="214" t="s">
        <v>530</v>
      </c>
      <c r="EU338" s="214" t="s">
        <v>22204</v>
      </c>
      <c r="EV338" s="214" t="s">
        <v>531</v>
      </c>
      <c r="EW338" s="214" t="s">
        <v>70</v>
      </c>
      <c r="EX338" s="214" t="s">
        <v>530</v>
      </c>
      <c r="EZ338" s="214" t="s">
        <v>22205</v>
      </c>
      <c r="FA338" s="214" t="s">
        <v>34564</v>
      </c>
      <c r="FB338" s="214" t="s">
        <v>70</v>
      </c>
      <c r="FC338" s="214" t="s">
        <v>530</v>
      </c>
      <c r="FE338" s="214" t="s">
        <v>22206</v>
      </c>
      <c r="FF338" s="214" t="s">
        <v>52</v>
      </c>
      <c r="FG338" s="214" t="s">
        <v>70</v>
      </c>
      <c r="FH338" s="214" t="s">
        <v>530</v>
      </c>
      <c r="FJ338" s="321" t="s">
        <v>22207</v>
      </c>
      <c r="FK338" s="214" t="s">
        <v>146</v>
      </c>
      <c r="FL338" s="214" t="s">
        <v>70</v>
      </c>
      <c r="FM338" s="214" t="s">
        <v>530</v>
      </c>
      <c r="FO338" s="321" t="s">
        <v>22208</v>
      </c>
      <c r="FP338" s="214" t="s">
        <v>52</v>
      </c>
      <c r="FQ338" s="214" t="s">
        <v>70</v>
      </c>
      <c r="FR338" s="214" t="s">
        <v>530</v>
      </c>
      <c r="FT338" s="321" t="s">
        <v>22209</v>
      </c>
      <c r="FU338" s="214" t="s">
        <v>34213</v>
      </c>
      <c r="FV338" s="214" t="s">
        <v>70</v>
      </c>
      <c r="FW338" s="214" t="s">
        <v>530</v>
      </c>
      <c r="FY338" s="321" t="s">
        <v>22210</v>
      </c>
      <c r="FZ338" s="214" t="s">
        <v>34646</v>
      </c>
      <c r="GA338" s="214" t="s">
        <v>70</v>
      </c>
      <c r="GB338" s="214" t="s">
        <v>530</v>
      </c>
      <c r="GD338" s="321" t="s">
        <v>22211</v>
      </c>
      <c r="GE338" s="214" t="s">
        <v>34555</v>
      </c>
      <c r="GF338" s="214" t="s">
        <v>70</v>
      </c>
      <c r="GG338" s="214" t="s">
        <v>530</v>
      </c>
      <c r="GI338" s="321" t="s">
        <v>22212</v>
      </c>
      <c r="GJ338" s="214" t="s">
        <v>519</v>
      </c>
      <c r="GK338" s="214" t="s">
        <v>70</v>
      </c>
      <c r="GL338" s="214" t="s">
        <v>530</v>
      </c>
      <c r="GN338" s="321" t="s">
        <v>22213</v>
      </c>
      <c r="GO338" s="214" t="s">
        <v>921</v>
      </c>
      <c r="GP338" s="214" t="s">
        <v>70</v>
      </c>
      <c r="GQ338" s="214" t="s">
        <v>530</v>
      </c>
      <c r="GS338" s="321" t="s">
        <v>22214</v>
      </c>
      <c r="GT338" s="214" t="s">
        <v>467</v>
      </c>
      <c r="GU338" s="214" t="s">
        <v>70</v>
      </c>
      <c r="GV338" s="214" t="s">
        <v>530</v>
      </c>
      <c r="GX338" s="214" t="s">
        <v>22215</v>
      </c>
      <c r="GY338" s="214" t="s">
        <v>602</v>
      </c>
      <c r="GZ338" s="214" t="s">
        <v>70</v>
      </c>
      <c r="HA338" s="214" t="s">
        <v>530</v>
      </c>
      <c r="HC338" s="214" t="s">
        <v>22216</v>
      </c>
      <c r="HD338" s="214" t="s">
        <v>529</v>
      </c>
      <c r="HE338" s="214" t="s">
        <v>70</v>
      </c>
      <c r="HF338" s="214" t="s">
        <v>530</v>
      </c>
      <c r="HH338" s="214" t="s">
        <v>22217</v>
      </c>
      <c r="HI338" s="214" t="s">
        <v>87</v>
      </c>
      <c r="HJ338" s="214" t="s">
        <v>70</v>
      </c>
      <c r="HK338" s="214" t="s">
        <v>530</v>
      </c>
      <c r="HM338" s="214" t="s">
        <v>22218</v>
      </c>
      <c r="HN338" s="214" t="s">
        <v>305</v>
      </c>
      <c r="HO338" s="214" t="s">
        <v>70</v>
      </c>
      <c r="HP338" s="214" t="s">
        <v>530</v>
      </c>
      <c r="HR338" s="22" t="s">
        <v>22219</v>
      </c>
      <c r="HS338" s="22" t="s">
        <v>52</v>
      </c>
      <c r="HT338" s="22" t="s">
        <v>70</v>
      </c>
      <c r="HU338" s="214" t="s">
        <v>530</v>
      </c>
      <c r="HW338" s="22" t="s">
        <v>22220</v>
      </c>
      <c r="HX338" s="22" t="s">
        <v>34471</v>
      </c>
      <c r="HY338" s="22" t="s">
        <v>70</v>
      </c>
      <c r="HZ338" s="214" t="s">
        <v>530</v>
      </c>
      <c r="IB338" s="22" t="s">
        <v>22221</v>
      </c>
      <c r="IC338" s="22" t="s">
        <v>468</v>
      </c>
      <c r="ID338" s="22" t="s">
        <v>70</v>
      </c>
      <c r="IE338" s="214" t="s">
        <v>530</v>
      </c>
      <c r="IG338" s="22" t="s">
        <v>22222</v>
      </c>
      <c r="IH338" s="22" t="s">
        <v>52</v>
      </c>
      <c r="II338" s="22" t="s">
        <v>70</v>
      </c>
      <c r="IJ338" s="214" t="s">
        <v>530</v>
      </c>
      <c r="IL338" s="22" t="s">
        <v>22223</v>
      </c>
      <c r="IM338" s="22" t="s">
        <v>145</v>
      </c>
      <c r="IN338" s="22" t="s">
        <v>70</v>
      </c>
      <c r="IO338" s="214" t="s">
        <v>530</v>
      </c>
      <c r="IQ338" s="236" t="s">
        <v>22224</v>
      </c>
      <c r="IR338" s="236" t="s">
        <v>145</v>
      </c>
      <c r="IS338" s="236" t="s">
        <v>74</v>
      </c>
      <c r="IT338" s="236" t="s">
        <v>841</v>
      </c>
      <c r="IV338" s="236" t="s">
        <v>22225</v>
      </c>
      <c r="IW338" s="236" t="s">
        <v>145</v>
      </c>
      <c r="IX338" s="236" t="s">
        <v>74</v>
      </c>
      <c r="IY338" s="236" t="s">
        <v>841</v>
      </c>
      <c r="JA338" s="236" t="s">
        <v>22226</v>
      </c>
      <c r="JB338" s="236" t="s">
        <v>145</v>
      </c>
      <c r="JC338" s="236" t="s">
        <v>74</v>
      </c>
      <c r="JD338" s="236" t="s">
        <v>841</v>
      </c>
      <c r="JF338" s="236" t="s">
        <v>22227</v>
      </c>
      <c r="JG338" s="236" t="s">
        <v>145</v>
      </c>
      <c r="JH338" s="236" t="s">
        <v>74</v>
      </c>
      <c r="JI338" s="236" t="s">
        <v>841</v>
      </c>
      <c r="JK338" s="236" t="s">
        <v>22228</v>
      </c>
      <c r="JL338" s="236" t="s">
        <v>145</v>
      </c>
      <c r="JM338" s="236" t="s">
        <v>74</v>
      </c>
      <c r="JN338" s="236" t="s">
        <v>841</v>
      </c>
      <c r="JP338" s="236" t="s">
        <v>22229</v>
      </c>
      <c r="JQ338" s="236" t="s">
        <v>145</v>
      </c>
      <c r="JR338" s="236" t="s">
        <v>74</v>
      </c>
      <c r="JS338" s="236" t="s">
        <v>841</v>
      </c>
      <c r="JU338" s="294" t="s">
        <v>22230</v>
      </c>
      <c r="JV338" s="294" t="s">
        <v>52</v>
      </c>
      <c r="JW338" s="263" t="s">
        <v>70</v>
      </c>
      <c r="JX338" s="294" t="s">
        <v>1083</v>
      </c>
      <c r="JZ338" s="263" t="s">
        <v>22231</v>
      </c>
      <c r="KA338" s="263" t="s">
        <v>145</v>
      </c>
      <c r="KB338" s="263" t="s">
        <v>70</v>
      </c>
      <c r="KC338" s="263" t="s">
        <v>1083</v>
      </c>
      <c r="KE338" s="263" t="s">
        <v>22232</v>
      </c>
      <c r="KF338" s="263" t="s">
        <v>52</v>
      </c>
      <c r="KG338" s="263" t="s">
        <v>70</v>
      </c>
      <c r="KH338" s="263" t="s">
        <v>1083</v>
      </c>
      <c r="KJ338" s="263" t="s">
        <v>22233</v>
      </c>
      <c r="KK338" s="263" t="s">
        <v>52</v>
      </c>
      <c r="KL338" s="263" t="s">
        <v>74</v>
      </c>
      <c r="KM338" s="263" t="s">
        <v>34074</v>
      </c>
      <c r="KO338" s="214" t="s">
        <v>22234</v>
      </c>
      <c r="KP338" s="214" t="s">
        <v>145</v>
      </c>
      <c r="KQ338" s="214" t="s">
        <v>70</v>
      </c>
      <c r="KR338" s="214" t="s">
        <v>67</v>
      </c>
      <c r="KT338" s="22" t="s">
        <v>22235</v>
      </c>
      <c r="KU338" s="22" t="s">
        <v>145</v>
      </c>
      <c r="KV338" s="22" t="s">
        <v>70</v>
      </c>
      <c r="KW338" s="22" t="s">
        <v>67</v>
      </c>
      <c r="KY338" s="214" t="s">
        <v>22236</v>
      </c>
      <c r="KZ338" s="214" t="s">
        <v>52</v>
      </c>
      <c r="LA338" s="214" t="s">
        <v>74</v>
      </c>
      <c r="LB338" s="214" t="s">
        <v>67</v>
      </c>
      <c r="LD338" s="22" t="s">
        <v>22237</v>
      </c>
      <c r="LE338" s="22" t="s">
        <v>145</v>
      </c>
      <c r="LF338" s="22" t="s">
        <v>70</v>
      </c>
      <c r="LG338" s="22" t="s">
        <v>67</v>
      </c>
    </row>
    <row r="339" spans="1:319">
      <c r="A339" s="22" t="s">
        <v>22238</v>
      </c>
      <c r="B339" s="22" t="s">
        <v>145</v>
      </c>
      <c r="C339" s="22" t="s">
        <v>70</v>
      </c>
      <c r="D339" s="22" t="s">
        <v>67</v>
      </c>
      <c r="F339" s="99" t="s">
        <v>22239</v>
      </c>
      <c r="G339" s="22" t="s">
        <v>145</v>
      </c>
      <c r="H339" s="22" t="s">
        <v>70</v>
      </c>
      <c r="I339" s="22" t="s">
        <v>67</v>
      </c>
      <c r="K339" s="22" t="s">
        <v>22240</v>
      </c>
      <c r="L339" s="22" t="s">
        <v>145</v>
      </c>
      <c r="M339" s="22" t="s">
        <v>70</v>
      </c>
      <c r="N339" s="22" t="s">
        <v>67</v>
      </c>
      <c r="P339" s="22" t="s">
        <v>22241</v>
      </c>
      <c r="Q339" s="22" t="s">
        <v>145</v>
      </c>
      <c r="R339" s="22" t="s">
        <v>70</v>
      </c>
      <c r="S339" s="22" t="s">
        <v>67</v>
      </c>
      <c r="U339" s="293" t="s">
        <v>22242</v>
      </c>
      <c r="V339" s="293" t="s">
        <v>145</v>
      </c>
      <c r="W339" s="293" t="s">
        <v>74</v>
      </c>
      <c r="X339" s="293" t="s">
        <v>656</v>
      </c>
      <c r="Z339" s="293" t="s">
        <v>22243</v>
      </c>
      <c r="AA339" s="293" t="s">
        <v>145</v>
      </c>
      <c r="AB339" s="293" t="s">
        <v>74</v>
      </c>
      <c r="AC339" s="293" t="s">
        <v>656</v>
      </c>
      <c r="AE339" s="293" t="s">
        <v>22244</v>
      </c>
      <c r="AF339" s="293" t="s">
        <v>145</v>
      </c>
      <c r="AG339" s="293" t="s">
        <v>74</v>
      </c>
      <c r="AH339" s="293" t="s">
        <v>656</v>
      </c>
      <c r="AJ339" s="293" t="s">
        <v>22245</v>
      </c>
      <c r="AK339" s="293" t="s">
        <v>145</v>
      </c>
      <c r="AL339" s="293" t="s">
        <v>74</v>
      </c>
      <c r="AM339" s="293" t="s">
        <v>656</v>
      </c>
      <c r="AO339" s="22" t="s">
        <v>22246</v>
      </c>
      <c r="AP339" s="22" t="s">
        <v>145</v>
      </c>
      <c r="AQ339" s="22" t="s">
        <v>70</v>
      </c>
      <c r="AR339" s="22" t="s">
        <v>67</v>
      </c>
      <c r="AT339" s="22" t="s">
        <v>22247</v>
      </c>
      <c r="AU339" s="22" t="s">
        <v>145</v>
      </c>
      <c r="AV339" s="22" t="s">
        <v>70</v>
      </c>
      <c r="AW339" s="22" t="s">
        <v>67</v>
      </c>
      <c r="AY339" s="22" t="s">
        <v>22248</v>
      </c>
      <c r="AZ339" s="22" t="s">
        <v>145</v>
      </c>
      <c r="BA339" s="22" t="s">
        <v>70</v>
      </c>
      <c r="BB339" s="22" t="s">
        <v>67</v>
      </c>
      <c r="BD339" s="22" t="s">
        <v>22249</v>
      </c>
      <c r="BE339" s="22" t="s">
        <v>145</v>
      </c>
      <c r="BF339" s="22" t="s">
        <v>70</v>
      </c>
      <c r="BG339" s="22" t="s">
        <v>67</v>
      </c>
      <c r="BI339" s="22" t="s">
        <v>22250</v>
      </c>
      <c r="BJ339" s="22" t="s">
        <v>145</v>
      </c>
      <c r="BK339" s="22" t="s">
        <v>70</v>
      </c>
      <c r="BL339" s="22" t="s">
        <v>67</v>
      </c>
      <c r="BN339" s="22" t="s">
        <v>22251</v>
      </c>
      <c r="BO339" s="22" t="s">
        <v>145</v>
      </c>
      <c r="BP339" s="22" t="s">
        <v>70</v>
      </c>
      <c r="BQ339" s="22" t="s">
        <v>67</v>
      </c>
      <c r="BS339" s="22" t="s">
        <v>22252</v>
      </c>
      <c r="BT339" s="22" t="s">
        <v>145</v>
      </c>
      <c r="BU339" s="22" t="s">
        <v>70</v>
      </c>
      <c r="BV339" s="214" t="s">
        <v>530</v>
      </c>
      <c r="BX339" s="22" t="s">
        <v>22253</v>
      </c>
      <c r="BY339" s="22" t="s">
        <v>145</v>
      </c>
      <c r="BZ339" s="22" t="s">
        <v>70</v>
      </c>
      <c r="CA339" s="214" t="s">
        <v>530</v>
      </c>
      <c r="CC339" s="214" t="s">
        <v>22254</v>
      </c>
      <c r="CD339" s="218" t="s">
        <v>601</v>
      </c>
      <c r="CE339" s="214" t="s">
        <v>70</v>
      </c>
      <c r="CF339" s="214" t="s">
        <v>34145</v>
      </c>
      <c r="CH339" s="214" t="s">
        <v>22255</v>
      </c>
      <c r="CI339" s="214" t="s">
        <v>203</v>
      </c>
      <c r="CJ339" s="214" t="s">
        <v>70</v>
      </c>
      <c r="CK339" s="214" t="s">
        <v>530</v>
      </c>
      <c r="CM339" s="214" t="s">
        <v>22256</v>
      </c>
      <c r="CN339" s="214" t="s">
        <v>502</v>
      </c>
      <c r="CO339" s="214" t="s">
        <v>70</v>
      </c>
      <c r="CP339" s="214" t="s">
        <v>530</v>
      </c>
      <c r="CR339" s="214" t="s">
        <v>22257</v>
      </c>
      <c r="CS339" s="214" t="s">
        <v>919</v>
      </c>
      <c r="CT339" s="214" t="s">
        <v>70</v>
      </c>
      <c r="CU339" s="214" t="s">
        <v>530</v>
      </c>
      <c r="CW339" s="214" t="s">
        <v>22258</v>
      </c>
      <c r="CX339" s="214" t="s">
        <v>488</v>
      </c>
      <c r="CY339" s="214" t="s">
        <v>70</v>
      </c>
      <c r="CZ339" s="214" t="s">
        <v>530</v>
      </c>
      <c r="DB339" s="214" t="s">
        <v>22259</v>
      </c>
      <c r="DC339" s="214" t="s">
        <v>146</v>
      </c>
      <c r="DD339" s="214" t="s">
        <v>70</v>
      </c>
      <c r="DE339" s="214" t="s">
        <v>530</v>
      </c>
      <c r="DG339" s="214" t="s">
        <v>22260</v>
      </c>
      <c r="DH339" s="214" t="s">
        <v>93</v>
      </c>
      <c r="DI339" s="214" t="s">
        <v>70</v>
      </c>
      <c r="DJ339" s="214" t="s">
        <v>530</v>
      </c>
      <c r="DL339" s="214" t="s">
        <v>22261</v>
      </c>
      <c r="DM339" s="214" t="s">
        <v>34555</v>
      </c>
      <c r="DN339" s="214" t="s">
        <v>70</v>
      </c>
      <c r="DO339" s="214" t="s">
        <v>530</v>
      </c>
      <c r="DQ339" s="214" t="s">
        <v>22262</v>
      </c>
      <c r="DR339" s="214" t="s">
        <v>34602</v>
      </c>
      <c r="DS339" s="214" t="s">
        <v>70</v>
      </c>
      <c r="DT339" s="214" t="s">
        <v>530</v>
      </c>
      <c r="DV339" s="214" t="s">
        <v>22263</v>
      </c>
      <c r="DW339" s="214" t="s">
        <v>146</v>
      </c>
      <c r="DX339" s="214" t="s">
        <v>70</v>
      </c>
      <c r="DY339" s="214" t="s">
        <v>530</v>
      </c>
      <c r="EA339" s="214" t="s">
        <v>22264</v>
      </c>
      <c r="EB339" s="214" t="s">
        <v>87</v>
      </c>
      <c r="EC339" s="214" t="s">
        <v>70</v>
      </c>
      <c r="ED339" s="214" t="s">
        <v>530</v>
      </c>
      <c r="EF339" s="214" t="s">
        <v>22265</v>
      </c>
      <c r="EG339" s="214" t="s">
        <v>921</v>
      </c>
      <c r="EH339" s="214" t="s">
        <v>70</v>
      </c>
      <c r="EI339" s="214" t="s">
        <v>530</v>
      </c>
      <c r="EK339" s="214" t="s">
        <v>22266</v>
      </c>
      <c r="EL339" s="214" t="s">
        <v>484</v>
      </c>
      <c r="EM339" s="214" t="s">
        <v>70</v>
      </c>
      <c r="EN339" s="214" t="s">
        <v>530</v>
      </c>
      <c r="EP339" s="214" t="s">
        <v>22267</v>
      </c>
      <c r="EQ339" s="214" t="s">
        <v>485</v>
      </c>
      <c r="ER339" s="214" t="s">
        <v>70</v>
      </c>
      <c r="ES339" s="214" t="s">
        <v>530</v>
      </c>
      <c r="EU339" s="214" t="s">
        <v>22268</v>
      </c>
      <c r="EV339" s="214" t="s">
        <v>146</v>
      </c>
      <c r="EW339" s="214" t="s">
        <v>70</v>
      </c>
      <c r="EX339" s="214" t="s">
        <v>530</v>
      </c>
      <c r="EZ339" s="214" t="s">
        <v>22269</v>
      </c>
      <c r="FA339" s="214" t="s">
        <v>468</v>
      </c>
      <c r="FB339" s="214" t="s">
        <v>70</v>
      </c>
      <c r="FC339" s="214" t="s">
        <v>530</v>
      </c>
      <c r="FE339" s="214" t="s">
        <v>22270</v>
      </c>
      <c r="FF339" s="214" t="s">
        <v>34553</v>
      </c>
      <c r="FG339" s="214" t="s">
        <v>70</v>
      </c>
      <c r="FH339" s="214" t="s">
        <v>530</v>
      </c>
      <c r="FJ339" s="321" t="s">
        <v>22271</v>
      </c>
      <c r="FK339" s="214" t="s">
        <v>206</v>
      </c>
      <c r="FL339" s="214" t="s">
        <v>70</v>
      </c>
      <c r="FM339" s="214" t="s">
        <v>530</v>
      </c>
      <c r="FO339" s="321" t="s">
        <v>22272</v>
      </c>
      <c r="FP339" s="214" t="s">
        <v>33910</v>
      </c>
      <c r="FQ339" s="214" t="s">
        <v>70</v>
      </c>
      <c r="FR339" s="214" t="s">
        <v>530</v>
      </c>
      <c r="FT339" s="321" t="s">
        <v>22273</v>
      </c>
      <c r="FU339" s="214" t="s">
        <v>88</v>
      </c>
      <c r="FV339" s="214" t="s">
        <v>70</v>
      </c>
      <c r="FW339" s="214" t="s">
        <v>530</v>
      </c>
      <c r="FY339" s="321" t="s">
        <v>22274</v>
      </c>
      <c r="FZ339" s="214" t="s">
        <v>145</v>
      </c>
      <c r="GA339" s="214" t="s">
        <v>70</v>
      </c>
      <c r="GB339" s="214" t="s">
        <v>530</v>
      </c>
      <c r="GD339" s="321" t="s">
        <v>22275</v>
      </c>
      <c r="GE339" s="214" t="s">
        <v>34542</v>
      </c>
      <c r="GF339" s="214" t="s">
        <v>70</v>
      </c>
      <c r="GG339" s="214" t="s">
        <v>530</v>
      </c>
      <c r="GI339" s="321" t="s">
        <v>22276</v>
      </c>
      <c r="GJ339" s="214" t="s">
        <v>34615</v>
      </c>
      <c r="GK339" s="214" t="s">
        <v>70</v>
      </c>
      <c r="GL339" s="214" t="s">
        <v>530</v>
      </c>
      <c r="GN339" s="321" t="s">
        <v>22277</v>
      </c>
      <c r="GO339" s="214" t="s">
        <v>52</v>
      </c>
      <c r="GP339" s="214" t="s">
        <v>70</v>
      </c>
      <c r="GQ339" s="214" t="s">
        <v>530</v>
      </c>
      <c r="GS339" s="321" t="s">
        <v>22278</v>
      </c>
      <c r="GT339" s="214" t="s">
        <v>52</v>
      </c>
      <c r="GU339" s="214" t="s">
        <v>70</v>
      </c>
      <c r="GV339" s="214" t="s">
        <v>530</v>
      </c>
      <c r="GX339" s="214" t="s">
        <v>22279</v>
      </c>
      <c r="GY339" s="214" t="s">
        <v>146</v>
      </c>
      <c r="GZ339" s="214" t="s">
        <v>70</v>
      </c>
      <c r="HA339" s="214" t="s">
        <v>530</v>
      </c>
      <c r="HC339" s="214" t="s">
        <v>22280</v>
      </c>
      <c r="HD339" s="214" t="s">
        <v>103</v>
      </c>
      <c r="HE339" s="214" t="s">
        <v>70</v>
      </c>
      <c r="HF339" s="214" t="s">
        <v>530</v>
      </c>
      <c r="HH339" s="214" t="s">
        <v>22281</v>
      </c>
      <c r="HI339" s="214" t="s">
        <v>494</v>
      </c>
      <c r="HJ339" s="214" t="s">
        <v>70</v>
      </c>
      <c r="HK339" s="214" t="s">
        <v>530</v>
      </c>
      <c r="HM339" s="214" t="s">
        <v>22282</v>
      </c>
      <c r="HN339" s="214" t="s">
        <v>933</v>
      </c>
      <c r="HO339" s="214" t="s">
        <v>70</v>
      </c>
      <c r="HP339" s="214" t="s">
        <v>530</v>
      </c>
      <c r="HR339" s="22" t="s">
        <v>22283</v>
      </c>
      <c r="HS339" s="22" t="s">
        <v>468</v>
      </c>
      <c r="HT339" s="22" t="s">
        <v>70</v>
      </c>
      <c r="HU339" s="214" t="s">
        <v>530</v>
      </c>
      <c r="HW339" s="22" t="s">
        <v>22284</v>
      </c>
      <c r="HX339" s="22" t="s">
        <v>85</v>
      </c>
      <c r="HY339" s="22" t="s">
        <v>70</v>
      </c>
      <c r="HZ339" s="214" t="s">
        <v>530</v>
      </c>
      <c r="IB339" s="22" t="s">
        <v>22285</v>
      </c>
      <c r="IC339" s="22" t="s">
        <v>146</v>
      </c>
      <c r="ID339" s="22" t="s">
        <v>70</v>
      </c>
      <c r="IE339" s="214" t="s">
        <v>530</v>
      </c>
      <c r="IG339" s="22" t="s">
        <v>22286</v>
      </c>
      <c r="IH339" s="22" t="s">
        <v>52</v>
      </c>
      <c r="II339" s="22" t="s">
        <v>70</v>
      </c>
      <c r="IJ339" s="214" t="s">
        <v>530</v>
      </c>
      <c r="IL339" s="22" t="s">
        <v>22287</v>
      </c>
      <c r="IM339" s="22" t="s">
        <v>145</v>
      </c>
      <c r="IN339" s="22" t="s">
        <v>70</v>
      </c>
      <c r="IO339" s="214" t="s">
        <v>530</v>
      </c>
      <c r="IQ339" s="236" t="s">
        <v>22288</v>
      </c>
      <c r="IR339" s="236" t="s">
        <v>145</v>
      </c>
      <c r="IS339" s="236" t="s">
        <v>74</v>
      </c>
      <c r="IT339" s="236" t="s">
        <v>841</v>
      </c>
      <c r="IV339" s="236" t="s">
        <v>22289</v>
      </c>
      <c r="IW339" s="236" t="s">
        <v>145</v>
      </c>
      <c r="IX339" s="236" t="s">
        <v>74</v>
      </c>
      <c r="IY339" s="236" t="s">
        <v>841</v>
      </c>
      <c r="JA339" s="236" t="s">
        <v>22290</v>
      </c>
      <c r="JB339" s="236" t="s">
        <v>145</v>
      </c>
      <c r="JC339" s="236" t="s">
        <v>74</v>
      </c>
      <c r="JD339" s="236" t="s">
        <v>841</v>
      </c>
      <c r="JF339" s="236" t="s">
        <v>22291</v>
      </c>
      <c r="JG339" s="236" t="s">
        <v>145</v>
      </c>
      <c r="JH339" s="236" t="s">
        <v>74</v>
      </c>
      <c r="JI339" s="236" t="s">
        <v>841</v>
      </c>
      <c r="JK339" s="236" t="s">
        <v>22292</v>
      </c>
      <c r="JL339" s="236" t="s">
        <v>145</v>
      </c>
      <c r="JM339" s="236" t="s">
        <v>74</v>
      </c>
      <c r="JN339" s="236" t="s">
        <v>841</v>
      </c>
      <c r="JP339" s="236" t="s">
        <v>22293</v>
      </c>
      <c r="JQ339" s="236" t="s">
        <v>145</v>
      </c>
      <c r="JR339" s="236" t="s">
        <v>74</v>
      </c>
      <c r="JS339" s="236" t="s">
        <v>841</v>
      </c>
      <c r="JU339" s="294" t="s">
        <v>22294</v>
      </c>
      <c r="JV339" s="294" t="s">
        <v>52</v>
      </c>
      <c r="JW339" s="263" t="s">
        <v>70</v>
      </c>
      <c r="JX339" s="294" t="s">
        <v>1083</v>
      </c>
      <c r="JZ339" s="263" t="s">
        <v>22295</v>
      </c>
      <c r="KA339" s="263" t="s">
        <v>145</v>
      </c>
      <c r="KB339" s="263" t="s">
        <v>70</v>
      </c>
      <c r="KC339" s="263" t="s">
        <v>1083</v>
      </c>
      <c r="KE339" s="263" t="s">
        <v>22296</v>
      </c>
      <c r="KF339" s="263" t="s">
        <v>52</v>
      </c>
      <c r="KG339" s="263" t="s">
        <v>70</v>
      </c>
      <c r="KH339" s="263" t="s">
        <v>1083</v>
      </c>
      <c r="KJ339" s="263" t="s">
        <v>22297</v>
      </c>
      <c r="KK339" s="263" t="s">
        <v>52</v>
      </c>
      <c r="KL339" s="263" t="s">
        <v>74</v>
      </c>
      <c r="KM339" s="263" t="s">
        <v>34074</v>
      </c>
      <c r="KO339" s="214" t="s">
        <v>22298</v>
      </c>
      <c r="KP339" s="214" t="s">
        <v>145</v>
      </c>
      <c r="KQ339" s="214" t="s">
        <v>70</v>
      </c>
      <c r="KR339" s="214" t="s">
        <v>67</v>
      </c>
      <c r="KT339" s="22" t="s">
        <v>22299</v>
      </c>
      <c r="KU339" s="22" t="s">
        <v>145</v>
      </c>
      <c r="KV339" s="22" t="s">
        <v>70</v>
      </c>
      <c r="KW339" s="22" t="s">
        <v>67</v>
      </c>
      <c r="KY339" s="214" t="s">
        <v>22300</v>
      </c>
      <c r="KZ339" s="214" t="s">
        <v>52</v>
      </c>
      <c r="LA339" s="214" t="s">
        <v>74</v>
      </c>
      <c r="LB339" s="214" t="s">
        <v>67</v>
      </c>
      <c r="LD339" s="22" t="s">
        <v>22301</v>
      </c>
      <c r="LE339" s="22" t="s">
        <v>145</v>
      </c>
      <c r="LF339" s="22" t="s">
        <v>70</v>
      </c>
      <c r="LG339" s="22" t="s">
        <v>67</v>
      </c>
    </row>
    <row r="340" spans="1:319">
      <c r="A340" s="22" t="s">
        <v>22302</v>
      </c>
      <c r="B340" s="22" t="s">
        <v>145</v>
      </c>
      <c r="C340" s="22" t="s">
        <v>70</v>
      </c>
      <c r="D340" s="22" t="s">
        <v>67</v>
      </c>
      <c r="F340" s="99" t="s">
        <v>22303</v>
      </c>
      <c r="G340" s="22" t="s">
        <v>145</v>
      </c>
      <c r="H340" s="22" t="s">
        <v>70</v>
      </c>
      <c r="I340" s="22" t="s">
        <v>67</v>
      </c>
      <c r="K340" s="22" t="s">
        <v>22304</v>
      </c>
      <c r="L340" s="22" t="s">
        <v>145</v>
      </c>
      <c r="M340" s="22" t="s">
        <v>70</v>
      </c>
      <c r="N340" s="22" t="s">
        <v>67</v>
      </c>
      <c r="P340" s="22" t="s">
        <v>22305</v>
      </c>
      <c r="Q340" s="22" t="s">
        <v>145</v>
      </c>
      <c r="R340" s="22" t="s">
        <v>70</v>
      </c>
      <c r="S340" s="22" t="s">
        <v>67</v>
      </c>
      <c r="U340" s="293" t="s">
        <v>22306</v>
      </c>
      <c r="V340" s="293" t="s">
        <v>145</v>
      </c>
      <c r="W340" s="293" t="s">
        <v>74</v>
      </c>
      <c r="X340" s="293" t="s">
        <v>656</v>
      </c>
      <c r="Z340" s="293" t="s">
        <v>22307</v>
      </c>
      <c r="AA340" s="293" t="s">
        <v>145</v>
      </c>
      <c r="AB340" s="293" t="s">
        <v>74</v>
      </c>
      <c r="AC340" s="293" t="s">
        <v>656</v>
      </c>
      <c r="AE340" s="293" t="s">
        <v>22308</v>
      </c>
      <c r="AF340" s="293" t="s">
        <v>145</v>
      </c>
      <c r="AG340" s="293" t="s">
        <v>74</v>
      </c>
      <c r="AH340" s="293" t="s">
        <v>656</v>
      </c>
      <c r="AJ340" s="293" t="s">
        <v>22309</v>
      </c>
      <c r="AK340" s="293" t="s">
        <v>145</v>
      </c>
      <c r="AL340" s="293" t="s">
        <v>74</v>
      </c>
      <c r="AM340" s="293" t="s">
        <v>656</v>
      </c>
      <c r="AO340" s="22" t="s">
        <v>22310</v>
      </c>
      <c r="AP340" s="22" t="s">
        <v>145</v>
      </c>
      <c r="AQ340" s="22" t="s">
        <v>70</v>
      </c>
      <c r="AR340" s="22" t="s">
        <v>67</v>
      </c>
      <c r="AT340" s="22" t="s">
        <v>22311</v>
      </c>
      <c r="AU340" s="22" t="s">
        <v>145</v>
      </c>
      <c r="AV340" s="22" t="s">
        <v>70</v>
      </c>
      <c r="AW340" s="22" t="s">
        <v>67</v>
      </c>
      <c r="AY340" s="22" t="s">
        <v>22312</v>
      </c>
      <c r="AZ340" s="22" t="s">
        <v>145</v>
      </c>
      <c r="BA340" s="22" t="s">
        <v>70</v>
      </c>
      <c r="BB340" s="22" t="s">
        <v>67</v>
      </c>
      <c r="BD340" s="22" t="s">
        <v>22313</v>
      </c>
      <c r="BE340" s="22" t="s">
        <v>145</v>
      </c>
      <c r="BF340" s="22" t="s">
        <v>70</v>
      </c>
      <c r="BG340" s="22" t="s">
        <v>67</v>
      </c>
      <c r="BI340" s="22" t="s">
        <v>22314</v>
      </c>
      <c r="BJ340" s="22" t="s">
        <v>145</v>
      </c>
      <c r="BK340" s="22" t="s">
        <v>70</v>
      </c>
      <c r="BL340" s="22" t="s">
        <v>67</v>
      </c>
      <c r="BN340" s="22" t="s">
        <v>22315</v>
      </c>
      <c r="BO340" s="22" t="s">
        <v>145</v>
      </c>
      <c r="BP340" s="22" t="s">
        <v>70</v>
      </c>
      <c r="BQ340" s="22" t="s">
        <v>67</v>
      </c>
      <c r="BS340" s="22" t="s">
        <v>22316</v>
      </c>
      <c r="BT340" s="22" t="s">
        <v>145</v>
      </c>
      <c r="BU340" s="22" t="s">
        <v>70</v>
      </c>
      <c r="BV340" s="214" t="s">
        <v>530</v>
      </c>
      <c r="BX340" s="22" t="s">
        <v>22317</v>
      </c>
      <c r="BY340" s="22" t="s">
        <v>145</v>
      </c>
      <c r="BZ340" s="22" t="s">
        <v>70</v>
      </c>
      <c r="CA340" s="214" t="s">
        <v>530</v>
      </c>
      <c r="CC340" s="214" t="s">
        <v>22318</v>
      </c>
      <c r="CD340" s="218" t="s">
        <v>34608</v>
      </c>
      <c r="CE340" s="214" t="s">
        <v>70</v>
      </c>
      <c r="CF340" s="214" t="s">
        <v>34146</v>
      </c>
      <c r="CH340" s="214" t="s">
        <v>22319</v>
      </c>
      <c r="CI340" s="214" t="s">
        <v>932</v>
      </c>
      <c r="CJ340" s="214" t="s">
        <v>70</v>
      </c>
      <c r="CK340" s="214" t="s">
        <v>530</v>
      </c>
      <c r="CM340" s="214" t="s">
        <v>22320</v>
      </c>
      <c r="CN340" s="214" t="s">
        <v>529</v>
      </c>
      <c r="CO340" s="214" t="s">
        <v>70</v>
      </c>
      <c r="CP340" s="214" t="s">
        <v>530</v>
      </c>
      <c r="CR340" s="214" t="s">
        <v>22321</v>
      </c>
      <c r="CS340" s="214" t="s">
        <v>34553</v>
      </c>
      <c r="CT340" s="214" t="s">
        <v>70</v>
      </c>
      <c r="CU340" s="214" t="s">
        <v>530</v>
      </c>
      <c r="CW340" s="214" t="s">
        <v>22322</v>
      </c>
      <c r="CX340" s="214" t="s">
        <v>468</v>
      </c>
      <c r="CY340" s="214" t="s">
        <v>70</v>
      </c>
      <c r="CZ340" s="214" t="s">
        <v>530</v>
      </c>
      <c r="DB340" s="214" t="s">
        <v>22323</v>
      </c>
      <c r="DC340" s="214" t="s">
        <v>103</v>
      </c>
      <c r="DD340" s="214" t="s">
        <v>70</v>
      </c>
      <c r="DE340" s="214" t="s">
        <v>530</v>
      </c>
      <c r="DG340" s="214" t="s">
        <v>22324</v>
      </c>
      <c r="DH340" s="214" t="s">
        <v>52</v>
      </c>
      <c r="DI340" s="214" t="s">
        <v>70</v>
      </c>
      <c r="DJ340" s="214" t="s">
        <v>530</v>
      </c>
      <c r="DL340" s="214" t="s">
        <v>22325</v>
      </c>
      <c r="DM340" s="214" t="s">
        <v>955</v>
      </c>
      <c r="DN340" s="214" t="s">
        <v>70</v>
      </c>
      <c r="DO340" s="214" t="s">
        <v>530</v>
      </c>
      <c r="DQ340" s="214" t="s">
        <v>22326</v>
      </c>
      <c r="DR340" s="214" t="s">
        <v>34613</v>
      </c>
      <c r="DS340" s="214" t="s">
        <v>70</v>
      </c>
      <c r="DT340" s="214" t="s">
        <v>530</v>
      </c>
      <c r="DV340" s="214" t="s">
        <v>22327</v>
      </c>
      <c r="DW340" s="214" t="s">
        <v>531</v>
      </c>
      <c r="DX340" s="214" t="s">
        <v>70</v>
      </c>
      <c r="DY340" s="214" t="s">
        <v>530</v>
      </c>
      <c r="EA340" s="214" t="s">
        <v>22328</v>
      </c>
      <c r="EB340" s="214" t="s">
        <v>10541</v>
      </c>
      <c r="EC340" s="214" t="s">
        <v>70</v>
      </c>
      <c r="ED340" s="214" t="s">
        <v>530</v>
      </c>
      <c r="EF340" s="214" t="s">
        <v>22329</v>
      </c>
      <c r="EG340" s="214" t="s">
        <v>10541</v>
      </c>
      <c r="EH340" s="214" t="s">
        <v>70</v>
      </c>
      <c r="EI340" s="214" t="s">
        <v>530</v>
      </c>
      <c r="EK340" s="214" t="s">
        <v>22330</v>
      </c>
      <c r="EL340" s="214" t="s">
        <v>485</v>
      </c>
      <c r="EM340" s="214" t="s">
        <v>70</v>
      </c>
      <c r="EN340" s="214" t="s">
        <v>530</v>
      </c>
      <c r="EP340" s="214" t="s">
        <v>22331</v>
      </c>
      <c r="EQ340" s="214" t="s">
        <v>148</v>
      </c>
      <c r="ER340" s="214" t="s">
        <v>70</v>
      </c>
      <c r="ES340" s="214" t="s">
        <v>530</v>
      </c>
      <c r="EU340" s="214" t="s">
        <v>22332</v>
      </c>
      <c r="EV340" s="214" t="s">
        <v>34578</v>
      </c>
      <c r="EW340" s="214" t="s">
        <v>70</v>
      </c>
      <c r="EX340" s="214" t="s">
        <v>530</v>
      </c>
      <c r="EZ340" s="214" t="s">
        <v>22333</v>
      </c>
      <c r="FA340" s="214" t="s">
        <v>146</v>
      </c>
      <c r="FB340" s="214" t="s">
        <v>70</v>
      </c>
      <c r="FC340" s="214" t="s">
        <v>530</v>
      </c>
      <c r="FE340" s="214" t="s">
        <v>22334</v>
      </c>
      <c r="FF340" s="214" t="s">
        <v>87</v>
      </c>
      <c r="FG340" s="214" t="s">
        <v>70</v>
      </c>
      <c r="FH340" s="214" t="s">
        <v>530</v>
      </c>
      <c r="FJ340" s="321" t="s">
        <v>22335</v>
      </c>
      <c r="FK340" s="214" t="s">
        <v>163</v>
      </c>
      <c r="FL340" s="214" t="s">
        <v>70</v>
      </c>
      <c r="FM340" s="214" t="s">
        <v>530</v>
      </c>
      <c r="FO340" s="321" t="s">
        <v>22336</v>
      </c>
      <c r="FP340" s="214" t="s">
        <v>305</v>
      </c>
      <c r="FQ340" s="214" t="s">
        <v>70</v>
      </c>
      <c r="FR340" s="214" t="s">
        <v>530</v>
      </c>
      <c r="FT340" s="321" t="s">
        <v>22337</v>
      </c>
      <c r="FU340" s="214" t="s">
        <v>920</v>
      </c>
      <c r="FV340" s="214" t="s">
        <v>70</v>
      </c>
      <c r="FW340" s="214" t="s">
        <v>530</v>
      </c>
      <c r="FY340" s="321" t="s">
        <v>22338</v>
      </c>
      <c r="FZ340" s="214" t="s">
        <v>920</v>
      </c>
      <c r="GA340" s="214" t="s">
        <v>70</v>
      </c>
      <c r="GB340" s="214" t="s">
        <v>530</v>
      </c>
      <c r="GD340" s="321" t="s">
        <v>22339</v>
      </c>
      <c r="GE340" s="214" t="s">
        <v>52</v>
      </c>
      <c r="GF340" s="214" t="s">
        <v>70</v>
      </c>
      <c r="GG340" s="214" t="s">
        <v>530</v>
      </c>
      <c r="GI340" s="321" t="s">
        <v>22340</v>
      </c>
      <c r="GJ340" s="214" t="s">
        <v>485</v>
      </c>
      <c r="GK340" s="214" t="s">
        <v>70</v>
      </c>
      <c r="GL340" s="214" t="s">
        <v>530</v>
      </c>
      <c r="GN340" s="321" t="s">
        <v>22341</v>
      </c>
      <c r="GO340" s="214" t="s">
        <v>468</v>
      </c>
      <c r="GP340" s="214" t="s">
        <v>70</v>
      </c>
      <c r="GQ340" s="214" t="s">
        <v>530</v>
      </c>
      <c r="GS340" s="321" t="s">
        <v>22342</v>
      </c>
      <c r="GT340" s="214" t="s">
        <v>945</v>
      </c>
      <c r="GU340" s="214" t="s">
        <v>70</v>
      </c>
      <c r="GV340" s="214" t="s">
        <v>530</v>
      </c>
      <c r="GX340" s="214" t="s">
        <v>22343</v>
      </c>
      <c r="GY340" s="214" t="s">
        <v>305</v>
      </c>
      <c r="GZ340" s="214" t="s">
        <v>70</v>
      </c>
      <c r="HA340" s="214" t="s">
        <v>530</v>
      </c>
      <c r="HC340" s="214" t="s">
        <v>22344</v>
      </c>
      <c r="HD340" s="214" t="s">
        <v>34574</v>
      </c>
      <c r="HE340" s="214" t="s">
        <v>70</v>
      </c>
      <c r="HF340" s="214" t="s">
        <v>530</v>
      </c>
      <c r="HH340" s="214" t="s">
        <v>22345</v>
      </c>
      <c r="HI340" s="214" t="s">
        <v>88</v>
      </c>
      <c r="HJ340" s="214" t="s">
        <v>70</v>
      </c>
      <c r="HK340" s="214" t="s">
        <v>530</v>
      </c>
      <c r="HM340" s="214" t="s">
        <v>22346</v>
      </c>
      <c r="HN340" s="214" t="s">
        <v>34560</v>
      </c>
      <c r="HO340" s="214" t="s">
        <v>70</v>
      </c>
      <c r="HP340" s="214" t="s">
        <v>530</v>
      </c>
      <c r="HR340" s="22" t="s">
        <v>22347</v>
      </c>
      <c r="HS340" s="22" t="s">
        <v>52</v>
      </c>
      <c r="HT340" s="22" t="s">
        <v>70</v>
      </c>
      <c r="HU340" s="214" t="s">
        <v>530</v>
      </c>
      <c r="HW340" s="22" t="s">
        <v>22348</v>
      </c>
      <c r="HX340" s="22" t="s">
        <v>52</v>
      </c>
      <c r="HY340" s="22" t="s">
        <v>70</v>
      </c>
      <c r="HZ340" s="214" t="s">
        <v>530</v>
      </c>
      <c r="IB340" s="22" t="s">
        <v>22349</v>
      </c>
      <c r="IC340" s="22" t="s">
        <v>52</v>
      </c>
      <c r="ID340" s="22" t="s">
        <v>70</v>
      </c>
      <c r="IE340" s="214" t="s">
        <v>530</v>
      </c>
      <c r="IG340" s="22" t="s">
        <v>22350</v>
      </c>
      <c r="IH340" s="22" t="s">
        <v>52</v>
      </c>
      <c r="II340" s="22" t="s">
        <v>70</v>
      </c>
      <c r="IJ340" s="214" t="s">
        <v>530</v>
      </c>
      <c r="IL340" s="22" t="s">
        <v>22351</v>
      </c>
      <c r="IM340" s="22" t="s">
        <v>145</v>
      </c>
      <c r="IN340" s="22" t="s">
        <v>70</v>
      </c>
      <c r="IO340" s="214" t="s">
        <v>530</v>
      </c>
      <c r="IQ340" s="236" t="s">
        <v>22352</v>
      </c>
      <c r="IR340" s="236" t="s">
        <v>145</v>
      </c>
      <c r="IS340" s="236" t="s">
        <v>74</v>
      </c>
      <c r="IT340" s="236" t="s">
        <v>841</v>
      </c>
      <c r="IV340" s="236" t="s">
        <v>22353</v>
      </c>
      <c r="IW340" s="236" t="s">
        <v>145</v>
      </c>
      <c r="IX340" s="236" t="s">
        <v>74</v>
      </c>
      <c r="IY340" s="236" t="s">
        <v>841</v>
      </c>
      <c r="JA340" s="236" t="s">
        <v>22354</v>
      </c>
      <c r="JB340" s="236" t="s">
        <v>145</v>
      </c>
      <c r="JC340" s="236" t="s">
        <v>74</v>
      </c>
      <c r="JD340" s="236" t="s">
        <v>841</v>
      </c>
      <c r="JF340" s="236" t="s">
        <v>22355</v>
      </c>
      <c r="JG340" s="236" t="s">
        <v>145</v>
      </c>
      <c r="JH340" s="236" t="s">
        <v>74</v>
      </c>
      <c r="JI340" s="236" t="s">
        <v>841</v>
      </c>
      <c r="JK340" s="236" t="s">
        <v>22356</v>
      </c>
      <c r="JL340" s="236" t="s">
        <v>145</v>
      </c>
      <c r="JM340" s="236" t="s">
        <v>74</v>
      </c>
      <c r="JN340" s="236" t="s">
        <v>841</v>
      </c>
      <c r="JP340" s="236" t="s">
        <v>22357</v>
      </c>
      <c r="JQ340" s="236" t="s">
        <v>145</v>
      </c>
      <c r="JR340" s="236" t="s">
        <v>74</v>
      </c>
      <c r="JS340" s="236" t="s">
        <v>841</v>
      </c>
      <c r="JU340" s="294" t="s">
        <v>22358</v>
      </c>
      <c r="JV340" s="294" t="s">
        <v>52</v>
      </c>
      <c r="JW340" s="263" t="s">
        <v>70</v>
      </c>
      <c r="JX340" s="294" t="s">
        <v>1083</v>
      </c>
      <c r="JZ340" s="263" t="s">
        <v>22359</v>
      </c>
      <c r="KA340" s="263" t="s">
        <v>145</v>
      </c>
      <c r="KB340" s="263" t="s">
        <v>70</v>
      </c>
      <c r="KC340" s="263" t="s">
        <v>1083</v>
      </c>
      <c r="KE340" s="263" t="s">
        <v>22360</v>
      </c>
      <c r="KF340" s="263" t="s">
        <v>52</v>
      </c>
      <c r="KG340" s="263" t="s">
        <v>70</v>
      </c>
      <c r="KH340" s="263" t="s">
        <v>1083</v>
      </c>
      <c r="KJ340" s="263" t="s">
        <v>22361</v>
      </c>
      <c r="KK340" s="263" t="s">
        <v>52</v>
      </c>
      <c r="KL340" s="263" t="s">
        <v>74</v>
      </c>
      <c r="KM340" s="263" t="s">
        <v>34074</v>
      </c>
      <c r="KO340" s="214" t="s">
        <v>22362</v>
      </c>
      <c r="KP340" s="214" t="s">
        <v>145</v>
      </c>
      <c r="KQ340" s="214" t="s">
        <v>70</v>
      </c>
      <c r="KR340" s="214" t="s">
        <v>67</v>
      </c>
      <c r="KT340" s="22" t="s">
        <v>22363</v>
      </c>
      <c r="KU340" s="22" t="s">
        <v>145</v>
      </c>
      <c r="KV340" s="22" t="s">
        <v>70</v>
      </c>
      <c r="KW340" s="22" t="s">
        <v>67</v>
      </c>
      <c r="KY340" s="214" t="s">
        <v>22364</v>
      </c>
      <c r="KZ340" s="214" t="s">
        <v>52</v>
      </c>
      <c r="LA340" s="214" t="s">
        <v>74</v>
      </c>
      <c r="LB340" s="214" t="s">
        <v>67</v>
      </c>
      <c r="LD340" s="22" t="s">
        <v>22365</v>
      </c>
      <c r="LE340" s="22" t="s">
        <v>145</v>
      </c>
      <c r="LF340" s="22" t="s">
        <v>70</v>
      </c>
      <c r="LG340" s="22" t="s">
        <v>67</v>
      </c>
    </row>
    <row r="341" spans="1:319">
      <c r="A341" s="22" t="s">
        <v>22366</v>
      </c>
      <c r="B341" s="22" t="s">
        <v>145</v>
      </c>
      <c r="C341" s="22" t="s">
        <v>70</v>
      </c>
      <c r="D341" s="22" t="s">
        <v>67</v>
      </c>
      <c r="F341" s="99" t="s">
        <v>22367</v>
      </c>
      <c r="G341" s="22" t="s">
        <v>145</v>
      </c>
      <c r="H341" s="22" t="s">
        <v>70</v>
      </c>
      <c r="I341" s="22" t="s">
        <v>67</v>
      </c>
      <c r="K341" s="22" t="s">
        <v>22368</v>
      </c>
      <c r="L341" s="22" t="s">
        <v>145</v>
      </c>
      <c r="M341" s="22" t="s">
        <v>70</v>
      </c>
      <c r="N341" s="22" t="s">
        <v>67</v>
      </c>
      <c r="P341" s="22" t="s">
        <v>22369</v>
      </c>
      <c r="Q341" s="22" t="s">
        <v>145</v>
      </c>
      <c r="R341" s="22" t="s">
        <v>70</v>
      </c>
      <c r="S341" s="22" t="s">
        <v>67</v>
      </c>
      <c r="U341" s="293" t="s">
        <v>22370</v>
      </c>
      <c r="V341" s="293" t="s">
        <v>145</v>
      </c>
      <c r="W341" s="293" t="s">
        <v>74</v>
      </c>
      <c r="X341" s="293" t="s">
        <v>656</v>
      </c>
      <c r="Z341" s="293" t="s">
        <v>22371</v>
      </c>
      <c r="AA341" s="293" t="s">
        <v>145</v>
      </c>
      <c r="AB341" s="293" t="s">
        <v>74</v>
      </c>
      <c r="AC341" s="293" t="s">
        <v>656</v>
      </c>
      <c r="AE341" s="293" t="s">
        <v>22372</v>
      </c>
      <c r="AF341" s="293" t="s">
        <v>145</v>
      </c>
      <c r="AG341" s="293" t="s">
        <v>74</v>
      </c>
      <c r="AH341" s="293" t="s">
        <v>656</v>
      </c>
      <c r="AJ341" s="293" t="s">
        <v>22373</v>
      </c>
      <c r="AK341" s="293" t="s">
        <v>145</v>
      </c>
      <c r="AL341" s="293" t="s">
        <v>74</v>
      </c>
      <c r="AM341" s="293" t="s">
        <v>656</v>
      </c>
      <c r="AO341" s="22" t="s">
        <v>22374</v>
      </c>
      <c r="AP341" s="22" t="s">
        <v>145</v>
      </c>
      <c r="AQ341" s="22" t="s">
        <v>70</v>
      </c>
      <c r="AR341" s="22" t="s">
        <v>67</v>
      </c>
      <c r="AT341" s="22" t="s">
        <v>22375</v>
      </c>
      <c r="AU341" s="22" t="s">
        <v>145</v>
      </c>
      <c r="AV341" s="22" t="s">
        <v>70</v>
      </c>
      <c r="AW341" s="22" t="s">
        <v>67</v>
      </c>
      <c r="AY341" s="22" t="s">
        <v>22376</v>
      </c>
      <c r="AZ341" s="22" t="s">
        <v>145</v>
      </c>
      <c r="BA341" s="22" t="s">
        <v>70</v>
      </c>
      <c r="BB341" s="22" t="s">
        <v>67</v>
      </c>
      <c r="BD341" s="22" t="s">
        <v>22377</v>
      </c>
      <c r="BE341" s="22" t="s">
        <v>145</v>
      </c>
      <c r="BF341" s="22" t="s">
        <v>70</v>
      </c>
      <c r="BG341" s="22" t="s">
        <v>67</v>
      </c>
      <c r="BI341" s="22" t="s">
        <v>22378</v>
      </c>
      <c r="BJ341" s="22" t="s">
        <v>145</v>
      </c>
      <c r="BK341" s="22" t="s">
        <v>70</v>
      </c>
      <c r="BL341" s="22" t="s">
        <v>67</v>
      </c>
      <c r="BN341" s="22" t="s">
        <v>22379</v>
      </c>
      <c r="BO341" s="22" t="s">
        <v>145</v>
      </c>
      <c r="BP341" s="22" t="s">
        <v>70</v>
      </c>
      <c r="BQ341" s="22" t="s">
        <v>67</v>
      </c>
      <c r="BS341" s="22" t="s">
        <v>22380</v>
      </c>
      <c r="BT341" s="22" t="s">
        <v>145</v>
      </c>
      <c r="BU341" s="22" t="s">
        <v>70</v>
      </c>
      <c r="BV341" s="214" t="s">
        <v>530</v>
      </c>
      <c r="BX341" s="22" t="s">
        <v>22381</v>
      </c>
      <c r="BY341" s="22" t="s">
        <v>145</v>
      </c>
      <c r="BZ341" s="22" t="s">
        <v>70</v>
      </c>
      <c r="CA341" s="214" t="s">
        <v>530</v>
      </c>
      <c r="CC341" s="214" t="s">
        <v>22382</v>
      </c>
      <c r="CD341" s="218" t="s">
        <v>34607</v>
      </c>
      <c r="CE341" s="214" t="s">
        <v>70</v>
      </c>
      <c r="CF341" s="214" t="s">
        <v>34147</v>
      </c>
      <c r="CH341" s="214" t="s">
        <v>22383</v>
      </c>
      <c r="CI341" s="214" t="s">
        <v>490</v>
      </c>
      <c r="CJ341" s="214" t="s">
        <v>70</v>
      </c>
      <c r="CK341" s="214" t="s">
        <v>530</v>
      </c>
      <c r="CM341" s="214" t="s">
        <v>22384</v>
      </c>
      <c r="CN341" s="214" t="s">
        <v>103</v>
      </c>
      <c r="CO341" s="214" t="s">
        <v>70</v>
      </c>
      <c r="CP341" s="214" t="s">
        <v>530</v>
      </c>
      <c r="CR341" s="214" t="s">
        <v>22385</v>
      </c>
      <c r="CS341" s="214" t="s">
        <v>482</v>
      </c>
      <c r="CT341" s="214" t="s">
        <v>70</v>
      </c>
      <c r="CU341" s="214" t="s">
        <v>530</v>
      </c>
      <c r="CW341" s="214" t="s">
        <v>22386</v>
      </c>
      <c r="CX341" s="214" t="s">
        <v>484</v>
      </c>
      <c r="CY341" s="214" t="s">
        <v>70</v>
      </c>
      <c r="CZ341" s="214" t="s">
        <v>530</v>
      </c>
      <c r="DB341" s="214" t="s">
        <v>22387</v>
      </c>
      <c r="DC341" s="214" t="s">
        <v>34641</v>
      </c>
      <c r="DD341" s="214" t="s">
        <v>70</v>
      </c>
      <c r="DE341" s="214" t="s">
        <v>530</v>
      </c>
      <c r="DG341" s="214" t="s">
        <v>22388</v>
      </c>
      <c r="DH341" s="214" t="s">
        <v>203</v>
      </c>
      <c r="DI341" s="214" t="s">
        <v>70</v>
      </c>
      <c r="DJ341" s="214" t="s">
        <v>530</v>
      </c>
      <c r="DL341" s="214" t="s">
        <v>22389</v>
      </c>
      <c r="DM341" s="214" t="s">
        <v>501</v>
      </c>
      <c r="DN341" s="214" t="s">
        <v>70</v>
      </c>
      <c r="DO341" s="214" t="s">
        <v>530</v>
      </c>
      <c r="DQ341" s="214" t="s">
        <v>22390</v>
      </c>
      <c r="DR341" s="214" t="s">
        <v>85</v>
      </c>
      <c r="DS341" s="214" t="s">
        <v>70</v>
      </c>
      <c r="DT341" s="214" t="s">
        <v>530</v>
      </c>
      <c r="DV341" s="214" t="s">
        <v>22391</v>
      </c>
      <c r="DW341" s="214" t="s">
        <v>502</v>
      </c>
      <c r="DX341" s="214" t="s">
        <v>70</v>
      </c>
      <c r="DY341" s="214" t="s">
        <v>530</v>
      </c>
      <c r="EA341" s="214" t="s">
        <v>22392</v>
      </c>
      <c r="EB341" s="214" t="s">
        <v>87</v>
      </c>
      <c r="EC341" s="214" t="s">
        <v>70</v>
      </c>
      <c r="ED341" s="214" t="s">
        <v>530</v>
      </c>
      <c r="EF341" s="214" t="s">
        <v>22393</v>
      </c>
      <c r="EG341" s="214" t="s">
        <v>34544</v>
      </c>
      <c r="EH341" s="214" t="s">
        <v>70</v>
      </c>
      <c r="EI341" s="214" t="s">
        <v>530</v>
      </c>
      <c r="EK341" s="214" t="s">
        <v>22394</v>
      </c>
      <c r="EL341" s="214" t="s">
        <v>488</v>
      </c>
      <c r="EM341" s="214" t="s">
        <v>70</v>
      </c>
      <c r="EN341" s="214" t="s">
        <v>530</v>
      </c>
      <c r="EP341" s="214" t="s">
        <v>22395</v>
      </c>
      <c r="EQ341" s="214" t="s">
        <v>34542</v>
      </c>
      <c r="ER341" s="214" t="s">
        <v>70</v>
      </c>
      <c r="ES341" s="214" t="s">
        <v>530</v>
      </c>
      <c r="EU341" s="214" t="s">
        <v>22396</v>
      </c>
      <c r="EV341" s="214" t="s">
        <v>468</v>
      </c>
      <c r="EW341" s="214" t="s">
        <v>70</v>
      </c>
      <c r="EX341" s="214" t="s">
        <v>530</v>
      </c>
      <c r="EZ341" s="214" t="s">
        <v>22397</v>
      </c>
      <c r="FA341" s="214" t="s">
        <v>149</v>
      </c>
      <c r="FB341" s="214" t="s">
        <v>70</v>
      </c>
      <c r="FC341" s="214" t="s">
        <v>530</v>
      </c>
      <c r="FE341" s="214" t="s">
        <v>22398</v>
      </c>
      <c r="FF341" s="214" t="s">
        <v>34579</v>
      </c>
      <c r="FG341" s="214" t="s">
        <v>70</v>
      </c>
      <c r="FH341" s="214" t="s">
        <v>530</v>
      </c>
      <c r="FJ341" s="321" t="s">
        <v>22399</v>
      </c>
      <c r="FK341" s="214" t="s">
        <v>485</v>
      </c>
      <c r="FL341" s="214" t="s">
        <v>70</v>
      </c>
      <c r="FM341" s="214" t="s">
        <v>530</v>
      </c>
      <c r="FO341" s="321" t="s">
        <v>22400</v>
      </c>
      <c r="FP341" s="214" t="s">
        <v>495</v>
      </c>
      <c r="FQ341" s="214" t="s">
        <v>70</v>
      </c>
      <c r="FR341" s="214" t="s">
        <v>530</v>
      </c>
      <c r="FT341" s="321" t="s">
        <v>22401</v>
      </c>
      <c r="FU341" s="214" t="s">
        <v>491</v>
      </c>
      <c r="FV341" s="214" t="s">
        <v>70</v>
      </c>
      <c r="FW341" s="214" t="s">
        <v>530</v>
      </c>
      <c r="FY341" s="321" t="s">
        <v>22402</v>
      </c>
      <c r="FZ341" s="214" t="s">
        <v>484</v>
      </c>
      <c r="GA341" s="214" t="s">
        <v>70</v>
      </c>
      <c r="GB341" s="214" t="s">
        <v>530</v>
      </c>
      <c r="GD341" s="321" t="s">
        <v>22403</v>
      </c>
      <c r="GE341" s="214" t="s">
        <v>955</v>
      </c>
      <c r="GF341" s="214" t="s">
        <v>70</v>
      </c>
      <c r="GG341" s="214" t="s">
        <v>530</v>
      </c>
      <c r="GI341" s="321" t="s">
        <v>22404</v>
      </c>
      <c r="GJ341" s="214" t="s">
        <v>52</v>
      </c>
      <c r="GK341" s="214" t="s">
        <v>70</v>
      </c>
      <c r="GL341" s="214" t="s">
        <v>530</v>
      </c>
      <c r="GN341" s="321" t="s">
        <v>22405</v>
      </c>
      <c r="GO341" s="214" t="s">
        <v>52</v>
      </c>
      <c r="GP341" s="214" t="s">
        <v>70</v>
      </c>
      <c r="GQ341" s="214" t="s">
        <v>530</v>
      </c>
      <c r="GS341" s="321" t="s">
        <v>22406</v>
      </c>
      <c r="GT341" s="214" t="s">
        <v>491</v>
      </c>
      <c r="GU341" s="214" t="s">
        <v>70</v>
      </c>
      <c r="GV341" s="214" t="s">
        <v>530</v>
      </c>
      <c r="GX341" s="214" t="s">
        <v>22407</v>
      </c>
      <c r="GY341" s="214" t="s">
        <v>148</v>
      </c>
      <c r="GZ341" s="214" t="s">
        <v>70</v>
      </c>
      <c r="HA341" s="214" t="s">
        <v>530</v>
      </c>
      <c r="HC341" s="214" t="s">
        <v>22408</v>
      </c>
      <c r="HD341" s="214" t="s">
        <v>488</v>
      </c>
      <c r="HE341" s="214" t="s">
        <v>70</v>
      </c>
      <c r="HF341" s="214" t="s">
        <v>530</v>
      </c>
      <c r="HH341" s="214" t="s">
        <v>22409</v>
      </c>
      <c r="HI341" s="214" t="s">
        <v>163</v>
      </c>
      <c r="HJ341" s="214" t="s">
        <v>70</v>
      </c>
      <c r="HK341" s="214" t="s">
        <v>530</v>
      </c>
      <c r="HM341" s="214" t="s">
        <v>22410</v>
      </c>
      <c r="HN341" s="214" t="s">
        <v>34516</v>
      </c>
      <c r="HO341" s="214" t="s">
        <v>70</v>
      </c>
      <c r="HP341" s="214" t="s">
        <v>530</v>
      </c>
      <c r="HR341" s="22" t="s">
        <v>22411</v>
      </c>
      <c r="HS341" s="22" t="s">
        <v>34540</v>
      </c>
      <c r="HT341" s="22" t="s">
        <v>70</v>
      </c>
      <c r="HU341" s="214" t="s">
        <v>530</v>
      </c>
      <c r="HW341" s="22" t="s">
        <v>22412</v>
      </c>
      <c r="HX341" s="22" t="s">
        <v>493</v>
      </c>
      <c r="HY341" s="22" t="s">
        <v>70</v>
      </c>
      <c r="HZ341" s="214" t="s">
        <v>530</v>
      </c>
      <c r="IB341" s="22" t="s">
        <v>22413</v>
      </c>
      <c r="IC341" s="22" t="s">
        <v>52</v>
      </c>
      <c r="ID341" s="22" t="s">
        <v>70</v>
      </c>
      <c r="IE341" s="214" t="s">
        <v>530</v>
      </c>
      <c r="IG341" s="22" t="s">
        <v>22414</v>
      </c>
      <c r="IH341" s="22" t="s">
        <v>52</v>
      </c>
      <c r="II341" s="22" t="s">
        <v>70</v>
      </c>
      <c r="IJ341" s="214" t="s">
        <v>530</v>
      </c>
      <c r="IL341" s="22" t="s">
        <v>22415</v>
      </c>
      <c r="IM341" s="22" t="s">
        <v>145</v>
      </c>
      <c r="IN341" s="22" t="s">
        <v>70</v>
      </c>
      <c r="IO341" s="214" t="s">
        <v>530</v>
      </c>
      <c r="IQ341" s="236" t="s">
        <v>22416</v>
      </c>
      <c r="IR341" s="236" t="s">
        <v>145</v>
      </c>
      <c r="IS341" s="236" t="s">
        <v>74</v>
      </c>
      <c r="IT341" s="236" t="s">
        <v>841</v>
      </c>
      <c r="IV341" s="236" t="s">
        <v>22417</v>
      </c>
      <c r="IW341" s="236" t="s">
        <v>145</v>
      </c>
      <c r="IX341" s="236" t="s">
        <v>74</v>
      </c>
      <c r="IY341" s="236" t="s">
        <v>841</v>
      </c>
      <c r="JA341" s="236" t="s">
        <v>22418</v>
      </c>
      <c r="JB341" s="236" t="s">
        <v>145</v>
      </c>
      <c r="JC341" s="236" t="s">
        <v>74</v>
      </c>
      <c r="JD341" s="236" t="s">
        <v>841</v>
      </c>
      <c r="JF341" s="236" t="s">
        <v>22419</v>
      </c>
      <c r="JG341" s="236" t="s">
        <v>145</v>
      </c>
      <c r="JH341" s="236" t="s">
        <v>74</v>
      </c>
      <c r="JI341" s="236" t="s">
        <v>841</v>
      </c>
      <c r="JK341" s="236" t="s">
        <v>22420</v>
      </c>
      <c r="JL341" s="236" t="s">
        <v>145</v>
      </c>
      <c r="JM341" s="236" t="s">
        <v>74</v>
      </c>
      <c r="JN341" s="236" t="s">
        <v>841</v>
      </c>
      <c r="JP341" s="236" t="s">
        <v>22421</v>
      </c>
      <c r="JQ341" s="236" t="s">
        <v>145</v>
      </c>
      <c r="JR341" s="236" t="s">
        <v>74</v>
      </c>
      <c r="JS341" s="236" t="s">
        <v>841</v>
      </c>
      <c r="JU341" s="294" t="s">
        <v>22422</v>
      </c>
      <c r="JV341" s="294" t="s">
        <v>52</v>
      </c>
      <c r="JW341" s="263" t="s">
        <v>70</v>
      </c>
      <c r="JX341" s="294" t="s">
        <v>1083</v>
      </c>
      <c r="JZ341" s="263" t="s">
        <v>22423</v>
      </c>
      <c r="KA341" s="263" t="s">
        <v>145</v>
      </c>
      <c r="KB341" s="263" t="s">
        <v>70</v>
      </c>
      <c r="KC341" s="263" t="s">
        <v>1083</v>
      </c>
      <c r="KE341" s="263" t="s">
        <v>22424</v>
      </c>
      <c r="KF341" s="263" t="s">
        <v>52</v>
      </c>
      <c r="KG341" s="263" t="s">
        <v>70</v>
      </c>
      <c r="KH341" s="263" t="s">
        <v>1083</v>
      </c>
      <c r="KJ341" s="263" t="s">
        <v>22425</v>
      </c>
      <c r="KK341" s="263" t="s">
        <v>52</v>
      </c>
      <c r="KL341" s="263" t="s">
        <v>74</v>
      </c>
      <c r="KM341" s="263" t="s">
        <v>34074</v>
      </c>
      <c r="KO341" s="214" t="s">
        <v>22426</v>
      </c>
      <c r="KP341" s="214" t="s">
        <v>145</v>
      </c>
      <c r="KQ341" s="214" t="s">
        <v>70</v>
      </c>
      <c r="KR341" s="214" t="s">
        <v>67</v>
      </c>
      <c r="KT341" s="22" t="s">
        <v>22427</v>
      </c>
      <c r="KU341" s="22" t="s">
        <v>145</v>
      </c>
      <c r="KV341" s="22" t="s">
        <v>70</v>
      </c>
      <c r="KW341" s="22" t="s">
        <v>67</v>
      </c>
      <c r="KY341" s="214" t="s">
        <v>22428</v>
      </c>
      <c r="KZ341" s="214" t="s">
        <v>52</v>
      </c>
      <c r="LA341" s="214" t="s">
        <v>74</v>
      </c>
      <c r="LB341" s="214" t="s">
        <v>67</v>
      </c>
      <c r="LD341" s="22" t="s">
        <v>22429</v>
      </c>
      <c r="LE341" s="22" t="s">
        <v>145</v>
      </c>
      <c r="LF341" s="22" t="s">
        <v>70</v>
      </c>
      <c r="LG341" s="22" t="s">
        <v>67</v>
      </c>
    </row>
    <row r="342" spans="1:319">
      <c r="A342" s="22" t="s">
        <v>22430</v>
      </c>
      <c r="B342" s="22" t="s">
        <v>145</v>
      </c>
      <c r="C342" s="22" t="s">
        <v>70</v>
      </c>
      <c r="D342" s="22" t="s">
        <v>67</v>
      </c>
      <c r="F342" s="99" t="s">
        <v>22431</v>
      </c>
      <c r="G342" s="22" t="s">
        <v>145</v>
      </c>
      <c r="H342" s="22" t="s">
        <v>70</v>
      </c>
      <c r="I342" s="22" t="s">
        <v>67</v>
      </c>
      <c r="K342" s="22" t="s">
        <v>22432</v>
      </c>
      <c r="L342" s="22" t="s">
        <v>145</v>
      </c>
      <c r="M342" s="22" t="s">
        <v>70</v>
      </c>
      <c r="N342" s="22" t="s">
        <v>67</v>
      </c>
      <c r="P342" s="22" t="s">
        <v>22433</v>
      </c>
      <c r="Q342" s="22" t="s">
        <v>145</v>
      </c>
      <c r="R342" s="22" t="s">
        <v>70</v>
      </c>
      <c r="S342" s="22" t="s">
        <v>67</v>
      </c>
      <c r="U342" s="293" t="s">
        <v>22434</v>
      </c>
      <c r="V342" s="293" t="s">
        <v>145</v>
      </c>
      <c r="W342" s="293" t="s">
        <v>74</v>
      </c>
      <c r="X342" s="293" t="s">
        <v>656</v>
      </c>
      <c r="Z342" s="293" t="s">
        <v>22435</v>
      </c>
      <c r="AA342" s="293" t="s">
        <v>145</v>
      </c>
      <c r="AB342" s="293" t="s">
        <v>74</v>
      </c>
      <c r="AC342" s="293" t="s">
        <v>656</v>
      </c>
      <c r="AE342" s="293" t="s">
        <v>22436</v>
      </c>
      <c r="AF342" s="293" t="s">
        <v>145</v>
      </c>
      <c r="AG342" s="293" t="s">
        <v>74</v>
      </c>
      <c r="AH342" s="293" t="s">
        <v>656</v>
      </c>
      <c r="AJ342" s="293" t="s">
        <v>22437</v>
      </c>
      <c r="AK342" s="293" t="s">
        <v>145</v>
      </c>
      <c r="AL342" s="293" t="s">
        <v>74</v>
      </c>
      <c r="AM342" s="293" t="s">
        <v>656</v>
      </c>
      <c r="AO342" s="22" t="s">
        <v>22438</v>
      </c>
      <c r="AP342" s="22" t="s">
        <v>145</v>
      </c>
      <c r="AQ342" s="22" t="s">
        <v>70</v>
      </c>
      <c r="AR342" s="22" t="s">
        <v>67</v>
      </c>
      <c r="AT342" s="22" t="s">
        <v>22439</v>
      </c>
      <c r="AU342" s="22" t="s">
        <v>145</v>
      </c>
      <c r="AV342" s="22" t="s">
        <v>70</v>
      </c>
      <c r="AW342" s="22" t="s">
        <v>67</v>
      </c>
      <c r="AY342" s="22" t="s">
        <v>22440</v>
      </c>
      <c r="AZ342" s="22" t="s">
        <v>145</v>
      </c>
      <c r="BA342" s="22" t="s">
        <v>70</v>
      </c>
      <c r="BB342" s="22" t="s">
        <v>67</v>
      </c>
      <c r="BD342" s="22" t="s">
        <v>22441</v>
      </c>
      <c r="BE342" s="22" t="s">
        <v>145</v>
      </c>
      <c r="BF342" s="22" t="s">
        <v>70</v>
      </c>
      <c r="BG342" s="22" t="s">
        <v>67</v>
      </c>
      <c r="BI342" s="22" t="s">
        <v>22442</v>
      </c>
      <c r="BJ342" s="22" t="s">
        <v>145</v>
      </c>
      <c r="BK342" s="22" t="s">
        <v>70</v>
      </c>
      <c r="BL342" s="22" t="s">
        <v>67</v>
      </c>
      <c r="BN342" s="22" t="s">
        <v>22443</v>
      </c>
      <c r="BO342" s="22" t="s">
        <v>145</v>
      </c>
      <c r="BP342" s="22" t="s">
        <v>70</v>
      </c>
      <c r="BQ342" s="22" t="s">
        <v>67</v>
      </c>
      <c r="BS342" s="22" t="s">
        <v>22444</v>
      </c>
      <c r="BT342" s="22" t="s">
        <v>145</v>
      </c>
      <c r="BU342" s="22" t="s">
        <v>70</v>
      </c>
      <c r="BV342" s="214" t="s">
        <v>530</v>
      </c>
      <c r="BX342" s="22" t="s">
        <v>22445</v>
      </c>
      <c r="BY342" s="22" t="s">
        <v>145</v>
      </c>
      <c r="BZ342" s="22" t="s">
        <v>70</v>
      </c>
      <c r="CA342" s="214" t="s">
        <v>530</v>
      </c>
      <c r="CC342" s="214" t="s">
        <v>22446</v>
      </c>
      <c r="CD342" s="218" t="s">
        <v>52</v>
      </c>
      <c r="CE342" s="214" t="s">
        <v>70</v>
      </c>
      <c r="CF342" s="214" t="s">
        <v>34148</v>
      </c>
      <c r="CH342" s="214" t="s">
        <v>22447</v>
      </c>
      <c r="CI342" s="214" t="s">
        <v>502</v>
      </c>
      <c r="CJ342" s="214" t="s">
        <v>70</v>
      </c>
      <c r="CK342" s="214" t="s">
        <v>530</v>
      </c>
      <c r="CM342" s="214" t="s">
        <v>22448</v>
      </c>
      <c r="CN342" s="214" t="s">
        <v>148</v>
      </c>
      <c r="CO342" s="214" t="s">
        <v>70</v>
      </c>
      <c r="CP342" s="214" t="s">
        <v>530</v>
      </c>
      <c r="CR342" s="214" t="s">
        <v>22449</v>
      </c>
      <c r="CS342" s="214" t="s">
        <v>211</v>
      </c>
      <c r="CT342" s="214" t="s">
        <v>70</v>
      </c>
      <c r="CU342" s="214" t="s">
        <v>530</v>
      </c>
      <c r="CW342" s="214" t="s">
        <v>22450</v>
      </c>
      <c r="CX342" s="214" t="s">
        <v>485</v>
      </c>
      <c r="CY342" s="214" t="s">
        <v>70</v>
      </c>
      <c r="CZ342" s="214" t="s">
        <v>530</v>
      </c>
      <c r="DB342" s="214" t="s">
        <v>22451</v>
      </c>
      <c r="DC342" s="214" t="s">
        <v>34545</v>
      </c>
      <c r="DD342" s="214" t="s">
        <v>70</v>
      </c>
      <c r="DE342" s="214" t="s">
        <v>530</v>
      </c>
      <c r="DG342" s="214" t="s">
        <v>22452</v>
      </c>
      <c r="DH342" s="214" t="s">
        <v>34561</v>
      </c>
      <c r="DI342" s="214" t="s">
        <v>70</v>
      </c>
      <c r="DJ342" s="214" t="s">
        <v>530</v>
      </c>
      <c r="DL342" s="214" t="s">
        <v>22453</v>
      </c>
      <c r="DM342" s="214" t="s">
        <v>148</v>
      </c>
      <c r="DN342" s="214" t="s">
        <v>70</v>
      </c>
      <c r="DO342" s="214" t="s">
        <v>530</v>
      </c>
      <c r="DQ342" s="214" t="s">
        <v>22454</v>
      </c>
      <c r="DR342" s="214" t="s">
        <v>34547</v>
      </c>
      <c r="DS342" s="214" t="s">
        <v>70</v>
      </c>
      <c r="DT342" s="214" t="s">
        <v>530</v>
      </c>
      <c r="DV342" s="214" t="s">
        <v>22455</v>
      </c>
      <c r="DW342" s="214" t="s">
        <v>912</v>
      </c>
      <c r="DX342" s="214" t="s">
        <v>70</v>
      </c>
      <c r="DY342" s="214" t="s">
        <v>530</v>
      </c>
      <c r="EA342" s="214" t="s">
        <v>22456</v>
      </c>
      <c r="EB342" s="214" t="s">
        <v>765</v>
      </c>
      <c r="EC342" s="214" t="s">
        <v>70</v>
      </c>
      <c r="ED342" s="214" t="s">
        <v>530</v>
      </c>
      <c r="EF342" s="214" t="s">
        <v>22457</v>
      </c>
      <c r="EG342" s="214" t="s">
        <v>148</v>
      </c>
      <c r="EH342" s="214" t="s">
        <v>70</v>
      </c>
      <c r="EI342" s="214" t="s">
        <v>530</v>
      </c>
      <c r="EK342" s="214" t="s">
        <v>22458</v>
      </c>
      <c r="EL342" s="214" t="s">
        <v>52</v>
      </c>
      <c r="EM342" s="214" t="s">
        <v>70</v>
      </c>
      <c r="EN342" s="214" t="s">
        <v>530</v>
      </c>
      <c r="EP342" s="214" t="s">
        <v>22459</v>
      </c>
      <c r="EQ342" s="214" t="s">
        <v>34611</v>
      </c>
      <c r="ER342" s="214" t="s">
        <v>70</v>
      </c>
      <c r="ES342" s="214" t="s">
        <v>530</v>
      </c>
      <c r="EU342" s="214" t="s">
        <v>22460</v>
      </c>
      <c r="EV342" s="214" t="s">
        <v>468</v>
      </c>
      <c r="EW342" s="214" t="s">
        <v>70</v>
      </c>
      <c r="EX342" s="214" t="s">
        <v>530</v>
      </c>
      <c r="EZ342" s="214" t="s">
        <v>22461</v>
      </c>
      <c r="FA342" s="214" t="s">
        <v>905</v>
      </c>
      <c r="FB342" s="214" t="s">
        <v>70</v>
      </c>
      <c r="FC342" s="214" t="s">
        <v>530</v>
      </c>
      <c r="FE342" s="214" t="s">
        <v>22462</v>
      </c>
      <c r="FF342" s="214" t="s">
        <v>52</v>
      </c>
      <c r="FG342" s="214" t="s">
        <v>70</v>
      </c>
      <c r="FH342" s="214" t="s">
        <v>530</v>
      </c>
      <c r="FJ342" s="321" t="s">
        <v>22463</v>
      </c>
      <c r="FK342" s="214" t="s">
        <v>163</v>
      </c>
      <c r="FL342" s="214" t="s">
        <v>70</v>
      </c>
      <c r="FM342" s="214" t="s">
        <v>530</v>
      </c>
      <c r="FO342" s="321" t="s">
        <v>22464</v>
      </c>
      <c r="FP342" s="214" t="s">
        <v>910</v>
      </c>
      <c r="FQ342" s="214" t="s">
        <v>70</v>
      </c>
      <c r="FR342" s="214" t="s">
        <v>530</v>
      </c>
      <c r="FT342" s="321" t="s">
        <v>22465</v>
      </c>
      <c r="FU342" s="214" t="s">
        <v>52</v>
      </c>
      <c r="FV342" s="214" t="s">
        <v>70</v>
      </c>
      <c r="FW342" s="214" t="s">
        <v>530</v>
      </c>
      <c r="FY342" s="321" t="s">
        <v>22466</v>
      </c>
      <c r="FZ342" s="214" t="s">
        <v>52</v>
      </c>
      <c r="GA342" s="214" t="s">
        <v>70</v>
      </c>
      <c r="GB342" s="214" t="s">
        <v>530</v>
      </c>
      <c r="GD342" s="321" t="s">
        <v>22467</v>
      </c>
      <c r="GE342" s="214" t="s">
        <v>52</v>
      </c>
      <c r="GF342" s="214" t="s">
        <v>70</v>
      </c>
      <c r="GG342" s="214" t="s">
        <v>530</v>
      </c>
      <c r="GI342" s="321" t="s">
        <v>22468</v>
      </c>
      <c r="GJ342" s="214" t="s">
        <v>34556</v>
      </c>
      <c r="GK342" s="214" t="s">
        <v>70</v>
      </c>
      <c r="GL342" s="214" t="s">
        <v>530</v>
      </c>
      <c r="GN342" s="321" t="s">
        <v>22469</v>
      </c>
      <c r="GO342" s="214" t="s">
        <v>52</v>
      </c>
      <c r="GP342" s="214" t="s">
        <v>70</v>
      </c>
      <c r="GQ342" s="214" t="s">
        <v>530</v>
      </c>
      <c r="GS342" s="321" t="s">
        <v>22470</v>
      </c>
      <c r="GT342" s="214" t="s">
        <v>148</v>
      </c>
      <c r="GU342" s="214" t="s">
        <v>70</v>
      </c>
      <c r="GV342" s="214" t="s">
        <v>530</v>
      </c>
      <c r="GX342" s="214" t="s">
        <v>22471</v>
      </c>
      <c r="GY342" s="214" t="s">
        <v>52</v>
      </c>
      <c r="GZ342" s="214" t="s">
        <v>70</v>
      </c>
      <c r="HA342" s="214" t="s">
        <v>530</v>
      </c>
      <c r="HC342" s="214" t="s">
        <v>22472</v>
      </c>
      <c r="HD342" s="214" t="s">
        <v>912</v>
      </c>
      <c r="HE342" s="214" t="s">
        <v>70</v>
      </c>
      <c r="HF342" s="214" t="s">
        <v>530</v>
      </c>
      <c r="HH342" s="214" t="s">
        <v>22473</v>
      </c>
      <c r="HI342" s="214" t="s">
        <v>85</v>
      </c>
      <c r="HJ342" s="214" t="s">
        <v>70</v>
      </c>
      <c r="HK342" s="214" t="s">
        <v>530</v>
      </c>
      <c r="HM342" s="214" t="s">
        <v>22474</v>
      </c>
      <c r="HN342" s="214" t="s">
        <v>34545</v>
      </c>
      <c r="HO342" s="214" t="s">
        <v>70</v>
      </c>
      <c r="HP342" s="214" t="s">
        <v>530</v>
      </c>
      <c r="HR342" s="22" t="s">
        <v>22475</v>
      </c>
      <c r="HS342" s="22" t="s">
        <v>148</v>
      </c>
      <c r="HT342" s="22" t="s">
        <v>70</v>
      </c>
      <c r="HU342" s="214" t="s">
        <v>530</v>
      </c>
      <c r="HW342" s="22" t="s">
        <v>22476</v>
      </c>
      <c r="HX342" s="22" t="s">
        <v>601</v>
      </c>
      <c r="HY342" s="22" t="s">
        <v>70</v>
      </c>
      <c r="HZ342" s="214" t="s">
        <v>530</v>
      </c>
      <c r="IB342" s="22" t="s">
        <v>22477</v>
      </c>
      <c r="IC342" s="22" t="s">
        <v>919</v>
      </c>
      <c r="ID342" s="22" t="s">
        <v>70</v>
      </c>
      <c r="IE342" s="214" t="s">
        <v>530</v>
      </c>
      <c r="IG342" s="22" t="s">
        <v>22478</v>
      </c>
      <c r="IH342" s="22" t="s">
        <v>52</v>
      </c>
      <c r="II342" s="22" t="s">
        <v>70</v>
      </c>
      <c r="IJ342" s="214" t="s">
        <v>530</v>
      </c>
      <c r="IL342" s="22" t="s">
        <v>22479</v>
      </c>
      <c r="IM342" s="22" t="s">
        <v>145</v>
      </c>
      <c r="IN342" s="22" t="s">
        <v>70</v>
      </c>
      <c r="IO342" s="214" t="s">
        <v>530</v>
      </c>
      <c r="IQ342" s="236" t="s">
        <v>22480</v>
      </c>
      <c r="IR342" s="236" t="s">
        <v>145</v>
      </c>
      <c r="IS342" s="236" t="s">
        <v>74</v>
      </c>
      <c r="IT342" s="236" t="s">
        <v>841</v>
      </c>
      <c r="IV342" s="236" t="s">
        <v>22481</v>
      </c>
      <c r="IW342" s="236" t="s">
        <v>145</v>
      </c>
      <c r="IX342" s="236" t="s">
        <v>74</v>
      </c>
      <c r="IY342" s="236" t="s">
        <v>841</v>
      </c>
      <c r="JA342" s="236" t="s">
        <v>22482</v>
      </c>
      <c r="JB342" s="236" t="s">
        <v>145</v>
      </c>
      <c r="JC342" s="236" t="s">
        <v>74</v>
      </c>
      <c r="JD342" s="236" t="s">
        <v>841</v>
      </c>
      <c r="JF342" s="236" t="s">
        <v>22483</v>
      </c>
      <c r="JG342" s="236" t="s">
        <v>145</v>
      </c>
      <c r="JH342" s="236" t="s">
        <v>74</v>
      </c>
      <c r="JI342" s="236" t="s">
        <v>841</v>
      </c>
      <c r="JK342" s="236" t="s">
        <v>22484</v>
      </c>
      <c r="JL342" s="236" t="s">
        <v>145</v>
      </c>
      <c r="JM342" s="236" t="s">
        <v>74</v>
      </c>
      <c r="JN342" s="236" t="s">
        <v>841</v>
      </c>
      <c r="JP342" s="236" t="s">
        <v>22485</v>
      </c>
      <c r="JQ342" s="236" t="s">
        <v>145</v>
      </c>
      <c r="JR342" s="236" t="s">
        <v>74</v>
      </c>
      <c r="JS342" s="236" t="s">
        <v>841</v>
      </c>
      <c r="JU342" s="294" t="s">
        <v>22486</v>
      </c>
      <c r="JV342" s="294" t="s">
        <v>52</v>
      </c>
      <c r="JW342" s="263" t="s">
        <v>70</v>
      </c>
      <c r="JX342" s="294" t="s">
        <v>1083</v>
      </c>
      <c r="JZ342" s="263" t="s">
        <v>22487</v>
      </c>
      <c r="KA342" s="263" t="s">
        <v>145</v>
      </c>
      <c r="KB342" s="263" t="s">
        <v>70</v>
      </c>
      <c r="KC342" s="263" t="s">
        <v>1083</v>
      </c>
      <c r="KE342" s="263" t="s">
        <v>22488</v>
      </c>
      <c r="KF342" s="263" t="s">
        <v>52</v>
      </c>
      <c r="KG342" s="263" t="s">
        <v>70</v>
      </c>
      <c r="KH342" s="263" t="s">
        <v>1083</v>
      </c>
      <c r="KJ342" s="263" t="s">
        <v>22489</v>
      </c>
      <c r="KK342" s="263" t="s">
        <v>52</v>
      </c>
      <c r="KL342" s="263" t="s">
        <v>74</v>
      </c>
      <c r="KM342" s="263" t="s">
        <v>34074</v>
      </c>
      <c r="KO342" s="214" t="s">
        <v>22490</v>
      </c>
      <c r="KP342" s="214" t="s">
        <v>145</v>
      </c>
      <c r="KQ342" s="214" t="s">
        <v>70</v>
      </c>
      <c r="KR342" s="214" t="s">
        <v>67</v>
      </c>
      <c r="KT342" s="22" t="s">
        <v>22491</v>
      </c>
      <c r="KU342" s="22" t="s">
        <v>145</v>
      </c>
      <c r="KV342" s="22" t="s">
        <v>70</v>
      </c>
      <c r="KW342" s="22" t="s">
        <v>67</v>
      </c>
      <c r="KY342" s="214" t="s">
        <v>22492</v>
      </c>
      <c r="KZ342" s="214" t="s">
        <v>52</v>
      </c>
      <c r="LA342" s="214" t="s">
        <v>74</v>
      </c>
      <c r="LB342" s="214" t="s">
        <v>67</v>
      </c>
      <c r="LD342" s="22" t="s">
        <v>22493</v>
      </c>
      <c r="LE342" s="22" t="s">
        <v>145</v>
      </c>
      <c r="LF342" s="22" t="s">
        <v>70</v>
      </c>
      <c r="LG342" s="22" t="s">
        <v>67</v>
      </c>
    </row>
    <row r="343" spans="1:319">
      <c r="A343" s="22" t="s">
        <v>22494</v>
      </c>
      <c r="B343" s="22" t="s">
        <v>145</v>
      </c>
      <c r="C343" s="22" t="s">
        <v>70</v>
      </c>
      <c r="D343" s="22" t="s">
        <v>67</v>
      </c>
      <c r="F343" s="99" t="s">
        <v>22495</v>
      </c>
      <c r="G343" s="22" t="s">
        <v>145</v>
      </c>
      <c r="H343" s="22" t="s">
        <v>70</v>
      </c>
      <c r="I343" s="22" t="s">
        <v>67</v>
      </c>
      <c r="K343" s="22" t="s">
        <v>22496</v>
      </c>
      <c r="L343" s="22" t="s">
        <v>145</v>
      </c>
      <c r="M343" s="22" t="s">
        <v>70</v>
      </c>
      <c r="N343" s="22" t="s">
        <v>67</v>
      </c>
      <c r="P343" s="22" t="s">
        <v>22497</v>
      </c>
      <c r="Q343" s="22" t="s">
        <v>145</v>
      </c>
      <c r="R343" s="22" t="s">
        <v>70</v>
      </c>
      <c r="S343" s="22" t="s">
        <v>67</v>
      </c>
      <c r="U343" s="293" t="s">
        <v>22498</v>
      </c>
      <c r="V343" s="293" t="s">
        <v>145</v>
      </c>
      <c r="W343" s="293" t="s">
        <v>74</v>
      </c>
      <c r="X343" s="293" t="s">
        <v>656</v>
      </c>
      <c r="Z343" s="293" t="s">
        <v>22499</v>
      </c>
      <c r="AA343" s="293" t="s">
        <v>145</v>
      </c>
      <c r="AB343" s="293" t="s">
        <v>74</v>
      </c>
      <c r="AC343" s="293" t="s">
        <v>656</v>
      </c>
      <c r="AE343" s="293" t="s">
        <v>22500</v>
      </c>
      <c r="AF343" s="293" t="s">
        <v>145</v>
      </c>
      <c r="AG343" s="293" t="s">
        <v>74</v>
      </c>
      <c r="AH343" s="293" t="s">
        <v>656</v>
      </c>
      <c r="AJ343" s="293" t="s">
        <v>22501</v>
      </c>
      <c r="AK343" s="293" t="s">
        <v>145</v>
      </c>
      <c r="AL343" s="293" t="s">
        <v>74</v>
      </c>
      <c r="AM343" s="293" t="s">
        <v>656</v>
      </c>
      <c r="AO343" s="22" t="s">
        <v>22502</v>
      </c>
      <c r="AP343" s="22" t="s">
        <v>145</v>
      </c>
      <c r="AQ343" s="22" t="s">
        <v>70</v>
      </c>
      <c r="AR343" s="22" t="s">
        <v>67</v>
      </c>
      <c r="AT343" s="22" t="s">
        <v>22503</v>
      </c>
      <c r="AU343" s="22" t="s">
        <v>145</v>
      </c>
      <c r="AV343" s="22" t="s">
        <v>70</v>
      </c>
      <c r="AW343" s="22" t="s">
        <v>67</v>
      </c>
      <c r="AY343" s="22" t="s">
        <v>22504</v>
      </c>
      <c r="AZ343" s="22" t="s">
        <v>145</v>
      </c>
      <c r="BA343" s="22" t="s">
        <v>70</v>
      </c>
      <c r="BB343" s="22" t="s">
        <v>67</v>
      </c>
      <c r="BD343" s="22" t="s">
        <v>22505</v>
      </c>
      <c r="BE343" s="22" t="s">
        <v>145</v>
      </c>
      <c r="BF343" s="22" t="s">
        <v>70</v>
      </c>
      <c r="BG343" s="22" t="s">
        <v>67</v>
      </c>
      <c r="BI343" s="22" t="s">
        <v>22506</v>
      </c>
      <c r="BJ343" s="22" t="s">
        <v>145</v>
      </c>
      <c r="BK343" s="22" t="s">
        <v>70</v>
      </c>
      <c r="BL343" s="22" t="s">
        <v>67</v>
      </c>
      <c r="BN343" s="22" t="s">
        <v>22507</v>
      </c>
      <c r="BO343" s="22" t="s">
        <v>145</v>
      </c>
      <c r="BP343" s="22" t="s">
        <v>70</v>
      </c>
      <c r="BQ343" s="22" t="s">
        <v>67</v>
      </c>
      <c r="BS343" s="22" t="s">
        <v>22508</v>
      </c>
      <c r="BT343" s="22" t="s">
        <v>145</v>
      </c>
      <c r="BU343" s="22" t="s">
        <v>70</v>
      </c>
      <c r="BV343" s="214" t="s">
        <v>530</v>
      </c>
      <c r="BX343" s="22" t="s">
        <v>22509</v>
      </c>
      <c r="BY343" s="22" t="s">
        <v>145</v>
      </c>
      <c r="BZ343" s="22" t="s">
        <v>70</v>
      </c>
      <c r="CA343" s="214" t="s">
        <v>530</v>
      </c>
      <c r="CC343" s="214" t="s">
        <v>22510</v>
      </c>
      <c r="CD343" s="218" t="s">
        <v>601</v>
      </c>
      <c r="CE343" s="214" t="s">
        <v>70</v>
      </c>
      <c r="CF343" s="214" t="s">
        <v>34149</v>
      </c>
      <c r="CH343" s="214" t="s">
        <v>22511</v>
      </c>
      <c r="CI343" s="214" t="s">
        <v>484</v>
      </c>
      <c r="CJ343" s="214" t="s">
        <v>70</v>
      </c>
      <c r="CK343" s="214" t="s">
        <v>530</v>
      </c>
      <c r="CM343" s="214" t="s">
        <v>22512</v>
      </c>
      <c r="CN343" s="214" t="s">
        <v>486</v>
      </c>
      <c r="CO343" s="214" t="s">
        <v>70</v>
      </c>
      <c r="CP343" s="214" t="s">
        <v>530</v>
      </c>
      <c r="CR343" s="214" t="s">
        <v>22513</v>
      </c>
      <c r="CS343" s="214" t="s">
        <v>798</v>
      </c>
      <c r="CT343" s="214" t="s">
        <v>70</v>
      </c>
      <c r="CU343" s="214" t="s">
        <v>530</v>
      </c>
      <c r="CW343" s="214" t="s">
        <v>22514</v>
      </c>
      <c r="CX343" s="214" t="s">
        <v>146</v>
      </c>
      <c r="CY343" s="214" t="s">
        <v>70</v>
      </c>
      <c r="CZ343" s="214" t="s">
        <v>530</v>
      </c>
      <c r="DB343" s="214" t="s">
        <v>22515</v>
      </c>
      <c r="DC343" s="214" t="s">
        <v>34561</v>
      </c>
      <c r="DD343" s="214" t="s">
        <v>70</v>
      </c>
      <c r="DE343" s="214" t="s">
        <v>530</v>
      </c>
      <c r="DG343" s="214" t="s">
        <v>22516</v>
      </c>
      <c r="DH343" s="214" t="s">
        <v>490</v>
      </c>
      <c r="DI343" s="214" t="s">
        <v>70</v>
      </c>
      <c r="DJ343" s="214" t="s">
        <v>530</v>
      </c>
      <c r="DL343" s="214" t="s">
        <v>22517</v>
      </c>
      <c r="DM343" s="214" t="s">
        <v>34542</v>
      </c>
      <c r="DN343" s="214" t="s">
        <v>70</v>
      </c>
      <c r="DO343" s="214" t="s">
        <v>530</v>
      </c>
      <c r="DQ343" s="214" t="s">
        <v>22518</v>
      </c>
      <c r="DR343" s="214" t="s">
        <v>486</v>
      </c>
      <c r="DS343" s="214" t="s">
        <v>70</v>
      </c>
      <c r="DT343" s="214" t="s">
        <v>530</v>
      </c>
      <c r="DV343" s="214" t="s">
        <v>22519</v>
      </c>
      <c r="DW343" s="214" t="s">
        <v>34548</v>
      </c>
      <c r="DX343" s="214" t="s">
        <v>70</v>
      </c>
      <c r="DY343" s="214" t="s">
        <v>530</v>
      </c>
      <c r="EA343" s="214" t="s">
        <v>22520</v>
      </c>
      <c r="EB343" s="214" t="s">
        <v>287</v>
      </c>
      <c r="EC343" s="214" t="s">
        <v>70</v>
      </c>
      <c r="ED343" s="214" t="s">
        <v>530</v>
      </c>
      <c r="EF343" s="214" t="s">
        <v>22521</v>
      </c>
      <c r="EG343" s="214" t="s">
        <v>921</v>
      </c>
      <c r="EH343" s="214" t="s">
        <v>70</v>
      </c>
      <c r="EI343" s="214" t="s">
        <v>530</v>
      </c>
      <c r="EK343" s="214" t="s">
        <v>22522</v>
      </c>
      <c r="EL343" s="214" t="s">
        <v>485</v>
      </c>
      <c r="EM343" s="214" t="s">
        <v>70</v>
      </c>
      <c r="EN343" s="214" t="s">
        <v>530</v>
      </c>
      <c r="EP343" s="214" t="s">
        <v>22523</v>
      </c>
      <c r="EQ343" s="214" t="s">
        <v>34557</v>
      </c>
      <c r="ER343" s="214" t="s">
        <v>70</v>
      </c>
      <c r="ES343" s="214" t="s">
        <v>530</v>
      </c>
      <c r="EU343" s="214" t="s">
        <v>22524</v>
      </c>
      <c r="EV343" s="214" t="s">
        <v>146</v>
      </c>
      <c r="EW343" s="214" t="s">
        <v>70</v>
      </c>
      <c r="EX343" s="214" t="s">
        <v>530</v>
      </c>
      <c r="EZ343" s="214" t="s">
        <v>22525</v>
      </c>
      <c r="FA343" s="214" t="s">
        <v>501</v>
      </c>
      <c r="FB343" s="214" t="s">
        <v>70</v>
      </c>
      <c r="FC343" s="214" t="s">
        <v>530</v>
      </c>
      <c r="FE343" s="214" t="s">
        <v>22526</v>
      </c>
      <c r="FF343" s="214" t="s">
        <v>52</v>
      </c>
      <c r="FG343" s="214" t="s">
        <v>70</v>
      </c>
      <c r="FH343" s="214" t="s">
        <v>530</v>
      </c>
      <c r="FJ343" s="321" t="s">
        <v>22527</v>
      </c>
      <c r="FK343" s="214" t="s">
        <v>34544</v>
      </c>
      <c r="FL343" s="214" t="s">
        <v>70</v>
      </c>
      <c r="FM343" s="214" t="s">
        <v>530</v>
      </c>
      <c r="FO343" s="321" t="s">
        <v>22528</v>
      </c>
      <c r="FP343" s="214" t="s">
        <v>206</v>
      </c>
      <c r="FQ343" s="214" t="s">
        <v>70</v>
      </c>
      <c r="FR343" s="214" t="s">
        <v>530</v>
      </c>
      <c r="FT343" s="321" t="s">
        <v>22529</v>
      </c>
      <c r="FU343" s="214" t="s">
        <v>203</v>
      </c>
      <c r="FV343" s="214" t="s">
        <v>70</v>
      </c>
      <c r="FW343" s="214" t="s">
        <v>530</v>
      </c>
      <c r="FY343" s="321" t="s">
        <v>22530</v>
      </c>
      <c r="FZ343" s="214" t="s">
        <v>502</v>
      </c>
      <c r="GA343" s="214" t="s">
        <v>70</v>
      </c>
      <c r="GB343" s="214" t="s">
        <v>530</v>
      </c>
      <c r="GD343" s="321" t="s">
        <v>22531</v>
      </c>
      <c r="GE343" s="214" t="s">
        <v>944</v>
      </c>
      <c r="GF343" s="214" t="s">
        <v>70</v>
      </c>
      <c r="GG343" s="214" t="s">
        <v>530</v>
      </c>
      <c r="GI343" s="321" t="s">
        <v>22532</v>
      </c>
      <c r="GJ343" s="214" t="s">
        <v>34541</v>
      </c>
      <c r="GK343" s="214" t="s">
        <v>70</v>
      </c>
      <c r="GL343" s="214" t="s">
        <v>530</v>
      </c>
      <c r="GN343" s="321" t="s">
        <v>22533</v>
      </c>
      <c r="GO343" s="214" t="s">
        <v>203</v>
      </c>
      <c r="GP343" s="214" t="s">
        <v>70</v>
      </c>
      <c r="GQ343" s="214" t="s">
        <v>530</v>
      </c>
      <c r="GS343" s="321" t="s">
        <v>22534</v>
      </c>
      <c r="GT343" s="214" t="s">
        <v>950</v>
      </c>
      <c r="GU343" s="214" t="s">
        <v>70</v>
      </c>
      <c r="GV343" s="214" t="s">
        <v>530</v>
      </c>
      <c r="GX343" s="214" t="s">
        <v>22535</v>
      </c>
      <c r="GY343" s="214" t="s">
        <v>34553</v>
      </c>
      <c r="GZ343" s="214" t="s">
        <v>70</v>
      </c>
      <c r="HA343" s="214" t="s">
        <v>530</v>
      </c>
      <c r="HC343" s="214" t="s">
        <v>22536</v>
      </c>
      <c r="HD343" s="214" t="s">
        <v>484</v>
      </c>
      <c r="HE343" s="214" t="s">
        <v>70</v>
      </c>
      <c r="HF343" s="214" t="s">
        <v>530</v>
      </c>
      <c r="HH343" s="214" t="s">
        <v>22537</v>
      </c>
      <c r="HI343" s="214" t="s">
        <v>486</v>
      </c>
      <c r="HJ343" s="214" t="s">
        <v>70</v>
      </c>
      <c r="HK343" s="214" t="s">
        <v>530</v>
      </c>
      <c r="HM343" s="214" t="s">
        <v>22538</v>
      </c>
      <c r="HN343" s="214" t="s">
        <v>34542</v>
      </c>
      <c r="HO343" s="214" t="s">
        <v>70</v>
      </c>
      <c r="HP343" s="214" t="s">
        <v>530</v>
      </c>
      <c r="HR343" s="22" t="s">
        <v>22539</v>
      </c>
      <c r="HS343" s="22" t="s">
        <v>34542</v>
      </c>
      <c r="HT343" s="22" t="s">
        <v>70</v>
      </c>
      <c r="HU343" s="214" t="s">
        <v>530</v>
      </c>
      <c r="HW343" s="22" t="s">
        <v>22540</v>
      </c>
      <c r="HX343" s="22" t="s">
        <v>798</v>
      </c>
      <c r="HY343" s="22" t="s">
        <v>70</v>
      </c>
      <c r="HZ343" s="214" t="s">
        <v>530</v>
      </c>
      <c r="IB343" s="22" t="s">
        <v>22541</v>
      </c>
      <c r="IC343" s="22" t="s">
        <v>146</v>
      </c>
      <c r="ID343" s="22" t="s">
        <v>70</v>
      </c>
      <c r="IE343" s="214" t="s">
        <v>530</v>
      </c>
      <c r="IG343" s="22" t="s">
        <v>22542</v>
      </c>
      <c r="IH343" s="22" t="s">
        <v>52</v>
      </c>
      <c r="II343" s="22" t="s">
        <v>70</v>
      </c>
      <c r="IJ343" s="214" t="s">
        <v>530</v>
      </c>
      <c r="IL343" s="22" t="s">
        <v>22543</v>
      </c>
      <c r="IM343" s="22" t="s">
        <v>145</v>
      </c>
      <c r="IN343" s="22" t="s">
        <v>70</v>
      </c>
      <c r="IO343" s="214" t="s">
        <v>530</v>
      </c>
      <c r="IQ343" s="236" t="s">
        <v>22544</v>
      </c>
      <c r="IR343" s="236" t="s">
        <v>145</v>
      </c>
      <c r="IS343" s="236" t="s">
        <v>74</v>
      </c>
      <c r="IT343" s="236" t="s">
        <v>841</v>
      </c>
      <c r="IV343" s="236" t="s">
        <v>22545</v>
      </c>
      <c r="IW343" s="236" t="s">
        <v>145</v>
      </c>
      <c r="IX343" s="236" t="s">
        <v>74</v>
      </c>
      <c r="IY343" s="236" t="s">
        <v>841</v>
      </c>
      <c r="JA343" s="236" t="s">
        <v>22546</v>
      </c>
      <c r="JB343" s="236" t="s">
        <v>145</v>
      </c>
      <c r="JC343" s="236" t="s">
        <v>74</v>
      </c>
      <c r="JD343" s="236" t="s">
        <v>841</v>
      </c>
      <c r="JF343" s="236" t="s">
        <v>22547</v>
      </c>
      <c r="JG343" s="236" t="s">
        <v>145</v>
      </c>
      <c r="JH343" s="236" t="s">
        <v>74</v>
      </c>
      <c r="JI343" s="236" t="s">
        <v>841</v>
      </c>
      <c r="JK343" s="236" t="s">
        <v>22548</v>
      </c>
      <c r="JL343" s="236" t="s">
        <v>145</v>
      </c>
      <c r="JM343" s="236" t="s">
        <v>74</v>
      </c>
      <c r="JN343" s="236" t="s">
        <v>841</v>
      </c>
      <c r="JP343" s="236" t="s">
        <v>22549</v>
      </c>
      <c r="JQ343" s="236" t="s">
        <v>145</v>
      </c>
      <c r="JR343" s="236" t="s">
        <v>74</v>
      </c>
      <c r="JS343" s="236" t="s">
        <v>841</v>
      </c>
      <c r="JU343" s="294" t="s">
        <v>22550</v>
      </c>
      <c r="JV343" s="294" t="s">
        <v>52</v>
      </c>
      <c r="JW343" s="263" t="s">
        <v>70</v>
      </c>
      <c r="JX343" s="294" t="s">
        <v>1083</v>
      </c>
      <c r="JZ343" s="263" t="s">
        <v>22551</v>
      </c>
      <c r="KA343" s="263" t="s">
        <v>145</v>
      </c>
      <c r="KB343" s="263" t="s">
        <v>70</v>
      </c>
      <c r="KC343" s="263" t="s">
        <v>1083</v>
      </c>
      <c r="KE343" s="263" t="s">
        <v>22552</v>
      </c>
      <c r="KF343" s="263" t="s">
        <v>52</v>
      </c>
      <c r="KG343" s="263" t="s">
        <v>70</v>
      </c>
      <c r="KH343" s="263" t="s">
        <v>1083</v>
      </c>
      <c r="KJ343" s="263" t="s">
        <v>22553</v>
      </c>
      <c r="KK343" s="263" t="s">
        <v>52</v>
      </c>
      <c r="KL343" s="263" t="s">
        <v>74</v>
      </c>
      <c r="KM343" s="263" t="s">
        <v>34074</v>
      </c>
      <c r="KO343" s="214" t="s">
        <v>22554</v>
      </c>
      <c r="KP343" s="214" t="s">
        <v>145</v>
      </c>
      <c r="KQ343" s="214" t="s">
        <v>70</v>
      </c>
      <c r="KR343" s="214" t="s">
        <v>67</v>
      </c>
      <c r="KT343" s="22" t="s">
        <v>22555</v>
      </c>
      <c r="KU343" s="22" t="s">
        <v>145</v>
      </c>
      <c r="KV343" s="22" t="s">
        <v>70</v>
      </c>
      <c r="KW343" s="22" t="s">
        <v>67</v>
      </c>
      <c r="KY343" s="214" t="s">
        <v>22556</v>
      </c>
      <c r="KZ343" s="214" t="s">
        <v>52</v>
      </c>
      <c r="LA343" s="214" t="s">
        <v>74</v>
      </c>
      <c r="LB343" s="214" t="s">
        <v>67</v>
      </c>
      <c r="LD343" s="22" t="s">
        <v>22557</v>
      </c>
      <c r="LE343" s="22" t="s">
        <v>145</v>
      </c>
      <c r="LF343" s="22" t="s">
        <v>70</v>
      </c>
      <c r="LG343" s="22" t="s">
        <v>67</v>
      </c>
    </row>
    <row r="344" spans="1:319">
      <c r="A344" s="22" t="s">
        <v>22558</v>
      </c>
      <c r="B344" s="22" t="s">
        <v>145</v>
      </c>
      <c r="C344" s="22" t="s">
        <v>70</v>
      </c>
      <c r="D344" s="22" t="s">
        <v>67</v>
      </c>
      <c r="F344" s="99" t="s">
        <v>22559</v>
      </c>
      <c r="G344" s="22" t="s">
        <v>145</v>
      </c>
      <c r="H344" s="22" t="s">
        <v>70</v>
      </c>
      <c r="I344" s="22" t="s">
        <v>67</v>
      </c>
      <c r="K344" s="22" t="s">
        <v>22560</v>
      </c>
      <c r="L344" s="22" t="s">
        <v>145</v>
      </c>
      <c r="M344" s="22" t="s">
        <v>70</v>
      </c>
      <c r="N344" s="22" t="s">
        <v>67</v>
      </c>
      <c r="P344" s="22" t="s">
        <v>22561</v>
      </c>
      <c r="Q344" s="22" t="s">
        <v>145</v>
      </c>
      <c r="R344" s="22" t="s">
        <v>70</v>
      </c>
      <c r="S344" s="22" t="s">
        <v>67</v>
      </c>
      <c r="U344" s="293" t="s">
        <v>22562</v>
      </c>
      <c r="V344" s="293" t="s">
        <v>145</v>
      </c>
      <c r="W344" s="293" t="s">
        <v>74</v>
      </c>
      <c r="X344" s="293" t="s">
        <v>656</v>
      </c>
      <c r="Z344" s="293" t="s">
        <v>22563</v>
      </c>
      <c r="AA344" s="293" t="s">
        <v>145</v>
      </c>
      <c r="AB344" s="293" t="s">
        <v>74</v>
      </c>
      <c r="AC344" s="293" t="s">
        <v>656</v>
      </c>
      <c r="AE344" s="293" t="s">
        <v>22564</v>
      </c>
      <c r="AF344" s="293" t="s">
        <v>145</v>
      </c>
      <c r="AG344" s="293" t="s">
        <v>74</v>
      </c>
      <c r="AH344" s="293" t="s">
        <v>656</v>
      </c>
      <c r="AJ344" s="293" t="s">
        <v>22565</v>
      </c>
      <c r="AK344" s="293" t="s">
        <v>145</v>
      </c>
      <c r="AL344" s="293" t="s">
        <v>74</v>
      </c>
      <c r="AM344" s="293" t="s">
        <v>656</v>
      </c>
      <c r="AO344" s="22" t="s">
        <v>22566</v>
      </c>
      <c r="AP344" s="22" t="s">
        <v>145</v>
      </c>
      <c r="AQ344" s="22" t="s">
        <v>70</v>
      </c>
      <c r="AR344" s="22" t="s">
        <v>67</v>
      </c>
      <c r="AT344" s="22" t="s">
        <v>22567</v>
      </c>
      <c r="AU344" s="22" t="s">
        <v>145</v>
      </c>
      <c r="AV344" s="22" t="s">
        <v>70</v>
      </c>
      <c r="AW344" s="22" t="s">
        <v>67</v>
      </c>
      <c r="AY344" s="22" t="s">
        <v>22568</v>
      </c>
      <c r="AZ344" s="22" t="s">
        <v>145</v>
      </c>
      <c r="BA344" s="22" t="s">
        <v>70</v>
      </c>
      <c r="BB344" s="22" t="s">
        <v>67</v>
      </c>
      <c r="BD344" s="22" t="s">
        <v>22569</v>
      </c>
      <c r="BE344" s="22" t="s">
        <v>145</v>
      </c>
      <c r="BF344" s="22" t="s">
        <v>70</v>
      </c>
      <c r="BG344" s="22" t="s">
        <v>67</v>
      </c>
      <c r="BI344" s="22" t="s">
        <v>22570</v>
      </c>
      <c r="BJ344" s="22" t="s">
        <v>145</v>
      </c>
      <c r="BK344" s="22" t="s">
        <v>70</v>
      </c>
      <c r="BL344" s="22" t="s">
        <v>67</v>
      </c>
      <c r="BN344" s="22" t="s">
        <v>22571</v>
      </c>
      <c r="BO344" s="22" t="s">
        <v>145</v>
      </c>
      <c r="BP344" s="22" t="s">
        <v>70</v>
      </c>
      <c r="BQ344" s="22" t="s">
        <v>67</v>
      </c>
      <c r="BS344" s="22" t="s">
        <v>22572</v>
      </c>
      <c r="BT344" s="22" t="s">
        <v>145</v>
      </c>
      <c r="BU344" s="22" t="s">
        <v>70</v>
      </c>
      <c r="BV344" s="214" t="s">
        <v>530</v>
      </c>
      <c r="BX344" s="22" t="s">
        <v>22573</v>
      </c>
      <c r="BY344" s="22" t="s">
        <v>145</v>
      </c>
      <c r="BZ344" s="22" t="s">
        <v>70</v>
      </c>
      <c r="CA344" s="214" t="s">
        <v>530</v>
      </c>
      <c r="CC344" s="214" t="s">
        <v>22574</v>
      </c>
      <c r="CD344" s="218" t="s">
        <v>34608</v>
      </c>
      <c r="CE344" s="214" t="s">
        <v>70</v>
      </c>
      <c r="CF344" s="214" t="s">
        <v>34150</v>
      </c>
      <c r="CH344" s="214" t="s">
        <v>22575</v>
      </c>
      <c r="CI344" s="214" t="s">
        <v>52</v>
      </c>
      <c r="CJ344" s="214" t="s">
        <v>70</v>
      </c>
      <c r="CK344" s="214" t="s">
        <v>530</v>
      </c>
      <c r="CM344" s="214" t="s">
        <v>22576</v>
      </c>
      <c r="CN344" s="214" t="s">
        <v>912</v>
      </c>
      <c r="CO344" s="214" t="s">
        <v>70</v>
      </c>
      <c r="CP344" s="214" t="s">
        <v>530</v>
      </c>
      <c r="CR344" s="214" t="s">
        <v>22577</v>
      </c>
      <c r="CS344" s="214" t="s">
        <v>52</v>
      </c>
      <c r="CT344" s="214" t="s">
        <v>70</v>
      </c>
      <c r="CU344" s="214" t="s">
        <v>530</v>
      </c>
      <c r="CW344" s="214" t="s">
        <v>22578</v>
      </c>
      <c r="CX344" s="214" t="s">
        <v>85</v>
      </c>
      <c r="CY344" s="214" t="s">
        <v>70</v>
      </c>
      <c r="CZ344" s="214" t="s">
        <v>530</v>
      </c>
      <c r="DB344" s="214" t="s">
        <v>22579</v>
      </c>
      <c r="DC344" s="214" t="s">
        <v>146</v>
      </c>
      <c r="DD344" s="214" t="s">
        <v>70</v>
      </c>
      <c r="DE344" s="214" t="s">
        <v>530</v>
      </c>
      <c r="DG344" s="214" t="s">
        <v>22580</v>
      </c>
      <c r="DH344" s="214" t="s">
        <v>103</v>
      </c>
      <c r="DI344" s="214" t="s">
        <v>70</v>
      </c>
      <c r="DJ344" s="214" t="s">
        <v>530</v>
      </c>
      <c r="DL344" s="214" t="s">
        <v>22581</v>
      </c>
      <c r="DM344" s="214" t="s">
        <v>286</v>
      </c>
      <c r="DN344" s="214" t="s">
        <v>70</v>
      </c>
      <c r="DO344" s="214" t="s">
        <v>530</v>
      </c>
      <c r="DQ344" s="214" t="s">
        <v>22582</v>
      </c>
      <c r="DR344" s="214" t="s">
        <v>205</v>
      </c>
      <c r="DS344" s="214" t="s">
        <v>70</v>
      </c>
      <c r="DT344" s="214" t="s">
        <v>530</v>
      </c>
      <c r="DV344" s="214" t="s">
        <v>22583</v>
      </c>
      <c r="DW344" s="214" t="s">
        <v>655</v>
      </c>
      <c r="DX344" s="214" t="s">
        <v>70</v>
      </c>
      <c r="DY344" s="214" t="s">
        <v>530</v>
      </c>
      <c r="EA344" s="214" t="s">
        <v>22584</v>
      </c>
      <c r="EB344" s="214" t="s">
        <v>52</v>
      </c>
      <c r="EC344" s="214" t="s">
        <v>70</v>
      </c>
      <c r="ED344" s="214" t="s">
        <v>530</v>
      </c>
      <c r="EF344" s="214" t="s">
        <v>22585</v>
      </c>
      <c r="EG344" s="214" t="s">
        <v>34550</v>
      </c>
      <c r="EH344" s="214" t="s">
        <v>70</v>
      </c>
      <c r="EI344" s="214" t="s">
        <v>530</v>
      </c>
      <c r="EK344" s="214" t="s">
        <v>22586</v>
      </c>
      <c r="EL344" s="214" t="s">
        <v>163</v>
      </c>
      <c r="EM344" s="214" t="s">
        <v>70</v>
      </c>
      <c r="EN344" s="214" t="s">
        <v>530</v>
      </c>
      <c r="EP344" s="214" t="s">
        <v>22587</v>
      </c>
      <c r="EQ344" s="214" t="s">
        <v>164</v>
      </c>
      <c r="ER344" s="214" t="s">
        <v>70</v>
      </c>
      <c r="ES344" s="214" t="s">
        <v>530</v>
      </c>
      <c r="EU344" s="214" t="s">
        <v>22588</v>
      </c>
      <c r="EV344" s="214" t="s">
        <v>52</v>
      </c>
      <c r="EW344" s="214" t="s">
        <v>70</v>
      </c>
      <c r="EX344" s="214" t="s">
        <v>530</v>
      </c>
      <c r="EZ344" s="214" t="s">
        <v>22589</v>
      </c>
      <c r="FA344" s="214" t="s">
        <v>163</v>
      </c>
      <c r="FB344" s="214" t="s">
        <v>70</v>
      </c>
      <c r="FC344" s="214" t="s">
        <v>530</v>
      </c>
      <c r="FE344" s="214" t="s">
        <v>22590</v>
      </c>
      <c r="FF344" s="214" t="s">
        <v>52</v>
      </c>
      <c r="FG344" s="214" t="s">
        <v>70</v>
      </c>
      <c r="FH344" s="214" t="s">
        <v>530</v>
      </c>
      <c r="FJ344" s="321" t="s">
        <v>22591</v>
      </c>
      <c r="FK344" s="214" t="s">
        <v>52</v>
      </c>
      <c r="FL344" s="214" t="s">
        <v>70</v>
      </c>
      <c r="FM344" s="214" t="s">
        <v>530</v>
      </c>
      <c r="FO344" s="321" t="s">
        <v>22592</v>
      </c>
      <c r="FP344" s="214" t="s">
        <v>949</v>
      </c>
      <c r="FQ344" s="214" t="s">
        <v>70</v>
      </c>
      <c r="FR344" s="214" t="s">
        <v>530</v>
      </c>
      <c r="FT344" s="321" t="s">
        <v>22593</v>
      </c>
      <c r="FU344" s="214" t="s">
        <v>34648</v>
      </c>
      <c r="FV344" s="214" t="s">
        <v>70</v>
      </c>
      <c r="FW344" s="214" t="s">
        <v>530</v>
      </c>
      <c r="FY344" s="321" t="s">
        <v>22594</v>
      </c>
      <c r="FZ344" s="214" t="s">
        <v>604</v>
      </c>
      <c r="GA344" s="214" t="s">
        <v>70</v>
      </c>
      <c r="GB344" s="214" t="s">
        <v>530</v>
      </c>
      <c r="GD344" s="321" t="s">
        <v>22595</v>
      </c>
      <c r="GE344" s="214" t="s">
        <v>163</v>
      </c>
      <c r="GF344" s="214" t="s">
        <v>70</v>
      </c>
      <c r="GG344" s="214" t="s">
        <v>530</v>
      </c>
      <c r="GI344" s="321" t="s">
        <v>22596</v>
      </c>
      <c r="GJ344" s="214" t="s">
        <v>946</v>
      </c>
      <c r="GK344" s="214" t="s">
        <v>70</v>
      </c>
      <c r="GL344" s="214" t="s">
        <v>530</v>
      </c>
      <c r="GN344" s="321" t="s">
        <v>22597</v>
      </c>
      <c r="GO344" s="214" t="s">
        <v>655</v>
      </c>
      <c r="GP344" s="214" t="s">
        <v>70</v>
      </c>
      <c r="GQ344" s="214" t="s">
        <v>530</v>
      </c>
      <c r="GS344" s="321" t="s">
        <v>22598</v>
      </c>
      <c r="GT344" s="214" t="s">
        <v>163</v>
      </c>
      <c r="GU344" s="214" t="s">
        <v>70</v>
      </c>
      <c r="GV344" s="214" t="s">
        <v>530</v>
      </c>
      <c r="GX344" s="214" t="s">
        <v>22599</v>
      </c>
      <c r="GY344" s="214" t="s">
        <v>501</v>
      </c>
      <c r="GZ344" s="214" t="s">
        <v>70</v>
      </c>
      <c r="HA344" s="214" t="s">
        <v>530</v>
      </c>
      <c r="HC344" s="214" t="s">
        <v>22600</v>
      </c>
      <c r="HD344" s="214" t="s">
        <v>148</v>
      </c>
      <c r="HE344" s="214" t="s">
        <v>70</v>
      </c>
      <c r="HF344" s="214" t="s">
        <v>530</v>
      </c>
      <c r="HH344" s="214" t="s">
        <v>22601</v>
      </c>
      <c r="HI344" s="214" t="s">
        <v>34610</v>
      </c>
      <c r="HJ344" s="214" t="s">
        <v>70</v>
      </c>
      <c r="HK344" s="214" t="s">
        <v>530</v>
      </c>
      <c r="HM344" s="214" t="s">
        <v>22602</v>
      </c>
      <c r="HN344" s="214" t="s">
        <v>149</v>
      </c>
      <c r="HO344" s="214" t="s">
        <v>70</v>
      </c>
      <c r="HP344" s="214" t="s">
        <v>530</v>
      </c>
      <c r="HR344" s="22" t="s">
        <v>22603</v>
      </c>
      <c r="HS344" s="22" t="s">
        <v>149</v>
      </c>
      <c r="HT344" s="22" t="s">
        <v>70</v>
      </c>
      <c r="HU344" s="214" t="s">
        <v>530</v>
      </c>
      <c r="HW344" s="22" t="s">
        <v>22604</v>
      </c>
      <c r="HX344" s="22" t="s">
        <v>85</v>
      </c>
      <c r="HY344" s="22" t="s">
        <v>70</v>
      </c>
      <c r="HZ344" s="214" t="s">
        <v>530</v>
      </c>
      <c r="IB344" s="22" t="s">
        <v>22605</v>
      </c>
      <c r="IC344" s="22" t="s">
        <v>86</v>
      </c>
      <c r="ID344" s="22" t="s">
        <v>70</v>
      </c>
      <c r="IE344" s="214" t="s">
        <v>530</v>
      </c>
      <c r="IG344" s="22" t="s">
        <v>22606</v>
      </c>
      <c r="IH344" s="22" t="s">
        <v>52</v>
      </c>
      <c r="II344" s="22" t="s">
        <v>70</v>
      </c>
      <c r="IJ344" s="214" t="s">
        <v>530</v>
      </c>
      <c r="IL344" s="22" t="s">
        <v>22607</v>
      </c>
      <c r="IM344" s="22" t="s">
        <v>145</v>
      </c>
      <c r="IN344" s="22" t="s">
        <v>70</v>
      </c>
      <c r="IO344" s="214" t="s">
        <v>530</v>
      </c>
      <c r="IQ344" s="236" t="s">
        <v>22608</v>
      </c>
      <c r="IR344" s="236" t="s">
        <v>145</v>
      </c>
      <c r="IS344" s="236" t="s">
        <v>74</v>
      </c>
      <c r="IT344" s="236" t="s">
        <v>841</v>
      </c>
      <c r="IV344" s="236" t="s">
        <v>22609</v>
      </c>
      <c r="IW344" s="236" t="s">
        <v>145</v>
      </c>
      <c r="IX344" s="236" t="s">
        <v>74</v>
      </c>
      <c r="IY344" s="236" t="s">
        <v>841</v>
      </c>
      <c r="JA344" s="236" t="s">
        <v>22610</v>
      </c>
      <c r="JB344" s="236" t="s">
        <v>145</v>
      </c>
      <c r="JC344" s="236" t="s">
        <v>74</v>
      </c>
      <c r="JD344" s="236" t="s">
        <v>841</v>
      </c>
      <c r="JF344" s="236" t="s">
        <v>22611</v>
      </c>
      <c r="JG344" s="236" t="s">
        <v>145</v>
      </c>
      <c r="JH344" s="236" t="s">
        <v>74</v>
      </c>
      <c r="JI344" s="236" t="s">
        <v>841</v>
      </c>
      <c r="JK344" s="236" t="s">
        <v>22612</v>
      </c>
      <c r="JL344" s="236" t="s">
        <v>145</v>
      </c>
      <c r="JM344" s="236" t="s">
        <v>74</v>
      </c>
      <c r="JN344" s="236" t="s">
        <v>841</v>
      </c>
      <c r="JP344" s="236" t="s">
        <v>22613</v>
      </c>
      <c r="JQ344" s="236" t="s">
        <v>145</v>
      </c>
      <c r="JR344" s="236" t="s">
        <v>74</v>
      </c>
      <c r="JS344" s="236" t="s">
        <v>841</v>
      </c>
      <c r="JU344" s="294" t="s">
        <v>22614</v>
      </c>
      <c r="JV344" s="294" t="s">
        <v>52</v>
      </c>
      <c r="JW344" s="263" t="s">
        <v>70</v>
      </c>
      <c r="JX344" s="294" t="s">
        <v>1083</v>
      </c>
      <c r="JZ344" s="263" t="s">
        <v>22615</v>
      </c>
      <c r="KA344" s="263" t="s">
        <v>145</v>
      </c>
      <c r="KB344" s="263" t="s">
        <v>70</v>
      </c>
      <c r="KC344" s="263" t="s">
        <v>1083</v>
      </c>
      <c r="KE344" s="263" t="s">
        <v>22616</v>
      </c>
      <c r="KF344" s="263" t="s">
        <v>52</v>
      </c>
      <c r="KG344" s="263" t="s">
        <v>70</v>
      </c>
      <c r="KH344" s="263" t="s">
        <v>1083</v>
      </c>
      <c r="KJ344" s="263" t="s">
        <v>22617</v>
      </c>
      <c r="KK344" s="263" t="s">
        <v>52</v>
      </c>
      <c r="KL344" s="263" t="s">
        <v>74</v>
      </c>
      <c r="KM344" s="263" t="s">
        <v>34074</v>
      </c>
      <c r="KO344" s="214" t="s">
        <v>22618</v>
      </c>
      <c r="KP344" s="214" t="s">
        <v>145</v>
      </c>
      <c r="KQ344" s="214" t="s">
        <v>70</v>
      </c>
      <c r="KR344" s="214" t="s">
        <v>67</v>
      </c>
      <c r="KT344" s="22" t="s">
        <v>22619</v>
      </c>
      <c r="KU344" s="22" t="s">
        <v>145</v>
      </c>
      <c r="KV344" s="22" t="s">
        <v>70</v>
      </c>
      <c r="KW344" s="22" t="s">
        <v>67</v>
      </c>
      <c r="KY344" s="214" t="s">
        <v>22620</v>
      </c>
      <c r="KZ344" s="214" t="s">
        <v>52</v>
      </c>
      <c r="LA344" s="214" t="s">
        <v>74</v>
      </c>
      <c r="LB344" s="214" t="s">
        <v>67</v>
      </c>
      <c r="LD344" s="22" t="s">
        <v>22621</v>
      </c>
      <c r="LE344" s="22" t="s">
        <v>145</v>
      </c>
      <c r="LF344" s="22" t="s">
        <v>70</v>
      </c>
      <c r="LG344" s="22" t="s">
        <v>67</v>
      </c>
    </row>
    <row r="345" spans="1:319">
      <c r="A345" s="22" t="s">
        <v>22622</v>
      </c>
      <c r="B345" s="22" t="s">
        <v>145</v>
      </c>
      <c r="C345" s="22" t="s">
        <v>70</v>
      </c>
      <c r="D345" s="22" t="s">
        <v>67</v>
      </c>
      <c r="F345" s="99" t="s">
        <v>22623</v>
      </c>
      <c r="G345" s="22" t="s">
        <v>145</v>
      </c>
      <c r="H345" s="22" t="s">
        <v>70</v>
      </c>
      <c r="I345" s="22" t="s">
        <v>67</v>
      </c>
      <c r="K345" s="22" t="s">
        <v>22624</v>
      </c>
      <c r="L345" s="22" t="s">
        <v>145</v>
      </c>
      <c r="M345" s="22" t="s">
        <v>70</v>
      </c>
      <c r="N345" s="22" t="s">
        <v>67</v>
      </c>
      <c r="P345" s="22" t="s">
        <v>22625</v>
      </c>
      <c r="Q345" s="22" t="s">
        <v>145</v>
      </c>
      <c r="R345" s="22" t="s">
        <v>70</v>
      </c>
      <c r="S345" s="22" t="s">
        <v>67</v>
      </c>
      <c r="U345" s="293" t="s">
        <v>22626</v>
      </c>
      <c r="V345" s="293" t="s">
        <v>145</v>
      </c>
      <c r="W345" s="293" t="s">
        <v>74</v>
      </c>
      <c r="X345" s="293" t="s">
        <v>656</v>
      </c>
      <c r="Z345" s="293" t="s">
        <v>22627</v>
      </c>
      <c r="AA345" s="293" t="s">
        <v>145</v>
      </c>
      <c r="AB345" s="293" t="s">
        <v>74</v>
      </c>
      <c r="AC345" s="293" t="s">
        <v>656</v>
      </c>
      <c r="AE345" s="293" t="s">
        <v>22628</v>
      </c>
      <c r="AF345" s="293" t="s">
        <v>145</v>
      </c>
      <c r="AG345" s="293" t="s">
        <v>74</v>
      </c>
      <c r="AH345" s="293" t="s">
        <v>656</v>
      </c>
      <c r="AJ345" s="293" t="s">
        <v>22629</v>
      </c>
      <c r="AK345" s="293" t="s">
        <v>145</v>
      </c>
      <c r="AL345" s="293" t="s">
        <v>74</v>
      </c>
      <c r="AM345" s="293" t="s">
        <v>656</v>
      </c>
      <c r="AO345" s="22" t="s">
        <v>22630</v>
      </c>
      <c r="AP345" s="22" t="s">
        <v>145</v>
      </c>
      <c r="AQ345" s="22" t="s">
        <v>70</v>
      </c>
      <c r="AR345" s="22" t="s">
        <v>67</v>
      </c>
      <c r="AT345" s="22" t="s">
        <v>22631</v>
      </c>
      <c r="AU345" s="22" t="s">
        <v>145</v>
      </c>
      <c r="AV345" s="22" t="s">
        <v>70</v>
      </c>
      <c r="AW345" s="22" t="s">
        <v>67</v>
      </c>
      <c r="AY345" s="22" t="s">
        <v>22632</v>
      </c>
      <c r="AZ345" s="22" t="s">
        <v>145</v>
      </c>
      <c r="BA345" s="22" t="s">
        <v>70</v>
      </c>
      <c r="BB345" s="22" t="s">
        <v>67</v>
      </c>
      <c r="BD345" s="22" t="s">
        <v>22633</v>
      </c>
      <c r="BE345" s="22" t="s">
        <v>145</v>
      </c>
      <c r="BF345" s="22" t="s">
        <v>70</v>
      </c>
      <c r="BG345" s="22" t="s">
        <v>67</v>
      </c>
      <c r="BI345" s="22" t="s">
        <v>22634</v>
      </c>
      <c r="BJ345" s="22" t="s">
        <v>145</v>
      </c>
      <c r="BK345" s="22" t="s">
        <v>70</v>
      </c>
      <c r="BL345" s="22" t="s">
        <v>67</v>
      </c>
      <c r="BN345" s="22" t="s">
        <v>22635</v>
      </c>
      <c r="BO345" s="22" t="s">
        <v>145</v>
      </c>
      <c r="BP345" s="22" t="s">
        <v>70</v>
      </c>
      <c r="BQ345" s="22" t="s">
        <v>67</v>
      </c>
      <c r="BS345" s="22" t="s">
        <v>22636</v>
      </c>
      <c r="BT345" s="22" t="s">
        <v>145</v>
      </c>
      <c r="BU345" s="22" t="s">
        <v>70</v>
      </c>
      <c r="BV345" s="214" t="s">
        <v>530</v>
      </c>
      <c r="BX345" s="22" t="s">
        <v>22637</v>
      </c>
      <c r="BY345" s="22" t="s">
        <v>145</v>
      </c>
      <c r="BZ345" s="22" t="s">
        <v>70</v>
      </c>
      <c r="CA345" s="214" t="s">
        <v>530</v>
      </c>
      <c r="CC345" s="214" t="s">
        <v>22638</v>
      </c>
      <c r="CD345" s="218" t="s">
        <v>34607</v>
      </c>
      <c r="CE345" s="214" t="s">
        <v>70</v>
      </c>
      <c r="CF345" s="214" t="s">
        <v>34151</v>
      </c>
      <c r="CH345" s="214" t="s">
        <v>22639</v>
      </c>
      <c r="CI345" s="214" t="s">
        <v>203</v>
      </c>
      <c r="CJ345" s="214" t="s">
        <v>70</v>
      </c>
      <c r="CK345" s="214" t="s">
        <v>530</v>
      </c>
      <c r="CM345" s="214" t="s">
        <v>22640</v>
      </c>
      <c r="CN345" s="214" t="s">
        <v>488</v>
      </c>
      <c r="CO345" s="214" t="s">
        <v>70</v>
      </c>
      <c r="CP345" s="214" t="s">
        <v>530</v>
      </c>
      <c r="CR345" s="214" t="s">
        <v>22641</v>
      </c>
      <c r="CS345" s="214" t="s">
        <v>287</v>
      </c>
      <c r="CT345" s="214" t="s">
        <v>70</v>
      </c>
      <c r="CU345" s="214" t="s">
        <v>530</v>
      </c>
      <c r="CW345" s="214" t="s">
        <v>22642</v>
      </c>
      <c r="CX345" s="214" t="s">
        <v>485</v>
      </c>
      <c r="CY345" s="214" t="s">
        <v>70</v>
      </c>
      <c r="CZ345" s="214" t="s">
        <v>530</v>
      </c>
      <c r="DB345" s="214" t="s">
        <v>22643</v>
      </c>
      <c r="DC345" s="214" t="s">
        <v>164</v>
      </c>
      <c r="DD345" s="214" t="s">
        <v>70</v>
      </c>
      <c r="DE345" s="214" t="s">
        <v>530</v>
      </c>
      <c r="DG345" s="214" t="s">
        <v>22644</v>
      </c>
      <c r="DH345" s="214" t="s">
        <v>502</v>
      </c>
      <c r="DI345" s="214" t="s">
        <v>70</v>
      </c>
      <c r="DJ345" s="214" t="s">
        <v>530</v>
      </c>
      <c r="DL345" s="214" t="s">
        <v>22645</v>
      </c>
      <c r="DM345" s="214" t="s">
        <v>90</v>
      </c>
      <c r="DN345" s="214" t="s">
        <v>70</v>
      </c>
      <c r="DO345" s="214" t="s">
        <v>530</v>
      </c>
      <c r="DQ345" s="214" t="s">
        <v>22646</v>
      </c>
      <c r="DR345" s="214" t="s">
        <v>146</v>
      </c>
      <c r="DS345" s="214" t="s">
        <v>70</v>
      </c>
      <c r="DT345" s="214" t="s">
        <v>530</v>
      </c>
      <c r="DV345" s="214" t="s">
        <v>22647</v>
      </c>
      <c r="DW345" s="214" t="s">
        <v>163</v>
      </c>
      <c r="DX345" s="214" t="s">
        <v>70</v>
      </c>
      <c r="DY345" s="214" t="s">
        <v>530</v>
      </c>
      <c r="EA345" s="214" t="s">
        <v>22648</v>
      </c>
      <c r="EB345" s="214" t="s">
        <v>87</v>
      </c>
      <c r="EC345" s="214" t="s">
        <v>70</v>
      </c>
      <c r="ED345" s="214" t="s">
        <v>530</v>
      </c>
      <c r="EF345" s="214" t="s">
        <v>22649</v>
      </c>
      <c r="EG345" s="214" t="s">
        <v>34542</v>
      </c>
      <c r="EH345" s="214" t="s">
        <v>70</v>
      </c>
      <c r="EI345" s="214" t="s">
        <v>530</v>
      </c>
      <c r="EK345" s="214" t="s">
        <v>22650</v>
      </c>
      <c r="EL345" s="214" t="s">
        <v>34544</v>
      </c>
      <c r="EM345" s="214" t="s">
        <v>70</v>
      </c>
      <c r="EN345" s="214" t="s">
        <v>530</v>
      </c>
      <c r="EP345" s="214" t="s">
        <v>22651</v>
      </c>
      <c r="EQ345" s="214" t="s">
        <v>34558</v>
      </c>
      <c r="ER345" s="214" t="s">
        <v>70</v>
      </c>
      <c r="ES345" s="214" t="s">
        <v>530</v>
      </c>
      <c r="EU345" s="214" t="s">
        <v>22652</v>
      </c>
      <c r="EV345" s="214" t="s">
        <v>52</v>
      </c>
      <c r="EW345" s="214" t="s">
        <v>70</v>
      </c>
      <c r="EX345" s="214" t="s">
        <v>530</v>
      </c>
      <c r="EZ345" s="214" t="s">
        <v>22653</v>
      </c>
      <c r="FA345" s="214" t="s">
        <v>34580</v>
      </c>
      <c r="FB345" s="214" t="s">
        <v>70</v>
      </c>
      <c r="FC345" s="214" t="s">
        <v>530</v>
      </c>
      <c r="FE345" s="214" t="s">
        <v>22654</v>
      </c>
      <c r="FF345" s="214" t="s">
        <v>52</v>
      </c>
      <c r="FG345" s="214" t="s">
        <v>70</v>
      </c>
      <c r="FH345" s="214" t="s">
        <v>530</v>
      </c>
      <c r="FJ345" s="321" t="s">
        <v>22655</v>
      </c>
      <c r="FK345" s="214" t="s">
        <v>203</v>
      </c>
      <c r="FL345" s="214" t="s">
        <v>70</v>
      </c>
      <c r="FM345" s="214" t="s">
        <v>530</v>
      </c>
      <c r="FO345" s="321" t="s">
        <v>22656</v>
      </c>
      <c r="FP345" s="214" t="s">
        <v>52</v>
      </c>
      <c r="FQ345" s="214" t="s">
        <v>70</v>
      </c>
      <c r="FR345" s="214" t="s">
        <v>530</v>
      </c>
      <c r="FT345" s="321" t="s">
        <v>22657</v>
      </c>
      <c r="FU345" s="214" t="s">
        <v>34556</v>
      </c>
      <c r="FV345" s="214" t="s">
        <v>70</v>
      </c>
      <c r="FW345" s="214" t="s">
        <v>530</v>
      </c>
      <c r="FY345" s="321" t="s">
        <v>22658</v>
      </c>
      <c r="FZ345" s="214" t="s">
        <v>488</v>
      </c>
      <c r="GA345" s="214" t="s">
        <v>70</v>
      </c>
      <c r="GB345" s="214" t="s">
        <v>530</v>
      </c>
      <c r="GD345" s="321" t="s">
        <v>22659</v>
      </c>
      <c r="GE345" s="214" t="s">
        <v>485</v>
      </c>
      <c r="GF345" s="214" t="s">
        <v>70</v>
      </c>
      <c r="GG345" s="214" t="s">
        <v>530</v>
      </c>
      <c r="GI345" s="321" t="s">
        <v>22660</v>
      </c>
      <c r="GJ345" s="214" t="s">
        <v>34545</v>
      </c>
      <c r="GK345" s="214" t="s">
        <v>70</v>
      </c>
      <c r="GL345" s="214" t="s">
        <v>530</v>
      </c>
      <c r="GN345" s="321" t="s">
        <v>22661</v>
      </c>
      <c r="GO345" s="214" t="s">
        <v>490</v>
      </c>
      <c r="GP345" s="214" t="s">
        <v>70</v>
      </c>
      <c r="GQ345" s="214" t="s">
        <v>530</v>
      </c>
      <c r="GS345" s="321" t="s">
        <v>22662</v>
      </c>
      <c r="GT345" s="214" t="s">
        <v>955</v>
      </c>
      <c r="GU345" s="214" t="s">
        <v>70</v>
      </c>
      <c r="GV345" s="214" t="s">
        <v>530</v>
      </c>
      <c r="GX345" s="214" t="s">
        <v>22663</v>
      </c>
      <c r="GY345" s="214" t="s">
        <v>148</v>
      </c>
      <c r="GZ345" s="214" t="s">
        <v>70</v>
      </c>
      <c r="HA345" s="214" t="s">
        <v>530</v>
      </c>
      <c r="HC345" s="214" t="s">
        <v>22664</v>
      </c>
      <c r="HD345" s="214" t="s">
        <v>146</v>
      </c>
      <c r="HE345" s="214" t="s">
        <v>70</v>
      </c>
      <c r="HF345" s="214" t="s">
        <v>530</v>
      </c>
      <c r="HH345" s="214" t="s">
        <v>22665</v>
      </c>
      <c r="HI345" s="214" t="s">
        <v>486</v>
      </c>
      <c r="HJ345" s="214" t="s">
        <v>70</v>
      </c>
      <c r="HK345" s="214" t="s">
        <v>530</v>
      </c>
      <c r="HM345" s="214" t="s">
        <v>22666</v>
      </c>
      <c r="HN345" s="214" t="s">
        <v>518</v>
      </c>
      <c r="HO345" s="214" t="s">
        <v>70</v>
      </c>
      <c r="HP345" s="214" t="s">
        <v>530</v>
      </c>
      <c r="HR345" s="22" t="s">
        <v>22667</v>
      </c>
      <c r="HS345" s="22" t="s">
        <v>491</v>
      </c>
      <c r="HT345" s="22" t="s">
        <v>70</v>
      </c>
      <c r="HU345" s="214" t="s">
        <v>530</v>
      </c>
      <c r="HW345" s="22" t="s">
        <v>22668</v>
      </c>
      <c r="HX345" s="22" t="s">
        <v>491</v>
      </c>
      <c r="HY345" s="22" t="s">
        <v>70</v>
      </c>
      <c r="HZ345" s="214" t="s">
        <v>530</v>
      </c>
      <c r="IB345" s="22" t="s">
        <v>22669</v>
      </c>
      <c r="IC345" s="22" t="s">
        <v>918</v>
      </c>
      <c r="ID345" s="22" t="s">
        <v>70</v>
      </c>
      <c r="IE345" s="214" t="s">
        <v>530</v>
      </c>
      <c r="IG345" s="22" t="s">
        <v>22670</v>
      </c>
      <c r="IH345" s="22" t="s">
        <v>52</v>
      </c>
      <c r="II345" s="22" t="s">
        <v>70</v>
      </c>
      <c r="IJ345" s="214" t="s">
        <v>530</v>
      </c>
      <c r="IL345" s="22" t="s">
        <v>22671</v>
      </c>
      <c r="IM345" s="22" t="s">
        <v>145</v>
      </c>
      <c r="IN345" s="22" t="s">
        <v>70</v>
      </c>
      <c r="IO345" s="214" t="s">
        <v>530</v>
      </c>
      <c r="IQ345" s="236" t="s">
        <v>22672</v>
      </c>
      <c r="IR345" s="236" t="s">
        <v>145</v>
      </c>
      <c r="IS345" s="236" t="s">
        <v>74</v>
      </c>
      <c r="IT345" s="236" t="s">
        <v>841</v>
      </c>
      <c r="IV345" s="236" t="s">
        <v>22673</v>
      </c>
      <c r="IW345" s="236" t="s">
        <v>145</v>
      </c>
      <c r="IX345" s="236" t="s">
        <v>74</v>
      </c>
      <c r="IY345" s="236" t="s">
        <v>841</v>
      </c>
      <c r="JA345" s="236" t="s">
        <v>22674</v>
      </c>
      <c r="JB345" s="236" t="s">
        <v>145</v>
      </c>
      <c r="JC345" s="236" t="s">
        <v>74</v>
      </c>
      <c r="JD345" s="236" t="s">
        <v>841</v>
      </c>
      <c r="JF345" s="236" t="s">
        <v>22675</v>
      </c>
      <c r="JG345" s="236" t="s">
        <v>145</v>
      </c>
      <c r="JH345" s="236" t="s">
        <v>74</v>
      </c>
      <c r="JI345" s="236" t="s">
        <v>841</v>
      </c>
      <c r="JK345" s="236" t="s">
        <v>22676</v>
      </c>
      <c r="JL345" s="236" t="s">
        <v>145</v>
      </c>
      <c r="JM345" s="236" t="s">
        <v>74</v>
      </c>
      <c r="JN345" s="236" t="s">
        <v>841</v>
      </c>
      <c r="JP345" s="236" t="s">
        <v>22677</v>
      </c>
      <c r="JQ345" s="236" t="s">
        <v>145</v>
      </c>
      <c r="JR345" s="236" t="s">
        <v>74</v>
      </c>
      <c r="JS345" s="236" t="s">
        <v>841</v>
      </c>
      <c r="JU345" s="294" t="s">
        <v>22678</v>
      </c>
      <c r="JV345" s="294" t="s">
        <v>52</v>
      </c>
      <c r="JW345" s="263" t="s">
        <v>70</v>
      </c>
      <c r="JX345" s="294" t="s">
        <v>1083</v>
      </c>
      <c r="JZ345" s="263" t="s">
        <v>22679</v>
      </c>
      <c r="KA345" s="263" t="s">
        <v>145</v>
      </c>
      <c r="KB345" s="263" t="s">
        <v>70</v>
      </c>
      <c r="KC345" s="263" t="s">
        <v>1083</v>
      </c>
      <c r="KE345" s="263" t="s">
        <v>22680</v>
      </c>
      <c r="KF345" s="263" t="s">
        <v>52</v>
      </c>
      <c r="KG345" s="263" t="s">
        <v>70</v>
      </c>
      <c r="KH345" s="263" t="s">
        <v>1083</v>
      </c>
      <c r="KJ345" s="263" t="s">
        <v>22681</v>
      </c>
      <c r="KK345" s="263" t="s">
        <v>52</v>
      </c>
      <c r="KL345" s="263" t="s">
        <v>74</v>
      </c>
      <c r="KM345" s="263" t="s">
        <v>34074</v>
      </c>
      <c r="KO345" s="214" t="s">
        <v>22682</v>
      </c>
      <c r="KP345" s="214" t="s">
        <v>145</v>
      </c>
      <c r="KQ345" s="214" t="s">
        <v>70</v>
      </c>
      <c r="KR345" s="214" t="s">
        <v>67</v>
      </c>
      <c r="KT345" s="22" t="s">
        <v>22683</v>
      </c>
      <c r="KU345" s="22" t="s">
        <v>145</v>
      </c>
      <c r="KV345" s="22" t="s">
        <v>70</v>
      </c>
      <c r="KW345" s="22" t="s">
        <v>67</v>
      </c>
      <c r="KY345" s="214" t="s">
        <v>22684</v>
      </c>
      <c r="KZ345" s="214" t="s">
        <v>52</v>
      </c>
      <c r="LA345" s="214" t="s">
        <v>74</v>
      </c>
      <c r="LB345" s="214" t="s">
        <v>67</v>
      </c>
      <c r="LD345" s="22" t="s">
        <v>22685</v>
      </c>
      <c r="LE345" s="22" t="s">
        <v>145</v>
      </c>
      <c r="LF345" s="22" t="s">
        <v>70</v>
      </c>
      <c r="LG345" s="22" t="s">
        <v>67</v>
      </c>
    </row>
    <row r="346" spans="1:319">
      <c r="A346" s="22" t="s">
        <v>22686</v>
      </c>
      <c r="B346" s="22" t="s">
        <v>145</v>
      </c>
      <c r="C346" s="22" t="s">
        <v>70</v>
      </c>
      <c r="D346" s="22" t="s">
        <v>67</v>
      </c>
      <c r="F346" s="99" t="s">
        <v>22687</v>
      </c>
      <c r="G346" s="22" t="s">
        <v>145</v>
      </c>
      <c r="H346" s="22" t="s">
        <v>70</v>
      </c>
      <c r="I346" s="22" t="s">
        <v>67</v>
      </c>
      <c r="K346" s="22" t="s">
        <v>22688</v>
      </c>
      <c r="L346" s="22" t="s">
        <v>145</v>
      </c>
      <c r="M346" s="22" t="s">
        <v>70</v>
      </c>
      <c r="N346" s="22" t="s">
        <v>67</v>
      </c>
      <c r="P346" s="22" t="s">
        <v>22689</v>
      </c>
      <c r="Q346" s="22" t="s">
        <v>145</v>
      </c>
      <c r="R346" s="22" t="s">
        <v>70</v>
      </c>
      <c r="S346" s="22" t="s">
        <v>67</v>
      </c>
      <c r="U346" s="293" t="s">
        <v>22690</v>
      </c>
      <c r="V346" s="293" t="s">
        <v>145</v>
      </c>
      <c r="W346" s="293" t="s">
        <v>74</v>
      </c>
      <c r="X346" s="293" t="s">
        <v>656</v>
      </c>
      <c r="Z346" s="293" t="s">
        <v>22691</v>
      </c>
      <c r="AA346" s="293" t="s">
        <v>145</v>
      </c>
      <c r="AB346" s="293" t="s">
        <v>74</v>
      </c>
      <c r="AC346" s="293" t="s">
        <v>656</v>
      </c>
      <c r="AE346" s="293" t="s">
        <v>22692</v>
      </c>
      <c r="AF346" s="293" t="s">
        <v>145</v>
      </c>
      <c r="AG346" s="293" t="s">
        <v>74</v>
      </c>
      <c r="AH346" s="293" t="s">
        <v>656</v>
      </c>
      <c r="AJ346" s="293" t="s">
        <v>22693</v>
      </c>
      <c r="AK346" s="293" t="s">
        <v>145</v>
      </c>
      <c r="AL346" s="293" t="s">
        <v>74</v>
      </c>
      <c r="AM346" s="293" t="s">
        <v>656</v>
      </c>
      <c r="AO346" s="22" t="s">
        <v>22694</v>
      </c>
      <c r="AP346" s="22" t="s">
        <v>145</v>
      </c>
      <c r="AQ346" s="22" t="s">
        <v>70</v>
      </c>
      <c r="AR346" s="22" t="s">
        <v>67</v>
      </c>
      <c r="AT346" s="22" t="s">
        <v>22695</v>
      </c>
      <c r="AU346" s="22" t="s">
        <v>145</v>
      </c>
      <c r="AV346" s="22" t="s">
        <v>70</v>
      </c>
      <c r="AW346" s="22" t="s">
        <v>67</v>
      </c>
      <c r="AY346" s="22" t="s">
        <v>22696</v>
      </c>
      <c r="AZ346" s="22" t="s">
        <v>145</v>
      </c>
      <c r="BA346" s="22" t="s">
        <v>70</v>
      </c>
      <c r="BB346" s="22" t="s">
        <v>67</v>
      </c>
      <c r="BD346" s="22" t="s">
        <v>22697</v>
      </c>
      <c r="BE346" s="22" t="s">
        <v>145</v>
      </c>
      <c r="BF346" s="22" t="s">
        <v>70</v>
      </c>
      <c r="BG346" s="22" t="s">
        <v>67</v>
      </c>
      <c r="BI346" s="22" t="s">
        <v>22698</v>
      </c>
      <c r="BJ346" s="22" t="s">
        <v>145</v>
      </c>
      <c r="BK346" s="22" t="s">
        <v>70</v>
      </c>
      <c r="BL346" s="22" t="s">
        <v>67</v>
      </c>
      <c r="BN346" s="22" t="s">
        <v>22699</v>
      </c>
      <c r="BO346" s="22" t="s">
        <v>145</v>
      </c>
      <c r="BP346" s="22" t="s">
        <v>70</v>
      </c>
      <c r="BQ346" s="22" t="s">
        <v>67</v>
      </c>
      <c r="BS346" s="22" t="s">
        <v>22700</v>
      </c>
      <c r="BT346" s="22" t="s">
        <v>145</v>
      </c>
      <c r="BU346" s="22" t="s">
        <v>70</v>
      </c>
      <c r="BV346" s="214" t="s">
        <v>530</v>
      </c>
      <c r="BX346" s="22" t="s">
        <v>22701</v>
      </c>
      <c r="BY346" s="22" t="s">
        <v>145</v>
      </c>
      <c r="BZ346" s="22" t="s">
        <v>70</v>
      </c>
      <c r="CA346" s="214" t="s">
        <v>530</v>
      </c>
      <c r="CC346" s="214" t="s">
        <v>22702</v>
      </c>
      <c r="CD346" s="218" t="s">
        <v>52</v>
      </c>
      <c r="CE346" s="214" t="s">
        <v>70</v>
      </c>
      <c r="CF346" s="214" t="s">
        <v>34152</v>
      </c>
      <c r="CH346" s="214" t="s">
        <v>22703</v>
      </c>
      <c r="CI346" s="214" t="s">
        <v>34612</v>
      </c>
      <c r="CJ346" s="214" t="s">
        <v>70</v>
      </c>
      <c r="CK346" s="214" t="s">
        <v>530</v>
      </c>
      <c r="CM346" s="214" t="s">
        <v>22704</v>
      </c>
      <c r="CN346" s="214" t="s">
        <v>468</v>
      </c>
      <c r="CO346" s="214" t="s">
        <v>70</v>
      </c>
      <c r="CP346" s="214" t="s">
        <v>530</v>
      </c>
      <c r="CR346" s="214" t="s">
        <v>22705</v>
      </c>
      <c r="CS346" s="214" t="s">
        <v>34516</v>
      </c>
      <c r="CT346" s="214" t="s">
        <v>70</v>
      </c>
      <c r="CU346" s="214" t="s">
        <v>530</v>
      </c>
      <c r="CW346" s="214" t="s">
        <v>22706</v>
      </c>
      <c r="CX346" s="214" t="s">
        <v>34545</v>
      </c>
      <c r="CY346" s="214" t="s">
        <v>70</v>
      </c>
      <c r="CZ346" s="214" t="s">
        <v>530</v>
      </c>
      <c r="DB346" s="214" t="s">
        <v>22707</v>
      </c>
      <c r="DC346" s="214" t="s">
        <v>34572</v>
      </c>
      <c r="DD346" s="214" t="s">
        <v>70</v>
      </c>
      <c r="DE346" s="214" t="s">
        <v>530</v>
      </c>
      <c r="DG346" s="214" t="s">
        <v>22708</v>
      </c>
      <c r="DH346" s="214" t="s">
        <v>485</v>
      </c>
      <c r="DI346" s="214" t="s">
        <v>70</v>
      </c>
      <c r="DJ346" s="214" t="s">
        <v>530</v>
      </c>
      <c r="DL346" s="214" t="s">
        <v>22709</v>
      </c>
      <c r="DM346" s="214" t="s">
        <v>34541</v>
      </c>
      <c r="DN346" s="214" t="s">
        <v>70</v>
      </c>
      <c r="DO346" s="214" t="s">
        <v>530</v>
      </c>
      <c r="DQ346" s="214" t="s">
        <v>22710</v>
      </c>
      <c r="DR346" s="214" t="s">
        <v>492</v>
      </c>
      <c r="DS346" s="214" t="s">
        <v>70</v>
      </c>
      <c r="DT346" s="214" t="s">
        <v>530</v>
      </c>
      <c r="DV346" s="214" t="s">
        <v>22711</v>
      </c>
      <c r="DW346" s="214" t="s">
        <v>915</v>
      </c>
      <c r="DX346" s="214" t="s">
        <v>70</v>
      </c>
      <c r="DY346" s="214" t="s">
        <v>530</v>
      </c>
      <c r="EA346" s="214" t="s">
        <v>22712</v>
      </c>
      <c r="EB346" s="214" t="s">
        <v>90</v>
      </c>
      <c r="EC346" s="214" t="s">
        <v>70</v>
      </c>
      <c r="ED346" s="214" t="s">
        <v>530</v>
      </c>
      <c r="EF346" s="214" t="s">
        <v>22713</v>
      </c>
      <c r="EG346" s="214" t="s">
        <v>34620</v>
      </c>
      <c r="EH346" s="214" t="s">
        <v>70</v>
      </c>
      <c r="EI346" s="214" t="s">
        <v>530</v>
      </c>
      <c r="EK346" s="214" t="s">
        <v>22714</v>
      </c>
      <c r="EL346" s="214" t="s">
        <v>148</v>
      </c>
      <c r="EM346" s="214" t="s">
        <v>70</v>
      </c>
      <c r="EN346" s="214" t="s">
        <v>530</v>
      </c>
      <c r="EP346" s="214" t="s">
        <v>22715</v>
      </c>
      <c r="EQ346" s="214" t="s">
        <v>503</v>
      </c>
      <c r="ER346" s="214" t="s">
        <v>70</v>
      </c>
      <c r="ES346" s="214" t="s">
        <v>530</v>
      </c>
      <c r="EU346" s="214" t="s">
        <v>22716</v>
      </c>
      <c r="EV346" s="214" t="s">
        <v>502</v>
      </c>
      <c r="EW346" s="214" t="s">
        <v>70</v>
      </c>
      <c r="EX346" s="214" t="s">
        <v>530</v>
      </c>
      <c r="EZ346" s="214" t="s">
        <v>22717</v>
      </c>
      <c r="FA346" s="214" t="s">
        <v>88</v>
      </c>
      <c r="FB346" s="214" t="s">
        <v>70</v>
      </c>
      <c r="FC346" s="214" t="s">
        <v>530</v>
      </c>
      <c r="FE346" s="214" t="s">
        <v>22718</v>
      </c>
      <c r="FF346" s="214" t="s">
        <v>145</v>
      </c>
      <c r="FG346" s="214" t="s">
        <v>70</v>
      </c>
      <c r="FH346" s="214" t="s">
        <v>530</v>
      </c>
      <c r="FJ346" s="321" t="s">
        <v>22719</v>
      </c>
      <c r="FK346" s="214" t="s">
        <v>34583</v>
      </c>
      <c r="FL346" s="214" t="s">
        <v>70</v>
      </c>
      <c r="FM346" s="214" t="s">
        <v>530</v>
      </c>
      <c r="FO346" s="321" t="s">
        <v>22720</v>
      </c>
      <c r="FP346" s="214" t="s">
        <v>146</v>
      </c>
      <c r="FQ346" s="214" t="s">
        <v>70</v>
      </c>
      <c r="FR346" s="214" t="s">
        <v>530</v>
      </c>
      <c r="FT346" s="321" t="s">
        <v>22721</v>
      </c>
      <c r="FU346" s="214" t="s">
        <v>655</v>
      </c>
      <c r="FV346" s="214" t="s">
        <v>70</v>
      </c>
      <c r="FW346" s="214" t="s">
        <v>530</v>
      </c>
      <c r="FY346" s="321" t="s">
        <v>22722</v>
      </c>
      <c r="FZ346" s="214" t="s">
        <v>164</v>
      </c>
      <c r="GA346" s="214" t="s">
        <v>70</v>
      </c>
      <c r="GB346" s="214" t="s">
        <v>530</v>
      </c>
      <c r="GD346" s="321" t="s">
        <v>22723</v>
      </c>
      <c r="GE346" s="214" t="s">
        <v>85</v>
      </c>
      <c r="GF346" s="214" t="s">
        <v>70</v>
      </c>
      <c r="GG346" s="214" t="s">
        <v>530</v>
      </c>
      <c r="GI346" s="321" t="s">
        <v>22724</v>
      </c>
      <c r="GJ346" s="214" t="s">
        <v>481</v>
      </c>
      <c r="GK346" s="214" t="s">
        <v>70</v>
      </c>
      <c r="GL346" s="214" t="s">
        <v>530</v>
      </c>
      <c r="GN346" s="321" t="s">
        <v>22725</v>
      </c>
      <c r="GO346" s="214" t="s">
        <v>34589</v>
      </c>
      <c r="GP346" s="214" t="s">
        <v>70</v>
      </c>
      <c r="GQ346" s="214" t="s">
        <v>530</v>
      </c>
      <c r="GS346" s="321" t="s">
        <v>22726</v>
      </c>
      <c r="GT346" s="214" t="s">
        <v>85</v>
      </c>
      <c r="GU346" s="214" t="s">
        <v>70</v>
      </c>
      <c r="GV346" s="214" t="s">
        <v>530</v>
      </c>
      <c r="GX346" s="214" t="s">
        <v>22727</v>
      </c>
      <c r="GY346" s="214" t="s">
        <v>52</v>
      </c>
      <c r="GZ346" s="214" t="s">
        <v>70</v>
      </c>
      <c r="HA346" s="214" t="s">
        <v>530</v>
      </c>
      <c r="HC346" s="214" t="s">
        <v>22728</v>
      </c>
      <c r="HD346" s="214" t="s">
        <v>85</v>
      </c>
      <c r="HE346" s="214" t="s">
        <v>70</v>
      </c>
      <c r="HF346" s="214" t="s">
        <v>530</v>
      </c>
      <c r="HH346" s="214" t="s">
        <v>22729</v>
      </c>
      <c r="HI346" s="214" t="s">
        <v>34073</v>
      </c>
      <c r="HJ346" s="214" t="s">
        <v>70</v>
      </c>
      <c r="HK346" s="214" t="s">
        <v>530</v>
      </c>
      <c r="HM346" s="214" t="s">
        <v>22730</v>
      </c>
      <c r="HN346" s="214" t="s">
        <v>203</v>
      </c>
      <c r="HO346" s="214" t="s">
        <v>70</v>
      </c>
      <c r="HP346" s="214" t="s">
        <v>530</v>
      </c>
      <c r="HR346" s="22" t="s">
        <v>22731</v>
      </c>
      <c r="HS346" s="22" t="s">
        <v>481</v>
      </c>
      <c r="HT346" s="22" t="s">
        <v>70</v>
      </c>
      <c r="HU346" s="214" t="s">
        <v>530</v>
      </c>
      <c r="HW346" s="22" t="s">
        <v>22732</v>
      </c>
      <c r="HX346" s="22" t="s">
        <v>146</v>
      </c>
      <c r="HY346" s="22" t="s">
        <v>70</v>
      </c>
      <c r="HZ346" s="214" t="s">
        <v>530</v>
      </c>
      <c r="IB346" s="22" t="s">
        <v>22733</v>
      </c>
      <c r="IC346" s="22" t="s">
        <v>497</v>
      </c>
      <c r="ID346" s="22" t="s">
        <v>70</v>
      </c>
      <c r="IE346" s="214" t="s">
        <v>530</v>
      </c>
      <c r="IG346" s="22" t="s">
        <v>22734</v>
      </c>
      <c r="IH346" s="22" t="s">
        <v>52</v>
      </c>
      <c r="II346" s="22" t="s">
        <v>70</v>
      </c>
      <c r="IJ346" s="214" t="s">
        <v>530</v>
      </c>
      <c r="IL346" s="22" t="s">
        <v>22735</v>
      </c>
      <c r="IM346" s="22" t="s">
        <v>145</v>
      </c>
      <c r="IN346" s="22" t="s">
        <v>70</v>
      </c>
      <c r="IO346" s="214" t="s">
        <v>530</v>
      </c>
      <c r="IQ346" s="236" t="s">
        <v>22736</v>
      </c>
      <c r="IR346" s="236" t="s">
        <v>145</v>
      </c>
      <c r="IS346" s="236" t="s">
        <v>74</v>
      </c>
      <c r="IT346" s="236" t="s">
        <v>841</v>
      </c>
      <c r="IV346" s="236" t="s">
        <v>22737</v>
      </c>
      <c r="IW346" s="236" t="s">
        <v>145</v>
      </c>
      <c r="IX346" s="236" t="s">
        <v>74</v>
      </c>
      <c r="IY346" s="236" t="s">
        <v>841</v>
      </c>
      <c r="JA346" s="236" t="s">
        <v>22738</v>
      </c>
      <c r="JB346" s="236" t="s">
        <v>145</v>
      </c>
      <c r="JC346" s="236" t="s">
        <v>74</v>
      </c>
      <c r="JD346" s="236" t="s">
        <v>841</v>
      </c>
      <c r="JF346" s="236" t="s">
        <v>22739</v>
      </c>
      <c r="JG346" s="236" t="s">
        <v>145</v>
      </c>
      <c r="JH346" s="236" t="s">
        <v>74</v>
      </c>
      <c r="JI346" s="236" t="s">
        <v>841</v>
      </c>
      <c r="JK346" s="236" t="s">
        <v>22740</v>
      </c>
      <c r="JL346" s="236" t="s">
        <v>145</v>
      </c>
      <c r="JM346" s="236" t="s">
        <v>74</v>
      </c>
      <c r="JN346" s="236" t="s">
        <v>841</v>
      </c>
      <c r="JP346" s="236" t="s">
        <v>22741</v>
      </c>
      <c r="JQ346" s="236" t="s">
        <v>145</v>
      </c>
      <c r="JR346" s="236" t="s">
        <v>74</v>
      </c>
      <c r="JS346" s="236" t="s">
        <v>841</v>
      </c>
      <c r="JU346" s="294" t="s">
        <v>22742</v>
      </c>
      <c r="JV346" s="294" t="s">
        <v>52</v>
      </c>
      <c r="JW346" s="263" t="s">
        <v>70</v>
      </c>
      <c r="JX346" s="294" t="s">
        <v>1083</v>
      </c>
      <c r="JZ346" s="263" t="s">
        <v>22743</v>
      </c>
      <c r="KA346" s="263" t="s">
        <v>145</v>
      </c>
      <c r="KB346" s="263" t="s">
        <v>70</v>
      </c>
      <c r="KC346" s="263" t="s">
        <v>1083</v>
      </c>
      <c r="KE346" s="263" t="s">
        <v>22744</v>
      </c>
      <c r="KF346" s="263" t="s">
        <v>52</v>
      </c>
      <c r="KG346" s="263" t="s">
        <v>70</v>
      </c>
      <c r="KH346" s="263" t="s">
        <v>1083</v>
      </c>
      <c r="KJ346" s="263" t="s">
        <v>22745</v>
      </c>
      <c r="KK346" s="263" t="s">
        <v>52</v>
      </c>
      <c r="KL346" s="263" t="s">
        <v>74</v>
      </c>
      <c r="KM346" s="263" t="s">
        <v>34074</v>
      </c>
      <c r="KO346" s="214" t="s">
        <v>22746</v>
      </c>
      <c r="KP346" s="214" t="s">
        <v>145</v>
      </c>
      <c r="KQ346" s="214" t="s">
        <v>70</v>
      </c>
      <c r="KR346" s="214" t="s">
        <v>67</v>
      </c>
      <c r="KT346" s="22" t="s">
        <v>22747</v>
      </c>
      <c r="KU346" s="22" t="s">
        <v>145</v>
      </c>
      <c r="KV346" s="22" t="s">
        <v>70</v>
      </c>
      <c r="KW346" s="22" t="s">
        <v>67</v>
      </c>
      <c r="KY346" s="214" t="s">
        <v>22748</v>
      </c>
      <c r="KZ346" s="214" t="s">
        <v>52</v>
      </c>
      <c r="LA346" s="214" t="s">
        <v>74</v>
      </c>
      <c r="LB346" s="214" t="s">
        <v>67</v>
      </c>
      <c r="LD346" s="22" t="s">
        <v>22749</v>
      </c>
      <c r="LE346" s="22" t="s">
        <v>145</v>
      </c>
      <c r="LF346" s="22" t="s">
        <v>70</v>
      </c>
      <c r="LG346" s="22" t="s">
        <v>67</v>
      </c>
    </row>
    <row r="347" spans="1:319">
      <c r="A347" s="22" t="s">
        <v>22750</v>
      </c>
      <c r="B347" s="22" t="s">
        <v>145</v>
      </c>
      <c r="C347" s="22" t="s">
        <v>70</v>
      </c>
      <c r="D347" s="22" t="s">
        <v>67</v>
      </c>
      <c r="F347" s="99" t="s">
        <v>22751</v>
      </c>
      <c r="G347" s="22" t="s">
        <v>145</v>
      </c>
      <c r="H347" s="22" t="s">
        <v>70</v>
      </c>
      <c r="I347" s="22" t="s">
        <v>67</v>
      </c>
      <c r="K347" s="22" t="s">
        <v>22752</v>
      </c>
      <c r="L347" s="22" t="s">
        <v>145</v>
      </c>
      <c r="M347" s="22" t="s">
        <v>70</v>
      </c>
      <c r="N347" s="22" t="s">
        <v>67</v>
      </c>
      <c r="P347" s="22" t="s">
        <v>22753</v>
      </c>
      <c r="Q347" s="22" t="s">
        <v>145</v>
      </c>
      <c r="R347" s="22" t="s">
        <v>70</v>
      </c>
      <c r="S347" s="22" t="s">
        <v>67</v>
      </c>
      <c r="U347" s="293" t="s">
        <v>22754</v>
      </c>
      <c r="V347" s="293" t="s">
        <v>145</v>
      </c>
      <c r="W347" s="293" t="s">
        <v>74</v>
      </c>
      <c r="X347" s="293" t="s">
        <v>656</v>
      </c>
      <c r="Z347" s="293" t="s">
        <v>22755</v>
      </c>
      <c r="AA347" s="293" t="s">
        <v>145</v>
      </c>
      <c r="AB347" s="293" t="s">
        <v>74</v>
      </c>
      <c r="AC347" s="293" t="s">
        <v>656</v>
      </c>
      <c r="AE347" s="293" t="s">
        <v>22756</v>
      </c>
      <c r="AF347" s="293" t="s">
        <v>145</v>
      </c>
      <c r="AG347" s="293" t="s">
        <v>74</v>
      </c>
      <c r="AH347" s="293" t="s">
        <v>656</v>
      </c>
      <c r="AJ347" s="293" t="s">
        <v>22757</v>
      </c>
      <c r="AK347" s="293" t="s">
        <v>145</v>
      </c>
      <c r="AL347" s="293" t="s">
        <v>74</v>
      </c>
      <c r="AM347" s="293" t="s">
        <v>656</v>
      </c>
      <c r="AO347" s="22" t="s">
        <v>22758</v>
      </c>
      <c r="AP347" s="22" t="s">
        <v>145</v>
      </c>
      <c r="AQ347" s="22" t="s">
        <v>70</v>
      </c>
      <c r="AR347" s="22" t="s">
        <v>67</v>
      </c>
      <c r="AT347" s="22" t="s">
        <v>22759</v>
      </c>
      <c r="AU347" s="22" t="s">
        <v>145</v>
      </c>
      <c r="AV347" s="22" t="s">
        <v>70</v>
      </c>
      <c r="AW347" s="22" t="s">
        <v>67</v>
      </c>
      <c r="AY347" s="22" t="s">
        <v>22760</v>
      </c>
      <c r="AZ347" s="22" t="s">
        <v>145</v>
      </c>
      <c r="BA347" s="22" t="s">
        <v>70</v>
      </c>
      <c r="BB347" s="22" t="s">
        <v>67</v>
      </c>
      <c r="BD347" s="22" t="s">
        <v>22761</v>
      </c>
      <c r="BE347" s="22" t="s">
        <v>145</v>
      </c>
      <c r="BF347" s="22" t="s">
        <v>70</v>
      </c>
      <c r="BG347" s="22" t="s">
        <v>67</v>
      </c>
      <c r="BI347" s="22" t="s">
        <v>22762</v>
      </c>
      <c r="BJ347" s="22" t="s">
        <v>145</v>
      </c>
      <c r="BK347" s="22" t="s">
        <v>70</v>
      </c>
      <c r="BL347" s="22" t="s">
        <v>67</v>
      </c>
      <c r="BN347" s="22" t="s">
        <v>22763</v>
      </c>
      <c r="BO347" s="22" t="s">
        <v>145</v>
      </c>
      <c r="BP347" s="22" t="s">
        <v>70</v>
      </c>
      <c r="BQ347" s="22" t="s">
        <v>67</v>
      </c>
      <c r="BS347" s="22" t="s">
        <v>22764</v>
      </c>
      <c r="BT347" s="22" t="s">
        <v>145</v>
      </c>
      <c r="BU347" s="22" t="s">
        <v>70</v>
      </c>
      <c r="BV347" s="214" t="s">
        <v>530</v>
      </c>
      <c r="BX347" s="22" t="s">
        <v>22765</v>
      </c>
      <c r="BY347" s="22" t="s">
        <v>145</v>
      </c>
      <c r="BZ347" s="22" t="s">
        <v>70</v>
      </c>
      <c r="CA347" s="214" t="s">
        <v>530</v>
      </c>
      <c r="CC347" s="214" t="s">
        <v>22766</v>
      </c>
      <c r="CD347" s="218" t="s">
        <v>601</v>
      </c>
      <c r="CE347" s="214" t="s">
        <v>70</v>
      </c>
      <c r="CF347" s="214" t="s">
        <v>34153</v>
      </c>
      <c r="CH347" s="214" t="s">
        <v>22767</v>
      </c>
      <c r="CI347" s="214" t="s">
        <v>490</v>
      </c>
      <c r="CJ347" s="214" t="s">
        <v>70</v>
      </c>
      <c r="CK347" s="214" t="s">
        <v>530</v>
      </c>
      <c r="CM347" s="214" t="s">
        <v>22768</v>
      </c>
      <c r="CN347" s="214" t="s">
        <v>484</v>
      </c>
      <c r="CO347" s="214" t="s">
        <v>70</v>
      </c>
      <c r="CP347" s="214" t="s">
        <v>530</v>
      </c>
      <c r="CR347" s="214" t="s">
        <v>22769</v>
      </c>
      <c r="CS347" s="214" t="s">
        <v>919</v>
      </c>
      <c r="CT347" s="214" t="s">
        <v>70</v>
      </c>
      <c r="CU347" s="214" t="s">
        <v>530</v>
      </c>
      <c r="CW347" s="214" t="s">
        <v>22770</v>
      </c>
      <c r="CX347" s="214" t="s">
        <v>34551</v>
      </c>
      <c r="CY347" s="214" t="s">
        <v>70</v>
      </c>
      <c r="CZ347" s="214" t="s">
        <v>530</v>
      </c>
      <c r="DB347" s="214" t="s">
        <v>22771</v>
      </c>
      <c r="DC347" s="214" t="s">
        <v>531</v>
      </c>
      <c r="DD347" s="214" t="s">
        <v>70</v>
      </c>
      <c r="DE347" s="214" t="s">
        <v>530</v>
      </c>
      <c r="DG347" s="214" t="s">
        <v>22772</v>
      </c>
      <c r="DH347" s="214" t="s">
        <v>52</v>
      </c>
      <c r="DI347" s="214" t="s">
        <v>70</v>
      </c>
      <c r="DJ347" s="214" t="s">
        <v>530</v>
      </c>
      <c r="DL347" s="214" t="s">
        <v>22773</v>
      </c>
      <c r="DM347" s="214" t="s">
        <v>34543</v>
      </c>
      <c r="DN347" s="214" t="s">
        <v>70</v>
      </c>
      <c r="DO347" s="214" t="s">
        <v>530</v>
      </c>
      <c r="DQ347" s="214" t="s">
        <v>22774</v>
      </c>
      <c r="DR347" s="214" t="s">
        <v>531</v>
      </c>
      <c r="DS347" s="214" t="s">
        <v>70</v>
      </c>
      <c r="DT347" s="214" t="s">
        <v>530</v>
      </c>
      <c r="DV347" s="214" t="s">
        <v>22775</v>
      </c>
      <c r="DW347" s="214" t="s">
        <v>163</v>
      </c>
      <c r="DX347" s="214" t="s">
        <v>70</v>
      </c>
      <c r="DY347" s="214" t="s">
        <v>530</v>
      </c>
      <c r="EA347" s="214" t="s">
        <v>22776</v>
      </c>
      <c r="EB347" s="214" t="s">
        <v>10541</v>
      </c>
      <c r="EC347" s="214" t="s">
        <v>70</v>
      </c>
      <c r="ED347" s="214" t="s">
        <v>530</v>
      </c>
      <c r="EF347" s="214" t="s">
        <v>22777</v>
      </c>
      <c r="EG347" s="214" t="s">
        <v>926</v>
      </c>
      <c r="EH347" s="214" t="s">
        <v>70</v>
      </c>
      <c r="EI347" s="214" t="s">
        <v>530</v>
      </c>
      <c r="EK347" s="214" t="s">
        <v>22778</v>
      </c>
      <c r="EL347" s="214" t="s">
        <v>485</v>
      </c>
      <c r="EM347" s="214" t="s">
        <v>70</v>
      </c>
      <c r="EN347" s="214" t="s">
        <v>530</v>
      </c>
      <c r="EP347" s="214" t="s">
        <v>22779</v>
      </c>
      <c r="EQ347" s="214" t="s">
        <v>599</v>
      </c>
      <c r="ER347" s="214" t="s">
        <v>70</v>
      </c>
      <c r="ES347" s="214" t="s">
        <v>530</v>
      </c>
      <c r="EU347" s="214" t="s">
        <v>22780</v>
      </c>
      <c r="EV347" s="214" t="s">
        <v>146</v>
      </c>
      <c r="EW347" s="214" t="s">
        <v>70</v>
      </c>
      <c r="EX347" s="214" t="s">
        <v>530</v>
      </c>
      <c r="EZ347" s="214" t="s">
        <v>22781</v>
      </c>
      <c r="FA347" s="214" t="s">
        <v>93</v>
      </c>
      <c r="FB347" s="214" t="s">
        <v>70</v>
      </c>
      <c r="FC347" s="214" t="s">
        <v>530</v>
      </c>
      <c r="FE347" s="214" t="s">
        <v>22782</v>
      </c>
      <c r="FF347" s="214" t="s">
        <v>145</v>
      </c>
      <c r="FG347" s="214" t="s">
        <v>70</v>
      </c>
      <c r="FH347" s="214" t="s">
        <v>530</v>
      </c>
      <c r="FJ347" s="321" t="s">
        <v>22783</v>
      </c>
      <c r="FK347" s="214" t="s">
        <v>34405</v>
      </c>
      <c r="FL347" s="214" t="s">
        <v>70</v>
      </c>
      <c r="FM347" s="214" t="s">
        <v>530</v>
      </c>
      <c r="FO347" s="321" t="s">
        <v>22784</v>
      </c>
      <c r="FP347" s="214" t="s">
        <v>933</v>
      </c>
      <c r="FQ347" s="214" t="s">
        <v>70</v>
      </c>
      <c r="FR347" s="214" t="s">
        <v>530</v>
      </c>
      <c r="FT347" s="321" t="s">
        <v>22785</v>
      </c>
      <c r="FU347" s="214" t="s">
        <v>34589</v>
      </c>
      <c r="FV347" s="214" t="s">
        <v>70</v>
      </c>
      <c r="FW347" s="214" t="s">
        <v>530</v>
      </c>
      <c r="FY347" s="321" t="s">
        <v>22786</v>
      </c>
      <c r="FZ347" s="214" t="s">
        <v>52</v>
      </c>
      <c r="GA347" s="214" t="s">
        <v>70</v>
      </c>
      <c r="GB347" s="214" t="s">
        <v>530</v>
      </c>
      <c r="GD347" s="321" t="s">
        <v>22787</v>
      </c>
      <c r="GE347" s="214" t="s">
        <v>34561</v>
      </c>
      <c r="GF347" s="214" t="s">
        <v>70</v>
      </c>
      <c r="GG347" s="214" t="s">
        <v>530</v>
      </c>
      <c r="GI347" s="321" t="s">
        <v>22788</v>
      </c>
      <c r="GJ347" s="214" t="s">
        <v>798</v>
      </c>
      <c r="GK347" s="214" t="s">
        <v>70</v>
      </c>
      <c r="GL347" s="214" t="s">
        <v>530</v>
      </c>
      <c r="GN347" s="321" t="s">
        <v>22789</v>
      </c>
      <c r="GO347" s="214" t="s">
        <v>52</v>
      </c>
      <c r="GP347" s="214" t="s">
        <v>70</v>
      </c>
      <c r="GQ347" s="214" t="s">
        <v>530</v>
      </c>
      <c r="GS347" s="321" t="s">
        <v>22790</v>
      </c>
      <c r="GT347" s="214" t="s">
        <v>488</v>
      </c>
      <c r="GU347" s="214" t="s">
        <v>70</v>
      </c>
      <c r="GV347" s="214" t="s">
        <v>530</v>
      </c>
      <c r="GX347" s="214" t="s">
        <v>22791</v>
      </c>
      <c r="GY347" s="214" t="s">
        <v>34553</v>
      </c>
      <c r="GZ347" s="214" t="s">
        <v>70</v>
      </c>
      <c r="HA347" s="214" t="s">
        <v>530</v>
      </c>
      <c r="HC347" s="214" t="s">
        <v>22792</v>
      </c>
      <c r="HD347" s="214" t="s">
        <v>921</v>
      </c>
      <c r="HE347" s="214" t="s">
        <v>70</v>
      </c>
      <c r="HF347" s="214" t="s">
        <v>530</v>
      </c>
      <c r="HH347" s="214" t="s">
        <v>22793</v>
      </c>
      <c r="HI347" s="214" t="s">
        <v>488</v>
      </c>
      <c r="HJ347" s="214" t="s">
        <v>70</v>
      </c>
      <c r="HK347" s="214" t="s">
        <v>530</v>
      </c>
      <c r="HM347" s="214" t="s">
        <v>22794</v>
      </c>
      <c r="HN347" s="214" t="s">
        <v>496</v>
      </c>
      <c r="HO347" s="214" t="s">
        <v>70</v>
      </c>
      <c r="HP347" s="214" t="s">
        <v>530</v>
      </c>
      <c r="HR347" s="22" t="s">
        <v>22795</v>
      </c>
      <c r="HS347" s="22" t="s">
        <v>487</v>
      </c>
      <c r="HT347" s="22" t="s">
        <v>70</v>
      </c>
      <c r="HU347" s="214" t="s">
        <v>530</v>
      </c>
      <c r="HW347" s="22" t="s">
        <v>22796</v>
      </c>
      <c r="HX347" s="22" t="s">
        <v>484</v>
      </c>
      <c r="HY347" s="22" t="s">
        <v>70</v>
      </c>
      <c r="HZ347" s="214" t="s">
        <v>530</v>
      </c>
      <c r="IB347" s="22" t="s">
        <v>22797</v>
      </c>
      <c r="IC347" s="22" t="s">
        <v>146</v>
      </c>
      <c r="ID347" s="22" t="s">
        <v>70</v>
      </c>
      <c r="IE347" s="214" t="s">
        <v>530</v>
      </c>
      <c r="IG347" s="22" t="s">
        <v>22798</v>
      </c>
      <c r="IH347" s="22" t="s">
        <v>52</v>
      </c>
      <c r="II347" s="22" t="s">
        <v>70</v>
      </c>
      <c r="IJ347" s="214" t="s">
        <v>530</v>
      </c>
      <c r="IL347" s="22" t="s">
        <v>22799</v>
      </c>
      <c r="IM347" s="22" t="s">
        <v>145</v>
      </c>
      <c r="IN347" s="22" t="s">
        <v>70</v>
      </c>
      <c r="IO347" s="214" t="s">
        <v>530</v>
      </c>
      <c r="IQ347" s="236" t="s">
        <v>22800</v>
      </c>
      <c r="IR347" s="236" t="s">
        <v>145</v>
      </c>
      <c r="IS347" s="236" t="s">
        <v>74</v>
      </c>
      <c r="IT347" s="236" t="s">
        <v>841</v>
      </c>
      <c r="IV347" s="236" t="s">
        <v>22801</v>
      </c>
      <c r="IW347" s="236" t="s">
        <v>145</v>
      </c>
      <c r="IX347" s="236" t="s">
        <v>74</v>
      </c>
      <c r="IY347" s="236" t="s">
        <v>841</v>
      </c>
      <c r="JA347" s="236" t="s">
        <v>22802</v>
      </c>
      <c r="JB347" s="236" t="s">
        <v>145</v>
      </c>
      <c r="JC347" s="236" t="s">
        <v>74</v>
      </c>
      <c r="JD347" s="236" t="s">
        <v>841</v>
      </c>
      <c r="JF347" s="236" t="s">
        <v>22803</v>
      </c>
      <c r="JG347" s="236" t="s">
        <v>145</v>
      </c>
      <c r="JH347" s="236" t="s">
        <v>74</v>
      </c>
      <c r="JI347" s="236" t="s">
        <v>841</v>
      </c>
      <c r="JK347" s="236" t="s">
        <v>22804</v>
      </c>
      <c r="JL347" s="236" t="s">
        <v>145</v>
      </c>
      <c r="JM347" s="236" t="s">
        <v>74</v>
      </c>
      <c r="JN347" s="236" t="s">
        <v>841</v>
      </c>
      <c r="JP347" s="236" t="s">
        <v>22805</v>
      </c>
      <c r="JQ347" s="236" t="s">
        <v>145</v>
      </c>
      <c r="JR347" s="236" t="s">
        <v>74</v>
      </c>
      <c r="JS347" s="236" t="s">
        <v>841</v>
      </c>
      <c r="JU347" s="294" t="s">
        <v>22806</v>
      </c>
      <c r="JV347" s="294" t="s">
        <v>52</v>
      </c>
      <c r="JW347" s="263" t="s">
        <v>70</v>
      </c>
      <c r="JX347" s="294" t="s">
        <v>1083</v>
      </c>
      <c r="JZ347" s="263" t="s">
        <v>22807</v>
      </c>
      <c r="KA347" s="263" t="s">
        <v>145</v>
      </c>
      <c r="KB347" s="263" t="s">
        <v>70</v>
      </c>
      <c r="KC347" s="263" t="s">
        <v>1083</v>
      </c>
      <c r="KE347" s="263" t="s">
        <v>22808</v>
      </c>
      <c r="KF347" s="263" t="s">
        <v>52</v>
      </c>
      <c r="KG347" s="263" t="s">
        <v>70</v>
      </c>
      <c r="KH347" s="263" t="s">
        <v>1083</v>
      </c>
      <c r="KJ347" s="263" t="s">
        <v>22809</v>
      </c>
      <c r="KK347" s="263" t="s">
        <v>52</v>
      </c>
      <c r="KL347" s="263" t="s">
        <v>74</v>
      </c>
      <c r="KM347" s="263" t="s">
        <v>34074</v>
      </c>
      <c r="KO347" s="214" t="s">
        <v>22810</v>
      </c>
      <c r="KP347" s="214" t="s">
        <v>145</v>
      </c>
      <c r="KQ347" s="214" t="s">
        <v>70</v>
      </c>
      <c r="KR347" s="214" t="s">
        <v>67</v>
      </c>
      <c r="KT347" s="22" t="s">
        <v>22811</v>
      </c>
      <c r="KU347" s="22" t="s">
        <v>145</v>
      </c>
      <c r="KV347" s="22" t="s">
        <v>70</v>
      </c>
      <c r="KW347" s="22" t="s">
        <v>67</v>
      </c>
      <c r="KY347" s="214" t="s">
        <v>22812</v>
      </c>
      <c r="KZ347" s="214" t="s">
        <v>52</v>
      </c>
      <c r="LA347" s="214" t="s">
        <v>74</v>
      </c>
      <c r="LB347" s="214" t="s">
        <v>67</v>
      </c>
      <c r="LD347" s="22" t="s">
        <v>22813</v>
      </c>
      <c r="LE347" s="22" t="s">
        <v>145</v>
      </c>
      <c r="LF347" s="22" t="s">
        <v>70</v>
      </c>
      <c r="LG347" s="22" t="s">
        <v>67</v>
      </c>
    </row>
    <row r="348" spans="1:319">
      <c r="A348" s="22" t="s">
        <v>22814</v>
      </c>
      <c r="B348" s="22" t="s">
        <v>145</v>
      </c>
      <c r="C348" s="22" t="s">
        <v>70</v>
      </c>
      <c r="D348" s="22" t="s">
        <v>67</v>
      </c>
      <c r="F348" s="99" t="s">
        <v>22815</v>
      </c>
      <c r="G348" s="22" t="s">
        <v>145</v>
      </c>
      <c r="H348" s="22" t="s">
        <v>70</v>
      </c>
      <c r="I348" s="22" t="s">
        <v>67</v>
      </c>
      <c r="K348" s="22" t="s">
        <v>22816</v>
      </c>
      <c r="L348" s="22" t="s">
        <v>145</v>
      </c>
      <c r="M348" s="22" t="s">
        <v>70</v>
      </c>
      <c r="N348" s="22" t="s">
        <v>67</v>
      </c>
      <c r="P348" s="22" t="s">
        <v>22817</v>
      </c>
      <c r="Q348" s="22" t="s">
        <v>145</v>
      </c>
      <c r="R348" s="22" t="s">
        <v>70</v>
      </c>
      <c r="S348" s="22" t="s">
        <v>67</v>
      </c>
      <c r="U348" s="293" t="s">
        <v>22818</v>
      </c>
      <c r="V348" s="293" t="s">
        <v>145</v>
      </c>
      <c r="W348" s="293" t="s">
        <v>74</v>
      </c>
      <c r="X348" s="293" t="s">
        <v>656</v>
      </c>
      <c r="Z348" s="293" t="s">
        <v>22819</v>
      </c>
      <c r="AA348" s="293" t="s">
        <v>145</v>
      </c>
      <c r="AB348" s="293" t="s">
        <v>74</v>
      </c>
      <c r="AC348" s="293" t="s">
        <v>656</v>
      </c>
      <c r="AE348" s="293" t="s">
        <v>22820</v>
      </c>
      <c r="AF348" s="293" t="s">
        <v>145</v>
      </c>
      <c r="AG348" s="293" t="s">
        <v>74</v>
      </c>
      <c r="AH348" s="293" t="s">
        <v>656</v>
      </c>
      <c r="AJ348" s="293" t="s">
        <v>22821</v>
      </c>
      <c r="AK348" s="293" t="s">
        <v>145</v>
      </c>
      <c r="AL348" s="293" t="s">
        <v>74</v>
      </c>
      <c r="AM348" s="293" t="s">
        <v>656</v>
      </c>
      <c r="AO348" s="22" t="s">
        <v>22822</v>
      </c>
      <c r="AP348" s="22" t="s">
        <v>145</v>
      </c>
      <c r="AQ348" s="22" t="s">
        <v>70</v>
      </c>
      <c r="AR348" s="22" t="s">
        <v>67</v>
      </c>
      <c r="AT348" s="22" t="s">
        <v>22823</v>
      </c>
      <c r="AU348" s="22" t="s">
        <v>145</v>
      </c>
      <c r="AV348" s="22" t="s">
        <v>70</v>
      </c>
      <c r="AW348" s="22" t="s">
        <v>67</v>
      </c>
      <c r="AY348" s="22" t="s">
        <v>22824</v>
      </c>
      <c r="AZ348" s="22" t="s">
        <v>145</v>
      </c>
      <c r="BA348" s="22" t="s">
        <v>70</v>
      </c>
      <c r="BB348" s="22" t="s">
        <v>67</v>
      </c>
      <c r="BD348" s="22" t="s">
        <v>22825</v>
      </c>
      <c r="BE348" s="22" t="s">
        <v>145</v>
      </c>
      <c r="BF348" s="22" t="s">
        <v>70</v>
      </c>
      <c r="BG348" s="22" t="s">
        <v>67</v>
      </c>
      <c r="BI348" s="22" t="s">
        <v>22826</v>
      </c>
      <c r="BJ348" s="22" t="s">
        <v>145</v>
      </c>
      <c r="BK348" s="22" t="s">
        <v>70</v>
      </c>
      <c r="BL348" s="22" t="s">
        <v>67</v>
      </c>
      <c r="BN348" s="22" t="s">
        <v>22827</v>
      </c>
      <c r="BO348" s="22" t="s">
        <v>145</v>
      </c>
      <c r="BP348" s="22" t="s">
        <v>70</v>
      </c>
      <c r="BQ348" s="22" t="s">
        <v>67</v>
      </c>
      <c r="BS348" s="22" t="s">
        <v>22828</v>
      </c>
      <c r="BT348" s="22" t="s">
        <v>145</v>
      </c>
      <c r="BU348" s="22" t="s">
        <v>70</v>
      </c>
      <c r="BV348" s="214" t="s">
        <v>530</v>
      </c>
      <c r="BX348" s="22" t="s">
        <v>22829</v>
      </c>
      <c r="BY348" s="22" t="s">
        <v>145</v>
      </c>
      <c r="BZ348" s="22" t="s">
        <v>70</v>
      </c>
      <c r="CA348" s="214" t="s">
        <v>530</v>
      </c>
      <c r="CC348" s="214" t="s">
        <v>22830</v>
      </c>
      <c r="CD348" s="218" t="s">
        <v>34608</v>
      </c>
      <c r="CE348" s="214" t="s">
        <v>70</v>
      </c>
      <c r="CF348" s="214" t="s">
        <v>34154</v>
      </c>
      <c r="CH348" s="214" t="s">
        <v>22831</v>
      </c>
      <c r="CI348" s="214" t="s">
        <v>148</v>
      </c>
      <c r="CJ348" s="214" t="s">
        <v>70</v>
      </c>
      <c r="CK348" s="214" t="s">
        <v>530</v>
      </c>
      <c r="CM348" s="214" t="s">
        <v>22832</v>
      </c>
      <c r="CN348" s="214" t="s">
        <v>485</v>
      </c>
      <c r="CO348" s="214" t="s">
        <v>70</v>
      </c>
      <c r="CP348" s="214" t="s">
        <v>530</v>
      </c>
      <c r="CR348" s="214" t="s">
        <v>22833</v>
      </c>
      <c r="CS348" s="214" t="s">
        <v>149</v>
      </c>
      <c r="CT348" s="214" t="s">
        <v>70</v>
      </c>
      <c r="CU348" s="214" t="s">
        <v>530</v>
      </c>
      <c r="CW348" s="214" t="s">
        <v>22834</v>
      </c>
      <c r="CX348" s="214" t="s">
        <v>922</v>
      </c>
      <c r="CY348" s="214" t="s">
        <v>70</v>
      </c>
      <c r="CZ348" s="214" t="s">
        <v>530</v>
      </c>
      <c r="DB348" s="214" t="s">
        <v>22835</v>
      </c>
      <c r="DC348" s="214" t="s">
        <v>765</v>
      </c>
      <c r="DD348" s="214" t="s">
        <v>70</v>
      </c>
      <c r="DE348" s="214" t="s">
        <v>530</v>
      </c>
      <c r="DG348" s="214" t="s">
        <v>22836</v>
      </c>
      <c r="DH348" s="214" t="s">
        <v>145</v>
      </c>
      <c r="DI348" s="214" t="s">
        <v>70</v>
      </c>
      <c r="DJ348" s="214" t="s">
        <v>530</v>
      </c>
      <c r="DL348" s="214" t="s">
        <v>22837</v>
      </c>
      <c r="DM348" s="214" t="s">
        <v>600</v>
      </c>
      <c r="DN348" s="214" t="s">
        <v>70</v>
      </c>
      <c r="DO348" s="214" t="s">
        <v>530</v>
      </c>
      <c r="DQ348" s="214" t="s">
        <v>22838</v>
      </c>
      <c r="DR348" s="214" t="s">
        <v>1224</v>
      </c>
      <c r="DS348" s="214" t="s">
        <v>70</v>
      </c>
      <c r="DT348" s="214" t="s">
        <v>530</v>
      </c>
      <c r="DV348" s="214" t="s">
        <v>22839</v>
      </c>
      <c r="DW348" s="214" t="s">
        <v>287</v>
      </c>
      <c r="DX348" s="214" t="s">
        <v>70</v>
      </c>
      <c r="DY348" s="214" t="s">
        <v>530</v>
      </c>
      <c r="EA348" s="214" t="s">
        <v>22840</v>
      </c>
      <c r="EB348" s="214" t="s">
        <v>90</v>
      </c>
      <c r="EC348" s="214" t="s">
        <v>70</v>
      </c>
      <c r="ED348" s="214" t="s">
        <v>530</v>
      </c>
      <c r="EF348" s="214" t="s">
        <v>22841</v>
      </c>
      <c r="EG348" s="214" t="s">
        <v>52</v>
      </c>
      <c r="EH348" s="214" t="s">
        <v>70</v>
      </c>
      <c r="EI348" s="214" t="s">
        <v>530</v>
      </c>
      <c r="EK348" s="214" t="s">
        <v>22842</v>
      </c>
      <c r="EL348" s="214" t="s">
        <v>165</v>
      </c>
      <c r="EM348" s="214" t="s">
        <v>70</v>
      </c>
      <c r="EN348" s="214" t="s">
        <v>530</v>
      </c>
      <c r="EP348" s="214" t="s">
        <v>22843</v>
      </c>
      <c r="EQ348" s="214" t="s">
        <v>642</v>
      </c>
      <c r="ER348" s="214" t="s">
        <v>70</v>
      </c>
      <c r="ES348" s="214" t="s">
        <v>530</v>
      </c>
      <c r="EU348" s="214" t="s">
        <v>22844</v>
      </c>
      <c r="EV348" s="214" t="s">
        <v>919</v>
      </c>
      <c r="EW348" s="214" t="s">
        <v>70</v>
      </c>
      <c r="EX348" s="214" t="s">
        <v>530</v>
      </c>
      <c r="EZ348" s="214" t="s">
        <v>22845</v>
      </c>
      <c r="FA348" s="214" t="s">
        <v>905</v>
      </c>
      <c r="FB348" s="214" t="s">
        <v>70</v>
      </c>
      <c r="FC348" s="214" t="s">
        <v>530</v>
      </c>
      <c r="FE348" s="214" t="s">
        <v>22846</v>
      </c>
      <c r="FF348" s="214" t="s">
        <v>468</v>
      </c>
      <c r="FG348" s="214" t="s">
        <v>70</v>
      </c>
      <c r="FH348" s="214" t="s">
        <v>530</v>
      </c>
      <c r="FJ348" s="321" t="s">
        <v>22847</v>
      </c>
      <c r="FK348" s="214" t="s">
        <v>148</v>
      </c>
      <c r="FL348" s="214" t="s">
        <v>70</v>
      </c>
      <c r="FM348" s="214" t="s">
        <v>530</v>
      </c>
      <c r="FO348" s="321" t="s">
        <v>22848</v>
      </c>
      <c r="FP348" s="214" t="s">
        <v>947</v>
      </c>
      <c r="FQ348" s="214" t="s">
        <v>70</v>
      </c>
      <c r="FR348" s="214" t="s">
        <v>530</v>
      </c>
      <c r="FT348" s="321" t="s">
        <v>22849</v>
      </c>
      <c r="FU348" s="214" t="s">
        <v>204</v>
      </c>
      <c r="FV348" s="214" t="s">
        <v>70</v>
      </c>
      <c r="FW348" s="214" t="s">
        <v>530</v>
      </c>
      <c r="FY348" s="321" t="s">
        <v>22850</v>
      </c>
      <c r="FZ348" s="214" t="s">
        <v>34540</v>
      </c>
      <c r="GA348" s="214" t="s">
        <v>70</v>
      </c>
      <c r="GB348" s="214" t="s">
        <v>530</v>
      </c>
      <c r="GD348" s="321" t="s">
        <v>22851</v>
      </c>
      <c r="GE348" s="214" t="s">
        <v>604</v>
      </c>
      <c r="GF348" s="214" t="s">
        <v>70</v>
      </c>
      <c r="GG348" s="214" t="s">
        <v>530</v>
      </c>
      <c r="GI348" s="321" t="s">
        <v>22852</v>
      </c>
      <c r="GJ348" s="214" t="s">
        <v>918</v>
      </c>
      <c r="GK348" s="214" t="s">
        <v>70</v>
      </c>
      <c r="GL348" s="214" t="s">
        <v>530</v>
      </c>
      <c r="GN348" s="321" t="s">
        <v>22853</v>
      </c>
      <c r="GO348" s="214" t="s">
        <v>34516</v>
      </c>
      <c r="GP348" s="214" t="s">
        <v>70</v>
      </c>
      <c r="GQ348" s="214" t="s">
        <v>530</v>
      </c>
      <c r="GS348" s="321" t="s">
        <v>22854</v>
      </c>
      <c r="GT348" s="214" t="s">
        <v>34575</v>
      </c>
      <c r="GU348" s="214" t="s">
        <v>70</v>
      </c>
      <c r="GV348" s="214" t="s">
        <v>530</v>
      </c>
      <c r="GX348" s="214" t="s">
        <v>22855</v>
      </c>
      <c r="GY348" s="214" t="s">
        <v>34516</v>
      </c>
      <c r="GZ348" s="214" t="s">
        <v>70</v>
      </c>
      <c r="HA348" s="214" t="s">
        <v>530</v>
      </c>
      <c r="HC348" s="214" t="s">
        <v>22856</v>
      </c>
      <c r="HD348" s="214" t="s">
        <v>34545</v>
      </c>
      <c r="HE348" s="214" t="s">
        <v>70</v>
      </c>
      <c r="HF348" s="214" t="s">
        <v>530</v>
      </c>
      <c r="HH348" s="214" t="s">
        <v>22857</v>
      </c>
      <c r="HI348" s="214" t="s">
        <v>34553</v>
      </c>
      <c r="HJ348" s="214" t="s">
        <v>70</v>
      </c>
      <c r="HK348" s="214" t="s">
        <v>530</v>
      </c>
      <c r="HM348" s="214" t="s">
        <v>22858</v>
      </c>
      <c r="HN348" s="214" t="s">
        <v>87</v>
      </c>
      <c r="HO348" s="214" t="s">
        <v>70</v>
      </c>
      <c r="HP348" s="214" t="s">
        <v>530</v>
      </c>
      <c r="HR348" s="22" t="s">
        <v>22859</v>
      </c>
      <c r="HS348" s="22" t="s">
        <v>34575</v>
      </c>
      <c r="HT348" s="22" t="s">
        <v>70</v>
      </c>
      <c r="HU348" s="214" t="s">
        <v>530</v>
      </c>
      <c r="HW348" s="22" t="s">
        <v>22860</v>
      </c>
      <c r="HX348" s="22" t="s">
        <v>90</v>
      </c>
      <c r="HY348" s="22" t="s">
        <v>70</v>
      </c>
      <c r="HZ348" s="214" t="s">
        <v>530</v>
      </c>
      <c r="IB348" s="22" t="s">
        <v>22861</v>
      </c>
      <c r="IC348" s="22" t="s">
        <v>145</v>
      </c>
      <c r="ID348" s="22" t="s">
        <v>70</v>
      </c>
      <c r="IE348" s="214" t="s">
        <v>530</v>
      </c>
      <c r="IG348" s="22" t="s">
        <v>22862</v>
      </c>
      <c r="IH348" s="22" t="s">
        <v>52</v>
      </c>
      <c r="II348" s="22" t="s">
        <v>70</v>
      </c>
      <c r="IJ348" s="214" t="s">
        <v>530</v>
      </c>
      <c r="IL348" s="22" t="s">
        <v>22863</v>
      </c>
      <c r="IM348" s="22" t="s">
        <v>145</v>
      </c>
      <c r="IN348" s="22" t="s">
        <v>70</v>
      </c>
      <c r="IO348" s="214" t="s">
        <v>530</v>
      </c>
      <c r="IQ348" s="236" t="s">
        <v>22864</v>
      </c>
      <c r="IR348" s="236" t="s">
        <v>145</v>
      </c>
      <c r="IS348" s="236" t="s">
        <v>74</v>
      </c>
      <c r="IT348" s="236" t="s">
        <v>841</v>
      </c>
      <c r="IV348" s="236" t="s">
        <v>22865</v>
      </c>
      <c r="IW348" s="236" t="s">
        <v>145</v>
      </c>
      <c r="IX348" s="236" t="s">
        <v>74</v>
      </c>
      <c r="IY348" s="236" t="s">
        <v>841</v>
      </c>
      <c r="JA348" s="236" t="s">
        <v>22866</v>
      </c>
      <c r="JB348" s="236" t="s">
        <v>145</v>
      </c>
      <c r="JC348" s="236" t="s">
        <v>74</v>
      </c>
      <c r="JD348" s="236" t="s">
        <v>841</v>
      </c>
      <c r="JF348" s="236" t="s">
        <v>22867</v>
      </c>
      <c r="JG348" s="236" t="s">
        <v>145</v>
      </c>
      <c r="JH348" s="236" t="s">
        <v>74</v>
      </c>
      <c r="JI348" s="236" t="s">
        <v>841</v>
      </c>
      <c r="JK348" s="236" t="s">
        <v>22868</v>
      </c>
      <c r="JL348" s="236" t="s">
        <v>145</v>
      </c>
      <c r="JM348" s="236" t="s">
        <v>74</v>
      </c>
      <c r="JN348" s="236" t="s">
        <v>841</v>
      </c>
      <c r="JP348" s="236" t="s">
        <v>22869</v>
      </c>
      <c r="JQ348" s="236" t="s">
        <v>145</v>
      </c>
      <c r="JR348" s="236" t="s">
        <v>74</v>
      </c>
      <c r="JS348" s="236" t="s">
        <v>841</v>
      </c>
      <c r="JU348" s="294" t="s">
        <v>22870</v>
      </c>
      <c r="JV348" s="294" t="s">
        <v>52</v>
      </c>
      <c r="JW348" s="263" t="s">
        <v>70</v>
      </c>
      <c r="JX348" s="294" t="s">
        <v>1083</v>
      </c>
      <c r="JZ348" s="263" t="s">
        <v>22871</v>
      </c>
      <c r="KA348" s="263" t="s">
        <v>145</v>
      </c>
      <c r="KB348" s="263" t="s">
        <v>70</v>
      </c>
      <c r="KC348" s="263" t="s">
        <v>1083</v>
      </c>
      <c r="KE348" s="263" t="s">
        <v>22872</v>
      </c>
      <c r="KF348" s="263" t="s">
        <v>52</v>
      </c>
      <c r="KG348" s="263" t="s">
        <v>70</v>
      </c>
      <c r="KH348" s="263" t="s">
        <v>1083</v>
      </c>
      <c r="KJ348" s="263" t="s">
        <v>22873</v>
      </c>
      <c r="KK348" s="263" t="s">
        <v>52</v>
      </c>
      <c r="KL348" s="263" t="s">
        <v>74</v>
      </c>
      <c r="KM348" s="263" t="s">
        <v>34074</v>
      </c>
      <c r="KO348" s="214" t="s">
        <v>22874</v>
      </c>
      <c r="KP348" s="214" t="s">
        <v>145</v>
      </c>
      <c r="KQ348" s="214" t="s">
        <v>70</v>
      </c>
      <c r="KR348" s="214" t="s">
        <v>67</v>
      </c>
      <c r="KT348" s="22" t="s">
        <v>22875</v>
      </c>
      <c r="KU348" s="22" t="s">
        <v>145</v>
      </c>
      <c r="KV348" s="22" t="s">
        <v>70</v>
      </c>
      <c r="KW348" s="22" t="s">
        <v>67</v>
      </c>
      <c r="KY348" s="214" t="s">
        <v>22876</v>
      </c>
      <c r="KZ348" s="214" t="s">
        <v>52</v>
      </c>
      <c r="LA348" s="214" t="s">
        <v>74</v>
      </c>
      <c r="LB348" s="214" t="s">
        <v>67</v>
      </c>
      <c r="LD348" s="22" t="s">
        <v>22877</v>
      </c>
      <c r="LE348" s="22" t="s">
        <v>145</v>
      </c>
      <c r="LF348" s="22" t="s">
        <v>70</v>
      </c>
      <c r="LG348" s="22" t="s">
        <v>67</v>
      </c>
    </row>
    <row r="349" spans="1:319">
      <c r="A349" s="22" t="s">
        <v>22878</v>
      </c>
      <c r="B349" s="22" t="s">
        <v>145</v>
      </c>
      <c r="C349" s="22" t="s">
        <v>70</v>
      </c>
      <c r="D349" s="22" t="s">
        <v>67</v>
      </c>
      <c r="F349" s="99" t="s">
        <v>22879</v>
      </c>
      <c r="G349" s="22" t="s">
        <v>145</v>
      </c>
      <c r="H349" s="22" t="s">
        <v>70</v>
      </c>
      <c r="I349" s="22" t="s">
        <v>67</v>
      </c>
      <c r="K349" s="99" t="s">
        <v>22880</v>
      </c>
      <c r="L349" s="22" t="s">
        <v>145</v>
      </c>
      <c r="M349" s="22" t="s">
        <v>70</v>
      </c>
      <c r="N349" s="22" t="s">
        <v>67</v>
      </c>
      <c r="P349" s="22" t="s">
        <v>22881</v>
      </c>
      <c r="Q349" s="22" t="s">
        <v>145</v>
      </c>
      <c r="R349" s="22" t="s">
        <v>70</v>
      </c>
      <c r="S349" s="22" t="s">
        <v>67</v>
      </c>
      <c r="U349" s="293" t="s">
        <v>22882</v>
      </c>
      <c r="V349" s="293" t="s">
        <v>145</v>
      </c>
      <c r="W349" s="293" t="s">
        <v>74</v>
      </c>
      <c r="X349" s="293" t="s">
        <v>656</v>
      </c>
      <c r="Z349" s="293" t="s">
        <v>22883</v>
      </c>
      <c r="AA349" s="293" t="s">
        <v>145</v>
      </c>
      <c r="AB349" s="293" t="s">
        <v>74</v>
      </c>
      <c r="AC349" s="293" t="s">
        <v>656</v>
      </c>
      <c r="AE349" s="293" t="s">
        <v>22884</v>
      </c>
      <c r="AF349" s="293" t="s">
        <v>145</v>
      </c>
      <c r="AG349" s="293" t="s">
        <v>74</v>
      </c>
      <c r="AH349" s="293" t="s">
        <v>656</v>
      </c>
      <c r="AJ349" s="293" t="s">
        <v>22885</v>
      </c>
      <c r="AK349" s="293" t="s">
        <v>145</v>
      </c>
      <c r="AL349" s="293" t="s">
        <v>74</v>
      </c>
      <c r="AM349" s="293" t="s">
        <v>656</v>
      </c>
      <c r="AO349" s="22" t="s">
        <v>22886</v>
      </c>
      <c r="AP349" s="22" t="s">
        <v>145</v>
      </c>
      <c r="AQ349" s="22" t="s">
        <v>70</v>
      </c>
      <c r="AR349" s="22" t="s">
        <v>67</v>
      </c>
      <c r="AT349" s="22" t="s">
        <v>22887</v>
      </c>
      <c r="AU349" s="22" t="s">
        <v>145</v>
      </c>
      <c r="AV349" s="22" t="s">
        <v>70</v>
      </c>
      <c r="AW349" s="22" t="s">
        <v>67</v>
      </c>
      <c r="AY349" s="22" t="s">
        <v>22888</v>
      </c>
      <c r="AZ349" s="22" t="s">
        <v>145</v>
      </c>
      <c r="BA349" s="22" t="s">
        <v>70</v>
      </c>
      <c r="BB349" s="22" t="s">
        <v>67</v>
      </c>
      <c r="BD349" s="22" t="s">
        <v>22889</v>
      </c>
      <c r="BE349" s="22" t="s">
        <v>145</v>
      </c>
      <c r="BF349" s="22" t="s">
        <v>70</v>
      </c>
      <c r="BG349" s="22" t="s">
        <v>67</v>
      </c>
      <c r="BI349" s="22" t="s">
        <v>22890</v>
      </c>
      <c r="BJ349" s="22" t="s">
        <v>145</v>
      </c>
      <c r="BK349" s="22" t="s">
        <v>70</v>
      </c>
      <c r="BL349" s="22" t="s">
        <v>67</v>
      </c>
      <c r="BN349" s="22" t="s">
        <v>22891</v>
      </c>
      <c r="BO349" s="22" t="s">
        <v>145</v>
      </c>
      <c r="BP349" s="22" t="s">
        <v>70</v>
      </c>
      <c r="BQ349" s="22" t="s">
        <v>67</v>
      </c>
      <c r="BS349" s="22" t="s">
        <v>22892</v>
      </c>
      <c r="BT349" s="22" t="s">
        <v>145</v>
      </c>
      <c r="BU349" s="22" t="s">
        <v>70</v>
      </c>
      <c r="BV349" s="214" t="s">
        <v>530</v>
      </c>
      <c r="BX349" s="22" t="s">
        <v>22893</v>
      </c>
      <c r="BY349" s="22" t="s">
        <v>145</v>
      </c>
      <c r="BZ349" s="22" t="s">
        <v>70</v>
      </c>
      <c r="CA349" s="214" t="s">
        <v>530</v>
      </c>
      <c r="CC349" s="214" t="s">
        <v>22894</v>
      </c>
      <c r="CD349" s="218" t="s">
        <v>34607</v>
      </c>
      <c r="CE349" s="214" t="s">
        <v>70</v>
      </c>
      <c r="CF349" s="214" t="s">
        <v>34155</v>
      </c>
      <c r="CH349" s="214" t="s">
        <v>22895</v>
      </c>
      <c r="CI349" s="214" t="s">
        <v>34562</v>
      </c>
      <c r="CJ349" s="214" t="s">
        <v>70</v>
      </c>
      <c r="CK349" s="214" t="s">
        <v>530</v>
      </c>
      <c r="CM349" s="214" t="s">
        <v>22896</v>
      </c>
      <c r="CN349" s="214" t="s">
        <v>146</v>
      </c>
      <c r="CO349" s="214" t="s">
        <v>70</v>
      </c>
      <c r="CP349" s="214" t="s">
        <v>530</v>
      </c>
      <c r="CR349" s="214" t="s">
        <v>22897</v>
      </c>
      <c r="CS349" s="214" t="s">
        <v>484</v>
      </c>
      <c r="CT349" s="214" t="s">
        <v>70</v>
      </c>
      <c r="CU349" s="214" t="s">
        <v>530</v>
      </c>
      <c r="CW349" s="214" t="s">
        <v>22898</v>
      </c>
      <c r="CX349" s="214" t="s">
        <v>491</v>
      </c>
      <c r="CY349" s="214" t="s">
        <v>70</v>
      </c>
      <c r="CZ349" s="214" t="s">
        <v>530</v>
      </c>
      <c r="DB349" s="214" t="s">
        <v>22899</v>
      </c>
      <c r="DC349" s="214" t="s">
        <v>103</v>
      </c>
      <c r="DD349" s="214" t="s">
        <v>70</v>
      </c>
      <c r="DE349" s="214" t="s">
        <v>530</v>
      </c>
      <c r="DG349" s="214" t="s">
        <v>22900</v>
      </c>
      <c r="DH349" s="214" t="s">
        <v>34541</v>
      </c>
      <c r="DI349" s="214" t="s">
        <v>70</v>
      </c>
      <c r="DJ349" s="214" t="s">
        <v>530</v>
      </c>
      <c r="DL349" s="214" t="s">
        <v>22901</v>
      </c>
      <c r="DM349" s="214" t="s">
        <v>34555</v>
      </c>
      <c r="DN349" s="214" t="s">
        <v>70</v>
      </c>
      <c r="DO349" s="214" t="s">
        <v>530</v>
      </c>
      <c r="DQ349" s="214" t="s">
        <v>22902</v>
      </c>
      <c r="DR349" s="214" t="s">
        <v>34548</v>
      </c>
      <c r="DS349" s="214" t="s">
        <v>70</v>
      </c>
      <c r="DT349" s="214" t="s">
        <v>530</v>
      </c>
      <c r="DV349" s="214" t="s">
        <v>22903</v>
      </c>
      <c r="DW349" s="214" t="s">
        <v>146</v>
      </c>
      <c r="DX349" s="214" t="s">
        <v>70</v>
      </c>
      <c r="DY349" s="214" t="s">
        <v>530</v>
      </c>
      <c r="EA349" s="214" t="s">
        <v>22904</v>
      </c>
      <c r="EB349" s="214" t="s">
        <v>52</v>
      </c>
      <c r="EC349" s="214" t="s">
        <v>70</v>
      </c>
      <c r="ED349" s="214" t="s">
        <v>530</v>
      </c>
      <c r="EF349" s="214" t="s">
        <v>22905</v>
      </c>
      <c r="EG349" s="214" t="s">
        <v>502</v>
      </c>
      <c r="EH349" s="214" t="s">
        <v>70</v>
      </c>
      <c r="EI349" s="214" t="s">
        <v>530</v>
      </c>
      <c r="EK349" s="214" t="s">
        <v>22906</v>
      </c>
      <c r="EL349" s="214" t="s">
        <v>34544</v>
      </c>
      <c r="EM349" s="214" t="s">
        <v>70</v>
      </c>
      <c r="EN349" s="214" t="s">
        <v>530</v>
      </c>
      <c r="EP349" s="214" t="s">
        <v>22907</v>
      </c>
      <c r="EQ349" s="214" t="s">
        <v>52</v>
      </c>
      <c r="ER349" s="214" t="s">
        <v>70</v>
      </c>
      <c r="ES349" s="214" t="s">
        <v>530</v>
      </c>
      <c r="EU349" s="214" t="s">
        <v>22908</v>
      </c>
      <c r="EV349" s="214" t="s">
        <v>34579</v>
      </c>
      <c r="EW349" s="214" t="s">
        <v>70</v>
      </c>
      <c r="EX349" s="214" t="s">
        <v>530</v>
      </c>
      <c r="EZ349" s="214" t="s">
        <v>22909</v>
      </c>
      <c r="FA349" s="214" t="s">
        <v>501</v>
      </c>
      <c r="FB349" s="214" t="s">
        <v>70</v>
      </c>
      <c r="FC349" s="214" t="s">
        <v>530</v>
      </c>
      <c r="FE349" s="214" t="s">
        <v>22910</v>
      </c>
      <c r="FF349" s="214" t="s">
        <v>915</v>
      </c>
      <c r="FG349" s="214" t="s">
        <v>70</v>
      </c>
      <c r="FH349" s="214" t="s">
        <v>530</v>
      </c>
      <c r="FJ349" s="321" t="s">
        <v>22911</v>
      </c>
      <c r="FK349" s="214" t="s">
        <v>496</v>
      </c>
      <c r="FL349" s="214" t="s">
        <v>70</v>
      </c>
      <c r="FM349" s="214" t="s">
        <v>530</v>
      </c>
      <c r="FO349" s="321" t="s">
        <v>22912</v>
      </c>
      <c r="FP349" s="214" t="s">
        <v>501</v>
      </c>
      <c r="FQ349" s="214" t="s">
        <v>70</v>
      </c>
      <c r="FR349" s="214" t="s">
        <v>530</v>
      </c>
      <c r="FT349" s="321" t="s">
        <v>22913</v>
      </c>
      <c r="FU349" s="214" t="s">
        <v>491</v>
      </c>
      <c r="FV349" s="214" t="s">
        <v>70</v>
      </c>
      <c r="FW349" s="214" t="s">
        <v>530</v>
      </c>
      <c r="FY349" s="321" t="s">
        <v>22914</v>
      </c>
      <c r="FZ349" s="214" t="s">
        <v>34550</v>
      </c>
      <c r="GA349" s="214" t="s">
        <v>70</v>
      </c>
      <c r="GB349" s="214" t="s">
        <v>530</v>
      </c>
      <c r="GD349" s="321" t="s">
        <v>22915</v>
      </c>
      <c r="GE349" s="214" t="s">
        <v>52</v>
      </c>
      <c r="GF349" s="214" t="s">
        <v>70</v>
      </c>
      <c r="GG349" s="214" t="s">
        <v>530</v>
      </c>
      <c r="GI349" s="321" t="s">
        <v>22916</v>
      </c>
      <c r="GJ349" s="214" t="s">
        <v>468</v>
      </c>
      <c r="GK349" s="214" t="s">
        <v>70</v>
      </c>
      <c r="GL349" s="214" t="s">
        <v>530</v>
      </c>
      <c r="GN349" s="321" t="s">
        <v>22917</v>
      </c>
      <c r="GO349" s="214" t="s">
        <v>599</v>
      </c>
      <c r="GP349" s="214" t="s">
        <v>70</v>
      </c>
      <c r="GQ349" s="214" t="s">
        <v>530</v>
      </c>
      <c r="GS349" s="321" t="s">
        <v>22918</v>
      </c>
      <c r="GT349" s="214" t="s">
        <v>502</v>
      </c>
      <c r="GU349" s="214" t="s">
        <v>70</v>
      </c>
      <c r="GV349" s="214" t="s">
        <v>530</v>
      </c>
      <c r="GX349" s="214" t="s">
        <v>22919</v>
      </c>
      <c r="GY349" s="214" t="s">
        <v>52</v>
      </c>
      <c r="GZ349" s="214" t="s">
        <v>70</v>
      </c>
      <c r="HA349" s="214" t="s">
        <v>530</v>
      </c>
      <c r="HC349" s="214" t="s">
        <v>22920</v>
      </c>
      <c r="HD349" s="214" t="s">
        <v>34551</v>
      </c>
      <c r="HE349" s="214" t="s">
        <v>70</v>
      </c>
      <c r="HF349" s="214" t="s">
        <v>530</v>
      </c>
      <c r="HH349" s="214" t="s">
        <v>22921</v>
      </c>
      <c r="HI349" s="214" t="s">
        <v>496</v>
      </c>
      <c r="HJ349" s="214" t="s">
        <v>70</v>
      </c>
      <c r="HK349" s="214" t="s">
        <v>530</v>
      </c>
      <c r="HM349" s="214" t="s">
        <v>22922</v>
      </c>
      <c r="HN349" s="214" t="s">
        <v>92</v>
      </c>
      <c r="HO349" s="214" t="s">
        <v>70</v>
      </c>
      <c r="HP349" s="214" t="s">
        <v>530</v>
      </c>
      <c r="HR349" s="22" t="s">
        <v>22923</v>
      </c>
      <c r="HS349" s="22" t="s">
        <v>531</v>
      </c>
      <c r="HT349" s="22" t="s">
        <v>70</v>
      </c>
      <c r="HU349" s="214" t="s">
        <v>530</v>
      </c>
      <c r="HW349" s="22" t="s">
        <v>22924</v>
      </c>
      <c r="HX349" s="22" t="s">
        <v>487</v>
      </c>
      <c r="HY349" s="22" t="s">
        <v>70</v>
      </c>
      <c r="HZ349" s="214" t="s">
        <v>530</v>
      </c>
      <c r="IB349" s="22" t="s">
        <v>22925</v>
      </c>
      <c r="IC349" s="22" t="s">
        <v>145</v>
      </c>
      <c r="ID349" s="22" t="s">
        <v>70</v>
      </c>
      <c r="IE349" s="214" t="s">
        <v>530</v>
      </c>
      <c r="IG349" s="22" t="s">
        <v>22926</v>
      </c>
      <c r="IH349" s="22" t="s">
        <v>52</v>
      </c>
      <c r="II349" s="22" t="s">
        <v>70</v>
      </c>
      <c r="IJ349" s="214" t="s">
        <v>530</v>
      </c>
      <c r="IL349" s="22" t="s">
        <v>22927</v>
      </c>
      <c r="IM349" s="22" t="s">
        <v>145</v>
      </c>
      <c r="IN349" s="22" t="s">
        <v>70</v>
      </c>
      <c r="IO349" s="214" t="s">
        <v>530</v>
      </c>
      <c r="IQ349" s="236" t="s">
        <v>22928</v>
      </c>
      <c r="IR349" s="236" t="s">
        <v>145</v>
      </c>
      <c r="IS349" s="236" t="s">
        <v>74</v>
      </c>
      <c r="IT349" s="236" t="s">
        <v>841</v>
      </c>
      <c r="IV349" s="236" t="s">
        <v>22929</v>
      </c>
      <c r="IW349" s="236" t="s">
        <v>145</v>
      </c>
      <c r="IX349" s="236" t="s">
        <v>74</v>
      </c>
      <c r="IY349" s="236" t="s">
        <v>841</v>
      </c>
      <c r="JA349" s="236" t="s">
        <v>22930</v>
      </c>
      <c r="JB349" s="236" t="s">
        <v>145</v>
      </c>
      <c r="JC349" s="236" t="s">
        <v>74</v>
      </c>
      <c r="JD349" s="236" t="s">
        <v>841</v>
      </c>
      <c r="JF349" s="236" t="s">
        <v>22931</v>
      </c>
      <c r="JG349" s="236" t="s">
        <v>145</v>
      </c>
      <c r="JH349" s="236" t="s">
        <v>74</v>
      </c>
      <c r="JI349" s="236" t="s">
        <v>841</v>
      </c>
      <c r="JK349" s="236" t="s">
        <v>22932</v>
      </c>
      <c r="JL349" s="236" t="s">
        <v>145</v>
      </c>
      <c r="JM349" s="236" t="s">
        <v>74</v>
      </c>
      <c r="JN349" s="236" t="s">
        <v>841</v>
      </c>
      <c r="JP349" s="236" t="s">
        <v>22933</v>
      </c>
      <c r="JQ349" s="236" t="s">
        <v>145</v>
      </c>
      <c r="JR349" s="236" t="s">
        <v>74</v>
      </c>
      <c r="JS349" s="236" t="s">
        <v>841</v>
      </c>
      <c r="JU349" s="294" t="s">
        <v>22934</v>
      </c>
      <c r="JV349" s="294" t="s">
        <v>52</v>
      </c>
      <c r="JW349" s="263" t="s">
        <v>70</v>
      </c>
      <c r="JX349" s="294" t="s">
        <v>1083</v>
      </c>
      <c r="JZ349" s="263" t="s">
        <v>22935</v>
      </c>
      <c r="KA349" s="263" t="s">
        <v>145</v>
      </c>
      <c r="KB349" s="263" t="s">
        <v>70</v>
      </c>
      <c r="KC349" s="263" t="s">
        <v>1083</v>
      </c>
      <c r="KE349" s="263" t="s">
        <v>22936</v>
      </c>
      <c r="KF349" s="263" t="s">
        <v>52</v>
      </c>
      <c r="KG349" s="263" t="s">
        <v>70</v>
      </c>
      <c r="KH349" s="263" t="s">
        <v>1083</v>
      </c>
      <c r="KJ349" s="263" t="s">
        <v>22937</v>
      </c>
      <c r="KK349" s="263" t="s">
        <v>52</v>
      </c>
      <c r="KL349" s="263" t="s">
        <v>74</v>
      </c>
      <c r="KM349" s="263" t="s">
        <v>34074</v>
      </c>
      <c r="KO349" s="214" t="s">
        <v>22938</v>
      </c>
      <c r="KP349" s="214" t="s">
        <v>145</v>
      </c>
      <c r="KQ349" s="214" t="s">
        <v>70</v>
      </c>
      <c r="KR349" s="214" t="s">
        <v>67</v>
      </c>
      <c r="KT349" s="22" t="s">
        <v>22939</v>
      </c>
      <c r="KU349" s="22" t="s">
        <v>145</v>
      </c>
      <c r="KV349" s="22" t="s">
        <v>70</v>
      </c>
      <c r="KW349" s="22" t="s">
        <v>67</v>
      </c>
      <c r="KY349" s="214" t="s">
        <v>22940</v>
      </c>
      <c r="KZ349" s="214" t="s">
        <v>52</v>
      </c>
      <c r="LA349" s="214" t="s">
        <v>74</v>
      </c>
      <c r="LB349" s="214" t="s">
        <v>67</v>
      </c>
      <c r="LD349" s="22" t="s">
        <v>22941</v>
      </c>
      <c r="LE349" s="22" t="s">
        <v>145</v>
      </c>
      <c r="LF349" s="22" t="s">
        <v>70</v>
      </c>
      <c r="LG349" s="22" t="s">
        <v>67</v>
      </c>
    </row>
    <row r="350" spans="1:319">
      <c r="A350" s="22" t="s">
        <v>22942</v>
      </c>
      <c r="B350" s="22" t="s">
        <v>145</v>
      </c>
      <c r="C350" s="22" t="s">
        <v>70</v>
      </c>
      <c r="D350" s="22" t="s">
        <v>67</v>
      </c>
      <c r="F350" s="99" t="s">
        <v>22943</v>
      </c>
      <c r="G350" s="22" t="s">
        <v>145</v>
      </c>
      <c r="H350" s="22" t="s">
        <v>70</v>
      </c>
      <c r="I350" s="22" t="s">
        <v>67</v>
      </c>
      <c r="K350" s="99" t="s">
        <v>22944</v>
      </c>
      <c r="L350" s="22" t="s">
        <v>145</v>
      </c>
      <c r="M350" s="22" t="s">
        <v>70</v>
      </c>
      <c r="N350" s="22" t="s">
        <v>67</v>
      </c>
      <c r="P350" s="22" t="s">
        <v>22945</v>
      </c>
      <c r="Q350" s="22" t="s">
        <v>145</v>
      </c>
      <c r="R350" s="22" t="s">
        <v>70</v>
      </c>
      <c r="S350" s="22" t="s">
        <v>67</v>
      </c>
      <c r="U350" s="293" t="s">
        <v>22946</v>
      </c>
      <c r="V350" s="293" t="s">
        <v>145</v>
      </c>
      <c r="W350" s="293" t="s">
        <v>74</v>
      </c>
      <c r="X350" s="293" t="s">
        <v>656</v>
      </c>
      <c r="Z350" s="293" t="s">
        <v>22947</v>
      </c>
      <c r="AA350" s="293" t="s">
        <v>145</v>
      </c>
      <c r="AB350" s="293" t="s">
        <v>74</v>
      </c>
      <c r="AC350" s="293" t="s">
        <v>656</v>
      </c>
      <c r="AE350" s="293" t="s">
        <v>22948</v>
      </c>
      <c r="AF350" s="293" t="s">
        <v>145</v>
      </c>
      <c r="AG350" s="293" t="s">
        <v>74</v>
      </c>
      <c r="AH350" s="293" t="s">
        <v>656</v>
      </c>
      <c r="AJ350" s="293" t="s">
        <v>22949</v>
      </c>
      <c r="AK350" s="293" t="s">
        <v>145</v>
      </c>
      <c r="AL350" s="293" t="s">
        <v>74</v>
      </c>
      <c r="AM350" s="293" t="s">
        <v>656</v>
      </c>
      <c r="AO350" s="22" t="s">
        <v>22950</v>
      </c>
      <c r="AP350" s="22" t="s">
        <v>145</v>
      </c>
      <c r="AQ350" s="22" t="s">
        <v>70</v>
      </c>
      <c r="AR350" s="22" t="s">
        <v>67</v>
      </c>
      <c r="AT350" s="22" t="s">
        <v>22951</v>
      </c>
      <c r="AU350" s="22" t="s">
        <v>145</v>
      </c>
      <c r="AV350" s="22" t="s">
        <v>70</v>
      </c>
      <c r="AW350" s="22" t="s">
        <v>67</v>
      </c>
      <c r="AY350" s="22" t="s">
        <v>22952</v>
      </c>
      <c r="AZ350" s="22" t="s">
        <v>145</v>
      </c>
      <c r="BA350" s="22" t="s">
        <v>70</v>
      </c>
      <c r="BB350" s="22" t="s">
        <v>67</v>
      </c>
      <c r="BD350" s="22" t="s">
        <v>22953</v>
      </c>
      <c r="BE350" s="22" t="s">
        <v>145</v>
      </c>
      <c r="BF350" s="22" t="s">
        <v>70</v>
      </c>
      <c r="BG350" s="22" t="s">
        <v>67</v>
      </c>
      <c r="BI350" s="22" t="s">
        <v>22954</v>
      </c>
      <c r="BJ350" s="22" t="s">
        <v>145</v>
      </c>
      <c r="BK350" s="22" t="s">
        <v>70</v>
      </c>
      <c r="BL350" s="22" t="s">
        <v>67</v>
      </c>
      <c r="BN350" s="22" t="s">
        <v>22955</v>
      </c>
      <c r="BO350" s="22" t="s">
        <v>145</v>
      </c>
      <c r="BP350" s="22" t="s">
        <v>70</v>
      </c>
      <c r="BQ350" s="22" t="s">
        <v>67</v>
      </c>
      <c r="BS350" s="22" t="s">
        <v>22956</v>
      </c>
      <c r="BT350" s="22" t="s">
        <v>145</v>
      </c>
      <c r="BU350" s="22" t="s">
        <v>70</v>
      </c>
      <c r="BV350" s="214" t="s">
        <v>530</v>
      </c>
      <c r="BX350" s="22" t="s">
        <v>22957</v>
      </c>
      <c r="BY350" s="22" t="s">
        <v>145</v>
      </c>
      <c r="BZ350" s="22" t="s">
        <v>70</v>
      </c>
      <c r="CA350" s="214" t="s">
        <v>530</v>
      </c>
      <c r="CC350" s="214" t="s">
        <v>22958</v>
      </c>
      <c r="CD350" s="218" t="s">
        <v>52</v>
      </c>
      <c r="CE350" s="214" t="s">
        <v>70</v>
      </c>
      <c r="CF350" s="214" t="s">
        <v>34156</v>
      </c>
      <c r="CH350" s="214" t="s">
        <v>22959</v>
      </c>
      <c r="CI350" s="214" t="s">
        <v>52</v>
      </c>
      <c r="CJ350" s="214" t="s">
        <v>70</v>
      </c>
      <c r="CK350" s="214" t="s">
        <v>530</v>
      </c>
      <c r="CM350" s="214" t="s">
        <v>22960</v>
      </c>
      <c r="CN350" s="214" t="s">
        <v>85</v>
      </c>
      <c r="CO350" s="214" t="s">
        <v>70</v>
      </c>
      <c r="CP350" s="214" t="s">
        <v>530</v>
      </c>
      <c r="CR350" s="214" t="s">
        <v>22961</v>
      </c>
      <c r="CS350" s="214" t="s">
        <v>204</v>
      </c>
      <c r="CT350" s="214" t="s">
        <v>70</v>
      </c>
      <c r="CU350" s="214" t="s">
        <v>530</v>
      </c>
      <c r="CW350" s="214" t="s">
        <v>22962</v>
      </c>
      <c r="CX350" s="214" t="s">
        <v>488</v>
      </c>
      <c r="CY350" s="214" t="s">
        <v>70</v>
      </c>
      <c r="CZ350" s="214" t="s">
        <v>530</v>
      </c>
      <c r="DB350" s="214" t="s">
        <v>22963</v>
      </c>
      <c r="DC350" s="214" t="s">
        <v>164</v>
      </c>
      <c r="DD350" s="214" t="s">
        <v>70</v>
      </c>
      <c r="DE350" s="214" t="s">
        <v>530</v>
      </c>
      <c r="DG350" s="214" t="s">
        <v>22964</v>
      </c>
      <c r="DH350" s="214" t="s">
        <v>34611</v>
      </c>
      <c r="DI350" s="214" t="s">
        <v>70</v>
      </c>
      <c r="DJ350" s="214" t="s">
        <v>530</v>
      </c>
      <c r="DL350" s="214" t="s">
        <v>22965</v>
      </c>
      <c r="DM350" s="214" t="s">
        <v>955</v>
      </c>
      <c r="DN350" s="214" t="s">
        <v>70</v>
      </c>
      <c r="DO350" s="214" t="s">
        <v>530</v>
      </c>
      <c r="DQ350" s="214" t="s">
        <v>22966</v>
      </c>
      <c r="DR350" s="214" t="s">
        <v>34547</v>
      </c>
      <c r="DS350" s="214" t="s">
        <v>70</v>
      </c>
      <c r="DT350" s="214" t="s">
        <v>530</v>
      </c>
      <c r="DV350" s="214" t="s">
        <v>22967</v>
      </c>
      <c r="DW350" s="214" t="s">
        <v>148</v>
      </c>
      <c r="DX350" s="214" t="s">
        <v>70</v>
      </c>
      <c r="DY350" s="214" t="s">
        <v>530</v>
      </c>
      <c r="EA350" s="214" t="s">
        <v>22968</v>
      </c>
      <c r="EB350" s="214" t="s">
        <v>93</v>
      </c>
      <c r="EC350" s="214" t="s">
        <v>70</v>
      </c>
      <c r="ED350" s="214" t="s">
        <v>530</v>
      </c>
      <c r="EF350" s="214" t="s">
        <v>22969</v>
      </c>
      <c r="EG350" s="214" t="s">
        <v>92</v>
      </c>
      <c r="EH350" s="214" t="s">
        <v>70</v>
      </c>
      <c r="EI350" s="214" t="s">
        <v>530</v>
      </c>
      <c r="EK350" s="214" t="s">
        <v>22970</v>
      </c>
      <c r="EL350" s="214" t="s">
        <v>932</v>
      </c>
      <c r="EM350" s="214" t="s">
        <v>70</v>
      </c>
      <c r="EN350" s="214" t="s">
        <v>530</v>
      </c>
      <c r="EP350" s="214" t="s">
        <v>22971</v>
      </c>
      <c r="EQ350" s="214" t="s">
        <v>90</v>
      </c>
      <c r="ER350" s="214" t="s">
        <v>70</v>
      </c>
      <c r="ES350" s="214" t="s">
        <v>530</v>
      </c>
      <c r="EU350" s="214" t="s">
        <v>22972</v>
      </c>
      <c r="EV350" s="214" t="s">
        <v>52</v>
      </c>
      <c r="EW350" s="214" t="s">
        <v>70</v>
      </c>
      <c r="EX350" s="214" t="s">
        <v>530</v>
      </c>
      <c r="EZ350" s="214" t="s">
        <v>22973</v>
      </c>
      <c r="FA350" s="214" t="s">
        <v>149</v>
      </c>
      <c r="FB350" s="214" t="s">
        <v>70</v>
      </c>
      <c r="FC350" s="214" t="s">
        <v>530</v>
      </c>
      <c r="FE350" s="214" t="s">
        <v>22974</v>
      </c>
      <c r="FF350" s="214" t="s">
        <v>468</v>
      </c>
      <c r="FG350" s="214" t="s">
        <v>70</v>
      </c>
      <c r="FH350" s="214" t="s">
        <v>530</v>
      </c>
      <c r="FJ350" s="321" t="s">
        <v>22975</v>
      </c>
      <c r="FK350" s="214" t="s">
        <v>52</v>
      </c>
      <c r="FL350" s="214" t="s">
        <v>70</v>
      </c>
      <c r="FM350" s="214" t="s">
        <v>530</v>
      </c>
      <c r="FO350" s="321" t="s">
        <v>22976</v>
      </c>
      <c r="FP350" s="214" t="s">
        <v>34516</v>
      </c>
      <c r="FQ350" s="214" t="s">
        <v>70</v>
      </c>
      <c r="FR350" s="214" t="s">
        <v>530</v>
      </c>
      <c r="FT350" s="321" t="s">
        <v>22977</v>
      </c>
      <c r="FU350" s="214" t="s">
        <v>148</v>
      </c>
      <c r="FV350" s="214" t="s">
        <v>70</v>
      </c>
      <c r="FW350" s="214" t="s">
        <v>530</v>
      </c>
      <c r="FY350" s="321" t="s">
        <v>22978</v>
      </c>
      <c r="FZ350" s="214" t="s">
        <v>502</v>
      </c>
      <c r="GA350" s="214" t="s">
        <v>70</v>
      </c>
      <c r="GB350" s="214" t="s">
        <v>530</v>
      </c>
      <c r="GD350" s="321" t="s">
        <v>22979</v>
      </c>
      <c r="GE350" s="214" t="s">
        <v>52</v>
      </c>
      <c r="GF350" s="214" t="s">
        <v>70</v>
      </c>
      <c r="GG350" s="214" t="s">
        <v>530</v>
      </c>
      <c r="GI350" s="321" t="s">
        <v>22980</v>
      </c>
      <c r="GJ350" s="214" t="s">
        <v>52</v>
      </c>
      <c r="GK350" s="214" t="s">
        <v>70</v>
      </c>
      <c r="GL350" s="214" t="s">
        <v>530</v>
      </c>
      <c r="GN350" s="321" t="s">
        <v>22981</v>
      </c>
      <c r="GO350" s="214" t="s">
        <v>936</v>
      </c>
      <c r="GP350" s="214" t="s">
        <v>70</v>
      </c>
      <c r="GQ350" s="214" t="s">
        <v>530</v>
      </c>
      <c r="GS350" s="321" t="s">
        <v>22982</v>
      </c>
      <c r="GT350" s="214" t="s">
        <v>949</v>
      </c>
      <c r="GU350" s="214" t="s">
        <v>70</v>
      </c>
      <c r="GV350" s="214" t="s">
        <v>530</v>
      </c>
      <c r="GX350" s="214" t="s">
        <v>22983</v>
      </c>
      <c r="GY350" s="214" t="s">
        <v>34583</v>
      </c>
      <c r="GZ350" s="214" t="s">
        <v>70</v>
      </c>
      <c r="HA350" s="214" t="s">
        <v>530</v>
      </c>
      <c r="HC350" s="214" t="s">
        <v>22984</v>
      </c>
      <c r="HD350" s="214" t="s">
        <v>518</v>
      </c>
      <c r="HE350" s="214" t="s">
        <v>70</v>
      </c>
      <c r="HF350" s="214" t="s">
        <v>530</v>
      </c>
      <c r="HH350" s="214" t="s">
        <v>22985</v>
      </c>
      <c r="HI350" s="214" t="s">
        <v>52</v>
      </c>
      <c r="HJ350" s="214" t="s">
        <v>70</v>
      </c>
      <c r="HK350" s="214" t="s">
        <v>530</v>
      </c>
      <c r="HM350" s="214" t="s">
        <v>22986</v>
      </c>
      <c r="HN350" s="214" t="s">
        <v>52</v>
      </c>
      <c r="HO350" s="214" t="s">
        <v>70</v>
      </c>
      <c r="HP350" s="214" t="s">
        <v>530</v>
      </c>
      <c r="HR350" s="22" t="s">
        <v>22987</v>
      </c>
      <c r="HS350" s="22" t="s">
        <v>34542</v>
      </c>
      <c r="HT350" s="22" t="s">
        <v>70</v>
      </c>
      <c r="HU350" s="214" t="s">
        <v>530</v>
      </c>
      <c r="HW350" s="22" t="s">
        <v>22988</v>
      </c>
      <c r="HX350" s="22" t="s">
        <v>34608</v>
      </c>
      <c r="HY350" s="22" t="s">
        <v>70</v>
      </c>
      <c r="HZ350" s="214" t="s">
        <v>530</v>
      </c>
      <c r="IB350" s="22" t="s">
        <v>22989</v>
      </c>
      <c r="IC350" s="22" t="s">
        <v>145</v>
      </c>
      <c r="ID350" s="22" t="s">
        <v>70</v>
      </c>
      <c r="IE350" s="214" t="s">
        <v>530</v>
      </c>
      <c r="IG350" s="22" t="s">
        <v>22990</v>
      </c>
      <c r="IH350" s="22" t="s">
        <v>52</v>
      </c>
      <c r="II350" s="22" t="s">
        <v>70</v>
      </c>
      <c r="IJ350" s="214" t="s">
        <v>530</v>
      </c>
      <c r="IL350" s="22" t="s">
        <v>22991</v>
      </c>
      <c r="IM350" s="22" t="s">
        <v>145</v>
      </c>
      <c r="IN350" s="22" t="s">
        <v>70</v>
      </c>
      <c r="IO350" s="214" t="s">
        <v>530</v>
      </c>
      <c r="IQ350" s="236" t="s">
        <v>22992</v>
      </c>
      <c r="IR350" s="236" t="s">
        <v>145</v>
      </c>
      <c r="IS350" s="236" t="s">
        <v>74</v>
      </c>
      <c r="IT350" s="236" t="s">
        <v>841</v>
      </c>
      <c r="IV350" s="236" t="s">
        <v>22993</v>
      </c>
      <c r="IW350" s="236" t="s">
        <v>145</v>
      </c>
      <c r="IX350" s="236" t="s">
        <v>74</v>
      </c>
      <c r="IY350" s="236" t="s">
        <v>841</v>
      </c>
      <c r="JA350" s="236" t="s">
        <v>22994</v>
      </c>
      <c r="JB350" s="236" t="s">
        <v>145</v>
      </c>
      <c r="JC350" s="236" t="s">
        <v>74</v>
      </c>
      <c r="JD350" s="236" t="s">
        <v>841</v>
      </c>
      <c r="JF350" s="236" t="s">
        <v>22995</v>
      </c>
      <c r="JG350" s="236" t="s">
        <v>145</v>
      </c>
      <c r="JH350" s="236" t="s">
        <v>74</v>
      </c>
      <c r="JI350" s="236" t="s">
        <v>841</v>
      </c>
      <c r="JK350" s="236" t="s">
        <v>22996</v>
      </c>
      <c r="JL350" s="236" t="s">
        <v>145</v>
      </c>
      <c r="JM350" s="236" t="s">
        <v>74</v>
      </c>
      <c r="JN350" s="236" t="s">
        <v>841</v>
      </c>
      <c r="JP350" s="236" t="s">
        <v>22997</v>
      </c>
      <c r="JQ350" s="236" t="s">
        <v>145</v>
      </c>
      <c r="JR350" s="236" t="s">
        <v>74</v>
      </c>
      <c r="JS350" s="236" t="s">
        <v>841</v>
      </c>
      <c r="JU350" s="294" t="s">
        <v>22998</v>
      </c>
      <c r="JV350" s="294" t="s">
        <v>52</v>
      </c>
      <c r="JW350" s="263" t="s">
        <v>70</v>
      </c>
      <c r="JX350" s="294" t="s">
        <v>1083</v>
      </c>
      <c r="JZ350" s="263" t="s">
        <v>22999</v>
      </c>
      <c r="KA350" s="263" t="s">
        <v>145</v>
      </c>
      <c r="KB350" s="263" t="s">
        <v>70</v>
      </c>
      <c r="KC350" s="263" t="s">
        <v>1083</v>
      </c>
      <c r="KE350" s="263" t="s">
        <v>23000</v>
      </c>
      <c r="KF350" s="263" t="s">
        <v>52</v>
      </c>
      <c r="KG350" s="263" t="s">
        <v>70</v>
      </c>
      <c r="KH350" s="263" t="s">
        <v>1083</v>
      </c>
      <c r="KJ350" s="263" t="s">
        <v>23001</v>
      </c>
      <c r="KK350" s="263" t="s">
        <v>52</v>
      </c>
      <c r="KL350" s="263" t="s">
        <v>74</v>
      </c>
      <c r="KM350" s="263" t="s">
        <v>34074</v>
      </c>
      <c r="KO350" s="214" t="s">
        <v>23002</v>
      </c>
      <c r="KP350" s="214" t="s">
        <v>145</v>
      </c>
      <c r="KQ350" s="214" t="s">
        <v>70</v>
      </c>
      <c r="KR350" s="214" t="s">
        <v>67</v>
      </c>
      <c r="KT350" s="22" t="s">
        <v>23003</v>
      </c>
      <c r="KU350" s="22" t="s">
        <v>145</v>
      </c>
      <c r="KV350" s="22" t="s">
        <v>70</v>
      </c>
      <c r="KW350" s="22" t="s">
        <v>67</v>
      </c>
      <c r="KY350" s="214" t="s">
        <v>23004</v>
      </c>
      <c r="KZ350" s="214" t="s">
        <v>52</v>
      </c>
      <c r="LA350" s="214" t="s">
        <v>74</v>
      </c>
      <c r="LB350" s="214" t="s">
        <v>67</v>
      </c>
      <c r="LD350" s="22" t="s">
        <v>23005</v>
      </c>
      <c r="LE350" s="22" t="s">
        <v>145</v>
      </c>
      <c r="LF350" s="22" t="s">
        <v>70</v>
      </c>
      <c r="LG350" s="22" t="s">
        <v>67</v>
      </c>
    </row>
    <row r="351" spans="1:319">
      <c r="A351" s="22" t="s">
        <v>23006</v>
      </c>
      <c r="B351" s="22" t="s">
        <v>145</v>
      </c>
      <c r="C351" s="22" t="s">
        <v>70</v>
      </c>
      <c r="D351" s="22" t="s">
        <v>67</v>
      </c>
      <c r="F351" s="99" t="s">
        <v>23007</v>
      </c>
      <c r="G351" s="22" t="s">
        <v>145</v>
      </c>
      <c r="H351" s="22" t="s">
        <v>70</v>
      </c>
      <c r="I351" s="22" t="s">
        <v>67</v>
      </c>
      <c r="K351" s="99" t="s">
        <v>23008</v>
      </c>
      <c r="L351" s="22" t="s">
        <v>145</v>
      </c>
      <c r="M351" s="22" t="s">
        <v>70</v>
      </c>
      <c r="N351" s="22" t="s">
        <v>67</v>
      </c>
      <c r="P351" s="22" t="s">
        <v>23009</v>
      </c>
      <c r="Q351" s="22" t="s">
        <v>145</v>
      </c>
      <c r="R351" s="22" t="s">
        <v>70</v>
      </c>
      <c r="S351" s="22" t="s">
        <v>67</v>
      </c>
      <c r="U351" s="293" t="s">
        <v>23010</v>
      </c>
      <c r="V351" s="293" t="s">
        <v>145</v>
      </c>
      <c r="W351" s="293" t="s">
        <v>74</v>
      </c>
      <c r="X351" s="293" t="s">
        <v>656</v>
      </c>
      <c r="Z351" s="293" t="s">
        <v>23011</v>
      </c>
      <c r="AA351" s="293" t="s">
        <v>145</v>
      </c>
      <c r="AB351" s="293" t="s">
        <v>74</v>
      </c>
      <c r="AC351" s="293" t="s">
        <v>656</v>
      </c>
      <c r="AE351" s="293" t="s">
        <v>23012</v>
      </c>
      <c r="AF351" s="293" t="s">
        <v>145</v>
      </c>
      <c r="AG351" s="293" t="s">
        <v>74</v>
      </c>
      <c r="AH351" s="293" t="s">
        <v>656</v>
      </c>
      <c r="AJ351" s="293" t="s">
        <v>23013</v>
      </c>
      <c r="AK351" s="293" t="s">
        <v>145</v>
      </c>
      <c r="AL351" s="293" t="s">
        <v>74</v>
      </c>
      <c r="AM351" s="293" t="s">
        <v>656</v>
      </c>
      <c r="AO351" s="22" t="s">
        <v>23014</v>
      </c>
      <c r="AP351" s="22" t="s">
        <v>145</v>
      </c>
      <c r="AQ351" s="22" t="s">
        <v>70</v>
      </c>
      <c r="AR351" s="22" t="s">
        <v>67</v>
      </c>
      <c r="AT351" s="22" t="s">
        <v>23015</v>
      </c>
      <c r="AU351" s="22" t="s">
        <v>145</v>
      </c>
      <c r="AV351" s="22" t="s">
        <v>70</v>
      </c>
      <c r="AW351" s="22" t="s">
        <v>67</v>
      </c>
      <c r="AY351" s="22" t="s">
        <v>23016</v>
      </c>
      <c r="AZ351" s="22" t="s">
        <v>145</v>
      </c>
      <c r="BA351" s="22" t="s">
        <v>70</v>
      </c>
      <c r="BB351" s="22" t="s">
        <v>67</v>
      </c>
      <c r="BD351" s="22" t="s">
        <v>23017</v>
      </c>
      <c r="BE351" s="22" t="s">
        <v>145</v>
      </c>
      <c r="BF351" s="22" t="s">
        <v>70</v>
      </c>
      <c r="BG351" s="22" t="s">
        <v>67</v>
      </c>
      <c r="BI351" s="22" t="s">
        <v>23018</v>
      </c>
      <c r="BJ351" s="22" t="s">
        <v>145</v>
      </c>
      <c r="BK351" s="22" t="s">
        <v>70</v>
      </c>
      <c r="BL351" s="22" t="s">
        <v>67</v>
      </c>
      <c r="BN351" s="22" t="s">
        <v>23019</v>
      </c>
      <c r="BO351" s="22" t="s">
        <v>145</v>
      </c>
      <c r="BP351" s="22" t="s">
        <v>70</v>
      </c>
      <c r="BQ351" s="22" t="s">
        <v>67</v>
      </c>
      <c r="BS351" s="22" t="s">
        <v>23020</v>
      </c>
      <c r="BT351" s="22" t="s">
        <v>145</v>
      </c>
      <c r="BU351" s="22" t="s">
        <v>70</v>
      </c>
      <c r="BV351" s="214" t="s">
        <v>530</v>
      </c>
      <c r="BX351" s="22" t="s">
        <v>23021</v>
      </c>
      <c r="BY351" s="22" t="s">
        <v>145</v>
      </c>
      <c r="BZ351" s="22" t="s">
        <v>70</v>
      </c>
      <c r="CA351" s="214" t="s">
        <v>530</v>
      </c>
      <c r="CC351" s="214" t="s">
        <v>23022</v>
      </c>
      <c r="CD351" s="218" t="s">
        <v>601</v>
      </c>
      <c r="CE351" s="214" t="s">
        <v>70</v>
      </c>
      <c r="CF351" s="214" t="s">
        <v>34157</v>
      </c>
      <c r="CH351" s="214" t="s">
        <v>23023</v>
      </c>
      <c r="CI351" s="214" t="s">
        <v>34540</v>
      </c>
      <c r="CJ351" s="214" t="s">
        <v>70</v>
      </c>
      <c r="CK351" s="214" t="s">
        <v>530</v>
      </c>
      <c r="CM351" s="214" t="s">
        <v>23024</v>
      </c>
      <c r="CN351" s="214" t="s">
        <v>485</v>
      </c>
      <c r="CO351" s="214" t="s">
        <v>70</v>
      </c>
      <c r="CP351" s="214" t="s">
        <v>530</v>
      </c>
      <c r="CR351" s="214" t="s">
        <v>23025</v>
      </c>
      <c r="CS351" s="214" t="s">
        <v>146</v>
      </c>
      <c r="CT351" s="214" t="s">
        <v>70</v>
      </c>
      <c r="CU351" s="214" t="s">
        <v>530</v>
      </c>
      <c r="CW351" s="214" t="s">
        <v>23026</v>
      </c>
      <c r="CX351" s="214" t="s">
        <v>488</v>
      </c>
      <c r="CY351" s="214" t="s">
        <v>70</v>
      </c>
      <c r="CZ351" s="214" t="s">
        <v>530</v>
      </c>
      <c r="DB351" s="214" t="s">
        <v>23027</v>
      </c>
      <c r="DC351" s="214" t="s">
        <v>486</v>
      </c>
      <c r="DD351" s="214" t="s">
        <v>70</v>
      </c>
      <c r="DE351" s="214" t="s">
        <v>530</v>
      </c>
      <c r="DG351" s="214" t="s">
        <v>23028</v>
      </c>
      <c r="DH351" s="214" t="s">
        <v>34545</v>
      </c>
      <c r="DI351" s="214" t="s">
        <v>70</v>
      </c>
      <c r="DJ351" s="214" t="s">
        <v>530</v>
      </c>
      <c r="DL351" s="214" t="s">
        <v>23029</v>
      </c>
      <c r="DM351" s="214" t="s">
        <v>501</v>
      </c>
      <c r="DN351" s="214" t="s">
        <v>70</v>
      </c>
      <c r="DO351" s="214" t="s">
        <v>530</v>
      </c>
      <c r="DQ351" s="214" t="s">
        <v>23030</v>
      </c>
      <c r="DR351" s="214" t="s">
        <v>103</v>
      </c>
      <c r="DS351" s="214" t="s">
        <v>70</v>
      </c>
      <c r="DT351" s="214" t="s">
        <v>530</v>
      </c>
      <c r="DV351" s="214" t="s">
        <v>23031</v>
      </c>
      <c r="DW351" s="214" t="s">
        <v>486</v>
      </c>
      <c r="DX351" s="214" t="s">
        <v>70</v>
      </c>
      <c r="DY351" s="214" t="s">
        <v>530</v>
      </c>
      <c r="EA351" s="214" t="s">
        <v>23032</v>
      </c>
      <c r="EB351" s="214" t="s">
        <v>93</v>
      </c>
      <c r="EC351" s="214" t="s">
        <v>70</v>
      </c>
      <c r="ED351" s="214" t="s">
        <v>530</v>
      </c>
      <c r="EF351" s="214" t="s">
        <v>23033</v>
      </c>
      <c r="EG351" s="214" t="s">
        <v>86</v>
      </c>
      <c r="EH351" s="214" t="s">
        <v>70</v>
      </c>
      <c r="EI351" s="214" t="s">
        <v>530</v>
      </c>
      <c r="EK351" s="214" t="s">
        <v>23034</v>
      </c>
      <c r="EL351" s="214" t="s">
        <v>34558</v>
      </c>
      <c r="EM351" s="214" t="s">
        <v>70</v>
      </c>
      <c r="EN351" s="214" t="s">
        <v>530</v>
      </c>
      <c r="EP351" s="214" t="s">
        <v>23035</v>
      </c>
      <c r="EQ351" s="214" t="s">
        <v>93</v>
      </c>
      <c r="ER351" s="214" t="s">
        <v>70</v>
      </c>
      <c r="ES351" s="214" t="s">
        <v>530</v>
      </c>
      <c r="EU351" s="214" t="s">
        <v>23036</v>
      </c>
      <c r="EV351" s="214" t="s">
        <v>52</v>
      </c>
      <c r="EW351" s="214" t="s">
        <v>70</v>
      </c>
      <c r="EX351" s="214" t="s">
        <v>530</v>
      </c>
      <c r="EZ351" s="214" t="s">
        <v>23037</v>
      </c>
      <c r="FA351" s="214" t="s">
        <v>34580</v>
      </c>
      <c r="FB351" s="214" t="s">
        <v>70</v>
      </c>
      <c r="FC351" s="214" t="s">
        <v>530</v>
      </c>
      <c r="FE351" s="214" t="s">
        <v>23038</v>
      </c>
      <c r="FF351" s="214" t="s">
        <v>146</v>
      </c>
      <c r="FG351" s="214" t="s">
        <v>70</v>
      </c>
      <c r="FH351" s="214" t="s">
        <v>530</v>
      </c>
      <c r="FJ351" s="321" t="s">
        <v>23039</v>
      </c>
      <c r="FK351" s="214" t="s">
        <v>203</v>
      </c>
      <c r="FL351" s="214" t="s">
        <v>70</v>
      </c>
      <c r="FM351" s="214" t="s">
        <v>530</v>
      </c>
      <c r="FO351" s="321" t="s">
        <v>23040</v>
      </c>
      <c r="FP351" s="214" t="s">
        <v>34580</v>
      </c>
      <c r="FQ351" s="214" t="s">
        <v>70</v>
      </c>
      <c r="FR351" s="214" t="s">
        <v>530</v>
      </c>
      <c r="FT351" s="321" t="s">
        <v>23041</v>
      </c>
      <c r="FU351" s="214" t="s">
        <v>203</v>
      </c>
      <c r="FV351" s="214" t="s">
        <v>70</v>
      </c>
      <c r="FW351" s="214" t="s">
        <v>530</v>
      </c>
      <c r="FY351" s="321" t="s">
        <v>23042</v>
      </c>
      <c r="FZ351" s="214" t="s">
        <v>34550</v>
      </c>
      <c r="GA351" s="214" t="s">
        <v>70</v>
      </c>
      <c r="GB351" s="214" t="s">
        <v>530</v>
      </c>
      <c r="GD351" s="321" t="s">
        <v>23043</v>
      </c>
      <c r="GE351" s="214" t="s">
        <v>203</v>
      </c>
      <c r="GF351" s="214" t="s">
        <v>70</v>
      </c>
      <c r="GG351" s="214" t="s">
        <v>530</v>
      </c>
      <c r="GI351" s="321" t="s">
        <v>23044</v>
      </c>
      <c r="GJ351" s="214" t="s">
        <v>950</v>
      </c>
      <c r="GK351" s="214" t="s">
        <v>70</v>
      </c>
      <c r="GL351" s="214" t="s">
        <v>530</v>
      </c>
      <c r="GN351" s="321" t="s">
        <v>23045</v>
      </c>
      <c r="GO351" s="214" t="s">
        <v>34611</v>
      </c>
      <c r="GP351" s="214" t="s">
        <v>70</v>
      </c>
      <c r="GQ351" s="214" t="s">
        <v>530</v>
      </c>
      <c r="GS351" s="321" t="s">
        <v>23046</v>
      </c>
      <c r="GT351" s="214" t="s">
        <v>52</v>
      </c>
      <c r="GU351" s="214" t="s">
        <v>70</v>
      </c>
      <c r="GV351" s="214" t="s">
        <v>530</v>
      </c>
      <c r="GX351" s="214" t="s">
        <v>23047</v>
      </c>
      <c r="GY351" s="214" t="s">
        <v>52</v>
      </c>
      <c r="GZ351" s="214" t="s">
        <v>70</v>
      </c>
      <c r="HA351" s="214" t="s">
        <v>530</v>
      </c>
      <c r="HC351" s="214" t="s">
        <v>23048</v>
      </c>
      <c r="HD351" s="214" t="s">
        <v>502</v>
      </c>
      <c r="HE351" s="214" t="s">
        <v>70</v>
      </c>
      <c r="HF351" s="214" t="s">
        <v>530</v>
      </c>
      <c r="HH351" s="214" t="s">
        <v>23049</v>
      </c>
      <c r="HI351" s="214" t="s">
        <v>955</v>
      </c>
      <c r="HJ351" s="214" t="s">
        <v>70</v>
      </c>
      <c r="HK351" s="214" t="s">
        <v>530</v>
      </c>
      <c r="HM351" s="214" t="s">
        <v>23050</v>
      </c>
      <c r="HN351" s="214" t="s">
        <v>52</v>
      </c>
      <c r="HO351" s="214" t="s">
        <v>70</v>
      </c>
      <c r="HP351" s="214" t="s">
        <v>530</v>
      </c>
      <c r="HR351" s="22" t="s">
        <v>23051</v>
      </c>
      <c r="HS351" s="22" t="s">
        <v>602</v>
      </c>
      <c r="HT351" s="22" t="s">
        <v>70</v>
      </c>
      <c r="HU351" s="214" t="s">
        <v>530</v>
      </c>
      <c r="HW351" s="22" t="s">
        <v>23052</v>
      </c>
      <c r="HX351" s="22" t="s">
        <v>34539</v>
      </c>
      <c r="HY351" s="22" t="s">
        <v>70</v>
      </c>
      <c r="HZ351" s="214" t="s">
        <v>530</v>
      </c>
      <c r="IB351" s="22" t="s">
        <v>23053</v>
      </c>
      <c r="IC351" s="22" t="s">
        <v>34582</v>
      </c>
      <c r="ID351" s="22" t="s">
        <v>70</v>
      </c>
      <c r="IE351" s="214" t="s">
        <v>530</v>
      </c>
      <c r="IG351" s="22" t="s">
        <v>23054</v>
      </c>
      <c r="IH351" s="22" t="s">
        <v>52</v>
      </c>
      <c r="II351" s="22" t="s">
        <v>70</v>
      </c>
      <c r="IJ351" s="214" t="s">
        <v>530</v>
      </c>
      <c r="IL351" s="22" t="s">
        <v>23055</v>
      </c>
      <c r="IM351" s="22" t="s">
        <v>145</v>
      </c>
      <c r="IN351" s="22" t="s">
        <v>70</v>
      </c>
      <c r="IO351" s="214" t="s">
        <v>530</v>
      </c>
      <c r="IQ351" s="236" t="s">
        <v>23056</v>
      </c>
      <c r="IR351" s="236" t="s">
        <v>145</v>
      </c>
      <c r="IS351" s="236" t="s">
        <v>74</v>
      </c>
      <c r="IT351" s="236" t="s">
        <v>841</v>
      </c>
      <c r="IV351" s="236" t="s">
        <v>23057</v>
      </c>
      <c r="IW351" s="236" t="s">
        <v>145</v>
      </c>
      <c r="IX351" s="236" t="s">
        <v>74</v>
      </c>
      <c r="IY351" s="236" t="s">
        <v>841</v>
      </c>
      <c r="JA351" s="236" t="s">
        <v>23058</v>
      </c>
      <c r="JB351" s="236" t="s">
        <v>145</v>
      </c>
      <c r="JC351" s="236" t="s">
        <v>74</v>
      </c>
      <c r="JD351" s="236" t="s">
        <v>841</v>
      </c>
      <c r="JF351" s="236" t="s">
        <v>23059</v>
      </c>
      <c r="JG351" s="236" t="s">
        <v>145</v>
      </c>
      <c r="JH351" s="236" t="s">
        <v>74</v>
      </c>
      <c r="JI351" s="236" t="s">
        <v>841</v>
      </c>
      <c r="JK351" s="236" t="s">
        <v>23060</v>
      </c>
      <c r="JL351" s="236" t="s">
        <v>145</v>
      </c>
      <c r="JM351" s="236" t="s">
        <v>74</v>
      </c>
      <c r="JN351" s="236" t="s">
        <v>841</v>
      </c>
      <c r="JP351" s="236" t="s">
        <v>23061</v>
      </c>
      <c r="JQ351" s="236" t="s">
        <v>145</v>
      </c>
      <c r="JR351" s="236" t="s">
        <v>74</v>
      </c>
      <c r="JS351" s="236" t="s">
        <v>841</v>
      </c>
      <c r="JU351" s="294" t="s">
        <v>23062</v>
      </c>
      <c r="JV351" s="294" t="s">
        <v>52</v>
      </c>
      <c r="JW351" s="263" t="s">
        <v>70</v>
      </c>
      <c r="JX351" s="294" t="s">
        <v>1083</v>
      </c>
      <c r="JZ351" s="263" t="s">
        <v>23063</v>
      </c>
      <c r="KA351" s="263" t="s">
        <v>145</v>
      </c>
      <c r="KB351" s="263" t="s">
        <v>70</v>
      </c>
      <c r="KC351" s="263" t="s">
        <v>1083</v>
      </c>
      <c r="KE351" s="263" t="s">
        <v>23064</v>
      </c>
      <c r="KF351" s="263" t="s">
        <v>52</v>
      </c>
      <c r="KG351" s="263" t="s">
        <v>70</v>
      </c>
      <c r="KH351" s="263" t="s">
        <v>1083</v>
      </c>
      <c r="KJ351" s="263" t="s">
        <v>23065</v>
      </c>
      <c r="KK351" s="263" t="s">
        <v>52</v>
      </c>
      <c r="KL351" s="263" t="s">
        <v>74</v>
      </c>
      <c r="KM351" s="263" t="s">
        <v>34074</v>
      </c>
      <c r="KO351" s="214" t="s">
        <v>23066</v>
      </c>
      <c r="KP351" s="214" t="s">
        <v>145</v>
      </c>
      <c r="KQ351" s="214" t="s">
        <v>70</v>
      </c>
      <c r="KR351" s="214" t="s">
        <v>67</v>
      </c>
      <c r="KT351" s="22" t="s">
        <v>23067</v>
      </c>
      <c r="KU351" s="22" t="s">
        <v>145</v>
      </c>
      <c r="KV351" s="22" t="s">
        <v>70</v>
      </c>
      <c r="KW351" s="22" t="s">
        <v>67</v>
      </c>
      <c r="KY351" s="214" t="s">
        <v>23068</v>
      </c>
      <c r="KZ351" s="214" t="s">
        <v>52</v>
      </c>
      <c r="LA351" s="214" t="s">
        <v>74</v>
      </c>
      <c r="LB351" s="214" t="s">
        <v>67</v>
      </c>
      <c r="LD351" s="22" t="s">
        <v>23069</v>
      </c>
      <c r="LE351" s="22" t="s">
        <v>145</v>
      </c>
      <c r="LF351" s="22" t="s">
        <v>70</v>
      </c>
      <c r="LG351" s="22" t="s">
        <v>67</v>
      </c>
    </row>
    <row r="352" spans="1:319">
      <c r="A352" s="22" t="s">
        <v>23070</v>
      </c>
      <c r="B352" s="22" t="s">
        <v>145</v>
      </c>
      <c r="C352" s="22" t="s">
        <v>70</v>
      </c>
      <c r="D352" s="22" t="s">
        <v>67</v>
      </c>
      <c r="F352" s="99" t="s">
        <v>23071</v>
      </c>
      <c r="G352" s="22" t="s">
        <v>145</v>
      </c>
      <c r="H352" s="22" t="s">
        <v>70</v>
      </c>
      <c r="I352" s="22" t="s">
        <v>67</v>
      </c>
      <c r="K352" s="99" t="s">
        <v>23072</v>
      </c>
      <c r="L352" s="22" t="s">
        <v>145</v>
      </c>
      <c r="M352" s="22" t="s">
        <v>70</v>
      </c>
      <c r="N352" s="22" t="s">
        <v>67</v>
      </c>
      <c r="P352" s="230" t="s">
        <v>23073</v>
      </c>
      <c r="Q352" s="230" t="s">
        <v>145</v>
      </c>
      <c r="R352" s="218" t="s">
        <v>72</v>
      </c>
      <c r="S352" s="297" t="s">
        <v>34313</v>
      </c>
      <c r="U352" s="293" t="s">
        <v>23074</v>
      </c>
      <c r="V352" s="293" t="s">
        <v>145</v>
      </c>
      <c r="W352" s="293" t="s">
        <v>74</v>
      </c>
      <c r="X352" s="293" t="s">
        <v>656</v>
      </c>
      <c r="Z352" s="293" t="s">
        <v>23075</v>
      </c>
      <c r="AA352" s="293" t="s">
        <v>145</v>
      </c>
      <c r="AB352" s="293" t="s">
        <v>74</v>
      </c>
      <c r="AC352" s="293" t="s">
        <v>656</v>
      </c>
      <c r="AE352" s="293" t="s">
        <v>23076</v>
      </c>
      <c r="AF352" s="293" t="s">
        <v>145</v>
      </c>
      <c r="AG352" s="293" t="s">
        <v>74</v>
      </c>
      <c r="AH352" s="293" t="s">
        <v>656</v>
      </c>
      <c r="AJ352" s="293" t="s">
        <v>23077</v>
      </c>
      <c r="AK352" s="293" t="s">
        <v>145</v>
      </c>
      <c r="AL352" s="293" t="s">
        <v>74</v>
      </c>
      <c r="AM352" s="293" t="s">
        <v>656</v>
      </c>
      <c r="AO352" s="22" t="s">
        <v>23078</v>
      </c>
      <c r="AP352" s="22" t="s">
        <v>145</v>
      </c>
      <c r="AQ352" s="22" t="s">
        <v>70</v>
      </c>
      <c r="AR352" s="22" t="s">
        <v>67</v>
      </c>
      <c r="AT352" s="22" t="s">
        <v>23079</v>
      </c>
      <c r="AU352" s="22" t="s">
        <v>145</v>
      </c>
      <c r="AV352" s="22" t="s">
        <v>70</v>
      </c>
      <c r="AW352" s="22" t="s">
        <v>67</v>
      </c>
      <c r="AY352" s="22" t="s">
        <v>23080</v>
      </c>
      <c r="AZ352" s="22" t="s">
        <v>145</v>
      </c>
      <c r="BA352" s="22" t="s">
        <v>70</v>
      </c>
      <c r="BB352" s="22" t="s">
        <v>67</v>
      </c>
      <c r="BD352" s="22" t="s">
        <v>23081</v>
      </c>
      <c r="BE352" s="22" t="s">
        <v>145</v>
      </c>
      <c r="BF352" s="22" t="s">
        <v>70</v>
      </c>
      <c r="BG352" s="22" t="s">
        <v>67</v>
      </c>
      <c r="BI352" s="22" t="s">
        <v>23082</v>
      </c>
      <c r="BJ352" s="22" t="s">
        <v>145</v>
      </c>
      <c r="BK352" s="22" t="s">
        <v>70</v>
      </c>
      <c r="BL352" s="22" t="s">
        <v>67</v>
      </c>
      <c r="BN352" s="22" t="s">
        <v>23083</v>
      </c>
      <c r="BO352" s="22" t="s">
        <v>145</v>
      </c>
      <c r="BP352" s="22" t="s">
        <v>70</v>
      </c>
      <c r="BQ352" s="22" t="s">
        <v>67</v>
      </c>
      <c r="BS352" s="22" t="s">
        <v>23084</v>
      </c>
      <c r="BT352" s="22" t="s">
        <v>145</v>
      </c>
      <c r="BU352" s="22" t="s">
        <v>70</v>
      </c>
      <c r="BV352" s="214" t="s">
        <v>530</v>
      </c>
      <c r="BX352" s="22" t="s">
        <v>23085</v>
      </c>
      <c r="BY352" s="22" t="s">
        <v>145</v>
      </c>
      <c r="BZ352" s="22" t="s">
        <v>70</v>
      </c>
      <c r="CA352" s="214" t="s">
        <v>530</v>
      </c>
      <c r="CC352" s="214" t="s">
        <v>23086</v>
      </c>
      <c r="CD352" s="218" t="s">
        <v>34608</v>
      </c>
      <c r="CE352" s="214" t="s">
        <v>70</v>
      </c>
      <c r="CF352" s="214" t="s">
        <v>34158</v>
      </c>
      <c r="CH352" s="214" t="s">
        <v>23087</v>
      </c>
      <c r="CI352" s="214" t="s">
        <v>149</v>
      </c>
      <c r="CJ352" s="214" t="s">
        <v>70</v>
      </c>
      <c r="CK352" s="214" t="s">
        <v>530</v>
      </c>
      <c r="CM352" s="214" t="s">
        <v>23088</v>
      </c>
      <c r="CN352" s="214" t="s">
        <v>34545</v>
      </c>
      <c r="CO352" s="214" t="s">
        <v>70</v>
      </c>
      <c r="CP352" s="214" t="s">
        <v>530</v>
      </c>
      <c r="CR352" s="214" t="s">
        <v>23089</v>
      </c>
      <c r="CS352" s="214" t="s">
        <v>85</v>
      </c>
      <c r="CT352" s="214" t="s">
        <v>70</v>
      </c>
      <c r="CU352" s="214" t="s">
        <v>530</v>
      </c>
      <c r="CW352" s="214" t="s">
        <v>23090</v>
      </c>
      <c r="CX352" s="214" t="s">
        <v>468</v>
      </c>
      <c r="CY352" s="214" t="s">
        <v>70</v>
      </c>
      <c r="CZ352" s="214" t="s">
        <v>530</v>
      </c>
      <c r="DB352" s="214" t="s">
        <v>23091</v>
      </c>
      <c r="DC352" s="214" t="s">
        <v>936</v>
      </c>
      <c r="DD352" s="214" t="s">
        <v>70</v>
      </c>
      <c r="DE352" s="214" t="s">
        <v>530</v>
      </c>
      <c r="DG352" s="214" t="s">
        <v>23092</v>
      </c>
      <c r="DH352" s="214" t="s">
        <v>88</v>
      </c>
      <c r="DI352" s="214" t="s">
        <v>70</v>
      </c>
      <c r="DJ352" s="214" t="s">
        <v>530</v>
      </c>
      <c r="DL352" s="214" t="s">
        <v>23093</v>
      </c>
      <c r="DM352" s="214" t="s">
        <v>148</v>
      </c>
      <c r="DN352" s="214" t="s">
        <v>70</v>
      </c>
      <c r="DO352" s="214" t="s">
        <v>530</v>
      </c>
      <c r="DQ352" s="214" t="s">
        <v>23094</v>
      </c>
      <c r="DR352" s="214" t="s">
        <v>655</v>
      </c>
      <c r="DS352" s="214" t="s">
        <v>70</v>
      </c>
      <c r="DT352" s="214" t="s">
        <v>530</v>
      </c>
      <c r="DV352" s="214" t="s">
        <v>23095</v>
      </c>
      <c r="DW352" s="214" t="s">
        <v>919</v>
      </c>
      <c r="DX352" s="214" t="s">
        <v>70</v>
      </c>
      <c r="DY352" s="214" t="s">
        <v>530</v>
      </c>
      <c r="EA352" s="214" t="s">
        <v>23096</v>
      </c>
      <c r="EB352" s="214" t="s">
        <v>798</v>
      </c>
      <c r="EC352" s="214" t="s">
        <v>70</v>
      </c>
      <c r="ED352" s="214" t="s">
        <v>530</v>
      </c>
      <c r="EF352" s="214" t="s">
        <v>23097</v>
      </c>
      <c r="EG352" s="214" t="s">
        <v>145</v>
      </c>
      <c r="EH352" s="214" t="s">
        <v>70</v>
      </c>
      <c r="EI352" s="214" t="s">
        <v>530</v>
      </c>
      <c r="EK352" s="214" t="s">
        <v>23098</v>
      </c>
      <c r="EL352" s="214" t="s">
        <v>34594</v>
      </c>
      <c r="EM352" s="214" t="s">
        <v>70</v>
      </c>
      <c r="EN352" s="214" t="s">
        <v>530</v>
      </c>
      <c r="EP352" s="214" t="s">
        <v>23099</v>
      </c>
      <c r="EQ352" s="214" t="s">
        <v>163</v>
      </c>
      <c r="ER352" s="214" t="s">
        <v>70</v>
      </c>
      <c r="ES352" s="214" t="s">
        <v>530</v>
      </c>
      <c r="EU352" s="214" t="s">
        <v>23100</v>
      </c>
      <c r="EV352" s="214" t="s">
        <v>34578</v>
      </c>
      <c r="EW352" s="214" t="s">
        <v>70</v>
      </c>
      <c r="EX352" s="214" t="s">
        <v>530</v>
      </c>
      <c r="EZ352" s="214" t="s">
        <v>23101</v>
      </c>
      <c r="FA352" s="214" t="s">
        <v>34554</v>
      </c>
      <c r="FB352" s="214" t="s">
        <v>70</v>
      </c>
      <c r="FC352" s="214" t="s">
        <v>530</v>
      </c>
      <c r="FE352" s="214" t="s">
        <v>23102</v>
      </c>
      <c r="FF352" s="214" t="s">
        <v>52</v>
      </c>
      <c r="FG352" s="214" t="s">
        <v>70</v>
      </c>
      <c r="FH352" s="214" t="s">
        <v>530</v>
      </c>
      <c r="FJ352" s="321" t="s">
        <v>23103</v>
      </c>
      <c r="FK352" s="214" t="s">
        <v>34551</v>
      </c>
      <c r="FL352" s="214" t="s">
        <v>70</v>
      </c>
      <c r="FM352" s="214" t="s">
        <v>530</v>
      </c>
      <c r="FO352" s="321" t="s">
        <v>23104</v>
      </c>
      <c r="FP352" s="214" t="s">
        <v>52</v>
      </c>
      <c r="FQ352" s="214" t="s">
        <v>70</v>
      </c>
      <c r="FR352" s="214" t="s">
        <v>530</v>
      </c>
      <c r="FT352" s="321" t="s">
        <v>23105</v>
      </c>
      <c r="FU352" s="214" t="s">
        <v>92</v>
      </c>
      <c r="FV352" s="214" t="s">
        <v>70</v>
      </c>
      <c r="FW352" s="214" t="s">
        <v>530</v>
      </c>
      <c r="FY352" s="321" t="s">
        <v>23106</v>
      </c>
      <c r="FZ352" s="214" t="s">
        <v>89</v>
      </c>
      <c r="GA352" s="214" t="s">
        <v>70</v>
      </c>
      <c r="GB352" s="214" t="s">
        <v>530</v>
      </c>
      <c r="GD352" s="321" t="s">
        <v>23107</v>
      </c>
      <c r="GE352" s="214" t="s">
        <v>944</v>
      </c>
      <c r="GF352" s="214" t="s">
        <v>70</v>
      </c>
      <c r="GG352" s="214" t="s">
        <v>530</v>
      </c>
      <c r="GI352" s="321" t="s">
        <v>23108</v>
      </c>
      <c r="GJ352" s="214" t="s">
        <v>52</v>
      </c>
      <c r="GK352" s="214" t="s">
        <v>70</v>
      </c>
      <c r="GL352" s="214" t="s">
        <v>530</v>
      </c>
      <c r="GN352" s="321" t="s">
        <v>23109</v>
      </c>
      <c r="GO352" s="214" t="s">
        <v>34516</v>
      </c>
      <c r="GP352" s="214" t="s">
        <v>70</v>
      </c>
      <c r="GQ352" s="214" t="s">
        <v>530</v>
      </c>
      <c r="GS352" s="321" t="s">
        <v>23110</v>
      </c>
      <c r="GT352" s="214" t="s">
        <v>34628</v>
      </c>
      <c r="GU352" s="214" t="s">
        <v>70</v>
      </c>
      <c r="GV352" s="214" t="s">
        <v>530</v>
      </c>
      <c r="GX352" s="214" t="s">
        <v>23111</v>
      </c>
      <c r="GY352" s="214" t="s">
        <v>146</v>
      </c>
      <c r="GZ352" s="214" t="s">
        <v>70</v>
      </c>
      <c r="HA352" s="214" t="s">
        <v>530</v>
      </c>
      <c r="HC352" s="214" t="s">
        <v>23112</v>
      </c>
      <c r="HD352" s="214" t="s">
        <v>529</v>
      </c>
      <c r="HE352" s="214" t="s">
        <v>70</v>
      </c>
      <c r="HF352" s="214" t="s">
        <v>530</v>
      </c>
      <c r="HH352" s="214" t="s">
        <v>23113</v>
      </c>
      <c r="HI352" s="214" t="s">
        <v>145</v>
      </c>
      <c r="HJ352" s="214" t="s">
        <v>70</v>
      </c>
      <c r="HK352" s="214" t="s">
        <v>530</v>
      </c>
      <c r="HM352" s="214" t="s">
        <v>23114</v>
      </c>
      <c r="HN352" s="214" t="s">
        <v>287</v>
      </c>
      <c r="HO352" s="214" t="s">
        <v>70</v>
      </c>
      <c r="HP352" s="214" t="s">
        <v>530</v>
      </c>
      <c r="HR352" s="22" t="s">
        <v>23115</v>
      </c>
      <c r="HS352" s="22" t="s">
        <v>481</v>
      </c>
      <c r="HT352" s="22" t="s">
        <v>70</v>
      </c>
      <c r="HU352" s="214" t="s">
        <v>530</v>
      </c>
      <c r="HW352" s="22" t="s">
        <v>23116</v>
      </c>
      <c r="HX352" s="22" t="s">
        <v>148</v>
      </c>
      <c r="HY352" s="22" t="s">
        <v>70</v>
      </c>
      <c r="HZ352" s="214" t="s">
        <v>530</v>
      </c>
      <c r="IB352" s="22" t="s">
        <v>23117</v>
      </c>
      <c r="IC352" s="22" t="s">
        <v>89</v>
      </c>
      <c r="ID352" s="22" t="s">
        <v>70</v>
      </c>
      <c r="IE352" s="214" t="s">
        <v>530</v>
      </c>
      <c r="IG352" s="22" t="s">
        <v>23118</v>
      </c>
      <c r="IH352" s="22" t="s">
        <v>52</v>
      </c>
      <c r="II352" s="22" t="s">
        <v>70</v>
      </c>
      <c r="IJ352" s="214" t="s">
        <v>530</v>
      </c>
      <c r="IL352" s="22" t="s">
        <v>23119</v>
      </c>
      <c r="IM352" s="22" t="s">
        <v>145</v>
      </c>
      <c r="IN352" s="22" t="s">
        <v>70</v>
      </c>
      <c r="IO352" s="214" t="s">
        <v>530</v>
      </c>
      <c r="IQ352" s="236" t="s">
        <v>23120</v>
      </c>
      <c r="IR352" s="236" t="s">
        <v>145</v>
      </c>
      <c r="IS352" s="236" t="s">
        <v>74</v>
      </c>
      <c r="IT352" s="236" t="s">
        <v>841</v>
      </c>
      <c r="IV352" s="236" t="s">
        <v>23121</v>
      </c>
      <c r="IW352" s="236" t="s">
        <v>145</v>
      </c>
      <c r="IX352" s="236" t="s">
        <v>74</v>
      </c>
      <c r="IY352" s="236" t="s">
        <v>841</v>
      </c>
      <c r="JA352" s="236" t="s">
        <v>23122</v>
      </c>
      <c r="JB352" s="236" t="s">
        <v>145</v>
      </c>
      <c r="JC352" s="236" t="s">
        <v>74</v>
      </c>
      <c r="JD352" s="236" t="s">
        <v>841</v>
      </c>
      <c r="JF352" s="236" t="s">
        <v>23123</v>
      </c>
      <c r="JG352" s="236" t="s">
        <v>145</v>
      </c>
      <c r="JH352" s="236" t="s">
        <v>74</v>
      </c>
      <c r="JI352" s="236" t="s">
        <v>841</v>
      </c>
      <c r="JK352" s="236" t="s">
        <v>23124</v>
      </c>
      <c r="JL352" s="236" t="s">
        <v>145</v>
      </c>
      <c r="JM352" s="236" t="s">
        <v>74</v>
      </c>
      <c r="JN352" s="236" t="s">
        <v>841</v>
      </c>
      <c r="JP352" s="236" t="s">
        <v>23125</v>
      </c>
      <c r="JQ352" s="236" t="s">
        <v>145</v>
      </c>
      <c r="JR352" s="236" t="s">
        <v>74</v>
      </c>
      <c r="JS352" s="236" t="s">
        <v>841</v>
      </c>
      <c r="JU352" s="294" t="s">
        <v>23126</v>
      </c>
      <c r="JV352" s="294" t="s">
        <v>52</v>
      </c>
      <c r="JW352" s="263" t="s">
        <v>70</v>
      </c>
      <c r="JX352" s="294" t="s">
        <v>1083</v>
      </c>
      <c r="JZ352" s="263" t="s">
        <v>23127</v>
      </c>
      <c r="KA352" s="263" t="s">
        <v>145</v>
      </c>
      <c r="KB352" s="263" t="s">
        <v>70</v>
      </c>
      <c r="KC352" s="263" t="s">
        <v>1083</v>
      </c>
      <c r="KE352" s="263" t="s">
        <v>23128</v>
      </c>
      <c r="KF352" s="263" t="s">
        <v>52</v>
      </c>
      <c r="KG352" s="263" t="s">
        <v>70</v>
      </c>
      <c r="KH352" s="263" t="s">
        <v>1083</v>
      </c>
      <c r="KJ352" s="263" t="s">
        <v>23129</v>
      </c>
      <c r="KK352" s="263" t="s">
        <v>52</v>
      </c>
      <c r="KL352" s="263" t="s">
        <v>74</v>
      </c>
      <c r="KM352" s="263" t="s">
        <v>34074</v>
      </c>
      <c r="KO352" s="214" t="s">
        <v>23130</v>
      </c>
      <c r="KP352" s="214" t="s">
        <v>145</v>
      </c>
      <c r="KQ352" s="214" t="s">
        <v>70</v>
      </c>
      <c r="KR352" s="214" t="s">
        <v>67</v>
      </c>
      <c r="KT352" s="22" t="s">
        <v>23131</v>
      </c>
      <c r="KU352" s="22" t="s">
        <v>145</v>
      </c>
      <c r="KV352" s="22" t="s">
        <v>70</v>
      </c>
      <c r="KW352" s="22" t="s">
        <v>67</v>
      </c>
      <c r="KY352" s="214" t="s">
        <v>23132</v>
      </c>
      <c r="KZ352" s="214" t="s">
        <v>52</v>
      </c>
      <c r="LA352" s="214" t="s">
        <v>74</v>
      </c>
      <c r="LB352" s="214" t="s">
        <v>67</v>
      </c>
      <c r="LD352" s="22" t="s">
        <v>23133</v>
      </c>
      <c r="LE352" s="22" t="s">
        <v>145</v>
      </c>
      <c r="LF352" s="22" t="s">
        <v>70</v>
      </c>
      <c r="LG352" s="22" t="s">
        <v>67</v>
      </c>
    </row>
    <row r="353" spans="1:319">
      <c r="A353" s="22" t="s">
        <v>23134</v>
      </c>
      <c r="B353" s="22" t="s">
        <v>145</v>
      </c>
      <c r="C353" s="22" t="s">
        <v>70</v>
      </c>
      <c r="D353" s="22" t="s">
        <v>67</v>
      </c>
      <c r="F353" s="99" t="s">
        <v>23135</v>
      </c>
      <c r="G353" s="22" t="s">
        <v>145</v>
      </c>
      <c r="H353" s="22" t="s">
        <v>70</v>
      </c>
      <c r="I353" s="22" t="s">
        <v>67</v>
      </c>
      <c r="K353" s="99" t="s">
        <v>23136</v>
      </c>
      <c r="L353" s="22" t="s">
        <v>145</v>
      </c>
      <c r="M353" s="22" t="s">
        <v>70</v>
      </c>
      <c r="N353" s="22" t="s">
        <v>67</v>
      </c>
      <c r="P353" s="230" t="s">
        <v>23137</v>
      </c>
      <c r="Q353" s="230" t="s">
        <v>145</v>
      </c>
      <c r="R353" s="218" t="s">
        <v>72</v>
      </c>
      <c r="S353" s="297" t="s">
        <v>34314</v>
      </c>
      <c r="U353" s="293" t="s">
        <v>23138</v>
      </c>
      <c r="V353" s="293" t="s">
        <v>145</v>
      </c>
      <c r="W353" s="293" t="s">
        <v>74</v>
      </c>
      <c r="X353" s="293" t="s">
        <v>656</v>
      </c>
      <c r="Z353" s="293" t="s">
        <v>23139</v>
      </c>
      <c r="AA353" s="293" t="s">
        <v>145</v>
      </c>
      <c r="AB353" s="293" t="s">
        <v>74</v>
      </c>
      <c r="AC353" s="293" t="s">
        <v>656</v>
      </c>
      <c r="AE353" s="293" t="s">
        <v>23140</v>
      </c>
      <c r="AF353" s="293" t="s">
        <v>145</v>
      </c>
      <c r="AG353" s="293" t="s">
        <v>74</v>
      </c>
      <c r="AH353" s="293" t="s">
        <v>656</v>
      </c>
      <c r="AJ353" s="293" t="s">
        <v>23141</v>
      </c>
      <c r="AK353" s="293" t="s">
        <v>145</v>
      </c>
      <c r="AL353" s="293" t="s">
        <v>74</v>
      </c>
      <c r="AM353" s="293" t="s">
        <v>656</v>
      </c>
      <c r="AO353" s="22" t="s">
        <v>23142</v>
      </c>
      <c r="AP353" s="22" t="s">
        <v>145</v>
      </c>
      <c r="AQ353" s="22" t="s">
        <v>70</v>
      </c>
      <c r="AR353" s="22" t="s">
        <v>67</v>
      </c>
      <c r="AT353" s="22" t="s">
        <v>23143</v>
      </c>
      <c r="AU353" s="22" t="s">
        <v>145</v>
      </c>
      <c r="AV353" s="22" t="s">
        <v>70</v>
      </c>
      <c r="AW353" s="22" t="s">
        <v>67</v>
      </c>
      <c r="AY353" s="22" t="s">
        <v>23144</v>
      </c>
      <c r="AZ353" s="22" t="s">
        <v>145</v>
      </c>
      <c r="BA353" s="22" t="s">
        <v>70</v>
      </c>
      <c r="BB353" s="22" t="s">
        <v>67</v>
      </c>
      <c r="BD353" s="22" t="s">
        <v>23145</v>
      </c>
      <c r="BE353" s="22" t="s">
        <v>145</v>
      </c>
      <c r="BF353" s="22" t="s">
        <v>70</v>
      </c>
      <c r="BG353" s="22" t="s">
        <v>67</v>
      </c>
      <c r="BI353" s="22" t="s">
        <v>23146</v>
      </c>
      <c r="BJ353" s="22" t="s">
        <v>145</v>
      </c>
      <c r="BK353" s="22" t="s">
        <v>70</v>
      </c>
      <c r="BL353" s="22" t="s">
        <v>67</v>
      </c>
      <c r="BN353" s="22" t="s">
        <v>23147</v>
      </c>
      <c r="BO353" s="22" t="s">
        <v>145</v>
      </c>
      <c r="BP353" s="22" t="s">
        <v>70</v>
      </c>
      <c r="BQ353" s="22" t="s">
        <v>67</v>
      </c>
      <c r="BS353" s="22" t="s">
        <v>23148</v>
      </c>
      <c r="BT353" s="22" t="s">
        <v>145</v>
      </c>
      <c r="BU353" s="22" t="s">
        <v>70</v>
      </c>
      <c r="BV353" s="214" t="s">
        <v>530</v>
      </c>
      <c r="BX353" s="22" t="s">
        <v>23149</v>
      </c>
      <c r="BY353" s="22" t="s">
        <v>145</v>
      </c>
      <c r="BZ353" s="22" t="s">
        <v>70</v>
      </c>
      <c r="CA353" s="214" t="s">
        <v>530</v>
      </c>
      <c r="CC353" s="214" t="s">
        <v>23150</v>
      </c>
      <c r="CD353" s="218" t="s">
        <v>34607</v>
      </c>
      <c r="CE353" s="214" t="s">
        <v>70</v>
      </c>
      <c r="CF353" s="214" t="s">
        <v>34159</v>
      </c>
      <c r="CH353" s="214" t="s">
        <v>23151</v>
      </c>
      <c r="CI353" s="214" t="s">
        <v>34542</v>
      </c>
      <c r="CJ353" s="214" t="s">
        <v>70</v>
      </c>
      <c r="CK353" s="214" t="s">
        <v>530</v>
      </c>
      <c r="CM353" s="214" t="s">
        <v>23152</v>
      </c>
      <c r="CN353" s="214" t="s">
        <v>34551</v>
      </c>
      <c r="CO353" s="214" t="s">
        <v>70</v>
      </c>
      <c r="CP353" s="214" t="s">
        <v>530</v>
      </c>
      <c r="CR353" s="214" t="s">
        <v>23153</v>
      </c>
      <c r="CS353" s="214" t="s">
        <v>34569</v>
      </c>
      <c r="CT353" s="214" t="s">
        <v>70</v>
      </c>
      <c r="CU353" s="214" t="s">
        <v>530</v>
      </c>
      <c r="CW353" s="214" t="s">
        <v>23154</v>
      </c>
      <c r="CX353" s="214" t="s">
        <v>484</v>
      </c>
      <c r="CY353" s="214" t="s">
        <v>70</v>
      </c>
      <c r="CZ353" s="214" t="s">
        <v>530</v>
      </c>
      <c r="DB353" s="214" t="s">
        <v>23155</v>
      </c>
      <c r="DC353" s="214" t="s">
        <v>488</v>
      </c>
      <c r="DD353" s="214" t="s">
        <v>70</v>
      </c>
      <c r="DE353" s="214" t="s">
        <v>530</v>
      </c>
      <c r="DG353" s="214" t="s">
        <v>23156</v>
      </c>
      <c r="DH353" s="214" t="s">
        <v>34562</v>
      </c>
      <c r="DI353" s="214" t="s">
        <v>70</v>
      </c>
      <c r="DJ353" s="214" t="s">
        <v>530</v>
      </c>
      <c r="DL353" s="214" t="s">
        <v>23157</v>
      </c>
      <c r="DM353" s="214" t="s">
        <v>34542</v>
      </c>
      <c r="DN353" s="214" t="s">
        <v>70</v>
      </c>
      <c r="DO353" s="214" t="s">
        <v>530</v>
      </c>
      <c r="DQ353" s="214" t="s">
        <v>23158</v>
      </c>
      <c r="DR353" s="214" t="s">
        <v>163</v>
      </c>
      <c r="DS353" s="214" t="s">
        <v>70</v>
      </c>
      <c r="DT353" s="214" t="s">
        <v>530</v>
      </c>
      <c r="DV353" s="214" t="s">
        <v>23159</v>
      </c>
      <c r="DW353" s="214" t="s">
        <v>468</v>
      </c>
      <c r="DX353" s="214" t="s">
        <v>70</v>
      </c>
      <c r="DY353" s="214" t="s">
        <v>530</v>
      </c>
      <c r="EA353" s="214" t="s">
        <v>23160</v>
      </c>
      <c r="EB353" s="214" t="s">
        <v>34639</v>
      </c>
      <c r="EC353" s="214" t="s">
        <v>70</v>
      </c>
      <c r="ED353" s="214" t="s">
        <v>530</v>
      </c>
      <c r="EF353" s="214" t="s">
        <v>23161</v>
      </c>
      <c r="EG353" s="214" t="s">
        <v>34541</v>
      </c>
      <c r="EH353" s="214" t="s">
        <v>70</v>
      </c>
      <c r="EI353" s="214" t="s">
        <v>530</v>
      </c>
      <c r="EK353" s="214" t="s">
        <v>23162</v>
      </c>
      <c r="EL353" s="214" t="s">
        <v>488</v>
      </c>
      <c r="EM353" s="214" t="s">
        <v>70</v>
      </c>
      <c r="EN353" s="214" t="s">
        <v>530</v>
      </c>
      <c r="EP353" s="214" t="s">
        <v>23163</v>
      </c>
      <c r="EQ353" s="214" t="s">
        <v>484</v>
      </c>
      <c r="ER353" s="214" t="s">
        <v>70</v>
      </c>
      <c r="ES353" s="214" t="s">
        <v>530</v>
      </c>
      <c r="EU353" s="214" t="s">
        <v>23164</v>
      </c>
      <c r="EV353" s="214" t="s">
        <v>529</v>
      </c>
      <c r="EW353" s="214" t="s">
        <v>70</v>
      </c>
      <c r="EX353" s="214" t="s">
        <v>530</v>
      </c>
      <c r="EZ353" s="214" t="s">
        <v>23165</v>
      </c>
      <c r="FA353" s="214" t="s">
        <v>468</v>
      </c>
      <c r="FB353" s="214" t="s">
        <v>70</v>
      </c>
      <c r="FC353" s="214" t="s">
        <v>530</v>
      </c>
      <c r="FE353" s="214" t="s">
        <v>23166</v>
      </c>
      <c r="FF353" s="214" t="s">
        <v>163</v>
      </c>
      <c r="FG353" s="214" t="s">
        <v>70</v>
      </c>
      <c r="FH353" s="214" t="s">
        <v>530</v>
      </c>
      <c r="FJ353" s="321" t="s">
        <v>23167</v>
      </c>
      <c r="FK353" s="214" t="s">
        <v>34556</v>
      </c>
      <c r="FL353" s="214" t="s">
        <v>70</v>
      </c>
      <c r="FM353" s="214" t="s">
        <v>530</v>
      </c>
      <c r="FO353" s="321" t="s">
        <v>23168</v>
      </c>
      <c r="FP353" s="214" t="s">
        <v>497</v>
      </c>
      <c r="FQ353" s="214" t="s">
        <v>70</v>
      </c>
      <c r="FR353" s="214" t="s">
        <v>530</v>
      </c>
      <c r="FT353" s="321" t="s">
        <v>23169</v>
      </c>
      <c r="FU353" s="214" t="s">
        <v>34552</v>
      </c>
      <c r="FV353" s="214" t="s">
        <v>70</v>
      </c>
      <c r="FW353" s="214" t="s">
        <v>530</v>
      </c>
      <c r="FY353" s="321" t="s">
        <v>23170</v>
      </c>
      <c r="FZ353" s="214" t="s">
        <v>52</v>
      </c>
      <c r="GA353" s="214" t="s">
        <v>70</v>
      </c>
      <c r="GB353" s="214" t="s">
        <v>530</v>
      </c>
      <c r="GD353" s="321" t="s">
        <v>23171</v>
      </c>
      <c r="GE353" s="214" t="s">
        <v>503</v>
      </c>
      <c r="GF353" s="214" t="s">
        <v>70</v>
      </c>
      <c r="GG353" s="214" t="s">
        <v>530</v>
      </c>
      <c r="GI353" s="321" t="s">
        <v>23172</v>
      </c>
      <c r="GJ353" s="214" t="s">
        <v>531</v>
      </c>
      <c r="GK353" s="214" t="s">
        <v>70</v>
      </c>
      <c r="GL353" s="214" t="s">
        <v>530</v>
      </c>
      <c r="GN353" s="321" t="s">
        <v>23173</v>
      </c>
      <c r="GO353" s="214" t="s">
        <v>468</v>
      </c>
      <c r="GP353" s="214" t="s">
        <v>70</v>
      </c>
      <c r="GQ353" s="214" t="s">
        <v>530</v>
      </c>
      <c r="GS353" s="321" t="s">
        <v>23174</v>
      </c>
      <c r="GT353" s="214" t="s">
        <v>491</v>
      </c>
      <c r="GU353" s="214" t="s">
        <v>70</v>
      </c>
      <c r="GV353" s="214" t="s">
        <v>530</v>
      </c>
      <c r="GX353" s="214" t="s">
        <v>23175</v>
      </c>
      <c r="GY353" s="214" t="s">
        <v>52</v>
      </c>
      <c r="GZ353" s="214" t="s">
        <v>70</v>
      </c>
      <c r="HA353" s="214" t="s">
        <v>530</v>
      </c>
      <c r="HC353" s="214" t="s">
        <v>23176</v>
      </c>
      <c r="HD353" s="214" t="s">
        <v>103</v>
      </c>
      <c r="HE353" s="214" t="s">
        <v>70</v>
      </c>
      <c r="HF353" s="214" t="s">
        <v>530</v>
      </c>
      <c r="HH353" s="214" t="s">
        <v>23177</v>
      </c>
      <c r="HI353" s="214" t="s">
        <v>34541</v>
      </c>
      <c r="HJ353" s="214" t="s">
        <v>70</v>
      </c>
      <c r="HK353" s="214" t="s">
        <v>530</v>
      </c>
      <c r="HM353" s="214" t="s">
        <v>23178</v>
      </c>
      <c r="HN353" s="214" t="s">
        <v>495</v>
      </c>
      <c r="HO353" s="214" t="s">
        <v>70</v>
      </c>
      <c r="HP353" s="214" t="s">
        <v>530</v>
      </c>
      <c r="HR353" s="22" t="s">
        <v>23179</v>
      </c>
      <c r="HS353" s="22" t="s">
        <v>487</v>
      </c>
      <c r="HT353" s="22" t="s">
        <v>70</v>
      </c>
      <c r="HU353" s="214" t="s">
        <v>530</v>
      </c>
      <c r="HW353" s="22" t="s">
        <v>23180</v>
      </c>
      <c r="HX353" s="22" t="s">
        <v>34569</v>
      </c>
      <c r="HY353" s="22" t="s">
        <v>70</v>
      </c>
      <c r="HZ353" s="214" t="s">
        <v>530</v>
      </c>
      <c r="IB353" s="22" t="s">
        <v>23181</v>
      </c>
      <c r="IC353" s="22" t="s">
        <v>918</v>
      </c>
      <c r="ID353" s="22" t="s">
        <v>70</v>
      </c>
      <c r="IE353" s="214" t="s">
        <v>530</v>
      </c>
      <c r="IG353" s="22" t="s">
        <v>23182</v>
      </c>
      <c r="IH353" s="22" t="s">
        <v>52</v>
      </c>
      <c r="II353" s="22" t="s">
        <v>70</v>
      </c>
      <c r="IJ353" s="214" t="s">
        <v>530</v>
      </c>
      <c r="IL353" s="22" t="s">
        <v>23183</v>
      </c>
      <c r="IM353" s="22" t="s">
        <v>145</v>
      </c>
      <c r="IN353" s="22" t="s">
        <v>70</v>
      </c>
      <c r="IO353" s="214" t="s">
        <v>530</v>
      </c>
      <c r="IQ353" s="236" t="s">
        <v>23184</v>
      </c>
      <c r="IR353" s="236" t="s">
        <v>145</v>
      </c>
      <c r="IS353" s="236" t="s">
        <v>74</v>
      </c>
      <c r="IT353" s="236" t="s">
        <v>841</v>
      </c>
      <c r="IV353" s="236" t="s">
        <v>23185</v>
      </c>
      <c r="IW353" s="236" t="s">
        <v>145</v>
      </c>
      <c r="IX353" s="236" t="s">
        <v>74</v>
      </c>
      <c r="IY353" s="236" t="s">
        <v>841</v>
      </c>
      <c r="JA353" s="236" t="s">
        <v>23186</v>
      </c>
      <c r="JB353" s="236" t="s">
        <v>145</v>
      </c>
      <c r="JC353" s="236" t="s">
        <v>74</v>
      </c>
      <c r="JD353" s="236" t="s">
        <v>841</v>
      </c>
      <c r="JF353" s="236" t="s">
        <v>23187</v>
      </c>
      <c r="JG353" s="236" t="s">
        <v>145</v>
      </c>
      <c r="JH353" s="236" t="s">
        <v>74</v>
      </c>
      <c r="JI353" s="236" t="s">
        <v>841</v>
      </c>
      <c r="JK353" s="236" t="s">
        <v>23188</v>
      </c>
      <c r="JL353" s="236" t="s">
        <v>145</v>
      </c>
      <c r="JM353" s="236" t="s">
        <v>74</v>
      </c>
      <c r="JN353" s="236" t="s">
        <v>841</v>
      </c>
      <c r="JP353" s="236" t="s">
        <v>23189</v>
      </c>
      <c r="JQ353" s="236" t="s">
        <v>145</v>
      </c>
      <c r="JR353" s="236" t="s">
        <v>74</v>
      </c>
      <c r="JS353" s="236" t="s">
        <v>841</v>
      </c>
      <c r="JU353" s="294" t="s">
        <v>23190</v>
      </c>
      <c r="JV353" s="294" t="s">
        <v>52</v>
      </c>
      <c r="JW353" s="263" t="s">
        <v>70</v>
      </c>
      <c r="JX353" s="294" t="s">
        <v>1083</v>
      </c>
      <c r="JZ353" s="263" t="s">
        <v>23191</v>
      </c>
      <c r="KA353" s="263" t="s">
        <v>145</v>
      </c>
      <c r="KB353" s="263" t="s">
        <v>70</v>
      </c>
      <c r="KC353" s="263" t="s">
        <v>1083</v>
      </c>
      <c r="KE353" s="263" t="s">
        <v>23192</v>
      </c>
      <c r="KF353" s="263" t="s">
        <v>52</v>
      </c>
      <c r="KG353" s="263" t="s">
        <v>70</v>
      </c>
      <c r="KH353" s="263" t="s">
        <v>1083</v>
      </c>
      <c r="KJ353" s="263" t="s">
        <v>23193</v>
      </c>
      <c r="KK353" s="263" t="s">
        <v>52</v>
      </c>
      <c r="KL353" s="263" t="s">
        <v>74</v>
      </c>
      <c r="KM353" s="263" t="s">
        <v>34074</v>
      </c>
      <c r="KO353" s="214" t="s">
        <v>23194</v>
      </c>
      <c r="KP353" s="214" t="s">
        <v>145</v>
      </c>
      <c r="KQ353" s="214" t="s">
        <v>70</v>
      </c>
      <c r="KR353" s="214" t="s">
        <v>67</v>
      </c>
      <c r="KT353" s="22" t="s">
        <v>23195</v>
      </c>
      <c r="KU353" s="22" t="s">
        <v>145</v>
      </c>
      <c r="KV353" s="22" t="s">
        <v>70</v>
      </c>
      <c r="KW353" s="22" t="s">
        <v>67</v>
      </c>
      <c r="KY353" s="214" t="s">
        <v>23196</v>
      </c>
      <c r="KZ353" s="214" t="s">
        <v>52</v>
      </c>
      <c r="LA353" s="214" t="s">
        <v>74</v>
      </c>
      <c r="LB353" s="214" t="s">
        <v>67</v>
      </c>
      <c r="LD353" s="22" t="s">
        <v>23197</v>
      </c>
      <c r="LE353" s="22" t="s">
        <v>145</v>
      </c>
      <c r="LF353" s="22" t="s">
        <v>70</v>
      </c>
      <c r="LG353" s="22" t="s">
        <v>67</v>
      </c>
    </row>
    <row r="354" spans="1:319">
      <c r="A354" s="22" t="s">
        <v>23198</v>
      </c>
      <c r="B354" s="22" t="s">
        <v>145</v>
      </c>
      <c r="C354" s="22" t="s">
        <v>70</v>
      </c>
      <c r="D354" s="22" t="s">
        <v>67</v>
      </c>
      <c r="F354" s="99" t="s">
        <v>23199</v>
      </c>
      <c r="G354" s="22" t="s">
        <v>145</v>
      </c>
      <c r="H354" s="22" t="s">
        <v>70</v>
      </c>
      <c r="I354" s="22" t="s">
        <v>67</v>
      </c>
      <c r="K354" s="99" t="s">
        <v>23200</v>
      </c>
      <c r="L354" s="22" t="s">
        <v>145</v>
      </c>
      <c r="M354" s="22" t="s">
        <v>70</v>
      </c>
      <c r="N354" s="22" t="s">
        <v>67</v>
      </c>
      <c r="P354" s="230" t="s">
        <v>23201</v>
      </c>
      <c r="Q354" s="230" t="s">
        <v>145</v>
      </c>
      <c r="R354" s="218" t="s">
        <v>72</v>
      </c>
      <c r="S354" s="297" t="s">
        <v>34315</v>
      </c>
      <c r="U354" s="293" t="s">
        <v>23202</v>
      </c>
      <c r="V354" s="293" t="s">
        <v>145</v>
      </c>
      <c r="W354" s="293" t="s">
        <v>74</v>
      </c>
      <c r="X354" s="293" t="s">
        <v>656</v>
      </c>
      <c r="Z354" s="293" t="s">
        <v>23203</v>
      </c>
      <c r="AA354" s="293" t="s">
        <v>145</v>
      </c>
      <c r="AB354" s="293" t="s">
        <v>74</v>
      </c>
      <c r="AC354" s="293" t="s">
        <v>656</v>
      </c>
      <c r="AE354" s="293" t="s">
        <v>23204</v>
      </c>
      <c r="AF354" s="293" t="s">
        <v>145</v>
      </c>
      <c r="AG354" s="293" t="s">
        <v>74</v>
      </c>
      <c r="AH354" s="293" t="s">
        <v>656</v>
      </c>
      <c r="AJ354" s="293" t="s">
        <v>23205</v>
      </c>
      <c r="AK354" s="293" t="s">
        <v>145</v>
      </c>
      <c r="AL354" s="293" t="s">
        <v>74</v>
      </c>
      <c r="AM354" s="293" t="s">
        <v>656</v>
      </c>
      <c r="AO354" s="22" t="s">
        <v>23206</v>
      </c>
      <c r="AP354" s="22" t="s">
        <v>145</v>
      </c>
      <c r="AQ354" s="22" t="s">
        <v>70</v>
      </c>
      <c r="AR354" s="22" t="s">
        <v>67</v>
      </c>
      <c r="AT354" s="22" t="s">
        <v>23207</v>
      </c>
      <c r="AU354" s="22" t="s">
        <v>145</v>
      </c>
      <c r="AV354" s="22" t="s">
        <v>70</v>
      </c>
      <c r="AW354" s="22" t="s">
        <v>67</v>
      </c>
      <c r="AY354" s="22" t="s">
        <v>23208</v>
      </c>
      <c r="AZ354" s="22" t="s">
        <v>145</v>
      </c>
      <c r="BA354" s="22" t="s">
        <v>70</v>
      </c>
      <c r="BB354" s="22" t="s">
        <v>67</v>
      </c>
      <c r="BD354" s="22" t="s">
        <v>23209</v>
      </c>
      <c r="BE354" s="22" t="s">
        <v>145</v>
      </c>
      <c r="BF354" s="22" t="s">
        <v>70</v>
      </c>
      <c r="BG354" s="22" t="s">
        <v>67</v>
      </c>
      <c r="BI354" s="22" t="s">
        <v>23210</v>
      </c>
      <c r="BJ354" s="22" t="s">
        <v>145</v>
      </c>
      <c r="BK354" s="22" t="s">
        <v>70</v>
      </c>
      <c r="BL354" s="22" t="s">
        <v>67</v>
      </c>
      <c r="BN354" s="22" t="s">
        <v>23211</v>
      </c>
      <c r="BO354" s="22" t="s">
        <v>145</v>
      </c>
      <c r="BP354" s="22" t="s">
        <v>70</v>
      </c>
      <c r="BQ354" s="22" t="s">
        <v>67</v>
      </c>
      <c r="BS354" s="22" t="s">
        <v>23212</v>
      </c>
      <c r="BT354" s="22" t="s">
        <v>145</v>
      </c>
      <c r="BU354" s="22" t="s">
        <v>70</v>
      </c>
      <c r="BV354" s="214" t="s">
        <v>530</v>
      </c>
      <c r="BX354" s="22" t="s">
        <v>23213</v>
      </c>
      <c r="BY354" s="22" t="s">
        <v>145</v>
      </c>
      <c r="BZ354" s="22" t="s">
        <v>70</v>
      </c>
      <c r="CA354" s="214" t="s">
        <v>530</v>
      </c>
      <c r="CC354" s="214" t="s">
        <v>23214</v>
      </c>
      <c r="CD354" s="218" t="s">
        <v>52</v>
      </c>
      <c r="CE354" s="214" t="s">
        <v>70</v>
      </c>
      <c r="CF354" s="214" t="s">
        <v>34160</v>
      </c>
      <c r="CH354" s="214" t="s">
        <v>23215</v>
      </c>
      <c r="CI354" s="214" t="s">
        <v>10541</v>
      </c>
      <c r="CJ354" s="214" t="s">
        <v>70</v>
      </c>
      <c r="CK354" s="214" t="s">
        <v>530</v>
      </c>
      <c r="CM354" s="214" t="s">
        <v>23216</v>
      </c>
      <c r="CN354" s="214" t="s">
        <v>910</v>
      </c>
      <c r="CO354" s="214" t="s">
        <v>70</v>
      </c>
      <c r="CP354" s="214" t="s">
        <v>530</v>
      </c>
      <c r="CR354" s="214" t="s">
        <v>23217</v>
      </c>
      <c r="CS354" s="214" t="s">
        <v>34545</v>
      </c>
      <c r="CT354" s="214" t="s">
        <v>70</v>
      </c>
      <c r="CU354" s="214" t="s">
        <v>530</v>
      </c>
      <c r="CW354" s="214" t="s">
        <v>23218</v>
      </c>
      <c r="CX354" s="214" t="s">
        <v>485</v>
      </c>
      <c r="CY354" s="214" t="s">
        <v>70</v>
      </c>
      <c r="CZ354" s="214" t="s">
        <v>530</v>
      </c>
      <c r="DB354" s="214" t="s">
        <v>23219</v>
      </c>
      <c r="DC354" s="214" t="s">
        <v>34471</v>
      </c>
      <c r="DD354" s="214" t="s">
        <v>70</v>
      </c>
      <c r="DE354" s="214" t="s">
        <v>530</v>
      </c>
      <c r="DG354" s="214" t="s">
        <v>23220</v>
      </c>
      <c r="DH354" s="214" t="s">
        <v>529</v>
      </c>
      <c r="DI354" s="214" t="s">
        <v>70</v>
      </c>
      <c r="DJ354" s="214" t="s">
        <v>530</v>
      </c>
      <c r="DL354" s="214" t="s">
        <v>23221</v>
      </c>
      <c r="DM354" s="214" t="s">
        <v>602</v>
      </c>
      <c r="DN354" s="214" t="s">
        <v>70</v>
      </c>
      <c r="DO354" s="214" t="s">
        <v>530</v>
      </c>
      <c r="DQ354" s="214" t="s">
        <v>23222</v>
      </c>
      <c r="DR354" s="214" t="s">
        <v>165</v>
      </c>
      <c r="DS354" s="214" t="s">
        <v>70</v>
      </c>
      <c r="DT354" s="214" t="s">
        <v>530</v>
      </c>
      <c r="DV354" s="214" t="s">
        <v>23223</v>
      </c>
      <c r="DW354" s="214" t="s">
        <v>468</v>
      </c>
      <c r="DX354" s="214" t="s">
        <v>70</v>
      </c>
      <c r="DY354" s="214" t="s">
        <v>530</v>
      </c>
      <c r="EA354" s="214" t="s">
        <v>23224</v>
      </c>
      <c r="EB354" s="214" t="s">
        <v>952</v>
      </c>
      <c r="EC354" s="214" t="s">
        <v>70</v>
      </c>
      <c r="ED354" s="214" t="s">
        <v>530</v>
      </c>
      <c r="EF354" s="214" t="s">
        <v>23225</v>
      </c>
      <c r="EG354" s="214" t="s">
        <v>34560</v>
      </c>
      <c r="EH354" s="214" t="s">
        <v>70</v>
      </c>
      <c r="EI354" s="214" t="s">
        <v>530</v>
      </c>
      <c r="EK354" s="214" t="s">
        <v>23226</v>
      </c>
      <c r="EL354" s="214" t="s">
        <v>34614</v>
      </c>
      <c r="EM354" s="214" t="s">
        <v>70</v>
      </c>
      <c r="EN354" s="214" t="s">
        <v>530</v>
      </c>
      <c r="EP354" s="214" t="s">
        <v>23227</v>
      </c>
      <c r="EQ354" s="214" t="s">
        <v>950</v>
      </c>
      <c r="ER354" s="214" t="s">
        <v>70</v>
      </c>
      <c r="ES354" s="214" t="s">
        <v>530</v>
      </c>
      <c r="EU354" s="214" t="s">
        <v>23228</v>
      </c>
      <c r="EV354" s="214" t="s">
        <v>604</v>
      </c>
      <c r="EW354" s="214" t="s">
        <v>70</v>
      </c>
      <c r="EX354" s="214" t="s">
        <v>530</v>
      </c>
      <c r="EZ354" s="214" t="s">
        <v>23229</v>
      </c>
      <c r="FA354" s="214" t="s">
        <v>52</v>
      </c>
      <c r="FB354" s="214" t="s">
        <v>70</v>
      </c>
      <c r="FC354" s="214" t="s">
        <v>530</v>
      </c>
      <c r="FE354" s="214" t="s">
        <v>23230</v>
      </c>
      <c r="FF354" s="214" t="s">
        <v>468</v>
      </c>
      <c r="FG354" s="214" t="s">
        <v>70</v>
      </c>
      <c r="FH354" s="214" t="s">
        <v>530</v>
      </c>
      <c r="FJ354" s="321" t="s">
        <v>23231</v>
      </c>
      <c r="FK354" s="214" t="s">
        <v>148</v>
      </c>
      <c r="FL354" s="214" t="s">
        <v>70</v>
      </c>
      <c r="FM354" s="214" t="s">
        <v>530</v>
      </c>
      <c r="FO354" s="321" t="s">
        <v>23232</v>
      </c>
      <c r="FP354" s="214" t="s">
        <v>145</v>
      </c>
      <c r="FQ354" s="214" t="s">
        <v>70</v>
      </c>
      <c r="FR354" s="214" t="s">
        <v>530</v>
      </c>
      <c r="FT354" s="321" t="s">
        <v>23233</v>
      </c>
      <c r="FU354" s="214" t="s">
        <v>52</v>
      </c>
      <c r="FV354" s="214" t="s">
        <v>70</v>
      </c>
      <c r="FW354" s="214" t="s">
        <v>530</v>
      </c>
      <c r="FY354" s="321" t="s">
        <v>23234</v>
      </c>
      <c r="FZ354" s="214" t="s">
        <v>145</v>
      </c>
      <c r="GA354" s="214" t="s">
        <v>70</v>
      </c>
      <c r="GB354" s="214" t="s">
        <v>530</v>
      </c>
      <c r="GD354" s="321" t="s">
        <v>23235</v>
      </c>
      <c r="GE354" s="214" t="s">
        <v>85</v>
      </c>
      <c r="GF354" s="214" t="s">
        <v>70</v>
      </c>
      <c r="GG354" s="214" t="s">
        <v>530</v>
      </c>
      <c r="GI354" s="321" t="s">
        <v>23236</v>
      </c>
      <c r="GJ354" s="214" t="s">
        <v>88</v>
      </c>
      <c r="GK354" s="214" t="s">
        <v>70</v>
      </c>
      <c r="GL354" s="214" t="s">
        <v>530</v>
      </c>
      <c r="GN354" s="321" t="s">
        <v>23237</v>
      </c>
      <c r="GO354" s="214" t="s">
        <v>500</v>
      </c>
      <c r="GP354" s="214" t="s">
        <v>70</v>
      </c>
      <c r="GQ354" s="214" t="s">
        <v>530</v>
      </c>
      <c r="GS354" s="321" t="s">
        <v>23238</v>
      </c>
      <c r="GT354" s="214" t="s">
        <v>52</v>
      </c>
      <c r="GU354" s="214" t="s">
        <v>70</v>
      </c>
      <c r="GV354" s="214" t="s">
        <v>530</v>
      </c>
      <c r="GX354" s="214" t="s">
        <v>23239</v>
      </c>
      <c r="GY354" s="214" t="s">
        <v>34583</v>
      </c>
      <c r="GZ354" s="214" t="s">
        <v>70</v>
      </c>
      <c r="HA354" s="214" t="s">
        <v>530</v>
      </c>
      <c r="HC354" s="214" t="s">
        <v>23240</v>
      </c>
      <c r="HD354" s="214" t="s">
        <v>34574</v>
      </c>
      <c r="HE354" s="214" t="s">
        <v>70</v>
      </c>
      <c r="HF354" s="214" t="s">
        <v>530</v>
      </c>
      <c r="HH354" s="214" t="s">
        <v>23241</v>
      </c>
      <c r="HI354" s="214" t="s">
        <v>34623</v>
      </c>
      <c r="HJ354" s="214" t="s">
        <v>70</v>
      </c>
      <c r="HK354" s="214" t="s">
        <v>530</v>
      </c>
      <c r="HM354" s="214" t="s">
        <v>23242</v>
      </c>
      <c r="HN354" s="214" t="s">
        <v>34471</v>
      </c>
      <c r="HO354" s="214" t="s">
        <v>70</v>
      </c>
      <c r="HP354" s="214" t="s">
        <v>530</v>
      </c>
      <c r="HR354" s="22" t="s">
        <v>23243</v>
      </c>
      <c r="HS354" s="22" t="s">
        <v>52</v>
      </c>
      <c r="HT354" s="22" t="s">
        <v>70</v>
      </c>
      <c r="HU354" s="214" t="s">
        <v>530</v>
      </c>
      <c r="HW354" s="22" t="s">
        <v>23244</v>
      </c>
      <c r="HX354" s="22" t="s">
        <v>34622</v>
      </c>
      <c r="HY354" s="22" t="s">
        <v>70</v>
      </c>
      <c r="HZ354" s="214" t="s">
        <v>530</v>
      </c>
      <c r="IB354" s="22" t="s">
        <v>23245</v>
      </c>
      <c r="IC354" s="22" t="s">
        <v>497</v>
      </c>
      <c r="ID354" s="22" t="s">
        <v>70</v>
      </c>
      <c r="IE354" s="214" t="s">
        <v>530</v>
      </c>
      <c r="IG354" s="22" t="s">
        <v>23246</v>
      </c>
      <c r="IH354" s="22" t="s">
        <v>52</v>
      </c>
      <c r="II354" s="22" t="s">
        <v>70</v>
      </c>
      <c r="IJ354" s="214" t="s">
        <v>530</v>
      </c>
      <c r="IL354" s="22" t="s">
        <v>23247</v>
      </c>
      <c r="IM354" s="22" t="s">
        <v>145</v>
      </c>
      <c r="IN354" s="22" t="s">
        <v>70</v>
      </c>
      <c r="IO354" s="214" t="s">
        <v>530</v>
      </c>
      <c r="IQ354" s="236" t="s">
        <v>23248</v>
      </c>
      <c r="IR354" s="236" t="s">
        <v>145</v>
      </c>
      <c r="IS354" s="236" t="s">
        <v>74</v>
      </c>
      <c r="IT354" s="236" t="s">
        <v>841</v>
      </c>
      <c r="IV354" s="236" t="s">
        <v>23249</v>
      </c>
      <c r="IW354" s="236" t="s">
        <v>145</v>
      </c>
      <c r="IX354" s="236" t="s">
        <v>74</v>
      </c>
      <c r="IY354" s="236" t="s">
        <v>841</v>
      </c>
      <c r="JA354" s="236" t="s">
        <v>23250</v>
      </c>
      <c r="JB354" s="236" t="s">
        <v>145</v>
      </c>
      <c r="JC354" s="236" t="s">
        <v>74</v>
      </c>
      <c r="JD354" s="236" t="s">
        <v>841</v>
      </c>
      <c r="JF354" s="236" t="s">
        <v>23251</v>
      </c>
      <c r="JG354" s="236" t="s">
        <v>145</v>
      </c>
      <c r="JH354" s="236" t="s">
        <v>74</v>
      </c>
      <c r="JI354" s="236" t="s">
        <v>841</v>
      </c>
      <c r="JK354" s="236" t="s">
        <v>23252</v>
      </c>
      <c r="JL354" s="236" t="s">
        <v>145</v>
      </c>
      <c r="JM354" s="236" t="s">
        <v>74</v>
      </c>
      <c r="JN354" s="236" t="s">
        <v>841</v>
      </c>
      <c r="JP354" s="236" t="s">
        <v>23253</v>
      </c>
      <c r="JQ354" s="236" t="s">
        <v>145</v>
      </c>
      <c r="JR354" s="236" t="s">
        <v>74</v>
      </c>
      <c r="JS354" s="236" t="s">
        <v>841</v>
      </c>
      <c r="JU354" s="294" t="s">
        <v>23254</v>
      </c>
      <c r="JV354" s="294" t="s">
        <v>52</v>
      </c>
      <c r="JW354" s="263" t="s">
        <v>70</v>
      </c>
      <c r="JX354" s="294" t="s">
        <v>1083</v>
      </c>
      <c r="JZ354" s="263" t="s">
        <v>23255</v>
      </c>
      <c r="KA354" s="263" t="s">
        <v>145</v>
      </c>
      <c r="KB354" s="263" t="s">
        <v>70</v>
      </c>
      <c r="KC354" s="263" t="s">
        <v>1083</v>
      </c>
      <c r="KE354" s="263" t="s">
        <v>23256</v>
      </c>
      <c r="KF354" s="263" t="s">
        <v>52</v>
      </c>
      <c r="KG354" s="263" t="s">
        <v>70</v>
      </c>
      <c r="KH354" s="263" t="s">
        <v>1083</v>
      </c>
      <c r="KJ354" s="263" t="s">
        <v>23257</v>
      </c>
      <c r="KK354" s="263" t="s">
        <v>52</v>
      </c>
      <c r="KL354" s="263" t="s">
        <v>74</v>
      </c>
      <c r="KM354" s="263" t="s">
        <v>34074</v>
      </c>
      <c r="KO354" s="214" t="s">
        <v>23258</v>
      </c>
      <c r="KP354" s="214" t="s">
        <v>145</v>
      </c>
      <c r="KQ354" s="214" t="s">
        <v>70</v>
      </c>
      <c r="KR354" s="214" t="s">
        <v>67</v>
      </c>
      <c r="KT354" s="22" t="s">
        <v>23259</v>
      </c>
      <c r="KU354" s="22" t="s">
        <v>145</v>
      </c>
      <c r="KV354" s="22" t="s">
        <v>70</v>
      </c>
      <c r="KW354" s="22" t="s">
        <v>67</v>
      </c>
      <c r="KY354" s="214" t="s">
        <v>23260</v>
      </c>
      <c r="KZ354" s="214" t="s">
        <v>52</v>
      </c>
      <c r="LA354" s="214" t="s">
        <v>74</v>
      </c>
      <c r="LB354" s="214" t="s">
        <v>67</v>
      </c>
      <c r="LD354" s="22" t="s">
        <v>23261</v>
      </c>
      <c r="LE354" s="22" t="s">
        <v>145</v>
      </c>
      <c r="LF354" s="22" t="s">
        <v>70</v>
      </c>
      <c r="LG354" s="22" t="s">
        <v>67</v>
      </c>
    </row>
    <row r="355" spans="1:319">
      <c r="A355" s="22" t="s">
        <v>23262</v>
      </c>
      <c r="B355" s="22" t="s">
        <v>145</v>
      </c>
      <c r="C355" s="22" t="s">
        <v>70</v>
      </c>
      <c r="D355" s="22" t="s">
        <v>67</v>
      </c>
      <c r="F355" s="99" t="s">
        <v>23263</v>
      </c>
      <c r="G355" s="22" t="s">
        <v>145</v>
      </c>
      <c r="H355" s="22" t="s">
        <v>70</v>
      </c>
      <c r="I355" s="22" t="s">
        <v>67</v>
      </c>
      <c r="K355" s="99" t="s">
        <v>23264</v>
      </c>
      <c r="L355" s="22" t="s">
        <v>145</v>
      </c>
      <c r="M355" s="22" t="s">
        <v>70</v>
      </c>
      <c r="N355" s="22" t="s">
        <v>67</v>
      </c>
      <c r="P355" s="230" t="s">
        <v>23265</v>
      </c>
      <c r="Q355" s="230" t="s">
        <v>145</v>
      </c>
      <c r="R355" s="218" t="s">
        <v>72</v>
      </c>
      <c r="S355" s="297" t="s">
        <v>34316</v>
      </c>
      <c r="U355" s="293" t="s">
        <v>23266</v>
      </c>
      <c r="V355" s="293" t="s">
        <v>145</v>
      </c>
      <c r="W355" s="293" t="s">
        <v>74</v>
      </c>
      <c r="X355" s="293" t="s">
        <v>656</v>
      </c>
      <c r="Z355" s="293" t="s">
        <v>23267</v>
      </c>
      <c r="AA355" s="293" t="s">
        <v>145</v>
      </c>
      <c r="AB355" s="293" t="s">
        <v>74</v>
      </c>
      <c r="AC355" s="293" t="s">
        <v>656</v>
      </c>
      <c r="AE355" s="293" t="s">
        <v>23268</v>
      </c>
      <c r="AF355" s="293" t="s">
        <v>145</v>
      </c>
      <c r="AG355" s="293" t="s">
        <v>74</v>
      </c>
      <c r="AH355" s="293" t="s">
        <v>656</v>
      </c>
      <c r="AJ355" s="293" t="s">
        <v>23269</v>
      </c>
      <c r="AK355" s="293" t="s">
        <v>145</v>
      </c>
      <c r="AL355" s="293" t="s">
        <v>74</v>
      </c>
      <c r="AM355" s="293" t="s">
        <v>656</v>
      </c>
      <c r="AO355" s="22" t="s">
        <v>23270</v>
      </c>
      <c r="AP355" s="22" t="s">
        <v>145</v>
      </c>
      <c r="AQ355" s="22" t="s">
        <v>70</v>
      </c>
      <c r="AR355" s="22" t="s">
        <v>67</v>
      </c>
      <c r="AT355" s="22" t="s">
        <v>23271</v>
      </c>
      <c r="AU355" s="22" t="s">
        <v>145</v>
      </c>
      <c r="AV355" s="22" t="s">
        <v>70</v>
      </c>
      <c r="AW355" s="22" t="s">
        <v>67</v>
      </c>
      <c r="AY355" s="22" t="s">
        <v>23272</v>
      </c>
      <c r="AZ355" s="22" t="s">
        <v>145</v>
      </c>
      <c r="BA355" s="22" t="s">
        <v>70</v>
      </c>
      <c r="BB355" s="22" t="s">
        <v>67</v>
      </c>
      <c r="BD355" s="22" t="s">
        <v>23273</v>
      </c>
      <c r="BE355" s="22" t="s">
        <v>145</v>
      </c>
      <c r="BF355" s="22" t="s">
        <v>70</v>
      </c>
      <c r="BG355" s="22" t="s">
        <v>67</v>
      </c>
      <c r="BI355" s="22" t="s">
        <v>23274</v>
      </c>
      <c r="BJ355" s="22" t="s">
        <v>145</v>
      </c>
      <c r="BK355" s="22" t="s">
        <v>70</v>
      </c>
      <c r="BL355" s="22" t="s">
        <v>67</v>
      </c>
      <c r="BN355" s="22" t="s">
        <v>23275</v>
      </c>
      <c r="BO355" s="22" t="s">
        <v>145</v>
      </c>
      <c r="BP355" s="22" t="s">
        <v>70</v>
      </c>
      <c r="BQ355" s="22" t="s">
        <v>67</v>
      </c>
      <c r="BS355" s="22" t="s">
        <v>23276</v>
      </c>
      <c r="BT355" s="22" t="s">
        <v>145</v>
      </c>
      <c r="BU355" s="22" t="s">
        <v>70</v>
      </c>
      <c r="BV355" s="214" t="s">
        <v>530</v>
      </c>
      <c r="BX355" s="22" t="s">
        <v>23277</v>
      </c>
      <c r="BY355" s="22" t="s">
        <v>145</v>
      </c>
      <c r="BZ355" s="22" t="s">
        <v>70</v>
      </c>
      <c r="CA355" s="214" t="s">
        <v>530</v>
      </c>
      <c r="CC355" s="214" t="s">
        <v>23278</v>
      </c>
      <c r="CD355" s="218" t="s">
        <v>601</v>
      </c>
      <c r="CE355" s="214" t="s">
        <v>70</v>
      </c>
      <c r="CF355" s="214" t="s">
        <v>34161</v>
      </c>
      <c r="CH355" s="214" t="s">
        <v>23279</v>
      </c>
      <c r="CI355" s="214" t="s">
        <v>492</v>
      </c>
      <c r="CJ355" s="214" t="s">
        <v>70</v>
      </c>
      <c r="CK355" s="214" t="s">
        <v>530</v>
      </c>
      <c r="CM355" s="214" t="s">
        <v>23280</v>
      </c>
      <c r="CN355" s="214" t="s">
        <v>491</v>
      </c>
      <c r="CO355" s="214" t="s">
        <v>70</v>
      </c>
      <c r="CP355" s="214" t="s">
        <v>530</v>
      </c>
      <c r="CR355" s="214" t="s">
        <v>23281</v>
      </c>
      <c r="CS355" s="214" t="s">
        <v>34551</v>
      </c>
      <c r="CT355" s="214" t="s">
        <v>70</v>
      </c>
      <c r="CU355" s="214" t="s">
        <v>530</v>
      </c>
      <c r="CW355" s="214" t="s">
        <v>23282</v>
      </c>
      <c r="CX355" s="214" t="s">
        <v>146</v>
      </c>
      <c r="CY355" s="214" t="s">
        <v>70</v>
      </c>
      <c r="CZ355" s="214" t="s">
        <v>530</v>
      </c>
      <c r="DB355" s="214" t="s">
        <v>23283</v>
      </c>
      <c r="DC355" s="214" t="s">
        <v>484</v>
      </c>
      <c r="DD355" s="214" t="s">
        <v>70</v>
      </c>
      <c r="DE355" s="214" t="s">
        <v>530</v>
      </c>
      <c r="DG355" s="214" t="s">
        <v>23284</v>
      </c>
      <c r="DH355" s="214" t="s">
        <v>956</v>
      </c>
      <c r="DI355" s="214" t="s">
        <v>70</v>
      </c>
      <c r="DJ355" s="214" t="s">
        <v>530</v>
      </c>
      <c r="DL355" s="214" t="s">
        <v>23285</v>
      </c>
      <c r="DM355" s="214" t="s">
        <v>52</v>
      </c>
      <c r="DN355" s="214" t="s">
        <v>70</v>
      </c>
      <c r="DO355" s="214" t="s">
        <v>530</v>
      </c>
      <c r="DQ355" s="214" t="s">
        <v>23286</v>
      </c>
      <c r="DR355" s="214" t="s">
        <v>146</v>
      </c>
      <c r="DS355" s="214" t="s">
        <v>70</v>
      </c>
      <c r="DT355" s="214" t="s">
        <v>530</v>
      </c>
      <c r="DV355" s="214" t="s">
        <v>23287</v>
      </c>
      <c r="DW355" s="214" t="s">
        <v>34548</v>
      </c>
      <c r="DX355" s="214" t="s">
        <v>70</v>
      </c>
      <c r="DY355" s="214" t="s">
        <v>530</v>
      </c>
      <c r="EA355" s="214" t="s">
        <v>23288</v>
      </c>
      <c r="EB355" s="214" t="s">
        <v>484</v>
      </c>
      <c r="EC355" s="214" t="s">
        <v>70</v>
      </c>
      <c r="ED355" s="214" t="s">
        <v>530</v>
      </c>
      <c r="EF355" s="214" t="s">
        <v>23289</v>
      </c>
      <c r="EG355" s="214" t="s">
        <v>145</v>
      </c>
      <c r="EH355" s="214" t="s">
        <v>70</v>
      </c>
      <c r="EI355" s="214" t="s">
        <v>530</v>
      </c>
      <c r="EK355" s="214" t="s">
        <v>23290</v>
      </c>
      <c r="EL355" s="214" t="s">
        <v>488</v>
      </c>
      <c r="EM355" s="214" t="s">
        <v>70</v>
      </c>
      <c r="EN355" s="214" t="s">
        <v>530</v>
      </c>
      <c r="EP355" s="214" t="s">
        <v>23291</v>
      </c>
      <c r="EQ355" s="214" t="s">
        <v>85</v>
      </c>
      <c r="ER355" s="214" t="s">
        <v>70</v>
      </c>
      <c r="ES355" s="214" t="s">
        <v>530</v>
      </c>
      <c r="EU355" s="214" t="s">
        <v>23292</v>
      </c>
      <c r="EV355" s="214" t="s">
        <v>146</v>
      </c>
      <c r="EW355" s="214" t="s">
        <v>70</v>
      </c>
      <c r="EX355" s="214" t="s">
        <v>530</v>
      </c>
      <c r="EZ355" s="214" t="s">
        <v>23293</v>
      </c>
      <c r="FA355" s="214" t="s">
        <v>103</v>
      </c>
      <c r="FB355" s="214" t="s">
        <v>70</v>
      </c>
      <c r="FC355" s="214" t="s">
        <v>530</v>
      </c>
      <c r="FE355" s="214" t="s">
        <v>23294</v>
      </c>
      <c r="FF355" s="214" t="s">
        <v>146</v>
      </c>
      <c r="FG355" s="214" t="s">
        <v>70</v>
      </c>
      <c r="FH355" s="214" t="s">
        <v>530</v>
      </c>
      <c r="FJ355" s="321" t="s">
        <v>23295</v>
      </c>
      <c r="FK355" s="214" t="s">
        <v>496</v>
      </c>
      <c r="FL355" s="214" t="s">
        <v>70</v>
      </c>
      <c r="FM355" s="214" t="s">
        <v>530</v>
      </c>
      <c r="FO355" s="321" t="s">
        <v>23296</v>
      </c>
      <c r="FP355" s="214" t="s">
        <v>34541</v>
      </c>
      <c r="FQ355" s="214" t="s">
        <v>70</v>
      </c>
      <c r="FR355" s="214" t="s">
        <v>530</v>
      </c>
      <c r="FT355" s="321" t="s">
        <v>23297</v>
      </c>
      <c r="FU355" s="214" t="s">
        <v>531</v>
      </c>
      <c r="FV355" s="214" t="s">
        <v>70</v>
      </c>
      <c r="FW355" s="214" t="s">
        <v>530</v>
      </c>
      <c r="FY355" s="321" t="s">
        <v>23298</v>
      </c>
      <c r="FZ355" s="214" t="s">
        <v>34541</v>
      </c>
      <c r="GA355" s="214" t="s">
        <v>70</v>
      </c>
      <c r="GB355" s="214" t="s">
        <v>530</v>
      </c>
      <c r="GD355" s="321" t="s">
        <v>23299</v>
      </c>
      <c r="GE355" s="214" t="s">
        <v>52</v>
      </c>
      <c r="GF355" s="214" t="s">
        <v>70</v>
      </c>
      <c r="GG355" s="214" t="s">
        <v>530</v>
      </c>
      <c r="GI355" s="321" t="s">
        <v>23300</v>
      </c>
      <c r="GJ355" s="214" t="s">
        <v>599</v>
      </c>
      <c r="GK355" s="214" t="s">
        <v>70</v>
      </c>
      <c r="GL355" s="214" t="s">
        <v>530</v>
      </c>
      <c r="GN355" s="321" t="s">
        <v>23301</v>
      </c>
      <c r="GO355" s="214" t="s">
        <v>146</v>
      </c>
      <c r="GP355" s="214" t="s">
        <v>70</v>
      </c>
      <c r="GQ355" s="214" t="s">
        <v>530</v>
      </c>
      <c r="GS355" s="321" t="s">
        <v>23302</v>
      </c>
      <c r="GT355" s="214" t="s">
        <v>203</v>
      </c>
      <c r="GU355" s="214" t="s">
        <v>70</v>
      </c>
      <c r="GV355" s="214" t="s">
        <v>530</v>
      </c>
      <c r="GX355" s="214" t="s">
        <v>23303</v>
      </c>
      <c r="GY355" s="214" t="s">
        <v>52</v>
      </c>
      <c r="GZ355" s="214" t="s">
        <v>70</v>
      </c>
      <c r="HA355" s="214" t="s">
        <v>530</v>
      </c>
      <c r="HC355" s="214" t="s">
        <v>23304</v>
      </c>
      <c r="HD355" s="214" t="s">
        <v>488</v>
      </c>
      <c r="HE355" s="214" t="s">
        <v>70</v>
      </c>
      <c r="HF355" s="214" t="s">
        <v>530</v>
      </c>
      <c r="HH355" s="214" t="s">
        <v>23305</v>
      </c>
      <c r="HI355" s="214" t="s">
        <v>145</v>
      </c>
      <c r="HJ355" s="214" t="s">
        <v>70</v>
      </c>
      <c r="HK355" s="214" t="s">
        <v>530</v>
      </c>
      <c r="HM355" s="214" t="s">
        <v>23306</v>
      </c>
      <c r="HN355" s="214" t="s">
        <v>912</v>
      </c>
      <c r="HO355" s="214" t="s">
        <v>70</v>
      </c>
      <c r="HP355" s="214" t="s">
        <v>530</v>
      </c>
      <c r="HR355" s="22" t="s">
        <v>23307</v>
      </c>
      <c r="HS355" s="22" t="s">
        <v>52</v>
      </c>
      <c r="HT355" s="22" t="s">
        <v>70</v>
      </c>
      <c r="HU355" s="214" t="s">
        <v>530</v>
      </c>
      <c r="HW355" s="22" t="s">
        <v>23308</v>
      </c>
      <c r="HX355" s="22" t="s">
        <v>34642</v>
      </c>
      <c r="HY355" s="22" t="s">
        <v>70</v>
      </c>
      <c r="HZ355" s="214" t="s">
        <v>530</v>
      </c>
      <c r="IB355" s="22" t="s">
        <v>23309</v>
      </c>
      <c r="IC355" s="22" t="s">
        <v>146</v>
      </c>
      <c r="ID355" s="22" t="s">
        <v>70</v>
      </c>
      <c r="IE355" s="214" t="s">
        <v>530</v>
      </c>
      <c r="IG355" s="22" t="s">
        <v>23310</v>
      </c>
      <c r="IH355" s="22" t="s">
        <v>52</v>
      </c>
      <c r="II355" s="22" t="s">
        <v>70</v>
      </c>
      <c r="IJ355" s="214" t="s">
        <v>530</v>
      </c>
      <c r="IL355" s="22" t="s">
        <v>23311</v>
      </c>
      <c r="IM355" s="22" t="s">
        <v>145</v>
      </c>
      <c r="IN355" s="22" t="s">
        <v>70</v>
      </c>
      <c r="IO355" s="214" t="s">
        <v>530</v>
      </c>
      <c r="IQ355" s="236" t="s">
        <v>23312</v>
      </c>
      <c r="IR355" s="236" t="s">
        <v>145</v>
      </c>
      <c r="IS355" s="236" t="s">
        <v>74</v>
      </c>
      <c r="IT355" s="236" t="s">
        <v>841</v>
      </c>
      <c r="IV355" s="236" t="s">
        <v>23313</v>
      </c>
      <c r="IW355" s="236" t="s">
        <v>145</v>
      </c>
      <c r="IX355" s="236" t="s">
        <v>74</v>
      </c>
      <c r="IY355" s="236" t="s">
        <v>841</v>
      </c>
      <c r="JA355" s="236" t="s">
        <v>23314</v>
      </c>
      <c r="JB355" s="236" t="s">
        <v>145</v>
      </c>
      <c r="JC355" s="236" t="s">
        <v>74</v>
      </c>
      <c r="JD355" s="236" t="s">
        <v>841</v>
      </c>
      <c r="JF355" s="236" t="s">
        <v>23315</v>
      </c>
      <c r="JG355" s="236" t="s">
        <v>145</v>
      </c>
      <c r="JH355" s="236" t="s">
        <v>74</v>
      </c>
      <c r="JI355" s="236" t="s">
        <v>841</v>
      </c>
      <c r="JK355" s="236" t="s">
        <v>23316</v>
      </c>
      <c r="JL355" s="236" t="s">
        <v>145</v>
      </c>
      <c r="JM355" s="236" t="s">
        <v>74</v>
      </c>
      <c r="JN355" s="236" t="s">
        <v>841</v>
      </c>
      <c r="JP355" s="236" t="s">
        <v>23317</v>
      </c>
      <c r="JQ355" s="236" t="s">
        <v>145</v>
      </c>
      <c r="JR355" s="236" t="s">
        <v>74</v>
      </c>
      <c r="JS355" s="236" t="s">
        <v>841</v>
      </c>
      <c r="JU355" s="294" t="s">
        <v>23318</v>
      </c>
      <c r="JV355" s="294" t="s">
        <v>52</v>
      </c>
      <c r="JW355" s="263" t="s">
        <v>70</v>
      </c>
      <c r="JX355" s="294" t="s">
        <v>1083</v>
      </c>
      <c r="JZ355" s="263" t="s">
        <v>23319</v>
      </c>
      <c r="KA355" s="263" t="s">
        <v>145</v>
      </c>
      <c r="KB355" s="263" t="s">
        <v>70</v>
      </c>
      <c r="KC355" s="263" t="s">
        <v>1083</v>
      </c>
      <c r="KE355" s="263" t="s">
        <v>23320</v>
      </c>
      <c r="KF355" s="263" t="s">
        <v>52</v>
      </c>
      <c r="KG355" s="263" t="s">
        <v>70</v>
      </c>
      <c r="KH355" s="263" t="s">
        <v>1083</v>
      </c>
      <c r="KJ355" s="263" t="s">
        <v>23321</v>
      </c>
      <c r="KK355" s="263" t="s">
        <v>52</v>
      </c>
      <c r="KL355" s="263" t="s">
        <v>74</v>
      </c>
      <c r="KM355" s="263" t="s">
        <v>34074</v>
      </c>
      <c r="KO355" s="214" t="s">
        <v>23322</v>
      </c>
      <c r="KP355" s="214" t="s">
        <v>145</v>
      </c>
      <c r="KQ355" s="214" t="s">
        <v>70</v>
      </c>
      <c r="KR355" s="214" t="s">
        <v>67</v>
      </c>
      <c r="KT355" s="22" t="s">
        <v>23323</v>
      </c>
      <c r="KU355" s="22" t="s">
        <v>145</v>
      </c>
      <c r="KV355" s="22" t="s">
        <v>70</v>
      </c>
      <c r="KW355" s="22" t="s">
        <v>67</v>
      </c>
      <c r="KY355" s="214" t="s">
        <v>23324</v>
      </c>
      <c r="KZ355" s="214" t="s">
        <v>52</v>
      </c>
      <c r="LA355" s="214" t="s">
        <v>74</v>
      </c>
      <c r="LB355" s="214" t="s">
        <v>67</v>
      </c>
      <c r="LD355" s="22" t="s">
        <v>23325</v>
      </c>
      <c r="LE355" s="22" t="s">
        <v>145</v>
      </c>
      <c r="LF355" s="22" t="s">
        <v>70</v>
      </c>
      <c r="LG355" s="22" t="s">
        <v>67</v>
      </c>
    </row>
    <row r="356" spans="1:319">
      <c r="A356" s="22" t="s">
        <v>23326</v>
      </c>
      <c r="B356" s="22" t="s">
        <v>145</v>
      </c>
      <c r="C356" s="22" t="s">
        <v>70</v>
      </c>
      <c r="D356" s="22" t="s">
        <v>67</v>
      </c>
      <c r="F356" s="99" t="s">
        <v>23327</v>
      </c>
      <c r="G356" s="22" t="s">
        <v>145</v>
      </c>
      <c r="H356" s="22" t="s">
        <v>70</v>
      </c>
      <c r="I356" s="22" t="s">
        <v>67</v>
      </c>
      <c r="K356" s="99" t="s">
        <v>23328</v>
      </c>
      <c r="L356" s="22" t="s">
        <v>145</v>
      </c>
      <c r="M356" s="22" t="s">
        <v>70</v>
      </c>
      <c r="N356" s="22" t="s">
        <v>67</v>
      </c>
      <c r="P356" s="218" t="s">
        <v>23329</v>
      </c>
      <c r="Q356" s="218" t="s">
        <v>145</v>
      </c>
      <c r="R356" s="218" t="s">
        <v>72</v>
      </c>
      <c r="S356" s="218" t="s">
        <v>34670</v>
      </c>
      <c r="U356" s="293" t="s">
        <v>23330</v>
      </c>
      <c r="V356" s="293" t="s">
        <v>145</v>
      </c>
      <c r="W356" s="293" t="s">
        <v>74</v>
      </c>
      <c r="X356" s="293" t="s">
        <v>656</v>
      </c>
      <c r="Z356" s="293" t="s">
        <v>23331</v>
      </c>
      <c r="AA356" s="293" t="s">
        <v>145</v>
      </c>
      <c r="AB356" s="293" t="s">
        <v>74</v>
      </c>
      <c r="AC356" s="293" t="s">
        <v>656</v>
      </c>
      <c r="AE356" s="293" t="s">
        <v>23332</v>
      </c>
      <c r="AF356" s="293" t="s">
        <v>145</v>
      </c>
      <c r="AG356" s="293" t="s">
        <v>74</v>
      </c>
      <c r="AH356" s="293" t="s">
        <v>656</v>
      </c>
      <c r="AJ356" s="293" t="s">
        <v>23333</v>
      </c>
      <c r="AK356" s="293" t="s">
        <v>145</v>
      </c>
      <c r="AL356" s="293" t="s">
        <v>74</v>
      </c>
      <c r="AM356" s="293" t="s">
        <v>656</v>
      </c>
      <c r="AO356" s="22" t="s">
        <v>23334</v>
      </c>
      <c r="AP356" s="22" t="s">
        <v>145</v>
      </c>
      <c r="AQ356" s="22" t="s">
        <v>70</v>
      </c>
      <c r="AR356" s="22" t="s">
        <v>67</v>
      </c>
      <c r="AT356" s="22" t="s">
        <v>23335</v>
      </c>
      <c r="AU356" s="22" t="s">
        <v>145</v>
      </c>
      <c r="AV356" s="22" t="s">
        <v>70</v>
      </c>
      <c r="AW356" s="22" t="s">
        <v>67</v>
      </c>
      <c r="AY356" s="22" t="s">
        <v>23336</v>
      </c>
      <c r="AZ356" s="22" t="s">
        <v>145</v>
      </c>
      <c r="BA356" s="22" t="s">
        <v>70</v>
      </c>
      <c r="BB356" s="22" t="s">
        <v>67</v>
      </c>
      <c r="BD356" s="22" t="s">
        <v>23337</v>
      </c>
      <c r="BE356" s="22" t="s">
        <v>145</v>
      </c>
      <c r="BF356" s="22" t="s">
        <v>70</v>
      </c>
      <c r="BG356" s="22" t="s">
        <v>67</v>
      </c>
      <c r="BI356" s="22" t="s">
        <v>23338</v>
      </c>
      <c r="BJ356" s="22" t="s">
        <v>145</v>
      </c>
      <c r="BK356" s="22" t="s">
        <v>70</v>
      </c>
      <c r="BL356" s="22" t="s">
        <v>67</v>
      </c>
      <c r="BN356" s="22" t="s">
        <v>23339</v>
      </c>
      <c r="BO356" s="22" t="s">
        <v>145</v>
      </c>
      <c r="BP356" s="22" t="s">
        <v>70</v>
      </c>
      <c r="BQ356" s="22" t="s">
        <v>67</v>
      </c>
      <c r="BS356" s="22" t="s">
        <v>23340</v>
      </c>
      <c r="BT356" s="22" t="s">
        <v>145</v>
      </c>
      <c r="BU356" s="22" t="s">
        <v>70</v>
      </c>
      <c r="BV356" s="214" t="s">
        <v>530</v>
      </c>
      <c r="BX356" s="22" t="s">
        <v>23341</v>
      </c>
      <c r="BY356" s="22" t="s">
        <v>145</v>
      </c>
      <c r="BZ356" s="22" t="s">
        <v>70</v>
      </c>
      <c r="CA356" s="214" t="s">
        <v>530</v>
      </c>
      <c r="CC356" s="214" t="s">
        <v>23342</v>
      </c>
      <c r="CD356" s="218" t="s">
        <v>146</v>
      </c>
      <c r="CE356" s="214" t="s">
        <v>70</v>
      </c>
      <c r="CF356" s="214" t="s">
        <v>34162</v>
      </c>
      <c r="CH356" s="214" t="s">
        <v>23343</v>
      </c>
      <c r="CI356" s="214" t="s">
        <v>88</v>
      </c>
      <c r="CJ356" s="214" t="s">
        <v>70</v>
      </c>
      <c r="CK356" s="214" t="s">
        <v>530</v>
      </c>
      <c r="CM356" s="214" t="s">
        <v>23344</v>
      </c>
      <c r="CN356" s="214" t="s">
        <v>488</v>
      </c>
      <c r="CO356" s="214" t="s">
        <v>70</v>
      </c>
      <c r="CP356" s="214" t="s">
        <v>530</v>
      </c>
      <c r="CR356" s="214" t="s">
        <v>23345</v>
      </c>
      <c r="CS356" s="214" t="s">
        <v>85</v>
      </c>
      <c r="CT356" s="214" t="s">
        <v>70</v>
      </c>
      <c r="CU356" s="214" t="s">
        <v>530</v>
      </c>
      <c r="CW356" s="214" t="s">
        <v>23346</v>
      </c>
      <c r="CX356" s="214" t="s">
        <v>85</v>
      </c>
      <c r="CY356" s="214" t="s">
        <v>70</v>
      </c>
      <c r="CZ356" s="214" t="s">
        <v>530</v>
      </c>
      <c r="DB356" s="214" t="s">
        <v>23347</v>
      </c>
      <c r="DC356" s="214" t="s">
        <v>52</v>
      </c>
      <c r="DD356" s="214" t="s">
        <v>70</v>
      </c>
      <c r="DE356" s="214" t="s">
        <v>530</v>
      </c>
      <c r="DG356" s="214" t="s">
        <v>23348</v>
      </c>
      <c r="DH356" s="214" t="s">
        <v>149</v>
      </c>
      <c r="DI356" s="214" t="s">
        <v>70</v>
      </c>
      <c r="DJ356" s="214" t="s">
        <v>530</v>
      </c>
      <c r="DL356" s="214" t="s">
        <v>23349</v>
      </c>
      <c r="DM356" s="214" t="s">
        <v>34553</v>
      </c>
      <c r="DN356" s="214" t="s">
        <v>70</v>
      </c>
      <c r="DO356" s="214" t="s">
        <v>530</v>
      </c>
      <c r="DQ356" s="214" t="s">
        <v>23350</v>
      </c>
      <c r="DR356" s="214" t="s">
        <v>916</v>
      </c>
      <c r="DS356" s="214" t="s">
        <v>70</v>
      </c>
      <c r="DT356" s="214" t="s">
        <v>530</v>
      </c>
      <c r="DV356" s="214" t="s">
        <v>23351</v>
      </c>
      <c r="DW356" s="214" t="s">
        <v>163</v>
      </c>
      <c r="DX356" s="214" t="s">
        <v>70</v>
      </c>
      <c r="DY356" s="214" t="s">
        <v>530</v>
      </c>
      <c r="EA356" s="214" t="s">
        <v>23352</v>
      </c>
      <c r="EB356" s="214" t="s">
        <v>937</v>
      </c>
      <c r="EC356" s="214" t="s">
        <v>70</v>
      </c>
      <c r="ED356" s="214" t="s">
        <v>530</v>
      </c>
      <c r="EF356" s="214" t="s">
        <v>23353</v>
      </c>
      <c r="EG356" s="214" t="s">
        <v>919</v>
      </c>
      <c r="EH356" s="214" t="s">
        <v>70</v>
      </c>
      <c r="EI356" s="214" t="s">
        <v>530</v>
      </c>
      <c r="EK356" s="214" t="s">
        <v>23354</v>
      </c>
      <c r="EL356" s="214" t="s">
        <v>34632</v>
      </c>
      <c r="EM356" s="214" t="s">
        <v>70</v>
      </c>
      <c r="EN356" s="214" t="s">
        <v>530</v>
      </c>
      <c r="EP356" s="214" t="s">
        <v>23355</v>
      </c>
      <c r="EQ356" s="214" t="s">
        <v>90</v>
      </c>
      <c r="ER356" s="214" t="s">
        <v>70</v>
      </c>
      <c r="ES356" s="214" t="s">
        <v>530</v>
      </c>
      <c r="EU356" s="214" t="s">
        <v>23356</v>
      </c>
      <c r="EV356" s="214" t="s">
        <v>52</v>
      </c>
      <c r="EW356" s="214" t="s">
        <v>70</v>
      </c>
      <c r="EX356" s="214" t="s">
        <v>530</v>
      </c>
      <c r="EZ356" s="214" t="s">
        <v>23357</v>
      </c>
      <c r="FA356" s="214" t="s">
        <v>468</v>
      </c>
      <c r="FB356" s="214" t="s">
        <v>70</v>
      </c>
      <c r="FC356" s="214" t="s">
        <v>530</v>
      </c>
      <c r="FE356" s="214" t="s">
        <v>23358</v>
      </c>
      <c r="FF356" s="214" t="s">
        <v>146</v>
      </c>
      <c r="FG356" s="214" t="s">
        <v>70</v>
      </c>
      <c r="FH356" s="214" t="s">
        <v>530</v>
      </c>
      <c r="FJ356" s="321" t="s">
        <v>23359</v>
      </c>
      <c r="FK356" s="214" t="s">
        <v>90</v>
      </c>
      <c r="FL356" s="214" t="s">
        <v>70</v>
      </c>
      <c r="FM356" s="214" t="s">
        <v>530</v>
      </c>
      <c r="FO356" s="321" t="s">
        <v>23360</v>
      </c>
      <c r="FP356" s="214" t="s">
        <v>34634</v>
      </c>
      <c r="FQ356" s="214" t="s">
        <v>70</v>
      </c>
      <c r="FR356" s="214" t="s">
        <v>530</v>
      </c>
      <c r="FT356" s="321" t="s">
        <v>23361</v>
      </c>
      <c r="FU356" s="214" t="s">
        <v>485</v>
      </c>
      <c r="FV356" s="214" t="s">
        <v>70</v>
      </c>
      <c r="FW356" s="214" t="s">
        <v>530</v>
      </c>
      <c r="FY356" s="321" t="s">
        <v>23362</v>
      </c>
      <c r="FZ356" s="214" t="s">
        <v>34549</v>
      </c>
      <c r="GA356" s="214" t="s">
        <v>70</v>
      </c>
      <c r="GB356" s="214" t="s">
        <v>530</v>
      </c>
      <c r="GD356" s="321" t="s">
        <v>23363</v>
      </c>
      <c r="GE356" s="214" t="s">
        <v>529</v>
      </c>
      <c r="GF356" s="214" t="s">
        <v>70</v>
      </c>
      <c r="GG356" s="214" t="s">
        <v>530</v>
      </c>
      <c r="GI356" s="321" t="s">
        <v>23364</v>
      </c>
      <c r="GJ356" s="214" t="s">
        <v>164</v>
      </c>
      <c r="GK356" s="214" t="s">
        <v>70</v>
      </c>
      <c r="GL356" s="214" t="s">
        <v>530</v>
      </c>
      <c r="GN356" s="321" t="s">
        <v>23365</v>
      </c>
      <c r="GO356" s="214" t="s">
        <v>946</v>
      </c>
      <c r="GP356" s="214" t="s">
        <v>70</v>
      </c>
      <c r="GQ356" s="214" t="s">
        <v>530</v>
      </c>
      <c r="GS356" s="321" t="s">
        <v>23366</v>
      </c>
      <c r="GT356" s="214" t="s">
        <v>34537</v>
      </c>
      <c r="GU356" s="214" t="s">
        <v>70</v>
      </c>
      <c r="GV356" s="214" t="s">
        <v>530</v>
      </c>
      <c r="GX356" s="214" t="s">
        <v>23367</v>
      </c>
      <c r="GY356" s="214" t="s">
        <v>90</v>
      </c>
      <c r="GZ356" s="214" t="s">
        <v>70</v>
      </c>
      <c r="HA356" s="214" t="s">
        <v>530</v>
      </c>
      <c r="HC356" s="214" t="s">
        <v>23368</v>
      </c>
      <c r="HD356" s="214" t="s">
        <v>912</v>
      </c>
      <c r="HE356" s="214" t="s">
        <v>70</v>
      </c>
      <c r="HF356" s="214" t="s">
        <v>530</v>
      </c>
      <c r="HH356" s="214" t="s">
        <v>23369</v>
      </c>
      <c r="HI356" s="214" t="s">
        <v>90</v>
      </c>
      <c r="HJ356" s="214" t="s">
        <v>70</v>
      </c>
      <c r="HK356" s="214" t="s">
        <v>530</v>
      </c>
      <c r="HM356" s="214" t="s">
        <v>23370</v>
      </c>
      <c r="HN356" s="214" t="s">
        <v>146</v>
      </c>
      <c r="HO356" s="214" t="s">
        <v>70</v>
      </c>
      <c r="HP356" s="214" t="s">
        <v>530</v>
      </c>
      <c r="HR356" s="22" t="s">
        <v>23371</v>
      </c>
      <c r="HS356" s="22" t="s">
        <v>163</v>
      </c>
      <c r="HT356" s="22" t="s">
        <v>70</v>
      </c>
      <c r="HU356" s="214" t="s">
        <v>530</v>
      </c>
      <c r="HW356" s="22" t="s">
        <v>23372</v>
      </c>
      <c r="HX356" s="22" t="s">
        <v>148</v>
      </c>
      <c r="HY356" s="22" t="s">
        <v>70</v>
      </c>
      <c r="HZ356" s="214" t="s">
        <v>530</v>
      </c>
      <c r="IB356" s="22" t="s">
        <v>23373</v>
      </c>
      <c r="IC356" s="22" t="s">
        <v>52</v>
      </c>
      <c r="ID356" s="22" t="s">
        <v>70</v>
      </c>
      <c r="IE356" s="214" t="s">
        <v>530</v>
      </c>
      <c r="IG356" s="22" t="s">
        <v>23374</v>
      </c>
      <c r="IH356" s="22" t="s">
        <v>52</v>
      </c>
      <c r="II356" s="22" t="s">
        <v>70</v>
      </c>
      <c r="IJ356" s="214" t="s">
        <v>530</v>
      </c>
      <c r="IL356" s="22" t="s">
        <v>23375</v>
      </c>
      <c r="IM356" s="22" t="s">
        <v>145</v>
      </c>
      <c r="IN356" s="22" t="s">
        <v>70</v>
      </c>
      <c r="IO356" s="214" t="s">
        <v>530</v>
      </c>
      <c r="IQ356" s="236" t="s">
        <v>23376</v>
      </c>
      <c r="IR356" s="236" t="s">
        <v>145</v>
      </c>
      <c r="IS356" s="236" t="s">
        <v>74</v>
      </c>
      <c r="IT356" s="236" t="s">
        <v>841</v>
      </c>
      <c r="IV356" s="236" t="s">
        <v>23377</v>
      </c>
      <c r="IW356" s="236" t="s">
        <v>145</v>
      </c>
      <c r="IX356" s="236" t="s">
        <v>74</v>
      </c>
      <c r="IY356" s="236" t="s">
        <v>841</v>
      </c>
      <c r="JA356" s="236" t="s">
        <v>23378</v>
      </c>
      <c r="JB356" s="236" t="s">
        <v>145</v>
      </c>
      <c r="JC356" s="236" t="s">
        <v>74</v>
      </c>
      <c r="JD356" s="236" t="s">
        <v>841</v>
      </c>
      <c r="JF356" s="236" t="s">
        <v>23379</v>
      </c>
      <c r="JG356" s="236" t="s">
        <v>145</v>
      </c>
      <c r="JH356" s="236" t="s">
        <v>74</v>
      </c>
      <c r="JI356" s="236" t="s">
        <v>841</v>
      </c>
      <c r="JK356" s="236" t="s">
        <v>23380</v>
      </c>
      <c r="JL356" s="236" t="s">
        <v>145</v>
      </c>
      <c r="JM356" s="236" t="s">
        <v>74</v>
      </c>
      <c r="JN356" s="236" t="s">
        <v>841</v>
      </c>
      <c r="JP356" s="236" t="s">
        <v>23381</v>
      </c>
      <c r="JQ356" s="236" t="s">
        <v>145</v>
      </c>
      <c r="JR356" s="236" t="s">
        <v>74</v>
      </c>
      <c r="JS356" s="236" t="s">
        <v>841</v>
      </c>
      <c r="JU356" s="294" t="s">
        <v>23382</v>
      </c>
      <c r="JV356" s="294" t="s">
        <v>52</v>
      </c>
      <c r="JW356" s="263" t="s">
        <v>70</v>
      </c>
      <c r="JX356" s="294" t="s">
        <v>1083</v>
      </c>
      <c r="JZ356" s="263" t="s">
        <v>23383</v>
      </c>
      <c r="KA356" s="263" t="s">
        <v>145</v>
      </c>
      <c r="KB356" s="263" t="s">
        <v>70</v>
      </c>
      <c r="KC356" s="263" t="s">
        <v>1083</v>
      </c>
      <c r="KE356" s="263" t="s">
        <v>23384</v>
      </c>
      <c r="KF356" s="263" t="s">
        <v>52</v>
      </c>
      <c r="KG356" s="263" t="s">
        <v>70</v>
      </c>
      <c r="KH356" s="263" t="s">
        <v>1083</v>
      </c>
      <c r="KJ356" s="263" t="s">
        <v>23385</v>
      </c>
      <c r="KK356" s="263" t="s">
        <v>52</v>
      </c>
      <c r="KL356" s="263" t="s">
        <v>74</v>
      </c>
      <c r="KM356" s="263" t="s">
        <v>34074</v>
      </c>
      <c r="KO356" s="214" t="s">
        <v>23386</v>
      </c>
      <c r="KP356" s="214" t="s">
        <v>145</v>
      </c>
      <c r="KQ356" s="214" t="s">
        <v>70</v>
      </c>
      <c r="KR356" s="214" t="s">
        <v>67</v>
      </c>
      <c r="KT356" s="22" t="s">
        <v>23387</v>
      </c>
      <c r="KU356" s="22" t="s">
        <v>145</v>
      </c>
      <c r="KV356" s="22" t="s">
        <v>70</v>
      </c>
      <c r="KW356" s="22" t="s">
        <v>67</v>
      </c>
      <c r="KY356" s="214" t="s">
        <v>23388</v>
      </c>
      <c r="KZ356" s="214" t="s">
        <v>52</v>
      </c>
      <c r="LA356" s="214" t="s">
        <v>74</v>
      </c>
      <c r="LB356" s="214" t="s">
        <v>67</v>
      </c>
      <c r="LD356" s="22" t="s">
        <v>23389</v>
      </c>
      <c r="LE356" s="22" t="s">
        <v>145</v>
      </c>
      <c r="LF356" s="22" t="s">
        <v>70</v>
      </c>
      <c r="LG356" s="22" t="s">
        <v>67</v>
      </c>
    </row>
    <row r="357" spans="1:319">
      <c r="A357" s="22" t="s">
        <v>23390</v>
      </c>
      <c r="B357" s="22" t="s">
        <v>145</v>
      </c>
      <c r="C357" s="22" t="s">
        <v>70</v>
      </c>
      <c r="D357" s="22" t="s">
        <v>67</v>
      </c>
      <c r="F357" s="99" t="s">
        <v>23391</v>
      </c>
      <c r="G357" s="22" t="s">
        <v>145</v>
      </c>
      <c r="H357" s="22" t="s">
        <v>70</v>
      </c>
      <c r="I357" s="22" t="s">
        <v>67</v>
      </c>
      <c r="K357" s="99" t="s">
        <v>23392</v>
      </c>
      <c r="L357" s="22" t="s">
        <v>145</v>
      </c>
      <c r="M357" s="22" t="s">
        <v>70</v>
      </c>
      <c r="N357" s="22" t="s">
        <v>67</v>
      </c>
      <c r="P357" s="22" t="s">
        <v>23393</v>
      </c>
      <c r="Q357" s="22" t="s">
        <v>145</v>
      </c>
      <c r="R357" s="22" t="s">
        <v>70</v>
      </c>
      <c r="S357" s="22" t="s">
        <v>67</v>
      </c>
      <c r="U357" s="293" t="s">
        <v>23394</v>
      </c>
      <c r="V357" s="293" t="s">
        <v>145</v>
      </c>
      <c r="W357" s="293" t="s">
        <v>74</v>
      </c>
      <c r="X357" s="293" t="s">
        <v>656</v>
      </c>
      <c r="Z357" s="293" t="s">
        <v>23395</v>
      </c>
      <c r="AA357" s="293" t="s">
        <v>145</v>
      </c>
      <c r="AB357" s="293" t="s">
        <v>74</v>
      </c>
      <c r="AC357" s="293" t="s">
        <v>656</v>
      </c>
      <c r="AE357" s="293" t="s">
        <v>23396</v>
      </c>
      <c r="AF357" s="293" t="s">
        <v>145</v>
      </c>
      <c r="AG357" s="293" t="s">
        <v>74</v>
      </c>
      <c r="AH357" s="293" t="s">
        <v>656</v>
      </c>
      <c r="AJ357" s="293" t="s">
        <v>23397</v>
      </c>
      <c r="AK357" s="293" t="s">
        <v>145</v>
      </c>
      <c r="AL357" s="293" t="s">
        <v>74</v>
      </c>
      <c r="AM357" s="293" t="s">
        <v>656</v>
      </c>
      <c r="AO357" s="22" t="s">
        <v>23398</v>
      </c>
      <c r="AP357" s="22" t="s">
        <v>145</v>
      </c>
      <c r="AQ357" s="22" t="s">
        <v>70</v>
      </c>
      <c r="AR357" s="22" t="s">
        <v>67</v>
      </c>
      <c r="AT357" s="22" t="s">
        <v>23399</v>
      </c>
      <c r="AU357" s="22" t="s">
        <v>145</v>
      </c>
      <c r="AV357" s="22" t="s">
        <v>70</v>
      </c>
      <c r="AW357" s="22" t="s">
        <v>67</v>
      </c>
      <c r="AY357" s="22" t="s">
        <v>23400</v>
      </c>
      <c r="AZ357" s="22" t="s">
        <v>145</v>
      </c>
      <c r="BA357" s="22" t="s">
        <v>70</v>
      </c>
      <c r="BB357" s="22" t="s">
        <v>67</v>
      </c>
      <c r="BD357" s="22" t="s">
        <v>23401</v>
      </c>
      <c r="BE357" s="22" t="s">
        <v>145</v>
      </c>
      <c r="BF357" s="22" t="s">
        <v>70</v>
      </c>
      <c r="BG357" s="22" t="s">
        <v>67</v>
      </c>
      <c r="BI357" s="22" t="s">
        <v>23402</v>
      </c>
      <c r="BJ357" s="22" t="s">
        <v>145</v>
      </c>
      <c r="BK357" s="22" t="s">
        <v>70</v>
      </c>
      <c r="BL357" s="22" t="s">
        <v>67</v>
      </c>
      <c r="BN357" s="22" t="s">
        <v>23403</v>
      </c>
      <c r="BO357" s="22" t="s">
        <v>145</v>
      </c>
      <c r="BP357" s="22" t="s">
        <v>70</v>
      </c>
      <c r="BQ357" s="22" t="s">
        <v>67</v>
      </c>
      <c r="BS357" s="22" t="s">
        <v>23404</v>
      </c>
      <c r="BT357" s="22" t="s">
        <v>145</v>
      </c>
      <c r="BU357" s="22" t="s">
        <v>70</v>
      </c>
      <c r="BV357" s="214" t="s">
        <v>530</v>
      </c>
      <c r="BX357" s="22" t="s">
        <v>23405</v>
      </c>
      <c r="BY357" s="22" t="s">
        <v>145</v>
      </c>
      <c r="BZ357" s="22" t="s">
        <v>70</v>
      </c>
      <c r="CA357" s="214" t="s">
        <v>530</v>
      </c>
      <c r="CC357" s="214" t="s">
        <v>23406</v>
      </c>
      <c r="CD357" s="218" t="s">
        <v>34585</v>
      </c>
      <c r="CE357" s="214" t="s">
        <v>70</v>
      </c>
      <c r="CF357" s="214" t="s">
        <v>34163</v>
      </c>
      <c r="CH357" s="214" t="s">
        <v>23407</v>
      </c>
      <c r="CI357" s="214" t="s">
        <v>484</v>
      </c>
      <c r="CJ357" s="214" t="s">
        <v>70</v>
      </c>
      <c r="CK357" s="214" t="s">
        <v>530</v>
      </c>
      <c r="CM357" s="214" t="s">
        <v>23408</v>
      </c>
      <c r="CN357" s="214" t="s">
        <v>488</v>
      </c>
      <c r="CO357" s="214" t="s">
        <v>70</v>
      </c>
      <c r="CP357" s="214" t="s">
        <v>530</v>
      </c>
      <c r="CR357" s="214" t="s">
        <v>23409</v>
      </c>
      <c r="CS357" s="214" t="s">
        <v>34546</v>
      </c>
      <c r="CT357" s="214" t="s">
        <v>70</v>
      </c>
      <c r="CU357" s="214" t="s">
        <v>530</v>
      </c>
      <c r="CW357" s="214" t="s">
        <v>23410</v>
      </c>
      <c r="CX357" s="214" t="s">
        <v>485</v>
      </c>
      <c r="CY357" s="214" t="s">
        <v>70</v>
      </c>
      <c r="CZ357" s="214" t="s">
        <v>530</v>
      </c>
      <c r="DB357" s="214" t="s">
        <v>23411</v>
      </c>
      <c r="DC357" s="214" t="s">
        <v>10541</v>
      </c>
      <c r="DD357" s="214" t="s">
        <v>70</v>
      </c>
      <c r="DE357" s="214" t="s">
        <v>530</v>
      </c>
      <c r="DG357" s="214" t="s">
        <v>23412</v>
      </c>
      <c r="DH357" s="214" t="s">
        <v>34570</v>
      </c>
      <c r="DI357" s="214" t="s">
        <v>70</v>
      </c>
      <c r="DJ357" s="214" t="s">
        <v>530</v>
      </c>
      <c r="DL357" s="214" t="s">
        <v>23413</v>
      </c>
      <c r="DM357" s="214" t="s">
        <v>34543</v>
      </c>
      <c r="DN357" s="214" t="s">
        <v>70</v>
      </c>
      <c r="DO357" s="214" t="s">
        <v>530</v>
      </c>
      <c r="DQ357" s="214" t="s">
        <v>23414</v>
      </c>
      <c r="DR357" s="214" t="s">
        <v>486</v>
      </c>
      <c r="DS357" s="214" t="s">
        <v>70</v>
      </c>
      <c r="DT357" s="214" t="s">
        <v>530</v>
      </c>
      <c r="DV357" s="214" t="s">
        <v>23415</v>
      </c>
      <c r="DW357" s="214" t="s">
        <v>146</v>
      </c>
      <c r="DX357" s="214" t="s">
        <v>70</v>
      </c>
      <c r="DY357" s="214" t="s">
        <v>530</v>
      </c>
      <c r="EA357" s="214" t="s">
        <v>23416</v>
      </c>
      <c r="EB357" s="214" t="s">
        <v>85</v>
      </c>
      <c r="EC357" s="214" t="s">
        <v>70</v>
      </c>
      <c r="ED357" s="214" t="s">
        <v>530</v>
      </c>
      <c r="EF357" s="214" t="s">
        <v>23417</v>
      </c>
      <c r="EG357" s="214" t="s">
        <v>93</v>
      </c>
      <c r="EH357" s="214" t="s">
        <v>70</v>
      </c>
      <c r="EI357" s="214" t="s">
        <v>530</v>
      </c>
      <c r="EK357" s="214" t="s">
        <v>23418</v>
      </c>
      <c r="EL357" s="214" t="s">
        <v>488</v>
      </c>
      <c r="EM357" s="214" t="s">
        <v>70</v>
      </c>
      <c r="EN357" s="214" t="s">
        <v>530</v>
      </c>
      <c r="EP357" s="214" t="s">
        <v>23419</v>
      </c>
      <c r="EQ357" s="214" t="s">
        <v>34516</v>
      </c>
      <c r="ER357" s="214" t="s">
        <v>70</v>
      </c>
      <c r="ES357" s="214" t="s">
        <v>530</v>
      </c>
      <c r="EU357" s="214" t="s">
        <v>23420</v>
      </c>
      <c r="EV357" s="214" t="s">
        <v>500</v>
      </c>
      <c r="EW357" s="214" t="s">
        <v>70</v>
      </c>
      <c r="EX357" s="214" t="s">
        <v>530</v>
      </c>
      <c r="EZ357" s="214" t="s">
        <v>23421</v>
      </c>
      <c r="FA357" s="214" t="s">
        <v>93</v>
      </c>
      <c r="FB357" s="214" t="s">
        <v>70</v>
      </c>
      <c r="FC357" s="214" t="s">
        <v>530</v>
      </c>
      <c r="FE357" s="214" t="s">
        <v>23422</v>
      </c>
      <c r="FF357" s="214" t="s">
        <v>501</v>
      </c>
      <c r="FG357" s="214" t="s">
        <v>70</v>
      </c>
      <c r="FH357" s="214" t="s">
        <v>530</v>
      </c>
      <c r="FJ357" s="321" t="s">
        <v>23423</v>
      </c>
      <c r="FK357" s="214" t="s">
        <v>482</v>
      </c>
      <c r="FL357" s="214" t="s">
        <v>70</v>
      </c>
      <c r="FM357" s="214" t="s">
        <v>530</v>
      </c>
      <c r="FO357" s="321" t="s">
        <v>23424</v>
      </c>
      <c r="FP357" s="214" t="s">
        <v>34556</v>
      </c>
      <c r="FQ357" s="214" t="s">
        <v>70</v>
      </c>
      <c r="FR357" s="214" t="s">
        <v>530</v>
      </c>
      <c r="FT357" s="321" t="s">
        <v>23425</v>
      </c>
      <c r="FU357" s="214" t="s">
        <v>52</v>
      </c>
      <c r="FV357" s="214" t="s">
        <v>70</v>
      </c>
      <c r="FW357" s="214" t="s">
        <v>530</v>
      </c>
      <c r="FY357" s="321" t="s">
        <v>23426</v>
      </c>
      <c r="FZ357" s="214" t="s">
        <v>145</v>
      </c>
      <c r="GA357" s="214" t="s">
        <v>70</v>
      </c>
      <c r="GB357" s="214" t="s">
        <v>530</v>
      </c>
      <c r="GD357" s="321" t="s">
        <v>23427</v>
      </c>
      <c r="GE357" s="214" t="s">
        <v>34544</v>
      </c>
      <c r="GF357" s="214" t="s">
        <v>70</v>
      </c>
      <c r="GG357" s="214" t="s">
        <v>530</v>
      </c>
      <c r="GI357" s="321" t="s">
        <v>23428</v>
      </c>
      <c r="GJ357" s="214" t="s">
        <v>502</v>
      </c>
      <c r="GK357" s="214" t="s">
        <v>70</v>
      </c>
      <c r="GL357" s="214" t="s">
        <v>530</v>
      </c>
      <c r="GN357" s="321" t="s">
        <v>23429</v>
      </c>
      <c r="GO357" s="214" t="s">
        <v>486</v>
      </c>
      <c r="GP357" s="214" t="s">
        <v>70</v>
      </c>
      <c r="GQ357" s="214" t="s">
        <v>530</v>
      </c>
      <c r="GS357" s="321" t="s">
        <v>23430</v>
      </c>
      <c r="GT357" s="214" t="s">
        <v>503</v>
      </c>
      <c r="GU357" s="214" t="s">
        <v>70</v>
      </c>
      <c r="GV357" s="214" t="s">
        <v>530</v>
      </c>
      <c r="GX357" s="214" t="s">
        <v>23431</v>
      </c>
      <c r="GY357" s="214" t="s">
        <v>498</v>
      </c>
      <c r="GZ357" s="214" t="s">
        <v>70</v>
      </c>
      <c r="HA357" s="214" t="s">
        <v>530</v>
      </c>
      <c r="HC357" s="214" t="s">
        <v>23432</v>
      </c>
      <c r="HD357" s="214" t="s">
        <v>484</v>
      </c>
      <c r="HE357" s="214" t="s">
        <v>70</v>
      </c>
      <c r="HF357" s="214" t="s">
        <v>530</v>
      </c>
      <c r="HH357" s="214" t="s">
        <v>23433</v>
      </c>
      <c r="HI357" s="214" t="s">
        <v>34598</v>
      </c>
      <c r="HJ357" s="214" t="s">
        <v>70</v>
      </c>
      <c r="HK357" s="214" t="s">
        <v>530</v>
      </c>
      <c r="HM357" s="214" t="s">
        <v>23434</v>
      </c>
      <c r="HN357" s="214" t="s">
        <v>468</v>
      </c>
      <c r="HO357" s="214" t="s">
        <v>70</v>
      </c>
      <c r="HP357" s="214" t="s">
        <v>530</v>
      </c>
      <c r="HR357" s="22" t="s">
        <v>23435</v>
      </c>
      <c r="HS357" s="22" t="s">
        <v>52</v>
      </c>
      <c r="HT357" s="22" t="s">
        <v>70</v>
      </c>
      <c r="HU357" s="214" t="s">
        <v>530</v>
      </c>
      <c r="HW357" s="22" t="s">
        <v>23436</v>
      </c>
      <c r="HX357" s="22" t="s">
        <v>955</v>
      </c>
      <c r="HY357" s="22" t="s">
        <v>70</v>
      </c>
      <c r="HZ357" s="214" t="s">
        <v>530</v>
      </c>
      <c r="IB357" s="22" t="s">
        <v>23437</v>
      </c>
      <c r="IC357" s="22" t="s">
        <v>600</v>
      </c>
      <c r="ID357" s="22" t="s">
        <v>70</v>
      </c>
      <c r="IE357" s="214" t="s">
        <v>530</v>
      </c>
      <c r="IG357" s="22" t="s">
        <v>23438</v>
      </c>
      <c r="IH357" s="22" t="s">
        <v>52</v>
      </c>
      <c r="II357" s="22" t="s">
        <v>70</v>
      </c>
      <c r="IJ357" s="214" t="s">
        <v>530</v>
      </c>
      <c r="IL357" s="22" t="s">
        <v>23439</v>
      </c>
      <c r="IM357" s="22" t="s">
        <v>145</v>
      </c>
      <c r="IN357" s="22" t="s">
        <v>70</v>
      </c>
      <c r="IO357" s="214" t="s">
        <v>530</v>
      </c>
      <c r="IQ357" s="236" t="s">
        <v>23440</v>
      </c>
      <c r="IR357" s="236" t="s">
        <v>145</v>
      </c>
      <c r="IS357" s="236" t="s">
        <v>74</v>
      </c>
      <c r="IT357" s="236" t="s">
        <v>841</v>
      </c>
      <c r="IV357" s="236" t="s">
        <v>23441</v>
      </c>
      <c r="IW357" s="236" t="s">
        <v>145</v>
      </c>
      <c r="IX357" s="236" t="s">
        <v>74</v>
      </c>
      <c r="IY357" s="236" t="s">
        <v>841</v>
      </c>
      <c r="JA357" s="236" t="s">
        <v>23442</v>
      </c>
      <c r="JB357" s="236" t="s">
        <v>145</v>
      </c>
      <c r="JC357" s="236" t="s">
        <v>74</v>
      </c>
      <c r="JD357" s="236" t="s">
        <v>841</v>
      </c>
      <c r="JF357" s="236" t="s">
        <v>23443</v>
      </c>
      <c r="JG357" s="236" t="s">
        <v>145</v>
      </c>
      <c r="JH357" s="236" t="s">
        <v>74</v>
      </c>
      <c r="JI357" s="236" t="s">
        <v>841</v>
      </c>
      <c r="JK357" s="236" t="s">
        <v>23444</v>
      </c>
      <c r="JL357" s="236" t="s">
        <v>145</v>
      </c>
      <c r="JM357" s="236" t="s">
        <v>74</v>
      </c>
      <c r="JN357" s="236" t="s">
        <v>841</v>
      </c>
      <c r="JP357" s="236" t="s">
        <v>23445</v>
      </c>
      <c r="JQ357" s="236" t="s">
        <v>145</v>
      </c>
      <c r="JR357" s="236" t="s">
        <v>74</v>
      </c>
      <c r="JS357" s="236" t="s">
        <v>841</v>
      </c>
      <c r="JU357" s="294" t="s">
        <v>23446</v>
      </c>
      <c r="JV357" s="294" t="s">
        <v>52</v>
      </c>
      <c r="JW357" s="263" t="s">
        <v>70</v>
      </c>
      <c r="JX357" s="294" t="s">
        <v>1083</v>
      </c>
      <c r="JZ357" s="263" t="s">
        <v>23447</v>
      </c>
      <c r="KA357" s="263" t="s">
        <v>145</v>
      </c>
      <c r="KB357" s="263" t="s">
        <v>70</v>
      </c>
      <c r="KC357" s="263" t="s">
        <v>1083</v>
      </c>
      <c r="KE357" s="263" t="s">
        <v>23448</v>
      </c>
      <c r="KF357" s="263" t="s">
        <v>52</v>
      </c>
      <c r="KG357" s="263" t="s">
        <v>70</v>
      </c>
      <c r="KH357" s="263" t="s">
        <v>1083</v>
      </c>
      <c r="KJ357" s="263" t="s">
        <v>23449</v>
      </c>
      <c r="KK357" s="263" t="s">
        <v>52</v>
      </c>
      <c r="KL357" s="263" t="s">
        <v>74</v>
      </c>
      <c r="KM357" s="263" t="s">
        <v>34074</v>
      </c>
      <c r="KO357" s="214" t="s">
        <v>23450</v>
      </c>
      <c r="KP357" s="214" t="s">
        <v>145</v>
      </c>
      <c r="KQ357" s="214" t="s">
        <v>70</v>
      </c>
      <c r="KR357" s="214" t="s">
        <v>67</v>
      </c>
      <c r="KT357" s="22" t="s">
        <v>23451</v>
      </c>
      <c r="KU357" s="22" t="s">
        <v>145</v>
      </c>
      <c r="KV357" s="22" t="s">
        <v>70</v>
      </c>
      <c r="KW357" s="22" t="s">
        <v>67</v>
      </c>
      <c r="KY357" s="214" t="s">
        <v>23452</v>
      </c>
      <c r="KZ357" s="214" t="s">
        <v>52</v>
      </c>
      <c r="LA357" s="214" t="s">
        <v>74</v>
      </c>
      <c r="LB357" s="214" t="s">
        <v>67</v>
      </c>
      <c r="LD357" s="22" t="s">
        <v>23453</v>
      </c>
      <c r="LE357" s="22" t="s">
        <v>145</v>
      </c>
      <c r="LF357" s="22" t="s">
        <v>70</v>
      </c>
      <c r="LG357" s="22" t="s">
        <v>67</v>
      </c>
    </row>
    <row r="358" spans="1:319">
      <c r="A358" s="22" t="s">
        <v>23454</v>
      </c>
      <c r="B358" s="22" t="s">
        <v>145</v>
      </c>
      <c r="C358" s="22" t="s">
        <v>70</v>
      </c>
      <c r="D358" s="22" t="s">
        <v>67</v>
      </c>
      <c r="F358" s="99" t="s">
        <v>23455</v>
      </c>
      <c r="G358" s="22" t="s">
        <v>145</v>
      </c>
      <c r="H358" s="22" t="s">
        <v>70</v>
      </c>
      <c r="I358" s="22" t="s">
        <v>67</v>
      </c>
      <c r="K358" s="99" t="s">
        <v>23456</v>
      </c>
      <c r="L358" s="22" t="s">
        <v>145</v>
      </c>
      <c r="M358" s="22" t="s">
        <v>70</v>
      </c>
      <c r="N358" s="22" t="s">
        <v>67</v>
      </c>
      <c r="P358" s="22" t="s">
        <v>23457</v>
      </c>
      <c r="Q358" s="22" t="s">
        <v>145</v>
      </c>
      <c r="R358" s="22" t="s">
        <v>70</v>
      </c>
      <c r="S358" s="22" t="s">
        <v>67</v>
      </c>
      <c r="U358" s="293" t="s">
        <v>23458</v>
      </c>
      <c r="V358" s="293" t="s">
        <v>145</v>
      </c>
      <c r="W358" s="293" t="s">
        <v>74</v>
      </c>
      <c r="X358" s="293" t="s">
        <v>656</v>
      </c>
      <c r="Z358" s="293" t="s">
        <v>23459</v>
      </c>
      <c r="AA358" s="293" t="s">
        <v>145</v>
      </c>
      <c r="AB358" s="293" t="s">
        <v>74</v>
      </c>
      <c r="AC358" s="293" t="s">
        <v>656</v>
      </c>
      <c r="AE358" s="293" t="s">
        <v>23460</v>
      </c>
      <c r="AF358" s="293" t="s">
        <v>145</v>
      </c>
      <c r="AG358" s="293" t="s">
        <v>74</v>
      </c>
      <c r="AH358" s="293" t="s">
        <v>656</v>
      </c>
      <c r="AJ358" s="293" t="s">
        <v>23461</v>
      </c>
      <c r="AK358" s="293" t="s">
        <v>145</v>
      </c>
      <c r="AL358" s="293" t="s">
        <v>74</v>
      </c>
      <c r="AM358" s="293" t="s">
        <v>656</v>
      </c>
      <c r="AO358" s="22" t="s">
        <v>23462</v>
      </c>
      <c r="AP358" s="22" t="s">
        <v>145</v>
      </c>
      <c r="AQ358" s="22" t="s">
        <v>70</v>
      </c>
      <c r="AR358" s="22" t="s">
        <v>67</v>
      </c>
      <c r="AT358" s="22" t="s">
        <v>23463</v>
      </c>
      <c r="AU358" s="22" t="s">
        <v>145</v>
      </c>
      <c r="AV358" s="22" t="s">
        <v>70</v>
      </c>
      <c r="AW358" s="22" t="s">
        <v>67</v>
      </c>
      <c r="AY358" s="22" t="s">
        <v>23464</v>
      </c>
      <c r="AZ358" s="22" t="s">
        <v>145</v>
      </c>
      <c r="BA358" s="22" t="s">
        <v>70</v>
      </c>
      <c r="BB358" s="22" t="s">
        <v>67</v>
      </c>
      <c r="BD358" s="22" t="s">
        <v>23465</v>
      </c>
      <c r="BE358" s="22" t="s">
        <v>145</v>
      </c>
      <c r="BF358" s="22" t="s">
        <v>70</v>
      </c>
      <c r="BG358" s="22" t="s">
        <v>67</v>
      </c>
      <c r="BI358" s="22" t="s">
        <v>23466</v>
      </c>
      <c r="BJ358" s="22" t="s">
        <v>145</v>
      </c>
      <c r="BK358" s="22" t="s">
        <v>70</v>
      </c>
      <c r="BL358" s="22" t="s">
        <v>67</v>
      </c>
      <c r="BN358" s="22" t="s">
        <v>23467</v>
      </c>
      <c r="BO358" s="22" t="s">
        <v>145</v>
      </c>
      <c r="BP358" s="22" t="s">
        <v>70</v>
      </c>
      <c r="BQ358" s="22" t="s">
        <v>67</v>
      </c>
      <c r="BS358" s="22" t="s">
        <v>23468</v>
      </c>
      <c r="BT358" s="22" t="s">
        <v>145</v>
      </c>
      <c r="BU358" s="22" t="s">
        <v>70</v>
      </c>
      <c r="BV358" s="214" t="s">
        <v>530</v>
      </c>
      <c r="BX358" s="22" t="s">
        <v>23469</v>
      </c>
      <c r="BY358" s="22" t="s">
        <v>145</v>
      </c>
      <c r="BZ358" s="22" t="s">
        <v>70</v>
      </c>
      <c r="CA358" s="214" t="s">
        <v>530</v>
      </c>
      <c r="CC358" s="214" t="s">
        <v>23470</v>
      </c>
      <c r="CD358" s="218" t="s">
        <v>481</v>
      </c>
      <c r="CE358" s="214" t="s">
        <v>70</v>
      </c>
      <c r="CF358" s="214" t="s">
        <v>34164</v>
      </c>
      <c r="CH358" s="214" t="s">
        <v>23471</v>
      </c>
      <c r="CI358" s="214" t="s">
        <v>148</v>
      </c>
      <c r="CJ358" s="214" t="s">
        <v>70</v>
      </c>
      <c r="CK358" s="214" t="s">
        <v>530</v>
      </c>
      <c r="CM358" s="214" t="s">
        <v>23472</v>
      </c>
      <c r="CN358" s="214" t="s">
        <v>468</v>
      </c>
      <c r="CO358" s="214" t="s">
        <v>70</v>
      </c>
      <c r="CP358" s="214" t="s">
        <v>530</v>
      </c>
      <c r="CR358" s="214" t="s">
        <v>23473</v>
      </c>
      <c r="CS358" s="214" t="s">
        <v>34594</v>
      </c>
      <c r="CT358" s="214" t="s">
        <v>70</v>
      </c>
      <c r="CU358" s="214" t="s">
        <v>530</v>
      </c>
      <c r="CW358" s="214" t="s">
        <v>23474</v>
      </c>
      <c r="CX358" s="214" t="s">
        <v>34545</v>
      </c>
      <c r="CY358" s="214" t="s">
        <v>70</v>
      </c>
      <c r="CZ358" s="214" t="s">
        <v>530</v>
      </c>
      <c r="DB358" s="214" t="s">
        <v>23475</v>
      </c>
      <c r="DC358" s="214" t="s">
        <v>163</v>
      </c>
      <c r="DD358" s="214" t="s">
        <v>70</v>
      </c>
      <c r="DE358" s="214" t="s">
        <v>530</v>
      </c>
      <c r="DG358" s="214" t="s">
        <v>23476</v>
      </c>
      <c r="DH358" s="214" t="s">
        <v>90</v>
      </c>
      <c r="DI358" s="214" t="s">
        <v>70</v>
      </c>
      <c r="DJ358" s="214" t="s">
        <v>530</v>
      </c>
      <c r="DL358" s="214" t="s">
        <v>23477</v>
      </c>
      <c r="DM358" s="214" t="s">
        <v>915</v>
      </c>
      <c r="DN358" s="214" t="s">
        <v>70</v>
      </c>
      <c r="DO358" s="214" t="s">
        <v>530</v>
      </c>
      <c r="DQ358" s="214" t="s">
        <v>23478</v>
      </c>
      <c r="DR358" s="214" t="s">
        <v>34557</v>
      </c>
      <c r="DS358" s="214" t="s">
        <v>70</v>
      </c>
      <c r="DT358" s="214" t="s">
        <v>530</v>
      </c>
      <c r="DV358" s="214" t="s">
        <v>23479</v>
      </c>
      <c r="DW358" s="214" t="s">
        <v>286</v>
      </c>
      <c r="DX358" s="214" t="s">
        <v>70</v>
      </c>
      <c r="DY358" s="214" t="s">
        <v>530</v>
      </c>
      <c r="EA358" s="214" t="s">
        <v>23480</v>
      </c>
      <c r="EB358" s="214" t="s">
        <v>937</v>
      </c>
      <c r="EC358" s="214" t="s">
        <v>70</v>
      </c>
      <c r="ED358" s="214" t="s">
        <v>530</v>
      </c>
      <c r="EF358" s="214" t="s">
        <v>23481</v>
      </c>
      <c r="EG358" s="214" t="s">
        <v>92</v>
      </c>
      <c r="EH358" s="214" t="s">
        <v>70</v>
      </c>
      <c r="EI358" s="214" t="s">
        <v>530</v>
      </c>
      <c r="EK358" s="214" t="s">
        <v>23482</v>
      </c>
      <c r="EL358" s="214" t="s">
        <v>34593</v>
      </c>
      <c r="EM358" s="214" t="s">
        <v>70</v>
      </c>
      <c r="EN358" s="214" t="s">
        <v>530</v>
      </c>
      <c r="EP358" s="214" t="s">
        <v>23483</v>
      </c>
      <c r="EQ358" s="214" t="s">
        <v>148</v>
      </c>
      <c r="ER358" s="214" t="s">
        <v>70</v>
      </c>
      <c r="ES358" s="214" t="s">
        <v>530</v>
      </c>
      <c r="EU358" s="214" t="s">
        <v>23484</v>
      </c>
      <c r="EV358" s="214" t="s">
        <v>88</v>
      </c>
      <c r="EW358" s="214" t="s">
        <v>70</v>
      </c>
      <c r="EX358" s="214" t="s">
        <v>530</v>
      </c>
      <c r="EZ358" s="214" t="s">
        <v>23485</v>
      </c>
      <c r="FA358" s="214" t="s">
        <v>34554</v>
      </c>
      <c r="FB358" s="214" t="s">
        <v>70</v>
      </c>
      <c r="FC358" s="214" t="s">
        <v>530</v>
      </c>
      <c r="FE358" s="214" t="s">
        <v>23486</v>
      </c>
      <c r="FF358" s="214" t="s">
        <v>34516</v>
      </c>
      <c r="FG358" s="214" t="s">
        <v>70</v>
      </c>
      <c r="FH358" s="214" t="s">
        <v>530</v>
      </c>
      <c r="FJ358" s="321" t="s">
        <v>23487</v>
      </c>
      <c r="FK358" s="214" t="s">
        <v>34655</v>
      </c>
      <c r="FL358" s="214" t="s">
        <v>70</v>
      </c>
      <c r="FM358" s="214" t="s">
        <v>530</v>
      </c>
      <c r="FO358" s="321" t="s">
        <v>23488</v>
      </c>
      <c r="FP358" s="214" t="s">
        <v>484</v>
      </c>
      <c r="FQ358" s="214" t="s">
        <v>70</v>
      </c>
      <c r="FR358" s="214" t="s">
        <v>530</v>
      </c>
      <c r="FT358" s="321" t="s">
        <v>23489</v>
      </c>
      <c r="FU358" s="214" t="s">
        <v>34598</v>
      </c>
      <c r="FV358" s="214" t="s">
        <v>70</v>
      </c>
      <c r="FW358" s="214" t="s">
        <v>530</v>
      </c>
      <c r="FY358" s="321" t="s">
        <v>23490</v>
      </c>
      <c r="FZ358" s="214" t="s">
        <v>34538</v>
      </c>
      <c r="GA358" s="214" t="s">
        <v>70</v>
      </c>
      <c r="GB358" s="214" t="s">
        <v>530</v>
      </c>
      <c r="GD358" s="321" t="s">
        <v>23491</v>
      </c>
      <c r="GE358" s="214" t="s">
        <v>305</v>
      </c>
      <c r="GF358" s="214" t="s">
        <v>70</v>
      </c>
      <c r="GG358" s="214" t="s">
        <v>530</v>
      </c>
      <c r="GI358" s="321" t="s">
        <v>23492</v>
      </c>
      <c r="GJ358" s="214" t="s">
        <v>468</v>
      </c>
      <c r="GK358" s="214" t="s">
        <v>70</v>
      </c>
      <c r="GL358" s="214" t="s">
        <v>530</v>
      </c>
      <c r="GN358" s="321" t="s">
        <v>23493</v>
      </c>
      <c r="GO358" s="214" t="s">
        <v>205</v>
      </c>
      <c r="GP358" s="214" t="s">
        <v>70</v>
      </c>
      <c r="GQ358" s="214" t="s">
        <v>530</v>
      </c>
      <c r="GS358" s="321" t="s">
        <v>23494</v>
      </c>
      <c r="GT358" s="214" t="s">
        <v>52</v>
      </c>
      <c r="GU358" s="214" t="s">
        <v>70</v>
      </c>
      <c r="GV358" s="214" t="s">
        <v>530</v>
      </c>
      <c r="GX358" s="214" t="s">
        <v>23495</v>
      </c>
      <c r="GY358" s="214" t="s">
        <v>602</v>
      </c>
      <c r="GZ358" s="214" t="s">
        <v>70</v>
      </c>
      <c r="HA358" s="214" t="s">
        <v>530</v>
      </c>
      <c r="HC358" s="214" t="s">
        <v>23496</v>
      </c>
      <c r="HD358" s="214" t="s">
        <v>148</v>
      </c>
      <c r="HE358" s="214" t="s">
        <v>70</v>
      </c>
      <c r="HF358" s="214" t="s">
        <v>530</v>
      </c>
      <c r="HH358" s="214" t="s">
        <v>23497</v>
      </c>
      <c r="HI358" s="214" t="s">
        <v>485</v>
      </c>
      <c r="HJ358" s="214" t="s">
        <v>70</v>
      </c>
      <c r="HK358" s="214" t="s">
        <v>530</v>
      </c>
      <c r="HM358" s="214" t="s">
        <v>23498</v>
      </c>
      <c r="HN358" s="214" t="s">
        <v>491</v>
      </c>
      <c r="HO358" s="214" t="s">
        <v>70</v>
      </c>
      <c r="HP358" s="214" t="s">
        <v>530</v>
      </c>
      <c r="HR358" s="22" t="s">
        <v>23499</v>
      </c>
      <c r="HS358" s="22" t="s">
        <v>34644</v>
      </c>
      <c r="HT358" s="22" t="s">
        <v>70</v>
      </c>
      <c r="HU358" s="214" t="s">
        <v>530</v>
      </c>
      <c r="HW358" s="22" t="s">
        <v>23500</v>
      </c>
      <c r="HX358" s="22" t="s">
        <v>87</v>
      </c>
      <c r="HY358" s="22" t="s">
        <v>70</v>
      </c>
      <c r="HZ358" s="214" t="s">
        <v>530</v>
      </c>
      <c r="IB358" s="22" t="s">
        <v>23501</v>
      </c>
      <c r="IC358" s="22" t="s">
        <v>497</v>
      </c>
      <c r="ID358" s="22" t="s">
        <v>70</v>
      </c>
      <c r="IE358" s="214" t="s">
        <v>530</v>
      </c>
      <c r="IG358" s="22" t="s">
        <v>23502</v>
      </c>
      <c r="IH358" s="22" t="s">
        <v>52</v>
      </c>
      <c r="II358" s="22" t="s">
        <v>70</v>
      </c>
      <c r="IJ358" s="214" t="s">
        <v>530</v>
      </c>
      <c r="IL358" s="22" t="s">
        <v>23503</v>
      </c>
      <c r="IM358" s="22" t="s">
        <v>145</v>
      </c>
      <c r="IN358" s="22" t="s">
        <v>70</v>
      </c>
      <c r="IO358" s="214" t="s">
        <v>530</v>
      </c>
      <c r="IQ358" s="236" t="s">
        <v>23504</v>
      </c>
      <c r="IR358" s="236" t="s">
        <v>145</v>
      </c>
      <c r="IS358" s="236" t="s">
        <v>74</v>
      </c>
      <c r="IT358" s="236" t="s">
        <v>841</v>
      </c>
      <c r="IV358" s="236" t="s">
        <v>23505</v>
      </c>
      <c r="IW358" s="236" t="s">
        <v>145</v>
      </c>
      <c r="IX358" s="236" t="s">
        <v>74</v>
      </c>
      <c r="IY358" s="236" t="s">
        <v>841</v>
      </c>
      <c r="JA358" s="236" t="s">
        <v>23506</v>
      </c>
      <c r="JB358" s="236" t="s">
        <v>145</v>
      </c>
      <c r="JC358" s="236" t="s">
        <v>74</v>
      </c>
      <c r="JD358" s="236" t="s">
        <v>841</v>
      </c>
      <c r="JF358" s="236" t="s">
        <v>23507</v>
      </c>
      <c r="JG358" s="236" t="s">
        <v>145</v>
      </c>
      <c r="JH358" s="236" t="s">
        <v>74</v>
      </c>
      <c r="JI358" s="236" t="s">
        <v>841</v>
      </c>
      <c r="JK358" s="236" t="s">
        <v>23508</v>
      </c>
      <c r="JL358" s="236" t="s">
        <v>145</v>
      </c>
      <c r="JM358" s="236" t="s">
        <v>74</v>
      </c>
      <c r="JN358" s="236" t="s">
        <v>841</v>
      </c>
      <c r="JP358" s="236" t="s">
        <v>23509</v>
      </c>
      <c r="JQ358" s="236" t="s">
        <v>145</v>
      </c>
      <c r="JR358" s="236" t="s">
        <v>74</v>
      </c>
      <c r="JS358" s="236" t="s">
        <v>841</v>
      </c>
      <c r="JU358" s="294" t="s">
        <v>23510</v>
      </c>
      <c r="JV358" s="294" t="s">
        <v>52</v>
      </c>
      <c r="JW358" s="263" t="s">
        <v>70</v>
      </c>
      <c r="JX358" s="294" t="s">
        <v>1083</v>
      </c>
      <c r="JZ358" s="263" t="s">
        <v>23511</v>
      </c>
      <c r="KA358" s="263" t="s">
        <v>145</v>
      </c>
      <c r="KB358" s="263" t="s">
        <v>70</v>
      </c>
      <c r="KC358" s="263" t="s">
        <v>1083</v>
      </c>
      <c r="KE358" s="263" t="s">
        <v>23512</v>
      </c>
      <c r="KF358" s="263" t="s">
        <v>52</v>
      </c>
      <c r="KG358" s="263" t="s">
        <v>70</v>
      </c>
      <c r="KH358" s="263" t="s">
        <v>1083</v>
      </c>
      <c r="KJ358" s="263" t="s">
        <v>23513</v>
      </c>
      <c r="KK358" s="263" t="s">
        <v>52</v>
      </c>
      <c r="KL358" s="263" t="s">
        <v>74</v>
      </c>
      <c r="KM358" s="263" t="s">
        <v>34074</v>
      </c>
      <c r="KO358" s="214" t="s">
        <v>23514</v>
      </c>
      <c r="KP358" s="214" t="s">
        <v>145</v>
      </c>
      <c r="KQ358" s="214" t="s">
        <v>70</v>
      </c>
      <c r="KR358" s="214" t="s">
        <v>67</v>
      </c>
      <c r="KT358" s="22" t="s">
        <v>23515</v>
      </c>
      <c r="KU358" s="22" t="s">
        <v>145</v>
      </c>
      <c r="KV358" s="22" t="s">
        <v>70</v>
      </c>
      <c r="KW358" s="22" t="s">
        <v>67</v>
      </c>
      <c r="KY358" s="214" t="s">
        <v>23516</v>
      </c>
      <c r="KZ358" s="214" t="s">
        <v>52</v>
      </c>
      <c r="LA358" s="214" t="s">
        <v>74</v>
      </c>
      <c r="LB358" s="214" t="s">
        <v>67</v>
      </c>
      <c r="LD358" s="22" t="s">
        <v>23517</v>
      </c>
      <c r="LE358" s="22" t="s">
        <v>145</v>
      </c>
      <c r="LF358" s="22" t="s">
        <v>70</v>
      </c>
      <c r="LG358" s="22" t="s">
        <v>67</v>
      </c>
    </row>
    <row r="359" spans="1:319">
      <c r="A359" s="22" t="s">
        <v>23518</v>
      </c>
      <c r="B359" s="22" t="s">
        <v>145</v>
      </c>
      <c r="C359" s="22" t="s">
        <v>70</v>
      </c>
      <c r="D359" s="22" t="s">
        <v>67</v>
      </c>
      <c r="F359" s="99" t="s">
        <v>23519</v>
      </c>
      <c r="G359" s="22" t="s">
        <v>145</v>
      </c>
      <c r="H359" s="22" t="s">
        <v>70</v>
      </c>
      <c r="I359" s="22" t="s">
        <v>67</v>
      </c>
      <c r="K359" s="99" t="s">
        <v>23520</v>
      </c>
      <c r="L359" s="22" t="s">
        <v>145</v>
      </c>
      <c r="M359" s="22" t="s">
        <v>70</v>
      </c>
      <c r="N359" s="22" t="s">
        <v>67</v>
      </c>
      <c r="P359" s="22" t="s">
        <v>23521</v>
      </c>
      <c r="Q359" s="22" t="s">
        <v>145</v>
      </c>
      <c r="R359" s="22" t="s">
        <v>70</v>
      </c>
      <c r="S359" s="22" t="s">
        <v>67</v>
      </c>
      <c r="U359" s="293" t="s">
        <v>23522</v>
      </c>
      <c r="V359" s="293" t="s">
        <v>145</v>
      </c>
      <c r="W359" s="293" t="s">
        <v>74</v>
      </c>
      <c r="X359" s="293" t="s">
        <v>656</v>
      </c>
      <c r="Z359" s="293" t="s">
        <v>23523</v>
      </c>
      <c r="AA359" s="293" t="s">
        <v>145</v>
      </c>
      <c r="AB359" s="293" t="s">
        <v>74</v>
      </c>
      <c r="AC359" s="293" t="s">
        <v>656</v>
      </c>
      <c r="AE359" s="293" t="s">
        <v>23524</v>
      </c>
      <c r="AF359" s="293" t="s">
        <v>145</v>
      </c>
      <c r="AG359" s="293" t="s">
        <v>74</v>
      </c>
      <c r="AH359" s="293" t="s">
        <v>656</v>
      </c>
      <c r="AJ359" s="293" t="s">
        <v>23525</v>
      </c>
      <c r="AK359" s="293" t="s">
        <v>145</v>
      </c>
      <c r="AL359" s="293" t="s">
        <v>74</v>
      </c>
      <c r="AM359" s="293" t="s">
        <v>656</v>
      </c>
      <c r="AO359" s="22" t="s">
        <v>23526</v>
      </c>
      <c r="AP359" s="22" t="s">
        <v>145</v>
      </c>
      <c r="AQ359" s="22" t="s">
        <v>70</v>
      </c>
      <c r="AR359" s="22" t="s">
        <v>67</v>
      </c>
      <c r="AT359" s="22" t="s">
        <v>23527</v>
      </c>
      <c r="AU359" s="22" t="s">
        <v>145</v>
      </c>
      <c r="AV359" s="22" t="s">
        <v>70</v>
      </c>
      <c r="AW359" s="22" t="s">
        <v>67</v>
      </c>
      <c r="AY359" s="22" t="s">
        <v>23528</v>
      </c>
      <c r="AZ359" s="22" t="s">
        <v>145</v>
      </c>
      <c r="BA359" s="22" t="s">
        <v>70</v>
      </c>
      <c r="BB359" s="22" t="s">
        <v>67</v>
      </c>
      <c r="BD359" s="22" t="s">
        <v>23529</v>
      </c>
      <c r="BE359" s="22" t="s">
        <v>145</v>
      </c>
      <c r="BF359" s="22" t="s">
        <v>70</v>
      </c>
      <c r="BG359" s="22" t="s">
        <v>67</v>
      </c>
      <c r="BI359" s="22" t="s">
        <v>23530</v>
      </c>
      <c r="BJ359" s="22" t="s">
        <v>145</v>
      </c>
      <c r="BK359" s="22" t="s">
        <v>70</v>
      </c>
      <c r="BL359" s="22" t="s">
        <v>67</v>
      </c>
      <c r="BN359" s="22" t="s">
        <v>23531</v>
      </c>
      <c r="BO359" s="22" t="s">
        <v>145</v>
      </c>
      <c r="BP359" s="22" t="s">
        <v>70</v>
      </c>
      <c r="BQ359" s="22" t="s">
        <v>67</v>
      </c>
      <c r="BS359" s="22" t="s">
        <v>23532</v>
      </c>
      <c r="BT359" s="22" t="s">
        <v>145</v>
      </c>
      <c r="BU359" s="22" t="s">
        <v>70</v>
      </c>
      <c r="BV359" s="214" t="s">
        <v>530</v>
      </c>
      <c r="BX359" s="22" t="s">
        <v>23533</v>
      </c>
      <c r="BY359" s="22" t="s">
        <v>145</v>
      </c>
      <c r="BZ359" s="22" t="s">
        <v>70</v>
      </c>
      <c r="CA359" s="214" t="s">
        <v>530</v>
      </c>
      <c r="CC359" s="214" t="s">
        <v>23534</v>
      </c>
      <c r="CD359" s="218" t="s">
        <v>487</v>
      </c>
      <c r="CE359" s="214" t="s">
        <v>70</v>
      </c>
      <c r="CF359" s="214" t="s">
        <v>34165</v>
      </c>
      <c r="CH359" s="214" t="s">
        <v>23535</v>
      </c>
      <c r="CI359" s="214" t="s">
        <v>599</v>
      </c>
      <c r="CJ359" s="214" t="s">
        <v>70</v>
      </c>
      <c r="CK359" s="214" t="s">
        <v>530</v>
      </c>
      <c r="CM359" s="214" t="s">
        <v>23536</v>
      </c>
      <c r="CN359" s="214" t="s">
        <v>484</v>
      </c>
      <c r="CO359" s="214" t="s">
        <v>70</v>
      </c>
      <c r="CP359" s="214" t="s">
        <v>530</v>
      </c>
      <c r="CR359" s="214" t="s">
        <v>23537</v>
      </c>
      <c r="CS359" s="214" t="s">
        <v>52</v>
      </c>
      <c r="CT359" s="214" t="s">
        <v>70</v>
      </c>
      <c r="CU359" s="214" t="s">
        <v>530</v>
      </c>
      <c r="CW359" s="214" t="s">
        <v>23538</v>
      </c>
      <c r="CX359" s="214" t="s">
        <v>34551</v>
      </c>
      <c r="CY359" s="214" t="s">
        <v>70</v>
      </c>
      <c r="CZ359" s="214" t="s">
        <v>530</v>
      </c>
      <c r="DB359" s="214" t="s">
        <v>23539</v>
      </c>
      <c r="DC359" s="214" t="s">
        <v>146</v>
      </c>
      <c r="DD359" s="214" t="s">
        <v>70</v>
      </c>
      <c r="DE359" s="214" t="s">
        <v>530</v>
      </c>
      <c r="DG359" s="214" t="s">
        <v>23540</v>
      </c>
      <c r="DH359" s="214" t="s">
        <v>52</v>
      </c>
      <c r="DI359" s="214" t="s">
        <v>70</v>
      </c>
      <c r="DJ359" s="214" t="s">
        <v>530</v>
      </c>
      <c r="DL359" s="214" t="s">
        <v>23541</v>
      </c>
      <c r="DM359" s="214" t="s">
        <v>491</v>
      </c>
      <c r="DN359" s="214" t="s">
        <v>70</v>
      </c>
      <c r="DO359" s="214" t="s">
        <v>530</v>
      </c>
      <c r="DQ359" s="214" t="s">
        <v>23542</v>
      </c>
      <c r="DR359" s="214" t="s">
        <v>599</v>
      </c>
      <c r="DS359" s="214" t="s">
        <v>70</v>
      </c>
      <c r="DT359" s="214" t="s">
        <v>530</v>
      </c>
      <c r="DV359" s="214" t="s">
        <v>23543</v>
      </c>
      <c r="DW359" s="214" t="s">
        <v>486</v>
      </c>
      <c r="DX359" s="214" t="s">
        <v>70</v>
      </c>
      <c r="DY359" s="214" t="s">
        <v>530</v>
      </c>
      <c r="EA359" s="214" t="s">
        <v>23544</v>
      </c>
      <c r="EB359" s="214" t="s">
        <v>34516</v>
      </c>
      <c r="EC359" s="214" t="s">
        <v>70</v>
      </c>
      <c r="ED359" s="214" t="s">
        <v>530</v>
      </c>
      <c r="EF359" s="214" t="s">
        <v>23545</v>
      </c>
      <c r="EG359" s="214" t="s">
        <v>292</v>
      </c>
      <c r="EH359" s="214" t="s">
        <v>70</v>
      </c>
      <c r="EI359" s="214" t="s">
        <v>530</v>
      </c>
      <c r="EK359" s="214" t="s">
        <v>23546</v>
      </c>
      <c r="EL359" s="214" t="s">
        <v>912</v>
      </c>
      <c r="EM359" s="214" t="s">
        <v>70</v>
      </c>
      <c r="EN359" s="214" t="s">
        <v>530</v>
      </c>
      <c r="EP359" s="214" t="s">
        <v>23547</v>
      </c>
      <c r="EQ359" s="214" t="s">
        <v>34542</v>
      </c>
      <c r="ER359" s="214" t="s">
        <v>70</v>
      </c>
      <c r="ES359" s="214" t="s">
        <v>530</v>
      </c>
      <c r="EU359" s="214" t="s">
        <v>23548</v>
      </c>
      <c r="EV359" s="214" t="s">
        <v>52</v>
      </c>
      <c r="EW359" s="214" t="s">
        <v>70</v>
      </c>
      <c r="EX359" s="214" t="s">
        <v>530</v>
      </c>
      <c r="EZ359" s="214" t="s">
        <v>23549</v>
      </c>
      <c r="FA359" s="214" t="s">
        <v>164</v>
      </c>
      <c r="FB359" s="214" t="s">
        <v>70</v>
      </c>
      <c r="FC359" s="214" t="s">
        <v>530</v>
      </c>
      <c r="FE359" s="214" t="s">
        <v>23550</v>
      </c>
      <c r="FF359" s="214" t="s">
        <v>52</v>
      </c>
      <c r="FG359" s="214" t="s">
        <v>70</v>
      </c>
      <c r="FH359" s="214" t="s">
        <v>530</v>
      </c>
      <c r="FJ359" s="321" t="s">
        <v>23551</v>
      </c>
      <c r="FK359" s="214" t="s">
        <v>491</v>
      </c>
      <c r="FL359" s="214" t="s">
        <v>70</v>
      </c>
      <c r="FM359" s="214" t="s">
        <v>530</v>
      </c>
      <c r="FO359" s="321" t="s">
        <v>23552</v>
      </c>
      <c r="FP359" s="214" t="s">
        <v>206</v>
      </c>
      <c r="FQ359" s="214" t="s">
        <v>70</v>
      </c>
      <c r="FR359" s="214" t="s">
        <v>530</v>
      </c>
      <c r="FT359" s="321" t="s">
        <v>23553</v>
      </c>
      <c r="FU359" s="214" t="s">
        <v>52</v>
      </c>
      <c r="FV359" s="214" t="s">
        <v>70</v>
      </c>
      <c r="FW359" s="214" t="s">
        <v>530</v>
      </c>
      <c r="FY359" s="321" t="s">
        <v>23554</v>
      </c>
      <c r="FZ359" s="214" t="s">
        <v>496</v>
      </c>
      <c r="GA359" s="214" t="s">
        <v>70</v>
      </c>
      <c r="GB359" s="214" t="s">
        <v>530</v>
      </c>
      <c r="GD359" s="321" t="s">
        <v>23555</v>
      </c>
      <c r="GE359" s="214" t="s">
        <v>491</v>
      </c>
      <c r="GF359" s="214" t="s">
        <v>70</v>
      </c>
      <c r="GG359" s="214" t="s">
        <v>530</v>
      </c>
      <c r="GI359" s="321" t="s">
        <v>23556</v>
      </c>
      <c r="GJ359" s="214" t="s">
        <v>52</v>
      </c>
      <c r="GK359" s="214" t="s">
        <v>70</v>
      </c>
      <c r="GL359" s="214" t="s">
        <v>530</v>
      </c>
      <c r="GN359" s="321" t="s">
        <v>23557</v>
      </c>
      <c r="GO359" s="214" t="s">
        <v>146</v>
      </c>
      <c r="GP359" s="214" t="s">
        <v>70</v>
      </c>
      <c r="GQ359" s="214" t="s">
        <v>530</v>
      </c>
      <c r="GS359" s="321" t="s">
        <v>23558</v>
      </c>
      <c r="GT359" s="214" t="s">
        <v>485</v>
      </c>
      <c r="GU359" s="214" t="s">
        <v>70</v>
      </c>
      <c r="GV359" s="214" t="s">
        <v>530</v>
      </c>
      <c r="GX359" s="214" t="s">
        <v>23559</v>
      </c>
      <c r="GY359" s="214" t="s">
        <v>146</v>
      </c>
      <c r="GZ359" s="214" t="s">
        <v>70</v>
      </c>
      <c r="HA359" s="214" t="s">
        <v>530</v>
      </c>
      <c r="HC359" s="214" t="s">
        <v>23560</v>
      </c>
      <c r="HD359" s="214" t="s">
        <v>146</v>
      </c>
      <c r="HE359" s="214" t="s">
        <v>70</v>
      </c>
      <c r="HF359" s="214" t="s">
        <v>530</v>
      </c>
      <c r="HH359" s="214" t="s">
        <v>23561</v>
      </c>
      <c r="HI359" s="214" t="s">
        <v>163</v>
      </c>
      <c r="HJ359" s="214" t="s">
        <v>70</v>
      </c>
      <c r="HK359" s="214" t="s">
        <v>530</v>
      </c>
      <c r="HM359" s="214" t="s">
        <v>23562</v>
      </c>
      <c r="HN359" s="214" t="s">
        <v>488</v>
      </c>
      <c r="HO359" s="214" t="s">
        <v>70</v>
      </c>
      <c r="HP359" s="214" t="s">
        <v>530</v>
      </c>
      <c r="HR359" s="22" t="s">
        <v>23563</v>
      </c>
      <c r="HS359" s="22" t="s">
        <v>52</v>
      </c>
      <c r="HT359" s="22" t="s">
        <v>70</v>
      </c>
      <c r="HU359" s="214" t="s">
        <v>530</v>
      </c>
      <c r="HW359" s="22" t="s">
        <v>23564</v>
      </c>
      <c r="HX359" s="22" t="s">
        <v>488</v>
      </c>
      <c r="HY359" s="22" t="s">
        <v>70</v>
      </c>
      <c r="HZ359" s="214" t="s">
        <v>530</v>
      </c>
      <c r="IB359" s="22" t="s">
        <v>23565</v>
      </c>
      <c r="IC359" s="22" t="s">
        <v>146</v>
      </c>
      <c r="ID359" s="22" t="s">
        <v>70</v>
      </c>
      <c r="IE359" s="214" t="s">
        <v>530</v>
      </c>
      <c r="IG359" s="22" t="s">
        <v>23566</v>
      </c>
      <c r="IH359" s="22" t="s">
        <v>52</v>
      </c>
      <c r="II359" s="22" t="s">
        <v>70</v>
      </c>
      <c r="IJ359" s="214" t="s">
        <v>530</v>
      </c>
      <c r="IL359" s="22" t="s">
        <v>23567</v>
      </c>
      <c r="IM359" s="22" t="s">
        <v>145</v>
      </c>
      <c r="IN359" s="22" t="s">
        <v>70</v>
      </c>
      <c r="IO359" s="214" t="s">
        <v>530</v>
      </c>
      <c r="IQ359" s="236" t="s">
        <v>23568</v>
      </c>
      <c r="IR359" s="236" t="s">
        <v>145</v>
      </c>
      <c r="IS359" s="236" t="s">
        <v>74</v>
      </c>
      <c r="IT359" s="236" t="s">
        <v>841</v>
      </c>
      <c r="IV359" s="236" t="s">
        <v>23569</v>
      </c>
      <c r="IW359" s="236" t="s">
        <v>145</v>
      </c>
      <c r="IX359" s="236" t="s">
        <v>74</v>
      </c>
      <c r="IY359" s="236" t="s">
        <v>841</v>
      </c>
      <c r="JA359" s="236" t="s">
        <v>23570</v>
      </c>
      <c r="JB359" s="236" t="s">
        <v>145</v>
      </c>
      <c r="JC359" s="236" t="s">
        <v>74</v>
      </c>
      <c r="JD359" s="236" t="s">
        <v>841</v>
      </c>
      <c r="JF359" s="236" t="s">
        <v>23571</v>
      </c>
      <c r="JG359" s="236" t="s">
        <v>145</v>
      </c>
      <c r="JH359" s="236" t="s">
        <v>74</v>
      </c>
      <c r="JI359" s="236" t="s">
        <v>841</v>
      </c>
      <c r="JK359" s="236" t="s">
        <v>23572</v>
      </c>
      <c r="JL359" s="236" t="s">
        <v>145</v>
      </c>
      <c r="JM359" s="236" t="s">
        <v>74</v>
      </c>
      <c r="JN359" s="236" t="s">
        <v>841</v>
      </c>
      <c r="JP359" s="236" t="s">
        <v>23573</v>
      </c>
      <c r="JQ359" s="236" t="s">
        <v>145</v>
      </c>
      <c r="JR359" s="236" t="s">
        <v>74</v>
      </c>
      <c r="JS359" s="236" t="s">
        <v>841</v>
      </c>
      <c r="JU359" s="294" t="s">
        <v>23574</v>
      </c>
      <c r="JV359" s="294" t="s">
        <v>52</v>
      </c>
      <c r="JW359" s="263" t="s">
        <v>70</v>
      </c>
      <c r="JX359" s="294" t="s">
        <v>1083</v>
      </c>
      <c r="JZ359" s="263" t="s">
        <v>23575</v>
      </c>
      <c r="KA359" s="263" t="s">
        <v>145</v>
      </c>
      <c r="KB359" s="263" t="s">
        <v>70</v>
      </c>
      <c r="KC359" s="263" t="s">
        <v>1083</v>
      </c>
      <c r="KE359" s="263" t="s">
        <v>23576</v>
      </c>
      <c r="KF359" s="263" t="s">
        <v>52</v>
      </c>
      <c r="KG359" s="263" t="s">
        <v>70</v>
      </c>
      <c r="KH359" s="263" t="s">
        <v>1083</v>
      </c>
      <c r="KJ359" s="263" t="s">
        <v>23577</v>
      </c>
      <c r="KK359" s="263" t="s">
        <v>52</v>
      </c>
      <c r="KL359" s="263" t="s">
        <v>74</v>
      </c>
      <c r="KM359" s="263" t="s">
        <v>34074</v>
      </c>
      <c r="KO359" s="214" t="s">
        <v>23578</v>
      </c>
      <c r="KP359" s="214" t="s">
        <v>145</v>
      </c>
      <c r="KQ359" s="214" t="s">
        <v>70</v>
      </c>
      <c r="KR359" s="214" t="s">
        <v>67</v>
      </c>
      <c r="KT359" s="22" t="s">
        <v>23579</v>
      </c>
      <c r="KU359" s="22" t="s">
        <v>145</v>
      </c>
      <c r="KV359" s="22" t="s">
        <v>70</v>
      </c>
      <c r="KW359" s="22" t="s">
        <v>67</v>
      </c>
      <c r="KY359" s="214" t="s">
        <v>23580</v>
      </c>
      <c r="KZ359" s="214" t="s">
        <v>52</v>
      </c>
      <c r="LA359" s="214" t="s">
        <v>74</v>
      </c>
      <c r="LB359" s="214" t="s">
        <v>67</v>
      </c>
      <c r="LD359" s="22" t="s">
        <v>23581</v>
      </c>
      <c r="LE359" s="22" t="s">
        <v>145</v>
      </c>
      <c r="LF359" s="22" t="s">
        <v>70</v>
      </c>
      <c r="LG359" s="22" t="s">
        <v>67</v>
      </c>
    </row>
    <row r="360" spans="1:319">
      <c r="A360" s="22" t="s">
        <v>23582</v>
      </c>
      <c r="B360" s="22" t="s">
        <v>145</v>
      </c>
      <c r="C360" s="22" t="s">
        <v>70</v>
      </c>
      <c r="D360" s="22" t="s">
        <v>67</v>
      </c>
      <c r="F360" s="99" t="s">
        <v>23583</v>
      </c>
      <c r="G360" s="22" t="s">
        <v>145</v>
      </c>
      <c r="H360" s="22" t="s">
        <v>70</v>
      </c>
      <c r="I360" s="22" t="s">
        <v>67</v>
      </c>
      <c r="K360" s="99" t="s">
        <v>23584</v>
      </c>
      <c r="L360" s="22" t="s">
        <v>145</v>
      </c>
      <c r="M360" s="22" t="s">
        <v>70</v>
      </c>
      <c r="N360" s="22" t="s">
        <v>67</v>
      </c>
      <c r="P360" s="230" t="s">
        <v>23585</v>
      </c>
      <c r="Q360" s="218" t="s">
        <v>145</v>
      </c>
      <c r="R360" s="218" t="s">
        <v>72</v>
      </c>
      <c r="S360" s="218" t="s">
        <v>33961</v>
      </c>
      <c r="U360" s="293" t="s">
        <v>23586</v>
      </c>
      <c r="V360" s="293" t="s">
        <v>145</v>
      </c>
      <c r="W360" s="293" t="s">
        <v>74</v>
      </c>
      <c r="X360" s="293" t="s">
        <v>656</v>
      </c>
      <c r="Z360" s="293" t="s">
        <v>23587</v>
      </c>
      <c r="AA360" s="293" t="s">
        <v>145</v>
      </c>
      <c r="AB360" s="293" t="s">
        <v>74</v>
      </c>
      <c r="AC360" s="293" t="s">
        <v>656</v>
      </c>
      <c r="AE360" s="293" t="s">
        <v>23588</v>
      </c>
      <c r="AF360" s="293" t="s">
        <v>145</v>
      </c>
      <c r="AG360" s="293" t="s">
        <v>74</v>
      </c>
      <c r="AH360" s="293" t="s">
        <v>656</v>
      </c>
      <c r="AJ360" s="293" t="s">
        <v>23589</v>
      </c>
      <c r="AK360" s="293" t="s">
        <v>145</v>
      </c>
      <c r="AL360" s="293" t="s">
        <v>74</v>
      </c>
      <c r="AM360" s="293" t="s">
        <v>656</v>
      </c>
      <c r="AO360" s="22" t="s">
        <v>23590</v>
      </c>
      <c r="AP360" s="22" t="s">
        <v>145</v>
      </c>
      <c r="AQ360" s="22" t="s">
        <v>70</v>
      </c>
      <c r="AR360" s="22" t="s">
        <v>67</v>
      </c>
      <c r="AT360" s="22" t="s">
        <v>23591</v>
      </c>
      <c r="AU360" s="22" t="s">
        <v>145</v>
      </c>
      <c r="AV360" s="22" t="s">
        <v>70</v>
      </c>
      <c r="AW360" s="22" t="s">
        <v>67</v>
      </c>
      <c r="AY360" s="22" t="s">
        <v>23592</v>
      </c>
      <c r="AZ360" s="22" t="s">
        <v>145</v>
      </c>
      <c r="BA360" s="22" t="s">
        <v>70</v>
      </c>
      <c r="BB360" s="22" t="s">
        <v>67</v>
      </c>
      <c r="BD360" s="22" t="s">
        <v>23593</v>
      </c>
      <c r="BE360" s="22" t="s">
        <v>145</v>
      </c>
      <c r="BF360" s="22" t="s">
        <v>70</v>
      </c>
      <c r="BG360" s="22" t="s">
        <v>67</v>
      </c>
      <c r="BI360" s="22" t="s">
        <v>23594</v>
      </c>
      <c r="BJ360" s="22" t="s">
        <v>145</v>
      </c>
      <c r="BK360" s="22" t="s">
        <v>70</v>
      </c>
      <c r="BL360" s="22" t="s">
        <v>67</v>
      </c>
      <c r="BN360" s="22" t="s">
        <v>23595</v>
      </c>
      <c r="BO360" s="22" t="s">
        <v>145</v>
      </c>
      <c r="BP360" s="22" t="s">
        <v>70</v>
      </c>
      <c r="BQ360" s="22" t="s">
        <v>67</v>
      </c>
      <c r="BS360" s="22" t="s">
        <v>23596</v>
      </c>
      <c r="BT360" s="22" t="s">
        <v>145</v>
      </c>
      <c r="BU360" s="22" t="s">
        <v>70</v>
      </c>
      <c r="BV360" s="214" t="s">
        <v>530</v>
      </c>
      <c r="BX360" s="22" t="s">
        <v>23597</v>
      </c>
      <c r="BY360" s="22" t="s">
        <v>145</v>
      </c>
      <c r="BZ360" s="22" t="s">
        <v>70</v>
      </c>
      <c r="CA360" s="214" t="s">
        <v>530</v>
      </c>
      <c r="CC360" s="214" t="s">
        <v>23598</v>
      </c>
      <c r="CD360" s="218" t="s">
        <v>34575</v>
      </c>
      <c r="CE360" s="214" t="s">
        <v>70</v>
      </c>
      <c r="CF360" s="214" t="s">
        <v>34166</v>
      </c>
      <c r="CH360" s="214" t="s">
        <v>23599</v>
      </c>
      <c r="CI360" s="214" t="s">
        <v>951</v>
      </c>
      <c r="CJ360" s="214" t="s">
        <v>70</v>
      </c>
      <c r="CK360" s="214" t="s">
        <v>530</v>
      </c>
      <c r="CM360" s="214" t="s">
        <v>23600</v>
      </c>
      <c r="CN360" s="214" t="s">
        <v>485</v>
      </c>
      <c r="CO360" s="214" t="s">
        <v>70</v>
      </c>
      <c r="CP360" s="214" t="s">
        <v>530</v>
      </c>
      <c r="CR360" s="214" t="s">
        <v>23601</v>
      </c>
      <c r="CS360" s="214" t="s">
        <v>942</v>
      </c>
      <c r="CT360" s="214" t="s">
        <v>70</v>
      </c>
      <c r="CU360" s="214" t="s">
        <v>530</v>
      </c>
      <c r="CW360" s="214" t="s">
        <v>23602</v>
      </c>
      <c r="CX360" s="214" t="s">
        <v>912</v>
      </c>
      <c r="CY360" s="214" t="s">
        <v>70</v>
      </c>
      <c r="CZ360" s="214" t="s">
        <v>530</v>
      </c>
      <c r="DB360" s="214" t="s">
        <v>23603</v>
      </c>
      <c r="DC360" s="214" t="s">
        <v>149</v>
      </c>
      <c r="DD360" s="214" t="s">
        <v>70</v>
      </c>
      <c r="DE360" s="214" t="s">
        <v>530</v>
      </c>
      <c r="DG360" s="214" t="s">
        <v>23604</v>
      </c>
      <c r="DH360" s="214" t="s">
        <v>93</v>
      </c>
      <c r="DI360" s="214" t="s">
        <v>70</v>
      </c>
      <c r="DJ360" s="214" t="s">
        <v>530</v>
      </c>
      <c r="DL360" s="214" t="s">
        <v>23605</v>
      </c>
      <c r="DM360" s="214" t="s">
        <v>481</v>
      </c>
      <c r="DN360" s="214" t="s">
        <v>70</v>
      </c>
      <c r="DO360" s="214" t="s">
        <v>530</v>
      </c>
      <c r="DQ360" s="214" t="s">
        <v>23606</v>
      </c>
      <c r="DR360" s="214" t="s">
        <v>34584</v>
      </c>
      <c r="DS360" s="214" t="s">
        <v>70</v>
      </c>
      <c r="DT360" s="214" t="s">
        <v>530</v>
      </c>
      <c r="DV360" s="214" t="s">
        <v>23607</v>
      </c>
      <c r="DW360" s="214" t="s">
        <v>34587</v>
      </c>
      <c r="DX360" s="214" t="s">
        <v>70</v>
      </c>
      <c r="DY360" s="214" t="s">
        <v>530</v>
      </c>
      <c r="EA360" s="214" t="s">
        <v>23608</v>
      </c>
      <c r="EB360" s="214" t="s">
        <v>765</v>
      </c>
      <c r="EC360" s="214" t="s">
        <v>70</v>
      </c>
      <c r="ED360" s="214" t="s">
        <v>530</v>
      </c>
      <c r="EF360" s="214" t="s">
        <v>23609</v>
      </c>
      <c r="EG360" s="214" t="s">
        <v>484</v>
      </c>
      <c r="EH360" s="214" t="s">
        <v>70</v>
      </c>
      <c r="EI360" s="214" t="s">
        <v>530</v>
      </c>
      <c r="EK360" s="214" t="s">
        <v>23610</v>
      </c>
      <c r="EL360" s="214" t="s">
        <v>34565</v>
      </c>
      <c r="EM360" s="214" t="s">
        <v>70</v>
      </c>
      <c r="EN360" s="214" t="s">
        <v>530</v>
      </c>
      <c r="EP360" s="214" t="s">
        <v>23611</v>
      </c>
      <c r="EQ360" s="214" t="s">
        <v>88</v>
      </c>
      <c r="ER360" s="214" t="s">
        <v>70</v>
      </c>
      <c r="ES360" s="214" t="s">
        <v>530</v>
      </c>
      <c r="EU360" s="214" t="s">
        <v>23612</v>
      </c>
      <c r="EV360" s="214" t="s">
        <v>163</v>
      </c>
      <c r="EW360" s="214" t="s">
        <v>70</v>
      </c>
      <c r="EX360" s="214" t="s">
        <v>530</v>
      </c>
      <c r="EZ360" s="214" t="s">
        <v>23613</v>
      </c>
      <c r="FA360" s="214" t="s">
        <v>500</v>
      </c>
      <c r="FB360" s="214" t="s">
        <v>70</v>
      </c>
      <c r="FC360" s="214" t="s">
        <v>530</v>
      </c>
      <c r="FE360" s="214" t="s">
        <v>23614</v>
      </c>
      <c r="FF360" s="214" t="s">
        <v>52</v>
      </c>
      <c r="FG360" s="214" t="s">
        <v>70</v>
      </c>
      <c r="FH360" s="214" t="s">
        <v>530</v>
      </c>
      <c r="FJ360" s="321" t="s">
        <v>23615</v>
      </c>
      <c r="FK360" s="214" t="s">
        <v>146</v>
      </c>
      <c r="FL360" s="214" t="s">
        <v>70</v>
      </c>
      <c r="FM360" s="214" t="s">
        <v>530</v>
      </c>
      <c r="FO360" s="321" t="s">
        <v>23616</v>
      </c>
      <c r="FP360" s="214" t="s">
        <v>146</v>
      </c>
      <c r="FQ360" s="214" t="s">
        <v>70</v>
      </c>
      <c r="FR360" s="214" t="s">
        <v>530</v>
      </c>
      <c r="FT360" s="321" t="s">
        <v>23617</v>
      </c>
      <c r="FU360" s="214" t="s">
        <v>287</v>
      </c>
      <c r="FV360" s="214" t="s">
        <v>70</v>
      </c>
      <c r="FW360" s="214" t="s">
        <v>530</v>
      </c>
      <c r="FY360" s="321" t="s">
        <v>23618</v>
      </c>
      <c r="FZ360" s="214" t="s">
        <v>490</v>
      </c>
      <c r="GA360" s="214" t="s">
        <v>70</v>
      </c>
      <c r="GB360" s="214" t="s">
        <v>530</v>
      </c>
      <c r="GD360" s="321" t="s">
        <v>23619</v>
      </c>
      <c r="GE360" s="214" t="s">
        <v>948</v>
      </c>
      <c r="GF360" s="214" t="s">
        <v>70</v>
      </c>
      <c r="GG360" s="214" t="s">
        <v>530</v>
      </c>
      <c r="GI360" s="321" t="s">
        <v>23620</v>
      </c>
      <c r="GJ360" s="214" t="s">
        <v>145</v>
      </c>
      <c r="GK360" s="214" t="s">
        <v>70</v>
      </c>
      <c r="GL360" s="214" t="s">
        <v>530</v>
      </c>
      <c r="GN360" s="321" t="s">
        <v>23621</v>
      </c>
      <c r="GO360" s="214" t="s">
        <v>21742</v>
      </c>
      <c r="GP360" s="214" t="s">
        <v>70</v>
      </c>
      <c r="GQ360" s="214" t="s">
        <v>530</v>
      </c>
      <c r="GS360" s="321" t="s">
        <v>23622</v>
      </c>
      <c r="GT360" s="214" t="s">
        <v>922</v>
      </c>
      <c r="GU360" s="214" t="s">
        <v>70</v>
      </c>
      <c r="GV360" s="214" t="s">
        <v>530</v>
      </c>
      <c r="GX360" s="214" t="s">
        <v>23623</v>
      </c>
      <c r="GY360" s="214" t="s">
        <v>905</v>
      </c>
      <c r="GZ360" s="214" t="s">
        <v>70</v>
      </c>
      <c r="HA360" s="214" t="s">
        <v>530</v>
      </c>
      <c r="HC360" s="214" t="s">
        <v>23624</v>
      </c>
      <c r="HD360" s="214" t="s">
        <v>85</v>
      </c>
      <c r="HE360" s="214" t="s">
        <v>70</v>
      </c>
      <c r="HF360" s="214" t="s">
        <v>530</v>
      </c>
      <c r="HH360" s="214" t="s">
        <v>23625</v>
      </c>
      <c r="HI360" s="214" t="s">
        <v>85</v>
      </c>
      <c r="HJ360" s="214" t="s">
        <v>70</v>
      </c>
      <c r="HK360" s="214" t="s">
        <v>530</v>
      </c>
      <c r="HM360" s="214" t="s">
        <v>23626</v>
      </c>
      <c r="HN360" s="214" t="s">
        <v>500</v>
      </c>
      <c r="HO360" s="214" t="s">
        <v>70</v>
      </c>
      <c r="HP360" s="214" t="s">
        <v>530</v>
      </c>
      <c r="HR360" s="22" t="s">
        <v>23627</v>
      </c>
      <c r="HS360" s="22" t="s">
        <v>145</v>
      </c>
      <c r="HT360" s="22" t="s">
        <v>70</v>
      </c>
      <c r="HU360" s="214" t="s">
        <v>530</v>
      </c>
      <c r="HW360" s="22" t="s">
        <v>23628</v>
      </c>
      <c r="HX360" s="22" t="s">
        <v>34541</v>
      </c>
      <c r="HY360" s="22" t="s">
        <v>70</v>
      </c>
      <c r="HZ360" s="214" t="s">
        <v>530</v>
      </c>
      <c r="IB360" s="22" t="s">
        <v>23629</v>
      </c>
      <c r="IC360" s="22" t="s">
        <v>950</v>
      </c>
      <c r="ID360" s="22" t="s">
        <v>70</v>
      </c>
      <c r="IE360" s="214" t="s">
        <v>530</v>
      </c>
      <c r="IG360" s="22" t="s">
        <v>23630</v>
      </c>
      <c r="IH360" s="22" t="s">
        <v>52</v>
      </c>
      <c r="II360" s="22" t="s">
        <v>70</v>
      </c>
      <c r="IJ360" s="214" t="s">
        <v>530</v>
      </c>
      <c r="IL360" s="22" t="s">
        <v>23631</v>
      </c>
      <c r="IM360" s="22" t="s">
        <v>145</v>
      </c>
      <c r="IN360" s="22" t="s">
        <v>70</v>
      </c>
      <c r="IO360" s="214" t="s">
        <v>530</v>
      </c>
      <c r="IQ360" s="236" t="s">
        <v>23632</v>
      </c>
      <c r="IR360" s="236" t="s">
        <v>145</v>
      </c>
      <c r="IS360" s="236" t="s">
        <v>74</v>
      </c>
      <c r="IT360" s="236" t="s">
        <v>841</v>
      </c>
      <c r="IV360" s="236" t="s">
        <v>23633</v>
      </c>
      <c r="IW360" s="236" t="s">
        <v>145</v>
      </c>
      <c r="IX360" s="236" t="s">
        <v>74</v>
      </c>
      <c r="IY360" s="236" t="s">
        <v>841</v>
      </c>
      <c r="JA360" s="236" t="s">
        <v>23634</v>
      </c>
      <c r="JB360" s="236" t="s">
        <v>145</v>
      </c>
      <c r="JC360" s="236" t="s">
        <v>74</v>
      </c>
      <c r="JD360" s="236" t="s">
        <v>841</v>
      </c>
      <c r="JF360" s="236" t="s">
        <v>23635</v>
      </c>
      <c r="JG360" s="236" t="s">
        <v>145</v>
      </c>
      <c r="JH360" s="236" t="s">
        <v>74</v>
      </c>
      <c r="JI360" s="236" t="s">
        <v>841</v>
      </c>
      <c r="JK360" s="236" t="s">
        <v>23636</v>
      </c>
      <c r="JL360" s="236" t="s">
        <v>145</v>
      </c>
      <c r="JM360" s="236" t="s">
        <v>74</v>
      </c>
      <c r="JN360" s="236" t="s">
        <v>841</v>
      </c>
      <c r="JP360" s="236" t="s">
        <v>23637</v>
      </c>
      <c r="JQ360" s="236" t="s">
        <v>145</v>
      </c>
      <c r="JR360" s="236" t="s">
        <v>74</v>
      </c>
      <c r="JS360" s="236" t="s">
        <v>841</v>
      </c>
      <c r="JU360" s="294" t="s">
        <v>23638</v>
      </c>
      <c r="JV360" s="294" t="s">
        <v>52</v>
      </c>
      <c r="JW360" s="263" t="s">
        <v>70</v>
      </c>
      <c r="JX360" s="294" t="s">
        <v>1083</v>
      </c>
      <c r="JZ360" s="263" t="s">
        <v>23639</v>
      </c>
      <c r="KA360" s="263" t="s">
        <v>145</v>
      </c>
      <c r="KB360" s="263" t="s">
        <v>70</v>
      </c>
      <c r="KC360" s="263" t="s">
        <v>1083</v>
      </c>
      <c r="KE360" s="263" t="s">
        <v>23640</v>
      </c>
      <c r="KF360" s="263" t="s">
        <v>52</v>
      </c>
      <c r="KG360" s="263" t="s">
        <v>70</v>
      </c>
      <c r="KH360" s="263" t="s">
        <v>1083</v>
      </c>
      <c r="KJ360" s="263" t="s">
        <v>23641</v>
      </c>
      <c r="KK360" s="263" t="s">
        <v>52</v>
      </c>
      <c r="KL360" s="263" t="s">
        <v>74</v>
      </c>
      <c r="KM360" s="263" t="s">
        <v>34074</v>
      </c>
      <c r="KO360" s="214" t="s">
        <v>23642</v>
      </c>
      <c r="KP360" s="214" t="s">
        <v>145</v>
      </c>
      <c r="KQ360" s="214" t="s">
        <v>70</v>
      </c>
      <c r="KR360" s="214" t="s">
        <v>67</v>
      </c>
      <c r="KT360" s="22" t="s">
        <v>23643</v>
      </c>
      <c r="KU360" s="22" t="s">
        <v>145</v>
      </c>
      <c r="KV360" s="22" t="s">
        <v>70</v>
      </c>
      <c r="KW360" s="22" t="s">
        <v>67</v>
      </c>
      <c r="KY360" s="214" t="s">
        <v>23644</v>
      </c>
      <c r="KZ360" s="214" t="s">
        <v>52</v>
      </c>
      <c r="LA360" s="214" t="s">
        <v>74</v>
      </c>
      <c r="LB360" s="214" t="s">
        <v>67</v>
      </c>
      <c r="LD360" s="22" t="s">
        <v>23645</v>
      </c>
      <c r="LE360" s="22" t="s">
        <v>145</v>
      </c>
      <c r="LF360" s="22" t="s">
        <v>70</v>
      </c>
      <c r="LG360" s="22" t="s">
        <v>67</v>
      </c>
    </row>
    <row r="361" spans="1:319">
      <c r="A361" s="22" t="s">
        <v>23646</v>
      </c>
      <c r="B361" s="22" t="s">
        <v>145</v>
      </c>
      <c r="C361" s="22" t="s">
        <v>70</v>
      </c>
      <c r="D361" s="22" t="s">
        <v>67</v>
      </c>
      <c r="F361" s="99" t="s">
        <v>23647</v>
      </c>
      <c r="G361" s="22" t="s">
        <v>145</v>
      </c>
      <c r="H361" s="22" t="s">
        <v>70</v>
      </c>
      <c r="I361" s="22" t="s">
        <v>67</v>
      </c>
      <c r="K361" s="99" t="s">
        <v>23648</v>
      </c>
      <c r="L361" s="22" t="s">
        <v>145</v>
      </c>
      <c r="M361" s="22" t="s">
        <v>70</v>
      </c>
      <c r="N361" s="22" t="s">
        <v>67</v>
      </c>
      <c r="P361" s="230" t="s">
        <v>23649</v>
      </c>
      <c r="Q361" s="218" t="s">
        <v>145</v>
      </c>
      <c r="R361" s="218" t="s">
        <v>72</v>
      </c>
      <c r="S361" s="218" t="s">
        <v>33962</v>
      </c>
      <c r="U361" s="293" t="s">
        <v>23650</v>
      </c>
      <c r="V361" s="293" t="s">
        <v>145</v>
      </c>
      <c r="W361" s="293" t="s">
        <v>74</v>
      </c>
      <c r="X361" s="293" t="s">
        <v>656</v>
      </c>
      <c r="Z361" s="293" t="s">
        <v>23651</v>
      </c>
      <c r="AA361" s="293" t="s">
        <v>145</v>
      </c>
      <c r="AB361" s="293" t="s">
        <v>74</v>
      </c>
      <c r="AC361" s="293" t="s">
        <v>656</v>
      </c>
      <c r="AE361" s="293" t="s">
        <v>23652</v>
      </c>
      <c r="AF361" s="293" t="s">
        <v>145</v>
      </c>
      <c r="AG361" s="293" t="s">
        <v>74</v>
      </c>
      <c r="AH361" s="293" t="s">
        <v>656</v>
      </c>
      <c r="AJ361" s="293" t="s">
        <v>23653</v>
      </c>
      <c r="AK361" s="293" t="s">
        <v>145</v>
      </c>
      <c r="AL361" s="293" t="s">
        <v>74</v>
      </c>
      <c r="AM361" s="293" t="s">
        <v>656</v>
      </c>
      <c r="AO361" s="22" t="s">
        <v>23654</v>
      </c>
      <c r="AP361" s="22" t="s">
        <v>145</v>
      </c>
      <c r="AQ361" s="22" t="s">
        <v>70</v>
      </c>
      <c r="AR361" s="22" t="s">
        <v>67</v>
      </c>
      <c r="AT361" s="22" t="s">
        <v>23655</v>
      </c>
      <c r="AU361" s="22" t="s">
        <v>145</v>
      </c>
      <c r="AV361" s="22" t="s">
        <v>70</v>
      </c>
      <c r="AW361" s="22" t="s">
        <v>67</v>
      </c>
      <c r="AY361" s="22" t="s">
        <v>23656</v>
      </c>
      <c r="AZ361" s="22" t="s">
        <v>145</v>
      </c>
      <c r="BA361" s="22" t="s">
        <v>70</v>
      </c>
      <c r="BB361" s="22" t="s">
        <v>67</v>
      </c>
      <c r="BD361" s="22" t="s">
        <v>23657</v>
      </c>
      <c r="BE361" s="22" t="s">
        <v>145</v>
      </c>
      <c r="BF361" s="22" t="s">
        <v>70</v>
      </c>
      <c r="BG361" s="22" t="s">
        <v>67</v>
      </c>
      <c r="BI361" s="22" t="s">
        <v>23658</v>
      </c>
      <c r="BJ361" s="22" t="s">
        <v>145</v>
      </c>
      <c r="BK361" s="22" t="s">
        <v>70</v>
      </c>
      <c r="BL361" s="22" t="s">
        <v>67</v>
      </c>
      <c r="BN361" s="22" t="s">
        <v>23659</v>
      </c>
      <c r="BO361" s="22" t="s">
        <v>145</v>
      </c>
      <c r="BP361" s="22" t="s">
        <v>70</v>
      </c>
      <c r="BQ361" s="22" t="s">
        <v>67</v>
      </c>
      <c r="BS361" s="22" t="s">
        <v>23660</v>
      </c>
      <c r="BT361" s="22" t="s">
        <v>145</v>
      </c>
      <c r="BU361" s="22" t="s">
        <v>70</v>
      </c>
      <c r="BV361" s="214" t="s">
        <v>530</v>
      </c>
      <c r="BX361" s="22" t="s">
        <v>23661</v>
      </c>
      <c r="BY361" s="22" t="s">
        <v>145</v>
      </c>
      <c r="BZ361" s="22" t="s">
        <v>70</v>
      </c>
      <c r="CA361" s="214" t="s">
        <v>530</v>
      </c>
      <c r="CC361" s="214" t="s">
        <v>23662</v>
      </c>
      <c r="CD361" s="218" t="s">
        <v>34585</v>
      </c>
      <c r="CE361" s="214" t="s">
        <v>70</v>
      </c>
      <c r="CF361" s="214" t="s">
        <v>34167</v>
      </c>
      <c r="CH361" s="214" t="s">
        <v>23663</v>
      </c>
      <c r="CI361" s="214" t="s">
        <v>149</v>
      </c>
      <c r="CJ361" s="214" t="s">
        <v>70</v>
      </c>
      <c r="CK361" s="214" t="s">
        <v>530</v>
      </c>
      <c r="CM361" s="214" t="s">
        <v>23664</v>
      </c>
      <c r="CN361" s="214" t="s">
        <v>146</v>
      </c>
      <c r="CO361" s="214" t="s">
        <v>70</v>
      </c>
      <c r="CP361" s="214" t="s">
        <v>530</v>
      </c>
      <c r="CR361" s="214" t="s">
        <v>23665</v>
      </c>
      <c r="CS361" s="214" t="s">
        <v>34547</v>
      </c>
      <c r="CT361" s="214" t="s">
        <v>70</v>
      </c>
      <c r="CU361" s="214" t="s">
        <v>530</v>
      </c>
      <c r="CW361" s="214" t="s">
        <v>23666</v>
      </c>
      <c r="CX361" s="214" t="s">
        <v>488</v>
      </c>
      <c r="CY361" s="214" t="s">
        <v>70</v>
      </c>
      <c r="CZ361" s="214" t="s">
        <v>530</v>
      </c>
      <c r="DB361" s="214" t="s">
        <v>23667</v>
      </c>
      <c r="DC361" s="214" t="s">
        <v>34544</v>
      </c>
      <c r="DD361" s="214" t="s">
        <v>70</v>
      </c>
      <c r="DE361" s="214" t="s">
        <v>530</v>
      </c>
      <c r="DG361" s="214" t="s">
        <v>23668</v>
      </c>
      <c r="DH361" s="214" t="s">
        <v>93</v>
      </c>
      <c r="DI361" s="214" t="s">
        <v>70</v>
      </c>
      <c r="DJ361" s="214" t="s">
        <v>530</v>
      </c>
      <c r="DL361" s="214" t="s">
        <v>23669</v>
      </c>
      <c r="DM361" s="214" t="s">
        <v>487</v>
      </c>
      <c r="DN361" s="214" t="s">
        <v>70</v>
      </c>
      <c r="DO361" s="214" t="s">
        <v>530</v>
      </c>
      <c r="DQ361" s="214" t="s">
        <v>23670</v>
      </c>
      <c r="DR361" s="214" t="s">
        <v>34548</v>
      </c>
      <c r="DS361" s="214" t="s">
        <v>70</v>
      </c>
      <c r="DT361" s="214" t="s">
        <v>530</v>
      </c>
      <c r="DV361" s="214" t="s">
        <v>23671</v>
      </c>
      <c r="DW361" s="214" t="s">
        <v>937</v>
      </c>
      <c r="DX361" s="214" t="s">
        <v>70</v>
      </c>
      <c r="DY361" s="214" t="s">
        <v>530</v>
      </c>
      <c r="EA361" s="214" t="s">
        <v>23672</v>
      </c>
      <c r="EB361" s="214" t="s">
        <v>34602</v>
      </c>
      <c r="EC361" s="214" t="s">
        <v>70</v>
      </c>
      <c r="ED361" s="214" t="s">
        <v>530</v>
      </c>
      <c r="EF361" s="214" t="s">
        <v>23673</v>
      </c>
      <c r="EG361" s="214" t="s">
        <v>926</v>
      </c>
      <c r="EH361" s="214" t="s">
        <v>70</v>
      </c>
      <c r="EI361" s="214" t="s">
        <v>530</v>
      </c>
      <c r="EK361" s="214" t="s">
        <v>23674</v>
      </c>
      <c r="EL361" s="214" t="s">
        <v>491</v>
      </c>
      <c r="EM361" s="214" t="s">
        <v>70</v>
      </c>
      <c r="EN361" s="214" t="s">
        <v>530</v>
      </c>
      <c r="EP361" s="214" t="s">
        <v>23675</v>
      </c>
      <c r="EQ361" s="214" t="s">
        <v>468</v>
      </c>
      <c r="ER361" s="214" t="s">
        <v>70</v>
      </c>
      <c r="ES361" s="214" t="s">
        <v>530</v>
      </c>
      <c r="EU361" s="214" t="s">
        <v>23676</v>
      </c>
      <c r="EV361" s="214" t="s">
        <v>34558</v>
      </c>
      <c r="EW361" s="214" t="s">
        <v>70</v>
      </c>
      <c r="EX361" s="214" t="s">
        <v>530</v>
      </c>
      <c r="EZ361" s="214" t="s">
        <v>23677</v>
      </c>
      <c r="FA361" s="214" t="s">
        <v>501</v>
      </c>
      <c r="FB361" s="214" t="s">
        <v>70</v>
      </c>
      <c r="FC361" s="214" t="s">
        <v>530</v>
      </c>
      <c r="FE361" s="214" t="s">
        <v>23678</v>
      </c>
      <c r="FF361" s="214" t="s">
        <v>92</v>
      </c>
      <c r="FG361" s="214" t="s">
        <v>70</v>
      </c>
      <c r="FH361" s="214" t="s">
        <v>530</v>
      </c>
      <c r="FJ361" s="321" t="s">
        <v>23679</v>
      </c>
      <c r="FK361" s="214" t="s">
        <v>206</v>
      </c>
      <c r="FL361" s="214" t="s">
        <v>70</v>
      </c>
      <c r="FM361" s="214" t="s">
        <v>530</v>
      </c>
      <c r="FO361" s="321" t="s">
        <v>23680</v>
      </c>
      <c r="FP361" s="214" t="s">
        <v>34539</v>
      </c>
      <c r="FQ361" s="214" t="s">
        <v>70</v>
      </c>
      <c r="FR361" s="214" t="s">
        <v>530</v>
      </c>
      <c r="FT361" s="321" t="s">
        <v>23681</v>
      </c>
      <c r="FU361" s="214" t="s">
        <v>34587</v>
      </c>
      <c r="FV361" s="214" t="s">
        <v>70</v>
      </c>
      <c r="FW361" s="214" t="s">
        <v>530</v>
      </c>
      <c r="FY361" s="321" t="s">
        <v>23682</v>
      </c>
      <c r="FZ361" s="214" t="s">
        <v>482</v>
      </c>
      <c r="GA361" s="214" t="s">
        <v>70</v>
      </c>
      <c r="GB361" s="214" t="s">
        <v>530</v>
      </c>
      <c r="GD361" s="321" t="s">
        <v>23683</v>
      </c>
      <c r="GE361" s="214" t="s">
        <v>501</v>
      </c>
      <c r="GF361" s="214" t="s">
        <v>70</v>
      </c>
      <c r="GG361" s="214" t="s">
        <v>530</v>
      </c>
      <c r="GI361" s="321" t="s">
        <v>23684</v>
      </c>
      <c r="GJ361" s="214" t="s">
        <v>34541</v>
      </c>
      <c r="GK361" s="214" t="s">
        <v>70</v>
      </c>
      <c r="GL361" s="214" t="s">
        <v>530</v>
      </c>
      <c r="GN361" s="321" t="s">
        <v>23685</v>
      </c>
      <c r="GO361" s="214" t="s">
        <v>146</v>
      </c>
      <c r="GP361" s="214" t="s">
        <v>70</v>
      </c>
      <c r="GQ361" s="214" t="s">
        <v>530</v>
      </c>
      <c r="GS361" s="321" t="s">
        <v>23686</v>
      </c>
      <c r="GT361" s="214" t="s">
        <v>34542</v>
      </c>
      <c r="GU361" s="214" t="s">
        <v>70</v>
      </c>
      <c r="GV361" s="214" t="s">
        <v>530</v>
      </c>
      <c r="GX361" s="214" t="s">
        <v>23687</v>
      </c>
      <c r="GY361" s="214" t="s">
        <v>498</v>
      </c>
      <c r="GZ361" s="214" t="s">
        <v>70</v>
      </c>
      <c r="HA361" s="214" t="s">
        <v>530</v>
      </c>
      <c r="HC361" s="214" t="s">
        <v>23688</v>
      </c>
      <c r="HD361" s="214" t="s">
        <v>921</v>
      </c>
      <c r="HE361" s="214" t="s">
        <v>70</v>
      </c>
      <c r="HF361" s="214" t="s">
        <v>530</v>
      </c>
      <c r="HH361" s="214" t="s">
        <v>23689</v>
      </c>
      <c r="HI361" s="214" t="s">
        <v>486</v>
      </c>
      <c r="HJ361" s="214" t="s">
        <v>70</v>
      </c>
      <c r="HK361" s="214" t="s">
        <v>530</v>
      </c>
      <c r="HM361" s="214" t="s">
        <v>23690</v>
      </c>
      <c r="HN361" s="214" t="s">
        <v>488</v>
      </c>
      <c r="HO361" s="214" t="s">
        <v>70</v>
      </c>
      <c r="HP361" s="214" t="s">
        <v>530</v>
      </c>
      <c r="HR361" s="22" t="s">
        <v>23691</v>
      </c>
      <c r="HS361" s="22" t="s">
        <v>34556</v>
      </c>
      <c r="HT361" s="22" t="s">
        <v>70</v>
      </c>
      <c r="HU361" s="214" t="s">
        <v>530</v>
      </c>
      <c r="HW361" s="22" t="s">
        <v>23692</v>
      </c>
      <c r="HX361" s="22" t="s">
        <v>496</v>
      </c>
      <c r="HY361" s="22" t="s">
        <v>70</v>
      </c>
      <c r="HZ361" s="214" t="s">
        <v>530</v>
      </c>
      <c r="IB361" s="22" t="s">
        <v>23693</v>
      </c>
      <c r="IC361" s="22" t="s">
        <v>148</v>
      </c>
      <c r="ID361" s="22" t="s">
        <v>70</v>
      </c>
      <c r="IE361" s="214" t="s">
        <v>530</v>
      </c>
      <c r="IG361" s="22" t="s">
        <v>23694</v>
      </c>
      <c r="IH361" s="22" t="s">
        <v>52</v>
      </c>
      <c r="II361" s="22" t="s">
        <v>70</v>
      </c>
      <c r="IJ361" s="214" t="s">
        <v>530</v>
      </c>
      <c r="IL361" s="22" t="s">
        <v>23695</v>
      </c>
      <c r="IM361" s="22" t="s">
        <v>145</v>
      </c>
      <c r="IN361" s="22" t="s">
        <v>70</v>
      </c>
      <c r="IO361" s="214" t="s">
        <v>530</v>
      </c>
      <c r="IQ361" s="236" t="s">
        <v>23696</v>
      </c>
      <c r="IR361" s="236" t="s">
        <v>145</v>
      </c>
      <c r="IS361" s="236" t="s">
        <v>74</v>
      </c>
      <c r="IT361" s="236" t="s">
        <v>841</v>
      </c>
      <c r="IV361" s="236" t="s">
        <v>23697</v>
      </c>
      <c r="IW361" s="236" t="s">
        <v>145</v>
      </c>
      <c r="IX361" s="236" t="s">
        <v>74</v>
      </c>
      <c r="IY361" s="236" t="s">
        <v>841</v>
      </c>
      <c r="JA361" s="236" t="s">
        <v>23698</v>
      </c>
      <c r="JB361" s="236" t="s">
        <v>145</v>
      </c>
      <c r="JC361" s="236" t="s">
        <v>74</v>
      </c>
      <c r="JD361" s="236" t="s">
        <v>841</v>
      </c>
      <c r="JF361" s="236" t="s">
        <v>23699</v>
      </c>
      <c r="JG361" s="236" t="s">
        <v>145</v>
      </c>
      <c r="JH361" s="236" t="s">
        <v>74</v>
      </c>
      <c r="JI361" s="236" t="s">
        <v>841</v>
      </c>
      <c r="JK361" s="236" t="s">
        <v>23700</v>
      </c>
      <c r="JL361" s="236" t="s">
        <v>145</v>
      </c>
      <c r="JM361" s="236" t="s">
        <v>74</v>
      </c>
      <c r="JN361" s="236" t="s">
        <v>841</v>
      </c>
      <c r="JP361" s="236" t="s">
        <v>23701</v>
      </c>
      <c r="JQ361" s="236" t="s">
        <v>145</v>
      </c>
      <c r="JR361" s="236" t="s">
        <v>74</v>
      </c>
      <c r="JS361" s="236" t="s">
        <v>841</v>
      </c>
      <c r="JU361" s="294" t="s">
        <v>23702</v>
      </c>
      <c r="JV361" s="294" t="s">
        <v>52</v>
      </c>
      <c r="JW361" s="263" t="s">
        <v>70</v>
      </c>
      <c r="JX361" s="294" t="s">
        <v>1083</v>
      </c>
      <c r="JZ361" s="263" t="s">
        <v>23703</v>
      </c>
      <c r="KA361" s="263" t="s">
        <v>145</v>
      </c>
      <c r="KB361" s="263" t="s">
        <v>70</v>
      </c>
      <c r="KC361" s="263" t="s">
        <v>1083</v>
      </c>
      <c r="KE361" s="263" t="s">
        <v>23704</v>
      </c>
      <c r="KF361" s="263" t="s">
        <v>52</v>
      </c>
      <c r="KG361" s="263" t="s">
        <v>70</v>
      </c>
      <c r="KH361" s="263" t="s">
        <v>1083</v>
      </c>
      <c r="KJ361" s="263" t="s">
        <v>23705</v>
      </c>
      <c r="KK361" s="263" t="s">
        <v>52</v>
      </c>
      <c r="KL361" s="263" t="s">
        <v>74</v>
      </c>
      <c r="KM361" s="263" t="s">
        <v>34074</v>
      </c>
      <c r="KO361" s="214" t="s">
        <v>23706</v>
      </c>
      <c r="KP361" s="214" t="s">
        <v>145</v>
      </c>
      <c r="KQ361" s="214" t="s">
        <v>70</v>
      </c>
      <c r="KR361" s="214" t="s">
        <v>67</v>
      </c>
      <c r="KT361" s="22" t="s">
        <v>23707</v>
      </c>
      <c r="KU361" s="22" t="s">
        <v>145</v>
      </c>
      <c r="KV361" s="22" t="s">
        <v>70</v>
      </c>
      <c r="KW361" s="22" t="s">
        <v>67</v>
      </c>
      <c r="KY361" s="214" t="s">
        <v>23708</v>
      </c>
      <c r="KZ361" s="214" t="s">
        <v>52</v>
      </c>
      <c r="LA361" s="214" t="s">
        <v>74</v>
      </c>
      <c r="LB361" s="214" t="s">
        <v>67</v>
      </c>
      <c r="LD361" s="22" t="s">
        <v>23709</v>
      </c>
      <c r="LE361" s="22" t="s">
        <v>145</v>
      </c>
      <c r="LF361" s="22" t="s">
        <v>70</v>
      </c>
      <c r="LG361" s="22" t="s">
        <v>67</v>
      </c>
    </row>
    <row r="362" spans="1:319">
      <c r="A362" s="22" t="s">
        <v>23710</v>
      </c>
      <c r="B362" s="22" t="s">
        <v>145</v>
      </c>
      <c r="C362" s="22" t="s">
        <v>70</v>
      </c>
      <c r="D362" s="22" t="s">
        <v>67</v>
      </c>
      <c r="F362" s="99" t="s">
        <v>23711</v>
      </c>
      <c r="G362" s="22" t="s">
        <v>145</v>
      </c>
      <c r="H362" s="22" t="s">
        <v>70</v>
      </c>
      <c r="I362" s="22" t="s">
        <v>67</v>
      </c>
      <c r="K362" s="99" t="s">
        <v>23712</v>
      </c>
      <c r="L362" s="22" t="s">
        <v>145</v>
      </c>
      <c r="M362" s="22" t="s">
        <v>70</v>
      </c>
      <c r="N362" s="22" t="s">
        <v>67</v>
      </c>
      <c r="P362" s="230" t="s">
        <v>23713</v>
      </c>
      <c r="Q362" s="218" t="s">
        <v>145</v>
      </c>
      <c r="R362" s="218" t="s">
        <v>72</v>
      </c>
      <c r="S362" s="218" t="s">
        <v>33963</v>
      </c>
      <c r="U362" s="293" t="s">
        <v>23714</v>
      </c>
      <c r="V362" s="293" t="s">
        <v>145</v>
      </c>
      <c r="W362" s="293" t="s">
        <v>74</v>
      </c>
      <c r="X362" s="293" t="s">
        <v>656</v>
      </c>
      <c r="Z362" s="293" t="s">
        <v>23715</v>
      </c>
      <c r="AA362" s="293" t="s">
        <v>145</v>
      </c>
      <c r="AB362" s="293" t="s">
        <v>74</v>
      </c>
      <c r="AC362" s="293" t="s">
        <v>656</v>
      </c>
      <c r="AE362" s="293" t="s">
        <v>23716</v>
      </c>
      <c r="AF362" s="293" t="s">
        <v>145</v>
      </c>
      <c r="AG362" s="293" t="s">
        <v>74</v>
      </c>
      <c r="AH362" s="293" t="s">
        <v>656</v>
      </c>
      <c r="AJ362" s="293" t="s">
        <v>23717</v>
      </c>
      <c r="AK362" s="293" t="s">
        <v>145</v>
      </c>
      <c r="AL362" s="293" t="s">
        <v>74</v>
      </c>
      <c r="AM362" s="293" t="s">
        <v>656</v>
      </c>
      <c r="AO362" s="22" t="s">
        <v>23718</v>
      </c>
      <c r="AP362" s="22" t="s">
        <v>145</v>
      </c>
      <c r="AQ362" s="22" t="s">
        <v>70</v>
      </c>
      <c r="AR362" s="22" t="s">
        <v>67</v>
      </c>
      <c r="AT362" s="22" t="s">
        <v>23719</v>
      </c>
      <c r="AU362" s="22" t="s">
        <v>145</v>
      </c>
      <c r="AV362" s="22" t="s">
        <v>70</v>
      </c>
      <c r="AW362" s="22" t="s">
        <v>67</v>
      </c>
      <c r="AY362" s="22" t="s">
        <v>23720</v>
      </c>
      <c r="AZ362" s="22" t="s">
        <v>145</v>
      </c>
      <c r="BA362" s="22" t="s">
        <v>70</v>
      </c>
      <c r="BB362" s="22" t="s">
        <v>67</v>
      </c>
      <c r="BD362" s="22" t="s">
        <v>23721</v>
      </c>
      <c r="BE362" s="22" t="s">
        <v>145</v>
      </c>
      <c r="BF362" s="22" t="s">
        <v>70</v>
      </c>
      <c r="BG362" s="22" t="s">
        <v>67</v>
      </c>
      <c r="BI362" s="22" t="s">
        <v>23722</v>
      </c>
      <c r="BJ362" s="22" t="s">
        <v>145</v>
      </c>
      <c r="BK362" s="22" t="s">
        <v>70</v>
      </c>
      <c r="BL362" s="22" t="s">
        <v>67</v>
      </c>
      <c r="BN362" s="22" t="s">
        <v>23723</v>
      </c>
      <c r="BO362" s="22" t="s">
        <v>145</v>
      </c>
      <c r="BP362" s="22" t="s">
        <v>70</v>
      </c>
      <c r="BQ362" s="22" t="s">
        <v>67</v>
      </c>
      <c r="BS362" s="22" t="s">
        <v>23724</v>
      </c>
      <c r="BT362" s="22" t="s">
        <v>145</v>
      </c>
      <c r="BU362" s="22" t="s">
        <v>70</v>
      </c>
      <c r="BV362" s="214" t="s">
        <v>530</v>
      </c>
      <c r="BX362" s="22" t="s">
        <v>23725</v>
      </c>
      <c r="BY362" s="22" t="s">
        <v>145</v>
      </c>
      <c r="BZ362" s="22" t="s">
        <v>70</v>
      </c>
      <c r="CA362" s="214" t="s">
        <v>530</v>
      </c>
      <c r="CC362" s="214" t="s">
        <v>23726</v>
      </c>
      <c r="CD362" s="218" t="s">
        <v>481</v>
      </c>
      <c r="CE362" s="214" t="s">
        <v>70</v>
      </c>
      <c r="CF362" s="214" t="s">
        <v>34168</v>
      </c>
      <c r="CH362" s="214" t="s">
        <v>23727</v>
      </c>
      <c r="CI362" s="214" t="s">
        <v>950</v>
      </c>
      <c r="CJ362" s="214" t="s">
        <v>70</v>
      </c>
      <c r="CK362" s="214" t="s">
        <v>530</v>
      </c>
      <c r="CM362" s="214" t="s">
        <v>23728</v>
      </c>
      <c r="CN362" s="214" t="s">
        <v>85</v>
      </c>
      <c r="CO362" s="214" t="s">
        <v>70</v>
      </c>
      <c r="CP362" s="214" t="s">
        <v>530</v>
      </c>
      <c r="CR362" s="214" t="s">
        <v>23729</v>
      </c>
      <c r="CS362" s="214" t="s">
        <v>305</v>
      </c>
      <c r="CT362" s="214" t="s">
        <v>70</v>
      </c>
      <c r="CU362" s="214" t="s">
        <v>530</v>
      </c>
      <c r="CW362" s="214" t="s">
        <v>23730</v>
      </c>
      <c r="CX362" s="214" t="s">
        <v>52</v>
      </c>
      <c r="CY362" s="214" t="s">
        <v>70</v>
      </c>
      <c r="CZ362" s="214" t="s">
        <v>530</v>
      </c>
      <c r="DB362" s="214" t="s">
        <v>23731</v>
      </c>
      <c r="DC362" s="214" t="s">
        <v>468</v>
      </c>
      <c r="DD362" s="214" t="s">
        <v>70</v>
      </c>
      <c r="DE362" s="214" t="s">
        <v>530</v>
      </c>
      <c r="DG362" s="214" t="s">
        <v>23732</v>
      </c>
      <c r="DH362" s="214" t="s">
        <v>52</v>
      </c>
      <c r="DI362" s="214" t="s">
        <v>70</v>
      </c>
      <c r="DJ362" s="214" t="s">
        <v>530</v>
      </c>
      <c r="DL362" s="214" t="s">
        <v>23733</v>
      </c>
      <c r="DM362" s="214" t="s">
        <v>915</v>
      </c>
      <c r="DN362" s="214" t="s">
        <v>70</v>
      </c>
      <c r="DO362" s="214" t="s">
        <v>530</v>
      </c>
      <c r="DQ362" s="214" t="s">
        <v>23734</v>
      </c>
      <c r="DR362" s="214" t="s">
        <v>600</v>
      </c>
      <c r="DS362" s="214" t="s">
        <v>70</v>
      </c>
      <c r="DT362" s="214" t="s">
        <v>530</v>
      </c>
      <c r="DV362" s="214" t="s">
        <v>23735</v>
      </c>
      <c r="DW362" s="214" t="s">
        <v>85</v>
      </c>
      <c r="DX362" s="214" t="s">
        <v>70</v>
      </c>
      <c r="DY362" s="214" t="s">
        <v>530</v>
      </c>
      <c r="EA362" s="214" t="s">
        <v>23736</v>
      </c>
      <c r="EB362" s="214" t="s">
        <v>34570</v>
      </c>
      <c r="EC362" s="214" t="s">
        <v>70</v>
      </c>
      <c r="ED362" s="214" t="s">
        <v>530</v>
      </c>
      <c r="EF362" s="214" t="s">
        <v>23737</v>
      </c>
      <c r="EG362" s="214" t="s">
        <v>52</v>
      </c>
      <c r="EH362" s="214" t="s">
        <v>70</v>
      </c>
      <c r="EI362" s="214" t="s">
        <v>530</v>
      </c>
      <c r="EK362" s="214" t="s">
        <v>23738</v>
      </c>
      <c r="EL362" s="214" t="s">
        <v>52</v>
      </c>
      <c r="EM362" s="214" t="s">
        <v>70</v>
      </c>
      <c r="EN362" s="214" t="s">
        <v>530</v>
      </c>
      <c r="EP362" s="214" t="s">
        <v>23739</v>
      </c>
      <c r="EQ362" s="214" t="s">
        <v>88</v>
      </c>
      <c r="ER362" s="214" t="s">
        <v>70</v>
      </c>
      <c r="ES362" s="214" t="s">
        <v>530</v>
      </c>
      <c r="EU362" s="214" t="s">
        <v>23740</v>
      </c>
      <c r="EV362" s="214" t="s">
        <v>600</v>
      </c>
      <c r="EW362" s="214" t="s">
        <v>70</v>
      </c>
      <c r="EX362" s="214" t="s">
        <v>530</v>
      </c>
      <c r="EZ362" s="214" t="s">
        <v>23741</v>
      </c>
      <c r="FA362" s="214" t="s">
        <v>52</v>
      </c>
      <c r="FB362" s="214" t="s">
        <v>70</v>
      </c>
      <c r="FC362" s="214" t="s">
        <v>530</v>
      </c>
      <c r="FE362" s="214" t="s">
        <v>23742</v>
      </c>
      <c r="FF362" s="214" t="s">
        <v>497</v>
      </c>
      <c r="FG362" s="214" t="s">
        <v>70</v>
      </c>
      <c r="FH362" s="214" t="s">
        <v>530</v>
      </c>
      <c r="FJ362" s="321" t="s">
        <v>23743</v>
      </c>
      <c r="FK362" s="214" t="s">
        <v>163</v>
      </c>
      <c r="FL362" s="214" t="s">
        <v>70</v>
      </c>
      <c r="FM362" s="214" t="s">
        <v>530</v>
      </c>
      <c r="FO362" s="321" t="s">
        <v>23744</v>
      </c>
      <c r="FP362" s="214" t="s">
        <v>164</v>
      </c>
      <c r="FQ362" s="214" t="s">
        <v>70</v>
      </c>
      <c r="FR362" s="214" t="s">
        <v>530</v>
      </c>
      <c r="FT362" s="321" t="s">
        <v>23745</v>
      </c>
      <c r="FU362" s="214" t="s">
        <v>149</v>
      </c>
      <c r="FV362" s="214" t="s">
        <v>70</v>
      </c>
      <c r="FW362" s="214" t="s">
        <v>530</v>
      </c>
      <c r="FY362" s="321" t="s">
        <v>23746</v>
      </c>
      <c r="FZ362" s="214" t="s">
        <v>52</v>
      </c>
      <c r="GA362" s="214" t="s">
        <v>70</v>
      </c>
      <c r="GB362" s="214" t="s">
        <v>530</v>
      </c>
      <c r="GD362" s="321" t="s">
        <v>23747</v>
      </c>
      <c r="GE362" s="214" t="s">
        <v>34624</v>
      </c>
      <c r="GF362" s="214" t="s">
        <v>70</v>
      </c>
      <c r="GG362" s="214" t="s">
        <v>530</v>
      </c>
      <c r="GI362" s="321" t="s">
        <v>23748</v>
      </c>
      <c r="GJ362" s="214" t="s">
        <v>951</v>
      </c>
      <c r="GK362" s="214" t="s">
        <v>70</v>
      </c>
      <c r="GL362" s="214" t="s">
        <v>530</v>
      </c>
      <c r="GN362" s="321" t="s">
        <v>23749</v>
      </c>
      <c r="GO362" s="214" t="s">
        <v>34583</v>
      </c>
      <c r="GP362" s="214" t="s">
        <v>70</v>
      </c>
      <c r="GQ362" s="214" t="s">
        <v>530</v>
      </c>
      <c r="GS362" s="321" t="s">
        <v>23750</v>
      </c>
      <c r="GT362" s="214" t="s">
        <v>34629</v>
      </c>
      <c r="GU362" s="214" t="s">
        <v>70</v>
      </c>
      <c r="GV362" s="214" t="s">
        <v>530</v>
      </c>
      <c r="GX362" s="214" t="s">
        <v>23751</v>
      </c>
      <c r="GY362" s="214" t="s">
        <v>602</v>
      </c>
      <c r="GZ362" s="214" t="s">
        <v>70</v>
      </c>
      <c r="HA362" s="214" t="s">
        <v>530</v>
      </c>
      <c r="HC362" s="214" t="s">
        <v>23752</v>
      </c>
      <c r="HD362" s="214" t="s">
        <v>34545</v>
      </c>
      <c r="HE362" s="214" t="s">
        <v>70</v>
      </c>
      <c r="HF362" s="214" t="s">
        <v>530</v>
      </c>
      <c r="HH362" s="214" t="s">
        <v>23753</v>
      </c>
      <c r="HI362" s="214" t="s">
        <v>34610</v>
      </c>
      <c r="HJ362" s="214" t="s">
        <v>70</v>
      </c>
      <c r="HK362" s="214" t="s">
        <v>530</v>
      </c>
      <c r="HM362" s="214" t="s">
        <v>23754</v>
      </c>
      <c r="HN362" s="214" t="s">
        <v>468</v>
      </c>
      <c r="HO362" s="214" t="s">
        <v>70</v>
      </c>
      <c r="HP362" s="214" t="s">
        <v>530</v>
      </c>
      <c r="HR362" s="22" t="s">
        <v>23755</v>
      </c>
      <c r="HS362" s="22" t="s">
        <v>145</v>
      </c>
      <c r="HT362" s="22" t="s">
        <v>70</v>
      </c>
      <c r="HU362" s="214" t="s">
        <v>530</v>
      </c>
      <c r="HW362" s="22" t="s">
        <v>23756</v>
      </c>
      <c r="HX362" s="22" t="s">
        <v>52</v>
      </c>
      <c r="HY362" s="22" t="s">
        <v>70</v>
      </c>
      <c r="HZ362" s="214" t="s">
        <v>530</v>
      </c>
      <c r="IB362" s="22" t="s">
        <v>23757</v>
      </c>
      <c r="IC362" s="22" t="s">
        <v>52</v>
      </c>
      <c r="ID362" s="22" t="s">
        <v>70</v>
      </c>
      <c r="IE362" s="214" t="s">
        <v>530</v>
      </c>
      <c r="IG362" s="22" t="s">
        <v>23758</v>
      </c>
      <c r="IH362" s="22" t="s">
        <v>52</v>
      </c>
      <c r="II362" s="22" t="s">
        <v>70</v>
      </c>
      <c r="IJ362" s="214" t="s">
        <v>530</v>
      </c>
      <c r="IL362" s="22" t="s">
        <v>23759</v>
      </c>
      <c r="IM362" s="22" t="s">
        <v>145</v>
      </c>
      <c r="IN362" s="22" t="s">
        <v>70</v>
      </c>
      <c r="IO362" s="214" t="s">
        <v>530</v>
      </c>
      <c r="IQ362" s="236" t="s">
        <v>23760</v>
      </c>
      <c r="IR362" s="236" t="s">
        <v>145</v>
      </c>
      <c r="IS362" s="236" t="s">
        <v>74</v>
      </c>
      <c r="IT362" s="236" t="s">
        <v>841</v>
      </c>
      <c r="IV362" s="236" t="s">
        <v>23761</v>
      </c>
      <c r="IW362" s="236" t="s">
        <v>145</v>
      </c>
      <c r="IX362" s="236" t="s">
        <v>74</v>
      </c>
      <c r="IY362" s="236" t="s">
        <v>841</v>
      </c>
      <c r="JA362" s="236" t="s">
        <v>23762</v>
      </c>
      <c r="JB362" s="236" t="s">
        <v>145</v>
      </c>
      <c r="JC362" s="236" t="s">
        <v>74</v>
      </c>
      <c r="JD362" s="236" t="s">
        <v>841</v>
      </c>
      <c r="JF362" s="236" t="s">
        <v>23763</v>
      </c>
      <c r="JG362" s="236" t="s">
        <v>145</v>
      </c>
      <c r="JH362" s="236" t="s">
        <v>74</v>
      </c>
      <c r="JI362" s="236" t="s">
        <v>841</v>
      </c>
      <c r="JK362" s="236" t="s">
        <v>23764</v>
      </c>
      <c r="JL362" s="236" t="s">
        <v>145</v>
      </c>
      <c r="JM362" s="236" t="s">
        <v>74</v>
      </c>
      <c r="JN362" s="236" t="s">
        <v>841</v>
      </c>
      <c r="JP362" s="236" t="s">
        <v>23765</v>
      </c>
      <c r="JQ362" s="236" t="s">
        <v>145</v>
      </c>
      <c r="JR362" s="236" t="s">
        <v>74</v>
      </c>
      <c r="JS362" s="236" t="s">
        <v>841</v>
      </c>
      <c r="JU362" s="294" t="s">
        <v>23766</v>
      </c>
      <c r="JV362" s="294" t="s">
        <v>52</v>
      </c>
      <c r="JW362" s="263" t="s">
        <v>70</v>
      </c>
      <c r="JX362" s="294" t="s">
        <v>1083</v>
      </c>
      <c r="JZ362" s="263" t="s">
        <v>23767</v>
      </c>
      <c r="KA362" s="263" t="s">
        <v>145</v>
      </c>
      <c r="KB362" s="263" t="s">
        <v>70</v>
      </c>
      <c r="KC362" s="263" t="s">
        <v>1083</v>
      </c>
      <c r="KE362" s="263" t="s">
        <v>23768</v>
      </c>
      <c r="KF362" s="263" t="s">
        <v>52</v>
      </c>
      <c r="KG362" s="263" t="s">
        <v>70</v>
      </c>
      <c r="KH362" s="263" t="s">
        <v>1083</v>
      </c>
      <c r="KJ362" s="263" t="s">
        <v>23769</v>
      </c>
      <c r="KK362" s="263" t="s">
        <v>52</v>
      </c>
      <c r="KL362" s="263" t="s">
        <v>74</v>
      </c>
      <c r="KM362" s="263" t="s">
        <v>34074</v>
      </c>
      <c r="KO362" s="214" t="s">
        <v>23770</v>
      </c>
      <c r="KP362" s="214" t="s">
        <v>145</v>
      </c>
      <c r="KQ362" s="214" t="s">
        <v>70</v>
      </c>
      <c r="KR362" s="214" t="s">
        <v>67</v>
      </c>
      <c r="KT362" s="22" t="s">
        <v>23771</v>
      </c>
      <c r="KU362" s="22" t="s">
        <v>145</v>
      </c>
      <c r="KV362" s="22" t="s">
        <v>70</v>
      </c>
      <c r="KW362" s="22" t="s">
        <v>67</v>
      </c>
      <c r="KY362" s="214" t="s">
        <v>23772</v>
      </c>
      <c r="KZ362" s="214" t="s">
        <v>52</v>
      </c>
      <c r="LA362" s="214" t="s">
        <v>74</v>
      </c>
      <c r="LB362" s="214" t="s">
        <v>67</v>
      </c>
      <c r="LD362" s="22" t="s">
        <v>23773</v>
      </c>
      <c r="LE362" s="22" t="s">
        <v>145</v>
      </c>
      <c r="LF362" s="22" t="s">
        <v>70</v>
      </c>
      <c r="LG362" s="22" t="s">
        <v>67</v>
      </c>
    </row>
    <row r="363" spans="1:319">
      <c r="A363" s="22" t="s">
        <v>23774</v>
      </c>
      <c r="B363" s="22" t="s">
        <v>145</v>
      </c>
      <c r="C363" s="22" t="s">
        <v>70</v>
      </c>
      <c r="D363" s="22" t="s">
        <v>67</v>
      </c>
      <c r="F363" s="99" t="s">
        <v>23775</v>
      </c>
      <c r="G363" s="22" t="s">
        <v>145</v>
      </c>
      <c r="H363" s="22" t="s">
        <v>70</v>
      </c>
      <c r="I363" s="22" t="s">
        <v>67</v>
      </c>
      <c r="K363" s="99" t="s">
        <v>23776</v>
      </c>
      <c r="L363" s="22" t="s">
        <v>145</v>
      </c>
      <c r="M363" s="22" t="s">
        <v>70</v>
      </c>
      <c r="N363" s="22" t="s">
        <v>67</v>
      </c>
      <c r="P363" s="230" t="s">
        <v>23777</v>
      </c>
      <c r="Q363" s="218" t="s">
        <v>145</v>
      </c>
      <c r="R363" s="218" t="s">
        <v>72</v>
      </c>
      <c r="S363" s="218" t="s">
        <v>33964</v>
      </c>
      <c r="U363" s="293" t="s">
        <v>23778</v>
      </c>
      <c r="V363" s="293" t="s">
        <v>145</v>
      </c>
      <c r="W363" s="293" t="s">
        <v>74</v>
      </c>
      <c r="X363" s="293" t="s">
        <v>656</v>
      </c>
      <c r="Z363" s="293" t="s">
        <v>23779</v>
      </c>
      <c r="AA363" s="293" t="s">
        <v>145</v>
      </c>
      <c r="AB363" s="293" t="s">
        <v>74</v>
      </c>
      <c r="AC363" s="293" t="s">
        <v>656</v>
      </c>
      <c r="AE363" s="293" t="s">
        <v>23780</v>
      </c>
      <c r="AF363" s="293" t="s">
        <v>145</v>
      </c>
      <c r="AG363" s="293" t="s">
        <v>74</v>
      </c>
      <c r="AH363" s="293" t="s">
        <v>656</v>
      </c>
      <c r="AJ363" s="293" t="s">
        <v>23781</v>
      </c>
      <c r="AK363" s="293" t="s">
        <v>145</v>
      </c>
      <c r="AL363" s="293" t="s">
        <v>74</v>
      </c>
      <c r="AM363" s="293" t="s">
        <v>656</v>
      </c>
      <c r="AO363" s="22" t="s">
        <v>23782</v>
      </c>
      <c r="AP363" s="22" t="s">
        <v>145</v>
      </c>
      <c r="AQ363" s="22" t="s">
        <v>70</v>
      </c>
      <c r="AR363" s="22" t="s">
        <v>67</v>
      </c>
      <c r="AT363" s="22" t="s">
        <v>23783</v>
      </c>
      <c r="AU363" s="22" t="s">
        <v>145</v>
      </c>
      <c r="AV363" s="22" t="s">
        <v>70</v>
      </c>
      <c r="AW363" s="22" t="s">
        <v>67</v>
      </c>
      <c r="AY363" s="22" t="s">
        <v>23784</v>
      </c>
      <c r="AZ363" s="22" t="s">
        <v>145</v>
      </c>
      <c r="BA363" s="22" t="s">
        <v>70</v>
      </c>
      <c r="BB363" s="22" t="s">
        <v>67</v>
      </c>
      <c r="BD363" s="22" t="s">
        <v>23785</v>
      </c>
      <c r="BE363" s="22" t="s">
        <v>145</v>
      </c>
      <c r="BF363" s="22" t="s">
        <v>70</v>
      </c>
      <c r="BG363" s="22" t="s">
        <v>67</v>
      </c>
      <c r="BI363" s="22" t="s">
        <v>23786</v>
      </c>
      <c r="BJ363" s="22" t="s">
        <v>145</v>
      </c>
      <c r="BK363" s="22" t="s">
        <v>70</v>
      </c>
      <c r="BL363" s="22" t="s">
        <v>67</v>
      </c>
      <c r="BN363" s="22" t="s">
        <v>23787</v>
      </c>
      <c r="BO363" s="22" t="s">
        <v>145</v>
      </c>
      <c r="BP363" s="22" t="s">
        <v>70</v>
      </c>
      <c r="BQ363" s="22" t="s">
        <v>67</v>
      </c>
      <c r="BS363" s="22" t="s">
        <v>23788</v>
      </c>
      <c r="BT363" s="22" t="s">
        <v>145</v>
      </c>
      <c r="BU363" s="22" t="s">
        <v>70</v>
      </c>
      <c r="BV363" s="214" t="s">
        <v>530</v>
      </c>
      <c r="BX363" s="22" t="s">
        <v>23789</v>
      </c>
      <c r="BY363" s="22" t="s">
        <v>145</v>
      </c>
      <c r="BZ363" s="22" t="s">
        <v>70</v>
      </c>
      <c r="CA363" s="214" t="s">
        <v>530</v>
      </c>
      <c r="CC363" s="214" t="s">
        <v>23790</v>
      </c>
      <c r="CD363" s="218" t="s">
        <v>487</v>
      </c>
      <c r="CE363" s="214" t="s">
        <v>70</v>
      </c>
      <c r="CF363" s="214" t="s">
        <v>34169</v>
      </c>
      <c r="CH363" s="214" t="s">
        <v>23791</v>
      </c>
      <c r="CI363" s="214" t="s">
        <v>486</v>
      </c>
      <c r="CJ363" s="214" t="s">
        <v>70</v>
      </c>
      <c r="CK363" s="214" t="s">
        <v>530</v>
      </c>
      <c r="CM363" s="214" t="s">
        <v>23792</v>
      </c>
      <c r="CN363" s="214" t="s">
        <v>485</v>
      </c>
      <c r="CO363" s="214" t="s">
        <v>70</v>
      </c>
      <c r="CP363" s="214" t="s">
        <v>530</v>
      </c>
      <c r="CR363" s="214" t="s">
        <v>23793</v>
      </c>
      <c r="CS363" s="214" t="s">
        <v>34566</v>
      </c>
      <c r="CT363" s="214" t="s">
        <v>70</v>
      </c>
      <c r="CU363" s="214" t="s">
        <v>530</v>
      </c>
      <c r="CW363" s="214" t="s">
        <v>23794</v>
      </c>
      <c r="CX363" s="214" t="s">
        <v>955</v>
      </c>
      <c r="CY363" s="214" t="s">
        <v>70</v>
      </c>
      <c r="CZ363" s="214" t="s">
        <v>530</v>
      </c>
      <c r="DB363" s="214" t="s">
        <v>23795</v>
      </c>
      <c r="DC363" s="214" t="s">
        <v>484</v>
      </c>
      <c r="DD363" s="214" t="s">
        <v>70</v>
      </c>
      <c r="DE363" s="214" t="s">
        <v>530</v>
      </c>
      <c r="DG363" s="214" t="s">
        <v>23796</v>
      </c>
      <c r="DH363" s="214" t="s">
        <v>203</v>
      </c>
      <c r="DI363" s="214" t="s">
        <v>70</v>
      </c>
      <c r="DJ363" s="214" t="s">
        <v>530</v>
      </c>
      <c r="DL363" s="214" t="s">
        <v>23797</v>
      </c>
      <c r="DM363" s="214" t="s">
        <v>492</v>
      </c>
      <c r="DN363" s="214" t="s">
        <v>70</v>
      </c>
      <c r="DO363" s="214" t="s">
        <v>530</v>
      </c>
      <c r="DQ363" s="214" t="s">
        <v>23798</v>
      </c>
      <c r="DR363" s="214" t="s">
        <v>87</v>
      </c>
      <c r="DS363" s="214" t="s">
        <v>70</v>
      </c>
      <c r="DT363" s="214" t="s">
        <v>530</v>
      </c>
      <c r="DV363" s="214" t="s">
        <v>23799</v>
      </c>
      <c r="DW363" s="214" t="s">
        <v>955</v>
      </c>
      <c r="DX363" s="214" t="s">
        <v>70</v>
      </c>
      <c r="DY363" s="214" t="s">
        <v>530</v>
      </c>
      <c r="EA363" s="214" t="s">
        <v>23800</v>
      </c>
      <c r="EB363" s="214" t="s">
        <v>34539</v>
      </c>
      <c r="EC363" s="214" t="s">
        <v>70</v>
      </c>
      <c r="ED363" s="214" t="s">
        <v>530</v>
      </c>
      <c r="EF363" s="214" t="s">
        <v>23801</v>
      </c>
      <c r="EG363" s="214" t="s">
        <v>206</v>
      </c>
      <c r="EH363" s="214" t="s">
        <v>70</v>
      </c>
      <c r="EI363" s="214" t="s">
        <v>530</v>
      </c>
      <c r="EK363" s="214" t="s">
        <v>23802</v>
      </c>
      <c r="EL363" s="214" t="s">
        <v>484</v>
      </c>
      <c r="EM363" s="214" t="s">
        <v>70</v>
      </c>
      <c r="EN363" s="214" t="s">
        <v>530</v>
      </c>
      <c r="EP363" s="214" t="s">
        <v>23803</v>
      </c>
      <c r="EQ363" s="214" t="s">
        <v>34558</v>
      </c>
      <c r="ER363" s="214" t="s">
        <v>70</v>
      </c>
      <c r="ES363" s="214" t="s">
        <v>530</v>
      </c>
      <c r="EU363" s="214" t="s">
        <v>23804</v>
      </c>
      <c r="EV363" s="214" t="s">
        <v>598</v>
      </c>
      <c r="EW363" s="214" t="s">
        <v>70</v>
      </c>
      <c r="EX363" s="214" t="s">
        <v>530</v>
      </c>
      <c r="EZ363" s="214" t="s">
        <v>23805</v>
      </c>
      <c r="FA363" s="214" t="s">
        <v>34551</v>
      </c>
      <c r="FB363" s="214" t="s">
        <v>70</v>
      </c>
      <c r="FC363" s="214" t="s">
        <v>530</v>
      </c>
      <c r="FE363" s="214" t="s">
        <v>23806</v>
      </c>
      <c r="FF363" s="214" t="s">
        <v>146</v>
      </c>
      <c r="FG363" s="214" t="s">
        <v>70</v>
      </c>
      <c r="FH363" s="214" t="s">
        <v>530</v>
      </c>
      <c r="FJ363" s="321" t="s">
        <v>23807</v>
      </c>
      <c r="FK363" s="214" t="s">
        <v>485</v>
      </c>
      <c r="FL363" s="214" t="s">
        <v>70</v>
      </c>
      <c r="FM363" s="214" t="s">
        <v>530</v>
      </c>
      <c r="FO363" s="321" t="s">
        <v>23808</v>
      </c>
      <c r="FP363" s="214" t="s">
        <v>502</v>
      </c>
      <c r="FQ363" s="214" t="s">
        <v>70</v>
      </c>
      <c r="FR363" s="214" t="s">
        <v>530</v>
      </c>
      <c r="FT363" s="321" t="s">
        <v>23809</v>
      </c>
      <c r="FU363" s="214" t="s">
        <v>34558</v>
      </c>
      <c r="FV363" s="214" t="s">
        <v>70</v>
      </c>
      <c r="FW363" s="214" t="s">
        <v>530</v>
      </c>
      <c r="FY363" s="321" t="s">
        <v>23810</v>
      </c>
      <c r="FZ363" s="214" t="s">
        <v>919</v>
      </c>
      <c r="GA363" s="214" t="s">
        <v>70</v>
      </c>
      <c r="GB363" s="214" t="s">
        <v>530</v>
      </c>
      <c r="GD363" s="321" t="s">
        <v>23811</v>
      </c>
      <c r="GE363" s="214" t="s">
        <v>34542</v>
      </c>
      <c r="GF363" s="214" t="s">
        <v>70</v>
      </c>
      <c r="GG363" s="214" t="s">
        <v>530</v>
      </c>
      <c r="GI363" s="321" t="s">
        <v>23812</v>
      </c>
      <c r="GJ363" s="214" t="s">
        <v>145</v>
      </c>
      <c r="GK363" s="214" t="s">
        <v>70</v>
      </c>
      <c r="GL363" s="214" t="s">
        <v>530</v>
      </c>
      <c r="GN363" s="321" t="s">
        <v>23813</v>
      </c>
      <c r="GO363" s="214" t="s">
        <v>486</v>
      </c>
      <c r="GP363" s="214" t="s">
        <v>70</v>
      </c>
      <c r="GQ363" s="214" t="s">
        <v>530</v>
      </c>
      <c r="GS363" s="321" t="s">
        <v>23814</v>
      </c>
      <c r="GT363" s="214" t="s">
        <v>491</v>
      </c>
      <c r="GU363" s="214" t="s">
        <v>70</v>
      </c>
      <c r="GV363" s="214" t="s">
        <v>530</v>
      </c>
      <c r="GX363" s="214" t="s">
        <v>23815</v>
      </c>
      <c r="GY363" s="214" t="s">
        <v>146</v>
      </c>
      <c r="GZ363" s="214" t="s">
        <v>70</v>
      </c>
      <c r="HA363" s="214" t="s">
        <v>530</v>
      </c>
      <c r="HC363" s="214" t="s">
        <v>23816</v>
      </c>
      <c r="HD363" s="214" t="s">
        <v>34551</v>
      </c>
      <c r="HE363" s="214" t="s">
        <v>70</v>
      </c>
      <c r="HF363" s="214" t="s">
        <v>530</v>
      </c>
      <c r="HH363" s="214" t="s">
        <v>23817</v>
      </c>
      <c r="HI363" s="214" t="s">
        <v>486</v>
      </c>
      <c r="HJ363" s="214" t="s">
        <v>70</v>
      </c>
      <c r="HK363" s="214" t="s">
        <v>530</v>
      </c>
      <c r="HM363" s="214" t="s">
        <v>23818</v>
      </c>
      <c r="HN363" s="214" t="s">
        <v>468</v>
      </c>
      <c r="HO363" s="214" t="s">
        <v>70</v>
      </c>
      <c r="HP363" s="214" t="s">
        <v>530</v>
      </c>
      <c r="HR363" s="22" t="s">
        <v>23819</v>
      </c>
      <c r="HS363" s="22" t="s">
        <v>145</v>
      </c>
      <c r="HT363" s="22" t="s">
        <v>70</v>
      </c>
      <c r="HU363" s="214" t="s">
        <v>530</v>
      </c>
      <c r="HW363" s="22" t="s">
        <v>23820</v>
      </c>
      <c r="HX363" s="22" t="s">
        <v>52</v>
      </c>
      <c r="HY363" s="22" t="s">
        <v>70</v>
      </c>
      <c r="HZ363" s="214" t="s">
        <v>530</v>
      </c>
      <c r="IB363" s="22" t="s">
        <v>23821</v>
      </c>
      <c r="IC363" s="22" t="s">
        <v>148</v>
      </c>
      <c r="ID363" s="22" t="s">
        <v>70</v>
      </c>
      <c r="IE363" s="214" t="s">
        <v>530</v>
      </c>
      <c r="IG363" s="22" t="s">
        <v>23822</v>
      </c>
      <c r="IH363" s="22" t="s">
        <v>52</v>
      </c>
      <c r="II363" s="22" t="s">
        <v>70</v>
      </c>
      <c r="IJ363" s="214" t="s">
        <v>530</v>
      </c>
      <c r="IL363" s="22" t="s">
        <v>23823</v>
      </c>
      <c r="IM363" s="22" t="s">
        <v>145</v>
      </c>
      <c r="IN363" s="22" t="s">
        <v>70</v>
      </c>
      <c r="IO363" s="214" t="s">
        <v>530</v>
      </c>
      <c r="IQ363" s="236" t="s">
        <v>23824</v>
      </c>
      <c r="IR363" s="236" t="s">
        <v>145</v>
      </c>
      <c r="IS363" s="236" t="s">
        <v>74</v>
      </c>
      <c r="IT363" s="236" t="s">
        <v>841</v>
      </c>
      <c r="IV363" s="236" t="s">
        <v>23825</v>
      </c>
      <c r="IW363" s="236" t="s">
        <v>145</v>
      </c>
      <c r="IX363" s="236" t="s">
        <v>74</v>
      </c>
      <c r="IY363" s="236" t="s">
        <v>841</v>
      </c>
      <c r="JA363" s="236" t="s">
        <v>23826</v>
      </c>
      <c r="JB363" s="236" t="s">
        <v>145</v>
      </c>
      <c r="JC363" s="236" t="s">
        <v>74</v>
      </c>
      <c r="JD363" s="236" t="s">
        <v>841</v>
      </c>
      <c r="JF363" s="236" t="s">
        <v>23827</v>
      </c>
      <c r="JG363" s="236" t="s">
        <v>145</v>
      </c>
      <c r="JH363" s="236" t="s">
        <v>74</v>
      </c>
      <c r="JI363" s="236" t="s">
        <v>841</v>
      </c>
      <c r="JK363" s="236" t="s">
        <v>23828</v>
      </c>
      <c r="JL363" s="236" t="s">
        <v>145</v>
      </c>
      <c r="JM363" s="236" t="s">
        <v>74</v>
      </c>
      <c r="JN363" s="236" t="s">
        <v>841</v>
      </c>
      <c r="JP363" s="236" t="s">
        <v>23829</v>
      </c>
      <c r="JQ363" s="236" t="s">
        <v>145</v>
      </c>
      <c r="JR363" s="236" t="s">
        <v>74</v>
      </c>
      <c r="JS363" s="236" t="s">
        <v>841</v>
      </c>
      <c r="JU363" s="294" t="s">
        <v>23830</v>
      </c>
      <c r="JV363" s="294" t="s">
        <v>52</v>
      </c>
      <c r="JW363" s="263" t="s">
        <v>70</v>
      </c>
      <c r="JX363" s="294" t="s">
        <v>1083</v>
      </c>
      <c r="JZ363" s="263" t="s">
        <v>23831</v>
      </c>
      <c r="KA363" s="263" t="s">
        <v>145</v>
      </c>
      <c r="KB363" s="263" t="s">
        <v>70</v>
      </c>
      <c r="KC363" s="263" t="s">
        <v>1083</v>
      </c>
      <c r="KE363" s="263" t="s">
        <v>23832</v>
      </c>
      <c r="KF363" s="263" t="s">
        <v>52</v>
      </c>
      <c r="KG363" s="263" t="s">
        <v>70</v>
      </c>
      <c r="KH363" s="263" t="s">
        <v>1083</v>
      </c>
      <c r="KJ363" s="263" t="s">
        <v>23833</v>
      </c>
      <c r="KK363" s="263" t="s">
        <v>52</v>
      </c>
      <c r="KL363" s="263" t="s">
        <v>74</v>
      </c>
      <c r="KM363" s="263" t="s">
        <v>34074</v>
      </c>
      <c r="KO363" s="214" t="s">
        <v>23834</v>
      </c>
      <c r="KP363" s="214" t="s">
        <v>145</v>
      </c>
      <c r="KQ363" s="214" t="s">
        <v>70</v>
      </c>
      <c r="KR363" s="214" t="s">
        <v>67</v>
      </c>
      <c r="KT363" s="22" t="s">
        <v>23835</v>
      </c>
      <c r="KU363" s="22" t="s">
        <v>145</v>
      </c>
      <c r="KV363" s="22" t="s">
        <v>70</v>
      </c>
      <c r="KW363" s="22" t="s">
        <v>67</v>
      </c>
      <c r="KY363" s="214" t="s">
        <v>23836</v>
      </c>
      <c r="KZ363" s="214" t="s">
        <v>52</v>
      </c>
      <c r="LA363" s="214" t="s">
        <v>74</v>
      </c>
      <c r="LB363" s="214" t="s">
        <v>67</v>
      </c>
      <c r="LD363" s="22" t="s">
        <v>23837</v>
      </c>
      <c r="LE363" s="22" t="s">
        <v>145</v>
      </c>
      <c r="LF363" s="22" t="s">
        <v>70</v>
      </c>
      <c r="LG363" s="22" t="s">
        <v>67</v>
      </c>
    </row>
    <row r="364" spans="1:319">
      <c r="A364" s="22" t="s">
        <v>23838</v>
      </c>
      <c r="B364" s="22" t="s">
        <v>145</v>
      </c>
      <c r="C364" s="22" t="s">
        <v>70</v>
      </c>
      <c r="D364" s="22" t="s">
        <v>67</v>
      </c>
      <c r="F364" s="99" t="s">
        <v>23839</v>
      </c>
      <c r="G364" s="22" t="s">
        <v>145</v>
      </c>
      <c r="H364" s="22" t="s">
        <v>70</v>
      </c>
      <c r="I364" s="22" t="s">
        <v>67</v>
      </c>
      <c r="K364" s="99" t="s">
        <v>23840</v>
      </c>
      <c r="L364" s="22" t="s">
        <v>145</v>
      </c>
      <c r="M364" s="22" t="s">
        <v>70</v>
      </c>
      <c r="N364" s="22" t="s">
        <v>67</v>
      </c>
      <c r="P364" s="230" t="s">
        <v>23841</v>
      </c>
      <c r="Q364" s="218" t="s">
        <v>145</v>
      </c>
      <c r="R364" s="218" t="s">
        <v>72</v>
      </c>
      <c r="S364" s="218" t="s">
        <v>33965</v>
      </c>
      <c r="U364" s="293" t="s">
        <v>23842</v>
      </c>
      <c r="V364" s="293" t="s">
        <v>145</v>
      </c>
      <c r="W364" s="293" t="s">
        <v>74</v>
      </c>
      <c r="X364" s="293" t="s">
        <v>656</v>
      </c>
      <c r="Z364" s="293" t="s">
        <v>23843</v>
      </c>
      <c r="AA364" s="293" t="s">
        <v>145</v>
      </c>
      <c r="AB364" s="293" t="s">
        <v>74</v>
      </c>
      <c r="AC364" s="293" t="s">
        <v>656</v>
      </c>
      <c r="AE364" s="293" t="s">
        <v>23844</v>
      </c>
      <c r="AF364" s="293" t="s">
        <v>145</v>
      </c>
      <c r="AG364" s="293" t="s">
        <v>74</v>
      </c>
      <c r="AH364" s="293" t="s">
        <v>656</v>
      </c>
      <c r="AJ364" s="293" t="s">
        <v>23845</v>
      </c>
      <c r="AK364" s="293" t="s">
        <v>145</v>
      </c>
      <c r="AL364" s="293" t="s">
        <v>74</v>
      </c>
      <c r="AM364" s="293" t="s">
        <v>656</v>
      </c>
      <c r="AO364" s="22" t="s">
        <v>23846</v>
      </c>
      <c r="AP364" s="22" t="s">
        <v>145</v>
      </c>
      <c r="AQ364" s="22" t="s">
        <v>70</v>
      </c>
      <c r="AR364" s="22" t="s">
        <v>67</v>
      </c>
      <c r="AT364" s="22" t="s">
        <v>23847</v>
      </c>
      <c r="AU364" s="22" t="s">
        <v>145</v>
      </c>
      <c r="AV364" s="22" t="s">
        <v>70</v>
      </c>
      <c r="AW364" s="22" t="s">
        <v>67</v>
      </c>
      <c r="AY364" s="22" t="s">
        <v>23848</v>
      </c>
      <c r="AZ364" s="22" t="s">
        <v>145</v>
      </c>
      <c r="BA364" s="22" t="s">
        <v>70</v>
      </c>
      <c r="BB364" s="22" t="s">
        <v>67</v>
      </c>
      <c r="BD364" s="22" t="s">
        <v>23849</v>
      </c>
      <c r="BE364" s="22" t="s">
        <v>145</v>
      </c>
      <c r="BF364" s="22" t="s">
        <v>70</v>
      </c>
      <c r="BG364" s="22" t="s">
        <v>67</v>
      </c>
      <c r="BI364" s="22" t="s">
        <v>23850</v>
      </c>
      <c r="BJ364" s="22" t="s">
        <v>145</v>
      </c>
      <c r="BK364" s="22" t="s">
        <v>70</v>
      </c>
      <c r="BL364" s="22" t="s">
        <v>67</v>
      </c>
      <c r="BN364" s="22" t="s">
        <v>23851</v>
      </c>
      <c r="BO364" s="22" t="s">
        <v>145</v>
      </c>
      <c r="BP364" s="22" t="s">
        <v>70</v>
      </c>
      <c r="BQ364" s="22" t="s">
        <v>67</v>
      </c>
      <c r="BS364" s="22" t="s">
        <v>23852</v>
      </c>
      <c r="BT364" s="22" t="s">
        <v>145</v>
      </c>
      <c r="BU364" s="22" t="s">
        <v>70</v>
      </c>
      <c r="BV364" s="214" t="s">
        <v>530</v>
      </c>
      <c r="BX364" s="22" t="s">
        <v>23853</v>
      </c>
      <c r="BY364" s="22" t="s">
        <v>145</v>
      </c>
      <c r="BZ364" s="22" t="s">
        <v>70</v>
      </c>
      <c r="CA364" s="214" t="s">
        <v>530</v>
      </c>
      <c r="CC364" s="214" t="s">
        <v>23854</v>
      </c>
      <c r="CD364" s="218" t="s">
        <v>34553</v>
      </c>
      <c r="CE364" s="214" t="s">
        <v>70</v>
      </c>
      <c r="CF364" s="214" t="s">
        <v>34170</v>
      </c>
      <c r="CH364" s="214" t="s">
        <v>23855</v>
      </c>
      <c r="CI364" s="214" t="s">
        <v>88</v>
      </c>
      <c r="CJ364" s="214" t="s">
        <v>70</v>
      </c>
      <c r="CK364" s="214" t="s">
        <v>530</v>
      </c>
      <c r="CM364" s="214" t="s">
        <v>23856</v>
      </c>
      <c r="CN364" s="214" t="s">
        <v>34545</v>
      </c>
      <c r="CO364" s="214" t="s">
        <v>70</v>
      </c>
      <c r="CP364" s="214" t="s">
        <v>530</v>
      </c>
      <c r="CR364" s="214" t="s">
        <v>23857</v>
      </c>
      <c r="CS364" s="214" t="s">
        <v>924</v>
      </c>
      <c r="CT364" s="214" t="s">
        <v>70</v>
      </c>
      <c r="CU364" s="214" t="s">
        <v>530</v>
      </c>
      <c r="CW364" s="214" t="s">
        <v>23858</v>
      </c>
      <c r="CX364" s="214" t="s">
        <v>34617</v>
      </c>
      <c r="CY364" s="214" t="s">
        <v>70</v>
      </c>
      <c r="CZ364" s="214" t="s">
        <v>530</v>
      </c>
      <c r="DB364" s="214" t="s">
        <v>23859</v>
      </c>
      <c r="DC364" s="214" t="s">
        <v>485</v>
      </c>
      <c r="DD364" s="214" t="s">
        <v>70</v>
      </c>
      <c r="DE364" s="214" t="s">
        <v>530</v>
      </c>
      <c r="DG364" s="214" t="s">
        <v>23860</v>
      </c>
      <c r="DH364" s="214" t="s">
        <v>34650</v>
      </c>
      <c r="DI364" s="214" t="s">
        <v>70</v>
      </c>
      <c r="DJ364" s="214" t="s">
        <v>530</v>
      </c>
      <c r="DL364" s="214" t="s">
        <v>23861</v>
      </c>
      <c r="DM364" s="214" t="s">
        <v>34557</v>
      </c>
      <c r="DN364" s="214" t="s">
        <v>70</v>
      </c>
      <c r="DO364" s="214" t="s">
        <v>530</v>
      </c>
      <c r="DQ364" s="214" t="s">
        <v>23862</v>
      </c>
      <c r="DR364" s="214" t="s">
        <v>915</v>
      </c>
      <c r="DS364" s="214" t="s">
        <v>70</v>
      </c>
      <c r="DT364" s="214" t="s">
        <v>530</v>
      </c>
      <c r="DV364" s="214" t="s">
        <v>23863</v>
      </c>
      <c r="DW364" s="214" t="s">
        <v>34599</v>
      </c>
      <c r="DX364" s="214" t="s">
        <v>70</v>
      </c>
      <c r="DY364" s="214" t="s">
        <v>530</v>
      </c>
      <c r="EA364" s="214" t="s">
        <v>23864</v>
      </c>
      <c r="EB364" s="214" t="s">
        <v>34645</v>
      </c>
      <c r="EC364" s="214" t="s">
        <v>70</v>
      </c>
      <c r="ED364" s="214" t="s">
        <v>530</v>
      </c>
      <c r="EF364" s="214" t="s">
        <v>23865</v>
      </c>
      <c r="EG364" s="214" t="s">
        <v>52</v>
      </c>
      <c r="EH364" s="214" t="s">
        <v>70</v>
      </c>
      <c r="EI364" s="214" t="s">
        <v>530</v>
      </c>
      <c r="EK364" s="214" t="s">
        <v>23866</v>
      </c>
      <c r="EL364" s="214" t="s">
        <v>164</v>
      </c>
      <c r="EM364" s="214" t="s">
        <v>70</v>
      </c>
      <c r="EN364" s="214" t="s">
        <v>530</v>
      </c>
      <c r="EP364" s="214" t="s">
        <v>23867</v>
      </c>
      <c r="EQ364" s="214" t="s">
        <v>148</v>
      </c>
      <c r="ER364" s="214" t="s">
        <v>70</v>
      </c>
      <c r="ES364" s="214" t="s">
        <v>530</v>
      </c>
      <c r="EU364" s="214" t="s">
        <v>23868</v>
      </c>
      <c r="EV364" s="214" t="s">
        <v>148</v>
      </c>
      <c r="EW364" s="214" t="s">
        <v>70</v>
      </c>
      <c r="EX364" s="214" t="s">
        <v>530</v>
      </c>
      <c r="EZ364" s="214" t="s">
        <v>23869</v>
      </c>
      <c r="FA364" s="214" t="s">
        <v>148</v>
      </c>
      <c r="FB364" s="214" t="s">
        <v>70</v>
      </c>
      <c r="FC364" s="214" t="s">
        <v>530</v>
      </c>
      <c r="FE364" s="214" t="s">
        <v>23870</v>
      </c>
      <c r="FF364" s="214" t="s">
        <v>52</v>
      </c>
      <c r="FG364" s="214" t="s">
        <v>70</v>
      </c>
      <c r="FH364" s="214" t="s">
        <v>530</v>
      </c>
      <c r="FJ364" s="321" t="s">
        <v>23871</v>
      </c>
      <c r="FK364" s="214" t="s">
        <v>163</v>
      </c>
      <c r="FL364" s="214" t="s">
        <v>70</v>
      </c>
      <c r="FM364" s="214" t="s">
        <v>530</v>
      </c>
      <c r="FO364" s="321" t="s">
        <v>23872</v>
      </c>
      <c r="FP364" s="214" t="s">
        <v>52</v>
      </c>
      <c r="FQ364" s="214" t="s">
        <v>70</v>
      </c>
      <c r="FR364" s="214" t="s">
        <v>530</v>
      </c>
      <c r="FT364" s="321" t="s">
        <v>23873</v>
      </c>
      <c r="FU364" s="214" t="s">
        <v>34537</v>
      </c>
      <c r="FV364" s="214" t="s">
        <v>70</v>
      </c>
      <c r="FW364" s="214" t="s">
        <v>530</v>
      </c>
      <c r="FY364" s="321" t="s">
        <v>23874</v>
      </c>
      <c r="FZ364" s="214" t="s">
        <v>52</v>
      </c>
      <c r="GA364" s="214" t="s">
        <v>70</v>
      </c>
      <c r="GB364" s="214" t="s">
        <v>530</v>
      </c>
      <c r="GD364" s="321" t="s">
        <v>23875</v>
      </c>
      <c r="GE364" s="214" t="s">
        <v>52</v>
      </c>
      <c r="GF364" s="214" t="s">
        <v>70</v>
      </c>
      <c r="GG364" s="214" t="s">
        <v>530</v>
      </c>
      <c r="GI364" s="321" t="s">
        <v>23876</v>
      </c>
      <c r="GJ364" s="214" t="s">
        <v>918</v>
      </c>
      <c r="GK364" s="214" t="s">
        <v>70</v>
      </c>
      <c r="GL364" s="214" t="s">
        <v>530</v>
      </c>
      <c r="GN364" s="321" t="s">
        <v>23877</v>
      </c>
      <c r="GO364" s="214" t="s">
        <v>935</v>
      </c>
      <c r="GP364" s="214" t="s">
        <v>70</v>
      </c>
      <c r="GQ364" s="214" t="s">
        <v>530</v>
      </c>
      <c r="GS364" s="321" t="s">
        <v>23878</v>
      </c>
      <c r="GT364" s="214" t="s">
        <v>148</v>
      </c>
      <c r="GU364" s="214" t="s">
        <v>70</v>
      </c>
      <c r="GV364" s="214" t="s">
        <v>530</v>
      </c>
      <c r="GX364" s="214" t="s">
        <v>23879</v>
      </c>
      <c r="GY364" s="214" t="s">
        <v>500</v>
      </c>
      <c r="GZ364" s="214" t="s">
        <v>70</v>
      </c>
      <c r="HA364" s="214" t="s">
        <v>530</v>
      </c>
      <c r="HC364" s="214" t="s">
        <v>23880</v>
      </c>
      <c r="HD364" s="214" t="s">
        <v>34614</v>
      </c>
      <c r="HE364" s="214" t="s">
        <v>70</v>
      </c>
      <c r="HF364" s="214" t="s">
        <v>530</v>
      </c>
      <c r="HH364" s="214" t="s">
        <v>23881</v>
      </c>
      <c r="HI364" s="214" t="s">
        <v>34073</v>
      </c>
      <c r="HJ364" s="214" t="s">
        <v>70</v>
      </c>
      <c r="HK364" s="214" t="s">
        <v>530</v>
      </c>
      <c r="HM364" s="214" t="s">
        <v>23882</v>
      </c>
      <c r="HN364" s="214" t="s">
        <v>88</v>
      </c>
      <c r="HO364" s="214" t="s">
        <v>70</v>
      </c>
      <c r="HP364" s="214" t="s">
        <v>530</v>
      </c>
      <c r="HR364" s="22" t="s">
        <v>23883</v>
      </c>
      <c r="HS364" s="22" t="s">
        <v>164</v>
      </c>
      <c r="HT364" s="22" t="s">
        <v>70</v>
      </c>
      <c r="HU364" s="214" t="s">
        <v>530</v>
      </c>
      <c r="HW364" s="22" t="s">
        <v>23884</v>
      </c>
      <c r="HX364" s="22" t="s">
        <v>52</v>
      </c>
      <c r="HY364" s="22" t="s">
        <v>70</v>
      </c>
      <c r="HZ364" s="214" t="s">
        <v>530</v>
      </c>
      <c r="IB364" s="22" t="s">
        <v>23885</v>
      </c>
      <c r="IC364" s="22" t="s">
        <v>146</v>
      </c>
      <c r="ID364" s="22" t="s">
        <v>70</v>
      </c>
      <c r="IE364" s="214" t="s">
        <v>530</v>
      </c>
      <c r="IG364" s="22" t="s">
        <v>23886</v>
      </c>
      <c r="IH364" s="22" t="s">
        <v>52</v>
      </c>
      <c r="II364" s="22" t="s">
        <v>70</v>
      </c>
      <c r="IJ364" s="214" t="s">
        <v>530</v>
      </c>
      <c r="IL364" s="22" t="s">
        <v>23887</v>
      </c>
      <c r="IM364" s="22" t="s">
        <v>145</v>
      </c>
      <c r="IN364" s="22" t="s">
        <v>70</v>
      </c>
      <c r="IO364" s="214" t="s">
        <v>530</v>
      </c>
      <c r="IQ364" s="236" t="s">
        <v>23888</v>
      </c>
      <c r="IR364" s="236" t="s">
        <v>145</v>
      </c>
      <c r="IS364" s="236" t="s">
        <v>74</v>
      </c>
      <c r="IT364" s="236" t="s">
        <v>841</v>
      </c>
      <c r="IV364" s="236" t="s">
        <v>23889</v>
      </c>
      <c r="IW364" s="236" t="s">
        <v>145</v>
      </c>
      <c r="IX364" s="236" t="s">
        <v>74</v>
      </c>
      <c r="IY364" s="236" t="s">
        <v>841</v>
      </c>
      <c r="JA364" s="236" t="s">
        <v>23890</v>
      </c>
      <c r="JB364" s="236" t="s">
        <v>145</v>
      </c>
      <c r="JC364" s="236" t="s">
        <v>74</v>
      </c>
      <c r="JD364" s="236" t="s">
        <v>841</v>
      </c>
      <c r="JF364" s="236" t="s">
        <v>23891</v>
      </c>
      <c r="JG364" s="236" t="s">
        <v>145</v>
      </c>
      <c r="JH364" s="236" t="s">
        <v>74</v>
      </c>
      <c r="JI364" s="236" t="s">
        <v>841</v>
      </c>
      <c r="JK364" s="236" t="s">
        <v>23892</v>
      </c>
      <c r="JL364" s="236" t="s">
        <v>145</v>
      </c>
      <c r="JM364" s="236" t="s">
        <v>74</v>
      </c>
      <c r="JN364" s="236" t="s">
        <v>841</v>
      </c>
      <c r="JP364" s="236" t="s">
        <v>23893</v>
      </c>
      <c r="JQ364" s="236" t="s">
        <v>145</v>
      </c>
      <c r="JR364" s="236" t="s">
        <v>74</v>
      </c>
      <c r="JS364" s="236" t="s">
        <v>841</v>
      </c>
      <c r="JU364" s="294" t="s">
        <v>23894</v>
      </c>
      <c r="JV364" s="294" t="s">
        <v>52</v>
      </c>
      <c r="JW364" s="263" t="s">
        <v>70</v>
      </c>
      <c r="JX364" s="294" t="s">
        <v>1083</v>
      </c>
      <c r="JZ364" s="263" t="s">
        <v>23895</v>
      </c>
      <c r="KA364" s="263" t="s">
        <v>145</v>
      </c>
      <c r="KB364" s="263" t="s">
        <v>70</v>
      </c>
      <c r="KC364" s="263" t="s">
        <v>1083</v>
      </c>
      <c r="KE364" s="263" t="s">
        <v>23896</v>
      </c>
      <c r="KF364" s="263" t="s">
        <v>52</v>
      </c>
      <c r="KG364" s="263" t="s">
        <v>70</v>
      </c>
      <c r="KH364" s="263" t="s">
        <v>1083</v>
      </c>
      <c r="KJ364" s="263" t="s">
        <v>23897</v>
      </c>
      <c r="KK364" s="263" t="s">
        <v>52</v>
      </c>
      <c r="KL364" s="263" t="s">
        <v>74</v>
      </c>
      <c r="KM364" s="263" t="s">
        <v>34074</v>
      </c>
      <c r="KO364" s="214" t="s">
        <v>23898</v>
      </c>
      <c r="KP364" s="214" t="s">
        <v>145</v>
      </c>
      <c r="KQ364" s="214" t="s">
        <v>70</v>
      </c>
      <c r="KR364" s="214" t="s">
        <v>67</v>
      </c>
      <c r="KT364" s="22" t="s">
        <v>23899</v>
      </c>
      <c r="KU364" s="22" t="s">
        <v>145</v>
      </c>
      <c r="KV364" s="22" t="s">
        <v>70</v>
      </c>
      <c r="KW364" s="22" t="s">
        <v>67</v>
      </c>
      <c r="KY364" s="214" t="s">
        <v>23900</v>
      </c>
      <c r="KZ364" s="214" t="s">
        <v>52</v>
      </c>
      <c r="LA364" s="214" t="s">
        <v>74</v>
      </c>
      <c r="LB364" s="214" t="s">
        <v>67</v>
      </c>
      <c r="LD364" s="22" t="s">
        <v>23901</v>
      </c>
      <c r="LE364" s="22" t="s">
        <v>145</v>
      </c>
      <c r="LF364" s="22" t="s">
        <v>70</v>
      </c>
      <c r="LG364" s="22" t="s">
        <v>67</v>
      </c>
    </row>
    <row r="365" spans="1:319">
      <c r="A365" s="22" t="s">
        <v>23902</v>
      </c>
      <c r="B365" s="22" t="s">
        <v>145</v>
      </c>
      <c r="C365" s="22" t="s">
        <v>70</v>
      </c>
      <c r="D365" s="22" t="s">
        <v>67</v>
      </c>
      <c r="F365" s="99" t="s">
        <v>23903</v>
      </c>
      <c r="G365" s="22" t="s">
        <v>145</v>
      </c>
      <c r="H365" s="22" t="s">
        <v>70</v>
      </c>
      <c r="I365" s="22" t="s">
        <v>67</v>
      </c>
      <c r="K365" s="99" t="s">
        <v>23904</v>
      </c>
      <c r="L365" s="22" t="s">
        <v>145</v>
      </c>
      <c r="M365" s="22" t="s">
        <v>70</v>
      </c>
      <c r="N365" s="22" t="s">
        <v>67</v>
      </c>
      <c r="P365" s="230" t="s">
        <v>23905</v>
      </c>
      <c r="Q365" s="218" t="s">
        <v>145</v>
      </c>
      <c r="R365" s="218" t="s">
        <v>72</v>
      </c>
      <c r="S365" s="218" t="s">
        <v>33966</v>
      </c>
      <c r="U365" s="293" t="s">
        <v>23906</v>
      </c>
      <c r="V365" s="293" t="s">
        <v>145</v>
      </c>
      <c r="W365" s="293" t="s">
        <v>74</v>
      </c>
      <c r="X365" s="293" t="s">
        <v>656</v>
      </c>
      <c r="Z365" s="293" t="s">
        <v>23907</v>
      </c>
      <c r="AA365" s="293" t="s">
        <v>145</v>
      </c>
      <c r="AB365" s="293" t="s">
        <v>74</v>
      </c>
      <c r="AC365" s="293" t="s">
        <v>656</v>
      </c>
      <c r="AE365" s="293" t="s">
        <v>23908</v>
      </c>
      <c r="AF365" s="293" t="s">
        <v>145</v>
      </c>
      <c r="AG365" s="293" t="s">
        <v>74</v>
      </c>
      <c r="AH365" s="293" t="s">
        <v>656</v>
      </c>
      <c r="AJ365" s="293" t="s">
        <v>23909</v>
      </c>
      <c r="AK365" s="293" t="s">
        <v>145</v>
      </c>
      <c r="AL365" s="293" t="s">
        <v>74</v>
      </c>
      <c r="AM365" s="293" t="s">
        <v>656</v>
      </c>
      <c r="AO365" s="22" t="s">
        <v>23910</v>
      </c>
      <c r="AP365" s="22" t="s">
        <v>145</v>
      </c>
      <c r="AQ365" s="22" t="s">
        <v>70</v>
      </c>
      <c r="AR365" s="22" t="s">
        <v>67</v>
      </c>
      <c r="AT365" s="22" t="s">
        <v>23911</v>
      </c>
      <c r="AU365" s="22" t="s">
        <v>145</v>
      </c>
      <c r="AV365" s="22" t="s">
        <v>70</v>
      </c>
      <c r="AW365" s="22" t="s">
        <v>67</v>
      </c>
      <c r="AY365" s="22" t="s">
        <v>23912</v>
      </c>
      <c r="AZ365" s="22" t="s">
        <v>145</v>
      </c>
      <c r="BA365" s="22" t="s">
        <v>70</v>
      </c>
      <c r="BB365" s="22" t="s">
        <v>67</v>
      </c>
      <c r="BD365" s="22" t="s">
        <v>23913</v>
      </c>
      <c r="BE365" s="22" t="s">
        <v>145</v>
      </c>
      <c r="BF365" s="22" t="s">
        <v>70</v>
      </c>
      <c r="BG365" s="22" t="s">
        <v>67</v>
      </c>
      <c r="BI365" s="22" t="s">
        <v>23914</v>
      </c>
      <c r="BJ365" s="22" t="s">
        <v>145</v>
      </c>
      <c r="BK365" s="22" t="s">
        <v>70</v>
      </c>
      <c r="BL365" s="22" t="s">
        <v>67</v>
      </c>
      <c r="BN365" s="22" t="s">
        <v>23915</v>
      </c>
      <c r="BO365" s="22" t="s">
        <v>145</v>
      </c>
      <c r="BP365" s="22" t="s">
        <v>70</v>
      </c>
      <c r="BQ365" s="22" t="s">
        <v>67</v>
      </c>
      <c r="BS365" s="22" t="s">
        <v>23916</v>
      </c>
      <c r="BT365" s="22" t="s">
        <v>145</v>
      </c>
      <c r="BU365" s="22" t="s">
        <v>70</v>
      </c>
      <c r="BV365" s="214" t="s">
        <v>530</v>
      </c>
      <c r="BX365" s="22" t="s">
        <v>23917</v>
      </c>
      <c r="BY365" s="22" t="s">
        <v>145</v>
      </c>
      <c r="BZ365" s="22" t="s">
        <v>70</v>
      </c>
      <c r="CA365" s="214" t="s">
        <v>530</v>
      </c>
      <c r="CC365" s="214" t="s">
        <v>23918</v>
      </c>
      <c r="CD365" s="218" t="s">
        <v>482</v>
      </c>
      <c r="CE365" s="214" t="s">
        <v>70</v>
      </c>
      <c r="CF365" s="214" t="s">
        <v>34171</v>
      </c>
      <c r="CH365" s="214" t="s">
        <v>23919</v>
      </c>
      <c r="CI365" s="214" t="s">
        <v>488</v>
      </c>
      <c r="CJ365" s="214" t="s">
        <v>70</v>
      </c>
      <c r="CK365" s="214" t="s">
        <v>530</v>
      </c>
      <c r="CM365" s="214" t="s">
        <v>23920</v>
      </c>
      <c r="CN365" s="214" t="s">
        <v>34551</v>
      </c>
      <c r="CO365" s="214" t="s">
        <v>70</v>
      </c>
      <c r="CP365" s="214" t="s">
        <v>530</v>
      </c>
      <c r="CR365" s="214" t="s">
        <v>23921</v>
      </c>
      <c r="CS365" s="214" t="s">
        <v>486</v>
      </c>
      <c r="CT365" s="214" t="s">
        <v>70</v>
      </c>
      <c r="CU365" s="214" t="s">
        <v>530</v>
      </c>
      <c r="CW365" s="214" t="s">
        <v>23922</v>
      </c>
      <c r="CX365" s="214" t="s">
        <v>502</v>
      </c>
      <c r="CY365" s="214" t="s">
        <v>70</v>
      </c>
      <c r="CZ365" s="214" t="s">
        <v>530</v>
      </c>
      <c r="DB365" s="214" t="s">
        <v>23923</v>
      </c>
      <c r="DC365" s="214" t="s">
        <v>146</v>
      </c>
      <c r="DD365" s="214" t="s">
        <v>70</v>
      </c>
      <c r="DE365" s="214" t="s">
        <v>530</v>
      </c>
      <c r="DG365" s="214" t="s">
        <v>23924</v>
      </c>
      <c r="DH365" s="214" t="s">
        <v>490</v>
      </c>
      <c r="DI365" s="214" t="s">
        <v>70</v>
      </c>
      <c r="DJ365" s="214" t="s">
        <v>530</v>
      </c>
      <c r="DL365" s="214" t="s">
        <v>23925</v>
      </c>
      <c r="DM365" s="214" t="s">
        <v>484</v>
      </c>
      <c r="DN365" s="214" t="s">
        <v>70</v>
      </c>
      <c r="DO365" s="214" t="s">
        <v>530</v>
      </c>
      <c r="DQ365" s="214" t="s">
        <v>23926</v>
      </c>
      <c r="DR365" s="214" t="s">
        <v>146</v>
      </c>
      <c r="DS365" s="214" t="s">
        <v>70</v>
      </c>
      <c r="DT365" s="214" t="s">
        <v>530</v>
      </c>
      <c r="DV365" s="214" t="s">
        <v>23927</v>
      </c>
      <c r="DW365" s="214" t="s">
        <v>502</v>
      </c>
      <c r="DX365" s="214" t="s">
        <v>70</v>
      </c>
      <c r="DY365" s="214" t="s">
        <v>530</v>
      </c>
      <c r="EA365" s="214" t="s">
        <v>23928</v>
      </c>
      <c r="EB365" s="214" t="s">
        <v>486</v>
      </c>
      <c r="EC365" s="214" t="s">
        <v>70</v>
      </c>
      <c r="ED365" s="214" t="s">
        <v>530</v>
      </c>
      <c r="EF365" s="214" t="s">
        <v>23929</v>
      </c>
      <c r="EG365" s="214" t="s">
        <v>485</v>
      </c>
      <c r="EH365" s="214" t="s">
        <v>70</v>
      </c>
      <c r="EI365" s="214" t="s">
        <v>530</v>
      </c>
      <c r="EK365" s="214" t="s">
        <v>23930</v>
      </c>
      <c r="EL365" s="214" t="s">
        <v>485</v>
      </c>
      <c r="EM365" s="214" t="s">
        <v>70</v>
      </c>
      <c r="EN365" s="214" t="s">
        <v>530</v>
      </c>
      <c r="EP365" s="214" t="s">
        <v>23931</v>
      </c>
      <c r="EQ365" s="214" t="s">
        <v>485</v>
      </c>
      <c r="ER365" s="214" t="s">
        <v>70</v>
      </c>
      <c r="ES365" s="214" t="s">
        <v>530</v>
      </c>
      <c r="EU365" s="214" t="s">
        <v>23932</v>
      </c>
      <c r="EV365" s="214" t="s">
        <v>488</v>
      </c>
      <c r="EW365" s="214" t="s">
        <v>70</v>
      </c>
      <c r="EX365" s="214" t="s">
        <v>530</v>
      </c>
      <c r="EZ365" s="214" t="s">
        <v>23933</v>
      </c>
      <c r="FA365" s="214" t="s">
        <v>497</v>
      </c>
      <c r="FB365" s="214" t="s">
        <v>70</v>
      </c>
      <c r="FC365" s="214" t="s">
        <v>530</v>
      </c>
      <c r="FE365" s="214" t="s">
        <v>23934</v>
      </c>
      <c r="FF365" s="214" t="s">
        <v>148</v>
      </c>
      <c r="FG365" s="214" t="s">
        <v>70</v>
      </c>
      <c r="FH365" s="214" t="s">
        <v>530</v>
      </c>
      <c r="FJ365" s="321" t="s">
        <v>23935</v>
      </c>
      <c r="FK365" s="214" t="s">
        <v>34544</v>
      </c>
      <c r="FL365" s="214" t="s">
        <v>70</v>
      </c>
      <c r="FM365" s="214" t="s">
        <v>530</v>
      </c>
      <c r="FO365" s="321" t="s">
        <v>23936</v>
      </c>
      <c r="FP365" s="214" t="s">
        <v>203</v>
      </c>
      <c r="FQ365" s="214" t="s">
        <v>70</v>
      </c>
      <c r="FR365" s="214" t="s">
        <v>530</v>
      </c>
      <c r="FT365" s="321" t="s">
        <v>23937</v>
      </c>
      <c r="FU365" s="214" t="s">
        <v>93</v>
      </c>
      <c r="FV365" s="214" t="s">
        <v>70</v>
      </c>
      <c r="FW365" s="214" t="s">
        <v>530</v>
      </c>
      <c r="FY365" s="321" t="s">
        <v>23938</v>
      </c>
      <c r="FZ365" s="214" t="s">
        <v>34641</v>
      </c>
      <c r="GA365" s="214" t="s">
        <v>70</v>
      </c>
      <c r="GB365" s="214" t="s">
        <v>530</v>
      </c>
      <c r="GD365" s="321" t="s">
        <v>23939</v>
      </c>
      <c r="GE365" s="214" t="s">
        <v>468</v>
      </c>
      <c r="GF365" s="214" t="s">
        <v>70</v>
      </c>
      <c r="GG365" s="214" t="s">
        <v>530</v>
      </c>
      <c r="GI365" s="321" t="s">
        <v>23940</v>
      </c>
      <c r="GJ365" s="214" t="s">
        <v>468</v>
      </c>
      <c r="GK365" s="214" t="s">
        <v>70</v>
      </c>
      <c r="GL365" s="214" t="s">
        <v>530</v>
      </c>
      <c r="GN365" s="321" t="s">
        <v>23941</v>
      </c>
      <c r="GO365" s="214" t="s">
        <v>937</v>
      </c>
      <c r="GP365" s="214" t="s">
        <v>70</v>
      </c>
      <c r="GQ365" s="214" t="s">
        <v>530</v>
      </c>
      <c r="GS365" s="321" t="s">
        <v>23942</v>
      </c>
      <c r="GT365" s="214" t="s">
        <v>34611</v>
      </c>
      <c r="GU365" s="214" t="s">
        <v>70</v>
      </c>
      <c r="GV365" s="214" t="s">
        <v>530</v>
      </c>
      <c r="GX365" s="214" t="s">
        <v>23943</v>
      </c>
      <c r="GY365" s="214" t="s">
        <v>498</v>
      </c>
      <c r="GZ365" s="214" t="s">
        <v>70</v>
      </c>
      <c r="HA365" s="214" t="s">
        <v>530</v>
      </c>
      <c r="HC365" s="214" t="s">
        <v>23944</v>
      </c>
      <c r="HD365" s="214" t="s">
        <v>502</v>
      </c>
      <c r="HE365" s="214" t="s">
        <v>70</v>
      </c>
      <c r="HF365" s="214" t="s">
        <v>530</v>
      </c>
      <c r="HH365" s="214" t="s">
        <v>23945</v>
      </c>
      <c r="HI365" s="214" t="s">
        <v>488</v>
      </c>
      <c r="HJ365" s="214" t="s">
        <v>70</v>
      </c>
      <c r="HK365" s="214" t="s">
        <v>530</v>
      </c>
      <c r="HM365" s="214" t="s">
        <v>23946</v>
      </c>
      <c r="HN365" s="214" t="s">
        <v>912</v>
      </c>
      <c r="HO365" s="214" t="s">
        <v>70</v>
      </c>
      <c r="HP365" s="214" t="s">
        <v>530</v>
      </c>
      <c r="HR365" s="22" t="s">
        <v>23947</v>
      </c>
      <c r="HS365" s="22" t="s">
        <v>164</v>
      </c>
      <c r="HT365" s="22" t="s">
        <v>70</v>
      </c>
      <c r="HU365" s="214" t="s">
        <v>530</v>
      </c>
      <c r="HW365" s="22" t="s">
        <v>23948</v>
      </c>
      <c r="HX365" s="22" t="s">
        <v>52</v>
      </c>
      <c r="HY365" s="22" t="s">
        <v>70</v>
      </c>
      <c r="HZ365" s="214" t="s">
        <v>530</v>
      </c>
      <c r="IB365" s="22" t="s">
        <v>23949</v>
      </c>
      <c r="IC365" s="22" t="s">
        <v>52</v>
      </c>
      <c r="ID365" s="22" t="s">
        <v>70</v>
      </c>
      <c r="IE365" s="214" t="s">
        <v>530</v>
      </c>
      <c r="IG365" s="22" t="s">
        <v>23950</v>
      </c>
      <c r="IH365" s="22" t="s">
        <v>52</v>
      </c>
      <c r="II365" s="22" t="s">
        <v>70</v>
      </c>
      <c r="IJ365" s="214" t="s">
        <v>530</v>
      </c>
      <c r="IL365" s="22" t="s">
        <v>23951</v>
      </c>
      <c r="IM365" s="22" t="s">
        <v>145</v>
      </c>
      <c r="IN365" s="22" t="s">
        <v>70</v>
      </c>
      <c r="IO365" s="214" t="s">
        <v>530</v>
      </c>
      <c r="IQ365" s="236" t="s">
        <v>23952</v>
      </c>
      <c r="IR365" s="236" t="s">
        <v>145</v>
      </c>
      <c r="IS365" s="236" t="s">
        <v>74</v>
      </c>
      <c r="IT365" s="236" t="s">
        <v>841</v>
      </c>
      <c r="IV365" s="236" t="s">
        <v>23953</v>
      </c>
      <c r="IW365" s="236" t="s">
        <v>145</v>
      </c>
      <c r="IX365" s="236" t="s">
        <v>74</v>
      </c>
      <c r="IY365" s="236" t="s">
        <v>841</v>
      </c>
      <c r="JA365" s="236" t="s">
        <v>23954</v>
      </c>
      <c r="JB365" s="236" t="s">
        <v>145</v>
      </c>
      <c r="JC365" s="236" t="s">
        <v>74</v>
      </c>
      <c r="JD365" s="236" t="s">
        <v>841</v>
      </c>
      <c r="JF365" s="236" t="s">
        <v>23955</v>
      </c>
      <c r="JG365" s="236" t="s">
        <v>145</v>
      </c>
      <c r="JH365" s="236" t="s">
        <v>74</v>
      </c>
      <c r="JI365" s="236" t="s">
        <v>841</v>
      </c>
      <c r="JK365" s="236" t="s">
        <v>23956</v>
      </c>
      <c r="JL365" s="236" t="s">
        <v>145</v>
      </c>
      <c r="JM365" s="236" t="s">
        <v>74</v>
      </c>
      <c r="JN365" s="236" t="s">
        <v>841</v>
      </c>
      <c r="JP365" s="236" t="s">
        <v>23957</v>
      </c>
      <c r="JQ365" s="236" t="s">
        <v>145</v>
      </c>
      <c r="JR365" s="236" t="s">
        <v>74</v>
      </c>
      <c r="JS365" s="236" t="s">
        <v>841</v>
      </c>
      <c r="JU365" s="294" t="s">
        <v>23958</v>
      </c>
      <c r="JV365" s="294" t="s">
        <v>52</v>
      </c>
      <c r="JW365" s="263" t="s">
        <v>70</v>
      </c>
      <c r="JX365" s="294" t="s">
        <v>1083</v>
      </c>
      <c r="JZ365" s="263" t="s">
        <v>23959</v>
      </c>
      <c r="KA365" s="263" t="s">
        <v>145</v>
      </c>
      <c r="KB365" s="263" t="s">
        <v>70</v>
      </c>
      <c r="KC365" s="263" t="s">
        <v>1083</v>
      </c>
      <c r="KE365" s="263" t="s">
        <v>23960</v>
      </c>
      <c r="KF365" s="263" t="s">
        <v>52</v>
      </c>
      <c r="KG365" s="263" t="s">
        <v>70</v>
      </c>
      <c r="KH365" s="263" t="s">
        <v>1083</v>
      </c>
      <c r="KJ365" s="263" t="s">
        <v>23961</v>
      </c>
      <c r="KK365" s="263" t="s">
        <v>52</v>
      </c>
      <c r="KL365" s="263" t="s">
        <v>74</v>
      </c>
      <c r="KM365" s="263" t="s">
        <v>34074</v>
      </c>
      <c r="KO365" s="214" t="s">
        <v>23962</v>
      </c>
      <c r="KP365" s="214" t="s">
        <v>145</v>
      </c>
      <c r="KQ365" s="214" t="s">
        <v>70</v>
      </c>
      <c r="KR365" s="214" t="s">
        <v>67</v>
      </c>
      <c r="KT365" s="22" t="s">
        <v>23963</v>
      </c>
      <c r="KU365" s="22" t="s">
        <v>145</v>
      </c>
      <c r="KV365" s="22" t="s">
        <v>70</v>
      </c>
      <c r="KW365" s="22" t="s">
        <v>67</v>
      </c>
      <c r="KY365" s="214" t="s">
        <v>23964</v>
      </c>
      <c r="KZ365" s="214" t="s">
        <v>52</v>
      </c>
      <c r="LA365" s="214" t="s">
        <v>74</v>
      </c>
      <c r="LB365" s="214" t="s">
        <v>67</v>
      </c>
      <c r="LD365" s="22" t="s">
        <v>23965</v>
      </c>
      <c r="LE365" s="22" t="s">
        <v>145</v>
      </c>
      <c r="LF365" s="22" t="s">
        <v>70</v>
      </c>
      <c r="LG365" s="22" t="s">
        <v>67</v>
      </c>
    </row>
    <row r="366" spans="1:319">
      <c r="A366" s="22" t="s">
        <v>23966</v>
      </c>
      <c r="B366" s="22" t="s">
        <v>145</v>
      </c>
      <c r="C366" s="22" t="s">
        <v>70</v>
      </c>
      <c r="D366" s="22" t="s">
        <v>67</v>
      </c>
      <c r="F366" s="99" t="s">
        <v>23967</v>
      </c>
      <c r="G366" s="22" t="s">
        <v>145</v>
      </c>
      <c r="H366" s="22" t="s">
        <v>70</v>
      </c>
      <c r="I366" s="22" t="s">
        <v>67</v>
      </c>
      <c r="K366" s="99" t="s">
        <v>23968</v>
      </c>
      <c r="L366" s="22" t="s">
        <v>145</v>
      </c>
      <c r="M366" s="22" t="s">
        <v>70</v>
      </c>
      <c r="N366" s="22" t="s">
        <v>67</v>
      </c>
      <c r="P366" s="230" t="s">
        <v>23969</v>
      </c>
      <c r="Q366" s="218" t="s">
        <v>145</v>
      </c>
      <c r="R366" s="218" t="s">
        <v>72</v>
      </c>
      <c r="S366" s="218" t="s">
        <v>33967</v>
      </c>
      <c r="U366" s="293" t="s">
        <v>23970</v>
      </c>
      <c r="V366" s="293" t="s">
        <v>145</v>
      </c>
      <c r="W366" s="293" t="s">
        <v>74</v>
      </c>
      <c r="X366" s="293" t="s">
        <v>656</v>
      </c>
      <c r="Z366" s="293" t="s">
        <v>23971</v>
      </c>
      <c r="AA366" s="293" t="s">
        <v>145</v>
      </c>
      <c r="AB366" s="293" t="s">
        <v>74</v>
      </c>
      <c r="AC366" s="293" t="s">
        <v>656</v>
      </c>
      <c r="AE366" s="293" t="s">
        <v>23972</v>
      </c>
      <c r="AF366" s="293" t="s">
        <v>145</v>
      </c>
      <c r="AG366" s="293" t="s">
        <v>74</v>
      </c>
      <c r="AH366" s="293" t="s">
        <v>656</v>
      </c>
      <c r="AJ366" s="293" t="s">
        <v>23973</v>
      </c>
      <c r="AK366" s="293" t="s">
        <v>145</v>
      </c>
      <c r="AL366" s="293" t="s">
        <v>74</v>
      </c>
      <c r="AM366" s="293" t="s">
        <v>656</v>
      </c>
      <c r="AO366" s="22" t="s">
        <v>23974</v>
      </c>
      <c r="AP366" s="22" t="s">
        <v>145</v>
      </c>
      <c r="AQ366" s="22" t="s">
        <v>70</v>
      </c>
      <c r="AR366" s="22" t="s">
        <v>67</v>
      </c>
      <c r="AT366" s="22" t="s">
        <v>23975</v>
      </c>
      <c r="AU366" s="22" t="s">
        <v>145</v>
      </c>
      <c r="AV366" s="22" t="s">
        <v>70</v>
      </c>
      <c r="AW366" s="22" t="s">
        <v>67</v>
      </c>
      <c r="AY366" s="22" t="s">
        <v>23976</v>
      </c>
      <c r="AZ366" s="22" t="s">
        <v>145</v>
      </c>
      <c r="BA366" s="22" t="s">
        <v>70</v>
      </c>
      <c r="BB366" s="22" t="s">
        <v>67</v>
      </c>
      <c r="BD366" s="22" t="s">
        <v>23977</v>
      </c>
      <c r="BE366" s="22" t="s">
        <v>145</v>
      </c>
      <c r="BF366" s="22" t="s">
        <v>70</v>
      </c>
      <c r="BG366" s="22" t="s">
        <v>67</v>
      </c>
      <c r="BI366" s="22" t="s">
        <v>23978</v>
      </c>
      <c r="BJ366" s="22" t="s">
        <v>145</v>
      </c>
      <c r="BK366" s="22" t="s">
        <v>70</v>
      </c>
      <c r="BL366" s="22" t="s">
        <v>67</v>
      </c>
      <c r="BN366" s="22" t="s">
        <v>23979</v>
      </c>
      <c r="BO366" s="22" t="s">
        <v>145</v>
      </c>
      <c r="BP366" s="22" t="s">
        <v>70</v>
      </c>
      <c r="BQ366" s="22" t="s">
        <v>67</v>
      </c>
      <c r="BS366" s="22" t="s">
        <v>23980</v>
      </c>
      <c r="BT366" s="22" t="s">
        <v>145</v>
      </c>
      <c r="BU366" s="22" t="s">
        <v>70</v>
      </c>
      <c r="BV366" s="214" t="s">
        <v>530</v>
      </c>
      <c r="BX366" s="22" t="s">
        <v>23981</v>
      </c>
      <c r="BY366" s="22" t="s">
        <v>145</v>
      </c>
      <c r="BZ366" s="22" t="s">
        <v>70</v>
      </c>
      <c r="CA366" s="214" t="s">
        <v>530</v>
      </c>
      <c r="CC366" s="214" t="s">
        <v>23982</v>
      </c>
      <c r="CD366" s="218" t="s">
        <v>293</v>
      </c>
      <c r="CE366" s="214" t="s">
        <v>70</v>
      </c>
      <c r="CF366" s="214" t="s">
        <v>34172</v>
      </c>
      <c r="CH366" s="214" t="s">
        <v>23983</v>
      </c>
      <c r="CI366" s="214" t="s">
        <v>88</v>
      </c>
      <c r="CJ366" s="214" t="s">
        <v>70</v>
      </c>
      <c r="CK366" s="214" t="s">
        <v>530</v>
      </c>
      <c r="CM366" s="214" t="s">
        <v>23984</v>
      </c>
      <c r="CN366" s="214" t="s">
        <v>288</v>
      </c>
      <c r="CO366" s="214" t="s">
        <v>70</v>
      </c>
      <c r="CP366" s="214" t="s">
        <v>530</v>
      </c>
      <c r="CR366" s="214" t="s">
        <v>23985</v>
      </c>
      <c r="CS366" s="214" t="s">
        <v>487</v>
      </c>
      <c r="CT366" s="214" t="s">
        <v>70</v>
      </c>
      <c r="CU366" s="214" t="s">
        <v>530</v>
      </c>
      <c r="CW366" s="214" t="s">
        <v>23986</v>
      </c>
      <c r="CX366" s="214" t="s">
        <v>492</v>
      </c>
      <c r="CY366" s="214" t="s">
        <v>70</v>
      </c>
      <c r="CZ366" s="214" t="s">
        <v>530</v>
      </c>
      <c r="DB366" s="214" t="s">
        <v>23987</v>
      </c>
      <c r="DC366" s="214" t="s">
        <v>103</v>
      </c>
      <c r="DD366" s="214" t="s">
        <v>70</v>
      </c>
      <c r="DE366" s="214" t="s">
        <v>530</v>
      </c>
      <c r="DG366" s="214" t="s">
        <v>23988</v>
      </c>
      <c r="DH366" s="214" t="s">
        <v>87</v>
      </c>
      <c r="DI366" s="214" t="s">
        <v>70</v>
      </c>
      <c r="DJ366" s="214" t="s">
        <v>530</v>
      </c>
      <c r="DL366" s="214" t="s">
        <v>23989</v>
      </c>
      <c r="DM366" s="214" t="s">
        <v>950</v>
      </c>
      <c r="DN366" s="214" t="s">
        <v>70</v>
      </c>
      <c r="DO366" s="214" t="s">
        <v>530</v>
      </c>
      <c r="DQ366" s="214" t="s">
        <v>23990</v>
      </c>
      <c r="DR366" s="214" t="s">
        <v>287</v>
      </c>
      <c r="DS366" s="214" t="s">
        <v>70</v>
      </c>
      <c r="DT366" s="214" t="s">
        <v>530</v>
      </c>
      <c r="DV366" s="214" t="s">
        <v>23991</v>
      </c>
      <c r="DW366" s="214" t="s">
        <v>500</v>
      </c>
      <c r="DX366" s="214" t="s">
        <v>70</v>
      </c>
      <c r="DY366" s="214" t="s">
        <v>530</v>
      </c>
      <c r="EA366" s="214" t="s">
        <v>23992</v>
      </c>
      <c r="EB366" s="214" t="s">
        <v>34653</v>
      </c>
      <c r="EC366" s="214" t="s">
        <v>70</v>
      </c>
      <c r="ED366" s="214" t="s">
        <v>530</v>
      </c>
      <c r="EF366" s="214" t="s">
        <v>23993</v>
      </c>
      <c r="EG366" s="214" t="s">
        <v>600</v>
      </c>
      <c r="EH366" s="214" t="s">
        <v>70</v>
      </c>
      <c r="EI366" s="214" t="s">
        <v>530</v>
      </c>
      <c r="EK366" s="214" t="s">
        <v>23994</v>
      </c>
      <c r="EL366" s="214" t="s">
        <v>52</v>
      </c>
      <c r="EM366" s="214" t="s">
        <v>70</v>
      </c>
      <c r="EN366" s="214" t="s">
        <v>530</v>
      </c>
      <c r="EP366" s="214" t="s">
        <v>23995</v>
      </c>
      <c r="EQ366" s="214" t="s">
        <v>148</v>
      </c>
      <c r="ER366" s="214" t="s">
        <v>70</v>
      </c>
      <c r="ES366" s="214" t="s">
        <v>530</v>
      </c>
      <c r="EU366" s="214" t="s">
        <v>23996</v>
      </c>
      <c r="EV366" s="214" t="s">
        <v>52</v>
      </c>
      <c r="EW366" s="214" t="s">
        <v>70</v>
      </c>
      <c r="EX366" s="214" t="s">
        <v>530</v>
      </c>
      <c r="EZ366" s="214" t="s">
        <v>23997</v>
      </c>
      <c r="FA366" s="214" t="s">
        <v>86</v>
      </c>
      <c r="FB366" s="214" t="s">
        <v>70</v>
      </c>
      <c r="FC366" s="214" t="s">
        <v>530</v>
      </c>
      <c r="FE366" s="214" t="s">
        <v>23998</v>
      </c>
      <c r="FF366" s="214" t="s">
        <v>52</v>
      </c>
      <c r="FG366" s="214" t="s">
        <v>70</v>
      </c>
      <c r="FH366" s="214" t="s">
        <v>530</v>
      </c>
      <c r="FJ366" s="321" t="s">
        <v>23999</v>
      </c>
      <c r="FK366" s="214" t="s">
        <v>52</v>
      </c>
      <c r="FL366" s="214" t="s">
        <v>70</v>
      </c>
      <c r="FM366" s="214" t="s">
        <v>530</v>
      </c>
      <c r="FO366" s="321" t="s">
        <v>24000</v>
      </c>
      <c r="FP366" s="214" t="s">
        <v>931</v>
      </c>
      <c r="FQ366" s="214" t="s">
        <v>70</v>
      </c>
      <c r="FR366" s="214" t="s">
        <v>530</v>
      </c>
      <c r="FT366" s="321" t="s">
        <v>24001</v>
      </c>
      <c r="FU366" s="214" t="s">
        <v>529</v>
      </c>
      <c r="FV366" s="214" t="s">
        <v>70</v>
      </c>
      <c r="FW366" s="214" t="s">
        <v>530</v>
      </c>
      <c r="FY366" s="321" t="s">
        <v>24002</v>
      </c>
      <c r="FZ366" s="214" t="s">
        <v>163</v>
      </c>
      <c r="GA366" s="214" t="s">
        <v>70</v>
      </c>
      <c r="GB366" s="214" t="s">
        <v>530</v>
      </c>
      <c r="GD366" s="321" t="s">
        <v>24003</v>
      </c>
      <c r="GE366" s="214" t="s">
        <v>52</v>
      </c>
      <c r="GF366" s="214" t="s">
        <v>70</v>
      </c>
      <c r="GG366" s="214" t="s">
        <v>530</v>
      </c>
      <c r="GI366" s="321" t="s">
        <v>24004</v>
      </c>
      <c r="GJ366" s="214" t="s">
        <v>52</v>
      </c>
      <c r="GK366" s="214" t="s">
        <v>70</v>
      </c>
      <c r="GL366" s="214" t="s">
        <v>530</v>
      </c>
      <c r="GN366" s="321" t="s">
        <v>24005</v>
      </c>
      <c r="GO366" s="214" t="s">
        <v>34553</v>
      </c>
      <c r="GP366" s="214" t="s">
        <v>70</v>
      </c>
      <c r="GQ366" s="214" t="s">
        <v>530</v>
      </c>
      <c r="GS366" s="321" t="s">
        <v>24006</v>
      </c>
      <c r="GT366" s="214" t="s">
        <v>949</v>
      </c>
      <c r="GU366" s="214" t="s">
        <v>70</v>
      </c>
      <c r="GV366" s="214" t="s">
        <v>530</v>
      </c>
      <c r="GX366" s="214" t="s">
        <v>24007</v>
      </c>
      <c r="GY366" s="214" t="s">
        <v>602</v>
      </c>
      <c r="GZ366" s="214" t="s">
        <v>70</v>
      </c>
      <c r="HA366" s="214" t="s">
        <v>530</v>
      </c>
      <c r="HC366" s="214" t="s">
        <v>24008</v>
      </c>
      <c r="HD366" s="214" t="s">
        <v>529</v>
      </c>
      <c r="HE366" s="214" t="s">
        <v>70</v>
      </c>
      <c r="HF366" s="214" t="s">
        <v>530</v>
      </c>
      <c r="HH366" s="214" t="s">
        <v>24009</v>
      </c>
      <c r="HI366" s="214" t="s">
        <v>52</v>
      </c>
      <c r="HJ366" s="214" t="s">
        <v>70</v>
      </c>
      <c r="HK366" s="214" t="s">
        <v>530</v>
      </c>
      <c r="HM366" s="214" t="s">
        <v>24010</v>
      </c>
      <c r="HN366" s="214" t="s">
        <v>34620</v>
      </c>
      <c r="HO366" s="214" t="s">
        <v>70</v>
      </c>
      <c r="HP366" s="214" t="s">
        <v>530</v>
      </c>
      <c r="HR366" s="22" t="s">
        <v>24011</v>
      </c>
      <c r="HS366" s="22" t="s">
        <v>52</v>
      </c>
      <c r="HT366" s="22" t="s">
        <v>70</v>
      </c>
      <c r="HU366" s="214" t="s">
        <v>530</v>
      </c>
      <c r="HW366" s="22" t="s">
        <v>24012</v>
      </c>
      <c r="HX366" s="22" t="s">
        <v>599</v>
      </c>
      <c r="HY366" s="22" t="s">
        <v>70</v>
      </c>
      <c r="HZ366" s="214" t="s">
        <v>530</v>
      </c>
      <c r="IB366" s="22" t="s">
        <v>24013</v>
      </c>
      <c r="IC366" s="22" t="s">
        <v>916</v>
      </c>
      <c r="ID366" s="22" t="s">
        <v>70</v>
      </c>
      <c r="IE366" s="214" t="s">
        <v>530</v>
      </c>
      <c r="IG366" s="22" t="s">
        <v>24014</v>
      </c>
      <c r="IH366" s="22" t="s">
        <v>52</v>
      </c>
      <c r="II366" s="22" t="s">
        <v>70</v>
      </c>
      <c r="IJ366" s="214" t="s">
        <v>530</v>
      </c>
      <c r="IL366" s="22" t="s">
        <v>24015</v>
      </c>
      <c r="IM366" s="22" t="s">
        <v>145</v>
      </c>
      <c r="IN366" s="22" t="s">
        <v>70</v>
      </c>
      <c r="IO366" s="214" t="s">
        <v>530</v>
      </c>
      <c r="IQ366" s="236" t="s">
        <v>24016</v>
      </c>
      <c r="IR366" s="236" t="s">
        <v>145</v>
      </c>
      <c r="IS366" s="236" t="s">
        <v>74</v>
      </c>
      <c r="IT366" s="236" t="s">
        <v>841</v>
      </c>
      <c r="IV366" s="236" t="s">
        <v>24017</v>
      </c>
      <c r="IW366" s="236" t="s">
        <v>145</v>
      </c>
      <c r="IX366" s="236" t="s">
        <v>74</v>
      </c>
      <c r="IY366" s="236" t="s">
        <v>841</v>
      </c>
      <c r="JA366" s="236" t="s">
        <v>24018</v>
      </c>
      <c r="JB366" s="236" t="s">
        <v>145</v>
      </c>
      <c r="JC366" s="236" t="s">
        <v>74</v>
      </c>
      <c r="JD366" s="236" t="s">
        <v>841</v>
      </c>
      <c r="JF366" s="236" t="s">
        <v>24019</v>
      </c>
      <c r="JG366" s="236" t="s">
        <v>145</v>
      </c>
      <c r="JH366" s="236" t="s">
        <v>74</v>
      </c>
      <c r="JI366" s="236" t="s">
        <v>841</v>
      </c>
      <c r="JK366" s="236" t="s">
        <v>24020</v>
      </c>
      <c r="JL366" s="236" t="s">
        <v>145</v>
      </c>
      <c r="JM366" s="236" t="s">
        <v>74</v>
      </c>
      <c r="JN366" s="236" t="s">
        <v>841</v>
      </c>
      <c r="JP366" s="236" t="s">
        <v>24021</v>
      </c>
      <c r="JQ366" s="236" t="s">
        <v>145</v>
      </c>
      <c r="JR366" s="236" t="s">
        <v>74</v>
      </c>
      <c r="JS366" s="236" t="s">
        <v>841</v>
      </c>
      <c r="JU366" s="294" t="s">
        <v>24022</v>
      </c>
      <c r="JV366" s="294" t="s">
        <v>52</v>
      </c>
      <c r="JW366" s="263" t="s">
        <v>70</v>
      </c>
      <c r="JX366" s="294" t="s">
        <v>1083</v>
      </c>
      <c r="JZ366" s="263" t="s">
        <v>24023</v>
      </c>
      <c r="KA366" s="263" t="s">
        <v>145</v>
      </c>
      <c r="KB366" s="263" t="s">
        <v>70</v>
      </c>
      <c r="KC366" s="263" t="s">
        <v>1083</v>
      </c>
      <c r="KE366" s="263" t="s">
        <v>24024</v>
      </c>
      <c r="KF366" s="263" t="s">
        <v>52</v>
      </c>
      <c r="KG366" s="263" t="s">
        <v>70</v>
      </c>
      <c r="KH366" s="263" t="s">
        <v>1083</v>
      </c>
      <c r="KJ366" s="263" t="s">
        <v>24025</v>
      </c>
      <c r="KK366" s="263" t="s">
        <v>52</v>
      </c>
      <c r="KL366" s="263" t="s">
        <v>74</v>
      </c>
      <c r="KM366" s="263" t="s">
        <v>34074</v>
      </c>
      <c r="KO366" s="214" t="s">
        <v>24026</v>
      </c>
      <c r="KP366" s="214" t="s">
        <v>145</v>
      </c>
      <c r="KQ366" s="214" t="s">
        <v>70</v>
      </c>
      <c r="KR366" s="214" t="s">
        <v>67</v>
      </c>
      <c r="KT366" s="22" t="s">
        <v>24027</v>
      </c>
      <c r="KU366" s="22" t="s">
        <v>145</v>
      </c>
      <c r="KV366" s="22" t="s">
        <v>70</v>
      </c>
      <c r="KW366" s="22" t="s">
        <v>67</v>
      </c>
      <c r="KY366" s="214" t="s">
        <v>24028</v>
      </c>
      <c r="KZ366" s="214" t="s">
        <v>52</v>
      </c>
      <c r="LA366" s="214" t="s">
        <v>74</v>
      </c>
      <c r="LB366" s="214" t="s">
        <v>67</v>
      </c>
      <c r="LD366" s="22" t="s">
        <v>24029</v>
      </c>
      <c r="LE366" s="22" t="s">
        <v>145</v>
      </c>
      <c r="LF366" s="22" t="s">
        <v>70</v>
      </c>
      <c r="LG366" s="22" t="s">
        <v>67</v>
      </c>
    </row>
    <row r="367" spans="1:319">
      <c r="A367" s="22" t="s">
        <v>24030</v>
      </c>
      <c r="B367" s="22" t="s">
        <v>145</v>
      </c>
      <c r="C367" s="22" t="s">
        <v>70</v>
      </c>
      <c r="D367" s="22" t="s">
        <v>67</v>
      </c>
      <c r="F367" s="99" t="s">
        <v>24031</v>
      </c>
      <c r="G367" s="22" t="s">
        <v>145</v>
      </c>
      <c r="H367" s="22" t="s">
        <v>70</v>
      </c>
      <c r="I367" s="22" t="s">
        <v>67</v>
      </c>
      <c r="K367" s="99" t="s">
        <v>24032</v>
      </c>
      <c r="L367" s="22" t="s">
        <v>145</v>
      </c>
      <c r="M367" s="22" t="s">
        <v>70</v>
      </c>
      <c r="N367" s="22" t="s">
        <v>67</v>
      </c>
      <c r="P367" s="230" t="s">
        <v>24033</v>
      </c>
      <c r="Q367" s="218" t="s">
        <v>145</v>
      </c>
      <c r="R367" s="218" t="s">
        <v>72</v>
      </c>
      <c r="S367" s="218" t="s">
        <v>33968</v>
      </c>
      <c r="U367" s="293" t="s">
        <v>24034</v>
      </c>
      <c r="V367" s="293" t="s">
        <v>145</v>
      </c>
      <c r="W367" s="293" t="s">
        <v>74</v>
      </c>
      <c r="X367" s="293" t="s">
        <v>656</v>
      </c>
      <c r="Z367" s="293" t="s">
        <v>24035</v>
      </c>
      <c r="AA367" s="293" t="s">
        <v>145</v>
      </c>
      <c r="AB367" s="293" t="s">
        <v>74</v>
      </c>
      <c r="AC367" s="293" t="s">
        <v>656</v>
      </c>
      <c r="AE367" s="293" t="s">
        <v>24036</v>
      </c>
      <c r="AF367" s="293" t="s">
        <v>145</v>
      </c>
      <c r="AG367" s="293" t="s">
        <v>74</v>
      </c>
      <c r="AH367" s="293" t="s">
        <v>656</v>
      </c>
      <c r="AJ367" s="293" t="s">
        <v>24037</v>
      </c>
      <c r="AK367" s="293" t="s">
        <v>145</v>
      </c>
      <c r="AL367" s="293" t="s">
        <v>74</v>
      </c>
      <c r="AM367" s="293" t="s">
        <v>656</v>
      </c>
      <c r="AO367" s="22" t="s">
        <v>24038</v>
      </c>
      <c r="AP367" s="22" t="s">
        <v>145</v>
      </c>
      <c r="AQ367" s="22" t="s">
        <v>70</v>
      </c>
      <c r="AR367" s="22" t="s">
        <v>67</v>
      </c>
      <c r="AT367" s="22" t="s">
        <v>24039</v>
      </c>
      <c r="AU367" s="22" t="s">
        <v>145</v>
      </c>
      <c r="AV367" s="22" t="s">
        <v>70</v>
      </c>
      <c r="AW367" s="22" t="s">
        <v>67</v>
      </c>
      <c r="AY367" s="22" t="s">
        <v>24040</v>
      </c>
      <c r="AZ367" s="22" t="s">
        <v>145</v>
      </c>
      <c r="BA367" s="22" t="s">
        <v>70</v>
      </c>
      <c r="BB367" s="22" t="s">
        <v>67</v>
      </c>
      <c r="BD367" s="22" t="s">
        <v>24041</v>
      </c>
      <c r="BE367" s="22" t="s">
        <v>145</v>
      </c>
      <c r="BF367" s="22" t="s">
        <v>70</v>
      </c>
      <c r="BG367" s="22" t="s">
        <v>67</v>
      </c>
      <c r="BI367" s="22" t="s">
        <v>24042</v>
      </c>
      <c r="BJ367" s="22" t="s">
        <v>145</v>
      </c>
      <c r="BK367" s="22" t="s">
        <v>70</v>
      </c>
      <c r="BL367" s="22" t="s">
        <v>67</v>
      </c>
      <c r="BN367" s="22" t="s">
        <v>24043</v>
      </c>
      <c r="BO367" s="22" t="s">
        <v>145</v>
      </c>
      <c r="BP367" s="22" t="s">
        <v>70</v>
      </c>
      <c r="BQ367" s="22" t="s">
        <v>67</v>
      </c>
      <c r="BS367" s="22" t="s">
        <v>24044</v>
      </c>
      <c r="BT367" s="22" t="s">
        <v>145</v>
      </c>
      <c r="BU367" s="22" t="s">
        <v>70</v>
      </c>
      <c r="BV367" s="214" t="s">
        <v>530</v>
      </c>
      <c r="BX367" s="22" t="s">
        <v>24045</v>
      </c>
      <c r="BY367" s="22" t="s">
        <v>145</v>
      </c>
      <c r="BZ367" s="22" t="s">
        <v>70</v>
      </c>
      <c r="CA367" s="214" t="s">
        <v>530</v>
      </c>
      <c r="CC367" s="214" t="s">
        <v>24046</v>
      </c>
      <c r="CD367" s="218" t="s">
        <v>518</v>
      </c>
      <c r="CE367" s="214" t="s">
        <v>70</v>
      </c>
      <c r="CF367" s="214" t="s">
        <v>34173</v>
      </c>
      <c r="CH367" s="214" t="s">
        <v>24047</v>
      </c>
      <c r="CI367" s="214" t="s">
        <v>955</v>
      </c>
      <c r="CJ367" s="214" t="s">
        <v>70</v>
      </c>
      <c r="CK367" s="214" t="s">
        <v>530</v>
      </c>
      <c r="CM367" s="214" t="s">
        <v>24048</v>
      </c>
      <c r="CN367" s="214" t="s">
        <v>491</v>
      </c>
      <c r="CO367" s="214" t="s">
        <v>70</v>
      </c>
      <c r="CP367" s="214" t="s">
        <v>530</v>
      </c>
      <c r="CR367" s="214" t="s">
        <v>24049</v>
      </c>
      <c r="CS367" s="214" t="s">
        <v>488</v>
      </c>
      <c r="CT367" s="214" t="s">
        <v>70</v>
      </c>
      <c r="CU367" s="214" t="s">
        <v>530</v>
      </c>
      <c r="CW367" s="214" t="s">
        <v>24050</v>
      </c>
      <c r="CX367" s="214" t="s">
        <v>148</v>
      </c>
      <c r="CY367" s="214" t="s">
        <v>70</v>
      </c>
      <c r="CZ367" s="214" t="s">
        <v>530</v>
      </c>
      <c r="DB367" s="214" t="s">
        <v>24051</v>
      </c>
      <c r="DC367" s="214" t="s">
        <v>485</v>
      </c>
      <c r="DD367" s="214" t="s">
        <v>70</v>
      </c>
      <c r="DE367" s="214" t="s">
        <v>530</v>
      </c>
      <c r="DG367" s="214" t="s">
        <v>24052</v>
      </c>
      <c r="DH367" s="214" t="s">
        <v>955</v>
      </c>
      <c r="DI367" s="214" t="s">
        <v>70</v>
      </c>
      <c r="DJ367" s="214" t="s">
        <v>530</v>
      </c>
      <c r="DL367" s="214" t="s">
        <v>24053</v>
      </c>
      <c r="DM367" s="214" t="s">
        <v>501</v>
      </c>
      <c r="DN367" s="214" t="s">
        <v>70</v>
      </c>
      <c r="DO367" s="214" t="s">
        <v>530</v>
      </c>
      <c r="DQ367" s="214" t="s">
        <v>24054</v>
      </c>
      <c r="DR367" s="214" t="s">
        <v>486</v>
      </c>
      <c r="DS367" s="214" t="s">
        <v>70</v>
      </c>
      <c r="DT367" s="214" t="s">
        <v>530</v>
      </c>
      <c r="DV367" s="214" t="s">
        <v>24055</v>
      </c>
      <c r="DW367" s="214" t="s">
        <v>486</v>
      </c>
      <c r="DX367" s="214" t="s">
        <v>70</v>
      </c>
      <c r="DY367" s="214" t="s">
        <v>530</v>
      </c>
      <c r="EA367" s="214" t="s">
        <v>24056</v>
      </c>
      <c r="EB367" s="214" t="s">
        <v>52</v>
      </c>
      <c r="EC367" s="214" t="s">
        <v>70</v>
      </c>
      <c r="ED367" s="214" t="s">
        <v>530</v>
      </c>
      <c r="EF367" s="214" t="s">
        <v>24057</v>
      </c>
      <c r="EG367" s="214" t="s">
        <v>34544</v>
      </c>
      <c r="EH367" s="214" t="s">
        <v>70</v>
      </c>
      <c r="EI367" s="214" t="s">
        <v>530</v>
      </c>
      <c r="EK367" s="214" t="s">
        <v>24058</v>
      </c>
      <c r="EL367" s="214" t="s">
        <v>34542</v>
      </c>
      <c r="EM367" s="214" t="s">
        <v>70</v>
      </c>
      <c r="EN367" s="214" t="s">
        <v>530</v>
      </c>
      <c r="EP367" s="214" t="s">
        <v>24059</v>
      </c>
      <c r="EQ367" s="214" t="s">
        <v>34542</v>
      </c>
      <c r="ER367" s="214" t="s">
        <v>70</v>
      </c>
      <c r="ES367" s="214" t="s">
        <v>530</v>
      </c>
      <c r="EU367" s="214" t="s">
        <v>24060</v>
      </c>
      <c r="EV367" s="214" t="s">
        <v>34550</v>
      </c>
      <c r="EW367" s="214" t="s">
        <v>70</v>
      </c>
      <c r="EX367" s="214" t="s">
        <v>530</v>
      </c>
      <c r="EZ367" s="214" t="s">
        <v>24061</v>
      </c>
      <c r="FA367" s="214" t="s">
        <v>52</v>
      </c>
      <c r="FB367" s="214" t="s">
        <v>70</v>
      </c>
      <c r="FC367" s="214" t="s">
        <v>530</v>
      </c>
      <c r="FE367" s="214" t="s">
        <v>24062</v>
      </c>
      <c r="FF367" s="214" t="s">
        <v>34553</v>
      </c>
      <c r="FG367" s="214" t="s">
        <v>70</v>
      </c>
      <c r="FH367" s="214" t="s">
        <v>530</v>
      </c>
      <c r="FJ367" s="321" t="s">
        <v>24063</v>
      </c>
      <c r="FK367" s="214" t="s">
        <v>203</v>
      </c>
      <c r="FL367" s="214" t="s">
        <v>70</v>
      </c>
      <c r="FM367" s="214" t="s">
        <v>530</v>
      </c>
      <c r="FO367" s="321" t="s">
        <v>24064</v>
      </c>
      <c r="FP367" s="214" t="s">
        <v>145</v>
      </c>
      <c r="FQ367" s="214" t="s">
        <v>70</v>
      </c>
      <c r="FR367" s="214" t="s">
        <v>530</v>
      </c>
      <c r="FT367" s="321" t="s">
        <v>24065</v>
      </c>
      <c r="FU367" s="214" t="s">
        <v>206</v>
      </c>
      <c r="FV367" s="214" t="s">
        <v>70</v>
      </c>
      <c r="FW367" s="214" t="s">
        <v>530</v>
      </c>
      <c r="FY367" s="321" t="s">
        <v>24066</v>
      </c>
      <c r="FZ367" s="214" t="s">
        <v>34544</v>
      </c>
      <c r="GA367" s="214" t="s">
        <v>70</v>
      </c>
      <c r="GB367" s="214" t="s">
        <v>530</v>
      </c>
      <c r="GD367" s="321" t="s">
        <v>24067</v>
      </c>
      <c r="GE367" s="214" t="s">
        <v>956</v>
      </c>
      <c r="GF367" s="214" t="s">
        <v>70</v>
      </c>
      <c r="GG367" s="214" t="s">
        <v>530</v>
      </c>
      <c r="GI367" s="321" t="s">
        <v>24068</v>
      </c>
      <c r="GJ367" s="214" t="s">
        <v>950</v>
      </c>
      <c r="GK367" s="214" t="s">
        <v>70</v>
      </c>
      <c r="GL367" s="214" t="s">
        <v>530</v>
      </c>
      <c r="GN367" s="321" t="s">
        <v>24069</v>
      </c>
      <c r="GO367" s="214" t="s">
        <v>496</v>
      </c>
      <c r="GP367" s="214" t="s">
        <v>70</v>
      </c>
      <c r="GQ367" s="214" t="s">
        <v>530</v>
      </c>
      <c r="GS367" s="321" t="s">
        <v>24070</v>
      </c>
      <c r="GT367" s="214" t="s">
        <v>149</v>
      </c>
      <c r="GU367" s="214" t="s">
        <v>70</v>
      </c>
      <c r="GV367" s="214" t="s">
        <v>530</v>
      </c>
      <c r="GX367" s="214" t="s">
        <v>24071</v>
      </c>
      <c r="GY367" s="214" t="s">
        <v>146</v>
      </c>
      <c r="GZ367" s="214" t="s">
        <v>70</v>
      </c>
      <c r="HA367" s="214" t="s">
        <v>530</v>
      </c>
      <c r="HC367" s="214" t="s">
        <v>24072</v>
      </c>
      <c r="HD367" s="214" t="s">
        <v>103</v>
      </c>
      <c r="HE367" s="214" t="s">
        <v>70</v>
      </c>
      <c r="HF367" s="214" t="s">
        <v>530</v>
      </c>
      <c r="HH367" s="214" t="s">
        <v>24073</v>
      </c>
      <c r="HI367" s="214" t="s">
        <v>955</v>
      </c>
      <c r="HJ367" s="214" t="s">
        <v>70</v>
      </c>
      <c r="HK367" s="214" t="s">
        <v>530</v>
      </c>
      <c r="HM367" s="214" t="s">
        <v>24074</v>
      </c>
      <c r="HN367" s="214" t="s">
        <v>468</v>
      </c>
      <c r="HO367" s="214" t="s">
        <v>70</v>
      </c>
      <c r="HP367" s="214" t="s">
        <v>530</v>
      </c>
      <c r="HR367" s="22" t="s">
        <v>24075</v>
      </c>
      <c r="HS367" s="22" t="s">
        <v>52</v>
      </c>
      <c r="HT367" s="22" t="s">
        <v>70</v>
      </c>
      <c r="HU367" s="214" t="s">
        <v>530</v>
      </c>
      <c r="HW367" s="22" t="s">
        <v>24076</v>
      </c>
      <c r="HX367" s="22" t="s">
        <v>146</v>
      </c>
      <c r="HY367" s="22" t="s">
        <v>70</v>
      </c>
      <c r="HZ367" s="214" t="s">
        <v>530</v>
      </c>
      <c r="IB367" s="22" t="s">
        <v>24077</v>
      </c>
      <c r="IC367" s="22" t="s">
        <v>164</v>
      </c>
      <c r="ID367" s="22" t="s">
        <v>70</v>
      </c>
      <c r="IE367" s="214" t="s">
        <v>530</v>
      </c>
      <c r="IG367" s="22" t="s">
        <v>24078</v>
      </c>
      <c r="IH367" s="22" t="s">
        <v>52</v>
      </c>
      <c r="II367" s="22" t="s">
        <v>70</v>
      </c>
      <c r="IJ367" s="214" t="s">
        <v>530</v>
      </c>
      <c r="IL367" s="22" t="s">
        <v>24079</v>
      </c>
      <c r="IM367" s="22" t="s">
        <v>145</v>
      </c>
      <c r="IN367" s="22" t="s">
        <v>70</v>
      </c>
      <c r="IO367" s="214" t="s">
        <v>530</v>
      </c>
      <c r="IQ367" s="236" t="s">
        <v>24080</v>
      </c>
      <c r="IR367" s="236" t="s">
        <v>145</v>
      </c>
      <c r="IS367" s="236" t="s">
        <v>74</v>
      </c>
      <c r="IT367" s="236" t="s">
        <v>841</v>
      </c>
      <c r="IV367" s="236" t="s">
        <v>24081</v>
      </c>
      <c r="IW367" s="236" t="s">
        <v>145</v>
      </c>
      <c r="IX367" s="236" t="s">
        <v>74</v>
      </c>
      <c r="IY367" s="236" t="s">
        <v>841</v>
      </c>
      <c r="JA367" s="236" t="s">
        <v>24082</v>
      </c>
      <c r="JB367" s="236" t="s">
        <v>145</v>
      </c>
      <c r="JC367" s="236" t="s">
        <v>74</v>
      </c>
      <c r="JD367" s="236" t="s">
        <v>841</v>
      </c>
      <c r="JF367" s="236" t="s">
        <v>24083</v>
      </c>
      <c r="JG367" s="236" t="s">
        <v>145</v>
      </c>
      <c r="JH367" s="236" t="s">
        <v>74</v>
      </c>
      <c r="JI367" s="236" t="s">
        <v>841</v>
      </c>
      <c r="JK367" s="236" t="s">
        <v>24084</v>
      </c>
      <c r="JL367" s="236" t="s">
        <v>145</v>
      </c>
      <c r="JM367" s="236" t="s">
        <v>74</v>
      </c>
      <c r="JN367" s="236" t="s">
        <v>841</v>
      </c>
      <c r="JP367" s="236" t="s">
        <v>24085</v>
      </c>
      <c r="JQ367" s="236" t="s">
        <v>145</v>
      </c>
      <c r="JR367" s="236" t="s">
        <v>74</v>
      </c>
      <c r="JS367" s="236" t="s">
        <v>841</v>
      </c>
      <c r="JU367" s="294" t="s">
        <v>24086</v>
      </c>
      <c r="JV367" s="294" t="s">
        <v>52</v>
      </c>
      <c r="JW367" s="263" t="s">
        <v>70</v>
      </c>
      <c r="JX367" s="294" t="s">
        <v>1083</v>
      </c>
      <c r="JZ367" s="263" t="s">
        <v>24087</v>
      </c>
      <c r="KA367" s="263" t="s">
        <v>145</v>
      </c>
      <c r="KB367" s="263" t="s">
        <v>70</v>
      </c>
      <c r="KC367" s="263" t="s">
        <v>1083</v>
      </c>
      <c r="KE367" s="263" t="s">
        <v>24088</v>
      </c>
      <c r="KF367" s="263" t="s">
        <v>52</v>
      </c>
      <c r="KG367" s="263" t="s">
        <v>70</v>
      </c>
      <c r="KH367" s="263" t="s">
        <v>1083</v>
      </c>
      <c r="KJ367" s="263" t="s">
        <v>24089</v>
      </c>
      <c r="KK367" s="263" t="s">
        <v>52</v>
      </c>
      <c r="KL367" s="263" t="s">
        <v>74</v>
      </c>
      <c r="KM367" s="263" t="s">
        <v>34074</v>
      </c>
      <c r="KO367" s="214" t="s">
        <v>24090</v>
      </c>
      <c r="KP367" s="214" t="s">
        <v>145</v>
      </c>
      <c r="KQ367" s="214" t="s">
        <v>70</v>
      </c>
      <c r="KR367" s="214" t="s">
        <v>67</v>
      </c>
      <c r="KT367" s="22" t="s">
        <v>24091</v>
      </c>
      <c r="KU367" s="22" t="s">
        <v>145</v>
      </c>
      <c r="KV367" s="22" t="s">
        <v>70</v>
      </c>
      <c r="KW367" s="22" t="s">
        <v>67</v>
      </c>
      <c r="KY367" s="214" t="s">
        <v>24092</v>
      </c>
      <c r="KZ367" s="214" t="s">
        <v>52</v>
      </c>
      <c r="LA367" s="214" t="s">
        <v>74</v>
      </c>
      <c r="LB367" s="214" t="s">
        <v>67</v>
      </c>
      <c r="LD367" s="22" t="s">
        <v>24093</v>
      </c>
      <c r="LE367" s="22" t="s">
        <v>145</v>
      </c>
      <c r="LF367" s="22" t="s">
        <v>70</v>
      </c>
      <c r="LG367" s="22" t="s">
        <v>67</v>
      </c>
    </row>
    <row r="368" spans="1:319">
      <c r="A368" s="22" t="s">
        <v>24094</v>
      </c>
      <c r="B368" s="22" t="s">
        <v>145</v>
      </c>
      <c r="C368" s="22" t="s">
        <v>70</v>
      </c>
      <c r="D368" s="22" t="s">
        <v>67</v>
      </c>
      <c r="F368" s="99" t="s">
        <v>24095</v>
      </c>
      <c r="G368" s="22" t="s">
        <v>145</v>
      </c>
      <c r="H368" s="22" t="s">
        <v>70</v>
      </c>
      <c r="I368" s="22" t="s">
        <v>67</v>
      </c>
      <c r="K368" s="99" t="s">
        <v>24096</v>
      </c>
      <c r="L368" s="22" t="s">
        <v>145</v>
      </c>
      <c r="M368" s="22" t="s">
        <v>70</v>
      </c>
      <c r="N368" s="22" t="s">
        <v>67</v>
      </c>
      <c r="P368" s="230" t="s">
        <v>24097</v>
      </c>
      <c r="Q368" s="218" t="s">
        <v>145</v>
      </c>
      <c r="R368" s="218" t="s">
        <v>72</v>
      </c>
      <c r="S368" s="218" t="s">
        <v>33969</v>
      </c>
      <c r="U368" s="293" t="s">
        <v>24098</v>
      </c>
      <c r="V368" s="293" t="s">
        <v>145</v>
      </c>
      <c r="W368" s="293" t="s">
        <v>74</v>
      </c>
      <c r="X368" s="293" t="s">
        <v>656</v>
      </c>
      <c r="Z368" s="293" t="s">
        <v>24099</v>
      </c>
      <c r="AA368" s="293" t="s">
        <v>145</v>
      </c>
      <c r="AB368" s="293" t="s">
        <v>74</v>
      </c>
      <c r="AC368" s="293" t="s">
        <v>656</v>
      </c>
      <c r="AE368" s="293" t="s">
        <v>24100</v>
      </c>
      <c r="AF368" s="293" t="s">
        <v>145</v>
      </c>
      <c r="AG368" s="293" t="s">
        <v>74</v>
      </c>
      <c r="AH368" s="293" t="s">
        <v>656</v>
      </c>
      <c r="AJ368" s="293" t="s">
        <v>24101</v>
      </c>
      <c r="AK368" s="293" t="s">
        <v>145</v>
      </c>
      <c r="AL368" s="293" t="s">
        <v>74</v>
      </c>
      <c r="AM368" s="293" t="s">
        <v>656</v>
      </c>
      <c r="AO368" s="22" t="s">
        <v>24102</v>
      </c>
      <c r="AP368" s="22" t="s">
        <v>145</v>
      </c>
      <c r="AQ368" s="22" t="s">
        <v>70</v>
      </c>
      <c r="AR368" s="22" t="s">
        <v>67</v>
      </c>
      <c r="AT368" s="22" t="s">
        <v>24103</v>
      </c>
      <c r="AU368" s="22" t="s">
        <v>145</v>
      </c>
      <c r="AV368" s="22" t="s">
        <v>70</v>
      </c>
      <c r="AW368" s="22" t="s">
        <v>67</v>
      </c>
      <c r="AY368" s="22" t="s">
        <v>24104</v>
      </c>
      <c r="AZ368" s="22" t="s">
        <v>145</v>
      </c>
      <c r="BA368" s="22" t="s">
        <v>70</v>
      </c>
      <c r="BB368" s="22" t="s">
        <v>67</v>
      </c>
      <c r="BD368" s="22" t="s">
        <v>24105</v>
      </c>
      <c r="BE368" s="22" t="s">
        <v>145</v>
      </c>
      <c r="BF368" s="22" t="s">
        <v>70</v>
      </c>
      <c r="BG368" s="22" t="s">
        <v>67</v>
      </c>
      <c r="BI368" s="22" t="s">
        <v>24106</v>
      </c>
      <c r="BJ368" s="22" t="s">
        <v>145</v>
      </c>
      <c r="BK368" s="22" t="s">
        <v>70</v>
      </c>
      <c r="BL368" s="22" t="s">
        <v>67</v>
      </c>
      <c r="BN368" s="22" t="s">
        <v>24107</v>
      </c>
      <c r="BO368" s="22" t="s">
        <v>145</v>
      </c>
      <c r="BP368" s="22" t="s">
        <v>70</v>
      </c>
      <c r="BQ368" s="22" t="s">
        <v>67</v>
      </c>
      <c r="BS368" s="22" t="s">
        <v>24108</v>
      </c>
      <c r="BT368" s="22" t="s">
        <v>145</v>
      </c>
      <c r="BU368" s="22" t="s">
        <v>70</v>
      </c>
      <c r="BV368" s="214" t="s">
        <v>530</v>
      </c>
      <c r="BX368" s="22" t="s">
        <v>24109</v>
      </c>
      <c r="BY368" s="22" t="s">
        <v>145</v>
      </c>
      <c r="BZ368" s="22" t="s">
        <v>70</v>
      </c>
      <c r="CA368" s="214" t="s">
        <v>530</v>
      </c>
      <c r="CC368" s="214" t="s">
        <v>24110</v>
      </c>
      <c r="CD368" s="218" t="s">
        <v>483</v>
      </c>
      <c r="CE368" s="214" t="s">
        <v>70</v>
      </c>
      <c r="CF368" s="214" t="s">
        <v>34174</v>
      </c>
      <c r="CH368" s="214" t="s">
        <v>24111</v>
      </c>
      <c r="CI368" s="214" t="s">
        <v>919</v>
      </c>
      <c r="CJ368" s="214" t="s">
        <v>70</v>
      </c>
      <c r="CK368" s="214" t="s">
        <v>530</v>
      </c>
      <c r="CM368" s="214" t="s">
        <v>24112</v>
      </c>
      <c r="CN368" s="214" t="s">
        <v>488</v>
      </c>
      <c r="CO368" s="214" t="s">
        <v>70</v>
      </c>
      <c r="CP368" s="214" t="s">
        <v>530</v>
      </c>
      <c r="CR368" s="214" t="s">
        <v>24113</v>
      </c>
      <c r="CS368" s="214" t="s">
        <v>85</v>
      </c>
      <c r="CT368" s="214" t="s">
        <v>70</v>
      </c>
      <c r="CU368" s="214" t="s">
        <v>530</v>
      </c>
      <c r="CW368" s="214" t="s">
        <v>24114</v>
      </c>
      <c r="CX368" s="214" t="s">
        <v>146</v>
      </c>
      <c r="CY368" s="214" t="s">
        <v>70</v>
      </c>
      <c r="CZ368" s="214" t="s">
        <v>530</v>
      </c>
      <c r="DB368" s="214" t="s">
        <v>24115</v>
      </c>
      <c r="DC368" s="214" t="s">
        <v>34545</v>
      </c>
      <c r="DD368" s="214" t="s">
        <v>70</v>
      </c>
      <c r="DE368" s="214" t="s">
        <v>530</v>
      </c>
      <c r="DG368" s="214" t="s">
        <v>24116</v>
      </c>
      <c r="DH368" s="214" t="s">
        <v>52</v>
      </c>
      <c r="DI368" s="214" t="s">
        <v>70</v>
      </c>
      <c r="DJ368" s="214" t="s">
        <v>530</v>
      </c>
      <c r="DL368" s="214" t="s">
        <v>24117</v>
      </c>
      <c r="DM368" s="214" t="s">
        <v>163</v>
      </c>
      <c r="DN368" s="214" t="s">
        <v>70</v>
      </c>
      <c r="DO368" s="214" t="s">
        <v>530</v>
      </c>
      <c r="DQ368" s="214" t="s">
        <v>24118</v>
      </c>
      <c r="DR368" s="214" t="s">
        <v>34590</v>
      </c>
      <c r="DS368" s="214" t="s">
        <v>70</v>
      </c>
      <c r="DT368" s="214" t="s">
        <v>530</v>
      </c>
      <c r="DV368" s="214" t="s">
        <v>24119</v>
      </c>
      <c r="DW368" s="214" t="s">
        <v>912</v>
      </c>
      <c r="DX368" s="214" t="s">
        <v>70</v>
      </c>
      <c r="DY368" s="214" t="s">
        <v>530</v>
      </c>
      <c r="EA368" s="214" t="s">
        <v>24120</v>
      </c>
      <c r="EB368" s="214" t="s">
        <v>34575</v>
      </c>
      <c r="EC368" s="214" t="s">
        <v>70</v>
      </c>
      <c r="ED368" s="214" t="s">
        <v>530</v>
      </c>
      <c r="EF368" s="214" t="s">
        <v>24121</v>
      </c>
      <c r="EG368" s="214" t="s">
        <v>34614</v>
      </c>
      <c r="EH368" s="214" t="s">
        <v>70</v>
      </c>
      <c r="EI368" s="214" t="s">
        <v>530</v>
      </c>
      <c r="EK368" s="214" t="s">
        <v>24122</v>
      </c>
      <c r="EL368" s="214" t="s">
        <v>52</v>
      </c>
      <c r="EM368" s="214" t="s">
        <v>70</v>
      </c>
      <c r="EN368" s="214" t="s">
        <v>530</v>
      </c>
      <c r="EP368" s="214" t="s">
        <v>24123</v>
      </c>
      <c r="EQ368" s="214" t="s">
        <v>287</v>
      </c>
      <c r="ER368" s="214" t="s">
        <v>70</v>
      </c>
      <c r="ES368" s="214" t="s">
        <v>530</v>
      </c>
      <c r="EU368" s="214" t="s">
        <v>24124</v>
      </c>
      <c r="EV368" s="214" t="s">
        <v>52</v>
      </c>
      <c r="EW368" s="214" t="s">
        <v>70</v>
      </c>
      <c r="EX368" s="214" t="s">
        <v>530</v>
      </c>
      <c r="EZ368" s="214" t="s">
        <v>24125</v>
      </c>
      <c r="FA368" s="214" t="s">
        <v>481</v>
      </c>
      <c r="FB368" s="214" t="s">
        <v>70</v>
      </c>
      <c r="FC368" s="214" t="s">
        <v>530</v>
      </c>
      <c r="FE368" s="214" t="s">
        <v>24126</v>
      </c>
      <c r="FF368" s="214" t="s">
        <v>163</v>
      </c>
      <c r="FG368" s="214" t="s">
        <v>70</v>
      </c>
      <c r="FH368" s="214" t="s">
        <v>530</v>
      </c>
      <c r="FJ368" s="321" t="s">
        <v>24127</v>
      </c>
      <c r="FK368" s="214" t="s">
        <v>917</v>
      </c>
      <c r="FL368" s="214" t="s">
        <v>70</v>
      </c>
      <c r="FM368" s="214" t="s">
        <v>530</v>
      </c>
      <c r="FO368" s="321" t="s">
        <v>24128</v>
      </c>
      <c r="FP368" s="214" t="s">
        <v>910</v>
      </c>
      <c r="FQ368" s="214" t="s">
        <v>70</v>
      </c>
      <c r="FR368" s="214" t="s">
        <v>530</v>
      </c>
      <c r="FT368" s="321" t="s">
        <v>24129</v>
      </c>
      <c r="FU368" s="214" t="s">
        <v>34619</v>
      </c>
      <c r="FV368" s="214" t="s">
        <v>70</v>
      </c>
      <c r="FW368" s="214" t="s">
        <v>530</v>
      </c>
      <c r="FY368" s="321" t="s">
        <v>24130</v>
      </c>
      <c r="FZ368" s="214" t="s">
        <v>103</v>
      </c>
      <c r="GA368" s="214" t="s">
        <v>70</v>
      </c>
      <c r="GB368" s="214" t="s">
        <v>530</v>
      </c>
      <c r="GD368" s="321" t="s">
        <v>24131</v>
      </c>
      <c r="GE368" s="214" t="s">
        <v>88</v>
      </c>
      <c r="GF368" s="214" t="s">
        <v>70</v>
      </c>
      <c r="GG368" s="214" t="s">
        <v>530</v>
      </c>
      <c r="GI368" s="321" t="s">
        <v>24132</v>
      </c>
      <c r="GJ368" s="214" t="s">
        <v>148</v>
      </c>
      <c r="GK368" s="214" t="s">
        <v>70</v>
      </c>
      <c r="GL368" s="214" t="s">
        <v>530</v>
      </c>
      <c r="GN368" s="321" t="s">
        <v>24133</v>
      </c>
      <c r="GO368" s="214" t="s">
        <v>92</v>
      </c>
      <c r="GP368" s="214" t="s">
        <v>70</v>
      </c>
      <c r="GQ368" s="214" t="s">
        <v>530</v>
      </c>
      <c r="GS368" s="321" t="s">
        <v>24134</v>
      </c>
      <c r="GT368" s="214" t="s">
        <v>292</v>
      </c>
      <c r="GU368" s="214" t="s">
        <v>70</v>
      </c>
      <c r="GV368" s="214" t="s">
        <v>530</v>
      </c>
      <c r="GX368" s="214" t="s">
        <v>24135</v>
      </c>
      <c r="GY368" s="214" t="s">
        <v>163</v>
      </c>
      <c r="GZ368" s="214" t="s">
        <v>70</v>
      </c>
      <c r="HA368" s="214" t="s">
        <v>530</v>
      </c>
      <c r="HC368" s="214" t="s">
        <v>24136</v>
      </c>
      <c r="HD368" s="214" t="s">
        <v>34574</v>
      </c>
      <c r="HE368" s="214" t="s">
        <v>70</v>
      </c>
      <c r="HF368" s="214" t="s">
        <v>530</v>
      </c>
      <c r="HH368" s="214" t="s">
        <v>24137</v>
      </c>
      <c r="HI368" s="214" t="s">
        <v>145</v>
      </c>
      <c r="HJ368" s="214" t="s">
        <v>70</v>
      </c>
      <c r="HK368" s="214" t="s">
        <v>530</v>
      </c>
      <c r="HM368" s="214" t="s">
        <v>24138</v>
      </c>
      <c r="HN368" s="214" t="s">
        <v>491</v>
      </c>
      <c r="HO368" s="214" t="s">
        <v>70</v>
      </c>
      <c r="HP368" s="214" t="s">
        <v>530</v>
      </c>
      <c r="HR368" s="22" t="s">
        <v>24139</v>
      </c>
      <c r="HS368" s="22" t="s">
        <v>148</v>
      </c>
      <c r="HT368" s="22" t="s">
        <v>70</v>
      </c>
      <c r="HU368" s="214" t="s">
        <v>530</v>
      </c>
      <c r="HW368" s="22" t="s">
        <v>24140</v>
      </c>
      <c r="HX368" s="22" t="s">
        <v>655</v>
      </c>
      <c r="HY368" s="22" t="s">
        <v>70</v>
      </c>
      <c r="HZ368" s="214" t="s">
        <v>530</v>
      </c>
      <c r="IB368" s="22" t="s">
        <v>24141</v>
      </c>
      <c r="IC368" s="22" t="s">
        <v>934</v>
      </c>
      <c r="ID368" s="22" t="s">
        <v>70</v>
      </c>
      <c r="IE368" s="214" t="s">
        <v>530</v>
      </c>
      <c r="IG368" s="22" t="s">
        <v>24142</v>
      </c>
      <c r="IH368" s="22" t="s">
        <v>52</v>
      </c>
      <c r="II368" s="22" t="s">
        <v>70</v>
      </c>
      <c r="IJ368" s="214" t="s">
        <v>530</v>
      </c>
      <c r="IL368" s="22" t="s">
        <v>24143</v>
      </c>
      <c r="IM368" s="22" t="s">
        <v>145</v>
      </c>
      <c r="IN368" s="22" t="s">
        <v>70</v>
      </c>
      <c r="IO368" s="214" t="s">
        <v>530</v>
      </c>
      <c r="IQ368" s="236" t="s">
        <v>24144</v>
      </c>
      <c r="IR368" s="236" t="s">
        <v>145</v>
      </c>
      <c r="IS368" s="236" t="s">
        <v>74</v>
      </c>
      <c r="IT368" s="236" t="s">
        <v>841</v>
      </c>
      <c r="IV368" s="236" t="s">
        <v>24145</v>
      </c>
      <c r="IW368" s="236" t="s">
        <v>145</v>
      </c>
      <c r="IX368" s="236" t="s">
        <v>74</v>
      </c>
      <c r="IY368" s="236" t="s">
        <v>841</v>
      </c>
      <c r="JA368" s="236" t="s">
        <v>24146</v>
      </c>
      <c r="JB368" s="236" t="s">
        <v>145</v>
      </c>
      <c r="JC368" s="236" t="s">
        <v>74</v>
      </c>
      <c r="JD368" s="236" t="s">
        <v>841</v>
      </c>
      <c r="JF368" s="236" t="s">
        <v>24147</v>
      </c>
      <c r="JG368" s="236" t="s">
        <v>145</v>
      </c>
      <c r="JH368" s="236" t="s">
        <v>74</v>
      </c>
      <c r="JI368" s="236" t="s">
        <v>841</v>
      </c>
      <c r="JK368" s="236" t="s">
        <v>24148</v>
      </c>
      <c r="JL368" s="236" t="s">
        <v>145</v>
      </c>
      <c r="JM368" s="236" t="s">
        <v>74</v>
      </c>
      <c r="JN368" s="236" t="s">
        <v>841</v>
      </c>
      <c r="JP368" s="236" t="s">
        <v>24149</v>
      </c>
      <c r="JQ368" s="236" t="s">
        <v>145</v>
      </c>
      <c r="JR368" s="236" t="s">
        <v>74</v>
      </c>
      <c r="JS368" s="236" t="s">
        <v>841</v>
      </c>
      <c r="JU368" s="294" t="s">
        <v>24150</v>
      </c>
      <c r="JV368" s="294" t="s">
        <v>52</v>
      </c>
      <c r="JW368" s="263" t="s">
        <v>70</v>
      </c>
      <c r="JX368" s="294" t="s">
        <v>1083</v>
      </c>
      <c r="JZ368" s="263" t="s">
        <v>24151</v>
      </c>
      <c r="KA368" s="263" t="s">
        <v>145</v>
      </c>
      <c r="KB368" s="263" t="s">
        <v>70</v>
      </c>
      <c r="KC368" s="263" t="s">
        <v>1083</v>
      </c>
      <c r="KE368" s="263" t="s">
        <v>24152</v>
      </c>
      <c r="KF368" s="263" t="s">
        <v>52</v>
      </c>
      <c r="KG368" s="263" t="s">
        <v>70</v>
      </c>
      <c r="KH368" s="263" t="s">
        <v>1083</v>
      </c>
      <c r="KJ368" s="263" t="s">
        <v>24153</v>
      </c>
      <c r="KK368" s="263" t="s">
        <v>52</v>
      </c>
      <c r="KL368" s="263" t="s">
        <v>74</v>
      </c>
      <c r="KM368" s="263" t="s">
        <v>34074</v>
      </c>
      <c r="KO368" s="214" t="s">
        <v>24154</v>
      </c>
      <c r="KP368" s="214" t="s">
        <v>145</v>
      </c>
      <c r="KQ368" s="214" t="s">
        <v>70</v>
      </c>
      <c r="KR368" s="214" t="s">
        <v>67</v>
      </c>
      <c r="KT368" s="22" t="s">
        <v>24155</v>
      </c>
      <c r="KU368" s="22" t="s">
        <v>145</v>
      </c>
      <c r="KV368" s="22" t="s">
        <v>70</v>
      </c>
      <c r="KW368" s="22" t="s">
        <v>67</v>
      </c>
      <c r="KY368" s="214" t="s">
        <v>24156</v>
      </c>
      <c r="KZ368" s="214" t="s">
        <v>52</v>
      </c>
      <c r="LA368" s="214" t="s">
        <v>74</v>
      </c>
      <c r="LB368" s="214" t="s">
        <v>67</v>
      </c>
      <c r="LD368" s="22" t="s">
        <v>24157</v>
      </c>
      <c r="LE368" s="22" t="s">
        <v>145</v>
      </c>
      <c r="LF368" s="22" t="s">
        <v>70</v>
      </c>
      <c r="LG368" s="22" t="s">
        <v>67</v>
      </c>
    </row>
    <row r="369" spans="1:319">
      <c r="A369" s="22" t="s">
        <v>24158</v>
      </c>
      <c r="B369" s="22" t="s">
        <v>145</v>
      </c>
      <c r="C369" s="22" t="s">
        <v>70</v>
      </c>
      <c r="D369" s="22" t="s">
        <v>67</v>
      </c>
      <c r="F369" s="99" t="s">
        <v>24159</v>
      </c>
      <c r="G369" s="22" t="s">
        <v>145</v>
      </c>
      <c r="H369" s="22" t="s">
        <v>70</v>
      </c>
      <c r="I369" s="22" t="s">
        <v>67</v>
      </c>
      <c r="K369" s="99" t="s">
        <v>24160</v>
      </c>
      <c r="L369" s="22" t="s">
        <v>145</v>
      </c>
      <c r="M369" s="22" t="s">
        <v>70</v>
      </c>
      <c r="N369" s="22" t="s">
        <v>67</v>
      </c>
      <c r="P369" s="230" t="s">
        <v>24161</v>
      </c>
      <c r="Q369" s="218" t="s">
        <v>145</v>
      </c>
      <c r="R369" s="218" t="s">
        <v>72</v>
      </c>
      <c r="S369" s="218" t="s">
        <v>33970</v>
      </c>
      <c r="U369" s="293" t="s">
        <v>24162</v>
      </c>
      <c r="V369" s="293" t="s">
        <v>145</v>
      </c>
      <c r="W369" s="293" t="s">
        <v>74</v>
      </c>
      <c r="X369" s="293" t="s">
        <v>656</v>
      </c>
      <c r="Z369" s="293" t="s">
        <v>24163</v>
      </c>
      <c r="AA369" s="293" t="s">
        <v>145</v>
      </c>
      <c r="AB369" s="293" t="s">
        <v>74</v>
      </c>
      <c r="AC369" s="293" t="s">
        <v>656</v>
      </c>
      <c r="AE369" s="293" t="s">
        <v>24164</v>
      </c>
      <c r="AF369" s="293" t="s">
        <v>145</v>
      </c>
      <c r="AG369" s="293" t="s">
        <v>74</v>
      </c>
      <c r="AH369" s="293" t="s">
        <v>656</v>
      </c>
      <c r="AJ369" s="293" t="s">
        <v>24165</v>
      </c>
      <c r="AK369" s="293" t="s">
        <v>145</v>
      </c>
      <c r="AL369" s="293" t="s">
        <v>74</v>
      </c>
      <c r="AM369" s="293" t="s">
        <v>656</v>
      </c>
      <c r="AO369" s="22" t="s">
        <v>24166</v>
      </c>
      <c r="AP369" s="22" t="s">
        <v>145</v>
      </c>
      <c r="AQ369" s="22" t="s">
        <v>70</v>
      </c>
      <c r="AR369" s="22" t="s">
        <v>67</v>
      </c>
      <c r="AT369" s="22" t="s">
        <v>24167</v>
      </c>
      <c r="AU369" s="22" t="s">
        <v>145</v>
      </c>
      <c r="AV369" s="22" t="s">
        <v>70</v>
      </c>
      <c r="AW369" s="22" t="s">
        <v>67</v>
      </c>
      <c r="AY369" s="22" t="s">
        <v>24168</v>
      </c>
      <c r="AZ369" s="22" t="s">
        <v>145</v>
      </c>
      <c r="BA369" s="22" t="s">
        <v>70</v>
      </c>
      <c r="BB369" s="22" t="s">
        <v>67</v>
      </c>
      <c r="BD369" s="22" t="s">
        <v>24169</v>
      </c>
      <c r="BE369" s="22" t="s">
        <v>145</v>
      </c>
      <c r="BF369" s="22" t="s">
        <v>70</v>
      </c>
      <c r="BG369" s="22" t="s">
        <v>67</v>
      </c>
      <c r="BI369" s="22" t="s">
        <v>24170</v>
      </c>
      <c r="BJ369" s="22" t="s">
        <v>145</v>
      </c>
      <c r="BK369" s="22" t="s">
        <v>70</v>
      </c>
      <c r="BL369" s="22" t="s">
        <v>67</v>
      </c>
      <c r="BN369" s="22" t="s">
        <v>24171</v>
      </c>
      <c r="BO369" s="22" t="s">
        <v>145</v>
      </c>
      <c r="BP369" s="22" t="s">
        <v>70</v>
      </c>
      <c r="BQ369" s="22" t="s">
        <v>67</v>
      </c>
      <c r="BS369" s="22" t="s">
        <v>24172</v>
      </c>
      <c r="BT369" s="22" t="s">
        <v>145</v>
      </c>
      <c r="BU369" s="22" t="s">
        <v>70</v>
      </c>
      <c r="BV369" s="214" t="s">
        <v>530</v>
      </c>
      <c r="BX369" s="22" t="s">
        <v>24173</v>
      </c>
      <c r="BY369" s="22" t="s">
        <v>145</v>
      </c>
      <c r="BZ369" s="22" t="s">
        <v>70</v>
      </c>
      <c r="CA369" s="214" t="s">
        <v>530</v>
      </c>
      <c r="CC369" s="214" t="s">
        <v>24174</v>
      </c>
      <c r="CD369" s="218" t="s">
        <v>955</v>
      </c>
      <c r="CE369" s="214" t="s">
        <v>70</v>
      </c>
      <c r="CF369" s="214" t="s">
        <v>34175</v>
      </c>
      <c r="CH369" s="214" t="s">
        <v>24175</v>
      </c>
      <c r="CI369" s="214" t="s">
        <v>34550</v>
      </c>
      <c r="CJ369" s="214" t="s">
        <v>70</v>
      </c>
      <c r="CK369" s="214" t="s">
        <v>530</v>
      </c>
      <c r="CM369" s="214" t="s">
        <v>24176</v>
      </c>
      <c r="CN369" s="214" t="s">
        <v>488</v>
      </c>
      <c r="CO369" s="214" t="s">
        <v>70</v>
      </c>
      <c r="CP369" s="214" t="s">
        <v>530</v>
      </c>
      <c r="CR369" s="214" t="s">
        <v>24177</v>
      </c>
      <c r="CS369" s="214" t="s">
        <v>484</v>
      </c>
      <c r="CT369" s="214" t="s">
        <v>70</v>
      </c>
      <c r="CU369" s="214" t="s">
        <v>530</v>
      </c>
      <c r="CW369" s="214" t="s">
        <v>24178</v>
      </c>
      <c r="CX369" s="214" t="s">
        <v>933</v>
      </c>
      <c r="CY369" s="214" t="s">
        <v>70</v>
      </c>
      <c r="CZ369" s="214" t="s">
        <v>530</v>
      </c>
      <c r="DB369" s="214" t="s">
        <v>24179</v>
      </c>
      <c r="DC369" s="214" t="s">
        <v>34561</v>
      </c>
      <c r="DD369" s="214" t="s">
        <v>70</v>
      </c>
      <c r="DE369" s="214" t="s">
        <v>530</v>
      </c>
      <c r="DG369" s="214" t="s">
        <v>24180</v>
      </c>
      <c r="DH369" s="214" t="s">
        <v>485</v>
      </c>
      <c r="DI369" s="214" t="s">
        <v>70</v>
      </c>
      <c r="DJ369" s="214" t="s">
        <v>530</v>
      </c>
      <c r="DL369" s="214" t="s">
        <v>24181</v>
      </c>
      <c r="DM369" s="214" t="s">
        <v>34542</v>
      </c>
      <c r="DN369" s="214" t="s">
        <v>70</v>
      </c>
      <c r="DO369" s="214" t="s">
        <v>530</v>
      </c>
      <c r="DQ369" s="214" t="s">
        <v>24182</v>
      </c>
      <c r="DR369" s="214" t="s">
        <v>910</v>
      </c>
      <c r="DS369" s="214" t="s">
        <v>70</v>
      </c>
      <c r="DT369" s="214" t="s">
        <v>530</v>
      </c>
      <c r="DV369" s="214" t="s">
        <v>24183</v>
      </c>
      <c r="DW369" s="214" t="s">
        <v>34548</v>
      </c>
      <c r="DX369" s="214" t="s">
        <v>70</v>
      </c>
      <c r="DY369" s="214" t="s">
        <v>530</v>
      </c>
      <c r="EA369" s="214" t="s">
        <v>24184</v>
      </c>
      <c r="EB369" s="214" t="s">
        <v>93</v>
      </c>
      <c r="EC369" s="214" t="s">
        <v>70</v>
      </c>
      <c r="ED369" s="214" t="s">
        <v>530</v>
      </c>
      <c r="EF369" s="214" t="s">
        <v>24185</v>
      </c>
      <c r="EG369" s="214" t="s">
        <v>501</v>
      </c>
      <c r="EH369" s="214" t="s">
        <v>70</v>
      </c>
      <c r="EI369" s="214" t="s">
        <v>530</v>
      </c>
      <c r="EK369" s="214" t="s">
        <v>24186</v>
      </c>
      <c r="EL369" s="214" t="s">
        <v>531</v>
      </c>
      <c r="EM369" s="214" t="s">
        <v>70</v>
      </c>
      <c r="EN369" s="214" t="s">
        <v>530</v>
      </c>
      <c r="EP369" s="214" t="s">
        <v>24187</v>
      </c>
      <c r="EQ369" s="214" t="s">
        <v>468</v>
      </c>
      <c r="ER369" s="214" t="s">
        <v>70</v>
      </c>
      <c r="ES369" s="214" t="s">
        <v>530</v>
      </c>
      <c r="EU369" s="214" t="s">
        <v>24188</v>
      </c>
      <c r="EV369" s="214" t="s">
        <v>34540</v>
      </c>
      <c r="EW369" s="214" t="s">
        <v>70</v>
      </c>
      <c r="EX369" s="214" t="s">
        <v>530</v>
      </c>
      <c r="EZ369" s="214" t="s">
        <v>24189</v>
      </c>
      <c r="FA369" s="214" t="s">
        <v>496</v>
      </c>
      <c r="FB369" s="214" t="s">
        <v>70</v>
      </c>
      <c r="FC369" s="214" t="s">
        <v>530</v>
      </c>
      <c r="FE369" s="214" t="s">
        <v>24190</v>
      </c>
      <c r="FF369" s="214" t="s">
        <v>148</v>
      </c>
      <c r="FG369" s="214" t="s">
        <v>70</v>
      </c>
      <c r="FH369" s="214" t="s">
        <v>530</v>
      </c>
      <c r="FJ369" s="321" t="s">
        <v>24191</v>
      </c>
      <c r="FK369" s="214" t="s">
        <v>34405</v>
      </c>
      <c r="FL369" s="214" t="s">
        <v>70</v>
      </c>
      <c r="FM369" s="214" t="s">
        <v>530</v>
      </c>
      <c r="FO369" s="321" t="s">
        <v>24192</v>
      </c>
      <c r="FP369" s="214" t="s">
        <v>481</v>
      </c>
      <c r="FQ369" s="214" t="s">
        <v>70</v>
      </c>
      <c r="FR369" s="214" t="s">
        <v>530</v>
      </c>
      <c r="FT369" s="321" t="s">
        <v>24193</v>
      </c>
      <c r="FU369" s="214" t="s">
        <v>34547</v>
      </c>
      <c r="FV369" s="214" t="s">
        <v>70</v>
      </c>
      <c r="FW369" s="214" t="s">
        <v>530</v>
      </c>
      <c r="FY369" s="321" t="s">
        <v>24194</v>
      </c>
      <c r="FZ369" s="214" t="s">
        <v>52</v>
      </c>
      <c r="GA369" s="214" t="s">
        <v>70</v>
      </c>
      <c r="GB369" s="214" t="s">
        <v>530</v>
      </c>
      <c r="GD369" s="321" t="s">
        <v>24195</v>
      </c>
      <c r="GE369" s="214" t="s">
        <v>519</v>
      </c>
      <c r="GF369" s="214" t="s">
        <v>70</v>
      </c>
      <c r="GG369" s="214" t="s">
        <v>530</v>
      </c>
      <c r="GI369" s="321" t="s">
        <v>24196</v>
      </c>
      <c r="GJ369" s="214" t="s">
        <v>531</v>
      </c>
      <c r="GK369" s="214" t="s">
        <v>70</v>
      </c>
      <c r="GL369" s="214" t="s">
        <v>530</v>
      </c>
      <c r="GN369" s="321" t="s">
        <v>24197</v>
      </c>
      <c r="GO369" s="214" t="s">
        <v>482</v>
      </c>
      <c r="GP369" s="214" t="s">
        <v>70</v>
      </c>
      <c r="GQ369" s="214" t="s">
        <v>530</v>
      </c>
      <c r="GS369" s="321" t="s">
        <v>24198</v>
      </c>
      <c r="GT369" s="214" t="s">
        <v>34549</v>
      </c>
      <c r="GU369" s="214" t="s">
        <v>70</v>
      </c>
      <c r="GV369" s="214" t="s">
        <v>530</v>
      </c>
      <c r="GX369" s="214" t="s">
        <v>24199</v>
      </c>
      <c r="GY369" s="214" t="s">
        <v>936</v>
      </c>
      <c r="GZ369" s="214" t="s">
        <v>70</v>
      </c>
      <c r="HA369" s="214" t="s">
        <v>530</v>
      </c>
      <c r="HC369" s="214" t="s">
        <v>24200</v>
      </c>
      <c r="HD369" s="214" t="s">
        <v>488</v>
      </c>
      <c r="HE369" s="214" t="s">
        <v>70</v>
      </c>
      <c r="HF369" s="214" t="s">
        <v>530</v>
      </c>
      <c r="HH369" s="214" t="s">
        <v>24201</v>
      </c>
      <c r="HI369" s="214" t="s">
        <v>34541</v>
      </c>
      <c r="HJ369" s="214" t="s">
        <v>70</v>
      </c>
      <c r="HK369" s="214" t="s">
        <v>530</v>
      </c>
      <c r="HM369" s="214" t="s">
        <v>24202</v>
      </c>
      <c r="HN369" s="214" t="s">
        <v>912</v>
      </c>
      <c r="HO369" s="214" t="s">
        <v>70</v>
      </c>
      <c r="HP369" s="214" t="s">
        <v>530</v>
      </c>
      <c r="HR369" s="22" t="s">
        <v>24203</v>
      </c>
      <c r="HS369" s="22" t="s">
        <v>52</v>
      </c>
      <c r="HT369" s="22" t="s">
        <v>70</v>
      </c>
      <c r="HU369" s="214" t="s">
        <v>530</v>
      </c>
      <c r="HW369" s="22" t="s">
        <v>24204</v>
      </c>
      <c r="HX369" s="22" t="s">
        <v>52</v>
      </c>
      <c r="HY369" s="22" t="s">
        <v>70</v>
      </c>
      <c r="HZ369" s="214" t="s">
        <v>530</v>
      </c>
      <c r="IB369" s="22" t="s">
        <v>24205</v>
      </c>
      <c r="IC369" s="22" t="s">
        <v>88</v>
      </c>
      <c r="ID369" s="22" t="s">
        <v>70</v>
      </c>
      <c r="IE369" s="214" t="s">
        <v>530</v>
      </c>
      <c r="IG369" s="22" t="s">
        <v>24206</v>
      </c>
      <c r="IH369" s="22" t="s">
        <v>52</v>
      </c>
      <c r="II369" s="22" t="s">
        <v>70</v>
      </c>
      <c r="IJ369" s="214" t="s">
        <v>530</v>
      </c>
      <c r="IL369" s="22" t="s">
        <v>24207</v>
      </c>
      <c r="IM369" s="22" t="s">
        <v>145</v>
      </c>
      <c r="IN369" s="22" t="s">
        <v>70</v>
      </c>
      <c r="IO369" s="214" t="s">
        <v>530</v>
      </c>
      <c r="IQ369" s="236" t="s">
        <v>24208</v>
      </c>
      <c r="IR369" s="236" t="s">
        <v>145</v>
      </c>
      <c r="IS369" s="236" t="s">
        <v>74</v>
      </c>
      <c r="IT369" s="236" t="s">
        <v>841</v>
      </c>
      <c r="IV369" s="236" t="s">
        <v>24209</v>
      </c>
      <c r="IW369" s="236" t="s">
        <v>145</v>
      </c>
      <c r="IX369" s="236" t="s">
        <v>74</v>
      </c>
      <c r="IY369" s="236" t="s">
        <v>841</v>
      </c>
      <c r="JA369" s="236" t="s">
        <v>24210</v>
      </c>
      <c r="JB369" s="236" t="s">
        <v>145</v>
      </c>
      <c r="JC369" s="236" t="s">
        <v>74</v>
      </c>
      <c r="JD369" s="236" t="s">
        <v>841</v>
      </c>
      <c r="JF369" s="236" t="s">
        <v>24211</v>
      </c>
      <c r="JG369" s="236" t="s">
        <v>145</v>
      </c>
      <c r="JH369" s="236" t="s">
        <v>74</v>
      </c>
      <c r="JI369" s="236" t="s">
        <v>841</v>
      </c>
      <c r="JK369" s="236" t="s">
        <v>24212</v>
      </c>
      <c r="JL369" s="236" t="s">
        <v>145</v>
      </c>
      <c r="JM369" s="236" t="s">
        <v>74</v>
      </c>
      <c r="JN369" s="236" t="s">
        <v>841</v>
      </c>
      <c r="JP369" s="236" t="s">
        <v>24213</v>
      </c>
      <c r="JQ369" s="236" t="s">
        <v>145</v>
      </c>
      <c r="JR369" s="236" t="s">
        <v>74</v>
      </c>
      <c r="JS369" s="236" t="s">
        <v>841</v>
      </c>
      <c r="JU369" s="294" t="s">
        <v>24214</v>
      </c>
      <c r="JV369" s="294" t="s">
        <v>52</v>
      </c>
      <c r="JW369" s="263" t="s">
        <v>70</v>
      </c>
      <c r="JX369" s="294" t="s">
        <v>1083</v>
      </c>
      <c r="JZ369" s="263" t="s">
        <v>24215</v>
      </c>
      <c r="KA369" s="263" t="s">
        <v>145</v>
      </c>
      <c r="KB369" s="263" t="s">
        <v>70</v>
      </c>
      <c r="KC369" s="263" t="s">
        <v>1083</v>
      </c>
      <c r="KE369" s="263" t="s">
        <v>24216</v>
      </c>
      <c r="KF369" s="263" t="s">
        <v>52</v>
      </c>
      <c r="KG369" s="263" t="s">
        <v>70</v>
      </c>
      <c r="KH369" s="263" t="s">
        <v>1083</v>
      </c>
      <c r="KJ369" s="263" t="s">
        <v>24217</v>
      </c>
      <c r="KK369" s="263" t="s">
        <v>52</v>
      </c>
      <c r="KL369" s="263" t="s">
        <v>74</v>
      </c>
      <c r="KM369" s="263" t="s">
        <v>34074</v>
      </c>
      <c r="KO369" s="214" t="s">
        <v>24218</v>
      </c>
      <c r="KP369" s="214" t="s">
        <v>145</v>
      </c>
      <c r="KQ369" s="214" t="s">
        <v>70</v>
      </c>
      <c r="KR369" s="214" t="s">
        <v>67</v>
      </c>
      <c r="KT369" s="22" t="s">
        <v>24219</v>
      </c>
      <c r="KU369" s="22" t="s">
        <v>145</v>
      </c>
      <c r="KV369" s="22" t="s">
        <v>70</v>
      </c>
      <c r="KW369" s="22" t="s">
        <v>67</v>
      </c>
      <c r="KY369" s="214" t="s">
        <v>24220</v>
      </c>
      <c r="KZ369" s="214" t="s">
        <v>52</v>
      </c>
      <c r="LA369" s="214" t="s">
        <v>74</v>
      </c>
      <c r="LB369" s="214" t="s">
        <v>67</v>
      </c>
      <c r="LD369" s="22" t="s">
        <v>24221</v>
      </c>
      <c r="LE369" s="22" t="s">
        <v>145</v>
      </c>
      <c r="LF369" s="22" t="s">
        <v>70</v>
      </c>
      <c r="LG369" s="22" t="s">
        <v>67</v>
      </c>
    </row>
    <row r="370" spans="1:319">
      <c r="A370" s="22" t="s">
        <v>24222</v>
      </c>
      <c r="B370" s="22" t="s">
        <v>145</v>
      </c>
      <c r="C370" s="22" t="s">
        <v>70</v>
      </c>
      <c r="D370" s="22" t="s">
        <v>67</v>
      </c>
      <c r="F370" s="99" t="s">
        <v>24223</v>
      </c>
      <c r="G370" s="22" t="s">
        <v>145</v>
      </c>
      <c r="H370" s="22" t="s">
        <v>70</v>
      </c>
      <c r="I370" s="22" t="s">
        <v>67</v>
      </c>
      <c r="K370" s="99" t="s">
        <v>24224</v>
      </c>
      <c r="L370" s="22" t="s">
        <v>145</v>
      </c>
      <c r="M370" s="22" t="s">
        <v>70</v>
      </c>
      <c r="N370" s="22" t="s">
        <v>67</v>
      </c>
      <c r="P370" s="230" t="s">
        <v>24225</v>
      </c>
      <c r="Q370" s="218" t="s">
        <v>145</v>
      </c>
      <c r="R370" s="218" t="s">
        <v>72</v>
      </c>
      <c r="S370" s="218" t="s">
        <v>33971</v>
      </c>
      <c r="U370" s="293" t="s">
        <v>24226</v>
      </c>
      <c r="V370" s="293" t="s">
        <v>145</v>
      </c>
      <c r="W370" s="293" t="s">
        <v>74</v>
      </c>
      <c r="X370" s="293" t="s">
        <v>656</v>
      </c>
      <c r="Z370" s="293" t="s">
        <v>24227</v>
      </c>
      <c r="AA370" s="293" t="s">
        <v>145</v>
      </c>
      <c r="AB370" s="293" t="s">
        <v>74</v>
      </c>
      <c r="AC370" s="293" t="s">
        <v>656</v>
      </c>
      <c r="AE370" s="293" t="s">
        <v>24228</v>
      </c>
      <c r="AF370" s="293" t="s">
        <v>145</v>
      </c>
      <c r="AG370" s="293" t="s">
        <v>74</v>
      </c>
      <c r="AH370" s="293" t="s">
        <v>656</v>
      </c>
      <c r="AJ370" s="293" t="s">
        <v>24229</v>
      </c>
      <c r="AK370" s="293" t="s">
        <v>145</v>
      </c>
      <c r="AL370" s="293" t="s">
        <v>74</v>
      </c>
      <c r="AM370" s="293" t="s">
        <v>656</v>
      </c>
      <c r="AO370" s="22" t="s">
        <v>24230</v>
      </c>
      <c r="AP370" s="22" t="s">
        <v>145</v>
      </c>
      <c r="AQ370" s="22" t="s">
        <v>70</v>
      </c>
      <c r="AR370" s="22" t="s">
        <v>67</v>
      </c>
      <c r="AT370" s="22" t="s">
        <v>24231</v>
      </c>
      <c r="AU370" s="22" t="s">
        <v>145</v>
      </c>
      <c r="AV370" s="22" t="s">
        <v>70</v>
      </c>
      <c r="AW370" s="22" t="s">
        <v>67</v>
      </c>
      <c r="AY370" s="22" t="s">
        <v>24232</v>
      </c>
      <c r="AZ370" s="22" t="s">
        <v>145</v>
      </c>
      <c r="BA370" s="22" t="s">
        <v>70</v>
      </c>
      <c r="BB370" s="22" t="s">
        <v>67</v>
      </c>
      <c r="BD370" s="22" t="s">
        <v>24233</v>
      </c>
      <c r="BE370" s="22" t="s">
        <v>145</v>
      </c>
      <c r="BF370" s="22" t="s">
        <v>70</v>
      </c>
      <c r="BG370" s="22" t="s">
        <v>67</v>
      </c>
      <c r="BI370" s="22" t="s">
        <v>24234</v>
      </c>
      <c r="BJ370" s="22" t="s">
        <v>145</v>
      </c>
      <c r="BK370" s="22" t="s">
        <v>70</v>
      </c>
      <c r="BL370" s="22" t="s">
        <v>67</v>
      </c>
      <c r="BN370" s="22" t="s">
        <v>24235</v>
      </c>
      <c r="BO370" s="22" t="s">
        <v>145</v>
      </c>
      <c r="BP370" s="22" t="s">
        <v>70</v>
      </c>
      <c r="BQ370" s="22" t="s">
        <v>67</v>
      </c>
      <c r="BS370" s="22" t="s">
        <v>24236</v>
      </c>
      <c r="BT370" s="22" t="s">
        <v>145</v>
      </c>
      <c r="BU370" s="22" t="s">
        <v>70</v>
      </c>
      <c r="BV370" s="214" t="s">
        <v>530</v>
      </c>
      <c r="BX370" s="22" t="s">
        <v>24237</v>
      </c>
      <c r="BY370" s="22" t="s">
        <v>145</v>
      </c>
      <c r="BZ370" s="22" t="s">
        <v>70</v>
      </c>
      <c r="CA370" s="214" t="s">
        <v>530</v>
      </c>
      <c r="CC370" s="214" t="s">
        <v>24238</v>
      </c>
      <c r="CD370" s="218" t="s">
        <v>305</v>
      </c>
      <c r="CE370" s="214" t="s">
        <v>70</v>
      </c>
      <c r="CF370" s="214" t="s">
        <v>34176</v>
      </c>
      <c r="CH370" s="214" t="s">
        <v>24239</v>
      </c>
      <c r="CI370" s="214" t="s">
        <v>52</v>
      </c>
      <c r="CJ370" s="214" t="s">
        <v>70</v>
      </c>
      <c r="CK370" s="214" t="s">
        <v>530</v>
      </c>
      <c r="CM370" s="214" t="s">
        <v>24240</v>
      </c>
      <c r="CN370" s="214" t="s">
        <v>288</v>
      </c>
      <c r="CO370" s="214" t="s">
        <v>70</v>
      </c>
      <c r="CP370" s="214" t="s">
        <v>530</v>
      </c>
      <c r="CR370" s="214" t="s">
        <v>24241</v>
      </c>
      <c r="CS370" s="214" t="s">
        <v>920</v>
      </c>
      <c r="CT370" s="214" t="s">
        <v>70</v>
      </c>
      <c r="CU370" s="214" t="s">
        <v>530</v>
      </c>
      <c r="CW370" s="214" t="s">
        <v>24242</v>
      </c>
      <c r="CX370" s="214" t="s">
        <v>34575</v>
      </c>
      <c r="CY370" s="214" t="s">
        <v>70</v>
      </c>
      <c r="CZ370" s="214" t="s">
        <v>530</v>
      </c>
      <c r="DB370" s="214" t="s">
        <v>24243</v>
      </c>
      <c r="DC370" s="214" t="s">
        <v>34585</v>
      </c>
      <c r="DD370" s="214" t="s">
        <v>70</v>
      </c>
      <c r="DE370" s="214" t="s">
        <v>530</v>
      </c>
      <c r="DG370" s="214" t="s">
        <v>24244</v>
      </c>
      <c r="DH370" s="214" t="s">
        <v>529</v>
      </c>
      <c r="DI370" s="214" t="s">
        <v>70</v>
      </c>
      <c r="DJ370" s="214" t="s">
        <v>530</v>
      </c>
      <c r="DL370" s="214" t="s">
        <v>24245</v>
      </c>
      <c r="DM370" s="214" t="s">
        <v>88</v>
      </c>
      <c r="DN370" s="214" t="s">
        <v>70</v>
      </c>
      <c r="DO370" s="214" t="s">
        <v>530</v>
      </c>
      <c r="DQ370" s="214" t="s">
        <v>24246</v>
      </c>
      <c r="DR370" s="214" t="s">
        <v>951</v>
      </c>
      <c r="DS370" s="214" t="s">
        <v>70</v>
      </c>
      <c r="DT370" s="214" t="s">
        <v>530</v>
      </c>
      <c r="DV370" s="214" t="s">
        <v>24247</v>
      </c>
      <c r="DW370" s="214" t="s">
        <v>286</v>
      </c>
      <c r="DX370" s="214" t="s">
        <v>70</v>
      </c>
      <c r="DY370" s="214" t="s">
        <v>530</v>
      </c>
      <c r="EA370" s="214" t="s">
        <v>24248</v>
      </c>
      <c r="EB370" s="214" t="s">
        <v>148</v>
      </c>
      <c r="EC370" s="214" t="s">
        <v>70</v>
      </c>
      <c r="ED370" s="214" t="s">
        <v>530</v>
      </c>
      <c r="EF370" s="214" t="s">
        <v>24249</v>
      </c>
      <c r="EG370" s="214" t="s">
        <v>915</v>
      </c>
      <c r="EH370" s="214" t="s">
        <v>70</v>
      </c>
      <c r="EI370" s="214" t="s">
        <v>530</v>
      </c>
      <c r="EK370" s="214" t="s">
        <v>24250</v>
      </c>
      <c r="EL370" s="214" t="s">
        <v>484</v>
      </c>
      <c r="EM370" s="214" t="s">
        <v>70</v>
      </c>
      <c r="EN370" s="214" t="s">
        <v>530</v>
      </c>
      <c r="EP370" s="214" t="s">
        <v>24251</v>
      </c>
      <c r="EQ370" s="214" t="s">
        <v>87</v>
      </c>
      <c r="ER370" s="214" t="s">
        <v>70</v>
      </c>
      <c r="ES370" s="214" t="s">
        <v>530</v>
      </c>
      <c r="EU370" s="214" t="s">
        <v>24252</v>
      </c>
      <c r="EV370" s="214" t="s">
        <v>34590</v>
      </c>
      <c r="EW370" s="214" t="s">
        <v>70</v>
      </c>
      <c r="EX370" s="214" t="s">
        <v>530</v>
      </c>
      <c r="EZ370" s="214" t="s">
        <v>24253</v>
      </c>
      <c r="FA370" s="214" t="s">
        <v>52</v>
      </c>
      <c r="FB370" s="214" t="s">
        <v>70</v>
      </c>
      <c r="FC370" s="214" t="s">
        <v>530</v>
      </c>
      <c r="FE370" s="214" t="s">
        <v>24254</v>
      </c>
      <c r="FF370" s="214" t="s">
        <v>52</v>
      </c>
      <c r="FG370" s="214" t="s">
        <v>70</v>
      </c>
      <c r="FH370" s="214" t="s">
        <v>530</v>
      </c>
      <c r="FJ370" s="321" t="s">
        <v>24255</v>
      </c>
      <c r="FK370" s="214" t="s">
        <v>148</v>
      </c>
      <c r="FL370" s="214" t="s">
        <v>70</v>
      </c>
      <c r="FM370" s="214" t="s">
        <v>530</v>
      </c>
      <c r="FO370" s="321" t="s">
        <v>24256</v>
      </c>
      <c r="FP370" s="214" t="s">
        <v>145</v>
      </c>
      <c r="FQ370" s="214" t="s">
        <v>70</v>
      </c>
      <c r="FR370" s="214" t="s">
        <v>530</v>
      </c>
      <c r="FT370" s="321" t="s">
        <v>24257</v>
      </c>
      <c r="FU370" s="214" t="s">
        <v>145</v>
      </c>
      <c r="FV370" s="214" t="s">
        <v>70</v>
      </c>
      <c r="FW370" s="214" t="s">
        <v>530</v>
      </c>
      <c r="FY370" s="321" t="s">
        <v>24258</v>
      </c>
      <c r="FZ370" s="214" t="s">
        <v>164</v>
      </c>
      <c r="GA370" s="214" t="s">
        <v>70</v>
      </c>
      <c r="GB370" s="214" t="s">
        <v>530</v>
      </c>
      <c r="GD370" s="321" t="s">
        <v>24259</v>
      </c>
      <c r="GE370" s="214" t="s">
        <v>52</v>
      </c>
      <c r="GF370" s="214" t="s">
        <v>70</v>
      </c>
      <c r="GG370" s="214" t="s">
        <v>530</v>
      </c>
      <c r="GI370" s="321" t="s">
        <v>24260</v>
      </c>
      <c r="GJ370" s="214" t="s">
        <v>483</v>
      </c>
      <c r="GK370" s="214" t="s">
        <v>70</v>
      </c>
      <c r="GL370" s="214" t="s">
        <v>530</v>
      </c>
      <c r="GN370" s="321" t="s">
        <v>24261</v>
      </c>
      <c r="GO370" s="214" t="s">
        <v>34608</v>
      </c>
      <c r="GP370" s="214" t="s">
        <v>70</v>
      </c>
      <c r="GQ370" s="214" t="s">
        <v>530</v>
      </c>
      <c r="GS370" s="321" t="s">
        <v>24262</v>
      </c>
      <c r="GT370" s="214" t="s">
        <v>148</v>
      </c>
      <c r="GU370" s="214" t="s">
        <v>70</v>
      </c>
      <c r="GV370" s="214" t="s">
        <v>530</v>
      </c>
      <c r="GX370" s="214" t="s">
        <v>24263</v>
      </c>
      <c r="GY370" s="214" t="s">
        <v>163</v>
      </c>
      <c r="GZ370" s="214" t="s">
        <v>70</v>
      </c>
      <c r="HA370" s="214" t="s">
        <v>530</v>
      </c>
      <c r="HC370" s="214" t="s">
        <v>24264</v>
      </c>
      <c r="HD370" s="214" t="s">
        <v>912</v>
      </c>
      <c r="HE370" s="214" t="s">
        <v>70</v>
      </c>
      <c r="HF370" s="214" t="s">
        <v>530</v>
      </c>
      <c r="HH370" s="214" t="s">
        <v>24265</v>
      </c>
      <c r="HI370" s="214" t="s">
        <v>939</v>
      </c>
      <c r="HJ370" s="214" t="s">
        <v>70</v>
      </c>
      <c r="HK370" s="214" t="s">
        <v>530</v>
      </c>
      <c r="HM370" s="214" t="s">
        <v>24266</v>
      </c>
      <c r="HN370" s="214" t="s">
        <v>286</v>
      </c>
      <c r="HO370" s="214" t="s">
        <v>70</v>
      </c>
      <c r="HP370" s="214" t="s">
        <v>530</v>
      </c>
      <c r="HR370" s="22" t="s">
        <v>24267</v>
      </c>
      <c r="HS370" s="22" t="s">
        <v>34644</v>
      </c>
      <c r="HT370" s="22" t="s">
        <v>70</v>
      </c>
      <c r="HU370" s="214" t="s">
        <v>530</v>
      </c>
      <c r="HW370" s="22" t="s">
        <v>24268</v>
      </c>
      <c r="HX370" s="22" t="s">
        <v>52</v>
      </c>
      <c r="HY370" s="22" t="s">
        <v>70</v>
      </c>
      <c r="HZ370" s="214" t="s">
        <v>530</v>
      </c>
      <c r="IB370" s="22" t="s">
        <v>24269</v>
      </c>
      <c r="IC370" s="22" t="s">
        <v>52</v>
      </c>
      <c r="ID370" s="22" t="s">
        <v>70</v>
      </c>
      <c r="IE370" s="214" t="s">
        <v>530</v>
      </c>
      <c r="IG370" s="22" t="s">
        <v>24270</v>
      </c>
      <c r="IH370" s="22" t="s">
        <v>52</v>
      </c>
      <c r="II370" s="22" t="s">
        <v>70</v>
      </c>
      <c r="IJ370" s="214" t="s">
        <v>530</v>
      </c>
      <c r="IL370" s="22" t="s">
        <v>24271</v>
      </c>
      <c r="IM370" s="22" t="s">
        <v>145</v>
      </c>
      <c r="IN370" s="22" t="s">
        <v>70</v>
      </c>
      <c r="IO370" s="214" t="s">
        <v>530</v>
      </c>
      <c r="IQ370" s="236" t="s">
        <v>24272</v>
      </c>
      <c r="IR370" s="236" t="s">
        <v>145</v>
      </c>
      <c r="IS370" s="236" t="s">
        <v>74</v>
      </c>
      <c r="IT370" s="236" t="s">
        <v>841</v>
      </c>
      <c r="IV370" s="236" t="s">
        <v>24273</v>
      </c>
      <c r="IW370" s="236" t="s">
        <v>145</v>
      </c>
      <c r="IX370" s="236" t="s">
        <v>74</v>
      </c>
      <c r="IY370" s="236" t="s">
        <v>841</v>
      </c>
      <c r="JA370" s="236" t="s">
        <v>24274</v>
      </c>
      <c r="JB370" s="236" t="s">
        <v>145</v>
      </c>
      <c r="JC370" s="236" t="s">
        <v>74</v>
      </c>
      <c r="JD370" s="236" t="s">
        <v>841</v>
      </c>
      <c r="JF370" s="236" t="s">
        <v>24275</v>
      </c>
      <c r="JG370" s="236" t="s">
        <v>145</v>
      </c>
      <c r="JH370" s="236" t="s">
        <v>74</v>
      </c>
      <c r="JI370" s="236" t="s">
        <v>841</v>
      </c>
      <c r="JK370" s="236" t="s">
        <v>24276</v>
      </c>
      <c r="JL370" s="236" t="s">
        <v>145</v>
      </c>
      <c r="JM370" s="236" t="s">
        <v>74</v>
      </c>
      <c r="JN370" s="236" t="s">
        <v>841</v>
      </c>
      <c r="JP370" s="236" t="s">
        <v>24277</v>
      </c>
      <c r="JQ370" s="236" t="s">
        <v>145</v>
      </c>
      <c r="JR370" s="236" t="s">
        <v>74</v>
      </c>
      <c r="JS370" s="236" t="s">
        <v>841</v>
      </c>
      <c r="JU370" s="294" t="s">
        <v>24278</v>
      </c>
      <c r="JV370" s="294" t="s">
        <v>52</v>
      </c>
      <c r="JW370" s="263" t="s">
        <v>70</v>
      </c>
      <c r="JX370" s="294" t="s">
        <v>1083</v>
      </c>
      <c r="JZ370" s="263" t="s">
        <v>24279</v>
      </c>
      <c r="KA370" s="263" t="s">
        <v>145</v>
      </c>
      <c r="KB370" s="263" t="s">
        <v>70</v>
      </c>
      <c r="KC370" s="263" t="s">
        <v>1083</v>
      </c>
      <c r="KE370" s="263" t="s">
        <v>24280</v>
      </c>
      <c r="KF370" s="263" t="s">
        <v>52</v>
      </c>
      <c r="KG370" s="263" t="s">
        <v>70</v>
      </c>
      <c r="KH370" s="263" t="s">
        <v>1083</v>
      </c>
      <c r="KJ370" s="263" t="s">
        <v>24281</v>
      </c>
      <c r="KK370" s="263" t="s">
        <v>52</v>
      </c>
      <c r="KL370" s="263" t="s">
        <v>74</v>
      </c>
      <c r="KM370" s="263" t="s">
        <v>34074</v>
      </c>
      <c r="KO370" s="214" t="s">
        <v>24282</v>
      </c>
      <c r="KP370" s="214" t="s">
        <v>145</v>
      </c>
      <c r="KQ370" s="214" t="s">
        <v>70</v>
      </c>
      <c r="KR370" s="214" t="s">
        <v>67</v>
      </c>
      <c r="KT370" s="22" t="s">
        <v>24283</v>
      </c>
      <c r="KU370" s="22" t="s">
        <v>145</v>
      </c>
      <c r="KV370" s="22" t="s">
        <v>70</v>
      </c>
      <c r="KW370" s="22" t="s">
        <v>67</v>
      </c>
      <c r="KY370" s="214" t="s">
        <v>24284</v>
      </c>
      <c r="KZ370" s="214" t="s">
        <v>52</v>
      </c>
      <c r="LA370" s="214" t="s">
        <v>74</v>
      </c>
      <c r="LB370" s="214" t="s">
        <v>67</v>
      </c>
      <c r="LD370" s="22" t="s">
        <v>24285</v>
      </c>
      <c r="LE370" s="22" t="s">
        <v>145</v>
      </c>
      <c r="LF370" s="22" t="s">
        <v>70</v>
      </c>
      <c r="LG370" s="22" t="s">
        <v>67</v>
      </c>
    </row>
    <row r="371" spans="1:319">
      <c r="A371" s="22" t="s">
        <v>24286</v>
      </c>
      <c r="B371" s="22" t="s">
        <v>145</v>
      </c>
      <c r="C371" s="22" t="s">
        <v>70</v>
      </c>
      <c r="D371" s="22" t="s">
        <v>67</v>
      </c>
      <c r="F371" s="99" t="s">
        <v>24287</v>
      </c>
      <c r="G371" s="22" t="s">
        <v>145</v>
      </c>
      <c r="H371" s="22" t="s">
        <v>70</v>
      </c>
      <c r="I371" s="22" t="s">
        <v>67</v>
      </c>
      <c r="K371" s="99" t="s">
        <v>24288</v>
      </c>
      <c r="L371" s="22" t="s">
        <v>145</v>
      </c>
      <c r="M371" s="22" t="s">
        <v>70</v>
      </c>
      <c r="N371" s="22" t="s">
        <v>67</v>
      </c>
      <c r="P371" s="230" t="s">
        <v>24289</v>
      </c>
      <c r="Q371" s="218" t="s">
        <v>145</v>
      </c>
      <c r="R371" s="218" t="s">
        <v>72</v>
      </c>
      <c r="S371" s="218" t="s">
        <v>33972</v>
      </c>
      <c r="U371" s="293" t="s">
        <v>24290</v>
      </c>
      <c r="V371" s="293" t="s">
        <v>145</v>
      </c>
      <c r="W371" s="293" t="s">
        <v>74</v>
      </c>
      <c r="X371" s="293" t="s">
        <v>656</v>
      </c>
      <c r="Z371" s="293" t="s">
        <v>24291</v>
      </c>
      <c r="AA371" s="293" t="s">
        <v>145</v>
      </c>
      <c r="AB371" s="293" t="s">
        <v>74</v>
      </c>
      <c r="AC371" s="293" t="s">
        <v>656</v>
      </c>
      <c r="AE371" s="293" t="s">
        <v>24292</v>
      </c>
      <c r="AF371" s="293" t="s">
        <v>145</v>
      </c>
      <c r="AG371" s="293" t="s">
        <v>74</v>
      </c>
      <c r="AH371" s="293" t="s">
        <v>656</v>
      </c>
      <c r="AJ371" s="293" t="s">
        <v>24293</v>
      </c>
      <c r="AK371" s="293" t="s">
        <v>145</v>
      </c>
      <c r="AL371" s="293" t="s">
        <v>74</v>
      </c>
      <c r="AM371" s="293" t="s">
        <v>656</v>
      </c>
      <c r="AO371" s="22" t="s">
        <v>24294</v>
      </c>
      <c r="AP371" s="22" t="s">
        <v>145</v>
      </c>
      <c r="AQ371" s="22" t="s">
        <v>70</v>
      </c>
      <c r="AR371" s="22" t="s">
        <v>67</v>
      </c>
      <c r="AT371" s="22" t="s">
        <v>24295</v>
      </c>
      <c r="AU371" s="22" t="s">
        <v>145</v>
      </c>
      <c r="AV371" s="22" t="s">
        <v>70</v>
      </c>
      <c r="AW371" s="22" t="s">
        <v>67</v>
      </c>
      <c r="AY371" s="22" t="s">
        <v>24296</v>
      </c>
      <c r="AZ371" s="22" t="s">
        <v>145</v>
      </c>
      <c r="BA371" s="22" t="s">
        <v>70</v>
      </c>
      <c r="BB371" s="22" t="s">
        <v>67</v>
      </c>
      <c r="BD371" s="22" t="s">
        <v>24297</v>
      </c>
      <c r="BE371" s="22" t="s">
        <v>145</v>
      </c>
      <c r="BF371" s="22" t="s">
        <v>70</v>
      </c>
      <c r="BG371" s="22" t="s">
        <v>67</v>
      </c>
      <c r="BI371" s="22" t="s">
        <v>24298</v>
      </c>
      <c r="BJ371" s="22" t="s">
        <v>145</v>
      </c>
      <c r="BK371" s="22" t="s">
        <v>70</v>
      </c>
      <c r="BL371" s="22" t="s">
        <v>67</v>
      </c>
      <c r="BN371" s="22" t="s">
        <v>24299</v>
      </c>
      <c r="BO371" s="22" t="s">
        <v>145</v>
      </c>
      <c r="BP371" s="22" t="s">
        <v>70</v>
      </c>
      <c r="BQ371" s="22" t="s">
        <v>67</v>
      </c>
      <c r="BS371" s="22" t="s">
        <v>24300</v>
      </c>
      <c r="BT371" s="22" t="s">
        <v>145</v>
      </c>
      <c r="BU371" s="22" t="s">
        <v>70</v>
      </c>
      <c r="BV371" s="214" t="s">
        <v>530</v>
      </c>
      <c r="BX371" s="22" t="s">
        <v>24301</v>
      </c>
      <c r="BY371" s="22" t="s">
        <v>145</v>
      </c>
      <c r="BZ371" s="22" t="s">
        <v>70</v>
      </c>
      <c r="CA371" s="214" t="s">
        <v>530</v>
      </c>
      <c r="CC371" s="214" t="s">
        <v>24302</v>
      </c>
      <c r="CD371" s="218" t="s">
        <v>148</v>
      </c>
      <c r="CE371" s="214" t="s">
        <v>70</v>
      </c>
      <c r="CF371" s="214" t="s">
        <v>34177</v>
      </c>
      <c r="CH371" s="214" t="s">
        <v>24303</v>
      </c>
      <c r="CI371" s="214" t="s">
        <v>34550</v>
      </c>
      <c r="CJ371" s="214" t="s">
        <v>70</v>
      </c>
      <c r="CK371" s="214" t="s">
        <v>530</v>
      </c>
      <c r="CM371" s="214" t="s">
        <v>24304</v>
      </c>
      <c r="CN371" s="214" t="s">
        <v>34595</v>
      </c>
      <c r="CO371" s="214" t="s">
        <v>70</v>
      </c>
      <c r="CP371" s="214" t="s">
        <v>530</v>
      </c>
      <c r="CR371" s="214" t="s">
        <v>24305</v>
      </c>
      <c r="CS371" s="214" t="s">
        <v>146</v>
      </c>
      <c r="CT371" s="214" t="s">
        <v>70</v>
      </c>
      <c r="CU371" s="214" t="s">
        <v>530</v>
      </c>
      <c r="CW371" s="214" t="s">
        <v>24306</v>
      </c>
      <c r="CX371" s="214" t="s">
        <v>52</v>
      </c>
      <c r="CY371" s="214" t="s">
        <v>70</v>
      </c>
      <c r="CZ371" s="214" t="s">
        <v>530</v>
      </c>
      <c r="DB371" s="214" t="s">
        <v>24307</v>
      </c>
      <c r="DC371" s="214" t="s">
        <v>491</v>
      </c>
      <c r="DD371" s="214" t="s">
        <v>70</v>
      </c>
      <c r="DE371" s="214" t="s">
        <v>530</v>
      </c>
      <c r="DG371" s="214" t="s">
        <v>24308</v>
      </c>
      <c r="DH371" s="214" t="s">
        <v>34542</v>
      </c>
      <c r="DI371" s="214" t="s">
        <v>70</v>
      </c>
      <c r="DJ371" s="214" t="s">
        <v>530</v>
      </c>
      <c r="DL371" s="214" t="s">
        <v>24309</v>
      </c>
      <c r="DM371" s="214" t="s">
        <v>52</v>
      </c>
      <c r="DN371" s="214" t="s">
        <v>70</v>
      </c>
      <c r="DO371" s="214" t="s">
        <v>530</v>
      </c>
      <c r="DQ371" s="214" t="s">
        <v>24310</v>
      </c>
      <c r="DR371" s="214" t="s">
        <v>88</v>
      </c>
      <c r="DS371" s="214" t="s">
        <v>70</v>
      </c>
      <c r="DT371" s="214" t="s">
        <v>530</v>
      </c>
      <c r="DV371" s="214" t="s">
        <v>24311</v>
      </c>
      <c r="DW371" s="214" t="s">
        <v>148</v>
      </c>
      <c r="DX371" s="214" t="s">
        <v>70</v>
      </c>
      <c r="DY371" s="214" t="s">
        <v>530</v>
      </c>
      <c r="EA371" s="214" t="s">
        <v>24312</v>
      </c>
      <c r="EB371" s="214" t="s">
        <v>34542</v>
      </c>
      <c r="EC371" s="214" t="s">
        <v>70</v>
      </c>
      <c r="ED371" s="214" t="s">
        <v>530</v>
      </c>
      <c r="EF371" s="214" t="s">
        <v>24313</v>
      </c>
      <c r="EG371" s="214" t="s">
        <v>34544</v>
      </c>
      <c r="EH371" s="214" t="s">
        <v>70</v>
      </c>
      <c r="EI371" s="214" t="s">
        <v>530</v>
      </c>
      <c r="EK371" s="214" t="s">
        <v>24314</v>
      </c>
      <c r="EL371" s="214" t="s">
        <v>926</v>
      </c>
      <c r="EM371" s="214" t="s">
        <v>70</v>
      </c>
      <c r="EN371" s="214" t="s">
        <v>530</v>
      </c>
      <c r="EP371" s="214" t="s">
        <v>24315</v>
      </c>
      <c r="EQ371" s="214" t="s">
        <v>34558</v>
      </c>
      <c r="ER371" s="214" t="s">
        <v>70</v>
      </c>
      <c r="ES371" s="214" t="s">
        <v>530</v>
      </c>
      <c r="EU371" s="214" t="s">
        <v>24316</v>
      </c>
      <c r="EV371" s="214" t="s">
        <v>34542</v>
      </c>
      <c r="EW371" s="214" t="s">
        <v>70</v>
      </c>
      <c r="EX371" s="214" t="s">
        <v>530</v>
      </c>
      <c r="EZ371" s="214" t="s">
        <v>24317</v>
      </c>
      <c r="FA371" s="214" t="s">
        <v>52</v>
      </c>
      <c r="FB371" s="214" t="s">
        <v>70</v>
      </c>
      <c r="FC371" s="214" t="s">
        <v>530</v>
      </c>
      <c r="FE371" s="214" t="s">
        <v>24318</v>
      </c>
      <c r="FF371" s="214" t="s">
        <v>34553</v>
      </c>
      <c r="FG371" s="214" t="s">
        <v>70</v>
      </c>
      <c r="FH371" s="214" t="s">
        <v>530</v>
      </c>
      <c r="FJ371" s="321" t="s">
        <v>24319</v>
      </c>
      <c r="FK371" s="214" t="s">
        <v>496</v>
      </c>
      <c r="FL371" s="214" t="s">
        <v>70</v>
      </c>
      <c r="FM371" s="214" t="s">
        <v>530</v>
      </c>
      <c r="FO371" s="321" t="s">
        <v>24320</v>
      </c>
      <c r="FP371" s="214" t="s">
        <v>34541</v>
      </c>
      <c r="FQ371" s="214" t="s">
        <v>70</v>
      </c>
      <c r="FR371" s="214" t="s">
        <v>530</v>
      </c>
      <c r="FT371" s="321" t="s">
        <v>24321</v>
      </c>
      <c r="FU371" s="214" t="s">
        <v>34583</v>
      </c>
      <c r="FV371" s="214" t="s">
        <v>70</v>
      </c>
      <c r="FW371" s="214" t="s">
        <v>530</v>
      </c>
      <c r="FY371" s="321" t="s">
        <v>24322</v>
      </c>
      <c r="FZ371" s="214" t="s">
        <v>34618</v>
      </c>
      <c r="GA371" s="214" t="s">
        <v>70</v>
      </c>
      <c r="GB371" s="214" t="s">
        <v>530</v>
      </c>
      <c r="GD371" s="321" t="s">
        <v>24323</v>
      </c>
      <c r="GE371" s="214" t="s">
        <v>920</v>
      </c>
      <c r="GF371" s="214" t="s">
        <v>70</v>
      </c>
      <c r="GG371" s="214" t="s">
        <v>530</v>
      </c>
      <c r="GI371" s="321" t="s">
        <v>24324</v>
      </c>
      <c r="GJ371" s="214" t="s">
        <v>599</v>
      </c>
      <c r="GK371" s="214" t="s">
        <v>70</v>
      </c>
      <c r="GL371" s="214" t="s">
        <v>530</v>
      </c>
      <c r="GN371" s="321" t="s">
        <v>24325</v>
      </c>
      <c r="GO371" s="214" t="s">
        <v>34555</v>
      </c>
      <c r="GP371" s="214" t="s">
        <v>70</v>
      </c>
      <c r="GQ371" s="214" t="s">
        <v>530</v>
      </c>
      <c r="GS371" s="321" t="s">
        <v>24326</v>
      </c>
      <c r="GT371" s="214" t="s">
        <v>919</v>
      </c>
      <c r="GU371" s="214" t="s">
        <v>70</v>
      </c>
      <c r="GV371" s="214" t="s">
        <v>530</v>
      </c>
      <c r="GX371" s="214" t="s">
        <v>24327</v>
      </c>
      <c r="GY371" s="214" t="s">
        <v>598</v>
      </c>
      <c r="GZ371" s="214" t="s">
        <v>70</v>
      </c>
      <c r="HA371" s="214" t="s">
        <v>530</v>
      </c>
      <c r="HC371" s="214" t="s">
        <v>24328</v>
      </c>
      <c r="HD371" s="214" t="s">
        <v>484</v>
      </c>
      <c r="HE371" s="214" t="s">
        <v>70</v>
      </c>
      <c r="HF371" s="214" t="s">
        <v>530</v>
      </c>
      <c r="HH371" s="214" t="s">
        <v>24329</v>
      </c>
      <c r="HI371" s="214" t="s">
        <v>145</v>
      </c>
      <c r="HJ371" s="214" t="s">
        <v>70</v>
      </c>
      <c r="HK371" s="214" t="s">
        <v>530</v>
      </c>
      <c r="HM371" s="214" t="s">
        <v>24330</v>
      </c>
      <c r="HN371" s="214" t="s">
        <v>481</v>
      </c>
      <c r="HO371" s="214" t="s">
        <v>70</v>
      </c>
      <c r="HP371" s="214" t="s">
        <v>530</v>
      </c>
      <c r="HR371" s="22" t="s">
        <v>24331</v>
      </c>
      <c r="HS371" s="22" t="s">
        <v>52</v>
      </c>
      <c r="HT371" s="22" t="s">
        <v>70</v>
      </c>
      <c r="HU371" s="214" t="s">
        <v>530</v>
      </c>
      <c r="HW371" s="22" t="s">
        <v>24332</v>
      </c>
      <c r="HX371" s="22" t="s">
        <v>203</v>
      </c>
      <c r="HY371" s="22" t="s">
        <v>70</v>
      </c>
      <c r="HZ371" s="214" t="s">
        <v>530</v>
      </c>
      <c r="IB371" s="22" t="s">
        <v>24333</v>
      </c>
      <c r="IC371" s="22" t="s">
        <v>52</v>
      </c>
      <c r="ID371" s="22" t="s">
        <v>70</v>
      </c>
      <c r="IE371" s="214" t="s">
        <v>530</v>
      </c>
      <c r="IG371" s="22" t="s">
        <v>24334</v>
      </c>
      <c r="IH371" s="22" t="s">
        <v>52</v>
      </c>
      <c r="II371" s="22" t="s">
        <v>70</v>
      </c>
      <c r="IJ371" s="214" t="s">
        <v>530</v>
      </c>
      <c r="IL371" s="22" t="s">
        <v>24335</v>
      </c>
      <c r="IM371" s="22" t="s">
        <v>145</v>
      </c>
      <c r="IN371" s="22" t="s">
        <v>70</v>
      </c>
      <c r="IO371" s="214" t="s">
        <v>530</v>
      </c>
      <c r="IQ371" s="236" t="s">
        <v>24336</v>
      </c>
      <c r="IR371" s="236" t="s">
        <v>145</v>
      </c>
      <c r="IS371" s="236" t="s">
        <v>74</v>
      </c>
      <c r="IT371" s="236" t="s">
        <v>841</v>
      </c>
      <c r="IV371" s="236" t="s">
        <v>24337</v>
      </c>
      <c r="IW371" s="236" t="s">
        <v>145</v>
      </c>
      <c r="IX371" s="236" t="s">
        <v>74</v>
      </c>
      <c r="IY371" s="236" t="s">
        <v>841</v>
      </c>
      <c r="JA371" s="236" t="s">
        <v>24338</v>
      </c>
      <c r="JB371" s="236" t="s">
        <v>145</v>
      </c>
      <c r="JC371" s="236" t="s">
        <v>74</v>
      </c>
      <c r="JD371" s="236" t="s">
        <v>841</v>
      </c>
      <c r="JF371" s="236" t="s">
        <v>24339</v>
      </c>
      <c r="JG371" s="236" t="s">
        <v>145</v>
      </c>
      <c r="JH371" s="236" t="s">
        <v>74</v>
      </c>
      <c r="JI371" s="236" t="s">
        <v>841</v>
      </c>
      <c r="JK371" s="236" t="s">
        <v>24340</v>
      </c>
      <c r="JL371" s="236" t="s">
        <v>145</v>
      </c>
      <c r="JM371" s="236" t="s">
        <v>74</v>
      </c>
      <c r="JN371" s="236" t="s">
        <v>841</v>
      </c>
      <c r="JP371" s="236" t="s">
        <v>24341</v>
      </c>
      <c r="JQ371" s="236" t="s">
        <v>145</v>
      </c>
      <c r="JR371" s="236" t="s">
        <v>74</v>
      </c>
      <c r="JS371" s="236" t="s">
        <v>841</v>
      </c>
      <c r="JU371" s="294" t="s">
        <v>24342</v>
      </c>
      <c r="JV371" s="294" t="s">
        <v>52</v>
      </c>
      <c r="JW371" s="263" t="s">
        <v>70</v>
      </c>
      <c r="JX371" s="294" t="s">
        <v>1083</v>
      </c>
      <c r="JZ371" s="263" t="s">
        <v>24343</v>
      </c>
      <c r="KA371" s="263" t="s">
        <v>145</v>
      </c>
      <c r="KB371" s="263" t="s">
        <v>70</v>
      </c>
      <c r="KC371" s="263" t="s">
        <v>1083</v>
      </c>
      <c r="KE371" s="263" t="s">
        <v>24344</v>
      </c>
      <c r="KF371" s="263" t="s">
        <v>52</v>
      </c>
      <c r="KG371" s="263" t="s">
        <v>70</v>
      </c>
      <c r="KH371" s="263" t="s">
        <v>1083</v>
      </c>
      <c r="KJ371" s="263" t="s">
        <v>24345</v>
      </c>
      <c r="KK371" s="263" t="s">
        <v>52</v>
      </c>
      <c r="KL371" s="263" t="s">
        <v>74</v>
      </c>
      <c r="KM371" s="263" t="s">
        <v>34074</v>
      </c>
      <c r="KO371" s="214" t="s">
        <v>24346</v>
      </c>
      <c r="KP371" s="214" t="s">
        <v>145</v>
      </c>
      <c r="KQ371" s="214" t="s">
        <v>70</v>
      </c>
      <c r="KR371" s="214" t="s">
        <v>67</v>
      </c>
      <c r="KT371" s="22" t="s">
        <v>24347</v>
      </c>
      <c r="KU371" s="22" t="s">
        <v>145</v>
      </c>
      <c r="KV371" s="22" t="s">
        <v>70</v>
      </c>
      <c r="KW371" s="22" t="s">
        <v>67</v>
      </c>
      <c r="KY371" s="214" t="s">
        <v>24348</v>
      </c>
      <c r="KZ371" s="214" t="s">
        <v>52</v>
      </c>
      <c r="LA371" s="214" t="s">
        <v>74</v>
      </c>
      <c r="LB371" s="214" t="s">
        <v>67</v>
      </c>
      <c r="LD371" s="22" t="s">
        <v>24349</v>
      </c>
      <c r="LE371" s="22" t="s">
        <v>145</v>
      </c>
      <c r="LF371" s="22" t="s">
        <v>70</v>
      </c>
      <c r="LG371" s="22" t="s">
        <v>67</v>
      </c>
    </row>
    <row r="372" spans="1:319">
      <c r="A372" s="22" t="s">
        <v>24350</v>
      </c>
      <c r="B372" s="22" t="s">
        <v>145</v>
      </c>
      <c r="C372" s="22" t="s">
        <v>70</v>
      </c>
      <c r="D372" s="22" t="s">
        <v>67</v>
      </c>
      <c r="F372" s="99" t="s">
        <v>24351</v>
      </c>
      <c r="G372" s="22" t="s">
        <v>145</v>
      </c>
      <c r="H372" s="22" t="s">
        <v>70</v>
      </c>
      <c r="I372" s="22" t="s">
        <v>67</v>
      </c>
      <c r="K372" s="99" t="s">
        <v>24352</v>
      </c>
      <c r="L372" s="22" t="s">
        <v>145</v>
      </c>
      <c r="M372" s="22" t="s">
        <v>70</v>
      </c>
      <c r="N372" s="22" t="s">
        <v>67</v>
      </c>
      <c r="P372" s="230" t="s">
        <v>24353</v>
      </c>
      <c r="Q372" s="218" t="s">
        <v>145</v>
      </c>
      <c r="R372" s="218" t="s">
        <v>72</v>
      </c>
      <c r="S372" s="218" t="s">
        <v>33973</v>
      </c>
      <c r="U372" s="293" t="s">
        <v>24354</v>
      </c>
      <c r="V372" s="293" t="s">
        <v>145</v>
      </c>
      <c r="W372" s="293" t="s">
        <v>74</v>
      </c>
      <c r="X372" s="293" t="s">
        <v>656</v>
      </c>
      <c r="Z372" s="293" t="s">
        <v>24355</v>
      </c>
      <c r="AA372" s="293" t="s">
        <v>145</v>
      </c>
      <c r="AB372" s="293" t="s">
        <v>74</v>
      </c>
      <c r="AC372" s="293" t="s">
        <v>656</v>
      </c>
      <c r="AE372" s="293" t="s">
        <v>24356</v>
      </c>
      <c r="AF372" s="293" t="s">
        <v>145</v>
      </c>
      <c r="AG372" s="293" t="s">
        <v>74</v>
      </c>
      <c r="AH372" s="293" t="s">
        <v>656</v>
      </c>
      <c r="AJ372" s="293" t="s">
        <v>24357</v>
      </c>
      <c r="AK372" s="293" t="s">
        <v>145</v>
      </c>
      <c r="AL372" s="293" t="s">
        <v>74</v>
      </c>
      <c r="AM372" s="293" t="s">
        <v>656</v>
      </c>
      <c r="AO372" s="22" t="s">
        <v>24358</v>
      </c>
      <c r="AP372" s="22" t="s">
        <v>145</v>
      </c>
      <c r="AQ372" s="22" t="s">
        <v>70</v>
      </c>
      <c r="AR372" s="22" t="s">
        <v>67</v>
      </c>
      <c r="AT372" s="22" t="s">
        <v>24359</v>
      </c>
      <c r="AU372" s="22" t="s">
        <v>145</v>
      </c>
      <c r="AV372" s="22" t="s">
        <v>70</v>
      </c>
      <c r="AW372" s="22" t="s">
        <v>67</v>
      </c>
      <c r="AY372" s="22" t="s">
        <v>24360</v>
      </c>
      <c r="AZ372" s="22" t="s">
        <v>145</v>
      </c>
      <c r="BA372" s="22" t="s">
        <v>70</v>
      </c>
      <c r="BB372" s="22" t="s">
        <v>67</v>
      </c>
      <c r="BD372" s="22" t="s">
        <v>24361</v>
      </c>
      <c r="BE372" s="22" t="s">
        <v>145</v>
      </c>
      <c r="BF372" s="22" t="s">
        <v>70</v>
      </c>
      <c r="BG372" s="22" t="s">
        <v>67</v>
      </c>
      <c r="BI372" s="22" t="s">
        <v>24362</v>
      </c>
      <c r="BJ372" s="22" t="s">
        <v>145</v>
      </c>
      <c r="BK372" s="22" t="s">
        <v>70</v>
      </c>
      <c r="BL372" s="22" t="s">
        <v>67</v>
      </c>
      <c r="BN372" s="22" t="s">
        <v>24363</v>
      </c>
      <c r="BO372" s="22" t="s">
        <v>145</v>
      </c>
      <c r="BP372" s="22" t="s">
        <v>70</v>
      </c>
      <c r="BQ372" s="22" t="s">
        <v>67</v>
      </c>
      <c r="BS372" s="22" t="s">
        <v>24364</v>
      </c>
      <c r="BT372" s="22" t="s">
        <v>145</v>
      </c>
      <c r="BU372" s="22" t="s">
        <v>70</v>
      </c>
      <c r="BV372" s="214" t="s">
        <v>530</v>
      </c>
      <c r="BX372" s="22" t="s">
        <v>24365</v>
      </c>
      <c r="BY372" s="22" t="s">
        <v>145</v>
      </c>
      <c r="BZ372" s="22" t="s">
        <v>70</v>
      </c>
      <c r="CA372" s="214" t="s">
        <v>530</v>
      </c>
      <c r="CC372" s="214" t="s">
        <v>24366</v>
      </c>
      <c r="CD372" s="218" t="s">
        <v>913</v>
      </c>
      <c r="CE372" s="214" t="s">
        <v>70</v>
      </c>
      <c r="CF372" s="214" t="s">
        <v>34178</v>
      </c>
      <c r="CH372" s="214" t="s">
        <v>24367</v>
      </c>
      <c r="CI372" s="214" t="s">
        <v>88</v>
      </c>
      <c r="CJ372" s="214" t="s">
        <v>70</v>
      </c>
      <c r="CK372" s="214" t="s">
        <v>530</v>
      </c>
      <c r="CM372" s="214" t="s">
        <v>24368</v>
      </c>
      <c r="CN372" s="214" t="s">
        <v>286</v>
      </c>
      <c r="CO372" s="214" t="s">
        <v>70</v>
      </c>
      <c r="CP372" s="214" t="s">
        <v>530</v>
      </c>
      <c r="CR372" s="214" t="s">
        <v>24369</v>
      </c>
      <c r="CS372" s="214" t="s">
        <v>85</v>
      </c>
      <c r="CT372" s="214" t="s">
        <v>70</v>
      </c>
      <c r="CU372" s="214" t="s">
        <v>530</v>
      </c>
      <c r="CW372" s="214" t="s">
        <v>24370</v>
      </c>
      <c r="CX372" s="214" t="s">
        <v>34575</v>
      </c>
      <c r="CY372" s="214" t="s">
        <v>70</v>
      </c>
      <c r="CZ372" s="214" t="s">
        <v>530</v>
      </c>
      <c r="DB372" s="214" t="s">
        <v>24371</v>
      </c>
      <c r="DC372" s="214" t="s">
        <v>488</v>
      </c>
      <c r="DD372" s="214" t="s">
        <v>70</v>
      </c>
      <c r="DE372" s="214" t="s">
        <v>530</v>
      </c>
      <c r="DG372" s="214" t="s">
        <v>24372</v>
      </c>
      <c r="DH372" s="214" t="s">
        <v>34226</v>
      </c>
      <c r="DI372" s="214" t="s">
        <v>70</v>
      </c>
      <c r="DJ372" s="214" t="s">
        <v>530</v>
      </c>
      <c r="DL372" s="214" t="s">
        <v>24373</v>
      </c>
      <c r="DM372" s="214" t="s">
        <v>88</v>
      </c>
      <c r="DN372" s="214" t="s">
        <v>70</v>
      </c>
      <c r="DO372" s="214" t="s">
        <v>530</v>
      </c>
      <c r="DQ372" s="214" t="s">
        <v>24374</v>
      </c>
      <c r="DR372" s="214" t="s">
        <v>926</v>
      </c>
      <c r="DS372" s="214" t="s">
        <v>70</v>
      </c>
      <c r="DT372" s="214" t="s">
        <v>530</v>
      </c>
      <c r="DV372" s="214" t="s">
        <v>24375</v>
      </c>
      <c r="DW372" s="214" t="s">
        <v>86</v>
      </c>
      <c r="DX372" s="214" t="s">
        <v>70</v>
      </c>
      <c r="DY372" s="214" t="s">
        <v>530</v>
      </c>
      <c r="EA372" s="214" t="s">
        <v>24376</v>
      </c>
      <c r="EB372" s="214" t="s">
        <v>34569</v>
      </c>
      <c r="EC372" s="214" t="s">
        <v>70</v>
      </c>
      <c r="ED372" s="214" t="s">
        <v>530</v>
      </c>
      <c r="EF372" s="214" t="s">
        <v>24377</v>
      </c>
      <c r="EG372" s="214" t="s">
        <v>34620</v>
      </c>
      <c r="EH372" s="214" t="s">
        <v>70</v>
      </c>
      <c r="EI372" s="214" t="s">
        <v>530</v>
      </c>
      <c r="EK372" s="214" t="s">
        <v>24378</v>
      </c>
      <c r="EL372" s="214" t="s">
        <v>164</v>
      </c>
      <c r="EM372" s="214" t="s">
        <v>70</v>
      </c>
      <c r="EN372" s="214" t="s">
        <v>530</v>
      </c>
      <c r="EP372" s="214" t="s">
        <v>24379</v>
      </c>
      <c r="EQ372" s="214" t="s">
        <v>163</v>
      </c>
      <c r="ER372" s="214" t="s">
        <v>70</v>
      </c>
      <c r="ES372" s="214" t="s">
        <v>530</v>
      </c>
      <c r="EU372" s="214" t="s">
        <v>24380</v>
      </c>
      <c r="EV372" s="214" t="s">
        <v>481</v>
      </c>
      <c r="EW372" s="214" t="s">
        <v>70</v>
      </c>
      <c r="EX372" s="214" t="s">
        <v>530</v>
      </c>
      <c r="EZ372" s="214" t="s">
        <v>24381</v>
      </c>
      <c r="FA372" s="214" t="s">
        <v>798</v>
      </c>
      <c r="FB372" s="214" t="s">
        <v>70</v>
      </c>
      <c r="FC372" s="214" t="s">
        <v>530</v>
      </c>
      <c r="FE372" s="214" t="s">
        <v>24382</v>
      </c>
      <c r="FF372" s="214" t="s">
        <v>89</v>
      </c>
      <c r="FG372" s="214" t="s">
        <v>70</v>
      </c>
      <c r="FH372" s="214" t="s">
        <v>530</v>
      </c>
      <c r="FJ372" s="321" t="s">
        <v>24383</v>
      </c>
      <c r="FK372" s="214" t="s">
        <v>52</v>
      </c>
      <c r="FL372" s="214" t="s">
        <v>70</v>
      </c>
      <c r="FM372" s="214" t="s">
        <v>530</v>
      </c>
      <c r="FO372" s="321" t="s">
        <v>24384</v>
      </c>
      <c r="FP372" s="214" t="s">
        <v>34644</v>
      </c>
      <c r="FQ372" s="214" t="s">
        <v>70</v>
      </c>
      <c r="FR372" s="214" t="s">
        <v>530</v>
      </c>
      <c r="FT372" s="321" t="s">
        <v>24385</v>
      </c>
      <c r="FU372" s="214" t="s">
        <v>34542</v>
      </c>
      <c r="FV372" s="214" t="s">
        <v>70</v>
      </c>
      <c r="FW372" s="214" t="s">
        <v>530</v>
      </c>
      <c r="FY372" s="321" t="s">
        <v>24386</v>
      </c>
      <c r="FZ372" s="214" t="s">
        <v>148</v>
      </c>
      <c r="GA372" s="214" t="s">
        <v>70</v>
      </c>
      <c r="GB372" s="214" t="s">
        <v>530</v>
      </c>
      <c r="GD372" s="321" t="s">
        <v>24387</v>
      </c>
      <c r="GE372" s="214" t="s">
        <v>148</v>
      </c>
      <c r="GF372" s="214" t="s">
        <v>70</v>
      </c>
      <c r="GG372" s="214" t="s">
        <v>530</v>
      </c>
      <c r="GI372" s="321" t="s">
        <v>24388</v>
      </c>
      <c r="GJ372" s="214" t="s">
        <v>163</v>
      </c>
      <c r="GK372" s="214" t="s">
        <v>70</v>
      </c>
      <c r="GL372" s="214" t="s">
        <v>530</v>
      </c>
      <c r="GN372" s="321" t="s">
        <v>24389</v>
      </c>
      <c r="GO372" s="214" t="s">
        <v>34575</v>
      </c>
      <c r="GP372" s="214" t="s">
        <v>70</v>
      </c>
      <c r="GQ372" s="214" t="s">
        <v>530</v>
      </c>
      <c r="GS372" s="321" t="s">
        <v>24390</v>
      </c>
      <c r="GT372" s="214" t="s">
        <v>148</v>
      </c>
      <c r="GU372" s="214" t="s">
        <v>70</v>
      </c>
      <c r="GV372" s="214" t="s">
        <v>530</v>
      </c>
      <c r="GX372" s="214" t="s">
        <v>24391</v>
      </c>
      <c r="GY372" s="214" t="s">
        <v>937</v>
      </c>
      <c r="GZ372" s="214" t="s">
        <v>70</v>
      </c>
      <c r="HA372" s="214" t="s">
        <v>530</v>
      </c>
      <c r="HC372" s="214" t="s">
        <v>24392</v>
      </c>
      <c r="HD372" s="214" t="s">
        <v>148</v>
      </c>
      <c r="HE372" s="214" t="s">
        <v>70</v>
      </c>
      <c r="HF372" s="214" t="s">
        <v>530</v>
      </c>
      <c r="HH372" s="214" t="s">
        <v>24393</v>
      </c>
      <c r="HI372" s="214" t="s">
        <v>34553</v>
      </c>
      <c r="HJ372" s="214" t="s">
        <v>70</v>
      </c>
      <c r="HK372" s="214" t="s">
        <v>530</v>
      </c>
      <c r="HM372" s="214" t="s">
        <v>24394</v>
      </c>
      <c r="HN372" s="214" t="s">
        <v>52</v>
      </c>
      <c r="HO372" s="214" t="s">
        <v>70</v>
      </c>
      <c r="HP372" s="214" t="s">
        <v>530</v>
      </c>
      <c r="HR372" s="22" t="s">
        <v>24395</v>
      </c>
      <c r="HS372" s="22" t="s">
        <v>34563</v>
      </c>
      <c r="HT372" s="22" t="s">
        <v>70</v>
      </c>
      <c r="HU372" s="214" t="s">
        <v>530</v>
      </c>
      <c r="HW372" s="22" t="s">
        <v>24396</v>
      </c>
      <c r="HX372" s="22" t="s">
        <v>34516</v>
      </c>
      <c r="HY372" s="22" t="s">
        <v>70</v>
      </c>
      <c r="HZ372" s="214" t="s">
        <v>530</v>
      </c>
      <c r="IB372" s="22" t="s">
        <v>24397</v>
      </c>
      <c r="IC372" s="22" t="s">
        <v>145</v>
      </c>
      <c r="ID372" s="22" t="s">
        <v>70</v>
      </c>
      <c r="IE372" s="214" t="s">
        <v>530</v>
      </c>
      <c r="IG372" s="22" t="s">
        <v>24398</v>
      </c>
      <c r="IH372" s="22" t="s">
        <v>52</v>
      </c>
      <c r="II372" s="22" t="s">
        <v>70</v>
      </c>
      <c r="IJ372" s="214" t="s">
        <v>530</v>
      </c>
      <c r="IL372" s="22" t="s">
        <v>24399</v>
      </c>
      <c r="IM372" s="22" t="s">
        <v>145</v>
      </c>
      <c r="IN372" s="22" t="s">
        <v>70</v>
      </c>
      <c r="IO372" s="214" t="s">
        <v>530</v>
      </c>
      <c r="IQ372" s="236" t="s">
        <v>24400</v>
      </c>
      <c r="IR372" s="236" t="s">
        <v>145</v>
      </c>
      <c r="IS372" s="236" t="s">
        <v>74</v>
      </c>
      <c r="IT372" s="236" t="s">
        <v>841</v>
      </c>
      <c r="IV372" s="236" t="s">
        <v>24401</v>
      </c>
      <c r="IW372" s="236" t="s">
        <v>145</v>
      </c>
      <c r="IX372" s="236" t="s">
        <v>74</v>
      </c>
      <c r="IY372" s="236" t="s">
        <v>841</v>
      </c>
      <c r="JA372" s="236" t="s">
        <v>24402</v>
      </c>
      <c r="JB372" s="236" t="s">
        <v>145</v>
      </c>
      <c r="JC372" s="236" t="s">
        <v>74</v>
      </c>
      <c r="JD372" s="236" t="s">
        <v>841</v>
      </c>
      <c r="JF372" s="236" t="s">
        <v>24403</v>
      </c>
      <c r="JG372" s="236" t="s">
        <v>145</v>
      </c>
      <c r="JH372" s="236" t="s">
        <v>74</v>
      </c>
      <c r="JI372" s="236" t="s">
        <v>841</v>
      </c>
      <c r="JK372" s="236" t="s">
        <v>24404</v>
      </c>
      <c r="JL372" s="236" t="s">
        <v>145</v>
      </c>
      <c r="JM372" s="236" t="s">
        <v>74</v>
      </c>
      <c r="JN372" s="236" t="s">
        <v>841</v>
      </c>
      <c r="JP372" s="236" t="s">
        <v>24405</v>
      </c>
      <c r="JQ372" s="236" t="s">
        <v>145</v>
      </c>
      <c r="JR372" s="236" t="s">
        <v>74</v>
      </c>
      <c r="JS372" s="236" t="s">
        <v>841</v>
      </c>
      <c r="JU372" s="294" t="s">
        <v>24406</v>
      </c>
      <c r="JV372" s="294" t="s">
        <v>52</v>
      </c>
      <c r="JW372" s="263" t="s">
        <v>70</v>
      </c>
      <c r="JX372" s="294" t="s">
        <v>1083</v>
      </c>
      <c r="JZ372" s="263" t="s">
        <v>24407</v>
      </c>
      <c r="KA372" s="263" t="s">
        <v>145</v>
      </c>
      <c r="KB372" s="263" t="s">
        <v>70</v>
      </c>
      <c r="KC372" s="263" t="s">
        <v>1083</v>
      </c>
      <c r="KE372" s="263" t="s">
        <v>24408</v>
      </c>
      <c r="KF372" s="263" t="s">
        <v>52</v>
      </c>
      <c r="KG372" s="263" t="s">
        <v>70</v>
      </c>
      <c r="KH372" s="263" t="s">
        <v>1083</v>
      </c>
      <c r="KJ372" s="263" t="s">
        <v>24409</v>
      </c>
      <c r="KK372" s="263" t="s">
        <v>52</v>
      </c>
      <c r="KL372" s="263" t="s">
        <v>74</v>
      </c>
      <c r="KM372" s="263" t="s">
        <v>34074</v>
      </c>
      <c r="KO372" s="214" t="s">
        <v>24410</v>
      </c>
      <c r="KP372" s="214" t="s">
        <v>145</v>
      </c>
      <c r="KQ372" s="214" t="s">
        <v>70</v>
      </c>
      <c r="KR372" s="214" t="s">
        <v>67</v>
      </c>
      <c r="KT372" s="22" t="s">
        <v>24411</v>
      </c>
      <c r="KU372" s="22" t="s">
        <v>145</v>
      </c>
      <c r="KV372" s="22" t="s">
        <v>70</v>
      </c>
      <c r="KW372" s="22" t="s">
        <v>67</v>
      </c>
      <c r="KY372" s="214" t="s">
        <v>24412</v>
      </c>
      <c r="KZ372" s="214" t="s">
        <v>52</v>
      </c>
      <c r="LA372" s="214" t="s">
        <v>74</v>
      </c>
      <c r="LB372" s="214" t="s">
        <v>67</v>
      </c>
      <c r="LD372" s="22" t="s">
        <v>24413</v>
      </c>
      <c r="LE372" s="22" t="s">
        <v>145</v>
      </c>
      <c r="LF372" s="22" t="s">
        <v>70</v>
      </c>
      <c r="LG372" s="22" t="s">
        <v>67</v>
      </c>
    </row>
    <row r="373" spans="1:319">
      <c r="A373" s="22" t="s">
        <v>24414</v>
      </c>
      <c r="B373" s="22" t="s">
        <v>145</v>
      </c>
      <c r="C373" s="22" t="s">
        <v>70</v>
      </c>
      <c r="D373" s="22" t="s">
        <v>67</v>
      </c>
      <c r="F373" s="99" t="s">
        <v>24415</v>
      </c>
      <c r="G373" s="22" t="s">
        <v>145</v>
      </c>
      <c r="H373" s="22" t="s">
        <v>70</v>
      </c>
      <c r="I373" s="22" t="s">
        <v>67</v>
      </c>
      <c r="K373" s="99" t="s">
        <v>24416</v>
      </c>
      <c r="L373" s="22" t="s">
        <v>145</v>
      </c>
      <c r="M373" s="22" t="s">
        <v>70</v>
      </c>
      <c r="N373" s="22" t="s">
        <v>67</v>
      </c>
      <c r="P373" s="230" t="s">
        <v>24417</v>
      </c>
      <c r="Q373" s="218" t="s">
        <v>145</v>
      </c>
      <c r="R373" s="218" t="s">
        <v>72</v>
      </c>
      <c r="S373" s="218" t="s">
        <v>33974</v>
      </c>
      <c r="U373" s="293" t="s">
        <v>24418</v>
      </c>
      <c r="V373" s="293" t="s">
        <v>145</v>
      </c>
      <c r="W373" s="293" t="s">
        <v>74</v>
      </c>
      <c r="X373" s="293" t="s">
        <v>656</v>
      </c>
      <c r="Z373" s="293" t="s">
        <v>24419</v>
      </c>
      <c r="AA373" s="293" t="s">
        <v>145</v>
      </c>
      <c r="AB373" s="293" t="s">
        <v>74</v>
      </c>
      <c r="AC373" s="293" t="s">
        <v>656</v>
      </c>
      <c r="AE373" s="293" t="s">
        <v>24420</v>
      </c>
      <c r="AF373" s="293" t="s">
        <v>145</v>
      </c>
      <c r="AG373" s="293" t="s">
        <v>74</v>
      </c>
      <c r="AH373" s="293" t="s">
        <v>656</v>
      </c>
      <c r="AJ373" s="293" t="s">
        <v>24421</v>
      </c>
      <c r="AK373" s="293" t="s">
        <v>145</v>
      </c>
      <c r="AL373" s="293" t="s">
        <v>74</v>
      </c>
      <c r="AM373" s="293" t="s">
        <v>656</v>
      </c>
      <c r="AO373" s="22" t="s">
        <v>24422</v>
      </c>
      <c r="AP373" s="22" t="s">
        <v>145</v>
      </c>
      <c r="AQ373" s="22" t="s">
        <v>70</v>
      </c>
      <c r="AR373" s="22" t="s">
        <v>67</v>
      </c>
      <c r="AT373" s="22" t="s">
        <v>24423</v>
      </c>
      <c r="AU373" s="22" t="s">
        <v>145</v>
      </c>
      <c r="AV373" s="22" t="s">
        <v>70</v>
      </c>
      <c r="AW373" s="22" t="s">
        <v>67</v>
      </c>
      <c r="AY373" s="22" t="s">
        <v>24424</v>
      </c>
      <c r="AZ373" s="22" t="s">
        <v>145</v>
      </c>
      <c r="BA373" s="22" t="s">
        <v>70</v>
      </c>
      <c r="BB373" s="22" t="s">
        <v>67</v>
      </c>
      <c r="BD373" s="22" t="s">
        <v>24425</v>
      </c>
      <c r="BE373" s="22" t="s">
        <v>145</v>
      </c>
      <c r="BF373" s="22" t="s">
        <v>70</v>
      </c>
      <c r="BG373" s="22" t="s">
        <v>67</v>
      </c>
      <c r="BI373" s="22" t="s">
        <v>24426</v>
      </c>
      <c r="BJ373" s="22" t="s">
        <v>145</v>
      </c>
      <c r="BK373" s="22" t="s">
        <v>70</v>
      </c>
      <c r="BL373" s="22" t="s">
        <v>67</v>
      </c>
      <c r="BN373" s="22" t="s">
        <v>24427</v>
      </c>
      <c r="BO373" s="22" t="s">
        <v>145</v>
      </c>
      <c r="BP373" s="22" t="s">
        <v>70</v>
      </c>
      <c r="BQ373" s="22" t="s">
        <v>67</v>
      </c>
      <c r="BS373" s="22" t="s">
        <v>24428</v>
      </c>
      <c r="BT373" s="22" t="s">
        <v>145</v>
      </c>
      <c r="BU373" s="22" t="s">
        <v>70</v>
      </c>
      <c r="BV373" s="214" t="s">
        <v>530</v>
      </c>
      <c r="BX373" s="22" t="s">
        <v>24429</v>
      </c>
      <c r="BY373" s="22" t="s">
        <v>145</v>
      </c>
      <c r="BZ373" s="22" t="s">
        <v>70</v>
      </c>
      <c r="CA373" s="214" t="s">
        <v>530</v>
      </c>
      <c r="CC373" s="214" t="s">
        <v>24430</v>
      </c>
      <c r="CD373" s="218" t="s">
        <v>491</v>
      </c>
      <c r="CE373" s="214" t="s">
        <v>70</v>
      </c>
      <c r="CF373" s="214" t="s">
        <v>34179</v>
      </c>
      <c r="CH373" s="214" t="s">
        <v>24431</v>
      </c>
      <c r="CI373" s="214" t="s">
        <v>950</v>
      </c>
      <c r="CJ373" s="214" t="s">
        <v>70</v>
      </c>
      <c r="CK373" s="214" t="s">
        <v>530</v>
      </c>
      <c r="CM373" s="214" t="s">
        <v>24432</v>
      </c>
      <c r="CN373" s="214" t="s">
        <v>34558</v>
      </c>
      <c r="CO373" s="214" t="s">
        <v>70</v>
      </c>
      <c r="CP373" s="214" t="s">
        <v>530</v>
      </c>
      <c r="CR373" s="214" t="s">
        <v>24433</v>
      </c>
      <c r="CS373" s="214" t="s">
        <v>1028</v>
      </c>
      <c r="CT373" s="214" t="s">
        <v>70</v>
      </c>
      <c r="CU373" s="214" t="s">
        <v>530</v>
      </c>
      <c r="CW373" s="214" t="s">
        <v>24434</v>
      </c>
      <c r="CX373" s="214" t="s">
        <v>10541</v>
      </c>
      <c r="CY373" s="214" t="s">
        <v>70</v>
      </c>
      <c r="CZ373" s="214" t="s">
        <v>530</v>
      </c>
      <c r="DB373" s="214" t="s">
        <v>24435</v>
      </c>
      <c r="DC373" s="214" t="s">
        <v>488</v>
      </c>
      <c r="DD373" s="214" t="s">
        <v>70</v>
      </c>
      <c r="DE373" s="214" t="s">
        <v>530</v>
      </c>
      <c r="DG373" s="214" t="s">
        <v>24436</v>
      </c>
      <c r="DH373" s="214" t="s">
        <v>52</v>
      </c>
      <c r="DI373" s="214" t="s">
        <v>70</v>
      </c>
      <c r="DJ373" s="214" t="s">
        <v>530</v>
      </c>
      <c r="DL373" s="214" t="s">
        <v>24437</v>
      </c>
      <c r="DM373" s="214" t="s">
        <v>86</v>
      </c>
      <c r="DN373" s="214" t="s">
        <v>70</v>
      </c>
      <c r="DO373" s="214" t="s">
        <v>530</v>
      </c>
      <c r="DQ373" s="214" t="s">
        <v>24438</v>
      </c>
      <c r="DR373" s="214" t="s">
        <v>531</v>
      </c>
      <c r="DS373" s="214" t="s">
        <v>70</v>
      </c>
      <c r="DT373" s="214" t="s">
        <v>530</v>
      </c>
      <c r="DV373" s="214" t="s">
        <v>24439</v>
      </c>
      <c r="DW373" s="214" t="s">
        <v>502</v>
      </c>
      <c r="DX373" s="214" t="s">
        <v>70</v>
      </c>
      <c r="DY373" s="214" t="s">
        <v>530</v>
      </c>
      <c r="EA373" s="214" t="s">
        <v>24440</v>
      </c>
      <c r="EB373" s="214" t="s">
        <v>491</v>
      </c>
      <c r="EC373" s="214" t="s">
        <v>70</v>
      </c>
      <c r="ED373" s="214" t="s">
        <v>530</v>
      </c>
      <c r="EF373" s="214" t="s">
        <v>24441</v>
      </c>
      <c r="EG373" s="214" t="s">
        <v>926</v>
      </c>
      <c r="EH373" s="214" t="s">
        <v>70</v>
      </c>
      <c r="EI373" s="214" t="s">
        <v>530</v>
      </c>
      <c r="EK373" s="214" t="s">
        <v>24442</v>
      </c>
      <c r="EL373" s="214" t="s">
        <v>481</v>
      </c>
      <c r="EM373" s="214" t="s">
        <v>70</v>
      </c>
      <c r="EN373" s="214" t="s">
        <v>530</v>
      </c>
      <c r="EP373" s="214" t="s">
        <v>24443</v>
      </c>
      <c r="EQ373" s="214" t="s">
        <v>485</v>
      </c>
      <c r="ER373" s="214" t="s">
        <v>70</v>
      </c>
      <c r="ES373" s="214" t="s">
        <v>530</v>
      </c>
      <c r="EU373" s="214" t="s">
        <v>24444</v>
      </c>
      <c r="EV373" s="214" t="s">
        <v>487</v>
      </c>
      <c r="EW373" s="214" t="s">
        <v>70</v>
      </c>
      <c r="EX373" s="214" t="s">
        <v>530</v>
      </c>
      <c r="EZ373" s="214" t="s">
        <v>24445</v>
      </c>
      <c r="FA373" s="214" t="s">
        <v>52</v>
      </c>
      <c r="FB373" s="214" t="s">
        <v>70</v>
      </c>
      <c r="FC373" s="214" t="s">
        <v>530</v>
      </c>
      <c r="FE373" s="214" t="s">
        <v>24446</v>
      </c>
      <c r="FF373" s="214" t="s">
        <v>482</v>
      </c>
      <c r="FG373" s="214" t="s">
        <v>70</v>
      </c>
      <c r="FH373" s="214" t="s">
        <v>530</v>
      </c>
      <c r="FJ373" s="321" t="s">
        <v>24447</v>
      </c>
      <c r="FK373" s="214" t="s">
        <v>203</v>
      </c>
      <c r="FL373" s="214" t="s">
        <v>70</v>
      </c>
      <c r="FM373" s="214" t="s">
        <v>530</v>
      </c>
      <c r="FO373" s="321" t="s">
        <v>24448</v>
      </c>
      <c r="FP373" s="214" t="s">
        <v>34556</v>
      </c>
      <c r="FQ373" s="214" t="s">
        <v>70</v>
      </c>
      <c r="FR373" s="214" t="s">
        <v>530</v>
      </c>
      <c r="FT373" s="321" t="s">
        <v>24449</v>
      </c>
      <c r="FU373" s="214" t="s">
        <v>930</v>
      </c>
      <c r="FV373" s="214" t="s">
        <v>70</v>
      </c>
      <c r="FW373" s="214" t="s">
        <v>530</v>
      </c>
      <c r="FY373" s="321" t="s">
        <v>24450</v>
      </c>
      <c r="FZ373" s="214" t="s">
        <v>34580</v>
      </c>
      <c r="GA373" s="214" t="s">
        <v>70</v>
      </c>
      <c r="GB373" s="214" t="s">
        <v>530</v>
      </c>
      <c r="GD373" s="321" t="s">
        <v>24451</v>
      </c>
      <c r="GE373" s="214" t="s">
        <v>468</v>
      </c>
      <c r="GF373" s="214" t="s">
        <v>70</v>
      </c>
      <c r="GG373" s="214" t="s">
        <v>530</v>
      </c>
      <c r="GI373" s="321" t="s">
        <v>24452</v>
      </c>
      <c r="GJ373" s="214" t="s">
        <v>502</v>
      </c>
      <c r="GK373" s="214" t="s">
        <v>70</v>
      </c>
      <c r="GL373" s="214" t="s">
        <v>530</v>
      </c>
      <c r="GN373" s="321" t="s">
        <v>24453</v>
      </c>
      <c r="GO373" s="214" t="s">
        <v>93</v>
      </c>
      <c r="GP373" s="214" t="s">
        <v>70</v>
      </c>
      <c r="GQ373" s="214" t="s">
        <v>530</v>
      </c>
      <c r="GS373" s="321" t="s">
        <v>24454</v>
      </c>
      <c r="GT373" s="214" t="s">
        <v>484</v>
      </c>
      <c r="GU373" s="214" t="s">
        <v>70</v>
      </c>
      <c r="GV373" s="214" t="s">
        <v>530</v>
      </c>
      <c r="GX373" s="214" t="s">
        <v>24455</v>
      </c>
      <c r="GY373" s="214" t="s">
        <v>88</v>
      </c>
      <c r="GZ373" s="214" t="s">
        <v>70</v>
      </c>
      <c r="HA373" s="214" t="s">
        <v>530</v>
      </c>
      <c r="HC373" s="214" t="s">
        <v>24456</v>
      </c>
      <c r="HD373" s="214" t="s">
        <v>146</v>
      </c>
      <c r="HE373" s="214" t="s">
        <v>70</v>
      </c>
      <c r="HF373" s="214" t="s">
        <v>530</v>
      </c>
      <c r="HH373" s="214" t="s">
        <v>24457</v>
      </c>
      <c r="HI373" s="214" t="s">
        <v>496</v>
      </c>
      <c r="HJ373" s="214" t="s">
        <v>70</v>
      </c>
      <c r="HK373" s="214" t="s">
        <v>530</v>
      </c>
      <c r="HM373" s="214" t="s">
        <v>24458</v>
      </c>
      <c r="HN373" s="214" t="s">
        <v>468</v>
      </c>
      <c r="HO373" s="214" t="s">
        <v>70</v>
      </c>
      <c r="HP373" s="214" t="s">
        <v>530</v>
      </c>
      <c r="HR373" s="22" t="s">
        <v>24459</v>
      </c>
      <c r="HS373" s="22" t="s">
        <v>492</v>
      </c>
      <c r="HT373" s="22" t="s">
        <v>70</v>
      </c>
      <c r="HU373" s="214" t="s">
        <v>530</v>
      </c>
      <c r="HW373" s="22" t="s">
        <v>24460</v>
      </c>
      <c r="HX373" s="22" t="s">
        <v>52</v>
      </c>
      <c r="HY373" s="22" t="s">
        <v>70</v>
      </c>
      <c r="HZ373" s="214" t="s">
        <v>530</v>
      </c>
      <c r="IB373" s="22" t="s">
        <v>24461</v>
      </c>
      <c r="IC373" s="22" t="s">
        <v>52</v>
      </c>
      <c r="ID373" s="22" t="s">
        <v>70</v>
      </c>
      <c r="IE373" s="214" t="s">
        <v>530</v>
      </c>
      <c r="IG373" s="22" t="s">
        <v>24462</v>
      </c>
      <c r="IH373" s="22" t="s">
        <v>52</v>
      </c>
      <c r="II373" s="22" t="s">
        <v>70</v>
      </c>
      <c r="IJ373" s="214" t="s">
        <v>530</v>
      </c>
      <c r="IL373" s="22" t="s">
        <v>24463</v>
      </c>
      <c r="IM373" s="22" t="s">
        <v>145</v>
      </c>
      <c r="IN373" s="22" t="s">
        <v>70</v>
      </c>
      <c r="IO373" s="214" t="s">
        <v>530</v>
      </c>
      <c r="IQ373" s="236" t="s">
        <v>24464</v>
      </c>
      <c r="IR373" s="236" t="s">
        <v>145</v>
      </c>
      <c r="IS373" s="236" t="s">
        <v>74</v>
      </c>
      <c r="IT373" s="236" t="s">
        <v>841</v>
      </c>
      <c r="IV373" s="236" t="s">
        <v>24465</v>
      </c>
      <c r="IW373" s="236" t="s">
        <v>145</v>
      </c>
      <c r="IX373" s="236" t="s">
        <v>74</v>
      </c>
      <c r="IY373" s="236" t="s">
        <v>841</v>
      </c>
      <c r="JA373" s="236" t="s">
        <v>24466</v>
      </c>
      <c r="JB373" s="236" t="s">
        <v>145</v>
      </c>
      <c r="JC373" s="236" t="s">
        <v>74</v>
      </c>
      <c r="JD373" s="236" t="s">
        <v>841</v>
      </c>
      <c r="JF373" s="236" t="s">
        <v>24467</v>
      </c>
      <c r="JG373" s="236" t="s">
        <v>145</v>
      </c>
      <c r="JH373" s="236" t="s">
        <v>74</v>
      </c>
      <c r="JI373" s="236" t="s">
        <v>841</v>
      </c>
      <c r="JK373" s="236" t="s">
        <v>24468</v>
      </c>
      <c r="JL373" s="236" t="s">
        <v>145</v>
      </c>
      <c r="JM373" s="236" t="s">
        <v>74</v>
      </c>
      <c r="JN373" s="236" t="s">
        <v>841</v>
      </c>
      <c r="JP373" s="236" t="s">
        <v>24469</v>
      </c>
      <c r="JQ373" s="236" t="s">
        <v>145</v>
      </c>
      <c r="JR373" s="236" t="s">
        <v>74</v>
      </c>
      <c r="JS373" s="236" t="s">
        <v>841</v>
      </c>
      <c r="JU373" s="294" t="s">
        <v>24470</v>
      </c>
      <c r="JV373" s="294" t="s">
        <v>52</v>
      </c>
      <c r="JW373" s="263" t="s">
        <v>70</v>
      </c>
      <c r="JX373" s="294" t="s">
        <v>1083</v>
      </c>
      <c r="JZ373" s="263" t="s">
        <v>24471</v>
      </c>
      <c r="KA373" s="263" t="s">
        <v>145</v>
      </c>
      <c r="KB373" s="263" t="s">
        <v>70</v>
      </c>
      <c r="KC373" s="263" t="s">
        <v>1083</v>
      </c>
      <c r="KE373" s="263" t="s">
        <v>24472</v>
      </c>
      <c r="KF373" s="263" t="s">
        <v>52</v>
      </c>
      <c r="KG373" s="263" t="s">
        <v>70</v>
      </c>
      <c r="KH373" s="263" t="s">
        <v>1083</v>
      </c>
      <c r="KJ373" s="263" t="s">
        <v>24473</v>
      </c>
      <c r="KK373" s="263" t="s">
        <v>52</v>
      </c>
      <c r="KL373" s="263" t="s">
        <v>74</v>
      </c>
      <c r="KM373" s="263" t="s">
        <v>34074</v>
      </c>
      <c r="KO373" s="214" t="s">
        <v>24474</v>
      </c>
      <c r="KP373" s="214" t="s">
        <v>145</v>
      </c>
      <c r="KQ373" s="214" t="s">
        <v>70</v>
      </c>
      <c r="KR373" s="214" t="s">
        <v>67</v>
      </c>
      <c r="KT373" s="22" t="s">
        <v>24475</v>
      </c>
      <c r="KU373" s="22" t="s">
        <v>145</v>
      </c>
      <c r="KV373" s="22" t="s">
        <v>70</v>
      </c>
      <c r="KW373" s="22" t="s">
        <v>67</v>
      </c>
      <c r="KY373" s="214" t="s">
        <v>24476</v>
      </c>
      <c r="KZ373" s="214" t="s">
        <v>52</v>
      </c>
      <c r="LA373" s="214" t="s">
        <v>74</v>
      </c>
      <c r="LB373" s="214" t="s">
        <v>67</v>
      </c>
      <c r="LD373" s="22" t="s">
        <v>24477</v>
      </c>
      <c r="LE373" s="22" t="s">
        <v>145</v>
      </c>
      <c r="LF373" s="22" t="s">
        <v>70</v>
      </c>
      <c r="LG373" s="22" t="s">
        <v>67</v>
      </c>
    </row>
    <row r="374" spans="1:319">
      <c r="A374" s="22" t="s">
        <v>24478</v>
      </c>
      <c r="B374" s="22" t="s">
        <v>145</v>
      </c>
      <c r="C374" s="22" t="s">
        <v>70</v>
      </c>
      <c r="D374" s="22" t="s">
        <v>67</v>
      </c>
      <c r="F374" s="99" t="s">
        <v>24479</v>
      </c>
      <c r="G374" s="22" t="s">
        <v>145</v>
      </c>
      <c r="H374" s="22" t="s">
        <v>70</v>
      </c>
      <c r="I374" s="22" t="s">
        <v>67</v>
      </c>
      <c r="K374" s="99" t="s">
        <v>24480</v>
      </c>
      <c r="L374" s="22" t="s">
        <v>145</v>
      </c>
      <c r="M374" s="22" t="s">
        <v>70</v>
      </c>
      <c r="N374" s="22" t="s">
        <v>67</v>
      </c>
      <c r="P374" s="230" t="s">
        <v>24481</v>
      </c>
      <c r="Q374" s="218" t="s">
        <v>145</v>
      </c>
      <c r="R374" s="218" t="s">
        <v>72</v>
      </c>
      <c r="S374" s="218" t="s">
        <v>33975</v>
      </c>
      <c r="U374" s="293" t="s">
        <v>24482</v>
      </c>
      <c r="V374" s="293" t="s">
        <v>145</v>
      </c>
      <c r="W374" s="293" t="s">
        <v>74</v>
      </c>
      <c r="X374" s="293" t="s">
        <v>656</v>
      </c>
      <c r="Z374" s="293" t="s">
        <v>24483</v>
      </c>
      <c r="AA374" s="293" t="s">
        <v>145</v>
      </c>
      <c r="AB374" s="293" t="s">
        <v>74</v>
      </c>
      <c r="AC374" s="293" t="s">
        <v>656</v>
      </c>
      <c r="AE374" s="293" t="s">
        <v>24484</v>
      </c>
      <c r="AF374" s="293" t="s">
        <v>145</v>
      </c>
      <c r="AG374" s="293" t="s">
        <v>74</v>
      </c>
      <c r="AH374" s="293" t="s">
        <v>656</v>
      </c>
      <c r="AJ374" s="293" t="s">
        <v>24485</v>
      </c>
      <c r="AK374" s="293" t="s">
        <v>145</v>
      </c>
      <c r="AL374" s="293" t="s">
        <v>74</v>
      </c>
      <c r="AM374" s="293" t="s">
        <v>656</v>
      </c>
      <c r="AO374" s="22" t="s">
        <v>24486</v>
      </c>
      <c r="AP374" s="22" t="s">
        <v>145</v>
      </c>
      <c r="AQ374" s="22" t="s">
        <v>70</v>
      </c>
      <c r="AR374" s="22" t="s">
        <v>67</v>
      </c>
      <c r="AT374" s="22" t="s">
        <v>24487</v>
      </c>
      <c r="AU374" s="22" t="s">
        <v>145</v>
      </c>
      <c r="AV374" s="22" t="s">
        <v>70</v>
      </c>
      <c r="AW374" s="22" t="s">
        <v>67</v>
      </c>
      <c r="AY374" s="22" t="s">
        <v>24488</v>
      </c>
      <c r="AZ374" s="22" t="s">
        <v>145</v>
      </c>
      <c r="BA374" s="22" t="s">
        <v>70</v>
      </c>
      <c r="BB374" s="22" t="s">
        <v>67</v>
      </c>
      <c r="BD374" s="22" t="s">
        <v>24489</v>
      </c>
      <c r="BE374" s="22" t="s">
        <v>145</v>
      </c>
      <c r="BF374" s="22" t="s">
        <v>70</v>
      </c>
      <c r="BG374" s="22" t="s">
        <v>67</v>
      </c>
      <c r="BI374" s="22" t="s">
        <v>24490</v>
      </c>
      <c r="BJ374" s="22" t="s">
        <v>145</v>
      </c>
      <c r="BK374" s="22" t="s">
        <v>70</v>
      </c>
      <c r="BL374" s="22" t="s">
        <v>67</v>
      </c>
      <c r="BN374" s="22" t="s">
        <v>24491</v>
      </c>
      <c r="BO374" s="22" t="s">
        <v>145</v>
      </c>
      <c r="BP374" s="22" t="s">
        <v>70</v>
      </c>
      <c r="BQ374" s="22" t="s">
        <v>67</v>
      </c>
      <c r="BS374" s="22" t="s">
        <v>24492</v>
      </c>
      <c r="BT374" s="22" t="s">
        <v>145</v>
      </c>
      <c r="BU374" s="22" t="s">
        <v>70</v>
      </c>
      <c r="BV374" s="214" t="s">
        <v>530</v>
      </c>
      <c r="BX374" s="22" t="s">
        <v>24493</v>
      </c>
      <c r="BY374" s="22" t="s">
        <v>145</v>
      </c>
      <c r="BZ374" s="22" t="s">
        <v>70</v>
      </c>
      <c r="CA374" s="214" t="s">
        <v>530</v>
      </c>
      <c r="CC374" s="214" t="s">
        <v>24494</v>
      </c>
      <c r="CD374" s="218" t="s">
        <v>34516</v>
      </c>
      <c r="CE374" s="214" t="s">
        <v>70</v>
      </c>
      <c r="CF374" s="214" t="s">
        <v>34180</v>
      </c>
      <c r="CH374" s="214" t="s">
        <v>24495</v>
      </c>
      <c r="CI374" s="214" t="s">
        <v>286</v>
      </c>
      <c r="CJ374" s="214" t="s">
        <v>70</v>
      </c>
      <c r="CK374" s="214" t="s">
        <v>530</v>
      </c>
      <c r="CM374" s="214" t="s">
        <v>24496</v>
      </c>
      <c r="CN374" s="214" t="s">
        <v>468</v>
      </c>
      <c r="CO374" s="214" t="s">
        <v>70</v>
      </c>
      <c r="CP374" s="214" t="s">
        <v>530</v>
      </c>
      <c r="CR374" s="214" t="s">
        <v>24497</v>
      </c>
      <c r="CS374" s="214" t="s">
        <v>34545</v>
      </c>
      <c r="CT374" s="214" t="s">
        <v>70</v>
      </c>
      <c r="CU374" s="214" t="s">
        <v>530</v>
      </c>
      <c r="CW374" s="214" t="s">
        <v>24498</v>
      </c>
      <c r="CX374" s="214" t="s">
        <v>149</v>
      </c>
      <c r="CY374" s="214" t="s">
        <v>70</v>
      </c>
      <c r="CZ374" s="214" t="s">
        <v>530</v>
      </c>
      <c r="DB374" s="214" t="s">
        <v>24499</v>
      </c>
      <c r="DC374" s="214" t="s">
        <v>33910</v>
      </c>
      <c r="DD374" s="214" t="s">
        <v>70</v>
      </c>
      <c r="DE374" s="214" t="s">
        <v>530</v>
      </c>
      <c r="DG374" s="214" t="s">
        <v>24500</v>
      </c>
      <c r="DH374" s="214" t="s">
        <v>88</v>
      </c>
      <c r="DI374" s="214" t="s">
        <v>70</v>
      </c>
      <c r="DJ374" s="214" t="s">
        <v>530</v>
      </c>
      <c r="DL374" s="214" t="s">
        <v>24501</v>
      </c>
      <c r="DM374" s="214" t="s">
        <v>481</v>
      </c>
      <c r="DN374" s="214" t="s">
        <v>70</v>
      </c>
      <c r="DO374" s="214" t="s">
        <v>530</v>
      </c>
      <c r="DQ374" s="214" t="s">
        <v>24502</v>
      </c>
      <c r="DR374" s="214" t="s">
        <v>1224</v>
      </c>
      <c r="DS374" s="214" t="s">
        <v>70</v>
      </c>
      <c r="DT374" s="214" t="s">
        <v>530</v>
      </c>
      <c r="DV374" s="214" t="s">
        <v>24503</v>
      </c>
      <c r="DW374" s="214" t="s">
        <v>915</v>
      </c>
      <c r="DX374" s="214" t="s">
        <v>70</v>
      </c>
      <c r="DY374" s="214" t="s">
        <v>530</v>
      </c>
      <c r="EA374" s="214" t="s">
        <v>24504</v>
      </c>
      <c r="EB374" s="214" t="s">
        <v>34538</v>
      </c>
      <c r="EC374" s="214" t="s">
        <v>70</v>
      </c>
      <c r="ED374" s="214" t="s">
        <v>530</v>
      </c>
      <c r="EF374" s="214" t="s">
        <v>24505</v>
      </c>
      <c r="EG374" s="214" t="s">
        <v>148</v>
      </c>
      <c r="EH374" s="214" t="s">
        <v>70</v>
      </c>
      <c r="EI374" s="214" t="s">
        <v>530</v>
      </c>
      <c r="EK374" s="214" t="s">
        <v>24506</v>
      </c>
      <c r="EL374" s="214" t="s">
        <v>52</v>
      </c>
      <c r="EM374" s="214" t="s">
        <v>70</v>
      </c>
      <c r="EN374" s="214" t="s">
        <v>530</v>
      </c>
      <c r="EP374" s="214" t="s">
        <v>24507</v>
      </c>
      <c r="EQ374" s="214" t="s">
        <v>148</v>
      </c>
      <c r="ER374" s="214" t="s">
        <v>70</v>
      </c>
      <c r="ES374" s="214" t="s">
        <v>530</v>
      </c>
      <c r="EU374" s="214" t="s">
        <v>24508</v>
      </c>
      <c r="EV374" s="214" t="s">
        <v>52</v>
      </c>
      <c r="EW374" s="214" t="s">
        <v>70</v>
      </c>
      <c r="EX374" s="214" t="s">
        <v>530</v>
      </c>
      <c r="EZ374" s="214" t="s">
        <v>24509</v>
      </c>
      <c r="FA374" s="214" t="s">
        <v>599</v>
      </c>
      <c r="FB374" s="214" t="s">
        <v>70</v>
      </c>
      <c r="FC374" s="214" t="s">
        <v>530</v>
      </c>
      <c r="FE374" s="214" t="s">
        <v>24510</v>
      </c>
      <c r="FF374" s="214" t="s">
        <v>286</v>
      </c>
      <c r="FG374" s="214" t="s">
        <v>70</v>
      </c>
      <c r="FH374" s="214" t="s">
        <v>530</v>
      </c>
      <c r="FJ374" s="321" t="s">
        <v>24511</v>
      </c>
      <c r="FK374" s="214" t="s">
        <v>494</v>
      </c>
      <c r="FL374" s="214" t="s">
        <v>70</v>
      </c>
      <c r="FM374" s="214" t="s">
        <v>530</v>
      </c>
      <c r="FO374" s="321" t="s">
        <v>24512</v>
      </c>
      <c r="FP374" s="214" t="s">
        <v>52</v>
      </c>
      <c r="FQ374" s="214" t="s">
        <v>70</v>
      </c>
      <c r="FR374" s="214" t="s">
        <v>530</v>
      </c>
      <c r="FT374" s="321" t="s">
        <v>24513</v>
      </c>
      <c r="FU374" s="214" t="s">
        <v>34607</v>
      </c>
      <c r="FV374" s="214" t="s">
        <v>70</v>
      </c>
      <c r="FW374" s="214" t="s">
        <v>530</v>
      </c>
      <c r="FY374" s="321" t="s">
        <v>24514</v>
      </c>
      <c r="FZ374" s="214" t="s">
        <v>917</v>
      </c>
      <c r="GA374" s="214" t="s">
        <v>70</v>
      </c>
      <c r="GB374" s="214" t="s">
        <v>530</v>
      </c>
      <c r="GD374" s="321" t="s">
        <v>24515</v>
      </c>
      <c r="GE374" s="214" t="s">
        <v>163</v>
      </c>
      <c r="GF374" s="214" t="s">
        <v>70</v>
      </c>
      <c r="GG374" s="214" t="s">
        <v>530</v>
      </c>
      <c r="GI374" s="321" t="s">
        <v>24516</v>
      </c>
      <c r="GJ374" s="214" t="s">
        <v>468</v>
      </c>
      <c r="GK374" s="214" t="s">
        <v>70</v>
      </c>
      <c r="GL374" s="214" t="s">
        <v>530</v>
      </c>
      <c r="GN374" s="321" t="s">
        <v>24517</v>
      </c>
      <c r="GO374" s="214" t="s">
        <v>34575</v>
      </c>
      <c r="GP374" s="214" t="s">
        <v>70</v>
      </c>
      <c r="GQ374" s="214" t="s">
        <v>530</v>
      </c>
      <c r="GS374" s="321" t="s">
        <v>24518</v>
      </c>
      <c r="GT374" s="214" t="s">
        <v>949</v>
      </c>
      <c r="GU374" s="214" t="s">
        <v>70</v>
      </c>
      <c r="GV374" s="214" t="s">
        <v>530</v>
      </c>
      <c r="GX374" s="214" t="s">
        <v>24519</v>
      </c>
      <c r="GY374" s="214" t="s">
        <v>52</v>
      </c>
      <c r="GZ374" s="214" t="s">
        <v>70</v>
      </c>
      <c r="HA374" s="214" t="s">
        <v>530</v>
      </c>
      <c r="HC374" s="214" t="s">
        <v>24520</v>
      </c>
      <c r="HD374" s="214" t="s">
        <v>85</v>
      </c>
      <c r="HE374" s="214" t="s">
        <v>70</v>
      </c>
      <c r="HF374" s="214" t="s">
        <v>530</v>
      </c>
      <c r="HH374" s="214" t="s">
        <v>24521</v>
      </c>
      <c r="HI374" s="214" t="s">
        <v>52</v>
      </c>
      <c r="HJ374" s="214" t="s">
        <v>70</v>
      </c>
      <c r="HK374" s="214" t="s">
        <v>530</v>
      </c>
      <c r="HM374" s="214" t="s">
        <v>24522</v>
      </c>
      <c r="HN374" s="214" t="s">
        <v>34471</v>
      </c>
      <c r="HO374" s="214" t="s">
        <v>70</v>
      </c>
      <c r="HP374" s="214" t="s">
        <v>530</v>
      </c>
      <c r="HR374" s="22" t="s">
        <v>24523</v>
      </c>
      <c r="HS374" s="22" t="s">
        <v>146</v>
      </c>
      <c r="HT374" s="22" t="s">
        <v>70</v>
      </c>
      <c r="HU374" s="214" t="s">
        <v>530</v>
      </c>
      <c r="HW374" s="22" t="s">
        <v>24524</v>
      </c>
      <c r="HX374" s="22" t="s">
        <v>52</v>
      </c>
      <c r="HY374" s="22" t="s">
        <v>70</v>
      </c>
      <c r="HZ374" s="214" t="s">
        <v>530</v>
      </c>
      <c r="IB374" s="22" t="s">
        <v>24525</v>
      </c>
      <c r="IC374" s="22" t="s">
        <v>34568</v>
      </c>
      <c r="ID374" s="22" t="s">
        <v>70</v>
      </c>
      <c r="IE374" s="214" t="s">
        <v>530</v>
      </c>
      <c r="IG374" s="22" t="s">
        <v>24526</v>
      </c>
      <c r="IH374" s="22" t="s">
        <v>52</v>
      </c>
      <c r="II374" s="22" t="s">
        <v>70</v>
      </c>
      <c r="IJ374" s="214" t="s">
        <v>530</v>
      </c>
      <c r="IL374" s="22" t="s">
        <v>24527</v>
      </c>
      <c r="IM374" s="22" t="s">
        <v>145</v>
      </c>
      <c r="IN374" s="22" t="s">
        <v>70</v>
      </c>
      <c r="IO374" s="214" t="s">
        <v>530</v>
      </c>
      <c r="IQ374" s="236" t="s">
        <v>24528</v>
      </c>
      <c r="IR374" s="236" t="s">
        <v>145</v>
      </c>
      <c r="IS374" s="236" t="s">
        <v>74</v>
      </c>
      <c r="IT374" s="236" t="s">
        <v>841</v>
      </c>
      <c r="IV374" s="236" t="s">
        <v>24529</v>
      </c>
      <c r="IW374" s="236" t="s">
        <v>145</v>
      </c>
      <c r="IX374" s="236" t="s">
        <v>74</v>
      </c>
      <c r="IY374" s="236" t="s">
        <v>841</v>
      </c>
      <c r="JA374" s="236" t="s">
        <v>24530</v>
      </c>
      <c r="JB374" s="236" t="s">
        <v>145</v>
      </c>
      <c r="JC374" s="236" t="s">
        <v>74</v>
      </c>
      <c r="JD374" s="236" t="s">
        <v>841</v>
      </c>
      <c r="JF374" s="236" t="s">
        <v>24531</v>
      </c>
      <c r="JG374" s="236" t="s">
        <v>145</v>
      </c>
      <c r="JH374" s="236" t="s">
        <v>74</v>
      </c>
      <c r="JI374" s="236" t="s">
        <v>841</v>
      </c>
      <c r="JK374" s="236" t="s">
        <v>24532</v>
      </c>
      <c r="JL374" s="236" t="s">
        <v>145</v>
      </c>
      <c r="JM374" s="236" t="s">
        <v>74</v>
      </c>
      <c r="JN374" s="236" t="s">
        <v>841</v>
      </c>
      <c r="JP374" s="236" t="s">
        <v>24533</v>
      </c>
      <c r="JQ374" s="236" t="s">
        <v>145</v>
      </c>
      <c r="JR374" s="236" t="s">
        <v>74</v>
      </c>
      <c r="JS374" s="236" t="s">
        <v>841</v>
      </c>
      <c r="JU374" s="294" t="s">
        <v>24534</v>
      </c>
      <c r="JV374" s="294" t="s">
        <v>52</v>
      </c>
      <c r="JW374" s="263" t="s">
        <v>70</v>
      </c>
      <c r="JX374" s="294" t="s">
        <v>1083</v>
      </c>
      <c r="JZ374" s="263" t="s">
        <v>24535</v>
      </c>
      <c r="KA374" s="263" t="s">
        <v>145</v>
      </c>
      <c r="KB374" s="263" t="s">
        <v>70</v>
      </c>
      <c r="KC374" s="263" t="s">
        <v>1083</v>
      </c>
      <c r="KE374" s="263" t="s">
        <v>24536</v>
      </c>
      <c r="KF374" s="263" t="s">
        <v>52</v>
      </c>
      <c r="KG374" s="263" t="s">
        <v>70</v>
      </c>
      <c r="KH374" s="263" t="s">
        <v>1083</v>
      </c>
      <c r="KJ374" s="263" t="s">
        <v>24537</v>
      </c>
      <c r="KK374" s="263" t="s">
        <v>52</v>
      </c>
      <c r="KL374" s="263" t="s">
        <v>74</v>
      </c>
      <c r="KM374" s="263" t="s">
        <v>34074</v>
      </c>
      <c r="KO374" s="214" t="s">
        <v>24538</v>
      </c>
      <c r="KP374" s="214" t="s">
        <v>145</v>
      </c>
      <c r="KQ374" s="214" t="s">
        <v>70</v>
      </c>
      <c r="KR374" s="214" t="s">
        <v>67</v>
      </c>
      <c r="KT374" s="22" t="s">
        <v>24539</v>
      </c>
      <c r="KU374" s="22" t="s">
        <v>145</v>
      </c>
      <c r="KV374" s="22" t="s">
        <v>70</v>
      </c>
      <c r="KW374" s="22" t="s">
        <v>67</v>
      </c>
      <c r="KY374" s="214" t="s">
        <v>24540</v>
      </c>
      <c r="KZ374" s="214" t="s">
        <v>52</v>
      </c>
      <c r="LA374" s="214" t="s">
        <v>74</v>
      </c>
      <c r="LB374" s="214" t="s">
        <v>67</v>
      </c>
      <c r="LD374" s="22" t="s">
        <v>24541</v>
      </c>
      <c r="LE374" s="22" t="s">
        <v>145</v>
      </c>
      <c r="LF374" s="22" t="s">
        <v>70</v>
      </c>
      <c r="LG374" s="22" t="s">
        <v>67</v>
      </c>
    </row>
    <row r="375" spans="1:319">
      <c r="A375" s="22" t="s">
        <v>24542</v>
      </c>
      <c r="B375" s="22" t="s">
        <v>145</v>
      </c>
      <c r="C375" s="22" t="s">
        <v>70</v>
      </c>
      <c r="D375" s="22" t="s">
        <v>67</v>
      </c>
      <c r="F375" s="99" t="s">
        <v>24543</v>
      </c>
      <c r="G375" s="22" t="s">
        <v>145</v>
      </c>
      <c r="H375" s="22" t="s">
        <v>70</v>
      </c>
      <c r="I375" s="22" t="s">
        <v>67</v>
      </c>
      <c r="K375" s="99" t="s">
        <v>24544</v>
      </c>
      <c r="L375" s="22" t="s">
        <v>145</v>
      </c>
      <c r="M375" s="22" t="s">
        <v>70</v>
      </c>
      <c r="N375" s="22" t="s">
        <v>67</v>
      </c>
      <c r="P375" s="230" t="s">
        <v>24545</v>
      </c>
      <c r="Q375" s="218" t="s">
        <v>145</v>
      </c>
      <c r="R375" s="218" t="s">
        <v>72</v>
      </c>
      <c r="S375" s="218" t="s">
        <v>33976</v>
      </c>
      <c r="U375" s="293" t="s">
        <v>24546</v>
      </c>
      <c r="V375" s="293" t="s">
        <v>145</v>
      </c>
      <c r="W375" s="293" t="s">
        <v>74</v>
      </c>
      <c r="X375" s="293" t="s">
        <v>656</v>
      </c>
      <c r="Z375" s="293" t="s">
        <v>24547</v>
      </c>
      <c r="AA375" s="293" t="s">
        <v>145</v>
      </c>
      <c r="AB375" s="293" t="s">
        <v>74</v>
      </c>
      <c r="AC375" s="293" t="s">
        <v>656</v>
      </c>
      <c r="AE375" s="293" t="s">
        <v>24548</v>
      </c>
      <c r="AF375" s="293" t="s">
        <v>145</v>
      </c>
      <c r="AG375" s="293" t="s">
        <v>74</v>
      </c>
      <c r="AH375" s="293" t="s">
        <v>656</v>
      </c>
      <c r="AJ375" s="293" t="s">
        <v>24549</v>
      </c>
      <c r="AK375" s="293" t="s">
        <v>145</v>
      </c>
      <c r="AL375" s="293" t="s">
        <v>74</v>
      </c>
      <c r="AM375" s="293" t="s">
        <v>656</v>
      </c>
      <c r="AO375" s="22" t="s">
        <v>24550</v>
      </c>
      <c r="AP375" s="22" t="s">
        <v>145</v>
      </c>
      <c r="AQ375" s="22" t="s">
        <v>70</v>
      </c>
      <c r="AR375" s="22" t="s">
        <v>67</v>
      </c>
      <c r="AT375" s="22" t="s">
        <v>24551</v>
      </c>
      <c r="AU375" s="22" t="s">
        <v>145</v>
      </c>
      <c r="AV375" s="22" t="s">
        <v>70</v>
      </c>
      <c r="AW375" s="22" t="s">
        <v>67</v>
      </c>
      <c r="AY375" s="22" t="s">
        <v>24552</v>
      </c>
      <c r="AZ375" s="22" t="s">
        <v>145</v>
      </c>
      <c r="BA375" s="22" t="s">
        <v>70</v>
      </c>
      <c r="BB375" s="22" t="s">
        <v>67</v>
      </c>
      <c r="BD375" s="22" t="s">
        <v>24553</v>
      </c>
      <c r="BE375" s="22" t="s">
        <v>145</v>
      </c>
      <c r="BF375" s="22" t="s">
        <v>70</v>
      </c>
      <c r="BG375" s="22" t="s">
        <v>67</v>
      </c>
      <c r="BI375" s="22" t="s">
        <v>24554</v>
      </c>
      <c r="BJ375" s="22" t="s">
        <v>145</v>
      </c>
      <c r="BK375" s="22" t="s">
        <v>70</v>
      </c>
      <c r="BL375" s="22" t="s">
        <v>67</v>
      </c>
      <c r="BN375" s="22" t="s">
        <v>24555</v>
      </c>
      <c r="BO375" s="22" t="s">
        <v>145</v>
      </c>
      <c r="BP375" s="22" t="s">
        <v>70</v>
      </c>
      <c r="BQ375" s="22" t="s">
        <v>67</v>
      </c>
      <c r="BS375" s="22" t="s">
        <v>24556</v>
      </c>
      <c r="BT375" s="22" t="s">
        <v>145</v>
      </c>
      <c r="BU375" s="22" t="s">
        <v>70</v>
      </c>
      <c r="BV375" s="214" t="s">
        <v>530</v>
      </c>
      <c r="BX375" s="22" t="s">
        <v>24557</v>
      </c>
      <c r="BY375" s="22" t="s">
        <v>145</v>
      </c>
      <c r="BZ375" s="22" t="s">
        <v>70</v>
      </c>
      <c r="CA375" s="214" t="s">
        <v>530</v>
      </c>
      <c r="CC375" s="214" t="s">
        <v>24558</v>
      </c>
      <c r="CD375" s="218" t="s">
        <v>93</v>
      </c>
      <c r="CE375" s="214" t="s">
        <v>70</v>
      </c>
      <c r="CF375" s="214" t="s">
        <v>34181</v>
      </c>
      <c r="CH375" s="214" t="s">
        <v>24559</v>
      </c>
      <c r="CI375" s="214" t="s">
        <v>955</v>
      </c>
      <c r="CJ375" s="214" t="s">
        <v>70</v>
      </c>
      <c r="CK375" s="214" t="s">
        <v>530</v>
      </c>
      <c r="CM375" s="214" t="s">
        <v>24560</v>
      </c>
      <c r="CN375" s="214" t="s">
        <v>484</v>
      </c>
      <c r="CO375" s="214" t="s">
        <v>70</v>
      </c>
      <c r="CP375" s="214" t="s">
        <v>530</v>
      </c>
      <c r="CR375" s="214" t="s">
        <v>24561</v>
      </c>
      <c r="CS375" s="214" t="s">
        <v>34551</v>
      </c>
      <c r="CT375" s="214" t="s">
        <v>70</v>
      </c>
      <c r="CU375" s="214" t="s">
        <v>530</v>
      </c>
      <c r="CW375" s="214" t="s">
        <v>24562</v>
      </c>
      <c r="CX375" s="214" t="s">
        <v>34544</v>
      </c>
      <c r="CY375" s="214" t="s">
        <v>70</v>
      </c>
      <c r="CZ375" s="214" t="s">
        <v>530</v>
      </c>
      <c r="DB375" s="214" t="s">
        <v>24563</v>
      </c>
      <c r="DC375" s="214" t="s">
        <v>34567</v>
      </c>
      <c r="DD375" s="214" t="s">
        <v>70</v>
      </c>
      <c r="DE375" s="214" t="s">
        <v>530</v>
      </c>
      <c r="DG375" s="214" t="s">
        <v>24564</v>
      </c>
      <c r="DH375" s="214" t="s">
        <v>599</v>
      </c>
      <c r="DI375" s="214" t="s">
        <v>70</v>
      </c>
      <c r="DJ375" s="214" t="s">
        <v>530</v>
      </c>
      <c r="DL375" s="214" t="s">
        <v>24565</v>
      </c>
      <c r="DM375" s="214" t="s">
        <v>487</v>
      </c>
      <c r="DN375" s="214" t="s">
        <v>70</v>
      </c>
      <c r="DO375" s="214" t="s">
        <v>530</v>
      </c>
      <c r="DQ375" s="214" t="s">
        <v>24566</v>
      </c>
      <c r="DR375" s="214" t="s">
        <v>34548</v>
      </c>
      <c r="DS375" s="214" t="s">
        <v>70</v>
      </c>
      <c r="DT375" s="214" t="s">
        <v>530</v>
      </c>
      <c r="DV375" s="214" t="s">
        <v>24567</v>
      </c>
      <c r="DW375" s="214" t="s">
        <v>146</v>
      </c>
      <c r="DX375" s="214" t="s">
        <v>70</v>
      </c>
      <c r="DY375" s="214" t="s">
        <v>530</v>
      </c>
      <c r="EA375" s="214" t="s">
        <v>24568</v>
      </c>
      <c r="EB375" s="214" t="s">
        <v>496</v>
      </c>
      <c r="EC375" s="214" t="s">
        <v>70</v>
      </c>
      <c r="ED375" s="214" t="s">
        <v>530</v>
      </c>
      <c r="EF375" s="214" t="s">
        <v>24569</v>
      </c>
      <c r="EG375" s="214" t="s">
        <v>502</v>
      </c>
      <c r="EH375" s="214" t="s">
        <v>70</v>
      </c>
      <c r="EI375" s="214" t="s">
        <v>530</v>
      </c>
      <c r="EK375" s="214" t="s">
        <v>24570</v>
      </c>
      <c r="EL375" s="214" t="s">
        <v>206</v>
      </c>
      <c r="EM375" s="214" t="s">
        <v>70</v>
      </c>
      <c r="EN375" s="214" t="s">
        <v>530</v>
      </c>
      <c r="EP375" s="214" t="s">
        <v>24571</v>
      </c>
      <c r="EQ375" s="214" t="s">
        <v>34542</v>
      </c>
      <c r="ER375" s="214" t="s">
        <v>70</v>
      </c>
      <c r="ES375" s="214" t="s">
        <v>530</v>
      </c>
      <c r="EU375" s="214" t="s">
        <v>24572</v>
      </c>
      <c r="EV375" s="214" t="s">
        <v>52</v>
      </c>
      <c r="EW375" s="214" t="s">
        <v>70</v>
      </c>
      <c r="EX375" s="214" t="s">
        <v>530</v>
      </c>
      <c r="EZ375" s="214" t="s">
        <v>24573</v>
      </c>
      <c r="FA375" s="214" t="s">
        <v>146</v>
      </c>
      <c r="FB375" s="214" t="s">
        <v>70</v>
      </c>
      <c r="FC375" s="214" t="s">
        <v>530</v>
      </c>
      <c r="FE375" s="214" t="s">
        <v>24574</v>
      </c>
      <c r="FF375" s="214" t="s">
        <v>798</v>
      </c>
      <c r="FG375" s="214" t="s">
        <v>70</v>
      </c>
      <c r="FH375" s="214" t="s">
        <v>530</v>
      </c>
      <c r="FJ375" s="321" t="s">
        <v>24575</v>
      </c>
      <c r="FK375" s="214" t="s">
        <v>34556</v>
      </c>
      <c r="FL375" s="214" t="s">
        <v>70</v>
      </c>
      <c r="FM375" s="214" t="s">
        <v>530</v>
      </c>
      <c r="FO375" s="321" t="s">
        <v>24576</v>
      </c>
      <c r="FP375" s="214" t="s">
        <v>33910</v>
      </c>
      <c r="FQ375" s="214" t="s">
        <v>70</v>
      </c>
      <c r="FR375" s="214" t="s">
        <v>530</v>
      </c>
      <c r="FT375" s="321" t="s">
        <v>24577</v>
      </c>
      <c r="FU375" s="214" t="s">
        <v>34539</v>
      </c>
      <c r="FV375" s="214" t="s">
        <v>70</v>
      </c>
      <c r="FW375" s="214" t="s">
        <v>530</v>
      </c>
      <c r="FY375" s="321" t="s">
        <v>24578</v>
      </c>
      <c r="FZ375" s="214" t="s">
        <v>798</v>
      </c>
      <c r="GA375" s="214" t="s">
        <v>70</v>
      </c>
      <c r="GB375" s="214" t="s">
        <v>530</v>
      </c>
      <c r="GD375" s="321" t="s">
        <v>24579</v>
      </c>
      <c r="GE375" s="214" t="s">
        <v>950</v>
      </c>
      <c r="GF375" s="214" t="s">
        <v>70</v>
      </c>
      <c r="GG375" s="214" t="s">
        <v>530</v>
      </c>
      <c r="GI375" s="321" t="s">
        <v>24580</v>
      </c>
      <c r="GJ375" s="214" t="s">
        <v>52</v>
      </c>
      <c r="GK375" s="214" t="s">
        <v>70</v>
      </c>
      <c r="GL375" s="214" t="s">
        <v>530</v>
      </c>
      <c r="GN375" s="321" t="s">
        <v>24581</v>
      </c>
      <c r="GO375" s="214" t="s">
        <v>529</v>
      </c>
      <c r="GP375" s="214" t="s">
        <v>70</v>
      </c>
      <c r="GQ375" s="214" t="s">
        <v>530</v>
      </c>
      <c r="GS375" s="321" t="s">
        <v>24582</v>
      </c>
      <c r="GT375" s="214" t="s">
        <v>103</v>
      </c>
      <c r="GU375" s="214" t="s">
        <v>70</v>
      </c>
      <c r="GV375" s="214" t="s">
        <v>530</v>
      </c>
      <c r="GX375" s="214" t="s">
        <v>24583</v>
      </c>
      <c r="GY375" s="214" t="s">
        <v>88</v>
      </c>
      <c r="GZ375" s="214" t="s">
        <v>70</v>
      </c>
      <c r="HA375" s="214" t="s">
        <v>530</v>
      </c>
      <c r="HC375" s="214" t="s">
        <v>24584</v>
      </c>
      <c r="HD375" s="214" t="s">
        <v>921</v>
      </c>
      <c r="HE375" s="214" t="s">
        <v>70</v>
      </c>
      <c r="HF375" s="214" t="s">
        <v>530</v>
      </c>
      <c r="HH375" s="214" t="s">
        <v>24585</v>
      </c>
      <c r="HI375" s="214" t="s">
        <v>52</v>
      </c>
      <c r="HJ375" s="214" t="s">
        <v>70</v>
      </c>
      <c r="HK375" s="214" t="s">
        <v>530</v>
      </c>
      <c r="HM375" s="214" t="s">
        <v>24586</v>
      </c>
      <c r="HN375" s="214" t="s">
        <v>488</v>
      </c>
      <c r="HO375" s="214" t="s">
        <v>70</v>
      </c>
      <c r="HP375" s="214" t="s">
        <v>530</v>
      </c>
      <c r="HR375" s="22" t="s">
        <v>24587</v>
      </c>
      <c r="HS375" s="22" t="s">
        <v>148</v>
      </c>
      <c r="HT375" s="22" t="s">
        <v>70</v>
      </c>
      <c r="HU375" s="214" t="s">
        <v>530</v>
      </c>
      <c r="HW375" s="22" t="s">
        <v>24588</v>
      </c>
      <c r="HX375" s="22" t="s">
        <v>203</v>
      </c>
      <c r="HY375" s="22" t="s">
        <v>70</v>
      </c>
      <c r="HZ375" s="214" t="s">
        <v>530</v>
      </c>
      <c r="IB375" s="22" t="s">
        <v>24589</v>
      </c>
      <c r="IC375" s="22" t="s">
        <v>52</v>
      </c>
      <c r="ID375" s="22" t="s">
        <v>70</v>
      </c>
      <c r="IE375" s="214" t="s">
        <v>530</v>
      </c>
      <c r="IG375" s="22" t="s">
        <v>24590</v>
      </c>
      <c r="IH375" s="22" t="s">
        <v>52</v>
      </c>
      <c r="II375" s="22" t="s">
        <v>70</v>
      </c>
      <c r="IJ375" s="214" t="s">
        <v>530</v>
      </c>
      <c r="IL375" s="22" t="s">
        <v>24591</v>
      </c>
      <c r="IM375" s="22" t="s">
        <v>145</v>
      </c>
      <c r="IN375" s="22" t="s">
        <v>70</v>
      </c>
      <c r="IO375" s="214" t="s">
        <v>530</v>
      </c>
      <c r="IQ375" s="236" t="s">
        <v>24592</v>
      </c>
      <c r="IR375" s="236" t="s">
        <v>145</v>
      </c>
      <c r="IS375" s="236" t="s">
        <v>74</v>
      </c>
      <c r="IT375" s="236" t="s">
        <v>841</v>
      </c>
      <c r="IV375" s="236" t="s">
        <v>24593</v>
      </c>
      <c r="IW375" s="236" t="s">
        <v>145</v>
      </c>
      <c r="IX375" s="236" t="s">
        <v>74</v>
      </c>
      <c r="IY375" s="236" t="s">
        <v>841</v>
      </c>
      <c r="JA375" s="236" t="s">
        <v>24594</v>
      </c>
      <c r="JB375" s="236" t="s">
        <v>145</v>
      </c>
      <c r="JC375" s="236" t="s">
        <v>74</v>
      </c>
      <c r="JD375" s="236" t="s">
        <v>841</v>
      </c>
      <c r="JF375" s="236" t="s">
        <v>24595</v>
      </c>
      <c r="JG375" s="236" t="s">
        <v>145</v>
      </c>
      <c r="JH375" s="236" t="s">
        <v>74</v>
      </c>
      <c r="JI375" s="236" t="s">
        <v>841</v>
      </c>
      <c r="JK375" s="236" t="s">
        <v>24596</v>
      </c>
      <c r="JL375" s="236" t="s">
        <v>145</v>
      </c>
      <c r="JM375" s="236" t="s">
        <v>74</v>
      </c>
      <c r="JN375" s="236" t="s">
        <v>841</v>
      </c>
      <c r="JP375" s="236" t="s">
        <v>24597</v>
      </c>
      <c r="JQ375" s="236" t="s">
        <v>145</v>
      </c>
      <c r="JR375" s="236" t="s">
        <v>74</v>
      </c>
      <c r="JS375" s="236" t="s">
        <v>841</v>
      </c>
      <c r="JU375" s="294" t="s">
        <v>24598</v>
      </c>
      <c r="JV375" s="294" t="s">
        <v>52</v>
      </c>
      <c r="JW375" s="263" t="s">
        <v>70</v>
      </c>
      <c r="JX375" s="294" t="s">
        <v>1083</v>
      </c>
      <c r="JZ375" s="263" t="s">
        <v>24599</v>
      </c>
      <c r="KA375" s="263" t="s">
        <v>145</v>
      </c>
      <c r="KB375" s="263" t="s">
        <v>70</v>
      </c>
      <c r="KC375" s="263" t="s">
        <v>1083</v>
      </c>
      <c r="KE375" s="263" t="s">
        <v>24600</v>
      </c>
      <c r="KF375" s="263" t="s">
        <v>52</v>
      </c>
      <c r="KG375" s="263" t="s">
        <v>70</v>
      </c>
      <c r="KH375" s="263" t="s">
        <v>1083</v>
      </c>
      <c r="KJ375" s="263" t="s">
        <v>24601</v>
      </c>
      <c r="KK375" s="263" t="s">
        <v>52</v>
      </c>
      <c r="KL375" s="263" t="s">
        <v>74</v>
      </c>
      <c r="KM375" s="263" t="s">
        <v>34074</v>
      </c>
      <c r="KO375" s="214" t="s">
        <v>24602</v>
      </c>
      <c r="KP375" s="214" t="s">
        <v>145</v>
      </c>
      <c r="KQ375" s="214" t="s">
        <v>70</v>
      </c>
      <c r="KR375" s="214" t="s">
        <v>67</v>
      </c>
      <c r="KT375" s="22" t="s">
        <v>24603</v>
      </c>
      <c r="KU375" s="22" t="s">
        <v>145</v>
      </c>
      <c r="KV375" s="22" t="s">
        <v>70</v>
      </c>
      <c r="KW375" s="22" t="s">
        <v>67</v>
      </c>
      <c r="KY375" s="214" t="s">
        <v>24604</v>
      </c>
      <c r="KZ375" s="214" t="s">
        <v>52</v>
      </c>
      <c r="LA375" s="214" t="s">
        <v>74</v>
      </c>
      <c r="LB375" s="214" t="s">
        <v>67</v>
      </c>
      <c r="LD375" s="22" t="s">
        <v>24605</v>
      </c>
      <c r="LE375" s="22" t="s">
        <v>145</v>
      </c>
      <c r="LF375" s="22" t="s">
        <v>70</v>
      </c>
      <c r="LG375" s="22" t="s">
        <v>67</v>
      </c>
    </row>
    <row r="376" spans="1:319">
      <c r="A376" s="22" t="s">
        <v>24606</v>
      </c>
      <c r="B376" s="22" t="s">
        <v>145</v>
      </c>
      <c r="C376" s="22" t="s">
        <v>70</v>
      </c>
      <c r="D376" s="22" t="s">
        <v>67</v>
      </c>
      <c r="F376" s="100" t="s">
        <v>24607</v>
      </c>
      <c r="G376" s="22" t="s">
        <v>145</v>
      </c>
      <c r="H376" s="22" t="s">
        <v>70</v>
      </c>
      <c r="I376" s="22" t="s">
        <v>67</v>
      </c>
      <c r="K376" s="99" t="s">
        <v>24608</v>
      </c>
      <c r="L376" s="22" t="s">
        <v>145</v>
      </c>
      <c r="M376" s="22" t="s">
        <v>70</v>
      </c>
      <c r="N376" s="22" t="s">
        <v>67</v>
      </c>
      <c r="P376" s="230" t="s">
        <v>24609</v>
      </c>
      <c r="Q376" s="218" t="s">
        <v>145</v>
      </c>
      <c r="R376" s="218" t="s">
        <v>72</v>
      </c>
      <c r="S376" s="218" t="s">
        <v>33977</v>
      </c>
      <c r="U376" s="293" t="s">
        <v>24610</v>
      </c>
      <c r="V376" s="293" t="s">
        <v>145</v>
      </c>
      <c r="W376" s="293" t="s">
        <v>74</v>
      </c>
      <c r="X376" s="293" t="s">
        <v>656</v>
      </c>
      <c r="Z376" s="293" t="s">
        <v>24611</v>
      </c>
      <c r="AA376" s="293" t="s">
        <v>145</v>
      </c>
      <c r="AB376" s="293" t="s">
        <v>74</v>
      </c>
      <c r="AC376" s="293" t="s">
        <v>656</v>
      </c>
      <c r="AE376" s="293" t="s">
        <v>24612</v>
      </c>
      <c r="AF376" s="293" t="s">
        <v>145</v>
      </c>
      <c r="AG376" s="293" t="s">
        <v>74</v>
      </c>
      <c r="AH376" s="293" t="s">
        <v>656</v>
      </c>
      <c r="AJ376" s="293" t="s">
        <v>24613</v>
      </c>
      <c r="AK376" s="293" t="s">
        <v>145</v>
      </c>
      <c r="AL376" s="293" t="s">
        <v>74</v>
      </c>
      <c r="AM376" s="293" t="s">
        <v>656</v>
      </c>
      <c r="AO376" s="22" t="s">
        <v>24614</v>
      </c>
      <c r="AP376" s="22" t="s">
        <v>145</v>
      </c>
      <c r="AQ376" s="22" t="s">
        <v>70</v>
      </c>
      <c r="AR376" s="22" t="s">
        <v>67</v>
      </c>
      <c r="AT376" s="22" t="s">
        <v>24615</v>
      </c>
      <c r="AU376" s="22" t="s">
        <v>145</v>
      </c>
      <c r="AV376" s="22" t="s">
        <v>70</v>
      </c>
      <c r="AW376" s="22" t="s">
        <v>67</v>
      </c>
      <c r="AY376" s="22" t="s">
        <v>24616</v>
      </c>
      <c r="AZ376" s="22" t="s">
        <v>145</v>
      </c>
      <c r="BA376" s="22" t="s">
        <v>70</v>
      </c>
      <c r="BB376" s="22" t="s">
        <v>67</v>
      </c>
      <c r="BD376" s="22" t="s">
        <v>24617</v>
      </c>
      <c r="BE376" s="22" t="s">
        <v>145</v>
      </c>
      <c r="BF376" s="22" t="s">
        <v>70</v>
      </c>
      <c r="BG376" s="22" t="s">
        <v>67</v>
      </c>
      <c r="BI376" s="22" t="s">
        <v>24618</v>
      </c>
      <c r="BJ376" s="22" t="s">
        <v>145</v>
      </c>
      <c r="BK376" s="22" t="s">
        <v>70</v>
      </c>
      <c r="BL376" s="22" t="s">
        <v>67</v>
      </c>
      <c r="BN376" s="22" t="s">
        <v>24619</v>
      </c>
      <c r="BO376" s="22" t="s">
        <v>145</v>
      </c>
      <c r="BP376" s="22" t="s">
        <v>70</v>
      </c>
      <c r="BQ376" s="22" t="s">
        <v>67</v>
      </c>
      <c r="BS376" s="22" t="s">
        <v>24620</v>
      </c>
      <c r="BT376" s="22" t="s">
        <v>145</v>
      </c>
      <c r="BU376" s="22" t="s">
        <v>70</v>
      </c>
      <c r="BV376" s="214" t="s">
        <v>530</v>
      </c>
      <c r="BX376" s="22" t="s">
        <v>24621</v>
      </c>
      <c r="BY376" s="22" t="s">
        <v>145</v>
      </c>
      <c r="BZ376" s="22" t="s">
        <v>70</v>
      </c>
      <c r="CA376" s="214" t="s">
        <v>530</v>
      </c>
      <c r="CC376" s="214" t="s">
        <v>24622</v>
      </c>
      <c r="CD376" s="218" t="s">
        <v>34556</v>
      </c>
      <c r="CE376" s="214" t="s">
        <v>70</v>
      </c>
      <c r="CF376" s="214" t="s">
        <v>34182</v>
      </c>
      <c r="CH376" s="214" t="s">
        <v>24623</v>
      </c>
      <c r="CI376" s="214" t="s">
        <v>146</v>
      </c>
      <c r="CJ376" s="214" t="s">
        <v>70</v>
      </c>
      <c r="CK376" s="214" t="s">
        <v>530</v>
      </c>
      <c r="CM376" s="214" t="s">
        <v>24624</v>
      </c>
      <c r="CN376" s="214" t="s">
        <v>485</v>
      </c>
      <c r="CO376" s="214" t="s">
        <v>70</v>
      </c>
      <c r="CP376" s="214" t="s">
        <v>530</v>
      </c>
      <c r="CR376" s="214" t="s">
        <v>24625</v>
      </c>
      <c r="CS376" s="214" t="s">
        <v>34610</v>
      </c>
      <c r="CT376" s="214" t="s">
        <v>70</v>
      </c>
      <c r="CU376" s="214" t="s">
        <v>530</v>
      </c>
      <c r="CW376" s="214" t="s">
        <v>24626</v>
      </c>
      <c r="CX376" s="214" t="s">
        <v>468</v>
      </c>
      <c r="CY376" s="214" t="s">
        <v>70</v>
      </c>
      <c r="CZ376" s="214" t="s">
        <v>530</v>
      </c>
      <c r="DB376" s="214" t="s">
        <v>24627</v>
      </c>
      <c r="DC376" s="214" t="s">
        <v>497</v>
      </c>
      <c r="DD376" s="214" t="s">
        <v>70</v>
      </c>
      <c r="DE376" s="214" t="s">
        <v>530</v>
      </c>
      <c r="DG376" s="214" t="s">
        <v>24628</v>
      </c>
      <c r="DH376" s="214" t="s">
        <v>286</v>
      </c>
      <c r="DI376" s="214" t="s">
        <v>70</v>
      </c>
      <c r="DJ376" s="214" t="s">
        <v>530</v>
      </c>
      <c r="DL376" s="214" t="s">
        <v>24629</v>
      </c>
      <c r="DM376" s="214" t="s">
        <v>52</v>
      </c>
      <c r="DN376" s="214" t="s">
        <v>70</v>
      </c>
      <c r="DO376" s="214" t="s">
        <v>530</v>
      </c>
      <c r="DQ376" s="214" t="s">
        <v>24630</v>
      </c>
      <c r="DR376" s="214" t="s">
        <v>501</v>
      </c>
      <c r="DS376" s="214" t="s">
        <v>70</v>
      </c>
      <c r="DT376" s="214" t="s">
        <v>530</v>
      </c>
      <c r="DV376" s="214" t="s">
        <v>24631</v>
      </c>
      <c r="DW376" s="214" t="s">
        <v>148</v>
      </c>
      <c r="DX376" s="214" t="s">
        <v>70</v>
      </c>
      <c r="DY376" s="214" t="s">
        <v>530</v>
      </c>
      <c r="EA376" s="214" t="s">
        <v>24632</v>
      </c>
      <c r="EB376" s="214" t="s">
        <v>164</v>
      </c>
      <c r="EC376" s="214" t="s">
        <v>70</v>
      </c>
      <c r="ED376" s="214" t="s">
        <v>530</v>
      </c>
      <c r="EF376" s="214" t="s">
        <v>24633</v>
      </c>
      <c r="EG376" s="214" t="s">
        <v>468</v>
      </c>
      <c r="EH376" s="214" t="s">
        <v>70</v>
      </c>
      <c r="EI376" s="214" t="s">
        <v>530</v>
      </c>
      <c r="EK376" s="214" t="s">
        <v>24634</v>
      </c>
      <c r="EL376" s="214" t="s">
        <v>52</v>
      </c>
      <c r="EM376" s="214" t="s">
        <v>70</v>
      </c>
      <c r="EN376" s="214" t="s">
        <v>530</v>
      </c>
      <c r="EP376" s="214" t="s">
        <v>24635</v>
      </c>
      <c r="EQ376" s="214" t="s">
        <v>205</v>
      </c>
      <c r="ER376" s="214" t="s">
        <v>70</v>
      </c>
      <c r="ES376" s="214" t="s">
        <v>530</v>
      </c>
      <c r="EU376" s="214" t="s">
        <v>24636</v>
      </c>
      <c r="EV376" s="214" t="s">
        <v>34629</v>
      </c>
      <c r="EW376" s="214" t="s">
        <v>70</v>
      </c>
      <c r="EX376" s="214" t="s">
        <v>530</v>
      </c>
      <c r="EZ376" s="214" t="s">
        <v>24637</v>
      </c>
      <c r="FA376" s="214" t="s">
        <v>52</v>
      </c>
      <c r="FB376" s="214" t="s">
        <v>70</v>
      </c>
      <c r="FC376" s="214" t="s">
        <v>530</v>
      </c>
      <c r="FE376" s="214" t="s">
        <v>24638</v>
      </c>
      <c r="FF376" s="214" t="s">
        <v>468</v>
      </c>
      <c r="FG376" s="214" t="s">
        <v>70</v>
      </c>
      <c r="FH376" s="214" t="s">
        <v>530</v>
      </c>
      <c r="FJ376" s="321" t="s">
        <v>24639</v>
      </c>
      <c r="FK376" s="214" t="s">
        <v>148</v>
      </c>
      <c r="FL376" s="214" t="s">
        <v>70</v>
      </c>
      <c r="FM376" s="214" t="s">
        <v>530</v>
      </c>
      <c r="FO376" s="321" t="s">
        <v>24640</v>
      </c>
      <c r="FP376" s="214" t="s">
        <v>34226</v>
      </c>
      <c r="FQ376" s="214" t="s">
        <v>70</v>
      </c>
      <c r="FR376" s="214" t="s">
        <v>530</v>
      </c>
      <c r="FT376" s="321" t="s">
        <v>24641</v>
      </c>
      <c r="FU376" s="214" t="s">
        <v>34592</v>
      </c>
      <c r="FV376" s="214" t="s">
        <v>70</v>
      </c>
      <c r="FW376" s="214" t="s">
        <v>530</v>
      </c>
      <c r="FY376" s="321" t="s">
        <v>24642</v>
      </c>
      <c r="FZ376" s="214" t="s">
        <v>919</v>
      </c>
      <c r="GA376" s="214" t="s">
        <v>70</v>
      </c>
      <c r="GB376" s="214" t="s">
        <v>530</v>
      </c>
      <c r="GD376" s="321" t="s">
        <v>24643</v>
      </c>
      <c r="GE376" s="214" t="s">
        <v>89</v>
      </c>
      <c r="GF376" s="214" t="s">
        <v>70</v>
      </c>
      <c r="GG376" s="214" t="s">
        <v>530</v>
      </c>
      <c r="GI376" s="321" t="s">
        <v>24644</v>
      </c>
      <c r="GJ376" s="214" t="s">
        <v>145</v>
      </c>
      <c r="GK376" s="214" t="s">
        <v>70</v>
      </c>
      <c r="GL376" s="214" t="s">
        <v>530</v>
      </c>
      <c r="GN376" s="321" t="s">
        <v>24645</v>
      </c>
      <c r="GO376" s="214" t="s">
        <v>52</v>
      </c>
      <c r="GP376" s="214" t="s">
        <v>70</v>
      </c>
      <c r="GQ376" s="214" t="s">
        <v>530</v>
      </c>
      <c r="GS376" s="321" t="s">
        <v>24646</v>
      </c>
      <c r="GT376" s="214" t="s">
        <v>949</v>
      </c>
      <c r="GU376" s="214" t="s">
        <v>70</v>
      </c>
      <c r="GV376" s="214" t="s">
        <v>530</v>
      </c>
      <c r="GX376" s="214" t="s">
        <v>24647</v>
      </c>
      <c r="GY376" s="214" t="s">
        <v>52</v>
      </c>
      <c r="GZ376" s="214" t="s">
        <v>70</v>
      </c>
      <c r="HA376" s="214" t="s">
        <v>530</v>
      </c>
      <c r="HC376" s="214" t="s">
        <v>24648</v>
      </c>
      <c r="HD376" s="214" t="s">
        <v>34545</v>
      </c>
      <c r="HE376" s="214" t="s">
        <v>70</v>
      </c>
      <c r="HF376" s="214" t="s">
        <v>530</v>
      </c>
      <c r="HH376" s="214" t="s">
        <v>24649</v>
      </c>
      <c r="HI376" s="214" t="s">
        <v>905</v>
      </c>
      <c r="HJ376" s="214" t="s">
        <v>70</v>
      </c>
      <c r="HK376" s="214" t="s">
        <v>530</v>
      </c>
      <c r="HM376" s="214" t="s">
        <v>24650</v>
      </c>
      <c r="HN376" s="214" t="s">
        <v>481</v>
      </c>
      <c r="HO376" s="214" t="s">
        <v>70</v>
      </c>
      <c r="HP376" s="214" t="s">
        <v>530</v>
      </c>
      <c r="HR376" s="22" t="s">
        <v>24651</v>
      </c>
      <c r="HS376" s="22" t="s">
        <v>88</v>
      </c>
      <c r="HT376" s="22" t="s">
        <v>70</v>
      </c>
      <c r="HU376" s="214" t="s">
        <v>530</v>
      </c>
      <c r="HW376" s="22" t="s">
        <v>24652</v>
      </c>
      <c r="HX376" s="22" t="s">
        <v>10541</v>
      </c>
      <c r="HY376" s="22" t="s">
        <v>70</v>
      </c>
      <c r="HZ376" s="214" t="s">
        <v>530</v>
      </c>
      <c r="IB376" s="22" t="s">
        <v>24653</v>
      </c>
      <c r="IC376" s="22" t="s">
        <v>950</v>
      </c>
      <c r="ID376" s="22" t="s">
        <v>70</v>
      </c>
      <c r="IE376" s="214" t="s">
        <v>530</v>
      </c>
      <c r="IG376" s="22" t="s">
        <v>24654</v>
      </c>
      <c r="IH376" s="22" t="s">
        <v>52</v>
      </c>
      <c r="II376" s="22" t="s">
        <v>70</v>
      </c>
      <c r="IJ376" s="214" t="s">
        <v>530</v>
      </c>
      <c r="IL376" s="22" t="s">
        <v>24655</v>
      </c>
      <c r="IM376" s="22" t="s">
        <v>145</v>
      </c>
      <c r="IN376" s="22" t="s">
        <v>70</v>
      </c>
      <c r="IO376" s="214" t="s">
        <v>530</v>
      </c>
      <c r="IQ376" s="236" t="s">
        <v>24656</v>
      </c>
      <c r="IR376" s="236" t="s">
        <v>145</v>
      </c>
      <c r="IS376" s="236" t="s">
        <v>74</v>
      </c>
      <c r="IT376" s="236" t="s">
        <v>841</v>
      </c>
      <c r="IV376" s="236" t="s">
        <v>24657</v>
      </c>
      <c r="IW376" s="236" t="s">
        <v>145</v>
      </c>
      <c r="IX376" s="236" t="s">
        <v>74</v>
      </c>
      <c r="IY376" s="236" t="s">
        <v>841</v>
      </c>
      <c r="JA376" s="236" t="s">
        <v>24658</v>
      </c>
      <c r="JB376" s="236" t="s">
        <v>145</v>
      </c>
      <c r="JC376" s="236" t="s">
        <v>74</v>
      </c>
      <c r="JD376" s="236" t="s">
        <v>841</v>
      </c>
      <c r="JF376" s="236" t="s">
        <v>24659</v>
      </c>
      <c r="JG376" s="236" t="s">
        <v>145</v>
      </c>
      <c r="JH376" s="236" t="s">
        <v>74</v>
      </c>
      <c r="JI376" s="236" t="s">
        <v>841</v>
      </c>
      <c r="JK376" s="236" t="s">
        <v>24660</v>
      </c>
      <c r="JL376" s="236" t="s">
        <v>145</v>
      </c>
      <c r="JM376" s="236" t="s">
        <v>74</v>
      </c>
      <c r="JN376" s="236" t="s">
        <v>841</v>
      </c>
      <c r="JP376" s="236" t="s">
        <v>24661</v>
      </c>
      <c r="JQ376" s="236" t="s">
        <v>145</v>
      </c>
      <c r="JR376" s="236" t="s">
        <v>74</v>
      </c>
      <c r="JS376" s="236" t="s">
        <v>841</v>
      </c>
      <c r="JU376" s="294" t="s">
        <v>24662</v>
      </c>
      <c r="JV376" s="294" t="s">
        <v>52</v>
      </c>
      <c r="JW376" s="263" t="s">
        <v>70</v>
      </c>
      <c r="JX376" s="294" t="s">
        <v>1083</v>
      </c>
      <c r="JZ376" s="263" t="s">
        <v>24663</v>
      </c>
      <c r="KA376" s="263" t="s">
        <v>145</v>
      </c>
      <c r="KB376" s="263" t="s">
        <v>70</v>
      </c>
      <c r="KC376" s="263" t="s">
        <v>1083</v>
      </c>
      <c r="KE376" s="263" t="s">
        <v>24664</v>
      </c>
      <c r="KF376" s="263" t="s">
        <v>52</v>
      </c>
      <c r="KG376" s="263" t="s">
        <v>70</v>
      </c>
      <c r="KH376" s="263" t="s">
        <v>1083</v>
      </c>
      <c r="KJ376" s="263" t="s">
        <v>24665</v>
      </c>
      <c r="KK376" s="263" t="s">
        <v>52</v>
      </c>
      <c r="KL376" s="263" t="s">
        <v>74</v>
      </c>
      <c r="KM376" s="263" t="s">
        <v>34074</v>
      </c>
      <c r="KO376" s="214" t="s">
        <v>24666</v>
      </c>
      <c r="KP376" s="214" t="s">
        <v>145</v>
      </c>
      <c r="KQ376" s="214" t="s">
        <v>70</v>
      </c>
      <c r="KR376" s="214" t="s">
        <v>67</v>
      </c>
      <c r="KT376" s="22" t="s">
        <v>24667</v>
      </c>
      <c r="KU376" s="22" t="s">
        <v>145</v>
      </c>
      <c r="KV376" s="22" t="s">
        <v>70</v>
      </c>
      <c r="KW376" s="22" t="s">
        <v>67</v>
      </c>
      <c r="KY376" s="214" t="s">
        <v>24668</v>
      </c>
      <c r="KZ376" s="214" t="s">
        <v>52</v>
      </c>
      <c r="LA376" s="214" t="s">
        <v>74</v>
      </c>
      <c r="LB376" s="214" t="s">
        <v>67</v>
      </c>
      <c r="LD376" s="22" t="s">
        <v>24669</v>
      </c>
      <c r="LE376" s="22" t="s">
        <v>145</v>
      </c>
      <c r="LF376" s="22" t="s">
        <v>70</v>
      </c>
      <c r="LG376" s="22" t="s">
        <v>67</v>
      </c>
    </row>
    <row r="377" spans="1:319">
      <c r="A377" s="22" t="s">
        <v>24670</v>
      </c>
      <c r="B377" s="22" t="s">
        <v>145</v>
      </c>
      <c r="C377" s="22" t="s">
        <v>70</v>
      </c>
      <c r="D377" s="22" t="s">
        <v>67</v>
      </c>
      <c r="F377" s="100" t="s">
        <v>24671</v>
      </c>
      <c r="G377" s="22" t="s">
        <v>145</v>
      </c>
      <c r="H377" s="22" t="s">
        <v>70</v>
      </c>
      <c r="I377" s="22" t="s">
        <v>67</v>
      </c>
      <c r="K377" s="99" t="s">
        <v>24672</v>
      </c>
      <c r="L377" s="22" t="s">
        <v>145</v>
      </c>
      <c r="M377" s="22" t="s">
        <v>70</v>
      </c>
      <c r="N377" s="22" t="s">
        <v>67</v>
      </c>
      <c r="P377" s="230" t="s">
        <v>24673</v>
      </c>
      <c r="Q377" s="218" t="s">
        <v>145</v>
      </c>
      <c r="R377" s="218" t="s">
        <v>72</v>
      </c>
      <c r="S377" s="218" t="s">
        <v>33978</v>
      </c>
      <c r="U377" s="293" t="s">
        <v>24674</v>
      </c>
      <c r="V377" s="293" t="s">
        <v>145</v>
      </c>
      <c r="W377" s="293" t="s">
        <v>74</v>
      </c>
      <c r="X377" s="293" t="s">
        <v>656</v>
      </c>
      <c r="Z377" s="293" t="s">
        <v>24675</v>
      </c>
      <c r="AA377" s="293" t="s">
        <v>145</v>
      </c>
      <c r="AB377" s="293" t="s">
        <v>74</v>
      </c>
      <c r="AC377" s="293" t="s">
        <v>656</v>
      </c>
      <c r="AE377" s="293" t="s">
        <v>24676</v>
      </c>
      <c r="AF377" s="293" t="s">
        <v>145</v>
      </c>
      <c r="AG377" s="293" t="s">
        <v>74</v>
      </c>
      <c r="AH377" s="293" t="s">
        <v>656</v>
      </c>
      <c r="AJ377" s="293" t="s">
        <v>24677</v>
      </c>
      <c r="AK377" s="293" t="s">
        <v>145</v>
      </c>
      <c r="AL377" s="293" t="s">
        <v>74</v>
      </c>
      <c r="AM377" s="293" t="s">
        <v>656</v>
      </c>
      <c r="AO377" s="22" t="s">
        <v>24678</v>
      </c>
      <c r="AP377" s="22" t="s">
        <v>145</v>
      </c>
      <c r="AQ377" s="22" t="s">
        <v>70</v>
      </c>
      <c r="AR377" s="22" t="s">
        <v>67</v>
      </c>
      <c r="AT377" s="22" t="s">
        <v>24679</v>
      </c>
      <c r="AU377" s="22" t="s">
        <v>145</v>
      </c>
      <c r="AV377" s="22" t="s">
        <v>70</v>
      </c>
      <c r="AW377" s="22" t="s">
        <v>67</v>
      </c>
      <c r="AY377" s="22" t="s">
        <v>24680</v>
      </c>
      <c r="AZ377" s="22" t="s">
        <v>145</v>
      </c>
      <c r="BA377" s="22" t="s">
        <v>70</v>
      </c>
      <c r="BB377" s="22" t="s">
        <v>67</v>
      </c>
      <c r="BD377" s="22" t="s">
        <v>24681</v>
      </c>
      <c r="BE377" s="22" t="s">
        <v>145</v>
      </c>
      <c r="BF377" s="22" t="s">
        <v>70</v>
      </c>
      <c r="BG377" s="22" t="s">
        <v>67</v>
      </c>
      <c r="BI377" s="22" t="s">
        <v>24682</v>
      </c>
      <c r="BJ377" s="22" t="s">
        <v>145</v>
      </c>
      <c r="BK377" s="22" t="s">
        <v>70</v>
      </c>
      <c r="BL377" s="22" t="s">
        <v>67</v>
      </c>
      <c r="BN377" s="22" t="s">
        <v>24683</v>
      </c>
      <c r="BO377" s="22" t="s">
        <v>145</v>
      </c>
      <c r="BP377" s="22" t="s">
        <v>70</v>
      </c>
      <c r="BQ377" s="22" t="s">
        <v>67</v>
      </c>
      <c r="BS377" s="22" t="s">
        <v>24684</v>
      </c>
      <c r="BT377" s="22" t="s">
        <v>145</v>
      </c>
      <c r="BU377" s="22" t="s">
        <v>70</v>
      </c>
      <c r="BV377" s="214" t="s">
        <v>530</v>
      </c>
      <c r="BX377" s="22" t="s">
        <v>24685</v>
      </c>
      <c r="BY377" s="22" t="s">
        <v>145</v>
      </c>
      <c r="BZ377" s="22" t="s">
        <v>70</v>
      </c>
      <c r="CA377" s="214" t="s">
        <v>530</v>
      </c>
      <c r="CC377" s="214" t="s">
        <v>24686</v>
      </c>
      <c r="CD377" s="218" t="s">
        <v>484</v>
      </c>
      <c r="CE377" s="214" t="s">
        <v>70</v>
      </c>
      <c r="CF377" s="214" t="s">
        <v>34183</v>
      </c>
      <c r="CH377" s="214" t="s">
        <v>24687</v>
      </c>
      <c r="CI377" s="214" t="s">
        <v>34539</v>
      </c>
      <c r="CJ377" s="214" t="s">
        <v>70</v>
      </c>
      <c r="CK377" s="214" t="s">
        <v>530</v>
      </c>
      <c r="CM377" s="214" t="s">
        <v>24688</v>
      </c>
      <c r="CN377" s="214" t="s">
        <v>146</v>
      </c>
      <c r="CO377" s="214" t="s">
        <v>70</v>
      </c>
      <c r="CP377" s="214" t="s">
        <v>530</v>
      </c>
      <c r="CR377" s="214" t="s">
        <v>24689</v>
      </c>
      <c r="CS377" s="214" t="s">
        <v>34566</v>
      </c>
      <c r="CT377" s="214" t="s">
        <v>70</v>
      </c>
      <c r="CU377" s="214" t="s">
        <v>530</v>
      </c>
      <c r="CW377" s="214" t="s">
        <v>24690</v>
      </c>
      <c r="CX377" s="214" t="s">
        <v>484</v>
      </c>
      <c r="CY377" s="214" t="s">
        <v>70</v>
      </c>
      <c r="CZ377" s="214" t="s">
        <v>530</v>
      </c>
      <c r="DB377" s="214" t="s">
        <v>24691</v>
      </c>
      <c r="DC377" s="214" t="s">
        <v>34558</v>
      </c>
      <c r="DD377" s="214" t="s">
        <v>70</v>
      </c>
      <c r="DE377" s="214" t="s">
        <v>530</v>
      </c>
      <c r="DG377" s="214" t="s">
        <v>24692</v>
      </c>
      <c r="DH377" s="214" t="s">
        <v>502</v>
      </c>
      <c r="DI377" s="214" t="s">
        <v>70</v>
      </c>
      <c r="DJ377" s="214" t="s">
        <v>530</v>
      </c>
      <c r="DL377" s="214" t="s">
        <v>24693</v>
      </c>
      <c r="DM377" s="214" t="s">
        <v>468</v>
      </c>
      <c r="DN377" s="214" t="s">
        <v>70</v>
      </c>
      <c r="DO377" s="214" t="s">
        <v>530</v>
      </c>
      <c r="DQ377" s="214" t="s">
        <v>24694</v>
      </c>
      <c r="DR377" s="214" t="s">
        <v>497</v>
      </c>
      <c r="DS377" s="214" t="s">
        <v>70</v>
      </c>
      <c r="DT377" s="214" t="s">
        <v>530</v>
      </c>
      <c r="DV377" s="214" t="s">
        <v>24695</v>
      </c>
      <c r="DW377" s="214" t="s">
        <v>486</v>
      </c>
      <c r="DX377" s="214" t="s">
        <v>70</v>
      </c>
      <c r="DY377" s="214" t="s">
        <v>530</v>
      </c>
      <c r="EA377" s="214" t="s">
        <v>24696</v>
      </c>
      <c r="EB377" s="214" t="s">
        <v>484</v>
      </c>
      <c r="EC377" s="214" t="s">
        <v>70</v>
      </c>
      <c r="ED377" s="214" t="s">
        <v>530</v>
      </c>
      <c r="EF377" s="214" t="s">
        <v>24697</v>
      </c>
      <c r="EG377" s="214" t="s">
        <v>52</v>
      </c>
      <c r="EH377" s="214" t="s">
        <v>70</v>
      </c>
      <c r="EI377" s="214" t="s">
        <v>530</v>
      </c>
      <c r="EK377" s="214" t="s">
        <v>24698</v>
      </c>
      <c r="EL377" s="214" t="s">
        <v>485</v>
      </c>
      <c r="EM377" s="214" t="s">
        <v>70</v>
      </c>
      <c r="EN377" s="214" t="s">
        <v>530</v>
      </c>
      <c r="EP377" s="214" t="s">
        <v>24699</v>
      </c>
      <c r="EQ377" s="214" t="s">
        <v>468</v>
      </c>
      <c r="ER377" s="214" t="s">
        <v>70</v>
      </c>
      <c r="ES377" s="214" t="s">
        <v>530</v>
      </c>
      <c r="EU377" s="214" t="s">
        <v>24700</v>
      </c>
      <c r="EV377" s="214" t="s">
        <v>492</v>
      </c>
      <c r="EW377" s="214" t="s">
        <v>70</v>
      </c>
      <c r="EX377" s="214" t="s">
        <v>530</v>
      </c>
      <c r="EZ377" s="214" t="s">
        <v>24701</v>
      </c>
      <c r="FA377" s="214" t="s">
        <v>52</v>
      </c>
      <c r="FB377" s="214" t="s">
        <v>70</v>
      </c>
      <c r="FC377" s="214" t="s">
        <v>530</v>
      </c>
      <c r="FE377" s="214" t="s">
        <v>24702</v>
      </c>
      <c r="FF377" s="214" t="s">
        <v>484</v>
      </c>
      <c r="FG377" s="214" t="s">
        <v>70</v>
      </c>
      <c r="FH377" s="214" t="s">
        <v>530</v>
      </c>
      <c r="FJ377" s="321" t="s">
        <v>24703</v>
      </c>
      <c r="FK377" s="214" t="s">
        <v>496</v>
      </c>
      <c r="FL377" s="214" t="s">
        <v>70</v>
      </c>
      <c r="FM377" s="214" t="s">
        <v>530</v>
      </c>
      <c r="FO377" s="321" t="s">
        <v>24704</v>
      </c>
      <c r="FP377" s="214" t="s">
        <v>495</v>
      </c>
      <c r="FQ377" s="214" t="s">
        <v>70</v>
      </c>
      <c r="FR377" s="214" t="s">
        <v>530</v>
      </c>
      <c r="FT377" s="321" t="s">
        <v>24705</v>
      </c>
      <c r="FU377" s="214" t="s">
        <v>501</v>
      </c>
      <c r="FV377" s="214" t="s">
        <v>70</v>
      </c>
      <c r="FW377" s="214" t="s">
        <v>530</v>
      </c>
      <c r="FY377" s="321" t="s">
        <v>24706</v>
      </c>
      <c r="FZ377" s="214" t="s">
        <v>34558</v>
      </c>
      <c r="GA377" s="214" t="s">
        <v>70</v>
      </c>
      <c r="GB377" s="214" t="s">
        <v>530</v>
      </c>
      <c r="GD377" s="321" t="s">
        <v>24707</v>
      </c>
      <c r="GE377" s="214" t="s">
        <v>34558</v>
      </c>
      <c r="GF377" s="214" t="s">
        <v>70</v>
      </c>
      <c r="GG377" s="214" t="s">
        <v>530</v>
      </c>
      <c r="GI377" s="321" t="s">
        <v>24708</v>
      </c>
      <c r="GJ377" s="214" t="s">
        <v>34541</v>
      </c>
      <c r="GK377" s="214" t="s">
        <v>70</v>
      </c>
      <c r="GL377" s="214" t="s">
        <v>530</v>
      </c>
      <c r="GN377" s="321" t="s">
        <v>24709</v>
      </c>
      <c r="GO377" s="214" t="s">
        <v>148</v>
      </c>
      <c r="GP377" s="214" t="s">
        <v>70</v>
      </c>
      <c r="GQ377" s="214" t="s">
        <v>530</v>
      </c>
      <c r="GS377" s="321" t="s">
        <v>24710</v>
      </c>
      <c r="GT377" s="214" t="s">
        <v>483</v>
      </c>
      <c r="GU377" s="214" t="s">
        <v>70</v>
      </c>
      <c r="GV377" s="214" t="s">
        <v>530</v>
      </c>
      <c r="GX377" s="214" t="s">
        <v>24711</v>
      </c>
      <c r="GY377" s="214" t="s">
        <v>148</v>
      </c>
      <c r="GZ377" s="214" t="s">
        <v>70</v>
      </c>
      <c r="HA377" s="214" t="s">
        <v>530</v>
      </c>
      <c r="HC377" s="214" t="s">
        <v>24712</v>
      </c>
      <c r="HD377" s="214" t="s">
        <v>34551</v>
      </c>
      <c r="HE377" s="214" t="s">
        <v>70</v>
      </c>
      <c r="HF377" s="214" t="s">
        <v>530</v>
      </c>
      <c r="HH377" s="214" t="s">
        <v>24713</v>
      </c>
      <c r="HI377" s="214" t="s">
        <v>917</v>
      </c>
      <c r="HJ377" s="214" t="s">
        <v>70</v>
      </c>
      <c r="HK377" s="214" t="s">
        <v>530</v>
      </c>
      <c r="HM377" s="214" t="s">
        <v>24714</v>
      </c>
      <c r="HN377" s="214" t="s">
        <v>487</v>
      </c>
      <c r="HO377" s="214" t="s">
        <v>70</v>
      </c>
      <c r="HP377" s="214" t="s">
        <v>530</v>
      </c>
      <c r="HR377" s="22" t="s">
        <v>24715</v>
      </c>
      <c r="HS377" s="22" t="s">
        <v>93</v>
      </c>
      <c r="HT377" s="22" t="s">
        <v>70</v>
      </c>
      <c r="HU377" s="214" t="s">
        <v>530</v>
      </c>
      <c r="HW377" s="22" t="s">
        <v>24716</v>
      </c>
      <c r="HX377" s="22" t="s">
        <v>34579</v>
      </c>
      <c r="HY377" s="22" t="s">
        <v>70</v>
      </c>
      <c r="HZ377" s="214" t="s">
        <v>530</v>
      </c>
      <c r="IB377" s="22" t="s">
        <v>24717</v>
      </c>
      <c r="IC377" s="22" t="s">
        <v>148</v>
      </c>
      <c r="ID377" s="22" t="s">
        <v>70</v>
      </c>
      <c r="IE377" s="214" t="s">
        <v>530</v>
      </c>
      <c r="IG377" s="22" t="s">
        <v>24718</v>
      </c>
      <c r="IH377" s="22" t="s">
        <v>52</v>
      </c>
      <c r="II377" s="22" t="s">
        <v>70</v>
      </c>
      <c r="IJ377" s="214" t="s">
        <v>530</v>
      </c>
      <c r="IL377" s="22" t="s">
        <v>24719</v>
      </c>
      <c r="IM377" s="22" t="s">
        <v>145</v>
      </c>
      <c r="IN377" s="22" t="s">
        <v>70</v>
      </c>
      <c r="IO377" s="214" t="s">
        <v>530</v>
      </c>
      <c r="IQ377" s="236" t="s">
        <v>24720</v>
      </c>
      <c r="IR377" s="236" t="s">
        <v>145</v>
      </c>
      <c r="IS377" s="236" t="s">
        <v>74</v>
      </c>
      <c r="IT377" s="236" t="s">
        <v>841</v>
      </c>
      <c r="IV377" s="236" t="s">
        <v>24721</v>
      </c>
      <c r="IW377" s="236" t="s">
        <v>145</v>
      </c>
      <c r="IX377" s="236" t="s">
        <v>74</v>
      </c>
      <c r="IY377" s="236" t="s">
        <v>841</v>
      </c>
      <c r="JA377" s="236" t="s">
        <v>24722</v>
      </c>
      <c r="JB377" s="236" t="s">
        <v>145</v>
      </c>
      <c r="JC377" s="236" t="s">
        <v>74</v>
      </c>
      <c r="JD377" s="236" t="s">
        <v>841</v>
      </c>
      <c r="JF377" s="236" t="s">
        <v>24723</v>
      </c>
      <c r="JG377" s="236" t="s">
        <v>145</v>
      </c>
      <c r="JH377" s="236" t="s">
        <v>74</v>
      </c>
      <c r="JI377" s="236" t="s">
        <v>841</v>
      </c>
      <c r="JK377" s="236" t="s">
        <v>24724</v>
      </c>
      <c r="JL377" s="236" t="s">
        <v>145</v>
      </c>
      <c r="JM377" s="236" t="s">
        <v>74</v>
      </c>
      <c r="JN377" s="236" t="s">
        <v>841</v>
      </c>
      <c r="JP377" s="236" t="s">
        <v>24725</v>
      </c>
      <c r="JQ377" s="236" t="s">
        <v>145</v>
      </c>
      <c r="JR377" s="236" t="s">
        <v>74</v>
      </c>
      <c r="JS377" s="236" t="s">
        <v>841</v>
      </c>
      <c r="JU377" s="294" t="s">
        <v>24726</v>
      </c>
      <c r="JV377" s="294" t="s">
        <v>52</v>
      </c>
      <c r="JW377" s="263" t="s">
        <v>70</v>
      </c>
      <c r="JX377" s="294" t="s">
        <v>1083</v>
      </c>
      <c r="JZ377" s="263" t="s">
        <v>24727</v>
      </c>
      <c r="KA377" s="263" t="s">
        <v>145</v>
      </c>
      <c r="KB377" s="263" t="s">
        <v>70</v>
      </c>
      <c r="KC377" s="263" t="s">
        <v>1083</v>
      </c>
      <c r="KE377" s="263" t="s">
        <v>24728</v>
      </c>
      <c r="KF377" s="263" t="s">
        <v>52</v>
      </c>
      <c r="KG377" s="263" t="s">
        <v>70</v>
      </c>
      <c r="KH377" s="263" t="s">
        <v>1083</v>
      </c>
      <c r="KJ377" s="263" t="s">
        <v>24729</v>
      </c>
      <c r="KK377" s="263" t="s">
        <v>52</v>
      </c>
      <c r="KL377" s="263" t="s">
        <v>74</v>
      </c>
      <c r="KM377" s="263" t="s">
        <v>34074</v>
      </c>
      <c r="KO377" s="214" t="s">
        <v>24730</v>
      </c>
      <c r="KP377" s="214" t="s">
        <v>145</v>
      </c>
      <c r="KQ377" s="214" t="s">
        <v>70</v>
      </c>
      <c r="KR377" s="214" t="s">
        <v>67</v>
      </c>
      <c r="KT377" s="22" t="s">
        <v>24731</v>
      </c>
      <c r="KU377" s="22" t="s">
        <v>145</v>
      </c>
      <c r="KV377" s="22" t="s">
        <v>70</v>
      </c>
      <c r="KW377" s="22" t="s">
        <v>67</v>
      </c>
      <c r="KY377" s="214" t="s">
        <v>24732</v>
      </c>
      <c r="KZ377" s="214" t="s">
        <v>52</v>
      </c>
      <c r="LA377" s="214" t="s">
        <v>74</v>
      </c>
      <c r="LB377" s="214" t="s">
        <v>67</v>
      </c>
      <c r="LD377" s="22" t="s">
        <v>24733</v>
      </c>
      <c r="LE377" s="22" t="s">
        <v>145</v>
      </c>
      <c r="LF377" s="22" t="s">
        <v>70</v>
      </c>
      <c r="LG377" s="22" t="s">
        <v>67</v>
      </c>
    </row>
    <row r="378" spans="1:319">
      <c r="A378" s="22" t="s">
        <v>24734</v>
      </c>
      <c r="B378" s="22" t="s">
        <v>145</v>
      </c>
      <c r="C378" s="22" t="s">
        <v>70</v>
      </c>
      <c r="D378" s="22" t="s">
        <v>67</v>
      </c>
      <c r="F378" s="100" t="s">
        <v>24735</v>
      </c>
      <c r="G378" s="22" t="s">
        <v>145</v>
      </c>
      <c r="H378" s="22" t="s">
        <v>70</v>
      </c>
      <c r="I378" s="22" t="s">
        <v>67</v>
      </c>
      <c r="K378" s="99" t="s">
        <v>24736</v>
      </c>
      <c r="L378" s="22" t="s">
        <v>145</v>
      </c>
      <c r="M378" s="22" t="s">
        <v>70</v>
      </c>
      <c r="N378" s="22" t="s">
        <v>67</v>
      </c>
      <c r="P378" s="230" t="s">
        <v>24737</v>
      </c>
      <c r="Q378" s="218" t="s">
        <v>145</v>
      </c>
      <c r="R378" s="218" t="s">
        <v>72</v>
      </c>
      <c r="S378" s="218" t="s">
        <v>33979</v>
      </c>
      <c r="U378" s="293" t="s">
        <v>24738</v>
      </c>
      <c r="V378" s="293" t="s">
        <v>145</v>
      </c>
      <c r="W378" s="293" t="s">
        <v>74</v>
      </c>
      <c r="X378" s="293" t="s">
        <v>656</v>
      </c>
      <c r="Z378" s="293" t="s">
        <v>24739</v>
      </c>
      <c r="AA378" s="293" t="s">
        <v>145</v>
      </c>
      <c r="AB378" s="293" t="s">
        <v>74</v>
      </c>
      <c r="AC378" s="293" t="s">
        <v>656</v>
      </c>
      <c r="AE378" s="293" t="s">
        <v>24740</v>
      </c>
      <c r="AF378" s="293" t="s">
        <v>145</v>
      </c>
      <c r="AG378" s="293" t="s">
        <v>74</v>
      </c>
      <c r="AH378" s="293" t="s">
        <v>656</v>
      </c>
      <c r="AJ378" s="293" t="s">
        <v>24741</v>
      </c>
      <c r="AK378" s="293" t="s">
        <v>145</v>
      </c>
      <c r="AL378" s="293" t="s">
        <v>74</v>
      </c>
      <c r="AM378" s="293" t="s">
        <v>656</v>
      </c>
      <c r="AO378" s="22" t="s">
        <v>24742</v>
      </c>
      <c r="AP378" s="22" t="s">
        <v>145</v>
      </c>
      <c r="AQ378" s="22" t="s">
        <v>70</v>
      </c>
      <c r="AR378" s="22" t="s">
        <v>67</v>
      </c>
      <c r="AT378" s="22" t="s">
        <v>24743</v>
      </c>
      <c r="AU378" s="22" t="s">
        <v>145</v>
      </c>
      <c r="AV378" s="22" t="s">
        <v>70</v>
      </c>
      <c r="AW378" s="22" t="s">
        <v>67</v>
      </c>
      <c r="AY378" s="22" t="s">
        <v>24744</v>
      </c>
      <c r="AZ378" s="22" t="s">
        <v>145</v>
      </c>
      <c r="BA378" s="22" t="s">
        <v>70</v>
      </c>
      <c r="BB378" s="22" t="s">
        <v>67</v>
      </c>
      <c r="BD378" s="22" t="s">
        <v>24745</v>
      </c>
      <c r="BE378" s="22" t="s">
        <v>145</v>
      </c>
      <c r="BF378" s="22" t="s">
        <v>70</v>
      </c>
      <c r="BG378" s="22" t="s">
        <v>67</v>
      </c>
      <c r="BI378" s="22" t="s">
        <v>24746</v>
      </c>
      <c r="BJ378" s="22" t="s">
        <v>145</v>
      </c>
      <c r="BK378" s="22" t="s">
        <v>70</v>
      </c>
      <c r="BL378" s="22" t="s">
        <v>67</v>
      </c>
      <c r="BN378" s="22" t="s">
        <v>24747</v>
      </c>
      <c r="BO378" s="22" t="s">
        <v>145</v>
      </c>
      <c r="BP378" s="22" t="s">
        <v>70</v>
      </c>
      <c r="BQ378" s="22" t="s">
        <v>67</v>
      </c>
      <c r="BS378" s="22" t="s">
        <v>24748</v>
      </c>
      <c r="BT378" s="22" t="s">
        <v>145</v>
      </c>
      <c r="BU378" s="22" t="s">
        <v>70</v>
      </c>
      <c r="BV378" s="214" t="s">
        <v>530</v>
      </c>
      <c r="BX378" s="22" t="s">
        <v>24749</v>
      </c>
      <c r="BY378" s="22" t="s">
        <v>145</v>
      </c>
      <c r="BZ378" s="22" t="s">
        <v>70</v>
      </c>
      <c r="CA378" s="214" t="s">
        <v>530</v>
      </c>
      <c r="CC378" s="214" t="s">
        <v>24750</v>
      </c>
      <c r="CD378" s="218" t="s">
        <v>52</v>
      </c>
      <c r="CE378" s="214" t="s">
        <v>70</v>
      </c>
      <c r="CF378" s="214" t="s">
        <v>34184</v>
      </c>
      <c r="CH378" s="214" t="s">
        <v>24751</v>
      </c>
      <c r="CI378" s="214" t="s">
        <v>34575</v>
      </c>
      <c r="CJ378" s="214" t="s">
        <v>70</v>
      </c>
      <c r="CK378" s="214" t="s">
        <v>530</v>
      </c>
      <c r="CM378" s="214" t="s">
        <v>24752</v>
      </c>
      <c r="CN378" s="214" t="s">
        <v>85</v>
      </c>
      <c r="CO378" s="214" t="s">
        <v>70</v>
      </c>
      <c r="CP378" s="214" t="s">
        <v>530</v>
      </c>
      <c r="CR378" s="214" t="s">
        <v>24753</v>
      </c>
      <c r="CS378" s="214" t="s">
        <v>924</v>
      </c>
      <c r="CT378" s="214" t="s">
        <v>70</v>
      </c>
      <c r="CU378" s="214" t="s">
        <v>530</v>
      </c>
      <c r="CW378" s="214" t="s">
        <v>24754</v>
      </c>
      <c r="CX378" s="214" t="s">
        <v>485</v>
      </c>
      <c r="CY378" s="214" t="s">
        <v>70</v>
      </c>
      <c r="CZ378" s="214" t="s">
        <v>530</v>
      </c>
      <c r="DB378" s="214" t="s">
        <v>24755</v>
      </c>
      <c r="DC378" s="214" t="s">
        <v>10541</v>
      </c>
      <c r="DD378" s="214" t="s">
        <v>70</v>
      </c>
      <c r="DE378" s="214" t="s">
        <v>530</v>
      </c>
      <c r="DG378" s="214" t="s">
        <v>24756</v>
      </c>
      <c r="DH378" s="214" t="s">
        <v>485</v>
      </c>
      <c r="DI378" s="214" t="s">
        <v>70</v>
      </c>
      <c r="DJ378" s="214" t="s">
        <v>530</v>
      </c>
      <c r="DL378" s="214" t="s">
        <v>24757</v>
      </c>
      <c r="DM378" s="214" t="s">
        <v>481</v>
      </c>
      <c r="DN378" s="214" t="s">
        <v>70</v>
      </c>
      <c r="DO378" s="214" t="s">
        <v>530</v>
      </c>
      <c r="DQ378" s="214" t="s">
        <v>24758</v>
      </c>
      <c r="DR378" s="214" t="s">
        <v>34617</v>
      </c>
      <c r="DS378" s="214" t="s">
        <v>70</v>
      </c>
      <c r="DT378" s="214" t="s">
        <v>530</v>
      </c>
      <c r="DV378" s="214" t="s">
        <v>24759</v>
      </c>
      <c r="DW378" s="214" t="s">
        <v>34598</v>
      </c>
      <c r="DX378" s="214" t="s">
        <v>70</v>
      </c>
      <c r="DY378" s="214" t="s">
        <v>530</v>
      </c>
      <c r="EA378" s="214" t="s">
        <v>24760</v>
      </c>
      <c r="EB378" s="214" t="s">
        <v>86</v>
      </c>
      <c r="EC378" s="214" t="s">
        <v>70</v>
      </c>
      <c r="ED378" s="214" t="s">
        <v>530</v>
      </c>
      <c r="EF378" s="214" t="s">
        <v>24761</v>
      </c>
      <c r="EG378" s="214" t="s">
        <v>145</v>
      </c>
      <c r="EH378" s="214" t="s">
        <v>70</v>
      </c>
      <c r="EI378" s="214" t="s">
        <v>530</v>
      </c>
      <c r="EK378" s="214" t="s">
        <v>24762</v>
      </c>
      <c r="EL378" s="214" t="s">
        <v>34555</v>
      </c>
      <c r="EM378" s="214" t="s">
        <v>70</v>
      </c>
      <c r="EN378" s="214" t="s">
        <v>530</v>
      </c>
      <c r="EP378" s="214" t="s">
        <v>24763</v>
      </c>
      <c r="EQ378" s="214" t="s">
        <v>52</v>
      </c>
      <c r="ER378" s="214" t="s">
        <v>70</v>
      </c>
      <c r="ES378" s="214" t="s">
        <v>530</v>
      </c>
      <c r="EU378" s="214" t="s">
        <v>24764</v>
      </c>
      <c r="EV378" s="214" t="s">
        <v>88</v>
      </c>
      <c r="EW378" s="214" t="s">
        <v>70</v>
      </c>
      <c r="EX378" s="214" t="s">
        <v>530</v>
      </c>
      <c r="EZ378" s="214" t="s">
        <v>24765</v>
      </c>
      <c r="FA378" s="214" t="s">
        <v>145</v>
      </c>
      <c r="FB378" s="214" t="s">
        <v>70</v>
      </c>
      <c r="FC378" s="214" t="s">
        <v>530</v>
      </c>
      <c r="FE378" s="214" t="s">
        <v>24766</v>
      </c>
      <c r="FF378" s="214" t="s">
        <v>90</v>
      </c>
      <c r="FG378" s="214" t="s">
        <v>70</v>
      </c>
      <c r="FH378" s="214" t="s">
        <v>530</v>
      </c>
      <c r="FJ378" s="321" t="s">
        <v>24767</v>
      </c>
      <c r="FK378" s="214" t="s">
        <v>34639</v>
      </c>
      <c r="FL378" s="214" t="s">
        <v>70</v>
      </c>
      <c r="FM378" s="214" t="s">
        <v>530</v>
      </c>
      <c r="FO378" s="321" t="s">
        <v>24768</v>
      </c>
      <c r="FP378" s="214" t="s">
        <v>910</v>
      </c>
      <c r="FQ378" s="214" t="s">
        <v>70</v>
      </c>
      <c r="FR378" s="214" t="s">
        <v>530</v>
      </c>
      <c r="FT378" s="321" t="s">
        <v>24769</v>
      </c>
      <c r="FU378" s="214" t="s">
        <v>34541</v>
      </c>
      <c r="FV378" s="214" t="s">
        <v>70</v>
      </c>
      <c r="FW378" s="214" t="s">
        <v>530</v>
      </c>
      <c r="FY378" s="321" t="s">
        <v>24770</v>
      </c>
      <c r="FZ378" s="214" t="s">
        <v>52</v>
      </c>
      <c r="GA378" s="214" t="s">
        <v>70</v>
      </c>
      <c r="GB378" s="214" t="s">
        <v>530</v>
      </c>
      <c r="GD378" s="321" t="s">
        <v>24771</v>
      </c>
      <c r="GE378" s="214" t="s">
        <v>148</v>
      </c>
      <c r="GF378" s="214" t="s">
        <v>70</v>
      </c>
      <c r="GG378" s="214" t="s">
        <v>530</v>
      </c>
      <c r="GI378" s="321" t="s">
        <v>24772</v>
      </c>
      <c r="GJ378" s="214" t="s">
        <v>21742</v>
      </c>
      <c r="GK378" s="214" t="s">
        <v>70</v>
      </c>
      <c r="GL378" s="214" t="s">
        <v>530</v>
      </c>
      <c r="GN378" s="321" t="s">
        <v>24773</v>
      </c>
      <c r="GO378" s="214" t="s">
        <v>34649</v>
      </c>
      <c r="GP378" s="214" t="s">
        <v>70</v>
      </c>
      <c r="GQ378" s="214" t="s">
        <v>530</v>
      </c>
      <c r="GS378" s="321" t="s">
        <v>24774</v>
      </c>
      <c r="GT378" s="214" t="s">
        <v>34569</v>
      </c>
      <c r="GU378" s="214" t="s">
        <v>70</v>
      </c>
      <c r="GV378" s="214" t="s">
        <v>530</v>
      </c>
      <c r="GX378" s="214" t="s">
        <v>24775</v>
      </c>
      <c r="GY378" s="214" t="s">
        <v>655</v>
      </c>
      <c r="GZ378" s="214" t="s">
        <v>70</v>
      </c>
      <c r="HA378" s="214" t="s">
        <v>530</v>
      </c>
      <c r="HC378" s="214" t="s">
        <v>24776</v>
      </c>
      <c r="HD378" s="214" t="s">
        <v>34564</v>
      </c>
      <c r="HE378" s="214" t="s">
        <v>70</v>
      </c>
      <c r="HF378" s="214" t="s">
        <v>530</v>
      </c>
      <c r="HH378" s="214" t="s">
        <v>24777</v>
      </c>
      <c r="HI378" s="214" t="s">
        <v>52</v>
      </c>
      <c r="HJ378" s="214" t="s">
        <v>70</v>
      </c>
      <c r="HK378" s="214" t="s">
        <v>530</v>
      </c>
      <c r="HM378" s="214" t="s">
        <v>24778</v>
      </c>
      <c r="HN378" s="214" t="s">
        <v>90</v>
      </c>
      <c r="HO378" s="214" t="s">
        <v>70</v>
      </c>
      <c r="HP378" s="214" t="s">
        <v>530</v>
      </c>
      <c r="HR378" s="22" t="s">
        <v>24779</v>
      </c>
      <c r="HS378" s="22" t="s">
        <v>10541</v>
      </c>
      <c r="HT378" s="22" t="s">
        <v>70</v>
      </c>
      <c r="HU378" s="214" t="s">
        <v>530</v>
      </c>
      <c r="HW378" s="22" t="s">
        <v>24780</v>
      </c>
      <c r="HX378" s="22" t="s">
        <v>52</v>
      </c>
      <c r="HY378" s="22" t="s">
        <v>70</v>
      </c>
      <c r="HZ378" s="214" t="s">
        <v>530</v>
      </c>
      <c r="IB378" s="22" t="s">
        <v>24781</v>
      </c>
      <c r="IC378" s="22" t="s">
        <v>52</v>
      </c>
      <c r="ID378" s="22" t="s">
        <v>70</v>
      </c>
      <c r="IE378" s="214" t="s">
        <v>530</v>
      </c>
      <c r="IG378" s="22" t="s">
        <v>24782</v>
      </c>
      <c r="IH378" s="22" t="s">
        <v>52</v>
      </c>
      <c r="II378" s="22" t="s">
        <v>70</v>
      </c>
      <c r="IJ378" s="214" t="s">
        <v>530</v>
      </c>
      <c r="IL378" s="22" t="s">
        <v>24783</v>
      </c>
      <c r="IM378" s="22" t="s">
        <v>145</v>
      </c>
      <c r="IN378" s="22" t="s">
        <v>70</v>
      </c>
      <c r="IO378" s="214" t="s">
        <v>530</v>
      </c>
      <c r="IQ378" s="236" t="s">
        <v>24784</v>
      </c>
      <c r="IR378" s="236" t="s">
        <v>145</v>
      </c>
      <c r="IS378" s="236" t="s">
        <v>74</v>
      </c>
      <c r="IT378" s="236" t="s">
        <v>841</v>
      </c>
      <c r="IV378" s="236" t="s">
        <v>24785</v>
      </c>
      <c r="IW378" s="236" t="s">
        <v>145</v>
      </c>
      <c r="IX378" s="236" t="s">
        <v>74</v>
      </c>
      <c r="IY378" s="236" t="s">
        <v>841</v>
      </c>
      <c r="JA378" s="236" t="s">
        <v>24786</v>
      </c>
      <c r="JB378" s="236" t="s">
        <v>145</v>
      </c>
      <c r="JC378" s="236" t="s">
        <v>74</v>
      </c>
      <c r="JD378" s="236" t="s">
        <v>841</v>
      </c>
      <c r="JF378" s="236" t="s">
        <v>24787</v>
      </c>
      <c r="JG378" s="236" t="s">
        <v>145</v>
      </c>
      <c r="JH378" s="236" t="s">
        <v>74</v>
      </c>
      <c r="JI378" s="236" t="s">
        <v>841</v>
      </c>
      <c r="JK378" s="236" t="s">
        <v>24788</v>
      </c>
      <c r="JL378" s="236" t="s">
        <v>145</v>
      </c>
      <c r="JM378" s="236" t="s">
        <v>74</v>
      </c>
      <c r="JN378" s="236" t="s">
        <v>841</v>
      </c>
      <c r="JP378" s="236" t="s">
        <v>24789</v>
      </c>
      <c r="JQ378" s="236" t="s">
        <v>145</v>
      </c>
      <c r="JR378" s="236" t="s">
        <v>74</v>
      </c>
      <c r="JS378" s="236" t="s">
        <v>841</v>
      </c>
      <c r="JU378" s="294" t="s">
        <v>24790</v>
      </c>
      <c r="JV378" s="294" t="s">
        <v>52</v>
      </c>
      <c r="JW378" s="263" t="s">
        <v>70</v>
      </c>
      <c r="JX378" s="294" t="s">
        <v>1083</v>
      </c>
      <c r="JZ378" s="263" t="s">
        <v>24791</v>
      </c>
      <c r="KA378" s="263" t="s">
        <v>145</v>
      </c>
      <c r="KB378" s="263" t="s">
        <v>70</v>
      </c>
      <c r="KC378" s="263" t="s">
        <v>1083</v>
      </c>
      <c r="KE378" s="263" t="s">
        <v>24792</v>
      </c>
      <c r="KF378" s="263" t="s">
        <v>52</v>
      </c>
      <c r="KG378" s="263" t="s">
        <v>70</v>
      </c>
      <c r="KH378" s="263" t="s">
        <v>1083</v>
      </c>
      <c r="KJ378" s="263" t="s">
        <v>24793</v>
      </c>
      <c r="KK378" s="263" t="s">
        <v>52</v>
      </c>
      <c r="KL378" s="263" t="s">
        <v>74</v>
      </c>
      <c r="KM378" s="263" t="s">
        <v>34074</v>
      </c>
      <c r="KO378" s="214" t="s">
        <v>24794</v>
      </c>
      <c r="KP378" s="214" t="s">
        <v>145</v>
      </c>
      <c r="KQ378" s="214" t="s">
        <v>70</v>
      </c>
      <c r="KR378" s="214" t="s">
        <v>67</v>
      </c>
      <c r="KT378" s="22" t="s">
        <v>24795</v>
      </c>
      <c r="KU378" s="22" t="s">
        <v>145</v>
      </c>
      <c r="KV378" s="22" t="s">
        <v>70</v>
      </c>
      <c r="KW378" s="22" t="s">
        <v>67</v>
      </c>
      <c r="KY378" s="214" t="s">
        <v>24796</v>
      </c>
      <c r="KZ378" s="214" t="s">
        <v>52</v>
      </c>
      <c r="LA378" s="214" t="s">
        <v>74</v>
      </c>
      <c r="LB378" s="214" t="s">
        <v>67</v>
      </c>
      <c r="LD378" s="22" t="s">
        <v>24797</v>
      </c>
      <c r="LE378" s="22" t="s">
        <v>145</v>
      </c>
      <c r="LF378" s="22" t="s">
        <v>70</v>
      </c>
      <c r="LG378" s="22" t="s">
        <v>67</v>
      </c>
    </row>
    <row r="379" spans="1:319">
      <c r="A379" s="22" t="s">
        <v>24798</v>
      </c>
      <c r="B379" s="22" t="s">
        <v>145</v>
      </c>
      <c r="C379" s="22" t="s">
        <v>70</v>
      </c>
      <c r="D379" s="22" t="s">
        <v>67</v>
      </c>
      <c r="F379" s="100" t="s">
        <v>24799</v>
      </c>
      <c r="G379" s="22" t="s">
        <v>145</v>
      </c>
      <c r="H379" s="22" t="s">
        <v>70</v>
      </c>
      <c r="I379" s="22" t="s">
        <v>67</v>
      </c>
      <c r="K379" s="99" t="s">
        <v>24800</v>
      </c>
      <c r="L379" s="22" t="s">
        <v>145</v>
      </c>
      <c r="M379" s="22" t="s">
        <v>70</v>
      </c>
      <c r="N379" s="22" t="s">
        <v>67</v>
      </c>
      <c r="P379" s="230" t="s">
        <v>24801</v>
      </c>
      <c r="Q379" s="218" t="s">
        <v>145</v>
      </c>
      <c r="R379" s="218" t="s">
        <v>72</v>
      </c>
      <c r="S379" s="218" t="s">
        <v>33980</v>
      </c>
      <c r="U379" s="293" t="s">
        <v>24802</v>
      </c>
      <c r="V379" s="293" t="s">
        <v>145</v>
      </c>
      <c r="W379" s="293" t="s">
        <v>74</v>
      </c>
      <c r="X379" s="293" t="s">
        <v>656</v>
      </c>
      <c r="Z379" s="293" t="s">
        <v>24803</v>
      </c>
      <c r="AA379" s="293" t="s">
        <v>145</v>
      </c>
      <c r="AB379" s="293" t="s">
        <v>74</v>
      </c>
      <c r="AC379" s="293" t="s">
        <v>656</v>
      </c>
      <c r="AE379" s="293" t="s">
        <v>24804</v>
      </c>
      <c r="AF379" s="293" t="s">
        <v>145</v>
      </c>
      <c r="AG379" s="293" t="s">
        <v>74</v>
      </c>
      <c r="AH379" s="293" t="s">
        <v>656</v>
      </c>
      <c r="AJ379" s="293" t="s">
        <v>24805</v>
      </c>
      <c r="AK379" s="293" t="s">
        <v>145</v>
      </c>
      <c r="AL379" s="293" t="s">
        <v>74</v>
      </c>
      <c r="AM379" s="293" t="s">
        <v>656</v>
      </c>
      <c r="AO379" s="22" t="s">
        <v>24806</v>
      </c>
      <c r="AP379" s="22" t="s">
        <v>145</v>
      </c>
      <c r="AQ379" s="22" t="s">
        <v>70</v>
      </c>
      <c r="AR379" s="22" t="s">
        <v>67</v>
      </c>
      <c r="AT379" s="22" t="s">
        <v>24807</v>
      </c>
      <c r="AU379" s="22" t="s">
        <v>145</v>
      </c>
      <c r="AV379" s="22" t="s">
        <v>70</v>
      </c>
      <c r="AW379" s="22" t="s">
        <v>67</v>
      </c>
      <c r="AY379" s="22" t="s">
        <v>24808</v>
      </c>
      <c r="AZ379" s="22" t="s">
        <v>145</v>
      </c>
      <c r="BA379" s="22" t="s">
        <v>70</v>
      </c>
      <c r="BB379" s="22" t="s">
        <v>67</v>
      </c>
      <c r="BD379" s="22" t="s">
        <v>24809</v>
      </c>
      <c r="BE379" s="22" t="s">
        <v>145</v>
      </c>
      <c r="BF379" s="22" t="s">
        <v>70</v>
      </c>
      <c r="BG379" s="22" t="s">
        <v>67</v>
      </c>
      <c r="BI379" s="22" t="s">
        <v>24810</v>
      </c>
      <c r="BJ379" s="22" t="s">
        <v>145</v>
      </c>
      <c r="BK379" s="22" t="s">
        <v>70</v>
      </c>
      <c r="BL379" s="22" t="s">
        <v>67</v>
      </c>
      <c r="BN379" s="22" t="s">
        <v>24811</v>
      </c>
      <c r="BO379" s="22" t="s">
        <v>145</v>
      </c>
      <c r="BP379" s="22" t="s">
        <v>70</v>
      </c>
      <c r="BQ379" s="22" t="s">
        <v>67</v>
      </c>
      <c r="BS379" s="22" t="s">
        <v>24812</v>
      </c>
      <c r="BT379" s="22" t="s">
        <v>145</v>
      </c>
      <c r="BU379" s="22" t="s">
        <v>70</v>
      </c>
      <c r="BV379" s="214" t="s">
        <v>530</v>
      </c>
      <c r="BX379" s="22" t="s">
        <v>24813</v>
      </c>
      <c r="BY379" s="22" t="s">
        <v>145</v>
      </c>
      <c r="BZ379" s="22" t="s">
        <v>70</v>
      </c>
      <c r="CA379" s="214" t="s">
        <v>530</v>
      </c>
      <c r="CC379" s="214" t="s">
        <v>24814</v>
      </c>
      <c r="CD379" s="218" t="s">
        <v>468</v>
      </c>
      <c r="CE379" s="214" t="s">
        <v>70</v>
      </c>
      <c r="CF379" s="214" t="s">
        <v>34185</v>
      </c>
      <c r="CH379" s="214" t="s">
        <v>24815</v>
      </c>
      <c r="CI379" s="214" t="s">
        <v>34567</v>
      </c>
      <c r="CJ379" s="214" t="s">
        <v>70</v>
      </c>
      <c r="CK379" s="214" t="s">
        <v>530</v>
      </c>
      <c r="CM379" s="214" t="s">
        <v>24816</v>
      </c>
      <c r="CN379" s="214" t="s">
        <v>485</v>
      </c>
      <c r="CO379" s="214" t="s">
        <v>70</v>
      </c>
      <c r="CP379" s="214" t="s">
        <v>530</v>
      </c>
      <c r="CR379" s="214" t="s">
        <v>24817</v>
      </c>
      <c r="CS379" s="214" t="s">
        <v>486</v>
      </c>
      <c r="CT379" s="214" t="s">
        <v>70</v>
      </c>
      <c r="CU379" s="214" t="s">
        <v>530</v>
      </c>
      <c r="CW379" s="214" t="s">
        <v>24818</v>
      </c>
      <c r="CX379" s="214" t="s">
        <v>146</v>
      </c>
      <c r="CY379" s="214" t="s">
        <v>70</v>
      </c>
      <c r="CZ379" s="214" t="s">
        <v>530</v>
      </c>
      <c r="DB379" s="214" t="s">
        <v>24819</v>
      </c>
      <c r="DC379" s="214" t="s">
        <v>955</v>
      </c>
      <c r="DD379" s="214" t="s">
        <v>70</v>
      </c>
      <c r="DE379" s="214" t="s">
        <v>530</v>
      </c>
      <c r="DG379" s="214" t="s">
        <v>24820</v>
      </c>
      <c r="DH379" s="214" t="s">
        <v>52</v>
      </c>
      <c r="DI379" s="214" t="s">
        <v>70</v>
      </c>
      <c r="DJ379" s="214" t="s">
        <v>530</v>
      </c>
      <c r="DL379" s="214" t="s">
        <v>24821</v>
      </c>
      <c r="DM379" s="214" t="s">
        <v>487</v>
      </c>
      <c r="DN379" s="214" t="s">
        <v>70</v>
      </c>
      <c r="DO379" s="214" t="s">
        <v>530</v>
      </c>
      <c r="DQ379" s="214" t="s">
        <v>24822</v>
      </c>
      <c r="DR379" s="214" t="s">
        <v>34602</v>
      </c>
      <c r="DS379" s="214" t="s">
        <v>70</v>
      </c>
      <c r="DT379" s="214" t="s">
        <v>530</v>
      </c>
      <c r="DV379" s="214" t="s">
        <v>24823</v>
      </c>
      <c r="DW379" s="214" t="s">
        <v>468</v>
      </c>
      <c r="DX379" s="214" t="s">
        <v>70</v>
      </c>
      <c r="DY379" s="214" t="s">
        <v>530</v>
      </c>
      <c r="EA379" s="214" t="s">
        <v>24824</v>
      </c>
      <c r="EB379" s="214" t="s">
        <v>798</v>
      </c>
      <c r="EC379" s="214" t="s">
        <v>70</v>
      </c>
      <c r="ED379" s="214" t="s">
        <v>530</v>
      </c>
      <c r="EF379" s="214" t="s">
        <v>24825</v>
      </c>
      <c r="EG379" s="214" t="s">
        <v>34541</v>
      </c>
      <c r="EH379" s="214" t="s">
        <v>70</v>
      </c>
      <c r="EI379" s="214" t="s">
        <v>530</v>
      </c>
      <c r="EK379" s="214" t="s">
        <v>24826</v>
      </c>
      <c r="EL379" s="214" t="s">
        <v>34544</v>
      </c>
      <c r="EM379" s="214" t="s">
        <v>70</v>
      </c>
      <c r="EN379" s="214" t="s">
        <v>530</v>
      </c>
      <c r="EP379" s="214" t="s">
        <v>24827</v>
      </c>
      <c r="EQ379" s="214" t="s">
        <v>34558</v>
      </c>
      <c r="ER379" s="214" t="s">
        <v>70</v>
      </c>
      <c r="ES379" s="214" t="s">
        <v>530</v>
      </c>
      <c r="EU379" s="214" t="s">
        <v>24828</v>
      </c>
      <c r="EV379" s="214" t="s">
        <v>488</v>
      </c>
      <c r="EW379" s="214" t="s">
        <v>70</v>
      </c>
      <c r="EX379" s="214" t="s">
        <v>530</v>
      </c>
      <c r="EZ379" s="214" t="s">
        <v>24829</v>
      </c>
      <c r="FA379" s="214" t="s">
        <v>145</v>
      </c>
      <c r="FB379" s="214" t="s">
        <v>70</v>
      </c>
      <c r="FC379" s="214" t="s">
        <v>530</v>
      </c>
      <c r="FE379" s="214" t="s">
        <v>24830</v>
      </c>
      <c r="FF379" s="214" t="s">
        <v>487</v>
      </c>
      <c r="FG379" s="214" t="s">
        <v>70</v>
      </c>
      <c r="FH379" s="214" t="s">
        <v>530</v>
      </c>
      <c r="FJ379" s="321" t="s">
        <v>24831</v>
      </c>
      <c r="FK379" s="214" t="s">
        <v>491</v>
      </c>
      <c r="FL379" s="214" t="s">
        <v>70</v>
      </c>
      <c r="FM379" s="214" t="s">
        <v>530</v>
      </c>
      <c r="FO379" s="321" t="s">
        <v>24832</v>
      </c>
      <c r="FP379" s="214" t="s">
        <v>206</v>
      </c>
      <c r="FQ379" s="214" t="s">
        <v>70</v>
      </c>
      <c r="FR379" s="214" t="s">
        <v>530</v>
      </c>
      <c r="FT379" s="321" t="s">
        <v>24833</v>
      </c>
      <c r="FU379" s="214" t="s">
        <v>34580</v>
      </c>
      <c r="FV379" s="214" t="s">
        <v>70</v>
      </c>
      <c r="FW379" s="214" t="s">
        <v>530</v>
      </c>
      <c r="FY379" s="321" t="s">
        <v>24834</v>
      </c>
      <c r="FZ379" s="214" t="s">
        <v>603</v>
      </c>
      <c r="GA379" s="214" t="s">
        <v>70</v>
      </c>
      <c r="GB379" s="214" t="s">
        <v>530</v>
      </c>
      <c r="GD379" s="321" t="s">
        <v>24835</v>
      </c>
      <c r="GE379" s="214" t="s">
        <v>468</v>
      </c>
      <c r="GF379" s="214" t="s">
        <v>70</v>
      </c>
      <c r="GG379" s="214" t="s">
        <v>530</v>
      </c>
      <c r="GI379" s="321" t="s">
        <v>24836</v>
      </c>
      <c r="GJ379" s="214" t="s">
        <v>145</v>
      </c>
      <c r="GK379" s="214" t="s">
        <v>70</v>
      </c>
      <c r="GL379" s="214" t="s">
        <v>530</v>
      </c>
      <c r="GN379" s="321" t="s">
        <v>24837</v>
      </c>
      <c r="GO379" s="214" t="s">
        <v>34555</v>
      </c>
      <c r="GP379" s="214" t="s">
        <v>70</v>
      </c>
      <c r="GQ379" s="214" t="s">
        <v>530</v>
      </c>
      <c r="GS379" s="321" t="s">
        <v>24838</v>
      </c>
      <c r="GT379" s="214" t="s">
        <v>921</v>
      </c>
      <c r="GU379" s="214" t="s">
        <v>70</v>
      </c>
      <c r="GV379" s="214" t="s">
        <v>530</v>
      </c>
      <c r="GX379" s="214" t="s">
        <v>24839</v>
      </c>
      <c r="GY379" s="214" t="s">
        <v>52</v>
      </c>
      <c r="GZ379" s="214" t="s">
        <v>70</v>
      </c>
      <c r="HA379" s="214" t="s">
        <v>530</v>
      </c>
      <c r="HC379" s="214" t="s">
        <v>24840</v>
      </c>
      <c r="HD379" s="214" t="s">
        <v>502</v>
      </c>
      <c r="HE379" s="214" t="s">
        <v>70</v>
      </c>
      <c r="HF379" s="214" t="s">
        <v>530</v>
      </c>
      <c r="HH379" s="214" t="s">
        <v>24841</v>
      </c>
      <c r="HI379" s="214" t="s">
        <v>52</v>
      </c>
      <c r="HJ379" s="214" t="s">
        <v>70</v>
      </c>
      <c r="HK379" s="214" t="s">
        <v>530</v>
      </c>
      <c r="HM379" s="214" t="s">
        <v>24842</v>
      </c>
      <c r="HN379" s="214" t="s">
        <v>482</v>
      </c>
      <c r="HO379" s="214" t="s">
        <v>70</v>
      </c>
      <c r="HP379" s="214" t="s">
        <v>530</v>
      </c>
      <c r="HR379" s="22" t="s">
        <v>24843</v>
      </c>
      <c r="HS379" s="22" t="s">
        <v>86</v>
      </c>
      <c r="HT379" s="22" t="s">
        <v>70</v>
      </c>
      <c r="HU379" s="214" t="s">
        <v>530</v>
      </c>
      <c r="HW379" s="22" t="s">
        <v>24844</v>
      </c>
      <c r="HX379" s="22" t="s">
        <v>52</v>
      </c>
      <c r="HY379" s="22" t="s">
        <v>70</v>
      </c>
      <c r="HZ379" s="214" t="s">
        <v>530</v>
      </c>
      <c r="IB379" s="22" t="s">
        <v>24845</v>
      </c>
      <c r="IC379" s="22" t="s">
        <v>148</v>
      </c>
      <c r="ID379" s="22" t="s">
        <v>70</v>
      </c>
      <c r="IE379" s="214" t="s">
        <v>530</v>
      </c>
      <c r="IG379" s="22" t="s">
        <v>24846</v>
      </c>
      <c r="IH379" s="22" t="s">
        <v>52</v>
      </c>
      <c r="II379" s="22" t="s">
        <v>70</v>
      </c>
      <c r="IJ379" s="214" t="s">
        <v>530</v>
      </c>
      <c r="IL379" s="22" t="s">
        <v>24847</v>
      </c>
      <c r="IM379" s="22" t="s">
        <v>145</v>
      </c>
      <c r="IN379" s="22" t="s">
        <v>70</v>
      </c>
      <c r="IO379" s="214" t="s">
        <v>530</v>
      </c>
      <c r="IQ379" s="236" t="s">
        <v>24848</v>
      </c>
      <c r="IR379" s="236" t="s">
        <v>145</v>
      </c>
      <c r="IS379" s="236" t="s">
        <v>74</v>
      </c>
      <c r="IT379" s="236" t="s">
        <v>841</v>
      </c>
      <c r="IV379" s="236" t="s">
        <v>24849</v>
      </c>
      <c r="IW379" s="236" t="s">
        <v>145</v>
      </c>
      <c r="IX379" s="236" t="s">
        <v>74</v>
      </c>
      <c r="IY379" s="236" t="s">
        <v>841</v>
      </c>
      <c r="JA379" s="236" t="s">
        <v>24850</v>
      </c>
      <c r="JB379" s="236" t="s">
        <v>145</v>
      </c>
      <c r="JC379" s="236" t="s">
        <v>74</v>
      </c>
      <c r="JD379" s="236" t="s">
        <v>841</v>
      </c>
      <c r="JF379" s="236" t="s">
        <v>24851</v>
      </c>
      <c r="JG379" s="236" t="s">
        <v>145</v>
      </c>
      <c r="JH379" s="236" t="s">
        <v>74</v>
      </c>
      <c r="JI379" s="236" t="s">
        <v>841</v>
      </c>
      <c r="JK379" s="236" t="s">
        <v>24852</v>
      </c>
      <c r="JL379" s="236" t="s">
        <v>145</v>
      </c>
      <c r="JM379" s="236" t="s">
        <v>74</v>
      </c>
      <c r="JN379" s="236" t="s">
        <v>841</v>
      </c>
      <c r="JP379" s="236" t="s">
        <v>24853</v>
      </c>
      <c r="JQ379" s="236" t="s">
        <v>145</v>
      </c>
      <c r="JR379" s="236" t="s">
        <v>74</v>
      </c>
      <c r="JS379" s="236" t="s">
        <v>841</v>
      </c>
      <c r="JU379" s="294" t="s">
        <v>24854</v>
      </c>
      <c r="JV379" s="294" t="s">
        <v>52</v>
      </c>
      <c r="JW379" s="263" t="s">
        <v>70</v>
      </c>
      <c r="JX379" s="294" t="s">
        <v>1083</v>
      </c>
      <c r="JZ379" s="263" t="s">
        <v>24855</v>
      </c>
      <c r="KA379" s="263" t="s">
        <v>145</v>
      </c>
      <c r="KB379" s="263" t="s">
        <v>70</v>
      </c>
      <c r="KC379" s="263" t="s">
        <v>1083</v>
      </c>
      <c r="KE379" s="263" t="s">
        <v>24856</v>
      </c>
      <c r="KF379" s="263" t="s">
        <v>52</v>
      </c>
      <c r="KG379" s="263" t="s">
        <v>70</v>
      </c>
      <c r="KH379" s="263" t="s">
        <v>1083</v>
      </c>
      <c r="KJ379" s="263" t="s">
        <v>24857</v>
      </c>
      <c r="KK379" s="263" t="s">
        <v>52</v>
      </c>
      <c r="KL379" s="263" t="s">
        <v>74</v>
      </c>
      <c r="KM379" s="263" t="s">
        <v>34074</v>
      </c>
      <c r="KO379" s="214" t="s">
        <v>24858</v>
      </c>
      <c r="KP379" s="214" t="s">
        <v>145</v>
      </c>
      <c r="KQ379" s="214" t="s">
        <v>70</v>
      </c>
      <c r="KR379" s="214" t="s">
        <v>67</v>
      </c>
      <c r="KT379" s="22" t="s">
        <v>24859</v>
      </c>
      <c r="KU379" s="22" t="s">
        <v>145</v>
      </c>
      <c r="KV379" s="22" t="s">
        <v>70</v>
      </c>
      <c r="KW379" s="22" t="s">
        <v>67</v>
      </c>
      <c r="KY379" s="214" t="s">
        <v>24860</v>
      </c>
      <c r="KZ379" s="214" t="s">
        <v>52</v>
      </c>
      <c r="LA379" s="214" t="s">
        <v>74</v>
      </c>
      <c r="LB379" s="214" t="s">
        <v>67</v>
      </c>
      <c r="LD379" s="22" t="s">
        <v>24861</v>
      </c>
      <c r="LE379" s="22" t="s">
        <v>145</v>
      </c>
      <c r="LF379" s="22" t="s">
        <v>70</v>
      </c>
      <c r="LG379" s="22" t="s">
        <v>67</v>
      </c>
    </row>
    <row r="380" spans="1:319">
      <c r="A380" s="22" t="s">
        <v>24862</v>
      </c>
      <c r="B380" s="22" t="s">
        <v>145</v>
      </c>
      <c r="C380" s="22" t="s">
        <v>70</v>
      </c>
      <c r="D380" s="22" t="s">
        <v>67</v>
      </c>
      <c r="F380" s="100" t="s">
        <v>24863</v>
      </c>
      <c r="G380" s="22" t="s">
        <v>145</v>
      </c>
      <c r="H380" s="22" t="s">
        <v>70</v>
      </c>
      <c r="I380" s="22" t="s">
        <v>67</v>
      </c>
      <c r="K380" s="99" t="s">
        <v>24864</v>
      </c>
      <c r="L380" s="22" t="s">
        <v>145</v>
      </c>
      <c r="M380" s="22" t="s">
        <v>70</v>
      </c>
      <c r="N380" s="22" t="s">
        <v>67</v>
      </c>
      <c r="P380" s="230" t="s">
        <v>24865</v>
      </c>
      <c r="Q380" s="218" t="s">
        <v>145</v>
      </c>
      <c r="R380" s="218" t="s">
        <v>72</v>
      </c>
      <c r="S380" s="218" t="s">
        <v>33981</v>
      </c>
      <c r="U380" s="293" t="s">
        <v>24866</v>
      </c>
      <c r="V380" s="293" t="s">
        <v>145</v>
      </c>
      <c r="W380" s="293" t="s">
        <v>74</v>
      </c>
      <c r="X380" s="293" t="s">
        <v>656</v>
      </c>
      <c r="Z380" s="293" t="s">
        <v>24867</v>
      </c>
      <c r="AA380" s="293" t="s">
        <v>145</v>
      </c>
      <c r="AB380" s="293" t="s">
        <v>74</v>
      </c>
      <c r="AC380" s="293" t="s">
        <v>656</v>
      </c>
      <c r="AE380" s="293" t="s">
        <v>24868</v>
      </c>
      <c r="AF380" s="293" t="s">
        <v>145</v>
      </c>
      <c r="AG380" s="293" t="s">
        <v>74</v>
      </c>
      <c r="AH380" s="293" t="s">
        <v>656</v>
      </c>
      <c r="AJ380" s="293" t="s">
        <v>24869</v>
      </c>
      <c r="AK380" s="293" t="s">
        <v>145</v>
      </c>
      <c r="AL380" s="293" t="s">
        <v>74</v>
      </c>
      <c r="AM380" s="293" t="s">
        <v>656</v>
      </c>
      <c r="AO380" s="22" t="s">
        <v>24870</v>
      </c>
      <c r="AP380" s="22" t="s">
        <v>145</v>
      </c>
      <c r="AQ380" s="22" t="s">
        <v>70</v>
      </c>
      <c r="AR380" s="22" t="s">
        <v>67</v>
      </c>
      <c r="AT380" s="22" t="s">
        <v>24871</v>
      </c>
      <c r="AU380" s="22" t="s">
        <v>145</v>
      </c>
      <c r="AV380" s="22" t="s">
        <v>70</v>
      </c>
      <c r="AW380" s="22" t="s">
        <v>67</v>
      </c>
      <c r="AY380" s="22" t="s">
        <v>24872</v>
      </c>
      <c r="AZ380" s="22" t="s">
        <v>145</v>
      </c>
      <c r="BA380" s="22" t="s">
        <v>70</v>
      </c>
      <c r="BB380" s="22" t="s">
        <v>67</v>
      </c>
      <c r="BD380" s="22" t="s">
        <v>24873</v>
      </c>
      <c r="BE380" s="22" t="s">
        <v>145</v>
      </c>
      <c r="BF380" s="22" t="s">
        <v>70</v>
      </c>
      <c r="BG380" s="22" t="s">
        <v>67</v>
      </c>
      <c r="BI380" s="22" t="s">
        <v>24874</v>
      </c>
      <c r="BJ380" s="22" t="s">
        <v>145</v>
      </c>
      <c r="BK380" s="22" t="s">
        <v>70</v>
      </c>
      <c r="BL380" s="22" t="s">
        <v>67</v>
      </c>
      <c r="BN380" s="22" t="s">
        <v>24875</v>
      </c>
      <c r="BO380" s="22" t="s">
        <v>145</v>
      </c>
      <c r="BP380" s="22" t="s">
        <v>70</v>
      </c>
      <c r="BQ380" s="22" t="s">
        <v>67</v>
      </c>
      <c r="BS380" s="22" t="s">
        <v>24876</v>
      </c>
      <c r="BT380" s="22" t="s">
        <v>145</v>
      </c>
      <c r="BU380" s="22" t="s">
        <v>70</v>
      </c>
      <c r="BV380" s="214" t="s">
        <v>530</v>
      </c>
      <c r="BX380" s="22" t="s">
        <v>24877</v>
      </c>
      <c r="BY380" s="22" t="s">
        <v>145</v>
      </c>
      <c r="BZ380" s="22" t="s">
        <v>70</v>
      </c>
      <c r="CA380" s="214" t="s">
        <v>530</v>
      </c>
      <c r="CC380" s="214" t="s">
        <v>24878</v>
      </c>
      <c r="CD380" s="218" t="s">
        <v>163</v>
      </c>
      <c r="CE380" s="214" t="s">
        <v>70</v>
      </c>
      <c r="CF380" s="214" t="s">
        <v>34186</v>
      </c>
      <c r="CH380" s="214" t="s">
        <v>24879</v>
      </c>
      <c r="CI380" s="214" t="s">
        <v>34569</v>
      </c>
      <c r="CJ380" s="214" t="s">
        <v>70</v>
      </c>
      <c r="CK380" s="214" t="s">
        <v>530</v>
      </c>
      <c r="CM380" s="214" t="s">
        <v>24880</v>
      </c>
      <c r="CN380" s="214" t="s">
        <v>34545</v>
      </c>
      <c r="CO380" s="214" t="s">
        <v>70</v>
      </c>
      <c r="CP380" s="214" t="s">
        <v>530</v>
      </c>
      <c r="CR380" s="214" t="s">
        <v>24881</v>
      </c>
      <c r="CS380" s="214" t="s">
        <v>487</v>
      </c>
      <c r="CT380" s="214" t="s">
        <v>70</v>
      </c>
      <c r="CU380" s="214" t="s">
        <v>530</v>
      </c>
      <c r="CW380" s="214" t="s">
        <v>24882</v>
      </c>
      <c r="CX380" s="214" t="s">
        <v>85</v>
      </c>
      <c r="CY380" s="214" t="s">
        <v>70</v>
      </c>
      <c r="CZ380" s="214" t="s">
        <v>530</v>
      </c>
      <c r="DB380" s="214" t="s">
        <v>24883</v>
      </c>
      <c r="DC380" s="214" t="s">
        <v>163</v>
      </c>
      <c r="DD380" s="214" t="s">
        <v>70</v>
      </c>
      <c r="DE380" s="214" t="s">
        <v>530</v>
      </c>
      <c r="DG380" s="214" t="s">
        <v>24884</v>
      </c>
      <c r="DH380" s="214" t="s">
        <v>145</v>
      </c>
      <c r="DI380" s="214" t="s">
        <v>70</v>
      </c>
      <c r="DJ380" s="214" t="s">
        <v>530</v>
      </c>
      <c r="DL380" s="214" t="s">
        <v>24885</v>
      </c>
      <c r="DM380" s="214" t="s">
        <v>34579</v>
      </c>
      <c r="DN380" s="214" t="s">
        <v>70</v>
      </c>
      <c r="DO380" s="214" t="s">
        <v>530</v>
      </c>
      <c r="DQ380" s="214" t="s">
        <v>24886</v>
      </c>
      <c r="DR380" s="214" t="s">
        <v>947</v>
      </c>
      <c r="DS380" s="214" t="s">
        <v>70</v>
      </c>
      <c r="DT380" s="214" t="s">
        <v>530</v>
      </c>
      <c r="DV380" s="214" t="s">
        <v>24887</v>
      </c>
      <c r="DW380" s="214" t="s">
        <v>468</v>
      </c>
      <c r="DX380" s="214" t="s">
        <v>70</v>
      </c>
      <c r="DY380" s="214" t="s">
        <v>530</v>
      </c>
      <c r="EA380" s="214" t="s">
        <v>24888</v>
      </c>
      <c r="EB380" s="214" t="s">
        <v>34539</v>
      </c>
      <c r="EC380" s="214" t="s">
        <v>70</v>
      </c>
      <c r="ED380" s="214" t="s">
        <v>530</v>
      </c>
      <c r="EF380" s="214" t="s">
        <v>24889</v>
      </c>
      <c r="EG380" s="214" t="s">
        <v>34524</v>
      </c>
      <c r="EH380" s="214" t="s">
        <v>70</v>
      </c>
      <c r="EI380" s="214" t="s">
        <v>530</v>
      </c>
      <c r="EK380" s="214" t="s">
        <v>24890</v>
      </c>
      <c r="EL380" s="214" t="s">
        <v>484</v>
      </c>
      <c r="EM380" s="214" t="s">
        <v>70</v>
      </c>
      <c r="EN380" s="214" t="s">
        <v>530</v>
      </c>
      <c r="EP380" s="214" t="s">
        <v>24891</v>
      </c>
      <c r="EQ380" s="214" t="s">
        <v>937</v>
      </c>
      <c r="ER380" s="214" t="s">
        <v>70</v>
      </c>
      <c r="ES380" s="214" t="s">
        <v>530</v>
      </c>
      <c r="EU380" s="214" t="s">
        <v>24892</v>
      </c>
      <c r="EV380" s="214" t="s">
        <v>34629</v>
      </c>
      <c r="EW380" s="214" t="s">
        <v>70</v>
      </c>
      <c r="EX380" s="214" t="s">
        <v>530</v>
      </c>
      <c r="EZ380" s="214" t="s">
        <v>24893</v>
      </c>
      <c r="FA380" s="214" t="s">
        <v>468</v>
      </c>
      <c r="FB380" s="214" t="s">
        <v>70</v>
      </c>
      <c r="FC380" s="214" t="s">
        <v>530</v>
      </c>
      <c r="FE380" s="214" t="s">
        <v>24894</v>
      </c>
      <c r="FF380" s="214" t="s">
        <v>529</v>
      </c>
      <c r="FG380" s="214" t="s">
        <v>70</v>
      </c>
      <c r="FH380" s="214" t="s">
        <v>530</v>
      </c>
      <c r="FJ380" s="321" t="s">
        <v>24895</v>
      </c>
      <c r="FK380" s="214" t="s">
        <v>52</v>
      </c>
      <c r="FL380" s="214" t="s">
        <v>70</v>
      </c>
      <c r="FM380" s="214" t="s">
        <v>530</v>
      </c>
      <c r="FO380" s="321" t="s">
        <v>24896</v>
      </c>
      <c r="FP380" s="214" t="s">
        <v>146</v>
      </c>
      <c r="FQ380" s="214" t="s">
        <v>70</v>
      </c>
      <c r="FR380" s="214" t="s">
        <v>530</v>
      </c>
      <c r="FT380" s="321" t="s">
        <v>24897</v>
      </c>
      <c r="FU380" s="214" t="s">
        <v>287</v>
      </c>
      <c r="FV380" s="214" t="s">
        <v>70</v>
      </c>
      <c r="FW380" s="214" t="s">
        <v>530</v>
      </c>
      <c r="FY380" s="321" t="s">
        <v>24898</v>
      </c>
      <c r="FZ380" s="214" t="s">
        <v>88</v>
      </c>
      <c r="GA380" s="214" t="s">
        <v>70</v>
      </c>
      <c r="GB380" s="214" t="s">
        <v>530</v>
      </c>
      <c r="GD380" s="321" t="s">
        <v>24899</v>
      </c>
      <c r="GE380" s="214" t="s">
        <v>34541</v>
      </c>
      <c r="GF380" s="214" t="s">
        <v>70</v>
      </c>
      <c r="GG380" s="214" t="s">
        <v>530</v>
      </c>
      <c r="GI380" s="321" t="s">
        <v>24900</v>
      </c>
      <c r="GJ380" s="214" t="s">
        <v>484</v>
      </c>
      <c r="GK380" s="214" t="s">
        <v>70</v>
      </c>
      <c r="GL380" s="214" t="s">
        <v>530</v>
      </c>
      <c r="GN380" s="321" t="s">
        <v>24901</v>
      </c>
      <c r="GO380" s="214" t="s">
        <v>34575</v>
      </c>
      <c r="GP380" s="214" t="s">
        <v>70</v>
      </c>
      <c r="GQ380" s="214" t="s">
        <v>530</v>
      </c>
      <c r="GS380" s="321" t="s">
        <v>24902</v>
      </c>
      <c r="GT380" s="214" t="s">
        <v>34539</v>
      </c>
      <c r="GU380" s="214" t="s">
        <v>70</v>
      </c>
      <c r="GV380" s="214" t="s">
        <v>530</v>
      </c>
      <c r="GX380" s="214" t="s">
        <v>24903</v>
      </c>
      <c r="GY380" s="214" t="s">
        <v>148</v>
      </c>
      <c r="GZ380" s="214" t="s">
        <v>70</v>
      </c>
      <c r="HA380" s="214" t="s">
        <v>530</v>
      </c>
      <c r="HC380" s="214" t="s">
        <v>24904</v>
      </c>
      <c r="HD380" s="214" t="s">
        <v>529</v>
      </c>
      <c r="HE380" s="214" t="s">
        <v>70</v>
      </c>
      <c r="HF380" s="214" t="s">
        <v>530</v>
      </c>
      <c r="HH380" s="214" t="s">
        <v>24905</v>
      </c>
      <c r="HI380" s="214" t="s">
        <v>145</v>
      </c>
      <c r="HJ380" s="214" t="s">
        <v>70</v>
      </c>
      <c r="HK380" s="214" t="s">
        <v>530</v>
      </c>
      <c r="HM380" s="214" t="s">
        <v>24906</v>
      </c>
      <c r="HN380" s="214" t="s">
        <v>145</v>
      </c>
      <c r="HO380" s="214" t="s">
        <v>70</v>
      </c>
      <c r="HP380" s="214" t="s">
        <v>530</v>
      </c>
      <c r="HR380" s="22" t="s">
        <v>24907</v>
      </c>
      <c r="HS380" s="22" t="s">
        <v>148</v>
      </c>
      <c r="HT380" s="22" t="s">
        <v>70</v>
      </c>
      <c r="HU380" s="214" t="s">
        <v>530</v>
      </c>
      <c r="HW380" s="22" t="s">
        <v>24908</v>
      </c>
      <c r="HX380" s="22" t="s">
        <v>641</v>
      </c>
      <c r="HY380" s="22" t="s">
        <v>70</v>
      </c>
      <c r="HZ380" s="214" t="s">
        <v>530</v>
      </c>
      <c r="IB380" s="22" t="s">
        <v>24909</v>
      </c>
      <c r="IC380" s="22" t="s">
        <v>468</v>
      </c>
      <c r="ID380" s="22" t="s">
        <v>70</v>
      </c>
      <c r="IE380" s="214" t="s">
        <v>530</v>
      </c>
      <c r="IG380" s="22" t="s">
        <v>24910</v>
      </c>
      <c r="IH380" s="22" t="s">
        <v>52</v>
      </c>
      <c r="II380" s="22" t="s">
        <v>70</v>
      </c>
      <c r="IJ380" s="214" t="s">
        <v>530</v>
      </c>
      <c r="IL380" s="22" t="s">
        <v>24911</v>
      </c>
      <c r="IM380" s="22" t="s">
        <v>145</v>
      </c>
      <c r="IN380" s="22" t="s">
        <v>70</v>
      </c>
      <c r="IO380" s="214" t="s">
        <v>530</v>
      </c>
      <c r="IQ380" s="236" t="s">
        <v>24912</v>
      </c>
      <c r="IR380" s="236" t="s">
        <v>145</v>
      </c>
      <c r="IS380" s="236" t="s">
        <v>74</v>
      </c>
      <c r="IT380" s="236" t="s">
        <v>841</v>
      </c>
      <c r="IV380" s="236" t="s">
        <v>24913</v>
      </c>
      <c r="IW380" s="236" t="s">
        <v>145</v>
      </c>
      <c r="IX380" s="236" t="s">
        <v>74</v>
      </c>
      <c r="IY380" s="236" t="s">
        <v>841</v>
      </c>
      <c r="JA380" s="236" t="s">
        <v>24914</v>
      </c>
      <c r="JB380" s="236" t="s">
        <v>145</v>
      </c>
      <c r="JC380" s="236" t="s">
        <v>74</v>
      </c>
      <c r="JD380" s="236" t="s">
        <v>841</v>
      </c>
      <c r="JF380" s="236" t="s">
        <v>24915</v>
      </c>
      <c r="JG380" s="236" t="s">
        <v>145</v>
      </c>
      <c r="JH380" s="236" t="s">
        <v>74</v>
      </c>
      <c r="JI380" s="236" t="s">
        <v>841</v>
      </c>
      <c r="JK380" s="236" t="s">
        <v>24916</v>
      </c>
      <c r="JL380" s="236" t="s">
        <v>145</v>
      </c>
      <c r="JM380" s="236" t="s">
        <v>74</v>
      </c>
      <c r="JN380" s="236" t="s">
        <v>841</v>
      </c>
      <c r="JP380" s="236" t="s">
        <v>24917</v>
      </c>
      <c r="JQ380" s="236" t="s">
        <v>145</v>
      </c>
      <c r="JR380" s="236" t="s">
        <v>74</v>
      </c>
      <c r="JS380" s="236" t="s">
        <v>841</v>
      </c>
      <c r="JU380" s="294" t="s">
        <v>24918</v>
      </c>
      <c r="JV380" s="294" t="s">
        <v>52</v>
      </c>
      <c r="JW380" s="263" t="s">
        <v>70</v>
      </c>
      <c r="JX380" s="294" t="s">
        <v>1083</v>
      </c>
      <c r="JZ380" s="263" t="s">
        <v>24919</v>
      </c>
      <c r="KA380" s="263" t="s">
        <v>145</v>
      </c>
      <c r="KB380" s="263" t="s">
        <v>70</v>
      </c>
      <c r="KC380" s="263" t="s">
        <v>1083</v>
      </c>
      <c r="KE380" s="263" t="s">
        <v>24920</v>
      </c>
      <c r="KF380" s="263" t="s">
        <v>52</v>
      </c>
      <c r="KG380" s="263" t="s">
        <v>70</v>
      </c>
      <c r="KH380" s="263" t="s">
        <v>1083</v>
      </c>
      <c r="KJ380" s="263" t="s">
        <v>24921</v>
      </c>
      <c r="KK380" s="263" t="s">
        <v>52</v>
      </c>
      <c r="KL380" s="263" t="s">
        <v>74</v>
      </c>
      <c r="KM380" s="263" t="s">
        <v>34074</v>
      </c>
      <c r="KO380" s="214" t="s">
        <v>24922</v>
      </c>
      <c r="KP380" s="214" t="s">
        <v>145</v>
      </c>
      <c r="KQ380" s="214" t="s">
        <v>70</v>
      </c>
      <c r="KR380" s="214" t="s">
        <v>67</v>
      </c>
      <c r="KT380" s="22" t="s">
        <v>24923</v>
      </c>
      <c r="KU380" s="22" t="s">
        <v>145</v>
      </c>
      <c r="KV380" s="22" t="s">
        <v>70</v>
      </c>
      <c r="KW380" s="22" t="s">
        <v>67</v>
      </c>
      <c r="KY380" s="214" t="s">
        <v>24924</v>
      </c>
      <c r="KZ380" s="214" t="s">
        <v>52</v>
      </c>
      <c r="LA380" s="214" t="s">
        <v>74</v>
      </c>
      <c r="LB380" s="214" t="s">
        <v>67</v>
      </c>
      <c r="LD380" s="22" t="s">
        <v>24925</v>
      </c>
      <c r="LE380" s="22" t="s">
        <v>145</v>
      </c>
      <c r="LF380" s="22" t="s">
        <v>70</v>
      </c>
      <c r="LG380" s="22" t="s">
        <v>67</v>
      </c>
    </row>
    <row r="381" spans="1:319">
      <c r="A381" s="22" t="s">
        <v>24926</v>
      </c>
      <c r="B381" s="22" t="s">
        <v>145</v>
      </c>
      <c r="C381" s="22" t="s">
        <v>70</v>
      </c>
      <c r="D381" s="22" t="s">
        <v>67</v>
      </c>
      <c r="F381" s="100" t="s">
        <v>24927</v>
      </c>
      <c r="G381" s="22" t="s">
        <v>145</v>
      </c>
      <c r="H381" s="22" t="s">
        <v>70</v>
      </c>
      <c r="I381" s="22" t="s">
        <v>67</v>
      </c>
      <c r="K381" s="99" t="s">
        <v>24928</v>
      </c>
      <c r="L381" s="22" t="s">
        <v>145</v>
      </c>
      <c r="M381" s="22" t="s">
        <v>70</v>
      </c>
      <c r="N381" s="22" t="s">
        <v>67</v>
      </c>
      <c r="P381" s="230" t="s">
        <v>24929</v>
      </c>
      <c r="Q381" s="218" t="s">
        <v>145</v>
      </c>
      <c r="R381" s="218" t="s">
        <v>72</v>
      </c>
      <c r="S381" s="218" t="s">
        <v>33982</v>
      </c>
      <c r="U381" s="293" t="s">
        <v>24930</v>
      </c>
      <c r="V381" s="293" t="s">
        <v>145</v>
      </c>
      <c r="W381" s="293" t="s">
        <v>74</v>
      </c>
      <c r="X381" s="293" t="s">
        <v>656</v>
      </c>
      <c r="Z381" s="293" t="s">
        <v>24931</v>
      </c>
      <c r="AA381" s="293" t="s">
        <v>145</v>
      </c>
      <c r="AB381" s="293" t="s">
        <v>74</v>
      </c>
      <c r="AC381" s="293" t="s">
        <v>656</v>
      </c>
      <c r="AE381" s="293" t="s">
        <v>24932</v>
      </c>
      <c r="AF381" s="293" t="s">
        <v>145</v>
      </c>
      <c r="AG381" s="293" t="s">
        <v>74</v>
      </c>
      <c r="AH381" s="293" t="s">
        <v>656</v>
      </c>
      <c r="AJ381" s="293" t="s">
        <v>24933</v>
      </c>
      <c r="AK381" s="293" t="s">
        <v>145</v>
      </c>
      <c r="AL381" s="293" t="s">
        <v>74</v>
      </c>
      <c r="AM381" s="293" t="s">
        <v>656</v>
      </c>
      <c r="AO381" s="22" t="s">
        <v>24934</v>
      </c>
      <c r="AP381" s="22" t="s">
        <v>145</v>
      </c>
      <c r="AQ381" s="22" t="s">
        <v>70</v>
      </c>
      <c r="AR381" s="22" t="s">
        <v>67</v>
      </c>
      <c r="AT381" s="22" t="s">
        <v>24935</v>
      </c>
      <c r="AU381" s="22" t="s">
        <v>145</v>
      </c>
      <c r="AV381" s="22" t="s">
        <v>70</v>
      </c>
      <c r="AW381" s="22" t="s">
        <v>67</v>
      </c>
      <c r="AY381" s="22" t="s">
        <v>24936</v>
      </c>
      <c r="AZ381" s="22" t="s">
        <v>145</v>
      </c>
      <c r="BA381" s="22" t="s">
        <v>70</v>
      </c>
      <c r="BB381" s="22" t="s">
        <v>67</v>
      </c>
      <c r="BD381" s="22" t="s">
        <v>24937</v>
      </c>
      <c r="BE381" s="22" t="s">
        <v>145</v>
      </c>
      <c r="BF381" s="22" t="s">
        <v>70</v>
      </c>
      <c r="BG381" s="22" t="s">
        <v>67</v>
      </c>
      <c r="BI381" s="22" t="s">
        <v>24938</v>
      </c>
      <c r="BJ381" s="22" t="s">
        <v>145</v>
      </c>
      <c r="BK381" s="22" t="s">
        <v>70</v>
      </c>
      <c r="BL381" s="22" t="s">
        <v>67</v>
      </c>
      <c r="BN381" s="22" t="s">
        <v>24939</v>
      </c>
      <c r="BO381" s="22" t="s">
        <v>145</v>
      </c>
      <c r="BP381" s="22" t="s">
        <v>70</v>
      </c>
      <c r="BQ381" s="22" t="s">
        <v>67</v>
      </c>
      <c r="BS381" s="22" t="s">
        <v>24940</v>
      </c>
      <c r="BT381" s="22" t="s">
        <v>145</v>
      </c>
      <c r="BU381" s="22" t="s">
        <v>70</v>
      </c>
      <c r="BV381" s="214" t="s">
        <v>530</v>
      </c>
      <c r="BX381" s="22" t="s">
        <v>24941</v>
      </c>
      <c r="BY381" s="22" t="s">
        <v>145</v>
      </c>
      <c r="BZ381" s="22" t="s">
        <v>70</v>
      </c>
      <c r="CA381" s="214" t="s">
        <v>530</v>
      </c>
      <c r="CC381" s="214" t="s">
        <v>24942</v>
      </c>
      <c r="CD381" s="218" t="s">
        <v>950</v>
      </c>
      <c r="CE381" s="214" t="s">
        <v>70</v>
      </c>
      <c r="CF381" s="214" t="s">
        <v>34187</v>
      </c>
      <c r="CH381" s="214" t="s">
        <v>24943</v>
      </c>
      <c r="CI381" s="214" t="s">
        <v>34550</v>
      </c>
      <c r="CJ381" s="214" t="s">
        <v>70</v>
      </c>
      <c r="CK381" s="214" t="s">
        <v>530</v>
      </c>
      <c r="CM381" s="214" t="s">
        <v>24944</v>
      </c>
      <c r="CN381" s="214" t="s">
        <v>34551</v>
      </c>
      <c r="CO381" s="214" t="s">
        <v>70</v>
      </c>
      <c r="CP381" s="214" t="s">
        <v>530</v>
      </c>
      <c r="CR381" s="214" t="s">
        <v>24945</v>
      </c>
      <c r="CS381" s="214" t="s">
        <v>488</v>
      </c>
      <c r="CT381" s="214" t="s">
        <v>70</v>
      </c>
      <c r="CU381" s="214" t="s">
        <v>530</v>
      </c>
      <c r="CW381" s="214" t="s">
        <v>24946</v>
      </c>
      <c r="CX381" s="214" t="s">
        <v>485</v>
      </c>
      <c r="CY381" s="214" t="s">
        <v>70</v>
      </c>
      <c r="CZ381" s="214" t="s">
        <v>530</v>
      </c>
      <c r="DB381" s="214" t="s">
        <v>24947</v>
      </c>
      <c r="DC381" s="214" t="s">
        <v>950</v>
      </c>
      <c r="DD381" s="214" t="s">
        <v>70</v>
      </c>
      <c r="DE381" s="214" t="s">
        <v>530</v>
      </c>
      <c r="DG381" s="214" t="s">
        <v>24948</v>
      </c>
      <c r="DH381" s="214" t="s">
        <v>34541</v>
      </c>
      <c r="DI381" s="214" t="s">
        <v>70</v>
      </c>
      <c r="DJ381" s="214" t="s">
        <v>530</v>
      </c>
      <c r="DL381" s="214" t="s">
        <v>24949</v>
      </c>
      <c r="DM381" s="214" t="s">
        <v>492</v>
      </c>
      <c r="DN381" s="214" t="s">
        <v>70</v>
      </c>
      <c r="DO381" s="214" t="s">
        <v>530</v>
      </c>
      <c r="DQ381" s="214" t="s">
        <v>24950</v>
      </c>
      <c r="DR381" s="214" t="s">
        <v>34602</v>
      </c>
      <c r="DS381" s="214" t="s">
        <v>70</v>
      </c>
      <c r="DT381" s="214" t="s">
        <v>530</v>
      </c>
      <c r="DV381" s="214" t="s">
        <v>24951</v>
      </c>
      <c r="DW381" s="214" t="s">
        <v>34548</v>
      </c>
      <c r="DX381" s="214" t="s">
        <v>70</v>
      </c>
      <c r="DY381" s="214" t="s">
        <v>530</v>
      </c>
      <c r="EA381" s="214" t="s">
        <v>24952</v>
      </c>
      <c r="EB381" s="214" t="s">
        <v>146</v>
      </c>
      <c r="EC381" s="214" t="s">
        <v>70</v>
      </c>
      <c r="ED381" s="214" t="s">
        <v>530</v>
      </c>
      <c r="EF381" s="214" t="s">
        <v>24953</v>
      </c>
      <c r="EG381" s="214" t="s">
        <v>145</v>
      </c>
      <c r="EH381" s="214" t="s">
        <v>70</v>
      </c>
      <c r="EI381" s="214" t="s">
        <v>530</v>
      </c>
      <c r="EK381" s="214" t="s">
        <v>24954</v>
      </c>
      <c r="EL381" s="214" t="s">
        <v>484</v>
      </c>
      <c r="EM381" s="214" t="s">
        <v>70</v>
      </c>
      <c r="EN381" s="214" t="s">
        <v>530</v>
      </c>
      <c r="EP381" s="214" t="s">
        <v>24955</v>
      </c>
      <c r="EQ381" s="214" t="s">
        <v>468</v>
      </c>
      <c r="ER381" s="214" t="s">
        <v>70</v>
      </c>
      <c r="ES381" s="214" t="s">
        <v>530</v>
      </c>
      <c r="EU381" s="214" t="s">
        <v>24956</v>
      </c>
      <c r="EV381" s="214" t="s">
        <v>491</v>
      </c>
      <c r="EW381" s="214" t="s">
        <v>70</v>
      </c>
      <c r="EX381" s="214" t="s">
        <v>530</v>
      </c>
      <c r="EZ381" s="214" t="s">
        <v>24957</v>
      </c>
      <c r="FA381" s="214" t="s">
        <v>915</v>
      </c>
      <c r="FB381" s="214" t="s">
        <v>70</v>
      </c>
      <c r="FC381" s="214" t="s">
        <v>530</v>
      </c>
      <c r="FE381" s="214" t="s">
        <v>24958</v>
      </c>
      <c r="FF381" s="214" t="s">
        <v>491</v>
      </c>
      <c r="FG381" s="214" t="s">
        <v>70</v>
      </c>
      <c r="FH381" s="214" t="s">
        <v>530</v>
      </c>
      <c r="FJ381" s="321" t="s">
        <v>24959</v>
      </c>
      <c r="FK381" s="214" t="s">
        <v>484</v>
      </c>
      <c r="FL381" s="214" t="s">
        <v>70</v>
      </c>
      <c r="FM381" s="214" t="s">
        <v>530</v>
      </c>
      <c r="FO381" s="321" t="s">
        <v>24960</v>
      </c>
      <c r="FP381" s="214" t="s">
        <v>34548</v>
      </c>
      <c r="FQ381" s="214" t="s">
        <v>70</v>
      </c>
      <c r="FR381" s="214" t="s">
        <v>530</v>
      </c>
      <c r="FT381" s="321" t="s">
        <v>24961</v>
      </c>
      <c r="FU381" s="214" t="s">
        <v>34564</v>
      </c>
      <c r="FV381" s="214" t="s">
        <v>70</v>
      </c>
      <c r="FW381" s="214" t="s">
        <v>530</v>
      </c>
      <c r="FY381" s="321" t="s">
        <v>24962</v>
      </c>
      <c r="FZ381" s="214" t="s">
        <v>103</v>
      </c>
      <c r="GA381" s="214" t="s">
        <v>70</v>
      </c>
      <c r="GB381" s="214" t="s">
        <v>530</v>
      </c>
      <c r="GD381" s="321" t="s">
        <v>24963</v>
      </c>
      <c r="GE381" s="214" t="s">
        <v>34543</v>
      </c>
      <c r="GF381" s="214" t="s">
        <v>70</v>
      </c>
      <c r="GG381" s="214" t="s">
        <v>530</v>
      </c>
      <c r="GI381" s="321" t="s">
        <v>24964</v>
      </c>
      <c r="GJ381" s="214" t="s">
        <v>492</v>
      </c>
      <c r="GK381" s="214" t="s">
        <v>70</v>
      </c>
      <c r="GL381" s="214" t="s">
        <v>530</v>
      </c>
      <c r="GN381" s="321" t="s">
        <v>24965</v>
      </c>
      <c r="GO381" s="214" t="s">
        <v>93</v>
      </c>
      <c r="GP381" s="214" t="s">
        <v>70</v>
      </c>
      <c r="GQ381" s="214" t="s">
        <v>530</v>
      </c>
      <c r="GS381" s="321" t="s">
        <v>24966</v>
      </c>
      <c r="GT381" s="214" t="s">
        <v>34542</v>
      </c>
      <c r="GU381" s="214" t="s">
        <v>70</v>
      </c>
      <c r="GV381" s="214" t="s">
        <v>530</v>
      </c>
      <c r="GX381" s="214" t="s">
        <v>24967</v>
      </c>
      <c r="GY381" s="214" t="s">
        <v>148</v>
      </c>
      <c r="GZ381" s="214" t="s">
        <v>70</v>
      </c>
      <c r="HA381" s="214" t="s">
        <v>530</v>
      </c>
      <c r="HC381" s="214" t="s">
        <v>24968</v>
      </c>
      <c r="HD381" s="214" t="s">
        <v>103</v>
      </c>
      <c r="HE381" s="214" t="s">
        <v>70</v>
      </c>
      <c r="HF381" s="214" t="s">
        <v>530</v>
      </c>
      <c r="HH381" s="214" t="s">
        <v>24969</v>
      </c>
      <c r="HI381" s="214" t="s">
        <v>90</v>
      </c>
      <c r="HJ381" s="214" t="s">
        <v>70</v>
      </c>
      <c r="HK381" s="214" t="s">
        <v>530</v>
      </c>
      <c r="HM381" s="214" t="s">
        <v>24970</v>
      </c>
      <c r="HN381" s="214" t="s">
        <v>34541</v>
      </c>
      <c r="HO381" s="214" t="s">
        <v>70</v>
      </c>
      <c r="HP381" s="214" t="s">
        <v>530</v>
      </c>
      <c r="HR381" s="22" t="s">
        <v>24971</v>
      </c>
      <c r="HS381" s="22" t="s">
        <v>484</v>
      </c>
      <c r="HT381" s="22" t="s">
        <v>70</v>
      </c>
      <c r="HU381" s="214" t="s">
        <v>530</v>
      </c>
      <c r="HW381" s="22" t="s">
        <v>24972</v>
      </c>
      <c r="HX381" s="22" t="s">
        <v>88</v>
      </c>
      <c r="HY381" s="22" t="s">
        <v>70</v>
      </c>
      <c r="HZ381" s="214" t="s">
        <v>530</v>
      </c>
      <c r="IB381" s="22" t="s">
        <v>24973</v>
      </c>
      <c r="IC381" s="22" t="s">
        <v>52</v>
      </c>
      <c r="ID381" s="22" t="s">
        <v>70</v>
      </c>
      <c r="IE381" s="214" t="s">
        <v>530</v>
      </c>
      <c r="IG381" s="22" t="s">
        <v>24974</v>
      </c>
      <c r="IH381" s="22" t="s">
        <v>52</v>
      </c>
      <c r="II381" s="22" t="s">
        <v>70</v>
      </c>
      <c r="IJ381" s="214" t="s">
        <v>530</v>
      </c>
      <c r="IL381" s="22" t="s">
        <v>24975</v>
      </c>
      <c r="IM381" s="22" t="s">
        <v>145</v>
      </c>
      <c r="IN381" s="22" t="s">
        <v>70</v>
      </c>
      <c r="IO381" s="214" t="s">
        <v>530</v>
      </c>
      <c r="IQ381" s="236" t="s">
        <v>24976</v>
      </c>
      <c r="IR381" s="236" t="s">
        <v>145</v>
      </c>
      <c r="IS381" s="236" t="s">
        <v>74</v>
      </c>
      <c r="IT381" s="236" t="s">
        <v>841</v>
      </c>
      <c r="IV381" s="236" t="s">
        <v>24977</v>
      </c>
      <c r="IW381" s="236" t="s">
        <v>145</v>
      </c>
      <c r="IX381" s="236" t="s">
        <v>74</v>
      </c>
      <c r="IY381" s="236" t="s">
        <v>841</v>
      </c>
      <c r="JA381" s="236" t="s">
        <v>24978</v>
      </c>
      <c r="JB381" s="236" t="s">
        <v>145</v>
      </c>
      <c r="JC381" s="236" t="s">
        <v>74</v>
      </c>
      <c r="JD381" s="236" t="s">
        <v>841</v>
      </c>
      <c r="JF381" s="236" t="s">
        <v>24979</v>
      </c>
      <c r="JG381" s="236" t="s">
        <v>145</v>
      </c>
      <c r="JH381" s="236" t="s">
        <v>74</v>
      </c>
      <c r="JI381" s="236" t="s">
        <v>841</v>
      </c>
      <c r="JK381" s="236" t="s">
        <v>24980</v>
      </c>
      <c r="JL381" s="236" t="s">
        <v>145</v>
      </c>
      <c r="JM381" s="236" t="s">
        <v>74</v>
      </c>
      <c r="JN381" s="236" t="s">
        <v>841</v>
      </c>
      <c r="JP381" s="236" t="s">
        <v>24981</v>
      </c>
      <c r="JQ381" s="236" t="s">
        <v>145</v>
      </c>
      <c r="JR381" s="236" t="s">
        <v>74</v>
      </c>
      <c r="JS381" s="236" t="s">
        <v>841</v>
      </c>
      <c r="JU381" s="294" t="s">
        <v>24982</v>
      </c>
      <c r="JV381" s="294" t="s">
        <v>52</v>
      </c>
      <c r="JW381" s="263" t="s">
        <v>70</v>
      </c>
      <c r="JX381" s="294" t="s">
        <v>1083</v>
      </c>
      <c r="JZ381" s="263" t="s">
        <v>24983</v>
      </c>
      <c r="KA381" s="263" t="s">
        <v>145</v>
      </c>
      <c r="KB381" s="263" t="s">
        <v>70</v>
      </c>
      <c r="KC381" s="263" t="s">
        <v>1083</v>
      </c>
      <c r="KE381" s="263" t="s">
        <v>24984</v>
      </c>
      <c r="KF381" s="263" t="s">
        <v>52</v>
      </c>
      <c r="KG381" s="263" t="s">
        <v>70</v>
      </c>
      <c r="KH381" s="263" t="s">
        <v>1083</v>
      </c>
      <c r="KJ381" s="263" t="s">
        <v>24985</v>
      </c>
      <c r="KK381" s="263" t="s">
        <v>52</v>
      </c>
      <c r="KL381" s="263" t="s">
        <v>74</v>
      </c>
      <c r="KM381" s="263" t="s">
        <v>34074</v>
      </c>
      <c r="KO381" s="214" t="s">
        <v>24986</v>
      </c>
      <c r="KP381" s="214" t="s">
        <v>145</v>
      </c>
      <c r="KQ381" s="214" t="s">
        <v>70</v>
      </c>
      <c r="KR381" s="214" t="s">
        <v>67</v>
      </c>
      <c r="KT381" s="22" t="s">
        <v>24987</v>
      </c>
      <c r="KU381" s="22" t="s">
        <v>145</v>
      </c>
      <c r="KV381" s="22" t="s">
        <v>70</v>
      </c>
      <c r="KW381" s="22" t="s">
        <v>67</v>
      </c>
      <c r="KY381" s="214" t="s">
        <v>24988</v>
      </c>
      <c r="KZ381" s="214" t="s">
        <v>52</v>
      </c>
      <c r="LA381" s="214" t="s">
        <v>74</v>
      </c>
      <c r="LB381" s="214" t="s">
        <v>67</v>
      </c>
      <c r="LD381" s="22" t="s">
        <v>24989</v>
      </c>
      <c r="LE381" s="22" t="s">
        <v>145</v>
      </c>
      <c r="LF381" s="22" t="s">
        <v>70</v>
      </c>
      <c r="LG381" s="22" t="s">
        <v>67</v>
      </c>
    </row>
    <row r="382" spans="1:319">
      <c r="A382" s="22" t="s">
        <v>24990</v>
      </c>
      <c r="B382" s="22" t="s">
        <v>145</v>
      </c>
      <c r="C382" s="22" t="s">
        <v>70</v>
      </c>
      <c r="D382" s="22" t="s">
        <v>67</v>
      </c>
      <c r="F382" s="100" t="s">
        <v>24991</v>
      </c>
      <c r="G382" s="22" t="s">
        <v>145</v>
      </c>
      <c r="H382" s="22" t="s">
        <v>70</v>
      </c>
      <c r="I382" s="22" t="s">
        <v>67</v>
      </c>
      <c r="K382" s="99" t="s">
        <v>24992</v>
      </c>
      <c r="L382" s="22" t="s">
        <v>145</v>
      </c>
      <c r="M382" s="22" t="s">
        <v>70</v>
      </c>
      <c r="N382" s="22" t="s">
        <v>67</v>
      </c>
      <c r="P382" s="230" t="s">
        <v>24993</v>
      </c>
      <c r="Q382" s="218" t="s">
        <v>145</v>
      </c>
      <c r="R382" s="218" t="s">
        <v>72</v>
      </c>
      <c r="S382" s="218" t="s">
        <v>33983</v>
      </c>
      <c r="U382" s="293" t="s">
        <v>24994</v>
      </c>
      <c r="V382" s="293" t="s">
        <v>145</v>
      </c>
      <c r="W382" s="293" t="s">
        <v>74</v>
      </c>
      <c r="X382" s="293" t="s">
        <v>656</v>
      </c>
      <c r="Z382" s="293" t="s">
        <v>24995</v>
      </c>
      <c r="AA382" s="293" t="s">
        <v>145</v>
      </c>
      <c r="AB382" s="293" t="s">
        <v>74</v>
      </c>
      <c r="AC382" s="293" t="s">
        <v>656</v>
      </c>
      <c r="AE382" s="293" t="s">
        <v>24996</v>
      </c>
      <c r="AF382" s="293" t="s">
        <v>145</v>
      </c>
      <c r="AG382" s="293" t="s">
        <v>74</v>
      </c>
      <c r="AH382" s="293" t="s">
        <v>656</v>
      </c>
      <c r="AJ382" s="293" t="s">
        <v>24997</v>
      </c>
      <c r="AK382" s="293" t="s">
        <v>145</v>
      </c>
      <c r="AL382" s="293" t="s">
        <v>74</v>
      </c>
      <c r="AM382" s="293" t="s">
        <v>656</v>
      </c>
      <c r="AO382" s="22" t="s">
        <v>24998</v>
      </c>
      <c r="AP382" s="22" t="s">
        <v>145</v>
      </c>
      <c r="AQ382" s="22" t="s">
        <v>70</v>
      </c>
      <c r="AR382" s="22" t="s">
        <v>67</v>
      </c>
      <c r="AT382" s="22" t="s">
        <v>24999</v>
      </c>
      <c r="AU382" s="22" t="s">
        <v>145</v>
      </c>
      <c r="AV382" s="22" t="s">
        <v>70</v>
      </c>
      <c r="AW382" s="22" t="s">
        <v>67</v>
      </c>
      <c r="AY382" s="22" t="s">
        <v>25000</v>
      </c>
      <c r="AZ382" s="22" t="s">
        <v>145</v>
      </c>
      <c r="BA382" s="22" t="s">
        <v>70</v>
      </c>
      <c r="BB382" s="22" t="s">
        <v>67</v>
      </c>
      <c r="BD382" s="22" t="s">
        <v>25001</v>
      </c>
      <c r="BE382" s="22" t="s">
        <v>145</v>
      </c>
      <c r="BF382" s="22" t="s">
        <v>70</v>
      </c>
      <c r="BG382" s="22" t="s">
        <v>67</v>
      </c>
      <c r="BI382" s="22" t="s">
        <v>25002</v>
      </c>
      <c r="BJ382" s="22" t="s">
        <v>145</v>
      </c>
      <c r="BK382" s="22" t="s">
        <v>70</v>
      </c>
      <c r="BL382" s="22" t="s">
        <v>67</v>
      </c>
      <c r="BN382" s="22" t="s">
        <v>25003</v>
      </c>
      <c r="BO382" s="22" t="s">
        <v>145</v>
      </c>
      <c r="BP382" s="22" t="s">
        <v>70</v>
      </c>
      <c r="BQ382" s="22" t="s">
        <v>67</v>
      </c>
      <c r="BS382" s="22" t="s">
        <v>25004</v>
      </c>
      <c r="BT382" s="22" t="s">
        <v>145</v>
      </c>
      <c r="BU382" s="22" t="s">
        <v>70</v>
      </c>
      <c r="BV382" s="214" t="s">
        <v>530</v>
      </c>
      <c r="BX382" s="22" t="s">
        <v>25005</v>
      </c>
      <c r="BY382" s="22" t="s">
        <v>145</v>
      </c>
      <c r="BZ382" s="22" t="s">
        <v>70</v>
      </c>
      <c r="CA382" s="214" t="s">
        <v>530</v>
      </c>
      <c r="CC382" s="214" t="s">
        <v>25006</v>
      </c>
      <c r="CD382" s="218" t="s">
        <v>52</v>
      </c>
      <c r="CE382" s="214" t="s">
        <v>70</v>
      </c>
      <c r="CF382" s="214" t="s">
        <v>34188</v>
      </c>
      <c r="CH382" s="214" t="s">
        <v>25007</v>
      </c>
      <c r="CI382" s="214" t="s">
        <v>286</v>
      </c>
      <c r="CJ382" s="214" t="s">
        <v>70</v>
      </c>
      <c r="CK382" s="214" t="s">
        <v>530</v>
      </c>
      <c r="CM382" s="214" t="s">
        <v>25008</v>
      </c>
      <c r="CN382" s="214" t="s">
        <v>938</v>
      </c>
      <c r="CO382" s="214" t="s">
        <v>70</v>
      </c>
      <c r="CP382" s="214" t="s">
        <v>530</v>
      </c>
      <c r="CR382" s="214" t="s">
        <v>25009</v>
      </c>
      <c r="CS382" s="214" t="s">
        <v>103</v>
      </c>
      <c r="CT382" s="214" t="s">
        <v>70</v>
      </c>
      <c r="CU382" s="214" t="s">
        <v>530</v>
      </c>
      <c r="CW382" s="214" t="s">
        <v>25010</v>
      </c>
      <c r="CX382" s="214" t="s">
        <v>34545</v>
      </c>
      <c r="CY382" s="214" t="s">
        <v>70</v>
      </c>
      <c r="CZ382" s="214" t="s">
        <v>530</v>
      </c>
      <c r="DB382" s="214" t="s">
        <v>25011</v>
      </c>
      <c r="DC382" s="214" t="s">
        <v>88</v>
      </c>
      <c r="DD382" s="214" t="s">
        <v>70</v>
      </c>
      <c r="DE382" s="214" t="s">
        <v>530</v>
      </c>
      <c r="DG382" s="214" t="s">
        <v>25012</v>
      </c>
      <c r="DH382" s="214" t="s">
        <v>34555</v>
      </c>
      <c r="DI382" s="214" t="s">
        <v>70</v>
      </c>
      <c r="DJ382" s="214" t="s">
        <v>530</v>
      </c>
      <c r="DL382" s="214" t="s">
        <v>25013</v>
      </c>
      <c r="DM382" s="214" t="s">
        <v>500</v>
      </c>
      <c r="DN382" s="214" t="s">
        <v>70</v>
      </c>
      <c r="DO382" s="214" t="s">
        <v>530</v>
      </c>
      <c r="DQ382" s="214" t="s">
        <v>25014</v>
      </c>
      <c r="DR382" s="214" t="s">
        <v>34626</v>
      </c>
      <c r="DS382" s="214" t="s">
        <v>70</v>
      </c>
      <c r="DT382" s="214" t="s">
        <v>530</v>
      </c>
      <c r="DV382" s="214" t="s">
        <v>25015</v>
      </c>
      <c r="DW382" s="214" t="s">
        <v>90</v>
      </c>
      <c r="DX382" s="214" t="s">
        <v>70</v>
      </c>
      <c r="DY382" s="214" t="s">
        <v>530</v>
      </c>
      <c r="EA382" s="214" t="s">
        <v>25016</v>
      </c>
      <c r="EB382" s="214" t="s">
        <v>87</v>
      </c>
      <c r="EC382" s="214" t="s">
        <v>70</v>
      </c>
      <c r="ED382" s="214" t="s">
        <v>530</v>
      </c>
      <c r="EF382" s="214" t="s">
        <v>25017</v>
      </c>
      <c r="EG382" s="214" t="s">
        <v>103</v>
      </c>
      <c r="EH382" s="214" t="s">
        <v>70</v>
      </c>
      <c r="EI382" s="214" t="s">
        <v>530</v>
      </c>
      <c r="EK382" s="214" t="s">
        <v>25018</v>
      </c>
      <c r="EL382" s="214" t="s">
        <v>145</v>
      </c>
      <c r="EM382" s="214" t="s">
        <v>70</v>
      </c>
      <c r="EN382" s="214" t="s">
        <v>530</v>
      </c>
      <c r="EP382" s="214" t="s">
        <v>25019</v>
      </c>
      <c r="EQ382" s="214" t="s">
        <v>52</v>
      </c>
      <c r="ER382" s="214" t="s">
        <v>70</v>
      </c>
      <c r="ES382" s="214" t="s">
        <v>530</v>
      </c>
      <c r="EU382" s="214" t="s">
        <v>25020</v>
      </c>
      <c r="EV382" s="214" t="s">
        <v>649</v>
      </c>
      <c r="EW382" s="214" t="s">
        <v>70</v>
      </c>
      <c r="EX382" s="214" t="s">
        <v>530</v>
      </c>
      <c r="EZ382" s="214" t="s">
        <v>25021</v>
      </c>
      <c r="FA382" s="214" t="s">
        <v>468</v>
      </c>
      <c r="FB382" s="214" t="s">
        <v>70</v>
      </c>
      <c r="FC382" s="214" t="s">
        <v>530</v>
      </c>
      <c r="FE382" s="214" t="s">
        <v>25022</v>
      </c>
      <c r="FF382" s="214" t="s">
        <v>149</v>
      </c>
      <c r="FG382" s="214" t="s">
        <v>70</v>
      </c>
      <c r="FH382" s="214" t="s">
        <v>530</v>
      </c>
      <c r="FJ382" s="321" t="s">
        <v>25023</v>
      </c>
      <c r="FK382" s="214" t="s">
        <v>148</v>
      </c>
      <c r="FL382" s="214" t="s">
        <v>70</v>
      </c>
      <c r="FM382" s="214" t="s">
        <v>530</v>
      </c>
      <c r="FO382" s="321" t="s">
        <v>25024</v>
      </c>
      <c r="FP382" s="214" t="s">
        <v>485</v>
      </c>
      <c r="FQ382" s="214" t="s">
        <v>70</v>
      </c>
      <c r="FR382" s="214" t="s">
        <v>530</v>
      </c>
      <c r="FT382" s="321" t="s">
        <v>25025</v>
      </c>
      <c r="FU382" s="214" t="s">
        <v>163</v>
      </c>
      <c r="FV382" s="214" t="s">
        <v>70</v>
      </c>
      <c r="FW382" s="214" t="s">
        <v>530</v>
      </c>
      <c r="FY382" s="321" t="s">
        <v>25026</v>
      </c>
      <c r="FZ382" s="214" t="s">
        <v>483</v>
      </c>
      <c r="GA382" s="214" t="s">
        <v>70</v>
      </c>
      <c r="GB382" s="214" t="s">
        <v>530</v>
      </c>
      <c r="GD382" s="321" t="s">
        <v>25027</v>
      </c>
      <c r="GE382" s="214" t="s">
        <v>86</v>
      </c>
      <c r="GF382" s="214" t="s">
        <v>70</v>
      </c>
      <c r="GG382" s="214" t="s">
        <v>530</v>
      </c>
      <c r="GI382" s="321" t="s">
        <v>25028</v>
      </c>
      <c r="GJ382" s="214" t="s">
        <v>485</v>
      </c>
      <c r="GK382" s="214" t="s">
        <v>70</v>
      </c>
      <c r="GL382" s="214" t="s">
        <v>530</v>
      </c>
      <c r="GN382" s="321" t="s">
        <v>25029</v>
      </c>
      <c r="GO382" s="214" t="s">
        <v>598</v>
      </c>
      <c r="GP382" s="214" t="s">
        <v>70</v>
      </c>
      <c r="GQ382" s="214" t="s">
        <v>530</v>
      </c>
      <c r="GS382" s="321" t="s">
        <v>25030</v>
      </c>
      <c r="GT382" s="214" t="s">
        <v>52</v>
      </c>
      <c r="GU382" s="214" t="s">
        <v>70</v>
      </c>
      <c r="GV382" s="214" t="s">
        <v>530</v>
      </c>
      <c r="GX382" s="214" t="s">
        <v>25031</v>
      </c>
      <c r="GY382" s="214" t="s">
        <v>52</v>
      </c>
      <c r="GZ382" s="214" t="s">
        <v>70</v>
      </c>
      <c r="HA382" s="214" t="s">
        <v>530</v>
      </c>
      <c r="HC382" s="214" t="s">
        <v>25032</v>
      </c>
      <c r="HD382" s="214" t="s">
        <v>34574</v>
      </c>
      <c r="HE382" s="214" t="s">
        <v>70</v>
      </c>
      <c r="HF382" s="214" t="s">
        <v>530</v>
      </c>
      <c r="HH382" s="214" t="s">
        <v>25033</v>
      </c>
      <c r="HI382" s="214" t="s">
        <v>145</v>
      </c>
      <c r="HJ382" s="214" t="s">
        <v>70</v>
      </c>
      <c r="HK382" s="214" t="s">
        <v>530</v>
      </c>
      <c r="HM382" s="214" t="s">
        <v>25034</v>
      </c>
      <c r="HN382" s="214" t="s">
        <v>34073</v>
      </c>
      <c r="HO382" s="214" t="s">
        <v>70</v>
      </c>
      <c r="HP382" s="214" t="s">
        <v>530</v>
      </c>
      <c r="HR382" s="22" t="s">
        <v>25035</v>
      </c>
      <c r="HS382" s="22" t="s">
        <v>21742</v>
      </c>
      <c r="HT382" s="22" t="s">
        <v>70</v>
      </c>
      <c r="HU382" s="214" t="s">
        <v>530</v>
      </c>
      <c r="HW382" s="22" t="s">
        <v>25036</v>
      </c>
      <c r="HX382" s="22" t="s">
        <v>34593</v>
      </c>
      <c r="HY382" s="22" t="s">
        <v>70</v>
      </c>
      <c r="HZ382" s="214" t="s">
        <v>530</v>
      </c>
      <c r="IB382" s="22" t="s">
        <v>25037</v>
      </c>
      <c r="IC382" s="22" t="s">
        <v>916</v>
      </c>
      <c r="ID382" s="22" t="s">
        <v>70</v>
      </c>
      <c r="IE382" s="214" t="s">
        <v>530</v>
      </c>
      <c r="IG382" s="22" t="s">
        <v>25038</v>
      </c>
      <c r="IH382" s="22" t="s">
        <v>52</v>
      </c>
      <c r="II382" s="22" t="s">
        <v>70</v>
      </c>
      <c r="IJ382" s="214" t="s">
        <v>530</v>
      </c>
      <c r="IL382" s="22" t="s">
        <v>25039</v>
      </c>
      <c r="IM382" s="22" t="s">
        <v>145</v>
      </c>
      <c r="IN382" s="22" t="s">
        <v>70</v>
      </c>
      <c r="IO382" s="214" t="s">
        <v>530</v>
      </c>
      <c r="IQ382" s="236" t="s">
        <v>25040</v>
      </c>
      <c r="IR382" s="236" t="s">
        <v>145</v>
      </c>
      <c r="IS382" s="236" t="s">
        <v>74</v>
      </c>
      <c r="IT382" s="236" t="s">
        <v>841</v>
      </c>
      <c r="IV382" s="236" t="s">
        <v>25041</v>
      </c>
      <c r="IW382" s="236" t="s">
        <v>145</v>
      </c>
      <c r="IX382" s="236" t="s">
        <v>74</v>
      </c>
      <c r="IY382" s="236" t="s">
        <v>841</v>
      </c>
      <c r="JA382" s="236" t="s">
        <v>25042</v>
      </c>
      <c r="JB382" s="236" t="s">
        <v>145</v>
      </c>
      <c r="JC382" s="236" t="s">
        <v>74</v>
      </c>
      <c r="JD382" s="236" t="s">
        <v>841</v>
      </c>
      <c r="JF382" s="236" t="s">
        <v>25043</v>
      </c>
      <c r="JG382" s="236" t="s">
        <v>145</v>
      </c>
      <c r="JH382" s="236" t="s">
        <v>74</v>
      </c>
      <c r="JI382" s="236" t="s">
        <v>841</v>
      </c>
      <c r="JK382" s="236" t="s">
        <v>25044</v>
      </c>
      <c r="JL382" s="236" t="s">
        <v>145</v>
      </c>
      <c r="JM382" s="236" t="s">
        <v>74</v>
      </c>
      <c r="JN382" s="236" t="s">
        <v>841</v>
      </c>
      <c r="JP382" s="236" t="s">
        <v>25045</v>
      </c>
      <c r="JQ382" s="236" t="s">
        <v>145</v>
      </c>
      <c r="JR382" s="236" t="s">
        <v>74</v>
      </c>
      <c r="JS382" s="236" t="s">
        <v>841</v>
      </c>
      <c r="JU382" s="294" t="s">
        <v>25046</v>
      </c>
      <c r="JV382" s="294" t="s">
        <v>52</v>
      </c>
      <c r="JW382" s="263" t="s">
        <v>70</v>
      </c>
      <c r="JX382" s="294" t="s">
        <v>1083</v>
      </c>
      <c r="JZ382" s="263" t="s">
        <v>25047</v>
      </c>
      <c r="KA382" s="263" t="s">
        <v>145</v>
      </c>
      <c r="KB382" s="263" t="s">
        <v>70</v>
      </c>
      <c r="KC382" s="263" t="s">
        <v>1083</v>
      </c>
      <c r="KE382" s="263" t="s">
        <v>25048</v>
      </c>
      <c r="KF382" s="263" t="s">
        <v>52</v>
      </c>
      <c r="KG382" s="263" t="s">
        <v>70</v>
      </c>
      <c r="KH382" s="263" t="s">
        <v>1083</v>
      </c>
      <c r="KJ382" s="263" t="s">
        <v>25049</v>
      </c>
      <c r="KK382" s="263" t="s">
        <v>52</v>
      </c>
      <c r="KL382" s="263" t="s">
        <v>74</v>
      </c>
      <c r="KM382" s="263" t="s">
        <v>34074</v>
      </c>
      <c r="KO382" s="214" t="s">
        <v>25050</v>
      </c>
      <c r="KP382" s="214" t="s">
        <v>145</v>
      </c>
      <c r="KQ382" s="214" t="s">
        <v>70</v>
      </c>
      <c r="KR382" s="214" t="s">
        <v>67</v>
      </c>
      <c r="KT382" s="22" t="s">
        <v>25051</v>
      </c>
      <c r="KU382" s="22" t="s">
        <v>145</v>
      </c>
      <c r="KV382" s="22" t="s">
        <v>70</v>
      </c>
      <c r="KW382" s="22" t="s">
        <v>67</v>
      </c>
      <c r="KY382" s="214" t="s">
        <v>25052</v>
      </c>
      <c r="KZ382" s="214" t="s">
        <v>52</v>
      </c>
      <c r="LA382" s="214" t="s">
        <v>74</v>
      </c>
      <c r="LB382" s="214" t="s">
        <v>67</v>
      </c>
      <c r="LD382" s="22" t="s">
        <v>25053</v>
      </c>
      <c r="LE382" s="22" t="s">
        <v>145</v>
      </c>
      <c r="LF382" s="22" t="s">
        <v>70</v>
      </c>
      <c r="LG382" s="22" t="s">
        <v>67</v>
      </c>
    </row>
    <row r="383" spans="1:319">
      <c r="A383" s="22" t="s">
        <v>25054</v>
      </c>
      <c r="B383" s="22" t="s">
        <v>145</v>
      </c>
      <c r="C383" s="22" t="s">
        <v>70</v>
      </c>
      <c r="D383" s="22" t="s">
        <v>67</v>
      </c>
      <c r="F383" s="100" t="s">
        <v>25055</v>
      </c>
      <c r="G383" s="22" t="s">
        <v>145</v>
      </c>
      <c r="H383" s="22" t="s">
        <v>70</v>
      </c>
      <c r="I383" s="22" t="s">
        <v>67</v>
      </c>
      <c r="K383" s="99" t="s">
        <v>25056</v>
      </c>
      <c r="L383" s="22" t="s">
        <v>145</v>
      </c>
      <c r="M383" s="22" t="s">
        <v>70</v>
      </c>
      <c r="N383" s="22" t="s">
        <v>67</v>
      </c>
      <c r="P383" s="230" t="s">
        <v>25057</v>
      </c>
      <c r="Q383" s="218" t="s">
        <v>145</v>
      </c>
      <c r="R383" s="218" t="s">
        <v>72</v>
      </c>
      <c r="S383" s="218" t="s">
        <v>33984</v>
      </c>
      <c r="U383" s="293" t="s">
        <v>25058</v>
      </c>
      <c r="V383" s="293" t="s">
        <v>145</v>
      </c>
      <c r="W383" s="293" t="s">
        <v>74</v>
      </c>
      <c r="X383" s="293" t="s">
        <v>656</v>
      </c>
      <c r="Z383" s="293" t="s">
        <v>25059</v>
      </c>
      <c r="AA383" s="293" t="s">
        <v>145</v>
      </c>
      <c r="AB383" s="293" t="s">
        <v>74</v>
      </c>
      <c r="AC383" s="293" t="s">
        <v>656</v>
      </c>
      <c r="AE383" s="293" t="s">
        <v>25060</v>
      </c>
      <c r="AF383" s="293" t="s">
        <v>145</v>
      </c>
      <c r="AG383" s="293" t="s">
        <v>74</v>
      </c>
      <c r="AH383" s="293" t="s">
        <v>656</v>
      </c>
      <c r="AJ383" s="293" t="s">
        <v>25061</v>
      </c>
      <c r="AK383" s="293" t="s">
        <v>145</v>
      </c>
      <c r="AL383" s="293" t="s">
        <v>74</v>
      </c>
      <c r="AM383" s="293" t="s">
        <v>656</v>
      </c>
      <c r="AO383" s="22" t="s">
        <v>25062</v>
      </c>
      <c r="AP383" s="22" t="s">
        <v>145</v>
      </c>
      <c r="AQ383" s="22" t="s">
        <v>70</v>
      </c>
      <c r="AR383" s="22" t="s">
        <v>67</v>
      </c>
      <c r="AT383" s="22" t="s">
        <v>25063</v>
      </c>
      <c r="AU383" s="22" t="s">
        <v>145</v>
      </c>
      <c r="AV383" s="22" t="s">
        <v>70</v>
      </c>
      <c r="AW383" s="22" t="s">
        <v>67</v>
      </c>
      <c r="AY383" s="22" t="s">
        <v>25064</v>
      </c>
      <c r="AZ383" s="22" t="s">
        <v>145</v>
      </c>
      <c r="BA383" s="22" t="s">
        <v>70</v>
      </c>
      <c r="BB383" s="22" t="s">
        <v>67</v>
      </c>
      <c r="BD383" s="22" t="s">
        <v>25065</v>
      </c>
      <c r="BE383" s="22" t="s">
        <v>145</v>
      </c>
      <c r="BF383" s="22" t="s">
        <v>70</v>
      </c>
      <c r="BG383" s="22" t="s">
        <v>67</v>
      </c>
      <c r="BI383" s="22" t="s">
        <v>25066</v>
      </c>
      <c r="BJ383" s="22" t="s">
        <v>145</v>
      </c>
      <c r="BK383" s="22" t="s">
        <v>70</v>
      </c>
      <c r="BL383" s="22" t="s">
        <v>67</v>
      </c>
      <c r="BN383" s="22" t="s">
        <v>25067</v>
      </c>
      <c r="BO383" s="22" t="s">
        <v>145</v>
      </c>
      <c r="BP383" s="22" t="s">
        <v>70</v>
      </c>
      <c r="BQ383" s="22" t="s">
        <v>67</v>
      </c>
      <c r="BS383" s="22" t="s">
        <v>25068</v>
      </c>
      <c r="BT383" s="22" t="s">
        <v>145</v>
      </c>
      <c r="BU383" s="22" t="s">
        <v>70</v>
      </c>
      <c r="BV383" s="214" t="s">
        <v>530</v>
      </c>
      <c r="BX383" s="22" t="s">
        <v>25069</v>
      </c>
      <c r="BY383" s="22" t="s">
        <v>145</v>
      </c>
      <c r="BZ383" s="22" t="s">
        <v>70</v>
      </c>
      <c r="CA383" s="214" t="s">
        <v>530</v>
      </c>
      <c r="CC383" s="214" t="s">
        <v>25070</v>
      </c>
      <c r="CD383" s="218" t="s">
        <v>203</v>
      </c>
      <c r="CE383" s="214" t="s">
        <v>70</v>
      </c>
      <c r="CF383" s="214" t="s">
        <v>34189</v>
      </c>
      <c r="CH383" s="214" t="s">
        <v>25071</v>
      </c>
      <c r="CI383" s="214" t="s">
        <v>950</v>
      </c>
      <c r="CJ383" s="214" t="s">
        <v>70</v>
      </c>
      <c r="CK383" s="214" t="s">
        <v>530</v>
      </c>
      <c r="CM383" s="214" t="s">
        <v>25072</v>
      </c>
      <c r="CN383" s="214" t="s">
        <v>491</v>
      </c>
      <c r="CO383" s="214" t="s">
        <v>70</v>
      </c>
      <c r="CP383" s="214" t="s">
        <v>530</v>
      </c>
      <c r="CR383" s="214" t="s">
        <v>25073</v>
      </c>
      <c r="CS383" s="214" t="s">
        <v>484</v>
      </c>
      <c r="CT383" s="214" t="s">
        <v>70</v>
      </c>
      <c r="CU383" s="214" t="s">
        <v>530</v>
      </c>
      <c r="CW383" s="214" t="s">
        <v>25074</v>
      </c>
      <c r="CX383" s="214" t="s">
        <v>34551</v>
      </c>
      <c r="CY383" s="214" t="s">
        <v>70</v>
      </c>
      <c r="CZ383" s="214" t="s">
        <v>530</v>
      </c>
      <c r="DB383" s="214" t="s">
        <v>25075</v>
      </c>
      <c r="DC383" s="214" t="s">
        <v>468</v>
      </c>
      <c r="DD383" s="214" t="s">
        <v>70</v>
      </c>
      <c r="DE383" s="214" t="s">
        <v>530</v>
      </c>
      <c r="DG383" s="214" t="s">
        <v>25076</v>
      </c>
      <c r="DH383" s="214" t="s">
        <v>503</v>
      </c>
      <c r="DI383" s="214" t="s">
        <v>70</v>
      </c>
      <c r="DJ383" s="214" t="s">
        <v>530</v>
      </c>
      <c r="DL383" s="214" t="s">
        <v>25077</v>
      </c>
      <c r="DM383" s="214" t="s">
        <v>501</v>
      </c>
      <c r="DN383" s="214" t="s">
        <v>70</v>
      </c>
      <c r="DO383" s="214" t="s">
        <v>530</v>
      </c>
      <c r="DQ383" s="214" t="s">
        <v>25078</v>
      </c>
      <c r="DR383" s="214" t="s">
        <v>34539</v>
      </c>
      <c r="DS383" s="214" t="s">
        <v>70</v>
      </c>
      <c r="DT383" s="214" t="s">
        <v>530</v>
      </c>
      <c r="DV383" s="214" t="s">
        <v>25079</v>
      </c>
      <c r="DW383" s="214" t="s">
        <v>52</v>
      </c>
      <c r="DX383" s="214" t="s">
        <v>70</v>
      </c>
      <c r="DY383" s="214" t="s">
        <v>530</v>
      </c>
      <c r="EA383" s="214" t="s">
        <v>25080</v>
      </c>
      <c r="EB383" s="214" t="s">
        <v>488</v>
      </c>
      <c r="EC383" s="214" t="s">
        <v>70</v>
      </c>
      <c r="ED383" s="214" t="s">
        <v>530</v>
      </c>
      <c r="EF383" s="214" t="s">
        <v>25081</v>
      </c>
      <c r="EG383" s="214" t="s">
        <v>52</v>
      </c>
      <c r="EH383" s="214" t="s">
        <v>70</v>
      </c>
      <c r="EI383" s="214" t="s">
        <v>530</v>
      </c>
      <c r="EK383" s="214" t="s">
        <v>25082</v>
      </c>
      <c r="EL383" s="214" t="s">
        <v>34541</v>
      </c>
      <c r="EM383" s="214" t="s">
        <v>70</v>
      </c>
      <c r="EN383" s="214" t="s">
        <v>530</v>
      </c>
      <c r="EP383" s="214" t="s">
        <v>25083</v>
      </c>
      <c r="EQ383" s="214" t="s">
        <v>921</v>
      </c>
      <c r="ER383" s="214" t="s">
        <v>70</v>
      </c>
      <c r="ES383" s="214" t="s">
        <v>530</v>
      </c>
      <c r="EU383" s="214" t="s">
        <v>25084</v>
      </c>
      <c r="EV383" s="214" t="s">
        <v>492</v>
      </c>
      <c r="EW383" s="214" t="s">
        <v>70</v>
      </c>
      <c r="EX383" s="214" t="s">
        <v>530</v>
      </c>
      <c r="EZ383" s="214" t="s">
        <v>25085</v>
      </c>
      <c r="FA383" s="214" t="s">
        <v>146</v>
      </c>
      <c r="FB383" s="214" t="s">
        <v>70</v>
      </c>
      <c r="FC383" s="214" t="s">
        <v>530</v>
      </c>
      <c r="FE383" s="214" t="s">
        <v>25086</v>
      </c>
      <c r="FF383" s="214" t="s">
        <v>484</v>
      </c>
      <c r="FG383" s="214" t="s">
        <v>70</v>
      </c>
      <c r="FH383" s="214" t="s">
        <v>530</v>
      </c>
      <c r="FJ383" s="321" t="s">
        <v>25087</v>
      </c>
      <c r="FK383" s="214" t="s">
        <v>485</v>
      </c>
      <c r="FL383" s="214" t="s">
        <v>70</v>
      </c>
      <c r="FM383" s="214" t="s">
        <v>530</v>
      </c>
      <c r="FO383" s="321" t="s">
        <v>25088</v>
      </c>
      <c r="FP383" s="214" t="s">
        <v>912</v>
      </c>
      <c r="FQ383" s="214" t="s">
        <v>70</v>
      </c>
      <c r="FR383" s="214" t="s">
        <v>530</v>
      </c>
      <c r="FT383" s="321" t="s">
        <v>25089</v>
      </c>
      <c r="FU383" s="214" t="s">
        <v>950</v>
      </c>
      <c r="FV383" s="214" t="s">
        <v>70</v>
      </c>
      <c r="FW383" s="214" t="s">
        <v>530</v>
      </c>
      <c r="FY383" s="321" t="s">
        <v>25090</v>
      </c>
      <c r="FZ383" s="214" t="s">
        <v>34542</v>
      </c>
      <c r="GA383" s="214" t="s">
        <v>70</v>
      </c>
      <c r="GB383" s="214" t="s">
        <v>530</v>
      </c>
      <c r="GD383" s="321" t="s">
        <v>25091</v>
      </c>
      <c r="GE383" s="214" t="s">
        <v>484</v>
      </c>
      <c r="GF383" s="214" t="s">
        <v>70</v>
      </c>
      <c r="GG383" s="214" t="s">
        <v>530</v>
      </c>
      <c r="GI383" s="321" t="s">
        <v>25092</v>
      </c>
      <c r="GJ383" s="214" t="s">
        <v>52</v>
      </c>
      <c r="GK383" s="214" t="s">
        <v>70</v>
      </c>
      <c r="GL383" s="214" t="s">
        <v>530</v>
      </c>
      <c r="GN383" s="321" t="s">
        <v>25093</v>
      </c>
      <c r="GO383" s="214" t="s">
        <v>531</v>
      </c>
      <c r="GP383" s="214" t="s">
        <v>70</v>
      </c>
      <c r="GQ383" s="214" t="s">
        <v>530</v>
      </c>
      <c r="GS383" s="321" t="s">
        <v>25094</v>
      </c>
      <c r="GT383" s="214" t="s">
        <v>956</v>
      </c>
      <c r="GU383" s="214" t="s">
        <v>70</v>
      </c>
      <c r="GV383" s="214" t="s">
        <v>530</v>
      </c>
      <c r="GX383" s="214" t="s">
        <v>25095</v>
      </c>
      <c r="GY383" s="214" t="s">
        <v>52</v>
      </c>
      <c r="GZ383" s="214" t="s">
        <v>70</v>
      </c>
      <c r="HA383" s="214" t="s">
        <v>530</v>
      </c>
      <c r="HC383" s="214" t="s">
        <v>25096</v>
      </c>
      <c r="HD383" s="214" t="s">
        <v>488</v>
      </c>
      <c r="HE383" s="214" t="s">
        <v>70</v>
      </c>
      <c r="HF383" s="214" t="s">
        <v>530</v>
      </c>
      <c r="HH383" s="214" t="s">
        <v>25097</v>
      </c>
      <c r="HI383" s="214" t="s">
        <v>145</v>
      </c>
      <c r="HJ383" s="214" t="s">
        <v>70</v>
      </c>
      <c r="HK383" s="214" t="s">
        <v>530</v>
      </c>
      <c r="HM383" s="214" t="s">
        <v>25098</v>
      </c>
      <c r="HN383" s="214" t="s">
        <v>145</v>
      </c>
      <c r="HO383" s="214" t="s">
        <v>70</v>
      </c>
      <c r="HP383" s="214" t="s">
        <v>530</v>
      </c>
      <c r="HR383" s="22" t="s">
        <v>25099</v>
      </c>
      <c r="HS383" s="22" t="s">
        <v>85</v>
      </c>
      <c r="HT383" s="22" t="s">
        <v>70</v>
      </c>
      <c r="HU383" s="214" t="s">
        <v>530</v>
      </c>
      <c r="HW383" s="22" t="s">
        <v>25100</v>
      </c>
      <c r="HX383" s="22" t="s">
        <v>146</v>
      </c>
      <c r="HY383" s="22" t="s">
        <v>70</v>
      </c>
      <c r="HZ383" s="214" t="s">
        <v>530</v>
      </c>
      <c r="IB383" s="22" t="s">
        <v>25101</v>
      </c>
      <c r="IC383" s="22" t="s">
        <v>164</v>
      </c>
      <c r="ID383" s="22" t="s">
        <v>70</v>
      </c>
      <c r="IE383" s="214" t="s">
        <v>530</v>
      </c>
      <c r="IG383" s="22" t="s">
        <v>25102</v>
      </c>
      <c r="IH383" s="22" t="s">
        <v>52</v>
      </c>
      <c r="II383" s="22" t="s">
        <v>70</v>
      </c>
      <c r="IJ383" s="214" t="s">
        <v>530</v>
      </c>
      <c r="IL383" s="22" t="s">
        <v>25103</v>
      </c>
      <c r="IM383" s="22" t="s">
        <v>145</v>
      </c>
      <c r="IN383" s="22" t="s">
        <v>70</v>
      </c>
      <c r="IO383" s="214" t="s">
        <v>530</v>
      </c>
      <c r="IQ383" s="236" t="s">
        <v>25104</v>
      </c>
      <c r="IR383" s="236" t="s">
        <v>145</v>
      </c>
      <c r="IS383" s="236" t="s">
        <v>74</v>
      </c>
      <c r="IT383" s="236" t="s">
        <v>841</v>
      </c>
      <c r="IV383" s="236" t="s">
        <v>25105</v>
      </c>
      <c r="IW383" s="236" t="s">
        <v>145</v>
      </c>
      <c r="IX383" s="236" t="s">
        <v>74</v>
      </c>
      <c r="IY383" s="236" t="s">
        <v>841</v>
      </c>
      <c r="JA383" s="236" t="s">
        <v>25106</v>
      </c>
      <c r="JB383" s="236" t="s">
        <v>145</v>
      </c>
      <c r="JC383" s="236" t="s">
        <v>74</v>
      </c>
      <c r="JD383" s="236" t="s">
        <v>841</v>
      </c>
      <c r="JF383" s="236" t="s">
        <v>25107</v>
      </c>
      <c r="JG383" s="236" t="s">
        <v>145</v>
      </c>
      <c r="JH383" s="236" t="s">
        <v>74</v>
      </c>
      <c r="JI383" s="236" t="s">
        <v>841</v>
      </c>
      <c r="JK383" s="236" t="s">
        <v>25108</v>
      </c>
      <c r="JL383" s="236" t="s">
        <v>145</v>
      </c>
      <c r="JM383" s="236" t="s">
        <v>74</v>
      </c>
      <c r="JN383" s="236" t="s">
        <v>841</v>
      </c>
      <c r="JP383" s="236" t="s">
        <v>25109</v>
      </c>
      <c r="JQ383" s="236" t="s">
        <v>145</v>
      </c>
      <c r="JR383" s="236" t="s">
        <v>74</v>
      </c>
      <c r="JS383" s="236" t="s">
        <v>841</v>
      </c>
      <c r="JU383" s="294" t="s">
        <v>25110</v>
      </c>
      <c r="JV383" s="294" t="s">
        <v>52</v>
      </c>
      <c r="JW383" s="263" t="s">
        <v>70</v>
      </c>
      <c r="JX383" s="294" t="s">
        <v>1083</v>
      </c>
      <c r="JZ383" s="263" t="s">
        <v>25111</v>
      </c>
      <c r="KA383" s="263" t="s">
        <v>145</v>
      </c>
      <c r="KB383" s="263" t="s">
        <v>70</v>
      </c>
      <c r="KC383" s="263" t="s">
        <v>1083</v>
      </c>
      <c r="KE383" s="263" t="s">
        <v>25112</v>
      </c>
      <c r="KF383" s="263" t="s">
        <v>52</v>
      </c>
      <c r="KG383" s="263" t="s">
        <v>70</v>
      </c>
      <c r="KH383" s="263" t="s">
        <v>1083</v>
      </c>
      <c r="KJ383" s="263" t="s">
        <v>25113</v>
      </c>
      <c r="KK383" s="263" t="s">
        <v>52</v>
      </c>
      <c r="KL383" s="263" t="s">
        <v>74</v>
      </c>
      <c r="KM383" s="263" t="s">
        <v>34074</v>
      </c>
      <c r="KO383" s="214" t="s">
        <v>25114</v>
      </c>
      <c r="KP383" s="214" t="s">
        <v>145</v>
      </c>
      <c r="KQ383" s="214" t="s">
        <v>70</v>
      </c>
      <c r="KR383" s="214" t="s">
        <v>67</v>
      </c>
      <c r="KT383" s="22" t="s">
        <v>25115</v>
      </c>
      <c r="KU383" s="22" t="s">
        <v>145</v>
      </c>
      <c r="KV383" s="22" t="s">
        <v>70</v>
      </c>
      <c r="KW383" s="22" t="s">
        <v>67</v>
      </c>
      <c r="KY383" s="214" t="s">
        <v>25116</v>
      </c>
      <c r="KZ383" s="214" t="s">
        <v>52</v>
      </c>
      <c r="LA383" s="214" t="s">
        <v>74</v>
      </c>
      <c r="LB383" s="214" t="s">
        <v>67</v>
      </c>
      <c r="LD383" s="22" t="s">
        <v>25117</v>
      </c>
      <c r="LE383" s="22" t="s">
        <v>145</v>
      </c>
      <c r="LF383" s="22" t="s">
        <v>70</v>
      </c>
      <c r="LG383" s="22" t="s">
        <v>67</v>
      </c>
    </row>
    <row r="384" spans="1:319">
      <c r="A384" s="22" t="s">
        <v>25118</v>
      </c>
      <c r="B384" s="22" t="s">
        <v>145</v>
      </c>
      <c r="C384" s="22" t="s">
        <v>70</v>
      </c>
      <c r="D384" s="22" t="s">
        <v>67</v>
      </c>
      <c r="F384" s="101" t="s">
        <v>25119</v>
      </c>
      <c r="G384" s="22" t="s">
        <v>145</v>
      </c>
      <c r="H384" s="22" t="s">
        <v>70</v>
      </c>
      <c r="I384" s="22" t="s">
        <v>67</v>
      </c>
      <c r="K384" s="99" t="s">
        <v>25120</v>
      </c>
      <c r="L384" s="22" t="s">
        <v>145</v>
      </c>
      <c r="M384" s="22" t="s">
        <v>70</v>
      </c>
      <c r="N384" s="22" t="s">
        <v>67</v>
      </c>
      <c r="P384" s="230" t="s">
        <v>25121</v>
      </c>
      <c r="Q384" s="218" t="s">
        <v>145</v>
      </c>
      <c r="R384" s="218" t="s">
        <v>72</v>
      </c>
      <c r="S384" s="218" t="s">
        <v>33985</v>
      </c>
      <c r="U384" s="293" t="s">
        <v>25122</v>
      </c>
      <c r="V384" s="293" t="s">
        <v>145</v>
      </c>
      <c r="W384" s="293" t="s">
        <v>74</v>
      </c>
      <c r="X384" s="293" t="s">
        <v>656</v>
      </c>
      <c r="Z384" s="293" t="s">
        <v>25123</v>
      </c>
      <c r="AA384" s="293" t="s">
        <v>145</v>
      </c>
      <c r="AB384" s="293" t="s">
        <v>74</v>
      </c>
      <c r="AC384" s="293" t="s">
        <v>656</v>
      </c>
      <c r="AE384" s="293" t="s">
        <v>25124</v>
      </c>
      <c r="AF384" s="293" t="s">
        <v>145</v>
      </c>
      <c r="AG384" s="293" t="s">
        <v>74</v>
      </c>
      <c r="AH384" s="293" t="s">
        <v>656</v>
      </c>
      <c r="AJ384" s="293" t="s">
        <v>25125</v>
      </c>
      <c r="AK384" s="293" t="s">
        <v>145</v>
      </c>
      <c r="AL384" s="293" t="s">
        <v>74</v>
      </c>
      <c r="AM384" s="293" t="s">
        <v>656</v>
      </c>
      <c r="AO384" s="22" t="s">
        <v>25126</v>
      </c>
      <c r="AP384" s="22" t="s">
        <v>145</v>
      </c>
      <c r="AQ384" s="22" t="s">
        <v>70</v>
      </c>
      <c r="AR384" s="22" t="s">
        <v>67</v>
      </c>
      <c r="AT384" s="22" t="s">
        <v>25127</v>
      </c>
      <c r="AU384" s="22" t="s">
        <v>145</v>
      </c>
      <c r="AV384" s="22" t="s">
        <v>70</v>
      </c>
      <c r="AW384" s="22" t="s">
        <v>67</v>
      </c>
      <c r="AY384" s="22" t="s">
        <v>25128</v>
      </c>
      <c r="AZ384" s="22" t="s">
        <v>145</v>
      </c>
      <c r="BA384" s="22" t="s">
        <v>70</v>
      </c>
      <c r="BB384" s="22" t="s">
        <v>67</v>
      </c>
      <c r="BD384" s="22" t="s">
        <v>25129</v>
      </c>
      <c r="BE384" s="22" t="s">
        <v>145</v>
      </c>
      <c r="BF384" s="22" t="s">
        <v>70</v>
      </c>
      <c r="BG384" s="22" t="s">
        <v>67</v>
      </c>
      <c r="BI384" s="22" t="s">
        <v>25130</v>
      </c>
      <c r="BJ384" s="22" t="s">
        <v>145</v>
      </c>
      <c r="BK384" s="22" t="s">
        <v>70</v>
      </c>
      <c r="BL384" s="22" t="s">
        <v>67</v>
      </c>
      <c r="BN384" s="22" t="s">
        <v>25131</v>
      </c>
      <c r="BO384" s="22" t="s">
        <v>145</v>
      </c>
      <c r="BP384" s="22" t="s">
        <v>70</v>
      </c>
      <c r="BQ384" s="22" t="s">
        <v>67</v>
      </c>
      <c r="BS384" s="22" t="s">
        <v>25132</v>
      </c>
      <c r="BT384" s="22" t="s">
        <v>145</v>
      </c>
      <c r="BU384" s="22" t="s">
        <v>70</v>
      </c>
      <c r="BV384" s="214" t="s">
        <v>530</v>
      </c>
      <c r="BX384" s="22" t="s">
        <v>25133</v>
      </c>
      <c r="BY384" s="22" t="s">
        <v>145</v>
      </c>
      <c r="BZ384" s="22" t="s">
        <v>70</v>
      </c>
      <c r="CA384" s="214" t="s">
        <v>530</v>
      </c>
      <c r="CC384" s="214" t="s">
        <v>25134</v>
      </c>
      <c r="CD384" s="218" t="s">
        <v>655</v>
      </c>
      <c r="CE384" s="214" t="s">
        <v>70</v>
      </c>
      <c r="CF384" s="214" t="s">
        <v>34190</v>
      </c>
      <c r="CH384" s="214" t="s">
        <v>25135</v>
      </c>
      <c r="CI384" s="214" t="s">
        <v>34572</v>
      </c>
      <c r="CJ384" s="214" t="s">
        <v>70</v>
      </c>
      <c r="CK384" s="214" t="s">
        <v>530</v>
      </c>
      <c r="CM384" s="214" t="s">
        <v>25136</v>
      </c>
      <c r="CN384" s="214" t="s">
        <v>488</v>
      </c>
      <c r="CO384" s="214" t="s">
        <v>70</v>
      </c>
      <c r="CP384" s="214" t="s">
        <v>530</v>
      </c>
      <c r="CR384" s="214" t="s">
        <v>25137</v>
      </c>
      <c r="CS384" s="214" t="s">
        <v>497</v>
      </c>
      <c r="CT384" s="214" t="s">
        <v>70</v>
      </c>
      <c r="CU384" s="214" t="s">
        <v>530</v>
      </c>
      <c r="CW384" s="214" t="s">
        <v>25138</v>
      </c>
      <c r="CX384" s="214" t="s">
        <v>34584</v>
      </c>
      <c r="CY384" s="214" t="s">
        <v>70</v>
      </c>
      <c r="CZ384" s="214" t="s">
        <v>530</v>
      </c>
      <c r="DB384" s="214" t="s">
        <v>25139</v>
      </c>
      <c r="DC384" s="214" t="s">
        <v>148</v>
      </c>
      <c r="DD384" s="214" t="s">
        <v>70</v>
      </c>
      <c r="DE384" s="214" t="s">
        <v>530</v>
      </c>
      <c r="DG384" s="214" t="s">
        <v>25140</v>
      </c>
      <c r="DH384" s="214" t="s">
        <v>485</v>
      </c>
      <c r="DI384" s="214" t="s">
        <v>70</v>
      </c>
      <c r="DJ384" s="214" t="s">
        <v>530</v>
      </c>
      <c r="DL384" s="214" t="s">
        <v>25141</v>
      </c>
      <c r="DM384" s="214" t="s">
        <v>148</v>
      </c>
      <c r="DN384" s="214" t="s">
        <v>70</v>
      </c>
      <c r="DO384" s="214" t="s">
        <v>530</v>
      </c>
      <c r="DQ384" s="214" t="s">
        <v>25142</v>
      </c>
      <c r="DR384" s="214" t="s">
        <v>911</v>
      </c>
      <c r="DS384" s="214" t="s">
        <v>70</v>
      </c>
      <c r="DT384" s="214" t="s">
        <v>530</v>
      </c>
      <c r="DV384" s="214" t="s">
        <v>25143</v>
      </c>
      <c r="DW384" s="214" t="s">
        <v>10541</v>
      </c>
      <c r="DX384" s="214" t="s">
        <v>70</v>
      </c>
      <c r="DY384" s="214" t="s">
        <v>530</v>
      </c>
      <c r="EA384" s="214" t="s">
        <v>25144</v>
      </c>
      <c r="EB384" s="214" t="s">
        <v>52</v>
      </c>
      <c r="EC384" s="214" t="s">
        <v>70</v>
      </c>
      <c r="ED384" s="214" t="s">
        <v>530</v>
      </c>
      <c r="EF384" s="214" t="s">
        <v>25145</v>
      </c>
      <c r="EG384" s="214" t="s">
        <v>484</v>
      </c>
      <c r="EH384" s="214" t="s">
        <v>70</v>
      </c>
      <c r="EI384" s="214" t="s">
        <v>530</v>
      </c>
      <c r="EK384" s="214" t="s">
        <v>25146</v>
      </c>
      <c r="EL384" s="214" t="s">
        <v>34567</v>
      </c>
      <c r="EM384" s="214" t="s">
        <v>70</v>
      </c>
      <c r="EN384" s="214" t="s">
        <v>530</v>
      </c>
      <c r="EP384" s="214" t="s">
        <v>25147</v>
      </c>
      <c r="EQ384" s="214" t="s">
        <v>34539</v>
      </c>
      <c r="ER384" s="214" t="s">
        <v>70</v>
      </c>
      <c r="ES384" s="214" t="s">
        <v>530</v>
      </c>
      <c r="EU384" s="214" t="s">
        <v>25148</v>
      </c>
      <c r="EV384" s="214" t="s">
        <v>88</v>
      </c>
      <c r="EW384" s="214" t="s">
        <v>70</v>
      </c>
      <c r="EX384" s="214" t="s">
        <v>530</v>
      </c>
      <c r="EZ384" s="214" t="s">
        <v>25149</v>
      </c>
      <c r="FA384" s="214" t="s">
        <v>52</v>
      </c>
      <c r="FB384" s="214" t="s">
        <v>70</v>
      </c>
      <c r="FC384" s="214" t="s">
        <v>530</v>
      </c>
      <c r="FE384" s="214" t="s">
        <v>25150</v>
      </c>
      <c r="FF384" s="214" t="s">
        <v>488</v>
      </c>
      <c r="FG384" s="214" t="s">
        <v>70</v>
      </c>
      <c r="FH384" s="214" t="s">
        <v>530</v>
      </c>
      <c r="FJ384" s="321" t="s">
        <v>25151</v>
      </c>
      <c r="FK384" s="214" t="s">
        <v>52</v>
      </c>
      <c r="FL384" s="214" t="s">
        <v>70</v>
      </c>
      <c r="FM384" s="214" t="s">
        <v>530</v>
      </c>
      <c r="FO384" s="321" t="s">
        <v>25152</v>
      </c>
      <c r="FP384" s="214" t="s">
        <v>205</v>
      </c>
      <c r="FQ384" s="214" t="s">
        <v>70</v>
      </c>
      <c r="FR384" s="214" t="s">
        <v>530</v>
      </c>
      <c r="FT384" s="321" t="s">
        <v>25153</v>
      </c>
      <c r="FU384" s="214" t="s">
        <v>164</v>
      </c>
      <c r="FV384" s="214" t="s">
        <v>70</v>
      </c>
      <c r="FW384" s="214" t="s">
        <v>530</v>
      </c>
      <c r="FY384" s="321" t="s">
        <v>25154</v>
      </c>
      <c r="FZ384" s="214" t="s">
        <v>918</v>
      </c>
      <c r="GA384" s="214" t="s">
        <v>70</v>
      </c>
      <c r="GB384" s="214" t="s">
        <v>530</v>
      </c>
      <c r="GD384" s="321" t="s">
        <v>25155</v>
      </c>
      <c r="GE384" s="214" t="s">
        <v>87</v>
      </c>
      <c r="GF384" s="214" t="s">
        <v>70</v>
      </c>
      <c r="GG384" s="214" t="s">
        <v>530</v>
      </c>
      <c r="GI384" s="321" t="s">
        <v>25156</v>
      </c>
      <c r="GJ384" s="214" t="s">
        <v>34556</v>
      </c>
      <c r="GK384" s="214" t="s">
        <v>70</v>
      </c>
      <c r="GL384" s="214" t="s">
        <v>530</v>
      </c>
      <c r="GN384" s="321" t="s">
        <v>25157</v>
      </c>
      <c r="GO384" s="214" t="s">
        <v>34583</v>
      </c>
      <c r="GP384" s="214" t="s">
        <v>70</v>
      </c>
      <c r="GQ384" s="214" t="s">
        <v>530</v>
      </c>
      <c r="GS384" s="321" t="s">
        <v>25158</v>
      </c>
      <c r="GT384" s="214" t="s">
        <v>52</v>
      </c>
      <c r="GU384" s="214" t="s">
        <v>70</v>
      </c>
      <c r="GV384" s="214" t="s">
        <v>530</v>
      </c>
      <c r="GX384" s="214" t="s">
        <v>25159</v>
      </c>
      <c r="GY384" s="214" t="s">
        <v>52</v>
      </c>
      <c r="GZ384" s="214" t="s">
        <v>70</v>
      </c>
      <c r="HA384" s="214" t="s">
        <v>530</v>
      </c>
      <c r="HC384" s="214" t="s">
        <v>25160</v>
      </c>
      <c r="HD384" s="214" t="s">
        <v>912</v>
      </c>
      <c r="HE384" s="214" t="s">
        <v>70</v>
      </c>
      <c r="HF384" s="214" t="s">
        <v>530</v>
      </c>
      <c r="HH384" s="214" t="s">
        <v>25161</v>
      </c>
      <c r="HI384" s="214" t="s">
        <v>149</v>
      </c>
      <c r="HJ384" s="214" t="s">
        <v>70</v>
      </c>
      <c r="HK384" s="214" t="s">
        <v>530</v>
      </c>
      <c r="HM384" s="214" t="s">
        <v>25162</v>
      </c>
      <c r="HN384" s="214" t="s">
        <v>148</v>
      </c>
      <c r="HO384" s="214" t="s">
        <v>70</v>
      </c>
      <c r="HP384" s="214" t="s">
        <v>530</v>
      </c>
      <c r="HR384" s="22" t="s">
        <v>25163</v>
      </c>
      <c r="HS384" s="22" t="s">
        <v>148</v>
      </c>
      <c r="HT384" s="22" t="s">
        <v>70</v>
      </c>
      <c r="HU384" s="214" t="s">
        <v>530</v>
      </c>
      <c r="HW384" s="22" t="s">
        <v>25164</v>
      </c>
      <c r="HX384" s="22" t="s">
        <v>937</v>
      </c>
      <c r="HY384" s="22" t="s">
        <v>70</v>
      </c>
      <c r="HZ384" s="214" t="s">
        <v>530</v>
      </c>
      <c r="IB384" s="22" t="s">
        <v>25165</v>
      </c>
      <c r="IC384" s="22" t="s">
        <v>944</v>
      </c>
      <c r="ID384" s="22" t="s">
        <v>70</v>
      </c>
      <c r="IE384" s="214" t="s">
        <v>530</v>
      </c>
      <c r="IG384" s="22" t="s">
        <v>25166</v>
      </c>
      <c r="IH384" s="22" t="s">
        <v>52</v>
      </c>
      <c r="II384" s="22" t="s">
        <v>70</v>
      </c>
      <c r="IJ384" s="214" t="s">
        <v>530</v>
      </c>
      <c r="IL384" s="22" t="s">
        <v>25167</v>
      </c>
      <c r="IM384" s="22" t="s">
        <v>145</v>
      </c>
      <c r="IN384" s="22" t="s">
        <v>70</v>
      </c>
      <c r="IO384" s="214" t="s">
        <v>530</v>
      </c>
      <c r="IQ384" s="236" t="s">
        <v>25168</v>
      </c>
      <c r="IR384" s="236" t="s">
        <v>145</v>
      </c>
      <c r="IS384" s="236" t="s">
        <v>74</v>
      </c>
      <c r="IT384" s="236" t="s">
        <v>841</v>
      </c>
      <c r="IV384" s="236" t="s">
        <v>25169</v>
      </c>
      <c r="IW384" s="236" t="s">
        <v>145</v>
      </c>
      <c r="IX384" s="236" t="s">
        <v>74</v>
      </c>
      <c r="IY384" s="236" t="s">
        <v>841</v>
      </c>
      <c r="JA384" s="236" t="s">
        <v>25170</v>
      </c>
      <c r="JB384" s="236" t="s">
        <v>145</v>
      </c>
      <c r="JC384" s="236" t="s">
        <v>74</v>
      </c>
      <c r="JD384" s="236" t="s">
        <v>841</v>
      </c>
      <c r="JF384" s="236" t="s">
        <v>25171</v>
      </c>
      <c r="JG384" s="236" t="s">
        <v>145</v>
      </c>
      <c r="JH384" s="236" t="s">
        <v>74</v>
      </c>
      <c r="JI384" s="236" t="s">
        <v>841</v>
      </c>
      <c r="JK384" s="236" t="s">
        <v>25172</v>
      </c>
      <c r="JL384" s="236" t="s">
        <v>145</v>
      </c>
      <c r="JM384" s="236" t="s">
        <v>74</v>
      </c>
      <c r="JN384" s="236" t="s">
        <v>841</v>
      </c>
      <c r="JP384" s="236" t="s">
        <v>25173</v>
      </c>
      <c r="JQ384" s="236" t="s">
        <v>145</v>
      </c>
      <c r="JR384" s="236" t="s">
        <v>74</v>
      </c>
      <c r="JS384" s="236" t="s">
        <v>841</v>
      </c>
      <c r="JU384" s="294" t="s">
        <v>25174</v>
      </c>
      <c r="JV384" s="294" t="s">
        <v>52</v>
      </c>
      <c r="JW384" s="263" t="s">
        <v>70</v>
      </c>
      <c r="JX384" s="294" t="s">
        <v>1083</v>
      </c>
      <c r="JZ384" s="263" t="s">
        <v>25175</v>
      </c>
      <c r="KA384" s="263" t="s">
        <v>145</v>
      </c>
      <c r="KB384" s="263" t="s">
        <v>70</v>
      </c>
      <c r="KC384" s="263" t="s">
        <v>1083</v>
      </c>
      <c r="KE384" s="263" t="s">
        <v>25176</v>
      </c>
      <c r="KF384" s="263" t="s">
        <v>52</v>
      </c>
      <c r="KG384" s="263" t="s">
        <v>70</v>
      </c>
      <c r="KH384" s="263" t="s">
        <v>1083</v>
      </c>
      <c r="KJ384" s="263" t="s">
        <v>25177</v>
      </c>
      <c r="KK384" s="263" t="s">
        <v>52</v>
      </c>
      <c r="KL384" s="263" t="s">
        <v>74</v>
      </c>
      <c r="KM384" s="263" t="s">
        <v>34074</v>
      </c>
      <c r="KO384" s="214" t="s">
        <v>25178</v>
      </c>
      <c r="KP384" s="214" t="s">
        <v>145</v>
      </c>
      <c r="KQ384" s="214" t="s">
        <v>70</v>
      </c>
      <c r="KR384" s="214" t="s">
        <v>67</v>
      </c>
      <c r="KT384" s="22" t="s">
        <v>25179</v>
      </c>
      <c r="KU384" s="22" t="s">
        <v>145</v>
      </c>
      <c r="KV384" s="22" t="s">
        <v>70</v>
      </c>
      <c r="KW384" s="22" t="s">
        <v>67</v>
      </c>
      <c r="KY384" s="214" t="s">
        <v>25180</v>
      </c>
      <c r="KZ384" s="214" t="s">
        <v>52</v>
      </c>
      <c r="LA384" s="214" t="s">
        <v>74</v>
      </c>
      <c r="LB384" s="214" t="s">
        <v>67</v>
      </c>
      <c r="LD384" s="22" t="s">
        <v>25181</v>
      </c>
      <c r="LE384" s="22" t="s">
        <v>145</v>
      </c>
      <c r="LF384" s="22" t="s">
        <v>70</v>
      </c>
      <c r="LG384" s="22" t="s">
        <v>67</v>
      </c>
    </row>
    <row r="385" spans="1:319">
      <c r="A385" s="22" t="s">
        <v>25182</v>
      </c>
      <c r="B385" s="22" t="s">
        <v>145</v>
      </c>
      <c r="C385" s="22" t="s">
        <v>70</v>
      </c>
      <c r="D385" s="22" t="s">
        <v>67</v>
      </c>
      <c r="F385" s="101" t="s">
        <v>25183</v>
      </c>
      <c r="G385" s="22" t="s">
        <v>145</v>
      </c>
      <c r="H385" s="22" t="s">
        <v>70</v>
      </c>
      <c r="I385" s="22" t="s">
        <v>67</v>
      </c>
      <c r="K385" s="99" t="s">
        <v>25184</v>
      </c>
      <c r="L385" s="22" t="s">
        <v>145</v>
      </c>
      <c r="M385" s="22" t="s">
        <v>70</v>
      </c>
      <c r="N385" s="22" t="s">
        <v>67</v>
      </c>
      <c r="P385" s="230" t="s">
        <v>25185</v>
      </c>
      <c r="Q385" s="218" t="s">
        <v>145</v>
      </c>
      <c r="R385" s="218" t="s">
        <v>72</v>
      </c>
      <c r="S385" s="218" t="s">
        <v>33986</v>
      </c>
      <c r="U385" s="293" t="s">
        <v>25186</v>
      </c>
      <c r="V385" s="293" t="s">
        <v>145</v>
      </c>
      <c r="W385" s="293" t="s">
        <v>74</v>
      </c>
      <c r="X385" s="293" t="s">
        <v>656</v>
      </c>
      <c r="Z385" s="293" t="s">
        <v>25187</v>
      </c>
      <c r="AA385" s="293" t="s">
        <v>145</v>
      </c>
      <c r="AB385" s="293" t="s">
        <v>74</v>
      </c>
      <c r="AC385" s="293" t="s">
        <v>656</v>
      </c>
      <c r="AE385" s="293" t="s">
        <v>25188</v>
      </c>
      <c r="AF385" s="293" t="s">
        <v>145</v>
      </c>
      <c r="AG385" s="293" t="s">
        <v>74</v>
      </c>
      <c r="AH385" s="293" t="s">
        <v>656</v>
      </c>
      <c r="AJ385" s="293" t="s">
        <v>25189</v>
      </c>
      <c r="AK385" s="293" t="s">
        <v>145</v>
      </c>
      <c r="AL385" s="293" t="s">
        <v>74</v>
      </c>
      <c r="AM385" s="293" t="s">
        <v>656</v>
      </c>
      <c r="AO385" s="22" t="s">
        <v>25190</v>
      </c>
      <c r="AP385" s="22" t="s">
        <v>145</v>
      </c>
      <c r="AQ385" s="22" t="s">
        <v>70</v>
      </c>
      <c r="AR385" s="22" t="s">
        <v>67</v>
      </c>
      <c r="AT385" s="22" t="s">
        <v>25191</v>
      </c>
      <c r="AU385" s="22" t="s">
        <v>145</v>
      </c>
      <c r="AV385" s="22" t="s">
        <v>70</v>
      </c>
      <c r="AW385" s="22" t="s">
        <v>67</v>
      </c>
      <c r="AY385" s="22" t="s">
        <v>25192</v>
      </c>
      <c r="AZ385" s="22" t="s">
        <v>145</v>
      </c>
      <c r="BA385" s="22" t="s">
        <v>70</v>
      </c>
      <c r="BB385" s="22" t="s">
        <v>67</v>
      </c>
      <c r="BD385" s="22" t="s">
        <v>25193</v>
      </c>
      <c r="BE385" s="22" t="s">
        <v>145</v>
      </c>
      <c r="BF385" s="22" t="s">
        <v>70</v>
      </c>
      <c r="BG385" s="22" t="s">
        <v>67</v>
      </c>
      <c r="BI385" s="22" t="s">
        <v>25194</v>
      </c>
      <c r="BJ385" s="22" t="s">
        <v>145</v>
      </c>
      <c r="BK385" s="22" t="s">
        <v>70</v>
      </c>
      <c r="BL385" s="22" t="s">
        <v>67</v>
      </c>
      <c r="BN385" s="22" t="s">
        <v>25195</v>
      </c>
      <c r="BO385" s="22" t="s">
        <v>145</v>
      </c>
      <c r="BP385" s="22" t="s">
        <v>70</v>
      </c>
      <c r="BQ385" s="22" t="s">
        <v>67</v>
      </c>
      <c r="BS385" s="22" t="s">
        <v>25196</v>
      </c>
      <c r="BT385" s="22" t="s">
        <v>145</v>
      </c>
      <c r="BU385" s="22" t="s">
        <v>70</v>
      </c>
      <c r="BV385" s="214" t="s">
        <v>530</v>
      </c>
      <c r="BX385" s="22" t="s">
        <v>25197</v>
      </c>
      <c r="BY385" s="22" t="s">
        <v>145</v>
      </c>
      <c r="BZ385" s="22" t="s">
        <v>70</v>
      </c>
      <c r="CA385" s="214" t="s">
        <v>530</v>
      </c>
      <c r="CC385" s="214" t="s">
        <v>25198</v>
      </c>
      <c r="CD385" s="218" t="s">
        <v>34552</v>
      </c>
      <c r="CE385" s="214" t="s">
        <v>70</v>
      </c>
      <c r="CF385" s="214" t="s">
        <v>34191</v>
      </c>
      <c r="CH385" s="214" t="s">
        <v>25199</v>
      </c>
      <c r="CI385" s="214" t="s">
        <v>501</v>
      </c>
      <c r="CJ385" s="214" t="s">
        <v>70</v>
      </c>
      <c r="CK385" s="214" t="s">
        <v>530</v>
      </c>
      <c r="CM385" s="214" t="s">
        <v>25200</v>
      </c>
      <c r="CN385" s="214" t="s">
        <v>488</v>
      </c>
      <c r="CO385" s="214" t="s">
        <v>70</v>
      </c>
      <c r="CP385" s="214" t="s">
        <v>530</v>
      </c>
      <c r="CR385" s="214" t="s">
        <v>25201</v>
      </c>
      <c r="CS385" s="214" t="s">
        <v>146</v>
      </c>
      <c r="CT385" s="214" t="s">
        <v>70</v>
      </c>
      <c r="CU385" s="214" t="s">
        <v>530</v>
      </c>
      <c r="CW385" s="214" t="s">
        <v>25202</v>
      </c>
      <c r="CX385" s="214" t="s">
        <v>491</v>
      </c>
      <c r="CY385" s="214" t="s">
        <v>70</v>
      </c>
      <c r="CZ385" s="214" t="s">
        <v>530</v>
      </c>
      <c r="DB385" s="214" t="s">
        <v>25203</v>
      </c>
      <c r="DC385" s="214" t="s">
        <v>950</v>
      </c>
      <c r="DD385" s="214" t="s">
        <v>70</v>
      </c>
      <c r="DE385" s="214" t="s">
        <v>530</v>
      </c>
      <c r="DG385" s="214" t="s">
        <v>25204</v>
      </c>
      <c r="DH385" s="214" t="s">
        <v>52</v>
      </c>
      <c r="DI385" s="214" t="s">
        <v>70</v>
      </c>
      <c r="DJ385" s="214" t="s">
        <v>530</v>
      </c>
      <c r="DL385" s="214" t="s">
        <v>25205</v>
      </c>
      <c r="DM385" s="214" t="s">
        <v>34580</v>
      </c>
      <c r="DN385" s="214" t="s">
        <v>70</v>
      </c>
      <c r="DO385" s="214" t="s">
        <v>530</v>
      </c>
      <c r="DQ385" s="214" t="s">
        <v>25206</v>
      </c>
      <c r="DR385" s="214" t="s">
        <v>486</v>
      </c>
      <c r="DS385" s="214" t="s">
        <v>70</v>
      </c>
      <c r="DT385" s="214" t="s">
        <v>530</v>
      </c>
      <c r="DV385" s="214" t="s">
        <v>25207</v>
      </c>
      <c r="DW385" s="214" t="s">
        <v>599</v>
      </c>
      <c r="DX385" s="214" t="s">
        <v>70</v>
      </c>
      <c r="DY385" s="214" t="s">
        <v>530</v>
      </c>
      <c r="EA385" s="214" t="s">
        <v>25208</v>
      </c>
      <c r="EB385" s="214" t="s">
        <v>531</v>
      </c>
      <c r="EC385" s="214" t="s">
        <v>70</v>
      </c>
      <c r="ED385" s="214" t="s">
        <v>530</v>
      </c>
      <c r="EF385" s="214" t="s">
        <v>25209</v>
      </c>
      <c r="EG385" s="214" t="s">
        <v>926</v>
      </c>
      <c r="EH385" s="214" t="s">
        <v>70</v>
      </c>
      <c r="EI385" s="214" t="s">
        <v>530</v>
      </c>
      <c r="EK385" s="214" t="s">
        <v>25210</v>
      </c>
      <c r="EL385" s="214" t="s">
        <v>34556</v>
      </c>
      <c r="EM385" s="214" t="s">
        <v>70</v>
      </c>
      <c r="EN385" s="214" t="s">
        <v>530</v>
      </c>
      <c r="EP385" s="214" t="s">
        <v>25211</v>
      </c>
      <c r="EQ385" s="214" t="s">
        <v>34544</v>
      </c>
      <c r="ER385" s="214" t="s">
        <v>70</v>
      </c>
      <c r="ES385" s="214" t="s">
        <v>530</v>
      </c>
      <c r="EU385" s="214" t="s">
        <v>25212</v>
      </c>
      <c r="EV385" s="214" t="s">
        <v>488</v>
      </c>
      <c r="EW385" s="214" t="s">
        <v>70</v>
      </c>
      <c r="EX385" s="214" t="s">
        <v>530</v>
      </c>
      <c r="EZ385" s="214" t="s">
        <v>25213</v>
      </c>
      <c r="FA385" s="214" t="s">
        <v>163</v>
      </c>
      <c r="FB385" s="214" t="s">
        <v>70</v>
      </c>
      <c r="FC385" s="214" t="s">
        <v>530</v>
      </c>
      <c r="FE385" s="214" t="s">
        <v>25214</v>
      </c>
      <c r="FF385" s="214" t="s">
        <v>484</v>
      </c>
      <c r="FG385" s="214" t="s">
        <v>70</v>
      </c>
      <c r="FH385" s="214" t="s">
        <v>530</v>
      </c>
      <c r="FJ385" s="321" t="s">
        <v>25215</v>
      </c>
      <c r="FK385" s="214" t="s">
        <v>34542</v>
      </c>
      <c r="FL385" s="214" t="s">
        <v>70</v>
      </c>
      <c r="FM385" s="214" t="s">
        <v>530</v>
      </c>
      <c r="FO385" s="321" t="s">
        <v>25216</v>
      </c>
      <c r="FP385" s="214" t="s">
        <v>491</v>
      </c>
      <c r="FQ385" s="214" t="s">
        <v>70</v>
      </c>
      <c r="FR385" s="214" t="s">
        <v>530</v>
      </c>
      <c r="FT385" s="321" t="s">
        <v>25217</v>
      </c>
      <c r="FU385" s="214" t="s">
        <v>953</v>
      </c>
      <c r="FV385" s="214" t="s">
        <v>70</v>
      </c>
      <c r="FW385" s="214" t="s">
        <v>530</v>
      </c>
      <c r="FY385" s="321" t="s">
        <v>25218</v>
      </c>
      <c r="FZ385" s="214" t="s">
        <v>52</v>
      </c>
      <c r="GA385" s="214" t="s">
        <v>70</v>
      </c>
      <c r="GB385" s="214" t="s">
        <v>530</v>
      </c>
      <c r="GD385" s="321" t="s">
        <v>25219</v>
      </c>
      <c r="GE385" s="214" t="s">
        <v>950</v>
      </c>
      <c r="GF385" s="214" t="s">
        <v>70</v>
      </c>
      <c r="GG385" s="214" t="s">
        <v>530</v>
      </c>
      <c r="GI385" s="321" t="s">
        <v>25220</v>
      </c>
      <c r="GJ385" s="214" t="s">
        <v>34541</v>
      </c>
      <c r="GK385" s="214" t="s">
        <v>70</v>
      </c>
      <c r="GL385" s="214" t="s">
        <v>530</v>
      </c>
      <c r="GN385" s="321" t="s">
        <v>25221</v>
      </c>
      <c r="GO385" s="214" t="s">
        <v>146</v>
      </c>
      <c r="GP385" s="214" t="s">
        <v>70</v>
      </c>
      <c r="GQ385" s="214" t="s">
        <v>530</v>
      </c>
      <c r="GS385" s="321" t="s">
        <v>25222</v>
      </c>
      <c r="GT385" s="214" t="s">
        <v>921</v>
      </c>
      <c r="GU385" s="214" t="s">
        <v>70</v>
      </c>
      <c r="GV385" s="214" t="s">
        <v>530</v>
      </c>
      <c r="GX385" s="214" t="s">
        <v>25223</v>
      </c>
      <c r="GY385" s="214" t="s">
        <v>52</v>
      </c>
      <c r="GZ385" s="214" t="s">
        <v>70</v>
      </c>
      <c r="HA385" s="214" t="s">
        <v>530</v>
      </c>
      <c r="HC385" s="214" t="s">
        <v>25224</v>
      </c>
      <c r="HD385" s="214" t="s">
        <v>484</v>
      </c>
      <c r="HE385" s="214" t="s">
        <v>70</v>
      </c>
      <c r="HF385" s="214" t="s">
        <v>530</v>
      </c>
      <c r="HH385" s="214" t="s">
        <v>25225</v>
      </c>
      <c r="HI385" s="214" t="s">
        <v>34557</v>
      </c>
      <c r="HJ385" s="214" t="s">
        <v>70</v>
      </c>
      <c r="HK385" s="214" t="s">
        <v>530</v>
      </c>
      <c r="HM385" s="214" t="s">
        <v>25226</v>
      </c>
      <c r="HN385" s="214" t="s">
        <v>496</v>
      </c>
      <c r="HO385" s="214" t="s">
        <v>70</v>
      </c>
      <c r="HP385" s="214" t="s">
        <v>530</v>
      </c>
      <c r="HR385" s="22" t="s">
        <v>25227</v>
      </c>
      <c r="HS385" s="22" t="s">
        <v>34542</v>
      </c>
      <c r="HT385" s="22" t="s">
        <v>70</v>
      </c>
      <c r="HU385" s="214" t="s">
        <v>530</v>
      </c>
      <c r="HW385" s="22" t="s">
        <v>25228</v>
      </c>
      <c r="HX385" s="22" t="s">
        <v>88</v>
      </c>
      <c r="HY385" s="22" t="s">
        <v>70</v>
      </c>
      <c r="HZ385" s="214" t="s">
        <v>530</v>
      </c>
      <c r="IB385" s="22" t="s">
        <v>25229</v>
      </c>
      <c r="IC385" s="22" t="s">
        <v>88</v>
      </c>
      <c r="ID385" s="22" t="s">
        <v>70</v>
      </c>
      <c r="IE385" s="214" t="s">
        <v>530</v>
      </c>
      <c r="IG385" s="22" t="s">
        <v>25230</v>
      </c>
      <c r="IH385" s="22" t="s">
        <v>52</v>
      </c>
      <c r="II385" s="22" t="s">
        <v>70</v>
      </c>
      <c r="IJ385" s="214" t="s">
        <v>530</v>
      </c>
      <c r="IL385" s="22" t="s">
        <v>25231</v>
      </c>
      <c r="IM385" s="22" t="s">
        <v>145</v>
      </c>
      <c r="IN385" s="22" t="s">
        <v>70</v>
      </c>
      <c r="IO385" s="214" t="s">
        <v>530</v>
      </c>
      <c r="IQ385" s="236" t="s">
        <v>25232</v>
      </c>
      <c r="IR385" s="236" t="s">
        <v>145</v>
      </c>
      <c r="IS385" s="236" t="s">
        <v>74</v>
      </c>
      <c r="IT385" s="236" t="s">
        <v>841</v>
      </c>
      <c r="IV385" s="236" t="s">
        <v>25233</v>
      </c>
      <c r="IW385" s="236" t="s">
        <v>145</v>
      </c>
      <c r="IX385" s="236" t="s">
        <v>74</v>
      </c>
      <c r="IY385" s="236" t="s">
        <v>841</v>
      </c>
      <c r="JA385" s="236" t="s">
        <v>25234</v>
      </c>
      <c r="JB385" s="236" t="s">
        <v>145</v>
      </c>
      <c r="JC385" s="236" t="s">
        <v>74</v>
      </c>
      <c r="JD385" s="236" t="s">
        <v>841</v>
      </c>
      <c r="JF385" s="236" t="s">
        <v>25235</v>
      </c>
      <c r="JG385" s="236" t="s">
        <v>145</v>
      </c>
      <c r="JH385" s="236" t="s">
        <v>74</v>
      </c>
      <c r="JI385" s="236" t="s">
        <v>841</v>
      </c>
      <c r="JK385" s="236" t="s">
        <v>25236</v>
      </c>
      <c r="JL385" s="236" t="s">
        <v>145</v>
      </c>
      <c r="JM385" s="236" t="s">
        <v>74</v>
      </c>
      <c r="JN385" s="236" t="s">
        <v>841</v>
      </c>
      <c r="JP385" s="236" t="s">
        <v>25237</v>
      </c>
      <c r="JQ385" s="236" t="s">
        <v>145</v>
      </c>
      <c r="JR385" s="236" t="s">
        <v>74</v>
      </c>
      <c r="JS385" s="236" t="s">
        <v>841</v>
      </c>
      <c r="JU385" s="294" t="s">
        <v>25238</v>
      </c>
      <c r="JV385" s="294" t="s">
        <v>52</v>
      </c>
      <c r="JW385" s="263" t="s">
        <v>70</v>
      </c>
      <c r="JX385" s="294" t="s">
        <v>1083</v>
      </c>
      <c r="JZ385" s="263" t="s">
        <v>25239</v>
      </c>
      <c r="KA385" s="263" t="s">
        <v>145</v>
      </c>
      <c r="KB385" s="263" t="s">
        <v>70</v>
      </c>
      <c r="KC385" s="263" t="s">
        <v>1083</v>
      </c>
      <c r="KE385" s="263" t="s">
        <v>25240</v>
      </c>
      <c r="KF385" s="263" t="s">
        <v>52</v>
      </c>
      <c r="KG385" s="263" t="s">
        <v>70</v>
      </c>
      <c r="KH385" s="263" t="s">
        <v>1083</v>
      </c>
      <c r="KJ385" s="263" t="s">
        <v>25241</v>
      </c>
      <c r="KK385" s="263" t="s">
        <v>52</v>
      </c>
      <c r="KL385" s="263" t="s">
        <v>74</v>
      </c>
      <c r="KM385" s="263" t="s">
        <v>34074</v>
      </c>
      <c r="KO385" s="214" t="s">
        <v>25242</v>
      </c>
      <c r="KP385" s="214" t="s">
        <v>145</v>
      </c>
      <c r="KQ385" s="214" t="s">
        <v>70</v>
      </c>
      <c r="KR385" s="214" t="s">
        <v>67</v>
      </c>
      <c r="KT385" s="22" t="s">
        <v>25243</v>
      </c>
      <c r="KU385" s="22" t="s">
        <v>145</v>
      </c>
      <c r="KV385" s="22" t="s">
        <v>70</v>
      </c>
      <c r="KW385" s="22" t="s">
        <v>67</v>
      </c>
      <c r="KY385" s="214" t="s">
        <v>25244</v>
      </c>
      <c r="KZ385" s="214" t="s">
        <v>52</v>
      </c>
      <c r="LA385" s="214" t="s">
        <v>74</v>
      </c>
      <c r="LB385" s="214" t="s">
        <v>67</v>
      </c>
      <c r="LD385" s="22" t="s">
        <v>25245</v>
      </c>
      <c r="LE385" s="22" t="s">
        <v>145</v>
      </c>
      <c r="LF385" s="22" t="s">
        <v>70</v>
      </c>
      <c r="LG385" s="22" t="s">
        <v>67</v>
      </c>
    </row>
    <row r="386" spans="1:319">
      <c r="A386" s="22" t="s">
        <v>25246</v>
      </c>
      <c r="B386" s="22" t="s">
        <v>145</v>
      </c>
      <c r="C386" s="22" t="s">
        <v>70</v>
      </c>
      <c r="D386" s="22" t="s">
        <v>67</v>
      </c>
      <c r="F386" s="101" t="s">
        <v>25247</v>
      </c>
      <c r="G386" s="22" t="s">
        <v>145</v>
      </c>
      <c r="H386" s="22" t="s">
        <v>70</v>
      </c>
      <c r="I386" s="22" t="s">
        <v>67</v>
      </c>
      <c r="K386" s="99" t="s">
        <v>25248</v>
      </c>
      <c r="L386" s="22" t="s">
        <v>145</v>
      </c>
      <c r="M386" s="22" t="s">
        <v>70</v>
      </c>
      <c r="N386" s="22" t="s">
        <v>67</v>
      </c>
      <c r="P386" s="230" t="s">
        <v>25249</v>
      </c>
      <c r="Q386" s="218" t="s">
        <v>145</v>
      </c>
      <c r="R386" s="218" t="s">
        <v>72</v>
      </c>
      <c r="S386" s="218" t="s">
        <v>33987</v>
      </c>
      <c r="U386" s="293" t="s">
        <v>25250</v>
      </c>
      <c r="V386" s="293" t="s">
        <v>145</v>
      </c>
      <c r="W386" s="293" t="s">
        <v>74</v>
      </c>
      <c r="X386" s="293" t="s">
        <v>656</v>
      </c>
      <c r="Z386" s="293" t="s">
        <v>25251</v>
      </c>
      <c r="AA386" s="293" t="s">
        <v>145</v>
      </c>
      <c r="AB386" s="293" t="s">
        <v>74</v>
      </c>
      <c r="AC386" s="293" t="s">
        <v>656</v>
      </c>
      <c r="AE386" s="293" t="s">
        <v>25252</v>
      </c>
      <c r="AF386" s="293" t="s">
        <v>145</v>
      </c>
      <c r="AG386" s="293" t="s">
        <v>74</v>
      </c>
      <c r="AH386" s="293" t="s">
        <v>656</v>
      </c>
      <c r="AJ386" s="293" t="s">
        <v>25253</v>
      </c>
      <c r="AK386" s="293" t="s">
        <v>145</v>
      </c>
      <c r="AL386" s="293" t="s">
        <v>74</v>
      </c>
      <c r="AM386" s="293" t="s">
        <v>656</v>
      </c>
      <c r="AO386" s="22" t="s">
        <v>25254</v>
      </c>
      <c r="AP386" s="22" t="s">
        <v>145</v>
      </c>
      <c r="AQ386" s="22" t="s">
        <v>70</v>
      </c>
      <c r="AR386" s="22" t="s">
        <v>67</v>
      </c>
      <c r="AT386" s="22" t="s">
        <v>25255</v>
      </c>
      <c r="AU386" s="22" t="s">
        <v>145</v>
      </c>
      <c r="AV386" s="22" t="s">
        <v>70</v>
      </c>
      <c r="AW386" s="22" t="s">
        <v>67</v>
      </c>
      <c r="AY386" s="22" t="s">
        <v>25256</v>
      </c>
      <c r="AZ386" s="22" t="s">
        <v>145</v>
      </c>
      <c r="BA386" s="22" t="s">
        <v>70</v>
      </c>
      <c r="BB386" s="22" t="s">
        <v>67</v>
      </c>
      <c r="BD386" s="22" t="s">
        <v>25257</v>
      </c>
      <c r="BE386" s="22" t="s">
        <v>145</v>
      </c>
      <c r="BF386" s="22" t="s">
        <v>70</v>
      </c>
      <c r="BG386" s="22" t="s">
        <v>67</v>
      </c>
      <c r="BI386" s="22" t="s">
        <v>25258</v>
      </c>
      <c r="BJ386" s="22" t="s">
        <v>145</v>
      </c>
      <c r="BK386" s="22" t="s">
        <v>70</v>
      </c>
      <c r="BL386" s="22" t="s">
        <v>67</v>
      </c>
      <c r="BN386" s="22" t="s">
        <v>25259</v>
      </c>
      <c r="BO386" s="22" t="s">
        <v>145</v>
      </c>
      <c r="BP386" s="22" t="s">
        <v>70</v>
      </c>
      <c r="BQ386" s="22" t="s">
        <v>67</v>
      </c>
      <c r="BS386" s="22" t="s">
        <v>25260</v>
      </c>
      <c r="BT386" s="22" t="s">
        <v>145</v>
      </c>
      <c r="BU386" s="22" t="s">
        <v>70</v>
      </c>
      <c r="BV386" s="214" t="s">
        <v>530</v>
      </c>
      <c r="BX386" s="22" t="s">
        <v>25261</v>
      </c>
      <c r="BY386" s="22" t="s">
        <v>145</v>
      </c>
      <c r="BZ386" s="22" t="s">
        <v>70</v>
      </c>
      <c r="CA386" s="214" t="s">
        <v>530</v>
      </c>
      <c r="CC386" s="214" t="s">
        <v>25262</v>
      </c>
      <c r="CD386" s="218" t="s">
        <v>87</v>
      </c>
      <c r="CE386" s="214" t="s">
        <v>70</v>
      </c>
      <c r="CF386" s="214" t="s">
        <v>34192</v>
      </c>
      <c r="CH386" s="214" t="s">
        <v>25263</v>
      </c>
      <c r="CI386" s="214" t="s">
        <v>34560</v>
      </c>
      <c r="CJ386" s="214" t="s">
        <v>70</v>
      </c>
      <c r="CK386" s="214" t="s">
        <v>530</v>
      </c>
      <c r="CM386" s="214" t="s">
        <v>25264</v>
      </c>
      <c r="CN386" s="214" t="s">
        <v>468</v>
      </c>
      <c r="CO386" s="214" t="s">
        <v>70</v>
      </c>
      <c r="CP386" s="214" t="s">
        <v>530</v>
      </c>
      <c r="CR386" s="214" t="s">
        <v>25265</v>
      </c>
      <c r="CS386" s="214" t="s">
        <v>85</v>
      </c>
      <c r="CT386" s="214" t="s">
        <v>70</v>
      </c>
      <c r="CU386" s="214" t="s">
        <v>530</v>
      </c>
      <c r="CW386" s="214" t="s">
        <v>25266</v>
      </c>
      <c r="CX386" s="214" t="s">
        <v>488</v>
      </c>
      <c r="CY386" s="214" t="s">
        <v>70</v>
      </c>
      <c r="CZ386" s="214" t="s">
        <v>530</v>
      </c>
      <c r="DB386" s="214" t="s">
        <v>25267</v>
      </c>
      <c r="DC386" s="214" t="s">
        <v>286</v>
      </c>
      <c r="DD386" s="214" t="s">
        <v>70</v>
      </c>
      <c r="DE386" s="214" t="s">
        <v>530</v>
      </c>
      <c r="DG386" s="214" t="s">
        <v>25268</v>
      </c>
      <c r="DH386" s="214" t="s">
        <v>52</v>
      </c>
      <c r="DI386" s="214" t="s">
        <v>70</v>
      </c>
      <c r="DJ386" s="214" t="s">
        <v>530</v>
      </c>
      <c r="DL386" s="214" t="s">
        <v>25269</v>
      </c>
      <c r="DM386" s="214" t="s">
        <v>164</v>
      </c>
      <c r="DN386" s="214" t="s">
        <v>70</v>
      </c>
      <c r="DO386" s="214" t="s">
        <v>530</v>
      </c>
      <c r="DQ386" s="214" t="s">
        <v>25270</v>
      </c>
      <c r="DR386" s="214" t="s">
        <v>34551</v>
      </c>
      <c r="DS386" s="214" t="s">
        <v>70</v>
      </c>
      <c r="DT386" s="214" t="s">
        <v>530</v>
      </c>
      <c r="DV386" s="214" t="s">
        <v>25271</v>
      </c>
      <c r="DW386" s="214" t="s">
        <v>163</v>
      </c>
      <c r="DX386" s="214" t="s">
        <v>70</v>
      </c>
      <c r="DY386" s="214" t="s">
        <v>530</v>
      </c>
      <c r="EA386" s="214" t="s">
        <v>25272</v>
      </c>
      <c r="EB386" s="214" t="s">
        <v>34593</v>
      </c>
      <c r="EC386" s="214" t="s">
        <v>70</v>
      </c>
      <c r="ED386" s="214" t="s">
        <v>530</v>
      </c>
      <c r="EF386" s="214" t="s">
        <v>25273</v>
      </c>
      <c r="EG386" s="214" t="s">
        <v>52</v>
      </c>
      <c r="EH386" s="214" t="s">
        <v>70</v>
      </c>
      <c r="EI386" s="214" t="s">
        <v>530</v>
      </c>
      <c r="EK386" s="214" t="s">
        <v>25274</v>
      </c>
      <c r="EL386" s="214" t="s">
        <v>910</v>
      </c>
      <c r="EM386" s="214" t="s">
        <v>70</v>
      </c>
      <c r="EN386" s="214" t="s">
        <v>530</v>
      </c>
      <c r="EP386" s="214" t="s">
        <v>25275</v>
      </c>
      <c r="EQ386" s="214" t="s">
        <v>34551</v>
      </c>
      <c r="ER386" s="214" t="s">
        <v>70</v>
      </c>
      <c r="ES386" s="214" t="s">
        <v>530</v>
      </c>
      <c r="EU386" s="214" t="s">
        <v>25276</v>
      </c>
      <c r="EV386" s="214" t="s">
        <v>649</v>
      </c>
      <c r="EW386" s="214" t="s">
        <v>70</v>
      </c>
      <c r="EX386" s="214" t="s">
        <v>530</v>
      </c>
      <c r="EZ386" s="214" t="s">
        <v>25277</v>
      </c>
      <c r="FA386" s="214" t="s">
        <v>468</v>
      </c>
      <c r="FB386" s="214" t="s">
        <v>70</v>
      </c>
      <c r="FC386" s="214" t="s">
        <v>530</v>
      </c>
      <c r="FE386" s="214" t="s">
        <v>25278</v>
      </c>
      <c r="FF386" s="214" t="s">
        <v>90</v>
      </c>
      <c r="FG386" s="214" t="s">
        <v>70</v>
      </c>
      <c r="FH386" s="214" t="s">
        <v>530</v>
      </c>
      <c r="FJ386" s="321" t="s">
        <v>25279</v>
      </c>
      <c r="FK386" s="214" t="s">
        <v>481</v>
      </c>
      <c r="FL386" s="214" t="s">
        <v>70</v>
      </c>
      <c r="FM386" s="214" t="s">
        <v>530</v>
      </c>
      <c r="FO386" s="321" t="s">
        <v>25280</v>
      </c>
      <c r="FP386" s="214" t="s">
        <v>948</v>
      </c>
      <c r="FQ386" s="214" t="s">
        <v>70</v>
      </c>
      <c r="FR386" s="214" t="s">
        <v>530</v>
      </c>
      <c r="FT386" s="321" t="s">
        <v>25281</v>
      </c>
      <c r="FU386" s="214" t="s">
        <v>956</v>
      </c>
      <c r="FV386" s="214" t="s">
        <v>70</v>
      </c>
      <c r="FW386" s="214" t="s">
        <v>530</v>
      </c>
      <c r="FY386" s="321" t="s">
        <v>25282</v>
      </c>
      <c r="FZ386" s="214" t="s">
        <v>34564</v>
      </c>
      <c r="GA386" s="214" t="s">
        <v>70</v>
      </c>
      <c r="GB386" s="214" t="s">
        <v>530</v>
      </c>
      <c r="GD386" s="321" t="s">
        <v>25283</v>
      </c>
      <c r="GE386" s="214" t="s">
        <v>52</v>
      </c>
      <c r="GF386" s="214" t="s">
        <v>70</v>
      </c>
      <c r="GG386" s="214" t="s">
        <v>530</v>
      </c>
      <c r="GI386" s="321" t="s">
        <v>25284</v>
      </c>
      <c r="GJ386" s="214" t="s">
        <v>34583</v>
      </c>
      <c r="GK386" s="214" t="s">
        <v>70</v>
      </c>
      <c r="GL386" s="214" t="s">
        <v>530</v>
      </c>
      <c r="GN386" s="321" t="s">
        <v>25285</v>
      </c>
      <c r="GO386" s="214" t="s">
        <v>87</v>
      </c>
      <c r="GP386" s="214" t="s">
        <v>70</v>
      </c>
      <c r="GQ386" s="214" t="s">
        <v>530</v>
      </c>
      <c r="GS386" s="321" t="s">
        <v>25286</v>
      </c>
      <c r="GT386" s="214" t="s">
        <v>164</v>
      </c>
      <c r="GU386" s="214" t="s">
        <v>70</v>
      </c>
      <c r="GV386" s="214" t="s">
        <v>530</v>
      </c>
      <c r="GX386" s="214" t="s">
        <v>25287</v>
      </c>
      <c r="GY386" s="214" t="s">
        <v>52</v>
      </c>
      <c r="GZ386" s="214" t="s">
        <v>70</v>
      </c>
      <c r="HA386" s="214" t="s">
        <v>530</v>
      </c>
      <c r="HC386" s="214" t="s">
        <v>25288</v>
      </c>
      <c r="HD386" s="214" t="s">
        <v>148</v>
      </c>
      <c r="HE386" s="214" t="s">
        <v>70</v>
      </c>
      <c r="HF386" s="214" t="s">
        <v>530</v>
      </c>
      <c r="HH386" s="214" t="s">
        <v>25289</v>
      </c>
      <c r="HI386" s="214" t="s">
        <v>90</v>
      </c>
      <c r="HJ386" s="214" t="s">
        <v>70</v>
      </c>
      <c r="HK386" s="214" t="s">
        <v>530</v>
      </c>
      <c r="HM386" s="214" t="s">
        <v>25290</v>
      </c>
      <c r="HN386" s="214" t="s">
        <v>203</v>
      </c>
      <c r="HO386" s="214" t="s">
        <v>70</v>
      </c>
      <c r="HP386" s="214" t="s">
        <v>530</v>
      </c>
      <c r="HR386" s="22" t="s">
        <v>25291</v>
      </c>
      <c r="HS386" s="22" t="s">
        <v>88</v>
      </c>
      <c r="HT386" s="22" t="s">
        <v>70</v>
      </c>
      <c r="HU386" s="214" t="s">
        <v>530</v>
      </c>
      <c r="HW386" s="22" t="s">
        <v>25292</v>
      </c>
      <c r="HX386" s="22" t="s">
        <v>34593</v>
      </c>
      <c r="HY386" s="22" t="s">
        <v>70</v>
      </c>
      <c r="HZ386" s="214" t="s">
        <v>530</v>
      </c>
      <c r="IB386" s="22" t="s">
        <v>25293</v>
      </c>
      <c r="IC386" s="22" t="s">
        <v>52</v>
      </c>
      <c r="ID386" s="22" t="s">
        <v>70</v>
      </c>
      <c r="IE386" s="214" t="s">
        <v>530</v>
      </c>
      <c r="IG386" s="22" t="s">
        <v>25294</v>
      </c>
      <c r="IH386" s="22" t="s">
        <v>52</v>
      </c>
      <c r="II386" s="22" t="s">
        <v>70</v>
      </c>
      <c r="IJ386" s="214" t="s">
        <v>530</v>
      </c>
      <c r="IL386" s="22" t="s">
        <v>25295</v>
      </c>
      <c r="IM386" s="22" t="s">
        <v>145</v>
      </c>
      <c r="IN386" s="22" t="s">
        <v>70</v>
      </c>
      <c r="IO386" s="214" t="s">
        <v>530</v>
      </c>
      <c r="IQ386" s="236" t="s">
        <v>25296</v>
      </c>
      <c r="IR386" s="236" t="s">
        <v>145</v>
      </c>
      <c r="IS386" s="236" t="s">
        <v>74</v>
      </c>
      <c r="IT386" s="236" t="s">
        <v>841</v>
      </c>
      <c r="IV386" s="236" t="s">
        <v>25297</v>
      </c>
      <c r="IW386" s="236" t="s">
        <v>145</v>
      </c>
      <c r="IX386" s="236" t="s">
        <v>74</v>
      </c>
      <c r="IY386" s="236" t="s">
        <v>841</v>
      </c>
      <c r="JA386" s="236" t="s">
        <v>25298</v>
      </c>
      <c r="JB386" s="236" t="s">
        <v>145</v>
      </c>
      <c r="JC386" s="236" t="s">
        <v>74</v>
      </c>
      <c r="JD386" s="236" t="s">
        <v>841</v>
      </c>
      <c r="JF386" s="236" t="s">
        <v>25299</v>
      </c>
      <c r="JG386" s="236" t="s">
        <v>145</v>
      </c>
      <c r="JH386" s="236" t="s">
        <v>74</v>
      </c>
      <c r="JI386" s="236" t="s">
        <v>841</v>
      </c>
      <c r="JK386" s="236" t="s">
        <v>25300</v>
      </c>
      <c r="JL386" s="236" t="s">
        <v>145</v>
      </c>
      <c r="JM386" s="236" t="s">
        <v>74</v>
      </c>
      <c r="JN386" s="236" t="s">
        <v>841</v>
      </c>
      <c r="JP386" s="236" t="s">
        <v>25301</v>
      </c>
      <c r="JQ386" s="236" t="s">
        <v>145</v>
      </c>
      <c r="JR386" s="236" t="s">
        <v>74</v>
      </c>
      <c r="JS386" s="236" t="s">
        <v>841</v>
      </c>
      <c r="JU386" s="294" t="s">
        <v>25302</v>
      </c>
      <c r="JV386" s="294" t="s">
        <v>52</v>
      </c>
      <c r="JW386" s="263" t="s">
        <v>70</v>
      </c>
      <c r="JX386" s="294" t="s">
        <v>1083</v>
      </c>
      <c r="JZ386" s="263" t="s">
        <v>25303</v>
      </c>
      <c r="KA386" s="263" t="s">
        <v>145</v>
      </c>
      <c r="KB386" s="263" t="s">
        <v>70</v>
      </c>
      <c r="KC386" s="263" t="s">
        <v>1083</v>
      </c>
      <c r="KE386" s="263" t="s">
        <v>25304</v>
      </c>
      <c r="KF386" s="263" t="s">
        <v>52</v>
      </c>
      <c r="KG386" s="263" t="s">
        <v>70</v>
      </c>
      <c r="KH386" s="263" t="s">
        <v>1083</v>
      </c>
      <c r="KJ386" s="263" t="s">
        <v>25305</v>
      </c>
      <c r="KK386" s="263" t="s">
        <v>52</v>
      </c>
      <c r="KL386" s="263" t="s">
        <v>74</v>
      </c>
      <c r="KM386" s="263" t="s">
        <v>34074</v>
      </c>
      <c r="KO386" s="214" t="s">
        <v>25306</v>
      </c>
      <c r="KP386" s="214" t="s">
        <v>145</v>
      </c>
      <c r="KQ386" s="214" t="s">
        <v>70</v>
      </c>
      <c r="KR386" s="214" t="s">
        <v>67</v>
      </c>
      <c r="KT386" s="22" t="s">
        <v>25307</v>
      </c>
      <c r="KU386" s="22" t="s">
        <v>145</v>
      </c>
      <c r="KV386" s="22" t="s">
        <v>70</v>
      </c>
      <c r="KW386" s="22" t="s">
        <v>67</v>
      </c>
      <c r="KY386" s="214" t="s">
        <v>25308</v>
      </c>
      <c r="KZ386" s="214" t="s">
        <v>52</v>
      </c>
      <c r="LA386" s="214" t="s">
        <v>74</v>
      </c>
      <c r="LB386" s="214" t="s">
        <v>67</v>
      </c>
      <c r="LD386" s="22" t="s">
        <v>25309</v>
      </c>
      <c r="LE386" s="22" t="s">
        <v>145</v>
      </c>
      <c r="LF386" s="22" t="s">
        <v>70</v>
      </c>
      <c r="LG386" s="22" t="s">
        <v>67</v>
      </c>
    </row>
    <row r="387" spans="1:319">
      <c r="A387" s="22" t="s">
        <v>25310</v>
      </c>
      <c r="B387" s="22" t="s">
        <v>145</v>
      </c>
      <c r="C387" s="22" t="s">
        <v>70</v>
      </c>
      <c r="D387" s="22" t="s">
        <v>67</v>
      </c>
      <c r="F387" s="101" t="s">
        <v>25311</v>
      </c>
      <c r="G387" s="22" t="s">
        <v>145</v>
      </c>
      <c r="H387" s="22" t="s">
        <v>70</v>
      </c>
      <c r="I387" s="22" t="s">
        <v>67</v>
      </c>
      <c r="K387" s="99" t="s">
        <v>25312</v>
      </c>
      <c r="L387" s="22" t="s">
        <v>145</v>
      </c>
      <c r="M387" s="22" t="s">
        <v>70</v>
      </c>
      <c r="N387" s="22" t="s">
        <v>67</v>
      </c>
      <c r="P387" s="230" t="s">
        <v>25313</v>
      </c>
      <c r="Q387" s="218" t="s">
        <v>145</v>
      </c>
      <c r="R387" s="218" t="s">
        <v>72</v>
      </c>
      <c r="S387" s="218" t="s">
        <v>33988</v>
      </c>
      <c r="U387" s="293" t="s">
        <v>25314</v>
      </c>
      <c r="V387" s="293" t="s">
        <v>145</v>
      </c>
      <c r="W387" s="293" t="s">
        <v>74</v>
      </c>
      <c r="X387" s="293" t="s">
        <v>656</v>
      </c>
      <c r="Z387" s="293" t="s">
        <v>25315</v>
      </c>
      <c r="AA387" s="293" t="s">
        <v>145</v>
      </c>
      <c r="AB387" s="293" t="s">
        <v>74</v>
      </c>
      <c r="AC387" s="293" t="s">
        <v>656</v>
      </c>
      <c r="AE387" s="293" t="s">
        <v>25316</v>
      </c>
      <c r="AF387" s="293" t="s">
        <v>145</v>
      </c>
      <c r="AG387" s="293" t="s">
        <v>74</v>
      </c>
      <c r="AH387" s="293" t="s">
        <v>656</v>
      </c>
      <c r="AJ387" s="293" t="s">
        <v>25317</v>
      </c>
      <c r="AK387" s="293" t="s">
        <v>145</v>
      </c>
      <c r="AL387" s="293" t="s">
        <v>74</v>
      </c>
      <c r="AM387" s="293" t="s">
        <v>656</v>
      </c>
      <c r="AO387" s="22" t="s">
        <v>25318</v>
      </c>
      <c r="AP387" s="22" t="s">
        <v>145</v>
      </c>
      <c r="AQ387" s="22" t="s">
        <v>70</v>
      </c>
      <c r="AR387" s="22" t="s">
        <v>67</v>
      </c>
      <c r="AT387" s="22" t="s">
        <v>25319</v>
      </c>
      <c r="AU387" s="22" t="s">
        <v>145</v>
      </c>
      <c r="AV387" s="22" t="s">
        <v>70</v>
      </c>
      <c r="AW387" s="22" t="s">
        <v>67</v>
      </c>
      <c r="AY387" s="22" t="s">
        <v>25320</v>
      </c>
      <c r="AZ387" s="22" t="s">
        <v>145</v>
      </c>
      <c r="BA387" s="22" t="s">
        <v>70</v>
      </c>
      <c r="BB387" s="22" t="s">
        <v>67</v>
      </c>
      <c r="BD387" s="22" t="s">
        <v>25321</v>
      </c>
      <c r="BE387" s="22" t="s">
        <v>145</v>
      </c>
      <c r="BF387" s="22" t="s">
        <v>70</v>
      </c>
      <c r="BG387" s="22" t="s">
        <v>67</v>
      </c>
      <c r="BI387" s="22" t="s">
        <v>25322</v>
      </c>
      <c r="BJ387" s="22" t="s">
        <v>145</v>
      </c>
      <c r="BK387" s="22" t="s">
        <v>70</v>
      </c>
      <c r="BL387" s="22" t="s">
        <v>67</v>
      </c>
      <c r="BN387" s="22" t="s">
        <v>25323</v>
      </c>
      <c r="BO387" s="22" t="s">
        <v>145</v>
      </c>
      <c r="BP387" s="22" t="s">
        <v>70</v>
      </c>
      <c r="BQ387" s="22" t="s">
        <v>67</v>
      </c>
      <c r="BS387" s="22" t="s">
        <v>25324</v>
      </c>
      <c r="BT387" s="22" t="s">
        <v>145</v>
      </c>
      <c r="BU387" s="22" t="s">
        <v>70</v>
      </c>
      <c r="BV387" s="214" t="s">
        <v>530</v>
      </c>
      <c r="BX387" s="22" t="s">
        <v>25325</v>
      </c>
      <c r="BY387" s="22" t="s">
        <v>145</v>
      </c>
      <c r="BZ387" s="22" t="s">
        <v>70</v>
      </c>
      <c r="CA387" s="214" t="s">
        <v>530</v>
      </c>
      <c r="CC387" s="214" t="s">
        <v>25326</v>
      </c>
      <c r="CD387" s="218" t="s">
        <v>484</v>
      </c>
      <c r="CE387" s="214" t="s">
        <v>70</v>
      </c>
      <c r="CF387" s="214" t="s">
        <v>34193</v>
      </c>
      <c r="CH387" s="214" t="s">
        <v>25327</v>
      </c>
      <c r="CI387" s="214" t="s">
        <v>34580</v>
      </c>
      <c r="CJ387" s="214" t="s">
        <v>70</v>
      </c>
      <c r="CK387" s="214" t="s">
        <v>530</v>
      </c>
      <c r="CM387" s="214" t="s">
        <v>25328</v>
      </c>
      <c r="CN387" s="214" t="s">
        <v>484</v>
      </c>
      <c r="CO387" s="214" t="s">
        <v>70</v>
      </c>
      <c r="CP387" s="214" t="s">
        <v>530</v>
      </c>
      <c r="CR387" s="214" t="s">
        <v>25329</v>
      </c>
      <c r="CS387" s="214" t="s">
        <v>34618</v>
      </c>
      <c r="CT387" s="214" t="s">
        <v>70</v>
      </c>
      <c r="CU387" s="214" t="s">
        <v>530</v>
      </c>
      <c r="CW387" s="214" t="s">
        <v>25330</v>
      </c>
      <c r="CX387" s="214" t="s">
        <v>488</v>
      </c>
      <c r="CY387" s="214" t="s">
        <v>70</v>
      </c>
      <c r="CZ387" s="214" t="s">
        <v>530</v>
      </c>
      <c r="DB387" s="214" t="s">
        <v>25331</v>
      </c>
      <c r="DC387" s="214" t="s">
        <v>468</v>
      </c>
      <c r="DD387" s="214" t="s">
        <v>70</v>
      </c>
      <c r="DE387" s="214" t="s">
        <v>530</v>
      </c>
      <c r="DG387" s="214" t="s">
        <v>25332</v>
      </c>
      <c r="DH387" s="214" t="s">
        <v>203</v>
      </c>
      <c r="DI387" s="214" t="s">
        <v>70</v>
      </c>
      <c r="DJ387" s="214" t="s">
        <v>530</v>
      </c>
      <c r="DL387" s="214" t="s">
        <v>25333</v>
      </c>
      <c r="DM387" s="214" t="s">
        <v>502</v>
      </c>
      <c r="DN387" s="214" t="s">
        <v>70</v>
      </c>
      <c r="DO387" s="214" t="s">
        <v>530</v>
      </c>
      <c r="DQ387" s="214" t="s">
        <v>25334</v>
      </c>
      <c r="DR387" s="214" t="s">
        <v>93</v>
      </c>
      <c r="DS387" s="214" t="s">
        <v>70</v>
      </c>
      <c r="DT387" s="214" t="s">
        <v>530</v>
      </c>
      <c r="DV387" s="214" t="s">
        <v>25335</v>
      </c>
      <c r="DW387" s="214" t="s">
        <v>146</v>
      </c>
      <c r="DX387" s="214" t="s">
        <v>70</v>
      </c>
      <c r="DY387" s="214" t="s">
        <v>530</v>
      </c>
      <c r="EA387" s="214" t="s">
        <v>25336</v>
      </c>
      <c r="EB387" s="214" t="s">
        <v>34623</v>
      </c>
      <c r="EC387" s="214" t="s">
        <v>70</v>
      </c>
      <c r="ED387" s="214" t="s">
        <v>530</v>
      </c>
      <c r="EF387" s="214" t="s">
        <v>25337</v>
      </c>
      <c r="EG387" s="214" t="s">
        <v>206</v>
      </c>
      <c r="EH387" s="214" t="s">
        <v>70</v>
      </c>
      <c r="EI387" s="214" t="s">
        <v>530</v>
      </c>
      <c r="EK387" s="214" t="s">
        <v>25338</v>
      </c>
      <c r="EL387" s="214" t="s">
        <v>926</v>
      </c>
      <c r="EM387" s="214" t="s">
        <v>70</v>
      </c>
      <c r="EN387" s="214" t="s">
        <v>530</v>
      </c>
      <c r="EP387" s="214" t="s">
        <v>25339</v>
      </c>
      <c r="EQ387" s="214" t="s">
        <v>103</v>
      </c>
      <c r="ER387" s="214" t="s">
        <v>70</v>
      </c>
      <c r="ES387" s="214" t="s">
        <v>530</v>
      </c>
      <c r="EU387" s="214" t="s">
        <v>25340</v>
      </c>
      <c r="EV387" s="214" t="s">
        <v>492</v>
      </c>
      <c r="EW387" s="214" t="s">
        <v>70</v>
      </c>
      <c r="EX387" s="214" t="s">
        <v>530</v>
      </c>
      <c r="EZ387" s="214" t="s">
        <v>25341</v>
      </c>
      <c r="FA387" s="214" t="s">
        <v>146</v>
      </c>
      <c r="FB387" s="214" t="s">
        <v>70</v>
      </c>
      <c r="FC387" s="214" t="s">
        <v>530</v>
      </c>
      <c r="FE387" s="214" t="s">
        <v>25342</v>
      </c>
      <c r="FF387" s="214" t="s">
        <v>487</v>
      </c>
      <c r="FG387" s="214" t="s">
        <v>70</v>
      </c>
      <c r="FH387" s="214" t="s">
        <v>530</v>
      </c>
      <c r="FJ387" s="321" t="s">
        <v>25343</v>
      </c>
      <c r="FK387" s="214" t="s">
        <v>487</v>
      </c>
      <c r="FL387" s="214" t="s">
        <v>70</v>
      </c>
      <c r="FM387" s="214" t="s">
        <v>530</v>
      </c>
      <c r="FO387" s="321" t="s">
        <v>25344</v>
      </c>
      <c r="FP387" s="214" t="s">
        <v>501</v>
      </c>
      <c r="FQ387" s="214" t="s">
        <v>70</v>
      </c>
      <c r="FR387" s="214" t="s">
        <v>530</v>
      </c>
      <c r="FT387" s="321" t="s">
        <v>25345</v>
      </c>
      <c r="FU387" s="214" t="s">
        <v>34564</v>
      </c>
      <c r="FV387" s="214" t="s">
        <v>70</v>
      </c>
      <c r="FW387" s="214" t="s">
        <v>530</v>
      </c>
      <c r="FY387" s="321" t="s">
        <v>25346</v>
      </c>
      <c r="FZ387" s="214" t="s">
        <v>85</v>
      </c>
      <c r="GA387" s="214" t="s">
        <v>70</v>
      </c>
      <c r="GB387" s="214" t="s">
        <v>530</v>
      </c>
      <c r="GD387" s="321" t="s">
        <v>25347</v>
      </c>
      <c r="GE387" s="214" t="s">
        <v>955</v>
      </c>
      <c r="GF387" s="214" t="s">
        <v>70</v>
      </c>
      <c r="GG387" s="214" t="s">
        <v>530</v>
      </c>
      <c r="GI387" s="321" t="s">
        <v>25348</v>
      </c>
      <c r="GJ387" s="214" t="s">
        <v>34552</v>
      </c>
      <c r="GK387" s="214" t="s">
        <v>70</v>
      </c>
      <c r="GL387" s="214" t="s">
        <v>530</v>
      </c>
      <c r="GN387" s="321" t="s">
        <v>25349</v>
      </c>
      <c r="GO387" s="214" t="s">
        <v>921</v>
      </c>
      <c r="GP387" s="214" t="s">
        <v>70</v>
      </c>
      <c r="GQ387" s="214" t="s">
        <v>530</v>
      </c>
      <c r="GS387" s="321" t="s">
        <v>25350</v>
      </c>
      <c r="GT387" s="214" t="s">
        <v>34542</v>
      </c>
      <c r="GU387" s="214" t="s">
        <v>70</v>
      </c>
      <c r="GV387" s="214" t="s">
        <v>530</v>
      </c>
      <c r="GX387" s="214" t="s">
        <v>25351</v>
      </c>
      <c r="GY387" s="214" t="s">
        <v>52</v>
      </c>
      <c r="GZ387" s="214" t="s">
        <v>70</v>
      </c>
      <c r="HA387" s="214" t="s">
        <v>530</v>
      </c>
      <c r="HC387" s="214" t="s">
        <v>25352</v>
      </c>
      <c r="HD387" s="214" t="s">
        <v>146</v>
      </c>
      <c r="HE387" s="214" t="s">
        <v>70</v>
      </c>
      <c r="HF387" s="214" t="s">
        <v>530</v>
      </c>
      <c r="HH387" s="214" t="s">
        <v>25353</v>
      </c>
      <c r="HI387" s="214" t="s">
        <v>93</v>
      </c>
      <c r="HJ387" s="214" t="s">
        <v>70</v>
      </c>
      <c r="HK387" s="214" t="s">
        <v>530</v>
      </c>
      <c r="HM387" s="214" t="s">
        <v>25354</v>
      </c>
      <c r="HN387" s="214" t="s">
        <v>482</v>
      </c>
      <c r="HO387" s="214" t="s">
        <v>70</v>
      </c>
      <c r="HP387" s="214" t="s">
        <v>530</v>
      </c>
      <c r="HR387" s="22" t="s">
        <v>25355</v>
      </c>
      <c r="HS387" s="22" t="s">
        <v>52</v>
      </c>
      <c r="HT387" s="22" t="s">
        <v>70</v>
      </c>
      <c r="HU387" s="214" t="s">
        <v>530</v>
      </c>
      <c r="HW387" s="22" t="s">
        <v>25356</v>
      </c>
      <c r="HX387" s="22" t="s">
        <v>146</v>
      </c>
      <c r="HY387" s="22" t="s">
        <v>70</v>
      </c>
      <c r="HZ387" s="214" t="s">
        <v>530</v>
      </c>
      <c r="IB387" s="22" t="s">
        <v>25357</v>
      </c>
      <c r="IC387" s="22" t="s">
        <v>52</v>
      </c>
      <c r="ID387" s="22" t="s">
        <v>70</v>
      </c>
      <c r="IE387" s="214" t="s">
        <v>530</v>
      </c>
      <c r="IG387" s="22" t="s">
        <v>25358</v>
      </c>
      <c r="IH387" s="22" t="s">
        <v>52</v>
      </c>
      <c r="II387" s="22" t="s">
        <v>70</v>
      </c>
      <c r="IJ387" s="214" t="s">
        <v>530</v>
      </c>
      <c r="IL387" s="22" t="s">
        <v>25359</v>
      </c>
      <c r="IM387" s="22" t="s">
        <v>145</v>
      </c>
      <c r="IN387" s="22" t="s">
        <v>70</v>
      </c>
      <c r="IO387" s="214" t="s">
        <v>530</v>
      </c>
      <c r="IQ387" s="236" t="s">
        <v>25360</v>
      </c>
      <c r="IR387" s="236" t="s">
        <v>145</v>
      </c>
      <c r="IS387" s="236" t="s">
        <v>74</v>
      </c>
      <c r="IT387" s="236" t="s">
        <v>841</v>
      </c>
      <c r="IV387" s="236" t="s">
        <v>25361</v>
      </c>
      <c r="IW387" s="236" t="s">
        <v>145</v>
      </c>
      <c r="IX387" s="236" t="s">
        <v>74</v>
      </c>
      <c r="IY387" s="236" t="s">
        <v>841</v>
      </c>
      <c r="JA387" s="236" t="s">
        <v>25362</v>
      </c>
      <c r="JB387" s="236" t="s">
        <v>145</v>
      </c>
      <c r="JC387" s="236" t="s">
        <v>74</v>
      </c>
      <c r="JD387" s="236" t="s">
        <v>841</v>
      </c>
      <c r="JF387" s="236" t="s">
        <v>25363</v>
      </c>
      <c r="JG387" s="236" t="s">
        <v>145</v>
      </c>
      <c r="JH387" s="236" t="s">
        <v>74</v>
      </c>
      <c r="JI387" s="236" t="s">
        <v>841</v>
      </c>
      <c r="JK387" s="236" t="s">
        <v>25364</v>
      </c>
      <c r="JL387" s="236" t="s">
        <v>145</v>
      </c>
      <c r="JM387" s="236" t="s">
        <v>74</v>
      </c>
      <c r="JN387" s="236" t="s">
        <v>841</v>
      </c>
      <c r="JP387" s="236" t="s">
        <v>25365</v>
      </c>
      <c r="JQ387" s="236" t="s">
        <v>145</v>
      </c>
      <c r="JR387" s="236" t="s">
        <v>74</v>
      </c>
      <c r="JS387" s="236" t="s">
        <v>841</v>
      </c>
      <c r="JU387" s="294" t="s">
        <v>25366</v>
      </c>
      <c r="JV387" s="294" t="s">
        <v>52</v>
      </c>
      <c r="JW387" s="263" t="s">
        <v>70</v>
      </c>
      <c r="JX387" s="294" t="s">
        <v>1083</v>
      </c>
      <c r="JZ387" s="263" t="s">
        <v>25367</v>
      </c>
      <c r="KA387" s="263" t="s">
        <v>145</v>
      </c>
      <c r="KB387" s="263" t="s">
        <v>70</v>
      </c>
      <c r="KC387" s="263" t="s">
        <v>1083</v>
      </c>
      <c r="KE387" s="263" t="s">
        <v>25368</v>
      </c>
      <c r="KF387" s="263" t="s">
        <v>52</v>
      </c>
      <c r="KG387" s="263" t="s">
        <v>70</v>
      </c>
      <c r="KH387" s="263" t="s">
        <v>1083</v>
      </c>
      <c r="KJ387" s="263" t="s">
        <v>25369</v>
      </c>
      <c r="KK387" s="263" t="s">
        <v>52</v>
      </c>
      <c r="KL387" s="263" t="s">
        <v>74</v>
      </c>
      <c r="KM387" s="263" t="s">
        <v>34074</v>
      </c>
      <c r="KO387" s="214" t="s">
        <v>25370</v>
      </c>
      <c r="KP387" s="214" t="s">
        <v>145</v>
      </c>
      <c r="KQ387" s="214" t="s">
        <v>70</v>
      </c>
      <c r="KR387" s="214" t="s">
        <v>67</v>
      </c>
      <c r="KT387" s="22" t="s">
        <v>25371</v>
      </c>
      <c r="KU387" s="22" t="s">
        <v>145</v>
      </c>
      <c r="KV387" s="22" t="s">
        <v>70</v>
      </c>
      <c r="KW387" s="22" t="s">
        <v>67</v>
      </c>
      <c r="KY387" s="214" t="s">
        <v>25372</v>
      </c>
      <c r="KZ387" s="214" t="s">
        <v>52</v>
      </c>
      <c r="LA387" s="214" t="s">
        <v>74</v>
      </c>
      <c r="LB387" s="214" t="s">
        <v>67</v>
      </c>
      <c r="LD387" s="22" t="s">
        <v>25373</v>
      </c>
      <c r="LE387" s="22" t="s">
        <v>145</v>
      </c>
      <c r="LF387" s="22" t="s">
        <v>70</v>
      </c>
      <c r="LG387" s="22" t="s">
        <v>67</v>
      </c>
    </row>
    <row r="388" spans="1:319">
      <c r="A388" s="22" t="s">
        <v>25374</v>
      </c>
      <c r="B388" s="22" t="s">
        <v>145</v>
      </c>
      <c r="C388" s="22" t="s">
        <v>70</v>
      </c>
      <c r="D388" s="22" t="s">
        <v>67</v>
      </c>
      <c r="F388" s="101" t="s">
        <v>25375</v>
      </c>
      <c r="G388" s="22" t="s">
        <v>145</v>
      </c>
      <c r="H388" s="22" t="s">
        <v>70</v>
      </c>
      <c r="I388" s="22" t="s">
        <v>67</v>
      </c>
      <c r="K388" s="99" t="s">
        <v>25376</v>
      </c>
      <c r="L388" s="22" t="s">
        <v>145</v>
      </c>
      <c r="M388" s="22" t="s">
        <v>70</v>
      </c>
      <c r="N388" s="22" t="s">
        <v>67</v>
      </c>
      <c r="P388" s="230" t="s">
        <v>25377</v>
      </c>
      <c r="Q388" s="218" t="s">
        <v>145</v>
      </c>
      <c r="R388" s="218" t="s">
        <v>72</v>
      </c>
      <c r="S388" s="218" t="s">
        <v>33989</v>
      </c>
      <c r="U388" s="293" t="s">
        <v>25378</v>
      </c>
      <c r="V388" s="293" t="s">
        <v>145</v>
      </c>
      <c r="W388" s="293" t="s">
        <v>74</v>
      </c>
      <c r="X388" s="293" t="s">
        <v>656</v>
      </c>
      <c r="Z388" s="293" t="s">
        <v>25379</v>
      </c>
      <c r="AA388" s="293" t="s">
        <v>145</v>
      </c>
      <c r="AB388" s="293" t="s">
        <v>74</v>
      </c>
      <c r="AC388" s="293" t="s">
        <v>656</v>
      </c>
      <c r="AE388" s="293" t="s">
        <v>25380</v>
      </c>
      <c r="AF388" s="293" t="s">
        <v>145</v>
      </c>
      <c r="AG388" s="293" t="s">
        <v>74</v>
      </c>
      <c r="AH388" s="293" t="s">
        <v>656</v>
      </c>
      <c r="AJ388" s="293" t="s">
        <v>25381</v>
      </c>
      <c r="AK388" s="293" t="s">
        <v>145</v>
      </c>
      <c r="AL388" s="293" t="s">
        <v>74</v>
      </c>
      <c r="AM388" s="293" t="s">
        <v>656</v>
      </c>
      <c r="AO388" s="22" t="s">
        <v>25382</v>
      </c>
      <c r="AP388" s="22" t="s">
        <v>145</v>
      </c>
      <c r="AQ388" s="22" t="s">
        <v>70</v>
      </c>
      <c r="AR388" s="22" t="s">
        <v>67</v>
      </c>
      <c r="AT388" s="22" t="s">
        <v>25383</v>
      </c>
      <c r="AU388" s="22" t="s">
        <v>145</v>
      </c>
      <c r="AV388" s="22" t="s">
        <v>70</v>
      </c>
      <c r="AW388" s="22" t="s">
        <v>67</v>
      </c>
      <c r="AY388" s="22" t="s">
        <v>25384</v>
      </c>
      <c r="AZ388" s="22" t="s">
        <v>145</v>
      </c>
      <c r="BA388" s="22" t="s">
        <v>70</v>
      </c>
      <c r="BB388" s="22" t="s">
        <v>67</v>
      </c>
      <c r="BD388" s="22" t="s">
        <v>25385</v>
      </c>
      <c r="BE388" s="22" t="s">
        <v>145</v>
      </c>
      <c r="BF388" s="22" t="s">
        <v>70</v>
      </c>
      <c r="BG388" s="22" t="s">
        <v>67</v>
      </c>
      <c r="BI388" s="22" t="s">
        <v>25386</v>
      </c>
      <c r="BJ388" s="22" t="s">
        <v>145</v>
      </c>
      <c r="BK388" s="22" t="s">
        <v>70</v>
      </c>
      <c r="BL388" s="22" t="s">
        <v>67</v>
      </c>
      <c r="BN388" s="22" t="s">
        <v>25387</v>
      </c>
      <c r="BO388" s="22" t="s">
        <v>145</v>
      </c>
      <c r="BP388" s="22" t="s">
        <v>70</v>
      </c>
      <c r="BQ388" s="22" t="s">
        <v>67</v>
      </c>
      <c r="BS388" s="22" t="s">
        <v>25388</v>
      </c>
      <c r="BT388" s="22" t="s">
        <v>145</v>
      </c>
      <c r="BU388" s="22" t="s">
        <v>70</v>
      </c>
      <c r="BV388" s="214" t="s">
        <v>530</v>
      </c>
      <c r="BX388" s="22" t="s">
        <v>25389</v>
      </c>
      <c r="BY388" s="22" t="s">
        <v>145</v>
      </c>
      <c r="BZ388" s="22" t="s">
        <v>70</v>
      </c>
      <c r="CA388" s="214" t="s">
        <v>530</v>
      </c>
      <c r="CC388" s="214" t="s">
        <v>25390</v>
      </c>
      <c r="CD388" s="218" t="s">
        <v>149</v>
      </c>
      <c r="CE388" s="214" t="s">
        <v>70</v>
      </c>
      <c r="CF388" s="214" t="s">
        <v>530</v>
      </c>
      <c r="CH388" s="214" t="s">
        <v>25391</v>
      </c>
      <c r="CI388" s="214" t="s">
        <v>163</v>
      </c>
      <c r="CJ388" s="214" t="s">
        <v>70</v>
      </c>
      <c r="CK388" s="214" t="s">
        <v>530</v>
      </c>
      <c r="CM388" s="214" t="s">
        <v>25392</v>
      </c>
      <c r="CN388" s="214" t="s">
        <v>485</v>
      </c>
      <c r="CO388" s="214" t="s">
        <v>70</v>
      </c>
      <c r="CP388" s="214" t="s">
        <v>530</v>
      </c>
      <c r="CR388" s="214" t="s">
        <v>25393</v>
      </c>
      <c r="CS388" s="214" t="s">
        <v>34545</v>
      </c>
      <c r="CT388" s="214" t="s">
        <v>70</v>
      </c>
      <c r="CU388" s="214" t="s">
        <v>530</v>
      </c>
      <c r="CW388" s="214" t="s">
        <v>25394</v>
      </c>
      <c r="CX388" s="214" t="s">
        <v>468</v>
      </c>
      <c r="CY388" s="214" t="s">
        <v>70</v>
      </c>
      <c r="CZ388" s="214" t="s">
        <v>530</v>
      </c>
      <c r="DB388" s="214" t="s">
        <v>25395</v>
      </c>
      <c r="DC388" s="214" t="s">
        <v>52</v>
      </c>
      <c r="DD388" s="214" t="s">
        <v>70</v>
      </c>
      <c r="DE388" s="214" t="s">
        <v>530</v>
      </c>
      <c r="DG388" s="214" t="s">
        <v>25396</v>
      </c>
      <c r="DH388" s="214" t="s">
        <v>953</v>
      </c>
      <c r="DI388" s="214" t="s">
        <v>70</v>
      </c>
      <c r="DJ388" s="214" t="s">
        <v>530</v>
      </c>
      <c r="DL388" s="214" t="s">
        <v>25397</v>
      </c>
      <c r="DM388" s="214" t="s">
        <v>52</v>
      </c>
      <c r="DN388" s="214" t="s">
        <v>70</v>
      </c>
      <c r="DO388" s="214" t="s">
        <v>530</v>
      </c>
      <c r="DQ388" s="214" t="s">
        <v>25398</v>
      </c>
      <c r="DR388" s="214" t="s">
        <v>951</v>
      </c>
      <c r="DS388" s="214" t="s">
        <v>70</v>
      </c>
      <c r="DT388" s="214" t="s">
        <v>530</v>
      </c>
      <c r="DV388" s="214" t="s">
        <v>25399</v>
      </c>
      <c r="DW388" s="214" t="s">
        <v>286</v>
      </c>
      <c r="DX388" s="214" t="s">
        <v>70</v>
      </c>
      <c r="DY388" s="214" t="s">
        <v>530</v>
      </c>
      <c r="EA388" s="214" t="s">
        <v>25400</v>
      </c>
      <c r="EB388" s="214" t="s">
        <v>148</v>
      </c>
      <c r="EC388" s="214" t="s">
        <v>70</v>
      </c>
      <c r="ED388" s="214" t="s">
        <v>530</v>
      </c>
      <c r="EF388" s="214" t="s">
        <v>25401</v>
      </c>
      <c r="EG388" s="214" t="s">
        <v>52</v>
      </c>
      <c r="EH388" s="214" t="s">
        <v>70</v>
      </c>
      <c r="EI388" s="214" t="s">
        <v>530</v>
      </c>
      <c r="EK388" s="214" t="s">
        <v>25402</v>
      </c>
      <c r="EL388" s="214" t="s">
        <v>88</v>
      </c>
      <c r="EM388" s="214" t="s">
        <v>70</v>
      </c>
      <c r="EN388" s="214" t="s">
        <v>530</v>
      </c>
      <c r="EP388" s="214" t="s">
        <v>25403</v>
      </c>
      <c r="EQ388" s="214" t="s">
        <v>642</v>
      </c>
      <c r="ER388" s="214" t="s">
        <v>70</v>
      </c>
      <c r="ES388" s="214" t="s">
        <v>530</v>
      </c>
      <c r="EU388" s="214" t="s">
        <v>25404</v>
      </c>
      <c r="EV388" s="214" t="s">
        <v>88</v>
      </c>
      <c r="EW388" s="214" t="s">
        <v>70</v>
      </c>
      <c r="EX388" s="214" t="s">
        <v>530</v>
      </c>
      <c r="EZ388" s="214" t="s">
        <v>25405</v>
      </c>
      <c r="FA388" s="214" t="s">
        <v>503</v>
      </c>
      <c r="FB388" s="214" t="s">
        <v>70</v>
      </c>
      <c r="FC388" s="214" t="s">
        <v>530</v>
      </c>
      <c r="FE388" s="214" t="s">
        <v>25406</v>
      </c>
      <c r="FF388" s="214" t="s">
        <v>34554</v>
      </c>
      <c r="FG388" s="214" t="s">
        <v>70</v>
      </c>
      <c r="FH388" s="214" t="s">
        <v>530</v>
      </c>
      <c r="FJ388" s="321" t="s">
        <v>25407</v>
      </c>
      <c r="FK388" s="214" t="s">
        <v>90</v>
      </c>
      <c r="FL388" s="214" t="s">
        <v>70</v>
      </c>
      <c r="FM388" s="214" t="s">
        <v>530</v>
      </c>
      <c r="FO388" s="321" t="s">
        <v>25408</v>
      </c>
      <c r="FP388" s="214" t="s">
        <v>87</v>
      </c>
      <c r="FQ388" s="214" t="s">
        <v>70</v>
      </c>
      <c r="FR388" s="214" t="s">
        <v>530</v>
      </c>
      <c r="FT388" s="321" t="s">
        <v>25409</v>
      </c>
      <c r="FU388" s="214" t="s">
        <v>87</v>
      </c>
      <c r="FV388" s="214" t="s">
        <v>70</v>
      </c>
      <c r="FW388" s="214" t="s">
        <v>530</v>
      </c>
      <c r="FY388" s="321" t="s">
        <v>25410</v>
      </c>
      <c r="FZ388" s="214" t="s">
        <v>655</v>
      </c>
      <c r="GA388" s="214" t="s">
        <v>70</v>
      </c>
      <c r="GB388" s="214" t="s">
        <v>530</v>
      </c>
      <c r="GD388" s="321" t="s">
        <v>25411</v>
      </c>
      <c r="GE388" s="214" t="s">
        <v>145</v>
      </c>
      <c r="GF388" s="214" t="s">
        <v>70</v>
      </c>
      <c r="GG388" s="214" t="s">
        <v>530</v>
      </c>
      <c r="GI388" s="321" t="s">
        <v>25412</v>
      </c>
      <c r="GJ388" s="214" t="s">
        <v>52</v>
      </c>
      <c r="GK388" s="214" t="s">
        <v>70</v>
      </c>
      <c r="GL388" s="214" t="s">
        <v>530</v>
      </c>
      <c r="GN388" s="321" t="s">
        <v>25413</v>
      </c>
      <c r="GO388" s="214" t="s">
        <v>85</v>
      </c>
      <c r="GP388" s="214" t="s">
        <v>70</v>
      </c>
      <c r="GQ388" s="214" t="s">
        <v>530</v>
      </c>
      <c r="GS388" s="321" t="s">
        <v>25414</v>
      </c>
      <c r="GT388" s="214" t="s">
        <v>90</v>
      </c>
      <c r="GU388" s="214" t="s">
        <v>70</v>
      </c>
      <c r="GV388" s="214" t="s">
        <v>530</v>
      </c>
      <c r="GX388" s="214" t="s">
        <v>25415</v>
      </c>
      <c r="GY388" s="214" t="s">
        <v>52</v>
      </c>
      <c r="GZ388" s="214" t="s">
        <v>70</v>
      </c>
      <c r="HA388" s="214" t="s">
        <v>530</v>
      </c>
      <c r="HC388" s="214" t="s">
        <v>25416</v>
      </c>
      <c r="HD388" s="214" t="s">
        <v>85</v>
      </c>
      <c r="HE388" s="214" t="s">
        <v>70</v>
      </c>
      <c r="HF388" s="214" t="s">
        <v>530</v>
      </c>
      <c r="HH388" s="214" t="s">
        <v>25417</v>
      </c>
      <c r="HI388" s="214" t="s">
        <v>163</v>
      </c>
      <c r="HJ388" s="214" t="s">
        <v>70</v>
      </c>
      <c r="HK388" s="214" t="s">
        <v>530</v>
      </c>
      <c r="HM388" s="214" t="s">
        <v>25418</v>
      </c>
      <c r="HN388" s="214" t="s">
        <v>949</v>
      </c>
      <c r="HO388" s="214" t="s">
        <v>70</v>
      </c>
      <c r="HP388" s="214" t="s">
        <v>530</v>
      </c>
      <c r="HR388" s="22" t="s">
        <v>25419</v>
      </c>
      <c r="HS388" s="22" t="s">
        <v>148</v>
      </c>
      <c r="HT388" s="22" t="s">
        <v>70</v>
      </c>
      <c r="HU388" s="214" t="s">
        <v>530</v>
      </c>
      <c r="HW388" s="22" t="s">
        <v>25420</v>
      </c>
      <c r="HX388" s="22" t="s">
        <v>52</v>
      </c>
      <c r="HY388" s="22" t="s">
        <v>70</v>
      </c>
      <c r="HZ388" s="214" t="s">
        <v>530</v>
      </c>
      <c r="IB388" s="22" t="s">
        <v>25421</v>
      </c>
      <c r="IC388" s="22" t="s">
        <v>145</v>
      </c>
      <c r="ID388" s="22" t="s">
        <v>70</v>
      </c>
      <c r="IE388" s="214" t="s">
        <v>530</v>
      </c>
      <c r="IG388" s="22" t="s">
        <v>25422</v>
      </c>
      <c r="IH388" s="22" t="s">
        <v>52</v>
      </c>
      <c r="II388" s="22" t="s">
        <v>70</v>
      </c>
      <c r="IJ388" s="214" t="s">
        <v>530</v>
      </c>
      <c r="IL388" s="22" t="s">
        <v>25423</v>
      </c>
      <c r="IM388" s="22" t="s">
        <v>145</v>
      </c>
      <c r="IN388" s="22" t="s">
        <v>70</v>
      </c>
      <c r="IO388" s="214" t="s">
        <v>530</v>
      </c>
      <c r="IQ388" s="236" t="s">
        <v>25424</v>
      </c>
      <c r="IR388" s="236" t="s">
        <v>145</v>
      </c>
      <c r="IS388" s="236" t="s">
        <v>74</v>
      </c>
      <c r="IT388" s="236" t="s">
        <v>841</v>
      </c>
      <c r="IV388" s="236" t="s">
        <v>25425</v>
      </c>
      <c r="IW388" s="236" t="s">
        <v>145</v>
      </c>
      <c r="IX388" s="236" t="s">
        <v>74</v>
      </c>
      <c r="IY388" s="236" t="s">
        <v>841</v>
      </c>
      <c r="JA388" s="236" t="s">
        <v>25426</v>
      </c>
      <c r="JB388" s="236" t="s">
        <v>145</v>
      </c>
      <c r="JC388" s="236" t="s">
        <v>74</v>
      </c>
      <c r="JD388" s="236" t="s">
        <v>841</v>
      </c>
      <c r="JF388" s="236" t="s">
        <v>25427</v>
      </c>
      <c r="JG388" s="236" t="s">
        <v>145</v>
      </c>
      <c r="JH388" s="236" t="s">
        <v>74</v>
      </c>
      <c r="JI388" s="236" t="s">
        <v>841</v>
      </c>
      <c r="JK388" s="236" t="s">
        <v>25428</v>
      </c>
      <c r="JL388" s="236" t="s">
        <v>145</v>
      </c>
      <c r="JM388" s="236" t="s">
        <v>74</v>
      </c>
      <c r="JN388" s="236" t="s">
        <v>841</v>
      </c>
      <c r="JP388" s="236" t="s">
        <v>25429</v>
      </c>
      <c r="JQ388" s="236" t="s">
        <v>145</v>
      </c>
      <c r="JR388" s="236" t="s">
        <v>74</v>
      </c>
      <c r="JS388" s="236" t="s">
        <v>841</v>
      </c>
      <c r="JU388" s="294" t="s">
        <v>25430</v>
      </c>
      <c r="JV388" s="294" t="s">
        <v>52</v>
      </c>
      <c r="JW388" s="263" t="s">
        <v>70</v>
      </c>
      <c r="JX388" s="294" t="s">
        <v>1083</v>
      </c>
      <c r="JZ388" s="263" t="s">
        <v>25431</v>
      </c>
      <c r="KA388" s="263" t="s">
        <v>145</v>
      </c>
      <c r="KB388" s="263" t="s">
        <v>70</v>
      </c>
      <c r="KC388" s="263" t="s">
        <v>1083</v>
      </c>
      <c r="KE388" s="263" t="s">
        <v>25432</v>
      </c>
      <c r="KF388" s="263" t="s">
        <v>52</v>
      </c>
      <c r="KG388" s="263" t="s">
        <v>70</v>
      </c>
      <c r="KH388" s="263" t="s">
        <v>1083</v>
      </c>
      <c r="KJ388" s="263" t="s">
        <v>25433</v>
      </c>
      <c r="KK388" s="263" t="s">
        <v>52</v>
      </c>
      <c r="KL388" s="263" t="s">
        <v>74</v>
      </c>
      <c r="KM388" s="263" t="s">
        <v>34074</v>
      </c>
      <c r="KO388" s="214" t="s">
        <v>25434</v>
      </c>
      <c r="KP388" s="214" t="s">
        <v>145</v>
      </c>
      <c r="KQ388" s="214" t="s">
        <v>70</v>
      </c>
      <c r="KR388" s="214" t="s">
        <v>67</v>
      </c>
      <c r="KT388" s="22" t="s">
        <v>25435</v>
      </c>
      <c r="KU388" s="22" t="s">
        <v>145</v>
      </c>
      <c r="KV388" s="22" t="s">
        <v>70</v>
      </c>
      <c r="KW388" s="22" t="s">
        <v>67</v>
      </c>
      <c r="KY388" s="214" t="s">
        <v>25436</v>
      </c>
      <c r="KZ388" s="214" t="s">
        <v>52</v>
      </c>
      <c r="LA388" s="214" t="s">
        <v>74</v>
      </c>
      <c r="LB388" s="214" t="s">
        <v>67</v>
      </c>
      <c r="LD388" s="22" t="s">
        <v>25437</v>
      </c>
      <c r="LE388" s="22" t="s">
        <v>145</v>
      </c>
      <c r="LF388" s="22" t="s">
        <v>70</v>
      </c>
      <c r="LG388" s="22" t="s">
        <v>67</v>
      </c>
    </row>
    <row r="389" spans="1:319">
      <c r="A389" s="22" t="s">
        <v>25438</v>
      </c>
      <c r="B389" s="22" t="s">
        <v>145</v>
      </c>
      <c r="C389" s="22" t="s">
        <v>70</v>
      </c>
      <c r="D389" s="22" t="s">
        <v>67</v>
      </c>
      <c r="F389" s="101" t="s">
        <v>25439</v>
      </c>
      <c r="G389" s="22" t="s">
        <v>145</v>
      </c>
      <c r="H389" s="22" t="s">
        <v>70</v>
      </c>
      <c r="I389" s="22" t="s">
        <v>67</v>
      </c>
      <c r="K389" s="99" t="s">
        <v>25440</v>
      </c>
      <c r="L389" s="22" t="s">
        <v>145</v>
      </c>
      <c r="M389" s="22" t="s">
        <v>70</v>
      </c>
      <c r="N389" s="22" t="s">
        <v>67</v>
      </c>
      <c r="P389" s="230" t="s">
        <v>25441</v>
      </c>
      <c r="Q389" s="218" t="s">
        <v>145</v>
      </c>
      <c r="R389" s="218" t="s">
        <v>72</v>
      </c>
      <c r="S389" s="218" t="s">
        <v>33990</v>
      </c>
      <c r="U389" s="293" t="s">
        <v>25442</v>
      </c>
      <c r="V389" s="293" t="s">
        <v>145</v>
      </c>
      <c r="W389" s="293" t="s">
        <v>74</v>
      </c>
      <c r="X389" s="293" t="s">
        <v>656</v>
      </c>
      <c r="Z389" s="293" t="s">
        <v>25443</v>
      </c>
      <c r="AA389" s="293" t="s">
        <v>145</v>
      </c>
      <c r="AB389" s="293" t="s">
        <v>74</v>
      </c>
      <c r="AC389" s="293" t="s">
        <v>656</v>
      </c>
      <c r="AE389" s="293" t="s">
        <v>25444</v>
      </c>
      <c r="AF389" s="293" t="s">
        <v>145</v>
      </c>
      <c r="AG389" s="293" t="s">
        <v>74</v>
      </c>
      <c r="AH389" s="293" t="s">
        <v>656</v>
      </c>
      <c r="AJ389" s="293" t="s">
        <v>25445</v>
      </c>
      <c r="AK389" s="293" t="s">
        <v>145</v>
      </c>
      <c r="AL389" s="293" t="s">
        <v>74</v>
      </c>
      <c r="AM389" s="293" t="s">
        <v>656</v>
      </c>
      <c r="AO389" s="22" t="s">
        <v>25446</v>
      </c>
      <c r="AP389" s="22" t="s">
        <v>145</v>
      </c>
      <c r="AQ389" s="22" t="s">
        <v>70</v>
      </c>
      <c r="AR389" s="22" t="s">
        <v>67</v>
      </c>
      <c r="AT389" s="22" t="s">
        <v>25447</v>
      </c>
      <c r="AU389" s="22" t="s">
        <v>145</v>
      </c>
      <c r="AV389" s="22" t="s">
        <v>70</v>
      </c>
      <c r="AW389" s="22" t="s">
        <v>67</v>
      </c>
      <c r="AY389" s="22" t="s">
        <v>25448</v>
      </c>
      <c r="AZ389" s="22" t="s">
        <v>145</v>
      </c>
      <c r="BA389" s="22" t="s">
        <v>70</v>
      </c>
      <c r="BB389" s="22" t="s">
        <v>67</v>
      </c>
      <c r="BD389" s="22" t="s">
        <v>25449</v>
      </c>
      <c r="BE389" s="22" t="s">
        <v>145</v>
      </c>
      <c r="BF389" s="22" t="s">
        <v>70</v>
      </c>
      <c r="BG389" s="22" t="s">
        <v>67</v>
      </c>
      <c r="BI389" s="22" t="s">
        <v>25450</v>
      </c>
      <c r="BJ389" s="22" t="s">
        <v>145</v>
      </c>
      <c r="BK389" s="22" t="s">
        <v>70</v>
      </c>
      <c r="BL389" s="22" t="s">
        <v>67</v>
      </c>
      <c r="BN389" s="22" t="s">
        <v>25451</v>
      </c>
      <c r="BO389" s="22" t="s">
        <v>145</v>
      </c>
      <c r="BP389" s="22" t="s">
        <v>70</v>
      </c>
      <c r="BQ389" s="22" t="s">
        <v>67</v>
      </c>
      <c r="BS389" s="22" t="s">
        <v>25452</v>
      </c>
      <c r="BT389" s="22" t="s">
        <v>145</v>
      </c>
      <c r="BU389" s="22" t="s">
        <v>70</v>
      </c>
      <c r="BV389" s="214" t="s">
        <v>530</v>
      </c>
      <c r="BX389" s="22" t="s">
        <v>25453</v>
      </c>
      <c r="BY389" s="22" t="s">
        <v>145</v>
      </c>
      <c r="BZ389" s="22" t="s">
        <v>70</v>
      </c>
      <c r="CA389" s="214" t="s">
        <v>530</v>
      </c>
      <c r="CC389" s="214" t="s">
        <v>25454</v>
      </c>
      <c r="CD389" s="218" t="s">
        <v>926</v>
      </c>
      <c r="CE389" s="214" t="s">
        <v>70</v>
      </c>
      <c r="CF389" s="214" t="s">
        <v>530</v>
      </c>
      <c r="CH389" s="214" t="s">
        <v>25455</v>
      </c>
      <c r="CI389" s="214" t="s">
        <v>955</v>
      </c>
      <c r="CJ389" s="214" t="s">
        <v>70</v>
      </c>
      <c r="CK389" s="214" t="s">
        <v>530</v>
      </c>
      <c r="CM389" s="214" t="s">
        <v>25456</v>
      </c>
      <c r="CN389" s="214" t="s">
        <v>146</v>
      </c>
      <c r="CO389" s="214" t="s">
        <v>70</v>
      </c>
      <c r="CP389" s="214" t="s">
        <v>530</v>
      </c>
      <c r="CR389" s="214" t="s">
        <v>25457</v>
      </c>
      <c r="CS389" s="214" t="s">
        <v>34551</v>
      </c>
      <c r="CT389" s="214" t="s">
        <v>70</v>
      </c>
      <c r="CU389" s="214" t="s">
        <v>530</v>
      </c>
      <c r="CW389" s="214" t="s">
        <v>25458</v>
      </c>
      <c r="CX389" s="214" t="s">
        <v>484</v>
      </c>
      <c r="CY389" s="214" t="s">
        <v>70</v>
      </c>
      <c r="CZ389" s="214" t="s">
        <v>530</v>
      </c>
      <c r="DB389" s="214" t="s">
        <v>25459</v>
      </c>
      <c r="DC389" s="214" t="s">
        <v>950</v>
      </c>
      <c r="DD389" s="214" t="s">
        <v>70</v>
      </c>
      <c r="DE389" s="214" t="s">
        <v>530</v>
      </c>
      <c r="DG389" s="214" t="s">
        <v>25460</v>
      </c>
      <c r="DH389" s="214" t="s">
        <v>490</v>
      </c>
      <c r="DI389" s="214" t="s">
        <v>70</v>
      </c>
      <c r="DJ389" s="214" t="s">
        <v>530</v>
      </c>
      <c r="DL389" s="214" t="s">
        <v>25461</v>
      </c>
      <c r="DM389" s="214" t="s">
        <v>34558</v>
      </c>
      <c r="DN389" s="214" t="s">
        <v>70</v>
      </c>
      <c r="DO389" s="214" t="s">
        <v>530</v>
      </c>
      <c r="DQ389" s="214" t="s">
        <v>25462</v>
      </c>
      <c r="DR389" s="214" t="s">
        <v>52</v>
      </c>
      <c r="DS389" s="214" t="s">
        <v>70</v>
      </c>
      <c r="DT389" s="214" t="s">
        <v>530</v>
      </c>
      <c r="DV389" s="214" t="s">
        <v>25463</v>
      </c>
      <c r="DW389" s="214" t="s">
        <v>486</v>
      </c>
      <c r="DX389" s="214" t="s">
        <v>70</v>
      </c>
      <c r="DY389" s="214" t="s">
        <v>530</v>
      </c>
      <c r="EA389" s="214" t="s">
        <v>25464</v>
      </c>
      <c r="EB389" s="214" t="s">
        <v>34593</v>
      </c>
      <c r="EC389" s="214" t="s">
        <v>70</v>
      </c>
      <c r="ED389" s="214" t="s">
        <v>530</v>
      </c>
      <c r="EF389" s="214" t="s">
        <v>25465</v>
      </c>
      <c r="EG389" s="214" t="s">
        <v>485</v>
      </c>
      <c r="EH389" s="214" t="s">
        <v>70</v>
      </c>
      <c r="EI389" s="214" t="s">
        <v>530</v>
      </c>
      <c r="EK389" s="214" t="s">
        <v>25466</v>
      </c>
      <c r="EL389" s="214" t="s">
        <v>481</v>
      </c>
      <c r="EM389" s="214" t="s">
        <v>70</v>
      </c>
      <c r="EN389" s="214" t="s">
        <v>530</v>
      </c>
      <c r="EP389" s="214" t="s">
        <v>25467</v>
      </c>
      <c r="EQ389" s="214" t="s">
        <v>34516</v>
      </c>
      <c r="ER389" s="214" t="s">
        <v>70</v>
      </c>
      <c r="ES389" s="214" t="s">
        <v>530</v>
      </c>
      <c r="EU389" s="214" t="s">
        <v>25468</v>
      </c>
      <c r="EV389" s="214" t="s">
        <v>488</v>
      </c>
      <c r="EW389" s="214" t="s">
        <v>70</v>
      </c>
      <c r="EX389" s="214" t="s">
        <v>530</v>
      </c>
      <c r="EZ389" s="214" t="s">
        <v>25469</v>
      </c>
      <c r="FA389" s="214" t="s">
        <v>34568</v>
      </c>
      <c r="FB389" s="214" t="s">
        <v>70</v>
      </c>
      <c r="FC389" s="214" t="s">
        <v>530</v>
      </c>
      <c r="FE389" s="214" t="s">
        <v>25470</v>
      </c>
      <c r="FF389" s="214" t="s">
        <v>149</v>
      </c>
      <c r="FG389" s="214" t="s">
        <v>70</v>
      </c>
      <c r="FH389" s="214" t="s">
        <v>530</v>
      </c>
      <c r="FJ389" s="321" t="s">
        <v>25471</v>
      </c>
      <c r="FK389" s="214" t="s">
        <v>482</v>
      </c>
      <c r="FL389" s="214" t="s">
        <v>70</v>
      </c>
      <c r="FM389" s="214" t="s">
        <v>530</v>
      </c>
      <c r="FO389" s="321" t="s">
        <v>25472</v>
      </c>
      <c r="FP389" s="214" t="s">
        <v>34580</v>
      </c>
      <c r="FQ389" s="214" t="s">
        <v>70</v>
      </c>
      <c r="FR389" s="214" t="s">
        <v>530</v>
      </c>
      <c r="FT389" s="321" t="s">
        <v>25473</v>
      </c>
      <c r="FU389" s="214" t="s">
        <v>950</v>
      </c>
      <c r="FV389" s="214" t="s">
        <v>70</v>
      </c>
      <c r="FW389" s="214" t="s">
        <v>530</v>
      </c>
      <c r="FY389" s="321" t="s">
        <v>25474</v>
      </c>
      <c r="FZ389" s="214" t="s">
        <v>34542</v>
      </c>
      <c r="GA389" s="214" t="s">
        <v>70</v>
      </c>
      <c r="GB389" s="214" t="s">
        <v>530</v>
      </c>
      <c r="GD389" s="321" t="s">
        <v>25475</v>
      </c>
      <c r="GE389" s="214" t="s">
        <v>34541</v>
      </c>
      <c r="GF389" s="214" t="s">
        <v>70</v>
      </c>
      <c r="GG389" s="214" t="s">
        <v>530</v>
      </c>
      <c r="GI389" s="321" t="s">
        <v>25476</v>
      </c>
      <c r="GJ389" s="214" t="s">
        <v>485</v>
      </c>
      <c r="GK389" s="214" t="s">
        <v>70</v>
      </c>
      <c r="GL389" s="214" t="s">
        <v>530</v>
      </c>
      <c r="GN389" s="321" t="s">
        <v>25477</v>
      </c>
      <c r="GO389" s="214" t="s">
        <v>34551</v>
      </c>
      <c r="GP389" s="214" t="s">
        <v>70</v>
      </c>
      <c r="GQ389" s="214" t="s">
        <v>530</v>
      </c>
      <c r="GS389" s="321" t="s">
        <v>25478</v>
      </c>
      <c r="GT389" s="214" t="s">
        <v>944</v>
      </c>
      <c r="GU389" s="214" t="s">
        <v>70</v>
      </c>
      <c r="GV389" s="214" t="s">
        <v>530</v>
      </c>
      <c r="GX389" s="214" t="s">
        <v>25479</v>
      </c>
      <c r="GY389" s="214" t="s">
        <v>52</v>
      </c>
      <c r="GZ389" s="214" t="s">
        <v>70</v>
      </c>
      <c r="HA389" s="214" t="s">
        <v>530</v>
      </c>
      <c r="HC389" s="214" t="s">
        <v>25480</v>
      </c>
      <c r="HD389" s="214" t="s">
        <v>921</v>
      </c>
      <c r="HE389" s="214" t="s">
        <v>70</v>
      </c>
      <c r="HF389" s="214" t="s">
        <v>530</v>
      </c>
      <c r="HH389" s="214" t="s">
        <v>25481</v>
      </c>
      <c r="HI389" s="214" t="s">
        <v>484</v>
      </c>
      <c r="HJ389" s="214" t="s">
        <v>70</v>
      </c>
      <c r="HK389" s="214" t="s">
        <v>530</v>
      </c>
      <c r="HM389" s="214" t="s">
        <v>25482</v>
      </c>
      <c r="HN389" s="214" t="s">
        <v>518</v>
      </c>
      <c r="HO389" s="214" t="s">
        <v>70</v>
      </c>
      <c r="HP389" s="214" t="s">
        <v>530</v>
      </c>
      <c r="HR389" s="22" t="s">
        <v>25483</v>
      </c>
      <c r="HS389" s="22" t="s">
        <v>484</v>
      </c>
      <c r="HT389" s="22" t="s">
        <v>70</v>
      </c>
      <c r="HU389" s="214" t="s">
        <v>530</v>
      </c>
      <c r="HW389" s="22" t="s">
        <v>25484</v>
      </c>
      <c r="HX389" s="22" t="s">
        <v>88</v>
      </c>
      <c r="HY389" s="22" t="s">
        <v>70</v>
      </c>
      <c r="HZ389" s="214" t="s">
        <v>530</v>
      </c>
      <c r="IB389" s="22" t="s">
        <v>25485</v>
      </c>
      <c r="IC389" s="22" t="s">
        <v>163</v>
      </c>
      <c r="ID389" s="22" t="s">
        <v>70</v>
      </c>
      <c r="IE389" s="214" t="s">
        <v>530</v>
      </c>
      <c r="IG389" s="22" t="s">
        <v>25486</v>
      </c>
      <c r="IH389" s="22" t="s">
        <v>52</v>
      </c>
      <c r="II389" s="22" t="s">
        <v>70</v>
      </c>
      <c r="IJ389" s="214" t="s">
        <v>530</v>
      </c>
      <c r="IL389" s="22" t="s">
        <v>25487</v>
      </c>
      <c r="IM389" s="22" t="s">
        <v>145</v>
      </c>
      <c r="IN389" s="22" t="s">
        <v>70</v>
      </c>
      <c r="IO389" s="214" t="s">
        <v>530</v>
      </c>
      <c r="IQ389" s="236" t="s">
        <v>25488</v>
      </c>
      <c r="IR389" s="236" t="s">
        <v>145</v>
      </c>
      <c r="IS389" s="236" t="s">
        <v>74</v>
      </c>
      <c r="IT389" s="236" t="s">
        <v>841</v>
      </c>
      <c r="IV389" s="236" t="s">
        <v>25489</v>
      </c>
      <c r="IW389" s="236" t="s">
        <v>145</v>
      </c>
      <c r="IX389" s="236" t="s">
        <v>74</v>
      </c>
      <c r="IY389" s="236" t="s">
        <v>841</v>
      </c>
      <c r="JA389" s="236" t="s">
        <v>25490</v>
      </c>
      <c r="JB389" s="236" t="s">
        <v>145</v>
      </c>
      <c r="JC389" s="236" t="s">
        <v>74</v>
      </c>
      <c r="JD389" s="236" t="s">
        <v>841</v>
      </c>
      <c r="JF389" s="236" t="s">
        <v>25491</v>
      </c>
      <c r="JG389" s="236" t="s">
        <v>145</v>
      </c>
      <c r="JH389" s="236" t="s">
        <v>74</v>
      </c>
      <c r="JI389" s="236" t="s">
        <v>841</v>
      </c>
      <c r="JK389" s="236" t="s">
        <v>25492</v>
      </c>
      <c r="JL389" s="236" t="s">
        <v>145</v>
      </c>
      <c r="JM389" s="236" t="s">
        <v>74</v>
      </c>
      <c r="JN389" s="236" t="s">
        <v>841</v>
      </c>
      <c r="JP389" s="236" t="s">
        <v>25493</v>
      </c>
      <c r="JQ389" s="236" t="s">
        <v>145</v>
      </c>
      <c r="JR389" s="236" t="s">
        <v>74</v>
      </c>
      <c r="JS389" s="236" t="s">
        <v>841</v>
      </c>
      <c r="JU389" s="294" t="s">
        <v>25494</v>
      </c>
      <c r="JV389" s="294" t="s">
        <v>52</v>
      </c>
      <c r="JW389" s="263" t="s">
        <v>70</v>
      </c>
      <c r="JX389" s="294" t="s">
        <v>1083</v>
      </c>
      <c r="JZ389" s="263" t="s">
        <v>25495</v>
      </c>
      <c r="KA389" s="263" t="s">
        <v>145</v>
      </c>
      <c r="KB389" s="263" t="s">
        <v>70</v>
      </c>
      <c r="KC389" s="263" t="s">
        <v>1083</v>
      </c>
      <c r="KE389" s="263" t="s">
        <v>25496</v>
      </c>
      <c r="KF389" s="263" t="s">
        <v>52</v>
      </c>
      <c r="KG389" s="263" t="s">
        <v>70</v>
      </c>
      <c r="KH389" s="263" t="s">
        <v>1083</v>
      </c>
      <c r="KJ389" s="263" t="s">
        <v>25497</v>
      </c>
      <c r="KK389" s="263" t="s">
        <v>52</v>
      </c>
      <c r="KL389" s="263" t="s">
        <v>74</v>
      </c>
      <c r="KM389" s="263" t="s">
        <v>34074</v>
      </c>
      <c r="KO389" s="214" t="s">
        <v>25498</v>
      </c>
      <c r="KP389" s="214" t="s">
        <v>145</v>
      </c>
      <c r="KQ389" s="214" t="s">
        <v>70</v>
      </c>
      <c r="KR389" s="214" t="s">
        <v>67</v>
      </c>
      <c r="KT389" s="22" t="s">
        <v>25499</v>
      </c>
      <c r="KU389" s="22" t="s">
        <v>145</v>
      </c>
      <c r="KV389" s="22" t="s">
        <v>70</v>
      </c>
      <c r="KW389" s="22" t="s">
        <v>67</v>
      </c>
      <c r="KY389" s="214" t="s">
        <v>25500</v>
      </c>
      <c r="KZ389" s="214" t="s">
        <v>52</v>
      </c>
      <c r="LA389" s="214" t="s">
        <v>74</v>
      </c>
      <c r="LB389" s="214" t="s">
        <v>67</v>
      </c>
      <c r="LD389" s="22" t="s">
        <v>25501</v>
      </c>
      <c r="LE389" s="22" t="s">
        <v>145</v>
      </c>
      <c r="LF389" s="22" t="s">
        <v>70</v>
      </c>
      <c r="LG389" s="22" t="s">
        <v>67</v>
      </c>
    </row>
    <row r="390" spans="1:319">
      <c r="A390" s="22" t="s">
        <v>25502</v>
      </c>
      <c r="B390" s="22" t="s">
        <v>145</v>
      </c>
      <c r="C390" s="22" t="s">
        <v>70</v>
      </c>
      <c r="D390" s="22" t="s">
        <v>67</v>
      </c>
      <c r="F390" s="101" t="s">
        <v>25503</v>
      </c>
      <c r="G390" s="22" t="s">
        <v>145</v>
      </c>
      <c r="H390" s="22" t="s">
        <v>70</v>
      </c>
      <c r="I390" s="22" t="s">
        <v>67</v>
      </c>
      <c r="K390" s="99" t="s">
        <v>25504</v>
      </c>
      <c r="L390" s="22" t="s">
        <v>145</v>
      </c>
      <c r="M390" s="22" t="s">
        <v>70</v>
      </c>
      <c r="N390" s="22" t="s">
        <v>67</v>
      </c>
      <c r="P390" s="230" t="s">
        <v>25505</v>
      </c>
      <c r="Q390" s="218" t="s">
        <v>145</v>
      </c>
      <c r="R390" s="218" t="s">
        <v>72</v>
      </c>
      <c r="S390" s="218" t="s">
        <v>33991</v>
      </c>
      <c r="U390" s="293" t="s">
        <v>25506</v>
      </c>
      <c r="V390" s="293" t="s">
        <v>145</v>
      </c>
      <c r="W390" s="293" t="s">
        <v>74</v>
      </c>
      <c r="X390" s="293" t="s">
        <v>656</v>
      </c>
      <c r="Z390" s="293" t="s">
        <v>25507</v>
      </c>
      <c r="AA390" s="293" t="s">
        <v>145</v>
      </c>
      <c r="AB390" s="293" t="s">
        <v>74</v>
      </c>
      <c r="AC390" s="293" t="s">
        <v>656</v>
      </c>
      <c r="AE390" s="293" t="s">
        <v>25508</v>
      </c>
      <c r="AF390" s="293" t="s">
        <v>145</v>
      </c>
      <c r="AG390" s="293" t="s">
        <v>74</v>
      </c>
      <c r="AH390" s="293" t="s">
        <v>656</v>
      </c>
      <c r="AJ390" s="293" t="s">
        <v>25509</v>
      </c>
      <c r="AK390" s="293" t="s">
        <v>145</v>
      </c>
      <c r="AL390" s="293" t="s">
        <v>74</v>
      </c>
      <c r="AM390" s="293" t="s">
        <v>656</v>
      </c>
      <c r="AO390" s="22" t="s">
        <v>25510</v>
      </c>
      <c r="AP390" s="22" t="s">
        <v>145</v>
      </c>
      <c r="AQ390" s="22" t="s">
        <v>70</v>
      </c>
      <c r="AR390" s="22" t="s">
        <v>67</v>
      </c>
      <c r="AT390" s="22" t="s">
        <v>25511</v>
      </c>
      <c r="AU390" s="22" t="s">
        <v>145</v>
      </c>
      <c r="AV390" s="22" t="s">
        <v>70</v>
      </c>
      <c r="AW390" s="22" t="s">
        <v>67</v>
      </c>
      <c r="AY390" s="22" t="s">
        <v>25512</v>
      </c>
      <c r="AZ390" s="22" t="s">
        <v>145</v>
      </c>
      <c r="BA390" s="22" t="s">
        <v>70</v>
      </c>
      <c r="BB390" s="22" t="s">
        <v>67</v>
      </c>
      <c r="BD390" s="22" t="s">
        <v>25513</v>
      </c>
      <c r="BE390" s="22" t="s">
        <v>145</v>
      </c>
      <c r="BF390" s="22" t="s">
        <v>70</v>
      </c>
      <c r="BG390" s="22" t="s">
        <v>67</v>
      </c>
      <c r="BI390" s="22" t="s">
        <v>25514</v>
      </c>
      <c r="BJ390" s="22" t="s">
        <v>145</v>
      </c>
      <c r="BK390" s="22" t="s">
        <v>70</v>
      </c>
      <c r="BL390" s="22" t="s">
        <v>67</v>
      </c>
      <c r="BN390" s="22" t="s">
        <v>25515</v>
      </c>
      <c r="BO390" s="22" t="s">
        <v>145</v>
      </c>
      <c r="BP390" s="22" t="s">
        <v>70</v>
      </c>
      <c r="BQ390" s="22" t="s">
        <v>67</v>
      </c>
      <c r="BS390" s="22" t="s">
        <v>25516</v>
      </c>
      <c r="BT390" s="22" t="s">
        <v>145</v>
      </c>
      <c r="BU390" s="22" t="s">
        <v>70</v>
      </c>
      <c r="BV390" s="214" t="s">
        <v>530</v>
      </c>
      <c r="BX390" s="22" t="s">
        <v>25517</v>
      </c>
      <c r="BY390" s="22" t="s">
        <v>145</v>
      </c>
      <c r="BZ390" s="22" t="s">
        <v>70</v>
      </c>
      <c r="CA390" s="214" t="s">
        <v>530</v>
      </c>
      <c r="CC390" s="214" t="s">
        <v>25518</v>
      </c>
      <c r="CD390" s="218" t="s">
        <v>502</v>
      </c>
      <c r="CE390" s="214" t="s">
        <v>70</v>
      </c>
      <c r="CF390" s="214" t="s">
        <v>530</v>
      </c>
      <c r="CH390" s="214" t="s">
        <v>25519</v>
      </c>
      <c r="CI390" s="214" t="s">
        <v>86</v>
      </c>
      <c r="CJ390" s="214" t="s">
        <v>70</v>
      </c>
      <c r="CK390" s="214" t="s">
        <v>530</v>
      </c>
      <c r="CM390" s="214" t="s">
        <v>25520</v>
      </c>
      <c r="CN390" s="214" t="s">
        <v>85</v>
      </c>
      <c r="CO390" s="214" t="s">
        <v>70</v>
      </c>
      <c r="CP390" s="214" t="s">
        <v>530</v>
      </c>
      <c r="CR390" s="214" t="s">
        <v>25521</v>
      </c>
      <c r="CS390" s="214" t="s">
        <v>34594</v>
      </c>
      <c r="CT390" s="214" t="s">
        <v>70</v>
      </c>
      <c r="CU390" s="214" t="s">
        <v>530</v>
      </c>
      <c r="CW390" s="214" t="s">
        <v>25522</v>
      </c>
      <c r="CX390" s="214" t="s">
        <v>485</v>
      </c>
      <c r="CY390" s="214" t="s">
        <v>70</v>
      </c>
      <c r="CZ390" s="214" t="s">
        <v>530</v>
      </c>
      <c r="DB390" s="214" t="s">
        <v>25523</v>
      </c>
      <c r="DC390" s="214" t="s">
        <v>149</v>
      </c>
      <c r="DD390" s="214" t="s">
        <v>70</v>
      </c>
      <c r="DE390" s="214" t="s">
        <v>530</v>
      </c>
      <c r="DG390" s="214" t="s">
        <v>25524</v>
      </c>
      <c r="DH390" s="214" t="s">
        <v>286</v>
      </c>
      <c r="DI390" s="214" t="s">
        <v>70</v>
      </c>
      <c r="DJ390" s="214" t="s">
        <v>530</v>
      </c>
      <c r="DL390" s="214" t="s">
        <v>25525</v>
      </c>
      <c r="DM390" s="214" t="s">
        <v>52</v>
      </c>
      <c r="DN390" s="214" t="s">
        <v>70</v>
      </c>
      <c r="DO390" s="214" t="s">
        <v>530</v>
      </c>
      <c r="DQ390" s="214" t="s">
        <v>25526</v>
      </c>
      <c r="DR390" s="214" t="s">
        <v>518</v>
      </c>
      <c r="DS390" s="214" t="s">
        <v>70</v>
      </c>
      <c r="DT390" s="214" t="s">
        <v>530</v>
      </c>
      <c r="DV390" s="214" t="s">
        <v>25527</v>
      </c>
      <c r="DW390" s="214" t="s">
        <v>34610</v>
      </c>
      <c r="DX390" s="214" t="s">
        <v>70</v>
      </c>
      <c r="DY390" s="214" t="s">
        <v>530</v>
      </c>
      <c r="EA390" s="214" t="s">
        <v>25528</v>
      </c>
      <c r="EB390" s="214" t="s">
        <v>148</v>
      </c>
      <c r="EC390" s="214" t="s">
        <v>70</v>
      </c>
      <c r="ED390" s="214" t="s">
        <v>530</v>
      </c>
      <c r="EF390" s="214" t="s">
        <v>25529</v>
      </c>
      <c r="EG390" s="214" t="s">
        <v>103</v>
      </c>
      <c r="EH390" s="214" t="s">
        <v>70</v>
      </c>
      <c r="EI390" s="214" t="s">
        <v>530</v>
      </c>
      <c r="EK390" s="214" t="s">
        <v>25530</v>
      </c>
      <c r="EL390" s="214" t="s">
        <v>484</v>
      </c>
      <c r="EM390" s="214" t="s">
        <v>70</v>
      </c>
      <c r="EN390" s="214" t="s">
        <v>530</v>
      </c>
      <c r="EP390" s="214" t="s">
        <v>25531</v>
      </c>
      <c r="EQ390" s="214" t="s">
        <v>148</v>
      </c>
      <c r="ER390" s="214" t="s">
        <v>70</v>
      </c>
      <c r="ES390" s="214" t="s">
        <v>530</v>
      </c>
      <c r="EU390" s="214" t="s">
        <v>25532</v>
      </c>
      <c r="EV390" s="214" t="s">
        <v>145</v>
      </c>
      <c r="EW390" s="214" t="s">
        <v>70</v>
      </c>
      <c r="EX390" s="214" t="s">
        <v>530</v>
      </c>
      <c r="EZ390" s="214" t="s">
        <v>25533</v>
      </c>
      <c r="FA390" s="214" t="s">
        <v>52</v>
      </c>
      <c r="FB390" s="214" t="s">
        <v>70</v>
      </c>
      <c r="FC390" s="214" t="s">
        <v>530</v>
      </c>
      <c r="FE390" s="214" t="s">
        <v>25534</v>
      </c>
      <c r="FF390" s="214" t="s">
        <v>34471</v>
      </c>
      <c r="FG390" s="214" t="s">
        <v>70</v>
      </c>
      <c r="FH390" s="214" t="s">
        <v>530</v>
      </c>
      <c r="FJ390" s="321" t="s">
        <v>25535</v>
      </c>
      <c r="FK390" s="214" t="s">
        <v>163</v>
      </c>
      <c r="FL390" s="214" t="s">
        <v>70</v>
      </c>
      <c r="FM390" s="214" t="s">
        <v>530</v>
      </c>
      <c r="FO390" s="321" t="s">
        <v>25536</v>
      </c>
      <c r="FP390" s="214" t="s">
        <v>148</v>
      </c>
      <c r="FQ390" s="214" t="s">
        <v>70</v>
      </c>
      <c r="FR390" s="214" t="s">
        <v>530</v>
      </c>
      <c r="FT390" s="321" t="s">
        <v>25537</v>
      </c>
      <c r="FU390" s="214" t="s">
        <v>148</v>
      </c>
      <c r="FV390" s="214" t="s">
        <v>70</v>
      </c>
      <c r="FW390" s="214" t="s">
        <v>530</v>
      </c>
      <c r="FY390" s="321" t="s">
        <v>25538</v>
      </c>
      <c r="FZ390" s="214" t="s">
        <v>34556</v>
      </c>
      <c r="GA390" s="214" t="s">
        <v>70</v>
      </c>
      <c r="GB390" s="214" t="s">
        <v>530</v>
      </c>
      <c r="GD390" s="321" t="s">
        <v>25539</v>
      </c>
      <c r="GE390" s="214" t="s">
        <v>905</v>
      </c>
      <c r="GF390" s="214" t="s">
        <v>70</v>
      </c>
      <c r="GG390" s="214" t="s">
        <v>530</v>
      </c>
      <c r="GI390" s="321" t="s">
        <v>25540</v>
      </c>
      <c r="GJ390" s="214" t="s">
        <v>163</v>
      </c>
      <c r="GK390" s="214" t="s">
        <v>70</v>
      </c>
      <c r="GL390" s="214" t="s">
        <v>530</v>
      </c>
      <c r="GN390" s="321" t="s">
        <v>25541</v>
      </c>
      <c r="GO390" s="214" t="s">
        <v>34560</v>
      </c>
      <c r="GP390" s="214" t="s">
        <v>70</v>
      </c>
      <c r="GQ390" s="214" t="s">
        <v>530</v>
      </c>
      <c r="GS390" s="321" t="s">
        <v>25542</v>
      </c>
      <c r="GT390" s="214" t="s">
        <v>34575</v>
      </c>
      <c r="GU390" s="214" t="s">
        <v>70</v>
      </c>
      <c r="GV390" s="214" t="s">
        <v>530</v>
      </c>
      <c r="GX390" s="214" t="s">
        <v>25543</v>
      </c>
      <c r="GY390" s="214" t="s">
        <v>52</v>
      </c>
      <c r="GZ390" s="214" t="s">
        <v>70</v>
      </c>
      <c r="HA390" s="214" t="s">
        <v>530</v>
      </c>
      <c r="HC390" s="214" t="s">
        <v>25544</v>
      </c>
      <c r="HD390" s="214" t="s">
        <v>34545</v>
      </c>
      <c r="HE390" s="214" t="s">
        <v>70</v>
      </c>
      <c r="HF390" s="214" t="s">
        <v>530</v>
      </c>
      <c r="HH390" s="214" t="s">
        <v>25545</v>
      </c>
      <c r="HI390" s="214" t="s">
        <v>600</v>
      </c>
      <c r="HJ390" s="214" t="s">
        <v>70</v>
      </c>
      <c r="HK390" s="214" t="s">
        <v>530</v>
      </c>
      <c r="HM390" s="214" t="s">
        <v>25546</v>
      </c>
      <c r="HN390" s="214" t="s">
        <v>87</v>
      </c>
      <c r="HO390" s="214" t="s">
        <v>70</v>
      </c>
      <c r="HP390" s="214" t="s">
        <v>530</v>
      </c>
      <c r="HR390" s="22" t="s">
        <v>25547</v>
      </c>
      <c r="HS390" s="22" t="s">
        <v>34623</v>
      </c>
      <c r="HT390" s="22" t="s">
        <v>70</v>
      </c>
      <c r="HU390" s="214" t="s">
        <v>530</v>
      </c>
      <c r="HW390" s="22" t="s">
        <v>25548</v>
      </c>
      <c r="HX390" s="22" t="s">
        <v>34593</v>
      </c>
      <c r="HY390" s="22" t="s">
        <v>70</v>
      </c>
      <c r="HZ390" s="214" t="s">
        <v>530</v>
      </c>
      <c r="IB390" s="22" t="s">
        <v>25549</v>
      </c>
      <c r="IC390" s="22" t="s">
        <v>34657</v>
      </c>
      <c r="ID390" s="22" t="s">
        <v>70</v>
      </c>
      <c r="IE390" s="214" t="s">
        <v>530</v>
      </c>
      <c r="IG390" s="22" t="s">
        <v>25550</v>
      </c>
      <c r="IH390" s="22" t="s">
        <v>52</v>
      </c>
      <c r="II390" s="22" t="s">
        <v>70</v>
      </c>
      <c r="IJ390" s="214" t="s">
        <v>530</v>
      </c>
      <c r="IL390" s="22" t="s">
        <v>25551</v>
      </c>
      <c r="IM390" s="22" t="s">
        <v>145</v>
      </c>
      <c r="IN390" s="22" t="s">
        <v>70</v>
      </c>
      <c r="IO390" s="214" t="s">
        <v>530</v>
      </c>
      <c r="IQ390" s="236" t="s">
        <v>25552</v>
      </c>
      <c r="IR390" s="236" t="s">
        <v>145</v>
      </c>
      <c r="IS390" s="236" t="s">
        <v>74</v>
      </c>
      <c r="IT390" s="236" t="s">
        <v>841</v>
      </c>
      <c r="IV390" s="236" t="s">
        <v>25553</v>
      </c>
      <c r="IW390" s="236" t="s">
        <v>145</v>
      </c>
      <c r="IX390" s="236" t="s">
        <v>74</v>
      </c>
      <c r="IY390" s="236" t="s">
        <v>841</v>
      </c>
      <c r="JA390" s="236" t="s">
        <v>25554</v>
      </c>
      <c r="JB390" s="236" t="s">
        <v>145</v>
      </c>
      <c r="JC390" s="236" t="s">
        <v>74</v>
      </c>
      <c r="JD390" s="236" t="s">
        <v>841</v>
      </c>
      <c r="JF390" s="236" t="s">
        <v>25555</v>
      </c>
      <c r="JG390" s="236" t="s">
        <v>145</v>
      </c>
      <c r="JH390" s="236" t="s">
        <v>74</v>
      </c>
      <c r="JI390" s="236" t="s">
        <v>841</v>
      </c>
      <c r="JK390" s="236" t="s">
        <v>25556</v>
      </c>
      <c r="JL390" s="236" t="s">
        <v>145</v>
      </c>
      <c r="JM390" s="236" t="s">
        <v>74</v>
      </c>
      <c r="JN390" s="236" t="s">
        <v>841</v>
      </c>
      <c r="JP390" s="236" t="s">
        <v>25557</v>
      </c>
      <c r="JQ390" s="236" t="s">
        <v>145</v>
      </c>
      <c r="JR390" s="236" t="s">
        <v>74</v>
      </c>
      <c r="JS390" s="236" t="s">
        <v>841</v>
      </c>
      <c r="JU390" s="294" t="s">
        <v>25558</v>
      </c>
      <c r="JV390" s="294" t="s">
        <v>52</v>
      </c>
      <c r="JW390" s="263" t="s">
        <v>70</v>
      </c>
      <c r="JX390" s="294" t="s">
        <v>1083</v>
      </c>
      <c r="JZ390" s="263" t="s">
        <v>25559</v>
      </c>
      <c r="KA390" s="263" t="s">
        <v>145</v>
      </c>
      <c r="KB390" s="263" t="s">
        <v>70</v>
      </c>
      <c r="KC390" s="263" t="s">
        <v>1083</v>
      </c>
      <c r="KE390" s="263" t="s">
        <v>25560</v>
      </c>
      <c r="KF390" s="263" t="s">
        <v>52</v>
      </c>
      <c r="KG390" s="263" t="s">
        <v>70</v>
      </c>
      <c r="KH390" s="263" t="s">
        <v>1083</v>
      </c>
      <c r="KJ390" s="263" t="s">
        <v>25561</v>
      </c>
      <c r="KK390" s="263" t="s">
        <v>52</v>
      </c>
      <c r="KL390" s="263" t="s">
        <v>74</v>
      </c>
      <c r="KM390" s="263" t="s">
        <v>34074</v>
      </c>
      <c r="KO390" s="214" t="s">
        <v>25562</v>
      </c>
      <c r="KP390" s="214" t="s">
        <v>145</v>
      </c>
      <c r="KQ390" s="214" t="s">
        <v>70</v>
      </c>
      <c r="KR390" s="214" t="s">
        <v>67</v>
      </c>
      <c r="KT390" s="22" t="s">
        <v>25563</v>
      </c>
      <c r="KU390" s="22" t="s">
        <v>145</v>
      </c>
      <c r="KV390" s="22" t="s">
        <v>70</v>
      </c>
      <c r="KW390" s="22" t="s">
        <v>67</v>
      </c>
      <c r="KY390" s="214" t="s">
        <v>25564</v>
      </c>
      <c r="KZ390" s="214" t="s">
        <v>52</v>
      </c>
      <c r="LA390" s="214" t="s">
        <v>74</v>
      </c>
      <c r="LB390" s="214" t="s">
        <v>67</v>
      </c>
      <c r="LD390" s="22" t="s">
        <v>25565</v>
      </c>
      <c r="LE390" s="22" t="s">
        <v>145</v>
      </c>
      <c r="LF390" s="22" t="s">
        <v>70</v>
      </c>
      <c r="LG390" s="22" t="s">
        <v>67</v>
      </c>
    </row>
    <row r="391" spans="1:319">
      <c r="A391" s="22" t="s">
        <v>25566</v>
      </c>
      <c r="B391" s="22" t="s">
        <v>145</v>
      </c>
      <c r="C391" s="22" t="s">
        <v>70</v>
      </c>
      <c r="D391" s="22" t="s">
        <v>67</v>
      </c>
      <c r="F391" s="101" t="s">
        <v>25567</v>
      </c>
      <c r="G391" s="22" t="s">
        <v>145</v>
      </c>
      <c r="H391" s="22" t="s">
        <v>70</v>
      </c>
      <c r="I391" s="22" t="s">
        <v>67</v>
      </c>
      <c r="K391" s="99" t="s">
        <v>25568</v>
      </c>
      <c r="L391" s="22" t="s">
        <v>145</v>
      </c>
      <c r="M391" s="22" t="s">
        <v>70</v>
      </c>
      <c r="N391" s="22" t="s">
        <v>67</v>
      </c>
      <c r="P391" s="230" t="s">
        <v>25569</v>
      </c>
      <c r="Q391" s="218" t="s">
        <v>145</v>
      </c>
      <c r="R391" s="218" t="s">
        <v>72</v>
      </c>
      <c r="S391" s="218" t="s">
        <v>33992</v>
      </c>
      <c r="U391" s="293" t="s">
        <v>25570</v>
      </c>
      <c r="V391" s="293" t="s">
        <v>145</v>
      </c>
      <c r="W391" s="293" t="s">
        <v>74</v>
      </c>
      <c r="X391" s="293" t="s">
        <v>656</v>
      </c>
      <c r="Z391" s="293" t="s">
        <v>25571</v>
      </c>
      <c r="AA391" s="293" t="s">
        <v>145</v>
      </c>
      <c r="AB391" s="293" t="s">
        <v>74</v>
      </c>
      <c r="AC391" s="293" t="s">
        <v>656</v>
      </c>
      <c r="AE391" s="293" t="s">
        <v>25572</v>
      </c>
      <c r="AF391" s="293" t="s">
        <v>145</v>
      </c>
      <c r="AG391" s="293" t="s">
        <v>74</v>
      </c>
      <c r="AH391" s="293" t="s">
        <v>656</v>
      </c>
      <c r="AJ391" s="293" t="s">
        <v>25573</v>
      </c>
      <c r="AK391" s="293" t="s">
        <v>145</v>
      </c>
      <c r="AL391" s="293" t="s">
        <v>74</v>
      </c>
      <c r="AM391" s="293" t="s">
        <v>656</v>
      </c>
      <c r="AO391" s="22" t="s">
        <v>25574</v>
      </c>
      <c r="AP391" s="22" t="s">
        <v>145</v>
      </c>
      <c r="AQ391" s="22" t="s">
        <v>70</v>
      </c>
      <c r="AR391" s="22" t="s">
        <v>67</v>
      </c>
      <c r="AT391" s="22" t="s">
        <v>25575</v>
      </c>
      <c r="AU391" s="22" t="s">
        <v>145</v>
      </c>
      <c r="AV391" s="22" t="s">
        <v>70</v>
      </c>
      <c r="AW391" s="22" t="s">
        <v>67</v>
      </c>
      <c r="AY391" s="22" t="s">
        <v>25576</v>
      </c>
      <c r="AZ391" s="22" t="s">
        <v>145</v>
      </c>
      <c r="BA391" s="22" t="s">
        <v>70</v>
      </c>
      <c r="BB391" s="22" t="s">
        <v>67</v>
      </c>
      <c r="BD391" s="22" t="s">
        <v>25577</v>
      </c>
      <c r="BE391" s="22" t="s">
        <v>145</v>
      </c>
      <c r="BF391" s="22" t="s">
        <v>70</v>
      </c>
      <c r="BG391" s="22" t="s">
        <v>67</v>
      </c>
      <c r="BI391" s="22" t="s">
        <v>25578</v>
      </c>
      <c r="BJ391" s="22" t="s">
        <v>145</v>
      </c>
      <c r="BK391" s="22" t="s">
        <v>70</v>
      </c>
      <c r="BL391" s="22" t="s">
        <v>67</v>
      </c>
      <c r="BN391" s="22" t="s">
        <v>25579</v>
      </c>
      <c r="BO391" s="22" t="s">
        <v>145</v>
      </c>
      <c r="BP391" s="22" t="s">
        <v>70</v>
      </c>
      <c r="BQ391" s="22" t="s">
        <v>67</v>
      </c>
      <c r="BS391" s="22" t="s">
        <v>25580</v>
      </c>
      <c r="BT391" s="22" t="s">
        <v>145</v>
      </c>
      <c r="BU391" s="22" t="s">
        <v>70</v>
      </c>
      <c r="BV391" s="214" t="s">
        <v>530</v>
      </c>
      <c r="BX391" s="22" t="s">
        <v>25581</v>
      </c>
      <c r="BY391" s="22" t="s">
        <v>145</v>
      </c>
      <c r="BZ391" s="22" t="s">
        <v>70</v>
      </c>
      <c r="CA391" s="214" t="s">
        <v>530</v>
      </c>
      <c r="CC391" s="214" t="s">
        <v>25582</v>
      </c>
      <c r="CD391" s="218" t="s">
        <v>926</v>
      </c>
      <c r="CE391" s="214" t="s">
        <v>70</v>
      </c>
      <c r="CF391" s="214" t="s">
        <v>530</v>
      </c>
      <c r="CH391" s="214" t="s">
        <v>25583</v>
      </c>
      <c r="CI391" s="214" t="s">
        <v>488</v>
      </c>
      <c r="CJ391" s="214" t="s">
        <v>70</v>
      </c>
      <c r="CK391" s="214" t="s">
        <v>530</v>
      </c>
      <c r="CM391" s="214" t="s">
        <v>25584</v>
      </c>
      <c r="CN391" s="214" t="s">
        <v>485</v>
      </c>
      <c r="CO391" s="214" t="s">
        <v>70</v>
      </c>
      <c r="CP391" s="214" t="s">
        <v>530</v>
      </c>
      <c r="CR391" s="214" t="s">
        <v>25585</v>
      </c>
      <c r="CS391" s="214" t="s">
        <v>164</v>
      </c>
      <c r="CT391" s="214" t="s">
        <v>70</v>
      </c>
      <c r="CU391" s="214" t="s">
        <v>530</v>
      </c>
      <c r="CW391" s="214" t="s">
        <v>25586</v>
      </c>
      <c r="CX391" s="214" t="s">
        <v>146</v>
      </c>
      <c r="CY391" s="214" t="s">
        <v>70</v>
      </c>
      <c r="CZ391" s="214" t="s">
        <v>530</v>
      </c>
      <c r="DB391" s="214" t="s">
        <v>25587</v>
      </c>
      <c r="DC391" s="214" t="s">
        <v>531</v>
      </c>
      <c r="DD391" s="214" t="s">
        <v>70</v>
      </c>
      <c r="DE391" s="214" t="s">
        <v>530</v>
      </c>
      <c r="DG391" s="214" t="s">
        <v>25588</v>
      </c>
      <c r="DH391" s="214" t="s">
        <v>34558</v>
      </c>
      <c r="DI391" s="214" t="s">
        <v>70</v>
      </c>
      <c r="DJ391" s="214" t="s">
        <v>530</v>
      </c>
      <c r="DL391" s="214" t="s">
        <v>25589</v>
      </c>
      <c r="DM391" s="214" t="s">
        <v>502</v>
      </c>
      <c r="DN391" s="214" t="s">
        <v>70</v>
      </c>
      <c r="DO391" s="214" t="s">
        <v>530</v>
      </c>
      <c r="DQ391" s="214" t="s">
        <v>25590</v>
      </c>
      <c r="DR391" s="214" t="s">
        <v>34555</v>
      </c>
      <c r="DS391" s="214" t="s">
        <v>70</v>
      </c>
      <c r="DT391" s="214" t="s">
        <v>530</v>
      </c>
      <c r="DV391" s="214" t="s">
        <v>25591</v>
      </c>
      <c r="DW391" s="214" t="s">
        <v>468</v>
      </c>
      <c r="DX391" s="214" t="s">
        <v>70</v>
      </c>
      <c r="DY391" s="214" t="s">
        <v>530</v>
      </c>
      <c r="EA391" s="214" t="s">
        <v>25592</v>
      </c>
      <c r="EB391" s="214" t="s">
        <v>34542</v>
      </c>
      <c r="EC391" s="214" t="s">
        <v>70</v>
      </c>
      <c r="ED391" s="214" t="s">
        <v>530</v>
      </c>
      <c r="EF391" s="214" t="s">
        <v>25593</v>
      </c>
      <c r="EG391" s="214" t="s">
        <v>34544</v>
      </c>
      <c r="EH391" s="214" t="s">
        <v>70</v>
      </c>
      <c r="EI391" s="214" t="s">
        <v>530</v>
      </c>
      <c r="EK391" s="214" t="s">
        <v>25594</v>
      </c>
      <c r="EL391" s="214" t="s">
        <v>926</v>
      </c>
      <c r="EM391" s="214" t="s">
        <v>70</v>
      </c>
      <c r="EN391" s="214" t="s">
        <v>530</v>
      </c>
      <c r="EP391" s="214" t="s">
        <v>25595</v>
      </c>
      <c r="EQ391" s="214" t="s">
        <v>34542</v>
      </c>
      <c r="ER391" s="214" t="s">
        <v>70</v>
      </c>
      <c r="ES391" s="214" t="s">
        <v>530</v>
      </c>
      <c r="EU391" s="214" t="s">
        <v>25596</v>
      </c>
      <c r="EV391" s="214" t="s">
        <v>34541</v>
      </c>
      <c r="EW391" s="214" t="s">
        <v>70</v>
      </c>
      <c r="EX391" s="214" t="s">
        <v>530</v>
      </c>
      <c r="EZ391" s="214" t="s">
        <v>25597</v>
      </c>
      <c r="FA391" s="214" t="s">
        <v>601</v>
      </c>
      <c r="FB391" s="214" t="s">
        <v>70</v>
      </c>
      <c r="FC391" s="214" t="s">
        <v>530</v>
      </c>
      <c r="FE391" s="214" t="s">
        <v>25598</v>
      </c>
      <c r="FF391" s="214" t="s">
        <v>34516</v>
      </c>
      <c r="FG391" s="214" t="s">
        <v>70</v>
      </c>
      <c r="FH391" s="214" t="s">
        <v>530</v>
      </c>
      <c r="FJ391" s="321" t="s">
        <v>25599</v>
      </c>
      <c r="FK391" s="214" t="s">
        <v>485</v>
      </c>
      <c r="FL391" s="214" t="s">
        <v>70</v>
      </c>
      <c r="FM391" s="214" t="s">
        <v>530</v>
      </c>
      <c r="FO391" s="321" t="s">
        <v>25600</v>
      </c>
      <c r="FP391" s="214" t="s">
        <v>955</v>
      </c>
      <c r="FQ391" s="214" t="s">
        <v>70</v>
      </c>
      <c r="FR391" s="214" t="s">
        <v>530</v>
      </c>
      <c r="FT391" s="321" t="s">
        <v>25601</v>
      </c>
      <c r="FU391" s="214" t="s">
        <v>34589</v>
      </c>
      <c r="FV391" s="214" t="s">
        <v>70</v>
      </c>
      <c r="FW391" s="214" t="s">
        <v>530</v>
      </c>
      <c r="FY391" s="321" t="s">
        <v>25602</v>
      </c>
      <c r="FZ391" s="214" t="s">
        <v>34541</v>
      </c>
      <c r="GA391" s="214" t="s">
        <v>70</v>
      </c>
      <c r="GB391" s="214" t="s">
        <v>530</v>
      </c>
      <c r="GD391" s="321" t="s">
        <v>25603</v>
      </c>
      <c r="GE391" s="214" t="s">
        <v>34556</v>
      </c>
      <c r="GF391" s="214" t="s">
        <v>70</v>
      </c>
      <c r="GG391" s="214" t="s">
        <v>530</v>
      </c>
      <c r="GI391" s="321" t="s">
        <v>25604</v>
      </c>
      <c r="GJ391" s="214" t="s">
        <v>34544</v>
      </c>
      <c r="GK391" s="214" t="s">
        <v>70</v>
      </c>
      <c r="GL391" s="214" t="s">
        <v>530</v>
      </c>
      <c r="GN391" s="321" t="s">
        <v>25605</v>
      </c>
      <c r="GO391" s="214" t="s">
        <v>52</v>
      </c>
      <c r="GP391" s="214" t="s">
        <v>70</v>
      </c>
      <c r="GQ391" s="214" t="s">
        <v>530</v>
      </c>
      <c r="GS391" s="321" t="s">
        <v>25606</v>
      </c>
      <c r="GT391" s="214" t="s">
        <v>34550</v>
      </c>
      <c r="GU391" s="214" t="s">
        <v>70</v>
      </c>
      <c r="GV391" s="214" t="s">
        <v>530</v>
      </c>
      <c r="GX391" s="214" t="s">
        <v>25607</v>
      </c>
      <c r="GY391" s="214" t="s">
        <v>52</v>
      </c>
      <c r="GZ391" s="214" t="s">
        <v>70</v>
      </c>
      <c r="HA391" s="214" t="s">
        <v>530</v>
      </c>
      <c r="HC391" s="214" t="s">
        <v>25608</v>
      </c>
      <c r="HD391" s="214" t="s">
        <v>34551</v>
      </c>
      <c r="HE391" s="214" t="s">
        <v>70</v>
      </c>
      <c r="HF391" s="214" t="s">
        <v>530</v>
      </c>
      <c r="HH391" s="214" t="s">
        <v>25609</v>
      </c>
      <c r="HI391" s="214" t="s">
        <v>85</v>
      </c>
      <c r="HJ391" s="214" t="s">
        <v>70</v>
      </c>
      <c r="HK391" s="214" t="s">
        <v>530</v>
      </c>
      <c r="HM391" s="214" t="s">
        <v>25610</v>
      </c>
      <c r="HN391" s="214" t="s">
        <v>52</v>
      </c>
      <c r="HO391" s="214" t="s">
        <v>70</v>
      </c>
      <c r="HP391" s="214" t="s">
        <v>530</v>
      </c>
      <c r="HR391" s="22" t="s">
        <v>25611</v>
      </c>
      <c r="HS391" s="22" t="s">
        <v>492</v>
      </c>
      <c r="HT391" s="22" t="s">
        <v>70</v>
      </c>
      <c r="HU391" s="214" t="s">
        <v>530</v>
      </c>
      <c r="HW391" s="22" t="s">
        <v>25612</v>
      </c>
      <c r="HX391" s="22" t="s">
        <v>146</v>
      </c>
      <c r="HY391" s="22" t="s">
        <v>70</v>
      </c>
      <c r="HZ391" s="214" t="s">
        <v>530</v>
      </c>
      <c r="IB391" s="22" t="s">
        <v>25613</v>
      </c>
      <c r="IC391" s="22" t="s">
        <v>52</v>
      </c>
      <c r="ID391" s="22" t="s">
        <v>70</v>
      </c>
      <c r="IE391" s="214" t="s">
        <v>530</v>
      </c>
      <c r="IG391" s="22" t="s">
        <v>25614</v>
      </c>
      <c r="IH391" s="22" t="s">
        <v>52</v>
      </c>
      <c r="II391" s="22" t="s">
        <v>70</v>
      </c>
      <c r="IJ391" s="214" t="s">
        <v>530</v>
      </c>
      <c r="IL391" s="22" t="s">
        <v>25615</v>
      </c>
      <c r="IM391" s="22" t="s">
        <v>145</v>
      </c>
      <c r="IN391" s="22" t="s">
        <v>70</v>
      </c>
      <c r="IO391" s="214" t="s">
        <v>530</v>
      </c>
      <c r="IQ391" s="236" t="s">
        <v>25616</v>
      </c>
      <c r="IR391" s="236" t="s">
        <v>145</v>
      </c>
      <c r="IS391" s="236" t="s">
        <v>74</v>
      </c>
      <c r="IT391" s="236" t="s">
        <v>841</v>
      </c>
      <c r="IV391" s="236" t="s">
        <v>25617</v>
      </c>
      <c r="IW391" s="236" t="s">
        <v>145</v>
      </c>
      <c r="IX391" s="236" t="s">
        <v>74</v>
      </c>
      <c r="IY391" s="236" t="s">
        <v>841</v>
      </c>
      <c r="JA391" s="236" t="s">
        <v>25618</v>
      </c>
      <c r="JB391" s="236" t="s">
        <v>145</v>
      </c>
      <c r="JC391" s="236" t="s">
        <v>74</v>
      </c>
      <c r="JD391" s="236" t="s">
        <v>841</v>
      </c>
      <c r="JF391" s="236" t="s">
        <v>25619</v>
      </c>
      <c r="JG391" s="236" t="s">
        <v>145</v>
      </c>
      <c r="JH391" s="236" t="s">
        <v>74</v>
      </c>
      <c r="JI391" s="236" t="s">
        <v>841</v>
      </c>
      <c r="JK391" s="236" t="s">
        <v>25620</v>
      </c>
      <c r="JL391" s="236" t="s">
        <v>145</v>
      </c>
      <c r="JM391" s="236" t="s">
        <v>74</v>
      </c>
      <c r="JN391" s="236" t="s">
        <v>841</v>
      </c>
      <c r="JP391" s="236" t="s">
        <v>25621</v>
      </c>
      <c r="JQ391" s="236" t="s">
        <v>145</v>
      </c>
      <c r="JR391" s="236" t="s">
        <v>74</v>
      </c>
      <c r="JS391" s="236" t="s">
        <v>841</v>
      </c>
      <c r="JU391" s="294" t="s">
        <v>25622</v>
      </c>
      <c r="JV391" s="294" t="s">
        <v>52</v>
      </c>
      <c r="JW391" s="263" t="s">
        <v>70</v>
      </c>
      <c r="JX391" s="294" t="s">
        <v>1083</v>
      </c>
      <c r="JZ391" s="263" t="s">
        <v>25623</v>
      </c>
      <c r="KA391" s="263" t="s">
        <v>145</v>
      </c>
      <c r="KB391" s="263" t="s">
        <v>70</v>
      </c>
      <c r="KC391" s="263" t="s">
        <v>1083</v>
      </c>
      <c r="KE391" s="263" t="s">
        <v>25624</v>
      </c>
      <c r="KF391" s="263" t="s">
        <v>52</v>
      </c>
      <c r="KG391" s="263" t="s">
        <v>70</v>
      </c>
      <c r="KH391" s="263" t="s">
        <v>1083</v>
      </c>
      <c r="KJ391" s="263" t="s">
        <v>25625</v>
      </c>
      <c r="KK391" s="263" t="s">
        <v>52</v>
      </c>
      <c r="KL391" s="263" t="s">
        <v>74</v>
      </c>
      <c r="KM391" s="263" t="s">
        <v>34074</v>
      </c>
      <c r="KO391" s="214" t="s">
        <v>25626</v>
      </c>
      <c r="KP391" s="214" t="s">
        <v>145</v>
      </c>
      <c r="KQ391" s="214" t="s">
        <v>70</v>
      </c>
      <c r="KR391" s="214" t="s">
        <v>67</v>
      </c>
      <c r="KT391" s="22" t="s">
        <v>25627</v>
      </c>
      <c r="KU391" s="22" t="s">
        <v>145</v>
      </c>
      <c r="KV391" s="22" t="s">
        <v>70</v>
      </c>
      <c r="KW391" s="22" t="s">
        <v>67</v>
      </c>
      <c r="KY391" s="214" t="s">
        <v>25628</v>
      </c>
      <c r="KZ391" s="214" t="s">
        <v>52</v>
      </c>
      <c r="LA391" s="214" t="s">
        <v>74</v>
      </c>
      <c r="LB391" s="214" t="s">
        <v>67</v>
      </c>
      <c r="LD391" s="22" t="s">
        <v>25629</v>
      </c>
      <c r="LE391" s="22" t="s">
        <v>145</v>
      </c>
      <c r="LF391" s="22" t="s">
        <v>70</v>
      </c>
      <c r="LG391" s="22" t="s">
        <v>67</v>
      </c>
    </row>
    <row r="392" spans="1:319">
      <c r="A392" s="22" t="s">
        <v>25630</v>
      </c>
      <c r="B392" s="22" t="s">
        <v>145</v>
      </c>
      <c r="C392" s="22" t="s">
        <v>70</v>
      </c>
      <c r="D392" s="22" t="s">
        <v>67</v>
      </c>
      <c r="F392" s="96" t="s">
        <v>25631</v>
      </c>
      <c r="G392" s="22" t="s">
        <v>145</v>
      </c>
      <c r="H392" s="22" t="s">
        <v>70</v>
      </c>
      <c r="I392" s="22" t="s">
        <v>67</v>
      </c>
      <c r="K392" s="99" t="s">
        <v>25632</v>
      </c>
      <c r="L392" s="22" t="s">
        <v>145</v>
      </c>
      <c r="M392" s="22" t="s">
        <v>70</v>
      </c>
      <c r="N392" s="22" t="s">
        <v>67</v>
      </c>
      <c r="P392" s="230" t="s">
        <v>25633</v>
      </c>
      <c r="Q392" s="218" t="s">
        <v>145</v>
      </c>
      <c r="R392" s="218" t="s">
        <v>72</v>
      </c>
      <c r="S392" s="218" t="s">
        <v>33993</v>
      </c>
      <c r="U392" s="293" t="s">
        <v>25634</v>
      </c>
      <c r="V392" s="293" t="s">
        <v>145</v>
      </c>
      <c r="W392" s="293" t="s">
        <v>74</v>
      </c>
      <c r="X392" s="293" t="s">
        <v>656</v>
      </c>
      <c r="Z392" s="293" t="s">
        <v>25635</v>
      </c>
      <c r="AA392" s="293" t="s">
        <v>145</v>
      </c>
      <c r="AB392" s="293" t="s">
        <v>74</v>
      </c>
      <c r="AC392" s="293" t="s">
        <v>656</v>
      </c>
      <c r="AE392" s="293" t="s">
        <v>25636</v>
      </c>
      <c r="AF392" s="293" t="s">
        <v>145</v>
      </c>
      <c r="AG392" s="293" t="s">
        <v>74</v>
      </c>
      <c r="AH392" s="293" t="s">
        <v>656</v>
      </c>
      <c r="AJ392" s="293" t="s">
        <v>25637</v>
      </c>
      <c r="AK392" s="293" t="s">
        <v>145</v>
      </c>
      <c r="AL392" s="293" t="s">
        <v>74</v>
      </c>
      <c r="AM392" s="293" t="s">
        <v>656</v>
      </c>
      <c r="AO392" s="22" t="s">
        <v>25638</v>
      </c>
      <c r="AP392" s="22" t="s">
        <v>145</v>
      </c>
      <c r="AQ392" s="22" t="s">
        <v>70</v>
      </c>
      <c r="AR392" s="22" t="s">
        <v>67</v>
      </c>
      <c r="AT392" s="22" t="s">
        <v>25639</v>
      </c>
      <c r="AU392" s="22" t="s">
        <v>145</v>
      </c>
      <c r="AV392" s="22" t="s">
        <v>70</v>
      </c>
      <c r="AW392" s="22" t="s">
        <v>67</v>
      </c>
      <c r="AY392" s="22" t="s">
        <v>25640</v>
      </c>
      <c r="AZ392" s="22" t="s">
        <v>145</v>
      </c>
      <c r="BA392" s="22" t="s">
        <v>70</v>
      </c>
      <c r="BB392" s="22" t="s">
        <v>67</v>
      </c>
      <c r="BD392" s="22" t="s">
        <v>25641</v>
      </c>
      <c r="BE392" s="22" t="s">
        <v>145</v>
      </c>
      <c r="BF392" s="22" t="s">
        <v>70</v>
      </c>
      <c r="BG392" s="22" t="s">
        <v>67</v>
      </c>
      <c r="BI392" s="22" t="s">
        <v>25642</v>
      </c>
      <c r="BJ392" s="22" t="s">
        <v>145</v>
      </c>
      <c r="BK392" s="22" t="s">
        <v>70</v>
      </c>
      <c r="BL392" s="22" t="s">
        <v>67</v>
      </c>
      <c r="BN392" s="22" t="s">
        <v>25643</v>
      </c>
      <c r="BO392" s="22" t="s">
        <v>145</v>
      </c>
      <c r="BP392" s="22" t="s">
        <v>70</v>
      </c>
      <c r="BQ392" s="22" t="s">
        <v>67</v>
      </c>
      <c r="BS392" s="22" t="s">
        <v>25644</v>
      </c>
      <c r="BT392" s="22" t="s">
        <v>145</v>
      </c>
      <c r="BU392" s="22" t="s">
        <v>70</v>
      </c>
      <c r="BV392" s="214" t="s">
        <v>530</v>
      </c>
      <c r="BX392" s="22" t="s">
        <v>25645</v>
      </c>
      <c r="BY392" s="22" t="s">
        <v>145</v>
      </c>
      <c r="BZ392" s="22" t="s">
        <v>70</v>
      </c>
      <c r="CA392" s="214" t="s">
        <v>530</v>
      </c>
      <c r="CC392" s="214" t="s">
        <v>25646</v>
      </c>
      <c r="CD392" s="218" t="s">
        <v>599</v>
      </c>
      <c r="CE392" s="214" t="s">
        <v>70</v>
      </c>
      <c r="CF392" s="214" t="s">
        <v>530</v>
      </c>
      <c r="CH392" s="214" t="s">
        <v>25647</v>
      </c>
      <c r="CI392" s="214" t="s">
        <v>34583</v>
      </c>
      <c r="CJ392" s="214" t="s">
        <v>70</v>
      </c>
      <c r="CK392" s="214" t="s">
        <v>530</v>
      </c>
      <c r="CM392" s="214" t="s">
        <v>25648</v>
      </c>
      <c r="CN392" s="214" t="s">
        <v>34545</v>
      </c>
      <c r="CO392" s="214" t="s">
        <v>70</v>
      </c>
      <c r="CP392" s="214" t="s">
        <v>530</v>
      </c>
      <c r="CR392" s="214" t="s">
        <v>25649</v>
      </c>
      <c r="CS392" s="214" t="s">
        <v>90</v>
      </c>
      <c r="CT392" s="214" t="s">
        <v>70</v>
      </c>
      <c r="CU392" s="214" t="s">
        <v>530</v>
      </c>
      <c r="CW392" s="214" t="s">
        <v>25650</v>
      </c>
      <c r="CX392" s="214" t="s">
        <v>85</v>
      </c>
      <c r="CY392" s="214" t="s">
        <v>70</v>
      </c>
      <c r="CZ392" s="214" t="s">
        <v>530</v>
      </c>
      <c r="DB392" s="214" t="s">
        <v>25651</v>
      </c>
      <c r="DC392" s="214" t="s">
        <v>149</v>
      </c>
      <c r="DD392" s="214" t="s">
        <v>70</v>
      </c>
      <c r="DE392" s="214" t="s">
        <v>530</v>
      </c>
      <c r="DG392" s="214" t="s">
        <v>25652</v>
      </c>
      <c r="DH392" s="214" t="s">
        <v>286</v>
      </c>
      <c r="DI392" s="214" t="s">
        <v>70</v>
      </c>
      <c r="DJ392" s="214" t="s">
        <v>530</v>
      </c>
      <c r="DL392" s="214" t="s">
        <v>25653</v>
      </c>
      <c r="DM392" s="214" t="s">
        <v>52</v>
      </c>
      <c r="DN392" s="214" t="s">
        <v>70</v>
      </c>
      <c r="DO392" s="214" t="s">
        <v>530</v>
      </c>
      <c r="DQ392" s="214" t="s">
        <v>25654</v>
      </c>
      <c r="DR392" s="214" t="s">
        <v>916</v>
      </c>
      <c r="DS392" s="214" t="s">
        <v>70</v>
      </c>
      <c r="DT392" s="214" t="s">
        <v>530</v>
      </c>
      <c r="DV392" s="214" t="s">
        <v>25655</v>
      </c>
      <c r="DW392" s="214" t="s">
        <v>468</v>
      </c>
      <c r="DX392" s="214" t="s">
        <v>70</v>
      </c>
      <c r="DY392" s="214" t="s">
        <v>530</v>
      </c>
      <c r="EA392" s="214" t="s">
        <v>25656</v>
      </c>
      <c r="EB392" s="214" t="s">
        <v>34581</v>
      </c>
      <c r="EC392" s="214" t="s">
        <v>70</v>
      </c>
      <c r="ED392" s="214" t="s">
        <v>530</v>
      </c>
      <c r="EF392" s="214" t="s">
        <v>25657</v>
      </c>
      <c r="EG392" s="214" t="s">
        <v>86</v>
      </c>
      <c r="EH392" s="214" t="s">
        <v>70</v>
      </c>
      <c r="EI392" s="214" t="s">
        <v>530</v>
      </c>
      <c r="EK392" s="214" t="s">
        <v>25658</v>
      </c>
      <c r="EL392" s="214" t="s">
        <v>52</v>
      </c>
      <c r="EM392" s="214" t="s">
        <v>70</v>
      </c>
      <c r="EN392" s="214" t="s">
        <v>530</v>
      </c>
      <c r="EP392" s="214" t="s">
        <v>25659</v>
      </c>
      <c r="EQ392" s="214" t="s">
        <v>488</v>
      </c>
      <c r="ER392" s="214" t="s">
        <v>70</v>
      </c>
      <c r="ES392" s="214" t="s">
        <v>530</v>
      </c>
      <c r="EU392" s="214" t="s">
        <v>25660</v>
      </c>
      <c r="EV392" s="214" t="s">
        <v>34574</v>
      </c>
      <c r="EW392" s="214" t="s">
        <v>70</v>
      </c>
      <c r="EX392" s="214" t="s">
        <v>530</v>
      </c>
      <c r="EZ392" s="214" t="s">
        <v>25661</v>
      </c>
      <c r="FA392" s="214" t="s">
        <v>950</v>
      </c>
      <c r="FB392" s="214" t="s">
        <v>70</v>
      </c>
      <c r="FC392" s="214" t="s">
        <v>530</v>
      </c>
      <c r="FE392" s="214" t="s">
        <v>25662</v>
      </c>
      <c r="FF392" s="214" t="s">
        <v>205</v>
      </c>
      <c r="FG392" s="214" t="s">
        <v>70</v>
      </c>
      <c r="FH392" s="214" t="s">
        <v>530</v>
      </c>
      <c r="FJ392" s="321" t="s">
        <v>25663</v>
      </c>
      <c r="FK392" s="214" t="s">
        <v>917</v>
      </c>
      <c r="FL392" s="214" t="s">
        <v>70</v>
      </c>
      <c r="FM392" s="214" t="s">
        <v>530</v>
      </c>
      <c r="FO392" s="321" t="s">
        <v>25664</v>
      </c>
      <c r="FP392" s="214" t="s">
        <v>52</v>
      </c>
      <c r="FQ392" s="214" t="s">
        <v>70</v>
      </c>
      <c r="FR392" s="214" t="s">
        <v>530</v>
      </c>
      <c r="FT392" s="321" t="s">
        <v>25665</v>
      </c>
      <c r="FU392" s="214" t="s">
        <v>34583</v>
      </c>
      <c r="FV392" s="214" t="s">
        <v>70</v>
      </c>
      <c r="FW392" s="214" t="s">
        <v>530</v>
      </c>
      <c r="FY392" s="321" t="s">
        <v>25666</v>
      </c>
      <c r="FZ392" s="214" t="s">
        <v>948</v>
      </c>
      <c r="GA392" s="214" t="s">
        <v>70</v>
      </c>
      <c r="GB392" s="214" t="s">
        <v>530</v>
      </c>
      <c r="GD392" s="321" t="s">
        <v>25667</v>
      </c>
      <c r="GE392" s="214" t="s">
        <v>149</v>
      </c>
      <c r="GF392" s="214" t="s">
        <v>70</v>
      </c>
      <c r="GG392" s="214" t="s">
        <v>530</v>
      </c>
      <c r="GI392" s="321" t="s">
        <v>25668</v>
      </c>
      <c r="GJ392" s="214" t="s">
        <v>34073</v>
      </c>
      <c r="GK392" s="214" t="s">
        <v>70</v>
      </c>
      <c r="GL392" s="214" t="s">
        <v>530</v>
      </c>
      <c r="GN392" s="321" t="s">
        <v>25669</v>
      </c>
      <c r="GO392" s="214" t="s">
        <v>87</v>
      </c>
      <c r="GP392" s="214" t="s">
        <v>70</v>
      </c>
      <c r="GQ392" s="214" t="s">
        <v>530</v>
      </c>
      <c r="GS392" s="321" t="s">
        <v>25670</v>
      </c>
      <c r="GT392" s="214" t="s">
        <v>163</v>
      </c>
      <c r="GU392" s="214" t="s">
        <v>70</v>
      </c>
      <c r="GV392" s="214" t="s">
        <v>530</v>
      </c>
      <c r="GX392" s="214" t="s">
        <v>25671</v>
      </c>
      <c r="GY392" s="214" t="s">
        <v>92</v>
      </c>
      <c r="GZ392" s="214" t="s">
        <v>70</v>
      </c>
      <c r="HA392" s="214" t="s">
        <v>530</v>
      </c>
      <c r="HC392" s="214" t="s">
        <v>25672</v>
      </c>
      <c r="HD392" s="214" t="s">
        <v>34536</v>
      </c>
      <c r="HE392" s="214" t="s">
        <v>70</v>
      </c>
      <c r="HF392" s="214" t="s">
        <v>530</v>
      </c>
      <c r="HH392" s="214" t="s">
        <v>25673</v>
      </c>
      <c r="HI392" s="214" t="s">
        <v>600</v>
      </c>
      <c r="HJ392" s="214" t="s">
        <v>70</v>
      </c>
      <c r="HK392" s="214" t="s">
        <v>530</v>
      </c>
      <c r="HM392" s="214" t="s">
        <v>25674</v>
      </c>
      <c r="HN392" s="214" t="s">
        <v>34579</v>
      </c>
      <c r="HO392" s="214" t="s">
        <v>70</v>
      </c>
      <c r="HP392" s="214" t="s">
        <v>530</v>
      </c>
      <c r="HR392" s="22" t="s">
        <v>25675</v>
      </c>
      <c r="HS392" s="22" t="s">
        <v>148</v>
      </c>
      <c r="HT392" s="22" t="s">
        <v>70</v>
      </c>
      <c r="HU392" s="214" t="s">
        <v>530</v>
      </c>
      <c r="HW392" s="22" t="s">
        <v>25676</v>
      </c>
      <c r="HX392" s="22" t="s">
        <v>34578</v>
      </c>
      <c r="HY392" s="22" t="s">
        <v>70</v>
      </c>
      <c r="HZ392" s="214" t="s">
        <v>530</v>
      </c>
      <c r="IB392" s="22" t="s">
        <v>25677</v>
      </c>
      <c r="IC392" s="22" t="s">
        <v>34405</v>
      </c>
      <c r="ID392" s="22" t="s">
        <v>70</v>
      </c>
      <c r="IE392" s="214" t="s">
        <v>530</v>
      </c>
      <c r="IG392" s="22" t="s">
        <v>25678</v>
      </c>
      <c r="IH392" s="22" t="s">
        <v>52</v>
      </c>
      <c r="II392" s="22" t="s">
        <v>70</v>
      </c>
      <c r="IJ392" s="214" t="s">
        <v>530</v>
      </c>
      <c r="IL392" s="22" t="s">
        <v>25679</v>
      </c>
      <c r="IM392" s="22" t="s">
        <v>145</v>
      </c>
      <c r="IN392" s="22" t="s">
        <v>70</v>
      </c>
      <c r="IO392" s="214" t="s">
        <v>530</v>
      </c>
      <c r="IQ392" s="236" t="s">
        <v>25680</v>
      </c>
      <c r="IR392" s="236" t="s">
        <v>145</v>
      </c>
      <c r="IS392" s="236" t="s">
        <v>74</v>
      </c>
      <c r="IT392" s="236" t="s">
        <v>841</v>
      </c>
      <c r="IV392" s="236" t="s">
        <v>25681</v>
      </c>
      <c r="IW392" s="236" t="s">
        <v>145</v>
      </c>
      <c r="IX392" s="236" t="s">
        <v>74</v>
      </c>
      <c r="IY392" s="236" t="s">
        <v>841</v>
      </c>
      <c r="JA392" s="236" t="s">
        <v>25682</v>
      </c>
      <c r="JB392" s="236" t="s">
        <v>145</v>
      </c>
      <c r="JC392" s="236" t="s">
        <v>74</v>
      </c>
      <c r="JD392" s="236" t="s">
        <v>841</v>
      </c>
      <c r="JF392" s="236" t="s">
        <v>25683</v>
      </c>
      <c r="JG392" s="236" t="s">
        <v>145</v>
      </c>
      <c r="JH392" s="236" t="s">
        <v>74</v>
      </c>
      <c r="JI392" s="236" t="s">
        <v>841</v>
      </c>
      <c r="JK392" s="236" t="s">
        <v>25684</v>
      </c>
      <c r="JL392" s="236" t="s">
        <v>145</v>
      </c>
      <c r="JM392" s="236" t="s">
        <v>74</v>
      </c>
      <c r="JN392" s="236" t="s">
        <v>841</v>
      </c>
      <c r="JP392" s="236" t="s">
        <v>25685</v>
      </c>
      <c r="JQ392" s="236" t="s">
        <v>145</v>
      </c>
      <c r="JR392" s="236" t="s">
        <v>74</v>
      </c>
      <c r="JS392" s="236" t="s">
        <v>841</v>
      </c>
      <c r="JU392" s="294" t="s">
        <v>25686</v>
      </c>
      <c r="JV392" s="294" t="s">
        <v>52</v>
      </c>
      <c r="JW392" s="263" t="s">
        <v>70</v>
      </c>
      <c r="JX392" s="294" t="s">
        <v>1083</v>
      </c>
      <c r="JZ392" s="263" t="s">
        <v>25687</v>
      </c>
      <c r="KA392" s="263" t="s">
        <v>145</v>
      </c>
      <c r="KB392" s="263" t="s">
        <v>70</v>
      </c>
      <c r="KC392" s="263" t="s">
        <v>1083</v>
      </c>
      <c r="KE392" s="263" t="s">
        <v>25688</v>
      </c>
      <c r="KF392" s="263" t="s">
        <v>52</v>
      </c>
      <c r="KG392" s="263" t="s">
        <v>70</v>
      </c>
      <c r="KH392" s="263" t="s">
        <v>1083</v>
      </c>
      <c r="KJ392" s="263" t="s">
        <v>25689</v>
      </c>
      <c r="KK392" s="263" t="s">
        <v>52</v>
      </c>
      <c r="KL392" s="263" t="s">
        <v>74</v>
      </c>
      <c r="KM392" s="263" t="s">
        <v>34074</v>
      </c>
      <c r="KO392" s="214" t="s">
        <v>25690</v>
      </c>
      <c r="KP392" s="214" t="s">
        <v>145</v>
      </c>
      <c r="KQ392" s="214" t="s">
        <v>70</v>
      </c>
      <c r="KR392" s="214" t="s">
        <v>67</v>
      </c>
      <c r="KT392" s="22" t="s">
        <v>25691</v>
      </c>
      <c r="KU392" s="22" t="s">
        <v>145</v>
      </c>
      <c r="KV392" s="22" t="s">
        <v>70</v>
      </c>
      <c r="KW392" s="22" t="s">
        <v>67</v>
      </c>
      <c r="KY392" s="214" t="s">
        <v>25692</v>
      </c>
      <c r="KZ392" s="214" t="s">
        <v>52</v>
      </c>
      <c r="LA392" s="214" t="s">
        <v>74</v>
      </c>
      <c r="LB392" s="214" t="s">
        <v>67</v>
      </c>
      <c r="LD392" s="22" t="s">
        <v>25693</v>
      </c>
      <c r="LE392" s="22" t="s">
        <v>145</v>
      </c>
      <c r="LF392" s="22" t="s">
        <v>70</v>
      </c>
      <c r="LG392" s="22" t="s">
        <v>67</v>
      </c>
    </row>
    <row r="393" spans="1:319">
      <c r="A393" s="22" t="s">
        <v>25694</v>
      </c>
      <c r="B393" s="22" t="s">
        <v>145</v>
      </c>
      <c r="C393" s="22" t="s">
        <v>70</v>
      </c>
      <c r="D393" s="22" t="s">
        <v>67</v>
      </c>
      <c r="F393" s="96" t="s">
        <v>25695</v>
      </c>
      <c r="G393" s="22" t="s">
        <v>145</v>
      </c>
      <c r="H393" s="22" t="s">
        <v>70</v>
      </c>
      <c r="I393" s="22" t="s">
        <v>67</v>
      </c>
      <c r="K393" s="99" t="s">
        <v>25696</v>
      </c>
      <c r="L393" s="22" t="s">
        <v>145</v>
      </c>
      <c r="M393" s="22" t="s">
        <v>70</v>
      </c>
      <c r="N393" s="22" t="s">
        <v>67</v>
      </c>
      <c r="P393" s="230" t="s">
        <v>25697</v>
      </c>
      <c r="Q393" s="218" t="s">
        <v>145</v>
      </c>
      <c r="R393" s="218" t="s">
        <v>72</v>
      </c>
      <c r="S393" s="218" t="s">
        <v>33994</v>
      </c>
      <c r="U393" s="293" t="s">
        <v>25698</v>
      </c>
      <c r="V393" s="293" t="s">
        <v>145</v>
      </c>
      <c r="W393" s="293" t="s">
        <v>74</v>
      </c>
      <c r="X393" s="293" t="s">
        <v>656</v>
      </c>
      <c r="Z393" s="293" t="s">
        <v>25699</v>
      </c>
      <c r="AA393" s="293" t="s">
        <v>145</v>
      </c>
      <c r="AB393" s="293" t="s">
        <v>74</v>
      </c>
      <c r="AC393" s="293" t="s">
        <v>656</v>
      </c>
      <c r="AE393" s="293" t="s">
        <v>25700</v>
      </c>
      <c r="AF393" s="293" t="s">
        <v>145</v>
      </c>
      <c r="AG393" s="293" t="s">
        <v>74</v>
      </c>
      <c r="AH393" s="293" t="s">
        <v>656</v>
      </c>
      <c r="AJ393" s="293" t="s">
        <v>25701</v>
      </c>
      <c r="AK393" s="293" t="s">
        <v>145</v>
      </c>
      <c r="AL393" s="293" t="s">
        <v>74</v>
      </c>
      <c r="AM393" s="293" t="s">
        <v>656</v>
      </c>
      <c r="AO393" s="22" t="s">
        <v>25702</v>
      </c>
      <c r="AP393" s="22" t="s">
        <v>145</v>
      </c>
      <c r="AQ393" s="22" t="s">
        <v>70</v>
      </c>
      <c r="AR393" s="22" t="s">
        <v>67</v>
      </c>
      <c r="AT393" s="22" t="s">
        <v>25703</v>
      </c>
      <c r="AU393" s="22" t="s">
        <v>145</v>
      </c>
      <c r="AV393" s="22" t="s">
        <v>70</v>
      </c>
      <c r="AW393" s="22" t="s">
        <v>67</v>
      </c>
      <c r="AY393" s="22" t="s">
        <v>25704</v>
      </c>
      <c r="AZ393" s="22" t="s">
        <v>145</v>
      </c>
      <c r="BA393" s="22" t="s">
        <v>70</v>
      </c>
      <c r="BB393" s="22" t="s">
        <v>67</v>
      </c>
      <c r="BD393" s="22" t="s">
        <v>25705</v>
      </c>
      <c r="BE393" s="22" t="s">
        <v>145</v>
      </c>
      <c r="BF393" s="22" t="s">
        <v>70</v>
      </c>
      <c r="BG393" s="22" t="s">
        <v>67</v>
      </c>
      <c r="BI393" s="22" t="s">
        <v>25706</v>
      </c>
      <c r="BJ393" s="22" t="s">
        <v>145</v>
      </c>
      <c r="BK393" s="22" t="s">
        <v>70</v>
      </c>
      <c r="BL393" s="22" t="s">
        <v>67</v>
      </c>
      <c r="BN393" s="22" t="s">
        <v>25707</v>
      </c>
      <c r="BO393" s="22" t="s">
        <v>145</v>
      </c>
      <c r="BP393" s="22" t="s">
        <v>70</v>
      </c>
      <c r="BQ393" s="22" t="s">
        <v>67</v>
      </c>
      <c r="BS393" s="22" t="s">
        <v>25708</v>
      </c>
      <c r="BT393" s="22" t="s">
        <v>145</v>
      </c>
      <c r="BU393" s="22" t="s">
        <v>70</v>
      </c>
      <c r="BV393" s="214" t="s">
        <v>530</v>
      </c>
      <c r="BX393" s="22" t="s">
        <v>25709</v>
      </c>
      <c r="BY393" s="22" t="s">
        <v>145</v>
      </c>
      <c r="BZ393" s="22" t="s">
        <v>70</v>
      </c>
      <c r="CA393" s="214" t="s">
        <v>530</v>
      </c>
      <c r="CC393" s="214" t="s">
        <v>25710</v>
      </c>
      <c r="CD393" s="218" t="s">
        <v>926</v>
      </c>
      <c r="CE393" s="214" t="s">
        <v>70</v>
      </c>
      <c r="CF393" s="214" t="s">
        <v>530</v>
      </c>
      <c r="CH393" s="214" t="s">
        <v>25711</v>
      </c>
      <c r="CI393" s="214" t="s">
        <v>34543</v>
      </c>
      <c r="CJ393" s="214" t="s">
        <v>70</v>
      </c>
      <c r="CK393" s="214" t="s">
        <v>530</v>
      </c>
      <c r="CM393" s="214" t="s">
        <v>25712</v>
      </c>
      <c r="CN393" s="214" t="s">
        <v>34551</v>
      </c>
      <c r="CO393" s="214" t="s">
        <v>70</v>
      </c>
      <c r="CP393" s="214" t="s">
        <v>530</v>
      </c>
      <c r="CR393" s="214" t="s">
        <v>25713</v>
      </c>
      <c r="CS393" s="214" t="s">
        <v>920</v>
      </c>
      <c r="CT393" s="214" t="s">
        <v>70</v>
      </c>
      <c r="CU393" s="214" t="s">
        <v>530</v>
      </c>
      <c r="CW393" s="214" t="s">
        <v>25714</v>
      </c>
      <c r="CX393" s="214" t="s">
        <v>485</v>
      </c>
      <c r="CY393" s="214" t="s">
        <v>70</v>
      </c>
      <c r="CZ393" s="214" t="s">
        <v>530</v>
      </c>
      <c r="DB393" s="214" t="s">
        <v>25715</v>
      </c>
      <c r="DC393" s="214" t="s">
        <v>599</v>
      </c>
      <c r="DD393" s="214" t="s">
        <v>70</v>
      </c>
      <c r="DE393" s="214" t="s">
        <v>530</v>
      </c>
      <c r="DG393" s="214" t="s">
        <v>25716</v>
      </c>
      <c r="DH393" s="214" t="s">
        <v>502</v>
      </c>
      <c r="DI393" s="214" t="s">
        <v>70</v>
      </c>
      <c r="DJ393" s="214" t="s">
        <v>530</v>
      </c>
      <c r="DL393" s="214" t="s">
        <v>25717</v>
      </c>
      <c r="DM393" s="214" t="s">
        <v>87</v>
      </c>
      <c r="DN393" s="214" t="s">
        <v>70</v>
      </c>
      <c r="DO393" s="214" t="s">
        <v>530</v>
      </c>
      <c r="DQ393" s="214" t="s">
        <v>25718</v>
      </c>
      <c r="DR393" s="214" t="s">
        <v>146</v>
      </c>
      <c r="DS393" s="214" t="s">
        <v>70</v>
      </c>
      <c r="DT393" s="214" t="s">
        <v>530</v>
      </c>
      <c r="DV393" s="214" t="s">
        <v>25719</v>
      </c>
      <c r="DW393" s="214" t="s">
        <v>34548</v>
      </c>
      <c r="DX393" s="214" t="s">
        <v>70</v>
      </c>
      <c r="DY393" s="214" t="s">
        <v>530</v>
      </c>
      <c r="EA393" s="214" t="s">
        <v>25720</v>
      </c>
      <c r="EB393" s="214" t="s">
        <v>85</v>
      </c>
      <c r="EC393" s="214" t="s">
        <v>70</v>
      </c>
      <c r="ED393" s="214" t="s">
        <v>530</v>
      </c>
      <c r="EF393" s="214" t="s">
        <v>25721</v>
      </c>
      <c r="EG393" s="214" t="s">
        <v>52</v>
      </c>
      <c r="EH393" s="214" t="s">
        <v>70</v>
      </c>
      <c r="EI393" s="214" t="s">
        <v>530</v>
      </c>
      <c r="EK393" s="214" t="s">
        <v>25722</v>
      </c>
      <c r="EL393" s="214" t="s">
        <v>206</v>
      </c>
      <c r="EM393" s="214" t="s">
        <v>70</v>
      </c>
      <c r="EN393" s="214" t="s">
        <v>530</v>
      </c>
      <c r="EP393" s="214" t="s">
        <v>25723</v>
      </c>
      <c r="EQ393" s="214" t="s">
        <v>34557</v>
      </c>
      <c r="ER393" s="214" t="s">
        <v>70</v>
      </c>
      <c r="ES393" s="214" t="s">
        <v>530</v>
      </c>
      <c r="EU393" s="214" t="s">
        <v>25724</v>
      </c>
      <c r="EV393" s="214" t="s">
        <v>503</v>
      </c>
      <c r="EW393" s="214" t="s">
        <v>70</v>
      </c>
      <c r="EX393" s="214" t="s">
        <v>530</v>
      </c>
      <c r="EZ393" s="214" t="s">
        <v>25725</v>
      </c>
      <c r="FA393" s="214" t="s">
        <v>163</v>
      </c>
      <c r="FB393" s="214" t="s">
        <v>70</v>
      </c>
      <c r="FC393" s="214" t="s">
        <v>530</v>
      </c>
      <c r="FE393" s="214" t="s">
        <v>25726</v>
      </c>
      <c r="FF393" s="214" t="s">
        <v>496</v>
      </c>
      <c r="FG393" s="214" t="s">
        <v>70</v>
      </c>
      <c r="FH393" s="214" t="s">
        <v>530</v>
      </c>
      <c r="FJ393" s="321" t="s">
        <v>25727</v>
      </c>
      <c r="FK393" s="214" t="s">
        <v>34544</v>
      </c>
      <c r="FL393" s="214" t="s">
        <v>70</v>
      </c>
      <c r="FM393" s="214" t="s">
        <v>530</v>
      </c>
      <c r="FO393" s="321" t="s">
        <v>25728</v>
      </c>
      <c r="FP393" s="214" t="s">
        <v>485</v>
      </c>
      <c r="FQ393" s="214" t="s">
        <v>70</v>
      </c>
      <c r="FR393" s="214" t="s">
        <v>530</v>
      </c>
      <c r="FT393" s="321" t="s">
        <v>25729</v>
      </c>
      <c r="FU393" s="214" t="s">
        <v>491</v>
      </c>
      <c r="FV393" s="214" t="s">
        <v>70</v>
      </c>
      <c r="FW393" s="214" t="s">
        <v>530</v>
      </c>
      <c r="FY393" s="321" t="s">
        <v>25730</v>
      </c>
      <c r="FZ393" s="214" t="s">
        <v>34556</v>
      </c>
      <c r="GA393" s="214" t="s">
        <v>70</v>
      </c>
      <c r="GB393" s="214" t="s">
        <v>530</v>
      </c>
      <c r="GD393" s="321" t="s">
        <v>25731</v>
      </c>
      <c r="GE393" s="214" t="s">
        <v>52</v>
      </c>
      <c r="GF393" s="214" t="s">
        <v>70</v>
      </c>
      <c r="GG393" s="214" t="s">
        <v>530</v>
      </c>
      <c r="GI393" s="321" t="s">
        <v>25732</v>
      </c>
      <c r="GJ393" s="214" t="s">
        <v>491</v>
      </c>
      <c r="GK393" s="214" t="s">
        <v>70</v>
      </c>
      <c r="GL393" s="214" t="s">
        <v>530</v>
      </c>
      <c r="GN393" s="321" t="s">
        <v>25733</v>
      </c>
      <c r="GO393" s="214" t="s">
        <v>484</v>
      </c>
      <c r="GP393" s="214" t="s">
        <v>70</v>
      </c>
      <c r="GQ393" s="214" t="s">
        <v>530</v>
      </c>
      <c r="GS393" s="321" t="s">
        <v>25734</v>
      </c>
      <c r="GT393" s="214" t="s">
        <v>956</v>
      </c>
      <c r="GU393" s="214" t="s">
        <v>70</v>
      </c>
      <c r="GV393" s="214" t="s">
        <v>530</v>
      </c>
      <c r="GX393" s="214" t="s">
        <v>25735</v>
      </c>
      <c r="GY393" s="214" t="s">
        <v>482</v>
      </c>
      <c r="GZ393" s="214" t="s">
        <v>70</v>
      </c>
      <c r="HA393" s="214" t="s">
        <v>530</v>
      </c>
      <c r="HC393" s="214" t="s">
        <v>25736</v>
      </c>
      <c r="HD393" s="214" t="s">
        <v>502</v>
      </c>
      <c r="HE393" s="214" t="s">
        <v>70</v>
      </c>
      <c r="HF393" s="214" t="s">
        <v>530</v>
      </c>
      <c r="HH393" s="214" t="s">
        <v>25737</v>
      </c>
      <c r="HI393" s="214" t="s">
        <v>34516</v>
      </c>
      <c r="HJ393" s="214" t="s">
        <v>70</v>
      </c>
      <c r="HK393" s="214" t="s">
        <v>530</v>
      </c>
      <c r="HM393" s="214" t="s">
        <v>25738</v>
      </c>
      <c r="HN393" s="214" t="s">
        <v>484</v>
      </c>
      <c r="HO393" s="214" t="s">
        <v>70</v>
      </c>
      <c r="HP393" s="214" t="s">
        <v>530</v>
      </c>
      <c r="HR393" s="22" t="s">
        <v>25739</v>
      </c>
      <c r="HS393" s="22" t="s">
        <v>488</v>
      </c>
      <c r="HT393" s="22" t="s">
        <v>70</v>
      </c>
      <c r="HU393" s="214" t="s">
        <v>530</v>
      </c>
      <c r="HW393" s="22" t="s">
        <v>25740</v>
      </c>
      <c r="HX393" s="22" t="s">
        <v>468</v>
      </c>
      <c r="HY393" s="22" t="s">
        <v>70</v>
      </c>
      <c r="HZ393" s="214" t="s">
        <v>530</v>
      </c>
      <c r="IB393" s="22" t="s">
        <v>25741</v>
      </c>
      <c r="IC393" s="22" t="s">
        <v>34541</v>
      </c>
      <c r="ID393" s="22" t="s">
        <v>70</v>
      </c>
      <c r="IE393" s="214" t="s">
        <v>530</v>
      </c>
      <c r="IG393" s="22" t="s">
        <v>25742</v>
      </c>
      <c r="IH393" s="22" t="s">
        <v>52</v>
      </c>
      <c r="II393" s="22" t="s">
        <v>70</v>
      </c>
      <c r="IJ393" s="214" t="s">
        <v>530</v>
      </c>
      <c r="IL393" s="22" t="s">
        <v>25743</v>
      </c>
      <c r="IM393" s="22" t="s">
        <v>145</v>
      </c>
      <c r="IN393" s="22" t="s">
        <v>70</v>
      </c>
      <c r="IO393" s="214" t="s">
        <v>530</v>
      </c>
      <c r="IQ393" s="236" t="s">
        <v>25744</v>
      </c>
      <c r="IR393" s="236" t="s">
        <v>145</v>
      </c>
      <c r="IS393" s="236" t="s">
        <v>74</v>
      </c>
      <c r="IT393" s="236" t="s">
        <v>841</v>
      </c>
      <c r="IV393" s="236" t="s">
        <v>25745</v>
      </c>
      <c r="IW393" s="236" t="s">
        <v>145</v>
      </c>
      <c r="IX393" s="236" t="s">
        <v>74</v>
      </c>
      <c r="IY393" s="236" t="s">
        <v>841</v>
      </c>
      <c r="JA393" s="236" t="s">
        <v>25746</v>
      </c>
      <c r="JB393" s="236" t="s">
        <v>145</v>
      </c>
      <c r="JC393" s="236" t="s">
        <v>74</v>
      </c>
      <c r="JD393" s="236" t="s">
        <v>841</v>
      </c>
      <c r="JF393" s="236" t="s">
        <v>25747</v>
      </c>
      <c r="JG393" s="236" t="s">
        <v>145</v>
      </c>
      <c r="JH393" s="236" t="s">
        <v>74</v>
      </c>
      <c r="JI393" s="236" t="s">
        <v>841</v>
      </c>
      <c r="JK393" s="236" t="s">
        <v>25748</v>
      </c>
      <c r="JL393" s="236" t="s">
        <v>145</v>
      </c>
      <c r="JM393" s="236" t="s">
        <v>74</v>
      </c>
      <c r="JN393" s="236" t="s">
        <v>841</v>
      </c>
      <c r="JP393" s="236" t="s">
        <v>25749</v>
      </c>
      <c r="JQ393" s="236" t="s">
        <v>145</v>
      </c>
      <c r="JR393" s="236" t="s">
        <v>74</v>
      </c>
      <c r="JS393" s="236" t="s">
        <v>841</v>
      </c>
      <c r="JU393" s="294" t="s">
        <v>25750</v>
      </c>
      <c r="JV393" s="294" t="s">
        <v>52</v>
      </c>
      <c r="JW393" s="263" t="s">
        <v>70</v>
      </c>
      <c r="JX393" s="294" t="s">
        <v>1083</v>
      </c>
      <c r="JZ393" s="263" t="s">
        <v>25751</v>
      </c>
      <c r="KA393" s="263" t="s">
        <v>145</v>
      </c>
      <c r="KB393" s="263" t="s">
        <v>70</v>
      </c>
      <c r="KC393" s="263" t="s">
        <v>1083</v>
      </c>
      <c r="KE393" s="263" t="s">
        <v>25752</v>
      </c>
      <c r="KF393" s="263" t="s">
        <v>52</v>
      </c>
      <c r="KG393" s="263" t="s">
        <v>70</v>
      </c>
      <c r="KH393" s="263" t="s">
        <v>1083</v>
      </c>
      <c r="KJ393" s="263" t="s">
        <v>25753</v>
      </c>
      <c r="KK393" s="263" t="s">
        <v>52</v>
      </c>
      <c r="KL393" s="263" t="s">
        <v>74</v>
      </c>
      <c r="KM393" s="263" t="s">
        <v>34074</v>
      </c>
      <c r="KO393" s="214" t="s">
        <v>25754</v>
      </c>
      <c r="KP393" s="214" t="s">
        <v>145</v>
      </c>
      <c r="KQ393" s="214" t="s">
        <v>70</v>
      </c>
      <c r="KR393" s="214" t="s">
        <v>67</v>
      </c>
      <c r="KT393" s="22" t="s">
        <v>25755</v>
      </c>
      <c r="KU393" s="22" t="s">
        <v>145</v>
      </c>
      <c r="KV393" s="22" t="s">
        <v>70</v>
      </c>
      <c r="KW393" s="22" t="s">
        <v>67</v>
      </c>
      <c r="KY393" s="214" t="s">
        <v>25756</v>
      </c>
      <c r="KZ393" s="214" t="s">
        <v>52</v>
      </c>
      <c r="LA393" s="214" t="s">
        <v>74</v>
      </c>
      <c r="LB393" s="214" t="s">
        <v>67</v>
      </c>
      <c r="LD393" s="22" t="s">
        <v>25757</v>
      </c>
      <c r="LE393" s="22" t="s">
        <v>145</v>
      </c>
      <c r="LF393" s="22" t="s">
        <v>70</v>
      </c>
      <c r="LG393" s="22" t="s">
        <v>67</v>
      </c>
    </row>
    <row r="394" spans="1:319">
      <c r="A394" s="22" t="s">
        <v>25758</v>
      </c>
      <c r="B394" s="22" t="s">
        <v>145</v>
      </c>
      <c r="C394" s="22" t="s">
        <v>70</v>
      </c>
      <c r="D394" s="22" t="s">
        <v>67</v>
      </c>
      <c r="F394" s="96" t="s">
        <v>25759</v>
      </c>
      <c r="G394" s="22" t="s">
        <v>145</v>
      </c>
      <c r="H394" s="22" t="s">
        <v>70</v>
      </c>
      <c r="I394" s="22" t="s">
        <v>67</v>
      </c>
      <c r="K394" s="99" t="s">
        <v>25760</v>
      </c>
      <c r="L394" s="22" t="s">
        <v>145</v>
      </c>
      <c r="M394" s="22" t="s">
        <v>70</v>
      </c>
      <c r="N394" s="22" t="s">
        <v>67</v>
      </c>
      <c r="P394" s="230" t="s">
        <v>25761</v>
      </c>
      <c r="Q394" s="218" t="s">
        <v>145</v>
      </c>
      <c r="R394" s="218" t="s">
        <v>72</v>
      </c>
      <c r="S394" s="218" t="s">
        <v>33995</v>
      </c>
      <c r="U394" s="293" t="s">
        <v>25762</v>
      </c>
      <c r="V394" s="293" t="s">
        <v>145</v>
      </c>
      <c r="W394" s="293" t="s">
        <v>74</v>
      </c>
      <c r="X394" s="293" t="s">
        <v>656</v>
      </c>
      <c r="Z394" s="293" t="s">
        <v>25763</v>
      </c>
      <c r="AA394" s="293" t="s">
        <v>145</v>
      </c>
      <c r="AB394" s="293" t="s">
        <v>74</v>
      </c>
      <c r="AC394" s="293" t="s">
        <v>656</v>
      </c>
      <c r="AE394" s="293" t="s">
        <v>25764</v>
      </c>
      <c r="AF394" s="293" t="s">
        <v>145</v>
      </c>
      <c r="AG394" s="293" t="s">
        <v>74</v>
      </c>
      <c r="AH394" s="293" t="s">
        <v>656</v>
      </c>
      <c r="AJ394" s="293" t="s">
        <v>25765</v>
      </c>
      <c r="AK394" s="293" t="s">
        <v>145</v>
      </c>
      <c r="AL394" s="293" t="s">
        <v>74</v>
      </c>
      <c r="AM394" s="293" t="s">
        <v>656</v>
      </c>
      <c r="AO394" s="22" t="s">
        <v>25766</v>
      </c>
      <c r="AP394" s="22" t="s">
        <v>145</v>
      </c>
      <c r="AQ394" s="22" t="s">
        <v>70</v>
      </c>
      <c r="AR394" s="22" t="s">
        <v>67</v>
      </c>
      <c r="AT394" s="22" t="s">
        <v>25767</v>
      </c>
      <c r="AU394" s="22" t="s">
        <v>145</v>
      </c>
      <c r="AV394" s="22" t="s">
        <v>70</v>
      </c>
      <c r="AW394" s="22" t="s">
        <v>67</v>
      </c>
      <c r="AY394" s="22" t="s">
        <v>25768</v>
      </c>
      <c r="AZ394" s="22" t="s">
        <v>145</v>
      </c>
      <c r="BA394" s="22" t="s">
        <v>70</v>
      </c>
      <c r="BB394" s="22" t="s">
        <v>67</v>
      </c>
      <c r="BD394" s="22" t="s">
        <v>25769</v>
      </c>
      <c r="BE394" s="22" t="s">
        <v>145</v>
      </c>
      <c r="BF394" s="22" t="s">
        <v>70</v>
      </c>
      <c r="BG394" s="22" t="s">
        <v>67</v>
      </c>
      <c r="BI394" s="22" t="s">
        <v>25770</v>
      </c>
      <c r="BJ394" s="22" t="s">
        <v>145</v>
      </c>
      <c r="BK394" s="22" t="s">
        <v>70</v>
      </c>
      <c r="BL394" s="22" t="s">
        <v>67</v>
      </c>
      <c r="BN394" s="22" t="s">
        <v>25771</v>
      </c>
      <c r="BO394" s="22" t="s">
        <v>145</v>
      </c>
      <c r="BP394" s="22" t="s">
        <v>70</v>
      </c>
      <c r="BQ394" s="22" t="s">
        <v>67</v>
      </c>
      <c r="BS394" s="22" t="s">
        <v>25772</v>
      </c>
      <c r="BT394" s="22" t="s">
        <v>145</v>
      </c>
      <c r="BU394" s="22" t="s">
        <v>70</v>
      </c>
      <c r="BV394" s="214" t="s">
        <v>530</v>
      </c>
      <c r="BX394" s="22" t="s">
        <v>25773</v>
      </c>
      <c r="BY394" s="22" t="s">
        <v>145</v>
      </c>
      <c r="BZ394" s="22" t="s">
        <v>70</v>
      </c>
      <c r="CA394" s="214" t="s">
        <v>530</v>
      </c>
      <c r="CC394" s="214" t="s">
        <v>25774</v>
      </c>
      <c r="CD394" s="218" t="s">
        <v>87</v>
      </c>
      <c r="CE394" s="214" t="s">
        <v>70</v>
      </c>
      <c r="CF394" s="214" t="s">
        <v>530</v>
      </c>
      <c r="CH394" s="214" t="s">
        <v>25775</v>
      </c>
      <c r="CI394" s="214" t="s">
        <v>52</v>
      </c>
      <c r="CJ394" s="214" t="s">
        <v>70</v>
      </c>
      <c r="CK394" s="214" t="s">
        <v>530</v>
      </c>
      <c r="CM394" s="214" t="s">
        <v>25776</v>
      </c>
      <c r="CN394" s="214" t="s">
        <v>34073</v>
      </c>
      <c r="CO394" s="214" t="s">
        <v>70</v>
      </c>
      <c r="CP394" s="214" t="s">
        <v>530</v>
      </c>
      <c r="CR394" s="214" t="s">
        <v>25777</v>
      </c>
      <c r="CS394" s="214" t="s">
        <v>34624</v>
      </c>
      <c r="CT394" s="214" t="s">
        <v>70</v>
      </c>
      <c r="CU394" s="214" t="s">
        <v>530</v>
      </c>
      <c r="CW394" s="214" t="s">
        <v>25778</v>
      </c>
      <c r="CX394" s="214" t="s">
        <v>34545</v>
      </c>
      <c r="CY394" s="214" t="s">
        <v>70</v>
      </c>
      <c r="CZ394" s="214" t="s">
        <v>530</v>
      </c>
      <c r="DB394" s="214" t="s">
        <v>25779</v>
      </c>
      <c r="DC394" s="214" t="s">
        <v>149</v>
      </c>
      <c r="DD394" s="214" t="s">
        <v>70</v>
      </c>
      <c r="DE394" s="214" t="s">
        <v>530</v>
      </c>
      <c r="DG394" s="214" t="s">
        <v>25780</v>
      </c>
      <c r="DH394" s="214" t="s">
        <v>485</v>
      </c>
      <c r="DI394" s="214" t="s">
        <v>70</v>
      </c>
      <c r="DJ394" s="214" t="s">
        <v>530</v>
      </c>
      <c r="DL394" s="214" t="s">
        <v>25781</v>
      </c>
      <c r="DM394" s="214" t="s">
        <v>146</v>
      </c>
      <c r="DN394" s="214" t="s">
        <v>70</v>
      </c>
      <c r="DO394" s="214" t="s">
        <v>530</v>
      </c>
      <c r="DQ394" s="214" t="s">
        <v>25782</v>
      </c>
      <c r="DR394" s="214" t="s">
        <v>655</v>
      </c>
      <c r="DS394" s="214" t="s">
        <v>70</v>
      </c>
      <c r="DT394" s="214" t="s">
        <v>530</v>
      </c>
      <c r="DV394" s="214" t="s">
        <v>25783</v>
      </c>
      <c r="DW394" s="214" t="s">
        <v>148</v>
      </c>
      <c r="DX394" s="214" t="s">
        <v>70</v>
      </c>
      <c r="DY394" s="214" t="s">
        <v>530</v>
      </c>
      <c r="EA394" s="214" t="s">
        <v>25784</v>
      </c>
      <c r="EB394" s="214" t="s">
        <v>52</v>
      </c>
      <c r="EC394" s="214" t="s">
        <v>70</v>
      </c>
      <c r="ED394" s="214" t="s">
        <v>530</v>
      </c>
      <c r="EF394" s="214" t="s">
        <v>25785</v>
      </c>
      <c r="EG394" s="214" t="s">
        <v>52</v>
      </c>
      <c r="EH394" s="214" t="s">
        <v>70</v>
      </c>
      <c r="EI394" s="214" t="s">
        <v>530</v>
      </c>
      <c r="EK394" s="214" t="s">
        <v>25786</v>
      </c>
      <c r="EL394" s="214" t="s">
        <v>52</v>
      </c>
      <c r="EM394" s="214" t="s">
        <v>70</v>
      </c>
      <c r="EN394" s="214" t="s">
        <v>530</v>
      </c>
      <c r="EP394" s="214" t="s">
        <v>25787</v>
      </c>
      <c r="EQ394" s="214" t="s">
        <v>915</v>
      </c>
      <c r="ER394" s="214" t="s">
        <v>70</v>
      </c>
      <c r="ES394" s="214" t="s">
        <v>530</v>
      </c>
      <c r="EU394" s="214" t="s">
        <v>25788</v>
      </c>
      <c r="EV394" s="214" t="s">
        <v>52</v>
      </c>
      <c r="EW394" s="214" t="s">
        <v>70</v>
      </c>
      <c r="EX394" s="214" t="s">
        <v>530</v>
      </c>
      <c r="EZ394" s="214" t="s">
        <v>25789</v>
      </c>
      <c r="FA394" s="214" t="s">
        <v>148</v>
      </c>
      <c r="FB394" s="214" t="s">
        <v>70</v>
      </c>
      <c r="FC394" s="214" t="s">
        <v>530</v>
      </c>
      <c r="FE394" s="214" t="s">
        <v>25790</v>
      </c>
      <c r="FF394" s="214" t="s">
        <v>89</v>
      </c>
      <c r="FG394" s="214" t="s">
        <v>70</v>
      </c>
      <c r="FH394" s="214" t="s">
        <v>530</v>
      </c>
      <c r="FJ394" s="321" t="s">
        <v>25791</v>
      </c>
      <c r="FK394" s="214" t="s">
        <v>145</v>
      </c>
      <c r="FL394" s="214" t="s">
        <v>70</v>
      </c>
      <c r="FM394" s="214" t="s">
        <v>530</v>
      </c>
      <c r="FO394" s="321" t="s">
        <v>25792</v>
      </c>
      <c r="FP394" s="214" t="s">
        <v>148</v>
      </c>
      <c r="FQ394" s="214" t="s">
        <v>70</v>
      </c>
      <c r="FR394" s="214" t="s">
        <v>530</v>
      </c>
      <c r="FT394" s="321" t="s">
        <v>25793</v>
      </c>
      <c r="FU394" s="214" t="s">
        <v>34556</v>
      </c>
      <c r="FV394" s="214" t="s">
        <v>70</v>
      </c>
      <c r="FW394" s="214" t="s">
        <v>530</v>
      </c>
      <c r="FY394" s="321" t="s">
        <v>25794</v>
      </c>
      <c r="FZ394" s="214" t="s">
        <v>52</v>
      </c>
      <c r="GA394" s="214" t="s">
        <v>70</v>
      </c>
      <c r="GB394" s="214" t="s">
        <v>530</v>
      </c>
      <c r="GD394" s="321" t="s">
        <v>25795</v>
      </c>
      <c r="GE394" s="214" t="s">
        <v>163</v>
      </c>
      <c r="GF394" s="214" t="s">
        <v>70</v>
      </c>
      <c r="GG394" s="214" t="s">
        <v>530</v>
      </c>
      <c r="GI394" s="321" t="s">
        <v>25796</v>
      </c>
      <c r="GJ394" s="214" t="s">
        <v>34556</v>
      </c>
      <c r="GK394" s="214" t="s">
        <v>70</v>
      </c>
      <c r="GL394" s="214" t="s">
        <v>530</v>
      </c>
      <c r="GN394" s="321" t="s">
        <v>25797</v>
      </c>
      <c r="GO394" s="214" t="s">
        <v>34636</v>
      </c>
      <c r="GP394" s="214" t="s">
        <v>70</v>
      </c>
      <c r="GQ394" s="214" t="s">
        <v>530</v>
      </c>
      <c r="GS394" s="321" t="s">
        <v>25798</v>
      </c>
      <c r="GT394" s="214" t="s">
        <v>88</v>
      </c>
      <c r="GU394" s="214" t="s">
        <v>70</v>
      </c>
      <c r="GV394" s="214" t="s">
        <v>530</v>
      </c>
      <c r="GX394" s="214" t="s">
        <v>25799</v>
      </c>
      <c r="GY394" s="214" t="s">
        <v>10541</v>
      </c>
      <c r="GZ394" s="214" t="s">
        <v>70</v>
      </c>
      <c r="HA394" s="214" t="s">
        <v>530</v>
      </c>
      <c r="HC394" s="214" t="s">
        <v>25800</v>
      </c>
      <c r="HD394" s="214" t="s">
        <v>529</v>
      </c>
      <c r="HE394" s="214" t="s">
        <v>70</v>
      </c>
      <c r="HF394" s="214" t="s">
        <v>530</v>
      </c>
      <c r="HH394" s="214" t="s">
        <v>25801</v>
      </c>
      <c r="HI394" s="214" t="s">
        <v>85</v>
      </c>
      <c r="HJ394" s="214" t="s">
        <v>70</v>
      </c>
      <c r="HK394" s="214" t="s">
        <v>530</v>
      </c>
      <c r="HM394" s="214" t="s">
        <v>25802</v>
      </c>
      <c r="HN394" s="214" t="s">
        <v>491</v>
      </c>
      <c r="HO394" s="214" t="s">
        <v>70</v>
      </c>
      <c r="HP394" s="214" t="s">
        <v>530</v>
      </c>
      <c r="HR394" s="22" t="s">
        <v>25803</v>
      </c>
      <c r="HS394" s="22" t="s">
        <v>481</v>
      </c>
      <c r="HT394" s="22" t="s">
        <v>70</v>
      </c>
      <c r="HU394" s="214" t="s">
        <v>530</v>
      </c>
      <c r="HW394" s="22" t="s">
        <v>25804</v>
      </c>
      <c r="HX394" s="22" t="s">
        <v>468</v>
      </c>
      <c r="HY394" s="22" t="s">
        <v>70</v>
      </c>
      <c r="HZ394" s="214" t="s">
        <v>530</v>
      </c>
      <c r="IB394" s="22" t="s">
        <v>25805</v>
      </c>
      <c r="IC394" s="22" t="s">
        <v>947</v>
      </c>
      <c r="ID394" s="22" t="s">
        <v>70</v>
      </c>
      <c r="IE394" s="214" t="s">
        <v>530</v>
      </c>
      <c r="IG394" s="22" t="s">
        <v>25806</v>
      </c>
      <c r="IH394" s="22" t="s">
        <v>52</v>
      </c>
      <c r="II394" s="22" t="s">
        <v>70</v>
      </c>
      <c r="IJ394" s="214" t="s">
        <v>530</v>
      </c>
      <c r="IL394" s="22" t="s">
        <v>25807</v>
      </c>
      <c r="IM394" s="22" t="s">
        <v>145</v>
      </c>
      <c r="IN394" s="22" t="s">
        <v>70</v>
      </c>
      <c r="IO394" s="214" t="s">
        <v>530</v>
      </c>
      <c r="IQ394" s="236" t="s">
        <v>25808</v>
      </c>
      <c r="IR394" s="236" t="s">
        <v>145</v>
      </c>
      <c r="IS394" s="236" t="s">
        <v>74</v>
      </c>
      <c r="IT394" s="236" t="s">
        <v>841</v>
      </c>
      <c r="IV394" s="236" t="s">
        <v>25809</v>
      </c>
      <c r="IW394" s="236" t="s">
        <v>145</v>
      </c>
      <c r="IX394" s="236" t="s">
        <v>74</v>
      </c>
      <c r="IY394" s="236" t="s">
        <v>841</v>
      </c>
      <c r="JA394" s="236" t="s">
        <v>25810</v>
      </c>
      <c r="JB394" s="236" t="s">
        <v>145</v>
      </c>
      <c r="JC394" s="236" t="s">
        <v>74</v>
      </c>
      <c r="JD394" s="236" t="s">
        <v>841</v>
      </c>
      <c r="JF394" s="236" t="s">
        <v>25811</v>
      </c>
      <c r="JG394" s="236" t="s">
        <v>145</v>
      </c>
      <c r="JH394" s="236" t="s">
        <v>74</v>
      </c>
      <c r="JI394" s="236" t="s">
        <v>841</v>
      </c>
      <c r="JK394" s="236" t="s">
        <v>25812</v>
      </c>
      <c r="JL394" s="236" t="s">
        <v>145</v>
      </c>
      <c r="JM394" s="236" t="s">
        <v>74</v>
      </c>
      <c r="JN394" s="236" t="s">
        <v>841</v>
      </c>
      <c r="JP394" s="236" t="s">
        <v>25813</v>
      </c>
      <c r="JQ394" s="236" t="s">
        <v>145</v>
      </c>
      <c r="JR394" s="236" t="s">
        <v>74</v>
      </c>
      <c r="JS394" s="236" t="s">
        <v>841</v>
      </c>
      <c r="JU394" s="294" t="s">
        <v>25814</v>
      </c>
      <c r="JV394" s="294" t="s">
        <v>52</v>
      </c>
      <c r="JW394" s="263" t="s">
        <v>70</v>
      </c>
      <c r="JX394" s="294" t="s">
        <v>1083</v>
      </c>
      <c r="JZ394" s="263" t="s">
        <v>25815</v>
      </c>
      <c r="KA394" s="263" t="s">
        <v>145</v>
      </c>
      <c r="KB394" s="263" t="s">
        <v>70</v>
      </c>
      <c r="KC394" s="263" t="s">
        <v>1083</v>
      </c>
      <c r="KE394" s="263" t="s">
        <v>25816</v>
      </c>
      <c r="KF394" s="263" t="s">
        <v>52</v>
      </c>
      <c r="KG394" s="263" t="s">
        <v>70</v>
      </c>
      <c r="KH394" s="263" t="s">
        <v>1083</v>
      </c>
      <c r="KJ394" s="263" t="s">
        <v>25817</v>
      </c>
      <c r="KK394" s="263" t="s">
        <v>52</v>
      </c>
      <c r="KL394" s="263" t="s">
        <v>74</v>
      </c>
      <c r="KM394" s="263" t="s">
        <v>34074</v>
      </c>
      <c r="KO394" s="214" t="s">
        <v>25818</v>
      </c>
      <c r="KP394" s="214" t="s">
        <v>145</v>
      </c>
      <c r="KQ394" s="214" t="s">
        <v>70</v>
      </c>
      <c r="KR394" s="214" t="s">
        <v>67</v>
      </c>
      <c r="KT394" s="22" t="s">
        <v>25819</v>
      </c>
      <c r="KU394" s="22" t="s">
        <v>145</v>
      </c>
      <c r="KV394" s="22" t="s">
        <v>70</v>
      </c>
      <c r="KW394" s="22" t="s">
        <v>67</v>
      </c>
      <c r="KY394" s="214" t="s">
        <v>25820</v>
      </c>
      <c r="KZ394" s="214" t="s">
        <v>52</v>
      </c>
      <c r="LA394" s="214" t="s">
        <v>74</v>
      </c>
      <c r="LB394" s="214" t="s">
        <v>67</v>
      </c>
      <c r="LD394" s="22" t="s">
        <v>25821</v>
      </c>
      <c r="LE394" s="22" t="s">
        <v>145</v>
      </c>
      <c r="LF394" s="22" t="s">
        <v>70</v>
      </c>
      <c r="LG394" s="22" t="s">
        <v>67</v>
      </c>
    </row>
    <row r="395" spans="1:319">
      <c r="A395" s="22" t="s">
        <v>25822</v>
      </c>
      <c r="B395" s="22" t="s">
        <v>145</v>
      </c>
      <c r="C395" s="22" t="s">
        <v>70</v>
      </c>
      <c r="D395" s="22" t="s">
        <v>67</v>
      </c>
      <c r="F395" s="96" t="s">
        <v>25823</v>
      </c>
      <c r="G395" s="22" t="s">
        <v>145</v>
      </c>
      <c r="H395" s="22" t="s">
        <v>70</v>
      </c>
      <c r="I395" s="22" t="s">
        <v>67</v>
      </c>
      <c r="K395" s="99" t="s">
        <v>25824</v>
      </c>
      <c r="L395" s="22" t="s">
        <v>145</v>
      </c>
      <c r="M395" s="22" t="s">
        <v>70</v>
      </c>
      <c r="N395" s="22" t="s">
        <v>67</v>
      </c>
      <c r="P395" s="230" t="s">
        <v>25825</v>
      </c>
      <c r="Q395" s="218" t="s">
        <v>145</v>
      </c>
      <c r="R395" s="218" t="s">
        <v>72</v>
      </c>
      <c r="S395" s="218" t="s">
        <v>33996</v>
      </c>
      <c r="U395" s="293" t="s">
        <v>25826</v>
      </c>
      <c r="V395" s="293" t="s">
        <v>145</v>
      </c>
      <c r="W395" s="293" t="s">
        <v>74</v>
      </c>
      <c r="X395" s="293" t="s">
        <v>656</v>
      </c>
      <c r="Z395" s="293" t="s">
        <v>25827</v>
      </c>
      <c r="AA395" s="293" t="s">
        <v>145</v>
      </c>
      <c r="AB395" s="293" t="s">
        <v>74</v>
      </c>
      <c r="AC395" s="293" t="s">
        <v>656</v>
      </c>
      <c r="AE395" s="293" t="s">
        <v>25828</v>
      </c>
      <c r="AF395" s="293" t="s">
        <v>145</v>
      </c>
      <c r="AG395" s="293" t="s">
        <v>74</v>
      </c>
      <c r="AH395" s="293" t="s">
        <v>656</v>
      </c>
      <c r="AJ395" s="293" t="s">
        <v>25829</v>
      </c>
      <c r="AK395" s="293" t="s">
        <v>145</v>
      </c>
      <c r="AL395" s="293" t="s">
        <v>74</v>
      </c>
      <c r="AM395" s="293" t="s">
        <v>656</v>
      </c>
      <c r="AO395" s="22" t="s">
        <v>25830</v>
      </c>
      <c r="AP395" s="22" t="s">
        <v>145</v>
      </c>
      <c r="AQ395" s="22" t="s">
        <v>70</v>
      </c>
      <c r="AR395" s="22" t="s">
        <v>67</v>
      </c>
      <c r="AT395" s="22" t="s">
        <v>25831</v>
      </c>
      <c r="AU395" s="22" t="s">
        <v>145</v>
      </c>
      <c r="AV395" s="22" t="s">
        <v>70</v>
      </c>
      <c r="AW395" s="22" t="s">
        <v>67</v>
      </c>
      <c r="AY395" s="22" t="s">
        <v>25832</v>
      </c>
      <c r="AZ395" s="22" t="s">
        <v>145</v>
      </c>
      <c r="BA395" s="22" t="s">
        <v>70</v>
      </c>
      <c r="BB395" s="22" t="s">
        <v>67</v>
      </c>
      <c r="BD395" s="22" t="s">
        <v>25833</v>
      </c>
      <c r="BE395" s="22" t="s">
        <v>145</v>
      </c>
      <c r="BF395" s="22" t="s">
        <v>70</v>
      </c>
      <c r="BG395" s="22" t="s">
        <v>67</v>
      </c>
      <c r="BI395" s="22" t="s">
        <v>25834</v>
      </c>
      <c r="BJ395" s="22" t="s">
        <v>145</v>
      </c>
      <c r="BK395" s="22" t="s">
        <v>70</v>
      </c>
      <c r="BL395" s="22" t="s">
        <v>67</v>
      </c>
      <c r="BN395" s="22" t="s">
        <v>25835</v>
      </c>
      <c r="BO395" s="22" t="s">
        <v>145</v>
      </c>
      <c r="BP395" s="22" t="s">
        <v>70</v>
      </c>
      <c r="BQ395" s="22" t="s">
        <v>67</v>
      </c>
      <c r="BS395" s="22" t="s">
        <v>25836</v>
      </c>
      <c r="BT395" s="22" t="s">
        <v>145</v>
      </c>
      <c r="BU395" s="22" t="s">
        <v>70</v>
      </c>
      <c r="BV395" s="214" t="s">
        <v>530</v>
      </c>
      <c r="BX395" s="22" t="s">
        <v>25837</v>
      </c>
      <c r="BY395" s="22" t="s">
        <v>145</v>
      </c>
      <c r="BZ395" s="22" t="s">
        <v>70</v>
      </c>
      <c r="CA395" s="214" t="s">
        <v>530</v>
      </c>
      <c r="CC395" s="214" t="s">
        <v>25838</v>
      </c>
      <c r="CD395" s="218" t="s">
        <v>531</v>
      </c>
      <c r="CE395" s="214" t="s">
        <v>70</v>
      </c>
      <c r="CF395" s="214" t="s">
        <v>530</v>
      </c>
      <c r="CH395" s="214" t="s">
        <v>25839</v>
      </c>
      <c r="CI395" s="214" t="s">
        <v>52</v>
      </c>
      <c r="CJ395" s="214" t="s">
        <v>70</v>
      </c>
      <c r="CK395" s="214" t="s">
        <v>530</v>
      </c>
      <c r="CM395" s="214" t="s">
        <v>25840</v>
      </c>
      <c r="CN395" s="214" t="s">
        <v>488</v>
      </c>
      <c r="CO395" s="214" t="s">
        <v>70</v>
      </c>
      <c r="CP395" s="214" t="s">
        <v>530</v>
      </c>
      <c r="CR395" s="214" t="s">
        <v>25841</v>
      </c>
      <c r="CS395" s="214" t="s">
        <v>103</v>
      </c>
      <c r="CT395" s="214" t="s">
        <v>70</v>
      </c>
      <c r="CU395" s="214" t="s">
        <v>530</v>
      </c>
      <c r="CW395" s="214" t="s">
        <v>25842</v>
      </c>
      <c r="CX395" s="214" t="s">
        <v>34551</v>
      </c>
      <c r="CY395" s="214" t="s">
        <v>70</v>
      </c>
      <c r="CZ395" s="214" t="s">
        <v>530</v>
      </c>
      <c r="DB395" s="214" t="s">
        <v>25843</v>
      </c>
      <c r="DC395" s="214" t="s">
        <v>502</v>
      </c>
      <c r="DD395" s="214" t="s">
        <v>70</v>
      </c>
      <c r="DE395" s="214" t="s">
        <v>530</v>
      </c>
      <c r="DG395" s="214" t="s">
        <v>25844</v>
      </c>
      <c r="DH395" s="214" t="s">
        <v>52</v>
      </c>
      <c r="DI395" s="214" t="s">
        <v>70</v>
      </c>
      <c r="DJ395" s="214" t="s">
        <v>530</v>
      </c>
      <c r="DL395" s="214" t="s">
        <v>25845</v>
      </c>
      <c r="DM395" s="214" t="s">
        <v>483</v>
      </c>
      <c r="DN395" s="214" t="s">
        <v>70</v>
      </c>
      <c r="DO395" s="214" t="s">
        <v>530</v>
      </c>
      <c r="DQ395" s="214" t="s">
        <v>25846</v>
      </c>
      <c r="DR395" s="214" t="s">
        <v>486</v>
      </c>
      <c r="DS395" s="214" t="s">
        <v>70</v>
      </c>
      <c r="DT395" s="214" t="s">
        <v>530</v>
      </c>
      <c r="DV395" s="214" t="s">
        <v>25847</v>
      </c>
      <c r="DW395" s="214" t="s">
        <v>485</v>
      </c>
      <c r="DX395" s="214" t="s">
        <v>70</v>
      </c>
      <c r="DY395" s="214" t="s">
        <v>530</v>
      </c>
      <c r="EA395" s="214" t="s">
        <v>25848</v>
      </c>
      <c r="EB395" s="214" t="s">
        <v>34558</v>
      </c>
      <c r="EC395" s="214" t="s">
        <v>70</v>
      </c>
      <c r="ED395" s="214" t="s">
        <v>530</v>
      </c>
      <c r="EF395" s="214" t="s">
        <v>25849</v>
      </c>
      <c r="EG395" s="214" t="s">
        <v>203</v>
      </c>
      <c r="EH395" s="214" t="s">
        <v>70</v>
      </c>
      <c r="EI395" s="214" t="s">
        <v>530</v>
      </c>
      <c r="EK395" s="214" t="s">
        <v>25850</v>
      </c>
      <c r="EL395" s="214" t="s">
        <v>485</v>
      </c>
      <c r="EM395" s="214" t="s">
        <v>70</v>
      </c>
      <c r="EN395" s="214" t="s">
        <v>530</v>
      </c>
      <c r="EP395" s="214" t="s">
        <v>25851</v>
      </c>
      <c r="EQ395" s="214" t="s">
        <v>34558</v>
      </c>
      <c r="ER395" s="214" t="s">
        <v>70</v>
      </c>
      <c r="ES395" s="214" t="s">
        <v>530</v>
      </c>
      <c r="EU395" s="214" t="s">
        <v>25852</v>
      </c>
      <c r="EV395" s="214" t="s">
        <v>33910</v>
      </c>
      <c r="EW395" s="214" t="s">
        <v>70</v>
      </c>
      <c r="EX395" s="214" t="s">
        <v>530</v>
      </c>
      <c r="EZ395" s="214" t="s">
        <v>25853</v>
      </c>
      <c r="FA395" s="214" t="s">
        <v>146</v>
      </c>
      <c r="FB395" s="214" t="s">
        <v>70</v>
      </c>
      <c r="FC395" s="214" t="s">
        <v>530</v>
      </c>
      <c r="FE395" s="214" t="s">
        <v>25854</v>
      </c>
      <c r="FF395" s="214" t="s">
        <v>482</v>
      </c>
      <c r="FG395" s="214" t="s">
        <v>70</v>
      </c>
      <c r="FH395" s="214" t="s">
        <v>530</v>
      </c>
      <c r="FJ395" s="321" t="s">
        <v>25855</v>
      </c>
      <c r="FK395" s="214" t="s">
        <v>34541</v>
      </c>
      <c r="FL395" s="214" t="s">
        <v>70</v>
      </c>
      <c r="FM395" s="214" t="s">
        <v>530</v>
      </c>
      <c r="FO395" s="321" t="s">
        <v>25856</v>
      </c>
      <c r="FP395" s="214" t="s">
        <v>34542</v>
      </c>
      <c r="FQ395" s="214" t="s">
        <v>70</v>
      </c>
      <c r="FR395" s="214" t="s">
        <v>530</v>
      </c>
      <c r="FT395" s="321" t="s">
        <v>25857</v>
      </c>
      <c r="FU395" s="214" t="s">
        <v>34541</v>
      </c>
      <c r="FV395" s="214" t="s">
        <v>70</v>
      </c>
      <c r="FW395" s="214" t="s">
        <v>530</v>
      </c>
      <c r="FY395" s="321" t="s">
        <v>25858</v>
      </c>
      <c r="FZ395" s="214" t="s">
        <v>956</v>
      </c>
      <c r="GA395" s="214" t="s">
        <v>70</v>
      </c>
      <c r="GB395" s="214" t="s">
        <v>530</v>
      </c>
      <c r="GD395" s="321" t="s">
        <v>25859</v>
      </c>
      <c r="GE395" s="214" t="s">
        <v>952</v>
      </c>
      <c r="GF395" s="214" t="s">
        <v>70</v>
      </c>
      <c r="GG395" s="214" t="s">
        <v>530</v>
      </c>
      <c r="GI395" s="321" t="s">
        <v>25860</v>
      </c>
      <c r="GJ395" s="214" t="s">
        <v>34541</v>
      </c>
      <c r="GK395" s="214" t="s">
        <v>70</v>
      </c>
      <c r="GL395" s="214" t="s">
        <v>530</v>
      </c>
      <c r="GN395" s="321" t="s">
        <v>25861</v>
      </c>
      <c r="GO395" s="214" t="s">
        <v>146</v>
      </c>
      <c r="GP395" s="214" t="s">
        <v>70</v>
      </c>
      <c r="GQ395" s="214" t="s">
        <v>530</v>
      </c>
      <c r="GS395" s="321" t="s">
        <v>25862</v>
      </c>
      <c r="GT395" s="214" t="s">
        <v>488</v>
      </c>
      <c r="GU395" s="214" t="s">
        <v>70</v>
      </c>
      <c r="GV395" s="214" t="s">
        <v>530</v>
      </c>
      <c r="GX395" s="214" t="s">
        <v>25863</v>
      </c>
      <c r="GY395" s="214" t="s">
        <v>52</v>
      </c>
      <c r="GZ395" s="214" t="s">
        <v>70</v>
      </c>
      <c r="HA395" s="214" t="s">
        <v>530</v>
      </c>
      <c r="HC395" s="214" t="s">
        <v>25864</v>
      </c>
      <c r="HD395" s="214" t="s">
        <v>103</v>
      </c>
      <c r="HE395" s="214" t="s">
        <v>70</v>
      </c>
      <c r="HF395" s="214" t="s">
        <v>530</v>
      </c>
      <c r="HH395" s="214" t="s">
        <v>25865</v>
      </c>
      <c r="HI395" s="214" t="s">
        <v>34540</v>
      </c>
      <c r="HJ395" s="214" t="s">
        <v>70</v>
      </c>
      <c r="HK395" s="214" t="s">
        <v>530</v>
      </c>
      <c r="HM395" s="214" t="s">
        <v>25866</v>
      </c>
      <c r="HN395" s="214" t="s">
        <v>484</v>
      </c>
      <c r="HO395" s="214" t="s">
        <v>70</v>
      </c>
      <c r="HP395" s="214" t="s">
        <v>530</v>
      </c>
      <c r="HR395" s="22" t="s">
        <v>25867</v>
      </c>
      <c r="HS395" s="22" t="s">
        <v>487</v>
      </c>
      <c r="HT395" s="22" t="s">
        <v>70</v>
      </c>
      <c r="HU395" s="214" t="s">
        <v>530</v>
      </c>
      <c r="HW395" s="22" t="s">
        <v>25868</v>
      </c>
      <c r="HX395" s="22" t="s">
        <v>146</v>
      </c>
      <c r="HY395" s="22" t="s">
        <v>70</v>
      </c>
      <c r="HZ395" s="214" t="s">
        <v>530</v>
      </c>
      <c r="IB395" s="22" t="s">
        <v>25869</v>
      </c>
      <c r="IC395" s="22" t="s">
        <v>34545</v>
      </c>
      <c r="ID395" s="22" t="s">
        <v>70</v>
      </c>
      <c r="IE395" s="214" t="s">
        <v>530</v>
      </c>
      <c r="IG395" s="22" t="s">
        <v>25870</v>
      </c>
      <c r="IH395" s="22" t="s">
        <v>52</v>
      </c>
      <c r="II395" s="22" t="s">
        <v>70</v>
      </c>
      <c r="IJ395" s="214" t="s">
        <v>530</v>
      </c>
      <c r="IL395" s="22" t="s">
        <v>25871</v>
      </c>
      <c r="IM395" s="22" t="s">
        <v>145</v>
      </c>
      <c r="IN395" s="22" t="s">
        <v>70</v>
      </c>
      <c r="IO395" s="214" t="s">
        <v>530</v>
      </c>
      <c r="IQ395" s="236" t="s">
        <v>25872</v>
      </c>
      <c r="IR395" s="236" t="s">
        <v>145</v>
      </c>
      <c r="IS395" s="236" t="s">
        <v>74</v>
      </c>
      <c r="IT395" s="236" t="s">
        <v>841</v>
      </c>
      <c r="IV395" s="236" t="s">
        <v>25873</v>
      </c>
      <c r="IW395" s="236" t="s">
        <v>145</v>
      </c>
      <c r="IX395" s="236" t="s">
        <v>74</v>
      </c>
      <c r="IY395" s="236" t="s">
        <v>841</v>
      </c>
      <c r="JA395" s="236" t="s">
        <v>25874</v>
      </c>
      <c r="JB395" s="236" t="s">
        <v>145</v>
      </c>
      <c r="JC395" s="236" t="s">
        <v>74</v>
      </c>
      <c r="JD395" s="236" t="s">
        <v>841</v>
      </c>
      <c r="JF395" s="236" t="s">
        <v>25875</v>
      </c>
      <c r="JG395" s="236" t="s">
        <v>145</v>
      </c>
      <c r="JH395" s="236" t="s">
        <v>74</v>
      </c>
      <c r="JI395" s="236" t="s">
        <v>841</v>
      </c>
      <c r="JK395" s="236" t="s">
        <v>25876</v>
      </c>
      <c r="JL395" s="236" t="s">
        <v>145</v>
      </c>
      <c r="JM395" s="236" t="s">
        <v>74</v>
      </c>
      <c r="JN395" s="236" t="s">
        <v>841</v>
      </c>
      <c r="JP395" s="236" t="s">
        <v>25877</v>
      </c>
      <c r="JQ395" s="236" t="s">
        <v>145</v>
      </c>
      <c r="JR395" s="236" t="s">
        <v>74</v>
      </c>
      <c r="JS395" s="236" t="s">
        <v>841</v>
      </c>
      <c r="JU395" s="294" t="s">
        <v>25878</v>
      </c>
      <c r="JV395" s="294" t="s">
        <v>52</v>
      </c>
      <c r="JW395" s="263" t="s">
        <v>70</v>
      </c>
      <c r="JX395" s="294" t="s">
        <v>1083</v>
      </c>
      <c r="JZ395" s="263" t="s">
        <v>25879</v>
      </c>
      <c r="KA395" s="263" t="s">
        <v>145</v>
      </c>
      <c r="KB395" s="263" t="s">
        <v>70</v>
      </c>
      <c r="KC395" s="263" t="s">
        <v>1083</v>
      </c>
      <c r="KE395" s="263" t="s">
        <v>25880</v>
      </c>
      <c r="KF395" s="263" t="s">
        <v>52</v>
      </c>
      <c r="KG395" s="263" t="s">
        <v>70</v>
      </c>
      <c r="KH395" s="263" t="s">
        <v>1083</v>
      </c>
      <c r="KJ395" s="263" t="s">
        <v>25881</v>
      </c>
      <c r="KK395" s="263" t="s">
        <v>52</v>
      </c>
      <c r="KL395" s="263" t="s">
        <v>74</v>
      </c>
      <c r="KM395" s="263" t="s">
        <v>34074</v>
      </c>
      <c r="KO395" s="214" t="s">
        <v>25882</v>
      </c>
      <c r="KP395" s="214" t="s">
        <v>145</v>
      </c>
      <c r="KQ395" s="214" t="s">
        <v>70</v>
      </c>
      <c r="KR395" s="214" t="s">
        <v>67</v>
      </c>
      <c r="KT395" s="22" t="s">
        <v>25883</v>
      </c>
      <c r="KU395" s="22" t="s">
        <v>145</v>
      </c>
      <c r="KV395" s="22" t="s">
        <v>70</v>
      </c>
      <c r="KW395" s="22" t="s">
        <v>67</v>
      </c>
      <c r="KY395" s="214" t="s">
        <v>25884</v>
      </c>
      <c r="KZ395" s="214" t="s">
        <v>52</v>
      </c>
      <c r="LA395" s="214" t="s">
        <v>74</v>
      </c>
      <c r="LB395" s="214" t="s">
        <v>67</v>
      </c>
      <c r="LD395" s="22" t="s">
        <v>25885</v>
      </c>
      <c r="LE395" s="22" t="s">
        <v>145</v>
      </c>
      <c r="LF395" s="22" t="s">
        <v>70</v>
      </c>
      <c r="LG395" s="22" t="s">
        <v>67</v>
      </c>
    </row>
    <row r="396" spans="1:319">
      <c r="A396" s="22" t="s">
        <v>25886</v>
      </c>
      <c r="B396" s="22" t="s">
        <v>145</v>
      </c>
      <c r="C396" s="22" t="s">
        <v>70</v>
      </c>
      <c r="D396" s="22" t="s">
        <v>67</v>
      </c>
      <c r="F396" s="96" t="s">
        <v>25887</v>
      </c>
      <c r="G396" s="22" t="s">
        <v>145</v>
      </c>
      <c r="H396" s="22" t="s">
        <v>70</v>
      </c>
      <c r="I396" s="22" t="s">
        <v>67</v>
      </c>
      <c r="K396" s="99" t="s">
        <v>25888</v>
      </c>
      <c r="L396" s="22" t="s">
        <v>145</v>
      </c>
      <c r="M396" s="22" t="s">
        <v>70</v>
      </c>
      <c r="N396" s="22" t="s">
        <v>67</v>
      </c>
      <c r="P396" s="230" t="s">
        <v>25889</v>
      </c>
      <c r="Q396" s="218" t="s">
        <v>145</v>
      </c>
      <c r="R396" s="218" t="s">
        <v>72</v>
      </c>
      <c r="S396" s="218" t="s">
        <v>33997</v>
      </c>
      <c r="U396" s="293" t="s">
        <v>25890</v>
      </c>
      <c r="V396" s="293" t="s">
        <v>145</v>
      </c>
      <c r="W396" s="293" t="s">
        <v>74</v>
      </c>
      <c r="X396" s="293" t="s">
        <v>656</v>
      </c>
      <c r="Z396" s="293" t="s">
        <v>25891</v>
      </c>
      <c r="AA396" s="293" t="s">
        <v>145</v>
      </c>
      <c r="AB396" s="293" t="s">
        <v>74</v>
      </c>
      <c r="AC396" s="293" t="s">
        <v>656</v>
      </c>
      <c r="AE396" s="293" t="s">
        <v>25892</v>
      </c>
      <c r="AF396" s="293" t="s">
        <v>145</v>
      </c>
      <c r="AG396" s="293" t="s">
        <v>74</v>
      </c>
      <c r="AH396" s="293" t="s">
        <v>656</v>
      </c>
      <c r="AJ396" s="293" t="s">
        <v>25893</v>
      </c>
      <c r="AK396" s="293" t="s">
        <v>145</v>
      </c>
      <c r="AL396" s="293" t="s">
        <v>74</v>
      </c>
      <c r="AM396" s="293" t="s">
        <v>656</v>
      </c>
      <c r="AO396" s="22" t="s">
        <v>25894</v>
      </c>
      <c r="AP396" s="22" t="s">
        <v>145</v>
      </c>
      <c r="AQ396" s="22" t="s">
        <v>70</v>
      </c>
      <c r="AR396" s="22" t="s">
        <v>67</v>
      </c>
      <c r="AT396" s="22" t="s">
        <v>25895</v>
      </c>
      <c r="AU396" s="22" t="s">
        <v>145</v>
      </c>
      <c r="AV396" s="22" t="s">
        <v>70</v>
      </c>
      <c r="AW396" s="22" t="s">
        <v>67</v>
      </c>
      <c r="AY396" s="22" t="s">
        <v>25896</v>
      </c>
      <c r="AZ396" s="22" t="s">
        <v>145</v>
      </c>
      <c r="BA396" s="22" t="s">
        <v>70</v>
      </c>
      <c r="BB396" s="22" t="s">
        <v>67</v>
      </c>
      <c r="BD396" s="22" t="s">
        <v>25897</v>
      </c>
      <c r="BE396" s="22" t="s">
        <v>145</v>
      </c>
      <c r="BF396" s="22" t="s">
        <v>70</v>
      </c>
      <c r="BG396" s="22" t="s">
        <v>67</v>
      </c>
      <c r="BI396" s="22" t="s">
        <v>25898</v>
      </c>
      <c r="BJ396" s="22" t="s">
        <v>145</v>
      </c>
      <c r="BK396" s="22" t="s">
        <v>70</v>
      </c>
      <c r="BL396" s="22" t="s">
        <v>67</v>
      </c>
      <c r="BN396" s="22" t="s">
        <v>25899</v>
      </c>
      <c r="BO396" s="22" t="s">
        <v>145</v>
      </c>
      <c r="BP396" s="22" t="s">
        <v>70</v>
      </c>
      <c r="BQ396" s="22" t="s">
        <v>67</v>
      </c>
      <c r="BS396" s="22" t="s">
        <v>25900</v>
      </c>
      <c r="BT396" s="22" t="s">
        <v>145</v>
      </c>
      <c r="BU396" s="22" t="s">
        <v>70</v>
      </c>
      <c r="BV396" s="214" t="s">
        <v>530</v>
      </c>
      <c r="BX396" s="22" t="s">
        <v>25901</v>
      </c>
      <c r="BY396" s="22" t="s">
        <v>145</v>
      </c>
      <c r="BZ396" s="22" t="s">
        <v>70</v>
      </c>
      <c r="CA396" s="214" t="s">
        <v>530</v>
      </c>
      <c r="CC396" s="214" t="s">
        <v>25902</v>
      </c>
      <c r="CD396" s="214" t="s">
        <v>88</v>
      </c>
      <c r="CE396" s="214" t="s">
        <v>70</v>
      </c>
      <c r="CF396" s="214" t="s">
        <v>530</v>
      </c>
      <c r="CH396" s="214" t="s">
        <v>25903</v>
      </c>
      <c r="CI396" s="214" t="s">
        <v>52</v>
      </c>
      <c r="CJ396" s="214" t="s">
        <v>70</v>
      </c>
      <c r="CK396" s="214" t="s">
        <v>530</v>
      </c>
      <c r="CM396" s="214" t="s">
        <v>25904</v>
      </c>
      <c r="CN396" s="214" t="s">
        <v>89</v>
      </c>
      <c r="CO396" s="214" t="s">
        <v>70</v>
      </c>
      <c r="CP396" s="214" t="s">
        <v>530</v>
      </c>
      <c r="CR396" s="214" t="s">
        <v>25905</v>
      </c>
      <c r="CS396" s="214" t="s">
        <v>924</v>
      </c>
      <c r="CT396" s="214" t="s">
        <v>70</v>
      </c>
      <c r="CU396" s="214" t="s">
        <v>530</v>
      </c>
      <c r="CW396" s="214" t="s">
        <v>25906</v>
      </c>
      <c r="CX396" s="214" t="s">
        <v>495</v>
      </c>
      <c r="CY396" s="214" t="s">
        <v>70</v>
      </c>
      <c r="CZ396" s="214" t="s">
        <v>530</v>
      </c>
      <c r="DB396" s="214" t="s">
        <v>25907</v>
      </c>
      <c r="DC396" s="214" t="s">
        <v>86</v>
      </c>
      <c r="DD396" s="214" t="s">
        <v>70</v>
      </c>
      <c r="DE396" s="214" t="s">
        <v>530</v>
      </c>
      <c r="DG396" s="214" t="s">
        <v>25908</v>
      </c>
      <c r="DH396" s="214" t="s">
        <v>145</v>
      </c>
      <c r="DI396" s="214" t="s">
        <v>70</v>
      </c>
      <c r="DJ396" s="214" t="s">
        <v>530</v>
      </c>
      <c r="DL396" s="214" t="s">
        <v>25909</v>
      </c>
      <c r="DM396" s="214" t="s">
        <v>88</v>
      </c>
      <c r="DN396" s="214" t="s">
        <v>70</v>
      </c>
      <c r="DO396" s="214" t="s">
        <v>530</v>
      </c>
      <c r="DQ396" s="214" t="s">
        <v>25910</v>
      </c>
      <c r="DR396" s="214" t="s">
        <v>34545</v>
      </c>
      <c r="DS396" s="214" t="s">
        <v>70</v>
      </c>
      <c r="DT396" s="214" t="s">
        <v>530</v>
      </c>
      <c r="DV396" s="214" t="s">
        <v>25911</v>
      </c>
      <c r="DW396" s="214" t="s">
        <v>10541</v>
      </c>
      <c r="DX396" s="214" t="s">
        <v>70</v>
      </c>
      <c r="DY396" s="214" t="s">
        <v>530</v>
      </c>
      <c r="EA396" s="214" t="s">
        <v>25912</v>
      </c>
      <c r="EB396" s="214" t="s">
        <v>52</v>
      </c>
      <c r="EC396" s="214" t="s">
        <v>70</v>
      </c>
      <c r="ED396" s="214" t="s">
        <v>530</v>
      </c>
      <c r="EF396" s="214" t="s">
        <v>25913</v>
      </c>
      <c r="EG396" s="214" t="s">
        <v>34562</v>
      </c>
      <c r="EH396" s="214" t="s">
        <v>70</v>
      </c>
      <c r="EI396" s="214" t="s">
        <v>530</v>
      </c>
      <c r="EK396" s="214" t="s">
        <v>25914</v>
      </c>
      <c r="EL396" s="214" t="s">
        <v>501</v>
      </c>
      <c r="EM396" s="214" t="s">
        <v>70</v>
      </c>
      <c r="EN396" s="214" t="s">
        <v>530</v>
      </c>
      <c r="EP396" s="214" t="s">
        <v>25915</v>
      </c>
      <c r="EQ396" s="214" t="s">
        <v>148</v>
      </c>
      <c r="ER396" s="214" t="s">
        <v>70</v>
      </c>
      <c r="ES396" s="214" t="s">
        <v>530</v>
      </c>
      <c r="EU396" s="214" t="s">
        <v>25916</v>
      </c>
      <c r="EV396" s="214" t="s">
        <v>490</v>
      </c>
      <c r="EW396" s="214" t="s">
        <v>70</v>
      </c>
      <c r="EX396" s="214" t="s">
        <v>530</v>
      </c>
      <c r="EZ396" s="214" t="s">
        <v>25917</v>
      </c>
      <c r="FA396" s="214" t="s">
        <v>598</v>
      </c>
      <c r="FB396" s="214" t="s">
        <v>70</v>
      </c>
      <c r="FC396" s="214" t="s">
        <v>530</v>
      </c>
      <c r="FE396" s="214" t="s">
        <v>25918</v>
      </c>
      <c r="FF396" s="214" t="s">
        <v>87</v>
      </c>
      <c r="FG396" s="214" t="s">
        <v>70</v>
      </c>
      <c r="FH396" s="214" t="s">
        <v>530</v>
      </c>
      <c r="FJ396" s="321" t="s">
        <v>25919</v>
      </c>
      <c r="FK396" s="214" t="s">
        <v>34558</v>
      </c>
      <c r="FL396" s="214" t="s">
        <v>70</v>
      </c>
      <c r="FM396" s="214" t="s">
        <v>530</v>
      </c>
      <c r="FO396" s="321" t="s">
        <v>25920</v>
      </c>
      <c r="FP396" s="214" t="s">
        <v>145</v>
      </c>
      <c r="FQ396" s="214" t="s">
        <v>70</v>
      </c>
      <c r="FR396" s="214" t="s">
        <v>530</v>
      </c>
      <c r="FT396" s="321" t="s">
        <v>25921</v>
      </c>
      <c r="FU396" s="214" t="s">
        <v>912</v>
      </c>
      <c r="FV396" s="214" t="s">
        <v>70</v>
      </c>
      <c r="FW396" s="214" t="s">
        <v>530</v>
      </c>
      <c r="FY396" s="321" t="s">
        <v>25922</v>
      </c>
      <c r="FZ396" s="214" t="s">
        <v>34600</v>
      </c>
      <c r="GA396" s="214" t="s">
        <v>70</v>
      </c>
      <c r="GB396" s="214" t="s">
        <v>530</v>
      </c>
      <c r="GD396" s="321" t="s">
        <v>25923</v>
      </c>
      <c r="GE396" s="214" t="s">
        <v>85</v>
      </c>
      <c r="GF396" s="214" t="s">
        <v>70</v>
      </c>
      <c r="GG396" s="214" t="s">
        <v>530</v>
      </c>
      <c r="GI396" s="321" t="s">
        <v>25924</v>
      </c>
      <c r="GJ396" s="214" t="s">
        <v>489</v>
      </c>
      <c r="GK396" s="214" t="s">
        <v>70</v>
      </c>
      <c r="GL396" s="214" t="s">
        <v>530</v>
      </c>
      <c r="GN396" s="321" t="s">
        <v>25925</v>
      </c>
      <c r="GO396" s="214" t="s">
        <v>34571</v>
      </c>
      <c r="GP396" s="214" t="s">
        <v>70</v>
      </c>
      <c r="GQ396" s="214" t="s">
        <v>530</v>
      </c>
      <c r="GS396" s="321" t="s">
        <v>25926</v>
      </c>
      <c r="GT396" s="214" t="s">
        <v>52</v>
      </c>
      <c r="GU396" s="214" t="s">
        <v>70</v>
      </c>
      <c r="GV396" s="214" t="s">
        <v>530</v>
      </c>
      <c r="GX396" s="214" t="s">
        <v>25927</v>
      </c>
      <c r="GY396" s="214" t="s">
        <v>52</v>
      </c>
      <c r="GZ396" s="214" t="s">
        <v>70</v>
      </c>
      <c r="HA396" s="214" t="s">
        <v>530</v>
      </c>
      <c r="HC396" s="214" t="s">
        <v>25928</v>
      </c>
      <c r="HD396" s="214" t="s">
        <v>34574</v>
      </c>
      <c r="HE396" s="214" t="s">
        <v>70</v>
      </c>
      <c r="HF396" s="214" t="s">
        <v>530</v>
      </c>
      <c r="HH396" s="214" t="s">
        <v>25929</v>
      </c>
      <c r="HI396" s="214" t="s">
        <v>34590</v>
      </c>
      <c r="HJ396" s="214" t="s">
        <v>70</v>
      </c>
      <c r="HK396" s="214" t="s">
        <v>530</v>
      </c>
      <c r="HM396" s="214" t="s">
        <v>25930</v>
      </c>
      <c r="HN396" s="214" t="s">
        <v>52</v>
      </c>
      <c r="HO396" s="214" t="s">
        <v>70</v>
      </c>
      <c r="HP396" s="214" t="s">
        <v>530</v>
      </c>
      <c r="HR396" s="22" t="s">
        <v>25931</v>
      </c>
      <c r="HS396" s="22" t="s">
        <v>92</v>
      </c>
      <c r="HT396" s="22" t="s">
        <v>70</v>
      </c>
      <c r="HU396" s="214" t="s">
        <v>530</v>
      </c>
      <c r="HW396" s="22" t="s">
        <v>25932</v>
      </c>
      <c r="HX396" s="22" t="s">
        <v>88</v>
      </c>
      <c r="HY396" s="22" t="s">
        <v>70</v>
      </c>
      <c r="HZ396" s="214" t="s">
        <v>530</v>
      </c>
      <c r="IB396" s="22" t="s">
        <v>25933</v>
      </c>
      <c r="IC396" s="22" t="s">
        <v>90</v>
      </c>
      <c r="ID396" s="22" t="s">
        <v>70</v>
      </c>
      <c r="IE396" s="214" t="s">
        <v>530</v>
      </c>
      <c r="IG396" s="22" t="s">
        <v>25934</v>
      </c>
      <c r="IH396" s="22" t="s">
        <v>52</v>
      </c>
      <c r="II396" s="22" t="s">
        <v>70</v>
      </c>
      <c r="IJ396" s="214" t="s">
        <v>530</v>
      </c>
      <c r="IL396" s="22" t="s">
        <v>25935</v>
      </c>
      <c r="IM396" s="22" t="s">
        <v>145</v>
      </c>
      <c r="IN396" s="22" t="s">
        <v>70</v>
      </c>
      <c r="IO396" s="214" t="s">
        <v>530</v>
      </c>
      <c r="IQ396" s="236" t="s">
        <v>25936</v>
      </c>
      <c r="IR396" s="236" t="s">
        <v>145</v>
      </c>
      <c r="IS396" s="236" t="s">
        <v>74</v>
      </c>
      <c r="IT396" s="236" t="s">
        <v>841</v>
      </c>
      <c r="IV396" s="236" t="s">
        <v>25937</v>
      </c>
      <c r="IW396" s="236" t="s">
        <v>145</v>
      </c>
      <c r="IX396" s="236" t="s">
        <v>74</v>
      </c>
      <c r="IY396" s="236" t="s">
        <v>841</v>
      </c>
      <c r="JA396" s="236" t="s">
        <v>25938</v>
      </c>
      <c r="JB396" s="236" t="s">
        <v>145</v>
      </c>
      <c r="JC396" s="236" t="s">
        <v>74</v>
      </c>
      <c r="JD396" s="236" t="s">
        <v>841</v>
      </c>
      <c r="JF396" s="236" t="s">
        <v>25939</v>
      </c>
      <c r="JG396" s="236" t="s">
        <v>145</v>
      </c>
      <c r="JH396" s="236" t="s">
        <v>74</v>
      </c>
      <c r="JI396" s="236" t="s">
        <v>841</v>
      </c>
      <c r="JK396" s="236" t="s">
        <v>25940</v>
      </c>
      <c r="JL396" s="236" t="s">
        <v>145</v>
      </c>
      <c r="JM396" s="236" t="s">
        <v>74</v>
      </c>
      <c r="JN396" s="236" t="s">
        <v>841</v>
      </c>
      <c r="JP396" s="236" t="s">
        <v>25941</v>
      </c>
      <c r="JQ396" s="236" t="s">
        <v>145</v>
      </c>
      <c r="JR396" s="236" t="s">
        <v>74</v>
      </c>
      <c r="JS396" s="236" t="s">
        <v>841</v>
      </c>
      <c r="JU396" s="294" t="s">
        <v>25942</v>
      </c>
      <c r="JV396" s="294" t="s">
        <v>52</v>
      </c>
      <c r="JW396" s="263" t="s">
        <v>70</v>
      </c>
      <c r="JX396" s="294" t="s">
        <v>1083</v>
      </c>
      <c r="JZ396" s="263" t="s">
        <v>25943</v>
      </c>
      <c r="KA396" s="263" t="s">
        <v>145</v>
      </c>
      <c r="KB396" s="263" t="s">
        <v>70</v>
      </c>
      <c r="KC396" s="263" t="s">
        <v>1083</v>
      </c>
      <c r="KE396" s="263" t="s">
        <v>25944</v>
      </c>
      <c r="KF396" s="263" t="s">
        <v>52</v>
      </c>
      <c r="KG396" s="263" t="s">
        <v>70</v>
      </c>
      <c r="KH396" s="263" t="s">
        <v>1083</v>
      </c>
      <c r="KJ396" s="263" t="s">
        <v>25945</v>
      </c>
      <c r="KK396" s="263" t="s">
        <v>52</v>
      </c>
      <c r="KL396" s="263" t="s">
        <v>74</v>
      </c>
      <c r="KM396" s="263" t="s">
        <v>34074</v>
      </c>
      <c r="KO396" s="214" t="s">
        <v>25946</v>
      </c>
      <c r="KP396" s="214" t="s">
        <v>145</v>
      </c>
      <c r="KQ396" s="214" t="s">
        <v>70</v>
      </c>
      <c r="KR396" s="214" t="s">
        <v>67</v>
      </c>
      <c r="KT396" s="22" t="s">
        <v>25947</v>
      </c>
      <c r="KU396" s="22" t="s">
        <v>145</v>
      </c>
      <c r="KV396" s="22" t="s">
        <v>70</v>
      </c>
      <c r="KW396" s="22" t="s">
        <v>67</v>
      </c>
      <c r="KY396" s="214" t="s">
        <v>25948</v>
      </c>
      <c r="KZ396" s="214" t="s">
        <v>52</v>
      </c>
      <c r="LA396" s="214" t="s">
        <v>74</v>
      </c>
      <c r="LB396" s="214" t="s">
        <v>67</v>
      </c>
      <c r="LD396" s="22" t="s">
        <v>25949</v>
      </c>
      <c r="LE396" s="22" t="s">
        <v>145</v>
      </c>
      <c r="LF396" s="22" t="s">
        <v>70</v>
      </c>
      <c r="LG396" s="22" t="s">
        <v>67</v>
      </c>
    </row>
    <row r="397" spans="1:319">
      <c r="A397" s="22" t="s">
        <v>25950</v>
      </c>
      <c r="B397" s="22" t="s">
        <v>145</v>
      </c>
      <c r="C397" s="22" t="s">
        <v>70</v>
      </c>
      <c r="D397" s="22" t="s">
        <v>67</v>
      </c>
      <c r="F397" s="96" t="s">
        <v>25951</v>
      </c>
      <c r="G397" s="22" t="s">
        <v>145</v>
      </c>
      <c r="H397" s="22" t="s">
        <v>70</v>
      </c>
      <c r="I397" s="22" t="s">
        <v>67</v>
      </c>
      <c r="K397" s="99" t="s">
        <v>25952</v>
      </c>
      <c r="L397" s="22" t="s">
        <v>145</v>
      </c>
      <c r="M397" s="22" t="s">
        <v>70</v>
      </c>
      <c r="N397" s="22" t="s">
        <v>67</v>
      </c>
      <c r="P397" s="230" t="s">
        <v>25953</v>
      </c>
      <c r="Q397" s="218" t="s">
        <v>145</v>
      </c>
      <c r="R397" s="218" t="s">
        <v>72</v>
      </c>
      <c r="S397" s="218" t="s">
        <v>33998</v>
      </c>
      <c r="U397" s="293" t="s">
        <v>25954</v>
      </c>
      <c r="V397" s="293" t="s">
        <v>145</v>
      </c>
      <c r="W397" s="293" t="s">
        <v>74</v>
      </c>
      <c r="X397" s="293" t="s">
        <v>656</v>
      </c>
      <c r="Z397" s="293" t="s">
        <v>25955</v>
      </c>
      <c r="AA397" s="293" t="s">
        <v>145</v>
      </c>
      <c r="AB397" s="293" t="s">
        <v>74</v>
      </c>
      <c r="AC397" s="293" t="s">
        <v>656</v>
      </c>
      <c r="AE397" s="293" t="s">
        <v>25956</v>
      </c>
      <c r="AF397" s="293" t="s">
        <v>145</v>
      </c>
      <c r="AG397" s="293" t="s">
        <v>74</v>
      </c>
      <c r="AH397" s="293" t="s">
        <v>656</v>
      </c>
      <c r="AJ397" s="293" t="s">
        <v>25957</v>
      </c>
      <c r="AK397" s="293" t="s">
        <v>145</v>
      </c>
      <c r="AL397" s="293" t="s">
        <v>74</v>
      </c>
      <c r="AM397" s="293" t="s">
        <v>656</v>
      </c>
      <c r="AO397" s="22" t="s">
        <v>25958</v>
      </c>
      <c r="AP397" s="22" t="s">
        <v>145</v>
      </c>
      <c r="AQ397" s="22" t="s">
        <v>70</v>
      </c>
      <c r="AR397" s="22" t="s">
        <v>67</v>
      </c>
      <c r="AT397" s="22" t="s">
        <v>25959</v>
      </c>
      <c r="AU397" s="22" t="s">
        <v>145</v>
      </c>
      <c r="AV397" s="22" t="s">
        <v>70</v>
      </c>
      <c r="AW397" s="22" t="s">
        <v>67</v>
      </c>
      <c r="AY397" s="22" t="s">
        <v>25960</v>
      </c>
      <c r="AZ397" s="22" t="s">
        <v>145</v>
      </c>
      <c r="BA397" s="22" t="s">
        <v>70</v>
      </c>
      <c r="BB397" s="22" t="s">
        <v>67</v>
      </c>
      <c r="BD397" s="22" t="s">
        <v>25961</v>
      </c>
      <c r="BE397" s="22" t="s">
        <v>145</v>
      </c>
      <c r="BF397" s="22" t="s">
        <v>70</v>
      </c>
      <c r="BG397" s="22" t="s">
        <v>67</v>
      </c>
      <c r="BI397" s="22" t="s">
        <v>25962</v>
      </c>
      <c r="BJ397" s="22" t="s">
        <v>145</v>
      </c>
      <c r="BK397" s="22" t="s">
        <v>70</v>
      </c>
      <c r="BL397" s="22" t="s">
        <v>67</v>
      </c>
      <c r="BN397" s="22" t="s">
        <v>25963</v>
      </c>
      <c r="BO397" s="22" t="s">
        <v>145</v>
      </c>
      <c r="BP397" s="22" t="s">
        <v>70</v>
      </c>
      <c r="BQ397" s="22" t="s">
        <v>67</v>
      </c>
      <c r="BS397" s="22" t="s">
        <v>25964</v>
      </c>
      <c r="BT397" s="22" t="s">
        <v>145</v>
      </c>
      <c r="BU397" s="22" t="s">
        <v>70</v>
      </c>
      <c r="BV397" s="214" t="s">
        <v>530</v>
      </c>
      <c r="BX397" s="22" t="s">
        <v>25965</v>
      </c>
      <c r="BY397" s="22" t="s">
        <v>145</v>
      </c>
      <c r="BZ397" s="22" t="s">
        <v>70</v>
      </c>
      <c r="CA397" s="214" t="s">
        <v>530</v>
      </c>
      <c r="CC397" s="214" t="s">
        <v>25966</v>
      </c>
      <c r="CD397" s="214" t="s">
        <v>604</v>
      </c>
      <c r="CE397" s="214" t="s">
        <v>70</v>
      </c>
      <c r="CF397" s="214" t="s">
        <v>530</v>
      </c>
      <c r="CH397" s="214" t="s">
        <v>25967</v>
      </c>
      <c r="CI397" s="214" t="s">
        <v>52</v>
      </c>
      <c r="CJ397" s="214" t="s">
        <v>70</v>
      </c>
      <c r="CK397" s="214" t="s">
        <v>530</v>
      </c>
      <c r="CM397" s="214" t="s">
        <v>25968</v>
      </c>
      <c r="CN397" s="214" t="s">
        <v>52</v>
      </c>
      <c r="CO397" s="214" t="s">
        <v>70</v>
      </c>
      <c r="CP397" s="214" t="s">
        <v>530</v>
      </c>
      <c r="CR397" s="214" t="s">
        <v>25969</v>
      </c>
      <c r="CS397" s="214" t="s">
        <v>486</v>
      </c>
      <c r="CT397" s="214" t="s">
        <v>70</v>
      </c>
      <c r="CU397" s="214" t="s">
        <v>530</v>
      </c>
      <c r="CW397" s="214" t="s">
        <v>25970</v>
      </c>
      <c r="CX397" s="214" t="s">
        <v>491</v>
      </c>
      <c r="CY397" s="214" t="s">
        <v>70</v>
      </c>
      <c r="CZ397" s="214" t="s">
        <v>530</v>
      </c>
      <c r="DB397" s="214" t="s">
        <v>25971</v>
      </c>
      <c r="DC397" s="214" t="s">
        <v>52</v>
      </c>
      <c r="DD397" s="214" t="s">
        <v>70</v>
      </c>
      <c r="DE397" s="214" t="s">
        <v>530</v>
      </c>
      <c r="DG397" s="214" t="s">
        <v>25972</v>
      </c>
      <c r="DH397" s="214" t="s">
        <v>34541</v>
      </c>
      <c r="DI397" s="214" t="s">
        <v>70</v>
      </c>
      <c r="DJ397" s="214" t="s">
        <v>530</v>
      </c>
      <c r="DL397" s="214" t="s">
        <v>25973</v>
      </c>
      <c r="DM397" s="214" t="s">
        <v>93</v>
      </c>
      <c r="DN397" s="214" t="s">
        <v>70</v>
      </c>
      <c r="DO397" s="214" t="s">
        <v>530</v>
      </c>
      <c r="DQ397" s="214" t="s">
        <v>25974</v>
      </c>
      <c r="DR397" s="214" t="s">
        <v>935</v>
      </c>
      <c r="DS397" s="214" t="s">
        <v>70</v>
      </c>
      <c r="DT397" s="214" t="s">
        <v>530</v>
      </c>
      <c r="DV397" s="214" t="s">
        <v>25975</v>
      </c>
      <c r="DW397" s="214" t="s">
        <v>34542</v>
      </c>
      <c r="DX397" s="214" t="s">
        <v>70</v>
      </c>
      <c r="DY397" s="214" t="s">
        <v>530</v>
      </c>
      <c r="EA397" s="214" t="s">
        <v>25976</v>
      </c>
      <c r="EB397" s="214" t="s">
        <v>919</v>
      </c>
      <c r="EC397" s="214" t="s">
        <v>70</v>
      </c>
      <c r="ED397" s="214" t="s">
        <v>530</v>
      </c>
      <c r="EF397" s="214" t="s">
        <v>25977</v>
      </c>
      <c r="EG397" s="214" t="s">
        <v>34545</v>
      </c>
      <c r="EH397" s="214" t="s">
        <v>70</v>
      </c>
      <c r="EI397" s="214" t="s">
        <v>530</v>
      </c>
      <c r="EK397" s="214" t="s">
        <v>25978</v>
      </c>
      <c r="EL397" s="214" t="s">
        <v>34544</v>
      </c>
      <c r="EM397" s="214" t="s">
        <v>70</v>
      </c>
      <c r="EN397" s="214" t="s">
        <v>530</v>
      </c>
      <c r="EP397" s="214" t="s">
        <v>25979</v>
      </c>
      <c r="EQ397" s="214" t="s">
        <v>34540</v>
      </c>
      <c r="ER397" s="214" t="s">
        <v>70</v>
      </c>
      <c r="ES397" s="214" t="s">
        <v>530</v>
      </c>
      <c r="EU397" s="214" t="s">
        <v>25980</v>
      </c>
      <c r="EV397" s="214" t="s">
        <v>482</v>
      </c>
      <c r="EW397" s="214" t="s">
        <v>70</v>
      </c>
      <c r="EX397" s="214" t="s">
        <v>530</v>
      </c>
      <c r="EZ397" s="214" t="s">
        <v>25981</v>
      </c>
      <c r="FA397" s="214" t="s">
        <v>598</v>
      </c>
      <c r="FB397" s="214" t="s">
        <v>70</v>
      </c>
      <c r="FC397" s="214" t="s">
        <v>530</v>
      </c>
      <c r="FE397" s="214" t="s">
        <v>25982</v>
      </c>
      <c r="FF397" s="214" t="s">
        <v>798</v>
      </c>
      <c r="FG397" s="214" t="s">
        <v>70</v>
      </c>
      <c r="FH397" s="214" t="s">
        <v>530</v>
      </c>
      <c r="FJ397" s="321" t="s">
        <v>25983</v>
      </c>
      <c r="FK397" s="214" t="s">
        <v>145</v>
      </c>
      <c r="FL397" s="214" t="s">
        <v>70</v>
      </c>
      <c r="FM397" s="214" t="s">
        <v>530</v>
      </c>
      <c r="FO397" s="321" t="s">
        <v>25984</v>
      </c>
      <c r="FP397" s="214" t="s">
        <v>34541</v>
      </c>
      <c r="FQ397" s="214" t="s">
        <v>70</v>
      </c>
      <c r="FR397" s="214" t="s">
        <v>530</v>
      </c>
      <c r="FT397" s="321" t="s">
        <v>25985</v>
      </c>
      <c r="FU397" s="214" t="s">
        <v>34590</v>
      </c>
      <c r="FV397" s="214" t="s">
        <v>70</v>
      </c>
      <c r="FW397" s="214" t="s">
        <v>530</v>
      </c>
      <c r="FY397" s="321" t="s">
        <v>25986</v>
      </c>
      <c r="FZ397" s="214" t="s">
        <v>34557</v>
      </c>
      <c r="GA397" s="214" t="s">
        <v>70</v>
      </c>
      <c r="GB397" s="214" t="s">
        <v>530</v>
      </c>
      <c r="GD397" s="321" t="s">
        <v>25987</v>
      </c>
      <c r="GE397" s="214" t="s">
        <v>34569</v>
      </c>
      <c r="GF397" s="214" t="s">
        <v>70</v>
      </c>
      <c r="GG397" s="214" t="s">
        <v>530</v>
      </c>
      <c r="GI397" s="321" t="s">
        <v>25988</v>
      </c>
      <c r="GJ397" s="214" t="s">
        <v>145</v>
      </c>
      <c r="GK397" s="214" t="s">
        <v>70</v>
      </c>
      <c r="GL397" s="214" t="s">
        <v>530</v>
      </c>
      <c r="GN397" s="321" t="s">
        <v>25989</v>
      </c>
      <c r="GO397" s="214" t="s">
        <v>486</v>
      </c>
      <c r="GP397" s="214" t="s">
        <v>70</v>
      </c>
      <c r="GQ397" s="214" t="s">
        <v>530</v>
      </c>
      <c r="GS397" s="321" t="s">
        <v>25990</v>
      </c>
      <c r="GT397" s="214" t="s">
        <v>599</v>
      </c>
      <c r="GU397" s="214" t="s">
        <v>70</v>
      </c>
      <c r="GV397" s="214" t="s">
        <v>530</v>
      </c>
      <c r="GX397" s="214" t="s">
        <v>25991</v>
      </c>
      <c r="GY397" s="214" t="s">
        <v>203</v>
      </c>
      <c r="GZ397" s="214" t="s">
        <v>70</v>
      </c>
      <c r="HA397" s="214" t="s">
        <v>530</v>
      </c>
      <c r="HC397" s="214" t="s">
        <v>25992</v>
      </c>
      <c r="HD397" s="214" t="s">
        <v>488</v>
      </c>
      <c r="HE397" s="214" t="s">
        <v>70</v>
      </c>
      <c r="HF397" s="214" t="s">
        <v>530</v>
      </c>
      <c r="HH397" s="214" t="s">
        <v>25993</v>
      </c>
      <c r="HI397" s="214" t="s">
        <v>34551</v>
      </c>
      <c r="HJ397" s="214" t="s">
        <v>70</v>
      </c>
      <c r="HK397" s="214" t="s">
        <v>530</v>
      </c>
      <c r="HM397" s="214" t="s">
        <v>25994</v>
      </c>
      <c r="HN397" s="214" t="s">
        <v>950</v>
      </c>
      <c r="HO397" s="214" t="s">
        <v>70</v>
      </c>
      <c r="HP397" s="214" t="s">
        <v>530</v>
      </c>
      <c r="HR397" s="22" t="s">
        <v>25995</v>
      </c>
      <c r="HS397" s="22" t="s">
        <v>482</v>
      </c>
      <c r="HT397" s="22" t="s">
        <v>70</v>
      </c>
      <c r="HU397" s="214" t="s">
        <v>530</v>
      </c>
      <c r="HW397" s="22" t="s">
        <v>25996</v>
      </c>
      <c r="HX397" s="22" t="s">
        <v>52</v>
      </c>
      <c r="HY397" s="22" t="s">
        <v>70</v>
      </c>
      <c r="HZ397" s="214" t="s">
        <v>530</v>
      </c>
      <c r="IB397" s="22" t="s">
        <v>25997</v>
      </c>
      <c r="IC397" s="22" t="s">
        <v>499</v>
      </c>
      <c r="ID397" s="22" t="s">
        <v>70</v>
      </c>
      <c r="IE397" s="214" t="s">
        <v>530</v>
      </c>
      <c r="IG397" s="22" t="s">
        <v>25998</v>
      </c>
      <c r="IH397" s="22" t="s">
        <v>52</v>
      </c>
      <c r="II397" s="22" t="s">
        <v>70</v>
      </c>
      <c r="IJ397" s="214" t="s">
        <v>530</v>
      </c>
      <c r="IL397" s="22" t="s">
        <v>25999</v>
      </c>
      <c r="IM397" s="22" t="s">
        <v>145</v>
      </c>
      <c r="IN397" s="22" t="s">
        <v>70</v>
      </c>
      <c r="IO397" s="214" t="s">
        <v>530</v>
      </c>
      <c r="IQ397" s="236" t="s">
        <v>26000</v>
      </c>
      <c r="IR397" s="236" t="s">
        <v>145</v>
      </c>
      <c r="IS397" s="236" t="s">
        <v>74</v>
      </c>
      <c r="IT397" s="236" t="s">
        <v>841</v>
      </c>
      <c r="IV397" s="236" t="s">
        <v>26001</v>
      </c>
      <c r="IW397" s="236" t="s">
        <v>145</v>
      </c>
      <c r="IX397" s="236" t="s">
        <v>74</v>
      </c>
      <c r="IY397" s="236" t="s">
        <v>841</v>
      </c>
      <c r="JA397" s="236" t="s">
        <v>26002</v>
      </c>
      <c r="JB397" s="236" t="s">
        <v>145</v>
      </c>
      <c r="JC397" s="236" t="s">
        <v>74</v>
      </c>
      <c r="JD397" s="236" t="s">
        <v>841</v>
      </c>
      <c r="JF397" s="236" t="s">
        <v>26003</v>
      </c>
      <c r="JG397" s="236" t="s">
        <v>145</v>
      </c>
      <c r="JH397" s="236" t="s">
        <v>74</v>
      </c>
      <c r="JI397" s="236" t="s">
        <v>841</v>
      </c>
      <c r="JK397" s="236" t="s">
        <v>26004</v>
      </c>
      <c r="JL397" s="236" t="s">
        <v>145</v>
      </c>
      <c r="JM397" s="236" t="s">
        <v>74</v>
      </c>
      <c r="JN397" s="236" t="s">
        <v>841</v>
      </c>
      <c r="JP397" s="236" t="s">
        <v>26005</v>
      </c>
      <c r="JQ397" s="236" t="s">
        <v>145</v>
      </c>
      <c r="JR397" s="236" t="s">
        <v>74</v>
      </c>
      <c r="JS397" s="236" t="s">
        <v>841</v>
      </c>
      <c r="JU397" s="294" t="s">
        <v>26006</v>
      </c>
      <c r="JV397" s="294" t="s">
        <v>52</v>
      </c>
      <c r="JW397" s="263" t="s">
        <v>70</v>
      </c>
      <c r="JX397" s="294" t="s">
        <v>1083</v>
      </c>
      <c r="JZ397" s="263" t="s">
        <v>26007</v>
      </c>
      <c r="KA397" s="263" t="s">
        <v>145</v>
      </c>
      <c r="KB397" s="263" t="s">
        <v>70</v>
      </c>
      <c r="KC397" s="263" t="s">
        <v>1083</v>
      </c>
      <c r="KE397" s="263" t="s">
        <v>26008</v>
      </c>
      <c r="KF397" s="263" t="s">
        <v>52</v>
      </c>
      <c r="KG397" s="263" t="s">
        <v>70</v>
      </c>
      <c r="KH397" s="263" t="s">
        <v>1083</v>
      </c>
      <c r="KJ397" s="263" t="s">
        <v>26009</v>
      </c>
      <c r="KK397" s="263" t="s">
        <v>52</v>
      </c>
      <c r="KL397" s="263" t="s">
        <v>74</v>
      </c>
      <c r="KM397" s="263" t="s">
        <v>34074</v>
      </c>
      <c r="KO397" s="214" t="s">
        <v>26010</v>
      </c>
      <c r="KP397" s="214" t="s">
        <v>145</v>
      </c>
      <c r="KQ397" s="214" t="s">
        <v>70</v>
      </c>
      <c r="KR397" s="214" t="s">
        <v>67</v>
      </c>
      <c r="KT397" s="22" t="s">
        <v>26011</v>
      </c>
      <c r="KU397" s="22" t="s">
        <v>145</v>
      </c>
      <c r="KV397" s="22" t="s">
        <v>70</v>
      </c>
      <c r="KW397" s="22" t="s">
        <v>67</v>
      </c>
      <c r="KY397" s="214" t="s">
        <v>26012</v>
      </c>
      <c r="KZ397" s="214" t="s">
        <v>52</v>
      </c>
      <c r="LA397" s="214" t="s">
        <v>74</v>
      </c>
      <c r="LB397" s="214" t="s">
        <v>67</v>
      </c>
      <c r="LD397" s="22" t="s">
        <v>26013</v>
      </c>
      <c r="LE397" s="22" t="s">
        <v>145</v>
      </c>
      <c r="LF397" s="22" t="s">
        <v>70</v>
      </c>
      <c r="LG397" s="22" t="s">
        <v>67</v>
      </c>
    </row>
    <row r="398" spans="1:319">
      <c r="A398" s="22" t="s">
        <v>26014</v>
      </c>
      <c r="B398" s="22" t="s">
        <v>145</v>
      </c>
      <c r="C398" s="22" t="s">
        <v>70</v>
      </c>
      <c r="D398" s="22" t="s">
        <v>67</v>
      </c>
      <c r="F398" s="96" t="s">
        <v>26015</v>
      </c>
      <c r="G398" s="22" t="s">
        <v>145</v>
      </c>
      <c r="H398" s="22" t="s">
        <v>70</v>
      </c>
      <c r="I398" s="22" t="s">
        <v>67</v>
      </c>
      <c r="K398" s="99" t="s">
        <v>26016</v>
      </c>
      <c r="L398" s="22" t="s">
        <v>145</v>
      </c>
      <c r="M398" s="22" t="s">
        <v>70</v>
      </c>
      <c r="N398" s="22" t="s">
        <v>67</v>
      </c>
      <c r="P398" s="230" t="s">
        <v>26017</v>
      </c>
      <c r="Q398" s="218" t="s">
        <v>145</v>
      </c>
      <c r="R398" s="218" t="s">
        <v>72</v>
      </c>
      <c r="S398" s="218" t="s">
        <v>33999</v>
      </c>
      <c r="U398" s="293" t="s">
        <v>26018</v>
      </c>
      <c r="V398" s="293" t="s">
        <v>145</v>
      </c>
      <c r="W398" s="293" t="s">
        <v>74</v>
      </c>
      <c r="X398" s="293" t="s">
        <v>656</v>
      </c>
      <c r="Z398" s="293" t="s">
        <v>26019</v>
      </c>
      <c r="AA398" s="293" t="s">
        <v>145</v>
      </c>
      <c r="AB398" s="293" t="s">
        <v>74</v>
      </c>
      <c r="AC398" s="293" t="s">
        <v>656</v>
      </c>
      <c r="AE398" s="293" t="s">
        <v>26020</v>
      </c>
      <c r="AF398" s="293" t="s">
        <v>145</v>
      </c>
      <c r="AG398" s="293" t="s">
        <v>74</v>
      </c>
      <c r="AH398" s="293" t="s">
        <v>656</v>
      </c>
      <c r="AJ398" s="293" t="s">
        <v>26021</v>
      </c>
      <c r="AK398" s="293" t="s">
        <v>145</v>
      </c>
      <c r="AL398" s="293" t="s">
        <v>74</v>
      </c>
      <c r="AM398" s="293" t="s">
        <v>656</v>
      </c>
      <c r="AO398" s="22" t="s">
        <v>26022</v>
      </c>
      <c r="AP398" s="22" t="s">
        <v>145</v>
      </c>
      <c r="AQ398" s="22" t="s">
        <v>70</v>
      </c>
      <c r="AR398" s="22" t="s">
        <v>67</v>
      </c>
      <c r="AT398" s="22" t="s">
        <v>26023</v>
      </c>
      <c r="AU398" s="22" t="s">
        <v>145</v>
      </c>
      <c r="AV398" s="22" t="s">
        <v>70</v>
      </c>
      <c r="AW398" s="22" t="s">
        <v>67</v>
      </c>
      <c r="AY398" s="22" t="s">
        <v>26024</v>
      </c>
      <c r="AZ398" s="22" t="s">
        <v>145</v>
      </c>
      <c r="BA398" s="22" t="s">
        <v>70</v>
      </c>
      <c r="BB398" s="22" t="s">
        <v>67</v>
      </c>
      <c r="BD398" s="22" t="s">
        <v>26025</v>
      </c>
      <c r="BE398" s="22" t="s">
        <v>145</v>
      </c>
      <c r="BF398" s="22" t="s">
        <v>70</v>
      </c>
      <c r="BG398" s="22" t="s">
        <v>67</v>
      </c>
      <c r="BI398" s="22" t="s">
        <v>26026</v>
      </c>
      <c r="BJ398" s="22" t="s">
        <v>145</v>
      </c>
      <c r="BK398" s="22" t="s">
        <v>70</v>
      </c>
      <c r="BL398" s="22" t="s">
        <v>67</v>
      </c>
      <c r="BN398" s="22" t="s">
        <v>26027</v>
      </c>
      <c r="BO398" s="22" t="s">
        <v>145</v>
      </c>
      <c r="BP398" s="22" t="s">
        <v>70</v>
      </c>
      <c r="BQ398" s="22" t="s">
        <v>67</v>
      </c>
      <c r="BS398" s="22" t="s">
        <v>26028</v>
      </c>
      <c r="BT398" s="22" t="s">
        <v>145</v>
      </c>
      <c r="BU398" s="22" t="s">
        <v>70</v>
      </c>
      <c r="BV398" s="214" t="s">
        <v>530</v>
      </c>
      <c r="BX398" s="22" t="s">
        <v>26029</v>
      </c>
      <c r="BY398" s="22" t="s">
        <v>145</v>
      </c>
      <c r="BZ398" s="22" t="s">
        <v>70</v>
      </c>
      <c r="CA398" s="214" t="s">
        <v>530</v>
      </c>
      <c r="CC398" s="214" t="s">
        <v>26030</v>
      </c>
      <c r="CD398" s="214" t="s">
        <v>92</v>
      </c>
      <c r="CE398" s="214" t="s">
        <v>70</v>
      </c>
      <c r="CF398" s="214" t="s">
        <v>530</v>
      </c>
      <c r="CH398" s="214" t="s">
        <v>26031</v>
      </c>
      <c r="CI398" s="214" t="s">
        <v>599</v>
      </c>
      <c r="CJ398" s="214" t="s">
        <v>70</v>
      </c>
      <c r="CK398" s="214" t="s">
        <v>530</v>
      </c>
      <c r="CM398" s="214" t="s">
        <v>26032</v>
      </c>
      <c r="CN398" s="214" t="s">
        <v>52</v>
      </c>
      <c r="CO398" s="214" t="s">
        <v>70</v>
      </c>
      <c r="CP398" s="214" t="s">
        <v>530</v>
      </c>
      <c r="CR398" s="214" t="s">
        <v>26033</v>
      </c>
      <c r="CS398" s="214" t="s">
        <v>487</v>
      </c>
      <c r="CT398" s="214" t="s">
        <v>70</v>
      </c>
      <c r="CU398" s="214" t="s">
        <v>530</v>
      </c>
      <c r="CW398" s="214" t="s">
        <v>26034</v>
      </c>
      <c r="CX398" s="214" t="s">
        <v>488</v>
      </c>
      <c r="CY398" s="214" t="s">
        <v>70</v>
      </c>
      <c r="CZ398" s="214" t="s">
        <v>530</v>
      </c>
      <c r="DB398" s="214" t="s">
        <v>26035</v>
      </c>
      <c r="DC398" s="214" t="s">
        <v>145</v>
      </c>
      <c r="DD398" s="214" t="s">
        <v>70</v>
      </c>
      <c r="DE398" s="214" t="s">
        <v>530</v>
      </c>
      <c r="DG398" s="214" t="s">
        <v>26036</v>
      </c>
      <c r="DH398" s="214" t="s">
        <v>929</v>
      </c>
      <c r="DI398" s="214" t="s">
        <v>70</v>
      </c>
      <c r="DJ398" s="214" t="s">
        <v>530</v>
      </c>
      <c r="DL398" s="214" t="s">
        <v>26037</v>
      </c>
      <c r="DM398" s="214" t="s">
        <v>34575</v>
      </c>
      <c r="DN398" s="214" t="s">
        <v>70</v>
      </c>
      <c r="DO398" s="214" t="s">
        <v>530</v>
      </c>
      <c r="DQ398" s="214" t="s">
        <v>26038</v>
      </c>
      <c r="DR398" s="214" t="s">
        <v>487</v>
      </c>
      <c r="DS398" s="214" t="s">
        <v>70</v>
      </c>
      <c r="DT398" s="214" t="s">
        <v>530</v>
      </c>
      <c r="DV398" s="214" t="s">
        <v>26039</v>
      </c>
      <c r="DW398" s="214" t="s">
        <v>163</v>
      </c>
      <c r="DX398" s="214" t="s">
        <v>70</v>
      </c>
      <c r="DY398" s="214" t="s">
        <v>530</v>
      </c>
      <c r="EA398" s="214" t="s">
        <v>26040</v>
      </c>
      <c r="EB398" s="214" t="s">
        <v>103</v>
      </c>
      <c r="EC398" s="214" t="s">
        <v>70</v>
      </c>
      <c r="ED398" s="214" t="s">
        <v>530</v>
      </c>
      <c r="EF398" s="214" t="s">
        <v>26041</v>
      </c>
      <c r="EG398" s="214" t="s">
        <v>52</v>
      </c>
      <c r="EH398" s="214" t="s">
        <v>70</v>
      </c>
      <c r="EI398" s="214" t="s">
        <v>530</v>
      </c>
      <c r="EK398" s="214" t="s">
        <v>26042</v>
      </c>
      <c r="EL398" s="214" t="s">
        <v>485</v>
      </c>
      <c r="EM398" s="214" t="s">
        <v>70</v>
      </c>
      <c r="EN398" s="214" t="s">
        <v>530</v>
      </c>
      <c r="EP398" s="214" t="s">
        <v>26043</v>
      </c>
      <c r="EQ398" s="214" t="s">
        <v>148</v>
      </c>
      <c r="ER398" s="214" t="s">
        <v>70</v>
      </c>
      <c r="ES398" s="214" t="s">
        <v>530</v>
      </c>
      <c r="EU398" s="214" t="s">
        <v>26044</v>
      </c>
      <c r="EV398" s="214" t="s">
        <v>34563</v>
      </c>
      <c r="EW398" s="214" t="s">
        <v>70</v>
      </c>
      <c r="EX398" s="214" t="s">
        <v>530</v>
      </c>
      <c r="EZ398" s="214" t="s">
        <v>26045</v>
      </c>
      <c r="FA398" s="214" t="s">
        <v>598</v>
      </c>
      <c r="FB398" s="214" t="s">
        <v>70</v>
      </c>
      <c r="FC398" s="214" t="s">
        <v>530</v>
      </c>
      <c r="FE398" s="214" t="s">
        <v>26046</v>
      </c>
      <c r="FF398" s="214" t="s">
        <v>468</v>
      </c>
      <c r="FG398" s="214" t="s">
        <v>70</v>
      </c>
      <c r="FH398" s="214" t="s">
        <v>530</v>
      </c>
      <c r="FJ398" s="321" t="s">
        <v>26047</v>
      </c>
      <c r="FK398" s="214" t="s">
        <v>52</v>
      </c>
      <c r="FL398" s="214" t="s">
        <v>70</v>
      </c>
      <c r="FM398" s="214" t="s">
        <v>530</v>
      </c>
      <c r="FO398" s="321" t="s">
        <v>26048</v>
      </c>
      <c r="FP398" s="214" t="s">
        <v>34646</v>
      </c>
      <c r="FQ398" s="214" t="s">
        <v>70</v>
      </c>
      <c r="FR398" s="214" t="s">
        <v>530</v>
      </c>
      <c r="FT398" s="321" t="s">
        <v>26049</v>
      </c>
      <c r="FU398" s="214" t="s">
        <v>484</v>
      </c>
      <c r="FV398" s="214" t="s">
        <v>70</v>
      </c>
      <c r="FW398" s="214" t="s">
        <v>530</v>
      </c>
      <c r="FY398" s="321" t="s">
        <v>26050</v>
      </c>
      <c r="FZ398" s="214" t="s">
        <v>603</v>
      </c>
      <c r="GA398" s="214" t="s">
        <v>70</v>
      </c>
      <c r="GB398" s="214" t="s">
        <v>530</v>
      </c>
      <c r="GD398" s="321" t="s">
        <v>26051</v>
      </c>
      <c r="GE398" s="214" t="s">
        <v>34593</v>
      </c>
      <c r="GF398" s="214" t="s">
        <v>70</v>
      </c>
      <c r="GG398" s="214" t="s">
        <v>530</v>
      </c>
      <c r="GI398" s="321" t="s">
        <v>26052</v>
      </c>
      <c r="GJ398" s="214" t="s">
        <v>604</v>
      </c>
      <c r="GK398" s="214" t="s">
        <v>70</v>
      </c>
      <c r="GL398" s="214" t="s">
        <v>530</v>
      </c>
      <c r="GN398" s="321" t="s">
        <v>26053</v>
      </c>
      <c r="GO398" s="214" t="s">
        <v>21742</v>
      </c>
      <c r="GP398" s="214" t="s">
        <v>70</v>
      </c>
      <c r="GQ398" s="214" t="s">
        <v>530</v>
      </c>
      <c r="GS398" s="321" t="s">
        <v>26054</v>
      </c>
      <c r="GT398" s="214" t="s">
        <v>164</v>
      </c>
      <c r="GU398" s="214" t="s">
        <v>70</v>
      </c>
      <c r="GV398" s="214" t="s">
        <v>530</v>
      </c>
      <c r="GX398" s="214" t="s">
        <v>26055</v>
      </c>
      <c r="GY398" s="214" t="s">
        <v>93</v>
      </c>
      <c r="GZ398" s="214" t="s">
        <v>70</v>
      </c>
      <c r="HA398" s="214" t="s">
        <v>530</v>
      </c>
      <c r="HC398" s="214" t="s">
        <v>26056</v>
      </c>
      <c r="HD398" s="214" t="s">
        <v>912</v>
      </c>
      <c r="HE398" s="214" t="s">
        <v>70</v>
      </c>
      <c r="HF398" s="214" t="s">
        <v>530</v>
      </c>
      <c r="HH398" s="214" t="s">
        <v>26057</v>
      </c>
      <c r="HI398" s="214" t="s">
        <v>529</v>
      </c>
      <c r="HJ398" s="214" t="s">
        <v>70</v>
      </c>
      <c r="HK398" s="214" t="s">
        <v>530</v>
      </c>
      <c r="HM398" s="214" t="s">
        <v>26058</v>
      </c>
      <c r="HN398" s="214" t="s">
        <v>293</v>
      </c>
      <c r="HO398" s="214" t="s">
        <v>70</v>
      </c>
      <c r="HP398" s="214" t="s">
        <v>530</v>
      </c>
      <c r="HR398" s="22" t="s">
        <v>26059</v>
      </c>
      <c r="HS398" s="22" t="s">
        <v>87</v>
      </c>
      <c r="HT398" s="22" t="s">
        <v>70</v>
      </c>
      <c r="HU398" s="214" t="s">
        <v>530</v>
      </c>
      <c r="HW398" s="22" t="s">
        <v>26060</v>
      </c>
      <c r="HX398" s="22" t="s">
        <v>52</v>
      </c>
      <c r="HY398" s="22" t="s">
        <v>70</v>
      </c>
      <c r="HZ398" s="214" t="s">
        <v>530</v>
      </c>
      <c r="IB398" s="22" t="s">
        <v>26061</v>
      </c>
      <c r="IC398" s="22" t="s">
        <v>88</v>
      </c>
      <c r="ID398" s="22" t="s">
        <v>70</v>
      </c>
      <c r="IE398" s="214" t="s">
        <v>530</v>
      </c>
      <c r="IG398" s="22" t="s">
        <v>26062</v>
      </c>
      <c r="IH398" s="22" t="s">
        <v>52</v>
      </c>
      <c r="II398" s="22" t="s">
        <v>70</v>
      </c>
      <c r="IJ398" s="214" t="s">
        <v>530</v>
      </c>
      <c r="IL398" s="22" t="s">
        <v>26063</v>
      </c>
      <c r="IM398" s="22" t="s">
        <v>145</v>
      </c>
      <c r="IN398" s="22" t="s">
        <v>70</v>
      </c>
      <c r="IO398" s="214" t="s">
        <v>530</v>
      </c>
      <c r="IQ398" s="236" t="s">
        <v>26064</v>
      </c>
      <c r="IR398" s="236" t="s">
        <v>145</v>
      </c>
      <c r="IS398" s="236" t="s">
        <v>74</v>
      </c>
      <c r="IT398" s="236" t="s">
        <v>841</v>
      </c>
      <c r="IV398" s="236" t="s">
        <v>26065</v>
      </c>
      <c r="IW398" s="236" t="s">
        <v>145</v>
      </c>
      <c r="IX398" s="236" t="s">
        <v>74</v>
      </c>
      <c r="IY398" s="236" t="s">
        <v>841</v>
      </c>
      <c r="JA398" s="236" t="s">
        <v>26066</v>
      </c>
      <c r="JB398" s="236" t="s">
        <v>145</v>
      </c>
      <c r="JC398" s="236" t="s">
        <v>74</v>
      </c>
      <c r="JD398" s="236" t="s">
        <v>841</v>
      </c>
      <c r="JF398" s="236" t="s">
        <v>26067</v>
      </c>
      <c r="JG398" s="236" t="s">
        <v>145</v>
      </c>
      <c r="JH398" s="236" t="s">
        <v>74</v>
      </c>
      <c r="JI398" s="236" t="s">
        <v>841</v>
      </c>
      <c r="JK398" s="236" t="s">
        <v>26068</v>
      </c>
      <c r="JL398" s="236" t="s">
        <v>145</v>
      </c>
      <c r="JM398" s="236" t="s">
        <v>74</v>
      </c>
      <c r="JN398" s="236" t="s">
        <v>841</v>
      </c>
      <c r="JP398" s="236" t="s">
        <v>26069</v>
      </c>
      <c r="JQ398" s="236" t="s">
        <v>145</v>
      </c>
      <c r="JR398" s="236" t="s">
        <v>74</v>
      </c>
      <c r="JS398" s="236" t="s">
        <v>841</v>
      </c>
      <c r="JU398" s="294" t="s">
        <v>26070</v>
      </c>
      <c r="JV398" s="294" t="s">
        <v>52</v>
      </c>
      <c r="JW398" s="263" t="s">
        <v>70</v>
      </c>
      <c r="JX398" s="294" t="s">
        <v>1083</v>
      </c>
      <c r="JZ398" s="263" t="s">
        <v>26071</v>
      </c>
      <c r="KA398" s="263" t="s">
        <v>145</v>
      </c>
      <c r="KB398" s="263" t="s">
        <v>70</v>
      </c>
      <c r="KC398" s="263" t="s">
        <v>1083</v>
      </c>
      <c r="KE398" s="263" t="s">
        <v>26072</v>
      </c>
      <c r="KF398" s="263" t="s">
        <v>52</v>
      </c>
      <c r="KG398" s="263" t="s">
        <v>70</v>
      </c>
      <c r="KH398" s="263" t="s">
        <v>1083</v>
      </c>
      <c r="KJ398" s="263" t="s">
        <v>26073</v>
      </c>
      <c r="KK398" s="263" t="s">
        <v>52</v>
      </c>
      <c r="KL398" s="263" t="s">
        <v>74</v>
      </c>
      <c r="KM398" s="263" t="s">
        <v>34074</v>
      </c>
      <c r="KO398" s="214" t="s">
        <v>26074</v>
      </c>
      <c r="KP398" s="214" t="s">
        <v>145</v>
      </c>
      <c r="KQ398" s="214" t="s">
        <v>70</v>
      </c>
      <c r="KR398" s="214" t="s">
        <v>67</v>
      </c>
      <c r="KT398" s="22" t="s">
        <v>26075</v>
      </c>
      <c r="KU398" s="22" t="s">
        <v>145</v>
      </c>
      <c r="KV398" s="22" t="s">
        <v>70</v>
      </c>
      <c r="KW398" s="22" t="s">
        <v>67</v>
      </c>
      <c r="KY398" s="214" t="s">
        <v>26076</v>
      </c>
      <c r="KZ398" s="214" t="s">
        <v>52</v>
      </c>
      <c r="LA398" s="214" t="s">
        <v>74</v>
      </c>
      <c r="LB398" s="214" t="s">
        <v>67</v>
      </c>
      <c r="LD398" s="22" t="s">
        <v>26077</v>
      </c>
      <c r="LE398" s="22" t="s">
        <v>145</v>
      </c>
      <c r="LF398" s="22" t="s">
        <v>70</v>
      </c>
      <c r="LG398" s="22" t="s">
        <v>67</v>
      </c>
    </row>
    <row r="399" spans="1:319">
      <c r="A399" s="22" t="s">
        <v>26078</v>
      </c>
      <c r="B399" s="22" t="s">
        <v>145</v>
      </c>
      <c r="C399" s="22" t="s">
        <v>70</v>
      </c>
      <c r="D399" s="22" t="s">
        <v>67</v>
      </c>
      <c r="F399" s="96" t="s">
        <v>26079</v>
      </c>
      <c r="G399" s="22" t="s">
        <v>145</v>
      </c>
      <c r="H399" s="22" t="s">
        <v>70</v>
      </c>
      <c r="I399" s="22" t="s">
        <v>67</v>
      </c>
      <c r="K399" s="99" t="s">
        <v>26080</v>
      </c>
      <c r="L399" s="22" t="s">
        <v>145</v>
      </c>
      <c r="M399" s="22" t="s">
        <v>70</v>
      </c>
      <c r="N399" s="22" t="s">
        <v>67</v>
      </c>
      <c r="P399" s="230" t="s">
        <v>26081</v>
      </c>
      <c r="Q399" s="218" t="s">
        <v>145</v>
      </c>
      <c r="R399" s="218" t="s">
        <v>72</v>
      </c>
      <c r="S399" s="218" t="s">
        <v>34000</v>
      </c>
      <c r="U399" s="293" t="s">
        <v>26082</v>
      </c>
      <c r="V399" s="293" t="s">
        <v>145</v>
      </c>
      <c r="W399" s="293" t="s">
        <v>74</v>
      </c>
      <c r="X399" s="293" t="s">
        <v>656</v>
      </c>
      <c r="Z399" s="293" t="s">
        <v>26083</v>
      </c>
      <c r="AA399" s="293" t="s">
        <v>145</v>
      </c>
      <c r="AB399" s="293" t="s">
        <v>74</v>
      </c>
      <c r="AC399" s="293" t="s">
        <v>656</v>
      </c>
      <c r="AE399" s="293" t="s">
        <v>26084</v>
      </c>
      <c r="AF399" s="293" t="s">
        <v>145</v>
      </c>
      <c r="AG399" s="293" t="s">
        <v>74</v>
      </c>
      <c r="AH399" s="293" t="s">
        <v>656</v>
      </c>
      <c r="AJ399" s="293" t="s">
        <v>26085</v>
      </c>
      <c r="AK399" s="293" t="s">
        <v>145</v>
      </c>
      <c r="AL399" s="293" t="s">
        <v>74</v>
      </c>
      <c r="AM399" s="293" t="s">
        <v>656</v>
      </c>
      <c r="AO399" s="22" t="s">
        <v>26086</v>
      </c>
      <c r="AP399" s="22" t="s">
        <v>145</v>
      </c>
      <c r="AQ399" s="22" t="s">
        <v>70</v>
      </c>
      <c r="AR399" s="22" t="s">
        <v>67</v>
      </c>
      <c r="AT399" s="22" t="s">
        <v>26087</v>
      </c>
      <c r="AU399" s="22" t="s">
        <v>145</v>
      </c>
      <c r="AV399" s="22" t="s">
        <v>70</v>
      </c>
      <c r="AW399" s="22" t="s">
        <v>67</v>
      </c>
      <c r="AY399" s="22" t="s">
        <v>26088</v>
      </c>
      <c r="AZ399" s="22" t="s">
        <v>145</v>
      </c>
      <c r="BA399" s="22" t="s">
        <v>70</v>
      </c>
      <c r="BB399" s="22" t="s">
        <v>67</v>
      </c>
      <c r="BD399" s="22" t="s">
        <v>26089</v>
      </c>
      <c r="BE399" s="22" t="s">
        <v>145</v>
      </c>
      <c r="BF399" s="22" t="s">
        <v>70</v>
      </c>
      <c r="BG399" s="22" t="s">
        <v>67</v>
      </c>
      <c r="BI399" s="22" t="s">
        <v>26090</v>
      </c>
      <c r="BJ399" s="22" t="s">
        <v>145</v>
      </c>
      <c r="BK399" s="22" t="s">
        <v>70</v>
      </c>
      <c r="BL399" s="22" t="s">
        <v>67</v>
      </c>
      <c r="BN399" s="22" t="s">
        <v>26091</v>
      </c>
      <c r="BO399" s="22" t="s">
        <v>145</v>
      </c>
      <c r="BP399" s="22" t="s">
        <v>70</v>
      </c>
      <c r="BQ399" s="22" t="s">
        <v>67</v>
      </c>
      <c r="BS399" s="22" t="s">
        <v>26092</v>
      </c>
      <c r="BT399" s="22" t="s">
        <v>145</v>
      </c>
      <c r="BU399" s="22" t="s">
        <v>70</v>
      </c>
      <c r="BV399" s="214" t="s">
        <v>530</v>
      </c>
      <c r="BX399" s="22" t="s">
        <v>26093</v>
      </c>
      <c r="BY399" s="22" t="s">
        <v>145</v>
      </c>
      <c r="BZ399" s="22" t="s">
        <v>70</v>
      </c>
      <c r="CA399" s="214" t="s">
        <v>530</v>
      </c>
      <c r="CC399" s="214" t="s">
        <v>26094</v>
      </c>
      <c r="CD399" s="214" t="s">
        <v>205</v>
      </c>
      <c r="CE399" s="214" t="s">
        <v>70</v>
      </c>
      <c r="CF399" s="214" t="s">
        <v>530</v>
      </c>
      <c r="CH399" s="214" t="s">
        <v>26095</v>
      </c>
      <c r="CI399" s="214" t="s">
        <v>146</v>
      </c>
      <c r="CJ399" s="214" t="s">
        <v>70</v>
      </c>
      <c r="CK399" s="214" t="s">
        <v>530</v>
      </c>
      <c r="CM399" s="214" t="s">
        <v>26096</v>
      </c>
      <c r="CN399" s="214" t="s">
        <v>203</v>
      </c>
      <c r="CO399" s="214" t="s">
        <v>70</v>
      </c>
      <c r="CP399" s="214" t="s">
        <v>530</v>
      </c>
      <c r="CR399" s="214" t="s">
        <v>26097</v>
      </c>
      <c r="CS399" s="214" t="s">
        <v>488</v>
      </c>
      <c r="CT399" s="214" t="s">
        <v>70</v>
      </c>
      <c r="CU399" s="214" t="s">
        <v>530</v>
      </c>
      <c r="CW399" s="214" t="s">
        <v>26098</v>
      </c>
      <c r="CX399" s="214" t="s">
        <v>488</v>
      </c>
      <c r="CY399" s="214" t="s">
        <v>70</v>
      </c>
      <c r="CZ399" s="214" t="s">
        <v>530</v>
      </c>
      <c r="DB399" s="214" t="s">
        <v>26099</v>
      </c>
      <c r="DC399" s="214" t="s">
        <v>34541</v>
      </c>
      <c r="DD399" s="214" t="s">
        <v>70</v>
      </c>
      <c r="DE399" s="214" t="s">
        <v>530</v>
      </c>
      <c r="DG399" s="214" t="s">
        <v>26100</v>
      </c>
      <c r="DH399" s="214" t="s">
        <v>34545</v>
      </c>
      <c r="DI399" s="214" t="s">
        <v>70</v>
      </c>
      <c r="DJ399" s="214" t="s">
        <v>530</v>
      </c>
      <c r="DL399" s="214" t="s">
        <v>26101</v>
      </c>
      <c r="DM399" s="214" t="s">
        <v>34567</v>
      </c>
      <c r="DN399" s="214" t="s">
        <v>70</v>
      </c>
      <c r="DO399" s="214" t="s">
        <v>530</v>
      </c>
      <c r="DQ399" s="214" t="s">
        <v>26102</v>
      </c>
      <c r="DR399" s="214" t="s">
        <v>502</v>
      </c>
      <c r="DS399" s="214" t="s">
        <v>70</v>
      </c>
      <c r="DT399" s="214" t="s">
        <v>530</v>
      </c>
      <c r="DV399" s="214" t="s">
        <v>26103</v>
      </c>
      <c r="DW399" s="214" t="s">
        <v>468</v>
      </c>
      <c r="DX399" s="214" t="s">
        <v>70</v>
      </c>
      <c r="DY399" s="214" t="s">
        <v>530</v>
      </c>
      <c r="EA399" s="214" t="s">
        <v>26104</v>
      </c>
      <c r="EB399" s="214" t="s">
        <v>484</v>
      </c>
      <c r="EC399" s="214" t="s">
        <v>70</v>
      </c>
      <c r="ED399" s="214" t="s">
        <v>530</v>
      </c>
      <c r="EF399" s="214" t="s">
        <v>26105</v>
      </c>
      <c r="EG399" s="214" t="s">
        <v>485</v>
      </c>
      <c r="EH399" s="214" t="s">
        <v>70</v>
      </c>
      <c r="EI399" s="214" t="s">
        <v>530</v>
      </c>
      <c r="EK399" s="214" t="s">
        <v>26106</v>
      </c>
      <c r="EL399" s="214" t="s">
        <v>484</v>
      </c>
      <c r="EM399" s="214" t="s">
        <v>70</v>
      </c>
      <c r="EN399" s="214" t="s">
        <v>530</v>
      </c>
      <c r="EP399" s="214" t="s">
        <v>26107</v>
      </c>
      <c r="EQ399" s="214" t="s">
        <v>34542</v>
      </c>
      <c r="ER399" s="214" t="s">
        <v>70</v>
      </c>
      <c r="ES399" s="214" t="s">
        <v>530</v>
      </c>
      <c r="EU399" s="214" t="s">
        <v>26108</v>
      </c>
      <c r="EV399" s="214" t="s">
        <v>491</v>
      </c>
      <c r="EW399" s="214" t="s">
        <v>70</v>
      </c>
      <c r="EX399" s="214" t="s">
        <v>530</v>
      </c>
      <c r="EZ399" s="214" t="s">
        <v>26109</v>
      </c>
      <c r="FA399" s="214" t="s">
        <v>598</v>
      </c>
      <c r="FB399" s="214" t="s">
        <v>70</v>
      </c>
      <c r="FC399" s="214" t="s">
        <v>530</v>
      </c>
      <c r="FE399" s="214" t="s">
        <v>26110</v>
      </c>
      <c r="FF399" s="214" t="s">
        <v>484</v>
      </c>
      <c r="FG399" s="214" t="s">
        <v>70</v>
      </c>
      <c r="FH399" s="214" t="s">
        <v>530</v>
      </c>
      <c r="FJ399" s="321" t="s">
        <v>26111</v>
      </c>
      <c r="FK399" s="214" t="s">
        <v>468</v>
      </c>
      <c r="FL399" s="214" t="s">
        <v>70</v>
      </c>
      <c r="FM399" s="214" t="s">
        <v>530</v>
      </c>
      <c r="FO399" s="321" t="s">
        <v>26112</v>
      </c>
      <c r="FP399" s="214" t="s">
        <v>490</v>
      </c>
      <c r="FQ399" s="214" t="s">
        <v>70</v>
      </c>
      <c r="FR399" s="214" t="s">
        <v>530</v>
      </c>
      <c r="FT399" s="321" t="s">
        <v>26113</v>
      </c>
      <c r="FU399" s="214" t="s">
        <v>34547</v>
      </c>
      <c r="FV399" s="214" t="s">
        <v>70</v>
      </c>
      <c r="FW399" s="214" t="s">
        <v>530</v>
      </c>
      <c r="FY399" s="321" t="s">
        <v>26114</v>
      </c>
      <c r="FZ399" s="214" t="s">
        <v>501</v>
      </c>
      <c r="GA399" s="214" t="s">
        <v>70</v>
      </c>
      <c r="GB399" s="214" t="s">
        <v>530</v>
      </c>
      <c r="GD399" s="321" t="s">
        <v>26115</v>
      </c>
      <c r="GE399" s="214" t="s">
        <v>34642</v>
      </c>
      <c r="GF399" s="214" t="s">
        <v>70</v>
      </c>
      <c r="GG399" s="214" t="s">
        <v>530</v>
      </c>
      <c r="GI399" s="321" t="s">
        <v>26116</v>
      </c>
      <c r="GJ399" s="214" t="s">
        <v>496</v>
      </c>
      <c r="GK399" s="214" t="s">
        <v>70</v>
      </c>
      <c r="GL399" s="214" t="s">
        <v>530</v>
      </c>
      <c r="GN399" s="321" t="s">
        <v>26117</v>
      </c>
      <c r="GO399" s="214" t="s">
        <v>146</v>
      </c>
      <c r="GP399" s="214" t="s">
        <v>70</v>
      </c>
      <c r="GQ399" s="214" t="s">
        <v>530</v>
      </c>
      <c r="GS399" s="321" t="s">
        <v>26118</v>
      </c>
      <c r="GT399" s="214" t="s">
        <v>34589</v>
      </c>
      <c r="GU399" s="214" t="s">
        <v>70</v>
      </c>
      <c r="GV399" s="214" t="s">
        <v>530</v>
      </c>
      <c r="GX399" s="214" t="s">
        <v>26119</v>
      </c>
      <c r="GY399" s="214" t="s">
        <v>490</v>
      </c>
      <c r="GZ399" s="214" t="s">
        <v>70</v>
      </c>
      <c r="HA399" s="214" t="s">
        <v>530</v>
      </c>
      <c r="HC399" s="214" t="s">
        <v>26120</v>
      </c>
      <c r="HD399" s="214" t="s">
        <v>484</v>
      </c>
      <c r="HE399" s="214" t="s">
        <v>70</v>
      </c>
      <c r="HF399" s="214" t="s">
        <v>530</v>
      </c>
      <c r="HH399" s="214" t="s">
        <v>26121</v>
      </c>
      <c r="HI399" s="214" t="s">
        <v>103</v>
      </c>
      <c r="HJ399" s="214" t="s">
        <v>70</v>
      </c>
      <c r="HK399" s="214" t="s">
        <v>530</v>
      </c>
      <c r="HM399" s="214" t="s">
        <v>26122</v>
      </c>
      <c r="HN399" s="214" t="s">
        <v>484</v>
      </c>
      <c r="HO399" s="214" t="s">
        <v>70</v>
      </c>
      <c r="HP399" s="214" t="s">
        <v>530</v>
      </c>
      <c r="HR399" s="22" t="s">
        <v>26123</v>
      </c>
      <c r="HS399" s="22" t="s">
        <v>52</v>
      </c>
      <c r="HT399" s="22" t="s">
        <v>70</v>
      </c>
      <c r="HU399" s="214" t="s">
        <v>530</v>
      </c>
      <c r="HW399" s="22" t="s">
        <v>26124</v>
      </c>
      <c r="HX399" s="22" t="s">
        <v>203</v>
      </c>
      <c r="HY399" s="22" t="s">
        <v>70</v>
      </c>
      <c r="HZ399" s="214" t="s">
        <v>530</v>
      </c>
      <c r="IB399" s="22" t="s">
        <v>26125</v>
      </c>
      <c r="IC399" s="22" t="s">
        <v>500</v>
      </c>
      <c r="ID399" s="22" t="s">
        <v>70</v>
      </c>
      <c r="IE399" s="214" t="s">
        <v>530</v>
      </c>
      <c r="IG399" s="22" t="s">
        <v>26126</v>
      </c>
      <c r="IH399" s="22" t="s">
        <v>52</v>
      </c>
      <c r="II399" s="22" t="s">
        <v>70</v>
      </c>
      <c r="IJ399" s="214" t="s">
        <v>530</v>
      </c>
      <c r="IL399" s="22" t="s">
        <v>26127</v>
      </c>
      <c r="IM399" s="22" t="s">
        <v>145</v>
      </c>
      <c r="IN399" s="22" t="s">
        <v>70</v>
      </c>
      <c r="IO399" s="214" t="s">
        <v>530</v>
      </c>
      <c r="IQ399" s="236" t="s">
        <v>26128</v>
      </c>
      <c r="IR399" s="236" t="s">
        <v>145</v>
      </c>
      <c r="IS399" s="236" t="s">
        <v>74</v>
      </c>
      <c r="IT399" s="236" t="s">
        <v>841</v>
      </c>
      <c r="IV399" s="236" t="s">
        <v>26129</v>
      </c>
      <c r="IW399" s="236" t="s">
        <v>145</v>
      </c>
      <c r="IX399" s="236" t="s">
        <v>74</v>
      </c>
      <c r="IY399" s="236" t="s">
        <v>841</v>
      </c>
      <c r="JA399" s="236" t="s">
        <v>26130</v>
      </c>
      <c r="JB399" s="236" t="s">
        <v>145</v>
      </c>
      <c r="JC399" s="236" t="s">
        <v>74</v>
      </c>
      <c r="JD399" s="236" t="s">
        <v>841</v>
      </c>
      <c r="JF399" s="236" t="s">
        <v>26131</v>
      </c>
      <c r="JG399" s="236" t="s">
        <v>145</v>
      </c>
      <c r="JH399" s="236" t="s">
        <v>74</v>
      </c>
      <c r="JI399" s="236" t="s">
        <v>841</v>
      </c>
      <c r="JK399" s="236" t="s">
        <v>26132</v>
      </c>
      <c r="JL399" s="236" t="s">
        <v>145</v>
      </c>
      <c r="JM399" s="236" t="s">
        <v>74</v>
      </c>
      <c r="JN399" s="236" t="s">
        <v>841</v>
      </c>
      <c r="JP399" s="236" t="s">
        <v>26133</v>
      </c>
      <c r="JQ399" s="236" t="s">
        <v>145</v>
      </c>
      <c r="JR399" s="236" t="s">
        <v>74</v>
      </c>
      <c r="JS399" s="236" t="s">
        <v>841</v>
      </c>
      <c r="JU399" s="294" t="s">
        <v>26134</v>
      </c>
      <c r="JV399" s="294" t="s">
        <v>52</v>
      </c>
      <c r="JW399" s="263" t="s">
        <v>70</v>
      </c>
      <c r="JX399" s="294" t="s">
        <v>1083</v>
      </c>
      <c r="JZ399" s="263" t="s">
        <v>26135</v>
      </c>
      <c r="KA399" s="263" t="s">
        <v>145</v>
      </c>
      <c r="KB399" s="263" t="s">
        <v>70</v>
      </c>
      <c r="KC399" s="263" t="s">
        <v>1083</v>
      </c>
      <c r="KE399" s="263" t="s">
        <v>26136</v>
      </c>
      <c r="KF399" s="263" t="s">
        <v>52</v>
      </c>
      <c r="KG399" s="263" t="s">
        <v>70</v>
      </c>
      <c r="KH399" s="263" t="s">
        <v>1083</v>
      </c>
      <c r="KJ399" s="263" t="s">
        <v>26137</v>
      </c>
      <c r="KK399" s="263" t="s">
        <v>52</v>
      </c>
      <c r="KL399" s="263" t="s">
        <v>74</v>
      </c>
      <c r="KM399" s="263" t="s">
        <v>34074</v>
      </c>
      <c r="KO399" s="214" t="s">
        <v>26138</v>
      </c>
      <c r="KP399" s="214" t="s">
        <v>145</v>
      </c>
      <c r="KQ399" s="214" t="s">
        <v>70</v>
      </c>
      <c r="KR399" s="214" t="s">
        <v>67</v>
      </c>
      <c r="KT399" s="22" t="s">
        <v>26139</v>
      </c>
      <c r="KU399" s="22" t="s">
        <v>145</v>
      </c>
      <c r="KV399" s="22" t="s">
        <v>70</v>
      </c>
      <c r="KW399" s="22" t="s">
        <v>67</v>
      </c>
      <c r="KY399" s="214" t="s">
        <v>26140</v>
      </c>
      <c r="KZ399" s="214" t="s">
        <v>52</v>
      </c>
      <c r="LA399" s="214" t="s">
        <v>74</v>
      </c>
      <c r="LB399" s="214" t="s">
        <v>67</v>
      </c>
      <c r="LD399" s="22" t="s">
        <v>26141</v>
      </c>
      <c r="LE399" s="22" t="s">
        <v>145</v>
      </c>
      <c r="LF399" s="22" t="s">
        <v>70</v>
      </c>
      <c r="LG399" s="22" t="s">
        <v>67</v>
      </c>
    </row>
    <row r="400" spans="1:319">
      <c r="A400" s="22" t="s">
        <v>26142</v>
      </c>
      <c r="B400" s="22" t="s">
        <v>145</v>
      </c>
      <c r="C400" s="22" t="s">
        <v>70</v>
      </c>
      <c r="D400" s="22" t="s">
        <v>67</v>
      </c>
      <c r="F400" s="96" t="s">
        <v>26143</v>
      </c>
      <c r="G400" s="22" t="s">
        <v>145</v>
      </c>
      <c r="H400" s="22" t="s">
        <v>70</v>
      </c>
      <c r="I400" s="22" t="s">
        <v>67</v>
      </c>
      <c r="K400" s="99" t="s">
        <v>26144</v>
      </c>
      <c r="L400" s="22" t="s">
        <v>145</v>
      </c>
      <c r="M400" s="22" t="s">
        <v>70</v>
      </c>
      <c r="N400" s="22" t="s">
        <v>67</v>
      </c>
      <c r="P400" s="230" t="s">
        <v>26145</v>
      </c>
      <c r="Q400" s="218" t="s">
        <v>145</v>
      </c>
      <c r="R400" s="218" t="s">
        <v>72</v>
      </c>
      <c r="S400" s="218" t="s">
        <v>34001</v>
      </c>
      <c r="U400" s="293" t="s">
        <v>26146</v>
      </c>
      <c r="V400" s="293" t="s">
        <v>145</v>
      </c>
      <c r="W400" s="293" t="s">
        <v>74</v>
      </c>
      <c r="X400" s="293" t="s">
        <v>656</v>
      </c>
      <c r="Z400" s="293" t="s">
        <v>26147</v>
      </c>
      <c r="AA400" s="293" t="s">
        <v>145</v>
      </c>
      <c r="AB400" s="293" t="s">
        <v>74</v>
      </c>
      <c r="AC400" s="293" t="s">
        <v>656</v>
      </c>
      <c r="AE400" s="293" t="s">
        <v>26148</v>
      </c>
      <c r="AF400" s="293" t="s">
        <v>145</v>
      </c>
      <c r="AG400" s="293" t="s">
        <v>74</v>
      </c>
      <c r="AH400" s="293" t="s">
        <v>656</v>
      </c>
      <c r="AJ400" s="293" t="s">
        <v>26149</v>
      </c>
      <c r="AK400" s="293" t="s">
        <v>145</v>
      </c>
      <c r="AL400" s="293" t="s">
        <v>74</v>
      </c>
      <c r="AM400" s="293" t="s">
        <v>656</v>
      </c>
      <c r="AO400" s="22" t="s">
        <v>26150</v>
      </c>
      <c r="AP400" s="22" t="s">
        <v>145</v>
      </c>
      <c r="AQ400" s="22" t="s">
        <v>70</v>
      </c>
      <c r="AR400" s="22" t="s">
        <v>67</v>
      </c>
      <c r="AT400" s="22" t="s">
        <v>26151</v>
      </c>
      <c r="AU400" s="22" t="s">
        <v>145</v>
      </c>
      <c r="AV400" s="22" t="s">
        <v>70</v>
      </c>
      <c r="AW400" s="22" t="s">
        <v>67</v>
      </c>
      <c r="AY400" s="22" t="s">
        <v>26152</v>
      </c>
      <c r="AZ400" s="22" t="s">
        <v>145</v>
      </c>
      <c r="BA400" s="22" t="s">
        <v>70</v>
      </c>
      <c r="BB400" s="22" t="s">
        <v>67</v>
      </c>
      <c r="BD400" s="22" t="s">
        <v>26153</v>
      </c>
      <c r="BE400" s="22" t="s">
        <v>145</v>
      </c>
      <c r="BF400" s="22" t="s">
        <v>70</v>
      </c>
      <c r="BG400" s="22" t="s">
        <v>67</v>
      </c>
      <c r="BI400" s="22" t="s">
        <v>26154</v>
      </c>
      <c r="BJ400" s="22" t="s">
        <v>145</v>
      </c>
      <c r="BK400" s="22" t="s">
        <v>70</v>
      </c>
      <c r="BL400" s="22" t="s">
        <v>67</v>
      </c>
      <c r="BN400" s="22" t="s">
        <v>26155</v>
      </c>
      <c r="BO400" s="22" t="s">
        <v>145</v>
      </c>
      <c r="BP400" s="22" t="s">
        <v>70</v>
      </c>
      <c r="BQ400" s="22" t="s">
        <v>67</v>
      </c>
      <c r="BS400" s="22" t="s">
        <v>26156</v>
      </c>
      <c r="BT400" s="22" t="s">
        <v>145</v>
      </c>
      <c r="BU400" s="22" t="s">
        <v>70</v>
      </c>
      <c r="BV400" s="214" t="s">
        <v>530</v>
      </c>
      <c r="BX400" s="22" t="s">
        <v>26157</v>
      </c>
      <c r="BY400" s="22" t="s">
        <v>145</v>
      </c>
      <c r="BZ400" s="22" t="s">
        <v>70</v>
      </c>
      <c r="CA400" s="214" t="s">
        <v>530</v>
      </c>
      <c r="CC400" s="214" t="s">
        <v>26158</v>
      </c>
      <c r="CD400" s="214" t="s">
        <v>483</v>
      </c>
      <c r="CE400" s="214" t="s">
        <v>70</v>
      </c>
      <c r="CF400" s="214" t="s">
        <v>530</v>
      </c>
      <c r="CH400" s="214" t="s">
        <v>26159</v>
      </c>
      <c r="CI400" s="214" t="s">
        <v>34516</v>
      </c>
      <c r="CJ400" s="214" t="s">
        <v>70</v>
      </c>
      <c r="CK400" s="214" t="s">
        <v>530</v>
      </c>
      <c r="CM400" s="214" t="s">
        <v>26160</v>
      </c>
      <c r="CN400" s="214" t="s">
        <v>34640</v>
      </c>
      <c r="CO400" s="214" t="s">
        <v>70</v>
      </c>
      <c r="CP400" s="214" t="s">
        <v>530</v>
      </c>
      <c r="CR400" s="214" t="s">
        <v>26161</v>
      </c>
      <c r="CS400" s="214" t="s">
        <v>103</v>
      </c>
      <c r="CT400" s="214" t="s">
        <v>70</v>
      </c>
      <c r="CU400" s="214" t="s">
        <v>530</v>
      </c>
      <c r="CW400" s="214" t="s">
        <v>26162</v>
      </c>
      <c r="CX400" s="214" t="s">
        <v>52</v>
      </c>
      <c r="CY400" s="214" t="s">
        <v>70</v>
      </c>
      <c r="CZ400" s="214" t="s">
        <v>530</v>
      </c>
      <c r="DB400" s="214" t="s">
        <v>26163</v>
      </c>
      <c r="DC400" s="214" t="s">
        <v>944</v>
      </c>
      <c r="DD400" s="214" t="s">
        <v>70</v>
      </c>
      <c r="DE400" s="214" t="s">
        <v>530</v>
      </c>
      <c r="DG400" s="214" t="s">
        <v>26164</v>
      </c>
      <c r="DH400" s="214" t="s">
        <v>148</v>
      </c>
      <c r="DI400" s="214" t="s">
        <v>70</v>
      </c>
      <c r="DJ400" s="214" t="s">
        <v>530</v>
      </c>
      <c r="DL400" s="214" t="s">
        <v>26165</v>
      </c>
      <c r="DM400" s="214" t="s">
        <v>481</v>
      </c>
      <c r="DN400" s="214" t="s">
        <v>70</v>
      </c>
      <c r="DO400" s="214" t="s">
        <v>530</v>
      </c>
      <c r="DQ400" s="214" t="s">
        <v>26166</v>
      </c>
      <c r="DR400" s="214" t="s">
        <v>912</v>
      </c>
      <c r="DS400" s="214" t="s">
        <v>70</v>
      </c>
      <c r="DT400" s="214" t="s">
        <v>530</v>
      </c>
      <c r="DV400" s="214" t="s">
        <v>26167</v>
      </c>
      <c r="DW400" s="214" t="s">
        <v>655</v>
      </c>
      <c r="DX400" s="214" t="s">
        <v>70</v>
      </c>
      <c r="DY400" s="214" t="s">
        <v>530</v>
      </c>
      <c r="EA400" s="214" t="s">
        <v>26168</v>
      </c>
      <c r="EB400" s="214" t="s">
        <v>34641</v>
      </c>
      <c r="EC400" s="214" t="s">
        <v>70</v>
      </c>
      <c r="ED400" s="214" t="s">
        <v>530</v>
      </c>
      <c r="EF400" s="214" t="s">
        <v>26169</v>
      </c>
      <c r="EG400" s="214" t="s">
        <v>148</v>
      </c>
      <c r="EH400" s="214" t="s">
        <v>70</v>
      </c>
      <c r="EI400" s="214" t="s">
        <v>530</v>
      </c>
      <c r="EK400" s="214" t="s">
        <v>26170</v>
      </c>
      <c r="EL400" s="214" t="s">
        <v>52</v>
      </c>
      <c r="EM400" s="214" t="s">
        <v>70</v>
      </c>
      <c r="EN400" s="214" t="s">
        <v>530</v>
      </c>
      <c r="EP400" s="214" t="s">
        <v>26171</v>
      </c>
      <c r="EQ400" s="214" t="s">
        <v>34606</v>
      </c>
      <c r="ER400" s="214" t="s">
        <v>70</v>
      </c>
      <c r="ES400" s="214" t="s">
        <v>530</v>
      </c>
      <c r="EU400" s="214" t="s">
        <v>26172</v>
      </c>
      <c r="EV400" s="214" t="s">
        <v>52</v>
      </c>
      <c r="EW400" s="214" t="s">
        <v>70</v>
      </c>
      <c r="EX400" s="214" t="s">
        <v>530</v>
      </c>
      <c r="EZ400" s="214" t="s">
        <v>26173</v>
      </c>
      <c r="FA400" s="214" t="s">
        <v>34656</v>
      </c>
      <c r="FB400" s="214" t="s">
        <v>70</v>
      </c>
      <c r="FC400" s="214" t="s">
        <v>530</v>
      </c>
      <c r="FE400" s="214" t="s">
        <v>26174</v>
      </c>
      <c r="FF400" s="214" t="s">
        <v>90</v>
      </c>
      <c r="FG400" s="214" t="s">
        <v>70</v>
      </c>
      <c r="FH400" s="214" t="s">
        <v>530</v>
      </c>
      <c r="FJ400" s="321" t="s">
        <v>26175</v>
      </c>
      <c r="FK400" s="214" t="s">
        <v>52</v>
      </c>
      <c r="FL400" s="214" t="s">
        <v>70</v>
      </c>
      <c r="FM400" s="214" t="s">
        <v>530</v>
      </c>
      <c r="FO400" s="321" t="s">
        <v>26176</v>
      </c>
      <c r="FP400" s="214" t="s">
        <v>921</v>
      </c>
      <c r="FQ400" s="214" t="s">
        <v>70</v>
      </c>
      <c r="FR400" s="214" t="s">
        <v>530</v>
      </c>
      <c r="FT400" s="321" t="s">
        <v>26177</v>
      </c>
      <c r="FU400" s="214" t="s">
        <v>149</v>
      </c>
      <c r="FV400" s="214" t="s">
        <v>70</v>
      </c>
      <c r="FW400" s="214" t="s">
        <v>530</v>
      </c>
      <c r="FY400" s="321" t="s">
        <v>26178</v>
      </c>
      <c r="FZ400" s="214" t="s">
        <v>149</v>
      </c>
      <c r="GA400" s="214" t="s">
        <v>70</v>
      </c>
      <c r="GB400" s="214" t="s">
        <v>530</v>
      </c>
      <c r="GD400" s="321" t="s">
        <v>26179</v>
      </c>
      <c r="GE400" s="214" t="s">
        <v>52</v>
      </c>
      <c r="GF400" s="214" t="s">
        <v>70</v>
      </c>
      <c r="GG400" s="214" t="s">
        <v>530</v>
      </c>
      <c r="GI400" s="321" t="s">
        <v>26180</v>
      </c>
      <c r="GJ400" s="214" t="s">
        <v>90</v>
      </c>
      <c r="GK400" s="214" t="s">
        <v>70</v>
      </c>
      <c r="GL400" s="214" t="s">
        <v>530</v>
      </c>
      <c r="GN400" s="321" t="s">
        <v>26181</v>
      </c>
      <c r="GO400" s="214" t="s">
        <v>599</v>
      </c>
      <c r="GP400" s="214" t="s">
        <v>70</v>
      </c>
      <c r="GQ400" s="214" t="s">
        <v>530</v>
      </c>
      <c r="GS400" s="321" t="s">
        <v>26182</v>
      </c>
      <c r="GT400" s="214" t="s">
        <v>52</v>
      </c>
      <c r="GU400" s="214" t="s">
        <v>70</v>
      </c>
      <c r="GV400" s="214" t="s">
        <v>530</v>
      </c>
      <c r="GX400" s="214" t="s">
        <v>26183</v>
      </c>
      <c r="GY400" s="214" t="s">
        <v>34547</v>
      </c>
      <c r="GZ400" s="214" t="s">
        <v>70</v>
      </c>
      <c r="HA400" s="214" t="s">
        <v>530</v>
      </c>
      <c r="HC400" s="214" t="s">
        <v>26184</v>
      </c>
      <c r="HD400" s="214" t="s">
        <v>148</v>
      </c>
      <c r="HE400" s="214" t="s">
        <v>70</v>
      </c>
      <c r="HF400" s="214" t="s">
        <v>530</v>
      </c>
      <c r="HH400" s="214" t="s">
        <v>26185</v>
      </c>
      <c r="HI400" s="214" t="s">
        <v>305</v>
      </c>
      <c r="HJ400" s="214" t="s">
        <v>70</v>
      </c>
      <c r="HK400" s="214" t="s">
        <v>530</v>
      </c>
      <c r="HM400" s="214" t="s">
        <v>26186</v>
      </c>
      <c r="HN400" s="214" t="s">
        <v>34516</v>
      </c>
      <c r="HO400" s="214" t="s">
        <v>70</v>
      </c>
      <c r="HP400" s="214" t="s">
        <v>530</v>
      </c>
      <c r="HR400" s="22" t="s">
        <v>26187</v>
      </c>
      <c r="HS400" s="22" t="s">
        <v>34405</v>
      </c>
      <c r="HT400" s="22" t="s">
        <v>70</v>
      </c>
      <c r="HU400" s="214" t="s">
        <v>530</v>
      </c>
      <c r="HW400" s="22" t="s">
        <v>26188</v>
      </c>
      <c r="HX400" s="22" t="s">
        <v>34630</v>
      </c>
      <c r="HY400" s="22" t="s">
        <v>70</v>
      </c>
      <c r="HZ400" s="214" t="s">
        <v>530</v>
      </c>
      <c r="IB400" s="22" t="s">
        <v>26189</v>
      </c>
      <c r="IC400" s="22" t="s">
        <v>34575</v>
      </c>
      <c r="ID400" s="22" t="s">
        <v>70</v>
      </c>
      <c r="IE400" s="214" t="s">
        <v>530</v>
      </c>
      <c r="IG400" s="22" t="s">
        <v>26190</v>
      </c>
      <c r="IH400" s="22" t="s">
        <v>52</v>
      </c>
      <c r="II400" s="22" t="s">
        <v>70</v>
      </c>
      <c r="IJ400" s="214" t="s">
        <v>530</v>
      </c>
      <c r="IL400" s="22" t="s">
        <v>26191</v>
      </c>
      <c r="IM400" s="22" t="s">
        <v>145</v>
      </c>
      <c r="IN400" s="22" t="s">
        <v>70</v>
      </c>
      <c r="IO400" s="214" t="s">
        <v>530</v>
      </c>
      <c r="IQ400" s="236" t="s">
        <v>26192</v>
      </c>
      <c r="IR400" s="236" t="s">
        <v>145</v>
      </c>
      <c r="IS400" s="236" t="s">
        <v>74</v>
      </c>
      <c r="IT400" s="236" t="s">
        <v>841</v>
      </c>
      <c r="IV400" s="236" t="s">
        <v>26193</v>
      </c>
      <c r="IW400" s="236" t="s">
        <v>145</v>
      </c>
      <c r="IX400" s="236" t="s">
        <v>74</v>
      </c>
      <c r="IY400" s="236" t="s">
        <v>841</v>
      </c>
      <c r="JA400" s="236" t="s">
        <v>26194</v>
      </c>
      <c r="JB400" s="236" t="s">
        <v>145</v>
      </c>
      <c r="JC400" s="236" t="s">
        <v>74</v>
      </c>
      <c r="JD400" s="236" t="s">
        <v>841</v>
      </c>
      <c r="JF400" s="236" t="s">
        <v>26195</v>
      </c>
      <c r="JG400" s="236" t="s">
        <v>145</v>
      </c>
      <c r="JH400" s="236" t="s">
        <v>74</v>
      </c>
      <c r="JI400" s="236" t="s">
        <v>841</v>
      </c>
      <c r="JK400" s="236" t="s">
        <v>26196</v>
      </c>
      <c r="JL400" s="236" t="s">
        <v>145</v>
      </c>
      <c r="JM400" s="236" t="s">
        <v>74</v>
      </c>
      <c r="JN400" s="236" t="s">
        <v>841</v>
      </c>
      <c r="JP400" s="236" t="s">
        <v>26197</v>
      </c>
      <c r="JQ400" s="236" t="s">
        <v>145</v>
      </c>
      <c r="JR400" s="236" t="s">
        <v>74</v>
      </c>
      <c r="JS400" s="236" t="s">
        <v>841</v>
      </c>
      <c r="JU400" s="294" t="s">
        <v>26198</v>
      </c>
      <c r="JV400" s="294" t="s">
        <v>52</v>
      </c>
      <c r="JW400" s="263" t="s">
        <v>70</v>
      </c>
      <c r="JX400" s="294" t="s">
        <v>1083</v>
      </c>
      <c r="JZ400" s="263" t="s">
        <v>26199</v>
      </c>
      <c r="KA400" s="263" t="s">
        <v>145</v>
      </c>
      <c r="KB400" s="263" t="s">
        <v>70</v>
      </c>
      <c r="KC400" s="263" t="s">
        <v>1083</v>
      </c>
      <c r="KE400" s="263" t="s">
        <v>26200</v>
      </c>
      <c r="KF400" s="263" t="s">
        <v>52</v>
      </c>
      <c r="KG400" s="263" t="s">
        <v>70</v>
      </c>
      <c r="KH400" s="263" t="s">
        <v>1083</v>
      </c>
      <c r="KJ400" s="263" t="s">
        <v>26201</v>
      </c>
      <c r="KK400" s="263" t="s">
        <v>52</v>
      </c>
      <c r="KL400" s="263" t="s">
        <v>74</v>
      </c>
      <c r="KM400" s="263" t="s">
        <v>34074</v>
      </c>
      <c r="KO400" s="214" t="s">
        <v>26202</v>
      </c>
      <c r="KP400" s="214" t="s">
        <v>145</v>
      </c>
      <c r="KQ400" s="214" t="s">
        <v>70</v>
      </c>
      <c r="KR400" s="214" t="s">
        <v>67</v>
      </c>
      <c r="KT400" s="22" t="s">
        <v>26203</v>
      </c>
      <c r="KU400" s="22" t="s">
        <v>145</v>
      </c>
      <c r="KV400" s="22" t="s">
        <v>70</v>
      </c>
      <c r="KW400" s="22" t="s">
        <v>67</v>
      </c>
      <c r="KY400" s="214" t="s">
        <v>26204</v>
      </c>
      <c r="KZ400" s="214" t="s">
        <v>52</v>
      </c>
      <c r="LA400" s="214" t="s">
        <v>74</v>
      </c>
      <c r="LB400" s="214" t="s">
        <v>67</v>
      </c>
      <c r="LD400" s="22" t="s">
        <v>26205</v>
      </c>
      <c r="LE400" s="22" t="s">
        <v>145</v>
      </c>
      <c r="LF400" s="22" t="s">
        <v>70</v>
      </c>
      <c r="LG400" s="22" t="s">
        <v>67</v>
      </c>
    </row>
    <row r="401" spans="1:319">
      <c r="A401" s="22" t="s">
        <v>26206</v>
      </c>
      <c r="B401" s="22" t="s">
        <v>145</v>
      </c>
      <c r="C401" s="22" t="s">
        <v>70</v>
      </c>
      <c r="D401" s="22" t="s">
        <v>67</v>
      </c>
      <c r="F401" s="96" t="s">
        <v>26207</v>
      </c>
      <c r="G401" s="22" t="s">
        <v>145</v>
      </c>
      <c r="H401" s="22" t="s">
        <v>70</v>
      </c>
      <c r="I401" s="22" t="s">
        <v>67</v>
      </c>
      <c r="K401" s="99" t="s">
        <v>26208</v>
      </c>
      <c r="L401" s="22" t="s">
        <v>145</v>
      </c>
      <c r="M401" s="22" t="s">
        <v>70</v>
      </c>
      <c r="N401" s="22" t="s">
        <v>67</v>
      </c>
      <c r="P401" s="230" t="s">
        <v>26209</v>
      </c>
      <c r="Q401" s="218" t="s">
        <v>145</v>
      </c>
      <c r="R401" s="218" t="s">
        <v>72</v>
      </c>
      <c r="S401" s="218" t="s">
        <v>34002</v>
      </c>
      <c r="U401" s="293" t="s">
        <v>26210</v>
      </c>
      <c r="V401" s="293" t="s">
        <v>145</v>
      </c>
      <c r="W401" s="293" t="s">
        <v>74</v>
      </c>
      <c r="X401" s="293" t="s">
        <v>656</v>
      </c>
      <c r="Z401" s="293" t="s">
        <v>26211</v>
      </c>
      <c r="AA401" s="293" t="s">
        <v>145</v>
      </c>
      <c r="AB401" s="293" t="s">
        <v>74</v>
      </c>
      <c r="AC401" s="293" t="s">
        <v>656</v>
      </c>
      <c r="AE401" s="293" t="s">
        <v>26212</v>
      </c>
      <c r="AF401" s="293" t="s">
        <v>145</v>
      </c>
      <c r="AG401" s="293" t="s">
        <v>74</v>
      </c>
      <c r="AH401" s="293" t="s">
        <v>656</v>
      </c>
      <c r="AJ401" s="293" t="s">
        <v>26213</v>
      </c>
      <c r="AK401" s="293" t="s">
        <v>145</v>
      </c>
      <c r="AL401" s="293" t="s">
        <v>74</v>
      </c>
      <c r="AM401" s="293" t="s">
        <v>656</v>
      </c>
      <c r="AO401" s="22" t="s">
        <v>26214</v>
      </c>
      <c r="AP401" s="22" t="s">
        <v>145</v>
      </c>
      <c r="AQ401" s="22" t="s">
        <v>70</v>
      </c>
      <c r="AR401" s="22" t="s">
        <v>67</v>
      </c>
      <c r="AT401" s="22" t="s">
        <v>26215</v>
      </c>
      <c r="AU401" s="22" t="s">
        <v>145</v>
      </c>
      <c r="AV401" s="22" t="s">
        <v>70</v>
      </c>
      <c r="AW401" s="22" t="s">
        <v>67</v>
      </c>
      <c r="AY401" s="22" t="s">
        <v>26216</v>
      </c>
      <c r="AZ401" s="22" t="s">
        <v>145</v>
      </c>
      <c r="BA401" s="22" t="s">
        <v>70</v>
      </c>
      <c r="BB401" s="22" t="s">
        <v>67</v>
      </c>
      <c r="BD401" s="22" t="s">
        <v>26217</v>
      </c>
      <c r="BE401" s="22" t="s">
        <v>145</v>
      </c>
      <c r="BF401" s="22" t="s">
        <v>70</v>
      </c>
      <c r="BG401" s="22" t="s">
        <v>67</v>
      </c>
      <c r="BI401" s="22" t="s">
        <v>26218</v>
      </c>
      <c r="BJ401" s="22" t="s">
        <v>145</v>
      </c>
      <c r="BK401" s="22" t="s">
        <v>70</v>
      </c>
      <c r="BL401" s="22" t="s">
        <v>67</v>
      </c>
      <c r="BN401" s="22" t="s">
        <v>26219</v>
      </c>
      <c r="BO401" s="22" t="s">
        <v>145</v>
      </c>
      <c r="BP401" s="22" t="s">
        <v>70</v>
      </c>
      <c r="BQ401" s="22" t="s">
        <v>67</v>
      </c>
      <c r="BS401" s="22" t="s">
        <v>26220</v>
      </c>
      <c r="BT401" s="22" t="s">
        <v>145</v>
      </c>
      <c r="BU401" s="22" t="s">
        <v>70</v>
      </c>
      <c r="BV401" s="214" t="s">
        <v>530</v>
      </c>
      <c r="BX401" s="22" t="s">
        <v>26221</v>
      </c>
      <c r="BY401" s="22" t="s">
        <v>145</v>
      </c>
      <c r="BZ401" s="22" t="s">
        <v>70</v>
      </c>
      <c r="CA401" s="214" t="s">
        <v>530</v>
      </c>
      <c r="CC401" s="214" t="s">
        <v>26222</v>
      </c>
      <c r="CD401" s="214" t="s">
        <v>955</v>
      </c>
      <c r="CE401" s="214" t="s">
        <v>70</v>
      </c>
      <c r="CF401" s="214" t="s">
        <v>530</v>
      </c>
      <c r="CH401" s="214" t="s">
        <v>26223</v>
      </c>
      <c r="CI401" s="214" t="s">
        <v>52</v>
      </c>
      <c r="CJ401" s="214" t="s">
        <v>70</v>
      </c>
      <c r="CK401" s="214" t="s">
        <v>530</v>
      </c>
      <c r="CM401" s="214" t="s">
        <v>26224</v>
      </c>
      <c r="CN401" s="214" t="s">
        <v>503</v>
      </c>
      <c r="CO401" s="214" t="s">
        <v>70</v>
      </c>
      <c r="CP401" s="214" t="s">
        <v>530</v>
      </c>
      <c r="CR401" s="214" t="s">
        <v>26225</v>
      </c>
      <c r="CS401" s="214" t="s">
        <v>484</v>
      </c>
      <c r="CT401" s="214" t="s">
        <v>70</v>
      </c>
      <c r="CU401" s="214" t="s">
        <v>530</v>
      </c>
      <c r="CW401" s="214" t="s">
        <v>26226</v>
      </c>
      <c r="CX401" s="214" t="s">
        <v>955</v>
      </c>
      <c r="CY401" s="214" t="s">
        <v>70</v>
      </c>
      <c r="CZ401" s="214" t="s">
        <v>530</v>
      </c>
      <c r="DB401" s="214" t="s">
        <v>26227</v>
      </c>
      <c r="DC401" s="214" t="s">
        <v>34556</v>
      </c>
      <c r="DD401" s="214" t="s">
        <v>70</v>
      </c>
      <c r="DE401" s="214" t="s">
        <v>530</v>
      </c>
      <c r="DG401" s="214" t="s">
        <v>26228</v>
      </c>
      <c r="DH401" s="214" t="s">
        <v>34562</v>
      </c>
      <c r="DI401" s="214" t="s">
        <v>70</v>
      </c>
      <c r="DJ401" s="214" t="s">
        <v>530</v>
      </c>
      <c r="DL401" s="214" t="s">
        <v>26229</v>
      </c>
      <c r="DM401" s="214" t="s">
        <v>487</v>
      </c>
      <c r="DN401" s="214" t="s">
        <v>70</v>
      </c>
      <c r="DO401" s="214" t="s">
        <v>530</v>
      </c>
      <c r="DQ401" s="214" t="s">
        <v>26230</v>
      </c>
      <c r="DR401" s="214" t="s">
        <v>34548</v>
      </c>
      <c r="DS401" s="214" t="s">
        <v>70</v>
      </c>
      <c r="DT401" s="214" t="s">
        <v>530</v>
      </c>
      <c r="DV401" s="214" t="s">
        <v>26231</v>
      </c>
      <c r="DW401" s="214" t="s">
        <v>34558</v>
      </c>
      <c r="DX401" s="214" t="s">
        <v>70</v>
      </c>
      <c r="DY401" s="214" t="s">
        <v>530</v>
      </c>
      <c r="EA401" s="214" t="s">
        <v>26232</v>
      </c>
      <c r="EB401" s="214" t="s">
        <v>34566</v>
      </c>
      <c r="EC401" s="214" t="s">
        <v>70</v>
      </c>
      <c r="ED401" s="214" t="s">
        <v>530</v>
      </c>
      <c r="EF401" s="214" t="s">
        <v>26233</v>
      </c>
      <c r="EG401" s="214" t="s">
        <v>34544</v>
      </c>
      <c r="EH401" s="214" t="s">
        <v>70</v>
      </c>
      <c r="EI401" s="214" t="s">
        <v>530</v>
      </c>
      <c r="EK401" s="214" t="s">
        <v>26234</v>
      </c>
      <c r="EL401" s="214" t="s">
        <v>485</v>
      </c>
      <c r="EM401" s="214" t="s">
        <v>70</v>
      </c>
      <c r="EN401" s="214" t="s">
        <v>530</v>
      </c>
      <c r="EP401" s="214" t="s">
        <v>26235</v>
      </c>
      <c r="EQ401" s="214" t="s">
        <v>34557</v>
      </c>
      <c r="ER401" s="214" t="s">
        <v>70</v>
      </c>
      <c r="ES401" s="214" t="s">
        <v>530</v>
      </c>
      <c r="EU401" s="214" t="s">
        <v>26236</v>
      </c>
      <c r="EV401" s="214" t="s">
        <v>484</v>
      </c>
      <c r="EW401" s="214" t="s">
        <v>70</v>
      </c>
      <c r="EX401" s="214" t="s">
        <v>530</v>
      </c>
      <c r="EZ401" s="214" t="s">
        <v>26237</v>
      </c>
      <c r="FA401" s="214" t="s">
        <v>34635</v>
      </c>
      <c r="FB401" s="214" t="s">
        <v>70</v>
      </c>
      <c r="FC401" s="214" t="s">
        <v>530</v>
      </c>
      <c r="FE401" s="214" t="s">
        <v>26238</v>
      </c>
      <c r="FF401" s="214" t="s">
        <v>487</v>
      </c>
      <c r="FG401" s="214" t="s">
        <v>70</v>
      </c>
      <c r="FH401" s="214" t="s">
        <v>530</v>
      </c>
      <c r="FJ401" s="321" t="s">
        <v>26239</v>
      </c>
      <c r="FK401" s="214" t="s">
        <v>950</v>
      </c>
      <c r="FL401" s="214" t="s">
        <v>70</v>
      </c>
      <c r="FM401" s="214" t="s">
        <v>530</v>
      </c>
      <c r="FO401" s="321" t="s">
        <v>26240</v>
      </c>
      <c r="FP401" s="214" t="s">
        <v>34550</v>
      </c>
      <c r="FQ401" s="214" t="s">
        <v>70</v>
      </c>
      <c r="FR401" s="214" t="s">
        <v>530</v>
      </c>
      <c r="FT401" s="321" t="s">
        <v>26241</v>
      </c>
      <c r="FU401" s="214" t="s">
        <v>950</v>
      </c>
      <c r="FV401" s="214" t="s">
        <v>70</v>
      </c>
      <c r="FW401" s="214" t="s">
        <v>530</v>
      </c>
      <c r="FY401" s="321" t="s">
        <v>26242</v>
      </c>
      <c r="FZ401" s="214" t="s">
        <v>34580</v>
      </c>
      <c r="GA401" s="214" t="s">
        <v>70</v>
      </c>
      <c r="GB401" s="214" t="s">
        <v>530</v>
      </c>
      <c r="GD401" s="321" t="s">
        <v>26243</v>
      </c>
      <c r="GE401" s="214" t="s">
        <v>955</v>
      </c>
      <c r="GF401" s="214" t="s">
        <v>70</v>
      </c>
      <c r="GG401" s="214" t="s">
        <v>530</v>
      </c>
      <c r="GI401" s="321" t="s">
        <v>26244</v>
      </c>
      <c r="GJ401" s="214" t="s">
        <v>482</v>
      </c>
      <c r="GK401" s="214" t="s">
        <v>70</v>
      </c>
      <c r="GL401" s="214" t="s">
        <v>530</v>
      </c>
      <c r="GN401" s="321" t="s">
        <v>26245</v>
      </c>
      <c r="GO401" s="214" t="s">
        <v>486</v>
      </c>
      <c r="GP401" s="214" t="s">
        <v>70</v>
      </c>
      <c r="GQ401" s="214" t="s">
        <v>530</v>
      </c>
      <c r="GS401" s="321" t="s">
        <v>26246</v>
      </c>
      <c r="GT401" s="214" t="s">
        <v>955</v>
      </c>
      <c r="GU401" s="214" t="s">
        <v>70</v>
      </c>
      <c r="GV401" s="214" t="s">
        <v>530</v>
      </c>
      <c r="GX401" s="214" t="s">
        <v>26247</v>
      </c>
      <c r="GY401" s="214" t="s">
        <v>491</v>
      </c>
      <c r="GZ401" s="214" t="s">
        <v>70</v>
      </c>
      <c r="HA401" s="214" t="s">
        <v>530</v>
      </c>
      <c r="HC401" s="214" t="s">
        <v>26248</v>
      </c>
      <c r="HD401" s="214" t="s">
        <v>146</v>
      </c>
      <c r="HE401" s="214" t="s">
        <v>70</v>
      </c>
      <c r="HF401" s="214" t="s">
        <v>530</v>
      </c>
      <c r="HH401" s="214" t="s">
        <v>26249</v>
      </c>
      <c r="HI401" s="214" t="s">
        <v>488</v>
      </c>
      <c r="HJ401" s="214" t="s">
        <v>70</v>
      </c>
      <c r="HK401" s="214" t="s">
        <v>530</v>
      </c>
      <c r="HM401" s="214" t="s">
        <v>26250</v>
      </c>
      <c r="HN401" s="214" t="s">
        <v>34628</v>
      </c>
      <c r="HO401" s="214" t="s">
        <v>70</v>
      </c>
      <c r="HP401" s="214" t="s">
        <v>530</v>
      </c>
      <c r="HR401" s="22" t="s">
        <v>26251</v>
      </c>
      <c r="HS401" s="22" t="s">
        <v>34541</v>
      </c>
      <c r="HT401" s="22" t="s">
        <v>70</v>
      </c>
      <c r="HU401" s="214" t="s">
        <v>530</v>
      </c>
      <c r="HW401" s="22" t="s">
        <v>26252</v>
      </c>
      <c r="HX401" s="22" t="s">
        <v>52</v>
      </c>
      <c r="HY401" s="22" t="s">
        <v>70</v>
      </c>
      <c r="HZ401" s="214" t="s">
        <v>530</v>
      </c>
      <c r="IB401" s="22" t="s">
        <v>26253</v>
      </c>
      <c r="IC401" s="22" t="s">
        <v>502</v>
      </c>
      <c r="ID401" s="22" t="s">
        <v>70</v>
      </c>
      <c r="IE401" s="214" t="s">
        <v>530</v>
      </c>
      <c r="IG401" s="22" t="s">
        <v>26254</v>
      </c>
      <c r="IH401" s="22" t="s">
        <v>52</v>
      </c>
      <c r="II401" s="22" t="s">
        <v>70</v>
      </c>
      <c r="IJ401" s="214" t="s">
        <v>530</v>
      </c>
      <c r="IL401" s="22" t="s">
        <v>26255</v>
      </c>
      <c r="IM401" s="22" t="s">
        <v>145</v>
      </c>
      <c r="IN401" s="22" t="s">
        <v>70</v>
      </c>
      <c r="IO401" s="214" t="s">
        <v>530</v>
      </c>
      <c r="IQ401" s="236" t="s">
        <v>26256</v>
      </c>
      <c r="IR401" s="236" t="s">
        <v>145</v>
      </c>
      <c r="IS401" s="236" t="s">
        <v>74</v>
      </c>
      <c r="IT401" s="236" t="s">
        <v>841</v>
      </c>
      <c r="IV401" s="236" t="s">
        <v>26257</v>
      </c>
      <c r="IW401" s="236" t="s">
        <v>145</v>
      </c>
      <c r="IX401" s="236" t="s">
        <v>74</v>
      </c>
      <c r="IY401" s="236" t="s">
        <v>841</v>
      </c>
      <c r="JA401" s="236" t="s">
        <v>26258</v>
      </c>
      <c r="JB401" s="236" t="s">
        <v>145</v>
      </c>
      <c r="JC401" s="236" t="s">
        <v>74</v>
      </c>
      <c r="JD401" s="236" t="s">
        <v>841</v>
      </c>
      <c r="JF401" s="236" t="s">
        <v>26259</v>
      </c>
      <c r="JG401" s="236" t="s">
        <v>145</v>
      </c>
      <c r="JH401" s="236" t="s">
        <v>74</v>
      </c>
      <c r="JI401" s="236" t="s">
        <v>841</v>
      </c>
      <c r="JK401" s="236" t="s">
        <v>26260</v>
      </c>
      <c r="JL401" s="236" t="s">
        <v>145</v>
      </c>
      <c r="JM401" s="236" t="s">
        <v>74</v>
      </c>
      <c r="JN401" s="236" t="s">
        <v>841</v>
      </c>
      <c r="JP401" s="236" t="s">
        <v>26261</v>
      </c>
      <c r="JQ401" s="236" t="s">
        <v>145</v>
      </c>
      <c r="JR401" s="236" t="s">
        <v>74</v>
      </c>
      <c r="JS401" s="236" t="s">
        <v>841</v>
      </c>
      <c r="JU401" s="294" t="s">
        <v>26262</v>
      </c>
      <c r="JV401" s="294" t="s">
        <v>52</v>
      </c>
      <c r="JW401" s="263" t="s">
        <v>70</v>
      </c>
      <c r="JX401" s="294" t="s">
        <v>1083</v>
      </c>
      <c r="JZ401" s="263" t="s">
        <v>26263</v>
      </c>
      <c r="KA401" s="263" t="s">
        <v>145</v>
      </c>
      <c r="KB401" s="263" t="s">
        <v>70</v>
      </c>
      <c r="KC401" s="263" t="s">
        <v>1083</v>
      </c>
      <c r="KE401" s="263" t="s">
        <v>26264</v>
      </c>
      <c r="KF401" s="263" t="s">
        <v>52</v>
      </c>
      <c r="KG401" s="263" t="s">
        <v>70</v>
      </c>
      <c r="KH401" s="263" t="s">
        <v>1083</v>
      </c>
      <c r="KJ401" s="263" t="s">
        <v>26265</v>
      </c>
      <c r="KK401" s="263" t="s">
        <v>52</v>
      </c>
      <c r="KL401" s="263" t="s">
        <v>74</v>
      </c>
      <c r="KM401" s="263" t="s">
        <v>34074</v>
      </c>
      <c r="KO401" s="214" t="s">
        <v>26266</v>
      </c>
      <c r="KP401" s="214" t="s">
        <v>145</v>
      </c>
      <c r="KQ401" s="214" t="s">
        <v>70</v>
      </c>
      <c r="KR401" s="214" t="s">
        <v>67</v>
      </c>
      <c r="KT401" s="22" t="s">
        <v>26267</v>
      </c>
      <c r="KU401" s="22" t="s">
        <v>145</v>
      </c>
      <c r="KV401" s="22" t="s">
        <v>70</v>
      </c>
      <c r="KW401" s="22" t="s">
        <v>67</v>
      </c>
      <c r="KY401" s="214" t="s">
        <v>26268</v>
      </c>
      <c r="KZ401" s="214" t="s">
        <v>52</v>
      </c>
      <c r="LA401" s="214" t="s">
        <v>74</v>
      </c>
      <c r="LB401" s="214" t="s">
        <v>67</v>
      </c>
      <c r="LD401" s="22" t="s">
        <v>26269</v>
      </c>
      <c r="LE401" s="22" t="s">
        <v>145</v>
      </c>
      <c r="LF401" s="22" t="s">
        <v>70</v>
      </c>
      <c r="LG401" s="22" t="s">
        <v>67</v>
      </c>
    </row>
    <row r="402" spans="1:319">
      <c r="A402" s="22" t="s">
        <v>26270</v>
      </c>
      <c r="B402" s="22" t="s">
        <v>145</v>
      </c>
      <c r="C402" s="22" t="s">
        <v>70</v>
      </c>
      <c r="D402" s="22" t="s">
        <v>67</v>
      </c>
      <c r="F402" s="96" t="s">
        <v>26271</v>
      </c>
      <c r="G402" s="22" t="s">
        <v>145</v>
      </c>
      <c r="H402" s="22" t="s">
        <v>70</v>
      </c>
      <c r="I402" s="22" t="s">
        <v>67</v>
      </c>
      <c r="K402" s="99" t="s">
        <v>26272</v>
      </c>
      <c r="L402" s="22" t="s">
        <v>145</v>
      </c>
      <c r="M402" s="22" t="s">
        <v>70</v>
      </c>
      <c r="N402" s="22" t="s">
        <v>67</v>
      </c>
      <c r="P402" s="230" t="s">
        <v>26273</v>
      </c>
      <c r="Q402" s="218" t="s">
        <v>145</v>
      </c>
      <c r="R402" s="218" t="s">
        <v>72</v>
      </c>
      <c r="S402" s="218" t="s">
        <v>34003</v>
      </c>
      <c r="U402" s="293" t="s">
        <v>26274</v>
      </c>
      <c r="V402" s="293" t="s">
        <v>145</v>
      </c>
      <c r="W402" s="293" t="s">
        <v>74</v>
      </c>
      <c r="X402" s="293" t="s">
        <v>656</v>
      </c>
      <c r="Z402" s="293" t="s">
        <v>26275</v>
      </c>
      <c r="AA402" s="293" t="s">
        <v>145</v>
      </c>
      <c r="AB402" s="293" t="s">
        <v>74</v>
      </c>
      <c r="AC402" s="293" t="s">
        <v>656</v>
      </c>
      <c r="AE402" s="293" t="s">
        <v>26276</v>
      </c>
      <c r="AF402" s="293" t="s">
        <v>145</v>
      </c>
      <c r="AG402" s="293" t="s">
        <v>74</v>
      </c>
      <c r="AH402" s="293" t="s">
        <v>656</v>
      </c>
      <c r="AJ402" s="293" t="s">
        <v>26277</v>
      </c>
      <c r="AK402" s="293" t="s">
        <v>145</v>
      </c>
      <c r="AL402" s="293" t="s">
        <v>74</v>
      </c>
      <c r="AM402" s="293" t="s">
        <v>656</v>
      </c>
      <c r="AO402" s="22" t="s">
        <v>26278</v>
      </c>
      <c r="AP402" s="22" t="s">
        <v>145</v>
      </c>
      <c r="AQ402" s="22" t="s">
        <v>70</v>
      </c>
      <c r="AR402" s="22" t="s">
        <v>67</v>
      </c>
      <c r="AT402" s="22" t="s">
        <v>26279</v>
      </c>
      <c r="AU402" s="22" t="s">
        <v>145</v>
      </c>
      <c r="AV402" s="22" t="s">
        <v>70</v>
      </c>
      <c r="AW402" s="22" t="s">
        <v>67</v>
      </c>
      <c r="AY402" s="22" t="s">
        <v>26280</v>
      </c>
      <c r="AZ402" s="22" t="s">
        <v>145</v>
      </c>
      <c r="BA402" s="22" t="s">
        <v>70</v>
      </c>
      <c r="BB402" s="22" t="s">
        <v>67</v>
      </c>
      <c r="BD402" s="22" t="s">
        <v>26281</v>
      </c>
      <c r="BE402" s="22" t="s">
        <v>145</v>
      </c>
      <c r="BF402" s="22" t="s">
        <v>70</v>
      </c>
      <c r="BG402" s="22" t="s">
        <v>67</v>
      </c>
      <c r="BI402" s="22" t="s">
        <v>26282</v>
      </c>
      <c r="BJ402" s="22" t="s">
        <v>145</v>
      </c>
      <c r="BK402" s="22" t="s">
        <v>70</v>
      </c>
      <c r="BL402" s="22" t="s">
        <v>67</v>
      </c>
      <c r="BN402" s="22" t="s">
        <v>26283</v>
      </c>
      <c r="BO402" s="22" t="s">
        <v>145</v>
      </c>
      <c r="BP402" s="22" t="s">
        <v>70</v>
      </c>
      <c r="BQ402" s="22" t="s">
        <v>67</v>
      </c>
      <c r="BS402" s="22" t="s">
        <v>26284</v>
      </c>
      <c r="BT402" s="22" t="s">
        <v>145</v>
      </c>
      <c r="BU402" s="22" t="s">
        <v>70</v>
      </c>
      <c r="BV402" s="214" t="s">
        <v>530</v>
      </c>
      <c r="BX402" s="22" t="s">
        <v>26285</v>
      </c>
      <c r="BY402" s="22" t="s">
        <v>145</v>
      </c>
      <c r="BZ402" s="22" t="s">
        <v>70</v>
      </c>
      <c r="CA402" s="214" t="s">
        <v>530</v>
      </c>
      <c r="CC402" s="214" t="s">
        <v>26286</v>
      </c>
      <c r="CD402" s="214" t="s">
        <v>52</v>
      </c>
      <c r="CE402" s="214" t="s">
        <v>70</v>
      </c>
      <c r="CF402" s="214" t="s">
        <v>530</v>
      </c>
      <c r="CH402" s="214" t="s">
        <v>26287</v>
      </c>
      <c r="CI402" s="214" t="s">
        <v>52</v>
      </c>
      <c r="CJ402" s="214" t="s">
        <v>70</v>
      </c>
      <c r="CK402" s="214" t="s">
        <v>530</v>
      </c>
      <c r="CM402" s="214" t="s">
        <v>26288</v>
      </c>
      <c r="CN402" s="214" t="s">
        <v>468</v>
      </c>
      <c r="CO402" s="214" t="s">
        <v>70</v>
      </c>
      <c r="CP402" s="214" t="s">
        <v>530</v>
      </c>
      <c r="CR402" s="214" t="s">
        <v>26289</v>
      </c>
      <c r="CS402" s="214" t="s">
        <v>497</v>
      </c>
      <c r="CT402" s="214" t="s">
        <v>70</v>
      </c>
      <c r="CU402" s="214" t="s">
        <v>530</v>
      </c>
      <c r="CW402" s="214" t="s">
        <v>26290</v>
      </c>
      <c r="CX402" s="214" t="s">
        <v>52</v>
      </c>
      <c r="CY402" s="214" t="s">
        <v>70</v>
      </c>
      <c r="CZ402" s="214" t="s">
        <v>530</v>
      </c>
      <c r="DB402" s="214" t="s">
        <v>26291</v>
      </c>
      <c r="DC402" s="214" t="s">
        <v>86</v>
      </c>
      <c r="DD402" s="214" t="s">
        <v>70</v>
      </c>
      <c r="DE402" s="214" t="s">
        <v>530</v>
      </c>
      <c r="DG402" s="214" t="s">
        <v>26292</v>
      </c>
      <c r="DH402" s="214" t="s">
        <v>87</v>
      </c>
      <c r="DI402" s="214" t="s">
        <v>70</v>
      </c>
      <c r="DJ402" s="214" t="s">
        <v>530</v>
      </c>
      <c r="DL402" s="214" t="s">
        <v>26293</v>
      </c>
      <c r="DM402" s="214" t="s">
        <v>52</v>
      </c>
      <c r="DN402" s="214" t="s">
        <v>70</v>
      </c>
      <c r="DO402" s="214" t="s">
        <v>530</v>
      </c>
      <c r="DQ402" s="214" t="s">
        <v>26294</v>
      </c>
      <c r="DR402" s="214" t="s">
        <v>52</v>
      </c>
      <c r="DS402" s="214" t="s">
        <v>70</v>
      </c>
      <c r="DT402" s="214" t="s">
        <v>530</v>
      </c>
      <c r="DV402" s="214" t="s">
        <v>26295</v>
      </c>
      <c r="DW402" s="214" t="s">
        <v>52</v>
      </c>
      <c r="DX402" s="214" t="s">
        <v>70</v>
      </c>
      <c r="DY402" s="214" t="s">
        <v>530</v>
      </c>
      <c r="EA402" s="214" t="s">
        <v>26296</v>
      </c>
      <c r="EB402" s="214" t="s">
        <v>924</v>
      </c>
      <c r="EC402" s="214" t="s">
        <v>70</v>
      </c>
      <c r="ED402" s="214" t="s">
        <v>530</v>
      </c>
      <c r="EF402" s="214" t="s">
        <v>26297</v>
      </c>
      <c r="EG402" s="214" t="s">
        <v>203</v>
      </c>
      <c r="EH402" s="214" t="s">
        <v>70</v>
      </c>
      <c r="EI402" s="214" t="s">
        <v>530</v>
      </c>
      <c r="EK402" s="214" t="s">
        <v>26298</v>
      </c>
      <c r="EL402" s="214" t="s">
        <v>34624</v>
      </c>
      <c r="EM402" s="214" t="s">
        <v>70</v>
      </c>
      <c r="EN402" s="214" t="s">
        <v>530</v>
      </c>
      <c r="EP402" s="214" t="s">
        <v>26299</v>
      </c>
      <c r="EQ402" s="214" t="s">
        <v>34579</v>
      </c>
      <c r="ER402" s="214" t="s">
        <v>70</v>
      </c>
      <c r="ES402" s="214" t="s">
        <v>530</v>
      </c>
      <c r="EU402" s="214" t="s">
        <v>26300</v>
      </c>
      <c r="EV402" s="214" t="s">
        <v>34563</v>
      </c>
      <c r="EW402" s="214" t="s">
        <v>70</v>
      </c>
      <c r="EX402" s="214" t="s">
        <v>530</v>
      </c>
      <c r="EZ402" s="214" t="s">
        <v>26301</v>
      </c>
      <c r="FA402" s="214" t="s">
        <v>34644</v>
      </c>
      <c r="FB402" s="214" t="s">
        <v>70</v>
      </c>
      <c r="FC402" s="214" t="s">
        <v>530</v>
      </c>
      <c r="FE402" s="214" t="s">
        <v>26302</v>
      </c>
      <c r="FF402" s="214" t="s">
        <v>149</v>
      </c>
      <c r="FG402" s="214" t="s">
        <v>70</v>
      </c>
      <c r="FH402" s="214" t="s">
        <v>530</v>
      </c>
      <c r="FJ402" s="321" t="s">
        <v>26303</v>
      </c>
      <c r="FK402" s="214" t="s">
        <v>148</v>
      </c>
      <c r="FL402" s="214" t="s">
        <v>70</v>
      </c>
      <c r="FM402" s="214" t="s">
        <v>530</v>
      </c>
      <c r="FO402" s="321" t="s">
        <v>26304</v>
      </c>
      <c r="FP402" s="214" t="s">
        <v>148</v>
      </c>
      <c r="FQ402" s="214" t="s">
        <v>70</v>
      </c>
      <c r="FR402" s="214" t="s">
        <v>530</v>
      </c>
      <c r="FT402" s="321" t="s">
        <v>26305</v>
      </c>
      <c r="FU402" s="214" t="s">
        <v>956</v>
      </c>
      <c r="FV402" s="214" t="s">
        <v>70</v>
      </c>
      <c r="FW402" s="214" t="s">
        <v>530</v>
      </c>
      <c r="FY402" s="321" t="s">
        <v>26306</v>
      </c>
      <c r="FZ402" s="214" t="s">
        <v>34600</v>
      </c>
      <c r="GA402" s="214" t="s">
        <v>70</v>
      </c>
      <c r="GB402" s="214" t="s">
        <v>530</v>
      </c>
      <c r="GD402" s="321" t="s">
        <v>26307</v>
      </c>
      <c r="GE402" s="214" t="s">
        <v>52</v>
      </c>
      <c r="GF402" s="214" t="s">
        <v>70</v>
      </c>
      <c r="GG402" s="214" t="s">
        <v>530</v>
      </c>
      <c r="GI402" s="321" t="s">
        <v>26308</v>
      </c>
      <c r="GJ402" s="214" t="s">
        <v>912</v>
      </c>
      <c r="GK402" s="214" t="s">
        <v>70</v>
      </c>
      <c r="GL402" s="214" t="s">
        <v>530</v>
      </c>
      <c r="GN402" s="321" t="s">
        <v>26309</v>
      </c>
      <c r="GO402" s="214" t="s">
        <v>163</v>
      </c>
      <c r="GP402" s="214" t="s">
        <v>70</v>
      </c>
      <c r="GQ402" s="214" t="s">
        <v>530</v>
      </c>
      <c r="GS402" s="321" t="s">
        <v>26310</v>
      </c>
      <c r="GT402" s="214" t="s">
        <v>941</v>
      </c>
      <c r="GU402" s="214" t="s">
        <v>70</v>
      </c>
      <c r="GV402" s="214" t="s">
        <v>530</v>
      </c>
      <c r="GX402" s="214" t="s">
        <v>26311</v>
      </c>
      <c r="GY402" s="214" t="s">
        <v>502</v>
      </c>
      <c r="GZ402" s="214" t="s">
        <v>70</v>
      </c>
      <c r="HA402" s="214" t="s">
        <v>530</v>
      </c>
      <c r="HC402" s="214" t="s">
        <v>26312</v>
      </c>
      <c r="HD402" s="214" t="s">
        <v>85</v>
      </c>
      <c r="HE402" s="214" t="s">
        <v>70</v>
      </c>
      <c r="HF402" s="214" t="s">
        <v>530</v>
      </c>
      <c r="HH402" s="214" t="s">
        <v>26313</v>
      </c>
      <c r="HI402" s="214" t="s">
        <v>481</v>
      </c>
      <c r="HJ402" s="214" t="s">
        <v>70</v>
      </c>
      <c r="HK402" s="214" t="s">
        <v>530</v>
      </c>
      <c r="HM402" s="214" t="s">
        <v>26314</v>
      </c>
      <c r="HN402" s="214" t="s">
        <v>468</v>
      </c>
      <c r="HO402" s="214" t="s">
        <v>70</v>
      </c>
      <c r="HP402" s="214" t="s">
        <v>530</v>
      </c>
      <c r="HR402" s="22" t="s">
        <v>26315</v>
      </c>
      <c r="HS402" s="22" t="s">
        <v>945</v>
      </c>
      <c r="HT402" s="22" t="s">
        <v>70</v>
      </c>
      <c r="HU402" s="214" t="s">
        <v>530</v>
      </c>
      <c r="HW402" s="22" t="s">
        <v>26316</v>
      </c>
      <c r="HX402" s="22" t="s">
        <v>52</v>
      </c>
      <c r="HY402" s="22" t="s">
        <v>70</v>
      </c>
      <c r="HZ402" s="214" t="s">
        <v>530</v>
      </c>
      <c r="IB402" s="22" t="s">
        <v>26317</v>
      </c>
      <c r="IC402" s="22" t="s">
        <v>492</v>
      </c>
      <c r="ID402" s="22" t="s">
        <v>70</v>
      </c>
      <c r="IE402" s="214" t="s">
        <v>530</v>
      </c>
      <c r="IG402" s="22" t="s">
        <v>26318</v>
      </c>
      <c r="IH402" s="22" t="s">
        <v>52</v>
      </c>
      <c r="II402" s="22" t="s">
        <v>70</v>
      </c>
      <c r="IJ402" s="214" t="s">
        <v>530</v>
      </c>
      <c r="IL402" s="22" t="s">
        <v>26319</v>
      </c>
      <c r="IM402" s="22" t="s">
        <v>145</v>
      </c>
      <c r="IN402" s="22" t="s">
        <v>70</v>
      </c>
      <c r="IO402" s="214" t="s">
        <v>530</v>
      </c>
      <c r="IQ402" s="236" t="s">
        <v>26320</v>
      </c>
      <c r="IR402" s="236" t="s">
        <v>145</v>
      </c>
      <c r="IS402" s="236" t="s">
        <v>74</v>
      </c>
      <c r="IT402" s="236" t="s">
        <v>841</v>
      </c>
      <c r="IV402" s="236" t="s">
        <v>26321</v>
      </c>
      <c r="IW402" s="236" t="s">
        <v>145</v>
      </c>
      <c r="IX402" s="236" t="s">
        <v>74</v>
      </c>
      <c r="IY402" s="236" t="s">
        <v>841</v>
      </c>
      <c r="JA402" s="236" t="s">
        <v>26322</v>
      </c>
      <c r="JB402" s="236" t="s">
        <v>145</v>
      </c>
      <c r="JC402" s="236" t="s">
        <v>74</v>
      </c>
      <c r="JD402" s="236" t="s">
        <v>841</v>
      </c>
      <c r="JF402" s="236" t="s">
        <v>26323</v>
      </c>
      <c r="JG402" s="236" t="s">
        <v>145</v>
      </c>
      <c r="JH402" s="236" t="s">
        <v>74</v>
      </c>
      <c r="JI402" s="236" t="s">
        <v>841</v>
      </c>
      <c r="JK402" s="236" t="s">
        <v>26324</v>
      </c>
      <c r="JL402" s="236" t="s">
        <v>145</v>
      </c>
      <c r="JM402" s="236" t="s">
        <v>74</v>
      </c>
      <c r="JN402" s="236" t="s">
        <v>841</v>
      </c>
      <c r="JP402" s="236" t="s">
        <v>26325</v>
      </c>
      <c r="JQ402" s="236" t="s">
        <v>145</v>
      </c>
      <c r="JR402" s="236" t="s">
        <v>74</v>
      </c>
      <c r="JS402" s="236" t="s">
        <v>841</v>
      </c>
      <c r="JU402" s="294" t="s">
        <v>26326</v>
      </c>
      <c r="JV402" s="294" t="s">
        <v>52</v>
      </c>
      <c r="JW402" s="263" t="s">
        <v>70</v>
      </c>
      <c r="JX402" s="294" t="s">
        <v>1083</v>
      </c>
      <c r="JZ402" s="263" t="s">
        <v>26327</v>
      </c>
      <c r="KA402" s="263" t="s">
        <v>145</v>
      </c>
      <c r="KB402" s="263" t="s">
        <v>70</v>
      </c>
      <c r="KC402" s="263" t="s">
        <v>1083</v>
      </c>
      <c r="KE402" s="263" t="s">
        <v>26328</v>
      </c>
      <c r="KF402" s="263" t="s">
        <v>52</v>
      </c>
      <c r="KG402" s="263" t="s">
        <v>70</v>
      </c>
      <c r="KH402" s="263" t="s">
        <v>1083</v>
      </c>
      <c r="KJ402" s="263" t="s">
        <v>26329</v>
      </c>
      <c r="KK402" s="263" t="s">
        <v>52</v>
      </c>
      <c r="KL402" s="263" t="s">
        <v>74</v>
      </c>
      <c r="KM402" s="263" t="s">
        <v>34074</v>
      </c>
      <c r="KO402" s="214" t="s">
        <v>26330</v>
      </c>
      <c r="KP402" s="214" t="s">
        <v>145</v>
      </c>
      <c r="KQ402" s="214" t="s">
        <v>70</v>
      </c>
      <c r="KR402" s="214" t="s">
        <v>67</v>
      </c>
      <c r="KT402" s="22" t="s">
        <v>26331</v>
      </c>
      <c r="KU402" s="22" t="s">
        <v>145</v>
      </c>
      <c r="KV402" s="22" t="s">
        <v>70</v>
      </c>
      <c r="KW402" s="22" t="s">
        <v>67</v>
      </c>
      <c r="KY402" s="214" t="s">
        <v>26332</v>
      </c>
      <c r="KZ402" s="214" t="s">
        <v>52</v>
      </c>
      <c r="LA402" s="214" t="s">
        <v>74</v>
      </c>
      <c r="LB402" s="214" t="s">
        <v>67</v>
      </c>
      <c r="LD402" s="22" t="s">
        <v>26333</v>
      </c>
      <c r="LE402" s="22" t="s">
        <v>145</v>
      </c>
      <c r="LF402" s="22" t="s">
        <v>70</v>
      </c>
      <c r="LG402" s="22" t="s">
        <v>67</v>
      </c>
    </row>
    <row r="403" spans="1:319">
      <c r="A403" s="22" t="s">
        <v>26334</v>
      </c>
      <c r="B403" s="22" t="s">
        <v>145</v>
      </c>
      <c r="C403" s="22" t="s">
        <v>70</v>
      </c>
      <c r="D403" s="22" t="s">
        <v>67</v>
      </c>
      <c r="F403" s="96" t="s">
        <v>26335</v>
      </c>
      <c r="G403" s="22" t="s">
        <v>145</v>
      </c>
      <c r="H403" s="22" t="s">
        <v>70</v>
      </c>
      <c r="I403" s="22" t="s">
        <v>67</v>
      </c>
      <c r="K403" s="99" t="s">
        <v>26336</v>
      </c>
      <c r="L403" s="22" t="s">
        <v>145</v>
      </c>
      <c r="M403" s="22" t="s">
        <v>70</v>
      </c>
      <c r="N403" s="22" t="s">
        <v>67</v>
      </c>
      <c r="P403" s="230" t="s">
        <v>26337</v>
      </c>
      <c r="Q403" s="218" t="s">
        <v>145</v>
      </c>
      <c r="R403" s="218" t="s">
        <v>72</v>
      </c>
      <c r="S403" s="218" t="s">
        <v>34004</v>
      </c>
      <c r="U403" s="293" t="s">
        <v>26338</v>
      </c>
      <c r="V403" s="293" t="s">
        <v>145</v>
      </c>
      <c r="W403" s="293" t="s">
        <v>74</v>
      </c>
      <c r="X403" s="293" t="s">
        <v>656</v>
      </c>
      <c r="Z403" s="293" t="s">
        <v>26339</v>
      </c>
      <c r="AA403" s="293" t="s">
        <v>145</v>
      </c>
      <c r="AB403" s="293" t="s">
        <v>74</v>
      </c>
      <c r="AC403" s="293" t="s">
        <v>656</v>
      </c>
      <c r="AE403" s="293" t="s">
        <v>26340</v>
      </c>
      <c r="AF403" s="293" t="s">
        <v>145</v>
      </c>
      <c r="AG403" s="293" t="s">
        <v>74</v>
      </c>
      <c r="AH403" s="293" t="s">
        <v>656</v>
      </c>
      <c r="AJ403" s="293" t="s">
        <v>26341</v>
      </c>
      <c r="AK403" s="293" t="s">
        <v>145</v>
      </c>
      <c r="AL403" s="293" t="s">
        <v>74</v>
      </c>
      <c r="AM403" s="293" t="s">
        <v>656</v>
      </c>
      <c r="AO403" s="22" t="s">
        <v>26342</v>
      </c>
      <c r="AP403" s="22" t="s">
        <v>145</v>
      </c>
      <c r="AQ403" s="22" t="s">
        <v>70</v>
      </c>
      <c r="AR403" s="22" t="s">
        <v>67</v>
      </c>
      <c r="AT403" s="22" t="s">
        <v>26343</v>
      </c>
      <c r="AU403" s="22" t="s">
        <v>145</v>
      </c>
      <c r="AV403" s="22" t="s">
        <v>70</v>
      </c>
      <c r="AW403" s="22" t="s">
        <v>67</v>
      </c>
      <c r="AY403" s="22" t="s">
        <v>26344</v>
      </c>
      <c r="AZ403" s="22" t="s">
        <v>145</v>
      </c>
      <c r="BA403" s="22" t="s">
        <v>70</v>
      </c>
      <c r="BB403" s="22" t="s">
        <v>67</v>
      </c>
      <c r="BD403" s="22" t="s">
        <v>26345</v>
      </c>
      <c r="BE403" s="22" t="s">
        <v>145</v>
      </c>
      <c r="BF403" s="22" t="s">
        <v>70</v>
      </c>
      <c r="BG403" s="22" t="s">
        <v>67</v>
      </c>
      <c r="BI403" s="22" t="s">
        <v>26346</v>
      </c>
      <c r="BJ403" s="22" t="s">
        <v>145</v>
      </c>
      <c r="BK403" s="22" t="s">
        <v>70</v>
      </c>
      <c r="BL403" s="22" t="s">
        <v>67</v>
      </c>
      <c r="BN403" s="22" t="s">
        <v>26347</v>
      </c>
      <c r="BO403" s="22" t="s">
        <v>145</v>
      </c>
      <c r="BP403" s="22" t="s">
        <v>70</v>
      </c>
      <c r="BQ403" s="22" t="s">
        <v>67</v>
      </c>
      <c r="BS403" s="22" t="s">
        <v>26348</v>
      </c>
      <c r="BT403" s="22" t="s">
        <v>145</v>
      </c>
      <c r="BU403" s="22" t="s">
        <v>70</v>
      </c>
      <c r="BV403" s="214" t="s">
        <v>530</v>
      </c>
      <c r="BX403" s="22" t="s">
        <v>26349</v>
      </c>
      <c r="BY403" s="22" t="s">
        <v>145</v>
      </c>
      <c r="BZ403" s="22" t="s">
        <v>70</v>
      </c>
      <c r="CA403" s="214" t="s">
        <v>530</v>
      </c>
      <c r="CC403" s="214" t="s">
        <v>26350</v>
      </c>
      <c r="CD403" s="214" t="s">
        <v>203</v>
      </c>
      <c r="CE403" s="214" t="s">
        <v>70</v>
      </c>
      <c r="CF403" s="214" t="s">
        <v>530</v>
      </c>
      <c r="CH403" s="214" t="s">
        <v>26351</v>
      </c>
      <c r="CI403" s="214" t="s">
        <v>203</v>
      </c>
      <c r="CJ403" s="214" t="s">
        <v>70</v>
      </c>
      <c r="CK403" s="214" t="s">
        <v>530</v>
      </c>
      <c r="CM403" s="214" t="s">
        <v>26352</v>
      </c>
      <c r="CN403" s="214" t="s">
        <v>484</v>
      </c>
      <c r="CO403" s="214" t="s">
        <v>70</v>
      </c>
      <c r="CP403" s="214" t="s">
        <v>530</v>
      </c>
      <c r="CR403" s="214" t="s">
        <v>26353</v>
      </c>
      <c r="CS403" s="214" t="s">
        <v>146</v>
      </c>
      <c r="CT403" s="214" t="s">
        <v>70</v>
      </c>
      <c r="CU403" s="214" t="s">
        <v>530</v>
      </c>
      <c r="CW403" s="214" t="s">
        <v>26354</v>
      </c>
      <c r="CX403" s="214" t="s">
        <v>203</v>
      </c>
      <c r="CY403" s="214" t="s">
        <v>70</v>
      </c>
      <c r="CZ403" s="214" t="s">
        <v>530</v>
      </c>
      <c r="DB403" s="214" t="s">
        <v>26355</v>
      </c>
      <c r="DC403" s="214" t="s">
        <v>52</v>
      </c>
      <c r="DD403" s="214" t="s">
        <v>70</v>
      </c>
      <c r="DE403" s="214" t="s">
        <v>530</v>
      </c>
      <c r="DG403" s="214" t="s">
        <v>26356</v>
      </c>
      <c r="DH403" s="214" t="s">
        <v>956</v>
      </c>
      <c r="DI403" s="214" t="s">
        <v>70</v>
      </c>
      <c r="DJ403" s="214" t="s">
        <v>530</v>
      </c>
      <c r="DL403" s="214" t="s">
        <v>26357</v>
      </c>
      <c r="DM403" s="214" t="s">
        <v>52</v>
      </c>
      <c r="DN403" s="214" t="s">
        <v>70</v>
      </c>
      <c r="DO403" s="214" t="s">
        <v>530</v>
      </c>
      <c r="DQ403" s="214" t="s">
        <v>26358</v>
      </c>
      <c r="DR403" s="214" t="s">
        <v>921</v>
      </c>
      <c r="DS403" s="214" t="s">
        <v>70</v>
      </c>
      <c r="DT403" s="214" t="s">
        <v>530</v>
      </c>
      <c r="DV403" s="214" t="s">
        <v>26359</v>
      </c>
      <c r="DW403" s="214" t="s">
        <v>33910</v>
      </c>
      <c r="DX403" s="214" t="s">
        <v>70</v>
      </c>
      <c r="DY403" s="214" t="s">
        <v>530</v>
      </c>
      <c r="EA403" s="214" t="s">
        <v>26360</v>
      </c>
      <c r="EB403" s="214" t="s">
        <v>146</v>
      </c>
      <c r="EC403" s="214" t="s">
        <v>70</v>
      </c>
      <c r="ED403" s="214" t="s">
        <v>530</v>
      </c>
      <c r="EF403" s="214" t="s">
        <v>26361</v>
      </c>
      <c r="EG403" s="214" t="s">
        <v>85</v>
      </c>
      <c r="EH403" s="214" t="s">
        <v>70</v>
      </c>
      <c r="EI403" s="214" t="s">
        <v>530</v>
      </c>
      <c r="EK403" s="214" t="s">
        <v>26362</v>
      </c>
      <c r="EL403" s="214" t="s">
        <v>34544</v>
      </c>
      <c r="EM403" s="214" t="s">
        <v>70</v>
      </c>
      <c r="EN403" s="214" t="s">
        <v>530</v>
      </c>
      <c r="EP403" s="214" t="s">
        <v>26363</v>
      </c>
      <c r="EQ403" s="214" t="s">
        <v>34558</v>
      </c>
      <c r="ER403" s="214" t="s">
        <v>70</v>
      </c>
      <c r="ES403" s="214" t="s">
        <v>530</v>
      </c>
      <c r="EU403" s="214" t="s">
        <v>26364</v>
      </c>
      <c r="EV403" s="214" t="s">
        <v>34595</v>
      </c>
      <c r="EW403" s="214" t="s">
        <v>70</v>
      </c>
      <c r="EX403" s="214" t="s">
        <v>530</v>
      </c>
      <c r="EZ403" s="214" t="s">
        <v>26365</v>
      </c>
      <c r="FA403" s="214" t="s">
        <v>34556</v>
      </c>
      <c r="FB403" s="214" t="s">
        <v>70</v>
      </c>
      <c r="FC403" s="214" t="s">
        <v>530</v>
      </c>
      <c r="FE403" s="214" t="s">
        <v>26366</v>
      </c>
      <c r="FF403" s="214" t="s">
        <v>491</v>
      </c>
      <c r="FG403" s="214" t="s">
        <v>70</v>
      </c>
      <c r="FH403" s="214" t="s">
        <v>530</v>
      </c>
      <c r="FJ403" s="321" t="s">
        <v>26367</v>
      </c>
      <c r="FK403" s="214" t="s">
        <v>531</v>
      </c>
      <c r="FL403" s="214" t="s">
        <v>70</v>
      </c>
      <c r="FM403" s="214" t="s">
        <v>530</v>
      </c>
      <c r="FO403" s="321" t="s">
        <v>26368</v>
      </c>
      <c r="FP403" s="214" t="s">
        <v>34564</v>
      </c>
      <c r="FQ403" s="214" t="s">
        <v>70</v>
      </c>
      <c r="FR403" s="214" t="s">
        <v>530</v>
      </c>
      <c r="FT403" s="321" t="s">
        <v>26369</v>
      </c>
      <c r="FU403" s="214" t="s">
        <v>34587</v>
      </c>
      <c r="FV403" s="214" t="s">
        <v>70</v>
      </c>
      <c r="FW403" s="214" t="s">
        <v>530</v>
      </c>
      <c r="FY403" s="321" t="s">
        <v>26370</v>
      </c>
      <c r="FZ403" s="214" t="s">
        <v>492</v>
      </c>
      <c r="GA403" s="214" t="s">
        <v>70</v>
      </c>
      <c r="GB403" s="214" t="s">
        <v>530</v>
      </c>
      <c r="GD403" s="321" t="s">
        <v>26371</v>
      </c>
      <c r="GE403" s="214" t="s">
        <v>34550</v>
      </c>
      <c r="GF403" s="214" t="s">
        <v>70</v>
      </c>
      <c r="GG403" s="214" t="s">
        <v>530</v>
      </c>
      <c r="GI403" s="321" t="s">
        <v>26372</v>
      </c>
      <c r="GJ403" s="214" t="s">
        <v>491</v>
      </c>
      <c r="GK403" s="214" t="s">
        <v>70</v>
      </c>
      <c r="GL403" s="214" t="s">
        <v>530</v>
      </c>
      <c r="GN403" s="321" t="s">
        <v>26373</v>
      </c>
      <c r="GO403" s="214" t="s">
        <v>488</v>
      </c>
      <c r="GP403" s="214" t="s">
        <v>70</v>
      </c>
      <c r="GQ403" s="214" t="s">
        <v>530</v>
      </c>
      <c r="GS403" s="321" t="s">
        <v>26374</v>
      </c>
      <c r="GT403" s="214" t="s">
        <v>34555</v>
      </c>
      <c r="GU403" s="214" t="s">
        <v>70</v>
      </c>
      <c r="GV403" s="214" t="s">
        <v>530</v>
      </c>
      <c r="GX403" s="214" t="s">
        <v>26375</v>
      </c>
      <c r="GY403" s="214" t="s">
        <v>163</v>
      </c>
      <c r="GZ403" s="214" t="s">
        <v>70</v>
      </c>
      <c r="HA403" s="214" t="s">
        <v>530</v>
      </c>
      <c r="HC403" s="214" t="s">
        <v>26376</v>
      </c>
      <c r="HD403" s="214" t="s">
        <v>921</v>
      </c>
      <c r="HE403" s="214" t="s">
        <v>70</v>
      </c>
      <c r="HF403" s="214" t="s">
        <v>530</v>
      </c>
      <c r="HH403" s="214" t="s">
        <v>26377</v>
      </c>
      <c r="HI403" s="214" t="s">
        <v>487</v>
      </c>
      <c r="HJ403" s="214" t="s">
        <v>70</v>
      </c>
      <c r="HK403" s="214" t="s">
        <v>530</v>
      </c>
      <c r="HM403" s="214" t="s">
        <v>26378</v>
      </c>
      <c r="HN403" s="214" t="s">
        <v>502</v>
      </c>
      <c r="HO403" s="214" t="s">
        <v>70</v>
      </c>
      <c r="HP403" s="214" t="s">
        <v>530</v>
      </c>
      <c r="HR403" s="22" t="s">
        <v>26379</v>
      </c>
      <c r="HS403" s="22" t="s">
        <v>34405</v>
      </c>
      <c r="HT403" s="22" t="s">
        <v>70</v>
      </c>
      <c r="HU403" s="214" t="s">
        <v>530</v>
      </c>
      <c r="HW403" s="22" t="s">
        <v>26380</v>
      </c>
      <c r="HX403" s="22" t="s">
        <v>203</v>
      </c>
      <c r="HY403" s="22" t="s">
        <v>70</v>
      </c>
      <c r="HZ403" s="214" t="s">
        <v>530</v>
      </c>
      <c r="IB403" s="22" t="s">
        <v>26381</v>
      </c>
      <c r="IC403" s="22" t="s">
        <v>52</v>
      </c>
      <c r="ID403" s="22" t="s">
        <v>70</v>
      </c>
      <c r="IE403" s="214" t="s">
        <v>530</v>
      </c>
      <c r="IG403" s="22" t="s">
        <v>26382</v>
      </c>
      <c r="IH403" s="22" t="s">
        <v>52</v>
      </c>
      <c r="II403" s="22" t="s">
        <v>70</v>
      </c>
      <c r="IJ403" s="214" t="s">
        <v>530</v>
      </c>
      <c r="IL403" s="22" t="s">
        <v>26383</v>
      </c>
      <c r="IM403" s="22" t="s">
        <v>145</v>
      </c>
      <c r="IN403" s="22" t="s">
        <v>70</v>
      </c>
      <c r="IO403" s="214" t="s">
        <v>530</v>
      </c>
      <c r="IQ403" s="236" t="s">
        <v>26384</v>
      </c>
      <c r="IR403" s="236" t="s">
        <v>145</v>
      </c>
      <c r="IS403" s="236" t="s">
        <v>74</v>
      </c>
      <c r="IT403" s="236" t="s">
        <v>841</v>
      </c>
      <c r="IV403" s="236" t="s">
        <v>26385</v>
      </c>
      <c r="IW403" s="236" t="s">
        <v>145</v>
      </c>
      <c r="IX403" s="236" t="s">
        <v>74</v>
      </c>
      <c r="IY403" s="236" t="s">
        <v>841</v>
      </c>
      <c r="JA403" s="236" t="s">
        <v>26386</v>
      </c>
      <c r="JB403" s="236" t="s">
        <v>145</v>
      </c>
      <c r="JC403" s="236" t="s">
        <v>74</v>
      </c>
      <c r="JD403" s="236" t="s">
        <v>841</v>
      </c>
      <c r="JF403" s="236" t="s">
        <v>26387</v>
      </c>
      <c r="JG403" s="236" t="s">
        <v>145</v>
      </c>
      <c r="JH403" s="236" t="s">
        <v>74</v>
      </c>
      <c r="JI403" s="236" t="s">
        <v>841</v>
      </c>
      <c r="JK403" s="236" t="s">
        <v>26388</v>
      </c>
      <c r="JL403" s="236" t="s">
        <v>145</v>
      </c>
      <c r="JM403" s="236" t="s">
        <v>74</v>
      </c>
      <c r="JN403" s="236" t="s">
        <v>841</v>
      </c>
      <c r="JP403" s="236" t="s">
        <v>26389</v>
      </c>
      <c r="JQ403" s="236" t="s">
        <v>145</v>
      </c>
      <c r="JR403" s="236" t="s">
        <v>74</v>
      </c>
      <c r="JS403" s="236" t="s">
        <v>841</v>
      </c>
      <c r="JU403" s="294" t="s">
        <v>26390</v>
      </c>
      <c r="JV403" s="294" t="s">
        <v>52</v>
      </c>
      <c r="JW403" s="263" t="s">
        <v>70</v>
      </c>
      <c r="JX403" s="294" t="s">
        <v>1083</v>
      </c>
      <c r="JZ403" s="263" t="s">
        <v>26391</v>
      </c>
      <c r="KA403" s="263" t="s">
        <v>145</v>
      </c>
      <c r="KB403" s="263" t="s">
        <v>70</v>
      </c>
      <c r="KC403" s="263" t="s">
        <v>1083</v>
      </c>
      <c r="KE403" s="263" t="s">
        <v>26392</v>
      </c>
      <c r="KF403" s="263" t="s">
        <v>52</v>
      </c>
      <c r="KG403" s="263" t="s">
        <v>70</v>
      </c>
      <c r="KH403" s="263" t="s">
        <v>1083</v>
      </c>
      <c r="KJ403" s="263" t="s">
        <v>26393</v>
      </c>
      <c r="KK403" s="263" t="s">
        <v>52</v>
      </c>
      <c r="KL403" s="263" t="s">
        <v>74</v>
      </c>
      <c r="KM403" s="263" t="s">
        <v>34074</v>
      </c>
      <c r="KO403" s="214" t="s">
        <v>26394</v>
      </c>
      <c r="KP403" s="214" t="s">
        <v>145</v>
      </c>
      <c r="KQ403" s="214" t="s">
        <v>70</v>
      </c>
      <c r="KR403" s="214" t="s">
        <v>67</v>
      </c>
      <c r="KT403" s="22" t="s">
        <v>26395</v>
      </c>
      <c r="KU403" s="22" t="s">
        <v>145</v>
      </c>
      <c r="KV403" s="22" t="s">
        <v>70</v>
      </c>
      <c r="KW403" s="22" t="s">
        <v>67</v>
      </c>
      <c r="KY403" s="214" t="s">
        <v>26396</v>
      </c>
      <c r="KZ403" s="214" t="s">
        <v>52</v>
      </c>
      <c r="LA403" s="214" t="s">
        <v>74</v>
      </c>
      <c r="LB403" s="214" t="s">
        <v>67</v>
      </c>
      <c r="LD403" s="22" t="s">
        <v>26397</v>
      </c>
      <c r="LE403" s="22" t="s">
        <v>145</v>
      </c>
      <c r="LF403" s="22" t="s">
        <v>70</v>
      </c>
      <c r="LG403" s="22" t="s">
        <v>67</v>
      </c>
    </row>
    <row r="404" spans="1:319">
      <c r="A404" s="22" t="s">
        <v>26398</v>
      </c>
      <c r="B404" s="22" t="s">
        <v>145</v>
      </c>
      <c r="C404" s="22" t="s">
        <v>70</v>
      </c>
      <c r="D404" s="22" t="s">
        <v>67</v>
      </c>
      <c r="F404" s="96" t="s">
        <v>26399</v>
      </c>
      <c r="G404" s="22" t="s">
        <v>145</v>
      </c>
      <c r="H404" s="22" t="s">
        <v>70</v>
      </c>
      <c r="I404" s="22" t="s">
        <v>67</v>
      </c>
      <c r="K404" s="99" t="s">
        <v>26400</v>
      </c>
      <c r="L404" s="22" t="s">
        <v>145</v>
      </c>
      <c r="M404" s="22" t="s">
        <v>70</v>
      </c>
      <c r="N404" s="22" t="s">
        <v>67</v>
      </c>
      <c r="P404" s="230" t="s">
        <v>26401</v>
      </c>
      <c r="Q404" s="218" t="s">
        <v>145</v>
      </c>
      <c r="R404" s="218" t="s">
        <v>72</v>
      </c>
      <c r="S404" s="218" t="s">
        <v>34005</v>
      </c>
      <c r="U404" s="293" t="s">
        <v>26402</v>
      </c>
      <c r="V404" s="293" t="s">
        <v>145</v>
      </c>
      <c r="W404" s="293" t="s">
        <v>74</v>
      </c>
      <c r="X404" s="293" t="s">
        <v>656</v>
      </c>
      <c r="Z404" s="293" t="s">
        <v>26403</v>
      </c>
      <c r="AA404" s="293" t="s">
        <v>145</v>
      </c>
      <c r="AB404" s="293" t="s">
        <v>74</v>
      </c>
      <c r="AC404" s="293" t="s">
        <v>656</v>
      </c>
      <c r="AE404" s="293" t="s">
        <v>26404</v>
      </c>
      <c r="AF404" s="293" t="s">
        <v>145</v>
      </c>
      <c r="AG404" s="293" t="s">
        <v>74</v>
      </c>
      <c r="AH404" s="293" t="s">
        <v>656</v>
      </c>
      <c r="AJ404" s="293" t="s">
        <v>26405</v>
      </c>
      <c r="AK404" s="293" t="s">
        <v>145</v>
      </c>
      <c r="AL404" s="293" t="s">
        <v>74</v>
      </c>
      <c r="AM404" s="293" t="s">
        <v>656</v>
      </c>
      <c r="AO404" s="22" t="s">
        <v>26406</v>
      </c>
      <c r="AP404" s="22" t="s">
        <v>145</v>
      </c>
      <c r="AQ404" s="22" t="s">
        <v>70</v>
      </c>
      <c r="AR404" s="22" t="s">
        <v>67</v>
      </c>
      <c r="AT404" s="22" t="s">
        <v>26407</v>
      </c>
      <c r="AU404" s="22" t="s">
        <v>145</v>
      </c>
      <c r="AV404" s="22" t="s">
        <v>70</v>
      </c>
      <c r="AW404" s="22" t="s">
        <v>67</v>
      </c>
      <c r="AY404" s="22" t="s">
        <v>26408</v>
      </c>
      <c r="AZ404" s="22" t="s">
        <v>145</v>
      </c>
      <c r="BA404" s="22" t="s">
        <v>70</v>
      </c>
      <c r="BB404" s="22" t="s">
        <v>67</v>
      </c>
      <c r="BD404" s="22" t="s">
        <v>26409</v>
      </c>
      <c r="BE404" s="22" t="s">
        <v>145</v>
      </c>
      <c r="BF404" s="22" t="s">
        <v>70</v>
      </c>
      <c r="BG404" s="22" t="s">
        <v>67</v>
      </c>
      <c r="BI404" s="22" t="s">
        <v>26410</v>
      </c>
      <c r="BJ404" s="22" t="s">
        <v>145</v>
      </c>
      <c r="BK404" s="22" t="s">
        <v>70</v>
      </c>
      <c r="BL404" s="22" t="s">
        <v>67</v>
      </c>
      <c r="BN404" s="22" t="s">
        <v>26411</v>
      </c>
      <c r="BO404" s="22" t="s">
        <v>145</v>
      </c>
      <c r="BP404" s="22" t="s">
        <v>70</v>
      </c>
      <c r="BQ404" s="22" t="s">
        <v>67</v>
      </c>
      <c r="BS404" s="22" t="s">
        <v>26412</v>
      </c>
      <c r="BT404" s="22" t="s">
        <v>145</v>
      </c>
      <c r="BU404" s="22" t="s">
        <v>70</v>
      </c>
      <c r="BV404" s="214" t="s">
        <v>530</v>
      </c>
      <c r="BX404" s="22" t="s">
        <v>26413</v>
      </c>
      <c r="BY404" s="22" t="s">
        <v>145</v>
      </c>
      <c r="BZ404" s="22" t="s">
        <v>70</v>
      </c>
      <c r="CA404" s="214" t="s">
        <v>530</v>
      </c>
      <c r="CC404" s="214" t="s">
        <v>26414</v>
      </c>
      <c r="CD404" s="214" t="s">
        <v>85</v>
      </c>
      <c r="CE404" s="214" t="s">
        <v>70</v>
      </c>
      <c r="CF404" s="214" t="s">
        <v>530</v>
      </c>
      <c r="CH404" s="214" t="s">
        <v>26415</v>
      </c>
      <c r="CI404" s="214" t="s">
        <v>52</v>
      </c>
      <c r="CJ404" s="214" t="s">
        <v>70</v>
      </c>
      <c r="CK404" s="214" t="s">
        <v>530</v>
      </c>
      <c r="CM404" s="214" t="s">
        <v>26416</v>
      </c>
      <c r="CN404" s="214" t="s">
        <v>485</v>
      </c>
      <c r="CO404" s="214" t="s">
        <v>70</v>
      </c>
      <c r="CP404" s="214" t="s">
        <v>530</v>
      </c>
      <c r="CR404" s="214" t="s">
        <v>26417</v>
      </c>
      <c r="CS404" s="214" t="s">
        <v>85</v>
      </c>
      <c r="CT404" s="214" t="s">
        <v>70</v>
      </c>
      <c r="CU404" s="214" t="s">
        <v>530</v>
      </c>
      <c r="CW404" s="214" t="s">
        <v>26418</v>
      </c>
      <c r="CX404" s="214" t="s">
        <v>34601</v>
      </c>
      <c r="CY404" s="214" t="s">
        <v>70</v>
      </c>
      <c r="CZ404" s="214" t="s">
        <v>530</v>
      </c>
      <c r="DB404" s="214" t="s">
        <v>26419</v>
      </c>
      <c r="DC404" s="214" t="s">
        <v>52</v>
      </c>
      <c r="DD404" s="214" t="s">
        <v>70</v>
      </c>
      <c r="DE404" s="214" t="s">
        <v>530</v>
      </c>
      <c r="DG404" s="214" t="s">
        <v>26420</v>
      </c>
      <c r="DH404" s="214" t="s">
        <v>149</v>
      </c>
      <c r="DI404" s="214" t="s">
        <v>70</v>
      </c>
      <c r="DJ404" s="214" t="s">
        <v>530</v>
      </c>
      <c r="DL404" s="214" t="s">
        <v>26421</v>
      </c>
      <c r="DM404" s="214" t="s">
        <v>52</v>
      </c>
      <c r="DN404" s="214" t="s">
        <v>70</v>
      </c>
      <c r="DO404" s="214" t="s">
        <v>530</v>
      </c>
      <c r="DQ404" s="214" t="s">
        <v>26422</v>
      </c>
      <c r="DR404" s="214" t="s">
        <v>52</v>
      </c>
      <c r="DS404" s="214" t="s">
        <v>70</v>
      </c>
      <c r="DT404" s="214" t="s">
        <v>530</v>
      </c>
      <c r="DV404" s="214" t="s">
        <v>26423</v>
      </c>
      <c r="DW404" s="214" t="s">
        <v>495</v>
      </c>
      <c r="DX404" s="214" t="s">
        <v>70</v>
      </c>
      <c r="DY404" s="214" t="s">
        <v>530</v>
      </c>
      <c r="EA404" s="214" t="s">
        <v>26424</v>
      </c>
      <c r="EB404" s="214" t="s">
        <v>34599</v>
      </c>
      <c r="EC404" s="214" t="s">
        <v>70</v>
      </c>
      <c r="ED404" s="214" t="s">
        <v>530</v>
      </c>
      <c r="EF404" s="214" t="s">
        <v>26425</v>
      </c>
      <c r="EG404" s="214" t="s">
        <v>52</v>
      </c>
      <c r="EH404" s="214" t="s">
        <v>70</v>
      </c>
      <c r="EI404" s="214" t="s">
        <v>530</v>
      </c>
      <c r="EK404" s="214" t="s">
        <v>26426</v>
      </c>
      <c r="EL404" s="214" t="s">
        <v>52</v>
      </c>
      <c r="EM404" s="214" t="s">
        <v>70</v>
      </c>
      <c r="EN404" s="214" t="s">
        <v>530</v>
      </c>
      <c r="EP404" s="214" t="s">
        <v>26427</v>
      </c>
      <c r="EQ404" s="214" t="s">
        <v>163</v>
      </c>
      <c r="ER404" s="214" t="s">
        <v>70</v>
      </c>
      <c r="ES404" s="214" t="s">
        <v>530</v>
      </c>
      <c r="EU404" s="214" t="s">
        <v>26428</v>
      </c>
      <c r="EV404" s="214" t="s">
        <v>34563</v>
      </c>
      <c r="EW404" s="214" t="s">
        <v>70</v>
      </c>
      <c r="EX404" s="214" t="s">
        <v>530</v>
      </c>
      <c r="EZ404" s="214" t="s">
        <v>26429</v>
      </c>
      <c r="FA404" s="214" t="s">
        <v>52</v>
      </c>
      <c r="FB404" s="214" t="s">
        <v>70</v>
      </c>
      <c r="FC404" s="214" t="s">
        <v>530</v>
      </c>
      <c r="FE404" s="214" t="s">
        <v>26430</v>
      </c>
      <c r="FF404" s="214" t="s">
        <v>149</v>
      </c>
      <c r="FG404" s="214" t="s">
        <v>70</v>
      </c>
      <c r="FH404" s="214" t="s">
        <v>530</v>
      </c>
      <c r="FJ404" s="321" t="s">
        <v>26431</v>
      </c>
      <c r="FK404" s="214" t="s">
        <v>88</v>
      </c>
      <c r="FL404" s="214" t="s">
        <v>70</v>
      </c>
      <c r="FM404" s="214" t="s">
        <v>530</v>
      </c>
      <c r="FO404" s="321" t="s">
        <v>26432</v>
      </c>
      <c r="FP404" s="214" t="s">
        <v>52</v>
      </c>
      <c r="FQ404" s="214" t="s">
        <v>70</v>
      </c>
      <c r="FR404" s="214" t="s">
        <v>530</v>
      </c>
      <c r="FT404" s="321" t="s">
        <v>26433</v>
      </c>
      <c r="FU404" s="214" t="s">
        <v>88</v>
      </c>
      <c r="FV404" s="214" t="s">
        <v>70</v>
      </c>
      <c r="FW404" s="214" t="s">
        <v>530</v>
      </c>
      <c r="FY404" s="321" t="s">
        <v>26434</v>
      </c>
      <c r="FZ404" s="214" t="s">
        <v>146</v>
      </c>
      <c r="GA404" s="214" t="s">
        <v>70</v>
      </c>
      <c r="GB404" s="214" t="s">
        <v>530</v>
      </c>
      <c r="GD404" s="321" t="s">
        <v>26435</v>
      </c>
      <c r="GE404" s="214" t="s">
        <v>145</v>
      </c>
      <c r="GF404" s="214" t="s">
        <v>70</v>
      </c>
      <c r="GG404" s="214" t="s">
        <v>530</v>
      </c>
      <c r="GI404" s="321" t="s">
        <v>26436</v>
      </c>
      <c r="GJ404" s="214" t="s">
        <v>34556</v>
      </c>
      <c r="GK404" s="214" t="s">
        <v>70</v>
      </c>
      <c r="GL404" s="214" t="s">
        <v>530</v>
      </c>
      <c r="GN404" s="321" t="s">
        <v>26437</v>
      </c>
      <c r="GO404" s="214" t="s">
        <v>92</v>
      </c>
      <c r="GP404" s="214" t="s">
        <v>70</v>
      </c>
      <c r="GQ404" s="214" t="s">
        <v>530</v>
      </c>
      <c r="GS404" s="321" t="s">
        <v>26438</v>
      </c>
      <c r="GT404" s="214" t="s">
        <v>34570</v>
      </c>
      <c r="GU404" s="214" t="s">
        <v>70</v>
      </c>
      <c r="GV404" s="214" t="s">
        <v>530</v>
      </c>
      <c r="GX404" s="214" t="s">
        <v>26439</v>
      </c>
      <c r="GY404" s="214" t="s">
        <v>529</v>
      </c>
      <c r="GZ404" s="214" t="s">
        <v>70</v>
      </c>
      <c r="HA404" s="214" t="s">
        <v>530</v>
      </c>
      <c r="HC404" s="214" t="s">
        <v>26440</v>
      </c>
      <c r="HD404" s="214" t="s">
        <v>34545</v>
      </c>
      <c r="HE404" s="214" t="s">
        <v>70</v>
      </c>
      <c r="HF404" s="214" t="s">
        <v>530</v>
      </c>
      <c r="HH404" s="214" t="s">
        <v>26441</v>
      </c>
      <c r="HI404" s="214" t="s">
        <v>52</v>
      </c>
      <c r="HJ404" s="214" t="s">
        <v>70</v>
      </c>
      <c r="HK404" s="214" t="s">
        <v>530</v>
      </c>
      <c r="HM404" s="214" t="s">
        <v>26442</v>
      </c>
      <c r="HN404" s="214" t="s">
        <v>148</v>
      </c>
      <c r="HO404" s="214" t="s">
        <v>70</v>
      </c>
      <c r="HP404" s="214" t="s">
        <v>530</v>
      </c>
      <c r="HR404" s="22" t="s">
        <v>26443</v>
      </c>
      <c r="HS404" s="22" t="s">
        <v>90</v>
      </c>
      <c r="HT404" s="22" t="s">
        <v>70</v>
      </c>
      <c r="HU404" s="214" t="s">
        <v>530</v>
      </c>
      <c r="HW404" s="22" t="s">
        <v>26444</v>
      </c>
      <c r="HX404" s="22" t="s">
        <v>34657</v>
      </c>
      <c r="HY404" s="22" t="s">
        <v>70</v>
      </c>
      <c r="HZ404" s="214" t="s">
        <v>530</v>
      </c>
      <c r="IB404" s="22" t="s">
        <v>26445</v>
      </c>
      <c r="IC404" s="22" t="s">
        <v>52</v>
      </c>
      <c r="ID404" s="22" t="s">
        <v>70</v>
      </c>
      <c r="IE404" s="214" t="s">
        <v>530</v>
      </c>
      <c r="IG404" s="22" t="s">
        <v>26446</v>
      </c>
      <c r="IH404" s="22" t="s">
        <v>52</v>
      </c>
      <c r="II404" s="22" t="s">
        <v>70</v>
      </c>
      <c r="IJ404" s="214" t="s">
        <v>530</v>
      </c>
      <c r="IL404" s="22" t="s">
        <v>26447</v>
      </c>
      <c r="IM404" s="22" t="s">
        <v>145</v>
      </c>
      <c r="IN404" s="22" t="s">
        <v>70</v>
      </c>
      <c r="IO404" s="214" t="s">
        <v>530</v>
      </c>
      <c r="IQ404" s="236" t="s">
        <v>26448</v>
      </c>
      <c r="IR404" s="236" t="s">
        <v>145</v>
      </c>
      <c r="IS404" s="236" t="s">
        <v>74</v>
      </c>
      <c r="IT404" s="236" t="s">
        <v>841</v>
      </c>
      <c r="IV404" s="236" t="s">
        <v>26449</v>
      </c>
      <c r="IW404" s="236" t="s">
        <v>145</v>
      </c>
      <c r="IX404" s="236" t="s">
        <v>74</v>
      </c>
      <c r="IY404" s="236" t="s">
        <v>841</v>
      </c>
      <c r="JA404" s="236" t="s">
        <v>26450</v>
      </c>
      <c r="JB404" s="236" t="s">
        <v>145</v>
      </c>
      <c r="JC404" s="236" t="s">
        <v>74</v>
      </c>
      <c r="JD404" s="236" t="s">
        <v>841</v>
      </c>
      <c r="JF404" s="236" t="s">
        <v>26451</v>
      </c>
      <c r="JG404" s="236" t="s">
        <v>145</v>
      </c>
      <c r="JH404" s="236" t="s">
        <v>74</v>
      </c>
      <c r="JI404" s="236" t="s">
        <v>841</v>
      </c>
      <c r="JK404" s="236" t="s">
        <v>26452</v>
      </c>
      <c r="JL404" s="236" t="s">
        <v>145</v>
      </c>
      <c r="JM404" s="236" t="s">
        <v>74</v>
      </c>
      <c r="JN404" s="236" t="s">
        <v>841</v>
      </c>
      <c r="JP404" s="236" t="s">
        <v>26453</v>
      </c>
      <c r="JQ404" s="236" t="s">
        <v>145</v>
      </c>
      <c r="JR404" s="236" t="s">
        <v>74</v>
      </c>
      <c r="JS404" s="236" t="s">
        <v>841</v>
      </c>
      <c r="JU404" s="294" t="s">
        <v>26454</v>
      </c>
      <c r="JV404" s="294" t="s">
        <v>52</v>
      </c>
      <c r="JW404" s="263" t="s">
        <v>70</v>
      </c>
      <c r="JX404" s="294" t="s">
        <v>1083</v>
      </c>
      <c r="JZ404" s="263" t="s">
        <v>26455</v>
      </c>
      <c r="KA404" s="263" t="s">
        <v>145</v>
      </c>
      <c r="KB404" s="263" t="s">
        <v>70</v>
      </c>
      <c r="KC404" s="263" t="s">
        <v>1083</v>
      </c>
      <c r="KE404" s="263" t="s">
        <v>26456</v>
      </c>
      <c r="KF404" s="263" t="s">
        <v>52</v>
      </c>
      <c r="KG404" s="263" t="s">
        <v>70</v>
      </c>
      <c r="KH404" s="263" t="s">
        <v>1083</v>
      </c>
      <c r="KJ404" s="263" t="s">
        <v>26457</v>
      </c>
      <c r="KK404" s="263" t="s">
        <v>52</v>
      </c>
      <c r="KL404" s="263" t="s">
        <v>74</v>
      </c>
      <c r="KM404" s="263" t="s">
        <v>34074</v>
      </c>
      <c r="KO404" s="214" t="s">
        <v>26458</v>
      </c>
      <c r="KP404" s="214" t="s">
        <v>145</v>
      </c>
      <c r="KQ404" s="214" t="s">
        <v>70</v>
      </c>
      <c r="KR404" s="214" t="s">
        <v>67</v>
      </c>
      <c r="KT404" s="22" t="s">
        <v>26459</v>
      </c>
      <c r="KU404" s="22" t="s">
        <v>145</v>
      </c>
      <c r="KV404" s="22" t="s">
        <v>70</v>
      </c>
      <c r="KW404" s="22" t="s">
        <v>67</v>
      </c>
      <c r="KY404" s="214" t="s">
        <v>26460</v>
      </c>
      <c r="KZ404" s="214" t="s">
        <v>52</v>
      </c>
      <c r="LA404" s="214" t="s">
        <v>74</v>
      </c>
      <c r="LB404" s="214" t="s">
        <v>67</v>
      </c>
      <c r="LD404" s="22" t="s">
        <v>26461</v>
      </c>
      <c r="LE404" s="22" t="s">
        <v>145</v>
      </c>
      <c r="LF404" s="22" t="s">
        <v>70</v>
      </c>
      <c r="LG404" s="22" t="s">
        <v>67</v>
      </c>
    </row>
    <row r="405" spans="1:319">
      <c r="A405" s="22" t="s">
        <v>26462</v>
      </c>
      <c r="B405" s="22" t="s">
        <v>145</v>
      </c>
      <c r="C405" s="22" t="s">
        <v>70</v>
      </c>
      <c r="D405" s="22" t="s">
        <v>67</v>
      </c>
      <c r="F405" s="96" t="s">
        <v>26463</v>
      </c>
      <c r="G405" s="22" t="s">
        <v>145</v>
      </c>
      <c r="H405" s="22" t="s">
        <v>70</v>
      </c>
      <c r="I405" s="22" t="s">
        <v>67</v>
      </c>
      <c r="K405" s="99" t="s">
        <v>26464</v>
      </c>
      <c r="L405" s="22" t="s">
        <v>145</v>
      </c>
      <c r="M405" s="22" t="s">
        <v>70</v>
      </c>
      <c r="N405" s="22" t="s">
        <v>67</v>
      </c>
      <c r="P405" s="230" t="s">
        <v>26465</v>
      </c>
      <c r="Q405" s="218" t="s">
        <v>145</v>
      </c>
      <c r="R405" s="218" t="s">
        <v>72</v>
      </c>
      <c r="S405" s="218" t="s">
        <v>34006</v>
      </c>
      <c r="U405" s="293" t="s">
        <v>26466</v>
      </c>
      <c r="V405" s="293" t="s">
        <v>145</v>
      </c>
      <c r="W405" s="293" t="s">
        <v>74</v>
      </c>
      <c r="X405" s="293" t="s">
        <v>656</v>
      </c>
      <c r="Z405" s="293" t="s">
        <v>26467</v>
      </c>
      <c r="AA405" s="293" t="s">
        <v>145</v>
      </c>
      <c r="AB405" s="293" t="s">
        <v>74</v>
      </c>
      <c r="AC405" s="293" t="s">
        <v>656</v>
      </c>
      <c r="AE405" s="293" t="s">
        <v>26468</v>
      </c>
      <c r="AF405" s="293" t="s">
        <v>145</v>
      </c>
      <c r="AG405" s="293" t="s">
        <v>74</v>
      </c>
      <c r="AH405" s="293" t="s">
        <v>656</v>
      </c>
      <c r="AJ405" s="293" t="s">
        <v>26469</v>
      </c>
      <c r="AK405" s="293" t="s">
        <v>145</v>
      </c>
      <c r="AL405" s="293" t="s">
        <v>74</v>
      </c>
      <c r="AM405" s="293" t="s">
        <v>656</v>
      </c>
      <c r="AO405" s="22" t="s">
        <v>26470</v>
      </c>
      <c r="AP405" s="22" t="s">
        <v>145</v>
      </c>
      <c r="AQ405" s="22" t="s">
        <v>70</v>
      </c>
      <c r="AR405" s="22" t="s">
        <v>67</v>
      </c>
      <c r="AT405" s="22" t="s">
        <v>26471</v>
      </c>
      <c r="AU405" s="22" t="s">
        <v>145</v>
      </c>
      <c r="AV405" s="22" t="s">
        <v>70</v>
      </c>
      <c r="AW405" s="22" t="s">
        <v>67</v>
      </c>
      <c r="AY405" s="22" t="s">
        <v>26472</v>
      </c>
      <c r="AZ405" s="22" t="s">
        <v>145</v>
      </c>
      <c r="BA405" s="22" t="s">
        <v>70</v>
      </c>
      <c r="BB405" s="22" t="s">
        <v>67</v>
      </c>
      <c r="BD405" s="22" t="s">
        <v>26473</v>
      </c>
      <c r="BE405" s="22" t="s">
        <v>145</v>
      </c>
      <c r="BF405" s="22" t="s">
        <v>70</v>
      </c>
      <c r="BG405" s="22" t="s">
        <v>67</v>
      </c>
      <c r="BI405" s="22" t="s">
        <v>26474</v>
      </c>
      <c r="BJ405" s="22" t="s">
        <v>145</v>
      </c>
      <c r="BK405" s="22" t="s">
        <v>70</v>
      </c>
      <c r="BL405" s="22" t="s">
        <v>67</v>
      </c>
      <c r="BN405" s="22" t="s">
        <v>26475</v>
      </c>
      <c r="BO405" s="22" t="s">
        <v>145</v>
      </c>
      <c r="BP405" s="22" t="s">
        <v>70</v>
      </c>
      <c r="BQ405" s="22" t="s">
        <v>67</v>
      </c>
      <c r="BS405" s="22" t="s">
        <v>26476</v>
      </c>
      <c r="BT405" s="22" t="s">
        <v>145</v>
      </c>
      <c r="BU405" s="22" t="s">
        <v>70</v>
      </c>
      <c r="BV405" s="214" t="s">
        <v>530</v>
      </c>
      <c r="BX405" s="22" t="s">
        <v>26477</v>
      </c>
      <c r="BY405" s="22" t="s">
        <v>145</v>
      </c>
      <c r="BZ405" s="22" t="s">
        <v>70</v>
      </c>
      <c r="CA405" s="214" t="s">
        <v>530</v>
      </c>
      <c r="CC405" s="214" t="s">
        <v>26478</v>
      </c>
      <c r="CD405" s="214" t="s">
        <v>34552</v>
      </c>
      <c r="CE405" s="214" t="s">
        <v>70</v>
      </c>
      <c r="CF405" s="214" t="s">
        <v>530</v>
      </c>
      <c r="CH405" s="214" t="s">
        <v>26479</v>
      </c>
      <c r="CI405" s="214" t="s">
        <v>52</v>
      </c>
      <c r="CJ405" s="214" t="s">
        <v>70</v>
      </c>
      <c r="CK405" s="214" t="s">
        <v>530</v>
      </c>
      <c r="CM405" s="214" t="s">
        <v>26480</v>
      </c>
      <c r="CN405" s="214" t="s">
        <v>146</v>
      </c>
      <c r="CO405" s="214" t="s">
        <v>70</v>
      </c>
      <c r="CP405" s="214" t="s">
        <v>530</v>
      </c>
      <c r="CR405" s="214" t="s">
        <v>26481</v>
      </c>
      <c r="CS405" s="214" t="s">
        <v>34618</v>
      </c>
      <c r="CT405" s="214" t="s">
        <v>70</v>
      </c>
      <c r="CU405" s="214" t="s">
        <v>530</v>
      </c>
      <c r="CW405" s="214" t="s">
        <v>26482</v>
      </c>
      <c r="CX405" s="214" t="s">
        <v>34590</v>
      </c>
      <c r="CY405" s="214" t="s">
        <v>70</v>
      </c>
      <c r="CZ405" s="214" t="s">
        <v>530</v>
      </c>
      <c r="DB405" s="214" t="s">
        <v>26483</v>
      </c>
      <c r="DC405" s="214" t="s">
        <v>203</v>
      </c>
      <c r="DD405" s="214" t="s">
        <v>70</v>
      </c>
      <c r="DE405" s="214" t="s">
        <v>530</v>
      </c>
      <c r="DG405" s="214" t="s">
        <v>26484</v>
      </c>
      <c r="DH405" s="214" t="s">
        <v>34570</v>
      </c>
      <c r="DI405" s="214" t="s">
        <v>70</v>
      </c>
      <c r="DJ405" s="214" t="s">
        <v>530</v>
      </c>
      <c r="DL405" s="214" t="s">
        <v>26485</v>
      </c>
      <c r="DM405" s="214" t="s">
        <v>52</v>
      </c>
      <c r="DN405" s="214" t="s">
        <v>70</v>
      </c>
      <c r="DO405" s="214" t="s">
        <v>530</v>
      </c>
      <c r="DQ405" s="214" t="s">
        <v>26486</v>
      </c>
      <c r="DR405" s="214" t="s">
        <v>34544</v>
      </c>
      <c r="DS405" s="214" t="s">
        <v>70</v>
      </c>
      <c r="DT405" s="214" t="s">
        <v>530</v>
      </c>
      <c r="DV405" s="214" t="s">
        <v>26487</v>
      </c>
      <c r="DW405" s="214" t="s">
        <v>488</v>
      </c>
      <c r="DX405" s="214" t="s">
        <v>70</v>
      </c>
      <c r="DY405" s="214" t="s">
        <v>530</v>
      </c>
      <c r="EA405" s="214" t="s">
        <v>26488</v>
      </c>
      <c r="EB405" s="214" t="s">
        <v>486</v>
      </c>
      <c r="EC405" s="214" t="s">
        <v>70</v>
      </c>
      <c r="ED405" s="214" t="s">
        <v>530</v>
      </c>
      <c r="EF405" s="214" t="s">
        <v>26489</v>
      </c>
      <c r="EG405" s="214" t="s">
        <v>493</v>
      </c>
      <c r="EH405" s="214" t="s">
        <v>70</v>
      </c>
      <c r="EI405" s="214" t="s">
        <v>530</v>
      </c>
      <c r="EK405" s="214" t="s">
        <v>26490</v>
      </c>
      <c r="EL405" s="214" t="s">
        <v>203</v>
      </c>
      <c r="EM405" s="214" t="s">
        <v>70</v>
      </c>
      <c r="EN405" s="214" t="s">
        <v>530</v>
      </c>
      <c r="EP405" s="214" t="s">
        <v>26491</v>
      </c>
      <c r="EQ405" s="214" t="s">
        <v>34540</v>
      </c>
      <c r="ER405" s="214" t="s">
        <v>70</v>
      </c>
      <c r="ES405" s="214" t="s">
        <v>530</v>
      </c>
      <c r="EU405" s="214" t="s">
        <v>26492</v>
      </c>
      <c r="EV405" s="214" t="s">
        <v>798</v>
      </c>
      <c r="EW405" s="214" t="s">
        <v>70</v>
      </c>
      <c r="EX405" s="214" t="s">
        <v>530</v>
      </c>
      <c r="EZ405" s="214" t="s">
        <v>26493</v>
      </c>
      <c r="FA405" s="214" t="s">
        <v>92</v>
      </c>
      <c r="FB405" s="214" t="s">
        <v>70</v>
      </c>
      <c r="FC405" s="214" t="s">
        <v>530</v>
      </c>
      <c r="FE405" s="214" t="s">
        <v>26494</v>
      </c>
      <c r="FF405" s="214" t="s">
        <v>484</v>
      </c>
      <c r="FG405" s="214" t="s">
        <v>70</v>
      </c>
      <c r="FH405" s="214" t="s">
        <v>530</v>
      </c>
      <c r="FJ405" s="321" t="s">
        <v>26495</v>
      </c>
      <c r="FK405" s="214" t="s">
        <v>599</v>
      </c>
      <c r="FL405" s="214" t="s">
        <v>70</v>
      </c>
      <c r="FM405" s="214" t="s">
        <v>530</v>
      </c>
      <c r="FO405" s="321" t="s">
        <v>26496</v>
      </c>
      <c r="FP405" s="214" t="s">
        <v>203</v>
      </c>
      <c r="FQ405" s="214" t="s">
        <v>70</v>
      </c>
      <c r="FR405" s="214" t="s">
        <v>530</v>
      </c>
      <c r="FT405" s="321" t="s">
        <v>26497</v>
      </c>
      <c r="FU405" s="214" t="s">
        <v>34558</v>
      </c>
      <c r="FV405" s="214" t="s">
        <v>70</v>
      </c>
      <c r="FW405" s="214" t="s">
        <v>530</v>
      </c>
      <c r="FY405" s="321" t="s">
        <v>26498</v>
      </c>
      <c r="FZ405" s="214" t="s">
        <v>93</v>
      </c>
      <c r="GA405" s="214" t="s">
        <v>70</v>
      </c>
      <c r="GB405" s="214" t="s">
        <v>530</v>
      </c>
      <c r="GD405" s="321" t="s">
        <v>26499</v>
      </c>
      <c r="GE405" s="214" t="s">
        <v>34541</v>
      </c>
      <c r="GF405" s="214" t="s">
        <v>70</v>
      </c>
      <c r="GG405" s="214" t="s">
        <v>530</v>
      </c>
      <c r="GI405" s="321" t="s">
        <v>26500</v>
      </c>
      <c r="GJ405" s="214" t="s">
        <v>34541</v>
      </c>
      <c r="GK405" s="214" t="s">
        <v>70</v>
      </c>
      <c r="GL405" s="214" t="s">
        <v>530</v>
      </c>
      <c r="GN405" s="321" t="s">
        <v>26501</v>
      </c>
      <c r="GO405" s="214" t="s">
        <v>496</v>
      </c>
      <c r="GP405" s="214" t="s">
        <v>70</v>
      </c>
      <c r="GQ405" s="214" t="s">
        <v>530</v>
      </c>
      <c r="GS405" s="321" t="s">
        <v>26502</v>
      </c>
      <c r="GT405" s="214" t="s">
        <v>34548</v>
      </c>
      <c r="GU405" s="214" t="s">
        <v>70</v>
      </c>
      <c r="GV405" s="214" t="s">
        <v>530</v>
      </c>
      <c r="GX405" s="214" t="s">
        <v>26503</v>
      </c>
      <c r="GY405" s="214" t="s">
        <v>286</v>
      </c>
      <c r="GZ405" s="214" t="s">
        <v>70</v>
      </c>
      <c r="HA405" s="214" t="s">
        <v>530</v>
      </c>
      <c r="HC405" s="214" t="s">
        <v>26504</v>
      </c>
      <c r="HD405" s="214" t="s">
        <v>34551</v>
      </c>
      <c r="HE405" s="214" t="s">
        <v>70</v>
      </c>
      <c r="HF405" s="214" t="s">
        <v>530</v>
      </c>
      <c r="HH405" s="214" t="s">
        <v>26505</v>
      </c>
      <c r="HI405" s="214" t="s">
        <v>52</v>
      </c>
      <c r="HJ405" s="214" t="s">
        <v>70</v>
      </c>
      <c r="HK405" s="214" t="s">
        <v>530</v>
      </c>
      <c r="HM405" s="214" t="s">
        <v>26506</v>
      </c>
      <c r="HN405" s="214" t="s">
        <v>34564</v>
      </c>
      <c r="HO405" s="214" t="s">
        <v>70</v>
      </c>
      <c r="HP405" s="214" t="s">
        <v>530</v>
      </c>
      <c r="HR405" s="22" t="s">
        <v>26507</v>
      </c>
      <c r="HS405" s="22" t="s">
        <v>502</v>
      </c>
      <c r="HT405" s="22" t="s">
        <v>70</v>
      </c>
      <c r="HU405" s="214" t="s">
        <v>530</v>
      </c>
      <c r="HW405" s="22" t="s">
        <v>26508</v>
      </c>
      <c r="HX405" s="22" t="s">
        <v>52</v>
      </c>
      <c r="HY405" s="22" t="s">
        <v>70</v>
      </c>
      <c r="HZ405" s="214" t="s">
        <v>530</v>
      </c>
      <c r="IB405" s="22" t="s">
        <v>26509</v>
      </c>
      <c r="IC405" s="22" t="s">
        <v>599</v>
      </c>
      <c r="ID405" s="22" t="s">
        <v>70</v>
      </c>
      <c r="IE405" s="214" t="s">
        <v>530</v>
      </c>
      <c r="IG405" s="22" t="s">
        <v>26510</v>
      </c>
      <c r="IH405" s="22" t="s">
        <v>52</v>
      </c>
      <c r="II405" s="22" t="s">
        <v>70</v>
      </c>
      <c r="IJ405" s="214" t="s">
        <v>530</v>
      </c>
      <c r="IL405" s="22" t="s">
        <v>26511</v>
      </c>
      <c r="IM405" s="22" t="s">
        <v>145</v>
      </c>
      <c r="IN405" s="22" t="s">
        <v>70</v>
      </c>
      <c r="IO405" s="214" t="s">
        <v>530</v>
      </c>
      <c r="IQ405" s="236" t="s">
        <v>26512</v>
      </c>
      <c r="IR405" s="236" t="s">
        <v>145</v>
      </c>
      <c r="IS405" s="236" t="s">
        <v>74</v>
      </c>
      <c r="IT405" s="236" t="s">
        <v>841</v>
      </c>
      <c r="IV405" s="236" t="s">
        <v>26513</v>
      </c>
      <c r="IW405" s="236" t="s">
        <v>145</v>
      </c>
      <c r="IX405" s="236" t="s">
        <v>74</v>
      </c>
      <c r="IY405" s="236" t="s">
        <v>841</v>
      </c>
      <c r="JA405" s="236" t="s">
        <v>26514</v>
      </c>
      <c r="JB405" s="236" t="s">
        <v>145</v>
      </c>
      <c r="JC405" s="236" t="s">
        <v>74</v>
      </c>
      <c r="JD405" s="236" t="s">
        <v>841</v>
      </c>
      <c r="JF405" s="236" t="s">
        <v>26515</v>
      </c>
      <c r="JG405" s="236" t="s">
        <v>145</v>
      </c>
      <c r="JH405" s="236" t="s">
        <v>74</v>
      </c>
      <c r="JI405" s="236" t="s">
        <v>841</v>
      </c>
      <c r="JK405" s="236" t="s">
        <v>26516</v>
      </c>
      <c r="JL405" s="236" t="s">
        <v>145</v>
      </c>
      <c r="JM405" s="236" t="s">
        <v>74</v>
      </c>
      <c r="JN405" s="236" t="s">
        <v>841</v>
      </c>
      <c r="JP405" s="236" t="s">
        <v>26517</v>
      </c>
      <c r="JQ405" s="236" t="s">
        <v>145</v>
      </c>
      <c r="JR405" s="236" t="s">
        <v>74</v>
      </c>
      <c r="JS405" s="236" t="s">
        <v>841</v>
      </c>
      <c r="JU405" s="294" t="s">
        <v>26518</v>
      </c>
      <c r="JV405" s="294" t="s">
        <v>52</v>
      </c>
      <c r="JW405" s="263" t="s">
        <v>70</v>
      </c>
      <c r="JX405" s="294" t="s">
        <v>1083</v>
      </c>
      <c r="JZ405" s="263" t="s">
        <v>26519</v>
      </c>
      <c r="KA405" s="263" t="s">
        <v>145</v>
      </c>
      <c r="KB405" s="263" t="s">
        <v>70</v>
      </c>
      <c r="KC405" s="263" t="s">
        <v>1083</v>
      </c>
      <c r="KE405" s="263" t="s">
        <v>26520</v>
      </c>
      <c r="KF405" s="263" t="s">
        <v>52</v>
      </c>
      <c r="KG405" s="263" t="s">
        <v>70</v>
      </c>
      <c r="KH405" s="263" t="s">
        <v>1083</v>
      </c>
      <c r="KJ405" s="263" t="s">
        <v>26521</v>
      </c>
      <c r="KK405" s="263" t="s">
        <v>52</v>
      </c>
      <c r="KL405" s="263" t="s">
        <v>74</v>
      </c>
      <c r="KM405" s="263" t="s">
        <v>34074</v>
      </c>
      <c r="KO405" s="214" t="s">
        <v>26522</v>
      </c>
      <c r="KP405" s="214" t="s">
        <v>145</v>
      </c>
      <c r="KQ405" s="214" t="s">
        <v>70</v>
      </c>
      <c r="KR405" s="214" t="s">
        <v>67</v>
      </c>
      <c r="KT405" s="22" t="s">
        <v>26523</v>
      </c>
      <c r="KU405" s="22" t="s">
        <v>145</v>
      </c>
      <c r="KV405" s="22" t="s">
        <v>70</v>
      </c>
      <c r="KW405" s="22" t="s">
        <v>67</v>
      </c>
      <c r="KY405" s="214" t="s">
        <v>26524</v>
      </c>
      <c r="KZ405" s="214" t="s">
        <v>52</v>
      </c>
      <c r="LA405" s="214" t="s">
        <v>74</v>
      </c>
      <c r="LB405" s="214" t="s">
        <v>67</v>
      </c>
      <c r="LD405" s="22" t="s">
        <v>26525</v>
      </c>
      <c r="LE405" s="22" t="s">
        <v>145</v>
      </c>
      <c r="LF405" s="22" t="s">
        <v>70</v>
      </c>
      <c r="LG405" s="22" t="s">
        <v>67</v>
      </c>
    </row>
    <row r="406" spans="1:319">
      <c r="A406" s="22" t="s">
        <v>26526</v>
      </c>
      <c r="B406" s="22" t="s">
        <v>145</v>
      </c>
      <c r="C406" s="22" t="s">
        <v>70</v>
      </c>
      <c r="D406" s="22" t="s">
        <v>67</v>
      </c>
      <c r="F406" s="96" t="s">
        <v>26527</v>
      </c>
      <c r="G406" s="22" t="s">
        <v>145</v>
      </c>
      <c r="H406" s="22" t="s">
        <v>70</v>
      </c>
      <c r="I406" s="22" t="s">
        <v>67</v>
      </c>
      <c r="K406" s="99" t="s">
        <v>26528</v>
      </c>
      <c r="L406" s="22" t="s">
        <v>145</v>
      </c>
      <c r="M406" s="22" t="s">
        <v>70</v>
      </c>
      <c r="N406" s="22" t="s">
        <v>67</v>
      </c>
      <c r="P406" s="230" t="s">
        <v>26529</v>
      </c>
      <c r="Q406" s="218" t="s">
        <v>145</v>
      </c>
      <c r="R406" s="218" t="s">
        <v>72</v>
      </c>
      <c r="S406" s="218" t="s">
        <v>34007</v>
      </c>
      <c r="U406" s="293" t="s">
        <v>26530</v>
      </c>
      <c r="V406" s="293" t="s">
        <v>145</v>
      </c>
      <c r="W406" s="293" t="s">
        <v>74</v>
      </c>
      <c r="X406" s="293" t="s">
        <v>656</v>
      </c>
      <c r="Z406" s="293" t="s">
        <v>26531</v>
      </c>
      <c r="AA406" s="293" t="s">
        <v>145</v>
      </c>
      <c r="AB406" s="293" t="s">
        <v>74</v>
      </c>
      <c r="AC406" s="293" t="s">
        <v>656</v>
      </c>
      <c r="AE406" s="293" t="s">
        <v>26532</v>
      </c>
      <c r="AF406" s="293" t="s">
        <v>145</v>
      </c>
      <c r="AG406" s="293" t="s">
        <v>74</v>
      </c>
      <c r="AH406" s="293" t="s">
        <v>656</v>
      </c>
      <c r="AJ406" s="293" t="s">
        <v>26533</v>
      </c>
      <c r="AK406" s="293" t="s">
        <v>145</v>
      </c>
      <c r="AL406" s="293" t="s">
        <v>74</v>
      </c>
      <c r="AM406" s="293" t="s">
        <v>656</v>
      </c>
      <c r="AO406" s="22" t="s">
        <v>26534</v>
      </c>
      <c r="AP406" s="22" t="s">
        <v>145</v>
      </c>
      <c r="AQ406" s="22" t="s">
        <v>70</v>
      </c>
      <c r="AR406" s="22" t="s">
        <v>67</v>
      </c>
      <c r="AT406" s="22" t="s">
        <v>26535</v>
      </c>
      <c r="AU406" s="22" t="s">
        <v>145</v>
      </c>
      <c r="AV406" s="22" t="s">
        <v>70</v>
      </c>
      <c r="AW406" s="22" t="s">
        <v>67</v>
      </c>
      <c r="AY406" s="22" t="s">
        <v>26536</v>
      </c>
      <c r="AZ406" s="22" t="s">
        <v>145</v>
      </c>
      <c r="BA406" s="22" t="s">
        <v>70</v>
      </c>
      <c r="BB406" s="22" t="s">
        <v>67</v>
      </c>
      <c r="BD406" s="22" t="s">
        <v>26537</v>
      </c>
      <c r="BE406" s="22" t="s">
        <v>145</v>
      </c>
      <c r="BF406" s="22" t="s">
        <v>70</v>
      </c>
      <c r="BG406" s="22" t="s">
        <v>67</v>
      </c>
      <c r="BI406" s="22" t="s">
        <v>26538</v>
      </c>
      <c r="BJ406" s="22" t="s">
        <v>145</v>
      </c>
      <c r="BK406" s="22" t="s">
        <v>70</v>
      </c>
      <c r="BL406" s="22" t="s">
        <v>67</v>
      </c>
      <c r="BN406" s="22" t="s">
        <v>26539</v>
      </c>
      <c r="BO406" s="22" t="s">
        <v>145</v>
      </c>
      <c r="BP406" s="22" t="s">
        <v>70</v>
      </c>
      <c r="BQ406" s="22" t="s">
        <v>67</v>
      </c>
      <c r="BS406" s="22" t="s">
        <v>26540</v>
      </c>
      <c r="BT406" s="22" t="s">
        <v>145</v>
      </c>
      <c r="BU406" s="22" t="s">
        <v>70</v>
      </c>
      <c r="BV406" s="214" t="s">
        <v>530</v>
      </c>
      <c r="BX406" s="22" t="s">
        <v>26541</v>
      </c>
      <c r="BY406" s="22" t="s">
        <v>145</v>
      </c>
      <c r="BZ406" s="22" t="s">
        <v>70</v>
      </c>
      <c r="CA406" s="214" t="s">
        <v>530</v>
      </c>
      <c r="CC406" s="214" t="s">
        <v>26542</v>
      </c>
      <c r="CD406" s="214" t="s">
        <v>52</v>
      </c>
      <c r="CE406" s="214" t="s">
        <v>70</v>
      </c>
      <c r="CF406" s="214" t="s">
        <v>530</v>
      </c>
      <c r="CH406" s="214" t="s">
        <v>26543</v>
      </c>
      <c r="CI406" s="214" t="s">
        <v>919</v>
      </c>
      <c r="CJ406" s="214" t="s">
        <v>70</v>
      </c>
      <c r="CK406" s="214" t="s">
        <v>530</v>
      </c>
      <c r="CM406" s="214" t="s">
        <v>26544</v>
      </c>
      <c r="CN406" s="214" t="s">
        <v>85</v>
      </c>
      <c r="CO406" s="214" t="s">
        <v>70</v>
      </c>
      <c r="CP406" s="214" t="s">
        <v>530</v>
      </c>
      <c r="CR406" s="214" t="s">
        <v>26545</v>
      </c>
      <c r="CS406" s="214" t="s">
        <v>34545</v>
      </c>
      <c r="CT406" s="214" t="s">
        <v>70</v>
      </c>
      <c r="CU406" s="214" t="s">
        <v>530</v>
      </c>
      <c r="CW406" s="214" t="s">
        <v>26546</v>
      </c>
      <c r="CX406" s="214" t="s">
        <v>468</v>
      </c>
      <c r="CY406" s="214" t="s">
        <v>70</v>
      </c>
      <c r="CZ406" s="214" t="s">
        <v>530</v>
      </c>
      <c r="DB406" s="214" t="s">
        <v>26547</v>
      </c>
      <c r="DC406" s="214" t="s">
        <v>34581</v>
      </c>
      <c r="DD406" s="214" t="s">
        <v>70</v>
      </c>
      <c r="DE406" s="214" t="s">
        <v>530</v>
      </c>
      <c r="DG406" s="214" t="s">
        <v>26548</v>
      </c>
      <c r="DH406" s="214" t="s">
        <v>90</v>
      </c>
      <c r="DI406" s="214" t="s">
        <v>70</v>
      </c>
      <c r="DJ406" s="214" t="s">
        <v>530</v>
      </c>
      <c r="DL406" s="214" t="s">
        <v>26549</v>
      </c>
      <c r="DM406" s="214" t="s">
        <v>642</v>
      </c>
      <c r="DN406" s="214" t="s">
        <v>70</v>
      </c>
      <c r="DO406" s="214" t="s">
        <v>530</v>
      </c>
      <c r="DQ406" s="214" t="s">
        <v>26550</v>
      </c>
      <c r="DR406" s="214" t="s">
        <v>148</v>
      </c>
      <c r="DS406" s="214" t="s">
        <v>70</v>
      </c>
      <c r="DT406" s="214" t="s">
        <v>530</v>
      </c>
      <c r="DV406" s="214" t="s">
        <v>26551</v>
      </c>
      <c r="DW406" s="214" t="s">
        <v>52</v>
      </c>
      <c r="DX406" s="214" t="s">
        <v>70</v>
      </c>
      <c r="DY406" s="214" t="s">
        <v>530</v>
      </c>
      <c r="EA406" s="214" t="s">
        <v>26552</v>
      </c>
      <c r="EB406" s="214" t="s">
        <v>87</v>
      </c>
      <c r="EC406" s="214" t="s">
        <v>70</v>
      </c>
      <c r="ED406" s="214" t="s">
        <v>530</v>
      </c>
      <c r="EF406" s="214" t="s">
        <v>26553</v>
      </c>
      <c r="EG406" s="214" t="s">
        <v>34593</v>
      </c>
      <c r="EH406" s="214" t="s">
        <v>70</v>
      </c>
      <c r="EI406" s="214" t="s">
        <v>530</v>
      </c>
      <c r="EK406" s="214" t="s">
        <v>26554</v>
      </c>
      <c r="EL406" s="214" t="s">
        <v>649</v>
      </c>
      <c r="EM406" s="214" t="s">
        <v>70</v>
      </c>
      <c r="EN406" s="214" t="s">
        <v>530</v>
      </c>
      <c r="EP406" s="214" t="s">
        <v>26555</v>
      </c>
      <c r="EQ406" s="214" t="s">
        <v>163</v>
      </c>
      <c r="ER406" s="214" t="s">
        <v>70</v>
      </c>
      <c r="ES406" s="214" t="s">
        <v>530</v>
      </c>
      <c r="EU406" s="214" t="s">
        <v>26556</v>
      </c>
      <c r="EV406" s="214" t="s">
        <v>34629</v>
      </c>
      <c r="EW406" s="214" t="s">
        <v>70</v>
      </c>
      <c r="EX406" s="214" t="s">
        <v>530</v>
      </c>
      <c r="EZ406" s="214" t="s">
        <v>26557</v>
      </c>
      <c r="FA406" s="214" t="s">
        <v>468</v>
      </c>
      <c r="FB406" s="214" t="s">
        <v>70</v>
      </c>
      <c r="FC406" s="214" t="s">
        <v>530</v>
      </c>
      <c r="FE406" s="214" t="s">
        <v>26558</v>
      </c>
      <c r="FF406" s="214" t="s">
        <v>488</v>
      </c>
      <c r="FG406" s="214" t="s">
        <v>70</v>
      </c>
      <c r="FH406" s="214" t="s">
        <v>530</v>
      </c>
      <c r="FJ406" s="321" t="s">
        <v>26559</v>
      </c>
      <c r="FK406" s="214" t="s">
        <v>148</v>
      </c>
      <c r="FL406" s="214" t="s">
        <v>70</v>
      </c>
      <c r="FM406" s="214" t="s">
        <v>530</v>
      </c>
      <c r="FO406" s="321" t="s">
        <v>26560</v>
      </c>
      <c r="FP406" s="214" t="s">
        <v>34539</v>
      </c>
      <c r="FQ406" s="214" t="s">
        <v>70</v>
      </c>
      <c r="FR406" s="214" t="s">
        <v>530</v>
      </c>
      <c r="FT406" s="321" t="s">
        <v>26561</v>
      </c>
      <c r="FU406" s="214" t="s">
        <v>92</v>
      </c>
      <c r="FV406" s="214" t="s">
        <v>70</v>
      </c>
      <c r="FW406" s="214" t="s">
        <v>530</v>
      </c>
      <c r="FY406" s="321" t="s">
        <v>26562</v>
      </c>
      <c r="FZ406" s="214" t="s">
        <v>52</v>
      </c>
      <c r="GA406" s="214" t="s">
        <v>70</v>
      </c>
      <c r="GB406" s="214" t="s">
        <v>530</v>
      </c>
      <c r="GD406" s="321" t="s">
        <v>26563</v>
      </c>
      <c r="GE406" s="214" t="s">
        <v>936</v>
      </c>
      <c r="GF406" s="214" t="s">
        <v>70</v>
      </c>
      <c r="GG406" s="214" t="s">
        <v>530</v>
      </c>
      <c r="GI406" s="321" t="s">
        <v>26564</v>
      </c>
      <c r="GJ406" s="214" t="s">
        <v>937</v>
      </c>
      <c r="GK406" s="214" t="s">
        <v>70</v>
      </c>
      <c r="GL406" s="214" t="s">
        <v>530</v>
      </c>
      <c r="GN406" s="321" t="s">
        <v>26565</v>
      </c>
      <c r="GO406" s="214" t="s">
        <v>529</v>
      </c>
      <c r="GP406" s="214" t="s">
        <v>70</v>
      </c>
      <c r="GQ406" s="214" t="s">
        <v>530</v>
      </c>
      <c r="GS406" s="321" t="s">
        <v>26566</v>
      </c>
      <c r="GT406" s="214" t="s">
        <v>655</v>
      </c>
      <c r="GU406" s="214" t="s">
        <v>70</v>
      </c>
      <c r="GV406" s="214" t="s">
        <v>530</v>
      </c>
      <c r="GX406" s="214" t="s">
        <v>26567</v>
      </c>
      <c r="GY406" s="214" t="s">
        <v>305</v>
      </c>
      <c r="GZ406" s="214" t="s">
        <v>70</v>
      </c>
      <c r="HA406" s="214" t="s">
        <v>530</v>
      </c>
      <c r="HC406" s="214" t="s">
        <v>26568</v>
      </c>
      <c r="HD406" s="214" t="s">
        <v>495</v>
      </c>
      <c r="HE406" s="214" t="s">
        <v>70</v>
      </c>
      <c r="HF406" s="214" t="s">
        <v>530</v>
      </c>
      <c r="HH406" s="214" t="s">
        <v>26569</v>
      </c>
      <c r="HI406" s="214" t="s">
        <v>52</v>
      </c>
      <c r="HJ406" s="214" t="s">
        <v>70</v>
      </c>
      <c r="HK406" s="214" t="s">
        <v>530</v>
      </c>
      <c r="HM406" s="214" t="s">
        <v>26570</v>
      </c>
      <c r="HN406" s="214" t="s">
        <v>503</v>
      </c>
      <c r="HO406" s="214" t="s">
        <v>70</v>
      </c>
      <c r="HP406" s="214" t="s">
        <v>530</v>
      </c>
      <c r="HR406" s="22" t="s">
        <v>26571</v>
      </c>
      <c r="HS406" s="22" t="s">
        <v>529</v>
      </c>
      <c r="HT406" s="22" t="s">
        <v>70</v>
      </c>
      <c r="HU406" s="214" t="s">
        <v>530</v>
      </c>
      <c r="HW406" s="22" t="s">
        <v>26572</v>
      </c>
      <c r="HX406" s="22" t="s">
        <v>52</v>
      </c>
      <c r="HY406" s="22" t="s">
        <v>70</v>
      </c>
      <c r="HZ406" s="214" t="s">
        <v>530</v>
      </c>
      <c r="IB406" s="22" t="s">
        <v>26573</v>
      </c>
      <c r="IC406" s="22" t="s">
        <v>52</v>
      </c>
      <c r="ID406" s="22" t="s">
        <v>70</v>
      </c>
      <c r="IE406" s="214" t="s">
        <v>530</v>
      </c>
      <c r="IG406" s="22" t="s">
        <v>26574</v>
      </c>
      <c r="IH406" s="22" t="s">
        <v>52</v>
      </c>
      <c r="II406" s="22" t="s">
        <v>70</v>
      </c>
      <c r="IJ406" s="214" t="s">
        <v>530</v>
      </c>
      <c r="IL406" s="22" t="s">
        <v>26575</v>
      </c>
      <c r="IM406" s="22" t="s">
        <v>145</v>
      </c>
      <c r="IN406" s="22" t="s">
        <v>70</v>
      </c>
      <c r="IO406" s="214" t="s">
        <v>530</v>
      </c>
      <c r="IQ406" s="236" t="s">
        <v>26576</v>
      </c>
      <c r="IR406" s="236" t="s">
        <v>145</v>
      </c>
      <c r="IS406" s="236" t="s">
        <v>74</v>
      </c>
      <c r="IT406" s="236" t="s">
        <v>841</v>
      </c>
      <c r="IV406" s="236" t="s">
        <v>26577</v>
      </c>
      <c r="IW406" s="236" t="s">
        <v>145</v>
      </c>
      <c r="IX406" s="236" t="s">
        <v>74</v>
      </c>
      <c r="IY406" s="236" t="s">
        <v>841</v>
      </c>
      <c r="JA406" s="236" t="s">
        <v>26578</v>
      </c>
      <c r="JB406" s="236" t="s">
        <v>145</v>
      </c>
      <c r="JC406" s="236" t="s">
        <v>74</v>
      </c>
      <c r="JD406" s="236" t="s">
        <v>841</v>
      </c>
      <c r="JF406" s="236" t="s">
        <v>26579</v>
      </c>
      <c r="JG406" s="236" t="s">
        <v>145</v>
      </c>
      <c r="JH406" s="236" t="s">
        <v>74</v>
      </c>
      <c r="JI406" s="236" t="s">
        <v>841</v>
      </c>
      <c r="JK406" s="236" t="s">
        <v>26580</v>
      </c>
      <c r="JL406" s="236" t="s">
        <v>145</v>
      </c>
      <c r="JM406" s="236" t="s">
        <v>74</v>
      </c>
      <c r="JN406" s="236" t="s">
        <v>841</v>
      </c>
      <c r="JP406" s="236" t="s">
        <v>26581</v>
      </c>
      <c r="JQ406" s="236" t="s">
        <v>145</v>
      </c>
      <c r="JR406" s="236" t="s">
        <v>74</v>
      </c>
      <c r="JS406" s="236" t="s">
        <v>841</v>
      </c>
      <c r="JU406" s="294" t="s">
        <v>26582</v>
      </c>
      <c r="JV406" s="294" t="s">
        <v>52</v>
      </c>
      <c r="JW406" s="263" t="s">
        <v>70</v>
      </c>
      <c r="JX406" s="294" t="s">
        <v>1083</v>
      </c>
      <c r="JZ406" s="263" t="s">
        <v>26583</v>
      </c>
      <c r="KA406" s="263" t="s">
        <v>145</v>
      </c>
      <c r="KB406" s="263" t="s">
        <v>70</v>
      </c>
      <c r="KC406" s="263" t="s">
        <v>1083</v>
      </c>
      <c r="KE406" s="263" t="s">
        <v>26584</v>
      </c>
      <c r="KF406" s="263" t="s">
        <v>52</v>
      </c>
      <c r="KG406" s="263" t="s">
        <v>70</v>
      </c>
      <c r="KH406" s="263" t="s">
        <v>1083</v>
      </c>
      <c r="KJ406" s="263" t="s">
        <v>26585</v>
      </c>
      <c r="KK406" s="263" t="s">
        <v>52</v>
      </c>
      <c r="KL406" s="263" t="s">
        <v>74</v>
      </c>
      <c r="KM406" s="263" t="s">
        <v>34074</v>
      </c>
      <c r="KO406" s="214" t="s">
        <v>26586</v>
      </c>
      <c r="KP406" s="214" t="s">
        <v>145</v>
      </c>
      <c r="KQ406" s="214" t="s">
        <v>70</v>
      </c>
      <c r="KR406" s="214" t="s">
        <v>67</v>
      </c>
      <c r="KT406" s="22" t="s">
        <v>26587</v>
      </c>
      <c r="KU406" s="22" t="s">
        <v>145</v>
      </c>
      <c r="KV406" s="22" t="s">
        <v>70</v>
      </c>
      <c r="KW406" s="22" t="s">
        <v>67</v>
      </c>
      <c r="KY406" s="214" t="s">
        <v>26588</v>
      </c>
      <c r="KZ406" s="214" t="s">
        <v>52</v>
      </c>
      <c r="LA406" s="214" t="s">
        <v>74</v>
      </c>
      <c r="LB406" s="214" t="s">
        <v>67</v>
      </c>
      <c r="LD406" s="22" t="s">
        <v>26589</v>
      </c>
      <c r="LE406" s="22" t="s">
        <v>145</v>
      </c>
      <c r="LF406" s="22" t="s">
        <v>70</v>
      </c>
      <c r="LG406" s="22" t="s">
        <v>67</v>
      </c>
    </row>
    <row r="407" spans="1:319">
      <c r="A407" s="22" t="s">
        <v>26590</v>
      </c>
      <c r="B407" s="22" t="s">
        <v>145</v>
      </c>
      <c r="C407" s="22" t="s">
        <v>70</v>
      </c>
      <c r="D407" s="22" t="s">
        <v>67</v>
      </c>
      <c r="F407" s="96" t="s">
        <v>26591</v>
      </c>
      <c r="G407" s="22" t="s">
        <v>145</v>
      </c>
      <c r="H407" s="22" t="s">
        <v>70</v>
      </c>
      <c r="I407" s="22" t="s">
        <v>67</v>
      </c>
      <c r="K407" s="99" t="s">
        <v>26592</v>
      </c>
      <c r="L407" s="22" t="s">
        <v>145</v>
      </c>
      <c r="M407" s="22" t="s">
        <v>70</v>
      </c>
      <c r="N407" s="22" t="s">
        <v>67</v>
      </c>
      <c r="P407" s="230" t="s">
        <v>26593</v>
      </c>
      <c r="Q407" s="218" t="s">
        <v>145</v>
      </c>
      <c r="R407" s="218" t="s">
        <v>72</v>
      </c>
      <c r="S407" s="218" t="s">
        <v>34008</v>
      </c>
      <c r="U407" s="293" t="s">
        <v>26594</v>
      </c>
      <c r="V407" s="293" t="s">
        <v>145</v>
      </c>
      <c r="W407" s="293" t="s">
        <v>74</v>
      </c>
      <c r="X407" s="293" t="s">
        <v>656</v>
      </c>
      <c r="Z407" s="293" t="s">
        <v>26595</v>
      </c>
      <c r="AA407" s="293" t="s">
        <v>145</v>
      </c>
      <c r="AB407" s="293" t="s">
        <v>74</v>
      </c>
      <c r="AC407" s="293" t="s">
        <v>656</v>
      </c>
      <c r="AE407" s="293" t="s">
        <v>26596</v>
      </c>
      <c r="AF407" s="293" t="s">
        <v>145</v>
      </c>
      <c r="AG407" s="293" t="s">
        <v>74</v>
      </c>
      <c r="AH407" s="293" t="s">
        <v>656</v>
      </c>
      <c r="AJ407" s="293" t="s">
        <v>26597</v>
      </c>
      <c r="AK407" s="293" t="s">
        <v>145</v>
      </c>
      <c r="AL407" s="293" t="s">
        <v>74</v>
      </c>
      <c r="AM407" s="293" t="s">
        <v>656</v>
      </c>
      <c r="AO407" s="22" t="s">
        <v>26598</v>
      </c>
      <c r="AP407" s="22" t="s">
        <v>145</v>
      </c>
      <c r="AQ407" s="22" t="s">
        <v>70</v>
      </c>
      <c r="AR407" s="22" t="s">
        <v>67</v>
      </c>
      <c r="AT407" s="22" t="s">
        <v>26599</v>
      </c>
      <c r="AU407" s="22" t="s">
        <v>145</v>
      </c>
      <c r="AV407" s="22" t="s">
        <v>70</v>
      </c>
      <c r="AW407" s="22" t="s">
        <v>67</v>
      </c>
      <c r="AY407" s="22" t="s">
        <v>26600</v>
      </c>
      <c r="AZ407" s="22" t="s">
        <v>145</v>
      </c>
      <c r="BA407" s="22" t="s">
        <v>70</v>
      </c>
      <c r="BB407" s="22" t="s">
        <v>67</v>
      </c>
      <c r="BD407" s="22" t="s">
        <v>26601</v>
      </c>
      <c r="BE407" s="22" t="s">
        <v>145</v>
      </c>
      <c r="BF407" s="22" t="s">
        <v>70</v>
      </c>
      <c r="BG407" s="22" t="s">
        <v>67</v>
      </c>
      <c r="BI407" s="22" t="s">
        <v>26602</v>
      </c>
      <c r="BJ407" s="22" t="s">
        <v>145</v>
      </c>
      <c r="BK407" s="22" t="s">
        <v>70</v>
      </c>
      <c r="BL407" s="22" t="s">
        <v>67</v>
      </c>
      <c r="BN407" s="22" t="s">
        <v>26603</v>
      </c>
      <c r="BO407" s="22" t="s">
        <v>145</v>
      </c>
      <c r="BP407" s="22" t="s">
        <v>70</v>
      </c>
      <c r="BQ407" s="22" t="s">
        <v>67</v>
      </c>
      <c r="BS407" s="22" t="s">
        <v>26604</v>
      </c>
      <c r="BT407" s="22" t="s">
        <v>145</v>
      </c>
      <c r="BU407" s="22" t="s">
        <v>70</v>
      </c>
      <c r="BV407" s="214" t="s">
        <v>530</v>
      </c>
      <c r="BX407" s="22" t="s">
        <v>26605</v>
      </c>
      <c r="BY407" s="22" t="s">
        <v>145</v>
      </c>
      <c r="BZ407" s="22" t="s">
        <v>70</v>
      </c>
      <c r="CA407" s="214" t="s">
        <v>530</v>
      </c>
      <c r="CC407" s="214" t="s">
        <v>26606</v>
      </c>
      <c r="CD407" s="214" t="s">
        <v>485</v>
      </c>
      <c r="CE407" s="214" t="s">
        <v>70</v>
      </c>
      <c r="CF407" s="214" t="s">
        <v>530</v>
      </c>
      <c r="CH407" s="214" t="s">
        <v>26607</v>
      </c>
      <c r="CI407" s="214" t="s">
        <v>146</v>
      </c>
      <c r="CJ407" s="214" t="s">
        <v>70</v>
      </c>
      <c r="CK407" s="214" t="s">
        <v>530</v>
      </c>
      <c r="CM407" s="214" t="s">
        <v>26608</v>
      </c>
      <c r="CN407" s="214" t="s">
        <v>485</v>
      </c>
      <c r="CO407" s="214" t="s">
        <v>70</v>
      </c>
      <c r="CP407" s="214" t="s">
        <v>530</v>
      </c>
      <c r="CR407" s="214" t="s">
        <v>26609</v>
      </c>
      <c r="CS407" s="214" t="s">
        <v>34551</v>
      </c>
      <c r="CT407" s="214" t="s">
        <v>70</v>
      </c>
      <c r="CU407" s="214" t="s">
        <v>530</v>
      </c>
      <c r="CW407" s="214" t="s">
        <v>26610</v>
      </c>
      <c r="CX407" s="214" t="s">
        <v>484</v>
      </c>
      <c r="CY407" s="214" t="s">
        <v>70</v>
      </c>
      <c r="CZ407" s="214" t="s">
        <v>530</v>
      </c>
      <c r="DB407" s="214" t="s">
        <v>26611</v>
      </c>
      <c r="DC407" s="214" t="s">
        <v>34552</v>
      </c>
      <c r="DD407" s="214" t="s">
        <v>70</v>
      </c>
      <c r="DE407" s="214" t="s">
        <v>530</v>
      </c>
      <c r="DG407" s="214" t="s">
        <v>26612</v>
      </c>
      <c r="DH407" s="214" t="s">
        <v>52</v>
      </c>
      <c r="DI407" s="214" t="s">
        <v>70</v>
      </c>
      <c r="DJ407" s="214" t="s">
        <v>530</v>
      </c>
      <c r="DL407" s="214" t="s">
        <v>26613</v>
      </c>
      <c r="DM407" s="214" t="s">
        <v>146</v>
      </c>
      <c r="DN407" s="214" t="s">
        <v>70</v>
      </c>
      <c r="DO407" s="214" t="s">
        <v>530</v>
      </c>
      <c r="DQ407" s="214" t="s">
        <v>26614</v>
      </c>
      <c r="DR407" s="214" t="s">
        <v>502</v>
      </c>
      <c r="DS407" s="214" t="s">
        <v>70</v>
      </c>
      <c r="DT407" s="214" t="s">
        <v>530</v>
      </c>
      <c r="DV407" s="214" t="s">
        <v>26615</v>
      </c>
      <c r="DW407" s="214" t="s">
        <v>601</v>
      </c>
      <c r="DX407" s="214" t="s">
        <v>70</v>
      </c>
      <c r="DY407" s="214" t="s">
        <v>530</v>
      </c>
      <c r="EA407" s="214" t="s">
        <v>26616</v>
      </c>
      <c r="EB407" s="214" t="s">
        <v>488</v>
      </c>
      <c r="EC407" s="214" t="s">
        <v>70</v>
      </c>
      <c r="ED407" s="214" t="s">
        <v>530</v>
      </c>
      <c r="EF407" s="214" t="s">
        <v>26617</v>
      </c>
      <c r="EG407" s="214" t="s">
        <v>52</v>
      </c>
      <c r="EH407" s="214" t="s">
        <v>70</v>
      </c>
      <c r="EI407" s="214" t="s">
        <v>530</v>
      </c>
      <c r="EK407" s="214" t="s">
        <v>26618</v>
      </c>
      <c r="EL407" s="214" t="s">
        <v>34590</v>
      </c>
      <c r="EM407" s="214" t="s">
        <v>70</v>
      </c>
      <c r="EN407" s="214" t="s">
        <v>530</v>
      </c>
      <c r="EP407" s="214" t="s">
        <v>26619</v>
      </c>
      <c r="EQ407" s="214" t="s">
        <v>34542</v>
      </c>
      <c r="ER407" s="214" t="s">
        <v>70</v>
      </c>
      <c r="ES407" s="214" t="s">
        <v>530</v>
      </c>
      <c r="EU407" s="214" t="s">
        <v>26620</v>
      </c>
      <c r="EV407" s="214" t="s">
        <v>492</v>
      </c>
      <c r="EW407" s="214" t="s">
        <v>70</v>
      </c>
      <c r="EX407" s="214" t="s">
        <v>530</v>
      </c>
      <c r="EZ407" s="214" t="s">
        <v>26621</v>
      </c>
      <c r="FA407" s="214" t="s">
        <v>146</v>
      </c>
      <c r="FB407" s="214" t="s">
        <v>70</v>
      </c>
      <c r="FC407" s="214" t="s">
        <v>530</v>
      </c>
      <c r="FE407" s="214" t="s">
        <v>26622</v>
      </c>
      <c r="FF407" s="214" t="s">
        <v>484</v>
      </c>
      <c r="FG407" s="214" t="s">
        <v>70</v>
      </c>
      <c r="FH407" s="214" t="s">
        <v>530</v>
      </c>
      <c r="FJ407" s="321" t="s">
        <v>26623</v>
      </c>
      <c r="FK407" s="214" t="s">
        <v>502</v>
      </c>
      <c r="FL407" s="214" t="s">
        <v>70</v>
      </c>
      <c r="FM407" s="214" t="s">
        <v>530</v>
      </c>
      <c r="FO407" s="321" t="s">
        <v>26624</v>
      </c>
      <c r="FP407" s="214" t="s">
        <v>34590</v>
      </c>
      <c r="FQ407" s="214" t="s">
        <v>70</v>
      </c>
      <c r="FR407" s="214" t="s">
        <v>530</v>
      </c>
      <c r="FT407" s="321" t="s">
        <v>26625</v>
      </c>
      <c r="FU407" s="214" t="s">
        <v>287</v>
      </c>
      <c r="FV407" s="214" t="s">
        <v>70</v>
      </c>
      <c r="FW407" s="214" t="s">
        <v>530</v>
      </c>
      <c r="FY407" s="321" t="s">
        <v>26626</v>
      </c>
      <c r="FZ407" s="214" t="s">
        <v>956</v>
      </c>
      <c r="GA407" s="214" t="s">
        <v>70</v>
      </c>
      <c r="GB407" s="214" t="s">
        <v>530</v>
      </c>
      <c r="GD407" s="321" t="s">
        <v>26627</v>
      </c>
      <c r="GE407" s="214" t="s">
        <v>34556</v>
      </c>
      <c r="GF407" s="214" t="s">
        <v>70</v>
      </c>
      <c r="GG407" s="214" t="s">
        <v>530</v>
      </c>
      <c r="GI407" s="321" t="s">
        <v>26628</v>
      </c>
      <c r="GJ407" s="214" t="s">
        <v>34545</v>
      </c>
      <c r="GK407" s="214" t="s">
        <v>70</v>
      </c>
      <c r="GL407" s="214" t="s">
        <v>530</v>
      </c>
      <c r="GN407" s="321" t="s">
        <v>26629</v>
      </c>
      <c r="GO407" s="214" t="s">
        <v>598</v>
      </c>
      <c r="GP407" s="214" t="s">
        <v>70</v>
      </c>
      <c r="GQ407" s="214" t="s">
        <v>530</v>
      </c>
      <c r="GS407" s="321" t="s">
        <v>26630</v>
      </c>
      <c r="GT407" s="214" t="s">
        <v>929</v>
      </c>
      <c r="GU407" s="214" t="s">
        <v>70</v>
      </c>
      <c r="GV407" s="214" t="s">
        <v>530</v>
      </c>
      <c r="GX407" s="214" t="s">
        <v>26631</v>
      </c>
      <c r="GY407" s="214" t="s">
        <v>488</v>
      </c>
      <c r="GZ407" s="214" t="s">
        <v>70</v>
      </c>
      <c r="HA407" s="214" t="s">
        <v>530</v>
      </c>
      <c r="HC407" s="214" t="s">
        <v>26632</v>
      </c>
      <c r="HD407" s="214" t="s">
        <v>502</v>
      </c>
      <c r="HE407" s="214" t="s">
        <v>70</v>
      </c>
      <c r="HF407" s="214" t="s">
        <v>530</v>
      </c>
      <c r="HH407" s="214" t="s">
        <v>26633</v>
      </c>
      <c r="HI407" s="214" t="s">
        <v>52</v>
      </c>
      <c r="HJ407" s="214" t="s">
        <v>70</v>
      </c>
      <c r="HK407" s="214" t="s">
        <v>530</v>
      </c>
      <c r="HM407" s="214" t="s">
        <v>26634</v>
      </c>
      <c r="HN407" s="214" t="s">
        <v>34541</v>
      </c>
      <c r="HO407" s="214" t="s">
        <v>70</v>
      </c>
      <c r="HP407" s="214" t="s">
        <v>530</v>
      </c>
      <c r="HR407" s="22" t="s">
        <v>26635</v>
      </c>
      <c r="HS407" s="22" t="s">
        <v>149</v>
      </c>
      <c r="HT407" s="22" t="s">
        <v>70</v>
      </c>
      <c r="HU407" s="214" t="s">
        <v>530</v>
      </c>
      <c r="HW407" s="22" t="s">
        <v>26636</v>
      </c>
      <c r="HX407" s="22" t="s">
        <v>203</v>
      </c>
      <c r="HY407" s="22" t="s">
        <v>70</v>
      </c>
      <c r="HZ407" s="214" t="s">
        <v>530</v>
      </c>
      <c r="IB407" s="22" t="s">
        <v>26637</v>
      </c>
      <c r="IC407" s="22" t="s">
        <v>598</v>
      </c>
      <c r="ID407" s="22" t="s">
        <v>70</v>
      </c>
      <c r="IE407" s="214" t="s">
        <v>530</v>
      </c>
      <c r="IG407" s="22" t="s">
        <v>26638</v>
      </c>
      <c r="IH407" s="22" t="s">
        <v>52</v>
      </c>
      <c r="II407" s="22" t="s">
        <v>70</v>
      </c>
      <c r="IJ407" s="214" t="s">
        <v>530</v>
      </c>
      <c r="IL407" s="22" t="s">
        <v>26639</v>
      </c>
      <c r="IM407" s="22" t="s">
        <v>145</v>
      </c>
      <c r="IN407" s="22" t="s">
        <v>70</v>
      </c>
      <c r="IO407" s="214" t="s">
        <v>530</v>
      </c>
      <c r="IQ407" s="236" t="s">
        <v>26640</v>
      </c>
      <c r="IR407" s="236" t="s">
        <v>145</v>
      </c>
      <c r="IS407" s="236" t="s">
        <v>74</v>
      </c>
      <c r="IT407" s="236" t="s">
        <v>841</v>
      </c>
      <c r="IV407" s="236" t="s">
        <v>26641</v>
      </c>
      <c r="IW407" s="236" t="s">
        <v>145</v>
      </c>
      <c r="IX407" s="236" t="s">
        <v>74</v>
      </c>
      <c r="IY407" s="236" t="s">
        <v>841</v>
      </c>
      <c r="JA407" s="236" t="s">
        <v>26642</v>
      </c>
      <c r="JB407" s="236" t="s">
        <v>145</v>
      </c>
      <c r="JC407" s="236" t="s">
        <v>74</v>
      </c>
      <c r="JD407" s="236" t="s">
        <v>841</v>
      </c>
      <c r="JF407" s="236" t="s">
        <v>26643</v>
      </c>
      <c r="JG407" s="236" t="s">
        <v>145</v>
      </c>
      <c r="JH407" s="236" t="s">
        <v>74</v>
      </c>
      <c r="JI407" s="236" t="s">
        <v>841</v>
      </c>
      <c r="JK407" s="236" t="s">
        <v>26644</v>
      </c>
      <c r="JL407" s="236" t="s">
        <v>145</v>
      </c>
      <c r="JM407" s="236" t="s">
        <v>74</v>
      </c>
      <c r="JN407" s="236" t="s">
        <v>841</v>
      </c>
      <c r="JP407" s="236" t="s">
        <v>26645</v>
      </c>
      <c r="JQ407" s="236" t="s">
        <v>145</v>
      </c>
      <c r="JR407" s="236" t="s">
        <v>74</v>
      </c>
      <c r="JS407" s="236" t="s">
        <v>841</v>
      </c>
      <c r="JU407" s="294" t="s">
        <v>26646</v>
      </c>
      <c r="JV407" s="294" t="s">
        <v>52</v>
      </c>
      <c r="JW407" s="263" t="s">
        <v>70</v>
      </c>
      <c r="JX407" s="294" t="s">
        <v>1083</v>
      </c>
      <c r="JZ407" s="263" t="s">
        <v>26647</v>
      </c>
      <c r="KA407" s="263" t="s">
        <v>145</v>
      </c>
      <c r="KB407" s="263" t="s">
        <v>70</v>
      </c>
      <c r="KC407" s="263" t="s">
        <v>1083</v>
      </c>
      <c r="KE407" s="263" t="s">
        <v>26648</v>
      </c>
      <c r="KF407" s="263" t="s">
        <v>52</v>
      </c>
      <c r="KG407" s="263" t="s">
        <v>70</v>
      </c>
      <c r="KH407" s="263" t="s">
        <v>1083</v>
      </c>
      <c r="KJ407" s="263" t="s">
        <v>26649</v>
      </c>
      <c r="KK407" s="263" t="s">
        <v>52</v>
      </c>
      <c r="KL407" s="263" t="s">
        <v>74</v>
      </c>
      <c r="KM407" s="263" t="s">
        <v>34074</v>
      </c>
      <c r="KO407" s="214" t="s">
        <v>26650</v>
      </c>
      <c r="KP407" s="214" t="s">
        <v>145</v>
      </c>
      <c r="KQ407" s="214" t="s">
        <v>70</v>
      </c>
      <c r="KR407" s="214" t="s">
        <v>67</v>
      </c>
      <c r="KT407" s="22" t="s">
        <v>26651</v>
      </c>
      <c r="KU407" s="22" t="s">
        <v>145</v>
      </c>
      <c r="KV407" s="22" t="s">
        <v>70</v>
      </c>
      <c r="KW407" s="22" t="s">
        <v>67</v>
      </c>
      <c r="KY407" s="214" t="s">
        <v>26652</v>
      </c>
      <c r="KZ407" s="214" t="s">
        <v>52</v>
      </c>
      <c r="LA407" s="214" t="s">
        <v>74</v>
      </c>
      <c r="LB407" s="214" t="s">
        <v>67</v>
      </c>
      <c r="LD407" s="22" t="s">
        <v>26653</v>
      </c>
      <c r="LE407" s="22" t="s">
        <v>145</v>
      </c>
      <c r="LF407" s="22" t="s">
        <v>70</v>
      </c>
      <c r="LG407" s="22" t="s">
        <v>67</v>
      </c>
    </row>
    <row r="408" spans="1:319">
      <c r="A408" s="22" t="s">
        <v>26654</v>
      </c>
      <c r="B408" s="22" t="s">
        <v>145</v>
      </c>
      <c r="C408" s="22" t="s">
        <v>70</v>
      </c>
      <c r="D408" s="22" t="s">
        <v>67</v>
      </c>
      <c r="F408" s="96" t="s">
        <v>26655</v>
      </c>
      <c r="G408" s="22" t="s">
        <v>145</v>
      </c>
      <c r="H408" s="22" t="s">
        <v>70</v>
      </c>
      <c r="I408" s="22" t="s">
        <v>67</v>
      </c>
      <c r="K408" s="99" t="s">
        <v>26656</v>
      </c>
      <c r="L408" s="22" t="s">
        <v>145</v>
      </c>
      <c r="M408" s="22" t="s">
        <v>70</v>
      </c>
      <c r="N408" s="22" t="s">
        <v>67</v>
      </c>
      <c r="P408" s="230" t="s">
        <v>26657</v>
      </c>
      <c r="Q408" s="218" t="s">
        <v>145</v>
      </c>
      <c r="R408" s="218" t="s">
        <v>72</v>
      </c>
      <c r="S408" s="218" t="s">
        <v>34009</v>
      </c>
      <c r="U408" s="293" t="s">
        <v>26658</v>
      </c>
      <c r="V408" s="293" t="s">
        <v>145</v>
      </c>
      <c r="W408" s="293" t="s">
        <v>74</v>
      </c>
      <c r="X408" s="293" t="s">
        <v>656</v>
      </c>
      <c r="Z408" s="293" t="s">
        <v>26659</v>
      </c>
      <c r="AA408" s="293" t="s">
        <v>145</v>
      </c>
      <c r="AB408" s="293" t="s">
        <v>74</v>
      </c>
      <c r="AC408" s="293" t="s">
        <v>656</v>
      </c>
      <c r="AE408" s="293" t="s">
        <v>26660</v>
      </c>
      <c r="AF408" s="293" t="s">
        <v>145</v>
      </c>
      <c r="AG408" s="293" t="s">
        <v>74</v>
      </c>
      <c r="AH408" s="293" t="s">
        <v>656</v>
      </c>
      <c r="AJ408" s="293" t="s">
        <v>26661</v>
      </c>
      <c r="AK408" s="293" t="s">
        <v>145</v>
      </c>
      <c r="AL408" s="293" t="s">
        <v>74</v>
      </c>
      <c r="AM408" s="293" t="s">
        <v>656</v>
      </c>
      <c r="AO408" s="22" t="s">
        <v>26662</v>
      </c>
      <c r="AP408" s="22" t="s">
        <v>145</v>
      </c>
      <c r="AQ408" s="22" t="s">
        <v>70</v>
      </c>
      <c r="AR408" s="22" t="s">
        <v>67</v>
      </c>
      <c r="AT408" s="22" t="s">
        <v>26663</v>
      </c>
      <c r="AU408" s="22" t="s">
        <v>145</v>
      </c>
      <c r="AV408" s="22" t="s">
        <v>70</v>
      </c>
      <c r="AW408" s="22" t="s">
        <v>67</v>
      </c>
      <c r="AY408" s="22" t="s">
        <v>26664</v>
      </c>
      <c r="AZ408" s="22" t="s">
        <v>145</v>
      </c>
      <c r="BA408" s="22" t="s">
        <v>70</v>
      </c>
      <c r="BB408" s="22" t="s">
        <v>67</v>
      </c>
      <c r="BD408" s="22" t="s">
        <v>26665</v>
      </c>
      <c r="BE408" s="22" t="s">
        <v>145</v>
      </c>
      <c r="BF408" s="22" t="s">
        <v>70</v>
      </c>
      <c r="BG408" s="22" t="s">
        <v>67</v>
      </c>
      <c r="BI408" s="22" t="s">
        <v>26666</v>
      </c>
      <c r="BJ408" s="22" t="s">
        <v>145</v>
      </c>
      <c r="BK408" s="22" t="s">
        <v>70</v>
      </c>
      <c r="BL408" s="22" t="s">
        <v>67</v>
      </c>
      <c r="BN408" s="22" t="s">
        <v>26667</v>
      </c>
      <c r="BO408" s="22" t="s">
        <v>145</v>
      </c>
      <c r="BP408" s="22" t="s">
        <v>70</v>
      </c>
      <c r="BQ408" s="22" t="s">
        <v>67</v>
      </c>
      <c r="BS408" s="22" t="s">
        <v>26668</v>
      </c>
      <c r="BT408" s="22" t="s">
        <v>145</v>
      </c>
      <c r="BU408" s="22" t="s">
        <v>70</v>
      </c>
      <c r="BV408" s="214" t="s">
        <v>530</v>
      </c>
      <c r="BX408" s="22" t="s">
        <v>26669</v>
      </c>
      <c r="BY408" s="22" t="s">
        <v>145</v>
      </c>
      <c r="BZ408" s="22" t="s">
        <v>70</v>
      </c>
      <c r="CA408" s="214" t="s">
        <v>530</v>
      </c>
      <c r="CC408" s="214" t="s">
        <v>26670</v>
      </c>
      <c r="CD408" s="214" t="s">
        <v>34516</v>
      </c>
      <c r="CE408" s="214" t="s">
        <v>70</v>
      </c>
      <c r="CF408" s="214" t="s">
        <v>530</v>
      </c>
      <c r="CH408" s="214" t="s">
        <v>26671</v>
      </c>
      <c r="CI408" s="214" t="s">
        <v>164</v>
      </c>
      <c r="CJ408" s="214" t="s">
        <v>70</v>
      </c>
      <c r="CK408" s="214" t="s">
        <v>530</v>
      </c>
      <c r="CM408" s="214" t="s">
        <v>26672</v>
      </c>
      <c r="CN408" s="214" t="s">
        <v>34545</v>
      </c>
      <c r="CO408" s="214" t="s">
        <v>70</v>
      </c>
      <c r="CP408" s="214" t="s">
        <v>530</v>
      </c>
      <c r="CR408" s="214" t="s">
        <v>26673</v>
      </c>
      <c r="CS408" s="214" t="s">
        <v>600</v>
      </c>
      <c r="CT408" s="214" t="s">
        <v>70</v>
      </c>
      <c r="CU408" s="214" t="s">
        <v>530</v>
      </c>
      <c r="CW408" s="214" t="s">
        <v>26674</v>
      </c>
      <c r="CX408" s="214" t="s">
        <v>485</v>
      </c>
      <c r="CY408" s="214" t="s">
        <v>70</v>
      </c>
      <c r="CZ408" s="214" t="s">
        <v>530</v>
      </c>
      <c r="DB408" s="214" t="s">
        <v>26675</v>
      </c>
      <c r="DC408" s="214" t="s">
        <v>468</v>
      </c>
      <c r="DD408" s="214" t="s">
        <v>70</v>
      </c>
      <c r="DE408" s="214" t="s">
        <v>530</v>
      </c>
      <c r="DG408" s="214" t="s">
        <v>26676</v>
      </c>
      <c r="DH408" s="214" t="s">
        <v>93</v>
      </c>
      <c r="DI408" s="214" t="s">
        <v>70</v>
      </c>
      <c r="DJ408" s="214" t="s">
        <v>530</v>
      </c>
      <c r="DL408" s="214" t="s">
        <v>26677</v>
      </c>
      <c r="DM408" s="214" t="s">
        <v>52</v>
      </c>
      <c r="DN408" s="214" t="s">
        <v>70</v>
      </c>
      <c r="DO408" s="214" t="s">
        <v>530</v>
      </c>
      <c r="DQ408" s="214" t="s">
        <v>26678</v>
      </c>
      <c r="DR408" s="214" t="s">
        <v>52</v>
      </c>
      <c r="DS408" s="214" t="s">
        <v>70</v>
      </c>
      <c r="DT408" s="214" t="s">
        <v>530</v>
      </c>
      <c r="DV408" s="214" t="s">
        <v>26679</v>
      </c>
      <c r="DW408" s="214" t="s">
        <v>491</v>
      </c>
      <c r="DX408" s="214" t="s">
        <v>70</v>
      </c>
      <c r="DY408" s="214" t="s">
        <v>530</v>
      </c>
      <c r="EA408" s="214" t="s">
        <v>26680</v>
      </c>
      <c r="EB408" s="214" t="s">
        <v>34611</v>
      </c>
      <c r="EC408" s="214" t="s">
        <v>70</v>
      </c>
      <c r="ED408" s="214" t="s">
        <v>530</v>
      </c>
      <c r="EF408" s="214" t="s">
        <v>26681</v>
      </c>
      <c r="EG408" s="214" t="s">
        <v>468</v>
      </c>
      <c r="EH408" s="214" t="s">
        <v>70</v>
      </c>
      <c r="EI408" s="214" t="s">
        <v>530</v>
      </c>
      <c r="EK408" s="214" t="s">
        <v>26682</v>
      </c>
      <c r="EL408" s="214" t="s">
        <v>103</v>
      </c>
      <c r="EM408" s="214" t="s">
        <v>70</v>
      </c>
      <c r="EN408" s="214" t="s">
        <v>530</v>
      </c>
      <c r="EP408" s="214" t="s">
        <v>26683</v>
      </c>
      <c r="EQ408" s="214" t="s">
        <v>34590</v>
      </c>
      <c r="ER408" s="214" t="s">
        <v>70</v>
      </c>
      <c r="ES408" s="214" t="s">
        <v>530</v>
      </c>
      <c r="EU408" s="214" t="s">
        <v>26684</v>
      </c>
      <c r="EV408" s="214" t="s">
        <v>500</v>
      </c>
      <c r="EW408" s="214" t="s">
        <v>70</v>
      </c>
      <c r="EX408" s="214" t="s">
        <v>530</v>
      </c>
      <c r="EZ408" s="214" t="s">
        <v>26685</v>
      </c>
      <c r="FA408" s="214" t="s">
        <v>641</v>
      </c>
      <c r="FB408" s="214" t="s">
        <v>70</v>
      </c>
      <c r="FC408" s="214" t="s">
        <v>530</v>
      </c>
      <c r="FE408" s="214" t="s">
        <v>26686</v>
      </c>
      <c r="FF408" s="214" t="s">
        <v>90</v>
      </c>
      <c r="FG408" s="214" t="s">
        <v>70</v>
      </c>
      <c r="FH408" s="214" t="s">
        <v>530</v>
      </c>
      <c r="FJ408" s="321" t="s">
        <v>26687</v>
      </c>
      <c r="FK408" s="214" t="s">
        <v>34571</v>
      </c>
      <c r="FL408" s="214" t="s">
        <v>70</v>
      </c>
      <c r="FM408" s="214" t="s">
        <v>530</v>
      </c>
      <c r="FO408" s="321" t="s">
        <v>26688</v>
      </c>
      <c r="FP408" s="214" t="s">
        <v>148</v>
      </c>
      <c r="FQ408" s="214" t="s">
        <v>70</v>
      </c>
      <c r="FR408" s="214" t="s">
        <v>530</v>
      </c>
      <c r="FT408" s="321" t="s">
        <v>26689</v>
      </c>
      <c r="FU408" s="214" t="s">
        <v>148</v>
      </c>
      <c r="FV408" s="214" t="s">
        <v>70</v>
      </c>
      <c r="FW408" s="214" t="s">
        <v>530</v>
      </c>
      <c r="FY408" s="321" t="s">
        <v>26690</v>
      </c>
      <c r="FZ408" s="214" t="s">
        <v>492</v>
      </c>
      <c r="GA408" s="214" t="s">
        <v>70</v>
      </c>
      <c r="GB408" s="214" t="s">
        <v>530</v>
      </c>
      <c r="GD408" s="321" t="s">
        <v>26691</v>
      </c>
      <c r="GE408" s="214" t="s">
        <v>164</v>
      </c>
      <c r="GF408" s="214" t="s">
        <v>70</v>
      </c>
      <c r="GG408" s="214" t="s">
        <v>530</v>
      </c>
      <c r="GI408" s="321" t="s">
        <v>26692</v>
      </c>
      <c r="GJ408" s="214" t="s">
        <v>148</v>
      </c>
      <c r="GK408" s="214" t="s">
        <v>70</v>
      </c>
      <c r="GL408" s="214" t="s">
        <v>530</v>
      </c>
      <c r="GN408" s="321" t="s">
        <v>26693</v>
      </c>
      <c r="GO408" s="214" t="s">
        <v>34560</v>
      </c>
      <c r="GP408" s="214" t="s">
        <v>70</v>
      </c>
      <c r="GQ408" s="214" t="s">
        <v>530</v>
      </c>
      <c r="GS408" s="321" t="s">
        <v>26694</v>
      </c>
      <c r="GT408" s="214" t="s">
        <v>642</v>
      </c>
      <c r="GU408" s="214" t="s">
        <v>70</v>
      </c>
      <c r="GV408" s="214" t="s">
        <v>530</v>
      </c>
      <c r="GX408" s="214" t="s">
        <v>26695</v>
      </c>
      <c r="GY408" s="214" t="s">
        <v>52</v>
      </c>
      <c r="GZ408" s="214" t="s">
        <v>70</v>
      </c>
      <c r="HA408" s="214" t="s">
        <v>530</v>
      </c>
      <c r="HC408" s="214" t="s">
        <v>26696</v>
      </c>
      <c r="HD408" s="214" t="s">
        <v>529</v>
      </c>
      <c r="HE408" s="214" t="s">
        <v>70</v>
      </c>
      <c r="HF408" s="214" t="s">
        <v>530</v>
      </c>
      <c r="HH408" s="214" t="s">
        <v>26697</v>
      </c>
      <c r="HI408" s="214" t="s">
        <v>641</v>
      </c>
      <c r="HJ408" s="214" t="s">
        <v>70</v>
      </c>
      <c r="HK408" s="214" t="s">
        <v>530</v>
      </c>
      <c r="HM408" s="214" t="s">
        <v>26698</v>
      </c>
      <c r="HN408" s="214" t="s">
        <v>34555</v>
      </c>
      <c r="HO408" s="214" t="s">
        <v>70</v>
      </c>
      <c r="HP408" s="214" t="s">
        <v>530</v>
      </c>
      <c r="HR408" s="22" t="s">
        <v>26699</v>
      </c>
      <c r="HS408" s="22" t="s">
        <v>34581</v>
      </c>
      <c r="HT408" s="22" t="s">
        <v>70</v>
      </c>
      <c r="HU408" s="214" t="s">
        <v>530</v>
      </c>
      <c r="HW408" s="22" t="s">
        <v>26700</v>
      </c>
      <c r="HX408" s="22" t="s">
        <v>34614</v>
      </c>
      <c r="HY408" s="22" t="s">
        <v>70</v>
      </c>
      <c r="HZ408" s="214" t="s">
        <v>530</v>
      </c>
      <c r="IB408" s="22" t="s">
        <v>26701</v>
      </c>
      <c r="IC408" s="22" t="s">
        <v>163</v>
      </c>
      <c r="ID408" s="22" t="s">
        <v>70</v>
      </c>
      <c r="IE408" s="214" t="s">
        <v>530</v>
      </c>
      <c r="IG408" s="22" t="s">
        <v>26702</v>
      </c>
      <c r="IH408" s="22" t="s">
        <v>52</v>
      </c>
      <c r="II408" s="22" t="s">
        <v>70</v>
      </c>
      <c r="IJ408" s="214" t="s">
        <v>530</v>
      </c>
      <c r="IL408" s="22" t="s">
        <v>26703</v>
      </c>
      <c r="IM408" s="22" t="s">
        <v>145</v>
      </c>
      <c r="IN408" s="22" t="s">
        <v>70</v>
      </c>
      <c r="IO408" s="214" t="s">
        <v>530</v>
      </c>
      <c r="IQ408" s="236" t="s">
        <v>26704</v>
      </c>
      <c r="IR408" s="236" t="s">
        <v>145</v>
      </c>
      <c r="IS408" s="236" t="s">
        <v>74</v>
      </c>
      <c r="IT408" s="236" t="s">
        <v>841</v>
      </c>
      <c r="IV408" s="236" t="s">
        <v>26705</v>
      </c>
      <c r="IW408" s="236" t="s">
        <v>145</v>
      </c>
      <c r="IX408" s="236" t="s">
        <v>74</v>
      </c>
      <c r="IY408" s="236" t="s">
        <v>841</v>
      </c>
      <c r="JA408" s="236" t="s">
        <v>26706</v>
      </c>
      <c r="JB408" s="236" t="s">
        <v>145</v>
      </c>
      <c r="JC408" s="236" t="s">
        <v>74</v>
      </c>
      <c r="JD408" s="236" t="s">
        <v>841</v>
      </c>
      <c r="JF408" s="236" t="s">
        <v>26707</v>
      </c>
      <c r="JG408" s="236" t="s">
        <v>145</v>
      </c>
      <c r="JH408" s="236" t="s">
        <v>74</v>
      </c>
      <c r="JI408" s="236" t="s">
        <v>841</v>
      </c>
      <c r="JK408" s="236" t="s">
        <v>26708</v>
      </c>
      <c r="JL408" s="236" t="s">
        <v>145</v>
      </c>
      <c r="JM408" s="236" t="s">
        <v>74</v>
      </c>
      <c r="JN408" s="236" t="s">
        <v>841</v>
      </c>
      <c r="JP408" s="236" t="s">
        <v>26709</v>
      </c>
      <c r="JQ408" s="236" t="s">
        <v>145</v>
      </c>
      <c r="JR408" s="236" t="s">
        <v>74</v>
      </c>
      <c r="JS408" s="236" t="s">
        <v>841</v>
      </c>
      <c r="JU408" s="294" t="s">
        <v>26710</v>
      </c>
      <c r="JV408" s="294" t="s">
        <v>52</v>
      </c>
      <c r="JW408" s="263" t="s">
        <v>70</v>
      </c>
      <c r="JX408" s="294" t="s">
        <v>1083</v>
      </c>
      <c r="JZ408" s="263" t="s">
        <v>26711</v>
      </c>
      <c r="KA408" s="263" t="s">
        <v>145</v>
      </c>
      <c r="KB408" s="263" t="s">
        <v>70</v>
      </c>
      <c r="KC408" s="263" t="s">
        <v>1083</v>
      </c>
      <c r="KE408" s="263" t="s">
        <v>26712</v>
      </c>
      <c r="KF408" s="263" t="s">
        <v>52</v>
      </c>
      <c r="KG408" s="263" t="s">
        <v>70</v>
      </c>
      <c r="KH408" s="263" t="s">
        <v>1083</v>
      </c>
      <c r="KJ408" s="263" t="s">
        <v>26713</v>
      </c>
      <c r="KK408" s="263" t="s">
        <v>52</v>
      </c>
      <c r="KL408" s="263" t="s">
        <v>74</v>
      </c>
      <c r="KM408" s="263" t="s">
        <v>34074</v>
      </c>
      <c r="KO408" s="214" t="s">
        <v>26714</v>
      </c>
      <c r="KP408" s="214" t="s">
        <v>145</v>
      </c>
      <c r="KQ408" s="214" t="s">
        <v>70</v>
      </c>
      <c r="KR408" s="214" t="s">
        <v>67</v>
      </c>
      <c r="KT408" s="22" t="s">
        <v>26715</v>
      </c>
      <c r="KU408" s="22" t="s">
        <v>145</v>
      </c>
      <c r="KV408" s="22" t="s">
        <v>70</v>
      </c>
      <c r="KW408" s="22" t="s">
        <v>67</v>
      </c>
      <c r="KY408" s="214" t="s">
        <v>26716</v>
      </c>
      <c r="KZ408" s="214" t="s">
        <v>52</v>
      </c>
      <c r="LA408" s="214" t="s">
        <v>74</v>
      </c>
      <c r="LB408" s="214" t="s">
        <v>67</v>
      </c>
      <c r="LD408" s="22" t="s">
        <v>26717</v>
      </c>
      <c r="LE408" s="22" t="s">
        <v>145</v>
      </c>
      <c r="LF408" s="22" t="s">
        <v>70</v>
      </c>
      <c r="LG408" s="22" t="s">
        <v>67</v>
      </c>
    </row>
    <row r="409" spans="1:319">
      <c r="A409" s="22" t="s">
        <v>26718</v>
      </c>
      <c r="B409" s="22" t="s">
        <v>145</v>
      </c>
      <c r="C409" s="22" t="s">
        <v>70</v>
      </c>
      <c r="D409" s="22" t="s">
        <v>67</v>
      </c>
      <c r="F409" s="96" t="s">
        <v>26719</v>
      </c>
      <c r="G409" s="22" t="s">
        <v>145</v>
      </c>
      <c r="H409" s="22" t="s">
        <v>70</v>
      </c>
      <c r="I409" s="22" t="s">
        <v>67</v>
      </c>
      <c r="K409" s="99" t="s">
        <v>26720</v>
      </c>
      <c r="L409" s="22" t="s">
        <v>145</v>
      </c>
      <c r="M409" s="22" t="s">
        <v>70</v>
      </c>
      <c r="N409" s="22" t="s">
        <v>67</v>
      </c>
      <c r="P409" s="230" t="s">
        <v>26721</v>
      </c>
      <c r="Q409" s="218" t="s">
        <v>145</v>
      </c>
      <c r="R409" s="218" t="s">
        <v>72</v>
      </c>
      <c r="S409" s="218" t="s">
        <v>34010</v>
      </c>
      <c r="U409" s="293" t="s">
        <v>26722</v>
      </c>
      <c r="V409" s="293" t="s">
        <v>145</v>
      </c>
      <c r="W409" s="293" t="s">
        <v>74</v>
      </c>
      <c r="X409" s="293" t="s">
        <v>656</v>
      </c>
      <c r="Z409" s="293" t="s">
        <v>26723</v>
      </c>
      <c r="AA409" s="293" t="s">
        <v>145</v>
      </c>
      <c r="AB409" s="293" t="s">
        <v>74</v>
      </c>
      <c r="AC409" s="293" t="s">
        <v>656</v>
      </c>
      <c r="AE409" s="293" t="s">
        <v>26724</v>
      </c>
      <c r="AF409" s="293" t="s">
        <v>145</v>
      </c>
      <c r="AG409" s="293" t="s">
        <v>74</v>
      </c>
      <c r="AH409" s="293" t="s">
        <v>656</v>
      </c>
      <c r="AJ409" s="293" t="s">
        <v>26725</v>
      </c>
      <c r="AK409" s="293" t="s">
        <v>145</v>
      </c>
      <c r="AL409" s="293" t="s">
        <v>74</v>
      </c>
      <c r="AM409" s="293" t="s">
        <v>656</v>
      </c>
      <c r="AO409" s="22" t="s">
        <v>26726</v>
      </c>
      <c r="AP409" s="22" t="s">
        <v>145</v>
      </c>
      <c r="AQ409" s="22" t="s">
        <v>70</v>
      </c>
      <c r="AR409" s="22" t="s">
        <v>67</v>
      </c>
      <c r="AT409" s="22" t="s">
        <v>26727</v>
      </c>
      <c r="AU409" s="22" t="s">
        <v>145</v>
      </c>
      <c r="AV409" s="22" t="s">
        <v>70</v>
      </c>
      <c r="AW409" s="22" t="s">
        <v>67</v>
      </c>
      <c r="AY409" s="22" t="s">
        <v>26728</v>
      </c>
      <c r="AZ409" s="22" t="s">
        <v>145</v>
      </c>
      <c r="BA409" s="22" t="s">
        <v>70</v>
      </c>
      <c r="BB409" s="22" t="s">
        <v>67</v>
      </c>
      <c r="BD409" s="22" t="s">
        <v>26729</v>
      </c>
      <c r="BE409" s="22" t="s">
        <v>145</v>
      </c>
      <c r="BF409" s="22" t="s">
        <v>70</v>
      </c>
      <c r="BG409" s="22" t="s">
        <v>67</v>
      </c>
      <c r="BI409" s="22" t="s">
        <v>26730</v>
      </c>
      <c r="BJ409" s="22" t="s">
        <v>145</v>
      </c>
      <c r="BK409" s="22" t="s">
        <v>70</v>
      </c>
      <c r="BL409" s="22" t="s">
        <v>67</v>
      </c>
      <c r="BN409" s="22" t="s">
        <v>26731</v>
      </c>
      <c r="BO409" s="22" t="s">
        <v>145</v>
      </c>
      <c r="BP409" s="22" t="s">
        <v>70</v>
      </c>
      <c r="BQ409" s="22" t="s">
        <v>67</v>
      </c>
      <c r="BS409" s="22" t="s">
        <v>26732</v>
      </c>
      <c r="BT409" s="22" t="s">
        <v>145</v>
      </c>
      <c r="BU409" s="22" t="s">
        <v>70</v>
      </c>
      <c r="BV409" s="214" t="s">
        <v>530</v>
      </c>
      <c r="BX409" s="22" t="s">
        <v>26733</v>
      </c>
      <c r="BY409" s="22" t="s">
        <v>145</v>
      </c>
      <c r="BZ409" s="22" t="s">
        <v>70</v>
      </c>
      <c r="CA409" s="214" t="s">
        <v>530</v>
      </c>
      <c r="CC409" s="214" t="s">
        <v>26734</v>
      </c>
      <c r="CD409" s="214" t="s">
        <v>34544</v>
      </c>
      <c r="CE409" s="214" t="s">
        <v>70</v>
      </c>
      <c r="CF409" s="214" t="s">
        <v>530</v>
      </c>
      <c r="CH409" s="214" t="s">
        <v>26735</v>
      </c>
      <c r="CI409" s="214" t="s">
        <v>34565</v>
      </c>
      <c r="CJ409" s="214" t="s">
        <v>70</v>
      </c>
      <c r="CK409" s="214" t="s">
        <v>530</v>
      </c>
      <c r="CM409" s="214" t="s">
        <v>26736</v>
      </c>
      <c r="CN409" s="214" t="s">
        <v>34551</v>
      </c>
      <c r="CO409" s="214" t="s">
        <v>70</v>
      </c>
      <c r="CP409" s="214" t="s">
        <v>530</v>
      </c>
      <c r="CR409" s="214" t="s">
        <v>26737</v>
      </c>
      <c r="CS409" s="214" t="s">
        <v>148</v>
      </c>
      <c r="CT409" s="214" t="s">
        <v>70</v>
      </c>
      <c r="CU409" s="214" t="s">
        <v>530</v>
      </c>
      <c r="CW409" s="214" t="s">
        <v>26738</v>
      </c>
      <c r="CX409" s="214" t="s">
        <v>146</v>
      </c>
      <c r="CY409" s="214" t="s">
        <v>70</v>
      </c>
      <c r="CZ409" s="214" t="s">
        <v>530</v>
      </c>
      <c r="DB409" s="214" t="s">
        <v>26739</v>
      </c>
      <c r="DC409" s="214" t="s">
        <v>484</v>
      </c>
      <c r="DD409" s="214" t="s">
        <v>70</v>
      </c>
      <c r="DE409" s="214" t="s">
        <v>530</v>
      </c>
      <c r="DG409" s="214" t="s">
        <v>26740</v>
      </c>
      <c r="DH409" s="214" t="s">
        <v>93</v>
      </c>
      <c r="DI409" s="214" t="s">
        <v>70</v>
      </c>
      <c r="DJ409" s="214" t="s">
        <v>530</v>
      </c>
      <c r="DL409" s="214" t="s">
        <v>26741</v>
      </c>
      <c r="DM409" s="214" t="s">
        <v>163</v>
      </c>
      <c r="DN409" s="214" t="s">
        <v>70</v>
      </c>
      <c r="DO409" s="214" t="s">
        <v>530</v>
      </c>
      <c r="DQ409" s="214" t="s">
        <v>26742</v>
      </c>
      <c r="DR409" s="214" t="s">
        <v>34562</v>
      </c>
      <c r="DS409" s="214" t="s">
        <v>70</v>
      </c>
      <c r="DT409" s="214" t="s">
        <v>530</v>
      </c>
      <c r="DV409" s="214" t="s">
        <v>26743</v>
      </c>
      <c r="DW409" s="214" t="s">
        <v>88</v>
      </c>
      <c r="DX409" s="214" t="s">
        <v>70</v>
      </c>
      <c r="DY409" s="214" t="s">
        <v>530</v>
      </c>
      <c r="EA409" s="214" t="s">
        <v>26744</v>
      </c>
      <c r="EB409" s="214" t="s">
        <v>484</v>
      </c>
      <c r="EC409" s="214" t="s">
        <v>70</v>
      </c>
      <c r="ED409" s="214" t="s">
        <v>530</v>
      </c>
      <c r="EF409" s="214" t="s">
        <v>26745</v>
      </c>
      <c r="EG409" s="214" t="s">
        <v>52</v>
      </c>
      <c r="EH409" s="214" t="s">
        <v>70</v>
      </c>
      <c r="EI409" s="214" t="s">
        <v>530</v>
      </c>
      <c r="EK409" s="214" t="s">
        <v>26746</v>
      </c>
      <c r="EL409" s="214" t="s">
        <v>52</v>
      </c>
      <c r="EM409" s="214" t="s">
        <v>70</v>
      </c>
      <c r="EN409" s="214" t="s">
        <v>530</v>
      </c>
      <c r="EP409" s="214" t="s">
        <v>26747</v>
      </c>
      <c r="EQ409" s="214" t="s">
        <v>599</v>
      </c>
      <c r="ER409" s="214" t="s">
        <v>70</v>
      </c>
      <c r="ES409" s="214" t="s">
        <v>530</v>
      </c>
      <c r="EU409" s="214" t="s">
        <v>26748</v>
      </c>
      <c r="EV409" s="214" t="s">
        <v>501</v>
      </c>
      <c r="EW409" s="214" t="s">
        <v>70</v>
      </c>
      <c r="EX409" s="214" t="s">
        <v>530</v>
      </c>
      <c r="EZ409" s="214" t="s">
        <v>26749</v>
      </c>
      <c r="FA409" s="214" t="s">
        <v>34579</v>
      </c>
      <c r="FB409" s="214" t="s">
        <v>70</v>
      </c>
      <c r="FC409" s="214" t="s">
        <v>530</v>
      </c>
      <c r="FE409" s="214" t="s">
        <v>26750</v>
      </c>
      <c r="FF409" s="214" t="s">
        <v>487</v>
      </c>
      <c r="FG409" s="214" t="s">
        <v>70</v>
      </c>
      <c r="FH409" s="214" t="s">
        <v>530</v>
      </c>
      <c r="FJ409" s="321" t="s">
        <v>26751</v>
      </c>
      <c r="FK409" s="214" t="s">
        <v>491</v>
      </c>
      <c r="FL409" s="214" t="s">
        <v>70</v>
      </c>
      <c r="FM409" s="214" t="s">
        <v>530</v>
      </c>
      <c r="FO409" s="321" t="s">
        <v>26752</v>
      </c>
      <c r="FP409" s="214" t="s">
        <v>956</v>
      </c>
      <c r="FQ409" s="214" t="s">
        <v>70</v>
      </c>
      <c r="FR409" s="214" t="s">
        <v>530</v>
      </c>
      <c r="FT409" s="321" t="s">
        <v>26753</v>
      </c>
      <c r="FU409" s="214" t="s">
        <v>206</v>
      </c>
      <c r="FV409" s="214" t="s">
        <v>70</v>
      </c>
      <c r="FW409" s="214" t="s">
        <v>530</v>
      </c>
      <c r="FY409" s="321" t="s">
        <v>26754</v>
      </c>
      <c r="FZ409" s="214" t="s">
        <v>287</v>
      </c>
      <c r="GA409" s="214" t="s">
        <v>70</v>
      </c>
      <c r="GB409" s="214" t="s">
        <v>530</v>
      </c>
      <c r="GD409" s="321" t="s">
        <v>26755</v>
      </c>
      <c r="GE409" s="214" t="s">
        <v>950</v>
      </c>
      <c r="GF409" s="214" t="s">
        <v>70</v>
      </c>
      <c r="GG409" s="214" t="s">
        <v>530</v>
      </c>
      <c r="GI409" s="321" t="s">
        <v>26756</v>
      </c>
      <c r="GJ409" s="214" t="s">
        <v>496</v>
      </c>
      <c r="GK409" s="214" t="s">
        <v>70</v>
      </c>
      <c r="GL409" s="214" t="s">
        <v>530</v>
      </c>
      <c r="GN409" s="321" t="s">
        <v>26757</v>
      </c>
      <c r="GO409" s="214" t="s">
        <v>52</v>
      </c>
      <c r="GP409" s="214" t="s">
        <v>70</v>
      </c>
      <c r="GQ409" s="214" t="s">
        <v>530</v>
      </c>
      <c r="GS409" s="321" t="s">
        <v>26758</v>
      </c>
      <c r="GT409" s="214" t="s">
        <v>34539</v>
      </c>
      <c r="GU409" s="214" t="s">
        <v>70</v>
      </c>
      <c r="GV409" s="214" t="s">
        <v>530</v>
      </c>
      <c r="GX409" s="214" t="s">
        <v>26759</v>
      </c>
      <c r="GY409" s="214" t="s">
        <v>502</v>
      </c>
      <c r="GZ409" s="214" t="s">
        <v>70</v>
      </c>
      <c r="HA409" s="214" t="s">
        <v>530</v>
      </c>
      <c r="HC409" s="214" t="s">
        <v>26760</v>
      </c>
      <c r="HD409" s="214" t="s">
        <v>103</v>
      </c>
      <c r="HE409" s="214" t="s">
        <v>70</v>
      </c>
      <c r="HF409" s="214" t="s">
        <v>530</v>
      </c>
      <c r="HH409" s="214" t="s">
        <v>26761</v>
      </c>
      <c r="HI409" s="214" t="s">
        <v>92</v>
      </c>
      <c r="HJ409" s="214" t="s">
        <v>70</v>
      </c>
      <c r="HK409" s="214" t="s">
        <v>530</v>
      </c>
      <c r="HM409" s="214" t="s">
        <v>26762</v>
      </c>
      <c r="HN409" s="214" t="s">
        <v>34545</v>
      </c>
      <c r="HO409" s="214" t="s">
        <v>70</v>
      </c>
      <c r="HP409" s="214" t="s">
        <v>530</v>
      </c>
      <c r="HR409" s="22" t="s">
        <v>26763</v>
      </c>
      <c r="HS409" s="22" t="s">
        <v>501</v>
      </c>
      <c r="HT409" s="22" t="s">
        <v>70</v>
      </c>
      <c r="HU409" s="214" t="s">
        <v>530</v>
      </c>
      <c r="HW409" s="22" t="s">
        <v>26764</v>
      </c>
      <c r="HX409" s="22" t="s">
        <v>34579</v>
      </c>
      <c r="HY409" s="22" t="s">
        <v>70</v>
      </c>
      <c r="HZ409" s="214" t="s">
        <v>530</v>
      </c>
      <c r="IB409" s="22" t="s">
        <v>26765</v>
      </c>
      <c r="IC409" s="22" t="s">
        <v>488</v>
      </c>
      <c r="ID409" s="22" t="s">
        <v>70</v>
      </c>
      <c r="IE409" s="214" t="s">
        <v>530</v>
      </c>
      <c r="IG409" s="22" t="s">
        <v>26766</v>
      </c>
      <c r="IH409" s="22" t="s">
        <v>52</v>
      </c>
      <c r="II409" s="22" t="s">
        <v>70</v>
      </c>
      <c r="IJ409" s="214" t="s">
        <v>530</v>
      </c>
      <c r="IL409" s="22" t="s">
        <v>26767</v>
      </c>
      <c r="IM409" s="22" t="s">
        <v>145</v>
      </c>
      <c r="IN409" s="22" t="s">
        <v>70</v>
      </c>
      <c r="IO409" s="214" t="s">
        <v>530</v>
      </c>
      <c r="IQ409" s="236" t="s">
        <v>26768</v>
      </c>
      <c r="IR409" s="236" t="s">
        <v>145</v>
      </c>
      <c r="IS409" s="236" t="s">
        <v>74</v>
      </c>
      <c r="IT409" s="236" t="s">
        <v>841</v>
      </c>
      <c r="IV409" s="236" t="s">
        <v>26769</v>
      </c>
      <c r="IW409" s="236" t="s">
        <v>145</v>
      </c>
      <c r="IX409" s="236" t="s">
        <v>74</v>
      </c>
      <c r="IY409" s="236" t="s">
        <v>841</v>
      </c>
      <c r="JA409" s="236" t="s">
        <v>26770</v>
      </c>
      <c r="JB409" s="236" t="s">
        <v>145</v>
      </c>
      <c r="JC409" s="236" t="s">
        <v>74</v>
      </c>
      <c r="JD409" s="236" t="s">
        <v>841</v>
      </c>
      <c r="JF409" s="236" t="s">
        <v>26771</v>
      </c>
      <c r="JG409" s="236" t="s">
        <v>145</v>
      </c>
      <c r="JH409" s="236" t="s">
        <v>74</v>
      </c>
      <c r="JI409" s="236" t="s">
        <v>841</v>
      </c>
      <c r="JK409" s="236" t="s">
        <v>26772</v>
      </c>
      <c r="JL409" s="236" t="s">
        <v>145</v>
      </c>
      <c r="JM409" s="236" t="s">
        <v>74</v>
      </c>
      <c r="JN409" s="236" t="s">
        <v>841</v>
      </c>
      <c r="JP409" s="236" t="s">
        <v>26773</v>
      </c>
      <c r="JQ409" s="236" t="s">
        <v>145</v>
      </c>
      <c r="JR409" s="236" t="s">
        <v>74</v>
      </c>
      <c r="JS409" s="236" t="s">
        <v>841</v>
      </c>
      <c r="JU409" s="294" t="s">
        <v>26774</v>
      </c>
      <c r="JV409" s="294" t="s">
        <v>52</v>
      </c>
      <c r="JW409" s="263" t="s">
        <v>70</v>
      </c>
      <c r="JX409" s="294" t="s">
        <v>1083</v>
      </c>
      <c r="JZ409" s="263" t="s">
        <v>26775</v>
      </c>
      <c r="KA409" s="263" t="s">
        <v>145</v>
      </c>
      <c r="KB409" s="263" t="s">
        <v>70</v>
      </c>
      <c r="KC409" s="263" t="s">
        <v>1083</v>
      </c>
      <c r="KE409" s="263" t="s">
        <v>26776</v>
      </c>
      <c r="KF409" s="263" t="s">
        <v>52</v>
      </c>
      <c r="KG409" s="263" t="s">
        <v>70</v>
      </c>
      <c r="KH409" s="263" t="s">
        <v>1083</v>
      </c>
      <c r="KJ409" s="263" t="s">
        <v>26777</v>
      </c>
      <c r="KK409" s="263" t="s">
        <v>52</v>
      </c>
      <c r="KL409" s="263" t="s">
        <v>74</v>
      </c>
      <c r="KM409" s="263" t="s">
        <v>34074</v>
      </c>
      <c r="KO409" s="214" t="s">
        <v>26778</v>
      </c>
      <c r="KP409" s="214" t="s">
        <v>145</v>
      </c>
      <c r="KQ409" s="214" t="s">
        <v>70</v>
      </c>
      <c r="KR409" s="214" t="s">
        <v>67</v>
      </c>
      <c r="KT409" s="22" t="s">
        <v>26779</v>
      </c>
      <c r="KU409" s="22" t="s">
        <v>145</v>
      </c>
      <c r="KV409" s="22" t="s">
        <v>70</v>
      </c>
      <c r="KW409" s="22" t="s">
        <v>67</v>
      </c>
      <c r="KY409" s="214" t="s">
        <v>26780</v>
      </c>
      <c r="KZ409" s="214" t="s">
        <v>52</v>
      </c>
      <c r="LA409" s="214" t="s">
        <v>74</v>
      </c>
      <c r="LB409" s="214" t="s">
        <v>67</v>
      </c>
      <c r="LD409" s="22" t="s">
        <v>26781</v>
      </c>
      <c r="LE409" s="22" t="s">
        <v>145</v>
      </c>
      <c r="LF409" s="22" t="s">
        <v>70</v>
      </c>
      <c r="LG409" s="22" t="s">
        <v>67</v>
      </c>
    </row>
    <row r="410" spans="1:319">
      <c r="A410" s="22" t="s">
        <v>26782</v>
      </c>
      <c r="B410" s="22" t="s">
        <v>145</v>
      </c>
      <c r="C410" s="22" t="s">
        <v>70</v>
      </c>
      <c r="D410" s="22" t="s">
        <v>67</v>
      </c>
      <c r="F410" s="96" t="s">
        <v>26783</v>
      </c>
      <c r="G410" s="22" t="s">
        <v>145</v>
      </c>
      <c r="H410" s="22" t="s">
        <v>70</v>
      </c>
      <c r="I410" s="22" t="s">
        <v>67</v>
      </c>
      <c r="K410" s="99" t="s">
        <v>26784</v>
      </c>
      <c r="L410" s="22" t="s">
        <v>145</v>
      </c>
      <c r="M410" s="22" t="s">
        <v>70</v>
      </c>
      <c r="N410" s="22" t="s">
        <v>67</v>
      </c>
      <c r="P410" s="230" t="s">
        <v>26785</v>
      </c>
      <c r="Q410" s="218" t="s">
        <v>145</v>
      </c>
      <c r="R410" s="218" t="s">
        <v>72</v>
      </c>
      <c r="S410" s="218" t="s">
        <v>34011</v>
      </c>
      <c r="U410" s="293" t="s">
        <v>26786</v>
      </c>
      <c r="V410" s="293" t="s">
        <v>145</v>
      </c>
      <c r="W410" s="293" t="s">
        <v>74</v>
      </c>
      <c r="X410" s="293" t="s">
        <v>656</v>
      </c>
      <c r="Z410" s="293" t="s">
        <v>26787</v>
      </c>
      <c r="AA410" s="293" t="s">
        <v>145</v>
      </c>
      <c r="AB410" s="293" t="s">
        <v>74</v>
      </c>
      <c r="AC410" s="293" t="s">
        <v>656</v>
      </c>
      <c r="AE410" s="293" t="s">
        <v>26788</v>
      </c>
      <c r="AF410" s="293" t="s">
        <v>145</v>
      </c>
      <c r="AG410" s="293" t="s">
        <v>74</v>
      </c>
      <c r="AH410" s="293" t="s">
        <v>656</v>
      </c>
      <c r="AJ410" s="293" t="s">
        <v>26789</v>
      </c>
      <c r="AK410" s="293" t="s">
        <v>145</v>
      </c>
      <c r="AL410" s="293" t="s">
        <v>74</v>
      </c>
      <c r="AM410" s="293" t="s">
        <v>656</v>
      </c>
      <c r="AO410" s="22" t="s">
        <v>26790</v>
      </c>
      <c r="AP410" s="22" t="s">
        <v>145</v>
      </c>
      <c r="AQ410" s="22" t="s">
        <v>70</v>
      </c>
      <c r="AR410" s="22" t="s">
        <v>67</v>
      </c>
      <c r="AT410" s="22" t="s">
        <v>26791</v>
      </c>
      <c r="AU410" s="22" t="s">
        <v>145</v>
      </c>
      <c r="AV410" s="22" t="s">
        <v>70</v>
      </c>
      <c r="AW410" s="22" t="s">
        <v>67</v>
      </c>
      <c r="AY410" s="22" t="s">
        <v>26792</v>
      </c>
      <c r="AZ410" s="22" t="s">
        <v>145</v>
      </c>
      <c r="BA410" s="22" t="s">
        <v>70</v>
      </c>
      <c r="BB410" s="22" t="s">
        <v>67</v>
      </c>
      <c r="BD410" s="22" t="s">
        <v>26793</v>
      </c>
      <c r="BE410" s="22" t="s">
        <v>145</v>
      </c>
      <c r="BF410" s="22" t="s">
        <v>70</v>
      </c>
      <c r="BG410" s="22" t="s">
        <v>67</v>
      </c>
      <c r="BI410" s="22" t="s">
        <v>26794</v>
      </c>
      <c r="BJ410" s="22" t="s">
        <v>145</v>
      </c>
      <c r="BK410" s="22" t="s">
        <v>70</v>
      </c>
      <c r="BL410" s="22" t="s">
        <v>67</v>
      </c>
      <c r="BN410" s="22" t="s">
        <v>26795</v>
      </c>
      <c r="BO410" s="22" t="s">
        <v>145</v>
      </c>
      <c r="BP410" s="22" t="s">
        <v>70</v>
      </c>
      <c r="BQ410" s="22" t="s">
        <v>67</v>
      </c>
      <c r="BS410" s="22" t="s">
        <v>26796</v>
      </c>
      <c r="BT410" s="22" t="s">
        <v>145</v>
      </c>
      <c r="BU410" s="22" t="s">
        <v>70</v>
      </c>
      <c r="BV410" s="214" t="s">
        <v>530</v>
      </c>
      <c r="BX410" s="22" t="s">
        <v>26797</v>
      </c>
      <c r="BY410" s="22" t="s">
        <v>145</v>
      </c>
      <c r="BZ410" s="22" t="s">
        <v>70</v>
      </c>
      <c r="CA410" s="214" t="s">
        <v>530</v>
      </c>
      <c r="CC410" s="214" t="s">
        <v>26798</v>
      </c>
      <c r="CD410" s="214" t="s">
        <v>495</v>
      </c>
      <c r="CE410" s="214" t="s">
        <v>70</v>
      </c>
      <c r="CF410" s="214" t="s">
        <v>530</v>
      </c>
      <c r="CH410" s="214" t="s">
        <v>26799</v>
      </c>
      <c r="CI410" s="214" t="s">
        <v>148</v>
      </c>
      <c r="CJ410" s="214" t="s">
        <v>70</v>
      </c>
      <c r="CK410" s="214" t="s">
        <v>530</v>
      </c>
      <c r="CM410" s="214" t="s">
        <v>26800</v>
      </c>
      <c r="CN410" s="214" t="s">
        <v>34606</v>
      </c>
      <c r="CO410" s="214" t="s">
        <v>70</v>
      </c>
      <c r="CP410" s="214" t="s">
        <v>530</v>
      </c>
      <c r="CR410" s="214" t="s">
        <v>26801</v>
      </c>
      <c r="CS410" s="214" t="s">
        <v>916</v>
      </c>
      <c r="CT410" s="214" t="s">
        <v>70</v>
      </c>
      <c r="CU410" s="214" t="s">
        <v>530</v>
      </c>
      <c r="CW410" s="214" t="s">
        <v>26802</v>
      </c>
      <c r="CX410" s="214" t="s">
        <v>85</v>
      </c>
      <c r="CY410" s="214" t="s">
        <v>70</v>
      </c>
      <c r="CZ410" s="214" t="s">
        <v>530</v>
      </c>
      <c r="DB410" s="214" t="s">
        <v>26803</v>
      </c>
      <c r="DC410" s="214" t="s">
        <v>485</v>
      </c>
      <c r="DD410" s="214" t="s">
        <v>70</v>
      </c>
      <c r="DE410" s="214" t="s">
        <v>530</v>
      </c>
      <c r="DG410" s="214" t="s">
        <v>26804</v>
      </c>
      <c r="DH410" s="214" t="s">
        <v>52</v>
      </c>
      <c r="DI410" s="214" t="s">
        <v>70</v>
      </c>
      <c r="DJ410" s="214" t="s">
        <v>530</v>
      </c>
      <c r="DL410" s="214" t="s">
        <v>26805</v>
      </c>
      <c r="DM410" s="214" t="s">
        <v>642</v>
      </c>
      <c r="DN410" s="214" t="s">
        <v>70</v>
      </c>
      <c r="DO410" s="214" t="s">
        <v>530</v>
      </c>
      <c r="DQ410" s="214" t="s">
        <v>26806</v>
      </c>
      <c r="DR410" s="214" t="s">
        <v>148</v>
      </c>
      <c r="DS410" s="214" t="s">
        <v>70</v>
      </c>
      <c r="DT410" s="214" t="s">
        <v>530</v>
      </c>
      <c r="DV410" s="214" t="s">
        <v>26807</v>
      </c>
      <c r="DW410" s="214" t="s">
        <v>52</v>
      </c>
      <c r="DX410" s="214" t="s">
        <v>70</v>
      </c>
      <c r="DY410" s="214" t="s">
        <v>530</v>
      </c>
      <c r="EA410" s="214" t="s">
        <v>26808</v>
      </c>
      <c r="EB410" s="214" t="s">
        <v>103</v>
      </c>
      <c r="EC410" s="214" t="s">
        <v>70</v>
      </c>
      <c r="ED410" s="214" t="s">
        <v>530</v>
      </c>
      <c r="EF410" s="214" t="s">
        <v>26809</v>
      </c>
      <c r="EG410" s="214" t="s">
        <v>942</v>
      </c>
      <c r="EH410" s="214" t="s">
        <v>70</v>
      </c>
      <c r="EI410" s="214" t="s">
        <v>530</v>
      </c>
      <c r="EK410" s="214" t="s">
        <v>26810</v>
      </c>
      <c r="EL410" s="214" t="s">
        <v>34564</v>
      </c>
      <c r="EM410" s="214" t="s">
        <v>70</v>
      </c>
      <c r="EN410" s="214" t="s">
        <v>530</v>
      </c>
      <c r="EP410" s="214" t="s">
        <v>26811</v>
      </c>
      <c r="EQ410" s="214" t="s">
        <v>951</v>
      </c>
      <c r="ER410" s="214" t="s">
        <v>70</v>
      </c>
      <c r="ES410" s="214" t="s">
        <v>530</v>
      </c>
      <c r="EU410" s="214" t="s">
        <v>26812</v>
      </c>
      <c r="EV410" s="214" t="s">
        <v>34547</v>
      </c>
      <c r="EW410" s="214" t="s">
        <v>70</v>
      </c>
      <c r="EX410" s="214" t="s">
        <v>530</v>
      </c>
      <c r="EZ410" s="214" t="s">
        <v>26813</v>
      </c>
      <c r="FA410" s="214" t="s">
        <v>52</v>
      </c>
      <c r="FB410" s="214" t="s">
        <v>70</v>
      </c>
      <c r="FC410" s="214" t="s">
        <v>530</v>
      </c>
      <c r="FE410" s="214" t="s">
        <v>26814</v>
      </c>
      <c r="FF410" s="214" t="s">
        <v>34591</v>
      </c>
      <c r="FG410" s="214" t="s">
        <v>70</v>
      </c>
      <c r="FH410" s="214" t="s">
        <v>530</v>
      </c>
      <c r="FJ410" s="321" t="s">
        <v>26815</v>
      </c>
      <c r="FK410" s="214" t="s">
        <v>145</v>
      </c>
      <c r="FL410" s="214" t="s">
        <v>70</v>
      </c>
      <c r="FM410" s="214" t="s">
        <v>530</v>
      </c>
      <c r="FO410" s="321" t="s">
        <v>26816</v>
      </c>
      <c r="FP410" s="214" t="s">
        <v>163</v>
      </c>
      <c r="FQ410" s="214" t="s">
        <v>70</v>
      </c>
      <c r="FR410" s="214" t="s">
        <v>530</v>
      </c>
      <c r="FT410" s="321" t="s">
        <v>26817</v>
      </c>
      <c r="FU410" s="214" t="s">
        <v>149</v>
      </c>
      <c r="FV410" s="214" t="s">
        <v>70</v>
      </c>
      <c r="FW410" s="214" t="s">
        <v>530</v>
      </c>
      <c r="FY410" s="321" t="s">
        <v>26818</v>
      </c>
      <c r="FZ410" s="214" t="s">
        <v>500</v>
      </c>
      <c r="GA410" s="214" t="s">
        <v>70</v>
      </c>
      <c r="GB410" s="214" t="s">
        <v>530</v>
      </c>
      <c r="GD410" s="321" t="s">
        <v>26819</v>
      </c>
      <c r="GE410" s="214" t="s">
        <v>52</v>
      </c>
      <c r="GF410" s="214" t="s">
        <v>70</v>
      </c>
      <c r="GG410" s="214" t="s">
        <v>530</v>
      </c>
      <c r="GI410" s="321" t="s">
        <v>26820</v>
      </c>
      <c r="GJ410" s="214" t="s">
        <v>90</v>
      </c>
      <c r="GK410" s="214" t="s">
        <v>70</v>
      </c>
      <c r="GL410" s="214" t="s">
        <v>530</v>
      </c>
      <c r="GN410" s="321" t="s">
        <v>26821</v>
      </c>
      <c r="GO410" s="214" t="s">
        <v>641</v>
      </c>
      <c r="GP410" s="214" t="s">
        <v>70</v>
      </c>
      <c r="GQ410" s="214" t="s">
        <v>530</v>
      </c>
      <c r="GS410" s="321" t="s">
        <v>26822</v>
      </c>
      <c r="GT410" s="214" t="s">
        <v>146</v>
      </c>
      <c r="GU410" s="214" t="s">
        <v>70</v>
      </c>
      <c r="GV410" s="214" t="s">
        <v>530</v>
      </c>
      <c r="GX410" s="214" t="s">
        <v>26823</v>
      </c>
      <c r="GY410" s="214" t="s">
        <v>498</v>
      </c>
      <c r="GZ410" s="214" t="s">
        <v>70</v>
      </c>
      <c r="HA410" s="214" t="s">
        <v>530</v>
      </c>
      <c r="HC410" s="214" t="s">
        <v>26824</v>
      </c>
      <c r="HD410" s="214" t="s">
        <v>34574</v>
      </c>
      <c r="HE410" s="214" t="s">
        <v>70</v>
      </c>
      <c r="HF410" s="214" t="s">
        <v>530</v>
      </c>
      <c r="HH410" s="214" t="s">
        <v>26825</v>
      </c>
      <c r="HI410" s="214" t="s">
        <v>52</v>
      </c>
      <c r="HJ410" s="214" t="s">
        <v>70</v>
      </c>
      <c r="HK410" s="214" t="s">
        <v>530</v>
      </c>
      <c r="HM410" s="214" t="s">
        <v>26826</v>
      </c>
      <c r="HN410" s="214" t="s">
        <v>636</v>
      </c>
      <c r="HO410" s="214" t="s">
        <v>70</v>
      </c>
      <c r="HP410" s="214" t="s">
        <v>530</v>
      </c>
      <c r="HR410" s="22" t="s">
        <v>26827</v>
      </c>
      <c r="HS410" s="22" t="s">
        <v>85</v>
      </c>
      <c r="HT410" s="22" t="s">
        <v>70</v>
      </c>
      <c r="HU410" s="214" t="s">
        <v>530</v>
      </c>
      <c r="HW410" s="22" t="s">
        <v>26828</v>
      </c>
      <c r="HX410" s="22" t="s">
        <v>52</v>
      </c>
      <c r="HY410" s="22" t="s">
        <v>70</v>
      </c>
      <c r="HZ410" s="214" t="s">
        <v>530</v>
      </c>
      <c r="IB410" s="22" t="s">
        <v>26829</v>
      </c>
      <c r="IC410" s="22" t="s">
        <v>492</v>
      </c>
      <c r="ID410" s="22" t="s">
        <v>70</v>
      </c>
      <c r="IE410" s="214" t="s">
        <v>530</v>
      </c>
      <c r="IG410" s="22" t="s">
        <v>26830</v>
      </c>
      <c r="IH410" s="22" t="s">
        <v>52</v>
      </c>
      <c r="II410" s="22" t="s">
        <v>70</v>
      </c>
      <c r="IJ410" s="214" t="s">
        <v>530</v>
      </c>
      <c r="IL410" s="22" t="s">
        <v>26831</v>
      </c>
      <c r="IM410" s="22" t="s">
        <v>145</v>
      </c>
      <c r="IN410" s="22" t="s">
        <v>70</v>
      </c>
      <c r="IO410" s="214" t="s">
        <v>530</v>
      </c>
      <c r="IQ410" s="236" t="s">
        <v>26832</v>
      </c>
      <c r="IR410" s="236" t="s">
        <v>145</v>
      </c>
      <c r="IS410" s="236" t="s">
        <v>74</v>
      </c>
      <c r="IT410" s="236" t="s">
        <v>841</v>
      </c>
      <c r="IV410" s="236" t="s">
        <v>26833</v>
      </c>
      <c r="IW410" s="236" t="s">
        <v>145</v>
      </c>
      <c r="IX410" s="236" t="s">
        <v>74</v>
      </c>
      <c r="IY410" s="236" t="s">
        <v>841</v>
      </c>
      <c r="JA410" s="236" t="s">
        <v>26834</v>
      </c>
      <c r="JB410" s="236" t="s">
        <v>145</v>
      </c>
      <c r="JC410" s="236" t="s">
        <v>74</v>
      </c>
      <c r="JD410" s="236" t="s">
        <v>841</v>
      </c>
      <c r="JF410" s="236" t="s">
        <v>26835</v>
      </c>
      <c r="JG410" s="236" t="s">
        <v>145</v>
      </c>
      <c r="JH410" s="236" t="s">
        <v>74</v>
      </c>
      <c r="JI410" s="236" t="s">
        <v>841</v>
      </c>
      <c r="JK410" s="236" t="s">
        <v>26836</v>
      </c>
      <c r="JL410" s="236" t="s">
        <v>145</v>
      </c>
      <c r="JM410" s="236" t="s">
        <v>74</v>
      </c>
      <c r="JN410" s="236" t="s">
        <v>841</v>
      </c>
      <c r="JP410" s="236" t="s">
        <v>26837</v>
      </c>
      <c r="JQ410" s="236" t="s">
        <v>145</v>
      </c>
      <c r="JR410" s="236" t="s">
        <v>74</v>
      </c>
      <c r="JS410" s="236" t="s">
        <v>841</v>
      </c>
      <c r="JU410" s="294" t="s">
        <v>26838</v>
      </c>
      <c r="JV410" s="294" t="s">
        <v>52</v>
      </c>
      <c r="JW410" s="263" t="s">
        <v>70</v>
      </c>
      <c r="JX410" s="294" t="s">
        <v>1083</v>
      </c>
      <c r="JZ410" s="263" t="s">
        <v>26839</v>
      </c>
      <c r="KA410" s="263" t="s">
        <v>145</v>
      </c>
      <c r="KB410" s="263" t="s">
        <v>70</v>
      </c>
      <c r="KC410" s="263" t="s">
        <v>1083</v>
      </c>
      <c r="KE410" s="263" t="s">
        <v>26840</v>
      </c>
      <c r="KF410" s="263" t="s">
        <v>52</v>
      </c>
      <c r="KG410" s="263" t="s">
        <v>70</v>
      </c>
      <c r="KH410" s="263" t="s">
        <v>1083</v>
      </c>
      <c r="KJ410" s="263" t="s">
        <v>26841</v>
      </c>
      <c r="KK410" s="263" t="s">
        <v>52</v>
      </c>
      <c r="KL410" s="263" t="s">
        <v>74</v>
      </c>
      <c r="KM410" s="263" t="s">
        <v>34074</v>
      </c>
      <c r="KO410" s="214" t="s">
        <v>26842</v>
      </c>
      <c r="KP410" s="214" t="s">
        <v>145</v>
      </c>
      <c r="KQ410" s="214" t="s">
        <v>70</v>
      </c>
      <c r="KR410" s="214" t="s">
        <v>67</v>
      </c>
      <c r="KT410" s="22" t="s">
        <v>26843</v>
      </c>
      <c r="KU410" s="22" t="s">
        <v>145</v>
      </c>
      <c r="KV410" s="22" t="s">
        <v>70</v>
      </c>
      <c r="KW410" s="22" t="s">
        <v>67</v>
      </c>
      <c r="KY410" s="214" t="s">
        <v>26844</v>
      </c>
      <c r="KZ410" s="214" t="s">
        <v>52</v>
      </c>
      <c r="LA410" s="214" t="s">
        <v>74</v>
      </c>
      <c r="LB410" s="214" t="s">
        <v>67</v>
      </c>
      <c r="LD410" s="22" t="s">
        <v>26845</v>
      </c>
      <c r="LE410" s="22" t="s">
        <v>145</v>
      </c>
      <c r="LF410" s="22" t="s">
        <v>70</v>
      </c>
      <c r="LG410" s="22" t="s">
        <v>67</v>
      </c>
    </row>
    <row r="411" spans="1:319">
      <c r="A411" s="22" t="s">
        <v>26846</v>
      </c>
      <c r="B411" s="22" t="s">
        <v>145</v>
      </c>
      <c r="C411" s="22" t="s">
        <v>70</v>
      </c>
      <c r="D411" s="22" t="s">
        <v>67</v>
      </c>
      <c r="F411" s="96" t="s">
        <v>26847</v>
      </c>
      <c r="G411" s="22" t="s">
        <v>145</v>
      </c>
      <c r="H411" s="22" t="s">
        <v>70</v>
      </c>
      <c r="I411" s="22" t="s">
        <v>67</v>
      </c>
      <c r="K411" s="99" t="s">
        <v>26848</v>
      </c>
      <c r="L411" s="22" t="s">
        <v>145</v>
      </c>
      <c r="M411" s="22" t="s">
        <v>70</v>
      </c>
      <c r="N411" s="22" t="s">
        <v>67</v>
      </c>
      <c r="P411" s="230" t="s">
        <v>26849</v>
      </c>
      <c r="Q411" s="218" t="s">
        <v>145</v>
      </c>
      <c r="R411" s="218" t="s">
        <v>72</v>
      </c>
      <c r="S411" s="218" t="s">
        <v>34012</v>
      </c>
      <c r="U411" s="293" t="s">
        <v>26850</v>
      </c>
      <c r="V411" s="293" t="s">
        <v>145</v>
      </c>
      <c r="W411" s="293" t="s">
        <v>74</v>
      </c>
      <c r="X411" s="293" t="s">
        <v>656</v>
      </c>
      <c r="Z411" s="293" t="s">
        <v>26851</v>
      </c>
      <c r="AA411" s="293" t="s">
        <v>145</v>
      </c>
      <c r="AB411" s="293" t="s">
        <v>74</v>
      </c>
      <c r="AC411" s="293" t="s">
        <v>656</v>
      </c>
      <c r="AE411" s="293" t="s">
        <v>26852</v>
      </c>
      <c r="AF411" s="293" t="s">
        <v>145</v>
      </c>
      <c r="AG411" s="293" t="s">
        <v>74</v>
      </c>
      <c r="AH411" s="293" t="s">
        <v>656</v>
      </c>
      <c r="AJ411" s="293" t="s">
        <v>26853</v>
      </c>
      <c r="AK411" s="293" t="s">
        <v>145</v>
      </c>
      <c r="AL411" s="293" t="s">
        <v>74</v>
      </c>
      <c r="AM411" s="293" t="s">
        <v>656</v>
      </c>
      <c r="AO411" s="22" t="s">
        <v>26854</v>
      </c>
      <c r="AP411" s="22" t="s">
        <v>145</v>
      </c>
      <c r="AQ411" s="22" t="s">
        <v>70</v>
      </c>
      <c r="AR411" s="22" t="s">
        <v>67</v>
      </c>
      <c r="AT411" s="22" t="s">
        <v>26855</v>
      </c>
      <c r="AU411" s="22" t="s">
        <v>145</v>
      </c>
      <c r="AV411" s="22" t="s">
        <v>70</v>
      </c>
      <c r="AW411" s="22" t="s">
        <v>67</v>
      </c>
      <c r="AY411" s="22" t="s">
        <v>26856</v>
      </c>
      <c r="AZ411" s="22" t="s">
        <v>145</v>
      </c>
      <c r="BA411" s="22" t="s">
        <v>70</v>
      </c>
      <c r="BB411" s="22" t="s">
        <v>67</v>
      </c>
      <c r="BD411" s="22" t="s">
        <v>26857</v>
      </c>
      <c r="BE411" s="22" t="s">
        <v>145</v>
      </c>
      <c r="BF411" s="22" t="s">
        <v>70</v>
      </c>
      <c r="BG411" s="22" t="s">
        <v>67</v>
      </c>
      <c r="BI411" s="22" t="s">
        <v>26858</v>
      </c>
      <c r="BJ411" s="22" t="s">
        <v>145</v>
      </c>
      <c r="BK411" s="22" t="s">
        <v>70</v>
      </c>
      <c r="BL411" s="22" t="s">
        <v>67</v>
      </c>
      <c r="BN411" s="22" t="s">
        <v>26859</v>
      </c>
      <c r="BO411" s="22" t="s">
        <v>145</v>
      </c>
      <c r="BP411" s="22" t="s">
        <v>70</v>
      </c>
      <c r="BQ411" s="22" t="s">
        <v>67</v>
      </c>
      <c r="BS411" s="22" t="s">
        <v>26860</v>
      </c>
      <c r="BT411" s="22" t="s">
        <v>145</v>
      </c>
      <c r="BU411" s="22" t="s">
        <v>70</v>
      </c>
      <c r="BV411" s="214" t="s">
        <v>530</v>
      </c>
      <c r="BX411" s="22" t="s">
        <v>26861</v>
      </c>
      <c r="BY411" s="22" t="s">
        <v>145</v>
      </c>
      <c r="BZ411" s="22" t="s">
        <v>70</v>
      </c>
      <c r="CA411" s="214" t="s">
        <v>530</v>
      </c>
      <c r="CC411" s="214" t="s">
        <v>26862</v>
      </c>
      <c r="CD411" s="214" t="s">
        <v>484</v>
      </c>
      <c r="CE411" s="214" t="s">
        <v>70</v>
      </c>
      <c r="CF411" s="214" t="s">
        <v>530</v>
      </c>
      <c r="CH411" s="214" t="s">
        <v>26863</v>
      </c>
      <c r="CI411" s="214" t="s">
        <v>491</v>
      </c>
      <c r="CJ411" s="214" t="s">
        <v>70</v>
      </c>
      <c r="CK411" s="214" t="s">
        <v>530</v>
      </c>
      <c r="CM411" s="214" t="s">
        <v>26864</v>
      </c>
      <c r="CN411" s="214" t="s">
        <v>491</v>
      </c>
      <c r="CO411" s="214" t="s">
        <v>70</v>
      </c>
      <c r="CP411" s="214" t="s">
        <v>530</v>
      </c>
      <c r="CR411" s="214" t="s">
        <v>26865</v>
      </c>
      <c r="CS411" s="214" t="s">
        <v>486</v>
      </c>
      <c r="CT411" s="214" t="s">
        <v>70</v>
      </c>
      <c r="CU411" s="214" t="s">
        <v>530</v>
      </c>
      <c r="CW411" s="214" t="s">
        <v>26866</v>
      </c>
      <c r="CX411" s="214" t="s">
        <v>485</v>
      </c>
      <c r="CY411" s="214" t="s">
        <v>70</v>
      </c>
      <c r="CZ411" s="214" t="s">
        <v>530</v>
      </c>
      <c r="DB411" s="214" t="s">
        <v>26867</v>
      </c>
      <c r="DC411" s="214" t="s">
        <v>146</v>
      </c>
      <c r="DD411" s="214" t="s">
        <v>70</v>
      </c>
      <c r="DE411" s="214" t="s">
        <v>530</v>
      </c>
      <c r="DG411" s="214" t="s">
        <v>26868</v>
      </c>
      <c r="DH411" s="214" t="s">
        <v>203</v>
      </c>
      <c r="DI411" s="214" t="s">
        <v>70</v>
      </c>
      <c r="DJ411" s="214" t="s">
        <v>530</v>
      </c>
      <c r="DL411" s="214" t="s">
        <v>26869</v>
      </c>
      <c r="DM411" s="214" t="s">
        <v>146</v>
      </c>
      <c r="DN411" s="214" t="s">
        <v>70</v>
      </c>
      <c r="DO411" s="214" t="s">
        <v>530</v>
      </c>
      <c r="DQ411" s="214" t="s">
        <v>26870</v>
      </c>
      <c r="DR411" s="214" t="s">
        <v>531</v>
      </c>
      <c r="DS411" s="214" t="s">
        <v>70</v>
      </c>
      <c r="DT411" s="214" t="s">
        <v>530</v>
      </c>
      <c r="DV411" s="214" t="s">
        <v>26871</v>
      </c>
      <c r="DW411" s="214" t="s">
        <v>88</v>
      </c>
      <c r="DX411" s="214" t="s">
        <v>70</v>
      </c>
      <c r="DY411" s="214" t="s">
        <v>530</v>
      </c>
      <c r="EA411" s="214" t="s">
        <v>26872</v>
      </c>
      <c r="EB411" s="214" t="s">
        <v>484</v>
      </c>
      <c r="EC411" s="214" t="s">
        <v>70</v>
      </c>
      <c r="ED411" s="214" t="s">
        <v>530</v>
      </c>
      <c r="EF411" s="214" t="s">
        <v>26873</v>
      </c>
      <c r="EG411" s="214" t="s">
        <v>496</v>
      </c>
      <c r="EH411" s="214" t="s">
        <v>70</v>
      </c>
      <c r="EI411" s="214" t="s">
        <v>530</v>
      </c>
      <c r="EK411" s="214" t="s">
        <v>26874</v>
      </c>
      <c r="EL411" s="214" t="s">
        <v>484</v>
      </c>
      <c r="EM411" s="214" t="s">
        <v>70</v>
      </c>
      <c r="EN411" s="214" t="s">
        <v>530</v>
      </c>
      <c r="EP411" s="214" t="s">
        <v>26875</v>
      </c>
      <c r="EQ411" s="214" t="s">
        <v>52</v>
      </c>
      <c r="ER411" s="214" t="s">
        <v>70</v>
      </c>
      <c r="ES411" s="214" t="s">
        <v>530</v>
      </c>
      <c r="EU411" s="214" t="s">
        <v>26876</v>
      </c>
      <c r="EV411" s="214" t="s">
        <v>34542</v>
      </c>
      <c r="EW411" s="214" t="s">
        <v>70</v>
      </c>
      <c r="EX411" s="214" t="s">
        <v>530</v>
      </c>
      <c r="EZ411" s="214" t="s">
        <v>26877</v>
      </c>
      <c r="FA411" s="214" t="s">
        <v>52</v>
      </c>
      <c r="FB411" s="214" t="s">
        <v>70</v>
      </c>
      <c r="FC411" s="214" t="s">
        <v>530</v>
      </c>
      <c r="FE411" s="214" t="s">
        <v>26878</v>
      </c>
      <c r="FF411" s="214" t="s">
        <v>163</v>
      </c>
      <c r="FG411" s="214" t="s">
        <v>70</v>
      </c>
      <c r="FH411" s="214" t="s">
        <v>530</v>
      </c>
      <c r="FJ411" s="321" t="s">
        <v>26879</v>
      </c>
      <c r="FK411" s="214" t="s">
        <v>34541</v>
      </c>
      <c r="FL411" s="214" t="s">
        <v>70</v>
      </c>
      <c r="FM411" s="214" t="s">
        <v>530</v>
      </c>
      <c r="FO411" s="321" t="s">
        <v>26880</v>
      </c>
      <c r="FP411" s="214" t="s">
        <v>921</v>
      </c>
      <c r="FQ411" s="214" t="s">
        <v>70</v>
      </c>
      <c r="FR411" s="214" t="s">
        <v>530</v>
      </c>
      <c r="FT411" s="321" t="s">
        <v>26881</v>
      </c>
      <c r="FU411" s="214" t="s">
        <v>34570</v>
      </c>
      <c r="FV411" s="214" t="s">
        <v>70</v>
      </c>
      <c r="FW411" s="214" t="s">
        <v>530</v>
      </c>
      <c r="FY411" s="321" t="s">
        <v>26882</v>
      </c>
      <c r="FZ411" s="214" t="s">
        <v>501</v>
      </c>
      <c r="GA411" s="214" t="s">
        <v>70</v>
      </c>
      <c r="GB411" s="214" t="s">
        <v>530</v>
      </c>
      <c r="GD411" s="321" t="s">
        <v>26883</v>
      </c>
      <c r="GE411" s="214" t="s">
        <v>955</v>
      </c>
      <c r="GF411" s="214" t="s">
        <v>70</v>
      </c>
      <c r="GG411" s="214" t="s">
        <v>530</v>
      </c>
      <c r="GI411" s="321" t="s">
        <v>26884</v>
      </c>
      <c r="GJ411" s="214" t="s">
        <v>482</v>
      </c>
      <c r="GK411" s="214" t="s">
        <v>70</v>
      </c>
      <c r="GL411" s="214" t="s">
        <v>530</v>
      </c>
      <c r="GN411" s="321" t="s">
        <v>26885</v>
      </c>
      <c r="GO411" s="214" t="s">
        <v>484</v>
      </c>
      <c r="GP411" s="214" t="s">
        <v>70</v>
      </c>
      <c r="GQ411" s="214" t="s">
        <v>530</v>
      </c>
      <c r="GS411" s="321" t="s">
        <v>26886</v>
      </c>
      <c r="GT411" s="214" t="s">
        <v>34539</v>
      </c>
      <c r="GU411" s="214" t="s">
        <v>70</v>
      </c>
      <c r="GV411" s="214" t="s">
        <v>530</v>
      </c>
      <c r="GX411" s="214" t="s">
        <v>26887</v>
      </c>
      <c r="GY411" s="214" t="s">
        <v>488</v>
      </c>
      <c r="GZ411" s="214" t="s">
        <v>70</v>
      </c>
      <c r="HA411" s="214" t="s">
        <v>530</v>
      </c>
      <c r="HC411" s="214" t="s">
        <v>26888</v>
      </c>
      <c r="HD411" s="214" t="s">
        <v>488</v>
      </c>
      <c r="HE411" s="214" t="s">
        <v>70</v>
      </c>
      <c r="HF411" s="214" t="s">
        <v>530</v>
      </c>
      <c r="HH411" s="214" t="s">
        <v>26889</v>
      </c>
      <c r="HI411" s="214" t="s">
        <v>52</v>
      </c>
      <c r="HJ411" s="214" t="s">
        <v>70</v>
      </c>
      <c r="HK411" s="214" t="s">
        <v>530</v>
      </c>
      <c r="HM411" s="214" t="s">
        <v>26890</v>
      </c>
      <c r="HN411" s="214" t="s">
        <v>52</v>
      </c>
      <c r="HO411" s="214" t="s">
        <v>70</v>
      </c>
      <c r="HP411" s="214" t="s">
        <v>530</v>
      </c>
      <c r="HR411" s="22" t="s">
        <v>26891</v>
      </c>
      <c r="HS411" s="22" t="s">
        <v>34580</v>
      </c>
      <c r="HT411" s="22" t="s">
        <v>70</v>
      </c>
      <c r="HU411" s="214" t="s">
        <v>530</v>
      </c>
      <c r="HW411" s="22" t="s">
        <v>26892</v>
      </c>
      <c r="HX411" s="22" t="s">
        <v>52</v>
      </c>
      <c r="HY411" s="22" t="s">
        <v>70</v>
      </c>
      <c r="HZ411" s="214" t="s">
        <v>530</v>
      </c>
      <c r="IB411" s="22" t="s">
        <v>26893</v>
      </c>
      <c r="IC411" s="22" t="s">
        <v>34547</v>
      </c>
      <c r="ID411" s="22" t="s">
        <v>70</v>
      </c>
      <c r="IE411" s="214" t="s">
        <v>530</v>
      </c>
      <c r="IG411" s="22" t="s">
        <v>26894</v>
      </c>
      <c r="IH411" s="22" t="s">
        <v>52</v>
      </c>
      <c r="II411" s="22" t="s">
        <v>70</v>
      </c>
      <c r="IJ411" s="214" t="s">
        <v>530</v>
      </c>
      <c r="IL411" s="22" t="s">
        <v>26895</v>
      </c>
      <c r="IM411" s="22" t="s">
        <v>145</v>
      </c>
      <c r="IN411" s="22" t="s">
        <v>70</v>
      </c>
      <c r="IO411" s="214" t="s">
        <v>530</v>
      </c>
      <c r="IQ411" s="236" t="s">
        <v>26896</v>
      </c>
      <c r="IR411" s="236" t="s">
        <v>145</v>
      </c>
      <c r="IS411" s="236" t="s">
        <v>74</v>
      </c>
      <c r="IT411" s="236" t="s">
        <v>841</v>
      </c>
      <c r="IV411" s="236" t="s">
        <v>26897</v>
      </c>
      <c r="IW411" s="236" t="s">
        <v>145</v>
      </c>
      <c r="IX411" s="236" t="s">
        <v>74</v>
      </c>
      <c r="IY411" s="236" t="s">
        <v>841</v>
      </c>
      <c r="JA411" s="236" t="s">
        <v>26898</v>
      </c>
      <c r="JB411" s="236" t="s">
        <v>145</v>
      </c>
      <c r="JC411" s="236" t="s">
        <v>74</v>
      </c>
      <c r="JD411" s="236" t="s">
        <v>841</v>
      </c>
      <c r="JF411" s="236" t="s">
        <v>26899</v>
      </c>
      <c r="JG411" s="236" t="s">
        <v>145</v>
      </c>
      <c r="JH411" s="236" t="s">
        <v>74</v>
      </c>
      <c r="JI411" s="236" t="s">
        <v>841</v>
      </c>
      <c r="JK411" s="236" t="s">
        <v>26900</v>
      </c>
      <c r="JL411" s="236" t="s">
        <v>145</v>
      </c>
      <c r="JM411" s="236" t="s">
        <v>74</v>
      </c>
      <c r="JN411" s="236" t="s">
        <v>841</v>
      </c>
      <c r="JP411" s="236" t="s">
        <v>26901</v>
      </c>
      <c r="JQ411" s="236" t="s">
        <v>145</v>
      </c>
      <c r="JR411" s="236" t="s">
        <v>74</v>
      </c>
      <c r="JS411" s="236" t="s">
        <v>841</v>
      </c>
      <c r="JU411" s="294" t="s">
        <v>26902</v>
      </c>
      <c r="JV411" s="294" t="s">
        <v>52</v>
      </c>
      <c r="JW411" s="263" t="s">
        <v>70</v>
      </c>
      <c r="JX411" s="294" t="s">
        <v>1083</v>
      </c>
      <c r="JZ411" s="263" t="s">
        <v>26903</v>
      </c>
      <c r="KA411" s="263" t="s">
        <v>145</v>
      </c>
      <c r="KB411" s="263" t="s">
        <v>70</v>
      </c>
      <c r="KC411" s="263" t="s">
        <v>1083</v>
      </c>
      <c r="KE411" s="263" t="s">
        <v>26904</v>
      </c>
      <c r="KF411" s="263" t="s">
        <v>52</v>
      </c>
      <c r="KG411" s="263" t="s">
        <v>70</v>
      </c>
      <c r="KH411" s="263" t="s">
        <v>1083</v>
      </c>
      <c r="KJ411" s="263" t="s">
        <v>26905</v>
      </c>
      <c r="KK411" s="263" t="s">
        <v>52</v>
      </c>
      <c r="KL411" s="263" t="s">
        <v>74</v>
      </c>
      <c r="KM411" s="263" t="s">
        <v>34074</v>
      </c>
      <c r="KO411" s="214" t="s">
        <v>26906</v>
      </c>
      <c r="KP411" s="214" t="s">
        <v>145</v>
      </c>
      <c r="KQ411" s="214" t="s">
        <v>70</v>
      </c>
      <c r="KR411" s="214" t="s">
        <v>67</v>
      </c>
      <c r="KT411" s="22" t="s">
        <v>26907</v>
      </c>
      <c r="KU411" s="22" t="s">
        <v>145</v>
      </c>
      <c r="KV411" s="22" t="s">
        <v>70</v>
      </c>
      <c r="KW411" s="22" t="s">
        <v>67</v>
      </c>
      <c r="KY411" s="214" t="s">
        <v>26908</v>
      </c>
      <c r="KZ411" s="214" t="s">
        <v>52</v>
      </c>
      <c r="LA411" s="214" t="s">
        <v>74</v>
      </c>
      <c r="LB411" s="214" t="s">
        <v>67</v>
      </c>
      <c r="LD411" s="22" t="s">
        <v>26909</v>
      </c>
      <c r="LE411" s="22" t="s">
        <v>145</v>
      </c>
      <c r="LF411" s="22" t="s">
        <v>70</v>
      </c>
      <c r="LG411" s="22" t="s">
        <v>67</v>
      </c>
    </row>
    <row r="412" spans="1:319">
      <c r="A412" s="22" t="s">
        <v>26910</v>
      </c>
      <c r="B412" s="22" t="s">
        <v>145</v>
      </c>
      <c r="C412" s="22" t="s">
        <v>70</v>
      </c>
      <c r="D412" s="22" t="s">
        <v>67</v>
      </c>
      <c r="F412" s="96" t="s">
        <v>26911</v>
      </c>
      <c r="G412" s="22" t="s">
        <v>145</v>
      </c>
      <c r="H412" s="22" t="s">
        <v>70</v>
      </c>
      <c r="I412" s="22" t="s">
        <v>67</v>
      </c>
      <c r="K412" s="99" t="s">
        <v>26912</v>
      </c>
      <c r="L412" s="22" t="s">
        <v>145</v>
      </c>
      <c r="M412" s="22" t="s">
        <v>70</v>
      </c>
      <c r="N412" s="22" t="s">
        <v>67</v>
      </c>
      <c r="P412" s="230" t="s">
        <v>26913</v>
      </c>
      <c r="Q412" s="218" t="s">
        <v>145</v>
      </c>
      <c r="R412" s="218" t="s">
        <v>72</v>
      </c>
      <c r="S412" s="218" t="s">
        <v>34013</v>
      </c>
      <c r="U412" s="293" t="s">
        <v>26914</v>
      </c>
      <c r="V412" s="293" t="s">
        <v>145</v>
      </c>
      <c r="W412" s="293" t="s">
        <v>74</v>
      </c>
      <c r="X412" s="293" t="s">
        <v>656</v>
      </c>
      <c r="Z412" s="293" t="s">
        <v>26915</v>
      </c>
      <c r="AA412" s="293" t="s">
        <v>145</v>
      </c>
      <c r="AB412" s="293" t="s">
        <v>74</v>
      </c>
      <c r="AC412" s="293" t="s">
        <v>656</v>
      </c>
      <c r="AE412" s="293" t="s">
        <v>26916</v>
      </c>
      <c r="AF412" s="293" t="s">
        <v>145</v>
      </c>
      <c r="AG412" s="293" t="s">
        <v>74</v>
      </c>
      <c r="AH412" s="293" t="s">
        <v>656</v>
      </c>
      <c r="AJ412" s="293" t="s">
        <v>26917</v>
      </c>
      <c r="AK412" s="293" t="s">
        <v>145</v>
      </c>
      <c r="AL412" s="293" t="s">
        <v>74</v>
      </c>
      <c r="AM412" s="293" t="s">
        <v>656</v>
      </c>
      <c r="AO412" s="22" t="s">
        <v>26918</v>
      </c>
      <c r="AP412" s="22" t="s">
        <v>145</v>
      </c>
      <c r="AQ412" s="22" t="s">
        <v>70</v>
      </c>
      <c r="AR412" s="22" t="s">
        <v>67</v>
      </c>
      <c r="AT412" s="22" t="s">
        <v>26919</v>
      </c>
      <c r="AU412" s="22" t="s">
        <v>145</v>
      </c>
      <c r="AV412" s="22" t="s">
        <v>70</v>
      </c>
      <c r="AW412" s="22" t="s">
        <v>67</v>
      </c>
      <c r="AY412" s="22" t="s">
        <v>26920</v>
      </c>
      <c r="AZ412" s="22" t="s">
        <v>145</v>
      </c>
      <c r="BA412" s="22" t="s">
        <v>70</v>
      </c>
      <c r="BB412" s="22" t="s">
        <v>67</v>
      </c>
      <c r="BD412" s="22" t="s">
        <v>26921</v>
      </c>
      <c r="BE412" s="22" t="s">
        <v>145</v>
      </c>
      <c r="BF412" s="22" t="s">
        <v>70</v>
      </c>
      <c r="BG412" s="22" t="s">
        <v>67</v>
      </c>
      <c r="BI412" s="22" t="s">
        <v>26922</v>
      </c>
      <c r="BJ412" s="22" t="s">
        <v>145</v>
      </c>
      <c r="BK412" s="22" t="s">
        <v>70</v>
      </c>
      <c r="BL412" s="22" t="s">
        <v>67</v>
      </c>
      <c r="BN412" s="22" t="s">
        <v>26923</v>
      </c>
      <c r="BO412" s="22" t="s">
        <v>145</v>
      </c>
      <c r="BP412" s="22" t="s">
        <v>70</v>
      </c>
      <c r="BQ412" s="22" t="s">
        <v>67</v>
      </c>
      <c r="BS412" s="22" t="s">
        <v>26924</v>
      </c>
      <c r="BT412" s="22" t="s">
        <v>145</v>
      </c>
      <c r="BU412" s="22" t="s">
        <v>70</v>
      </c>
      <c r="BV412" s="214" t="s">
        <v>530</v>
      </c>
      <c r="BX412" s="22" t="s">
        <v>26925</v>
      </c>
      <c r="BY412" s="22" t="s">
        <v>145</v>
      </c>
      <c r="BZ412" s="22" t="s">
        <v>70</v>
      </c>
      <c r="CA412" s="214" t="s">
        <v>530</v>
      </c>
      <c r="CC412" s="214" t="s">
        <v>26926</v>
      </c>
      <c r="CD412" s="214" t="s">
        <v>34591</v>
      </c>
      <c r="CE412" s="214" t="s">
        <v>70</v>
      </c>
      <c r="CF412" s="214" t="s">
        <v>530</v>
      </c>
      <c r="CH412" s="214" t="s">
        <v>26927</v>
      </c>
      <c r="CI412" s="214" t="s">
        <v>148</v>
      </c>
      <c r="CJ412" s="214" t="s">
        <v>70</v>
      </c>
      <c r="CK412" s="214" t="s">
        <v>530</v>
      </c>
      <c r="CM412" s="214" t="s">
        <v>26928</v>
      </c>
      <c r="CN412" s="214" t="s">
        <v>488</v>
      </c>
      <c r="CO412" s="214" t="s">
        <v>70</v>
      </c>
      <c r="CP412" s="214" t="s">
        <v>530</v>
      </c>
      <c r="CR412" s="214" t="s">
        <v>26929</v>
      </c>
      <c r="CS412" s="214" t="s">
        <v>923</v>
      </c>
      <c r="CT412" s="214" t="s">
        <v>70</v>
      </c>
      <c r="CU412" s="214" t="s">
        <v>530</v>
      </c>
      <c r="CW412" s="214" t="s">
        <v>26930</v>
      </c>
      <c r="CX412" s="214" t="s">
        <v>34545</v>
      </c>
      <c r="CY412" s="214" t="s">
        <v>70</v>
      </c>
      <c r="CZ412" s="214" t="s">
        <v>530</v>
      </c>
      <c r="DB412" s="214" t="s">
        <v>26931</v>
      </c>
      <c r="DC412" s="214" t="s">
        <v>103</v>
      </c>
      <c r="DD412" s="214" t="s">
        <v>70</v>
      </c>
      <c r="DE412" s="214" t="s">
        <v>530</v>
      </c>
      <c r="DG412" s="214" t="s">
        <v>26932</v>
      </c>
      <c r="DH412" s="214" t="s">
        <v>482</v>
      </c>
      <c r="DI412" s="214" t="s">
        <v>70</v>
      </c>
      <c r="DJ412" s="214" t="s">
        <v>530</v>
      </c>
      <c r="DL412" s="214" t="s">
        <v>26933</v>
      </c>
      <c r="DM412" s="214" t="s">
        <v>52</v>
      </c>
      <c r="DN412" s="214" t="s">
        <v>70</v>
      </c>
      <c r="DO412" s="214" t="s">
        <v>530</v>
      </c>
      <c r="DQ412" s="214" t="s">
        <v>26934</v>
      </c>
      <c r="DR412" s="214" t="s">
        <v>34562</v>
      </c>
      <c r="DS412" s="214" t="s">
        <v>70</v>
      </c>
      <c r="DT412" s="214" t="s">
        <v>530</v>
      </c>
      <c r="DV412" s="214" t="s">
        <v>26935</v>
      </c>
      <c r="DW412" s="214" t="s">
        <v>148</v>
      </c>
      <c r="DX412" s="214" t="s">
        <v>70</v>
      </c>
      <c r="DY412" s="214" t="s">
        <v>530</v>
      </c>
      <c r="EA412" s="214" t="s">
        <v>26936</v>
      </c>
      <c r="EB412" s="214" t="s">
        <v>34626</v>
      </c>
      <c r="EC412" s="214" t="s">
        <v>70</v>
      </c>
      <c r="ED412" s="214" t="s">
        <v>530</v>
      </c>
      <c r="EF412" s="214" t="s">
        <v>26937</v>
      </c>
      <c r="EG412" s="214" t="s">
        <v>52</v>
      </c>
      <c r="EH412" s="214" t="s">
        <v>70</v>
      </c>
      <c r="EI412" s="214" t="s">
        <v>530</v>
      </c>
      <c r="EK412" s="214" t="s">
        <v>26938</v>
      </c>
      <c r="EL412" s="214" t="s">
        <v>145</v>
      </c>
      <c r="EM412" s="214" t="s">
        <v>70</v>
      </c>
      <c r="EN412" s="214" t="s">
        <v>530</v>
      </c>
      <c r="EP412" s="214" t="s">
        <v>26939</v>
      </c>
      <c r="EQ412" s="214" t="s">
        <v>88</v>
      </c>
      <c r="ER412" s="214" t="s">
        <v>70</v>
      </c>
      <c r="ES412" s="214" t="s">
        <v>530</v>
      </c>
      <c r="EU412" s="214" t="s">
        <v>26940</v>
      </c>
      <c r="EV412" s="214" t="s">
        <v>87</v>
      </c>
      <c r="EW412" s="214" t="s">
        <v>70</v>
      </c>
      <c r="EX412" s="214" t="s">
        <v>530</v>
      </c>
      <c r="EZ412" s="214" t="s">
        <v>26941</v>
      </c>
      <c r="FA412" s="214" t="s">
        <v>34471</v>
      </c>
      <c r="FB412" s="214" t="s">
        <v>70</v>
      </c>
      <c r="FC412" s="214" t="s">
        <v>530</v>
      </c>
      <c r="FE412" s="214" t="s">
        <v>26942</v>
      </c>
      <c r="FF412" s="214" t="s">
        <v>34575</v>
      </c>
      <c r="FG412" s="214" t="s">
        <v>70</v>
      </c>
      <c r="FH412" s="214" t="s">
        <v>530</v>
      </c>
      <c r="FJ412" s="321" t="s">
        <v>26943</v>
      </c>
      <c r="FK412" s="214" t="s">
        <v>34566</v>
      </c>
      <c r="FL412" s="214" t="s">
        <v>70</v>
      </c>
      <c r="FM412" s="214" t="s">
        <v>530</v>
      </c>
      <c r="FO412" s="321" t="s">
        <v>26944</v>
      </c>
      <c r="FP412" s="214" t="s">
        <v>655</v>
      </c>
      <c r="FQ412" s="214" t="s">
        <v>70</v>
      </c>
      <c r="FR412" s="214" t="s">
        <v>530</v>
      </c>
      <c r="FT412" s="321" t="s">
        <v>26945</v>
      </c>
      <c r="FU412" s="214" t="s">
        <v>765</v>
      </c>
      <c r="FV412" s="214" t="s">
        <v>70</v>
      </c>
      <c r="FW412" s="214" t="s">
        <v>530</v>
      </c>
      <c r="FY412" s="321" t="s">
        <v>26946</v>
      </c>
      <c r="FZ412" s="214" t="s">
        <v>148</v>
      </c>
      <c r="GA412" s="214" t="s">
        <v>70</v>
      </c>
      <c r="GB412" s="214" t="s">
        <v>530</v>
      </c>
      <c r="GD412" s="321" t="s">
        <v>26947</v>
      </c>
      <c r="GE412" s="214" t="s">
        <v>88</v>
      </c>
      <c r="GF412" s="214" t="s">
        <v>70</v>
      </c>
      <c r="GG412" s="214" t="s">
        <v>530</v>
      </c>
      <c r="GI412" s="321" t="s">
        <v>26948</v>
      </c>
      <c r="GJ412" s="214" t="s">
        <v>145</v>
      </c>
      <c r="GK412" s="214" t="s">
        <v>70</v>
      </c>
      <c r="GL412" s="214" t="s">
        <v>530</v>
      </c>
      <c r="GN412" s="321" t="s">
        <v>26949</v>
      </c>
      <c r="GO412" s="214" t="s">
        <v>34636</v>
      </c>
      <c r="GP412" s="214" t="s">
        <v>70</v>
      </c>
      <c r="GQ412" s="214" t="s">
        <v>530</v>
      </c>
      <c r="GS412" s="321" t="s">
        <v>26950</v>
      </c>
      <c r="GT412" s="214" t="s">
        <v>87</v>
      </c>
      <c r="GU412" s="214" t="s">
        <v>70</v>
      </c>
      <c r="GV412" s="214" t="s">
        <v>530</v>
      </c>
      <c r="GX412" s="214" t="s">
        <v>26951</v>
      </c>
      <c r="GY412" s="214" t="s">
        <v>148</v>
      </c>
      <c r="GZ412" s="214" t="s">
        <v>70</v>
      </c>
      <c r="HA412" s="214" t="s">
        <v>530</v>
      </c>
      <c r="HC412" s="214" t="s">
        <v>26952</v>
      </c>
      <c r="HD412" s="214" t="s">
        <v>912</v>
      </c>
      <c r="HE412" s="214" t="s">
        <v>70</v>
      </c>
      <c r="HF412" s="214" t="s">
        <v>530</v>
      </c>
      <c r="HH412" s="214" t="s">
        <v>26953</v>
      </c>
      <c r="HI412" s="214" t="s">
        <v>86</v>
      </c>
      <c r="HJ412" s="214" t="s">
        <v>70</v>
      </c>
      <c r="HK412" s="214" t="s">
        <v>530</v>
      </c>
      <c r="HM412" s="214" t="s">
        <v>26954</v>
      </c>
      <c r="HN412" s="214" t="s">
        <v>148</v>
      </c>
      <c r="HO412" s="214" t="s">
        <v>70</v>
      </c>
      <c r="HP412" s="214" t="s">
        <v>530</v>
      </c>
      <c r="HR412" s="22" t="s">
        <v>26955</v>
      </c>
      <c r="HS412" s="22" t="s">
        <v>905</v>
      </c>
      <c r="HT412" s="22" t="s">
        <v>70</v>
      </c>
      <c r="HU412" s="214" t="s">
        <v>530</v>
      </c>
      <c r="HW412" s="22" t="s">
        <v>26956</v>
      </c>
      <c r="HX412" s="22" t="s">
        <v>34591</v>
      </c>
      <c r="HY412" s="22" t="s">
        <v>70</v>
      </c>
      <c r="HZ412" s="214" t="s">
        <v>530</v>
      </c>
      <c r="IB412" s="22" t="s">
        <v>26957</v>
      </c>
      <c r="IC412" s="22" t="s">
        <v>34545</v>
      </c>
      <c r="ID412" s="22" t="s">
        <v>70</v>
      </c>
      <c r="IE412" s="214" t="s">
        <v>530</v>
      </c>
      <c r="IG412" s="22" t="s">
        <v>26958</v>
      </c>
      <c r="IH412" s="22" t="s">
        <v>52</v>
      </c>
      <c r="II412" s="22" t="s">
        <v>70</v>
      </c>
      <c r="IJ412" s="214" t="s">
        <v>530</v>
      </c>
      <c r="IL412" s="22" t="s">
        <v>26959</v>
      </c>
      <c r="IM412" s="22" t="s">
        <v>145</v>
      </c>
      <c r="IN412" s="22" t="s">
        <v>70</v>
      </c>
      <c r="IO412" s="214" t="s">
        <v>530</v>
      </c>
      <c r="IQ412" s="236" t="s">
        <v>26960</v>
      </c>
      <c r="IR412" s="236" t="s">
        <v>145</v>
      </c>
      <c r="IS412" s="236" t="s">
        <v>74</v>
      </c>
      <c r="IT412" s="236" t="s">
        <v>841</v>
      </c>
      <c r="IV412" s="236" t="s">
        <v>26961</v>
      </c>
      <c r="IW412" s="236" t="s">
        <v>145</v>
      </c>
      <c r="IX412" s="236" t="s">
        <v>74</v>
      </c>
      <c r="IY412" s="236" t="s">
        <v>841</v>
      </c>
      <c r="JA412" s="236" t="s">
        <v>26962</v>
      </c>
      <c r="JB412" s="236" t="s">
        <v>145</v>
      </c>
      <c r="JC412" s="236" t="s">
        <v>74</v>
      </c>
      <c r="JD412" s="236" t="s">
        <v>841</v>
      </c>
      <c r="JF412" s="236" t="s">
        <v>26963</v>
      </c>
      <c r="JG412" s="236" t="s">
        <v>145</v>
      </c>
      <c r="JH412" s="236" t="s">
        <v>74</v>
      </c>
      <c r="JI412" s="236" t="s">
        <v>841</v>
      </c>
      <c r="JK412" s="236" t="s">
        <v>26964</v>
      </c>
      <c r="JL412" s="236" t="s">
        <v>145</v>
      </c>
      <c r="JM412" s="236" t="s">
        <v>74</v>
      </c>
      <c r="JN412" s="236" t="s">
        <v>841</v>
      </c>
      <c r="JP412" s="236" t="s">
        <v>26965</v>
      </c>
      <c r="JQ412" s="236" t="s">
        <v>145</v>
      </c>
      <c r="JR412" s="236" t="s">
        <v>74</v>
      </c>
      <c r="JS412" s="236" t="s">
        <v>841</v>
      </c>
      <c r="JU412" s="294" t="s">
        <v>26966</v>
      </c>
      <c r="JV412" s="294" t="s">
        <v>52</v>
      </c>
      <c r="JW412" s="263" t="s">
        <v>70</v>
      </c>
      <c r="JX412" s="294" t="s">
        <v>1083</v>
      </c>
      <c r="JZ412" s="263" t="s">
        <v>26967</v>
      </c>
      <c r="KA412" s="263" t="s">
        <v>145</v>
      </c>
      <c r="KB412" s="263" t="s">
        <v>70</v>
      </c>
      <c r="KC412" s="263" t="s">
        <v>1083</v>
      </c>
      <c r="KE412" s="263" t="s">
        <v>26968</v>
      </c>
      <c r="KF412" s="263" t="s">
        <v>52</v>
      </c>
      <c r="KG412" s="263" t="s">
        <v>70</v>
      </c>
      <c r="KH412" s="263" t="s">
        <v>1083</v>
      </c>
      <c r="KJ412" s="263" t="s">
        <v>26969</v>
      </c>
      <c r="KK412" s="263" t="s">
        <v>52</v>
      </c>
      <c r="KL412" s="263" t="s">
        <v>74</v>
      </c>
      <c r="KM412" s="263" t="s">
        <v>34074</v>
      </c>
      <c r="KO412" s="214" t="s">
        <v>26970</v>
      </c>
      <c r="KP412" s="214" t="s">
        <v>145</v>
      </c>
      <c r="KQ412" s="214" t="s">
        <v>70</v>
      </c>
      <c r="KR412" s="214" t="s">
        <v>67</v>
      </c>
      <c r="KT412" s="22" t="s">
        <v>26971</v>
      </c>
      <c r="KU412" s="22" t="s">
        <v>145</v>
      </c>
      <c r="KV412" s="22" t="s">
        <v>70</v>
      </c>
      <c r="KW412" s="22" t="s">
        <v>67</v>
      </c>
      <c r="KY412" s="214" t="s">
        <v>26972</v>
      </c>
      <c r="KZ412" s="214" t="s">
        <v>52</v>
      </c>
      <c r="LA412" s="214" t="s">
        <v>74</v>
      </c>
      <c r="LB412" s="214" t="s">
        <v>67</v>
      </c>
      <c r="LD412" s="22" t="s">
        <v>26973</v>
      </c>
      <c r="LE412" s="22" t="s">
        <v>145</v>
      </c>
      <c r="LF412" s="22" t="s">
        <v>70</v>
      </c>
      <c r="LG412" s="22" t="s">
        <v>67</v>
      </c>
    </row>
    <row r="413" spans="1:319">
      <c r="A413" s="22" t="s">
        <v>26974</v>
      </c>
      <c r="B413" s="22" t="s">
        <v>145</v>
      </c>
      <c r="C413" s="22" t="s">
        <v>70</v>
      </c>
      <c r="D413" s="22" t="s">
        <v>67</v>
      </c>
      <c r="F413" s="96" t="s">
        <v>26975</v>
      </c>
      <c r="G413" s="22" t="s">
        <v>145</v>
      </c>
      <c r="H413" s="22" t="s">
        <v>70</v>
      </c>
      <c r="I413" s="22" t="s">
        <v>67</v>
      </c>
      <c r="K413" s="99" t="s">
        <v>26976</v>
      </c>
      <c r="L413" s="22" t="s">
        <v>145</v>
      </c>
      <c r="M413" s="22" t="s">
        <v>70</v>
      </c>
      <c r="N413" s="22" t="s">
        <v>67</v>
      </c>
      <c r="P413" s="230" t="s">
        <v>26977</v>
      </c>
      <c r="Q413" s="218" t="s">
        <v>145</v>
      </c>
      <c r="R413" s="218" t="s">
        <v>72</v>
      </c>
      <c r="S413" s="218" t="s">
        <v>34014</v>
      </c>
      <c r="U413" s="293" t="s">
        <v>26978</v>
      </c>
      <c r="V413" s="293" t="s">
        <v>145</v>
      </c>
      <c r="W413" s="293" t="s">
        <v>74</v>
      </c>
      <c r="X413" s="293" t="s">
        <v>656</v>
      </c>
      <c r="Z413" s="293" t="s">
        <v>26979</v>
      </c>
      <c r="AA413" s="293" t="s">
        <v>145</v>
      </c>
      <c r="AB413" s="293" t="s">
        <v>74</v>
      </c>
      <c r="AC413" s="293" t="s">
        <v>656</v>
      </c>
      <c r="AE413" s="293" t="s">
        <v>26980</v>
      </c>
      <c r="AF413" s="293" t="s">
        <v>145</v>
      </c>
      <c r="AG413" s="293" t="s">
        <v>74</v>
      </c>
      <c r="AH413" s="293" t="s">
        <v>656</v>
      </c>
      <c r="AJ413" s="293" t="s">
        <v>26981</v>
      </c>
      <c r="AK413" s="293" t="s">
        <v>145</v>
      </c>
      <c r="AL413" s="293" t="s">
        <v>74</v>
      </c>
      <c r="AM413" s="293" t="s">
        <v>656</v>
      </c>
      <c r="AO413" s="22" t="s">
        <v>26982</v>
      </c>
      <c r="AP413" s="22" t="s">
        <v>145</v>
      </c>
      <c r="AQ413" s="22" t="s">
        <v>70</v>
      </c>
      <c r="AR413" s="22" t="s">
        <v>67</v>
      </c>
      <c r="AT413" s="22" t="s">
        <v>26983</v>
      </c>
      <c r="AU413" s="22" t="s">
        <v>145</v>
      </c>
      <c r="AV413" s="22" t="s">
        <v>70</v>
      </c>
      <c r="AW413" s="22" t="s">
        <v>67</v>
      </c>
      <c r="AY413" s="22" t="s">
        <v>26984</v>
      </c>
      <c r="AZ413" s="22" t="s">
        <v>145</v>
      </c>
      <c r="BA413" s="22" t="s">
        <v>70</v>
      </c>
      <c r="BB413" s="22" t="s">
        <v>67</v>
      </c>
      <c r="BD413" s="22" t="s">
        <v>26985</v>
      </c>
      <c r="BE413" s="22" t="s">
        <v>145</v>
      </c>
      <c r="BF413" s="22" t="s">
        <v>70</v>
      </c>
      <c r="BG413" s="22" t="s">
        <v>67</v>
      </c>
      <c r="BI413" s="22" t="s">
        <v>26986</v>
      </c>
      <c r="BJ413" s="22" t="s">
        <v>145</v>
      </c>
      <c r="BK413" s="22" t="s">
        <v>70</v>
      </c>
      <c r="BL413" s="22" t="s">
        <v>67</v>
      </c>
      <c r="BN413" s="22" t="s">
        <v>26987</v>
      </c>
      <c r="BO413" s="22" t="s">
        <v>145</v>
      </c>
      <c r="BP413" s="22" t="s">
        <v>70</v>
      </c>
      <c r="BQ413" s="22" t="s">
        <v>67</v>
      </c>
      <c r="BS413" s="22" t="s">
        <v>26988</v>
      </c>
      <c r="BT413" s="22" t="s">
        <v>145</v>
      </c>
      <c r="BU413" s="22" t="s">
        <v>70</v>
      </c>
      <c r="BV413" s="214" t="s">
        <v>530</v>
      </c>
      <c r="BX413" s="22" t="s">
        <v>26989</v>
      </c>
      <c r="BY413" s="22" t="s">
        <v>145</v>
      </c>
      <c r="BZ413" s="22" t="s">
        <v>70</v>
      </c>
      <c r="CA413" s="214" t="s">
        <v>530</v>
      </c>
      <c r="CC413" s="214" t="s">
        <v>26990</v>
      </c>
      <c r="CD413" s="214" t="s">
        <v>488</v>
      </c>
      <c r="CE413" s="214" t="s">
        <v>70</v>
      </c>
      <c r="CF413" s="214" t="s">
        <v>530</v>
      </c>
      <c r="CH413" s="214" t="s">
        <v>26991</v>
      </c>
      <c r="CI413" s="214" t="s">
        <v>950</v>
      </c>
      <c r="CJ413" s="214" t="s">
        <v>70</v>
      </c>
      <c r="CK413" s="214" t="s">
        <v>530</v>
      </c>
      <c r="CM413" s="214" t="s">
        <v>26992</v>
      </c>
      <c r="CN413" s="214" t="s">
        <v>488</v>
      </c>
      <c r="CO413" s="214" t="s">
        <v>70</v>
      </c>
      <c r="CP413" s="214" t="s">
        <v>530</v>
      </c>
      <c r="CR413" s="214" t="s">
        <v>26993</v>
      </c>
      <c r="CS413" s="214" t="s">
        <v>34595</v>
      </c>
      <c r="CT413" s="214" t="s">
        <v>70</v>
      </c>
      <c r="CU413" s="214" t="s">
        <v>530</v>
      </c>
      <c r="CW413" s="214" t="s">
        <v>26994</v>
      </c>
      <c r="CX413" s="214" t="s">
        <v>34551</v>
      </c>
      <c r="CY413" s="214" t="s">
        <v>70</v>
      </c>
      <c r="CZ413" s="214" t="s">
        <v>530</v>
      </c>
      <c r="DB413" s="214" t="s">
        <v>26995</v>
      </c>
      <c r="DC413" s="214" t="s">
        <v>485</v>
      </c>
      <c r="DD413" s="214" t="s">
        <v>70</v>
      </c>
      <c r="DE413" s="214" t="s">
        <v>530</v>
      </c>
      <c r="DG413" s="214" t="s">
        <v>26996</v>
      </c>
      <c r="DH413" s="214" t="s">
        <v>490</v>
      </c>
      <c r="DI413" s="214" t="s">
        <v>70</v>
      </c>
      <c r="DJ413" s="214" t="s">
        <v>530</v>
      </c>
      <c r="DL413" s="214" t="s">
        <v>26997</v>
      </c>
      <c r="DM413" s="214" t="s">
        <v>87</v>
      </c>
      <c r="DN413" s="214" t="s">
        <v>70</v>
      </c>
      <c r="DO413" s="214" t="s">
        <v>530</v>
      </c>
      <c r="DQ413" s="214" t="s">
        <v>26998</v>
      </c>
      <c r="DR413" s="214" t="s">
        <v>486</v>
      </c>
      <c r="DS413" s="214" t="s">
        <v>70</v>
      </c>
      <c r="DT413" s="214" t="s">
        <v>530</v>
      </c>
      <c r="DV413" s="214" t="s">
        <v>26999</v>
      </c>
      <c r="DW413" s="214" t="s">
        <v>52</v>
      </c>
      <c r="DX413" s="214" t="s">
        <v>70</v>
      </c>
      <c r="DY413" s="214" t="s">
        <v>530</v>
      </c>
      <c r="EA413" s="214" t="s">
        <v>27000</v>
      </c>
      <c r="EB413" s="214" t="s">
        <v>34516</v>
      </c>
      <c r="EC413" s="214" t="s">
        <v>70</v>
      </c>
      <c r="ED413" s="214" t="s">
        <v>530</v>
      </c>
      <c r="EF413" s="214" t="s">
        <v>27001</v>
      </c>
      <c r="EG413" s="214" t="s">
        <v>468</v>
      </c>
      <c r="EH413" s="214" t="s">
        <v>70</v>
      </c>
      <c r="EI413" s="214" t="s">
        <v>530</v>
      </c>
      <c r="EK413" s="214" t="s">
        <v>27002</v>
      </c>
      <c r="EL413" s="214" t="s">
        <v>34541</v>
      </c>
      <c r="EM413" s="214" t="s">
        <v>70</v>
      </c>
      <c r="EN413" s="214" t="s">
        <v>530</v>
      </c>
      <c r="EP413" s="214" t="s">
        <v>27003</v>
      </c>
      <c r="EQ413" s="214" t="s">
        <v>34558</v>
      </c>
      <c r="ER413" s="214" t="s">
        <v>70</v>
      </c>
      <c r="ES413" s="214" t="s">
        <v>530</v>
      </c>
      <c r="EU413" s="214" t="s">
        <v>27004</v>
      </c>
      <c r="EV413" s="214" t="s">
        <v>599</v>
      </c>
      <c r="EW413" s="214" t="s">
        <v>70</v>
      </c>
      <c r="EX413" s="214" t="s">
        <v>530</v>
      </c>
      <c r="EZ413" s="214" t="s">
        <v>27005</v>
      </c>
      <c r="FA413" s="214" t="s">
        <v>916</v>
      </c>
      <c r="FB413" s="214" t="s">
        <v>70</v>
      </c>
      <c r="FC413" s="214" t="s">
        <v>530</v>
      </c>
      <c r="FE413" s="214" t="s">
        <v>27006</v>
      </c>
      <c r="FF413" s="214" t="s">
        <v>34516</v>
      </c>
      <c r="FG413" s="214" t="s">
        <v>70</v>
      </c>
      <c r="FH413" s="214" t="s">
        <v>530</v>
      </c>
      <c r="FJ413" s="321" t="s">
        <v>27007</v>
      </c>
      <c r="FK413" s="214" t="s">
        <v>145</v>
      </c>
      <c r="FL413" s="214" t="s">
        <v>70</v>
      </c>
      <c r="FM413" s="214" t="s">
        <v>530</v>
      </c>
      <c r="FO413" s="321" t="s">
        <v>27008</v>
      </c>
      <c r="FP413" s="214" t="s">
        <v>34542</v>
      </c>
      <c r="FQ413" s="214" t="s">
        <v>70</v>
      </c>
      <c r="FR413" s="214" t="s">
        <v>530</v>
      </c>
      <c r="FT413" s="321" t="s">
        <v>27009</v>
      </c>
      <c r="FU413" s="214" t="s">
        <v>765</v>
      </c>
      <c r="FV413" s="214" t="s">
        <v>70</v>
      </c>
      <c r="FW413" s="214" t="s">
        <v>530</v>
      </c>
      <c r="FY413" s="321" t="s">
        <v>27010</v>
      </c>
      <c r="FZ413" s="214" t="s">
        <v>34551</v>
      </c>
      <c r="GA413" s="214" t="s">
        <v>70</v>
      </c>
      <c r="GB413" s="214" t="s">
        <v>530</v>
      </c>
      <c r="GD413" s="321" t="s">
        <v>27011</v>
      </c>
      <c r="GE413" s="214" t="s">
        <v>86</v>
      </c>
      <c r="GF413" s="214" t="s">
        <v>70</v>
      </c>
      <c r="GG413" s="214" t="s">
        <v>530</v>
      </c>
      <c r="GI413" s="321" t="s">
        <v>27012</v>
      </c>
      <c r="GJ413" s="214" t="s">
        <v>34541</v>
      </c>
      <c r="GK413" s="214" t="s">
        <v>70</v>
      </c>
      <c r="GL413" s="214" t="s">
        <v>530</v>
      </c>
      <c r="GN413" s="321" t="s">
        <v>27013</v>
      </c>
      <c r="GO413" s="214" t="s">
        <v>146</v>
      </c>
      <c r="GP413" s="214" t="s">
        <v>70</v>
      </c>
      <c r="GQ413" s="214" t="s">
        <v>530</v>
      </c>
      <c r="GS413" s="321" t="s">
        <v>27014</v>
      </c>
      <c r="GT413" s="214" t="s">
        <v>34540</v>
      </c>
      <c r="GU413" s="214" t="s">
        <v>70</v>
      </c>
      <c r="GV413" s="214" t="s">
        <v>530</v>
      </c>
      <c r="GX413" s="214" t="s">
        <v>27015</v>
      </c>
      <c r="GY413" s="214" t="s">
        <v>484</v>
      </c>
      <c r="GZ413" s="214" t="s">
        <v>70</v>
      </c>
      <c r="HA413" s="214" t="s">
        <v>530</v>
      </c>
      <c r="HC413" s="214" t="s">
        <v>27016</v>
      </c>
      <c r="HD413" s="214" t="s">
        <v>484</v>
      </c>
      <c r="HE413" s="214" t="s">
        <v>70</v>
      </c>
      <c r="HF413" s="214" t="s">
        <v>530</v>
      </c>
      <c r="HH413" s="214" t="s">
        <v>27017</v>
      </c>
      <c r="HI413" s="214" t="s">
        <v>482</v>
      </c>
      <c r="HJ413" s="214" t="s">
        <v>70</v>
      </c>
      <c r="HK413" s="214" t="s">
        <v>530</v>
      </c>
      <c r="HM413" s="214" t="s">
        <v>27018</v>
      </c>
      <c r="HN413" s="214" t="s">
        <v>34589</v>
      </c>
      <c r="HO413" s="214" t="s">
        <v>70</v>
      </c>
      <c r="HP413" s="214" t="s">
        <v>530</v>
      </c>
      <c r="HR413" s="22" t="s">
        <v>27019</v>
      </c>
      <c r="HS413" s="22" t="s">
        <v>501</v>
      </c>
      <c r="HT413" s="22" t="s">
        <v>70</v>
      </c>
      <c r="HU413" s="214" t="s">
        <v>530</v>
      </c>
      <c r="HW413" s="22" t="s">
        <v>27020</v>
      </c>
      <c r="HX413" s="22" t="s">
        <v>52</v>
      </c>
      <c r="HY413" s="22" t="s">
        <v>70</v>
      </c>
      <c r="HZ413" s="214" t="s">
        <v>530</v>
      </c>
      <c r="IB413" s="22" t="s">
        <v>27021</v>
      </c>
      <c r="IC413" s="22" t="s">
        <v>34542</v>
      </c>
      <c r="ID413" s="22" t="s">
        <v>70</v>
      </c>
      <c r="IE413" s="214" t="s">
        <v>530</v>
      </c>
      <c r="IG413" s="22" t="s">
        <v>27022</v>
      </c>
      <c r="IH413" s="22" t="s">
        <v>52</v>
      </c>
      <c r="II413" s="22" t="s">
        <v>70</v>
      </c>
      <c r="IJ413" s="214" t="s">
        <v>530</v>
      </c>
      <c r="IL413" s="22" t="s">
        <v>27023</v>
      </c>
      <c r="IM413" s="22" t="s">
        <v>145</v>
      </c>
      <c r="IN413" s="22" t="s">
        <v>70</v>
      </c>
      <c r="IO413" s="214" t="s">
        <v>530</v>
      </c>
      <c r="IQ413" s="236" t="s">
        <v>27024</v>
      </c>
      <c r="IR413" s="236" t="s">
        <v>145</v>
      </c>
      <c r="IS413" s="236" t="s">
        <v>74</v>
      </c>
      <c r="IT413" s="236" t="s">
        <v>841</v>
      </c>
      <c r="IV413" s="236" t="s">
        <v>27025</v>
      </c>
      <c r="IW413" s="236" t="s">
        <v>145</v>
      </c>
      <c r="IX413" s="236" t="s">
        <v>74</v>
      </c>
      <c r="IY413" s="236" t="s">
        <v>841</v>
      </c>
      <c r="JA413" s="236" t="s">
        <v>27026</v>
      </c>
      <c r="JB413" s="236" t="s">
        <v>145</v>
      </c>
      <c r="JC413" s="236" t="s">
        <v>74</v>
      </c>
      <c r="JD413" s="236" t="s">
        <v>841</v>
      </c>
      <c r="JF413" s="236" t="s">
        <v>27027</v>
      </c>
      <c r="JG413" s="236" t="s">
        <v>145</v>
      </c>
      <c r="JH413" s="236" t="s">
        <v>74</v>
      </c>
      <c r="JI413" s="236" t="s">
        <v>841</v>
      </c>
      <c r="JK413" s="236" t="s">
        <v>27028</v>
      </c>
      <c r="JL413" s="236" t="s">
        <v>145</v>
      </c>
      <c r="JM413" s="236" t="s">
        <v>74</v>
      </c>
      <c r="JN413" s="236" t="s">
        <v>841</v>
      </c>
      <c r="JP413" s="236" t="s">
        <v>27029</v>
      </c>
      <c r="JQ413" s="236" t="s">
        <v>145</v>
      </c>
      <c r="JR413" s="236" t="s">
        <v>74</v>
      </c>
      <c r="JS413" s="236" t="s">
        <v>841</v>
      </c>
      <c r="JU413" s="294" t="s">
        <v>27030</v>
      </c>
      <c r="JV413" s="294" t="s">
        <v>52</v>
      </c>
      <c r="JW413" s="263" t="s">
        <v>70</v>
      </c>
      <c r="JX413" s="294" t="s">
        <v>1083</v>
      </c>
      <c r="JZ413" s="263" t="s">
        <v>27031</v>
      </c>
      <c r="KA413" s="263" t="s">
        <v>145</v>
      </c>
      <c r="KB413" s="263" t="s">
        <v>70</v>
      </c>
      <c r="KC413" s="263" t="s">
        <v>1083</v>
      </c>
      <c r="KE413" s="263" t="s">
        <v>27032</v>
      </c>
      <c r="KF413" s="263" t="s">
        <v>52</v>
      </c>
      <c r="KG413" s="263" t="s">
        <v>70</v>
      </c>
      <c r="KH413" s="263" t="s">
        <v>1083</v>
      </c>
      <c r="KJ413" s="263" t="s">
        <v>27033</v>
      </c>
      <c r="KK413" s="263" t="s">
        <v>52</v>
      </c>
      <c r="KL413" s="263" t="s">
        <v>74</v>
      </c>
      <c r="KM413" s="263" t="s">
        <v>34074</v>
      </c>
      <c r="KO413" s="214" t="s">
        <v>27034</v>
      </c>
      <c r="KP413" s="214" t="s">
        <v>145</v>
      </c>
      <c r="KQ413" s="214" t="s">
        <v>70</v>
      </c>
      <c r="KR413" s="214" t="s">
        <v>67</v>
      </c>
      <c r="KT413" s="22" t="s">
        <v>27035</v>
      </c>
      <c r="KU413" s="22" t="s">
        <v>145</v>
      </c>
      <c r="KV413" s="22" t="s">
        <v>70</v>
      </c>
      <c r="KW413" s="22" t="s">
        <v>67</v>
      </c>
      <c r="KY413" s="214" t="s">
        <v>27036</v>
      </c>
      <c r="KZ413" s="214" t="s">
        <v>52</v>
      </c>
      <c r="LA413" s="214" t="s">
        <v>74</v>
      </c>
      <c r="LB413" s="214" t="s">
        <v>67</v>
      </c>
      <c r="LD413" s="22" t="s">
        <v>27037</v>
      </c>
      <c r="LE413" s="22" t="s">
        <v>145</v>
      </c>
      <c r="LF413" s="22" t="s">
        <v>70</v>
      </c>
      <c r="LG413" s="22" t="s">
        <v>67</v>
      </c>
    </row>
    <row r="414" spans="1:319">
      <c r="A414" s="22" t="s">
        <v>27038</v>
      </c>
      <c r="B414" s="22" t="s">
        <v>145</v>
      </c>
      <c r="C414" s="22" t="s">
        <v>70</v>
      </c>
      <c r="D414" s="22" t="s">
        <v>67</v>
      </c>
      <c r="F414" s="96" t="s">
        <v>27039</v>
      </c>
      <c r="G414" s="22" t="s">
        <v>145</v>
      </c>
      <c r="H414" s="22" t="s">
        <v>70</v>
      </c>
      <c r="I414" s="22" t="s">
        <v>67</v>
      </c>
      <c r="K414" s="99" t="s">
        <v>27040</v>
      </c>
      <c r="L414" s="22" t="s">
        <v>145</v>
      </c>
      <c r="M414" s="22" t="s">
        <v>70</v>
      </c>
      <c r="N414" s="22" t="s">
        <v>67</v>
      </c>
      <c r="P414" s="230" t="s">
        <v>27041</v>
      </c>
      <c r="Q414" s="218" t="s">
        <v>145</v>
      </c>
      <c r="R414" s="218" t="s">
        <v>72</v>
      </c>
      <c r="S414" s="218" t="s">
        <v>34015</v>
      </c>
      <c r="U414" s="293" t="s">
        <v>27042</v>
      </c>
      <c r="V414" s="293" t="s">
        <v>145</v>
      </c>
      <c r="W414" s="293" t="s">
        <v>74</v>
      </c>
      <c r="X414" s="293" t="s">
        <v>656</v>
      </c>
      <c r="Z414" s="293" t="s">
        <v>27043</v>
      </c>
      <c r="AA414" s="293" t="s">
        <v>145</v>
      </c>
      <c r="AB414" s="293" t="s">
        <v>74</v>
      </c>
      <c r="AC414" s="293" t="s">
        <v>656</v>
      </c>
      <c r="AE414" s="293" t="s">
        <v>27044</v>
      </c>
      <c r="AF414" s="293" t="s">
        <v>145</v>
      </c>
      <c r="AG414" s="293" t="s">
        <v>74</v>
      </c>
      <c r="AH414" s="293" t="s">
        <v>656</v>
      </c>
      <c r="AJ414" s="293" t="s">
        <v>27045</v>
      </c>
      <c r="AK414" s="293" t="s">
        <v>145</v>
      </c>
      <c r="AL414" s="293" t="s">
        <v>74</v>
      </c>
      <c r="AM414" s="293" t="s">
        <v>656</v>
      </c>
      <c r="AO414" s="22" t="s">
        <v>27046</v>
      </c>
      <c r="AP414" s="22" t="s">
        <v>145</v>
      </c>
      <c r="AQ414" s="22" t="s">
        <v>70</v>
      </c>
      <c r="AR414" s="22" t="s">
        <v>67</v>
      </c>
      <c r="AT414" s="22" t="s">
        <v>27047</v>
      </c>
      <c r="AU414" s="22" t="s">
        <v>145</v>
      </c>
      <c r="AV414" s="22" t="s">
        <v>70</v>
      </c>
      <c r="AW414" s="22" t="s">
        <v>67</v>
      </c>
      <c r="AY414" s="22" t="s">
        <v>27048</v>
      </c>
      <c r="AZ414" s="22" t="s">
        <v>145</v>
      </c>
      <c r="BA414" s="22" t="s">
        <v>70</v>
      </c>
      <c r="BB414" s="22" t="s">
        <v>67</v>
      </c>
      <c r="BD414" s="22" t="s">
        <v>27049</v>
      </c>
      <c r="BE414" s="22" t="s">
        <v>145</v>
      </c>
      <c r="BF414" s="22" t="s">
        <v>70</v>
      </c>
      <c r="BG414" s="22" t="s">
        <v>67</v>
      </c>
      <c r="BI414" s="22" t="s">
        <v>27050</v>
      </c>
      <c r="BJ414" s="22" t="s">
        <v>145</v>
      </c>
      <c r="BK414" s="22" t="s">
        <v>70</v>
      </c>
      <c r="BL414" s="22" t="s">
        <v>67</v>
      </c>
      <c r="BN414" s="22" t="s">
        <v>27051</v>
      </c>
      <c r="BO414" s="22" t="s">
        <v>145</v>
      </c>
      <c r="BP414" s="22" t="s">
        <v>70</v>
      </c>
      <c r="BQ414" s="22" t="s">
        <v>67</v>
      </c>
      <c r="BS414" s="22" t="s">
        <v>27052</v>
      </c>
      <c r="BT414" s="22" t="s">
        <v>145</v>
      </c>
      <c r="BU414" s="22" t="s">
        <v>70</v>
      </c>
      <c r="BV414" s="214" t="s">
        <v>530</v>
      </c>
      <c r="BX414" s="22" t="s">
        <v>27053</v>
      </c>
      <c r="BY414" s="22" t="s">
        <v>145</v>
      </c>
      <c r="BZ414" s="22" t="s">
        <v>70</v>
      </c>
      <c r="CA414" s="214" t="s">
        <v>530</v>
      </c>
      <c r="CC414" s="214" t="s">
        <v>27054</v>
      </c>
      <c r="CD414" s="214" t="s">
        <v>34558</v>
      </c>
      <c r="CE414" s="214" t="s">
        <v>70</v>
      </c>
      <c r="CF414" s="214" t="s">
        <v>530</v>
      </c>
      <c r="CH414" s="214" t="s">
        <v>27055</v>
      </c>
      <c r="CI414" s="214" t="s">
        <v>148</v>
      </c>
      <c r="CJ414" s="214" t="s">
        <v>70</v>
      </c>
      <c r="CK414" s="214" t="s">
        <v>530</v>
      </c>
      <c r="CM414" s="214" t="s">
        <v>27056</v>
      </c>
      <c r="CN414" s="214" t="s">
        <v>89</v>
      </c>
      <c r="CO414" s="214" t="s">
        <v>70</v>
      </c>
      <c r="CP414" s="214" t="s">
        <v>530</v>
      </c>
      <c r="CR414" s="214" t="s">
        <v>27057</v>
      </c>
      <c r="CS414" s="214" t="s">
        <v>34547</v>
      </c>
      <c r="CT414" s="214" t="s">
        <v>70</v>
      </c>
      <c r="CU414" s="214" t="s">
        <v>530</v>
      </c>
      <c r="CW414" s="214" t="s">
        <v>27058</v>
      </c>
      <c r="CX414" s="214" t="s">
        <v>34546</v>
      </c>
      <c r="CY414" s="214" t="s">
        <v>70</v>
      </c>
      <c r="CZ414" s="214" t="s">
        <v>530</v>
      </c>
      <c r="DB414" s="214" t="s">
        <v>27059</v>
      </c>
      <c r="DC414" s="214" t="s">
        <v>34545</v>
      </c>
      <c r="DD414" s="214" t="s">
        <v>70</v>
      </c>
      <c r="DE414" s="214" t="s">
        <v>530</v>
      </c>
      <c r="DG414" s="214" t="s">
        <v>27060</v>
      </c>
      <c r="DH414" s="214" t="s">
        <v>163</v>
      </c>
      <c r="DI414" s="214" t="s">
        <v>70</v>
      </c>
      <c r="DJ414" s="214" t="s">
        <v>530</v>
      </c>
      <c r="DL414" s="214" t="s">
        <v>27061</v>
      </c>
      <c r="DM414" s="214" t="s">
        <v>642</v>
      </c>
      <c r="DN414" s="214" t="s">
        <v>70</v>
      </c>
      <c r="DO414" s="214" t="s">
        <v>530</v>
      </c>
      <c r="DQ414" s="214" t="s">
        <v>27062</v>
      </c>
      <c r="DR414" s="214" t="s">
        <v>915</v>
      </c>
      <c r="DS414" s="214" t="s">
        <v>70</v>
      </c>
      <c r="DT414" s="214" t="s">
        <v>530</v>
      </c>
      <c r="DV414" s="214" t="s">
        <v>27063</v>
      </c>
      <c r="DW414" s="214" t="s">
        <v>935</v>
      </c>
      <c r="DX414" s="214" t="s">
        <v>70</v>
      </c>
      <c r="DY414" s="214" t="s">
        <v>530</v>
      </c>
      <c r="EA414" s="214" t="s">
        <v>27064</v>
      </c>
      <c r="EB414" s="214" t="s">
        <v>483</v>
      </c>
      <c r="EC414" s="214" t="s">
        <v>70</v>
      </c>
      <c r="ED414" s="214" t="s">
        <v>530</v>
      </c>
      <c r="EF414" s="214" t="s">
        <v>27065</v>
      </c>
      <c r="EG414" s="214" t="s">
        <v>145</v>
      </c>
      <c r="EH414" s="214" t="s">
        <v>70</v>
      </c>
      <c r="EI414" s="214" t="s">
        <v>530</v>
      </c>
      <c r="EK414" s="214" t="s">
        <v>27066</v>
      </c>
      <c r="EL414" s="214" t="s">
        <v>34639</v>
      </c>
      <c r="EM414" s="214" t="s">
        <v>70</v>
      </c>
      <c r="EN414" s="214" t="s">
        <v>530</v>
      </c>
      <c r="EP414" s="214" t="s">
        <v>27067</v>
      </c>
      <c r="EQ414" s="214" t="s">
        <v>164</v>
      </c>
      <c r="ER414" s="214" t="s">
        <v>70</v>
      </c>
      <c r="ES414" s="214" t="s">
        <v>530</v>
      </c>
      <c r="EU414" s="214" t="s">
        <v>27068</v>
      </c>
      <c r="EV414" s="214" t="s">
        <v>34563</v>
      </c>
      <c r="EW414" s="214" t="s">
        <v>70</v>
      </c>
      <c r="EX414" s="214" t="s">
        <v>530</v>
      </c>
      <c r="EZ414" s="214" t="s">
        <v>27069</v>
      </c>
      <c r="FA414" s="214" t="s">
        <v>468</v>
      </c>
      <c r="FB414" s="214" t="s">
        <v>70</v>
      </c>
      <c r="FC414" s="214" t="s">
        <v>530</v>
      </c>
      <c r="FE414" s="214" t="s">
        <v>27070</v>
      </c>
      <c r="FF414" s="214" t="s">
        <v>205</v>
      </c>
      <c r="FG414" s="214" t="s">
        <v>70</v>
      </c>
      <c r="FH414" s="214" t="s">
        <v>530</v>
      </c>
      <c r="FJ414" s="321" t="s">
        <v>27071</v>
      </c>
      <c r="FK414" s="214" t="s">
        <v>52</v>
      </c>
      <c r="FL414" s="214" t="s">
        <v>70</v>
      </c>
      <c r="FM414" s="214" t="s">
        <v>530</v>
      </c>
      <c r="FO414" s="321" t="s">
        <v>27072</v>
      </c>
      <c r="FP414" s="214" t="s">
        <v>484</v>
      </c>
      <c r="FQ414" s="214" t="s">
        <v>70</v>
      </c>
      <c r="FR414" s="214" t="s">
        <v>530</v>
      </c>
      <c r="FT414" s="321" t="s">
        <v>27073</v>
      </c>
      <c r="FU414" s="214" t="s">
        <v>34580</v>
      </c>
      <c r="FV414" s="214" t="s">
        <v>70</v>
      </c>
      <c r="FW414" s="214" t="s">
        <v>530</v>
      </c>
      <c r="FY414" s="321" t="s">
        <v>27074</v>
      </c>
      <c r="FZ414" s="214" t="s">
        <v>34614</v>
      </c>
      <c r="GA414" s="214" t="s">
        <v>70</v>
      </c>
      <c r="GB414" s="214" t="s">
        <v>530</v>
      </c>
      <c r="GD414" s="321" t="s">
        <v>27075</v>
      </c>
      <c r="GE414" s="214" t="s">
        <v>145</v>
      </c>
      <c r="GF414" s="214" t="s">
        <v>70</v>
      </c>
      <c r="GG414" s="214" t="s">
        <v>530</v>
      </c>
      <c r="GI414" s="321" t="s">
        <v>27076</v>
      </c>
      <c r="GJ414" s="214" t="s">
        <v>34572</v>
      </c>
      <c r="GK414" s="214" t="s">
        <v>70</v>
      </c>
      <c r="GL414" s="214" t="s">
        <v>530</v>
      </c>
      <c r="GN414" s="321" t="s">
        <v>27077</v>
      </c>
      <c r="GO414" s="214" t="s">
        <v>34571</v>
      </c>
      <c r="GP414" s="214" t="s">
        <v>70</v>
      </c>
      <c r="GQ414" s="214" t="s">
        <v>530</v>
      </c>
      <c r="GS414" s="321" t="s">
        <v>27078</v>
      </c>
      <c r="GT414" s="214" t="s">
        <v>490</v>
      </c>
      <c r="GU414" s="214" t="s">
        <v>70</v>
      </c>
      <c r="GV414" s="214" t="s">
        <v>530</v>
      </c>
      <c r="GX414" s="214" t="s">
        <v>27079</v>
      </c>
      <c r="GY414" s="214" t="s">
        <v>163</v>
      </c>
      <c r="GZ414" s="214" t="s">
        <v>70</v>
      </c>
      <c r="HA414" s="214" t="s">
        <v>530</v>
      </c>
      <c r="HC414" s="214" t="s">
        <v>27080</v>
      </c>
      <c r="HD414" s="214" t="s">
        <v>148</v>
      </c>
      <c r="HE414" s="214" t="s">
        <v>70</v>
      </c>
      <c r="HF414" s="214" t="s">
        <v>530</v>
      </c>
      <c r="HH414" s="214" t="s">
        <v>27081</v>
      </c>
      <c r="HI414" s="214" t="s">
        <v>52</v>
      </c>
      <c r="HJ414" s="214" t="s">
        <v>70</v>
      </c>
      <c r="HK414" s="214" t="s">
        <v>530</v>
      </c>
      <c r="HM414" s="214" t="s">
        <v>27082</v>
      </c>
      <c r="HN414" s="214" t="s">
        <v>468</v>
      </c>
      <c r="HO414" s="214" t="s">
        <v>70</v>
      </c>
      <c r="HP414" s="214" t="s">
        <v>530</v>
      </c>
      <c r="HR414" s="22" t="s">
        <v>27083</v>
      </c>
      <c r="HS414" s="22" t="s">
        <v>149</v>
      </c>
      <c r="HT414" s="22" t="s">
        <v>70</v>
      </c>
      <c r="HU414" s="214" t="s">
        <v>530</v>
      </c>
      <c r="HW414" s="22" t="s">
        <v>27084</v>
      </c>
      <c r="HX414" s="22" t="s">
        <v>52</v>
      </c>
      <c r="HY414" s="22" t="s">
        <v>70</v>
      </c>
      <c r="HZ414" s="214" t="s">
        <v>530</v>
      </c>
      <c r="IB414" s="22" t="s">
        <v>27085</v>
      </c>
      <c r="IC414" s="22" t="s">
        <v>287</v>
      </c>
      <c r="ID414" s="22" t="s">
        <v>70</v>
      </c>
      <c r="IE414" s="214" t="s">
        <v>530</v>
      </c>
      <c r="IG414" s="22" t="s">
        <v>27086</v>
      </c>
      <c r="IH414" s="22" t="s">
        <v>52</v>
      </c>
      <c r="II414" s="22" t="s">
        <v>70</v>
      </c>
      <c r="IJ414" s="214" t="s">
        <v>530</v>
      </c>
      <c r="IL414" s="22" t="s">
        <v>27087</v>
      </c>
      <c r="IM414" s="22" t="s">
        <v>145</v>
      </c>
      <c r="IN414" s="22" t="s">
        <v>70</v>
      </c>
      <c r="IO414" s="214" t="s">
        <v>530</v>
      </c>
      <c r="IQ414" s="236" t="s">
        <v>27088</v>
      </c>
      <c r="IR414" s="236" t="s">
        <v>145</v>
      </c>
      <c r="IS414" s="236" t="s">
        <v>74</v>
      </c>
      <c r="IT414" s="236" t="s">
        <v>841</v>
      </c>
      <c r="IV414" s="236" t="s">
        <v>27089</v>
      </c>
      <c r="IW414" s="236" t="s">
        <v>145</v>
      </c>
      <c r="IX414" s="236" t="s">
        <v>74</v>
      </c>
      <c r="IY414" s="236" t="s">
        <v>841</v>
      </c>
      <c r="JA414" s="236" t="s">
        <v>27090</v>
      </c>
      <c r="JB414" s="236" t="s">
        <v>145</v>
      </c>
      <c r="JC414" s="236" t="s">
        <v>74</v>
      </c>
      <c r="JD414" s="236" t="s">
        <v>841</v>
      </c>
      <c r="JF414" s="236" t="s">
        <v>27091</v>
      </c>
      <c r="JG414" s="236" t="s">
        <v>145</v>
      </c>
      <c r="JH414" s="236" t="s">
        <v>74</v>
      </c>
      <c r="JI414" s="236" t="s">
        <v>841</v>
      </c>
      <c r="JK414" s="236" t="s">
        <v>27092</v>
      </c>
      <c r="JL414" s="236" t="s">
        <v>145</v>
      </c>
      <c r="JM414" s="236" t="s">
        <v>74</v>
      </c>
      <c r="JN414" s="236" t="s">
        <v>841</v>
      </c>
      <c r="JP414" s="236" t="s">
        <v>27093</v>
      </c>
      <c r="JQ414" s="236" t="s">
        <v>145</v>
      </c>
      <c r="JR414" s="236" t="s">
        <v>74</v>
      </c>
      <c r="JS414" s="236" t="s">
        <v>841</v>
      </c>
      <c r="JU414" s="294" t="s">
        <v>27094</v>
      </c>
      <c r="JV414" s="294" t="s">
        <v>52</v>
      </c>
      <c r="JW414" s="263" t="s">
        <v>70</v>
      </c>
      <c r="JX414" s="294" t="s">
        <v>1083</v>
      </c>
      <c r="JZ414" s="263" t="s">
        <v>27095</v>
      </c>
      <c r="KA414" s="263" t="s">
        <v>145</v>
      </c>
      <c r="KB414" s="263" t="s">
        <v>70</v>
      </c>
      <c r="KC414" s="263" t="s">
        <v>1083</v>
      </c>
      <c r="KE414" s="263" t="s">
        <v>27096</v>
      </c>
      <c r="KF414" s="263" t="s">
        <v>52</v>
      </c>
      <c r="KG414" s="263" t="s">
        <v>70</v>
      </c>
      <c r="KH414" s="263" t="s">
        <v>1083</v>
      </c>
      <c r="KJ414" s="263" t="s">
        <v>27097</v>
      </c>
      <c r="KK414" s="263" t="s">
        <v>52</v>
      </c>
      <c r="KL414" s="263" t="s">
        <v>74</v>
      </c>
      <c r="KM414" s="263" t="s">
        <v>34074</v>
      </c>
      <c r="KO414" s="214" t="s">
        <v>27098</v>
      </c>
      <c r="KP414" s="214" t="s">
        <v>145</v>
      </c>
      <c r="KQ414" s="214" t="s">
        <v>70</v>
      </c>
      <c r="KR414" s="214" t="s">
        <v>67</v>
      </c>
      <c r="KT414" s="22" t="s">
        <v>27099</v>
      </c>
      <c r="KU414" s="22" t="s">
        <v>145</v>
      </c>
      <c r="KV414" s="22" t="s">
        <v>70</v>
      </c>
      <c r="KW414" s="22" t="s">
        <v>67</v>
      </c>
      <c r="KY414" s="214" t="s">
        <v>27100</v>
      </c>
      <c r="KZ414" s="214" t="s">
        <v>52</v>
      </c>
      <c r="LA414" s="214" t="s">
        <v>74</v>
      </c>
      <c r="LB414" s="214" t="s">
        <v>67</v>
      </c>
      <c r="LD414" s="22" t="s">
        <v>27101</v>
      </c>
      <c r="LE414" s="22" t="s">
        <v>145</v>
      </c>
      <c r="LF414" s="22" t="s">
        <v>70</v>
      </c>
      <c r="LG414" s="22" t="s">
        <v>67</v>
      </c>
    </row>
    <row r="415" spans="1:319">
      <c r="A415" s="22" t="s">
        <v>27102</v>
      </c>
      <c r="B415" s="22" t="s">
        <v>145</v>
      </c>
      <c r="C415" s="22" t="s">
        <v>70</v>
      </c>
      <c r="D415" s="22" t="s">
        <v>67</v>
      </c>
      <c r="F415" s="96" t="s">
        <v>27103</v>
      </c>
      <c r="G415" s="22" t="s">
        <v>145</v>
      </c>
      <c r="H415" s="22" t="s">
        <v>70</v>
      </c>
      <c r="I415" s="22" t="s">
        <v>67</v>
      </c>
      <c r="K415" s="99" t="s">
        <v>27104</v>
      </c>
      <c r="L415" s="22" t="s">
        <v>145</v>
      </c>
      <c r="M415" s="22" t="s">
        <v>70</v>
      </c>
      <c r="N415" s="22" t="s">
        <v>67</v>
      </c>
      <c r="P415" s="230" t="s">
        <v>27105</v>
      </c>
      <c r="Q415" s="218" t="s">
        <v>145</v>
      </c>
      <c r="R415" s="218" t="s">
        <v>72</v>
      </c>
      <c r="S415" s="218" t="s">
        <v>34016</v>
      </c>
      <c r="U415" s="293" t="s">
        <v>27106</v>
      </c>
      <c r="V415" s="293" t="s">
        <v>145</v>
      </c>
      <c r="W415" s="293" t="s">
        <v>74</v>
      </c>
      <c r="X415" s="293" t="s">
        <v>656</v>
      </c>
      <c r="Z415" s="293" t="s">
        <v>27107</v>
      </c>
      <c r="AA415" s="293" t="s">
        <v>145</v>
      </c>
      <c r="AB415" s="293" t="s">
        <v>74</v>
      </c>
      <c r="AC415" s="293" t="s">
        <v>656</v>
      </c>
      <c r="AE415" s="293" t="s">
        <v>27108</v>
      </c>
      <c r="AF415" s="293" t="s">
        <v>145</v>
      </c>
      <c r="AG415" s="293" t="s">
        <v>74</v>
      </c>
      <c r="AH415" s="293" t="s">
        <v>656</v>
      </c>
      <c r="AJ415" s="293" t="s">
        <v>27109</v>
      </c>
      <c r="AK415" s="293" t="s">
        <v>145</v>
      </c>
      <c r="AL415" s="293" t="s">
        <v>74</v>
      </c>
      <c r="AM415" s="293" t="s">
        <v>656</v>
      </c>
      <c r="AO415" s="22" t="s">
        <v>27110</v>
      </c>
      <c r="AP415" s="22" t="s">
        <v>145</v>
      </c>
      <c r="AQ415" s="22" t="s">
        <v>70</v>
      </c>
      <c r="AR415" s="22" t="s">
        <v>67</v>
      </c>
      <c r="AT415" s="22" t="s">
        <v>27111</v>
      </c>
      <c r="AU415" s="22" t="s">
        <v>145</v>
      </c>
      <c r="AV415" s="22" t="s">
        <v>70</v>
      </c>
      <c r="AW415" s="22" t="s">
        <v>67</v>
      </c>
      <c r="AY415" s="22" t="s">
        <v>27112</v>
      </c>
      <c r="AZ415" s="22" t="s">
        <v>145</v>
      </c>
      <c r="BA415" s="22" t="s">
        <v>70</v>
      </c>
      <c r="BB415" s="22" t="s">
        <v>67</v>
      </c>
      <c r="BD415" s="22" t="s">
        <v>27113</v>
      </c>
      <c r="BE415" s="22" t="s">
        <v>145</v>
      </c>
      <c r="BF415" s="22" t="s">
        <v>70</v>
      </c>
      <c r="BG415" s="22" t="s">
        <v>67</v>
      </c>
      <c r="BI415" s="22" t="s">
        <v>27114</v>
      </c>
      <c r="BJ415" s="22" t="s">
        <v>145</v>
      </c>
      <c r="BK415" s="22" t="s">
        <v>70</v>
      </c>
      <c r="BL415" s="22" t="s">
        <v>67</v>
      </c>
      <c r="BN415" s="22" t="s">
        <v>27115</v>
      </c>
      <c r="BO415" s="22" t="s">
        <v>145</v>
      </c>
      <c r="BP415" s="22" t="s">
        <v>70</v>
      </c>
      <c r="BQ415" s="22" t="s">
        <v>67</v>
      </c>
      <c r="BS415" s="22" t="s">
        <v>27116</v>
      </c>
      <c r="BT415" s="22" t="s">
        <v>145</v>
      </c>
      <c r="BU415" s="22" t="s">
        <v>70</v>
      </c>
      <c r="BV415" s="214" t="s">
        <v>530</v>
      </c>
      <c r="BX415" s="22" t="s">
        <v>27117</v>
      </c>
      <c r="BY415" s="22" t="s">
        <v>145</v>
      </c>
      <c r="BZ415" s="22" t="s">
        <v>70</v>
      </c>
      <c r="CA415" s="214" t="s">
        <v>530</v>
      </c>
      <c r="CC415" s="214" t="s">
        <v>27118</v>
      </c>
      <c r="CD415" s="214" t="s">
        <v>484</v>
      </c>
      <c r="CE415" s="214" t="s">
        <v>70</v>
      </c>
      <c r="CF415" s="214" t="s">
        <v>530</v>
      </c>
      <c r="CH415" s="214" t="s">
        <v>27119</v>
      </c>
      <c r="CI415" s="214" t="s">
        <v>496</v>
      </c>
      <c r="CJ415" s="214" t="s">
        <v>70</v>
      </c>
      <c r="CK415" s="214" t="s">
        <v>530</v>
      </c>
      <c r="CM415" s="214" t="s">
        <v>27120</v>
      </c>
      <c r="CN415" s="214" t="s">
        <v>52</v>
      </c>
      <c r="CO415" s="214" t="s">
        <v>70</v>
      </c>
      <c r="CP415" s="214" t="s">
        <v>530</v>
      </c>
      <c r="CR415" s="214" t="s">
        <v>27121</v>
      </c>
      <c r="CS415" s="214" t="s">
        <v>486</v>
      </c>
      <c r="CT415" s="214" t="s">
        <v>70</v>
      </c>
      <c r="CU415" s="214" t="s">
        <v>530</v>
      </c>
      <c r="CW415" s="214" t="s">
        <v>27122</v>
      </c>
      <c r="CX415" s="214" t="s">
        <v>491</v>
      </c>
      <c r="CY415" s="214" t="s">
        <v>70</v>
      </c>
      <c r="CZ415" s="214" t="s">
        <v>530</v>
      </c>
      <c r="DB415" s="214" t="s">
        <v>27123</v>
      </c>
      <c r="DC415" s="214" t="s">
        <v>34561</v>
      </c>
      <c r="DD415" s="214" t="s">
        <v>70</v>
      </c>
      <c r="DE415" s="214" t="s">
        <v>530</v>
      </c>
      <c r="DG415" s="214" t="s">
        <v>27124</v>
      </c>
      <c r="DH415" s="214" t="s">
        <v>955</v>
      </c>
      <c r="DI415" s="214" t="s">
        <v>70</v>
      </c>
      <c r="DJ415" s="214" t="s">
        <v>530</v>
      </c>
      <c r="DL415" s="214" t="s">
        <v>27125</v>
      </c>
      <c r="DM415" s="214" t="s">
        <v>146</v>
      </c>
      <c r="DN415" s="214" t="s">
        <v>70</v>
      </c>
      <c r="DO415" s="214" t="s">
        <v>530</v>
      </c>
      <c r="DQ415" s="214" t="s">
        <v>27126</v>
      </c>
      <c r="DR415" s="214" t="s">
        <v>486</v>
      </c>
      <c r="DS415" s="214" t="s">
        <v>70</v>
      </c>
      <c r="DT415" s="214" t="s">
        <v>530</v>
      </c>
      <c r="DV415" s="214" t="s">
        <v>27127</v>
      </c>
      <c r="DW415" s="214" t="s">
        <v>52</v>
      </c>
      <c r="DX415" s="214" t="s">
        <v>70</v>
      </c>
      <c r="DY415" s="214" t="s">
        <v>530</v>
      </c>
      <c r="EA415" s="214" t="s">
        <v>27128</v>
      </c>
      <c r="EB415" s="214" t="s">
        <v>146</v>
      </c>
      <c r="EC415" s="214" t="s">
        <v>70</v>
      </c>
      <c r="ED415" s="214" t="s">
        <v>530</v>
      </c>
      <c r="EF415" s="214" t="s">
        <v>27129</v>
      </c>
      <c r="EG415" s="214" t="s">
        <v>34541</v>
      </c>
      <c r="EH415" s="214" t="s">
        <v>70</v>
      </c>
      <c r="EI415" s="214" t="s">
        <v>530</v>
      </c>
      <c r="EK415" s="214" t="s">
        <v>27130</v>
      </c>
      <c r="EL415" s="214" t="s">
        <v>34556</v>
      </c>
      <c r="EM415" s="214" t="s">
        <v>70</v>
      </c>
      <c r="EN415" s="214" t="s">
        <v>530</v>
      </c>
      <c r="EP415" s="214" t="s">
        <v>27131</v>
      </c>
      <c r="EQ415" s="214" t="s">
        <v>34540</v>
      </c>
      <c r="ER415" s="214" t="s">
        <v>70</v>
      </c>
      <c r="ES415" s="214" t="s">
        <v>530</v>
      </c>
      <c r="EU415" s="214" t="s">
        <v>27132</v>
      </c>
      <c r="EV415" s="214" t="s">
        <v>492</v>
      </c>
      <c r="EW415" s="214" t="s">
        <v>70</v>
      </c>
      <c r="EX415" s="214" t="s">
        <v>530</v>
      </c>
      <c r="EZ415" s="214" t="s">
        <v>27133</v>
      </c>
      <c r="FA415" s="214" t="s">
        <v>146</v>
      </c>
      <c r="FB415" s="214" t="s">
        <v>70</v>
      </c>
      <c r="FC415" s="214" t="s">
        <v>530</v>
      </c>
      <c r="FE415" s="214" t="s">
        <v>27134</v>
      </c>
      <c r="FF415" s="214" t="s">
        <v>496</v>
      </c>
      <c r="FG415" s="214" t="s">
        <v>70</v>
      </c>
      <c r="FH415" s="214" t="s">
        <v>530</v>
      </c>
      <c r="FJ415" s="321" t="s">
        <v>27135</v>
      </c>
      <c r="FK415" s="214" t="s">
        <v>468</v>
      </c>
      <c r="FL415" s="214" t="s">
        <v>70</v>
      </c>
      <c r="FM415" s="214" t="s">
        <v>530</v>
      </c>
      <c r="FO415" s="321" t="s">
        <v>27136</v>
      </c>
      <c r="FP415" s="214" t="s">
        <v>910</v>
      </c>
      <c r="FQ415" s="214" t="s">
        <v>70</v>
      </c>
      <c r="FR415" s="214" t="s">
        <v>530</v>
      </c>
      <c r="FT415" s="321" t="s">
        <v>27137</v>
      </c>
      <c r="FU415" s="214" t="s">
        <v>93</v>
      </c>
      <c r="FV415" s="214" t="s">
        <v>70</v>
      </c>
      <c r="FW415" s="214" t="s">
        <v>530</v>
      </c>
      <c r="FY415" s="321" t="s">
        <v>27138</v>
      </c>
      <c r="FZ415" s="214" t="s">
        <v>798</v>
      </c>
      <c r="GA415" s="214" t="s">
        <v>70</v>
      </c>
      <c r="GB415" s="214" t="s">
        <v>530</v>
      </c>
      <c r="GD415" s="321" t="s">
        <v>27139</v>
      </c>
      <c r="GE415" s="214" t="s">
        <v>34541</v>
      </c>
      <c r="GF415" s="214" t="s">
        <v>70</v>
      </c>
      <c r="GG415" s="214" t="s">
        <v>530</v>
      </c>
      <c r="GI415" s="321" t="s">
        <v>27140</v>
      </c>
      <c r="GJ415" s="214" t="s">
        <v>145</v>
      </c>
      <c r="GK415" s="214" t="s">
        <v>70</v>
      </c>
      <c r="GL415" s="214" t="s">
        <v>530</v>
      </c>
      <c r="GN415" s="321" t="s">
        <v>27141</v>
      </c>
      <c r="GO415" s="214" t="s">
        <v>486</v>
      </c>
      <c r="GP415" s="214" t="s">
        <v>70</v>
      </c>
      <c r="GQ415" s="214" t="s">
        <v>530</v>
      </c>
      <c r="GS415" s="321" t="s">
        <v>27142</v>
      </c>
      <c r="GT415" s="214" t="s">
        <v>34580</v>
      </c>
      <c r="GU415" s="214" t="s">
        <v>70</v>
      </c>
      <c r="GV415" s="214" t="s">
        <v>530</v>
      </c>
      <c r="GX415" s="214" t="s">
        <v>27143</v>
      </c>
      <c r="GY415" s="214" t="s">
        <v>599</v>
      </c>
      <c r="GZ415" s="214" t="s">
        <v>70</v>
      </c>
      <c r="HA415" s="214" t="s">
        <v>530</v>
      </c>
      <c r="HC415" s="214" t="s">
        <v>27144</v>
      </c>
      <c r="HD415" s="214" t="s">
        <v>146</v>
      </c>
      <c r="HE415" s="214" t="s">
        <v>70</v>
      </c>
      <c r="HF415" s="214" t="s">
        <v>530</v>
      </c>
      <c r="HH415" s="214" t="s">
        <v>27145</v>
      </c>
      <c r="HI415" s="214" t="s">
        <v>33910</v>
      </c>
      <c r="HJ415" s="214" t="s">
        <v>70</v>
      </c>
      <c r="HK415" s="214" t="s">
        <v>530</v>
      </c>
      <c r="HM415" s="214" t="s">
        <v>27146</v>
      </c>
      <c r="HN415" s="214" t="s">
        <v>52</v>
      </c>
      <c r="HO415" s="214" t="s">
        <v>70</v>
      </c>
      <c r="HP415" s="214" t="s">
        <v>530</v>
      </c>
      <c r="HR415" s="22" t="s">
        <v>27147</v>
      </c>
      <c r="HS415" s="22" t="s">
        <v>34551</v>
      </c>
      <c r="HT415" s="22" t="s">
        <v>70</v>
      </c>
      <c r="HU415" s="214" t="s">
        <v>530</v>
      </c>
      <c r="HW415" s="22" t="s">
        <v>27148</v>
      </c>
      <c r="HX415" s="22" t="s">
        <v>203</v>
      </c>
      <c r="HY415" s="22" t="s">
        <v>70</v>
      </c>
      <c r="HZ415" s="214" t="s">
        <v>530</v>
      </c>
      <c r="IB415" s="22" t="s">
        <v>27149</v>
      </c>
      <c r="IC415" s="22" t="s">
        <v>798</v>
      </c>
      <c r="ID415" s="22" t="s">
        <v>70</v>
      </c>
      <c r="IE415" s="214" t="s">
        <v>530</v>
      </c>
      <c r="IG415" s="22" t="s">
        <v>27150</v>
      </c>
      <c r="IH415" s="22" t="s">
        <v>52</v>
      </c>
      <c r="II415" s="22" t="s">
        <v>70</v>
      </c>
      <c r="IJ415" s="214" t="s">
        <v>530</v>
      </c>
      <c r="IL415" s="22" t="s">
        <v>27151</v>
      </c>
      <c r="IM415" s="22" t="s">
        <v>145</v>
      </c>
      <c r="IN415" s="22" t="s">
        <v>70</v>
      </c>
      <c r="IO415" s="214" t="s">
        <v>530</v>
      </c>
      <c r="IQ415" s="236" t="s">
        <v>27152</v>
      </c>
      <c r="IR415" s="236" t="s">
        <v>145</v>
      </c>
      <c r="IS415" s="236" t="s">
        <v>74</v>
      </c>
      <c r="IT415" s="236" t="s">
        <v>841</v>
      </c>
      <c r="IV415" s="236" t="s">
        <v>27153</v>
      </c>
      <c r="IW415" s="236" t="s">
        <v>145</v>
      </c>
      <c r="IX415" s="236" t="s">
        <v>74</v>
      </c>
      <c r="IY415" s="236" t="s">
        <v>841</v>
      </c>
      <c r="JA415" s="236" t="s">
        <v>27154</v>
      </c>
      <c r="JB415" s="236" t="s">
        <v>145</v>
      </c>
      <c r="JC415" s="236" t="s">
        <v>74</v>
      </c>
      <c r="JD415" s="236" t="s">
        <v>841</v>
      </c>
      <c r="JF415" s="236" t="s">
        <v>27155</v>
      </c>
      <c r="JG415" s="236" t="s">
        <v>145</v>
      </c>
      <c r="JH415" s="236" t="s">
        <v>74</v>
      </c>
      <c r="JI415" s="236" t="s">
        <v>841</v>
      </c>
      <c r="JK415" s="236" t="s">
        <v>27156</v>
      </c>
      <c r="JL415" s="236" t="s">
        <v>145</v>
      </c>
      <c r="JM415" s="236" t="s">
        <v>74</v>
      </c>
      <c r="JN415" s="236" t="s">
        <v>841</v>
      </c>
      <c r="JP415" s="236" t="s">
        <v>27157</v>
      </c>
      <c r="JQ415" s="236" t="s">
        <v>145</v>
      </c>
      <c r="JR415" s="236" t="s">
        <v>74</v>
      </c>
      <c r="JS415" s="236" t="s">
        <v>841</v>
      </c>
      <c r="JU415" s="294" t="s">
        <v>27158</v>
      </c>
      <c r="JV415" s="294" t="s">
        <v>52</v>
      </c>
      <c r="JW415" s="263" t="s">
        <v>70</v>
      </c>
      <c r="JX415" s="294" t="s">
        <v>1083</v>
      </c>
      <c r="JZ415" s="263" t="s">
        <v>27159</v>
      </c>
      <c r="KA415" s="263" t="s">
        <v>145</v>
      </c>
      <c r="KB415" s="263" t="s">
        <v>70</v>
      </c>
      <c r="KC415" s="263" t="s">
        <v>1083</v>
      </c>
      <c r="KE415" s="263" t="s">
        <v>27160</v>
      </c>
      <c r="KF415" s="263" t="s">
        <v>52</v>
      </c>
      <c r="KG415" s="263" t="s">
        <v>70</v>
      </c>
      <c r="KH415" s="263" t="s">
        <v>1083</v>
      </c>
      <c r="KJ415" s="263" t="s">
        <v>27161</v>
      </c>
      <c r="KK415" s="263" t="s">
        <v>52</v>
      </c>
      <c r="KL415" s="263" t="s">
        <v>74</v>
      </c>
      <c r="KM415" s="263" t="s">
        <v>34074</v>
      </c>
      <c r="KO415" s="214" t="s">
        <v>27162</v>
      </c>
      <c r="KP415" s="214" t="s">
        <v>145</v>
      </c>
      <c r="KQ415" s="214" t="s">
        <v>70</v>
      </c>
      <c r="KR415" s="214" t="s">
        <v>67</v>
      </c>
      <c r="KT415" s="22" t="s">
        <v>27163</v>
      </c>
      <c r="KU415" s="22" t="s">
        <v>145</v>
      </c>
      <c r="KV415" s="22" t="s">
        <v>70</v>
      </c>
      <c r="KW415" s="22" t="s">
        <v>67</v>
      </c>
      <c r="KY415" s="214" t="s">
        <v>27164</v>
      </c>
      <c r="KZ415" s="214" t="s">
        <v>52</v>
      </c>
      <c r="LA415" s="214" t="s">
        <v>74</v>
      </c>
      <c r="LB415" s="214" t="s">
        <v>67</v>
      </c>
      <c r="LD415" s="22" t="s">
        <v>27165</v>
      </c>
      <c r="LE415" s="22" t="s">
        <v>145</v>
      </c>
      <c r="LF415" s="22" t="s">
        <v>70</v>
      </c>
      <c r="LG415" s="22" t="s">
        <v>67</v>
      </c>
    </row>
    <row r="416" spans="1:319">
      <c r="A416" s="22" t="s">
        <v>27166</v>
      </c>
      <c r="B416" s="22" t="s">
        <v>145</v>
      </c>
      <c r="C416" s="22" t="s">
        <v>70</v>
      </c>
      <c r="D416" s="22" t="s">
        <v>67</v>
      </c>
      <c r="F416" s="96" t="s">
        <v>27167</v>
      </c>
      <c r="G416" s="22" t="s">
        <v>145</v>
      </c>
      <c r="H416" s="22" t="s">
        <v>70</v>
      </c>
      <c r="I416" s="22" t="s">
        <v>67</v>
      </c>
      <c r="K416" s="99" t="s">
        <v>27168</v>
      </c>
      <c r="L416" s="22" t="s">
        <v>145</v>
      </c>
      <c r="M416" s="22" t="s">
        <v>70</v>
      </c>
      <c r="N416" s="22" t="s">
        <v>67</v>
      </c>
      <c r="P416" s="230" t="s">
        <v>27169</v>
      </c>
      <c r="Q416" s="218" t="s">
        <v>145</v>
      </c>
      <c r="R416" s="218" t="s">
        <v>72</v>
      </c>
      <c r="S416" s="218" t="s">
        <v>34017</v>
      </c>
      <c r="U416" s="293" t="s">
        <v>27170</v>
      </c>
      <c r="V416" s="293" t="s">
        <v>145</v>
      </c>
      <c r="W416" s="293" t="s">
        <v>74</v>
      </c>
      <c r="X416" s="293" t="s">
        <v>656</v>
      </c>
      <c r="Z416" s="293" t="s">
        <v>27171</v>
      </c>
      <c r="AA416" s="293" t="s">
        <v>145</v>
      </c>
      <c r="AB416" s="293" t="s">
        <v>74</v>
      </c>
      <c r="AC416" s="293" t="s">
        <v>656</v>
      </c>
      <c r="AE416" s="293" t="s">
        <v>27172</v>
      </c>
      <c r="AF416" s="293" t="s">
        <v>145</v>
      </c>
      <c r="AG416" s="293" t="s">
        <v>74</v>
      </c>
      <c r="AH416" s="293" t="s">
        <v>656</v>
      </c>
      <c r="AJ416" s="293" t="s">
        <v>27173</v>
      </c>
      <c r="AK416" s="293" t="s">
        <v>145</v>
      </c>
      <c r="AL416" s="293" t="s">
        <v>74</v>
      </c>
      <c r="AM416" s="293" t="s">
        <v>656</v>
      </c>
      <c r="AO416" s="22" t="s">
        <v>27174</v>
      </c>
      <c r="AP416" s="22" t="s">
        <v>145</v>
      </c>
      <c r="AQ416" s="22" t="s">
        <v>70</v>
      </c>
      <c r="AR416" s="22" t="s">
        <v>67</v>
      </c>
      <c r="AT416" s="22" t="s">
        <v>27175</v>
      </c>
      <c r="AU416" s="22" t="s">
        <v>145</v>
      </c>
      <c r="AV416" s="22" t="s">
        <v>70</v>
      </c>
      <c r="AW416" s="22" t="s">
        <v>67</v>
      </c>
      <c r="AY416" s="22" t="s">
        <v>27176</v>
      </c>
      <c r="AZ416" s="22" t="s">
        <v>145</v>
      </c>
      <c r="BA416" s="22" t="s">
        <v>70</v>
      </c>
      <c r="BB416" s="22" t="s">
        <v>67</v>
      </c>
      <c r="BD416" s="22" t="s">
        <v>27177</v>
      </c>
      <c r="BE416" s="22" t="s">
        <v>145</v>
      </c>
      <c r="BF416" s="22" t="s">
        <v>70</v>
      </c>
      <c r="BG416" s="22" t="s">
        <v>67</v>
      </c>
      <c r="BI416" s="22" t="s">
        <v>27178</v>
      </c>
      <c r="BJ416" s="22" t="s">
        <v>145</v>
      </c>
      <c r="BK416" s="22" t="s">
        <v>70</v>
      </c>
      <c r="BL416" s="22" t="s">
        <v>67</v>
      </c>
      <c r="BN416" s="22" t="s">
        <v>27179</v>
      </c>
      <c r="BO416" s="22" t="s">
        <v>145</v>
      </c>
      <c r="BP416" s="22" t="s">
        <v>70</v>
      </c>
      <c r="BQ416" s="22" t="s">
        <v>67</v>
      </c>
      <c r="BS416" s="22" t="s">
        <v>27180</v>
      </c>
      <c r="BT416" s="22" t="s">
        <v>145</v>
      </c>
      <c r="BU416" s="22" t="s">
        <v>70</v>
      </c>
      <c r="BV416" s="214" t="s">
        <v>530</v>
      </c>
      <c r="BX416" s="22" t="s">
        <v>27181</v>
      </c>
      <c r="BY416" s="22" t="s">
        <v>145</v>
      </c>
      <c r="BZ416" s="22" t="s">
        <v>70</v>
      </c>
      <c r="CA416" s="214" t="s">
        <v>530</v>
      </c>
      <c r="CC416" s="214" t="s">
        <v>27182</v>
      </c>
      <c r="CD416" s="214" t="s">
        <v>485</v>
      </c>
      <c r="CE416" s="214" t="s">
        <v>70</v>
      </c>
      <c r="CF416" s="214" t="s">
        <v>530</v>
      </c>
      <c r="CH416" s="214" t="s">
        <v>27183</v>
      </c>
      <c r="CI416" s="214" t="s">
        <v>34597</v>
      </c>
      <c r="CJ416" s="214" t="s">
        <v>70</v>
      </c>
      <c r="CK416" s="214" t="s">
        <v>530</v>
      </c>
      <c r="CM416" s="214" t="s">
        <v>27184</v>
      </c>
      <c r="CN416" s="214" t="s">
        <v>52</v>
      </c>
      <c r="CO416" s="214" t="s">
        <v>70</v>
      </c>
      <c r="CP416" s="214" t="s">
        <v>530</v>
      </c>
      <c r="CR416" s="214" t="s">
        <v>27185</v>
      </c>
      <c r="CS416" s="214" t="s">
        <v>926</v>
      </c>
      <c r="CT416" s="214" t="s">
        <v>70</v>
      </c>
      <c r="CU416" s="214" t="s">
        <v>530</v>
      </c>
      <c r="CW416" s="214" t="s">
        <v>27186</v>
      </c>
      <c r="CX416" s="214" t="s">
        <v>488</v>
      </c>
      <c r="CY416" s="214" t="s">
        <v>70</v>
      </c>
      <c r="CZ416" s="214" t="s">
        <v>530</v>
      </c>
      <c r="DB416" s="214" t="s">
        <v>27187</v>
      </c>
      <c r="DC416" s="214" t="s">
        <v>34633</v>
      </c>
      <c r="DD416" s="214" t="s">
        <v>70</v>
      </c>
      <c r="DE416" s="214" t="s">
        <v>530</v>
      </c>
      <c r="DG416" s="214" t="s">
        <v>27188</v>
      </c>
      <c r="DH416" s="214" t="s">
        <v>52</v>
      </c>
      <c r="DI416" s="214" t="s">
        <v>70</v>
      </c>
      <c r="DJ416" s="214" t="s">
        <v>530</v>
      </c>
      <c r="DL416" s="214" t="s">
        <v>27189</v>
      </c>
      <c r="DM416" s="214" t="s">
        <v>52</v>
      </c>
      <c r="DN416" s="214" t="s">
        <v>70</v>
      </c>
      <c r="DO416" s="214" t="s">
        <v>530</v>
      </c>
      <c r="DQ416" s="214" t="s">
        <v>27190</v>
      </c>
      <c r="DR416" s="214" t="s">
        <v>34555</v>
      </c>
      <c r="DS416" s="214" t="s">
        <v>70</v>
      </c>
      <c r="DT416" s="214" t="s">
        <v>530</v>
      </c>
      <c r="DV416" s="214" t="s">
        <v>27191</v>
      </c>
      <c r="DW416" s="214" t="s">
        <v>164</v>
      </c>
      <c r="DX416" s="214" t="s">
        <v>70</v>
      </c>
      <c r="DY416" s="214" t="s">
        <v>530</v>
      </c>
      <c r="EA416" s="214" t="s">
        <v>27192</v>
      </c>
      <c r="EB416" s="214" t="s">
        <v>52</v>
      </c>
      <c r="EC416" s="214" t="s">
        <v>70</v>
      </c>
      <c r="ED416" s="214" t="s">
        <v>530</v>
      </c>
      <c r="EF416" s="214" t="s">
        <v>27193</v>
      </c>
      <c r="EG416" s="214" t="s">
        <v>34524</v>
      </c>
      <c r="EH416" s="214" t="s">
        <v>70</v>
      </c>
      <c r="EI416" s="214" t="s">
        <v>530</v>
      </c>
      <c r="EK416" s="214" t="s">
        <v>27194</v>
      </c>
      <c r="EL416" s="214" t="s">
        <v>85</v>
      </c>
      <c r="EM416" s="214" t="s">
        <v>70</v>
      </c>
      <c r="EN416" s="214" t="s">
        <v>530</v>
      </c>
      <c r="EP416" s="214" t="s">
        <v>27195</v>
      </c>
      <c r="EQ416" s="214" t="s">
        <v>148</v>
      </c>
      <c r="ER416" s="214" t="s">
        <v>70</v>
      </c>
      <c r="ES416" s="214" t="s">
        <v>530</v>
      </c>
      <c r="EU416" s="214" t="s">
        <v>27196</v>
      </c>
      <c r="EV416" s="214" t="s">
        <v>655</v>
      </c>
      <c r="EW416" s="214" t="s">
        <v>70</v>
      </c>
      <c r="EX416" s="214" t="s">
        <v>530</v>
      </c>
      <c r="EZ416" s="214" t="s">
        <v>27197</v>
      </c>
      <c r="FA416" s="214" t="s">
        <v>92</v>
      </c>
      <c r="FB416" s="214" t="s">
        <v>70</v>
      </c>
      <c r="FC416" s="214" t="s">
        <v>530</v>
      </c>
      <c r="FE416" s="214" t="s">
        <v>27198</v>
      </c>
      <c r="FF416" s="214" t="s">
        <v>10541</v>
      </c>
      <c r="FG416" s="214" t="s">
        <v>70</v>
      </c>
      <c r="FH416" s="214" t="s">
        <v>530</v>
      </c>
      <c r="FJ416" s="321" t="s">
        <v>27199</v>
      </c>
      <c r="FK416" s="214" t="s">
        <v>52</v>
      </c>
      <c r="FL416" s="214" t="s">
        <v>70</v>
      </c>
      <c r="FM416" s="214" t="s">
        <v>530</v>
      </c>
      <c r="FO416" s="321" t="s">
        <v>27200</v>
      </c>
      <c r="FP416" s="214" t="s">
        <v>163</v>
      </c>
      <c r="FQ416" s="214" t="s">
        <v>70</v>
      </c>
      <c r="FR416" s="214" t="s">
        <v>530</v>
      </c>
      <c r="FT416" s="321" t="s">
        <v>27201</v>
      </c>
      <c r="FU416" s="214" t="s">
        <v>598</v>
      </c>
      <c r="FV416" s="214" t="s">
        <v>70</v>
      </c>
      <c r="FW416" s="214" t="s">
        <v>530</v>
      </c>
      <c r="FY416" s="321" t="s">
        <v>27202</v>
      </c>
      <c r="FZ416" s="214" t="s">
        <v>92</v>
      </c>
      <c r="GA416" s="214" t="s">
        <v>70</v>
      </c>
      <c r="GB416" s="214" t="s">
        <v>530</v>
      </c>
      <c r="GD416" s="321" t="s">
        <v>27203</v>
      </c>
      <c r="GE416" s="214" t="s">
        <v>34645</v>
      </c>
      <c r="GF416" s="214" t="s">
        <v>70</v>
      </c>
      <c r="GG416" s="214" t="s">
        <v>530</v>
      </c>
      <c r="GI416" s="321" t="s">
        <v>27204</v>
      </c>
      <c r="GJ416" s="214" t="s">
        <v>148</v>
      </c>
      <c r="GK416" s="214" t="s">
        <v>70</v>
      </c>
      <c r="GL416" s="214" t="s">
        <v>530</v>
      </c>
      <c r="GN416" s="321" t="s">
        <v>27205</v>
      </c>
      <c r="GO416" s="214" t="s">
        <v>21742</v>
      </c>
      <c r="GP416" s="214" t="s">
        <v>70</v>
      </c>
      <c r="GQ416" s="214" t="s">
        <v>530</v>
      </c>
      <c r="GS416" s="321" t="s">
        <v>27206</v>
      </c>
      <c r="GT416" s="214" t="s">
        <v>87</v>
      </c>
      <c r="GU416" s="214" t="s">
        <v>70</v>
      </c>
      <c r="GV416" s="214" t="s">
        <v>530</v>
      </c>
      <c r="GX416" s="214" t="s">
        <v>27207</v>
      </c>
      <c r="GY416" s="214" t="s">
        <v>286</v>
      </c>
      <c r="GZ416" s="214" t="s">
        <v>70</v>
      </c>
      <c r="HA416" s="214" t="s">
        <v>530</v>
      </c>
      <c r="HC416" s="214" t="s">
        <v>27208</v>
      </c>
      <c r="HD416" s="214" t="s">
        <v>85</v>
      </c>
      <c r="HE416" s="214" t="s">
        <v>70</v>
      </c>
      <c r="HF416" s="214" t="s">
        <v>530</v>
      </c>
      <c r="HH416" s="214" t="s">
        <v>27209</v>
      </c>
      <c r="HI416" s="214" t="s">
        <v>598</v>
      </c>
      <c r="HJ416" s="214" t="s">
        <v>70</v>
      </c>
      <c r="HK416" s="214" t="s">
        <v>530</v>
      </c>
      <c r="HM416" s="214" t="s">
        <v>27210</v>
      </c>
      <c r="HN416" s="214" t="s">
        <v>145</v>
      </c>
      <c r="HO416" s="214" t="s">
        <v>70</v>
      </c>
      <c r="HP416" s="214" t="s">
        <v>530</v>
      </c>
      <c r="HR416" s="22" t="s">
        <v>27211</v>
      </c>
      <c r="HS416" s="22" t="s">
        <v>495</v>
      </c>
      <c r="HT416" s="22" t="s">
        <v>70</v>
      </c>
      <c r="HU416" s="214" t="s">
        <v>530</v>
      </c>
      <c r="HW416" s="22" t="s">
        <v>27212</v>
      </c>
      <c r="HX416" s="22" t="s">
        <v>930</v>
      </c>
      <c r="HY416" s="22" t="s">
        <v>70</v>
      </c>
      <c r="HZ416" s="214" t="s">
        <v>530</v>
      </c>
      <c r="IB416" s="22" t="s">
        <v>27213</v>
      </c>
      <c r="IC416" s="22" t="s">
        <v>468</v>
      </c>
      <c r="ID416" s="22" t="s">
        <v>70</v>
      </c>
      <c r="IE416" s="214" t="s">
        <v>530</v>
      </c>
      <c r="IG416" s="22" t="s">
        <v>27214</v>
      </c>
      <c r="IH416" s="22" t="s">
        <v>52</v>
      </c>
      <c r="II416" s="22" t="s">
        <v>70</v>
      </c>
      <c r="IJ416" s="214" t="s">
        <v>530</v>
      </c>
      <c r="IL416" s="22" t="s">
        <v>27215</v>
      </c>
      <c r="IM416" s="22" t="s">
        <v>145</v>
      </c>
      <c r="IN416" s="22" t="s">
        <v>70</v>
      </c>
      <c r="IO416" s="214" t="s">
        <v>530</v>
      </c>
      <c r="IQ416" s="236" t="s">
        <v>27216</v>
      </c>
      <c r="IR416" s="236" t="s">
        <v>145</v>
      </c>
      <c r="IS416" s="236" t="s">
        <v>74</v>
      </c>
      <c r="IT416" s="236" t="s">
        <v>841</v>
      </c>
      <c r="IV416" s="236" t="s">
        <v>27217</v>
      </c>
      <c r="IW416" s="236" t="s">
        <v>145</v>
      </c>
      <c r="IX416" s="236" t="s">
        <v>74</v>
      </c>
      <c r="IY416" s="236" t="s">
        <v>841</v>
      </c>
      <c r="JA416" s="236" t="s">
        <v>27218</v>
      </c>
      <c r="JB416" s="236" t="s">
        <v>145</v>
      </c>
      <c r="JC416" s="236" t="s">
        <v>74</v>
      </c>
      <c r="JD416" s="236" t="s">
        <v>841</v>
      </c>
      <c r="JF416" s="236" t="s">
        <v>27219</v>
      </c>
      <c r="JG416" s="236" t="s">
        <v>145</v>
      </c>
      <c r="JH416" s="236" t="s">
        <v>74</v>
      </c>
      <c r="JI416" s="236" t="s">
        <v>841</v>
      </c>
      <c r="JK416" s="236" t="s">
        <v>27220</v>
      </c>
      <c r="JL416" s="236" t="s">
        <v>145</v>
      </c>
      <c r="JM416" s="236" t="s">
        <v>74</v>
      </c>
      <c r="JN416" s="236" t="s">
        <v>841</v>
      </c>
      <c r="JP416" s="236" t="s">
        <v>27221</v>
      </c>
      <c r="JQ416" s="236" t="s">
        <v>145</v>
      </c>
      <c r="JR416" s="236" t="s">
        <v>74</v>
      </c>
      <c r="JS416" s="236" t="s">
        <v>841</v>
      </c>
      <c r="JU416" s="294" t="s">
        <v>27222</v>
      </c>
      <c r="JV416" s="294" t="s">
        <v>52</v>
      </c>
      <c r="JW416" s="263" t="s">
        <v>70</v>
      </c>
      <c r="JX416" s="294" t="s">
        <v>1083</v>
      </c>
      <c r="JZ416" s="263" t="s">
        <v>27223</v>
      </c>
      <c r="KA416" s="263" t="s">
        <v>145</v>
      </c>
      <c r="KB416" s="263" t="s">
        <v>70</v>
      </c>
      <c r="KC416" s="263" t="s">
        <v>1083</v>
      </c>
      <c r="KE416" s="263" t="s">
        <v>27224</v>
      </c>
      <c r="KF416" s="263" t="s">
        <v>52</v>
      </c>
      <c r="KG416" s="263" t="s">
        <v>70</v>
      </c>
      <c r="KH416" s="263" t="s">
        <v>1083</v>
      </c>
      <c r="KJ416" s="263" t="s">
        <v>27225</v>
      </c>
      <c r="KK416" s="263" t="s">
        <v>52</v>
      </c>
      <c r="KL416" s="263" t="s">
        <v>74</v>
      </c>
      <c r="KM416" s="263" t="s">
        <v>34074</v>
      </c>
      <c r="KO416" s="214" t="s">
        <v>27226</v>
      </c>
      <c r="KP416" s="214" t="s">
        <v>145</v>
      </c>
      <c r="KQ416" s="214" t="s">
        <v>70</v>
      </c>
      <c r="KR416" s="214" t="s">
        <v>67</v>
      </c>
      <c r="KT416" s="22" t="s">
        <v>27227</v>
      </c>
      <c r="KU416" s="22" t="s">
        <v>145</v>
      </c>
      <c r="KV416" s="22" t="s">
        <v>70</v>
      </c>
      <c r="KW416" s="22" t="s">
        <v>67</v>
      </c>
      <c r="KY416" s="214" t="s">
        <v>27228</v>
      </c>
      <c r="KZ416" s="214" t="s">
        <v>52</v>
      </c>
      <c r="LA416" s="214" t="s">
        <v>74</v>
      </c>
      <c r="LB416" s="214" t="s">
        <v>67</v>
      </c>
      <c r="LD416" s="22" t="s">
        <v>27229</v>
      </c>
      <c r="LE416" s="22" t="s">
        <v>145</v>
      </c>
      <c r="LF416" s="22" t="s">
        <v>70</v>
      </c>
      <c r="LG416" s="22" t="s">
        <v>67</v>
      </c>
    </row>
    <row r="417" spans="1:319">
      <c r="A417" s="22" t="s">
        <v>27230</v>
      </c>
      <c r="B417" s="22" t="s">
        <v>145</v>
      </c>
      <c r="C417" s="22" t="s">
        <v>70</v>
      </c>
      <c r="D417" s="22" t="s">
        <v>67</v>
      </c>
      <c r="F417" s="96" t="s">
        <v>27231</v>
      </c>
      <c r="G417" s="22" t="s">
        <v>145</v>
      </c>
      <c r="H417" s="22" t="s">
        <v>70</v>
      </c>
      <c r="I417" s="22" t="s">
        <v>67</v>
      </c>
      <c r="K417" s="99" t="s">
        <v>27232</v>
      </c>
      <c r="L417" s="22" t="s">
        <v>145</v>
      </c>
      <c r="M417" s="22" t="s">
        <v>70</v>
      </c>
      <c r="N417" s="22" t="s">
        <v>67</v>
      </c>
      <c r="P417" s="230" t="s">
        <v>27233</v>
      </c>
      <c r="Q417" s="218" t="s">
        <v>145</v>
      </c>
      <c r="R417" s="218" t="s">
        <v>72</v>
      </c>
      <c r="S417" s="218" t="s">
        <v>34018</v>
      </c>
      <c r="U417" s="293" t="s">
        <v>27234</v>
      </c>
      <c r="V417" s="293" t="s">
        <v>145</v>
      </c>
      <c r="W417" s="293" t="s">
        <v>74</v>
      </c>
      <c r="X417" s="293" t="s">
        <v>656</v>
      </c>
      <c r="Z417" s="293" t="s">
        <v>27235</v>
      </c>
      <c r="AA417" s="293" t="s">
        <v>145</v>
      </c>
      <c r="AB417" s="293" t="s">
        <v>74</v>
      </c>
      <c r="AC417" s="293" t="s">
        <v>656</v>
      </c>
      <c r="AE417" s="293" t="s">
        <v>27236</v>
      </c>
      <c r="AF417" s="293" t="s">
        <v>145</v>
      </c>
      <c r="AG417" s="293" t="s">
        <v>74</v>
      </c>
      <c r="AH417" s="293" t="s">
        <v>656</v>
      </c>
      <c r="AJ417" s="293" t="s">
        <v>27237</v>
      </c>
      <c r="AK417" s="293" t="s">
        <v>145</v>
      </c>
      <c r="AL417" s="293" t="s">
        <v>74</v>
      </c>
      <c r="AM417" s="293" t="s">
        <v>656</v>
      </c>
      <c r="AO417" s="22" t="s">
        <v>27238</v>
      </c>
      <c r="AP417" s="22" t="s">
        <v>145</v>
      </c>
      <c r="AQ417" s="22" t="s">
        <v>70</v>
      </c>
      <c r="AR417" s="22" t="s">
        <v>67</v>
      </c>
      <c r="AT417" s="22" t="s">
        <v>27239</v>
      </c>
      <c r="AU417" s="22" t="s">
        <v>145</v>
      </c>
      <c r="AV417" s="22" t="s">
        <v>70</v>
      </c>
      <c r="AW417" s="22" t="s">
        <v>67</v>
      </c>
      <c r="AY417" s="22" t="s">
        <v>27240</v>
      </c>
      <c r="AZ417" s="22" t="s">
        <v>145</v>
      </c>
      <c r="BA417" s="22" t="s">
        <v>70</v>
      </c>
      <c r="BB417" s="22" t="s">
        <v>67</v>
      </c>
      <c r="BD417" s="22" t="s">
        <v>27241</v>
      </c>
      <c r="BE417" s="22" t="s">
        <v>145</v>
      </c>
      <c r="BF417" s="22" t="s">
        <v>70</v>
      </c>
      <c r="BG417" s="22" t="s">
        <v>67</v>
      </c>
      <c r="BI417" s="22" t="s">
        <v>27242</v>
      </c>
      <c r="BJ417" s="22" t="s">
        <v>145</v>
      </c>
      <c r="BK417" s="22" t="s">
        <v>70</v>
      </c>
      <c r="BL417" s="22" t="s">
        <v>67</v>
      </c>
      <c r="BN417" s="22" t="s">
        <v>27243</v>
      </c>
      <c r="BO417" s="22" t="s">
        <v>145</v>
      </c>
      <c r="BP417" s="22" t="s">
        <v>70</v>
      </c>
      <c r="BQ417" s="22" t="s">
        <v>67</v>
      </c>
      <c r="BS417" s="22" t="s">
        <v>27244</v>
      </c>
      <c r="BT417" s="22" t="s">
        <v>145</v>
      </c>
      <c r="BU417" s="22" t="s">
        <v>70</v>
      </c>
      <c r="BV417" s="214" t="s">
        <v>530</v>
      </c>
      <c r="BX417" s="22" t="s">
        <v>27245</v>
      </c>
      <c r="BY417" s="22" t="s">
        <v>145</v>
      </c>
      <c r="BZ417" s="22" t="s">
        <v>70</v>
      </c>
      <c r="CA417" s="214" t="s">
        <v>530</v>
      </c>
      <c r="CC417" s="214" t="s">
        <v>27246</v>
      </c>
      <c r="CD417" s="214" t="s">
        <v>912</v>
      </c>
      <c r="CE417" s="214" t="s">
        <v>70</v>
      </c>
      <c r="CF417" s="214" t="s">
        <v>530</v>
      </c>
      <c r="CH417" s="214" t="s">
        <v>27247</v>
      </c>
      <c r="CI417" s="214" t="s">
        <v>305</v>
      </c>
      <c r="CJ417" s="214" t="s">
        <v>70</v>
      </c>
      <c r="CK417" s="214" t="s">
        <v>530</v>
      </c>
      <c r="CM417" s="214" t="s">
        <v>27248</v>
      </c>
      <c r="CN417" s="214" t="s">
        <v>203</v>
      </c>
      <c r="CO417" s="214" t="s">
        <v>70</v>
      </c>
      <c r="CP417" s="214" t="s">
        <v>530</v>
      </c>
      <c r="CR417" s="214" t="s">
        <v>27249</v>
      </c>
      <c r="CS417" s="214" t="s">
        <v>488</v>
      </c>
      <c r="CT417" s="214" t="s">
        <v>70</v>
      </c>
      <c r="CU417" s="214" t="s">
        <v>530</v>
      </c>
      <c r="CW417" s="214" t="s">
        <v>27250</v>
      </c>
      <c r="CX417" s="214" t="s">
        <v>488</v>
      </c>
      <c r="CY417" s="214" t="s">
        <v>70</v>
      </c>
      <c r="CZ417" s="214" t="s">
        <v>530</v>
      </c>
      <c r="DB417" s="214" t="s">
        <v>27251</v>
      </c>
      <c r="DC417" s="214" t="s">
        <v>491</v>
      </c>
      <c r="DD417" s="214" t="s">
        <v>70</v>
      </c>
      <c r="DE417" s="214" t="s">
        <v>530</v>
      </c>
      <c r="DG417" s="214" t="s">
        <v>27252</v>
      </c>
      <c r="DH417" s="214" t="s">
        <v>485</v>
      </c>
      <c r="DI417" s="214" t="s">
        <v>70</v>
      </c>
      <c r="DJ417" s="214" t="s">
        <v>530</v>
      </c>
      <c r="DL417" s="214" t="s">
        <v>27253</v>
      </c>
      <c r="DM417" s="214" t="s">
        <v>52</v>
      </c>
      <c r="DN417" s="214" t="s">
        <v>70</v>
      </c>
      <c r="DO417" s="214" t="s">
        <v>530</v>
      </c>
      <c r="DQ417" s="214" t="s">
        <v>27254</v>
      </c>
      <c r="DR417" s="214" t="s">
        <v>599</v>
      </c>
      <c r="DS417" s="214" t="s">
        <v>70</v>
      </c>
      <c r="DT417" s="214" t="s">
        <v>530</v>
      </c>
      <c r="DV417" s="214" t="s">
        <v>27255</v>
      </c>
      <c r="DW417" s="214" t="s">
        <v>52</v>
      </c>
      <c r="DX417" s="214" t="s">
        <v>70</v>
      </c>
      <c r="DY417" s="214" t="s">
        <v>530</v>
      </c>
      <c r="EA417" s="214" t="s">
        <v>27256</v>
      </c>
      <c r="EB417" s="214" t="s">
        <v>34542</v>
      </c>
      <c r="EC417" s="214" t="s">
        <v>70</v>
      </c>
      <c r="ED417" s="214" t="s">
        <v>530</v>
      </c>
      <c r="EF417" s="214" t="s">
        <v>27257</v>
      </c>
      <c r="EG417" s="214" t="s">
        <v>145</v>
      </c>
      <c r="EH417" s="214" t="s">
        <v>70</v>
      </c>
      <c r="EI417" s="214" t="s">
        <v>530</v>
      </c>
      <c r="EK417" s="214" t="s">
        <v>27258</v>
      </c>
      <c r="EL417" s="214" t="s">
        <v>52</v>
      </c>
      <c r="EM417" s="214" t="s">
        <v>70</v>
      </c>
      <c r="EN417" s="214" t="s">
        <v>530</v>
      </c>
      <c r="EP417" s="214" t="s">
        <v>27259</v>
      </c>
      <c r="EQ417" s="214" t="s">
        <v>34542</v>
      </c>
      <c r="ER417" s="214" t="s">
        <v>70</v>
      </c>
      <c r="ES417" s="214" t="s">
        <v>530</v>
      </c>
      <c r="EU417" s="214" t="s">
        <v>27260</v>
      </c>
      <c r="EV417" s="214" t="s">
        <v>468</v>
      </c>
      <c r="EW417" s="214" t="s">
        <v>70</v>
      </c>
      <c r="EX417" s="214" t="s">
        <v>530</v>
      </c>
      <c r="EZ417" s="214" t="s">
        <v>27261</v>
      </c>
      <c r="FA417" s="214" t="s">
        <v>164</v>
      </c>
      <c r="FB417" s="214" t="s">
        <v>70</v>
      </c>
      <c r="FC417" s="214" t="s">
        <v>530</v>
      </c>
      <c r="FE417" s="214" t="s">
        <v>27262</v>
      </c>
      <c r="FF417" s="214" t="s">
        <v>34579</v>
      </c>
      <c r="FG417" s="214" t="s">
        <v>70</v>
      </c>
      <c r="FH417" s="214" t="s">
        <v>530</v>
      </c>
      <c r="FJ417" s="321" t="s">
        <v>27263</v>
      </c>
      <c r="FK417" s="214" t="s">
        <v>950</v>
      </c>
      <c r="FL417" s="214" t="s">
        <v>70</v>
      </c>
      <c r="FM417" s="214" t="s">
        <v>530</v>
      </c>
      <c r="FO417" s="321" t="s">
        <v>27264</v>
      </c>
      <c r="FP417" s="214" t="s">
        <v>485</v>
      </c>
      <c r="FQ417" s="214" t="s">
        <v>70</v>
      </c>
      <c r="FR417" s="214" t="s">
        <v>530</v>
      </c>
      <c r="FT417" s="321" t="s">
        <v>27265</v>
      </c>
      <c r="FU417" s="214" t="s">
        <v>206</v>
      </c>
      <c r="FV417" s="214" t="s">
        <v>70</v>
      </c>
      <c r="FW417" s="214" t="s">
        <v>530</v>
      </c>
      <c r="FY417" s="321" t="s">
        <v>27266</v>
      </c>
      <c r="FZ417" s="214" t="s">
        <v>34558</v>
      </c>
      <c r="GA417" s="214" t="s">
        <v>70</v>
      </c>
      <c r="GB417" s="214" t="s">
        <v>530</v>
      </c>
      <c r="GD417" s="321" t="s">
        <v>27267</v>
      </c>
      <c r="GE417" s="214" t="s">
        <v>34556</v>
      </c>
      <c r="GF417" s="214" t="s">
        <v>70</v>
      </c>
      <c r="GG417" s="214" t="s">
        <v>530</v>
      </c>
      <c r="GI417" s="321" t="s">
        <v>27268</v>
      </c>
      <c r="GJ417" s="214" t="s">
        <v>496</v>
      </c>
      <c r="GK417" s="214" t="s">
        <v>70</v>
      </c>
      <c r="GL417" s="214" t="s">
        <v>530</v>
      </c>
      <c r="GN417" s="321" t="s">
        <v>27269</v>
      </c>
      <c r="GO417" s="214" t="s">
        <v>146</v>
      </c>
      <c r="GP417" s="214" t="s">
        <v>70</v>
      </c>
      <c r="GQ417" s="214" t="s">
        <v>530</v>
      </c>
      <c r="GS417" s="321" t="s">
        <v>27270</v>
      </c>
      <c r="GT417" s="214" t="s">
        <v>599</v>
      </c>
      <c r="GU417" s="214" t="s">
        <v>70</v>
      </c>
      <c r="GV417" s="214" t="s">
        <v>530</v>
      </c>
      <c r="GX417" s="214" t="s">
        <v>27271</v>
      </c>
      <c r="GY417" s="214" t="s">
        <v>486</v>
      </c>
      <c r="GZ417" s="214" t="s">
        <v>70</v>
      </c>
      <c r="HA417" s="214" t="s">
        <v>530</v>
      </c>
      <c r="HC417" s="214" t="s">
        <v>27272</v>
      </c>
      <c r="HD417" s="214" t="s">
        <v>921</v>
      </c>
      <c r="HE417" s="214" t="s">
        <v>70</v>
      </c>
      <c r="HF417" s="214" t="s">
        <v>530</v>
      </c>
      <c r="HH417" s="214" t="s">
        <v>27273</v>
      </c>
      <c r="HI417" s="214" t="s">
        <v>34584</v>
      </c>
      <c r="HJ417" s="214" t="s">
        <v>70</v>
      </c>
      <c r="HK417" s="214" t="s">
        <v>530</v>
      </c>
      <c r="HM417" s="214" t="s">
        <v>27274</v>
      </c>
      <c r="HN417" s="214" t="s">
        <v>34541</v>
      </c>
      <c r="HO417" s="214" t="s">
        <v>70</v>
      </c>
      <c r="HP417" s="214" t="s">
        <v>530</v>
      </c>
      <c r="HR417" s="22" t="s">
        <v>27275</v>
      </c>
      <c r="HS417" s="22" t="s">
        <v>85</v>
      </c>
      <c r="HT417" s="22" t="s">
        <v>70</v>
      </c>
      <c r="HU417" s="214" t="s">
        <v>530</v>
      </c>
      <c r="HW417" s="22" t="s">
        <v>27276</v>
      </c>
      <c r="HX417" s="22" t="s">
        <v>930</v>
      </c>
      <c r="HY417" s="22" t="s">
        <v>70</v>
      </c>
      <c r="HZ417" s="214" t="s">
        <v>530</v>
      </c>
      <c r="IB417" s="22" t="s">
        <v>27277</v>
      </c>
      <c r="IC417" s="22" t="s">
        <v>484</v>
      </c>
      <c r="ID417" s="22" t="s">
        <v>70</v>
      </c>
      <c r="IE417" s="214" t="s">
        <v>530</v>
      </c>
      <c r="IG417" s="22" t="s">
        <v>27278</v>
      </c>
      <c r="IH417" s="22" t="s">
        <v>52</v>
      </c>
      <c r="II417" s="22" t="s">
        <v>70</v>
      </c>
      <c r="IJ417" s="214" t="s">
        <v>530</v>
      </c>
      <c r="IL417" s="22" t="s">
        <v>27279</v>
      </c>
      <c r="IM417" s="22" t="s">
        <v>145</v>
      </c>
      <c r="IN417" s="22" t="s">
        <v>70</v>
      </c>
      <c r="IO417" s="214" t="s">
        <v>530</v>
      </c>
      <c r="IQ417" s="236" t="s">
        <v>27280</v>
      </c>
      <c r="IR417" s="236" t="s">
        <v>145</v>
      </c>
      <c r="IS417" s="236" t="s">
        <v>74</v>
      </c>
      <c r="IT417" s="236" t="s">
        <v>841</v>
      </c>
      <c r="IV417" s="236" t="s">
        <v>27281</v>
      </c>
      <c r="IW417" s="236" t="s">
        <v>145</v>
      </c>
      <c r="IX417" s="236" t="s">
        <v>74</v>
      </c>
      <c r="IY417" s="236" t="s">
        <v>841</v>
      </c>
      <c r="JA417" s="236" t="s">
        <v>27282</v>
      </c>
      <c r="JB417" s="236" t="s">
        <v>145</v>
      </c>
      <c r="JC417" s="236" t="s">
        <v>74</v>
      </c>
      <c r="JD417" s="236" t="s">
        <v>841</v>
      </c>
      <c r="JF417" s="236" t="s">
        <v>27283</v>
      </c>
      <c r="JG417" s="236" t="s">
        <v>145</v>
      </c>
      <c r="JH417" s="236" t="s">
        <v>74</v>
      </c>
      <c r="JI417" s="236" t="s">
        <v>841</v>
      </c>
      <c r="JK417" s="236" t="s">
        <v>27284</v>
      </c>
      <c r="JL417" s="236" t="s">
        <v>145</v>
      </c>
      <c r="JM417" s="236" t="s">
        <v>74</v>
      </c>
      <c r="JN417" s="236" t="s">
        <v>841</v>
      </c>
      <c r="JP417" s="236" t="s">
        <v>27285</v>
      </c>
      <c r="JQ417" s="236" t="s">
        <v>145</v>
      </c>
      <c r="JR417" s="236" t="s">
        <v>74</v>
      </c>
      <c r="JS417" s="236" t="s">
        <v>841</v>
      </c>
      <c r="JU417" s="294" t="s">
        <v>27286</v>
      </c>
      <c r="JV417" s="294" t="s">
        <v>52</v>
      </c>
      <c r="JW417" s="263" t="s">
        <v>70</v>
      </c>
      <c r="JX417" s="294" t="s">
        <v>1083</v>
      </c>
      <c r="JZ417" s="263" t="s">
        <v>27287</v>
      </c>
      <c r="KA417" s="263" t="s">
        <v>145</v>
      </c>
      <c r="KB417" s="263" t="s">
        <v>70</v>
      </c>
      <c r="KC417" s="263" t="s">
        <v>1083</v>
      </c>
      <c r="KE417" s="263" t="s">
        <v>27288</v>
      </c>
      <c r="KF417" s="263" t="s">
        <v>52</v>
      </c>
      <c r="KG417" s="263" t="s">
        <v>70</v>
      </c>
      <c r="KH417" s="263" t="s">
        <v>1083</v>
      </c>
      <c r="KJ417" s="263" t="s">
        <v>27289</v>
      </c>
      <c r="KK417" s="263" t="s">
        <v>52</v>
      </c>
      <c r="KL417" s="263" t="s">
        <v>74</v>
      </c>
      <c r="KM417" s="263" t="s">
        <v>34074</v>
      </c>
      <c r="KO417" s="214" t="s">
        <v>27290</v>
      </c>
      <c r="KP417" s="214" t="s">
        <v>145</v>
      </c>
      <c r="KQ417" s="214" t="s">
        <v>70</v>
      </c>
      <c r="KR417" s="214" t="s">
        <v>67</v>
      </c>
      <c r="KT417" s="22" t="s">
        <v>27291</v>
      </c>
      <c r="KU417" s="22" t="s">
        <v>145</v>
      </c>
      <c r="KV417" s="22" t="s">
        <v>70</v>
      </c>
      <c r="KW417" s="22" t="s">
        <v>67</v>
      </c>
      <c r="KY417" s="214" t="s">
        <v>27292</v>
      </c>
      <c r="KZ417" s="214" t="s">
        <v>52</v>
      </c>
      <c r="LA417" s="214" t="s">
        <v>74</v>
      </c>
      <c r="LB417" s="214" t="s">
        <v>67</v>
      </c>
      <c r="LD417" s="22" t="s">
        <v>27293</v>
      </c>
      <c r="LE417" s="22" t="s">
        <v>145</v>
      </c>
      <c r="LF417" s="22" t="s">
        <v>70</v>
      </c>
      <c r="LG417" s="22" t="s">
        <v>67</v>
      </c>
    </row>
    <row r="418" spans="1:319">
      <c r="A418" s="22" t="s">
        <v>27294</v>
      </c>
      <c r="B418" s="22" t="s">
        <v>145</v>
      </c>
      <c r="C418" s="22" t="s">
        <v>70</v>
      </c>
      <c r="D418" s="22" t="s">
        <v>67</v>
      </c>
      <c r="F418" s="96" t="s">
        <v>27295</v>
      </c>
      <c r="G418" s="22" t="s">
        <v>145</v>
      </c>
      <c r="H418" s="22" t="s">
        <v>70</v>
      </c>
      <c r="I418" s="22" t="s">
        <v>67</v>
      </c>
      <c r="K418" s="99" t="s">
        <v>27296</v>
      </c>
      <c r="L418" s="22" t="s">
        <v>145</v>
      </c>
      <c r="M418" s="22" t="s">
        <v>70</v>
      </c>
      <c r="N418" s="22" t="s">
        <v>67</v>
      </c>
      <c r="P418" s="230" t="s">
        <v>27297</v>
      </c>
      <c r="Q418" s="218" t="s">
        <v>145</v>
      </c>
      <c r="R418" s="218" t="s">
        <v>72</v>
      </c>
      <c r="S418" s="218" t="s">
        <v>34019</v>
      </c>
      <c r="U418" s="293" t="s">
        <v>27298</v>
      </c>
      <c r="V418" s="293" t="s">
        <v>145</v>
      </c>
      <c r="W418" s="293" t="s">
        <v>74</v>
      </c>
      <c r="X418" s="293" t="s">
        <v>656</v>
      </c>
      <c r="Z418" s="293" t="s">
        <v>27299</v>
      </c>
      <c r="AA418" s="293" t="s">
        <v>145</v>
      </c>
      <c r="AB418" s="293" t="s">
        <v>74</v>
      </c>
      <c r="AC418" s="293" t="s">
        <v>656</v>
      </c>
      <c r="AE418" s="293" t="s">
        <v>27300</v>
      </c>
      <c r="AF418" s="293" t="s">
        <v>145</v>
      </c>
      <c r="AG418" s="293" t="s">
        <v>74</v>
      </c>
      <c r="AH418" s="293" t="s">
        <v>656</v>
      </c>
      <c r="AJ418" s="293" t="s">
        <v>27301</v>
      </c>
      <c r="AK418" s="293" t="s">
        <v>145</v>
      </c>
      <c r="AL418" s="293" t="s">
        <v>74</v>
      </c>
      <c r="AM418" s="293" t="s">
        <v>656</v>
      </c>
      <c r="AO418" s="22" t="s">
        <v>27302</v>
      </c>
      <c r="AP418" s="22" t="s">
        <v>145</v>
      </c>
      <c r="AQ418" s="22" t="s">
        <v>70</v>
      </c>
      <c r="AR418" s="22" t="s">
        <v>67</v>
      </c>
      <c r="AT418" s="22" t="s">
        <v>27303</v>
      </c>
      <c r="AU418" s="22" t="s">
        <v>145</v>
      </c>
      <c r="AV418" s="22" t="s">
        <v>70</v>
      </c>
      <c r="AW418" s="22" t="s">
        <v>67</v>
      </c>
      <c r="AY418" s="22" t="s">
        <v>27304</v>
      </c>
      <c r="AZ418" s="22" t="s">
        <v>145</v>
      </c>
      <c r="BA418" s="22" t="s">
        <v>70</v>
      </c>
      <c r="BB418" s="22" t="s">
        <v>67</v>
      </c>
      <c r="BD418" s="22" t="s">
        <v>27305</v>
      </c>
      <c r="BE418" s="22" t="s">
        <v>145</v>
      </c>
      <c r="BF418" s="22" t="s">
        <v>70</v>
      </c>
      <c r="BG418" s="22" t="s">
        <v>67</v>
      </c>
      <c r="BI418" s="22" t="s">
        <v>27306</v>
      </c>
      <c r="BJ418" s="22" t="s">
        <v>145</v>
      </c>
      <c r="BK418" s="22" t="s">
        <v>70</v>
      </c>
      <c r="BL418" s="22" t="s">
        <v>67</v>
      </c>
      <c r="BN418" s="22" t="s">
        <v>27307</v>
      </c>
      <c r="BO418" s="22" t="s">
        <v>145</v>
      </c>
      <c r="BP418" s="22" t="s">
        <v>70</v>
      </c>
      <c r="BQ418" s="22" t="s">
        <v>67</v>
      </c>
      <c r="BS418" s="22" t="s">
        <v>27308</v>
      </c>
      <c r="BT418" s="22" t="s">
        <v>145</v>
      </c>
      <c r="BU418" s="22" t="s">
        <v>70</v>
      </c>
      <c r="BV418" s="214" t="s">
        <v>530</v>
      </c>
      <c r="BX418" s="22" t="s">
        <v>27309</v>
      </c>
      <c r="BY418" s="22" t="s">
        <v>145</v>
      </c>
      <c r="BZ418" s="22" t="s">
        <v>70</v>
      </c>
      <c r="CA418" s="214" t="s">
        <v>530</v>
      </c>
      <c r="CC418" s="214" t="s">
        <v>27310</v>
      </c>
      <c r="CD418" s="214" t="s">
        <v>943</v>
      </c>
      <c r="CE418" s="214" t="s">
        <v>70</v>
      </c>
      <c r="CF418" s="214" t="s">
        <v>530</v>
      </c>
      <c r="CH418" s="214" t="s">
        <v>27311</v>
      </c>
      <c r="CI418" s="214" t="s">
        <v>52</v>
      </c>
      <c r="CJ418" s="214" t="s">
        <v>70</v>
      </c>
      <c r="CK418" s="214" t="s">
        <v>530</v>
      </c>
      <c r="CM418" s="214" t="s">
        <v>27312</v>
      </c>
      <c r="CN418" s="214" t="s">
        <v>34636</v>
      </c>
      <c r="CO418" s="214" t="s">
        <v>70</v>
      </c>
      <c r="CP418" s="214" t="s">
        <v>530</v>
      </c>
      <c r="CR418" s="214" t="s">
        <v>27313</v>
      </c>
      <c r="CS418" s="214" t="s">
        <v>164</v>
      </c>
      <c r="CT418" s="214" t="s">
        <v>70</v>
      </c>
      <c r="CU418" s="214" t="s">
        <v>530</v>
      </c>
      <c r="CW418" s="214" t="s">
        <v>27314</v>
      </c>
      <c r="CX418" s="214" t="s">
        <v>468</v>
      </c>
      <c r="CY418" s="214" t="s">
        <v>70</v>
      </c>
      <c r="CZ418" s="214" t="s">
        <v>530</v>
      </c>
      <c r="DB418" s="214" t="s">
        <v>27315</v>
      </c>
      <c r="DC418" s="214" t="s">
        <v>488</v>
      </c>
      <c r="DD418" s="214" t="s">
        <v>70</v>
      </c>
      <c r="DE418" s="214" t="s">
        <v>530</v>
      </c>
      <c r="DG418" s="214" t="s">
        <v>27316</v>
      </c>
      <c r="DH418" s="214" t="s">
        <v>600</v>
      </c>
      <c r="DI418" s="214" t="s">
        <v>70</v>
      </c>
      <c r="DJ418" s="214" t="s">
        <v>530</v>
      </c>
      <c r="DL418" s="214" t="s">
        <v>27317</v>
      </c>
      <c r="DM418" s="214" t="s">
        <v>929</v>
      </c>
      <c r="DN418" s="214" t="s">
        <v>70</v>
      </c>
      <c r="DO418" s="214" t="s">
        <v>530</v>
      </c>
      <c r="DQ418" s="214" t="s">
        <v>27318</v>
      </c>
      <c r="DR418" s="214" t="s">
        <v>34584</v>
      </c>
      <c r="DS418" s="214" t="s">
        <v>70</v>
      </c>
      <c r="DT418" s="214" t="s">
        <v>530</v>
      </c>
      <c r="DV418" s="214" t="s">
        <v>27319</v>
      </c>
      <c r="DW418" s="214" t="s">
        <v>52</v>
      </c>
      <c r="DX418" s="214" t="s">
        <v>70</v>
      </c>
      <c r="DY418" s="214" t="s">
        <v>530</v>
      </c>
      <c r="EA418" s="214" t="s">
        <v>27320</v>
      </c>
      <c r="EB418" s="214" t="s">
        <v>34536</v>
      </c>
      <c r="EC418" s="214" t="s">
        <v>70</v>
      </c>
      <c r="ED418" s="214" t="s">
        <v>530</v>
      </c>
      <c r="EF418" s="214" t="s">
        <v>27321</v>
      </c>
      <c r="EG418" s="214" t="s">
        <v>52</v>
      </c>
      <c r="EH418" s="214" t="s">
        <v>70</v>
      </c>
      <c r="EI418" s="214" t="s">
        <v>530</v>
      </c>
      <c r="EK418" s="214" t="s">
        <v>27322</v>
      </c>
      <c r="EL418" s="214" t="s">
        <v>34564</v>
      </c>
      <c r="EM418" s="214" t="s">
        <v>70</v>
      </c>
      <c r="EN418" s="214" t="s">
        <v>530</v>
      </c>
      <c r="EP418" s="214" t="s">
        <v>27323</v>
      </c>
      <c r="EQ418" s="214" t="s">
        <v>52</v>
      </c>
      <c r="ER418" s="214" t="s">
        <v>70</v>
      </c>
      <c r="ES418" s="214" t="s">
        <v>530</v>
      </c>
      <c r="EU418" s="214" t="s">
        <v>27324</v>
      </c>
      <c r="EV418" s="214" t="s">
        <v>34563</v>
      </c>
      <c r="EW418" s="214" t="s">
        <v>70</v>
      </c>
      <c r="EX418" s="214" t="s">
        <v>530</v>
      </c>
      <c r="EZ418" s="214" t="s">
        <v>27325</v>
      </c>
      <c r="FA418" s="214" t="s">
        <v>148</v>
      </c>
      <c r="FB418" s="214" t="s">
        <v>70</v>
      </c>
      <c r="FC418" s="214" t="s">
        <v>530</v>
      </c>
      <c r="FE418" s="214" t="s">
        <v>27326</v>
      </c>
      <c r="FF418" s="214" t="s">
        <v>52</v>
      </c>
      <c r="FG418" s="214" t="s">
        <v>70</v>
      </c>
      <c r="FH418" s="214" t="s">
        <v>530</v>
      </c>
      <c r="FJ418" s="321" t="s">
        <v>27327</v>
      </c>
      <c r="FK418" s="214" t="s">
        <v>148</v>
      </c>
      <c r="FL418" s="214" t="s">
        <v>70</v>
      </c>
      <c r="FM418" s="214" t="s">
        <v>530</v>
      </c>
      <c r="FO418" s="321" t="s">
        <v>27328</v>
      </c>
      <c r="FP418" s="214" t="s">
        <v>34212</v>
      </c>
      <c r="FQ418" s="214" t="s">
        <v>70</v>
      </c>
      <c r="FR418" s="214" t="s">
        <v>530</v>
      </c>
      <c r="FT418" s="321" t="s">
        <v>27329</v>
      </c>
      <c r="FU418" s="214" t="s">
        <v>85</v>
      </c>
      <c r="FV418" s="214" t="s">
        <v>70</v>
      </c>
      <c r="FW418" s="214" t="s">
        <v>530</v>
      </c>
      <c r="FY418" s="321" t="s">
        <v>27330</v>
      </c>
      <c r="FZ418" s="214" t="s">
        <v>34614</v>
      </c>
      <c r="GA418" s="214" t="s">
        <v>70</v>
      </c>
      <c r="GB418" s="214" t="s">
        <v>530</v>
      </c>
      <c r="GD418" s="321" t="s">
        <v>27331</v>
      </c>
      <c r="GE418" s="214" t="s">
        <v>149</v>
      </c>
      <c r="GF418" s="214" t="s">
        <v>70</v>
      </c>
      <c r="GG418" s="214" t="s">
        <v>530</v>
      </c>
      <c r="GI418" s="321" t="s">
        <v>27332</v>
      </c>
      <c r="GJ418" s="214" t="s">
        <v>34613</v>
      </c>
      <c r="GK418" s="214" t="s">
        <v>70</v>
      </c>
      <c r="GL418" s="214" t="s">
        <v>530</v>
      </c>
      <c r="GN418" s="321" t="s">
        <v>27333</v>
      </c>
      <c r="GO418" s="214" t="s">
        <v>599</v>
      </c>
      <c r="GP418" s="214" t="s">
        <v>70</v>
      </c>
      <c r="GQ418" s="214" t="s">
        <v>530</v>
      </c>
      <c r="GS418" s="321" t="s">
        <v>27334</v>
      </c>
      <c r="GT418" s="214" t="s">
        <v>939</v>
      </c>
      <c r="GU418" s="214" t="s">
        <v>70</v>
      </c>
      <c r="GV418" s="214" t="s">
        <v>530</v>
      </c>
      <c r="GX418" s="214" t="s">
        <v>27335</v>
      </c>
      <c r="GY418" s="214" t="s">
        <v>163</v>
      </c>
      <c r="GZ418" s="214" t="s">
        <v>70</v>
      </c>
      <c r="HA418" s="214" t="s">
        <v>530</v>
      </c>
      <c r="HC418" s="214" t="s">
        <v>27336</v>
      </c>
      <c r="HD418" s="214" t="s">
        <v>34545</v>
      </c>
      <c r="HE418" s="214" t="s">
        <v>70</v>
      </c>
      <c r="HF418" s="214" t="s">
        <v>530</v>
      </c>
      <c r="HH418" s="214" t="s">
        <v>27337</v>
      </c>
      <c r="HI418" s="214" t="s">
        <v>917</v>
      </c>
      <c r="HJ418" s="214" t="s">
        <v>70</v>
      </c>
      <c r="HK418" s="214" t="s">
        <v>530</v>
      </c>
      <c r="HM418" s="214" t="s">
        <v>27338</v>
      </c>
      <c r="HN418" s="214" t="s">
        <v>34644</v>
      </c>
      <c r="HO418" s="214" t="s">
        <v>70</v>
      </c>
      <c r="HP418" s="214" t="s">
        <v>530</v>
      </c>
      <c r="HR418" s="22" t="s">
        <v>27339</v>
      </c>
      <c r="HS418" s="22" t="s">
        <v>90</v>
      </c>
      <c r="HT418" s="22" t="s">
        <v>70</v>
      </c>
      <c r="HU418" s="214" t="s">
        <v>530</v>
      </c>
      <c r="HW418" s="22" t="s">
        <v>27340</v>
      </c>
      <c r="HX418" s="22" t="s">
        <v>930</v>
      </c>
      <c r="HY418" s="22" t="s">
        <v>70</v>
      </c>
      <c r="HZ418" s="214" t="s">
        <v>530</v>
      </c>
      <c r="IB418" s="22" t="s">
        <v>27341</v>
      </c>
      <c r="IC418" s="22" t="s">
        <v>148</v>
      </c>
      <c r="ID418" s="22" t="s">
        <v>70</v>
      </c>
      <c r="IE418" s="214" t="s">
        <v>530</v>
      </c>
      <c r="IG418" s="22" t="s">
        <v>27342</v>
      </c>
      <c r="IH418" s="22" t="s">
        <v>52</v>
      </c>
      <c r="II418" s="22" t="s">
        <v>70</v>
      </c>
      <c r="IJ418" s="214" t="s">
        <v>530</v>
      </c>
      <c r="IL418" s="22" t="s">
        <v>27343</v>
      </c>
      <c r="IM418" s="22" t="s">
        <v>145</v>
      </c>
      <c r="IN418" s="22" t="s">
        <v>70</v>
      </c>
      <c r="IO418" s="214" t="s">
        <v>530</v>
      </c>
      <c r="IQ418" s="236" t="s">
        <v>27344</v>
      </c>
      <c r="IR418" s="236" t="s">
        <v>145</v>
      </c>
      <c r="IS418" s="236" t="s">
        <v>74</v>
      </c>
      <c r="IT418" s="236" t="s">
        <v>841</v>
      </c>
      <c r="IV418" s="236" t="s">
        <v>27345</v>
      </c>
      <c r="IW418" s="236" t="s">
        <v>145</v>
      </c>
      <c r="IX418" s="236" t="s">
        <v>74</v>
      </c>
      <c r="IY418" s="236" t="s">
        <v>841</v>
      </c>
      <c r="JA418" s="236" t="s">
        <v>27346</v>
      </c>
      <c r="JB418" s="236" t="s">
        <v>145</v>
      </c>
      <c r="JC418" s="236" t="s">
        <v>74</v>
      </c>
      <c r="JD418" s="236" t="s">
        <v>841</v>
      </c>
      <c r="JF418" s="236" t="s">
        <v>27347</v>
      </c>
      <c r="JG418" s="236" t="s">
        <v>145</v>
      </c>
      <c r="JH418" s="236" t="s">
        <v>74</v>
      </c>
      <c r="JI418" s="236" t="s">
        <v>841</v>
      </c>
      <c r="JK418" s="236" t="s">
        <v>27348</v>
      </c>
      <c r="JL418" s="236" t="s">
        <v>145</v>
      </c>
      <c r="JM418" s="236" t="s">
        <v>74</v>
      </c>
      <c r="JN418" s="236" t="s">
        <v>841</v>
      </c>
      <c r="JP418" s="236" t="s">
        <v>27349</v>
      </c>
      <c r="JQ418" s="236" t="s">
        <v>145</v>
      </c>
      <c r="JR418" s="236" t="s">
        <v>74</v>
      </c>
      <c r="JS418" s="236" t="s">
        <v>841</v>
      </c>
      <c r="JU418" s="294" t="s">
        <v>27350</v>
      </c>
      <c r="JV418" s="294" t="s">
        <v>52</v>
      </c>
      <c r="JW418" s="263" t="s">
        <v>70</v>
      </c>
      <c r="JX418" s="294" t="s">
        <v>1083</v>
      </c>
      <c r="JZ418" s="263" t="s">
        <v>27351</v>
      </c>
      <c r="KA418" s="263" t="s">
        <v>145</v>
      </c>
      <c r="KB418" s="263" t="s">
        <v>70</v>
      </c>
      <c r="KC418" s="263" t="s">
        <v>1083</v>
      </c>
      <c r="KE418" s="263" t="s">
        <v>27352</v>
      </c>
      <c r="KF418" s="263" t="s">
        <v>52</v>
      </c>
      <c r="KG418" s="263" t="s">
        <v>70</v>
      </c>
      <c r="KH418" s="263" t="s">
        <v>1083</v>
      </c>
      <c r="KJ418" s="263" t="s">
        <v>27353</v>
      </c>
      <c r="KK418" s="263" t="s">
        <v>52</v>
      </c>
      <c r="KL418" s="263" t="s">
        <v>74</v>
      </c>
      <c r="KM418" s="263" t="s">
        <v>34074</v>
      </c>
      <c r="KO418" s="214" t="s">
        <v>27354</v>
      </c>
      <c r="KP418" s="214" t="s">
        <v>145</v>
      </c>
      <c r="KQ418" s="214" t="s">
        <v>70</v>
      </c>
      <c r="KR418" s="214" t="s">
        <v>67</v>
      </c>
      <c r="KT418" s="22" t="s">
        <v>27355</v>
      </c>
      <c r="KU418" s="22" t="s">
        <v>145</v>
      </c>
      <c r="KV418" s="22" t="s">
        <v>70</v>
      </c>
      <c r="KW418" s="22" t="s">
        <v>67</v>
      </c>
      <c r="KY418" s="214" t="s">
        <v>27356</v>
      </c>
      <c r="KZ418" s="214" t="s">
        <v>52</v>
      </c>
      <c r="LA418" s="214" t="s">
        <v>74</v>
      </c>
      <c r="LB418" s="214" t="s">
        <v>67</v>
      </c>
      <c r="LD418" s="22" t="s">
        <v>27357</v>
      </c>
      <c r="LE418" s="22" t="s">
        <v>145</v>
      </c>
      <c r="LF418" s="22" t="s">
        <v>70</v>
      </c>
      <c r="LG418" s="22" t="s">
        <v>67</v>
      </c>
    </row>
    <row r="419" spans="1:319">
      <c r="A419" s="22" t="s">
        <v>27358</v>
      </c>
      <c r="B419" s="22" t="s">
        <v>145</v>
      </c>
      <c r="C419" s="22" t="s">
        <v>70</v>
      </c>
      <c r="D419" s="22" t="s">
        <v>67</v>
      </c>
      <c r="F419" s="96" t="s">
        <v>27359</v>
      </c>
      <c r="G419" s="22" t="s">
        <v>145</v>
      </c>
      <c r="H419" s="22" t="s">
        <v>70</v>
      </c>
      <c r="I419" s="22" t="s">
        <v>67</v>
      </c>
      <c r="K419" s="99" t="s">
        <v>27360</v>
      </c>
      <c r="L419" s="22" t="s">
        <v>145</v>
      </c>
      <c r="M419" s="22" t="s">
        <v>70</v>
      </c>
      <c r="N419" s="22" t="s">
        <v>67</v>
      </c>
      <c r="P419" s="230" t="s">
        <v>27361</v>
      </c>
      <c r="Q419" s="218" t="s">
        <v>145</v>
      </c>
      <c r="R419" s="218" t="s">
        <v>72</v>
      </c>
      <c r="S419" s="218" t="s">
        <v>34020</v>
      </c>
      <c r="U419" s="293" t="s">
        <v>27362</v>
      </c>
      <c r="V419" s="293" t="s">
        <v>145</v>
      </c>
      <c r="W419" s="293" t="s">
        <v>74</v>
      </c>
      <c r="X419" s="293" t="s">
        <v>656</v>
      </c>
      <c r="Z419" s="293" t="s">
        <v>27363</v>
      </c>
      <c r="AA419" s="293" t="s">
        <v>145</v>
      </c>
      <c r="AB419" s="293" t="s">
        <v>74</v>
      </c>
      <c r="AC419" s="293" t="s">
        <v>656</v>
      </c>
      <c r="AE419" s="293" t="s">
        <v>27364</v>
      </c>
      <c r="AF419" s="293" t="s">
        <v>145</v>
      </c>
      <c r="AG419" s="293" t="s">
        <v>74</v>
      </c>
      <c r="AH419" s="293" t="s">
        <v>656</v>
      </c>
      <c r="AJ419" s="293" t="s">
        <v>27365</v>
      </c>
      <c r="AK419" s="293" t="s">
        <v>145</v>
      </c>
      <c r="AL419" s="293" t="s">
        <v>74</v>
      </c>
      <c r="AM419" s="293" t="s">
        <v>656</v>
      </c>
      <c r="AO419" s="22" t="s">
        <v>27366</v>
      </c>
      <c r="AP419" s="22" t="s">
        <v>145</v>
      </c>
      <c r="AQ419" s="22" t="s">
        <v>70</v>
      </c>
      <c r="AR419" s="22" t="s">
        <v>67</v>
      </c>
      <c r="AT419" s="22" t="s">
        <v>27367</v>
      </c>
      <c r="AU419" s="22" t="s">
        <v>145</v>
      </c>
      <c r="AV419" s="22" t="s">
        <v>70</v>
      </c>
      <c r="AW419" s="22" t="s">
        <v>67</v>
      </c>
      <c r="AY419" s="22" t="s">
        <v>27368</v>
      </c>
      <c r="AZ419" s="22" t="s">
        <v>145</v>
      </c>
      <c r="BA419" s="22" t="s">
        <v>70</v>
      </c>
      <c r="BB419" s="22" t="s">
        <v>67</v>
      </c>
      <c r="BD419" s="22" t="s">
        <v>27369</v>
      </c>
      <c r="BE419" s="22" t="s">
        <v>145</v>
      </c>
      <c r="BF419" s="22" t="s">
        <v>70</v>
      </c>
      <c r="BG419" s="22" t="s">
        <v>67</v>
      </c>
      <c r="BI419" s="22" t="s">
        <v>27370</v>
      </c>
      <c r="BJ419" s="22" t="s">
        <v>145</v>
      </c>
      <c r="BK419" s="22" t="s">
        <v>70</v>
      </c>
      <c r="BL419" s="22" t="s">
        <v>67</v>
      </c>
      <c r="BN419" s="22" t="s">
        <v>27371</v>
      </c>
      <c r="BO419" s="22" t="s">
        <v>145</v>
      </c>
      <c r="BP419" s="22" t="s">
        <v>70</v>
      </c>
      <c r="BQ419" s="22" t="s">
        <v>67</v>
      </c>
      <c r="BS419" s="22" t="s">
        <v>27372</v>
      </c>
      <c r="BT419" s="22" t="s">
        <v>145</v>
      </c>
      <c r="BU419" s="22" t="s">
        <v>70</v>
      </c>
      <c r="BV419" s="214" t="s">
        <v>530</v>
      </c>
      <c r="BX419" s="22" t="s">
        <v>27373</v>
      </c>
      <c r="BY419" s="22" t="s">
        <v>145</v>
      </c>
      <c r="BZ419" s="22" t="s">
        <v>70</v>
      </c>
      <c r="CA419" s="214" t="s">
        <v>530</v>
      </c>
      <c r="CC419" s="214" t="s">
        <v>27374</v>
      </c>
      <c r="CD419" s="214" t="s">
        <v>484</v>
      </c>
      <c r="CE419" s="214" t="s">
        <v>70</v>
      </c>
      <c r="CF419" s="214" t="s">
        <v>530</v>
      </c>
      <c r="CH419" s="214" t="s">
        <v>27375</v>
      </c>
      <c r="CI419" s="214" t="s">
        <v>52</v>
      </c>
      <c r="CJ419" s="214" t="s">
        <v>70</v>
      </c>
      <c r="CK419" s="214" t="s">
        <v>530</v>
      </c>
      <c r="CM419" s="214" t="s">
        <v>27376</v>
      </c>
      <c r="CN419" s="214" t="s">
        <v>503</v>
      </c>
      <c r="CO419" s="214" t="s">
        <v>70</v>
      </c>
      <c r="CP419" s="214" t="s">
        <v>530</v>
      </c>
      <c r="CR419" s="214" t="s">
        <v>27377</v>
      </c>
      <c r="CS419" s="214" t="s">
        <v>484</v>
      </c>
      <c r="CT419" s="214" t="s">
        <v>70</v>
      </c>
      <c r="CU419" s="214" t="s">
        <v>530</v>
      </c>
      <c r="CW419" s="214" t="s">
        <v>27378</v>
      </c>
      <c r="CX419" s="214" t="s">
        <v>484</v>
      </c>
      <c r="CY419" s="214" t="s">
        <v>70</v>
      </c>
      <c r="CZ419" s="214" t="s">
        <v>530</v>
      </c>
      <c r="DB419" s="214" t="s">
        <v>27379</v>
      </c>
      <c r="DC419" s="214" t="s">
        <v>488</v>
      </c>
      <c r="DD419" s="214" t="s">
        <v>70</v>
      </c>
      <c r="DE419" s="214" t="s">
        <v>530</v>
      </c>
      <c r="DG419" s="214" t="s">
        <v>27380</v>
      </c>
      <c r="DH419" s="214" t="s">
        <v>34542</v>
      </c>
      <c r="DI419" s="214" t="s">
        <v>70</v>
      </c>
      <c r="DJ419" s="214" t="s">
        <v>530</v>
      </c>
      <c r="DL419" s="214" t="s">
        <v>27381</v>
      </c>
      <c r="DM419" s="214" t="s">
        <v>146</v>
      </c>
      <c r="DN419" s="214" t="s">
        <v>70</v>
      </c>
      <c r="DO419" s="214" t="s">
        <v>530</v>
      </c>
      <c r="DQ419" s="214" t="s">
        <v>27382</v>
      </c>
      <c r="DR419" s="214" t="s">
        <v>34548</v>
      </c>
      <c r="DS419" s="214" t="s">
        <v>70</v>
      </c>
      <c r="DT419" s="214" t="s">
        <v>530</v>
      </c>
      <c r="DV419" s="214" t="s">
        <v>27383</v>
      </c>
      <c r="DW419" s="214" t="s">
        <v>145</v>
      </c>
      <c r="DX419" s="214" t="s">
        <v>70</v>
      </c>
      <c r="DY419" s="214" t="s">
        <v>530</v>
      </c>
      <c r="EA419" s="214" t="s">
        <v>27384</v>
      </c>
      <c r="EB419" s="214" t="s">
        <v>87</v>
      </c>
      <c r="EC419" s="214" t="s">
        <v>70</v>
      </c>
      <c r="ED419" s="214" t="s">
        <v>530</v>
      </c>
      <c r="EF419" s="214" t="s">
        <v>27385</v>
      </c>
      <c r="EG419" s="214" t="s">
        <v>468</v>
      </c>
      <c r="EH419" s="214" t="s">
        <v>70</v>
      </c>
      <c r="EI419" s="214" t="s">
        <v>530</v>
      </c>
      <c r="EK419" s="214" t="s">
        <v>27386</v>
      </c>
      <c r="EL419" s="214" t="s">
        <v>484</v>
      </c>
      <c r="EM419" s="214" t="s">
        <v>70</v>
      </c>
      <c r="EN419" s="214" t="s">
        <v>530</v>
      </c>
      <c r="EP419" s="214" t="s">
        <v>27387</v>
      </c>
      <c r="EQ419" s="214" t="s">
        <v>599</v>
      </c>
      <c r="ER419" s="214" t="s">
        <v>70</v>
      </c>
      <c r="ES419" s="214" t="s">
        <v>530</v>
      </c>
      <c r="EU419" s="214" t="s">
        <v>27388</v>
      </c>
      <c r="EV419" s="214" t="s">
        <v>34555</v>
      </c>
      <c r="EW419" s="214" t="s">
        <v>70</v>
      </c>
      <c r="EX419" s="214" t="s">
        <v>530</v>
      </c>
      <c r="EZ419" s="214" t="s">
        <v>27389</v>
      </c>
      <c r="FA419" s="214" t="s">
        <v>146</v>
      </c>
      <c r="FB419" s="214" t="s">
        <v>70</v>
      </c>
      <c r="FC419" s="214" t="s">
        <v>530</v>
      </c>
      <c r="FE419" s="214" t="s">
        <v>27390</v>
      </c>
      <c r="FF419" s="214" t="s">
        <v>52</v>
      </c>
      <c r="FG419" s="214" t="s">
        <v>70</v>
      </c>
      <c r="FH419" s="214" t="s">
        <v>530</v>
      </c>
      <c r="FJ419" s="321" t="s">
        <v>27391</v>
      </c>
      <c r="FK419" s="214" t="s">
        <v>531</v>
      </c>
      <c r="FL419" s="214" t="s">
        <v>70</v>
      </c>
      <c r="FM419" s="214" t="s">
        <v>530</v>
      </c>
      <c r="FO419" s="321" t="s">
        <v>27392</v>
      </c>
      <c r="FP419" s="214" t="s">
        <v>34561</v>
      </c>
      <c r="FQ419" s="214" t="s">
        <v>70</v>
      </c>
      <c r="FR419" s="214" t="s">
        <v>530</v>
      </c>
      <c r="FT419" s="321" t="s">
        <v>27393</v>
      </c>
      <c r="FU419" s="214" t="s">
        <v>481</v>
      </c>
      <c r="FV419" s="214" t="s">
        <v>70</v>
      </c>
      <c r="FW419" s="214" t="s">
        <v>530</v>
      </c>
      <c r="FY419" s="321" t="s">
        <v>27394</v>
      </c>
      <c r="FZ419" s="214" t="s">
        <v>34566</v>
      </c>
      <c r="GA419" s="214" t="s">
        <v>70</v>
      </c>
      <c r="GB419" s="214" t="s">
        <v>530</v>
      </c>
      <c r="GD419" s="321" t="s">
        <v>27395</v>
      </c>
      <c r="GE419" s="214" t="s">
        <v>950</v>
      </c>
      <c r="GF419" s="214" t="s">
        <v>70</v>
      </c>
      <c r="GG419" s="214" t="s">
        <v>530</v>
      </c>
      <c r="GI419" s="321" t="s">
        <v>27396</v>
      </c>
      <c r="GJ419" s="214" t="s">
        <v>482</v>
      </c>
      <c r="GK419" s="214" t="s">
        <v>70</v>
      </c>
      <c r="GL419" s="214" t="s">
        <v>530</v>
      </c>
      <c r="GN419" s="321" t="s">
        <v>27397</v>
      </c>
      <c r="GO419" s="214" t="s">
        <v>486</v>
      </c>
      <c r="GP419" s="214" t="s">
        <v>70</v>
      </c>
      <c r="GQ419" s="214" t="s">
        <v>530</v>
      </c>
      <c r="GS419" s="321" t="s">
        <v>27398</v>
      </c>
      <c r="GT419" s="214" t="s">
        <v>34555</v>
      </c>
      <c r="GU419" s="214" t="s">
        <v>70</v>
      </c>
      <c r="GV419" s="214" t="s">
        <v>530</v>
      </c>
      <c r="GX419" s="214" t="s">
        <v>27399</v>
      </c>
      <c r="GY419" s="214" t="s">
        <v>488</v>
      </c>
      <c r="GZ419" s="214" t="s">
        <v>70</v>
      </c>
      <c r="HA419" s="214" t="s">
        <v>530</v>
      </c>
      <c r="HC419" s="214" t="s">
        <v>27400</v>
      </c>
      <c r="HD419" s="214" t="s">
        <v>34551</v>
      </c>
      <c r="HE419" s="214" t="s">
        <v>70</v>
      </c>
      <c r="HF419" s="214" t="s">
        <v>530</v>
      </c>
      <c r="HH419" s="214" t="s">
        <v>27401</v>
      </c>
      <c r="HI419" s="214" t="s">
        <v>484</v>
      </c>
      <c r="HJ419" s="214" t="s">
        <v>70</v>
      </c>
      <c r="HK419" s="214" t="s">
        <v>530</v>
      </c>
      <c r="HM419" s="214" t="s">
        <v>27402</v>
      </c>
      <c r="HN419" s="214" t="s">
        <v>145</v>
      </c>
      <c r="HO419" s="214" t="s">
        <v>70</v>
      </c>
      <c r="HP419" s="214" t="s">
        <v>530</v>
      </c>
      <c r="HR419" s="22" t="s">
        <v>27403</v>
      </c>
      <c r="HS419" s="22" t="s">
        <v>34516</v>
      </c>
      <c r="HT419" s="22" t="s">
        <v>70</v>
      </c>
      <c r="HU419" s="214" t="s">
        <v>530</v>
      </c>
      <c r="HW419" s="22" t="s">
        <v>27404</v>
      </c>
      <c r="HX419" s="22" t="s">
        <v>930</v>
      </c>
      <c r="HY419" s="22" t="s">
        <v>70</v>
      </c>
      <c r="HZ419" s="214" t="s">
        <v>530</v>
      </c>
      <c r="IB419" s="22" t="s">
        <v>27405</v>
      </c>
      <c r="IC419" s="22" t="s">
        <v>485</v>
      </c>
      <c r="ID419" s="22" t="s">
        <v>70</v>
      </c>
      <c r="IE419" s="214" t="s">
        <v>530</v>
      </c>
      <c r="IG419" s="22" t="s">
        <v>27406</v>
      </c>
      <c r="IH419" s="22" t="s">
        <v>52</v>
      </c>
      <c r="II419" s="22" t="s">
        <v>70</v>
      </c>
      <c r="IJ419" s="214" t="s">
        <v>530</v>
      </c>
      <c r="IL419" s="22" t="s">
        <v>27407</v>
      </c>
      <c r="IM419" s="22" t="s">
        <v>145</v>
      </c>
      <c r="IN419" s="22" t="s">
        <v>70</v>
      </c>
      <c r="IO419" s="214" t="s">
        <v>530</v>
      </c>
      <c r="IQ419" s="236" t="s">
        <v>27408</v>
      </c>
      <c r="IR419" s="236" t="s">
        <v>145</v>
      </c>
      <c r="IS419" s="236" t="s">
        <v>74</v>
      </c>
      <c r="IT419" s="236" t="s">
        <v>841</v>
      </c>
      <c r="IV419" s="236" t="s">
        <v>27409</v>
      </c>
      <c r="IW419" s="236" t="s">
        <v>145</v>
      </c>
      <c r="IX419" s="236" t="s">
        <v>74</v>
      </c>
      <c r="IY419" s="236" t="s">
        <v>841</v>
      </c>
      <c r="JA419" s="236" t="s">
        <v>27410</v>
      </c>
      <c r="JB419" s="236" t="s">
        <v>145</v>
      </c>
      <c r="JC419" s="236" t="s">
        <v>74</v>
      </c>
      <c r="JD419" s="236" t="s">
        <v>841</v>
      </c>
      <c r="JF419" s="236" t="s">
        <v>27411</v>
      </c>
      <c r="JG419" s="236" t="s">
        <v>145</v>
      </c>
      <c r="JH419" s="236" t="s">
        <v>74</v>
      </c>
      <c r="JI419" s="236" t="s">
        <v>841</v>
      </c>
      <c r="JK419" s="236" t="s">
        <v>27412</v>
      </c>
      <c r="JL419" s="236" t="s">
        <v>145</v>
      </c>
      <c r="JM419" s="236" t="s">
        <v>74</v>
      </c>
      <c r="JN419" s="236" t="s">
        <v>841</v>
      </c>
      <c r="JP419" s="236" t="s">
        <v>27413</v>
      </c>
      <c r="JQ419" s="236" t="s">
        <v>145</v>
      </c>
      <c r="JR419" s="236" t="s">
        <v>74</v>
      </c>
      <c r="JS419" s="236" t="s">
        <v>841</v>
      </c>
      <c r="JU419" s="294" t="s">
        <v>27414</v>
      </c>
      <c r="JV419" s="294" t="s">
        <v>52</v>
      </c>
      <c r="JW419" s="263" t="s">
        <v>70</v>
      </c>
      <c r="JX419" s="294" t="s">
        <v>1083</v>
      </c>
      <c r="JZ419" s="263" t="s">
        <v>27415</v>
      </c>
      <c r="KA419" s="263" t="s">
        <v>145</v>
      </c>
      <c r="KB419" s="263" t="s">
        <v>70</v>
      </c>
      <c r="KC419" s="263" t="s">
        <v>1083</v>
      </c>
      <c r="KE419" s="263" t="s">
        <v>27416</v>
      </c>
      <c r="KF419" s="263" t="s">
        <v>52</v>
      </c>
      <c r="KG419" s="263" t="s">
        <v>70</v>
      </c>
      <c r="KH419" s="263" t="s">
        <v>1083</v>
      </c>
      <c r="KJ419" s="263" t="s">
        <v>27417</v>
      </c>
      <c r="KK419" s="263" t="s">
        <v>52</v>
      </c>
      <c r="KL419" s="263" t="s">
        <v>74</v>
      </c>
      <c r="KM419" s="263" t="s">
        <v>34074</v>
      </c>
      <c r="KO419" s="214" t="s">
        <v>27418</v>
      </c>
      <c r="KP419" s="214" t="s">
        <v>145</v>
      </c>
      <c r="KQ419" s="214" t="s">
        <v>70</v>
      </c>
      <c r="KR419" s="214" t="s">
        <v>67</v>
      </c>
      <c r="KT419" s="22" t="s">
        <v>27419</v>
      </c>
      <c r="KU419" s="22" t="s">
        <v>145</v>
      </c>
      <c r="KV419" s="22" t="s">
        <v>70</v>
      </c>
      <c r="KW419" s="22" t="s">
        <v>67</v>
      </c>
      <c r="KY419" s="214" t="s">
        <v>27420</v>
      </c>
      <c r="KZ419" s="214" t="s">
        <v>52</v>
      </c>
      <c r="LA419" s="214" t="s">
        <v>74</v>
      </c>
      <c r="LB419" s="214" t="s">
        <v>67</v>
      </c>
      <c r="LD419" s="22" t="s">
        <v>27421</v>
      </c>
      <c r="LE419" s="22" t="s">
        <v>145</v>
      </c>
      <c r="LF419" s="22" t="s">
        <v>70</v>
      </c>
      <c r="LG419" s="22" t="s">
        <v>67</v>
      </c>
    </row>
    <row r="420" spans="1:319">
      <c r="A420" s="22" t="s">
        <v>27422</v>
      </c>
      <c r="B420" s="22" t="s">
        <v>145</v>
      </c>
      <c r="C420" s="22" t="s">
        <v>70</v>
      </c>
      <c r="D420" s="22" t="s">
        <v>67</v>
      </c>
      <c r="F420" s="96" t="s">
        <v>27423</v>
      </c>
      <c r="G420" s="22" t="s">
        <v>145</v>
      </c>
      <c r="H420" s="22" t="s">
        <v>70</v>
      </c>
      <c r="I420" s="22" t="s">
        <v>67</v>
      </c>
      <c r="K420" s="99" t="s">
        <v>27424</v>
      </c>
      <c r="L420" s="22" t="s">
        <v>145</v>
      </c>
      <c r="M420" s="22" t="s">
        <v>70</v>
      </c>
      <c r="N420" s="22" t="s">
        <v>67</v>
      </c>
      <c r="P420" s="230" t="s">
        <v>27425</v>
      </c>
      <c r="Q420" s="218" t="s">
        <v>145</v>
      </c>
      <c r="R420" s="218" t="s">
        <v>72</v>
      </c>
      <c r="S420" s="218" t="s">
        <v>34021</v>
      </c>
      <c r="U420" s="293" t="s">
        <v>27426</v>
      </c>
      <c r="V420" s="293" t="s">
        <v>145</v>
      </c>
      <c r="W420" s="293" t="s">
        <v>74</v>
      </c>
      <c r="X420" s="293" t="s">
        <v>656</v>
      </c>
      <c r="Z420" s="293" t="s">
        <v>27427</v>
      </c>
      <c r="AA420" s="293" t="s">
        <v>145</v>
      </c>
      <c r="AB420" s="293" t="s">
        <v>74</v>
      </c>
      <c r="AC420" s="293" t="s">
        <v>656</v>
      </c>
      <c r="AE420" s="293" t="s">
        <v>27428</v>
      </c>
      <c r="AF420" s="293" t="s">
        <v>145</v>
      </c>
      <c r="AG420" s="293" t="s">
        <v>74</v>
      </c>
      <c r="AH420" s="293" t="s">
        <v>656</v>
      </c>
      <c r="AJ420" s="293" t="s">
        <v>27429</v>
      </c>
      <c r="AK420" s="293" t="s">
        <v>145</v>
      </c>
      <c r="AL420" s="293" t="s">
        <v>74</v>
      </c>
      <c r="AM420" s="293" t="s">
        <v>656</v>
      </c>
      <c r="AO420" s="22" t="s">
        <v>27430</v>
      </c>
      <c r="AP420" s="22" t="s">
        <v>145</v>
      </c>
      <c r="AQ420" s="22" t="s">
        <v>70</v>
      </c>
      <c r="AR420" s="22" t="s">
        <v>67</v>
      </c>
      <c r="AT420" s="22" t="s">
        <v>27431</v>
      </c>
      <c r="AU420" s="22" t="s">
        <v>145</v>
      </c>
      <c r="AV420" s="22" t="s">
        <v>70</v>
      </c>
      <c r="AW420" s="22" t="s">
        <v>67</v>
      </c>
      <c r="AY420" s="22" t="s">
        <v>27432</v>
      </c>
      <c r="AZ420" s="22" t="s">
        <v>145</v>
      </c>
      <c r="BA420" s="22" t="s">
        <v>70</v>
      </c>
      <c r="BB420" s="22" t="s">
        <v>67</v>
      </c>
      <c r="BD420" s="22" t="s">
        <v>27433</v>
      </c>
      <c r="BE420" s="22" t="s">
        <v>145</v>
      </c>
      <c r="BF420" s="22" t="s">
        <v>70</v>
      </c>
      <c r="BG420" s="22" t="s">
        <v>67</v>
      </c>
      <c r="BI420" s="22" t="s">
        <v>27434</v>
      </c>
      <c r="BJ420" s="22" t="s">
        <v>145</v>
      </c>
      <c r="BK420" s="22" t="s">
        <v>70</v>
      </c>
      <c r="BL420" s="22" t="s">
        <v>67</v>
      </c>
      <c r="BN420" s="22" t="s">
        <v>27435</v>
      </c>
      <c r="BO420" s="22" t="s">
        <v>145</v>
      </c>
      <c r="BP420" s="22" t="s">
        <v>70</v>
      </c>
      <c r="BQ420" s="22" t="s">
        <v>67</v>
      </c>
      <c r="BS420" s="22" t="s">
        <v>27436</v>
      </c>
      <c r="BT420" s="22" t="s">
        <v>145</v>
      </c>
      <c r="BU420" s="22" t="s">
        <v>70</v>
      </c>
      <c r="BV420" s="214" t="s">
        <v>530</v>
      </c>
      <c r="BX420" s="22" t="s">
        <v>27437</v>
      </c>
      <c r="BY420" s="22" t="s">
        <v>145</v>
      </c>
      <c r="BZ420" s="22" t="s">
        <v>70</v>
      </c>
      <c r="CA420" s="214" t="s">
        <v>530</v>
      </c>
      <c r="CC420" s="214" t="s">
        <v>27438</v>
      </c>
      <c r="CD420" s="214" t="s">
        <v>518</v>
      </c>
      <c r="CE420" s="214" t="s">
        <v>70</v>
      </c>
      <c r="CF420" s="214" t="s">
        <v>530</v>
      </c>
      <c r="CH420" s="214" t="s">
        <v>27439</v>
      </c>
      <c r="CI420" s="214" t="s">
        <v>164</v>
      </c>
      <c r="CJ420" s="214" t="s">
        <v>70</v>
      </c>
      <c r="CK420" s="214" t="s">
        <v>530</v>
      </c>
      <c r="CM420" s="214" t="s">
        <v>27440</v>
      </c>
      <c r="CN420" s="214" t="s">
        <v>146</v>
      </c>
      <c r="CO420" s="214" t="s">
        <v>70</v>
      </c>
      <c r="CP420" s="214" t="s">
        <v>530</v>
      </c>
      <c r="CR420" s="214" t="s">
        <v>27441</v>
      </c>
      <c r="CS420" s="214" t="s">
        <v>531</v>
      </c>
      <c r="CT420" s="214" t="s">
        <v>70</v>
      </c>
      <c r="CU420" s="214" t="s">
        <v>530</v>
      </c>
      <c r="CW420" s="214" t="s">
        <v>27442</v>
      </c>
      <c r="CX420" s="214" t="s">
        <v>485</v>
      </c>
      <c r="CY420" s="214" t="s">
        <v>70</v>
      </c>
      <c r="CZ420" s="214" t="s">
        <v>530</v>
      </c>
      <c r="DB420" s="214" t="s">
        <v>27443</v>
      </c>
      <c r="DC420" s="214" t="s">
        <v>86</v>
      </c>
      <c r="DD420" s="214" t="s">
        <v>70</v>
      </c>
      <c r="DE420" s="214" t="s">
        <v>530</v>
      </c>
      <c r="DG420" s="214" t="s">
        <v>27444</v>
      </c>
      <c r="DH420" s="214" t="s">
        <v>468</v>
      </c>
      <c r="DI420" s="214" t="s">
        <v>70</v>
      </c>
      <c r="DJ420" s="214" t="s">
        <v>530</v>
      </c>
      <c r="DL420" s="214" t="s">
        <v>27445</v>
      </c>
      <c r="DM420" s="214" t="s">
        <v>52</v>
      </c>
      <c r="DN420" s="214" t="s">
        <v>70</v>
      </c>
      <c r="DO420" s="214" t="s">
        <v>530</v>
      </c>
      <c r="DQ420" s="214" t="s">
        <v>27446</v>
      </c>
      <c r="DR420" s="214" t="s">
        <v>52</v>
      </c>
      <c r="DS420" s="214" t="s">
        <v>70</v>
      </c>
      <c r="DT420" s="214" t="s">
        <v>530</v>
      </c>
      <c r="DV420" s="214" t="s">
        <v>27447</v>
      </c>
      <c r="DW420" s="214" t="s">
        <v>164</v>
      </c>
      <c r="DX420" s="214" t="s">
        <v>70</v>
      </c>
      <c r="DY420" s="214" t="s">
        <v>530</v>
      </c>
      <c r="EA420" s="214" t="s">
        <v>27448</v>
      </c>
      <c r="EB420" s="214" t="s">
        <v>103</v>
      </c>
      <c r="EC420" s="214" t="s">
        <v>70</v>
      </c>
      <c r="ED420" s="214" t="s">
        <v>530</v>
      </c>
      <c r="EF420" s="214" t="s">
        <v>27449</v>
      </c>
      <c r="EG420" s="214" t="s">
        <v>34646</v>
      </c>
      <c r="EH420" s="214" t="s">
        <v>70</v>
      </c>
      <c r="EI420" s="214" t="s">
        <v>530</v>
      </c>
      <c r="EK420" s="214" t="s">
        <v>27450</v>
      </c>
      <c r="EL420" s="214" t="s">
        <v>34554</v>
      </c>
      <c r="EM420" s="214" t="s">
        <v>70</v>
      </c>
      <c r="EN420" s="214" t="s">
        <v>530</v>
      </c>
      <c r="EP420" s="214" t="s">
        <v>27451</v>
      </c>
      <c r="EQ420" s="214" t="s">
        <v>87</v>
      </c>
      <c r="ER420" s="214" t="s">
        <v>70</v>
      </c>
      <c r="ES420" s="214" t="s">
        <v>530</v>
      </c>
      <c r="EU420" s="214" t="s">
        <v>27452</v>
      </c>
      <c r="EV420" s="214" t="s">
        <v>765</v>
      </c>
      <c r="EW420" s="214" t="s">
        <v>70</v>
      </c>
      <c r="EX420" s="214" t="s">
        <v>530</v>
      </c>
      <c r="EZ420" s="214" t="s">
        <v>27453</v>
      </c>
      <c r="FA420" s="214" t="s">
        <v>52</v>
      </c>
      <c r="FB420" s="214" t="s">
        <v>70</v>
      </c>
      <c r="FC420" s="214" t="s">
        <v>530</v>
      </c>
      <c r="FE420" s="214" t="s">
        <v>27454</v>
      </c>
      <c r="FF420" s="214" t="s">
        <v>52</v>
      </c>
      <c r="FG420" s="214" t="s">
        <v>70</v>
      </c>
      <c r="FH420" s="214" t="s">
        <v>530</v>
      </c>
      <c r="FJ420" s="321" t="s">
        <v>27455</v>
      </c>
      <c r="FK420" s="214" t="s">
        <v>88</v>
      </c>
      <c r="FL420" s="214" t="s">
        <v>70</v>
      </c>
      <c r="FM420" s="214" t="s">
        <v>530</v>
      </c>
      <c r="FO420" s="321" t="s">
        <v>27456</v>
      </c>
      <c r="FP420" s="214" t="s">
        <v>921</v>
      </c>
      <c r="FQ420" s="214" t="s">
        <v>70</v>
      </c>
      <c r="FR420" s="214" t="s">
        <v>530</v>
      </c>
      <c r="FT420" s="321" t="s">
        <v>27457</v>
      </c>
      <c r="FU420" s="214" t="s">
        <v>287</v>
      </c>
      <c r="FV420" s="214" t="s">
        <v>70</v>
      </c>
      <c r="FW420" s="214" t="s">
        <v>530</v>
      </c>
      <c r="FY420" s="321" t="s">
        <v>27458</v>
      </c>
      <c r="FZ420" s="214" t="s">
        <v>34613</v>
      </c>
      <c r="GA420" s="214" t="s">
        <v>70</v>
      </c>
      <c r="GB420" s="214" t="s">
        <v>530</v>
      </c>
      <c r="GD420" s="321" t="s">
        <v>27459</v>
      </c>
      <c r="GE420" s="214" t="s">
        <v>34641</v>
      </c>
      <c r="GF420" s="214" t="s">
        <v>70</v>
      </c>
      <c r="GG420" s="214" t="s">
        <v>530</v>
      </c>
      <c r="GI420" s="321" t="s">
        <v>27460</v>
      </c>
      <c r="GJ420" s="214" t="s">
        <v>653</v>
      </c>
      <c r="GK420" s="214" t="s">
        <v>70</v>
      </c>
      <c r="GL420" s="214" t="s">
        <v>530</v>
      </c>
      <c r="GN420" s="321" t="s">
        <v>27461</v>
      </c>
      <c r="GO420" s="214" t="s">
        <v>501</v>
      </c>
      <c r="GP420" s="214" t="s">
        <v>70</v>
      </c>
      <c r="GQ420" s="214" t="s">
        <v>530</v>
      </c>
      <c r="GS420" s="321" t="s">
        <v>27462</v>
      </c>
      <c r="GT420" s="214" t="s">
        <v>34570</v>
      </c>
      <c r="GU420" s="214" t="s">
        <v>70</v>
      </c>
      <c r="GV420" s="214" t="s">
        <v>530</v>
      </c>
      <c r="GX420" s="214" t="s">
        <v>27463</v>
      </c>
      <c r="GY420" s="214" t="s">
        <v>148</v>
      </c>
      <c r="GZ420" s="214" t="s">
        <v>70</v>
      </c>
      <c r="HA420" s="214" t="s">
        <v>530</v>
      </c>
      <c r="HC420" s="214" t="s">
        <v>27464</v>
      </c>
      <c r="HD420" s="214" t="s">
        <v>34571</v>
      </c>
      <c r="HE420" s="214" t="s">
        <v>70</v>
      </c>
      <c r="HF420" s="214" t="s">
        <v>530</v>
      </c>
      <c r="HH420" s="214" t="s">
        <v>27465</v>
      </c>
      <c r="HI420" s="214" t="s">
        <v>34555</v>
      </c>
      <c r="HJ420" s="214" t="s">
        <v>70</v>
      </c>
      <c r="HK420" s="214" t="s">
        <v>530</v>
      </c>
      <c r="HM420" s="214" t="s">
        <v>27466</v>
      </c>
      <c r="HN420" s="214" t="s">
        <v>148</v>
      </c>
      <c r="HO420" s="214" t="s">
        <v>70</v>
      </c>
      <c r="HP420" s="214" t="s">
        <v>530</v>
      </c>
      <c r="HR420" s="22" t="s">
        <v>27467</v>
      </c>
      <c r="HS420" s="22" t="s">
        <v>146</v>
      </c>
      <c r="HT420" s="22" t="s">
        <v>70</v>
      </c>
      <c r="HU420" s="214" t="s">
        <v>530</v>
      </c>
      <c r="HW420" s="22" t="s">
        <v>27468</v>
      </c>
      <c r="HX420" s="22" t="s">
        <v>165</v>
      </c>
      <c r="HY420" s="22" t="s">
        <v>70</v>
      </c>
      <c r="HZ420" s="214" t="s">
        <v>530</v>
      </c>
      <c r="IB420" s="22" t="s">
        <v>27469</v>
      </c>
      <c r="IC420" s="22" t="s">
        <v>529</v>
      </c>
      <c r="ID420" s="22" t="s">
        <v>70</v>
      </c>
      <c r="IE420" s="214" t="s">
        <v>530</v>
      </c>
      <c r="IG420" s="22" t="s">
        <v>27470</v>
      </c>
      <c r="IH420" s="22" t="s">
        <v>52</v>
      </c>
      <c r="II420" s="22" t="s">
        <v>70</v>
      </c>
      <c r="IJ420" s="214" t="s">
        <v>530</v>
      </c>
      <c r="IL420" s="22" t="s">
        <v>27471</v>
      </c>
      <c r="IM420" s="22" t="s">
        <v>145</v>
      </c>
      <c r="IN420" s="22" t="s">
        <v>70</v>
      </c>
      <c r="IO420" s="214" t="s">
        <v>530</v>
      </c>
      <c r="IQ420" s="236" t="s">
        <v>27472</v>
      </c>
      <c r="IR420" s="236" t="s">
        <v>145</v>
      </c>
      <c r="IS420" s="236" t="s">
        <v>74</v>
      </c>
      <c r="IT420" s="236" t="s">
        <v>841</v>
      </c>
      <c r="IV420" s="236" t="s">
        <v>27473</v>
      </c>
      <c r="IW420" s="236" t="s">
        <v>145</v>
      </c>
      <c r="IX420" s="236" t="s">
        <v>74</v>
      </c>
      <c r="IY420" s="236" t="s">
        <v>841</v>
      </c>
      <c r="JA420" s="236" t="s">
        <v>27474</v>
      </c>
      <c r="JB420" s="236" t="s">
        <v>145</v>
      </c>
      <c r="JC420" s="236" t="s">
        <v>74</v>
      </c>
      <c r="JD420" s="236" t="s">
        <v>841</v>
      </c>
      <c r="JF420" s="236" t="s">
        <v>27475</v>
      </c>
      <c r="JG420" s="236" t="s">
        <v>145</v>
      </c>
      <c r="JH420" s="236" t="s">
        <v>74</v>
      </c>
      <c r="JI420" s="236" t="s">
        <v>841</v>
      </c>
      <c r="JK420" s="236" t="s">
        <v>27476</v>
      </c>
      <c r="JL420" s="236" t="s">
        <v>145</v>
      </c>
      <c r="JM420" s="236" t="s">
        <v>74</v>
      </c>
      <c r="JN420" s="236" t="s">
        <v>841</v>
      </c>
      <c r="JP420" s="236" t="s">
        <v>27477</v>
      </c>
      <c r="JQ420" s="236" t="s">
        <v>145</v>
      </c>
      <c r="JR420" s="236" t="s">
        <v>74</v>
      </c>
      <c r="JS420" s="236" t="s">
        <v>841</v>
      </c>
      <c r="JU420" s="294" t="s">
        <v>27478</v>
      </c>
      <c r="JV420" s="294" t="s">
        <v>52</v>
      </c>
      <c r="JW420" s="263" t="s">
        <v>70</v>
      </c>
      <c r="JX420" s="294" t="s">
        <v>1083</v>
      </c>
      <c r="JZ420" s="263" t="s">
        <v>27479</v>
      </c>
      <c r="KA420" s="263" t="s">
        <v>145</v>
      </c>
      <c r="KB420" s="263" t="s">
        <v>70</v>
      </c>
      <c r="KC420" s="263" t="s">
        <v>1083</v>
      </c>
      <c r="KE420" s="263" t="s">
        <v>27480</v>
      </c>
      <c r="KF420" s="263" t="s">
        <v>52</v>
      </c>
      <c r="KG420" s="263" t="s">
        <v>70</v>
      </c>
      <c r="KH420" s="263" t="s">
        <v>1083</v>
      </c>
      <c r="KJ420" s="263" t="s">
        <v>27481</v>
      </c>
      <c r="KK420" s="263" t="s">
        <v>52</v>
      </c>
      <c r="KL420" s="263" t="s">
        <v>74</v>
      </c>
      <c r="KM420" s="263" t="s">
        <v>34074</v>
      </c>
      <c r="KO420" s="214" t="s">
        <v>27482</v>
      </c>
      <c r="KP420" s="214" t="s">
        <v>145</v>
      </c>
      <c r="KQ420" s="214" t="s">
        <v>70</v>
      </c>
      <c r="KR420" s="214" t="s">
        <v>67</v>
      </c>
      <c r="KT420" s="22" t="s">
        <v>27483</v>
      </c>
      <c r="KU420" s="22" t="s">
        <v>145</v>
      </c>
      <c r="KV420" s="22" t="s">
        <v>70</v>
      </c>
      <c r="KW420" s="22" t="s">
        <v>67</v>
      </c>
      <c r="KY420" s="214" t="s">
        <v>27484</v>
      </c>
      <c r="KZ420" s="214" t="s">
        <v>52</v>
      </c>
      <c r="LA420" s="214" t="s">
        <v>74</v>
      </c>
      <c r="LB420" s="214" t="s">
        <v>67</v>
      </c>
      <c r="LD420" s="22" t="s">
        <v>27485</v>
      </c>
      <c r="LE420" s="22" t="s">
        <v>145</v>
      </c>
      <c r="LF420" s="22" t="s">
        <v>70</v>
      </c>
      <c r="LG420" s="22" t="s">
        <v>67</v>
      </c>
    </row>
    <row r="421" spans="1:319">
      <c r="A421" s="22" t="s">
        <v>27486</v>
      </c>
      <c r="B421" s="22" t="s">
        <v>145</v>
      </c>
      <c r="C421" s="22" t="s">
        <v>70</v>
      </c>
      <c r="D421" s="22" t="s">
        <v>67</v>
      </c>
      <c r="F421" s="96" t="s">
        <v>27487</v>
      </c>
      <c r="G421" s="22" t="s">
        <v>145</v>
      </c>
      <c r="H421" s="22" t="s">
        <v>70</v>
      </c>
      <c r="I421" s="22" t="s">
        <v>67</v>
      </c>
      <c r="K421" s="99" t="s">
        <v>27488</v>
      </c>
      <c r="L421" s="22" t="s">
        <v>145</v>
      </c>
      <c r="M421" s="22" t="s">
        <v>70</v>
      </c>
      <c r="N421" s="22" t="s">
        <v>67</v>
      </c>
      <c r="P421" s="230" t="s">
        <v>27489</v>
      </c>
      <c r="Q421" s="218" t="s">
        <v>145</v>
      </c>
      <c r="R421" s="218" t="s">
        <v>72</v>
      </c>
      <c r="S421" s="218" t="s">
        <v>34022</v>
      </c>
      <c r="U421" s="293" t="s">
        <v>27490</v>
      </c>
      <c r="V421" s="293" t="s">
        <v>145</v>
      </c>
      <c r="W421" s="293" t="s">
        <v>74</v>
      </c>
      <c r="X421" s="293" t="s">
        <v>656</v>
      </c>
      <c r="Z421" s="293" t="s">
        <v>27491</v>
      </c>
      <c r="AA421" s="293" t="s">
        <v>145</v>
      </c>
      <c r="AB421" s="293" t="s">
        <v>74</v>
      </c>
      <c r="AC421" s="293" t="s">
        <v>656</v>
      </c>
      <c r="AE421" s="293" t="s">
        <v>27492</v>
      </c>
      <c r="AF421" s="293" t="s">
        <v>145</v>
      </c>
      <c r="AG421" s="293" t="s">
        <v>74</v>
      </c>
      <c r="AH421" s="293" t="s">
        <v>656</v>
      </c>
      <c r="AJ421" s="293" t="s">
        <v>27493</v>
      </c>
      <c r="AK421" s="293" t="s">
        <v>145</v>
      </c>
      <c r="AL421" s="293" t="s">
        <v>74</v>
      </c>
      <c r="AM421" s="293" t="s">
        <v>656</v>
      </c>
      <c r="AO421" s="22" t="s">
        <v>27494</v>
      </c>
      <c r="AP421" s="22" t="s">
        <v>145</v>
      </c>
      <c r="AQ421" s="22" t="s">
        <v>70</v>
      </c>
      <c r="AR421" s="22" t="s">
        <v>67</v>
      </c>
      <c r="AT421" s="22" t="s">
        <v>27495</v>
      </c>
      <c r="AU421" s="22" t="s">
        <v>145</v>
      </c>
      <c r="AV421" s="22" t="s">
        <v>70</v>
      </c>
      <c r="AW421" s="22" t="s">
        <v>67</v>
      </c>
      <c r="AY421" s="22" t="s">
        <v>27496</v>
      </c>
      <c r="AZ421" s="22" t="s">
        <v>145</v>
      </c>
      <c r="BA421" s="22" t="s">
        <v>70</v>
      </c>
      <c r="BB421" s="22" t="s">
        <v>67</v>
      </c>
      <c r="BD421" s="22" t="s">
        <v>27497</v>
      </c>
      <c r="BE421" s="22" t="s">
        <v>145</v>
      </c>
      <c r="BF421" s="22" t="s">
        <v>70</v>
      </c>
      <c r="BG421" s="22" t="s">
        <v>67</v>
      </c>
      <c r="BI421" s="22" t="s">
        <v>27498</v>
      </c>
      <c r="BJ421" s="22" t="s">
        <v>145</v>
      </c>
      <c r="BK421" s="22" t="s">
        <v>70</v>
      </c>
      <c r="BL421" s="22" t="s">
        <v>67</v>
      </c>
      <c r="BN421" s="22" t="s">
        <v>27499</v>
      </c>
      <c r="BO421" s="22" t="s">
        <v>145</v>
      </c>
      <c r="BP421" s="22" t="s">
        <v>70</v>
      </c>
      <c r="BQ421" s="22" t="s">
        <v>67</v>
      </c>
      <c r="BS421" s="22" t="s">
        <v>27500</v>
      </c>
      <c r="BT421" s="22" t="s">
        <v>145</v>
      </c>
      <c r="BU421" s="22" t="s">
        <v>70</v>
      </c>
      <c r="BV421" s="214" t="s">
        <v>530</v>
      </c>
      <c r="BX421" s="22" t="s">
        <v>27501</v>
      </c>
      <c r="BY421" s="22" t="s">
        <v>145</v>
      </c>
      <c r="BZ421" s="22" t="s">
        <v>70</v>
      </c>
      <c r="CA421" s="214" t="s">
        <v>530</v>
      </c>
      <c r="CC421" s="214" t="s">
        <v>27502</v>
      </c>
      <c r="CD421" s="214" t="s">
        <v>484</v>
      </c>
      <c r="CE421" s="214" t="s">
        <v>70</v>
      </c>
      <c r="CF421" s="214" t="s">
        <v>530</v>
      </c>
      <c r="CH421" s="214" t="s">
        <v>27503</v>
      </c>
      <c r="CI421" s="214" t="s">
        <v>34565</v>
      </c>
      <c r="CJ421" s="214" t="s">
        <v>70</v>
      </c>
      <c r="CK421" s="214" t="s">
        <v>530</v>
      </c>
      <c r="CM421" s="214" t="s">
        <v>27504</v>
      </c>
      <c r="CN421" s="214" t="s">
        <v>85</v>
      </c>
      <c r="CO421" s="214" t="s">
        <v>70</v>
      </c>
      <c r="CP421" s="214" t="s">
        <v>530</v>
      </c>
      <c r="CR421" s="214" t="s">
        <v>27505</v>
      </c>
      <c r="CS421" s="214" t="s">
        <v>146</v>
      </c>
      <c r="CT421" s="214" t="s">
        <v>70</v>
      </c>
      <c r="CU421" s="214" t="s">
        <v>530</v>
      </c>
      <c r="CW421" s="214" t="s">
        <v>27506</v>
      </c>
      <c r="CX421" s="214" t="s">
        <v>146</v>
      </c>
      <c r="CY421" s="214" t="s">
        <v>70</v>
      </c>
      <c r="CZ421" s="214" t="s">
        <v>530</v>
      </c>
      <c r="DB421" s="214" t="s">
        <v>27507</v>
      </c>
      <c r="DC421" s="214" t="s">
        <v>52</v>
      </c>
      <c r="DD421" s="214" t="s">
        <v>70</v>
      </c>
      <c r="DE421" s="214" t="s">
        <v>530</v>
      </c>
      <c r="DG421" s="214" t="s">
        <v>27508</v>
      </c>
      <c r="DH421" s="214" t="s">
        <v>484</v>
      </c>
      <c r="DI421" s="214" t="s">
        <v>70</v>
      </c>
      <c r="DJ421" s="214" t="s">
        <v>530</v>
      </c>
      <c r="DL421" s="214" t="s">
        <v>27509</v>
      </c>
      <c r="DM421" s="214" t="s">
        <v>163</v>
      </c>
      <c r="DN421" s="214" t="s">
        <v>70</v>
      </c>
      <c r="DO421" s="214" t="s">
        <v>530</v>
      </c>
      <c r="DQ421" s="214" t="s">
        <v>27510</v>
      </c>
      <c r="DR421" s="214" t="s">
        <v>34540</v>
      </c>
      <c r="DS421" s="214" t="s">
        <v>70</v>
      </c>
      <c r="DT421" s="214" t="s">
        <v>530</v>
      </c>
      <c r="DV421" s="214" t="s">
        <v>27511</v>
      </c>
      <c r="DW421" s="214" t="s">
        <v>52</v>
      </c>
      <c r="DX421" s="214" t="s">
        <v>70</v>
      </c>
      <c r="DY421" s="214" t="s">
        <v>530</v>
      </c>
      <c r="EA421" s="214" t="s">
        <v>27512</v>
      </c>
      <c r="EB421" s="214" t="s">
        <v>484</v>
      </c>
      <c r="EC421" s="214" t="s">
        <v>70</v>
      </c>
      <c r="ED421" s="214" t="s">
        <v>530</v>
      </c>
      <c r="EF421" s="214" t="s">
        <v>27513</v>
      </c>
      <c r="EG421" s="214" t="s">
        <v>492</v>
      </c>
      <c r="EH421" s="214" t="s">
        <v>70</v>
      </c>
      <c r="EI421" s="214" t="s">
        <v>530</v>
      </c>
      <c r="EK421" s="214" t="s">
        <v>27514</v>
      </c>
      <c r="EL421" s="214" t="s">
        <v>484</v>
      </c>
      <c r="EM421" s="214" t="s">
        <v>70</v>
      </c>
      <c r="EN421" s="214" t="s">
        <v>530</v>
      </c>
      <c r="EP421" s="214" t="s">
        <v>27515</v>
      </c>
      <c r="EQ421" s="214" t="s">
        <v>34558</v>
      </c>
      <c r="ER421" s="214" t="s">
        <v>70</v>
      </c>
      <c r="ES421" s="214" t="s">
        <v>530</v>
      </c>
      <c r="EU421" s="214" t="s">
        <v>27516</v>
      </c>
      <c r="EV421" s="214" t="s">
        <v>484</v>
      </c>
      <c r="EW421" s="214" t="s">
        <v>70</v>
      </c>
      <c r="EX421" s="214" t="s">
        <v>530</v>
      </c>
      <c r="EZ421" s="214" t="s">
        <v>27517</v>
      </c>
      <c r="FA421" s="214" t="s">
        <v>916</v>
      </c>
      <c r="FB421" s="214" t="s">
        <v>70</v>
      </c>
      <c r="FC421" s="214" t="s">
        <v>530</v>
      </c>
      <c r="FE421" s="214" t="s">
        <v>27518</v>
      </c>
      <c r="FF421" s="214" t="s">
        <v>88</v>
      </c>
      <c r="FG421" s="214" t="s">
        <v>70</v>
      </c>
      <c r="FH421" s="214" t="s">
        <v>530</v>
      </c>
      <c r="FJ421" s="321" t="s">
        <v>27519</v>
      </c>
      <c r="FK421" s="214" t="s">
        <v>599</v>
      </c>
      <c r="FL421" s="214" t="s">
        <v>70</v>
      </c>
      <c r="FM421" s="214" t="s">
        <v>530</v>
      </c>
      <c r="FO421" s="321" t="s">
        <v>27520</v>
      </c>
      <c r="FP421" s="214" t="s">
        <v>34550</v>
      </c>
      <c r="FQ421" s="214" t="s">
        <v>70</v>
      </c>
      <c r="FR421" s="214" t="s">
        <v>530</v>
      </c>
      <c r="FT421" s="321" t="s">
        <v>27521</v>
      </c>
      <c r="FU421" s="214" t="s">
        <v>481</v>
      </c>
      <c r="FV421" s="214" t="s">
        <v>70</v>
      </c>
      <c r="FW421" s="214" t="s">
        <v>530</v>
      </c>
      <c r="FY421" s="321" t="s">
        <v>27522</v>
      </c>
      <c r="FZ421" s="214" t="s">
        <v>52</v>
      </c>
      <c r="GA421" s="214" t="s">
        <v>70</v>
      </c>
      <c r="GB421" s="214" t="s">
        <v>530</v>
      </c>
      <c r="GD421" s="321" t="s">
        <v>27523</v>
      </c>
      <c r="GE421" s="214" t="s">
        <v>52</v>
      </c>
      <c r="GF421" s="214" t="s">
        <v>70</v>
      </c>
      <c r="GG421" s="214" t="s">
        <v>530</v>
      </c>
      <c r="GI421" s="321" t="s">
        <v>27524</v>
      </c>
      <c r="GJ421" s="214" t="s">
        <v>518</v>
      </c>
      <c r="GK421" s="214" t="s">
        <v>70</v>
      </c>
      <c r="GL421" s="214" t="s">
        <v>530</v>
      </c>
      <c r="GN421" s="321" t="s">
        <v>27525</v>
      </c>
      <c r="GO421" s="214" t="s">
        <v>488</v>
      </c>
      <c r="GP421" s="214" t="s">
        <v>70</v>
      </c>
      <c r="GQ421" s="214" t="s">
        <v>530</v>
      </c>
      <c r="GS421" s="321" t="s">
        <v>27526</v>
      </c>
      <c r="GT421" s="214" t="s">
        <v>93</v>
      </c>
      <c r="GU421" s="214" t="s">
        <v>70</v>
      </c>
      <c r="GV421" s="214" t="s">
        <v>530</v>
      </c>
      <c r="GX421" s="214" t="s">
        <v>27527</v>
      </c>
      <c r="GY421" s="214" t="s">
        <v>484</v>
      </c>
      <c r="GZ421" s="214" t="s">
        <v>70</v>
      </c>
      <c r="HA421" s="214" t="s">
        <v>530</v>
      </c>
      <c r="HC421" s="214" t="s">
        <v>27528</v>
      </c>
      <c r="HD421" s="214" t="s">
        <v>502</v>
      </c>
      <c r="HE421" s="214" t="s">
        <v>70</v>
      </c>
      <c r="HF421" s="214" t="s">
        <v>530</v>
      </c>
      <c r="HH421" s="214" t="s">
        <v>27529</v>
      </c>
      <c r="HI421" s="214" t="s">
        <v>910</v>
      </c>
      <c r="HJ421" s="214" t="s">
        <v>70</v>
      </c>
      <c r="HK421" s="214" t="s">
        <v>530</v>
      </c>
      <c r="HM421" s="214" t="s">
        <v>27530</v>
      </c>
      <c r="HN421" s="214" t="s">
        <v>34589</v>
      </c>
      <c r="HO421" s="214" t="s">
        <v>70</v>
      </c>
      <c r="HP421" s="214" t="s">
        <v>530</v>
      </c>
      <c r="HR421" s="22" t="s">
        <v>27531</v>
      </c>
      <c r="HS421" s="22" t="s">
        <v>34547</v>
      </c>
      <c r="HT421" s="22" t="s">
        <v>70</v>
      </c>
      <c r="HU421" s="214" t="s">
        <v>530</v>
      </c>
      <c r="HW421" s="22" t="s">
        <v>27532</v>
      </c>
      <c r="HX421" s="22" t="s">
        <v>165</v>
      </c>
      <c r="HY421" s="22" t="s">
        <v>70</v>
      </c>
      <c r="HZ421" s="214" t="s">
        <v>530</v>
      </c>
      <c r="IB421" s="22" t="s">
        <v>27533</v>
      </c>
      <c r="IC421" s="22" t="s">
        <v>34542</v>
      </c>
      <c r="ID421" s="22" t="s">
        <v>70</v>
      </c>
      <c r="IE421" s="214" t="s">
        <v>530</v>
      </c>
      <c r="IG421" s="22" t="s">
        <v>27534</v>
      </c>
      <c r="IH421" s="22" t="s">
        <v>52</v>
      </c>
      <c r="II421" s="22" t="s">
        <v>70</v>
      </c>
      <c r="IJ421" s="214" t="s">
        <v>530</v>
      </c>
      <c r="IL421" s="22" t="s">
        <v>27535</v>
      </c>
      <c r="IM421" s="22" t="s">
        <v>145</v>
      </c>
      <c r="IN421" s="22" t="s">
        <v>70</v>
      </c>
      <c r="IO421" s="214" t="s">
        <v>530</v>
      </c>
      <c r="IQ421" s="236" t="s">
        <v>27536</v>
      </c>
      <c r="IR421" s="236" t="s">
        <v>145</v>
      </c>
      <c r="IS421" s="236" t="s">
        <v>74</v>
      </c>
      <c r="IT421" s="236" t="s">
        <v>841</v>
      </c>
      <c r="IV421" s="236" t="s">
        <v>27537</v>
      </c>
      <c r="IW421" s="236" t="s">
        <v>145</v>
      </c>
      <c r="IX421" s="236" t="s">
        <v>74</v>
      </c>
      <c r="IY421" s="236" t="s">
        <v>841</v>
      </c>
      <c r="JA421" s="236" t="s">
        <v>27538</v>
      </c>
      <c r="JB421" s="236" t="s">
        <v>145</v>
      </c>
      <c r="JC421" s="236" t="s">
        <v>74</v>
      </c>
      <c r="JD421" s="236" t="s">
        <v>841</v>
      </c>
      <c r="JF421" s="236" t="s">
        <v>27539</v>
      </c>
      <c r="JG421" s="236" t="s">
        <v>145</v>
      </c>
      <c r="JH421" s="236" t="s">
        <v>74</v>
      </c>
      <c r="JI421" s="236" t="s">
        <v>841</v>
      </c>
      <c r="JK421" s="236" t="s">
        <v>27540</v>
      </c>
      <c r="JL421" s="236" t="s">
        <v>145</v>
      </c>
      <c r="JM421" s="236" t="s">
        <v>74</v>
      </c>
      <c r="JN421" s="236" t="s">
        <v>841</v>
      </c>
      <c r="JP421" s="236" t="s">
        <v>27541</v>
      </c>
      <c r="JQ421" s="236" t="s">
        <v>145</v>
      </c>
      <c r="JR421" s="236" t="s">
        <v>74</v>
      </c>
      <c r="JS421" s="236" t="s">
        <v>841</v>
      </c>
      <c r="JU421" s="294" t="s">
        <v>27542</v>
      </c>
      <c r="JV421" s="294" t="s">
        <v>52</v>
      </c>
      <c r="JW421" s="263" t="s">
        <v>70</v>
      </c>
      <c r="JX421" s="294" t="s">
        <v>1083</v>
      </c>
      <c r="JZ421" s="263" t="s">
        <v>27543</v>
      </c>
      <c r="KA421" s="263" t="s">
        <v>145</v>
      </c>
      <c r="KB421" s="263" t="s">
        <v>70</v>
      </c>
      <c r="KC421" s="263" t="s">
        <v>1083</v>
      </c>
      <c r="KE421" s="263" t="s">
        <v>27544</v>
      </c>
      <c r="KF421" s="263" t="s">
        <v>52</v>
      </c>
      <c r="KG421" s="263" t="s">
        <v>70</v>
      </c>
      <c r="KH421" s="263" t="s">
        <v>1083</v>
      </c>
      <c r="KJ421" s="263" t="s">
        <v>27545</v>
      </c>
      <c r="KK421" s="263" t="s">
        <v>52</v>
      </c>
      <c r="KL421" s="263" t="s">
        <v>74</v>
      </c>
      <c r="KM421" s="263" t="s">
        <v>34074</v>
      </c>
      <c r="KO421" s="214" t="s">
        <v>27546</v>
      </c>
      <c r="KP421" s="214" t="s">
        <v>145</v>
      </c>
      <c r="KQ421" s="214" t="s">
        <v>70</v>
      </c>
      <c r="KR421" s="214" t="s">
        <v>67</v>
      </c>
      <c r="KT421" s="22" t="s">
        <v>27547</v>
      </c>
      <c r="KU421" s="22" t="s">
        <v>145</v>
      </c>
      <c r="KV421" s="22" t="s">
        <v>70</v>
      </c>
      <c r="KW421" s="22" t="s">
        <v>67</v>
      </c>
      <c r="KY421" s="214" t="s">
        <v>27548</v>
      </c>
      <c r="KZ421" s="214" t="s">
        <v>52</v>
      </c>
      <c r="LA421" s="214" t="s">
        <v>74</v>
      </c>
      <c r="LB421" s="214" t="s">
        <v>67</v>
      </c>
      <c r="LD421" s="22" t="s">
        <v>27549</v>
      </c>
      <c r="LE421" s="22" t="s">
        <v>145</v>
      </c>
      <c r="LF421" s="22" t="s">
        <v>70</v>
      </c>
      <c r="LG421" s="22" t="s">
        <v>67</v>
      </c>
    </row>
    <row r="422" spans="1:319">
      <c r="A422" s="22" t="s">
        <v>27550</v>
      </c>
      <c r="B422" s="22" t="s">
        <v>145</v>
      </c>
      <c r="C422" s="22" t="s">
        <v>70</v>
      </c>
      <c r="D422" s="22" t="s">
        <v>67</v>
      </c>
      <c r="F422" s="96" t="s">
        <v>27551</v>
      </c>
      <c r="G422" s="22" t="s">
        <v>145</v>
      </c>
      <c r="H422" s="22" t="s">
        <v>70</v>
      </c>
      <c r="I422" s="22" t="s">
        <v>67</v>
      </c>
      <c r="K422" s="99" t="s">
        <v>27552</v>
      </c>
      <c r="L422" s="22" t="s">
        <v>145</v>
      </c>
      <c r="M422" s="22" t="s">
        <v>70</v>
      </c>
      <c r="N422" s="22" t="s">
        <v>67</v>
      </c>
      <c r="P422" s="230" t="s">
        <v>27553</v>
      </c>
      <c r="Q422" s="218" t="s">
        <v>145</v>
      </c>
      <c r="R422" s="218" t="s">
        <v>72</v>
      </c>
      <c r="S422" s="218" t="s">
        <v>34023</v>
      </c>
      <c r="U422" s="293" t="s">
        <v>27554</v>
      </c>
      <c r="V422" s="293" t="s">
        <v>145</v>
      </c>
      <c r="W422" s="293" t="s">
        <v>74</v>
      </c>
      <c r="X422" s="293" t="s">
        <v>656</v>
      </c>
      <c r="Z422" s="293" t="s">
        <v>27555</v>
      </c>
      <c r="AA422" s="293" t="s">
        <v>145</v>
      </c>
      <c r="AB422" s="293" t="s">
        <v>74</v>
      </c>
      <c r="AC422" s="293" t="s">
        <v>656</v>
      </c>
      <c r="AE422" s="293" t="s">
        <v>27556</v>
      </c>
      <c r="AF422" s="293" t="s">
        <v>145</v>
      </c>
      <c r="AG422" s="293" t="s">
        <v>74</v>
      </c>
      <c r="AH422" s="293" t="s">
        <v>656</v>
      </c>
      <c r="AJ422" s="293" t="s">
        <v>27557</v>
      </c>
      <c r="AK422" s="293" t="s">
        <v>145</v>
      </c>
      <c r="AL422" s="293" t="s">
        <v>74</v>
      </c>
      <c r="AM422" s="293" t="s">
        <v>656</v>
      </c>
      <c r="AO422" s="22" t="s">
        <v>27558</v>
      </c>
      <c r="AP422" s="22" t="s">
        <v>145</v>
      </c>
      <c r="AQ422" s="22" t="s">
        <v>70</v>
      </c>
      <c r="AR422" s="22" t="s">
        <v>67</v>
      </c>
      <c r="AT422" s="22" t="s">
        <v>27559</v>
      </c>
      <c r="AU422" s="22" t="s">
        <v>145</v>
      </c>
      <c r="AV422" s="22" t="s">
        <v>70</v>
      </c>
      <c r="AW422" s="22" t="s">
        <v>67</v>
      </c>
      <c r="AY422" s="22" t="s">
        <v>27560</v>
      </c>
      <c r="AZ422" s="22" t="s">
        <v>145</v>
      </c>
      <c r="BA422" s="22" t="s">
        <v>70</v>
      </c>
      <c r="BB422" s="22" t="s">
        <v>67</v>
      </c>
      <c r="BD422" s="22" t="s">
        <v>27561</v>
      </c>
      <c r="BE422" s="22" t="s">
        <v>145</v>
      </c>
      <c r="BF422" s="22" t="s">
        <v>70</v>
      </c>
      <c r="BG422" s="22" t="s">
        <v>67</v>
      </c>
      <c r="BI422" s="22" t="s">
        <v>27562</v>
      </c>
      <c r="BJ422" s="22" t="s">
        <v>145</v>
      </c>
      <c r="BK422" s="22" t="s">
        <v>70</v>
      </c>
      <c r="BL422" s="22" t="s">
        <v>67</v>
      </c>
      <c r="BN422" s="22" t="s">
        <v>27563</v>
      </c>
      <c r="BO422" s="22" t="s">
        <v>145</v>
      </c>
      <c r="BP422" s="22" t="s">
        <v>70</v>
      </c>
      <c r="BQ422" s="22" t="s">
        <v>67</v>
      </c>
      <c r="BS422" s="22" t="s">
        <v>27564</v>
      </c>
      <c r="BT422" s="22" t="s">
        <v>145</v>
      </c>
      <c r="BU422" s="22" t="s">
        <v>70</v>
      </c>
      <c r="BV422" s="214" t="s">
        <v>530</v>
      </c>
      <c r="BX422" s="22" t="s">
        <v>27565</v>
      </c>
      <c r="BY422" s="22" t="s">
        <v>145</v>
      </c>
      <c r="BZ422" s="22" t="s">
        <v>70</v>
      </c>
      <c r="CA422" s="214" t="s">
        <v>530</v>
      </c>
      <c r="CC422" s="214" t="s">
        <v>27566</v>
      </c>
      <c r="CD422" s="214" t="s">
        <v>905</v>
      </c>
      <c r="CE422" s="214" t="s">
        <v>70</v>
      </c>
      <c r="CF422" s="214" t="s">
        <v>530</v>
      </c>
      <c r="CH422" s="214" t="s">
        <v>27567</v>
      </c>
      <c r="CI422" s="214" t="s">
        <v>148</v>
      </c>
      <c r="CJ422" s="214" t="s">
        <v>70</v>
      </c>
      <c r="CK422" s="214" t="s">
        <v>530</v>
      </c>
      <c r="CM422" s="214" t="s">
        <v>27568</v>
      </c>
      <c r="CN422" s="214" t="s">
        <v>485</v>
      </c>
      <c r="CO422" s="214" t="s">
        <v>70</v>
      </c>
      <c r="CP422" s="214" t="s">
        <v>530</v>
      </c>
      <c r="CR422" s="214" t="s">
        <v>27569</v>
      </c>
      <c r="CS422" s="214" t="s">
        <v>85</v>
      </c>
      <c r="CT422" s="214" t="s">
        <v>70</v>
      </c>
      <c r="CU422" s="214" t="s">
        <v>530</v>
      </c>
      <c r="CW422" s="214" t="s">
        <v>27570</v>
      </c>
      <c r="CX422" s="214" t="s">
        <v>85</v>
      </c>
      <c r="CY422" s="214" t="s">
        <v>70</v>
      </c>
      <c r="CZ422" s="214" t="s">
        <v>530</v>
      </c>
      <c r="DB422" s="214" t="s">
        <v>27571</v>
      </c>
      <c r="DC422" s="214" t="s">
        <v>52</v>
      </c>
      <c r="DD422" s="214" t="s">
        <v>70</v>
      </c>
      <c r="DE422" s="214" t="s">
        <v>530</v>
      </c>
      <c r="DG422" s="214" t="s">
        <v>27572</v>
      </c>
      <c r="DH422" s="214" t="s">
        <v>86</v>
      </c>
      <c r="DI422" s="214" t="s">
        <v>70</v>
      </c>
      <c r="DJ422" s="214" t="s">
        <v>530</v>
      </c>
      <c r="DL422" s="214" t="s">
        <v>27573</v>
      </c>
      <c r="DM422" s="214" t="s">
        <v>929</v>
      </c>
      <c r="DN422" s="214" t="s">
        <v>70</v>
      </c>
      <c r="DO422" s="214" t="s">
        <v>530</v>
      </c>
      <c r="DQ422" s="214" t="s">
        <v>27574</v>
      </c>
      <c r="DR422" s="214" t="s">
        <v>52</v>
      </c>
      <c r="DS422" s="214" t="s">
        <v>70</v>
      </c>
      <c r="DT422" s="214" t="s">
        <v>530</v>
      </c>
      <c r="DV422" s="214" t="s">
        <v>27575</v>
      </c>
      <c r="DW422" s="214" t="s">
        <v>90</v>
      </c>
      <c r="DX422" s="214" t="s">
        <v>70</v>
      </c>
      <c r="DY422" s="214" t="s">
        <v>530</v>
      </c>
      <c r="EA422" s="214" t="s">
        <v>27576</v>
      </c>
      <c r="EB422" s="214" t="s">
        <v>942</v>
      </c>
      <c r="EC422" s="214" t="s">
        <v>70</v>
      </c>
      <c r="ED422" s="214" t="s">
        <v>530</v>
      </c>
      <c r="EF422" s="214" t="s">
        <v>27577</v>
      </c>
      <c r="EG422" s="214" t="s">
        <v>88</v>
      </c>
      <c r="EH422" s="214" t="s">
        <v>70</v>
      </c>
      <c r="EI422" s="214" t="s">
        <v>530</v>
      </c>
      <c r="EK422" s="214" t="s">
        <v>27578</v>
      </c>
      <c r="EL422" s="214" t="s">
        <v>146</v>
      </c>
      <c r="EM422" s="214" t="s">
        <v>70</v>
      </c>
      <c r="EN422" s="214" t="s">
        <v>530</v>
      </c>
      <c r="EP422" s="214" t="s">
        <v>27579</v>
      </c>
      <c r="EQ422" s="214" t="s">
        <v>87</v>
      </c>
      <c r="ER422" s="214" t="s">
        <v>70</v>
      </c>
      <c r="ES422" s="214" t="s">
        <v>530</v>
      </c>
      <c r="EU422" s="214" t="s">
        <v>27580</v>
      </c>
      <c r="EV422" s="214" t="s">
        <v>955</v>
      </c>
      <c r="EW422" s="214" t="s">
        <v>70</v>
      </c>
      <c r="EX422" s="214" t="s">
        <v>530</v>
      </c>
      <c r="EZ422" s="214" t="s">
        <v>27581</v>
      </c>
      <c r="FA422" s="214" t="s">
        <v>468</v>
      </c>
      <c r="FB422" s="214" t="s">
        <v>70</v>
      </c>
      <c r="FC422" s="214" t="s">
        <v>530</v>
      </c>
      <c r="FE422" s="214" t="s">
        <v>27582</v>
      </c>
      <c r="FF422" s="214" t="s">
        <v>34593</v>
      </c>
      <c r="FG422" s="214" t="s">
        <v>70</v>
      </c>
      <c r="FH422" s="214" t="s">
        <v>530</v>
      </c>
      <c r="FJ422" s="321" t="s">
        <v>27583</v>
      </c>
      <c r="FK422" s="214" t="s">
        <v>164</v>
      </c>
      <c r="FL422" s="214" t="s">
        <v>70</v>
      </c>
      <c r="FM422" s="214" t="s">
        <v>530</v>
      </c>
      <c r="FO422" s="321" t="s">
        <v>27584</v>
      </c>
      <c r="FP422" s="214" t="s">
        <v>52</v>
      </c>
      <c r="FQ422" s="214" t="s">
        <v>70</v>
      </c>
      <c r="FR422" s="214" t="s">
        <v>530</v>
      </c>
      <c r="FT422" s="321" t="s">
        <v>27585</v>
      </c>
      <c r="FU422" s="214" t="s">
        <v>937</v>
      </c>
      <c r="FV422" s="214" t="s">
        <v>70</v>
      </c>
      <c r="FW422" s="214" t="s">
        <v>530</v>
      </c>
      <c r="FY422" s="321" t="s">
        <v>27586</v>
      </c>
      <c r="FZ422" s="214" t="s">
        <v>52</v>
      </c>
      <c r="GA422" s="214" t="s">
        <v>70</v>
      </c>
      <c r="GB422" s="214" t="s">
        <v>530</v>
      </c>
      <c r="GD422" s="321" t="s">
        <v>27587</v>
      </c>
      <c r="GE422" s="214" t="s">
        <v>88</v>
      </c>
      <c r="GF422" s="214" t="s">
        <v>70</v>
      </c>
      <c r="GG422" s="214" t="s">
        <v>530</v>
      </c>
      <c r="GI422" s="321" t="s">
        <v>27588</v>
      </c>
      <c r="GJ422" s="214" t="s">
        <v>87</v>
      </c>
      <c r="GK422" s="214" t="s">
        <v>70</v>
      </c>
      <c r="GL422" s="214" t="s">
        <v>530</v>
      </c>
      <c r="GN422" s="321" t="s">
        <v>27589</v>
      </c>
      <c r="GO422" s="214" t="s">
        <v>92</v>
      </c>
      <c r="GP422" s="214" t="s">
        <v>70</v>
      </c>
      <c r="GQ422" s="214" t="s">
        <v>530</v>
      </c>
      <c r="GS422" s="321" t="s">
        <v>27590</v>
      </c>
      <c r="GT422" s="214" t="s">
        <v>765</v>
      </c>
      <c r="GU422" s="214" t="s">
        <v>70</v>
      </c>
      <c r="GV422" s="214" t="s">
        <v>530</v>
      </c>
      <c r="GX422" s="214" t="s">
        <v>27591</v>
      </c>
      <c r="GY422" s="214" t="s">
        <v>148</v>
      </c>
      <c r="GZ422" s="214" t="s">
        <v>70</v>
      </c>
      <c r="HA422" s="214" t="s">
        <v>530</v>
      </c>
      <c r="HC422" s="214" t="s">
        <v>27592</v>
      </c>
      <c r="HD422" s="214" t="s">
        <v>529</v>
      </c>
      <c r="HE422" s="214" t="s">
        <v>70</v>
      </c>
      <c r="HF422" s="214" t="s">
        <v>530</v>
      </c>
      <c r="HH422" s="214" t="s">
        <v>27593</v>
      </c>
      <c r="HI422" s="214" t="s">
        <v>34604</v>
      </c>
      <c r="HJ422" s="214" t="s">
        <v>70</v>
      </c>
      <c r="HK422" s="214" t="s">
        <v>530</v>
      </c>
      <c r="HM422" s="214" t="s">
        <v>27594</v>
      </c>
      <c r="HN422" s="214" t="s">
        <v>468</v>
      </c>
      <c r="HO422" s="214" t="s">
        <v>70</v>
      </c>
      <c r="HP422" s="214" t="s">
        <v>530</v>
      </c>
      <c r="HR422" s="22" t="s">
        <v>27595</v>
      </c>
      <c r="HS422" s="22" t="s">
        <v>90</v>
      </c>
      <c r="HT422" s="22" t="s">
        <v>70</v>
      </c>
      <c r="HU422" s="214" t="s">
        <v>530</v>
      </c>
      <c r="HW422" s="22" t="s">
        <v>27596</v>
      </c>
      <c r="HX422" s="22" t="s">
        <v>165</v>
      </c>
      <c r="HY422" s="22" t="s">
        <v>70</v>
      </c>
      <c r="HZ422" s="214" t="s">
        <v>530</v>
      </c>
      <c r="IB422" s="22" t="s">
        <v>27597</v>
      </c>
      <c r="IC422" s="22" t="s">
        <v>93</v>
      </c>
      <c r="ID422" s="22" t="s">
        <v>70</v>
      </c>
      <c r="IE422" s="214" t="s">
        <v>530</v>
      </c>
      <c r="IG422" s="22" t="s">
        <v>27598</v>
      </c>
      <c r="IH422" s="22" t="s">
        <v>52</v>
      </c>
      <c r="II422" s="22" t="s">
        <v>70</v>
      </c>
      <c r="IJ422" s="214" t="s">
        <v>530</v>
      </c>
      <c r="IL422" s="22" t="s">
        <v>27599</v>
      </c>
      <c r="IM422" s="22" t="s">
        <v>145</v>
      </c>
      <c r="IN422" s="22" t="s">
        <v>70</v>
      </c>
      <c r="IO422" s="214" t="s">
        <v>530</v>
      </c>
      <c r="IQ422" s="236" t="s">
        <v>27600</v>
      </c>
      <c r="IR422" s="236" t="s">
        <v>145</v>
      </c>
      <c r="IS422" s="236" t="s">
        <v>74</v>
      </c>
      <c r="IT422" s="236" t="s">
        <v>841</v>
      </c>
      <c r="IV422" s="236" t="s">
        <v>27601</v>
      </c>
      <c r="IW422" s="236" t="s">
        <v>145</v>
      </c>
      <c r="IX422" s="236" t="s">
        <v>74</v>
      </c>
      <c r="IY422" s="236" t="s">
        <v>841</v>
      </c>
      <c r="JA422" s="236" t="s">
        <v>27602</v>
      </c>
      <c r="JB422" s="236" t="s">
        <v>145</v>
      </c>
      <c r="JC422" s="236" t="s">
        <v>74</v>
      </c>
      <c r="JD422" s="236" t="s">
        <v>841</v>
      </c>
      <c r="JF422" s="236" t="s">
        <v>27603</v>
      </c>
      <c r="JG422" s="236" t="s">
        <v>145</v>
      </c>
      <c r="JH422" s="236" t="s">
        <v>74</v>
      </c>
      <c r="JI422" s="236" t="s">
        <v>841</v>
      </c>
      <c r="JK422" s="236" t="s">
        <v>27604</v>
      </c>
      <c r="JL422" s="236" t="s">
        <v>145</v>
      </c>
      <c r="JM422" s="236" t="s">
        <v>74</v>
      </c>
      <c r="JN422" s="236" t="s">
        <v>841</v>
      </c>
      <c r="JP422" s="236" t="s">
        <v>27605</v>
      </c>
      <c r="JQ422" s="236" t="s">
        <v>145</v>
      </c>
      <c r="JR422" s="236" t="s">
        <v>74</v>
      </c>
      <c r="JS422" s="236" t="s">
        <v>841</v>
      </c>
      <c r="JU422" s="294" t="s">
        <v>27606</v>
      </c>
      <c r="JV422" s="294" t="s">
        <v>52</v>
      </c>
      <c r="JW422" s="263" t="s">
        <v>70</v>
      </c>
      <c r="JX422" s="294" t="s">
        <v>1083</v>
      </c>
      <c r="JZ422" s="263" t="s">
        <v>27607</v>
      </c>
      <c r="KA422" s="263" t="s">
        <v>145</v>
      </c>
      <c r="KB422" s="263" t="s">
        <v>70</v>
      </c>
      <c r="KC422" s="263" t="s">
        <v>1083</v>
      </c>
      <c r="KE422" s="263" t="s">
        <v>27608</v>
      </c>
      <c r="KF422" s="263" t="s">
        <v>52</v>
      </c>
      <c r="KG422" s="263" t="s">
        <v>70</v>
      </c>
      <c r="KH422" s="263" t="s">
        <v>1083</v>
      </c>
      <c r="KJ422" s="263" t="s">
        <v>27609</v>
      </c>
      <c r="KK422" s="263" t="s">
        <v>52</v>
      </c>
      <c r="KL422" s="263" t="s">
        <v>74</v>
      </c>
      <c r="KM422" s="263" t="s">
        <v>34074</v>
      </c>
      <c r="KO422" s="214" t="s">
        <v>27610</v>
      </c>
      <c r="KP422" s="214" t="s">
        <v>145</v>
      </c>
      <c r="KQ422" s="214" t="s">
        <v>70</v>
      </c>
      <c r="KR422" s="214" t="s">
        <v>67</v>
      </c>
      <c r="KT422" s="22" t="s">
        <v>27611</v>
      </c>
      <c r="KU422" s="22" t="s">
        <v>145</v>
      </c>
      <c r="KV422" s="22" t="s">
        <v>70</v>
      </c>
      <c r="KW422" s="22" t="s">
        <v>67</v>
      </c>
      <c r="KY422" s="214" t="s">
        <v>27612</v>
      </c>
      <c r="KZ422" s="214" t="s">
        <v>52</v>
      </c>
      <c r="LA422" s="214" t="s">
        <v>74</v>
      </c>
      <c r="LB422" s="214" t="s">
        <v>67</v>
      </c>
      <c r="LD422" s="22" t="s">
        <v>27613</v>
      </c>
      <c r="LE422" s="22" t="s">
        <v>145</v>
      </c>
      <c r="LF422" s="22" t="s">
        <v>70</v>
      </c>
      <c r="LG422" s="22" t="s">
        <v>67</v>
      </c>
    </row>
    <row r="423" spans="1:319">
      <c r="A423" s="22" t="s">
        <v>27614</v>
      </c>
      <c r="B423" s="22" t="s">
        <v>145</v>
      </c>
      <c r="C423" s="22" t="s">
        <v>70</v>
      </c>
      <c r="D423" s="22" t="s">
        <v>67</v>
      </c>
      <c r="F423" s="96" t="s">
        <v>27615</v>
      </c>
      <c r="G423" s="22" t="s">
        <v>145</v>
      </c>
      <c r="H423" s="22" t="s">
        <v>70</v>
      </c>
      <c r="I423" s="22" t="s">
        <v>67</v>
      </c>
      <c r="K423" s="99" t="s">
        <v>27616</v>
      </c>
      <c r="L423" s="22" t="s">
        <v>145</v>
      </c>
      <c r="M423" s="22" t="s">
        <v>70</v>
      </c>
      <c r="N423" s="22" t="s">
        <v>67</v>
      </c>
      <c r="P423" s="230" t="s">
        <v>27617</v>
      </c>
      <c r="Q423" s="218" t="s">
        <v>145</v>
      </c>
      <c r="R423" s="218" t="s">
        <v>72</v>
      </c>
      <c r="S423" s="218" t="s">
        <v>34024</v>
      </c>
      <c r="U423" s="293" t="s">
        <v>27618</v>
      </c>
      <c r="V423" s="293" t="s">
        <v>145</v>
      </c>
      <c r="W423" s="293" t="s">
        <v>74</v>
      </c>
      <c r="X423" s="293" t="s">
        <v>656</v>
      </c>
      <c r="Z423" s="293" t="s">
        <v>27619</v>
      </c>
      <c r="AA423" s="293" t="s">
        <v>145</v>
      </c>
      <c r="AB423" s="293" t="s">
        <v>74</v>
      </c>
      <c r="AC423" s="293" t="s">
        <v>656</v>
      </c>
      <c r="AE423" s="293" t="s">
        <v>27620</v>
      </c>
      <c r="AF423" s="293" t="s">
        <v>145</v>
      </c>
      <c r="AG423" s="293" t="s">
        <v>74</v>
      </c>
      <c r="AH423" s="293" t="s">
        <v>656</v>
      </c>
      <c r="AJ423" s="293" t="s">
        <v>27621</v>
      </c>
      <c r="AK423" s="293" t="s">
        <v>145</v>
      </c>
      <c r="AL423" s="293" t="s">
        <v>74</v>
      </c>
      <c r="AM423" s="293" t="s">
        <v>656</v>
      </c>
      <c r="AO423" s="22" t="s">
        <v>27622</v>
      </c>
      <c r="AP423" s="22" t="s">
        <v>145</v>
      </c>
      <c r="AQ423" s="22" t="s">
        <v>70</v>
      </c>
      <c r="AR423" s="22" t="s">
        <v>67</v>
      </c>
      <c r="AT423" s="22" t="s">
        <v>27623</v>
      </c>
      <c r="AU423" s="22" t="s">
        <v>145</v>
      </c>
      <c r="AV423" s="22" t="s">
        <v>70</v>
      </c>
      <c r="AW423" s="22" t="s">
        <v>67</v>
      </c>
      <c r="AY423" s="22" t="s">
        <v>27624</v>
      </c>
      <c r="AZ423" s="22" t="s">
        <v>145</v>
      </c>
      <c r="BA423" s="22" t="s">
        <v>70</v>
      </c>
      <c r="BB423" s="22" t="s">
        <v>67</v>
      </c>
      <c r="BD423" s="22" t="s">
        <v>27625</v>
      </c>
      <c r="BE423" s="22" t="s">
        <v>145</v>
      </c>
      <c r="BF423" s="22" t="s">
        <v>70</v>
      </c>
      <c r="BG423" s="22" t="s">
        <v>67</v>
      </c>
      <c r="BI423" s="22" t="s">
        <v>27626</v>
      </c>
      <c r="BJ423" s="22" t="s">
        <v>145</v>
      </c>
      <c r="BK423" s="22" t="s">
        <v>70</v>
      </c>
      <c r="BL423" s="22" t="s">
        <v>67</v>
      </c>
      <c r="BN423" s="22" t="s">
        <v>27627</v>
      </c>
      <c r="BO423" s="22" t="s">
        <v>145</v>
      </c>
      <c r="BP423" s="22" t="s">
        <v>70</v>
      </c>
      <c r="BQ423" s="22" t="s">
        <v>67</v>
      </c>
      <c r="BS423" s="22" t="s">
        <v>27628</v>
      </c>
      <c r="BT423" s="22" t="s">
        <v>145</v>
      </c>
      <c r="BU423" s="22" t="s">
        <v>70</v>
      </c>
      <c r="BV423" s="214" t="s">
        <v>530</v>
      </c>
      <c r="BX423" s="22" t="s">
        <v>27629</v>
      </c>
      <c r="BY423" s="22" t="s">
        <v>145</v>
      </c>
      <c r="BZ423" s="22" t="s">
        <v>70</v>
      </c>
      <c r="CA423" s="214" t="s">
        <v>530</v>
      </c>
      <c r="CC423" s="214" t="s">
        <v>27630</v>
      </c>
      <c r="CD423" s="214" t="s">
        <v>88</v>
      </c>
      <c r="CE423" s="214" t="s">
        <v>70</v>
      </c>
      <c r="CF423" s="214" t="s">
        <v>530</v>
      </c>
      <c r="CH423" s="214" t="s">
        <v>27631</v>
      </c>
      <c r="CI423" s="214" t="s">
        <v>491</v>
      </c>
      <c r="CJ423" s="214" t="s">
        <v>70</v>
      </c>
      <c r="CK423" s="214" t="s">
        <v>530</v>
      </c>
      <c r="CM423" s="214" t="s">
        <v>27632</v>
      </c>
      <c r="CN423" s="214" t="s">
        <v>493</v>
      </c>
      <c r="CO423" s="214" t="s">
        <v>70</v>
      </c>
      <c r="CP423" s="214" t="s">
        <v>530</v>
      </c>
      <c r="CR423" s="214" t="s">
        <v>27633</v>
      </c>
      <c r="CS423" s="214" t="s">
        <v>34641</v>
      </c>
      <c r="CT423" s="214" t="s">
        <v>70</v>
      </c>
      <c r="CU423" s="214" t="s">
        <v>530</v>
      </c>
      <c r="CW423" s="214" t="s">
        <v>27634</v>
      </c>
      <c r="CX423" s="214" t="s">
        <v>485</v>
      </c>
      <c r="CY423" s="214" t="s">
        <v>70</v>
      </c>
      <c r="CZ423" s="214" t="s">
        <v>530</v>
      </c>
      <c r="DB423" s="214" t="s">
        <v>27635</v>
      </c>
      <c r="DC423" s="214" t="s">
        <v>203</v>
      </c>
      <c r="DD423" s="214" t="s">
        <v>70</v>
      </c>
      <c r="DE423" s="214" t="s">
        <v>530</v>
      </c>
      <c r="DG423" s="214" t="s">
        <v>27636</v>
      </c>
      <c r="DH423" s="214" t="s">
        <v>146</v>
      </c>
      <c r="DI423" s="214" t="s">
        <v>70</v>
      </c>
      <c r="DJ423" s="214" t="s">
        <v>530</v>
      </c>
      <c r="DL423" s="214" t="s">
        <v>27637</v>
      </c>
      <c r="DM423" s="214" t="s">
        <v>146</v>
      </c>
      <c r="DN423" s="214" t="s">
        <v>70</v>
      </c>
      <c r="DO423" s="214" t="s">
        <v>530</v>
      </c>
      <c r="DQ423" s="214" t="s">
        <v>27638</v>
      </c>
      <c r="DR423" s="214" t="s">
        <v>34544</v>
      </c>
      <c r="DS423" s="214" t="s">
        <v>70</v>
      </c>
      <c r="DT423" s="214" t="s">
        <v>530</v>
      </c>
      <c r="DV423" s="214" t="s">
        <v>27639</v>
      </c>
      <c r="DW423" s="214" t="s">
        <v>145</v>
      </c>
      <c r="DX423" s="214" t="s">
        <v>70</v>
      </c>
      <c r="DY423" s="214" t="s">
        <v>530</v>
      </c>
      <c r="EA423" s="214" t="s">
        <v>27640</v>
      </c>
      <c r="EB423" s="214" t="s">
        <v>34516</v>
      </c>
      <c r="EC423" s="214" t="s">
        <v>70</v>
      </c>
      <c r="ED423" s="214" t="s">
        <v>530</v>
      </c>
      <c r="EF423" s="214" t="s">
        <v>27641</v>
      </c>
      <c r="EG423" s="214" t="s">
        <v>488</v>
      </c>
      <c r="EH423" s="214" t="s">
        <v>70</v>
      </c>
      <c r="EI423" s="214" t="s">
        <v>530</v>
      </c>
      <c r="EK423" s="214" t="s">
        <v>27642</v>
      </c>
      <c r="EL423" s="214" t="s">
        <v>93</v>
      </c>
      <c r="EM423" s="214" t="s">
        <v>70</v>
      </c>
      <c r="EN423" s="214" t="s">
        <v>530</v>
      </c>
      <c r="EP423" s="214" t="s">
        <v>27643</v>
      </c>
      <c r="EQ423" s="214" t="s">
        <v>34540</v>
      </c>
      <c r="ER423" s="214" t="s">
        <v>70</v>
      </c>
      <c r="ES423" s="214" t="s">
        <v>530</v>
      </c>
      <c r="EU423" s="214" t="s">
        <v>27644</v>
      </c>
      <c r="EV423" s="214" t="s">
        <v>487</v>
      </c>
      <c r="EW423" s="214" t="s">
        <v>70</v>
      </c>
      <c r="EX423" s="214" t="s">
        <v>530</v>
      </c>
      <c r="EZ423" s="214" t="s">
        <v>27645</v>
      </c>
      <c r="FA423" s="214" t="s">
        <v>146</v>
      </c>
      <c r="FB423" s="214" t="s">
        <v>70</v>
      </c>
      <c r="FC423" s="214" t="s">
        <v>530</v>
      </c>
      <c r="FE423" s="214" t="s">
        <v>27646</v>
      </c>
      <c r="FF423" s="214" t="s">
        <v>146</v>
      </c>
      <c r="FG423" s="214" t="s">
        <v>70</v>
      </c>
      <c r="FH423" s="214" t="s">
        <v>530</v>
      </c>
      <c r="FJ423" s="321" t="s">
        <v>27647</v>
      </c>
      <c r="FK423" s="214" t="s">
        <v>502</v>
      </c>
      <c r="FL423" s="214" t="s">
        <v>70</v>
      </c>
      <c r="FM423" s="214" t="s">
        <v>530</v>
      </c>
      <c r="FO423" s="321" t="s">
        <v>27648</v>
      </c>
      <c r="FP423" s="214" t="s">
        <v>203</v>
      </c>
      <c r="FQ423" s="214" t="s">
        <v>70</v>
      </c>
      <c r="FR423" s="214" t="s">
        <v>530</v>
      </c>
      <c r="FT423" s="321" t="s">
        <v>27649</v>
      </c>
      <c r="FU423" s="214" t="s">
        <v>34539</v>
      </c>
      <c r="FV423" s="214" t="s">
        <v>70</v>
      </c>
      <c r="FW423" s="214" t="s">
        <v>530</v>
      </c>
      <c r="FY423" s="321" t="s">
        <v>27650</v>
      </c>
      <c r="FZ423" s="214" t="s">
        <v>34562</v>
      </c>
      <c r="GA423" s="214" t="s">
        <v>70</v>
      </c>
      <c r="GB423" s="214" t="s">
        <v>530</v>
      </c>
      <c r="GD423" s="321" t="s">
        <v>27651</v>
      </c>
      <c r="GE423" s="214" t="s">
        <v>34226</v>
      </c>
      <c r="GF423" s="214" t="s">
        <v>70</v>
      </c>
      <c r="GG423" s="214" t="s">
        <v>530</v>
      </c>
      <c r="GI423" s="321" t="s">
        <v>27652</v>
      </c>
      <c r="GJ423" s="214" t="s">
        <v>52</v>
      </c>
      <c r="GK423" s="214" t="s">
        <v>70</v>
      </c>
      <c r="GL423" s="214" t="s">
        <v>530</v>
      </c>
      <c r="GN423" s="321" t="s">
        <v>27653</v>
      </c>
      <c r="GO423" s="214" t="s">
        <v>496</v>
      </c>
      <c r="GP423" s="214" t="s">
        <v>70</v>
      </c>
      <c r="GQ423" s="214" t="s">
        <v>530</v>
      </c>
      <c r="GS423" s="321" t="s">
        <v>27654</v>
      </c>
      <c r="GT423" s="214" t="s">
        <v>598</v>
      </c>
      <c r="GU423" s="214" t="s">
        <v>70</v>
      </c>
      <c r="GV423" s="214" t="s">
        <v>530</v>
      </c>
      <c r="GX423" s="214" t="s">
        <v>27655</v>
      </c>
      <c r="GY423" s="214" t="s">
        <v>599</v>
      </c>
      <c r="GZ423" s="214" t="s">
        <v>70</v>
      </c>
      <c r="HA423" s="214" t="s">
        <v>530</v>
      </c>
      <c r="HC423" s="214" t="s">
        <v>27656</v>
      </c>
      <c r="HD423" s="214" t="s">
        <v>103</v>
      </c>
      <c r="HE423" s="214" t="s">
        <v>70</v>
      </c>
      <c r="HF423" s="214" t="s">
        <v>530</v>
      </c>
      <c r="HH423" s="214" t="s">
        <v>27657</v>
      </c>
      <c r="HI423" s="214" t="s">
        <v>910</v>
      </c>
      <c r="HJ423" s="214" t="s">
        <v>70</v>
      </c>
      <c r="HK423" s="214" t="s">
        <v>530</v>
      </c>
      <c r="HM423" s="214" t="s">
        <v>27658</v>
      </c>
      <c r="HN423" s="214" t="s">
        <v>52</v>
      </c>
      <c r="HO423" s="214" t="s">
        <v>70</v>
      </c>
      <c r="HP423" s="214" t="s">
        <v>530</v>
      </c>
      <c r="HR423" s="22" t="s">
        <v>27659</v>
      </c>
      <c r="HS423" s="22" t="s">
        <v>305</v>
      </c>
      <c r="HT423" s="22" t="s">
        <v>70</v>
      </c>
      <c r="HU423" s="214" t="s">
        <v>530</v>
      </c>
      <c r="HW423" s="22" t="s">
        <v>27660</v>
      </c>
      <c r="HX423" s="22" t="s">
        <v>165</v>
      </c>
      <c r="HY423" s="22" t="s">
        <v>70</v>
      </c>
      <c r="HZ423" s="214" t="s">
        <v>530</v>
      </c>
      <c r="IB423" s="22" t="s">
        <v>27661</v>
      </c>
      <c r="IC423" s="22" t="s">
        <v>491</v>
      </c>
      <c r="ID423" s="22" t="s">
        <v>70</v>
      </c>
      <c r="IE423" s="214" t="s">
        <v>530</v>
      </c>
      <c r="IG423" s="22" t="s">
        <v>27662</v>
      </c>
      <c r="IH423" s="22" t="s">
        <v>52</v>
      </c>
      <c r="II423" s="22" t="s">
        <v>70</v>
      </c>
      <c r="IJ423" s="214" t="s">
        <v>530</v>
      </c>
      <c r="IL423" s="22" t="s">
        <v>27663</v>
      </c>
      <c r="IM423" s="22" t="s">
        <v>145</v>
      </c>
      <c r="IN423" s="22" t="s">
        <v>70</v>
      </c>
      <c r="IO423" s="214" t="s">
        <v>530</v>
      </c>
      <c r="IQ423" s="236" t="s">
        <v>27664</v>
      </c>
      <c r="IR423" s="236" t="s">
        <v>145</v>
      </c>
      <c r="IS423" s="236" t="s">
        <v>74</v>
      </c>
      <c r="IT423" s="236" t="s">
        <v>841</v>
      </c>
      <c r="IV423" s="236" t="s">
        <v>27665</v>
      </c>
      <c r="IW423" s="236" t="s">
        <v>145</v>
      </c>
      <c r="IX423" s="236" t="s">
        <v>74</v>
      </c>
      <c r="IY423" s="236" t="s">
        <v>841</v>
      </c>
      <c r="JA423" s="236" t="s">
        <v>27666</v>
      </c>
      <c r="JB423" s="236" t="s">
        <v>145</v>
      </c>
      <c r="JC423" s="236" t="s">
        <v>74</v>
      </c>
      <c r="JD423" s="236" t="s">
        <v>841</v>
      </c>
      <c r="JF423" s="236" t="s">
        <v>27667</v>
      </c>
      <c r="JG423" s="236" t="s">
        <v>145</v>
      </c>
      <c r="JH423" s="236" t="s">
        <v>74</v>
      </c>
      <c r="JI423" s="236" t="s">
        <v>841</v>
      </c>
      <c r="JK423" s="236" t="s">
        <v>27668</v>
      </c>
      <c r="JL423" s="236" t="s">
        <v>145</v>
      </c>
      <c r="JM423" s="236" t="s">
        <v>74</v>
      </c>
      <c r="JN423" s="236" t="s">
        <v>841</v>
      </c>
      <c r="JP423" s="236" t="s">
        <v>27669</v>
      </c>
      <c r="JQ423" s="236" t="s">
        <v>145</v>
      </c>
      <c r="JR423" s="236" t="s">
        <v>74</v>
      </c>
      <c r="JS423" s="236" t="s">
        <v>841</v>
      </c>
      <c r="JU423" s="294" t="s">
        <v>27670</v>
      </c>
      <c r="JV423" s="294" t="s">
        <v>52</v>
      </c>
      <c r="JW423" s="263" t="s">
        <v>70</v>
      </c>
      <c r="JX423" s="294" t="s">
        <v>1083</v>
      </c>
      <c r="JZ423" s="263" t="s">
        <v>27671</v>
      </c>
      <c r="KA423" s="263" t="s">
        <v>145</v>
      </c>
      <c r="KB423" s="263" t="s">
        <v>70</v>
      </c>
      <c r="KC423" s="263" t="s">
        <v>1083</v>
      </c>
      <c r="KE423" s="263" t="s">
        <v>27672</v>
      </c>
      <c r="KF423" s="263" t="s">
        <v>52</v>
      </c>
      <c r="KG423" s="263" t="s">
        <v>70</v>
      </c>
      <c r="KH423" s="263" t="s">
        <v>1083</v>
      </c>
      <c r="KJ423" s="263" t="s">
        <v>27673</v>
      </c>
      <c r="KK423" s="263" t="s">
        <v>52</v>
      </c>
      <c r="KL423" s="263" t="s">
        <v>74</v>
      </c>
      <c r="KM423" s="263" t="s">
        <v>34074</v>
      </c>
      <c r="KO423" s="214" t="s">
        <v>27674</v>
      </c>
      <c r="KP423" s="214" t="s">
        <v>145</v>
      </c>
      <c r="KQ423" s="214" t="s">
        <v>70</v>
      </c>
      <c r="KR423" s="214" t="s">
        <v>67</v>
      </c>
      <c r="KT423" s="22" t="s">
        <v>27675</v>
      </c>
      <c r="KU423" s="22" t="s">
        <v>145</v>
      </c>
      <c r="KV423" s="22" t="s">
        <v>70</v>
      </c>
      <c r="KW423" s="22" t="s">
        <v>67</v>
      </c>
      <c r="KY423" s="214" t="s">
        <v>27676</v>
      </c>
      <c r="KZ423" s="214" t="s">
        <v>52</v>
      </c>
      <c r="LA423" s="214" t="s">
        <v>74</v>
      </c>
      <c r="LB423" s="214" t="s">
        <v>67</v>
      </c>
      <c r="LD423" s="22" t="s">
        <v>27677</v>
      </c>
      <c r="LE423" s="22" t="s">
        <v>145</v>
      </c>
      <c r="LF423" s="22" t="s">
        <v>70</v>
      </c>
      <c r="LG423" s="22" t="s">
        <v>67</v>
      </c>
    </row>
    <row r="424" spans="1:319">
      <c r="A424" s="22" t="s">
        <v>27678</v>
      </c>
      <c r="B424" s="22" t="s">
        <v>145</v>
      </c>
      <c r="C424" s="22" t="s">
        <v>70</v>
      </c>
      <c r="D424" s="22" t="s">
        <v>67</v>
      </c>
      <c r="F424" s="97" t="s">
        <v>27679</v>
      </c>
      <c r="G424" s="22" t="s">
        <v>145</v>
      </c>
      <c r="H424" s="22" t="s">
        <v>70</v>
      </c>
      <c r="I424" s="22" t="s">
        <v>67</v>
      </c>
      <c r="K424" s="99" t="s">
        <v>27680</v>
      </c>
      <c r="L424" s="22" t="s">
        <v>145</v>
      </c>
      <c r="M424" s="22" t="s">
        <v>70</v>
      </c>
      <c r="N424" s="22" t="s">
        <v>67</v>
      </c>
      <c r="P424" s="230" t="s">
        <v>27681</v>
      </c>
      <c r="Q424" s="218" t="s">
        <v>145</v>
      </c>
      <c r="R424" s="218" t="s">
        <v>72</v>
      </c>
      <c r="S424" s="218" t="s">
        <v>34025</v>
      </c>
      <c r="U424" s="293" t="s">
        <v>27682</v>
      </c>
      <c r="V424" s="293" t="s">
        <v>145</v>
      </c>
      <c r="W424" s="293" t="s">
        <v>74</v>
      </c>
      <c r="X424" s="293" t="s">
        <v>656</v>
      </c>
      <c r="Z424" s="293" t="s">
        <v>27683</v>
      </c>
      <c r="AA424" s="293" t="s">
        <v>145</v>
      </c>
      <c r="AB424" s="293" t="s">
        <v>74</v>
      </c>
      <c r="AC424" s="293" t="s">
        <v>656</v>
      </c>
      <c r="AE424" s="293" t="s">
        <v>27684</v>
      </c>
      <c r="AF424" s="293" t="s">
        <v>145</v>
      </c>
      <c r="AG424" s="293" t="s">
        <v>74</v>
      </c>
      <c r="AH424" s="293" t="s">
        <v>656</v>
      </c>
      <c r="AJ424" s="293" t="s">
        <v>27685</v>
      </c>
      <c r="AK424" s="293" t="s">
        <v>145</v>
      </c>
      <c r="AL424" s="293" t="s">
        <v>74</v>
      </c>
      <c r="AM424" s="293" t="s">
        <v>656</v>
      </c>
      <c r="AO424" s="22" t="s">
        <v>27686</v>
      </c>
      <c r="AP424" s="22" t="s">
        <v>145</v>
      </c>
      <c r="AQ424" s="22" t="s">
        <v>70</v>
      </c>
      <c r="AR424" s="22" t="s">
        <v>67</v>
      </c>
      <c r="AT424" s="22" t="s">
        <v>27687</v>
      </c>
      <c r="AU424" s="22" t="s">
        <v>145</v>
      </c>
      <c r="AV424" s="22" t="s">
        <v>70</v>
      </c>
      <c r="AW424" s="22" t="s">
        <v>67</v>
      </c>
      <c r="AY424" s="22" t="s">
        <v>27688</v>
      </c>
      <c r="AZ424" s="22" t="s">
        <v>145</v>
      </c>
      <c r="BA424" s="22" t="s">
        <v>70</v>
      </c>
      <c r="BB424" s="22" t="s">
        <v>67</v>
      </c>
      <c r="BD424" s="22" t="s">
        <v>27689</v>
      </c>
      <c r="BE424" s="22" t="s">
        <v>145</v>
      </c>
      <c r="BF424" s="22" t="s">
        <v>70</v>
      </c>
      <c r="BG424" s="22" t="s">
        <v>67</v>
      </c>
      <c r="BI424" s="22" t="s">
        <v>27690</v>
      </c>
      <c r="BJ424" s="22" t="s">
        <v>145</v>
      </c>
      <c r="BK424" s="22" t="s">
        <v>70</v>
      </c>
      <c r="BL424" s="22" t="s">
        <v>67</v>
      </c>
      <c r="BN424" s="22" t="s">
        <v>27691</v>
      </c>
      <c r="BO424" s="22" t="s">
        <v>145</v>
      </c>
      <c r="BP424" s="22" t="s">
        <v>70</v>
      </c>
      <c r="BQ424" s="22" t="s">
        <v>67</v>
      </c>
      <c r="BS424" s="22" t="s">
        <v>27692</v>
      </c>
      <c r="BT424" s="22" t="s">
        <v>145</v>
      </c>
      <c r="BU424" s="22" t="s">
        <v>70</v>
      </c>
      <c r="BV424" s="214" t="s">
        <v>530</v>
      </c>
      <c r="BX424" s="22" t="s">
        <v>27693</v>
      </c>
      <c r="BY424" s="22" t="s">
        <v>145</v>
      </c>
      <c r="BZ424" s="22" t="s">
        <v>70</v>
      </c>
      <c r="CA424" s="214" t="s">
        <v>530</v>
      </c>
      <c r="CC424" s="214" t="s">
        <v>27694</v>
      </c>
      <c r="CD424" s="214" t="s">
        <v>86</v>
      </c>
      <c r="CE424" s="214" t="s">
        <v>70</v>
      </c>
      <c r="CF424" s="214" t="s">
        <v>530</v>
      </c>
      <c r="CH424" s="214" t="s">
        <v>27695</v>
      </c>
      <c r="CI424" s="214" t="s">
        <v>148</v>
      </c>
      <c r="CJ424" s="214" t="s">
        <v>70</v>
      </c>
      <c r="CK424" s="214" t="s">
        <v>530</v>
      </c>
      <c r="CM424" s="214" t="s">
        <v>27696</v>
      </c>
      <c r="CN424" s="214" t="s">
        <v>468</v>
      </c>
      <c r="CO424" s="214" t="s">
        <v>70</v>
      </c>
      <c r="CP424" s="214" t="s">
        <v>530</v>
      </c>
      <c r="CR424" s="214" t="s">
        <v>27697</v>
      </c>
      <c r="CS424" s="214" t="s">
        <v>34545</v>
      </c>
      <c r="CT424" s="214" t="s">
        <v>70</v>
      </c>
      <c r="CU424" s="214" t="s">
        <v>530</v>
      </c>
      <c r="CW424" s="214" t="s">
        <v>27698</v>
      </c>
      <c r="CX424" s="214" t="s">
        <v>34545</v>
      </c>
      <c r="CY424" s="214" t="s">
        <v>70</v>
      </c>
      <c r="CZ424" s="214" t="s">
        <v>530</v>
      </c>
      <c r="DB424" s="214" t="s">
        <v>27699</v>
      </c>
      <c r="DC424" s="214" t="s">
        <v>500</v>
      </c>
      <c r="DD424" s="214" t="s">
        <v>70</v>
      </c>
      <c r="DE424" s="214" t="s">
        <v>530</v>
      </c>
      <c r="DG424" s="214" t="s">
        <v>27700</v>
      </c>
      <c r="DH424" s="214" t="s">
        <v>85</v>
      </c>
      <c r="DI424" s="214" t="s">
        <v>70</v>
      </c>
      <c r="DJ424" s="214" t="s">
        <v>530</v>
      </c>
      <c r="DL424" s="214" t="s">
        <v>27701</v>
      </c>
      <c r="DM424" s="214" t="s">
        <v>52</v>
      </c>
      <c r="DN424" s="214" t="s">
        <v>70</v>
      </c>
      <c r="DO424" s="214" t="s">
        <v>530</v>
      </c>
      <c r="DQ424" s="214" t="s">
        <v>27702</v>
      </c>
      <c r="DR424" s="214" t="s">
        <v>163</v>
      </c>
      <c r="DS424" s="214" t="s">
        <v>70</v>
      </c>
      <c r="DT424" s="214" t="s">
        <v>530</v>
      </c>
      <c r="DV424" s="214" t="s">
        <v>27703</v>
      </c>
      <c r="DW424" s="214" t="s">
        <v>52</v>
      </c>
      <c r="DX424" s="214" t="s">
        <v>70</v>
      </c>
      <c r="DY424" s="214" t="s">
        <v>530</v>
      </c>
      <c r="EA424" s="214" t="s">
        <v>27704</v>
      </c>
      <c r="EB424" s="214" t="s">
        <v>942</v>
      </c>
      <c r="EC424" s="214" t="s">
        <v>70</v>
      </c>
      <c r="ED424" s="214" t="s">
        <v>530</v>
      </c>
      <c r="EF424" s="214" t="s">
        <v>27705</v>
      </c>
      <c r="EG424" s="214" t="s">
        <v>34646</v>
      </c>
      <c r="EH424" s="214" t="s">
        <v>70</v>
      </c>
      <c r="EI424" s="214" t="s">
        <v>530</v>
      </c>
      <c r="EK424" s="214" t="s">
        <v>27706</v>
      </c>
      <c r="EL424" s="214" t="s">
        <v>52</v>
      </c>
      <c r="EM424" s="214" t="s">
        <v>70</v>
      </c>
      <c r="EN424" s="214" t="s">
        <v>530</v>
      </c>
      <c r="EP424" s="214" t="s">
        <v>27707</v>
      </c>
      <c r="EQ424" s="214" t="s">
        <v>148</v>
      </c>
      <c r="ER424" s="214" t="s">
        <v>70</v>
      </c>
      <c r="ES424" s="214" t="s">
        <v>530</v>
      </c>
      <c r="EU424" s="214" t="s">
        <v>27708</v>
      </c>
      <c r="EV424" s="214" t="s">
        <v>292</v>
      </c>
      <c r="EW424" s="214" t="s">
        <v>70</v>
      </c>
      <c r="EX424" s="214" t="s">
        <v>530</v>
      </c>
      <c r="EZ424" s="214" t="s">
        <v>27709</v>
      </c>
      <c r="FA424" s="214" t="s">
        <v>917</v>
      </c>
      <c r="FB424" s="214" t="s">
        <v>70</v>
      </c>
      <c r="FC424" s="214" t="s">
        <v>530</v>
      </c>
      <c r="FE424" s="214" t="s">
        <v>27710</v>
      </c>
      <c r="FF424" s="214" t="s">
        <v>917</v>
      </c>
      <c r="FG424" s="214" t="s">
        <v>70</v>
      </c>
      <c r="FH424" s="214" t="s">
        <v>530</v>
      </c>
      <c r="FJ424" s="321" t="s">
        <v>27711</v>
      </c>
      <c r="FK424" s="214" t="s">
        <v>956</v>
      </c>
      <c r="FL424" s="214" t="s">
        <v>70</v>
      </c>
      <c r="FM424" s="214" t="s">
        <v>530</v>
      </c>
      <c r="FO424" s="321" t="s">
        <v>27712</v>
      </c>
      <c r="FP424" s="214" t="s">
        <v>930</v>
      </c>
      <c r="FQ424" s="214" t="s">
        <v>70</v>
      </c>
      <c r="FR424" s="214" t="s">
        <v>530</v>
      </c>
      <c r="FT424" s="321" t="s">
        <v>27713</v>
      </c>
      <c r="FU424" s="214" t="s">
        <v>484</v>
      </c>
      <c r="FV424" s="214" t="s">
        <v>70</v>
      </c>
      <c r="FW424" s="214" t="s">
        <v>530</v>
      </c>
      <c r="FY424" s="321" t="s">
        <v>27714</v>
      </c>
      <c r="FZ424" s="214" t="s">
        <v>604</v>
      </c>
      <c r="GA424" s="214" t="s">
        <v>70</v>
      </c>
      <c r="GB424" s="214" t="s">
        <v>530</v>
      </c>
      <c r="GD424" s="321" t="s">
        <v>27715</v>
      </c>
      <c r="GE424" s="214" t="s">
        <v>52</v>
      </c>
      <c r="GF424" s="214" t="s">
        <v>70</v>
      </c>
      <c r="GG424" s="214" t="s">
        <v>530</v>
      </c>
      <c r="GI424" s="321" t="s">
        <v>27716</v>
      </c>
      <c r="GJ424" s="214" t="s">
        <v>34606</v>
      </c>
      <c r="GK424" s="214" t="s">
        <v>70</v>
      </c>
      <c r="GL424" s="214" t="s">
        <v>530</v>
      </c>
      <c r="GN424" s="321" t="s">
        <v>27717</v>
      </c>
      <c r="GO424" s="214" t="s">
        <v>148</v>
      </c>
      <c r="GP424" s="214" t="s">
        <v>70</v>
      </c>
      <c r="GQ424" s="214" t="s">
        <v>530</v>
      </c>
      <c r="GS424" s="321" t="s">
        <v>27718</v>
      </c>
      <c r="GT424" s="214" t="s">
        <v>765</v>
      </c>
      <c r="GU424" s="214" t="s">
        <v>70</v>
      </c>
      <c r="GV424" s="214" t="s">
        <v>530</v>
      </c>
      <c r="GX424" s="214" t="s">
        <v>27719</v>
      </c>
      <c r="GY424" s="214" t="s">
        <v>286</v>
      </c>
      <c r="GZ424" s="214" t="s">
        <v>70</v>
      </c>
      <c r="HA424" s="214" t="s">
        <v>530</v>
      </c>
      <c r="HC424" s="214" t="s">
        <v>27720</v>
      </c>
      <c r="HD424" s="214" t="s">
        <v>34574</v>
      </c>
      <c r="HE424" s="214" t="s">
        <v>70</v>
      </c>
      <c r="HF424" s="214" t="s">
        <v>530</v>
      </c>
      <c r="HH424" s="214" t="s">
        <v>27721</v>
      </c>
      <c r="HI424" s="214" t="s">
        <v>495</v>
      </c>
      <c r="HJ424" s="214" t="s">
        <v>70</v>
      </c>
      <c r="HK424" s="214" t="s">
        <v>530</v>
      </c>
      <c r="HM424" s="214" t="s">
        <v>27722</v>
      </c>
      <c r="HN424" s="214" t="s">
        <v>145</v>
      </c>
      <c r="HO424" s="214" t="s">
        <v>70</v>
      </c>
      <c r="HP424" s="214" t="s">
        <v>530</v>
      </c>
      <c r="HR424" s="22" t="s">
        <v>27723</v>
      </c>
      <c r="HS424" s="22" t="s">
        <v>34575</v>
      </c>
      <c r="HT424" s="22" t="s">
        <v>70</v>
      </c>
      <c r="HU424" s="214" t="s">
        <v>530</v>
      </c>
      <c r="HW424" s="22" t="s">
        <v>27724</v>
      </c>
      <c r="HX424" s="22" t="s">
        <v>34516</v>
      </c>
      <c r="HY424" s="22" t="s">
        <v>70</v>
      </c>
      <c r="HZ424" s="214" t="s">
        <v>530</v>
      </c>
      <c r="IB424" s="22" t="s">
        <v>27725</v>
      </c>
      <c r="IC424" s="22" t="s">
        <v>52</v>
      </c>
      <c r="ID424" s="22" t="s">
        <v>70</v>
      </c>
      <c r="IE424" s="214" t="s">
        <v>530</v>
      </c>
      <c r="IG424" s="22" t="s">
        <v>27726</v>
      </c>
      <c r="IH424" s="22" t="s">
        <v>52</v>
      </c>
      <c r="II424" s="22" t="s">
        <v>70</v>
      </c>
      <c r="IJ424" s="214" t="s">
        <v>530</v>
      </c>
      <c r="IL424" s="22" t="s">
        <v>27727</v>
      </c>
      <c r="IM424" s="22" t="s">
        <v>145</v>
      </c>
      <c r="IN424" s="22" t="s">
        <v>70</v>
      </c>
      <c r="IO424" s="214" t="s">
        <v>530</v>
      </c>
      <c r="IQ424" s="236" t="s">
        <v>27728</v>
      </c>
      <c r="IR424" s="236" t="s">
        <v>145</v>
      </c>
      <c r="IS424" s="236" t="s">
        <v>74</v>
      </c>
      <c r="IT424" s="236" t="s">
        <v>841</v>
      </c>
      <c r="IV424" s="236" t="s">
        <v>27729</v>
      </c>
      <c r="IW424" s="236" t="s">
        <v>145</v>
      </c>
      <c r="IX424" s="236" t="s">
        <v>74</v>
      </c>
      <c r="IY424" s="236" t="s">
        <v>841</v>
      </c>
      <c r="JA424" s="236" t="s">
        <v>27730</v>
      </c>
      <c r="JB424" s="236" t="s">
        <v>145</v>
      </c>
      <c r="JC424" s="236" t="s">
        <v>74</v>
      </c>
      <c r="JD424" s="236" t="s">
        <v>841</v>
      </c>
      <c r="JF424" s="236" t="s">
        <v>27731</v>
      </c>
      <c r="JG424" s="236" t="s">
        <v>145</v>
      </c>
      <c r="JH424" s="236" t="s">
        <v>74</v>
      </c>
      <c r="JI424" s="236" t="s">
        <v>841</v>
      </c>
      <c r="JK424" s="236" t="s">
        <v>27732</v>
      </c>
      <c r="JL424" s="236" t="s">
        <v>145</v>
      </c>
      <c r="JM424" s="236" t="s">
        <v>74</v>
      </c>
      <c r="JN424" s="236" t="s">
        <v>841</v>
      </c>
      <c r="JP424" s="236" t="s">
        <v>27733</v>
      </c>
      <c r="JQ424" s="236" t="s">
        <v>145</v>
      </c>
      <c r="JR424" s="236" t="s">
        <v>74</v>
      </c>
      <c r="JS424" s="236" t="s">
        <v>841</v>
      </c>
      <c r="JU424" s="294" t="s">
        <v>27734</v>
      </c>
      <c r="JV424" s="294" t="s">
        <v>52</v>
      </c>
      <c r="JW424" s="263" t="s">
        <v>70</v>
      </c>
      <c r="JX424" s="294" t="s">
        <v>1083</v>
      </c>
      <c r="JZ424" s="263" t="s">
        <v>27735</v>
      </c>
      <c r="KA424" s="263" t="s">
        <v>145</v>
      </c>
      <c r="KB424" s="263" t="s">
        <v>70</v>
      </c>
      <c r="KC424" s="263" t="s">
        <v>1083</v>
      </c>
      <c r="KE424" s="263" t="s">
        <v>27736</v>
      </c>
      <c r="KF424" s="263" t="s">
        <v>52</v>
      </c>
      <c r="KG424" s="263" t="s">
        <v>70</v>
      </c>
      <c r="KH424" s="263" t="s">
        <v>1083</v>
      </c>
      <c r="KJ424" s="263" t="s">
        <v>27737</v>
      </c>
      <c r="KK424" s="263" t="s">
        <v>52</v>
      </c>
      <c r="KL424" s="263" t="s">
        <v>74</v>
      </c>
      <c r="KM424" s="263" t="s">
        <v>34074</v>
      </c>
      <c r="KO424" s="214" t="s">
        <v>27738</v>
      </c>
      <c r="KP424" s="214" t="s">
        <v>145</v>
      </c>
      <c r="KQ424" s="214" t="s">
        <v>70</v>
      </c>
      <c r="KR424" s="214" t="s">
        <v>67</v>
      </c>
      <c r="KT424" s="22" t="s">
        <v>27739</v>
      </c>
      <c r="KU424" s="22" t="s">
        <v>145</v>
      </c>
      <c r="KV424" s="22" t="s">
        <v>70</v>
      </c>
      <c r="KW424" s="22" t="s">
        <v>67</v>
      </c>
      <c r="KY424" s="214" t="s">
        <v>27740</v>
      </c>
      <c r="KZ424" s="214" t="s">
        <v>52</v>
      </c>
      <c r="LA424" s="214" t="s">
        <v>74</v>
      </c>
      <c r="LB424" s="214" t="s">
        <v>67</v>
      </c>
      <c r="LD424" s="22" t="s">
        <v>27741</v>
      </c>
      <c r="LE424" s="22" t="s">
        <v>145</v>
      </c>
      <c r="LF424" s="22" t="s">
        <v>70</v>
      </c>
      <c r="LG424" s="22" t="s">
        <v>67</v>
      </c>
    </row>
    <row r="425" spans="1:319">
      <c r="A425" s="22" t="s">
        <v>27742</v>
      </c>
      <c r="B425" s="22" t="s">
        <v>145</v>
      </c>
      <c r="C425" s="22" t="s">
        <v>70</v>
      </c>
      <c r="D425" s="22" t="s">
        <v>67</v>
      </c>
      <c r="F425" s="97" t="s">
        <v>27743</v>
      </c>
      <c r="G425" s="22" t="s">
        <v>145</v>
      </c>
      <c r="H425" s="22" t="s">
        <v>70</v>
      </c>
      <c r="I425" s="22" t="s">
        <v>67</v>
      </c>
      <c r="K425" s="99" t="s">
        <v>27744</v>
      </c>
      <c r="L425" s="22" t="s">
        <v>145</v>
      </c>
      <c r="M425" s="22" t="s">
        <v>70</v>
      </c>
      <c r="N425" s="22" t="s">
        <v>67</v>
      </c>
      <c r="P425" s="230" t="s">
        <v>27745</v>
      </c>
      <c r="Q425" s="218" t="s">
        <v>145</v>
      </c>
      <c r="R425" s="218" t="s">
        <v>72</v>
      </c>
      <c r="S425" s="218" t="s">
        <v>34026</v>
      </c>
      <c r="U425" s="293" t="s">
        <v>27746</v>
      </c>
      <c r="V425" s="293" t="s">
        <v>145</v>
      </c>
      <c r="W425" s="293" t="s">
        <v>74</v>
      </c>
      <c r="X425" s="293" t="s">
        <v>656</v>
      </c>
      <c r="Z425" s="293" t="s">
        <v>27747</v>
      </c>
      <c r="AA425" s="293" t="s">
        <v>145</v>
      </c>
      <c r="AB425" s="293" t="s">
        <v>74</v>
      </c>
      <c r="AC425" s="293" t="s">
        <v>656</v>
      </c>
      <c r="AE425" s="293" t="s">
        <v>27748</v>
      </c>
      <c r="AF425" s="293" t="s">
        <v>145</v>
      </c>
      <c r="AG425" s="293" t="s">
        <v>74</v>
      </c>
      <c r="AH425" s="293" t="s">
        <v>656</v>
      </c>
      <c r="AJ425" s="293" t="s">
        <v>27749</v>
      </c>
      <c r="AK425" s="293" t="s">
        <v>145</v>
      </c>
      <c r="AL425" s="293" t="s">
        <v>74</v>
      </c>
      <c r="AM425" s="293" t="s">
        <v>656</v>
      </c>
      <c r="AO425" s="22" t="s">
        <v>27750</v>
      </c>
      <c r="AP425" s="22" t="s">
        <v>145</v>
      </c>
      <c r="AQ425" s="22" t="s">
        <v>70</v>
      </c>
      <c r="AR425" s="22" t="s">
        <v>67</v>
      </c>
      <c r="AT425" s="22" t="s">
        <v>27751</v>
      </c>
      <c r="AU425" s="22" t="s">
        <v>145</v>
      </c>
      <c r="AV425" s="22" t="s">
        <v>70</v>
      </c>
      <c r="AW425" s="22" t="s">
        <v>67</v>
      </c>
      <c r="AY425" s="22" t="s">
        <v>27752</v>
      </c>
      <c r="AZ425" s="22" t="s">
        <v>145</v>
      </c>
      <c r="BA425" s="22" t="s">
        <v>70</v>
      </c>
      <c r="BB425" s="22" t="s">
        <v>67</v>
      </c>
      <c r="BD425" s="22" t="s">
        <v>27753</v>
      </c>
      <c r="BE425" s="22" t="s">
        <v>145</v>
      </c>
      <c r="BF425" s="22" t="s">
        <v>70</v>
      </c>
      <c r="BG425" s="22" t="s">
        <v>67</v>
      </c>
      <c r="BI425" s="22" t="s">
        <v>27754</v>
      </c>
      <c r="BJ425" s="22" t="s">
        <v>145</v>
      </c>
      <c r="BK425" s="22" t="s">
        <v>70</v>
      </c>
      <c r="BL425" s="22" t="s">
        <v>67</v>
      </c>
      <c r="BN425" s="22" t="s">
        <v>27755</v>
      </c>
      <c r="BO425" s="22" t="s">
        <v>145</v>
      </c>
      <c r="BP425" s="22" t="s">
        <v>70</v>
      </c>
      <c r="BQ425" s="22" t="s">
        <v>67</v>
      </c>
      <c r="BS425" s="22" t="s">
        <v>27756</v>
      </c>
      <c r="BT425" s="22" t="s">
        <v>145</v>
      </c>
      <c r="BU425" s="22" t="s">
        <v>70</v>
      </c>
      <c r="BV425" s="214" t="s">
        <v>530</v>
      </c>
      <c r="BX425" s="22" t="s">
        <v>27757</v>
      </c>
      <c r="BY425" s="22" t="s">
        <v>145</v>
      </c>
      <c r="BZ425" s="22" t="s">
        <v>70</v>
      </c>
      <c r="CA425" s="214" t="s">
        <v>530</v>
      </c>
      <c r="CC425" s="214" t="s">
        <v>27758</v>
      </c>
      <c r="CD425" s="214" t="s">
        <v>484</v>
      </c>
      <c r="CE425" s="214" t="s">
        <v>70</v>
      </c>
      <c r="CF425" s="214" t="s">
        <v>530</v>
      </c>
      <c r="CH425" s="214" t="s">
        <v>27759</v>
      </c>
      <c r="CI425" s="214" t="s">
        <v>950</v>
      </c>
      <c r="CJ425" s="214" t="s">
        <v>70</v>
      </c>
      <c r="CK425" s="214" t="s">
        <v>530</v>
      </c>
      <c r="CM425" s="214" t="s">
        <v>27760</v>
      </c>
      <c r="CN425" s="214" t="s">
        <v>484</v>
      </c>
      <c r="CO425" s="214" t="s">
        <v>70</v>
      </c>
      <c r="CP425" s="214" t="s">
        <v>530</v>
      </c>
      <c r="CR425" s="214" t="s">
        <v>27761</v>
      </c>
      <c r="CS425" s="214" t="s">
        <v>34551</v>
      </c>
      <c r="CT425" s="214" t="s">
        <v>70</v>
      </c>
      <c r="CU425" s="214" t="s">
        <v>530</v>
      </c>
      <c r="CW425" s="214" t="s">
        <v>27762</v>
      </c>
      <c r="CX425" s="214" t="s">
        <v>34551</v>
      </c>
      <c r="CY425" s="214" t="s">
        <v>70</v>
      </c>
      <c r="CZ425" s="214" t="s">
        <v>530</v>
      </c>
      <c r="DB425" s="214" t="s">
        <v>27763</v>
      </c>
      <c r="DC425" s="214" t="s">
        <v>34552</v>
      </c>
      <c r="DD425" s="214" t="s">
        <v>70</v>
      </c>
      <c r="DE425" s="214" t="s">
        <v>530</v>
      </c>
      <c r="DG425" s="214" t="s">
        <v>27764</v>
      </c>
      <c r="DH425" s="214" t="s">
        <v>485</v>
      </c>
      <c r="DI425" s="214" t="s">
        <v>70</v>
      </c>
      <c r="DJ425" s="214" t="s">
        <v>530</v>
      </c>
      <c r="DL425" s="214" t="s">
        <v>27765</v>
      </c>
      <c r="DM425" s="214" t="s">
        <v>87</v>
      </c>
      <c r="DN425" s="214" t="s">
        <v>70</v>
      </c>
      <c r="DO425" s="214" t="s">
        <v>530</v>
      </c>
      <c r="DQ425" s="214" t="s">
        <v>27766</v>
      </c>
      <c r="DR425" s="214" t="s">
        <v>599</v>
      </c>
      <c r="DS425" s="214" t="s">
        <v>70</v>
      </c>
      <c r="DT425" s="214" t="s">
        <v>530</v>
      </c>
      <c r="DV425" s="214" t="s">
        <v>27767</v>
      </c>
      <c r="DW425" s="214" t="s">
        <v>468</v>
      </c>
      <c r="DX425" s="214" t="s">
        <v>70</v>
      </c>
      <c r="DY425" s="214" t="s">
        <v>530</v>
      </c>
      <c r="EA425" s="214" t="s">
        <v>27768</v>
      </c>
      <c r="EB425" s="214" t="s">
        <v>85</v>
      </c>
      <c r="EC425" s="214" t="s">
        <v>70</v>
      </c>
      <c r="ED425" s="214" t="s">
        <v>530</v>
      </c>
      <c r="EF425" s="214" t="s">
        <v>27769</v>
      </c>
      <c r="EG425" s="214" t="s">
        <v>491</v>
      </c>
      <c r="EH425" s="214" t="s">
        <v>70</v>
      </c>
      <c r="EI425" s="214" t="s">
        <v>530</v>
      </c>
      <c r="EK425" s="214" t="s">
        <v>27770</v>
      </c>
      <c r="EL425" s="214" t="s">
        <v>598</v>
      </c>
      <c r="EM425" s="214" t="s">
        <v>70</v>
      </c>
      <c r="EN425" s="214" t="s">
        <v>530</v>
      </c>
      <c r="EP425" s="214" t="s">
        <v>27771</v>
      </c>
      <c r="EQ425" s="214" t="s">
        <v>34542</v>
      </c>
      <c r="ER425" s="214" t="s">
        <v>70</v>
      </c>
      <c r="ES425" s="214" t="s">
        <v>530</v>
      </c>
      <c r="EU425" s="214" t="s">
        <v>27772</v>
      </c>
      <c r="EV425" s="214" t="s">
        <v>937</v>
      </c>
      <c r="EW425" s="214" t="s">
        <v>70</v>
      </c>
      <c r="EX425" s="214" t="s">
        <v>530</v>
      </c>
      <c r="EZ425" s="214" t="s">
        <v>27773</v>
      </c>
      <c r="FA425" s="214" t="s">
        <v>86</v>
      </c>
      <c r="FB425" s="214" t="s">
        <v>70</v>
      </c>
      <c r="FC425" s="214" t="s">
        <v>530</v>
      </c>
      <c r="FE425" s="214" t="s">
        <v>27774</v>
      </c>
      <c r="FF425" s="214" t="s">
        <v>88</v>
      </c>
      <c r="FG425" s="214" t="s">
        <v>70</v>
      </c>
      <c r="FH425" s="214" t="s">
        <v>530</v>
      </c>
      <c r="FJ425" s="321" t="s">
        <v>27775</v>
      </c>
      <c r="FK425" s="214" t="s">
        <v>491</v>
      </c>
      <c r="FL425" s="214" t="s">
        <v>70</v>
      </c>
      <c r="FM425" s="214" t="s">
        <v>530</v>
      </c>
      <c r="FO425" s="321" t="s">
        <v>27776</v>
      </c>
      <c r="FP425" s="214" t="s">
        <v>145</v>
      </c>
      <c r="FQ425" s="214" t="s">
        <v>70</v>
      </c>
      <c r="FR425" s="214" t="s">
        <v>530</v>
      </c>
      <c r="FT425" s="321" t="s">
        <v>27777</v>
      </c>
      <c r="FU425" s="214" t="s">
        <v>88</v>
      </c>
      <c r="FV425" s="214" t="s">
        <v>70</v>
      </c>
      <c r="FW425" s="214" t="s">
        <v>530</v>
      </c>
      <c r="FY425" s="321" t="s">
        <v>27778</v>
      </c>
      <c r="FZ425" s="214" t="s">
        <v>52</v>
      </c>
      <c r="GA425" s="214" t="s">
        <v>70</v>
      </c>
      <c r="GB425" s="214" t="s">
        <v>530</v>
      </c>
      <c r="GD425" s="321" t="s">
        <v>27779</v>
      </c>
      <c r="GE425" s="214" t="s">
        <v>34562</v>
      </c>
      <c r="GF425" s="214" t="s">
        <v>70</v>
      </c>
      <c r="GG425" s="214" t="s">
        <v>530</v>
      </c>
      <c r="GI425" s="321" t="s">
        <v>27780</v>
      </c>
      <c r="GJ425" s="214" t="s">
        <v>491</v>
      </c>
      <c r="GK425" s="214" t="s">
        <v>70</v>
      </c>
      <c r="GL425" s="214" t="s">
        <v>530</v>
      </c>
      <c r="GN425" s="321" t="s">
        <v>27781</v>
      </c>
      <c r="GO425" s="214" t="s">
        <v>531</v>
      </c>
      <c r="GP425" s="214" t="s">
        <v>70</v>
      </c>
      <c r="GQ425" s="214" t="s">
        <v>530</v>
      </c>
      <c r="GS425" s="321" t="s">
        <v>27782</v>
      </c>
      <c r="GT425" s="214" t="s">
        <v>206</v>
      </c>
      <c r="GU425" s="214" t="s">
        <v>70</v>
      </c>
      <c r="GV425" s="214" t="s">
        <v>530</v>
      </c>
      <c r="GX425" s="214" t="s">
        <v>27783</v>
      </c>
      <c r="GY425" s="214" t="s">
        <v>486</v>
      </c>
      <c r="GZ425" s="214" t="s">
        <v>70</v>
      </c>
      <c r="HA425" s="214" t="s">
        <v>530</v>
      </c>
      <c r="HC425" s="214" t="s">
        <v>27784</v>
      </c>
      <c r="HD425" s="214" t="s">
        <v>488</v>
      </c>
      <c r="HE425" s="214" t="s">
        <v>70</v>
      </c>
      <c r="HF425" s="214" t="s">
        <v>530</v>
      </c>
      <c r="HH425" s="214" t="s">
        <v>27785</v>
      </c>
      <c r="HI425" s="214" t="s">
        <v>204</v>
      </c>
      <c r="HJ425" s="214" t="s">
        <v>70</v>
      </c>
      <c r="HK425" s="214" t="s">
        <v>530</v>
      </c>
      <c r="HM425" s="214" t="s">
        <v>27786</v>
      </c>
      <c r="HN425" s="214" t="s">
        <v>34541</v>
      </c>
      <c r="HO425" s="214" t="s">
        <v>70</v>
      </c>
      <c r="HP425" s="214" t="s">
        <v>530</v>
      </c>
      <c r="HR425" s="22" t="s">
        <v>27787</v>
      </c>
      <c r="HS425" s="22" t="s">
        <v>34516</v>
      </c>
      <c r="HT425" s="22" t="s">
        <v>70</v>
      </c>
      <c r="HU425" s="214" t="s">
        <v>530</v>
      </c>
      <c r="HW425" s="22" t="s">
        <v>27788</v>
      </c>
      <c r="HX425" s="22" t="s">
        <v>34516</v>
      </c>
      <c r="HY425" s="22" t="s">
        <v>70</v>
      </c>
      <c r="HZ425" s="214" t="s">
        <v>530</v>
      </c>
      <c r="IB425" s="22" t="s">
        <v>27789</v>
      </c>
      <c r="IC425" s="22" t="s">
        <v>484</v>
      </c>
      <c r="ID425" s="22" t="s">
        <v>70</v>
      </c>
      <c r="IE425" s="214" t="s">
        <v>530</v>
      </c>
      <c r="IG425" s="22" t="s">
        <v>27790</v>
      </c>
      <c r="IH425" s="22" t="s">
        <v>52</v>
      </c>
      <c r="II425" s="22" t="s">
        <v>70</v>
      </c>
      <c r="IJ425" s="214" t="s">
        <v>530</v>
      </c>
      <c r="IL425" s="22" t="s">
        <v>27791</v>
      </c>
      <c r="IM425" s="22" t="s">
        <v>145</v>
      </c>
      <c r="IN425" s="22" t="s">
        <v>70</v>
      </c>
      <c r="IO425" s="214" t="s">
        <v>530</v>
      </c>
      <c r="IQ425" s="236" t="s">
        <v>27792</v>
      </c>
      <c r="IR425" s="236" t="s">
        <v>145</v>
      </c>
      <c r="IS425" s="236" t="s">
        <v>74</v>
      </c>
      <c r="IT425" s="236" t="s">
        <v>841</v>
      </c>
      <c r="IV425" s="236" t="s">
        <v>27793</v>
      </c>
      <c r="IW425" s="236" t="s">
        <v>145</v>
      </c>
      <c r="IX425" s="236" t="s">
        <v>74</v>
      </c>
      <c r="IY425" s="236" t="s">
        <v>841</v>
      </c>
      <c r="JA425" s="236" t="s">
        <v>27794</v>
      </c>
      <c r="JB425" s="236" t="s">
        <v>145</v>
      </c>
      <c r="JC425" s="236" t="s">
        <v>74</v>
      </c>
      <c r="JD425" s="236" t="s">
        <v>841</v>
      </c>
      <c r="JF425" s="236" t="s">
        <v>27795</v>
      </c>
      <c r="JG425" s="236" t="s">
        <v>145</v>
      </c>
      <c r="JH425" s="236" t="s">
        <v>74</v>
      </c>
      <c r="JI425" s="236" t="s">
        <v>841</v>
      </c>
      <c r="JK425" s="236" t="s">
        <v>27796</v>
      </c>
      <c r="JL425" s="236" t="s">
        <v>145</v>
      </c>
      <c r="JM425" s="236" t="s">
        <v>74</v>
      </c>
      <c r="JN425" s="236" t="s">
        <v>841</v>
      </c>
      <c r="JP425" s="236" t="s">
        <v>27797</v>
      </c>
      <c r="JQ425" s="236" t="s">
        <v>145</v>
      </c>
      <c r="JR425" s="236" t="s">
        <v>74</v>
      </c>
      <c r="JS425" s="236" t="s">
        <v>841</v>
      </c>
      <c r="JU425" s="294" t="s">
        <v>27798</v>
      </c>
      <c r="JV425" s="294" t="s">
        <v>52</v>
      </c>
      <c r="JW425" s="263" t="s">
        <v>70</v>
      </c>
      <c r="JX425" s="294" t="s">
        <v>1083</v>
      </c>
      <c r="JZ425" s="263" t="s">
        <v>27799</v>
      </c>
      <c r="KA425" s="263" t="s">
        <v>145</v>
      </c>
      <c r="KB425" s="263" t="s">
        <v>70</v>
      </c>
      <c r="KC425" s="263" t="s">
        <v>1083</v>
      </c>
      <c r="KE425" s="263" t="s">
        <v>27800</v>
      </c>
      <c r="KF425" s="263" t="s">
        <v>52</v>
      </c>
      <c r="KG425" s="263" t="s">
        <v>70</v>
      </c>
      <c r="KH425" s="263" t="s">
        <v>1083</v>
      </c>
      <c r="KJ425" s="263" t="s">
        <v>27801</v>
      </c>
      <c r="KK425" s="263" t="s">
        <v>52</v>
      </c>
      <c r="KL425" s="263" t="s">
        <v>74</v>
      </c>
      <c r="KM425" s="263" t="s">
        <v>34074</v>
      </c>
      <c r="KO425" s="214" t="s">
        <v>27802</v>
      </c>
      <c r="KP425" s="214" t="s">
        <v>145</v>
      </c>
      <c r="KQ425" s="214" t="s">
        <v>70</v>
      </c>
      <c r="KR425" s="214" t="s">
        <v>67</v>
      </c>
      <c r="KT425" s="22" t="s">
        <v>27803</v>
      </c>
      <c r="KU425" s="22" t="s">
        <v>145</v>
      </c>
      <c r="KV425" s="22" t="s">
        <v>70</v>
      </c>
      <c r="KW425" s="22" t="s">
        <v>67</v>
      </c>
      <c r="KY425" s="214" t="s">
        <v>27804</v>
      </c>
      <c r="KZ425" s="214" t="s">
        <v>52</v>
      </c>
      <c r="LA425" s="214" t="s">
        <v>74</v>
      </c>
      <c r="LB425" s="214" t="s">
        <v>67</v>
      </c>
      <c r="LD425" s="22" t="s">
        <v>27805</v>
      </c>
      <c r="LE425" s="22" t="s">
        <v>145</v>
      </c>
      <c r="LF425" s="22" t="s">
        <v>70</v>
      </c>
      <c r="LG425" s="22" t="s">
        <v>67</v>
      </c>
    </row>
    <row r="426" spans="1:319">
      <c r="A426" s="22" t="s">
        <v>27806</v>
      </c>
      <c r="B426" s="22" t="s">
        <v>145</v>
      </c>
      <c r="C426" s="22" t="s">
        <v>70</v>
      </c>
      <c r="D426" s="22" t="s">
        <v>67</v>
      </c>
      <c r="F426" s="97" t="s">
        <v>27807</v>
      </c>
      <c r="G426" s="22" t="s">
        <v>145</v>
      </c>
      <c r="H426" s="22" t="s">
        <v>70</v>
      </c>
      <c r="I426" s="22" t="s">
        <v>67</v>
      </c>
      <c r="K426" s="99" t="s">
        <v>27808</v>
      </c>
      <c r="L426" s="22" t="s">
        <v>145</v>
      </c>
      <c r="M426" s="22" t="s">
        <v>70</v>
      </c>
      <c r="N426" s="22" t="s">
        <v>67</v>
      </c>
      <c r="P426" s="230" t="s">
        <v>27809</v>
      </c>
      <c r="Q426" s="218" t="s">
        <v>145</v>
      </c>
      <c r="R426" s="218" t="s">
        <v>72</v>
      </c>
      <c r="S426" s="218" t="s">
        <v>34027</v>
      </c>
      <c r="U426" s="293" t="s">
        <v>27810</v>
      </c>
      <c r="V426" s="293" t="s">
        <v>145</v>
      </c>
      <c r="W426" s="293" t="s">
        <v>74</v>
      </c>
      <c r="X426" s="293" t="s">
        <v>656</v>
      </c>
      <c r="Z426" s="293" t="s">
        <v>27811</v>
      </c>
      <c r="AA426" s="293" t="s">
        <v>145</v>
      </c>
      <c r="AB426" s="293" t="s">
        <v>74</v>
      </c>
      <c r="AC426" s="293" t="s">
        <v>656</v>
      </c>
      <c r="AE426" s="293" t="s">
        <v>27812</v>
      </c>
      <c r="AF426" s="293" t="s">
        <v>145</v>
      </c>
      <c r="AG426" s="293" t="s">
        <v>74</v>
      </c>
      <c r="AH426" s="293" t="s">
        <v>656</v>
      </c>
      <c r="AJ426" s="293" t="s">
        <v>27813</v>
      </c>
      <c r="AK426" s="293" t="s">
        <v>145</v>
      </c>
      <c r="AL426" s="293" t="s">
        <v>74</v>
      </c>
      <c r="AM426" s="293" t="s">
        <v>656</v>
      </c>
      <c r="AO426" s="22" t="s">
        <v>27814</v>
      </c>
      <c r="AP426" s="22" t="s">
        <v>145</v>
      </c>
      <c r="AQ426" s="22" t="s">
        <v>70</v>
      </c>
      <c r="AR426" s="22" t="s">
        <v>67</v>
      </c>
      <c r="AT426" s="22" t="s">
        <v>27815</v>
      </c>
      <c r="AU426" s="22" t="s">
        <v>145</v>
      </c>
      <c r="AV426" s="22" t="s">
        <v>70</v>
      </c>
      <c r="AW426" s="22" t="s">
        <v>67</v>
      </c>
      <c r="AY426" s="22" t="s">
        <v>27816</v>
      </c>
      <c r="AZ426" s="22" t="s">
        <v>145</v>
      </c>
      <c r="BA426" s="22" t="s">
        <v>70</v>
      </c>
      <c r="BB426" s="22" t="s">
        <v>67</v>
      </c>
      <c r="BD426" s="22" t="s">
        <v>27817</v>
      </c>
      <c r="BE426" s="22" t="s">
        <v>145</v>
      </c>
      <c r="BF426" s="22" t="s">
        <v>70</v>
      </c>
      <c r="BG426" s="22" t="s">
        <v>67</v>
      </c>
      <c r="BI426" s="22" t="s">
        <v>27818</v>
      </c>
      <c r="BJ426" s="22" t="s">
        <v>145</v>
      </c>
      <c r="BK426" s="22" t="s">
        <v>70</v>
      </c>
      <c r="BL426" s="22" t="s">
        <v>67</v>
      </c>
      <c r="BN426" s="22" t="s">
        <v>27819</v>
      </c>
      <c r="BO426" s="22" t="s">
        <v>145</v>
      </c>
      <c r="BP426" s="22" t="s">
        <v>70</v>
      </c>
      <c r="BQ426" s="22" t="s">
        <v>67</v>
      </c>
      <c r="BS426" s="22" t="s">
        <v>27820</v>
      </c>
      <c r="BT426" s="22" t="s">
        <v>145</v>
      </c>
      <c r="BU426" s="22" t="s">
        <v>70</v>
      </c>
      <c r="BV426" s="214" t="s">
        <v>530</v>
      </c>
      <c r="BX426" s="22" t="s">
        <v>27821</v>
      </c>
      <c r="BY426" s="22" t="s">
        <v>145</v>
      </c>
      <c r="BZ426" s="22" t="s">
        <v>70</v>
      </c>
      <c r="CA426" s="214" t="s">
        <v>530</v>
      </c>
      <c r="CC426" s="214" t="s">
        <v>27822</v>
      </c>
      <c r="CD426" s="214" t="s">
        <v>34536</v>
      </c>
      <c r="CE426" s="214" t="s">
        <v>70</v>
      </c>
      <c r="CF426" s="214" t="s">
        <v>530</v>
      </c>
      <c r="CH426" s="214" t="s">
        <v>27823</v>
      </c>
      <c r="CI426" s="214" t="s">
        <v>148</v>
      </c>
      <c r="CJ426" s="214" t="s">
        <v>70</v>
      </c>
      <c r="CK426" s="214" t="s">
        <v>530</v>
      </c>
      <c r="CM426" s="214" t="s">
        <v>27824</v>
      </c>
      <c r="CN426" s="214" t="s">
        <v>485</v>
      </c>
      <c r="CO426" s="214" t="s">
        <v>70</v>
      </c>
      <c r="CP426" s="214" t="s">
        <v>530</v>
      </c>
      <c r="CR426" s="214" t="s">
        <v>27825</v>
      </c>
      <c r="CS426" s="214" t="s">
        <v>292</v>
      </c>
      <c r="CT426" s="214" t="s">
        <v>70</v>
      </c>
      <c r="CU426" s="214" t="s">
        <v>530</v>
      </c>
      <c r="CW426" s="214" t="s">
        <v>27826</v>
      </c>
      <c r="CX426" s="214" t="s">
        <v>34570</v>
      </c>
      <c r="CY426" s="214" t="s">
        <v>70</v>
      </c>
      <c r="CZ426" s="214" t="s">
        <v>530</v>
      </c>
      <c r="DB426" s="214" t="s">
        <v>27827</v>
      </c>
      <c r="DC426" s="214" t="s">
        <v>34575</v>
      </c>
      <c r="DD426" s="214" t="s">
        <v>70</v>
      </c>
      <c r="DE426" s="214" t="s">
        <v>530</v>
      </c>
      <c r="DG426" s="214" t="s">
        <v>27828</v>
      </c>
      <c r="DH426" s="214" t="s">
        <v>34545</v>
      </c>
      <c r="DI426" s="214" t="s">
        <v>70</v>
      </c>
      <c r="DJ426" s="214" t="s">
        <v>530</v>
      </c>
      <c r="DL426" s="214" t="s">
        <v>27829</v>
      </c>
      <c r="DM426" s="214" t="s">
        <v>929</v>
      </c>
      <c r="DN426" s="214" t="s">
        <v>70</v>
      </c>
      <c r="DO426" s="214" t="s">
        <v>530</v>
      </c>
      <c r="DQ426" s="214" t="s">
        <v>27830</v>
      </c>
      <c r="DR426" s="214" t="s">
        <v>163</v>
      </c>
      <c r="DS426" s="214" t="s">
        <v>70</v>
      </c>
      <c r="DT426" s="214" t="s">
        <v>530</v>
      </c>
      <c r="DV426" s="214" t="s">
        <v>27831</v>
      </c>
      <c r="DW426" s="214" t="s">
        <v>163</v>
      </c>
      <c r="DX426" s="214" t="s">
        <v>70</v>
      </c>
      <c r="DY426" s="214" t="s">
        <v>530</v>
      </c>
      <c r="EA426" s="214" t="s">
        <v>27832</v>
      </c>
      <c r="EB426" s="214" t="s">
        <v>34576</v>
      </c>
      <c r="EC426" s="214" t="s">
        <v>70</v>
      </c>
      <c r="ED426" s="214" t="s">
        <v>530</v>
      </c>
      <c r="EF426" s="214" t="s">
        <v>27833</v>
      </c>
      <c r="EG426" s="214" t="s">
        <v>34559</v>
      </c>
      <c r="EH426" s="214" t="s">
        <v>70</v>
      </c>
      <c r="EI426" s="214" t="s">
        <v>530</v>
      </c>
      <c r="EK426" s="214" t="s">
        <v>27834</v>
      </c>
      <c r="EL426" s="214" t="s">
        <v>145</v>
      </c>
      <c r="EM426" s="214" t="s">
        <v>70</v>
      </c>
      <c r="EN426" s="214" t="s">
        <v>530</v>
      </c>
      <c r="EP426" s="214" t="s">
        <v>27835</v>
      </c>
      <c r="EQ426" s="214" t="s">
        <v>34612</v>
      </c>
      <c r="ER426" s="214" t="s">
        <v>70</v>
      </c>
      <c r="ES426" s="214" t="s">
        <v>530</v>
      </c>
      <c r="EU426" s="214" t="s">
        <v>27836</v>
      </c>
      <c r="EV426" s="214" t="s">
        <v>940</v>
      </c>
      <c r="EW426" s="214" t="s">
        <v>70</v>
      </c>
      <c r="EX426" s="214" t="s">
        <v>530</v>
      </c>
      <c r="EZ426" s="214" t="s">
        <v>27837</v>
      </c>
      <c r="FA426" s="214" t="s">
        <v>497</v>
      </c>
      <c r="FB426" s="214" t="s">
        <v>70</v>
      </c>
      <c r="FC426" s="214" t="s">
        <v>530</v>
      </c>
      <c r="FE426" s="214" t="s">
        <v>27838</v>
      </c>
      <c r="FF426" s="214" t="s">
        <v>34593</v>
      </c>
      <c r="FG426" s="214" t="s">
        <v>70</v>
      </c>
      <c r="FH426" s="214" t="s">
        <v>530</v>
      </c>
      <c r="FJ426" s="321" t="s">
        <v>27839</v>
      </c>
      <c r="FK426" s="214" t="s">
        <v>145</v>
      </c>
      <c r="FL426" s="214" t="s">
        <v>70</v>
      </c>
      <c r="FM426" s="214" t="s">
        <v>530</v>
      </c>
      <c r="FO426" s="321" t="s">
        <v>27840</v>
      </c>
      <c r="FP426" s="214" t="s">
        <v>52</v>
      </c>
      <c r="FQ426" s="214" t="s">
        <v>70</v>
      </c>
      <c r="FR426" s="214" t="s">
        <v>530</v>
      </c>
      <c r="FT426" s="321" t="s">
        <v>27841</v>
      </c>
      <c r="FU426" s="214" t="s">
        <v>905</v>
      </c>
      <c r="FV426" s="214" t="s">
        <v>70</v>
      </c>
      <c r="FW426" s="214" t="s">
        <v>530</v>
      </c>
      <c r="FY426" s="321" t="s">
        <v>27842</v>
      </c>
      <c r="FZ426" s="214" t="s">
        <v>89</v>
      </c>
      <c r="GA426" s="214" t="s">
        <v>70</v>
      </c>
      <c r="GB426" s="214" t="s">
        <v>530</v>
      </c>
      <c r="GD426" s="321" t="s">
        <v>27843</v>
      </c>
      <c r="GE426" s="214" t="s">
        <v>10541</v>
      </c>
      <c r="GF426" s="214" t="s">
        <v>70</v>
      </c>
      <c r="GG426" s="214" t="s">
        <v>530</v>
      </c>
      <c r="GI426" s="321" t="s">
        <v>27844</v>
      </c>
      <c r="GJ426" s="214" t="s">
        <v>163</v>
      </c>
      <c r="GK426" s="214" t="s">
        <v>70</v>
      </c>
      <c r="GL426" s="214" t="s">
        <v>530</v>
      </c>
      <c r="GN426" s="321" t="s">
        <v>27845</v>
      </c>
      <c r="GO426" s="214" t="s">
        <v>34636</v>
      </c>
      <c r="GP426" s="214" t="s">
        <v>70</v>
      </c>
      <c r="GQ426" s="214" t="s">
        <v>530</v>
      </c>
      <c r="GS426" s="321" t="s">
        <v>27846</v>
      </c>
      <c r="GT426" s="214" t="s">
        <v>655</v>
      </c>
      <c r="GU426" s="214" t="s">
        <v>70</v>
      </c>
      <c r="GV426" s="214" t="s">
        <v>530</v>
      </c>
      <c r="GX426" s="214" t="s">
        <v>27847</v>
      </c>
      <c r="GY426" s="214" t="s">
        <v>163</v>
      </c>
      <c r="GZ426" s="214" t="s">
        <v>70</v>
      </c>
      <c r="HA426" s="214" t="s">
        <v>530</v>
      </c>
      <c r="HC426" s="214" t="s">
        <v>27848</v>
      </c>
      <c r="HD426" s="214" t="s">
        <v>912</v>
      </c>
      <c r="HE426" s="214" t="s">
        <v>70</v>
      </c>
      <c r="HF426" s="214" t="s">
        <v>530</v>
      </c>
      <c r="HH426" s="214" t="s">
        <v>27849</v>
      </c>
      <c r="HI426" s="214" t="s">
        <v>34608</v>
      </c>
      <c r="HJ426" s="214" t="s">
        <v>70</v>
      </c>
      <c r="HK426" s="214" t="s">
        <v>530</v>
      </c>
      <c r="HM426" s="214" t="s">
        <v>27850</v>
      </c>
      <c r="HN426" s="214" t="s">
        <v>34599</v>
      </c>
      <c r="HO426" s="214" t="s">
        <v>70</v>
      </c>
      <c r="HP426" s="214" t="s">
        <v>530</v>
      </c>
      <c r="HR426" s="22" t="s">
        <v>27851</v>
      </c>
      <c r="HS426" s="22" t="s">
        <v>92</v>
      </c>
      <c r="HT426" s="22" t="s">
        <v>70</v>
      </c>
      <c r="HU426" s="214" t="s">
        <v>530</v>
      </c>
      <c r="HW426" s="22" t="s">
        <v>27852</v>
      </c>
      <c r="HX426" s="22" t="s">
        <v>34516</v>
      </c>
      <c r="HY426" s="22" t="s">
        <v>70</v>
      </c>
      <c r="HZ426" s="214" t="s">
        <v>530</v>
      </c>
      <c r="IB426" s="22" t="s">
        <v>27853</v>
      </c>
      <c r="IC426" s="22" t="s">
        <v>90</v>
      </c>
      <c r="ID426" s="22" t="s">
        <v>70</v>
      </c>
      <c r="IE426" s="214" t="s">
        <v>530</v>
      </c>
      <c r="IG426" s="22" t="s">
        <v>27854</v>
      </c>
      <c r="IH426" s="22" t="s">
        <v>52</v>
      </c>
      <c r="II426" s="22" t="s">
        <v>70</v>
      </c>
      <c r="IJ426" s="214" t="s">
        <v>530</v>
      </c>
      <c r="IL426" s="22" t="s">
        <v>27855</v>
      </c>
      <c r="IM426" s="22" t="s">
        <v>145</v>
      </c>
      <c r="IN426" s="22" t="s">
        <v>70</v>
      </c>
      <c r="IO426" s="214" t="s">
        <v>530</v>
      </c>
      <c r="IQ426" s="236" t="s">
        <v>27856</v>
      </c>
      <c r="IR426" s="236" t="s">
        <v>145</v>
      </c>
      <c r="IS426" s="236" t="s">
        <v>74</v>
      </c>
      <c r="IT426" s="236" t="s">
        <v>841</v>
      </c>
      <c r="IV426" s="236" t="s">
        <v>27857</v>
      </c>
      <c r="IW426" s="236" t="s">
        <v>145</v>
      </c>
      <c r="IX426" s="236" t="s">
        <v>74</v>
      </c>
      <c r="IY426" s="236" t="s">
        <v>841</v>
      </c>
      <c r="JA426" s="236" t="s">
        <v>27858</v>
      </c>
      <c r="JB426" s="236" t="s">
        <v>145</v>
      </c>
      <c r="JC426" s="236" t="s">
        <v>74</v>
      </c>
      <c r="JD426" s="236" t="s">
        <v>841</v>
      </c>
      <c r="JF426" s="236" t="s">
        <v>27859</v>
      </c>
      <c r="JG426" s="236" t="s">
        <v>145</v>
      </c>
      <c r="JH426" s="236" t="s">
        <v>74</v>
      </c>
      <c r="JI426" s="236" t="s">
        <v>841</v>
      </c>
      <c r="JK426" s="236" t="s">
        <v>27860</v>
      </c>
      <c r="JL426" s="236" t="s">
        <v>145</v>
      </c>
      <c r="JM426" s="236" t="s">
        <v>74</v>
      </c>
      <c r="JN426" s="236" t="s">
        <v>841</v>
      </c>
      <c r="JP426" s="236" t="s">
        <v>27861</v>
      </c>
      <c r="JQ426" s="236" t="s">
        <v>145</v>
      </c>
      <c r="JR426" s="236" t="s">
        <v>74</v>
      </c>
      <c r="JS426" s="236" t="s">
        <v>841</v>
      </c>
      <c r="JU426" s="294" t="s">
        <v>27862</v>
      </c>
      <c r="JV426" s="294" t="s">
        <v>52</v>
      </c>
      <c r="JW426" s="263" t="s">
        <v>70</v>
      </c>
      <c r="JX426" s="294" t="s">
        <v>1083</v>
      </c>
      <c r="JZ426" s="263" t="s">
        <v>27863</v>
      </c>
      <c r="KA426" s="263" t="s">
        <v>145</v>
      </c>
      <c r="KB426" s="263" t="s">
        <v>70</v>
      </c>
      <c r="KC426" s="263" t="s">
        <v>1083</v>
      </c>
      <c r="KE426" s="263" t="s">
        <v>27864</v>
      </c>
      <c r="KF426" s="263" t="s">
        <v>52</v>
      </c>
      <c r="KG426" s="263" t="s">
        <v>70</v>
      </c>
      <c r="KH426" s="263" t="s">
        <v>1083</v>
      </c>
      <c r="KJ426" s="263" t="s">
        <v>27865</v>
      </c>
      <c r="KK426" s="263" t="s">
        <v>52</v>
      </c>
      <c r="KL426" s="263" t="s">
        <v>74</v>
      </c>
      <c r="KM426" s="263" t="s">
        <v>34074</v>
      </c>
      <c r="KO426" s="214" t="s">
        <v>27866</v>
      </c>
      <c r="KP426" s="214" t="s">
        <v>145</v>
      </c>
      <c r="KQ426" s="214" t="s">
        <v>70</v>
      </c>
      <c r="KR426" s="214" t="s">
        <v>67</v>
      </c>
      <c r="KT426" s="22" t="s">
        <v>27867</v>
      </c>
      <c r="KU426" s="22" t="s">
        <v>145</v>
      </c>
      <c r="KV426" s="22" t="s">
        <v>70</v>
      </c>
      <c r="KW426" s="22" t="s">
        <v>67</v>
      </c>
      <c r="KY426" s="214" t="s">
        <v>27868</v>
      </c>
      <c r="KZ426" s="214" t="s">
        <v>52</v>
      </c>
      <c r="LA426" s="214" t="s">
        <v>74</v>
      </c>
      <c r="LB426" s="214" t="s">
        <v>67</v>
      </c>
      <c r="LD426" s="22" t="s">
        <v>27869</v>
      </c>
      <c r="LE426" s="22" t="s">
        <v>145</v>
      </c>
      <c r="LF426" s="22" t="s">
        <v>70</v>
      </c>
      <c r="LG426" s="22" t="s">
        <v>67</v>
      </c>
    </row>
    <row r="427" spans="1:319">
      <c r="A427" s="22" t="s">
        <v>27870</v>
      </c>
      <c r="B427" s="22" t="s">
        <v>145</v>
      </c>
      <c r="C427" s="22" t="s">
        <v>70</v>
      </c>
      <c r="D427" s="22" t="s">
        <v>67</v>
      </c>
      <c r="F427" s="97" t="s">
        <v>27871</v>
      </c>
      <c r="G427" s="22" t="s">
        <v>145</v>
      </c>
      <c r="H427" s="22" t="s">
        <v>70</v>
      </c>
      <c r="I427" s="22" t="s">
        <v>67</v>
      </c>
      <c r="K427" s="99" t="s">
        <v>27872</v>
      </c>
      <c r="L427" s="22" t="s">
        <v>145</v>
      </c>
      <c r="M427" s="22" t="s">
        <v>70</v>
      </c>
      <c r="N427" s="22" t="s">
        <v>67</v>
      </c>
      <c r="P427" s="230" t="s">
        <v>27873</v>
      </c>
      <c r="Q427" s="218" t="s">
        <v>145</v>
      </c>
      <c r="R427" s="218" t="s">
        <v>72</v>
      </c>
      <c r="S427" s="218" t="s">
        <v>34028</v>
      </c>
      <c r="U427" s="293" t="s">
        <v>27874</v>
      </c>
      <c r="V427" s="293" t="s">
        <v>145</v>
      </c>
      <c r="W427" s="293" t="s">
        <v>74</v>
      </c>
      <c r="X427" s="293" t="s">
        <v>656</v>
      </c>
      <c r="Z427" s="293" t="s">
        <v>27875</v>
      </c>
      <c r="AA427" s="293" t="s">
        <v>145</v>
      </c>
      <c r="AB427" s="293" t="s">
        <v>74</v>
      </c>
      <c r="AC427" s="293" t="s">
        <v>656</v>
      </c>
      <c r="AE427" s="293" t="s">
        <v>27876</v>
      </c>
      <c r="AF427" s="293" t="s">
        <v>145</v>
      </c>
      <c r="AG427" s="293" t="s">
        <v>74</v>
      </c>
      <c r="AH427" s="293" t="s">
        <v>656</v>
      </c>
      <c r="AJ427" s="293" t="s">
        <v>27877</v>
      </c>
      <c r="AK427" s="293" t="s">
        <v>145</v>
      </c>
      <c r="AL427" s="293" t="s">
        <v>74</v>
      </c>
      <c r="AM427" s="293" t="s">
        <v>656</v>
      </c>
      <c r="AO427" s="22" t="s">
        <v>27878</v>
      </c>
      <c r="AP427" s="22" t="s">
        <v>145</v>
      </c>
      <c r="AQ427" s="22" t="s">
        <v>70</v>
      </c>
      <c r="AR427" s="22" t="s">
        <v>67</v>
      </c>
      <c r="AT427" s="22" t="s">
        <v>27879</v>
      </c>
      <c r="AU427" s="22" t="s">
        <v>145</v>
      </c>
      <c r="AV427" s="22" t="s">
        <v>70</v>
      </c>
      <c r="AW427" s="22" t="s">
        <v>67</v>
      </c>
      <c r="AY427" s="22" t="s">
        <v>27880</v>
      </c>
      <c r="AZ427" s="22" t="s">
        <v>145</v>
      </c>
      <c r="BA427" s="22" t="s">
        <v>70</v>
      </c>
      <c r="BB427" s="22" t="s">
        <v>67</v>
      </c>
      <c r="BD427" s="22" t="s">
        <v>27881</v>
      </c>
      <c r="BE427" s="22" t="s">
        <v>145</v>
      </c>
      <c r="BF427" s="22" t="s">
        <v>70</v>
      </c>
      <c r="BG427" s="22" t="s">
        <v>67</v>
      </c>
      <c r="BI427" s="22" t="s">
        <v>27882</v>
      </c>
      <c r="BJ427" s="22" t="s">
        <v>145</v>
      </c>
      <c r="BK427" s="22" t="s">
        <v>70</v>
      </c>
      <c r="BL427" s="22" t="s">
        <v>67</v>
      </c>
      <c r="BN427" s="22" t="s">
        <v>27883</v>
      </c>
      <c r="BO427" s="22" t="s">
        <v>145</v>
      </c>
      <c r="BP427" s="22" t="s">
        <v>70</v>
      </c>
      <c r="BQ427" s="22" t="s">
        <v>67</v>
      </c>
      <c r="BS427" s="22" t="s">
        <v>27884</v>
      </c>
      <c r="BT427" s="22" t="s">
        <v>145</v>
      </c>
      <c r="BU427" s="22" t="s">
        <v>70</v>
      </c>
      <c r="BV427" s="214" t="s">
        <v>530</v>
      </c>
      <c r="BX427" s="22" t="s">
        <v>27885</v>
      </c>
      <c r="BY427" s="22" t="s">
        <v>145</v>
      </c>
      <c r="BZ427" s="22" t="s">
        <v>70</v>
      </c>
      <c r="CA427" s="214" t="s">
        <v>530</v>
      </c>
      <c r="CC427" s="214" t="s">
        <v>27886</v>
      </c>
      <c r="CD427" s="214" t="s">
        <v>52</v>
      </c>
      <c r="CE427" s="214" t="s">
        <v>70</v>
      </c>
      <c r="CF427" s="214" t="s">
        <v>530</v>
      </c>
      <c r="CH427" s="214" t="s">
        <v>27887</v>
      </c>
      <c r="CI427" s="214" t="s">
        <v>496</v>
      </c>
      <c r="CJ427" s="214" t="s">
        <v>70</v>
      </c>
      <c r="CK427" s="214" t="s">
        <v>530</v>
      </c>
      <c r="CM427" s="214" t="s">
        <v>27888</v>
      </c>
      <c r="CN427" s="214" t="s">
        <v>146</v>
      </c>
      <c r="CO427" s="214" t="s">
        <v>70</v>
      </c>
      <c r="CP427" s="214" t="s">
        <v>530</v>
      </c>
      <c r="CR427" s="214" t="s">
        <v>27889</v>
      </c>
      <c r="CS427" s="214" t="s">
        <v>34555</v>
      </c>
      <c r="CT427" s="214" t="s">
        <v>70</v>
      </c>
      <c r="CU427" s="214" t="s">
        <v>530</v>
      </c>
      <c r="CW427" s="214" t="s">
        <v>27890</v>
      </c>
      <c r="CX427" s="214" t="s">
        <v>491</v>
      </c>
      <c r="CY427" s="214" t="s">
        <v>70</v>
      </c>
      <c r="CZ427" s="214" t="s">
        <v>530</v>
      </c>
      <c r="DB427" s="214" t="s">
        <v>27891</v>
      </c>
      <c r="DC427" s="214" t="s">
        <v>85</v>
      </c>
      <c r="DD427" s="214" t="s">
        <v>70</v>
      </c>
      <c r="DE427" s="214" t="s">
        <v>530</v>
      </c>
      <c r="DG427" s="214" t="s">
        <v>27892</v>
      </c>
      <c r="DH427" s="214" t="s">
        <v>34551</v>
      </c>
      <c r="DI427" s="214" t="s">
        <v>70</v>
      </c>
      <c r="DJ427" s="214" t="s">
        <v>530</v>
      </c>
      <c r="DL427" s="214" t="s">
        <v>27893</v>
      </c>
      <c r="DM427" s="214" t="s">
        <v>146</v>
      </c>
      <c r="DN427" s="214" t="s">
        <v>70</v>
      </c>
      <c r="DO427" s="214" t="s">
        <v>530</v>
      </c>
      <c r="DQ427" s="214" t="s">
        <v>27894</v>
      </c>
      <c r="DR427" s="214" t="s">
        <v>531</v>
      </c>
      <c r="DS427" s="214" t="s">
        <v>70</v>
      </c>
      <c r="DT427" s="214" t="s">
        <v>530</v>
      </c>
      <c r="DV427" s="214" t="s">
        <v>27895</v>
      </c>
      <c r="DW427" s="214" t="s">
        <v>502</v>
      </c>
      <c r="DX427" s="214" t="s">
        <v>70</v>
      </c>
      <c r="DY427" s="214" t="s">
        <v>530</v>
      </c>
      <c r="EA427" s="214" t="s">
        <v>27896</v>
      </c>
      <c r="EB427" s="214" t="s">
        <v>52</v>
      </c>
      <c r="EC427" s="214" t="s">
        <v>70</v>
      </c>
      <c r="ED427" s="214" t="s">
        <v>530</v>
      </c>
      <c r="EF427" s="214" t="s">
        <v>27897</v>
      </c>
      <c r="EG427" s="214" t="s">
        <v>492</v>
      </c>
      <c r="EH427" s="214" t="s">
        <v>70</v>
      </c>
      <c r="EI427" s="214" t="s">
        <v>530</v>
      </c>
      <c r="EK427" s="214" t="s">
        <v>27898</v>
      </c>
      <c r="EL427" s="214" t="s">
        <v>34541</v>
      </c>
      <c r="EM427" s="214" t="s">
        <v>70</v>
      </c>
      <c r="EN427" s="214" t="s">
        <v>530</v>
      </c>
      <c r="EP427" s="214" t="s">
        <v>27899</v>
      </c>
      <c r="EQ427" s="214" t="s">
        <v>34557</v>
      </c>
      <c r="ER427" s="214" t="s">
        <v>70</v>
      </c>
      <c r="ES427" s="214" t="s">
        <v>530</v>
      </c>
      <c r="EU427" s="214" t="s">
        <v>27900</v>
      </c>
      <c r="EV427" s="214" t="s">
        <v>937</v>
      </c>
      <c r="EW427" s="214" t="s">
        <v>70</v>
      </c>
      <c r="EX427" s="214" t="s">
        <v>530</v>
      </c>
      <c r="EZ427" s="214" t="s">
        <v>27901</v>
      </c>
      <c r="FA427" s="214" t="s">
        <v>146</v>
      </c>
      <c r="FB427" s="214" t="s">
        <v>70</v>
      </c>
      <c r="FC427" s="214" t="s">
        <v>530</v>
      </c>
      <c r="FE427" s="214" t="s">
        <v>27902</v>
      </c>
      <c r="FF427" s="214" t="s">
        <v>146</v>
      </c>
      <c r="FG427" s="214" t="s">
        <v>70</v>
      </c>
      <c r="FH427" s="214" t="s">
        <v>530</v>
      </c>
      <c r="FJ427" s="321" t="s">
        <v>27903</v>
      </c>
      <c r="FK427" s="214" t="s">
        <v>34541</v>
      </c>
      <c r="FL427" s="214" t="s">
        <v>70</v>
      </c>
      <c r="FM427" s="214" t="s">
        <v>530</v>
      </c>
      <c r="FO427" s="321" t="s">
        <v>27904</v>
      </c>
      <c r="FP427" s="214" t="s">
        <v>485</v>
      </c>
      <c r="FQ427" s="214" t="s">
        <v>70</v>
      </c>
      <c r="FR427" s="214" t="s">
        <v>530</v>
      </c>
      <c r="FT427" s="321" t="s">
        <v>27905</v>
      </c>
      <c r="FU427" s="214" t="s">
        <v>501</v>
      </c>
      <c r="FV427" s="214" t="s">
        <v>70</v>
      </c>
      <c r="FW427" s="214" t="s">
        <v>530</v>
      </c>
      <c r="FY427" s="321" t="s">
        <v>27906</v>
      </c>
      <c r="FZ427" s="214" t="s">
        <v>52</v>
      </c>
      <c r="GA427" s="214" t="s">
        <v>70</v>
      </c>
      <c r="GB427" s="214" t="s">
        <v>530</v>
      </c>
      <c r="GD427" s="321" t="s">
        <v>27907</v>
      </c>
      <c r="GE427" s="214" t="s">
        <v>205</v>
      </c>
      <c r="GF427" s="214" t="s">
        <v>70</v>
      </c>
      <c r="GG427" s="214" t="s">
        <v>530</v>
      </c>
      <c r="GI427" s="321" t="s">
        <v>27908</v>
      </c>
      <c r="GJ427" s="214" t="s">
        <v>950</v>
      </c>
      <c r="GK427" s="214" t="s">
        <v>70</v>
      </c>
      <c r="GL427" s="214" t="s">
        <v>530</v>
      </c>
      <c r="GN427" s="321" t="s">
        <v>27909</v>
      </c>
      <c r="GO427" s="214" t="s">
        <v>146</v>
      </c>
      <c r="GP427" s="214" t="s">
        <v>70</v>
      </c>
      <c r="GQ427" s="214" t="s">
        <v>530</v>
      </c>
      <c r="GS427" s="321" t="s">
        <v>27910</v>
      </c>
      <c r="GT427" s="214" t="s">
        <v>929</v>
      </c>
      <c r="GU427" s="214" t="s">
        <v>70</v>
      </c>
      <c r="GV427" s="214" t="s">
        <v>530</v>
      </c>
      <c r="GX427" s="214" t="s">
        <v>27911</v>
      </c>
      <c r="GY427" s="214" t="s">
        <v>488</v>
      </c>
      <c r="GZ427" s="214" t="s">
        <v>70</v>
      </c>
      <c r="HA427" s="214" t="s">
        <v>530</v>
      </c>
      <c r="HC427" s="214" t="s">
        <v>27912</v>
      </c>
      <c r="HD427" s="214" t="s">
        <v>484</v>
      </c>
      <c r="HE427" s="214" t="s">
        <v>70</v>
      </c>
      <c r="HF427" s="214" t="s">
        <v>530</v>
      </c>
      <c r="HH427" s="214" t="s">
        <v>27913</v>
      </c>
      <c r="HI427" s="214" t="s">
        <v>148</v>
      </c>
      <c r="HJ427" s="214" t="s">
        <v>70</v>
      </c>
      <c r="HK427" s="214" t="s">
        <v>530</v>
      </c>
      <c r="HM427" s="214" t="s">
        <v>27914</v>
      </c>
      <c r="HN427" s="214" t="s">
        <v>145</v>
      </c>
      <c r="HO427" s="214" t="s">
        <v>70</v>
      </c>
      <c r="HP427" s="214" t="s">
        <v>530</v>
      </c>
      <c r="HR427" s="22" t="s">
        <v>27915</v>
      </c>
      <c r="HS427" s="22" t="s">
        <v>496</v>
      </c>
      <c r="HT427" s="22" t="s">
        <v>70</v>
      </c>
      <c r="HU427" s="214" t="s">
        <v>530</v>
      </c>
      <c r="HW427" s="22" t="s">
        <v>27916</v>
      </c>
      <c r="HX427" s="22" t="s">
        <v>34516</v>
      </c>
      <c r="HY427" s="22" t="s">
        <v>70</v>
      </c>
      <c r="HZ427" s="214" t="s">
        <v>530</v>
      </c>
      <c r="IB427" s="22" t="s">
        <v>27917</v>
      </c>
      <c r="IC427" s="22" t="s">
        <v>487</v>
      </c>
      <c r="ID427" s="22" t="s">
        <v>70</v>
      </c>
      <c r="IE427" s="214" t="s">
        <v>530</v>
      </c>
      <c r="IG427" s="22" t="s">
        <v>27918</v>
      </c>
      <c r="IH427" s="22" t="s">
        <v>52</v>
      </c>
      <c r="II427" s="22" t="s">
        <v>70</v>
      </c>
      <c r="IJ427" s="214" t="s">
        <v>530</v>
      </c>
      <c r="IL427" s="22" t="s">
        <v>27919</v>
      </c>
      <c r="IM427" s="22" t="s">
        <v>145</v>
      </c>
      <c r="IN427" s="22" t="s">
        <v>70</v>
      </c>
      <c r="IO427" s="214" t="s">
        <v>530</v>
      </c>
      <c r="IQ427" s="236" t="s">
        <v>27920</v>
      </c>
      <c r="IR427" s="236" t="s">
        <v>145</v>
      </c>
      <c r="IS427" s="236" t="s">
        <v>74</v>
      </c>
      <c r="IT427" s="236" t="s">
        <v>841</v>
      </c>
      <c r="IV427" s="236" t="s">
        <v>27921</v>
      </c>
      <c r="IW427" s="236" t="s">
        <v>145</v>
      </c>
      <c r="IX427" s="236" t="s">
        <v>74</v>
      </c>
      <c r="IY427" s="236" t="s">
        <v>841</v>
      </c>
      <c r="JA427" s="236" t="s">
        <v>27922</v>
      </c>
      <c r="JB427" s="236" t="s">
        <v>145</v>
      </c>
      <c r="JC427" s="236" t="s">
        <v>74</v>
      </c>
      <c r="JD427" s="236" t="s">
        <v>841</v>
      </c>
      <c r="JF427" s="236" t="s">
        <v>27923</v>
      </c>
      <c r="JG427" s="236" t="s">
        <v>145</v>
      </c>
      <c r="JH427" s="236" t="s">
        <v>74</v>
      </c>
      <c r="JI427" s="236" t="s">
        <v>841</v>
      </c>
      <c r="JK427" s="236" t="s">
        <v>27924</v>
      </c>
      <c r="JL427" s="236" t="s">
        <v>145</v>
      </c>
      <c r="JM427" s="236" t="s">
        <v>74</v>
      </c>
      <c r="JN427" s="236" t="s">
        <v>841</v>
      </c>
      <c r="JP427" s="236" t="s">
        <v>27925</v>
      </c>
      <c r="JQ427" s="236" t="s">
        <v>145</v>
      </c>
      <c r="JR427" s="236" t="s">
        <v>74</v>
      </c>
      <c r="JS427" s="236" t="s">
        <v>841</v>
      </c>
      <c r="JU427" s="294" t="s">
        <v>27926</v>
      </c>
      <c r="JV427" s="294" t="s">
        <v>52</v>
      </c>
      <c r="JW427" s="263" t="s">
        <v>70</v>
      </c>
      <c r="JX427" s="294" t="s">
        <v>1083</v>
      </c>
      <c r="JZ427" s="263" t="s">
        <v>27927</v>
      </c>
      <c r="KA427" s="263" t="s">
        <v>145</v>
      </c>
      <c r="KB427" s="263" t="s">
        <v>70</v>
      </c>
      <c r="KC427" s="263" t="s">
        <v>1083</v>
      </c>
      <c r="KE427" s="263" t="s">
        <v>27928</v>
      </c>
      <c r="KF427" s="263" t="s">
        <v>52</v>
      </c>
      <c r="KG427" s="263" t="s">
        <v>70</v>
      </c>
      <c r="KH427" s="263" t="s">
        <v>1083</v>
      </c>
      <c r="KJ427" s="263" t="s">
        <v>27929</v>
      </c>
      <c r="KK427" s="263" t="s">
        <v>52</v>
      </c>
      <c r="KL427" s="263" t="s">
        <v>74</v>
      </c>
      <c r="KM427" s="263" t="s">
        <v>34074</v>
      </c>
      <c r="KO427" s="214" t="s">
        <v>27930</v>
      </c>
      <c r="KP427" s="214" t="s">
        <v>145</v>
      </c>
      <c r="KQ427" s="214" t="s">
        <v>70</v>
      </c>
      <c r="KR427" s="214" t="s">
        <v>67</v>
      </c>
      <c r="KT427" s="22" t="s">
        <v>27931</v>
      </c>
      <c r="KU427" s="22" t="s">
        <v>145</v>
      </c>
      <c r="KV427" s="22" t="s">
        <v>70</v>
      </c>
      <c r="KW427" s="22" t="s">
        <v>67</v>
      </c>
      <c r="KY427" s="214" t="s">
        <v>27932</v>
      </c>
      <c r="KZ427" s="214" t="s">
        <v>52</v>
      </c>
      <c r="LA427" s="214" t="s">
        <v>74</v>
      </c>
      <c r="LB427" s="214" t="s">
        <v>67</v>
      </c>
      <c r="LD427" s="22" t="s">
        <v>27933</v>
      </c>
      <c r="LE427" s="22" t="s">
        <v>145</v>
      </c>
      <c r="LF427" s="22" t="s">
        <v>70</v>
      </c>
      <c r="LG427" s="22" t="s">
        <v>67</v>
      </c>
    </row>
    <row r="428" spans="1:319">
      <c r="A428" s="22" t="s">
        <v>27934</v>
      </c>
      <c r="B428" s="22" t="s">
        <v>145</v>
      </c>
      <c r="C428" s="22" t="s">
        <v>70</v>
      </c>
      <c r="D428" s="22" t="s">
        <v>67</v>
      </c>
      <c r="F428" s="97" t="s">
        <v>27935</v>
      </c>
      <c r="G428" s="22" t="s">
        <v>145</v>
      </c>
      <c r="H428" s="22" t="s">
        <v>70</v>
      </c>
      <c r="I428" s="22" t="s">
        <v>67</v>
      </c>
      <c r="K428" s="99" t="s">
        <v>27936</v>
      </c>
      <c r="L428" s="22" t="s">
        <v>145</v>
      </c>
      <c r="M428" s="22" t="s">
        <v>70</v>
      </c>
      <c r="N428" s="22" t="s">
        <v>67</v>
      </c>
      <c r="P428" s="230" t="s">
        <v>27937</v>
      </c>
      <c r="Q428" s="218" t="s">
        <v>145</v>
      </c>
      <c r="R428" s="218" t="s">
        <v>72</v>
      </c>
      <c r="S428" s="218" t="s">
        <v>34029</v>
      </c>
      <c r="U428" s="293" t="s">
        <v>27938</v>
      </c>
      <c r="V428" s="293" t="s">
        <v>145</v>
      </c>
      <c r="W428" s="293" t="s">
        <v>74</v>
      </c>
      <c r="X428" s="293" t="s">
        <v>656</v>
      </c>
      <c r="Z428" s="293" t="s">
        <v>27939</v>
      </c>
      <c r="AA428" s="293" t="s">
        <v>145</v>
      </c>
      <c r="AB428" s="293" t="s">
        <v>74</v>
      </c>
      <c r="AC428" s="293" t="s">
        <v>656</v>
      </c>
      <c r="AE428" s="293" t="s">
        <v>27940</v>
      </c>
      <c r="AF428" s="293" t="s">
        <v>145</v>
      </c>
      <c r="AG428" s="293" t="s">
        <v>74</v>
      </c>
      <c r="AH428" s="293" t="s">
        <v>656</v>
      </c>
      <c r="AJ428" s="293" t="s">
        <v>27941</v>
      </c>
      <c r="AK428" s="293" t="s">
        <v>145</v>
      </c>
      <c r="AL428" s="293" t="s">
        <v>74</v>
      </c>
      <c r="AM428" s="293" t="s">
        <v>656</v>
      </c>
      <c r="AO428" s="22" t="s">
        <v>27942</v>
      </c>
      <c r="AP428" s="22" t="s">
        <v>145</v>
      </c>
      <c r="AQ428" s="22" t="s">
        <v>70</v>
      </c>
      <c r="AR428" s="22" t="s">
        <v>67</v>
      </c>
      <c r="AT428" s="22" t="s">
        <v>27943</v>
      </c>
      <c r="AU428" s="22" t="s">
        <v>145</v>
      </c>
      <c r="AV428" s="22" t="s">
        <v>70</v>
      </c>
      <c r="AW428" s="22" t="s">
        <v>67</v>
      </c>
      <c r="AY428" s="22" t="s">
        <v>27944</v>
      </c>
      <c r="AZ428" s="22" t="s">
        <v>145</v>
      </c>
      <c r="BA428" s="22" t="s">
        <v>70</v>
      </c>
      <c r="BB428" s="22" t="s">
        <v>67</v>
      </c>
      <c r="BD428" s="22" t="s">
        <v>27945</v>
      </c>
      <c r="BE428" s="22" t="s">
        <v>145</v>
      </c>
      <c r="BF428" s="22" t="s">
        <v>70</v>
      </c>
      <c r="BG428" s="22" t="s">
        <v>67</v>
      </c>
      <c r="BI428" s="22" t="s">
        <v>27946</v>
      </c>
      <c r="BJ428" s="22" t="s">
        <v>145</v>
      </c>
      <c r="BK428" s="22" t="s">
        <v>70</v>
      </c>
      <c r="BL428" s="22" t="s">
        <v>67</v>
      </c>
      <c r="BN428" s="22" t="s">
        <v>27947</v>
      </c>
      <c r="BO428" s="22" t="s">
        <v>145</v>
      </c>
      <c r="BP428" s="22" t="s">
        <v>70</v>
      </c>
      <c r="BQ428" s="22" t="s">
        <v>67</v>
      </c>
      <c r="BS428" s="22" t="s">
        <v>27948</v>
      </c>
      <c r="BT428" s="22" t="s">
        <v>145</v>
      </c>
      <c r="BU428" s="22" t="s">
        <v>70</v>
      </c>
      <c r="BV428" s="214" t="s">
        <v>530</v>
      </c>
      <c r="BX428" s="22" t="s">
        <v>27949</v>
      </c>
      <c r="BY428" s="22" t="s">
        <v>145</v>
      </c>
      <c r="BZ428" s="22" t="s">
        <v>70</v>
      </c>
      <c r="CA428" s="214" t="s">
        <v>530</v>
      </c>
      <c r="CC428" s="214" t="s">
        <v>27950</v>
      </c>
      <c r="CD428" s="214" t="s">
        <v>52</v>
      </c>
      <c r="CE428" s="214" t="s">
        <v>70</v>
      </c>
      <c r="CF428" s="214" t="s">
        <v>530</v>
      </c>
      <c r="CH428" s="214" t="s">
        <v>27951</v>
      </c>
      <c r="CI428" s="214" t="s">
        <v>936</v>
      </c>
      <c r="CJ428" s="214" t="s">
        <v>70</v>
      </c>
      <c r="CK428" s="214" t="s">
        <v>530</v>
      </c>
      <c r="CM428" s="214" t="s">
        <v>27952</v>
      </c>
      <c r="CN428" s="214" t="s">
        <v>85</v>
      </c>
      <c r="CO428" s="214" t="s">
        <v>70</v>
      </c>
      <c r="CP428" s="214" t="s">
        <v>530</v>
      </c>
      <c r="CR428" s="214" t="s">
        <v>27953</v>
      </c>
      <c r="CS428" s="214" t="s">
        <v>486</v>
      </c>
      <c r="CT428" s="214" t="s">
        <v>70</v>
      </c>
      <c r="CU428" s="214" t="s">
        <v>530</v>
      </c>
      <c r="CW428" s="214" t="s">
        <v>27954</v>
      </c>
      <c r="CX428" s="214" t="s">
        <v>86</v>
      </c>
      <c r="CY428" s="214" t="s">
        <v>70</v>
      </c>
      <c r="CZ428" s="214" t="s">
        <v>530</v>
      </c>
      <c r="DB428" s="214" t="s">
        <v>27955</v>
      </c>
      <c r="DC428" s="214" t="s">
        <v>655</v>
      </c>
      <c r="DD428" s="214" t="s">
        <v>70</v>
      </c>
      <c r="DE428" s="214" t="s">
        <v>530</v>
      </c>
      <c r="DG428" s="214" t="s">
        <v>27956</v>
      </c>
      <c r="DH428" s="214" t="s">
        <v>34569</v>
      </c>
      <c r="DI428" s="214" t="s">
        <v>70</v>
      </c>
      <c r="DJ428" s="214" t="s">
        <v>530</v>
      </c>
      <c r="DL428" s="214" t="s">
        <v>27957</v>
      </c>
      <c r="DM428" s="214" t="s">
        <v>148</v>
      </c>
      <c r="DN428" s="214" t="s">
        <v>70</v>
      </c>
      <c r="DO428" s="214" t="s">
        <v>530</v>
      </c>
      <c r="DQ428" s="214" t="s">
        <v>27958</v>
      </c>
      <c r="DR428" s="214" t="s">
        <v>956</v>
      </c>
      <c r="DS428" s="214" t="s">
        <v>70</v>
      </c>
      <c r="DT428" s="214" t="s">
        <v>530</v>
      </c>
      <c r="DV428" s="214" t="s">
        <v>27959</v>
      </c>
      <c r="DW428" s="214" t="s">
        <v>21742</v>
      </c>
      <c r="DX428" s="214" t="s">
        <v>70</v>
      </c>
      <c r="DY428" s="214" t="s">
        <v>530</v>
      </c>
      <c r="EA428" s="214" t="s">
        <v>27960</v>
      </c>
      <c r="EB428" s="214" t="s">
        <v>34576</v>
      </c>
      <c r="EC428" s="214" t="s">
        <v>70</v>
      </c>
      <c r="ED428" s="214" t="s">
        <v>530</v>
      </c>
      <c r="EF428" s="214" t="s">
        <v>27961</v>
      </c>
      <c r="EG428" s="214" t="s">
        <v>88</v>
      </c>
      <c r="EH428" s="214" t="s">
        <v>70</v>
      </c>
      <c r="EI428" s="214" t="s">
        <v>530</v>
      </c>
      <c r="EK428" s="214" t="s">
        <v>27962</v>
      </c>
      <c r="EL428" s="214" t="s">
        <v>34571</v>
      </c>
      <c r="EM428" s="214" t="s">
        <v>70</v>
      </c>
      <c r="EN428" s="214" t="s">
        <v>530</v>
      </c>
      <c r="EP428" s="214" t="s">
        <v>27963</v>
      </c>
      <c r="EQ428" s="214" t="s">
        <v>52</v>
      </c>
      <c r="ER428" s="214" t="s">
        <v>70</v>
      </c>
      <c r="ES428" s="214" t="s">
        <v>530</v>
      </c>
      <c r="EU428" s="214" t="s">
        <v>27964</v>
      </c>
      <c r="EV428" s="214" t="s">
        <v>292</v>
      </c>
      <c r="EW428" s="214" t="s">
        <v>70</v>
      </c>
      <c r="EX428" s="214" t="s">
        <v>530</v>
      </c>
      <c r="EZ428" s="214" t="s">
        <v>27965</v>
      </c>
      <c r="FA428" s="214" t="s">
        <v>602</v>
      </c>
      <c r="FB428" s="214" t="s">
        <v>70</v>
      </c>
      <c r="FC428" s="214" t="s">
        <v>530</v>
      </c>
      <c r="FE428" s="214" t="s">
        <v>27966</v>
      </c>
      <c r="FF428" s="214" t="s">
        <v>52</v>
      </c>
      <c r="FG428" s="214" t="s">
        <v>70</v>
      </c>
      <c r="FH428" s="214" t="s">
        <v>530</v>
      </c>
      <c r="FJ428" s="321" t="s">
        <v>27967</v>
      </c>
      <c r="FK428" s="214" t="s">
        <v>487</v>
      </c>
      <c r="FL428" s="214" t="s">
        <v>70</v>
      </c>
      <c r="FM428" s="214" t="s">
        <v>530</v>
      </c>
      <c r="FO428" s="321" t="s">
        <v>27968</v>
      </c>
      <c r="FP428" s="214" t="s">
        <v>34585</v>
      </c>
      <c r="FQ428" s="214" t="s">
        <v>70</v>
      </c>
      <c r="FR428" s="214" t="s">
        <v>530</v>
      </c>
      <c r="FT428" s="321" t="s">
        <v>27969</v>
      </c>
      <c r="FU428" s="214" t="s">
        <v>499</v>
      </c>
      <c r="FV428" s="214" t="s">
        <v>70</v>
      </c>
      <c r="FW428" s="214" t="s">
        <v>530</v>
      </c>
      <c r="FY428" s="321" t="s">
        <v>27970</v>
      </c>
      <c r="FZ428" s="214" t="s">
        <v>145</v>
      </c>
      <c r="GA428" s="214" t="s">
        <v>70</v>
      </c>
      <c r="GB428" s="214" t="s">
        <v>530</v>
      </c>
      <c r="GD428" s="321" t="s">
        <v>27971</v>
      </c>
      <c r="GE428" s="214" t="s">
        <v>604</v>
      </c>
      <c r="GF428" s="214" t="s">
        <v>70</v>
      </c>
      <c r="GG428" s="214" t="s">
        <v>530</v>
      </c>
      <c r="GI428" s="321" t="s">
        <v>27972</v>
      </c>
      <c r="GJ428" s="214" t="s">
        <v>52</v>
      </c>
      <c r="GK428" s="214" t="s">
        <v>70</v>
      </c>
      <c r="GL428" s="214" t="s">
        <v>530</v>
      </c>
      <c r="GN428" s="321" t="s">
        <v>27973</v>
      </c>
      <c r="GO428" s="214" t="s">
        <v>52</v>
      </c>
      <c r="GP428" s="214" t="s">
        <v>70</v>
      </c>
      <c r="GQ428" s="214" t="s">
        <v>530</v>
      </c>
      <c r="GS428" s="321" t="s">
        <v>27974</v>
      </c>
      <c r="GT428" s="214" t="s">
        <v>642</v>
      </c>
      <c r="GU428" s="214" t="s">
        <v>70</v>
      </c>
      <c r="GV428" s="214" t="s">
        <v>530</v>
      </c>
      <c r="GX428" s="214" t="s">
        <v>27975</v>
      </c>
      <c r="GY428" s="214" t="s">
        <v>92</v>
      </c>
      <c r="GZ428" s="214" t="s">
        <v>70</v>
      </c>
      <c r="HA428" s="214" t="s">
        <v>530</v>
      </c>
      <c r="HC428" s="214" t="s">
        <v>27976</v>
      </c>
      <c r="HD428" s="214" t="s">
        <v>148</v>
      </c>
      <c r="HE428" s="214" t="s">
        <v>70</v>
      </c>
      <c r="HF428" s="214" t="s">
        <v>530</v>
      </c>
      <c r="HH428" s="214" t="s">
        <v>27977</v>
      </c>
      <c r="HI428" s="214" t="s">
        <v>146</v>
      </c>
      <c r="HJ428" s="214" t="s">
        <v>70</v>
      </c>
      <c r="HK428" s="214" t="s">
        <v>530</v>
      </c>
      <c r="HM428" s="214" t="s">
        <v>27978</v>
      </c>
      <c r="HN428" s="214" t="s">
        <v>52</v>
      </c>
      <c r="HO428" s="214" t="s">
        <v>70</v>
      </c>
      <c r="HP428" s="214" t="s">
        <v>530</v>
      </c>
      <c r="HR428" s="22" t="s">
        <v>27979</v>
      </c>
      <c r="HS428" s="22" t="s">
        <v>52</v>
      </c>
      <c r="HT428" s="22" t="s">
        <v>70</v>
      </c>
      <c r="HU428" s="214" t="s">
        <v>530</v>
      </c>
      <c r="HW428" s="22" t="s">
        <v>27980</v>
      </c>
      <c r="HX428" s="22" t="s">
        <v>34632</v>
      </c>
      <c r="HY428" s="22" t="s">
        <v>70</v>
      </c>
      <c r="HZ428" s="214" t="s">
        <v>530</v>
      </c>
      <c r="IB428" s="22" t="s">
        <v>27981</v>
      </c>
      <c r="IC428" s="22" t="s">
        <v>148</v>
      </c>
      <c r="ID428" s="22" t="s">
        <v>70</v>
      </c>
      <c r="IE428" s="214" t="s">
        <v>530</v>
      </c>
      <c r="IG428" s="22" t="s">
        <v>27982</v>
      </c>
      <c r="IH428" s="22" t="s">
        <v>52</v>
      </c>
      <c r="II428" s="22" t="s">
        <v>70</v>
      </c>
      <c r="IJ428" s="214" t="s">
        <v>530</v>
      </c>
      <c r="IL428" s="22" t="s">
        <v>27983</v>
      </c>
      <c r="IM428" s="22" t="s">
        <v>145</v>
      </c>
      <c r="IN428" s="22" t="s">
        <v>70</v>
      </c>
      <c r="IO428" s="214" t="s">
        <v>530</v>
      </c>
      <c r="IQ428" s="236" t="s">
        <v>27984</v>
      </c>
      <c r="IR428" s="236" t="s">
        <v>145</v>
      </c>
      <c r="IS428" s="236" t="s">
        <v>74</v>
      </c>
      <c r="IT428" s="236" t="s">
        <v>841</v>
      </c>
      <c r="IV428" s="236" t="s">
        <v>27985</v>
      </c>
      <c r="IW428" s="236" t="s">
        <v>145</v>
      </c>
      <c r="IX428" s="236" t="s">
        <v>74</v>
      </c>
      <c r="IY428" s="236" t="s">
        <v>841</v>
      </c>
      <c r="JA428" s="236" t="s">
        <v>27986</v>
      </c>
      <c r="JB428" s="236" t="s">
        <v>145</v>
      </c>
      <c r="JC428" s="236" t="s">
        <v>74</v>
      </c>
      <c r="JD428" s="236" t="s">
        <v>841</v>
      </c>
      <c r="JF428" s="236" t="s">
        <v>27987</v>
      </c>
      <c r="JG428" s="236" t="s">
        <v>145</v>
      </c>
      <c r="JH428" s="236" t="s">
        <v>74</v>
      </c>
      <c r="JI428" s="236" t="s">
        <v>841</v>
      </c>
      <c r="JK428" s="236" t="s">
        <v>27988</v>
      </c>
      <c r="JL428" s="236" t="s">
        <v>145</v>
      </c>
      <c r="JM428" s="236" t="s">
        <v>74</v>
      </c>
      <c r="JN428" s="236" t="s">
        <v>841</v>
      </c>
      <c r="JP428" s="236" t="s">
        <v>27989</v>
      </c>
      <c r="JQ428" s="236" t="s">
        <v>145</v>
      </c>
      <c r="JR428" s="236" t="s">
        <v>74</v>
      </c>
      <c r="JS428" s="236" t="s">
        <v>841</v>
      </c>
      <c r="JU428" s="294" t="s">
        <v>27990</v>
      </c>
      <c r="JV428" s="294" t="s">
        <v>52</v>
      </c>
      <c r="JW428" s="263" t="s">
        <v>70</v>
      </c>
      <c r="JX428" s="294" t="s">
        <v>1083</v>
      </c>
      <c r="JZ428" s="263" t="s">
        <v>27991</v>
      </c>
      <c r="KA428" s="263" t="s">
        <v>145</v>
      </c>
      <c r="KB428" s="263" t="s">
        <v>70</v>
      </c>
      <c r="KC428" s="263" t="s">
        <v>1083</v>
      </c>
      <c r="KE428" s="263" t="s">
        <v>27992</v>
      </c>
      <c r="KF428" s="263" t="s">
        <v>52</v>
      </c>
      <c r="KG428" s="263" t="s">
        <v>70</v>
      </c>
      <c r="KH428" s="263" t="s">
        <v>1083</v>
      </c>
      <c r="KJ428" s="263" t="s">
        <v>27993</v>
      </c>
      <c r="KK428" s="263" t="s">
        <v>52</v>
      </c>
      <c r="KL428" s="263" t="s">
        <v>74</v>
      </c>
      <c r="KM428" s="263" t="s">
        <v>34074</v>
      </c>
      <c r="KO428" s="214" t="s">
        <v>27994</v>
      </c>
      <c r="KP428" s="214" t="s">
        <v>145</v>
      </c>
      <c r="KQ428" s="214" t="s">
        <v>70</v>
      </c>
      <c r="KR428" s="214" t="s">
        <v>67</v>
      </c>
      <c r="KT428" s="22" t="s">
        <v>27995</v>
      </c>
      <c r="KU428" s="22" t="s">
        <v>145</v>
      </c>
      <c r="KV428" s="22" t="s">
        <v>70</v>
      </c>
      <c r="KW428" s="22" t="s">
        <v>67</v>
      </c>
      <c r="KY428" s="214" t="s">
        <v>27996</v>
      </c>
      <c r="KZ428" s="214" t="s">
        <v>52</v>
      </c>
      <c r="LA428" s="214" t="s">
        <v>74</v>
      </c>
      <c r="LB428" s="214" t="s">
        <v>67</v>
      </c>
      <c r="LD428" s="22" t="s">
        <v>27997</v>
      </c>
      <c r="LE428" s="22" t="s">
        <v>145</v>
      </c>
      <c r="LF428" s="22" t="s">
        <v>70</v>
      </c>
      <c r="LG428" s="22" t="s">
        <v>67</v>
      </c>
    </row>
    <row r="429" spans="1:319">
      <c r="A429" s="22" t="s">
        <v>27998</v>
      </c>
      <c r="B429" s="22" t="s">
        <v>145</v>
      </c>
      <c r="C429" s="22" t="s">
        <v>70</v>
      </c>
      <c r="D429" s="22" t="s">
        <v>67</v>
      </c>
      <c r="F429" s="97" t="s">
        <v>27999</v>
      </c>
      <c r="G429" s="22" t="s">
        <v>145</v>
      </c>
      <c r="H429" s="22" t="s">
        <v>70</v>
      </c>
      <c r="I429" s="22" t="s">
        <v>67</v>
      </c>
      <c r="K429" s="99" t="s">
        <v>28000</v>
      </c>
      <c r="L429" s="22" t="s">
        <v>145</v>
      </c>
      <c r="M429" s="22" t="s">
        <v>70</v>
      </c>
      <c r="N429" s="22" t="s">
        <v>67</v>
      </c>
      <c r="P429" s="230" t="s">
        <v>28001</v>
      </c>
      <c r="Q429" s="218" t="s">
        <v>145</v>
      </c>
      <c r="R429" s="218" t="s">
        <v>72</v>
      </c>
      <c r="S429" s="218" t="s">
        <v>34030</v>
      </c>
      <c r="U429" s="293" t="s">
        <v>28002</v>
      </c>
      <c r="V429" s="293" t="s">
        <v>145</v>
      </c>
      <c r="W429" s="293" t="s">
        <v>74</v>
      </c>
      <c r="X429" s="293" t="s">
        <v>656</v>
      </c>
      <c r="Z429" s="293" t="s">
        <v>28003</v>
      </c>
      <c r="AA429" s="293" t="s">
        <v>145</v>
      </c>
      <c r="AB429" s="293" t="s">
        <v>74</v>
      </c>
      <c r="AC429" s="293" t="s">
        <v>656</v>
      </c>
      <c r="AE429" s="293" t="s">
        <v>28004</v>
      </c>
      <c r="AF429" s="293" t="s">
        <v>145</v>
      </c>
      <c r="AG429" s="293" t="s">
        <v>74</v>
      </c>
      <c r="AH429" s="293" t="s">
        <v>656</v>
      </c>
      <c r="AJ429" s="293" t="s">
        <v>28005</v>
      </c>
      <c r="AK429" s="293" t="s">
        <v>145</v>
      </c>
      <c r="AL429" s="293" t="s">
        <v>74</v>
      </c>
      <c r="AM429" s="293" t="s">
        <v>656</v>
      </c>
      <c r="AO429" s="22" t="s">
        <v>28006</v>
      </c>
      <c r="AP429" s="22" t="s">
        <v>145</v>
      </c>
      <c r="AQ429" s="22" t="s">
        <v>70</v>
      </c>
      <c r="AR429" s="22" t="s">
        <v>67</v>
      </c>
      <c r="AT429" s="22" t="s">
        <v>28007</v>
      </c>
      <c r="AU429" s="22" t="s">
        <v>145</v>
      </c>
      <c r="AV429" s="22" t="s">
        <v>70</v>
      </c>
      <c r="AW429" s="22" t="s">
        <v>67</v>
      </c>
      <c r="AY429" s="22" t="s">
        <v>28008</v>
      </c>
      <c r="AZ429" s="22" t="s">
        <v>145</v>
      </c>
      <c r="BA429" s="22" t="s">
        <v>70</v>
      </c>
      <c r="BB429" s="22" t="s">
        <v>67</v>
      </c>
      <c r="BD429" s="22" t="s">
        <v>28009</v>
      </c>
      <c r="BE429" s="22" t="s">
        <v>145</v>
      </c>
      <c r="BF429" s="22" t="s">
        <v>70</v>
      </c>
      <c r="BG429" s="22" t="s">
        <v>67</v>
      </c>
      <c r="BI429" s="22" t="s">
        <v>28010</v>
      </c>
      <c r="BJ429" s="22" t="s">
        <v>145</v>
      </c>
      <c r="BK429" s="22" t="s">
        <v>70</v>
      </c>
      <c r="BL429" s="22" t="s">
        <v>67</v>
      </c>
      <c r="BN429" s="22" t="s">
        <v>28011</v>
      </c>
      <c r="BO429" s="22" t="s">
        <v>145</v>
      </c>
      <c r="BP429" s="22" t="s">
        <v>70</v>
      </c>
      <c r="BQ429" s="22" t="s">
        <v>67</v>
      </c>
      <c r="BS429" s="22" t="s">
        <v>28012</v>
      </c>
      <c r="BT429" s="22" t="s">
        <v>145</v>
      </c>
      <c r="BU429" s="22" t="s">
        <v>70</v>
      </c>
      <c r="BV429" s="214" t="s">
        <v>530</v>
      </c>
      <c r="BX429" s="22" t="s">
        <v>28013</v>
      </c>
      <c r="BY429" s="22" t="s">
        <v>145</v>
      </c>
      <c r="BZ429" s="22" t="s">
        <v>70</v>
      </c>
      <c r="CA429" s="214" t="s">
        <v>530</v>
      </c>
      <c r="CC429" s="214" t="s">
        <v>28014</v>
      </c>
      <c r="CD429" s="214" t="s">
        <v>87</v>
      </c>
      <c r="CE429" s="214" t="s">
        <v>70</v>
      </c>
      <c r="CF429" s="214" t="s">
        <v>530</v>
      </c>
      <c r="CH429" s="214" t="s">
        <v>28015</v>
      </c>
      <c r="CI429" s="214" t="s">
        <v>487</v>
      </c>
      <c r="CJ429" s="214" t="s">
        <v>70</v>
      </c>
      <c r="CK429" s="214" t="s">
        <v>530</v>
      </c>
      <c r="CM429" s="214" t="s">
        <v>28016</v>
      </c>
      <c r="CN429" s="214" t="s">
        <v>485</v>
      </c>
      <c r="CO429" s="214" t="s">
        <v>70</v>
      </c>
      <c r="CP429" s="214" t="s">
        <v>530</v>
      </c>
      <c r="CR429" s="214" t="s">
        <v>28017</v>
      </c>
      <c r="CS429" s="214" t="s">
        <v>488</v>
      </c>
      <c r="CT429" s="214" t="s">
        <v>70</v>
      </c>
      <c r="CU429" s="214" t="s">
        <v>530</v>
      </c>
      <c r="CW429" s="214" t="s">
        <v>28018</v>
      </c>
      <c r="CX429" s="214" t="s">
        <v>486</v>
      </c>
      <c r="CY429" s="214" t="s">
        <v>70</v>
      </c>
      <c r="CZ429" s="214" t="s">
        <v>530</v>
      </c>
      <c r="DB429" s="214" t="s">
        <v>28019</v>
      </c>
      <c r="DC429" s="214" t="s">
        <v>34549</v>
      </c>
      <c r="DD429" s="214" t="s">
        <v>70</v>
      </c>
      <c r="DE429" s="214" t="s">
        <v>530</v>
      </c>
      <c r="DG429" s="214" t="s">
        <v>28020</v>
      </c>
      <c r="DH429" s="214" t="s">
        <v>491</v>
      </c>
      <c r="DI429" s="214" t="s">
        <v>70</v>
      </c>
      <c r="DJ429" s="214" t="s">
        <v>530</v>
      </c>
      <c r="DL429" s="214" t="s">
        <v>28021</v>
      </c>
      <c r="DM429" s="214" t="s">
        <v>52</v>
      </c>
      <c r="DN429" s="214" t="s">
        <v>70</v>
      </c>
      <c r="DO429" s="214" t="s">
        <v>530</v>
      </c>
      <c r="DQ429" s="214" t="s">
        <v>28022</v>
      </c>
      <c r="DR429" s="214" t="s">
        <v>486</v>
      </c>
      <c r="DS429" s="214" t="s">
        <v>70</v>
      </c>
      <c r="DT429" s="214" t="s">
        <v>530</v>
      </c>
      <c r="DV429" s="214" t="s">
        <v>28023</v>
      </c>
      <c r="DW429" s="214" t="s">
        <v>486</v>
      </c>
      <c r="DX429" s="214" t="s">
        <v>70</v>
      </c>
      <c r="DY429" s="214" t="s">
        <v>530</v>
      </c>
      <c r="EA429" s="214" t="s">
        <v>28024</v>
      </c>
      <c r="EB429" s="214" t="s">
        <v>88</v>
      </c>
      <c r="EC429" s="214" t="s">
        <v>70</v>
      </c>
      <c r="ED429" s="214" t="s">
        <v>530</v>
      </c>
      <c r="EF429" s="214" t="s">
        <v>28025</v>
      </c>
      <c r="EG429" s="214" t="s">
        <v>488</v>
      </c>
      <c r="EH429" s="214" t="s">
        <v>70</v>
      </c>
      <c r="EI429" s="214" t="s">
        <v>530</v>
      </c>
      <c r="EK429" s="214" t="s">
        <v>28026</v>
      </c>
      <c r="EL429" s="214" t="s">
        <v>34556</v>
      </c>
      <c r="EM429" s="214" t="s">
        <v>70</v>
      </c>
      <c r="EN429" s="214" t="s">
        <v>530</v>
      </c>
      <c r="EP429" s="214" t="s">
        <v>28027</v>
      </c>
      <c r="EQ429" s="214" t="s">
        <v>34558</v>
      </c>
      <c r="ER429" s="214" t="s">
        <v>70</v>
      </c>
      <c r="ES429" s="214" t="s">
        <v>530</v>
      </c>
      <c r="EU429" s="214" t="s">
        <v>28028</v>
      </c>
      <c r="EV429" s="214" t="s">
        <v>34073</v>
      </c>
      <c r="EW429" s="214" t="s">
        <v>70</v>
      </c>
      <c r="EX429" s="214" t="s">
        <v>530</v>
      </c>
      <c r="EZ429" s="214" t="s">
        <v>28029</v>
      </c>
      <c r="FA429" s="214" t="s">
        <v>148</v>
      </c>
      <c r="FB429" s="214" t="s">
        <v>70</v>
      </c>
      <c r="FC429" s="214" t="s">
        <v>530</v>
      </c>
      <c r="FE429" s="214" t="s">
        <v>28030</v>
      </c>
      <c r="FF429" s="214" t="s">
        <v>52</v>
      </c>
      <c r="FG429" s="214" t="s">
        <v>70</v>
      </c>
      <c r="FH429" s="214" t="s">
        <v>530</v>
      </c>
      <c r="FJ429" s="321" t="s">
        <v>28031</v>
      </c>
      <c r="FK429" s="214" t="s">
        <v>145</v>
      </c>
      <c r="FL429" s="214" t="s">
        <v>70</v>
      </c>
      <c r="FM429" s="214" t="s">
        <v>530</v>
      </c>
      <c r="FO429" s="321" t="s">
        <v>28032</v>
      </c>
      <c r="FP429" s="214" t="s">
        <v>34544</v>
      </c>
      <c r="FQ429" s="214" t="s">
        <v>70</v>
      </c>
      <c r="FR429" s="214" t="s">
        <v>530</v>
      </c>
      <c r="FT429" s="321" t="s">
        <v>28033</v>
      </c>
      <c r="FU429" s="214" t="s">
        <v>34580</v>
      </c>
      <c r="FV429" s="214" t="s">
        <v>70</v>
      </c>
      <c r="FW429" s="214" t="s">
        <v>530</v>
      </c>
      <c r="FY429" s="321" t="s">
        <v>28034</v>
      </c>
      <c r="FZ429" s="214" t="s">
        <v>34541</v>
      </c>
      <c r="GA429" s="214" t="s">
        <v>70</v>
      </c>
      <c r="GB429" s="214" t="s">
        <v>530</v>
      </c>
      <c r="GD429" s="321" t="s">
        <v>28035</v>
      </c>
      <c r="GE429" s="214" t="s">
        <v>34550</v>
      </c>
      <c r="GF429" s="214" t="s">
        <v>70</v>
      </c>
      <c r="GG429" s="214" t="s">
        <v>530</v>
      </c>
      <c r="GI429" s="321" t="s">
        <v>28036</v>
      </c>
      <c r="GJ429" s="214" t="s">
        <v>497</v>
      </c>
      <c r="GK429" s="214" t="s">
        <v>70</v>
      </c>
      <c r="GL429" s="214" t="s">
        <v>530</v>
      </c>
      <c r="GN429" s="321" t="s">
        <v>28037</v>
      </c>
      <c r="GO429" s="214" t="s">
        <v>34540</v>
      </c>
      <c r="GP429" s="214" t="s">
        <v>70</v>
      </c>
      <c r="GQ429" s="214" t="s">
        <v>530</v>
      </c>
      <c r="GS429" s="321" t="s">
        <v>28038</v>
      </c>
      <c r="GT429" s="214" t="s">
        <v>34539</v>
      </c>
      <c r="GU429" s="214" t="s">
        <v>70</v>
      </c>
      <c r="GV429" s="214" t="s">
        <v>530</v>
      </c>
      <c r="GX429" s="214" t="s">
        <v>28039</v>
      </c>
      <c r="GY429" s="214" t="s">
        <v>496</v>
      </c>
      <c r="GZ429" s="214" t="s">
        <v>70</v>
      </c>
      <c r="HA429" s="214" t="s">
        <v>530</v>
      </c>
      <c r="HC429" s="214" t="s">
        <v>28040</v>
      </c>
      <c r="HD429" s="214" t="s">
        <v>146</v>
      </c>
      <c r="HE429" s="214" t="s">
        <v>70</v>
      </c>
      <c r="HF429" s="214" t="s">
        <v>530</v>
      </c>
      <c r="HH429" s="214" t="s">
        <v>28041</v>
      </c>
      <c r="HI429" s="214" t="s">
        <v>287</v>
      </c>
      <c r="HJ429" s="214" t="s">
        <v>70</v>
      </c>
      <c r="HK429" s="214" t="s">
        <v>530</v>
      </c>
      <c r="HM429" s="214" t="s">
        <v>28042</v>
      </c>
      <c r="HN429" s="214" t="s">
        <v>34570</v>
      </c>
      <c r="HO429" s="214" t="s">
        <v>70</v>
      </c>
      <c r="HP429" s="214" t="s">
        <v>530</v>
      </c>
      <c r="HR429" s="22" t="s">
        <v>28043</v>
      </c>
      <c r="HS429" s="22" t="s">
        <v>468</v>
      </c>
      <c r="HT429" s="22" t="s">
        <v>70</v>
      </c>
      <c r="HU429" s="214" t="s">
        <v>530</v>
      </c>
      <c r="HW429" s="22" t="s">
        <v>28044</v>
      </c>
      <c r="HX429" s="22" t="s">
        <v>52</v>
      </c>
      <c r="HY429" s="22" t="s">
        <v>70</v>
      </c>
      <c r="HZ429" s="214" t="s">
        <v>530</v>
      </c>
      <c r="IB429" s="22" t="s">
        <v>28045</v>
      </c>
      <c r="IC429" s="22" t="s">
        <v>468</v>
      </c>
      <c r="ID429" s="22" t="s">
        <v>70</v>
      </c>
      <c r="IE429" s="214" t="s">
        <v>530</v>
      </c>
      <c r="IG429" s="22" t="s">
        <v>28046</v>
      </c>
      <c r="IH429" s="22" t="s">
        <v>52</v>
      </c>
      <c r="II429" s="22" t="s">
        <v>70</v>
      </c>
      <c r="IJ429" s="214" t="s">
        <v>530</v>
      </c>
      <c r="IL429" s="22" t="s">
        <v>28047</v>
      </c>
      <c r="IM429" s="22" t="s">
        <v>145</v>
      </c>
      <c r="IN429" s="22" t="s">
        <v>70</v>
      </c>
      <c r="IO429" s="214" t="s">
        <v>530</v>
      </c>
      <c r="IQ429" s="236" t="s">
        <v>28048</v>
      </c>
      <c r="IR429" s="236" t="s">
        <v>145</v>
      </c>
      <c r="IS429" s="236" t="s">
        <v>74</v>
      </c>
      <c r="IT429" s="236" t="s">
        <v>841</v>
      </c>
      <c r="IV429" s="236" t="s">
        <v>28049</v>
      </c>
      <c r="IW429" s="236" t="s">
        <v>145</v>
      </c>
      <c r="IX429" s="236" t="s">
        <v>74</v>
      </c>
      <c r="IY429" s="236" t="s">
        <v>841</v>
      </c>
      <c r="JA429" s="236" t="s">
        <v>28050</v>
      </c>
      <c r="JB429" s="236" t="s">
        <v>145</v>
      </c>
      <c r="JC429" s="236" t="s">
        <v>74</v>
      </c>
      <c r="JD429" s="236" t="s">
        <v>841</v>
      </c>
      <c r="JF429" s="236" t="s">
        <v>28051</v>
      </c>
      <c r="JG429" s="236" t="s">
        <v>145</v>
      </c>
      <c r="JH429" s="236" t="s">
        <v>74</v>
      </c>
      <c r="JI429" s="236" t="s">
        <v>841</v>
      </c>
      <c r="JK429" s="236" t="s">
        <v>28052</v>
      </c>
      <c r="JL429" s="236" t="s">
        <v>145</v>
      </c>
      <c r="JM429" s="236" t="s">
        <v>74</v>
      </c>
      <c r="JN429" s="236" t="s">
        <v>841</v>
      </c>
      <c r="JP429" s="236" t="s">
        <v>28053</v>
      </c>
      <c r="JQ429" s="236" t="s">
        <v>145</v>
      </c>
      <c r="JR429" s="236" t="s">
        <v>74</v>
      </c>
      <c r="JS429" s="236" t="s">
        <v>841</v>
      </c>
      <c r="JU429" s="294" t="s">
        <v>28054</v>
      </c>
      <c r="JV429" s="294" t="s">
        <v>52</v>
      </c>
      <c r="JW429" s="263" t="s">
        <v>70</v>
      </c>
      <c r="JX429" s="294" t="s">
        <v>1083</v>
      </c>
      <c r="JZ429" s="263" t="s">
        <v>28055</v>
      </c>
      <c r="KA429" s="263" t="s">
        <v>145</v>
      </c>
      <c r="KB429" s="263" t="s">
        <v>70</v>
      </c>
      <c r="KC429" s="263" t="s">
        <v>1083</v>
      </c>
      <c r="KE429" s="263" t="s">
        <v>28056</v>
      </c>
      <c r="KF429" s="263" t="s">
        <v>52</v>
      </c>
      <c r="KG429" s="263" t="s">
        <v>70</v>
      </c>
      <c r="KH429" s="263" t="s">
        <v>1083</v>
      </c>
      <c r="KJ429" s="263" t="s">
        <v>28057</v>
      </c>
      <c r="KK429" s="263" t="s">
        <v>52</v>
      </c>
      <c r="KL429" s="263" t="s">
        <v>74</v>
      </c>
      <c r="KM429" s="263" t="s">
        <v>34074</v>
      </c>
      <c r="KO429" s="214" t="s">
        <v>28058</v>
      </c>
      <c r="KP429" s="214" t="s">
        <v>145</v>
      </c>
      <c r="KQ429" s="214" t="s">
        <v>70</v>
      </c>
      <c r="KR429" s="214" t="s">
        <v>67</v>
      </c>
      <c r="KT429" s="22" t="s">
        <v>28059</v>
      </c>
      <c r="KU429" s="22" t="s">
        <v>145</v>
      </c>
      <c r="KV429" s="22" t="s">
        <v>70</v>
      </c>
      <c r="KW429" s="22" t="s">
        <v>67</v>
      </c>
      <c r="KY429" s="214" t="s">
        <v>28060</v>
      </c>
      <c r="KZ429" s="214" t="s">
        <v>52</v>
      </c>
      <c r="LA429" s="214" t="s">
        <v>74</v>
      </c>
      <c r="LB429" s="214" t="s">
        <v>67</v>
      </c>
      <c r="LD429" s="22" t="s">
        <v>28061</v>
      </c>
      <c r="LE429" s="22" t="s">
        <v>145</v>
      </c>
      <c r="LF429" s="22" t="s">
        <v>70</v>
      </c>
      <c r="LG429" s="22" t="s">
        <v>67</v>
      </c>
    </row>
    <row r="430" spans="1:319">
      <c r="A430" s="22" t="s">
        <v>28062</v>
      </c>
      <c r="B430" s="22" t="s">
        <v>145</v>
      </c>
      <c r="C430" s="22" t="s">
        <v>70</v>
      </c>
      <c r="D430" s="22" t="s">
        <v>67</v>
      </c>
      <c r="F430" s="97" t="s">
        <v>28063</v>
      </c>
      <c r="G430" s="22" t="s">
        <v>145</v>
      </c>
      <c r="H430" s="22" t="s">
        <v>70</v>
      </c>
      <c r="I430" s="22" t="s">
        <v>67</v>
      </c>
      <c r="K430" s="99" t="s">
        <v>28064</v>
      </c>
      <c r="L430" s="22" t="s">
        <v>145</v>
      </c>
      <c r="M430" s="22" t="s">
        <v>70</v>
      </c>
      <c r="N430" s="22" t="s">
        <v>67</v>
      </c>
      <c r="P430" s="230" t="s">
        <v>28065</v>
      </c>
      <c r="Q430" s="218" t="s">
        <v>145</v>
      </c>
      <c r="R430" s="218" t="s">
        <v>72</v>
      </c>
      <c r="S430" s="218" t="s">
        <v>34031</v>
      </c>
      <c r="U430" s="293" t="s">
        <v>28066</v>
      </c>
      <c r="V430" s="293" t="s">
        <v>145</v>
      </c>
      <c r="W430" s="293" t="s">
        <v>74</v>
      </c>
      <c r="X430" s="293" t="s">
        <v>656</v>
      </c>
      <c r="Z430" s="293" t="s">
        <v>28067</v>
      </c>
      <c r="AA430" s="293" t="s">
        <v>145</v>
      </c>
      <c r="AB430" s="293" t="s">
        <v>74</v>
      </c>
      <c r="AC430" s="293" t="s">
        <v>656</v>
      </c>
      <c r="AE430" s="293" t="s">
        <v>28068</v>
      </c>
      <c r="AF430" s="293" t="s">
        <v>145</v>
      </c>
      <c r="AG430" s="293" t="s">
        <v>74</v>
      </c>
      <c r="AH430" s="293" t="s">
        <v>656</v>
      </c>
      <c r="AJ430" s="293" t="s">
        <v>28069</v>
      </c>
      <c r="AK430" s="293" t="s">
        <v>145</v>
      </c>
      <c r="AL430" s="293" t="s">
        <v>74</v>
      </c>
      <c r="AM430" s="293" t="s">
        <v>656</v>
      </c>
      <c r="AO430" s="22" t="s">
        <v>28070</v>
      </c>
      <c r="AP430" s="22" t="s">
        <v>145</v>
      </c>
      <c r="AQ430" s="22" t="s">
        <v>70</v>
      </c>
      <c r="AR430" s="22" t="s">
        <v>67</v>
      </c>
      <c r="AT430" s="22" t="s">
        <v>28071</v>
      </c>
      <c r="AU430" s="22" t="s">
        <v>145</v>
      </c>
      <c r="AV430" s="22" t="s">
        <v>70</v>
      </c>
      <c r="AW430" s="22" t="s">
        <v>67</v>
      </c>
      <c r="AY430" s="22" t="s">
        <v>28072</v>
      </c>
      <c r="AZ430" s="22" t="s">
        <v>145</v>
      </c>
      <c r="BA430" s="22" t="s">
        <v>70</v>
      </c>
      <c r="BB430" s="22" t="s">
        <v>67</v>
      </c>
      <c r="BD430" s="22" t="s">
        <v>28073</v>
      </c>
      <c r="BE430" s="22" t="s">
        <v>145</v>
      </c>
      <c r="BF430" s="22" t="s">
        <v>70</v>
      </c>
      <c r="BG430" s="22" t="s">
        <v>67</v>
      </c>
      <c r="BI430" s="22" t="s">
        <v>28074</v>
      </c>
      <c r="BJ430" s="22" t="s">
        <v>145</v>
      </c>
      <c r="BK430" s="22" t="s">
        <v>70</v>
      </c>
      <c r="BL430" s="22" t="s">
        <v>67</v>
      </c>
      <c r="BN430" s="22" t="s">
        <v>28075</v>
      </c>
      <c r="BO430" s="22" t="s">
        <v>145</v>
      </c>
      <c r="BP430" s="22" t="s">
        <v>70</v>
      </c>
      <c r="BQ430" s="22" t="s">
        <v>67</v>
      </c>
      <c r="BS430" s="22" t="s">
        <v>28076</v>
      </c>
      <c r="BT430" s="22" t="s">
        <v>145</v>
      </c>
      <c r="BU430" s="22" t="s">
        <v>70</v>
      </c>
      <c r="BV430" s="214" t="s">
        <v>530</v>
      </c>
      <c r="BX430" s="22" t="s">
        <v>28077</v>
      </c>
      <c r="BY430" s="22" t="s">
        <v>145</v>
      </c>
      <c r="BZ430" s="22" t="s">
        <v>70</v>
      </c>
      <c r="CA430" s="214" t="s">
        <v>530</v>
      </c>
      <c r="CC430" s="214" t="s">
        <v>28078</v>
      </c>
      <c r="CD430" s="214" t="s">
        <v>52</v>
      </c>
      <c r="CE430" s="214" t="s">
        <v>70</v>
      </c>
      <c r="CF430" s="214" t="s">
        <v>530</v>
      </c>
      <c r="CH430" s="214" t="s">
        <v>28079</v>
      </c>
      <c r="CI430" s="214" t="s">
        <v>52</v>
      </c>
      <c r="CJ430" s="214" t="s">
        <v>70</v>
      </c>
      <c r="CK430" s="214" t="s">
        <v>530</v>
      </c>
      <c r="CM430" s="214" t="s">
        <v>28080</v>
      </c>
      <c r="CN430" s="214" t="s">
        <v>34545</v>
      </c>
      <c r="CO430" s="214" t="s">
        <v>70</v>
      </c>
      <c r="CP430" s="214" t="s">
        <v>530</v>
      </c>
      <c r="CR430" s="214" t="s">
        <v>28081</v>
      </c>
      <c r="CS430" s="214" t="s">
        <v>164</v>
      </c>
      <c r="CT430" s="214" t="s">
        <v>70</v>
      </c>
      <c r="CU430" s="214" t="s">
        <v>530</v>
      </c>
      <c r="CW430" s="214" t="s">
        <v>28082</v>
      </c>
      <c r="CX430" s="214" t="s">
        <v>488</v>
      </c>
      <c r="CY430" s="214" t="s">
        <v>70</v>
      </c>
      <c r="CZ430" s="214" t="s">
        <v>530</v>
      </c>
      <c r="DB430" s="214" t="s">
        <v>28083</v>
      </c>
      <c r="DC430" s="214" t="s">
        <v>10541</v>
      </c>
      <c r="DD430" s="214" t="s">
        <v>70</v>
      </c>
      <c r="DE430" s="214" t="s">
        <v>530</v>
      </c>
      <c r="DG430" s="214" t="s">
        <v>28084</v>
      </c>
      <c r="DH430" s="214" t="s">
        <v>488</v>
      </c>
      <c r="DI430" s="214" t="s">
        <v>70</v>
      </c>
      <c r="DJ430" s="214" t="s">
        <v>530</v>
      </c>
      <c r="DL430" s="214" t="s">
        <v>28085</v>
      </c>
      <c r="DM430" s="214" t="s">
        <v>935</v>
      </c>
      <c r="DN430" s="214" t="s">
        <v>70</v>
      </c>
      <c r="DO430" s="214" t="s">
        <v>530</v>
      </c>
      <c r="DQ430" s="214" t="s">
        <v>28086</v>
      </c>
      <c r="DR430" s="214" t="s">
        <v>286</v>
      </c>
      <c r="DS430" s="214" t="s">
        <v>70</v>
      </c>
      <c r="DT430" s="214" t="s">
        <v>530</v>
      </c>
      <c r="DV430" s="214" t="s">
        <v>28087</v>
      </c>
      <c r="DW430" s="214" t="s">
        <v>92</v>
      </c>
      <c r="DX430" s="214" t="s">
        <v>70</v>
      </c>
      <c r="DY430" s="214" t="s">
        <v>530</v>
      </c>
      <c r="EA430" s="214" t="s">
        <v>28088</v>
      </c>
      <c r="EB430" s="214" t="s">
        <v>292</v>
      </c>
      <c r="EC430" s="214" t="s">
        <v>70</v>
      </c>
      <c r="ED430" s="214" t="s">
        <v>530</v>
      </c>
      <c r="EF430" s="214" t="s">
        <v>28089</v>
      </c>
      <c r="EG430" s="214" t="s">
        <v>52</v>
      </c>
      <c r="EH430" s="214" t="s">
        <v>70</v>
      </c>
      <c r="EI430" s="214" t="s">
        <v>530</v>
      </c>
      <c r="EK430" s="214" t="s">
        <v>28090</v>
      </c>
      <c r="EL430" s="214" t="s">
        <v>52</v>
      </c>
      <c r="EM430" s="214" t="s">
        <v>70</v>
      </c>
      <c r="EN430" s="214" t="s">
        <v>530</v>
      </c>
      <c r="EP430" s="214" t="s">
        <v>28091</v>
      </c>
      <c r="EQ430" s="214" t="s">
        <v>148</v>
      </c>
      <c r="ER430" s="214" t="s">
        <v>70</v>
      </c>
      <c r="ES430" s="214" t="s">
        <v>530</v>
      </c>
      <c r="EU430" s="214" t="s">
        <v>28092</v>
      </c>
      <c r="EV430" s="214" t="s">
        <v>940</v>
      </c>
      <c r="EW430" s="214" t="s">
        <v>70</v>
      </c>
      <c r="EX430" s="214" t="s">
        <v>530</v>
      </c>
      <c r="EZ430" s="214" t="s">
        <v>28093</v>
      </c>
      <c r="FA430" s="214" t="s">
        <v>148</v>
      </c>
      <c r="FB430" s="214" t="s">
        <v>70</v>
      </c>
      <c r="FC430" s="214" t="s">
        <v>530</v>
      </c>
      <c r="FE430" s="214" t="s">
        <v>28094</v>
      </c>
      <c r="FF430" s="214" t="s">
        <v>52</v>
      </c>
      <c r="FG430" s="214" t="s">
        <v>70</v>
      </c>
      <c r="FH430" s="214" t="s">
        <v>530</v>
      </c>
      <c r="FJ430" s="321" t="s">
        <v>28095</v>
      </c>
      <c r="FK430" s="214" t="s">
        <v>956</v>
      </c>
      <c r="FL430" s="214" t="s">
        <v>70</v>
      </c>
      <c r="FM430" s="214" t="s">
        <v>530</v>
      </c>
      <c r="FO430" s="321" t="s">
        <v>28096</v>
      </c>
      <c r="FP430" s="214" t="s">
        <v>485</v>
      </c>
      <c r="FQ430" s="214" t="s">
        <v>70</v>
      </c>
      <c r="FR430" s="214" t="s">
        <v>530</v>
      </c>
      <c r="FT430" s="321" t="s">
        <v>28097</v>
      </c>
      <c r="FU430" s="214" t="s">
        <v>484</v>
      </c>
      <c r="FV430" s="214" t="s">
        <v>70</v>
      </c>
      <c r="FW430" s="214" t="s">
        <v>530</v>
      </c>
      <c r="FY430" s="321" t="s">
        <v>28098</v>
      </c>
      <c r="FZ430" s="214" t="s">
        <v>484</v>
      </c>
      <c r="GA430" s="214" t="s">
        <v>70</v>
      </c>
      <c r="GB430" s="214" t="s">
        <v>530</v>
      </c>
      <c r="GD430" s="321" t="s">
        <v>28099</v>
      </c>
      <c r="GE430" s="214" t="s">
        <v>87</v>
      </c>
      <c r="GF430" s="214" t="s">
        <v>70</v>
      </c>
      <c r="GG430" s="214" t="s">
        <v>530</v>
      </c>
      <c r="GI430" s="321" t="s">
        <v>28100</v>
      </c>
      <c r="GJ430" s="214" t="s">
        <v>34620</v>
      </c>
      <c r="GK430" s="214" t="s">
        <v>70</v>
      </c>
      <c r="GL430" s="214" t="s">
        <v>530</v>
      </c>
      <c r="GN430" s="321" t="s">
        <v>28101</v>
      </c>
      <c r="GO430" s="214" t="s">
        <v>148</v>
      </c>
      <c r="GP430" s="214" t="s">
        <v>70</v>
      </c>
      <c r="GQ430" s="214" t="s">
        <v>530</v>
      </c>
      <c r="GS430" s="321" t="s">
        <v>28102</v>
      </c>
      <c r="GT430" s="214" t="s">
        <v>146</v>
      </c>
      <c r="GU430" s="214" t="s">
        <v>70</v>
      </c>
      <c r="GV430" s="214" t="s">
        <v>530</v>
      </c>
      <c r="GX430" s="214" t="s">
        <v>28103</v>
      </c>
      <c r="GY430" s="214" t="s">
        <v>601</v>
      </c>
      <c r="GZ430" s="214" t="s">
        <v>70</v>
      </c>
      <c r="HA430" s="214" t="s">
        <v>530</v>
      </c>
      <c r="HC430" s="214" t="s">
        <v>28104</v>
      </c>
      <c r="HD430" s="214" t="s">
        <v>85</v>
      </c>
      <c r="HE430" s="214" t="s">
        <v>70</v>
      </c>
      <c r="HF430" s="214" t="s">
        <v>530</v>
      </c>
      <c r="HH430" s="214" t="s">
        <v>28105</v>
      </c>
      <c r="HI430" s="214" t="s">
        <v>287</v>
      </c>
      <c r="HJ430" s="214" t="s">
        <v>70</v>
      </c>
      <c r="HK430" s="214" t="s">
        <v>530</v>
      </c>
      <c r="HM430" s="214" t="s">
        <v>28106</v>
      </c>
      <c r="HN430" s="214" t="s">
        <v>34540</v>
      </c>
      <c r="HO430" s="214" t="s">
        <v>70</v>
      </c>
      <c r="HP430" s="214" t="s">
        <v>530</v>
      </c>
      <c r="HR430" s="22" t="s">
        <v>28107</v>
      </c>
      <c r="HS430" s="22" t="s">
        <v>92</v>
      </c>
      <c r="HT430" s="22" t="s">
        <v>70</v>
      </c>
      <c r="HU430" s="214" t="s">
        <v>530</v>
      </c>
      <c r="HW430" s="22" t="s">
        <v>28108</v>
      </c>
      <c r="HX430" s="22" t="s">
        <v>52</v>
      </c>
      <c r="HY430" s="22" t="s">
        <v>70</v>
      </c>
      <c r="HZ430" s="214" t="s">
        <v>530</v>
      </c>
      <c r="IB430" s="22" t="s">
        <v>28109</v>
      </c>
      <c r="IC430" s="22" t="s">
        <v>34405</v>
      </c>
      <c r="ID430" s="22" t="s">
        <v>70</v>
      </c>
      <c r="IE430" s="214" t="s">
        <v>530</v>
      </c>
      <c r="IG430" s="22" t="s">
        <v>28110</v>
      </c>
      <c r="IH430" s="22" t="s">
        <v>52</v>
      </c>
      <c r="II430" s="22" t="s">
        <v>70</v>
      </c>
      <c r="IJ430" s="214" t="s">
        <v>530</v>
      </c>
      <c r="IL430" s="22" t="s">
        <v>28111</v>
      </c>
      <c r="IM430" s="22" t="s">
        <v>145</v>
      </c>
      <c r="IN430" s="22" t="s">
        <v>70</v>
      </c>
      <c r="IO430" s="214" t="s">
        <v>530</v>
      </c>
      <c r="IQ430" s="236" t="s">
        <v>28112</v>
      </c>
      <c r="IR430" s="236" t="s">
        <v>145</v>
      </c>
      <c r="IS430" s="236" t="s">
        <v>74</v>
      </c>
      <c r="IT430" s="236" t="s">
        <v>841</v>
      </c>
      <c r="IV430" s="236" t="s">
        <v>28113</v>
      </c>
      <c r="IW430" s="236" t="s">
        <v>145</v>
      </c>
      <c r="IX430" s="236" t="s">
        <v>74</v>
      </c>
      <c r="IY430" s="236" t="s">
        <v>841</v>
      </c>
      <c r="JA430" s="236" t="s">
        <v>28114</v>
      </c>
      <c r="JB430" s="236" t="s">
        <v>145</v>
      </c>
      <c r="JC430" s="236" t="s">
        <v>74</v>
      </c>
      <c r="JD430" s="236" t="s">
        <v>841</v>
      </c>
      <c r="JF430" s="236" t="s">
        <v>28115</v>
      </c>
      <c r="JG430" s="236" t="s">
        <v>145</v>
      </c>
      <c r="JH430" s="236" t="s">
        <v>74</v>
      </c>
      <c r="JI430" s="236" t="s">
        <v>841</v>
      </c>
      <c r="JK430" s="236" t="s">
        <v>28116</v>
      </c>
      <c r="JL430" s="236" t="s">
        <v>145</v>
      </c>
      <c r="JM430" s="236" t="s">
        <v>74</v>
      </c>
      <c r="JN430" s="236" t="s">
        <v>841</v>
      </c>
      <c r="JP430" s="236" t="s">
        <v>28117</v>
      </c>
      <c r="JQ430" s="236" t="s">
        <v>145</v>
      </c>
      <c r="JR430" s="236" t="s">
        <v>74</v>
      </c>
      <c r="JS430" s="236" t="s">
        <v>841</v>
      </c>
      <c r="JU430" s="294" t="s">
        <v>28118</v>
      </c>
      <c r="JV430" s="294" t="s">
        <v>52</v>
      </c>
      <c r="JW430" s="263" t="s">
        <v>70</v>
      </c>
      <c r="JX430" s="294" t="s">
        <v>1083</v>
      </c>
      <c r="JZ430" s="263" t="s">
        <v>28119</v>
      </c>
      <c r="KA430" s="263" t="s">
        <v>145</v>
      </c>
      <c r="KB430" s="263" t="s">
        <v>70</v>
      </c>
      <c r="KC430" s="263" t="s">
        <v>1083</v>
      </c>
      <c r="KE430" s="263" t="s">
        <v>28120</v>
      </c>
      <c r="KF430" s="263" t="s">
        <v>52</v>
      </c>
      <c r="KG430" s="263" t="s">
        <v>70</v>
      </c>
      <c r="KH430" s="263" t="s">
        <v>1083</v>
      </c>
      <c r="KJ430" s="263" t="s">
        <v>28121</v>
      </c>
      <c r="KK430" s="263" t="s">
        <v>52</v>
      </c>
      <c r="KL430" s="263" t="s">
        <v>74</v>
      </c>
      <c r="KM430" s="263" t="s">
        <v>34074</v>
      </c>
      <c r="KO430" s="214" t="s">
        <v>28122</v>
      </c>
      <c r="KP430" s="214" t="s">
        <v>145</v>
      </c>
      <c r="KQ430" s="214" t="s">
        <v>70</v>
      </c>
      <c r="KR430" s="214" t="s">
        <v>67</v>
      </c>
      <c r="KT430" s="22" t="s">
        <v>28123</v>
      </c>
      <c r="KU430" s="22" t="s">
        <v>145</v>
      </c>
      <c r="KV430" s="22" t="s">
        <v>70</v>
      </c>
      <c r="KW430" s="22" t="s">
        <v>67</v>
      </c>
      <c r="KY430" s="214" t="s">
        <v>28124</v>
      </c>
      <c r="KZ430" s="214" t="s">
        <v>52</v>
      </c>
      <c r="LA430" s="214" t="s">
        <v>74</v>
      </c>
      <c r="LB430" s="214" t="s">
        <v>67</v>
      </c>
      <c r="LD430" s="22" t="s">
        <v>28125</v>
      </c>
      <c r="LE430" s="22" t="s">
        <v>145</v>
      </c>
      <c r="LF430" s="22" t="s">
        <v>70</v>
      </c>
      <c r="LG430" s="22" t="s">
        <v>67</v>
      </c>
    </row>
    <row r="431" spans="1:319">
      <c r="A431" s="22" t="s">
        <v>28126</v>
      </c>
      <c r="B431" s="22" t="s">
        <v>145</v>
      </c>
      <c r="C431" s="22" t="s">
        <v>70</v>
      </c>
      <c r="D431" s="22" t="s">
        <v>67</v>
      </c>
      <c r="F431" s="97" t="s">
        <v>28127</v>
      </c>
      <c r="G431" s="22" t="s">
        <v>145</v>
      </c>
      <c r="H431" s="22" t="s">
        <v>70</v>
      </c>
      <c r="I431" s="22" t="s">
        <v>67</v>
      </c>
      <c r="K431" s="99" t="s">
        <v>28128</v>
      </c>
      <c r="L431" s="22" t="s">
        <v>145</v>
      </c>
      <c r="M431" s="22" t="s">
        <v>70</v>
      </c>
      <c r="N431" s="22" t="s">
        <v>67</v>
      </c>
      <c r="P431" s="230" t="s">
        <v>28129</v>
      </c>
      <c r="Q431" s="218" t="s">
        <v>145</v>
      </c>
      <c r="R431" s="218" t="s">
        <v>72</v>
      </c>
      <c r="S431" s="218" t="s">
        <v>34032</v>
      </c>
      <c r="U431" s="293" t="s">
        <v>28130</v>
      </c>
      <c r="V431" s="293" t="s">
        <v>145</v>
      </c>
      <c r="W431" s="293" t="s">
        <v>74</v>
      </c>
      <c r="X431" s="293" t="s">
        <v>656</v>
      </c>
      <c r="Z431" s="293" t="s">
        <v>28131</v>
      </c>
      <c r="AA431" s="293" t="s">
        <v>145</v>
      </c>
      <c r="AB431" s="293" t="s">
        <v>74</v>
      </c>
      <c r="AC431" s="293" t="s">
        <v>656</v>
      </c>
      <c r="AE431" s="293" t="s">
        <v>28132</v>
      </c>
      <c r="AF431" s="293" t="s">
        <v>145</v>
      </c>
      <c r="AG431" s="293" t="s">
        <v>74</v>
      </c>
      <c r="AH431" s="293" t="s">
        <v>656</v>
      </c>
      <c r="AJ431" s="293" t="s">
        <v>28133</v>
      </c>
      <c r="AK431" s="293" t="s">
        <v>145</v>
      </c>
      <c r="AL431" s="293" t="s">
        <v>74</v>
      </c>
      <c r="AM431" s="293" t="s">
        <v>656</v>
      </c>
      <c r="AO431" s="22" t="s">
        <v>28134</v>
      </c>
      <c r="AP431" s="22" t="s">
        <v>145</v>
      </c>
      <c r="AQ431" s="22" t="s">
        <v>70</v>
      </c>
      <c r="AR431" s="22" t="s">
        <v>67</v>
      </c>
      <c r="AT431" s="22" t="s">
        <v>28135</v>
      </c>
      <c r="AU431" s="22" t="s">
        <v>145</v>
      </c>
      <c r="AV431" s="22" t="s">
        <v>70</v>
      </c>
      <c r="AW431" s="22" t="s">
        <v>67</v>
      </c>
      <c r="AY431" s="22" t="s">
        <v>28136</v>
      </c>
      <c r="AZ431" s="22" t="s">
        <v>145</v>
      </c>
      <c r="BA431" s="22" t="s">
        <v>70</v>
      </c>
      <c r="BB431" s="22" t="s">
        <v>67</v>
      </c>
      <c r="BD431" s="22" t="s">
        <v>28137</v>
      </c>
      <c r="BE431" s="22" t="s">
        <v>145</v>
      </c>
      <c r="BF431" s="22" t="s">
        <v>70</v>
      </c>
      <c r="BG431" s="22" t="s">
        <v>67</v>
      </c>
      <c r="BI431" s="22" t="s">
        <v>28138</v>
      </c>
      <c r="BJ431" s="22" t="s">
        <v>145</v>
      </c>
      <c r="BK431" s="22" t="s">
        <v>70</v>
      </c>
      <c r="BL431" s="22" t="s">
        <v>67</v>
      </c>
      <c r="BN431" s="22" t="s">
        <v>28139</v>
      </c>
      <c r="BO431" s="22" t="s">
        <v>145</v>
      </c>
      <c r="BP431" s="22" t="s">
        <v>70</v>
      </c>
      <c r="BQ431" s="22" t="s">
        <v>67</v>
      </c>
      <c r="BS431" s="22" t="s">
        <v>28140</v>
      </c>
      <c r="BT431" s="22" t="s">
        <v>145</v>
      </c>
      <c r="BU431" s="22" t="s">
        <v>70</v>
      </c>
      <c r="BV431" s="214" t="s">
        <v>530</v>
      </c>
      <c r="BX431" s="22" t="s">
        <v>28141</v>
      </c>
      <c r="BY431" s="22" t="s">
        <v>145</v>
      </c>
      <c r="BZ431" s="22" t="s">
        <v>70</v>
      </c>
      <c r="CA431" s="214" t="s">
        <v>530</v>
      </c>
      <c r="CC431" s="214" t="s">
        <v>28142</v>
      </c>
      <c r="CD431" s="214" t="s">
        <v>483</v>
      </c>
      <c r="CE431" s="214" t="s">
        <v>70</v>
      </c>
      <c r="CF431" s="214" t="s">
        <v>530</v>
      </c>
      <c r="CH431" s="214" t="s">
        <v>28143</v>
      </c>
      <c r="CI431" s="214" t="s">
        <v>52</v>
      </c>
      <c r="CJ431" s="214" t="s">
        <v>70</v>
      </c>
      <c r="CK431" s="214" t="s">
        <v>530</v>
      </c>
      <c r="CM431" s="214" t="s">
        <v>28144</v>
      </c>
      <c r="CN431" s="214" t="s">
        <v>34551</v>
      </c>
      <c r="CO431" s="214" t="s">
        <v>70</v>
      </c>
      <c r="CP431" s="214" t="s">
        <v>530</v>
      </c>
      <c r="CR431" s="214" t="s">
        <v>28145</v>
      </c>
      <c r="CS431" s="214" t="s">
        <v>484</v>
      </c>
      <c r="CT431" s="214" t="s">
        <v>70</v>
      </c>
      <c r="CU431" s="214" t="s">
        <v>530</v>
      </c>
      <c r="CW431" s="214" t="s">
        <v>28146</v>
      </c>
      <c r="CX431" s="214" t="s">
        <v>488</v>
      </c>
      <c r="CY431" s="214" t="s">
        <v>70</v>
      </c>
      <c r="CZ431" s="214" t="s">
        <v>530</v>
      </c>
      <c r="DB431" s="214" t="s">
        <v>28147</v>
      </c>
      <c r="DC431" s="214" t="s">
        <v>955</v>
      </c>
      <c r="DD431" s="214" t="s">
        <v>70</v>
      </c>
      <c r="DE431" s="214" t="s">
        <v>530</v>
      </c>
      <c r="DG431" s="214" t="s">
        <v>28148</v>
      </c>
      <c r="DH431" s="214" t="s">
        <v>488</v>
      </c>
      <c r="DI431" s="214" t="s">
        <v>70</v>
      </c>
      <c r="DJ431" s="214" t="s">
        <v>530</v>
      </c>
      <c r="DL431" s="214" t="s">
        <v>28149</v>
      </c>
      <c r="DM431" s="214" t="s">
        <v>52</v>
      </c>
      <c r="DN431" s="214" t="s">
        <v>70</v>
      </c>
      <c r="DO431" s="214" t="s">
        <v>530</v>
      </c>
      <c r="DQ431" s="214" t="s">
        <v>28150</v>
      </c>
      <c r="DR431" s="214" t="s">
        <v>486</v>
      </c>
      <c r="DS431" s="214" t="s">
        <v>70</v>
      </c>
      <c r="DT431" s="214" t="s">
        <v>530</v>
      </c>
      <c r="DV431" s="214" t="s">
        <v>28151</v>
      </c>
      <c r="DW431" s="214" t="s">
        <v>486</v>
      </c>
      <c r="DX431" s="214" t="s">
        <v>70</v>
      </c>
      <c r="DY431" s="214" t="s">
        <v>530</v>
      </c>
      <c r="EA431" s="214" t="s">
        <v>28152</v>
      </c>
      <c r="EB431" s="214" t="s">
        <v>486</v>
      </c>
      <c r="EC431" s="214" t="s">
        <v>70</v>
      </c>
      <c r="ED431" s="214" t="s">
        <v>530</v>
      </c>
      <c r="EF431" s="214" t="s">
        <v>28153</v>
      </c>
      <c r="EG431" s="214" t="s">
        <v>468</v>
      </c>
      <c r="EH431" s="214" t="s">
        <v>70</v>
      </c>
      <c r="EI431" s="214" t="s">
        <v>530</v>
      </c>
      <c r="EK431" s="214" t="s">
        <v>28154</v>
      </c>
      <c r="EL431" s="214" t="s">
        <v>485</v>
      </c>
      <c r="EM431" s="214" t="s">
        <v>70</v>
      </c>
      <c r="EN431" s="214" t="s">
        <v>530</v>
      </c>
      <c r="EP431" s="214" t="s">
        <v>28155</v>
      </c>
      <c r="EQ431" s="214" t="s">
        <v>599</v>
      </c>
      <c r="ER431" s="214" t="s">
        <v>70</v>
      </c>
      <c r="ES431" s="214" t="s">
        <v>530</v>
      </c>
      <c r="EU431" s="214" t="s">
        <v>28156</v>
      </c>
      <c r="EV431" s="214" t="s">
        <v>34073</v>
      </c>
      <c r="EW431" s="214" t="s">
        <v>70</v>
      </c>
      <c r="EX431" s="214" t="s">
        <v>530</v>
      </c>
      <c r="EZ431" s="214" t="s">
        <v>28157</v>
      </c>
      <c r="FA431" s="214" t="s">
        <v>146</v>
      </c>
      <c r="FB431" s="214" t="s">
        <v>70</v>
      </c>
      <c r="FC431" s="214" t="s">
        <v>530</v>
      </c>
      <c r="FE431" s="214" t="s">
        <v>28158</v>
      </c>
      <c r="FF431" s="214" t="s">
        <v>52</v>
      </c>
      <c r="FG431" s="214" t="s">
        <v>70</v>
      </c>
      <c r="FH431" s="214" t="s">
        <v>530</v>
      </c>
      <c r="FJ431" s="321" t="s">
        <v>28159</v>
      </c>
      <c r="FK431" s="214" t="s">
        <v>491</v>
      </c>
      <c r="FL431" s="214" t="s">
        <v>70</v>
      </c>
      <c r="FM431" s="214" t="s">
        <v>530</v>
      </c>
      <c r="FO431" s="321" t="s">
        <v>28160</v>
      </c>
      <c r="FP431" s="214" t="s">
        <v>492</v>
      </c>
      <c r="FQ431" s="214" t="s">
        <v>70</v>
      </c>
      <c r="FR431" s="214" t="s">
        <v>530</v>
      </c>
      <c r="FT431" s="321" t="s">
        <v>28161</v>
      </c>
      <c r="FU431" s="214" t="s">
        <v>926</v>
      </c>
      <c r="FV431" s="214" t="s">
        <v>70</v>
      </c>
      <c r="FW431" s="214" t="s">
        <v>530</v>
      </c>
      <c r="FY431" s="321" t="s">
        <v>28162</v>
      </c>
      <c r="FZ431" s="214" t="s">
        <v>145</v>
      </c>
      <c r="GA431" s="214" t="s">
        <v>70</v>
      </c>
      <c r="GB431" s="214" t="s">
        <v>530</v>
      </c>
      <c r="GD431" s="321" t="s">
        <v>28163</v>
      </c>
      <c r="GE431" s="214" t="s">
        <v>955</v>
      </c>
      <c r="GF431" s="214" t="s">
        <v>70</v>
      </c>
      <c r="GG431" s="214" t="s">
        <v>530</v>
      </c>
      <c r="GI431" s="321" t="s">
        <v>28164</v>
      </c>
      <c r="GJ431" s="214" t="s">
        <v>926</v>
      </c>
      <c r="GK431" s="214" t="s">
        <v>70</v>
      </c>
      <c r="GL431" s="214" t="s">
        <v>530</v>
      </c>
      <c r="GN431" s="321" t="s">
        <v>28165</v>
      </c>
      <c r="GO431" s="214" t="s">
        <v>34542</v>
      </c>
      <c r="GP431" s="214" t="s">
        <v>70</v>
      </c>
      <c r="GQ431" s="214" t="s">
        <v>530</v>
      </c>
      <c r="GS431" s="321" t="s">
        <v>28166</v>
      </c>
      <c r="GT431" s="214" t="s">
        <v>34539</v>
      </c>
      <c r="GU431" s="214" t="s">
        <v>70</v>
      </c>
      <c r="GV431" s="214" t="s">
        <v>530</v>
      </c>
      <c r="GX431" s="214" t="s">
        <v>28167</v>
      </c>
      <c r="GY431" s="214" t="s">
        <v>491</v>
      </c>
      <c r="GZ431" s="214" t="s">
        <v>70</v>
      </c>
      <c r="HA431" s="214" t="s">
        <v>530</v>
      </c>
      <c r="HC431" s="214" t="s">
        <v>28168</v>
      </c>
      <c r="HD431" s="214" t="s">
        <v>921</v>
      </c>
      <c r="HE431" s="214" t="s">
        <v>70</v>
      </c>
      <c r="HF431" s="214" t="s">
        <v>530</v>
      </c>
      <c r="HH431" s="214" t="s">
        <v>28169</v>
      </c>
      <c r="HI431" s="214" t="s">
        <v>34615</v>
      </c>
      <c r="HJ431" s="214" t="s">
        <v>70</v>
      </c>
      <c r="HK431" s="214" t="s">
        <v>530</v>
      </c>
      <c r="HM431" s="214" t="s">
        <v>28170</v>
      </c>
      <c r="HN431" s="214" t="s">
        <v>52</v>
      </c>
      <c r="HO431" s="214" t="s">
        <v>70</v>
      </c>
      <c r="HP431" s="214" t="s">
        <v>530</v>
      </c>
      <c r="HR431" s="22" t="s">
        <v>28171</v>
      </c>
      <c r="HS431" s="22" t="s">
        <v>496</v>
      </c>
      <c r="HT431" s="22" t="s">
        <v>70</v>
      </c>
      <c r="HU431" s="214" t="s">
        <v>530</v>
      </c>
      <c r="HW431" s="22" t="s">
        <v>28172</v>
      </c>
      <c r="HX431" s="22" t="s">
        <v>203</v>
      </c>
      <c r="HY431" s="22" t="s">
        <v>70</v>
      </c>
      <c r="HZ431" s="214" t="s">
        <v>530</v>
      </c>
      <c r="IB431" s="22" t="s">
        <v>28173</v>
      </c>
      <c r="IC431" s="22" t="s">
        <v>34541</v>
      </c>
      <c r="ID431" s="22" t="s">
        <v>70</v>
      </c>
      <c r="IE431" s="214" t="s">
        <v>530</v>
      </c>
      <c r="IG431" s="22" t="s">
        <v>28174</v>
      </c>
      <c r="IH431" s="22" t="s">
        <v>52</v>
      </c>
      <c r="II431" s="22" t="s">
        <v>70</v>
      </c>
      <c r="IJ431" s="214" t="s">
        <v>530</v>
      </c>
      <c r="IL431" s="22" t="s">
        <v>28175</v>
      </c>
      <c r="IM431" s="22" t="s">
        <v>145</v>
      </c>
      <c r="IN431" s="22" t="s">
        <v>70</v>
      </c>
      <c r="IO431" s="214" t="s">
        <v>530</v>
      </c>
      <c r="IQ431" s="236" t="s">
        <v>28176</v>
      </c>
      <c r="IR431" s="236" t="s">
        <v>145</v>
      </c>
      <c r="IS431" s="236" t="s">
        <v>74</v>
      </c>
      <c r="IT431" s="236" t="s">
        <v>841</v>
      </c>
      <c r="IV431" s="236" t="s">
        <v>28177</v>
      </c>
      <c r="IW431" s="236" t="s">
        <v>145</v>
      </c>
      <c r="IX431" s="236" t="s">
        <v>74</v>
      </c>
      <c r="IY431" s="236" t="s">
        <v>841</v>
      </c>
      <c r="JA431" s="236" t="s">
        <v>28178</v>
      </c>
      <c r="JB431" s="236" t="s">
        <v>145</v>
      </c>
      <c r="JC431" s="236" t="s">
        <v>74</v>
      </c>
      <c r="JD431" s="236" t="s">
        <v>841</v>
      </c>
      <c r="JF431" s="236" t="s">
        <v>28179</v>
      </c>
      <c r="JG431" s="236" t="s">
        <v>145</v>
      </c>
      <c r="JH431" s="236" t="s">
        <v>74</v>
      </c>
      <c r="JI431" s="236" t="s">
        <v>841</v>
      </c>
      <c r="JK431" s="236" t="s">
        <v>28180</v>
      </c>
      <c r="JL431" s="236" t="s">
        <v>145</v>
      </c>
      <c r="JM431" s="236" t="s">
        <v>74</v>
      </c>
      <c r="JN431" s="236" t="s">
        <v>841</v>
      </c>
      <c r="JP431" s="236" t="s">
        <v>28181</v>
      </c>
      <c r="JQ431" s="236" t="s">
        <v>145</v>
      </c>
      <c r="JR431" s="236" t="s">
        <v>74</v>
      </c>
      <c r="JS431" s="236" t="s">
        <v>841</v>
      </c>
      <c r="JU431" s="294" t="s">
        <v>28182</v>
      </c>
      <c r="JV431" s="294" t="s">
        <v>52</v>
      </c>
      <c r="JW431" s="263" t="s">
        <v>70</v>
      </c>
      <c r="JX431" s="294" t="s">
        <v>1083</v>
      </c>
      <c r="JZ431" s="263" t="s">
        <v>28183</v>
      </c>
      <c r="KA431" s="263" t="s">
        <v>145</v>
      </c>
      <c r="KB431" s="263" t="s">
        <v>70</v>
      </c>
      <c r="KC431" s="263" t="s">
        <v>1083</v>
      </c>
      <c r="KE431" s="263" t="s">
        <v>28184</v>
      </c>
      <c r="KF431" s="263" t="s">
        <v>52</v>
      </c>
      <c r="KG431" s="263" t="s">
        <v>70</v>
      </c>
      <c r="KH431" s="263" t="s">
        <v>1083</v>
      </c>
      <c r="KJ431" s="263" t="s">
        <v>28185</v>
      </c>
      <c r="KK431" s="263" t="s">
        <v>52</v>
      </c>
      <c r="KL431" s="263" t="s">
        <v>74</v>
      </c>
      <c r="KM431" s="263" t="s">
        <v>34074</v>
      </c>
      <c r="KO431" s="214" t="s">
        <v>28186</v>
      </c>
      <c r="KP431" s="214" t="s">
        <v>145</v>
      </c>
      <c r="KQ431" s="214" t="s">
        <v>70</v>
      </c>
      <c r="KR431" s="214" t="s">
        <v>67</v>
      </c>
      <c r="KT431" s="22" t="s">
        <v>28187</v>
      </c>
      <c r="KU431" s="22" t="s">
        <v>145</v>
      </c>
      <c r="KV431" s="22" t="s">
        <v>70</v>
      </c>
      <c r="KW431" s="22" t="s">
        <v>67</v>
      </c>
      <c r="KY431" s="214" t="s">
        <v>28188</v>
      </c>
      <c r="KZ431" s="214" t="s">
        <v>52</v>
      </c>
      <c r="LA431" s="214" t="s">
        <v>74</v>
      </c>
      <c r="LB431" s="214" t="s">
        <v>67</v>
      </c>
      <c r="LD431" s="22" t="s">
        <v>28189</v>
      </c>
      <c r="LE431" s="22" t="s">
        <v>145</v>
      </c>
      <c r="LF431" s="22" t="s">
        <v>70</v>
      </c>
      <c r="LG431" s="22" t="s">
        <v>67</v>
      </c>
    </row>
    <row r="432" spans="1:319">
      <c r="A432" s="22" t="s">
        <v>28190</v>
      </c>
      <c r="B432" s="22" t="s">
        <v>145</v>
      </c>
      <c r="C432" s="22" t="s">
        <v>70</v>
      </c>
      <c r="D432" s="22" t="s">
        <v>67</v>
      </c>
      <c r="F432" s="97" t="s">
        <v>28191</v>
      </c>
      <c r="G432" s="22" t="s">
        <v>145</v>
      </c>
      <c r="H432" s="22" t="s">
        <v>70</v>
      </c>
      <c r="I432" s="22" t="s">
        <v>67</v>
      </c>
      <c r="K432" s="99" t="s">
        <v>28192</v>
      </c>
      <c r="L432" s="22" t="s">
        <v>145</v>
      </c>
      <c r="M432" s="22" t="s">
        <v>70</v>
      </c>
      <c r="N432" s="22" t="s">
        <v>67</v>
      </c>
      <c r="P432" s="230" t="s">
        <v>28193</v>
      </c>
      <c r="Q432" s="218" t="s">
        <v>145</v>
      </c>
      <c r="R432" s="218" t="s">
        <v>72</v>
      </c>
      <c r="S432" s="218" t="s">
        <v>34033</v>
      </c>
      <c r="U432" s="293" t="s">
        <v>28194</v>
      </c>
      <c r="V432" s="293" t="s">
        <v>145</v>
      </c>
      <c r="W432" s="293" t="s">
        <v>74</v>
      </c>
      <c r="X432" s="293" t="s">
        <v>656</v>
      </c>
      <c r="Z432" s="293" t="s">
        <v>28195</v>
      </c>
      <c r="AA432" s="293" t="s">
        <v>145</v>
      </c>
      <c r="AB432" s="293" t="s">
        <v>74</v>
      </c>
      <c r="AC432" s="293" t="s">
        <v>656</v>
      </c>
      <c r="AE432" s="293" t="s">
        <v>28196</v>
      </c>
      <c r="AF432" s="293" t="s">
        <v>145</v>
      </c>
      <c r="AG432" s="293" t="s">
        <v>74</v>
      </c>
      <c r="AH432" s="293" t="s">
        <v>656</v>
      </c>
      <c r="AJ432" s="293" t="s">
        <v>28197</v>
      </c>
      <c r="AK432" s="293" t="s">
        <v>145</v>
      </c>
      <c r="AL432" s="293" t="s">
        <v>74</v>
      </c>
      <c r="AM432" s="293" t="s">
        <v>656</v>
      </c>
      <c r="AO432" s="22" t="s">
        <v>28198</v>
      </c>
      <c r="AP432" s="22" t="s">
        <v>145</v>
      </c>
      <c r="AQ432" s="22" t="s">
        <v>70</v>
      </c>
      <c r="AR432" s="22" t="s">
        <v>67</v>
      </c>
      <c r="AT432" s="22" t="s">
        <v>28199</v>
      </c>
      <c r="AU432" s="22" t="s">
        <v>145</v>
      </c>
      <c r="AV432" s="22" t="s">
        <v>70</v>
      </c>
      <c r="AW432" s="22" t="s">
        <v>67</v>
      </c>
      <c r="AY432" s="22" t="s">
        <v>28200</v>
      </c>
      <c r="AZ432" s="22" t="s">
        <v>145</v>
      </c>
      <c r="BA432" s="22" t="s">
        <v>70</v>
      </c>
      <c r="BB432" s="22" t="s">
        <v>67</v>
      </c>
      <c r="BD432" s="22" t="s">
        <v>28201</v>
      </c>
      <c r="BE432" s="22" t="s">
        <v>145</v>
      </c>
      <c r="BF432" s="22" t="s">
        <v>70</v>
      </c>
      <c r="BG432" s="22" t="s">
        <v>67</v>
      </c>
      <c r="BI432" s="22" t="s">
        <v>28202</v>
      </c>
      <c r="BJ432" s="22" t="s">
        <v>145</v>
      </c>
      <c r="BK432" s="22" t="s">
        <v>70</v>
      </c>
      <c r="BL432" s="22" t="s">
        <v>67</v>
      </c>
      <c r="BN432" s="22" t="s">
        <v>28203</v>
      </c>
      <c r="BO432" s="22" t="s">
        <v>145</v>
      </c>
      <c r="BP432" s="22" t="s">
        <v>70</v>
      </c>
      <c r="BQ432" s="22" t="s">
        <v>67</v>
      </c>
      <c r="BS432" s="22" t="s">
        <v>28204</v>
      </c>
      <c r="BT432" s="22" t="s">
        <v>145</v>
      </c>
      <c r="BU432" s="22" t="s">
        <v>70</v>
      </c>
      <c r="BV432" s="214" t="s">
        <v>530</v>
      </c>
      <c r="BX432" s="22" t="s">
        <v>28205</v>
      </c>
      <c r="BY432" s="22" t="s">
        <v>145</v>
      </c>
      <c r="BZ432" s="22" t="s">
        <v>70</v>
      </c>
      <c r="CA432" s="214" t="s">
        <v>530</v>
      </c>
      <c r="CC432" s="214" t="s">
        <v>28206</v>
      </c>
      <c r="CD432" s="214" t="s">
        <v>655</v>
      </c>
      <c r="CE432" s="214" t="s">
        <v>70</v>
      </c>
      <c r="CF432" s="214" t="s">
        <v>530</v>
      </c>
      <c r="CH432" s="214" t="s">
        <v>28207</v>
      </c>
      <c r="CI432" s="214" t="s">
        <v>164</v>
      </c>
      <c r="CJ432" s="214" t="s">
        <v>70</v>
      </c>
      <c r="CK432" s="214" t="s">
        <v>530</v>
      </c>
      <c r="CM432" s="214" t="s">
        <v>28208</v>
      </c>
      <c r="CN432" s="214" t="s">
        <v>34612</v>
      </c>
      <c r="CO432" s="214" t="s">
        <v>70</v>
      </c>
      <c r="CP432" s="214" t="s">
        <v>530</v>
      </c>
      <c r="CR432" s="214" t="s">
        <v>28209</v>
      </c>
      <c r="CS432" s="214" t="s">
        <v>531</v>
      </c>
      <c r="CT432" s="214" t="s">
        <v>70</v>
      </c>
      <c r="CU432" s="214" t="s">
        <v>530</v>
      </c>
      <c r="CW432" s="214" t="s">
        <v>28210</v>
      </c>
      <c r="CX432" s="214" t="s">
        <v>468</v>
      </c>
      <c r="CY432" s="214" t="s">
        <v>70</v>
      </c>
      <c r="CZ432" s="214" t="s">
        <v>530</v>
      </c>
      <c r="DB432" s="214" t="s">
        <v>28211</v>
      </c>
      <c r="DC432" s="214" t="s">
        <v>163</v>
      </c>
      <c r="DD432" s="214" t="s">
        <v>70</v>
      </c>
      <c r="DE432" s="214" t="s">
        <v>530</v>
      </c>
      <c r="DG432" s="214" t="s">
        <v>28212</v>
      </c>
      <c r="DH432" s="214" t="s">
        <v>148</v>
      </c>
      <c r="DI432" s="214" t="s">
        <v>70</v>
      </c>
      <c r="DJ432" s="214" t="s">
        <v>530</v>
      </c>
      <c r="DL432" s="214" t="s">
        <v>28213</v>
      </c>
      <c r="DM432" s="214" t="s">
        <v>491</v>
      </c>
      <c r="DN432" s="214" t="s">
        <v>70</v>
      </c>
      <c r="DO432" s="214" t="s">
        <v>530</v>
      </c>
      <c r="DQ432" s="214" t="s">
        <v>28214</v>
      </c>
      <c r="DR432" s="214" t="s">
        <v>34575</v>
      </c>
      <c r="DS432" s="214" t="s">
        <v>70</v>
      </c>
      <c r="DT432" s="214" t="s">
        <v>530</v>
      </c>
      <c r="DV432" s="214" t="s">
        <v>28215</v>
      </c>
      <c r="DW432" s="214" t="s">
        <v>34624</v>
      </c>
      <c r="DX432" s="214" t="s">
        <v>70</v>
      </c>
      <c r="DY432" s="214" t="s">
        <v>530</v>
      </c>
      <c r="EA432" s="214" t="s">
        <v>28216</v>
      </c>
      <c r="EB432" s="214" t="s">
        <v>87</v>
      </c>
      <c r="EC432" s="214" t="s">
        <v>70</v>
      </c>
      <c r="ED432" s="214" t="s">
        <v>530</v>
      </c>
      <c r="EF432" s="214" t="s">
        <v>28217</v>
      </c>
      <c r="EG432" s="214" t="s">
        <v>34575</v>
      </c>
      <c r="EH432" s="214" t="s">
        <v>70</v>
      </c>
      <c r="EI432" s="214" t="s">
        <v>530</v>
      </c>
      <c r="EK432" s="214" t="s">
        <v>28218</v>
      </c>
      <c r="EL432" s="214" t="s">
        <v>765</v>
      </c>
      <c r="EM432" s="214" t="s">
        <v>70</v>
      </c>
      <c r="EN432" s="214" t="s">
        <v>530</v>
      </c>
      <c r="EP432" s="214" t="s">
        <v>28219</v>
      </c>
      <c r="EQ432" s="214" t="s">
        <v>286</v>
      </c>
      <c r="ER432" s="214" t="s">
        <v>70</v>
      </c>
      <c r="ES432" s="214" t="s">
        <v>530</v>
      </c>
      <c r="EU432" s="214" t="s">
        <v>28220</v>
      </c>
      <c r="EV432" s="214" t="s">
        <v>148</v>
      </c>
      <c r="EW432" s="214" t="s">
        <v>70</v>
      </c>
      <c r="EX432" s="214" t="s">
        <v>530</v>
      </c>
      <c r="EZ432" s="214" t="s">
        <v>28221</v>
      </c>
      <c r="FA432" s="214" t="s">
        <v>598</v>
      </c>
      <c r="FB432" s="214" t="s">
        <v>70</v>
      </c>
      <c r="FC432" s="214" t="s">
        <v>530</v>
      </c>
      <c r="FE432" s="214" t="s">
        <v>28222</v>
      </c>
      <c r="FF432" s="214" t="s">
        <v>52</v>
      </c>
      <c r="FG432" s="214" t="s">
        <v>70</v>
      </c>
      <c r="FH432" s="214" t="s">
        <v>530</v>
      </c>
      <c r="FJ432" s="321" t="s">
        <v>28223</v>
      </c>
      <c r="FK432" s="214" t="s">
        <v>145</v>
      </c>
      <c r="FL432" s="214" t="s">
        <v>70</v>
      </c>
      <c r="FM432" s="214" t="s">
        <v>530</v>
      </c>
      <c r="FO432" s="321" t="s">
        <v>28224</v>
      </c>
      <c r="FP432" s="214" t="s">
        <v>500</v>
      </c>
      <c r="FQ432" s="214" t="s">
        <v>70</v>
      </c>
      <c r="FR432" s="214" t="s">
        <v>530</v>
      </c>
      <c r="FT432" s="321" t="s">
        <v>28225</v>
      </c>
      <c r="FU432" s="214" t="s">
        <v>103</v>
      </c>
      <c r="FV432" s="214" t="s">
        <v>70</v>
      </c>
      <c r="FW432" s="214" t="s">
        <v>530</v>
      </c>
      <c r="FY432" s="321" t="s">
        <v>28226</v>
      </c>
      <c r="FZ432" s="214" t="s">
        <v>34540</v>
      </c>
      <c r="GA432" s="214" t="s">
        <v>70</v>
      </c>
      <c r="GB432" s="214" t="s">
        <v>530</v>
      </c>
      <c r="GD432" s="321" t="s">
        <v>28227</v>
      </c>
      <c r="GE432" s="214" t="s">
        <v>145</v>
      </c>
      <c r="GF432" s="214" t="s">
        <v>70</v>
      </c>
      <c r="GG432" s="214" t="s">
        <v>530</v>
      </c>
      <c r="GI432" s="321" t="s">
        <v>28228</v>
      </c>
      <c r="GJ432" s="214" t="s">
        <v>467</v>
      </c>
      <c r="GK432" s="214" t="s">
        <v>70</v>
      </c>
      <c r="GL432" s="214" t="s">
        <v>530</v>
      </c>
      <c r="GN432" s="321" t="s">
        <v>28229</v>
      </c>
      <c r="GO432" s="214" t="s">
        <v>486</v>
      </c>
      <c r="GP432" s="214" t="s">
        <v>70</v>
      </c>
      <c r="GQ432" s="214" t="s">
        <v>530</v>
      </c>
      <c r="GS432" s="321" t="s">
        <v>28230</v>
      </c>
      <c r="GT432" s="214" t="s">
        <v>85</v>
      </c>
      <c r="GU432" s="214" t="s">
        <v>70</v>
      </c>
      <c r="GV432" s="214" t="s">
        <v>530</v>
      </c>
      <c r="GX432" s="214" t="s">
        <v>28231</v>
      </c>
      <c r="GY432" s="214" t="s">
        <v>148</v>
      </c>
      <c r="GZ432" s="214" t="s">
        <v>70</v>
      </c>
      <c r="HA432" s="214" t="s">
        <v>530</v>
      </c>
      <c r="HC432" s="214" t="s">
        <v>28232</v>
      </c>
      <c r="HD432" s="214" t="s">
        <v>34545</v>
      </c>
      <c r="HE432" s="214" t="s">
        <v>70</v>
      </c>
      <c r="HF432" s="214" t="s">
        <v>530</v>
      </c>
      <c r="HH432" s="214" t="s">
        <v>28233</v>
      </c>
      <c r="HI432" s="214" t="s">
        <v>204</v>
      </c>
      <c r="HJ432" s="214" t="s">
        <v>70</v>
      </c>
      <c r="HK432" s="214" t="s">
        <v>530</v>
      </c>
      <c r="HM432" s="214" t="s">
        <v>28234</v>
      </c>
      <c r="HN432" s="214" t="s">
        <v>148</v>
      </c>
      <c r="HO432" s="214" t="s">
        <v>70</v>
      </c>
      <c r="HP432" s="214" t="s">
        <v>530</v>
      </c>
      <c r="HR432" s="22" t="s">
        <v>28235</v>
      </c>
      <c r="HS432" s="22" t="s">
        <v>34556</v>
      </c>
      <c r="HT432" s="22" t="s">
        <v>70</v>
      </c>
      <c r="HU432" s="214" t="s">
        <v>530</v>
      </c>
      <c r="HW432" s="22" t="s">
        <v>28236</v>
      </c>
      <c r="HX432" s="22" t="s">
        <v>34554</v>
      </c>
      <c r="HY432" s="22" t="s">
        <v>70</v>
      </c>
      <c r="HZ432" s="214" t="s">
        <v>530</v>
      </c>
      <c r="IB432" s="22" t="s">
        <v>28237</v>
      </c>
      <c r="IC432" s="22" t="s">
        <v>305</v>
      </c>
      <c r="ID432" s="22" t="s">
        <v>70</v>
      </c>
      <c r="IE432" s="214" t="s">
        <v>530</v>
      </c>
      <c r="IG432" s="22" t="s">
        <v>28238</v>
      </c>
      <c r="IH432" s="22" t="s">
        <v>52</v>
      </c>
      <c r="II432" s="22" t="s">
        <v>70</v>
      </c>
      <c r="IJ432" s="214" t="s">
        <v>530</v>
      </c>
      <c r="IL432" s="22" t="s">
        <v>28239</v>
      </c>
      <c r="IM432" s="22" t="s">
        <v>145</v>
      </c>
      <c r="IN432" s="22" t="s">
        <v>70</v>
      </c>
      <c r="IO432" s="214" t="s">
        <v>530</v>
      </c>
      <c r="IQ432" s="236" t="s">
        <v>28240</v>
      </c>
      <c r="IR432" s="236" t="s">
        <v>145</v>
      </c>
      <c r="IS432" s="236" t="s">
        <v>74</v>
      </c>
      <c r="IT432" s="236" t="s">
        <v>841</v>
      </c>
      <c r="IV432" s="236" t="s">
        <v>28241</v>
      </c>
      <c r="IW432" s="236" t="s">
        <v>145</v>
      </c>
      <c r="IX432" s="236" t="s">
        <v>74</v>
      </c>
      <c r="IY432" s="236" t="s">
        <v>841</v>
      </c>
      <c r="JA432" s="236" t="s">
        <v>28242</v>
      </c>
      <c r="JB432" s="236" t="s">
        <v>145</v>
      </c>
      <c r="JC432" s="236" t="s">
        <v>74</v>
      </c>
      <c r="JD432" s="236" t="s">
        <v>841</v>
      </c>
      <c r="JF432" s="236" t="s">
        <v>28243</v>
      </c>
      <c r="JG432" s="236" t="s">
        <v>145</v>
      </c>
      <c r="JH432" s="236" t="s">
        <v>74</v>
      </c>
      <c r="JI432" s="236" t="s">
        <v>841</v>
      </c>
      <c r="JK432" s="236" t="s">
        <v>28244</v>
      </c>
      <c r="JL432" s="236" t="s">
        <v>145</v>
      </c>
      <c r="JM432" s="236" t="s">
        <v>74</v>
      </c>
      <c r="JN432" s="236" t="s">
        <v>841</v>
      </c>
      <c r="JP432" s="236" t="s">
        <v>28245</v>
      </c>
      <c r="JQ432" s="236" t="s">
        <v>145</v>
      </c>
      <c r="JR432" s="236" t="s">
        <v>74</v>
      </c>
      <c r="JS432" s="236" t="s">
        <v>841</v>
      </c>
      <c r="JU432" s="294" t="s">
        <v>28246</v>
      </c>
      <c r="JV432" s="294" t="s">
        <v>52</v>
      </c>
      <c r="JW432" s="263" t="s">
        <v>70</v>
      </c>
      <c r="JX432" s="294" t="s">
        <v>1083</v>
      </c>
      <c r="JZ432" s="263" t="s">
        <v>28247</v>
      </c>
      <c r="KA432" s="263" t="s">
        <v>145</v>
      </c>
      <c r="KB432" s="263" t="s">
        <v>70</v>
      </c>
      <c r="KC432" s="263" t="s">
        <v>1083</v>
      </c>
      <c r="KE432" s="263" t="s">
        <v>28248</v>
      </c>
      <c r="KF432" s="263" t="s">
        <v>52</v>
      </c>
      <c r="KG432" s="263" t="s">
        <v>70</v>
      </c>
      <c r="KH432" s="263" t="s">
        <v>1083</v>
      </c>
      <c r="KJ432" s="263" t="s">
        <v>28249</v>
      </c>
      <c r="KK432" s="263" t="s">
        <v>52</v>
      </c>
      <c r="KL432" s="263" t="s">
        <v>74</v>
      </c>
      <c r="KM432" s="263" t="s">
        <v>34074</v>
      </c>
      <c r="KO432" s="214" t="s">
        <v>28250</v>
      </c>
      <c r="KP432" s="214" t="s">
        <v>145</v>
      </c>
      <c r="KQ432" s="214" t="s">
        <v>70</v>
      </c>
      <c r="KR432" s="214" t="s">
        <v>67</v>
      </c>
      <c r="KT432" s="22" t="s">
        <v>28251</v>
      </c>
      <c r="KU432" s="22" t="s">
        <v>145</v>
      </c>
      <c r="KV432" s="22" t="s">
        <v>70</v>
      </c>
      <c r="KW432" s="22" t="s">
        <v>67</v>
      </c>
      <c r="KY432" s="214" t="s">
        <v>28252</v>
      </c>
      <c r="KZ432" s="214" t="s">
        <v>52</v>
      </c>
      <c r="LA432" s="214" t="s">
        <v>74</v>
      </c>
      <c r="LB432" s="214" t="s">
        <v>67</v>
      </c>
      <c r="LD432" s="22" t="s">
        <v>28253</v>
      </c>
      <c r="LE432" s="22" t="s">
        <v>145</v>
      </c>
      <c r="LF432" s="22" t="s">
        <v>70</v>
      </c>
      <c r="LG432" s="22" t="s">
        <v>67</v>
      </c>
    </row>
    <row r="433" spans="1:319">
      <c r="A433" s="22" t="s">
        <v>28254</v>
      </c>
      <c r="B433" s="22" t="s">
        <v>145</v>
      </c>
      <c r="C433" s="22" t="s">
        <v>70</v>
      </c>
      <c r="D433" s="22" t="s">
        <v>67</v>
      </c>
      <c r="F433" s="97" t="s">
        <v>28255</v>
      </c>
      <c r="G433" s="22" t="s">
        <v>145</v>
      </c>
      <c r="H433" s="22" t="s">
        <v>70</v>
      </c>
      <c r="I433" s="22" t="s">
        <v>67</v>
      </c>
      <c r="K433" s="99" t="s">
        <v>28256</v>
      </c>
      <c r="L433" s="22" t="s">
        <v>145</v>
      </c>
      <c r="M433" s="22" t="s">
        <v>70</v>
      </c>
      <c r="N433" s="22" t="s">
        <v>67</v>
      </c>
      <c r="P433" s="230" t="s">
        <v>28257</v>
      </c>
      <c r="Q433" s="218" t="s">
        <v>145</v>
      </c>
      <c r="R433" s="218" t="s">
        <v>72</v>
      </c>
      <c r="S433" s="218" t="s">
        <v>34034</v>
      </c>
      <c r="U433" s="293" t="s">
        <v>28258</v>
      </c>
      <c r="V433" s="293" t="s">
        <v>145</v>
      </c>
      <c r="W433" s="293" t="s">
        <v>74</v>
      </c>
      <c r="X433" s="293" t="s">
        <v>656</v>
      </c>
      <c r="Z433" s="293" t="s">
        <v>28259</v>
      </c>
      <c r="AA433" s="293" t="s">
        <v>145</v>
      </c>
      <c r="AB433" s="293" t="s">
        <v>74</v>
      </c>
      <c r="AC433" s="293" t="s">
        <v>656</v>
      </c>
      <c r="AE433" s="293" t="s">
        <v>28260</v>
      </c>
      <c r="AF433" s="293" t="s">
        <v>145</v>
      </c>
      <c r="AG433" s="293" t="s">
        <v>74</v>
      </c>
      <c r="AH433" s="293" t="s">
        <v>656</v>
      </c>
      <c r="AJ433" s="293" t="s">
        <v>28261</v>
      </c>
      <c r="AK433" s="293" t="s">
        <v>145</v>
      </c>
      <c r="AL433" s="293" t="s">
        <v>74</v>
      </c>
      <c r="AM433" s="293" t="s">
        <v>656</v>
      </c>
      <c r="AO433" s="22" t="s">
        <v>28262</v>
      </c>
      <c r="AP433" s="22" t="s">
        <v>145</v>
      </c>
      <c r="AQ433" s="22" t="s">
        <v>70</v>
      </c>
      <c r="AR433" s="22" t="s">
        <v>67</v>
      </c>
      <c r="AT433" s="22" t="s">
        <v>28263</v>
      </c>
      <c r="AU433" s="22" t="s">
        <v>145</v>
      </c>
      <c r="AV433" s="22" t="s">
        <v>70</v>
      </c>
      <c r="AW433" s="22" t="s">
        <v>67</v>
      </c>
      <c r="AY433" s="22" t="s">
        <v>28264</v>
      </c>
      <c r="AZ433" s="22" t="s">
        <v>145</v>
      </c>
      <c r="BA433" s="22" t="s">
        <v>70</v>
      </c>
      <c r="BB433" s="22" t="s">
        <v>67</v>
      </c>
      <c r="BD433" s="22" t="s">
        <v>28265</v>
      </c>
      <c r="BE433" s="22" t="s">
        <v>145</v>
      </c>
      <c r="BF433" s="22" t="s">
        <v>70</v>
      </c>
      <c r="BG433" s="22" t="s">
        <v>67</v>
      </c>
      <c r="BI433" s="22" t="s">
        <v>28266</v>
      </c>
      <c r="BJ433" s="22" t="s">
        <v>145</v>
      </c>
      <c r="BK433" s="22" t="s">
        <v>70</v>
      </c>
      <c r="BL433" s="22" t="s">
        <v>67</v>
      </c>
      <c r="BN433" s="22" t="s">
        <v>28267</v>
      </c>
      <c r="BO433" s="22" t="s">
        <v>145</v>
      </c>
      <c r="BP433" s="22" t="s">
        <v>70</v>
      </c>
      <c r="BQ433" s="22" t="s">
        <v>67</v>
      </c>
      <c r="BS433" s="22" t="s">
        <v>28268</v>
      </c>
      <c r="BT433" s="22" t="s">
        <v>145</v>
      </c>
      <c r="BU433" s="22" t="s">
        <v>70</v>
      </c>
      <c r="BV433" s="214" t="s">
        <v>530</v>
      </c>
      <c r="BX433" s="22" t="s">
        <v>28269</v>
      </c>
      <c r="BY433" s="22" t="s">
        <v>145</v>
      </c>
      <c r="BZ433" s="22" t="s">
        <v>70</v>
      </c>
      <c r="CA433" s="214" t="s">
        <v>530</v>
      </c>
      <c r="CC433" s="214" t="s">
        <v>28270</v>
      </c>
      <c r="CD433" s="214" t="s">
        <v>950</v>
      </c>
      <c r="CE433" s="214" t="s">
        <v>70</v>
      </c>
      <c r="CF433" s="214" t="s">
        <v>530</v>
      </c>
      <c r="CH433" s="214" t="s">
        <v>28271</v>
      </c>
      <c r="CI433" s="214" t="s">
        <v>34565</v>
      </c>
      <c r="CJ433" s="214" t="s">
        <v>70</v>
      </c>
      <c r="CK433" s="214" t="s">
        <v>530</v>
      </c>
      <c r="CM433" s="214" t="s">
        <v>28272</v>
      </c>
      <c r="CN433" s="214" t="s">
        <v>491</v>
      </c>
      <c r="CO433" s="214" t="s">
        <v>70</v>
      </c>
      <c r="CP433" s="214" t="s">
        <v>530</v>
      </c>
      <c r="CR433" s="214" t="s">
        <v>28273</v>
      </c>
      <c r="CS433" s="214" t="s">
        <v>146</v>
      </c>
      <c r="CT433" s="214" t="s">
        <v>70</v>
      </c>
      <c r="CU433" s="214" t="s">
        <v>530</v>
      </c>
      <c r="CW433" s="214" t="s">
        <v>28274</v>
      </c>
      <c r="CX433" s="214" t="s">
        <v>484</v>
      </c>
      <c r="CY433" s="214" t="s">
        <v>70</v>
      </c>
      <c r="CZ433" s="214" t="s">
        <v>530</v>
      </c>
      <c r="DB433" s="214" t="s">
        <v>28275</v>
      </c>
      <c r="DC433" s="214" t="s">
        <v>950</v>
      </c>
      <c r="DD433" s="214" t="s">
        <v>70</v>
      </c>
      <c r="DE433" s="214" t="s">
        <v>530</v>
      </c>
      <c r="DG433" s="214" t="s">
        <v>28276</v>
      </c>
      <c r="DH433" s="214" t="s">
        <v>653</v>
      </c>
      <c r="DI433" s="214" t="s">
        <v>70</v>
      </c>
      <c r="DJ433" s="214" t="s">
        <v>530</v>
      </c>
      <c r="DL433" s="214" t="s">
        <v>28277</v>
      </c>
      <c r="DM433" s="214" t="s">
        <v>88</v>
      </c>
      <c r="DN433" s="214" t="s">
        <v>70</v>
      </c>
      <c r="DO433" s="214" t="s">
        <v>530</v>
      </c>
      <c r="DQ433" s="214" t="s">
        <v>28278</v>
      </c>
      <c r="DR433" s="214" t="s">
        <v>502</v>
      </c>
      <c r="DS433" s="214" t="s">
        <v>70</v>
      </c>
      <c r="DT433" s="214" t="s">
        <v>530</v>
      </c>
      <c r="DV433" s="214" t="s">
        <v>28279</v>
      </c>
      <c r="DW433" s="214" t="s">
        <v>502</v>
      </c>
      <c r="DX433" s="214" t="s">
        <v>70</v>
      </c>
      <c r="DY433" s="214" t="s">
        <v>530</v>
      </c>
      <c r="EA433" s="214" t="s">
        <v>28280</v>
      </c>
      <c r="EB433" s="214" t="s">
        <v>488</v>
      </c>
      <c r="EC433" s="214" t="s">
        <v>70</v>
      </c>
      <c r="ED433" s="214" t="s">
        <v>530</v>
      </c>
      <c r="EF433" s="214" t="s">
        <v>28281</v>
      </c>
      <c r="EG433" s="214" t="s">
        <v>926</v>
      </c>
      <c r="EH433" s="214" t="s">
        <v>70</v>
      </c>
      <c r="EI433" s="214" t="s">
        <v>530</v>
      </c>
      <c r="EK433" s="214" t="s">
        <v>28282</v>
      </c>
      <c r="EL433" s="214" t="s">
        <v>34544</v>
      </c>
      <c r="EM433" s="214" t="s">
        <v>70</v>
      </c>
      <c r="EN433" s="214" t="s">
        <v>530</v>
      </c>
      <c r="EP433" s="214" t="s">
        <v>28283</v>
      </c>
      <c r="EQ433" s="214" t="s">
        <v>488</v>
      </c>
      <c r="ER433" s="214" t="s">
        <v>70</v>
      </c>
      <c r="ES433" s="214" t="s">
        <v>530</v>
      </c>
      <c r="EU433" s="214" t="s">
        <v>28284</v>
      </c>
      <c r="EV433" s="214" t="s">
        <v>599</v>
      </c>
      <c r="EW433" s="214" t="s">
        <v>70</v>
      </c>
      <c r="EX433" s="214" t="s">
        <v>530</v>
      </c>
      <c r="EZ433" s="214" t="s">
        <v>28285</v>
      </c>
      <c r="FA433" s="214" t="s">
        <v>918</v>
      </c>
      <c r="FB433" s="214" t="s">
        <v>70</v>
      </c>
      <c r="FC433" s="214" t="s">
        <v>530</v>
      </c>
      <c r="FE433" s="214" t="s">
        <v>28286</v>
      </c>
      <c r="FF433" s="214" t="s">
        <v>52</v>
      </c>
      <c r="FG433" s="214" t="s">
        <v>70</v>
      </c>
      <c r="FH433" s="214" t="s">
        <v>530</v>
      </c>
      <c r="FJ433" s="321" t="s">
        <v>28287</v>
      </c>
      <c r="FK433" s="214" t="s">
        <v>34541</v>
      </c>
      <c r="FL433" s="214" t="s">
        <v>70</v>
      </c>
      <c r="FM433" s="214" t="s">
        <v>530</v>
      </c>
      <c r="FO433" s="321" t="s">
        <v>28288</v>
      </c>
      <c r="FP433" s="214" t="s">
        <v>501</v>
      </c>
      <c r="FQ433" s="214" t="s">
        <v>70</v>
      </c>
      <c r="FR433" s="214" t="s">
        <v>530</v>
      </c>
      <c r="FT433" s="321" t="s">
        <v>28289</v>
      </c>
      <c r="FU433" s="214" t="s">
        <v>950</v>
      </c>
      <c r="FV433" s="214" t="s">
        <v>70</v>
      </c>
      <c r="FW433" s="214" t="s">
        <v>530</v>
      </c>
      <c r="FY433" s="321" t="s">
        <v>28290</v>
      </c>
      <c r="FZ433" s="214" t="s">
        <v>52</v>
      </c>
      <c r="GA433" s="214" t="s">
        <v>70</v>
      </c>
      <c r="GB433" s="214" t="s">
        <v>530</v>
      </c>
      <c r="GD433" s="321" t="s">
        <v>28291</v>
      </c>
      <c r="GE433" s="214" t="s">
        <v>34541</v>
      </c>
      <c r="GF433" s="214" t="s">
        <v>70</v>
      </c>
      <c r="GG433" s="214" t="s">
        <v>530</v>
      </c>
      <c r="GI433" s="321" t="s">
        <v>28292</v>
      </c>
      <c r="GJ433" s="214" t="s">
        <v>481</v>
      </c>
      <c r="GK433" s="214" t="s">
        <v>70</v>
      </c>
      <c r="GL433" s="214" t="s">
        <v>530</v>
      </c>
      <c r="GN433" s="321" t="s">
        <v>28293</v>
      </c>
      <c r="GO433" s="214" t="s">
        <v>488</v>
      </c>
      <c r="GP433" s="214" t="s">
        <v>70</v>
      </c>
      <c r="GQ433" s="214" t="s">
        <v>530</v>
      </c>
      <c r="GS433" s="321" t="s">
        <v>28294</v>
      </c>
      <c r="GT433" s="214" t="s">
        <v>34540</v>
      </c>
      <c r="GU433" s="214" t="s">
        <v>70</v>
      </c>
      <c r="GV433" s="214" t="s">
        <v>530</v>
      </c>
      <c r="GX433" s="214" t="s">
        <v>28295</v>
      </c>
      <c r="GY433" s="214" t="s">
        <v>484</v>
      </c>
      <c r="GZ433" s="214" t="s">
        <v>70</v>
      </c>
      <c r="HA433" s="214" t="s">
        <v>530</v>
      </c>
      <c r="HC433" s="214" t="s">
        <v>28296</v>
      </c>
      <c r="HD433" s="214" t="s">
        <v>34551</v>
      </c>
      <c r="HE433" s="214" t="s">
        <v>70</v>
      </c>
      <c r="HF433" s="214" t="s">
        <v>530</v>
      </c>
      <c r="HH433" s="214" t="s">
        <v>28297</v>
      </c>
      <c r="HI433" s="214" t="s">
        <v>146</v>
      </c>
      <c r="HJ433" s="214" t="s">
        <v>70</v>
      </c>
      <c r="HK433" s="214" t="s">
        <v>530</v>
      </c>
      <c r="HM433" s="214" t="s">
        <v>28298</v>
      </c>
      <c r="HN433" s="214" t="s">
        <v>34589</v>
      </c>
      <c r="HO433" s="214" t="s">
        <v>70</v>
      </c>
      <c r="HP433" s="214" t="s">
        <v>530</v>
      </c>
      <c r="HR433" s="22" t="s">
        <v>28299</v>
      </c>
      <c r="HS433" s="22" t="s">
        <v>482</v>
      </c>
      <c r="HT433" s="22" t="s">
        <v>70</v>
      </c>
      <c r="HU433" s="214" t="s">
        <v>530</v>
      </c>
      <c r="HW433" s="22" t="s">
        <v>28300</v>
      </c>
      <c r="HX433" s="22" t="s">
        <v>52</v>
      </c>
      <c r="HY433" s="22" t="s">
        <v>70</v>
      </c>
      <c r="HZ433" s="214" t="s">
        <v>530</v>
      </c>
      <c r="IB433" s="22" t="s">
        <v>28301</v>
      </c>
      <c r="IC433" s="22" t="s">
        <v>34405</v>
      </c>
      <c r="ID433" s="22" t="s">
        <v>70</v>
      </c>
      <c r="IE433" s="214" t="s">
        <v>530</v>
      </c>
      <c r="IG433" s="22" t="s">
        <v>28302</v>
      </c>
      <c r="IH433" s="22" t="s">
        <v>52</v>
      </c>
      <c r="II433" s="22" t="s">
        <v>70</v>
      </c>
      <c r="IJ433" s="214" t="s">
        <v>530</v>
      </c>
      <c r="IL433" s="22" t="s">
        <v>28303</v>
      </c>
      <c r="IM433" s="22" t="s">
        <v>145</v>
      </c>
      <c r="IN433" s="22" t="s">
        <v>70</v>
      </c>
      <c r="IO433" s="214" t="s">
        <v>530</v>
      </c>
      <c r="IQ433" s="236" t="s">
        <v>28304</v>
      </c>
      <c r="IR433" s="236" t="s">
        <v>145</v>
      </c>
      <c r="IS433" s="236" t="s">
        <v>74</v>
      </c>
      <c r="IT433" s="236" t="s">
        <v>841</v>
      </c>
      <c r="IV433" s="236" t="s">
        <v>28305</v>
      </c>
      <c r="IW433" s="236" t="s">
        <v>145</v>
      </c>
      <c r="IX433" s="236" t="s">
        <v>74</v>
      </c>
      <c r="IY433" s="236" t="s">
        <v>841</v>
      </c>
      <c r="JA433" s="236" t="s">
        <v>28306</v>
      </c>
      <c r="JB433" s="236" t="s">
        <v>145</v>
      </c>
      <c r="JC433" s="236" t="s">
        <v>74</v>
      </c>
      <c r="JD433" s="236" t="s">
        <v>841</v>
      </c>
      <c r="JF433" s="236" t="s">
        <v>28307</v>
      </c>
      <c r="JG433" s="236" t="s">
        <v>145</v>
      </c>
      <c r="JH433" s="236" t="s">
        <v>74</v>
      </c>
      <c r="JI433" s="236" t="s">
        <v>841</v>
      </c>
      <c r="JK433" s="236" t="s">
        <v>28308</v>
      </c>
      <c r="JL433" s="236" t="s">
        <v>145</v>
      </c>
      <c r="JM433" s="236" t="s">
        <v>74</v>
      </c>
      <c r="JN433" s="236" t="s">
        <v>841</v>
      </c>
      <c r="JP433" s="236" t="s">
        <v>28309</v>
      </c>
      <c r="JQ433" s="236" t="s">
        <v>145</v>
      </c>
      <c r="JR433" s="236" t="s">
        <v>74</v>
      </c>
      <c r="JS433" s="236" t="s">
        <v>841</v>
      </c>
      <c r="JU433" s="294" t="s">
        <v>28310</v>
      </c>
      <c r="JV433" s="294" t="s">
        <v>52</v>
      </c>
      <c r="JW433" s="263" t="s">
        <v>70</v>
      </c>
      <c r="JX433" s="294" t="s">
        <v>1083</v>
      </c>
      <c r="JZ433" s="263" t="s">
        <v>28311</v>
      </c>
      <c r="KA433" s="263" t="s">
        <v>145</v>
      </c>
      <c r="KB433" s="263" t="s">
        <v>70</v>
      </c>
      <c r="KC433" s="263" t="s">
        <v>1083</v>
      </c>
      <c r="KE433" s="263" t="s">
        <v>28312</v>
      </c>
      <c r="KF433" s="263" t="s">
        <v>52</v>
      </c>
      <c r="KG433" s="263" t="s">
        <v>70</v>
      </c>
      <c r="KH433" s="263" t="s">
        <v>1083</v>
      </c>
      <c r="KJ433" s="263" t="s">
        <v>28313</v>
      </c>
      <c r="KK433" s="263" t="s">
        <v>52</v>
      </c>
      <c r="KL433" s="263" t="s">
        <v>74</v>
      </c>
      <c r="KM433" s="263" t="s">
        <v>34074</v>
      </c>
      <c r="KO433" s="214" t="s">
        <v>28314</v>
      </c>
      <c r="KP433" s="214" t="s">
        <v>145</v>
      </c>
      <c r="KQ433" s="214" t="s">
        <v>70</v>
      </c>
      <c r="KR433" s="214" t="s">
        <v>67</v>
      </c>
      <c r="KT433" s="22" t="s">
        <v>28315</v>
      </c>
      <c r="KU433" s="22" t="s">
        <v>145</v>
      </c>
      <c r="KV433" s="22" t="s">
        <v>70</v>
      </c>
      <c r="KW433" s="22" t="s">
        <v>67</v>
      </c>
      <c r="KY433" s="214" t="s">
        <v>28316</v>
      </c>
      <c r="KZ433" s="214" t="s">
        <v>52</v>
      </c>
      <c r="LA433" s="214" t="s">
        <v>74</v>
      </c>
      <c r="LB433" s="214" t="s">
        <v>67</v>
      </c>
      <c r="LD433" s="22" t="s">
        <v>28317</v>
      </c>
      <c r="LE433" s="22" t="s">
        <v>145</v>
      </c>
      <c r="LF433" s="22" t="s">
        <v>70</v>
      </c>
      <c r="LG433" s="22" t="s">
        <v>67</v>
      </c>
    </row>
    <row r="434" spans="1:319">
      <c r="A434" s="22" t="s">
        <v>28318</v>
      </c>
      <c r="B434" s="22" t="s">
        <v>145</v>
      </c>
      <c r="C434" s="22" t="s">
        <v>70</v>
      </c>
      <c r="D434" s="22" t="s">
        <v>67</v>
      </c>
      <c r="F434" s="97" t="s">
        <v>28319</v>
      </c>
      <c r="G434" s="22" t="s">
        <v>145</v>
      </c>
      <c r="H434" s="22" t="s">
        <v>70</v>
      </c>
      <c r="I434" s="22" t="s">
        <v>67</v>
      </c>
      <c r="K434" s="99" t="s">
        <v>28320</v>
      </c>
      <c r="L434" s="22" t="s">
        <v>145</v>
      </c>
      <c r="M434" s="22" t="s">
        <v>70</v>
      </c>
      <c r="N434" s="22" t="s">
        <v>67</v>
      </c>
      <c r="P434" s="230" t="s">
        <v>28321</v>
      </c>
      <c r="Q434" s="218" t="s">
        <v>145</v>
      </c>
      <c r="R434" s="218" t="s">
        <v>72</v>
      </c>
      <c r="S434" s="218" t="s">
        <v>34035</v>
      </c>
      <c r="U434" s="293" t="s">
        <v>28322</v>
      </c>
      <c r="V434" s="293" t="s">
        <v>145</v>
      </c>
      <c r="W434" s="293" t="s">
        <v>74</v>
      </c>
      <c r="X434" s="293" t="s">
        <v>656</v>
      </c>
      <c r="Z434" s="293" t="s">
        <v>28323</v>
      </c>
      <c r="AA434" s="293" t="s">
        <v>145</v>
      </c>
      <c r="AB434" s="293" t="s">
        <v>74</v>
      </c>
      <c r="AC434" s="293" t="s">
        <v>656</v>
      </c>
      <c r="AE434" s="293" t="s">
        <v>28324</v>
      </c>
      <c r="AF434" s="293" t="s">
        <v>145</v>
      </c>
      <c r="AG434" s="293" t="s">
        <v>74</v>
      </c>
      <c r="AH434" s="293" t="s">
        <v>656</v>
      </c>
      <c r="AJ434" s="293" t="s">
        <v>28325</v>
      </c>
      <c r="AK434" s="293" t="s">
        <v>145</v>
      </c>
      <c r="AL434" s="293" t="s">
        <v>74</v>
      </c>
      <c r="AM434" s="293" t="s">
        <v>656</v>
      </c>
      <c r="AO434" s="22" t="s">
        <v>28326</v>
      </c>
      <c r="AP434" s="22" t="s">
        <v>145</v>
      </c>
      <c r="AQ434" s="22" t="s">
        <v>70</v>
      </c>
      <c r="AR434" s="22" t="s">
        <v>67</v>
      </c>
      <c r="AT434" s="22" t="s">
        <v>28327</v>
      </c>
      <c r="AU434" s="22" t="s">
        <v>145</v>
      </c>
      <c r="AV434" s="22" t="s">
        <v>70</v>
      </c>
      <c r="AW434" s="22" t="s">
        <v>67</v>
      </c>
      <c r="AY434" s="22" t="s">
        <v>28328</v>
      </c>
      <c r="AZ434" s="22" t="s">
        <v>145</v>
      </c>
      <c r="BA434" s="22" t="s">
        <v>70</v>
      </c>
      <c r="BB434" s="22" t="s">
        <v>67</v>
      </c>
      <c r="BD434" s="22" t="s">
        <v>28329</v>
      </c>
      <c r="BE434" s="22" t="s">
        <v>145</v>
      </c>
      <c r="BF434" s="22" t="s">
        <v>70</v>
      </c>
      <c r="BG434" s="22" t="s">
        <v>67</v>
      </c>
      <c r="BI434" s="22" t="s">
        <v>28330</v>
      </c>
      <c r="BJ434" s="22" t="s">
        <v>145</v>
      </c>
      <c r="BK434" s="22" t="s">
        <v>70</v>
      </c>
      <c r="BL434" s="22" t="s">
        <v>67</v>
      </c>
      <c r="BN434" s="22" t="s">
        <v>28331</v>
      </c>
      <c r="BO434" s="22" t="s">
        <v>145</v>
      </c>
      <c r="BP434" s="22" t="s">
        <v>70</v>
      </c>
      <c r="BQ434" s="22" t="s">
        <v>67</v>
      </c>
      <c r="BS434" s="22" t="s">
        <v>28332</v>
      </c>
      <c r="BT434" s="22" t="s">
        <v>145</v>
      </c>
      <c r="BU434" s="22" t="s">
        <v>70</v>
      </c>
      <c r="BV434" s="214" t="s">
        <v>530</v>
      </c>
      <c r="BX434" s="22" t="s">
        <v>28333</v>
      </c>
      <c r="BY434" s="22" t="s">
        <v>145</v>
      </c>
      <c r="BZ434" s="22" t="s">
        <v>70</v>
      </c>
      <c r="CA434" s="214" t="s">
        <v>530</v>
      </c>
      <c r="CC434" s="214" t="s">
        <v>28334</v>
      </c>
      <c r="CD434" s="214" t="s">
        <v>148</v>
      </c>
      <c r="CE434" s="214" t="s">
        <v>70</v>
      </c>
      <c r="CF434" s="214" t="s">
        <v>530</v>
      </c>
      <c r="CH434" s="214" t="s">
        <v>28335</v>
      </c>
      <c r="CI434" s="214" t="s">
        <v>148</v>
      </c>
      <c r="CJ434" s="214" t="s">
        <v>70</v>
      </c>
      <c r="CK434" s="214" t="s">
        <v>530</v>
      </c>
      <c r="CM434" s="214" t="s">
        <v>28336</v>
      </c>
      <c r="CN434" s="214" t="s">
        <v>488</v>
      </c>
      <c r="CO434" s="214" t="s">
        <v>70</v>
      </c>
      <c r="CP434" s="214" t="s">
        <v>530</v>
      </c>
      <c r="CR434" s="214" t="s">
        <v>28337</v>
      </c>
      <c r="CS434" s="214" t="s">
        <v>85</v>
      </c>
      <c r="CT434" s="214" t="s">
        <v>70</v>
      </c>
      <c r="CU434" s="214" t="s">
        <v>530</v>
      </c>
      <c r="CW434" s="214" t="s">
        <v>28338</v>
      </c>
      <c r="CX434" s="214" t="s">
        <v>485</v>
      </c>
      <c r="CY434" s="214" t="s">
        <v>70</v>
      </c>
      <c r="CZ434" s="214" t="s">
        <v>530</v>
      </c>
      <c r="DB434" s="214" t="s">
        <v>28339</v>
      </c>
      <c r="DC434" s="214" t="s">
        <v>88</v>
      </c>
      <c r="DD434" s="214" t="s">
        <v>70</v>
      </c>
      <c r="DE434" s="214" t="s">
        <v>530</v>
      </c>
      <c r="DG434" s="214" t="s">
        <v>28340</v>
      </c>
      <c r="DH434" s="214" t="s">
        <v>88</v>
      </c>
      <c r="DI434" s="214" t="s">
        <v>70</v>
      </c>
      <c r="DJ434" s="214" t="s">
        <v>530</v>
      </c>
      <c r="DL434" s="214" t="s">
        <v>28341</v>
      </c>
      <c r="DM434" s="214" t="s">
        <v>52</v>
      </c>
      <c r="DN434" s="214" t="s">
        <v>70</v>
      </c>
      <c r="DO434" s="214" t="s">
        <v>530</v>
      </c>
      <c r="DQ434" s="214" t="s">
        <v>28342</v>
      </c>
      <c r="DR434" s="214" t="s">
        <v>492</v>
      </c>
      <c r="DS434" s="214" t="s">
        <v>70</v>
      </c>
      <c r="DT434" s="214" t="s">
        <v>530</v>
      </c>
      <c r="DV434" s="214" t="s">
        <v>28343</v>
      </c>
      <c r="DW434" s="214" t="s">
        <v>912</v>
      </c>
      <c r="DX434" s="214" t="s">
        <v>70</v>
      </c>
      <c r="DY434" s="214" t="s">
        <v>530</v>
      </c>
      <c r="EA434" s="214" t="s">
        <v>28344</v>
      </c>
      <c r="EB434" s="214" t="s">
        <v>641</v>
      </c>
      <c r="EC434" s="214" t="s">
        <v>70</v>
      </c>
      <c r="ED434" s="214" t="s">
        <v>530</v>
      </c>
      <c r="EF434" s="214" t="s">
        <v>28345</v>
      </c>
      <c r="EG434" s="214" t="s">
        <v>52</v>
      </c>
      <c r="EH434" s="214" t="s">
        <v>70</v>
      </c>
      <c r="EI434" s="214" t="s">
        <v>530</v>
      </c>
      <c r="EK434" s="214" t="s">
        <v>28346</v>
      </c>
      <c r="EL434" s="214" t="s">
        <v>34591</v>
      </c>
      <c r="EM434" s="214" t="s">
        <v>70</v>
      </c>
      <c r="EN434" s="214" t="s">
        <v>530</v>
      </c>
      <c r="EP434" s="214" t="s">
        <v>28347</v>
      </c>
      <c r="EQ434" s="214" t="s">
        <v>148</v>
      </c>
      <c r="ER434" s="214" t="s">
        <v>70</v>
      </c>
      <c r="ES434" s="214" t="s">
        <v>530</v>
      </c>
      <c r="EU434" s="214" t="s">
        <v>28348</v>
      </c>
      <c r="EV434" s="214" t="s">
        <v>34623</v>
      </c>
      <c r="EW434" s="214" t="s">
        <v>70</v>
      </c>
      <c r="EX434" s="214" t="s">
        <v>530</v>
      </c>
      <c r="EZ434" s="214" t="s">
        <v>28349</v>
      </c>
      <c r="FA434" s="214" t="s">
        <v>598</v>
      </c>
      <c r="FB434" s="214" t="s">
        <v>70</v>
      </c>
      <c r="FC434" s="214" t="s">
        <v>530</v>
      </c>
      <c r="FE434" s="214" t="s">
        <v>28350</v>
      </c>
      <c r="FF434" s="214" t="s">
        <v>52</v>
      </c>
      <c r="FG434" s="214" t="s">
        <v>70</v>
      </c>
      <c r="FH434" s="214" t="s">
        <v>530</v>
      </c>
      <c r="FJ434" s="321" t="s">
        <v>28351</v>
      </c>
      <c r="FK434" s="214" t="s">
        <v>34622</v>
      </c>
      <c r="FL434" s="214" t="s">
        <v>70</v>
      </c>
      <c r="FM434" s="214" t="s">
        <v>530</v>
      </c>
      <c r="FO434" s="321" t="s">
        <v>28352</v>
      </c>
      <c r="FP434" s="214" t="s">
        <v>34609</v>
      </c>
      <c r="FQ434" s="214" t="s">
        <v>70</v>
      </c>
      <c r="FR434" s="214" t="s">
        <v>530</v>
      </c>
      <c r="FT434" s="321" t="s">
        <v>28353</v>
      </c>
      <c r="FU434" s="214" t="s">
        <v>103</v>
      </c>
      <c r="FV434" s="214" t="s">
        <v>70</v>
      </c>
      <c r="FW434" s="214" t="s">
        <v>530</v>
      </c>
      <c r="FY434" s="321" t="s">
        <v>28354</v>
      </c>
      <c r="FZ434" s="214" t="s">
        <v>604</v>
      </c>
      <c r="GA434" s="214" t="s">
        <v>70</v>
      </c>
      <c r="GB434" s="214" t="s">
        <v>530</v>
      </c>
      <c r="GD434" s="321" t="s">
        <v>28355</v>
      </c>
      <c r="GE434" s="214" t="s">
        <v>34600</v>
      </c>
      <c r="GF434" s="214" t="s">
        <v>70</v>
      </c>
      <c r="GG434" s="214" t="s">
        <v>530</v>
      </c>
      <c r="GI434" s="321" t="s">
        <v>28356</v>
      </c>
      <c r="GJ434" s="214" t="s">
        <v>34645</v>
      </c>
      <c r="GK434" s="214" t="s">
        <v>70</v>
      </c>
      <c r="GL434" s="214" t="s">
        <v>530</v>
      </c>
      <c r="GN434" s="321" t="s">
        <v>28357</v>
      </c>
      <c r="GO434" s="214" t="s">
        <v>481</v>
      </c>
      <c r="GP434" s="214" t="s">
        <v>70</v>
      </c>
      <c r="GQ434" s="214" t="s">
        <v>530</v>
      </c>
      <c r="GS434" s="321" t="s">
        <v>28358</v>
      </c>
      <c r="GT434" s="214" t="s">
        <v>34613</v>
      </c>
      <c r="GU434" s="214" t="s">
        <v>70</v>
      </c>
      <c r="GV434" s="214" t="s">
        <v>530</v>
      </c>
      <c r="GX434" s="214" t="s">
        <v>28359</v>
      </c>
      <c r="GY434" s="214" t="s">
        <v>163</v>
      </c>
      <c r="GZ434" s="214" t="s">
        <v>70</v>
      </c>
      <c r="HA434" s="214" t="s">
        <v>530</v>
      </c>
      <c r="HC434" s="214" t="s">
        <v>28360</v>
      </c>
      <c r="HD434" s="214" t="s">
        <v>955</v>
      </c>
      <c r="HE434" s="214" t="s">
        <v>70</v>
      </c>
      <c r="HF434" s="214" t="s">
        <v>530</v>
      </c>
      <c r="HH434" s="214" t="s">
        <v>28361</v>
      </c>
      <c r="HI434" s="214" t="s">
        <v>34603</v>
      </c>
      <c r="HJ434" s="214" t="s">
        <v>70</v>
      </c>
      <c r="HK434" s="214" t="s">
        <v>530</v>
      </c>
      <c r="HM434" s="214" t="s">
        <v>28362</v>
      </c>
      <c r="HN434" s="214" t="s">
        <v>468</v>
      </c>
      <c r="HO434" s="214" t="s">
        <v>70</v>
      </c>
      <c r="HP434" s="214" t="s">
        <v>530</v>
      </c>
      <c r="HR434" s="22" t="s">
        <v>28363</v>
      </c>
      <c r="HS434" s="22" t="s">
        <v>495</v>
      </c>
      <c r="HT434" s="22" t="s">
        <v>70</v>
      </c>
      <c r="HU434" s="214" t="s">
        <v>530</v>
      </c>
      <c r="HW434" s="22" t="s">
        <v>28364</v>
      </c>
      <c r="HX434" s="22" t="s">
        <v>52</v>
      </c>
      <c r="HY434" s="22" t="s">
        <v>70</v>
      </c>
      <c r="HZ434" s="214" t="s">
        <v>530</v>
      </c>
      <c r="IB434" s="22" t="s">
        <v>28365</v>
      </c>
      <c r="IC434" s="22" t="s">
        <v>34556</v>
      </c>
      <c r="ID434" s="22" t="s">
        <v>70</v>
      </c>
      <c r="IE434" s="214" t="s">
        <v>530</v>
      </c>
      <c r="IG434" s="22" t="s">
        <v>28366</v>
      </c>
      <c r="IH434" s="22" t="s">
        <v>52</v>
      </c>
      <c r="II434" s="22" t="s">
        <v>70</v>
      </c>
      <c r="IJ434" s="214" t="s">
        <v>530</v>
      </c>
      <c r="IL434" s="22" t="s">
        <v>28367</v>
      </c>
      <c r="IM434" s="22" t="s">
        <v>145</v>
      </c>
      <c r="IN434" s="22" t="s">
        <v>70</v>
      </c>
      <c r="IO434" s="214" t="s">
        <v>530</v>
      </c>
      <c r="IQ434" s="236" t="s">
        <v>28368</v>
      </c>
      <c r="IR434" s="236" t="s">
        <v>145</v>
      </c>
      <c r="IS434" s="236" t="s">
        <v>74</v>
      </c>
      <c r="IT434" s="236" t="s">
        <v>841</v>
      </c>
      <c r="IV434" s="236" t="s">
        <v>28369</v>
      </c>
      <c r="IW434" s="236" t="s">
        <v>145</v>
      </c>
      <c r="IX434" s="236" t="s">
        <v>74</v>
      </c>
      <c r="IY434" s="236" t="s">
        <v>841</v>
      </c>
      <c r="JA434" s="236" t="s">
        <v>28370</v>
      </c>
      <c r="JB434" s="236" t="s">
        <v>145</v>
      </c>
      <c r="JC434" s="236" t="s">
        <v>74</v>
      </c>
      <c r="JD434" s="236" t="s">
        <v>841</v>
      </c>
      <c r="JF434" s="236" t="s">
        <v>28371</v>
      </c>
      <c r="JG434" s="236" t="s">
        <v>145</v>
      </c>
      <c r="JH434" s="236" t="s">
        <v>74</v>
      </c>
      <c r="JI434" s="236" t="s">
        <v>841</v>
      </c>
      <c r="JK434" s="236" t="s">
        <v>28372</v>
      </c>
      <c r="JL434" s="236" t="s">
        <v>145</v>
      </c>
      <c r="JM434" s="236" t="s">
        <v>74</v>
      </c>
      <c r="JN434" s="236" t="s">
        <v>841</v>
      </c>
      <c r="JP434" s="236" t="s">
        <v>28373</v>
      </c>
      <c r="JQ434" s="236" t="s">
        <v>145</v>
      </c>
      <c r="JR434" s="236" t="s">
        <v>74</v>
      </c>
      <c r="JS434" s="236" t="s">
        <v>841</v>
      </c>
      <c r="JU434" s="294" t="s">
        <v>28374</v>
      </c>
      <c r="JV434" s="294" t="s">
        <v>52</v>
      </c>
      <c r="JW434" s="263" t="s">
        <v>70</v>
      </c>
      <c r="JX434" s="294" t="s">
        <v>1083</v>
      </c>
      <c r="JZ434" s="263" t="s">
        <v>28375</v>
      </c>
      <c r="KA434" s="263" t="s">
        <v>145</v>
      </c>
      <c r="KB434" s="263" t="s">
        <v>70</v>
      </c>
      <c r="KC434" s="263" t="s">
        <v>1083</v>
      </c>
      <c r="KE434" s="263" t="s">
        <v>28376</v>
      </c>
      <c r="KF434" s="263" t="s">
        <v>52</v>
      </c>
      <c r="KG434" s="263" t="s">
        <v>70</v>
      </c>
      <c r="KH434" s="263" t="s">
        <v>1083</v>
      </c>
      <c r="KJ434" s="263" t="s">
        <v>28377</v>
      </c>
      <c r="KK434" s="263" t="s">
        <v>52</v>
      </c>
      <c r="KL434" s="263" t="s">
        <v>74</v>
      </c>
      <c r="KM434" s="263" t="s">
        <v>34074</v>
      </c>
      <c r="KO434" s="214" t="s">
        <v>28378</v>
      </c>
      <c r="KP434" s="214" t="s">
        <v>145</v>
      </c>
      <c r="KQ434" s="214" t="s">
        <v>70</v>
      </c>
      <c r="KR434" s="214" t="s">
        <v>67</v>
      </c>
      <c r="KT434" s="22" t="s">
        <v>28379</v>
      </c>
      <c r="KU434" s="22" t="s">
        <v>145</v>
      </c>
      <c r="KV434" s="22" t="s">
        <v>70</v>
      </c>
      <c r="KW434" s="22" t="s">
        <v>67</v>
      </c>
      <c r="KY434" s="214" t="s">
        <v>28380</v>
      </c>
      <c r="KZ434" s="214" t="s">
        <v>52</v>
      </c>
      <c r="LA434" s="214" t="s">
        <v>74</v>
      </c>
      <c r="LB434" s="214" t="s">
        <v>67</v>
      </c>
      <c r="LD434" s="22" t="s">
        <v>28381</v>
      </c>
      <c r="LE434" s="22" t="s">
        <v>145</v>
      </c>
      <c r="LF434" s="22" t="s">
        <v>70</v>
      </c>
      <c r="LG434" s="22" t="s">
        <v>67</v>
      </c>
    </row>
    <row r="435" spans="1:319">
      <c r="A435" s="22" t="s">
        <v>28382</v>
      </c>
      <c r="B435" s="22" t="s">
        <v>145</v>
      </c>
      <c r="C435" s="22" t="s">
        <v>70</v>
      </c>
      <c r="D435" s="22" t="s">
        <v>67</v>
      </c>
      <c r="F435" s="97" t="s">
        <v>28383</v>
      </c>
      <c r="G435" s="22" t="s">
        <v>145</v>
      </c>
      <c r="H435" s="22" t="s">
        <v>70</v>
      </c>
      <c r="I435" s="22" t="s">
        <v>67</v>
      </c>
      <c r="K435" s="99" t="s">
        <v>28384</v>
      </c>
      <c r="L435" s="22" t="s">
        <v>145</v>
      </c>
      <c r="M435" s="22" t="s">
        <v>70</v>
      </c>
      <c r="N435" s="22" t="s">
        <v>67</v>
      </c>
      <c r="P435" s="230" t="s">
        <v>28385</v>
      </c>
      <c r="Q435" s="218" t="s">
        <v>145</v>
      </c>
      <c r="R435" s="218" t="s">
        <v>72</v>
      </c>
      <c r="S435" s="218" t="s">
        <v>34036</v>
      </c>
      <c r="U435" s="293" t="s">
        <v>28386</v>
      </c>
      <c r="V435" s="293" t="s">
        <v>145</v>
      </c>
      <c r="W435" s="293" t="s">
        <v>74</v>
      </c>
      <c r="X435" s="293" t="s">
        <v>656</v>
      </c>
      <c r="Z435" s="293" t="s">
        <v>28387</v>
      </c>
      <c r="AA435" s="293" t="s">
        <v>145</v>
      </c>
      <c r="AB435" s="293" t="s">
        <v>74</v>
      </c>
      <c r="AC435" s="293" t="s">
        <v>656</v>
      </c>
      <c r="AE435" s="293" t="s">
        <v>28388</v>
      </c>
      <c r="AF435" s="293" t="s">
        <v>145</v>
      </c>
      <c r="AG435" s="293" t="s">
        <v>74</v>
      </c>
      <c r="AH435" s="293" t="s">
        <v>656</v>
      </c>
      <c r="AJ435" s="293" t="s">
        <v>28389</v>
      </c>
      <c r="AK435" s="293" t="s">
        <v>145</v>
      </c>
      <c r="AL435" s="293" t="s">
        <v>74</v>
      </c>
      <c r="AM435" s="293" t="s">
        <v>656</v>
      </c>
      <c r="AO435" s="22" t="s">
        <v>28390</v>
      </c>
      <c r="AP435" s="22" t="s">
        <v>145</v>
      </c>
      <c r="AQ435" s="22" t="s">
        <v>70</v>
      </c>
      <c r="AR435" s="22" t="s">
        <v>67</v>
      </c>
      <c r="AT435" s="22" t="s">
        <v>28391</v>
      </c>
      <c r="AU435" s="22" t="s">
        <v>145</v>
      </c>
      <c r="AV435" s="22" t="s">
        <v>70</v>
      </c>
      <c r="AW435" s="22" t="s">
        <v>67</v>
      </c>
      <c r="AY435" s="22" t="s">
        <v>28392</v>
      </c>
      <c r="AZ435" s="22" t="s">
        <v>145</v>
      </c>
      <c r="BA435" s="22" t="s">
        <v>70</v>
      </c>
      <c r="BB435" s="22" t="s">
        <v>67</v>
      </c>
      <c r="BD435" s="22" t="s">
        <v>28393</v>
      </c>
      <c r="BE435" s="22" t="s">
        <v>145</v>
      </c>
      <c r="BF435" s="22" t="s">
        <v>70</v>
      </c>
      <c r="BG435" s="22" t="s">
        <v>67</v>
      </c>
      <c r="BI435" s="22" t="s">
        <v>28394</v>
      </c>
      <c r="BJ435" s="22" t="s">
        <v>145</v>
      </c>
      <c r="BK435" s="22" t="s">
        <v>70</v>
      </c>
      <c r="BL435" s="22" t="s">
        <v>67</v>
      </c>
      <c r="BN435" s="22" t="s">
        <v>28395</v>
      </c>
      <c r="BO435" s="22" t="s">
        <v>145</v>
      </c>
      <c r="BP435" s="22" t="s">
        <v>70</v>
      </c>
      <c r="BQ435" s="22" t="s">
        <v>67</v>
      </c>
      <c r="BS435" s="22" t="s">
        <v>28396</v>
      </c>
      <c r="BT435" s="22" t="s">
        <v>145</v>
      </c>
      <c r="BU435" s="22" t="s">
        <v>70</v>
      </c>
      <c r="BV435" s="214" t="s">
        <v>530</v>
      </c>
      <c r="BX435" s="22" t="s">
        <v>28397</v>
      </c>
      <c r="BY435" s="22" t="s">
        <v>145</v>
      </c>
      <c r="BZ435" s="22" t="s">
        <v>70</v>
      </c>
      <c r="CA435" s="214" t="s">
        <v>530</v>
      </c>
      <c r="CC435" s="214" t="s">
        <v>28398</v>
      </c>
      <c r="CD435" s="214" t="s">
        <v>485</v>
      </c>
      <c r="CE435" s="214" t="s">
        <v>70</v>
      </c>
      <c r="CF435" s="214" t="s">
        <v>530</v>
      </c>
      <c r="CH435" s="214" t="s">
        <v>28399</v>
      </c>
      <c r="CI435" s="214" t="s">
        <v>491</v>
      </c>
      <c r="CJ435" s="214" t="s">
        <v>70</v>
      </c>
      <c r="CK435" s="214" t="s">
        <v>530</v>
      </c>
      <c r="CM435" s="214" t="s">
        <v>28400</v>
      </c>
      <c r="CN435" s="214" t="s">
        <v>488</v>
      </c>
      <c r="CO435" s="214" t="s">
        <v>70</v>
      </c>
      <c r="CP435" s="214" t="s">
        <v>530</v>
      </c>
      <c r="CR435" s="214" t="s">
        <v>28401</v>
      </c>
      <c r="CS435" s="214" t="s">
        <v>34641</v>
      </c>
      <c r="CT435" s="214" t="s">
        <v>70</v>
      </c>
      <c r="CU435" s="214" t="s">
        <v>530</v>
      </c>
      <c r="CW435" s="214" t="s">
        <v>28402</v>
      </c>
      <c r="CX435" s="214" t="s">
        <v>146</v>
      </c>
      <c r="CY435" s="214" t="s">
        <v>70</v>
      </c>
      <c r="CZ435" s="214" t="s">
        <v>530</v>
      </c>
      <c r="DB435" s="214" t="s">
        <v>28403</v>
      </c>
      <c r="DC435" s="214" t="s">
        <v>468</v>
      </c>
      <c r="DD435" s="214" t="s">
        <v>70</v>
      </c>
      <c r="DE435" s="214" t="s">
        <v>530</v>
      </c>
      <c r="DG435" s="214" t="s">
        <v>28404</v>
      </c>
      <c r="DH435" s="214" t="s">
        <v>468</v>
      </c>
      <c r="DI435" s="214" t="s">
        <v>70</v>
      </c>
      <c r="DJ435" s="214" t="s">
        <v>530</v>
      </c>
      <c r="DL435" s="214" t="s">
        <v>28405</v>
      </c>
      <c r="DM435" s="214" t="s">
        <v>88</v>
      </c>
      <c r="DN435" s="214" t="s">
        <v>70</v>
      </c>
      <c r="DO435" s="214" t="s">
        <v>530</v>
      </c>
      <c r="DQ435" s="214" t="s">
        <v>28406</v>
      </c>
      <c r="DR435" s="214" t="s">
        <v>52</v>
      </c>
      <c r="DS435" s="214" t="s">
        <v>70</v>
      </c>
      <c r="DT435" s="214" t="s">
        <v>530</v>
      </c>
      <c r="DV435" s="214" t="s">
        <v>28407</v>
      </c>
      <c r="DW435" s="214" t="s">
        <v>34548</v>
      </c>
      <c r="DX435" s="214" t="s">
        <v>70</v>
      </c>
      <c r="DY435" s="214" t="s">
        <v>530</v>
      </c>
      <c r="EA435" s="214" t="s">
        <v>28408</v>
      </c>
      <c r="EB435" s="214" t="s">
        <v>484</v>
      </c>
      <c r="EC435" s="214" t="s">
        <v>70</v>
      </c>
      <c r="ED435" s="214" t="s">
        <v>530</v>
      </c>
      <c r="EF435" s="214" t="s">
        <v>28409</v>
      </c>
      <c r="EG435" s="214" t="s">
        <v>485</v>
      </c>
      <c r="EH435" s="214" t="s">
        <v>70</v>
      </c>
      <c r="EI435" s="214" t="s">
        <v>530</v>
      </c>
      <c r="EK435" s="214" t="s">
        <v>28410</v>
      </c>
      <c r="EL435" s="214" t="s">
        <v>484</v>
      </c>
      <c r="EM435" s="214" t="s">
        <v>70</v>
      </c>
      <c r="EN435" s="214" t="s">
        <v>530</v>
      </c>
      <c r="EP435" s="214" t="s">
        <v>28411</v>
      </c>
      <c r="EQ435" s="214" t="s">
        <v>34540</v>
      </c>
      <c r="ER435" s="214" t="s">
        <v>70</v>
      </c>
      <c r="ES435" s="214" t="s">
        <v>530</v>
      </c>
      <c r="EU435" s="214" t="s">
        <v>28412</v>
      </c>
      <c r="EV435" s="214" t="s">
        <v>492</v>
      </c>
      <c r="EW435" s="214" t="s">
        <v>70</v>
      </c>
      <c r="EX435" s="214" t="s">
        <v>530</v>
      </c>
      <c r="EZ435" s="214" t="s">
        <v>28413</v>
      </c>
      <c r="FA435" s="214" t="s">
        <v>598</v>
      </c>
      <c r="FB435" s="214" t="s">
        <v>70</v>
      </c>
      <c r="FC435" s="214" t="s">
        <v>530</v>
      </c>
      <c r="FE435" s="214" t="s">
        <v>28414</v>
      </c>
      <c r="FF435" s="214" t="s">
        <v>52</v>
      </c>
      <c r="FG435" s="214" t="s">
        <v>70</v>
      </c>
      <c r="FH435" s="214" t="s">
        <v>530</v>
      </c>
      <c r="FJ435" s="321" t="s">
        <v>28415</v>
      </c>
      <c r="FK435" s="214" t="s">
        <v>503</v>
      </c>
      <c r="FL435" s="214" t="s">
        <v>70</v>
      </c>
      <c r="FM435" s="214" t="s">
        <v>530</v>
      </c>
      <c r="FO435" s="321" t="s">
        <v>28416</v>
      </c>
      <c r="FP435" s="214" t="s">
        <v>34542</v>
      </c>
      <c r="FQ435" s="214" t="s">
        <v>70</v>
      </c>
      <c r="FR435" s="214" t="s">
        <v>530</v>
      </c>
      <c r="FT435" s="321" t="s">
        <v>28417</v>
      </c>
      <c r="FU435" s="214" t="s">
        <v>34564</v>
      </c>
      <c r="FV435" s="214" t="s">
        <v>70</v>
      </c>
      <c r="FW435" s="214" t="s">
        <v>530</v>
      </c>
      <c r="FY435" s="321" t="s">
        <v>28418</v>
      </c>
      <c r="FZ435" s="214" t="s">
        <v>34550</v>
      </c>
      <c r="GA435" s="214" t="s">
        <v>70</v>
      </c>
      <c r="GB435" s="214" t="s">
        <v>530</v>
      </c>
      <c r="GD435" s="321" t="s">
        <v>28419</v>
      </c>
      <c r="GE435" s="214" t="s">
        <v>34556</v>
      </c>
      <c r="GF435" s="214" t="s">
        <v>70</v>
      </c>
      <c r="GG435" s="214" t="s">
        <v>530</v>
      </c>
      <c r="GI435" s="321" t="s">
        <v>28420</v>
      </c>
      <c r="GJ435" s="214" t="s">
        <v>491</v>
      </c>
      <c r="GK435" s="214" t="s">
        <v>70</v>
      </c>
      <c r="GL435" s="214" t="s">
        <v>530</v>
      </c>
      <c r="GN435" s="321" t="s">
        <v>28421</v>
      </c>
      <c r="GO435" s="214" t="s">
        <v>487</v>
      </c>
      <c r="GP435" s="214" t="s">
        <v>70</v>
      </c>
      <c r="GQ435" s="214" t="s">
        <v>530</v>
      </c>
      <c r="GS435" s="321" t="s">
        <v>28422</v>
      </c>
      <c r="GT435" s="214" t="s">
        <v>34642</v>
      </c>
      <c r="GU435" s="214" t="s">
        <v>70</v>
      </c>
      <c r="GV435" s="214" t="s">
        <v>530</v>
      </c>
      <c r="GX435" s="214" t="s">
        <v>28423</v>
      </c>
      <c r="GY435" s="214" t="s">
        <v>599</v>
      </c>
      <c r="GZ435" s="214" t="s">
        <v>70</v>
      </c>
      <c r="HA435" s="214" t="s">
        <v>530</v>
      </c>
      <c r="HC435" s="214" t="s">
        <v>28424</v>
      </c>
      <c r="HD435" s="214" t="s">
        <v>502</v>
      </c>
      <c r="HE435" s="214" t="s">
        <v>70</v>
      </c>
      <c r="HF435" s="214" t="s">
        <v>530</v>
      </c>
      <c r="HH435" s="214" t="s">
        <v>28425</v>
      </c>
      <c r="HI435" s="214" t="s">
        <v>85</v>
      </c>
      <c r="HJ435" s="214" t="s">
        <v>70</v>
      </c>
      <c r="HK435" s="214" t="s">
        <v>530</v>
      </c>
      <c r="HM435" s="214" t="s">
        <v>28426</v>
      </c>
      <c r="HN435" s="214" t="s">
        <v>52</v>
      </c>
      <c r="HO435" s="214" t="s">
        <v>70</v>
      </c>
      <c r="HP435" s="214" t="s">
        <v>530</v>
      </c>
      <c r="HR435" s="22" t="s">
        <v>28427</v>
      </c>
      <c r="HS435" s="22" t="s">
        <v>502</v>
      </c>
      <c r="HT435" s="22" t="s">
        <v>70</v>
      </c>
      <c r="HU435" s="214" t="s">
        <v>530</v>
      </c>
      <c r="HW435" s="22" t="s">
        <v>28428</v>
      </c>
      <c r="HX435" s="22" t="s">
        <v>203</v>
      </c>
      <c r="HY435" s="22" t="s">
        <v>70</v>
      </c>
      <c r="HZ435" s="214" t="s">
        <v>530</v>
      </c>
      <c r="IB435" s="22" t="s">
        <v>28429</v>
      </c>
      <c r="IC435" s="22" t="s">
        <v>34541</v>
      </c>
      <c r="ID435" s="22" t="s">
        <v>70</v>
      </c>
      <c r="IE435" s="214" t="s">
        <v>530</v>
      </c>
      <c r="IG435" s="22" t="s">
        <v>28430</v>
      </c>
      <c r="IH435" s="22" t="s">
        <v>52</v>
      </c>
      <c r="II435" s="22" t="s">
        <v>70</v>
      </c>
      <c r="IJ435" s="214" t="s">
        <v>530</v>
      </c>
      <c r="IL435" s="22" t="s">
        <v>28431</v>
      </c>
      <c r="IM435" s="22" t="s">
        <v>145</v>
      </c>
      <c r="IN435" s="22" t="s">
        <v>70</v>
      </c>
      <c r="IO435" s="214" t="s">
        <v>530</v>
      </c>
      <c r="IQ435" s="236" t="s">
        <v>28432</v>
      </c>
      <c r="IR435" s="236" t="s">
        <v>145</v>
      </c>
      <c r="IS435" s="236" t="s">
        <v>74</v>
      </c>
      <c r="IT435" s="236" t="s">
        <v>841</v>
      </c>
      <c r="IV435" s="236" t="s">
        <v>28433</v>
      </c>
      <c r="IW435" s="236" t="s">
        <v>145</v>
      </c>
      <c r="IX435" s="236" t="s">
        <v>74</v>
      </c>
      <c r="IY435" s="236" t="s">
        <v>841</v>
      </c>
      <c r="JA435" s="236" t="s">
        <v>28434</v>
      </c>
      <c r="JB435" s="236" t="s">
        <v>145</v>
      </c>
      <c r="JC435" s="236" t="s">
        <v>74</v>
      </c>
      <c r="JD435" s="236" t="s">
        <v>841</v>
      </c>
      <c r="JF435" s="236" t="s">
        <v>28435</v>
      </c>
      <c r="JG435" s="236" t="s">
        <v>145</v>
      </c>
      <c r="JH435" s="236" t="s">
        <v>74</v>
      </c>
      <c r="JI435" s="236" t="s">
        <v>841</v>
      </c>
      <c r="JK435" s="236" t="s">
        <v>28436</v>
      </c>
      <c r="JL435" s="236" t="s">
        <v>145</v>
      </c>
      <c r="JM435" s="236" t="s">
        <v>74</v>
      </c>
      <c r="JN435" s="236" t="s">
        <v>841</v>
      </c>
      <c r="JP435" s="236" t="s">
        <v>28437</v>
      </c>
      <c r="JQ435" s="236" t="s">
        <v>145</v>
      </c>
      <c r="JR435" s="236" t="s">
        <v>74</v>
      </c>
      <c r="JS435" s="236" t="s">
        <v>841</v>
      </c>
      <c r="JU435" s="294" t="s">
        <v>28438</v>
      </c>
      <c r="JV435" s="294" t="s">
        <v>52</v>
      </c>
      <c r="JW435" s="263" t="s">
        <v>70</v>
      </c>
      <c r="JX435" s="294" t="s">
        <v>1083</v>
      </c>
      <c r="JZ435" s="263" t="s">
        <v>28439</v>
      </c>
      <c r="KA435" s="263" t="s">
        <v>145</v>
      </c>
      <c r="KB435" s="263" t="s">
        <v>70</v>
      </c>
      <c r="KC435" s="263" t="s">
        <v>1083</v>
      </c>
      <c r="KE435" s="263" t="s">
        <v>28440</v>
      </c>
      <c r="KF435" s="263" t="s">
        <v>52</v>
      </c>
      <c r="KG435" s="263" t="s">
        <v>70</v>
      </c>
      <c r="KH435" s="263" t="s">
        <v>1083</v>
      </c>
      <c r="KJ435" s="263" t="s">
        <v>28441</v>
      </c>
      <c r="KK435" s="263" t="s">
        <v>52</v>
      </c>
      <c r="KL435" s="263" t="s">
        <v>74</v>
      </c>
      <c r="KM435" s="263" t="s">
        <v>34074</v>
      </c>
      <c r="KO435" s="214" t="s">
        <v>28442</v>
      </c>
      <c r="KP435" s="214" t="s">
        <v>145</v>
      </c>
      <c r="KQ435" s="214" t="s">
        <v>70</v>
      </c>
      <c r="KR435" s="214" t="s">
        <v>67</v>
      </c>
      <c r="KT435" s="22" t="s">
        <v>28443</v>
      </c>
      <c r="KU435" s="22" t="s">
        <v>145</v>
      </c>
      <c r="KV435" s="22" t="s">
        <v>70</v>
      </c>
      <c r="KW435" s="22" t="s">
        <v>67</v>
      </c>
      <c r="KY435" s="214" t="s">
        <v>28444</v>
      </c>
      <c r="KZ435" s="214" t="s">
        <v>52</v>
      </c>
      <c r="LA435" s="214" t="s">
        <v>74</v>
      </c>
      <c r="LB435" s="214" t="s">
        <v>67</v>
      </c>
      <c r="LD435" s="22" t="s">
        <v>28445</v>
      </c>
      <c r="LE435" s="22" t="s">
        <v>145</v>
      </c>
      <c r="LF435" s="22" t="s">
        <v>70</v>
      </c>
      <c r="LG435" s="22" t="s">
        <v>67</v>
      </c>
    </row>
    <row r="436" spans="1:319">
      <c r="A436" s="22" t="s">
        <v>28446</v>
      </c>
      <c r="B436" s="22" t="s">
        <v>145</v>
      </c>
      <c r="C436" s="22" t="s">
        <v>70</v>
      </c>
      <c r="D436" s="22" t="s">
        <v>67</v>
      </c>
      <c r="F436" s="97" t="s">
        <v>28447</v>
      </c>
      <c r="G436" s="22" t="s">
        <v>145</v>
      </c>
      <c r="H436" s="22" t="s">
        <v>70</v>
      </c>
      <c r="I436" s="22" t="s">
        <v>67</v>
      </c>
      <c r="K436" s="99" t="s">
        <v>28448</v>
      </c>
      <c r="L436" s="22" t="s">
        <v>145</v>
      </c>
      <c r="M436" s="22" t="s">
        <v>70</v>
      </c>
      <c r="N436" s="22" t="s">
        <v>67</v>
      </c>
      <c r="P436" s="230" t="s">
        <v>28449</v>
      </c>
      <c r="Q436" s="218" t="s">
        <v>145</v>
      </c>
      <c r="R436" s="218" t="s">
        <v>72</v>
      </c>
      <c r="S436" s="218" t="s">
        <v>34037</v>
      </c>
      <c r="U436" s="293" t="s">
        <v>28450</v>
      </c>
      <c r="V436" s="293" t="s">
        <v>145</v>
      </c>
      <c r="W436" s="293" t="s">
        <v>74</v>
      </c>
      <c r="X436" s="293" t="s">
        <v>656</v>
      </c>
      <c r="Z436" s="293" t="s">
        <v>28451</v>
      </c>
      <c r="AA436" s="293" t="s">
        <v>145</v>
      </c>
      <c r="AB436" s="293" t="s">
        <v>74</v>
      </c>
      <c r="AC436" s="293" t="s">
        <v>656</v>
      </c>
      <c r="AE436" s="293" t="s">
        <v>28452</v>
      </c>
      <c r="AF436" s="293" t="s">
        <v>145</v>
      </c>
      <c r="AG436" s="293" t="s">
        <v>74</v>
      </c>
      <c r="AH436" s="293" t="s">
        <v>656</v>
      </c>
      <c r="AJ436" s="293" t="s">
        <v>28453</v>
      </c>
      <c r="AK436" s="293" t="s">
        <v>145</v>
      </c>
      <c r="AL436" s="293" t="s">
        <v>74</v>
      </c>
      <c r="AM436" s="293" t="s">
        <v>656</v>
      </c>
      <c r="AO436" s="22" t="s">
        <v>28454</v>
      </c>
      <c r="AP436" s="22" t="s">
        <v>145</v>
      </c>
      <c r="AQ436" s="22" t="s">
        <v>70</v>
      </c>
      <c r="AR436" s="22" t="s">
        <v>67</v>
      </c>
      <c r="AT436" s="22" t="s">
        <v>28455</v>
      </c>
      <c r="AU436" s="22" t="s">
        <v>145</v>
      </c>
      <c r="AV436" s="22" t="s">
        <v>70</v>
      </c>
      <c r="AW436" s="22" t="s">
        <v>67</v>
      </c>
      <c r="AY436" s="22" t="s">
        <v>28456</v>
      </c>
      <c r="AZ436" s="22" t="s">
        <v>145</v>
      </c>
      <c r="BA436" s="22" t="s">
        <v>70</v>
      </c>
      <c r="BB436" s="22" t="s">
        <v>67</v>
      </c>
      <c r="BD436" s="22" t="s">
        <v>28457</v>
      </c>
      <c r="BE436" s="22" t="s">
        <v>145</v>
      </c>
      <c r="BF436" s="22" t="s">
        <v>70</v>
      </c>
      <c r="BG436" s="22" t="s">
        <v>67</v>
      </c>
      <c r="BI436" s="22" t="s">
        <v>28458</v>
      </c>
      <c r="BJ436" s="22" t="s">
        <v>145</v>
      </c>
      <c r="BK436" s="22" t="s">
        <v>70</v>
      </c>
      <c r="BL436" s="22" t="s">
        <v>67</v>
      </c>
      <c r="BN436" s="22" t="s">
        <v>28459</v>
      </c>
      <c r="BO436" s="22" t="s">
        <v>145</v>
      </c>
      <c r="BP436" s="22" t="s">
        <v>70</v>
      </c>
      <c r="BQ436" s="22" t="s">
        <v>67</v>
      </c>
      <c r="BS436" s="22" t="s">
        <v>28460</v>
      </c>
      <c r="BT436" s="22" t="s">
        <v>145</v>
      </c>
      <c r="BU436" s="22" t="s">
        <v>70</v>
      </c>
      <c r="BV436" s="214" t="s">
        <v>530</v>
      </c>
      <c r="BX436" s="22" t="s">
        <v>28461</v>
      </c>
      <c r="BY436" s="22" t="s">
        <v>145</v>
      </c>
      <c r="BZ436" s="22" t="s">
        <v>70</v>
      </c>
      <c r="CA436" s="214" t="s">
        <v>530</v>
      </c>
      <c r="CC436" s="214" t="s">
        <v>28462</v>
      </c>
      <c r="CD436" s="214" t="s">
        <v>103</v>
      </c>
      <c r="CE436" s="214" t="s">
        <v>70</v>
      </c>
      <c r="CF436" s="214" t="s">
        <v>530</v>
      </c>
      <c r="CH436" s="214" t="s">
        <v>28463</v>
      </c>
      <c r="CI436" s="214" t="s">
        <v>148</v>
      </c>
      <c r="CJ436" s="214" t="s">
        <v>70</v>
      </c>
      <c r="CK436" s="214" t="s">
        <v>530</v>
      </c>
      <c r="CM436" s="214" t="s">
        <v>28464</v>
      </c>
      <c r="CN436" s="214" t="s">
        <v>468</v>
      </c>
      <c r="CO436" s="214" t="s">
        <v>70</v>
      </c>
      <c r="CP436" s="214" t="s">
        <v>530</v>
      </c>
      <c r="CR436" s="214" t="s">
        <v>28465</v>
      </c>
      <c r="CS436" s="214" t="s">
        <v>34545</v>
      </c>
      <c r="CT436" s="214" t="s">
        <v>70</v>
      </c>
      <c r="CU436" s="214" t="s">
        <v>530</v>
      </c>
      <c r="CW436" s="214" t="s">
        <v>28466</v>
      </c>
      <c r="CX436" s="214" t="s">
        <v>85</v>
      </c>
      <c r="CY436" s="214" t="s">
        <v>70</v>
      </c>
      <c r="CZ436" s="214" t="s">
        <v>530</v>
      </c>
      <c r="DB436" s="214" t="s">
        <v>28467</v>
      </c>
      <c r="DC436" s="214" t="s">
        <v>148</v>
      </c>
      <c r="DD436" s="214" t="s">
        <v>70</v>
      </c>
      <c r="DE436" s="214" t="s">
        <v>530</v>
      </c>
      <c r="DG436" s="214" t="s">
        <v>28468</v>
      </c>
      <c r="DH436" s="214" t="s">
        <v>52</v>
      </c>
      <c r="DI436" s="214" t="s">
        <v>70</v>
      </c>
      <c r="DJ436" s="214" t="s">
        <v>530</v>
      </c>
      <c r="DL436" s="214" t="s">
        <v>28469</v>
      </c>
      <c r="DM436" s="214" t="s">
        <v>148</v>
      </c>
      <c r="DN436" s="214" t="s">
        <v>70</v>
      </c>
      <c r="DO436" s="214" t="s">
        <v>530</v>
      </c>
      <c r="DQ436" s="214" t="s">
        <v>28470</v>
      </c>
      <c r="DR436" s="214" t="s">
        <v>34620</v>
      </c>
      <c r="DS436" s="214" t="s">
        <v>70</v>
      </c>
      <c r="DT436" s="214" t="s">
        <v>530</v>
      </c>
      <c r="DV436" s="214" t="s">
        <v>28471</v>
      </c>
      <c r="DW436" s="214" t="s">
        <v>148</v>
      </c>
      <c r="DX436" s="214" t="s">
        <v>70</v>
      </c>
      <c r="DY436" s="214" t="s">
        <v>530</v>
      </c>
      <c r="EA436" s="214" t="s">
        <v>28472</v>
      </c>
      <c r="EB436" s="214" t="s">
        <v>34583</v>
      </c>
      <c r="EC436" s="214" t="s">
        <v>70</v>
      </c>
      <c r="ED436" s="214" t="s">
        <v>530</v>
      </c>
      <c r="EF436" s="214" t="s">
        <v>28473</v>
      </c>
      <c r="EG436" s="214" t="s">
        <v>87</v>
      </c>
      <c r="EH436" s="214" t="s">
        <v>70</v>
      </c>
      <c r="EI436" s="214" t="s">
        <v>530</v>
      </c>
      <c r="EK436" s="214" t="s">
        <v>28474</v>
      </c>
      <c r="EL436" s="214" t="s">
        <v>90</v>
      </c>
      <c r="EM436" s="214" t="s">
        <v>70</v>
      </c>
      <c r="EN436" s="214" t="s">
        <v>530</v>
      </c>
      <c r="EP436" s="214" t="s">
        <v>28475</v>
      </c>
      <c r="EQ436" s="214" t="s">
        <v>163</v>
      </c>
      <c r="ER436" s="214" t="s">
        <v>70</v>
      </c>
      <c r="ES436" s="214" t="s">
        <v>530</v>
      </c>
      <c r="EU436" s="214" t="s">
        <v>28476</v>
      </c>
      <c r="EV436" s="214" t="s">
        <v>10541</v>
      </c>
      <c r="EW436" s="214" t="s">
        <v>70</v>
      </c>
      <c r="EX436" s="214" t="s">
        <v>530</v>
      </c>
      <c r="EZ436" s="214" t="s">
        <v>28477</v>
      </c>
      <c r="FA436" s="214" t="s">
        <v>468</v>
      </c>
      <c r="FB436" s="214" t="s">
        <v>70</v>
      </c>
      <c r="FC436" s="214" t="s">
        <v>530</v>
      </c>
      <c r="FE436" s="214" t="s">
        <v>28478</v>
      </c>
      <c r="FF436" s="214" t="s">
        <v>52</v>
      </c>
      <c r="FG436" s="214" t="s">
        <v>70</v>
      </c>
      <c r="FH436" s="214" t="s">
        <v>530</v>
      </c>
      <c r="FJ436" s="321" t="s">
        <v>28479</v>
      </c>
      <c r="FK436" s="214" t="s">
        <v>148</v>
      </c>
      <c r="FL436" s="214" t="s">
        <v>70</v>
      </c>
      <c r="FM436" s="214" t="s">
        <v>530</v>
      </c>
      <c r="FO436" s="321" t="s">
        <v>28480</v>
      </c>
      <c r="FP436" s="214" t="s">
        <v>765</v>
      </c>
      <c r="FQ436" s="214" t="s">
        <v>70</v>
      </c>
      <c r="FR436" s="214" t="s">
        <v>530</v>
      </c>
      <c r="FT436" s="321" t="s">
        <v>28481</v>
      </c>
      <c r="FU436" s="214" t="s">
        <v>103</v>
      </c>
      <c r="FV436" s="214" t="s">
        <v>70</v>
      </c>
      <c r="FW436" s="214" t="s">
        <v>530</v>
      </c>
      <c r="FY436" s="321" t="s">
        <v>28482</v>
      </c>
      <c r="FZ436" s="214" t="s">
        <v>89</v>
      </c>
      <c r="GA436" s="214" t="s">
        <v>70</v>
      </c>
      <c r="GB436" s="214" t="s">
        <v>530</v>
      </c>
      <c r="GD436" s="321" t="s">
        <v>28483</v>
      </c>
      <c r="GE436" s="214" t="s">
        <v>85</v>
      </c>
      <c r="GF436" s="214" t="s">
        <v>70</v>
      </c>
      <c r="GG436" s="214" t="s">
        <v>530</v>
      </c>
      <c r="GI436" s="321" t="s">
        <v>28484</v>
      </c>
      <c r="GJ436" s="214" t="s">
        <v>163</v>
      </c>
      <c r="GK436" s="214" t="s">
        <v>70</v>
      </c>
      <c r="GL436" s="214" t="s">
        <v>530</v>
      </c>
      <c r="GN436" s="321" t="s">
        <v>28485</v>
      </c>
      <c r="GO436" s="214" t="s">
        <v>946</v>
      </c>
      <c r="GP436" s="214" t="s">
        <v>70</v>
      </c>
      <c r="GQ436" s="214" t="s">
        <v>530</v>
      </c>
      <c r="GS436" s="321" t="s">
        <v>28486</v>
      </c>
      <c r="GT436" s="214" t="s">
        <v>52</v>
      </c>
      <c r="GU436" s="214" t="s">
        <v>70</v>
      </c>
      <c r="GV436" s="214" t="s">
        <v>530</v>
      </c>
      <c r="GX436" s="214" t="s">
        <v>28487</v>
      </c>
      <c r="GY436" s="214" t="s">
        <v>603</v>
      </c>
      <c r="GZ436" s="214" t="s">
        <v>70</v>
      </c>
      <c r="HA436" s="214" t="s">
        <v>530</v>
      </c>
      <c r="HC436" s="214" t="s">
        <v>28488</v>
      </c>
      <c r="HD436" s="214" t="s">
        <v>529</v>
      </c>
      <c r="HE436" s="214" t="s">
        <v>70</v>
      </c>
      <c r="HF436" s="214" t="s">
        <v>530</v>
      </c>
      <c r="HH436" s="214" t="s">
        <v>28489</v>
      </c>
      <c r="HI436" s="214" t="s">
        <v>34576</v>
      </c>
      <c r="HJ436" s="214" t="s">
        <v>70</v>
      </c>
      <c r="HK436" s="214" t="s">
        <v>530</v>
      </c>
      <c r="HM436" s="214" t="s">
        <v>28490</v>
      </c>
      <c r="HN436" s="214" t="s">
        <v>145</v>
      </c>
      <c r="HO436" s="214" t="s">
        <v>70</v>
      </c>
      <c r="HP436" s="214" t="s">
        <v>530</v>
      </c>
      <c r="HR436" s="22" t="s">
        <v>28491</v>
      </c>
      <c r="HS436" s="22" t="s">
        <v>529</v>
      </c>
      <c r="HT436" s="22" t="s">
        <v>70</v>
      </c>
      <c r="HU436" s="214" t="s">
        <v>530</v>
      </c>
      <c r="HW436" s="22" t="s">
        <v>28492</v>
      </c>
      <c r="HX436" s="22" t="s">
        <v>34588</v>
      </c>
      <c r="HY436" s="22" t="s">
        <v>70</v>
      </c>
      <c r="HZ436" s="214" t="s">
        <v>530</v>
      </c>
      <c r="IB436" s="22" t="s">
        <v>28493</v>
      </c>
      <c r="IC436" s="22" t="s">
        <v>34588</v>
      </c>
      <c r="ID436" s="22" t="s">
        <v>70</v>
      </c>
      <c r="IE436" s="214" t="s">
        <v>530</v>
      </c>
      <c r="IG436" s="22" t="s">
        <v>28494</v>
      </c>
      <c r="IH436" s="22" t="s">
        <v>52</v>
      </c>
      <c r="II436" s="22" t="s">
        <v>70</v>
      </c>
      <c r="IJ436" s="214" t="s">
        <v>530</v>
      </c>
      <c r="IL436" s="22" t="s">
        <v>28495</v>
      </c>
      <c r="IM436" s="22" t="s">
        <v>145</v>
      </c>
      <c r="IN436" s="22" t="s">
        <v>70</v>
      </c>
      <c r="IO436" s="214" t="s">
        <v>530</v>
      </c>
      <c r="IQ436" s="236" t="s">
        <v>28496</v>
      </c>
      <c r="IR436" s="236" t="s">
        <v>145</v>
      </c>
      <c r="IS436" s="236" t="s">
        <v>74</v>
      </c>
      <c r="IT436" s="236" t="s">
        <v>841</v>
      </c>
      <c r="IV436" s="236" t="s">
        <v>28497</v>
      </c>
      <c r="IW436" s="236" t="s">
        <v>145</v>
      </c>
      <c r="IX436" s="236" t="s">
        <v>74</v>
      </c>
      <c r="IY436" s="236" t="s">
        <v>841</v>
      </c>
      <c r="JA436" s="236" t="s">
        <v>28498</v>
      </c>
      <c r="JB436" s="236" t="s">
        <v>145</v>
      </c>
      <c r="JC436" s="236" t="s">
        <v>74</v>
      </c>
      <c r="JD436" s="236" t="s">
        <v>841</v>
      </c>
      <c r="JF436" s="236" t="s">
        <v>28499</v>
      </c>
      <c r="JG436" s="236" t="s">
        <v>145</v>
      </c>
      <c r="JH436" s="236" t="s">
        <v>74</v>
      </c>
      <c r="JI436" s="236" t="s">
        <v>841</v>
      </c>
      <c r="JK436" s="236" t="s">
        <v>28500</v>
      </c>
      <c r="JL436" s="236" t="s">
        <v>145</v>
      </c>
      <c r="JM436" s="236" t="s">
        <v>74</v>
      </c>
      <c r="JN436" s="236" t="s">
        <v>841</v>
      </c>
      <c r="JP436" s="236" t="s">
        <v>28501</v>
      </c>
      <c r="JQ436" s="236" t="s">
        <v>145</v>
      </c>
      <c r="JR436" s="236" t="s">
        <v>74</v>
      </c>
      <c r="JS436" s="236" t="s">
        <v>841</v>
      </c>
      <c r="JU436" s="294" t="s">
        <v>28502</v>
      </c>
      <c r="JV436" s="294" t="s">
        <v>52</v>
      </c>
      <c r="JW436" s="263" t="s">
        <v>70</v>
      </c>
      <c r="JX436" s="294" t="s">
        <v>1083</v>
      </c>
      <c r="JZ436" s="263" t="s">
        <v>28503</v>
      </c>
      <c r="KA436" s="263" t="s">
        <v>145</v>
      </c>
      <c r="KB436" s="263" t="s">
        <v>70</v>
      </c>
      <c r="KC436" s="263" t="s">
        <v>1083</v>
      </c>
      <c r="KE436" s="263" t="s">
        <v>28504</v>
      </c>
      <c r="KF436" s="263" t="s">
        <v>52</v>
      </c>
      <c r="KG436" s="263" t="s">
        <v>70</v>
      </c>
      <c r="KH436" s="263" t="s">
        <v>1083</v>
      </c>
      <c r="KJ436" s="263" t="s">
        <v>28505</v>
      </c>
      <c r="KK436" s="263" t="s">
        <v>52</v>
      </c>
      <c r="KL436" s="263" t="s">
        <v>74</v>
      </c>
      <c r="KM436" s="263" t="s">
        <v>34074</v>
      </c>
      <c r="KO436" s="214" t="s">
        <v>28506</v>
      </c>
      <c r="KP436" s="214" t="s">
        <v>145</v>
      </c>
      <c r="KQ436" s="214" t="s">
        <v>70</v>
      </c>
      <c r="KR436" s="214" t="s">
        <v>67</v>
      </c>
      <c r="KT436" s="22" t="s">
        <v>28507</v>
      </c>
      <c r="KU436" s="22" t="s">
        <v>145</v>
      </c>
      <c r="KV436" s="22" t="s">
        <v>70</v>
      </c>
      <c r="KW436" s="22" t="s">
        <v>67</v>
      </c>
      <c r="KY436" s="214" t="s">
        <v>28508</v>
      </c>
      <c r="KZ436" s="214" t="s">
        <v>52</v>
      </c>
      <c r="LA436" s="214" t="s">
        <v>74</v>
      </c>
      <c r="LB436" s="214" t="s">
        <v>67</v>
      </c>
      <c r="LD436" s="22" t="s">
        <v>28509</v>
      </c>
      <c r="LE436" s="22" t="s">
        <v>145</v>
      </c>
      <c r="LF436" s="22" t="s">
        <v>70</v>
      </c>
      <c r="LG436" s="22" t="s">
        <v>67</v>
      </c>
    </row>
    <row r="437" spans="1:319">
      <c r="A437" s="22" t="s">
        <v>28510</v>
      </c>
      <c r="B437" s="22" t="s">
        <v>145</v>
      </c>
      <c r="C437" s="22" t="s">
        <v>70</v>
      </c>
      <c r="D437" s="22" t="s">
        <v>67</v>
      </c>
      <c r="F437" s="97" t="s">
        <v>28511</v>
      </c>
      <c r="G437" s="22" t="s">
        <v>145</v>
      </c>
      <c r="H437" s="22" t="s">
        <v>70</v>
      </c>
      <c r="I437" s="22" t="s">
        <v>67</v>
      </c>
      <c r="K437" s="99" t="s">
        <v>28512</v>
      </c>
      <c r="L437" s="22" t="s">
        <v>145</v>
      </c>
      <c r="M437" s="22" t="s">
        <v>70</v>
      </c>
      <c r="N437" s="22" t="s">
        <v>67</v>
      </c>
      <c r="P437" s="230" t="s">
        <v>28513</v>
      </c>
      <c r="Q437" s="218" t="s">
        <v>145</v>
      </c>
      <c r="R437" s="218" t="s">
        <v>72</v>
      </c>
      <c r="S437" s="218" t="s">
        <v>34038</v>
      </c>
      <c r="U437" s="293" t="s">
        <v>28514</v>
      </c>
      <c r="V437" s="293" t="s">
        <v>145</v>
      </c>
      <c r="W437" s="293" t="s">
        <v>74</v>
      </c>
      <c r="X437" s="293" t="s">
        <v>656</v>
      </c>
      <c r="Z437" s="293" t="s">
        <v>28515</v>
      </c>
      <c r="AA437" s="293" t="s">
        <v>145</v>
      </c>
      <c r="AB437" s="293" t="s">
        <v>74</v>
      </c>
      <c r="AC437" s="293" t="s">
        <v>656</v>
      </c>
      <c r="AE437" s="293" t="s">
        <v>28516</v>
      </c>
      <c r="AF437" s="293" t="s">
        <v>145</v>
      </c>
      <c r="AG437" s="293" t="s">
        <v>74</v>
      </c>
      <c r="AH437" s="293" t="s">
        <v>656</v>
      </c>
      <c r="AJ437" s="293" t="s">
        <v>28517</v>
      </c>
      <c r="AK437" s="293" t="s">
        <v>145</v>
      </c>
      <c r="AL437" s="293" t="s">
        <v>74</v>
      </c>
      <c r="AM437" s="293" t="s">
        <v>656</v>
      </c>
      <c r="AO437" s="22" t="s">
        <v>28518</v>
      </c>
      <c r="AP437" s="22" t="s">
        <v>145</v>
      </c>
      <c r="AQ437" s="22" t="s">
        <v>70</v>
      </c>
      <c r="AR437" s="22" t="s">
        <v>67</v>
      </c>
      <c r="AT437" s="22" t="s">
        <v>28519</v>
      </c>
      <c r="AU437" s="22" t="s">
        <v>145</v>
      </c>
      <c r="AV437" s="22" t="s">
        <v>70</v>
      </c>
      <c r="AW437" s="22" t="s">
        <v>67</v>
      </c>
      <c r="AY437" s="22" t="s">
        <v>28520</v>
      </c>
      <c r="AZ437" s="22" t="s">
        <v>145</v>
      </c>
      <c r="BA437" s="22" t="s">
        <v>70</v>
      </c>
      <c r="BB437" s="22" t="s">
        <v>67</v>
      </c>
      <c r="BD437" s="22" t="s">
        <v>28521</v>
      </c>
      <c r="BE437" s="22" t="s">
        <v>145</v>
      </c>
      <c r="BF437" s="22" t="s">
        <v>70</v>
      </c>
      <c r="BG437" s="22" t="s">
        <v>67</v>
      </c>
      <c r="BI437" s="22" t="s">
        <v>28522</v>
      </c>
      <c r="BJ437" s="22" t="s">
        <v>145</v>
      </c>
      <c r="BK437" s="22" t="s">
        <v>70</v>
      </c>
      <c r="BL437" s="22" t="s">
        <v>67</v>
      </c>
      <c r="BN437" s="22" t="s">
        <v>28523</v>
      </c>
      <c r="BO437" s="22" t="s">
        <v>145</v>
      </c>
      <c r="BP437" s="22" t="s">
        <v>70</v>
      </c>
      <c r="BQ437" s="22" t="s">
        <v>67</v>
      </c>
      <c r="BS437" s="22" t="s">
        <v>28524</v>
      </c>
      <c r="BT437" s="22" t="s">
        <v>145</v>
      </c>
      <c r="BU437" s="22" t="s">
        <v>70</v>
      </c>
      <c r="BV437" s="214" t="s">
        <v>530</v>
      </c>
      <c r="BX437" s="22" t="s">
        <v>28525</v>
      </c>
      <c r="BY437" s="22" t="s">
        <v>145</v>
      </c>
      <c r="BZ437" s="22" t="s">
        <v>70</v>
      </c>
      <c r="CA437" s="214" t="s">
        <v>530</v>
      </c>
      <c r="CC437" s="214" t="s">
        <v>28526</v>
      </c>
      <c r="CD437" s="214" t="s">
        <v>34544</v>
      </c>
      <c r="CE437" s="214" t="s">
        <v>70</v>
      </c>
      <c r="CF437" s="214" t="s">
        <v>530</v>
      </c>
      <c r="CH437" s="214" t="s">
        <v>28527</v>
      </c>
      <c r="CI437" s="214" t="s">
        <v>950</v>
      </c>
      <c r="CJ437" s="214" t="s">
        <v>70</v>
      </c>
      <c r="CK437" s="214" t="s">
        <v>530</v>
      </c>
      <c r="CM437" s="214" t="s">
        <v>28528</v>
      </c>
      <c r="CN437" s="214" t="s">
        <v>484</v>
      </c>
      <c r="CO437" s="214" t="s">
        <v>70</v>
      </c>
      <c r="CP437" s="214" t="s">
        <v>530</v>
      </c>
      <c r="CR437" s="214" t="s">
        <v>28529</v>
      </c>
      <c r="CS437" s="214" t="s">
        <v>34551</v>
      </c>
      <c r="CT437" s="214" t="s">
        <v>70</v>
      </c>
      <c r="CU437" s="214" t="s">
        <v>530</v>
      </c>
      <c r="CW437" s="214" t="s">
        <v>28530</v>
      </c>
      <c r="CX437" s="214" t="s">
        <v>485</v>
      </c>
      <c r="CY437" s="214" t="s">
        <v>70</v>
      </c>
      <c r="CZ437" s="214" t="s">
        <v>530</v>
      </c>
      <c r="DB437" s="214" t="s">
        <v>28531</v>
      </c>
      <c r="DC437" s="214" t="s">
        <v>950</v>
      </c>
      <c r="DD437" s="214" t="s">
        <v>70</v>
      </c>
      <c r="DE437" s="214" t="s">
        <v>530</v>
      </c>
      <c r="DG437" s="214" t="s">
        <v>28532</v>
      </c>
      <c r="DH437" s="214" t="s">
        <v>950</v>
      </c>
      <c r="DI437" s="214" t="s">
        <v>70</v>
      </c>
      <c r="DJ437" s="214" t="s">
        <v>530</v>
      </c>
      <c r="DL437" s="214" t="s">
        <v>28533</v>
      </c>
      <c r="DM437" s="214" t="s">
        <v>87</v>
      </c>
      <c r="DN437" s="214" t="s">
        <v>70</v>
      </c>
      <c r="DO437" s="214" t="s">
        <v>530</v>
      </c>
      <c r="DQ437" s="214" t="s">
        <v>28534</v>
      </c>
      <c r="DR437" s="214" t="s">
        <v>602</v>
      </c>
      <c r="DS437" s="214" t="s">
        <v>70</v>
      </c>
      <c r="DT437" s="214" t="s">
        <v>530</v>
      </c>
      <c r="DV437" s="214" t="s">
        <v>28535</v>
      </c>
      <c r="DW437" s="214" t="s">
        <v>921</v>
      </c>
      <c r="DX437" s="214" t="s">
        <v>70</v>
      </c>
      <c r="DY437" s="214" t="s">
        <v>530</v>
      </c>
      <c r="EA437" s="214" t="s">
        <v>28536</v>
      </c>
      <c r="EB437" s="214" t="s">
        <v>34595</v>
      </c>
      <c r="EC437" s="214" t="s">
        <v>70</v>
      </c>
      <c r="ED437" s="214" t="s">
        <v>530</v>
      </c>
      <c r="EF437" s="214" t="s">
        <v>28537</v>
      </c>
      <c r="EG437" s="214" t="s">
        <v>34542</v>
      </c>
      <c r="EH437" s="214" t="s">
        <v>70</v>
      </c>
      <c r="EI437" s="214" t="s">
        <v>530</v>
      </c>
      <c r="EK437" s="214" t="s">
        <v>28538</v>
      </c>
      <c r="EL437" s="214" t="s">
        <v>502</v>
      </c>
      <c r="EM437" s="214" t="s">
        <v>70</v>
      </c>
      <c r="EN437" s="214" t="s">
        <v>530</v>
      </c>
      <c r="EP437" s="214" t="s">
        <v>28539</v>
      </c>
      <c r="EQ437" s="214" t="s">
        <v>34542</v>
      </c>
      <c r="ER437" s="214" t="s">
        <v>70</v>
      </c>
      <c r="ES437" s="214" t="s">
        <v>530</v>
      </c>
      <c r="EU437" s="214" t="s">
        <v>28540</v>
      </c>
      <c r="EV437" s="214" t="s">
        <v>468</v>
      </c>
      <c r="EW437" s="214" t="s">
        <v>70</v>
      </c>
      <c r="EX437" s="214" t="s">
        <v>530</v>
      </c>
      <c r="EZ437" s="214" t="s">
        <v>28541</v>
      </c>
      <c r="FA437" s="214" t="s">
        <v>205</v>
      </c>
      <c r="FB437" s="214" t="s">
        <v>70</v>
      </c>
      <c r="FC437" s="214" t="s">
        <v>530</v>
      </c>
      <c r="FE437" s="214" t="s">
        <v>28542</v>
      </c>
      <c r="FF437" s="214" t="s">
        <v>52</v>
      </c>
      <c r="FG437" s="214" t="s">
        <v>70</v>
      </c>
      <c r="FH437" s="214" t="s">
        <v>530</v>
      </c>
      <c r="FJ437" s="321" t="s">
        <v>28543</v>
      </c>
      <c r="FK437" s="214" t="s">
        <v>496</v>
      </c>
      <c r="FL437" s="214" t="s">
        <v>70</v>
      </c>
      <c r="FM437" s="214" t="s">
        <v>530</v>
      </c>
      <c r="FO437" s="321" t="s">
        <v>28544</v>
      </c>
      <c r="FP437" s="214" t="s">
        <v>34558</v>
      </c>
      <c r="FQ437" s="214" t="s">
        <v>70</v>
      </c>
      <c r="FR437" s="214" t="s">
        <v>530</v>
      </c>
      <c r="FT437" s="321" t="s">
        <v>28545</v>
      </c>
      <c r="FU437" s="214" t="s">
        <v>519</v>
      </c>
      <c r="FV437" s="214" t="s">
        <v>70</v>
      </c>
      <c r="FW437" s="214" t="s">
        <v>530</v>
      </c>
      <c r="FY437" s="321" t="s">
        <v>28546</v>
      </c>
      <c r="FZ437" s="214" t="s">
        <v>52</v>
      </c>
      <c r="GA437" s="214" t="s">
        <v>70</v>
      </c>
      <c r="GB437" s="214" t="s">
        <v>530</v>
      </c>
      <c r="GD437" s="321" t="s">
        <v>28547</v>
      </c>
      <c r="GE437" s="214" t="s">
        <v>52</v>
      </c>
      <c r="GF437" s="214" t="s">
        <v>70</v>
      </c>
      <c r="GG437" s="214" t="s">
        <v>530</v>
      </c>
      <c r="GI437" s="321" t="s">
        <v>28548</v>
      </c>
      <c r="GJ437" s="214" t="s">
        <v>484</v>
      </c>
      <c r="GK437" s="214" t="s">
        <v>70</v>
      </c>
      <c r="GL437" s="214" t="s">
        <v>530</v>
      </c>
      <c r="GN437" s="321" t="s">
        <v>28549</v>
      </c>
      <c r="GO437" s="214" t="s">
        <v>488</v>
      </c>
      <c r="GP437" s="214" t="s">
        <v>70</v>
      </c>
      <c r="GQ437" s="214" t="s">
        <v>530</v>
      </c>
      <c r="GS437" s="321" t="s">
        <v>28550</v>
      </c>
      <c r="GT437" s="214" t="s">
        <v>950</v>
      </c>
      <c r="GU437" s="214" t="s">
        <v>70</v>
      </c>
      <c r="GV437" s="214" t="s">
        <v>530</v>
      </c>
      <c r="GX437" s="214" t="s">
        <v>28551</v>
      </c>
      <c r="GY437" s="214" t="s">
        <v>486</v>
      </c>
      <c r="GZ437" s="214" t="s">
        <v>70</v>
      </c>
      <c r="HA437" s="214" t="s">
        <v>530</v>
      </c>
      <c r="HC437" s="214" t="s">
        <v>28552</v>
      </c>
      <c r="HD437" s="214" t="s">
        <v>103</v>
      </c>
      <c r="HE437" s="214" t="s">
        <v>70</v>
      </c>
      <c r="HF437" s="214" t="s">
        <v>530</v>
      </c>
      <c r="HH437" s="214" t="s">
        <v>28553</v>
      </c>
      <c r="HI437" s="214" t="s">
        <v>34516</v>
      </c>
      <c r="HJ437" s="214" t="s">
        <v>70</v>
      </c>
      <c r="HK437" s="214" t="s">
        <v>530</v>
      </c>
      <c r="HM437" s="214" t="s">
        <v>28554</v>
      </c>
      <c r="HN437" s="214" t="s">
        <v>34541</v>
      </c>
      <c r="HO437" s="214" t="s">
        <v>70</v>
      </c>
      <c r="HP437" s="214" t="s">
        <v>530</v>
      </c>
      <c r="HR437" s="22" t="s">
        <v>28555</v>
      </c>
      <c r="HS437" s="22" t="s">
        <v>103</v>
      </c>
      <c r="HT437" s="22" t="s">
        <v>70</v>
      </c>
      <c r="HU437" s="214" t="s">
        <v>530</v>
      </c>
      <c r="HW437" s="22" t="s">
        <v>28556</v>
      </c>
      <c r="HX437" s="22" t="s">
        <v>52</v>
      </c>
      <c r="HY437" s="22" t="s">
        <v>70</v>
      </c>
      <c r="HZ437" s="214" t="s">
        <v>530</v>
      </c>
      <c r="IB437" s="22" t="s">
        <v>28557</v>
      </c>
      <c r="IC437" s="22" t="s">
        <v>490</v>
      </c>
      <c r="ID437" s="22" t="s">
        <v>70</v>
      </c>
      <c r="IE437" s="214" t="s">
        <v>530</v>
      </c>
      <c r="IG437" s="22" t="s">
        <v>28558</v>
      </c>
      <c r="IH437" s="22" t="s">
        <v>52</v>
      </c>
      <c r="II437" s="22" t="s">
        <v>70</v>
      </c>
      <c r="IJ437" s="214" t="s">
        <v>530</v>
      </c>
      <c r="IL437" s="22" t="s">
        <v>28559</v>
      </c>
      <c r="IM437" s="22" t="s">
        <v>145</v>
      </c>
      <c r="IN437" s="22" t="s">
        <v>70</v>
      </c>
      <c r="IO437" s="214" t="s">
        <v>530</v>
      </c>
      <c r="IQ437" s="236" t="s">
        <v>28560</v>
      </c>
      <c r="IR437" s="236" t="s">
        <v>145</v>
      </c>
      <c r="IS437" s="236" t="s">
        <v>74</v>
      </c>
      <c r="IT437" s="236" t="s">
        <v>841</v>
      </c>
      <c r="IV437" s="236" t="s">
        <v>28561</v>
      </c>
      <c r="IW437" s="236" t="s">
        <v>145</v>
      </c>
      <c r="IX437" s="236" t="s">
        <v>74</v>
      </c>
      <c r="IY437" s="236" t="s">
        <v>841</v>
      </c>
      <c r="JA437" s="236" t="s">
        <v>28562</v>
      </c>
      <c r="JB437" s="236" t="s">
        <v>145</v>
      </c>
      <c r="JC437" s="236" t="s">
        <v>74</v>
      </c>
      <c r="JD437" s="236" t="s">
        <v>841</v>
      </c>
      <c r="JF437" s="236" t="s">
        <v>28563</v>
      </c>
      <c r="JG437" s="236" t="s">
        <v>145</v>
      </c>
      <c r="JH437" s="236" t="s">
        <v>74</v>
      </c>
      <c r="JI437" s="236" t="s">
        <v>841</v>
      </c>
      <c r="JK437" s="236" t="s">
        <v>28564</v>
      </c>
      <c r="JL437" s="236" t="s">
        <v>145</v>
      </c>
      <c r="JM437" s="236" t="s">
        <v>74</v>
      </c>
      <c r="JN437" s="236" t="s">
        <v>841</v>
      </c>
      <c r="JP437" s="236" t="s">
        <v>28565</v>
      </c>
      <c r="JQ437" s="236" t="s">
        <v>145</v>
      </c>
      <c r="JR437" s="236" t="s">
        <v>74</v>
      </c>
      <c r="JS437" s="236" t="s">
        <v>841</v>
      </c>
      <c r="JU437" s="294" t="s">
        <v>28566</v>
      </c>
      <c r="JV437" s="294" t="s">
        <v>52</v>
      </c>
      <c r="JW437" s="263" t="s">
        <v>70</v>
      </c>
      <c r="JX437" s="294" t="s">
        <v>1083</v>
      </c>
      <c r="JZ437" s="263" t="s">
        <v>28567</v>
      </c>
      <c r="KA437" s="263" t="s">
        <v>145</v>
      </c>
      <c r="KB437" s="263" t="s">
        <v>70</v>
      </c>
      <c r="KC437" s="263" t="s">
        <v>1083</v>
      </c>
      <c r="KE437" s="263" t="s">
        <v>28568</v>
      </c>
      <c r="KF437" s="263" t="s">
        <v>52</v>
      </c>
      <c r="KG437" s="263" t="s">
        <v>70</v>
      </c>
      <c r="KH437" s="263" t="s">
        <v>1083</v>
      </c>
      <c r="KJ437" s="263" t="s">
        <v>28569</v>
      </c>
      <c r="KK437" s="263" t="s">
        <v>52</v>
      </c>
      <c r="KL437" s="263" t="s">
        <v>74</v>
      </c>
      <c r="KM437" s="263" t="s">
        <v>34074</v>
      </c>
      <c r="KO437" s="214" t="s">
        <v>28570</v>
      </c>
      <c r="KP437" s="214" t="s">
        <v>145</v>
      </c>
      <c r="KQ437" s="214" t="s">
        <v>70</v>
      </c>
      <c r="KR437" s="214" t="s">
        <v>67</v>
      </c>
      <c r="KT437" s="22" t="s">
        <v>28571</v>
      </c>
      <c r="KU437" s="22" t="s">
        <v>145</v>
      </c>
      <c r="KV437" s="22" t="s">
        <v>70</v>
      </c>
      <c r="KW437" s="22" t="s">
        <v>67</v>
      </c>
      <c r="KY437" s="214" t="s">
        <v>28572</v>
      </c>
      <c r="KZ437" s="214" t="s">
        <v>52</v>
      </c>
      <c r="LA437" s="214" t="s">
        <v>74</v>
      </c>
      <c r="LB437" s="214" t="s">
        <v>67</v>
      </c>
      <c r="LD437" s="22" t="s">
        <v>28573</v>
      </c>
      <c r="LE437" s="22" t="s">
        <v>145</v>
      </c>
      <c r="LF437" s="22" t="s">
        <v>70</v>
      </c>
      <c r="LG437" s="22" t="s">
        <v>67</v>
      </c>
    </row>
    <row r="438" spans="1:319">
      <c r="A438" s="22" t="s">
        <v>28574</v>
      </c>
      <c r="B438" s="22" t="s">
        <v>145</v>
      </c>
      <c r="C438" s="22" t="s">
        <v>70</v>
      </c>
      <c r="D438" s="22" t="s">
        <v>67</v>
      </c>
      <c r="F438" s="97" t="s">
        <v>28575</v>
      </c>
      <c r="G438" s="22" t="s">
        <v>145</v>
      </c>
      <c r="H438" s="22" t="s">
        <v>70</v>
      </c>
      <c r="I438" s="22" t="s">
        <v>67</v>
      </c>
      <c r="K438" s="99" t="s">
        <v>28576</v>
      </c>
      <c r="L438" s="22" t="s">
        <v>145</v>
      </c>
      <c r="M438" s="22" t="s">
        <v>70</v>
      </c>
      <c r="N438" s="22" t="s">
        <v>67</v>
      </c>
      <c r="P438" s="230" t="s">
        <v>28577</v>
      </c>
      <c r="Q438" s="218" t="s">
        <v>145</v>
      </c>
      <c r="R438" s="218" t="s">
        <v>72</v>
      </c>
      <c r="S438" s="218" t="s">
        <v>34039</v>
      </c>
      <c r="U438" s="293" t="s">
        <v>28578</v>
      </c>
      <c r="V438" s="293" t="s">
        <v>145</v>
      </c>
      <c r="W438" s="293" t="s">
        <v>74</v>
      </c>
      <c r="X438" s="293" t="s">
        <v>656</v>
      </c>
      <c r="Z438" s="293" t="s">
        <v>28579</v>
      </c>
      <c r="AA438" s="293" t="s">
        <v>145</v>
      </c>
      <c r="AB438" s="293" t="s">
        <v>74</v>
      </c>
      <c r="AC438" s="293" t="s">
        <v>656</v>
      </c>
      <c r="AE438" s="293" t="s">
        <v>28580</v>
      </c>
      <c r="AF438" s="293" t="s">
        <v>145</v>
      </c>
      <c r="AG438" s="293" t="s">
        <v>74</v>
      </c>
      <c r="AH438" s="293" t="s">
        <v>656</v>
      </c>
      <c r="AJ438" s="293" t="s">
        <v>28581</v>
      </c>
      <c r="AK438" s="293" t="s">
        <v>145</v>
      </c>
      <c r="AL438" s="293" t="s">
        <v>74</v>
      </c>
      <c r="AM438" s="293" t="s">
        <v>656</v>
      </c>
      <c r="AO438" s="22" t="s">
        <v>28582</v>
      </c>
      <c r="AP438" s="22" t="s">
        <v>145</v>
      </c>
      <c r="AQ438" s="22" t="s">
        <v>70</v>
      </c>
      <c r="AR438" s="22" t="s">
        <v>67</v>
      </c>
      <c r="AT438" s="22" t="s">
        <v>28583</v>
      </c>
      <c r="AU438" s="22" t="s">
        <v>145</v>
      </c>
      <c r="AV438" s="22" t="s">
        <v>70</v>
      </c>
      <c r="AW438" s="22" t="s">
        <v>67</v>
      </c>
      <c r="AY438" s="22" t="s">
        <v>28584</v>
      </c>
      <c r="AZ438" s="22" t="s">
        <v>145</v>
      </c>
      <c r="BA438" s="22" t="s">
        <v>70</v>
      </c>
      <c r="BB438" s="22" t="s">
        <v>67</v>
      </c>
      <c r="BD438" s="22" t="s">
        <v>28585</v>
      </c>
      <c r="BE438" s="22" t="s">
        <v>145</v>
      </c>
      <c r="BF438" s="22" t="s">
        <v>70</v>
      </c>
      <c r="BG438" s="22" t="s">
        <v>67</v>
      </c>
      <c r="BI438" s="22" t="s">
        <v>28586</v>
      </c>
      <c r="BJ438" s="22" t="s">
        <v>145</v>
      </c>
      <c r="BK438" s="22" t="s">
        <v>70</v>
      </c>
      <c r="BL438" s="22" t="s">
        <v>67</v>
      </c>
      <c r="BN438" s="22" t="s">
        <v>28587</v>
      </c>
      <c r="BO438" s="22" t="s">
        <v>145</v>
      </c>
      <c r="BP438" s="22" t="s">
        <v>70</v>
      </c>
      <c r="BQ438" s="22" t="s">
        <v>67</v>
      </c>
      <c r="BS438" s="22" t="s">
        <v>28588</v>
      </c>
      <c r="BT438" s="22" t="s">
        <v>145</v>
      </c>
      <c r="BU438" s="22" t="s">
        <v>70</v>
      </c>
      <c r="BV438" s="214" t="s">
        <v>530</v>
      </c>
      <c r="BX438" s="22" t="s">
        <v>28589</v>
      </c>
      <c r="BY438" s="22" t="s">
        <v>145</v>
      </c>
      <c r="BZ438" s="22" t="s">
        <v>70</v>
      </c>
      <c r="CA438" s="214" t="s">
        <v>530</v>
      </c>
      <c r="CC438" s="214" t="s">
        <v>28590</v>
      </c>
      <c r="CD438" s="214" t="s">
        <v>942</v>
      </c>
      <c r="CE438" s="214" t="s">
        <v>70</v>
      </c>
      <c r="CF438" s="214" t="s">
        <v>530</v>
      </c>
      <c r="CH438" s="214" t="s">
        <v>28591</v>
      </c>
      <c r="CI438" s="214" t="s">
        <v>148</v>
      </c>
      <c r="CJ438" s="214" t="s">
        <v>70</v>
      </c>
      <c r="CK438" s="214" t="s">
        <v>530</v>
      </c>
      <c r="CM438" s="214" t="s">
        <v>28592</v>
      </c>
      <c r="CN438" s="214" t="s">
        <v>485</v>
      </c>
      <c r="CO438" s="214" t="s">
        <v>70</v>
      </c>
      <c r="CP438" s="214" t="s">
        <v>530</v>
      </c>
      <c r="CR438" s="214" t="s">
        <v>28593</v>
      </c>
      <c r="CS438" s="214" t="s">
        <v>103</v>
      </c>
      <c r="CT438" s="214" t="s">
        <v>70</v>
      </c>
      <c r="CU438" s="214" t="s">
        <v>530</v>
      </c>
      <c r="CW438" s="214" t="s">
        <v>28594</v>
      </c>
      <c r="CX438" s="214" t="s">
        <v>34545</v>
      </c>
      <c r="CY438" s="214" t="s">
        <v>70</v>
      </c>
      <c r="CZ438" s="214" t="s">
        <v>530</v>
      </c>
      <c r="DB438" s="214" t="s">
        <v>28595</v>
      </c>
      <c r="DC438" s="214" t="s">
        <v>286</v>
      </c>
      <c r="DD438" s="214" t="s">
        <v>70</v>
      </c>
      <c r="DE438" s="214" t="s">
        <v>530</v>
      </c>
      <c r="DG438" s="214" t="s">
        <v>28596</v>
      </c>
      <c r="DH438" s="214" t="s">
        <v>286</v>
      </c>
      <c r="DI438" s="214" t="s">
        <v>70</v>
      </c>
      <c r="DJ438" s="214" t="s">
        <v>530</v>
      </c>
      <c r="DL438" s="214" t="s">
        <v>28597</v>
      </c>
      <c r="DM438" s="214" t="s">
        <v>642</v>
      </c>
      <c r="DN438" s="214" t="s">
        <v>70</v>
      </c>
      <c r="DO438" s="214" t="s">
        <v>530</v>
      </c>
      <c r="DQ438" s="214" t="s">
        <v>28598</v>
      </c>
      <c r="DR438" s="214" t="s">
        <v>34536</v>
      </c>
      <c r="DS438" s="214" t="s">
        <v>70</v>
      </c>
      <c r="DT438" s="214" t="s">
        <v>530</v>
      </c>
      <c r="DV438" s="214" t="s">
        <v>28599</v>
      </c>
      <c r="DW438" s="214" t="s">
        <v>52</v>
      </c>
      <c r="DX438" s="214" t="s">
        <v>70</v>
      </c>
      <c r="DY438" s="214" t="s">
        <v>530</v>
      </c>
      <c r="EA438" s="214" t="s">
        <v>28600</v>
      </c>
      <c r="EB438" s="214" t="s">
        <v>497</v>
      </c>
      <c r="EC438" s="214" t="s">
        <v>70</v>
      </c>
      <c r="ED438" s="214" t="s">
        <v>530</v>
      </c>
      <c r="EF438" s="214" t="s">
        <v>28601</v>
      </c>
      <c r="EG438" s="214" t="s">
        <v>34546</v>
      </c>
      <c r="EH438" s="214" t="s">
        <v>70</v>
      </c>
      <c r="EI438" s="214" t="s">
        <v>530</v>
      </c>
      <c r="EK438" s="214" t="s">
        <v>28602</v>
      </c>
      <c r="EL438" s="214" t="s">
        <v>949</v>
      </c>
      <c r="EM438" s="214" t="s">
        <v>70</v>
      </c>
      <c r="EN438" s="214" t="s">
        <v>530</v>
      </c>
      <c r="EP438" s="214" t="s">
        <v>28603</v>
      </c>
      <c r="EQ438" s="214" t="s">
        <v>933</v>
      </c>
      <c r="ER438" s="214" t="s">
        <v>70</v>
      </c>
      <c r="ES438" s="214" t="s">
        <v>530</v>
      </c>
      <c r="EU438" s="214" t="s">
        <v>28604</v>
      </c>
      <c r="EV438" s="214" t="s">
        <v>206</v>
      </c>
      <c r="EW438" s="214" t="s">
        <v>70</v>
      </c>
      <c r="EX438" s="214" t="s">
        <v>530</v>
      </c>
      <c r="EZ438" s="214" t="s">
        <v>28605</v>
      </c>
      <c r="FA438" s="214" t="s">
        <v>497</v>
      </c>
      <c r="FB438" s="214" t="s">
        <v>70</v>
      </c>
      <c r="FC438" s="214" t="s">
        <v>530</v>
      </c>
      <c r="FE438" s="214" t="s">
        <v>28606</v>
      </c>
      <c r="FF438" s="214" t="s">
        <v>52</v>
      </c>
      <c r="FG438" s="214" t="s">
        <v>70</v>
      </c>
      <c r="FH438" s="214" t="s">
        <v>530</v>
      </c>
      <c r="FJ438" s="321" t="s">
        <v>28607</v>
      </c>
      <c r="FK438" s="214" t="s">
        <v>490</v>
      </c>
      <c r="FL438" s="214" t="s">
        <v>70</v>
      </c>
      <c r="FM438" s="214" t="s">
        <v>530</v>
      </c>
      <c r="FO438" s="321" t="s">
        <v>28608</v>
      </c>
      <c r="FP438" s="214" t="s">
        <v>148</v>
      </c>
      <c r="FQ438" s="214" t="s">
        <v>70</v>
      </c>
      <c r="FR438" s="214" t="s">
        <v>530</v>
      </c>
      <c r="FT438" s="321" t="s">
        <v>28609</v>
      </c>
      <c r="FU438" s="214" t="s">
        <v>915</v>
      </c>
      <c r="FV438" s="214" t="s">
        <v>70</v>
      </c>
      <c r="FW438" s="214" t="s">
        <v>530</v>
      </c>
      <c r="FY438" s="321" t="s">
        <v>28610</v>
      </c>
      <c r="FZ438" s="214" t="s">
        <v>145</v>
      </c>
      <c r="GA438" s="214" t="s">
        <v>70</v>
      </c>
      <c r="GB438" s="214" t="s">
        <v>530</v>
      </c>
      <c r="GD438" s="321" t="s">
        <v>28611</v>
      </c>
      <c r="GE438" s="214" t="s">
        <v>93</v>
      </c>
      <c r="GF438" s="214" t="s">
        <v>70</v>
      </c>
      <c r="GG438" s="214" t="s">
        <v>530</v>
      </c>
      <c r="GI438" s="321" t="s">
        <v>28612</v>
      </c>
      <c r="GJ438" s="214" t="s">
        <v>34645</v>
      </c>
      <c r="GK438" s="214" t="s">
        <v>70</v>
      </c>
      <c r="GL438" s="214" t="s">
        <v>530</v>
      </c>
      <c r="GN438" s="321" t="s">
        <v>28613</v>
      </c>
      <c r="GO438" s="214" t="s">
        <v>481</v>
      </c>
      <c r="GP438" s="214" t="s">
        <v>70</v>
      </c>
      <c r="GQ438" s="214" t="s">
        <v>530</v>
      </c>
      <c r="GS438" s="321" t="s">
        <v>28614</v>
      </c>
      <c r="GT438" s="214" t="s">
        <v>52</v>
      </c>
      <c r="GU438" s="214" t="s">
        <v>70</v>
      </c>
      <c r="GV438" s="214" t="s">
        <v>530</v>
      </c>
      <c r="GX438" s="214" t="s">
        <v>28615</v>
      </c>
      <c r="GY438" s="214" t="s">
        <v>148</v>
      </c>
      <c r="GZ438" s="214" t="s">
        <v>70</v>
      </c>
      <c r="HA438" s="214" t="s">
        <v>530</v>
      </c>
      <c r="HC438" s="214" t="s">
        <v>28616</v>
      </c>
      <c r="HD438" s="214" t="s">
        <v>34574</v>
      </c>
      <c r="HE438" s="214" t="s">
        <v>70</v>
      </c>
      <c r="HF438" s="214" t="s">
        <v>530</v>
      </c>
      <c r="HH438" s="214" t="s">
        <v>28617</v>
      </c>
      <c r="HI438" s="214" t="s">
        <v>34593</v>
      </c>
      <c r="HJ438" s="214" t="s">
        <v>70</v>
      </c>
      <c r="HK438" s="214" t="s">
        <v>530</v>
      </c>
      <c r="HM438" s="214" t="s">
        <v>28618</v>
      </c>
      <c r="HN438" s="214" t="s">
        <v>34605</v>
      </c>
      <c r="HO438" s="214" t="s">
        <v>70</v>
      </c>
      <c r="HP438" s="214" t="s">
        <v>530</v>
      </c>
      <c r="HR438" s="22" t="s">
        <v>28619</v>
      </c>
      <c r="HS438" s="22" t="s">
        <v>52</v>
      </c>
      <c r="HT438" s="22" t="s">
        <v>70</v>
      </c>
      <c r="HU438" s="214" t="s">
        <v>530</v>
      </c>
      <c r="HW438" s="22" t="s">
        <v>28620</v>
      </c>
      <c r="HX438" s="22" t="s">
        <v>52</v>
      </c>
      <c r="HY438" s="22" t="s">
        <v>70</v>
      </c>
      <c r="HZ438" s="214" t="s">
        <v>530</v>
      </c>
      <c r="IB438" s="22" t="s">
        <v>28621</v>
      </c>
      <c r="IC438" s="22" t="s">
        <v>34405</v>
      </c>
      <c r="ID438" s="22" t="s">
        <v>70</v>
      </c>
      <c r="IE438" s="214" t="s">
        <v>530</v>
      </c>
      <c r="IG438" s="22" t="s">
        <v>28622</v>
      </c>
      <c r="IH438" s="22" t="s">
        <v>52</v>
      </c>
      <c r="II438" s="22" t="s">
        <v>70</v>
      </c>
      <c r="IJ438" s="214" t="s">
        <v>530</v>
      </c>
      <c r="IL438" s="22" t="s">
        <v>28623</v>
      </c>
      <c r="IM438" s="22" t="s">
        <v>145</v>
      </c>
      <c r="IN438" s="22" t="s">
        <v>70</v>
      </c>
      <c r="IO438" s="214" t="s">
        <v>530</v>
      </c>
      <c r="IQ438" s="236" t="s">
        <v>28624</v>
      </c>
      <c r="IR438" s="236" t="s">
        <v>145</v>
      </c>
      <c r="IS438" s="236" t="s">
        <v>74</v>
      </c>
      <c r="IT438" s="236" t="s">
        <v>841</v>
      </c>
      <c r="IV438" s="236" t="s">
        <v>28625</v>
      </c>
      <c r="IW438" s="236" t="s">
        <v>145</v>
      </c>
      <c r="IX438" s="236" t="s">
        <v>74</v>
      </c>
      <c r="IY438" s="236" t="s">
        <v>841</v>
      </c>
      <c r="JA438" s="236" t="s">
        <v>28626</v>
      </c>
      <c r="JB438" s="236" t="s">
        <v>145</v>
      </c>
      <c r="JC438" s="236" t="s">
        <v>74</v>
      </c>
      <c r="JD438" s="236" t="s">
        <v>841</v>
      </c>
      <c r="JF438" s="236" t="s">
        <v>28627</v>
      </c>
      <c r="JG438" s="236" t="s">
        <v>145</v>
      </c>
      <c r="JH438" s="236" t="s">
        <v>74</v>
      </c>
      <c r="JI438" s="236" t="s">
        <v>841</v>
      </c>
      <c r="JK438" s="236" t="s">
        <v>28628</v>
      </c>
      <c r="JL438" s="236" t="s">
        <v>145</v>
      </c>
      <c r="JM438" s="236" t="s">
        <v>74</v>
      </c>
      <c r="JN438" s="236" t="s">
        <v>841</v>
      </c>
      <c r="JP438" s="236" t="s">
        <v>28629</v>
      </c>
      <c r="JQ438" s="236" t="s">
        <v>145</v>
      </c>
      <c r="JR438" s="236" t="s">
        <v>74</v>
      </c>
      <c r="JS438" s="236" t="s">
        <v>841</v>
      </c>
      <c r="JU438" s="294" t="s">
        <v>28630</v>
      </c>
      <c r="JV438" s="294" t="s">
        <v>52</v>
      </c>
      <c r="JW438" s="263" t="s">
        <v>70</v>
      </c>
      <c r="JX438" s="294" t="s">
        <v>1083</v>
      </c>
      <c r="JZ438" s="263" t="s">
        <v>28631</v>
      </c>
      <c r="KA438" s="263" t="s">
        <v>145</v>
      </c>
      <c r="KB438" s="263" t="s">
        <v>70</v>
      </c>
      <c r="KC438" s="263" t="s">
        <v>1083</v>
      </c>
      <c r="KE438" s="263" t="s">
        <v>28632</v>
      </c>
      <c r="KF438" s="263" t="s">
        <v>52</v>
      </c>
      <c r="KG438" s="263" t="s">
        <v>70</v>
      </c>
      <c r="KH438" s="263" t="s">
        <v>1083</v>
      </c>
      <c r="KJ438" s="263" t="s">
        <v>28633</v>
      </c>
      <c r="KK438" s="263" t="s">
        <v>52</v>
      </c>
      <c r="KL438" s="263" t="s">
        <v>74</v>
      </c>
      <c r="KM438" s="263" t="s">
        <v>34074</v>
      </c>
      <c r="KO438" s="214" t="s">
        <v>28634</v>
      </c>
      <c r="KP438" s="214" t="s">
        <v>145</v>
      </c>
      <c r="KQ438" s="214" t="s">
        <v>70</v>
      </c>
      <c r="KR438" s="214" t="s">
        <v>67</v>
      </c>
      <c r="KT438" s="22" t="s">
        <v>28635</v>
      </c>
      <c r="KU438" s="22" t="s">
        <v>145</v>
      </c>
      <c r="KV438" s="22" t="s">
        <v>70</v>
      </c>
      <c r="KW438" s="22" t="s">
        <v>67</v>
      </c>
      <c r="KY438" s="214" t="s">
        <v>28636</v>
      </c>
      <c r="KZ438" s="214" t="s">
        <v>52</v>
      </c>
      <c r="LA438" s="214" t="s">
        <v>74</v>
      </c>
      <c r="LB438" s="214" t="s">
        <v>67</v>
      </c>
      <c r="LD438" s="22" t="s">
        <v>28637</v>
      </c>
      <c r="LE438" s="22" t="s">
        <v>145</v>
      </c>
      <c r="LF438" s="22" t="s">
        <v>70</v>
      </c>
      <c r="LG438" s="22" t="s">
        <v>67</v>
      </c>
    </row>
    <row r="439" spans="1:319">
      <c r="A439" s="22" t="s">
        <v>28638</v>
      </c>
      <c r="B439" s="22" t="s">
        <v>145</v>
      </c>
      <c r="C439" s="22" t="s">
        <v>70</v>
      </c>
      <c r="D439" s="22" t="s">
        <v>67</v>
      </c>
      <c r="F439" s="97" t="s">
        <v>28639</v>
      </c>
      <c r="G439" s="22" t="s">
        <v>145</v>
      </c>
      <c r="H439" s="22" t="s">
        <v>70</v>
      </c>
      <c r="I439" s="22" t="s">
        <v>67</v>
      </c>
      <c r="K439" s="99" t="s">
        <v>28640</v>
      </c>
      <c r="L439" s="22" t="s">
        <v>145</v>
      </c>
      <c r="M439" s="22" t="s">
        <v>70</v>
      </c>
      <c r="N439" s="22" t="s">
        <v>67</v>
      </c>
      <c r="P439" s="230" t="s">
        <v>28641</v>
      </c>
      <c r="Q439" s="218" t="s">
        <v>145</v>
      </c>
      <c r="R439" s="218" t="s">
        <v>72</v>
      </c>
      <c r="S439" s="218" t="s">
        <v>34040</v>
      </c>
      <c r="U439" s="293" t="s">
        <v>28642</v>
      </c>
      <c r="V439" s="293" t="s">
        <v>145</v>
      </c>
      <c r="W439" s="293" t="s">
        <v>74</v>
      </c>
      <c r="X439" s="293" t="s">
        <v>656</v>
      </c>
      <c r="Z439" s="293" t="s">
        <v>28643</v>
      </c>
      <c r="AA439" s="293" t="s">
        <v>145</v>
      </c>
      <c r="AB439" s="293" t="s">
        <v>74</v>
      </c>
      <c r="AC439" s="293" t="s">
        <v>656</v>
      </c>
      <c r="AE439" s="293" t="s">
        <v>28644</v>
      </c>
      <c r="AF439" s="293" t="s">
        <v>145</v>
      </c>
      <c r="AG439" s="293" t="s">
        <v>74</v>
      </c>
      <c r="AH439" s="293" t="s">
        <v>656</v>
      </c>
      <c r="AJ439" s="293" t="s">
        <v>28645</v>
      </c>
      <c r="AK439" s="293" t="s">
        <v>145</v>
      </c>
      <c r="AL439" s="293" t="s">
        <v>74</v>
      </c>
      <c r="AM439" s="293" t="s">
        <v>656</v>
      </c>
      <c r="AO439" s="22" t="s">
        <v>28646</v>
      </c>
      <c r="AP439" s="22" t="s">
        <v>145</v>
      </c>
      <c r="AQ439" s="22" t="s">
        <v>70</v>
      </c>
      <c r="AR439" s="22" t="s">
        <v>67</v>
      </c>
      <c r="AT439" s="22" t="s">
        <v>28647</v>
      </c>
      <c r="AU439" s="22" t="s">
        <v>145</v>
      </c>
      <c r="AV439" s="22" t="s">
        <v>70</v>
      </c>
      <c r="AW439" s="22" t="s">
        <v>67</v>
      </c>
      <c r="AY439" s="22" t="s">
        <v>28648</v>
      </c>
      <c r="AZ439" s="22" t="s">
        <v>145</v>
      </c>
      <c r="BA439" s="22" t="s">
        <v>70</v>
      </c>
      <c r="BB439" s="22" t="s">
        <v>67</v>
      </c>
      <c r="BD439" s="22" t="s">
        <v>28649</v>
      </c>
      <c r="BE439" s="22" t="s">
        <v>145</v>
      </c>
      <c r="BF439" s="22" t="s">
        <v>70</v>
      </c>
      <c r="BG439" s="22" t="s">
        <v>67</v>
      </c>
      <c r="BI439" s="22" t="s">
        <v>28650</v>
      </c>
      <c r="BJ439" s="22" t="s">
        <v>145</v>
      </c>
      <c r="BK439" s="22" t="s">
        <v>70</v>
      </c>
      <c r="BL439" s="22" t="s">
        <v>67</v>
      </c>
      <c r="BN439" s="22" t="s">
        <v>28651</v>
      </c>
      <c r="BO439" s="22" t="s">
        <v>145</v>
      </c>
      <c r="BP439" s="22" t="s">
        <v>70</v>
      </c>
      <c r="BQ439" s="22" t="s">
        <v>67</v>
      </c>
      <c r="BS439" s="22" t="s">
        <v>28652</v>
      </c>
      <c r="BT439" s="22" t="s">
        <v>145</v>
      </c>
      <c r="BU439" s="22" t="s">
        <v>70</v>
      </c>
      <c r="BV439" s="214" t="s">
        <v>530</v>
      </c>
      <c r="BX439" s="22" t="s">
        <v>28653</v>
      </c>
      <c r="BY439" s="22" t="s">
        <v>145</v>
      </c>
      <c r="BZ439" s="22" t="s">
        <v>70</v>
      </c>
      <c r="CA439" s="214" t="s">
        <v>530</v>
      </c>
      <c r="CC439" s="214" t="s">
        <v>28654</v>
      </c>
      <c r="CD439" s="214" t="s">
        <v>491</v>
      </c>
      <c r="CE439" s="214" t="s">
        <v>70</v>
      </c>
      <c r="CF439" s="214" t="s">
        <v>530</v>
      </c>
      <c r="CH439" s="214" t="s">
        <v>28655</v>
      </c>
      <c r="CI439" s="214" t="s">
        <v>496</v>
      </c>
      <c r="CJ439" s="214" t="s">
        <v>70</v>
      </c>
      <c r="CK439" s="214" t="s">
        <v>530</v>
      </c>
      <c r="CM439" s="214" t="s">
        <v>28656</v>
      </c>
      <c r="CN439" s="214" t="s">
        <v>146</v>
      </c>
      <c r="CO439" s="214" t="s">
        <v>70</v>
      </c>
      <c r="CP439" s="214" t="s">
        <v>530</v>
      </c>
      <c r="CR439" s="214" t="s">
        <v>28657</v>
      </c>
      <c r="CS439" s="214" t="s">
        <v>34570</v>
      </c>
      <c r="CT439" s="214" t="s">
        <v>70</v>
      </c>
      <c r="CU439" s="214" t="s">
        <v>530</v>
      </c>
      <c r="CW439" s="214" t="s">
        <v>28658</v>
      </c>
      <c r="CX439" s="214" t="s">
        <v>34551</v>
      </c>
      <c r="CY439" s="214" t="s">
        <v>70</v>
      </c>
      <c r="CZ439" s="214" t="s">
        <v>530</v>
      </c>
      <c r="DB439" s="214" t="s">
        <v>28659</v>
      </c>
      <c r="DC439" s="214" t="s">
        <v>468</v>
      </c>
      <c r="DD439" s="214" t="s">
        <v>70</v>
      </c>
      <c r="DE439" s="214" t="s">
        <v>530</v>
      </c>
      <c r="DG439" s="214" t="s">
        <v>28660</v>
      </c>
      <c r="DH439" s="214" t="s">
        <v>531</v>
      </c>
      <c r="DI439" s="214" t="s">
        <v>70</v>
      </c>
      <c r="DJ439" s="214" t="s">
        <v>530</v>
      </c>
      <c r="DL439" s="214" t="s">
        <v>28661</v>
      </c>
      <c r="DM439" s="214" t="s">
        <v>146</v>
      </c>
      <c r="DN439" s="214" t="s">
        <v>70</v>
      </c>
      <c r="DO439" s="214" t="s">
        <v>530</v>
      </c>
      <c r="DQ439" s="214" t="s">
        <v>28662</v>
      </c>
      <c r="DR439" s="214" t="s">
        <v>492</v>
      </c>
      <c r="DS439" s="214" t="s">
        <v>70</v>
      </c>
      <c r="DT439" s="214" t="s">
        <v>530</v>
      </c>
      <c r="DV439" s="214" t="s">
        <v>28663</v>
      </c>
      <c r="DW439" s="214" t="s">
        <v>34544</v>
      </c>
      <c r="DX439" s="214" t="s">
        <v>70</v>
      </c>
      <c r="DY439" s="214" t="s">
        <v>530</v>
      </c>
      <c r="EA439" s="214" t="s">
        <v>28664</v>
      </c>
      <c r="EB439" s="214" t="s">
        <v>146</v>
      </c>
      <c r="EC439" s="214" t="s">
        <v>70</v>
      </c>
      <c r="ED439" s="214" t="s">
        <v>530</v>
      </c>
      <c r="EF439" s="214" t="s">
        <v>28665</v>
      </c>
      <c r="EG439" s="214" t="s">
        <v>491</v>
      </c>
      <c r="EH439" s="214" t="s">
        <v>70</v>
      </c>
      <c r="EI439" s="214" t="s">
        <v>530</v>
      </c>
      <c r="EK439" s="214" t="s">
        <v>28666</v>
      </c>
      <c r="EL439" s="214" t="s">
        <v>52</v>
      </c>
      <c r="EM439" s="214" t="s">
        <v>70</v>
      </c>
      <c r="EN439" s="214" t="s">
        <v>530</v>
      </c>
      <c r="EP439" s="214" t="s">
        <v>28667</v>
      </c>
      <c r="EQ439" s="214" t="s">
        <v>491</v>
      </c>
      <c r="ER439" s="214" t="s">
        <v>70</v>
      </c>
      <c r="ES439" s="214" t="s">
        <v>530</v>
      </c>
      <c r="EU439" s="214" t="s">
        <v>28668</v>
      </c>
      <c r="EV439" s="214" t="s">
        <v>34555</v>
      </c>
      <c r="EW439" s="214" t="s">
        <v>70</v>
      </c>
      <c r="EX439" s="214" t="s">
        <v>530</v>
      </c>
      <c r="EZ439" s="214" t="s">
        <v>28669</v>
      </c>
      <c r="FA439" s="214" t="s">
        <v>146</v>
      </c>
      <c r="FB439" s="214" t="s">
        <v>70</v>
      </c>
      <c r="FC439" s="214" t="s">
        <v>530</v>
      </c>
      <c r="FE439" s="214" t="s">
        <v>28670</v>
      </c>
      <c r="FF439" s="214" t="s">
        <v>52</v>
      </c>
      <c r="FG439" s="214" t="s">
        <v>70</v>
      </c>
      <c r="FH439" s="214" t="s">
        <v>530</v>
      </c>
      <c r="FJ439" s="321" t="s">
        <v>28671</v>
      </c>
      <c r="FK439" s="214" t="s">
        <v>482</v>
      </c>
      <c r="FL439" s="214" t="s">
        <v>70</v>
      </c>
      <c r="FM439" s="214" t="s">
        <v>530</v>
      </c>
      <c r="FO439" s="321" t="s">
        <v>28672</v>
      </c>
      <c r="FP439" s="214" t="s">
        <v>921</v>
      </c>
      <c r="FQ439" s="214" t="s">
        <v>70</v>
      </c>
      <c r="FR439" s="214" t="s">
        <v>530</v>
      </c>
      <c r="FT439" s="321" t="s">
        <v>28673</v>
      </c>
      <c r="FU439" s="214" t="s">
        <v>34564</v>
      </c>
      <c r="FV439" s="214" t="s">
        <v>70</v>
      </c>
      <c r="FW439" s="214" t="s">
        <v>530</v>
      </c>
      <c r="FY439" s="321" t="s">
        <v>28674</v>
      </c>
      <c r="FZ439" s="214" t="s">
        <v>34541</v>
      </c>
      <c r="GA439" s="214" t="s">
        <v>70</v>
      </c>
      <c r="GB439" s="214" t="s">
        <v>530</v>
      </c>
      <c r="GD439" s="321" t="s">
        <v>28675</v>
      </c>
      <c r="GE439" s="214" t="s">
        <v>34542</v>
      </c>
      <c r="GF439" s="214" t="s">
        <v>70</v>
      </c>
      <c r="GG439" s="214" t="s">
        <v>530</v>
      </c>
      <c r="GI439" s="321" t="s">
        <v>28676</v>
      </c>
      <c r="GJ439" s="214" t="s">
        <v>34557</v>
      </c>
      <c r="GK439" s="214" t="s">
        <v>70</v>
      </c>
      <c r="GL439" s="214" t="s">
        <v>530</v>
      </c>
      <c r="GN439" s="321" t="s">
        <v>28677</v>
      </c>
      <c r="GO439" s="214" t="s">
        <v>487</v>
      </c>
      <c r="GP439" s="214" t="s">
        <v>70</v>
      </c>
      <c r="GQ439" s="214" t="s">
        <v>530</v>
      </c>
      <c r="GS439" s="321" t="s">
        <v>28678</v>
      </c>
      <c r="GT439" s="214" t="s">
        <v>34558</v>
      </c>
      <c r="GU439" s="214" t="s">
        <v>70</v>
      </c>
      <c r="GV439" s="214" t="s">
        <v>530</v>
      </c>
      <c r="GX439" s="214" t="s">
        <v>28679</v>
      </c>
      <c r="GY439" s="214" t="s">
        <v>488</v>
      </c>
      <c r="GZ439" s="214" t="s">
        <v>70</v>
      </c>
      <c r="HA439" s="214" t="s">
        <v>530</v>
      </c>
      <c r="HC439" s="214" t="s">
        <v>28680</v>
      </c>
      <c r="HD439" s="214" t="s">
        <v>488</v>
      </c>
      <c r="HE439" s="214" t="s">
        <v>70</v>
      </c>
      <c r="HF439" s="214" t="s">
        <v>530</v>
      </c>
      <c r="HH439" s="214" t="s">
        <v>28681</v>
      </c>
      <c r="HI439" s="214" t="s">
        <v>486</v>
      </c>
      <c r="HJ439" s="214" t="s">
        <v>70</v>
      </c>
      <c r="HK439" s="214" t="s">
        <v>530</v>
      </c>
      <c r="HM439" s="214" t="s">
        <v>28682</v>
      </c>
      <c r="HN439" s="214" t="s">
        <v>145</v>
      </c>
      <c r="HO439" s="214" t="s">
        <v>70</v>
      </c>
      <c r="HP439" s="214" t="s">
        <v>530</v>
      </c>
      <c r="HR439" s="22" t="s">
        <v>28683</v>
      </c>
      <c r="HS439" s="22" t="s">
        <v>603</v>
      </c>
      <c r="HT439" s="22" t="s">
        <v>70</v>
      </c>
      <c r="HU439" s="214" t="s">
        <v>530</v>
      </c>
      <c r="HW439" s="22" t="s">
        <v>28684</v>
      </c>
      <c r="HX439" s="22" t="s">
        <v>203</v>
      </c>
      <c r="HY439" s="22" t="s">
        <v>70</v>
      </c>
      <c r="HZ439" s="214" t="s">
        <v>530</v>
      </c>
      <c r="IB439" s="22" t="s">
        <v>28685</v>
      </c>
      <c r="IC439" s="22" t="s">
        <v>34541</v>
      </c>
      <c r="ID439" s="22" t="s">
        <v>70</v>
      </c>
      <c r="IE439" s="214" t="s">
        <v>530</v>
      </c>
      <c r="IG439" s="22" t="s">
        <v>28686</v>
      </c>
      <c r="IH439" s="22" t="s">
        <v>52</v>
      </c>
      <c r="II439" s="22" t="s">
        <v>70</v>
      </c>
      <c r="IJ439" s="214" t="s">
        <v>530</v>
      </c>
      <c r="IL439" s="22" t="s">
        <v>28687</v>
      </c>
      <c r="IM439" s="22" t="s">
        <v>145</v>
      </c>
      <c r="IN439" s="22" t="s">
        <v>70</v>
      </c>
      <c r="IO439" s="214" t="s">
        <v>530</v>
      </c>
      <c r="IQ439" s="236" t="s">
        <v>28688</v>
      </c>
      <c r="IR439" s="236" t="s">
        <v>145</v>
      </c>
      <c r="IS439" s="236" t="s">
        <v>74</v>
      </c>
      <c r="IT439" s="236" t="s">
        <v>841</v>
      </c>
      <c r="IV439" s="236" t="s">
        <v>28689</v>
      </c>
      <c r="IW439" s="236" t="s">
        <v>145</v>
      </c>
      <c r="IX439" s="236" t="s">
        <v>74</v>
      </c>
      <c r="IY439" s="236" t="s">
        <v>841</v>
      </c>
      <c r="JA439" s="236" t="s">
        <v>28690</v>
      </c>
      <c r="JB439" s="236" t="s">
        <v>145</v>
      </c>
      <c r="JC439" s="236" t="s">
        <v>74</v>
      </c>
      <c r="JD439" s="236" t="s">
        <v>841</v>
      </c>
      <c r="JF439" s="236" t="s">
        <v>28691</v>
      </c>
      <c r="JG439" s="236" t="s">
        <v>145</v>
      </c>
      <c r="JH439" s="236" t="s">
        <v>74</v>
      </c>
      <c r="JI439" s="236" t="s">
        <v>841</v>
      </c>
      <c r="JK439" s="236" t="s">
        <v>28692</v>
      </c>
      <c r="JL439" s="236" t="s">
        <v>145</v>
      </c>
      <c r="JM439" s="236" t="s">
        <v>74</v>
      </c>
      <c r="JN439" s="236" t="s">
        <v>841</v>
      </c>
      <c r="JP439" s="236" t="s">
        <v>28693</v>
      </c>
      <c r="JQ439" s="236" t="s">
        <v>145</v>
      </c>
      <c r="JR439" s="236" t="s">
        <v>74</v>
      </c>
      <c r="JS439" s="236" t="s">
        <v>841</v>
      </c>
      <c r="JU439" s="294" t="s">
        <v>28694</v>
      </c>
      <c r="JV439" s="294" t="s">
        <v>52</v>
      </c>
      <c r="JW439" s="263" t="s">
        <v>70</v>
      </c>
      <c r="JX439" s="294" t="s">
        <v>1083</v>
      </c>
      <c r="JZ439" s="263" t="s">
        <v>28695</v>
      </c>
      <c r="KA439" s="263" t="s">
        <v>145</v>
      </c>
      <c r="KB439" s="263" t="s">
        <v>70</v>
      </c>
      <c r="KC439" s="263" t="s">
        <v>1083</v>
      </c>
      <c r="KE439" s="263" t="s">
        <v>28696</v>
      </c>
      <c r="KF439" s="263" t="s">
        <v>52</v>
      </c>
      <c r="KG439" s="263" t="s">
        <v>70</v>
      </c>
      <c r="KH439" s="263" t="s">
        <v>1083</v>
      </c>
      <c r="KJ439" s="263" t="s">
        <v>28697</v>
      </c>
      <c r="KK439" s="263" t="s">
        <v>52</v>
      </c>
      <c r="KL439" s="263" t="s">
        <v>74</v>
      </c>
      <c r="KM439" s="263" t="s">
        <v>34074</v>
      </c>
      <c r="KO439" s="214" t="s">
        <v>28698</v>
      </c>
      <c r="KP439" s="214" t="s">
        <v>145</v>
      </c>
      <c r="KQ439" s="214" t="s">
        <v>70</v>
      </c>
      <c r="KR439" s="214" t="s">
        <v>67</v>
      </c>
      <c r="KT439" s="22" t="s">
        <v>28699</v>
      </c>
      <c r="KU439" s="22" t="s">
        <v>145</v>
      </c>
      <c r="KV439" s="22" t="s">
        <v>70</v>
      </c>
      <c r="KW439" s="22" t="s">
        <v>67</v>
      </c>
      <c r="KY439" s="214" t="s">
        <v>28700</v>
      </c>
      <c r="KZ439" s="214" t="s">
        <v>52</v>
      </c>
      <c r="LA439" s="214" t="s">
        <v>74</v>
      </c>
      <c r="LB439" s="214" t="s">
        <v>67</v>
      </c>
      <c r="LD439" s="22" t="s">
        <v>28701</v>
      </c>
      <c r="LE439" s="22" t="s">
        <v>145</v>
      </c>
      <c r="LF439" s="22" t="s">
        <v>70</v>
      </c>
      <c r="LG439" s="22" t="s">
        <v>67</v>
      </c>
    </row>
    <row r="440" spans="1:319">
      <c r="A440" s="22" t="s">
        <v>28702</v>
      </c>
      <c r="B440" s="22" t="s">
        <v>145</v>
      </c>
      <c r="C440" s="22" t="s">
        <v>70</v>
      </c>
      <c r="D440" s="22" t="s">
        <v>67</v>
      </c>
      <c r="F440" s="97" t="s">
        <v>28703</v>
      </c>
      <c r="G440" s="22" t="s">
        <v>145</v>
      </c>
      <c r="H440" s="22" t="s">
        <v>70</v>
      </c>
      <c r="I440" s="22" t="s">
        <v>67</v>
      </c>
      <c r="K440" s="99" t="s">
        <v>28704</v>
      </c>
      <c r="L440" s="22" t="s">
        <v>145</v>
      </c>
      <c r="M440" s="22" t="s">
        <v>70</v>
      </c>
      <c r="N440" s="22" t="s">
        <v>67</v>
      </c>
      <c r="P440" s="230" t="s">
        <v>28705</v>
      </c>
      <c r="Q440" s="218" t="s">
        <v>145</v>
      </c>
      <c r="R440" s="218" t="s">
        <v>72</v>
      </c>
      <c r="S440" s="218" t="s">
        <v>34041</v>
      </c>
      <c r="U440" s="293" t="s">
        <v>28706</v>
      </c>
      <c r="V440" s="293" t="s">
        <v>145</v>
      </c>
      <c r="W440" s="293" t="s">
        <v>74</v>
      </c>
      <c r="X440" s="293" t="s">
        <v>656</v>
      </c>
      <c r="Z440" s="293" t="s">
        <v>28707</v>
      </c>
      <c r="AA440" s="293" t="s">
        <v>145</v>
      </c>
      <c r="AB440" s="293" t="s">
        <v>74</v>
      </c>
      <c r="AC440" s="293" t="s">
        <v>656</v>
      </c>
      <c r="AE440" s="293" t="s">
        <v>28708</v>
      </c>
      <c r="AF440" s="293" t="s">
        <v>145</v>
      </c>
      <c r="AG440" s="293" t="s">
        <v>74</v>
      </c>
      <c r="AH440" s="293" t="s">
        <v>656</v>
      </c>
      <c r="AJ440" s="293" t="s">
        <v>28709</v>
      </c>
      <c r="AK440" s="293" t="s">
        <v>145</v>
      </c>
      <c r="AL440" s="293" t="s">
        <v>74</v>
      </c>
      <c r="AM440" s="293" t="s">
        <v>656</v>
      </c>
      <c r="AO440" s="22" t="s">
        <v>28710</v>
      </c>
      <c r="AP440" s="22" t="s">
        <v>145</v>
      </c>
      <c r="AQ440" s="22" t="s">
        <v>70</v>
      </c>
      <c r="AR440" s="22" t="s">
        <v>67</v>
      </c>
      <c r="AT440" s="22" t="s">
        <v>28711</v>
      </c>
      <c r="AU440" s="22" t="s">
        <v>145</v>
      </c>
      <c r="AV440" s="22" t="s">
        <v>70</v>
      </c>
      <c r="AW440" s="22" t="s">
        <v>67</v>
      </c>
      <c r="AY440" s="22" t="s">
        <v>28712</v>
      </c>
      <c r="AZ440" s="22" t="s">
        <v>145</v>
      </c>
      <c r="BA440" s="22" t="s">
        <v>70</v>
      </c>
      <c r="BB440" s="22" t="s">
        <v>67</v>
      </c>
      <c r="BD440" s="22" t="s">
        <v>28713</v>
      </c>
      <c r="BE440" s="22" t="s">
        <v>145</v>
      </c>
      <c r="BF440" s="22" t="s">
        <v>70</v>
      </c>
      <c r="BG440" s="22" t="s">
        <v>67</v>
      </c>
      <c r="BI440" s="22" t="s">
        <v>28714</v>
      </c>
      <c r="BJ440" s="22" t="s">
        <v>145</v>
      </c>
      <c r="BK440" s="22" t="s">
        <v>70</v>
      </c>
      <c r="BL440" s="22" t="s">
        <v>67</v>
      </c>
      <c r="BN440" s="22" t="s">
        <v>28715</v>
      </c>
      <c r="BO440" s="22" t="s">
        <v>145</v>
      </c>
      <c r="BP440" s="22" t="s">
        <v>70</v>
      </c>
      <c r="BQ440" s="22" t="s">
        <v>67</v>
      </c>
      <c r="BS440" s="22" t="s">
        <v>28716</v>
      </c>
      <c r="BT440" s="22" t="s">
        <v>145</v>
      </c>
      <c r="BU440" s="22" t="s">
        <v>70</v>
      </c>
      <c r="BV440" s="214" t="s">
        <v>530</v>
      </c>
      <c r="BX440" s="22" t="s">
        <v>28717</v>
      </c>
      <c r="BY440" s="22" t="s">
        <v>145</v>
      </c>
      <c r="BZ440" s="22" t="s">
        <v>70</v>
      </c>
      <c r="CA440" s="214" t="s">
        <v>530</v>
      </c>
      <c r="CC440" s="214" t="s">
        <v>28718</v>
      </c>
      <c r="CD440" s="214" t="s">
        <v>34630</v>
      </c>
      <c r="CE440" s="214" t="s">
        <v>70</v>
      </c>
      <c r="CF440" s="214" t="s">
        <v>530</v>
      </c>
      <c r="CH440" s="214" t="s">
        <v>28719</v>
      </c>
      <c r="CI440" s="214" t="s">
        <v>34555</v>
      </c>
      <c r="CJ440" s="214" t="s">
        <v>70</v>
      </c>
      <c r="CK440" s="214" t="s">
        <v>530</v>
      </c>
      <c r="CM440" s="214" t="s">
        <v>28720</v>
      </c>
      <c r="CN440" s="214" t="s">
        <v>85</v>
      </c>
      <c r="CO440" s="214" t="s">
        <v>70</v>
      </c>
      <c r="CP440" s="214" t="s">
        <v>530</v>
      </c>
      <c r="CR440" s="214" t="s">
        <v>28721</v>
      </c>
      <c r="CS440" s="214" t="s">
        <v>604</v>
      </c>
      <c r="CT440" s="214" t="s">
        <v>70</v>
      </c>
      <c r="CU440" s="214" t="s">
        <v>530</v>
      </c>
      <c r="CW440" s="214" t="s">
        <v>28722</v>
      </c>
      <c r="CX440" s="214" t="s">
        <v>955</v>
      </c>
      <c r="CY440" s="214" t="s">
        <v>70</v>
      </c>
      <c r="CZ440" s="214" t="s">
        <v>530</v>
      </c>
      <c r="DB440" s="214" t="s">
        <v>28723</v>
      </c>
      <c r="DC440" s="214" t="s">
        <v>52</v>
      </c>
      <c r="DD440" s="214" t="s">
        <v>70</v>
      </c>
      <c r="DE440" s="214" t="s">
        <v>530</v>
      </c>
      <c r="DG440" s="214" t="s">
        <v>28724</v>
      </c>
      <c r="DH440" s="214" t="s">
        <v>529</v>
      </c>
      <c r="DI440" s="214" t="s">
        <v>70</v>
      </c>
      <c r="DJ440" s="214" t="s">
        <v>530</v>
      </c>
      <c r="DL440" s="214" t="s">
        <v>28725</v>
      </c>
      <c r="DM440" s="214" t="s">
        <v>490</v>
      </c>
      <c r="DN440" s="214" t="s">
        <v>70</v>
      </c>
      <c r="DO440" s="214" t="s">
        <v>530</v>
      </c>
      <c r="DQ440" s="214" t="s">
        <v>28726</v>
      </c>
      <c r="DR440" s="214" t="s">
        <v>34579</v>
      </c>
      <c r="DS440" s="214" t="s">
        <v>70</v>
      </c>
      <c r="DT440" s="214" t="s">
        <v>530</v>
      </c>
      <c r="DV440" s="214" t="s">
        <v>28727</v>
      </c>
      <c r="DW440" s="214" t="s">
        <v>52</v>
      </c>
      <c r="DX440" s="214" t="s">
        <v>70</v>
      </c>
      <c r="DY440" s="214" t="s">
        <v>530</v>
      </c>
      <c r="EA440" s="214" t="s">
        <v>28728</v>
      </c>
      <c r="EB440" s="214" t="s">
        <v>926</v>
      </c>
      <c r="EC440" s="214" t="s">
        <v>70</v>
      </c>
      <c r="ED440" s="214" t="s">
        <v>530</v>
      </c>
      <c r="EF440" s="214" t="s">
        <v>28729</v>
      </c>
      <c r="EG440" s="214" t="s">
        <v>34546</v>
      </c>
      <c r="EH440" s="214" t="s">
        <v>70</v>
      </c>
      <c r="EI440" s="214" t="s">
        <v>530</v>
      </c>
      <c r="EK440" s="214" t="s">
        <v>28730</v>
      </c>
      <c r="EL440" s="214" t="s">
        <v>500</v>
      </c>
      <c r="EM440" s="214" t="s">
        <v>70</v>
      </c>
      <c r="EN440" s="214" t="s">
        <v>530</v>
      </c>
      <c r="EP440" s="214" t="s">
        <v>28731</v>
      </c>
      <c r="EQ440" s="214" t="s">
        <v>145</v>
      </c>
      <c r="ER440" s="214" t="s">
        <v>70</v>
      </c>
      <c r="ES440" s="214" t="s">
        <v>530</v>
      </c>
      <c r="EU440" s="214" t="s">
        <v>28732</v>
      </c>
      <c r="EV440" s="214" t="s">
        <v>765</v>
      </c>
      <c r="EW440" s="214" t="s">
        <v>70</v>
      </c>
      <c r="EX440" s="214" t="s">
        <v>530</v>
      </c>
      <c r="EZ440" s="214" t="s">
        <v>28733</v>
      </c>
      <c r="FA440" s="214" t="s">
        <v>468</v>
      </c>
      <c r="FB440" s="214" t="s">
        <v>70</v>
      </c>
      <c r="FC440" s="214" t="s">
        <v>530</v>
      </c>
      <c r="FE440" s="214" t="s">
        <v>28734</v>
      </c>
      <c r="FF440" s="214" t="s">
        <v>90</v>
      </c>
      <c r="FG440" s="214" t="s">
        <v>70</v>
      </c>
      <c r="FH440" s="214" t="s">
        <v>530</v>
      </c>
      <c r="FJ440" s="321" t="s">
        <v>28735</v>
      </c>
      <c r="FK440" s="214" t="s">
        <v>85</v>
      </c>
      <c r="FL440" s="214" t="s">
        <v>70</v>
      </c>
      <c r="FM440" s="214" t="s">
        <v>530</v>
      </c>
      <c r="FO440" s="321" t="s">
        <v>28736</v>
      </c>
      <c r="FP440" s="214" t="s">
        <v>34648</v>
      </c>
      <c r="FQ440" s="214" t="s">
        <v>70</v>
      </c>
      <c r="FR440" s="214" t="s">
        <v>530</v>
      </c>
      <c r="FT440" s="321" t="s">
        <v>28737</v>
      </c>
      <c r="FU440" s="214" t="s">
        <v>88</v>
      </c>
      <c r="FV440" s="214" t="s">
        <v>70</v>
      </c>
      <c r="FW440" s="214" t="s">
        <v>530</v>
      </c>
      <c r="FY440" s="321" t="s">
        <v>28738</v>
      </c>
      <c r="FZ440" s="214" t="s">
        <v>936</v>
      </c>
      <c r="GA440" s="214" t="s">
        <v>70</v>
      </c>
      <c r="GB440" s="214" t="s">
        <v>530</v>
      </c>
      <c r="GD440" s="321" t="s">
        <v>28739</v>
      </c>
      <c r="GE440" s="214" t="s">
        <v>149</v>
      </c>
      <c r="GF440" s="214" t="s">
        <v>70</v>
      </c>
      <c r="GG440" s="214" t="s">
        <v>530</v>
      </c>
      <c r="GI440" s="321" t="s">
        <v>28740</v>
      </c>
      <c r="GJ440" s="214" t="s">
        <v>163</v>
      </c>
      <c r="GK440" s="214" t="s">
        <v>70</v>
      </c>
      <c r="GL440" s="214" t="s">
        <v>530</v>
      </c>
      <c r="GN440" s="321" t="s">
        <v>28741</v>
      </c>
      <c r="GO440" s="214" t="s">
        <v>52</v>
      </c>
      <c r="GP440" s="214" t="s">
        <v>70</v>
      </c>
      <c r="GQ440" s="214" t="s">
        <v>530</v>
      </c>
      <c r="GS440" s="321" t="s">
        <v>28742</v>
      </c>
      <c r="GT440" s="214" t="s">
        <v>52</v>
      </c>
      <c r="GU440" s="214" t="s">
        <v>70</v>
      </c>
      <c r="GV440" s="214" t="s">
        <v>530</v>
      </c>
      <c r="GX440" s="214" t="s">
        <v>28743</v>
      </c>
      <c r="GY440" s="214" t="s">
        <v>481</v>
      </c>
      <c r="GZ440" s="214" t="s">
        <v>70</v>
      </c>
      <c r="HA440" s="214" t="s">
        <v>530</v>
      </c>
      <c r="HC440" s="214" t="s">
        <v>28744</v>
      </c>
      <c r="HD440" s="214" t="s">
        <v>912</v>
      </c>
      <c r="HE440" s="214" t="s">
        <v>70</v>
      </c>
      <c r="HF440" s="214" t="s">
        <v>530</v>
      </c>
      <c r="HH440" s="214" t="s">
        <v>28745</v>
      </c>
      <c r="HI440" s="214" t="s">
        <v>600</v>
      </c>
      <c r="HJ440" s="214" t="s">
        <v>70</v>
      </c>
      <c r="HK440" s="214" t="s">
        <v>530</v>
      </c>
      <c r="HM440" s="214" t="s">
        <v>28746</v>
      </c>
      <c r="HN440" s="214" t="s">
        <v>205</v>
      </c>
      <c r="HO440" s="214" t="s">
        <v>70</v>
      </c>
      <c r="HP440" s="214" t="s">
        <v>530</v>
      </c>
      <c r="HR440" s="22" t="s">
        <v>28747</v>
      </c>
      <c r="HS440" s="22" t="s">
        <v>34611</v>
      </c>
      <c r="HT440" s="22" t="s">
        <v>70</v>
      </c>
      <c r="HU440" s="214" t="s">
        <v>530</v>
      </c>
      <c r="HW440" s="22" t="s">
        <v>28748</v>
      </c>
      <c r="HX440" s="22" t="s">
        <v>90</v>
      </c>
      <c r="HY440" s="22" t="s">
        <v>70</v>
      </c>
      <c r="HZ440" s="214" t="s">
        <v>530</v>
      </c>
      <c r="IB440" s="22" t="s">
        <v>28749</v>
      </c>
      <c r="IC440" s="22" t="s">
        <v>34601</v>
      </c>
      <c r="ID440" s="22" t="s">
        <v>70</v>
      </c>
      <c r="IE440" s="214" t="s">
        <v>530</v>
      </c>
      <c r="IG440" s="22" t="s">
        <v>28750</v>
      </c>
      <c r="IH440" s="22" t="s">
        <v>52</v>
      </c>
      <c r="II440" s="22" t="s">
        <v>70</v>
      </c>
      <c r="IJ440" s="214" t="s">
        <v>530</v>
      </c>
      <c r="IL440" s="22" t="s">
        <v>28751</v>
      </c>
      <c r="IM440" s="22" t="s">
        <v>145</v>
      </c>
      <c r="IN440" s="22" t="s">
        <v>70</v>
      </c>
      <c r="IO440" s="214" t="s">
        <v>530</v>
      </c>
      <c r="IQ440" s="236" t="s">
        <v>28752</v>
      </c>
      <c r="IR440" s="236" t="s">
        <v>145</v>
      </c>
      <c r="IS440" s="236" t="s">
        <v>74</v>
      </c>
      <c r="IT440" s="236" t="s">
        <v>841</v>
      </c>
      <c r="IV440" s="236" t="s">
        <v>28753</v>
      </c>
      <c r="IW440" s="236" t="s">
        <v>145</v>
      </c>
      <c r="IX440" s="236" t="s">
        <v>74</v>
      </c>
      <c r="IY440" s="236" t="s">
        <v>841</v>
      </c>
      <c r="JA440" s="236" t="s">
        <v>28754</v>
      </c>
      <c r="JB440" s="236" t="s">
        <v>145</v>
      </c>
      <c r="JC440" s="236" t="s">
        <v>74</v>
      </c>
      <c r="JD440" s="236" t="s">
        <v>841</v>
      </c>
      <c r="JF440" s="236" t="s">
        <v>28755</v>
      </c>
      <c r="JG440" s="236" t="s">
        <v>145</v>
      </c>
      <c r="JH440" s="236" t="s">
        <v>74</v>
      </c>
      <c r="JI440" s="236" t="s">
        <v>841</v>
      </c>
      <c r="JK440" s="236" t="s">
        <v>28756</v>
      </c>
      <c r="JL440" s="236" t="s">
        <v>145</v>
      </c>
      <c r="JM440" s="236" t="s">
        <v>74</v>
      </c>
      <c r="JN440" s="236" t="s">
        <v>841</v>
      </c>
      <c r="JP440" s="236" t="s">
        <v>28757</v>
      </c>
      <c r="JQ440" s="236" t="s">
        <v>145</v>
      </c>
      <c r="JR440" s="236" t="s">
        <v>74</v>
      </c>
      <c r="JS440" s="236" t="s">
        <v>841</v>
      </c>
      <c r="JU440" s="294" t="s">
        <v>28758</v>
      </c>
      <c r="JV440" s="294" t="s">
        <v>52</v>
      </c>
      <c r="JW440" s="263" t="s">
        <v>70</v>
      </c>
      <c r="JX440" s="294" t="s">
        <v>1083</v>
      </c>
      <c r="JZ440" s="263" t="s">
        <v>28759</v>
      </c>
      <c r="KA440" s="263" t="s">
        <v>145</v>
      </c>
      <c r="KB440" s="263" t="s">
        <v>70</v>
      </c>
      <c r="KC440" s="263" t="s">
        <v>1083</v>
      </c>
      <c r="KE440" s="263" t="s">
        <v>28760</v>
      </c>
      <c r="KF440" s="263" t="s">
        <v>52</v>
      </c>
      <c r="KG440" s="263" t="s">
        <v>70</v>
      </c>
      <c r="KH440" s="263" t="s">
        <v>1083</v>
      </c>
      <c r="KJ440" s="263" t="s">
        <v>28761</v>
      </c>
      <c r="KK440" s="263" t="s">
        <v>52</v>
      </c>
      <c r="KL440" s="263" t="s">
        <v>74</v>
      </c>
      <c r="KM440" s="263" t="s">
        <v>34074</v>
      </c>
      <c r="KO440" s="214" t="s">
        <v>28762</v>
      </c>
      <c r="KP440" s="214" t="s">
        <v>145</v>
      </c>
      <c r="KQ440" s="214" t="s">
        <v>70</v>
      </c>
      <c r="KR440" s="214" t="s">
        <v>67</v>
      </c>
      <c r="KT440" s="22" t="s">
        <v>28763</v>
      </c>
      <c r="KU440" s="22" t="s">
        <v>145</v>
      </c>
      <c r="KV440" s="22" t="s">
        <v>70</v>
      </c>
      <c r="KW440" s="22" t="s">
        <v>67</v>
      </c>
      <c r="KY440" s="214" t="s">
        <v>28764</v>
      </c>
      <c r="KZ440" s="214" t="s">
        <v>52</v>
      </c>
      <c r="LA440" s="214" t="s">
        <v>74</v>
      </c>
      <c r="LB440" s="214" t="s">
        <v>67</v>
      </c>
      <c r="LD440" s="22" t="s">
        <v>28765</v>
      </c>
      <c r="LE440" s="22" t="s">
        <v>145</v>
      </c>
      <c r="LF440" s="22" t="s">
        <v>70</v>
      </c>
      <c r="LG440" s="22" t="s">
        <v>67</v>
      </c>
    </row>
    <row r="441" spans="1:319">
      <c r="A441" s="22" t="s">
        <v>28766</v>
      </c>
      <c r="B441" s="22" t="s">
        <v>145</v>
      </c>
      <c r="C441" s="22" t="s">
        <v>70</v>
      </c>
      <c r="D441" s="22" t="s">
        <v>67</v>
      </c>
      <c r="F441" s="97" t="s">
        <v>28767</v>
      </c>
      <c r="G441" s="22" t="s">
        <v>145</v>
      </c>
      <c r="H441" s="22" t="s">
        <v>70</v>
      </c>
      <c r="I441" s="22" t="s">
        <v>67</v>
      </c>
      <c r="K441" s="99" t="s">
        <v>28768</v>
      </c>
      <c r="L441" s="22" t="s">
        <v>145</v>
      </c>
      <c r="M441" s="22" t="s">
        <v>70</v>
      </c>
      <c r="N441" s="22" t="s">
        <v>67</v>
      </c>
      <c r="P441" s="230" t="s">
        <v>28769</v>
      </c>
      <c r="Q441" s="218" t="s">
        <v>145</v>
      </c>
      <c r="R441" s="218" t="s">
        <v>72</v>
      </c>
      <c r="S441" s="218" t="s">
        <v>34042</v>
      </c>
      <c r="U441" s="293" t="s">
        <v>28770</v>
      </c>
      <c r="V441" s="293" t="s">
        <v>145</v>
      </c>
      <c r="W441" s="293" t="s">
        <v>74</v>
      </c>
      <c r="X441" s="293" t="s">
        <v>656</v>
      </c>
      <c r="Z441" s="293" t="s">
        <v>28771</v>
      </c>
      <c r="AA441" s="293" t="s">
        <v>145</v>
      </c>
      <c r="AB441" s="293" t="s">
        <v>74</v>
      </c>
      <c r="AC441" s="293" t="s">
        <v>656</v>
      </c>
      <c r="AE441" s="293" t="s">
        <v>28772</v>
      </c>
      <c r="AF441" s="293" t="s">
        <v>145</v>
      </c>
      <c r="AG441" s="293" t="s">
        <v>74</v>
      </c>
      <c r="AH441" s="293" t="s">
        <v>656</v>
      </c>
      <c r="AJ441" s="293" t="s">
        <v>28773</v>
      </c>
      <c r="AK441" s="293" t="s">
        <v>145</v>
      </c>
      <c r="AL441" s="293" t="s">
        <v>74</v>
      </c>
      <c r="AM441" s="293" t="s">
        <v>656</v>
      </c>
      <c r="AO441" s="22" t="s">
        <v>28774</v>
      </c>
      <c r="AP441" s="22" t="s">
        <v>145</v>
      </c>
      <c r="AQ441" s="22" t="s">
        <v>70</v>
      </c>
      <c r="AR441" s="22" t="s">
        <v>67</v>
      </c>
      <c r="AT441" s="22" t="s">
        <v>28775</v>
      </c>
      <c r="AU441" s="22" t="s">
        <v>145</v>
      </c>
      <c r="AV441" s="22" t="s">
        <v>70</v>
      </c>
      <c r="AW441" s="22" t="s">
        <v>67</v>
      </c>
      <c r="AY441" s="22" t="s">
        <v>28776</v>
      </c>
      <c r="AZ441" s="22" t="s">
        <v>145</v>
      </c>
      <c r="BA441" s="22" t="s">
        <v>70</v>
      </c>
      <c r="BB441" s="22" t="s">
        <v>67</v>
      </c>
      <c r="BD441" s="22" t="s">
        <v>28777</v>
      </c>
      <c r="BE441" s="22" t="s">
        <v>145</v>
      </c>
      <c r="BF441" s="22" t="s">
        <v>70</v>
      </c>
      <c r="BG441" s="22" t="s">
        <v>67</v>
      </c>
      <c r="BI441" s="22" t="s">
        <v>28778</v>
      </c>
      <c r="BJ441" s="22" t="s">
        <v>145</v>
      </c>
      <c r="BK441" s="22" t="s">
        <v>70</v>
      </c>
      <c r="BL441" s="22" t="s">
        <v>67</v>
      </c>
      <c r="BN441" s="22" t="s">
        <v>28779</v>
      </c>
      <c r="BO441" s="22" t="s">
        <v>145</v>
      </c>
      <c r="BP441" s="22" t="s">
        <v>70</v>
      </c>
      <c r="BQ441" s="22" t="s">
        <v>67</v>
      </c>
      <c r="BS441" s="22" t="s">
        <v>28780</v>
      </c>
      <c r="BT441" s="22" t="s">
        <v>145</v>
      </c>
      <c r="BU441" s="22" t="s">
        <v>70</v>
      </c>
      <c r="BV441" s="214" t="s">
        <v>530</v>
      </c>
      <c r="BX441" s="22" t="s">
        <v>28781</v>
      </c>
      <c r="BY441" s="22" t="s">
        <v>145</v>
      </c>
      <c r="BZ441" s="22" t="s">
        <v>70</v>
      </c>
      <c r="CA441" s="214" t="s">
        <v>530</v>
      </c>
      <c r="CC441" s="214" t="s">
        <v>28782</v>
      </c>
      <c r="CD441" s="214" t="s">
        <v>34558</v>
      </c>
      <c r="CE441" s="214" t="s">
        <v>70</v>
      </c>
      <c r="CF441" s="214" t="s">
        <v>530</v>
      </c>
      <c r="CH441" s="214" t="s">
        <v>28783</v>
      </c>
      <c r="CI441" s="214" t="s">
        <v>915</v>
      </c>
      <c r="CJ441" s="214" t="s">
        <v>70</v>
      </c>
      <c r="CK441" s="214" t="s">
        <v>530</v>
      </c>
      <c r="CM441" s="214" t="s">
        <v>28784</v>
      </c>
      <c r="CN441" s="214" t="s">
        <v>485</v>
      </c>
      <c r="CO441" s="214" t="s">
        <v>70</v>
      </c>
      <c r="CP441" s="214" t="s">
        <v>530</v>
      </c>
      <c r="CR441" s="214" t="s">
        <v>28785</v>
      </c>
      <c r="CS441" s="214" t="s">
        <v>34595</v>
      </c>
      <c r="CT441" s="214" t="s">
        <v>70</v>
      </c>
      <c r="CU441" s="214" t="s">
        <v>530</v>
      </c>
      <c r="CW441" s="214" t="s">
        <v>28786</v>
      </c>
      <c r="CX441" s="214" t="s">
        <v>491</v>
      </c>
      <c r="CY441" s="214" t="s">
        <v>70</v>
      </c>
      <c r="CZ441" s="214" t="s">
        <v>530</v>
      </c>
      <c r="DB441" s="214" t="s">
        <v>28787</v>
      </c>
      <c r="DC441" s="214" t="s">
        <v>950</v>
      </c>
      <c r="DD441" s="214" t="s">
        <v>70</v>
      </c>
      <c r="DE441" s="214" t="s">
        <v>530</v>
      </c>
      <c r="DG441" s="214" t="s">
        <v>28788</v>
      </c>
      <c r="DH441" s="214" t="s">
        <v>599</v>
      </c>
      <c r="DI441" s="214" t="s">
        <v>70</v>
      </c>
      <c r="DJ441" s="214" t="s">
        <v>530</v>
      </c>
      <c r="DL441" s="214" t="s">
        <v>28789</v>
      </c>
      <c r="DM441" s="214" t="s">
        <v>482</v>
      </c>
      <c r="DN441" s="214" t="s">
        <v>70</v>
      </c>
      <c r="DO441" s="214" t="s">
        <v>530</v>
      </c>
      <c r="DQ441" s="214" t="s">
        <v>28790</v>
      </c>
      <c r="DR441" s="214" t="s">
        <v>34562</v>
      </c>
      <c r="DS441" s="214" t="s">
        <v>70</v>
      </c>
      <c r="DT441" s="214" t="s">
        <v>530</v>
      </c>
      <c r="DV441" s="214" t="s">
        <v>28791</v>
      </c>
      <c r="DW441" s="214" t="s">
        <v>502</v>
      </c>
      <c r="DX441" s="214" t="s">
        <v>70</v>
      </c>
      <c r="DY441" s="214" t="s">
        <v>530</v>
      </c>
      <c r="EA441" s="214" t="s">
        <v>28792</v>
      </c>
      <c r="EB441" s="214" t="s">
        <v>488</v>
      </c>
      <c r="EC441" s="214" t="s">
        <v>70</v>
      </c>
      <c r="ED441" s="214" t="s">
        <v>530</v>
      </c>
      <c r="EF441" s="214" t="s">
        <v>28793</v>
      </c>
      <c r="EG441" s="214" t="s">
        <v>492</v>
      </c>
      <c r="EH441" s="214" t="s">
        <v>70</v>
      </c>
      <c r="EI441" s="214" t="s">
        <v>530</v>
      </c>
      <c r="EK441" s="214" t="s">
        <v>28794</v>
      </c>
      <c r="EL441" s="214" t="s">
        <v>501</v>
      </c>
      <c r="EM441" s="214" t="s">
        <v>70</v>
      </c>
      <c r="EN441" s="214" t="s">
        <v>530</v>
      </c>
      <c r="EP441" s="214" t="s">
        <v>28795</v>
      </c>
      <c r="EQ441" s="214" t="s">
        <v>34541</v>
      </c>
      <c r="ER441" s="214" t="s">
        <v>70</v>
      </c>
      <c r="ES441" s="214" t="s">
        <v>530</v>
      </c>
      <c r="EU441" s="214" t="s">
        <v>28796</v>
      </c>
      <c r="EV441" s="214" t="s">
        <v>484</v>
      </c>
      <c r="EW441" s="214" t="s">
        <v>70</v>
      </c>
      <c r="EX441" s="214" t="s">
        <v>530</v>
      </c>
      <c r="EZ441" s="214" t="s">
        <v>28797</v>
      </c>
      <c r="FA441" s="214" t="s">
        <v>52</v>
      </c>
      <c r="FB441" s="214" t="s">
        <v>70</v>
      </c>
      <c r="FC441" s="214" t="s">
        <v>530</v>
      </c>
      <c r="FE441" s="214" t="s">
        <v>28798</v>
      </c>
      <c r="FF441" s="214" t="s">
        <v>34539</v>
      </c>
      <c r="FG441" s="214" t="s">
        <v>70</v>
      </c>
      <c r="FH441" s="214" t="s">
        <v>530</v>
      </c>
      <c r="FJ441" s="321" t="s">
        <v>28799</v>
      </c>
      <c r="FK441" s="214" t="s">
        <v>52</v>
      </c>
      <c r="FL441" s="214" t="s">
        <v>70</v>
      </c>
      <c r="FM441" s="214" t="s">
        <v>530</v>
      </c>
      <c r="FO441" s="321" t="s">
        <v>28800</v>
      </c>
      <c r="FP441" s="214" t="s">
        <v>34542</v>
      </c>
      <c r="FQ441" s="214" t="s">
        <v>70</v>
      </c>
      <c r="FR441" s="214" t="s">
        <v>530</v>
      </c>
      <c r="FT441" s="321" t="s">
        <v>28801</v>
      </c>
      <c r="FU441" s="214" t="s">
        <v>950</v>
      </c>
      <c r="FV441" s="214" t="s">
        <v>70</v>
      </c>
      <c r="FW441" s="214" t="s">
        <v>530</v>
      </c>
      <c r="FY441" s="321" t="s">
        <v>28802</v>
      </c>
      <c r="FZ441" s="214" t="s">
        <v>145</v>
      </c>
      <c r="GA441" s="214" t="s">
        <v>70</v>
      </c>
      <c r="GB441" s="214" t="s">
        <v>530</v>
      </c>
      <c r="GD441" s="321" t="s">
        <v>28803</v>
      </c>
      <c r="GE441" s="214" t="s">
        <v>34546</v>
      </c>
      <c r="GF441" s="214" t="s">
        <v>70</v>
      </c>
      <c r="GG441" s="214" t="s">
        <v>530</v>
      </c>
      <c r="GI441" s="321" t="s">
        <v>28804</v>
      </c>
      <c r="GJ441" s="214" t="s">
        <v>912</v>
      </c>
      <c r="GK441" s="214" t="s">
        <v>70</v>
      </c>
      <c r="GL441" s="214" t="s">
        <v>530</v>
      </c>
      <c r="GN441" s="321" t="s">
        <v>28805</v>
      </c>
      <c r="GO441" s="214" t="s">
        <v>485</v>
      </c>
      <c r="GP441" s="214" t="s">
        <v>70</v>
      </c>
      <c r="GQ441" s="214" t="s">
        <v>530</v>
      </c>
      <c r="GS441" s="321" t="s">
        <v>28806</v>
      </c>
      <c r="GT441" s="214" t="s">
        <v>919</v>
      </c>
      <c r="GU441" s="214" t="s">
        <v>70</v>
      </c>
      <c r="GV441" s="214" t="s">
        <v>530</v>
      </c>
      <c r="GX441" s="214" t="s">
        <v>28807</v>
      </c>
      <c r="GY441" s="214" t="s">
        <v>487</v>
      </c>
      <c r="GZ441" s="214" t="s">
        <v>70</v>
      </c>
      <c r="HA441" s="214" t="s">
        <v>530</v>
      </c>
      <c r="HC441" s="214" t="s">
        <v>28808</v>
      </c>
      <c r="HD441" s="214" t="s">
        <v>484</v>
      </c>
      <c r="HE441" s="214" t="s">
        <v>70</v>
      </c>
      <c r="HF441" s="214" t="s">
        <v>530</v>
      </c>
      <c r="HH441" s="214" t="s">
        <v>28809</v>
      </c>
      <c r="HI441" s="214" t="s">
        <v>163</v>
      </c>
      <c r="HJ441" s="214" t="s">
        <v>70</v>
      </c>
      <c r="HK441" s="214" t="s">
        <v>530</v>
      </c>
      <c r="HM441" s="214" t="s">
        <v>28810</v>
      </c>
      <c r="HN441" s="214" t="s">
        <v>52</v>
      </c>
      <c r="HO441" s="214" t="s">
        <v>70</v>
      </c>
      <c r="HP441" s="214" t="s">
        <v>530</v>
      </c>
      <c r="HR441" s="22" t="s">
        <v>28811</v>
      </c>
      <c r="HS441" s="22" t="s">
        <v>492</v>
      </c>
      <c r="HT441" s="22" t="s">
        <v>70</v>
      </c>
      <c r="HU441" s="214" t="s">
        <v>530</v>
      </c>
      <c r="HW441" s="22" t="s">
        <v>28812</v>
      </c>
      <c r="HX441" s="22" t="s">
        <v>482</v>
      </c>
      <c r="HY441" s="22" t="s">
        <v>70</v>
      </c>
      <c r="HZ441" s="214" t="s">
        <v>530</v>
      </c>
      <c r="IB441" s="22" t="s">
        <v>28813</v>
      </c>
      <c r="IC441" s="22" t="s">
        <v>34556</v>
      </c>
      <c r="ID441" s="22" t="s">
        <v>70</v>
      </c>
      <c r="IE441" s="214" t="s">
        <v>530</v>
      </c>
      <c r="IG441" s="22" t="s">
        <v>28814</v>
      </c>
      <c r="IH441" s="22" t="s">
        <v>52</v>
      </c>
      <c r="II441" s="22" t="s">
        <v>70</v>
      </c>
      <c r="IJ441" s="214" t="s">
        <v>530</v>
      </c>
      <c r="IL441" s="22" t="s">
        <v>28815</v>
      </c>
      <c r="IM441" s="22" t="s">
        <v>145</v>
      </c>
      <c r="IN441" s="22" t="s">
        <v>70</v>
      </c>
      <c r="IO441" s="214" t="s">
        <v>530</v>
      </c>
      <c r="IQ441" s="236" t="s">
        <v>28816</v>
      </c>
      <c r="IR441" s="236" t="s">
        <v>145</v>
      </c>
      <c r="IS441" s="236" t="s">
        <v>74</v>
      </c>
      <c r="IT441" s="236" t="s">
        <v>841</v>
      </c>
      <c r="IV441" s="236" t="s">
        <v>28817</v>
      </c>
      <c r="IW441" s="236" t="s">
        <v>145</v>
      </c>
      <c r="IX441" s="236" t="s">
        <v>74</v>
      </c>
      <c r="IY441" s="236" t="s">
        <v>841</v>
      </c>
      <c r="JA441" s="236" t="s">
        <v>28818</v>
      </c>
      <c r="JB441" s="236" t="s">
        <v>145</v>
      </c>
      <c r="JC441" s="236" t="s">
        <v>74</v>
      </c>
      <c r="JD441" s="236" t="s">
        <v>841</v>
      </c>
      <c r="JF441" s="236" t="s">
        <v>28819</v>
      </c>
      <c r="JG441" s="236" t="s">
        <v>145</v>
      </c>
      <c r="JH441" s="236" t="s">
        <v>74</v>
      </c>
      <c r="JI441" s="236" t="s">
        <v>841</v>
      </c>
      <c r="JK441" s="236" t="s">
        <v>28820</v>
      </c>
      <c r="JL441" s="236" t="s">
        <v>145</v>
      </c>
      <c r="JM441" s="236" t="s">
        <v>74</v>
      </c>
      <c r="JN441" s="236" t="s">
        <v>841</v>
      </c>
      <c r="JP441" s="236" t="s">
        <v>28821</v>
      </c>
      <c r="JQ441" s="236" t="s">
        <v>145</v>
      </c>
      <c r="JR441" s="236" t="s">
        <v>74</v>
      </c>
      <c r="JS441" s="236" t="s">
        <v>841</v>
      </c>
      <c r="JU441" s="294" t="s">
        <v>28822</v>
      </c>
      <c r="JV441" s="294" t="s">
        <v>52</v>
      </c>
      <c r="JW441" s="263" t="s">
        <v>70</v>
      </c>
      <c r="JX441" s="294" t="s">
        <v>1083</v>
      </c>
      <c r="JZ441" s="263" t="s">
        <v>28823</v>
      </c>
      <c r="KA441" s="263" t="s">
        <v>145</v>
      </c>
      <c r="KB441" s="263" t="s">
        <v>70</v>
      </c>
      <c r="KC441" s="263" t="s">
        <v>1083</v>
      </c>
      <c r="KE441" s="263" t="s">
        <v>28824</v>
      </c>
      <c r="KF441" s="263" t="s">
        <v>52</v>
      </c>
      <c r="KG441" s="263" t="s">
        <v>70</v>
      </c>
      <c r="KH441" s="263" t="s">
        <v>1083</v>
      </c>
      <c r="KJ441" s="263" t="s">
        <v>28825</v>
      </c>
      <c r="KK441" s="263" t="s">
        <v>52</v>
      </c>
      <c r="KL441" s="263" t="s">
        <v>74</v>
      </c>
      <c r="KM441" s="263" t="s">
        <v>34074</v>
      </c>
      <c r="KO441" s="214" t="s">
        <v>28826</v>
      </c>
      <c r="KP441" s="214" t="s">
        <v>145</v>
      </c>
      <c r="KQ441" s="214" t="s">
        <v>70</v>
      </c>
      <c r="KR441" s="214" t="s">
        <v>67</v>
      </c>
      <c r="KT441" s="22" t="s">
        <v>28827</v>
      </c>
      <c r="KU441" s="22" t="s">
        <v>145</v>
      </c>
      <c r="KV441" s="22" t="s">
        <v>70</v>
      </c>
      <c r="KW441" s="22" t="s">
        <v>67</v>
      </c>
      <c r="KY441" s="214" t="s">
        <v>28828</v>
      </c>
      <c r="KZ441" s="214" t="s">
        <v>52</v>
      </c>
      <c r="LA441" s="214" t="s">
        <v>74</v>
      </c>
      <c r="LB441" s="214" t="s">
        <v>67</v>
      </c>
      <c r="LD441" s="22" t="s">
        <v>28829</v>
      </c>
      <c r="LE441" s="22" t="s">
        <v>145</v>
      </c>
      <c r="LF441" s="22" t="s">
        <v>70</v>
      </c>
      <c r="LG441" s="22" t="s">
        <v>67</v>
      </c>
    </row>
    <row r="442" spans="1:319">
      <c r="A442" s="22" t="s">
        <v>28830</v>
      </c>
      <c r="B442" s="22" t="s">
        <v>145</v>
      </c>
      <c r="C442" s="22" t="s">
        <v>70</v>
      </c>
      <c r="D442" s="22" t="s">
        <v>67</v>
      </c>
      <c r="F442" s="97" t="s">
        <v>28831</v>
      </c>
      <c r="G442" s="22" t="s">
        <v>145</v>
      </c>
      <c r="H442" s="22" t="s">
        <v>70</v>
      </c>
      <c r="I442" s="22" t="s">
        <v>67</v>
      </c>
      <c r="K442" s="99" t="s">
        <v>28832</v>
      </c>
      <c r="L442" s="22" t="s">
        <v>145</v>
      </c>
      <c r="M442" s="22" t="s">
        <v>70</v>
      </c>
      <c r="N442" s="22" t="s">
        <v>67</v>
      </c>
      <c r="P442" s="230" t="s">
        <v>28833</v>
      </c>
      <c r="Q442" s="218" t="s">
        <v>145</v>
      </c>
      <c r="R442" s="218" t="s">
        <v>72</v>
      </c>
      <c r="S442" s="218" t="s">
        <v>34043</v>
      </c>
      <c r="U442" s="293" t="s">
        <v>28834</v>
      </c>
      <c r="V442" s="293" t="s">
        <v>145</v>
      </c>
      <c r="W442" s="293" t="s">
        <v>74</v>
      </c>
      <c r="X442" s="293" t="s">
        <v>656</v>
      </c>
      <c r="Z442" s="293" t="s">
        <v>28835</v>
      </c>
      <c r="AA442" s="293" t="s">
        <v>145</v>
      </c>
      <c r="AB442" s="293" t="s">
        <v>74</v>
      </c>
      <c r="AC442" s="293" t="s">
        <v>656</v>
      </c>
      <c r="AE442" s="293" t="s">
        <v>28836</v>
      </c>
      <c r="AF442" s="293" t="s">
        <v>145</v>
      </c>
      <c r="AG442" s="293" t="s">
        <v>74</v>
      </c>
      <c r="AH442" s="293" t="s">
        <v>656</v>
      </c>
      <c r="AJ442" s="293" t="s">
        <v>28837</v>
      </c>
      <c r="AK442" s="293" t="s">
        <v>145</v>
      </c>
      <c r="AL442" s="293" t="s">
        <v>74</v>
      </c>
      <c r="AM442" s="293" t="s">
        <v>656</v>
      </c>
      <c r="AO442" s="22" t="s">
        <v>28838</v>
      </c>
      <c r="AP442" s="22" t="s">
        <v>145</v>
      </c>
      <c r="AQ442" s="22" t="s">
        <v>70</v>
      </c>
      <c r="AR442" s="22" t="s">
        <v>67</v>
      </c>
      <c r="AT442" s="22" t="s">
        <v>28839</v>
      </c>
      <c r="AU442" s="22" t="s">
        <v>145</v>
      </c>
      <c r="AV442" s="22" t="s">
        <v>70</v>
      </c>
      <c r="AW442" s="22" t="s">
        <v>67</v>
      </c>
      <c r="AY442" s="22" t="s">
        <v>28840</v>
      </c>
      <c r="AZ442" s="22" t="s">
        <v>145</v>
      </c>
      <c r="BA442" s="22" t="s">
        <v>70</v>
      </c>
      <c r="BB442" s="22" t="s">
        <v>67</v>
      </c>
      <c r="BD442" s="22" t="s">
        <v>28841</v>
      </c>
      <c r="BE442" s="22" t="s">
        <v>145</v>
      </c>
      <c r="BF442" s="22" t="s">
        <v>70</v>
      </c>
      <c r="BG442" s="22" t="s">
        <v>67</v>
      </c>
      <c r="BI442" s="22" t="s">
        <v>28842</v>
      </c>
      <c r="BJ442" s="22" t="s">
        <v>145</v>
      </c>
      <c r="BK442" s="22" t="s">
        <v>70</v>
      </c>
      <c r="BL442" s="22" t="s">
        <v>67</v>
      </c>
      <c r="BN442" s="22" t="s">
        <v>28843</v>
      </c>
      <c r="BO442" s="22" t="s">
        <v>145</v>
      </c>
      <c r="BP442" s="22" t="s">
        <v>70</v>
      </c>
      <c r="BQ442" s="22" t="s">
        <v>67</v>
      </c>
      <c r="BS442" s="22" t="s">
        <v>28844</v>
      </c>
      <c r="BT442" s="22" t="s">
        <v>145</v>
      </c>
      <c r="BU442" s="22" t="s">
        <v>70</v>
      </c>
      <c r="BV442" s="214" t="s">
        <v>530</v>
      </c>
      <c r="BX442" s="22" t="s">
        <v>28845</v>
      </c>
      <c r="BY442" s="22" t="s">
        <v>145</v>
      </c>
      <c r="BZ442" s="22" t="s">
        <v>70</v>
      </c>
      <c r="CA442" s="214" t="s">
        <v>530</v>
      </c>
      <c r="CC442" s="214" t="s">
        <v>28846</v>
      </c>
      <c r="CD442" s="214" t="s">
        <v>941</v>
      </c>
      <c r="CE442" s="214" t="s">
        <v>70</v>
      </c>
      <c r="CF442" s="214" t="s">
        <v>530</v>
      </c>
      <c r="CH442" s="214" t="s">
        <v>28847</v>
      </c>
      <c r="CI442" s="214" t="s">
        <v>52</v>
      </c>
      <c r="CJ442" s="214" t="s">
        <v>70</v>
      </c>
      <c r="CK442" s="214" t="s">
        <v>530</v>
      </c>
      <c r="CM442" s="214" t="s">
        <v>28848</v>
      </c>
      <c r="CN442" s="214" t="s">
        <v>34545</v>
      </c>
      <c r="CO442" s="214" t="s">
        <v>70</v>
      </c>
      <c r="CP442" s="214" t="s">
        <v>530</v>
      </c>
      <c r="CR442" s="214" t="s">
        <v>28849</v>
      </c>
      <c r="CS442" s="214" t="s">
        <v>34547</v>
      </c>
      <c r="CT442" s="214" t="s">
        <v>70</v>
      </c>
      <c r="CU442" s="214" t="s">
        <v>530</v>
      </c>
      <c r="CW442" s="214" t="s">
        <v>28850</v>
      </c>
      <c r="CX442" s="214" t="s">
        <v>488</v>
      </c>
      <c r="CY442" s="214" t="s">
        <v>70</v>
      </c>
      <c r="CZ442" s="214" t="s">
        <v>530</v>
      </c>
      <c r="DB442" s="214" t="s">
        <v>28851</v>
      </c>
      <c r="DC442" s="214" t="s">
        <v>34579</v>
      </c>
      <c r="DD442" s="214" t="s">
        <v>70</v>
      </c>
      <c r="DE442" s="214" t="s">
        <v>530</v>
      </c>
      <c r="DG442" s="214" t="s">
        <v>28852</v>
      </c>
      <c r="DH442" s="214" t="s">
        <v>655</v>
      </c>
      <c r="DI442" s="214" t="s">
        <v>70</v>
      </c>
      <c r="DJ442" s="214" t="s">
        <v>530</v>
      </c>
      <c r="DL442" s="214" t="s">
        <v>28853</v>
      </c>
      <c r="DM442" s="214" t="s">
        <v>951</v>
      </c>
      <c r="DN442" s="214" t="s">
        <v>70</v>
      </c>
      <c r="DO442" s="214" t="s">
        <v>530</v>
      </c>
      <c r="DQ442" s="214" t="s">
        <v>28854</v>
      </c>
      <c r="DR442" s="214" t="s">
        <v>34564</v>
      </c>
      <c r="DS442" s="214" t="s">
        <v>70</v>
      </c>
      <c r="DT442" s="214" t="s">
        <v>530</v>
      </c>
      <c r="DV442" s="214" t="s">
        <v>28855</v>
      </c>
      <c r="DW442" s="214" t="s">
        <v>148</v>
      </c>
      <c r="DX442" s="214" t="s">
        <v>70</v>
      </c>
      <c r="DY442" s="214" t="s">
        <v>530</v>
      </c>
      <c r="EA442" s="214" t="s">
        <v>28856</v>
      </c>
      <c r="EB442" s="214" t="s">
        <v>641</v>
      </c>
      <c r="EC442" s="214" t="s">
        <v>70</v>
      </c>
      <c r="ED442" s="214" t="s">
        <v>530</v>
      </c>
      <c r="EF442" s="214" t="s">
        <v>28857</v>
      </c>
      <c r="EG442" s="214" t="s">
        <v>88</v>
      </c>
      <c r="EH442" s="214" t="s">
        <v>70</v>
      </c>
      <c r="EI442" s="214" t="s">
        <v>530</v>
      </c>
      <c r="EK442" s="214" t="s">
        <v>28858</v>
      </c>
      <c r="EL442" s="214" t="s">
        <v>467</v>
      </c>
      <c r="EM442" s="214" t="s">
        <v>70</v>
      </c>
      <c r="EN442" s="214" t="s">
        <v>530</v>
      </c>
      <c r="EP442" s="214" t="s">
        <v>28859</v>
      </c>
      <c r="EQ442" s="214" t="s">
        <v>947</v>
      </c>
      <c r="ER442" s="214" t="s">
        <v>70</v>
      </c>
      <c r="ES442" s="214" t="s">
        <v>530</v>
      </c>
      <c r="EU442" s="214" t="s">
        <v>28860</v>
      </c>
      <c r="EV442" s="214" t="s">
        <v>955</v>
      </c>
      <c r="EW442" s="214" t="s">
        <v>70</v>
      </c>
      <c r="EX442" s="214" t="s">
        <v>530</v>
      </c>
      <c r="EZ442" s="214" t="s">
        <v>28861</v>
      </c>
      <c r="FA442" s="214" t="s">
        <v>34593</v>
      </c>
      <c r="FB442" s="214" t="s">
        <v>70</v>
      </c>
      <c r="FC442" s="214" t="s">
        <v>530</v>
      </c>
      <c r="FE442" s="214" t="s">
        <v>28862</v>
      </c>
      <c r="FF442" s="214" t="s">
        <v>90</v>
      </c>
      <c r="FG442" s="214" t="s">
        <v>70</v>
      </c>
      <c r="FH442" s="214" t="s">
        <v>530</v>
      </c>
      <c r="FJ442" s="321" t="s">
        <v>28863</v>
      </c>
      <c r="FK442" s="214" t="s">
        <v>10541</v>
      </c>
      <c r="FL442" s="214" t="s">
        <v>70</v>
      </c>
      <c r="FM442" s="214" t="s">
        <v>530</v>
      </c>
      <c r="FO442" s="321" t="s">
        <v>28864</v>
      </c>
      <c r="FP442" s="214" t="s">
        <v>52</v>
      </c>
      <c r="FQ442" s="214" t="s">
        <v>70</v>
      </c>
      <c r="FR442" s="214" t="s">
        <v>530</v>
      </c>
      <c r="FT442" s="321" t="s">
        <v>28865</v>
      </c>
      <c r="FU442" s="214" t="s">
        <v>956</v>
      </c>
      <c r="FV442" s="214" t="s">
        <v>70</v>
      </c>
      <c r="FW442" s="214" t="s">
        <v>530</v>
      </c>
      <c r="FY442" s="321" t="s">
        <v>28866</v>
      </c>
      <c r="FZ442" s="214" t="s">
        <v>34540</v>
      </c>
      <c r="GA442" s="214" t="s">
        <v>70</v>
      </c>
      <c r="GB442" s="214" t="s">
        <v>530</v>
      </c>
      <c r="GD442" s="321" t="s">
        <v>28867</v>
      </c>
      <c r="GE442" s="214" t="s">
        <v>205</v>
      </c>
      <c r="GF442" s="214" t="s">
        <v>70</v>
      </c>
      <c r="GG442" s="214" t="s">
        <v>530</v>
      </c>
      <c r="GI442" s="321" t="s">
        <v>28868</v>
      </c>
      <c r="GJ442" s="214" t="s">
        <v>52</v>
      </c>
      <c r="GK442" s="214" t="s">
        <v>70</v>
      </c>
      <c r="GL442" s="214" t="s">
        <v>530</v>
      </c>
      <c r="GN442" s="321" t="s">
        <v>28869</v>
      </c>
      <c r="GO442" s="214" t="s">
        <v>87</v>
      </c>
      <c r="GP442" s="214" t="s">
        <v>70</v>
      </c>
      <c r="GQ442" s="214" t="s">
        <v>530</v>
      </c>
      <c r="GS442" s="321" t="s">
        <v>28870</v>
      </c>
      <c r="GT442" s="214" t="s">
        <v>938</v>
      </c>
      <c r="GU442" s="214" t="s">
        <v>70</v>
      </c>
      <c r="GV442" s="214" t="s">
        <v>530</v>
      </c>
      <c r="GX442" s="214" t="s">
        <v>28871</v>
      </c>
      <c r="GY442" s="214" t="s">
        <v>467</v>
      </c>
      <c r="GZ442" s="214" t="s">
        <v>70</v>
      </c>
      <c r="HA442" s="214" t="s">
        <v>530</v>
      </c>
      <c r="HC442" s="214" t="s">
        <v>28872</v>
      </c>
      <c r="HD442" s="214" t="s">
        <v>148</v>
      </c>
      <c r="HE442" s="214" t="s">
        <v>70</v>
      </c>
      <c r="HF442" s="214" t="s">
        <v>530</v>
      </c>
      <c r="HH442" s="214" t="s">
        <v>28873</v>
      </c>
      <c r="HI442" s="214" t="s">
        <v>90</v>
      </c>
      <c r="HJ442" s="214" t="s">
        <v>70</v>
      </c>
      <c r="HK442" s="214" t="s">
        <v>530</v>
      </c>
      <c r="HM442" s="214" t="s">
        <v>28874</v>
      </c>
      <c r="HN442" s="214" t="s">
        <v>148</v>
      </c>
      <c r="HO442" s="214" t="s">
        <v>70</v>
      </c>
      <c r="HP442" s="214" t="s">
        <v>530</v>
      </c>
      <c r="HR442" s="22" t="s">
        <v>28875</v>
      </c>
      <c r="HS442" s="22" t="s">
        <v>146</v>
      </c>
      <c r="HT442" s="22" t="s">
        <v>70</v>
      </c>
      <c r="HU442" s="214" t="s">
        <v>530</v>
      </c>
      <c r="HW442" s="22" t="s">
        <v>28876</v>
      </c>
      <c r="HX442" s="22" t="s">
        <v>286</v>
      </c>
      <c r="HY442" s="22" t="s">
        <v>70</v>
      </c>
      <c r="HZ442" s="214" t="s">
        <v>530</v>
      </c>
      <c r="IB442" s="22" t="s">
        <v>28877</v>
      </c>
      <c r="IC442" s="22" t="s">
        <v>148</v>
      </c>
      <c r="ID442" s="22" t="s">
        <v>70</v>
      </c>
      <c r="IE442" s="214" t="s">
        <v>530</v>
      </c>
      <c r="IG442" s="22" t="s">
        <v>28878</v>
      </c>
      <c r="IH442" s="22" t="s">
        <v>52</v>
      </c>
      <c r="II442" s="22" t="s">
        <v>70</v>
      </c>
      <c r="IJ442" s="214" t="s">
        <v>530</v>
      </c>
      <c r="IL442" s="22" t="s">
        <v>28879</v>
      </c>
      <c r="IM442" s="22" t="s">
        <v>145</v>
      </c>
      <c r="IN442" s="22" t="s">
        <v>70</v>
      </c>
      <c r="IO442" s="214" t="s">
        <v>530</v>
      </c>
      <c r="IQ442" s="236" t="s">
        <v>28880</v>
      </c>
      <c r="IR442" s="236" t="s">
        <v>145</v>
      </c>
      <c r="IS442" s="236" t="s">
        <v>74</v>
      </c>
      <c r="IT442" s="236" t="s">
        <v>841</v>
      </c>
      <c r="IV442" s="236" t="s">
        <v>28881</v>
      </c>
      <c r="IW442" s="236" t="s">
        <v>145</v>
      </c>
      <c r="IX442" s="236" t="s">
        <v>74</v>
      </c>
      <c r="IY442" s="236" t="s">
        <v>841</v>
      </c>
      <c r="JA442" s="236" t="s">
        <v>28882</v>
      </c>
      <c r="JB442" s="236" t="s">
        <v>145</v>
      </c>
      <c r="JC442" s="236" t="s">
        <v>74</v>
      </c>
      <c r="JD442" s="236" t="s">
        <v>841</v>
      </c>
      <c r="JF442" s="236" t="s">
        <v>28883</v>
      </c>
      <c r="JG442" s="236" t="s">
        <v>145</v>
      </c>
      <c r="JH442" s="236" t="s">
        <v>74</v>
      </c>
      <c r="JI442" s="236" t="s">
        <v>841</v>
      </c>
      <c r="JK442" s="236" t="s">
        <v>28884</v>
      </c>
      <c r="JL442" s="236" t="s">
        <v>145</v>
      </c>
      <c r="JM442" s="236" t="s">
        <v>74</v>
      </c>
      <c r="JN442" s="236" t="s">
        <v>841</v>
      </c>
      <c r="JP442" s="236" t="s">
        <v>28885</v>
      </c>
      <c r="JQ442" s="236" t="s">
        <v>145</v>
      </c>
      <c r="JR442" s="236" t="s">
        <v>74</v>
      </c>
      <c r="JS442" s="236" t="s">
        <v>841</v>
      </c>
      <c r="JU442" s="294" t="s">
        <v>28886</v>
      </c>
      <c r="JV442" s="294" t="s">
        <v>52</v>
      </c>
      <c r="JW442" s="263" t="s">
        <v>70</v>
      </c>
      <c r="JX442" s="294" t="s">
        <v>1083</v>
      </c>
      <c r="JZ442" s="263" t="s">
        <v>28887</v>
      </c>
      <c r="KA442" s="263" t="s">
        <v>145</v>
      </c>
      <c r="KB442" s="263" t="s">
        <v>70</v>
      </c>
      <c r="KC442" s="263" t="s">
        <v>1083</v>
      </c>
      <c r="KE442" s="263" t="s">
        <v>28888</v>
      </c>
      <c r="KF442" s="263" t="s">
        <v>52</v>
      </c>
      <c r="KG442" s="263" t="s">
        <v>70</v>
      </c>
      <c r="KH442" s="263" t="s">
        <v>1083</v>
      </c>
      <c r="KJ442" s="263" t="s">
        <v>28889</v>
      </c>
      <c r="KK442" s="263" t="s">
        <v>52</v>
      </c>
      <c r="KL442" s="263" t="s">
        <v>74</v>
      </c>
      <c r="KM442" s="263" t="s">
        <v>34074</v>
      </c>
      <c r="KO442" s="214" t="s">
        <v>28890</v>
      </c>
      <c r="KP442" s="214" t="s">
        <v>145</v>
      </c>
      <c r="KQ442" s="214" t="s">
        <v>70</v>
      </c>
      <c r="KR442" s="214" t="s">
        <v>67</v>
      </c>
      <c r="KT442" s="22" t="s">
        <v>28891</v>
      </c>
      <c r="KU442" s="22" t="s">
        <v>145</v>
      </c>
      <c r="KV442" s="22" t="s">
        <v>70</v>
      </c>
      <c r="KW442" s="22" t="s">
        <v>67</v>
      </c>
      <c r="KY442" s="214" t="s">
        <v>28892</v>
      </c>
      <c r="KZ442" s="214" t="s">
        <v>52</v>
      </c>
      <c r="LA442" s="214" t="s">
        <v>74</v>
      </c>
      <c r="LB442" s="214" t="s">
        <v>67</v>
      </c>
      <c r="LD442" s="22" t="s">
        <v>28893</v>
      </c>
      <c r="LE442" s="22" t="s">
        <v>145</v>
      </c>
      <c r="LF442" s="22" t="s">
        <v>70</v>
      </c>
      <c r="LG442" s="22" t="s">
        <v>67</v>
      </c>
    </row>
    <row r="443" spans="1:319">
      <c r="A443" s="22" t="s">
        <v>28894</v>
      </c>
      <c r="B443" s="22" t="s">
        <v>145</v>
      </c>
      <c r="C443" s="22" t="s">
        <v>70</v>
      </c>
      <c r="D443" s="22" t="s">
        <v>67</v>
      </c>
      <c r="F443" s="97" t="s">
        <v>28895</v>
      </c>
      <c r="G443" s="22" t="s">
        <v>145</v>
      </c>
      <c r="H443" s="22" t="s">
        <v>70</v>
      </c>
      <c r="I443" s="22" t="s">
        <v>67</v>
      </c>
      <c r="K443" s="99" t="s">
        <v>28896</v>
      </c>
      <c r="L443" s="22" t="s">
        <v>145</v>
      </c>
      <c r="M443" s="22" t="s">
        <v>70</v>
      </c>
      <c r="N443" s="22" t="s">
        <v>67</v>
      </c>
      <c r="P443" s="230" t="s">
        <v>28897</v>
      </c>
      <c r="Q443" s="218" t="s">
        <v>145</v>
      </c>
      <c r="R443" s="218" t="s">
        <v>72</v>
      </c>
      <c r="S443" s="218" t="s">
        <v>34044</v>
      </c>
      <c r="U443" s="293" t="s">
        <v>28898</v>
      </c>
      <c r="V443" s="293" t="s">
        <v>145</v>
      </c>
      <c r="W443" s="293" t="s">
        <v>74</v>
      </c>
      <c r="X443" s="293" t="s">
        <v>656</v>
      </c>
      <c r="Z443" s="293" t="s">
        <v>28899</v>
      </c>
      <c r="AA443" s="293" t="s">
        <v>145</v>
      </c>
      <c r="AB443" s="293" t="s">
        <v>74</v>
      </c>
      <c r="AC443" s="293" t="s">
        <v>656</v>
      </c>
      <c r="AE443" s="293" t="s">
        <v>28900</v>
      </c>
      <c r="AF443" s="293" t="s">
        <v>145</v>
      </c>
      <c r="AG443" s="293" t="s">
        <v>74</v>
      </c>
      <c r="AH443" s="293" t="s">
        <v>656</v>
      </c>
      <c r="AJ443" s="293" t="s">
        <v>28901</v>
      </c>
      <c r="AK443" s="293" t="s">
        <v>145</v>
      </c>
      <c r="AL443" s="293" t="s">
        <v>74</v>
      </c>
      <c r="AM443" s="293" t="s">
        <v>656</v>
      </c>
      <c r="AO443" s="22" t="s">
        <v>28902</v>
      </c>
      <c r="AP443" s="22" t="s">
        <v>145</v>
      </c>
      <c r="AQ443" s="22" t="s">
        <v>70</v>
      </c>
      <c r="AR443" s="22" t="s">
        <v>67</v>
      </c>
      <c r="AT443" s="22" t="s">
        <v>28903</v>
      </c>
      <c r="AU443" s="22" t="s">
        <v>145</v>
      </c>
      <c r="AV443" s="22" t="s">
        <v>70</v>
      </c>
      <c r="AW443" s="22" t="s">
        <v>67</v>
      </c>
      <c r="AY443" s="22" t="s">
        <v>28904</v>
      </c>
      <c r="AZ443" s="22" t="s">
        <v>145</v>
      </c>
      <c r="BA443" s="22" t="s">
        <v>70</v>
      </c>
      <c r="BB443" s="22" t="s">
        <v>67</v>
      </c>
      <c r="BD443" s="22" t="s">
        <v>28905</v>
      </c>
      <c r="BE443" s="22" t="s">
        <v>145</v>
      </c>
      <c r="BF443" s="22" t="s">
        <v>70</v>
      </c>
      <c r="BG443" s="22" t="s">
        <v>67</v>
      </c>
      <c r="BI443" s="22" t="s">
        <v>28906</v>
      </c>
      <c r="BJ443" s="22" t="s">
        <v>145</v>
      </c>
      <c r="BK443" s="22" t="s">
        <v>70</v>
      </c>
      <c r="BL443" s="22" t="s">
        <v>67</v>
      </c>
      <c r="BN443" s="22" t="s">
        <v>28907</v>
      </c>
      <c r="BO443" s="22" t="s">
        <v>145</v>
      </c>
      <c r="BP443" s="22" t="s">
        <v>70</v>
      </c>
      <c r="BQ443" s="22" t="s">
        <v>67</v>
      </c>
      <c r="BS443" s="22" t="s">
        <v>28908</v>
      </c>
      <c r="BT443" s="22" t="s">
        <v>145</v>
      </c>
      <c r="BU443" s="22" t="s">
        <v>70</v>
      </c>
      <c r="BV443" s="214" t="s">
        <v>530</v>
      </c>
      <c r="BX443" s="22" t="s">
        <v>28909</v>
      </c>
      <c r="BY443" s="22" t="s">
        <v>145</v>
      </c>
      <c r="BZ443" s="22" t="s">
        <v>70</v>
      </c>
      <c r="CA443" s="214" t="s">
        <v>530</v>
      </c>
      <c r="CC443" s="214" t="s">
        <v>28910</v>
      </c>
      <c r="CD443" s="214" t="s">
        <v>491</v>
      </c>
      <c r="CE443" s="214" t="s">
        <v>70</v>
      </c>
      <c r="CF443" s="214" t="s">
        <v>530</v>
      </c>
      <c r="CH443" s="214" t="s">
        <v>28911</v>
      </c>
      <c r="CI443" s="214" t="s">
        <v>52</v>
      </c>
      <c r="CJ443" s="214" t="s">
        <v>70</v>
      </c>
      <c r="CK443" s="214" t="s">
        <v>530</v>
      </c>
      <c r="CM443" s="214" t="s">
        <v>28912</v>
      </c>
      <c r="CN443" s="214" t="s">
        <v>34551</v>
      </c>
      <c r="CO443" s="214" t="s">
        <v>70</v>
      </c>
      <c r="CP443" s="214" t="s">
        <v>530</v>
      </c>
      <c r="CR443" s="214" t="s">
        <v>28913</v>
      </c>
      <c r="CS443" s="214" t="s">
        <v>486</v>
      </c>
      <c r="CT443" s="214" t="s">
        <v>70</v>
      </c>
      <c r="CU443" s="214" t="s">
        <v>530</v>
      </c>
      <c r="CW443" s="214" t="s">
        <v>28914</v>
      </c>
      <c r="CX443" s="214" t="s">
        <v>488</v>
      </c>
      <c r="CY443" s="214" t="s">
        <v>70</v>
      </c>
      <c r="CZ443" s="214" t="s">
        <v>530</v>
      </c>
      <c r="DB443" s="214" t="s">
        <v>28915</v>
      </c>
      <c r="DC443" s="214" t="s">
        <v>531</v>
      </c>
      <c r="DD443" s="214" t="s">
        <v>70</v>
      </c>
      <c r="DE443" s="214" t="s">
        <v>530</v>
      </c>
      <c r="DG443" s="214" t="s">
        <v>28916</v>
      </c>
      <c r="DH443" s="214" t="s">
        <v>502</v>
      </c>
      <c r="DI443" s="214" t="s">
        <v>70</v>
      </c>
      <c r="DJ443" s="214" t="s">
        <v>530</v>
      </c>
      <c r="DL443" s="214" t="s">
        <v>28917</v>
      </c>
      <c r="DM443" s="214" t="s">
        <v>518</v>
      </c>
      <c r="DN443" s="214" t="s">
        <v>70</v>
      </c>
      <c r="DO443" s="214" t="s">
        <v>530</v>
      </c>
      <c r="DQ443" s="214" t="s">
        <v>28918</v>
      </c>
      <c r="DR443" s="214" t="s">
        <v>34555</v>
      </c>
      <c r="DS443" s="214" t="s">
        <v>70</v>
      </c>
      <c r="DT443" s="214" t="s">
        <v>530</v>
      </c>
      <c r="DV443" s="214" t="s">
        <v>28919</v>
      </c>
      <c r="DW443" s="214" t="s">
        <v>497</v>
      </c>
      <c r="DX443" s="214" t="s">
        <v>70</v>
      </c>
      <c r="DY443" s="214" t="s">
        <v>530</v>
      </c>
      <c r="EA443" s="214" t="s">
        <v>28920</v>
      </c>
      <c r="EB443" s="214" t="s">
        <v>484</v>
      </c>
      <c r="EC443" s="214" t="s">
        <v>70</v>
      </c>
      <c r="ED443" s="214" t="s">
        <v>530</v>
      </c>
      <c r="EF443" s="214" t="s">
        <v>28921</v>
      </c>
      <c r="EG443" s="214" t="s">
        <v>488</v>
      </c>
      <c r="EH443" s="214" t="s">
        <v>70</v>
      </c>
      <c r="EI443" s="214" t="s">
        <v>530</v>
      </c>
      <c r="EK443" s="214" t="s">
        <v>28922</v>
      </c>
      <c r="EL443" s="214" t="s">
        <v>34580</v>
      </c>
      <c r="EM443" s="214" t="s">
        <v>70</v>
      </c>
      <c r="EN443" s="214" t="s">
        <v>530</v>
      </c>
      <c r="EP443" s="214" t="s">
        <v>28923</v>
      </c>
      <c r="EQ443" s="214" t="s">
        <v>145</v>
      </c>
      <c r="ER443" s="214" t="s">
        <v>70</v>
      </c>
      <c r="ES443" s="214" t="s">
        <v>530</v>
      </c>
      <c r="EU443" s="214" t="s">
        <v>28924</v>
      </c>
      <c r="EV443" s="214" t="s">
        <v>487</v>
      </c>
      <c r="EW443" s="214" t="s">
        <v>70</v>
      </c>
      <c r="EX443" s="214" t="s">
        <v>530</v>
      </c>
      <c r="EZ443" s="214" t="s">
        <v>28925</v>
      </c>
      <c r="FA443" s="214" t="s">
        <v>146</v>
      </c>
      <c r="FB443" s="214" t="s">
        <v>70</v>
      </c>
      <c r="FC443" s="214" t="s">
        <v>530</v>
      </c>
      <c r="FE443" s="214" t="s">
        <v>28926</v>
      </c>
      <c r="FF443" s="214" t="s">
        <v>88</v>
      </c>
      <c r="FG443" s="214" t="s">
        <v>70</v>
      </c>
      <c r="FH443" s="214" t="s">
        <v>530</v>
      </c>
      <c r="FJ443" s="321" t="s">
        <v>28927</v>
      </c>
      <c r="FK443" s="214" t="s">
        <v>52</v>
      </c>
      <c r="FL443" s="214" t="s">
        <v>70</v>
      </c>
      <c r="FM443" s="214" t="s">
        <v>530</v>
      </c>
      <c r="FO443" s="321" t="s">
        <v>28928</v>
      </c>
      <c r="FP443" s="214" t="s">
        <v>485</v>
      </c>
      <c r="FQ443" s="214" t="s">
        <v>70</v>
      </c>
      <c r="FR443" s="214" t="s">
        <v>530</v>
      </c>
      <c r="FT443" s="321" t="s">
        <v>28929</v>
      </c>
      <c r="FU443" s="214" t="s">
        <v>34564</v>
      </c>
      <c r="FV443" s="214" t="s">
        <v>70</v>
      </c>
      <c r="FW443" s="214" t="s">
        <v>530</v>
      </c>
      <c r="FY443" s="321" t="s">
        <v>28930</v>
      </c>
      <c r="FZ443" s="214" t="s">
        <v>34550</v>
      </c>
      <c r="GA443" s="214" t="s">
        <v>70</v>
      </c>
      <c r="GB443" s="214" t="s">
        <v>530</v>
      </c>
      <c r="GD443" s="321" t="s">
        <v>28931</v>
      </c>
      <c r="GE443" s="214" t="s">
        <v>52</v>
      </c>
      <c r="GF443" s="214" t="s">
        <v>70</v>
      </c>
      <c r="GG443" s="214" t="s">
        <v>530</v>
      </c>
      <c r="GI443" s="321" t="s">
        <v>28932</v>
      </c>
      <c r="GJ443" s="214" t="s">
        <v>34593</v>
      </c>
      <c r="GK443" s="214" t="s">
        <v>70</v>
      </c>
      <c r="GL443" s="214" t="s">
        <v>530</v>
      </c>
      <c r="GN443" s="321" t="s">
        <v>28933</v>
      </c>
      <c r="GO443" s="214" t="s">
        <v>34544</v>
      </c>
      <c r="GP443" s="214" t="s">
        <v>70</v>
      </c>
      <c r="GQ443" s="214" t="s">
        <v>530</v>
      </c>
      <c r="GS443" s="321" t="s">
        <v>28934</v>
      </c>
      <c r="GT443" s="214" t="s">
        <v>34615</v>
      </c>
      <c r="GU443" s="214" t="s">
        <v>70</v>
      </c>
      <c r="GV443" s="214" t="s">
        <v>530</v>
      </c>
      <c r="GX443" s="214" t="s">
        <v>28935</v>
      </c>
      <c r="GY443" s="214" t="s">
        <v>491</v>
      </c>
      <c r="GZ443" s="214" t="s">
        <v>70</v>
      </c>
      <c r="HA443" s="214" t="s">
        <v>530</v>
      </c>
      <c r="HC443" s="214" t="s">
        <v>28936</v>
      </c>
      <c r="HD443" s="214" t="s">
        <v>146</v>
      </c>
      <c r="HE443" s="214" t="s">
        <v>70</v>
      </c>
      <c r="HF443" s="214" t="s">
        <v>530</v>
      </c>
      <c r="HH443" s="214" t="s">
        <v>28937</v>
      </c>
      <c r="HI443" s="214" t="s">
        <v>531</v>
      </c>
      <c r="HJ443" s="214" t="s">
        <v>70</v>
      </c>
      <c r="HK443" s="214" t="s">
        <v>530</v>
      </c>
      <c r="HM443" s="214" t="s">
        <v>28938</v>
      </c>
      <c r="HN443" s="214" t="s">
        <v>34589</v>
      </c>
      <c r="HO443" s="214" t="s">
        <v>70</v>
      </c>
      <c r="HP443" s="214" t="s">
        <v>530</v>
      </c>
      <c r="HR443" s="22" t="s">
        <v>28939</v>
      </c>
      <c r="HS443" s="22" t="s">
        <v>148</v>
      </c>
      <c r="HT443" s="22" t="s">
        <v>70</v>
      </c>
      <c r="HU443" s="214" t="s">
        <v>530</v>
      </c>
      <c r="HW443" s="22" t="s">
        <v>28940</v>
      </c>
      <c r="HX443" s="22" t="s">
        <v>52</v>
      </c>
      <c r="HY443" s="22" t="s">
        <v>70</v>
      </c>
      <c r="HZ443" s="214" t="s">
        <v>530</v>
      </c>
      <c r="IB443" s="22" t="s">
        <v>28941</v>
      </c>
      <c r="IC443" s="22" t="s">
        <v>468</v>
      </c>
      <c r="ID443" s="22" t="s">
        <v>70</v>
      </c>
      <c r="IE443" s="214" t="s">
        <v>530</v>
      </c>
      <c r="IG443" s="22" t="s">
        <v>28942</v>
      </c>
      <c r="IH443" s="22" t="s">
        <v>52</v>
      </c>
      <c r="II443" s="22" t="s">
        <v>70</v>
      </c>
      <c r="IJ443" s="214" t="s">
        <v>530</v>
      </c>
      <c r="IL443" s="22" t="s">
        <v>28943</v>
      </c>
      <c r="IM443" s="22" t="s">
        <v>145</v>
      </c>
      <c r="IN443" s="22" t="s">
        <v>70</v>
      </c>
      <c r="IO443" s="214" t="s">
        <v>530</v>
      </c>
      <c r="IQ443" s="236" t="s">
        <v>28944</v>
      </c>
      <c r="IR443" s="236" t="s">
        <v>145</v>
      </c>
      <c r="IS443" s="236" t="s">
        <v>74</v>
      </c>
      <c r="IT443" s="236" t="s">
        <v>841</v>
      </c>
      <c r="IV443" s="236" t="s">
        <v>28945</v>
      </c>
      <c r="IW443" s="236" t="s">
        <v>145</v>
      </c>
      <c r="IX443" s="236" t="s">
        <v>74</v>
      </c>
      <c r="IY443" s="236" t="s">
        <v>841</v>
      </c>
      <c r="JA443" s="236" t="s">
        <v>28946</v>
      </c>
      <c r="JB443" s="236" t="s">
        <v>145</v>
      </c>
      <c r="JC443" s="236" t="s">
        <v>74</v>
      </c>
      <c r="JD443" s="236" t="s">
        <v>841</v>
      </c>
      <c r="JF443" s="236" t="s">
        <v>28947</v>
      </c>
      <c r="JG443" s="236" t="s">
        <v>145</v>
      </c>
      <c r="JH443" s="236" t="s">
        <v>74</v>
      </c>
      <c r="JI443" s="236" t="s">
        <v>841</v>
      </c>
      <c r="JK443" s="236" t="s">
        <v>28948</v>
      </c>
      <c r="JL443" s="236" t="s">
        <v>145</v>
      </c>
      <c r="JM443" s="236" t="s">
        <v>74</v>
      </c>
      <c r="JN443" s="236" t="s">
        <v>841</v>
      </c>
      <c r="JP443" s="236" t="s">
        <v>28949</v>
      </c>
      <c r="JQ443" s="236" t="s">
        <v>145</v>
      </c>
      <c r="JR443" s="236" t="s">
        <v>74</v>
      </c>
      <c r="JS443" s="236" t="s">
        <v>841</v>
      </c>
      <c r="JU443" s="294" t="s">
        <v>28950</v>
      </c>
      <c r="JV443" s="294" t="s">
        <v>52</v>
      </c>
      <c r="JW443" s="263" t="s">
        <v>70</v>
      </c>
      <c r="JX443" s="294" t="s">
        <v>1083</v>
      </c>
      <c r="JZ443" s="263" t="s">
        <v>28951</v>
      </c>
      <c r="KA443" s="263" t="s">
        <v>145</v>
      </c>
      <c r="KB443" s="263" t="s">
        <v>70</v>
      </c>
      <c r="KC443" s="263" t="s">
        <v>1083</v>
      </c>
      <c r="KE443" s="263" t="s">
        <v>28952</v>
      </c>
      <c r="KF443" s="263" t="s">
        <v>52</v>
      </c>
      <c r="KG443" s="263" t="s">
        <v>70</v>
      </c>
      <c r="KH443" s="263" t="s">
        <v>1083</v>
      </c>
      <c r="KJ443" s="263" t="s">
        <v>28953</v>
      </c>
      <c r="KK443" s="263" t="s">
        <v>52</v>
      </c>
      <c r="KL443" s="263" t="s">
        <v>74</v>
      </c>
      <c r="KM443" s="263" t="s">
        <v>34074</v>
      </c>
      <c r="KO443" s="214" t="s">
        <v>28954</v>
      </c>
      <c r="KP443" s="214" t="s">
        <v>145</v>
      </c>
      <c r="KQ443" s="214" t="s">
        <v>70</v>
      </c>
      <c r="KR443" s="214" t="s">
        <v>67</v>
      </c>
      <c r="KT443" s="22" t="s">
        <v>28955</v>
      </c>
      <c r="KU443" s="22" t="s">
        <v>145</v>
      </c>
      <c r="KV443" s="22" t="s">
        <v>70</v>
      </c>
      <c r="KW443" s="22" t="s">
        <v>67</v>
      </c>
      <c r="KY443" s="214" t="s">
        <v>28956</v>
      </c>
      <c r="KZ443" s="214" t="s">
        <v>52</v>
      </c>
      <c r="LA443" s="214" t="s">
        <v>74</v>
      </c>
      <c r="LB443" s="214" t="s">
        <v>67</v>
      </c>
      <c r="LD443" s="22" t="s">
        <v>28957</v>
      </c>
      <c r="LE443" s="22" t="s">
        <v>145</v>
      </c>
      <c r="LF443" s="22" t="s">
        <v>70</v>
      </c>
      <c r="LG443" s="22" t="s">
        <v>67</v>
      </c>
    </row>
    <row r="444" spans="1:319">
      <c r="A444" s="22" t="s">
        <v>28958</v>
      </c>
      <c r="B444" s="22" t="s">
        <v>145</v>
      </c>
      <c r="C444" s="22" t="s">
        <v>70</v>
      </c>
      <c r="D444" s="22" t="s">
        <v>67</v>
      </c>
      <c r="F444" s="97" t="s">
        <v>28959</v>
      </c>
      <c r="G444" s="22" t="s">
        <v>145</v>
      </c>
      <c r="H444" s="22" t="s">
        <v>70</v>
      </c>
      <c r="I444" s="22" t="s">
        <v>67</v>
      </c>
      <c r="K444" s="99" t="s">
        <v>28960</v>
      </c>
      <c r="L444" s="22" t="s">
        <v>145</v>
      </c>
      <c r="M444" s="22" t="s">
        <v>70</v>
      </c>
      <c r="N444" s="22" t="s">
        <v>67</v>
      </c>
      <c r="P444" s="230" t="s">
        <v>28961</v>
      </c>
      <c r="Q444" s="218" t="s">
        <v>145</v>
      </c>
      <c r="R444" s="218" t="s">
        <v>72</v>
      </c>
      <c r="S444" s="218" t="s">
        <v>34045</v>
      </c>
      <c r="U444" s="293" t="s">
        <v>28962</v>
      </c>
      <c r="V444" s="293" t="s">
        <v>145</v>
      </c>
      <c r="W444" s="293" t="s">
        <v>74</v>
      </c>
      <c r="X444" s="293" t="s">
        <v>656</v>
      </c>
      <c r="Z444" s="293" t="s">
        <v>28963</v>
      </c>
      <c r="AA444" s="293" t="s">
        <v>145</v>
      </c>
      <c r="AB444" s="293" t="s">
        <v>74</v>
      </c>
      <c r="AC444" s="293" t="s">
        <v>656</v>
      </c>
      <c r="AE444" s="293" t="s">
        <v>28964</v>
      </c>
      <c r="AF444" s="293" t="s">
        <v>145</v>
      </c>
      <c r="AG444" s="293" t="s">
        <v>74</v>
      </c>
      <c r="AH444" s="293" t="s">
        <v>656</v>
      </c>
      <c r="AJ444" s="293" t="s">
        <v>28965</v>
      </c>
      <c r="AK444" s="293" t="s">
        <v>145</v>
      </c>
      <c r="AL444" s="293" t="s">
        <v>74</v>
      </c>
      <c r="AM444" s="293" t="s">
        <v>656</v>
      </c>
      <c r="AO444" s="22" t="s">
        <v>28966</v>
      </c>
      <c r="AP444" s="22" t="s">
        <v>145</v>
      </c>
      <c r="AQ444" s="22" t="s">
        <v>70</v>
      </c>
      <c r="AR444" s="22" t="s">
        <v>67</v>
      </c>
      <c r="AT444" s="22" t="s">
        <v>28967</v>
      </c>
      <c r="AU444" s="22" t="s">
        <v>145</v>
      </c>
      <c r="AV444" s="22" t="s">
        <v>70</v>
      </c>
      <c r="AW444" s="22" t="s">
        <v>67</v>
      </c>
      <c r="AY444" s="22" t="s">
        <v>28968</v>
      </c>
      <c r="AZ444" s="22" t="s">
        <v>145</v>
      </c>
      <c r="BA444" s="22" t="s">
        <v>70</v>
      </c>
      <c r="BB444" s="22" t="s">
        <v>67</v>
      </c>
      <c r="BD444" s="22" t="s">
        <v>28969</v>
      </c>
      <c r="BE444" s="22" t="s">
        <v>145</v>
      </c>
      <c r="BF444" s="22" t="s">
        <v>70</v>
      </c>
      <c r="BG444" s="22" t="s">
        <v>67</v>
      </c>
      <c r="BI444" s="22" t="s">
        <v>28970</v>
      </c>
      <c r="BJ444" s="22" t="s">
        <v>145</v>
      </c>
      <c r="BK444" s="22" t="s">
        <v>70</v>
      </c>
      <c r="BL444" s="22" t="s">
        <v>67</v>
      </c>
      <c r="BN444" s="22" t="s">
        <v>28971</v>
      </c>
      <c r="BO444" s="22" t="s">
        <v>145</v>
      </c>
      <c r="BP444" s="22" t="s">
        <v>70</v>
      </c>
      <c r="BQ444" s="22" t="s">
        <v>67</v>
      </c>
      <c r="BS444" s="22" t="s">
        <v>28972</v>
      </c>
      <c r="BT444" s="22" t="s">
        <v>145</v>
      </c>
      <c r="BU444" s="22" t="s">
        <v>70</v>
      </c>
      <c r="BV444" s="214" t="s">
        <v>530</v>
      </c>
      <c r="BX444" s="22" t="s">
        <v>28973</v>
      </c>
      <c r="BY444" s="22" t="s">
        <v>145</v>
      </c>
      <c r="BZ444" s="22" t="s">
        <v>70</v>
      </c>
      <c r="CA444" s="214" t="s">
        <v>530</v>
      </c>
      <c r="CC444" s="214" t="s">
        <v>28974</v>
      </c>
      <c r="CD444" s="214" t="s">
        <v>34575</v>
      </c>
      <c r="CE444" s="214" t="s">
        <v>70</v>
      </c>
      <c r="CF444" s="214" t="s">
        <v>530</v>
      </c>
      <c r="CH444" s="214" t="s">
        <v>28975</v>
      </c>
      <c r="CI444" s="214" t="s">
        <v>164</v>
      </c>
      <c r="CJ444" s="214" t="s">
        <v>70</v>
      </c>
      <c r="CK444" s="214" t="s">
        <v>530</v>
      </c>
      <c r="CM444" s="214" t="s">
        <v>28976</v>
      </c>
      <c r="CN444" s="214" t="s">
        <v>933</v>
      </c>
      <c r="CO444" s="214" t="s">
        <v>70</v>
      </c>
      <c r="CP444" s="214" t="s">
        <v>530</v>
      </c>
      <c r="CR444" s="214" t="s">
        <v>28977</v>
      </c>
      <c r="CS444" s="214" t="s">
        <v>926</v>
      </c>
      <c r="CT444" s="214" t="s">
        <v>70</v>
      </c>
      <c r="CU444" s="214" t="s">
        <v>530</v>
      </c>
      <c r="CW444" s="214" t="s">
        <v>28978</v>
      </c>
      <c r="CX444" s="214" t="s">
        <v>468</v>
      </c>
      <c r="CY444" s="214" t="s">
        <v>70</v>
      </c>
      <c r="CZ444" s="214" t="s">
        <v>530</v>
      </c>
      <c r="DB444" s="214" t="s">
        <v>28979</v>
      </c>
      <c r="DC444" s="214" t="s">
        <v>149</v>
      </c>
      <c r="DD444" s="214" t="s">
        <v>70</v>
      </c>
      <c r="DE444" s="214" t="s">
        <v>530</v>
      </c>
      <c r="DG444" s="214" t="s">
        <v>28980</v>
      </c>
      <c r="DH444" s="214" t="s">
        <v>485</v>
      </c>
      <c r="DI444" s="214" t="s">
        <v>70</v>
      </c>
      <c r="DJ444" s="214" t="s">
        <v>530</v>
      </c>
      <c r="DL444" s="214" t="s">
        <v>28981</v>
      </c>
      <c r="DM444" s="214" t="s">
        <v>149</v>
      </c>
      <c r="DN444" s="214" t="s">
        <v>70</v>
      </c>
      <c r="DO444" s="214" t="s">
        <v>530</v>
      </c>
      <c r="DQ444" s="214" t="s">
        <v>28982</v>
      </c>
      <c r="DR444" s="214" t="s">
        <v>916</v>
      </c>
      <c r="DS444" s="214" t="s">
        <v>70</v>
      </c>
      <c r="DT444" s="214" t="s">
        <v>530</v>
      </c>
      <c r="DV444" s="214" t="s">
        <v>28983</v>
      </c>
      <c r="DW444" s="214" t="s">
        <v>34613</v>
      </c>
      <c r="DX444" s="214" t="s">
        <v>70</v>
      </c>
      <c r="DY444" s="214" t="s">
        <v>530</v>
      </c>
      <c r="EA444" s="214" t="s">
        <v>28984</v>
      </c>
      <c r="EB444" s="214" t="s">
        <v>919</v>
      </c>
      <c r="EC444" s="214" t="s">
        <v>70</v>
      </c>
      <c r="ED444" s="214" t="s">
        <v>530</v>
      </c>
      <c r="EF444" s="214" t="s">
        <v>28985</v>
      </c>
      <c r="EG444" s="214" t="s">
        <v>86</v>
      </c>
      <c r="EH444" s="214" t="s">
        <v>70</v>
      </c>
      <c r="EI444" s="214" t="s">
        <v>530</v>
      </c>
      <c r="EK444" s="214" t="s">
        <v>28986</v>
      </c>
      <c r="EL444" s="214" t="s">
        <v>947</v>
      </c>
      <c r="EM444" s="214" t="s">
        <v>70</v>
      </c>
      <c r="EN444" s="214" t="s">
        <v>530</v>
      </c>
      <c r="EP444" s="214" t="s">
        <v>28987</v>
      </c>
      <c r="EQ444" s="214" t="s">
        <v>163</v>
      </c>
      <c r="ER444" s="214" t="s">
        <v>70</v>
      </c>
      <c r="ES444" s="214" t="s">
        <v>530</v>
      </c>
      <c r="EU444" s="214" t="s">
        <v>28988</v>
      </c>
      <c r="EV444" s="214" t="s">
        <v>206</v>
      </c>
      <c r="EW444" s="214" t="s">
        <v>70</v>
      </c>
      <c r="EX444" s="214" t="s">
        <v>530</v>
      </c>
      <c r="EZ444" s="214" t="s">
        <v>28989</v>
      </c>
      <c r="FA444" s="214" t="s">
        <v>146</v>
      </c>
      <c r="FB444" s="214" t="s">
        <v>70</v>
      </c>
      <c r="FC444" s="214" t="s">
        <v>530</v>
      </c>
      <c r="FE444" s="214" t="s">
        <v>28990</v>
      </c>
      <c r="FF444" s="214" t="s">
        <v>164</v>
      </c>
      <c r="FG444" s="214" t="s">
        <v>70</v>
      </c>
      <c r="FH444" s="214" t="s">
        <v>530</v>
      </c>
      <c r="FJ444" s="321" t="s">
        <v>28991</v>
      </c>
      <c r="FK444" s="214" t="s">
        <v>918</v>
      </c>
      <c r="FL444" s="214" t="s">
        <v>70</v>
      </c>
      <c r="FM444" s="214" t="s">
        <v>530</v>
      </c>
      <c r="FO444" s="321" t="s">
        <v>28992</v>
      </c>
      <c r="FP444" s="214" t="s">
        <v>92</v>
      </c>
      <c r="FQ444" s="214" t="s">
        <v>70</v>
      </c>
      <c r="FR444" s="214" t="s">
        <v>530</v>
      </c>
      <c r="FT444" s="321" t="s">
        <v>28993</v>
      </c>
      <c r="FU444" s="214" t="s">
        <v>529</v>
      </c>
      <c r="FV444" s="214" t="s">
        <v>70</v>
      </c>
      <c r="FW444" s="214" t="s">
        <v>530</v>
      </c>
      <c r="FY444" s="321" t="s">
        <v>28994</v>
      </c>
      <c r="FZ444" s="214" t="s">
        <v>52</v>
      </c>
      <c r="GA444" s="214" t="s">
        <v>70</v>
      </c>
      <c r="GB444" s="214" t="s">
        <v>530</v>
      </c>
      <c r="GD444" s="321" t="s">
        <v>28995</v>
      </c>
      <c r="GE444" s="214" t="s">
        <v>519</v>
      </c>
      <c r="GF444" s="214" t="s">
        <v>70</v>
      </c>
      <c r="GG444" s="214" t="s">
        <v>530</v>
      </c>
      <c r="GI444" s="321" t="s">
        <v>28996</v>
      </c>
      <c r="GJ444" s="214" t="s">
        <v>34595</v>
      </c>
      <c r="GK444" s="214" t="s">
        <v>70</v>
      </c>
      <c r="GL444" s="214" t="s">
        <v>530</v>
      </c>
      <c r="GN444" s="321" t="s">
        <v>28997</v>
      </c>
      <c r="GO444" s="214" t="s">
        <v>148</v>
      </c>
      <c r="GP444" s="214" t="s">
        <v>70</v>
      </c>
      <c r="GQ444" s="214" t="s">
        <v>530</v>
      </c>
      <c r="GS444" s="321" t="s">
        <v>28998</v>
      </c>
      <c r="GT444" s="214" t="s">
        <v>34611</v>
      </c>
      <c r="GU444" s="214" t="s">
        <v>70</v>
      </c>
      <c r="GV444" s="214" t="s">
        <v>530</v>
      </c>
      <c r="GX444" s="214" t="s">
        <v>28999</v>
      </c>
      <c r="GY444" s="214" t="s">
        <v>52</v>
      </c>
      <c r="GZ444" s="214" t="s">
        <v>70</v>
      </c>
      <c r="HA444" s="214" t="s">
        <v>530</v>
      </c>
      <c r="HC444" s="214" t="s">
        <v>29000</v>
      </c>
      <c r="HD444" s="214" t="s">
        <v>85</v>
      </c>
      <c r="HE444" s="214" t="s">
        <v>70</v>
      </c>
      <c r="HF444" s="214" t="s">
        <v>530</v>
      </c>
      <c r="HH444" s="214" t="s">
        <v>29001</v>
      </c>
      <c r="HI444" s="214" t="s">
        <v>34607</v>
      </c>
      <c r="HJ444" s="214" t="s">
        <v>70</v>
      </c>
      <c r="HK444" s="214" t="s">
        <v>530</v>
      </c>
      <c r="HM444" s="214" t="s">
        <v>29002</v>
      </c>
      <c r="HN444" s="214" t="s">
        <v>468</v>
      </c>
      <c r="HO444" s="214" t="s">
        <v>70</v>
      </c>
      <c r="HP444" s="214" t="s">
        <v>530</v>
      </c>
      <c r="HR444" s="22" t="s">
        <v>29003</v>
      </c>
      <c r="HS444" s="22" t="s">
        <v>529</v>
      </c>
      <c r="HT444" s="22" t="s">
        <v>70</v>
      </c>
      <c r="HU444" s="214" t="s">
        <v>530</v>
      </c>
      <c r="HW444" s="22" t="s">
        <v>29004</v>
      </c>
      <c r="HX444" s="22" t="s">
        <v>498</v>
      </c>
      <c r="HY444" s="22" t="s">
        <v>70</v>
      </c>
      <c r="HZ444" s="214" t="s">
        <v>530</v>
      </c>
      <c r="IB444" s="22" t="s">
        <v>29005</v>
      </c>
      <c r="IC444" s="22" t="s">
        <v>34405</v>
      </c>
      <c r="ID444" s="22" t="s">
        <v>70</v>
      </c>
      <c r="IE444" s="214" t="s">
        <v>530</v>
      </c>
      <c r="IG444" s="22" t="s">
        <v>29006</v>
      </c>
      <c r="IH444" s="22" t="s">
        <v>52</v>
      </c>
      <c r="II444" s="22" t="s">
        <v>70</v>
      </c>
      <c r="IJ444" s="214" t="s">
        <v>530</v>
      </c>
      <c r="IL444" s="22" t="s">
        <v>29007</v>
      </c>
      <c r="IM444" s="22" t="s">
        <v>145</v>
      </c>
      <c r="IN444" s="22" t="s">
        <v>70</v>
      </c>
      <c r="IO444" s="214" t="s">
        <v>530</v>
      </c>
      <c r="IQ444" s="236" t="s">
        <v>29008</v>
      </c>
      <c r="IR444" s="236" t="s">
        <v>145</v>
      </c>
      <c r="IS444" s="236" t="s">
        <v>74</v>
      </c>
      <c r="IT444" s="236" t="s">
        <v>841</v>
      </c>
      <c r="IV444" s="236" t="s">
        <v>29009</v>
      </c>
      <c r="IW444" s="236" t="s">
        <v>145</v>
      </c>
      <c r="IX444" s="236" t="s">
        <v>74</v>
      </c>
      <c r="IY444" s="236" t="s">
        <v>841</v>
      </c>
      <c r="JA444" s="236" t="s">
        <v>29010</v>
      </c>
      <c r="JB444" s="236" t="s">
        <v>145</v>
      </c>
      <c r="JC444" s="236" t="s">
        <v>74</v>
      </c>
      <c r="JD444" s="236" t="s">
        <v>841</v>
      </c>
      <c r="JF444" s="236" t="s">
        <v>29011</v>
      </c>
      <c r="JG444" s="236" t="s">
        <v>145</v>
      </c>
      <c r="JH444" s="236" t="s">
        <v>74</v>
      </c>
      <c r="JI444" s="236" t="s">
        <v>841</v>
      </c>
      <c r="JK444" s="236" t="s">
        <v>29012</v>
      </c>
      <c r="JL444" s="236" t="s">
        <v>145</v>
      </c>
      <c r="JM444" s="236" t="s">
        <v>74</v>
      </c>
      <c r="JN444" s="236" t="s">
        <v>841</v>
      </c>
      <c r="JP444" s="236" t="s">
        <v>29013</v>
      </c>
      <c r="JQ444" s="236" t="s">
        <v>145</v>
      </c>
      <c r="JR444" s="236" t="s">
        <v>74</v>
      </c>
      <c r="JS444" s="236" t="s">
        <v>841</v>
      </c>
      <c r="JU444" s="294" t="s">
        <v>29014</v>
      </c>
      <c r="JV444" s="294" t="s">
        <v>52</v>
      </c>
      <c r="JW444" s="263" t="s">
        <v>70</v>
      </c>
      <c r="JX444" s="294" t="s">
        <v>1083</v>
      </c>
      <c r="JZ444" s="263" t="s">
        <v>29015</v>
      </c>
      <c r="KA444" s="263" t="s">
        <v>145</v>
      </c>
      <c r="KB444" s="263" t="s">
        <v>70</v>
      </c>
      <c r="KC444" s="263" t="s">
        <v>1083</v>
      </c>
      <c r="KE444" s="263" t="s">
        <v>29016</v>
      </c>
      <c r="KF444" s="263" t="s">
        <v>52</v>
      </c>
      <c r="KG444" s="263" t="s">
        <v>70</v>
      </c>
      <c r="KH444" s="263" t="s">
        <v>1083</v>
      </c>
      <c r="KJ444" s="263" t="s">
        <v>29017</v>
      </c>
      <c r="KK444" s="263" t="s">
        <v>52</v>
      </c>
      <c r="KL444" s="263" t="s">
        <v>74</v>
      </c>
      <c r="KM444" s="263" t="s">
        <v>34074</v>
      </c>
      <c r="KO444" s="214" t="s">
        <v>29018</v>
      </c>
      <c r="KP444" s="214" t="s">
        <v>145</v>
      </c>
      <c r="KQ444" s="214" t="s">
        <v>70</v>
      </c>
      <c r="KR444" s="214" t="s">
        <v>67</v>
      </c>
      <c r="KT444" s="22" t="s">
        <v>29019</v>
      </c>
      <c r="KU444" s="22" t="s">
        <v>145</v>
      </c>
      <c r="KV444" s="22" t="s">
        <v>70</v>
      </c>
      <c r="KW444" s="22" t="s">
        <v>67</v>
      </c>
      <c r="KY444" s="214" t="s">
        <v>29020</v>
      </c>
      <c r="KZ444" s="214" t="s">
        <v>52</v>
      </c>
      <c r="LA444" s="214" t="s">
        <v>74</v>
      </c>
      <c r="LB444" s="214" t="s">
        <v>67</v>
      </c>
      <c r="LD444" s="22" t="s">
        <v>29021</v>
      </c>
      <c r="LE444" s="22" t="s">
        <v>145</v>
      </c>
      <c r="LF444" s="22" t="s">
        <v>70</v>
      </c>
      <c r="LG444" s="22" t="s">
        <v>67</v>
      </c>
    </row>
    <row r="445" spans="1:319">
      <c r="A445" s="22" t="s">
        <v>29022</v>
      </c>
      <c r="B445" s="22" t="s">
        <v>145</v>
      </c>
      <c r="C445" s="22" t="s">
        <v>70</v>
      </c>
      <c r="D445" s="22" t="s">
        <v>67</v>
      </c>
      <c r="F445" s="97" t="s">
        <v>29023</v>
      </c>
      <c r="G445" s="22" t="s">
        <v>145</v>
      </c>
      <c r="H445" s="22" t="s">
        <v>70</v>
      </c>
      <c r="I445" s="22" t="s">
        <v>67</v>
      </c>
      <c r="K445" s="99" t="s">
        <v>29024</v>
      </c>
      <c r="L445" s="22" t="s">
        <v>145</v>
      </c>
      <c r="M445" s="22" t="s">
        <v>70</v>
      </c>
      <c r="N445" s="22" t="s">
        <v>67</v>
      </c>
      <c r="P445" s="230" t="s">
        <v>29025</v>
      </c>
      <c r="Q445" s="218" t="s">
        <v>145</v>
      </c>
      <c r="R445" s="218" t="s">
        <v>72</v>
      </c>
      <c r="S445" s="218" t="s">
        <v>34046</v>
      </c>
      <c r="U445" s="293" t="s">
        <v>29026</v>
      </c>
      <c r="V445" s="293" t="s">
        <v>145</v>
      </c>
      <c r="W445" s="293" t="s">
        <v>74</v>
      </c>
      <c r="X445" s="293" t="s">
        <v>656</v>
      </c>
      <c r="Z445" s="293" t="s">
        <v>29027</v>
      </c>
      <c r="AA445" s="293" t="s">
        <v>145</v>
      </c>
      <c r="AB445" s="293" t="s">
        <v>74</v>
      </c>
      <c r="AC445" s="293" t="s">
        <v>656</v>
      </c>
      <c r="AE445" s="293" t="s">
        <v>29028</v>
      </c>
      <c r="AF445" s="293" t="s">
        <v>145</v>
      </c>
      <c r="AG445" s="293" t="s">
        <v>74</v>
      </c>
      <c r="AH445" s="293" t="s">
        <v>656</v>
      </c>
      <c r="AJ445" s="293" t="s">
        <v>29029</v>
      </c>
      <c r="AK445" s="293" t="s">
        <v>145</v>
      </c>
      <c r="AL445" s="293" t="s">
        <v>74</v>
      </c>
      <c r="AM445" s="293" t="s">
        <v>656</v>
      </c>
      <c r="AO445" s="22" t="s">
        <v>29030</v>
      </c>
      <c r="AP445" s="22" t="s">
        <v>145</v>
      </c>
      <c r="AQ445" s="22" t="s">
        <v>70</v>
      </c>
      <c r="AR445" s="22" t="s">
        <v>67</v>
      </c>
      <c r="AT445" s="22" t="s">
        <v>29031</v>
      </c>
      <c r="AU445" s="22" t="s">
        <v>145</v>
      </c>
      <c r="AV445" s="22" t="s">
        <v>70</v>
      </c>
      <c r="AW445" s="22" t="s">
        <v>67</v>
      </c>
      <c r="AY445" s="22" t="s">
        <v>29032</v>
      </c>
      <c r="AZ445" s="22" t="s">
        <v>145</v>
      </c>
      <c r="BA445" s="22" t="s">
        <v>70</v>
      </c>
      <c r="BB445" s="22" t="s">
        <v>67</v>
      </c>
      <c r="BD445" s="22" t="s">
        <v>29033</v>
      </c>
      <c r="BE445" s="22" t="s">
        <v>145</v>
      </c>
      <c r="BF445" s="22" t="s">
        <v>70</v>
      </c>
      <c r="BG445" s="22" t="s">
        <v>67</v>
      </c>
      <c r="BI445" s="22" t="s">
        <v>29034</v>
      </c>
      <c r="BJ445" s="22" t="s">
        <v>145</v>
      </c>
      <c r="BK445" s="22" t="s">
        <v>70</v>
      </c>
      <c r="BL445" s="22" t="s">
        <v>67</v>
      </c>
      <c r="BN445" s="22" t="s">
        <v>29035</v>
      </c>
      <c r="BO445" s="22" t="s">
        <v>145</v>
      </c>
      <c r="BP445" s="22" t="s">
        <v>70</v>
      </c>
      <c r="BQ445" s="22" t="s">
        <v>67</v>
      </c>
      <c r="BS445" s="22" t="s">
        <v>29036</v>
      </c>
      <c r="BT445" s="22" t="s">
        <v>145</v>
      </c>
      <c r="BU445" s="22" t="s">
        <v>70</v>
      </c>
      <c r="BV445" s="214" t="s">
        <v>530</v>
      </c>
      <c r="BX445" s="22" t="s">
        <v>29037</v>
      </c>
      <c r="BY445" s="22" t="s">
        <v>145</v>
      </c>
      <c r="BZ445" s="22" t="s">
        <v>70</v>
      </c>
      <c r="CA445" s="214" t="s">
        <v>530</v>
      </c>
      <c r="CC445" s="214" t="s">
        <v>29038</v>
      </c>
      <c r="CD445" s="214" t="s">
        <v>598</v>
      </c>
      <c r="CE445" s="214" t="s">
        <v>70</v>
      </c>
      <c r="CF445" s="214" t="s">
        <v>530</v>
      </c>
      <c r="CH445" s="214" t="s">
        <v>29039</v>
      </c>
      <c r="CI445" s="214" t="s">
        <v>34565</v>
      </c>
      <c r="CJ445" s="214" t="s">
        <v>70</v>
      </c>
      <c r="CK445" s="214" t="s">
        <v>530</v>
      </c>
      <c r="CM445" s="214" t="s">
        <v>29040</v>
      </c>
      <c r="CN445" s="214" t="s">
        <v>491</v>
      </c>
      <c r="CO445" s="214" t="s">
        <v>70</v>
      </c>
      <c r="CP445" s="214" t="s">
        <v>530</v>
      </c>
      <c r="CR445" s="214" t="s">
        <v>29041</v>
      </c>
      <c r="CS445" s="214" t="s">
        <v>488</v>
      </c>
      <c r="CT445" s="214" t="s">
        <v>70</v>
      </c>
      <c r="CU445" s="214" t="s">
        <v>530</v>
      </c>
      <c r="CW445" s="214" t="s">
        <v>29042</v>
      </c>
      <c r="CX445" s="214" t="s">
        <v>484</v>
      </c>
      <c r="CY445" s="214" t="s">
        <v>70</v>
      </c>
      <c r="CZ445" s="214" t="s">
        <v>530</v>
      </c>
      <c r="DB445" s="214" t="s">
        <v>29043</v>
      </c>
      <c r="DC445" s="214" t="s">
        <v>599</v>
      </c>
      <c r="DD445" s="214" t="s">
        <v>70</v>
      </c>
      <c r="DE445" s="214" t="s">
        <v>530</v>
      </c>
      <c r="DG445" s="214" t="s">
        <v>29044</v>
      </c>
      <c r="DH445" s="214" t="s">
        <v>52</v>
      </c>
      <c r="DI445" s="214" t="s">
        <v>70</v>
      </c>
      <c r="DJ445" s="214" t="s">
        <v>530</v>
      </c>
      <c r="DL445" s="214" t="s">
        <v>29045</v>
      </c>
      <c r="DM445" s="214" t="s">
        <v>52</v>
      </c>
      <c r="DN445" s="214" t="s">
        <v>70</v>
      </c>
      <c r="DO445" s="214" t="s">
        <v>530</v>
      </c>
      <c r="DQ445" s="214" t="s">
        <v>29046</v>
      </c>
      <c r="DR445" s="214" t="s">
        <v>146</v>
      </c>
      <c r="DS445" s="214" t="s">
        <v>70</v>
      </c>
      <c r="DT445" s="214" t="s">
        <v>530</v>
      </c>
      <c r="DV445" s="214" t="s">
        <v>29047</v>
      </c>
      <c r="DW445" s="214" t="s">
        <v>486</v>
      </c>
      <c r="DX445" s="214" t="s">
        <v>70</v>
      </c>
      <c r="DY445" s="214" t="s">
        <v>530</v>
      </c>
      <c r="EA445" s="214" t="s">
        <v>29048</v>
      </c>
      <c r="EB445" s="214" t="s">
        <v>163</v>
      </c>
      <c r="EC445" s="214" t="s">
        <v>70</v>
      </c>
      <c r="ED445" s="214" t="s">
        <v>530</v>
      </c>
      <c r="EF445" s="214" t="s">
        <v>29049</v>
      </c>
      <c r="EG445" s="214" t="s">
        <v>33910</v>
      </c>
      <c r="EH445" s="214" t="s">
        <v>70</v>
      </c>
      <c r="EI445" s="214" t="s">
        <v>530</v>
      </c>
      <c r="EK445" s="214" t="s">
        <v>29050</v>
      </c>
      <c r="EL445" s="214" t="s">
        <v>501</v>
      </c>
      <c r="EM445" s="214" t="s">
        <v>70</v>
      </c>
      <c r="EN445" s="214" t="s">
        <v>530</v>
      </c>
      <c r="EP445" s="214" t="s">
        <v>29051</v>
      </c>
      <c r="EQ445" s="214" t="s">
        <v>496</v>
      </c>
      <c r="ER445" s="214" t="s">
        <v>70</v>
      </c>
      <c r="ES445" s="214" t="s">
        <v>530</v>
      </c>
      <c r="EU445" s="214" t="s">
        <v>29052</v>
      </c>
      <c r="EV445" s="214" t="s">
        <v>34615</v>
      </c>
      <c r="EW445" s="214" t="s">
        <v>70</v>
      </c>
      <c r="EX445" s="214" t="s">
        <v>530</v>
      </c>
      <c r="EZ445" s="214" t="s">
        <v>29053</v>
      </c>
      <c r="FA445" s="214" t="s">
        <v>52</v>
      </c>
      <c r="FB445" s="214" t="s">
        <v>70</v>
      </c>
      <c r="FC445" s="214" t="s">
        <v>530</v>
      </c>
      <c r="FE445" s="214" t="s">
        <v>29054</v>
      </c>
      <c r="FF445" s="214" t="s">
        <v>34544</v>
      </c>
      <c r="FG445" s="214" t="s">
        <v>70</v>
      </c>
      <c r="FH445" s="214" t="s">
        <v>530</v>
      </c>
      <c r="FJ445" s="321" t="s">
        <v>29055</v>
      </c>
      <c r="FK445" s="214" t="s">
        <v>52</v>
      </c>
      <c r="FL445" s="214" t="s">
        <v>70</v>
      </c>
      <c r="FM445" s="214" t="s">
        <v>530</v>
      </c>
      <c r="FO445" s="321" t="s">
        <v>29056</v>
      </c>
      <c r="FP445" s="214" t="s">
        <v>34542</v>
      </c>
      <c r="FQ445" s="214" t="s">
        <v>70</v>
      </c>
      <c r="FR445" s="214" t="s">
        <v>530</v>
      </c>
      <c r="FT445" s="321" t="s">
        <v>29057</v>
      </c>
      <c r="FU445" s="214" t="s">
        <v>950</v>
      </c>
      <c r="FV445" s="214" t="s">
        <v>70</v>
      </c>
      <c r="FW445" s="214" t="s">
        <v>530</v>
      </c>
      <c r="FY445" s="321" t="s">
        <v>29058</v>
      </c>
      <c r="FZ445" s="214" t="s">
        <v>502</v>
      </c>
      <c r="GA445" s="214" t="s">
        <v>70</v>
      </c>
      <c r="GB445" s="214" t="s">
        <v>530</v>
      </c>
      <c r="GD445" s="321" t="s">
        <v>29059</v>
      </c>
      <c r="GE445" s="214" t="s">
        <v>484</v>
      </c>
      <c r="GF445" s="214" t="s">
        <v>70</v>
      </c>
      <c r="GG445" s="214" t="s">
        <v>530</v>
      </c>
      <c r="GI445" s="321" t="s">
        <v>29060</v>
      </c>
      <c r="GJ445" s="214" t="s">
        <v>34544</v>
      </c>
      <c r="GK445" s="214" t="s">
        <v>70</v>
      </c>
      <c r="GL445" s="214" t="s">
        <v>530</v>
      </c>
      <c r="GN445" s="321" t="s">
        <v>29061</v>
      </c>
      <c r="GO445" s="214" t="s">
        <v>485</v>
      </c>
      <c r="GP445" s="214" t="s">
        <v>70</v>
      </c>
      <c r="GQ445" s="214" t="s">
        <v>530</v>
      </c>
      <c r="GS445" s="321" t="s">
        <v>29062</v>
      </c>
      <c r="GT445" s="214" t="s">
        <v>492</v>
      </c>
      <c r="GU445" s="214" t="s">
        <v>70</v>
      </c>
      <c r="GV445" s="214" t="s">
        <v>530</v>
      </c>
      <c r="GX445" s="214" t="s">
        <v>29063</v>
      </c>
      <c r="GY445" s="214" t="s">
        <v>484</v>
      </c>
      <c r="GZ445" s="214" t="s">
        <v>70</v>
      </c>
      <c r="HA445" s="214" t="s">
        <v>530</v>
      </c>
      <c r="HC445" s="214" t="s">
        <v>29064</v>
      </c>
      <c r="HD445" s="214" t="s">
        <v>921</v>
      </c>
      <c r="HE445" s="214" t="s">
        <v>70</v>
      </c>
      <c r="HF445" s="214" t="s">
        <v>530</v>
      </c>
      <c r="HH445" s="214" t="s">
        <v>29065</v>
      </c>
      <c r="HI445" s="214" t="s">
        <v>52</v>
      </c>
      <c r="HJ445" s="214" t="s">
        <v>70</v>
      </c>
      <c r="HK445" s="214" t="s">
        <v>530</v>
      </c>
      <c r="HM445" s="214" t="s">
        <v>29066</v>
      </c>
      <c r="HN445" s="214" t="s">
        <v>52</v>
      </c>
      <c r="HO445" s="214" t="s">
        <v>70</v>
      </c>
      <c r="HP445" s="214" t="s">
        <v>530</v>
      </c>
      <c r="HR445" s="22" t="s">
        <v>29067</v>
      </c>
      <c r="HS445" s="22" t="s">
        <v>93</v>
      </c>
      <c r="HT445" s="22" t="s">
        <v>70</v>
      </c>
      <c r="HU445" s="214" t="s">
        <v>530</v>
      </c>
      <c r="HW445" s="22" t="s">
        <v>29068</v>
      </c>
      <c r="HX445" s="22" t="s">
        <v>88</v>
      </c>
      <c r="HY445" s="22" t="s">
        <v>70</v>
      </c>
      <c r="HZ445" s="214" t="s">
        <v>530</v>
      </c>
      <c r="IB445" s="22" t="s">
        <v>29069</v>
      </c>
      <c r="IC445" s="22" t="s">
        <v>34541</v>
      </c>
      <c r="ID445" s="22" t="s">
        <v>70</v>
      </c>
      <c r="IE445" s="214" t="s">
        <v>530</v>
      </c>
      <c r="IG445" s="22" t="s">
        <v>29070</v>
      </c>
      <c r="IH445" s="22" t="s">
        <v>52</v>
      </c>
      <c r="II445" s="22" t="s">
        <v>70</v>
      </c>
      <c r="IJ445" s="214" t="s">
        <v>530</v>
      </c>
      <c r="IL445" s="22" t="s">
        <v>29071</v>
      </c>
      <c r="IM445" s="22" t="s">
        <v>145</v>
      </c>
      <c r="IN445" s="22" t="s">
        <v>70</v>
      </c>
      <c r="IO445" s="214" t="s">
        <v>530</v>
      </c>
      <c r="IQ445" s="236" t="s">
        <v>29072</v>
      </c>
      <c r="IR445" s="236" t="s">
        <v>145</v>
      </c>
      <c r="IS445" s="236" t="s">
        <v>74</v>
      </c>
      <c r="IT445" s="236" t="s">
        <v>841</v>
      </c>
      <c r="IV445" s="236" t="s">
        <v>29073</v>
      </c>
      <c r="IW445" s="236" t="s">
        <v>145</v>
      </c>
      <c r="IX445" s="236" t="s">
        <v>74</v>
      </c>
      <c r="IY445" s="236" t="s">
        <v>841</v>
      </c>
      <c r="JA445" s="236" t="s">
        <v>29074</v>
      </c>
      <c r="JB445" s="236" t="s">
        <v>145</v>
      </c>
      <c r="JC445" s="236" t="s">
        <v>74</v>
      </c>
      <c r="JD445" s="236" t="s">
        <v>841</v>
      </c>
      <c r="JF445" s="236" t="s">
        <v>29075</v>
      </c>
      <c r="JG445" s="236" t="s">
        <v>145</v>
      </c>
      <c r="JH445" s="236" t="s">
        <v>74</v>
      </c>
      <c r="JI445" s="236" t="s">
        <v>841</v>
      </c>
      <c r="JK445" s="236" t="s">
        <v>29076</v>
      </c>
      <c r="JL445" s="236" t="s">
        <v>145</v>
      </c>
      <c r="JM445" s="236" t="s">
        <v>74</v>
      </c>
      <c r="JN445" s="236" t="s">
        <v>841</v>
      </c>
      <c r="JP445" s="236" t="s">
        <v>29077</v>
      </c>
      <c r="JQ445" s="236" t="s">
        <v>145</v>
      </c>
      <c r="JR445" s="236" t="s">
        <v>74</v>
      </c>
      <c r="JS445" s="236" t="s">
        <v>841</v>
      </c>
      <c r="JU445" s="294" t="s">
        <v>29078</v>
      </c>
      <c r="JV445" s="294" t="s">
        <v>52</v>
      </c>
      <c r="JW445" s="263" t="s">
        <v>70</v>
      </c>
      <c r="JX445" s="294" t="s">
        <v>1083</v>
      </c>
      <c r="JZ445" s="263" t="s">
        <v>29079</v>
      </c>
      <c r="KA445" s="263" t="s">
        <v>145</v>
      </c>
      <c r="KB445" s="263" t="s">
        <v>70</v>
      </c>
      <c r="KC445" s="263" t="s">
        <v>1083</v>
      </c>
      <c r="KE445" s="263" t="s">
        <v>29080</v>
      </c>
      <c r="KF445" s="263" t="s">
        <v>52</v>
      </c>
      <c r="KG445" s="263" t="s">
        <v>70</v>
      </c>
      <c r="KH445" s="263" t="s">
        <v>1083</v>
      </c>
      <c r="KJ445" s="263" t="s">
        <v>29081</v>
      </c>
      <c r="KK445" s="263" t="s">
        <v>52</v>
      </c>
      <c r="KL445" s="263" t="s">
        <v>74</v>
      </c>
      <c r="KM445" s="263" t="s">
        <v>34074</v>
      </c>
      <c r="KO445" s="214" t="s">
        <v>29082</v>
      </c>
      <c r="KP445" s="214" t="s">
        <v>145</v>
      </c>
      <c r="KQ445" s="214" t="s">
        <v>70</v>
      </c>
      <c r="KR445" s="214" t="s">
        <v>67</v>
      </c>
      <c r="KT445" s="22" t="s">
        <v>29083</v>
      </c>
      <c r="KU445" s="22" t="s">
        <v>145</v>
      </c>
      <c r="KV445" s="22" t="s">
        <v>70</v>
      </c>
      <c r="KW445" s="22" t="s">
        <v>67</v>
      </c>
      <c r="KY445" s="214" t="s">
        <v>29084</v>
      </c>
      <c r="KZ445" s="214" t="s">
        <v>52</v>
      </c>
      <c r="LA445" s="214" t="s">
        <v>74</v>
      </c>
      <c r="LB445" s="214" t="s">
        <v>67</v>
      </c>
      <c r="LD445" s="22" t="s">
        <v>29085</v>
      </c>
      <c r="LE445" s="22" t="s">
        <v>145</v>
      </c>
      <c r="LF445" s="22" t="s">
        <v>70</v>
      </c>
      <c r="LG445" s="22" t="s">
        <v>67</v>
      </c>
    </row>
    <row r="446" spans="1:319">
      <c r="A446" s="22" t="s">
        <v>29086</v>
      </c>
      <c r="B446" s="22" t="s">
        <v>145</v>
      </c>
      <c r="C446" s="22" t="s">
        <v>70</v>
      </c>
      <c r="D446" s="22" t="s">
        <v>67</v>
      </c>
      <c r="F446" s="97" t="s">
        <v>29087</v>
      </c>
      <c r="G446" s="22" t="s">
        <v>145</v>
      </c>
      <c r="H446" s="22" t="s">
        <v>70</v>
      </c>
      <c r="I446" s="22" t="s">
        <v>67</v>
      </c>
      <c r="K446" s="99" t="s">
        <v>29088</v>
      </c>
      <c r="L446" s="22" t="s">
        <v>145</v>
      </c>
      <c r="M446" s="22" t="s">
        <v>70</v>
      </c>
      <c r="N446" s="22" t="s">
        <v>67</v>
      </c>
      <c r="P446" s="230" t="s">
        <v>29089</v>
      </c>
      <c r="Q446" s="218" t="s">
        <v>145</v>
      </c>
      <c r="R446" s="218" t="s">
        <v>72</v>
      </c>
      <c r="S446" s="218" t="s">
        <v>34047</v>
      </c>
      <c r="U446" s="293" t="s">
        <v>29090</v>
      </c>
      <c r="V446" s="293" t="s">
        <v>145</v>
      </c>
      <c r="W446" s="293" t="s">
        <v>74</v>
      </c>
      <c r="X446" s="293" t="s">
        <v>656</v>
      </c>
      <c r="Z446" s="293" t="s">
        <v>29091</v>
      </c>
      <c r="AA446" s="293" t="s">
        <v>145</v>
      </c>
      <c r="AB446" s="293" t="s">
        <v>74</v>
      </c>
      <c r="AC446" s="293" t="s">
        <v>656</v>
      </c>
      <c r="AE446" s="293" t="s">
        <v>29092</v>
      </c>
      <c r="AF446" s="293" t="s">
        <v>145</v>
      </c>
      <c r="AG446" s="293" t="s">
        <v>74</v>
      </c>
      <c r="AH446" s="293" t="s">
        <v>656</v>
      </c>
      <c r="AJ446" s="293" t="s">
        <v>29093</v>
      </c>
      <c r="AK446" s="293" t="s">
        <v>145</v>
      </c>
      <c r="AL446" s="293" t="s">
        <v>74</v>
      </c>
      <c r="AM446" s="293" t="s">
        <v>656</v>
      </c>
      <c r="AO446" s="22" t="s">
        <v>29094</v>
      </c>
      <c r="AP446" s="22" t="s">
        <v>145</v>
      </c>
      <c r="AQ446" s="22" t="s">
        <v>70</v>
      </c>
      <c r="AR446" s="22" t="s">
        <v>67</v>
      </c>
      <c r="AT446" s="22" t="s">
        <v>29095</v>
      </c>
      <c r="AU446" s="22" t="s">
        <v>145</v>
      </c>
      <c r="AV446" s="22" t="s">
        <v>70</v>
      </c>
      <c r="AW446" s="22" t="s">
        <v>67</v>
      </c>
      <c r="AY446" s="22" t="s">
        <v>29096</v>
      </c>
      <c r="AZ446" s="22" t="s">
        <v>145</v>
      </c>
      <c r="BA446" s="22" t="s">
        <v>70</v>
      </c>
      <c r="BB446" s="22" t="s">
        <v>67</v>
      </c>
      <c r="BD446" s="22" t="s">
        <v>29097</v>
      </c>
      <c r="BE446" s="22" t="s">
        <v>145</v>
      </c>
      <c r="BF446" s="22" t="s">
        <v>70</v>
      </c>
      <c r="BG446" s="22" t="s">
        <v>67</v>
      </c>
      <c r="BI446" s="22" t="s">
        <v>29098</v>
      </c>
      <c r="BJ446" s="22" t="s">
        <v>145</v>
      </c>
      <c r="BK446" s="22" t="s">
        <v>70</v>
      </c>
      <c r="BL446" s="22" t="s">
        <v>67</v>
      </c>
      <c r="BN446" s="22" t="s">
        <v>29099</v>
      </c>
      <c r="BO446" s="22" t="s">
        <v>145</v>
      </c>
      <c r="BP446" s="22" t="s">
        <v>70</v>
      </c>
      <c r="BQ446" s="22" t="s">
        <v>67</v>
      </c>
      <c r="BS446" s="22" t="s">
        <v>29100</v>
      </c>
      <c r="BT446" s="22" t="s">
        <v>145</v>
      </c>
      <c r="BU446" s="22" t="s">
        <v>70</v>
      </c>
      <c r="BV446" s="214" t="s">
        <v>530</v>
      </c>
      <c r="BX446" s="22" t="s">
        <v>29101</v>
      </c>
      <c r="BY446" s="22" t="s">
        <v>145</v>
      </c>
      <c r="BZ446" s="22" t="s">
        <v>70</v>
      </c>
      <c r="CA446" s="214" t="s">
        <v>530</v>
      </c>
      <c r="CC446" s="214" t="s">
        <v>29102</v>
      </c>
      <c r="CD446" s="214" t="s">
        <v>490</v>
      </c>
      <c r="CE446" s="214" t="s">
        <v>70</v>
      </c>
      <c r="CF446" s="214" t="s">
        <v>530</v>
      </c>
      <c r="CH446" s="214" t="s">
        <v>29103</v>
      </c>
      <c r="CI446" s="214" t="s">
        <v>148</v>
      </c>
      <c r="CJ446" s="214" t="s">
        <v>70</v>
      </c>
      <c r="CK446" s="214" t="s">
        <v>530</v>
      </c>
      <c r="CM446" s="214" t="s">
        <v>29104</v>
      </c>
      <c r="CN446" s="214" t="s">
        <v>488</v>
      </c>
      <c r="CO446" s="214" t="s">
        <v>70</v>
      </c>
      <c r="CP446" s="214" t="s">
        <v>530</v>
      </c>
      <c r="CR446" s="214" t="s">
        <v>29105</v>
      </c>
      <c r="CS446" s="214" t="s">
        <v>52</v>
      </c>
      <c r="CT446" s="214" t="s">
        <v>70</v>
      </c>
      <c r="CU446" s="214" t="s">
        <v>530</v>
      </c>
      <c r="CW446" s="214" t="s">
        <v>29106</v>
      </c>
      <c r="CX446" s="214" t="s">
        <v>485</v>
      </c>
      <c r="CY446" s="214" t="s">
        <v>70</v>
      </c>
      <c r="CZ446" s="214" t="s">
        <v>530</v>
      </c>
      <c r="DB446" s="214" t="s">
        <v>29107</v>
      </c>
      <c r="DC446" s="214" t="s">
        <v>149</v>
      </c>
      <c r="DD446" s="214" t="s">
        <v>70</v>
      </c>
      <c r="DE446" s="214" t="s">
        <v>530</v>
      </c>
      <c r="DG446" s="214" t="s">
        <v>29108</v>
      </c>
      <c r="DH446" s="214" t="s">
        <v>145</v>
      </c>
      <c r="DI446" s="214" t="s">
        <v>70</v>
      </c>
      <c r="DJ446" s="214" t="s">
        <v>530</v>
      </c>
      <c r="DL446" s="214" t="s">
        <v>29109</v>
      </c>
      <c r="DM446" s="214" t="s">
        <v>34542</v>
      </c>
      <c r="DN446" s="214" t="s">
        <v>70</v>
      </c>
      <c r="DO446" s="214" t="s">
        <v>530</v>
      </c>
      <c r="DQ446" s="214" t="s">
        <v>29110</v>
      </c>
      <c r="DR446" s="214" t="s">
        <v>52</v>
      </c>
      <c r="DS446" s="214" t="s">
        <v>70</v>
      </c>
      <c r="DT446" s="214" t="s">
        <v>530</v>
      </c>
      <c r="DV446" s="214" t="s">
        <v>29111</v>
      </c>
      <c r="DW446" s="214" t="s">
        <v>86</v>
      </c>
      <c r="DX446" s="214" t="s">
        <v>70</v>
      </c>
      <c r="DY446" s="214" t="s">
        <v>530</v>
      </c>
      <c r="EA446" s="214" t="s">
        <v>29112</v>
      </c>
      <c r="EB446" s="214" t="s">
        <v>919</v>
      </c>
      <c r="EC446" s="214" t="s">
        <v>70</v>
      </c>
      <c r="ED446" s="214" t="s">
        <v>530</v>
      </c>
      <c r="EF446" s="214" t="s">
        <v>29113</v>
      </c>
      <c r="EG446" s="214" t="s">
        <v>34405</v>
      </c>
      <c r="EH446" s="214" t="s">
        <v>70</v>
      </c>
      <c r="EI446" s="214" t="s">
        <v>530</v>
      </c>
      <c r="EK446" s="214" t="s">
        <v>29114</v>
      </c>
      <c r="EL446" s="214" t="s">
        <v>34626</v>
      </c>
      <c r="EM446" s="214" t="s">
        <v>70</v>
      </c>
      <c r="EN446" s="214" t="s">
        <v>530</v>
      </c>
      <c r="EP446" s="214" t="s">
        <v>29115</v>
      </c>
      <c r="EQ446" s="214" t="s">
        <v>52</v>
      </c>
      <c r="ER446" s="214" t="s">
        <v>70</v>
      </c>
      <c r="ES446" s="214" t="s">
        <v>530</v>
      </c>
      <c r="EU446" s="214" t="s">
        <v>29116</v>
      </c>
      <c r="EV446" s="214" t="s">
        <v>34593</v>
      </c>
      <c r="EW446" s="214" t="s">
        <v>70</v>
      </c>
      <c r="EX446" s="214" t="s">
        <v>530</v>
      </c>
      <c r="EZ446" s="214" t="s">
        <v>29117</v>
      </c>
      <c r="FA446" s="214" t="s">
        <v>34593</v>
      </c>
      <c r="FB446" s="214" t="s">
        <v>70</v>
      </c>
      <c r="FC446" s="214" t="s">
        <v>530</v>
      </c>
      <c r="FE446" s="214" t="s">
        <v>29118</v>
      </c>
      <c r="FF446" s="214" t="s">
        <v>146</v>
      </c>
      <c r="FG446" s="214" t="s">
        <v>70</v>
      </c>
      <c r="FH446" s="214" t="s">
        <v>530</v>
      </c>
      <c r="FJ446" s="321" t="s">
        <v>29119</v>
      </c>
      <c r="FK446" s="214" t="s">
        <v>34547</v>
      </c>
      <c r="FL446" s="214" t="s">
        <v>70</v>
      </c>
      <c r="FM446" s="214" t="s">
        <v>530</v>
      </c>
      <c r="FO446" s="321" t="s">
        <v>29120</v>
      </c>
      <c r="FP446" s="214" t="s">
        <v>163</v>
      </c>
      <c r="FQ446" s="214" t="s">
        <v>70</v>
      </c>
      <c r="FR446" s="214" t="s">
        <v>530</v>
      </c>
      <c r="FT446" s="321" t="s">
        <v>29121</v>
      </c>
      <c r="FU446" s="214" t="s">
        <v>286</v>
      </c>
      <c r="FV446" s="214" t="s">
        <v>70</v>
      </c>
      <c r="FW446" s="214" t="s">
        <v>530</v>
      </c>
      <c r="FY446" s="321" t="s">
        <v>29122</v>
      </c>
      <c r="FZ446" s="214" t="s">
        <v>52</v>
      </c>
      <c r="GA446" s="214" t="s">
        <v>70</v>
      </c>
      <c r="GB446" s="214" t="s">
        <v>530</v>
      </c>
      <c r="GD446" s="321" t="s">
        <v>29123</v>
      </c>
      <c r="GE446" s="214" t="s">
        <v>87</v>
      </c>
      <c r="GF446" s="214" t="s">
        <v>70</v>
      </c>
      <c r="GG446" s="214" t="s">
        <v>530</v>
      </c>
      <c r="GI446" s="321" t="s">
        <v>29124</v>
      </c>
      <c r="GJ446" s="214" t="s">
        <v>34602</v>
      </c>
      <c r="GK446" s="214" t="s">
        <v>70</v>
      </c>
      <c r="GL446" s="214" t="s">
        <v>530</v>
      </c>
      <c r="GN446" s="321" t="s">
        <v>29125</v>
      </c>
      <c r="GO446" s="214" t="s">
        <v>103</v>
      </c>
      <c r="GP446" s="214" t="s">
        <v>70</v>
      </c>
      <c r="GQ446" s="214" t="s">
        <v>530</v>
      </c>
      <c r="GS446" s="321" t="s">
        <v>29126</v>
      </c>
      <c r="GT446" s="214" t="s">
        <v>485</v>
      </c>
      <c r="GU446" s="214" t="s">
        <v>70</v>
      </c>
      <c r="GV446" s="214" t="s">
        <v>530</v>
      </c>
      <c r="GX446" s="214" t="s">
        <v>29127</v>
      </c>
      <c r="GY446" s="214" t="s">
        <v>481</v>
      </c>
      <c r="GZ446" s="214" t="s">
        <v>70</v>
      </c>
      <c r="HA446" s="214" t="s">
        <v>530</v>
      </c>
      <c r="HC446" s="214" t="s">
        <v>29128</v>
      </c>
      <c r="HD446" s="214" t="s">
        <v>34545</v>
      </c>
      <c r="HE446" s="214" t="s">
        <v>70</v>
      </c>
      <c r="HF446" s="214" t="s">
        <v>530</v>
      </c>
      <c r="HH446" s="214" t="s">
        <v>29129</v>
      </c>
      <c r="HI446" s="214" t="s">
        <v>34583</v>
      </c>
      <c r="HJ446" s="214" t="s">
        <v>70</v>
      </c>
      <c r="HK446" s="214" t="s">
        <v>530</v>
      </c>
      <c r="HM446" s="214" t="s">
        <v>29130</v>
      </c>
      <c r="HN446" s="214" t="s">
        <v>145</v>
      </c>
      <c r="HO446" s="214" t="s">
        <v>70</v>
      </c>
      <c r="HP446" s="214" t="s">
        <v>530</v>
      </c>
      <c r="HR446" s="22" t="s">
        <v>29131</v>
      </c>
      <c r="HS446" s="22" t="s">
        <v>88</v>
      </c>
      <c r="HT446" s="22" t="s">
        <v>70</v>
      </c>
      <c r="HU446" s="214" t="s">
        <v>530</v>
      </c>
      <c r="HW446" s="22" t="s">
        <v>29132</v>
      </c>
      <c r="HX446" s="22" t="s">
        <v>90</v>
      </c>
      <c r="HY446" s="22" t="s">
        <v>70</v>
      </c>
      <c r="HZ446" s="214" t="s">
        <v>530</v>
      </c>
      <c r="IB446" s="22" t="s">
        <v>29133</v>
      </c>
      <c r="IC446" s="22" t="s">
        <v>34638</v>
      </c>
      <c r="ID446" s="22" t="s">
        <v>70</v>
      </c>
      <c r="IE446" s="214" t="s">
        <v>530</v>
      </c>
      <c r="IG446" s="22" t="s">
        <v>29134</v>
      </c>
      <c r="IH446" s="22" t="s">
        <v>52</v>
      </c>
      <c r="II446" s="22" t="s">
        <v>70</v>
      </c>
      <c r="IJ446" s="214" t="s">
        <v>530</v>
      </c>
      <c r="IL446" s="22" t="s">
        <v>29135</v>
      </c>
      <c r="IM446" s="22" t="s">
        <v>145</v>
      </c>
      <c r="IN446" s="22" t="s">
        <v>70</v>
      </c>
      <c r="IO446" s="214" t="s">
        <v>530</v>
      </c>
      <c r="IQ446" s="236" t="s">
        <v>29136</v>
      </c>
      <c r="IR446" s="236" t="s">
        <v>145</v>
      </c>
      <c r="IS446" s="236" t="s">
        <v>74</v>
      </c>
      <c r="IT446" s="236" t="s">
        <v>841</v>
      </c>
      <c r="IV446" s="236" t="s">
        <v>29137</v>
      </c>
      <c r="IW446" s="236" t="s">
        <v>145</v>
      </c>
      <c r="IX446" s="236" t="s">
        <v>74</v>
      </c>
      <c r="IY446" s="236" t="s">
        <v>841</v>
      </c>
      <c r="JA446" s="236" t="s">
        <v>29138</v>
      </c>
      <c r="JB446" s="236" t="s">
        <v>145</v>
      </c>
      <c r="JC446" s="236" t="s">
        <v>74</v>
      </c>
      <c r="JD446" s="236" t="s">
        <v>841</v>
      </c>
      <c r="JF446" s="236" t="s">
        <v>29139</v>
      </c>
      <c r="JG446" s="236" t="s">
        <v>145</v>
      </c>
      <c r="JH446" s="236" t="s">
        <v>74</v>
      </c>
      <c r="JI446" s="236" t="s">
        <v>841</v>
      </c>
      <c r="JK446" s="236" t="s">
        <v>29140</v>
      </c>
      <c r="JL446" s="236" t="s">
        <v>145</v>
      </c>
      <c r="JM446" s="236" t="s">
        <v>74</v>
      </c>
      <c r="JN446" s="236" t="s">
        <v>841</v>
      </c>
      <c r="JP446" s="236" t="s">
        <v>29141</v>
      </c>
      <c r="JQ446" s="236" t="s">
        <v>145</v>
      </c>
      <c r="JR446" s="236" t="s">
        <v>74</v>
      </c>
      <c r="JS446" s="236" t="s">
        <v>841</v>
      </c>
      <c r="JU446" s="294" t="s">
        <v>29142</v>
      </c>
      <c r="JV446" s="294" t="s">
        <v>52</v>
      </c>
      <c r="JW446" s="263" t="s">
        <v>70</v>
      </c>
      <c r="JX446" s="294" t="s">
        <v>1083</v>
      </c>
      <c r="JZ446" s="263" t="s">
        <v>29143</v>
      </c>
      <c r="KA446" s="263" t="s">
        <v>145</v>
      </c>
      <c r="KB446" s="263" t="s">
        <v>70</v>
      </c>
      <c r="KC446" s="263" t="s">
        <v>1083</v>
      </c>
      <c r="KE446" s="263" t="s">
        <v>29144</v>
      </c>
      <c r="KF446" s="263" t="s">
        <v>52</v>
      </c>
      <c r="KG446" s="263" t="s">
        <v>70</v>
      </c>
      <c r="KH446" s="263" t="s">
        <v>1083</v>
      </c>
      <c r="KJ446" s="263" t="s">
        <v>29145</v>
      </c>
      <c r="KK446" s="263" t="s">
        <v>52</v>
      </c>
      <c r="KL446" s="263" t="s">
        <v>74</v>
      </c>
      <c r="KM446" s="263" t="s">
        <v>34074</v>
      </c>
      <c r="KO446" s="214" t="s">
        <v>29146</v>
      </c>
      <c r="KP446" s="214" t="s">
        <v>145</v>
      </c>
      <c r="KQ446" s="214" t="s">
        <v>70</v>
      </c>
      <c r="KR446" s="214" t="s">
        <v>67</v>
      </c>
      <c r="KT446" s="22" t="s">
        <v>29147</v>
      </c>
      <c r="KU446" s="22" t="s">
        <v>145</v>
      </c>
      <c r="KV446" s="22" t="s">
        <v>70</v>
      </c>
      <c r="KW446" s="22" t="s">
        <v>67</v>
      </c>
      <c r="KY446" s="214" t="s">
        <v>29148</v>
      </c>
      <c r="KZ446" s="214" t="s">
        <v>52</v>
      </c>
      <c r="LA446" s="214" t="s">
        <v>74</v>
      </c>
      <c r="LB446" s="214" t="s">
        <v>67</v>
      </c>
      <c r="LD446" s="22" t="s">
        <v>29149</v>
      </c>
      <c r="LE446" s="22" t="s">
        <v>145</v>
      </c>
      <c r="LF446" s="22" t="s">
        <v>70</v>
      </c>
      <c r="LG446" s="22" t="s">
        <v>67</v>
      </c>
    </row>
    <row r="447" spans="1:319">
      <c r="A447" s="22" t="s">
        <v>29150</v>
      </c>
      <c r="B447" s="22" t="s">
        <v>145</v>
      </c>
      <c r="C447" s="22" t="s">
        <v>70</v>
      </c>
      <c r="D447" s="22" t="s">
        <v>67</v>
      </c>
      <c r="F447" s="97" t="s">
        <v>29151</v>
      </c>
      <c r="G447" s="22" t="s">
        <v>145</v>
      </c>
      <c r="H447" s="22" t="s">
        <v>70</v>
      </c>
      <c r="I447" s="22" t="s">
        <v>67</v>
      </c>
      <c r="K447" s="99" t="s">
        <v>29152</v>
      </c>
      <c r="L447" s="22" t="s">
        <v>145</v>
      </c>
      <c r="M447" s="22" t="s">
        <v>70</v>
      </c>
      <c r="N447" s="22" t="s">
        <v>67</v>
      </c>
      <c r="P447" s="230" t="s">
        <v>29153</v>
      </c>
      <c r="Q447" s="218" t="s">
        <v>145</v>
      </c>
      <c r="R447" s="218" t="s">
        <v>72</v>
      </c>
      <c r="S447" s="218" t="s">
        <v>34048</v>
      </c>
      <c r="U447" s="293" t="s">
        <v>29154</v>
      </c>
      <c r="V447" s="293" t="s">
        <v>145</v>
      </c>
      <c r="W447" s="293" t="s">
        <v>74</v>
      </c>
      <c r="X447" s="293" t="s">
        <v>656</v>
      </c>
      <c r="Z447" s="293" t="s">
        <v>29155</v>
      </c>
      <c r="AA447" s="293" t="s">
        <v>145</v>
      </c>
      <c r="AB447" s="293" t="s">
        <v>74</v>
      </c>
      <c r="AC447" s="293" t="s">
        <v>656</v>
      </c>
      <c r="AE447" s="293" t="s">
        <v>29156</v>
      </c>
      <c r="AF447" s="293" t="s">
        <v>145</v>
      </c>
      <c r="AG447" s="293" t="s">
        <v>74</v>
      </c>
      <c r="AH447" s="293" t="s">
        <v>656</v>
      </c>
      <c r="AJ447" s="293" t="s">
        <v>29157</v>
      </c>
      <c r="AK447" s="293" t="s">
        <v>145</v>
      </c>
      <c r="AL447" s="293" t="s">
        <v>74</v>
      </c>
      <c r="AM447" s="293" t="s">
        <v>656</v>
      </c>
      <c r="AO447" s="22" t="s">
        <v>29158</v>
      </c>
      <c r="AP447" s="22" t="s">
        <v>145</v>
      </c>
      <c r="AQ447" s="22" t="s">
        <v>70</v>
      </c>
      <c r="AR447" s="22" t="s">
        <v>67</v>
      </c>
      <c r="AT447" s="22" t="s">
        <v>29159</v>
      </c>
      <c r="AU447" s="22" t="s">
        <v>145</v>
      </c>
      <c r="AV447" s="22" t="s">
        <v>70</v>
      </c>
      <c r="AW447" s="22" t="s">
        <v>67</v>
      </c>
      <c r="AY447" s="22" t="s">
        <v>29160</v>
      </c>
      <c r="AZ447" s="22" t="s">
        <v>145</v>
      </c>
      <c r="BA447" s="22" t="s">
        <v>70</v>
      </c>
      <c r="BB447" s="22" t="s">
        <v>67</v>
      </c>
      <c r="BD447" s="22" t="s">
        <v>29161</v>
      </c>
      <c r="BE447" s="22" t="s">
        <v>145</v>
      </c>
      <c r="BF447" s="22" t="s">
        <v>70</v>
      </c>
      <c r="BG447" s="22" t="s">
        <v>67</v>
      </c>
      <c r="BI447" s="22" t="s">
        <v>29162</v>
      </c>
      <c r="BJ447" s="22" t="s">
        <v>145</v>
      </c>
      <c r="BK447" s="22" t="s">
        <v>70</v>
      </c>
      <c r="BL447" s="22" t="s">
        <v>67</v>
      </c>
      <c r="BN447" s="22" t="s">
        <v>29163</v>
      </c>
      <c r="BO447" s="22" t="s">
        <v>145</v>
      </c>
      <c r="BP447" s="22" t="s">
        <v>70</v>
      </c>
      <c r="BQ447" s="22" t="s">
        <v>67</v>
      </c>
      <c r="BS447" s="22" t="s">
        <v>29164</v>
      </c>
      <c r="BT447" s="22" t="s">
        <v>145</v>
      </c>
      <c r="BU447" s="22" t="s">
        <v>70</v>
      </c>
      <c r="BV447" s="214" t="s">
        <v>530</v>
      </c>
      <c r="BX447" s="22" t="s">
        <v>29165</v>
      </c>
      <c r="BY447" s="22" t="s">
        <v>145</v>
      </c>
      <c r="BZ447" s="22" t="s">
        <v>70</v>
      </c>
      <c r="CA447" s="214" t="s">
        <v>530</v>
      </c>
      <c r="CC447" s="214" t="s">
        <v>29166</v>
      </c>
      <c r="CD447" s="214" t="s">
        <v>488</v>
      </c>
      <c r="CE447" s="214" t="s">
        <v>70</v>
      </c>
      <c r="CF447" s="214" t="s">
        <v>530</v>
      </c>
      <c r="CH447" s="214" t="s">
        <v>29167</v>
      </c>
      <c r="CI447" s="214" t="s">
        <v>491</v>
      </c>
      <c r="CJ447" s="214" t="s">
        <v>70</v>
      </c>
      <c r="CK447" s="214" t="s">
        <v>530</v>
      </c>
      <c r="CM447" s="214" t="s">
        <v>29168</v>
      </c>
      <c r="CN447" s="214" t="s">
        <v>488</v>
      </c>
      <c r="CO447" s="214" t="s">
        <v>70</v>
      </c>
      <c r="CP447" s="214" t="s">
        <v>530</v>
      </c>
      <c r="CR447" s="214" t="s">
        <v>29169</v>
      </c>
      <c r="CS447" s="214" t="s">
        <v>34646</v>
      </c>
      <c r="CT447" s="214" t="s">
        <v>70</v>
      </c>
      <c r="CU447" s="214" t="s">
        <v>530</v>
      </c>
      <c r="CW447" s="214" t="s">
        <v>29170</v>
      </c>
      <c r="CX447" s="214" t="s">
        <v>146</v>
      </c>
      <c r="CY447" s="214" t="s">
        <v>70</v>
      </c>
      <c r="CZ447" s="214" t="s">
        <v>530</v>
      </c>
      <c r="DB447" s="214" t="s">
        <v>29171</v>
      </c>
      <c r="DC447" s="214" t="s">
        <v>502</v>
      </c>
      <c r="DD447" s="214" t="s">
        <v>70</v>
      </c>
      <c r="DE447" s="214" t="s">
        <v>530</v>
      </c>
      <c r="DG447" s="214" t="s">
        <v>29172</v>
      </c>
      <c r="DH447" s="214" t="s">
        <v>34541</v>
      </c>
      <c r="DI447" s="214" t="s">
        <v>70</v>
      </c>
      <c r="DJ447" s="214" t="s">
        <v>530</v>
      </c>
      <c r="DL447" s="214" t="s">
        <v>29173</v>
      </c>
      <c r="DM447" s="214" t="s">
        <v>491</v>
      </c>
      <c r="DN447" s="214" t="s">
        <v>70</v>
      </c>
      <c r="DO447" s="214" t="s">
        <v>530</v>
      </c>
      <c r="DQ447" s="214" t="s">
        <v>29174</v>
      </c>
      <c r="DR447" s="214" t="s">
        <v>914</v>
      </c>
      <c r="DS447" s="214" t="s">
        <v>70</v>
      </c>
      <c r="DT447" s="214" t="s">
        <v>530</v>
      </c>
      <c r="DV447" s="214" t="s">
        <v>29175</v>
      </c>
      <c r="DW447" s="214" t="s">
        <v>146</v>
      </c>
      <c r="DX447" s="214" t="s">
        <v>70</v>
      </c>
      <c r="DY447" s="214" t="s">
        <v>530</v>
      </c>
      <c r="EA447" s="214" t="s">
        <v>29176</v>
      </c>
      <c r="EB447" s="214" t="s">
        <v>286</v>
      </c>
      <c r="EC447" s="214" t="s">
        <v>70</v>
      </c>
      <c r="ED447" s="214" t="s">
        <v>530</v>
      </c>
      <c r="EF447" s="214" t="s">
        <v>29177</v>
      </c>
      <c r="EG447" s="214" t="s">
        <v>34543</v>
      </c>
      <c r="EH447" s="214" t="s">
        <v>70</v>
      </c>
      <c r="EI447" s="214" t="s">
        <v>530</v>
      </c>
      <c r="EK447" s="214" t="s">
        <v>29178</v>
      </c>
      <c r="EL447" s="214" t="s">
        <v>305</v>
      </c>
      <c r="EM447" s="214" t="s">
        <v>70</v>
      </c>
      <c r="EN447" s="214" t="s">
        <v>530</v>
      </c>
      <c r="EP447" s="214" t="s">
        <v>29179</v>
      </c>
      <c r="EQ447" s="214" t="s">
        <v>52</v>
      </c>
      <c r="ER447" s="214" t="s">
        <v>70</v>
      </c>
      <c r="ES447" s="214" t="s">
        <v>530</v>
      </c>
      <c r="EU447" s="214" t="s">
        <v>29180</v>
      </c>
      <c r="EV447" s="214" t="s">
        <v>488</v>
      </c>
      <c r="EW447" s="214" t="s">
        <v>70</v>
      </c>
      <c r="EX447" s="214" t="s">
        <v>530</v>
      </c>
      <c r="EZ447" s="214" t="s">
        <v>29181</v>
      </c>
      <c r="FA447" s="214" t="s">
        <v>146</v>
      </c>
      <c r="FB447" s="214" t="s">
        <v>70</v>
      </c>
      <c r="FC447" s="214" t="s">
        <v>530</v>
      </c>
      <c r="FE447" s="214" t="s">
        <v>29182</v>
      </c>
      <c r="FF447" s="214" t="s">
        <v>34539</v>
      </c>
      <c r="FG447" s="214" t="s">
        <v>70</v>
      </c>
      <c r="FH447" s="214" t="s">
        <v>530</v>
      </c>
      <c r="FJ447" s="321" t="s">
        <v>29183</v>
      </c>
      <c r="FK447" s="214" t="s">
        <v>52</v>
      </c>
      <c r="FL447" s="214" t="s">
        <v>70</v>
      </c>
      <c r="FM447" s="214" t="s">
        <v>530</v>
      </c>
      <c r="FO447" s="321" t="s">
        <v>29184</v>
      </c>
      <c r="FP447" s="214" t="s">
        <v>952</v>
      </c>
      <c r="FQ447" s="214" t="s">
        <v>70</v>
      </c>
      <c r="FR447" s="214" t="s">
        <v>530</v>
      </c>
      <c r="FT447" s="321" t="s">
        <v>29185</v>
      </c>
      <c r="FU447" s="214" t="s">
        <v>953</v>
      </c>
      <c r="FV447" s="214" t="s">
        <v>70</v>
      </c>
      <c r="FW447" s="214" t="s">
        <v>530</v>
      </c>
      <c r="FY447" s="321" t="s">
        <v>29186</v>
      </c>
      <c r="FZ447" s="214" t="s">
        <v>955</v>
      </c>
      <c r="GA447" s="214" t="s">
        <v>70</v>
      </c>
      <c r="GB447" s="214" t="s">
        <v>530</v>
      </c>
      <c r="GD447" s="321" t="s">
        <v>29187</v>
      </c>
      <c r="GE447" s="214" t="s">
        <v>955</v>
      </c>
      <c r="GF447" s="214" t="s">
        <v>70</v>
      </c>
      <c r="GG447" s="214" t="s">
        <v>530</v>
      </c>
      <c r="GI447" s="321" t="s">
        <v>29188</v>
      </c>
      <c r="GJ447" s="214" t="s">
        <v>491</v>
      </c>
      <c r="GK447" s="214" t="s">
        <v>70</v>
      </c>
      <c r="GL447" s="214" t="s">
        <v>530</v>
      </c>
      <c r="GN447" s="321" t="s">
        <v>29189</v>
      </c>
      <c r="GO447" s="214" t="s">
        <v>34544</v>
      </c>
      <c r="GP447" s="214" t="s">
        <v>70</v>
      </c>
      <c r="GQ447" s="214" t="s">
        <v>530</v>
      </c>
      <c r="GS447" s="321" t="s">
        <v>29190</v>
      </c>
      <c r="GT447" s="214" t="s">
        <v>52</v>
      </c>
      <c r="GU447" s="214" t="s">
        <v>70</v>
      </c>
      <c r="GV447" s="214" t="s">
        <v>530</v>
      </c>
      <c r="GX447" s="214" t="s">
        <v>29191</v>
      </c>
      <c r="GY447" s="214" t="s">
        <v>487</v>
      </c>
      <c r="GZ447" s="214" t="s">
        <v>70</v>
      </c>
      <c r="HA447" s="214" t="s">
        <v>530</v>
      </c>
      <c r="HC447" s="214" t="s">
        <v>29192</v>
      </c>
      <c r="HD447" s="214" t="s">
        <v>34551</v>
      </c>
      <c r="HE447" s="214" t="s">
        <v>70</v>
      </c>
      <c r="HF447" s="214" t="s">
        <v>530</v>
      </c>
      <c r="HH447" s="214" t="s">
        <v>29193</v>
      </c>
      <c r="HI447" s="214" t="s">
        <v>146</v>
      </c>
      <c r="HJ447" s="214" t="s">
        <v>70</v>
      </c>
      <c r="HK447" s="214" t="s">
        <v>530</v>
      </c>
      <c r="HM447" s="214" t="s">
        <v>29194</v>
      </c>
      <c r="HN447" s="214" t="s">
        <v>34541</v>
      </c>
      <c r="HO447" s="214" t="s">
        <v>70</v>
      </c>
      <c r="HP447" s="214" t="s">
        <v>530</v>
      </c>
      <c r="HR447" s="22" t="s">
        <v>29195</v>
      </c>
      <c r="HS447" s="22" t="s">
        <v>52</v>
      </c>
      <c r="HT447" s="22" t="s">
        <v>70</v>
      </c>
      <c r="HU447" s="214" t="s">
        <v>530</v>
      </c>
      <c r="HW447" s="22" t="s">
        <v>29196</v>
      </c>
      <c r="HX447" s="22" t="s">
        <v>85</v>
      </c>
      <c r="HY447" s="22" t="s">
        <v>70</v>
      </c>
      <c r="HZ447" s="214" t="s">
        <v>530</v>
      </c>
      <c r="IB447" s="22" t="s">
        <v>29197</v>
      </c>
      <c r="IC447" s="22" t="s">
        <v>34545</v>
      </c>
      <c r="ID447" s="22" t="s">
        <v>70</v>
      </c>
      <c r="IE447" s="214" t="s">
        <v>530</v>
      </c>
      <c r="IG447" s="22" t="s">
        <v>29198</v>
      </c>
      <c r="IH447" s="22" t="s">
        <v>52</v>
      </c>
      <c r="II447" s="22" t="s">
        <v>70</v>
      </c>
      <c r="IJ447" s="214" t="s">
        <v>530</v>
      </c>
      <c r="IL447" s="22" t="s">
        <v>29199</v>
      </c>
      <c r="IM447" s="22" t="s">
        <v>145</v>
      </c>
      <c r="IN447" s="22" t="s">
        <v>70</v>
      </c>
      <c r="IO447" s="214" t="s">
        <v>530</v>
      </c>
      <c r="IQ447" s="236" t="s">
        <v>29200</v>
      </c>
      <c r="IR447" s="236" t="s">
        <v>145</v>
      </c>
      <c r="IS447" s="236" t="s">
        <v>74</v>
      </c>
      <c r="IT447" s="236" t="s">
        <v>841</v>
      </c>
      <c r="IV447" s="236" t="s">
        <v>29201</v>
      </c>
      <c r="IW447" s="236" t="s">
        <v>145</v>
      </c>
      <c r="IX447" s="236" t="s">
        <v>74</v>
      </c>
      <c r="IY447" s="236" t="s">
        <v>841</v>
      </c>
      <c r="JA447" s="236" t="s">
        <v>29202</v>
      </c>
      <c r="JB447" s="236" t="s">
        <v>145</v>
      </c>
      <c r="JC447" s="236" t="s">
        <v>74</v>
      </c>
      <c r="JD447" s="236" t="s">
        <v>841</v>
      </c>
      <c r="JF447" s="236" t="s">
        <v>29203</v>
      </c>
      <c r="JG447" s="236" t="s">
        <v>145</v>
      </c>
      <c r="JH447" s="236" t="s">
        <v>74</v>
      </c>
      <c r="JI447" s="236" t="s">
        <v>841</v>
      </c>
      <c r="JK447" s="236" t="s">
        <v>29204</v>
      </c>
      <c r="JL447" s="236" t="s">
        <v>145</v>
      </c>
      <c r="JM447" s="236" t="s">
        <v>74</v>
      </c>
      <c r="JN447" s="236" t="s">
        <v>841</v>
      </c>
      <c r="JP447" s="236" t="s">
        <v>29205</v>
      </c>
      <c r="JQ447" s="236" t="s">
        <v>145</v>
      </c>
      <c r="JR447" s="236" t="s">
        <v>74</v>
      </c>
      <c r="JS447" s="236" t="s">
        <v>841</v>
      </c>
      <c r="JU447" s="294" t="s">
        <v>29206</v>
      </c>
      <c r="JV447" s="294" t="s">
        <v>52</v>
      </c>
      <c r="JW447" s="263" t="s">
        <v>70</v>
      </c>
      <c r="JX447" s="294" t="s">
        <v>1083</v>
      </c>
      <c r="JZ447" s="263" t="s">
        <v>29207</v>
      </c>
      <c r="KA447" s="263" t="s">
        <v>145</v>
      </c>
      <c r="KB447" s="263" t="s">
        <v>70</v>
      </c>
      <c r="KC447" s="263" t="s">
        <v>1083</v>
      </c>
      <c r="KE447" s="263" t="s">
        <v>29208</v>
      </c>
      <c r="KF447" s="263" t="s">
        <v>52</v>
      </c>
      <c r="KG447" s="263" t="s">
        <v>70</v>
      </c>
      <c r="KH447" s="263" t="s">
        <v>1083</v>
      </c>
      <c r="KJ447" s="263" t="s">
        <v>29209</v>
      </c>
      <c r="KK447" s="263" t="s">
        <v>52</v>
      </c>
      <c r="KL447" s="263" t="s">
        <v>74</v>
      </c>
      <c r="KM447" s="263" t="s">
        <v>34074</v>
      </c>
      <c r="KO447" s="214" t="s">
        <v>29210</v>
      </c>
      <c r="KP447" s="214" t="s">
        <v>145</v>
      </c>
      <c r="KQ447" s="214" t="s">
        <v>70</v>
      </c>
      <c r="KR447" s="214" t="s">
        <v>67</v>
      </c>
      <c r="KT447" s="22" t="s">
        <v>29211</v>
      </c>
      <c r="KU447" s="22" t="s">
        <v>145</v>
      </c>
      <c r="KV447" s="22" t="s">
        <v>70</v>
      </c>
      <c r="KW447" s="22" t="s">
        <v>67</v>
      </c>
      <c r="KY447" s="214" t="s">
        <v>29212</v>
      </c>
      <c r="KZ447" s="214" t="s">
        <v>52</v>
      </c>
      <c r="LA447" s="214" t="s">
        <v>74</v>
      </c>
      <c r="LB447" s="214" t="s">
        <v>67</v>
      </c>
      <c r="LD447" s="22" t="s">
        <v>29213</v>
      </c>
      <c r="LE447" s="22" t="s">
        <v>145</v>
      </c>
      <c r="LF447" s="22" t="s">
        <v>70</v>
      </c>
      <c r="LG447" s="22" t="s">
        <v>67</v>
      </c>
    </row>
    <row r="448" spans="1:319">
      <c r="A448" s="22" t="s">
        <v>29214</v>
      </c>
      <c r="B448" s="22" t="s">
        <v>145</v>
      </c>
      <c r="C448" s="22" t="s">
        <v>70</v>
      </c>
      <c r="D448" s="22" t="s">
        <v>67</v>
      </c>
      <c r="F448" s="97" t="s">
        <v>29215</v>
      </c>
      <c r="G448" s="22" t="s">
        <v>145</v>
      </c>
      <c r="H448" s="22" t="s">
        <v>70</v>
      </c>
      <c r="I448" s="22" t="s">
        <v>67</v>
      </c>
      <c r="K448" s="99" t="s">
        <v>29216</v>
      </c>
      <c r="L448" s="22" t="s">
        <v>145</v>
      </c>
      <c r="M448" s="22" t="s">
        <v>70</v>
      </c>
      <c r="N448" s="22" t="s">
        <v>67</v>
      </c>
      <c r="P448" s="230" t="s">
        <v>29217</v>
      </c>
      <c r="Q448" s="218" t="s">
        <v>145</v>
      </c>
      <c r="R448" s="218" t="s">
        <v>72</v>
      </c>
      <c r="S448" s="218" t="s">
        <v>34049</v>
      </c>
      <c r="U448" s="293" t="s">
        <v>29218</v>
      </c>
      <c r="V448" s="293" t="s">
        <v>145</v>
      </c>
      <c r="W448" s="293" t="s">
        <v>74</v>
      </c>
      <c r="X448" s="293" t="s">
        <v>656</v>
      </c>
      <c r="Z448" s="293" t="s">
        <v>29219</v>
      </c>
      <c r="AA448" s="293" t="s">
        <v>145</v>
      </c>
      <c r="AB448" s="293" t="s">
        <v>74</v>
      </c>
      <c r="AC448" s="293" t="s">
        <v>656</v>
      </c>
      <c r="AE448" s="293" t="s">
        <v>29220</v>
      </c>
      <c r="AF448" s="293" t="s">
        <v>145</v>
      </c>
      <c r="AG448" s="293" t="s">
        <v>74</v>
      </c>
      <c r="AH448" s="293" t="s">
        <v>656</v>
      </c>
      <c r="AJ448" s="293" t="s">
        <v>29221</v>
      </c>
      <c r="AK448" s="293" t="s">
        <v>145</v>
      </c>
      <c r="AL448" s="293" t="s">
        <v>74</v>
      </c>
      <c r="AM448" s="293" t="s">
        <v>656</v>
      </c>
      <c r="AO448" s="22" t="s">
        <v>29222</v>
      </c>
      <c r="AP448" s="22" t="s">
        <v>145</v>
      </c>
      <c r="AQ448" s="22" t="s">
        <v>70</v>
      </c>
      <c r="AR448" s="22" t="s">
        <v>67</v>
      </c>
      <c r="AT448" s="22" t="s">
        <v>29223</v>
      </c>
      <c r="AU448" s="22" t="s">
        <v>145</v>
      </c>
      <c r="AV448" s="22" t="s">
        <v>70</v>
      </c>
      <c r="AW448" s="22" t="s">
        <v>67</v>
      </c>
      <c r="AY448" s="22" t="s">
        <v>29224</v>
      </c>
      <c r="AZ448" s="22" t="s">
        <v>145</v>
      </c>
      <c r="BA448" s="22" t="s">
        <v>70</v>
      </c>
      <c r="BB448" s="22" t="s">
        <v>67</v>
      </c>
      <c r="BD448" s="22" t="s">
        <v>29225</v>
      </c>
      <c r="BE448" s="22" t="s">
        <v>145</v>
      </c>
      <c r="BF448" s="22" t="s">
        <v>70</v>
      </c>
      <c r="BG448" s="22" t="s">
        <v>67</v>
      </c>
      <c r="BI448" s="22" t="s">
        <v>29226</v>
      </c>
      <c r="BJ448" s="22" t="s">
        <v>145</v>
      </c>
      <c r="BK448" s="22" t="s">
        <v>70</v>
      </c>
      <c r="BL448" s="22" t="s">
        <v>67</v>
      </c>
      <c r="BN448" s="22" t="s">
        <v>29227</v>
      </c>
      <c r="BO448" s="22" t="s">
        <v>145</v>
      </c>
      <c r="BP448" s="22" t="s">
        <v>70</v>
      </c>
      <c r="BQ448" s="22" t="s">
        <v>67</v>
      </c>
      <c r="BS448" s="22" t="s">
        <v>29228</v>
      </c>
      <c r="BT448" s="22" t="s">
        <v>145</v>
      </c>
      <c r="BU448" s="22" t="s">
        <v>70</v>
      </c>
      <c r="BV448" s="214" t="s">
        <v>530</v>
      </c>
      <c r="BX448" s="22" t="s">
        <v>29229</v>
      </c>
      <c r="BY448" s="22" t="s">
        <v>145</v>
      </c>
      <c r="BZ448" s="22" t="s">
        <v>70</v>
      </c>
      <c r="CA448" s="214" t="s">
        <v>530</v>
      </c>
      <c r="CC448" s="214" t="s">
        <v>29230</v>
      </c>
      <c r="CD448" s="214" t="s">
        <v>34516</v>
      </c>
      <c r="CE448" s="214" t="s">
        <v>70</v>
      </c>
      <c r="CF448" s="214" t="s">
        <v>530</v>
      </c>
      <c r="CH448" s="214" t="s">
        <v>29231</v>
      </c>
      <c r="CI448" s="214" t="s">
        <v>148</v>
      </c>
      <c r="CJ448" s="214" t="s">
        <v>70</v>
      </c>
      <c r="CK448" s="214" t="s">
        <v>530</v>
      </c>
      <c r="CM448" s="214" t="s">
        <v>29232</v>
      </c>
      <c r="CN448" s="214" t="s">
        <v>89</v>
      </c>
      <c r="CO448" s="214" t="s">
        <v>70</v>
      </c>
      <c r="CP448" s="214" t="s">
        <v>530</v>
      </c>
      <c r="CR448" s="214" t="s">
        <v>29233</v>
      </c>
      <c r="CS448" s="214" t="s">
        <v>34617</v>
      </c>
      <c r="CT448" s="214" t="s">
        <v>70</v>
      </c>
      <c r="CU448" s="214" t="s">
        <v>530</v>
      </c>
      <c r="CW448" s="214" t="s">
        <v>29234</v>
      </c>
      <c r="CX448" s="214" t="s">
        <v>85</v>
      </c>
      <c r="CY448" s="214" t="s">
        <v>70</v>
      </c>
      <c r="CZ448" s="214" t="s">
        <v>530</v>
      </c>
      <c r="DB448" s="214" t="s">
        <v>29235</v>
      </c>
      <c r="DC448" s="214" t="s">
        <v>86</v>
      </c>
      <c r="DD448" s="214" t="s">
        <v>70</v>
      </c>
      <c r="DE448" s="214" t="s">
        <v>530</v>
      </c>
      <c r="DG448" s="214" t="s">
        <v>29236</v>
      </c>
      <c r="DH448" s="214" t="s">
        <v>34560</v>
      </c>
      <c r="DI448" s="214" t="s">
        <v>70</v>
      </c>
      <c r="DJ448" s="214" t="s">
        <v>530</v>
      </c>
      <c r="DL448" s="214" t="s">
        <v>29237</v>
      </c>
      <c r="DM448" s="214" t="s">
        <v>52</v>
      </c>
      <c r="DN448" s="214" t="s">
        <v>70</v>
      </c>
      <c r="DO448" s="214" t="s">
        <v>530</v>
      </c>
      <c r="DQ448" s="214" t="s">
        <v>29238</v>
      </c>
      <c r="DR448" s="214" t="s">
        <v>34590</v>
      </c>
      <c r="DS448" s="214" t="s">
        <v>70</v>
      </c>
      <c r="DT448" s="214" t="s">
        <v>530</v>
      </c>
      <c r="DV448" s="214" t="s">
        <v>29239</v>
      </c>
      <c r="DW448" s="214" t="s">
        <v>148</v>
      </c>
      <c r="DX448" s="214" t="s">
        <v>70</v>
      </c>
      <c r="DY448" s="214" t="s">
        <v>530</v>
      </c>
      <c r="EA448" s="214" t="s">
        <v>29240</v>
      </c>
      <c r="EB448" s="214" t="s">
        <v>641</v>
      </c>
      <c r="EC448" s="214" t="s">
        <v>70</v>
      </c>
      <c r="ED448" s="214" t="s">
        <v>530</v>
      </c>
      <c r="EF448" s="214" t="s">
        <v>29241</v>
      </c>
      <c r="EG448" s="214" t="s">
        <v>34556</v>
      </c>
      <c r="EH448" s="214" t="s">
        <v>70</v>
      </c>
      <c r="EI448" s="214" t="s">
        <v>530</v>
      </c>
      <c r="EK448" s="214" t="s">
        <v>29242</v>
      </c>
      <c r="EL448" s="214" t="s">
        <v>34613</v>
      </c>
      <c r="EM448" s="214" t="s">
        <v>70</v>
      </c>
      <c r="EN448" s="214" t="s">
        <v>530</v>
      </c>
      <c r="EP448" s="214" t="s">
        <v>29243</v>
      </c>
      <c r="EQ448" s="214" t="s">
        <v>468</v>
      </c>
      <c r="ER448" s="214" t="s">
        <v>70</v>
      </c>
      <c r="ES448" s="214" t="s">
        <v>530</v>
      </c>
      <c r="EU448" s="214" t="s">
        <v>29244</v>
      </c>
      <c r="EV448" s="214" t="s">
        <v>34611</v>
      </c>
      <c r="EW448" s="214" t="s">
        <v>70</v>
      </c>
      <c r="EX448" s="214" t="s">
        <v>530</v>
      </c>
      <c r="EZ448" s="214" t="s">
        <v>29245</v>
      </c>
      <c r="FA448" s="214" t="s">
        <v>92</v>
      </c>
      <c r="FB448" s="214" t="s">
        <v>70</v>
      </c>
      <c r="FC448" s="214" t="s">
        <v>530</v>
      </c>
      <c r="FE448" s="214" t="s">
        <v>29246</v>
      </c>
      <c r="FF448" s="214" t="s">
        <v>90</v>
      </c>
      <c r="FG448" s="214" t="s">
        <v>70</v>
      </c>
      <c r="FH448" s="214" t="s">
        <v>530</v>
      </c>
      <c r="FJ448" s="321" t="s">
        <v>29247</v>
      </c>
      <c r="FK448" s="214" t="s">
        <v>145</v>
      </c>
      <c r="FL448" s="214" t="s">
        <v>70</v>
      </c>
      <c r="FM448" s="214" t="s">
        <v>530</v>
      </c>
      <c r="FO448" s="321" t="s">
        <v>29248</v>
      </c>
      <c r="FP448" s="214" t="s">
        <v>484</v>
      </c>
      <c r="FQ448" s="214" t="s">
        <v>70</v>
      </c>
      <c r="FR448" s="214" t="s">
        <v>530</v>
      </c>
      <c r="FT448" s="321" t="s">
        <v>29249</v>
      </c>
      <c r="FU448" s="214" t="s">
        <v>103</v>
      </c>
      <c r="FV448" s="214" t="s">
        <v>70</v>
      </c>
      <c r="FW448" s="214" t="s">
        <v>530</v>
      </c>
      <c r="FY448" s="321" t="s">
        <v>29250</v>
      </c>
      <c r="FZ448" s="214" t="s">
        <v>145</v>
      </c>
      <c r="GA448" s="214" t="s">
        <v>70</v>
      </c>
      <c r="GB448" s="214" t="s">
        <v>530</v>
      </c>
      <c r="GD448" s="321" t="s">
        <v>29251</v>
      </c>
      <c r="GE448" s="214" t="s">
        <v>145</v>
      </c>
      <c r="GF448" s="214" t="s">
        <v>70</v>
      </c>
      <c r="GG448" s="214" t="s">
        <v>530</v>
      </c>
      <c r="GI448" s="321" t="s">
        <v>29252</v>
      </c>
      <c r="GJ448" s="214" t="s">
        <v>163</v>
      </c>
      <c r="GK448" s="214" t="s">
        <v>70</v>
      </c>
      <c r="GL448" s="214" t="s">
        <v>530</v>
      </c>
      <c r="GN448" s="321" t="s">
        <v>29253</v>
      </c>
      <c r="GO448" s="214" t="s">
        <v>164</v>
      </c>
      <c r="GP448" s="214" t="s">
        <v>70</v>
      </c>
      <c r="GQ448" s="214" t="s">
        <v>530</v>
      </c>
      <c r="GS448" s="321" t="s">
        <v>29254</v>
      </c>
      <c r="GT448" s="214" t="s">
        <v>52</v>
      </c>
      <c r="GU448" s="214" t="s">
        <v>70</v>
      </c>
      <c r="GV448" s="214" t="s">
        <v>530</v>
      </c>
      <c r="GX448" s="214" t="s">
        <v>29255</v>
      </c>
      <c r="GY448" s="214" t="s">
        <v>92</v>
      </c>
      <c r="GZ448" s="214" t="s">
        <v>70</v>
      </c>
      <c r="HA448" s="214" t="s">
        <v>530</v>
      </c>
      <c r="HC448" s="214" t="s">
        <v>29256</v>
      </c>
      <c r="HD448" s="214" t="s">
        <v>952</v>
      </c>
      <c r="HE448" s="214" t="s">
        <v>70</v>
      </c>
      <c r="HF448" s="214" t="s">
        <v>530</v>
      </c>
      <c r="HH448" s="214" t="s">
        <v>29257</v>
      </c>
      <c r="HI448" s="214" t="s">
        <v>599</v>
      </c>
      <c r="HJ448" s="214" t="s">
        <v>70</v>
      </c>
      <c r="HK448" s="214" t="s">
        <v>530</v>
      </c>
      <c r="HM448" s="214" t="s">
        <v>29258</v>
      </c>
      <c r="HN448" s="214" t="s">
        <v>937</v>
      </c>
      <c r="HO448" s="214" t="s">
        <v>70</v>
      </c>
      <c r="HP448" s="214" t="s">
        <v>530</v>
      </c>
      <c r="HR448" s="22" t="s">
        <v>29259</v>
      </c>
      <c r="HS448" s="22" t="s">
        <v>10541</v>
      </c>
      <c r="HT448" s="22" t="s">
        <v>70</v>
      </c>
      <c r="HU448" s="214" t="s">
        <v>530</v>
      </c>
      <c r="HW448" s="22" t="s">
        <v>29260</v>
      </c>
      <c r="HX448" s="22" t="s">
        <v>90</v>
      </c>
      <c r="HY448" s="22" t="s">
        <v>70</v>
      </c>
      <c r="HZ448" s="214" t="s">
        <v>530</v>
      </c>
      <c r="IB448" s="22" t="s">
        <v>29261</v>
      </c>
      <c r="IC448" s="22" t="s">
        <v>600</v>
      </c>
      <c r="ID448" s="22" t="s">
        <v>70</v>
      </c>
      <c r="IE448" s="214" t="s">
        <v>530</v>
      </c>
      <c r="IG448" s="22" t="s">
        <v>29262</v>
      </c>
      <c r="IH448" s="22" t="s">
        <v>52</v>
      </c>
      <c r="II448" s="22" t="s">
        <v>70</v>
      </c>
      <c r="IJ448" s="214" t="s">
        <v>530</v>
      </c>
      <c r="IL448" s="22" t="s">
        <v>29263</v>
      </c>
      <c r="IM448" s="22" t="s">
        <v>145</v>
      </c>
      <c r="IN448" s="22" t="s">
        <v>70</v>
      </c>
      <c r="IO448" s="214" t="s">
        <v>530</v>
      </c>
      <c r="IQ448" s="236" t="s">
        <v>29264</v>
      </c>
      <c r="IR448" s="236" t="s">
        <v>145</v>
      </c>
      <c r="IS448" s="236" t="s">
        <v>74</v>
      </c>
      <c r="IT448" s="236" t="s">
        <v>841</v>
      </c>
      <c r="IV448" s="236" t="s">
        <v>29265</v>
      </c>
      <c r="IW448" s="236" t="s">
        <v>145</v>
      </c>
      <c r="IX448" s="236" t="s">
        <v>74</v>
      </c>
      <c r="IY448" s="236" t="s">
        <v>841</v>
      </c>
      <c r="JA448" s="236" t="s">
        <v>29266</v>
      </c>
      <c r="JB448" s="236" t="s">
        <v>145</v>
      </c>
      <c r="JC448" s="236" t="s">
        <v>74</v>
      </c>
      <c r="JD448" s="236" t="s">
        <v>841</v>
      </c>
      <c r="JF448" s="236" t="s">
        <v>29267</v>
      </c>
      <c r="JG448" s="236" t="s">
        <v>145</v>
      </c>
      <c r="JH448" s="236" t="s">
        <v>74</v>
      </c>
      <c r="JI448" s="236" t="s">
        <v>841</v>
      </c>
      <c r="JK448" s="236" t="s">
        <v>29268</v>
      </c>
      <c r="JL448" s="236" t="s">
        <v>145</v>
      </c>
      <c r="JM448" s="236" t="s">
        <v>74</v>
      </c>
      <c r="JN448" s="236" t="s">
        <v>841</v>
      </c>
      <c r="JP448" s="236" t="s">
        <v>29269</v>
      </c>
      <c r="JQ448" s="236" t="s">
        <v>145</v>
      </c>
      <c r="JR448" s="236" t="s">
        <v>74</v>
      </c>
      <c r="JS448" s="236" t="s">
        <v>841</v>
      </c>
      <c r="JU448" s="294" t="s">
        <v>29270</v>
      </c>
      <c r="JV448" s="294" t="s">
        <v>52</v>
      </c>
      <c r="JW448" s="263" t="s">
        <v>70</v>
      </c>
      <c r="JX448" s="294" t="s">
        <v>1083</v>
      </c>
      <c r="JZ448" s="263" t="s">
        <v>29271</v>
      </c>
      <c r="KA448" s="263" t="s">
        <v>145</v>
      </c>
      <c r="KB448" s="263" t="s">
        <v>70</v>
      </c>
      <c r="KC448" s="263" t="s">
        <v>1083</v>
      </c>
      <c r="KE448" s="263" t="s">
        <v>29272</v>
      </c>
      <c r="KF448" s="263" t="s">
        <v>52</v>
      </c>
      <c r="KG448" s="263" t="s">
        <v>70</v>
      </c>
      <c r="KH448" s="263" t="s">
        <v>1083</v>
      </c>
      <c r="KJ448" s="263" t="s">
        <v>29273</v>
      </c>
      <c r="KK448" s="263" t="s">
        <v>52</v>
      </c>
      <c r="KL448" s="263" t="s">
        <v>74</v>
      </c>
      <c r="KM448" s="263" t="s">
        <v>34074</v>
      </c>
      <c r="KO448" s="214" t="s">
        <v>29274</v>
      </c>
      <c r="KP448" s="214" t="s">
        <v>145</v>
      </c>
      <c r="KQ448" s="214" t="s">
        <v>70</v>
      </c>
      <c r="KR448" s="214" t="s">
        <v>67</v>
      </c>
      <c r="KT448" s="22" t="s">
        <v>29275</v>
      </c>
      <c r="KU448" s="22" t="s">
        <v>145</v>
      </c>
      <c r="KV448" s="22" t="s">
        <v>70</v>
      </c>
      <c r="KW448" s="22" t="s">
        <v>67</v>
      </c>
      <c r="KY448" s="214" t="s">
        <v>29276</v>
      </c>
      <c r="KZ448" s="214" t="s">
        <v>52</v>
      </c>
      <c r="LA448" s="214" t="s">
        <v>74</v>
      </c>
      <c r="LB448" s="214" t="s">
        <v>67</v>
      </c>
      <c r="LD448" s="22" t="s">
        <v>29277</v>
      </c>
      <c r="LE448" s="22" t="s">
        <v>145</v>
      </c>
      <c r="LF448" s="22" t="s">
        <v>70</v>
      </c>
      <c r="LG448" s="22" t="s">
        <v>67</v>
      </c>
    </row>
    <row r="449" spans="1:319">
      <c r="A449" s="22" t="s">
        <v>29278</v>
      </c>
      <c r="B449" s="22" t="s">
        <v>145</v>
      </c>
      <c r="C449" s="22" t="s">
        <v>70</v>
      </c>
      <c r="D449" s="22" t="s">
        <v>67</v>
      </c>
      <c r="F449" s="97" t="s">
        <v>29279</v>
      </c>
      <c r="G449" s="22" t="s">
        <v>145</v>
      </c>
      <c r="H449" s="22" t="s">
        <v>70</v>
      </c>
      <c r="I449" s="22" t="s">
        <v>67</v>
      </c>
      <c r="K449" s="99" t="s">
        <v>29280</v>
      </c>
      <c r="L449" s="22" t="s">
        <v>145</v>
      </c>
      <c r="M449" s="22" t="s">
        <v>70</v>
      </c>
      <c r="N449" s="22" t="s">
        <v>67</v>
      </c>
      <c r="P449" s="230" t="s">
        <v>29281</v>
      </c>
      <c r="Q449" s="218" t="s">
        <v>145</v>
      </c>
      <c r="R449" s="218" t="s">
        <v>72</v>
      </c>
      <c r="S449" s="218" t="s">
        <v>34050</v>
      </c>
      <c r="U449" s="293" t="s">
        <v>29282</v>
      </c>
      <c r="V449" s="293" t="s">
        <v>145</v>
      </c>
      <c r="W449" s="293" t="s">
        <v>74</v>
      </c>
      <c r="X449" s="293" t="s">
        <v>656</v>
      </c>
      <c r="Z449" s="293" t="s">
        <v>29283</v>
      </c>
      <c r="AA449" s="293" t="s">
        <v>145</v>
      </c>
      <c r="AB449" s="293" t="s">
        <v>74</v>
      </c>
      <c r="AC449" s="293" t="s">
        <v>656</v>
      </c>
      <c r="AE449" s="293" t="s">
        <v>29284</v>
      </c>
      <c r="AF449" s="293" t="s">
        <v>145</v>
      </c>
      <c r="AG449" s="293" t="s">
        <v>74</v>
      </c>
      <c r="AH449" s="293" t="s">
        <v>656</v>
      </c>
      <c r="AJ449" s="293" t="s">
        <v>29285</v>
      </c>
      <c r="AK449" s="293" t="s">
        <v>145</v>
      </c>
      <c r="AL449" s="293" t="s">
        <v>74</v>
      </c>
      <c r="AM449" s="293" t="s">
        <v>656</v>
      </c>
      <c r="AO449" s="22" t="s">
        <v>29286</v>
      </c>
      <c r="AP449" s="22" t="s">
        <v>145</v>
      </c>
      <c r="AQ449" s="22" t="s">
        <v>70</v>
      </c>
      <c r="AR449" s="22" t="s">
        <v>67</v>
      </c>
      <c r="AT449" s="22" t="s">
        <v>29287</v>
      </c>
      <c r="AU449" s="22" t="s">
        <v>145</v>
      </c>
      <c r="AV449" s="22" t="s">
        <v>70</v>
      </c>
      <c r="AW449" s="22" t="s">
        <v>67</v>
      </c>
      <c r="AY449" s="22" t="s">
        <v>29288</v>
      </c>
      <c r="AZ449" s="22" t="s">
        <v>145</v>
      </c>
      <c r="BA449" s="22" t="s">
        <v>70</v>
      </c>
      <c r="BB449" s="22" t="s">
        <v>67</v>
      </c>
      <c r="BD449" s="22" t="s">
        <v>29289</v>
      </c>
      <c r="BE449" s="22" t="s">
        <v>145</v>
      </c>
      <c r="BF449" s="22" t="s">
        <v>70</v>
      </c>
      <c r="BG449" s="22" t="s">
        <v>67</v>
      </c>
      <c r="BI449" s="22" t="s">
        <v>29290</v>
      </c>
      <c r="BJ449" s="22" t="s">
        <v>145</v>
      </c>
      <c r="BK449" s="22" t="s">
        <v>70</v>
      </c>
      <c r="BL449" s="22" t="s">
        <v>67</v>
      </c>
      <c r="BN449" s="22" t="s">
        <v>29291</v>
      </c>
      <c r="BO449" s="22" t="s">
        <v>145</v>
      </c>
      <c r="BP449" s="22" t="s">
        <v>70</v>
      </c>
      <c r="BQ449" s="22" t="s">
        <v>67</v>
      </c>
      <c r="BS449" s="22" t="s">
        <v>29292</v>
      </c>
      <c r="BT449" s="22" t="s">
        <v>145</v>
      </c>
      <c r="BU449" s="22" t="s">
        <v>70</v>
      </c>
      <c r="BV449" s="214" t="s">
        <v>530</v>
      </c>
      <c r="BX449" s="22" t="s">
        <v>29293</v>
      </c>
      <c r="BY449" s="22" t="s">
        <v>145</v>
      </c>
      <c r="BZ449" s="22" t="s">
        <v>70</v>
      </c>
      <c r="CA449" s="214" t="s">
        <v>530</v>
      </c>
      <c r="CC449" s="214" t="s">
        <v>29294</v>
      </c>
      <c r="CD449" s="214" t="s">
        <v>518</v>
      </c>
      <c r="CE449" s="214" t="s">
        <v>70</v>
      </c>
      <c r="CF449" s="214" t="s">
        <v>530</v>
      </c>
      <c r="CH449" s="214" t="s">
        <v>29295</v>
      </c>
      <c r="CI449" s="214" t="s">
        <v>950</v>
      </c>
      <c r="CJ449" s="214" t="s">
        <v>70</v>
      </c>
      <c r="CK449" s="214" t="s">
        <v>530</v>
      </c>
      <c r="CM449" s="214" t="s">
        <v>29296</v>
      </c>
      <c r="CN449" s="214" t="s">
        <v>52</v>
      </c>
      <c r="CO449" s="214" t="s">
        <v>70</v>
      </c>
      <c r="CP449" s="214" t="s">
        <v>530</v>
      </c>
      <c r="CR449" s="214" t="s">
        <v>29297</v>
      </c>
      <c r="CS449" s="214" t="s">
        <v>920</v>
      </c>
      <c r="CT449" s="214" t="s">
        <v>70</v>
      </c>
      <c r="CU449" s="214" t="s">
        <v>530</v>
      </c>
      <c r="CW449" s="214" t="s">
        <v>29298</v>
      </c>
      <c r="CX449" s="214" t="s">
        <v>485</v>
      </c>
      <c r="CY449" s="214" t="s">
        <v>70</v>
      </c>
      <c r="CZ449" s="214" t="s">
        <v>530</v>
      </c>
      <c r="DB449" s="214" t="s">
        <v>29299</v>
      </c>
      <c r="DC449" s="214" t="s">
        <v>52</v>
      </c>
      <c r="DD449" s="214" t="s">
        <v>70</v>
      </c>
      <c r="DE449" s="214" t="s">
        <v>530</v>
      </c>
      <c r="DG449" s="214" t="s">
        <v>29300</v>
      </c>
      <c r="DH449" s="214" t="s">
        <v>503</v>
      </c>
      <c r="DI449" s="214" t="s">
        <v>70</v>
      </c>
      <c r="DJ449" s="214" t="s">
        <v>530</v>
      </c>
      <c r="DL449" s="214" t="s">
        <v>29301</v>
      </c>
      <c r="DM449" s="214" t="s">
        <v>484</v>
      </c>
      <c r="DN449" s="214" t="s">
        <v>70</v>
      </c>
      <c r="DO449" s="214" t="s">
        <v>530</v>
      </c>
      <c r="DQ449" s="214" t="s">
        <v>29302</v>
      </c>
      <c r="DR449" s="214" t="s">
        <v>34620</v>
      </c>
      <c r="DS449" s="214" t="s">
        <v>70</v>
      </c>
      <c r="DT449" s="214" t="s">
        <v>530</v>
      </c>
      <c r="DV449" s="214" t="s">
        <v>29303</v>
      </c>
      <c r="DW449" s="214" t="s">
        <v>486</v>
      </c>
      <c r="DX449" s="214" t="s">
        <v>70</v>
      </c>
      <c r="DY449" s="214" t="s">
        <v>530</v>
      </c>
      <c r="EA449" s="214" t="s">
        <v>29304</v>
      </c>
      <c r="EB449" s="214" t="s">
        <v>488</v>
      </c>
      <c r="EC449" s="214" t="s">
        <v>70</v>
      </c>
      <c r="ED449" s="214" t="s">
        <v>530</v>
      </c>
      <c r="EF449" s="214" t="s">
        <v>29305</v>
      </c>
      <c r="EG449" s="214" t="s">
        <v>34543</v>
      </c>
      <c r="EH449" s="214" t="s">
        <v>70</v>
      </c>
      <c r="EI449" s="214" t="s">
        <v>530</v>
      </c>
      <c r="EK449" s="214" t="s">
        <v>29306</v>
      </c>
      <c r="EL449" s="214" t="s">
        <v>486</v>
      </c>
      <c r="EM449" s="214" t="s">
        <v>70</v>
      </c>
      <c r="EN449" s="214" t="s">
        <v>530</v>
      </c>
      <c r="EP449" s="214" t="s">
        <v>29307</v>
      </c>
      <c r="EQ449" s="214" t="s">
        <v>600</v>
      </c>
      <c r="ER449" s="214" t="s">
        <v>70</v>
      </c>
      <c r="ES449" s="214" t="s">
        <v>530</v>
      </c>
      <c r="EU449" s="214" t="s">
        <v>29308</v>
      </c>
      <c r="EV449" s="214" t="s">
        <v>488</v>
      </c>
      <c r="EW449" s="214" t="s">
        <v>70</v>
      </c>
      <c r="EX449" s="214" t="s">
        <v>530</v>
      </c>
      <c r="EZ449" s="214" t="s">
        <v>29309</v>
      </c>
      <c r="FA449" s="214" t="s">
        <v>529</v>
      </c>
      <c r="FB449" s="214" t="s">
        <v>70</v>
      </c>
      <c r="FC449" s="214" t="s">
        <v>530</v>
      </c>
      <c r="FE449" s="214" t="s">
        <v>29310</v>
      </c>
      <c r="FF449" s="214" t="s">
        <v>34547</v>
      </c>
      <c r="FG449" s="214" t="s">
        <v>70</v>
      </c>
      <c r="FH449" s="214" t="s">
        <v>530</v>
      </c>
      <c r="FJ449" s="321" t="s">
        <v>29311</v>
      </c>
      <c r="FK449" s="214" t="s">
        <v>34541</v>
      </c>
      <c r="FL449" s="214" t="s">
        <v>70</v>
      </c>
      <c r="FM449" s="214" t="s">
        <v>530</v>
      </c>
      <c r="FO449" s="321" t="s">
        <v>29312</v>
      </c>
      <c r="FP449" s="214" t="s">
        <v>206</v>
      </c>
      <c r="FQ449" s="214" t="s">
        <v>70</v>
      </c>
      <c r="FR449" s="214" t="s">
        <v>530</v>
      </c>
      <c r="FT449" s="321" t="s">
        <v>29313</v>
      </c>
      <c r="FU449" s="214" t="s">
        <v>34564</v>
      </c>
      <c r="FV449" s="214" t="s">
        <v>70</v>
      </c>
      <c r="FW449" s="214" t="s">
        <v>530</v>
      </c>
      <c r="FY449" s="321" t="s">
        <v>29314</v>
      </c>
      <c r="FZ449" s="214" t="s">
        <v>34541</v>
      </c>
      <c r="GA449" s="214" t="s">
        <v>70</v>
      </c>
      <c r="GB449" s="214" t="s">
        <v>530</v>
      </c>
      <c r="GD449" s="321" t="s">
        <v>29315</v>
      </c>
      <c r="GE449" s="214" t="s">
        <v>34541</v>
      </c>
      <c r="GF449" s="214" t="s">
        <v>70</v>
      </c>
      <c r="GG449" s="214" t="s">
        <v>530</v>
      </c>
      <c r="GI449" s="321" t="s">
        <v>29316</v>
      </c>
      <c r="GJ449" s="214" t="s">
        <v>950</v>
      </c>
      <c r="GK449" s="214" t="s">
        <v>70</v>
      </c>
      <c r="GL449" s="214" t="s">
        <v>530</v>
      </c>
      <c r="GN449" s="321" t="s">
        <v>29317</v>
      </c>
      <c r="GO449" s="214" t="s">
        <v>485</v>
      </c>
      <c r="GP449" s="214" t="s">
        <v>70</v>
      </c>
      <c r="GQ449" s="214" t="s">
        <v>530</v>
      </c>
      <c r="GS449" s="321" t="s">
        <v>29318</v>
      </c>
      <c r="GT449" s="214" t="s">
        <v>203</v>
      </c>
      <c r="GU449" s="214" t="s">
        <v>70</v>
      </c>
      <c r="GV449" s="214" t="s">
        <v>530</v>
      </c>
      <c r="GX449" s="214" t="s">
        <v>29319</v>
      </c>
      <c r="GY449" s="214" t="s">
        <v>482</v>
      </c>
      <c r="GZ449" s="214" t="s">
        <v>70</v>
      </c>
      <c r="HA449" s="214" t="s">
        <v>530</v>
      </c>
      <c r="HC449" s="214" t="s">
        <v>29320</v>
      </c>
      <c r="HD449" s="214" t="s">
        <v>502</v>
      </c>
      <c r="HE449" s="214" t="s">
        <v>70</v>
      </c>
      <c r="HF449" s="214" t="s">
        <v>530</v>
      </c>
      <c r="HH449" s="214" t="s">
        <v>29321</v>
      </c>
      <c r="HI449" s="214" t="s">
        <v>486</v>
      </c>
      <c r="HJ449" s="214" t="s">
        <v>70</v>
      </c>
      <c r="HK449" s="214" t="s">
        <v>530</v>
      </c>
      <c r="HM449" s="214" t="s">
        <v>29322</v>
      </c>
      <c r="HN449" s="214" t="s">
        <v>145</v>
      </c>
      <c r="HO449" s="214" t="s">
        <v>70</v>
      </c>
      <c r="HP449" s="214" t="s">
        <v>530</v>
      </c>
      <c r="HR449" s="22" t="s">
        <v>29323</v>
      </c>
      <c r="HS449" s="22" t="s">
        <v>86</v>
      </c>
      <c r="HT449" s="22" t="s">
        <v>70</v>
      </c>
      <c r="HU449" s="214" t="s">
        <v>530</v>
      </c>
      <c r="HW449" s="22" t="s">
        <v>29324</v>
      </c>
      <c r="HX449" s="22" t="s">
        <v>34516</v>
      </c>
      <c r="HY449" s="22" t="s">
        <v>70</v>
      </c>
      <c r="HZ449" s="214" t="s">
        <v>530</v>
      </c>
      <c r="IB449" s="22" t="s">
        <v>29325</v>
      </c>
      <c r="IC449" s="22" t="s">
        <v>491</v>
      </c>
      <c r="ID449" s="22" t="s">
        <v>70</v>
      </c>
      <c r="IE449" s="214" t="s">
        <v>530</v>
      </c>
      <c r="IG449" s="22" t="s">
        <v>29326</v>
      </c>
      <c r="IH449" s="22" t="s">
        <v>52</v>
      </c>
      <c r="II449" s="22" t="s">
        <v>70</v>
      </c>
      <c r="IJ449" s="214" t="s">
        <v>530</v>
      </c>
      <c r="IL449" s="22" t="s">
        <v>29327</v>
      </c>
      <c r="IM449" s="22" t="s">
        <v>145</v>
      </c>
      <c r="IN449" s="22" t="s">
        <v>70</v>
      </c>
      <c r="IO449" s="214" t="s">
        <v>530</v>
      </c>
      <c r="IQ449" s="236" t="s">
        <v>29328</v>
      </c>
      <c r="IR449" s="236" t="s">
        <v>145</v>
      </c>
      <c r="IS449" s="236" t="s">
        <v>74</v>
      </c>
      <c r="IT449" s="236" t="s">
        <v>841</v>
      </c>
      <c r="IV449" s="236" t="s">
        <v>29329</v>
      </c>
      <c r="IW449" s="236" t="s">
        <v>145</v>
      </c>
      <c r="IX449" s="236" t="s">
        <v>74</v>
      </c>
      <c r="IY449" s="236" t="s">
        <v>841</v>
      </c>
      <c r="JA449" s="236" t="s">
        <v>29330</v>
      </c>
      <c r="JB449" s="236" t="s">
        <v>145</v>
      </c>
      <c r="JC449" s="236" t="s">
        <v>74</v>
      </c>
      <c r="JD449" s="236" t="s">
        <v>841</v>
      </c>
      <c r="JF449" s="236" t="s">
        <v>29331</v>
      </c>
      <c r="JG449" s="236" t="s">
        <v>145</v>
      </c>
      <c r="JH449" s="236" t="s">
        <v>74</v>
      </c>
      <c r="JI449" s="236" t="s">
        <v>841</v>
      </c>
      <c r="JK449" s="236" t="s">
        <v>29332</v>
      </c>
      <c r="JL449" s="236" t="s">
        <v>145</v>
      </c>
      <c r="JM449" s="236" t="s">
        <v>74</v>
      </c>
      <c r="JN449" s="236" t="s">
        <v>841</v>
      </c>
      <c r="JP449" s="236" t="s">
        <v>29333</v>
      </c>
      <c r="JQ449" s="236" t="s">
        <v>145</v>
      </c>
      <c r="JR449" s="236" t="s">
        <v>74</v>
      </c>
      <c r="JS449" s="236" t="s">
        <v>841</v>
      </c>
      <c r="JU449" s="294" t="s">
        <v>29334</v>
      </c>
      <c r="JV449" s="294" t="s">
        <v>52</v>
      </c>
      <c r="JW449" s="263" t="s">
        <v>70</v>
      </c>
      <c r="JX449" s="294" t="s">
        <v>1083</v>
      </c>
      <c r="JZ449" s="263" t="s">
        <v>29335</v>
      </c>
      <c r="KA449" s="263" t="s">
        <v>145</v>
      </c>
      <c r="KB449" s="263" t="s">
        <v>70</v>
      </c>
      <c r="KC449" s="263" t="s">
        <v>1083</v>
      </c>
      <c r="KE449" s="263" t="s">
        <v>29336</v>
      </c>
      <c r="KF449" s="263" t="s">
        <v>52</v>
      </c>
      <c r="KG449" s="263" t="s">
        <v>70</v>
      </c>
      <c r="KH449" s="263" t="s">
        <v>1083</v>
      </c>
      <c r="KJ449" s="263" t="s">
        <v>29337</v>
      </c>
      <c r="KK449" s="263" t="s">
        <v>52</v>
      </c>
      <c r="KL449" s="263" t="s">
        <v>74</v>
      </c>
      <c r="KM449" s="263" t="s">
        <v>34074</v>
      </c>
      <c r="KO449" s="214" t="s">
        <v>29338</v>
      </c>
      <c r="KP449" s="214" t="s">
        <v>145</v>
      </c>
      <c r="KQ449" s="214" t="s">
        <v>70</v>
      </c>
      <c r="KR449" s="214" t="s">
        <v>67</v>
      </c>
      <c r="KT449" s="22" t="s">
        <v>29339</v>
      </c>
      <c r="KU449" s="22" t="s">
        <v>145</v>
      </c>
      <c r="KV449" s="22" t="s">
        <v>70</v>
      </c>
      <c r="KW449" s="22" t="s">
        <v>67</v>
      </c>
      <c r="KY449" s="214" t="s">
        <v>29340</v>
      </c>
      <c r="KZ449" s="214" t="s">
        <v>52</v>
      </c>
      <c r="LA449" s="214" t="s">
        <v>74</v>
      </c>
      <c r="LB449" s="214" t="s">
        <v>67</v>
      </c>
      <c r="LD449" s="22" t="s">
        <v>29341</v>
      </c>
      <c r="LE449" s="22" t="s">
        <v>145</v>
      </c>
      <c r="LF449" s="22" t="s">
        <v>70</v>
      </c>
      <c r="LG449" s="22" t="s">
        <v>67</v>
      </c>
    </row>
    <row r="450" spans="1:319">
      <c r="A450" s="22" t="s">
        <v>29342</v>
      </c>
      <c r="B450" s="22" t="s">
        <v>145</v>
      </c>
      <c r="C450" s="22" t="s">
        <v>70</v>
      </c>
      <c r="D450" s="22" t="s">
        <v>67</v>
      </c>
      <c r="F450" s="97" t="s">
        <v>29343</v>
      </c>
      <c r="G450" s="22" t="s">
        <v>145</v>
      </c>
      <c r="H450" s="22" t="s">
        <v>70</v>
      </c>
      <c r="I450" s="22" t="s">
        <v>67</v>
      </c>
      <c r="K450" s="99" t="s">
        <v>29344</v>
      </c>
      <c r="L450" s="22" t="s">
        <v>145</v>
      </c>
      <c r="M450" s="22" t="s">
        <v>70</v>
      </c>
      <c r="N450" s="22" t="s">
        <v>67</v>
      </c>
      <c r="P450" s="230" t="s">
        <v>29345</v>
      </c>
      <c r="Q450" s="218" t="s">
        <v>145</v>
      </c>
      <c r="R450" s="218" t="s">
        <v>72</v>
      </c>
      <c r="S450" s="218" t="s">
        <v>34051</v>
      </c>
      <c r="U450" s="293" t="s">
        <v>29346</v>
      </c>
      <c r="V450" s="293" t="s">
        <v>145</v>
      </c>
      <c r="W450" s="293" t="s">
        <v>74</v>
      </c>
      <c r="X450" s="293" t="s">
        <v>656</v>
      </c>
      <c r="Z450" s="293" t="s">
        <v>29347</v>
      </c>
      <c r="AA450" s="293" t="s">
        <v>145</v>
      </c>
      <c r="AB450" s="293" t="s">
        <v>74</v>
      </c>
      <c r="AC450" s="293" t="s">
        <v>656</v>
      </c>
      <c r="AE450" s="293" t="s">
        <v>29348</v>
      </c>
      <c r="AF450" s="293" t="s">
        <v>145</v>
      </c>
      <c r="AG450" s="293" t="s">
        <v>74</v>
      </c>
      <c r="AH450" s="293" t="s">
        <v>656</v>
      </c>
      <c r="AJ450" s="293" t="s">
        <v>29349</v>
      </c>
      <c r="AK450" s="293" t="s">
        <v>145</v>
      </c>
      <c r="AL450" s="293" t="s">
        <v>74</v>
      </c>
      <c r="AM450" s="293" t="s">
        <v>656</v>
      </c>
      <c r="AO450" s="22" t="s">
        <v>29350</v>
      </c>
      <c r="AP450" s="22" t="s">
        <v>145</v>
      </c>
      <c r="AQ450" s="22" t="s">
        <v>70</v>
      </c>
      <c r="AR450" s="22" t="s">
        <v>67</v>
      </c>
      <c r="AT450" s="22" t="s">
        <v>29351</v>
      </c>
      <c r="AU450" s="22" t="s">
        <v>145</v>
      </c>
      <c r="AV450" s="22" t="s">
        <v>70</v>
      </c>
      <c r="AW450" s="22" t="s">
        <v>67</v>
      </c>
      <c r="AY450" s="22" t="s">
        <v>29352</v>
      </c>
      <c r="AZ450" s="22" t="s">
        <v>145</v>
      </c>
      <c r="BA450" s="22" t="s">
        <v>70</v>
      </c>
      <c r="BB450" s="22" t="s">
        <v>67</v>
      </c>
      <c r="BD450" s="22" t="s">
        <v>29353</v>
      </c>
      <c r="BE450" s="22" t="s">
        <v>145</v>
      </c>
      <c r="BF450" s="22" t="s">
        <v>70</v>
      </c>
      <c r="BG450" s="22" t="s">
        <v>67</v>
      </c>
      <c r="BI450" s="22" t="s">
        <v>29354</v>
      </c>
      <c r="BJ450" s="22" t="s">
        <v>145</v>
      </c>
      <c r="BK450" s="22" t="s">
        <v>70</v>
      </c>
      <c r="BL450" s="22" t="s">
        <v>67</v>
      </c>
      <c r="BN450" s="22" t="s">
        <v>29355</v>
      </c>
      <c r="BO450" s="22" t="s">
        <v>145</v>
      </c>
      <c r="BP450" s="22" t="s">
        <v>70</v>
      </c>
      <c r="BQ450" s="22" t="s">
        <v>67</v>
      </c>
      <c r="BS450" s="22" t="s">
        <v>29356</v>
      </c>
      <c r="BT450" s="22" t="s">
        <v>145</v>
      </c>
      <c r="BU450" s="22" t="s">
        <v>70</v>
      </c>
      <c r="BV450" s="214" t="s">
        <v>530</v>
      </c>
      <c r="BX450" s="22" t="s">
        <v>29357</v>
      </c>
      <c r="BY450" s="22" t="s">
        <v>145</v>
      </c>
      <c r="BZ450" s="22" t="s">
        <v>70</v>
      </c>
      <c r="CA450" s="214" t="s">
        <v>530</v>
      </c>
      <c r="CC450" s="214" t="s">
        <v>29358</v>
      </c>
      <c r="CD450" s="214" t="s">
        <v>203</v>
      </c>
      <c r="CE450" s="214" t="s">
        <v>70</v>
      </c>
      <c r="CF450" s="214" t="s">
        <v>530</v>
      </c>
      <c r="CH450" s="214" t="s">
        <v>29359</v>
      </c>
      <c r="CI450" s="214" t="s">
        <v>148</v>
      </c>
      <c r="CJ450" s="214" t="s">
        <v>70</v>
      </c>
      <c r="CK450" s="214" t="s">
        <v>530</v>
      </c>
      <c r="CM450" s="214" t="s">
        <v>29360</v>
      </c>
      <c r="CN450" s="214" t="s">
        <v>52</v>
      </c>
      <c r="CO450" s="214" t="s">
        <v>70</v>
      </c>
      <c r="CP450" s="214" t="s">
        <v>530</v>
      </c>
      <c r="CR450" s="214" t="s">
        <v>29361</v>
      </c>
      <c r="CS450" s="214" t="s">
        <v>649</v>
      </c>
      <c r="CT450" s="214" t="s">
        <v>70</v>
      </c>
      <c r="CU450" s="214" t="s">
        <v>530</v>
      </c>
      <c r="CW450" s="214" t="s">
        <v>29362</v>
      </c>
      <c r="CX450" s="214" t="s">
        <v>34545</v>
      </c>
      <c r="CY450" s="214" t="s">
        <v>70</v>
      </c>
      <c r="CZ450" s="214" t="s">
        <v>530</v>
      </c>
      <c r="DB450" s="214" t="s">
        <v>29363</v>
      </c>
      <c r="DC450" s="214" t="s">
        <v>145</v>
      </c>
      <c r="DD450" s="214" t="s">
        <v>70</v>
      </c>
      <c r="DE450" s="214" t="s">
        <v>530</v>
      </c>
      <c r="DG450" s="214" t="s">
        <v>29364</v>
      </c>
      <c r="DH450" s="214" t="s">
        <v>485</v>
      </c>
      <c r="DI450" s="214" t="s">
        <v>70</v>
      </c>
      <c r="DJ450" s="214" t="s">
        <v>530</v>
      </c>
      <c r="DL450" s="214" t="s">
        <v>29365</v>
      </c>
      <c r="DM450" s="214" t="s">
        <v>915</v>
      </c>
      <c r="DN450" s="214" t="s">
        <v>70</v>
      </c>
      <c r="DO450" s="214" t="s">
        <v>530</v>
      </c>
      <c r="DQ450" s="214" t="s">
        <v>29366</v>
      </c>
      <c r="DR450" s="214" t="s">
        <v>951</v>
      </c>
      <c r="DS450" s="214" t="s">
        <v>70</v>
      </c>
      <c r="DT450" s="214" t="s">
        <v>530</v>
      </c>
      <c r="DV450" s="214" t="s">
        <v>29367</v>
      </c>
      <c r="DW450" s="214" t="s">
        <v>90</v>
      </c>
      <c r="DX450" s="214" t="s">
        <v>70</v>
      </c>
      <c r="DY450" s="214" t="s">
        <v>530</v>
      </c>
      <c r="EA450" s="214" t="s">
        <v>29368</v>
      </c>
      <c r="EB450" s="214" t="s">
        <v>798</v>
      </c>
      <c r="EC450" s="214" t="s">
        <v>70</v>
      </c>
      <c r="ED450" s="214" t="s">
        <v>530</v>
      </c>
      <c r="EF450" s="214" t="s">
        <v>29369</v>
      </c>
      <c r="EG450" s="214" t="s">
        <v>500</v>
      </c>
      <c r="EH450" s="214" t="s">
        <v>70</v>
      </c>
      <c r="EI450" s="214" t="s">
        <v>530</v>
      </c>
      <c r="EK450" s="214" t="s">
        <v>29370</v>
      </c>
      <c r="EL450" s="214" t="s">
        <v>34613</v>
      </c>
      <c r="EM450" s="214" t="s">
        <v>70</v>
      </c>
      <c r="EN450" s="214" t="s">
        <v>530</v>
      </c>
      <c r="EP450" s="214" t="s">
        <v>29371</v>
      </c>
      <c r="EQ450" s="214" t="s">
        <v>502</v>
      </c>
      <c r="ER450" s="214" t="s">
        <v>70</v>
      </c>
      <c r="ES450" s="214" t="s">
        <v>530</v>
      </c>
      <c r="EU450" s="214" t="s">
        <v>29372</v>
      </c>
      <c r="EV450" s="214" t="s">
        <v>34593</v>
      </c>
      <c r="EW450" s="214" t="s">
        <v>70</v>
      </c>
      <c r="EX450" s="214" t="s">
        <v>530</v>
      </c>
      <c r="EZ450" s="214" t="s">
        <v>29373</v>
      </c>
      <c r="FA450" s="214" t="s">
        <v>148</v>
      </c>
      <c r="FB450" s="214" t="s">
        <v>70</v>
      </c>
      <c r="FC450" s="214" t="s">
        <v>530</v>
      </c>
      <c r="FE450" s="214" t="s">
        <v>29374</v>
      </c>
      <c r="FF450" s="214" t="s">
        <v>503</v>
      </c>
      <c r="FG450" s="214" t="s">
        <v>70</v>
      </c>
      <c r="FH450" s="214" t="s">
        <v>530</v>
      </c>
      <c r="FJ450" s="321" t="s">
        <v>29375</v>
      </c>
      <c r="FK450" s="214" t="s">
        <v>34616</v>
      </c>
      <c r="FL450" s="214" t="s">
        <v>70</v>
      </c>
      <c r="FM450" s="214" t="s">
        <v>530</v>
      </c>
      <c r="FO450" s="321" t="s">
        <v>29376</v>
      </c>
      <c r="FP450" s="214" t="s">
        <v>163</v>
      </c>
      <c r="FQ450" s="214" t="s">
        <v>70</v>
      </c>
      <c r="FR450" s="214" t="s">
        <v>530</v>
      </c>
      <c r="FT450" s="321" t="s">
        <v>29377</v>
      </c>
      <c r="FU450" s="214" t="s">
        <v>34405</v>
      </c>
      <c r="FV450" s="214" t="s">
        <v>70</v>
      </c>
      <c r="FW450" s="214" t="s">
        <v>530</v>
      </c>
      <c r="FY450" s="321" t="s">
        <v>29378</v>
      </c>
      <c r="FZ450" s="214" t="s">
        <v>34551</v>
      </c>
      <c r="GA450" s="214" t="s">
        <v>70</v>
      </c>
      <c r="GB450" s="214" t="s">
        <v>530</v>
      </c>
      <c r="GD450" s="321" t="s">
        <v>29379</v>
      </c>
      <c r="GE450" s="214" t="s">
        <v>34628</v>
      </c>
      <c r="GF450" s="214" t="s">
        <v>70</v>
      </c>
      <c r="GG450" s="214" t="s">
        <v>530</v>
      </c>
      <c r="GI450" s="321" t="s">
        <v>29380</v>
      </c>
      <c r="GJ450" s="214" t="s">
        <v>286</v>
      </c>
      <c r="GK450" s="214" t="s">
        <v>70</v>
      </c>
      <c r="GL450" s="214" t="s">
        <v>530</v>
      </c>
      <c r="GN450" s="321" t="s">
        <v>29381</v>
      </c>
      <c r="GO450" s="214" t="s">
        <v>85</v>
      </c>
      <c r="GP450" s="214" t="s">
        <v>70</v>
      </c>
      <c r="GQ450" s="214" t="s">
        <v>530</v>
      </c>
      <c r="GS450" s="321" t="s">
        <v>29382</v>
      </c>
      <c r="GT450" s="214" t="s">
        <v>34212</v>
      </c>
      <c r="GU450" s="214" t="s">
        <v>70</v>
      </c>
      <c r="GV450" s="214" t="s">
        <v>530</v>
      </c>
      <c r="GX450" s="214" t="s">
        <v>29383</v>
      </c>
      <c r="GY450" s="214" t="s">
        <v>916</v>
      </c>
      <c r="GZ450" s="214" t="s">
        <v>70</v>
      </c>
      <c r="HA450" s="214" t="s">
        <v>530</v>
      </c>
      <c r="HC450" s="214" t="s">
        <v>29384</v>
      </c>
      <c r="HD450" s="214" t="s">
        <v>529</v>
      </c>
      <c r="HE450" s="214" t="s">
        <v>70</v>
      </c>
      <c r="HF450" s="214" t="s">
        <v>530</v>
      </c>
      <c r="HH450" s="214" t="s">
        <v>29385</v>
      </c>
      <c r="HI450" s="214" t="s">
        <v>163</v>
      </c>
      <c r="HJ450" s="214" t="s">
        <v>70</v>
      </c>
      <c r="HK450" s="214" t="s">
        <v>530</v>
      </c>
      <c r="HM450" s="214" t="s">
        <v>29386</v>
      </c>
      <c r="HN450" s="214" t="s">
        <v>52</v>
      </c>
      <c r="HO450" s="214" t="s">
        <v>70</v>
      </c>
      <c r="HP450" s="214" t="s">
        <v>530</v>
      </c>
      <c r="HR450" s="22" t="s">
        <v>29387</v>
      </c>
      <c r="HS450" s="22" t="s">
        <v>148</v>
      </c>
      <c r="HT450" s="22" t="s">
        <v>70</v>
      </c>
      <c r="HU450" s="214" t="s">
        <v>530</v>
      </c>
      <c r="HW450" s="22" t="s">
        <v>29388</v>
      </c>
      <c r="HX450" s="22" t="s">
        <v>34549</v>
      </c>
      <c r="HY450" s="22" t="s">
        <v>70</v>
      </c>
      <c r="HZ450" s="214" t="s">
        <v>530</v>
      </c>
      <c r="IB450" s="22" t="s">
        <v>29389</v>
      </c>
      <c r="IC450" s="22" t="s">
        <v>148</v>
      </c>
      <c r="ID450" s="22" t="s">
        <v>70</v>
      </c>
      <c r="IE450" s="214" t="s">
        <v>530</v>
      </c>
      <c r="IG450" s="22" t="s">
        <v>29390</v>
      </c>
      <c r="IH450" s="22" t="s">
        <v>52</v>
      </c>
      <c r="II450" s="22" t="s">
        <v>70</v>
      </c>
      <c r="IJ450" s="214" t="s">
        <v>530</v>
      </c>
      <c r="IL450" s="22" t="s">
        <v>29391</v>
      </c>
      <c r="IM450" s="22" t="s">
        <v>145</v>
      </c>
      <c r="IN450" s="22" t="s">
        <v>70</v>
      </c>
      <c r="IO450" s="214" t="s">
        <v>530</v>
      </c>
      <c r="IQ450" s="236" t="s">
        <v>29392</v>
      </c>
      <c r="IR450" s="236" t="s">
        <v>145</v>
      </c>
      <c r="IS450" s="236" t="s">
        <v>74</v>
      </c>
      <c r="IT450" s="236" t="s">
        <v>841</v>
      </c>
      <c r="IV450" s="236" t="s">
        <v>29393</v>
      </c>
      <c r="IW450" s="236" t="s">
        <v>145</v>
      </c>
      <c r="IX450" s="236" t="s">
        <v>74</v>
      </c>
      <c r="IY450" s="236" t="s">
        <v>841</v>
      </c>
      <c r="JA450" s="236" t="s">
        <v>29394</v>
      </c>
      <c r="JB450" s="236" t="s">
        <v>145</v>
      </c>
      <c r="JC450" s="236" t="s">
        <v>74</v>
      </c>
      <c r="JD450" s="236" t="s">
        <v>841</v>
      </c>
      <c r="JF450" s="236" t="s">
        <v>29395</v>
      </c>
      <c r="JG450" s="236" t="s">
        <v>145</v>
      </c>
      <c r="JH450" s="236" t="s">
        <v>74</v>
      </c>
      <c r="JI450" s="236" t="s">
        <v>841</v>
      </c>
      <c r="JK450" s="236" t="s">
        <v>29396</v>
      </c>
      <c r="JL450" s="236" t="s">
        <v>145</v>
      </c>
      <c r="JM450" s="236" t="s">
        <v>74</v>
      </c>
      <c r="JN450" s="236" t="s">
        <v>841</v>
      </c>
      <c r="JP450" s="236" t="s">
        <v>29397</v>
      </c>
      <c r="JQ450" s="236" t="s">
        <v>145</v>
      </c>
      <c r="JR450" s="236" t="s">
        <v>74</v>
      </c>
      <c r="JS450" s="236" t="s">
        <v>841</v>
      </c>
      <c r="JU450" s="294" t="s">
        <v>29398</v>
      </c>
      <c r="JV450" s="294" t="s">
        <v>52</v>
      </c>
      <c r="JW450" s="263" t="s">
        <v>70</v>
      </c>
      <c r="JX450" s="294" t="s">
        <v>1083</v>
      </c>
      <c r="JZ450" s="263" t="s">
        <v>29399</v>
      </c>
      <c r="KA450" s="263" t="s">
        <v>145</v>
      </c>
      <c r="KB450" s="263" t="s">
        <v>70</v>
      </c>
      <c r="KC450" s="263" t="s">
        <v>1083</v>
      </c>
      <c r="KE450" s="263" t="s">
        <v>29400</v>
      </c>
      <c r="KF450" s="263" t="s">
        <v>52</v>
      </c>
      <c r="KG450" s="263" t="s">
        <v>70</v>
      </c>
      <c r="KH450" s="263" t="s">
        <v>1083</v>
      </c>
      <c r="KJ450" s="263" t="s">
        <v>29401</v>
      </c>
      <c r="KK450" s="263" t="s">
        <v>52</v>
      </c>
      <c r="KL450" s="263" t="s">
        <v>74</v>
      </c>
      <c r="KM450" s="263" t="s">
        <v>34074</v>
      </c>
      <c r="KO450" s="214" t="s">
        <v>29402</v>
      </c>
      <c r="KP450" s="214" t="s">
        <v>145</v>
      </c>
      <c r="KQ450" s="214" t="s">
        <v>70</v>
      </c>
      <c r="KR450" s="214" t="s">
        <v>67</v>
      </c>
      <c r="KT450" s="22" t="s">
        <v>29403</v>
      </c>
      <c r="KU450" s="22" t="s">
        <v>145</v>
      </c>
      <c r="KV450" s="22" t="s">
        <v>70</v>
      </c>
      <c r="KW450" s="22" t="s">
        <v>67</v>
      </c>
      <c r="KY450" s="214" t="s">
        <v>29404</v>
      </c>
      <c r="KZ450" s="214" t="s">
        <v>52</v>
      </c>
      <c r="LA450" s="214" t="s">
        <v>74</v>
      </c>
      <c r="LB450" s="214" t="s">
        <v>67</v>
      </c>
      <c r="LD450" s="22" t="s">
        <v>29405</v>
      </c>
      <c r="LE450" s="22" t="s">
        <v>145</v>
      </c>
      <c r="LF450" s="22" t="s">
        <v>70</v>
      </c>
      <c r="LG450" s="22" t="s">
        <v>67</v>
      </c>
    </row>
    <row r="451" spans="1:319">
      <c r="A451" s="22" t="s">
        <v>29406</v>
      </c>
      <c r="B451" s="22" t="s">
        <v>145</v>
      </c>
      <c r="C451" s="22" t="s">
        <v>70</v>
      </c>
      <c r="D451" s="22" t="s">
        <v>67</v>
      </c>
      <c r="F451" s="97" t="s">
        <v>29407</v>
      </c>
      <c r="G451" s="22" t="s">
        <v>145</v>
      </c>
      <c r="H451" s="22" t="s">
        <v>70</v>
      </c>
      <c r="I451" s="22" t="s">
        <v>67</v>
      </c>
      <c r="K451" s="99" t="s">
        <v>29408</v>
      </c>
      <c r="L451" s="22" t="s">
        <v>145</v>
      </c>
      <c r="M451" s="22" t="s">
        <v>70</v>
      </c>
      <c r="N451" s="22" t="s">
        <v>67</v>
      </c>
      <c r="P451" s="230" t="s">
        <v>29409</v>
      </c>
      <c r="Q451" s="218" t="s">
        <v>145</v>
      </c>
      <c r="R451" s="218" t="s">
        <v>72</v>
      </c>
      <c r="S451" s="218" t="s">
        <v>34052</v>
      </c>
      <c r="U451" s="293" t="s">
        <v>29410</v>
      </c>
      <c r="V451" s="293" t="s">
        <v>145</v>
      </c>
      <c r="W451" s="293" t="s">
        <v>74</v>
      </c>
      <c r="X451" s="293" t="s">
        <v>656</v>
      </c>
      <c r="Z451" s="293" t="s">
        <v>29411</v>
      </c>
      <c r="AA451" s="293" t="s">
        <v>145</v>
      </c>
      <c r="AB451" s="293" t="s">
        <v>74</v>
      </c>
      <c r="AC451" s="293" t="s">
        <v>656</v>
      </c>
      <c r="AE451" s="293" t="s">
        <v>29412</v>
      </c>
      <c r="AF451" s="293" t="s">
        <v>145</v>
      </c>
      <c r="AG451" s="293" t="s">
        <v>74</v>
      </c>
      <c r="AH451" s="293" t="s">
        <v>656</v>
      </c>
      <c r="AJ451" s="293" t="s">
        <v>29413</v>
      </c>
      <c r="AK451" s="293" t="s">
        <v>145</v>
      </c>
      <c r="AL451" s="293" t="s">
        <v>74</v>
      </c>
      <c r="AM451" s="293" t="s">
        <v>656</v>
      </c>
      <c r="AO451" s="22" t="s">
        <v>29414</v>
      </c>
      <c r="AP451" s="22" t="s">
        <v>145</v>
      </c>
      <c r="AQ451" s="22" t="s">
        <v>70</v>
      </c>
      <c r="AR451" s="22" t="s">
        <v>67</v>
      </c>
      <c r="AT451" s="22" t="s">
        <v>29415</v>
      </c>
      <c r="AU451" s="22" t="s">
        <v>145</v>
      </c>
      <c r="AV451" s="22" t="s">
        <v>70</v>
      </c>
      <c r="AW451" s="22" t="s">
        <v>67</v>
      </c>
      <c r="AY451" s="22" t="s">
        <v>29416</v>
      </c>
      <c r="AZ451" s="22" t="s">
        <v>145</v>
      </c>
      <c r="BA451" s="22" t="s">
        <v>70</v>
      </c>
      <c r="BB451" s="22" t="s">
        <v>67</v>
      </c>
      <c r="BD451" s="22" t="s">
        <v>29417</v>
      </c>
      <c r="BE451" s="22" t="s">
        <v>145</v>
      </c>
      <c r="BF451" s="22" t="s">
        <v>70</v>
      </c>
      <c r="BG451" s="22" t="s">
        <v>67</v>
      </c>
      <c r="BI451" s="22" t="s">
        <v>29418</v>
      </c>
      <c r="BJ451" s="22" t="s">
        <v>145</v>
      </c>
      <c r="BK451" s="22" t="s">
        <v>70</v>
      </c>
      <c r="BL451" s="22" t="s">
        <v>67</v>
      </c>
      <c r="BN451" s="22" t="s">
        <v>29419</v>
      </c>
      <c r="BO451" s="22" t="s">
        <v>145</v>
      </c>
      <c r="BP451" s="22" t="s">
        <v>70</v>
      </c>
      <c r="BQ451" s="22" t="s">
        <v>67</v>
      </c>
      <c r="BS451" s="22" t="s">
        <v>29420</v>
      </c>
      <c r="BT451" s="22" t="s">
        <v>145</v>
      </c>
      <c r="BU451" s="22" t="s">
        <v>70</v>
      </c>
      <c r="BV451" s="214" t="s">
        <v>530</v>
      </c>
      <c r="BX451" s="22" t="s">
        <v>29421</v>
      </c>
      <c r="BY451" s="22" t="s">
        <v>145</v>
      </c>
      <c r="BZ451" s="22" t="s">
        <v>70</v>
      </c>
      <c r="CA451" s="214" t="s">
        <v>530</v>
      </c>
      <c r="CC451" s="214" t="s">
        <v>29422</v>
      </c>
      <c r="CD451" s="214" t="s">
        <v>496</v>
      </c>
      <c r="CE451" s="214" t="s">
        <v>70</v>
      </c>
      <c r="CF451" s="214" t="s">
        <v>530</v>
      </c>
      <c r="CH451" s="214" t="s">
        <v>29423</v>
      </c>
      <c r="CI451" s="214" t="s">
        <v>496</v>
      </c>
      <c r="CJ451" s="214" t="s">
        <v>70</v>
      </c>
      <c r="CK451" s="214" t="s">
        <v>530</v>
      </c>
      <c r="CM451" s="214" t="s">
        <v>29424</v>
      </c>
      <c r="CN451" s="214" t="s">
        <v>203</v>
      </c>
      <c r="CO451" s="214" t="s">
        <v>70</v>
      </c>
      <c r="CP451" s="214" t="s">
        <v>530</v>
      </c>
      <c r="CR451" s="214" t="s">
        <v>29425</v>
      </c>
      <c r="CS451" s="214" t="s">
        <v>148</v>
      </c>
      <c r="CT451" s="214" t="s">
        <v>70</v>
      </c>
      <c r="CU451" s="214" t="s">
        <v>530</v>
      </c>
      <c r="CW451" s="214" t="s">
        <v>29426</v>
      </c>
      <c r="CX451" s="214" t="s">
        <v>34551</v>
      </c>
      <c r="CY451" s="214" t="s">
        <v>70</v>
      </c>
      <c r="CZ451" s="214" t="s">
        <v>530</v>
      </c>
      <c r="DB451" s="214" t="s">
        <v>29427</v>
      </c>
      <c r="DC451" s="214" t="s">
        <v>34541</v>
      </c>
      <c r="DD451" s="214" t="s">
        <v>70</v>
      </c>
      <c r="DE451" s="214" t="s">
        <v>530</v>
      </c>
      <c r="DG451" s="214" t="s">
        <v>29428</v>
      </c>
      <c r="DH451" s="214" t="s">
        <v>52</v>
      </c>
      <c r="DI451" s="214" t="s">
        <v>70</v>
      </c>
      <c r="DJ451" s="214" t="s">
        <v>530</v>
      </c>
      <c r="DL451" s="214" t="s">
        <v>29429</v>
      </c>
      <c r="DM451" s="214" t="s">
        <v>950</v>
      </c>
      <c r="DN451" s="214" t="s">
        <v>70</v>
      </c>
      <c r="DO451" s="214" t="s">
        <v>530</v>
      </c>
      <c r="DQ451" s="214" t="s">
        <v>29430</v>
      </c>
      <c r="DR451" s="214" t="s">
        <v>88</v>
      </c>
      <c r="DS451" s="214" t="s">
        <v>70</v>
      </c>
      <c r="DT451" s="214" t="s">
        <v>530</v>
      </c>
      <c r="DV451" s="214" t="s">
        <v>29431</v>
      </c>
      <c r="DW451" s="214" t="s">
        <v>468</v>
      </c>
      <c r="DX451" s="214" t="s">
        <v>70</v>
      </c>
      <c r="DY451" s="214" t="s">
        <v>530</v>
      </c>
      <c r="EA451" s="214" t="s">
        <v>29432</v>
      </c>
      <c r="EB451" s="214" t="s">
        <v>919</v>
      </c>
      <c r="EC451" s="214" t="s">
        <v>70</v>
      </c>
      <c r="ED451" s="214" t="s">
        <v>530</v>
      </c>
      <c r="EF451" s="214" t="s">
        <v>29433</v>
      </c>
      <c r="EG451" s="214" t="s">
        <v>501</v>
      </c>
      <c r="EH451" s="214" t="s">
        <v>70</v>
      </c>
      <c r="EI451" s="214" t="s">
        <v>530</v>
      </c>
      <c r="EK451" s="214" t="s">
        <v>29434</v>
      </c>
      <c r="EL451" s="214" t="s">
        <v>34516</v>
      </c>
      <c r="EM451" s="214" t="s">
        <v>70</v>
      </c>
      <c r="EN451" s="214" t="s">
        <v>530</v>
      </c>
      <c r="EP451" s="214" t="s">
        <v>29435</v>
      </c>
      <c r="EQ451" s="214" t="s">
        <v>148</v>
      </c>
      <c r="ER451" s="214" t="s">
        <v>70</v>
      </c>
      <c r="ES451" s="214" t="s">
        <v>530</v>
      </c>
      <c r="EU451" s="214" t="s">
        <v>29436</v>
      </c>
      <c r="EV451" s="214" t="s">
        <v>935</v>
      </c>
      <c r="EW451" s="214" t="s">
        <v>70</v>
      </c>
      <c r="EX451" s="214" t="s">
        <v>530</v>
      </c>
      <c r="EZ451" s="214" t="s">
        <v>29437</v>
      </c>
      <c r="FA451" s="214" t="s">
        <v>146</v>
      </c>
      <c r="FB451" s="214" t="s">
        <v>70</v>
      </c>
      <c r="FC451" s="214" t="s">
        <v>530</v>
      </c>
      <c r="FE451" s="214" t="s">
        <v>29438</v>
      </c>
      <c r="FF451" s="214" t="s">
        <v>34542</v>
      </c>
      <c r="FG451" s="214" t="s">
        <v>70</v>
      </c>
      <c r="FH451" s="214" t="s">
        <v>530</v>
      </c>
      <c r="FJ451" s="321" t="s">
        <v>29439</v>
      </c>
      <c r="FK451" s="214" t="s">
        <v>145</v>
      </c>
      <c r="FL451" s="214" t="s">
        <v>70</v>
      </c>
      <c r="FM451" s="214" t="s">
        <v>530</v>
      </c>
      <c r="FO451" s="321" t="s">
        <v>29440</v>
      </c>
      <c r="FP451" s="214" t="s">
        <v>485</v>
      </c>
      <c r="FQ451" s="214" t="s">
        <v>70</v>
      </c>
      <c r="FR451" s="214" t="s">
        <v>530</v>
      </c>
      <c r="FT451" s="321" t="s">
        <v>29441</v>
      </c>
      <c r="FU451" s="214" t="s">
        <v>34541</v>
      </c>
      <c r="FV451" s="214" t="s">
        <v>70</v>
      </c>
      <c r="FW451" s="214" t="s">
        <v>530</v>
      </c>
      <c r="FY451" s="321" t="s">
        <v>29442</v>
      </c>
      <c r="FZ451" s="214" t="s">
        <v>34552</v>
      </c>
      <c r="GA451" s="214" t="s">
        <v>70</v>
      </c>
      <c r="GB451" s="214" t="s">
        <v>530</v>
      </c>
      <c r="GD451" s="321" t="s">
        <v>29443</v>
      </c>
      <c r="GE451" s="214" t="s">
        <v>34556</v>
      </c>
      <c r="GF451" s="214" t="s">
        <v>70</v>
      </c>
      <c r="GG451" s="214" t="s">
        <v>530</v>
      </c>
      <c r="GI451" s="321" t="s">
        <v>29444</v>
      </c>
      <c r="GJ451" s="214" t="s">
        <v>468</v>
      </c>
      <c r="GK451" s="214" t="s">
        <v>70</v>
      </c>
      <c r="GL451" s="214" t="s">
        <v>530</v>
      </c>
      <c r="GN451" s="321" t="s">
        <v>29445</v>
      </c>
      <c r="GO451" s="214" t="s">
        <v>34544</v>
      </c>
      <c r="GP451" s="214" t="s">
        <v>70</v>
      </c>
      <c r="GQ451" s="214" t="s">
        <v>530</v>
      </c>
      <c r="GS451" s="321" t="s">
        <v>29446</v>
      </c>
      <c r="GT451" s="214" t="s">
        <v>503</v>
      </c>
      <c r="GU451" s="214" t="s">
        <v>70</v>
      </c>
      <c r="GV451" s="214" t="s">
        <v>530</v>
      </c>
      <c r="GX451" s="214" t="s">
        <v>29447</v>
      </c>
      <c r="GY451" s="214" t="s">
        <v>492</v>
      </c>
      <c r="GZ451" s="214" t="s">
        <v>70</v>
      </c>
      <c r="HA451" s="214" t="s">
        <v>530</v>
      </c>
      <c r="HC451" s="214" t="s">
        <v>29448</v>
      </c>
      <c r="HD451" s="214" t="s">
        <v>103</v>
      </c>
      <c r="HE451" s="214" t="s">
        <v>70</v>
      </c>
      <c r="HF451" s="214" t="s">
        <v>530</v>
      </c>
      <c r="HH451" s="214" t="s">
        <v>29449</v>
      </c>
      <c r="HI451" s="214" t="s">
        <v>488</v>
      </c>
      <c r="HJ451" s="214" t="s">
        <v>70</v>
      </c>
      <c r="HK451" s="214" t="s">
        <v>530</v>
      </c>
      <c r="HM451" s="214" t="s">
        <v>29450</v>
      </c>
      <c r="HN451" s="214" t="s">
        <v>468</v>
      </c>
      <c r="HO451" s="214" t="s">
        <v>70</v>
      </c>
      <c r="HP451" s="214" t="s">
        <v>530</v>
      </c>
      <c r="HR451" s="22" t="s">
        <v>29451</v>
      </c>
      <c r="HS451" s="22" t="s">
        <v>950</v>
      </c>
      <c r="HT451" s="22" t="s">
        <v>70</v>
      </c>
      <c r="HU451" s="214" t="s">
        <v>530</v>
      </c>
      <c r="HW451" s="22" t="s">
        <v>29452</v>
      </c>
      <c r="HX451" s="22" t="s">
        <v>531</v>
      </c>
      <c r="HY451" s="22" t="s">
        <v>70</v>
      </c>
      <c r="HZ451" s="214" t="s">
        <v>530</v>
      </c>
      <c r="IB451" s="22" t="s">
        <v>29453</v>
      </c>
      <c r="IC451" s="22" t="s">
        <v>484</v>
      </c>
      <c r="ID451" s="22" t="s">
        <v>70</v>
      </c>
      <c r="IE451" s="214" t="s">
        <v>530</v>
      </c>
      <c r="IG451" s="22" t="s">
        <v>29454</v>
      </c>
      <c r="IH451" s="22" t="s">
        <v>52</v>
      </c>
      <c r="II451" s="22" t="s">
        <v>70</v>
      </c>
      <c r="IJ451" s="214" t="s">
        <v>530</v>
      </c>
      <c r="IL451" s="22" t="s">
        <v>29455</v>
      </c>
      <c r="IM451" s="22" t="s">
        <v>145</v>
      </c>
      <c r="IN451" s="22" t="s">
        <v>70</v>
      </c>
      <c r="IO451" s="214" t="s">
        <v>530</v>
      </c>
      <c r="IQ451" s="236" t="s">
        <v>29456</v>
      </c>
      <c r="IR451" s="236" t="s">
        <v>145</v>
      </c>
      <c r="IS451" s="236" t="s">
        <v>74</v>
      </c>
      <c r="IT451" s="236" t="s">
        <v>841</v>
      </c>
      <c r="IV451" s="236" t="s">
        <v>29457</v>
      </c>
      <c r="IW451" s="236" t="s">
        <v>145</v>
      </c>
      <c r="IX451" s="236" t="s">
        <v>74</v>
      </c>
      <c r="IY451" s="236" t="s">
        <v>841</v>
      </c>
      <c r="JA451" s="236" t="s">
        <v>29458</v>
      </c>
      <c r="JB451" s="236" t="s">
        <v>145</v>
      </c>
      <c r="JC451" s="236" t="s">
        <v>74</v>
      </c>
      <c r="JD451" s="236" t="s">
        <v>841</v>
      </c>
      <c r="JF451" s="236" t="s">
        <v>29459</v>
      </c>
      <c r="JG451" s="236" t="s">
        <v>145</v>
      </c>
      <c r="JH451" s="236" t="s">
        <v>74</v>
      </c>
      <c r="JI451" s="236" t="s">
        <v>841</v>
      </c>
      <c r="JK451" s="236" t="s">
        <v>29460</v>
      </c>
      <c r="JL451" s="236" t="s">
        <v>145</v>
      </c>
      <c r="JM451" s="236" t="s">
        <v>74</v>
      </c>
      <c r="JN451" s="236" t="s">
        <v>841</v>
      </c>
      <c r="JP451" s="236" t="s">
        <v>29461</v>
      </c>
      <c r="JQ451" s="236" t="s">
        <v>145</v>
      </c>
      <c r="JR451" s="236" t="s">
        <v>74</v>
      </c>
      <c r="JS451" s="236" t="s">
        <v>841</v>
      </c>
      <c r="JU451" s="294" t="s">
        <v>29462</v>
      </c>
      <c r="JV451" s="294" t="s">
        <v>52</v>
      </c>
      <c r="JW451" s="263" t="s">
        <v>70</v>
      </c>
      <c r="JX451" s="294" t="s">
        <v>1083</v>
      </c>
      <c r="JZ451" s="263" t="s">
        <v>29463</v>
      </c>
      <c r="KA451" s="263" t="s">
        <v>145</v>
      </c>
      <c r="KB451" s="263" t="s">
        <v>70</v>
      </c>
      <c r="KC451" s="263" t="s">
        <v>1083</v>
      </c>
      <c r="KE451" s="263" t="s">
        <v>29464</v>
      </c>
      <c r="KF451" s="263" t="s">
        <v>52</v>
      </c>
      <c r="KG451" s="263" t="s">
        <v>70</v>
      </c>
      <c r="KH451" s="263" t="s">
        <v>1083</v>
      </c>
      <c r="KJ451" s="263" t="s">
        <v>29465</v>
      </c>
      <c r="KK451" s="263" t="s">
        <v>52</v>
      </c>
      <c r="KL451" s="263" t="s">
        <v>74</v>
      </c>
      <c r="KM451" s="263" t="s">
        <v>34074</v>
      </c>
      <c r="KO451" s="214" t="s">
        <v>29466</v>
      </c>
      <c r="KP451" s="214" t="s">
        <v>145</v>
      </c>
      <c r="KQ451" s="214" t="s">
        <v>70</v>
      </c>
      <c r="KR451" s="214" t="s">
        <v>67</v>
      </c>
      <c r="KT451" s="22" t="s">
        <v>29467</v>
      </c>
      <c r="KU451" s="22" t="s">
        <v>145</v>
      </c>
      <c r="KV451" s="22" t="s">
        <v>70</v>
      </c>
      <c r="KW451" s="22" t="s">
        <v>67</v>
      </c>
      <c r="KY451" s="214" t="s">
        <v>29468</v>
      </c>
      <c r="KZ451" s="214" t="s">
        <v>52</v>
      </c>
      <c r="LA451" s="214" t="s">
        <v>74</v>
      </c>
      <c r="LB451" s="214" t="s">
        <v>67</v>
      </c>
      <c r="LD451" s="22" t="s">
        <v>29469</v>
      </c>
      <c r="LE451" s="22" t="s">
        <v>145</v>
      </c>
      <c r="LF451" s="22" t="s">
        <v>70</v>
      </c>
      <c r="LG451" s="22" t="s">
        <v>67</v>
      </c>
    </row>
    <row r="452" spans="1:319">
      <c r="A452" s="22" t="s">
        <v>29470</v>
      </c>
      <c r="B452" s="22" t="s">
        <v>145</v>
      </c>
      <c r="C452" s="22" t="s">
        <v>70</v>
      </c>
      <c r="D452" s="22" t="s">
        <v>67</v>
      </c>
      <c r="F452" s="97" t="s">
        <v>29471</v>
      </c>
      <c r="G452" s="22" t="s">
        <v>145</v>
      </c>
      <c r="H452" s="22" t="s">
        <v>70</v>
      </c>
      <c r="I452" s="22" t="s">
        <v>67</v>
      </c>
      <c r="K452" s="99" t="s">
        <v>29472</v>
      </c>
      <c r="L452" s="22" t="s">
        <v>145</v>
      </c>
      <c r="M452" s="22" t="s">
        <v>70</v>
      </c>
      <c r="N452" s="22" t="s">
        <v>67</v>
      </c>
      <c r="P452" s="230" t="s">
        <v>29473</v>
      </c>
      <c r="Q452" s="218" t="s">
        <v>145</v>
      </c>
      <c r="R452" s="218" t="s">
        <v>72</v>
      </c>
      <c r="S452" s="218" t="s">
        <v>34053</v>
      </c>
      <c r="U452" s="293" t="s">
        <v>29474</v>
      </c>
      <c r="V452" s="293" t="s">
        <v>145</v>
      </c>
      <c r="W452" s="293" t="s">
        <v>74</v>
      </c>
      <c r="X452" s="293" t="s">
        <v>656</v>
      </c>
      <c r="Z452" s="293" t="s">
        <v>29475</v>
      </c>
      <c r="AA452" s="293" t="s">
        <v>145</v>
      </c>
      <c r="AB452" s="293" t="s">
        <v>74</v>
      </c>
      <c r="AC452" s="293" t="s">
        <v>656</v>
      </c>
      <c r="AE452" s="293" t="s">
        <v>29476</v>
      </c>
      <c r="AF452" s="293" t="s">
        <v>145</v>
      </c>
      <c r="AG452" s="293" t="s">
        <v>74</v>
      </c>
      <c r="AH452" s="293" t="s">
        <v>656</v>
      </c>
      <c r="AJ452" s="293" t="s">
        <v>29477</v>
      </c>
      <c r="AK452" s="293" t="s">
        <v>145</v>
      </c>
      <c r="AL452" s="293" t="s">
        <v>74</v>
      </c>
      <c r="AM452" s="293" t="s">
        <v>656</v>
      </c>
      <c r="AO452" s="22" t="s">
        <v>29478</v>
      </c>
      <c r="AP452" s="22" t="s">
        <v>145</v>
      </c>
      <c r="AQ452" s="22" t="s">
        <v>70</v>
      </c>
      <c r="AR452" s="22" t="s">
        <v>67</v>
      </c>
      <c r="AT452" s="22" t="s">
        <v>29479</v>
      </c>
      <c r="AU452" s="22" t="s">
        <v>145</v>
      </c>
      <c r="AV452" s="22" t="s">
        <v>70</v>
      </c>
      <c r="AW452" s="22" t="s">
        <v>67</v>
      </c>
      <c r="AY452" s="22" t="s">
        <v>29480</v>
      </c>
      <c r="AZ452" s="22" t="s">
        <v>145</v>
      </c>
      <c r="BA452" s="22" t="s">
        <v>70</v>
      </c>
      <c r="BB452" s="22" t="s">
        <v>67</v>
      </c>
      <c r="BD452" s="22" t="s">
        <v>29481</v>
      </c>
      <c r="BE452" s="22" t="s">
        <v>145</v>
      </c>
      <c r="BF452" s="22" t="s">
        <v>70</v>
      </c>
      <c r="BG452" s="22" t="s">
        <v>67</v>
      </c>
      <c r="BI452" s="22" t="s">
        <v>29482</v>
      </c>
      <c r="BJ452" s="22" t="s">
        <v>145</v>
      </c>
      <c r="BK452" s="22" t="s">
        <v>70</v>
      </c>
      <c r="BL452" s="22" t="s">
        <v>67</v>
      </c>
      <c r="BN452" s="22" t="s">
        <v>29483</v>
      </c>
      <c r="BO452" s="22" t="s">
        <v>145</v>
      </c>
      <c r="BP452" s="22" t="s">
        <v>70</v>
      </c>
      <c r="BQ452" s="22" t="s">
        <v>67</v>
      </c>
      <c r="BS452" s="22" t="s">
        <v>29484</v>
      </c>
      <c r="BT452" s="22" t="s">
        <v>145</v>
      </c>
      <c r="BU452" s="22" t="s">
        <v>70</v>
      </c>
      <c r="BV452" s="214" t="s">
        <v>530</v>
      </c>
      <c r="BX452" s="22" t="s">
        <v>29485</v>
      </c>
      <c r="BY452" s="22" t="s">
        <v>145</v>
      </c>
      <c r="BZ452" s="22" t="s">
        <v>70</v>
      </c>
      <c r="CA452" s="214" t="s">
        <v>530</v>
      </c>
      <c r="CC452" s="214" t="s">
        <v>29486</v>
      </c>
      <c r="CD452" s="214" t="s">
        <v>163</v>
      </c>
      <c r="CE452" s="214" t="s">
        <v>70</v>
      </c>
      <c r="CF452" s="214" t="s">
        <v>530</v>
      </c>
      <c r="CH452" s="214" t="s">
        <v>29487</v>
      </c>
      <c r="CI452" s="214" t="s">
        <v>34637</v>
      </c>
      <c r="CJ452" s="214" t="s">
        <v>70</v>
      </c>
      <c r="CK452" s="214" t="s">
        <v>530</v>
      </c>
      <c r="CM452" s="214" t="s">
        <v>29488</v>
      </c>
      <c r="CN452" s="214" t="s">
        <v>34623</v>
      </c>
      <c r="CO452" s="214" t="s">
        <v>70</v>
      </c>
      <c r="CP452" s="214" t="s">
        <v>530</v>
      </c>
      <c r="CR452" s="214" t="s">
        <v>29489</v>
      </c>
      <c r="CS452" s="214" t="s">
        <v>34613</v>
      </c>
      <c r="CT452" s="214" t="s">
        <v>70</v>
      </c>
      <c r="CU452" s="214" t="s">
        <v>530</v>
      </c>
      <c r="CW452" s="214" t="s">
        <v>29490</v>
      </c>
      <c r="CX452" s="214" t="s">
        <v>89</v>
      </c>
      <c r="CY452" s="214" t="s">
        <v>70</v>
      </c>
      <c r="CZ452" s="214" t="s">
        <v>530</v>
      </c>
      <c r="DB452" s="214" t="s">
        <v>29491</v>
      </c>
      <c r="DC452" s="214" t="s">
        <v>34606</v>
      </c>
      <c r="DD452" s="214" t="s">
        <v>70</v>
      </c>
      <c r="DE452" s="214" t="s">
        <v>530</v>
      </c>
      <c r="DG452" s="214" t="s">
        <v>29492</v>
      </c>
      <c r="DH452" s="214" t="s">
        <v>52</v>
      </c>
      <c r="DI452" s="214" t="s">
        <v>70</v>
      </c>
      <c r="DJ452" s="214" t="s">
        <v>530</v>
      </c>
      <c r="DL452" s="214" t="s">
        <v>29493</v>
      </c>
      <c r="DM452" s="214" t="s">
        <v>34544</v>
      </c>
      <c r="DN452" s="214" t="s">
        <v>70</v>
      </c>
      <c r="DO452" s="214" t="s">
        <v>530</v>
      </c>
      <c r="DQ452" s="214" t="s">
        <v>29494</v>
      </c>
      <c r="DR452" s="214" t="s">
        <v>952</v>
      </c>
      <c r="DS452" s="214" t="s">
        <v>70</v>
      </c>
      <c r="DT452" s="214" t="s">
        <v>530</v>
      </c>
      <c r="DV452" s="214" t="s">
        <v>29495</v>
      </c>
      <c r="DW452" s="214" t="s">
        <v>921</v>
      </c>
      <c r="DX452" s="214" t="s">
        <v>70</v>
      </c>
      <c r="DY452" s="214" t="s">
        <v>530</v>
      </c>
      <c r="EA452" s="214" t="s">
        <v>29496</v>
      </c>
      <c r="EB452" s="214" t="s">
        <v>34618</v>
      </c>
      <c r="EC452" s="214" t="s">
        <v>70</v>
      </c>
      <c r="ED452" s="214" t="s">
        <v>530</v>
      </c>
      <c r="EF452" s="214" t="s">
        <v>29497</v>
      </c>
      <c r="EG452" s="214" t="s">
        <v>85</v>
      </c>
      <c r="EH452" s="214" t="s">
        <v>70</v>
      </c>
      <c r="EI452" s="214" t="s">
        <v>530</v>
      </c>
      <c r="EK452" s="214" t="s">
        <v>29498</v>
      </c>
      <c r="EL452" s="214" t="s">
        <v>600</v>
      </c>
      <c r="EM452" s="214" t="s">
        <v>70</v>
      </c>
      <c r="EN452" s="214" t="s">
        <v>530</v>
      </c>
      <c r="EP452" s="214" t="s">
        <v>29499</v>
      </c>
      <c r="EQ452" s="214" t="s">
        <v>89</v>
      </c>
      <c r="ER452" s="214" t="s">
        <v>70</v>
      </c>
      <c r="ES452" s="214" t="s">
        <v>530</v>
      </c>
      <c r="EU452" s="214" t="s">
        <v>29500</v>
      </c>
      <c r="EV452" s="214" t="s">
        <v>34611</v>
      </c>
      <c r="EW452" s="214" t="s">
        <v>70</v>
      </c>
      <c r="EX452" s="214" t="s">
        <v>530</v>
      </c>
      <c r="EZ452" s="214" t="s">
        <v>29501</v>
      </c>
      <c r="FA452" s="214" t="s">
        <v>918</v>
      </c>
      <c r="FB452" s="214" t="s">
        <v>70</v>
      </c>
      <c r="FC452" s="214" t="s">
        <v>530</v>
      </c>
      <c r="FE452" s="214" t="s">
        <v>29502</v>
      </c>
      <c r="FF452" s="214" t="s">
        <v>52</v>
      </c>
      <c r="FG452" s="214" t="s">
        <v>70</v>
      </c>
      <c r="FH452" s="214" t="s">
        <v>530</v>
      </c>
      <c r="FJ452" s="321" t="s">
        <v>29503</v>
      </c>
      <c r="FK452" s="214" t="s">
        <v>34640</v>
      </c>
      <c r="FL452" s="214" t="s">
        <v>70</v>
      </c>
      <c r="FM452" s="214" t="s">
        <v>530</v>
      </c>
      <c r="FO452" s="321" t="s">
        <v>29504</v>
      </c>
      <c r="FP452" s="214" t="s">
        <v>482</v>
      </c>
      <c r="FQ452" s="214" t="s">
        <v>70</v>
      </c>
      <c r="FR452" s="214" t="s">
        <v>530</v>
      </c>
      <c r="FT452" s="321" t="s">
        <v>29505</v>
      </c>
      <c r="FU452" s="214" t="s">
        <v>305</v>
      </c>
      <c r="FV452" s="214" t="s">
        <v>70</v>
      </c>
      <c r="FW452" s="214" t="s">
        <v>530</v>
      </c>
      <c r="FY452" s="321" t="s">
        <v>29506</v>
      </c>
      <c r="FZ452" s="214" t="s">
        <v>468</v>
      </c>
      <c r="GA452" s="214" t="s">
        <v>70</v>
      </c>
      <c r="GB452" s="214" t="s">
        <v>530</v>
      </c>
      <c r="GD452" s="321" t="s">
        <v>29507</v>
      </c>
      <c r="GE452" s="214" t="s">
        <v>913</v>
      </c>
      <c r="GF452" s="214" t="s">
        <v>70</v>
      </c>
      <c r="GG452" s="214" t="s">
        <v>530</v>
      </c>
      <c r="GI452" s="321" t="s">
        <v>29508</v>
      </c>
      <c r="GJ452" s="214" t="s">
        <v>486</v>
      </c>
      <c r="GK452" s="214" t="s">
        <v>70</v>
      </c>
      <c r="GL452" s="214" t="s">
        <v>530</v>
      </c>
      <c r="GN452" s="321" t="s">
        <v>29509</v>
      </c>
      <c r="GO452" s="214" t="s">
        <v>88</v>
      </c>
      <c r="GP452" s="214" t="s">
        <v>70</v>
      </c>
      <c r="GQ452" s="214" t="s">
        <v>530</v>
      </c>
      <c r="GS452" s="321" t="s">
        <v>29510</v>
      </c>
      <c r="GT452" s="214" t="s">
        <v>52</v>
      </c>
      <c r="GU452" s="214" t="s">
        <v>70</v>
      </c>
      <c r="GV452" s="214" t="s">
        <v>530</v>
      </c>
      <c r="GX452" s="214" t="s">
        <v>29511</v>
      </c>
      <c r="GY452" s="214" t="s">
        <v>915</v>
      </c>
      <c r="GZ452" s="214" t="s">
        <v>70</v>
      </c>
      <c r="HA452" s="214" t="s">
        <v>530</v>
      </c>
      <c r="HC452" s="214" t="s">
        <v>29512</v>
      </c>
      <c r="HD452" s="214" t="s">
        <v>34574</v>
      </c>
      <c r="HE452" s="214" t="s">
        <v>70</v>
      </c>
      <c r="HF452" s="214" t="s">
        <v>530</v>
      </c>
      <c r="HH452" s="214" t="s">
        <v>29513</v>
      </c>
      <c r="HI452" s="214" t="s">
        <v>21742</v>
      </c>
      <c r="HJ452" s="214" t="s">
        <v>70</v>
      </c>
      <c r="HK452" s="214" t="s">
        <v>530</v>
      </c>
      <c r="HM452" s="214" t="s">
        <v>29514</v>
      </c>
      <c r="HN452" s="214" t="s">
        <v>529</v>
      </c>
      <c r="HO452" s="214" t="s">
        <v>70</v>
      </c>
      <c r="HP452" s="214" t="s">
        <v>530</v>
      </c>
      <c r="HR452" s="22" t="s">
        <v>29515</v>
      </c>
      <c r="HS452" s="22" t="s">
        <v>52</v>
      </c>
      <c r="HT452" s="22" t="s">
        <v>70</v>
      </c>
      <c r="HU452" s="214" t="s">
        <v>530</v>
      </c>
      <c r="HW452" s="22" t="s">
        <v>29516</v>
      </c>
      <c r="HX452" s="22" t="s">
        <v>765</v>
      </c>
      <c r="HY452" s="22" t="s">
        <v>70</v>
      </c>
      <c r="HZ452" s="214" t="s">
        <v>530</v>
      </c>
      <c r="IB452" s="22" t="s">
        <v>29517</v>
      </c>
      <c r="IC452" s="22" t="s">
        <v>90</v>
      </c>
      <c r="ID452" s="22" t="s">
        <v>70</v>
      </c>
      <c r="IE452" s="214" t="s">
        <v>530</v>
      </c>
      <c r="IG452" s="22" t="s">
        <v>29518</v>
      </c>
      <c r="IH452" s="22" t="s">
        <v>52</v>
      </c>
      <c r="II452" s="22" t="s">
        <v>70</v>
      </c>
      <c r="IJ452" s="214" t="s">
        <v>530</v>
      </c>
      <c r="IL452" s="22" t="s">
        <v>29519</v>
      </c>
      <c r="IM452" s="22" t="s">
        <v>145</v>
      </c>
      <c r="IN452" s="22" t="s">
        <v>70</v>
      </c>
      <c r="IO452" s="214" t="s">
        <v>530</v>
      </c>
      <c r="IQ452" s="236" t="s">
        <v>29520</v>
      </c>
      <c r="IR452" s="236" t="s">
        <v>145</v>
      </c>
      <c r="IS452" s="236" t="s">
        <v>74</v>
      </c>
      <c r="IT452" s="236" t="s">
        <v>841</v>
      </c>
      <c r="IV452" s="236" t="s">
        <v>29521</v>
      </c>
      <c r="IW452" s="236" t="s">
        <v>145</v>
      </c>
      <c r="IX452" s="236" t="s">
        <v>74</v>
      </c>
      <c r="IY452" s="236" t="s">
        <v>841</v>
      </c>
      <c r="JA452" s="236" t="s">
        <v>29522</v>
      </c>
      <c r="JB452" s="236" t="s">
        <v>145</v>
      </c>
      <c r="JC452" s="236" t="s">
        <v>74</v>
      </c>
      <c r="JD452" s="236" t="s">
        <v>841</v>
      </c>
      <c r="JF452" s="236" t="s">
        <v>29523</v>
      </c>
      <c r="JG452" s="236" t="s">
        <v>145</v>
      </c>
      <c r="JH452" s="236" t="s">
        <v>74</v>
      </c>
      <c r="JI452" s="236" t="s">
        <v>841</v>
      </c>
      <c r="JK452" s="236" t="s">
        <v>29524</v>
      </c>
      <c r="JL452" s="236" t="s">
        <v>145</v>
      </c>
      <c r="JM452" s="236" t="s">
        <v>74</v>
      </c>
      <c r="JN452" s="236" t="s">
        <v>841</v>
      </c>
      <c r="JP452" s="236" t="s">
        <v>29525</v>
      </c>
      <c r="JQ452" s="236" t="s">
        <v>145</v>
      </c>
      <c r="JR452" s="236" t="s">
        <v>74</v>
      </c>
      <c r="JS452" s="236" t="s">
        <v>841</v>
      </c>
      <c r="JU452" s="294" t="s">
        <v>29526</v>
      </c>
      <c r="JV452" s="294" t="s">
        <v>52</v>
      </c>
      <c r="JW452" s="263" t="s">
        <v>70</v>
      </c>
      <c r="JX452" s="294" t="s">
        <v>1083</v>
      </c>
      <c r="JZ452" s="263" t="s">
        <v>29527</v>
      </c>
      <c r="KA452" s="263" t="s">
        <v>145</v>
      </c>
      <c r="KB452" s="263" t="s">
        <v>70</v>
      </c>
      <c r="KC452" s="263" t="s">
        <v>1083</v>
      </c>
      <c r="KE452" s="263" t="s">
        <v>29528</v>
      </c>
      <c r="KF452" s="263" t="s">
        <v>52</v>
      </c>
      <c r="KG452" s="263" t="s">
        <v>70</v>
      </c>
      <c r="KH452" s="263" t="s">
        <v>1083</v>
      </c>
      <c r="KJ452" s="263" t="s">
        <v>29529</v>
      </c>
      <c r="KK452" s="263" t="s">
        <v>52</v>
      </c>
      <c r="KL452" s="263" t="s">
        <v>74</v>
      </c>
      <c r="KM452" s="263" t="s">
        <v>34074</v>
      </c>
      <c r="KO452" s="214" t="s">
        <v>29530</v>
      </c>
      <c r="KP452" s="214" t="s">
        <v>145</v>
      </c>
      <c r="KQ452" s="214" t="s">
        <v>70</v>
      </c>
      <c r="KR452" s="214" t="s">
        <v>67</v>
      </c>
      <c r="KT452" s="22" t="s">
        <v>29531</v>
      </c>
      <c r="KU452" s="22" t="s">
        <v>145</v>
      </c>
      <c r="KV452" s="22" t="s">
        <v>70</v>
      </c>
      <c r="KW452" s="22" t="s">
        <v>67</v>
      </c>
      <c r="KY452" s="214" t="s">
        <v>29532</v>
      </c>
      <c r="KZ452" s="214" t="s">
        <v>52</v>
      </c>
      <c r="LA452" s="214" t="s">
        <v>74</v>
      </c>
      <c r="LB452" s="214" t="s">
        <v>67</v>
      </c>
      <c r="LD452" s="22" t="s">
        <v>29533</v>
      </c>
      <c r="LE452" s="22" t="s">
        <v>145</v>
      </c>
      <c r="LF452" s="22" t="s">
        <v>70</v>
      </c>
      <c r="LG452" s="22" t="s">
        <v>67</v>
      </c>
    </row>
    <row r="453" spans="1:319">
      <c r="A453" s="22" t="s">
        <v>29534</v>
      </c>
      <c r="B453" s="22" t="s">
        <v>145</v>
      </c>
      <c r="C453" s="22" t="s">
        <v>70</v>
      </c>
      <c r="D453" s="22" t="s">
        <v>67</v>
      </c>
      <c r="F453" s="97" t="s">
        <v>29535</v>
      </c>
      <c r="G453" s="22" t="s">
        <v>145</v>
      </c>
      <c r="H453" s="22" t="s">
        <v>70</v>
      </c>
      <c r="I453" s="22" t="s">
        <v>67</v>
      </c>
      <c r="K453" s="99" t="s">
        <v>29536</v>
      </c>
      <c r="L453" s="22" t="s">
        <v>145</v>
      </c>
      <c r="M453" s="22" t="s">
        <v>70</v>
      </c>
      <c r="N453" s="22" t="s">
        <v>67</v>
      </c>
      <c r="P453" s="230" t="s">
        <v>29537</v>
      </c>
      <c r="Q453" s="218" t="s">
        <v>145</v>
      </c>
      <c r="R453" s="218" t="s">
        <v>72</v>
      </c>
      <c r="S453" s="218" t="s">
        <v>34054</v>
      </c>
      <c r="U453" s="293" t="s">
        <v>29538</v>
      </c>
      <c r="V453" s="293" t="s">
        <v>145</v>
      </c>
      <c r="W453" s="293" t="s">
        <v>74</v>
      </c>
      <c r="X453" s="293" t="s">
        <v>656</v>
      </c>
      <c r="Z453" s="293" t="s">
        <v>29539</v>
      </c>
      <c r="AA453" s="293" t="s">
        <v>145</v>
      </c>
      <c r="AB453" s="293" t="s">
        <v>74</v>
      </c>
      <c r="AC453" s="293" t="s">
        <v>656</v>
      </c>
      <c r="AE453" s="293" t="s">
        <v>29540</v>
      </c>
      <c r="AF453" s="293" t="s">
        <v>145</v>
      </c>
      <c r="AG453" s="293" t="s">
        <v>74</v>
      </c>
      <c r="AH453" s="293" t="s">
        <v>656</v>
      </c>
      <c r="AJ453" s="293" t="s">
        <v>29541</v>
      </c>
      <c r="AK453" s="293" t="s">
        <v>145</v>
      </c>
      <c r="AL453" s="293" t="s">
        <v>74</v>
      </c>
      <c r="AM453" s="293" t="s">
        <v>656</v>
      </c>
      <c r="AO453" s="22" t="s">
        <v>29542</v>
      </c>
      <c r="AP453" s="22" t="s">
        <v>145</v>
      </c>
      <c r="AQ453" s="22" t="s">
        <v>70</v>
      </c>
      <c r="AR453" s="22" t="s">
        <v>67</v>
      </c>
      <c r="AT453" s="22" t="s">
        <v>29543</v>
      </c>
      <c r="AU453" s="22" t="s">
        <v>145</v>
      </c>
      <c r="AV453" s="22" t="s">
        <v>70</v>
      </c>
      <c r="AW453" s="22" t="s">
        <v>67</v>
      </c>
      <c r="AY453" s="22" t="s">
        <v>29544</v>
      </c>
      <c r="AZ453" s="22" t="s">
        <v>145</v>
      </c>
      <c r="BA453" s="22" t="s">
        <v>70</v>
      </c>
      <c r="BB453" s="22" t="s">
        <v>67</v>
      </c>
      <c r="BD453" s="22" t="s">
        <v>29545</v>
      </c>
      <c r="BE453" s="22" t="s">
        <v>145</v>
      </c>
      <c r="BF453" s="22" t="s">
        <v>70</v>
      </c>
      <c r="BG453" s="22" t="s">
        <v>67</v>
      </c>
      <c r="BI453" s="22" t="s">
        <v>29546</v>
      </c>
      <c r="BJ453" s="22" t="s">
        <v>145</v>
      </c>
      <c r="BK453" s="22" t="s">
        <v>70</v>
      </c>
      <c r="BL453" s="22" t="s">
        <v>67</v>
      </c>
      <c r="BN453" s="22" t="s">
        <v>29547</v>
      </c>
      <c r="BO453" s="22" t="s">
        <v>145</v>
      </c>
      <c r="BP453" s="22" t="s">
        <v>70</v>
      </c>
      <c r="BQ453" s="22" t="s">
        <v>67</v>
      </c>
      <c r="BS453" s="22" t="s">
        <v>29548</v>
      </c>
      <c r="BT453" s="22" t="s">
        <v>145</v>
      </c>
      <c r="BU453" s="22" t="s">
        <v>70</v>
      </c>
      <c r="BV453" s="214" t="s">
        <v>530</v>
      </c>
      <c r="BX453" s="22" t="s">
        <v>29549</v>
      </c>
      <c r="BY453" s="22" t="s">
        <v>145</v>
      </c>
      <c r="BZ453" s="22" t="s">
        <v>70</v>
      </c>
      <c r="CA453" s="214" t="s">
        <v>530</v>
      </c>
      <c r="CC453" s="214" t="s">
        <v>29550</v>
      </c>
      <c r="CD453" s="214" t="s">
        <v>34589</v>
      </c>
      <c r="CE453" s="214" t="s">
        <v>70</v>
      </c>
      <c r="CF453" s="214" t="s">
        <v>530</v>
      </c>
      <c r="CH453" s="214" t="s">
        <v>29551</v>
      </c>
      <c r="CI453" s="214" t="s">
        <v>798</v>
      </c>
      <c r="CJ453" s="214" t="s">
        <v>70</v>
      </c>
      <c r="CK453" s="214" t="s">
        <v>530</v>
      </c>
      <c r="CM453" s="214" t="s">
        <v>29552</v>
      </c>
      <c r="CN453" s="214" t="s">
        <v>503</v>
      </c>
      <c r="CO453" s="214" t="s">
        <v>70</v>
      </c>
      <c r="CP453" s="214" t="s">
        <v>530</v>
      </c>
      <c r="CR453" s="214" t="s">
        <v>29553</v>
      </c>
      <c r="CS453" s="214" t="s">
        <v>934</v>
      </c>
      <c r="CT453" s="214" t="s">
        <v>70</v>
      </c>
      <c r="CU453" s="214" t="s">
        <v>530</v>
      </c>
      <c r="CW453" s="214" t="s">
        <v>29554</v>
      </c>
      <c r="CX453" s="214" t="s">
        <v>164</v>
      </c>
      <c r="CY453" s="214" t="s">
        <v>70</v>
      </c>
      <c r="CZ453" s="214" t="s">
        <v>530</v>
      </c>
      <c r="DB453" s="214" t="s">
        <v>29555</v>
      </c>
      <c r="DC453" s="214" t="s">
        <v>34556</v>
      </c>
      <c r="DD453" s="214" t="s">
        <v>70</v>
      </c>
      <c r="DE453" s="214" t="s">
        <v>530</v>
      </c>
      <c r="DG453" s="214" t="s">
        <v>29556</v>
      </c>
      <c r="DH453" s="214" t="s">
        <v>203</v>
      </c>
      <c r="DI453" s="214" t="s">
        <v>70</v>
      </c>
      <c r="DJ453" s="214" t="s">
        <v>530</v>
      </c>
      <c r="DL453" s="214" t="s">
        <v>29557</v>
      </c>
      <c r="DM453" s="214" t="s">
        <v>491</v>
      </c>
      <c r="DN453" s="214" t="s">
        <v>70</v>
      </c>
      <c r="DO453" s="214" t="s">
        <v>530</v>
      </c>
      <c r="DQ453" s="214" t="s">
        <v>29558</v>
      </c>
      <c r="DR453" s="214" t="s">
        <v>926</v>
      </c>
      <c r="DS453" s="214" t="s">
        <v>70</v>
      </c>
      <c r="DT453" s="214" t="s">
        <v>530</v>
      </c>
      <c r="DV453" s="214" t="s">
        <v>29559</v>
      </c>
      <c r="DW453" s="214" t="s">
        <v>602</v>
      </c>
      <c r="DX453" s="214" t="s">
        <v>70</v>
      </c>
      <c r="DY453" s="214" t="s">
        <v>530</v>
      </c>
      <c r="EA453" s="214" t="s">
        <v>29560</v>
      </c>
      <c r="EB453" s="214" t="s">
        <v>34602</v>
      </c>
      <c r="EC453" s="214" t="s">
        <v>70</v>
      </c>
      <c r="ED453" s="214" t="s">
        <v>530</v>
      </c>
      <c r="EF453" s="214" t="s">
        <v>29561</v>
      </c>
      <c r="EG453" s="214" t="s">
        <v>34580</v>
      </c>
      <c r="EH453" s="214" t="s">
        <v>70</v>
      </c>
      <c r="EI453" s="214" t="s">
        <v>530</v>
      </c>
      <c r="EK453" s="214" t="s">
        <v>29562</v>
      </c>
      <c r="EL453" s="214" t="s">
        <v>34558</v>
      </c>
      <c r="EM453" s="214" t="s">
        <v>70</v>
      </c>
      <c r="EN453" s="214" t="s">
        <v>530</v>
      </c>
      <c r="EP453" s="214" t="s">
        <v>29563</v>
      </c>
      <c r="EQ453" s="214" t="s">
        <v>482</v>
      </c>
      <c r="ER453" s="214" t="s">
        <v>70</v>
      </c>
      <c r="ES453" s="214" t="s">
        <v>530</v>
      </c>
      <c r="EU453" s="214" t="s">
        <v>29564</v>
      </c>
      <c r="EV453" s="214" t="s">
        <v>935</v>
      </c>
      <c r="EW453" s="214" t="s">
        <v>70</v>
      </c>
      <c r="EX453" s="214" t="s">
        <v>530</v>
      </c>
      <c r="EZ453" s="214" t="s">
        <v>29565</v>
      </c>
      <c r="FA453" s="214" t="s">
        <v>918</v>
      </c>
      <c r="FB453" s="214" t="s">
        <v>70</v>
      </c>
      <c r="FC453" s="214" t="s">
        <v>530</v>
      </c>
      <c r="FE453" s="214" t="s">
        <v>29566</v>
      </c>
      <c r="FF453" s="214" t="s">
        <v>33910</v>
      </c>
      <c r="FG453" s="214" t="s">
        <v>70</v>
      </c>
      <c r="FH453" s="214" t="s">
        <v>530</v>
      </c>
      <c r="FJ453" s="321" t="s">
        <v>29567</v>
      </c>
      <c r="FK453" s="214" t="s">
        <v>491</v>
      </c>
      <c r="FL453" s="214" t="s">
        <v>70</v>
      </c>
      <c r="FM453" s="214" t="s">
        <v>530</v>
      </c>
      <c r="FO453" s="321" t="s">
        <v>29568</v>
      </c>
      <c r="FP453" s="214" t="s">
        <v>34542</v>
      </c>
      <c r="FQ453" s="214" t="s">
        <v>70</v>
      </c>
      <c r="FR453" s="214" t="s">
        <v>530</v>
      </c>
      <c r="FT453" s="321" t="s">
        <v>29569</v>
      </c>
      <c r="FU453" s="214" t="s">
        <v>34556</v>
      </c>
      <c r="FV453" s="214" t="s">
        <v>70</v>
      </c>
      <c r="FW453" s="214" t="s">
        <v>530</v>
      </c>
      <c r="FY453" s="321" t="s">
        <v>29570</v>
      </c>
      <c r="FZ453" s="214" t="s">
        <v>52</v>
      </c>
      <c r="GA453" s="214" t="s">
        <v>70</v>
      </c>
      <c r="GB453" s="214" t="s">
        <v>530</v>
      </c>
      <c r="GD453" s="321" t="s">
        <v>29571</v>
      </c>
      <c r="GE453" s="214" t="s">
        <v>501</v>
      </c>
      <c r="GF453" s="214" t="s">
        <v>70</v>
      </c>
      <c r="GG453" s="214" t="s">
        <v>530</v>
      </c>
      <c r="GI453" s="321" t="s">
        <v>29572</v>
      </c>
      <c r="GJ453" s="214" t="s">
        <v>486</v>
      </c>
      <c r="GK453" s="214" t="s">
        <v>70</v>
      </c>
      <c r="GL453" s="214" t="s">
        <v>530</v>
      </c>
      <c r="GN453" s="321" t="s">
        <v>29573</v>
      </c>
      <c r="GO453" s="214" t="s">
        <v>34558</v>
      </c>
      <c r="GP453" s="214" t="s">
        <v>70</v>
      </c>
      <c r="GQ453" s="214" t="s">
        <v>530</v>
      </c>
      <c r="GS453" s="321" t="s">
        <v>29574</v>
      </c>
      <c r="GT453" s="214" t="s">
        <v>34593</v>
      </c>
      <c r="GU453" s="214" t="s">
        <v>70</v>
      </c>
      <c r="GV453" s="214" t="s">
        <v>530</v>
      </c>
      <c r="GX453" s="214" t="s">
        <v>29575</v>
      </c>
      <c r="GY453" s="214" t="s">
        <v>34557</v>
      </c>
      <c r="GZ453" s="214" t="s">
        <v>70</v>
      </c>
      <c r="HA453" s="214" t="s">
        <v>530</v>
      </c>
      <c r="HC453" s="214" t="s">
        <v>29576</v>
      </c>
      <c r="HD453" s="214" t="s">
        <v>488</v>
      </c>
      <c r="HE453" s="214" t="s">
        <v>70</v>
      </c>
      <c r="HF453" s="214" t="s">
        <v>530</v>
      </c>
      <c r="HH453" s="214" t="s">
        <v>29577</v>
      </c>
      <c r="HI453" s="214" t="s">
        <v>910</v>
      </c>
      <c r="HJ453" s="214" t="s">
        <v>70</v>
      </c>
      <c r="HK453" s="214" t="s">
        <v>530</v>
      </c>
      <c r="HM453" s="214" t="s">
        <v>29578</v>
      </c>
      <c r="HN453" s="214" t="s">
        <v>518</v>
      </c>
      <c r="HO453" s="214" t="s">
        <v>70</v>
      </c>
      <c r="HP453" s="214" t="s">
        <v>530</v>
      </c>
      <c r="HR453" s="22" t="s">
        <v>29579</v>
      </c>
      <c r="HS453" s="22" t="s">
        <v>484</v>
      </c>
      <c r="HT453" s="22" t="s">
        <v>70</v>
      </c>
      <c r="HU453" s="214" t="s">
        <v>530</v>
      </c>
      <c r="HW453" s="22" t="s">
        <v>29580</v>
      </c>
      <c r="HX453" s="22" t="s">
        <v>148</v>
      </c>
      <c r="HY453" s="22" t="s">
        <v>70</v>
      </c>
      <c r="HZ453" s="214" t="s">
        <v>530</v>
      </c>
      <c r="IB453" s="22" t="s">
        <v>29581</v>
      </c>
      <c r="IC453" s="22" t="s">
        <v>599</v>
      </c>
      <c r="ID453" s="22" t="s">
        <v>70</v>
      </c>
      <c r="IE453" s="214" t="s">
        <v>530</v>
      </c>
      <c r="IG453" s="22" t="s">
        <v>29582</v>
      </c>
      <c r="IH453" s="22" t="s">
        <v>52</v>
      </c>
      <c r="II453" s="22" t="s">
        <v>70</v>
      </c>
      <c r="IJ453" s="214" t="s">
        <v>530</v>
      </c>
      <c r="IL453" s="22" t="s">
        <v>29583</v>
      </c>
      <c r="IM453" s="22" t="s">
        <v>145</v>
      </c>
      <c r="IN453" s="22" t="s">
        <v>70</v>
      </c>
      <c r="IO453" s="214" t="s">
        <v>530</v>
      </c>
      <c r="IQ453" s="236" t="s">
        <v>29584</v>
      </c>
      <c r="IR453" s="236" t="s">
        <v>145</v>
      </c>
      <c r="IS453" s="236" t="s">
        <v>74</v>
      </c>
      <c r="IT453" s="236" t="s">
        <v>841</v>
      </c>
      <c r="IV453" s="236" t="s">
        <v>29585</v>
      </c>
      <c r="IW453" s="236" t="s">
        <v>145</v>
      </c>
      <c r="IX453" s="236" t="s">
        <v>74</v>
      </c>
      <c r="IY453" s="236" t="s">
        <v>841</v>
      </c>
      <c r="JA453" s="236" t="s">
        <v>29586</v>
      </c>
      <c r="JB453" s="236" t="s">
        <v>145</v>
      </c>
      <c r="JC453" s="236" t="s">
        <v>74</v>
      </c>
      <c r="JD453" s="236" t="s">
        <v>841</v>
      </c>
      <c r="JF453" s="236" t="s">
        <v>29587</v>
      </c>
      <c r="JG453" s="236" t="s">
        <v>145</v>
      </c>
      <c r="JH453" s="236" t="s">
        <v>74</v>
      </c>
      <c r="JI453" s="236" t="s">
        <v>841</v>
      </c>
      <c r="JK453" s="236" t="s">
        <v>29588</v>
      </c>
      <c r="JL453" s="236" t="s">
        <v>145</v>
      </c>
      <c r="JM453" s="236" t="s">
        <v>74</v>
      </c>
      <c r="JN453" s="236" t="s">
        <v>841</v>
      </c>
      <c r="JP453" s="236" t="s">
        <v>29589</v>
      </c>
      <c r="JQ453" s="236" t="s">
        <v>145</v>
      </c>
      <c r="JR453" s="236" t="s">
        <v>74</v>
      </c>
      <c r="JS453" s="236" t="s">
        <v>841</v>
      </c>
      <c r="JU453" s="294" t="s">
        <v>29590</v>
      </c>
      <c r="JV453" s="294" t="s">
        <v>52</v>
      </c>
      <c r="JW453" s="263" t="s">
        <v>70</v>
      </c>
      <c r="JX453" s="294" t="s">
        <v>1083</v>
      </c>
      <c r="JZ453" s="263" t="s">
        <v>29591</v>
      </c>
      <c r="KA453" s="263" t="s">
        <v>145</v>
      </c>
      <c r="KB453" s="263" t="s">
        <v>70</v>
      </c>
      <c r="KC453" s="263" t="s">
        <v>1083</v>
      </c>
      <c r="KE453" s="263" t="s">
        <v>29592</v>
      </c>
      <c r="KF453" s="263" t="s">
        <v>52</v>
      </c>
      <c r="KG453" s="263" t="s">
        <v>70</v>
      </c>
      <c r="KH453" s="263" t="s">
        <v>1083</v>
      </c>
      <c r="KJ453" s="263" t="s">
        <v>29593</v>
      </c>
      <c r="KK453" s="263" t="s">
        <v>52</v>
      </c>
      <c r="KL453" s="263" t="s">
        <v>74</v>
      </c>
      <c r="KM453" s="263" t="s">
        <v>34074</v>
      </c>
      <c r="KO453" s="214" t="s">
        <v>29594</v>
      </c>
      <c r="KP453" s="214" t="s">
        <v>145</v>
      </c>
      <c r="KQ453" s="214" t="s">
        <v>70</v>
      </c>
      <c r="KR453" s="214" t="s">
        <v>67</v>
      </c>
      <c r="KT453" s="22" t="s">
        <v>29595</v>
      </c>
      <c r="KU453" s="22" t="s">
        <v>145</v>
      </c>
      <c r="KV453" s="22" t="s">
        <v>70</v>
      </c>
      <c r="KW453" s="22" t="s">
        <v>67</v>
      </c>
      <c r="KY453" s="214" t="s">
        <v>29596</v>
      </c>
      <c r="KZ453" s="214" t="s">
        <v>52</v>
      </c>
      <c r="LA453" s="214" t="s">
        <v>74</v>
      </c>
      <c r="LB453" s="214" t="s">
        <v>67</v>
      </c>
      <c r="LD453" s="22" t="s">
        <v>29597</v>
      </c>
      <c r="LE453" s="22" t="s">
        <v>145</v>
      </c>
      <c r="LF453" s="22" t="s">
        <v>70</v>
      </c>
      <c r="LG453" s="22" t="s">
        <v>67</v>
      </c>
    </row>
    <row r="454" spans="1:319">
      <c r="A454" s="22" t="s">
        <v>29598</v>
      </c>
      <c r="B454" s="22" t="s">
        <v>145</v>
      </c>
      <c r="C454" s="22" t="s">
        <v>70</v>
      </c>
      <c r="D454" s="22" t="s">
        <v>67</v>
      </c>
      <c r="F454" s="97" t="s">
        <v>29599</v>
      </c>
      <c r="G454" s="22" t="s">
        <v>145</v>
      </c>
      <c r="H454" s="22" t="s">
        <v>70</v>
      </c>
      <c r="I454" s="22" t="s">
        <v>67</v>
      </c>
      <c r="K454" s="99" t="s">
        <v>29600</v>
      </c>
      <c r="L454" s="22" t="s">
        <v>145</v>
      </c>
      <c r="M454" s="22" t="s">
        <v>70</v>
      </c>
      <c r="N454" s="22" t="s">
        <v>67</v>
      </c>
      <c r="P454" s="230" t="s">
        <v>29601</v>
      </c>
      <c r="Q454" s="218" t="s">
        <v>145</v>
      </c>
      <c r="R454" s="218" t="s">
        <v>72</v>
      </c>
      <c r="S454" s="218" t="s">
        <v>34055</v>
      </c>
      <c r="U454" s="293" t="s">
        <v>29602</v>
      </c>
      <c r="V454" s="293" t="s">
        <v>145</v>
      </c>
      <c r="W454" s="293" t="s">
        <v>74</v>
      </c>
      <c r="X454" s="293" t="s">
        <v>656</v>
      </c>
      <c r="Z454" s="293" t="s">
        <v>29603</v>
      </c>
      <c r="AA454" s="293" t="s">
        <v>145</v>
      </c>
      <c r="AB454" s="293" t="s">
        <v>74</v>
      </c>
      <c r="AC454" s="293" t="s">
        <v>656</v>
      </c>
      <c r="AE454" s="293" t="s">
        <v>29604</v>
      </c>
      <c r="AF454" s="293" t="s">
        <v>145</v>
      </c>
      <c r="AG454" s="293" t="s">
        <v>74</v>
      </c>
      <c r="AH454" s="293" t="s">
        <v>656</v>
      </c>
      <c r="AJ454" s="293" t="s">
        <v>29605</v>
      </c>
      <c r="AK454" s="293" t="s">
        <v>145</v>
      </c>
      <c r="AL454" s="293" t="s">
        <v>74</v>
      </c>
      <c r="AM454" s="293" t="s">
        <v>656</v>
      </c>
      <c r="AO454" s="22" t="s">
        <v>29606</v>
      </c>
      <c r="AP454" s="22" t="s">
        <v>145</v>
      </c>
      <c r="AQ454" s="22" t="s">
        <v>70</v>
      </c>
      <c r="AR454" s="22" t="s">
        <v>67</v>
      </c>
      <c r="AT454" s="22" t="s">
        <v>29607</v>
      </c>
      <c r="AU454" s="22" t="s">
        <v>145</v>
      </c>
      <c r="AV454" s="22" t="s">
        <v>70</v>
      </c>
      <c r="AW454" s="22" t="s">
        <v>67</v>
      </c>
      <c r="AY454" s="22" t="s">
        <v>29608</v>
      </c>
      <c r="AZ454" s="22" t="s">
        <v>145</v>
      </c>
      <c r="BA454" s="22" t="s">
        <v>70</v>
      </c>
      <c r="BB454" s="22" t="s">
        <v>67</v>
      </c>
      <c r="BD454" s="22" t="s">
        <v>29609</v>
      </c>
      <c r="BE454" s="22" t="s">
        <v>145</v>
      </c>
      <c r="BF454" s="22" t="s">
        <v>70</v>
      </c>
      <c r="BG454" s="22" t="s">
        <v>67</v>
      </c>
      <c r="BI454" s="22" t="s">
        <v>29610</v>
      </c>
      <c r="BJ454" s="22" t="s">
        <v>145</v>
      </c>
      <c r="BK454" s="22" t="s">
        <v>70</v>
      </c>
      <c r="BL454" s="22" t="s">
        <v>67</v>
      </c>
      <c r="BN454" s="22" t="s">
        <v>29611</v>
      </c>
      <c r="BO454" s="22" t="s">
        <v>145</v>
      </c>
      <c r="BP454" s="22" t="s">
        <v>70</v>
      </c>
      <c r="BQ454" s="22" t="s">
        <v>67</v>
      </c>
      <c r="BS454" s="22" t="s">
        <v>29612</v>
      </c>
      <c r="BT454" s="22" t="s">
        <v>145</v>
      </c>
      <c r="BU454" s="22" t="s">
        <v>70</v>
      </c>
      <c r="BV454" s="214" t="s">
        <v>530</v>
      </c>
      <c r="BX454" s="22" t="s">
        <v>29613</v>
      </c>
      <c r="BY454" s="22" t="s">
        <v>145</v>
      </c>
      <c r="BZ454" s="22" t="s">
        <v>70</v>
      </c>
      <c r="CA454" s="214" t="s">
        <v>530</v>
      </c>
      <c r="CC454" s="214" t="s">
        <v>29614</v>
      </c>
      <c r="CD454" s="214" t="s">
        <v>468</v>
      </c>
      <c r="CE454" s="214" t="s">
        <v>70</v>
      </c>
      <c r="CF454" s="214" t="s">
        <v>530</v>
      </c>
      <c r="CH454" s="214" t="s">
        <v>29615</v>
      </c>
      <c r="CI454" s="214" t="s">
        <v>52</v>
      </c>
      <c r="CJ454" s="214" t="s">
        <v>70</v>
      </c>
      <c r="CK454" s="214" t="s">
        <v>530</v>
      </c>
      <c r="CM454" s="214" t="s">
        <v>29616</v>
      </c>
      <c r="CN454" s="214" t="s">
        <v>90</v>
      </c>
      <c r="CO454" s="214" t="s">
        <v>70</v>
      </c>
      <c r="CP454" s="214" t="s">
        <v>530</v>
      </c>
      <c r="CR454" s="214" t="s">
        <v>29617</v>
      </c>
      <c r="CS454" s="214" t="s">
        <v>34613</v>
      </c>
      <c r="CT454" s="214" t="s">
        <v>70</v>
      </c>
      <c r="CU454" s="214" t="s">
        <v>530</v>
      </c>
      <c r="CW454" s="214" t="s">
        <v>29618</v>
      </c>
      <c r="CX454" s="214" t="s">
        <v>954</v>
      </c>
      <c r="CY454" s="214" t="s">
        <v>70</v>
      </c>
      <c r="CZ454" s="214" t="s">
        <v>530</v>
      </c>
      <c r="DB454" s="214" t="s">
        <v>29619</v>
      </c>
      <c r="DC454" s="214" t="s">
        <v>649</v>
      </c>
      <c r="DD454" s="214" t="s">
        <v>70</v>
      </c>
      <c r="DE454" s="214" t="s">
        <v>530</v>
      </c>
      <c r="DG454" s="214" t="s">
        <v>29620</v>
      </c>
      <c r="DH454" s="214" t="s">
        <v>940</v>
      </c>
      <c r="DI454" s="214" t="s">
        <v>70</v>
      </c>
      <c r="DJ454" s="214" t="s">
        <v>530</v>
      </c>
      <c r="DL454" s="214" t="s">
        <v>29621</v>
      </c>
      <c r="DM454" s="214" t="s">
        <v>52</v>
      </c>
      <c r="DN454" s="214" t="s">
        <v>70</v>
      </c>
      <c r="DO454" s="214" t="s">
        <v>530</v>
      </c>
      <c r="DQ454" s="214" t="s">
        <v>29622</v>
      </c>
      <c r="DR454" s="214" t="s">
        <v>34557</v>
      </c>
      <c r="DS454" s="214" t="s">
        <v>70</v>
      </c>
      <c r="DT454" s="214" t="s">
        <v>530</v>
      </c>
      <c r="DV454" s="214" t="s">
        <v>29623</v>
      </c>
      <c r="DW454" s="214" t="s">
        <v>52</v>
      </c>
      <c r="DX454" s="214" t="s">
        <v>70</v>
      </c>
      <c r="DY454" s="214" t="s">
        <v>530</v>
      </c>
      <c r="EA454" s="214" t="s">
        <v>29624</v>
      </c>
      <c r="EB454" s="214" t="s">
        <v>487</v>
      </c>
      <c r="EC454" s="214" t="s">
        <v>70</v>
      </c>
      <c r="ED454" s="214" t="s">
        <v>530</v>
      </c>
      <c r="EF454" s="214" t="s">
        <v>29625</v>
      </c>
      <c r="EG454" s="214" t="s">
        <v>950</v>
      </c>
      <c r="EH454" s="214" t="s">
        <v>70</v>
      </c>
      <c r="EI454" s="214" t="s">
        <v>530</v>
      </c>
      <c r="EK454" s="214" t="s">
        <v>29626</v>
      </c>
      <c r="EL454" s="214" t="s">
        <v>34594</v>
      </c>
      <c r="EM454" s="214" t="s">
        <v>70</v>
      </c>
      <c r="EN454" s="214" t="s">
        <v>530</v>
      </c>
      <c r="EP454" s="214" t="s">
        <v>29627</v>
      </c>
      <c r="EQ454" s="214" t="s">
        <v>910</v>
      </c>
      <c r="ER454" s="214" t="s">
        <v>70</v>
      </c>
      <c r="ES454" s="214" t="s">
        <v>530</v>
      </c>
      <c r="EU454" s="214" t="s">
        <v>29628</v>
      </c>
      <c r="EV454" s="214" t="s">
        <v>85</v>
      </c>
      <c r="EW454" s="214" t="s">
        <v>70</v>
      </c>
      <c r="EX454" s="214" t="s">
        <v>530</v>
      </c>
      <c r="EZ454" s="214" t="s">
        <v>29629</v>
      </c>
      <c r="FA454" s="214" t="s">
        <v>918</v>
      </c>
      <c r="FB454" s="214" t="s">
        <v>70</v>
      </c>
      <c r="FC454" s="214" t="s">
        <v>530</v>
      </c>
      <c r="FE454" s="214" t="s">
        <v>29630</v>
      </c>
      <c r="FF454" s="214" t="s">
        <v>481</v>
      </c>
      <c r="FG454" s="214" t="s">
        <v>70</v>
      </c>
      <c r="FH454" s="214" t="s">
        <v>530</v>
      </c>
      <c r="FJ454" s="321" t="s">
        <v>29631</v>
      </c>
      <c r="FK454" s="214" t="s">
        <v>146</v>
      </c>
      <c r="FL454" s="214" t="s">
        <v>70</v>
      </c>
      <c r="FM454" s="214" t="s">
        <v>530</v>
      </c>
      <c r="FO454" s="321" t="s">
        <v>29632</v>
      </c>
      <c r="FP454" s="214" t="s">
        <v>34564</v>
      </c>
      <c r="FQ454" s="214" t="s">
        <v>70</v>
      </c>
      <c r="FR454" s="214" t="s">
        <v>530</v>
      </c>
      <c r="FT454" s="321" t="s">
        <v>29633</v>
      </c>
      <c r="FU454" s="214" t="s">
        <v>655</v>
      </c>
      <c r="FV454" s="214" t="s">
        <v>70</v>
      </c>
      <c r="FW454" s="214" t="s">
        <v>530</v>
      </c>
      <c r="FY454" s="321" t="s">
        <v>29634</v>
      </c>
      <c r="FZ454" s="214" t="s">
        <v>34538</v>
      </c>
      <c r="GA454" s="214" t="s">
        <v>70</v>
      </c>
      <c r="GB454" s="214" t="s">
        <v>530</v>
      </c>
      <c r="GD454" s="321" t="s">
        <v>29635</v>
      </c>
      <c r="GE454" s="214" t="s">
        <v>148</v>
      </c>
      <c r="GF454" s="214" t="s">
        <v>70</v>
      </c>
      <c r="GG454" s="214" t="s">
        <v>530</v>
      </c>
      <c r="GI454" s="321" t="s">
        <v>29636</v>
      </c>
      <c r="GJ454" s="214" t="s">
        <v>148</v>
      </c>
      <c r="GK454" s="214" t="s">
        <v>70</v>
      </c>
      <c r="GL454" s="214" t="s">
        <v>530</v>
      </c>
      <c r="GN454" s="321" t="s">
        <v>29637</v>
      </c>
      <c r="GO454" s="214" t="s">
        <v>468</v>
      </c>
      <c r="GP454" s="214" t="s">
        <v>70</v>
      </c>
      <c r="GQ454" s="214" t="s">
        <v>530</v>
      </c>
      <c r="GS454" s="321" t="s">
        <v>29638</v>
      </c>
      <c r="GT454" s="214" t="s">
        <v>34579</v>
      </c>
      <c r="GU454" s="214" t="s">
        <v>70</v>
      </c>
      <c r="GV454" s="214" t="s">
        <v>530</v>
      </c>
      <c r="GX454" s="214" t="s">
        <v>29639</v>
      </c>
      <c r="GY454" s="214" t="s">
        <v>164</v>
      </c>
      <c r="GZ454" s="214" t="s">
        <v>70</v>
      </c>
      <c r="HA454" s="214" t="s">
        <v>530</v>
      </c>
      <c r="HC454" s="214" t="s">
        <v>29640</v>
      </c>
      <c r="HD454" s="214" t="s">
        <v>912</v>
      </c>
      <c r="HE454" s="214" t="s">
        <v>70</v>
      </c>
      <c r="HF454" s="214" t="s">
        <v>530</v>
      </c>
      <c r="HH454" s="214" t="s">
        <v>29641</v>
      </c>
      <c r="HI454" s="214" t="s">
        <v>164</v>
      </c>
      <c r="HJ454" s="214" t="s">
        <v>70</v>
      </c>
      <c r="HK454" s="214" t="s">
        <v>530</v>
      </c>
      <c r="HM454" s="214" t="s">
        <v>29642</v>
      </c>
      <c r="HN454" s="214" t="s">
        <v>203</v>
      </c>
      <c r="HO454" s="214" t="s">
        <v>70</v>
      </c>
      <c r="HP454" s="214" t="s">
        <v>530</v>
      </c>
      <c r="HR454" s="22" t="s">
        <v>29643</v>
      </c>
      <c r="HS454" s="22" t="s">
        <v>34560</v>
      </c>
      <c r="HT454" s="22" t="s">
        <v>70</v>
      </c>
      <c r="HU454" s="214" t="s">
        <v>530</v>
      </c>
      <c r="HW454" s="22" t="s">
        <v>29644</v>
      </c>
      <c r="HX454" s="22" t="s">
        <v>765</v>
      </c>
      <c r="HY454" s="22" t="s">
        <v>70</v>
      </c>
      <c r="HZ454" s="214" t="s">
        <v>530</v>
      </c>
      <c r="IB454" s="22" t="s">
        <v>29645</v>
      </c>
      <c r="IC454" s="22" t="s">
        <v>642</v>
      </c>
      <c r="ID454" s="22" t="s">
        <v>70</v>
      </c>
      <c r="IE454" s="214" t="s">
        <v>530</v>
      </c>
      <c r="IG454" s="22" t="s">
        <v>29646</v>
      </c>
      <c r="IH454" s="22" t="s">
        <v>52</v>
      </c>
      <c r="II454" s="22" t="s">
        <v>70</v>
      </c>
      <c r="IJ454" s="214" t="s">
        <v>530</v>
      </c>
      <c r="IL454" s="22" t="s">
        <v>29647</v>
      </c>
      <c r="IM454" s="22" t="s">
        <v>145</v>
      </c>
      <c r="IN454" s="22" t="s">
        <v>70</v>
      </c>
      <c r="IO454" s="214" t="s">
        <v>530</v>
      </c>
      <c r="IQ454" s="236" t="s">
        <v>29648</v>
      </c>
      <c r="IR454" s="236" t="s">
        <v>145</v>
      </c>
      <c r="IS454" s="236" t="s">
        <v>74</v>
      </c>
      <c r="IT454" s="236" t="s">
        <v>841</v>
      </c>
      <c r="IV454" s="236" t="s">
        <v>29649</v>
      </c>
      <c r="IW454" s="236" t="s">
        <v>145</v>
      </c>
      <c r="IX454" s="236" t="s">
        <v>74</v>
      </c>
      <c r="IY454" s="236" t="s">
        <v>841</v>
      </c>
      <c r="JA454" s="236" t="s">
        <v>29650</v>
      </c>
      <c r="JB454" s="236" t="s">
        <v>145</v>
      </c>
      <c r="JC454" s="236" t="s">
        <v>74</v>
      </c>
      <c r="JD454" s="236" t="s">
        <v>841</v>
      </c>
      <c r="JF454" s="236" t="s">
        <v>29651</v>
      </c>
      <c r="JG454" s="236" t="s">
        <v>145</v>
      </c>
      <c r="JH454" s="236" t="s">
        <v>74</v>
      </c>
      <c r="JI454" s="236" t="s">
        <v>841</v>
      </c>
      <c r="JK454" s="236" t="s">
        <v>29652</v>
      </c>
      <c r="JL454" s="236" t="s">
        <v>145</v>
      </c>
      <c r="JM454" s="236" t="s">
        <v>74</v>
      </c>
      <c r="JN454" s="236" t="s">
        <v>841</v>
      </c>
      <c r="JP454" s="236" t="s">
        <v>29653</v>
      </c>
      <c r="JQ454" s="236" t="s">
        <v>145</v>
      </c>
      <c r="JR454" s="236" t="s">
        <v>74</v>
      </c>
      <c r="JS454" s="236" t="s">
        <v>841</v>
      </c>
      <c r="JU454" s="294" t="s">
        <v>29654</v>
      </c>
      <c r="JV454" s="294" t="s">
        <v>52</v>
      </c>
      <c r="JW454" s="263" t="s">
        <v>70</v>
      </c>
      <c r="JX454" s="294" t="s">
        <v>1083</v>
      </c>
      <c r="JZ454" s="263" t="s">
        <v>29655</v>
      </c>
      <c r="KA454" s="263" t="s">
        <v>145</v>
      </c>
      <c r="KB454" s="263" t="s">
        <v>70</v>
      </c>
      <c r="KC454" s="263" t="s">
        <v>1083</v>
      </c>
      <c r="KE454" s="263" t="s">
        <v>29656</v>
      </c>
      <c r="KF454" s="263" t="s">
        <v>52</v>
      </c>
      <c r="KG454" s="263" t="s">
        <v>70</v>
      </c>
      <c r="KH454" s="263" t="s">
        <v>1083</v>
      </c>
      <c r="KJ454" s="263" t="s">
        <v>29657</v>
      </c>
      <c r="KK454" s="263" t="s">
        <v>52</v>
      </c>
      <c r="KL454" s="263" t="s">
        <v>74</v>
      </c>
      <c r="KM454" s="263" t="s">
        <v>34074</v>
      </c>
      <c r="KO454" s="214" t="s">
        <v>29658</v>
      </c>
      <c r="KP454" s="214" t="s">
        <v>145</v>
      </c>
      <c r="KQ454" s="214" t="s">
        <v>70</v>
      </c>
      <c r="KR454" s="214" t="s">
        <v>67</v>
      </c>
      <c r="KT454" s="22" t="s">
        <v>29659</v>
      </c>
      <c r="KU454" s="22" t="s">
        <v>145</v>
      </c>
      <c r="KV454" s="22" t="s">
        <v>70</v>
      </c>
      <c r="KW454" s="22" t="s">
        <v>67</v>
      </c>
      <c r="KY454" s="214" t="s">
        <v>29660</v>
      </c>
      <c r="KZ454" s="214" t="s">
        <v>52</v>
      </c>
      <c r="LA454" s="214" t="s">
        <v>74</v>
      </c>
      <c r="LB454" s="214" t="s">
        <v>67</v>
      </c>
      <c r="LD454" s="22" t="s">
        <v>29661</v>
      </c>
      <c r="LE454" s="22" t="s">
        <v>145</v>
      </c>
      <c r="LF454" s="22" t="s">
        <v>70</v>
      </c>
      <c r="LG454" s="22" t="s">
        <v>67</v>
      </c>
    </row>
    <row r="455" spans="1:319">
      <c r="A455" s="22" t="s">
        <v>29662</v>
      </c>
      <c r="B455" s="22" t="s">
        <v>145</v>
      </c>
      <c r="C455" s="22" t="s">
        <v>70</v>
      </c>
      <c r="D455" s="22" t="s">
        <v>67</v>
      </c>
      <c r="F455" s="97" t="s">
        <v>29663</v>
      </c>
      <c r="G455" s="22" t="s">
        <v>145</v>
      </c>
      <c r="H455" s="22" t="s">
        <v>70</v>
      </c>
      <c r="I455" s="22" t="s">
        <v>67</v>
      </c>
      <c r="K455" s="99" t="s">
        <v>29664</v>
      </c>
      <c r="L455" s="22" t="s">
        <v>145</v>
      </c>
      <c r="M455" s="22" t="s">
        <v>70</v>
      </c>
      <c r="N455" s="22" t="s">
        <v>67</v>
      </c>
      <c r="P455" s="230" t="s">
        <v>29665</v>
      </c>
      <c r="Q455" s="218" t="s">
        <v>145</v>
      </c>
      <c r="R455" s="218" t="s">
        <v>72</v>
      </c>
      <c r="S455" s="218" t="s">
        <v>34056</v>
      </c>
      <c r="U455" s="293" t="s">
        <v>29666</v>
      </c>
      <c r="V455" s="293" t="s">
        <v>145</v>
      </c>
      <c r="W455" s="293" t="s">
        <v>74</v>
      </c>
      <c r="X455" s="293" t="s">
        <v>656</v>
      </c>
      <c r="Z455" s="293" t="s">
        <v>29667</v>
      </c>
      <c r="AA455" s="293" t="s">
        <v>145</v>
      </c>
      <c r="AB455" s="293" t="s">
        <v>74</v>
      </c>
      <c r="AC455" s="293" t="s">
        <v>656</v>
      </c>
      <c r="AE455" s="293" t="s">
        <v>29668</v>
      </c>
      <c r="AF455" s="293" t="s">
        <v>145</v>
      </c>
      <c r="AG455" s="293" t="s">
        <v>74</v>
      </c>
      <c r="AH455" s="293" t="s">
        <v>656</v>
      </c>
      <c r="AJ455" s="293" t="s">
        <v>29669</v>
      </c>
      <c r="AK455" s="293" t="s">
        <v>145</v>
      </c>
      <c r="AL455" s="293" t="s">
        <v>74</v>
      </c>
      <c r="AM455" s="293" t="s">
        <v>656</v>
      </c>
      <c r="AO455" s="22" t="s">
        <v>29670</v>
      </c>
      <c r="AP455" s="22" t="s">
        <v>145</v>
      </c>
      <c r="AQ455" s="22" t="s">
        <v>70</v>
      </c>
      <c r="AR455" s="22" t="s">
        <v>67</v>
      </c>
      <c r="AT455" s="22" t="s">
        <v>29671</v>
      </c>
      <c r="AU455" s="22" t="s">
        <v>145</v>
      </c>
      <c r="AV455" s="22" t="s">
        <v>70</v>
      </c>
      <c r="AW455" s="22" t="s">
        <v>67</v>
      </c>
      <c r="AY455" s="22" t="s">
        <v>29672</v>
      </c>
      <c r="AZ455" s="22" t="s">
        <v>145</v>
      </c>
      <c r="BA455" s="22" t="s">
        <v>70</v>
      </c>
      <c r="BB455" s="22" t="s">
        <v>67</v>
      </c>
      <c r="BD455" s="22" t="s">
        <v>29673</v>
      </c>
      <c r="BE455" s="22" t="s">
        <v>145</v>
      </c>
      <c r="BF455" s="22" t="s">
        <v>70</v>
      </c>
      <c r="BG455" s="22" t="s">
        <v>67</v>
      </c>
      <c r="BI455" s="22" t="s">
        <v>29674</v>
      </c>
      <c r="BJ455" s="22" t="s">
        <v>145</v>
      </c>
      <c r="BK455" s="22" t="s">
        <v>70</v>
      </c>
      <c r="BL455" s="22" t="s">
        <v>67</v>
      </c>
      <c r="BN455" s="22" t="s">
        <v>29675</v>
      </c>
      <c r="BO455" s="22" t="s">
        <v>145</v>
      </c>
      <c r="BP455" s="22" t="s">
        <v>70</v>
      </c>
      <c r="BQ455" s="22" t="s">
        <v>67</v>
      </c>
      <c r="BS455" s="22" t="s">
        <v>29676</v>
      </c>
      <c r="BT455" s="22" t="s">
        <v>145</v>
      </c>
      <c r="BU455" s="22" t="s">
        <v>70</v>
      </c>
      <c r="BV455" s="214" t="s">
        <v>530</v>
      </c>
      <c r="BX455" s="22" t="s">
        <v>29677</v>
      </c>
      <c r="BY455" s="22" t="s">
        <v>145</v>
      </c>
      <c r="BZ455" s="22" t="s">
        <v>70</v>
      </c>
      <c r="CA455" s="214" t="s">
        <v>530</v>
      </c>
      <c r="CC455" s="214" t="s">
        <v>29678</v>
      </c>
      <c r="CD455" s="214" t="s">
        <v>926</v>
      </c>
      <c r="CE455" s="214" t="s">
        <v>70</v>
      </c>
      <c r="CF455" s="214" t="s">
        <v>530</v>
      </c>
      <c r="CH455" s="214" t="s">
        <v>29679</v>
      </c>
      <c r="CI455" s="214" t="s">
        <v>52</v>
      </c>
      <c r="CJ455" s="214" t="s">
        <v>70</v>
      </c>
      <c r="CK455" s="214" t="s">
        <v>530</v>
      </c>
      <c r="CM455" s="214" t="s">
        <v>29680</v>
      </c>
      <c r="CN455" s="214" t="s">
        <v>85</v>
      </c>
      <c r="CO455" s="214" t="s">
        <v>70</v>
      </c>
      <c r="CP455" s="214" t="s">
        <v>530</v>
      </c>
      <c r="CR455" s="214" t="s">
        <v>29681</v>
      </c>
      <c r="CS455" s="214" t="s">
        <v>52</v>
      </c>
      <c r="CT455" s="214" t="s">
        <v>70</v>
      </c>
      <c r="CU455" s="214" t="s">
        <v>530</v>
      </c>
      <c r="CW455" s="214" t="s">
        <v>29682</v>
      </c>
      <c r="CX455" s="214" t="s">
        <v>492</v>
      </c>
      <c r="CY455" s="214" t="s">
        <v>70</v>
      </c>
      <c r="CZ455" s="214" t="s">
        <v>530</v>
      </c>
      <c r="DB455" s="214" t="s">
        <v>29683</v>
      </c>
      <c r="DC455" s="214" t="s">
        <v>34547</v>
      </c>
      <c r="DD455" s="214" t="s">
        <v>70</v>
      </c>
      <c r="DE455" s="214" t="s">
        <v>530</v>
      </c>
      <c r="DG455" s="214" t="s">
        <v>29684</v>
      </c>
      <c r="DH455" s="214" t="s">
        <v>490</v>
      </c>
      <c r="DI455" s="214" t="s">
        <v>70</v>
      </c>
      <c r="DJ455" s="214" t="s">
        <v>530</v>
      </c>
      <c r="DL455" s="214" t="s">
        <v>29685</v>
      </c>
      <c r="DM455" s="214" t="s">
        <v>484</v>
      </c>
      <c r="DN455" s="214" t="s">
        <v>70</v>
      </c>
      <c r="DO455" s="214" t="s">
        <v>530</v>
      </c>
      <c r="DQ455" s="214" t="s">
        <v>29686</v>
      </c>
      <c r="DR455" s="214" t="s">
        <v>599</v>
      </c>
      <c r="DS455" s="214" t="s">
        <v>70</v>
      </c>
      <c r="DT455" s="214" t="s">
        <v>530</v>
      </c>
      <c r="DV455" s="214" t="s">
        <v>29687</v>
      </c>
      <c r="DW455" s="214" t="s">
        <v>955</v>
      </c>
      <c r="DX455" s="214" t="s">
        <v>70</v>
      </c>
      <c r="DY455" s="214" t="s">
        <v>530</v>
      </c>
      <c r="EA455" s="214" t="s">
        <v>29688</v>
      </c>
      <c r="EB455" s="214" t="s">
        <v>484</v>
      </c>
      <c r="EC455" s="214" t="s">
        <v>70</v>
      </c>
      <c r="ED455" s="214" t="s">
        <v>530</v>
      </c>
      <c r="EF455" s="214" t="s">
        <v>29689</v>
      </c>
      <c r="EG455" s="214" t="s">
        <v>501</v>
      </c>
      <c r="EH455" s="214" t="s">
        <v>70</v>
      </c>
      <c r="EI455" s="214" t="s">
        <v>530</v>
      </c>
      <c r="EK455" s="214" t="s">
        <v>29690</v>
      </c>
      <c r="EL455" s="214" t="s">
        <v>488</v>
      </c>
      <c r="EM455" s="214" t="s">
        <v>70</v>
      </c>
      <c r="EN455" s="214" t="s">
        <v>530</v>
      </c>
      <c r="EP455" s="214" t="s">
        <v>29691</v>
      </c>
      <c r="EQ455" s="214" t="s">
        <v>926</v>
      </c>
      <c r="ER455" s="214" t="s">
        <v>70</v>
      </c>
      <c r="ES455" s="214" t="s">
        <v>530</v>
      </c>
      <c r="EU455" s="214" t="s">
        <v>29692</v>
      </c>
      <c r="EV455" s="214" t="s">
        <v>599</v>
      </c>
      <c r="EW455" s="214" t="s">
        <v>70</v>
      </c>
      <c r="EX455" s="214" t="s">
        <v>530</v>
      </c>
      <c r="EZ455" s="214" t="s">
        <v>29693</v>
      </c>
      <c r="FA455" s="214" t="s">
        <v>918</v>
      </c>
      <c r="FB455" s="214" t="s">
        <v>70</v>
      </c>
      <c r="FC455" s="214" t="s">
        <v>530</v>
      </c>
      <c r="FE455" s="214" t="s">
        <v>29694</v>
      </c>
      <c r="FF455" s="214" t="s">
        <v>487</v>
      </c>
      <c r="FG455" s="214" t="s">
        <v>70</v>
      </c>
      <c r="FH455" s="214" t="s">
        <v>530</v>
      </c>
      <c r="FJ455" s="321" t="s">
        <v>29695</v>
      </c>
      <c r="FK455" s="214" t="s">
        <v>206</v>
      </c>
      <c r="FL455" s="214" t="s">
        <v>70</v>
      </c>
      <c r="FM455" s="214" t="s">
        <v>530</v>
      </c>
      <c r="FO455" s="321" t="s">
        <v>29696</v>
      </c>
      <c r="FP455" s="214" t="s">
        <v>206</v>
      </c>
      <c r="FQ455" s="214" t="s">
        <v>70</v>
      </c>
      <c r="FR455" s="214" t="s">
        <v>530</v>
      </c>
      <c r="FT455" s="321" t="s">
        <v>29697</v>
      </c>
      <c r="FU455" s="214" t="s">
        <v>491</v>
      </c>
      <c r="FV455" s="214" t="s">
        <v>70</v>
      </c>
      <c r="FW455" s="214" t="s">
        <v>530</v>
      </c>
      <c r="FY455" s="321" t="s">
        <v>29698</v>
      </c>
      <c r="FZ455" s="214" t="s">
        <v>496</v>
      </c>
      <c r="GA455" s="214" t="s">
        <v>70</v>
      </c>
      <c r="GB455" s="214" t="s">
        <v>530</v>
      </c>
      <c r="GD455" s="321" t="s">
        <v>29699</v>
      </c>
      <c r="GE455" s="214" t="s">
        <v>34544</v>
      </c>
      <c r="GF455" s="214" t="s">
        <v>70</v>
      </c>
      <c r="GG455" s="214" t="s">
        <v>530</v>
      </c>
      <c r="GI455" s="321" t="s">
        <v>29700</v>
      </c>
      <c r="GJ455" s="214" t="s">
        <v>914</v>
      </c>
      <c r="GK455" s="214" t="s">
        <v>70</v>
      </c>
      <c r="GL455" s="214" t="s">
        <v>530</v>
      </c>
      <c r="GN455" s="321" t="s">
        <v>29701</v>
      </c>
      <c r="GO455" s="214" t="s">
        <v>921</v>
      </c>
      <c r="GP455" s="214" t="s">
        <v>70</v>
      </c>
      <c r="GQ455" s="214" t="s">
        <v>530</v>
      </c>
      <c r="GS455" s="321" t="s">
        <v>29702</v>
      </c>
      <c r="GT455" s="214" t="s">
        <v>34544</v>
      </c>
      <c r="GU455" s="214" t="s">
        <v>70</v>
      </c>
      <c r="GV455" s="214" t="s">
        <v>530</v>
      </c>
      <c r="GX455" s="214" t="s">
        <v>29703</v>
      </c>
      <c r="GY455" s="214" t="s">
        <v>52</v>
      </c>
      <c r="GZ455" s="214" t="s">
        <v>70</v>
      </c>
      <c r="HA455" s="214" t="s">
        <v>530</v>
      </c>
      <c r="HC455" s="214" t="s">
        <v>29704</v>
      </c>
      <c r="HD455" s="214" t="s">
        <v>484</v>
      </c>
      <c r="HE455" s="214" t="s">
        <v>70</v>
      </c>
      <c r="HF455" s="214" t="s">
        <v>530</v>
      </c>
      <c r="HH455" s="214" t="s">
        <v>29705</v>
      </c>
      <c r="HI455" s="214" t="s">
        <v>910</v>
      </c>
      <c r="HJ455" s="214" t="s">
        <v>70</v>
      </c>
      <c r="HK455" s="214" t="s">
        <v>530</v>
      </c>
      <c r="HM455" s="214" t="s">
        <v>29706</v>
      </c>
      <c r="HN455" s="214" t="s">
        <v>496</v>
      </c>
      <c r="HO455" s="214" t="s">
        <v>70</v>
      </c>
      <c r="HP455" s="214" t="s">
        <v>530</v>
      </c>
      <c r="HR455" s="22" t="s">
        <v>29707</v>
      </c>
      <c r="HS455" s="22" t="s">
        <v>910</v>
      </c>
      <c r="HT455" s="22" t="s">
        <v>70</v>
      </c>
      <c r="HU455" s="214" t="s">
        <v>530</v>
      </c>
      <c r="HW455" s="22" t="s">
        <v>29708</v>
      </c>
      <c r="HX455" s="22" t="s">
        <v>484</v>
      </c>
      <c r="HY455" s="22" t="s">
        <v>70</v>
      </c>
      <c r="HZ455" s="214" t="s">
        <v>530</v>
      </c>
      <c r="IB455" s="22" t="s">
        <v>29709</v>
      </c>
      <c r="IC455" s="22" t="s">
        <v>149</v>
      </c>
      <c r="ID455" s="22" t="s">
        <v>70</v>
      </c>
      <c r="IE455" s="214" t="s">
        <v>530</v>
      </c>
      <c r="IG455" s="22" t="s">
        <v>29710</v>
      </c>
      <c r="IH455" s="22" t="s">
        <v>52</v>
      </c>
      <c r="II455" s="22" t="s">
        <v>70</v>
      </c>
      <c r="IJ455" s="214" t="s">
        <v>530</v>
      </c>
      <c r="IL455" s="22" t="s">
        <v>29711</v>
      </c>
      <c r="IM455" s="22" t="s">
        <v>145</v>
      </c>
      <c r="IN455" s="22" t="s">
        <v>70</v>
      </c>
      <c r="IO455" s="214" t="s">
        <v>530</v>
      </c>
      <c r="IQ455" s="236" t="s">
        <v>29712</v>
      </c>
      <c r="IR455" s="236" t="s">
        <v>145</v>
      </c>
      <c r="IS455" s="236" t="s">
        <v>74</v>
      </c>
      <c r="IT455" s="236" t="s">
        <v>841</v>
      </c>
      <c r="IV455" s="236" t="s">
        <v>29713</v>
      </c>
      <c r="IW455" s="236" t="s">
        <v>145</v>
      </c>
      <c r="IX455" s="236" t="s">
        <v>74</v>
      </c>
      <c r="IY455" s="236" t="s">
        <v>841</v>
      </c>
      <c r="JA455" s="236" t="s">
        <v>29714</v>
      </c>
      <c r="JB455" s="236" t="s">
        <v>145</v>
      </c>
      <c r="JC455" s="236" t="s">
        <v>74</v>
      </c>
      <c r="JD455" s="236" t="s">
        <v>841</v>
      </c>
      <c r="JF455" s="236" t="s">
        <v>29715</v>
      </c>
      <c r="JG455" s="236" t="s">
        <v>145</v>
      </c>
      <c r="JH455" s="236" t="s">
        <v>74</v>
      </c>
      <c r="JI455" s="236" t="s">
        <v>841</v>
      </c>
      <c r="JK455" s="236" t="s">
        <v>29716</v>
      </c>
      <c r="JL455" s="236" t="s">
        <v>145</v>
      </c>
      <c r="JM455" s="236" t="s">
        <v>74</v>
      </c>
      <c r="JN455" s="236" t="s">
        <v>841</v>
      </c>
      <c r="JP455" s="236" t="s">
        <v>29717</v>
      </c>
      <c r="JQ455" s="236" t="s">
        <v>145</v>
      </c>
      <c r="JR455" s="236" t="s">
        <v>74</v>
      </c>
      <c r="JS455" s="236" t="s">
        <v>841</v>
      </c>
      <c r="JU455" s="294" t="s">
        <v>29718</v>
      </c>
      <c r="JV455" s="294" t="s">
        <v>52</v>
      </c>
      <c r="JW455" s="263" t="s">
        <v>70</v>
      </c>
      <c r="JX455" s="294" t="s">
        <v>1083</v>
      </c>
      <c r="JZ455" s="263" t="s">
        <v>29719</v>
      </c>
      <c r="KA455" s="263" t="s">
        <v>145</v>
      </c>
      <c r="KB455" s="263" t="s">
        <v>70</v>
      </c>
      <c r="KC455" s="263" t="s">
        <v>1083</v>
      </c>
      <c r="KE455" s="263" t="s">
        <v>29720</v>
      </c>
      <c r="KF455" s="263" t="s">
        <v>52</v>
      </c>
      <c r="KG455" s="263" t="s">
        <v>70</v>
      </c>
      <c r="KH455" s="263" t="s">
        <v>1083</v>
      </c>
      <c r="KJ455" s="263" t="s">
        <v>29721</v>
      </c>
      <c r="KK455" s="263" t="s">
        <v>52</v>
      </c>
      <c r="KL455" s="263" t="s">
        <v>74</v>
      </c>
      <c r="KM455" s="263" t="s">
        <v>34074</v>
      </c>
      <c r="KO455" s="214" t="s">
        <v>29722</v>
      </c>
      <c r="KP455" s="214" t="s">
        <v>145</v>
      </c>
      <c r="KQ455" s="214" t="s">
        <v>70</v>
      </c>
      <c r="KR455" s="214" t="s">
        <v>67</v>
      </c>
      <c r="KT455" s="22" t="s">
        <v>29723</v>
      </c>
      <c r="KU455" s="22" t="s">
        <v>145</v>
      </c>
      <c r="KV455" s="22" t="s">
        <v>70</v>
      </c>
      <c r="KW455" s="22" t="s">
        <v>67</v>
      </c>
      <c r="KY455" s="214" t="s">
        <v>29724</v>
      </c>
      <c r="KZ455" s="214" t="s">
        <v>52</v>
      </c>
      <c r="LA455" s="214" t="s">
        <v>74</v>
      </c>
      <c r="LB455" s="214" t="s">
        <v>67</v>
      </c>
      <c r="LD455" s="22" t="s">
        <v>29725</v>
      </c>
      <c r="LE455" s="22" t="s">
        <v>145</v>
      </c>
      <c r="LF455" s="22" t="s">
        <v>70</v>
      </c>
      <c r="LG455" s="22" t="s">
        <v>67</v>
      </c>
    </row>
    <row r="456" spans="1:319">
      <c r="A456" s="22" t="s">
        <v>29726</v>
      </c>
      <c r="B456" s="22" t="s">
        <v>145</v>
      </c>
      <c r="C456" s="22" t="s">
        <v>70</v>
      </c>
      <c r="D456" s="22" t="s">
        <v>67</v>
      </c>
      <c r="F456" s="72" t="s">
        <v>29727</v>
      </c>
      <c r="G456" s="22" t="s">
        <v>145</v>
      </c>
      <c r="H456" s="22" t="s">
        <v>70</v>
      </c>
      <c r="I456" s="22" t="s">
        <v>67</v>
      </c>
      <c r="K456" s="99" t="s">
        <v>29728</v>
      </c>
      <c r="L456" s="22" t="s">
        <v>145</v>
      </c>
      <c r="M456" s="22" t="s">
        <v>70</v>
      </c>
      <c r="N456" s="22" t="s">
        <v>67</v>
      </c>
      <c r="P456" s="230" t="s">
        <v>29729</v>
      </c>
      <c r="Q456" s="218" t="s">
        <v>145</v>
      </c>
      <c r="R456" s="218" t="s">
        <v>72</v>
      </c>
      <c r="S456" s="218" t="s">
        <v>34057</v>
      </c>
      <c r="U456" s="293" t="s">
        <v>29730</v>
      </c>
      <c r="V456" s="293" t="s">
        <v>145</v>
      </c>
      <c r="W456" s="293" t="s">
        <v>74</v>
      </c>
      <c r="X456" s="293" t="s">
        <v>656</v>
      </c>
      <c r="Z456" s="293" t="s">
        <v>29731</v>
      </c>
      <c r="AA456" s="293" t="s">
        <v>145</v>
      </c>
      <c r="AB456" s="293" t="s">
        <v>74</v>
      </c>
      <c r="AC456" s="293" t="s">
        <v>656</v>
      </c>
      <c r="AE456" s="293" t="s">
        <v>29732</v>
      </c>
      <c r="AF456" s="293" t="s">
        <v>145</v>
      </c>
      <c r="AG456" s="293" t="s">
        <v>74</v>
      </c>
      <c r="AH456" s="293" t="s">
        <v>656</v>
      </c>
      <c r="AJ456" s="293" t="s">
        <v>29733</v>
      </c>
      <c r="AK456" s="293" t="s">
        <v>145</v>
      </c>
      <c r="AL456" s="293" t="s">
        <v>74</v>
      </c>
      <c r="AM456" s="293" t="s">
        <v>656</v>
      </c>
      <c r="AO456" s="22" t="s">
        <v>29734</v>
      </c>
      <c r="AP456" s="22" t="s">
        <v>145</v>
      </c>
      <c r="AQ456" s="22" t="s">
        <v>70</v>
      </c>
      <c r="AR456" s="22" t="s">
        <v>67</v>
      </c>
      <c r="AT456" s="22" t="s">
        <v>29735</v>
      </c>
      <c r="AU456" s="22" t="s">
        <v>145</v>
      </c>
      <c r="AV456" s="22" t="s">
        <v>70</v>
      </c>
      <c r="AW456" s="22" t="s">
        <v>67</v>
      </c>
      <c r="AY456" s="22" t="s">
        <v>29736</v>
      </c>
      <c r="AZ456" s="22" t="s">
        <v>145</v>
      </c>
      <c r="BA456" s="22" t="s">
        <v>70</v>
      </c>
      <c r="BB456" s="22" t="s">
        <v>67</v>
      </c>
      <c r="BD456" s="22" t="s">
        <v>29737</v>
      </c>
      <c r="BE456" s="22" t="s">
        <v>145</v>
      </c>
      <c r="BF456" s="22" t="s">
        <v>70</v>
      </c>
      <c r="BG456" s="22" t="s">
        <v>67</v>
      </c>
      <c r="BI456" s="22" t="s">
        <v>29738</v>
      </c>
      <c r="BJ456" s="22" t="s">
        <v>145</v>
      </c>
      <c r="BK456" s="22" t="s">
        <v>70</v>
      </c>
      <c r="BL456" s="22" t="s">
        <v>67</v>
      </c>
      <c r="BN456" s="22" t="s">
        <v>29739</v>
      </c>
      <c r="BO456" s="22" t="s">
        <v>145</v>
      </c>
      <c r="BP456" s="22" t="s">
        <v>70</v>
      </c>
      <c r="BQ456" s="22" t="s">
        <v>67</v>
      </c>
      <c r="BS456" s="22" t="s">
        <v>29740</v>
      </c>
      <c r="BT456" s="22" t="s">
        <v>145</v>
      </c>
      <c r="BU456" s="22" t="s">
        <v>70</v>
      </c>
      <c r="BV456" s="214" t="s">
        <v>530</v>
      </c>
      <c r="BX456" s="22" t="s">
        <v>29741</v>
      </c>
      <c r="BY456" s="22" t="s">
        <v>145</v>
      </c>
      <c r="BZ456" s="22" t="s">
        <v>70</v>
      </c>
      <c r="CA456" s="214" t="s">
        <v>530</v>
      </c>
      <c r="CC456" s="214" t="s">
        <v>29742</v>
      </c>
      <c r="CD456" s="214" t="s">
        <v>52</v>
      </c>
      <c r="CE456" s="214" t="s">
        <v>70</v>
      </c>
      <c r="CF456" s="214" t="s">
        <v>530</v>
      </c>
      <c r="CH456" s="214" t="s">
        <v>29743</v>
      </c>
      <c r="CI456" s="214" t="s">
        <v>164</v>
      </c>
      <c r="CJ456" s="214" t="s">
        <v>70</v>
      </c>
      <c r="CK456" s="214" t="s">
        <v>530</v>
      </c>
      <c r="CM456" s="214" t="s">
        <v>29744</v>
      </c>
      <c r="CN456" s="214" t="s">
        <v>34549</v>
      </c>
      <c r="CO456" s="214" t="s">
        <v>70</v>
      </c>
      <c r="CP456" s="214" t="s">
        <v>530</v>
      </c>
      <c r="CR456" s="214" t="s">
        <v>29745</v>
      </c>
      <c r="CS456" s="214" t="s">
        <v>34613</v>
      </c>
      <c r="CT456" s="214" t="s">
        <v>70</v>
      </c>
      <c r="CU456" s="214" t="s">
        <v>530</v>
      </c>
      <c r="CW456" s="214" t="s">
        <v>29746</v>
      </c>
      <c r="CX456" s="214" t="s">
        <v>148</v>
      </c>
      <c r="CY456" s="214" t="s">
        <v>70</v>
      </c>
      <c r="CZ456" s="214" t="s">
        <v>530</v>
      </c>
      <c r="DB456" s="214" t="s">
        <v>29747</v>
      </c>
      <c r="DC456" s="214" t="s">
        <v>148</v>
      </c>
      <c r="DD456" s="214" t="s">
        <v>70</v>
      </c>
      <c r="DE456" s="214" t="s">
        <v>530</v>
      </c>
      <c r="DG456" s="214" t="s">
        <v>29748</v>
      </c>
      <c r="DH456" s="214" t="s">
        <v>286</v>
      </c>
      <c r="DI456" s="214" t="s">
        <v>70</v>
      </c>
      <c r="DJ456" s="214" t="s">
        <v>530</v>
      </c>
      <c r="DL456" s="214" t="s">
        <v>29749</v>
      </c>
      <c r="DM456" s="214" t="s">
        <v>92</v>
      </c>
      <c r="DN456" s="214" t="s">
        <v>70</v>
      </c>
      <c r="DO456" s="214" t="s">
        <v>530</v>
      </c>
      <c r="DQ456" s="214" t="s">
        <v>29750</v>
      </c>
      <c r="DR456" s="214" t="s">
        <v>34639</v>
      </c>
      <c r="DS456" s="214" t="s">
        <v>70</v>
      </c>
      <c r="DT456" s="214" t="s">
        <v>530</v>
      </c>
      <c r="DV456" s="214" t="s">
        <v>29751</v>
      </c>
      <c r="DW456" s="214" t="s">
        <v>925</v>
      </c>
      <c r="DX456" s="214" t="s">
        <v>70</v>
      </c>
      <c r="DY456" s="214" t="s">
        <v>530</v>
      </c>
      <c r="EA456" s="214" t="s">
        <v>29752</v>
      </c>
      <c r="EB456" s="214" t="s">
        <v>34547</v>
      </c>
      <c r="EC456" s="214" t="s">
        <v>70</v>
      </c>
      <c r="ED456" s="214" t="s">
        <v>530</v>
      </c>
      <c r="EF456" s="214" t="s">
        <v>29753</v>
      </c>
      <c r="EG456" s="214" t="s">
        <v>149</v>
      </c>
      <c r="EH456" s="214" t="s">
        <v>70</v>
      </c>
      <c r="EI456" s="214" t="s">
        <v>530</v>
      </c>
      <c r="EK456" s="214" t="s">
        <v>29754</v>
      </c>
      <c r="EL456" s="214" t="s">
        <v>34600</v>
      </c>
      <c r="EM456" s="214" t="s">
        <v>70</v>
      </c>
      <c r="EN456" s="214" t="s">
        <v>530</v>
      </c>
      <c r="EP456" s="214" t="s">
        <v>29755</v>
      </c>
      <c r="EQ456" s="214" t="s">
        <v>145</v>
      </c>
      <c r="ER456" s="214" t="s">
        <v>70</v>
      </c>
      <c r="ES456" s="214" t="s">
        <v>530</v>
      </c>
      <c r="EU456" s="214" t="s">
        <v>29756</v>
      </c>
      <c r="EV456" s="214" t="s">
        <v>942</v>
      </c>
      <c r="EW456" s="214" t="s">
        <v>70</v>
      </c>
      <c r="EX456" s="214" t="s">
        <v>530</v>
      </c>
      <c r="EZ456" s="214" t="s">
        <v>29757</v>
      </c>
      <c r="FA456" s="214" t="s">
        <v>90</v>
      </c>
      <c r="FB456" s="214" t="s">
        <v>70</v>
      </c>
      <c r="FC456" s="214" t="s">
        <v>530</v>
      </c>
      <c r="FE456" s="214" t="s">
        <v>29758</v>
      </c>
      <c r="FF456" s="214" t="s">
        <v>34597</v>
      </c>
      <c r="FG456" s="214" t="s">
        <v>70</v>
      </c>
      <c r="FH456" s="214" t="s">
        <v>530</v>
      </c>
      <c r="FJ456" s="321" t="s">
        <v>29759</v>
      </c>
      <c r="FK456" s="214" t="s">
        <v>163</v>
      </c>
      <c r="FL456" s="214" t="s">
        <v>70</v>
      </c>
      <c r="FM456" s="214" t="s">
        <v>530</v>
      </c>
      <c r="FO456" s="321" t="s">
        <v>29760</v>
      </c>
      <c r="FP456" s="214" t="s">
        <v>52</v>
      </c>
      <c r="FQ456" s="214" t="s">
        <v>70</v>
      </c>
      <c r="FR456" s="214" t="s">
        <v>530</v>
      </c>
      <c r="FT456" s="321" t="s">
        <v>29761</v>
      </c>
      <c r="FU456" s="214" t="s">
        <v>52</v>
      </c>
      <c r="FV456" s="214" t="s">
        <v>70</v>
      </c>
      <c r="FW456" s="214" t="s">
        <v>530</v>
      </c>
      <c r="FY456" s="321" t="s">
        <v>29762</v>
      </c>
      <c r="FZ456" s="214" t="s">
        <v>34516</v>
      </c>
      <c r="GA456" s="214" t="s">
        <v>70</v>
      </c>
      <c r="GB456" s="214" t="s">
        <v>530</v>
      </c>
      <c r="GD456" s="321" t="s">
        <v>29763</v>
      </c>
      <c r="GE456" s="214" t="s">
        <v>497</v>
      </c>
      <c r="GF456" s="214" t="s">
        <v>70</v>
      </c>
      <c r="GG456" s="214" t="s">
        <v>530</v>
      </c>
      <c r="GI456" s="321" t="s">
        <v>29764</v>
      </c>
      <c r="GJ456" s="214" t="s">
        <v>103</v>
      </c>
      <c r="GK456" s="214" t="s">
        <v>70</v>
      </c>
      <c r="GL456" s="214" t="s">
        <v>530</v>
      </c>
      <c r="GN456" s="321" t="s">
        <v>29765</v>
      </c>
      <c r="GO456" s="214" t="s">
        <v>103</v>
      </c>
      <c r="GP456" s="214" t="s">
        <v>70</v>
      </c>
      <c r="GQ456" s="214" t="s">
        <v>530</v>
      </c>
      <c r="GS456" s="321" t="s">
        <v>29766</v>
      </c>
      <c r="GT456" s="214" t="s">
        <v>34575</v>
      </c>
      <c r="GU456" s="214" t="s">
        <v>70</v>
      </c>
      <c r="GV456" s="214" t="s">
        <v>530</v>
      </c>
      <c r="GX456" s="214" t="s">
        <v>29767</v>
      </c>
      <c r="GY456" s="214" t="s">
        <v>87</v>
      </c>
      <c r="GZ456" s="214" t="s">
        <v>70</v>
      </c>
      <c r="HA456" s="214" t="s">
        <v>530</v>
      </c>
      <c r="HC456" s="214" t="s">
        <v>29768</v>
      </c>
      <c r="HD456" s="214" t="s">
        <v>148</v>
      </c>
      <c r="HE456" s="214" t="s">
        <v>70</v>
      </c>
      <c r="HF456" s="214" t="s">
        <v>530</v>
      </c>
      <c r="HH456" s="214" t="s">
        <v>29769</v>
      </c>
      <c r="HI456" s="214" t="s">
        <v>145</v>
      </c>
      <c r="HJ456" s="214" t="s">
        <v>70</v>
      </c>
      <c r="HK456" s="214" t="s">
        <v>530</v>
      </c>
      <c r="HM456" s="214" t="s">
        <v>29770</v>
      </c>
      <c r="HN456" s="214" t="s">
        <v>34620</v>
      </c>
      <c r="HO456" s="214" t="s">
        <v>70</v>
      </c>
      <c r="HP456" s="214" t="s">
        <v>530</v>
      </c>
      <c r="HR456" s="22" t="s">
        <v>29771</v>
      </c>
      <c r="HS456" s="22" t="s">
        <v>529</v>
      </c>
      <c r="HT456" s="22" t="s">
        <v>70</v>
      </c>
      <c r="HU456" s="214" t="s">
        <v>530</v>
      </c>
      <c r="HW456" s="22" t="s">
        <v>29772</v>
      </c>
      <c r="HX456" s="22" t="s">
        <v>955</v>
      </c>
      <c r="HY456" s="22" t="s">
        <v>70</v>
      </c>
      <c r="HZ456" s="214" t="s">
        <v>530</v>
      </c>
      <c r="IB456" s="22" t="s">
        <v>29773</v>
      </c>
      <c r="IC456" s="22" t="s">
        <v>286</v>
      </c>
      <c r="ID456" s="22" t="s">
        <v>70</v>
      </c>
      <c r="IE456" s="214" t="s">
        <v>530</v>
      </c>
      <c r="IG456" s="22" t="s">
        <v>29774</v>
      </c>
      <c r="IH456" s="22" t="s">
        <v>52</v>
      </c>
      <c r="II456" s="22" t="s">
        <v>70</v>
      </c>
      <c r="IJ456" s="214" t="s">
        <v>530</v>
      </c>
      <c r="IL456" s="22" t="s">
        <v>29775</v>
      </c>
      <c r="IM456" s="22" t="s">
        <v>145</v>
      </c>
      <c r="IN456" s="22" t="s">
        <v>70</v>
      </c>
      <c r="IO456" s="214" t="s">
        <v>530</v>
      </c>
      <c r="IQ456" s="236" t="s">
        <v>29776</v>
      </c>
      <c r="IR456" s="236" t="s">
        <v>145</v>
      </c>
      <c r="IS456" s="236" t="s">
        <v>74</v>
      </c>
      <c r="IT456" s="236" t="s">
        <v>841</v>
      </c>
      <c r="IV456" s="236" t="s">
        <v>29777</v>
      </c>
      <c r="IW456" s="236" t="s">
        <v>145</v>
      </c>
      <c r="IX456" s="236" t="s">
        <v>74</v>
      </c>
      <c r="IY456" s="236" t="s">
        <v>841</v>
      </c>
      <c r="JA456" s="236" t="s">
        <v>29778</v>
      </c>
      <c r="JB456" s="236" t="s">
        <v>145</v>
      </c>
      <c r="JC456" s="236" t="s">
        <v>74</v>
      </c>
      <c r="JD456" s="236" t="s">
        <v>841</v>
      </c>
      <c r="JF456" s="236" t="s">
        <v>29779</v>
      </c>
      <c r="JG456" s="236" t="s">
        <v>145</v>
      </c>
      <c r="JH456" s="236" t="s">
        <v>74</v>
      </c>
      <c r="JI456" s="236" t="s">
        <v>841</v>
      </c>
      <c r="JK456" s="236" t="s">
        <v>29780</v>
      </c>
      <c r="JL456" s="236" t="s">
        <v>145</v>
      </c>
      <c r="JM456" s="236" t="s">
        <v>74</v>
      </c>
      <c r="JN456" s="236" t="s">
        <v>841</v>
      </c>
      <c r="JP456" s="236" t="s">
        <v>29781</v>
      </c>
      <c r="JQ456" s="236" t="s">
        <v>145</v>
      </c>
      <c r="JR456" s="236" t="s">
        <v>74</v>
      </c>
      <c r="JS456" s="236" t="s">
        <v>841</v>
      </c>
      <c r="JU456" s="294" t="s">
        <v>29782</v>
      </c>
      <c r="JV456" s="294" t="s">
        <v>52</v>
      </c>
      <c r="JW456" s="263" t="s">
        <v>70</v>
      </c>
      <c r="JX456" s="294" t="s">
        <v>1083</v>
      </c>
      <c r="JZ456" s="263" t="s">
        <v>29783</v>
      </c>
      <c r="KA456" s="263" t="s">
        <v>145</v>
      </c>
      <c r="KB456" s="263" t="s">
        <v>70</v>
      </c>
      <c r="KC456" s="263" t="s">
        <v>1083</v>
      </c>
      <c r="KE456" s="263" t="s">
        <v>29784</v>
      </c>
      <c r="KF456" s="263" t="s">
        <v>52</v>
      </c>
      <c r="KG456" s="263" t="s">
        <v>70</v>
      </c>
      <c r="KH456" s="263" t="s">
        <v>1083</v>
      </c>
      <c r="KJ456" s="263" t="s">
        <v>29785</v>
      </c>
      <c r="KK456" s="263" t="s">
        <v>52</v>
      </c>
      <c r="KL456" s="263" t="s">
        <v>74</v>
      </c>
      <c r="KM456" s="263" t="s">
        <v>34074</v>
      </c>
      <c r="KO456" s="214" t="s">
        <v>29786</v>
      </c>
      <c r="KP456" s="214" t="s">
        <v>145</v>
      </c>
      <c r="KQ456" s="214" t="s">
        <v>70</v>
      </c>
      <c r="KR456" s="214" t="s">
        <v>67</v>
      </c>
      <c r="KT456" s="22" t="s">
        <v>29787</v>
      </c>
      <c r="KU456" s="22" t="s">
        <v>145</v>
      </c>
      <c r="KV456" s="22" t="s">
        <v>70</v>
      </c>
      <c r="KW456" s="22" t="s">
        <v>67</v>
      </c>
      <c r="KY456" s="214" t="s">
        <v>29788</v>
      </c>
      <c r="KZ456" s="214" t="s">
        <v>52</v>
      </c>
      <c r="LA456" s="214" t="s">
        <v>74</v>
      </c>
      <c r="LB456" s="214" t="s">
        <v>67</v>
      </c>
      <c r="LD456" s="22" t="s">
        <v>29789</v>
      </c>
      <c r="LE456" s="22" t="s">
        <v>145</v>
      </c>
      <c r="LF456" s="22" t="s">
        <v>70</v>
      </c>
      <c r="LG456" s="22" t="s">
        <v>67</v>
      </c>
    </row>
    <row r="457" spans="1:319">
      <c r="A457" s="22" t="s">
        <v>29790</v>
      </c>
      <c r="B457" s="22" t="s">
        <v>145</v>
      </c>
      <c r="C457" s="22" t="s">
        <v>70</v>
      </c>
      <c r="D457" s="22" t="s">
        <v>67</v>
      </c>
      <c r="F457" s="72" t="s">
        <v>29791</v>
      </c>
      <c r="G457" s="22" t="s">
        <v>145</v>
      </c>
      <c r="H457" s="22" t="s">
        <v>70</v>
      </c>
      <c r="I457" s="22" t="s">
        <v>67</v>
      </c>
      <c r="K457" s="99" t="s">
        <v>29792</v>
      </c>
      <c r="L457" s="22" t="s">
        <v>145</v>
      </c>
      <c r="M457" s="22" t="s">
        <v>70</v>
      </c>
      <c r="N457" s="22" t="s">
        <v>67</v>
      </c>
      <c r="P457" s="230" t="s">
        <v>29793</v>
      </c>
      <c r="Q457" s="218" t="s">
        <v>145</v>
      </c>
      <c r="R457" s="218" t="s">
        <v>72</v>
      </c>
      <c r="S457" s="218" t="s">
        <v>34058</v>
      </c>
      <c r="U457" s="293" t="s">
        <v>29794</v>
      </c>
      <c r="V457" s="293" t="s">
        <v>145</v>
      </c>
      <c r="W457" s="293" t="s">
        <v>74</v>
      </c>
      <c r="X457" s="293" t="s">
        <v>656</v>
      </c>
      <c r="Z457" s="293" t="s">
        <v>29795</v>
      </c>
      <c r="AA457" s="293" t="s">
        <v>145</v>
      </c>
      <c r="AB457" s="293" t="s">
        <v>74</v>
      </c>
      <c r="AC457" s="293" t="s">
        <v>656</v>
      </c>
      <c r="AE457" s="293" t="s">
        <v>29796</v>
      </c>
      <c r="AF457" s="293" t="s">
        <v>145</v>
      </c>
      <c r="AG457" s="293" t="s">
        <v>74</v>
      </c>
      <c r="AH457" s="293" t="s">
        <v>656</v>
      </c>
      <c r="AJ457" s="293" t="s">
        <v>29797</v>
      </c>
      <c r="AK457" s="293" t="s">
        <v>145</v>
      </c>
      <c r="AL457" s="293" t="s">
        <v>74</v>
      </c>
      <c r="AM457" s="293" t="s">
        <v>656</v>
      </c>
      <c r="AO457" s="22" t="s">
        <v>29798</v>
      </c>
      <c r="AP457" s="22" t="s">
        <v>145</v>
      </c>
      <c r="AQ457" s="22" t="s">
        <v>70</v>
      </c>
      <c r="AR457" s="22" t="s">
        <v>67</v>
      </c>
      <c r="AT457" s="22" t="s">
        <v>29799</v>
      </c>
      <c r="AU457" s="22" t="s">
        <v>145</v>
      </c>
      <c r="AV457" s="22" t="s">
        <v>70</v>
      </c>
      <c r="AW457" s="22" t="s">
        <v>67</v>
      </c>
      <c r="AY457" s="22" t="s">
        <v>29800</v>
      </c>
      <c r="AZ457" s="22" t="s">
        <v>145</v>
      </c>
      <c r="BA457" s="22" t="s">
        <v>70</v>
      </c>
      <c r="BB457" s="22" t="s">
        <v>67</v>
      </c>
      <c r="BD457" s="22" t="s">
        <v>29801</v>
      </c>
      <c r="BE457" s="22" t="s">
        <v>145</v>
      </c>
      <c r="BF457" s="22" t="s">
        <v>70</v>
      </c>
      <c r="BG457" s="22" t="s">
        <v>67</v>
      </c>
      <c r="BI457" s="22" t="s">
        <v>29802</v>
      </c>
      <c r="BJ457" s="22" t="s">
        <v>145</v>
      </c>
      <c r="BK457" s="22" t="s">
        <v>70</v>
      </c>
      <c r="BL457" s="22" t="s">
        <v>67</v>
      </c>
      <c r="BN457" s="22" t="s">
        <v>29803</v>
      </c>
      <c r="BO457" s="22" t="s">
        <v>145</v>
      </c>
      <c r="BP457" s="22" t="s">
        <v>70</v>
      </c>
      <c r="BQ457" s="22" t="s">
        <v>67</v>
      </c>
      <c r="BS457" s="22" t="s">
        <v>29804</v>
      </c>
      <c r="BT457" s="22" t="s">
        <v>145</v>
      </c>
      <c r="BU457" s="22" t="s">
        <v>70</v>
      </c>
      <c r="BV457" s="214" t="s">
        <v>530</v>
      </c>
      <c r="BX457" s="22" t="s">
        <v>29805</v>
      </c>
      <c r="BY457" s="22" t="s">
        <v>145</v>
      </c>
      <c r="BZ457" s="22" t="s">
        <v>70</v>
      </c>
      <c r="CA457" s="214" t="s">
        <v>530</v>
      </c>
      <c r="CC457" s="214" t="s">
        <v>29806</v>
      </c>
      <c r="CD457" s="214" t="s">
        <v>203</v>
      </c>
      <c r="CE457" s="214" t="s">
        <v>70</v>
      </c>
      <c r="CF457" s="214" t="s">
        <v>530</v>
      </c>
      <c r="CH457" s="214" t="s">
        <v>29807</v>
      </c>
      <c r="CI457" s="214" t="s">
        <v>34565</v>
      </c>
      <c r="CJ457" s="214" t="s">
        <v>70</v>
      </c>
      <c r="CK457" s="214" t="s">
        <v>530</v>
      </c>
      <c r="CM457" s="214" t="s">
        <v>29808</v>
      </c>
      <c r="CN457" s="214" t="s">
        <v>493</v>
      </c>
      <c r="CO457" s="214" t="s">
        <v>70</v>
      </c>
      <c r="CP457" s="214" t="s">
        <v>530</v>
      </c>
      <c r="CR457" s="214" t="s">
        <v>29809</v>
      </c>
      <c r="CS457" s="214" t="s">
        <v>10541</v>
      </c>
      <c r="CT457" s="214" t="s">
        <v>70</v>
      </c>
      <c r="CU457" s="214" t="s">
        <v>530</v>
      </c>
      <c r="CW457" s="214" t="s">
        <v>29810</v>
      </c>
      <c r="CX457" s="214" t="s">
        <v>486</v>
      </c>
      <c r="CY457" s="214" t="s">
        <v>70</v>
      </c>
      <c r="CZ457" s="214" t="s">
        <v>530</v>
      </c>
      <c r="DB457" s="214" t="s">
        <v>29811</v>
      </c>
      <c r="DC457" s="214" t="s">
        <v>1028</v>
      </c>
      <c r="DD457" s="214" t="s">
        <v>70</v>
      </c>
      <c r="DE457" s="214" t="s">
        <v>530</v>
      </c>
      <c r="DG457" s="214" t="s">
        <v>29812</v>
      </c>
      <c r="DH457" s="214" t="s">
        <v>34558</v>
      </c>
      <c r="DI457" s="214" t="s">
        <v>70</v>
      </c>
      <c r="DJ457" s="214" t="s">
        <v>530</v>
      </c>
      <c r="DL457" s="214" t="s">
        <v>29813</v>
      </c>
      <c r="DM457" s="214" t="s">
        <v>950</v>
      </c>
      <c r="DN457" s="214" t="s">
        <v>70</v>
      </c>
      <c r="DO457" s="214" t="s">
        <v>530</v>
      </c>
      <c r="DQ457" s="214" t="s">
        <v>29814</v>
      </c>
      <c r="DR457" s="214" t="s">
        <v>34548</v>
      </c>
      <c r="DS457" s="214" t="s">
        <v>70</v>
      </c>
      <c r="DT457" s="214" t="s">
        <v>530</v>
      </c>
      <c r="DV457" s="214" t="s">
        <v>29815</v>
      </c>
      <c r="DW457" s="214" t="s">
        <v>484</v>
      </c>
      <c r="DX457" s="214" t="s">
        <v>70</v>
      </c>
      <c r="DY457" s="214" t="s">
        <v>530</v>
      </c>
      <c r="EA457" s="214" t="s">
        <v>29816</v>
      </c>
      <c r="EB457" s="214" t="s">
        <v>798</v>
      </c>
      <c r="EC457" s="214" t="s">
        <v>70</v>
      </c>
      <c r="ED457" s="214" t="s">
        <v>530</v>
      </c>
      <c r="EF457" s="214" t="s">
        <v>29817</v>
      </c>
      <c r="EG457" s="214" t="s">
        <v>34551</v>
      </c>
      <c r="EH457" s="214" t="s">
        <v>70</v>
      </c>
      <c r="EI457" s="214" t="s">
        <v>530</v>
      </c>
      <c r="EK457" s="214" t="s">
        <v>29818</v>
      </c>
      <c r="EL457" s="214" t="s">
        <v>488</v>
      </c>
      <c r="EM457" s="214" t="s">
        <v>70</v>
      </c>
      <c r="EN457" s="214" t="s">
        <v>530</v>
      </c>
      <c r="EP457" s="214" t="s">
        <v>29819</v>
      </c>
      <c r="EQ457" s="214" t="s">
        <v>34541</v>
      </c>
      <c r="ER457" s="214" t="s">
        <v>70</v>
      </c>
      <c r="ES457" s="214" t="s">
        <v>530</v>
      </c>
      <c r="EU457" s="214" t="s">
        <v>29820</v>
      </c>
      <c r="EV457" s="214" t="s">
        <v>492</v>
      </c>
      <c r="EW457" s="214" t="s">
        <v>70</v>
      </c>
      <c r="EX457" s="214" t="s">
        <v>530</v>
      </c>
      <c r="EZ457" s="214" t="s">
        <v>29821</v>
      </c>
      <c r="FA457" s="214" t="s">
        <v>34629</v>
      </c>
      <c r="FB457" s="214" t="s">
        <v>70</v>
      </c>
      <c r="FC457" s="214" t="s">
        <v>530</v>
      </c>
      <c r="FE457" s="214" t="s">
        <v>29822</v>
      </c>
      <c r="FF457" s="214" t="s">
        <v>499</v>
      </c>
      <c r="FG457" s="214" t="s">
        <v>70</v>
      </c>
      <c r="FH457" s="214" t="s">
        <v>530</v>
      </c>
      <c r="FJ457" s="321" t="s">
        <v>29823</v>
      </c>
      <c r="FK457" s="214" t="s">
        <v>485</v>
      </c>
      <c r="FL457" s="214" t="s">
        <v>70</v>
      </c>
      <c r="FM457" s="214" t="s">
        <v>530</v>
      </c>
      <c r="FO457" s="321" t="s">
        <v>29824</v>
      </c>
      <c r="FP457" s="214" t="s">
        <v>485</v>
      </c>
      <c r="FQ457" s="214" t="s">
        <v>70</v>
      </c>
      <c r="FR457" s="214" t="s">
        <v>530</v>
      </c>
      <c r="FT457" s="321" t="s">
        <v>29825</v>
      </c>
      <c r="FU457" s="214" t="s">
        <v>203</v>
      </c>
      <c r="FV457" s="214" t="s">
        <v>70</v>
      </c>
      <c r="FW457" s="214" t="s">
        <v>530</v>
      </c>
      <c r="FY457" s="321" t="s">
        <v>29826</v>
      </c>
      <c r="FZ457" s="214" t="s">
        <v>52</v>
      </c>
      <c r="GA457" s="214" t="s">
        <v>70</v>
      </c>
      <c r="GB457" s="214" t="s">
        <v>530</v>
      </c>
      <c r="GD457" s="321" t="s">
        <v>29827</v>
      </c>
      <c r="GE457" s="214" t="s">
        <v>34566</v>
      </c>
      <c r="GF457" s="214" t="s">
        <v>70</v>
      </c>
      <c r="GG457" s="214" t="s">
        <v>530</v>
      </c>
      <c r="GI457" s="321" t="s">
        <v>29828</v>
      </c>
      <c r="GJ457" s="214" t="s">
        <v>603</v>
      </c>
      <c r="GK457" s="214" t="s">
        <v>70</v>
      </c>
      <c r="GL457" s="214" t="s">
        <v>530</v>
      </c>
      <c r="GN457" s="321" t="s">
        <v>29829</v>
      </c>
      <c r="GO457" s="214" t="s">
        <v>34551</v>
      </c>
      <c r="GP457" s="214" t="s">
        <v>70</v>
      </c>
      <c r="GQ457" s="214" t="s">
        <v>530</v>
      </c>
      <c r="GS457" s="321" t="s">
        <v>29830</v>
      </c>
      <c r="GT457" s="214" t="s">
        <v>502</v>
      </c>
      <c r="GU457" s="214" t="s">
        <v>70</v>
      </c>
      <c r="GV457" s="214" t="s">
        <v>530</v>
      </c>
      <c r="GX457" s="214" t="s">
        <v>29831</v>
      </c>
      <c r="GY457" s="214" t="s">
        <v>485</v>
      </c>
      <c r="GZ457" s="214" t="s">
        <v>70</v>
      </c>
      <c r="HA457" s="214" t="s">
        <v>530</v>
      </c>
      <c r="HC457" s="214" t="s">
        <v>29832</v>
      </c>
      <c r="HD457" s="214" t="s">
        <v>146</v>
      </c>
      <c r="HE457" s="214" t="s">
        <v>70</v>
      </c>
      <c r="HF457" s="214" t="s">
        <v>530</v>
      </c>
      <c r="HH457" s="214" t="s">
        <v>29833</v>
      </c>
      <c r="HI457" s="214" t="s">
        <v>919</v>
      </c>
      <c r="HJ457" s="214" t="s">
        <v>70</v>
      </c>
      <c r="HK457" s="214" t="s">
        <v>530</v>
      </c>
      <c r="HM457" s="214" t="s">
        <v>29834</v>
      </c>
      <c r="HN457" s="214" t="s">
        <v>529</v>
      </c>
      <c r="HO457" s="214" t="s">
        <v>70</v>
      </c>
      <c r="HP457" s="214" t="s">
        <v>530</v>
      </c>
      <c r="HR457" s="22" t="s">
        <v>29835</v>
      </c>
      <c r="HS457" s="22" t="s">
        <v>149</v>
      </c>
      <c r="HT457" s="22" t="s">
        <v>70</v>
      </c>
      <c r="HU457" s="214" t="s">
        <v>530</v>
      </c>
      <c r="HW457" s="22" t="s">
        <v>29836</v>
      </c>
      <c r="HX457" s="22" t="s">
        <v>487</v>
      </c>
      <c r="HY457" s="22" t="s">
        <v>70</v>
      </c>
      <c r="HZ457" s="214" t="s">
        <v>530</v>
      </c>
      <c r="IB457" s="22" t="s">
        <v>29837</v>
      </c>
      <c r="IC457" s="22" t="s">
        <v>486</v>
      </c>
      <c r="ID457" s="22" t="s">
        <v>70</v>
      </c>
      <c r="IE457" s="214" t="s">
        <v>530</v>
      </c>
      <c r="IG457" s="22" t="s">
        <v>29838</v>
      </c>
      <c r="IH457" s="22" t="s">
        <v>52</v>
      </c>
      <c r="II457" s="22" t="s">
        <v>70</v>
      </c>
      <c r="IJ457" s="214" t="s">
        <v>530</v>
      </c>
      <c r="IL457" s="22" t="s">
        <v>29839</v>
      </c>
      <c r="IM457" s="22" t="s">
        <v>145</v>
      </c>
      <c r="IN457" s="22" t="s">
        <v>70</v>
      </c>
      <c r="IO457" s="214" t="s">
        <v>530</v>
      </c>
      <c r="IQ457" s="236" t="s">
        <v>29840</v>
      </c>
      <c r="IR457" s="236" t="s">
        <v>145</v>
      </c>
      <c r="IS457" s="236" t="s">
        <v>74</v>
      </c>
      <c r="IT457" s="236" t="s">
        <v>841</v>
      </c>
      <c r="IV457" s="236" t="s">
        <v>29841</v>
      </c>
      <c r="IW457" s="236" t="s">
        <v>145</v>
      </c>
      <c r="IX457" s="236" t="s">
        <v>74</v>
      </c>
      <c r="IY457" s="236" t="s">
        <v>841</v>
      </c>
      <c r="JA457" s="236" t="s">
        <v>29842</v>
      </c>
      <c r="JB457" s="236" t="s">
        <v>145</v>
      </c>
      <c r="JC457" s="236" t="s">
        <v>74</v>
      </c>
      <c r="JD457" s="236" t="s">
        <v>841</v>
      </c>
      <c r="JF457" s="236" t="s">
        <v>29843</v>
      </c>
      <c r="JG457" s="236" t="s">
        <v>145</v>
      </c>
      <c r="JH457" s="236" t="s">
        <v>74</v>
      </c>
      <c r="JI457" s="236" t="s">
        <v>841</v>
      </c>
      <c r="JK457" s="236" t="s">
        <v>29844</v>
      </c>
      <c r="JL457" s="236" t="s">
        <v>145</v>
      </c>
      <c r="JM457" s="236" t="s">
        <v>74</v>
      </c>
      <c r="JN457" s="236" t="s">
        <v>841</v>
      </c>
      <c r="JP457" s="236" t="s">
        <v>29845</v>
      </c>
      <c r="JQ457" s="236" t="s">
        <v>145</v>
      </c>
      <c r="JR457" s="236" t="s">
        <v>74</v>
      </c>
      <c r="JS457" s="236" t="s">
        <v>841</v>
      </c>
      <c r="JU457" s="294" t="s">
        <v>29846</v>
      </c>
      <c r="JV457" s="294" t="s">
        <v>52</v>
      </c>
      <c r="JW457" s="263" t="s">
        <v>70</v>
      </c>
      <c r="JX457" s="294" t="s">
        <v>1083</v>
      </c>
      <c r="JZ457" s="263" t="s">
        <v>29847</v>
      </c>
      <c r="KA457" s="263" t="s">
        <v>145</v>
      </c>
      <c r="KB457" s="263" t="s">
        <v>70</v>
      </c>
      <c r="KC457" s="263" t="s">
        <v>1083</v>
      </c>
      <c r="KE457" s="263" t="s">
        <v>29848</v>
      </c>
      <c r="KF457" s="263" t="s">
        <v>52</v>
      </c>
      <c r="KG457" s="263" t="s">
        <v>70</v>
      </c>
      <c r="KH457" s="263" t="s">
        <v>1083</v>
      </c>
      <c r="KJ457" s="263" t="s">
        <v>29849</v>
      </c>
      <c r="KK457" s="263" t="s">
        <v>52</v>
      </c>
      <c r="KL457" s="263" t="s">
        <v>74</v>
      </c>
      <c r="KM457" s="263" t="s">
        <v>34074</v>
      </c>
      <c r="KO457" s="214" t="s">
        <v>29850</v>
      </c>
      <c r="KP457" s="214" t="s">
        <v>145</v>
      </c>
      <c r="KQ457" s="214" t="s">
        <v>70</v>
      </c>
      <c r="KR457" s="214" t="s">
        <v>67</v>
      </c>
      <c r="KT457" s="22" t="s">
        <v>29851</v>
      </c>
      <c r="KU457" s="22" t="s">
        <v>145</v>
      </c>
      <c r="KV457" s="22" t="s">
        <v>70</v>
      </c>
      <c r="KW457" s="22" t="s">
        <v>67</v>
      </c>
      <c r="KY457" s="214" t="s">
        <v>29852</v>
      </c>
      <c r="KZ457" s="214" t="s">
        <v>52</v>
      </c>
      <c r="LA457" s="214" t="s">
        <v>74</v>
      </c>
      <c r="LB457" s="214" t="s">
        <v>67</v>
      </c>
      <c r="LD457" s="22" t="s">
        <v>29853</v>
      </c>
      <c r="LE457" s="22" t="s">
        <v>145</v>
      </c>
      <c r="LF457" s="22" t="s">
        <v>70</v>
      </c>
      <c r="LG457" s="22" t="s">
        <v>67</v>
      </c>
    </row>
    <row r="458" spans="1:319">
      <c r="A458" s="22" t="s">
        <v>29854</v>
      </c>
      <c r="B458" s="22" t="s">
        <v>145</v>
      </c>
      <c r="C458" s="22" t="s">
        <v>70</v>
      </c>
      <c r="D458" s="22" t="s">
        <v>67</v>
      </c>
      <c r="F458" s="72" t="s">
        <v>29855</v>
      </c>
      <c r="G458" s="22" t="s">
        <v>145</v>
      </c>
      <c r="H458" s="22" t="s">
        <v>70</v>
      </c>
      <c r="I458" s="22" t="s">
        <v>67</v>
      </c>
      <c r="K458" s="99" t="s">
        <v>29856</v>
      </c>
      <c r="L458" s="22" t="s">
        <v>145</v>
      </c>
      <c r="M458" s="22" t="s">
        <v>70</v>
      </c>
      <c r="N458" s="22" t="s">
        <v>67</v>
      </c>
      <c r="P458" s="230" t="s">
        <v>29857</v>
      </c>
      <c r="Q458" s="218" t="s">
        <v>145</v>
      </c>
      <c r="R458" s="218" t="s">
        <v>72</v>
      </c>
      <c r="S458" s="218" t="s">
        <v>34059</v>
      </c>
      <c r="U458" s="293" t="s">
        <v>29858</v>
      </c>
      <c r="V458" s="293" t="s">
        <v>145</v>
      </c>
      <c r="W458" s="293" t="s">
        <v>74</v>
      </c>
      <c r="X458" s="293" t="s">
        <v>656</v>
      </c>
      <c r="Z458" s="293" t="s">
        <v>29859</v>
      </c>
      <c r="AA458" s="293" t="s">
        <v>145</v>
      </c>
      <c r="AB458" s="293" t="s">
        <v>74</v>
      </c>
      <c r="AC458" s="293" t="s">
        <v>656</v>
      </c>
      <c r="AE458" s="293" t="s">
        <v>29860</v>
      </c>
      <c r="AF458" s="293" t="s">
        <v>145</v>
      </c>
      <c r="AG458" s="293" t="s">
        <v>74</v>
      </c>
      <c r="AH458" s="293" t="s">
        <v>656</v>
      </c>
      <c r="AJ458" s="293" t="s">
        <v>29861</v>
      </c>
      <c r="AK458" s="293" t="s">
        <v>145</v>
      </c>
      <c r="AL458" s="293" t="s">
        <v>74</v>
      </c>
      <c r="AM458" s="293" t="s">
        <v>656</v>
      </c>
      <c r="AO458" s="22" t="s">
        <v>29862</v>
      </c>
      <c r="AP458" s="22" t="s">
        <v>145</v>
      </c>
      <c r="AQ458" s="22" t="s">
        <v>70</v>
      </c>
      <c r="AR458" s="22" t="s">
        <v>67</v>
      </c>
      <c r="AT458" s="22" t="s">
        <v>29863</v>
      </c>
      <c r="AU458" s="22" t="s">
        <v>145</v>
      </c>
      <c r="AV458" s="22" t="s">
        <v>70</v>
      </c>
      <c r="AW458" s="22" t="s">
        <v>67</v>
      </c>
      <c r="AY458" s="22" t="s">
        <v>29864</v>
      </c>
      <c r="AZ458" s="22" t="s">
        <v>145</v>
      </c>
      <c r="BA458" s="22" t="s">
        <v>70</v>
      </c>
      <c r="BB458" s="22" t="s">
        <v>67</v>
      </c>
      <c r="BD458" s="22" t="s">
        <v>29865</v>
      </c>
      <c r="BE458" s="22" t="s">
        <v>145</v>
      </c>
      <c r="BF458" s="22" t="s">
        <v>70</v>
      </c>
      <c r="BG458" s="22" t="s">
        <v>67</v>
      </c>
      <c r="BI458" s="22" t="s">
        <v>29866</v>
      </c>
      <c r="BJ458" s="22" t="s">
        <v>145</v>
      </c>
      <c r="BK458" s="22" t="s">
        <v>70</v>
      </c>
      <c r="BL458" s="22" t="s">
        <v>67</v>
      </c>
      <c r="BN458" s="22" t="s">
        <v>29867</v>
      </c>
      <c r="BO458" s="22" t="s">
        <v>145</v>
      </c>
      <c r="BP458" s="22" t="s">
        <v>70</v>
      </c>
      <c r="BQ458" s="22" t="s">
        <v>67</v>
      </c>
      <c r="BS458" s="22" t="s">
        <v>29868</v>
      </c>
      <c r="BT458" s="22" t="s">
        <v>145</v>
      </c>
      <c r="BU458" s="22" t="s">
        <v>70</v>
      </c>
      <c r="BV458" s="214" t="s">
        <v>530</v>
      </c>
      <c r="BX458" s="22" t="s">
        <v>29869</v>
      </c>
      <c r="BY458" s="22" t="s">
        <v>145</v>
      </c>
      <c r="BZ458" s="22" t="s">
        <v>70</v>
      </c>
      <c r="CA458" s="214" t="s">
        <v>530</v>
      </c>
      <c r="CC458" s="214" t="s">
        <v>29870</v>
      </c>
      <c r="CD458" s="214" t="s">
        <v>34538</v>
      </c>
      <c r="CE458" s="214" t="s">
        <v>70</v>
      </c>
      <c r="CF458" s="214" t="s">
        <v>530</v>
      </c>
      <c r="CH458" s="214" t="s">
        <v>29871</v>
      </c>
      <c r="CI458" s="214" t="s">
        <v>148</v>
      </c>
      <c r="CJ458" s="214" t="s">
        <v>70</v>
      </c>
      <c r="CK458" s="214" t="s">
        <v>530</v>
      </c>
      <c r="CM458" s="214" t="s">
        <v>29872</v>
      </c>
      <c r="CN458" s="214" t="s">
        <v>468</v>
      </c>
      <c r="CO458" s="214" t="s">
        <v>70</v>
      </c>
      <c r="CP458" s="214" t="s">
        <v>530</v>
      </c>
      <c r="CR458" s="214" t="s">
        <v>29873</v>
      </c>
      <c r="CS458" s="214" t="s">
        <v>103</v>
      </c>
      <c r="CT458" s="214" t="s">
        <v>70</v>
      </c>
      <c r="CU458" s="214" t="s">
        <v>530</v>
      </c>
      <c r="CW458" s="214" t="s">
        <v>29874</v>
      </c>
      <c r="CX458" s="214" t="s">
        <v>912</v>
      </c>
      <c r="CY458" s="214" t="s">
        <v>70</v>
      </c>
      <c r="CZ458" s="214" t="s">
        <v>530</v>
      </c>
      <c r="DB458" s="214" t="s">
        <v>29875</v>
      </c>
      <c r="DC458" s="214" t="s">
        <v>34658</v>
      </c>
      <c r="DD458" s="214" t="s">
        <v>70</v>
      </c>
      <c r="DE458" s="214" t="s">
        <v>530</v>
      </c>
      <c r="DG458" s="214" t="s">
        <v>29876</v>
      </c>
      <c r="DH458" s="214" t="s">
        <v>655</v>
      </c>
      <c r="DI458" s="214" t="s">
        <v>70</v>
      </c>
      <c r="DJ458" s="214" t="s">
        <v>530</v>
      </c>
      <c r="DL458" s="214" t="s">
        <v>29877</v>
      </c>
      <c r="DM458" s="214" t="s">
        <v>34544</v>
      </c>
      <c r="DN458" s="214" t="s">
        <v>70</v>
      </c>
      <c r="DO458" s="214" t="s">
        <v>530</v>
      </c>
      <c r="DQ458" s="214" t="s">
        <v>29878</v>
      </c>
      <c r="DR458" s="214" t="s">
        <v>305</v>
      </c>
      <c r="DS458" s="214" t="s">
        <v>70</v>
      </c>
      <c r="DT458" s="214" t="s">
        <v>530</v>
      </c>
      <c r="DV458" s="214" t="s">
        <v>29879</v>
      </c>
      <c r="DW458" s="214" t="s">
        <v>529</v>
      </c>
      <c r="DX458" s="214" t="s">
        <v>70</v>
      </c>
      <c r="DY458" s="214" t="s">
        <v>530</v>
      </c>
      <c r="EA458" s="214" t="s">
        <v>29880</v>
      </c>
      <c r="EB458" s="214" t="s">
        <v>34599</v>
      </c>
      <c r="EC458" s="214" t="s">
        <v>70</v>
      </c>
      <c r="ED458" s="214" t="s">
        <v>530</v>
      </c>
      <c r="EF458" s="214" t="s">
        <v>29881</v>
      </c>
      <c r="EG458" s="214" t="s">
        <v>90</v>
      </c>
      <c r="EH458" s="214" t="s">
        <v>70</v>
      </c>
      <c r="EI458" s="214" t="s">
        <v>530</v>
      </c>
      <c r="EK458" s="214" t="s">
        <v>29882</v>
      </c>
      <c r="EL458" s="214" t="s">
        <v>34620</v>
      </c>
      <c r="EM458" s="214" t="s">
        <v>70</v>
      </c>
      <c r="EN458" s="214" t="s">
        <v>530</v>
      </c>
      <c r="EP458" s="214" t="s">
        <v>29883</v>
      </c>
      <c r="EQ458" s="214" t="s">
        <v>34575</v>
      </c>
      <c r="ER458" s="214" t="s">
        <v>70</v>
      </c>
      <c r="ES458" s="214" t="s">
        <v>530</v>
      </c>
      <c r="EU458" s="214" t="s">
        <v>29884</v>
      </c>
      <c r="EV458" s="214" t="s">
        <v>34579</v>
      </c>
      <c r="EW458" s="214" t="s">
        <v>70</v>
      </c>
      <c r="EX458" s="214" t="s">
        <v>530</v>
      </c>
      <c r="EZ458" s="214" t="s">
        <v>29885</v>
      </c>
      <c r="FA458" s="214" t="s">
        <v>531</v>
      </c>
      <c r="FB458" s="214" t="s">
        <v>70</v>
      </c>
      <c r="FC458" s="214" t="s">
        <v>530</v>
      </c>
      <c r="FE458" s="214" t="s">
        <v>29886</v>
      </c>
      <c r="FF458" s="214" t="s">
        <v>92</v>
      </c>
      <c r="FG458" s="214" t="s">
        <v>70</v>
      </c>
      <c r="FH458" s="214" t="s">
        <v>530</v>
      </c>
      <c r="FJ458" s="321" t="s">
        <v>29887</v>
      </c>
      <c r="FK458" s="214" t="s">
        <v>103</v>
      </c>
      <c r="FL458" s="214" t="s">
        <v>70</v>
      </c>
      <c r="FM458" s="214" t="s">
        <v>530</v>
      </c>
      <c r="FO458" s="321" t="s">
        <v>29888</v>
      </c>
      <c r="FP458" s="214" t="s">
        <v>34567</v>
      </c>
      <c r="FQ458" s="214" t="s">
        <v>70</v>
      </c>
      <c r="FR458" s="214" t="s">
        <v>530</v>
      </c>
      <c r="FT458" s="321" t="s">
        <v>29889</v>
      </c>
      <c r="FU458" s="214" t="s">
        <v>599</v>
      </c>
      <c r="FV458" s="214" t="s">
        <v>70</v>
      </c>
      <c r="FW458" s="214" t="s">
        <v>530</v>
      </c>
      <c r="FY458" s="321" t="s">
        <v>29890</v>
      </c>
      <c r="FZ458" s="214" t="s">
        <v>34583</v>
      </c>
      <c r="GA458" s="214" t="s">
        <v>70</v>
      </c>
      <c r="GB458" s="214" t="s">
        <v>530</v>
      </c>
      <c r="GD458" s="321" t="s">
        <v>29891</v>
      </c>
      <c r="GE458" s="214" t="s">
        <v>483</v>
      </c>
      <c r="GF458" s="214" t="s">
        <v>70</v>
      </c>
      <c r="GG458" s="214" t="s">
        <v>530</v>
      </c>
      <c r="GI458" s="321" t="s">
        <v>29892</v>
      </c>
      <c r="GJ458" s="214" t="s">
        <v>34607</v>
      </c>
      <c r="GK458" s="214" t="s">
        <v>70</v>
      </c>
      <c r="GL458" s="214" t="s">
        <v>530</v>
      </c>
      <c r="GN458" s="321" t="s">
        <v>29893</v>
      </c>
      <c r="GO458" s="214" t="s">
        <v>52</v>
      </c>
      <c r="GP458" s="214" t="s">
        <v>70</v>
      </c>
      <c r="GQ458" s="214" t="s">
        <v>530</v>
      </c>
      <c r="GS458" s="321" t="s">
        <v>29894</v>
      </c>
      <c r="GT458" s="214" t="s">
        <v>949</v>
      </c>
      <c r="GU458" s="214" t="s">
        <v>70</v>
      </c>
      <c r="GV458" s="214" t="s">
        <v>530</v>
      </c>
      <c r="GX458" s="214" t="s">
        <v>29895</v>
      </c>
      <c r="GY458" s="214" t="s">
        <v>88</v>
      </c>
      <c r="GZ458" s="214" t="s">
        <v>70</v>
      </c>
      <c r="HA458" s="214" t="s">
        <v>530</v>
      </c>
      <c r="HC458" s="214" t="s">
        <v>29896</v>
      </c>
      <c r="HD458" s="214" t="s">
        <v>85</v>
      </c>
      <c r="HE458" s="214" t="s">
        <v>70</v>
      </c>
      <c r="HF458" s="214" t="s">
        <v>530</v>
      </c>
      <c r="HH458" s="214" t="s">
        <v>29897</v>
      </c>
      <c r="HI458" s="214" t="s">
        <v>34639</v>
      </c>
      <c r="HJ458" s="214" t="s">
        <v>70</v>
      </c>
      <c r="HK458" s="214" t="s">
        <v>530</v>
      </c>
      <c r="HM458" s="214" t="s">
        <v>29898</v>
      </c>
      <c r="HN458" s="214" t="s">
        <v>34647</v>
      </c>
      <c r="HO458" s="214" t="s">
        <v>70</v>
      </c>
      <c r="HP458" s="214" t="s">
        <v>530</v>
      </c>
      <c r="HR458" s="22" t="s">
        <v>29899</v>
      </c>
      <c r="HS458" s="22" t="s">
        <v>529</v>
      </c>
      <c r="HT458" s="22" t="s">
        <v>70</v>
      </c>
      <c r="HU458" s="214" t="s">
        <v>530</v>
      </c>
      <c r="HW458" s="22" t="s">
        <v>29900</v>
      </c>
      <c r="HX458" s="22" t="s">
        <v>146</v>
      </c>
      <c r="HY458" s="22" t="s">
        <v>70</v>
      </c>
      <c r="HZ458" s="214" t="s">
        <v>530</v>
      </c>
      <c r="IB458" s="22" t="s">
        <v>29901</v>
      </c>
      <c r="IC458" s="22" t="s">
        <v>163</v>
      </c>
      <c r="ID458" s="22" t="s">
        <v>70</v>
      </c>
      <c r="IE458" s="214" t="s">
        <v>530</v>
      </c>
      <c r="IG458" s="22" t="s">
        <v>29902</v>
      </c>
      <c r="IH458" s="22" t="s">
        <v>52</v>
      </c>
      <c r="II458" s="22" t="s">
        <v>70</v>
      </c>
      <c r="IJ458" s="214" t="s">
        <v>530</v>
      </c>
      <c r="IL458" s="22" t="s">
        <v>29903</v>
      </c>
      <c r="IM458" s="22" t="s">
        <v>145</v>
      </c>
      <c r="IN458" s="22" t="s">
        <v>70</v>
      </c>
      <c r="IO458" s="214" t="s">
        <v>530</v>
      </c>
      <c r="IQ458" s="236" t="s">
        <v>29904</v>
      </c>
      <c r="IR458" s="236" t="s">
        <v>145</v>
      </c>
      <c r="IS458" s="236" t="s">
        <v>74</v>
      </c>
      <c r="IT458" s="236" t="s">
        <v>841</v>
      </c>
      <c r="IV458" s="236" t="s">
        <v>29905</v>
      </c>
      <c r="IW458" s="236" t="s">
        <v>145</v>
      </c>
      <c r="IX458" s="236" t="s">
        <v>74</v>
      </c>
      <c r="IY458" s="236" t="s">
        <v>841</v>
      </c>
      <c r="JA458" s="236" t="s">
        <v>29906</v>
      </c>
      <c r="JB458" s="236" t="s">
        <v>145</v>
      </c>
      <c r="JC458" s="236" t="s">
        <v>74</v>
      </c>
      <c r="JD458" s="236" t="s">
        <v>841</v>
      </c>
      <c r="JF458" s="236" t="s">
        <v>29907</v>
      </c>
      <c r="JG458" s="236" t="s">
        <v>145</v>
      </c>
      <c r="JH458" s="236" t="s">
        <v>74</v>
      </c>
      <c r="JI458" s="236" t="s">
        <v>841</v>
      </c>
      <c r="JK458" s="236" t="s">
        <v>29908</v>
      </c>
      <c r="JL458" s="236" t="s">
        <v>145</v>
      </c>
      <c r="JM458" s="236" t="s">
        <v>74</v>
      </c>
      <c r="JN458" s="236" t="s">
        <v>841</v>
      </c>
      <c r="JP458" s="236" t="s">
        <v>29909</v>
      </c>
      <c r="JQ458" s="236" t="s">
        <v>145</v>
      </c>
      <c r="JR458" s="236" t="s">
        <v>74</v>
      </c>
      <c r="JS458" s="236" t="s">
        <v>841</v>
      </c>
      <c r="JU458" s="294" t="s">
        <v>29910</v>
      </c>
      <c r="JV458" s="294" t="s">
        <v>52</v>
      </c>
      <c r="JW458" s="263" t="s">
        <v>70</v>
      </c>
      <c r="JX458" s="294" t="s">
        <v>1083</v>
      </c>
      <c r="JZ458" s="263" t="s">
        <v>29911</v>
      </c>
      <c r="KA458" s="263" t="s">
        <v>145</v>
      </c>
      <c r="KB458" s="263" t="s">
        <v>70</v>
      </c>
      <c r="KC458" s="263" t="s">
        <v>1083</v>
      </c>
      <c r="KE458" s="263" t="s">
        <v>29912</v>
      </c>
      <c r="KF458" s="263" t="s">
        <v>52</v>
      </c>
      <c r="KG458" s="263" t="s">
        <v>70</v>
      </c>
      <c r="KH458" s="263" t="s">
        <v>1083</v>
      </c>
      <c r="KJ458" s="263" t="s">
        <v>29913</v>
      </c>
      <c r="KK458" s="263" t="s">
        <v>52</v>
      </c>
      <c r="KL458" s="263" t="s">
        <v>74</v>
      </c>
      <c r="KM458" s="263" t="s">
        <v>34074</v>
      </c>
      <c r="KO458" s="214" t="s">
        <v>29914</v>
      </c>
      <c r="KP458" s="214" t="s">
        <v>145</v>
      </c>
      <c r="KQ458" s="214" t="s">
        <v>70</v>
      </c>
      <c r="KR458" s="214" t="s">
        <v>67</v>
      </c>
      <c r="KT458" s="22" t="s">
        <v>29915</v>
      </c>
      <c r="KU458" s="22" t="s">
        <v>145</v>
      </c>
      <c r="KV458" s="22" t="s">
        <v>70</v>
      </c>
      <c r="KW458" s="22" t="s">
        <v>67</v>
      </c>
      <c r="KY458" s="214" t="s">
        <v>29916</v>
      </c>
      <c r="KZ458" s="214" t="s">
        <v>52</v>
      </c>
      <c r="LA458" s="214" t="s">
        <v>74</v>
      </c>
      <c r="LB458" s="214" t="s">
        <v>67</v>
      </c>
      <c r="LD458" s="22" t="s">
        <v>29917</v>
      </c>
      <c r="LE458" s="22" t="s">
        <v>145</v>
      </c>
      <c r="LF458" s="22" t="s">
        <v>70</v>
      </c>
      <c r="LG458" s="22" t="s">
        <v>67</v>
      </c>
    </row>
    <row r="459" spans="1:319">
      <c r="A459" s="22" t="s">
        <v>29918</v>
      </c>
      <c r="B459" s="22" t="s">
        <v>145</v>
      </c>
      <c r="C459" s="22" t="s">
        <v>70</v>
      </c>
      <c r="D459" s="22" t="s">
        <v>67</v>
      </c>
      <c r="F459" s="72" t="s">
        <v>29919</v>
      </c>
      <c r="G459" s="22" t="s">
        <v>145</v>
      </c>
      <c r="H459" s="22" t="s">
        <v>70</v>
      </c>
      <c r="I459" s="22" t="s">
        <v>67</v>
      </c>
      <c r="K459" s="99" t="s">
        <v>29920</v>
      </c>
      <c r="L459" s="22" t="s">
        <v>145</v>
      </c>
      <c r="M459" s="22" t="s">
        <v>70</v>
      </c>
      <c r="N459" s="22" t="s">
        <v>67</v>
      </c>
      <c r="P459" s="230" t="s">
        <v>29921</v>
      </c>
      <c r="Q459" s="218" t="s">
        <v>145</v>
      </c>
      <c r="R459" s="218" t="s">
        <v>72</v>
      </c>
      <c r="S459" s="218" t="s">
        <v>34060</v>
      </c>
      <c r="U459" s="293" t="s">
        <v>29922</v>
      </c>
      <c r="V459" s="293" t="s">
        <v>145</v>
      </c>
      <c r="W459" s="293" t="s">
        <v>74</v>
      </c>
      <c r="X459" s="293" t="s">
        <v>656</v>
      </c>
      <c r="Z459" s="293" t="s">
        <v>29923</v>
      </c>
      <c r="AA459" s="293" t="s">
        <v>145</v>
      </c>
      <c r="AB459" s="293" t="s">
        <v>74</v>
      </c>
      <c r="AC459" s="293" t="s">
        <v>656</v>
      </c>
      <c r="AE459" s="293" t="s">
        <v>29924</v>
      </c>
      <c r="AF459" s="293" t="s">
        <v>145</v>
      </c>
      <c r="AG459" s="293" t="s">
        <v>74</v>
      </c>
      <c r="AH459" s="293" t="s">
        <v>656</v>
      </c>
      <c r="AJ459" s="293" t="s">
        <v>29925</v>
      </c>
      <c r="AK459" s="293" t="s">
        <v>145</v>
      </c>
      <c r="AL459" s="293" t="s">
        <v>74</v>
      </c>
      <c r="AM459" s="293" t="s">
        <v>656</v>
      </c>
      <c r="AO459" s="22" t="s">
        <v>29926</v>
      </c>
      <c r="AP459" s="22" t="s">
        <v>145</v>
      </c>
      <c r="AQ459" s="22" t="s">
        <v>70</v>
      </c>
      <c r="AR459" s="22" t="s">
        <v>67</v>
      </c>
      <c r="AT459" s="22" t="s">
        <v>29927</v>
      </c>
      <c r="AU459" s="22" t="s">
        <v>145</v>
      </c>
      <c r="AV459" s="22" t="s">
        <v>70</v>
      </c>
      <c r="AW459" s="22" t="s">
        <v>67</v>
      </c>
      <c r="AY459" s="22" t="s">
        <v>29928</v>
      </c>
      <c r="AZ459" s="22" t="s">
        <v>145</v>
      </c>
      <c r="BA459" s="22" t="s">
        <v>70</v>
      </c>
      <c r="BB459" s="22" t="s">
        <v>67</v>
      </c>
      <c r="BD459" s="22" t="s">
        <v>29929</v>
      </c>
      <c r="BE459" s="22" t="s">
        <v>145</v>
      </c>
      <c r="BF459" s="22" t="s">
        <v>70</v>
      </c>
      <c r="BG459" s="22" t="s">
        <v>67</v>
      </c>
      <c r="BI459" s="22" t="s">
        <v>29930</v>
      </c>
      <c r="BJ459" s="22" t="s">
        <v>145</v>
      </c>
      <c r="BK459" s="22" t="s">
        <v>70</v>
      </c>
      <c r="BL459" s="22" t="s">
        <v>67</v>
      </c>
      <c r="BN459" s="22" t="s">
        <v>29931</v>
      </c>
      <c r="BO459" s="22" t="s">
        <v>145</v>
      </c>
      <c r="BP459" s="22" t="s">
        <v>70</v>
      </c>
      <c r="BQ459" s="22" t="s">
        <v>67</v>
      </c>
      <c r="BS459" s="22" t="s">
        <v>29932</v>
      </c>
      <c r="BT459" s="22" t="s">
        <v>145</v>
      </c>
      <c r="BU459" s="22" t="s">
        <v>70</v>
      </c>
      <c r="BV459" s="214" t="s">
        <v>530</v>
      </c>
      <c r="BX459" s="22" t="s">
        <v>29933</v>
      </c>
      <c r="BY459" s="22" t="s">
        <v>145</v>
      </c>
      <c r="BZ459" s="22" t="s">
        <v>70</v>
      </c>
      <c r="CA459" s="214" t="s">
        <v>530</v>
      </c>
      <c r="CC459" s="214" t="s">
        <v>29934</v>
      </c>
      <c r="CD459" s="214" t="s">
        <v>490</v>
      </c>
      <c r="CE459" s="214" t="s">
        <v>70</v>
      </c>
      <c r="CF459" s="214" t="s">
        <v>530</v>
      </c>
      <c r="CH459" s="214" t="s">
        <v>29935</v>
      </c>
      <c r="CI459" s="214" t="s">
        <v>491</v>
      </c>
      <c r="CJ459" s="214" t="s">
        <v>70</v>
      </c>
      <c r="CK459" s="214" t="s">
        <v>530</v>
      </c>
      <c r="CM459" s="214" t="s">
        <v>29936</v>
      </c>
      <c r="CN459" s="214" t="s">
        <v>484</v>
      </c>
      <c r="CO459" s="214" t="s">
        <v>70</v>
      </c>
      <c r="CP459" s="214" t="s">
        <v>530</v>
      </c>
      <c r="CR459" s="214" t="s">
        <v>29937</v>
      </c>
      <c r="CS459" s="214" t="s">
        <v>34544</v>
      </c>
      <c r="CT459" s="214" t="s">
        <v>70</v>
      </c>
      <c r="CU459" s="214" t="s">
        <v>530</v>
      </c>
      <c r="CW459" s="214" t="s">
        <v>29938</v>
      </c>
      <c r="CX459" s="214" t="s">
        <v>488</v>
      </c>
      <c r="CY459" s="214" t="s">
        <v>70</v>
      </c>
      <c r="CZ459" s="214" t="s">
        <v>530</v>
      </c>
      <c r="DB459" s="214" t="s">
        <v>29939</v>
      </c>
      <c r="DC459" s="214" t="s">
        <v>494</v>
      </c>
      <c r="DD459" s="214" t="s">
        <v>70</v>
      </c>
      <c r="DE459" s="214" t="s">
        <v>530</v>
      </c>
      <c r="DG459" s="214" t="s">
        <v>29940</v>
      </c>
      <c r="DH459" s="214" t="s">
        <v>502</v>
      </c>
      <c r="DI459" s="214" t="s">
        <v>70</v>
      </c>
      <c r="DJ459" s="214" t="s">
        <v>530</v>
      </c>
      <c r="DL459" s="214" t="s">
        <v>29941</v>
      </c>
      <c r="DM459" s="214" t="s">
        <v>491</v>
      </c>
      <c r="DN459" s="214" t="s">
        <v>70</v>
      </c>
      <c r="DO459" s="214" t="s">
        <v>530</v>
      </c>
      <c r="DQ459" s="214" t="s">
        <v>29942</v>
      </c>
      <c r="DR459" s="214" t="s">
        <v>599</v>
      </c>
      <c r="DS459" s="214" t="s">
        <v>70</v>
      </c>
      <c r="DT459" s="214" t="s">
        <v>530</v>
      </c>
      <c r="DV459" s="214" t="s">
        <v>29943</v>
      </c>
      <c r="DW459" s="214" t="s">
        <v>87</v>
      </c>
      <c r="DX459" s="214" t="s">
        <v>70</v>
      </c>
      <c r="DY459" s="214" t="s">
        <v>530</v>
      </c>
      <c r="EA459" s="214" t="s">
        <v>29944</v>
      </c>
      <c r="EB459" s="214" t="s">
        <v>146</v>
      </c>
      <c r="EC459" s="214" t="s">
        <v>70</v>
      </c>
      <c r="ED459" s="214" t="s">
        <v>530</v>
      </c>
      <c r="EF459" s="214" t="s">
        <v>29945</v>
      </c>
      <c r="EG459" s="214" t="s">
        <v>85</v>
      </c>
      <c r="EH459" s="214" t="s">
        <v>70</v>
      </c>
      <c r="EI459" s="214" t="s">
        <v>530</v>
      </c>
      <c r="EK459" s="214" t="s">
        <v>29946</v>
      </c>
      <c r="EL459" s="214" t="s">
        <v>926</v>
      </c>
      <c r="EM459" s="214" t="s">
        <v>70</v>
      </c>
      <c r="EN459" s="214" t="s">
        <v>530</v>
      </c>
      <c r="EP459" s="214" t="s">
        <v>29947</v>
      </c>
      <c r="EQ459" s="214" t="s">
        <v>145</v>
      </c>
      <c r="ER459" s="214" t="s">
        <v>70</v>
      </c>
      <c r="ES459" s="214" t="s">
        <v>530</v>
      </c>
      <c r="EU459" s="214" t="s">
        <v>29948</v>
      </c>
      <c r="EV459" s="214" t="s">
        <v>468</v>
      </c>
      <c r="EW459" s="214" t="s">
        <v>70</v>
      </c>
      <c r="EX459" s="214" t="s">
        <v>530</v>
      </c>
      <c r="EZ459" s="214" t="s">
        <v>29949</v>
      </c>
      <c r="FA459" s="214" t="s">
        <v>146</v>
      </c>
      <c r="FB459" s="214" t="s">
        <v>70</v>
      </c>
      <c r="FC459" s="214" t="s">
        <v>530</v>
      </c>
      <c r="FE459" s="214" t="s">
        <v>29950</v>
      </c>
      <c r="FF459" s="214" t="s">
        <v>90</v>
      </c>
      <c r="FG459" s="214" t="s">
        <v>70</v>
      </c>
      <c r="FH459" s="214" t="s">
        <v>530</v>
      </c>
      <c r="FJ459" s="321" t="s">
        <v>29951</v>
      </c>
      <c r="FK459" s="214" t="s">
        <v>34544</v>
      </c>
      <c r="FL459" s="214" t="s">
        <v>70</v>
      </c>
      <c r="FM459" s="214" t="s">
        <v>530</v>
      </c>
      <c r="FO459" s="321" t="s">
        <v>29952</v>
      </c>
      <c r="FP459" s="214" t="s">
        <v>34542</v>
      </c>
      <c r="FQ459" s="214" t="s">
        <v>70</v>
      </c>
      <c r="FR459" s="214" t="s">
        <v>530</v>
      </c>
      <c r="FT459" s="321" t="s">
        <v>29953</v>
      </c>
      <c r="FU459" s="214" t="s">
        <v>145</v>
      </c>
      <c r="FV459" s="214" t="s">
        <v>70</v>
      </c>
      <c r="FW459" s="214" t="s">
        <v>530</v>
      </c>
      <c r="FY459" s="321" t="s">
        <v>29954</v>
      </c>
      <c r="FZ459" s="214" t="s">
        <v>52</v>
      </c>
      <c r="GA459" s="214" t="s">
        <v>70</v>
      </c>
      <c r="GB459" s="214" t="s">
        <v>530</v>
      </c>
      <c r="GD459" s="321" t="s">
        <v>29955</v>
      </c>
      <c r="GE459" s="214" t="s">
        <v>34558</v>
      </c>
      <c r="GF459" s="214" t="s">
        <v>70</v>
      </c>
      <c r="GG459" s="214" t="s">
        <v>530</v>
      </c>
      <c r="GI459" s="321" t="s">
        <v>29956</v>
      </c>
      <c r="GJ459" s="214" t="s">
        <v>491</v>
      </c>
      <c r="GK459" s="214" t="s">
        <v>70</v>
      </c>
      <c r="GL459" s="214" t="s">
        <v>530</v>
      </c>
      <c r="GN459" s="321" t="s">
        <v>29957</v>
      </c>
      <c r="GO459" s="214" t="s">
        <v>468</v>
      </c>
      <c r="GP459" s="214" t="s">
        <v>70</v>
      </c>
      <c r="GQ459" s="214" t="s">
        <v>530</v>
      </c>
      <c r="GS459" s="321" t="s">
        <v>29958</v>
      </c>
      <c r="GT459" s="214" t="s">
        <v>52</v>
      </c>
      <c r="GU459" s="214" t="s">
        <v>70</v>
      </c>
      <c r="GV459" s="214" t="s">
        <v>530</v>
      </c>
      <c r="GX459" s="214" t="s">
        <v>29959</v>
      </c>
      <c r="GY459" s="214" t="s">
        <v>34542</v>
      </c>
      <c r="GZ459" s="214" t="s">
        <v>70</v>
      </c>
      <c r="HA459" s="214" t="s">
        <v>530</v>
      </c>
      <c r="HC459" s="214" t="s">
        <v>29960</v>
      </c>
      <c r="HD459" s="214" t="s">
        <v>921</v>
      </c>
      <c r="HE459" s="214" t="s">
        <v>70</v>
      </c>
      <c r="HF459" s="214" t="s">
        <v>530</v>
      </c>
      <c r="HH459" s="214" t="s">
        <v>29961</v>
      </c>
      <c r="HI459" s="214" t="s">
        <v>486</v>
      </c>
      <c r="HJ459" s="214" t="s">
        <v>70</v>
      </c>
      <c r="HK459" s="214" t="s">
        <v>530</v>
      </c>
      <c r="HM459" s="214" t="s">
        <v>29962</v>
      </c>
      <c r="HN459" s="214" t="s">
        <v>288</v>
      </c>
      <c r="HO459" s="214" t="s">
        <v>70</v>
      </c>
      <c r="HP459" s="214" t="s">
        <v>530</v>
      </c>
      <c r="HR459" s="22" t="s">
        <v>29963</v>
      </c>
      <c r="HS459" s="22" t="s">
        <v>34516</v>
      </c>
      <c r="HT459" s="22" t="s">
        <v>70</v>
      </c>
      <c r="HU459" s="214" t="s">
        <v>530</v>
      </c>
      <c r="HW459" s="22" t="s">
        <v>29964</v>
      </c>
      <c r="HX459" s="22" t="s">
        <v>34547</v>
      </c>
      <c r="HY459" s="22" t="s">
        <v>70</v>
      </c>
      <c r="HZ459" s="214" t="s">
        <v>530</v>
      </c>
      <c r="IB459" s="22" t="s">
        <v>29965</v>
      </c>
      <c r="IC459" s="22" t="s">
        <v>488</v>
      </c>
      <c r="ID459" s="22" t="s">
        <v>70</v>
      </c>
      <c r="IE459" s="214" t="s">
        <v>530</v>
      </c>
      <c r="IG459" s="22" t="s">
        <v>29966</v>
      </c>
      <c r="IH459" s="22" t="s">
        <v>52</v>
      </c>
      <c r="II459" s="22" t="s">
        <v>70</v>
      </c>
      <c r="IJ459" s="214" t="s">
        <v>530</v>
      </c>
      <c r="IL459" s="22" t="s">
        <v>29967</v>
      </c>
      <c r="IM459" s="22" t="s">
        <v>145</v>
      </c>
      <c r="IN459" s="22" t="s">
        <v>70</v>
      </c>
      <c r="IO459" s="214" t="s">
        <v>530</v>
      </c>
      <c r="IQ459" s="236" t="s">
        <v>29968</v>
      </c>
      <c r="IR459" s="236" t="s">
        <v>145</v>
      </c>
      <c r="IS459" s="236" t="s">
        <v>74</v>
      </c>
      <c r="IT459" s="236" t="s">
        <v>841</v>
      </c>
      <c r="IV459" s="236" t="s">
        <v>29969</v>
      </c>
      <c r="IW459" s="236" t="s">
        <v>145</v>
      </c>
      <c r="IX459" s="236" t="s">
        <v>74</v>
      </c>
      <c r="IY459" s="236" t="s">
        <v>841</v>
      </c>
      <c r="JA459" s="236" t="s">
        <v>29970</v>
      </c>
      <c r="JB459" s="236" t="s">
        <v>145</v>
      </c>
      <c r="JC459" s="236" t="s">
        <v>74</v>
      </c>
      <c r="JD459" s="236" t="s">
        <v>841</v>
      </c>
      <c r="JF459" s="236" t="s">
        <v>29971</v>
      </c>
      <c r="JG459" s="236" t="s">
        <v>145</v>
      </c>
      <c r="JH459" s="236" t="s">
        <v>74</v>
      </c>
      <c r="JI459" s="236" t="s">
        <v>841</v>
      </c>
      <c r="JK459" s="236" t="s">
        <v>29972</v>
      </c>
      <c r="JL459" s="236" t="s">
        <v>145</v>
      </c>
      <c r="JM459" s="236" t="s">
        <v>74</v>
      </c>
      <c r="JN459" s="236" t="s">
        <v>841</v>
      </c>
      <c r="JP459" s="236" t="s">
        <v>29973</v>
      </c>
      <c r="JQ459" s="236" t="s">
        <v>145</v>
      </c>
      <c r="JR459" s="236" t="s">
        <v>74</v>
      </c>
      <c r="JS459" s="236" t="s">
        <v>841</v>
      </c>
      <c r="JU459" s="294" t="s">
        <v>29974</v>
      </c>
      <c r="JV459" s="294" t="s">
        <v>52</v>
      </c>
      <c r="JW459" s="263" t="s">
        <v>70</v>
      </c>
      <c r="JX459" s="294" t="s">
        <v>1083</v>
      </c>
      <c r="JZ459" s="263" t="s">
        <v>29975</v>
      </c>
      <c r="KA459" s="263" t="s">
        <v>145</v>
      </c>
      <c r="KB459" s="263" t="s">
        <v>70</v>
      </c>
      <c r="KC459" s="263" t="s">
        <v>1083</v>
      </c>
      <c r="KE459" s="263" t="s">
        <v>29976</v>
      </c>
      <c r="KF459" s="263" t="s">
        <v>52</v>
      </c>
      <c r="KG459" s="263" t="s">
        <v>70</v>
      </c>
      <c r="KH459" s="263" t="s">
        <v>1083</v>
      </c>
      <c r="KJ459" s="263" t="s">
        <v>29977</v>
      </c>
      <c r="KK459" s="263" t="s">
        <v>52</v>
      </c>
      <c r="KL459" s="263" t="s">
        <v>74</v>
      </c>
      <c r="KM459" s="263" t="s">
        <v>34074</v>
      </c>
      <c r="KO459" s="214" t="s">
        <v>29978</v>
      </c>
      <c r="KP459" s="214" t="s">
        <v>145</v>
      </c>
      <c r="KQ459" s="214" t="s">
        <v>70</v>
      </c>
      <c r="KR459" s="214" t="s">
        <v>67</v>
      </c>
      <c r="KT459" s="22" t="s">
        <v>29979</v>
      </c>
      <c r="KU459" s="22" t="s">
        <v>145</v>
      </c>
      <c r="KV459" s="22" t="s">
        <v>70</v>
      </c>
      <c r="KW459" s="22" t="s">
        <v>67</v>
      </c>
      <c r="KY459" s="214" t="s">
        <v>29980</v>
      </c>
      <c r="KZ459" s="214" t="s">
        <v>52</v>
      </c>
      <c r="LA459" s="214" t="s">
        <v>74</v>
      </c>
      <c r="LB459" s="214" t="s">
        <v>67</v>
      </c>
      <c r="LD459" s="22" t="s">
        <v>29981</v>
      </c>
      <c r="LE459" s="22" t="s">
        <v>145</v>
      </c>
      <c r="LF459" s="22" t="s">
        <v>70</v>
      </c>
      <c r="LG459" s="22" t="s">
        <v>67</v>
      </c>
    </row>
    <row r="460" spans="1:319">
      <c r="A460" s="22" t="s">
        <v>29982</v>
      </c>
      <c r="B460" s="22" t="s">
        <v>145</v>
      </c>
      <c r="C460" s="22" t="s">
        <v>70</v>
      </c>
      <c r="D460" s="22" t="s">
        <v>67</v>
      </c>
      <c r="F460" s="72" t="s">
        <v>29983</v>
      </c>
      <c r="G460" s="22" t="s">
        <v>145</v>
      </c>
      <c r="H460" s="22" t="s">
        <v>70</v>
      </c>
      <c r="I460" s="22" t="s">
        <v>67</v>
      </c>
      <c r="K460" s="99" t="s">
        <v>29984</v>
      </c>
      <c r="L460" s="22" t="s">
        <v>145</v>
      </c>
      <c r="M460" s="22" t="s">
        <v>70</v>
      </c>
      <c r="N460" s="22" t="s">
        <v>67</v>
      </c>
      <c r="P460" s="230" t="s">
        <v>29985</v>
      </c>
      <c r="Q460" s="218" t="s">
        <v>145</v>
      </c>
      <c r="R460" s="218" t="s">
        <v>72</v>
      </c>
      <c r="S460" s="218" t="s">
        <v>34061</v>
      </c>
      <c r="U460" s="293" t="s">
        <v>29986</v>
      </c>
      <c r="V460" s="293" t="s">
        <v>145</v>
      </c>
      <c r="W460" s="293" t="s">
        <v>74</v>
      </c>
      <c r="X460" s="293" t="s">
        <v>656</v>
      </c>
      <c r="Z460" s="293" t="s">
        <v>29987</v>
      </c>
      <c r="AA460" s="293" t="s">
        <v>145</v>
      </c>
      <c r="AB460" s="293" t="s">
        <v>74</v>
      </c>
      <c r="AC460" s="293" t="s">
        <v>656</v>
      </c>
      <c r="AE460" s="293" t="s">
        <v>29988</v>
      </c>
      <c r="AF460" s="293" t="s">
        <v>145</v>
      </c>
      <c r="AG460" s="293" t="s">
        <v>74</v>
      </c>
      <c r="AH460" s="293" t="s">
        <v>656</v>
      </c>
      <c r="AJ460" s="293" t="s">
        <v>29989</v>
      </c>
      <c r="AK460" s="293" t="s">
        <v>145</v>
      </c>
      <c r="AL460" s="293" t="s">
        <v>74</v>
      </c>
      <c r="AM460" s="293" t="s">
        <v>656</v>
      </c>
      <c r="AO460" s="22" t="s">
        <v>29990</v>
      </c>
      <c r="AP460" s="22" t="s">
        <v>145</v>
      </c>
      <c r="AQ460" s="22" t="s">
        <v>70</v>
      </c>
      <c r="AR460" s="22" t="s">
        <v>67</v>
      </c>
      <c r="AT460" s="22" t="s">
        <v>29991</v>
      </c>
      <c r="AU460" s="22" t="s">
        <v>145</v>
      </c>
      <c r="AV460" s="22" t="s">
        <v>70</v>
      </c>
      <c r="AW460" s="22" t="s">
        <v>67</v>
      </c>
      <c r="AY460" s="22" t="s">
        <v>29992</v>
      </c>
      <c r="AZ460" s="22" t="s">
        <v>145</v>
      </c>
      <c r="BA460" s="22" t="s">
        <v>70</v>
      </c>
      <c r="BB460" s="22" t="s">
        <v>67</v>
      </c>
      <c r="BD460" s="22" t="s">
        <v>29993</v>
      </c>
      <c r="BE460" s="22" t="s">
        <v>145</v>
      </c>
      <c r="BF460" s="22" t="s">
        <v>70</v>
      </c>
      <c r="BG460" s="22" t="s">
        <v>67</v>
      </c>
      <c r="BI460" s="22" t="s">
        <v>29994</v>
      </c>
      <c r="BJ460" s="22" t="s">
        <v>145</v>
      </c>
      <c r="BK460" s="22" t="s">
        <v>70</v>
      </c>
      <c r="BL460" s="22" t="s">
        <v>67</v>
      </c>
      <c r="BN460" s="22" t="s">
        <v>29995</v>
      </c>
      <c r="BO460" s="22" t="s">
        <v>145</v>
      </c>
      <c r="BP460" s="22" t="s">
        <v>70</v>
      </c>
      <c r="BQ460" s="22" t="s">
        <v>67</v>
      </c>
      <c r="BS460" s="22" t="s">
        <v>29996</v>
      </c>
      <c r="BT460" s="22" t="s">
        <v>145</v>
      </c>
      <c r="BU460" s="22" t="s">
        <v>70</v>
      </c>
      <c r="BV460" s="214" t="s">
        <v>530</v>
      </c>
      <c r="BX460" s="22" t="s">
        <v>29997</v>
      </c>
      <c r="BY460" s="22" t="s">
        <v>145</v>
      </c>
      <c r="BZ460" s="22" t="s">
        <v>70</v>
      </c>
      <c r="CA460" s="214" t="s">
        <v>530</v>
      </c>
      <c r="CC460" s="214" t="s">
        <v>29998</v>
      </c>
      <c r="CD460" s="214" t="s">
        <v>149</v>
      </c>
      <c r="CE460" s="214" t="s">
        <v>70</v>
      </c>
      <c r="CF460" s="214" t="s">
        <v>530</v>
      </c>
      <c r="CH460" s="214" t="s">
        <v>29999</v>
      </c>
      <c r="CI460" s="214" t="s">
        <v>148</v>
      </c>
      <c r="CJ460" s="214" t="s">
        <v>70</v>
      </c>
      <c r="CK460" s="214" t="s">
        <v>530</v>
      </c>
      <c r="CM460" s="214" t="s">
        <v>30000</v>
      </c>
      <c r="CN460" s="214" t="s">
        <v>485</v>
      </c>
      <c r="CO460" s="214" t="s">
        <v>70</v>
      </c>
      <c r="CP460" s="214" t="s">
        <v>530</v>
      </c>
      <c r="CR460" s="214" t="s">
        <v>30001</v>
      </c>
      <c r="CS460" s="214" t="s">
        <v>103</v>
      </c>
      <c r="CT460" s="214" t="s">
        <v>70</v>
      </c>
      <c r="CU460" s="214" t="s">
        <v>530</v>
      </c>
      <c r="CW460" s="214" t="s">
        <v>30002</v>
      </c>
      <c r="CX460" s="214" t="s">
        <v>468</v>
      </c>
      <c r="CY460" s="214" t="s">
        <v>70</v>
      </c>
      <c r="CZ460" s="214" t="s">
        <v>530</v>
      </c>
      <c r="DB460" s="214" t="s">
        <v>30003</v>
      </c>
      <c r="DC460" s="214" t="s">
        <v>468</v>
      </c>
      <c r="DD460" s="214" t="s">
        <v>70</v>
      </c>
      <c r="DE460" s="214" t="s">
        <v>530</v>
      </c>
      <c r="DG460" s="214" t="s">
        <v>30004</v>
      </c>
      <c r="DH460" s="214" t="s">
        <v>485</v>
      </c>
      <c r="DI460" s="214" t="s">
        <v>70</v>
      </c>
      <c r="DJ460" s="214" t="s">
        <v>530</v>
      </c>
      <c r="DL460" s="214" t="s">
        <v>30005</v>
      </c>
      <c r="DM460" s="214" t="s">
        <v>52</v>
      </c>
      <c r="DN460" s="214" t="s">
        <v>70</v>
      </c>
      <c r="DO460" s="214" t="s">
        <v>530</v>
      </c>
      <c r="DQ460" s="214" t="s">
        <v>30006</v>
      </c>
      <c r="DR460" s="214" t="s">
        <v>34584</v>
      </c>
      <c r="DS460" s="214" t="s">
        <v>70</v>
      </c>
      <c r="DT460" s="214" t="s">
        <v>530</v>
      </c>
      <c r="DV460" s="214" t="s">
        <v>30007</v>
      </c>
      <c r="DW460" s="214" t="s">
        <v>949</v>
      </c>
      <c r="DX460" s="214" t="s">
        <v>70</v>
      </c>
      <c r="DY460" s="214" t="s">
        <v>530</v>
      </c>
      <c r="EA460" s="214" t="s">
        <v>30008</v>
      </c>
      <c r="EB460" s="214" t="s">
        <v>923</v>
      </c>
      <c r="EC460" s="214" t="s">
        <v>70</v>
      </c>
      <c r="ED460" s="214" t="s">
        <v>530</v>
      </c>
      <c r="EF460" s="214" t="s">
        <v>30009</v>
      </c>
      <c r="EG460" s="214" t="s">
        <v>90</v>
      </c>
      <c r="EH460" s="214" t="s">
        <v>70</v>
      </c>
      <c r="EI460" s="214" t="s">
        <v>530</v>
      </c>
      <c r="EK460" s="214" t="s">
        <v>30010</v>
      </c>
      <c r="EL460" s="214" t="s">
        <v>52</v>
      </c>
      <c r="EM460" s="214" t="s">
        <v>70</v>
      </c>
      <c r="EN460" s="214" t="s">
        <v>530</v>
      </c>
      <c r="EP460" s="214" t="s">
        <v>30011</v>
      </c>
      <c r="EQ460" s="214" t="s">
        <v>87</v>
      </c>
      <c r="ER460" s="214" t="s">
        <v>70</v>
      </c>
      <c r="ES460" s="214" t="s">
        <v>530</v>
      </c>
      <c r="EU460" s="214" t="s">
        <v>30012</v>
      </c>
      <c r="EV460" s="214" t="s">
        <v>939</v>
      </c>
      <c r="EW460" s="214" t="s">
        <v>70</v>
      </c>
      <c r="EX460" s="214" t="s">
        <v>530</v>
      </c>
      <c r="EZ460" s="214" t="s">
        <v>30013</v>
      </c>
      <c r="FA460" s="214" t="s">
        <v>52</v>
      </c>
      <c r="FB460" s="214" t="s">
        <v>70</v>
      </c>
      <c r="FC460" s="214" t="s">
        <v>530</v>
      </c>
      <c r="FE460" s="214" t="s">
        <v>30014</v>
      </c>
      <c r="FF460" s="214" t="s">
        <v>939</v>
      </c>
      <c r="FG460" s="214" t="s">
        <v>70</v>
      </c>
      <c r="FH460" s="214" t="s">
        <v>530</v>
      </c>
      <c r="FJ460" s="321" t="s">
        <v>30015</v>
      </c>
      <c r="FK460" s="214" t="s">
        <v>502</v>
      </c>
      <c r="FL460" s="214" t="s">
        <v>70</v>
      </c>
      <c r="FM460" s="214" t="s">
        <v>530</v>
      </c>
      <c r="FO460" s="321" t="s">
        <v>30016</v>
      </c>
      <c r="FP460" s="214" t="s">
        <v>484</v>
      </c>
      <c r="FQ460" s="214" t="s">
        <v>70</v>
      </c>
      <c r="FR460" s="214" t="s">
        <v>530</v>
      </c>
      <c r="FT460" s="321" t="s">
        <v>30017</v>
      </c>
      <c r="FU460" s="214" t="s">
        <v>519</v>
      </c>
      <c r="FV460" s="214" t="s">
        <v>70</v>
      </c>
      <c r="FW460" s="214" t="s">
        <v>530</v>
      </c>
      <c r="FY460" s="321" t="s">
        <v>30018</v>
      </c>
      <c r="FZ460" s="214" t="s">
        <v>34536</v>
      </c>
      <c r="GA460" s="214" t="s">
        <v>70</v>
      </c>
      <c r="GB460" s="214" t="s">
        <v>530</v>
      </c>
      <c r="GD460" s="321" t="s">
        <v>30019</v>
      </c>
      <c r="GE460" s="214" t="s">
        <v>165</v>
      </c>
      <c r="GF460" s="214" t="s">
        <v>70</v>
      </c>
      <c r="GG460" s="214" t="s">
        <v>530</v>
      </c>
      <c r="GI460" s="321" t="s">
        <v>30020</v>
      </c>
      <c r="GJ460" s="214" t="s">
        <v>52</v>
      </c>
      <c r="GK460" s="214" t="s">
        <v>70</v>
      </c>
      <c r="GL460" s="214" t="s">
        <v>530</v>
      </c>
      <c r="GN460" s="321" t="s">
        <v>30021</v>
      </c>
      <c r="GO460" s="214" t="s">
        <v>481</v>
      </c>
      <c r="GP460" s="214" t="s">
        <v>70</v>
      </c>
      <c r="GQ460" s="214" t="s">
        <v>530</v>
      </c>
      <c r="GS460" s="321" t="s">
        <v>30022</v>
      </c>
      <c r="GT460" s="214" t="s">
        <v>485</v>
      </c>
      <c r="GU460" s="214" t="s">
        <v>70</v>
      </c>
      <c r="GV460" s="214" t="s">
        <v>530</v>
      </c>
      <c r="GX460" s="214" t="s">
        <v>30023</v>
      </c>
      <c r="GY460" s="214" t="s">
        <v>92</v>
      </c>
      <c r="GZ460" s="214" t="s">
        <v>70</v>
      </c>
      <c r="HA460" s="214" t="s">
        <v>530</v>
      </c>
      <c r="HC460" s="214" t="s">
        <v>30024</v>
      </c>
      <c r="HD460" s="214" t="s">
        <v>34545</v>
      </c>
      <c r="HE460" s="214" t="s">
        <v>70</v>
      </c>
      <c r="HF460" s="214" t="s">
        <v>530</v>
      </c>
      <c r="HH460" s="214" t="s">
        <v>30025</v>
      </c>
      <c r="HI460" s="214" t="s">
        <v>34551</v>
      </c>
      <c r="HJ460" s="214" t="s">
        <v>70</v>
      </c>
      <c r="HK460" s="214" t="s">
        <v>530</v>
      </c>
      <c r="HM460" s="214" t="s">
        <v>30026</v>
      </c>
      <c r="HN460" s="214" t="s">
        <v>34648</v>
      </c>
      <c r="HO460" s="214" t="s">
        <v>70</v>
      </c>
      <c r="HP460" s="214" t="s">
        <v>530</v>
      </c>
      <c r="HR460" s="22" t="s">
        <v>30027</v>
      </c>
      <c r="HS460" s="22" t="s">
        <v>163</v>
      </c>
      <c r="HT460" s="22" t="s">
        <v>70</v>
      </c>
      <c r="HU460" s="214" t="s">
        <v>530</v>
      </c>
      <c r="HW460" s="22" t="s">
        <v>30028</v>
      </c>
      <c r="HX460" s="22" t="s">
        <v>90</v>
      </c>
      <c r="HY460" s="22" t="s">
        <v>70</v>
      </c>
      <c r="HZ460" s="214" t="s">
        <v>530</v>
      </c>
      <c r="IB460" s="22" t="s">
        <v>30029</v>
      </c>
      <c r="IC460" s="22" t="s">
        <v>34405</v>
      </c>
      <c r="ID460" s="22" t="s">
        <v>70</v>
      </c>
      <c r="IE460" s="214" t="s">
        <v>530</v>
      </c>
      <c r="IG460" s="22" t="s">
        <v>30030</v>
      </c>
      <c r="IH460" s="22" t="s">
        <v>52</v>
      </c>
      <c r="II460" s="22" t="s">
        <v>70</v>
      </c>
      <c r="IJ460" s="214" t="s">
        <v>530</v>
      </c>
      <c r="IL460" s="22" t="s">
        <v>30031</v>
      </c>
      <c r="IM460" s="22" t="s">
        <v>145</v>
      </c>
      <c r="IN460" s="22" t="s">
        <v>70</v>
      </c>
      <c r="IO460" s="214" t="s">
        <v>530</v>
      </c>
      <c r="IQ460" s="236" t="s">
        <v>30032</v>
      </c>
      <c r="IR460" s="236" t="s">
        <v>145</v>
      </c>
      <c r="IS460" s="236" t="s">
        <v>74</v>
      </c>
      <c r="IT460" s="236" t="s">
        <v>841</v>
      </c>
      <c r="IV460" s="236" t="s">
        <v>30033</v>
      </c>
      <c r="IW460" s="236" t="s">
        <v>145</v>
      </c>
      <c r="IX460" s="236" t="s">
        <v>74</v>
      </c>
      <c r="IY460" s="236" t="s">
        <v>841</v>
      </c>
      <c r="JA460" s="236" t="s">
        <v>30034</v>
      </c>
      <c r="JB460" s="236" t="s">
        <v>145</v>
      </c>
      <c r="JC460" s="236" t="s">
        <v>74</v>
      </c>
      <c r="JD460" s="236" t="s">
        <v>841</v>
      </c>
      <c r="JF460" s="236" t="s">
        <v>30035</v>
      </c>
      <c r="JG460" s="236" t="s">
        <v>145</v>
      </c>
      <c r="JH460" s="236" t="s">
        <v>74</v>
      </c>
      <c r="JI460" s="236" t="s">
        <v>841</v>
      </c>
      <c r="JK460" s="236" t="s">
        <v>30036</v>
      </c>
      <c r="JL460" s="236" t="s">
        <v>145</v>
      </c>
      <c r="JM460" s="236" t="s">
        <v>74</v>
      </c>
      <c r="JN460" s="236" t="s">
        <v>841</v>
      </c>
      <c r="JP460" s="236" t="s">
        <v>30037</v>
      </c>
      <c r="JQ460" s="236" t="s">
        <v>145</v>
      </c>
      <c r="JR460" s="236" t="s">
        <v>74</v>
      </c>
      <c r="JS460" s="236" t="s">
        <v>841</v>
      </c>
      <c r="JU460" s="294" t="s">
        <v>30038</v>
      </c>
      <c r="JV460" s="294" t="s">
        <v>52</v>
      </c>
      <c r="JW460" s="263" t="s">
        <v>70</v>
      </c>
      <c r="JX460" s="294" t="s">
        <v>1083</v>
      </c>
      <c r="JZ460" s="263" t="s">
        <v>30039</v>
      </c>
      <c r="KA460" s="263" t="s">
        <v>145</v>
      </c>
      <c r="KB460" s="263" t="s">
        <v>70</v>
      </c>
      <c r="KC460" s="263" t="s">
        <v>1083</v>
      </c>
      <c r="KE460" s="263" t="s">
        <v>30040</v>
      </c>
      <c r="KF460" s="263" t="s">
        <v>52</v>
      </c>
      <c r="KG460" s="263" t="s">
        <v>70</v>
      </c>
      <c r="KH460" s="263" t="s">
        <v>1083</v>
      </c>
      <c r="KJ460" s="263" t="s">
        <v>30041</v>
      </c>
      <c r="KK460" s="263" t="s">
        <v>52</v>
      </c>
      <c r="KL460" s="263" t="s">
        <v>74</v>
      </c>
      <c r="KM460" s="263" t="s">
        <v>34074</v>
      </c>
      <c r="KO460" s="214" t="s">
        <v>30042</v>
      </c>
      <c r="KP460" s="214" t="s">
        <v>145</v>
      </c>
      <c r="KQ460" s="214" t="s">
        <v>70</v>
      </c>
      <c r="KR460" s="214" t="s">
        <v>67</v>
      </c>
      <c r="KT460" s="22" t="s">
        <v>30043</v>
      </c>
      <c r="KU460" s="22" t="s">
        <v>145</v>
      </c>
      <c r="KV460" s="22" t="s">
        <v>70</v>
      </c>
      <c r="KW460" s="22" t="s">
        <v>67</v>
      </c>
      <c r="KY460" s="214" t="s">
        <v>30044</v>
      </c>
      <c r="KZ460" s="214" t="s">
        <v>52</v>
      </c>
      <c r="LA460" s="214" t="s">
        <v>74</v>
      </c>
      <c r="LB460" s="214" t="s">
        <v>67</v>
      </c>
      <c r="LD460" s="22" t="s">
        <v>30045</v>
      </c>
      <c r="LE460" s="22" t="s">
        <v>145</v>
      </c>
      <c r="LF460" s="22" t="s">
        <v>70</v>
      </c>
      <c r="LG460" s="22" t="s">
        <v>67</v>
      </c>
    </row>
    <row r="461" spans="1:319">
      <c r="A461" s="22" t="s">
        <v>30046</v>
      </c>
      <c r="B461" s="22" t="s">
        <v>145</v>
      </c>
      <c r="C461" s="22" t="s">
        <v>70</v>
      </c>
      <c r="D461" s="22" t="s">
        <v>67</v>
      </c>
      <c r="F461" s="72" t="s">
        <v>30047</v>
      </c>
      <c r="G461" s="22" t="s">
        <v>145</v>
      </c>
      <c r="H461" s="22" t="s">
        <v>70</v>
      </c>
      <c r="I461" s="22" t="s">
        <v>67</v>
      </c>
      <c r="K461" s="99" t="s">
        <v>30048</v>
      </c>
      <c r="L461" s="22" t="s">
        <v>145</v>
      </c>
      <c r="M461" s="22" t="s">
        <v>70</v>
      </c>
      <c r="N461" s="22" t="s">
        <v>67</v>
      </c>
      <c r="P461" s="230" t="s">
        <v>30049</v>
      </c>
      <c r="Q461" s="218" t="s">
        <v>145</v>
      </c>
      <c r="R461" s="218" t="s">
        <v>72</v>
      </c>
      <c r="S461" s="218" t="s">
        <v>34062</v>
      </c>
      <c r="U461" s="293" t="s">
        <v>30050</v>
      </c>
      <c r="V461" s="293" t="s">
        <v>145</v>
      </c>
      <c r="W461" s="293" t="s">
        <v>74</v>
      </c>
      <c r="X461" s="293" t="s">
        <v>656</v>
      </c>
      <c r="Z461" s="293" t="s">
        <v>30051</v>
      </c>
      <c r="AA461" s="293" t="s">
        <v>145</v>
      </c>
      <c r="AB461" s="293" t="s">
        <v>74</v>
      </c>
      <c r="AC461" s="293" t="s">
        <v>656</v>
      </c>
      <c r="AE461" s="293" t="s">
        <v>30052</v>
      </c>
      <c r="AF461" s="293" t="s">
        <v>145</v>
      </c>
      <c r="AG461" s="293" t="s">
        <v>74</v>
      </c>
      <c r="AH461" s="293" t="s">
        <v>656</v>
      </c>
      <c r="AJ461" s="293" t="s">
        <v>30053</v>
      </c>
      <c r="AK461" s="293" t="s">
        <v>145</v>
      </c>
      <c r="AL461" s="293" t="s">
        <v>74</v>
      </c>
      <c r="AM461" s="293" t="s">
        <v>656</v>
      </c>
      <c r="AO461" s="22" t="s">
        <v>30054</v>
      </c>
      <c r="AP461" s="22" t="s">
        <v>145</v>
      </c>
      <c r="AQ461" s="22" t="s">
        <v>70</v>
      </c>
      <c r="AR461" s="22" t="s">
        <v>67</v>
      </c>
      <c r="AT461" s="22" t="s">
        <v>30055</v>
      </c>
      <c r="AU461" s="22" t="s">
        <v>145</v>
      </c>
      <c r="AV461" s="22" t="s">
        <v>70</v>
      </c>
      <c r="AW461" s="22" t="s">
        <v>67</v>
      </c>
      <c r="AY461" s="22" t="s">
        <v>30056</v>
      </c>
      <c r="AZ461" s="22" t="s">
        <v>145</v>
      </c>
      <c r="BA461" s="22" t="s">
        <v>70</v>
      </c>
      <c r="BB461" s="22" t="s">
        <v>67</v>
      </c>
      <c r="BD461" s="22" t="s">
        <v>30057</v>
      </c>
      <c r="BE461" s="22" t="s">
        <v>145</v>
      </c>
      <c r="BF461" s="22" t="s">
        <v>70</v>
      </c>
      <c r="BG461" s="22" t="s">
        <v>67</v>
      </c>
      <c r="BI461" s="22" t="s">
        <v>30058</v>
      </c>
      <c r="BJ461" s="22" t="s">
        <v>145</v>
      </c>
      <c r="BK461" s="22" t="s">
        <v>70</v>
      </c>
      <c r="BL461" s="22" t="s">
        <v>67</v>
      </c>
      <c r="BN461" s="22" t="s">
        <v>30059</v>
      </c>
      <c r="BO461" s="22" t="s">
        <v>145</v>
      </c>
      <c r="BP461" s="22" t="s">
        <v>70</v>
      </c>
      <c r="BQ461" s="22" t="s">
        <v>67</v>
      </c>
      <c r="BS461" s="22" t="s">
        <v>30060</v>
      </c>
      <c r="BT461" s="22" t="s">
        <v>145</v>
      </c>
      <c r="BU461" s="22" t="s">
        <v>70</v>
      </c>
      <c r="BV461" s="214" t="s">
        <v>530</v>
      </c>
      <c r="BX461" s="22" t="s">
        <v>30061</v>
      </c>
      <c r="BY461" s="22" t="s">
        <v>145</v>
      </c>
      <c r="BZ461" s="22" t="s">
        <v>70</v>
      </c>
      <c r="CA461" s="214" t="s">
        <v>530</v>
      </c>
      <c r="CC461" s="214" t="s">
        <v>30062</v>
      </c>
      <c r="CD461" s="214" t="s">
        <v>485</v>
      </c>
      <c r="CE461" s="214" t="s">
        <v>70</v>
      </c>
      <c r="CF461" s="214" t="s">
        <v>530</v>
      </c>
      <c r="CH461" s="214" t="s">
        <v>30063</v>
      </c>
      <c r="CI461" s="214" t="s">
        <v>950</v>
      </c>
      <c r="CJ461" s="214" t="s">
        <v>70</v>
      </c>
      <c r="CK461" s="214" t="s">
        <v>530</v>
      </c>
      <c r="CM461" s="214" t="s">
        <v>30064</v>
      </c>
      <c r="CN461" s="214" t="s">
        <v>146</v>
      </c>
      <c r="CO461" s="214" t="s">
        <v>70</v>
      </c>
      <c r="CP461" s="214" t="s">
        <v>530</v>
      </c>
      <c r="CR461" s="214" t="s">
        <v>30065</v>
      </c>
      <c r="CS461" s="214" t="s">
        <v>484</v>
      </c>
      <c r="CT461" s="214" t="s">
        <v>70</v>
      </c>
      <c r="CU461" s="214" t="s">
        <v>530</v>
      </c>
      <c r="CW461" s="214" t="s">
        <v>30066</v>
      </c>
      <c r="CX461" s="214" t="s">
        <v>484</v>
      </c>
      <c r="CY461" s="214" t="s">
        <v>70</v>
      </c>
      <c r="CZ461" s="214" t="s">
        <v>530</v>
      </c>
      <c r="DB461" s="214" t="s">
        <v>30067</v>
      </c>
      <c r="DC461" s="214" t="s">
        <v>484</v>
      </c>
      <c r="DD461" s="214" t="s">
        <v>70</v>
      </c>
      <c r="DE461" s="214" t="s">
        <v>530</v>
      </c>
      <c r="DG461" s="214" t="s">
        <v>30068</v>
      </c>
      <c r="DH461" s="214" t="s">
        <v>52</v>
      </c>
      <c r="DI461" s="214" t="s">
        <v>70</v>
      </c>
      <c r="DJ461" s="214" t="s">
        <v>530</v>
      </c>
      <c r="DL461" s="214" t="s">
        <v>30069</v>
      </c>
      <c r="DM461" s="214" t="s">
        <v>484</v>
      </c>
      <c r="DN461" s="214" t="s">
        <v>70</v>
      </c>
      <c r="DO461" s="214" t="s">
        <v>530</v>
      </c>
      <c r="DQ461" s="214" t="s">
        <v>30070</v>
      </c>
      <c r="DR461" s="214" t="s">
        <v>34548</v>
      </c>
      <c r="DS461" s="214" t="s">
        <v>70</v>
      </c>
      <c r="DT461" s="214" t="s">
        <v>530</v>
      </c>
      <c r="DV461" s="214" t="s">
        <v>30071</v>
      </c>
      <c r="DW461" s="214" t="s">
        <v>10541</v>
      </c>
      <c r="DX461" s="214" t="s">
        <v>70</v>
      </c>
      <c r="DY461" s="214" t="s">
        <v>530</v>
      </c>
      <c r="EA461" s="214" t="s">
        <v>30072</v>
      </c>
      <c r="EB461" s="214" t="s">
        <v>87</v>
      </c>
      <c r="EC461" s="214" t="s">
        <v>70</v>
      </c>
      <c r="ED461" s="214" t="s">
        <v>530</v>
      </c>
      <c r="EF461" s="214" t="s">
        <v>30073</v>
      </c>
      <c r="EG461" s="214" t="s">
        <v>34516</v>
      </c>
      <c r="EH461" s="214" t="s">
        <v>70</v>
      </c>
      <c r="EI461" s="214" t="s">
        <v>530</v>
      </c>
      <c r="EK461" s="214" t="s">
        <v>30074</v>
      </c>
      <c r="EL461" s="214" t="s">
        <v>502</v>
      </c>
      <c r="EM461" s="214" t="s">
        <v>70</v>
      </c>
      <c r="EN461" s="214" t="s">
        <v>530</v>
      </c>
      <c r="EP461" s="214" t="s">
        <v>30075</v>
      </c>
      <c r="EQ461" s="214" t="s">
        <v>52</v>
      </c>
      <c r="ER461" s="214" t="s">
        <v>70</v>
      </c>
      <c r="ES461" s="214" t="s">
        <v>530</v>
      </c>
      <c r="EU461" s="214" t="s">
        <v>30076</v>
      </c>
      <c r="EV461" s="214" t="s">
        <v>34555</v>
      </c>
      <c r="EW461" s="214" t="s">
        <v>70</v>
      </c>
      <c r="EX461" s="214" t="s">
        <v>530</v>
      </c>
      <c r="EZ461" s="214" t="s">
        <v>30077</v>
      </c>
      <c r="FA461" s="214" t="s">
        <v>93</v>
      </c>
      <c r="FB461" s="214" t="s">
        <v>70</v>
      </c>
      <c r="FC461" s="214" t="s">
        <v>530</v>
      </c>
      <c r="FE461" s="214" t="s">
        <v>30078</v>
      </c>
      <c r="FF461" s="214" t="s">
        <v>34626</v>
      </c>
      <c r="FG461" s="214" t="s">
        <v>70</v>
      </c>
      <c r="FH461" s="214" t="s">
        <v>530</v>
      </c>
      <c r="FJ461" s="321" t="s">
        <v>30079</v>
      </c>
      <c r="FK461" s="214" t="s">
        <v>52</v>
      </c>
      <c r="FL461" s="214" t="s">
        <v>70</v>
      </c>
      <c r="FM461" s="214" t="s">
        <v>530</v>
      </c>
      <c r="FO461" s="321" t="s">
        <v>30080</v>
      </c>
      <c r="FP461" s="214" t="s">
        <v>910</v>
      </c>
      <c r="FQ461" s="214" t="s">
        <v>70</v>
      </c>
      <c r="FR461" s="214" t="s">
        <v>530</v>
      </c>
      <c r="FT461" s="321" t="s">
        <v>30081</v>
      </c>
      <c r="FU461" s="214" t="s">
        <v>163</v>
      </c>
      <c r="FV461" s="214" t="s">
        <v>70</v>
      </c>
      <c r="FW461" s="214" t="s">
        <v>530</v>
      </c>
      <c r="FY461" s="321" t="s">
        <v>30082</v>
      </c>
      <c r="FZ461" s="214" t="s">
        <v>488</v>
      </c>
      <c r="GA461" s="214" t="s">
        <v>70</v>
      </c>
      <c r="GB461" s="214" t="s">
        <v>530</v>
      </c>
      <c r="GD461" s="321" t="s">
        <v>30083</v>
      </c>
      <c r="GE461" s="214" t="s">
        <v>52</v>
      </c>
      <c r="GF461" s="214" t="s">
        <v>70</v>
      </c>
      <c r="GG461" s="214" t="s">
        <v>530</v>
      </c>
      <c r="GI461" s="321" t="s">
        <v>30084</v>
      </c>
      <c r="GJ461" s="214" t="s">
        <v>484</v>
      </c>
      <c r="GK461" s="214" t="s">
        <v>70</v>
      </c>
      <c r="GL461" s="214" t="s">
        <v>530</v>
      </c>
      <c r="GN461" s="321" t="s">
        <v>30085</v>
      </c>
      <c r="GO461" s="214" t="s">
        <v>487</v>
      </c>
      <c r="GP461" s="214" t="s">
        <v>70</v>
      </c>
      <c r="GQ461" s="214" t="s">
        <v>530</v>
      </c>
      <c r="GS461" s="321" t="s">
        <v>30086</v>
      </c>
      <c r="GT461" s="214" t="s">
        <v>52</v>
      </c>
      <c r="GU461" s="214" t="s">
        <v>70</v>
      </c>
      <c r="GV461" s="214" t="s">
        <v>530</v>
      </c>
      <c r="GX461" s="214" t="s">
        <v>30087</v>
      </c>
      <c r="GY461" s="214" t="s">
        <v>484</v>
      </c>
      <c r="GZ461" s="214" t="s">
        <v>70</v>
      </c>
      <c r="HA461" s="214" t="s">
        <v>530</v>
      </c>
      <c r="HC461" s="214" t="s">
        <v>30088</v>
      </c>
      <c r="HD461" s="214" t="s">
        <v>34551</v>
      </c>
      <c r="HE461" s="214" t="s">
        <v>70</v>
      </c>
      <c r="HF461" s="214" t="s">
        <v>530</v>
      </c>
      <c r="HH461" s="214" t="s">
        <v>30089</v>
      </c>
      <c r="HI461" s="214" t="s">
        <v>34567</v>
      </c>
      <c r="HJ461" s="214" t="s">
        <v>70</v>
      </c>
      <c r="HK461" s="214" t="s">
        <v>530</v>
      </c>
      <c r="HM461" s="214" t="s">
        <v>30090</v>
      </c>
      <c r="HN461" s="214" t="s">
        <v>288</v>
      </c>
      <c r="HO461" s="214" t="s">
        <v>70</v>
      </c>
      <c r="HP461" s="214" t="s">
        <v>530</v>
      </c>
      <c r="HR461" s="22" t="s">
        <v>30091</v>
      </c>
      <c r="HS461" s="22" t="s">
        <v>603</v>
      </c>
      <c r="HT461" s="22" t="s">
        <v>70</v>
      </c>
      <c r="HU461" s="214" t="s">
        <v>530</v>
      </c>
      <c r="HW461" s="22" t="s">
        <v>30092</v>
      </c>
      <c r="HX461" s="22" t="s">
        <v>305</v>
      </c>
      <c r="HY461" s="22" t="s">
        <v>70</v>
      </c>
      <c r="HZ461" s="214" t="s">
        <v>530</v>
      </c>
      <c r="IB461" s="22" t="s">
        <v>30093</v>
      </c>
      <c r="IC461" s="22" t="s">
        <v>34541</v>
      </c>
      <c r="ID461" s="22" t="s">
        <v>70</v>
      </c>
      <c r="IE461" s="214" t="s">
        <v>530</v>
      </c>
      <c r="IG461" s="22" t="s">
        <v>30094</v>
      </c>
      <c r="IH461" s="22" t="s">
        <v>52</v>
      </c>
      <c r="II461" s="22" t="s">
        <v>70</v>
      </c>
      <c r="IJ461" s="214" t="s">
        <v>530</v>
      </c>
      <c r="IL461" s="22" t="s">
        <v>30095</v>
      </c>
      <c r="IM461" s="22" t="s">
        <v>145</v>
      </c>
      <c r="IN461" s="22" t="s">
        <v>70</v>
      </c>
      <c r="IO461" s="214" t="s">
        <v>530</v>
      </c>
      <c r="IQ461" s="236" t="s">
        <v>30096</v>
      </c>
      <c r="IR461" s="236" t="s">
        <v>145</v>
      </c>
      <c r="IS461" s="236" t="s">
        <v>74</v>
      </c>
      <c r="IT461" s="236" t="s">
        <v>841</v>
      </c>
      <c r="IV461" s="236" t="s">
        <v>30097</v>
      </c>
      <c r="IW461" s="236" t="s">
        <v>145</v>
      </c>
      <c r="IX461" s="236" t="s">
        <v>74</v>
      </c>
      <c r="IY461" s="236" t="s">
        <v>841</v>
      </c>
      <c r="JA461" s="236" t="s">
        <v>30098</v>
      </c>
      <c r="JB461" s="236" t="s">
        <v>145</v>
      </c>
      <c r="JC461" s="236" t="s">
        <v>74</v>
      </c>
      <c r="JD461" s="236" t="s">
        <v>841</v>
      </c>
      <c r="JF461" s="236" t="s">
        <v>30099</v>
      </c>
      <c r="JG461" s="236" t="s">
        <v>145</v>
      </c>
      <c r="JH461" s="236" t="s">
        <v>74</v>
      </c>
      <c r="JI461" s="236" t="s">
        <v>841</v>
      </c>
      <c r="JK461" s="236" t="s">
        <v>30100</v>
      </c>
      <c r="JL461" s="236" t="s">
        <v>145</v>
      </c>
      <c r="JM461" s="236" t="s">
        <v>74</v>
      </c>
      <c r="JN461" s="236" t="s">
        <v>841</v>
      </c>
      <c r="JP461" s="236" t="s">
        <v>30101</v>
      </c>
      <c r="JQ461" s="236" t="s">
        <v>145</v>
      </c>
      <c r="JR461" s="236" t="s">
        <v>74</v>
      </c>
      <c r="JS461" s="236" t="s">
        <v>841</v>
      </c>
      <c r="JU461" s="294" t="s">
        <v>30102</v>
      </c>
      <c r="JV461" s="294" t="s">
        <v>52</v>
      </c>
      <c r="JW461" s="263" t="s">
        <v>70</v>
      </c>
      <c r="JX461" s="294" t="s">
        <v>1083</v>
      </c>
      <c r="JZ461" s="263" t="s">
        <v>30103</v>
      </c>
      <c r="KA461" s="263" t="s">
        <v>145</v>
      </c>
      <c r="KB461" s="263" t="s">
        <v>70</v>
      </c>
      <c r="KC461" s="263" t="s">
        <v>1083</v>
      </c>
      <c r="KE461" s="263" t="s">
        <v>30104</v>
      </c>
      <c r="KF461" s="263" t="s">
        <v>52</v>
      </c>
      <c r="KG461" s="263" t="s">
        <v>70</v>
      </c>
      <c r="KH461" s="263" t="s">
        <v>1083</v>
      </c>
      <c r="KJ461" s="263" t="s">
        <v>30105</v>
      </c>
      <c r="KK461" s="263" t="s">
        <v>52</v>
      </c>
      <c r="KL461" s="263" t="s">
        <v>74</v>
      </c>
      <c r="KM461" s="263" t="s">
        <v>34074</v>
      </c>
      <c r="KO461" s="214" t="s">
        <v>30106</v>
      </c>
      <c r="KP461" s="214" t="s">
        <v>145</v>
      </c>
      <c r="KQ461" s="214" t="s">
        <v>70</v>
      </c>
      <c r="KR461" s="214" t="s">
        <v>67</v>
      </c>
      <c r="KT461" s="22" t="s">
        <v>30107</v>
      </c>
      <c r="KU461" s="22" t="s">
        <v>145</v>
      </c>
      <c r="KV461" s="22" t="s">
        <v>70</v>
      </c>
      <c r="KW461" s="22" t="s">
        <v>67</v>
      </c>
      <c r="KY461" s="214" t="s">
        <v>30108</v>
      </c>
      <c r="KZ461" s="214" t="s">
        <v>52</v>
      </c>
      <c r="LA461" s="214" t="s">
        <v>74</v>
      </c>
      <c r="LB461" s="214" t="s">
        <v>67</v>
      </c>
      <c r="LD461" s="22" t="s">
        <v>30109</v>
      </c>
      <c r="LE461" s="22" t="s">
        <v>145</v>
      </c>
      <c r="LF461" s="22" t="s">
        <v>70</v>
      </c>
      <c r="LG461" s="22" t="s">
        <v>67</v>
      </c>
    </row>
    <row r="462" spans="1:319">
      <c r="A462" s="22" t="s">
        <v>30110</v>
      </c>
      <c r="B462" s="22" t="s">
        <v>145</v>
      </c>
      <c r="C462" s="22" t="s">
        <v>70</v>
      </c>
      <c r="D462" s="22" t="s">
        <v>67</v>
      </c>
      <c r="F462" s="72" t="s">
        <v>30111</v>
      </c>
      <c r="G462" s="22" t="s">
        <v>145</v>
      </c>
      <c r="H462" s="22" t="s">
        <v>70</v>
      </c>
      <c r="I462" s="22" t="s">
        <v>67</v>
      </c>
      <c r="K462" s="99" t="s">
        <v>30112</v>
      </c>
      <c r="L462" s="22" t="s">
        <v>145</v>
      </c>
      <c r="M462" s="22" t="s">
        <v>70</v>
      </c>
      <c r="N462" s="22" t="s">
        <v>67</v>
      </c>
      <c r="P462" s="230" t="s">
        <v>30113</v>
      </c>
      <c r="Q462" s="218" t="s">
        <v>145</v>
      </c>
      <c r="R462" s="218" t="s">
        <v>72</v>
      </c>
      <c r="S462" s="218" t="s">
        <v>34063</v>
      </c>
      <c r="U462" s="293" t="s">
        <v>30114</v>
      </c>
      <c r="V462" s="293" t="s">
        <v>145</v>
      </c>
      <c r="W462" s="293" t="s">
        <v>74</v>
      </c>
      <c r="X462" s="293" t="s">
        <v>656</v>
      </c>
      <c r="Z462" s="293" t="s">
        <v>30115</v>
      </c>
      <c r="AA462" s="293" t="s">
        <v>145</v>
      </c>
      <c r="AB462" s="293" t="s">
        <v>74</v>
      </c>
      <c r="AC462" s="293" t="s">
        <v>656</v>
      </c>
      <c r="AE462" s="293" t="s">
        <v>30116</v>
      </c>
      <c r="AF462" s="293" t="s">
        <v>145</v>
      </c>
      <c r="AG462" s="293" t="s">
        <v>74</v>
      </c>
      <c r="AH462" s="293" t="s">
        <v>656</v>
      </c>
      <c r="AJ462" s="293" t="s">
        <v>30117</v>
      </c>
      <c r="AK462" s="293" t="s">
        <v>145</v>
      </c>
      <c r="AL462" s="293" t="s">
        <v>74</v>
      </c>
      <c r="AM462" s="293" t="s">
        <v>656</v>
      </c>
      <c r="AO462" s="22" t="s">
        <v>30118</v>
      </c>
      <c r="AP462" s="22" t="s">
        <v>145</v>
      </c>
      <c r="AQ462" s="22" t="s">
        <v>70</v>
      </c>
      <c r="AR462" s="22" t="s">
        <v>67</v>
      </c>
      <c r="AT462" s="22" t="s">
        <v>30119</v>
      </c>
      <c r="AU462" s="22" t="s">
        <v>145</v>
      </c>
      <c r="AV462" s="22" t="s">
        <v>70</v>
      </c>
      <c r="AW462" s="22" t="s">
        <v>67</v>
      </c>
      <c r="AY462" s="22" t="s">
        <v>30120</v>
      </c>
      <c r="AZ462" s="22" t="s">
        <v>145</v>
      </c>
      <c r="BA462" s="22" t="s">
        <v>70</v>
      </c>
      <c r="BB462" s="22" t="s">
        <v>67</v>
      </c>
      <c r="BD462" s="22" t="s">
        <v>30121</v>
      </c>
      <c r="BE462" s="22" t="s">
        <v>145</v>
      </c>
      <c r="BF462" s="22" t="s">
        <v>70</v>
      </c>
      <c r="BG462" s="22" t="s">
        <v>67</v>
      </c>
      <c r="BI462" s="22" t="s">
        <v>30122</v>
      </c>
      <c r="BJ462" s="22" t="s">
        <v>145</v>
      </c>
      <c r="BK462" s="22" t="s">
        <v>70</v>
      </c>
      <c r="BL462" s="22" t="s">
        <v>67</v>
      </c>
      <c r="BN462" s="22" t="s">
        <v>30123</v>
      </c>
      <c r="BO462" s="22" t="s">
        <v>145</v>
      </c>
      <c r="BP462" s="22" t="s">
        <v>70</v>
      </c>
      <c r="BQ462" s="22" t="s">
        <v>67</v>
      </c>
      <c r="BS462" s="22" t="s">
        <v>30124</v>
      </c>
      <c r="BT462" s="22" t="s">
        <v>145</v>
      </c>
      <c r="BU462" s="22" t="s">
        <v>70</v>
      </c>
      <c r="BV462" s="214" t="s">
        <v>530</v>
      </c>
      <c r="BX462" s="22" t="s">
        <v>30125</v>
      </c>
      <c r="BY462" s="22" t="s">
        <v>145</v>
      </c>
      <c r="BZ462" s="22" t="s">
        <v>70</v>
      </c>
      <c r="CA462" s="214" t="s">
        <v>530</v>
      </c>
      <c r="CC462" s="214" t="s">
        <v>30126</v>
      </c>
      <c r="CD462" s="214" t="s">
        <v>149</v>
      </c>
      <c r="CE462" s="214" t="s">
        <v>70</v>
      </c>
      <c r="CF462" s="214" t="s">
        <v>530</v>
      </c>
      <c r="CH462" s="214" t="s">
        <v>30127</v>
      </c>
      <c r="CI462" s="214" t="s">
        <v>148</v>
      </c>
      <c r="CJ462" s="214" t="s">
        <v>70</v>
      </c>
      <c r="CK462" s="214" t="s">
        <v>530</v>
      </c>
      <c r="CM462" s="214" t="s">
        <v>30128</v>
      </c>
      <c r="CN462" s="214" t="s">
        <v>85</v>
      </c>
      <c r="CO462" s="214" t="s">
        <v>70</v>
      </c>
      <c r="CP462" s="214" t="s">
        <v>530</v>
      </c>
      <c r="CR462" s="214" t="s">
        <v>30129</v>
      </c>
      <c r="CS462" s="214" t="s">
        <v>497</v>
      </c>
      <c r="CT462" s="214" t="s">
        <v>70</v>
      </c>
      <c r="CU462" s="214" t="s">
        <v>530</v>
      </c>
      <c r="CW462" s="214" t="s">
        <v>30130</v>
      </c>
      <c r="CX462" s="214" t="s">
        <v>485</v>
      </c>
      <c r="CY462" s="214" t="s">
        <v>70</v>
      </c>
      <c r="CZ462" s="214" t="s">
        <v>530</v>
      </c>
      <c r="DB462" s="214" t="s">
        <v>30131</v>
      </c>
      <c r="DC462" s="214" t="s">
        <v>485</v>
      </c>
      <c r="DD462" s="214" t="s">
        <v>70</v>
      </c>
      <c r="DE462" s="214" t="s">
        <v>530</v>
      </c>
      <c r="DG462" s="214" t="s">
        <v>30132</v>
      </c>
      <c r="DH462" s="214" t="s">
        <v>145</v>
      </c>
      <c r="DI462" s="214" t="s">
        <v>70</v>
      </c>
      <c r="DJ462" s="214" t="s">
        <v>530</v>
      </c>
      <c r="DL462" s="214" t="s">
        <v>30133</v>
      </c>
      <c r="DM462" s="214" t="s">
        <v>34516</v>
      </c>
      <c r="DN462" s="214" t="s">
        <v>70</v>
      </c>
      <c r="DO462" s="214" t="s">
        <v>530</v>
      </c>
      <c r="DQ462" s="214" t="s">
        <v>30134</v>
      </c>
      <c r="DR462" s="214" t="s">
        <v>945</v>
      </c>
      <c r="DS462" s="214" t="s">
        <v>70</v>
      </c>
      <c r="DT462" s="214" t="s">
        <v>530</v>
      </c>
      <c r="DV462" s="214" t="s">
        <v>30135</v>
      </c>
      <c r="DW462" s="214" t="s">
        <v>949</v>
      </c>
      <c r="DX462" s="214" t="s">
        <v>70</v>
      </c>
      <c r="DY462" s="214" t="s">
        <v>530</v>
      </c>
      <c r="EA462" s="214" t="s">
        <v>30136</v>
      </c>
      <c r="EB462" s="214" t="s">
        <v>203</v>
      </c>
      <c r="EC462" s="214" t="s">
        <v>70</v>
      </c>
      <c r="ED462" s="214" t="s">
        <v>530</v>
      </c>
      <c r="EF462" s="214" t="s">
        <v>30137</v>
      </c>
      <c r="EG462" s="214" t="s">
        <v>146</v>
      </c>
      <c r="EH462" s="214" t="s">
        <v>70</v>
      </c>
      <c r="EI462" s="214" t="s">
        <v>530</v>
      </c>
      <c r="EK462" s="214" t="s">
        <v>30138</v>
      </c>
      <c r="EL462" s="214" t="s">
        <v>86</v>
      </c>
      <c r="EM462" s="214" t="s">
        <v>70</v>
      </c>
      <c r="EN462" s="214" t="s">
        <v>530</v>
      </c>
      <c r="EP462" s="214" t="s">
        <v>30139</v>
      </c>
      <c r="EQ462" s="214" t="s">
        <v>52</v>
      </c>
      <c r="ER462" s="214" t="s">
        <v>70</v>
      </c>
      <c r="ES462" s="214" t="s">
        <v>530</v>
      </c>
      <c r="EU462" s="214" t="s">
        <v>30140</v>
      </c>
      <c r="EV462" s="214" t="s">
        <v>765</v>
      </c>
      <c r="EW462" s="214" t="s">
        <v>70</v>
      </c>
      <c r="EX462" s="214" t="s">
        <v>530</v>
      </c>
      <c r="EZ462" s="214" t="s">
        <v>30141</v>
      </c>
      <c r="FA462" s="214" t="s">
        <v>497</v>
      </c>
      <c r="FB462" s="214" t="s">
        <v>70</v>
      </c>
      <c r="FC462" s="214" t="s">
        <v>530</v>
      </c>
      <c r="FE462" s="214" t="s">
        <v>30142</v>
      </c>
      <c r="FF462" s="214" t="s">
        <v>481</v>
      </c>
      <c r="FG462" s="214" t="s">
        <v>70</v>
      </c>
      <c r="FH462" s="214" t="s">
        <v>530</v>
      </c>
      <c r="FJ462" s="321" t="s">
        <v>30143</v>
      </c>
      <c r="FK462" s="214" t="s">
        <v>165</v>
      </c>
      <c r="FL462" s="214" t="s">
        <v>70</v>
      </c>
      <c r="FM462" s="214" t="s">
        <v>530</v>
      </c>
      <c r="FO462" s="321" t="s">
        <v>30144</v>
      </c>
      <c r="FP462" s="214" t="s">
        <v>148</v>
      </c>
      <c r="FQ462" s="214" t="s">
        <v>70</v>
      </c>
      <c r="FR462" s="214" t="s">
        <v>530</v>
      </c>
      <c r="FT462" s="321" t="s">
        <v>30145</v>
      </c>
      <c r="FU462" s="214" t="s">
        <v>956</v>
      </c>
      <c r="FV462" s="214" t="s">
        <v>70</v>
      </c>
      <c r="FW462" s="214" t="s">
        <v>530</v>
      </c>
      <c r="FY462" s="321" t="s">
        <v>30146</v>
      </c>
      <c r="FZ462" s="214" t="s">
        <v>52</v>
      </c>
      <c r="GA462" s="214" t="s">
        <v>70</v>
      </c>
      <c r="GB462" s="214" t="s">
        <v>530</v>
      </c>
      <c r="GD462" s="321" t="s">
        <v>30147</v>
      </c>
      <c r="GE462" s="214" t="s">
        <v>163</v>
      </c>
      <c r="GF462" s="214" t="s">
        <v>70</v>
      </c>
      <c r="GG462" s="214" t="s">
        <v>530</v>
      </c>
      <c r="GI462" s="321" t="s">
        <v>30148</v>
      </c>
      <c r="GJ462" s="214" t="s">
        <v>146</v>
      </c>
      <c r="GK462" s="214" t="s">
        <v>70</v>
      </c>
      <c r="GL462" s="214" t="s">
        <v>530</v>
      </c>
      <c r="GN462" s="321" t="s">
        <v>30149</v>
      </c>
      <c r="GO462" s="214" t="s">
        <v>92</v>
      </c>
      <c r="GP462" s="214" t="s">
        <v>70</v>
      </c>
      <c r="GQ462" s="214" t="s">
        <v>530</v>
      </c>
      <c r="GS462" s="321" t="s">
        <v>30150</v>
      </c>
      <c r="GT462" s="214" t="s">
        <v>52</v>
      </c>
      <c r="GU462" s="214" t="s">
        <v>70</v>
      </c>
      <c r="GV462" s="214" t="s">
        <v>530</v>
      </c>
      <c r="GX462" s="214" t="s">
        <v>30151</v>
      </c>
      <c r="GY462" s="214" t="s">
        <v>164</v>
      </c>
      <c r="GZ462" s="214" t="s">
        <v>70</v>
      </c>
      <c r="HA462" s="214" t="s">
        <v>530</v>
      </c>
      <c r="HC462" s="214" t="s">
        <v>30152</v>
      </c>
      <c r="HD462" s="214" t="s">
        <v>950</v>
      </c>
      <c r="HE462" s="214" t="s">
        <v>70</v>
      </c>
      <c r="HF462" s="214" t="s">
        <v>530</v>
      </c>
      <c r="HH462" s="214" t="s">
        <v>30153</v>
      </c>
      <c r="HI462" s="214" t="s">
        <v>34583</v>
      </c>
      <c r="HJ462" s="214" t="s">
        <v>70</v>
      </c>
      <c r="HK462" s="214" t="s">
        <v>530</v>
      </c>
      <c r="HM462" s="214" t="s">
        <v>30154</v>
      </c>
      <c r="HN462" s="214" t="s">
        <v>34600</v>
      </c>
      <c r="HO462" s="214" t="s">
        <v>70</v>
      </c>
      <c r="HP462" s="214" t="s">
        <v>530</v>
      </c>
      <c r="HR462" s="22" t="s">
        <v>30155</v>
      </c>
      <c r="HS462" s="22" t="s">
        <v>498</v>
      </c>
      <c r="HT462" s="22" t="s">
        <v>70</v>
      </c>
      <c r="HU462" s="214" t="s">
        <v>530</v>
      </c>
      <c r="HW462" s="22" t="s">
        <v>30156</v>
      </c>
      <c r="HX462" s="22" t="s">
        <v>34575</v>
      </c>
      <c r="HY462" s="22" t="s">
        <v>70</v>
      </c>
      <c r="HZ462" s="214" t="s">
        <v>530</v>
      </c>
      <c r="IB462" s="22" t="s">
        <v>30157</v>
      </c>
      <c r="IC462" s="22" t="s">
        <v>34644</v>
      </c>
      <c r="ID462" s="22" t="s">
        <v>70</v>
      </c>
      <c r="IE462" s="214" t="s">
        <v>530</v>
      </c>
      <c r="IG462" s="22" t="s">
        <v>30158</v>
      </c>
      <c r="IH462" s="22" t="s">
        <v>52</v>
      </c>
      <c r="II462" s="22" t="s">
        <v>70</v>
      </c>
      <c r="IJ462" s="214" t="s">
        <v>530</v>
      </c>
      <c r="IL462" s="22" t="s">
        <v>30159</v>
      </c>
      <c r="IM462" s="22" t="s">
        <v>145</v>
      </c>
      <c r="IN462" s="22" t="s">
        <v>70</v>
      </c>
      <c r="IO462" s="214" t="s">
        <v>530</v>
      </c>
      <c r="IQ462" s="236" t="s">
        <v>30160</v>
      </c>
      <c r="IR462" s="236" t="s">
        <v>145</v>
      </c>
      <c r="IS462" s="236" t="s">
        <v>74</v>
      </c>
      <c r="IT462" s="236" t="s">
        <v>841</v>
      </c>
      <c r="IV462" s="236" t="s">
        <v>30161</v>
      </c>
      <c r="IW462" s="236" t="s">
        <v>145</v>
      </c>
      <c r="IX462" s="236" t="s">
        <v>74</v>
      </c>
      <c r="IY462" s="236" t="s">
        <v>841</v>
      </c>
      <c r="JA462" s="236" t="s">
        <v>30162</v>
      </c>
      <c r="JB462" s="236" t="s">
        <v>145</v>
      </c>
      <c r="JC462" s="236" t="s">
        <v>74</v>
      </c>
      <c r="JD462" s="236" t="s">
        <v>841</v>
      </c>
      <c r="JF462" s="236" t="s">
        <v>30163</v>
      </c>
      <c r="JG462" s="236" t="s">
        <v>145</v>
      </c>
      <c r="JH462" s="236" t="s">
        <v>74</v>
      </c>
      <c r="JI462" s="236" t="s">
        <v>841</v>
      </c>
      <c r="JK462" s="236" t="s">
        <v>30164</v>
      </c>
      <c r="JL462" s="236" t="s">
        <v>145</v>
      </c>
      <c r="JM462" s="236" t="s">
        <v>74</v>
      </c>
      <c r="JN462" s="236" t="s">
        <v>841</v>
      </c>
      <c r="JP462" s="236" t="s">
        <v>30165</v>
      </c>
      <c r="JQ462" s="236" t="s">
        <v>145</v>
      </c>
      <c r="JR462" s="236" t="s">
        <v>74</v>
      </c>
      <c r="JS462" s="236" t="s">
        <v>841</v>
      </c>
      <c r="JU462" s="294" t="s">
        <v>30166</v>
      </c>
      <c r="JV462" s="294" t="s">
        <v>52</v>
      </c>
      <c r="JW462" s="263" t="s">
        <v>70</v>
      </c>
      <c r="JX462" s="294" t="s">
        <v>1083</v>
      </c>
      <c r="JZ462" s="263" t="s">
        <v>30167</v>
      </c>
      <c r="KA462" s="263" t="s">
        <v>145</v>
      </c>
      <c r="KB462" s="263" t="s">
        <v>70</v>
      </c>
      <c r="KC462" s="263" t="s">
        <v>1083</v>
      </c>
      <c r="KE462" s="263" t="s">
        <v>30168</v>
      </c>
      <c r="KF462" s="263" t="s">
        <v>52</v>
      </c>
      <c r="KG462" s="263" t="s">
        <v>70</v>
      </c>
      <c r="KH462" s="263" t="s">
        <v>1083</v>
      </c>
      <c r="KJ462" s="263" t="s">
        <v>30169</v>
      </c>
      <c r="KK462" s="263" t="s">
        <v>52</v>
      </c>
      <c r="KL462" s="263" t="s">
        <v>74</v>
      </c>
      <c r="KM462" s="263" t="s">
        <v>34074</v>
      </c>
      <c r="KO462" s="214" t="s">
        <v>30170</v>
      </c>
      <c r="KP462" s="214" t="s">
        <v>145</v>
      </c>
      <c r="KQ462" s="214" t="s">
        <v>70</v>
      </c>
      <c r="KR462" s="214" t="s">
        <v>67</v>
      </c>
      <c r="KT462" s="22" t="s">
        <v>30171</v>
      </c>
      <c r="KU462" s="22" t="s">
        <v>145</v>
      </c>
      <c r="KV462" s="22" t="s">
        <v>70</v>
      </c>
      <c r="KW462" s="22" t="s">
        <v>67</v>
      </c>
      <c r="KY462" s="214" t="s">
        <v>30172</v>
      </c>
      <c r="KZ462" s="214" t="s">
        <v>52</v>
      </c>
      <c r="LA462" s="214" t="s">
        <v>74</v>
      </c>
      <c r="LB462" s="214" t="s">
        <v>67</v>
      </c>
      <c r="LD462" s="22" t="s">
        <v>30173</v>
      </c>
      <c r="LE462" s="22" t="s">
        <v>145</v>
      </c>
      <c r="LF462" s="22" t="s">
        <v>70</v>
      </c>
      <c r="LG462" s="22" t="s">
        <v>67</v>
      </c>
    </row>
    <row r="463" spans="1:319">
      <c r="A463" s="22" t="s">
        <v>30174</v>
      </c>
      <c r="B463" s="22" t="s">
        <v>145</v>
      </c>
      <c r="C463" s="22" t="s">
        <v>70</v>
      </c>
      <c r="D463" s="22" t="s">
        <v>67</v>
      </c>
      <c r="F463" s="72" t="s">
        <v>30175</v>
      </c>
      <c r="G463" s="22" t="s">
        <v>145</v>
      </c>
      <c r="H463" s="22" t="s">
        <v>70</v>
      </c>
      <c r="I463" s="22" t="s">
        <v>67</v>
      </c>
      <c r="K463" s="99" t="s">
        <v>30176</v>
      </c>
      <c r="L463" s="22" t="s">
        <v>145</v>
      </c>
      <c r="M463" s="22" t="s">
        <v>70</v>
      </c>
      <c r="N463" s="22" t="s">
        <v>67</v>
      </c>
      <c r="P463" s="230" t="s">
        <v>30177</v>
      </c>
      <c r="Q463" s="218" t="s">
        <v>145</v>
      </c>
      <c r="R463" s="218" t="s">
        <v>72</v>
      </c>
      <c r="S463" s="218" t="s">
        <v>34064</v>
      </c>
      <c r="U463" s="293" t="s">
        <v>30178</v>
      </c>
      <c r="V463" s="293" t="s">
        <v>145</v>
      </c>
      <c r="W463" s="293" t="s">
        <v>74</v>
      </c>
      <c r="X463" s="293" t="s">
        <v>656</v>
      </c>
      <c r="Z463" s="293" t="s">
        <v>30179</v>
      </c>
      <c r="AA463" s="293" t="s">
        <v>145</v>
      </c>
      <c r="AB463" s="293" t="s">
        <v>74</v>
      </c>
      <c r="AC463" s="293" t="s">
        <v>656</v>
      </c>
      <c r="AE463" s="293" t="s">
        <v>30180</v>
      </c>
      <c r="AF463" s="293" t="s">
        <v>145</v>
      </c>
      <c r="AG463" s="293" t="s">
        <v>74</v>
      </c>
      <c r="AH463" s="293" t="s">
        <v>656</v>
      </c>
      <c r="AJ463" s="293" t="s">
        <v>30181</v>
      </c>
      <c r="AK463" s="293" t="s">
        <v>145</v>
      </c>
      <c r="AL463" s="293" t="s">
        <v>74</v>
      </c>
      <c r="AM463" s="293" t="s">
        <v>656</v>
      </c>
      <c r="AO463" s="22" t="s">
        <v>30182</v>
      </c>
      <c r="AP463" s="22" t="s">
        <v>145</v>
      </c>
      <c r="AQ463" s="22" t="s">
        <v>70</v>
      </c>
      <c r="AR463" s="22" t="s">
        <v>67</v>
      </c>
      <c r="AT463" s="22" t="s">
        <v>30183</v>
      </c>
      <c r="AU463" s="22" t="s">
        <v>145</v>
      </c>
      <c r="AV463" s="22" t="s">
        <v>70</v>
      </c>
      <c r="AW463" s="22" t="s">
        <v>67</v>
      </c>
      <c r="AY463" s="22" t="s">
        <v>30184</v>
      </c>
      <c r="AZ463" s="22" t="s">
        <v>145</v>
      </c>
      <c r="BA463" s="22" t="s">
        <v>70</v>
      </c>
      <c r="BB463" s="22" t="s">
        <v>67</v>
      </c>
      <c r="BD463" s="22" t="s">
        <v>30185</v>
      </c>
      <c r="BE463" s="22" t="s">
        <v>145</v>
      </c>
      <c r="BF463" s="22" t="s">
        <v>70</v>
      </c>
      <c r="BG463" s="22" t="s">
        <v>67</v>
      </c>
      <c r="BI463" s="22" t="s">
        <v>30186</v>
      </c>
      <c r="BJ463" s="22" t="s">
        <v>145</v>
      </c>
      <c r="BK463" s="22" t="s">
        <v>70</v>
      </c>
      <c r="BL463" s="22" t="s">
        <v>67</v>
      </c>
      <c r="BN463" s="22" t="s">
        <v>30187</v>
      </c>
      <c r="BO463" s="22" t="s">
        <v>145</v>
      </c>
      <c r="BP463" s="22" t="s">
        <v>70</v>
      </c>
      <c r="BQ463" s="22" t="s">
        <v>67</v>
      </c>
      <c r="BS463" s="22" t="s">
        <v>30188</v>
      </c>
      <c r="BT463" s="22" t="s">
        <v>145</v>
      </c>
      <c r="BU463" s="22" t="s">
        <v>70</v>
      </c>
      <c r="BV463" s="214" t="s">
        <v>530</v>
      </c>
      <c r="BX463" s="22" t="s">
        <v>30189</v>
      </c>
      <c r="BY463" s="22" t="s">
        <v>145</v>
      </c>
      <c r="BZ463" s="22" t="s">
        <v>70</v>
      </c>
      <c r="CA463" s="214" t="s">
        <v>530</v>
      </c>
      <c r="CC463" s="214" t="s">
        <v>30190</v>
      </c>
      <c r="CD463" s="214" t="s">
        <v>34544</v>
      </c>
      <c r="CE463" s="214" t="s">
        <v>70</v>
      </c>
      <c r="CF463" s="214" t="s">
        <v>530</v>
      </c>
      <c r="CH463" s="214" t="s">
        <v>30191</v>
      </c>
      <c r="CI463" s="214" t="s">
        <v>496</v>
      </c>
      <c r="CJ463" s="214" t="s">
        <v>70</v>
      </c>
      <c r="CK463" s="214" t="s">
        <v>530</v>
      </c>
      <c r="CM463" s="214" t="s">
        <v>30192</v>
      </c>
      <c r="CN463" s="214" t="s">
        <v>485</v>
      </c>
      <c r="CO463" s="214" t="s">
        <v>70</v>
      </c>
      <c r="CP463" s="214" t="s">
        <v>530</v>
      </c>
      <c r="CR463" s="214" t="s">
        <v>30193</v>
      </c>
      <c r="CS463" s="214" t="s">
        <v>146</v>
      </c>
      <c r="CT463" s="214" t="s">
        <v>70</v>
      </c>
      <c r="CU463" s="214" t="s">
        <v>530</v>
      </c>
      <c r="CW463" s="214" t="s">
        <v>30194</v>
      </c>
      <c r="CX463" s="214" t="s">
        <v>146</v>
      </c>
      <c r="CY463" s="214" t="s">
        <v>70</v>
      </c>
      <c r="CZ463" s="214" t="s">
        <v>530</v>
      </c>
      <c r="DB463" s="214" t="s">
        <v>30195</v>
      </c>
      <c r="DC463" s="214" t="s">
        <v>146</v>
      </c>
      <c r="DD463" s="214" t="s">
        <v>70</v>
      </c>
      <c r="DE463" s="214" t="s">
        <v>530</v>
      </c>
      <c r="DG463" s="214" t="s">
        <v>30196</v>
      </c>
      <c r="DH463" s="214" t="s">
        <v>34541</v>
      </c>
      <c r="DI463" s="214" t="s">
        <v>70</v>
      </c>
      <c r="DJ463" s="214" t="s">
        <v>530</v>
      </c>
      <c r="DL463" s="214" t="s">
        <v>30197</v>
      </c>
      <c r="DM463" s="214" t="s">
        <v>950</v>
      </c>
      <c r="DN463" s="214" t="s">
        <v>70</v>
      </c>
      <c r="DO463" s="214" t="s">
        <v>530</v>
      </c>
      <c r="DQ463" s="214" t="s">
        <v>30198</v>
      </c>
      <c r="DR463" s="214" t="s">
        <v>34548</v>
      </c>
      <c r="DS463" s="214" t="s">
        <v>70</v>
      </c>
      <c r="DT463" s="214" t="s">
        <v>530</v>
      </c>
      <c r="DV463" s="214" t="s">
        <v>30199</v>
      </c>
      <c r="DW463" s="214" t="s">
        <v>52</v>
      </c>
      <c r="DX463" s="214" t="s">
        <v>70</v>
      </c>
      <c r="DY463" s="214" t="s">
        <v>530</v>
      </c>
      <c r="EA463" s="214" t="s">
        <v>30200</v>
      </c>
      <c r="EB463" s="214" t="s">
        <v>920</v>
      </c>
      <c r="EC463" s="214" t="s">
        <v>70</v>
      </c>
      <c r="ED463" s="214" t="s">
        <v>530</v>
      </c>
      <c r="EF463" s="214" t="s">
        <v>30201</v>
      </c>
      <c r="EG463" s="214" t="s">
        <v>34547</v>
      </c>
      <c r="EH463" s="214" t="s">
        <v>70</v>
      </c>
      <c r="EI463" s="214" t="s">
        <v>530</v>
      </c>
      <c r="EK463" s="214" t="s">
        <v>30202</v>
      </c>
      <c r="EL463" s="214" t="s">
        <v>52</v>
      </c>
      <c r="EM463" s="214" t="s">
        <v>70</v>
      </c>
      <c r="EN463" s="214" t="s">
        <v>530</v>
      </c>
      <c r="EP463" s="214" t="s">
        <v>30203</v>
      </c>
      <c r="EQ463" s="214" t="s">
        <v>955</v>
      </c>
      <c r="ER463" s="214" t="s">
        <v>70</v>
      </c>
      <c r="ES463" s="214" t="s">
        <v>530</v>
      </c>
      <c r="EU463" s="214" t="s">
        <v>30204</v>
      </c>
      <c r="EV463" s="214" t="s">
        <v>484</v>
      </c>
      <c r="EW463" s="214" t="s">
        <v>70</v>
      </c>
      <c r="EX463" s="214" t="s">
        <v>530</v>
      </c>
      <c r="EZ463" s="214" t="s">
        <v>30205</v>
      </c>
      <c r="FA463" s="214" t="s">
        <v>146</v>
      </c>
      <c r="FB463" s="214" t="s">
        <v>70</v>
      </c>
      <c r="FC463" s="214" t="s">
        <v>530</v>
      </c>
      <c r="FE463" s="214" t="s">
        <v>30206</v>
      </c>
      <c r="FF463" s="214" t="s">
        <v>487</v>
      </c>
      <c r="FG463" s="214" t="s">
        <v>70</v>
      </c>
      <c r="FH463" s="214" t="s">
        <v>530</v>
      </c>
      <c r="FJ463" s="321" t="s">
        <v>30207</v>
      </c>
      <c r="FK463" s="214" t="s">
        <v>52</v>
      </c>
      <c r="FL463" s="214" t="s">
        <v>70</v>
      </c>
      <c r="FM463" s="214" t="s">
        <v>530</v>
      </c>
      <c r="FO463" s="321" t="s">
        <v>30208</v>
      </c>
      <c r="FP463" s="214" t="s">
        <v>485</v>
      </c>
      <c r="FQ463" s="214" t="s">
        <v>70</v>
      </c>
      <c r="FR463" s="214" t="s">
        <v>530</v>
      </c>
      <c r="FT463" s="321" t="s">
        <v>30209</v>
      </c>
      <c r="FU463" s="214" t="s">
        <v>34564</v>
      </c>
      <c r="FV463" s="214" t="s">
        <v>70</v>
      </c>
      <c r="FW463" s="214" t="s">
        <v>530</v>
      </c>
      <c r="FY463" s="321" t="s">
        <v>30210</v>
      </c>
      <c r="FZ463" s="214" t="s">
        <v>601</v>
      </c>
      <c r="GA463" s="214" t="s">
        <v>70</v>
      </c>
      <c r="GB463" s="214" t="s">
        <v>530</v>
      </c>
      <c r="GD463" s="321" t="s">
        <v>30211</v>
      </c>
      <c r="GE463" s="214" t="s">
        <v>599</v>
      </c>
      <c r="GF463" s="214" t="s">
        <v>70</v>
      </c>
      <c r="GG463" s="214" t="s">
        <v>530</v>
      </c>
      <c r="GI463" s="321" t="s">
        <v>30212</v>
      </c>
      <c r="GJ463" s="214" t="s">
        <v>103</v>
      </c>
      <c r="GK463" s="214" t="s">
        <v>70</v>
      </c>
      <c r="GL463" s="214" t="s">
        <v>530</v>
      </c>
      <c r="GN463" s="321" t="s">
        <v>30213</v>
      </c>
      <c r="GO463" s="214" t="s">
        <v>921</v>
      </c>
      <c r="GP463" s="214" t="s">
        <v>70</v>
      </c>
      <c r="GQ463" s="214" t="s">
        <v>530</v>
      </c>
      <c r="GS463" s="321" t="s">
        <v>30214</v>
      </c>
      <c r="GT463" s="214" t="s">
        <v>203</v>
      </c>
      <c r="GU463" s="214" t="s">
        <v>70</v>
      </c>
      <c r="GV463" s="214" t="s">
        <v>530</v>
      </c>
      <c r="GX463" s="214" t="s">
        <v>30215</v>
      </c>
      <c r="GY463" s="214" t="s">
        <v>486</v>
      </c>
      <c r="GZ463" s="214" t="s">
        <v>70</v>
      </c>
      <c r="HA463" s="214" t="s">
        <v>530</v>
      </c>
      <c r="HC463" s="214" t="s">
        <v>30216</v>
      </c>
      <c r="HD463" s="214" t="s">
        <v>502</v>
      </c>
      <c r="HE463" s="214" t="s">
        <v>70</v>
      </c>
      <c r="HF463" s="214" t="s">
        <v>530</v>
      </c>
      <c r="HH463" s="214" t="s">
        <v>30217</v>
      </c>
      <c r="HI463" s="214" t="s">
        <v>486</v>
      </c>
      <c r="HJ463" s="214" t="s">
        <v>70</v>
      </c>
      <c r="HK463" s="214" t="s">
        <v>530</v>
      </c>
      <c r="HM463" s="214" t="s">
        <v>30218</v>
      </c>
      <c r="HN463" s="214" t="s">
        <v>913</v>
      </c>
      <c r="HO463" s="214" t="s">
        <v>70</v>
      </c>
      <c r="HP463" s="214" t="s">
        <v>530</v>
      </c>
      <c r="HR463" s="22" t="s">
        <v>30219</v>
      </c>
      <c r="HS463" s="22" t="s">
        <v>85</v>
      </c>
      <c r="HT463" s="22" t="s">
        <v>70</v>
      </c>
      <c r="HU463" s="214" t="s">
        <v>530</v>
      </c>
      <c r="HW463" s="22" t="s">
        <v>30220</v>
      </c>
      <c r="HX463" s="22" t="s">
        <v>34516</v>
      </c>
      <c r="HY463" s="22" t="s">
        <v>70</v>
      </c>
      <c r="HZ463" s="214" t="s">
        <v>530</v>
      </c>
      <c r="IB463" s="22" t="s">
        <v>30221</v>
      </c>
      <c r="IC463" s="22" t="s">
        <v>34556</v>
      </c>
      <c r="ID463" s="22" t="s">
        <v>70</v>
      </c>
      <c r="IE463" s="214" t="s">
        <v>530</v>
      </c>
      <c r="IG463" s="22" t="s">
        <v>30222</v>
      </c>
      <c r="IH463" s="22" t="s">
        <v>52</v>
      </c>
      <c r="II463" s="22" t="s">
        <v>70</v>
      </c>
      <c r="IJ463" s="214" t="s">
        <v>530</v>
      </c>
      <c r="IL463" s="22" t="s">
        <v>30223</v>
      </c>
      <c r="IM463" s="22" t="s">
        <v>145</v>
      </c>
      <c r="IN463" s="22" t="s">
        <v>70</v>
      </c>
      <c r="IO463" s="214" t="s">
        <v>530</v>
      </c>
      <c r="IQ463" s="236" t="s">
        <v>30224</v>
      </c>
      <c r="IR463" s="236" t="s">
        <v>145</v>
      </c>
      <c r="IS463" s="236" t="s">
        <v>74</v>
      </c>
      <c r="IT463" s="236" t="s">
        <v>841</v>
      </c>
      <c r="IV463" s="236" t="s">
        <v>30225</v>
      </c>
      <c r="IW463" s="236" t="s">
        <v>145</v>
      </c>
      <c r="IX463" s="236" t="s">
        <v>74</v>
      </c>
      <c r="IY463" s="236" t="s">
        <v>841</v>
      </c>
      <c r="JA463" s="236" t="s">
        <v>30226</v>
      </c>
      <c r="JB463" s="236" t="s">
        <v>145</v>
      </c>
      <c r="JC463" s="236" t="s">
        <v>74</v>
      </c>
      <c r="JD463" s="236" t="s">
        <v>841</v>
      </c>
      <c r="JF463" s="236" t="s">
        <v>30227</v>
      </c>
      <c r="JG463" s="236" t="s">
        <v>145</v>
      </c>
      <c r="JH463" s="236" t="s">
        <v>74</v>
      </c>
      <c r="JI463" s="236" t="s">
        <v>841</v>
      </c>
      <c r="JK463" s="236" t="s">
        <v>30228</v>
      </c>
      <c r="JL463" s="236" t="s">
        <v>145</v>
      </c>
      <c r="JM463" s="236" t="s">
        <v>74</v>
      </c>
      <c r="JN463" s="236" t="s">
        <v>841</v>
      </c>
      <c r="JP463" s="236" t="s">
        <v>30229</v>
      </c>
      <c r="JQ463" s="236" t="s">
        <v>145</v>
      </c>
      <c r="JR463" s="236" t="s">
        <v>74</v>
      </c>
      <c r="JS463" s="236" t="s">
        <v>841</v>
      </c>
      <c r="JU463" s="294" t="s">
        <v>30230</v>
      </c>
      <c r="JV463" s="294" t="s">
        <v>52</v>
      </c>
      <c r="JW463" s="263" t="s">
        <v>70</v>
      </c>
      <c r="JX463" s="294" t="s">
        <v>1083</v>
      </c>
      <c r="JZ463" s="263" t="s">
        <v>30231</v>
      </c>
      <c r="KA463" s="263" t="s">
        <v>145</v>
      </c>
      <c r="KB463" s="263" t="s">
        <v>70</v>
      </c>
      <c r="KC463" s="263" t="s">
        <v>1083</v>
      </c>
      <c r="KE463" s="263" t="s">
        <v>30232</v>
      </c>
      <c r="KF463" s="263" t="s">
        <v>52</v>
      </c>
      <c r="KG463" s="263" t="s">
        <v>70</v>
      </c>
      <c r="KH463" s="263" t="s">
        <v>1083</v>
      </c>
      <c r="KJ463" s="263" t="s">
        <v>30233</v>
      </c>
      <c r="KK463" s="263" t="s">
        <v>52</v>
      </c>
      <c r="KL463" s="263" t="s">
        <v>74</v>
      </c>
      <c r="KM463" s="263" t="s">
        <v>34074</v>
      </c>
      <c r="KO463" s="214" t="s">
        <v>30234</v>
      </c>
      <c r="KP463" s="214" t="s">
        <v>145</v>
      </c>
      <c r="KQ463" s="214" t="s">
        <v>70</v>
      </c>
      <c r="KR463" s="214" t="s">
        <v>67</v>
      </c>
      <c r="KT463" s="22" t="s">
        <v>30235</v>
      </c>
      <c r="KU463" s="22" t="s">
        <v>145</v>
      </c>
      <c r="KV463" s="22" t="s">
        <v>70</v>
      </c>
      <c r="KW463" s="22" t="s">
        <v>67</v>
      </c>
      <c r="KY463" s="214" t="s">
        <v>30236</v>
      </c>
      <c r="KZ463" s="214" t="s">
        <v>52</v>
      </c>
      <c r="LA463" s="214" t="s">
        <v>74</v>
      </c>
      <c r="LB463" s="214" t="s">
        <v>67</v>
      </c>
      <c r="LD463" s="22" t="s">
        <v>30237</v>
      </c>
      <c r="LE463" s="22" t="s">
        <v>145</v>
      </c>
      <c r="LF463" s="22" t="s">
        <v>70</v>
      </c>
      <c r="LG463" s="22" t="s">
        <v>67</v>
      </c>
    </row>
    <row r="464" spans="1:319">
      <c r="A464" s="22" t="s">
        <v>30238</v>
      </c>
      <c r="B464" s="22" t="s">
        <v>145</v>
      </c>
      <c r="C464" s="22" t="s">
        <v>70</v>
      </c>
      <c r="D464" s="22" t="s">
        <v>67</v>
      </c>
      <c r="F464" s="72" t="s">
        <v>30239</v>
      </c>
      <c r="G464" s="22" t="s">
        <v>145</v>
      </c>
      <c r="H464" s="22" t="s">
        <v>70</v>
      </c>
      <c r="I464" s="22" t="s">
        <v>67</v>
      </c>
      <c r="K464" s="99" t="s">
        <v>30240</v>
      </c>
      <c r="L464" s="22" t="s">
        <v>145</v>
      </c>
      <c r="M464" s="22" t="s">
        <v>70</v>
      </c>
      <c r="N464" s="22" t="s">
        <v>67</v>
      </c>
      <c r="P464" s="230" t="s">
        <v>30241</v>
      </c>
      <c r="Q464" s="218" t="s">
        <v>145</v>
      </c>
      <c r="R464" s="218" t="s">
        <v>72</v>
      </c>
      <c r="S464" s="218" t="s">
        <v>34065</v>
      </c>
      <c r="U464" s="293" t="s">
        <v>30242</v>
      </c>
      <c r="V464" s="293" t="s">
        <v>145</v>
      </c>
      <c r="W464" s="293" t="s">
        <v>74</v>
      </c>
      <c r="X464" s="293" t="s">
        <v>656</v>
      </c>
      <c r="Z464" s="293" t="s">
        <v>30243</v>
      </c>
      <c r="AA464" s="293" t="s">
        <v>145</v>
      </c>
      <c r="AB464" s="293" t="s">
        <v>74</v>
      </c>
      <c r="AC464" s="293" t="s">
        <v>656</v>
      </c>
      <c r="AE464" s="293" t="s">
        <v>30244</v>
      </c>
      <c r="AF464" s="293" t="s">
        <v>145</v>
      </c>
      <c r="AG464" s="293" t="s">
        <v>74</v>
      </c>
      <c r="AH464" s="293" t="s">
        <v>656</v>
      </c>
      <c r="AJ464" s="293" t="s">
        <v>30245</v>
      </c>
      <c r="AK464" s="293" t="s">
        <v>145</v>
      </c>
      <c r="AL464" s="293" t="s">
        <v>74</v>
      </c>
      <c r="AM464" s="293" t="s">
        <v>656</v>
      </c>
      <c r="AO464" s="22" t="s">
        <v>30246</v>
      </c>
      <c r="AP464" s="22" t="s">
        <v>145</v>
      </c>
      <c r="AQ464" s="22" t="s">
        <v>70</v>
      </c>
      <c r="AR464" s="22" t="s">
        <v>67</v>
      </c>
      <c r="AT464" s="22" t="s">
        <v>30247</v>
      </c>
      <c r="AU464" s="22" t="s">
        <v>145</v>
      </c>
      <c r="AV464" s="22" t="s">
        <v>70</v>
      </c>
      <c r="AW464" s="22" t="s">
        <v>67</v>
      </c>
      <c r="AY464" s="22" t="s">
        <v>30248</v>
      </c>
      <c r="AZ464" s="22" t="s">
        <v>145</v>
      </c>
      <c r="BA464" s="22" t="s">
        <v>70</v>
      </c>
      <c r="BB464" s="22" t="s">
        <v>67</v>
      </c>
      <c r="BD464" s="22" t="s">
        <v>30249</v>
      </c>
      <c r="BE464" s="22" t="s">
        <v>145</v>
      </c>
      <c r="BF464" s="22" t="s">
        <v>70</v>
      </c>
      <c r="BG464" s="22" t="s">
        <v>67</v>
      </c>
      <c r="BI464" s="22" t="s">
        <v>30250</v>
      </c>
      <c r="BJ464" s="22" t="s">
        <v>145</v>
      </c>
      <c r="BK464" s="22" t="s">
        <v>70</v>
      </c>
      <c r="BL464" s="22" t="s">
        <v>67</v>
      </c>
      <c r="BN464" s="22" t="s">
        <v>30251</v>
      </c>
      <c r="BO464" s="22" t="s">
        <v>145</v>
      </c>
      <c r="BP464" s="22" t="s">
        <v>70</v>
      </c>
      <c r="BQ464" s="22" t="s">
        <v>67</v>
      </c>
      <c r="BS464" s="22" t="s">
        <v>30252</v>
      </c>
      <c r="BT464" s="22" t="s">
        <v>145</v>
      </c>
      <c r="BU464" s="22" t="s">
        <v>70</v>
      </c>
      <c r="BV464" s="214" t="s">
        <v>530</v>
      </c>
      <c r="BX464" s="22" t="s">
        <v>30253</v>
      </c>
      <c r="BY464" s="22" t="s">
        <v>145</v>
      </c>
      <c r="BZ464" s="22" t="s">
        <v>70</v>
      </c>
      <c r="CA464" s="214" t="s">
        <v>530</v>
      </c>
      <c r="CC464" s="214" t="s">
        <v>30254</v>
      </c>
      <c r="CD464" s="214" t="s">
        <v>85</v>
      </c>
      <c r="CE464" s="214" t="s">
        <v>70</v>
      </c>
      <c r="CF464" s="214" t="s">
        <v>530</v>
      </c>
      <c r="CH464" s="214" t="s">
        <v>30255</v>
      </c>
      <c r="CI464" s="214" t="s">
        <v>930</v>
      </c>
      <c r="CJ464" s="214" t="s">
        <v>70</v>
      </c>
      <c r="CK464" s="214" t="s">
        <v>530</v>
      </c>
      <c r="CM464" s="214" t="s">
        <v>30256</v>
      </c>
      <c r="CN464" s="214" t="s">
        <v>34545</v>
      </c>
      <c r="CO464" s="214" t="s">
        <v>70</v>
      </c>
      <c r="CP464" s="214" t="s">
        <v>530</v>
      </c>
      <c r="CR464" s="214" t="s">
        <v>30257</v>
      </c>
      <c r="CS464" s="214" t="s">
        <v>85</v>
      </c>
      <c r="CT464" s="214" t="s">
        <v>70</v>
      </c>
      <c r="CU464" s="214" t="s">
        <v>530</v>
      </c>
      <c r="CW464" s="214" t="s">
        <v>30258</v>
      </c>
      <c r="CX464" s="214" t="s">
        <v>85</v>
      </c>
      <c r="CY464" s="214" t="s">
        <v>70</v>
      </c>
      <c r="CZ464" s="214" t="s">
        <v>530</v>
      </c>
      <c r="DB464" s="214" t="s">
        <v>30259</v>
      </c>
      <c r="DC464" s="214" t="s">
        <v>103</v>
      </c>
      <c r="DD464" s="214" t="s">
        <v>70</v>
      </c>
      <c r="DE464" s="214" t="s">
        <v>530</v>
      </c>
      <c r="DG464" s="214" t="s">
        <v>30260</v>
      </c>
      <c r="DH464" s="214" t="s">
        <v>165</v>
      </c>
      <c r="DI464" s="214" t="s">
        <v>70</v>
      </c>
      <c r="DJ464" s="214" t="s">
        <v>530</v>
      </c>
      <c r="DL464" s="214" t="s">
        <v>30261</v>
      </c>
      <c r="DM464" s="214" t="s">
        <v>34582</v>
      </c>
      <c r="DN464" s="214" t="s">
        <v>70</v>
      </c>
      <c r="DO464" s="214" t="s">
        <v>530</v>
      </c>
      <c r="DQ464" s="214" t="s">
        <v>30262</v>
      </c>
      <c r="DR464" s="214" t="s">
        <v>951</v>
      </c>
      <c r="DS464" s="214" t="s">
        <v>70</v>
      </c>
      <c r="DT464" s="214" t="s">
        <v>530</v>
      </c>
      <c r="DV464" s="214" t="s">
        <v>30263</v>
      </c>
      <c r="DW464" s="214" t="s">
        <v>146</v>
      </c>
      <c r="DX464" s="214" t="s">
        <v>70</v>
      </c>
      <c r="DY464" s="214" t="s">
        <v>530</v>
      </c>
      <c r="EA464" s="214" t="s">
        <v>30264</v>
      </c>
      <c r="EB464" s="214" t="s">
        <v>34624</v>
      </c>
      <c r="EC464" s="214" t="s">
        <v>70</v>
      </c>
      <c r="ED464" s="214" t="s">
        <v>530</v>
      </c>
      <c r="EF464" s="214" t="s">
        <v>30265</v>
      </c>
      <c r="EG464" s="214" t="s">
        <v>90</v>
      </c>
      <c r="EH464" s="214" t="s">
        <v>70</v>
      </c>
      <c r="EI464" s="214" t="s">
        <v>530</v>
      </c>
      <c r="EK464" s="214" t="s">
        <v>30266</v>
      </c>
      <c r="EL464" s="214" t="s">
        <v>145</v>
      </c>
      <c r="EM464" s="214" t="s">
        <v>70</v>
      </c>
      <c r="EN464" s="214" t="s">
        <v>530</v>
      </c>
      <c r="EP464" s="214" t="s">
        <v>30267</v>
      </c>
      <c r="EQ464" s="214" t="s">
        <v>211</v>
      </c>
      <c r="ER464" s="214" t="s">
        <v>70</v>
      </c>
      <c r="ES464" s="214" t="s">
        <v>530</v>
      </c>
      <c r="EU464" s="214" t="s">
        <v>30268</v>
      </c>
      <c r="EV464" s="214" t="s">
        <v>955</v>
      </c>
      <c r="EW464" s="214" t="s">
        <v>70</v>
      </c>
      <c r="EX464" s="214" t="s">
        <v>530</v>
      </c>
      <c r="EZ464" s="214" t="s">
        <v>30269</v>
      </c>
      <c r="FA464" s="214" t="s">
        <v>10541</v>
      </c>
      <c r="FB464" s="214" t="s">
        <v>70</v>
      </c>
      <c r="FC464" s="214" t="s">
        <v>530</v>
      </c>
      <c r="FE464" s="214" t="s">
        <v>30270</v>
      </c>
      <c r="FF464" s="214" t="s">
        <v>90</v>
      </c>
      <c r="FG464" s="214" t="s">
        <v>70</v>
      </c>
      <c r="FH464" s="214" t="s">
        <v>530</v>
      </c>
      <c r="FJ464" s="321" t="s">
        <v>30271</v>
      </c>
      <c r="FK464" s="214" t="s">
        <v>34540</v>
      </c>
      <c r="FL464" s="214" t="s">
        <v>70</v>
      </c>
      <c r="FM464" s="214" t="s">
        <v>530</v>
      </c>
      <c r="FO464" s="321" t="s">
        <v>30272</v>
      </c>
      <c r="FP464" s="214" t="s">
        <v>148</v>
      </c>
      <c r="FQ464" s="214" t="s">
        <v>70</v>
      </c>
      <c r="FR464" s="214" t="s">
        <v>530</v>
      </c>
      <c r="FT464" s="321" t="s">
        <v>30273</v>
      </c>
      <c r="FU464" s="214" t="s">
        <v>34405</v>
      </c>
      <c r="FV464" s="214" t="s">
        <v>70</v>
      </c>
      <c r="FW464" s="214" t="s">
        <v>530</v>
      </c>
      <c r="FY464" s="321" t="s">
        <v>30274</v>
      </c>
      <c r="FZ464" s="214" t="s">
        <v>34553</v>
      </c>
      <c r="GA464" s="214" t="s">
        <v>70</v>
      </c>
      <c r="GB464" s="214" t="s">
        <v>530</v>
      </c>
      <c r="GD464" s="321" t="s">
        <v>30275</v>
      </c>
      <c r="GE464" s="214" t="s">
        <v>519</v>
      </c>
      <c r="GF464" s="214" t="s">
        <v>70</v>
      </c>
      <c r="GG464" s="214" t="s">
        <v>530</v>
      </c>
      <c r="GI464" s="321" t="s">
        <v>30276</v>
      </c>
      <c r="GJ464" s="214" t="s">
        <v>925</v>
      </c>
      <c r="GK464" s="214" t="s">
        <v>70</v>
      </c>
      <c r="GL464" s="214" t="s">
        <v>530</v>
      </c>
      <c r="GN464" s="321" t="s">
        <v>30277</v>
      </c>
      <c r="GO464" s="214" t="s">
        <v>34545</v>
      </c>
      <c r="GP464" s="214" t="s">
        <v>70</v>
      </c>
      <c r="GQ464" s="214" t="s">
        <v>530</v>
      </c>
      <c r="GS464" s="321" t="s">
        <v>30278</v>
      </c>
      <c r="GT464" s="214" t="s">
        <v>34636</v>
      </c>
      <c r="GU464" s="214" t="s">
        <v>70</v>
      </c>
      <c r="GV464" s="214" t="s">
        <v>530</v>
      </c>
      <c r="GX464" s="214" t="s">
        <v>30279</v>
      </c>
      <c r="GY464" s="214" t="s">
        <v>916</v>
      </c>
      <c r="GZ464" s="214" t="s">
        <v>70</v>
      </c>
      <c r="HA464" s="214" t="s">
        <v>530</v>
      </c>
      <c r="HC464" s="214" t="s">
        <v>30280</v>
      </c>
      <c r="HD464" s="214" t="s">
        <v>529</v>
      </c>
      <c r="HE464" s="214" t="s">
        <v>70</v>
      </c>
      <c r="HF464" s="214" t="s">
        <v>530</v>
      </c>
      <c r="HH464" s="214" t="s">
        <v>30281</v>
      </c>
      <c r="HI464" s="214" t="s">
        <v>163</v>
      </c>
      <c r="HJ464" s="214" t="s">
        <v>70</v>
      </c>
      <c r="HK464" s="214" t="s">
        <v>530</v>
      </c>
      <c r="HM464" s="214" t="s">
        <v>30282</v>
      </c>
      <c r="HN464" s="214" t="s">
        <v>34599</v>
      </c>
      <c r="HO464" s="214" t="s">
        <v>70</v>
      </c>
      <c r="HP464" s="214" t="s">
        <v>530</v>
      </c>
      <c r="HR464" s="22" t="s">
        <v>30283</v>
      </c>
      <c r="HS464" s="22" t="s">
        <v>34579</v>
      </c>
      <c r="HT464" s="22" t="s">
        <v>70</v>
      </c>
      <c r="HU464" s="214" t="s">
        <v>530</v>
      </c>
      <c r="HW464" s="22" t="s">
        <v>30284</v>
      </c>
      <c r="HX464" s="22" t="s">
        <v>163</v>
      </c>
      <c r="HY464" s="22" t="s">
        <v>70</v>
      </c>
      <c r="HZ464" s="214" t="s">
        <v>530</v>
      </c>
      <c r="IB464" s="22" t="s">
        <v>30285</v>
      </c>
      <c r="IC464" s="22" t="s">
        <v>34516</v>
      </c>
      <c r="ID464" s="22" t="s">
        <v>70</v>
      </c>
      <c r="IE464" s="214" t="s">
        <v>530</v>
      </c>
      <c r="IG464" s="22" t="s">
        <v>30286</v>
      </c>
      <c r="IH464" s="22" t="s">
        <v>52</v>
      </c>
      <c r="II464" s="22" t="s">
        <v>70</v>
      </c>
      <c r="IJ464" s="214" t="s">
        <v>530</v>
      </c>
      <c r="IL464" s="22" t="s">
        <v>30287</v>
      </c>
      <c r="IM464" s="22" t="s">
        <v>145</v>
      </c>
      <c r="IN464" s="22" t="s">
        <v>70</v>
      </c>
      <c r="IO464" s="214" t="s">
        <v>530</v>
      </c>
      <c r="IQ464" s="236" t="s">
        <v>30288</v>
      </c>
      <c r="IR464" s="236" t="s">
        <v>145</v>
      </c>
      <c r="IS464" s="236" t="s">
        <v>74</v>
      </c>
      <c r="IT464" s="236" t="s">
        <v>841</v>
      </c>
      <c r="IV464" s="236" t="s">
        <v>30289</v>
      </c>
      <c r="IW464" s="236" t="s">
        <v>145</v>
      </c>
      <c r="IX464" s="236" t="s">
        <v>74</v>
      </c>
      <c r="IY464" s="236" t="s">
        <v>841</v>
      </c>
      <c r="JA464" s="236" t="s">
        <v>30290</v>
      </c>
      <c r="JB464" s="236" t="s">
        <v>145</v>
      </c>
      <c r="JC464" s="236" t="s">
        <v>74</v>
      </c>
      <c r="JD464" s="236" t="s">
        <v>841</v>
      </c>
      <c r="JF464" s="236" t="s">
        <v>30291</v>
      </c>
      <c r="JG464" s="236" t="s">
        <v>145</v>
      </c>
      <c r="JH464" s="236" t="s">
        <v>74</v>
      </c>
      <c r="JI464" s="236" t="s">
        <v>841</v>
      </c>
      <c r="JK464" s="236" t="s">
        <v>30292</v>
      </c>
      <c r="JL464" s="236" t="s">
        <v>145</v>
      </c>
      <c r="JM464" s="236" t="s">
        <v>74</v>
      </c>
      <c r="JN464" s="236" t="s">
        <v>841</v>
      </c>
      <c r="JP464" s="236" t="s">
        <v>30293</v>
      </c>
      <c r="JQ464" s="236" t="s">
        <v>145</v>
      </c>
      <c r="JR464" s="236" t="s">
        <v>74</v>
      </c>
      <c r="JS464" s="236" t="s">
        <v>841</v>
      </c>
      <c r="JU464" s="294" t="s">
        <v>30294</v>
      </c>
      <c r="JV464" s="294" t="s">
        <v>52</v>
      </c>
      <c r="JW464" s="263" t="s">
        <v>70</v>
      </c>
      <c r="JX464" s="294" t="s">
        <v>1083</v>
      </c>
      <c r="JZ464" s="263" t="s">
        <v>30295</v>
      </c>
      <c r="KA464" s="263" t="s">
        <v>145</v>
      </c>
      <c r="KB464" s="263" t="s">
        <v>70</v>
      </c>
      <c r="KC464" s="263" t="s">
        <v>1083</v>
      </c>
      <c r="KE464" s="263" t="s">
        <v>30296</v>
      </c>
      <c r="KF464" s="263" t="s">
        <v>52</v>
      </c>
      <c r="KG464" s="263" t="s">
        <v>70</v>
      </c>
      <c r="KH464" s="263" t="s">
        <v>1083</v>
      </c>
      <c r="KJ464" s="263" t="s">
        <v>30297</v>
      </c>
      <c r="KK464" s="263" t="s">
        <v>52</v>
      </c>
      <c r="KL464" s="263" t="s">
        <v>74</v>
      </c>
      <c r="KM464" s="263" t="s">
        <v>34074</v>
      </c>
      <c r="KO464" s="214" t="s">
        <v>30298</v>
      </c>
      <c r="KP464" s="214" t="s">
        <v>145</v>
      </c>
      <c r="KQ464" s="214" t="s">
        <v>70</v>
      </c>
      <c r="KR464" s="214" t="s">
        <v>67</v>
      </c>
      <c r="KT464" s="22" t="s">
        <v>30299</v>
      </c>
      <c r="KU464" s="22" t="s">
        <v>145</v>
      </c>
      <c r="KV464" s="22" t="s">
        <v>70</v>
      </c>
      <c r="KW464" s="22" t="s">
        <v>67</v>
      </c>
      <c r="KY464" s="214" t="s">
        <v>30300</v>
      </c>
      <c r="KZ464" s="214" t="s">
        <v>52</v>
      </c>
      <c r="LA464" s="214" t="s">
        <v>74</v>
      </c>
      <c r="LB464" s="214" t="s">
        <v>67</v>
      </c>
      <c r="LD464" s="22" t="s">
        <v>30301</v>
      </c>
      <c r="LE464" s="22" t="s">
        <v>145</v>
      </c>
      <c r="LF464" s="22" t="s">
        <v>70</v>
      </c>
      <c r="LG464" s="22" t="s">
        <v>67</v>
      </c>
    </row>
    <row r="465" spans="1:319">
      <c r="A465" s="22" t="s">
        <v>30302</v>
      </c>
      <c r="B465" s="22" t="s">
        <v>145</v>
      </c>
      <c r="C465" s="22" t="s">
        <v>70</v>
      </c>
      <c r="D465" s="22" t="s">
        <v>67</v>
      </c>
      <c r="F465" s="72" t="s">
        <v>30303</v>
      </c>
      <c r="G465" s="22" t="s">
        <v>145</v>
      </c>
      <c r="H465" s="22" t="s">
        <v>70</v>
      </c>
      <c r="I465" s="22" t="s">
        <v>67</v>
      </c>
      <c r="K465" s="99" t="s">
        <v>30304</v>
      </c>
      <c r="L465" s="22" t="s">
        <v>145</v>
      </c>
      <c r="M465" s="22" t="s">
        <v>70</v>
      </c>
      <c r="N465" s="22" t="s">
        <v>67</v>
      </c>
      <c r="P465" s="230" t="s">
        <v>30305</v>
      </c>
      <c r="Q465" s="218" t="s">
        <v>145</v>
      </c>
      <c r="R465" s="218" t="s">
        <v>72</v>
      </c>
      <c r="S465" s="218" t="s">
        <v>34066</v>
      </c>
      <c r="U465" s="293" t="s">
        <v>30306</v>
      </c>
      <c r="V465" s="293" t="s">
        <v>145</v>
      </c>
      <c r="W465" s="293" t="s">
        <v>74</v>
      </c>
      <c r="X465" s="293" t="s">
        <v>656</v>
      </c>
      <c r="Z465" s="293" t="s">
        <v>30307</v>
      </c>
      <c r="AA465" s="293" t="s">
        <v>145</v>
      </c>
      <c r="AB465" s="293" t="s">
        <v>74</v>
      </c>
      <c r="AC465" s="293" t="s">
        <v>656</v>
      </c>
      <c r="AE465" s="293" t="s">
        <v>30308</v>
      </c>
      <c r="AF465" s="293" t="s">
        <v>145</v>
      </c>
      <c r="AG465" s="293" t="s">
        <v>74</v>
      </c>
      <c r="AH465" s="293" t="s">
        <v>656</v>
      </c>
      <c r="AJ465" s="293" t="s">
        <v>30309</v>
      </c>
      <c r="AK465" s="293" t="s">
        <v>145</v>
      </c>
      <c r="AL465" s="293" t="s">
        <v>74</v>
      </c>
      <c r="AM465" s="293" t="s">
        <v>656</v>
      </c>
      <c r="AO465" s="22" t="s">
        <v>30310</v>
      </c>
      <c r="AP465" s="22" t="s">
        <v>145</v>
      </c>
      <c r="AQ465" s="22" t="s">
        <v>70</v>
      </c>
      <c r="AR465" s="22" t="s">
        <v>67</v>
      </c>
      <c r="AT465" s="22" t="s">
        <v>30311</v>
      </c>
      <c r="AU465" s="22" t="s">
        <v>145</v>
      </c>
      <c r="AV465" s="22" t="s">
        <v>70</v>
      </c>
      <c r="AW465" s="22" t="s">
        <v>67</v>
      </c>
      <c r="AY465" s="22" t="s">
        <v>30312</v>
      </c>
      <c r="AZ465" s="22" t="s">
        <v>145</v>
      </c>
      <c r="BA465" s="22" t="s">
        <v>70</v>
      </c>
      <c r="BB465" s="22" t="s">
        <v>67</v>
      </c>
      <c r="BD465" s="22" t="s">
        <v>30313</v>
      </c>
      <c r="BE465" s="22" t="s">
        <v>145</v>
      </c>
      <c r="BF465" s="22" t="s">
        <v>70</v>
      </c>
      <c r="BG465" s="22" t="s">
        <v>67</v>
      </c>
      <c r="BI465" s="22" t="s">
        <v>30314</v>
      </c>
      <c r="BJ465" s="22" t="s">
        <v>145</v>
      </c>
      <c r="BK465" s="22" t="s">
        <v>70</v>
      </c>
      <c r="BL465" s="22" t="s">
        <v>67</v>
      </c>
      <c r="BN465" s="22" t="s">
        <v>30315</v>
      </c>
      <c r="BO465" s="22" t="s">
        <v>145</v>
      </c>
      <c r="BP465" s="22" t="s">
        <v>70</v>
      </c>
      <c r="BQ465" s="22" t="s">
        <v>67</v>
      </c>
      <c r="BS465" s="22" t="s">
        <v>30316</v>
      </c>
      <c r="BT465" s="22" t="s">
        <v>145</v>
      </c>
      <c r="BU465" s="22" t="s">
        <v>70</v>
      </c>
      <c r="BV465" s="214" t="s">
        <v>530</v>
      </c>
      <c r="BX465" s="22" t="s">
        <v>30317</v>
      </c>
      <c r="BY465" s="22" t="s">
        <v>145</v>
      </c>
      <c r="BZ465" s="22" t="s">
        <v>70</v>
      </c>
      <c r="CA465" s="214" t="s">
        <v>530</v>
      </c>
      <c r="CC465" s="214" t="s">
        <v>30318</v>
      </c>
      <c r="CD465" s="214" t="s">
        <v>485</v>
      </c>
      <c r="CE465" s="214" t="s">
        <v>70</v>
      </c>
      <c r="CF465" s="214" t="s">
        <v>530</v>
      </c>
      <c r="CH465" s="214" t="s">
        <v>30319</v>
      </c>
      <c r="CI465" s="214" t="s">
        <v>798</v>
      </c>
      <c r="CJ465" s="214" t="s">
        <v>70</v>
      </c>
      <c r="CK465" s="214" t="s">
        <v>530</v>
      </c>
      <c r="CM465" s="214" t="s">
        <v>30320</v>
      </c>
      <c r="CN465" s="214" t="s">
        <v>34551</v>
      </c>
      <c r="CO465" s="214" t="s">
        <v>70</v>
      </c>
      <c r="CP465" s="214" t="s">
        <v>530</v>
      </c>
      <c r="CR465" s="214" t="s">
        <v>30321</v>
      </c>
      <c r="CS465" s="214" t="s">
        <v>34618</v>
      </c>
      <c r="CT465" s="214" t="s">
        <v>70</v>
      </c>
      <c r="CU465" s="214" t="s">
        <v>530</v>
      </c>
      <c r="CW465" s="214" t="s">
        <v>30322</v>
      </c>
      <c r="CX465" s="214" t="s">
        <v>485</v>
      </c>
      <c r="CY465" s="214" t="s">
        <v>70</v>
      </c>
      <c r="CZ465" s="214" t="s">
        <v>530</v>
      </c>
      <c r="DB465" s="214" t="s">
        <v>30323</v>
      </c>
      <c r="DC465" s="214" t="s">
        <v>485</v>
      </c>
      <c r="DD465" s="214" t="s">
        <v>70</v>
      </c>
      <c r="DE465" s="214" t="s">
        <v>530</v>
      </c>
      <c r="DG465" s="214" t="s">
        <v>30324</v>
      </c>
      <c r="DH465" s="214" t="s">
        <v>34545</v>
      </c>
      <c r="DI465" s="214" t="s">
        <v>70</v>
      </c>
      <c r="DJ465" s="214" t="s">
        <v>530</v>
      </c>
      <c r="DL465" s="214" t="s">
        <v>30325</v>
      </c>
      <c r="DM465" s="214" t="s">
        <v>491</v>
      </c>
      <c r="DN465" s="214" t="s">
        <v>70</v>
      </c>
      <c r="DO465" s="214" t="s">
        <v>530</v>
      </c>
      <c r="DQ465" s="214" t="s">
        <v>30326</v>
      </c>
      <c r="DR465" s="214" t="s">
        <v>34539</v>
      </c>
      <c r="DS465" s="214" t="s">
        <v>70</v>
      </c>
      <c r="DT465" s="214" t="s">
        <v>530</v>
      </c>
      <c r="DV465" s="214" t="s">
        <v>30327</v>
      </c>
      <c r="DW465" s="214" t="s">
        <v>93</v>
      </c>
      <c r="DX465" s="214" t="s">
        <v>70</v>
      </c>
      <c r="DY465" s="214" t="s">
        <v>530</v>
      </c>
      <c r="EA465" s="214" t="s">
        <v>30328</v>
      </c>
      <c r="EB465" s="214" t="s">
        <v>164</v>
      </c>
      <c r="EC465" s="214" t="s">
        <v>70</v>
      </c>
      <c r="ED465" s="214" t="s">
        <v>530</v>
      </c>
      <c r="EF465" s="214" t="s">
        <v>30329</v>
      </c>
      <c r="EG465" s="214" t="s">
        <v>305</v>
      </c>
      <c r="EH465" s="214" t="s">
        <v>70</v>
      </c>
      <c r="EI465" s="214" t="s">
        <v>530</v>
      </c>
      <c r="EK465" s="214" t="s">
        <v>30330</v>
      </c>
      <c r="EL465" s="214" t="s">
        <v>34541</v>
      </c>
      <c r="EM465" s="214" t="s">
        <v>70</v>
      </c>
      <c r="EN465" s="214" t="s">
        <v>530</v>
      </c>
      <c r="EP465" s="214" t="s">
        <v>30331</v>
      </c>
      <c r="EQ465" s="214" t="s">
        <v>529</v>
      </c>
      <c r="ER465" s="214" t="s">
        <v>70</v>
      </c>
      <c r="ES465" s="214" t="s">
        <v>530</v>
      </c>
      <c r="EU465" s="214" t="s">
        <v>30332</v>
      </c>
      <c r="EV465" s="214" t="s">
        <v>487</v>
      </c>
      <c r="EW465" s="214" t="s">
        <v>70</v>
      </c>
      <c r="EX465" s="214" t="s">
        <v>530</v>
      </c>
      <c r="EZ465" s="214" t="s">
        <v>30333</v>
      </c>
      <c r="FA465" s="214" t="s">
        <v>52</v>
      </c>
      <c r="FB465" s="214" t="s">
        <v>70</v>
      </c>
      <c r="FC465" s="214" t="s">
        <v>530</v>
      </c>
      <c r="FE465" s="214" t="s">
        <v>30334</v>
      </c>
      <c r="FF465" s="214" t="s">
        <v>499</v>
      </c>
      <c r="FG465" s="214" t="s">
        <v>70</v>
      </c>
      <c r="FH465" s="214" t="s">
        <v>530</v>
      </c>
      <c r="FJ465" s="321" t="s">
        <v>30335</v>
      </c>
      <c r="FK465" s="214" t="s">
        <v>52</v>
      </c>
      <c r="FL465" s="214" t="s">
        <v>70</v>
      </c>
      <c r="FM465" s="214" t="s">
        <v>530</v>
      </c>
      <c r="FO465" s="321" t="s">
        <v>30336</v>
      </c>
      <c r="FP465" s="214" t="s">
        <v>34544</v>
      </c>
      <c r="FQ465" s="214" t="s">
        <v>70</v>
      </c>
      <c r="FR465" s="214" t="s">
        <v>530</v>
      </c>
      <c r="FT465" s="321" t="s">
        <v>30337</v>
      </c>
      <c r="FU465" s="214" t="s">
        <v>34541</v>
      </c>
      <c r="FV465" s="214" t="s">
        <v>70</v>
      </c>
      <c r="FW465" s="214" t="s">
        <v>530</v>
      </c>
      <c r="FY465" s="321" t="s">
        <v>30338</v>
      </c>
      <c r="FZ465" s="214" t="s">
        <v>482</v>
      </c>
      <c r="GA465" s="214" t="s">
        <v>70</v>
      </c>
      <c r="GB465" s="214" t="s">
        <v>530</v>
      </c>
      <c r="GD465" s="321" t="s">
        <v>30339</v>
      </c>
      <c r="GE465" s="214" t="s">
        <v>484</v>
      </c>
      <c r="GF465" s="214" t="s">
        <v>70</v>
      </c>
      <c r="GG465" s="214" t="s">
        <v>530</v>
      </c>
      <c r="GI465" s="321" t="s">
        <v>30340</v>
      </c>
      <c r="GJ465" s="214" t="s">
        <v>34544</v>
      </c>
      <c r="GK465" s="214" t="s">
        <v>70</v>
      </c>
      <c r="GL465" s="214" t="s">
        <v>530</v>
      </c>
      <c r="GN465" s="321" t="s">
        <v>30341</v>
      </c>
      <c r="GO465" s="214" t="s">
        <v>34580</v>
      </c>
      <c r="GP465" s="214" t="s">
        <v>70</v>
      </c>
      <c r="GQ465" s="214" t="s">
        <v>530</v>
      </c>
      <c r="GS465" s="321" t="s">
        <v>30342</v>
      </c>
      <c r="GT465" s="214" t="s">
        <v>503</v>
      </c>
      <c r="GU465" s="214" t="s">
        <v>70</v>
      </c>
      <c r="GV465" s="214" t="s">
        <v>530</v>
      </c>
      <c r="GX465" s="214" t="s">
        <v>30343</v>
      </c>
      <c r="GY465" s="214" t="s">
        <v>488</v>
      </c>
      <c r="GZ465" s="214" t="s">
        <v>70</v>
      </c>
      <c r="HA465" s="214" t="s">
        <v>530</v>
      </c>
      <c r="HC465" s="214" t="s">
        <v>30344</v>
      </c>
      <c r="HD465" s="214" t="s">
        <v>103</v>
      </c>
      <c r="HE465" s="214" t="s">
        <v>70</v>
      </c>
      <c r="HF465" s="214" t="s">
        <v>530</v>
      </c>
      <c r="HH465" s="214" t="s">
        <v>30345</v>
      </c>
      <c r="HI465" s="214" t="s">
        <v>912</v>
      </c>
      <c r="HJ465" s="214" t="s">
        <v>70</v>
      </c>
      <c r="HK465" s="214" t="s">
        <v>530</v>
      </c>
      <c r="HM465" s="214" t="s">
        <v>30346</v>
      </c>
      <c r="HN465" s="214" t="s">
        <v>34594</v>
      </c>
      <c r="HO465" s="214" t="s">
        <v>70</v>
      </c>
      <c r="HP465" s="214" t="s">
        <v>530</v>
      </c>
      <c r="HR465" s="22" t="s">
        <v>30347</v>
      </c>
      <c r="HS465" s="22" t="s">
        <v>34542</v>
      </c>
      <c r="HT465" s="22" t="s">
        <v>70</v>
      </c>
      <c r="HU465" s="214" t="s">
        <v>530</v>
      </c>
      <c r="HW465" s="22" t="s">
        <v>30348</v>
      </c>
      <c r="HX465" s="22" t="s">
        <v>496</v>
      </c>
      <c r="HY465" s="22" t="s">
        <v>70</v>
      </c>
      <c r="HZ465" s="214" t="s">
        <v>530</v>
      </c>
      <c r="IB465" s="22" t="s">
        <v>30349</v>
      </c>
      <c r="IC465" s="22" t="s">
        <v>491</v>
      </c>
      <c r="ID465" s="22" t="s">
        <v>70</v>
      </c>
      <c r="IE465" s="214" t="s">
        <v>530</v>
      </c>
      <c r="IG465" s="22" t="s">
        <v>30350</v>
      </c>
      <c r="IH465" s="22" t="s">
        <v>52</v>
      </c>
      <c r="II465" s="22" t="s">
        <v>70</v>
      </c>
      <c r="IJ465" s="214" t="s">
        <v>530</v>
      </c>
      <c r="IL465" s="22" t="s">
        <v>30351</v>
      </c>
      <c r="IM465" s="22" t="s">
        <v>145</v>
      </c>
      <c r="IN465" s="22" t="s">
        <v>70</v>
      </c>
      <c r="IO465" s="214" t="s">
        <v>530</v>
      </c>
      <c r="IQ465" s="236" t="s">
        <v>30352</v>
      </c>
      <c r="IR465" s="236" t="s">
        <v>145</v>
      </c>
      <c r="IS465" s="236" t="s">
        <v>74</v>
      </c>
      <c r="IT465" s="236" t="s">
        <v>841</v>
      </c>
      <c r="IV465" s="236" t="s">
        <v>30353</v>
      </c>
      <c r="IW465" s="236" t="s">
        <v>145</v>
      </c>
      <c r="IX465" s="236" t="s">
        <v>74</v>
      </c>
      <c r="IY465" s="236" t="s">
        <v>841</v>
      </c>
      <c r="JA465" s="236" t="s">
        <v>30354</v>
      </c>
      <c r="JB465" s="236" t="s">
        <v>145</v>
      </c>
      <c r="JC465" s="236" t="s">
        <v>74</v>
      </c>
      <c r="JD465" s="236" t="s">
        <v>841</v>
      </c>
      <c r="JF465" s="236" t="s">
        <v>30355</v>
      </c>
      <c r="JG465" s="236" t="s">
        <v>145</v>
      </c>
      <c r="JH465" s="236" t="s">
        <v>74</v>
      </c>
      <c r="JI465" s="236" t="s">
        <v>841</v>
      </c>
      <c r="JK465" s="236" t="s">
        <v>30356</v>
      </c>
      <c r="JL465" s="236" t="s">
        <v>145</v>
      </c>
      <c r="JM465" s="236" t="s">
        <v>74</v>
      </c>
      <c r="JN465" s="236" t="s">
        <v>841</v>
      </c>
      <c r="JP465" s="236" t="s">
        <v>30357</v>
      </c>
      <c r="JQ465" s="236" t="s">
        <v>145</v>
      </c>
      <c r="JR465" s="236" t="s">
        <v>74</v>
      </c>
      <c r="JS465" s="236" t="s">
        <v>841</v>
      </c>
      <c r="JU465" s="294" t="s">
        <v>30358</v>
      </c>
      <c r="JV465" s="294" t="s">
        <v>52</v>
      </c>
      <c r="JW465" s="263" t="s">
        <v>70</v>
      </c>
      <c r="JX465" s="294" t="s">
        <v>1083</v>
      </c>
      <c r="JZ465" s="263" t="s">
        <v>30359</v>
      </c>
      <c r="KA465" s="263" t="s">
        <v>145</v>
      </c>
      <c r="KB465" s="263" t="s">
        <v>70</v>
      </c>
      <c r="KC465" s="263" t="s">
        <v>1083</v>
      </c>
      <c r="KE465" s="263" t="s">
        <v>30360</v>
      </c>
      <c r="KF465" s="263" t="s">
        <v>52</v>
      </c>
      <c r="KG465" s="263" t="s">
        <v>70</v>
      </c>
      <c r="KH465" s="263" t="s">
        <v>1083</v>
      </c>
      <c r="KJ465" s="263" t="s">
        <v>30361</v>
      </c>
      <c r="KK465" s="263" t="s">
        <v>52</v>
      </c>
      <c r="KL465" s="263" t="s">
        <v>74</v>
      </c>
      <c r="KM465" s="263" t="s">
        <v>34074</v>
      </c>
      <c r="KO465" s="214" t="s">
        <v>30362</v>
      </c>
      <c r="KP465" s="214" t="s">
        <v>145</v>
      </c>
      <c r="KQ465" s="214" t="s">
        <v>70</v>
      </c>
      <c r="KR465" s="214" t="s">
        <v>67</v>
      </c>
      <c r="KT465" s="22" t="s">
        <v>30363</v>
      </c>
      <c r="KU465" s="22" t="s">
        <v>145</v>
      </c>
      <c r="KV465" s="22" t="s">
        <v>70</v>
      </c>
      <c r="KW465" s="22" t="s">
        <v>67</v>
      </c>
      <c r="KY465" s="214" t="s">
        <v>30364</v>
      </c>
      <c r="KZ465" s="214" t="s">
        <v>52</v>
      </c>
      <c r="LA465" s="214" t="s">
        <v>74</v>
      </c>
      <c r="LB465" s="214" t="s">
        <v>67</v>
      </c>
      <c r="LD465" s="22" t="s">
        <v>30365</v>
      </c>
      <c r="LE465" s="22" t="s">
        <v>145</v>
      </c>
      <c r="LF465" s="22" t="s">
        <v>70</v>
      </c>
      <c r="LG465" s="22" t="s">
        <v>67</v>
      </c>
    </row>
    <row r="466" spans="1:319">
      <c r="A466" s="22" t="s">
        <v>30366</v>
      </c>
      <c r="B466" s="22" t="s">
        <v>145</v>
      </c>
      <c r="C466" s="22" t="s">
        <v>70</v>
      </c>
      <c r="D466" s="22" t="s">
        <v>67</v>
      </c>
      <c r="F466" s="72" t="s">
        <v>30367</v>
      </c>
      <c r="G466" s="22" t="s">
        <v>145</v>
      </c>
      <c r="H466" s="22" t="s">
        <v>70</v>
      </c>
      <c r="I466" s="22" t="s">
        <v>67</v>
      </c>
      <c r="K466" s="99" t="s">
        <v>30368</v>
      </c>
      <c r="L466" s="22" t="s">
        <v>145</v>
      </c>
      <c r="M466" s="22" t="s">
        <v>70</v>
      </c>
      <c r="N466" s="22" t="s">
        <v>67</v>
      </c>
      <c r="P466" s="230" t="s">
        <v>30369</v>
      </c>
      <c r="Q466" s="218" t="s">
        <v>145</v>
      </c>
      <c r="R466" s="218" t="s">
        <v>72</v>
      </c>
      <c r="S466" s="218" t="s">
        <v>34067</v>
      </c>
      <c r="U466" s="293" t="s">
        <v>30370</v>
      </c>
      <c r="V466" s="293" t="s">
        <v>145</v>
      </c>
      <c r="W466" s="293" t="s">
        <v>74</v>
      </c>
      <c r="X466" s="293" t="s">
        <v>656</v>
      </c>
      <c r="Z466" s="293" t="s">
        <v>30371</v>
      </c>
      <c r="AA466" s="293" t="s">
        <v>145</v>
      </c>
      <c r="AB466" s="293" t="s">
        <v>74</v>
      </c>
      <c r="AC466" s="293" t="s">
        <v>656</v>
      </c>
      <c r="AE466" s="293" t="s">
        <v>30372</v>
      </c>
      <c r="AF466" s="293" t="s">
        <v>145</v>
      </c>
      <c r="AG466" s="293" t="s">
        <v>74</v>
      </c>
      <c r="AH466" s="293" t="s">
        <v>656</v>
      </c>
      <c r="AJ466" s="293" t="s">
        <v>30373</v>
      </c>
      <c r="AK466" s="293" t="s">
        <v>145</v>
      </c>
      <c r="AL466" s="293" t="s">
        <v>74</v>
      </c>
      <c r="AM466" s="293" t="s">
        <v>656</v>
      </c>
      <c r="AO466" s="22" t="s">
        <v>30374</v>
      </c>
      <c r="AP466" s="22" t="s">
        <v>145</v>
      </c>
      <c r="AQ466" s="22" t="s">
        <v>70</v>
      </c>
      <c r="AR466" s="22" t="s">
        <v>67</v>
      </c>
      <c r="AT466" s="22" t="s">
        <v>30375</v>
      </c>
      <c r="AU466" s="22" t="s">
        <v>145</v>
      </c>
      <c r="AV466" s="22" t="s">
        <v>70</v>
      </c>
      <c r="AW466" s="22" t="s">
        <v>67</v>
      </c>
      <c r="AY466" s="22" t="s">
        <v>30376</v>
      </c>
      <c r="AZ466" s="22" t="s">
        <v>145</v>
      </c>
      <c r="BA466" s="22" t="s">
        <v>70</v>
      </c>
      <c r="BB466" s="22" t="s">
        <v>67</v>
      </c>
      <c r="BD466" s="22" t="s">
        <v>30377</v>
      </c>
      <c r="BE466" s="22" t="s">
        <v>145</v>
      </c>
      <c r="BF466" s="22" t="s">
        <v>70</v>
      </c>
      <c r="BG466" s="22" t="s">
        <v>67</v>
      </c>
      <c r="BI466" s="22" t="s">
        <v>30378</v>
      </c>
      <c r="BJ466" s="22" t="s">
        <v>145</v>
      </c>
      <c r="BK466" s="22" t="s">
        <v>70</v>
      </c>
      <c r="BL466" s="22" t="s">
        <v>67</v>
      </c>
      <c r="BN466" s="22" t="s">
        <v>30379</v>
      </c>
      <c r="BO466" s="22" t="s">
        <v>145</v>
      </c>
      <c r="BP466" s="22" t="s">
        <v>70</v>
      </c>
      <c r="BQ466" s="22" t="s">
        <v>67</v>
      </c>
      <c r="BS466" s="22" t="s">
        <v>30380</v>
      </c>
      <c r="BT466" s="22" t="s">
        <v>145</v>
      </c>
      <c r="BU466" s="22" t="s">
        <v>70</v>
      </c>
      <c r="BV466" s="214" t="s">
        <v>530</v>
      </c>
      <c r="BX466" s="22" t="s">
        <v>30381</v>
      </c>
      <c r="BY466" s="22" t="s">
        <v>145</v>
      </c>
      <c r="BZ466" s="22" t="s">
        <v>70</v>
      </c>
      <c r="CA466" s="214" t="s">
        <v>530</v>
      </c>
      <c r="CC466" s="214" t="s">
        <v>30382</v>
      </c>
      <c r="CD466" s="214" t="s">
        <v>164</v>
      </c>
      <c r="CE466" s="214" t="s">
        <v>70</v>
      </c>
      <c r="CF466" s="214" t="s">
        <v>530</v>
      </c>
      <c r="CH466" s="214" t="s">
        <v>30383</v>
      </c>
      <c r="CI466" s="214" t="s">
        <v>52</v>
      </c>
      <c r="CJ466" s="214" t="s">
        <v>70</v>
      </c>
      <c r="CK466" s="214" t="s">
        <v>530</v>
      </c>
      <c r="CM466" s="214" t="s">
        <v>30384</v>
      </c>
      <c r="CN466" s="214" t="s">
        <v>929</v>
      </c>
      <c r="CO466" s="214" t="s">
        <v>70</v>
      </c>
      <c r="CP466" s="214" t="s">
        <v>530</v>
      </c>
      <c r="CR466" s="214" t="s">
        <v>30385</v>
      </c>
      <c r="CS466" s="214" t="s">
        <v>34545</v>
      </c>
      <c r="CT466" s="214" t="s">
        <v>70</v>
      </c>
      <c r="CU466" s="214" t="s">
        <v>530</v>
      </c>
      <c r="CW466" s="214" t="s">
        <v>30386</v>
      </c>
      <c r="CX466" s="214" t="s">
        <v>34545</v>
      </c>
      <c r="CY466" s="214" t="s">
        <v>70</v>
      </c>
      <c r="CZ466" s="214" t="s">
        <v>530</v>
      </c>
      <c r="DB466" s="214" t="s">
        <v>30387</v>
      </c>
      <c r="DC466" s="214" t="s">
        <v>34545</v>
      </c>
      <c r="DD466" s="214" t="s">
        <v>70</v>
      </c>
      <c r="DE466" s="214" t="s">
        <v>530</v>
      </c>
      <c r="DG466" s="214" t="s">
        <v>30388</v>
      </c>
      <c r="DH466" s="214" t="s">
        <v>103</v>
      </c>
      <c r="DI466" s="214" t="s">
        <v>70</v>
      </c>
      <c r="DJ466" s="214" t="s">
        <v>530</v>
      </c>
      <c r="DL466" s="214" t="s">
        <v>30389</v>
      </c>
      <c r="DM466" s="214" t="s">
        <v>103</v>
      </c>
      <c r="DN466" s="214" t="s">
        <v>70</v>
      </c>
      <c r="DO466" s="214" t="s">
        <v>530</v>
      </c>
      <c r="DQ466" s="214" t="s">
        <v>30390</v>
      </c>
      <c r="DR466" s="214" t="s">
        <v>928</v>
      </c>
      <c r="DS466" s="214" t="s">
        <v>70</v>
      </c>
      <c r="DT466" s="214" t="s">
        <v>530</v>
      </c>
      <c r="DV466" s="214" t="s">
        <v>30391</v>
      </c>
      <c r="DW466" s="214" t="s">
        <v>90</v>
      </c>
      <c r="DX466" s="214" t="s">
        <v>70</v>
      </c>
      <c r="DY466" s="214" t="s">
        <v>530</v>
      </c>
      <c r="EA466" s="214" t="s">
        <v>30392</v>
      </c>
      <c r="EB466" s="214" t="s">
        <v>924</v>
      </c>
      <c r="EC466" s="214" t="s">
        <v>70</v>
      </c>
      <c r="ED466" s="214" t="s">
        <v>530</v>
      </c>
      <c r="EF466" s="214" t="s">
        <v>30393</v>
      </c>
      <c r="EG466" s="214" t="s">
        <v>34575</v>
      </c>
      <c r="EH466" s="214" t="s">
        <v>70</v>
      </c>
      <c r="EI466" s="214" t="s">
        <v>530</v>
      </c>
      <c r="EK466" s="214" t="s">
        <v>30394</v>
      </c>
      <c r="EL466" s="214" t="s">
        <v>603</v>
      </c>
      <c r="EM466" s="214" t="s">
        <v>70</v>
      </c>
      <c r="EN466" s="214" t="s">
        <v>530</v>
      </c>
      <c r="EP466" s="214" t="s">
        <v>30395</v>
      </c>
      <c r="EQ466" s="214" t="s">
        <v>164</v>
      </c>
      <c r="ER466" s="214" t="s">
        <v>70</v>
      </c>
      <c r="ES466" s="214" t="s">
        <v>530</v>
      </c>
      <c r="EU466" s="214" t="s">
        <v>30396</v>
      </c>
      <c r="EV466" s="214" t="s">
        <v>34593</v>
      </c>
      <c r="EW466" s="214" t="s">
        <v>70</v>
      </c>
      <c r="EX466" s="214" t="s">
        <v>530</v>
      </c>
      <c r="EZ466" s="214" t="s">
        <v>30397</v>
      </c>
      <c r="FA466" s="214" t="s">
        <v>502</v>
      </c>
      <c r="FB466" s="214" t="s">
        <v>70</v>
      </c>
      <c r="FC466" s="214" t="s">
        <v>530</v>
      </c>
      <c r="FE466" s="214" t="s">
        <v>30398</v>
      </c>
      <c r="FF466" s="214" t="s">
        <v>92</v>
      </c>
      <c r="FG466" s="214" t="s">
        <v>70</v>
      </c>
      <c r="FH466" s="214" t="s">
        <v>530</v>
      </c>
      <c r="FJ466" s="321" t="s">
        <v>30399</v>
      </c>
      <c r="FK466" s="214" t="s">
        <v>89</v>
      </c>
      <c r="FL466" s="214" t="s">
        <v>70</v>
      </c>
      <c r="FM466" s="214" t="s">
        <v>530</v>
      </c>
      <c r="FO466" s="321" t="s">
        <v>30400</v>
      </c>
      <c r="FP466" s="214" t="s">
        <v>163</v>
      </c>
      <c r="FQ466" s="214" t="s">
        <v>70</v>
      </c>
      <c r="FR466" s="214" t="s">
        <v>530</v>
      </c>
      <c r="FT466" s="321" t="s">
        <v>30401</v>
      </c>
      <c r="FU466" s="214" t="s">
        <v>34618</v>
      </c>
      <c r="FV466" s="214" t="s">
        <v>70</v>
      </c>
      <c r="FW466" s="214" t="s">
        <v>530</v>
      </c>
      <c r="FY466" s="321" t="s">
        <v>30402</v>
      </c>
      <c r="FZ466" s="214" t="s">
        <v>947</v>
      </c>
      <c r="GA466" s="214" t="s">
        <v>70</v>
      </c>
      <c r="GB466" s="214" t="s">
        <v>530</v>
      </c>
      <c r="GD466" s="321" t="s">
        <v>30403</v>
      </c>
      <c r="GE466" s="214" t="s">
        <v>164</v>
      </c>
      <c r="GF466" s="214" t="s">
        <v>70</v>
      </c>
      <c r="GG466" s="214" t="s">
        <v>530</v>
      </c>
      <c r="GI466" s="321" t="s">
        <v>30404</v>
      </c>
      <c r="GJ466" s="214" t="s">
        <v>52</v>
      </c>
      <c r="GK466" s="214" t="s">
        <v>70</v>
      </c>
      <c r="GL466" s="214" t="s">
        <v>530</v>
      </c>
      <c r="GN466" s="321" t="s">
        <v>30405</v>
      </c>
      <c r="GO466" s="214" t="s">
        <v>148</v>
      </c>
      <c r="GP466" s="214" t="s">
        <v>70</v>
      </c>
      <c r="GQ466" s="214" t="s">
        <v>530</v>
      </c>
      <c r="GS466" s="321" t="s">
        <v>30406</v>
      </c>
      <c r="GT466" s="214" t="s">
        <v>52</v>
      </c>
      <c r="GU466" s="214" t="s">
        <v>70</v>
      </c>
      <c r="GV466" s="214" t="s">
        <v>530</v>
      </c>
      <c r="GX466" s="214" t="s">
        <v>30407</v>
      </c>
      <c r="GY466" s="214" t="s">
        <v>88</v>
      </c>
      <c r="GZ466" s="214" t="s">
        <v>70</v>
      </c>
      <c r="HA466" s="214" t="s">
        <v>530</v>
      </c>
      <c r="HC466" s="214" t="s">
        <v>30408</v>
      </c>
      <c r="HD466" s="214" t="s">
        <v>34574</v>
      </c>
      <c r="HE466" s="214" t="s">
        <v>70</v>
      </c>
      <c r="HF466" s="214" t="s">
        <v>530</v>
      </c>
      <c r="HH466" s="214" t="s">
        <v>30409</v>
      </c>
      <c r="HI466" s="214" t="s">
        <v>34604</v>
      </c>
      <c r="HJ466" s="214" t="s">
        <v>70</v>
      </c>
      <c r="HK466" s="214" t="s">
        <v>530</v>
      </c>
      <c r="HM466" s="214" t="s">
        <v>30410</v>
      </c>
      <c r="HN466" s="214" t="s">
        <v>499</v>
      </c>
      <c r="HO466" s="214" t="s">
        <v>70</v>
      </c>
      <c r="HP466" s="214" t="s">
        <v>530</v>
      </c>
      <c r="HR466" s="22" t="s">
        <v>30411</v>
      </c>
      <c r="HS466" s="22" t="s">
        <v>148</v>
      </c>
      <c r="HT466" s="22" t="s">
        <v>70</v>
      </c>
      <c r="HU466" s="214" t="s">
        <v>530</v>
      </c>
      <c r="HW466" s="22" t="s">
        <v>30412</v>
      </c>
      <c r="HX466" s="22" t="s">
        <v>490</v>
      </c>
      <c r="HY466" s="22" t="s">
        <v>70</v>
      </c>
      <c r="HZ466" s="214" t="s">
        <v>530</v>
      </c>
      <c r="IB466" s="22" t="s">
        <v>30413</v>
      </c>
      <c r="IC466" s="22" t="s">
        <v>34405</v>
      </c>
      <c r="ID466" s="22" t="s">
        <v>70</v>
      </c>
      <c r="IE466" s="214" t="s">
        <v>530</v>
      </c>
      <c r="IG466" s="22" t="s">
        <v>30414</v>
      </c>
      <c r="IH466" s="22" t="s">
        <v>52</v>
      </c>
      <c r="II466" s="22" t="s">
        <v>70</v>
      </c>
      <c r="IJ466" s="214" t="s">
        <v>530</v>
      </c>
      <c r="IL466" s="22" t="s">
        <v>30415</v>
      </c>
      <c r="IM466" s="22" t="s">
        <v>145</v>
      </c>
      <c r="IN466" s="22" t="s">
        <v>70</v>
      </c>
      <c r="IO466" s="214" t="s">
        <v>530</v>
      </c>
      <c r="IQ466" s="236" t="s">
        <v>30416</v>
      </c>
      <c r="IR466" s="236" t="s">
        <v>145</v>
      </c>
      <c r="IS466" s="236" t="s">
        <v>74</v>
      </c>
      <c r="IT466" s="236" t="s">
        <v>841</v>
      </c>
      <c r="IV466" s="236" t="s">
        <v>30417</v>
      </c>
      <c r="IW466" s="236" t="s">
        <v>145</v>
      </c>
      <c r="IX466" s="236" t="s">
        <v>74</v>
      </c>
      <c r="IY466" s="236" t="s">
        <v>841</v>
      </c>
      <c r="JA466" s="236" t="s">
        <v>30418</v>
      </c>
      <c r="JB466" s="236" t="s">
        <v>145</v>
      </c>
      <c r="JC466" s="236" t="s">
        <v>74</v>
      </c>
      <c r="JD466" s="236" t="s">
        <v>841</v>
      </c>
      <c r="JF466" s="236" t="s">
        <v>30419</v>
      </c>
      <c r="JG466" s="236" t="s">
        <v>145</v>
      </c>
      <c r="JH466" s="236" t="s">
        <v>74</v>
      </c>
      <c r="JI466" s="236" t="s">
        <v>841</v>
      </c>
      <c r="JK466" s="236" t="s">
        <v>30420</v>
      </c>
      <c r="JL466" s="236" t="s">
        <v>145</v>
      </c>
      <c r="JM466" s="236" t="s">
        <v>74</v>
      </c>
      <c r="JN466" s="236" t="s">
        <v>841</v>
      </c>
      <c r="JP466" s="236" t="s">
        <v>30421</v>
      </c>
      <c r="JQ466" s="236" t="s">
        <v>145</v>
      </c>
      <c r="JR466" s="236" t="s">
        <v>74</v>
      </c>
      <c r="JS466" s="236" t="s">
        <v>841</v>
      </c>
      <c r="JU466" s="294" t="s">
        <v>30422</v>
      </c>
      <c r="JV466" s="294" t="s">
        <v>52</v>
      </c>
      <c r="JW466" s="263" t="s">
        <v>70</v>
      </c>
      <c r="JX466" s="294" t="s">
        <v>1083</v>
      </c>
      <c r="JZ466" s="263" t="s">
        <v>30423</v>
      </c>
      <c r="KA466" s="263" t="s">
        <v>145</v>
      </c>
      <c r="KB466" s="263" t="s">
        <v>70</v>
      </c>
      <c r="KC466" s="263" t="s">
        <v>1083</v>
      </c>
      <c r="KE466" s="263" t="s">
        <v>30424</v>
      </c>
      <c r="KF466" s="263" t="s">
        <v>52</v>
      </c>
      <c r="KG466" s="263" t="s">
        <v>70</v>
      </c>
      <c r="KH466" s="263" t="s">
        <v>1083</v>
      </c>
      <c r="KJ466" s="263" t="s">
        <v>30425</v>
      </c>
      <c r="KK466" s="263" t="s">
        <v>52</v>
      </c>
      <c r="KL466" s="263" t="s">
        <v>74</v>
      </c>
      <c r="KM466" s="263" t="s">
        <v>34074</v>
      </c>
      <c r="KO466" s="214" t="s">
        <v>30426</v>
      </c>
      <c r="KP466" s="214" t="s">
        <v>145</v>
      </c>
      <c r="KQ466" s="214" t="s">
        <v>70</v>
      </c>
      <c r="KR466" s="214" t="s">
        <v>67</v>
      </c>
      <c r="KT466" s="22" t="s">
        <v>30427</v>
      </c>
      <c r="KU466" s="22" t="s">
        <v>145</v>
      </c>
      <c r="KV466" s="22" t="s">
        <v>70</v>
      </c>
      <c r="KW466" s="22" t="s">
        <v>67</v>
      </c>
      <c r="KY466" s="214" t="s">
        <v>30428</v>
      </c>
      <c r="KZ466" s="214" t="s">
        <v>52</v>
      </c>
      <c r="LA466" s="214" t="s">
        <v>74</v>
      </c>
      <c r="LB466" s="214" t="s">
        <v>67</v>
      </c>
      <c r="LD466" s="22" t="s">
        <v>30429</v>
      </c>
      <c r="LE466" s="22" t="s">
        <v>145</v>
      </c>
      <c r="LF466" s="22" t="s">
        <v>70</v>
      </c>
      <c r="LG466" s="22" t="s">
        <v>67</v>
      </c>
    </row>
    <row r="467" spans="1:319">
      <c r="A467" s="22" t="s">
        <v>30430</v>
      </c>
      <c r="B467" s="22" t="s">
        <v>145</v>
      </c>
      <c r="C467" s="22" t="s">
        <v>70</v>
      </c>
      <c r="D467" s="22" t="s">
        <v>67</v>
      </c>
      <c r="F467" s="72" t="s">
        <v>30431</v>
      </c>
      <c r="G467" s="22" t="s">
        <v>145</v>
      </c>
      <c r="H467" s="22" t="s">
        <v>70</v>
      </c>
      <c r="I467" s="22" t="s">
        <v>67</v>
      </c>
      <c r="K467" s="99" t="s">
        <v>30432</v>
      </c>
      <c r="L467" s="22" t="s">
        <v>145</v>
      </c>
      <c r="M467" s="22" t="s">
        <v>70</v>
      </c>
      <c r="N467" s="22" t="s">
        <v>67</v>
      </c>
      <c r="P467" s="230" t="s">
        <v>30433</v>
      </c>
      <c r="Q467" s="218" t="s">
        <v>145</v>
      </c>
      <c r="R467" s="218" t="s">
        <v>72</v>
      </c>
      <c r="S467" s="218" t="s">
        <v>34068</v>
      </c>
      <c r="U467" s="293" t="s">
        <v>30434</v>
      </c>
      <c r="V467" s="293" t="s">
        <v>145</v>
      </c>
      <c r="W467" s="293" t="s">
        <v>74</v>
      </c>
      <c r="X467" s="293" t="s">
        <v>656</v>
      </c>
      <c r="Z467" s="293" t="s">
        <v>30435</v>
      </c>
      <c r="AA467" s="293" t="s">
        <v>145</v>
      </c>
      <c r="AB467" s="293" t="s">
        <v>74</v>
      </c>
      <c r="AC467" s="293" t="s">
        <v>656</v>
      </c>
      <c r="AE467" s="293" t="s">
        <v>30436</v>
      </c>
      <c r="AF467" s="293" t="s">
        <v>145</v>
      </c>
      <c r="AG467" s="293" t="s">
        <v>74</v>
      </c>
      <c r="AH467" s="293" t="s">
        <v>656</v>
      </c>
      <c r="AJ467" s="293" t="s">
        <v>30437</v>
      </c>
      <c r="AK467" s="293" t="s">
        <v>145</v>
      </c>
      <c r="AL467" s="293" t="s">
        <v>74</v>
      </c>
      <c r="AM467" s="293" t="s">
        <v>656</v>
      </c>
      <c r="AO467" s="22" t="s">
        <v>30438</v>
      </c>
      <c r="AP467" s="22" t="s">
        <v>145</v>
      </c>
      <c r="AQ467" s="22" t="s">
        <v>70</v>
      </c>
      <c r="AR467" s="22" t="s">
        <v>67</v>
      </c>
      <c r="AT467" s="22" t="s">
        <v>30439</v>
      </c>
      <c r="AU467" s="22" t="s">
        <v>145</v>
      </c>
      <c r="AV467" s="22" t="s">
        <v>70</v>
      </c>
      <c r="AW467" s="22" t="s">
        <v>67</v>
      </c>
      <c r="AY467" s="22" t="s">
        <v>30440</v>
      </c>
      <c r="AZ467" s="22" t="s">
        <v>145</v>
      </c>
      <c r="BA467" s="22" t="s">
        <v>70</v>
      </c>
      <c r="BB467" s="22" t="s">
        <v>67</v>
      </c>
      <c r="BD467" s="22" t="s">
        <v>30441</v>
      </c>
      <c r="BE467" s="22" t="s">
        <v>145</v>
      </c>
      <c r="BF467" s="22" t="s">
        <v>70</v>
      </c>
      <c r="BG467" s="22" t="s">
        <v>67</v>
      </c>
      <c r="BI467" s="22" t="s">
        <v>30442</v>
      </c>
      <c r="BJ467" s="22" t="s">
        <v>145</v>
      </c>
      <c r="BK467" s="22" t="s">
        <v>70</v>
      </c>
      <c r="BL467" s="22" t="s">
        <v>67</v>
      </c>
      <c r="BN467" s="22" t="s">
        <v>30443</v>
      </c>
      <c r="BO467" s="22" t="s">
        <v>145</v>
      </c>
      <c r="BP467" s="22" t="s">
        <v>70</v>
      </c>
      <c r="BQ467" s="22" t="s">
        <v>67</v>
      </c>
      <c r="BS467" s="22" t="s">
        <v>30444</v>
      </c>
      <c r="BT467" s="22" t="s">
        <v>145</v>
      </c>
      <c r="BU467" s="22" t="s">
        <v>70</v>
      </c>
      <c r="BV467" s="214" t="s">
        <v>530</v>
      </c>
      <c r="BX467" s="22" t="s">
        <v>30445</v>
      </c>
      <c r="BY467" s="22" t="s">
        <v>145</v>
      </c>
      <c r="BZ467" s="22" t="s">
        <v>70</v>
      </c>
      <c r="CA467" s="214" t="s">
        <v>530</v>
      </c>
      <c r="CC467" s="214" t="s">
        <v>30446</v>
      </c>
      <c r="CD467" s="214" t="s">
        <v>34544</v>
      </c>
      <c r="CE467" s="214" t="s">
        <v>70</v>
      </c>
      <c r="CF467" s="214" t="s">
        <v>530</v>
      </c>
      <c r="CH467" s="214" t="s">
        <v>30447</v>
      </c>
      <c r="CI467" s="214" t="s">
        <v>52</v>
      </c>
      <c r="CJ467" s="214" t="s">
        <v>70</v>
      </c>
      <c r="CK467" s="214" t="s">
        <v>530</v>
      </c>
      <c r="CM467" s="214" t="s">
        <v>30448</v>
      </c>
      <c r="CN467" s="214" t="s">
        <v>491</v>
      </c>
      <c r="CO467" s="214" t="s">
        <v>70</v>
      </c>
      <c r="CP467" s="214" t="s">
        <v>530</v>
      </c>
      <c r="CR467" s="214" t="s">
        <v>30449</v>
      </c>
      <c r="CS467" s="214" t="s">
        <v>34551</v>
      </c>
      <c r="CT467" s="214" t="s">
        <v>70</v>
      </c>
      <c r="CU467" s="214" t="s">
        <v>530</v>
      </c>
      <c r="CW467" s="214" t="s">
        <v>30450</v>
      </c>
      <c r="CX467" s="214" t="s">
        <v>34551</v>
      </c>
      <c r="CY467" s="214" t="s">
        <v>70</v>
      </c>
      <c r="CZ467" s="214" t="s">
        <v>530</v>
      </c>
      <c r="DB467" s="214" t="s">
        <v>30451</v>
      </c>
      <c r="DC467" s="214" t="s">
        <v>34561</v>
      </c>
      <c r="DD467" s="214" t="s">
        <v>70</v>
      </c>
      <c r="DE467" s="214" t="s">
        <v>530</v>
      </c>
      <c r="DG467" s="214" t="s">
        <v>30452</v>
      </c>
      <c r="DH467" s="214" t="s">
        <v>34562</v>
      </c>
      <c r="DI467" s="214" t="s">
        <v>70</v>
      </c>
      <c r="DJ467" s="214" t="s">
        <v>530</v>
      </c>
      <c r="DL467" s="214" t="s">
        <v>30453</v>
      </c>
      <c r="DM467" s="214" t="s">
        <v>484</v>
      </c>
      <c r="DN467" s="214" t="s">
        <v>70</v>
      </c>
      <c r="DO467" s="214" t="s">
        <v>530</v>
      </c>
      <c r="DQ467" s="214" t="s">
        <v>30454</v>
      </c>
      <c r="DR467" s="214" t="s">
        <v>486</v>
      </c>
      <c r="DS467" s="214" t="s">
        <v>70</v>
      </c>
      <c r="DT467" s="214" t="s">
        <v>530</v>
      </c>
      <c r="DV467" s="214" t="s">
        <v>30455</v>
      </c>
      <c r="DW467" s="214" t="s">
        <v>502</v>
      </c>
      <c r="DX467" s="214" t="s">
        <v>70</v>
      </c>
      <c r="DY467" s="214" t="s">
        <v>530</v>
      </c>
      <c r="EA467" s="214" t="s">
        <v>30456</v>
      </c>
      <c r="EB467" s="214" t="s">
        <v>146</v>
      </c>
      <c r="EC467" s="214" t="s">
        <v>70</v>
      </c>
      <c r="ED467" s="214" t="s">
        <v>530</v>
      </c>
      <c r="EF467" s="214" t="s">
        <v>30457</v>
      </c>
      <c r="EG467" s="214" t="s">
        <v>34516</v>
      </c>
      <c r="EH467" s="214" t="s">
        <v>70</v>
      </c>
      <c r="EI467" s="214" t="s">
        <v>530</v>
      </c>
      <c r="EK467" s="214" t="s">
        <v>30458</v>
      </c>
      <c r="EL467" s="214" t="s">
        <v>34556</v>
      </c>
      <c r="EM467" s="214" t="s">
        <v>70</v>
      </c>
      <c r="EN467" s="214" t="s">
        <v>530</v>
      </c>
      <c r="EP467" s="214" t="s">
        <v>30459</v>
      </c>
      <c r="EQ467" s="214" t="s">
        <v>34558</v>
      </c>
      <c r="ER467" s="214" t="s">
        <v>70</v>
      </c>
      <c r="ES467" s="214" t="s">
        <v>530</v>
      </c>
      <c r="EU467" s="214" t="s">
        <v>30460</v>
      </c>
      <c r="EV467" s="214" t="s">
        <v>937</v>
      </c>
      <c r="EW467" s="214" t="s">
        <v>70</v>
      </c>
      <c r="EX467" s="214" t="s">
        <v>530</v>
      </c>
      <c r="EZ467" s="214" t="s">
        <v>30461</v>
      </c>
      <c r="FA467" s="214" t="s">
        <v>146</v>
      </c>
      <c r="FB467" s="214" t="s">
        <v>70</v>
      </c>
      <c r="FC467" s="214" t="s">
        <v>530</v>
      </c>
      <c r="FE467" s="214" t="s">
        <v>30462</v>
      </c>
      <c r="FF467" s="214" t="s">
        <v>500</v>
      </c>
      <c r="FG467" s="214" t="s">
        <v>70</v>
      </c>
      <c r="FH467" s="214" t="s">
        <v>530</v>
      </c>
      <c r="FJ467" s="321" t="s">
        <v>30463</v>
      </c>
      <c r="FK467" s="214" t="s">
        <v>52</v>
      </c>
      <c r="FL467" s="214" t="s">
        <v>70</v>
      </c>
      <c r="FM467" s="214" t="s">
        <v>530</v>
      </c>
      <c r="FO467" s="321" t="s">
        <v>30464</v>
      </c>
      <c r="FP467" s="214" t="s">
        <v>485</v>
      </c>
      <c r="FQ467" s="214" t="s">
        <v>70</v>
      </c>
      <c r="FR467" s="214" t="s">
        <v>530</v>
      </c>
      <c r="FT467" s="321" t="s">
        <v>30465</v>
      </c>
      <c r="FU467" s="214" t="s">
        <v>503</v>
      </c>
      <c r="FV467" s="214" t="s">
        <v>70</v>
      </c>
      <c r="FW467" s="214" t="s">
        <v>530</v>
      </c>
      <c r="FY467" s="321" t="s">
        <v>30466</v>
      </c>
      <c r="FZ467" s="214" t="s">
        <v>518</v>
      </c>
      <c r="GA467" s="214" t="s">
        <v>70</v>
      </c>
      <c r="GB467" s="214" t="s">
        <v>530</v>
      </c>
      <c r="GD467" s="321" t="s">
        <v>30467</v>
      </c>
      <c r="GE467" s="214" t="s">
        <v>955</v>
      </c>
      <c r="GF467" s="214" t="s">
        <v>70</v>
      </c>
      <c r="GG467" s="214" t="s">
        <v>530</v>
      </c>
      <c r="GI467" s="321" t="s">
        <v>30468</v>
      </c>
      <c r="GJ467" s="214" t="s">
        <v>468</v>
      </c>
      <c r="GK467" s="214" t="s">
        <v>70</v>
      </c>
      <c r="GL467" s="214" t="s">
        <v>530</v>
      </c>
      <c r="GN467" s="321" t="s">
        <v>30469</v>
      </c>
      <c r="GO467" s="214" t="s">
        <v>34558</v>
      </c>
      <c r="GP467" s="214" t="s">
        <v>70</v>
      </c>
      <c r="GQ467" s="214" t="s">
        <v>530</v>
      </c>
      <c r="GS467" s="321" t="s">
        <v>30470</v>
      </c>
      <c r="GT467" s="214" t="s">
        <v>485</v>
      </c>
      <c r="GU467" s="214" t="s">
        <v>70</v>
      </c>
      <c r="GV467" s="214" t="s">
        <v>530</v>
      </c>
      <c r="GX467" s="214" t="s">
        <v>30471</v>
      </c>
      <c r="GY467" s="214" t="s">
        <v>484</v>
      </c>
      <c r="GZ467" s="214" t="s">
        <v>70</v>
      </c>
      <c r="HA467" s="214" t="s">
        <v>530</v>
      </c>
      <c r="HC467" s="214" t="s">
        <v>30472</v>
      </c>
      <c r="HD467" s="214" t="s">
        <v>488</v>
      </c>
      <c r="HE467" s="214" t="s">
        <v>70</v>
      </c>
      <c r="HF467" s="214" t="s">
        <v>530</v>
      </c>
      <c r="HH467" s="214" t="s">
        <v>30473</v>
      </c>
      <c r="HI467" s="214" t="s">
        <v>484</v>
      </c>
      <c r="HJ467" s="214" t="s">
        <v>70</v>
      </c>
      <c r="HK467" s="214" t="s">
        <v>530</v>
      </c>
      <c r="HM467" s="214" t="s">
        <v>30474</v>
      </c>
      <c r="HN467" s="214" t="s">
        <v>939</v>
      </c>
      <c r="HO467" s="214" t="s">
        <v>70</v>
      </c>
      <c r="HP467" s="214" t="s">
        <v>530</v>
      </c>
      <c r="HR467" s="22" t="s">
        <v>30475</v>
      </c>
      <c r="HS467" s="22" t="s">
        <v>950</v>
      </c>
      <c r="HT467" s="22" t="s">
        <v>70</v>
      </c>
      <c r="HU467" s="214" t="s">
        <v>530</v>
      </c>
      <c r="HW467" s="22" t="s">
        <v>30476</v>
      </c>
      <c r="HX467" s="22" t="s">
        <v>482</v>
      </c>
      <c r="HY467" s="22" t="s">
        <v>70</v>
      </c>
      <c r="HZ467" s="214" t="s">
        <v>530</v>
      </c>
      <c r="IB467" s="22" t="s">
        <v>30477</v>
      </c>
      <c r="IC467" s="22" t="s">
        <v>34541</v>
      </c>
      <c r="ID467" s="22" t="s">
        <v>70</v>
      </c>
      <c r="IE467" s="214" t="s">
        <v>530</v>
      </c>
      <c r="IG467" s="22" t="s">
        <v>30478</v>
      </c>
      <c r="IH467" s="22" t="s">
        <v>52</v>
      </c>
      <c r="II467" s="22" t="s">
        <v>70</v>
      </c>
      <c r="IJ467" s="214" t="s">
        <v>530</v>
      </c>
      <c r="IL467" s="22" t="s">
        <v>30479</v>
      </c>
      <c r="IM467" s="22" t="s">
        <v>145</v>
      </c>
      <c r="IN467" s="22" t="s">
        <v>70</v>
      </c>
      <c r="IO467" s="214" t="s">
        <v>530</v>
      </c>
      <c r="IQ467" s="236" t="s">
        <v>30480</v>
      </c>
      <c r="IR467" s="236" t="s">
        <v>145</v>
      </c>
      <c r="IS467" s="236" t="s">
        <v>74</v>
      </c>
      <c r="IT467" s="236" t="s">
        <v>841</v>
      </c>
      <c r="IV467" s="236" t="s">
        <v>30481</v>
      </c>
      <c r="IW467" s="236" t="s">
        <v>145</v>
      </c>
      <c r="IX467" s="236" t="s">
        <v>74</v>
      </c>
      <c r="IY467" s="236" t="s">
        <v>841</v>
      </c>
      <c r="JA467" s="236" t="s">
        <v>30482</v>
      </c>
      <c r="JB467" s="236" t="s">
        <v>145</v>
      </c>
      <c r="JC467" s="236" t="s">
        <v>74</v>
      </c>
      <c r="JD467" s="236" t="s">
        <v>841</v>
      </c>
      <c r="JF467" s="236" t="s">
        <v>30483</v>
      </c>
      <c r="JG467" s="236" t="s">
        <v>145</v>
      </c>
      <c r="JH467" s="236" t="s">
        <v>74</v>
      </c>
      <c r="JI467" s="236" t="s">
        <v>841</v>
      </c>
      <c r="JK467" s="236" t="s">
        <v>30484</v>
      </c>
      <c r="JL467" s="236" t="s">
        <v>145</v>
      </c>
      <c r="JM467" s="236" t="s">
        <v>74</v>
      </c>
      <c r="JN467" s="236" t="s">
        <v>841</v>
      </c>
      <c r="JP467" s="236" t="s">
        <v>30485</v>
      </c>
      <c r="JQ467" s="236" t="s">
        <v>145</v>
      </c>
      <c r="JR467" s="236" t="s">
        <v>74</v>
      </c>
      <c r="JS467" s="236" t="s">
        <v>841</v>
      </c>
      <c r="JU467" s="294" t="s">
        <v>30486</v>
      </c>
      <c r="JV467" s="294" t="s">
        <v>52</v>
      </c>
      <c r="JW467" s="263" t="s">
        <v>70</v>
      </c>
      <c r="JX467" s="294" t="s">
        <v>1083</v>
      </c>
      <c r="JZ467" s="263" t="s">
        <v>30487</v>
      </c>
      <c r="KA467" s="263" t="s">
        <v>145</v>
      </c>
      <c r="KB467" s="263" t="s">
        <v>70</v>
      </c>
      <c r="KC467" s="263" t="s">
        <v>1083</v>
      </c>
      <c r="KE467" s="263" t="s">
        <v>30488</v>
      </c>
      <c r="KF467" s="263" t="s">
        <v>52</v>
      </c>
      <c r="KG467" s="263" t="s">
        <v>70</v>
      </c>
      <c r="KH467" s="263" t="s">
        <v>1083</v>
      </c>
      <c r="KJ467" s="263" t="s">
        <v>30489</v>
      </c>
      <c r="KK467" s="263" t="s">
        <v>52</v>
      </c>
      <c r="KL467" s="263" t="s">
        <v>74</v>
      </c>
      <c r="KM467" s="263" t="s">
        <v>34074</v>
      </c>
      <c r="KO467" s="214" t="s">
        <v>30490</v>
      </c>
      <c r="KP467" s="214" t="s">
        <v>145</v>
      </c>
      <c r="KQ467" s="214" t="s">
        <v>70</v>
      </c>
      <c r="KR467" s="214" t="s">
        <v>67</v>
      </c>
      <c r="KT467" s="22" t="s">
        <v>30491</v>
      </c>
      <c r="KU467" s="22" t="s">
        <v>145</v>
      </c>
      <c r="KV467" s="22" t="s">
        <v>70</v>
      </c>
      <c r="KW467" s="22" t="s">
        <v>67</v>
      </c>
      <c r="KY467" s="214" t="s">
        <v>30492</v>
      </c>
      <c r="KZ467" s="214" t="s">
        <v>52</v>
      </c>
      <c r="LA467" s="214" t="s">
        <v>74</v>
      </c>
      <c r="LB467" s="214" t="s">
        <v>67</v>
      </c>
      <c r="LD467" s="22" t="s">
        <v>30493</v>
      </c>
      <c r="LE467" s="22" t="s">
        <v>145</v>
      </c>
      <c r="LF467" s="22" t="s">
        <v>70</v>
      </c>
      <c r="LG467" s="22" t="s">
        <v>67</v>
      </c>
    </row>
    <row r="468" spans="1:319">
      <c r="A468" s="22" t="s">
        <v>30494</v>
      </c>
      <c r="B468" s="22" t="s">
        <v>145</v>
      </c>
      <c r="C468" s="22" t="s">
        <v>70</v>
      </c>
      <c r="D468" s="22" t="s">
        <v>67</v>
      </c>
      <c r="F468" s="73" t="s">
        <v>30495</v>
      </c>
      <c r="G468" s="22" t="s">
        <v>145</v>
      </c>
      <c r="H468" s="22" t="s">
        <v>70</v>
      </c>
      <c r="I468" s="22" t="s">
        <v>67</v>
      </c>
      <c r="K468" s="99" t="s">
        <v>30496</v>
      </c>
      <c r="L468" s="22" t="s">
        <v>145</v>
      </c>
      <c r="M468" s="22" t="s">
        <v>70</v>
      </c>
      <c r="N468" s="22" t="s">
        <v>67</v>
      </c>
      <c r="P468" s="230" t="s">
        <v>30497</v>
      </c>
      <c r="Q468" s="218" t="s">
        <v>145</v>
      </c>
      <c r="R468" s="218" t="s">
        <v>72</v>
      </c>
      <c r="S468" s="218" t="s">
        <v>34069</v>
      </c>
      <c r="U468" s="293" t="s">
        <v>30498</v>
      </c>
      <c r="V468" s="293" t="s">
        <v>145</v>
      </c>
      <c r="W468" s="293" t="s">
        <v>74</v>
      </c>
      <c r="X468" s="293" t="s">
        <v>656</v>
      </c>
      <c r="Z468" s="293" t="s">
        <v>30499</v>
      </c>
      <c r="AA468" s="293" t="s">
        <v>145</v>
      </c>
      <c r="AB468" s="293" t="s">
        <v>74</v>
      </c>
      <c r="AC468" s="293" t="s">
        <v>656</v>
      </c>
      <c r="AE468" s="293" t="s">
        <v>30500</v>
      </c>
      <c r="AF468" s="293" t="s">
        <v>145</v>
      </c>
      <c r="AG468" s="293" t="s">
        <v>74</v>
      </c>
      <c r="AH468" s="293" t="s">
        <v>656</v>
      </c>
      <c r="AJ468" s="293" t="s">
        <v>30501</v>
      </c>
      <c r="AK468" s="293" t="s">
        <v>145</v>
      </c>
      <c r="AL468" s="293" t="s">
        <v>74</v>
      </c>
      <c r="AM468" s="293" t="s">
        <v>656</v>
      </c>
      <c r="AO468" s="22" t="s">
        <v>30502</v>
      </c>
      <c r="AP468" s="22" t="s">
        <v>145</v>
      </c>
      <c r="AQ468" s="22" t="s">
        <v>70</v>
      </c>
      <c r="AR468" s="22" t="s">
        <v>67</v>
      </c>
      <c r="AT468" s="22" t="s">
        <v>30503</v>
      </c>
      <c r="AU468" s="22" t="s">
        <v>145</v>
      </c>
      <c r="AV468" s="22" t="s">
        <v>70</v>
      </c>
      <c r="AW468" s="22" t="s">
        <v>67</v>
      </c>
      <c r="AY468" s="22" t="s">
        <v>30504</v>
      </c>
      <c r="AZ468" s="22" t="s">
        <v>145</v>
      </c>
      <c r="BA468" s="22" t="s">
        <v>70</v>
      </c>
      <c r="BB468" s="22" t="s">
        <v>67</v>
      </c>
      <c r="BD468" s="22" t="s">
        <v>30505</v>
      </c>
      <c r="BE468" s="22" t="s">
        <v>145</v>
      </c>
      <c r="BF468" s="22" t="s">
        <v>70</v>
      </c>
      <c r="BG468" s="22" t="s">
        <v>67</v>
      </c>
      <c r="BI468" s="22" t="s">
        <v>30506</v>
      </c>
      <c r="BJ468" s="22" t="s">
        <v>145</v>
      </c>
      <c r="BK468" s="22" t="s">
        <v>70</v>
      </c>
      <c r="BL468" s="22" t="s">
        <v>67</v>
      </c>
      <c r="BN468" s="22" t="s">
        <v>30507</v>
      </c>
      <c r="BO468" s="22" t="s">
        <v>145</v>
      </c>
      <c r="BP468" s="22" t="s">
        <v>70</v>
      </c>
      <c r="BQ468" s="22" t="s">
        <v>67</v>
      </c>
      <c r="BS468" s="22" t="s">
        <v>30508</v>
      </c>
      <c r="BT468" s="22" t="s">
        <v>145</v>
      </c>
      <c r="BU468" s="22" t="s">
        <v>70</v>
      </c>
      <c r="BV468" s="214" t="s">
        <v>530</v>
      </c>
      <c r="BX468" s="22" t="s">
        <v>30509</v>
      </c>
      <c r="BY468" s="22" t="s">
        <v>145</v>
      </c>
      <c r="BZ468" s="22" t="s">
        <v>70</v>
      </c>
      <c r="CA468" s="214" t="s">
        <v>530</v>
      </c>
      <c r="CC468" s="214" t="s">
        <v>30510</v>
      </c>
      <c r="CD468" s="214" t="s">
        <v>88</v>
      </c>
      <c r="CE468" s="214" t="s">
        <v>70</v>
      </c>
      <c r="CF468" s="214" t="s">
        <v>530</v>
      </c>
      <c r="CH468" s="214" t="s">
        <v>30511</v>
      </c>
      <c r="CI468" s="214" t="s">
        <v>164</v>
      </c>
      <c r="CJ468" s="214" t="s">
        <v>70</v>
      </c>
      <c r="CK468" s="214" t="s">
        <v>530</v>
      </c>
      <c r="CM468" s="214" t="s">
        <v>30512</v>
      </c>
      <c r="CN468" s="214" t="s">
        <v>488</v>
      </c>
      <c r="CO468" s="214" t="s">
        <v>70</v>
      </c>
      <c r="CP468" s="214" t="s">
        <v>530</v>
      </c>
      <c r="CR468" s="214" t="s">
        <v>30513</v>
      </c>
      <c r="CS468" s="214" t="s">
        <v>498</v>
      </c>
      <c r="CT468" s="214" t="s">
        <v>70</v>
      </c>
      <c r="CU468" s="214" t="s">
        <v>530</v>
      </c>
      <c r="CW468" s="214" t="s">
        <v>30514</v>
      </c>
      <c r="CX468" s="214" t="s">
        <v>914</v>
      </c>
      <c r="CY468" s="214" t="s">
        <v>70</v>
      </c>
      <c r="CZ468" s="214" t="s">
        <v>530</v>
      </c>
      <c r="DB468" s="214" t="s">
        <v>30515</v>
      </c>
      <c r="DC468" s="214" t="s">
        <v>34639</v>
      </c>
      <c r="DD468" s="214" t="s">
        <v>70</v>
      </c>
      <c r="DE468" s="214" t="s">
        <v>530</v>
      </c>
      <c r="DG468" s="214" t="s">
        <v>30516</v>
      </c>
      <c r="DH468" s="214" t="s">
        <v>163</v>
      </c>
      <c r="DI468" s="214" t="s">
        <v>70</v>
      </c>
      <c r="DJ468" s="214" t="s">
        <v>530</v>
      </c>
      <c r="DL468" s="214" t="s">
        <v>30517</v>
      </c>
      <c r="DM468" s="214" t="s">
        <v>34582</v>
      </c>
      <c r="DN468" s="214" t="s">
        <v>70</v>
      </c>
      <c r="DO468" s="214" t="s">
        <v>530</v>
      </c>
      <c r="DQ468" s="214" t="s">
        <v>30518</v>
      </c>
      <c r="DR468" s="214" t="s">
        <v>935</v>
      </c>
      <c r="DS468" s="214" t="s">
        <v>70</v>
      </c>
      <c r="DT468" s="214" t="s">
        <v>530</v>
      </c>
      <c r="DV468" s="214" t="s">
        <v>30519</v>
      </c>
      <c r="DW468" s="214" t="s">
        <v>492</v>
      </c>
      <c r="DX468" s="214" t="s">
        <v>70</v>
      </c>
      <c r="DY468" s="214" t="s">
        <v>530</v>
      </c>
      <c r="EA468" s="214" t="s">
        <v>30520</v>
      </c>
      <c r="EB468" s="214" t="s">
        <v>920</v>
      </c>
      <c r="EC468" s="214" t="s">
        <v>70</v>
      </c>
      <c r="ED468" s="214" t="s">
        <v>530</v>
      </c>
      <c r="EF468" s="214" t="s">
        <v>30521</v>
      </c>
      <c r="EG468" s="214" t="s">
        <v>481</v>
      </c>
      <c r="EH468" s="214" t="s">
        <v>70</v>
      </c>
      <c r="EI468" s="214" t="s">
        <v>530</v>
      </c>
      <c r="EK468" s="214" t="s">
        <v>30522</v>
      </c>
      <c r="EL468" s="214" t="s">
        <v>34591</v>
      </c>
      <c r="EM468" s="214" t="s">
        <v>70</v>
      </c>
      <c r="EN468" s="214" t="s">
        <v>530</v>
      </c>
      <c r="EP468" s="214" t="s">
        <v>30523</v>
      </c>
      <c r="EQ468" s="214" t="s">
        <v>488</v>
      </c>
      <c r="ER468" s="214" t="s">
        <v>70</v>
      </c>
      <c r="ES468" s="214" t="s">
        <v>530</v>
      </c>
      <c r="EU468" s="214" t="s">
        <v>30524</v>
      </c>
      <c r="EV468" s="214" t="s">
        <v>34611</v>
      </c>
      <c r="EW468" s="214" t="s">
        <v>70</v>
      </c>
      <c r="EX468" s="214" t="s">
        <v>530</v>
      </c>
      <c r="EZ468" s="214" t="s">
        <v>30525</v>
      </c>
      <c r="FA468" s="214" t="s">
        <v>947</v>
      </c>
      <c r="FB468" s="214" t="s">
        <v>70</v>
      </c>
      <c r="FC468" s="214" t="s">
        <v>530</v>
      </c>
      <c r="FE468" s="214" t="s">
        <v>30526</v>
      </c>
      <c r="FF468" s="214" t="s">
        <v>481</v>
      </c>
      <c r="FG468" s="214" t="s">
        <v>70</v>
      </c>
      <c r="FH468" s="214" t="s">
        <v>530</v>
      </c>
      <c r="FJ468" s="321" t="s">
        <v>30527</v>
      </c>
      <c r="FK468" s="214" t="s">
        <v>52</v>
      </c>
      <c r="FL468" s="214" t="s">
        <v>70</v>
      </c>
      <c r="FM468" s="214" t="s">
        <v>530</v>
      </c>
      <c r="FO468" s="321" t="s">
        <v>30528</v>
      </c>
      <c r="FP468" s="214" t="s">
        <v>34638</v>
      </c>
      <c r="FQ468" s="214" t="s">
        <v>70</v>
      </c>
      <c r="FR468" s="214" t="s">
        <v>530</v>
      </c>
      <c r="FT468" s="321" t="s">
        <v>30529</v>
      </c>
      <c r="FU468" s="214" t="s">
        <v>956</v>
      </c>
      <c r="FV468" s="214" t="s">
        <v>70</v>
      </c>
      <c r="FW468" s="214" t="s">
        <v>530</v>
      </c>
      <c r="FY468" s="321" t="s">
        <v>30530</v>
      </c>
      <c r="FZ468" s="214" t="s">
        <v>483</v>
      </c>
      <c r="GA468" s="214" t="s">
        <v>70</v>
      </c>
      <c r="GB468" s="214" t="s">
        <v>530</v>
      </c>
      <c r="GD468" s="321" t="s">
        <v>30531</v>
      </c>
      <c r="GE468" s="214" t="s">
        <v>145</v>
      </c>
      <c r="GF468" s="214" t="s">
        <v>70</v>
      </c>
      <c r="GG468" s="214" t="s">
        <v>530</v>
      </c>
      <c r="GI468" s="321" t="s">
        <v>30532</v>
      </c>
      <c r="GJ468" s="214" t="s">
        <v>163</v>
      </c>
      <c r="GK468" s="214" t="s">
        <v>70</v>
      </c>
      <c r="GL468" s="214" t="s">
        <v>530</v>
      </c>
      <c r="GN468" s="321" t="s">
        <v>30533</v>
      </c>
      <c r="GO468" s="214" t="s">
        <v>88</v>
      </c>
      <c r="GP468" s="214" t="s">
        <v>70</v>
      </c>
      <c r="GQ468" s="214" t="s">
        <v>530</v>
      </c>
      <c r="GS468" s="321" t="s">
        <v>30534</v>
      </c>
      <c r="GT468" s="214" t="s">
        <v>103</v>
      </c>
      <c r="GU468" s="214" t="s">
        <v>70</v>
      </c>
      <c r="GV468" s="214" t="s">
        <v>530</v>
      </c>
      <c r="GX468" s="214" t="s">
        <v>30535</v>
      </c>
      <c r="GY468" s="214" t="s">
        <v>90</v>
      </c>
      <c r="GZ468" s="214" t="s">
        <v>70</v>
      </c>
      <c r="HA468" s="214" t="s">
        <v>530</v>
      </c>
      <c r="HC468" s="214" t="s">
        <v>30536</v>
      </c>
      <c r="HD468" s="214" t="s">
        <v>912</v>
      </c>
      <c r="HE468" s="214" t="s">
        <v>70</v>
      </c>
      <c r="HF468" s="214" t="s">
        <v>530</v>
      </c>
      <c r="HH468" s="214" t="s">
        <v>30537</v>
      </c>
      <c r="HI468" s="214" t="s">
        <v>163</v>
      </c>
      <c r="HJ468" s="214" t="s">
        <v>70</v>
      </c>
      <c r="HK468" s="214" t="s">
        <v>530</v>
      </c>
      <c r="HM468" s="214" t="s">
        <v>30538</v>
      </c>
      <c r="HN468" s="214" t="s">
        <v>34649</v>
      </c>
      <c r="HO468" s="214" t="s">
        <v>70</v>
      </c>
      <c r="HP468" s="214" t="s">
        <v>530</v>
      </c>
      <c r="HR468" s="22" t="s">
        <v>30539</v>
      </c>
      <c r="HS468" s="22" t="s">
        <v>52</v>
      </c>
      <c r="HT468" s="22" t="s">
        <v>70</v>
      </c>
      <c r="HU468" s="214" t="s">
        <v>530</v>
      </c>
      <c r="HW468" s="22" t="s">
        <v>30540</v>
      </c>
      <c r="HX468" s="22" t="s">
        <v>148</v>
      </c>
      <c r="HY468" s="22" t="s">
        <v>70</v>
      </c>
      <c r="HZ468" s="214" t="s">
        <v>530</v>
      </c>
      <c r="IB468" s="22" t="s">
        <v>30541</v>
      </c>
      <c r="IC468" s="22" t="s">
        <v>945</v>
      </c>
      <c r="ID468" s="22" t="s">
        <v>70</v>
      </c>
      <c r="IE468" s="214" t="s">
        <v>530</v>
      </c>
      <c r="IG468" s="22" t="s">
        <v>30542</v>
      </c>
      <c r="IH468" s="22" t="s">
        <v>52</v>
      </c>
      <c r="II468" s="22" t="s">
        <v>70</v>
      </c>
      <c r="IJ468" s="214" t="s">
        <v>530</v>
      </c>
      <c r="IL468" s="22" t="s">
        <v>30543</v>
      </c>
      <c r="IM468" s="22" t="s">
        <v>145</v>
      </c>
      <c r="IN468" s="22" t="s">
        <v>70</v>
      </c>
      <c r="IO468" s="214" t="s">
        <v>530</v>
      </c>
      <c r="IQ468" s="236" t="s">
        <v>30544</v>
      </c>
      <c r="IR468" s="236" t="s">
        <v>145</v>
      </c>
      <c r="IS468" s="236" t="s">
        <v>74</v>
      </c>
      <c r="IT468" s="236" t="s">
        <v>841</v>
      </c>
      <c r="IV468" s="236" t="s">
        <v>30545</v>
      </c>
      <c r="IW468" s="236" t="s">
        <v>145</v>
      </c>
      <c r="IX468" s="236" t="s">
        <v>74</v>
      </c>
      <c r="IY468" s="236" t="s">
        <v>841</v>
      </c>
      <c r="JA468" s="236" t="s">
        <v>30546</v>
      </c>
      <c r="JB468" s="236" t="s">
        <v>145</v>
      </c>
      <c r="JC468" s="236" t="s">
        <v>74</v>
      </c>
      <c r="JD468" s="236" t="s">
        <v>841</v>
      </c>
      <c r="JF468" s="236" t="s">
        <v>30547</v>
      </c>
      <c r="JG468" s="236" t="s">
        <v>145</v>
      </c>
      <c r="JH468" s="236" t="s">
        <v>74</v>
      </c>
      <c r="JI468" s="236" t="s">
        <v>841</v>
      </c>
      <c r="JK468" s="236" t="s">
        <v>30548</v>
      </c>
      <c r="JL468" s="236" t="s">
        <v>145</v>
      </c>
      <c r="JM468" s="236" t="s">
        <v>74</v>
      </c>
      <c r="JN468" s="236" t="s">
        <v>841</v>
      </c>
      <c r="JP468" s="236" t="s">
        <v>30549</v>
      </c>
      <c r="JQ468" s="236" t="s">
        <v>145</v>
      </c>
      <c r="JR468" s="236" t="s">
        <v>74</v>
      </c>
      <c r="JS468" s="236" t="s">
        <v>841</v>
      </c>
      <c r="JU468" s="294" t="s">
        <v>30550</v>
      </c>
      <c r="JV468" s="294" t="s">
        <v>52</v>
      </c>
      <c r="JW468" s="263" t="s">
        <v>70</v>
      </c>
      <c r="JX468" s="294" t="s">
        <v>1083</v>
      </c>
      <c r="JZ468" s="263" t="s">
        <v>30551</v>
      </c>
      <c r="KA468" s="263" t="s">
        <v>145</v>
      </c>
      <c r="KB468" s="263" t="s">
        <v>70</v>
      </c>
      <c r="KC468" s="263" t="s">
        <v>1083</v>
      </c>
      <c r="KE468" s="263" t="s">
        <v>30552</v>
      </c>
      <c r="KF468" s="263" t="s">
        <v>52</v>
      </c>
      <c r="KG468" s="263" t="s">
        <v>70</v>
      </c>
      <c r="KH468" s="263" t="s">
        <v>1083</v>
      </c>
      <c r="KJ468" s="263" t="s">
        <v>30553</v>
      </c>
      <c r="KK468" s="263" t="s">
        <v>52</v>
      </c>
      <c r="KL468" s="263" t="s">
        <v>74</v>
      </c>
      <c r="KM468" s="263" t="s">
        <v>34074</v>
      </c>
      <c r="KO468" s="214" t="s">
        <v>30554</v>
      </c>
      <c r="KP468" s="214" t="s">
        <v>145</v>
      </c>
      <c r="KQ468" s="214" t="s">
        <v>70</v>
      </c>
      <c r="KR468" s="214" t="s">
        <v>67</v>
      </c>
      <c r="KT468" s="22" t="s">
        <v>30555</v>
      </c>
      <c r="KU468" s="22" t="s">
        <v>145</v>
      </c>
      <c r="KV468" s="22" t="s">
        <v>70</v>
      </c>
      <c r="KW468" s="22" t="s">
        <v>67</v>
      </c>
      <c r="KY468" s="214" t="s">
        <v>30556</v>
      </c>
      <c r="KZ468" s="214" t="s">
        <v>52</v>
      </c>
      <c r="LA468" s="214" t="s">
        <v>74</v>
      </c>
      <c r="LB468" s="214" t="s">
        <v>67</v>
      </c>
      <c r="LD468" s="22" t="s">
        <v>30557</v>
      </c>
      <c r="LE468" s="22" t="s">
        <v>145</v>
      </c>
      <c r="LF468" s="22" t="s">
        <v>70</v>
      </c>
      <c r="LG468" s="22" t="s">
        <v>67</v>
      </c>
    </row>
    <row r="469" spans="1:319">
      <c r="A469" s="22" t="s">
        <v>30558</v>
      </c>
      <c r="B469" s="22" t="s">
        <v>145</v>
      </c>
      <c r="C469" s="22" t="s">
        <v>70</v>
      </c>
      <c r="D469" s="22" t="s">
        <v>67</v>
      </c>
      <c r="F469" s="73" t="s">
        <v>30559</v>
      </c>
      <c r="G469" s="22" t="s">
        <v>145</v>
      </c>
      <c r="H469" s="22" t="s">
        <v>70</v>
      </c>
      <c r="I469" s="22" t="s">
        <v>67</v>
      </c>
      <c r="K469" s="99" t="s">
        <v>30560</v>
      </c>
      <c r="L469" s="22" t="s">
        <v>145</v>
      </c>
      <c r="M469" s="22" t="s">
        <v>70</v>
      </c>
      <c r="N469" s="22" t="s">
        <v>67</v>
      </c>
      <c r="P469" s="230" t="s">
        <v>30561</v>
      </c>
      <c r="Q469" s="218" t="s">
        <v>145</v>
      </c>
      <c r="R469" s="218" t="s">
        <v>72</v>
      </c>
      <c r="S469" s="218" t="s">
        <v>34070</v>
      </c>
      <c r="U469" s="293" t="s">
        <v>30562</v>
      </c>
      <c r="V469" s="293" t="s">
        <v>145</v>
      </c>
      <c r="W469" s="293" t="s">
        <v>74</v>
      </c>
      <c r="X469" s="293" t="s">
        <v>656</v>
      </c>
      <c r="Z469" s="293" t="s">
        <v>30563</v>
      </c>
      <c r="AA469" s="293" t="s">
        <v>145</v>
      </c>
      <c r="AB469" s="293" t="s">
        <v>74</v>
      </c>
      <c r="AC469" s="293" t="s">
        <v>656</v>
      </c>
      <c r="AE469" s="293" t="s">
        <v>30564</v>
      </c>
      <c r="AF469" s="293" t="s">
        <v>145</v>
      </c>
      <c r="AG469" s="293" t="s">
        <v>74</v>
      </c>
      <c r="AH469" s="293" t="s">
        <v>656</v>
      </c>
      <c r="AJ469" s="293" t="s">
        <v>30565</v>
      </c>
      <c r="AK469" s="293" t="s">
        <v>145</v>
      </c>
      <c r="AL469" s="293" t="s">
        <v>74</v>
      </c>
      <c r="AM469" s="293" t="s">
        <v>656</v>
      </c>
      <c r="AO469" s="22" t="s">
        <v>30566</v>
      </c>
      <c r="AP469" s="22" t="s">
        <v>145</v>
      </c>
      <c r="AQ469" s="22" t="s">
        <v>70</v>
      </c>
      <c r="AR469" s="22" t="s">
        <v>67</v>
      </c>
      <c r="AT469" s="22" t="s">
        <v>30567</v>
      </c>
      <c r="AU469" s="22" t="s">
        <v>145</v>
      </c>
      <c r="AV469" s="22" t="s">
        <v>70</v>
      </c>
      <c r="AW469" s="22" t="s">
        <v>67</v>
      </c>
      <c r="AY469" s="22" t="s">
        <v>30568</v>
      </c>
      <c r="AZ469" s="22" t="s">
        <v>145</v>
      </c>
      <c r="BA469" s="22" t="s">
        <v>70</v>
      </c>
      <c r="BB469" s="22" t="s">
        <v>67</v>
      </c>
      <c r="BD469" s="22" t="s">
        <v>30569</v>
      </c>
      <c r="BE469" s="22" t="s">
        <v>145</v>
      </c>
      <c r="BF469" s="22" t="s">
        <v>70</v>
      </c>
      <c r="BG469" s="22" t="s">
        <v>67</v>
      </c>
      <c r="BI469" s="22" t="s">
        <v>30570</v>
      </c>
      <c r="BJ469" s="22" t="s">
        <v>145</v>
      </c>
      <c r="BK469" s="22" t="s">
        <v>70</v>
      </c>
      <c r="BL469" s="22" t="s">
        <v>67</v>
      </c>
      <c r="BN469" s="22" t="s">
        <v>30571</v>
      </c>
      <c r="BO469" s="22" t="s">
        <v>145</v>
      </c>
      <c r="BP469" s="22" t="s">
        <v>70</v>
      </c>
      <c r="BQ469" s="22" t="s">
        <v>67</v>
      </c>
      <c r="BS469" s="22" t="s">
        <v>30572</v>
      </c>
      <c r="BT469" s="22" t="s">
        <v>145</v>
      </c>
      <c r="BU469" s="22" t="s">
        <v>70</v>
      </c>
      <c r="BV469" s="214" t="s">
        <v>530</v>
      </c>
      <c r="BX469" s="22" t="s">
        <v>30573</v>
      </c>
      <c r="BY469" s="22" t="s">
        <v>145</v>
      </c>
      <c r="BZ469" s="22" t="s">
        <v>70</v>
      </c>
      <c r="CA469" s="214" t="s">
        <v>530</v>
      </c>
      <c r="CC469" s="214" t="s">
        <v>30574</v>
      </c>
      <c r="CD469" s="214" t="s">
        <v>485</v>
      </c>
      <c r="CE469" s="214" t="s">
        <v>70</v>
      </c>
      <c r="CF469" s="214" t="s">
        <v>530</v>
      </c>
      <c r="CH469" s="214" t="s">
        <v>30575</v>
      </c>
      <c r="CI469" s="214" t="s">
        <v>34565</v>
      </c>
      <c r="CJ469" s="214" t="s">
        <v>70</v>
      </c>
      <c r="CK469" s="214" t="s">
        <v>530</v>
      </c>
      <c r="CM469" s="214" t="s">
        <v>30576</v>
      </c>
      <c r="CN469" s="214" t="s">
        <v>488</v>
      </c>
      <c r="CO469" s="214" t="s">
        <v>70</v>
      </c>
      <c r="CP469" s="214" t="s">
        <v>530</v>
      </c>
      <c r="CR469" s="214" t="s">
        <v>30577</v>
      </c>
      <c r="CS469" s="214" t="s">
        <v>34595</v>
      </c>
      <c r="CT469" s="214" t="s">
        <v>70</v>
      </c>
      <c r="CU469" s="214" t="s">
        <v>530</v>
      </c>
      <c r="CW469" s="214" t="s">
        <v>30578</v>
      </c>
      <c r="CX469" s="214" t="s">
        <v>491</v>
      </c>
      <c r="CY469" s="214" t="s">
        <v>70</v>
      </c>
      <c r="CZ469" s="214" t="s">
        <v>530</v>
      </c>
      <c r="DB469" s="214" t="s">
        <v>30579</v>
      </c>
      <c r="DC469" s="214" t="s">
        <v>491</v>
      </c>
      <c r="DD469" s="214" t="s">
        <v>70</v>
      </c>
      <c r="DE469" s="214" t="s">
        <v>530</v>
      </c>
      <c r="DG469" s="214" t="s">
        <v>30580</v>
      </c>
      <c r="DH469" s="214" t="s">
        <v>956</v>
      </c>
      <c r="DI469" s="214" t="s">
        <v>70</v>
      </c>
      <c r="DJ469" s="214" t="s">
        <v>530</v>
      </c>
      <c r="DL469" s="214" t="s">
        <v>30581</v>
      </c>
      <c r="DM469" s="214" t="s">
        <v>491</v>
      </c>
      <c r="DN469" s="214" t="s">
        <v>70</v>
      </c>
      <c r="DO469" s="214" t="s">
        <v>530</v>
      </c>
      <c r="DQ469" s="214" t="s">
        <v>30582</v>
      </c>
      <c r="DR469" s="214" t="s">
        <v>926</v>
      </c>
      <c r="DS469" s="214" t="s">
        <v>70</v>
      </c>
      <c r="DT469" s="214" t="s">
        <v>530</v>
      </c>
      <c r="DV469" s="214" t="s">
        <v>30583</v>
      </c>
      <c r="DW469" s="214" t="s">
        <v>163</v>
      </c>
      <c r="DX469" s="214" t="s">
        <v>70</v>
      </c>
      <c r="DY469" s="214" t="s">
        <v>530</v>
      </c>
      <c r="EA469" s="214" t="s">
        <v>30584</v>
      </c>
      <c r="EB469" s="214" t="s">
        <v>486</v>
      </c>
      <c r="EC469" s="214" t="s">
        <v>70</v>
      </c>
      <c r="ED469" s="214" t="s">
        <v>530</v>
      </c>
      <c r="EF469" s="214" t="s">
        <v>30585</v>
      </c>
      <c r="EG469" s="214" t="s">
        <v>487</v>
      </c>
      <c r="EH469" s="214" t="s">
        <v>70</v>
      </c>
      <c r="EI469" s="214" t="s">
        <v>530</v>
      </c>
      <c r="EK469" s="214" t="s">
        <v>30586</v>
      </c>
      <c r="EL469" s="214" t="s">
        <v>488</v>
      </c>
      <c r="EM469" s="214" t="s">
        <v>70</v>
      </c>
      <c r="EN469" s="214" t="s">
        <v>530</v>
      </c>
      <c r="EP469" s="214" t="s">
        <v>30587</v>
      </c>
      <c r="EQ469" s="214" t="s">
        <v>148</v>
      </c>
      <c r="ER469" s="214" t="s">
        <v>70</v>
      </c>
      <c r="ES469" s="214" t="s">
        <v>530</v>
      </c>
      <c r="EU469" s="214" t="s">
        <v>30588</v>
      </c>
      <c r="EV469" s="214" t="s">
        <v>937</v>
      </c>
      <c r="EW469" s="214" t="s">
        <v>70</v>
      </c>
      <c r="EX469" s="214" t="s">
        <v>530</v>
      </c>
      <c r="EZ469" s="214" t="s">
        <v>30589</v>
      </c>
      <c r="FA469" s="214" t="s">
        <v>518</v>
      </c>
      <c r="FB469" s="214" t="s">
        <v>70</v>
      </c>
      <c r="FC469" s="214" t="s">
        <v>530</v>
      </c>
      <c r="FE469" s="214" t="s">
        <v>30590</v>
      </c>
      <c r="FF469" s="214" t="s">
        <v>487</v>
      </c>
      <c r="FG469" s="214" t="s">
        <v>70</v>
      </c>
      <c r="FH469" s="214" t="s">
        <v>530</v>
      </c>
      <c r="FJ469" s="321" t="s">
        <v>30591</v>
      </c>
      <c r="FK469" s="214" t="s">
        <v>203</v>
      </c>
      <c r="FL469" s="214" t="s">
        <v>70</v>
      </c>
      <c r="FM469" s="214" t="s">
        <v>530</v>
      </c>
      <c r="FO469" s="321" t="s">
        <v>30592</v>
      </c>
      <c r="FP469" s="214" t="s">
        <v>34542</v>
      </c>
      <c r="FQ469" s="214" t="s">
        <v>70</v>
      </c>
      <c r="FR469" s="214" t="s">
        <v>530</v>
      </c>
      <c r="FT469" s="321" t="s">
        <v>30593</v>
      </c>
      <c r="FU469" s="214" t="s">
        <v>34564</v>
      </c>
      <c r="FV469" s="214" t="s">
        <v>70</v>
      </c>
      <c r="FW469" s="214" t="s">
        <v>530</v>
      </c>
      <c r="FY469" s="321" t="s">
        <v>30594</v>
      </c>
      <c r="FZ469" s="214" t="s">
        <v>52</v>
      </c>
      <c r="GA469" s="214" t="s">
        <v>70</v>
      </c>
      <c r="GB469" s="214" t="s">
        <v>530</v>
      </c>
      <c r="GD469" s="321" t="s">
        <v>30595</v>
      </c>
      <c r="GE469" s="214" t="s">
        <v>34541</v>
      </c>
      <c r="GF469" s="214" t="s">
        <v>70</v>
      </c>
      <c r="GG469" s="214" t="s">
        <v>530</v>
      </c>
      <c r="GI469" s="321" t="s">
        <v>30596</v>
      </c>
      <c r="GJ469" s="214" t="s">
        <v>950</v>
      </c>
      <c r="GK469" s="214" t="s">
        <v>70</v>
      </c>
      <c r="GL469" s="214" t="s">
        <v>530</v>
      </c>
      <c r="GN469" s="321" t="s">
        <v>30597</v>
      </c>
      <c r="GO469" s="214" t="s">
        <v>921</v>
      </c>
      <c r="GP469" s="214" t="s">
        <v>70</v>
      </c>
      <c r="GQ469" s="214" t="s">
        <v>530</v>
      </c>
      <c r="GS469" s="321" t="s">
        <v>30598</v>
      </c>
      <c r="GT469" s="214" t="s">
        <v>34544</v>
      </c>
      <c r="GU469" s="214" t="s">
        <v>70</v>
      </c>
      <c r="GV469" s="214" t="s">
        <v>530</v>
      </c>
      <c r="GX469" s="214" t="s">
        <v>30599</v>
      </c>
      <c r="GY469" s="214" t="s">
        <v>599</v>
      </c>
      <c r="GZ469" s="214" t="s">
        <v>70</v>
      </c>
      <c r="HA469" s="214" t="s">
        <v>530</v>
      </c>
      <c r="HC469" s="214" t="s">
        <v>30600</v>
      </c>
      <c r="HD469" s="214" t="s">
        <v>484</v>
      </c>
      <c r="HE469" s="214" t="s">
        <v>70</v>
      </c>
      <c r="HF469" s="214" t="s">
        <v>530</v>
      </c>
      <c r="HH469" s="214" t="s">
        <v>30601</v>
      </c>
      <c r="HI469" s="214" t="s">
        <v>935</v>
      </c>
      <c r="HJ469" s="214" t="s">
        <v>70</v>
      </c>
      <c r="HK469" s="214" t="s">
        <v>530</v>
      </c>
      <c r="HM469" s="214" t="s">
        <v>30602</v>
      </c>
      <c r="HN469" s="214" t="s">
        <v>34566</v>
      </c>
      <c r="HO469" s="214" t="s">
        <v>70</v>
      </c>
      <c r="HP469" s="214" t="s">
        <v>530</v>
      </c>
      <c r="HR469" s="22" t="s">
        <v>30603</v>
      </c>
      <c r="HS469" s="22" t="s">
        <v>34550</v>
      </c>
      <c r="HT469" s="22" t="s">
        <v>70</v>
      </c>
      <c r="HU469" s="214" t="s">
        <v>530</v>
      </c>
      <c r="HW469" s="22" t="s">
        <v>30604</v>
      </c>
      <c r="HX469" s="22" t="s">
        <v>920</v>
      </c>
      <c r="HY469" s="22" t="s">
        <v>70</v>
      </c>
      <c r="HZ469" s="214" t="s">
        <v>530</v>
      </c>
      <c r="IB469" s="22" t="s">
        <v>30605</v>
      </c>
      <c r="IC469" s="22" t="s">
        <v>503</v>
      </c>
      <c r="ID469" s="22" t="s">
        <v>70</v>
      </c>
      <c r="IE469" s="214" t="s">
        <v>530</v>
      </c>
      <c r="IG469" s="22" t="s">
        <v>30606</v>
      </c>
      <c r="IH469" s="22" t="s">
        <v>52</v>
      </c>
      <c r="II469" s="22" t="s">
        <v>70</v>
      </c>
      <c r="IJ469" s="214" t="s">
        <v>530</v>
      </c>
      <c r="IL469" s="22" t="s">
        <v>30607</v>
      </c>
      <c r="IM469" s="22" t="s">
        <v>145</v>
      </c>
      <c r="IN469" s="22" t="s">
        <v>70</v>
      </c>
      <c r="IO469" s="214" t="s">
        <v>530</v>
      </c>
      <c r="IQ469" s="236" t="s">
        <v>30608</v>
      </c>
      <c r="IR469" s="236" t="s">
        <v>145</v>
      </c>
      <c r="IS469" s="236" t="s">
        <v>74</v>
      </c>
      <c r="IT469" s="236" t="s">
        <v>841</v>
      </c>
      <c r="IV469" s="236" t="s">
        <v>30609</v>
      </c>
      <c r="IW469" s="236" t="s">
        <v>145</v>
      </c>
      <c r="IX469" s="236" t="s">
        <v>74</v>
      </c>
      <c r="IY469" s="236" t="s">
        <v>841</v>
      </c>
      <c r="JA469" s="236" t="s">
        <v>30610</v>
      </c>
      <c r="JB469" s="236" t="s">
        <v>145</v>
      </c>
      <c r="JC469" s="236" t="s">
        <v>74</v>
      </c>
      <c r="JD469" s="236" t="s">
        <v>841</v>
      </c>
      <c r="JF469" s="236" t="s">
        <v>30611</v>
      </c>
      <c r="JG469" s="236" t="s">
        <v>145</v>
      </c>
      <c r="JH469" s="236" t="s">
        <v>74</v>
      </c>
      <c r="JI469" s="236" t="s">
        <v>841</v>
      </c>
      <c r="JK469" s="236" t="s">
        <v>30612</v>
      </c>
      <c r="JL469" s="236" t="s">
        <v>145</v>
      </c>
      <c r="JM469" s="236" t="s">
        <v>74</v>
      </c>
      <c r="JN469" s="236" t="s">
        <v>841</v>
      </c>
      <c r="JP469" s="236" t="s">
        <v>30613</v>
      </c>
      <c r="JQ469" s="236" t="s">
        <v>145</v>
      </c>
      <c r="JR469" s="236" t="s">
        <v>74</v>
      </c>
      <c r="JS469" s="236" t="s">
        <v>841</v>
      </c>
      <c r="JU469" s="294" t="s">
        <v>30614</v>
      </c>
      <c r="JV469" s="294" t="s">
        <v>52</v>
      </c>
      <c r="JW469" s="263" t="s">
        <v>70</v>
      </c>
      <c r="JX469" s="294" t="s">
        <v>1083</v>
      </c>
      <c r="JZ469" s="263" t="s">
        <v>30615</v>
      </c>
      <c r="KA469" s="263" t="s">
        <v>145</v>
      </c>
      <c r="KB469" s="263" t="s">
        <v>70</v>
      </c>
      <c r="KC469" s="263" t="s">
        <v>1083</v>
      </c>
      <c r="KE469" s="263" t="s">
        <v>30616</v>
      </c>
      <c r="KF469" s="263" t="s">
        <v>52</v>
      </c>
      <c r="KG469" s="263" t="s">
        <v>70</v>
      </c>
      <c r="KH469" s="263" t="s">
        <v>1083</v>
      </c>
      <c r="KJ469" s="263" t="s">
        <v>30617</v>
      </c>
      <c r="KK469" s="263" t="s">
        <v>52</v>
      </c>
      <c r="KL469" s="263" t="s">
        <v>74</v>
      </c>
      <c r="KM469" s="263" t="s">
        <v>34074</v>
      </c>
      <c r="KO469" s="214" t="s">
        <v>30618</v>
      </c>
      <c r="KP469" s="214" t="s">
        <v>145</v>
      </c>
      <c r="KQ469" s="214" t="s">
        <v>70</v>
      </c>
      <c r="KR469" s="214" t="s">
        <v>67</v>
      </c>
      <c r="KT469" s="22" t="s">
        <v>30619</v>
      </c>
      <c r="KU469" s="22" t="s">
        <v>145</v>
      </c>
      <c r="KV469" s="22" t="s">
        <v>70</v>
      </c>
      <c r="KW469" s="22" t="s">
        <v>67</v>
      </c>
      <c r="KY469" s="214" t="s">
        <v>30620</v>
      </c>
      <c r="KZ469" s="214" t="s">
        <v>52</v>
      </c>
      <c r="LA469" s="214" t="s">
        <v>74</v>
      </c>
      <c r="LB469" s="214" t="s">
        <v>67</v>
      </c>
      <c r="LD469" s="22" t="s">
        <v>30621</v>
      </c>
      <c r="LE469" s="22" t="s">
        <v>145</v>
      </c>
      <c r="LF469" s="22" t="s">
        <v>70</v>
      </c>
      <c r="LG469" s="22" t="s">
        <v>67</v>
      </c>
    </row>
    <row r="470" spans="1:319">
      <c r="A470" s="22" t="s">
        <v>30622</v>
      </c>
      <c r="B470" s="22" t="s">
        <v>145</v>
      </c>
      <c r="C470" s="22" t="s">
        <v>70</v>
      </c>
      <c r="D470" s="22" t="s">
        <v>67</v>
      </c>
      <c r="F470" s="73" t="s">
        <v>30623</v>
      </c>
      <c r="G470" s="22" t="s">
        <v>145</v>
      </c>
      <c r="H470" s="22" t="s">
        <v>70</v>
      </c>
      <c r="I470" s="22" t="s">
        <v>67</v>
      </c>
      <c r="K470" s="99" t="s">
        <v>30624</v>
      </c>
      <c r="L470" s="22" t="s">
        <v>145</v>
      </c>
      <c r="M470" s="22" t="s">
        <v>70</v>
      </c>
      <c r="N470" s="22" t="s">
        <v>67</v>
      </c>
      <c r="P470" s="230" t="s">
        <v>30625</v>
      </c>
      <c r="Q470" s="218" t="s">
        <v>145</v>
      </c>
      <c r="R470" s="218" t="s">
        <v>72</v>
      </c>
      <c r="S470" s="218" t="s">
        <v>34071</v>
      </c>
      <c r="U470" s="293" t="s">
        <v>30626</v>
      </c>
      <c r="V470" s="293" t="s">
        <v>145</v>
      </c>
      <c r="W470" s="293" t="s">
        <v>74</v>
      </c>
      <c r="X470" s="293" t="s">
        <v>656</v>
      </c>
      <c r="Z470" s="293" t="s">
        <v>30627</v>
      </c>
      <c r="AA470" s="293" t="s">
        <v>145</v>
      </c>
      <c r="AB470" s="293" t="s">
        <v>74</v>
      </c>
      <c r="AC470" s="293" t="s">
        <v>656</v>
      </c>
      <c r="AE470" s="293" t="s">
        <v>30628</v>
      </c>
      <c r="AF470" s="293" t="s">
        <v>145</v>
      </c>
      <c r="AG470" s="293" t="s">
        <v>74</v>
      </c>
      <c r="AH470" s="293" t="s">
        <v>656</v>
      </c>
      <c r="AJ470" s="293" t="s">
        <v>30629</v>
      </c>
      <c r="AK470" s="293" t="s">
        <v>145</v>
      </c>
      <c r="AL470" s="293" t="s">
        <v>74</v>
      </c>
      <c r="AM470" s="293" t="s">
        <v>656</v>
      </c>
      <c r="AO470" s="22" t="s">
        <v>30630</v>
      </c>
      <c r="AP470" s="22" t="s">
        <v>145</v>
      </c>
      <c r="AQ470" s="22" t="s">
        <v>70</v>
      </c>
      <c r="AR470" s="22" t="s">
        <v>67</v>
      </c>
      <c r="AT470" s="22" t="s">
        <v>30631</v>
      </c>
      <c r="AU470" s="22" t="s">
        <v>145</v>
      </c>
      <c r="AV470" s="22" t="s">
        <v>70</v>
      </c>
      <c r="AW470" s="22" t="s">
        <v>67</v>
      </c>
      <c r="AY470" s="22" t="s">
        <v>30632</v>
      </c>
      <c r="AZ470" s="22" t="s">
        <v>145</v>
      </c>
      <c r="BA470" s="22" t="s">
        <v>70</v>
      </c>
      <c r="BB470" s="22" t="s">
        <v>67</v>
      </c>
      <c r="BD470" s="22" t="s">
        <v>30633</v>
      </c>
      <c r="BE470" s="22" t="s">
        <v>145</v>
      </c>
      <c r="BF470" s="22" t="s">
        <v>70</v>
      </c>
      <c r="BG470" s="22" t="s">
        <v>67</v>
      </c>
      <c r="BI470" s="22" t="s">
        <v>30634</v>
      </c>
      <c r="BJ470" s="22" t="s">
        <v>145</v>
      </c>
      <c r="BK470" s="22" t="s">
        <v>70</v>
      </c>
      <c r="BL470" s="22" t="s">
        <v>67</v>
      </c>
      <c r="BN470" s="22" t="s">
        <v>30635</v>
      </c>
      <c r="BO470" s="22" t="s">
        <v>145</v>
      </c>
      <c r="BP470" s="22" t="s">
        <v>70</v>
      </c>
      <c r="BQ470" s="22" t="s">
        <v>67</v>
      </c>
      <c r="BS470" s="22" t="s">
        <v>30636</v>
      </c>
      <c r="BT470" s="22" t="s">
        <v>145</v>
      </c>
      <c r="BU470" s="22" t="s">
        <v>70</v>
      </c>
      <c r="BV470" s="214" t="s">
        <v>530</v>
      </c>
      <c r="BX470" s="22" t="s">
        <v>30637</v>
      </c>
      <c r="BY470" s="22" t="s">
        <v>145</v>
      </c>
      <c r="BZ470" s="22" t="s">
        <v>70</v>
      </c>
      <c r="CA470" s="214" t="s">
        <v>530</v>
      </c>
      <c r="CC470" s="214" t="s">
        <v>30638</v>
      </c>
      <c r="CD470" s="214" t="s">
        <v>148</v>
      </c>
      <c r="CE470" s="214" t="s">
        <v>70</v>
      </c>
      <c r="CF470" s="214" t="s">
        <v>530</v>
      </c>
      <c r="CH470" s="214" t="s">
        <v>30639</v>
      </c>
      <c r="CI470" s="214" t="s">
        <v>148</v>
      </c>
      <c r="CJ470" s="214" t="s">
        <v>70</v>
      </c>
      <c r="CK470" s="214" t="s">
        <v>530</v>
      </c>
      <c r="CM470" s="214" t="s">
        <v>30640</v>
      </c>
      <c r="CN470" s="214" t="s">
        <v>468</v>
      </c>
      <c r="CO470" s="214" t="s">
        <v>70</v>
      </c>
      <c r="CP470" s="214" t="s">
        <v>530</v>
      </c>
      <c r="CR470" s="214" t="s">
        <v>30641</v>
      </c>
      <c r="CS470" s="214" t="s">
        <v>467</v>
      </c>
      <c r="CT470" s="214" t="s">
        <v>70</v>
      </c>
      <c r="CU470" s="214" t="s">
        <v>530</v>
      </c>
      <c r="CW470" s="214" t="s">
        <v>30642</v>
      </c>
      <c r="CX470" s="214" t="s">
        <v>488</v>
      </c>
      <c r="CY470" s="214" t="s">
        <v>70</v>
      </c>
      <c r="CZ470" s="214" t="s">
        <v>530</v>
      </c>
      <c r="DB470" s="214" t="s">
        <v>30643</v>
      </c>
      <c r="DC470" s="214" t="s">
        <v>488</v>
      </c>
      <c r="DD470" s="214" t="s">
        <v>70</v>
      </c>
      <c r="DE470" s="214" t="s">
        <v>530</v>
      </c>
      <c r="DG470" s="214" t="s">
        <v>30644</v>
      </c>
      <c r="DH470" s="214" t="s">
        <v>149</v>
      </c>
      <c r="DI470" s="214" t="s">
        <v>70</v>
      </c>
      <c r="DJ470" s="214" t="s">
        <v>530</v>
      </c>
      <c r="DL470" s="214" t="s">
        <v>30645</v>
      </c>
      <c r="DM470" s="214" t="s">
        <v>52</v>
      </c>
      <c r="DN470" s="214" t="s">
        <v>70</v>
      </c>
      <c r="DO470" s="214" t="s">
        <v>530</v>
      </c>
      <c r="DQ470" s="214" t="s">
        <v>30646</v>
      </c>
      <c r="DR470" s="214" t="s">
        <v>34551</v>
      </c>
      <c r="DS470" s="214" t="s">
        <v>70</v>
      </c>
      <c r="DT470" s="214" t="s">
        <v>530</v>
      </c>
      <c r="DV470" s="214" t="s">
        <v>30647</v>
      </c>
      <c r="DW470" s="214" t="s">
        <v>146</v>
      </c>
      <c r="DX470" s="214" t="s">
        <v>70</v>
      </c>
      <c r="DY470" s="214" t="s">
        <v>530</v>
      </c>
      <c r="EA470" s="214" t="s">
        <v>30648</v>
      </c>
      <c r="EB470" s="214" t="s">
        <v>487</v>
      </c>
      <c r="EC470" s="214" t="s">
        <v>70</v>
      </c>
      <c r="ED470" s="214" t="s">
        <v>530</v>
      </c>
      <c r="EF470" s="214" t="s">
        <v>30649</v>
      </c>
      <c r="EG470" s="214" t="s">
        <v>52</v>
      </c>
      <c r="EH470" s="214" t="s">
        <v>70</v>
      </c>
      <c r="EI470" s="214" t="s">
        <v>530</v>
      </c>
      <c r="EK470" s="214" t="s">
        <v>30650</v>
      </c>
      <c r="EL470" s="214" t="s">
        <v>944</v>
      </c>
      <c r="EM470" s="214" t="s">
        <v>70</v>
      </c>
      <c r="EN470" s="214" t="s">
        <v>530</v>
      </c>
      <c r="EP470" s="214" t="s">
        <v>30651</v>
      </c>
      <c r="EQ470" s="214" t="s">
        <v>52</v>
      </c>
      <c r="ER470" s="214" t="s">
        <v>70</v>
      </c>
      <c r="ES470" s="214" t="s">
        <v>530</v>
      </c>
      <c r="EU470" s="214" t="s">
        <v>30652</v>
      </c>
      <c r="EV470" s="214" t="s">
        <v>34593</v>
      </c>
      <c r="EW470" s="214" t="s">
        <v>70</v>
      </c>
      <c r="EX470" s="214" t="s">
        <v>530</v>
      </c>
      <c r="EZ470" s="214" t="s">
        <v>30653</v>
      </c>
      <c r="FA470" s="214" t="s">
        <v>85</v>
      </c>
      <c r="FB470" s="214" t="s">
        <v>70</v>
      </c>
      <c r="FC470" s="214" t="s">
        <v>530</v>
      </c>
      <c r="FE470" s="214" t="s">
        <v>30654</v>
      </c>
      <c r="FF470" s="214" t="s">
        <v>52</v>
      </c>
      <c r="FG470" s="214" t="s">
        <v>70</v>
      </c>
      <c r="FH470" s="214" t="s">
        <v>530</v>
      </c>
      <c r="FJ470" s="321" t="s">
        <v>30655</v>
      </c>
      <c r="FK470" s="214" t="s">
        <v>34630</v>
      </c>
      <c r="FL470" s="214" t="s">
        <v>70</v>
      </c>
      <c r="FM470" s="214" t="s">
        <v>530</v>
      </c>
      <c r="FO470" s="321" t="s">
        <v>30656</v>
      </c>
      <c r="FP470" s="214" t="s">
        <v>148</v>
      </c>
      <c r="FQ470" s="214" t="s">
        <v>70</v>
      </c>
      <c r="FR470" s="214" t="s">
        <v>530</v>
      </c>
      <c r="FT470" s="321" t="s">
        <v>30657</v>
      </c>
      <c r="FU470" s="214" t="s">
        <v>145</v>
      </c>
      <c r="FV470" s="214" t="s">
        <v>70</v>
      </c>
      <c r="FW470" s="214" t="s">
        <v>530</v>
      </c>
      <c r="FY470" s="321" t="s">
        <v>30658</v>
      </c>
      <c r="FZ470" s="214" t="s">
        <v>495</v>
      </c>
      <c r="GA470" s="214" t="s">
        <v>70</v>
      </c>
      <c r="GB470" s="214" t="s">
        <v>530</v>
      </c>
      <c r="GD470" s="321" t="s">
        <v>30659</v>
      </c>
      <c r="GE470" s="214" t="s">
        <v>34636</v>
      </c>
      <c r="GF470" s="214" t="s">
        <v>70</v>
      </c>
      <c r="GG470" s="214" t="s">
        <v>530</v>
      </c>
      <c r="GI470" s="321" t="s">
        <v>30660</v>
      </c>
      <c r="GJ470" s="214" t="s">
        <v>484</v>
      </c>
      <c r="GK470" s="214" t="s">
        <v>70</v>
      </c>
      <c r="GL470" s="214" t="s">
        <v>530</v>
      </c>
      <c r="GN470" s="321" t="s">
        <v>30661</v>
      </c>
      <c r="GO470" s="214" t="s">
        <v>490</v>
      </c>
      <c r="GP470" s="214" t="s">
        <v>70</v>
      </c>
      <c r="GQ470" s="214" t="s">
        <v>530</v>
      </c>
      <c r="GS470" s="321" t="s">
        <v>30662</v>
      </c>
      <c r="GT470" s="214" t="s">
        <v>488</v>
      </c>
      <c r="GU470" s="214" t="s">
        <v>70</v>
      </c>
      <c r="GV470" s="214" t="s">
        <v>530</v>
      </c>
      <c r="GX470" s="214" t="s">
        <v>30663</v>
      </c>
      <c r="GY470" s="214" t="s">
        <v>600</v>
      </c>
      <c r="GZ470" s="214" t="s">
        <v>70</v>
      </c>
      <c r="HA470" s="214" t="s">
        <v>530</v>
      </c>
      <c r="HC470" s="214" t="s">
        <v>30664</v>
      </c>
      <c r="HD470" s="214" t="s">
        <v>148</v>
      </c>
      <c r="HE470" s="214" t="s">
        <v>70</v>
      </c>
      <c r="HF470" s="214" t="s">
        <v>530</v>
      </c>
      <c r="HH470" s="214" t="s">
        <v>30665</v>
      </c>
      <c r="HI470" s="214" t="s">
        <v>529</v>
      </c>
      <c r="HJ470" s="214" t="s">
        <v>70</v>
      </c>
      <c r="HK470" s="214" t="s">
        <v>530</v>
      </c>
      <c r="HM470" s="214" t="s">
        <v>30666</v>
      </c>
      <c r="HN470" s="214" t="s">
        <v>489</v>
      </c>
      <c r="HO470" s="214" t="s">
        <v>70</v>
      </c>
      <c r="HP470" s="214" t="s">
        <v>530</v>
      </c>
      <c r="HR470" s="22" t="s">
        <v>30667</v>
      </c>
      <c r="HS470" s="22" t="s">
        <v>103</v>
      </c>
      <c r="HT470" s="22" t="s">
        <v>70</v>
      </c>
      <c r="HU470" s="214" t="s">
        <v>530</v>
      </c>
      <c r="HW470" s="22" t="s">
        <v>30668</v>
      </c>
      <c r="HX470" s="22" t="s">
        <v>148</v>
      </c>
      <c r="HY470" s="22" t="s">
        <v>70</v>
      </c>
      <c r="HZ470" s="214" t="s">
        <v>530</v>
      </c>
      <c r="IB470" s="22" t="s">
        <v>30669</v>
      </c>
      <c r="IC470" s="22" t="s">
        <v>149</v>
      </c>
      <c r="ID470" s="22" t="s">
        <v>70</v>
      </c>
      <c r="IE470" s="214" t="s">
        <v>530</v>
      </c>
      <c r="IG470" s="22" t="s">
        <v>30670</v>
      </c>
      <c r="IH470" s="22" t="s">
        <v>52</v>
      </c>
      <c r="II470" s="22" t="s">
        <v>70</v>
      </c>
      <c r="IJ470" s="214" t="s">
        <v>530</v>
      </c>
      <c r="IL470" s="22" t="s">
        <v>30671</v>
      </c>
      <c r="IM470" s="22" t="s">
        <v>145</v>
      </c>
      <c r="IN470" s="22" t="s">
        <v>70</v>
      </c>
      <c r="IO470" s="214" t="s">
        <v>530</v>
      </c>
      <c r="IQ470" s="236" t="s">
        <v>30672</v>
      </c>
      <c r="IR470" s="236" t="s">
        <v>145</v>
      </c>
      <c r="IS470" s="236" t="s">
        <v>74</v>
      </c>
      <c r="IT470" s="236" t="s">
        <v>841</v>
      </c>
      <c r="IV470" s="236" t="s">
        <v>30673</v>
      </c>
      <c r="IW470" s="236" t="s">
        <v>145</v>
      </c>
      <c r="IX470" s="236" t="s">
        <v>74</v>
      </c>
      <c r="IY470" s="236" t="s">
        <v>841</v>
      </c>
      <c r="JA470" s="236" t="s">
        <v>30674</v>
      </c>
      <c r="JB470" s="236" t="s">
        <v>145</v>
      </c>
      <c r="JC470" s="236" t="s">
        <v>74</v>
      </c>
      <c r="JD470" s="236" t="s">
        <v>841</v>
      </c>
      <c r="JF470" s="236" t="s">
        <v>30675</v>
      </c>
      <c r="JG470" s="236" t="s">
        <v>145</v>
      </c>
      <c r="JH470" s="236" t="s">
        <v>74</v>
      </c>
      <c r="JI470" s="236" t="s">
        <v>841</v>
      </c>
      <c r="JK470" s="236" t="s">
        <v>30676</v>
      </c>
      <c r="JL470" s="236" t="s">
        <v>145</v>
      </c>
      <c r="JM470" s="236" t="s">
        <v>74</v>
      </c>
      <c r="JN470" s="236" t="s">
        <v>841</v>
      </c>
      <c r="JP470" s="236" t="s">
        <v>30677</v>
      </c>
      <c r="JQ470" s="236" t="s">
        <v>145</v>
      </c>
      <c r="JR470" s="236" t="s">
        <v>74</v>
      </c>
      <c r="JS470" s="236" t="s">
        <v>841</v>
      </c>
      <c r="JU470" s="294" t="s">
        <v>30678</v>
      </c>
      <c r="JV470" s="294" t="s">
        <v>52</v>
      </c>
      <c r="JW470" s="263" t="s">
        <v>70</v>
      </c>
      <c r="JX470" s="294" t="s">
        <v>1083</v>
      </c>
      <c r="JZ470" s="263" t="s">
        <v>30679</v>
      </c>
      <c r="KA470" s="263" t="s">
        <v>145</v>
      </c>
      <c r="KB470" s="263" t="s">
        <v>70</v>
      </c>
      <c r="KC470" s="263" t="s">
        <v>1083</v>
      </c>
      <c r="KE470" s="263" t="s">
        <v>30680</v>
      </c>
      <c r="KF470" s="263" t="s">
        <v>52</v>
      </c>
      <c r="KG470" s="263" t="s">
        <v>70</v>
      </c>
      <c r="KH470" s="263" t="s">
        <v>1083</v>
      </c>
      <c r="KJ470" s="263" t="s">
        <v>30681</v>
      </c>
      <c r="KK470" s="263" t="s">
        <v>52</v>
      </c>
      <c r="KL470" s="263" t="s">
        <v>74</v>
      </c>
      <c r="KM470" s="263" t="s">
        <v>34074</v>
      </c>
      <c r="KO470" s="214" t="s">
        <v>30682</v>
      </c>
      <c r="KP470" s="214" t="s">
        <v>145</v>
      </c>
      <c r="KQ470" s="214" t="s">
        <v>70</v>
      </c>
      <c r="KR470" s="214" t="s">
        <v>67</v>
      </c>
      <c r="KT470" s="22" t="s">
        <v>30683</v>
      </c>
      <c r="KU470" s="22" t="s">
        <v>145</v>
      </c>
      <c r="KV470" s="22" t="s">
        <v>70</v>
      </c>
      <c r="KW470" s="22" t="s">
        <v>67</v>
      </c>
      <c r="KY470" s="214" t="s">
        <v>30684</v>
      </c>
      <c r="KZ470" s="214" t="s">
        <v>52</v>
      </c>
      <c r="LA470" s="214" t="s">
        <v>74</v>
      </c>
      <c r="LB470" s="214" t="s">
        <v>67</v>
      </c>
      <c r="LD470" s="22" t="s">
        <v>30685</v>
      </c>
      <c r="LE470" s="22" t="s">
        <v>145</v>
      </c>
      <c r="LF470" s="22" t="s">
        <v>70</v>
      </c>
      <c r="LG470" s="22" t="s">
        <v>67</v>
      </c>
    </row>
    <row r="471" spans="1:319">
      <c r="A471" s="22" t="s">
        <v>30686</v>
      </c>
      <c r="B471" s="22" t="s">
        <v>145</v>
      </c>
      <c r="C471" s="22" t="s">
        <v>70</v>
      </c>
      <c r="D471" s="22" t="s">
        <v>67</v>
      </c>
      <c r="F471" s="73" t="s">
        <v>30687</v>
      </c>
      <c r="G471" s="22" t="s">
        <v>145</v>
      </c>
      <c r="H471" s="22" t="s">
        <v>70</v>
      </c>
      <c r="I471" s="22" t="s">
        <v>67</v>
      </c>
      <c r="K471" s="99" t="s">
        <v>30688</v>
      </c>
      <c r="L471" s="22" t="s">
        <v>145</v>
      </c>
      <c r="M471" s="22" t="s">
        <v>70</v>
      </c>
      <c r="N471" s="22" t="s">
        <v>67</v>
      </c>
      <c r="P471" s="230" t="s">
        <v>30689</v>
      </c>
      <c r="Q471" s="218" t="s">
        <v>145</v>
      </c>
      <c r="R471" s="218" t="s">
        <v>72</v>
      </c>
      <c r="S471" s="218" t="s">
        <v>34072</v>
      </c>
      <c r="U471" s="293" t="s">
        <v>30690</v>
      </c>
      <c r="V471" s="293" t="s">
        <v>145</v>
      </c>
      <c r="W471" s="293" t="s">
        <v>74</v>
      </c>
      <c r="X471" s="293" t="s">
        <v>656</v>
      </c>
      <c r="Z471" s="293" t="s">
        <v>30691</v>
      </c>
      <c r="AA471" s="293" t="s">
        <v>145</v>
      </c>
      <c r="AB471" s="293" t="s">
        <v>74</v>
      </c>
      <c r="AC471" s="293" t="s">
        <v>656</v>
      </c>
      <c r="AE471" s="293" t="s">
        <v>30692</v>
      </c>
      <c r="AF471" s="293" t="s">
        <v>145</v>
      </c>
      <c r="AG471" s="293" t="s">
        <v>74</v>
      </c>
      <c r="AH471" s="293" t="s">
        <v>656</v>
      </c>
      <c r="AJ471" s="293" t="s">
        <v>30693</v>
      </c>
      <c r="AK471" s="293" t="s">
        <v>145</v>
      </c>
      <c r="AL471" s="293" t="s">
        <v>74</v>
      </c>
      <c r="AM471" s="293" t="s">
        <v>656</v>
      </c>
      <c r="AO471" s="22" t="s">
        <v>30694</v>
      </c>
      <c r="AP471" s="22" t="s">
        <v>145</v>
      </c>
      <c r="AQ471" s="22" t="s">
        <v>70</v>
      </c>
      <c r="AR471" s="22" t="s">
        <v>67</v>
      </c>
      <c r="AT471" s="22" t="s">
        <v>30695</v>
      </c>
      <c r="AU471" s="22" t="s">
        <v>145</v>
      </c>
      <c r="AV471" s="22" t="s">
        <v>70</v>
      </c>
      <c r="AW471" s="22" t="s">
        <v>67</v>
      </c>
      <c r="AY471" s="22" t="s">
        <v>30696</v>
      </c>
      <c r="AZ471" s="22" t="s">
        <v>145</v>
      </c>
      <c r="BA471" s="22" t="s">
        <v>70</v>
      </c>
      <c r="BB471" s="22" t="s">
        <v>67</v>
      </c>
      <c r="BD471" s="22" t="s">
        <v>30697</v>
      </c>
      <c r="BE471" s="22" t="s">
        <v>145</v>
      </c>
      <c r="BF471" s="22" t="s">
        <v>70</v>
      </c>
      <c r="BG471" s="22" t="s">
        <v>67</v>
      </c>
      <c r="BI471" s="22" t="s">
        <v>30698</v>
      </c>
      <c r="BJ471" s="22" t="s">
        <v>145</v>
      </c>
      <c r="BK471" s="22" t="s">
        <v>70</v>
      </c>
      <c r="BL471" s="22" t="s">
        <v>67</v>
      </c>
      <c r="BN471" s="22" t="s">
        <v>30699</v>
      </c>
      <c r="BO471" s="22" t="s">
        <v>145</v>
      </c>
      <c r="BP471" s="22" t="s">
        <v>70</v>
      </c>
      <c r="BQ471" s="22" t="s">
        <v>67</v>
      </c>
      <c r="BS471" s="22" t="s">
        <v>30700</v>
      </c>
      <c r="BT471" s="22" t="s">
        <v>145</v>
      </c>
      <c r="BU471" s="22" t="s">
        <v>70</v>
      </c>
      <c r="BV471" s="214" t="s">
        <v>530</v>
      </c>
      <c r="BX471" s="22" t="s">
        <v>30701</v>
      </c>
      <c r="BY471" s="22" t="s">
        <v>145</v>
      </c>
      <c r="BZ471" s="22" t="s">
        <v>70</v>
      </c>
      <c r="CA471" s="214" t="s">
        <v>530</v>
      </c>
      <c r="CC471" s="214" t="s">
        <v>30702</v>
      </c>
      <c r="CD471" s="214" t="s">
        <v>34544</v>
      </c>
      <c r="CE471" s="214" t="s">
        <v>70</v>
      </c>
      <c r="CF471" s="214" t="s">
        <v>530</v>
      </c>
      <c r="CH471" s="214" t="s">
        <v>30703</v>
      </c>
      <c r="CI471" s="214" t="s">
        <v>491</v>
      </c>
      <c r="CJ471" s="214" t="s">
        <v>70</v>
      </c>
      <c r="CK471" s="214" t="s">
        <v>530</v>
      </c>
      <c r="CM471" s="214" t="s">
        <v>30704</v>
      </c>
      <c r="CN471" s="214" t="s">
        <v>484</v>
      </c>
      <c r="CO471" s="214" t="s">
        <v>70</v>
      </c>
      <c r="CP471" s="214" t="s">
        <v>530</v>
      </c>
      <c r="CR471" s="214" t="s">
        <v>30705</v>
      </c>
      <c r="CS471" s="214" t="s">
        <v>486</v>
      </c>
      <c r="CT471" s="214" t="s">
        <v>70</v>
      </c>
      <c r="CU471" s="214" t="s">
        <v>530</v>
      </c>
      <c r="CW471" s="214" t="s">
        <v>30706</v>
      </c>
      <c r="CX471" s="214" t="s">
        <v>488</v>
      </c>
      <c r="CY471" s="214" t="s">
        <v>70</v>
      </c>
      <c r="CZ471" s="214" t="s">
        <v>530</v>
      </c>
      <c r="DB471" s="214" t="s">
        <v>30707</v>
      </c>
      <c r="DC471" s="214" t="s">
        <v>488</v>
      </c>
      <c r="DD471" s="214" t="s">
        <v>70</v>
      </c>
      <c r="DE471" s="214" t="s">
        <v>530</v>
      </c>
      <c r="DG471" s="214" t="s">
        <v>30708</v>
      </c>
      <c r="DH471" s="214" t="s">
        <v>34570</v>
      </c>
      <c r="DI471" s="214" t="s">
        <v>70</v>
      </c>
      <c r="DJ471" s="214" t="s">
        <v>530</v>
      </c>
      <c r="DL471" s="214" t="s">
        <v>30709</v>
      </c>
      <c r="DM471" s="214" t="s">
        <v>484</v>
      </c>
      <c r="DN471" s="214" t="s">
        <v>70</v>
      </c>
      <c r="DO471" s="214" t="s">
        <v>530</v>
      </c>
      <c r="DQ471" s="214" t="s">
        <v>30710</v>
      </c>
      <c r="DR471" s="214" t="s">
        <v>93</v>
      </c>
      <c r="DS471" s="214" t="s">
        <v>70</v>
      </c>
      <c r="DT471" s="214" t="s">
        <v>530</v>
      </c>
      <c r="DV471" s="214" t="s">
        <v>30711</v>
      </c>
      <c r="DW471" s="214" t="s">
        <v>93</v>
      </c>
      <c r="DX471" s="214" t="s">
        <v>70</v>
      </c>
      <c r="DY471" s="214" t="s">
        <v>530</v>
      </c>
      <c r="EA471" s="214" t="s">
        <v>30712</v>
      </c>
      <c r="EB471" s="214" t="s">
        <v>488</v>
      </c>
      <c r="EC471" s="214" t="s">
        <v>70</v>
      </c>
      <c r="ED471" s="214" t="s">
        <v>530</v>
      </c>
      <c r="EF471" s="214" t="s">
        <v>30713</v>
      </c>
      <c r="EG471" s="214" t="s">
        <v>468</v>
      </c>
      <c r="EH471" s="214" t="s">
        <v>70</v>
      </c>
      <c r="EI471" s="214" t="s">
        <v>530</v>
      </c>
      <c r="EK471" s="214" t="s">
        <v>30714</v>
      </c>
      <c r="EL471" s="214" t="s">
        <v>484</v>
      </c>
      <c r="EM471" s="214" t="s">
        <v>70</v>
      </c>
      <c r="EN471" s="214" t="s">
        <v>530</v>
      </c>
      <c r="EP471" s="214" t="s">
        <v>30715</v>
      </c>
      <c r="EQ471" s="214" t="s">
        <v>203</v>
      </c>
      <c r="ER471" s="214" t="s">
        <v>70</v>
      </c>
      <c r="ES471" s="214" t="s">
        <v>530</v>
      </c>
      <c r="EU471" s="214" t="s">
        <v>30716</v>
      </c>
      <c r="EV471" s="214" t="s">
        <v>34073</v>
      </c>
      <c r="EW471" s="214" t="s">
        <v>70</v>
      </c>
      <c r="EX471" s="214" t="s">
        <v>530</v>
      </c>
      <c r="EZ471" s="214" t="s">
        <v>30717</v>
      </c>
      <c r="FA471" s="214" t="s">
        <v>52</v>
      </c>
      <c r="FB471" s="214" t="s">
        <v>70</v>
      </c>
      <c r="FC471" s="214" t="s">
        <v>530</v>
      </c>
      <c r="FE471" s="214" t="s">
        <v>30718</v>
      </c>
      <c r="FF471" s="214" t="s">
        <v>52</v>
      </c>
      <c r="FG471" s="214" t="s">
        <v>70</v>
      </c>
      <c r="FH471" s="214" t="s">
        <v>530</v>
      </c>
      <c r="FJ471" s="321" t="s">
        <v>30719</v>
      </c>
      <c r="FK471" s="214" t="s">
        <v>503</v>
      </c>
      <c r="FL471" s="214" t="s">
        <v>70</v>
      </c>
      <c r="FM471" s="214" t="s">
        <v>530</v>
      </c>
      <c r="FO471" s="321" t="s">
        <v>30720</v>
      </c>
      <c r="FP471" s="214" t="s">
        <v>468</v>
      </c>
      <c r="FQ471" s="214" t="s">
        <v>70</v>
      </c>
      <c r="FR471" s="214" t="s">
        <v>530</v>
      </c>
      <c r="FT471" s="321" t="s">
        <v>30721</v>
      </c>
      <c r="FU471" s="214" t="s">
        <v>34541</v>
      </c>
      <c r="FV471" s="214" t="s">
        <v>70</v>
      </c>
      <c r="FW471" s="214" t="s">
        <v>530</v>
      </c>
      <c r="FY471" s="321" t="s">
        <v>30722</v>
      </c>
      <c r="FZ471" s="214" t="s">
        <v>34615</v>
      </c>
      <c r="GA471" s="214" t="s">
        <v>70</v>
      </c>
      <c r="GB471" s="214" t="s">
        <v>530</v>
      </c>
      <c r="GD471" s="321" t="s">
        <v>30723</v>
      </c>
      <c r="GE471" s="214" t="s">
        <v>34545</v>
      </c>
      <c r="GF471" s="214" t="s">
        <v>70</v>
      </c>
      <c r="GG471" s="214" t="s">
        <v>530</v>
      </c>
      <c r="GI471" s="321" t="s">
        <v>30724</v>
      </c>
      <c r="GJ471" s="214" t="s">
        <v>926</v>
      </c>
      <c r="GK471" s="214" t="s">
        <v>70</v>
      </c>
      <c r="GL471" s="214" t="s">
        <v>530</v>
      </c>
      <c r="GN471" s="321" t="s">
        <v>30725</v>
      </c>
      <c r="GO471" s="214" t="s">
        <v>34580</v>
      </c>
      <c r="GP471" s="214" t="s">
        <v>70</v>
      </c>
      <c r="GQ471" s="214" t="s">
        <v>530</v>
      </c>
      <c r="GS471" s="321" t="s">
        <v>30726</v>
      </c>
      <c r="GT471" s="214" t="s">
        <v>491</v>
      </c>
      <c r="GU471" s="214" t="s">
        <v>70</v>
      </c>
      <c r="GV471" s="214" t="s">
        <v>530</v>
      </c>
      <c r="GX471" s="214" t="s">
        <v>30727</v>
      </c>
      <c r="GY471" s="214" t="s">
        <v>103</v>
      </c>
      <c r="GZ471" s="214" t="s">
        <v>70</v>
      </c>
      <c r="HA471" s="214" t="s">
        <v>530</v>
      </c>
      <c r="HC471" s="214" t="s">
        <v>30728</v>
      </c>
      <c r="HD471" s="214" t="s">
        <v>146</v>
      </c>
      <c r="HE471" s="214" t="s">
        <v>70</v>
      </c>
      <c r="HF471" s="214" t="s">
        <v>530</v>
      </c>
      <c r="HH471" s="214" t="s">
        <v>30729</v>
      </c>
      <c r="HI471" s="214" t="s">
        <v>34620</v>
      </c>
      <c r="HJ471" s="214" t="s">
        <v>70</v>
      </c>
      <c r="HK471" s="214" t="s">
        <v>530</v>
      </c>
      <c r="HM471" s="214" t="s">
        <v>30730</v>
      </c>
      <c r="HN471" s="214" t="s">
        <v>636</v>
      </c>
      <c r="HO471" s="214" t="s">
        <v>70</v>
      </c>
      <c r="HP471" s="214" t="s">
        <v>530</v>
      </c>
      <c r="HR471" s="22" t="s">
        <v>30731</v>
      </c>
      <c r="HS471" s="22" t="s">
        <v>484</v>
      </c>
      <c r="HT471" s="22" t="s">
        <v>70</v>
      </c>
      <c r="HU471" s="214" t="s">
        <v>530</v>
      </c>
      <c r="HW471" s="22" t="s">
        <v>30732</v>
      </c>
      <c r="HX471" s="22" t="s">
        <v>497</v>
      </c>
      <c r="HY471" s="22" t="s">
        <v>70</v>
      </c>
      <c r="HZ471" s="214" t="s">
        <v>530</v>
      </c>
      <c r="IB471" s="22" t="s">
        <v>30733</v>
      </c>
      <c r="IC471" s="22" t="s">
        <v>52</v>
      </c>
      <c r="ID471" s="22" t="s">
        <v>70</v>
      </c>
      <c r="IE471" s="214" t="s">
        <v>530</v>
      </c>
      <c r="IG471" s="22" t="s">
        <v>30734</v>
      </c>
      <c r="IH471" s="22" t="s">
        <v>52</v>
      </c>
      <c r="II471" s="22" t="s">
        <v>70</v>
      </c>
      <c r="IJ471" s="214" t="s">
        <v>530</v>
      </c>
      <c r="IL471" s="22" t="s">
        <v>30735</v>
      </c>
      <c r="IM471" s="22" t="s">
        <v>145</v>
      </c>
      <c r="IN471" s="22" t="s">
        <v>70</v>
      </c>
      <c r="IO471" s="214" t="s">
        <v>530</v>
      </c>
      <c r="IQ471" s="236" t="s">
        <v>30736</v>
      </c>
      <c r="IR471" s="236" t="s">
        <v>145</v>
      </c>
      <c r="IS471" s="236" t="s">
        <v>74</v>
      </c>
      <c r="IT471" s="236" t="s">
        <v>841</v>
      </c>
      <c r="IV471" s="236" t="s">
        <v>30737</v>
      </c>
      <c r="IW471" s="236" t="s">
        <v>145</v>
      </c>
      <c r="IX471" s="236" t="s">
        <v>74</v>
      </c>
      <c r="IY471" s="236" t="s">
        <v>841</v>
      </c>
      <c r="JA471" s="236" t="s">
        <v>30738</v>
      </c>
      <c r="JB471" s="236" t="s">
        <v>145</v>
      </c>
      <c r="JC471" s="236" t="s">
        <v>74</v>
      </c>
      <c r="JD471" s="236" t="s">
        <v>841</v>
      </c>
      <c r="JF471" s="236" t="s">
        <v>30739</v>
      </c>
      <c r="JG471" s="236" t="s">
        <v>145</v>
      </c>
      <c r="JH471" s="236" t="s">
        <v>74</v>
      </c>
      <c r="JI471" s="236" t="s">
        <v>841</v>
      </c>
      <c r="JK471" s="236" t="s">
        <v>30740</v>
      </c>
      <c r="JL471" s="236" t="s">
        <v>145</v>
      </c>
      <c r="JM471" s="236" t="s">
        <v>74</v>
      </c>
      <c r="JN471" s="236" t="s">
        <v>841</v>
      </c>
      <c r="JP471" s="236" t="s">
        <v>30741</v>
      </c>
      <c r="JQ471" s="236" t="s">
        <v>145</v>
      </c>
      <c r="JR471" s="236" t="s">
        <v>74</v>
      </c>
      <c r="JS471" s="236" t="s">
        <v>841</v>
      </c>
      <c r="JU471" s="294" t="s">
        <v>30742</v>
      </c>
      <c r="JV471" s="294" t="s">
        <v>52</v>
      </c>
      <c r="JW471" s="263" t="s">
        <v>70</v>
      </c>
      <c r="JX471" s="294" t="s">
        <v>1083</v>
      </c>
      <c r="JZ471" s="263" t="s">
        <v>30743</v>
      </c>
      <c r="KA471" s="263" t="s">
        <v>145</v>
      </c>
      <c r="KB471" s="263" t="s">
        <v>70</v>
      </c>
      <c r="KC471" s="263" t="s">
        <v>1083</v>
      </c>
      <c r="KE471" s="263" t="s">
        <v>30744</v>
      </c>
      <c r="KF471" s="263" t="s">
        <v>52</v>
      </c>
      <c r="KG471" s="263" t="s">
        <v>70</v>
      </c>
      <c r="KH471" s="263" t="s">
        <v>1083</v>
      </c>
      <c r="KJ471" s="263" t="s">
        <v>30745</v>
      </c>
      <c r="KK471" s="263" t="s">
        <v>52</v>
      </c>
      <c r="KL471" s="263" t="s">
        <v>74</v>
      </c>
      <c r="KM471" s="263" t="s">
        <v>34074</v>
      </c>
      <c r="KO471" s="214" t="s">
        <v>30746</v>
      </c>
      <c r="KP471" s="214" t="s">
        <v>145</v>
      </c>
      <c r="KQ471" s="214" t="s">
        <v>70</v>
      </c>
      <c r="KR471" s="214" t="s">
        <v>67</v>
      </c>
      <c r="KT471" s="22" t="s">
        <v>30747</v>
      </c>
      <c r="KU471" s="22" t="s">
        <v>145</v>
      </c>
      <c r="KV471" s="22" t="s">
        <v>70</v>
      </c>
      <c r="KW471" s="22" t="s">
        <v>67</v>
      </c>
      <c r="KY471" s="214" t="s">
        <v>30748</v>
      </c>
      <c r="KZ471" s="214" t="s">
        <v>52</v>
      </c>
      <c r="LA471" s="214" t="s">
        <v>74</v>
      </c>
      <c r="LB471" s="214" t="s">
        <v>67</v>
      </c>
      <c r="LD471" s="22" t="s">
        <v>30749</v>
      </c>
      <c r="LE471" s="22" t="s">
        <v>145</v>
      </c>
      <c r="LF471" s="22" t="s">
        <v>70</v>
      </c>
      <c r="LG471" s="22" t="s">
        <v>67</v>
      </c>
    </row>
    <row r="472" spans="1:319">
      <c r="A472" s="22" t="s">
        <v>30750</v>
      </c>
      <c r="B472" s="22" t="s">
        <v>145</v>
      </c>
      <c r="C472" s="22" t="s">
        <v>70</v>
      </c>
      <c r="D472" s="22" t="s">
        <v>67</v>
      </c>
      <c r="F472" s="73" t="s">
        <v>30751</v>
      </c>
      <c r="G472" s="22" t="s">
        <v>145</v>
      </c>
      <c r="H472" s="22" t="s">
        <v>70</v>
      </c>
      <c r="I472" s="22" t="s">
        <v>67</v>
      </c>
      <c r="K472" s="99" t="s">
        <v>30752</v>
      </c>
      <c r="L472" s="22" t="s">
        <v>145</v>
      </c>
      <c r="M472" s="22" t="s">
        <v>70</v>
      </c>
      <c r="N472" s="22" t="s">
        <v>67</v>
      </c>
      <c r="P472" s="99" t="s">
        <v>30753</v>
      </c>
      <c r="Q472" s="22" t="s">
        <v>145</v>
      </c>
      <c r="R472" s="22" t="s">
        <v>70</v>
      </c>
      <c r="S472" s="22" t="s">
        <v>67</v>
      </c>
      <c r="U472" s="293" t="s">
        <v>30754</v>
      </c>
      <c r="V472" s="293" t="s">
        <v>145</v>
      </c>
      <c r="W472" s="293" t="s">
        <v>74</v>
      </c>
      <c r="X472" s="293" t="s">
        <v>656</v>
      </c>
      <c r="Z472" s="293" t="s">
        <v>30755</v>
      </c>
      <c r="AA472" s="293" t="s">
        <v>145</v>
      </c>
      <c r="AB472" s="293" t="s">
        <v>74</v>
      </c>
      <c r="AC472" s="293" t="s">
        <v>656</v>
      </c>
      <c r="AE472" s="293" t="s">
        <v>30756</v>
      </c>
      <c r="AF472" s="293" t="s">
        <v>145</v>
      </c>
      <c r="AG472" s="293" t="s">
        <v>74</v>
      </c>
      <c r="AH472" s="293" t="s">
        <v>656</v>
      </c>
      <c r="AJ472" s="293" t="s">
        <v>30757</v>
      </c>
      <c r="AK472" s="293" t="s">
        <v>145</v>
      </c>
      <c r="AL472" s="293" t="s">
        <v>74</v>
      </c>
      <c r="AM472" s="293" t="s">
        <v>656</v>
      </c>
      <c r="AO472" s="22" t="s">
        <v>30758</v>
      </c>
      <c r="AP472" s="22" t="s">
        <v>145</v>
      </c>
      <c r="AQ472" s="22" t="s">
        <v>70</v>
      </c>
      <c r="AR472" s="22" t="s">
        <v>67</v>
      </c>
      <c r="AT472" s="22" t="s">
        <v>30759</v>
      </c>
      <c r="AU472" s="22" t="s">
        <v>145</v>
      </c>
      <c r="AV472" s="22" t="s">
        <v>70</v>
      </c>
      <c r="AW472" s="22" t="s">
        <v>67</v>
      </c>
      <c r="AY472" s="22" t="s">
        <v>30760</v>
      </c>
      <c r="AZ472" s="22" t="s">
        <v>145</v>
      </c>
      <c r="BA472" s="22" t="s">
        <v>70</v>
      </c>
      <c r="BB472" s="22" t="s">
        <v>67</v>
      </c>
      <c r="BD472" s="22" t="s">
        <v>30761</v>
      </c>
      <c r="BE472" s="22" t="s">
        <v>145</v>
      </c>
      <c r="BF472" s="22" t="s">
        <v>70</v>
      </c>
      <c r="BG472" s="22" t="s">
        <v>67</v>
      </c>
      <c r="BI472" s="22" t="s">
        <v>30762</v>
      </c>
      <c r="BJ472" s="22" t="s">
        <v>145</v>
      </c>
      <c r="BK472" s="22" t="s">
        <v>70</v>
      </c>
      <c r="BL472" s="22" t="s">
        <v>67</v>
      </c>
      <c r="BN472" s="22" t="s">
        <v>30763</v>
      </c>
      <c r="BO472" s="22" t="s">
        <v>145</v>
      </c>
      <c r="BP472" s="22" t="s">
        <v>70</v>
      </c>
      <c r="BQ472" s="22" t="s">
        <v>67</v>
      </c>
      <c r="BS472" s="22" t="s">
        <v>30764</v>
      </c>
      <c r="BT472" s="22" t="s">
        <v>145</v>
      </c>
      <c r="BU472" s="22" t="s">
        <v>70</v>
      </c>
      <c r="BV472" s="214" t="s">
        <v>530</v>
      </c>
      <c r="BX472" s="22" t="s">
        <v>30765</v>
      </c>
      <c r="BY472" s="22" t="s">
        <v>145</v>
      </c>
      <c r="BZ472" s="22" t="s">
        <v>70</v>
      </c>
      <c r="CA472" s="214" t="s">
        <v>530</v>
      </c>
      <c r="CC472" s="214" t="s">
        <v>30766</v>
      </c>
      <c r="CD472" s="214" t="s">
        <v>103</v>
      </c>
      <c r="CE472" s="214" t="s">
        <v>70</v>
      </c>
      <c r="CF472" s="214" t="s">
        <v>530</v>
      </c>
      <c r="CH472" s="214" t="s">
        <v>30767</v>
      </c>
      <c r="CI472" s="214" t="s">
        <v>148</v>
      </c>
      <c r="CJ472" s="214" t="s">
        <v>70</v>
      </c>
      <c r="CK472" s="214" t="s">
        <v>530</v>
      </c>
      <c r="CM472" s="214" t="s">
        <v>30768</v>
      </c>
      <c r="CN472" s="214" t="s">
        <v>485</v>
      </c>
      <c r="CO472" s="214" t="s">
        <v>70</v>
      </c>
      <c r="CP472" s="214" t="s">
        <v>530</v>
      </c>
      <c r="CR472" s="214" t="s">
        <v>30769</v>
      </c>
      <c r="CS472" s="214" t="s">
        <v>926</v>
      </c>
      <c r="CT472" s="214" t="s">
        <v>70</v>
      </c>
      <c r="CU472" s="214" t="s">
        <v>530</v>
      </c>
      <c r="CW472" s="214" t="s">
        <v>30770</v>
      </c>
      <c r="CX472" s="214" t="s">
        <v>34553</v>
      </c>
      <c r="CY472" s="214" t="s">
        <v>70</v>
      </c>
      <c r="CZ472" s="214" t="s">
        <v>530</v>
      </c>
      <c r="DB472" s="214" t="s">
        <v>30771</v>
      </c>
      <c r="DC472" s="214" t="s">
        <v>10541</v>
      </c>
      <c r="DD472" s="214" t="s">
        <v>70</v>
      </c>
      <c r="DE472" s="214" t="s">
        <v>530</v>
      </c>
      <c r="DG472" s="214" t="s">
        <v>30772</v>
      </c>
      <c r="DH472" s="214" t="s">
        <v>90</v>
      </c>
      <c r="DI472" s="214" t="s">
        <v>70</v>
      </c>
      <c r="DJ472" s="214" t="s">
        <v>530</v>
      </c>
      <c r="DL472" s="214" t="s">
        <v>30773</v>
      </c>
      <c r="DM472" s="214" t="s">
        <v>483</v>
      </c>
      <c r="DN472" s="214" t="s">
        <v>70</v>
      </c>
      <c r="DO472" s="214" t="s">
        <v>530</v>
      </c>
      <c r="DQ472" s="214" t="s">
        <v>30774</v>
      </c>
      <c r="DR472" s="214" t="s">
        <v>951</v>
      </c>
      <c r="DS472" s="214" t="s">
        <v>70</v>
      </c>
      <c r="DT472" s="214" t="s">
        <v>530</v>
      </c>
      <c r="DV472" s="214" t="s">
        <v>30775</v>
      </c>
      <c r="DW472" s="214" t="s">
        <v>52</v>
      </c>
      <c r="DX472" s="214" t="s">
        <v>70</v>
      </c>
      <c r="DY472" s="214" t="s">
        <v>530</v>
      </c>
      <c r="EA472" s="214" t="s">
        <v>30776</v>
      </c>
      <c r="EB472" s="214" t="s">
        <v>34593</v>
      </c>
      <c r="EC472" s="214" t="s">
        <v>70</v>
      </c>
      <c r="ED472" s="214" t="s">
        <v>530</v>
      </c>
      <c r="EF472" s="214" t="s">
        <v>30777</v>
      </c>
      <c r="EG472" s="214" t="s">
        <v>481</v>
      </c>
      <c r="EH472" s="214" t="s">
        <v>70</v>
      </c>
      <c r="EI472" s="214" t="s">
        <v>530</v>
      </c>
      <c r="EK472" s="214" t="s">
        <v>30778</v>
      </c>
      <c r="EL472" s="214" t="s">
        <v>34560</v>
      </c>
      <c r="EM472" s="214" t="s">
        <v>70</v>
      </c>
      <c r="EN472" s="214" t="s">
        <v>530</v>
      </c>
      <c r="EP472" s="214" t="s">
        <v>30779</v>
      </c>
      <c r="EQ472" s="214" t="s">
        <v>34597</v>
      </c>
      <c r="ER472" s="214" t="s">
        <v>70</v>
      </c>
      <c r="ES472" s="214" t="s">
        <v>530</v>
      </c>
      <c r="EU472" s="214" t="s">
        <v>30780</v>
      </c>
      <c r="EV472" s="214" t="s">
        <v>34611</v>
      </c>
      <c r="EW472" s="214" t="s">
        <v>70</v>
      </c>
      <c r="EX472" s="214" t="s">
        <v>530</v>
      </c>
      <c r="EZ472" s="214" t="s">
        <v>30781</v>
      </c>
      <c r="FA472" s="214" t="s">
        <v>90</v>
      </c>
      <c r="FB472" s="214" t="s">
        <v>70</v>
      </c>
      <c r="FC472" s="214" t="s">
        <v>530</v>
      </c>
      <c r="FE472" s="214" t="s">
        <v>30782</v>
      </c>
      <c r="FF472" s="214" t="s">
        <v>90</v>
      </c>
      <c r="FG472" s="214" t="s">
        <v>70</v>
      </c>
      <c r="FH472" s="214" t="s">
        <v>530</v>
      </c>
      <c r="FJ472" s="321" t="s">
        <v>30783</v>
      </c>
      <c r="FK472" s="214" t="s">
        <v>34538</v>
      </c>
      <c r="FL472" s="214" t="s">
        <v>70</v>
      </c>
      <c r="FM472" s="214" t="s">
        <v>530</v>
      </c>
      <c r="FO472" s="321" t="s">
        <v>30784</v>
      </c>
      <c r="FP472" s="214" t="s">
        <v>34564</v>
      </c>
      <c r="FQ472" s="214" t="s">
        <v>70</v>
      </c>
      <c r="FR472" s="214" t="s">
        <v>530</v>
      </c>
      <c r="FT472" s="321" t="s">
        <v>30785</v>
      </c>
      <c r="FU472" s="214" t="s">
        <v>492</v>
      </c>
      <c r="FV472" s="214" t="s">
        <v>70</v>
      </c>
      <c r="FW472" s="214" t="s">
        <v>530</v>
      </c>
      <c r="FY472" s="321" t="s">
        <v>30786</v>
      </c>
      <c r="FZ472" s="214" t="s">
        <v>518</v>
      </c>
      <c r="GA472" s="214" t="s">
        <v>70</v>
      </c>
      <c r="GB472" s="214" t="s">
        <v>530</v>
      </c>
      <c r="GD472" s="321" t="s">
        <v>30787</v>
      </c>
      <c r="GE472" s="214" t="s">
        <v>85</v>
      </c>
      <c r="GF472" s="214" t="s">
        <v>70</v>
      </c>
      <c r="GG472" s="214" t="s">
        <v>530</v>
      </c>
      <c r="GI472" s="321" t="s">
        <v>30788</v>
      </c>
      <c r="GJ472" s="214" t="s">
        <v>52</v>
      </c>
      <c r="GK472" s="214" t="s">
        <v>70</v>
      </c>
      <c r="GL472" s="214" t="s">
        <v>530</v>
      </c>
      <c r="GN472" s="321" t="s">
        <v>30789</v>
      </c>
      <c r="GO472" s="214" t="s">
        <v>148</v>
      </c>
      <c r="GP472" s="214" t="s">
        <v>70</v>
      </c>
      <c r="GQ472" s="214" t="s">
        <v>530</v>
      </c>
      <c r="GS472" s="321" t="s">
        <v>30790</v>
      </c>
      <c r="GT472" s="214" t="s">
        <v>34556</v>
      </c>
      <c r="GU472" s="214" t="s">
        <v>70</v>
      </c>
      <c r="GV472" s="214" t="s">
        <v>530</v>
      </c>
      <c r="GX472" s="214" t="s">
        <v>30791</v>
      </c>
      <c r="GY472" s="214" t="s">
        <v>163</v>
      </c>
      <c r="GZ472" s="214" t="s">
        <v>70</v>
      </c>
      <c r="HA472" s="214" t="s">
        <v>530</v>
      </c>
      <c r="HC472" s="214" t="s">
        <v>30792</v>
      </c>
      <c r="HD472" s="214" t="s">
        <v>85</v>
      </c>
      <c r="HE472" s="214" t="s">
        <v>70</v>
      </c>
      <c r="HF472" s="214" t="s">
        <v>530</v>
      </c>
      <c r="HH472" s="214" t="s">
        <v>30793</v>
      </c>
      <c r="HI472" s="214" t="s">
        <v>148</v>
      </c>
      <c r="HJ472" s="214" t="s">
        <v>70</v>
      </c>
      <c r="HK472" s="214" t="s">
        <v>530</v>
      </c>
      <c r="HM472" s="214" t="s">
        <v>30794</v>
      </c>
      <c r="HN472" s="214" t="s">
        <v>927</v>
      </c>
      <c r="HO472" s="214" t="s">
        <v>70</v>
      </c>
      <c r="HP472" s="214" t="s">
        <v>530</v>
      </c>
      <c r="HR472" s="22" t="s">
        <v>30795</v>
      </c>
      <c r="HS472" s="22" t="s">
        <v>86</v>
      </c>
      <c r="HT472" s="22" t="s">
        <v>70</v>
      </c>
      <c r="HU472" s="214" t="s">
        <v>530</v>
      </c>
      <c r="HW472" s="22" t="s">
        <v>30796</v>
      </c>
      <c r="HX472" s="22" t="s">
        <v>52</v>
      </c>
      <c r="HY472" s="22" t="s">
        <v>70</v>
      </c>
      <c r="HZ472" s="214" t="s">
        <v>530</v>
      </c>
      <c r="IB472" s="22" t="s">
        <v>30797</v>
      </c>
      <c r="IC472" s="22" t="s">
        <v>145</v>
      </c>
      <c r="ID472" s="22" t="s">
        <v>70</v>
      </c>
      <c r="IE472" s="214" t="s">
        <v>530</v>
      </c>
      <c r="IG472" s="22" t="s">
        <v>30798</v>
      </c>
      <c r="IH472" s="22" t="s">
        <v>52</v>
      </c>
      <c r="II472" s="22" t="s">
        <v>70</v>
      </c>
      <c r="IJ472" s="214" t="s">
        <v>530</v>
      </c>
      <c r="IL472" s="22" t="s">
        <v>30799</v>
      </c>
      <c r="IM472" s="22" t="s">
        <v>145</v>
      </c>
      <c r="IN472" s="22" t="s">
        <v>70</v>
      </c>
      <c r="IO472" s="214" t="s">
        <v>530</v>
      </c>
      <c r="IQ472" s="236" t="s">
        <v>30800</v>
      </c>
      <c r="IR472" s="236" t="s">
        <v>145</v>
      </c>
      <c r="IS472" s="236" t="s">
        <v>74</v>
      </c>
      <c r="IT472" s="236" t="s">
        <v>841</v>
      </c>
      <c r="IV472" s="236" t="s">
        <v>30801</v>
      </c>
      <c r="IW472" s="236" t="s">
        <v>145</v>
      </c>
      <c r="IX472" s="236" t="s">
        <v>74</v>
      </c>
      <c r="IY472" s="236" t="s">
        <v>841</v>
      </c>
      <c r="JA472" s="236" t="s">
        <v>30802</v>
      </c>
      <c r="JB472" s="236" t="s">
        <v>145</v>
      </c>
      <c r="JC472" s="236" t="s">
        <v>74</v>
      </c>
      <c r="JD472" s="236" t="s">
        <v>841</v>
      </c>
      <c r="JF472" s="236" t="s">
        <v>30803</v>
      </c>
      <c r="JG472" s="236" t="s">
        <v>145</v>
      </c>
      <c r="JH472" s="236" t="s">
        <v>74</v>
      </c>
      <c r="JI472" s="236" t="s">
        <v>841</v>
      </c>
      <c r="JK472" s="236" t="s">
        <v>30804</v>
      </c>
      <c r="JL472" s="236" t="s">
        <v>145</v>
      </c>
      <c r="JM472" s="236" t="s">
        <v>74</v>
      </c>
      <c r="JN472" s="236" t="s">
        <v>841</v>
      </c>
      <c r="JP472" s="236" t="s">
        <v>30805</v>
      </c>
      <c r="JQ472" s="236" t="s">
        <v>145</v>
      </c>
      <c r="JR472" s="236" t="s">
        <v>74</v>
      </c>
      <c r="JS472" s="236" t="s">
        <v>841</v>
      </c>
      <c r="JU472" s="294" t="s">
        <v>30806</v>
      </c>
      <c r="JV472" s="294" t="s">
        <v>52</v>
      </c>
      <c r="JW472" s="263" t="s">
        <v>70</v>
      </c>
      <c r="JX472" s="294" t="s">
        <v>1083</v>
      </c>
      <c r="JZ472" s="263" t="s">
        <v>30807</v>
      </c>
      <c r="KA472" s="263" t="s">
        <v>145</v>
      </c>
      <c r="KB472" s="263" t="s">
        <v>70</v>
      </c>
      <c r="KC472" s="263" t="s">
        <v>1083</v>
      </c>
      <c r="KE472" s="263" t="s">
        <v>30808</v>
      </c>
      <c r="KF472" s="263" t="s">
        <v>52</v>
      </c>
      <c r="KG472" s="263" t="s">
        <v>70</v>
      </c>
      <c r="KH472" s="263" t="s">
        <v>1083</v>
      </c>
      <c r="KJ472" s="263" t="s">
        <v>30809</v>
      </c>
      <c r="KK472" s="263" t="s">
        <v>52</v>
      </c>
      <c r="KL472" s="263" t="s">
        <v>74</v>
      </c>
      <c r="KM472" s="263" t="s">
        <v>34074</v>
      </c>
      <c r="KO472" s="214" t="s">
        <v>30810</v>
      </c>
      <c r="KP472" s="214" t="s">
        <v>145</v>
      </c>
      <c r="KQ472" s="214" t="s">
        <v>70</v>
      </c>
      <c r="KR472" s="214" t="s">
        <v>67</v>
      </c>
      <c r="KT472" s="22" t="s">
        <v>30811</v>
      </c>
      <c r="KU472" s="22" t="s">
        <v>145</v>
      </c>
      <c r="KV472" s="22" t="s">
        <v>70</v>
      </c>
      <c r="KW472" s="22" t="s">
        <v>67</v>
      </c>
      <c r="KY472" s="214" t="s">
        <v>30812</v>
      </c>
      <c r="KZ472" s="214" t="s">
        <v>52</v>
      </c>
      <c r="LA472" s="214" t="s">
        <v>74</v>
      </c>
      <c r="LB472" s="214" t="s">
        <v>67</v>
      </c>
      <c r="LD472" s="22" t="s">
        <v>30813</v>
      </c>
      <c r="LE472" s="22" t="s">
        <v>145</v>
      </c>
      <c r="LF472" s="22" t="s">
        <v>70</v>
      </c>
      <c r="LG472" s="22" t="s">
        <v>67</v>
      </c>
    </row>
    <row r="473" spans="1:319">
      <c r="A473" s="22" t="s">
        <v>30814</v>
      </c>
      <c r="B473" s="22" t="s">
        <v>145</v>
      </c>
      <c r="C473" s="22" t="s">
        <v>70</v>
      </c>
      <c r="D473" s="22" t="s">
        <v>67</v>
      </c>
      <c r="F473" s="73" t="s">
        <v>30815</v>
      </c>
      <c r="G473" s="22" t="s">
        <v>145</v>
      </c>
      <c r="H473" s="22" t="s">
        <v>70</v>
      </c>
      <c r="I473" s="22" t="s">
        <v>67</v>
      </c>
      <c r="K473" s="99" t="s">
        <v>30816</v>
      </c>
      <c r="L473" s="22" t="s">
        <v>145</v>
      </c>
      <c r="M473" s="22" t="s">
        <v>70</v>
      </c>
      <c r="N473" s="22" t="s">
        <v>67</v>
      </c>
      <c r="P473" s="99" t="s">
        <v>30817</v>
      </c>
      <c r="Q473" s="22" t="s">
        <v>145</v>
      </c>
      <c r="R473" s="22" t="s">
        <v>70</v>
      </c>
      <c r="S473" s="22" t="s">
        <v>67</v>
      </c>
      <c r="U473" s="293" t="s">
        <v>30818</v>
      </c>
      <c r="V473" s="293" t="s">
        <v>145</v>
      </c>
      <c r="W473" s="293" t="s">
        <v>74</v>
      </c>
      <c r="X473" s="293" t="s">
        <v>656</v>
      </c>
      <c r="Z473" s="293" t="s">
        <v>30819</v>
      </c>
      <c r="AA473" s="293" t="s">
        <v>145</v>
      </c>
      <c r="AB473" s="293" t="s">
        <v>74</v>
      </c>
      <c r="AC473" s="293" t="s">
        <v>656</v>
      </c>
      <c r="AE473" s="293" t="s">
        <v>30820</v>
      </c>
      <c r="AF473" s="293" t="s">
        <v>145</v>
      </c>
      <c r="AG473" s="293" t="s">
        <v>74</v>
      </c>
      <c r="AH473" s="293" t="s">
        <v>656</v>
      </c>
      <c r="AJ473" s="293" t="s">
        <v>30821</v>
      </c>
      <c r="AK473" s="293" t="s">
        <v>145</v>
      </c>
      <c r="AL473" s="293" t="s">
        <v>74</v>
      </c>
      <c r="AM473" s="293" t="s">
        <v>656</v>
      </c>
      <c r="AO473" s="22" t="s">
        <v>30822</v>
      </c>
      <c r="AP473" s="22" t="s">
        <v>145</v>
      </c>
      <c r="AQ473" s="22" t="s">
        <v>70</v>
      </c>
      <c r="AR473" s="22" t="s">
        <v>67</v>
      </c>
      <c r="AT473" s="22" t="s">
        <v>30823</v>
      </c>
      <c r="AU473" s="22" t="s">
        <v>145</v>
      </c>
      <c r="AV473" s="22" t="s">
        <v>70</v>
      </c>
      <c r="AW473" s="22" t="s">
        <v>67</v>
      </c>
      <c r="AY473" s="22" t="s">
        <v>30824</v>
      </c>
      <c r="AZ473" s="22" t="s">
        <v>145</v>
      </c>
      <c r="BA473" s="22" t="s">
        <v>70</v>
      </c>
      <c r="BB473" s="22" t="s">
        <v>67</v>
      </c>
      <c r="BD473" s="22" t="s">
        <v>30825</v>
      </c>
      <c r="BE473" s="22" t="s">
        <v>145</v>
      </c>
      <c r="BF473" s="22" t="s">
        <v>70</v>
      </c>
      <c r="BG473" s="22" t="s">
        <v>67</v>
      </c>
      <c r="BI473" s="22" t="s">
        <v>30826</v>
      </c>
      <c r="BJ473" s="22" t="s">
        <v>145</v>
      </c>
      <c r="BK473" s="22" t="s">
        <v>70</v>
      </c>
      <c r="BL473" s="22" t="s">
        <v>67</v>
      </c>
      <c r="BN473" s="22" t="s">
        <v>30827</v>
      </c>
      <c r="BO473" s="22" t="s">
        <v>145</v>
      </c>
      <c r="BP473" s="22" t="s">
        <v>70</v>
      </c>
      <c r="BQ473" s="22" t="s">
        <v>67</v>
      </c>
      <c r="BS473" s="22" t="s">
        <v>30828</v>
      </c>
      <c r="BT473" s="22" t="s">
        <v>145</v>
      </c>
      <c r="BU473" s="22" t="s">
        <v>70</v>
      </c>
      <c r="BV473" s="214" t="s">
        <v>530</v>
      </c>
      <c r="BX473" s="22" t="s">
        <v>30829</v>
      </c>
      <c r="BY473" s="22" t="s">
        <v>145</v>
      </c>
      <c r="BZ473" s="22" t="s">
        <v>70</v>
      </c>
      <c r="CA473" s="214" t="s">
        <v>530</v>
      </c>
      <c r="CC473" s="214" t="s">
        <v>30830</v>
      </c>
      <c r="CD473" s="214" t="s">
        <v>485</v>
      </c>
      <c r="CE473" s="214" t="s">
        <v>70</v>
      </c>
      <c r="CF473" s="214" t="s">
        <v>530</v>
      </c>
      <c r="CH473" s="214" t="s">
        <v>30831</v>
      </c>
      <c r="CI473" s="214" t="s">
        <v>950</v>
      </c>
      <c r="CJ473" s="214" t="s">
        <v>70</v>
      </c>
      <c r="CK473" s="214" t="s">
        <v>530</v>
      </c>
      <c r="CM473" s="214" t="s">
        <v>30832</v>
      </c>
      <c r="CN473" s="214" t="s">
        <v>146</v>
      </c>
      <c r="CO473" s="214" t="s">
        <v>70</v>
      </c>
      <c r="CP473" s="214" t="s">
        <v>530</v>
      </c>
      <c r="CR473" s="214" t="s">
        <v>30833</v>
      </c>
      <c r="CS473" s="214" t="s">
        <v>488</v>
      </c>
      <c r="CT473" s="214" t="s">
        <v>70</v>
      </c>
      <c r="CU473" s="214" t="s">
        <v>530</v>
      </c>
      <c r="CW473" s="214" t="s">
        <v>30834</v>
      </c>
      <c r="CX473" s="214" t="s">
        <v>496</v>
      </c>
      <c r="CY473" s="214" t="s">
        <v>70</v>
      </c>
      <c r="CZ473" s="214" t="s">
        <v>530</v>
      </c>
      <c r="DB473" s="214" t="s">
        <v>30835</v>
      </c>
      <c r="DC473" s="214" t="s">
        <v>955</v>
      </c>
      <c r="DD473" s="214" t="s">
        <v>70</v>
      </c>
      <c r="DE473" s="214" t="s">
        <v>530</v>
      </c>
      <c r="DG473" s="214" t="s">
        <v>30836</v>
      </c>
      <c r="DH473" s="214" t="s">
        <v>52</v>
      </c>
      <c r="DI473" s="214" t="s">
        <v>70</v>
      </c>
      <c r="DJ473" s="214" t="s">
        <v>530</v>
      </c>
      <c r="DL473" s="214" t="s">
        <v>30837</v>
      </c>
      <c r="DM473" s="214" t="s">
        <v>950</v>
      </c>
      <c r="DN473" s="214" t="s">
        <v>70</v>
      </c>
      <c r="DO473" s="214" t="s">
        <v>530</v>
      </c>
      <c r="DQ473" s="214" t="s">
        <v>30838</v>
      </c>
      <c r="DR473" s="214" t="s">
        <v>52</v>
      </c>
      <c r="DS473" s="214" t="s">
        <v>70</v>
      </c>
      <c r="DT473" s="214" t="s">
        <v>530</v>
      </c>
      <c r="DV473" s="214" t="s">
        <v>30839</v>
      </c>
      <c r="DW473" s="214" t="s">
        <v>502</v>
      </c>
      <c r="DX473" s="214" t="s">
        <v>70</v>
      </c>
      <c r="DY473" s="214" t="s">
        <v>530</v>
      </c>
      <c r="EA473" s="214" t="s">
        <v>30840</v>
      </c>
      <c r="EB473" s="214" t="s">
        <v>206</v>
      </c>
      <c r="EC473" s="214" t="s">
        <v>70</v>
      </c>
      <c r="ED473" s="214" t="s">
        <v>530</v>
      </c>
      <c r="EF473" s="214" t="s">
        <v>30841</v>
      </c>
      <c r="EG473" s="214" t="s">
        <v>487</v>
      </c>
      <c r="EH473" s="214" t="s">
        <v>70</v>
      </c>
      <c r="EI473" s="214" t="s">
        <v>530</v>
      </c>
      <c r="EK473" s="214" t="s">
        <v>30842</v>
      </c>
      <c r="EL473" s="214" t="s">
        <v>88</v>
      </c>
      <c r="EM473" s="214" t="s">
        <v>70</v>
      </c>
      <c r="EN473" s="214" t="s">
        <v>530</v>
      </c>
      <c r="EP473" s="214" t="s">
        <v>30843</v>
      </c>
      <c r="EQ473" s="214" t="s">
        <v>34590</v>
      </c>
      <c r="ER473" s="214" t="s">
        <v>70</v>
      </c>
      <c r="ES473" s="214" t="s">
        <v>530</v>
      </c>
      <c r="EU473" s="214" t="s">
        <v>30844</v>
      </c>
      <c r="EV473" s="214" t="s">
        <v>34073</v>
      </c>
      <c r="EW473" s="214" t="s">
        <v>70</v>
      </c>
      <c r="EX473" s="214" t="s">
        <v>530</v>
      </c>
      <c r="EZ473" s="214" t="s">
        <v>30845</v>
      </c>
      <c r="FA473" s="214" t="s">
        <v>468</v>
      </c>
      <c r="FB473" s="214" t="s">
        <v>70</v>
      </c>
      <c r="FC473" s="214" t="s">
        <v>530</v>
      </c>
      <c r="FE473" s="214" t="s">
        <v>30846</v>
      </c>
      <c r="FF473" s="214" t="s">
        <v>482</v>
      </c>
      <c r="FG473" s="214" t="s">
        <v>70</v>
      </c>
      <c r="FH473" s="214" t="s">
        <v>530</v>
      </c>
      <c r="FJ473" s="321" t="s">
        <v>30847</v>
      </c>
      <c r="FK473" s="214" t="s">
        <v>496</v>
      </c>
      <c r="FL473" s="214" t="s">
        <v>70</v>
      </c>
      <c r="FM473" s="214" t="s">
        <v>530</v>
      </c>
      <c r="FO473" s="321" t="s">
        <v>30848</v>
      </c>
      <c r="FP473" s="214" t="s">
        <v>481</v>
      </c>
      <c r="FQ473" s="214" t="s">
        <v>70</v>
      </c>
      <c r="FR473" s="214" t="s">
        <v>530</v>
      </c>
      <c r="FT473" s="321" t="s">
        <v>30849</v>
      </c>
      <c r="FU473" s="214" t="s">
        <v>145</v>
      </c>
      <c r="FV473" s="214" t="s">
        <v>70</v>
      </c>
      <c r="FW473" s="214" t="s">
        <v>530</v>
      </c>
      <c r="FY473" s="321" t="s">
        <v>30850</v>
      </c>
      <c r="FZ473" s="214" t="s">
        <v>484</v>
      </c>
      <c r="GA473" s="214" t="s">
        <v>70</v>
      </c>
      <c r="GB473" s="214" t="s">
        <v>530</v>
      </c>
      <c r="GD473" s="321" t="s">
        <v>30851</v>
      </c>
      <c r="GE473" s="214" t="s">
        <v>52</v>
      </c>
      <c r="GF473" s="214" t="s">
        <v>70</v>
      </c>
      <c r="GG473" s="214" t="s">
        <v>530</v>
      </c>
      <c r="GI473" s="321" t="s">
        <v>30852</v>
      </c>
      <c r="GJ473" s="214" t="s">
        <v>206</v>
      </c>
      <c r="GK473" s="214" t="s">
        <v>70</v>
      </c>
      <c r="GL473" s="214" t="s">
        <v>530</v>
      </c>
      <c r="GN473" s="321" t="s">
        <v>30853</v>
      </c>
      <c r="GO473" s="214" t="s">
        <v>468</v>
      </c>
      <c r="GP473" s="214" t="s">
        <v>70</v>
      </c>
      <c r="GQ473" s="214" t="s">
        <v>530</v>
      </c>
      <c r="GS473" s="321" t="s">
        <v>30854</v>
      </c>
      <c r="GT473" s="214" t="s">
        <v>34541</v>
      </c>
      <c r="GU473" s="214" t="s">
        <v>70</v>
      </c>
      <c r="GV473" s="214" t="s">
        <v>530</v>
      </c>
      <c r="GX473" s="214" t="s">
        <v>30855</v>
      </c>
      <c r="GY473" s="214" t="s">
        <v>486</v>
      </c>
      <c r="GZ473" s="214" t="s">
        <v>70</v>
      </c>
      <c r="HA473" s="214" t="s">
        <v>530</v>
      </c>
      <c r="HC473" s="214" t="s">
        <v>30856</v>
      </c>
      <c r="HD473" s="214" t="s">
        <v>921</v>
      </c>
      <c r="HE473" s="214" t="s">
        <v>70</v>
      </c>
      <c r="HF473" s="214" t="s">
        <v>530</v>
      </c>
      <c r="HH473" s="214" t="s">
        <v>30857</v>
      </c>
      <c r="HI473" s="214" t="s">
        <v>937</v>
      </c>
      <c r="HJ473" s="214" t="s">
        <v>70</v>
      </c>
      <c r="HK473" s="214" t="s">
        <v>530</v>
      </c>
      <c r="HM473" s="214" t="s">
        <v>30858</v>
      </c>
      <c r="HN473" s="214" t="s">
        <v>483</v>
      </c>
      <c r="HO473" s="214" t="s">
        <v>70</v>
      </c>
      <c r="HP473" s="214" t="s">
        <v>530</v>
      </c>
      <c r="HR473" s="22" t="s">
        <v>30859</v>
      </c>
      <c r="HS473" s="22" t="s">
        <v>52</v>
      </c>
      <c r="HT473" s="22" t="s">
        <v>70</v>
      </c>
      <c r="HU473" s="214" t="s">
        <v>530</v>
      </c>
      <c r="HW473" s="22" t="s">
        <v>30860</v>
      </c>
      <c r="HX473" s="22" t="s">
        <v>919</v>
      </c>
      <c r="HY473" s="22" t="s">
        <v>70</v>
      </c>
      <c r="HZ473" s="214" t="s">
        <v>530</v>
      </c>
      <c r="IB473" s="22" t="s">
        <v>30861</v>
      </c>
      <c r="IC473" s="22" t="s">
        <v>34541</v>
      </c>
      <c r="ID473" s="22" t="s">
        <v>70</v>
      </c>
      <c r="IE473" s="214" t="s">
        <v>530</v>
      </c>
      <c r="IG473" s="22" t="s">
        <v>30862</v>
      </c>
      <c r="IH473" s="22" t="s">
        <v>52</v>
      </c>
      <c r="II473" s="22" t="s">
        <v>70</v>
      </c>
      <c r="IJ473" s="214" t="s">
        <v>530</v>
      </c>
      <c r="IL473" s="22" t="s">
        <v>30863</v>
      </c>
      <c r="IM473" s="22" t="s">
        <v>145</v>
      </c>
      <c r="IN473" s="22" t="s">
        <v>70</v>
      </c>
      <c r="IO473" s="214" t="s">
        <v>530</v>
      </c>
      <c r="IQ473" s="236" t="s">
        <v>30864</v>
      </c>
      <c r="IR473" s="236" t="s">
        <v>145</v>
      </c>
      <c r="IS473" s="236" t="s">
        <v>74</v>
      </c>
      <c r="IT473" s="236" t="s">
        <v>841</v>
      </c>
      <c r="IV473" s="236" t="s">
        <v>30865</v>
      </c>
      <c r="IW473" s="236" t="s">
        <v>145</v>
      </c>
      <c r="IX473" s="236" t="s">
        <v>74</v>
      </c>
      <c r="IY473" s="236" t="s">
        <v>841</v>
      </c>
      <c r="JA473" s="236" t="s">
        <v>30866</v>
      </c>
      <c r="JB473" s="236" t="s">
        <v>145</v>
      </c>
      <c r="JC473" s="236" t="s">
        <v>74</v>
      </c>
      <c r="JD473" s="236" t="s">
        <v>841</v>
      </c>
      <c r="JF473" s="236" t="s">
        <v>30867</v>
      </c>
      <c r="JG473" s="236" t="s">
        <v>145</v>
      </c>
      <c r="JH473" s="236" t="s">
        <v>74</v>
      </c>
      <c r="JI473" s="236" t="s">
        <v>841</v>
      </c>
      <c r="JK473" s="236" t="s">
        <v>30868</v>
      </c>
      <c r="JL473" s="236" t="s">
        <v>145</v>
      </c>
      <c r="JM473" s="236" t="s">
        <v>74</v>
      </c>
      <c r="JN473" s="236" t="s">
        <v>841</v>
      </c>
      <c r="JP473" s="236" t="s">
        <v>30869</v>
      </c>
      <c r="JQ473" s="236" t="s">
        <v>145</v>
      </c>
      <c r="JR473" s="236" t="s">
        <v>74</v>
      </c>
      <c r="JS473" s="236" t="s">
        <v>841</v>
      </c>
      <c r="JU473" s="294" t="s">
        <v>30870</v>
      </c>
      <c r="JV473" s="294" t="s">
        <v>52</v>
      </c>
      <c r="JW473" s="263" t="s">
        <v>70</v>
      </c>
      <c r="JX473" s="294" t="s">
        <v>1083</v>
      </c>
      <c r="JZ473" s="263" t="s">
        <v>30871</v>
      </c>
      <c r="KA473" s="263" t="s">
        <v>145</v>
      </c>
      <c r="KB473" s="263" t="s">
        <v>70</v>
      </c>
      <c r="KC473" s="263" t="s">
        <v>1083</v>
      </c>
      <c r="KE473" s="263" t="s">
        <v>30872</v>
      </c>
      <c r="KF473" s="263" t="s">
        <v>52</v>
      </c>
      <c r="KG473" s="263" t="s">
        <v>70</v>
      </c>
      <c r="KH473" s="263" t="s">
        <v>1083</v>
      </c>
      <c r="KJ473" s="263" t="s">
        <v>30873</v>
      </c>
      <c r="KK473" s="263" t="s">
        <v>52</v>
      </c>
      <c r="KL473" s="263" t="s">
        <v>74</v>
      </c>
      <c r="KM473" s="263" t="s">
        <v>34074</v>
      </c>
      <c r="KO473" s="214" t="s">
        <v>30874</v>
      </c>
      <c r="KP473" s="214" t="s">
        <v>145</v>
      </c>
      <c r="KQ473" s="214" t="s">
        <v>70</v>
      </c>
      <c r="KR473" s="214" t="s">
        <v>67</v>
      </c>
      <c r="KT473" s="22" t="s">
        <v>30875</v>
      </c>
      <c r="KU473" s="22" t="s">
        <v>145</v>
      </c>
      <c r="KV473" s="22" t="s">
        <v>70</v>
      </c>
      <c r="KW473" s="22" t="s">
        <v>67</v>
      </c>
      <c r="KY473" s="214" t="s">
        <v>30876</v>
      </c>
      <c r="KZ473" s="214" t="s">
        <v>52</v>
      </c>
      <c r="LA473" s="214" t="s">
        <v>74</v>
      </c>
      <c r="LB473" s="214" t="s">
        <v>67</v>
      </c>
      <c r="LD473" s="22" t="s">
        <v>30877</v>
      </c>
      <c r="LE473" s="22" t="s">
        <v>145</v>
      </c>
      <c r="LF473" s="22" t="s">
        <v>70</v>
      </c>
      <c r="LG473" s="22" t="s">
        <v>67</v>
      </c>
    </row>
    <row r="474" spans="1:319">
      <c r="A474" s="22" t="s">
        <v>30878</v>
      </c>
      <c r="B474" s="22" t="s">
        <v>145</v>
      </c>
      <c r="C474" s="22" t="s">
        <v>70</v>
      </c>
      <c r="D474" s="22" t="s">
        <v>67</v>
      </c>
      <c r="F474" s="73" t="s">
        <v>30879</v>
      </c>
      <c r="G474" s="22" t="s">
        <v>145</v>
      </c>
      <c r="H474" s="22" t="s">
        <v>70</v>
      </c>
      <c r="I474" s="22" t="s">
        <v>67</v>
      </c>
      <c r="K474" s="99" t="s">
        <v>30880</v>
      </c>
      <c r="L474" s="22" t="s">
        <v>145</v>
      </c>
      <c r="M474" s="22" t="s">
        <v>70</v>
      </c>
      <c r="N474" s="22" t="s">
        <v>67</v>
      </c>
      <c r="P474" s="99" t="s">
        <v>30881</v>
      </c>
      <c r="Q474" s="22" t="s">
        <v>145</v>
      </c>
      <c r="R474" s="22" t="s">
        <v>70</v>
      </c>
      <c r="S474" s="22" t="s">
        <v>67</v>
      </c>
      <c r="U474" s="293" t="s">
        <v>30882</v>
      </c>
      <c r="V474" s="293" t="s">
        <v>145</v>
      </c>
      <c r="W474" s="293" t="s">
        <v>74</v>
      </c>
      <c r="X474" s="293" t="s">
        <v>656</v>
      </c>
      <c r="Z474" s="293" t="s">
        <v>30883</v>
      </c>
      <c r="AA474" s="293" t="s">
        <v>145</v>
      </c>
      <c r="AB474" s="293" t="s">
        <v>74</v>
      </c>
      <c r="AC474" s="293" t="s">
        <v>656</v>
      </c>
      <c r="AE474" s="293" t="s">
        <v>30884</v>
      </c>
      <c r="AF474" s="293" t="s">
        <v>145</v>
      </c>
      <c r="AG474" s="293" t="s">
        <v>74</v>
      </c>
      <c r="AH474" s="293" t="s">
        <v>656</v>
      </c>
      <c r="AJ474" s="293" t="s">
        <v>30885</v>
      </c>
      <c r="AK474" s="293" t="s">
        <v>145</v>
      </c>
      <c r="AL474" s="293" t="s">
        <v>74</v>
      </c>
      <c r="AM474" s="293" t="s">
        <v>656</v>
      </c>
      <c r="AO474" s="22" t="s">
        <v>30886</v>
      </c>
      <c r="AP474" s="22" t="s">
        <v>145</v>
      </c>
      <c r="AQ474" s="22" t="s">
        <v>70</v>
      </c>
      <c r="AR474" s="22" t="s">
        <v>67</v>
      </c>
      <c r="AT474" s="22" t="s">
        <v>30887</v>
      </c>
      <c r="AU474" s="22" t="s">
        <v>145</v>
      </c>
      <c r="AV474" s="22" t="s">
        <v>70</v>
      </c>
      <c r="AW474" s="22" t="s">
        <v>67</v>
      </c>
      <c r="AY474" s="22" t="s">
        <v>30888</v>
      </c>
      <c r="AZ474" s="22" t="s">
        <v>145</v>
      </c>
      <c r="BA474" s="22" t="s">
        <v>70</v>
      </c>
      <c r="BB474" s="22" t="s">
        <v>67</v>
      </c>
      <c r="BD474" s="22" t="s">
        <v>30889</v>
      </c>
      <c r="BE474" s="22" t="s">
        <v>145</v>
      </c>
      <c r="BF474" s="22" t="s">
        <v>70</v>
      </c>
      <c r="BG474" s="22" t="s">
        <v>67</v>
      </c>
      <c r="BI474" s="22" t="s">
        <v>30890</v>
      </c>
      <c r="BJ474" s="22" t="s">
        <v>145</v>
      </c>
      <c r="BK474" s="22" t="s">
        <v>70</v>
      </c>
      <c r="BL474" s="22" t="s">
        <v>67</v>
      </c>
      <c r="BN474" s="22" t="s">
        <v>30891</v>
      </c>
      <c r="BO474" s="22" t="s">
        <v>145</v>
      </c>
      <c r="BP474" s="22" t="s">
        <v>70</v>
      </c>
      <c r="BQ474" s="22" t="s">
        <v>67</v>
      </c>
      <c r="BS474" s="22" t="s">
        <v>30892</v>
      </c>
      <c r="BT474" s="22" t="s">
        <v>145</v>
      </c>
      <c r="BU474" s="22" t="s">
        <v>70</v>
      </c>
      <c r="BV474" s="214" t="s">
        <v>530</v>
      </c>
      <c r="BX474" s="22" t="s">
        <v>30893</v>
      </c>
      <c r="BY474" s="22" t="s">
        <v>145</v>
      </c>
      <c r="BZ474" s="22" t="s">
        <v>70</v>
      </c>
      <c r="CA474" s="214" t="s">
        <v>530</v>
      </c>
      <c r="CC474" s="214" t="s">
        <v>30894</v>
      </c>
      <c r="CD474" s="214" t="s">
        <v>484</v>
      </c>
      <c r="CE474" s="214" t="s">
        <v>70</v>
      </c>
      <c r="CF474" s="214" t="s">
        <v>530</v>
      </c>
      <c r="CH474" s="214" t="s">
        <v>30895</v>
      </c>
      <c r="CI474" s="214" t="s">
        <v>148</v>
      </c>
      <c r="CJ474" s="214" t="s">
        <v>70</v>
      </c>
      <c r="CK474" s="214" t="s">
        <v>530</v>
      </c>
      <c r="CM474" s="214" t="s">
        <v>30896</v>
      </c>
      <c r="CN474" s="214" t="s">
        <v>85</v>
      </c>
      <c r="CO474" s="214" t="s">
        <v>70</v>
      </c>
      <c r="CP474" s="214" t="s">
        <v>530</v>
      </c>
      <c r="CR474" s="214" t="s">
        <v>30897</v>
      </c>
      <c r="CS474" s="214" t="s">
        <v>163</v>
      </c>
      <c r="CT474" s="214" t="s">
        <v>70</v>
      </c>
      <c r="CU474" s="214" t="s">
        <v>530</v>
      </c>
      <c r="CW474" s="214" t="s">
        <v>30898</v>
      </c>
      <c r="CX474" s="214" t="s">
        <v>52</v>
      </c>
      <c r="CY474" s="214" t="s">
        <v>70</v>
      </c>
      <c r="CZ474" s="214" t="s">
        <v>530</v>
      </c>
      <c r="DB474" s="214" t="s">
        <v>30899</v>
      </c>
      <c r="DC474" s="214" t="s">
        <v>163</v>
      </c>
      <c r="DD474" s="214" t="s">
        <v>70</v>
      </c>
      <c r="DE474" s="214" t="s">
        <v>530</v>
      </c>
      <c r="DG474" s="214" t="s">
        <v>30900</v>
      </c>
      <c r="DH474" s="214" t="s">
        <v>93</v>
      </c>
      <c r="DI474" s="214" t="s">
        <v>70</v>
      </c>
      <c r="DJ474" s="214" t="s">
        <v>530</v>
      </c>
      <c r="DL474" s="214" t="s">
        <v>30901</v>
      </c>
      <c r="DM474" s="214" t="s">
        <v>34582</v>
      </c>
      <c r="DN474" s="214" t="s">
        <v>70</v>
      </c>
      <c r="DO474" s="214" t="s">
        <v>530</v>
      </c>
      <c r="DQ474" s="214" t="s">
        <v>30902</v>
      </c>
      <c r="DR474" s="214" t="s">
        <v>286</v>
      </c>
      <c r="DS474" s="214" t="s">
        <v>70</v>
      </c>
      <c r="DT474" s="214" t="s">
        <v>530</v>
      </c>
      <c r="DV474" s="214" t="s">
        <v>30903</v>
      </c>
      <c r="DW474" s="214" t="s">
        <v>87</v>
      </c>
      <c r="DX474" s="214" t="s">
        <v>70</v>
      </c>
      <c r="DY474" s="214" t="s">
        <v>530</v>
      </c>
      <c r="EA474" s="214" t="s">
        <v>30904</v>
      </c>
      <c r="EB474" s="214" t="s">
        <v>148</v>
      </c>
      <c r="EC474" s="214" t="s">
        <v>70</v>
      </c>
      <c r="ED474" s="214" t="s">
        <v>530</v>
      </c>
      <c r="EF474" s="214" t="s">
        <v>30905</v>
      </c>
      <c r="EG474" s="214" t="s">
        <v>34556</v>
      </c>
      <c r="EH474" s="214" t="s">
        <v>70</v>
      </c>
      <c r="EI474" s="214" t="s">
        <v>530</v>
      </c>
      <c r="EK474" s="214" t="s">
        <v>30906</v>
      </c>
      <c r="EL474" s="214" t="s">
        <v>148</v>
      </c>
      <c r="EM474" s="214" t="s">
        <v>70</v>
      </c>
      <c r="EN474" s="214" t="s">
        <v>530</v>
      </c>
      <c r="EP474" s="214" t="s">
        <v>30907</v>
      </c>
      <c r="EQ474" s="214" t="s">
        <v>34608</v>
      </c>
      <c r="ER474" s="214" t="s">
        <v>70</v>
      </c>
      <c r="ES474" s="214" t="s">
        <v>530</v>
      </c>
      <c r="EU474" s="214" t="s">
        <v>30908</v>
      </c>
      <c r="EV474" s="214" t="s">
        <v>148</v>
      </c>
      <c r="EW474" s="214" t="s">
        <v>70</v>
      </c>
      <c r="EX474" s="214" t="s">
        <v>530</v>
      </c>
      <c r="EZ474" s="214" t="s">
        <v>30909</v>
      </c>
      <c r="FA474" s="214" t="s">
        <v>146</v>
      </c>
      <c r="FB474" s="214" t="s">
        <v>70</v>
      </c>
      <c r="FC474" s="214" t="s">
        <v>530</v>
      </c>
      <c r="FE474" s="214" t="s">
        <v>30910</v>
      </c>
      <c r="FF474" s="214" t="s">
        <v>145</v>
      </c>
      <c r="FG474" s="214" t="s">
        <v>70</v>
      </c>
      <c r="FH474" s="214" t="s">
        <v>530</v>
      </c>
      <c r="FJ474" s="321" t="s">
        <v>30911</v>
      </c>
      <c r="FK474" s="214" t="s">
        <v>205</v>
      </c>
      <c r="FL474" s="214" t="s">
        <v>70</v>
      </c>
      <c r="FM474" s="214" t="s">
        <v>530</v>
      </c>
      <c r="FO474" s="321" t="s">
        <v>30912</v>
      </c>
      <c r="FP474" s="214" t="s">
        <v>145</v>
      </c>
      <c r="FQ474" s="214" t="s">
        <v>70</v>
      </c>
      <c r="FR474" s="214" t="s">
        <v>530</v>
      </c>
      <c r="FT474" s="321" t="s">
        <v>30913</v>
      </c>
      <c r="FU474" s="214" t="s">
        <v>484</v>
      </c>
      <c r="FV474" s="214" t="s">
        <v>70</v>
      </c>
      <c r="FW474" s="214" t="s">
        <v>530</v>
      </c>
      <c r="FY474" s="321" t="s">
        <v>30914</v>
      </c>
      <c r="FZ474" s="214" t="s">
        <v>52</v>
      </c>
      <c r="GA474" s="214" t="s">
        <v>70</v>
      </c>
      <c r="GB474" s="214" t="s">
        <v>530</v>
      </c>
      <c r="GD474" s="321" t="s">
        <v>30915</v>
      </c>
      <c r="GE474" s="214" t="s">
        <v>103</v>
      </c>
      <c r="GF474" s="214" t="s">
        <v>70</v>
      </c>
      <c r="GG474" s="214" t="s">
        <v>530</v>
      </c>
      <c r="GI474" s="321" t="s">
        <v>30916</v>
      </c>
      <c r="GJ474" s="214" t="s">
        <v>52</v>
      </c>
      <c r="GK474" s="214" t="s">
        <v>70</v>
      </c>
      <c r="GL474" s="214" t="s">
        <v>530</v>
      </c>
      <c r="GN474" s="321" t="s">
        <v>30917</v>
      </c>
      <c r="GO474" s="214" t="s">
        <v>481</v>
      </c>
      <c r="GP474" s="214" t="s">
        <v>70</v>
      </c>
      <c r="GQ474" s="214" t="s">
        <v>530</v>
      </c>
      <c r="GS474" s="321" t="s">
        <v>30918</v>
      </c>
      <c r="GT474" s="214" t="s">
        <v>34654</v>
      </c>
      <c r="GU474" s="214" t="s">
        <v>70</v>
      </c>
      <c r="GV474" s="214" t="s">
        <v>530</v>
      </c>
      <c r="GX474" s="214" t="s">
        <v>30919</v>
      </c>
      <c r="GY474" s="214" t="s">
        <v>286</v>
      </c>
      <c r="GZ474" s="214" t="s">
        <v>70</v>
      </c>
      <c r="HA474" s="214" t="s">
        <v>530</v>
      </c>
      <c r="HC474" s="214" t="s">
        <v>30920</v>
      </c>
      <c r="HD474" s="214" t="s">
        <v>34545</v>
      </c>
      <c r="HE474" s="214" t="s">
        <v>70</v>
      </c>
      <c r="HF474" s="214" t="s">
        <v>530</v>
      </c>
      <c r="HH474" s="214" t="s">
        <v>30921</v>
      </c>
      <c r="HI474" s="214" t="s">
        <v>52</v>
      </c>
      <c r="HJ474" s="214" t="s">
        <v>70</v>
      </c>
      <c r="HK474" s="214" t="s">
        <v>530</v>
      </c>
      <c r="HM474" s="214" t="s">
        <v>30922</v>
      </c>
      <c r="HN474" s="214" t="s">
        <v>642</v>
      </c>
      <c r="HO474" s="214" t="s">
        <v>70</v>
      </c>
      <c r="HP474" s="214" t="s">
        <v>530</v>
      </c>
      <c r="HR474" s="22" t="s">
        <v>30923</v>
      </c>
      <c r="HS474" s="22" t="s">
        <v>145</v>
      </c>
      <c r="HT474" s="22" t="s">
        <v>70</v>
      </c>
      <c r="HU474" s="214" t="s">
        <v>530</v>
      </c>
      <c r="HW474" s="22" t="s">
        <v>30924</v>
      </c>
      <c r="HX474" s="22" t="s">
        <v>52</v>
      </c>
      <c r="HY474" s="22" t="s">
        <v>70</v>
      </c>
      <c r="HZ474" s="214" t="s">
        <v>530</v>
      </c>
      <c r="IB474" s="22" t="s">
        <v>30925</v>
      </c>
      <c r="IC474" s="22" t="s">
        <v>642</v>
      </c>
      <c r="ID474" s="22" t="s">
        <v>70</v>
      </c>
      <c r="IE474" s="214" t="s">
        <v>530</v>
      </c>
      <c r="IG474" s="22" t="s">
        <v>30926</v>
      </c>
      <c r="IH474" s="22" t="s">
        <v>52</v>
      </c>
      <c r="II474" s="22" t="s">
        <v>70</v>
      </c>
      <c r="IJ474" s="214" t="s">
        <v>530</v>
      </c>
      <c r="IL474" s="22" t="s">
        <v>30927</v>
      </c>
      <c r="IM474" s="22" t="s">
        <v>145</v>
      </c>
      <c r="IN474" s="22" t="s">
        <v>70</v>
      </c>
      <c r="IO474" s="214" t="s">
        <v>530</v>
      </c>
      <c r="IQ474" s="236" t="s">
        <v>30928</v>
      </c>
      <c r="IR474" s="236" t="s">
        <v>145</v>
      </c>
      <c r="IS474" s="236" t="s">
        <v>74</v>
      </c>
      <c r="IT474" s="236" t="s">
        <v>841</v>
      </c>
      <c r="IV474" s="236" t="s">
        <v>30929</v>
      </c>
      <c r="IW474" s="236" t="s">
        <v>145</v>
      </c>
      <c r="IX474" s="236" t="s">
        <v>74</v>
      </c>
      <c r="IY474" s="236" t="s">
        <v>841</v>
      </c>
      <c r="JA474" s="236" t="s">
        <v>30930</v>
      </c>
      <c r="JB474" s="236" t="s">
        <v>145</v>
      </c>
      <c r="JC474" s="236" t="s">
        <v>74</v>
      </c>
      <c r="JD474" s="236" t="s">
        <v>841</v>
      </c>
      <c r="JF474" s="236" t="s">
        <v>30931</v>
      </c>
      <c r="JG474" s="236" t="s">
        <v>145</v>
      </c>
      <c r="JH474" s="236" t="s">
        <v>74</v>
      </c>
      <c r="JI474" s="236" t="s">
        <v>841</v>
      </c>
      <c r="JK474" s="236" t="s">
        <v>30932</v>
      </c>
      <c r="JL474" s="236" t="s">
        <v>145</v>
      </c>
      <c r="JM474" s="236" t="s">
        <v>74</v>
      </c>
      <c r="JN474" s="236" t="s">
        <v>841</v>
      </c>
      <c r="JP474" s="236" t="s">
        <v>30933</v>
      </c>
      <c r="JQ474" s="236" t="s">
        <v>145</v>
      </c>
      <c r="JR474" s="236" t="s">
        <v>74</v>
      </c>
      <c r="JS474" s="236" t="s">
        <v>841</v>
      </c>
      <c r="JU474" s="294" t="s">
        <v>30934</v>
      </c>
      <c r="JV474" s="294" t="s">
        <v>52</v>
      </c>
      <c r="JW474" s="263" t="s">
        <v>70</v>
      </c>
      <c r="JX474" s="294" t="s">
        <v>1083</v>
      </c>
      <c r="JZ474" s="263" t="s">
        <v>30935</v>
      </c>
      <c r="KA474" s="263" t="s">
        <v>145</v>
      </c>
      <c r="KB474" s="263" t="s">
        <v>70</v>
      </c>
      <c r="KC474" s="263" t="s">
        <v>1083</v>
      </c>
      <c r="KE474" s="263" t="s">
        <v>30936</v>
      </c>
      <c r="KF474" s="263" t="s">
        <v>52</v>
      </c>
      <c r="KG474" s="263" t="s">
        <v>70</v>
      </c>
      <c r="KH474" s="263" t="s">
        <v>1083</v>
      </c>
      <c r="KJ474" s="263" t="s">
        <v>30937</v>
      </c>
      <c r="KK474" s="263" t="s">
        <v>52</v>
      </c>
      <c r="KL474" s="263" t="s">
        <v>74</v>
      </c>
      <c r="KM474" s="263" t="s">
        <v>34074</v>
      </c>
      <c r="KO474" s="214" t="s">
        <v>30938</v>
      </c>
      <c r="KP474" s="214" t="s">
        <v>145</v>
      </c>
      <c r="KQ474" s="214" t="s">
        <v>70</v>
      </c>
      <c r="KR474" s="214" t="s">
        <v>67</v>
      </c>
      <c r="KT474" s="22" t="s">
        <v>30939</v>
      </c>
      <c r="KU474" s="22" t="s">
        <v>145</v>
      </c>
      <c r="KV474" s="22" t="s">
        <v>70</v>
      </c>
      <c r="KW474" s="22" t="s">
        <v>67</v>
      </c>
      <c r="KY474" s="214" t="s">
        <v>30940</v>
      </c>
      <c r="KZ474" s="214" t="s">
        <v>52</v>
      </c>
      <c r="LA474" s="214" t="s">
        <v>74</v>
      </c>
      <c r="LB474" s="214" t="s">
        <v>67</v>
      </c>
      <c r="LD474" s="22" t="s">
        <v>30941</v>
      </c>
      <c r="LE474" s="22" t="s">
        <v>145</v>
      </c>
      <c r="LF474" s="22" t="s">
        <v>70</v>
      </c>
      <c r="LG474" s="22" t="s">
        <v>67</v>
      </c>
    </row>
    <row r="475" spans="1:319">
      <c r="A475" s="22" t="s">
        <v>30942</v>
      </c>
      <c r="B475" s="22" t="s">
        <v>145</v>
      </c>
      <c r="C475" s="22" t="s">
        <v>70</v>
      </c>
      <c r="D475" s="22" t="s">
        <v>67</v>
      </c>
      <c r="F475" s="73" t="s">
        <v>30943</v>
      </c>
      <c r="G475" s="22" t="s">
        <v>145</v>
      </c>
      <c r="H475" s="22" t="s">
        <v>70</v>
      </c>
      <c r="I475" s="22" t="s">
        <v>67</v>
      </c>
      <c r="K475" s="99" t="s">
        <v>30944</v>
      </c>
      <c r="L475" s="22" t="s">
        <v>145</v>
      </c>
      <c r="M475" s="22" t="s">
        <v>70</v>
      </c>
      <c r="N475" s="22" t="s">
        <v>67</v>
      </c>
      <c r="P475" s="99" t="s">
        <v>30945</v>
      </c>
      <c r="Q475" s="22" t="s">
        <v>145</v>
      </c>
      <c r="R475" s="22" t="s">
        <v>70</v>
      </c>
      <c r="S475" s="22" t="s">
        <v>67</v>
      </c>
      <c r="U475" s="293" t="s">
        <v>30946</v>
      </c>
      <c r="V475" s="293" t="s">
        <v>145</v>
      </c>
      <c r="W475" s="293" t="s">
        <v>74</v>
      </c>
      <c r="X475" s="293" t="s">
        <v>656</v>
      </c>
      <c r="Z475" s="293" t="s">
        <v>30947</v>
      </c>
      <c r="AA475" s="293" t="s">
        <v>145</v>
      </c>
      <c r="AB475" s="293" t="s">
        <v>74</v>
      </c>
      <c r="AC475" s="293" t="s">
        <v>656</v>
      </c>
      <c r="AE475" s="293" t="s">
        <v>30948</v>
      </c>
      <c r="AF475" s="293" t="s">
        <v>145</v>
      </c>
      <c r="AG475" s="293" t="s">
        <v>74</v>
      </c>
      <c r="AH475" s="293" t="s">
        <v>656</v>
      </c>
      <c r="AJ475" s="293" t="s">
        <v>30949</v>
      </c>
      <c r="AK475" s="293" t="s">
        <v>145</v>
      </c>
      <c r="AL475" s="293" t="s">
        <v>74</v>
      </c>
      <c r="AM475" s="293" t="s">
        <v>656</v>
      </c>
      <c r="AO475" s="22" t="s">
        <v>30950</v>
      </c>
      <c r="AP475" s="22" t="s">
        <v>145</v>
      </c>
      <c r="AQ475" s="22" t="s">
        <v>70</v>
      </c>
      <c r="AR475" s="22" t="s">
        <v>67</v>
      </c>
      <c r="AT475" s="22" t="s">
        <v>30951</v>
      </c>
      <c r="AU475" s="22" t="s">
        <v>145</v>
      </c>
      <c r="AV475" s="22" t="s">
        <v>70</v>
      </c>
      <c r="AW475" s="22" t="s">
        <v>67</v>
      </c>
      <c r="AY475" s="22" t="s">
        <v>30952</v>
      </c>
      <c r="AZ475" s="22" t="s">
        <v>145</v>
      </c>
      <c r="BA475" s="22" t="s">
        <v>70</v>
      </c>
      <c r="BB475" s="22" t="s">
        <v>67</v>
      </c>
      <c r="BD475" s="22" t="s">
        <v>30953</v>
      </c>
      <c r="BE475" s="22" t="s">
        <v>145</v>
      </c>
      <c r="BF475" s="22" t="s">
        <v>70</v>
      </c>
      <c r="BG475" s="22" t="s">
        <v>67</v>
      </c>
      <c r="BI475" s="22" t="s">
        <v>30954</v>
      </c>
      <c r="BJ475" s="22" t="s">
        <v>145</v>
      </c>
      <c r="BK475" s="22" t="s">
        <v>70</v>
      </c>
      <c r="BL475" s="22" t="s">
        <v>67</v>
      </c>
      <c r="BN475" s="22" t="s">
        <v>30955</v>
      </c>
      <c r="BO475" s="22" t="s">
        <v>145</v>
      </c>
      <c r="BP475" s="22" t="s">
        <v>70</v>
      </c>
      <c r="BQ475" s="22" t="s">
        <v>67</v>
      </c>
      <c r="BS475" s="22" t="s">
        <v>30956</v>
      </c>
      <c r="BT475" s="22" t="s">
        <v>145</v>
      </c>
      <c r="BU475" s="22" t="s">
        <v>70</v>
      </c>
      <c r="BV475" s="214" t="s">
        <v>530</v>
      </c>
      <c r="BX475" s="22" t="s">
        <v>30957</v>
      </c>
      <c r="BY475" s="22" t="s">
        <v>145</v>
      </c>
      <c r="BZ475" s="22" t="s">
        <v>70</v>
      </c>
      <c r="CA475" s="214" t="s">
        <v>530</v>
      </c>
      <c r="CC475" s="214" t="s">
        <v>30958</v>
      </c>
      <c r="CD475" s="214" t="s">
        <v>34542</v>
      </c>
      <c r="CE475" s="214" t="s">
        <v>70</v>
      </c>
      <c r="CF475" s="214" t="s">
        <v>530</v>
      </c>
      <c r="CH475" s="214" t="s">
        <v>30959</v>
      </c>
      <c r="CI475" s="214" t="s">
        <v>496</v>
      </c>
      <c r="CJ475" s="214" t="s">
        <v>70</v>
      </c>
      <c r="CK475" s="214" t="s">
        <v>530</v>
      </c>
      <c r="CM475" s="214" t="s">
        <v>30960</v>
      </c>
      <c r="CN475" s="214" t="s">
        <v>485</v>
      </c>
      <c r="CO475" s="214" t="s">
        <v>70</v>
      </c>
      <c r="CP475" s="214" t="s">
        <v>530</v>
      </c>
      <c r="CR475" s="214" t="s">
        <v>30961</v>
      </c>
      <c r="CS475" s="214" t="s">
        <v>484</v>
      </c>
      <c r="CT475" s="214" t="s">
        <v>70</v>
      </c>
      <c r="CU475" s="214" t="s">
        <v>530</v>
      </c>
      <c r="CW475" s="214" t="s">
        <v>30962</v>
      </c>
      <c r="CX475" s="214" t="s">
        <v>52</v>
      </c>
      <c r="CY475" s="214" t="s">
        <v>70</v>
      </c>
      <c r="CZ475" s="214" t="s">
        <v>530</v>
      </c>
      <c r="DB475" s="214" t="s">
        <v>30963</v>
      </c>
      <c r="DC475" s="214" t="s">
        <v>950</v>
      </c>
      <c r="DD475" s="214" t="s">
        <v>70</v>
      </c>
      <c r="DE475" s="214" t="s">
        <v>530</v>
      </c>
      <c r="DG475" s="214" t="s">
        <v>30964</v>
      </c>
      <c r="DH475" s="214" t="s">
        <v>93</v>
      </c>
      <c r="DI475" s="214" t="s">
        <v>70</v>
      </c>
      <c r="DJ475" s="214" t="s">
        <v>530</v>
      </c>
      <c r="DL475" s="214" t="s">
        <v>30965</v>
      </c>
      <c r="DM475" s="214" t="s">
        <v>491</v>
      </c>
      <c r="DN475" s="214" t="s">
        <v>70</v>
      </c>
      <c r="DO475" s="214" t="s">
        <v>530</v>
      </c>
      <c r="DQ475" s="214" t="s">
        <v>30966</v>
      </c>
      <c r="DR475" s="214" t="s">
        <v>146</v>
      </c>
      <c r="DS475" s="214" t="s">
        <v>70</v>
      </c>
      <c r="DT475" s="214" t="s">
        <v>530</v>
      </c>
      <c r="DV475" s="214" t="s">
        <v>30967</v>
      </c>
      <c r="DW475" s="214" t="s">
        <v>34558</v>
      </c>
      <c r="DX475" s="214" t="s">
        <v>70</v>
      </c>
      <c r="DY475" s="214" t="s">
        <v>530</v>
      </c>
      <c r="EA475" s="214" t="s">
        <v>30968</v>
      </c>
      <c r="EB475" s="214" t="s">
        <v>34593</v>
      </c>
      <c r="EC475" s="214" t="s">
        <v>70</v>
      </c>
      <c r="ED475" s="214" t="s">
        <v>530</v>
      </c>
      <c r="EF475" s="214" t="s">
        <v>30969</v>
      </c>
      <c r="EG475" s="214" t="s">
        <v>482</v>
      </c>
      <c r="EH475" s="214" t="s">
        <v>70</v>
      </c>
      <c r="EI475" s="214" t="s">
        <v>530</v>
      </c>
      <c r="EK475" s="214" t="s">
        <v>30970</v>
      </c>
      <c r="EL475" s="214" t="s">
        <v>603</v>
      </c>
      <c r="EM475" s="214" t="s">
        <v>70</v>
      </c>
      <c r="EN475" s="214" t="s">
        <v>530</v>
      </c>
      <c r="EP475" s="214" t="s">
        <v>30971</v>
      </c>
      <c r="EQ475" s="214" t="s">
        <v>34547</v>
      </c>
      <c r="ER475" s="214" t="s">
        <v>70</v>
      </c>
      <c r="ES475" s="214" t="s">
        <v>530</v>
      </c>
      <c r="EU475" s="214" t="s">
        <v>30972</v>
      </c>
      <c r="EV475" s="214" t="s">
        <v>599</v>
      </c>
      <c r="EW475" s="214" t="s">
        <v>70</v>
      </c>
      <c r="EX475" s="214" t="s">
        <v>530</v>
      </c>
      <c r="EZ475" s="214" t="s">
        <v>30973</v>
      </c>
      <c r="FA475" s="214" t="s">
        <v>149</v>
      </c>
      <c r="FB475" s="214" t="s">
        <v>70</v>
      </c>
      <c r="FC475" s="214" t="s">
        <v>530</v>
      </c>
      <c r="FE475" s="214" t="s">
        <v>30974</v>
      </c>
      <c r="FF475" s="214" t="s">
        <v>34541</v>
      </c>
      <c r="FG475" s="214" t="s">
        <v>70</v>
      </c>
      <c r="FH475" s="214" t="s">
        <v>530</v>
      </c>
      <c r="FJ475" s="321" t="s">
        <v>30975</v>
      </c>
      <c r="FK475" s="214" t="s">
        <v>52</v>
      </c>
      <c r="FL475" s="214" t="s">
        <v>70</v>
      </c>
      <c r="FM475" s="214" t="s">
        <v>530</v>
      </c>
      <c r="FO475" s="321" t="s">
        <v>30976</v>
      </c>
      <c r="FP475" s="214" t="s">
        <v>34541</v>
      </c>
      <c r="FQ475" s="214" t="s">
        <v>70</v>
      </c>
      <c r="FR475" s="214" t="s">
        <v>530</v>
      </c>
      <c r="FT475" s="321" t="s">
        <v>30977</v>
      </c>
      <c r="FU475" s="214" t="s">
        <v>926</v>
      </c>
      <c r="FV475" s="214" t="s">
        <v>70</v>
      </c>
      <c r="FW475" s="214" t="s">
        <v>530</v>
      </c>
      <c r="FY475" s="321" t="s">
        <v>30978</v>
      </c>
      <c r="FZ475" s="214" t="s">
        <v>950</v>
      </c>
      <c r="GA475" s="214" t="s">
        <v>70</v>
      </c>
      <c r="GB475" s="214" t="s">
        <v>530</v>
      </c>
      <c r="GD475" s="321" t="s">
        <v>30979</v>
      </c>
      <c r="GE475" s="214" t="s">
        <v>34542</v>
      </c>
      <c r="GF475" s="214" t="s">
        <v>70</v>
      </c>
      <c r="GG475" s="214" t="s">
        <v>530</v>
      </c>
      <c r="GI475" s="321" t="s">
        <v>30980</v>
      </c>
      <c r="GJ475" s="214" t="s">
        <v>485</v>
      </c>
      <c r="GK475" s="214" t="s">
        <v>70</v>
      </c>
      <c r="GL475" s="214" t="s">
        <v>530</v>
      </c>
      <c r="GN475" s="321" t="s">
        <v>30981</v>
      </c>
      <c r="GO475" s="214" t="s">
        <v>487</v>
      </c>
      <c r="GP475" s="214" t="s">
        <v>70</v>
      </c>
      <c r="GQ475" s="214" t="s">
        <v>530</v>
      </c>
      <c r="GS475" s="321" t="s">
        <v>30982</v>
      </c>
      <c r="GT475" s="214" t="s">
        <v>34405</v>
      </c>
      <c r="GU475" s="214" t="s">
        <v>70</v>
      </c>
      <c r="GV475" s="214" t="s">
        <v>530</v>
      </c>
      <c r="GX475" s="214" t="s">
        <v>30983</v>
      </c>
      <c r="GY475" s="214" t="s">
        <v>488</v>
      </c>
      <c r="GZ475" s="214" t="s">
        <v>70</v>
      </c>
      <c r="HA475" s="214" t="s">
        <v>530</v>
      </c>
      <c r="HC475" s="214" t="s">
        <v>30984</v>
      </c>
      <c r="HD475" s="214" t="s">
        <v>34551</v>
      </c>
      <c r="HE475" s="214" t="s">
        <v>70</v>
      </c>
      <c r="HF475" s="214" t="s">
        <v>530</v>
      </c>
      <c r="HH475" s="214" t="s">
        <v>30985</v>
      </c>
      <c r="HI475" s="214" t="s">
        <v>468</v>
      </c>
      <c r="HJ475" s="214" t="s">
        <v>70</v>
      </c>
      <c r="HK475" s="214" t="s">
        <v>530</v>
      </c>
      <c r="HM475" s="214" t="s">
        <v>30986</v>
      </c>
      <c r="HN475" s="214" t="s">
        <v>649</v>
      </c>
      <c r="HO475" s="214" t="s">
        <v>70</v>
      </c>
      <c r="HP475" s="214" t="s">
        <v>530</v>
      </c>
      <c r="HR475" s="22" t="s">
        <v>30987</v>
      </c>
      <c r="HS475" s="22" t="s">
        <v>34541</v>
      </c>
      <c r="HT475" s="22" t="s">
        <v>70</v>
      </c>
      <c r="HU475" s="214" t="s">
        <v>530</v>
      </c>
      <c r="HW475" s="22" t="s">
        <v>30988</v>
      </c>
      <c r="HX475" s="22" t="s">
        <v>950</v>
      </c>
      <c r="HY475" s="22" t="s">
        <v>70</v>
      </c>
      <c r="HZ475" s="214" t="s">
        <v>530</v>
      </c>
      <c r="IB475" s="22" t="s">
        <v>30989</v>
      </c>
      <c r="IC475" s="22" t="s">
        <v>145</v>
      </c>
      <c r="ID475" s="22" t="s">
        <v>70</v>
      </c>
      <c r="IE475" s="214" t="s">
        <v>530</v>
      </c>
      <c r="IG475" s="22" t="s">
        <v>30990</v>
      </c>
      <c r="IH475" s="22" t="s">
        <v>52</v>
      </c>
      <c r="II475" s="22" t="s">
        <v>70</v>
      </c>
      <c r="IJ475" s="214" t="s">
        <v>530</v>
      </c>
      <c r="IL475" s="22" t="s">
        <v>30991</v>
      </c>
      <c r="IM475" s="22" t="s">
        <v>145</v>
      </c>
      <c r="IN475" s="22" t="s">
        <v>70</v>
      </c>
      <c r="IO475" s="214" t="s">
        <v>530</v>
      </c>
      <c r="IQ475" s="236" t="s">
        <v>30992</v>
      </c>
      <c r="IR475" s="236" t="s">
        <v>145</v>
      </c>
      <c r="IS475" s="236" t="s">
        <v>74</v>
      </c>
      <c r="IT475" s="236" t="s">
        <v>841</v>
      </c>
      <c r="IV475" s="236" t="s">
        <v>30993</v>
      </c>
      <c r="IW475" s="236" t="s">
        <v>145</v>
      </c>
      <c r="IX475" s="236" t="s">
        <v>74</v>
      </c>
      <c r="IY475" s="236" t="s">
        <v>841</v>
      </c>
      <c r="JA475" s="236" t="s">
        <v>30994</v>
      </c>
      <c r="JB475" s="236" t="s">
        <v>145</v>
      </c>
      <c r="JC475" s="236" t="s">
        <v>74</v>
      </c>
      <c r="JD475" s="236" t="s">
        <v>841</v>
      </c>
      <c r="JF475" s="236" t="s">
        <v>30995</v>
      </c>
      <c r="JG475" s="236" t="s">
        <v>145</v>
      </c>
      <c r="JH475" s="236" t="s">
        <v>74</v>
      </c>
      <c r="JI475" s="236" t="s">
        <v>841</v>
      </c>
      <c r="JK475" s="236" t="s">
        <v>30996</v>
      </c>
      <c r="JL475" s="236" t="s">
        <v>145</v>
      </c>
      <c r="JM475" s="236" t="s">
        <v>74</v>
      </c>
      <c r="JN475" s="236" t="s">
        <v>841</v>
      </c>
      <c r="JP475" s="236" t="s">
        <v>30997</v>
      </c>
      <c r="JQ475" s="236" t="s">
        <v>145</v>
      </c>
      <c r="JR475" s="236" t="s">
        <v>74</v>
      </c>
      <c r="JS475" s="236" t="s">
        <v>841</v>
      </c>
      <c r="JU475" s="294" t="s">
        <v>30998</v>
      </c>
      <c r="JV475" s="294" t="s">
        <v>52</v>
      </c>
      <c r="JW475" s="263" t="s">
        <v>70</v>
      </c>
      <c r="JX475" s="294" t="s">
        <v>1083</v>
      </c>
      <c r="JZ475" s="263" t="s">
        <v>30999</v>
      </c>
      <c r="KA475" s="263" t="s">
        <v>145</v>
      </c>
      <c r="KB475" s="263" t="s">
        <v>70</v>
      </c>
      <c r="KC475" s="263" t="s">
        <v>1083</v>
      </c>
      <c r="KE475" s="263" t="s">
        <v>31000</v>
      </c>
      <c r="KF475" s="263" t="s">
        <v>52</v>
      </c>
      <c r="KG475" s="263" t="s">
        <v>70</v>
      </c>
      <c r="KH475" s="263" t="s">
        <v>1083</v>
      </c>
      <c r="KJ475" s="263" t="s">
        <v>31001</v>
      </c>
      <c r="KK475" s="263" t="s">
        <v>52</v>
      </c>
      <c r="KL475" s="263" t="s">
        <v>74</v>
      </c>
      <c r="KM475" s="263" t="s">
        <v>34074</v>
      </c>
      <c r="KO475" s="214" t="s">
        <v>31002</v>
      </c>
      <c r="KP475" s="214" t="s">
        <v>145</v>
      </c>
      <c r="KQ475" s="214" t="s">
        <v>70</v>
      </c>
      <c r="KR475" s="214" t="s">
        <v>67</v>
      </c>
      <c r="KT475" s="22" t="s">
        <v>31003</v>
      </c>
      <c r="KU475" s="22" t="s">
        <v>145</v>
      </c>
      <c r="KV475" s="22" t="s">
        <v>70</v>
      </c>
      <c r="KW475" s="22" t="s">
        <v>67</v>
      </c>
      <c r="KY475" s="214" t="s">
        <v>31004</v>
      </c>
      <c r="KZ475" s="214" t="s">
        <v>52</v>
      </c>
      <c r="LA475" s="214" t="s">
        <v>74</v>
      </c>
      <c r="LB475" s="214" t="s">
        <v>67</v>
      </c>
      <c r="LD475" s="22" t="s">
        <v>31005</v>
      </c>
      <c r="LE475" s="22" t="s">
        <v>145</v>
      </c>
      <c r="LF475" s="22" t="s">
        <v>70</v>
      </c>
      <c r="LG475" s="22" t="s">
        <v>67</v>
      </c>
    </row>
    <row r="476" spans="1:319">
      <c r="A476" s="22" t="s">
        <v>31006</v>
      </c>
      <c r="B476" s="22" t="s">
        <v>145</v>
      </c>
      <c r="C476" s="22" t="s">
        <v>70</v>
      </c>
      <c r="D476" s="22" t="s">
        <v>67</v>
      </c>
      <c r="F476" s="73" t="s">
        <v>31007</v>
      </c>
      <c r="G476" s="22" t="s">
        <v>145</v>
      </c>
      <c r="H476" s="22" t="s">
        <v>70</v>
      </c>
      <c r="I476" s="22" t="s">
        <v>67</v>
      </c>
      <c r="K476" s="99" t="s">
        <v>31008</v>
      </c>
      <c r="L476" s="22" t="s">
        <v>145</v>
      </c>
      <c r="M476" s="22" t="s">
        <v>70</v>
      </c>
      <c r="N476" s="22" t="s">
        <v>67</v>
      </c>
      <c r="P476" s="99" t="s">
        <v>31009</v>
      </c>
      <c r="Q476" s="22" t="s">
        <v>145</v>
      </c>
      <c r="R476" s="22" t="s">
        <v>70</v>
      </c>
      <c r="S476" s="22" t="s">
        <v>67</v>
      </c>
      <c r="U476" s="293" t="s">
        <v>31010</v>
      </c>
      <c r="V476" s="293" t="s">
        <v>145</v>
      </c>
      <c r="W476" s="293" t="s">
        <v>74</v>
      </c>
      <c r="X476" s="293" t="s">
        <v>656</v>
      </c>
      <c r="Z476" s="293" t="s">
        <v>31011</v>
      </c>
      <c r="AA476" s="293" t="s">
        <v>145</v>
      </c>
      <c r="AB476" s="293" t="s">
        <v>74</v>
      </c>
      <c r="AC476" s="293" t="s">
        <v>656</v>
      </c>
      <c r="AE476" s="293" t="s">
        <v>31012</v>
      </c>
      <c r="AF476" s="293" t="s">
        <v>145</v>
      </c>
      <c r="AG476" s="293" t="s">
        <v>74</v>
      </c>
      <c r="AH476" s="293" t="s">
        <v>656</v>
      </c>
      <c r="AJ476" s="293" t="s">
        <v>31013</v>
      </c>
      <c r="AK476" s="293" t="s">
        <v>145</v>
      </c>
      <c r="AL476" s="293" t="s">
        <v>74</v>
      </c>
      <c r="AM476" s="293" t="s">
        <v>656</v>
      </c>
      <c r="AO476" s="22" t="s">
        <v>31014</v>
      </c>
      <c r="AP476" s="22" t="s">
        <v>145</v>
      </c>
      <c r="AQ476" s="22" t="s">
        <v>70</v>
      </c>
      <c r="AR476" s="22" t="s">
        <v>67</v>
      </c>
      <c r="AT476" s="22" t="s">
        <v>31015</v>
      </c>
      <c r="AU476" s="22" t="s">
        <v>145</v>
      </c>
      <c r="AV476" s="22" t="s">
        <v>70</v>
      </c>
      <c r="AW476" s="22" t="s">
        <v>67</v>
      </c>
      <c r="AY476" s="22" t="s">
        <v>31016</v>
      </c>
      <c r="AZ476" s="22" t="s">
        <v>145</v>
      </c>
      <c r="BA476" s="22" t="s">
        <v>70</v>
      </c>
      <c r="BB476" s="22" t="s">
        <v>67</v>
      </c>
      <c r="BD476" s="22" t="s">
        <v>31017</v>
      </c>
      <c r="BE476" s="22" t="s">
        <v>145</v>
      </c>
      <c r="BF476" s="22" t="s">
        <v>70</v>
      </c>
      <c r="BG476" s="22" t="s">
        <v>67</v>
      </c>
      <c r="BI476" s="22" t="s">
        <v>31018</v>
      </c>
      <c r="BJ476" s="22" t="s">
        <v>145</v>
      </c>
      <c r="BK476" s="22" t="s">
        <v>70</v>
      </c>
      <c r="BL476" s="22" t="s">
        <v>67</v>
      </c>
      <c r="BN476" s="22" t="s">
        <v>31019</v>
      </c>
      <c r="BO476" s="22" t="s">
        <v>145</v>
      </c>
      <c r="BP476" s="22" t="s">
        <v>70</v>
      </c>
      <c r="BQ476" s="22" t="s">
        <v>67</v>
      </c>
      <c r="BS476" s="22" t="s">
        <v>31020</v>
      </c>
      <c r="BT476" s="22" t="s">
        <v>145</v>
      </c>
      <c r="BU476" s="22" t="s">
        <v>70</v>
      </c>
      <c r="BV476" s="214" t="s">
        <v>530</v>
      </c>
      <c r="BX476" s="22" t="s">
        <v>31021</v>
      </c>
      <c r="BY476" s="22" t="s">
        <v>145</v>
      </c>
      <c r="BZ476" s="22" t="s">
        <v>70</v>
      </c>
      <c r="CA476" s="214" t="s">
        <v>530</v>
      </c>
      <c r="CC476" s="214" t="s">
        <v>31022</v>
      </c>
      <c r="CD476" s="214" t="s">
        <v>489</v>
      </c>
      <c r="CE476" s="214" t="s">
        <v>70</v>
      </c>
      <c r="CF476" s="214" t="s">
        <v>530</v>
      </c>
      <c r="CH476" s="214" t="s">
        <v>31023</v>
      </c>
      <c r="CI476" s="214" t="s">
        <v>910</v>
      </c>
      <c r="CJ476" s="214" t="s">
        <v>70</v>
      </c>
      <c r="CK476" s="214" t="s">
        <v>530</v>
      </c>
      <c r="CM476" s="214" t="s">
        <v>31024</v>
      </c>
      <c r="CN476" s="214" t="s">
        <v>34545</v>
      </c>
      <c r="CO476" s="214" t="s">
        <v>70</v>
      </c>
      <c r="CP476" s="214" t="s">
        <v>530</v>
      </c>
      <c r="CR476" s="214" t="s">
        <v>31025</v>
      </c>
      <c r="CS476" s="214" t="s">
        <v>599</v>
      </c>
      <c r="CT476" s="214" t="s">
        <v>70</v>
      </c>
      <c r="CU476" s="214" t="s">
        <v>530</v>
      </c>
      <c r="CW476" s="214" t="s">
        <v>31026</v>
      </c>
      <c r="CX476" s="214" t="s">
        <v>52</v>
      </c>
      <c r="CY476" s="214" t="s">
        <v>70</v>
      </c>
      <c r="CZ476" s="214" t="s">
        <v>530</v>
      </c>
      <c r="DB476" s="214" t="s">
        <v>31027</v>
      </c>
      <c r="DC476" s="214" t="s">
        <v>88</v>
      </c>
      <c r="DD476" s="214" t="s">
        <v>70</v>
      </c>
      <c r="DE476" s="214" t="s">
        <v>530</v>
      </c>
      <c r="DG476" s="214" t="s">
        <v>31028</v>
      </c>
      <c r="DH476" s="214" t="s">
        <v>52</v>
      </c>
      <c r="DI476" s="214" t="s">
        <v>70</v>
      </c>
      <c r="DJ476" s="214" t="s">
        <v>530</v>
      </c>
      <c r="DL476" s="214" t="s">
        <v>31029</v>
      </c>
      <c r="DM476" s="214" t="s">
        <v>52</v>
      </c>
      <c r="DN476" s="214" t="s">
        <v>70</v>
      </c>
      <c r="DO476" s="214" t="s">
        <v>530</v>
      </c>
      <c r="DQ476" s="214" t="s">
        <v>31030</v>
      </c>
      <c r="DR476" s="214" t="s">
        <v>52</v>
      </c>
      <c r="DS476" s="214" t="s">
        <v>70</v>
      </c>
      <c r="DT476" s="214" t="s">
        <v>530</v>
      </c>
      <c r="DV476" s="214" t="s">
        <v>31031</v>
      </c>
      <c r="DW476" s="214" t="s">
        <v>21742</v>
      </c>
      <c r="DX476" s="214" t="s">
        <v>70</v>
      </c>
      <c r="DY476" s="214" t="s">
        <v>530</v>
      </c>
      <c r="EA476" s="214" t="s">
        <v>31032</v>
      </c>
      <c r="EB476" s="214" t="s">
        <v>148</v>
      </c>
      <c r="EC476" s="214" t="s">
        <v>70</v>
      </c>
      <c r="ED476" s="214" t="s">
        <v>530</v>
      </c>
      <c r="EF476" s="214" t="s">
        <v>31033</v>
      </c>
      <c r="EG476" s="214" t="s">
        <v>34516</v>
      </c>
      <c r="EH476" s="214" t="s">
        <v>70</v>
      </c>
      <c r="EI476" s="214" t="s">
        <v>530</v>
      </c>
      <c r="EK476" s="214" t="s">
        <v>31034</v>
      </c>
      <c r="EL476" s="214" t="s">
        <v>910</v>
      </c>
      <c r="EM476" s="214" t="s">
        <v>70</v>
      </c>
      <c r="EN476" s="214" t="s">
        <v>530</v>
      </c>
      <c r="EP476" s="214" t="s">
        <v>31035</v>
      </c>
      <c r="EQ476" s="214" t="s">
        <v>52</v>
      </c>
      <c r="ER476" s="214" t="s">
        <v>70</v>
      </c>
      <c r="ES476" s="214" t="s">
        <v>530</v>
      </c>
      <c r="EU476" s="214" t="s">
        <v>31036</v>
      </c>
      <c r="EV476" s="214" t="s">
        <v>939</v>
      </c>
      <c r="EW476" s="214" t="s">
        <v>70</v>
      </c>
      <c r="EX476" s="214" t="s">
        <v>530</v>
      </c>
      <c r="EZ476" s="214" t="s">
        <v>31037</v>
      </c>
      <c r="FA476" s="214" t="s">
        <v>148</v>
      </c>
      <c r="FB476" s="214" t="s">
        <v>70</v>
      </c>
      <c r="FC476" s="214" t="s">
        <v>530</v>
      </c>
      <c r="FE476" s="214" t="s">
        <v>31038</v>
      </c>
      <c r="FF476" s="214" t="s">
        <v>489</v>
      </c>
      <c r="FG476" s="214" t="s">
        <v>70</v>
      </c>
      <c r="FH476" s="214" t="s">
        <v>530</v>
      </c>
      <c r="FJ476" s="321" t="s">
        <v>31039</v>
      </c>
      <c r="FK476" s="214" t="s">
        <v>921</v>
      </c>
      <c r="FL476" s="214" t="s">
        <v>70</v>
      </c>
      <c r="FM476" s="214" t="s">
        <v>530</v>
      </c>
      <c r="FO476" s="321" t="s">
        <v>31040</v>
      </c>
      <c r="FP476" s="214" t="s">
        <v>34587</v>
      </c>
      <c r="FQ476" s="214" t="s">
        <v>70</v>
      </c>
      <c r="FR476" s="214" t="s">
        <v>530</v>
      </c>
      <c r="FT476" s="321" t="s">
        <v>31041</v>
      </c>
      <c r="FU476" s="214" t="s">
        <v>52</v>
      </c>
      <c r="FV476" s="214" t="s">
        <v>70</v>
      </c>
      <c r="FW476" s="214" t="s">
        <v>530</v>
      </c>
      <c r="FY476" s="321" t="s">
        <v>31042</v>
      </c>
      <c r="FZ476" s="214" t="s">
        <v>52</v>
      </c>
      <c r="GA476" s="214" t="s">
        <v>70</v>
      </c>
      <c r="GB476" s="214" t="s">
        <v>530</v>
      </c>
      <c r="GD476" s="321" t="s">
        <v>31043</v>
      </c>
      <c r="GE476" s="214" t="s">
        <v>165</v>
      </c>
      <c r="GF476" s="214" t="s">
        <v>70</v>
      </c>
      <c r="GG476" s="214" t="s">
        <v>530</v>
      </c>
      <c r="GI476" s="321" t="s">
        <v>31044</v>
      </c>
      <c r="GJ476" s="214" t="s">
        <v>87</v>
      </c>
      <c r="GK476" s="214" t="s">
        <v>70</v>
      </c>
      <c r="GL476" s="214" t="s">
        <v>530</v>
      </c>
      <c r="GN476" s="321" t="s">
        <v>31045</v>
      </c>
      <c r="GO476" s="214" t="s">
        <v>34601</v>
      </c>
      <c r="GP476" s="214" t="s">
        <v>70</v>
      </c>
      <c r="GQ476" s="214" t="s">
        <v>530</v>
      </c>
      <c r="GS476" s="321" t="s">
        <v>31046</v>
      </c>
      <c r="GT476" s="214" t="s">
        <v>148</v>
      </c>
      <c r="GU476" s="214" t="s">
        <v>70</v>
      </c>
      <c r="GV476" s="214" t="s">
        <v>530</v>
      </c>
      <c r="GX476" s="214" t="s">
        <v>31047</v>
      </c>
      <c r="GY476" s="214" t="s">
        <v>92</v>
      </c>
      <c r="GZ476" s="214" t="s">
        <v>70</v>
      </c>
      <c r="HA476" s="214" t="s">
        <v>530</v>
      </c>
      <c r="HC476" s="214" t="s">
        <v>31048</v>
      </c>
      <c r="HD476" s="214" t="s">
        <v>34581</v>
      </c>
      <c r="HE476" s="214" t="s">
        <v>70</v>
      </c>
      <c r="HF476" s="214" t="s">
        <v>530</v>
      </c>
      <c r="HH476" s="214" t="s">
        <v>31049</v>
      </c>
      <c r="HI476" s="214" t="s">
        <v>86</v>
      </c>
      <c r="HJ476" s="214" t="s">
        <v>70</v>
      </c>
      <c r="HK476" s="214" t="s">
        <v>530</v>
      </c>
      <c r="HM476" s="214" t="s">
        <v>31050</v>
      </c>
      <c r="HN476" s="214" t="s">
        <v>34570</v>
      </c>
      <c r="HO476" s="214" t="s">
        <v>70</v>
      </c>
      <c r="HP476" s="214" t="s">
        <v>530</v>
      </c>
      <c r="HR476" s="22" t="s">
        <v>31051</v>
      </c>
      <c r="HS476" s="22" t="s">
        <v>34596</v>
      </c>
      <c r="HT476" s="22" t="s">
        <v>70</v>
      </c>
      <c r="HU476" s="214" t="s">
        <v>530</v>
      </c>
      <c r="HW476" s="22" t="s">
        <v>31052</v>
      </c>
      <c r="HX476" s="22" t="s">
        <v>34579</v>
      </c>
      <c r="HY476" s="22" t="s">
        <v>70</v>
      </c>
      <c r="HZ476" s="214" t="s">
        <v>530</v>
      </c>
      <c r="IB476" s="22" t="s">
        <v>31053</v>
      </c>
      <c r="IC476" s="22" t="s">
        <v>148</v>
      </c>
      <c r="ID476" s="22" t="s">
        <v>70</v>
      </c>
      <c r="IE476" s="214" t="s">
        <v>530</v>
      </c>
      <c r="IG476" s="22" t="s">
        <v>31054</v>
      </c>
      <c r="IH476" s="22" t="s">
        <v>52</v>
      </c>
      <c r="II476" s="22" t="s">
        <v>70</v>
      </c>
      <c r="IJ476" s="214" t="s">
        <v>530</v>
      </c>
      <c r="IL476" s="22" t="s">
        <v>31055</v>
      </c>
      <c r="IM476" s="22" t="s">
        <v>145</v>
      </c>
      <c r="IN476" s="22" t="s">
        <v>70</v>
      </c>
      <c r="IO476" s="214" t="s">
        <v>530</v>
      </c>
      <c r="IQ476" s="236" t="s">
        <v>31056</v>
      </c>
      <c r="IR476" s="236" t="s">
        <v>145</v>
      </c>
      <c r="IS476" s="236" t="s">
        <v>74</v>
      </c>
      <c r="IT476" s="236" t="s">
        <v>841</v>
      </c>
      <c r="IV476" s="236" t="s">
        <v>31057</v>
      </c>
      <c r="IW476" s="236" t="s">
        <v>145</v>
      </c>
      <c r="IX476" s="236" t="s">
        <v>74</v>
      </c>
      <c r="IY476" s="236" t="s">
        <v>841</v>
      </c>
      <c r="JA476" s="236" t="s">
        <v>31058</v>
      </c>
      <c r="JB476" s="236" t="s">
        <v>145</v>
      </c>
      <c r="JC476" s="236" t="s">
        <v>74</v>
      </c>
      <c r="JD476" s="236" t="s">
        <v>841</v>
      </c>
      <c r="JF476" s="236" t="s">
        <v>31059</v>
      </c>
      <c r="JG476" s="236" t="s">
        <v>145</v>
      </c>
      <c r="JH476" s="236" t="s">
        <v>74</v>
      </c>
      <c r="JI476" s="236" t="s">
        <v>841</v>
      </c>
      <c r="JK476" s="236" t="s">
        <v>31060</v>
      </c>
      <c r="JL476" s="236" t="s">
        <v>145</v>
      </c>
      <c r="JM476" s="236" t="s">
        <v>74</v>
      </c>
      <c r="JN476" s="236" t="s">
        <v>841</v>
      </c>
      <c r="JP476" s="236" t="s">
        <v>31061</v>
      </c>
      <c r="JQ476" s="236" t="s">
        <v>145</v>
      </c>
      <c r="JR476" s="236" t="s">
        <v>74</v>
      </c>
      <c r="JS476" s="236" t="s">
        <v>841</v>
      </c>
      <c r="JU476" s="294" t="s">
        <v>31062</v>
      </c>
      <c r="JV476" s="294" t="s">
        <v>52</v>
      </c>
      <c r="JW476" s="263" t="s">
        <v>70</v>
      </c>
      <c r="JX476" s="294" t="s">
        <v>1083</v>
      </c>
      <c r="JZ476" s="263" t="s">
        <v>31063</v>
      </c>
      <c r="KA476" s="263" t="s">
        <v>145</v>
      </c>
      <c r="KB476" s="263" t="s">
        <v>70</v>
      </c>
      <c r="KC476" s="263" t="s">
        <v>1083</v>
      </c>
      <c r="KE476" s="263" t="s">
        <v>31064</v>
      </c>
      <c r="KF476" s="263" t="s">
        <v>52</v>
      </c>
      <c r="KG476" s="263" t="s">
        <v>70</v>
      </c>
      <c r="KH476" s="263" t="s">
        <v>1083</v>
      </c>
      <c r="KJ476" s="263" t="s">
        <v>31065</v>
      </c>
      <c r="KK476" s="263" t="s">
        <v>52</v>
      </c>
      <c r="KL476" s="263" t="s">
        <v>74</v>
      </c>
      <c r="KM476" s="263" t="s">
        <v>34074</v>
      </c>
      <c r="KO476" s="214" t="s">
        <v>31066</v>
      </c>
      <c r="KP476" s="214" t="s">
        <v>145</v>
      </c>
      <c r="KQ476" s="214" t="s">
        <v>70</v>
      </c>
      <c r="KR476" s="214" t="s">
        <v>67</v>
      </c>
      <c r="KT476" s="22" t="s">
        <v>31067</v>
      </c>
      <c r="KU476" s="22" t="s">
        <v>145</v>
      </c>
      <c r="KV476" s="22" t="s">
        <v>70</v>
      </c>
      <c r="KW476" s="22" t="s">
        <v>67</v>
      </c>
      <c r="KY476" s="214" t="s">
        <v>31068</v>
      </c>
      <c r="KZ476" s="214" t="s">
        <v>52</v>
      </c>
      <c r="LA476" s="214" t="s">
        <v>74</v>
      </c>
      <c r="LB476" s="214" t="s">
        <v>67</v>
      </c>
      <c r="LD476" s="22" t="s">
        <v>31069</v>
      </c>
      <c r="LE476" s="22" t="s">
        <v>145</v>
      </c>
      <c r="LF476" s="22" t="s">
        <v>70</v>
      </c>
      <c r="LG476" s="22" t="s">
        <v>67</v>
      </c>
    </row>
    <row r="477" spans="1:319">
      <c r="A477" s="22" t="s">
        <v>31070</v>
      </c>
      <c r="B477" s="22" t="s">
        <v>145</v>
      </c>
      <c r="C477" s="22" t="s">
        <v>70</v>
      </c>
      <c r="D477" s="22" t="s">
        <v>67</v>
      </c>
      <c r="F477" s="73" t="s">
        <v>31071</v>
      </c>
      <c r="G477" s="22" t="s">
        <v>145</v>
      </c>
      <c r="H477" s="22" t="s">
        <v>70</v>
      </c>
      <c r="I477" s="22" t="s">
        <v>67</v>
      </c>
      <c r="K477" s="99" t="s">
        <v>31072</v>
      </c>
      <c r="L477" s="22" t="s">
        <v>145</v>
      </c>
      <c r="M477" s="22" t="s">
        <v>70</v>
      </c>
      <c r="N477" s="22" t="s">
        <v>67</v>
      </c>
      <c r="P477" s="99" t="s">
        <v>31073</v>
      </c>
      <c r="Q477" s="22" t="s">
        <v>145</v>
      </c>
      <c r="R477" s="22" t="s">
        <v>70</v>
      </c>
      <c r="S477" s="22" t="s">
        <v>67</v>
      </c>
      <c r="U477" s="293" t="s">
        <v>31074</v>
      </c>
      <c r="V477" s="293" t="s">
        <v>145</v>
      </c>
      <c r="W477" s="293" t="s">
        <v>74</v>
      </c>
      <c r="X477" s="293" t="s">
        <v>656</v>
      </c>
      <c r="Z477" s="293" t="s">
        <v>31075</v>
      </c>
      <c r="AA477" s="293" t="s">
        <v>145</v>
      </c>
      <c r="AB477" s="293" t="s">
        <v>74</v>
      </c>
      <c r="AC477" s="293" t="s">
        <v>656</v>
      </c>
      <c r="AE477" s="293" t="s">
        <v>31076</v>
      </c>
      <c r="AF477" s="293" t="s">
        <v>145</v>
      </c>
      <c r="AG477" s="293" t="s">
        <v>74</v>
      </c>
      <c r="AH477" s="293" t="s">
        <v>656</v>
      </c>
      <c r="AJ477" s="293" t="s">
        <v>31077</v>
      </c>
      <c r="AK477" s="293" t="s">
        <v>145</v>
      </c>
      <c r="AL477" s="293" t="s">
        <v>74</v>
      </c>
      <c r="AM477" s="293" t="s">
        <v>656</v>
      </c>
      <c r="AO477" s="22" t="s">
        <v>31078</v>
      </c>
      <c r="AP477" s="22" t="s">
        <v>145</v>
      </c>
      <c r="AQ477" s="22" t="s">
        <v>70</v>
      </c>
      <c r="AR477" s="22" t="s">
        <v>67</v>
      </c>
      <c r="AT477" s="22" t="s">
        <v>31079</v>
      </c>
      <c r="AU477" s="22" t="s">
        <v>145</v>
      </c>
      <c r="AV477" s="22" t="s">
        <v>70</v>
      </c>
      <c r="AW477" s="22" t="s">
        <v>67</v>
      </c>
      <c r="AY477" s="22" t="s">
        <v>31080</v>
      </c>
      <c r="AZ477" s="22" t="s">
        <v>145</v>
      </c>
      <c r="BA477" s="22" t="s">
        <v>70</v>
      </c>
      <c r="BB477" s="22" t="s">
        <v>67</v>
      </c>
      <c r="BD477" s="22" t="s">
        <v>31081</v>
      </c>
      <c r="BE477" s="22" t="s">
        <v>145</v>
      </c>
      <c r="BF477" s="22" t="s">
        <v>70</v>
      </c>
      <c r="BG477" s="22" t="s">
        <v>67</v>
      </c>
      <c r="BI477" s="22" t="s">
        <v>31082</v>
      </c>
      <c r="BJ477" s="22" t="s">
        <v>145</v>
      </c>
      <c r="BK477" s="22" t="s">
        <v>70</v>
      </c>
      <c r="BL477" s="22" t="s">
        <v>67</v>
      </c>
      <c r="BN477" s="22" t="s">
        <v>31083</v>
      </c>
      <c r="BO477" s="22" t="s">
        <v>145</v>
      </c>
      <c r="BP477" s="22" t="s">
        <v>70</v>
      </c>
      <c r="BQ477" s="22" t="s">
        <v>67</v>
      </c>
      <c r="BS477" s="22" t="s">
        <v>31084</v>
      </c>
      <c r="BT477" s="22" t="s">
        <v>145</v>
      </c>
      <c r="BU477" s="22" t="s">
        <v>70</v>
      </c>
      <c r="BV477" s="214" t="s">
        <v>530</v>
      </c>
      <c r="BX477" s="22" t="s">
        <v>31085</v>
      </c>
      <c r="BY477" s="22" t="s">
        <v>145</v>
      </c>
      <c r="BZ477" s="22" t="s">
        <v>70</v>
      </c>
      <c r="CA477" s="214" t="s">
        <v>530</v>
      </c>
      <c r="CC477" s="214" t="s">
        <v>31086</v>
      </c>
      <c r="CD477" s="214" t="s">
        <v>484</v>
      </c>
      <c r="CE477" s="214" t="s">
        <v>70</v>
      </c>
      <c r="CF477" s="214" t="s">
        <v>530</v>
      </c>
      <c r="CH477" s="214" t="s">
        <v>31087</v>
      </c>
      <c r="CI477" s="214" t="s">
        <v>491</v>
      </c>
      <c r="CJ477" s="214" t="s">
        <v>70</v>
      </c>
      <c r="CK477" s="214" t="s">
        <v>530</v>
      </c>
      <c r="CM477" s="214" t="s">
        <v>31088</v>
      </c>
      <c r="CN477" s="214" t="s">
        <v>34551</v>
      </c>
      <c r="CO477" s="214" t="s">
        <v>70</v>
      </c>
      <c r="CP477" s="214" t="s">
        <v>530</v>
      </c>
      <c r="CR477" s="214" t="s">
        <v>31089</v>
      </c>
      <c r="CS477" s="214" t="s">
        <v>146</v>
      </c>
      <c r="CT477" s="214" t="s">
        <v>70</v>
      </c>
      <c r="CU477" s="214" t="s">
        <v>530</v>
      </c>
      <c r="CW477" s="214" t="s">
        <v>31090</v>
      </c>
      <c r="CX477" s="214" t="s">
        <v>86</v>
      </c>
      <c r="CY477" s="214" t="s">
        <v>70</v>
      </c>
      <c r="CZ477" s="214" t="s">
        <v>530</v>
      </c>
      <c r="DB477" s="214" t="s">
        <v>31091</v>
      </c>
      <c r="DC477" s="214" t="s">
        <v>468</v>
      </c>
      <c r="DD477" s="214" t="s">
        <v>70</v>
      </c>
      <c r="DE477" s="214" t="s">
        <v>530</v>
      </c>
      <c r="DG477" s="214" t="s">
        <v>31092</v>
      </c>
      <c r="DH477" s="214" t="s">
        <v>203</v>
      </c>
      <c r="DI477" s="214" t="s">
        <v>70</v>
      </c>
      <c r="DJ477" s="214" t="s">
        <v>530</v>
      </c>
      <c r="DL477" s="214" t="s">
        <v>31093</v>
      </c>
      <c r="DM477" s="214" t="s">
        <v>484</v>
      </c>
      <c r="DN477" s="214" t="s">
        <v>70</v>
      </c>
      <c r="DO477" s="214" t="s">
        <v>530</v>
      </c>
      <c r="DQ477" s="214" t="s">
        <v>31094</v>
      </c>
      <c r="DR477" s="214" t="s">
        <v>34570</v>
      </c>
      <c r="DS477" s="214" t="s">
        <v>70</v>
      </c>
      <c r="DT477" s="214" t="s">
        <v>530</v>
      </c>
      <c r="DV477" s="214" t="s">
        <v>31095</v>
      </c>
      <c r="DW477" s="214" t="s">
        <v>52</v>
      </c>
      <c r="DX477" s="214" t="s">
        <v>70</v>
      </c>
      <c r="DY477" s="214" t="s">
        <v>530</v>
      </c>
      <c r="EA477" s="214" t="s">
        <v>31096</v>
      </c>
      <c r="EB477" s="214" t="s">
        <v>34542</v>
      </c>
      <c r="EC477" s="214" t="s">
        <v>70</v>
      </c>
      <c r="ED477" s="214" t="s">
        <v>530</v>
      </c>
      <c r="EF477" s="214" t="s">
        <v>31097</v>
      </c>
      <c r="EG477" s="214" t="s">
        <v>52</v>
      </c>
      <c r="EH477" s="214" t="s">
        <v>70</v>
      </c>
      <c r="EI477" s="214" t="s">
        <v>530</v>
      </c>
      <c r="EK477" s="214" t="s">
        <v>31098</v>
      </c>
      <c r="EL477" s="214" t="s">
        <v>926</v>
      </c>
      <c r="EM477" s="214" t="s">
        <v>70</v>
      </c>
      <c r="EN477" s="214" t="s">
        <v>530</v>
      </c>
      <c r="EP477" s="214" t="s">
        <v>31099</v>
      </c>
      <c r="EQ477" s="214" t="s">
        <v>34569</v>
      </c>
      <c r="ER477" s="214" t="s">
        <v>70</v>
      </c>
      <c r="ES477" s="214" t="s">
        <v>530</v>
      </c>
      <c r="EU477" s="214" t="s">
        <v>31100</v>
      </c>
      <c r="EV477" s="214" t="s">
        <v>492</v>
      </c>
      <c r="EW477" s="214" t="s">
        <v>70</v>
      </c>
      <c r="EX477" s="214" t="s">
        <v>530</v>
      </c>
      <c r="EZ477" s="214" t="s">
        <v>31101</v>
      </c>
      <c r="FA477" s="214" t="s">
        <v>484</v>
      </c>
      <c r="FB477" s="214" t="s">
        <v>70</v>
      </c>
      <c r="FC477" s="214" t="s">
        <v>530</v>
      </c>
      <c r="FE477" s="214" t="s">
        <v>31102</v>
      </c>
      <c r="FF477" s="214" t="s">
        <v>145</v>
      </c>
      <c r="FG477" s="214" t="s">
        <v>70</v>
      </c>
      <c r="FH477" s="214" t="s">
        <v>530</v>
      </c>
      <c r="FJ477" s="321" t="s">
        <v>31103</v>
      </c>
      <c r="FK477" s="214" t="s">
        <v>52</v>
      </c>
      <c r="FL477" s="214" t="s">
        <v>70</v>
      </c>
      <c r="FM477" s="214" t="s">
        <v>530</v>
      </c>
      <c r="FO477" s="321" t="s">
        <v>31104</v>
      </c>
      <c r="FP477" s="214" t="s">
        <v>34556</v>
      </c>
      <c r="FQ477" s="214" t="s">
        <v>70</v>
      </c>
      <c r="FR477" s="214" t="s">
        <v>530</v>
      </c>
      <c r="FT477" s="321" t="s">
        <v>31105</v>
      </c>
      <c r="FU477" s="214" t="s">
        <v>206</v>
      </c>
      <c r="FV477" s="214" t="s">
        <v>70</v>
      </c>
      <c r="FW477" s="214" t="s">
        <v>530</v>
      </c>
      <c r="FY477" s="321" t="s">
        <v>31106</v>
      </c>
      <c r="FZ477" s="214" t="s">
        <v>919</v>
      </c>
      <c r="GA477" s="214" t="s">
        <v>70</v>
      </c>
      <c r="GB477" s="214" t="s">
        <v>530</v>
      </c>
      <c r="GD477" s="321" t="s">
        <v>31107</v>
      </c>
      <c r="GE477" s="214" t="s">
        <v>52</v>
      </c>
      <c r="GF477" s="214" t="s">
        <v>70</v>
      </c>
      <c r="GG477" s="214" t="s">
        <v>530</v>
      </c>
      <c r="GI477" s="321" t="s">
        <v>31108</v>
      </c>
      <c r="GJ477" s="214" t="s">
        <v>34542</v>
      </c>
      <c r="GK477" s="214" t="s">
        <v>70</v>
      </c>
      <c r="GL477" s="214" t="s">
        <v>530</v>
      </c>
      <c r="GN477" s="321" t="s">
        <v>31109</v>
      </c>
      <c r="GO477" s="214" t="s">
        <v>491</v>
      </c>
      <c r="GP477" s="214" t="s">
        <v>70</v>
      </c>
      <c r="GQ477" s="214" t="s">
        <v>530</v>
      </c>
      <c r="GS477" s="321" t="s">
        <v>31110</v>
      </c>
      <c r="GT477" s="214" t="s">
        <v>468</v>
      </c>
      <c r="GU477" s="214" t="s">
        <v>70</v>
      </c>
      <c r="GV477" s="214" t="s">
        <v>530</v>
      </c>
      <c r="GX477" s="214" t="s">
        <v>31111</v>
      </c>
      <c r="GY477" s="214" t="s">
        <v>496</v>
      </c>
      <c r="GZ477" s="214" t="s">
        <v>70</v>
      </c>
      <c r="HA477" s="214" t="s">
        <v>530</v>
      </c>
      <c r="HC477" s="214" t="s">
        <v>31112</v>
      </c>
      <c r="HD477" s="214" t="s">
        <v>502</v>
      </c>
      <c r="HE477" s="214" t="s">
        <v>70</v>
      </c>
      <c r="HF477" s="214" t="s">
        <v>530</v>
      </c>
      <c r="HH477" s="214" t="s">
        <v>31113</v>
      </c>
      <c r="HI477" s="214" t="s">
        <v>496</v>
      </c>
      <c r="HJ477" s="214" t="s">
        <v>70</v>
      </c>
      <c r="HK477" s="214" t="s">
        <v>530</v>
      </c>
      <c r="HM477" s="214" t="s">
        <v>31114</v>
      </c>
      <c r="HN477" s="214" t="s">
        <v>149</v>
      </c>
      <c r="HO477" s="214" t="s">
        <v>70</v>
      </c>
      <c r="HP477" s="214" t="s">
        <v>530</v>
      </c>
      <c r="HR477" s="22" t="s">
        <v>31115</v>
      </c>
      <c r="HS477" s="22" t="s">
        <v>145</v>
      </c>
      <c r="HT477" s="22" t="s">
        <v>70</v>
      </c>
      <c r="HU477" s="214" t="s">
        <v>530</v>
      </c>
      <c r="HW477" s="22" t="s">
        <v>31116</v>
      </c>
      <c r="HX477" s="22" t="s">
        <v>52</v>
      </c>
      <c r="HY477" s="22" t="s">
        <v>70</v>
      </c>
      <c r="HZ477" s="214" t="s">
        <v>530</v>
      </c>
      <c r="IB477" s="22" t="s">
        <v>31117</v>
      </c>
      <c r="IC477" s="22" t="s">
        <v>34569</v>
      </c>
      <c r="ID477" s="22" t="s">
        <v>70</v>
      </c>
      <c r="IE477" s="214" t="s">
        <v>530</v>
      </c>
      <c r="IG477" s="22" t="s">
        <v>31118</v>
      </c>
      <c r="IH477" s="22" t="s">
        <v>52</v>
      </c>
      <c r="II477" s="22" t="s">
        <v>70</v>
      </c>
      <c r="IJ477" s="214" t="s">
        <v>530</v>
      </c>
      <c r="IL477" s="22" t="s">
        <v>31119</v>
      </c>
      <c r="IM477" s="22" t="s">
        <v>145</v>
      </c>
      <c r="IN477" s="22" t="s">
        <v>70</v>
      </c>
      <c r="IO477" s="214" t="s">
        <v>530</v>
      </c>
      <c r="IQ477" s="236" t="s">
        <v>31120</v>
      </c>
      <c r="IR477" s="236" t="s">
        <v>145</v>
      </c>
      <c r="IS477" s="236" t="s">
        <v>74</v>
      </c>
      <c r="IT477" s="236" t="s">
        <v>841</v>
      </c>
      <c r="IV477" s="236" t="s">
        <v>31121</v>
      </c>
      <c r="IW477" s="236" t="s">
        <v>145</v>
      </c>
      <c r="IX477" s="236" t="s">
        <v>74</v>
      </c>
      <c r="IY477" s="236" t="s">
        <v>841</v>
      </c>
      <c r="JA477" s="236" t="s">
        <v>31122</v>
      </c>
      <c r="JB477" s="236" t="s">
        <v>145</v>
      </c>
      <c r="JC477" s="236" t="s">
        <v>74</v>
      </c>
      <c r="JD477" s="236" t="s">
        <v>841</v>
      </c>
      <c r="JF477" s="236" t="s">
        <v>31123</v>
      </c>
      <c r="JG477" s="236" t="s">
        <v>145</v>
      </c>
      <c r="JH477" s="236" t="s">
        <v>74</v>
      </c>
      <c r="JI477" s="236" t="s">
        <v>841</v>
      </c>
      <c r="JK477" s="236" t="s">
        <v>31124</v>
      </c>
      <c r="JL477" s="236" t="s">
        <v>145</v>
      </c>
      <c r="JM477" s="236" t="s">
        <v>74</v>
      </c>
      <c r="JN477" s="236" t="s">
        <v>841</v>
      </c>
      <c r="JP477" s="236" t="s">
        <v>31125</v>
      </c>
      <c r="JQ477" s="236" t="s">
        <v>145</v>
      </c>
      <c r="JR477" s="236" t="s">
        <v>74</v>
      </c>
      <c r="JS477" s="236" t="s">
        <v>841</v>
      </c>
      <c r="JU477" s="294" t="s">
        <v>31126</v>
      </c>
      <c r="JV477" s="294" t="s">
        <v>52</v>
      </c>
      <c r="JW477" s="263" t="s">
        <v>70</v>
      </c>
      <c r="JX477" s="294" t="s">
        <v>1083</v>
      </c>
      <c r="JZ477" s="263" t="s">
        <v>31127</v>
      </c>
      <c r="KA477" s="263" t="s">
        <v>145</v>
      </c>
      <c r="KB477" s="263" t="s">
        <v>70</v>
      </c>
      <c r="KC477" s="263" t="s">
        <v>1083</v>
      </c>
      <c r="KE477" s="263" t="s">
        <v>31128</v>
      </c>
      <c r="KF477" s="263" t="s">
        <v>52</v>
      </c>
      <c r="KG477" s="263" t="s">
        <v>70</v>
      </c>
      <c r="KH477" s="263" t="s">
        <v>1083</v>
      </c>
      <c r="KJ477" s="263" t="s">
        <v>31129</v>
      </c>
      <c r="KK477" s="263" t="s">
        <v>52</v>
      </c>
      <c r="KL477" s="263" t="s">
        <v>74</v>
      </c>
      <c r="KM477" s="263" t="s">
        <v>34074</v>
      </c>
      <c r="KO477" s="214" t="s">
        <v>31130</v>
      </c>
      <c r="KP477" s="214" t="s">
        <v>145</v>
      </c>
      <c r="KQ477" s="214" t="s">
        <v>70</v>
      </c>
      <c r="KR477" s="214" t="s">
        <v>67</v>
      </c>
      <c r="KT477" s="22" t="s">
        <v>31131</v>
      </c>
      <c r="KU477" s="22" t="s">
        <v>145</v>
      </c>
      <c r="KV477" s="22" t="s">
        <v>70</v>
      </c>
      <c r="KW477" s="22" t="s">
        <v>67</v>
      </c>
      <c r="KY477" s="214" t="s">
        <v>31132</v>
      </c>
      <c r="KZ477" s="214" t="s">
        <v>52</v>
      </c>
      <c r="LA477" s="214" t="s">
        <v>74</v>
      </c>
      <c r="LB477" s="214" t="s">
        <v>67</v>
      </c>
      <c r="LD477" s="22" t="s">
        <v>31133</v>
      </c>
      <c r="LE477" s="22" t="s">
        <v>145</v>
      </c>
      <c r="LF477" s="22" t="s">
        <v>70</v>
      </c>
      <c r="LG477" s="22" t="s">
        <v>67</v>
      </c>
    </row>
    <row r="478" spans="1:319">
      <c r="A478" s="22" t="s">
        <v>31134</v>
      </c>
      <c r="B478" s="22" t="s">
        <v>145</v>
      </c>
      <c r="C478" s="22" t="s">
        <v>70</v>
      </c>
      <c r="D478" s="22" t="s">
        <v>67</v>
      </c>
      <c r="F478" s="73" t="s">
        <v>31135</v>
      </c>
      <c r="G478" s="22" t="s">
        <v>145</v>
      </c>
      <c r="H478" s="22" t="s">
        <v>70</v>
      </c>
      <c r="I478" s="22" t="s">
        <v>67</v>
      </c>
      <c r="K478" s="99" t="s">
        <v>31136</v>
      </c>
      <c r="L478" s="22" t="s">
        <v>145</v>
      </c>
      <c r="M478" s="22" t="s">
        <v>70</v>
      </c>
      <c r="N478" s="22" t="s">
        <v>67</v>
      </c>
      <c r="P478" s="99" t="s">
        <v>31137</v>
      </c>
      <c r="Q478" s="22" t="s">
        <v>145</v>
      </c>
      <c r="R478" s="22" t="s">
        <v>70</v>
      </c>
      <c r="S478" s="22" t="s">
        <v>67</v>
      </c>
      <c r="U478" s="293" t="s">
        <v>31138</v>
      </c>
      <c r="V478" s="293" t="s">
        <v>145</v>
      </c>
      <c r="W478" s="293" t="s">
        <v>74</v>
      </c>
      <c r="X478" s="293" t="s">
        <v>656</v>
      </c>
      <c r="Z478" s="293" t="s">
        <v>31139</v>
      </c>
      <c r="AA478" s="293" t="s">
        <v>145</v>
      </c>
      <c r="AB478" s="293" t="s">
        <v>74</v>
      </c>
      <c r="AC478" s="293" t="s">
        <v>656</v>
      </c>
      <c r="AE478" s="293" t="s">
        <v>31140</v>
      </c>
      <c r="AF478" s="293" t="s">
        <v>145</v>
      </c>
      <c r="AG478" s="293" t="s">
        <v>74</v>
      </c>
      <c r="AH478" s="293" t="s">
        <v>656</v>
      </c>
      <c r="AJ478" s="293" t="s">
        <v>31141</v>
      </c>
      <c r="AK478" s="293" t="s">
        <v>145</v>
      </c>
      <c r="AL478" s="293" t="s">
        <v>74</v>
      </c>
      <c r="AM478" s="293" t="s">
        <v>656</v>
      </c>
      <c r="AO478" s="22" t="s">
        <v>31142</v>
      </c>
      <c r="AP478" s="22" t="s">
        <v>145</v>
      </c>
      <c r="AQ478" s="22" t="s">
        <v>70</v>
      </c>
      <c r="AR478" s="22" t="s">
        <v>67</v>
      </c>
      <c r="AT478" s="22" t="s">
        <v>31143</v>
      </c>
      <c r="AU478" s="22" t="s">
        <v>145</v>
      </c>
      <c r="AV478" s="22" t="s">
        <v>70</v>
      </c>
      <c r="AW478" s="22" t="s">
        <v>67</v>
      </c>
      <c r="AY478" s="22" t="s">
        <v>31144</v>
      </c>
      <c r="AZ478" s="22" t="s">
        <v>145</v>
      </c>
      <c r="BA478" s="22" t="s">
        <v>70</v>
      </c>
      <c r="BB478" s="22" t="s">
        <v>67</v>
      </c>
      <c r="BD478" s="22" t="s">
        <v>31145</v>
      </c>
      <c r="BE478" s="22" t="s">
        <v>145</v>
      </c>
      <c r="BF478" s="22" t="s">
        <v>70</v>
      </c>
      <c r="BG478" s="22" t="s">
        <v>67</v>
      </c>
      <c r="BI478" s="22" t="s">
        <v>31146</v>
      </c>
      <c r="BJ478" s="22" t="s">
        <v>145</v>
      </c>
      <c r="BK478" s="22" t="s">
        <v>70</v>
      </c>
      <c r="BL478" s="22" t="s">
        <v>67</v>
      </c>
      <c r="BN478" s="22" t="s">
        <v>31147</v>
      </c>
      <c r="BO478" s="22" t="s">
        <v>145</v>
      </c>
      <c r="BP478" s="22" t="s">
        <v>70</v>
      </c>
      <c r="BQ478" s="22" t="s">
        <v>67</v>
      </c>
      <c r="BS478" s="22" t="s">
        <v>31148</v>
      </c>
      <c r="BT478" s="22" t="s">
        <v>145</v>
      </c>
      <c r="BU478" s="22" t="s">
        <v>70</v>
      </c>
      <c r="BV478" s="214" t="s">
        <v>530</v>
      </c>
      <c r="BX478" s="22" t="s">
        <v>31149</v>
      </c>
      <c r="BY478" s="22" t="s">
        <v>145</v>
      </c>
      <c r="BZ478" s="22" t="s">
        <v>70</v>
      </c>
      <c r="CA478" s="214" t="s">
        <v>530</v>
      </c>
      <c r="CC478" s="214" t="s">
        <v>31150</v>
      </c>
      <c r="CD478" s="214" t="s">
        <v>490</v>
      </c>
      <c r="CE478" s="214" t="s">
        <v>70</v>
      </c>
      <c r="CF478" s="214" t="s">
        <v>530</v>
      </c>
      <c r="CH478" s="214" t="s">
        <v>31151</v>
      </c>
      <c r="CI478" s="214" t="s">
        <v>52</v>
      </c>
      <c r="CJ478" s="214" t="s">
        <v>70</v>
      </c>
      <c r="CK478" s="214" t="s">
        <v>530</v>
      </c>
      <c r="CM478" s="214" t="s">
        <v>31152</v>
      </c>
      <c r="CN478" s="214" t="s">
        <v>642</v>
      </c>
      <c r="CO478" s="214" t="s">
        <v>70</v>
      </c>
      <c r="CP478" s="214" t="s">
        <v>530</v>
      </c>
      <c r="CR478" s="214" t="s">
        <v>31153</v>
      </c>
      <c r="CS478" s="214" t="s">
        <v>85</v>
      </c>
      <c r="CT478" s="214" t="s">
        <v>70</v>
      </c>
      <c r="CU478" s="214" t="s">
        <v>530</v>
      </c>
      <c r="CW478" s="214" t="s">
        <v>31154</v>
      </c>
      <c r="CX478" s="214" t="s">
        <v>52</v>
      </c>
      <c r="CY478" s="214" t="s">
        <v>70</v>
      </c>
      <c r="CZ478" s="214" t="s">
        <v>530</v>
      </c>
      <c r="DB478" s="214" t="s">
        <v>31155</v>
      </c>
      <c r="DC478" s="214" t="s">
        <v>148</v>
      </c>
      <c r="DD478" s="214" t="s">
        <v>70</v>
      </c>
      <c r="DE478" s="214" t="s">
        <v>530</v>
      </c>
      <c r="DG478" s="214" t="s">
        <v>31156</v>
      </c>
      <c r="DH478" s="214" t="s">
        <v>952</v>
      </c>
      <c r="DI478" s="214" t="s">
        <v>70</v>
      </c>
      <c r="DJ478" s="214" t="s">
        <v>530</v>
      </c>
      <c r="DL478" s="214" t="s">
        <v>31157</v>
      </c>
      <c r="DM478" s="214" t="s">
        <v>34579</v>
      </c>
      <c r="DN478" s="214" t="s">
        <v>70</v>
      </c>
      <c r="DO478" s="214" t="s">
        <v>530</v>
      </c>
      <c r="DQ478" s="214" t="s">
        <v>31158</v>
      </c>
      <c r="DR478" s="214" t="s">
        <v>34583</v>
      </c>
      <c r="DS478" s="214" t="s">
        <v>70</v>
      </c>
      <c r="DT478" s="214" t="s">
        <v>530</v>
      </c>
      <c r="DV478" s="214" t="s">
        <v>31159</v>
      </c>
      <c r="DW478" s="214" t="s">
        <v>1224</v>
      </c>
      <c r="DX478" s="214" t="s">
        <v>70</v>
      </c>
      <c r="DY478" s="214" t="s">
        <v>530</v>
      </c>
      <c r="EA478" s="214" t="s">
        <v>31160</v>
      </c>
      <c r="EB478" s="214" t="s">
        <v>798</v>
      </c>
      <c r="EC478" s="214" t="s">
        <v>70</v>
      </c>
      <c r="ED478" s="214" t="s">
        <v>530</v>
      </c>
      <c r="EF478" s="214" t="s">
        <v>31161</v>
      </c>
      <c r="EG478" s="214" t="s">
        <v>90</v>
      </c>
      <c r="EH478" s="214" t="s">
        <v>70</v>
      </c>
      <c r="EI478" s="214" t="s">
        <v>530</v>
      </c>
      <c r="EK478" s="214" t="s">
        <v>31162</v>
      </c>
      <c r="EL478" s="214" t="s">
        <v>529</v>
      </c>
      <c r="EM478" s="214" t="s">
        <v>70</v>
      </c>
      <c r="EN478" s="214" t="s">
        <v>530</v>
      </c>
      <c r="EP478" s="214" t="s">
        <v>31163</v>
      </c>
      <c r="EQ478" s="214" t="s">
        <v>529</v>
      </c>
      <c r="ER478" s="214" t="s">
        <v>70</v>
      </c>
      <c r="ES478" s="214" t="s">
        <v>530</v>
      </c>
      <c r="EU478" s="214" t="s">
        <v>31164</v>
      </c>
      <c r="EV478" s="214" t="s">
        <v>149</v>
      </c>
      <c r="EW478" s="214" t="s">
        <v>70</v>
      </c>
      <c r="EX478" s="214" t="s">
        <v>530</v>
      </c>
      <c r="EZ478" s="214" t="s">
        <v>31165</v>
      </c>
      <c r="FA478" s="214" t="s">
        <v>34607</v>
      </c>
      <c r="FB478" s="214" t="s">
        <v>70</v>
      </c>
      <c r="FC478" s="214" t="s">
        <v>530</v>
      </c>
      <c r="FE478" s="214" t="s">
        <v>31166</v>
      </c>
      <c r="FF478" s="214" t="s">
        <v>918</v>
      </c>
      <c r="FG478" s="214" t="s">
        <v>70</v>
      </c>
      <c r="FH478" s="214" t="s">
        <v>530</v>
      </c>
      <c r="FJ478" s="321" t="s">
        <v>31167</v>
      </c>
      <c r="FK478" s="214" t="s">
        <v>89</v>
      </c>
      <c r="FL478" s="214" t="s">
        <v>70</v>
      </c>
      <c r="FM478" s="214" t="s">
        <v>530</v>
      </c>
      <c r="FO478" s="321" t="s">
        <v>31168</v>
      </c>
      <c r="FP478" s="214" t="s">
        <v>34564</v>
      </c>
      <c r="FQ478" s="214" t="s">
        <v>70</v>
      </c>
      <c r="FR478" s="214" t="s">
        <v>530</v>
      </c>
      <c r="FT478" s="321" t="s">
        <v>31169</v>
      </c>
      <c r="FU478" s="214" t="s">
        <v>146</v>
      </c>
      <c r="FV478" s="214" t="s">
        <v>70</v>
      </c>
      <c r="FW478" s="214" t="s">
        <v>530</v>
      </c>
      <c r="FY478" s="321" t="s">
        <v>31170</v>
      </c>
      <c r="FZ478" s="214" t="s">
        <v>163</v>
      </c>
      <c r="GA478" s="214" t="s">
        <v>70</v>
      </c>
      <c r="GB478" s="214" t="s">
        <v>530</v>
      </c>
      <c r="GD478" s="321" t="s">
        <v>31171</v>
      </c>
      <c r="GE478" s="214" t="s">
        <v>148</v>
      </c>
      <c r="GF478" s="214" t="s">
        <v>70</v>
      </c>
      <c r="GG478" s="214" t="s">
        <v>530</v>
      </c>
      <c r="GI478" s="321" t="s">
        <v>31172</v>
      </c>
      <c r="GJ478" s="214" t="s">
        <v>148</v>
      </c>
      <c r="GK478" s="214" t="s">
        <v>70</v>
      </c>
      <c r="GL478" s="214" t="s">
        <v>530</v>
      </c>
      <c r="GN478" s="321" t="s">
        <v>31173</v>
      </c>
      <c r="GO478" s="214" t="s">
        <v>52</v>
      </c>
      <c r="GP478" s="214" t="s">
        <v>70</v>
      </c>
      <c r="GQ478" s="214" t="s">
        <v>530</v>
      </c>
      <c r="GS478" s="321" t="s">
        <v>31174</v>
      </c>
      <c r="GT478" s="214" t="s">
        <v>52</v>
      </c>
      <c r="GU478" s="214" t="s">
        <v>70</v>
      </c>
      <c r="GV478" s="214" t="s">
        <v>530</v>
      </c>
      <c r="GX478" s="214" t="s">
        <v>31175</v>
      </c>
      <c r="GY478" s="214" t="s">
        <v>655</v>
      </c>
      <c r="GZ478" s="214" t="s">
        <v>70</v>
      </c>
      <c r="HA478" s="214" t="s">
        <v>530</v>
      </c>
      <c r="HC478" s="214" t="s">
        <v>31176</v>
      </c>
      <c r="HD478" s="214" t="s">
        <v>529</v>
      </c>
      <c r="HE478" s="214" t="s">
        <v>70</v>
      </c>
      <c r="HF478" s="214" t="s">
        <v>530</v>
      </c>
      <c r="HH478" s="214" t="s">
        <v>31177</v>
      </c>
      <c r="HI478" s="214" t="s">
        <v>89</v>
      </c>
      <c r="HJ478" s="214" t="s">
        <v>70</v>
      </c>
      <c r="HK478" s="214" t="s">
        <v>530</v>
      </c>
      <c r="HM478" s="214" t="s">
        <v>31178</v>
      </c>
      <c r="HN478" s="214" t="s">
        <v>484</v>
      </c>
      <c r="HO478" s="214" t="s">
        <v>70</v>
      </c>
      <c r="HP478" s="214" t="s">
        <v>530</v>
      </c>
      <c r="HR478" s="22" t="s">
        <v>31179</v>
      </c>
      <c r="HS478" s="22" t="s">
        <v>52</v>
      </c>
      <c r="HT478" s="22" t="s">
        <v>70</v>
      </c>
      <c r="HU478" s="214" t="s">
        <v>530</v>
      </c>
      <c r="HW478" s="22" t="s">
        <v>31180</v>
      </c>
      <c r="HX478" s="22" t="s">
        <v>34598</v>
      </c>
      <c r="HY478" s="22" t="s">
        <v>70</v>
      </c>
      <c r="HZ478" s="214" t="s">
        <v>530</v>
      </c>
      <c r="IB478" s="22" t="s">
        <v>31181</v>
      </c>
      <c r="IC478" s="22" t="s">
        <v>87</v>
      </c>
      <c r="ID478" s="22" t="s">
        <v>70</v>
      </c>
      <c r="IE478" s="214" t="s">
        <v>530</v>
      </c>
      <c r="IG478" s="22" t="s">
        <v>31182</v>
      </c>
      <c r="IH478" s="22" t="s">
        <v>52</v>
      </c>
      <c r="II478" s="22" t="s">
        <v>70</v>
      </c>
      <c r="IJ478" s="214" t="s">
        <v>530</v>
      </c>
      <c r="IL478" s="22" t="s">
        <v>31183</v>
      </c>
      <c r="IM478" s="22" t="s">
        <v>145</v>
      </c>
      <c r="IN478" s="22" t="s">
        <v>70</v>
      </c>
      <c r="IO478" s="214" t="s">
        <v>530</v>
      </c>
      <c r="IQ478" s="236" t="s">
        <v>31184</v>
      </c>
      <c r="IR478" s="236" t="s">
        <v>145</v>
      </c>
      <c r="IS478" s="236" t="s">
        <v>74</v>
      </c>
      <c r="IT478" s="236" t="s">
        <v>841</v>
      </c>
      <c r="IV478" s="236" t="s">
        <v>31185</v>
      </c>
      <c r="IW478" s="236" t="s">
        <v>145</v>
      </c>
      <c r="IX478" s="236" t="s">
        <v>74</v>
      </c>
      <c r="IY478" s="236" t="s">
        <v>841</v>
      </c>
      <c r="JA478" s="236" t="s">
        <v>31186</v>
      </c>
      <c r="JB478" s="236" t="s">
        <v>145</v>
      </c>
      <c r="JC478" s="236" t="s">
        <v>74</v>
      </c>
      <c r="JD478" s="236" t="s">
        <v>841</v>
      </c>
      <c r="JF478" s="236" t="s">
        <v>31187</v>
      </c>
      <c r="JG478" s="236" t="s">
        <v>145</v>
      </c>
      <c r="JH478" s="236" t="s">
        <v>74</v>
      </c>
      <c r="JI478" s="236" t="s">
        <v>841</v>
      </c>
      <c r="JK478" s="236" t="s">
        <v>31188</v>
      </c>
      <c r="JL478" s="236" t="s">
        <v>145</v>
      </c>
      <c r="JM478" s="236" t="s">
        <v>74</v>
      </c>
      <c r="JN478" s="236" t="s">
        <v>841</v>
      </c>
      <c r="JP478" s="236" t="s">
        <v>31189</v>
      </c>
      <c r="JQ478" s="236" t="s">
        <v>145</v>
      </c>
      <c r="JR478" s="236" t="s">
        <v>74</v>
      </c>
      <c r="JS478" s="236" t="s">
        <v>841</v>
      </c>
      <c r="JU478" s="294" t="s">
        <v>31190</v>
      </c>
      <c r="JV478" s="294" t="s">
        <v>52</v>
      </c>
      <c r="JW478" s="263" t="s">
        <v>70</v>
      </c>
      <c r="JX478" s="294" t="s">
        <v>1083</v>
      </c>
      <c r="JZ478" s="263" t="s">
        <v>31191</v>
      </c>
      <c r="KA478" s="263" t="s">
        <v>145</v>
      </c>
      <c r="KB478" s="263" t="s">
        <v>70</v>
      </c>
      <c r="KC478" s="263" t="s">
        <v>1083</v>
      </c>
      <c r="KE478" s="263" t="s">
        <v>31192</v>
      </c>
      <c r="KF478" s="263" t="s">
        <v>52</v>
      </c>
      <c r="KG478" s="263" t="s">
        <v>70</v>
      </c>
      <c r="KH478" s="263" t="s">
        <v>1083</v>
      </c>
      <c r="KJ478" s="263" t="s">
        <v>31193</v>
      </c>
      <c r="KK478" s="263" t="s">
        <v>52</v>
      </c>
      <c r="KL478" s="263" t="s">
        <v>74</v>
      </c>
      <c r="KM478" s="263" t="s">
        <v>34074</v>
      </c>
      <c r="KO478" s="214" t="s">
        <v>31194</v>
      </c>
      <c r="KP478" s="214" t="s">
        <v>145</v>
      </c>
      <c r="KQ478" s="214" t="s">
        <v>70</v>
      </c>
      <c r="KR478" s="214" t="s">
        <v>67</v>
      </c>
      <c r="KT478" s="22" t="s">
        <v>31195</v>
      </c>
      <c r="KU478" s="22" t="s">
        <v>145</v>
      </c>
      <c r="KV478" s="22" t="s">
        <v>70</v>
      </c>
      <c r="KW478" s="22" t="s">
        <v>67</v>
      </c>
      <c r="KY478" s="214" t="s">
        <v>31196</v>
      </c>
      <c r="KZ478" s="214" t="s">
        <v>52</v>
      </c>
      <c r="LA478" s="214" t="s">
        <v>74</v>
      </c>
      <c r="LB478" s="214" t="s">
        <v>67</v>
      </c>
      <c r="LD478" s="22" t="s">
        <v>31197</v>
      </c>
      <c r="LE478" s="22" t="s">
        <v>145</v>
      </c>
      <c r="LF478" s="22" t="s">
        <v>70</v>
      </c>
      <c r="LG478" s="22" t="s">
        <v>67</v>
      </c>
    </row>
    <row r="479" spans="1:319">
      <c r="A479" s="22" t="s">
        <v>31198</v>
      </c>
      <c r="B479" s="22" t="s">
        <v>145</v>
      </c>
      <c r="C479" s="22" t="s">
        <v>70</v>
      </c>
      <c r="D479" s="22" t="s">
        <v>67</v>
      </c>
      <c r="F479" s="73" t="s">
        <v>31199</v>
      </c>
      <c r="G479" s="22" t="s">
        <v>145</v>
      </c>
      <c r="H479" s="22" t="s">
        <v>70</v>
      </c>
      <c r="I479" s="22" t="s">
        <v>67</v>
      </c>
      <c r="K479" s="99" t="s">
        <v>31200</v>
      </c>
      <c r="L479" s="22" t="s">
        <v>145</v>
      </c>
      <c r="M479" s="22" t="s">
        <v>70</v>
      </c>
      <c r="N479" s="22" t="s">
        <v>67</v>
      </c>
      <c r="P479" s="99" t="s">
        <v>31201</v>
      </c>
      <c r="Q479" s="22" t="s">
        <v>145</v>
      </c>
      <c r="R479" s="22" t="s">
        <v>70</v>
      </c>
      <c r="S479" s="22" t="s">
        <v>67</v>
      </c>
      <c r="U479" s="293" t="s">
        <v>31202</v>
      </c>
      <c r="V479" s="293" t="s">
        <v>145</v>
      </c>
      <c r="W479" s="293" t="s">
        <v>74</v>
      </c>
      <c r="X479" s="293" t="s">
        <v>656</v>
      </c>
      <c r="Z479" s="293" t="s">
        <v>31203</v>
      </c>
      <c r="AA479" s="293" t="s">
        <v>145</v>
      </c>
      <c r="AB479" s="293" t="s">
        <v>74</v>
      </c>
      <c r="AC479" s="293" t="s">
        <v>656</v>
      </c>
      <c r="AE479" s="293" t="s">
        <v>31204</v>
      </c>
      <c r="AF479" s="293" t="s">
        <v>145</v>
      </c>
      <c r="AG479" s="293" t="s">
        <v>74</v>
      </c>
      <c r="AH479" s="293" t="s">
        <v>656</v>
      </c>
      <c r="AJ479" s="293" t="s">
        <v>31205</v>
      </c>
      <c r="AK479" s="293" t="s">
        <v>145</v>
      </c>
      <c r="AL479" s="293" t="s">
        <v>74</v>
      </c>
      <c r="AM479" s="293" t="s">
        <v>656</v>
      </c>
      <c r="AO479" s="22" t="s">
        <v>31206</v>
      </c>
      <c r="AP479" s="22" t="s">
        <v>145</v>
      </c>
      <c r="AQ479" s="22" t="s">
        <v>70</v>
      </c>
      <c r="AR479" s="22" t="s">
        <v>67</v>
      </c>
      <c r="AT479" s="22" t="s">
        <v>31207</v>
      </c>
      <c r="AU479" s="22" t="s">
        <v>145</v>
      </c>
      <c r="AV479" s="22" t="s">
        <v>70</v>
      </c>
      <c r="AW479" s="22" t="s">
        <v>67</v>
      </c>
      <c r="AY479" s="22" t="s">
        <v>31208</v>
      </c>
      <c r="AZ479" s="22" t="s">
        <v>145</v>
      </c>
      <c r="BA479" s="22" t="s">
        <v>70</v>
      </c>
      <c r="BB479" s="22" t="s">
        <v>67</v>
      </c>
      <c r="BD479" s="22" t="s">
        <v>31209</v>
      </c>
      <c r="BE479" s="22" t="s">
        <v>145</v>
      </c>
      <c r="BF479" s="22" t="s">
        <v>70</v>
      </c>
      <c r="BG479" s="22" t="s">
        <v>67</v>
      </c>
      <c r="BI479" s="22" t="s">
        <v>31210</v>
      </c>
      <c r="BJ479" s="22" t="s">
        <v>145</v>
      </c>
      <c r="BK479" s="22" t="s">
        <v>70</v>
      </c>
      <c r="BL479" s="22" t="s">
        <v>67</v>
      </c>
      <c r="BN479" s="22" t="s">
        <v>31211</v>
      </c>
      <c r="BO479" s="22" t="s">
        <v>145</v>
      </c>
      <c r="BP479" s="22" t="s">
        <v>70</v>
      </c>
      <c r="BQ479" s="22" t="s">
        <v>67</v>
      </c>
      <c r="BS479" s="22" t="s">
        <v>31212</v>
      </c>
      <c r="BT479" s="22" t="s">
        <v>145</v>
      </c>
      <c r="BU479" s="22" t="s">
        <v>70</v>
      </c>
      <c r="BV479" s="214" t="s">
        <v>530</v>
      </c>
      <c r="BX479" s="22" t="s">
        <v>31213</v>
      </c>
      <c r="BY479" s="22" t="s">
        <v>145</v>
      </c>
      <c r="BZ479" s="22" t="s">
        <v>70</v>
      </c>
      <c r="CA479" s="214" t="s">
        <v>530</v>
      </c>
      <c r="CC479" s="214" t="s">
        <v>31214</v>
      </c>
      <c r="CD479" s="214" t="s">
        <v>34567</v>
      </c>
      <c r="CE479" s="214" t="s">
        <v>70</v>
      </c>
      <c r="CF479" s="214" t="s">
        <v>530</v>
      </c>
      <c r="CH479" s="214" t="s">
        <v>31215</v>
      </c>
      <c r="CI479" s="214" t="s">
        <v>52</v>
      </c>
      <c r="CJ479" s="214" t="s">
        <v>70</v>
      </c>
      <c r="CK479" s="214" t="s">
        <v>530</v>
      </c>
      <c r="CM479" s="214" t="s">
        <v>31216</v>
      </c>
      <c r="CN479" s="214" t="s">
        <v>491</v>
      </c>
      <c r="CO479" s="214" t="s">
        <v>70</v>
      </c>
      <c r="CP479" s="214" t="s">
        <v>530</v>
      </c>
      <c r="CR479" s="214" t="s">
        <v>31217</v>
      </c>
      <c r="CS479" s="214" t="s">
        <v>34540</v>
      </c>
      <c r="CT479" s="214" t="s">
        <v>70</v>
      </c>
      <c r="CU479" s="214" t="s">
        <v>530</v>
      </c>
      <c r="CW479" s="214" t="s">
        <v>31218</v>
      </c>
      <c r="CX479" s="214" t="s">
        <v>468</v>
      </c>
      <c r="CY479" s="214" t="s">
        <v>70</v>
      </c>
      <c r="CZ479" s="214" t="s">
        <v>530</v>
      </c>
      <c r="DB479" s="214" t="s">
        <v>31219</v>
      </c>
      <c r="DC479" s="214" t="s">
        <v>950</v>
      </c>
      <c r="DD479" s="214" t="s">
        <v>70</v>
      </c>
      <c r="DE479" s="214" t="s">
        <v>530</v>
      </c>
      <c r="DG479" s="214" t="s">
        <v>31220</v>
      </c>
      <c r="DH479" s="214" t="s">
        <v>490</v>
      </c>
      <c r="DI479" s="214" t="s">
        <v>70</v>
      </c>
      <c r="DJ479" s="214" t="s">
        <v>530</v>
      </c>
      <c r="DL479" s="214" t="s">
        <v>31221</v>
      </c>
      <c r="DM479" s="214" t="s">
        <v>950</v>
      </c>
      <c r="DN479" s="214" t="s">
        <v>70</v>
      </c>
      <c r="DO479" s="214" t="s">
        <v>530</v>
      </c>
      <c r="DQ479" s="214" t="s">
        <v>31222</v>
      </c>
      <c r="DR479" s="214" t="s">
        <v>486</v>
      </c>
      <c r="DS479" s="214" t="s">
        <v>70</v>
      </c>
      <c r="DT479" s="214" t="s">
        <v>530</v>
      </c>
      <c r="DV479" s="214" t="s">
        <v>31223</v>
      </c>
      <c r="DW479" s="214" t="s">
        <v>34620</v>
      </c>
      <c r="DX479" s="214" t="s">
        <v>70</v>
      </c>
      <c r="DY479" s="214" t="s">
        <v>530</v>
      </c>
      <c r="EA479" s="214" t="s">
        <v>31224</v>
      </c>
      <c r="EB479" s="214" t="s">
        <v>149</v>
      </c>
      <c r="EC479" s="214" t="s">
        <v>70</v>
      </c>
      <c r="ED479" s="214" t="s">
        <v>530</v>
      </c>
      <c r="EF479" s="214" t="s">
        <v>31225</v>
      </c>
      <c r="EG479" s="214" t="s">
        <v>204</v>
      </c>
      <c r="EH479" s="214" t="s">
        <v>70</v>
      </c>
      <c r="EI479" s="214" t="s">
        <v>530</v>
      </c>
      <c r="EK479" s="214" t="s">
        <v>31226</v>
      </c>
      <c r="EL479" s="214" t="s">
        <v>206</v>
      </c>
      <c r="EM479" s="214" t="s">
        <v>70</v>
      </c>
      <c r="EN479" s="214" t="s">
        <v>530</v>
      </c>
      <c r="EP479" s="214" t="s">
        <v>31227</v>
      </c>
      <c r="EQ479" s="214" t="s">
        <v>34544</v>
      </c>
      <c r="ER479" s="214" t="s">
        <v>70</v>
      </c>
      <c r="ES479" s="214" t="s">
        <v>530</v>
      </c>
      <c r="EU479" s="214" t="s">
        <v>31228</v>
      </c>
      <c r="EV479" s="214" t="s">
        <v>468</v>
      </c>
      <c r="EW479" s="214" t="s">
        <v>70</v>
      </c>
      <c r="EX479" s="214" t="s">
        <v>530</v>
      </c>
      <c r="EZ479" s="214" t="s">
        <v>31229</v>
      </c>
      <c r="FA479" s="214" t="s">
        <v>34557</v>
      </c>
      <c r="FB479" s="214" t="s">
        <v>70</v>
      </c>
      <c r="FC479" s="214" t="s">
        <v>530</v>
      </c>
      <c r="FE479" s="214" t="s">
        <v>31230</v>
      </c>
      <c r="FF479" s="214" t="s">
        <v>492</v>
      </c>
      <c r="FG479" s="214" t="s">
        <v>70</v>
      </c>
      <c r="FH479" s="214" t="s">
        <v>530</v>
      </c>
      <c r="FJ479" s="321" t="s">
        <v>31231</v>
      </c>
      <c r="FK479" s="214" t="s">
        <v>52</v>
      </c>
      <c r="FL479" s="214" t="s">
        <v>70</v>
      </c>
      <c r="FM479" s="214" t="s">
        <v>530</v>
      </c>
      <c r="FO479" s="321" t="s">
        <v>31232</v>
      </c>
      <c r="FP479" s="214" t="s">
        <v>34543</v>
      </c>
      <c r="FQ479" s="214" t="s">
        <v>70</v>
      </c>
      <c r="FR479" s="214" t="s">
        <v>530</v>
      </c>
      <c r="FT479" s="321" t="s">
        <v>31233</v>
      </c>
      <c r="FU479" s="214" t="s">
        <v>34547</v>
      </c>
      <c r="FV479" s="214" t="s">
        <v>70</v>
      </c>
      <c r="FW479" s="214" t="s">
        <v>530</v>
      </c>
      <c r="FY479" s="321" t="s">
        <v>31234</v>
      </c>
      <c r="FZ479" s="214" t="s">
        <v>952</v>
      </c>
      <c r="GA479" s="214" t="s">
        <v>70</v>
      </c>
      <c r="GB479" s="214" t="s">
        <v>530</v>
      </c>
      <c r="GD479" s="321" t="s">
        <v>31235</v>
      </c>
      <c r="GE479" s="214" t="s">
        <v>599</v>
      </c>
      <c r="GF479" s="214" t="s">
        <v>70</v>
      </c>
      <c r="GG479" s="214" t="s">
        <v>530</v>
      </c>
      <c r="GI479" s="321" t="s">
        <v>31236</v>
      </c>
      <c r="GJ479" s="214" t="s">
        <v>468</v>
      </c>
      <c r="GK479" s="214" t="s">
        <v>70</v>
      </c>
      <c r="GL479" s="214" t="s">
        <v>530</v>
      </c>
      <c r="GN479" s="321" t="s">
        <v>31237</v>
      </c>
      <c r="GO479" s="214" t="s">
        <v>484</v>
      </c>
      <c r="GP479" s="214" t="s">
        <v>70</v>
      </c>
      <c r="GQ479" s="214" t="s">
        <v>530</v>
      </c>
      <c r="GS479" s="321" t="s">
        <v>31238</v>
      </c>
      <c r="GT479" s="214" t="s">
        <v>203</v>
      </c>
      <c r="GU479" s="214" t="s">
        <v>70</v>
      </c>
      <c r="GV479" s="214" t="s">
        <v>530</v>
      </c>
      <c r="GX479" s="214" t="s">
        <v>31239</v>
      </c>
      <c r="GY479" s="214" t="s">
        <v>484</v>
      </c>
      <c r="GZ479" s="214" t="s">
        <v>70</v>
      </c>
      <c r="HA479" s="214" t="s">
        <v>530</v>
      </c>
      <c r="HC479" s="214" t="s">
        <v>31240</v>
      </c>
      <c r="HD479" s="214" t="s">
        <v>103</v>
      </c>
      <c r="HE479" s="214" t="s">
        <v>70</v>
      </c>
      <c r="HF479" s="214" t="s">
        <v>530</v>
      </c>
      <c r="HH479" s="214" t="s">
        <v>31241</v>
      </c>
      <c r="HI479" s="214" t="s">
        <v>482</v>
      </c>
      <c r="HJ479" s="214" t="s">
        <v>70</v>
      </c>
      <c r="HK479" s="214" t="s">
        <v>530</v>
      </c>
      <c r="HM479" s="214" t="s">
        <v>31242</v>
      </c>
      <c r="HN479" s="214" t="s">
        <v>34581</v>
      </c>
      <c r="HO479" s="214" t="s">
        <v>70</v>
      </c>
      <c r="HP479" s="214" t="s">
        <v>530</v>
      </c>
      <c r="HR479" s="22" t="s">
        <v>31243</v>
      </c>
      <c r="HS479" s="22" t="s">
        <v>485</v>
      </c>
      <c r="HT479" s="22" t="s">
        <v>70</v>
      </c>
      <c r="HU479" s="214" t="s">
        <v>530</v>
      </c>
      <c r="HW479" s="22" t="s">
        <v>31244</v>
      </c>
      <c r="HX479" s="22" t="s">
        <v>501</v>
      </c>
      <c r="HY479" s="22" t="s">
        <v>70</v>
      </c>
      <c r="HZ479" s="214" t="s">
        <v>530</v>
      </c>
      <c r="IB479" s="22" t="s">
        <v>31245</v>
      </c>
      <c r="IC479" s="22" t="s">
        <v>34544</v>
      </c>
      <c r="ID479" s="22" t="s">
        <v>70</v>
      </c>
      <c r="IE479" s="214" t="s">
        <v>530</v>
      </c>
      <c r="IG479" s="22" t="s">
        <v>31246</v>
      </c>
      <c r="IH479" s="22" t="s">
        <v>52</v>
      </c>
      <c r="II479" s="22" t="s">
        <v>70</v>
      </c>
      <c r="IJ479" s="214" t="s">
        <v>530</v>
      </c>
      <c r="IL479" s="22" t="s">
        <v>31247</v>
      </c>
      <c r="IM479" s="22" t="s">
        <v>145</v>
      </c>
      <c r="IN479" s="22" t="s">
        <v>70</v>
      </c>
      <c r="IO479" s="214" t="s">
        <v>530</v>
      </c>
      <c r="IQ479" s="236" t="s">
        <v>31248</v>
      </c>
      <c r="IR479" s="236" t="s">
        <v>145</v>
      </c>
      <c r="IS479" s="236" t="s">
        <v>74</v>
      </c>
      <c r="IT479" s="236" t="s">
        <v>841</v>
      </c>
      <c r="IV479" s="236" t="s">
        <v>31249</v>
      </c>
      <c r="IW479" s="236" t="s">
        <v>145</v>
      </c>
      <c r="IX479" s="236" t="s">
        <v>74</v>
      </c>
      <c r="IY479" s="236" t="s">
        <v>841</v>
      </c>
      <c r="JA479" s="236" t="s">
        <v>31250</v>
      </c>
      <c r="JB479" s="236" t="s">
        <v>145</v>
      </c>
      <c r="JC479" s="236" t="s">
        <v>74</v>
      </c>
      <c r="JD479" s="236" t="s">
        <v>841</v>
      </c>
      <c r="JF479" s="236" t="s">
        <v>31251</v>
      </c>
      <c r="JG479" s="236" t="s">
        <v>145</v>
      </c>
      <c r="JH479" s="236" t="s">
        <v>74</v>
      </c>
      <c r="JI479" s="236" t="s">
        <v>841</v>
      </c>
      <c r="JK479" s="236" t="s">
        <v>31252</v>
      </c>
      <c r="JL479" s="236" t="s">
        <v>145</v>
      </c>
      <c r="JM479" s="236" t="s">
        <v>74</v>
      </c>
      <c r="JN479" s="236" t="s">
        <v>841</v>
      </c>
      <c r="JP479" s="236" t="s">
        <v>31253</v>
      </c>
      <c r="JQ479" s="236" t="s">
        <v>145</v>
      </c>
      <c r="JR479" s="236" t="s">
        <v>74</v>
      </c>
      <c r="JS479" s="236" t="s">
        <v>841</v>
      </c>
      <c r="JU479" s="294" t="s">
        <v>31254</v>
      </c>
      <c r="JV479" s="294" t="s">
        <v>52</v>
      </c>
      <c r="JW479" s="263" t="s">
        <v>70</v>
      </c>
      <c r="JX479" s="294" t="s">
        <v>1083</v>
      </c>
      <c r="JZ479" s="263" t="s">
        <v>31255</v>
      </c>
      <c r="KA479" s="263" t="s">
        <v>145</v>
      </c>
      <c r="KB479" s="263" t="s">
        <v>70</v>
      </c>
      <c r="KC479" s="263" t="s">
        <v>1083</v>
      </c>
      <c r="KE479" s="263" t="s">
        <v>31256</v>
      </c>
      <c r="KF479" s="263" t="s">
        <v>52</v>
      </c>
      <c r="KG479" s="263" t="s">
        <v>70</v>
      </c>
      <c r="KH479" s="263" t="s">
        <v>1083</v>
      </c>
      <c r="KJ479" s="263" t="s">
        <v>31257</v>
      </c>
      <c r="KK479" s="263" t="s">
        <v>52</v>
      </c>
      <c r="KL479" s="263" t="s">
        <v>74</v>
      </c>
      <c r="KM479" s="263" t="s">
        <v>34074</v>
      </c>
      <c r="KO479" s="214" t="s">
        <v>31258</v>
      </c>
      <c r="KP479" s="214" t="s">
        <v>145</v>
      </c>
      <c r="KQ479" s="214" t="s">
        <v>70</v>
      </c>
      <c r="KR479" s="214" t="s">
        <v>67</v>
      </c>
      <c r="KT479" s="22" t="s">
        <v>31259</v>
      </c>
      <c r="KU479" s="22" t="s">
        <v>145</v>
      </c>
      <c r="KV479" s="22" t="s">
        <v>70</v>
      </c>
      <c r="KW479" s="22" t="s">
        <v>67</v>
      </c>
      <c r="KY479" s="214" t="s">
        <v>31260</v>
      </c>
      <c r="KZ479" s="214" t="s">
        <v>52</v>
      </c>
      <c r="LA479" s="214" t="s">
        <v>74</v>
      </c>
      <c r="LB479" s="214" t="s">
        <v>67</v>
      </c>
      <c r="LD479" s="22" t="s">
        <v>31261</v>
      </c>
      <c r="LE479" s="22" t="s">
        <v>145</v>
      </c>
      <c r="LF479" s="22" t="s">
        <v>70</v>
      </c>
      <c r="LG479" s="22" t="s">
        <v>67</v>
      </c>
    </row>
    <row r="480" spans="1:319">
      <c r="A480" s="22" t="s">
        <v>31262</v>
      </c>
      <c r="B480" s="22" t="s">
        <v>145</v>
      </c>
      <c r="C480" s="22" t="s">
        <v>70</v>
      </c>
      <c r="D480" s="22" t="s">
        <v>67</v>
      </c>
      <c r="F480" s="73" t="s">
        <v>31263</v>
      </c>
      <c r="G480" s="22" t="s">
        <v>145</v>
      </c>
      <c r="H480" s="22" t="s">
        <v>70</v>
      </c>
      <c r="I480" s="22" t="s">
        <v>67</v>
      </c>
      <c r="K480" s="99" t="s">
        <v>31264</v>
      </c>
      <c r="L480" s="22" t="s">
        <v>145</v>
      </c>
      <c r="M480" s="22" t="s">
        <v>70</v>
      </c>
      <c r="N480" s="22" t="s">
        <v>67</v>
      </c>
      <c r="P480" s="99" t="s">
        <v>31265</v>
      </c>
      <c r="Q480" s="22" t="s">
        <v>145</v>
      </c>
      <c r="R480" s="22" t="s">
        <v>70</v>
      </c>
      <c r="S480" s="22" t="s">
        <v>67</v>
      </c>
      <c r="U480" s="293" t="s">
        <v>31266</v>
      </c>
      <c r="V480" s="293" t="s">
        <v>145</v>
      </c>
      <c r="W480" s="293" t="s">
        <v>74</v>
      </c>
      <c r="X480" s="293" t="s">
        <v>656</v>
      </c>
      <c r="Z480" s="293" t="s">
        <v>31267</v>
      </c>
      <c r="AA480" s="293" t="s">
        <v>145</v>
      </c>
      <c r="AB480" s="293" t="s">
        <v>74</v>
      </c>
      <c r="AC480" s="293" t="s">
        <v>656</v>
      </c>
      <c r="AE480" s="293" t="s">
        <v>31268</v>
      </c>
      <c r="AF480" s="293" t="s">
        <v>145</v>
      </c>
      <c r="AG480" s="293" t="s">
        <v>74</v>
      </c>
      <c r="AH480" s="293" t="s">
        <v>656</v>
      </c>
      <c r="AJ480" s="293" t="s">
        <v>31269</v>
      </c>
      <c r="AK480" s="293" t="s">
        <v>145</v>
      </c>
      <c r="AL480" s="293" t="s">
        <v>74</v>
      </c>
      <c r="AM480" s="293" t="s">
        <v>656</v>
      </c>
      <c r="AO480" s="22" t="s">
        <v>31270</v>
      </c>
      <c r="AP480" s="22" t="s">
        <v>145</v>
      </c>
      <c r="AQ480" s="22" t="s">
        <v>70</v>
      </c>
      <c r="AR480" s="22" t="s">
        <v>67</v>
      </c>
      <c r="AT480" s="22" t="s">
        <v>31271</v>
      </c>
      <c r="AU480" s="22" t="s">
        <v>145</v>
      </c>
      <c r="AV480" s="22" t="s">
        <v>70</v>
      </c>
      <c r="AW480" s="22" t="s">
        <v>67</v>
      </c>
      <c r="AY480" s="22" t="s">
        <v>31272</v>
      </c>
      <c r="AZ480" s="22" t="s">
        <v>145</v>
      </c>
      <c r="BA480" s="22" t="s">
        <v>70</v>
      </c>
      <c r="BB480" s="22" t="s">
        <v>67</v>
      </c>
      <c r="BD480" s="22" t="s">
        <v>31273</v>
      </c>
      <c r="BE480" s="22" t="s">
        <v>145</v>
      </c>
      <c r="BF480" s="22" t="s">
        <v>70</v>
      </c>
      <c r="BG480" s="22" t="s">
        <v>67</v>
      </c>
      <c r="BI480" s="22" t="s">
        <v>31274</v>
      </c>
      <c r="BJ480" s="22" t="s">
        <v>145</v>
      </c>
      <c r="BK480" s="22" t="s">
        <v>70</v>
      </c>
      <c r="BL480" s="22" t="s">
        <v>67</v>
      </c>
      <c r="BN480" s="22" t="s">
        <v>31275</v>
      </c>
      <c r="BO480" s="22" t="s">
        <v>145</v>
      </c>
      <c r="BP480" s="22" t="s">
        <v>70</v>
      </c>
      <c r="BQ480" s="22" t="s">
        <v>67</v>
      </c>
      <c r="BS480" s="22" t="s">
        <v>31276</v>
      </c>
      <c r="BT480" s="22" t="s">
        <v>145</v>
      </c>
      <c r="BU480" s="22" t="s">
        <v>70</v>
      </c>
      <c r="BV480" s="214" t="s">
        <v>530</v>
      </c>
      <c r="BX480" s="22" t="s">
        <v>31277</v>
      </c>
      <c r="BY480" s="22" t="s">
        <v>145</v>
      </c>
      <c r="BZ480" s="22" t="s">
        <v>70</v>
      </c>
      <c r="CA480" s="214" t="s">
        <v>530</v>
      </c>
      <c r="CC480" s="214" t="s">
        <v>31278</v>
      </c>
      <c r="CD480" s="214" t="s">
        <v>103</v>
      </c>
      <c r="CE480" s="214" t="s">
        <v>70</v>
      </c>
      <c r="CF480" s="214" t="s">
        <v>530</v>
      </c>
      <c r="CH480" s="214" t="s">
        <v>31279</v>
      </c>
      <c r="CI480" s="214" t="s">
        <v>164</v>
      </c>
      <c r="CJ480" s="214" t="s">
        <v>70</v>
      </c>
      <c r="CK480" s="214" t="s">
        <v>530</v>
      </c>
      <c r="CM480" s="214" t="s">
        <v>31280</v>
      </c>
      <c r="CN480" s="214" t="s">
        <v>488</v>
      </c>
      <c r="CO480" s="214" t="s">
        <v>70</v>
      </c>
      <c r="CP480" s="214" t="s">
        <v>530</v>
      </c>
      <c r="CR480" s="214" t="s">
        <v>31281</v>
      </c>
      <c r="CS480" s="214" t="s">
        <v>34545</v>
      </c>
      <c r="CT480" s="214" t="s">
        <v>70</v>
      </c>
      <c r="CU480" s="214" t="s">
        <v>530</v>
      </c>
      <c r="CW480" s="214" t="s">
        <v>31282</v>
      </c>
      <c r="CX480" s="214" t="s">
        <v>205</v>
      </c>
      <c r="CY480" s="214" t="s">
        <v>70</v>
      </c>
      <c r="CZ480" s="214" t="s">
        <v>530</v>
      </c>
      <c r="DB480" s="214" t="s">
        <v>31283</v>
      </c>
      <c r="DC480" s="214" t="s">
        <v>286</v>
      </c>
      <c r="DD480" s="214" t="s">
        <v>70</v>
      </c>
      <c r="DE480" s="214" t="s">
        <v>530</v>
      </c>
      <c r="DG480" s="214" t="s">
        <v>31284</v>
      </c>
      <c r="DH480" s="214" t="s">
        <v>164</v>
      </c>
      <c r="DI480" s="214" t="s">
        <v>70</v>
      </c>
      <c r="DJ480" s="214" t="s">
        <v>530</v>
      </c>
      <c r="DL480" s="214" t="s">
        <v>31285</v>
      </c>
      <c r="DM480" s="214" t="s">
        <v>34654</v>
      </c>
      <c r="DN480" s="214" t="s">
        <v>70</v>
      </c>
      <c r="DO480" s="214" t="s">
        <v>530</v>
      </c>
      <c r="DQ480" s="214" t="s">
        <v>31286</v>
      </c>
      <c r="DR480" s="214" t="s">
        <v>34585</v>
      </c>
      <c r="DS480" s="214" t="s">
        <v>70</v>
      </c>
      <c r="DT480" s="214" t="s">
        <v>530</v>
      </c>
      <c r="DV480" s="214" t="s">
        <v>31287</v>
      </c>
      <c r="DW480" s="214" t="s">
        <v>34570</v>
      </c>
      <c r="DX480" s="214" t="s">
        <v>70</v>
      </c>
      <c r="DY480" s="214" t="s">
        <v>530</v>
      </c>
      <c r="EA480" s="214" t="s">
        <v>31288</v>
      </c>
      <c r="EB480" s="214" t="s">
        <v>52</v>
      </c>
      <c r="EC480" s="214" t="s">
        <v>70</v>
      </c>
      <c r="ED480" s="214" t="s">
        <v>530</v>
      </c>
      <c r="EF480" s="214" t="s">
        <v>31289</v>
      </c>
      <c r="EG480" s="214" t="s">
        <v>34608</v>
      </c>
      <c r="EH480" s="214" t="s">
        <v>70</v>
      </c>
      <c r="EI480" s="214" t="s">
        <v>530</v>
      </c>
      <c r="EK480" s="214" t="s">
        <v>31290</v>
      </c>
      <c r="EL480" s="214" t="s">
        <v>52</v>
      </c>
      <c r="EM480" s="214" t="s">
        <v>70</v>
      </c>
      <c r="EN480" s="214" t="s">
        <v>530</v>
      </c>
      <c r="EP480" s="214" t="s">
        <v>31291</v>
      </c>
      <c r="EQ480" s="214" t="s">
        <v>34595</v>
      </c>
      <c r="ER480" s="214" t="s">
        <v>70</v>
      </c>
      <c r="ES480" s="214" t="s">
        <v>530</v>
      </c>
      <c r="EU480" s="214" t="s">
        <v>31292</v>
      </c>
      <c r="EV480" s="214" t="s">
        <v>34608</v>
      </c>
      <c r="EW480" s="214" t="s">
        <v>70</v>
      </c>
      <c r="EX480" s="214" t="s">
        <v>530</v>
      </c>
      <c r="EZ480" s="214" t="s">
        <v>31293</v>
      </c>
      <c r="FA480" s="214" t="s">
        <v>918</v>
      </c>
      <c r="FB480" s="214" t="s">
        <v>70</v>
      </c>
      <c r="FC480" s="214" t="s">
        <v>530</v>
      </c>
      <c r="FE480" s="214" t="s">
        <v>31294</v>
      </c>
      <c r="FF480" s="214" t="s">
        <v>286</v>
      </c>
      <c r="FG480" s="214" t="s">
        <v>70</v>
      </c>
      <c r="FH480" s="214" t="s">
        <v>530</v>
      </c>
      <c r="FJ480" s="321" t="s">
        <v>31295</v>
      </c>
      <c r="FK480" s="214" t="s">
        <v>52</v>
      </c>
      <c r="FL480" s="214" t="s">
        <v>70</v>
      </c>
      <c r="FM480" s="214" t="s">
        <v>530</v>
      </c>
      <c r="FO480" s="321" t="s">
        <v>31296</v>
      </c>
      <c r="FP480" s="214" t="s">
        <v>34539</v>
      </c>
      <c r="FQ480" s="214" t="s">
        <v>70</v>
      </c>
      <c r="FR480" s="214" t="s">
        <v>530</v>
      </c>
      <c r="FT480" s="321" t="s">
        <v>31297</v>
      </c>
      <c r="FU480" s="214" t="s">
        <v>90</v>
      </c>
      <c r="FV480" s="214" t="s">
        <v>70</v>
      </c>
      <c r="FW480" s="214" t="s">
        <v>530</v>
      </c>
      <c r="FY480" s="321" t="s">
        <v>31298</v>
      </c>
      <c r="FZ480" s="214" t="s">
        <v>910</v>
      </c>
      <c r="GA480" s="214" t="s">
        <v>70</v>
      </c>
      <c r="GB480" s="214" t="s">
        <v>530</v>
      </c>
      <c r="GD480" s="321" t="s">
        <v>31299</v>
      </c>
      <c r="GE480" s="214" t="s">
        <v>519</v>
      </c>
      <c r="GF480" s="214" t="s">
        <v>70</v>
      </c>
      <c r="GG480" s="214" t="s">
        <v>530</v>
      </c>
      <c r="GI480" s="321" t="s">
        <v>31300</v>
      </c>
      <c r="GJ480" s="214" t="s">
        <v>910</v>
      </c>
      <c r="GK480" s="214" t="s">
        <v>70</v>
      </c>
      <c r="GL480" s="214" t="s">
        <v>530</v>
      </c>
      <c r="GN480" s="321" t="s">
        <v>31301</v>
      </c>
      <c r="GO480" s="214" t="s">
        <v>52</v>
      </c>
      <c r="GP480" s="214" t="s">
        <v>70</v>
      </c>
      <c r="GQ480" s="214" t="s">
        <v>530</v>
      </c>
      <c r="GS480" s="321" t="s">
        <v>31302</v>
      </c>
      <c r="GT480" s="214" t="s">
        <v>937</v>
      </c>
      <c r="GU480" s="214" t="s">
        <v>70</v>
      </c>
      <c r="GV480" s="214" t="s">
        <v>530</v>
      </c>
      <c r="GX480" s="214" t="s">
        <v>31303</v>
      </c>
      <c r="GY480" s="214" t="s">
        <v>34579</v>
      </c>
      <c r="GZ480" s="214" t="s">
        <v>70</v>
      </c>
      <c r="HA480" s="214" t="s">
        <v>530</v>
      </c>
      <c r="HC480" s="214" t="s">
        <v>31304</v>
      </c>
      <c r="HD480" s="214" t="s">
        <v>34574</v>
      </c>
      <c r="HE480" s="214" t="s">
        <v>70</v>
      </c>
      <c r="HF480" s="214" t="s">
        <v>530</v>
      </c>
      <c r="HH480" s="214" t="s">
        <v>31305</v>
      </c>
      <c r="HI480" s="214" t="s">
        <v>149</v>
      </c>
      <c r="HJ480" s="214" t="s">
        <v>70</v>
      </c>
      <c r="HK480" s="214" t="s">
        <v>530</v>
      </c>
      <c r="HM480" s="214" t="s">
        <v>31306</v>
      </c>
      <c r="HN480" s="214" t="s">
        <v>598</v>
      </c>
      <c r="HO480" s="214" t="s">
        <v>70</v>
      </c>
      <c r="HP480" s="214" t="s">
        <v>530</v>
      </c>
      <c r="HR480" s="22" t="s">
        <v>31307</v>
      </c>
      <c r="HS480" s="22" t="s">
        <v>149</v>
      </c>
      <c r="HT480" s="22" t="s">
        <v>70</v>
      </c>
      <c r="HU480" s="214" t="s">
        <v>530</v>
      </c>
      <c r="HW480" s="22" t="s">
        <v>31308</v>
      </c>
      <c r="HX480" s="22" t="s">
        <v>149</v>
      </c>
      <c r="HY480" s="22" t="s">
        <v>70</v>
      </c>
      <c r="HZ480" s="214" t="s">
        <v>530</v>
      </c>
      <c r="IB480" s="22" t="s">
        <v>31309</v>
      </c>
      <c r="IC480" s="22" t="s">
        <v>52</v>
      </c>
      <c r="ID480" s="22" t="s">
        <v>70</v>
      </c>
      <c r="IE480" s="214" t="s">
        <v>530</v>
      </c>
      <c r="IG480" s="22" t="s">
        <v>31310</v>
      </c>
      <c r="IH480" s="22" t="s">
        <v>52</v>
      </c>
      <c r="II480" s="22" t="s">
        <v>70</v>
      </c>
      <c r="IJ480" s="214" t="s">
        <v>530</v>
      </c>
      <c r="IL480" s="22" t="s">
        <v>31311</v>
      </c>
      <c r="IM480" s="22" t="s">
        <v>145</v>
      </c>
      <c r="IN480" s="22" t="s">
        <v>70</v>
      </c>
      <c r="IO480" s="214" t="s">
        <v>530</v>
      </c>
      <c r="IQ480" s="236" t="s">
        <v>31312</v>
      </c>
      <c r="IR480" s="236" t="s">
        <v>145</v>
      </c>
      <c r="IS480" s="236" t="s">
        <v>74</v>
      </c>
      <c r="IT480" s="236" t="s">
        <v>841</v>
      </c>
      <c r="IV480" s="236" t="s">
        <v>31313</v>
      </c>
      <c r="IW480" s="236" t="s">
        <v>145</v>
      </c>
      <c r="IX480" s="236" t="s">
        <v>74</v>
      </c>
      <c r="IY480" s="236" t="s">
        <v>841</v>
      </c>
      <c r="JA480" s="236" t="s">
        <v>31314</v>
      </c>
      <c r="JB480" s="236" t="s">
        <v>145</v>
      </c>
      <c r="JC480" s="236" t="s">
        <v>74</v>
      </c>
      <c r="JD480" s="236" t="s">
        <v>841</v>
      </c>
      <c r="JF480" s="236" t="s">
        <v>31315</v>
      </c>
      <c r="JG480" s="236" t="s">
        <v>145</v>
      </c>
      <c r="JH480" s="236" t="s">
        <v>74</v>
      </c>
      <c r="JI480" s="236" t="s">
        <v>841</v>
      </c>
      <c r="JK480" s="236" t="s">
        <v>31316</v>
      </c>
      <c r="JL480" s="236" t="s">
        <v>145</v>
      </c>
      <c r="JM480" s="236" t="s">
        <v>74</v>
      </c>
      <c r="JN480" s="236" t="s">
        <v>841</v>
      </c>
      <c r="JP480" s="236" t="s">
        <v>31317</v>
      </c>
      <c r="JQ480" s="236" t="s">
        <v>145</v>
      </c>
      <c r="JR480" s="236" t="s">
        <v>74</v>
      </c>
      <c r="JS480" s="236" t="s">
        <v>841</v>
      </c>
      <c r="JU480" s="294" t="s">
        <v>31318</v>
      </c>
      <c r="JV480" s="294" t="s">
        <v>52</v>
      </c>
      <c r="JW480" s="263" t="s">
        <v>70</v>
      </c>
      <c r="JX480" s="294" t="s">
        <v>1083</v>
      </c>
      <c r="JZ480" s="263" t="s">
        <v>31319</v>
      </c>
      <c r="KA480" s="263" t="s">
        <v>145</v>
      </c>
      <c r="KB480" s="263" t="s">
        <v>70</v>
      </c>
      <c r="KC480" s="263" t="s">
        <v>1083</v>
      </c>
      <c r="KE480" s="263" t="s">
        <v>31320</v>
      </c>
      <c r="KF480" s="263" t="s">
        <v>52</v>
      </c>
      <c r="KG480" s="263" t="s">
        <v>70</v>
      </c>
      <c r="KH480" s="263" t="s">
        <v>1083</v>
      </c>
      <c r="KJ480" s="263" t="s">
        <v>31321</v>
      </c>
      <c r="KK480" s="263" t="s">
        <v>52</v>
      </c>
      <c r="KL480" s="263" t="s">
        <v>74</v>
      </c>
      <c r="KM480" s="263" t="s">
        <v>34074</v>
      </c>
      <c r="KO480" s="214" t="s">
        <v>31322</v>
      </c>
      <c r="KP480" s="214" t="s">
        <v>145</v>
      </c>
      <c r="KQ480" s="214" t="s">
        <v>70</v>
      </c>
      <c r="KR480" s="214" t="s">
        <v>67</v>
      </c>
      <c r="KT480" s="22" t="s">
        <v>31323</v>
      </c>
      <c r="KU480" s="22" t="s">
        <v>145</v>
      </c>
      <c r="KV480" s="22" t="s">
        <v>70</v>
      </c>
      <c r="KW480" s="22" t="s">
        <v>67</v>
      </c>
      <c r="KY480" s="214" t="s">
        <v>31324</v>
      </c>
      <c r="KZ480" s="214" t="s">
        <v>52</v>
      </c>
      <c r="LA480" s="214" t="s">
        <v>74</v>
      </c>
      <c r="LB480" s="214" t="s">
        <v>67</v>
      </c>
      <c r="LD480" s="22" t="s">
        <v>31325</v>
      </c>
      <c r="LE480" s="22" t="s">
        <v>145</v>
      </c>
      <c r="LF480" s="22" t="s">
        <v>70</v>
      </c>
      <c r="LG480" s="22" t="s">
        <v>67</v>
      </c>
    </row>
    <row r="481" spans="1:319">
      <c r="A481" s="22" t="s">
        <v>31326</v>
      </c>
      <c r="B481" s="22" t="s">
        <v>145</v>
      </c>
      <c r="C481" s="22" t="s">
        <v>70</v>
      </c>
      <c r="D481" s="22" t="s">
        <v>67</v>
      </c>
      <c r="F481" s="73" t="s">
        <v>31327</v>
      </c>
      <c r="G481" s="22" t="s">
        <v>145</v>
      </c>
      <c r="H481" s="22" t="s">
        <v>70</v>
      </c>
      <c r="I481" s="22" t="s">
        <v>67</v>
      </c>
      <c r="K481" s="99" t="s">
        <v>31328</v>
      </c>
      <c r="L481" s="22" t="s">
        <v>145</v>
      </c>
      <c r="M481" s="22" t="s">
        <v>70</v>
      </c>
      <c r="N481" s="22" t="s">
        <v>67</v>
      </c>
      <c r="P481" s="99" t="s">
        <v>31329</v>
      </c>
      <c r="Q481" s="22" t="s">
        <v>145</v>
      </c>
      <c r="R481" s="22" t="s">
        <v>70</v>
      </c>
      <c r="S481" s="22" t="s">
        <v>67</v>
      </c>
      <c r="U481" s="293" t="s">
        <v>31330</v>
      </c>
      <c r="V481" s="293" t="s">
        <v>145</v>
      </c>
      <c r="W481" s="293" t="s">
        <v>74</v>
      </c>
      <c r="X481" s="293" t="s">
        <v>656</v>
      </c>
      <c r="Z481" s="293" t="s">
        <v>31331</v>
      </c>
      <c r="AA481" s="293" t="s">
        <v>145</v>
      </c>
      <c r="AB481" s="293" t="s">
        <v>74</v>
      </c>
      <c r="AC481" s="293" t="s">
        <v>656</v>
      </c>
      <c r="AE481" s="293" t="s">
        <v>31332</v>
      </c>
      <c r="AF481" s="293" t="s">
        <v>145</v>
      </c>
      <c r="AG481" s="293" t="s">
        <v>74</v>
      </c>
      <c r="AH481" s="293" t="s">
        <v>656</v>
      </c>
      <c r="AJ481" s="293" t="s">
        <v>31333</v>
      </c>
      <c r="AK481" s="293" t="s">
        <v>145</v>
      </c>
      <c r="AL481" s="293" t="s">
        <v>74</v>
      </c>
      <c r="AM481" s="293" t="s">
        <v>656</v>
      </c>
      <c r="AO481" s="22" t="s">
        <v>31334</v>
      </c>
      <c r="AP481" s="22" t="s">
        <v>145</v>
      </c>
      <c r="AQ481" s="22" t="s">
        <v>70</v>
      </c>
      <c r="AR481" s="22" t="s">
        <v>67</v>
      </c>
      <c r="AT481" s="22" t="s">
        <v>31335</v>
      </c>
      <c r="AU481" s="22" t="s">
        <v>145</v>
      </c>
      <c r="AV481" s="22" t="s">
        <v>70</v>
      </c>
      <c r="AW481" s="22" t="s">
        <v>67</v>
      </c>
      <c r="AY481" s="22" t="s">
        <v>31336</v>
      </c>
      <c r="AZ481" s="22" t="s">
        <v>145</v>
      </c>
      <c r="BA481" s="22" t="s">
        <v>70</v>
      </c>
      <c r="BB481" s="22" t="s">
        <v>67</v>
      </c>
      <c r="BD481" s="22" t="s">
        <v>31337</v>
      </c>
      <c r="BE481" s="22" t="s">
        <v>145</v>
      </c>
      <c r="BF481" s="22" t="s">
        <v>70</v>
      </c>
      <c r="BG481" s="22" t="s">
        <v>67</v>
      </c>
      <c r="BI481" s="22" t="s">
        <v>31338</v>
      </c>
      <c r="BJ481" s="22" t="s">
        <v>145</v>
      </c>
      <c r="BK481" s="22" t="s">
        <v>70</v>
      </c>
      <c r="BL481" s="22" t="s">
        <v>67</v>
      </c>
      <c r="BN481" s="22" t="s">
        <v>31339</v>
      </c>
      <c r="BO481" s="22" t="s">
        <v>145</v>
      </c>
      <c r="BP481" s="22" t="s">
        <v>70</v>
      </c>
      <c r="BQ481" s="22" t="s">
        <v>67</v>
      </c>
      <c r="BS481" s="22" t="s">
        <v>31340</v>
      </c>
      <c r="BT481" s="22" t="s">
        <v>145</v>
      </c>
      <c r="BU481" s="22" t="s">
        <v>70</v>
      </c>
      <c r="BV481" s="214" t="s">
        <v>530</v>
      </c>
      <c r="BX481" s="22" t="s">
        <v>31341</v>
      </c>
      <c r="BY481" s="22" t="s">
        <v>145</v>
      </c>
      <c r="BZ481" s="22" t="s">
        <v>70</v>
      </c>
      <c r="CA481" s="214" t="s">
        <v>530</v>
      </c>
      <c r="CC481" s="214" t="s">
        <v>31342</v>
      </c>
      <c r="CD481" s="214" t="s">
        <v>950</v>
      </c>
      <c r="CE481" s="214" t="s">
        <v>70</v>
      </c>
      <c r="CF481" s="214" t="s">
        <v>530</v>
      </c>
      <c r="CH481" s="214" t="s">
        <v>31343</v>
      </c>
      <c r="CI481" s="214" t="s">
        <v>34565</v>
      </c>
      <c r="CJ481" s="214" t="s">
        <v>70</v>
      </c>
      <c r="CK481" s="214" t="s">
        <v>530</v>
      </c>
      <c r="CM481" s="214" t="s">
        <v>31344</v>
      </c>
      <c r="CN481" s="214" t="s">
        <v>488</v>
      </c>
      <c r="CO481" s="214" t="s">
        <v>70</v>
      </c>
      <c r="CP481" s="214" t="s">
        <v>530</v>
      </c>
      <c r="CR481" s="214" t="s">
        <v>31345</v>
      </c>
      <c r="CS481" s="214" t="s">
        <v>34551</v>
      </c>
      <c r="CT481" s="214" t="s">
        <v>70</v>
      </c>
      <c r="CU481" s="214" t="s">
        <v>530</v>
      </c>
      <c r="CW481" s="214" t="s">
        <v>31346</v>
      </c>
      <c r="CX481" s="214" t="s">
        <v>52</v>
      </c>
      <c r="CY481" s="214" t="s">
        <v>70</v>
      </c>
      <c r="CZ481" s="214" t="s">
        <v>530</v>
      </c>
      <c r="DB481" s="214" t="s">
        <v>31347</v>
      </c>
      <c r="DC481" s="214" t="s">
        <v>468</v>
      </c>
      <c r="DD481" s="214" t="s">
        <v>70</v>
      </c>
      <c r="DE481" s="214" t="s">
        <v>530</v>
      </c>
      <c r="DG481" s="214" t="s">
        <v>31348</v>
      </c>
      <c r="DH481" s="214" t="s">
        <v>955</v>
      </c>
      <c r="DI481" s="214" t="s">
        <v>70</v>
      </c>
      <c r="DJ481" s="214" t="s">
        <v>530</v>
      </c>
      <c r="DL481" s="214" t="s">
        <v>31349</v>
      </c>
      <c r="DM481" s="214" t="s">
        <v>491</v>
      </c>
      <c r="DN481" s="214" t="s">
        <v>70</v>
      </c>
      <c r="DO481" s="214" t="s">
        <v>530</v>
      </c>
      <c r="DQ481" s="214" t="s">
        <v>31350</v>
      </c>
      <c r="DR481" s="214" t="s">
        <v>935</v>
      </c>
      <c r="DS481" s="214" t="s">
        <v>70</v>
      </c>
      <c r="DT481" s="214" t="s">
        <v>530</v>
      </c>
      <c r="DV481" s="214" t="s">
        <v>31351</v>
      </c>
      <c r="DW481" s="214" t="s">
        <v>933</v>
      </c>
      <c r="DX481" s="214" t="s">
        <v>70</v>
      </c>
      <c r="DY481" s="214" t="s">
        <v>530</v>
      </c>
      <c r="EA481" s="214" t="s">
        <v>31352</v>
      </c>
      <c r="EB481" s="214" t="s">
        <v>34558</v>
      </c>
      <c r="EC481" s="214" t="s">
        <v>70</v>
      </c>
      <c r="ED481" s="214" t="s">
        <v>530</v>
      </c>
      <c r="EF481" s="214" t="s">
        <v>31353</v>
      </c>
      <c r="EG481" s="214" t="s">
        <v>52</v>
      </c>
      <c r="EH481" s="214" t="s">
        <v>70</v>
      </c>
      <c r="EI481" s="214" t="s">
        <v>530</v>
      </c>
      <c r="EK481" s="214" t="s">
        <v>31354</v>
      </c>
      <c r="EL481" s="214" t="s">
        <v>921</v>
      </c>
      <c r="EM481" s="214" t="s">
        <v>70</v>
      </c>
      <c r="EN481" s="214" t="s">
        <v>530</v>
      </c>
      <c r="EP481" s="214" t="s">
        <v>31355</v>
      </c>
      <c r="EQ481" s="214" t="s">
        <v>491</v>
      </c>
      <c r="ER481" s="214" t="s">
        <v>70</v>
      </c>
      <c r="ES481" s="214" t="s">
        <v>530</v>
      </c>
      <c r="EU481" s="214" t="s">
        <v>31356</v>
      </c>
      <c r="EV481" s="214" t="s">
        <v>34555</v>
      </c>
      <c r="EW481" s="214" t="s">
        <v>70</v>
      </c>
      <c r="EX481" s="214" t="s">
        <v>530</v>
      </c>
      <c r="EZ481" s="214" t="s">
        <v>31357</v>
      </c>
      <c r="FA481" s="214" t="s">
        <v>484</v>
      </c>
      <c r="FB481" s="214" t="s">
        <v>70</v>
      </c>
      <c r="FC481" s="214" t="s">
        <v>530</v>
      </c>
      <c r="FE481" s="214" t="s">
        <v>31358</v>
      </c>
      <c r="FF481" s="214" t="s">
        <v>484</v>
      </c>
      <c r="FG481" s="214" t="s">
        <v>70</v>
      </c>
      <c r="FH481" s="214" t="s">
        <v>530</v>
      </c>
      <c r="FJ481" s="321" t="s">
        <v>31359</v>
      </c>
      <c r="FK481" s="214" t="s">
        <v>203</v>
      </c>
      <c r="FL481" s="214" t="s">
        <v>70</v>
      </c>
      <c r="FM481" s="214" t="s">
        <v>530</v>
      </c>
      <c r="FO481" s="321" t="s">
        <v>31360</v>
      </c>
      <c r="FP481" s="214" t="s">
        <v>492</v>
      </c>
      <c r="FQ481" s="214" t="s">
        <v>70</v>
      </c>
      <c r="FR481" s="214" t="s">
        <v>530</v>
      </c>
      <c r="FT481" s="321" t="s">
        <v>31361</v>
      </c>
      <c r="FU481" s="214" t="s">
        <v>305</v>
      </c>
      <c r="FV481" s="214" t="s">
        <v>70</v>
      </c>
      <c r="FW481" s="214" t="s">
        <v>530</v>
      </c>
      <c r="FY481" s="321" t="s">
        <v>31362</v>
      </c>
      <c r="FZ481" s="214" t="s">
        <v>926</v>
      </c>
      <c r="GA481" s="214" t="s">
        <v>70</v>
      </c>
      <c r="GB481" s="214" t="s">
        <v>530</v>
      </c>
      <c r="GD481" s="321" t="s">
        <v>31363</v>
      </c>
      <c r="GE481" s="214" t="s">
        <v>484</v>
      </c>
      <c r="GF481" s="214" t="s">
        <v>70</v>
      </c>
      <c r="GG481" s="214" t="s">
        <v>530</v>
      </c>
      <c r="GI481" s="321" t="s">
        <v>31364</v>
      </c>
      <c r="GJ481" s="214" t="s">
        <v>926</v>
      </c>
      <c r="GK481" s="214" t="s">
        <v>70</v>
      </c>
      <c r="GL481" s="214" t="s">
        <v>530</v>
      </c>
      <c r="GN481" s="321" t="s">
        <v>31365</v>
      </c>
      <c r="GO481" s="214" t="s">
        <v>484</v>
      </c>
      <c r="GP481" s="214" t="s">
        <v>70</v>
      </c>
      <c r="GQ481" s="214" t="s">
        <v>530</v>
      </c>
      <c r="GS481" s="321" t="s">
        <v>31366</v>
      </c>
      <c r="GT481" s="214" t="s">
        <v>34552</v>
      </c>
      <c r="GU481" s="214" t="s">
        <v>70</v>
      </c>
      <c r="GV481" s="214" t="s">
        <v>530</v>
      </c>
      <c r="GX481" s="214" t="s">
        <v>31367</v>
      </c>
      <c r="GY481" s="214" t="s">
        <v>798</v>
      </c>
      <c r="GZ481" s="214" t="s">
        <v>70</v>
      </c>
      <c r="HA481" s="214" t="s">
        <v>530</v>
      </c>
      <c r="HC481" s="214" t="s">
        <v>31368</v>
      </c>
      <c r="HD481" s="214" t="s">
        <v>488</v>
      </c>
      <c r="HE481" s="214" t="s">
        <v>70</v>
      </c>
      <c r="HF481" s="214" t="s">
        <v>530</v>
      </c>
      <c r="HH481" s="214" t="s">
        <v>31369</v>
      </c>
      <c r="HI481" s="214" t="s">
        <v>52</v>
      </c>
      <c r="HJ481" s="214" t="s">
        <v>70</v>
      </c>
      <c r="HK481" s="214" t="s">
        <v>530</v>
      </c>
      <c r="HM481" s="214" t="s">
        <v>31370</v>
      </c>
      <c r="HN481" s="214" t="s">
        <v>946</v>
      </c>
      <c r="HO481" s="214" t="s">
        <v>70</v>
      </c>
      <c r="HP481" s="214" t="s">
        <v>530</v>
      </c>
      <c r="HR481" s="22" t="s">
        <v>31371</v>
      </c>
      <c r="HS481" s="22" t="s">
        <v>34544</v>
      </c>
      <c r="HT481" s="22" t="s">
        <v>70</v>
      </c>
      <c r="HU481" s="214" t="s">
        <v>530</v>
      </c>
      <c r="HW481" s="22" t="s">
        <v>31372</v>
      </c>
      <c r="HX481" s="22" t="s">
        <v>34544</v>
      </c>
      <c r="HY481" s="22" t="s">
        <v>70</v>
      </c>
      <c r="HZ481" s="214" t="s">
        <v>530</v>
      </c>
      <c r="IB481" s="22" t="s">
        <v>31373</v>
      </c>
      <c r="IC481" s="22" t="s">
        <v>34569</v>
      </c>
      <c r="ID481" s="22" t="s">
        <v>70</v>
      </c>
      <c r="IE481" s="214" t="s">
        <v>530</v>
      </c>
      <c r="IG481" s="22" t="s">
        <v>31374</v>
      </c>
      <c r="IH481" s="22" t="s">
        <v>52</v>
      </c>
      <c r="II481" s="22" t="s">
        <v>70</v>
      </c>
      <c r="IJ481" s="214" t="s">
        <v>530</v>
      </c>
      <c r="IL481" s="22" t="s">
        <v>31375</v>
      </c>
      <c r="IM481" s="22" t="s">
        <v>145</v>
      </c>
      <c r="IN481" s="22" t="s">
        <v>70</v>
      </c>
      <c r="IO481" s="214" t="s">
        <v>530</v>
      </c>
      <c r="IQ481" s="236" t="s">
        <v>31376</v>
      </c>
      <c r="IR481" s="236" t="s">
        <v>145</v>
      </c>
      <c r="IS481" s="236" t="s">
        <v>74</v>
      </c>
      <c r="IT481" s="236" t="s">
        <v>841</v>
      </c>
      <c r="IV481" s="236" t="s">
        <v>31377</v>
      </c>
      <c r="IW481" s="236" t="s">
        <v>145</v>
      </c>
      <c r="IX481" s="236" t="s">
        <v>74</v>
      </c>
      <c r="IY481" s="236" t="s">
        <v>841</v>
      </c>
      <c r="JA481" s="236" t="s">
        <v>31378</v>
      </c>
      <c r="JB481" s="236" t="s">
        <v>145</v>
      </c>
      <c r="JC481" s="236" t="s">
        <v>74</v>
      </c>
      <c r="JD481" s="236" t="s">
        <v>841</v>
      </c>
      <c r="JF481" s="236" t="s">
        <v>31379</v>
      </c>
      <c r="JG481" s="236" t="s">
        <v>145</v>
      </c>
      <c r="JH481" s="236" t="s">
        <v>74</v>
      </c>
      <c r="JI481" s="236" t="s">
        <v>841</v>
      </c>
      <c r="JK481" s="236" t="s">
        <v>31380</v>
      </c>
      <c r="JL481" s="236" t="s">
        <v>145</v>
      </c>
      <c r="JM481" s="236" t="s">
        <v>74</v>
      </c>
      <c r="JN481" s="236" t="s">
        <v>841</v>
      </c>
      <c r="JP481" s="236" t="s">
        <v>31381</v>
      </c>
      <c r="JQ481" s="236" t="s">
        <v>145</v>
      </c>
      <c r="JR481" s="236" t="s">
        <v>74</v>
      </c>
      <c r="JS481" s="236" t="s">
        <v>841</v>
      </c>
      <c r="JU481" s="294" t="s">
        <v>31382</v>
      </c>
      <c r="JV481" s="294" t="s">
        <v>52</v>
      </c>
      <c r="JW481" s="263" t="s">
        <v>70</v>
      </c>
      <c r="JX481" s="294" t="s">
        <v>1083</v>
      </c>
      <c r="JZ481" s="263" t="s">
        <v>31383</v>
      </c>
      <c r="KA481" s="263" t="s">
        <v>145</v>
      </c>
      <c r="KB481" s="263" t="s">
        <v>70</v>
      </c>
      <c r="KC481" s="263" t="s">
        <v>1083</v>
      </c>
      <c r="KE481" s="263" t="s">
        <v>31384</v>
      </c>
      <c r="KF481" s="263" t="s">
        <v>52</v>
      </c>
      <c r="KG481" s="263" t="s">
        <v>70</v>
      </c>
      <c r="KH481" s="263" t="s">
        <v>1083</v>
      </c>
      <c r="KJ481" s="263" t="s">
        <v>31385</v>
      </c>
      <c r="KK481" s="263" t="s">
        <v>52</v>
      </c>
      <c r="KL481" s="263" t="s">
        <v>74</v>
      </c>
      <c r="KM481" s="263" t="s">
        <v>34074</v>
      </c>
      <c r="KO481" s="214" t="s">
        <v>31386</v>
      </c>
      <c r="KP481" s="214" t="s">
        <v>145</v>
      </c>
      <c r="KQ481" s="214" t="s">
        <v>70</v>
      </c>
      <c r="KR481" s="214" t="s">
        <v>67</v>
      </c>
      <c r="KT481" s="22" t="s">
        <v>31387</v>
      </c>
      <c r="KU481" s="22" t="s">
        <v>145</v>
      </c>
      <c r="KV481" s="22" t="s">
        <v>70</v>
      </c>
      <c r="KW481" s="22" t="s">
        <v>67</v>
      </c>
      <c r="KY481" s="214" t="s">
        <v>31388</v>
      </c>
      <c r="KZ481" s="214" t="s">
        <v>52</v>
      </c>
      <c r="LA481" s="214" t="s">
        <v>74</v>
      </c>
      <c r="LB481" s="214" t="s">
        <v>67</v>
      </c>
      <c r="LD481" s="22" t="s">
        <v>31389</v>
      </c>
      <c r="LE481" s="22" t="s">
        <v>145</v>
      </c>
      <c r="LF481" s="22" t="s">
        <v>70</v>
      </c>
      <c r="LG481" s="22" t="s">
        <v>67</v>
      </c>
    </row>
    <row r="482" spans="1:319">
      <c r="A482" s="22" t="s">
        <v>31390</v>
      </c>
      <c r="B482" s="22" t="s">
        <v>145</v>
      </c>
      <c r="C482" s="22" t="s">
        <v>70</v>
      </c>
      <c r="D482" s="22" t="s">
        <v>67</v>
      </c>
      <c r="F482" s="73" t="s">
        <v>31391</v>
      </c>
      <c r="G482" s="22" t="s">
        <v>145</v>
      </c>
      <c r="H482" s="22" t="s">
        <v>70</v>
      </c>
      <c r="I482" s="22" t="s">
        <v>67</v>
      </c>
      <c r="K482" s="99" t="s">
        <v>31392</v>
      </c>
      <c r="L482" s="22" t="s">
        <v>145</v>
      </c>
      <c r="M482" s="22" t="s">
        <v>70</v>
      </c>
      <c r="N482" s="22" t="s">
        <v>67</v>
      </c>
      <c r="P482" s="99" t="s">
        <v>31393</v>
      </c>
      <c r="Q482" s="22" t="s">
        <v>145</v>
      </c>
      <c r="R482" s="22" t="s">
        <v>70</v>
      </c>
      <c r="S482" s="22" t="s">
        <v>67</v>
      </c>
      <c r="U482" s="293" t="s">
        <v>31394</v>
      </c>
      <c r="V482" s="293" t="s">
        <v>145</v>
      </c>
      <c r="W482" s="293" t="s">
        <v>74</v>
      </c>
      <c r="X482" s="293" t="s">
        <v>656</v>
      </c>
      <c r="Z482" s="293" t="s">
        <v>31395</v>
      </c>
      <c r="AA482" s="293" t="s">
        <v>145</v>
      </c>
      <c r="AB482" s="293" t="s">
        <v>74</v>
      </c>
      <c r="AC482" s="293" t="s">
        <v>656</v>
      </c>
      <c r="AE482" s="293" t="s">
        <v>31396</v>
      </c>
      <c r="AF482" s="293" t="s">
        <v>145</v>
      </c>
      <c r="AG482" s="293" t="s">
        <v>74</v>
      </c>
      <c r="AH482" s="293" t="s">
        <v>656</v>
      </c>
      <c r="AJ482" s="293" t="s">
        <v>31397</v>
      </c>
      <c r="AK482" s="293" t="s">
        <v>145</v>
      </c>
      <c r="AL482" s="293" t="s">
        <v>74</v>
      </c>
      <c r="AM482" s="293" t="s">
        <v>656</v>
      </c>
      <c r="AO482" s="22" t="s">
        <v>31398</v>
      </c>
      <c r="AP482" s="22" t="s">
        <v>145</v>
      </c>
      <c r="AQ482" s="22" t="s">
        <v>70</v>
      </c>
      <c r="AR482" s="22" t="s">
        <v>67</v>
      </c>
      <c r="AT482" s="22" t="s">
        <v>31399</v>
      </c>
      <c r="AU482" s="22" t="s">
        <v>145</v>
      </c>
      <c r="AV482" s="22" t="s">
        <v>70</v>
      </c>
      <c r="AW482" s="22" t="s">
        <v>67</v>
      </c>
      <c r="AY482" s="22" t="s">
        <v>31400</v>
      </c>
      <c r="AZ482" s="22" t="s">
        <v>145</v>
      </c>
      <c r="BA482" s="22" t="s">
        <v>70</v>
      </c>
      <c r="BB482" s="22" t="s">
        <v>67</v>
      </c>
      <c r="BD482" s="22" t="s">
        <v>31401</v>
      </c>
      <c r="BE482" s="22" t="s">
        <v>145</v>
      </c>
      <c r="BF482" s="22" t="s">
        <v>70</v>
      </c>
      <c r="BG482" s="22" t="s">
        <v>67</v>
      </c>
      <c r="BI482" s="22" t="s">
        <v>31402</v>
      </c>
      <c r="BJ482" s="22" t="s">
        <v>145</v>
      </c>
      <c r="BK482" s="22" t="s">
        <v>70</v>
      </c>
      <c r="BL482" s="22" t="s">
        <v>67</v>
      </c>
      <c r="BN482" s="22" t="s">
        <v>31403</v>
      </c>
      <c r="BO482" s="22" t="s">
        <v>145</v>
      </c>
      <c r="BP482" s="22" t="s">
        <v>70</v>
      </c>
      <c r="BQ482" s="22" t="s">
        <v>67</v>
      </c>
      <c r="BS482" s="22" t="s">
        <v>31404</v>
      </c>
      <c r="BT482" s="22" t="s">
        <v>145</v>
      </c>
      <c r="BU482" s="22" t="s">
        <v>70</v>
      </c>
      <c r="BV482" s="214" t="s">
        <v>530</v>
      </c>
      <c r="BX482" s="22" t="s">
        <v>31405</v>
      </c>
      <c r="BY482" s="22" t="s">
        <v>145</v>
      </c>
      <c r="BZ482" s="22" t="s">
        <v>70</v>
      </c>
      <c r="CA482" s="214" t="s">
        <v>530</v>
      </c>
      <c r="CC482" s="214" t="s">
        <v>31406</v>
      </c>
      <c r="CD482" s="214" t="s">
        <v>52</v>
      </c>
      <c r="CE482" s="214" t="s">
        <v>70</v>
      </c>
      <c r="CF482" s="214" t="s">
        <v>530</v>
      </c>
      <c r="CH482" s="214" t="s">
        <v>31407</v>
      </c>
      <c r="CI482" s="214" t="s">
        <v>148</v>
      </c>
      <c r="CJ482" s="214" t="s">
        <v>70</v>
      </c>
      <c r="CK482" s="214" t="s">
        <v>530</v>
      </c>
      <c r="CM482" s="214" t="s">
        <v>31408</v>
      </c>
      <c r="CN482" s="214" t="s">
        <v>468</v>
      </c>
      <c r="CO482" s="214" t="s">
        <v>70</v>
      </c>
      <c r="CP482" s="214" t="s">
        <v>530</v>
      </c>
      <c r="CR482" s="214" t="s">
        <v>31409</v>
      </c>
      <c r="CS482" s="214" t="s">
        <v>34608</v>
      </c>
      <c r="CT482" s="214" t="s">
        <v>70</v>
      </c>
      <c r="CU482" s="214" t="s">
        <v>530</v>
      </c>
      <c r="CW482" s="214" t="s">
        <v>31410</v>
      </c>
      <c r="CX482" s="214" t="s">
        <v>52</v>
      </c>
      <c r="CY482" s="214" t="s">
        <v>70</v>
      </c>
      <c r="CZ482" s="214" t="s">
        <v>530</v>
      </c>
      <c r="DB482" s="214" t="s">
        <v>31411</v>
      </c>
      <c r="DC482" s="214" t="s">
        <v>52</v>
      </c>
      <c r="DD482" s="214" t="s">
        <v>70</v>
      </c>
      <c r="DE482" s="214" t="s">
        <v>530</v>
      </c>
      <c r="DG482" s="214" t="s">
        <v>31412</v>
      </c>
      <c r="DH482" s="214" t="s">
        <v>52</v>
      </c>
      <c r="DI482" s="214" t="s">
        <v>70</v>
      </c>
      <c r="DJ482" s="214" t="s">
        <v>530</v>
      </c>
      <c r="DL482" s="214" t="s">
        <v>31413</v>
      </c>
      <c r="DM482" s="214" t="s">
        <v>52</v>
      </c>
      <c r="DN482" s="214" t="s">
        <v>70</v>
      </c>
      <c r="DO482" s="214" t="s">
        <v>530</v>
      </c>
      <c r="DQ482" s="214" t="s">
        <v>31414</v>
      </c>
      <c r="DR482" s="214" t="s">
        <v>149</v>
      </c>
      <c r="DS482" s="214" t="s">
        <v>70</v>
      </c>
      <c r="DT482" s="214" t="s">
        <v>530</v>
      </c>
      <c r="DV482" s="214" t="s">
        <v>31415</v>
      </c>
      <c r="DW482" s="214" t="s">
        <v>946</v>
      </c>
      <c r="DX482" s="214" t="s">
        <v>70</v>
      </c>
      <c r="DY482" s="214" t="s">
        <v>530</v>
      </c>
      <c r="EA482" s="214" t="s">
        <v>31416</v>
      </c>
      <c r="EB482" s="214" t="s">
        <v>52</v>
      </c>
      <c r="EC482" s="214" t="s">
        <v>70</v>
      </c>
      <c r="ED482" s="214" t="s">
        <v>530</v>
      </c>
      <c r="EF482" s="214" t="s">
        <v>31417</v>
      </c>
      <c r="EG482" s="214" t="s">
        <v>798</v>
      </c>
      <c r="EH482" s="214" t="s">
        <v>70</v>
      </c>
      <c r="EI482" s="214" t="s">
        <v>530</v>
      </c>
      <c r="EK482" s="214" t="s">
        <v>31418</v>
      </c>
      <c r="EL482" s="214" t="s">
        <v>601</v>
      </c>
      <c r="EM482" s="214" t="s">
        <v>70</v>
      </c>
      <c r="EN482" s="214" t="s">
        <v>530</v>
      </c>
      <c r="EP482" s="214" t="s">
        <v>31419</v>
      </c>
      <c r="EQ482" s="214" t="s">
        <v>52</v>
      </c>
      <c r="ER482" s="214" t="s">
        <v>70</v>
      </c>
      <c r="ES482" s="214" t="s">
        <v>530</v>
      </c>
      <c r="EU482" s="214" t="s">
        <v>31420</v>
      </c>
      <c r="EV482" s="214" t="s">
        <v>765</v>
      </c>
      <c r="EW482" s="214" t="s">
        <v>70</v>
      </c>
      <c r="EX482" s="214" t="s">
        <v>530</v>
      </c>
      <c r="EZ482" s="214" t="s">
        <v>31421</v>
      </c>
      <c r="FA482" s="214" t="s">
        <v>52</v>
      </c>
      <c r="FB482" s="214" t="s">
        <v>70</v>
      </c>
      <c r="FC482" s="214" t="s">
        <v>530</v>
      </c>
      <c r="FE482" s="214" t="s">
        <v>31422</v>
      </c>
      <c r="FF482" s="214" t="s">
        <v>164</v>
      </c>
      <c r="FG482" s="214" t="s">
        <v>70</v>
      </c>
      <c r="FH482" s="214" t="s">
        <v>530</v>
      </c>
      <c r="FJ482" s="321" t="s">
        <v>31423</v>
      </c>
      <c r="FK482" s="214" t="s">
        <v>34587</v>
      </c>
      <c r="FL482" s="214" t="s">
        <v>70</v>
      </c>
      <c r="FM482" s="214" t="s">
        <v>530</v>
      </c>
      <c r="FO482" s="321" t="s">
        <v>31424</v>
      </c>
      <c r="FP482" s="214" t="s">
        <v>500</v>
      </c>
      <c r="FQ482" s="214" t="s">
        <v>70</v>
      </c>
      <c r="FR482" s="214" t="s">
        <v>530</v>
      </c>
      <c r="FT482" s="321" t="s">
        <v>31425</v>
      </c>
      <c r="FU482" s="214" t="s">
        <v>34575</v>
      </c>
      <c r="FV482" s="214" t="s">
        <v>70</v>
      </c>
      <c r="FW482" s="214" t="s">
        <v>530</v>
      </c>
      <c r="FY482" s="321" t="s">
        <v>31426</v>
      </c>
      <c r="FZ482" s="214" t="s">
        <v>10541</v>
      </c>
      <c r="GA482" s="214" t="s">
        <v>70</v>
      </c>
      <c r="GB482" s="214" t="s">
        <v>530</v>
      </c>
      <c r="GD482" s="321" t="s">
        <v>31427</v>
      </c>
      <c r="GE482" s="214" t="s">
        <v>164</v>
      </c>
      <c r="GF482" s="214" t="s">
        <v>70</v>
      </c>
      <c r="GG482" s="214" t="s">
        <v>530</v>
      </c>
      <c r="GI482" s="321" t="s">
        <v>31428</v>
      </c>
      <c r="GJ482" s="214" t="s">
        <v>88</v>
      </c>
      <c r="GK482" s="214" t="s">
        <v>70</v>
      </c>
      <c r="GL482" s="214" t="s">
        <v>530</v>
      </c>
      <c r="GN482" s="321" t="s">
        <v>31429</v>
      </c>
      <c r="GO482" s="214" t="s">
        <v>163</v>
      </c>
      <c r="GP482" s="214" t="s">
        <v>70</v>
      </c>
      <c r="GQ482" s="214" t="s">
        <v>530</v>
      </c>
      <c r="GS482" s="321" t="s">
        <v>31430</v>
      </c>
      <c r="GT482" s="214" t="s">
        <v>942</v>
      </c>
      <c r="GU482" s="214" t="s">
        <v>70</v>
      </c>
      <c r="GV482" s="214" t="s">
        <v>530</v>
      </c>
      <c r="GX482" s="214" t="s">
        <v>31431</v>
      </c>
      <c r="GY482" s="214" t="s">
        <v>34539</v>
      </c>
      <c r="GZ482" s="214" t="s">
        <v>70</v>
      </c>
      <c r="HA482" s="214" t="s">
        <v>530</v>
      </c>
      <c r="HC482" s="214" t="s">
        <v>31432</v>
      </c>
      <c r="HD482" s="214" t="s">
        <v>912</v>
      </c>
      <c r="HE482" s="214" t="s">
        <v>70</v>
      </c>
      <c r="HF482" s="214" t="s">
        <v>530</v>
      </c>
      <c r="HH482" s="214" t="s">
        <v>31433</v>
      </c>
      <c r="HI482" s="214" t="s">
        <v>10541</v>
      </c>
      <c r="HJ482" s="214" t="s">
        <v>70</v>
      </c>
      <c r="HK482" s="214" t="s">
        <v>530</v>
      </c>
      <c r="HM482" s="214" t="s">
        <v>31434</v>
      </c>
      <c r="HN482" s="214" t="s">
        <v>34642</v>
      </c>
      <c r="HO482" s="214" t="s">
        <v>70</v>
      </c>
      <c r="HP482" s="214" t="s">
        <v>530</v>
      </c>
      <c r="HR482" s="22" t="s">
        <v>31435</v>
      </c>
      <c r="HS482" s="22" t="s">
        <v>86</v>
      </c>
      <c r="HT482" s="22" t="s">
        <v>70</v>
      </c>
      <c r="HU482" s="214" t="s">
        <v>530</v>
      </c>
      <c r="HW482" s="22" t="s">
        <v>31436</v>
      </c>
      <c r="HX482" s="22" t="s">
        <v>502</v>
      </c>
      <c r="HY482" s="22" t="s">
        <v>70</v>
      </c>
      <c r="HZ482" s="214" t="s">
        <v>530</v>
      </c>
      <c r="IB482" s="22" t="s">
        <v>31437</v>
      </c>
      <c r="IC482" s="22" t="s">
        <v>149</v>
      </c>
      <c r="ID482" s="22" t="s">
        <v>70</v>
      </c>
      <c r="IE482" s="214" t="s">
        <v>530</v>
      </c>
      <c r="IG482" s="22" t="s">
        <v>31438</v>
      </c>
      <c r="IH482" s="22" t="s">
        <v>52</v>
      </c>
      <c r="II482" s="22" t="s">
        <v>70</v>
      </c>
      <c r="IJ482" s="214" t="s">
        <v>530</v>
      </c>
      <c r="IL482" s="22" t="s">
        <v>31439</v>
      </c>
      <c r="IM482" s="22" t="s">
        <v>145</v>
      </c>
      <c r="IN482" s="22" t="s">
        <v>70</v>
      </c>
      <c r="IO482" s="214" t="s">
        <v>530</v>
      </c>
      <c r="IQ482" s="236" t="s">
        <v>31440</v>
      </c>
      <c r="IR482" s="236" t="s">
        <v>145</v>
      </c>
      <c r="IS482" s="236" t="s">
        <v>74</v>
      </c>
      <c r="IT482" s="236" t="s">
        <v>841</v>
      </c>
      <c r="IV482" s="236" t="s">
        <v>31441</v>
      </c>
      <c r="IW482" s="236" t="s">
        <v>145</v>
      </c>
      <c r="IX482" s="236" t="s">
        <v>74</v>
      </c>
      <c r="IY482" s="236" t="s">
        <v>841</v>
      </c>
      <c r="JA482" s="236" t="s">
        <v>31442</v>
      </c>
      <c r="JB482" s="236" t="s">
        <v>145</v>
      </c>
      <c r="JC482" s="236" t="s">
        <v>74</v>
      </c>
      <c r="JD482" s="236" t="s">
        <v>841</v>
      </c>
      <c r="JF482" s="236" t="s">
        <v>31443</v>
      </c>
      <c r="JG482" s="236" t="s">
        <v>145</v>
      </c>
      <c r="JH482" s="236" t="s">
        <v>74</v>
      </c>
      <c r="JI482" s="236" t="s">
        <v>841</v>
      </c>
      <c r="JK482" s="236" t="s">
        <v>31444</v>
      </c>
      <c r="JL482" s="236" t="s">
        <v>145</v>
      </c>
      <c r="JM482" s="236" t="s">
        <v>74</v>
      </c>
      <c r="JN482" s="236" t="s">
        <v>841</v>
      </c>
      <c r="JP482" s="236" t="s">
        <v>31445</v>
      </c>
      <c r="JQ482" s="236" t="s">
        <v>145</v>
      </c>
      <c r="JR482" s="236" t="s">
        <v>74</v>
      </c>
      <c r="JS482" s="236" t="s">
        <v>841</v>
      </c>
      <c r="JU482" s="294" t="s">
        <v>31446</v>
      </c>
      <c r="JV482" s="294" t="s">
        <v>52</v>
      </c>
      <c r="JW482" s="263" t="s">
        <v>70</v>
      </c>
      <c r="JX482" s="294" t="s">
        <v>1083</v>
      </c>
      <c r="JZ482" s="263" t="s">
        <v>31447</v>
      </c>
      <c r="KA482" s="263" t="s">
        <v>145</v>
      </c>
      <c r="KB482" s="263" t="s">
        <v>70</v>
      </c>
      <c r="KC482" s="263" t="s">
        <v>1083</v>
      </c>
      <c r="KE482" s="263" t="s">
        <v>31448</v>
      </c>
      <c r="KF482" s="263" t="s">
        <v>52</v>
      </c>
      <c r="KG482" s="263" t="s">
        <v>70</v>
      </c>
      <c r="KH482" s="263" t="s">
        <v>1083</v>
      </c>
      <c r="KJ482" s="263" t="s">
        <v>31449</v>
      </c>
      <c r="KK482" s="263" t="s">
        <v>52</v>
      </c>
      <c r="KL482" s="263" t="s">
        <v>74</v>
      </c>
      <c r="KM482" s="263" t="s">
        <v>34074</v>
      </c>
      <c r="KO482" s="214" t="s">
        <v>31450</v>
      </c>
      <c r="KP482" s="214" t="s">
        <v>145</v>
      </c>
      <c r="KQ482" s="214" t="s">
        <v>70</v>
      </c>
      <c r="KR482" s="214" t="s">
        <v>67</v>
      </c>
      <c r="KT482" s="22" t="s">
        <v>31451</v>
      </c>
      <c r="KU482" s="22" t="s">
        <v>145</v>
      </c>
      <c r="KV482" s="22" t="s">
        <v>70</v>
      </c>
      <c r="KW482" s="22" t="s">
        <v>67</v>
      </c>
      <c r="KY482" s="214" t="s">
        <v>31452</v>
      </c>
      <c r="KZ482" s="214" t="s">
        <v>52</v>
      </c>
      <c r="LA482" s="214" t="s">
        <v>74</v>
      </c>
      <c r="LB482" s="214" t="s">
        <v>67</v>
      </c>
      <c r="LD482" s="22" t="s">
        <v>31453</v>
      </c>
      <c r="LE482" s="22" t="s">
        <v>145</v>
      </c>
      <c r="LF482" s="22" t="s">
        <v>70</v>
      </c>
      <c r="LG482" s="22" t="s">
        <v>67</v>
      </c>
    </row>
    <row r="483" spans="1:319">
      <c r="A483" s="22" t="s">
        <v>31454</v>
      </c>
      <c r="B483" s="22" t="s">
        <v>145</v>
      </c>
      <c r="C483" s="22" t="s">
        <v>70</v>
      </c>
      <c r="D483" s="22" t="s">
        <v>67</v>
      </c>
      <c r="F483" s="73" t="s">
        <v>31455</v>
      </c>
      <c r="G483" s="22" t="s">
        <v>145</v>
      </c>
      <c r="H483" s="22" t="s">
        <v>70</v>
      </c>
      <c r="I483" s="22" t="s">
        <v>67</v>
      </c>
      <c r="K483" s="99" t="s">
        <v>31456</v>
      </c>
      <c r="L483" s="22" t="s">
        <v>145</v>
      </c>
      <c r="M483" s="22" t="s">
        <v>70</v>
      </c>
      <c r="N483" s="22" t="s">
        <v>67</v>
      </c>
      <c r="P483" s="99" t="s">
        <v>31457</v>
      </c>
      <c r="Q483" s="22" t="s">
        <v>145</v>
      </c>
      <c r="R483" s="22" t="s">
        <v>70</v>
      </c>
      <c r="S483" s="22" t="s">
        <v>67</v>
      </c>
      <c r="U483" s="293" t="s">
        <v>31458</v>
      </c>
      <c r="V483" s="293" t="s">
        <v>145</v>
      </c>
      <c r="W483" s="293" t="s">
        <v>74</v>
      </c>
      <c r="X483" s="293" t="s">
        <v>656</v>
      </c>
      <c r="Z483" s="293" t="s">
        <v>31459</v>
      </c>
      <c r="AA483" s="293" t="s">
        <v>145</v>
      </c>
      <c r="AB483" s="293" t="s">
        <v>74</v>
      </c>
      <c r="AC483" s="293" t="s">
        <v>656</v>
      </c>
      <c r="AE483" s="293" t="s">
        <v>31460</v>
      </c>
      <c r="AF483" s="293" t="s">
        <v>145</v>
      </c>
      <c r="AG483" s="293" t="s">
        <v>74</v>
      </c>
      <c r="AH483" s="293" t="s">
        <v>656</v>
      </c>
      <c r="AJ483" s="293" t="s">
        <v>31461</v>
      </c>
      <c r="AK483" s="293" t="s">
        <v>145</v>
      </c>
      <c r="AL483" s="293" t="s">
        <v>74</v>
      </c>
      <c r="AM483" s="293" t="s">
        <v>656</v>
      </c>
      <c r="AO483" s="22" t="s">
        <v>31462</v>
      </c>
      <c r="AP483" s="22" t="s">
        <v>145</v>
      </c>
      <c r="AQ483" s="22" t="s">
        <v>70</v>
      </c>
      <c r="AR483" s="22" t="s">
        <v>67</v>
      </c>
      <c r="AT483" s="22" t="s">
        <v>31463</v>
      </c>
      <c r="AU483" s="22" t="s">
        <v>145</v>
      </c>
      <c r="AV483" s="22" t="s">
        <v>70</v>
      </c>
      <c r="AW483" s="22" t="s">
        <v>67</v>
      </c>
      <c r="AY483" s="22" t="s">
        <v>31464</v>
      </c>
      <c r="AZ483" s="22" t="s">
        <v>145</v>
      </c>
      <c r="BA483" s="22" t="s">
        <v>70</v>
      </c>
      <c r="BB483" s="22" t="s">
        <v>67</v>
      </c>
      <c r="BD483" s="22" t="s">
        <v>31465</v>
      </c>
      <c r="BE483" s="22" t="s">
        <v>145</v>
      </c>
      <c r="BF483" s="22" t="s">
        <v>70</v>
      </c>
      <c r="BG483" s="22" t="s">
        <v>67</v>
      </c>
      <c r="BI483" s="22" t="s">
        <v>31466</v>
      </c>
      <c r="BJ483" s="22" t="s">
        <v>145</v>
      </c>
      <c r="BK483" s="22" t="s">
        <v>70</v>
      </c>
      <c r="BL483" s="22" t="s">
        <v>67</v>
      </c>
      <c r="BN483" s="22" t="s">
        <v>31467</v>
      </c>
      <c r="BO483" s="22" t="s">
        <v>145</v>
      </c>
      <c r="BP483" s="22" t="s">
        <v>70</v>
      </c>
      <c r="BQ483" s="22" t="s">
        <v>67</v>
      </c>
      <c r="BS483" s="22" t="s">
        <v>31468</v>
      </c>
      <c r="BT483" s="22" t="s">
        <v>145</v>
      </c>
      <c r="BU483" s="22" t="s">
        <v>70</v>
      </c>
      <c r="BV483" s="214" t="s">
        <v>530</v>
      </c>
      <c r="BX483" s="22" t="s">
        <v>31469</v>
      </c>
      <c r="BY483" s="22" t="s">
        <v>145</v>
      </c>
      <c r="BZ483" s="22" t="s">
        <v>70</v>
      </c>
      <c r="CA483" s="214" t="s">
        <v>530</v>
      </c>
      <c r="CC483" s="214" t="s">
        <v>31470</v>
      </c>
      <c r="CD483" s="214" t="s">
        <v>468</v>
      </c>
      <c r="CE483" s="214" t="s">
        <v>70</v>
      </c>
      <c r="CF483" s="214" t="s">
        <v>530</v>
      </c>
      <c r="CH483" s="214" t="s">
        <v>31471</v>
      </c>
      <c r="CI483" s="214" t="s">
        <v>491</v>
      </c>
      <c r="CJ483" s="214" t="s">
        <v>70</v>
      </c>
      <c r="CK483" s="214" t="s">
        <v>530</v>
      </c>
      <c r="CM483" s="214" t="s">
        <v>31472</v>
      </c>
      <c r="CN483" s="214" t="s">
        <v>484</v>
      </c>
      <c r="CO483" s="214" t="s">
        <v>70</v>
      </c>
      <c r="CP483" s="214" t="s">
        <v>530</v>
      </c>
      <c r="CR483" s="214" t="s">
        <v>31473</v>
      </c>
      <c r="CS483" s="214" t="s">
        <v>34539</v>
      </c>
      <c r="CT483" s="214" t="s">
        <v>70</v>
      </c>
      <c r="CU483" s="214" t="s">
        <v>530</v>
      </c>
      <c r="CW483" s="214" t="s">
        <v>31474</v>
      </c>
      <c r="CX483" s="214" t="s">
        <v>924</v>
      </c>
      <c r="CY483" s="214" t="s">
        <v>70</v>
      </c>
      <c r="CZ483" s="214" t="s">
        <v>530</v>
      </c>
      <c r="DB483" s="214" t="s">
        <v>31475</v>
      </c>
      <c r="DC483" s="214" t="s">
        <v>950</v>
      </c>
      <c r="DD483" s="214" t="s">
        <v>70</v>
      </c>
      <c r="DE483" s="214" t="s">
        <v>530</v>
      </c>
      <c r="DG483" s="214" t="s">
        <v>31476</v>
      </c>
      <c r="DH483" s="214" t="s">
        <v>485</v>
      </c>
      <c r="DI483" s="214" t="s">
        <v>70</v>
      </c>
      <c r="DJ483" s="214" t="s">
        <v>530</v>
      </c>
      <c r="DL483" s="214" t="s">
        <v>31477</v>
      </c>
      <c r="DM483" s="214" t="s">
        <v>484</v>
      </c>
      <c r="DN483" s="214" t="s">
        <v>70</v>
      </c>
      <c r="DO483" s="214" t="s">
        <v>530</v>
      </c>
      <c r="DQ483" s="214" t="s">
        <v>31478</v>
      </c>
      <c r="DR483" s="214" t="s">
        <v>34562</v>
      </c>
      <c r="DS483" s="214" t="s">
        <v>70</v>
      </c>
      <c r="DT483" s="214" t="s">
        <v>530</v>
      </c>
      <c r="DV483" s="214" t="s">
        <v>31479</v>
      </c>
      <c r="DW483" s="214" t="s">
        <v>602</v>
      </c>
      <c r="DX483" s="214" t="s">
        <v>70</v>
      </c>
      <c r="DY483" s="214" t="s">
        <v>530</v>
      </c>
      <c r="EA483" s="214" t="s">
        <v>31480</v>
      </c>
      <c r="EB483" s="214" t="s">
        <v>919</v>
      </c>
      <c r="EC483" s="214" t="s">
        <v>70</v>
      </c>
      <c r="ED483" s="214" t="s">
        <v>530</v>
      </c>
      <c r="EF483" s="214" t="s">
        <v>31481</v>
      </c>
      <c r="EG483" s="214" t="s">
        <v>492</v>
      </c>
      <c r="EH483" s="214" t="s">
        <v>70</v>
      </c>
      <c r="EI483" s="214" t="s">
        <v>530</v>
      </c>
      <c r="EK483" s="214" t="s">
        <v>31482</v>
      </c>
      <c r="EL483" s="214" t="s">
        <v>34544</v>
      </c>
      <c r="EM483" s="214" t="s">
        <v>70</v>
      </c>
      <c r="EN483" s="214" t="s">
        <v>530</v>
      </c>
      <c r="EP483" s="214" t="s">
        <v>31483</v>
      </c>
      <c r="EQ483" s="214" t="s">
        <v>484</v>
      </c>
      <c r="ER483" s="214" t="s">
        <v>70</v>
      </c>
      <c r="ES483" s="214" t="s">
        <v>530</v>
      </c>
      <c r="EU483" s="214" t="s">
        <v>31484</v>
      </c>
      <c r="EV483" s="214" t="s">
        <v>484</v>
      </c>
      <c r="EW483" s="214" t="s">
        <v>70</v>
      </c>
      <c r="EX483" s="214" t="s">
        <v>530</v>
      </c>
      <c r="EZ483" s="214" t="s">
        <v>31485</v>
      </c>
      <c r="FA483" s="214" t="s">
        <v>1028</v>
      </c>
      <c r="FB483" s="214" t="s">
        <v>70</v>
      </c>
      <c r="FC483" s="214" t="s">
        <v>530</v>
      </c>
      <c r="FE483" s="214" t="s">
        <v>31486</v>
      </c>
      <c r="FF483" s="214" t="s">
        <v>531</v>
      </c>
      <c r="FG483" s="214" t="s">
        <v>70</v>
      </c>
      <c r="FH483" s="214" t="s">
        <v>530</v>
      </c>
      <c r="FJ483" s="321" t="s">
        <v>31487</v>
      </c>
      <c r="FK483" s="214" t="s">
        <v>34556</v>
      </c>
      <c r="FL483" s="214" t="s">
        <v>70</v>
      </c>
      <c r="FM483" s="214" t="s">
        <v>530</v>
      </c>
      <c r="FO483" s="321" t="s">
        <v>31488</v>
      </c>
      <c r="FP483" s="214" t="s">
        <v>501</v>
      </c>
      <c r="FQ483" s="214" t="s">
        <v>70</v>
      </c>
      <c r="FR483" s="214" t="s">
        <v>530</v>
      </c>
      <c r="FT483" s="321" t="s">
        <v>31489</v>
      </c>
      <c r="FU483" s="214" t="s">
        <v>34516</v>
      </c>
      <c r="FV483" s="214" t="s">
        <v>70</v>
      </c>
      <c r="FW483" s="214" t="s">
        <v>530</v>
      </c>
      <c r="FY483" s="321" t="s">
        <v>31490</v>
      </c>
      <c r="FZ483" s="214" t="s">
        <v>519</v>
      </c>
      <c r="GA483" s="214" t="s">
        <v>70</v>
      </c>
      <c r="GB483" s="214" t="s">
        <v>530</v>
      </c>
      <c r="GD483" s="321" t="s">
        <v>31491</v>
      </c>
      <c r="GE483" s="214" t="s">
        <v>955</v>
      </c>
      <c r="GF483" s="214" t="s">
        <v>70</v>
      </c>
      <c r="GG483" s="214" t="s">
        <v>530</v>
      </c>
      <c r="GI483" s="321" t="s">
        <v>31492</v>
      </c>
      <c r="GJ483" s="214" t="s">
        <v>481</v>
      </c>
      <c r="GK483" s="214" t="s">
        <v>70</v>
      </c>
      <c r="GL483" s="214" t="s">
        <v>530</v>
      </c>
      <c r="GN483" s="321" t="s">
        <v>31493</v>
      </c>
      <c r="GO483" s="214" t="s">
        <v>485</v>
      </c>
      <c r="GP483" s="214" t="s">
        <v>70</v>
      </c>
      <c r="GQ483" s="214" t="s">
        <v>530</v>
      </c>
      <c r="GS483" s="321" t="s">
        <v>31494</v>
      </c>
      <c r="GT483" s="214" t="s">
        <v>34547</v>
      </c>
      <c r="GU483" s="214" t="s">
        <v>70</v>
      </c>
      <c r="GV483" s="214" t="s">
        <v>530</v>
      </c>
      <c r="GX483" s="214" t="s">
        <v>31495</v>
      </c>
      <c r="GY483" s="214" t="s">
        <v>146</v>
      </c>
      <c r="GZ483" s="214" t="s">
        <v>70</v>
      </c>
      <c r="HA483" s="214" t="s">
        <v>530</v>
      </c>
      <c r="HC483" s="214" t="s">
        <v>31496</v>
      </c>
      <c r="HD483" s="214" t="s">
        <v>484</v>
      </c>
      <c r="HE483" s="214" t="s">
        <v>70</v>
      </c>
      <c r="HF483" s="214" t="s">
        <v>530</v>
      </c>
      <c r="HH483" s="214" t="s">
        <v>31497</v>
      </c>
      <c r="HI483" s="214" t="s">
        <v>52</v>
      </c>
      <c r="HJ483" s="214" t="s">
        <v>70</v>
      </c>
      <c r="HK483" s="214" t="s">
        <v>530</v>
      </c>
      <c r="HM483" s="214" t="s">
        <v>31498</v>
      </c>
      <c r="HN483" s="214" t="s">
        <v>34592</v>
      </c>
      <c r="HO483" s="214" t="s">
        <v>70</v>
      </c>
      <c r="HP483" s="214" t="s">
        <v>530</v>
      </c>
      <c r="HR483" s="22" t="s">
        <v>31499</v>
      </c>
      <c r="HS483" s="22" t="s">
        <v>52</v>
      </c>
      <c r="HT483" s="22" t="s">
        <v>70</v>
      </c>
      <c r="HU483" s="214" t="s">
        <v>530</v>
      </c>
      <c r="HW483" s="22" t="s">
        <v>31500</v>
      </c>
      <c r="HX483" s="22" t="s">
        <v>52</v>
      </c>
      <c r="HY483" s="22" t="s">
        <v>70</v>
      </c>
      <c r="HZ483" s="214" t="s">
        <v>530</v>
      </c>
      <c r="IB483" s="22" t="s">
        <v>31501</v>
      </c>
      <c r="IC483" s="22" t="s">
        <v>34542</v>
      </c>
      <c r="ID483" s="22" t="s">
        <v>70</v>
      </c>
      <c r="IE483" s="214" t="s">
        <v>530</v>
      </c>
      <c r="IG483" s="22" t="s">
        <v>31502</v>
      </c>
      <c r="IH483" s="22" t="s">
        <v>52</v>
      </c>
      <c r="II483" s="22" t="s">
        <v>70</v>
      </c>
      <c r="IJ483" s="214" t="s">
        <v>530</v>
      </c>
      <c r="IL483" s="22" t="s">
        <v>31503</v>
      </c>
      <c r="IM483" s="22" t="s">
        <v>145</v>
      </c>
      <c r="IN483" s="22" t="s">
        <v>70</v>
      </c>
      <c r="IO483" s="214" t="s">
        <v>530</v>
      </c>
      <c r="IQ483" s="236" t="s">
        <v>31504</v>
      </c>
      <c r="IR483" s="236" t="s">
        <v>145</v>
      </c>
      <c r="IS483" s="236" t="s">
        <v>74</v>
      </c>
      <c r="IT483" s="236" t="s">
        <v>841</v>
      </c>
      <c r="IV483" s="236" t="s">
        <v>31505</v>
      </c>
      <c r="IW483" s="236" t="s">
        <v>145</v>
      </c>
      <c r="IX483" s="236" t="s">
        <v>74</v>
      </c>
      <c r="IY483" s="236" t="s">
        <v>841</v>
      </c>
      <c r="JA483" s="236" t="s">
        <v>31506</v>
      </c>
      <c r="JB483" s="236" t="s">
        <v>145</v>
      </c>
      <c r="JC483" s="236" t="s">
        <v>74</v>
      </c>
      <c r="JD483" s="236" t="s">
        <v>841</v>
      </c>
      <c r="JF483" s="236" t="s">
        <v>31507</v>
      </c>
      <c r="JG483" s="236" t="s">
        <v>145</v>
      </c>
      <c r="JH483" s="236" t="s">
        <v>74</v>
      </c>
      <c r="JI483" s="236" t="s">
        <v>841</v>
      </c>
      <c r="JK483" s="236" t="s">
        <v>31508</v>
      </c>
      <c r="JL483" s="236" t="s">
        <v>145</v>
      </c>
      <c r="JM483" s="236" t="s">
        <v>74</v>
      </c>
      <c r="JN483" s="236" t="s">
        <v>841</v>
      </c>
      <c r="JP483" s="236" t="s">
        <v>31509</v>
      </c>
      <c r="JQ483" s="236" t="s">
        <v>145</v>
      </c>
      <c r="JR483" s="236" t="s">
        <v>74</v>
      </c>
      <c r="JS483" s="236" t="s">
        <v>841</v>
      </c>
      <c r="JU483" s="294" t="s">
        <v>31510</v>
      </c>
      <c r="JV483" s="294" t="s">
        <v>52</v>
      </c>
      <c r="JW483" s="263" t="s">
        <v>70</v>
      </c>
      <c r="JX483" s="294" t="s">
        <v>1083</v>
      </c>
      <c r="JZ483" s="263" t="s">
        <v>31511</v>
      </c>
      <c r="KA483" s="263" t="s">
        <v>145</v>
      </c>
      <c r="KB483" s="263" t="s">
        <v>70</v>
      </c>
      <c r="KC483" s="263" t="s">
        <v>1083</v>
      </c>
      <c r="KE483" s="263" t="s">
        <v>31512</v>
      </c>
      <c r="KF483" s="263" t="s">
        <v>52</v>
      </c>
      <c r="KG483" s="263" t="s">
        <v>70</v>
      </c>
      <c r="KH483" s="263" t="s">
        <v>1083</v>
      </c>
      <c r="KJ483" s="263" t="s">
        <v>31513</v>
      </c>
      <c r="KK483" s="263" t="s">
        <v>52</v>
      </c>
      <c r="KL483" s="263" t="s">
        <v>74</v>
      </c>
      <c r="KM483" s="263" t="s">
        <v>34074</v>
      </c>
      <c r="KO483" s="214" t="s">
        <v>31514</v>
      </c>
      <c r="KP483" s="214" t="s">
        <v>145</v>
      </c>
      <c r="KQ483" s="214" t="s">
        <v>70</v>
      </c>
      <c r="KR483" s="214" t="s">
        <v>67</v>
      </c>
      <c r="KT483" s="22" t="s">
        <v>31515</v>
      </c>
      <c r="KU483" s="22" t="s">
        <v>145</v>
      </c>
      <c r="KV483" s="22" t="s">
        <v>70</v>
      </c>
      <c r="KW483" s="22" t="s">
        <v>67</v>
      </c>
      <c r="KY483" s="214" t="s">
        <v>31516</v>
      </c>
      <c r="KZ483" s="214" t="s">
        <v>52</v>
      </c>
      <c r="LA483" s="214" t="s">
        <v>74</v>
      </c>
      <c r="LB483" s="214" t="s">
        <v>67</v>
      </c>
      <c r="LD483" s="22" t="s">
        <v>31517</v>
      </c>
      <c r="LE483" s="22" t="s">
        <v>145</v>
      </c>
      <c r="LF483" s="22" t="s">
        <v>70</v>
      </c>
      <c r="LG483" s="22" t="s">
        <v>67</v>
      </c>
    </row>
    <row r="484" spans="1:319">
      <c r="A484" s="22" t="s">
        <v>31518</v>
      </c>
      <c r="B484" s="22" t="s">
        <v>145</v>
      </c>
      <c r="C484" s="22" t="s">
        <v>70</v>
      </c>
      <c r="D484" s="22" t="s">
        <v>67</v>
      </c>
      <c r="F484" s="73" t="s">
        <v>31519</v>
      </c>
      <c r="G484" s="22" t="s">
        <v>145</v>
      </c>
      <c r="H484" s="22" t="s">
        <v>70</v>
      </c>
      <c r="I484" s="22" t="s">
        <v>67</v>
      </c>
      <c r="K484" s="99" t="s">
        <v>31520</v>
      </c>
      <c r="L484" s="22" t="s">
        <v>145</v>
      </c>
      <c r="M484" s="22" t="s">
        <v>70</v>
      </c>
      <c r="N484" s="22" t="s">
        <v>67</v>
      </c>
      <c r="P484" s="99" t="s">
        <v>31521</v>
      </c>
      <c r="Q484" s="22" t="s">
        <v>145</v>
      </c>
      <c r="R484" s="22" t="s">
        <v>70</v>
      </c>
      <c r="S484" s="22" t="s">
        <v>67</v>
      </c>
      <c r="U484" s="293" t="s">
        <v>31522</v>
      </c>
      <c r="V484" s="293" t="s">
        <v>145</v>
      </c>
      <c r="W484" s="293" t="s">
        <v>74</v>
      </c>
      <c r="X484" s="293" t="s">
        <v>656</v>
      </c>
      <c r="Z484" s="293" t="s">
        <v>31523</v>
      </c>
      <c r="AA484" s="293" t="s">
        <v>145</v>
      </c>
      <c r="AB484" s="293" t="s">
        <v>74</v>
      </c>
      <c r="AC484" s="293" t="s">
        <v>656</v>
      </c>
      <c r="AE484" s="293" t="s">
        <v>31524</v>
      </c>
      <c r="AF484" s="293" t="s">
        <v>145</v>
      </c>
      <c r="AG484" s="293" t="s">
        <v>74</v>
      </c>
      <c r="AH484" s="293" t="s">
        <v>656</v>
      </c>
      <c r="AJ484" s="293" t="s">
        <v>31525</v>
      </c>
      <c r="AK484" s="293" t="s">
        <v>145</v>
      </c>
      <c r="AL484" s="293" t="s">
        <v>74</v>
      </c>
      <c r="AM484" s="293" t="s">
        <v>656</v>
      </c>
      <c r="AO484" s="22" t="s">
        <v>31526</v>
      </c>
      <c r="AP484" s="22" t="s">
        <v>145</v>
      </c>
      <c r="AQ484" s="22" t="s">
        <v>70</v>
      </c>
      <c r="AR484" s="22" t="s">
        <v>67</v>
      </c>
      <c r="AT484" s="22" t="s">
        <v>31527</v>
      </c>
      <c r="AU484" s="22" t="s">
        <v>145</v>
      </c>
      <c r="AV484" s="22" t="s">
        <v>70</v>
      </c>
      <c r="AW484" s="22" t="s">
        <v>67</v>
      </c>
      <c r="AY484" s="22" t="s">
        <v>31528</v>
      </c>
      <c r="AZ484" s="22" t="s">
        <v>145</v>
      </c>
      <c r="BA484" s="22" t="s">
        <v>70</v>
      </c>
      <c r="BB484" s="22" t="s">
        <v>67</v>
      </c>
      <c r="BD484" s="22" t="s">
        <v>31529</v>
      </c>
      <c r="BE484" s="22" t="s">
        <v>145</v>
      </c>
      <c r="BF484" s="22" t="s">
        <v>70</v>
      </c>
      <c r="BG484" s="22" t="s">
        <v>67</v>
      </c>
      <c r="BI484" s="22" t="s">
        <v>31530</v>
      </c>
      <c r="BJ484" s="22" t="s">
        <v>145</v>
      </c>
      <c r="BK484" s="22" t="s">
        <v>70</v>
      </c>
      <c r="BL484" s="22" t="s">
        <v>67</v>
      </c>
      <c r="BN484" s="22" t="s">
        <v>31531</v>
      </c>
      <c r="BO484" s="22" t="s">
        <v>145</v>
      </c>
      <c r="BP484" s="22" t="s">
        <v>70</v>
      </c>
      <c r="BQ484" s="22" t="s">
        <v>67</v>
      </c>
      <c r="BS484" s="22" t="s">
        <v>31532</v>
      </c>
      <c r="BT484" s="22" t="s">
        <v>145</v>
      </c>
      <c r="BU484" s="22" t="s">
        <v>70</v>
      </c>
      <c r="BV484" s="214" t="s">
        <v>530</v>
      </c>
      <c r="BX484" s="22" t="s">
        <v>31533</v>
      </c>
      <c r="BY484" s="22" t="s">
        <v>145</v>
      </c>
      <c r="BZ484" s="22" t="s">
        <v>70</v>
      </c>
      <c r="CA484" s="214" t="s">
        <v>530</v>
      </c>
      <c r="CC484" s="214" t="s">
        <v>31534</v>
      </c>
      <c r="CD484" s="214" t="s">
        <v>286</v>
      </c>
      <c r="CE484" s="214" t="s">
        <v>70</v>
      </c>
      <c r="CF484" s="214" t="s">
        <v>530</v>
      </c>
      <c r="CH484" s="214" t="s">
        <v>31535</v>
      </c>
      <c r="CI484" s="214" t="s">
        <v>148</v>
      </c>
      <c r="CJ484" s="214" t="s">
        <v>70</v>
      </c>
      <c r="CK484" s="214" t="s">
        <v>530</v>
      </c>
      <c r="CM484" s="214" t="s">
        <v>31536</v>
      </c>
      <c r="CN484" s="214" t="s">
        <v>485</v>
      </c>
      <c r="CO484" s="214" t="s">
        <v>70</v>
      </c>
      <c r="CP484" s="214" t="s">
        <v>530</v>
      </c>
      <c r="CR484" s="214" t="s">
        <v>31537</v>
      </c>
      <c r="CS484" s="214" t="s">
        <v>950</v>
      </c>
      <c r="CT484" s="214" t="s">
        <v>70</v>
      </c>
      <c r="CU484" s="214" t="s">
        <v>530</v>
      </c>
      <c r="CW484" s="214" t="s">
        <v>31538</v>
      </c>
      <c r="CX484" s="214" t="s">
        <v>10541</v>
      </c>
      <c r="CY484" s="214" t="s">
        <v>70</v>
      </c>
      <c r="CZ484" s="214" t="s">
        <v>530</v>
      </c>
      <c r="DB484" s="214" t="s">
        <v>31539</v>
      </c>
      <c r="DC484" s="214" t="s">
        <v>529</v>
      </c>
      <c r="DD484" s="214" t="s">
        <v>70</v>
      </c>
      <c r="DE484" s="214" t="s">
        <v>530</v>
      </c>
      <c r="DG484" s="214" t="s">
        <v>31540</v>
      </c>
      <c r="DH484" s="214" t="s">
        <v>529</v>
      </c>
      <c r="DI484" s="214" t="s">
        <v>70</v>
      </c>
      <c r="DJ484" s="214" t="s">
        <v>530</v>
      </c>
      <c r="DL484" s="214" t="s">
        <v>31541</v>
      </c>
      <c r="DM484" s="214" t="s">
        <v>10541</v>
      </c>
      <c r="DN484" s="214" t="s">
        <v>70</v>
      </c>
      <c r="DO484" s="214" t="s">
        <v>530</v>
      </c>
      <c r="DQ484" s="214" t="s">
        <v>31542</v>
      </c>
      <c r="DR484" s="214" t="s">
        <v>85</v>
      </c>
      <c r="DS484" s="214" t="s">
        <v>70</v>
      </c>
      <c r="DT484" s="214" t="s">
        <v>530</v>
      </c>
      <c r="DV484" s="214" t="s">
        <v>31543</v>
      </c>
      <c r="DW484" s="214" t="s">
        <v>492</v>
      </c>
      <c r="DX484" s="214" t="s">
        <v>70</v>
      </c>
      <c r="DY484" s="214" t="s">
        <v>530</v>
      </c>
      <c r="EA484" s="214" t="s">
        <v>31544</v>
      </c>
      <c r="EB484" s="214" t="s">
        <v>926</v>
      </c>
      <c r="EC484" s="214" t="s">
        <v>70</v>
      </c>
      <c r="ED484" s="214" t="s">
        <v>530</v>
      </c>
      <c r="EF484" s="214" t="s">
        <v>31545</v>
      </c>
      <c r="EG484" s="214" t="s">
        <v>529</v>
      </c>
      <c r="EH484" s="214" t="s">
        <v>70</v>
      </c>
      <c r="EI484" s="214" t="s">
        <v>530</v>
      </c>
      <c r="EK484" s="214" t="s">
        <v>31546</v>
      </c>
      <c r="EL484" s="214" t="s">
        <v>86</v>
      </c>
      <c r="EM484" s="214" t="s">
        <v>70</v>
      </c>
      <c r="EN484" s="214" t="s">
        <v>530</v>
      </c>
      <c r="EP484" s="214" t="s">
        <v>31547</v>
      </c>
      <c r="EQ484" s="214" t="s">
        <v>90</v>
      </c>
      <c r="ER484" s="214" t="s">
        <v>70</v>
      </c>
      <c r="ES484" s="214" t="s">
        <v>530</v>
      </c>
      <c r="EU484" s="214" t="s">
        <v>31548</v>
      </c>
      <c r="EV484" s="214" t="s">
        <v>955</v>
      </c>
      <c r="EW484" s="214" t="s">
        <v>70</v>
      </c>
      <c r="EX484" s="214" t="s">
        <v>530</v>
      </c>
      <c r="EZ484" s="214" t="s">
        <v>31549</v>
      </c>
      <c r="FA484" s="214" t="s">
        <v>529</v>
      </c>
      <c r="FB484" s="214" t="s">
        <v>70</v>
      </c>
      <c r="FC484" s="214" t="s">
        <v>530</v>
      </c>
      <c r="FE484" s="214" t="s">
        <v>31550</v>
      </c>
      <c r="FF484" s="214" t="s">
        <v>916</v>
      </c>
      <c r="FG484" s="214" t="s">
        <v>70</v>
      </c>
      <c r="FH484" s="214" t="s">
        <v>530</v>
      </c>
      <c r="FJ484" s="321" t="s">
        <v>31551</v>
      </c>
      <c r="FK484" s="214" t="s">
        <v>34538</v>
      </c>
      <c r="FL484" s="214" t="s">
        <v>70</v>
      </c>
      <c r="FM484" s="214" t="s">
        <v>530</v>
      </c>
      <c r="FO484" s="321" t="s">
        <v>31552</v>
      </c>
      <c r="FP484" s="214" t="s">
        <v>529</v>
      </c>
      <c r="FQ484" s="214" t="s">
        <v>70</v>
      </c>
      <c r="FR484" s="214" t="s">
        <v>530</v>
      </c>
      <c r="FT484" s="321" t="s">
        <v>31553</v>
      </c>
      <c r="FU484" s="214" t="s">
        <v>529</v>
      </c>
      <c r="FV484" s="214" t="s">
        <v>70</v>
      </c>
      <c r="FW484" s="214" t="s">
        <v>530</v>
      </c>
      <c r="FY484" s="321" t="s">
        <v>31554</v>
      </c>
      <c r="FZ484" s="214" t="s">
        <v>103</v>
      </c>
      <c r="GA484" s="214" t="s">
        <v>70</v>
      </c>
      <c r="GB484" s="214" t="s">
        <v>530</v>
      </c>
      <c r="GD484" s="321" t="s">
        <v>31555</v>
      </c>
      <c r="GE484" s="214" t="s">
        <v>145</v>
      </c>
      <c r="GF484" s="214" t="s">
        <v>70</v>
      </c>
      <c r="GG484" s="214" t="s">
        <v>530</v>
      </c>
      <c r="GI484" s="321" t="s">
        <v>31556</v>
      </c>
      <c r="GJ484" s="214" t="s">
        <v>34599</v>
      </c>
      <c r="GK484" s="214" t="s">
        <v>70</v>
      </c>
      <c r="GL484" s="214" t="s">
        <v>530</v>
      </c>
      <c r="GN484" s="321" t="s">
        <v>31557</v>
      </c>
      <c r="GO484" s="214" t="s">
        <v>52</v>
      </c>
      <c r="GP484" s="214" t="s">
        <v>70</v>
      </c>
      <c r="GQ484" s="214" t="s">
        <v>530</v>
      </c>
      <c r="GS484" s="321" t="s">
        <v>31558</v>
      </c>
      <c r="GT484" s="214" t="s">
        <v>52</v>
      </c>
      <c r="GU484" s="214" t="s">
        <v>70</v>
      </c>
      <c r="GV484" s="214" t="s">
        <v>530</v>
      </c>
      <c r="GX484" s="214" t="s">
        <v>31559</v>
      </c>
      <c r="GY484" s="214" t="s">
        <v>52</v>
      </c>
      <c r="GZ484" s="214" t="s">
        <v>70</v>
      </c>
      <c r="HA484" s="214" t="s">
        <v>530</v>
      </c>
      <c r="HC484" s="214" t="s">
        <v>31560</v>
      </c>
      <c r="HD484" s="214" t="s">
        <v>148</v>
      </c>
      <c r="HE484" s="214" t="s">
        <v>70</v>
      </c>
      <c r="HF484" s="214" t="s">
        <v>530</v>
      </c>
      <c r="HH484" s="214" t="s">
        <v>31561</v>
      </c>
      <c r="HI484" s="214" t="s">
        <v>468</v>
      </c>
      <c r="HJ484" s="214" t="s">
        <v>70</v>
      </c>
      <c r="HK484" s="214" t="s">
        <v>530</v>
      </c>
      <c r="HM484" s="214" t="s">
        <v>31562</v>
      </c>
      <c r="HN484" s="214" t="s">
        <v>34607</v>
      </c>
      <c r="HO484" s="214" t="s">
        <v>70</v>
      </c>
      <c r="HP484" s="214" t="s">
        <v>530</v>
      </c>
      <c r="HR484" s="22" t="s">
        <v>31563</v>
      </c>
      <c r="HS484" s="22" t="s">
        <v>34539</v>
      </c>
      <c r="HT484" s="22" t="s">
        <v>70</v>
      </c>
      <c r="HU484" s="214" t="s">
        <v>530</v>
      </c>
      <c r="HW484" s="22" t="s">
        <v>31564</v>
      </c>
      <c r="HX484" s="22" t="s">
        <v>52</v>
      </c>
      <c r="HY484" s="22" t="s">
        <v>70</v>
      </c>
      <c r="HZ484" s="214" t="s">
        <v>530</v>
      </c>
      <c r="IB484" s="22" t="s">
        <v>31565</v>
      </c>
      <c r="IC484" s="22" t="s">
        <v>468</v>
      </c>
      <c r="ID484" s="22" t="s">
        <v>70</v>
      </c>
      <c r="IE484" s="214" t="s">
        <v>530</v>
      </c>
      <c r="IG484" s="22" t="s">
        <v>31566</v>
      </c>
      <c r="IH484" s="22" t="s">
        <v>52</v>
      </c>
      <c r="II484" s="22" t="s">
        <v>70</v>
      </c>
      <c r="IJ484" s="214" t="s">
        <v>530</v>
      </c>
      <c r="IL484" s="22" t="s">
        <v>31567</v>
      </c>
      <c r="IM484" s="22" t="s">
        <v>145</v>
      </c>
      <c r="IN484" s="22" t="s">
        <v>70</v>
      </c>
      <c r="IO484" s="214" t="s">
        <v>530</v>
      </c>
      <c r="IQ484" s="236" t="s">
        <v>31568</v>
      </c>
      <c r="IR484" s="236" t="s">
        <v>145</v>
      </c>
      <c r="IS484" s="236" t="s">
        <v>74</v>
      </c>
      <c r="IT484" s="236" t="s">
        <v>841</v>
      </c>
      <c r="IV484" s="236" t="s">
        <v>31569</v>
      </c>
      <c r="IW484" s="236" t="s">
        <v>145</v>
      </c>
      <c r="IX484" s="236" t="s">
        <v>74</v>
      </c>
      <c r="IY484" s="236" t="s">
        <v>841</v>
      </c>
      <c r="JA484" s="236" t="s">
        <v>31570</v>
      </c>
      <c r="JB484" s="236" t="s">
        <v>145</v>
      </c>
      <c r="JC484" s="236" t="s">
        <v>74</v>
      </c>
      <c r="JD484" s="236" t="s">
        <v>841</v>
      </c>
      <c r="JF484" s="236" t="s">
        <v>31571</v>
      </c>
      <c r="JG484" s="236" t="s">
        <v>145</v>
      </c>
      <c r="JH484" s="236" t="s">
        <v>74</v>
      </c>
      <c r="JI484" s="236" t="s">
        <v>841</v>
      </c>
      <c r="JK484" s="236" t="s">
        <v>31572</v>
      </c>
      <c r="JL484" s="236" t="s">
        <v>145</v>
      </c>
      <c r="JM484" s="236" t="s">
        <v>74</v>
      </c>
      <c r="JN484" s="236" t="s">
        <v>841</v>
      </c>
      <c r="JP484" s="236" t="s">
        <v>31573</v>
      </c>
      <c r="JQ484" s="236" t="s">
        <v>145</v>
      </c>
      <c r="JR484" s="236" t="s">
        <v>74</v>
      </c>
      <c r="JS484" s="236" t="s">
        <v>841</v>
      </c>
      <c r="JU484" s="294" t="s">
        <v>31574</v>
      </c>
      <c r="JV484" s="294" t="s">
        <v>52</v>
      </c>
      <c r="JW484" s="263" t="s">
        <v>70</v>
      </c>
      <c r="JX484" s="294" t="s">
        <v>1083</v>
      </c>
      <c r="JZ484" s="263" t="s">
        <v>31575</v>
      </c>
      <c r="KA484" s="263" t="s">
        <v>145</v>
      </c>
      <c r="KB484" s="263" t="s">
        <v>70</v>
      </c>
      <c r="KC484" s="263" t="s">
        <v>1083</v>
      </c>
      <c r="KE484" s="263" t="s">
        <v>31576</v>
      </c>
      <c r="KF484" s="263" t="s">
        <v>52</v>
      </c>
      <c r="KG484" s="263" t="s">
        <v>70</v>
      </c>
      <c r="KH484" s="263" t="s">
        <v>1083</v>
      </c>
      <c r="KJ484" s="263" t="s">
        <v>31577</v>
      </c>
      <c r="KK484" s="263" t="s">
        <v>52</v>
      </c>
      <c r="KL484" s="263" t="s">
        <v>74</v>
      </c>
      <c r="KM484" s="263" t="s">
        <v>34074</v>
      </c>
      <c r="KO484" s="214" t="s">
        <v>31578</v>
      </c>
      <c r="KP484" s="214" t="s">
        <v>145</v>
      </c>
      <c r="KQ484" s="214" t="s">
        <v>70</v>
      </c>
      <c r="KR484" s="214" t="s">
        <v>67</v>
      </c>
      <c r="KT484" s="22" t="s">
        <v>31579</v>
      </c>
      <c r="KU484" s="22" t="s">
        <v>145</v>
      </c>
      <c r="KV484" s="22" t="s">
        <v>70</v>
      </c>
      <c r="KW484" s="22" t="s">
        <v>67</v>
      </c>
      <c r="KY484" s="214" t="s">
        <v>31580</v>
      </c>
      <c r="KZ484" s="214" t="s">
        <v>52</v>
      </c>
      <c r="LA484" s="214" t="s">
        <v>74</v>
      </c>
      <c r="LB484" s="214" t="s">
        <v>67</v>
      </c>
      <c r="LD484" s="22" t="s">
        <v>31581</v>
      </c>
      <c r="LE484" s="22" t="s">
        <v>145</v>
      </c>
      <c r="LF484" s="22" t="s">
        <v>70</v>
      </c>
      <c r="LG484" s="22" t="s">
        <v>67</v>
      </c>
    </row>
    <row r="485" spans="1:319">
      <c r="A485" s="22" t="s">
        <v>31582</v>
      </c>
      <c r="B485" s="22" t="s">
        <v>145</v>
      </c>
      <c r="C485" s="22" t="s">
        <v>70</v>
      </c>
      <c r="D485" s="22" t="s">
        <v>67</v>
      </c>
      <c r="F485" s="73" t="s">
        <v>31583</v>
      </c>
      <c r="G485" s="22" t="s">
        <v>145</v>
      </c>
      <c r="H485" s="22" t="s">
        <v>70</v>
      </c>
      <c r="I485" s="22" t="s">
        <v>67</v>
      </c>
      <c r="K485" s="99" t="s">
        <v>31584</v>
      </c>
      <c r="L485" s="22" t="s">
        <v>145</v>
      </c>
      <c r="M485" s="22" t="s">
        <v>70</v>
      </c>
      <c r="N485" s="22" t="s">
        <v>67</v>
      </c>
      <c r="P485" s="99" t="s">
        <v>31585</v>
      </c>
      <c r="Q485" s="22" t="s">
        <v>145</v>
      </c>
      <c r="R485" s="22" t="s">
        <v>70</v>
      </c>
      <c r="S485" s="22" t="s">
        <v>67</v>
      </c>
      <c r="U485" s="293" t="s">
        <v>31586</v>
      </c>
      <c r="V485" s="293" t="s">
        <v>145</v>
      </c>
      <c r="W485" s="293" t="s">
        <v>74</v>
      </c>
      <c r="X485" s="293" t="s">
        <v>656</v>
      </c>
      <c r="Z485" s="293" t="s">
        <v>31587</v>
      </c>
      <c r="AA485" s="293" t="s">
        <v>145</v>
      </c>
      <c r="AB485" s="293" t="s">
        <v>74</v>
      </c>
      <c r="AC485" s="293" t="s">
        <v>656</v>
      </c>
      <c r="AE485" s="293" t="s">
        <v>31588</v>
      </c>
      <c r="AF485" s="293" t="s">
        <v>145</v>
      </c>
      <c r="AG485" s="293" t="s">
        <v>74</v>
      </c>
      <c r="AH485" s="293" t="s">
        <v>656</v>
      </c>
      <c r="AJ485" s="293" t="s">
        <v>31589</v>
      </c>
      <c r="AK485" s="293" t="s">
        <v>145</v>
      </c>
      <c r="AL485" s="293" t="s">
        <v>74</v>
      </c>
      <c r="AM485" s="293" t="s">
        <v>656</v>
      </c>
      <c r="AO485" s="22" t="s">
        <v>31590</v>
      </c>
      <c r="AP485" s="22" t="s">
        <v>145</v>
      </c>
      <c r="AQ485" s="22" t="s">
        <v>70</v>
      </c>
      <c r="AR485" s="22" t="s">
        <v>67</v>
      </c>
      <c r="AT485" s="22" t="s">
        <v>31591</v>
      </c>
      <c r="AU485" s="22" t="s">
        <v>145</v>
      </c>
      <c r="AV485" s="22" t="s">
        <v>70</v>
      </c>
      <c r="AW485" s="22" t="s">
        <v>67</v>
      </c>
      <c r="AY485" s="22" t="s">
        <v>31592</v>
      </c>
      <c r="AZ485" s="22" t="s">
        <v>145</v>
      </c>
      <c r="BA485" s="22" t="s">
        <v>70</v>
      </c>
      <c r="BB485" s="22" t="s">
        <v>67</v>
      </c>
      <c r="BD485" s="22" t="s">
        <v>31593</v>
      </c>
      <c r="BE485" s="22" t="s">
        <v>145</v>
      </c>
      <c r="BF485" s="22" t="s">
        <v>70</v>
      </c>
      <c r="BG485" s="22" t="s">
        <v>67</v>
      </c>
      <c r="BI485" s="22" t="s">
        <v>31594</v>
      </c>
      <c r="BJ485" s="22" t="s">
        <v>145</v>
      </c>
      <c r="BK485" s="22" t="s">
        <v>70</v>
      </c>
      <c r="BL485" s="22" t="s">
        <v>67</v>
      </c>
      <c r="BN485" s="22" t="s">
        <v>31595</v>
      </c>
      <c r="BO485" s="22" t="s">
        <v>145</v>
      </c>
      <c r="BP485" s="22" t="s">
        <v>70</v>
      </c>
      <c r="BQ485" s="22" t="s">
        <v>67</v>
      </c>
      <c r="BS485" s="22" t="s">
        <v>31596</v>
      </c>
      <c r="BT485" s="22" t="s">
        <v>145</v>
      </c>
      <c r="BU485" s="22" t="s">
        <v>70</v>
      </c>
      <c r="BV485" s="214" t="s">
        <v>530</v>
      </c>
      <c r="BX485" s="22" t="s">
        <v>31597</v>
      </c>
      <c r="BY485" s="22" t="s">
        <v>145</v>
      </c>
      <c r="BZ485" s="22" t="s">
        <v>70</v>
      </c>
      <c r="CA485" s="214" t="s">
        <v>530</v>
      </c>
      <c r="CC485" s="214" t="s">
        <v>31598</v>
      </c>
      <c r="CD485" s="214" t="s">
        <v>950</v>
      </c>
      <c r="CE485" s="214" t="s">
        <v>70</v>
      </c>
      <c r="CF485" s="214" t="s">
        <v>530</v>
      </c>
      <c r="CH485" s="214" t="s">
        <v>31599</v>
      </c>
      <c r="CI485" s="214" t="s">
        <v>950</v>
      </c>
      <c r="CJ485" s="214" t="s">
        <v>70</v>
      </c>
      <c r="CK485" s="214" t="s">
        <v>530</v>
      </c>
      <c r="CM485" s="214" t="s">
        <v>31600</v>
      </c>
      <c r="CN485" s="214" t="s">
        <v>146</v>
      </c>
      <c r="CO485" s="214" t="s">
        <v>70</v>
      </c>
      <c r="CP485" s="214" t="s">
        <v>530</v>
      </c>
      <c r="CR485" s="214" t="s">
        <v>31601</v>
      </c>
      <c r="CS485" s="214" t="s">
        <v>599</v>
      </c>
      <c r="CT485" s="214" t="s">
        <v>70</v>
      </c>
      <c r="CU485" s="214" t="s">
        <v>530</v>
      </c>
      <c r="CW485" s="214" t="s">
        <v>31602</v>
      </c>
      <c r="CX485" s="214" t="s">
        <v>52</v>
      </c>
      <c r="CY485" s="214" t="s">
        <v>70</v>
      </c>
      <c r="CZ485" s="214" t="s">
        <v>530</v>
      </c>
      <c r="DB485" s="214" t="s">
        <v>31603</v>
      </c>
      <c r="DC485" s="214" t="s">
        <v>531</v>
      </c>
      <c r="DD485" s="214" t="s">
        <v>70</v>
      </c>
      <c r="DE485" s="214" t="s">
        <v>530</v>
      </c>
      <c r="DG485" s="214" t="s">
        <v>31604</v>
      </c>
      <c r="DH485" s="214" t="s">
        <v>34542</v>
      </c>
      <c r="DI485" s="214" t="s">
        <v>70</v>
      </c>
      <c r="DJ485" s="214" t="s">
        <v>530</v>
      </c>
      <c r="DL485" s="214" t="s">
        <v>31605</v>
      </c>
      <c r="DM485" s="214" t="s">
        <v>950</v>
      </c>
      <c r="DN485" s="214" t="s">
        <v>70</v>
      </c>
      <c r="DO485" s="214" t="s">
        <v>530</v>
      </c>
      <c r="DQ485" s="214" t="s">
        <v>31606</v>
      </c>
      <c r="DR485" s="214" t="s">
        <v>531</v>
      </c>
      <c r="DS485" s="214" t="s">
        <v>70</v>
      </c>
      <c r="DT485" s="214" t="s">
        <v>530</v>
      </c>
      <c r="DV485" s="214" t="s">
        <v>31607</v>
      </c>
      <c r="DW485" s="214" t="s">
        <v>34539</v>
      </c>
      <c r="DX485" s="214" t="s">
        <v>70</v>
      </c>
      <c r="DY485" s="214" t="s">
        <v>530</v>
      </c>
      <c r="EA485" s="214" t="s">
        <v>31608</v>
      </c>
      <c r="EB485" s="214" t="s">
        <v>484</v>
      </c>
      <c r="EC485" s="214" t="s">
        <v>70</v>
      </c>
      <c r="ED485" s="214" t="s">
        <v>530</v>
      </c>
      <c r="EF485" s="214" t="s">
        <v>31609</v>
      </c>
      <c r="EG485" s="214" t="s">
        <v>484</v>
      </c>
      <c r="EH485" s="214" t="s">
        <v>70</v>
      </c>
      <c r="EI485" s="214" t="s">
        <v>530</v>
      </c>
      <c r="EK485" s="214" t="s">
        <v>31610</v>
      </c>
      <c r="EL485" s="214" t="s">
        <v>93</v>
      </c>
      <c r="EM485" s="214" t="s">
        <v>70</v>
      </c>
      <c r="EN485" s="214" t="s">
        <v>530</v>
      </c>
      <c r="EP485" s="214" t="s">
        <v>31611</v>
      </c>
      <c r="EQ485" s="214" t="s">
        <v>34516</v>
      </c>
      <c r="ER485" s="214" t="s">
        <v>70</v>
      </c>
      <c r="ES485" s="214" t="s">
        <v>530</v>
      </c>
      <c r="EU485" s="214" t="s">
        <v>31612</v>
      </c>
      <c r="EV485" s="214" t="s">
        <v>487</v>
      </c>
      <c r="EW485" s="214" t="s">
        <v>70</v>
      </c>
      <c r="EX485" s="214" t="s">
        <v>530</v>
      </c>
      <c r="EZ485" s="214" t="s">
        <v>31613</v>
      </c>
      <c r="FA485" s="214" t="s">
        <v>34544</v>
      </c>
      <c r="FB485" s="214" t="s">
        <v>70</v>
      </c>
      <c r="FC485" s="214" t="s">
        <v>530</v>
      </c>
      <c r="FE485" s="214" t="s">
        <v>31614</v>
      </c>
      <c r="FF485" s="214" t="s">
        <v>486</v>
      </c>
      <c r="FG485" s="214" t="s">
        <v>70</v>
      </c>
      <c r="FH485" s="214" t="s">
        <v>530</v>
      </c>
      <c r="FJ485" s="321" t="s">
        <v>31615</v>
      </c>
      <c r="FK485" s="214" t="s">
        <v>496</v>
      </c>
      <c r="FL485" s="214" t="s">
        <v>70</v>
      </c>
      <c r="FM485" s="214" t="s">
        <v>530</v>
      </c>
      <c r="FO485" s="321" t="s">
        <v>31616</v>
      </c>
      <c r="FP485" s="214" t="s">
        <v>34542</v>
      </c>
      <c r="FQ485" s="214" t="s">
        <v>70</v>
      </c>
      <c r="FR485" s="214" t="s">
        <v>530</v>
      </c>
      <c r="FT485" s="321" t="s">
        <v>31617</v>
      </c>
      <c r="FU485" s="214" t="s">
        <v>492</v>
      </c>
      <c r="FV485" s="214" t="s">
        <v>70</v>
      </c>
      <c r="FW485" s="214" t="s">
        <v>530</v>
      </c>
      <c r="FY485" s="321" t="s">
        <v>31618</v>
      </c>
      <c r="FZ485" s="214" t="s">
        <v>955</v>
      </c>
      <c r="GA485" s="214" t="s">
        <v>70</v>
      </c>
      <c r="GB485" s="214" t="s">
        <v>530</v>
      </c>
      <c r="GD485" s="321" t="s">
        <v>31619</v>
      </c>
      <c r="GE485" s="214" t="s">
        <v>34541</v>
      </c>
      <c r="GF485" s="214" t="s">
        <v>70</v>
      </c>
      <c r="GG485" s="214" t="s">
        <v>530</v>
      </c>
      <c r="GI485" s="321" t="s">
        <v>31620</v>
      </c>
      <c r="GJ485" s="214" t="s">
        <v>468</v>
      </c>
      <c r="GK485" s="214" t="s">
        <v>70</v>
      </c>
      <c r="GL485" s="214" t="s">
        <v>530</v>
      </c>
      <c r="GN485" s="321" t="s">
        <v>31621</v>
      </c>
      <c r="GO485" s="214" t="s">
        <v>34544</v>
      </c>
      <c r="GP485" s="214" t="s">
        <v>70</v>
      </c>
      <c r="GQ485" s="214" t="s">
        <v>530</v>
      </c>
      <c r="GS485" s="321" t="s">
        <v>31622</v>
      </c>
      <c r="GT485" s="214" t="s">
        <v>34618</v>
      </c>
      <c r="GU485" s="214" t="s">
        <v>70</v>
      </c>
      <c r="GV485" s="214" t="s">
        <v>530</v>
      </c>
      <c r="GX485" s="214" t="s">
        <v>31623</v>
      </c>
      <c r="GY485" s="214" t="s">
        <v>103</v>
      </c>
      <c r="GZ485" s="214" t="s">
        <v>70</v>
      </c>
      <c r="HA485" s="214" t="s">
        <v>530</v>
      </c>
      <c r="HC485" s="214" t="s">
        <v>31624</v>
      </c>
      <c r="HD485" s="214" t="s">
        <v>146</v>
      </c>
      <c r="HE485" s="214" t="s">
        <v>70</v>
      </c>
      <c r="HF485" s="214" t="s">
        <v>530</v>
      </c>
      <c r="HH485" s="214" t="s">
        <v>31625</v>
      </c>
      <c r="HI485" s="214" t="s">
        <v>910</v>
      </c>
      <c r="HJ485" s="214" t="s">
        <v>70</v>
      </c>
      <c r="HK485" s="214" t="s">
        <v>530</v>
      </c>
      <c r="HM485" s="214" t="s">
        <v>31626</v>
      </c>
      <c r="HN485" s="214" t="s">
        <v>34558</v>
      </c>
      <c r="HO485" s="214" t="s">
        <v>70</v>
      </c>
      <c r="HP485" s="214" t="s">
        <v>530</v>
      </c>
      <c r="HR485" s="22" t="s">
        <v>31627</v>
      </c>
      <c r="HS485" s="22" t="s">
        <v>86</v>
      </c>
      <c r="HT485" s="22" t="s">
        <v>70</v>
      </c>
      <c r="HU485" s="214" t="s">
        <v>530</v>
      </c>
      <c r="HW485" s="22" t="s">
        <v>31628</v>
      </c>
      <c r="HX485" s="22" t="s">
        <v>955</v>
      </c>
      <c r="HY485" s="22" t="s">
        <v>70</v>
      </c>
      <c r="HZ485" s="214" t="s">
        <v>530</v>
      </c>
      <c r="IB485" s="22" t="s">
        <v>31629</v>
      </c>
      <c r="IC485" s="22" t="s">
        <v>484</v>
      </c>
      <c r="ID485" s="22" t="s">
        <v>70</v>
      </c>
      <c r="IE485" s="214" t="s">
        <v>530</v>
      </c>
      <c r="IG485" s="22" t="s">
        <v>31630</v>
      </c>
      <c r="IH485" s="22" t="s">
        <v>52</v>
      </c>
      <c r="II485" s="22" t="s">
        <v>70</v>
      </c>
      <c r="IJ485" s="214" t="s">
        <v>530</v>
      </c>
      <c r="IL485" s="22" t="s">
        <v>31631</v>
      </c>
      <c r="IM485" s="22" t="s">
        <v>145</v>
      </c>
      <c r="IN485" s="22" t="s">
        <v>70</v>
      </c>
      <c r="IO485" s="214" t="s">
        <v>530</v>
      </c>
      <c r="IQ485" s="236" t="s">
        <v>31632</v>
      </c>
      <c r="IR485" s="236" t="s">
        <v>145</v>
      </c>
      <c r="IS485" s="236" t="s">
        <v>74</v>
      </c>
      <c r="IT485" s="236" t="s">
        <v>841</v>
      </c>
      <c r="IV485" s="236" t="s">
        <v>31633</v>
      </c>
      <c r="IW485" s="236" t="s">
        <v>145</v>
      </c>
      <c r="IX485" s="236" t="s">
        <v>74</v>
      </c>
      <c r="IY485" s="236" t="s">
        <v>841</v>
      </c>
      <c r="JA485" s="236" t="s">
        <v>31634</v>
      </c>
      <c r="JB485" s="236" t="s">
        <v>145</v>
      </c>
      <c r="JC485" s="236" t="s">
        <v>74</v>
      </c>
      <c r="JD485" s="236" t="s">
        <v>841</v>
      </c>
      <c r="JF485" s="236" t="s">
        <v>31635</v>
      </c>
      <c r="JG485" s="236" t="s">
        <v>145</v>
      </c>
      <c r="JH485" s="236" t="s">
        <v>74</v>
      </c>
      <c r="JI485" s="236" t="s">
        <v>841</v>
      </c>
      <c r="JK485" s="236" t="s">
        <v>31636</v>
      </c>
      <c r="JL485" s="236" t="s">
        <v>145</v>
      </c>
      <c r="JM485" s="236" t="s">
        <v>74</v>
      </c>
      <c r="JN485" s="236" t="s">
        <v>841</v>
      </c>
      <c r="JP485" s="236" t="s">
        <v>31637</v>
      </c>
      <c r="JQ485" s="236" t="s">
        <v>145</v>
      </c>
      <c r="JR485" s="236" t="s">
        <v>74</v>
      </c>
      <c r="JS485" s="236" t="s">
        <v>841</v>
      </c>
      <c r="JU485" s="294" t="s">
        <v>31638</v>
      </c>
      <c r="JV485" s="294" t="s">
        <v>52</v>
      </c>
      <c r="JW485" s="263" t="s">
        <v>70</v>
      </c>
      <c r="JX485" s="294" t="s">
        <v>1083</v>
      </c>
      <c r="JZ485" s="263" t="s">
        <v>31639</v>
      </c>
      <c r="KA485" s="263" t="s">
        <v>145</v>
      </c>
      <c r="KB485" s="263" t="s">
        <v>70</v>
      </c>
      <c r="KC485" s="263" t="s">
        <v>1083</v>
      </c>
      <c r="KE485" s="263" t="s">
        <v>31640</v>
      </c>
      <c r="KF485" s="263" t="s">
        <v>52</v>
      </c>
      <c r="KG485" s="263" t="s">
        <v>70</v>
      </c>
      <c r="KH485" s="263" t="s">
        <v>1083</v>
      </c>
      <c r="KJ485" s="263" t="s">
        <v>31641</v>
      </c>
      <c r="KK485" s="263" t="s">
        <v>52</v>
      </c>
      <c r="KL485" s="263" t="s">
        <v>74</v>
      </c>
      <c r="KM485" s="263" t="s">
        <v>34074</v>
      </c>
      <c r="KO485" s="214" t="s">
        <v>31642</v>
      </c>
      <c r="KP485" s="214" t="s">
        <v>145</v>
      </c>
      <c r="KQ485" s="214" t="s">
        <v>70</v>
      </c>
      <c r="KR485" s="214" t="s">
        <v>67</v>
      </c>
      <c r="KT485" s="22" t="s">
        <v>31643</v>
      </c>
      <c r="KU485" s="22" t="s">
        <v>145</v>
      </c>
      <c r="KV485" s="22" t="s">
        <v>70</v>
      </c>
      <c r="KW485" s="22" t="s">
        <v>67</v>
      </c>
      <c r="KY485" s="214" t="s">
        <v>31644</v>
      </c>
      <c r="KZ485" s="214" t="s">
        <v>52</v>
      </c>
      <c r="LA485" s="214" t="s">
        <v>74</v>
      </c>
      <c r="LB485" s="214" t="s">
        <v>67</v>
      </c>
      <c r="LD485" s="22" t="s">
        <v>31645</v>
      </c>
      <c r="LE485" s="22" t="s">
        <v>145</v>
      </c>
      <c r="LF485" s="22" t="s">
        <v>70</v>
      </c>
      <c r="LG485" s="22" t="s">
        <v>67</v>
      </c>
    </row>
    <row r="486" spans="1:319">
      <c r="A486" s="22" t="s">
        <v>31646</v>
      </c>
      <c r="B486" s="22" t="s">
        <v>145</v>
      </c>
      <c r="C486" s="22" t="s">
        <v>70</v>
      </c>
      <c r="D486" s="22" t="s">
        <v>67</v>
      </c>
      <c r="F486" s="73" t="s">
        <v>31647</v>
      </c>
      <c r="G486" s="22" t="s">
        <v>145</v>
      </c>
      <c r="H486" s="22" t="s">
        <v>70</v>
      </c>
      <c r="I486" s="22" t="s">
        <v>67</v>
      </c>
      <c r="K486" s="99" t="s">
        <v>31648</v>
      </c>
      <c r="L486" s="22" t="s">
        <v>145</v>
      </c>
      <c r="M486" s="22" t="s">
        <v>70</v>
      </c>
      <c r="N486" s="22" t="s">
        <v>67</v>
      </c>
      <c r="P486" s="99" t="s">
        <v>31649</v>
      </c>
      <c r="Q486" s="22" t="s">
        <v>145</v>
      </c>
      <c r="R486" s="22" t="s">
        <v>70</v>
      </c>
      <c r="S486" s="22" t="s">
        <v>67</v>
      </c>
      <c r="U486" s="293" t="s">
        <v>31650</v>
      </c>
      <c r="V486" s="293" t="s">
        <v>145</v>
      </c>
      <c r="W486" s="293" t="s">
        <v>74</v>
      </c>
      <c r="X486" s="293" t="s">
        <v>656</v>
      </c>
      <c r="Z486" s="293" t="s">
        <v>31651</v>
      </c>
      <c r="AA486" s="293" t="s">
        <v>145</v>
      </c>
      <c r="AB486" s="293" t="s">
        <v>74</v>
      </c>
      <c r="AC486" s="293" t="s">
        <v>656</v>
      </c>
      <c r="AE486" s="293" t="s">
        <v>31652</v>
      </c>
      <c r="AF486" s="293" t="s">
        <v>145</v>
      </c>
      <c r="AG486" s="293" t="s">
        <v>74</v>
      </c>
      <c r="AH486" s="293" t="s">
        <v>656</v>
      </c>
      <c r="AJ486" s="293" t="s">
        <v>31653</v>
      </c>
      <c r="AK486" s="293" t="s">
        <v>145</v>
      </c>
      <c r="AL486" s="293" t="s">
        <v>74</v>
      </c>
      <c r="AM486" s="293" t="s">
        <v>656</v>
      </c>
      <c r="AO486" s="22" t="s">
        <v>31654</v>
      </c>
      <c r="AP486" s="22" t="s">
        <v>145</v>
      </c>
      <c r="AQ486" s="22" t="s">
        <v>70</v>
      </c>
      <c r="AR486" s="22" t="s">
        <v>67</v>
      </c>
      <c r="AT486" s="22" t="s">
        <v>31655</v>
      </c>
      <c r="AU486" s="22" t="s">
        <v>145</v>
      </c>
      <c r="AV486" s="22" t="s">
        <v>70</v>
      </c>
      <c r="AW486" s="22" t="s">
        <v>67</v>
      </c>
      <c r="AY486" s="22" t="s">
        <v>31656</v>
      </c>
      <c r="AZ486" s="22" t="s">
        <v>145</v>
      </c>
      <c r="BA486" s="22" t="s">
        <v>70</v>
      </c>
      <c r="BB486" s="22" t="s">
        <v>67</v>
      </c>
      <c r="BD486" s="22" t="s">
        <v>31657</v>
      </c>
      <c r="BE486" s="22" t="s">
        <v>145</v>
      </c>
      <c r="BF486" s="22" t="s">
        <v>70</v>
      </c>
      <c r="BG486" s="22" t="s">
        <v>67</v>
      </c>
      <c r="BI486" s="22" t="s">
        <v>31658</v>
      </c>
      <c r="BJ486" s="22" t="s">
        <v>145</v>
      </c>
      <c r="BK486" s="22" t="s">
        <v>70</v>
      </c>
      <c r="BL486" s="22" t="s">
        <v>67</v>
      </c>
      <c r="BN486" s="22" t="s">
        <v>31659</v>
      </c>
      <c r="BO486" s="22" t="s">
        <v>145</v>
      </c>
      <c r="BP486" s="22" t="s">
        <v>70</v>
      </c>
      <c r="BQ486" s="22" t="s">
        <v>67</v>
      </c>
      <c r="BS486" s="22" t="s">
        <v>31660</v>
      </c>
      <c r="BT486" s="22" t="s">
        <v>145</v>
      </c>
      <c r="BU486" s="22" t="s">
        <v>70</v>
      </c>
      <c r="BV486" s="214" t="s">
        <v>530</v>
      </c>
      <c r="BX486" s="22" t="s">
        <v>31661</v>
      </c>
      <c r="BY486" s="22" t="s">
        <v>145</v>
      </c>
      <c r="BZ486" s="22" t="s">
        <v>70</v>
      </c>
      <c r="CA486" s="214" t="s">
        <v>530</v>
      </c>
      <c r="CC486" s="214" t="s">
        <v>31662</v>
      </c>
      <c r="CD486" s="214" t="s">
        <v>86</v>
      </c>
      <c r="CE486" s="214" t="s">
        <v>70</v>
      </c>
      <c r="CF486" s="214" t="s">
        <v>530</v>
      </c>
      <c r="CH486" s="214" t="s">
        <v>31663</v>
      </c>
      <c r="CI486" s="214" t="s">
        <v>148</v>
      </c>
      <c r="CJ486" s="214" t="s">
        <v>70</v>
      </c>
      <c r="CK486" s="214" t="s">
        <v>530</v>
      </c>
      <c r="CM486" s="214" t="s">
        <v>31664</v>
      </c>
      <c r="CN486" s="214" t="s">
        <v>85</v>
      </c>
      <c r="CO486" s="214" t="s">
        <v>70</v>
      </c>
      <c r="CP486" s="214" t="s">
        <v>530</v>
      </c>
      <c r="CR486" s="214" t="s">
        <v>31665</v>
      </c>
      <c r="CS486" s="214" t="s">
        <v>642</v>
      </c>
      <c r="CT486" s="214" t="s">
        <v>70</v>
      </c>
      <c r="CU486" s="214" t="s">
        <v>530</v>
      </c>
      <c r="CW486" s="214" t="s">
        <v>31666</v>
      </c>
      <c r="CX486" s="214" t="s">
        <v>52</v>
      </c>
      <c r="CY486" s="214" t="s">
        <v>70</v>
      </c>
      <c r="CZ486" s="214" t="s">
        <v>530</v>
      </c>
      <c r="DB486" s="214" t="s">
        <v>31667</v>
      </c>
      <c r="DC486" s="214" t="s">
        <v>149</v>
      </c>
      <c r="DD486" s="214" t="s">
        <v>70</v>
      </c>
      <c r="DE486" s="214" t="s">
        <v>530</v>
      </c>
      <c r="DG486" s="214" t="s">
        <v>31668</v>
      </c>
      <c r="DH486" s="214" t="s">
        <v>34226</v>
      </c>
      <c r="DI486" s="214" t="s">
        <v>70</v>
      </c>
      <c r="DJ486" s="214" t="s">
        <v>530</v>
      </c>
      <c r="DL486" s="214" t="s">
        <v>31669</v>
      </c>
      <c r="DM486" s="214" t="s">
        <v>34654</v>
      </c>
      <c r="DN486" s="214" t="s">
        <v>70</v>
      </c>
      <c r="DO486" s="214" t="s">
        <v>530</v>
      </c>
      <c r="DQ486" s="214" t="s">
        <v>31670</v>
      </c>
      <c r="DR486" s="214" t="s">
        <v>34562</v>
      </c>
      <c r="DS486" s="214" t="s">
        <v>70</v>
      </c>
      <c r="DT486" s="214" t="s">
        <v>530</v>
      </c>
      <c r="DV486" s="214" t="s">
        <v>31671</v>
      </c>
      <c r="DW486" s="214" t="s">
        <v>485</v>
      </c>
      <c r="DX486" s="214" t="s">
        <v>70</v>
      </c>
      <c r="DY486" s="214" t="s">
        <v>530</v>
      </c>
      <c r="EA486" s="214" t="s">
        <v>31672</v>
      </c>
      <c r="EB486" s="214" t="s">
        <v>93</v>
      </c>
      <c r="EC486" s="214" t="s">
        <v>70</v>
      </c>
      <c r="ED486" s="214" t="s">
        <v>530</v>
      </c>
      <c r="EF486" s="214" t="s">
        <v>31673</v>
      </c>
      <c r="EG486" s="214" t="s">
        <v>485</v>
      </c>
      <c r="EH486" s="214" t="s">
        <v>70</v>
      </c>
      <c r="EI486" s="214" t="s">
        <v>530</v>
      </c>
      <c r="EK486" s="214" t="s">
        <v>31674</v>
      </c>
      <c r="EL486" s="214" t="s">
        <v>485</v>
      </c>
      <c r="EM486" s="214" t="s">
        <v>70</v>
      </c>
      <c r="EN486" s="214" t="s">
        <v>530</v>
      </c>
      <c r="EP486" s="214" t="s">
        <v>31675</v>
      </c>
      <c r="EQ486" s="214" t="s">
        <v>90</v>
      </c>
      <c r="ER486" s="214" t="s">
        <v>70</v>
      </c>
      <c r="ES486" s="214" t="s">
        <v>530</v>
      </c>
      <c r="EU486" s="214" t="s">
        <v>31676</v>
      </c>
      <c r="EV486" s="214" t="s">
        <v>519</v>
      </c>
      <c r="EW486" s="214" t="s">
        <v>70</v>
      </c>
      <c r="EX486" s="214" t="s">
        <v>530</v>
      </c>
      <c r="EZ486" s="214" t="s">
        <v>31677</v>
      </c>
      <c r="FA486" s="214" t="s">
        <v>503</v>
      </c>
      <c r="FB486" s="214" t="s">
        <v>70</v>
      </c>
      <c r="FC486" s="214" t="s">
        <v>530</v>
      </c>
      <c r="FE486" s="214" t="s">
        <v>31678</v>
      </c>
      <c r="FF486" s="214" t="s">
        <v>655</v>
      </c>
      <c r="FG486" s="214" t="s">
        <v>70</v>
      </c>
      <c r="FH486" s="214" t="s">
        <v>530</v>
      </c>
      <c r="FJ486" s="321" t="s">
        <v>31679</v>
      </c>
      <c r="FK486" s="214" t="s">
        <v>490</v>
      </c>
      <c r="FL486" s="214" t="s">
        <v>70</v>
      </c>
      <c r="FM486" s="214" t="s">
        <v>530</v>
      </c>
      <c r="FO486" s="321" t="s">
        <v>31680</v>
      </c>
      <c r="FP486" s="214" t="s">
        <v>163</v>
      </c>
      <c r="FQ486" s="214" t="s">
        <v>70</v>
      </c>
      <c r="FR486" s="214" t="s">
        <v>530</v>
      </c>
      <c r="FT486" s="321" t="s">
        <v>31681</v>
      </c>
      <c r="FU486" s="214" t="s">
        <v>34601</v>
      </c>
      <c r="FV486" s="214" t="s">
        <v>70</v>
      </c>
      <c r="FW486" s="214" t="s">
        <v>530</v>
      </c>
      <c r="FY486" s="321" t="s">
        <v>31682</v>
      </c>
      <c r="FZ486" s="214" t="s">
        <v>52</v>
      </c>
      <c r="GA486" s="214" t="s">
        <v>70</v>
      </c>
      <c r="GB486" s="214" t="s">
        <v>530</v>
      </c>
      <c r="GD486" s="321" t="s">
        <v>31683</v>
      </c>
      <c r="GE486" s="214" t="s">
        <v>933</v>
      </c>
      <c r="GF486" s="214" t="s">
        <v>70</v>
      </c>
      <c r="GG486" s="214" t="s">
        <v>530</v>
      </c>
      <c r="GI486" s="321" t="s">
        <v>31684</v>
      </c>
      <c r="GJ486" s="214" t="s">
        <v>148</v>
      </c>
      <c r="GK486" s="214" t="s">
        <v>70</v>
      </c>
      <c r="GL486" s="214" t="s">
        <v>530</v>
      </c>
      <c r="GN486" s="321" t="s">
        <v>31685</v>
      </c>
      <c r="GO486" s="214" t="s">
        <v>481</v>
      </c>
      <c r="GP486" s="214" t="s">
        <v>70</v>
      </c>
      <c r="GQ486" s="214" t="s">
        <v>530</v>
      </c>
      <c r="GS486" s="321" t="s">
        <v>31686</v>
      </c>
      <c r="GT486" s="214" t="s">
        <v>34516</v>
      </c>
      <c r="GU486" s="214" t="s">
        <v>70</v>
      </c>
      <c r="GV486" s="214" t="s">
        <v>530</v>
      </c>
      <c r="GX486" s="214" t="s">
        <v>31687</v>
      </c>
      <c r="GY486" s="214" t="s">
        <v>34575</v>
      </c>
      <c r="GZ486" s="214" t="s">
        <v>70</v>
      </c>
      <c r="HA486" s="214" t="s">
        <v>530</v>
      </c>
      <c r="HC486" s="214" t="s">
        <v>31688</v>
      </c>
      <c r="HD486" s="214" t="s">
        <v>85</v>
      </c>
      <c r="HE486" s="214" t="s">
        <v>70</v>
      </c>
      <c r="HF486" s="214" t="s">
        <v>530</v>
      </c>
      <c r="HH486" s="214" t="s">
        <v>31689</v>
      </c>
      <c r="HI486" s="214" t="s">
        <v>34581</v>
      </c>
      <c r="HJ486" s="214" t="s">
        <v>70</v>
      </c>
      <c r="HK486" s="214" t="s">
        <v>530</v>
      </c>
      <c r="HM486" s="214" t="s">
        <v>31690</v>
      </c>
      <c r="HN486" s="214" t="s">
        <v>34650</v>
      </c>
      <c r="HO486" s="214" t="s">
        <v>70</v>
      </c>
      <c r="HP486" s="214" t="s">
        <v>530</v>
      </c>
      <c r="HR486" s="22" t="s">
        <v>31691</v>
      </c>
      <c r="HS486" s="22" t="s">
        <v>145</v>
      </c>
      <c r="HT486" s="22" t="s">
        <v>70</v>
      </c>
      <c r="HU486" s="214" t="s">
        <v>530</v>
      </c>
      <c r="HW486" s="22" t="s">
        <v>31692</v>
      </c>
      <c r="HX486" s="22" t="s">
        <v>145</v>
      </c>
      <c r="HY486" s="22" t="s">
        <v>70</v>
      </c>
      <c r="HZ486" s="214" t="s">
        <v>530</v>
      </c>
      <c r="IB486" s="22" t="s">
        <v>31693</v>
      </c>
      <c r="IC486" s="22" t="s">
        <v>164</v>
      </c>
      <c r="ID486" s="22" t="s">
        <v>70</v>
      </c>
      <c r="IE486" s="214" t="s">
        <v>530</v>
      </c>
      <c r="IG486" s="22" t="s">
        <v>31694</v>
      </c>
      <c r="IH486" s="22" t="s">
        <v>52</v>
      </c>
      <c r="II486" s="22" t="s">
        <v>70</v>
      </c>
      <c r="IJ486" s="214" t="s">
        <v>530</v>
      </c>
      <c r="IL486" s="22" t="s">
        <v>31695</v>
      </c>
      <c r="IM486" s="22" t="s">
        <v>145</v>
      </c>
      <c r="IN486" s="22" t="s">
        <v>70</v>
      </c>
      <c r="IO486" s="214" t="s">
        <v>530</v>
      </c>
      <c r="IQ486" s="236" t="s">
        <v>31696</v>
      </c>
      <c r="IR486" s="236" t="s">
        <v>145</v>
      </c>
      <c r="IS486" s="236" t="s">
        <v>74</v>
      </c>
      <c r="IT486" s="236" t="s">
        <v>841</v>
      </c>
      <c r="IV486" s="236" t="s">
        <v>31697</v>
      </c>
      <c r="IW486" s="236" t="s">
        <v>145</v>
      </c>
      <c r="IX486" s="236" t="s">
        <v>74</v>
      </c>
      <c r="IY486" s="236" t="s">
        <v>841</v>
      </c>
      <c r="JA486" s="236" t="s">
        <v>31698</v>
      </c>
      <c r="JB486" s="236" t="s">
        <v>145</v>
      </c>
      <c r="JC486" s="236" t="s">
        <v>74</v>
      </c>
      <c r="JD486" s="236" t="s">
        <v>841</v>
      </c>
      <c r="JF486" s="236" t="s">
        <v>31699</v>
      </c>
      <c r="JG486" s="236" t="s">
        <v>145</v>
      </c>
      <c r="JH486" s="236" t="s">
        <v>74</v>
      </c>
      <c r="JI486" s="236" t="s">
        <v>841</v>
      </c>
      <c r="JK486" s="236" t="s">
        <v>31700</v>
      </c>
      <c r="JL486" s="236" t="s">
        <v>145</v>
      </c>
      <c r="JM486" s="236" t="s">
        <v>74</v>
      </c>
      <c r="JN486" s="236" t="s">
        <v>841</v>
      </c>
      <c r="JP486" s="236" t="s">
        <v>31701</v>
      </c>
      <c r="JQ486" s="236" t="s">
        <v>145</v>
      </c>
      <c r="JR486" s="236" t="s">
        <v>74</v>
      </c>
      <c r="JS486" s="236" t="s">
        <v>841</v>
      </c>
      <c r="JU486" s="294" t="s">
        <v>31702</v>
      </c>
      <c r="JV486" s="294" t="s">
        <v>52</v>
      </c>
      <c r="JW486" s="263" t="s">
        <v>70</v>
      </c>
      <c r="JX486" s="294" t="s">
        <v>1083</v>
      </c>
      <c r="JZ486" s="263" t="s">
        <v>31703</v>
      </c>
      <c r="KA486" s="263" t="s">
        <v>145</v>
      </c>
      <c r="KB486" s="263" t="s">
        <v>70</v>
      </c>
      <c r="KC486" s="263" t="s">
        <v>1083</v>
      </c>
      <c r="KE486" s="263" t="s">
        <v>31704</v>
      </c>
      <c r="KF486" s="263" t="s">
        <v>52</v>
      </c>
      <c r="KG486" s="263" t="s">
        <v>70</v>
      </c>
      <c r="KH486" s="263" t="s">
        <v>1083</v>
      </c>
      <c r="KJ486" s="263" t="s">
        <v>31705</v>
      </c>
      <c r="KK486" s="263" t="s">
        <v>52</v>
      </c>
      <c r="KL486" s="263" t="s">
        <v>74</v>
      </c>
      <c r="KM486" s="263" t="s">
        <v>34074</v>
      </c>
      <c r="KO486" s="214" t="s">
        <v>31706</v>
      </c>
      <c r="KP486" s="214" t="s">
        <v>145</v>
      </c>
      <c r="KQ486" s="214" t="s">
        <v>70</v>
      </c>
      <c r="KR486" s="214" t="s">
        <v>67</v>
      </c>
      <c r="KT486" s="22" t="s">
        <v>31707</v>
      </c>
      <c r="KU486" s="22" t="s">
        <v>145</v>
      </c>
      <c r="KV486" s="22" t="s">
        <v>70</v>
      </c>
      <c r="KW486" s="22" t="s">
        <v>67</v>
      </c>
      <c r="KY486" s="214" t="s">
        <v>31708</v>
      </c>
      <c r="KZ486" s="214" t="s">
        <v>52</v>
      </c>
      <c r="LA486" s="214" t="s">
        <v>74</v>
      </c>
      <c r="LB486" s="214" t="s">
        <v>67</v>
      </c>
      <c r="LD486" s="22" t="s">
        <v>31709</v>
      </c>
      <c r="LE486" s="22" t="s">
        <v>145</v>
      </c>
      <c r="LF486" s="22" t="s">
        <v>70</v>
      </c>
      <c r="LG486" s="22" t="s">
        <v>67</v>
      </c>
    </row>
    <row r="487" spans="1:319">
      <c r="A487" s="22" t="s">
        <v>31710</v>
      </c>
      <c r="B487" s="22" t="s">
        <v>145</v>
      </c>
      <c r="C487" s="22" t="s">
        <v>70</v>
      </c>
      <c r="D487" s="22" t="s">
        <v>67</v>
      </c>
      <c r="F487" s="73" t="s">
        <v>31711</v>
      </c>
      <c r="G487" s="22" t="s">
        <v>145</v>
      </c>
      <c r="H487" s="22" t="s">
        <v>70</v>
      </c>
      <c r="I487" s="22" t="s">
        <v>67</v>
      </c>
      <c r="K487" s="99" t="s">
        <v>31712</v>
      </c>
      <c r="L487" s="22" t="s">
        <v>145</v>
      </c>
      <c r="M487" s="22" t="s">
        <v>70</v>
      </c>
      <c r="N487" s="22" t="s">
        <v>67</v>
      </c>
      <c r="P487" s="99" t="s">
        <v>31713</v>
      </c>
      <c r="Q487" s="22" t="s">
        <v>145</v>
      </c>
      <c r="R487" s="22" t="s">
        <v>70</v>
      </c>
      <c r="S487" s="22" t="s">
        <v>67</v>
      </c>
      <c r="U487" s="293" t="s">
        <v>31714</v>
      </c>
      <c r="V487" s="293" t="s">
        <v>145</v>
      </c>
      <c r="W487" s="293" t="s">
        <v>74</v>
      </c>
      <c r="X487" s="293" t="s">
        <v>656</v>
      </c>
      <c r="Z487" s="293" t="s">
        <v>31715</v>
      </c>
      <c r="AA487" s="293" t="s">
        <v>145</v>
      </c>
      <c r="AB487" s="293" t="s">
        <v>74</v>
      </c>
      <c r="AC487" s="293" t="s">
        <v>656</v>
      </c>
      <c r="AE487" s="293" t="s">
        <v>31716</v>
      </c>
      <c r="AF487" s="293" t="s">
        <v>145</v>
      </c>
      <c r="AG487" s="293" t="s">
        <v>74</v>
      </c>
      <c r="AH487" s="293" t="s">
        <v>656</v>
      </c>
      <c r="AJ487" s="293" t="s">
        <v>31717</v>
      </c>
      <c r="AK487" s="293" t="s">
        <v>145</v>
      </c>
      <c r="AL487" s="293" t="s">
        <v>74</v>
      </c>
      <c r="AM487" s="293" t="s">
        <v>656</v>
      </c>
      <c r="AO487" s="22" t="s">
        <v>31718</v>
      </c>
      <c r="AP487" s="22" t="s">
        <v>145</v>
      </c>
      <c r="AQ487" s="22" t="s">
        <v>70</v>
      </c>
      <c r="AR487" s="22" t="s">
        <v>67</v>
      </c>
      <c r="AT487" s="22" t="s">
        <v>31719</v>
      </c>
      <c r="AU487" s="22" t="s">
        <v>145</v>
      </c>
      <c r="AV487" s="22" t="s">
        <v>70</v>
      </c>
      <c r="AW487" s="22" t="s">
        <v>67</v>
      </c>
      <c r="AY487" s="22" t="s">
        <v>31720</v>
      </c>
      <c r="AZ487" s="22" t="s">
        <v>145</v>
      </c>
      <c r="BA487" s="22" t="s">
        <v>70</v>
      </c>
      <c r="BB487" s="22" t="s">
        <v>67</v>
      </c>
      <c r="BD487" s="22" t="s">
        <v>31721</v>
      </c>
      <c r="BE487" s="22" t="s">
        <v>145</v>
      </c>
      <c r="BF487" s="22" t="s">
        <v>70</v>
      </c>
      <c r="BG487" s="22" t="s">
        <v>67</v>
      </c>
      <c r="BI487" s="22" t="s">
        <v>31722</v>
      </c>
      <c r="BJ487" s="22" t="s">
        <v>145</v>
      </c>
      <c r="BK487" s="22" t="s">
        <v>70</v>
      </c>
      <c r="BL487" s="22" t="s">
        <v>67</v>
      </c>
      <c r="BN487" s="22" t="s">
        <v>31723</v>
      </c>
      <c r="BO487" s="22" t="s">
        <v>145</v>
      </c>
      <c r="BP487" s="22" t="s">
        <v>70</v>
      </c>
      <c r="BQ487" s="22" t="s">
        <v>67</v>
      </c>
      <c r="BS487" s="22" t="s">
        <v>31724</v>
      </c>
      <c r="BT487" s="22" t="s">
        <v>145</v>
      </c>
      <c r="BU487" s="22" t="s">
        <v>70</v>
      </c>
      <c r="BV487" s="214" t="s">
        <v>530</v>
      </c>
      <c r="BX487" s="22" t="s">
        <v>31725</v>
      </c>
      <c r="BY487" s="22" t="s">
        <v>145</v>
      </c>
      <c r="BZ487" s="22" t="s">
        <v>70</v>
      </c>
      <c r="CA487" s="214" t="s">
        <v>530</v>
      </c>
      <c r="CC487" s="214" t="s">
        <v>31726</v>
      </c>
      <c r="CD487" s="214" t="s">
        <v>484</v>
      </c>
      <c r="CE487" s="214" t="s">
        <v>70</v>
      </c>
      <c r="CF487" s="214" t="s">
        <v>530</v>
      </c>
      <c r="CH487" s="214" t="s">
        <v>31727</v>
      </c>
      <c r="CI487" s="214" t="s">
        <v>496</v>
      </c>
      <c r="CJ487" s="214" t="s">
        <v>70</v>
      </c>
      <c r="CK487" s="214" t="s">
        <v>530</v>
      </c>
      <c r="CM487" s="214" t="s">
        <v>31728</v>
      </c>
      <c r="CN487" s="214" t="s">
        <v>485</v>
      </c>
      <c r="CO487" s="214" t="s">
        <v>70</v>
      </c>
      <c r="CP487" s="214" t="s">
        <v>530</v>
      </c>
      <c r="CR487" s="214" t="s">
        <v>31729</v>
      </c>
      <c r="CS487" s="214" t="s">
        <v>149</v>
      </c>
      <c r="CT487" s="214" t="s">
        <v>70</v>
      </c>
      <c r="CU487" s="214" t="s">
        <v>530</v>
      </c>
      <c r="CW487" s="214" t="s">
        <v>31730</v>
      </c>
      <c r="CX487" s="214" t="s">
        <v>916</v>
      </c>
      <c r="CY487" s="214" t="s">
        <v>70</v>
      </c>
      <c r="CZ487" s="214" t="s">
        <v>530</v>
      </c>
      <c r="DB487" s="214" t="s">
        <v>31731</v>
      </c>
      <c r="DC487" s="214" t="s">
        <v>599</v>
      </c>
      <c r="DD487" s="214" t="s">
        <v>70</v>
      </c>
      <c r="DE487" s="214" t="s">
        <v>530</v>
      </c>
      <c r="DG487" s="214" t="s">
        <v>31732</v>
      </c>
      <c r="DH487" s="214" t="s">
        <v>52</v>
      </c>
      <c r="DI487" s="214" t="s">
        <v>70</v>
      </c>
      <c r="DJ487" s="214" t="s">
        <v>530</v>
      </c>
      <c r="DL487" s="214" t="s">
        <v>31733</v>
      </c>
      <c r="DM487" s="214" t="s">
        <v>491</v>
      </c>
      <c r="DN487" s="214" t="s">
        <v>70</v>
      </c>
      <c r="DO487" s="214" t="s">
        <v>530</v>
      </c>
      <c r="DQ487" s="214" t="s">
        <v>31734</v>
      </c>
      <c r="DR487" s="214" t="s">
        <v>486</v>
      </c>
      <c r="DS487" s="214" t="s">
        <v>70</v>
      </c>
      <c r="DT487" s="214" t="s">
        <v>530</v>
      </c>
      <c r="DV487" s="214" t="s">
        <v>31735</v>
      </c>
      <c r="DW487" s="214" t="s">
        <v>599</v>
      </c>
      <c r="DX487" s="214" t="s">
        <v>70</v>
      </c>
      <c r="DY487" s="214" t="s">
        <v>530</v>
      </c>
      <c r="EA487" s="214" t="s">
        <v>31736</v>
      </c>
      <c r="EB487" s="214" t="s">
        <v>34566</v>
      </c>
      <c r="EC487" s="214" t="s">
        <v>70</v>
      </c>
      <c r="ED487" s="214" t="s">
        <v>530</v>
      </c>
      <c r="EF487" s="214" t="s">
        <v>31737</v>
      </c>
      <c r="EG487" s="214" t="s">
        <v>599</v>
      </c>
      <c r="EH487" s="214" t="s">
        <v>70</v>
      </c>
      <c r="EI487" s="214" t="s">
        <v>530</v>
      </c>
      <c r="EK487" s="214" t="s">
        <v>31738</v>
      </c>
      <c r="EL487" s="214" t="s">
        <v>912</v>
      </c>
      <c r="EM487" s="214" t="s">
        <v>70</v>
      </c>
      <c r="EN487" s="214" t="s">
        <v>530</v>
      </c>
      <c r="EP487" s="214" t="s">
        <v>31739</v>
      </c>
      <c r="EQ487" s="214" t="s">
        <v>85</v>
      </c>
      <c r="ER487" s="214" t="s">
        <v>70</v>
      </c>
      <c r="ES487" s="214" t="s">
        <v>530</v>
      </c>
      <c r="EU487" s="214" t="s">
        <v>31740</v>
      </c>
      <c r="EV487" s="214" t="s">
        <v>34615</v>
      </c>
      <c r="EW487" s="214" t="s">
        <v>70</v>
      </c>
      <c r="EX487" s="214" t="s">
        <v>530</v>
      </c>
      <c r="EZ487" s="214" t="s">
        <v>31741</v>
      </c>
      <c r="FA487" s="214" t="s">
        <v>599</v>
      </c>
      <c r="FB487" s="214" t="s">
        <v>70</v>
      </c>
      <c r="FC487" s="214" t="s">
        <v>530</v>
      </c>
      <c r="FE487" s="214" t="s">
        <v>31742</v>
      </c>
      <c r="FF487" s="214" t="s">
        <v>488</v>
      </c>
      <c r="FG487" s="214" t="s">
        <v>70</v>
      </c>
      <c r="FH487" s="214" t="s">
        <v>530</v>
      </c>
      <c r="FJ487" s="321" t="s">
        <v>31743</v>
      </c>
      <c r="FK487" s="214" t="s">
        <v>482</v>
      </c>
      <c r="FL487" s="214" t="s">
        <v>70</v>
      </c>
      <c r="FM487" s="214" t="s">
        <v>530</v>
      </c>
      <c r="FO487" s="321" t="s">
        <v>31744</v>
      </c>
      <c r="FP487" s="214" t="s">
        <v>955</v>
      </c>
      <c r="FQ487" s="214" t="s">
        <v>70</v>
      </c>
      <c r="FR487" s="214" t="s">
        <v>530</v>
      </c>
      <c r="FT487" s="321" t="s">
        <v>31745</v>
      </c>
      <c r="FU487" s="214" t="s">
        <v>641</v>
      </c>
      <c r="FV487" s="214" t="s">
        <v>70</v>
      </c>
      <c r="FW487" s="214" t="s">
        <v>530</v>
      </c>
      <c r="FY487" s="321" t="s">
        <v>31746</v>
      </c>
      <c r="FZ487" s="214" t="s">
        <v>484</v>
      </c>
      <c r="GA487" s="214" t="s">
        <v>70</v>
      </c>
      <c r="GB487" s="214" t="s">
        <v>530</v>
      </c>
      <c r="GD487" s="321" t="s">
        <v>31747</v>
      </c>
      <c r="GE487" s="214" t="s">
        <v>34545</v>
      </c>
      <c r="GF487" s="214" t="s">
        <v>70</v>
      </c>
      <c r="GG487" s="214" t="s">
        <v>530</v>
      </c>
      <c r="GI487" s="321" t="s">
        <v>31748</v>
      </c>
      <c r="GJ487" s="214" t="s">
        <v>950</v>
      </c>
      <c r="GK487" s="214" t="s">
        <v>70</v>
      </c>
      <c r="GL487" s="214" t="s">
        <v>530</v>
      </c>
      <c r="GN487" s="321" t="s">
        <v>31749</v>
      </c>
      <c r="GO487" s="214" t="s">
        <v>487</v>
      </c>
      <c r="GP487" s="214" t="s">
        <v>70</v>
      </c>
      <c r="GQ487" s="214" t="s">
        <v>530</v>
      </c>
      <c r="GS487" s="321" t="s">
        <v>31750</v>
      </c>
      <c r="GT487" s="214" t="s">
        <v>34544</v>
      </c>
      <c r="GU487" s="214" t="s">
        <v>70</v>
      </c>
      <c r="GV487" s="214" t="s">
        <v>530</v>
      </c>
      <c r="GX487" s="214" t="s">
        <v>31751</v>
      </c>
      <c r="GY487" s="214" t="s">
        <v>531</v>
      </c>
      <c r="GZ487" s="214" t="s">
        <v>70</v>
      </c>
      <c r="HA487" s="214" t="s">
        <v>530</v>
      </c>
      <c r="HC487" s="214" t="s">
        <v>31752</v>
      </c>
      <c r="HD487" s="214" t="s">
        <v>921</v>
      </c>
      <c r="HE487" s="214" t="s">
        <v>70</v>
      </c>
      <c r="HF487" s="214" t="s">
        <v>530</v>
      </c>
      <c r="HH487" s="214" t="s">
        <v>31753</v>
      </c>
      <c r="HI487" s="214" t="s">
        <v>502</v>
      </c>
      <c r="HJ487" s="214" t="s">
        <v>70</v>
      </c>
      <c r="HK487" s="214" t="s">
        <v>530</v>
      </c>
      <c r="HM487" s="214" t="s">
        <v>31754</v>
      </c>
      <c r="HN487" s="214" t="s">
        <v>287</v>
      </c>
      <c r="HO487" s="214" t="s">
        <v>70</v>
      </c>
      <c r="HP487" s="214" t="s">
        <v>530</v>
      </c>
      <c r="HR487" s="22" t="s">
        <v>31755</v>
      </c>
      <c r="HS487" s="22" t="s">
        <v>34541</v>
      </c>
      <c r="HT487" s="22" t="s">
        <v>70</v>
      </c>
      <c r="HU487" s="214" t="s">
        <v>530</v>
      </c>
      <c r="HW487" s="22" t="s">
        <v>31756</v>
      </c>
      <c r="HX487" s="22" t="s">
        <v>34541</v>
      </c>
      <c r="HY487" s="22" t="s">
        <v>70</v>
      </c>
      <c r="HZ487" s="214" t="s">
        <v>530</v>
      </c>
      <c r="IB487" s="22" t="s">
        <v>31757</v>
      </c>
      <c r="IC487" s="22" t="s">
        <v>485</v>
      </c>
      <c r="ID487" s="22" t="s">
        <v>70</v>
      </c>
      <c r="IE487" s="214" t="s">
        <v>530</v>
      </c>
      <c r="IG487" s="22" t="s">
        <v>31758</v>
      </c>
      <c r="IH487" s="22" t="s">
        <v>52</v>
      </c>
      <c r="II487" s="22" t="s">
        <v>70</v>
      </c>
      <c r="IJ487" s="214" t="s">
        <v>530</v>
      </c>
      <c r="IL487" s="22" t="s">
        <v>31759</v>
      </c>
      <c r="IM487" s="22" t="s">
        <v>145</v>
      </c>
      <c r="IN487" s="22" t="s">
        <v>70</v>
      </c>
      <c r="IO487" s="214" t="s">
        <v>530</v>
      </c>
      <c r="IQ487" s="236" t="s">
        <v>31760</v>
      </c>
      <c r="IR487" s="236" t="s">
        <v>145</v>
      </c>
      <c r="IS487" s="236" t="s">
        <v>74</v>
      </c>
      <c r="IT487" s="236" t="s">
        <v>841</v>
      </c>
      <c r="IV487" s="236" t="s">
        <v>31761</v>
      </c>
      <c r="IW487" s="236" t="s">
        <v>145</v>
      </c>
      <c r="IX487" s="236" t="s">
        <v>74</v>
      </c>
      <c r="IY487" s="236" t="s">
        <v>841</v>
      </c>
      <c r="JA487" s="236" t="s">
        <v>31762</v>
      </c>
      <c r="JB487" s="236" t="s">
        <v>145</v>
      </c>
      <c r="JC487" s="236" t="s">
        <v>74</v>
      </c>
      <c r="JD487" s="236" t="s">
        <v>841</v>
      </c>
      <c r="JF487" s="236" t="s">
        <v>31763</v>
      </c>
      <c r="JG487" s="236" t="s">
        <v>145</v>
      </c>
      <c r="JH487" s="236" t="s">
        <v>74</v>
      </c>
      <c r="JI487" s="236" t="s">
        <v>841</v>
      </c>
      <c r="JK487" s="236" t="s">
        <v>31764</v>
      </c>
      <c r="JL487" s="236" t="s">
        <v>145</v>
      </c>
      <c r="JM487" s="236" t="s">
        <v>74</v>
      </c>
      <c r="JN487" s="236" t="s">
        <v>841</v>
      </c>
      <c r="JP487" s="236" t="s">
        <v>31765</v>
      </c>
      <c r="JQ487" s="236" t="s">
        <v>145</v>
      </c>
      <c r="JR487" s="236" t="s">
        <v>74</v>
      </c>
      <c r="JS487" s="236" t="s">
        <v>841</v>
      </c>
      <c r="JU487" s="294" t="s">
        <v>31766</v>
      </c>
      <c r="JV487" s="294" t="s">
        <v>52</v>
      </c>
      <c r="JW487" s="263" t="s">
        <v>70</v>
      </c>
      <c r="JX487" s="294" t="s">
        <v>1083</v>
      </c>
      <c r="JZ487" s="263" t="s">
        <v>31767</v>
      </c>
      <c r="KA487" s="263" t="s">
        <v>145</v>
      </c>
      <c r="KB487" s="263" t="s">
        <v>70</v>
      </c>
      <c r="KC487" s="263" t="s">
        <v>1083</v>
      </c>
      <c r="KE487" s="263" t="s">
        <v>31768</v>
      </c>
      <c r="KF487" s="263" t="s">
        <v>52</v>
      </c>
      <c r="KG487" s="263" t="s">
        <v>70</v>
      </c>
      <c r="KH487" s="263" t="s">
        <v>1083</v>
      </c>
      <c r="KJ487" s="263" t="s">
        <v>31769</v>
      </c>
      <c r="KK487" s="263" t="s">
        <v>52</v>
      </c>
      <c r="KL487" s="263" t="s">
        <v>74</v>
      </c>
      <c r="KM487" s="263" t="s">
        <v>34074</v>
      </c>
      <c r="KO487" s="214" t="s">
        <v>31770</v>
      </c>
      <c r="KP487" s="214" t="s">
        <v>145</v>
      </c>
      <c r="KQ487" s="214" t="s">
        <v>70</v>
      </c>
      <c r="KR487" s="214" t="s">
        <v>67</v>
      </c>
      <c r="KT487" s="22" t="s">
        <v>31771</v>
      </c>
      <c r="KU487" s="22" t="s">
        <v>145</v>
      </c>
      <c r="KV487" s="22" t="s">
        <v>70</v>
      </c>
      <c r="KW487" s="22" t="s">
        <v>67</v>
      </c>
      <c r="KY487" s="214" t="s">
        <v>31772</v>
      </c>
      <c r="KZ487" s="214" t="s">
        <v>52</v>
      </c>
      <c r="LA487" s="214" t="s">
        <v>74</v>
      </c>
      <c r="LB487" s="214" t="s">
        <v>67</v>
      </c>
      <c r="LD487" s="22" t="s">
        <v>31773</v>
      </c>
      <c r="LE487" s="22" t="s">
        <v>145</v>
      </c>
      <c r="LF487" s="22" t="s">
        <v>70</v>
      </c>
      <c r="LG487" s="22" t="s">
        <v>67</v>
      </c>
    </row>
    <row r="488" spans="1:319">
      <c r="A488" s="22" t="s">
        <v>31774</v>
      </c>
      <c r="B488" s="22" t="s">
        <v>145</v>
      </c>
      <c r="C488" s="22" t="s">
        <v>70</v>
      </c>
      <c r="D488" s="22" t="s">
        <v>67</v>
      </c>
      <c r="F488" s="73" t="s">
        <v>31775</v>
      </c>
      <c r="G488" s="22" t="s">
        <v>145</v>
      </c>
      <c r="H488" s="22" t="s">
        <v>70</v>
      </c>
      <c r="I488" s="22" t="s">
        <v>67</v>
      </c>
      <c r="K488" s="99" t="s">
        <v>31776</v>
      </c>
      <c r="L488" s="22" t="s">
        <v>145</v>
      </c>
      <c r="M488" s="22" t="s">
        <v>70</v>
      </c>
      <c r="N488" s="22" t="s">
        <v>67</v>
      </c>
      <c r="P488" s="99" t="s">
        <v>31777</v>
      </c>
      <c r="Q488" s="22" t="s">
        <v>145</v>
      </c>
      <c r="R488" s="22" t="s">
        <v>70</v>
      </c>
      <c r="S488" s="22" t="s">
        <v>67</v>
      </c>
      <c r="U488" s="293" t="s">
        <v>31778</v>
      </c>
      <c r="V488" s="293" t="s">
        <v>145</v>
      </c>
      <c r="W488" s="293" t="s">
        <v>74</v>
      </c>
      <c r="X488" s="293" t="s">
        <v>656</v>
      </c>
      <c r="Z488" s="293" t="s">
        <v>31779</v>
      </c>
      <c r="AA488" s="293" t="s">
        <v>145</v>
      </c>
      <c r="AB488" s="293" t="s">
        <v>74</v>
      </c>
      <c r="AC488" s="293" t="s">
        <v>656</v>
      </c>
      <c r="AE488" s="293" t="s">
        <v>31780</v>
      </c>
      <c r="AF488" s="293" t="s">
        <v>145</v>
      </c>
      <c r="AG488" s="293" t="s">
        <v>74</v>
      </c>
      <c r="AH488" s="293" t="s">
        <v>656</v>
      </c>
      <c r="AJ488" s="293" t="s">
        <v>31781</v>
      </c>
      <c r="AK488" s="293" t="s">
        <v>145</v>
      </c>
      <c r="AL488" s="293" t="s">
        <v>74</v>
      </c>
      <c r="AM488" s="293" t="s">
        <v>656</v>
      </c>
      <c r="AO488" s="22" t="s">
        <v>31782</v>
      </c>
      <c r="AP488" s="22" t="s">
        <v>145</v>
      </c>
      <c r="AQ488" s="22" t="s">
        <v>70</v>
      </c>
      <c r="AR488" s="22" t="s">
        <v>67</v>
      </c>
      <c r="AT488" s="22" t="s">
        <v>31783</v>
      </c>
      <c r="AU488" s="22" t="s">
        <v>145</v>
      </c>
      <c r="AV488" s="22" t="s">
        <v>70</v>
      </c>
      <c r="AW488" s="22" t="s">
        <v>67</v>
      </c>
      <c r="AY488" s="22" t="s">
        <v>31784</v>
      </c>
      <c r="AZ488" s="22" t="s">
        <v>145</v>
      </c>
      <c r="BA488" s="22" t="s">
        <v>70</v>
      </c>
      <c r="BB488" s="22" t="s">
        <v>67</v>
      </c>
      <c r="BD488" s="22" t="s">
        <v>31785</v>
      </c>
      <c r="BE488" s="22" t="s">
        <v>145</v>
      </c>
      <c r="BF488" s="22" t="s">
        <v>70</v>
      </c>
      <c r="BG488" s="22" t="s">
        <v>67</v>
      </c>
      <c r="BI488" s="22" t="s">
        <v>31786</v>
      </c>
      <c r="BJ488" s="22" t="s">
        <v>145</v>
      </c>
      <c r="BK488" s="22" t="s">
        <v>70</v>
      </c>
      <c r="BL488" s="22" t="s">
        <v>67</v>
      </c>
      <c r="BN488" s="22" t="s">
        <v>31787</v>
      </c>
      <c r="BO488" s="22" t="s">
        <v>145</v>
      </c>
      <c r="BP488" s="22" t="s">
        <v>70</v>
      </c>
      <c r="BQ488" s="22" t="s">
        <v>67</v>
      </c>
      <c r="BS488" s="22" t="s">
        <v>31788</v>
      </c>
      <c r="BT488" s="22" t="s">
        <v>145</v>
      </c>
      <c r="BU488" s="22" t="s">
        <v>70</v>
      </c>
      <c r="BV488" s="214" t="s">
        <v>530</v>
      </c>
      <c r="BX488" s="22" t="s">
        <v>31789</v>
      </c>
      <c r="BY488" s="22" t="s">
        <v>145</v>
      </c>
      <c r="BZ488" s="22" t="s">
        <v>70</v>
      </c>
      <c r="CA488" s="214" t="s">
        <v>530</v>
      </c>
      <c r="CC488" s="214" t="s">
        <v>31790</v>
      </c>
      <c r="CD488" s="214" t="s">
        <v>52</v>
      </c>
      <c r="CE488" s="214" t="s">
        <v>70</v>
      </c>
      <c r="CF488" s="214" t="s">
        <v>530</v>
      </c>
      <c r="CH488" s="214" t="s">
        <v>31791</v>
      </c>
      <c r="CI488" s="214" t="s">
        <v>34641</v>
      </c>
      <c r="CJ488" s="214" t="s">
        <v>70</v>
      </c>
      <c r="CK488" s="214" t="s">
        <v>530</v>
      </c>
      <c r="CM488" s="214" t="s">
        <v>31792</v>
      </c>
      <c r="CN488" s="214" t="s">
        <v>34545</v>
      </c>
      <c r="CO488" s="214" t="s">
        <v>70</v>
      </c>
      <c r="CP488" s="214" t="s">
        <v>530</v>
      </c>
      <c r="CR488" s="214" t="s">
        <v>31793</v>
      </c>
      <c r="CS488" s="214" t="s">
        <v>34540</v>
      </c>
      <c r="CT488" s="214" t="s">
        <v>70</v>
      </c>
      <c r="CU488" s="214" t="s">
        <v>530</v>
      </c>
      <c r="CW488" s="214" t="s">
        <v>31794</v>
      </c>
      <c r="CX488" s="214" t="s">
        <v>52</v>
      </c>
      <c r="CY488" s="214" t="s">
        <v>70</v>
      </c>
      <c r="CZ488" s="214" t="s">
        <v>530</v>
      </c>
      <c r="DB488" s="214" t="s">
        <v>31795</v>
      </c>
      <c r="DC488" s="214" t="s">
        <v>149</v>
      </c>
      <c r="DD488" s="214" t="s">
        <v>70</v>
      </c>
      <c r="DE488" s="214" t="s">
        <v>530</v>
      </c>
      <c r="DG488" s="214" t="s">
        <v>31796</v>
      </c>
      <c r="DH488" s="214" t="s">
        <v>88</v>
      </c>
      <c r="DI488" s="214" t="s">
        <v>70</v>
      </c>
      <c r="DJ488" s="214" t="s">
        <v>530</v>
      </c>
      <c r="DL488" s="214" t="s">
        <v>31797</v>
      </c>
      <c r="DM488" s="214" t="s">
        <v>52</v>
      </c>
      <c r="DN488" s="214" t="s">
        <v>70</v>
      </c>
      <c r="DO488" s="214" t="s">
        <v>530</v>
      </c>
      <c r="DQ488" s="214" t="s">
        <v>31798</v>
      </c>
      <c r="DR488" s="214" t="s">
        <v>486</v>
      </c>
      <c r="DS488" s="214" t="s">
        <v>70</v>
      </c>
      <c r="DT488" s="214" t="s">
        <v>530</v>
      </c>
      <c r="DV488" s="214" t="s">
        <v>31799</v>
      </c>
      <c r="DW488" s="214" t="s">
        <v>34584</v>
      </c>
      <c r="DX488" s="214" t="s">
        <v>70</v>
      </c>
      <c r="DY488" s="214" t="s">
        <v>530</v>
      </c>
      <c r="EA488" s="214" t="s">
        <v>31800</v>
      </c>
      <c r="EB488" s="214" t="s">
        <v>924</v>
      </c>
      <c r="EC488" s="214" t="s">
        <v>70</v>
      </c>
      <c r="ED488" s="214" t="s">
        <v>530</v>
      </c>
      <c r="EF488" s="214" t="s">
        <v>31801</v>
      </c>
      <c r="EG488" s="214" t="s">
        <v>485</v>
      </c>
      <c r="EH488" s="214" t="s">
        <v>70</v>
      </c>
      <c r="EI488" s="214" t="s">
        <v>530</v>
      </c>
      <c r="EK488" s="214" t="s">
        <v>31802</v>
      </c>
      <c r="EL488" s="214" t="s">
        <v>34471</v>
      </c>
      <c r="EM488" s="214" t="s">
        <v>70</v>
      </c>
      <c r="EN488" s="214" t="s">
        <v>530</v>
      </c>
      <c r="EP488" s="214" t="s">
        <v>31803</v>
      </c>
      <c r="EQ488" s="214" t="s">
        <v>34634</v>
      </c>
      <c r="ER488" s="214" t="s">
        <v>70</v>
      </c>
      <c r="ES488" s="214" t="s">
        <v>530</v>
      </c>
      <c r="EU488" s="214" t="s">
        <v>31804</v>
      </c>
      <c r="EV488" s="214" t="s">
        <v>519</v>
      </c>
      <c r="EW488" s="214" t="s">
        <v>70</v>
      </c>
      <c r="EX488" s="214" t="s">
        <v>530</v>
      </c>
      <c r="EZ488" s="214" t="s">
        <v>31805</v>
      </c>
      <c r="FA488" s="214" t="s">
        <v>642</v>
      </c>
      <c r="FB488" s="214" t="s">
        <v>70</v>
      </c>
      <c r="FC488" s="214" t="s">
        <v>530</v>
      </c>
      <c r="FE488" s="214" t="s">
        <v>31806</v>
      </c>
      <c r="FF488" s="214" t="s">
        <v>90</v>
      </c>
      <c r="FG488" s="214" t="s">
        <v>70</v>
      </c>
      <c r="FH488" s="214" t="s">
        <v>530</v>
      </c>
      <c r="FJ488" s="321" t="s">
        <v>31807</v>
      </c>
      <c r="FK488" s="214" t="s">
        <v>87</v>
      </c>
      <c r="FL488" s="214" t="s">
        <v>70</v>
      </c>
      <c r="FM488" s="214" t="s">
        <v>530</v>
      </c>
      <c r="FO488" s="321" t="s">
        <v>31808</v>
      </c>
      <c r="FP488" s="214" t="s">
        <v>765</v>
      </c>
      <c r="FQ488" s="214" t="s">
        <v>70</v>
      </c>
      <c r="FR488" s="214" t="s">
        <v>530</v>
      </c>
      <c r="FT488" s="321" t="s">
        <v>31809</v>
      </c>
      <c r="FU488" s="214" t="s">
        <v>203</v>
      </c>
      <c r="FV488" s="214" t="s">
        <v>70</v>
      </c>
      <c r="FW488" s="214" t="s">
        <v>530</v>
      </c>
      <c r="FY488" s="321" t="s">
        <v>31810</v>
      </c>
      <c r="FZ488" s="214" t="s">
        <v>52</v>
      </c>
      <c r="GA488" s="214" t="s">
        <v>70</v>
      </c>
      <c r="GB488" s="214" t="s">
        <v>530</v>
      </c>
      <c r="GD488" s="321" t="s">
        <v>31811</v>
      </c>
      <c r="GE488" s="214" t="s">
        <v>85</v>
      </c>
      <c r="GF488" s="214" t="s">
        <v>70</v>
      </c>
      <c r="GG488" s="214" t="s">
        <v>530</v>
      </c>
      <c r="GI488" s="321" t="s">
        <v>31812</v>
      </c>
      <c r="GJ488" s="214" t="s">
        <v>52</v>
      </c>
      <c r="GK488" s="214" t="s">
        <v>70</v>
      </c>
      <c r="GL488" s="214" t="s">
        <v>530</v>
      </c>
      <c r="GN488" s="321" t="s">
        <v>31813</v>
      </c>
      <c r="GO488" s="214" t="s">
        <v>89</v>
      </c>
      <c r="GP488" s="214" t="s">
        <v>70</v>
      </c>
      <c r="GQ488" s="214" t="s">
        <v>530</v>
      </c>
      <c r="GS488" s="321" t="s">
        <v>31814</v>
      </c>
      <c r="GT488" s="214" t="s">
        <v>163</v>
      </c>
      <c r="GU488" s="214" t="s">
        <v>70</v>
      </c>
      <c r="GV488" s="214" t="s">
        <v>530</v>
      </c>
      <c r="GX488" s="214" t="s">
        <v>31815</v>
      </c>
      <c r="GY488" s="214" t="s">
        <v>34570</v>
      </c>
      <c r="GZ488" s="214" t="s">
        <v>70</v>
      </c>
      <c r="HA488" s="214" t="s">
        <v>530</v>
      </c>
      <c r="HC488" s="214" t="s">
        <v>31816</v>
      </c>
      <c r="HD488" s="214" t="s">
        <v>34545</v>
      </c>
      <c r="HE488" s="214" t="s">
        <v>70</v>
      </c>
      <c r="HF488" s="214" t="s">
        <v>530</v>
      </c>
      <c r="HH488" s="214" t="s">
        <v>31817</v>
      </c>
      <c r="HI488" s="214" t="s">
        <v>492</v>
      </c>
      <c r="HJ488" s="214" t="s">
        <v>70</v>
      </c>
      <c r="HK488" s="214" t="s">
        <v>530</v>
      </c>
      <c r="HM488" s="214" t="s">
        <v>31818</v>
      </c>
      <c r="HN488" s="214" t="s">
        <v>92</v>
      </c>
      <c r="HO488" s="214" t="s">
        <v>70</v>
      </c>
      <c r="HP488" s="214" t="s">
        <v>530</v>
      </c>
      <c r="HR488" s="22" t="s">
        <v>31819</v>
      </c>
      <c r="HS488" s="22" t="s">
        <v>34542</v>
      </c>
      <c r="HT488" s="22" t="s">
        <v>70</v>
      </c>
      <c r="HU488" s="214" t="s">
        <v>530</v>
      </c>
      <c r="HW488" s="22" t="s">
        <v>31820</v>
      </c>
      <c r="HX488" s="22" t="s">
        <v>34543</v>
      </c>
      <c r="HY488" s="22" t="s">
        <v>70</v>
      </c>
      <c r="HZ488" s="214" t="s">
        <v>530</v>
      </c>
      <c r="IB488" s="22" t="s">
        <v>31821</v>
      </c>
      <c r="IC488" s="22" t="s">
        <v>163</v>
      </c>
      <c r="ID488" s="22" t="s">
        <v>70</v>
      </c>
      <c r="IE488" s="214" t="s">
        <v>530</v>
      </c>
      <c r="IG488" s="22" t="s">
        <v>31822</v>
      </c>
      <c r="IH488" s="22" t="s">
        <v>52</v>
      </c>
      <c r="II488" s="22" t="s">
        <v>70</v>
      </c>
      <c r="IJ488" s="214" t="s">
        <v>530</v>
      </c>
      <c r="IL488" s="22" t="s">
        <v>31823</v>
      </c>
      <c r="IM488" s="22" t="s">
        <v>145</v>
      </c>
      <c r="IN488" s="22" t="s">
        <v>70</v>
      </c>
      <c r="IO488" s="214" t="s">
        <v>530</v>
      </c>
      <c r="IQ488" s="236" t="s">
        <v>31824</v>
      </c>
      <c r="IR488" s="236" t="s">
        <v>145</v>
      </c>
      <c r="IS488" s="236" t="s">
        <v>74</v>
      </c>
      <c r="IT488" s="236" t="s">
        <v>841</v>
      </c>
      <c r="IV488" s="236" t="s">
        <v>31825</v>
      </c>
      <c r="IW488" s="236" t="s">
        <v>145</v>
      </c>
      <c r="IX488" s="236" t="s">
        <v>74</v>
      </c>
      <c r="IY488" s="236" t="s">
        <v>841</v>
      </c>
      <c r="JA488" s="236" t="s">
        <v>31826</v>
      </c>
      <c r="JB488" s="236" t="s">
        <v>145</v>
      </c>
      <c r="JC488" s="236" t="s">
        <v>74</v>
      </c>
      <c r="JD488" s="236" t="s">
        <v>841</v>
      </c>
      <c r="JF488" s="236" t="s">
        <v>31827</v>
      </c>
      <c r="JG488" s="236" t="s">
        <v>145</v>
      </c>
      <c r="JH488" s="236" t="s">
        <v>74</v>
      </c>
      <c r="JI488" s="236" t="s">
        <v>841</v>
      </c>
      <c r="JK488" s="236" t="s">
        <v>31828</v>
      </c>
      <c r="JL488" s="236" t="s">
        <v>145</v>
      </c>
      <c r="JM488" s="236" t="s">
        <v>74</v>
      </c>
      <c r="JN488" s="236" t="s">
        <v>841</v>
      </c>
      <c r="JP488" s="236" t="s">
        <v>31829</v>
      </c>
      <c r="JQ488" s="236" t="s">
        <v>145</v>
      </c>
      <c r="JR488" s="236" t="s">
        <v>74</v>
      </c>
      <c r="JS488" s="236" t="s">
        <v>841</v>
      </c>
      <c r="JU488" s="294" t="s">
        <v>31830</v>
      </c>
      <c r="JV488" s="294" t="s">
        <v>52</v>
      </c>
      <c r="JW488" s="263" t="s">
        <v>70</v>
      </c>
      <c r="JX488" s="294" t="s">
        <v>1083</v>
      </c>
      <c r="JZ488" s="263" t="s">
        <v>31831</v>
      </c>
      <c r="KA488" s="263" t="s">
        <v>145</v>
      </c>
      <c r="KB488" s="263" t="s">
        <v>70</v>
      </c>
      <c r="KC488" s="263" t="s">
        <v>1083</v>
      </c>
      <c r="KE488" s="263" t="s">
        <v>31832</v>
      </c>
      <c r="KF488" s="263" t="s">
        <v>52</v>
      </c>
      <c r="KG488" s="263" t="s">
        <v>70</v>
      </c>
      <c r="KH488" s="263" t="s">
        <v>1083</v>
      </c>
      <c r="KJ488" s="263" t="s">
        <v>31833</v>
      </c>
      <c r="KK488" s="263" t="s">
        <v>52</v>
      </c>
      <c r="KL488" s="263" t="s">
        <v>74</v>
      </c>
      <c r="KM488" s="263" t="s">
        <v>34074</v>
      </c>
      <c r="KO488" s="214" t="s">
        <v>31834</v>
      </c>
      <c r="KP488" s="214" t="s">
        <v>145</v>
      </c>
      <c r="KQ488" s="214" t="s">
        <v>70</v>
      </c>
      <c r="KR488" s="214" t="s">
        <v>67</v>
      </c>
      <c r="KT488" s="22" t="s">
        <v>31835</v>
      </c>
      <c r="KU488" s="22" t="s">
        <v>145</v>
      </c>
      <c r="KV488" s="22" t="s">
        <v>70</v>
      </c>
      <c r="KW488" s="22" t="s">
        <v>67</v>
      </c>
      <c r="KY488" s="214" t="s">
        <v>31836</v>
      </c>
      <c r="KZ488" s="214" t="s">
        <v>52</v>
      </c>
      <c r="LA488" s="214" t="s">
        <v>74</v>
      </c>
      <c r="LB488" s="214" t="s">
        <v>67</v>
      </c>
      <c r="LD488" s="22" t="s">
        <v>31837</v>
      </c>
      <c r="LE488" s="22" t="s">
        <v>145</v>
      </c>
      <c r="LF488" s="22" t="s">
        <v>70</v>
      </c>
      <c r="LG488" s="22" t="s">
        <v>67</v>
      </c>
    </row>
    <row r="489" spans="1:319">
      <c r="A489" s="22" t="s">
        <v>31838</v>
      </c>
      <c r="B489" s="22" t="s">
        <v>145</v>
      </c>
      <c r="C489" s="22" t="s">
        <v>70</v>
      </c>
      <c r="D489" s="22" t="s">
        <v>67</v>
      </c>
      <c r="F489" s="73" t="s">
        <v>31839</v>
      </c>
      <c r="G489" s="22" t="s">
        <v>145</v>
      </c>
      <c r="H489" s="22" t="s">
        <v>70</v>
      </c>
      <c r="I489" s="22" t="s">
        <v>67</v>
      </c>
      <c r="K489" s="99" t="s">
        <v>31840</v>
      </c>
      <c r="L489" s="22" t="s">
        <v>145</v>
      </c>
      <c r="M489" s="22" t="s">
        <v>70</v>
      </c>
      <c r="N489" s="22" t="s">
        <v>67</v>
      </c>
      <c r="P489" s="99" t="s">
        <v>31841</v>
      </c>
      <c r="Q489" s="22" t="s">
        <v>145</v>
      </c>
      <c r="R489" s="22" t="s">
        <v>70</v>
      </c>
      <c r="S489" s="22" t="s">
        <v>67</v>
      </c>
      <c r="U489" s="293" t="s">
        <v>31842</v>
      </c>
      <c r="V489" s="293" t="s">
        <v>145</v>
      </c>
      <c r="W489" s="293" t="s">
        <v>74</v>
      </c>
      <c r="X489" s="293" t="s">
        <v>656</v>
      </c>
      <c r="Z489" s="293" t="s">
        <v>31843</v>
      </c>
      <c r="AA489" s="293" t="s">
        <v>145</v>
      </c>
      <c r="AB489" s="293" t="s">
        <v>74</v>
      </c>
      <c r="AC489" s="293" t="s">
        <v>656</v>
      </c>
      <c r="AE489" s="293" t="s">
        <v>31844</v>
      </c>
      <c r="AF489" s="293" t="s">
        <v>145</v>
      </c>
      <c r="AG489" s="293" t="s">
        <v>74</v>
      </c>
      <c r="AH489" s="293" t="s">
        <v>656</v>
      </c>
      <c r="AJ489" s="293" t="s">
        <v>31845</v>
      </c>
      <c r="AK489" s="293" t="s">
        <v>145</v>
      </c>
      <c r="AL489" s="293" t="s">
        <v>74</v>
      </c>
      <c r="AM489" s="293" t="s">
        <v>656</v>
      </c>
      <c r="AO489" s="22" t="s">
        <v>31846</v>
      </c>
      <c r="AP489" s="22" t="s">
        <v>145</v>
      </c>
      <c r="AQ489" s="22" t="s">
        <v>70</v>
      </c>
      <c r="AR489" s="22" t="s">
        <v>67</v>
      </c>
      <c r="AT489" s="22" t="s">
        <v>31847</v>
      </c>
      <c r="AU489" s="22" t="s">
        <v>145</v>
      </c>
      <c r="AV489" s="22" t="s">
        <v>70</v>
      </c>
      <c r="AW489" s="22" t="s">
        <v>67</v>
      </c>
      <c r="AY489" s="22" t="s">
        <v>31848</v>
      </c>
      <c r="AZ489" s="22" t="s">
        <v>145</v>
      </c>
      <c r="BA489" s="22" t="s">
        <v>70</v>
      </c>
      <c r="BB489" s="22" t="s">
        <v>67</v>
      </c>
      <c r="BD489" s="22" t="s">
        <v>31849</v>
      </c>
      <c r="BE489" s="22" t="s">
        <v>145</v>
      </c>
      <c r="BF489" s="22" t="s">
        <v>70</v>
      </c>
      <c r="BG489" s="22" t="s">
        <v>67</v>
      </c>
      <c r="BI489" s="22" t="s">
        <v>31850</v>
      </c>
      <c r="BJ489" s="22" t="s">
        <v>145</v>
      </c>
      <c r="BK489" s="22" t="s">
        <v>70</v>
      </c>
      <c r="BL489" s="22" t="s">
        <v>67</v>
      </c>
      <c r="BN489" s="22" t="s">
        <v>31851</v>
      </c>
      <c r="BO489" s="22" t="s">
        <v>145</v>
      </c>
      <c r="BP489" s="22" t="s">
        <v>70</v>
      </c>
      <c r="BQ489" s="22" t="s">
        <v>67</v>
      </c>
      <c r="BS489" s="22" t="s">
        <v>31852</v>
      </c>
      <c r="BT489" s="22" t="s">
        <v>145</v>
      </c>
      <c r="BU489" s="22" t="s">
        <v>70</v>
      </c>
      <c r="BV489" s="214" t="s">
        <v>530</v>
      </c>
      <c r="BX489" s="22" t="s">
        <v>31853</v>
      </c>
      <c r="BY489" s="22" t="s">
        <v>145</v>
      </c>
      <c r="BZ489" s="22" t="s">
        <v>70</v>
      </c>
      <c r="CA489" s="214" t="s">
        <v>530</v>
      </c>
      <c r="CC489" s="214" t="s">
        <v>31854</v>
      </c>
      <c r="CD489" s="214" t="s">
        <v>163</v>
      </c>
      <c r="CE489" s="214" t="s">
        <v>70</v>
      </c>
      <c r="CF489" s="214" t="s">
        <v>530</v>
      </c>
      <c r="CH489" s="214" t="s">
        <v>31855</v>
      </c>
      <c r="CI489" s="214" t="s">
        <v>491</v>
      </c>
      <c r="CJ489" s="214" t="s">
        <v>70</v>
      </c>
      <c r="CK489" s="214" t="s">
        <v>530</v>
      </c>
      <c r="CM489" s="214" t="s">
        <v>31856</v>
      </c>
      <c r="CN489" s="214" t="s">
        <v>34551</v>
      </c>
      <c r="CO489" s="214" t="s">
        <v>70</v>
      </c>
      <c r="CP489" s="214" t="s">
        <v>530</v>
      </c>
      <c r="CR489" s="214" t="s">
        <v>31857</v>
      </c>
      <c r="CS489" s="214" t="s">
        <v>486</v>
      </c>
      <c r="CT489" s="214" t="s">
        <v>70</v>
      </c>
      <c r="CU489" s="214" t="s">
        <v>530</v>
      </c>
      <c r="CW489" s="214" t="s">
        <v>31858</v>
      </c>
      <c r="CX489" s="214" t="s">
        <v>52</v>
      </c>
      <c r="CY489" s="214" t="s">
        <v>70</v>
      </c>
      <c r="CZ489" s="214" t="s">
        <v>530</v>
      </c>
      <c r="DB489" s="214" t="s">
        <v>31859</v>
      </c>
      <c r="DC489" s="214" t="s">
        <v>502</v>
      </c>
      <c r="DD489" s="214" t="s">
        <v>70</v>
      </c>
      <c r="DE489" s="214" t="s">
        <v>530</v>
      </c>
      <c r="DG489" s="214" t="s">
        <v>31860</v>
      </c>
      <c r="DH489" s="214" t="s">
        <v>599</v>
      </c>
      <c r="DI489" s="214" t="s">
        <v>70</v>
      </c>
      <c r="DJ489" s="214" t="s">
        <v>530</v>
      </c>
      <c r="DL489" s="214" t="s">
        <v>31861</v>
      </c>
      <c r="DM489" s="214" t="s">
        <v>484</v>
      </c>
      <c r="DN489" s="214" t="s">
        <v>70</v>
      </c>
      <c r="DO489" s="214" t="s">
        <v>530</v>
      </c>
      <c r="DQ489" s="214" t="s">
        <v>31862</v>
      </c>
      <c r="DR489" s="214" t="s">
        <v>531</v>
      </c>
      <c r="DS489" s="214" t="s">
        <v>70</v>
      </c>
      <c r="DT489" s="214" t="s">
        <v>530</v>
      </c>
      <c r="DV489" s="214" t="s">
        <v>31863</v>
      </c>
      <c r="DW489" s="214" t="s">
        <v>34548</v>
      </c>
      <c r="DX489" s="214" t="s">
        <v>70</v>
      </c>
      <c r="DY489" s="214" t="s">
        <v>530</v>
      </c>
      <c r="EA489" s="214" t="s">
        <v>31864</v>
      </c>
      <c r="EB489" s="214" t="s">
        <v>146</v>
      </c>
      <c r="EC489" s="214" t="s">
        <v>70</v>
      </c>
      <c r="ED489" s="214" t="s">
        <v>530</v>
      </c>
      <c r="EF489" s="214" t="s">
        <v>31865</v>
      </c>
      <c r="EG489" s="214" t="s">
        <v>531</v>
      </c>
      <c r="EH489" s="214" t="s">
        <v>70</v>
      </c>
      <c r="EI489" s="214" t="s">
        <v>530</v>
      </c>
      <c r="EK489" s="214" t="s">
        <v>31866</v>
      </c>
      <c r="EL489" s="214" t="s">
        <v>34543</v>
      </c>
      <c r="EM489" s="214" t="s">
        <v>70</v>
      </c>
      <c r="EN489" s="214" t="s">
        <v>530</v>
      </c>
      <c r="EP489" s="214" t="s">
        <v>31867</v>
      </c>
      <c r="EQ489" s="214" t="s">
        <v>34544</v>
      </c>
      <c r="ER489" s="214" t="s">
        <v>70</v>
      </c>
      <c r="ES489" s="214" t="s">
        <v>530</v>
      </c>
      <c r="EU489" s="214" t="s">
        <v>31868</v>
      </c>
      <c r="EV489" s="214" t="s">
        <v>34566</v>
      </c>
      <c r="EW489" s="214" t="s">
        <v>70</v>
      </c>
      <c r="EX489" s="214" t="s">
        <v>530</v>
      </c>
      <c r="EZ489" s="214" t="s">
        <v>31869</v>
      </c>
      <c r="FA489" s="214" t="s">
        <v>52</v>
      </c>
      <c r="FB489" s="214" t="s">
        <v>70</v>
      </c>
      <c r="FC489" s="214" t="s">
        <v>530</v>
      </c>
      <c r="FE489" s="214" t="s">
        <v>31870</v>
      </c>
      <c r="FF489" s="214" t="s">
        <v>499</v>
      </c>
      <c r="FG489" s="214" t="s">
        <v>70</v>
      </c>
      <c r="FH489" s="214" t="s">
        <v>530</v>
      </c>
      <c r="FJ489" s="321" t="s">
        <v>31871</v>
      </c>
      <c r="FK489" s="214" t="s">
        <v>52</v>
      </c>
      <c r="FL489" s="214" t="s">
        <v>70</v>
      </c>
      <c r="FM489" s="214" t="s">
        <v>530</v>
      </c>
      <c r="FO489" s="321" t="s">
        <v>31872</v>
      </c>
      <c r="FP489" s="214" t="s">
        <v>492</v>
      </c>
      <c r="FQ489" s="214" t="s">
        <v>70</v>
      </c>
      <c r="FR489" s="214" t="s">
        <v>530</v>
      </c>
      <c r="FT489" s="321" t="s">
        <v>31873</v>
      </c>
      <c r="FU489" s="214" t="s">
        <v>496</v>
      </c>
      <c r="FV489" s="214" t="s">
        <v>70</v>
      </c>
      <c r="FW489" s="214" t="s">
        <v>530</v>
      </c>
      <c r="FY489" s="321" t="s">
        <v>31874</v>
      </c>
      <c r="FZ489" s="214" t="s">
        <v>485</v>
      </c>
      <c r="GA489" s="214" t="s">
        <v>70</v>
      </c>
      <c r="GB489" s="214" t="s">
        <v>530</v>
      </c>
      <c r="GD489" s="321" t="s">
        <v>31875</v>
      </c>
      <c r="GE489" s="214" t="s">
        <v>52</v>
      </c>
      <c r="GF489" s="214" t="s">
        <v>70</v>
      </c>
      <c r="GG489" s="214" t="s">
        <v>530</v>
      </c>
      <c r="GI489" s="321" t="s">
        <v>31876</v>
      </c>
      <c r="GJ489" s="214" t="s">
        <v>468</v>
      </c>
      <c r="GK489" s="214" t="s">
        <v>70</v>
      </c>
      <c r="GL489" s="214" t="s">
        <v>530</v>
      </c>
      <c r="GN489" s="321" t="s">
        <v>31877</v>
      </c>
      <c r="GO489" s="214" t="s">
        <v>482</v>
      </c>
      <c r="GP489" s="214" t="s">
        <v>70</v>
      </c>
      <c r="GQ489" s="214" t="s">
        <v>530</v>
      </c>
      <c r="GS489" s="321" t="s">
        <v>31878</v>
      </c>
      <c r="GT489" s="214" t="s">
        <v>955</v>
      </c>
      <c r="GU489" s="214" t="s">
        <v>70</v>
      </c>
      <c r="GV489" s="214" t="s">
        <v>530</v>
      </c>
      <c r="GX489" s="214" t="s">
        <v>31879</v>
      </c>
      <c r="GY489" s="214" t="s">
        <v>87</v>
      </c>
      <c r="GZ489" s="214" t="s">
        <v>70</v>
      </c>
      <c r="HA489" s="214" t="s">
        <v>530</v>
      </c>
      <c r="HC489" s="214" t="s">
        <v>31880</v>
      </c>
      <c r="HD489" s="214" t="s">
        <v>34551</v>
      </c>
      <c r="HE489" s="214" t="s">
        <v>70</v>
      </c>
      <c r="HF489" s="214" t="s">
        <v>530</v>
      </c>
      <c r="HH489" s="214" t="s">
        <v>31881</v>
      </c>
      <c r="HI489" s="214" t="s">
        <v>148</v>
      </c>
      <c r="HJ489" s="214" t="s">
        <v>70</v>
      </c>
      <c r="HK489" s="214" t="s">
        <v>530</v>
      </c>
      <c r="HM489" s="214" t="s">
        <v>31882</v>
      </c>
      <c r="HN489" s="214" t="s">
        <v>482</v>
      </c>
      <c r="HO489" s="214" t="s">
        <v>70</v>
      </c>
      <c r="HP489" s="214" t="s">
        <v>530</v>
      </c>
      <c r="HR489" s="22" t="s">
        <v>31883</v>
      </c>
      <c r="HS489" s="22" t="s">
        <v>145</v>
      </c>
      <c r="HT489" s="22" t="s">
        <v>70</v>
      </c>
      <c r="HU489" s="214" t="s">
        <v>530</v>
      </c>
      <c r="HW489" s="22" t="s">
        <v>31884</v>
      </c>
      <c r="HX489" s="22" t="s">
        <v>145</v>
      </c>
      <c r="HY489" s="22" t="s">
        <v>70</v>
      </c>
      <c r="HZ489" s="214" t="s">
        <v>530</v>
      </c>
      <c r="IB489" s="22" t="s">
        <v>31885</v>
      </c>
      <c r="IC489" s="22" t="s">
        <v>34542</v>
      </c>
      <c r="ID489" s="22" t="s">
        <v>70</v>
      </c>
      <c r="IE489" s="214" t="s">
        <v>530</v>
      </c>
      <c r="IG489" s="22" t="s">
        <v>31886</v>
      </c>
      <c r="IH489" s="22" t="s">
        <v>52</v>
      </c>
      <c r="II489" s="22" t="s">
        <v>70</v>
      </c>
      <c r="IJ489" s="214" t="s">
        <v>530</v>
      </c>
      <c r="IL489" s="22" t="s">
        <v>31887</v>
      </c>
      <c r="IM489" s="22" t="s">
        <v>145</v>
      </c>
      <c r="IN489" s="22" t="s">
        <v>70</v>
      </c>
      <c r="IO489" s="214" t="s">
        <v>530</v>
      </c>
      <c r="IQ489" s="236" t="s">
        <v>31888</v>
      </c>
      <c r="IR489" s="236" t="s">
        <v>145</v>
      </c>
      <c r="IS489" s="236" t="s">
        <v>74</v>
      </c>
      <c r="IT489" s="236" t="s">
        <v>841</v>
      </c>
      <c r="IV489" s="236" t="s">
        <v>31889</v>
      </c>
      <c r="IW489" s="236" t="s">
        <v>145</v>
      </c>
      <c r="IX489" s="236" t="s">
        <v>74</v>
      </c>
      <c r="IY489" s="236" t="s">
        <v>841</v>
      </c>
      <c r="JA489" s="236" t="s">
        <v>31890</v>
      </c>
      <c r="JB489" s="236" t="s">
        <v>145</v>
      </c>
      <c r="JC489" s="236" t="s">
        <v>74</v>
      </c>
      <c r="JD489" s="236" t="s">
        <v>841</v>
      </c>
      <c r="JF489" s="236" t="s">
        <v>31891</v>
      </c>
      <c r="JG489" s="236" t="s">
        <v>145</v>
      </c>
      <c r="JH489" s="236" t="s">
        <v>74</v>
      </c>
      <c r="JI489" s="236" t="s">
        <v>841</v>
      </c>
      <c r="JK489" s="236" t="s">
        <v>31892</v>
      </c>
      <c r="JL489" s="236" t="s">
        <v>145</v>
      </c>
      <c r="JM489" s="236" t="s">
        <v>74</v>
      </c>
      <c r="JN489" s="236" t="s">
        <v>841</v>
      </c>
      <c r="JP489" s="236" t="s">
        <v>31893</v>
      </c>
      <c r="JQ489" s="236" t="s">
        <v>145</v>
      </c>
      <c r="JR489" s="236" t="s">
        <v>74</v>
      </c>
      <c r="JS489" s="236" t="s">
        <v>841</v>
      </c>
      <c r="JU489" s="294" t="s">
        <v>31894</v>
      </c>
      <c r="JV489" s="294" t="s">
        <v>52</v>
      </c>
      <c r="JW489" s="263" t="s">
        <v>70</v>
      </c>
      <c r="JX489" s="294" t="s">
        <v>1083</v>
      </c>
      <c r="JZ489" s="263" t="s">
        <v>31895</v>
      </c>
      <c r="KA489" s="263" t="s">
        <v>145</v>
      </c>
      <c r="KB489" s="263" t="s">
        <v>70</v>
      </c>
      <c r="KC489" s="263" t="s">
        <v>1083</v>
      </c>
      <c r="KE489" s="263" t="s">
        <v>31896</v>
      </c>
      <c r="KF489" s="263" t="s">
        <v>52</v>
      </c>
      <c r="KG489" s="263" t="s">
        <v>70</v>
      </c>
      <c r="KH489" s="263" t="s">
        <v>1083</v>
      </c>
      <c r="KJ489" s="263" t="s">
        <v>31897</v>
      </c>
      <c r="KK489" s="263" t="s">
        <v>52</v>
      </c>
      <c r="KL489" s="263" t="s">
        <v>74</v>
      </c>
      <c r="KM489" s="263" t="s">
        <v>34074</v>
      </c>
      <c r="KO489" s="214" t="s">
        <v>31898</v>
      </c>
      <c r="KP489" s="214" t="s">
        <v>145</v>
      </c>
      <c r="KQ489" s="214" t="s">
        <v>70</v>
      </c>
      <c r="KR489" s="214" t="s">
        <v>67</v>
      </c>
      <c r="KT489" s="22" t="s">
        <v>31899</v>
      </c>
      <c r="KU489" s="22" t="s">
        <v>145</v>
      </c>
      <c r="KV489" s="22" t="s">
        <v>70</v>
      </c>
      <c r="KW489" s="22" t="s">
        <v>67</v>
      </c>
      <c r="KY489" s="214" t="s">
        <v>31900</v>
      </c>
      <c r="KZ489" s="214" t="s">
        <v>52</v>
      </c>
      <c r="LA489" s="214" t="s">
        <v>74</v>
      </c>
      <c r="LB489" s="214" t="s">
        <v>67</v>
      </c>
      <c r="LD489" s="22" t="s">
        <v>31901</v>
      </c>
      <c r="LE489" s="22" t="s">
        <v>145</v>
      </c>
      <c r="LF489" s="22" t="s">
        <v>70</v>
      </c>
      <c r="LG489" s="22" t="s">
        <v>67</v>
      </c>
    </row>
    <row r="490" spans="1:319">
      <c r="A490" s="22" t="s">
        <v>31902</v>
      </c>
      <c r="B490" s="22" t="s">
        <v>145</v>
      </c>
      <c r="C490" s="22" t="s">
        <v>70</v>
      </c>
      <c r="D490" s="22" t="s">
        <v>67</v>
      </c>
      <c r="F490" s="73" t="s">
        <v>31903</v>
      </c>
      <c r="G490" s="22" t="s">
        <v>145</v>
      </c>
      <c r="H490" s="22" t="s">
        <v>70</v>
      </c>
      <c r="I490" s="22" t="s">
        <v>67</v>
      </c>
      <c r="K490" s="99" t="s">
        <v>31904</v>
      </c>
      <c r="L490" s="22" t="s">
        <v>145</v>
      </c>
      <c r="M490" s="22" t="s">
        <v>70</v>
      </c>
      <c r="N490" s="22" t="s">
        <v>67</v>
      </c>
      <c r="P490" s="99" t="s">
        <v>31905</v>
      </c>
      <c r="Q490" s="22" t="s">
        <v>145</v>
      </c>
      <c r="R490" s="22" t="s">
        <v>70</v>
      </c>
      <c r="S490" s="22" t="s">
        <v>67</v>
      </c>
      <c r="U490" s="293" t="s">
        <v>31906</v>
      </c>
      <c r="V490" s="293" t="s">
        <v>145</v>
      </c>
      <c r="W490" s="293" t="s">
        <v>74</v>
      </c>
      <c r="X490" s="293" t="s">
        <v>656</v>
      </c>
      <c r="Z490" s="293" t="s">
        <v>31907</v>
      </c>
      <c r="AA490" s="293" t="s">
        <v>145</v>
      </c>
      <c r="AB490" s="293" t="s">
        <v>74</v>
      </c>
      <c r="AC490" s="293" t="s">
        <v>656</v>
      </c>
      <c r="AE490" s="293" t="s">
        <v>31908</v>
      </c>
      <c r="AF490" s="293" t="s">
        <v>145</v>
      </c>
      <c r="AG490" s="293" t="s">
        <v>74</v>
      </c>
      <c r="AH490" s="293" t="s">
        <v>656</v>
      </c>
      <c r="AJ490" s="293" t="s">
        <v>31909</v>
      </c>
      <c r="AK490" s="293" t="s">
        <v>145</v>
      </c>
      <c r="AL490" s="293" t="s">
        <v>74</v>
      </c>
      <c r="AM490" s="293" t="s">
        <v>656</v>
      </c>
      <c r="AO490" s="22" t="s">
        <v>31910</v>
      </c>
      <c r="AP490" s="22" t="s">
        <v>145</v>
      </c>
      <c r="AQ490" s="22" t="s">
        <v>70</v>
      </c>
      <c r="AR490" s="22" t="s">
        <v>67</v>
      </c>
      <c r="AT490" s="22" t="s">
        <v>31911</v>
      </c>
      <c r="AU490" s="22" t="s">
        <v>145</v>
      </c>
      <c r="AV490" s="22" t="s">
        <v>70</v>
      </c>
      <c r="AW490" s="22" t="s">
        <v>67</v>
      </c>
      <c r="AY490" s="22" t="s">
        <v>31912</v>
      </c>
      <c r="AZ490" s="22" t="s">
        <v>145</v>
      </c>
      <c r="BA490" s="22" t="s">
        <v>70</v>
      </c>
      <c r="BB490" s="22" t="s">
        <v>67</v>
      </c>
      <c r="BD490" s="22" t="s">
        <v>31913</v>
      </c>
      <c r="BE490" s="22" t="s">
        <v>145</v>
      </c>
      <c r="BF490" s="22" t="s">
        <v>70</v>
      </c>
      <c r="BG490" s="22" t="s">
        <v>67</v>
      </c>
      <c r="BI490" s="22" t="s">
        <v>31914</v>
      </c>
      <c r="BJ490" s="22" t="s">
        <v>145</v>
      </c>
      <c r="BK490" s="22" t="s">
        <v>70</v>
      </c>
      <c r="BL490" s="22" t="s">
        <v>67</v>
      </c>
      <c r="BN490" s="22" t="s">
        <v>31915</v>
      </c>
      <c r="BO490" s="22" t="s">
        <v>145</v>
      </c>
      <c r="BP490" s="22" t="s">
        <v>70</v>
      </c>
      <c r="BQ490" s="22" t="s">
        <v>67</v>
      </c>
      <c r="BS490" s="22" t="s">
        <v>31916</v>
      </c>
      <c r="BT490" s="22" t="s">
        <v>145</v>
      </c>
      <c r="BU490" s="22" t="s">
        <v>70</v>
      </c>
      <c r="BV490" s="214" t="s">
        <v>530</v>
      </c>
      <c r="BX490" s="22" t="s">
        <v>31917</v>
      </c>
      <c r="BY490" s="22" t="s">
        <v>145</v>
      </c>
      <c r="BZ490" s="22" t="s">
        <v>70</v>
      </c>
      <c r="CA490" s="214" t="s">
        <v>530</v>
      </c>
      <c r="CC490" s="214" t="s">
        <v>31918</v>
      </c>
      <c r="CD490" s="214" t="s">
        <v>52</v>
      </c>
      <c r="CE490" s="214" t="s">
        <v>70</v>
      </c>
      <c r="CF490" s="214" t="s">
        <v>530</v>
      </c>
      <c r="CH490" s="214" t="s">
        <v>31919</v>
      </c>
      <c r="CI490" s="214" t="s">
        <v>52</v>
      </c>
      <c r="CJ490" s="214" t="s">
        <v>70</v>
      </c>
      <c r="CK490" s="214" t="s">
        <v>530</v>
      </c>
      <c r="CM490" s="214" t="s">
        <v>31920</v>
      </c>
      <c r="CN490" s="214" t="s">
        <v>34073</v>
      </c>
      <c r="CO490" s="214" t="s">
        <v>70</v>
      </c>
      <c r="CP490" s="214" t="s">
        <v>530</v>
      </c>
      <c r="CR490" s="214" t="s">
        <v>31921</v>
      </c>
      <c r="CS490" s="214" t="s">
        <v>501</v>
      </c>
      <c r="CT490" s="214" t="s">
        <v>70</v>
      </c>
      <c r="CU490" s="214" t="s">
        <v>530</v>
      </c>
      <c r="CW490" s="214" t="s">
        <v>31922</v>
      </c>
      <c r="CX490" s="214" t="s">
        <v>148</v>
      </c>
      <c r="CY490" s="214" t="s">
        <v>70</v>
      </c>
      <c r="CZ490" s="214" t="s">
        <v>530</v>
      </c>
      <c r="DB490" s="214" t="s">
        <v>31923</v>
      </c>
      <c r="DC490" s="214" t="s">
        <v>86</v>
      </c>
      <c r="DD490" s="214" t="s">
        <v>70</v>
      </c>
      <c r="DE490" s="214" t="s">
        <v>530</v>
      </c>
      <c r="DG490" s="214" t="s">
        <v>31924</v>
      </c>
      <c r="DH490" s="214" t="s">
        <v>529</v>
      </c>
      <c r="DI490" s="214" t="s">
        <v>70</v>
      </c>
      <c r="DJ490" s="214" t="s">
        <v>530</v>
      </c>
      <c r="DL490" s="214" t="s">
        <v>31925</v>
      </c>
      <c r="DM490" s="214" t="s">
        <v>655</v>
      </c>
      <c r="DN490" s="214" t="s">
        <v>70</v>
      </c>
      <c r="DO490" s="214" t="s">
        <v>530</v>
      </c>
      <c r="DQ490" s="214" t="s">
        <v>31926</v>
      </c>
      <c r="DR490" s="214" t="s">
        <v>1224</v>
      </c>
      <c r="DS490" s="214" t="s">
        <v>70</v>
      </c>
      <c r="DT490" s="214" t="s">
        <v>530</v>
      </c>
      <c r="DV490" s="214" t="s">
        <v>31927</v>
      </c>
      <c r="DW490" s="214" t="s">
        <v>603</v>
      </c>
      <c r="DX490" s="214" t="s">
        <v>70</v>
      </c>
      <c r="DY490" s="214" t="s">
        <v>530</v>
      </c>
      <c r="EA490" s="214" t="s">
        <v>31928</v>
      </c>
      <c r="EB490" s="214" t="s">
        <v>34599</v>
      </c>
      <c r="EC490" s="214" t="s">
        <v>70</v>
      </c>
      <c r="ED490" s="214" t="s">
        <v>530</v>
      </c>
      <c r="EF490" s="214" t="s">
        <v>31929</v>
      </c>
      <c r="EG490" s="214" t="s">
        <v>655</v>
      </c>
      <c r="EH490" s="214" t="s">
        <v>70</v>
      </c>
      <c r="EI490" s="214" t="s">
        <v>530</v>
      </c>
      <c r="EK490" s="214" t="s">
        <v>31930</v>
      </c>
      <c r="EL490" s="214" t="s">
        <v>52</v>
      </c>
      <c r="EM490" s="214" t="s">
        <v>70</v>
      </c>
      <c r="EN490" s="214" t="s">
        <v>530</v>
      </c>
      <c r="EP490" s="214" t="s">
        <v>31931</v>
      </c>
      <c r="EQ490" s="214" t="s">
        <v>34615</v>
      </c>
      <c r="ER490" s="214" t="s">
        <v>70</v>
      </c>
      <c r="ES490" s="214" t="s">
        <v>530</v>
      </c>
      <c r="EU490" s="214" t="s">
        <v>31932</v>
      </c>
      <c r="EV490" s="214" t="s">
        <v>1028</v>
      </c>
      <c r="EW490" s="214" t="s">
        <v>70</v>
      </c>
      <c r="EX490" s="214" t="s">
        <v>530</v>
      </c>
      <c r="EZ490" s="214" t="s">
        <v>31933</v>
      </c>
      <c r="FA490" s="214" t="s">
        <v>34585</v>
      </c>
      <c r="FB490" s="214" t="s">
        <v>70</v>
      </c>
      <c r="FC490" s="214" t="s">
        <v>530</v>
      </c>
      <c r="FE490" s="214" t="s">
        <v>31934</v>
      </c>
      <c r="FF490" s="214" t="s">
        <v>92</v>
      </c>
      <c r="FG490" s="214" t="s">
        <v>70</v>
      </c>
      <c r="FH490" s="214" t="s">
        <v>530</v>
      </c>
      <c r="FJ490" s="321" t="s">
        <v>31935</v>
      </c>
      <c r="FK490" s="214" t="s">
        <v>34516</v>
      </c>
      <c r="FL490" s="214" t="s">
        <v>70</v>
      </c>
      <c r="FM490" s="214" t="s">
        <v>530</v>
      </c>
      <c r="FO490" s="321" t="s">
        <v>31936</v>
      </c>
      <c r="FP490" s="214" t="s">
        <v>500</v>
      </c>
      <c r="FQ490" s="214" t="s">
        <v>70</v>
      </c>
      <c r="FR490" s="214" t="s">
        <v>530</v>
      </c>
      <c r="FT490" s="321" t="s">
        <v>31937</v>
      </c>
      <c r="FU490" s="214" t="s">
        <v>52</v>
      </c>
      <c r="FV490" s="214" t="s">
        <v>70</v>
      </c>
      <c r="FW490" s="214" t="s">
        <v>530</v>
      </c>
      <c r="FY490" s="321" t="s">
        <v>31938</v>
      </c>
      <c r="FZ490" s="214" t="s">
        <v>148</v>
      </c>
      <c r="GA490" s="214" t="s">
        <v>70</v>
      </c>
      <c r="GB490" s="214" t="s">
        <v>530</v>
      </c>
      <c r="GD490" s="321" t="s">
        <v>31939</v>
      </c>
      <c r="GE490" s="214" t="s">
        <v>940</v>
      </c>
      <c r="GF490" s="214" t="s">
        <v>70</v>
      </c>
      <c r="GG490" s="214" t="s">
        <v>530</v>
      </c>
      <c r="GI490" s="321" t="s">
        <v>31940</v>
      </c>
      <c r="GJ490" s="214" t="s">
        <v>52</v>
      </c>
      <c r="GK490" s="214" t="s">
        <v>70</v>
      </c>
      <c r="GL490" s="214" t="s">
        <v>530</v>
      </c>
      <c r="GN490" s="321" t="s">
        <v>31941</v>
      </c>
      <c r="GO490" s="214" t="s">
        <v>34636</v>
      </c>
      <c r="GP490" s="214" t="s">
        <v>70</v>
      </c>
      <c r="GQ490" s="214" t="s">
        <v>530</v>
      </c>
      <c r="GS490" s="321" t="s">
        <v>31942</v>
      </c>
      <c r="GT490" s="214" t="s">
        <v>163</v>
      </c>
      <c r="GU490" s="214" t="s">
        <v>70</v>
      </c>
      <c r="GV490" s="214" t="s">
        <v>530</v>
      </c>
      <c r="GX490" s="214" t="s">
        <v>31943</v>
      </c>
      <c r="GY490" s="214" t="s">
        <v>164</v>
      </c>
      <c r="GZ490" s="214" t="s">
        <v>70</v>
      </c>
      <c r="HA490" s="214" t="s">
        <v>530</v>
      </c>
      <c r="HC490" s="214" t="s">
        <v>31944</v>
      </c>
      <c r="HD490" s="214" t="s">
        <v>500</v>
      </c>
      <c r="HE490" s="214" t="s">
        <v>70</v>
      </c>
      <c r="HF490" s="214" t="s">
        <v>530</v>
      </c>
      <c r="HH490" s="214" t="s">
        <v>31945</v>
      </c>
      <c r="HI490" s="214" t="s">
        <v>484</v>
      </c>
      <c r="HJ490" s="214" t="s">
        <v>70</v>
      </c>
      <c r="HK490" s="214" t="s">
        <v>530</v>
      </c>
      <c r="HM490" s="214" t="s">
        <v>31946</v>
      </c>
      <c r="HN490" s="214" t="s">
        <v>52</v>
      </c>
      <c r="HO490" s="214" t="s">
        <v>70</v>
      </c>
      <c r="HP490" s="214" t="s">
        <v>530</v>
      </c>
      <c r="HR490" s="22" t="s">
        <v>31947</v>
      </c>
      <c r="HS490" s="22" t="s">
        <v>52</v>
      </c>
      <c r="HT490" s="22" t="s">
        <v>70</v>
      </c>
      <c r="HU490" s="214" t="s">
        <v>530</v>
      </c>
      <c r="HW490" s="22" t="s">
        <v>31948</v>
      </c>
      <c r="HX490" s="22" t="s">
        <v>52</v>
      </c>
      <c r="HY490" s="22" t="s">
        <v>70</v>
      </c>
      <c r="HZ490" s="214" t="s">
        <v>530</v>
      </c>
      <c r="IB490" s="22" t="s">
        <v>31949</v>
      </c>
      <c r="IC490" s="22" t="s">
        <v>286</v>
      </c>
      <c r="ID490" s="22" t="s">
        <v>70</v>
      </c>
      <c r="IE490" s="214" t="s">
        <v>530</v>
      </c>
      <c r="IG490" s="22" t="s">
        <v>31950</v>
      </c>
      <c r="IH490" s="22" t="s">
        <v>52</v>
      </c>
      <c r="II490" s="22" t="s">
        <v>70</v>
      </c>
      <c r="IJ490" s="214" t="s">
        <v>530</v>
      </c>
      <c r="IL490" s="22" t="s">
        <v>31951</v>
      </c>
      <c r="IM490" s="22" t="s">
        <v>145</v>
      </c>
      <c r="IN490" s="22" t="s">
        <v>70</v>
      </c>
      <c r="IO490" s="214" t="s">
        <v>530</v>
      </c>
      <c r="IQ490" s="236" t="s">
        <v>31952</v>
      </c>
      <c r="IR490" s="236" t="s">
        <v>145</v>
      </c>
      <c r="IS490" s="236" t="s">
        <v>74</v>
      </c>
      <c r="IT490" s="236" t="s">
        <v>841</v>
      </c>
      <c r="IV490" s="236" t="s">
        <v>31953</v>
      </c>
      <c r="IW490" s="236" t="s">
        <v>145</v>
      </c>
      <c r="IX490" s="236" t="s">
        <v>74</v>
      </c>
      <c r="IY490" s="236" t="s">
        <v>841</v>
      </c>
      <c r="JA490" s="236" t="s">
        <v>31954</v>
      </c>
      <c r="JB490" s="236" t="s">
        <v>145</v>
      </c>
      <c r="JC490" s="236" t="s">
        <v>74</v>
      </c>
      <c r="JD490" s="236" t="s">
        <v>841</v>
      </c>
      <c r="JF490" s="236" t="s">
        <v>31955</v>
      </c>
      <c r="JG490" s="236" t="s">
        <v>145</v>
      </c>
      <c r="JH490" s="236" t="s">
        <v>74</v>
      </c>
      <c r="JI490" s="236" t="s">
        <v>841</v>
      </c>
      <c r="JK490" s="236" t="s">
        <v>31956</v>
      </c>
      <c r="JL490" s="236" t="s">
        <v>145</v>
      </c>
      <c r="JM490" s="236" t="s">
        <v>74</v>
      </c>
      <c r="JN490" s="236" t="s">
        <v>841</v>
      </c>
      <c r="JP490" s="236" t="s">
        <v>31957</v>
      </c>
      <c r="JQ490" s="236" t="s">
        <v>145</v>
      </c>
      <c r="JR490" s="236" t="s">
        <v>74</v>
      </c>
      <c r="JS490" s="236" t="s">
        <v>841</v>
      </c>
      <c r="JU490" s="294" t="s">
        <v>31958</v>
      </c>
      <c r="JV490" s="294" t="s">
        <v>52</v>
      </c>
      <c r="JW490" s="263" t="s">
        <v>70</v>
      </c>
      <c r="JX490" s="294" t="s">
        <v>1083</v>
      </c>
      <c r="JZ490" s="263" t="s">
        <v>31959</v>
      </c>
      <c r="KA490" s="263" t="s">
        <v>145</v>
      </c>
      <c r="KB490" s="263" t="s">
        <v>70</v>
      </c>
      <c r="KC490" s="263" t="s">
        <v>1083</v>
      </c>
      <c r="KE490" s="263" t="s">
        <v>31960</v>
      </c>
      <c r="KF490" s="263" t="s">
        <v>52</v>
      </c>
      <c r="KG490" s="263" t="s">
        <v>70</v>
      </c>
      <c r="KH490" s="263" t="s">
        <v>1083</v>
      </c>
      <c r="KJ490" s="263" t="s">
        <v>31961</v>
      </c>
      <c r="KK490" s="263" t="s">
        <v>52</v>
      </c>
      <c r="KL490" s="263" t="s">
        <v>74</v>
      </c>
      <c r="KM490" s="263" t="s">
        <v>34074</v>
      </c>
      <c r="KO490" s="214" t="s">
        <v>31962</v>
      </c>
      <c r="KP490" s="214" t="s">
        <v>145</v>
      </c>
      <c r="KQ490" s="214" t="s">
        <v>70</v>
      </c>
      <c r="KR490" s="214" t="s">
        <v>67</v>
      </c>
      <c r="KT490" s="22" t="s">
        <v>31963</v>
      </c>
      <c r="KU490" s="22" t="s">
        <v>145</v>
      </c>
      <c r="KV490" s="22" t="s">
        <v>70</v>
      </c>
      <c r="KW490" s="22" t="s">
        <v>67</v>
      </c>
      <c r="KY490" s="214" t="s">
        <v>31964</v>
      </c>
      <c r="KZ490" s="214" t="s">
        <v>52</v>
      </c>
      <c r="LA490" s="214" t="s">
        <v>74</v>
      </c>
      <c r="LB490" s="214" t="s">
        <v>67</v>
      </c>
      <c r="LD490" s="22" t="s">
        <v>31965</v>
      </c>
      <c r="LE490" s="22" t="s">
        <v>145</v>
      </c>
      <c r="LF490" s="22" t="s">
        <v>70</v>
      </c>
      <c r="LG490" s="22" t="s">
        <v>67</v>
      </c>
    </row>
    <row r="491" spans="1:319">
      <c r="A491" s="22" t="s">
        <v>31966</v>
      </c>
      <c r="B491" s="22" t="s">
        <v>145</v>
      </c>
      <c r="C491" s="22" t="s">
        <v>70</v>
      </c>
      <c r="D491" s="22" t="s">
        <v>67</v>
      </c>
      <c r="F491" s="73" t="s">
        <v>31967</v>
      </c>
      <c r="G491" s="22" t="s">
        <v>145</v>
      </c>
      <c r="H491" s="22" t="s">
        <v>70</v>
      </c>
      <c r="I491" s="22" t="s">
        <v>67</v>
      </c>
      <c r="K491" s="99" t="s">
        <v>31968</v>
      </c>
      <c r="L491" s="22" t="s">
        <v>145</v>
      </c>
      <c r="M491" s="22" t="s">
        <v>70</v>
      </c>
      <c r="N491" s="22" t="s">
        <v>67</v>
      </c>
      <c r="P491" s="99" t="s">
        <v>31969</v>
      </c>
      <c r="Q491" s="22" t="s">
        <v>145</v>
      </c>
      <c r="R491" s="22" t="s">
        <v>70</v>
      </c>
      <c r="S491" s="22" t="s">
        <v>67</v>
      </c>
      <c r="U491" s="293" t="s">
        <v>31970</v>
      </c>
      <c r="V491" s="293" t="s">
        <v>145</v>
      </c>
      <c r="W491" s="293" t="s">
        <v>74</v>
      </c>
      <c r="X491" s="293" t="s">
        <v>656</v>
      </c>
      <c r="Z491" s="293" t="s">
        <v>31971</v>
      </c>
      <c r="AA491" s="293" t="s">
        <v>145</v>
      </c>
      <c r="AB491" s="293" t="s">
        <v>74</v>
      </c>
      <c r="AC491" s="293" t="s">
        <v>656</v>
      </c>
      <c r="AE491" s="293" t="s">
        <v>31972</v>
      </c>
      <c r="AF491" s="293" t="s">
        <v>145</v>
      </c>
      <c r="AG491" s="293" t="s">
        <v>74</v>
      </c>
      <c r="AH491" s="293" t="s">
        <v>656</v>
      </c>
      <c r="AJ491" s="293" t="s">
        <v>31973</v>
      </c>
      <c r="AK491" s="293" t="s">
        <v>145</v>
      </c>
      <c r="AL491" s="293" t="s">
        <v>74</v>
      </c>
      <c r="AM491" s="293" t="s">
        <v>656</v>
      </c>
      <c r="AO491" s="22" t="s">
        <v>31974</v>
      </c>
      <c r="AP491" s="22" t="s">
        <v>145</v>
      </c>
      <c r="AQ491" s="22" t="s">
        <v>70</v>
      </c>
      <c r="AR491" s="22" t="s">
        <v>67</v>
      </c>
      <c r="AT491" s="22" t="s">
        <v>31975</v>
      </c>
      <c r="AU491" s="22" t="s">
        <v>145</v>
      </c>
      <c r="AV491" s="22" t="s">
        <v>70</v>
      </c>
      <c r="AW491" s="22" t="s">
        <v>67</v>
      </c>
      <c r="AY491" s="22" t="s">
        <v>31976</v>
      </c>
      <c r="AZ491" s="22" t="s">
        <v>145</v>
      </c>
      <c r="BA491" s="22" t="s">
        <v>70</v>
      </c>
      <c r="BB491" s="22" t="s">
        <v>67</v>
      </c>
      <c r="BD491" s="22" t="s">
        <v>31977</v>
      </c>
      <c r="BE491" s="22" t="s">
        <v>145</v>
      </c>
      <c r="BF491" s="22" t="s">
        <v>70</v>
      </c>
      <c r="BG491" s="22" t="s">
        <v>67</v>
      </c>
      <c r="BI491" s="22" t="s">
        <v>31978</v>
      </c>
      <c r="BJ491" s="22" t="s">
        <v>145</v>
      </c>
      <c r="BK491" s="22" t="s">
        <v>70</v>
      </c>
      <c r="BL491" s="22" t="s">
        <v>67</v>
      </c>
      <c r="BN491" s="22" t="s">
        <v>31979</v>
      </c>
      <c r="BO491" s="22" t="s">
        <v>145</v>
      </c>
      <c r="BP491" s="22" t="s">
        <v>70</v>
      </c>
      <c r="BQ491" s="22" t="s">
        <v>67</v>
      </c>
      <c r="BS491" s="22" t="s">
        <v>31980</v>
      </c>
      <c r="BT491" s="22" t="s">
        <v>145</v>
      </c>
      <c r="BU491" s="22" t="s">
        <v>70</v>
      </c>
      <c r="BV491" s="214" t="s">
        <v>530</v>
      </c>
      <c r="BX491" s="22" t="s">
        <v>31981</v>
      </c>
      <c r="BY491" s="22" t="s">
        <v>145</v>
      </c>
      <c r="BZ491" s="22" t="s">
        <v>70</v>
      </c>
      <c r="CA491" s="214" t="s">
        <v>530</v>
      </c>
      <c r="CC491" s="214" t="s">
        <v>31982</v>
      </c>
      <c r="CD491" s="214" t="s">
        <v>483</v>
      </c>
      <c r="CE491" s="214" t="s">
        <v>70</v>
      </c>
      <c r="CF491" s="214" t="s">
        <v>530</v>
      </c>
      <c r="CH491" s="214" t="s">
        <v>31983</v>
      </c>
      <c r="CI491" s="214" t="s">
        <v>52</v>
      </c>
      <c r="CJ491" s="214" t="s">
        <v>70</v>
      </c>
      <c r="CK491" s="214" t="s">
        <v>530</v>
      </c>
      <c r="CM491" s="214" t="s">
        <v>31984</v>
      </c>
      <c r="CN491" s="214" t="s">
        <v>488</v>
      </c>
      <c r="CO491" s="214" t="s">
        <v>70</v>
      </c>
      <c r="CP491" s="214" t="s">
        <v>530</v>
      </c>
      <c r="CR491" s="214" t="s">
        <v>31985</v>
      </c>
      <c r="CS491" s="214" t="s">
        <v>488</v>
      </c>
      <c r="CT491" s="214" t="s">
        <v>70</v>
      </c>
      <c r="CU491" s="214" t="s">
        <v>530</v>
      </c>
      <c r="CW491" s="214" t="s">
        <v>31986</v>
      </c>
      <c r="CX491" s="214" t="s">
        <v>600</v>
      </c>
      <c r="CY491" s="214" t="s">
        <v>70</v>
      </c>
      <c r="CZ491" s="214" t="s">
        <v>530</v>
      </c>
      <c r="DB491" s="214" t="s">
        <v>31987</v>
      </c>
      <c r="DC491" s="214" t="s">
        <v>52</v>
      </c>
      <c r="DD491" s="214" t="s">
        <v>70</v>
      </c>
      <c r="DE491" s="214" t="s">
        <v>530</v>
      </c>
      <c r="DG491" s="214" t="s">
        <v>31988</v>
      </c>
      <c r="DH491" s="214" t="s">
        <v>502</v>
      </c>
      <c r="DI491" s="214" t="s">
        <v>70</v>
      </c>
      <c r="DJ491" s="214" t="s">
        <v>530</v>
      </c>
      <c r="DL491" s="214" t="s">
        <v>31989</v>
      </c>
      <c r="DM491" s="214" t="s">
        <v>950</v>
      </c>
      <c r="DN491" s="214" t="s">
        <v>70</v>
      </c>
      <c r="DO491" s="214" t="s">
        <v>530</v>
      </c>
      <c r="DQ491" s="214" t="s">
        <v>31990</v>
      </c>
      <c r="DR491" s="214" t="s">
        <v>34548</v>
      </c>
      <c r="DS491" s="214" t="s">
        <v>70</v>
      </c>
      <c r="DT491" s="214" t="s">
        <v>530</v>
      </c>
      <c r="DV491" s="214" t="s">
        <v>31991</v>
      </c>
      <c r="DW491" s="214" t="s">
        <v>501</v>
      </c>
      <c r="DX491" s="214" t="s">
        <v>70</v>
      </c>
      <c r="DY491" s="214" t="s">
        <v>530</v>
      </c>
      <c r="EA491" s="214" t="s">
        <v>31992</v>
      </c>
      <c r="EB491" s="214" t="s">
        <v>486</v>
      </c>
      <c r="EC491" s="214" t="s">
        <v>70</v>
      </c>
      <c r="ED491" s="214" t="s">
        <v>530</v>
      </c>
      <c r="EF491" s="214" t="s">
        <v>31993</v>
      </c>
      <c r="EG491" s="214" t="s">
        <v>146</v>
      </c>
      <c r="EH491" s="214" t="s">
        <v>70</v>
      </c>
      <c r="EI491" s="214" t="s">
        <v>530</v>
      </c>
      <c r="EK491" s="214" t="s">
        <v>31994</v>
      </c>
      <c r="EL491" s="214" t="s">
        <v>497</v>
      </c>
      <c r="EM491" s="214" t="s">
        <v>70</v>
      </c>
      <c r="EN491" s="214" t="s">
        <v>530</v>
      </c>
      <c r="EP491" s="214" t="s">
        <v>31995</v>
      </c>
      <c r="EQ491" s="214" t="s">
        <v>491</v>
      </c>
      <c r="ER491" s="214" t="s">
        <v>70</v>
      </c>
      <c r="ES491" s="214" t="s">
        <v>530</v>
      </c>
      <c r="EU491" s="214" t="s">
        <v>31996</v>
      </c>
      <c r="EV491" s="214" t="s">
        <v>488</v>
      </c>
      <c r="EW491" s="214" t="s">
        <v>70</v>
      </c>
      <c r="EX491" s="214" t="s">
        <v>530</v>
      </c>
      <c r="EZ491" s="214" t="s">
        <v>31997</v>
      </c>
      <c r="FA491" s="214" t="s">
        <v>93</v>
      </c>
      <c r="FB491" s="214" t="s">
        <v>70</v>
      </c>
      <c r="FC491" s="214" t="s">
        <v>530</v>
      </c>
      <c r="FE491" s="214" t="s">
        <v>31998</v>
      </c>
      <c r="FF491" s="214" t="s">
        <v>500</v>
      </c>
      <c r="FG491" s="214" t="s">
        <v>70</v>
      </c>
      <c r="FH491" s="214" t="s">
        <v>530</v>
      </c>
      <c r="FJ491" s="321" t="s">
        <v>31999</v>
      </c>
      <c r="FK491" s="214" t="s">
        <v>52</v>
      </c>
      <c r="FL491" s="214" t="s">
        <v>70</v>
      </c>
      <c r="FM491" s="214" t="s">
        <v>530</v>
      </c>
      <c r="FO491" s="321" t="s">
        <v>32000</v>
      </c>
      <c r="FP491" s="214" t="s">
        <v>501</v>
      </c>
      <c r="FQ491" s="214" t="s">
        <v>70</v>
      </c>
      <c r="FR491" s="214" t="s">
        <v>530</v>
      </c>
      <c r="FT491" s="321" t="s">
        <v>32001</v>
      </c>
      <c r="FU491" s="214" t="s">
        <v>52</v>
      </c>
      <c r="FV491" s="214" t="s">
        <v>70</v>
      </c>
      <c r="FW491" s="214" t="s">
        <v>530</v>
      </c>
      <c r="FY491" s="321" t="s">
        <v>32002</v>
      </c>
      <c r="FZ491" s="214" t="s">
        <v>34544</v>
      </c>
      <c r="GA491" s="214" t="s">
        <v>70</v>
      </c>
      <c r="GB491" s="214" t="s">
        <v>530</v>
      </c>
      <c r="GD491" s="321" t="s">
        <v>32003</v>
      </c>
      <c r="GE491" s="214" t="s">
        <v>488</v>
      </c>
      <c r="GF491" s="214" t="s">
        <v>70</v>
      </c>
      <c r="GG491" s="214" t="s">
        <v>530</v>
      </c>
      <c r="GI491" s="321" t="s">
        <v>32004</v>
      </c>
      <c r="GJ491" s="214" t="s">
        <v>502</v>
      </c>
      <c r="GK491" s="214" t="s">
        <v>70</v>
      </c>
      <c r="GL491" s="214" t="s">
        <v>530</v>
      </c>
      <c r="GN491" s="321" t="s">
        <v>32005</v>
      </c>
      <c r="GO491" s="214" t="s">
        <v>798</v>
      </c>
      <c r="GP491" s="214" t="s">
        <v>70</v>
      </c>
      <c r="GQ491" s="214" t="s">
        <v>530</v>
      </c>
      <c r="GS491" s="321" t="s">
        <v>32006</v>
      </c>
      <c r="GT491" s="214" t="s">
        <v>484</v>
      </c>
      <c r="GU491" s="214" t="s">
        <v>70</v>
      </c>
      <c r="GV491" s="214" t="s">
        <v>530</v>
      </c>
      <c r="GX491" s="214" t="s">
        <v>32007</v>
      </c>
      <c r="GY491" s="214" t="s">
        <v>146</v>
      </c>
      <c r="GZ491" s="214" t="s">
        <v>70</v>
      </c>
      <c r="HA491" s="214" t="s">
        <v>530</v>
      </c>
      <c r="HC491" s="214" t="s">
        <v>32008</v>
      </c>
      <c r="HD491" s="214" t="s">
        <v>502</v>
      </c>
      <c r="HE491" s="214" t="s">
        <v>70</v>
      </c>
      <c r="HF491" s="214" t="s">
        <v>530</v>
      </c>
      <c r="HH491" s="214" t="s">
        <v>32009</v>
      </c>
      <c r="HI491" s="214" t="s">
        <v>602</v>
      </c>
      <c r="HJ491" s="214" t="s">
        <v>70</v>
      </c>
      <c r="HK491" s="214" t="s">
        <v>530</v>
      </c>
      <c r="HM491" s="214" t="s">
        <v>32010</v>
      </c>
      <c r="HN491" s="214" t="s">
        <v>33910</v>
      </c>
      <c r="HO491" s="214" t="s">
        <v>70</v>
      </c>
      <c r="HP491" s="214" t="s">
        <v>530</v>
      </c>
      <c r="HR491" s="22" t="s">
        <v>32011</v>
      </c>
      <c r="HS491" s="22" t="s">
        <v>485</v>
      </c>
      <c r="HT491" s="22" t="s">
        <v>70</v>
      </c>
      <c r="HU491" s="214" t="s">
        <v>530</v>
      </c>
      <c r="HW491" s="22" t="s">
        <v>32012</v>
      </c>
      <c r="HX491" s="22" t="s">
        <v>485</v>
      </c>
      <c r="HY491" s="22" t="s">
        <v>70</v>
      </c>
      <c r="HZ491" s="214" t="s">
        <v>530</v>
      </c>
      <c r="IB491" s="22" t="s">
        <v>32013</v>
      </c>
      <c r="IC491" s="22" t="s">
        <v>491</v>
      </c>
      <c r="ID491" s="22" t="s">
        <v>70</v>
      </c>
      <c r="IE491" s="214" t="s">
        <v>530</v>
      </c>
      <c r="IG491" s="22" t="s">
        <v>32014</v>
      </c>
      <c r="IH491" s="22" t="s">
        <v>52</v>
      </c>
      <c r="II491" s="22" t="s">
        <v>70</v>
      </c>
      <c r="IJ491" s="214" t="s">
        <v>530</v>
      </c>
      <c r="IL491" s="22" t="s">
        <v>32015</v>
      </c>
      <c r="IM491" s="22" t="s">
        <v>145</v>
      </c>
      <c r="IN491" s="22" t="s">
        <v>70</v>
      </c>
      <c r="IO491" s="214" t="s">
        <v>530</v>
      </c>
      <c r="IQ491" s="236" t="s">
        <v>32016</v>
      </c>
      <c r="IR491" s="236" t="s">
        <v>145</v>
      </c>
      <c r="IS491" s="236" t="s">
        <v>74</v>
      </c>
      <c r="IT491" s="236" t="s">
        <v>841</v>
      </c>
      <c r="IV491" s="236" t="s">
        <v>32017</v>
      </c>
      <c r="IW491" s="236" t="s">
        <v>145</v>
      </c>
      <c r="IX491" s="236" t="s">
        <v>74</v>
      </c>
      <c r="IY491" s="236" t="s">
        <v>841</v>
      </c>
      <c r="JA491" s="236" t="s">
        <v>32018</v>
      </c>
      <c r="JB491" s="236" t="s">
        <v>145</v>
      </c>
      <c r="JC491" s="236" t="s">
        <v>74</v>
      </c>
      <c r="JD491" s="236" t="s">
        <v>841</v>
      </c>
      <c r="JF491" s="236" t="s">
        <v>32019</v>
      </c>
      <c r="JG491" s="236" t="s">
        <v>145</v>
      </c>
      <c r="JH491" s="236" t="s">
        <v>74</v>
      </c>
      <c r="JI491" s="236" t="s">
        <v>841</v>
      </c>
      <c r="JK491" s="236" t="s">
        <v>32020</v>
      </c>
      <c r="JL491" s="236" t="s">
        <v>145</v>
      </c>
      <c r="JM491" s="236" t="s">
        <v>74</v>
      </c>
      <c r="JN491" s="236" t="s">
        <v>841</v>
      </c>
      <c r="JP491" s="236" t="s">
        <v>32021</v>
      </c>
      <c r="JQ491" s="236" t="s">
        <v>145</v>
      </c>
      <c r="JR491" s="236" t="s">
        <v>74</v>
      </c>
      <c r="JS491" s="236" t="s">
        <v>841</v>
      </c>
      <c r="JU491" s="294" t="s">
        <v>32022</v>
      </c>
      <c r="JV491" s="294" t="s">
        <v>52</v>
      </c>
      <c r="JW491" s="263" t="s">
        <v>70</v>
      </c>
      <c r="JX491" s="294" t="s">
        <v>1083</v>
      </c>
      <c r="JZ491" s="263" t="s">
        <v>32023</v>
      </c>
      <c r="KA491" s="263" t="s">
        <v>145</v>
      </c>
      <c r="KB491" s="263" t="s">
        <v>70</v>
      </c>
      <c r="KC491" s="263" t="s">
        <v>1083</v>
      </c>
      <c r="KE491" s="263" t="s">
        <v>32024</v>
      </c>
      <c r="KF491" s="263" t="s">
        <v>52</v>
      </c>
      <c r="KG491" s="263" t="s">
        <v>70</v>
      </c>
      <c r="KH491" s="263" t="s">
        <v>1083</v>
      </c>
      <c r="KJ491" s="263" t="s">
        <v>32025</v>
      </c>
      <c r="KK491" s="263" t="s">
        <v>52</v>
      </c>
      <c r="KL491" s="263" t="s">
        <v>74</v>
      </c>
      <c r="KM491" s="263" t="s">
        <v>34074</v>
      </c>
      <c r="KO491" s="214" t="s">
        <v>32026</v>
      </c>
      <c r="KP491" s="214" t="s">
        <v>145</v>
      </c>
      <c r="KQ491" s="214" t="s">
        <v>70</v>
      </c>
      <c r="KR491" s="214" t="s">
        <v>67</v>
      </c>
      <c r="KT491" s="22" t="s">
        <v>32027</v>
      </c>
      <c r="KU491" s="22" t="s">
        <v>145</v>
      </c>
      <c r="KV491" s="22" t="s">
        <v>70</v>
      </c>
      <c r="KW491" s="22" t="s">
        <v>67</v>
      </c>
      <c r="KY491" s="214" t="s">
        <v>32028</v>
      </c>
      <c r="KZ491" s="214" t="s">
        <v>52</v>
      </c>
      <c r="LA491" s="214" t="s">
        <v>74</v>
      </c>
      <c r="LB491" s="214" t="s">
        <v>67</v>
      </c>
      <c r="LD491" s="22" t="s">
        <v>32029</v>
      </c>
      <c r="LE491" s="22" t="s">
        <v>145</v>
      </c>
      <c r="LF491" s="22" t="s">
        <v>70</v>
      </c>
      <c r="LG491" s="22" t="s">
        <v>67</v>
      </c>
    </row>
    <row r="492" spans="1:319">
      <c r="A492" s="22" t="s">
        <v>32030</v>
      </c>
      <c r="B492" s="22" t="s">
        <v>145</v>
      </c>
      <c r="C492" s="22" t="s">
        <v>70</v>
      </c>
      <c r="D492" s="22" t="s">
        <v>67</v>
      </c>
      <c r="F492" s="73" t="s">
        <v>32031</v>
      </c>
      <c r="G492" s="22" t="s">
        <v>145</v>
      </c>
      <c r="H492" s="22" t="s">
        <v>70</v>
      </c>
      <c r="I492" s="22" t="s">
        <v>67</v>
      </c>
      <c r="K492" s="99" t="s">
        <v>32032</v>
      </c>
      <c r="L492" s="22" t="s">
        <v>145</v>
      </c>
      <c r="M492" s="22" t="s">
        <v>70</v>
      </c>
      <c r="N492" s="22" t="s">
        <v>67</v>
      </c>
      <c r="P492" s="99" t="s">
        <v>32033</v>
      </c>
      <c r="Q492" s="22" t="s">
        <v>145</v>
      </c>
      <c r="R492" s="22" t="s">
        <v>70</v>
      </c>
      <c r="S492" s="22" t="s">
        <v>67</v>
      </c>
      <c r="U492" s="293" t="s">
        <v>32034</v>
      </c>
      <c r="V492" s="293" t="s">
        <v>145</v>
      </c>
      <c r="W492" s="293" t="s">
        <v>74</v>
      </c>
      <c r="X492" s="293" t="s">
        <v>656</v>
      </c>
      <c r="Z492" s="293" t="s">
        <v>32035</v>
      </c>
      <c r="AA492" s="293" t="s">
        <v>145</v>
      </c>
      <c r="AB492" s="293" t="s">
        <v>74</v>
      </c>
      <c r="AC492" s="293" t="s">
        <v>656</v>
      </c>
      <c r="AE492" s="293" t="s">
        <v>32036</v>
      </c>
      <c r="AF492" s="293" t="s">
        <v>145</v>
      </c>
      <c r="AG492" s="293" t="s">
        <v>74</v>
      </c>
      <c r="AH492" s="293" t="s">
        <v>656</v>
      </c>
      <c r="AJ492" s="293" t="s">
        <v>32037</v>
      </c>
      <c r="AK492" s="293" t="s">
        <v>145</v>
      </c>
      <c r="AL492" s="293" t="s">
        <v>74</v>
      </c>
      <c r="AM492" s="293" t="s">
        <v>656</v>
      </c>
      <c r="AO492" s="22" t="s">
        <v>32038</v>
      </c>
      <c r="AP492" s="22" t="s">
        <v>145</v>
      </c>
      <c r="AQ492" s="22" t="s">
        <v>70</v>
      </c>
      <c r="AR492" s="22" t="s">
        <v>67</v>
      </c>
      <c r="AT492" s="22" t="s">
        <v>32039</v>
      </c>
      <c r="AU492" s="22" t="s">
        <v>145</v>
      </c>
      <c r="AV492" s="22" t="s">
        <v>70</v>
      </c>
      <c r="AW492" s="22" t="s">
        <v>67</v>
      </c>
      <c r="AY492" s="22" t="s">
        <v>32040</v>
      </c>
      <c r="AZ492" s="22" t="s">
        <v>145</v>
      </c>
      <c r="BA492" s="22" t="s">
        <v>70</v>
      </c>
      <c r="BB492" s="22" t="s">
        <v>67</v>
      </c>
      <c r="BD492" s="22" t="s">
        <v>32041</v>
      </c>
      <c r="BE492" s="22" t="s">
        <v>145</v>
      </c>
      <c r="BF492" s="22" t="s">
        <v>70</v>
      </c>
      <c r="BG492" s="22" t="s">
        <v>67</v>
      </c>
      <c r="BI492" s="22" t="s">
        <v>32042</v>
      </c>
      <c r="BJ492" s="22" t="s">
        <v>145</v>
      </c>
      <c r="BK492" s="22" t="s">
        <v>70</v>
      </c>
      <c r="BL492" s="22" t="s">
        <v>67</v>
      </c>
      <c r="BN492" s="22" t="s">
        <v>32043</v>
      </c>
      <c r="BO492" s="22" t="s">
        <v>145</v>
      </c>
      <c r="BP492" s="22" t="s">
        <v>70</v>
      </c>
      <c r="BQ492" s="22" t="s">
        <v>67</v>
      </c>
      <c r="BS492" s="22" t="s">
        <v>32044</v>
      </c>
      <c r="BT492" s="22" t="s">
        <v>145</v>
      </c>
      <c r="BU492" s="22" t="s">
        <v>70</v>
      </c>
      <c r="BV492" s="214" t="s">
        <v>530</v>
      </c>
      <c r="BX492" s="22" t="s">
        <v>32045</v>
      </c>
      <c r="BY492" s="22" t="s">
        <v>145</v>
      </c>
      <c r="BZ492" s="22" t="s">
        <v>70</v>
      </c>
      <c r="CA492" s="214" t="s">
        <v>530</v>
      </c>
      <c r="CC492" s="214" t="s">
        <v>32046</v>
      </c>
      <c r="CD492" s="214" t="s">
        <v>149</v>
      </c>
      <c r="CE492" s="214" t="s">
        <v>70</v>
      </c>
      <c r="CF492" s="214" t="s">
        <v>530</v>
      </c>
      <c r="CH492" s="214" t="s">
        <v>32047</v>
      </c>
      <c r="CI492" s="214" t="s">
        <v>164</v>
      </c>
      <c r="CJ492" s="214" t="s">
        <v>70</v>
      </c>
      <c r="CK492" s="214" t="s">
        <v>530</v>
      </c>
      <c r="CM492" s="214" t="s">
        <v>32048</v>
      </c>
      <c r="CN492" s="214" t="s">
        <v>468</v>
      </c>
      <c r="CO492" s="214" t="s">
        <v>70</v>
      </c>
      <c r="CP492" s="214" t="s">
        <v>530</v>
      </c>
      <c r="CR492" s="214" t="s">
        <v>32049</v>
      </c>
      <c r="CS492" s="214" t="s">
        <v>163</v>
      </c>
      <c r="CT492" s="214" t="s">
        <v>70</v>
      </c>
      <c r="CU492" s="214" t="s">
        <v>530</v>
      </c>
      <c r="CW492" s="214" t="s">
        <v>32050</v>
      </c>
      <c r="CX492" s="214" t="s">
        <v>52</v>
      </c>
      <c r="CY492" s="214" t="s">
        <v>70</v>
      </c>
      <c r="CZ492" s="214" t="s">
        <v>530</v>
      </c>
      <c r="DB492" s="214" t="s">
        <v>32051</v>
      </c>
      <c r="DC492" s="214" t="s">
        <v>145</v>
      </c>
      <c r="DD492" s="214" t="s">
        <v>70</v>
      </c>
      <c r="DE492" s="214" t="s">
        <v>530</v>
      </c>
      <c r="DG492" s="214" t="s">
        <v>32052</v>
      </c>
      <c r="DH492" s="214" t="s">
        <v>485</v>
      </c>
      <c r="DI492" s="214" t="s">
        <v>70</v>
      </c>
      <c r="DJ492" s="214" t="s">
        <v>530</v>
      </c>
      <c r="DL492" s="214" t="s">
        <v>32053</v>
      </c>
      <c r="DM492" s="214" t="s">
        <v>34650</v>
      </c>
      <c r="DN492" s="214" t="s">
        <v>70</v>
      </c>
      <c r="DO492" s="214" t="s">
        <v>530</v>
      </c>
      <c r="DQ492" s="214" t="s">
        <v>32054</v>
      </c>
      <c r="DR492" s="214" t="s">
        <v>34607</v>
      </c>
      <c r="DS492" s="214" t="s">
        <v>70</v>
      </c>
      <c r="DT492" s="214" t="s">
        <v>530</v>
      </c>
      <c r="DV492" s="214" t="s">
        <v>32055</v>
      </c>
      <c r="DW492" s="214" t="s">
        <v>34613</v>
      </c>
      <c r="DX492" s="214" t="s">
        <v>70</v>
      </c>
      <c r="DY492" s="214" t="s">
        <v>530</v>
      </c>
      <c r="EA492" s="214" t="s">
        <v>32056</v>
      </c>
      <c r="EB492" s="214" t="s">
        <v>641</v>
      </c>
      <c r="EC492" s="214" t="s">
        <v>70</v>
      </c>
      <c r="ED492" s="214" t="s">
        <v>530</v>
      </c>
      <c r="EF492" s="214" t="s">
        <v>32057</v>
      </c>
      <c r="EG492" s="214" t="s">
        <v>88</v>
      </c>
      <c r="EH492" s="214" t="s">
        <v>70</v>
      </c>
      <c r="EI492" s="214" t="s">
        <v>530</v>
      </c>
      <c r="EK492" s="214" t="s">
        <v>32058</v>
      </c>
      <c r="EL492" s="214" t="s">
        <v>485</v>
      </c>
      <c r="EM492" s="214" t="s">
        <v>70</v>
      </c>
      <c r="EN492" s="214" t="s">
        <v>530</v>
      </c>
      <c r="EP492" s="214" t="s">
        <v>32059</v>
      </c>
      <c r="EQ492" s="214" t="s">
        <v>305</v>
      </c>
      <c r="ER492" s="214" t="s">
        <v>70</v>
      </c>
      <c r="ES492" s="214" t="s">
        <v>530</v>
      </c>
      <c r="EU492" s="214" t="s">
        <v>32060</v>
      </c>
      <c r="EV492" s="214" t="s">
        <v>34611</v>
      </c>
      <c r="EW492" s="214" t="s">
        <v>70</v>
      </c>
      <c r="EX492" s="214" t="s">
        <v>530</v>
      </c>
      <c r="EZ492" s="214" t="s">
        <v>32061</v>
      </c>
      <c r="FA492" s="214" t="s">
        <v>600</v>
      </c>
      <c r="FB492" s="214" t="s">
        <v>70</v>
      </c>
      <c r="FC492" s="214" t="s">
        <v>530</v>
      </c>
      <c r="FE492" s="214" t="s">
        <v>32062</v>
      </c>
      <c r="FF492" s="214" t="s">
        <v>148</v>
      </c>
      <c r="FG492" s="214" t="s">
        <v>70</v>
      </c>
      <c r="FH492" s="214" t="s">
        <v>530</v>
      </c>
      <c r="FJ492" s="321" t="s">
        <v>32063</v>
      </c>
      <c r="FK492" s="214" t="s">
        <v>918</v>
      </c>
      <c r="FL492" s="214" t="s">
        <v>70</v>
      </c>
      <c r="FM492" s="214" t="s">
        <v>530</v>
      </c>
      <c r="FO492" s="321" t="s">
        <v>32064</v>
      </c>
      <c r="FP492" s="214" t="s">
        <v>34574</v>
      </c>
      <c r="FQ492" s="214" t="s">
        <v>70</v>
      </c>
      <c r="FR492" s="214" t="s">
        <v>530</v>
      </c>
      <c r="FT492" s="321" t="s">
        <v>32065</v>
      </c>
      <c r="FU492" s="214" t="s">
        <v>52</v>
      </c>
      <c r="FV492" s="214" t="s">
        <v>70</v>
      </c>
      <c r="FW492" s="214" t="s">
        <v>530</v>
      </c>
      <c r="FY492" s="321" t="s">
        <v>32066</v>
      </c>
      <c r="FZ492" s="214" t="s">
        <v>148</v>
      </c>
      <c r="GA492" s="214" t="s">
        <v>70</v>
      </c>
      <c r="GB492" s="214" t="s">
        <v>530</v>
      </c>
      <c r="GD492" s="321" t="s">
        <v>32067</v>
      </c>
      <c r="GE492" s="214" t="s">
        <v>89</v>
      </c>
      <c r="GF492" s="214" t="s">
        <v>70</v>
      </c>
      <c r="GG492" s="214" t="s">
        <v>530</v>
      </c>
      <c r="GI492" s="321" t="s">
        <v>32068</v>
      </c>
      <c r="GJ492" s="214" t="s">
        <v>87</v>
      </c>
      <c r="GK492" s="214" t="s">
        <v>70</v>
      </c>
      <c r="GL492" s="214" t="s">
        <v>530</v>
      </c>
      <c r="GN492" s="321" t="s">
        <v>32069</v>
      </c>
      <c r="GO492" s="214" t="s">
        <v>52</v>
      </c>
      <c r="GP492" s="214" t="s">
        <v>70</v>
      </c>
      <c r="GQ492" s="214" t="s">
        <v>530</v>
      </c>
      <c r="GS492" s="321" t="s">
        <v>32070</v>
      </c>
      <c r="GT492" s="214" t="s">
        <v>52</v>
      </c>
      <c r="GU492" s="214" t="s">
        <v>70</v>
      </c>
      <c r="GV492" s="214" t="s">
        <v>530</v>
      </c>
      <c r="GX492" s="214" t="s">
        <v>32071</v>
      </c>
      <c r="GY492" s="214" t="s">
        <v>531</v>
      </c>
      <c r="GZ492" s="214" t="s">
        <v>70</v>
      </c>
      <c r="HA492" s="214" t="s">
        <v>530</v>
      </c>
      <c r="HC492" s="214" t="s">
        <v>32072</v>
      </c>
      <c r="HD492" s="214" t="s">
        <v>529</v>
      </c>
      <c r="HE492" s="214" t="s">
        <v>70</v>
      </c>
      <c r="HF492" s="214" t="s">
        <v>530</v>
      </c>
      <c r="HH492" s="214" t="s">
        <v>32073</v>
      </c>
      <c r="HI492" s="214" t="s">
        <v>936</v>
      </c>
      <c r="HJ492" s="214" t="s">
        <v>70</v>
      </c>
      <c r="HK492" s="214" t="s">
        <v>530</v>
      </c>
      <c r="HM492" s="214" t="s">
        <v>32074</v>
      </c>
      <c r="HN492" s="214" t="s">
        <v>34579</v>
      </c>
      <c r="HO492" s="214" t="s">
        <v>70</v>
      </c>
      <c r="HP492" s="214" t="s">
        <v>530</v>
      </c>
      <c r="HR492" s="22" t="s">
        <v>32075</v>
      </c>
      <c r="HS492" s="22" t="s">
        <v>148</v>
      </c>
      <c r="HT492" s="22" t="s">
        <v>70</v>
      </c>
      <c r="HU492" s="214" t="s">
        <v>530</v>
      </c>
      <c r="HW492" s="22" t="s">
        <v>32076</v>
      </c>
      <c r="HX492" s="22" t="s">
        <v>87</v>
      </c>
      <c r="HY492" s="22" t="s">
        <v>70</v>
      </c>
      <c r="HZ492" s="214" t="s">
        <v>530</v>
      </c>
      <c r="IB492" s="22" t="s">
        <v>32077</v>
      </c>
      <c r="IC492" s="22" t="s">
        <v>34405</v>
      </c>
      <c r="ID492" s="22" t="s">
        <v>70</v>
      </c>
      <c r="IE492" s="214" t="s">
        <v>530</v>
      </c>
      <c r="IG492" s="22" t="s">
        <v>32078</v>
      </c>
      <c r="IH492" s="22" t="s">
        <v>52</v>
      </c>
      <c r="II492" s="22" t="s">
        <v>70</v>
      </c>
      <c r="IJ492" s="214" t="s">
        <v>530</v>
      </c>
      <c r="IL492" s="22" t="s">
        <v>32079</v>
      </c>
      <c r="IM492" s="22" t="s">
        <v>145</v>
      </c>
      <c r="IN492" s="22" t="s">
        <v>70</v>
      </c>
      <c r="IO492" s="214" t="s">
        <v>530</v>
      </c>
      <c r="IQ492" s="236" t="s">
        <v>32080</v>
      </c>
      <c r="IR492" s="236" t="s">
        <v>145</v>
      </c>
      <c r="IS492" s="236" t="s">
        <v>74</v>
      </c>
      <c r="IT492" s="236" t="s">
        <v>841</v>
      </c>
      <c r="IV492" s="236" t="s">
        <v>32081</v>
      </c>
      <c r="IW492" s="236" t="s">
        <v>145</v>
      </c>
      <c r="IX492" s="236" t="s">
        <v>74</v>
      </c>
      <c r="IY492" s="236" t="s">
        <v>841</v>
      </c>
      <c r="JA492" s="236" t="s">
        <v>32082</v>
      </c>
      <c r="JB492" s="236" t="s">
        <v>145</v>
      </c>
      <c r="JC492" s="236" t="s">
        <v>74</v>
      </c>
      <c r="JD492" s="236" t="s">
        <v>841</v>
      </c>
      <c r="JF492" s="236" t="s">
        <v>32083</v>
      </c>
      <c r="JG492" s="236" t="s">
        <v>145</v>
      </c>
      <c r="JH492" s="236" t="s">
        <v>74</v>
      </c>
      <c r="JI492" s="236" t="s">
        <v>841</v>
      </c>
      <c r="JK492" s="236" t="s">
        <v>32084</v>
      </c>
      <c r="JL492" s="236" t="s">
        <v>145</v>
      </c>
      <c r="JM492" s="236" t="s">
        <v>74</v>
      </c>
      <c r="JN492" s="236" t="s">
        <v>841</v>
      </c>
      <c r="JP492" s="236" t="s">
        <v>32085</v>
      </c>
      <c r="JQ492" s="236" t="s">
        <v>145</v>
      </c>
      <c r="JR492" s="236" t="s">
        <v>74</v>
      </c>
      <c r="JS492" s="236" t="s">
        <v>841</v>
      </c>
      <c r="JU492" s="294" t="s">
        <v>32086</v>
      </c>
      <c r="JV492" s="294" t="s">
        <v>52</v>
      </c>
      <c r="JW492" s="263" t="s">
        <v>70</v>
      </c>
      <c r="JX492" s="294" t="s">
        <v>1083</v>
      </c>
      <c r="JZ492" s="263" t="s">
        <v>32087</v>
      </c>
      <c r="KA492" s="263" t="s">
        <v>145</v>
      </c>
      <c r="KB492" s="263" t="s">
        <v>70</v>
      </c>
      <c r="KC492" s="263" t="s">
        <v>1083</v>
      </c>
      <c r="KE492" s="263" t="s">
        <v>32088</v>
      </c>
      <c r="KF492" s="263" t="s">
        <v>52</v>
      </c>
      <c r="KG492" s="263" t="s">
        <v>70</v>
      </c>
      <c r="KH492" s="263" t="s">
        <v>1083</v>
      </c>
      <c r="KJ492" s="263" t="s">
        <v>32089</v>
      </c>
      <c r="KK492" s="263" t="s">
        <v>52</v>
      </c>
      <c r="KL492" s="263" t="s">
        <v>74</v>
      </c>
      <c r="KM492" s="263" t="s">
        <v>34074</v>
      </c>
      <c r="KO492" s="214" t="s">
        <v>32090</v>
      </c>
      <c r="KP492" s="214" t="s">
        <v>145</v>
      </c>
      <c r="KQ492" s="214" t="s">
        <v>70</v>
      </c>
      <c r="KR492" s="214" t="s">
        <v>67</v>
      </c>
      <c r="KT492" s="22" t="s">
        <v>32091</v>
      </c>
      <c r="KU492" s="22" t="s">
        <v>145</v>
      </c>
      <c r="KV492" s="22" t="s">
        <v>70</v>
      </c>
      <c r="KW492" s="22" t="s">
        <v>67</v>
      </c>
      <c r="KY492" s="214" t="s">
        <v>32092</v>
      </c>
      <c r="KZ492" s="214" t="s">
        <v>52</v>
      </c>
      <c r="LA492" s="214" t="s">
        <v>74</v>
      </c>
      <c r="LB492" s="214" t="s">
        <v>67</v>
      </c>
      <c r="LD492" s="22" t="s">
        <v>32093</v>
      </c>
      <c r="LE492" s="22" t="s">
        <v>145</v>
      </c>
      <c r="LF492" s="22" t="s">
        <v>70</v>
      </c>
      <c r="LG492" s="22" t="s">
        <v>67</v>
      </c>
    </row>
    <row r="493" spans="1:319">
      <c r="A493" s="22" t="s">
        <v>32094</v>
      </c>
      <c r="B493" s="22" t="s">
        <v>145</v>
      </c>
      <c r="C493" s="22" t="s">
        <v>70</v>
      </c>
      <c r="D493" s="22" t="s">
        <v>67</v>
      </c>
      <c r="F493" s="72" t="s">
        <v>32095</v>
      </c>
      <c r="G493" s="22" t="s">
        <v>145</v>
      </c>
      <c r="H493" s="22" t="s">
        <v>70</v>
      </c>
      <c r="I493" s="22" t="s">
        <v>67</v>
      </c>
      <c r="K493" s="99" t="s">
        <v>32096</v>
      </c>
      <c r="L493" s="22" t="s">
        <v>145</v>
      </c>
      <c r="M493" s="22" t="s">
        <v>70</v>
      </c>
      <c r="N493" s="22" t="s">
        <v>67</v>
      </c>
      <c r="P493" s="99" t="s">
        <v>32097</v>
      </c>
      <c r="Q493" s="22" t="s">
        <v>145</v>
      </c>
      <c r="R493" s="22" t="s">
        <v>70</v>
      </c>
      <c r="S493" s="22" t="s">
        <v>67</v>
      </c>
      <c r="U493" s="293" t="s">
        <v>32098</v>
      </c>
      <c r="V493" s="293" t="s">
        <v>145</v>
      </c>
      <c r="W493" s="293" t="s">
        <v>74</v>
      </c>
      <c r="X493" s="293" t="s">
        <v>656</v>
      </c>
      <c r="Z493" s="293" t="s">
        <v>32099</v>
      </c>
      <c r="AA493" s="293" t="s">
        <v>145</v>
      </c>
      <c r="AB493" s="293" t="s">
        <v>74</v>
      </c>
      <c r="AC493" s="293" t="s">
        <v>656</v>
      </c>
      <c r="AE493" s="293" t="s">
        <v>32100</v>
      </c>
      <c r="AF493" s="293" t="s">
        <v>145</v>
      </c>
      <c r="AG493" s="293" t="s">
        <v>74</v>
      </c>
      <c r="AH493" s="293" t="s">
        <v>656</v>
      </c>
      <c r="AJ493" s="293" t="s">
        <v>32101</v>
      </c>
      <c r="AK493" s="293" t="s">
        <v>145</v>
      </c>
      <c r="AL493" s="293" t="s">
        <v>74</v>
      </c>
      <c r="AM493" s="293" t="s">
        <v>656</v>
      </c>
      <c r="AO493" s="22" t="s">
        <v>32102</v>
      </c>
      <c r="AP493" s="22" t="s">
        <v>145</v>
      </c>
      <c r="AQ493" s="22" t="s">
        <v>70</v>
      </c>
      <c r="AR493" s="22" t="s">
        <v>67</v>
      </c>
      <c r="AT493" s="22" t="s">
        <v>32103</v>
      </c>
      <c r="AU493" s="22" t="s">
        <v>145</v>
      </c>
      <c r="AV493" s="22" t="s">
        <v>70</v>
      </c>
      <c r="AW493" s="22" t="s">
        <v>67</v>
      </c>
      <c r="AY493" s="22" t="s">
        <v>32104</v>
      </c>
      <c r="AZ493" s="22" t="s">
        <v>145</v>
      </c>
      <c r="BA493" s="22" t="s">
        <v>70</v>
      </c>
      <c r="BB493" s="22" t="s">
        <v>67</v>
      </c>
      <c r="BD493" s="22" t="s">
        <v>32105</v>
      </c>
      <c r="BE493" s="22" t="s">
        <v>145</v>
      </c>
      <c r="BF493" s="22" t="s">
        <v>70</v>
      </c>
      <c r="BG493" s="22" t="s">
        <v>67</v>
      </c>
      <c r="BI493" s="22" t="s">
        <v>32106</v>
      </c>
      <c r="BJ493" s="22" t="s">
        <v>145</v>
      </c>
      <c r="BK493" s="22" t="s">
        <v>70</v>
      </c>
      <c r="BL493" s="22" t="s">
        <v>67</v>
      </c>
      <c r="BN493" s="22" t="s">
        <v>32107</v>
      </c>
      <c r="BO493" s="22" t="s">
        <v>145</v>
      </c>
      <c r="BP493" s="22" t="s">
        <v>70</v>
      </c>
      <c r="BQ493" s="22" t="s">
        <v>67</v>
      </c>
      <c r="BS493" s="22" t="s">
        <v>32108</v>
      </c>
      <c r="BT493" s="22" t="s">
        <v>145</v>
      </c>
      <c r="BU493" s="22" t="s">
        <v>70</v>
      </c>
      <c r="BV493" s="214" t="s">
        <v>530</v>
      </c>
      <c r="BX493" s="22" t="s">
        <v>32109</v>
      </c>
      <c r="BY493" s="22" t="s">
        <v>145</v>
      </c>
      <c r="BZ493" s="22" t="s">
        <v>70</v>
      </c>
      <c r="CA493" s="214" t="s">
        <v>530</v>
      </c>
      <c r="CC493" s="214" t="s">
        <v>32110</v>
      </c>
      <c r="CD493" s="214" t="s">
        <v>950</v>
      </c>
      <c r="CE493" s="214" t="s">
        <v>70</v>
      </c>
      <c r="CF493" s="214" t="s">
        <v>530</v>
      </c>
      <c r="CH493" s="214" t="s">
        <v>32111</v>
      </c>
      <c r="CI493" s="214" t="s">
        <v>34565</v>
      </c>
      <c r="CJ493" s="214" t="s">
        <v>70</v>
      </c>
      <c r="CK493" s="214" t="s">
        <v>530</v>
      </c>
      <c r="CM493" s="214" t="s">
        <v>32112</v>
      </c>
      <c r="CN493" s="214" t="s">
        <v>484</v>
      </c>
      <c r="CO493" s="214" t="s">
        <v>70</v>
      </c>
      <c r="CP493" s="214" t="s">
        <v>530</v>
      </c>
      <c r="CR493" s="214" t="s">
        <v>32113</v>
      </c>
      <c r="CS493" s="214" t="s">
        <v>484</v>
      </c>
      <c r="CT493" s="214" t="s">
        <v>70</v>
      </c>
      <c r="CU493" s="214" t="s">
        <v>530</v>
      </c>
      <c r="CW493" s="214" t="s">
        <v>32114</v>
      </c>
      <c r="CX493" s="214" t="s">
        <v>92</v>
      </c>
      <c r="CY493" s="214" t="s">
        <v>70</v>
      </c>
      <c r="CZ493" s="214" t="s">
        <v>530</v>
      </c>
      <c r="DB493" s="214" t="s">
        <v>32115</v>
      </c>
      <c r="DC493" s="214" t="s">
        <v>34541</v>
      </c>
      <c r="DD493" s="214" t="s">
        <v>70</v>
      </c>
      <c r="DE493" s="214" t="s">
        <v>530</v>
      </c>
      <c r="DG493" s="214" t="s">
        <v>32116</v>
      </c>
      <c r="DH493" s="214" t="s">
        <v>52</v>
      </c>
      <c r="DI493" s="214" t="s">
        <v>70</v>
      </c>
      <c r="DJ493" s="214" t="s">
        <v>530</v>
      </c>
      <c r="DL493" s="214" t="s">
        <v>32117</v>
      </c>
      <c r="DM493" s="214" t="s">
        <v>491</v>
      </c>
      <c r="DN493" s="214" t="s">
        <v>70</v>
      </c>
      <c r="DO493" s="214" t="s">
        <v>530</v>
      </c>
      <c r="DQ493" s="214" t="s">
        <v>32118</v>
      </c>
      <c r="DR493" s="214" t="s">
        <v>85</v>
      </c>
      <c r="DS493" s="214" t="s">
        <v>70</v>
      </c>
      <c r="DT493" s="214" t="s">
        <v>530</v>
      </c>
      <c r="DV493" s="214" t="s">
        <v>32119</v>
      </c>
      <c r="DW493" s="214" t="s">
        <v>34580</v>
      </c>
      <c r="DX493" s="214" t="s">
        <v>70</v>
      </c>
      <c r="DY493" s="214" t="s">
        <v>530</v>
      </c>
      <c r="EA493" s="214" t="s">
        <v>32120</v>
      </c>
      <c r="EB493" s="214" t="s">
        <v>488</v>
      </c>
      <c r="EC493" s="214" t="s">
        <v>70</v>
      </c>
      <c r="ED493" s="214" t="s">
        <v>530</v>
      </c>
      <c r="EF493" s="214" t="s">
        <v>32121</v>
      </c>
      <c r="EG493" s="214" t="s">
        <v>34641</v>
      </c>
      <c r="EH493" s="214" t="s">
        <v>70</v>
      </c>
      <c r="EI493" s="214" t="s">
        <v>530</v>
      </c>
      <c r="EK493" s="214" t="s">
        <v>32122</v>
      </c>
      <c r="EL493" s="214" t="s">
        <v>910</v>
      </c>
      <c r="EM493" s="214" t="s">
        <v>70</v>
      </c>
      <c r="EN493" s="214" t="s">
        <v>530</v>
      </c>
      <c r="EP493" s="214" t="s">
        <v>32123</v>
      </c>
      <c r="EQ493" s="214" t="s">
        <v>492</v>
      </c>
      <c r="ER493" s="214" t="s">
        <v>70</v>
      </c>
      <c r="ES493" s="214" t="s">
        <v>530</v>
      </c>
      <c r="EU493" s="214" t="s">
        <v>32124</v>
      </c>
      <c r="EV493" s="214" t="s">
        <v>488</v>
      </c>
      <c r="EW493" s="214" t="s">
        <v>70</v>
      </c>
      <c r="EX493" s="214" t="s">
        <v>530</v>
      </c>
      <c r="EZ493" s="214" t="s">
        <v>32125</v>
      </c>
      <c r="FA493" s="214" t="s">
        <v>484</v>
      </c>
      <c r="FB493" s="214" t="s">
        <v>70</v>
      </c>
      <c r="FC493" s="214" t="s">
        <v>530</v>
      </c>
      <c r="FE493" s="214" t="s">
        <v>32126</v>
      </c>
      <c r="FF493" s="214" t="s">
        <v>496</v>
      </c>
      <c r="FG493" s="214" t="s">
        <v>70</v>
      </c>
      <c r="FH493" s="214" t="s">
        <v>530</v>
      </c>
      <c r="FJ493" s="321" t="s">
        <v>32127</v>
      </c>
      <c r="FK493" s="214" t="s">
        <v>52</v>
      </c>
      <c r="FL493" s="214" t="s">
        <v>70</v>
      </c>
      <c r="FM493" s="214" t="s">
        <v>530</v>
      </c>
      <c r="FO493" s="321" t="s">
        <v>32128</v>
      </c>
      <c r="FP493" s="214" t="s">
        <v>34580</v>
      </c>
      <c r="FQ493" s="214" t="s">
        <v>70</v>
      </c>
      <c r="FR493" s="214" t="s">
        <v>530</v>
      </c>
      <c r="FT493" s="321" t="s">
        <v>32129</v>
      </c>
      <c r="FU493" s="214" t="s">
        <v>52</v>
      </c>
      <c r="FV493" s="214" t="s">
        <v>70</v>
      </c>
      <c r="FW493" s="214" t="s">
        <v>530</v>
      </c>
      <c r="FY493" s="321" t="s">
        <v>32130</v>
      </c>
      <c r="FZ493" s="214" t="s">
        <v>485</v>
      </c>
      <c r="GA493" s="214" t="s">
        <v>70</v>
      </c>
      <c r="GB493" s="214" t="s">
        <v>530</v>
      </c>
      <c r="GD493" s="321" t="s">
        <v>32131</v>
      </c>
      <c r="GE493" s="214" t="s">
        <v>52</v>
      </c>
      <c r="GF493" s="214" t="s">
        <v>70</v>
      </c>
      <c r="GG493" s="214" t="s">
        <v>530</v>
      </c>
      <c r="GI493" s="321" t="s">
        <v>32132</v>
      </c>
      <c r="GJ493" s="214" t="s">
        <v>950</v>
      </c>
      <c r="GK493" s="214" t="s">
        <v>70</v>
      </c>
      <c r="GL493" s="214" t="s">
        <v>530</v>
      </c>
      <c r="GN493" s="321" t="s">
        <v>32133</v>
      </c>
      <c r="GO493" s="214" t="s">
        <v>599</v>
      </c>
      <c r="GP493" s="214" t="s">
        <v>70</v>
      </c>
      <c r="GQ493" s="214" t="s">
        <v>530</v>
      </c>
      <c r="GS493" s="321" t="s">
        <v>32134</v>
      </c>
      <c r="GT493" s="214" t="s">
        <v>955</v>
      </c>
      <c r="GU493" s="214" t="s">
        <v>70</v>
      </c>
      <c r="GV493" s="214" t="s">
        <v>530</v>
      </c>
      <c r="GX493" s="214" t="s">
        <v>32135</v>
      </c>
      <c r="GY493" s="214" t="s">
        <v>486</v>
      </c>
      <c r="GZ493" s="214" t="s">
        <v>70</v>
      </c>
      <c r="HA493" s="214" t="s">
        <v>530</v>
      </c>
      <c r="HC493" s="214" t="s">
        <v>32136</v>
      </c>
      <c r="HD493" s="214" t="s">
        <v>103</v>
      </c>
      <c r="HE493" s="214" t="s">
        <v>70</v>
      </c>
      <c r="HF493" s="214" t="s">
        <v>530</v>
      </c>
      <c r="HH493" s="214" t="s">
        <v>32137</v>
      </c>
      <c r="HI493" s="214" t="s">
        <v>484</v>
      </c>
      <c r="HJ493" s="214" t="s">
        <v>70</v>
      </c>
      <c r="HK493" s="214" t="s">
        <v>530</v>
      </c>
      <c r="HM493" s="214" t="s">
        <v>32138</v>
      </c>
      <c r="HN493" s="214" t="s">
        <v>34574</v>
      </c>
      <c r="HO493" s="214" t="s">
        <v>70</v>
      </c>
      <c r="HP493" s="214" t="s">
        <v>530</v>
      </c>
      <c r="HR493" s="22" t="s">
        <v>32139</v>
      </c>
      <c r="HS493" s="22" t="s">
        <v>34542</v>
      </c>
      <c r="HT493" s="22" t="s">
        <v>70</v>
      </c>
      <c r="HU493" s="214" t="s">
        <v>530</v>
      </c>
      <c r="HW493" s="22" t="s">
        <v>32140</v>
      </c>
      <c r="HX493" s="22" t="s">
        <v>34544</v>
      </c>
      <c r="HY493" s="22" t="s">
        <v>70</v>
      </c>
      <c r="HZ493" s="214" t="s">
        <v>530</v>
      </c>
      <c r="IB493" s="22" t="s">
        <v>32141</v>
      </c>
      <c r="IC493" s="22" t="s">
        <v>34541</v>
      </c>
      <c r="ID493" s="22" t="s">
        <v>70</v>
      </c>
      <c r="IE493" s="214" t="s">
        <v>530</v>
      </c>
      <c r="IG493" s="22" t="s">
        <v>32142</v>
      </c>
      <c r="IH493" s="22" t="s">
        <v>52</v>
      </c>
      <c r="II493" s="22" t="s">
        <v>70</v>
      </c>
      <c r="IJ493" s="214" t="s">
        <v>530</v>
      </c>
      <c r="IL493" s="22" t="s">
        <v>32143</v>
      </c>
      <c r="IM493" s="22" t="s">
        <v>145</v>
      </c>
      <c r="IN493" s="22" t="s">
        <v>70</v>
      </c>
      <c r="IO493" s="214" t="s">
        <v>530</v>
      </c>
      <c r="IQ493" s="236" t="s">
        <v>32144</v>
      </c>
      <c r="IR493" s="236" t="s">
        <v>145</v>
      </c>
      <c r="IS493" s="236" t="s">
        <v>74</v>
      </c>
      <c r="IT493" s="236" t="s">
        <v>841</v>
      </c>
      <c r="IV493" s="236" t="s">
        <v>32145</v>
      </c>
      <c r="IW493" s="236" t="s">
        <v>145</v>
      </c>
      <c r="IX493" s="236" t="s">
        <v>74</v>
      </c>
      <c r="IY493" s="236" t="s">
        <v>841</v>
      </c>
      <c r="JA493" s="236" t="s">
        <v>32146</v>
      </c>
      <c r="JB493" s="236" t="s">
        <v>145</v>
      </c>
      <c r="JC493" s="236" t="s">
        <v>74</v>
      </c>
      <c r="JD493" s="236" t="s">
        <v>841</v>
      </c>
      <c r="JF493" s="236" t="s">
        <v>32147</v>
      </c>
      <c r="JG493" s="236" t="s">
        <v>145</v>
      </c>
      <c r="JH493" s="236" t="s">
        <v>74</v>
      </c>
      <c r="JI493" s="236" t="s">
        <v>841</v>
      </c>
      <c r="JK493" s="236" t="s">
        <v>32148</v>
      </c>
      <c r="JL493" s="236" t="s">
        <v>145</v>
      </c>
      <c r="JM493" s="236" t="s">
        <v>74</v>
      </c>
      <c r="JN493" s="236" t="s">
        <v>841</v>
      </c>
      <c r="JP493" s="236" t="s">
        <v>32149</v>
      </c>
      <c r="JQ493" s="236" t="s">
        <v>145</v>
      </c>
      <c r="JR493" s="236" t="s">
        <v>74</v>
      </c>
      <c r="JS493" s="236" t="s">
        <v>841</v>
      </c>
      <c r="JU493" s="294" t="s">
        <v>32150</v>
      </c>
      <c r="JV493" s="294" t="s">
        <v>52</v>
      </c>
      <c r="JW493" s="263" t="s">
        <v>70</v>
      </c>
      <c r="JX493" s="294" t="s">
        <v>1083</v>
      </c>
      <c r="JZ493" s="263" t="s">
        <v>32151</v>
      </c>
      <c r="KA493" s="263" t="s">
        <v>145</v>
      </c>
      <c r="KB493" s="263" t="s">
        <v>70</v>
      </c>
      <c r="KC493" s="263" t="s">
        <v>1083</v>
      </c>
      <c r="KE493" s="263" t="s">
        <v>32152</v>
      </c>
      <c r="KF493" s="263" t="s">
        <v>52</v>
      </c>
      <c r="KG493" s="263" t="s">
        <v>70</v>
      </c>
      <c r="KH493" s="263" t="s">
        <v>1083</v>
      </c>
      <c r="KJ493" s="263" t="s">
        <v>32153</v>
      </c>
      <c r="KK493" s="263" t="s">
        <v>52</v>
      </c>
      <c r="KL493" s="263" t="s">
        <v>74</v>
      </c>
      <c r="KM493" s="263" t="s">
        <v>34074</v>
      </c>
      <c r="KO493" s="214" t="s">
        <v>32154</v>
      </c>
      <c r="KP493" s="214" t="s">
        <v>145</v>
      </c>
      <c r="KQ493" s="214" t="s">
        <v>70</v>
      </c>
      <c r="KR493" s="214" t="s">
        <v>67</v>
      </c>
      <c r="KT493" s="22" t="s">
        <v>32155</v>
      </c>
      <c r="KU493" s="22" t="s">
        <v>145</v>
      </c>
      <c r="KV493" s="22" t="s">
        <v>70</v>
      </c>
      <c r="KW493" s="22" t="s">
        <v>67</v>
      </c>
      <c r="KY493" s="214" t="s">
        <v>32156</v>
      </c>
      <c r="KZ493" s="214" t="s">
        <v>52</v>
      </c>
      <c r="LA493" s="214" t="s">
        <v>74</v>
      </c>
      <c r="LB493" s="214" t="s">
        <v>67</v>
      </c>
      <c r="LD493" s="22" t="s">
        <v>32157</v>
      </c>
      <c r="LE493" s="22" t="s">
        <v>145</v>
      </c>
      <c r="LF493" s="22" t="s">
        <v>70</v>
      </c>
      <c r="LG493" s="22" t="s">
        <v>67</v>
      </c>
    </row>
    <row r="494" spans="1:319">
      <c r="A494" s="22" t="s">
        <v>32158</v>
      </c>
      <c r="B494" s="22" t="s">
        <v>145</v>
      </c>
      <c r="C494" s="22" t="s">
        <v>70</v>
      </c>
      <c r="D494" s="22" t="s">
        <v>67</v>
      </c>
      <c r="F494" s="72" t="s">
        <v>32159</v>
      </c>
      <c r="G494" s="22" t="s">
        <v>145</v>
      </c>
      <c r="H494" s="22" t="s">
        <v>70</v>
      </c>
      <c r="I494" s="22" t="s">
        <v>67</v>
      </c>
      <c r="K494" s="99" t="s">
        <v>32160</v>
      </c>
      <c r="L494" s="22" t="s">
        <v>145</v>
      </c>
      <c r="M494" s="22" t="s">
        <v>70</v>
      </c>
      <c r="N494" s="22" t="s">
        <v>67</v>
      </c>
      <c r="P494" s="99" t="s">
        <v>32161</v>
      </c>
      <c r="Q494" s="22" t="s">
        <v>145</v>
      </c>
      <c r="R494" s="22" t="s">
        <v>70</v>
      </c>
      <c r="S494" s="22" t="s">
        <v>67</v>
      </c>
      <c r="U494" s="293" t="s">
        <v>32162</v>
      </c>
      <c r="V494" s="293" t="s">
        <v>145</v>
      </c>
      <c r="W494" s="293" t="s">
        <v>74</v>
      </c>
      <c r="X494" s="293" t="s">
        <v>656</v>
      </c>
      <c r="Z494" s="293" t="s">
        <v>32163</v>
      </c>
      <c r="AA494" s="293" t="s">
        <v>145</v>
      </c>
      <c r="AB494" s="293" t="s">
        <v>74</v>
      </c>
      <c r="AC494" s="293" t="s">
        <v>656</v>
      </c>
      <c r="AE494" s="293" t="s">
        <v>32164</v>
      </c>
      <c r="AF494" s="293" t="s">
        <v>145</v>
      </c>
      <c r="AG494" s="293" t="s">
        <v>74</v>
      </c>
      <c r="AH494" s="293" t="s">
        <v>656</v>
      </c>
      <c r="AJ494" s="293" t="s">
        <v>32165</v>
      </c>
      <c r="AK494" s="293" t="s">
        <v>145</v>
      </c>
      <c r="AL494" s="293" t="s">
        <v>74</v>
      </c>
      <c r="AM494" s="293" t="s">
        <v>656</v>
      </c>
      <c r="AO494" s="22" t="s">
        <v>32166</v>
      </c>
      <c r="AP494" s="22" t="s">
        <v>145</v>
      </c>
      <c r="AQ494" s="22" t="s">
        <v>70</v>
      </c>
      <c r="AR494" s="22" t="s">
        <v>67</v>
      </c>
      <c r="AT494" s="22" t="s">
        <v>32167</v>
      </c>
      <c r="AU494" s="22" t="s">
        <v>145</v>
      </c>
      <c r="AV494" s="22" t="s">
        <v>70</v>
      </c>
      <c r="AW494" s="22" t="s">
        <v>67</v>
      </c>
      <c r="AY494" s="22" t="s">
        <v>32168</v>
      </c>
      <c r="AZ494" s="22" t="s">
        <v>145</v>
      </c>
      <c r="BA494" s="22" t="s">
        <v>70</v>
      </c>
      <c r="BB494" s="22" t="s">
        <v>67</v>
      </c>
      <c r="BD494" s="22" t="s">
        <v>32169</v>
      </c>
      <c r="BE494" s="22" t="s">
        <v>145</v>
      </c>
      <c r="BF494" s="22" t="s">
        <v>70</v>
      </c>
      <c r="BG494" s="22" t="s">
        <v>67</v>
      </c>
      <c r="BI494" s="22" t="s">
        <v>32170</v>
      </c>
      <c r="BJ494" s="22" t="s">
        <v>145</v>
      </c>
      <c r="BK494" s="22" t="s">
        <v>70</v>
      </c>
      <c r="BL494" s="22" t="s">
        <v>67</v>
      </c>
      <c r="BN494" s="22" t="s">
        <v>32171</v>
      </c>
      <c r="BO494" s="22" t="s">
        <v>145</v>
      </c>
      <c r="BP494" s="22" t="s">
        <v>70</v>
      </c>
      <c r="BQ494" s="22" t="s">
        <v>67</v>
      </c>
      <c r="BS494" s="22" t="s">
        <v>32172</v>
      </c>
      <c r="BT494" s="22" t="s">
        <v>145</v>
      </c>
      <c r="BU494" s="22" t="s">
        <v>70</v>
      </c>
      <c r="BV494" s="214" t="s">
        <v>530</v>
      </c>
      <c r="BX494" s="22" t="s">
        <v>32173</v>
      </c>
      <c r="BY494" s="22" t="s">
        <v>145</v>
      </c>
      <c r="BZ494" s="22" t="s">
        <v>70</v>
      </c>
      <c r="CA494" s="214" t="s">
        <v>530</v>
      </c>
      <c r="CC494" s="214" t="s">
        <v>32174</v>
      </c>
      <c r="CD494" s="214" t="s">
        <v>89</v>
      </c>
      <c r="CE494" s="214" t="s">
        <v>70</v>
      </c>
      <c r="CF494" s="214" t="s">
        <v>530</v>
      </c>
      <c r="CH494" s="214" t="s">
        <v>32175</v>
      </c>
      <c r="CI494" s="214" t="s">
        <v>148</v>
      </c>
      <c r="CJ494" s="214" t="s">
        <v>70</v>
      </c>
      <c r="CK494" s="214" t="s">
        <v>530</v>
      </c>
      <c r="CM494" s="214" t="s">
        <v>32176</v>
      </c>
      <c r="CN494" s="214" t="s">
        <v>485</v>
      </c>
      <c r="CO494" s="214" t="s">
        <v>70</v>
      </c>
      <c r="CP494" s="214" t="s">
        <v>530</v>
      </c>
      <c r="CR494" s="214" t="s">
        <v>32177</v>
      </c>
      <c r="CS494" s="214" t="s">
        <v>599</v>
      </c>
      <c r="CT494" s="214" t="s">
        <v>70</v>
      </c>
      <c r="CU494" s="214" t="s">
        <v>530</v>
      </c>
      <c r="CW494" s="214" t="s">
        <v>32178</v>
      </c>
      <c r="CX494" s="214" t="s">
        <v>52</v>
      </c>
      <c r="CY494" s="214" t="s">
        <v>70</v>
      </c>
      <c r="CZ494" s="214" t="s">
        <v>530</v>
      </c>
      <c r="DB494" s="214" t="s">
        <v>32179</v>
      </c>
      <c r="DC494" s="214" t="s">
        <v>34557</v>
      </c>
      <c r="DD494" s="214" t="s">
        <v>70</v>
      </c>
      <c r="DE494" s="214" t="s">
        <v>530</v>
      </c>
      <c r="DG494" s="214" t="s">
        <v>32180</v>
      </c>
      <c r="DH494" s="214" t="s">
        <v>145</v>
      </c>
      <c r="DI494" s="214" t="s">
        <v>70</v>
      </c>
      <c r="DJ494" s="214" t="s">
        <v>530</v>
      </c>
      <c r="DL494" s="214" t="s">
        <v>32181</v>
      </c>
      <c r="DM494" s="214" t="s">
        <v>52</v>
      </c>
      <c r="DN494" s="214" t="s">
        <v>70</v>
      </c>
      <c r="DO494" s="214" t="s">
        <v>530</v>
      </c>
      <c r="DQ494" s="214" t="s">
        <v>32182</v>
      </c>
      <c r="DR494" s="214" t="s">
        <v>34607</v>
      </c>
      <c r="DS494" s="214" t="s">
        <v>70</v>
      </c>
      <c r="DT494" s="214" t="s">
        <v>530</v>
      </c>
      <c r="DV494" s="214" t="s">
        <v>32183</v>
      </c>
      <c r="DW494" s="214" t="s">
        <v>52</v>
      </c>
      <c r="DX494" s="214" t="s">
        <v>70</v>
      </c>
      <c r="DY494" s="214" t="s">
        <v>530</v>
      </c>
      <c r="EA494" s="214" t="s">
        <v>32184</v>
      </c>
      <c r="EB494" s="214" t="s">
        <v>34593</v>
      </c>
      <c r="EC494" s="214" t="s">
        <v>70</v>
      </c>
      <c r="ED494" s="214" t="s">
        <v>530</v>
      </c>
      <c r="EF494" s="214" t="s">
        <v>32185</v>
      </c>
      <c r="EG494" s="214" t="s">
        <v>148</v>
      </c>
      <c r="EH494" s="214" t="s">
        <v>70</v>
      </c>
      <c r="EI494" s="214" t="s">
        <v>530</v>
      </c>
      <c r="EK494" s="214" t="s">
        <v>32186</v>
      </c>
      <c r="EL494" s="214" t="s">
        <v>145</v>
      </c>
      <c r="EM494" s="214" t="s">
        <v>70</v>
      </c>
      <c r="EN494" s="214" t="s">
        <v>530</v>
      </c>
      <c r="EP494" s="214" t="s">
        <v>32187</v>
      </c>
      <c r="EQ494" s="214" t="s">
        <v>88</v>
      </c>
      <c r="ER494" s="214" t="s">
        <v>70</v>
      </c>
      <c r="ES494" s="214" t="s">
        <v>530</v>
      </c>
      <c r="EU494" s="214" t="s">
        <v>32188</v>
      </c>
      <c r="EV494" s="214" t="s">
        <v>1028</v>
      </c>
      <c r="EW494" s="214" t="s">
        <v>70</v>
      </c>
      <c r="EX494" s="214" t="s">
        <v>530</v>
      </c>
      <c r="EZ494" s="214" t="s">
        <v>32189</v>
      </c>
      <c r="FA494" s="214" t="s">
        <v>34575</v>
      </c>
      <c r="FB494" s="214" t="s">
        <v>70</v>
      </c>
      <c r="FC494" s="214" t="s">
        <v>530</v>
      </c>
      <c r="FE494" s="214" t="s">
        <v>32190</v>
      </c>
      <c r="FF494" s="214" t="s">
        <v>92</v>
      </c>
      <c r="FG494" s="214" t="s">
        <v>70</v>
      </c>
      <c r="FH494" s="214" t="s">
        <v>530</v>
      </c>
      <c r="FJ494" s="321" t="s">
        <v>32191</v>
      </c>
      <c r="FK494" s="214" t="s">
        <v>34547</v>
      </c>
      <c r="FL494" s="214" t="s">
        <v>70</v>
      </c>
      <c r="FM494" s="214" t="s">
        <v>530</v>
      </c>
      <c r="FO494" s="321" t="s">
        <v>32192</v>
      </c>
      <c r="FP494" s="214" t="s">
        <v>163</v>
      </c>
      <c r="FQ494" s="214" t="s">
        <v>70</v>
      </c>
      <c r="FR494" s="214" t="s">
        <v>530</v>
      </c>
      <c r="FT494" s="321" t="s">
        <v>32193</v>
      </c>
      <c r="FU494" s="214" t="s">
        <v>502</v>
      </c>
      <c r="FV494" s="214" t="s">
        <v>70</v>
      </c>
      <c r="FW494" s="214" t="s">
        <v>530</v>
      </c>
      <c r="FY494" s="321" t="s">
        <v>32194</v>
      </c>
      <c r="FZ494" s="214" t="s">
        <v>34619</v>
      </c>
      <c r="GA494" s="214" t="s">
        <v>70</v>
      </c>
      <c r="GB494" s="214" t="s">
        <v>530</v>
      </c>
      <c r="GD494" s="321" t="s">
        <v>32195</v>
      </c>
      <c r="GE494" s="214" t="s">
        <v>148</v>
      </c>
      <c r="GF494" s="214" t="s">
        <v>70</v>
      </c>
      <c r="GG494" s="214" t="s">
        <v>530</v>
      </c>
      <c r="GI494" s="321" t="s">
        <v>32196</v>
      </c>
      <c r="GJ494" s="214" t="s">
        <v>87</v>
      </c>
      <c r="GK494" s="214" t="s">
        <v>70</v>
      </c>
      <c r="GL494" s="214" t="s">
        <v>530</v>
      </c>
      <c r="GN494" s="321" t="s">
        <v>32197</v>
      </c>
      <c r="GO494" s="214" t="s">
        <v>148</v>
      </c>
      <c r="GP494" s="214" t="s">
        <v>70</v>
      </c>
      <c r="GQ494" s="214" t="s">
        <v>530</v>
      </c>
      <c r="GS494" s="321" t="s">
        <v>32198</v>
      </c>
      <c r="GT494" s="214" t="s">
        <v>950</v>
      </c>
      <c r="GU494" s="214" t="s">
        <v>70</v>
      </c>
      <c r="GV494" s="214" t="s">
        <v>530</v>
      </c>
      <c r="GX494" s="214" t="s">
        <v>32199</v>
      </c>
      <c r="GY494" s="214" t="s">
        <v>655</v>
      </c>
      <c r="GZ494" s="214" t="s">
        <v>70</v>
      </c>
      <c r="HA494" s="214" t="s">
        <v>530</v>
      </c>
      <c r="HC494" s="214" t="s">
        <v>32200</v>
      </c>
      <c r="HD494" s="214" t="s">
        <v>34574</v>
      </c>
      <c r="HE494" s="214" t="s">
        <v>70</v>
      </c>
      <c r="HF494" s="214" t="s">
        <v>530</v>
      </c>
      <c r="HH494" s="214" t="s">
        <v>32201</v>
      </c>
      <c r="HI494" s="214" t="s">
        <v>599</v>
      </c>
      <c r="HJ494" s="214" t="s">
        <v>70</v>
      </c>
      <c r="HK494" s="214" t="s">
        <v>530</v>
      </c>
      <c r="HM494" s="214" t="s">
        <v>32202</v>
      </c>
      <c r="HN494" s="214" t="s">
        <v>529</v>
      </c>
      <c r="HO494" s="214" t="s">
        <v>70</v>
      </c>
      <c r="HP494" s="214" t="s">
        <v>530</v>
      </c>
      <c r="HR494" s="22" t="s">
        <v>32203</v>
      </c>
      <c r="HS494" s="22" t="s">
        <v>912</v>
      </c>
      <c r="HT494" s="22" t="s">
        <v>70</v>
      </c>
      <c r="HU494" s="214" t="s">
        <v>530</v>
      </c>
      <c r="HW494" s="22" t="s">
        <v>32204</v>
      </c>
      <c r="HX494" s="22" t="s">
        <v>34608</v>
      </c>
      <c r="HY494" s="22" t="s">
        <v>70</v>
      </c>
      <c r="HZ494" s="214" t="s">
        <v>530</v>
      </c>
      <c r="IB494" s="22" t="s">
        <v>32205</v>
      </c>
      <c r="IC494" s="22" t="s">
        <v>34611</v>
      </c>
      <c r="ID494" s="22" t="s">
        <v>70</v>
      </c>
      <c r="IE494" s="214" t="s">
        <v>530</v>
      </c>
      <c r="IG494" s="22" t="s">
        <v>32206</v>
      </c>
      <c r="IH494" s="22" t="s">
        <v>52</v>
      </c>
      <c r="II494" s="22" t="s">
        <v>70</v>
      </c>
      <c r="IJ494" s="214" t="s">
        <v>530</v>
      </c>
      <c r="IL494" s="22" t="s">
        <v>32207</v>
      </c>
      <c r="IM494" s="22" t="s">
        <v>145</v>
      </c>
      <c r="IN494" s="22" t="s">
        <v>70</v>
      </c>
      <c r="IO494" s="214" t="s">
        <v>530</v>
      </c>
      <c r="IQ494" s="236" t="s">
        <v>32208</v>
      </c>
      <c r="IR494" s="236" t="s">
        <v>145</v>
      </c>
      <c r="IS494" s="236" t="s">
        <v>74</v>
      </c>
      <c r="IT494" s="236" t="s">
        <v>841</v>
      </c>
      <c r="IV494" s="236" t="s">
        <v>32209</v>
      </c>
      <c r="IW494" s="236" t="s">
        <v>145</v>
      </c>
      <c r="IX494" s="236" t="s">
        <v>74</v>
      </c>
      <c r="IY494" s="236" t="s">
        <v>841</v>
      </c>
      <c r="JA494" s="236" t="s">
        <v>32210</v>
      </c>
      <c r="JB494" s="236" t="s">
        <v>145</v>
      </c>
      <c r="JC494" s="236" t="s">
        <v>74</v>
      </c>
      <c r="JD494" s="236" t="s">
        <v>841</v>
      </c>
      <c r="JF494" s="236" t="s">
        <v>32211</v>
      </c>
      <c r="JG494" s="236" t="s">
        <v>145</v>
      </c>
      <c r="JH494" s="236" t="s">
        <v>74</v>
      </c>
      <c r="JI494" s="236" t="s">
        <v>841</v>
      </c>
      <c r="JK494" s="236" t="s">
        <v>32212</v>
      </c>
      <c r="JL494" s="236" t="s">
        <v>145</v>
      </c>
      <c r="JM494" s="236" t="s">
        <v>74</v>
      </c>
      <c r="JN494" s="236" t="s">
        <v>841</v>
      </c>
      <c r="JP494" s="236" t="s">
        <v>32213</v>
      </c>
      <c r="JQ494" s="236" t="s">
        <v>145</v>
      </c>
      <c r="JR494" s="236" t="s">
        <v>74</v>
      </c>
      <c r="JS494" s="236" t="s">
        <v>841</v>
      </c>
      <c r="JU494" s="294" t="s">
        <v>32214</v>
      </c>
      <c r="JV494" s="294" t="s">
        <v>52</v>
      </c>
      <c r="JW494" s="263" t="s">
        <v>70</v>
      </c>
      <c r="JX494" s="294" t="s">
        <v>1083</v>
      </c>
      <c r="JZ494" s="263" t="s">
        <v>32215</v>
      </c>
      <c r="KA494" s="263" t="s">
        <v>145</v>
      </c>
      <c r="KB494" s="263" t="s">
        <v>70</v>
      </c>
      <c r="KC494" s="263" t="s">
        <v>1083</v>
      </c>
      <c r="KE494" s="263" t="s">
        <v>32216</v>
      </c>
      <c r="KF494" s="263" t="s">
        <v>52</v>
      </c>
      <c r="KG494" s="263" t="s">
        <v>70</v>
      </c>
      <c r="KH494" s="263" t="s">
        <v>1083</v>
      </c>
      <c r="KJ494" s="263" t="s">
        <v>32217</v>
      </c>
      <c r="KK494" s="263" t="s">
        <v>52</v>
      </c>
      <c r="KL494" s="263" t="s">
        <v>74</v>
      </c>
      <c r="KM494" s="263" t="s">
        <v>34074</v>
      </c>
      <c r="KO494" s="214" t="s">
        <v>32218</v>
      </c>
      <c r="KP494" s="214" t="s">
        <v>145</v>
      </c>
      <c r="KQ494" s="214" t="s">
        <v>70</v>
      </c>
      <c r="KR494" s="214" t="s">
        <v>67</v>
      </c>
      <c r="KT494" s="22" t="s">
        <v>32219</v>
      </c>
      <c r="KU494" s="22" t="s">
        <v>145</v>
      </c>
      <c r="KV494" s="22" t="s">
        <v>70</v>
      </c>
      <c r="KW494" s="22" t="s">
        <v>67</v>
      </c>
      <c r="KY494" s="214" t="s">
        <v>32220</v>
      </c>
      <c r="KZ494" s="214" t="s">
        <v>52</v>
      </c>
      <c r="LA494" s="214" t="s">
        <v>74</v>
      </c>
      <c r="LB494" s="214" t="s">
        <v>67</v>
      </c>
      <c r="LD494" s="22" t="s">
        <v>32221</v>
      </c>
      <c r="LE494" s="22" t="s">
        <v>145</v>
      </c>
      <c r="LF494" s="22" t="s">
        <v>70</v>
      </c>
      <c r="LG494" s="22" t="s">
        <v>67</v>
      </c>
    </row>
    <row r="495" spans="1:319">
      <c r="A495" s="22" t="s">
        <v>32222</v>
      </c>
      <c r="B495" s="22" t="s">
        <v>145</v>
      </c>
      <c r="C495" s="22" t="s">
        <v>70</v>
      </c>
      <c r="D495" s="22" t="s">
        <v>67</v>
      </c>
      <c r="F495" s="72" t="s">
        <v>32223</v>
      </c>
      <c r="G495" s="22" t="s">
        <v>145</v>
      </c>
      <c r="H495" s="22" t="s">
        <v>70</v>
      </c>
      <c r="I495" s="22" t="s">
        <v>67</v>
      </c>
      <c r="K495" s="99" t="s">
        <v>32224</v>
      </c>
      <c r="L495" s="22" t="s">
        <v>145</v>
      </c>
      <c r="M495" s="22" t="s">
        <v>70</v>
      </c>
      <c r="N495" s="22" t="s">
        <v>67</v>
      </c>
      <c r="P495" s="99" t="s">
        <v>32225</v>
      </c>
      <c r="Q495" s="22" t="s">
        <v>145</v>
      </c>
      <c r="R495" s="22" t="s">
        <v>70</v>
      </c>
      <c r="S495" s="22" t="s">
        <v>67</v>
      </c>
      <c r="U495" s="293" t="s">
        <v>32226</v>
      </c>
      <c r="V495" s="293" t="s">
        <v>145</v>
      </c>
      <c r="W495" s="293" t="s">
        <v>74</v>
      </c>
      <c r="X495" s="293" t="s">
        <v>656</v>
      </c>
      <c r="Z495" s="293" t="s">
        <v>32227</v>
      </c>
      <c r="AA495" s="293" t="s">
        <v>145</v>
      </c>
      <c r="AB495" s="293" t="s">
        <v>74</v>
      </c>
      <c r="AC495" s="293" t="s">
        <v>656</v>
      </c>
      <c r="AE495" s="293" t="s">
        <v>32228</v>
      </c>
      <c r="AF495" s="293" t="s">
        <v>145</v>
      </c>
      <c r="AG495" s="293" t="s">
        <v>74</v>
      </c>
      <c r="AH495" s="293" t="s">
        <v>656</v>
      </c>
      <c r="AJ495" s="293" t="s">
        <v>32229</v>
      </c>
      <c r="AK495" s="293" t="s">
        <v>145</v>
      </c>
      <c r="AL495" s="293" t="s">
        <v>74</v>
      </c>
      <c r="AM495" s="293" t="s">
        <v>656</v>
      </c>
      <c r="AO495" s="22" t="s">
        <v>32230</v>
      </c>
      <c r="AP495" s="22" t="s">
        <v>145</v>
      </c>
      <c r="AQ495" s="22" t="s">
        <v>70</v>
      </c>
      <c r="AR495" s="22" t="s">
        <v>67</v>
      </c>
      <c r="AT495" s="22" t="s">
        <v>32231</v>
      </c>
      <c r="AU495" s="22" t="s">
        <v>145</v>
      </c>
      <c r="AV495" s="22" t="s">
        <v>70</v>
      </c>
      <c r="AW495" s="22" t="s">
        <v>67</v>
      </c>
      <c r="AY495" s="22" t="s">
        <v>32232</v>
      </c>
      <c r="AZ495" s="22" t="s">
        <v>145</v>
      </c>
      <c r="BA495" s="22" t="s">
        <v>70</v>
      </c>
      <c r="BB495" s="22" t="s">
        <v>67</v>
      </c>
      <c r="BD495" s="22" t="s">
        <v>32233</v>
      </c>
      <c r="BE495" s="22" t="s">
        <v>145</v>
      </c>
      <c r="BF495" s="22" t="s">
        <v>70</v>
      </c>
      <c r="BG495" s="22" t="s">
        <v>67</v>
      </c>
      <c r="BI495" s="22" t="s">
        <v>32234</v>
      </c>
      <c r="BJ495" s="22" t="s">
        <v>145</v>
      </c>
      <c r="BK495" s="22" t="s">
        <v>70</v>
      </c>
      <c r="BL495" s="22" t="s">
        <v>67</v>
      </c>
      <c r="BN495" s="22" t="s">
        <v>32235</v>
      </c>
      <c r="BO495" s="22" t="s">
        <v>145</v>
      </c>
      <c r="BP495" s="22" t="s">
        <v>70</v>
      </c>
      <c r="BQ495" s="22" t="s">
        <v>67</v>
      </c>
      <c r="BS495" s="22" t="s">
        <v>32236</v>
      </c>
      <c r="BT495" s="22" t="s">
        <v>145</v>
      </c>
      <c r="BU495" s="22" t="s">
        <v>70</v>
      </c>
      <c r="BV495" s="214" t="s">
        <v>530</v>
      </c>
      <c r="BX495" s="22" t="s">
        <v>32237</v>
      </c>
      <c r="BY495" s="22" t="s">
        <v>145</v>
      </c>
      <c r="BZ495" s="22" t="s">
        <v>70</v>
      </c>
      <c r="CA495" s="214" t="s">
        <v>530</v>
      </c>
      <c r="CC495" s="214" t="s">
        <v>32238</v>
      </c>
      <c r="CD495" s="214" t="s">
        <v>483</v>
      </c>
      <c r="CE495" s="214" t="s">
        <v>70</v>
      </c>
      <c r="CF495" s="214" t="s">
        <v>530</v>
      </c>
      <c r="CH495" s="214" t="s">
        <v>32239</v>
      </c>
      <c r="CI495" s="214" t="s">
        <v>491</v>
      </c>
      <c r="CJ495" s="214" t="s">
        <v>70</v>
      </c>
      <c r="CK495" s="214" t="s">
        <v>530</v>
      </c>
      <c r="CM495" s="214" t="s">
        <v>32240</v>
      </c>
      <c r="CN495" s="214" t="s">
        <v>146</v>
      </c>
      <c r="CO495" s="214" t="s">
        <v>70</v>
      </c>
      <c r="CP495" s="214" t="s">
        <v>530</v>
      </c>
      <c r="CR495" s="214" t="s">
        <v>32241</v>
      </c>
      <c r="CS495" s="214" t="s">
        <v>146</v>
      </c>
      <c r="CT495" s="214" t="s">
        <v>70</v>
      </c>
      <c r="CU495" s="214" t="s">
        <v>530</v>
      </c>
      <c r="CW495" s="214" t="s">
        <v>32242</v>
      </c>
      <c r="CX495" s="214" t="s">
        <v>924</v>
      </c>
      <c r="CY495" s="214" t="s">
        <v>70</v>
      </c>
      <c r="CZ495" s="214" t="s">
        <v>530</v>
      </c>
      <c r="DB495" s="214" t="s">
        <v>32243</v>
      </c>
      <c r="DC495" s="214" t="s">
        <v>34556</v>
      </c>
      <c r="DD495" s="214" t="s">
        <v>70</v>
      </c>
      <c r="DE495" s="214" t="s">
        <v>530</v>
      </c>
      <c r="DG495" s="214" t="s">
        <v>32244</v>
      </c>
      <c r="DH495" s="214" t="s">
        <v>34541</v>
      </c>
      <c r="DI495" s="214" t="s">
        <v>70</v>
      </c>
      <c r="DJ495" s="214" t="s">
        <v>530</v>
      </c>
      <c r="DL495" s="214" t="s">
        <v>32245</v>
      </c>
      <c r="DM495" s="214" t="s">
        <v>484</v>
      </c>
      <c r="DN495" s="214" t="s">
        <v>70</v>
      </c>
      <c r="DO495" s="214" t="s">
        <v>530</v>
      </c>
      <c r="DQ495" s="214" t="s">
        <v>32246</v>
      </c>
      <c r="DR495" s="214" t="s">
        <v>34516</v>
      </c>
      <c r="DS495" s="214" t="s">
        <v>70</v>
      </c>
      <c r="DT495" s="214" t="s">
        <v>530</v>
      </c>
      <c r="DV495" s="214" t="s">
        <v>32247</v>
      </c>
      <c r="DW495" s="214" t="s">
        <v>955</v>
      </c>
      <c r="DX495" s="214" t="s">
        <v>70</v>
      </c>
      <c r="DY495" s="214" t="s">
        <v>530</v>
      </c>
      <c r="EA495" s="214" t="s">
        <v>32248</v>
      </c>
      <c r="EB495" s="214" t="s">
        <v>206</v>
      </c>
      <c r="EC495" s="214" t="s">
        <v>70</v>
      </c>
      <c r="ED495" s="214" t="s">
        <v>530</v>
      </c>
      <c r="EF495" s="214" t="s">
        <v>32249</v>
      </c>
      <c r="EG495" s="214" t="s">
        <v>34542</v>
      </c>
      <c r="EH495" s="214" t="s">
        <v>70</v>
      </c>
      <c r="EI495" s="214" t="s">
        <v>530</v>
      </c>
      <c r="EK495" s="214" t="s">
        <v>32250</v>
      </c>
      <c r="EL495" s="214" t="s">
        <v>34541</v>
      </c>
      <c r="EM495" s="214" t="s">
        <v>70</v>
      </c>
      <c r="EN495" s="214" t="s">
        <v>530</v>
      </c>
      <c r="EP495" s="214" t="s">
        <v>32251</v>
      </c>
      <c r="EQ495" s="214" t="s">
        <v>488</v>
      </c>
      <c r="ER495" s="214" t="s">
        <v>70</v>
      </c>
      <c r="ES495" s="214" t="s">
        <v>530</v>
      </c>
      <c r="EU495" s="214" t="s">
        <v>32252</v>
      </c>
      <c r="EV495" s="214" t="s">
        <v>935</v>
      </c>
      <c r="EW495" s="214" t="s">
        <v>70</v>
      </c>
      <c r="EX495" s="214" t="s">
        <v>530</v>
      </c>
      <c r="EZ495" s="214" t="s">
        <v>32253</v>
      </c>
      <c r="FA495" s="214" t="s">
        <v>531</v>
      </c>
      <c r="FB495" s="214" t="s">
        <v>70</v>
      </c>
      <c r="FC495" s="214" t="s">
        <v>530</v>
      </c>
      <c r="FE495" s="214" t="s">
        <v>32254</v>
      </c>
      <c r="FF495" s="214" t="s">
        <v>482</v>
      </c>
      <c r="FG495" s="214" t="s">
        <v>70</v>
      </c>
      <c r="FH495" s="214" t="s">
        <v>530</v>
      </c>
      <c r="FJ495" s="321" t="s">
        <v>32255</v>
      </c>
      <c r="FK495" s="214" t="s">
        <v>52</v>
      </c>
      <c r="FL495" s="214" t="s">
        <v>70</v>
      </c>
      <c r="FM495" s="214" t="s">
        <v>530</v>
      </c>
      <c r="FO495" s="321" t="s">
        <v>32256</v>
      </c>
      <c r="FP495" s="214" t="s">
        <v>34587</v>
      </c>
      <c r="FQ495" s="214" t="s">
        <v>70</v>
      </c>
      <c r="FR495" s="214" t="s">
        <v>530</v>
      </c>
      <c r="FT495" s="321" t="s">
        <v>32257</v>
      </c>
      <c r="FU495" s="214" t="s">
        <v>92</v>
      </c>
      <c r="FV495" s="214" t="s">
        <v>70</v>
      </c>
      <c r="FW495" s="214" t="s">
        <v>530</v>
      </c>
      <c r="FY495" s="321" t="s">
        <v>32258</v>
      </c>
      <c r="FZ495" s="214" t="s">
        <v>34542</v>
      </c>
      <c r="GA495" s="214" t="s">
        <v>70</v>
      </c>
      <c r="GB495" s="214" t="s">
        <v>530</v>
      </c>
      <c r="GD495" s="321" t="s">
        <v>32259</v>
      </c>
      <c r="GE495" s="214" t="s">
        <v>34558</v>
      </c>
      <c r="GF495" s="214" t="s">
        <v>70</v>
      </c>
      <c r="GG495" s="214" t="s">
        <v>530</v>
      </c>
      <c r="GI495" s="321" t="s">
        <v>32260</v>
      </c>
      <c r="GJ495" s="214" t="s">
        <v>599</v>
      </c>
      <c r="GK495" s="214" t="s">
        <v>70</v>
      </c>
      <c r="GL495" s="214" t="s">
        <v>530</v>
      </c>
      <c r="GN495" s="321" t="s">
        <v>32261</v>
      </c>
      <c r="GO495" s="214" t="s">
        <v>502</v>
      </c>
      <c r="GP495" s="214" t="s">
        <v>70</v>
      </c>
      <c r="GQ495" s="214" t="s">
        <v>530</v>
      </c>
      <c r="GS495" s="321" t="s">
        <v>32262</v>
      </c>
      <c r="GT495" s="214" t="s">
        <v>501</v>
      </c>
      <c r="GU495" s="214" t="s">
        <v>70</v>
      </c>
      <c r="GV495" s="214" t="s">
        <v>530</v>
      </c>
      <c r="GX495" s="214" t="s">
        <v>32263</v>
      </c>
      <c r="GY495" s="214" t="s">
        <v>488</v>
      </c>
      <c r="GZ495" s="214" t="s">
        <v>70</v>
      </c>
      <c r="HA495" s="214" t="s">
        <v>530</v>
      </c>
      <c r="HC495" s="214" t="s">
        <v>32264</v>
      </c>
      <c r="HD495" s="214" t="s">
        <v>488</v>
      </c>
      <c r="HE495" s="214" t="s">
        <v>70</v>
      </c>
      <c r="HF495" s="214" t="s">
        <v>530</v>
      </c>
      <c r="HH495" s="214" t="s">
        <v>32265</v>
      </c>
      <c r="HI495" s="214" t="s">
        <v>484</v>
      </c>
      <c r="HJ495" s="214" t="s">
        <v>70</v>
      </c>
      <c r="HK495" s="214" t="s">
        <v>530</v>
      </c>
      <c r="HM495" s="214" t="s">
        <v>32266</v>
      </c>
      <c r="HN495" s="214" t="s">
        <v>484</v>
      </c>
      <c r="HO495" s="214" t="s">
        <v>70</v>
      </c>
      <c r="HP495" s="214" t="s">
        <v>530</v>
      </c>
      <c r="HR495" s="22" t="s">
        <v>32267</v>
      </c>
      <c r="HS495" s="22" t="s">
        <v>798</v>
      </c>
      <c r="HT495" s="22" t="s">
        <v>70</v>
      </c>
      <c r="HU495" s="214" t="s">
        <v>530</v>
      </c>
      <c r="HW495" s="22" t="s">
        <v>32268</v>
      </c>
      <c r="HX495" s="22" t="s">
        <v>88</v>
      </c>
      <c r="HY495" s="22" t="s">
        <v>70</v>
      </c>
      <c r="HZ495" s="214" t="s">
        <v>530</v>
      </c>
      <c r="IB495" s="22" t="s">
        <v>32269</v>
      </c>
      <c r="IC495" s="22" t="s">
        <v>34405</v>
      </c>
      <c r="ID495" s="22" t="s">
        <v>70</v>
      </c>
      <c r="IE495" s="214" t="s">
        <v>530</v>
      </c>
      <c r="IG495" s="22" t="s">
        <v>32270</v>
      </c>
      <c r="IH495" s="22" t="s">
        <v>52</v>
      </c>
      <c r="II495" s="22" t="s">
        <v>70</v>
      </c>
      <c r="IJ495" s="214" t="s">
        <v>530</v>
      </c>
      <c r="IL495" s="22" t="s">
        <v>32271</v>
      </c>
      <c r="IM495" s="22" t="s">
        <v>145</v>
      </c>
      <c r="IN495" s="22" t="s">
        <v>70</v>
      </c>
      <c r="IO495" s="214" t="s">
        <v>530</v>
      </c>
      <c r="IQ495" s="236" t="s">
        <v>32272</v>
      </c>
      <c r="IR495" s="236" t="s">
        <v>145</v>
      </c>
      <c r="IS495" s="236" t="s">
        <v>74</v>
      </c>
      <c r="IT495" s="236" t="s">
        <v>841</v>
      </c>
      <c r="IV495" s="236" t="s">
        <v>32273</v>
      </c>
      <c r="IW495" s="236" t="s">
        <v>145</v>
      </c>
      <c r="IX495" s="236" t="s">
        <v>74</v>
      </c>
      <c r="IY495" s="236" t="s">
        <v>841</v>
      </c>
      <c r="JA495" s="236" t="s">
        <v>32274</v>
      </c>
      <c r="JB495" s="236" t="s">
        <v>145</v>
      </c>
      <c r="JC495" s="236" t="s">
        <v>74</v>
      </c>
      <c r="JD495" s="236" t="s">
        <v>841</v>
      </c>
      <c r="JF495" s="236" t="s">
        <v>32275</v>
      </c>
      <c r="JG495" s="236" t="s">
        <v>145</v>
      </c>
      <c r="JH495" s="236" t="s">
        <v>74</v>
      </c>
      <c r="JI495" s="236" t="s">
        <v>841</v>
      </c>
      <c r="JK495" s="236" t="s">
        <v>32276</v>
      </c>
      <c r="JL495" s="236" t="s">
        <v>145</v>
      </c>
      <c r="JM495" s="236" t="s">
        <v>74</v>
      </c>
      <c r="JN495" s="236" t="s">
        <v>841</v>
      </c>
      <c r="JP495" s="236" t="s">
        <v>32277</v>
      </c>
      <c r="JQ495" s="236" t="s">
        <v>145</v>
      </c>
      <c r="JR495" s="236" t="s">
        <v>74</v>
      </c>
      <c r="JS495" s="236" t="s">
        <v>841</v>
      </c>
      <c r="JU495" s="294" t="s">
        <v>32278</v>
      </c>
      <c r="JV495" s="294" t="s">
        <v>52</v>
      </c>
      <c r="JW495" s="263" t="s">
        <v>70</v>
      </c>
      <c r="JX495" s="294" t="s">
        <v>1083</v>
      </c>
      <c r="JZ495" s="263" t="s">
        <v>32279</v>
      </c>
      <c r="KA495" s="263" t="s">
        <v>145</v>
      </c>
      <c r="KB495" s="263" t="s">
        <v>70</v>
      </c>
      <c r="KC495" s="263" t="s">
        <v>1083</v>
      </c>
      <c r="KE495" s="263" t="s">
        <v>32280</v>
      </c>
      <c r="KF495" s="263" t="s">
        <v>52</v>
      </c>
      <c r="KG495" s="263" t="s">
        <v>70</v>
      </c>
      <c r="KH495" s="263" t="s">
        <v>1083</v>
      </c>
      <c r="KJ495" s="263" t="s">
        <v>32281</v>
      </c>
      <c r="KK495" s="263" t="s">
        <v>52</v>
      </c>
      <c r="KL495" s="263" t="s">
        <v>74</v>
      </c>
      <c r="KM495" s="263" t="s">
        <v>34074</v>
      </c>
      <c r="KO495" s="214" t="s">
        <v>32282</v>
      </c>
      <c r="KP495" s="214" t="s">
        <v>145</v>
      </c>
      <c r="KQ495" s="214" t="s">
        <v>70</v>
      </c>
      <c r="KR495" s="214" t="s">
        <v>67</v>
      </c>
      <c r="KT495" s="22" t="s">
        <v>32283</v>
      </c>
      <c r="KU495" s="22" t="s">
        <v>145</v>
      </c>
      <c r="KV495" s="22" t="s">
        <v>70</v>
      </c>
      <c r="KW495" s="22" t="s">
        <v>67</v>
      </c>
      <c r="KY495" s="214" t="s">
        <v>32284</v>
      </c>
      <c r="KZ495" s="214" t="s">
        <v>52</v>
      </c>
      <c r="LA495" s="214" t="s">
        <v>74</v>
      </c>
      <c r="LB495" s="214" t="s">
        <v>67</v>
      </c>
      <c r="LD495" s="22" t="s">
        <v>32285</v>
      </c>
      <c r="LE495" s="22" t="s">
        <v>145</v>
      </c>
      <c r="LF495" s="22" t="s">
        <v>70</v>
      </c>
      <c r="LG495" s="22" t="s">
        <v>67</v>
      </c>
    </row>
    <row r="496" spans="1:319">
      <c r="A496" s="22" t="s">
        <v>32286</v>
      </c>
      <c r="B496" s="22" t="s">
        <v>145</v>
      </c>
      <c r="C496" s="22" t="s">
        <v>70</v>
      </c>
      <c r="D496" s="22" t="s">
        <v>67</v>
      </c>
      <c r="F496" s="72" t="s">
        <v>32287</v>
      </c>
      <c r="G496" s="22" t="s">
        <v>145</v>
      </c>
      <c r="H496" s="22" t="s">
        <v>70</v>
      </c>
      <c r="I496" s="22" t="s">
        <v>67</v>
      </c>
      <c r="K496" s="99" t="s">
        <v>32288</v>
      </c>
      <c r="L496" s="22" t="s">
        <v>145</v>
      </c>
      <c r="M496" s="22" t="s">
        <v>70</v>
      </c>
      <c r="N496" s="22" t="s">
        <v>67</v>
      </c>
      <c r="P496" s="99" t="s">
        <v>32289</v>
      </c>
      <c r="Q496" s="22" t="s">
        <v>145</v>
      </c>
      <c r="R496" s="22" t="s">
        <v>70</v>
      </c>
      <c r="S496" s="22" t="s">
        <v>67</v>
      </c>
      <c r="U496" s="293" t="s">
        <v>32290</v>
      </c>
      <c r="V496" s="293" t="s">
        <v>145</v>
      </c>
      <c r="W496" s="293" t="s">
        <v>74</v>
      </c>
      <c r="X496" s="293" t="s">
        <v>656</v>
      </c>
      <c r="Z496" s="293" t="s">
        <v>32291</v>
      </c>
      <c r="AA496" s="293" t="s">
        <v>145</v>
      </c>
      <c r="AB496" s="293" t="s">
        <v>74</v>
      </c>
      <c r="AC496" s="293" t="s">
        <v>656</v>
      </c>
      <c r="AE496" s="293" t="s">
        <v>32292</v>
      </c>
      <c r="AF496" s="293" t="s">
        <v>145</v>
      </c>
      <c r="AG496" s="293" t="s">
        <v>74</v>
      </c>
      <c r="AH496" s="293" t="s">
        <v>656</v>
      </c>
      <c r="AJ496" s="293" t="s">
        <v>32293</v>
      </c>
      <c r="AK496" s="293" t="s">
        <v>145</v>
      </c>
      <c r="AL496" s="293" t="s">
        <v>74</v>
      </c>
      <c r="AM496" s="293" t="s">
        <v>656</v>
      </c>
      <c r="AO496" s="22" t="s">
        <v>32294</v>
      </c>
      <c r="AP496" s="22" t="s">
        <v>145</v>
      </c>
      <c r="AQ496" s="22" t="s">
        <v>70</v>
      </c>
      <c r="AR496" s="22" t="s">
        <v>67</v>
      </c>
      <c r="AT496" s="22" t="s">
        <v>32295</v>
      </c>
      <c r="AU496" s="22" t="s">
        <v>145</v>
      </c>
      <c r="AV496" s="22" t="s">
        <v>70</v>
      </c>
      <c r="AW496" s="22" t="s">
        <v>67</v>
      </c>
      <c r="AY496" s="22" t="s">
        <v>32296</v>
      </c>
      <c r="AZ496" s="22" t="s">
        <v>145</v>
      </c>
      <c r="BA496" s="22" t="s">
        <v>70</v>
      </c>
      <c r="BB496" s="22" t="s">
        <v>67</v>
      </c>
      <c r="BD496" s="22" t="s">
        <v>32297</v>
      </c>
      <c r="BE496" s="22" t="s">
        <v>145</v>
      </c>
      <c r="BF496" s="22" t="s">
        <v>70</v>
      </c>
      <c r="BG496" s="22" t="s">
        <v>67</v>
      </c>
      <c r="BI496" s="22" t="s">
        <v>32298</v>
      </c>
      <c r="BJ496" s="22" t="s">
        <v>145</v>
      </c>
      <c r="BK496" s="22" t="s">
        <v>70</v>
      </c>
      <c r="BL496" s="22" t="s">
        <v>67</v>
      </c>
      <c r="BN496" s="22" t="s">
        <v>32299</v>
      </c>
      <c r="BO496" s="22" t="s">
        <v>145</v>
      </c>
      <c r="BP496" s="22" t="s">
        <v>70</v>
      </c>
      <c r="BQ496" s="22" t="s">
        <v>67</v>
      </c>
      <c r="BS496" s="22" t="s">
        <v>32300</v>
      </c>
      <c r="BT496" s="22" t="s">
        <v>145</v>
      </c>
      <c r="BU496" s="22" t="s">
        <v>70</v>
      </c>
      <c r="BV496" s="214" t="s">
        <v>530</v>
      </c>
      <c r="BX496" s="22" t="s">
        <v>32301</v>
      </c>
      <c r="BY496" s="22" t="s">
        <v>145</v>
      </c>
      <c r="BZ496" s="22" t="s">
        <v>70</v>
      </c>
      <c r="CA496" s="214" t="s">
        <v>530</v>
      </c>
      <c r="CC496" s="214" t="s">
        <v>32302</v>
      </c>
      <c r="CD496" s="214" t="s">
        <v>10541</v>
      </c>
      <c r="CE496" s="214" t="s">
        <v>70</v>
      </c>
      <c r="CF496" s="214" t="s">
        <v>530</v>
      </c>
      <c r="CH496" s="214" t="s">
        <v>32303</v>
      </c>
      <c r="CI496" s="214" t="s">
        <v>148</v>
      </c>
      <c r="CJ496" s="214" t="s">
        <v>70</v>
      </c>
      <c r="CK496" s="214" t="s">
        <v>530</v>
      </c>
      <c r="CM496" s="214" t="s">
        <v>32304</v>
      </c>
      <c r="CN496" s="214" t="s">
        <v>85</v>
      </c>
      <c r="CO496" s="214" t="s">
        <v>70</v>
      </c>
      <c r="CP496" s="214" t="s">
        <v>530</v>
      </c>
      <c r="CR496" s="214" t="s">
        <v>32305</v>
      </c>
      <c r="CS496" s="214" t="s">
        <v>85</v>
      </c>
      <c r="CT496" s="214" t="s">
        <v>70</v>
      </c>
      <c r="CU496" s="214" t="s">
        <v>530</v>
      </c>
      <c r="CW496" s="214" t="s">
        <v>32306</v>
      </c>
      <c r="CX496" s="214" t="s">
        <v>92</v>
      </c>
      <c r="CY496" s="214" t="s">
        <v>70</v>
      </c>
      <c r="CZ496" s="214" t="s">
        <v>530</v>
      </c>
      <c r="DB496" s="214" t="s">
        <v>32307</v>
      </c>
      <c r="DC496" s="214" t="s">
        <v>468</v>
      </c>
      <c r="DD496" s="214" t="s">
        <v>70</v>
      </c>
      <c r="DE496" s="214" t="s">
        <v>530</v>
      </c>
      <c r="DG496" s="214" t="s">
        <v>32308</v>
      </c>
      <c r="DH496" s="214" t="s">
        <v>288</v>
      </c>
      <c r="DI496" s="214" t="s">
        <v>70</v>
      </c>
      <c r="DJ496" s="214" t="s">
        <v>530</v>
      </c>
      <c r="DL496" s="214" t="s">
        <v>32309</v>
      </c>
      <c r="DM496" s="214" t="s">
        <v>164</v>
      </c>
      <c r="DN496" s="214" t="s">
        <v>70</v>
      </c>
      <c r="DO496" s="214" t="s">
        <v>530</v>
      </c>
      <c r="DQ496" s="214" t="s">
        <v>32310</v>
      </c>
      <c r="DR496" s="214" t="s">
        <v>916</v>
      </c>
      <c r="DS496" s="214" t="s">
        <v>70</v>
      </c>
      <c r="DT496" s="214" t="s">
        <v>530</v>
      </c>
      <c r="DV496" s="214" t="s">
        <v>32311</v>
      </c>
      <c r="DW496" s="214" t="s">
        <v>944</v>
      </c>
      <c r="DX496" s="214" t="s">
        <v>70</v>
      </c>
      <c r="DY496" s="214" t="s">
        <v>530</v>
      </c>
      <c r="EA496" s="214" t="s">
        <v>32312</v>
      </c>
      <c r="EB496" s="214" t="s">
        <v>148</v>
      </c>
      <c r="EC496" s="214" t="s">
        <v>70</v>
      </c>
      <c r="ED496" s="214" t="s">
        <v>530</v>
      </c>
      <c r="EF496" s="214" t="s">
        <v>32313</v>
      </c>
      <c r="EG496" s="214" t="s">
        <v>90</v>
      </c>
      <c r="EH496" s="214" t="s">
        <v>70</v>
      </c>
      <c r="EI496" s="214" t="s">
        <v>530</v>
      </c>
      <c r="EK496" s="214" t="s">
        <v>32314</v>
      </c>
      <c r="EL496" s="214" t="s">
        <v>34623</v>
      </c>
      <c r="EM496" s="214" t="s">
        <v>70</v>
      </c>
      <c r="EN496" s="214" t="s">
        <v>530</v>
      </c>
      <c r="EP496" s="214" t="s">
        <v>32315</v>
      </c>
      <c r="EQ496" s="214" t="s">
        <v>145</v>
      </c>
      <c r="ER496" s="214" t="s">
        <v>70</v>
      </c>
      <c r="ES496" s="214" t="s">
        <v>530</v>
      </c>
      <c r="EU496" s="214" t="s">
        <v>32316</v>
      </c>
      <c r="EV496" s="214" t="s">
        <v>34611</v>
      </c>
      <c r="EW496" s="214" t="s">
        <v>70</v>
      </c>
      <c r="EX496" s="214" t="s">
        <v>530</v>
      </c>
      <c r="EZ496" s="214" t="s">
        <v>32317</v>
      </c>
      <c r="FA496" s="214" t="s">
        <v>34616</v>
      </c>
      <c r="FB496" s="214" t="s">
        <v>70</v>
      </c>
      <c r="FC496" s="214" t="s">
        <v>530</v>
      </c>
      <c r="FE496" s="214" t="s">
        <v>32318</v>
      </c>
      <c r="FF496" s="214" t="s">
        <v>145</v>
      </c>
      <c r="FG496" s="214" t="s">
        <v>70</v>
      </c>
      <c r="FH496" s="214" t="s">
        <v>530</v>
      </c>
      <c r="FJ496" s="321" t="s">
        <v>32319</v>
      </c>
      <c r="FK496" s="214" t="s">
        <v>145</v>
      </c>
      <c r="FL496" s="214" t="s">
        <v>70</v>
      </c>
      <c r="FM496" s="214" t="s">
        <v>530</v>
      </c>
      <c r="FO496" s="321" t="s">
        <v>32320</v>
      </c>
      <c r="FP496" s="214" t="s">
        <v>921</v>
      </c>
      <c r="FQ496" s="214" t="s">
        <v>70</v>
      </c>
      <c r="FR496" s="214" t="s">
        <v>530</v>
      </c>
      <c r="FT496" s="321" t="s">
        <v>32321</v>
      </c>
      <c r="FU496" s="214" t="s">
        <v>52</v>
      </c>
      <c r="FV496" s="214" t="s">
        <v>70</v>
      </c>
      <c r="FW496" s="214" t="s">
        <v>530</v>
      </c>
      <c r="FY496" s="321" t="s">
        <v>32322</v>
      </c>
      <c r="FZ496" s="214" t="s">
        <v>499</v>
      </c>
      <c r="GA496" s="214" t="s">
        <v>70</v>
      </c>
      <c r="GB496" s="214" t="s">
        <v>530</v>
      </c>
      <c r="GD496" s="321" t="s">
        <v>32323</v>
      </c>
      <c r="GE496" s="214" t="s">
        <v>940</v>
      </c>
      <c r="GF496" s="214" t="s">
        <v>70</v>
      </c>
      <c r="GG496" s="214" t="s">
        <v>530</v>
      </c>
      <c r="GI496" s="321" t="s">
        <v>32324</v>
      </c>
      <c r="GJ496" s="214" t="s">
        <v>85</v>
      </c>
      <c r="GK496" s="214" t="s">
        <v>70</v>
      </c>
      <c r="GL496" s="214" t="s">
        <v>530</v>
      </c>
      <c r="GN496" s="321" t="s">
        <v>32325</v>
      </c>
      <c r="GO496" s="214" t="s">
        <v>468</v>
      </c>
      <c r="GP496" s="214" t="s">
        <v>70</v>
      </c>
      <c r="GQ496" s="214" t="s">
        <v>530</v>
      </c>
      <c r="GS496" s="321" t="s">
        <v>32326</v>
      </c>
      <c r="GT496" s="214" t="s">
        <v>34648</v>
      </c>
      <c r="GU496" s="214" t="s">
        <v>70</v>
      </c>
      <c r="GV496" s="214" t="s">
        <v>530</v>
      </c>
      <c r="GX496" s="214" t="s">
        <v>32327</v>
      </c>
      <c r="GY496" s="214" t="s">
        <v>88</v>
      </c>
      <c r="GZ496" s="214" t="s">
        <v>70</v>
      </c>
      <c r="HA496" s="214" t="s">
        <v>530</v>
      </c>
      <c r="HC496" s="214" t="s">
        <v>32328</v>
      </c>
      <c r="HD496" s="214" t="s">
        <v>912</v>
      </c>
      <c r="HE496" s="214" t="s">
        <v>70</v>
      </c>
      <c r="HF496" s="214" t="s">
        <v>530</v>
      </c>
      <c r="HH496" s="214" t="s">
        <v>32329</v>
      </c>
      <c r="HI496" s="214" t="s">
        <v>88</v>
      </c>
      <c r="HJ496" s="214" t="s">
        <v>70</v>
      </c>
      <c r="HK496" s="214" t="s">
        <v>530</v>
      </c>
      <c r="HM496" s="214" t="s">
        <v>32330</v>
      </c>
      <c r="HN496" s="214" t="s">
        <v>52</v>
      </c>
      <c r="HO496" s="214" t="s">
        <v>70</v>
      </c>
      <c r="HP496" s="214" t="s">
        <v>530</v>
      </c>
      <c r="HR496" s="22" t="s">
        <v>32331</v>
      </c>
      <c r="HS496" s="22" t="s">
        <v>34562</v>
      </c>
      <c r="HT496" s="22" t="s">
        <v>70</v>
      </c>
      <c r="HU496" s="214" t="s">
        <v>530</v>
      </c>
      <c r="HW496" s="22" t="s">
        <v>32332</v>
      </c>
      <c r="HX496" s="22" t="s">
        <v>937</v>
      </c>
      <c r="HY496" s="22" t="s">
        <v>70</v>
      </c>
      <c r="HZ496" s="214" t="s">
        <v>530</v>
      </c>
      <c r="IB496" s="22" t="s">
        <v>32333</v>
      </c>
      <c r="IC496" s="22" t="s">
        <v>468</v>
      </c>
      <c r="ID496" s="22" t="s">
        <v>70</v>
      </c>
      <c r="IE496" s="214" t="s">
        <v>530</v>
      </c>
      <c r="IG496" s="22" t="s">
        <v>32334</v>
      </c>
      <c r="IH496" s="22" t="s">
        <v>52</v>
      </c>
      <c r="II496" s="22" t="s">
        <v>70</v>
      </c>
      <c r="IJ496" s="214" t="s">
        <v>530</v>
      </c>
      <c r="IL496" s="22" t="s">
        <v>32335</v>
      </c>
      <c r="IM496" s="22" t="s">
        <v>145</v>
      </c>
      <c r="IN496" s="22" t="s">
        <v>70</v>
      </c>
      <c r="IO496" s="214" t="s">
        <v>530</v>
      </c>
      <c r="IQ496" s="236" t="s">
        <v>32336</v>
      </c>
      <c r="IR496" s="236" t="s">
        <v>145</v>
      </c>
      <c r="IS496" s="236" t="s">
        <v>74</v>
      </c>
      <c r="IT496" s="236" t="s">
        <v>841</v>
      </c>
      <c r="IV496" s="236" t="s">
        <v>32337</v>
      </c>
      <c r="IW496" s="236" t="s">
        <v>145</v>
      </c>
      <c r="IX496" s="236" t="s">
        <v>74</v>
      </c>
      <c r="IY496" s="236" t="s">
        <v>841</v>
      </c>
      <c r="JA496" s="236" t="s">
        <v>32338</v>
      </c>
      <c r="JB496" s="236" t="s">
        <v>145</v>
      </c>
      <c r="JC496" s="236" t="s">
        <v>74</v>
      </c>
      <c r="JD496" s="236" t="s">
        <v>841</v>
      </c>
      <c r="JF496" s="236" t="s">
        <v>32339</v>
      </c>
      <c r="JG496" s="236" t="s">
        <v>145</v>
      </c>
      <c r="JH496" s="236" t="s">
        <v>74</v>
      </c>
      <c r="JI496" s="236" t="s">
        <v>841</v>
      </c>
      <c r="JK496" s="236" t="s">
        <v>32340</v>
      </c>
      <c r="JL496" s="236" t="s">
        <v>145</v>
      </c>
      <c r="JM496" s="236" t="s">
        <v>74</v>
      </c>
      <c r="JN496" s="236" t="s">
        <v>841</v>
      </c>
      <c r="JP496" s="236" t="s">
        <v>32341</v>
      </c>
      <c r="JQ496" s="236" t="s">
        <v>145</v>
      </c>
      <c r="JR496" s="236" t="s">
        <v>74</v>
      </c>
      <c r="JS496" s="236" t="s">
        <v>841</v>
      </c>
      <c r="JU496" s="294" t="s">
        <v>32342</v>
      </c>
      <c r="JV496" s="294" t="s">
        <v>52</v>
      </c>
      <c r="JW496" s="263" t="s">
        <v>70</v>
      </c>
      <c r="JX496" s="294" t="s">
        <v>1083</v>
      </c>
      <c r="JZ496" s="263" t="s">
        <v>32343</v>
      </c>
      <c r="KA496" s="263" t="s">
        <v>145</v>
      </c>
      <c r="KB496" s="263" t="s">
        <v>70</v>
      </c>
      <c r="KC496" s="263" t="s">
        <v>1083</v>
      </c>
      <c r="KE496" s="263" t="s">
        <v>32344</v>
      </c>
      <c r="KF496" s="263" t="s">
        <v>52</v>
      </c>
      <c r="KG496" s="263" t="s">
        <v>70</v>
      </c>
      <c r="KH496" s="263" t="s">
        <v>1083</v>
      </c>
      <c r="KJ496" s="263" t="s">
        <v>32345</v>
      </c>
      <c r="KK496" s="263" t="s">
        <v>52</v>
      </c>
      <c r="KL496" s="263" t="s">
        <v>74</v>
      </c>
      <c r="KM496" s="263" t="s">
        <v>34074</v>
      </c>
      <c r="KO496" s="214" t="s">
        <v>32346</v>
      </c>
      <c r="KP496" s="214" t="s">
        <v>145</v>
      </c>
      <c r="KQ496" s="214" t="s">
        <v>70</v>
      </c>
      <c r="KR496" s="214" t="s">
        <v>67</v>
      </c>
      <c r="KT496" s="22" t="s">
        <v>32347</v>
      </c>
      <c r="KU496" s="22" t="s">
        <v>145</v>
      </c>
      <c r="KV496" s="22" t="s">
        <v>70</v>
      </c>
      <c r="KW496" s="22" t="s">
        <v>67</v>
      </c>
      <c r="KY496" s="214" t="s">
        <v>32348</v>
      </c>
      <c r="KZ496" s="214" t="s">
        <v>52</v>
      </c>
      <c r="LA496" s="214" t="s">
        <v>74</v>
      </c>
      <c r="LB496" s="214" t="s">
        <v>67</v>
      </c>
      <c r="LD496" s="22" t="s">
        <v>32349</v>
      </c>
      <c r="LE496" s="22" t="s">
        <v>145</v>
      </c>
      <c r="LF496" s="22" t="s">
        <v>70</v>
      </c>
      <c r="LG496" s="22" t="s">
        <v>67</v>
      </c>
    </row>
    <row r="497" spans="1:319">
      <c r="A497" s="22" t="s">
        <v>32350</v>
      </c>
      <c r="B497" s="22" t="s">
        <v>145</v>
      </c>
      <c r="C497" s="22" t="s">
        <v>70</v>
      </c>
      <c r="D497" s="22" t="s">
        <v>67</v>
      </c>
      <c r="F497" s="72" t="s">
        <v>32351</v>
      </c>
      <c r="G497" s="22" t="s">
        <v>145</v>
      </c>
      <c r="H497" s="22" t="s">
        <v>70</v>
      </c>
      <c r="I497" s="22" t="s">
        <v>67</v>
      </c>
      <c r="K497" s="99" t="s">
        <v>32352</v>
      </c>
      <c r="L497" s="22" t="s">
        <v>145</v>
      </c>
      <c r="M497" s="22" t="s">
        <v>70</v>
      </c>
      <c r="N497" s="22" t="s">
        <v>67</v>
      </c>
      <c r="P497" s="99" t="s">
        <v>32353</v>
      </c>
      <c r="Q497" s="22" t="s">
        <v>145</v>
      </c>
      <c r="R497" s="22" t="s">
        <v>70</v>
      </c>
      <c r="S497" s="22" t="s">
        <v>67</v>
      </c>
      <c r="U497" s="293" t="s">
        <v>32354</v>
      </c>
      <c r="V497" s="293" t="s">
        <v>145</v>
      </c>
      <c r="W497" s="293" t="s">
        <v>74</v>
      </c>
      <c r="X497" s="293" t="s">
        <v>656</v>
      </c>
      <c r="Z497" s="293" t="s">
        <v>32355</v>
      </c>
      <c r="AA497" s="293" t="s">
        <v>145</v>
      </c>
      <c r="AB497" s="293" t="s">
        <v>74</v>
      </c>
      <c r="AC497" s="293" t="s">
        <v>656</v>
      </c>
      <c r="AE497" s="293" t="s">
        <v>32356</v>
      </c>
      <c r="AF497" s="293" t="s">
        <v>145</v>
      </c>
      <c r="AG497" s="293" t="s">
        <v>74</v>
      </c>
      <c r="AH497" s="293" t="s">
        <v>656</v>
      </c>
      <c r="AJ497" s="293" t="s">
        <v>32357</v>
      </c>
      <c r="AK497" s="293" t="s">
        <v>145</v>
      </c>
      <c r="AL497" s="293" t="s">
        <v>74</v>
      </c>
      <c r="AM497" s="293" t="s">
        <v>656</v>
      </c>
      <c r="AO497" s="22" t="s">
        <v>32358</v>
      </c>
      <c r="AP497" s="22" t="s">
        <v>145</v>
      </c>
      <c r="AQ497" s="22" t="s">
        <v>70</v>
      </c>
      <c r="AR497" s="22" t="s">
        <v>67</v>
      </c>
      <c r="AT497" s="22" t="s">
        <v>32359</v>
      </c>
      <c r="AU497" s="22" t="s">
        <v>145</v>
      </c>
      <c r="AV497" s="22" t="s">
        <v>70</v>
      </c>
      <c r="AW497" s="22" t="s">
        <v>67</v>
      </c>
      <c r="AY497" s="22" t="s">
        <v>32360</v>
      </c>
      <c r="AZ497" s="22" t="s">
        <v>145</v>
      </c>
      <c r="BA497" s="22" t="s">
        <v>70</v>
      </c>
      <c r="BB497" s="22" t="s">
        <v>67</v>
      </c>
      <c r="BD497" s="22" t="s">
        <v>32361</v>
      </c>
      <c r="BE497" s="22" t="s">
        <v>145</v>
      </c>
      <c r="BF497" s="22" t="s">
        <v>70</v>
      </c>
      <c r="BG497" s="22" t="s">
        <v>67</v>
      </c>
      <c r="BI497" s="22" t="s">
        <v>32362</v>
      </c>
      <c r="BJ497" s="22" t="s">
        <v>145</v>
      </c>
      <c r="BK497" s="22" t="s">
        <v>70</v>
      </c>
      <c r="BL497" s="22" t="s">
        <v>67</v>
      </c>
      <c r="BN497" s="22" t="s">
        <v>32363</v>
      </c>
      <c r="BO497" s="22" t="s">
        <v>145</v>
      </c>
      <c r="BP497" s="22" t="s">
        <v>70</v>
      </c>
      <c r="BQ497" s="22" t="s">
        <v>67</v>
      </c>
      <c r="BS497" s="22" t="s">
        <v>32364</v>
      </c>
      <c r="BT497" s="22" t="s">
        <v>145</v>
      </c>
      <c r="BU497" s="22" t="s">
        <v>70</v>
      </c>
      <c r="BV497" s="214" t="s">
        <v>530</v>
      </c>
      <c r="BX497" s="22" t="s">
        <v>32365</v>
      </c>
      <c r="BY497" s="22" t="s">
        <v>145</v>
      </c>
      <c r="BZ497" s="22" t="s">
        <v>70</v>
      </c>
      <c r="CA497" s="214" t="s">
        <v>530</v>
      </c>
      <c r="CC497" s="214" t="s">
        <v>32366</v>
      </c>
      <c r="CD497" s="214" t="s">
        <v>950</v>
      </c>
      <c r="CE497" s="214" t="s">
        <v>70</v>
      </c>
      <c r="CF497" s="214" t="s">
        <v>530</v>
      </c>
      <c r="CH497" s="214" t="s">
        <v>32367</v>
      </c>
      <c r="CI497" s="214" t="s">
        <v>950</v>
      </c>
      <c r="CJ497" s="214" t="s">
        <v>70</v>
      </c>
      <c r="CK497" s="214" t="s">
        <v>530</v>
      </c>
      <c r="CM497" s="214" t="s">
        <v>32368</v>
      </c>
      <c r="CN497" s="214" t="s">
        <v>485</v>
      </c>
      <c r="CO497" s="214" t="s">
        <v>70</v>
      </c>
      <c r="CP497" s="214" t="s">
        <v>530</v>
      </c>
      <c r="CR497" s="214" t="s">
        <v>32369</v>
      </c>
      <c r="CS497" s="214" t="s">
        <v>34540</v>
      </c>
      <c r="CT497" s="214" t="s">
        <v>70</v>
      </c>
      <c r="CU497" s="214" t="s">
        <v>530</v>
      </c>
      <c r="CW497" s="214" t="s">
        <v>32370</v>
      </c>
      <c r="CX497" s="214" t="s">
        <v>52</v>
      </c>
      <c r="CY497" s="214" t="s">
        <v>70</v>
      </c>
      <c r="CZ497" s="214" t="s">
        <v>530</v>
      </c>
      <c r="DB497" s="214" t="s">
        <v>32371</v>
      </c>
      <c r="DC497" s="214" t="s">
        <v>484</v>
      </c>
      <c r="DD497" s="214" t="s">
        <v>70</v>
      </c>
      <c r="DE497" s="214" t="s">
        <v>530</v>
      </c>
      <c r="DG497" s="214" t="s">
        <v>32372</v>
      </c>
      <c r="DH497" s="214" t="s">
        <v>34545</v>
      </c>
      <c r="DI497" s="214" t="s">
        <v>70</v>
      </c>
      <c r="DJ497" s="214" t="s">
        <v>530</v>
      </c>
      <c r="DL497" s="214" t="s">
        <v>32373</v>
      </c>
      <c r="DM497" s="214" t="s">
        <v>950</v>
      </c>
      <c r="DN497" s="214" t="s">
        <v>70</v>
      </c>
      <c r="DO497" s="214" t="s">
        <v>530</v>
      </c>
      <c r="DQ497" s="214" t="s">
        <v>32374</v>
      </c>
      <c r="DR497" s="214" t="s">
        <v>486</v>
      </c>
      <c r="DS497" s="214" t="s">
        <v>70</v>
      </c>
      <c r="DT497" s="214" t="s">
        <v>530</v>
      </c>
      <c r="DV497" s="214" t="s">
        <v>32375</v>
      </c>
      <c r="DW497" s="214" t="s">
        <v>484</v>
      </c>
      <c r="DX497" s="214" t="s">
        <v>70</v>
      </c>
      <c r="DY497" s="214" t="s">
        <v>530</v>
      </c>
      <c r="EA497" s="214" t="s">
        <v>32376</v>
      </c>
      <c r="EB497" s="214" t="s">
        <v>34593</v>
      </c>
      <c r="EC497" s="214" t="s">
        <v>70</v>
      </c>
      <c r="ED497" s="214" t="s">
        <v>530</v>
      </c>
      <c r="EF497" s="214" t="s">
        <v>32377</v>
      </c>
      <c r="EG497" s="214" t="s">
        <v>922</v>
      </c>
      <c r="EH497" s="214" t="s">
        <v>70</v>
      </c>
      <c r="EI497" s="214" t="s">
        <v>530</v>
      </c>
      <c r="EK497" s="214" t="s">
        <v>32378</v>
      </c>
      <c r="EL497" s="214" t="s">
        <v>34556</v>
      </c>
      <c r="EM497" s="214" t="s">
        <v>70</v>
      </c>
      <c r="EN497" s="214" t="s">
        <v>530</v>
      </c>
      <c r="EP497" s="214" t="s">
        <v>32379</v>
      </c>
      <c r="EQ497" s="214" t="s">
        <v>34541</v>
      </c>
      <c r="ER497" s="214" t="s">
        <v>70</v>
      </c>
      <c r="ES497" s="214" t="s">
        <v>530</v>
      </c>
      <c r="EU497" s="214" t="s">
        <v>32380</v>
      </c>
      <c r="EV497" s="214" t="s">
        <v>935</v>
      </c>
      <c r="EW497" s="214" t="s">
        <v>70</v>
      </c>
      <c r="EX497" s="214" t="s">
        <v>530</v>
      </c>
      <c r="EZ497" s="214" t="s">
        <v>32381</v>
      </c>
      <c r="FA497" s="214" t="s">
        <v>52</v>
      </c>
      <c r="FB497" s="214" t="s">
        <v>70</v>
      </c>
      <c r="FC497" s="214" t="s">
        <v>530</v>
      </c>
      <c r="FE497" s="214" t="s">
        <v>32382</v>
      </c>
      <c r="FF497" s="214" t="s">
        <v>34541</v>
      </c>
      <c r="FG497" s="214" t="s">
        <v>70</v>
      </c>
      <c r="FH497" s="214" t="s">
        <v>530</v>
      </c>
      <c r="FJ497" s="321" t="s">
        <v>32383</v>
      </c>
      <c r="FK497" s="214" t="s">
        <v>34541</v>
      </c>
      <c r="FL497" s="214" t="s">
        <v>70</v>
      </c>
      <c r="FM497" s="214" t="s">
        <v>530</v>
      </c>
      <c r="FO497" s="321" t="s">
        <v>32384</v>
      </c>
      <c r="FP497" s="214" t="s">
        <v>34550</v>
      </c>
      <c r="FQ497" s="214" t="s">
        <v>70</v>
      </c>
      <c r="FR497" s="214" t="s">
        <v>530</v>
      </c>
      <c r="FT497" s="321" t="s">
        <v>32385</v>
      </c>
      <c r="FU497" s="214" t="s">
        <v>52</v>
      </c>
      <c r="FV497" s="214" t="s">
        <v>70</v>
      </c>
      <c r="FW497" s="214" t="s">
        <v>530</v>
      </c>
      <c r="FY497" s="321" t="s">
        <v>32386</v>
      </c>
      <c r="FZ497" s="214" t="s">
        <v>484</v>
      </c>
      <c r="GA497" s="214" t="s">
        <v>70</v>
      </c>
      <c r="GB497" s="214" t="s">
        <v>530</v>
      </c>
      <c r="GD497" s="321" t="s">
        <v>32387</v>
      </c>
      <c r="GE497" s="214" t="s">
        <v>488</v>
      </c>
      <c r="GF497" s="214" t="s">
        <v>70</v>
      </c>
      <c r="GG497" s="214" t="s">
        <v>530</v>
      </c>
      <c r="GI497" s="321" t="s">
        <v>32388</v>
      </c>
      <c r="GJ497" s="214" t="s">
        <v>34638</v>
      </c>
      <c r="GK497" s="214" t="s">
        <v>70</v>
      </c>
      <c r="GL497" s="214" t="s">
        <v>530</v>
      </c>
      <c r="GN497" s="321" t="s">
        <v>32389</v>
      </c>
      <c r="GO497" s="214" t="s">
        <v>52</v>
      </c>
      <c r="GP497" s="214" t="s">
        <v>70</v>
      </c>
      <c r="GQ497" s="214" t="s">
        <v>530</v>
      </c>
      <c r="GS497" s="321" t="s">
        <v>32390</v>
      </c>
      <c r="GT497" s="214" t="s">
        <v>34580</v>
      </c>
      <c r="GU497" s="214" t="s">
        <v>70</v>
      </c>
      <c r="GV497" s="214" t="s">
        <v>530</v>
      </c>
      <c r="GX497" s="214" t="s">
        <v>32391</v>
      </c>
      <c r="GY497" s="214" t="s">
        <v>484</v>
      </c>
      <c r="GZ497" s="214" t="s">
        <v>70</v>
      </c>
      <c r="HA497" s="214" t="s">
        <v>530</v>
      </c>
      <c r="HC497" s="214" t="s">
        <v>32392</v>
      </c>
      <c r="HD497" s="214" t="s">
        <v>484</v>
      </c>
      <c r="HE497" s="214" t="s">
        <v>70</v>
      </c>
      <c r="HF497" s="214" t="s">
        <v>530</v>
      </c>
      <c r="HH497" s="214" t="s">
        <v>32393</v>
      </c>
      <c r="HI497" s="214" t="s">
        <v>502</v>
      </c>
      <c r="HJ497" s="214" t="s">
        <v>70</v>
      </c>
      <c r="HK497" s="214" t="s">
        <v>530</v>
      </c>
      <c r="HM497" s="214" t="s">
        <v>32394</v>
      </c>
      <c r="HN497" s="214" t="s">
        <v>485</v>
      </c>
      <c r="HO497" s="214" t="s">
        <v>70</v>
      </c>
      <c r="HP497" s="214" t="s">
        <v>530</v>
      </c>
      <c r="HR497" s="22" t="s">
        <v>32395</v>
      </c>
      <c r="HS497" s="22" t="s">
        <v>34558</v>
      </c>
      <c r="HT497" s="22" t="s">
        <v>70</v>
      </c>
      <c r="HU497" s="214" t="s">
        <v>530</v>
      </c>
      <c r="HW497" s="22" t="s">
        <v>32396</v>
      </c>
      <c r="HX497" s="22" t="s">
        <v>34539</v>
      </c>
      <c r="HY497" s="22" t="s">
        <v>70</v>
      </c>
      <c r="HZ497" s="214" t="s">
        <v>530</v>
      </c>
      <c r="IB497" s="22" t="s">
        <v>32397</v>
      </c>
      <c r="IC497" s="22" t="s">
        <v>484</v>
      </c>
      <c r="ID497" s="22" t="s">
        <v>70</v>
      </c>
      <c r="IE497" s="214" t="s">
        <v>530</v>
      </c>
      <c r="IG497" s="22" t="s">
        <v>32398</v>
      </c>
      <c r="IH497" s="22" t="s">
        <v>52</v>
      </c>
      <c r="II497" s="22" t="s">
        <v>70</v>
      </c>
      <c r="IJ497" s="214" t="s">
        <v>530</v>
      </c>
      <c r="IL497" s="22" t="s">
        <v>32399</v>
      </c>
      <c r="IM497" s="22" t="s">
        <v>145</v>
      </c>
      <c r="IN497" s="22" t="s">
        <v>70</v>
      </c>
      <c r="IO497" s="214" t="s">
        <v>530</v>
      </c>
      <c r="IQ497" s="236" t="s">
        <v>32400</v>
      </c>
      <c r="IR497" s="236" t="s">
        <v>145</v>
      </c>
      <c r="IS497" s="236" t="s">
        <v>74</v>
      </c>
      <c r="IT497" s="236" t="s">
        <v>841</v>
      </c>
      <c r="IV497" s="236" t="s">
        <v>32401</v>
      </c>
      <c r="IW497" s="236" t="s">
        <v>145</v>
      </c>
      <c r="IX497" s="236" t="s">
        <v>74</v>
      </c>
      <c r="IY497" s="236" t="s">
        <v>841</v>
      </c>
      <c r="JA497" s="236" t="s">
        <v>32402</v>
      </c>
      <c r="JB497" s="236" t="s">
        <v>145</v>
      </c>
      <c r="JC497" s="236" t="s">
        <v>74</v>
      </c>
      <c r="JD497" s="236" t="s">
        <v>841</v>
      </c>
      <c r="JF497" s="236" t="s">
        <v>32403</v>
      </c>
      <c r="JG497" s="236" t="s">
        <v>145</v>
      </c>
      <c r="JH497" s="236" t="s">
        <v>74</v>
      </c>
      <c r="JI497" s="236" t="s">
        <v>841</v>
      </c>
      <c r="JK497" s="236" t="s">
        <v>32404</v>
      </c>
      <c r="JL497" s="236" t="s">
        <v>145</v>
      </c>
      <c r="JM497" s="236" t="s">
        <v>74</v>
      </c>
      <c r="JN497" s="236" t="s">
        <v>841</v>
      </c>
      <c r="JP497" s="236" t="s">
        <v>32405</v>
      </c>
      <c r="JQ497" s="236" t="s">
        <v>145</v>
      </c>
      <c r="JR497" s="236" t="s">
        <v>74</v>
      </c>
      <c r="JS497" s="236" t="s">
        <v>841</v>
      </c>
      <c r="JU497" s="294" t="s">
        <v>32406</v>
      </c>
      <c r="JV497" s="294" t="s">
        <v>52</v>
      </c>
      <c r="JW497" s="263" t="s">
        <v>70</v>
      </c>
      <c r="JX497" s="294" t="s">
        <v>1083</v>
      </c>
      <c r="JZ497" s="263" t="s">
        <v>32407</v>
      </c>
      <c r="KA497" s="263" t="s">
        <v>145</v>
      </c>
      <c r="KB497" s="263" t="s">
        <v>70</v>
      </c>
      <c r="KC497" s="263" t="s">
        <v>1083</v>
      </c>
      <c r="KE497" s="263" t="s">
        <v>32408</v>
      </c>
      <c r="KF497" s="263" t="s">
        <v>52</v>
      </c>
      <c r="KG497" s="263" t="s">
        <v>70</v>
      </c>
      <c r="KH497" s="263" t="s">
        <v>1083</v>
      </c>
      <c r="KJ497" s="263" t="s">
        <v>32409</v>
      </c>
      <c r="KK497" s="263" t="s">
        <v>52</v>
      </c>
      <c r="KL497" s="263" t="s">
        <v>74</v>
      </c>
      <c r="KM497" s="263" t="s">
        <v>34074</v>
      </c>
      <c r="KO497" s="214" t="s">
        <v>32410</v>
      </c>
      <c r="KP497" s="214" t="s">
        <v>145</v>
      </c>
      <c r="KQ497" s="214" t="s">
        <v>70</v>
      </c>
      <c r="KR497" s="214" t="s">
        <v>67</v>
      </c>
      <c r="KT497" s="22" t="s">
        <v>32411</v>
      </c>
      <c r="KU497" s="22" t="s">
        <v>145</v>
      </c>
      <c r="KV497" s="22" t="s">
        <v>70</v>
      </c>
      <c r="KW497" s="22" t="s">
        <v>67</v>
      </c>
      <c r="KY497" s="214" t="s">
        <v>32412</v>
      </c>
      <c r="KZ497" s="214" t="s">
        <v>52</v>
      </c>
      <c r="LA497" s="214" t="s">
        <v>74</v>
      </c>
      <c r="LB497" s="214" t="s">
        <v>67</v>
      </c>
      <c r="LD497" s="22" t="s">
        <v>32413</v>
      </c>
      <c r="LE497" s="22" t="s">
        <v>145</v>
      </c>
      <c r="LF497" s="22" t="s">
        <v>70</v>
      </c>
      <c r="LG497" s="22" t="s">
        <v>67</v>
      </c>
    </row>
    <row r="498" spans="1:319">
      <c r="A498" s="22" t="s">
        <v>32414</v>
      </c>
      <c r="B498" s="22" t="s">
        <v>145</v>
      </c>
      <c r="C498" s="22" t="s">
        <v>70</v>
      </c>
      <c r="D498" s="22" t="s">
        <v>67</v>
      </c>
      <c r="F498" s="72" t="s">
        <v>32415</v>
      </c>
      <c r="G498" s="22" t="s">
        <v>145</v>
      </c>
      <c r="H498" s="22" t="s">
        <v>70</v>
      </c>
      <c r="I498" s="22" t="s">
        <v>67</v>
      </c>
      <c r="K498" s="99" t="s">
        <v>32416</v>
      </c>
      <c r="L498" s="22" t="s">
        <v>145</v>
      </c>
      <c r="M498" s="22" t="s">
        <v>70</v>
      </c>
      <c r="N498" s="22" t="s">
        <v>67</v>
      </c>
      <c r="P498" s="99" t="s">
        <v>32417</v>
      </c>
      <c r="Q498" s="22" t="s">
        <v>145</v>
      </c>
      <c r="R498" s="22" t="s">
        <v>70</v>
      </c>
      <c r="S498" s="22" t="s">
        <v>67</v>
      </c>
      <c r="U498" s="293" t="s">
        <v>32418</v>
      </c>
      <c r="V498" s="293" t="s">
        <v>145</v>
      </c>
      <c r="W498" s="293" t="s">
        <v>74</v>
      </c>
      <c r="X498" s="293" t="s">
        <v>656</v>
      </c>
      <c r="Z498" s="293" t="s">
        <v>32419</v>
      </c>
      <c r="AA498" s="293" t="s">
        <v>145</v>
      </c>
      <c r="AB498" s="293" t="s">
        <v>74</v>
      </c>
      <c r="AC498" s="293" t="s">
        <v>656</v>
      </c>
      <c r="AE498" s="293" t="s">
        <v>32420</v>
      </c>
      <c r="AF498" s="293" t="s">
        <v>145</v>
      </c>
      <c r="AG498" s="293" t="s">
        <v>74</v>
      </c>
      <c r="AH498" s="293" t="s">
        <v>656</v>
      </c>
      <c r="AJ498" s="293" t="s">
        <v>32421</v>
      </c>
      <c r="AK498" s="293" t="s">
        <v>145</v>
      </c>
      <c r="AL498" s="293" t="s">
        <v>74</v>
      </c>
      <c r="AM498" s="293" t="s">
        <v>656</v>
      </c>
      <c r="AO498" s="22" t="s">
        <v>32422</v>
      </c>
      <c r="AP498" s="22" t="s">
        <v>145</v>
      </c>
      <c r="AQ498" s="22" t="s">
        <v>70</v>
      </c>
      <c r="AR498" s="22" t="s">
        <v>67</v>
      </c>
      <c r="AT498" s="22" t="s">
        <v>32423</v>
      </c>
      <c r="AU498" s="22" t="s">
        <v>145</v>
      </c>
      <c r="AV498" s="22" t="s">
        <v>70</v>
      </c>
      <c r="AW498" s="22" t="s">
        <v>67</v>
      </c>
      <c r="AY498" s="22" t="s">
        <v>32424</v>
      </c>
      <c r="AZ498" s="22" t="s">
        <v>145</v>
      </c>
      <c r="BA498" s="22" t="s">
        <v>70</v>
      </c>
      <c r="BB498" s="22" t="s">
        <v>67</v>
      </c>
      <c r="BD498" s="22" t="s">
        <v>32425</v>
      </c>
      <c r="BE498" s="22" t="s">
        <v>145</v>
      </c>
      <c r="BF498" s="22" t="s">
        <v>70</v>
      </c>
      <c r="BG498" s="22" t="s">
        <v>67</v>
      </c>
      <c r="BI498" s="22" t="s">
        <v>32426</v>
      </c>
      <c r="BJ498" s="22" t="s">
        <v>145</v>
      </c>
      <c r="BK498" s="22" t="s">
        <v>70</v>
      </c>
      <c r="BL498" s="22" t="s">
        <v>67</v>
      </c>
      <c r="BN498" s="22" t="s">
        <v>32427</v>
      </c>
      <c r="BO498" s="22" t="s">
        <v>145</v>
      </c>
      <c r="BP498" s="22" t="s">
        <v>70</v>
      </c>
      <c r="BQ498" s="22" t="s">
        <v>67</v>
      </c>
      <c r="BS498" s="22" t="s">
        <v>32428</v>
      </c>
      <c r="BT498" s="22" t="s">
        <v>145</v>
      </c>
      <c r="BU498" s="22" t="s">
        <v>70</v>
      </c>
      <c r="BV498" s="214" t="s">
        <v>530</v>
      </c>
      <c r="BX498" s="22" t="s">
        <v>32429</v>
      </c>
      <c r="BY498" s="22" t="s">
        <v>145</v>
      </c>
      <c r="BZ498" s="22" t="s">
        <v>70</v>
      </c>
      <c r="CA498" s="214" t="s">
        <v>530</v>
      </c>
      <c r="CC498" s="214" t="s">
        <v>32430</v>
      </c>
      <c r="CD498" s="214" t="s">
        <v>103</v>
      </c>
      <c r="CE498" s="214" t="s">
        <v>70</v>
      </c>
      <c r="CF498" s="214" t="s">
        <v>530</v>
      </c>
      <c r="CH498" s="214" t="s">
        <v>32431</v>
      </c>
      <c r="CI498" s="214" t="s">
        <v>148</v>
      </c>
      <c r="CJ498" s="214" t="s">
        <v>70</v>
      </c>
      <c r="CK498" s="214" t="s">
        <v>530</v>
      </c>
      <c r="CM498" s="214" t="s">
        <v>32432</v>
      </c>
      <c r="CN498" s="214" t="s">
        <v>34545</v>
      </c>
      <c r="CO498" s="214" t="s">
        <v>70</v>
      </c>
      <c r="CP498" s="214" t="s">
        <v>530</v>
      </c>
      <c r="CR498" s="214" t="s">
        <v>32433</v>
      </c>
      <c r="CS498" s="214" t="s">
        <v>34545</v>
      </c>
      <c r="CT498" s="214" t="s">
        <v>70</v>
      </c>
      <c r="CU498" s="214" t="s">
        <v>530</v>
      </c>
      <c r="CW498" s="214" t="s">
        <v>32434</v>
      </c>
      <c r="CX498" s="214" t="s">
        <v>146</v>
      </c>
      <c r="CY498" s="214" t="s">
        <v>70</v>
      </c>
      <c r="CZ498" s="214" t="s">
        <v>530</v>
      </c>
      <c r="DB498" s="214" t="s">
        <v>32435</v>
      </c>
      <c r="DC498" s="214" t="s">
        <v>485</v>
      </c>
      <c r="DD498" s="214" t="s">
        <v>70</v>
      </c>
      <c r="DE498" s="214" t="s">
        <v>530</v>
      </c>
      <c r="DG498" s="214" t="s">
        <v>32436</v>
      </c>
      <c r="DH498" s="214" t="s">
        <v>485</v>
      </c>
      <c r="DI498" s="214" t="s">
        <v>70</v>
      </c>
      <c r="DJ498" s="214" t="s">
        <v>530</v>
      </c>
      <c r="DL498" s="214" t="s">
        <v>32437</v>
      </c>
      <c r="DM498" s="214" t="s">
        <v>34650</v>
      </c>
      <c r="DN498" s="214" t="s">
        <v>70</v>
      </c>
      <c r="DO498" s="214" t="s">
        <v>530</v>
      </c>
      <c r="DQ498" s="214" t="s">
        <v>32438</v>
      </c>
      <c r="DR498" s="214" t="s">
        <v>34628</v>
      </c>
      <c r="DS498" s="214" t="s">
        <v>70</v>
      </c>
      <c r="DT498" s="214" t="s">
        <v>530</v>
      </c>
      <c r="DV498" s="214" t="s">
        <v>32439</v>
      </c>
      <c r="DW498" s="214" t="s">
        <v>529</v>
      </c>
      <c r="DX498" s="214" t="s">
        <v>70</v>
      </c>
      <c r="DY498" s="214" t="s">
        <v>530</v>
      </c>
      <c r="EA498" s="214" t="s">
        <v>32440</v>
      </c>
      <c r="EB498" s="214" t="s">
        <v>148</v>
      </c>
      <c r="EC498" s="214" t="s">
        <v>70</v>
      </c>
      <c r="ED498" s="214" t="s">
        <v>530</v>
      </c>
      <c r="EF498" s="214" t="s">
        <v>32441</v>
      </c>
      <c r="EG498" s="214" t="s">
        <v>164</v>
      </c>
      <c r="EH498" s="214" t="s">
        <v>70</v>
      </c>
      <c r="EI498" s="214" t="s">
        <v>530</v>
      </c>
      <c r="EK498" s="214" t="s">
        <v>32442</v>
      </c>
      <c r="EL498" s="214" t="s">
        <v>148</v>
      </c>
      <c r="EM498" s="214" t="s">
        <v>70</v>
      </c>
      <c r="EN498" s="214" t="s">
        <v>530</v>
      </c>
      <c r="EP498" s="214" t="s">
        <v>32443</v>
      </c>
      <c r="EQ498" s="214" t="s">
        <v>34611</v>
      </c>
      <c r="ER498" s="214" t="s">
        <v>70</v>
      </c>
      <c r="ES498" s="214" t="s">
        <v>530</v>
      </c>
      <c r="EU498" s="214" t="s">
        <v>32444</v>
      </c>
      <c r="EV498" s="214" t="s">
        <v>148</v>
      </c>
      <c r="EW498" s="214" t="s">
        <v>70</v>
      </c>
      <c r="EX498" s="214" t="s">
        <v>530</v>
      </c>
      <c r="EZ498" s="214" t="s">
        <v>32445</v>
      </c>
      <c r="FA498" s="214" t="s">
        <v>916</v>
      </c>
      <c r="FB498" s="214" t="s">
        <v>70</v>
      </c>
      <c r="FC498" s="214" t="s">
        <v>530</v>
      </c>
      <c r="FE498" s="214" t="s">
        <v>32446</v>
      </c>
      <c r="FF498" s="214" t="s">
        <v>34588</v>
      </c>
      <c r="FG498" s="214" t="s">
        <v>70</v>
      </c>
      <c r="FH498" s="214" t="s">
        <v>530</v>
      </c>
      <c r="FJ498" s="321" t="s">
        <v>32447</v>
      </c>
      <c r="FK498" s="214" t="s">
        <v>34637</v>
      </c>
      <c r="FL498" s="214" t="s">
        <v>70</v>
      </c>
      <c r="FM498" s="214" t="s">
        <v>530</v>
      </c>
      <c r="FO498" s="321" t="s">
        <v>32448</v>
      </c>
      <c r="FP498" s="214" t="s">
        <v>148</v>
      </c>
      <c r="FQ498" s="214" t="s">
        <v>70</v>
      </c>
      <c r="FR498" s="214" t="s">
        <v>530</v>
      </c>
      <c r="FT498" s="321" t="s">
        <v>32449</v>
      </c>
      <c r="FU498" s="214" t="s">
        <v>145</v>
      </c>
      <c r="FV498" s="214" t="s">
        <v>70</v>
      </c>
      <c r="FW498" s="214" t="s">
        <v>530</v>
      </c>
      <c r="FY498" s="321" t="s">
        <v>32450</v>
      </c>
      <c r="FZ498" s="214" t="s">
        <v>149</v>
      </c>
      <c r="GA498" s="214" t="s">
        <v>70</v>
      </c>
      <c r="GB498" s="214" t="s">
        <v>530</v>
      </c>
      <c r="GD498" s="321" t="s">
        <v>32451</v>
      </c>
      <c r="GE498" s="214" t="s">
        <v>163</v>
      </c>
      <c r="GF498" s="214" t="s">
        <v>70</v>
      </c>
      <c r="GG498" s="214" t="s">
        <v>530</v>
      </c>
      <c r="GI498" s="321" t="s">
        <v>32452</v>
      </c>
      <c r="GJ498" s="214" t="s">
        <v>642</v>
      </c>
      <c r="GK498" s="214" t="s">
        <v>70</v>
      </c>
      <c r="GL498" s="214" t="s">
        <v>530</v>
      </c>
      <c r="GN498" s="321" t="s">
        <v>32453</v>
      </c>
      <c r="GO498" s="214" t="s">
        <v>145</v>
      </c>
      <c r="GP498" s="214" t="s">
        <v>70</v>
      </c>
      <c r="GQ498" s="214" t="s">
        <v>530</v>
      </c>
      <c r="GS498" s="321" t="s">
        <v>32454</v>
      </c>
      <c r="GT498" s="214" t="s">
        <v>52</v>
      </c>
      <c r="GU498" s="214" t="s">
        <v>70</v>
      </c>
      <c r="GV498" s="214" t="s">
        <v>530</v>
      </c>
      <c r="GX498" s="214" t="s">
        <v>32455</v>
      </c>
      <c r="GY498" s="214" t="s">
        <v>146</v>
      </c>
      <c r="GZ498" s="214" t="s">
        <v>70</v>
      </c>
      <c r="HA498" s="214" t="s">
        <v>530</v>
      </c>
      <c r="HC498" s="214" t="s">
        <v>32456</v>
      </c>
      <c r="HD498" s="214" t="s">
        <v>148</v>
      </c>
      <c r="HE498" s="214" t="s">
        <v>70</v>
      </c>
      <c r="HF498" s="214" t="s">
        <v>530</v>
      </c>
      <c r="HH498" s="214" t="s">
        <v>32457</v>
      </c>
      <c r="HI498" s="214" t="s">
        <v>485</v>
      </c>
      <c r="HJ498" s="214" t="s">
        <v>70</v>
      </c>
      <c r="HK498" s="214" t="s">
        <v>530</v>
      </c>
      <c r="HM498" s="214" t="s">
        <v>32458</v>
      </c>
      <c r="HN498" s="214" t="s">
        <v>148</v>
      </c>
      <c r="HO498" s="214" t="s">
        <v>70</v>
      </c>
      <c r="HP498" s="214" t="s">
        <v>530</v>
      </c>
      <c r="HR498" s="22" t="s">
        <v>32459</v>
      </c>
      <c r="HS498" s="22" t="s">
        <v>148</v>
      </c>
      <c r="HT498" s="22" t="s">
        <v>70</v>
      </c>
      <c r="HU498" s="214" t="s">
        <v>530</v>
      </c>
      <c r="HW498" s="22" t="s">
        <v>32460</v>
      </c>
      <c r="HX498" s="22" t="s">
        <v>88</v>
      </c>
      <c r="HY498" s="22" t="s">
        <v>70</v>
      </c>
      <c r="HZ498" s="214" t="s">
        <v>530</v>
      </c>
      <c r="IB498" s="22" t="s">
        <v>32461</v>
      </c>
      <c r="IC498" s="22" t="s">
        <v>148</v>
      </c>
      <c r="ID498" s="22" t="s">
        <v>70</v>
      </c>
      <c r="IE498" s="214" t="s">
        <v>530</v>
      </c>
      <c r="IG498" s="22" t="s">
        <v>32462</v>
      </c>
      <c r="IH498" s="22" t="s">
        <v>52</v>
      </c>
      <c r="II498" s="22" t="s">
        <v>70</v>
      </c>
      <c r="IJ498" s="214" t="s">
        <v>530</v>
      </c>
      <c r="IL498" s="22" t="s">
        <v>32463</v>
      </c>
      <c r="IM498" s="22" t="s">
        <v>145</v>
      </c>
      <c r="IN498" s="22" t="s">
        <v>70</v>
      </c>
      <c r="IO498" s="214" t="s">
        <v>530</v>
      </c>
      <c r="IQ498" s="236" t="s">
        <v>32464</v>
      </c>
      <c r="IR498" s="236" t="s">
        <v>145</v>
      </c>
      <c r="IS498" s="236" t="s">
        <v>74</v>
      </c>
      <c r="IT498" s="236" t="s">
        <v>841</v>
      </c>
      <c r="IV498" s="236" t="s">
        <v>32465</v>
      </c>
      <c r="IW498" s="236" t="s">
        <v>145</v>
      </c>
      <c r="IX498" s="236" t="s">
        <v>74</v>
      </c>
      <c r="IY498" s="236" t="s">
        <v>841</v>
      </c>
      <c r="JA498" s="236" t="s">
        <v>32466</v>
      </c>
      <c r="JB498" s="236" t="s">
        <v>145</v>
      </c>
      <c r="JC498" s="236" t="s">
        <v>74</v>
      </c>
      <c r="JD498" s="236" t="s">
        <v>841</v>
      </c>
      <c r="JF498" s="236" t="s">
        <v>32467</v>
      </c>
      <c r="JG498" s="236" t="s">
        <v>145</v>
      </c>
      <c r="JH498" s="236" t="s">
        <v>74</v>
      </c>
      <c r="JI498" s="236" t="s">
        <v>841</v>
      </c>
      <c r="JK498" s="236" t="s">
        <v>32468</v>
      </c>
      <c r="JL498" s="236" t="s">
        <v>145</v>
      </c>
      <c r="JM498" s="236" t="s">
        <v>74</v>
      </c>
      <c r="JN498" s="236" t="s">
        <v>841</v>
      </c>
      <c r="JP498" s="236" t="s">
        <v>32469</v>
      </c>
      <c r="JQ498" s="236" t="s">
        <v>145</v>
      </c>
      <c r="JR498" s="236" t="s">
        <v>74</v>
      </c>
      <c r="JS498" s="236" t="s">
        <v>841</v>
      </c>
      <c r="JU498" s="294" t="s">
        <v>32470</v>
      </c>
      <c r="JV498" s="294" t="s">
        <v>52</v>
      </c>
      <c r="JW498" s="263" t="s">
        <v>70</v>
      </c>
      <c r="JX498" s="294" t="s">
        <v>1083</v>
      </c>
      <c r="JZ498" s="263" t="s">
        <v>32471</v>
      </c>
      <c r="KA498" s="263" t="s">
        <v>145</v>
      </c>
      <c r="KB498" s="263" t="s">
        <v>70</v>
      </c>
      <c r="KC498" s="263" t="s">
        <v>1083</v>
      </c>
      <c r="KE498" s="263" t="s">
        <v>32472</v>
      </c>
      <c r="KF498" s="263" t="s">
        <v>52</v>
      </c>
      <c r="KG498" s="263" t="s">
        <v>70</v>
      </c>
      <c r="KH498" s="263" t="s">
        <v>1083</v>
      </c>
      <c r="KJ498" s="263" t="s">
        <v>32473</v>
      </c>
      <c r="KK498" s="263" t="s">
        <v>52</v>
      </c>
      <c r="KL498" s="263" t="s">
        <v>74</v>
      </c>
      <c r="KM498" s="263" t="s">
        <v>34074</v>
      </c>
      <c r="KO498" s="214" t="s">
        <v>32474</v>
      </c>
      <c r="KP498" s="214" t="s">
        <v>145</v>
      </c>
      <c r="KQ498" s="214" t="s">
        <v>70</v>
      </c>
      <c r="KR498" s="214" t="s">
        <v>67</v>
      </c>
      <c r="KT498" s="22" t="s">
        <v>32475</v>
      </c>
      <c r="KU498" s="22" t="s">
        <v>145</v>
      </c>
      <c r="KV498" s="22" t="s">
        <v>70</v>
      </c>
      <c r="KW498" s="22" t="s">
        <v>67</v>
      </c>
      <c r="KY498" s="214" t="s">
        <v>32476</v>
      </c>
      <c r="KZ498" s="214" t="s">
        <v>52</v>
      </c>
      <c r="LA498" s="214" t="s">
        <v>74</v>
      </c>
      <c r="LB498" s="214" t="s">
        <v>67</v>
      </c>
      <c r="LD498" s="22" t="s">
        <v>32477</v>
      </c>
      <c r="LE498" s="22" t="s">
        <v>145</v>
      </c>
      <c r="LF498" s="22" t="s">
        <v>70</v>
      </c>
      <c r="LG498" s="22" t="s">
        <v>67</v>
      </c>
    </row>
    <row r="499" spans="1:319">
      <c r="A499" s="22" t="s">
        <v>32478</v>
      </c>
      <c r="B499" s="22" t="s">
        <v>145</v>
      </c>
      <c r="C499" s="22" t="s">
        <v>70</v>
      </c>
      <c r="D499" s="22" t="s">
        <v>67</v>
      </c>
      <c r="F499" s="72" t="s">
        <v>32479</v>
      </c>
      <c r="G499" s="22" t="s">
        <v>145</v>
      </c>
      <c r="H499" s="22" t="s">
        <v>70</v>
      </c>
      <c r="I499" s="22" t="s">
        <v>67</v>
      </c>
      <c r="K499" s="99" t="s">
        <v>32480</v>
      </c>
      <c r="L499" s="22" t="s">
        <v>145</v>
      </c>
      <c r="M499" s="22" t="s">
        <v>70</v>
      </c>
      <c r="N499" s="22" t="s">
        <v>67</v>
      </c>
      <c r="P499" s="99" t="s">
        <v>32481</v>
      </c>
      <c r="Q499" s="22" t="s">
        <v>145</v>
      </c>
      <c r="R499" s="22" t="s">
        <v>70</v>
      </c>
      <c r="S499" s="22" t="s">
        <v>67</v>
      </c>
      <c r="U499" s="293" t="s">
        <v>32482</v>
      </c>
      <c r="V499" s="293" t="s">
        <v>145</v>
      </c>
      <c r="W499" s="293" t="s">
        <v>74</v>
      </c>
      <c r="X499" s="293" t="s">
        <v>656</v>
      </c>
      <c r="Z499" s="293" t="s">
        <v>32483</v>
      </c>
      <c r="AA499" s="293" t="s">
        <v>145</v>
      </c>
      <c r="AB499" s="293" t="s">
        <v>74</v>
      </c>
      <c r="AC499" s="293" t="s">
        <v>656</v>
      </c>
      <c r="AE499" s="293" t="s">
        <v>32484</v>
      </c>
      <c r="AF499" s="293" t="s">
        <v>145</v>
      </c>
      <c r="AG499" s="293" t="s">
        <v>74</v>
      </c>
      <c r="AH499" s="293" t="s">
        <v>656</v>
      </c>
      <c r="AJ499" s="293" t="s">
        <v>32485</v>
      </c>
      <c r="AK499" s="293" t="s">
        <v>145</v>
      </c>
      <c r="AL499" s="293" t="s">
        <v>74</v>
      </c>
      <c r="AM499" s="293" t="s">
        <v>656</v>
      </c>
      <c r="AO499" s="22" t="s">
        <v>32486</v>
      </c>
      <c r="AP499" s="22" t="s">
        <v>145</v>
      </c>
      <c r="AQ499" s="22" t="s">
        <v>70</v>
      </c>
      <c r="AR499" s="22" t="s">
        <v>67</v>
      </c>
      <c r="AT499" s="22" t="s">
        <v>32487</v>
      </c>
      <c r="AU499" s="22" t="s">
        <v>145</v>
      </c>
      <c r="AV499" s="22" t="s">
        <v>70</v>
      </c>
      <c r="AW499" s="22" t="s">
        <v>67</v>
      </c>
      <c r="AY499" s="22" t="s">
        <v>32488</v>
      </c>
      <c r="AZ499" s="22" t="s">
        <v>145</v>
      </c>
      <c r="BA499" s="22" t="s">
        <v>70</v>
      </c>
      <c r="BB499" s="22" t="s">
        <v>67</v>
      </c>
      <c r="BD499" s="22" t="s">
        <v>32489</v>
      </c>
      <c r="BE499" s="22" t="s">
        <v>145</v>
      </c>
      <c r="BF499" s="22" t="s">
        <v>70</v>
      </c>
      <c r="BG499" s="22" t="s">
        <v>67</v>
      </c>
      <c r="BI499" s="22" t="s">
        <v>32490</v>
      </c>
      <c r="BJ499" s="22" t="s">
        <v>145</v>
      </c>
      <c r="BK499" s="22" t="s">
        <v>70</v>
      </c>
      <c r="BL499" s="22" t="s">
        <v>67</v>
      </c>
      <c r="BN499" s="22" t="s">
        <v>32491</v>
      </c>
      <c r="BO499" s="22" t="s">
        <v>145</v>
      </c>
      <c r="BP499" s="22" t="s">
        <v>70</v>
      </c>
      <c r="BQ499" s="22" t="s">
        <v>67</v>
      </c>
      <c r="BS499" s="22" t="s">
        <v>32492</v>
      </c>
      <c r="BT499" s="22" t="s">
        <v>145</v>
      </c>
      <c r="BU499" s="22" t="s">
        <v>70</v>
      </c>
      <c r="BV499" s="214" t="s">
        <v>530</v>
      </c>
      <c r="BX499" s="22" t="s">
        <v>32493</v>
      </c>
      <c r="BY499" s="22" t="s">
        <v>145</v>
      </c>
      <c r="BZ499" s="22" t="s">
        <v>70</v>
      </c>
      <c r="CA499" s="214" t="s">
        <v>530</v>
      </c>
      <c r="CC499" s="214" t="s">
        <v>32494</v>
      </c>
      <c r="CD499" s="214" t="s">
        <v>955</v>
      </c>
      <c r="CE499" s="214" t="s">
        <v>70</v>
      </c>
      <c r="CF499" s="214" t="s">
        <v>530</v>
      </c>
      <c r="CH499" s="214" t="s">
        <v>32495</v>
      </c>
      <c r="CI499" s="214" t="s">
        <v>496</v>
      </c>
      <c r="CJ499" s="214" t="s">
        <v>70</v>
      </c>
      <c r="CK499" s="214" t="s">
        <v>530</v>
      </c>
      <c r="CM499" s="214" t="s">
        <v>32496</v>
      </c>
      <c r="CN499" s="214" t="s">
        <v>34551</v>
      </c>
      <c r="CO499" s="214" t="s">
        <v>70</v>
      </c>
      <c r="CP499" s="214" t="s">
        <v>530</v>
      </c>
      <c r="CR499" s="214" t="s">
        <v>32497</v>
      </c>
      <c r="CS499" s="214" t="s">
        <v>34551</v>
      </c>
      <c r="CT499" s="214" t="s">
        <v>70</v>
      </c>
      <c r="CU499" s="214" t="s">
        <v>530</v>
      </c>
      <c r="CW499" s="214" t="s">
        <v>32498</v>
      </c>
      <c r="CX499" s="214" t="s">
        <v>164</v>
      </c>
      <c r="CY499" s="214" t="s">
        <v>70</v>
      </c>
      <c r="CZ499" s="214" t="s">
        <v>530</v>
      </c>
      <c r="DB499" s="214" t="s">
        <v>32499</v>
      </c>
      <c r="DC499" s="214" t="s">
        <v>146</v>
      </c>
      <c r="DD499" s="214" t="s">
        <v>70</v>
      </c>
      <c r="DE499" s="214" t="s">
        <v>530</v>
      </c>
      <c r="DG499" s="214" t="s">
        <v>32500</v>
      </c>
      <c r="DH499" s="214" t="s">
        <v>52</v>
      </c>
      <c r="DI499" s="214" t="s">
        <v>70</v>
      </c>
      <c r="DJ499" s="214" t="s">
        <v>530</v>
      </c>
      <c r="DL499" s="214" t="s">
        <v>32501</v>
      </c>
      <c r="DM499" s="214" t="s">
        <v>491</v>
      </c>
      <c r="DN499" s="214" t="s">
        <v>70</v>
      </c>
      <c r="DO499" s="214" t="s">
        <v>530</v>
      </c>
      <c r="DQ499" s="214" t="s">
        <v>32502</v>
      </c>
      <c r="DR499" s="214" t="s">
        <v>937</v>
      </c>
      <c r="DS499" s="214" t="s">
        <v>70</v>
      </c>
      <c r="DT499" s="214" t="s">
        <v>530</v>
      </c>
      <c r="DV499" s="214" t="s">
        <v>32503</v>
      </c>
      <c r="DW499" s="214" t="s">
        <v>87</v>
      </c>
      <c r="DX499" s="214" t="s">
        <v>70</v>
      </c>
      <c r="DY499" s="214" t="s">
        <v>530</v>
      </c>
      <c r="EA499" s="214" t="s">
        <v>32504</v>
      </c>
      <c r="EB499" s="214" t="s">
        <v>34542</v>
      </c>
      <c r="EC499" s="214" t="s">
        <v>70</v>
      </c>
      <c r="ED499" s="214" t="s">
        <v>530</v>
      </c>
      <c r="EF499" s="214" t="s">
        <v>32505</v>
      </c>
      <c r="EG499" s="214" t="s">
        <v>34558</v>
      </c>
      <c r="EH499" s="214" t="s">
        <v>70</v>
      </c>
      <c r="EI499" s="214" t="s">
        <v>530</v>
      </c>
      <c r="EK499" s="214" t="s">
        <v>32506</v>
      </c>
      <c r="EL499" s="214" t="s">
        <v>52</v>
      </c>
      <c r="EM499" s="214" t="s">
        <v>70</v>
      </c>
      <c r="EN499" s="214" t="s">
        <v>530</v>
      </c>
      <c r="EP499" s="214" t="s">
        <v>32507</v>
      </c>
      <c r="EQ499" s="214" t="s">
        <v>34405</v>
      </c>
      <c r="ER499" s="214" t="s">
        <v>70</v>
      </c>
      <c r="ES499" s="214" t="s">
        <v>530</v>
      </c>
      <c r="EU499" s="214" t="s">
        <v>32508</v>
      </c>
      <c r="EV499" s="214" t="s">
        <v>599</v>
      </c>
      <c r="EW499" s="214" t="s">
        <v>70</v>
      </c>
      <c r="EX499" s="214" t="s">
        <v>530</v>
      </c>
      <c r="EZ499" s="214" t="s">
        <v>32509</v>
      </c>
      <c r="FA499" s="214" t="s">
        <v>146</v>
      </c>
      <c r="FB499" s="214" t="s">
        <v>70</v>
      </c>
      <c r="FC499" s="214" t="s">
        <v>530</v>
      </c>
      <c r="FE499" s="214" t="s">
        <v>32510</v>
      </c>
      <c r="FF499" s="214" t="s">
        <v>145</v>
      </c>
      <c r="FG499" s="214" t="s">
        <v>70</v>
      </c>
      <c r="FH499" s="214" t="s">
        <v>530</v>
      </c>
      <c r="FJ499" s="321" t="s">
        <v>32511</v>
      </c>
      <c r="FK499" s="214" t="s">
        <v>145</v>
      </c>
      <c r="FL499" s="214" t="s">
        <v>70</v>
      </c>
      <c r="FM499" s="214" t="s">
        <v>530</v>
      </c>
      <c r="FO499" s="321" t="s">
        <v>32512</v>
      </c>
      <c r="FP499" s="214" t="s">
        <v>34564</v>
      </c>
      <c r="FQ499" s="214" t="s">
        <v>70</v>
      </c>
      <c r="FR499" s="214" t="s">
        <v>530</v>
      </c>
      <c r="FT499" s="321" t="s">
        <v>32513</v>
      </c>
      <c r="FU499" s="214" t="s">
        <v>145</v>
      </c>
      <c r="FV499" s="214" t="s">
        <v>70</v>
      </c>
      <c r="FW499" s="214" t="s">
        <v>530</v>
      </c>
      <c r="FY499" s="321" t="s">
        <v>32514</v>
      </c>
      <c r="FZ499" s="214" t="s">
        <v>34587</v>
      </c>
      <c r="GA499" s="214" t="s">
        <v>70</v>
      </c>
      <c r="GB499" s="214" t="s">
        <v>530</v>
      </c>
      <c r="GD499" s="321" t="s">
        <v>32515</v>
      </c>
      <c r="GE499" s="214" t="s">
        <v>952</v>
      </c>
      <c r="GF499" s="214" t="s">
        <v>70</v>
      </c>
      <c r="GG499" s="214" t="s">
        <v>530</v>
      </c>
      <c r="GI499" s="321" t="s">
        <v>32516</v>
      </c>
      <c r="GJ499" s="214" t="s">
        <v>34555</v>
      </c>
      <c r="GK499" s="214" t="s">
        <v>70</v>
      </c>
      <c r="GL499" s="214" t="s">
        <v>530</v>
      </c>
      <c r="GN499" s="321" t="s">
        <v>32517</v>
      </c>
      <c r="GO499" s="214" t="s">
        <v>34541</v>
      </c>
      <c r="GP499" s="214" t="s">
        <v>70</v>
      </c>
      <c r="GQ499" s="214" t="s">
        <v>530</v>
      </c>
      <c r="GS499" s="321" t="s">
        <v>32518</v>
      </c>
      <c r="GT499" s="214" t="s">
        <v>485</v>
      </c>
      <c r="GU499" s="214" t="s">
        <v>70</v>
      </c>
      <c r="GV499" s="214" t="s">
        <v>530</v>
      </c>
      <c r="GX499" s="214" t="s">
        <v>32519</v>
      </c>
      <c r="GY499" s="214" t="s">
        <v>52</v>
      </c>
      <c r="GZ499" s="214" t="s">
        <v>70</v>
      </c>
      <c r="HA499" s="214" t="s">
        <v>530</v>
      </c>
      <c r="HC499" s="214" t="s">
        <v>32520</v>
      </c>
      <c r="HD499" s="214" t="s">
        <v>146</v>
      </c>
      <c r="HE499" s="214" t="s">
        <v>70</v>
      </c>
      <c r="HF499" s="214" t="s">
        <v>530</v>
      </c>
      <c r="HH499" s="214" t="s">
        <v>32521</v>
      </c>
      <c r="HI499" s="214" t="s">
        <v>52</v>
      </c>
      <c r="HJ499" s="214" t="s">
        <v>70</v>
      </c>
      <c r="HK499" s="214" t="s">
        <v>530</v>
      </c>
      <c r="HM499" s="214" t="s">
        <v>32522</v>
      </c>
      <c r="HN499" s="214" t="s">
        <v>34542</v>
      </c>
      <c r="HO499" s="214" t="s">
        <v>70</v>
      </c>
      <c r="HP499" s="214" t="s">
        <v>530</v>
      </c>
      <c r="HR499" s="22" t="s">
        <v>32523</v>
      </c>
      <c r="HS499" s="22" t="s">
        <v>919</v>
      </c>
      <c r="HT499" s="22" t="s">
        <v>70</v>
      </c>
      <c r="HU499" s="214" t="s">
        <v>530</v>
      </c>
      <c r="HW499" s="22" t="s">
        <v>32524</v>
      </c>
      <c r="HX499" s="22" t="s">
        <v>34593</v>
      </c>
      <c r="HY499" s="22" t="s">
        <v>70</v>
      </c>
      <c r="HZ499" s="214" t="s">
        <v>530</v>
      </c>
      <c r="IB499" s="22" t="s">
        <v>32525</v>
      </c>
      <c r="IC499" s="22" t="s">
        <v>485</v>
      </c>
      <c r="ID499" s="22" t="s">
        <v>70</v>
      </c>
      <c r="IE499" s="214" t="s">
        <v>530</v>
      </c>
      <c r="IG499" s="22" t="s">
        <v>32526</v>
      </c>
      <c r="IH499" s="22" t="s">
        <v>52</v>
      </c>
      <c r="II499" s="22" t="s">
        <v>70</v>
      </c>
      <c r="IJ499" s="214" t="s">
        <v>530</v>
      </c>
      <c r="IL499" s="22" t="s">
        <v>32527</v>
      </c>
      <c r="IM499" s="22" t="s">
        <v>145</v>
      </c>
      <c r="IN499" s="22" t="s">
        <v>70</v>
      </c>
      <c r="IO499" s="214" t="s">
        <v>530</v>
      </c>
      <c r="IQ499" s="236" t="s">
        <v>32528</v>
      </c>
      <c r="IR499" s="236" t="s">
        <v>145</v>
      </c>
      <c r="IS499" s="236" t="s">
        <v>74</v>
      </c>
      <c r="IT499" s="236" t="s">
        <v>841</v>
      </c>
      <c r="IV499" s="236" t="s">
        <v>32529</v>
      </c>
      <c r="IW499" s="236" t="s">
        <v>145</v>
      </c>
      <c r="IX499" s="236" t="s">
        <v>74</v>
      </c>
      <c r="IY499" s="236" t="s">
        <v>841</v>
      </c>
      <c r="JA499" s="236" t="s">
        <v>32530</v>
      </c>
      <c r="JB499" s="236" t="s">
        <v>145</v>
      </c>
      <c r="JC499" s="236" t="s">
        <v>74</v>
      </c>
      <c r="JD499" s="236" t="s">
        <v>841</v>
      </c>
      <c r="JF499" s="236" t="s">
        <v>32531</v>
      </c>
      <c r="JG499" s="236" t="s">
        <v>145</v>
      </c>
      <c r="JH499" s="236" t="s">
        <v>74</v>
      </c>
      <c r="JI499" s="236" t="s">
        <v>841</v>
      </c>
      <c r="JK499" s="236" t="s">
        <v>32532</v>
      </c>
      <c r="JL499" s="236" t="s">
        <v>145</v>
      </c>
      <c r="JM499" s="236" t="s">
        <v>74</v>
      </c>
      <c r="JN499" s="236" t="s">
        <v>841</v>
      </c>
      <c r="JP499" s="236" t="s">
        <v>32533</v>
      </c>
      <c r="JQ499" s="236" t="s">
        <v>145</v>
      </c>
      <c r="JR499" s="236" t="s">
        <v>74</v>
      </c>
      <c r="JS499" s="236" t="s">
        <v>841</v>
      </c>
      <c r="JU499" s="294" t="s">
        <v>32534</v>
      </c>
      <c r="JV499" s="294" t="s">
        <v>52</v>
      </c>
      <c r="JW499" s="263" t="s">
        <v>70</v>
      </c>
      <c r="JX499" s="294" t="s">
        <v>1083</v>
      </c>
      <c r="JZ499" s="263" t="s">
        <v>32535</v>
      </c>
      <c r="KA499" s="263" t="s">
        <v>145</v>
      </c>
      <c r="KB499" s="263" t="s">
        <v>70</v>
      </c>
      <c r="KC499" s="263" t="s">
        <v>1083</v>
      </c>
      <c r="KE499" s="263" t="s">
        <v>32536</v>
      </c>
      <c r="KF499" s="263" t="s">
        <v>52</v>
      </c>
      <c r="KG499" s="263" t="s">
        <v>70</v>
      </c>
      <c r="KH499" s="263" t="s">
        <v>1083</v>
      </c>
      <c r="KJ499" s="263" t="s">
        <v>32537</v>
      </c>
      <c r="KK499" s="263" t="s">
        <v>52</v>
      </c>
      <c r="KL499" s="263" t="s">
        <v>74</v>
      </c>
      <c r="KM499" s="263" t="s">
        <v>34074</v>
      </c>
      <c r="KO499" s="214" t="s">
        <v>32538</v>
      </c>
      <c r="KP499" s="214" t="s">
        <v>145</v>
      </c>
      <c r="KQ499" s="214" t="s">
        <v>70</v>
      </c>
      <c r="KR499" s="214" t="s">
        <v>67</v>
      </c>
      <c r="KT499" s="22" t="s">
        <v>32539</v>
      </c>
      <c r="KU499" s="22" t="s">
        <v>145</v>
      </c>
      <c r="KV499" s="22" t="s">
        <v>70</v>
      </c>
      <c r="KW499" s="22" t="s">
        <v>67</v>
      </c>
      <c r="KY499" s="214" t="s">
        <v>32540</v>
      </c>
      <c r="KZ499" s="214" t="s">
        <v>52</v>
      </c>
      <c r="LA499" s="214" t="s">
        <v>74</v>
      </c>
      <c r="LB499" s="214" t="s">
        <v>67</v>
      </c>
      <c r="LD499" s="22" t="s">
        <v>32541</v>
      </c>
      <c r="LE499" s="22" t="s">
        <v>145</v>
      </c>
      <c r="LF499" s="22" t="s">
        <v>70</v>
      </c>
      <c r="LG499" s="22" t="s">
        <v>67</v>
      </c>
    </row>
    <row r="500" spans="1:319">
      <c r="A500" s="22" t="s">
        <v>32542</v>
      </c>
      <c r="B500" s="22" t="s">
        <v>145</v>
      </c>
      <c r="C500" s="22" t="s">
        <v>70</v>
      </c>
      <c r="D500" s="22" t="s">
        <v>67</v>
      </c>
      <c r="F500" s="72" t="s">
        <v>32543</v>
      </c>
      <c r="G500" s="22" t="s">
        <v>145</v>
      </c>
      <c r="H500" s="22" t="s">
        <v>70</v>
      </c>
      <c r="I500" s="22" t="s">
        <v>67</v>
      </c>
      <c r="K500" s="99" t="s">
        <v>32544</v>
      </c>
      <c r="L500" s="22" t="s">
        <v>145</v>
      </c>
      <c r="M500" s="22" t="s">
        <v>70</v>
      </c>
      <c r="N500" s="22" t="s">
        <v>67</v>
      </c>
      <c r="P500" s="99" t="s">
        <v>32545</v>
      </c>
      <c r="Q500" s="22" t="s">
        <v>145</v>
      </c>
      <c r="R500" s="22" t="s">
        <v>70</v>
      </c>
      <c r="S500" s="22" t="s">
        <v>67</v>
      </c>
      <c r="U500" s="293" t="s">
        <v>32546</v>
      </c>
      <c r="V500" s="293" t="s">
        <v>145</v>
      </c>
      <c r="W500" s="293" t="s">
        <v>74</v>
      </c>
      <c r="X500" s="293" t="s">
        <v>656</v>
      </c>
      <c r="Z500" s="293" t="s">
        <v>32547</v>
      </c>
      <c r="AA500" s="293" t="s">
        <v>145</v>
      </c>
      <c r="AB500" s="293" t="s">
        <v>74</v>
      </c>
      <c r="AC500" s="293" t="s">
        <v>656</v>
      </c>
      <c r="AE500" s="293" t="s">
        <v>32548</v>
      </c>
      <c r="AF500" s="293" t="s">
        <v>145</v>
      </c>
      <c r="AG500" s="293" t="s">
        <v>74</v>
      </c>
      <c r="AH500" s="293" t="s">
        <v>656</v>
      </c>
      <c r="AJ500" s="293" t="s">
        <v>32549</v>
      </c>
      <c r="AK500" s="293" t="s">
        <v>145</v>
      </c>
      <c r="AL500" s="293" t="s">
        <v>74</v>
      </c>
      <c r="AM500" s="293" t="s">
        <v>656</v>
      </c>
      <c r="AO500" s="22" t="s">
        <v>32550</v>
      </c>
      <c r="AP500" s="22" t="s">
        <v>145</v>
      </c>
      <c r="AQ500" s="22" t="s">
        <v>70</v>
      </c>
      <c r="AR500" s="22" t="s">
        <v>67</v>
      </c>
      <c r="AT500" s="22" t="s">
        <v>32551</v>
      </c>
      <c r="AU500" s="22" t="s">
        <v>145</v>
      </c>
      <c r="AV500" s="22" t="s">
        <v>70</v>
      </c>
      <c r="AW500" s="22" t="s">
        <v>67</v>
      </c>
      <c r="AY500" s="22" t="s">
        <v>32552</v>
      </c>
      <c r="AZ500" s="22" t="s">
        <v>145</v>
      </c>
      <c r="BA500" s="22" t="s">
        <v>70</v>
      </c>
      <c r="BB500" s="22" t="s">
        <v>67</v>
      </c>
      <c r="BD500" s="22" t="s">
        <v>32553</v>
      </c>
      <c r="BE500" s="22" t="s">
        <v>145</v>
      </c>
      <c r="BF500" s="22" t="s">
        <v>70</v>
      </c>
      <c r="BG500" s="22" t="s">
        <v>67</v>
      </c>
      <c r="BI500" s="22" t="s">
        <v>32554</v>
      </c>
      <c r="BJ500" s="22" t="s">
        <v>145</v>
      </c>
      <c r="BK500" s="22" t="s">
        <v>70</v>
      </c>
      <c r="BL500" s="22" t="s">
        <v>67</v>
      </c>
      <c r="BN500" s="22" t="s">
        <v>32555</v>
      </c>
      <c r="BO500" s="22" t="s">
        <v>145</v>
      </c>
      <c r="BP500" s="22" t="s">
        <v>70</v>
      </c>
      <c r="BQ500" s="22" t="s">
        <v>67</v>
      </c>
      <c r="BS500" s="22" t="s">
        <v>32556</v>
      </c>
      <c r="BT500" s="22" t="s">
        <v>145</v>
      </c>
      <c r="BU500" s="22" t="s">
        <v>70</v>
      </c>
      <c r="BV500" s="214" t="s">
        <v>530</v>
      </c>
      <c r="BX500" s="22" t="s">
        <v>32557</v>
      </c>
      <c r="BY500" s="22" t="s">
        <v>145</v>
      </c>
      <c r="BZ500" s="22" t="s">
        <v>70</v>
      </c>
      <c r="CA500" s="214" t="s">
        <v>530</v>
      </c>
      <c r="CC500" s="214" t="s">
        <v>32558</v>
      </c>
      <c r="CD500" s="214" t="s">
        <v>90</v>
      </c>
      <c r="CE500" s="214" t="s">
        <v>70</v>
      </c>
      <c r="CF500" s="214" t="s">
        <v>530</v>
      </c>
      <c r="CH500" s="214" t="s">
        <v>32559</v>
      </c>
      <c r="CI500" s="214" t="s">
        <v>487</v>
      </c>
      <c r="CJ500" s="214" t="s">
        <v>70</v>
      </c>
      <c r="CK500" s="214" t="s">
        <v>530</v>
      </c>
      <c r="CM500" s="214" t="s">
        <v>32560</v>
      </c>
      <c r="CN500" s="214" t="s">
        <v>34615</v>
      </c>
      <c r="CO500" s="214" t="s">
        <v>70</v>
      </c>
      <c r="CP500" s="214" t="s">
        <v>530</v>
      </c>
      <c r="CR500" s="214" t="s">
        <v>32561</v>
      </c>
      <c r="CS500" s="214" t="s">
        <v>34623</v>
      </c>
      <c r="CT500" s="214" t="s">
        <v>70</v>
      </c>
      <c r="CU500" s="214" t="s">
        <v>530</v>
      </c>
      <c r="CW500" s="214" t="s">
        <v>32562</v>
      </c>
      <c r="CX500" s="214" t="s">
        <v>92</v>
      </c>
      <c r="CY500" s="214" t="s">
        <v>70</v>
      </c>
      <c r="CZ500" s="214" t="s">
        <v>530</v>
      </c>
      <c r="DB500" s="214" t="s">
        <v>32563</v>
      </c>
      <c r="DC500" s="214" t="s">
        <v>103</v>
      </c>
      <c r="DD500" s="214" t="s">
        <v>70</v>
      </c>
      <c r="DE500" s="214" t="s">
        <v>530</v>
      </c>
      <c r="DG500" s="214" t="s">
        <v>32564</v>
      </c>
      <c r="DH500" s="214" t="s">
        <v>52</v>
      </c>
      <c r="DI500" s="214" t="s">
        <v>70</v>
      </c>
      <c r="DJ500" s="214" t="s">
        <v>530</v>
      </c>
      <c r="DL500" s="214" t="s">
        <v>32565</v>
      </c>
      <c r="DM500" s="214" t="s">
        <v>52</v>
      </c>
      <c r="DN500" s="214" t="s">
        <v>70</v>
      </c>
      <c r="DO500" s="214" t="s">
        <v>530</v>
      </c>
      <c r="DQ500" s="214" t="s">
        <v>32566</v>
      </c>
      <c r="DR500" s="214" t="s">
        <v>10541</v>
      </c>
      <c r="DS500" s="214" t="s">
        <v>70</v>
      </c>
      <c r="DT500" s="214" t="s">
        <v>530</v>
      </c>
      <c r="DV500" s="214" t="s">
        <v>32567</v>
      </c>
      <c r="DW500" s="214" t="s">
        <v>949</v>
      </c>
      <c r="DX500" s="214" t="s">
        <v>70</v>
      </c>
      <c r="DY500" s="214" t="s">
        <v>530</v>
      </c>
      <c r="EA500" s="214" t="s">
        <v>32568</v>
      </c>
      <c r="EB500" s="214" t="s">
        <v>10541</v>
      </c>
      <c r="EC500" s="214" t="s">
        <v>70</v>
      </c>
      <c r="ED500" s="214" t="s">
        <v>530</v>
      </c>
      <c r="EF500" s="214" t="s">
        <v>32569</v>
      </c>
      <c r="EG500" s="214" t="s">
        <v>286</v>
      </c>
      <c r="EH500" s="214" t="s">
        <v>70</v>
      </c>
      <c r="EI500" s="214" t="s">
        <v>530</v>
      </c>
      <c r="EK500" s="214" t="s">
        <v>32570</v>
      </c>
      <c r="EL500" s="214" t="s">
        <v>149</v>
      </c>
      <c r="EM500" s="214" t="s">
        <v>70</v>
      </c>
      <c r="EN500" s="214" t="s">
        <v>530</v>
      </c>
      <c r="EP500" s="214" t="s">
        <v>32571</v>
      </c>
      <c r="EQ500" s="214" t="s">
        <v>604</v>
      </c>
      <c r="ER500" s="214" t="s">
        <v>70</v>
      </c>
      <c r="ES500" s="214" t="s">
        <v>530</v>
      </c>
      <c r="EU500" s="214" t="s">
        <v>32572</v>
      </c>
      <c r="EV500" s="214" t="s">
        <v>34619</v>
      </c>
      <c r="EW500" s="214" t="s">
        <v>70</v>
      </c>
      <c r="EX500" s="214" t="s">
        <v>530</v>
      </c>
      <c r="EZ500" s="214" t="s">
        <v>32573</v>
      </c>
      <c r="FA500" s="214" t="s">
        <v>34577</v>
      </c>
      <c r="FB500" s="214" t="s">
        <v>70</v>
      </c>
      <c r="FC500" s="214" t="s">
        <v>530</v>
      </c>
      <c r="FE500" s="214" t="s">
        <v>32574</v>
      </c>
      <c r="FF500" s="214" t="s">
        <v>164</v>
      </c>
      <c r="FG500" s="214" t="s">
        <v>70</v>
      </c>
      <c r="FH500" s="214" t="s">
        <v>530</v>
      </c>
      <c r="FJ500" s="321" t="s">
        <v>32575</v>
      </c>
      <c r="FK500" s="214" t="s">
        <v>946</v>
      </c>
      <c r="FL500" s="214" t="s">
        <v>70</v>
      </c>
      <c r="FM500" s="214" t="s">
        <v>530</v>
      </c>
      <c r="FO500" s="321" t="s">
        <v>32576</v>
      </c>
      <c r="FP500" s="214" t="s">
        <v>145</v>
      </c>
      <c r="FQ500" s="214" t="s">
        <v>70</v>
      </c>
      <c r="FR500" s="214" t="s">
        <v>530</v>
      </c>
      <c r="FT500" s="321" t="s">
        <v>32577</v>
      </c>
      <c r="FU500" s="214" t="s">
        <v>52</v>
      </c>
      <c r="FV500" s="214" t="s">
        <v>70</v>
      </c>
      <c r="FW500" s="214" t="s">
        <v>530</v>
      </c>
      <c r="FY500" s="321" t="s">
        <v>32578</v>
      </c>
      <c r="FZ500" s="214" t="s">
        <v>468</v>
      </c>
      <c r="GA500" s="214" t="s">
        <v>70</v>
      </c>
      <c r="GB500" s="214" t="s">
        <v>530</v>
      </c>
      <c r="GD500" s="321" t="s">
        <v>32579</v>
      </c>
      <c r="GE500" s="214" t="s">
        <v>149</v>
      </c>
      <c r="GF500" s="214" t="s">
        <v>70</v>
      </c>
      <c r="GG500" s="214" t="s">
        <v>530</v>
      </c>
      <c r="GI500" s="321" t="s">
        <v>32580</v>
      </c>
      <c r="GJ500" s="214" t="s">
        <v>765</v>
      </c>
      <c r="GK500" s="214" t="s">
        <v>70</v>
      </c>
      <c r="GL500" s="214" t="s">
        <v>530</v>
      </c>
      <c r="GN500" s="321" t="s">
        <v>32581</v>
      </c>
      <c r="GO500" s="214" t="s">
        <v>496</v>
      </c>
      <c r="GP500" s="214" t="s">
        <v>70</v>
      </c>
      <c r="GQ500" s="214" t="s">
        <v>530</v>
      </c>
      <c r="GS500" s="321" t="s">
        <v>32582</v>
      </c>
      <c r="GT500" s="214" t="s">
        <v>34631</v>
      </c>
      <c r="GU500" s="214" t="s">
        <v>70</v>
      </c>
      <c r="GV500" s="214" t="s">
        <v>530</v>
      </c>
      <c r="GX500" s="214" t="s">
        <v>32583</v>
      </c>
      <c r="GY500" s="214" t="s">
        <v>146</v>
      </c>
      <c r="GZ500" s="214" t="s">
        <v>70</v>
      </c>
      <c r="HA500" s="214" t="s">
        <v>530</v>
      </c>
      <c r="HC500" s="214" t="s">
        <v>32584</v>
      </c>
      <c r="HD500" s="214" t="s">
        <v>85</v>
      </c>
      <c r="HE500" s="214" t="s">
        <v>70</v>
      </c>
      <c r="HF500" s="214" t="s">
        <v>530</v>
      </c>
      <c r="HH500" s="214" t="s">
        <v>32585</v>
      </c>
      <c r="HI500" s="214" t="s">
        <v>145</v>
      </c>
      <c r="HJ500" s="214" t="s">
        <v>70</v>
      </c>
      <c r="HK500" s="214" t="s">
        <v>530</v>
      </c>
      <c r="HM500" s="214" t="s">
        <v>32586</v>
      </c>
      <c r="HN500" s="214" t="s">
        <v>602</v>
      </c>
      <c r="HO500" s="214" t="s">
        <v>70</v>
      </c>
      <c r="HP500" s="214" t="s">
        <v>530</v>
      </c>
      <c r="HR500" s="22" t="s">
        <v>32587</v>
      </c>
      <c r="HS500" s="22" t="s">
        <v>488</v>
      </c>
      <c r="HT500" s="22" t="s">
        <v>70</v>
      </c>
      <c r="HU500" s="214" t="s">
        <v>530</v>
      </c>
      <c r="HW500" s="22" t="s">
        <v>32588</v>
      </c>
      <c r="HX500" s="22" t="s">
        <v>499</v>
      </c>
      <c r="HY500" s="22" t="s">
        <v>70</v>
      </c>
      <c r="HZ500" s="214" t="s">
        <v>530</v>
      </c>
      <c r="IB500" s="22" t="s">
        <v>32589</v>
      </c>
      <c r="IC500" s="22" t="s">
        <v>163</v>
      </c>
      <c r="ID500" s="22" t="s">
        <v>70</v>
      </c>
      <c r="IE500" s="214" t="s">
        <v>530</v>
      </c>
      <c r="IG500" s="22" t="s">
        <v>32590</v>
      </c>
      <c r="IH500" s="22" t="s">
        <v>52</v>
      </c>
      <c r="II500" s="22" t="s">
        <v>70</v>
      </c>
      <c r="IJ500" s="214" t="s">
        <v>530</v>
      </c>
      <c r="IL500" s="22" t="s">
        <v>32591</v>
      </c>
      <c r="IM500" s="22" t="s">
        <v>145</v>
      </c>
      <c r="IN500" s="22" t="s">
        <v>70</v>
      </c>
      <c r="IO500" s="214" t="s">
        <v>530</v>
      </c>
      <c r="IQ500" s="236" t="s">
        <v>32592</v>
      </c>
      <c r="IR500" s="236" t="s">
        <v>145</v>
      </c>
      <c r="IS500" s="236" t="s">
        <v>74</v>
      </c>
      <c r="IT500" s="236" t="s">
        <v>841</v>
      </c>
      <c r="IV500" s="236" t="s">
        <v>32593</v>
      </c>
      <c r="IW500" s="236" t="s">
        <v>145</v>
      </c>
      <c r="IX500" s="236" t="s">
        <v>74</v>
      </c>
      <c r="IY500" s="236" t="s">
        <v>841</v>
      </c>
      <c r="JA500" s="236" t="s">
        <v>32594</v>
      </c>
      <c r="JB500" s="236" t="s">
        <v>145</v>
      </c>
      <c r="JC500" s="236" t="s">
        <v>74</v>
      </c>
      <c r="JD500" s="236" t="s">
        <v>841</v>
      </c>
      <c r="JF500" s="236" t="s">
        <v>32595</v>
      </c>
      <c r="JG500" s="236" t="s">
        <v>145</v>
      </c>
      <c r="JH500" s="236" t="s">
        <v>74</v>
      </c>
      <c r="JI500" s="236" t="s">
        <v>841</v>
      </c>
      <c r="JK500" s="236" t="s">
        <v>32596</v>
      </c>
      <c r="JL500" s="236" t="s">
        <v>145</v>
      </c>
      <c r="JM500" s="236" t="s">
        <v>74</v>
      </c>
      <c r="JN500" s="236" t="s">
        <v>841</v>
      </c>
      <c r="JP500" s="236" t="s">
        <v>32597</v>
      </c>
      <c r="JQ500" s="236" t="s">
        <v>145</v>
      </c>
      <c r="JR500" s="236" t="s">
        <v>74</v>
      </c>
      <c r="JS500" s="236" t="s">
        <v>841</v>
      </c>
      <c r="JU500" s="294" t="s">
        <v>32598</v>
      </c>
      <c r="JV500" s="294" t="s">
        <v>52</v>
      </c>
      <c r="JW500" s="263" t="s">
        <v>70</v>
      </c>
      <c r="JX500" s="294" t="s">
        <v>1083</v>
      </c>
      <c r="JZ500" s="263" t="s">
        <v>32599</v>
      </c>
      <c r="KA500" s="263" t="s">
        <v>145</v>
      </c>
      <c r="KB500" s="263" t="s">
        <v>70</v>
      </c>
      <c r="KC500" s="263" t="s">
        <v>1083</v>
      </c>
      <c r="KE500" s="263" t="s">
        <v>32600</v>
      </c>
      <c r="KF500" s="263" t="s">
        <v>52</v>
      </c>
      <c r="KG500" s="263" t="s">
        <v>70</v>
      </c>
      <c r="KH500" s="263" t="s">
        <v>1083</v>
      </c>
      <c r="KJ500" s="263" t="s">
        <v>32601</v>
      </c>
      <c r="KK500" s="263" t="s">
        <v>52</v>
      </c>
      <c r="KL500" s="263" t="s">
        <v>74</v>
      </c>
      <c r="KM500" s="263" t="s">
        <v>34074</v>
      </c>
      <c r="KO500" s="214" t="s">
        <v>32602</v>
      </c>
      <c r="KP500" s="214" t="s">
        <v>145</v>
      </c>
      <c r="KQ500" s="214" t="s">
        <v>70</v>
      </c>
      <c r="KR500" s="214" t="s">
        <v>67</v>
      </c>
      <c r="KT500" s="22" t="s">
        <v>32603</v>
      </c>
      <c r="KU500" s="22" t="s">
        <v>145</v>
      </c>
      <c r="KV500" s="22" t="s">
        <v>70</v>
      </c>
      <c r="KW500" s="22" t="s">
        <v>67</v>
      </c>
      <c r="KY500" s="214" t="s">
        <v>32604</v>
      </c>
      <c r="KZ500" s="214" t="s">
        <v>52</v>
      </c>
      <c r="LA500" s="214" t="s">
        <v>74</v>
      </c>
      <c r="LB500" s="214" t="s">
        <v>67</v>
      </c>
      <c r="LD500" s="22" t="s">
        <v>32605</v>
      </c>
      <c r="LE500" s="22" t="s">
        <v>145</v>
      </c>
      <c r="LF500" s="22" t="s">
        <v>70</v>
      </c>
      <c r="LG500" s="22" t="s">
        <v>67</v>
      </c>
    </row>
    <row r="501" spans="1:319">
      <c r="A501" s="22" t="s">
        <v>32606</v>
      </c>
      <c r="B501" s="22" t="s">
        <v>145</v>
      </c>
      <c r="C501" s="22" t="s">
        <v>70</v>
      </c>
      <c r="D501" s="22" t="s">
        <v>67</v>
      </c>
      <c r="F501" s="72" t="s">
        <v>32607</v>
      </c>
      <c r="G501" s="22" t="s">
        <v>145</v>
      </c>
      <c r="H501" s="22" t="s">
        <v>70</v>
      </c>
      <c r="I501" s="22" t="s">
        <v>67</v>
      </c>
      <c r="K501" s="99" t="s">
        <v>32608</v>
      </c>
      <c r="L501" s="22" t="s">
        <v>145</v>
      </c>
      <c r="M501" s="22" t="s">
        <v>70</v>
      </c>
      <c r="N501" s="22" t="s">
        <v>67</v>
      </c>
      <c r="P501" s="99" t="s">
        <v>32609</v>
      </c>
      <c r="Q501" s="22" t="s">
        <v>145</v>
      </c>
      <c r="R501" s="22" t="s">
        <v>70</v>
      </c>
      <c r="S501" s="22" t="s">
        <v>67</v>
      </c>
      <c r="U501" s="293" t="s">
        <v>32610</v>
      </c>
      <c r="V501" s="293" t="s">
        <v>145</v>
      </c>
      <c r="W501" s="293" t="s">
        <v>74</v>
      </c>
      <c r="X501" s="293" t="s">
        <v>656</v>
      </c>
      <c r="Z501" s="293" t="s">
        <v>32611</v>
      </c>
      <c r="AA501" s="293" t="s">
        <v>145</v>
      </c>
      <c r="AB501" s="293" t="s">
        <v>74</v>
      </c>
      <c r="AC501" s="293" t="s">
        <v>656</v>
      </c>
      <c r="AE501" s="293" t="s">
        <v>32612</v>
      </c>
      <c r="AF501" s="293" t="s">
        <v>145</v>
      </c>
      <c r="AG501" s="293" t="s">
        <v>74</v>
      </c>
      <c r="AH501" s="293" t="s">
        <v>656</v>
      </c>
      <c r="AJ501" s="293" t="s">
        <v>32613</v>
      </c>
      <c r="AK501" s="293" t="s">
        <v>145</v>
      </c>
      <c r="AL501" s="293" t="s">
        <v>74</v>
      </c>
      <c r="AM501" s="293" t="s">
        <v>656</v>
      </c>
      <c r="AO501" s="22" t="s">
        <v>32614</v>
      </c>
      <c r="AP501" s="22" t="s">
        <v>145</v>
      </c>
      <c r="AQ501" s="22" t="s">
        <v>70</v>
      </c>
      <c r="AR501" s="22" t="s">
        <v>67</v>
      </c>
      <c r="AT501" s="22" t="s">
        <v>32615</v>
      </c>
      <c r="AU501" s="22" t="s">
        <v>145</v>
      </c>
      <c r="AV501" s="22" t="s">
        <v>70</v>
      </c>
      <c r="AW501" s="22" t="s">
        <v>67</v>
      </c>
      <c r="AY501" s="22" t="s">
        <v>32616</v>
      </c>
      <c r="AZ501" s="22" t="s">
        <v>145</v>
      </c>
      <c r="BA501" s="22" t="s">
        <v>70</v>
      </c>
      <c r="BB501" s="22" t="s">
        <v>67</v>
      </c>
      <c r="BD501" s="22" t="s">
        <v>32617</v>
      </c>
      <c r="BE501" s="22" t="s">
        <v>145</v>
      </c>
      <c r="BF501" s="22" t="s">
        <v>70</v>
      </c>
      <c r="BG501" s="22" t="s">
        <v>67</v>
      </c>
      <c r="BI501" s="22" t="s">
        <v>32618</v>
      </c>
      <c r="BJ501" s="22" t="s">
        <v>145</v>
      </c>
      <c r="BK501" s="22" t="s">
        <v>70</v>
      </c>
      <c r="BL501" s="22" t="s">
        <v>67</v>
      </c>
      <c r="BN501" s="22" t="s">
        <v>32619</v>
      </c>
      <c r="BO501" s="22" t="s">
        <v>145</v>
      </c>
      <c r="BP501" s="22" t="s">
        <v>70</v>
      </c>
      <c r="BQ501" s="22" t="s">
        <v>67</v>
      </c>
      <c r="BS501" s="22" t="s">
        <v>32620</v>
      </c>
      <c r="BT501" s="22" t="s">
        <v>145</v>
      </c>
      <c r="BU501" s="22" t="s">
        <v>70</v>
      </c>
      <c r="BV501" s="214" t="s">
        <v>530</v>
      </c>
      <c r="BX501" s="22" t="s">
        <v>32621</v>
      </c>
      <c r="BY501" s="22" t="s">
        <v>145</v>
      </c>
      <c r="BZ501" s="22" t="s">
        <v>70</v>
      </c>
      <c r="CA501" s="214" t="s">
        <v>530</v>
      </c>
      <c r="CC501" s="214" t="s">
        <v>32622</v>
      </c>
      <c r="CD501" s="214" t="s">
        <v>34547</v>
      </c>
      <c r="CE501" s="214" t="s">
        <v>70</v>
      </c>
      <c r="CF501" s="214" t="s">
        <v>530</v>
      </c>
      <c r="CH501" s="214" t="s">
        <v>32623</v>
      </c>
      <c r="CI501" s="214" t="s">
        <v>287</v>
      </c>
      <c r="CJ501" s="214" t="s">
        <v>70</v>
      </c>
      <c r="CK501" s="214" t="s">
        <v>530</v>
      </c>
      <c r="CM501" s="214" t="s">
        <v>32624</v>
      </c>
      <c r="CN501" s="214" t="s">
        <v>491</v>
      </c>
      <c r="CO501" s="214" t="s">
        <v>70</v>
      </c>
      <c r="CP501" s="214" t="s">
        <v>530</v>
      </c>
      <c r="CR501" s="214" t="s">
        <v>32625</v>
      </c>
      <c r="CS501" s="214" t="s">
        <v>34557</v>
      </c>
      <c r="CT501" s="214" t="s">
        <v>70</v>
      </c>
      <c r="CU501" s="214" t="s">
        <v>530</v>
      </c>
      <c r="CW501" s="214" t="s">
        <v>32626</v>
      </c>
      <c r="CX501" s="214" t="s">
        <v>52</v>
      </c>
      <c r="CY501" s="214" t="s">
        <v>70</v>
      </c>
      <c r="CZ501" s="214" t="s">
        <v>530</v>
      </c>
      <c r="DB501" s="214" t="s">
        <v>32627</v>
      </c>
      <c r="DC501" s="214" t="s">
        <v>485</v>
      </c>
      <c r="DD501" s="214" t="s">
        <v>70</v>
      </c>
      <c r="DE501" s="214" t="s">
        <v>530</v>
      </c>
      <c r="DG501" s="214" t="s">
        <v>32628</v>
      </c>
      <c r="DH501" s="214" t="s">
        <v>203</v>
      </c>
      <c r="DI501" s="214" t="s">
        <v>70</v>
      </c>
      <c r="DJ501" s="214" t="s">
        <v>530</v>
      </c>
      <c r="DL501" s="214" t="s">
        <v>32629</v>
      </c>
      <c r="DM501" s="214" t="s">
        <v>484</v>
      </c>
      <c r="DN501" s="214" t="s">
        <v>70</v>
      </c>
      <c r="DO501" s="214" t="s">
        <v>530</v>
      </c>
      <c r="DQ501" s="214" t="s">
        <v>32630</v>
      </c>
      <c r="DR501" s="214" t="s">
        <v>34570</v>
      </c>
      <c r="DS501" s="214" t="s">
        <v>70</v>
      </c>
      <c r="DT501" s="214" t="s">
        <v>530</v>
      </c>
      <c r="DV501" s="214" t="s">
        <v>32631</v>
      </c>
      <c r="DW501" s="214" t="s">
        <v>10541</v>
      </c>
      <c r="DX501" s="214" t="s">
        <v>70</v>
      </c>
      <c r="DY501" s="214" t="s">
        <v>530</v>
      </c>
      <c r="EA501" s="214" t="s">
        <v>32632</v>
      </c>
      <c r="EB501" s="214" t="s">
        <v>149</v>
      </c>
      <c r="EC501" s="214" t="s">
        <v>70</v>
      </c>
      <c r="ED501" s="214" t="s">
        <v>530</v>
      </c>
      <c r="EF501" s="214" t="s">
        <v>32633</v>
      </c>
      <c r="EG501" s="214" t="s">
        <v>146</v>
      </c>
      <c r="EH501" s="214" t="s">
        <v>70</v>
      </c>
      <c r="EI501" s="214" t="s">
        <v>530</v>
      </c>
      <c r="EK501" s="214" t="s">
        <v>32634</v>
      </c>
      <c r="EL501" s="214" t="s">
        <v>34544</v>
      </c>
      <c r="EM501" s="214" t="s">
        <v>70</v>
      </c>
      <c r="EN501" s="214" t="s">
        <v>530</v>
      </c>
      <c r="EP501" s="214" t="s">
        <v>32635</v>
      </c>
      <c r="EQ501" s="214" t="s">
        <v>496</v>
      </c>
      <c r="ER501" s="214" t="s">
        <v>70</v>
      </c>
      <c r="ES501" s="214" t="s">
        <v>530</v>
      </c>
      <c r="EU501" s="214" t="s">
        <v>32636</v>
      </c>
      <c r="EV501" s="214" t="s">
        <v>492</v>
      </c>
      <c r="EW501" s="214" t="s">
        <v>70</v>
      </c>
      <c r="EX501" s="214" t="s">
        <v>530</v>
      </c>
      <c r="EZ501" s="214" t="s">
        <v>32637</v>
      </c>
      <c r="FA501" s="214" t="s">
        <v>10541</v>
      </c>
      <c r="FB501" s="214" t="s">
        <v>70</v>
      </c>
      <c r="FC501" s="214" t="s">
        <v>530</v>
      </c>
      <c r="FE501" s="214" t="s">
        <v>32638</v>
      </c>
      <c r="FF501" s="214" t="s">
        <v>502</v>
      </c>
      <c r="FG501" s="214" t="s">
        <v>70</v>
      </c>
      <c r="FH501" s="214" t="s">
        <v>530</v>
      </c>
      <c r="FJ501" s="321" t="s">
        <v>32639</v>
      </c>
      <c r="FK501" s="214" t="s">
        <v>491</v>
      </c>
      <c r="FL501" s="214" t="s">
        <v>70</v>
      </c>
      <c r="FM501" s="214" t="s">
        <v>530</v>
      </c>
      <c r="FO501" s="321" t="s">
        <v>32640</v>
      </c>
      <c r="FP501" s="214" t="s">
        <v>34541</v>
      </c>
      <c r="FQ501" s="214" t="s">
        <v>70</v>
      </c>
      <c r="FR501" s="214" t="s">
        <v>530</v>
      </c>
      <c r="FT501" s="321" t="s">
        <v>32641</v>
      </c>
      <c r="FU501" s="214" t="s">
        <v>52</v>
      </c>
      <c r="FV501" s="214" t="s">
        <v>70</v>
      </c>
      <c r="FW501" s="214" t="s">
        <v>530</v>
      </c>
      <c r="FY501" s="321" t="s">
        <v>32642</v>
      </c>
      <c r="FZ501" s="214" t="s">
        <v>502</v>
      </c>
      <c r="GA501" s="214" t="s">
        <v>70</v>
      </c>
      <c r="GB501" s="214" t="s">
        <v>530</v>
      </c>
      <c r="GD501" s="321" t="s">
        <v>32643</v>
      </c>
      <c r="GE501" s="214" t="s">
        <v>52</v>
      </c>
      <c r="GF501" s="214" t="s">
        <v>70</v>
      </c>
      <c r="GG501" s="214" t="s">
        <v>530</v>
      </c>
      <c r="GI501" s="321" t="s">
        <v>32644</v>
      </c>
      <c r="GJ501" s="214" t="s">
        <v>484</v>
      </c>
      <c r="GK501" s="214" t="s">
        <v>70</v>
      </c>
      <c r="GL501" s="214" t="s">
        <v>530</v>
      </c>
      <c r="GN501" s="321" t="s">
        <v>32645</v>
      </c>
      <c r="GO501" s="214" t="s">
        <v>145</v>
      </c>
      <c r="GP501" s="214" t="s">
        <v>70</v>
      </c>
      <c r="GQ501" s="214" t="s">
        <v>530</v>
      </c>
      <c r="GS501" s="321" t="s">
        <v>32646</v>
      </c>
      <c r="GT501" s="214" t="s">
        <v>34544</v>
      </c>
      <c r="GU501" s="214" t="s">
        <v>70</v>
      </c>
      <c r="GV501" s="214" t="s">
        <v>530</v>
      </c>
      <c r="GX501" s="214" t="s">
        <v>32647</v>
      </c>
      <c r="GY501" s="214" t="s">
        <v>88</v>
      </c>
      <c r="GZ501" s="214" t="s">
        <v>70</v>
      </c>
      <c r="HA501" s="214" t="s">
        <v>530</v>
      </c>
      <c r="HC501" s="214" t="s">
        <v>32648</v>
      </c>
      <c r="HD501" s="214" t="s">
        <v>921</v>
      </c>
      <c r="HE501" s="214" t="s">
        <v>70</v>
      </c>
      <c r="HF501" s="214" t="s">
        <v>530</v>
      </c>
      <c r="HH501" s="214" t="s">
        <v>32649</v>
      </c>
      <c r="HI501" s="214" t="s">
        <v>34541</v>
      </c>
      <c r="HJ501" s="214" t="s">
        <v>70</v>
      </c>
      <c r="HK501" s="214" t="s">
        <v>530</v>
      </c>
      <c r="HM501" s="214" t="s">
        <v>32650</v>
      </c>
      <c r="HN501" s="214" t="s">
        <v>491</v>
      </c>
      <c r="HO501" s="214" t="s">
        <v>70</v>
      </c>
      <c r="HP501" s="214" t="s">
        <v>530</v>
      </c>
      <c r="HR501" s="22" t="s">
        <v>32651</v>
      </c>
      <c r="HS501" s="22" t="s">
        <v>491</v>
      </c>
      <c r="HT501" s="22" t="s">
        <v>70</v>
      </c>
      <c r="HU501" s="214" t="s">
        <v>530</v>
      </c>
      <c r="HW501" s="22" t="s">
        <v>32652</v>
      </c>
      <c r="HX501" s="22" t="s">
        <v>34580</v>
      </c>
      <c r="HY501" s="22" t="s">
        <v>70</v>
      </c>
      <c r="HZ501" s="214" t="s">
        <v>530</v>
      </c>
      <c r="IB501" s="22" t="s">
        <v>32653</v>
      </c>
      <c r="IC501" s="22" t="s">
        <v>34542</v>
      </c>
      <c r="ID501" s="22" t="s">
        <v>70</v>
      </c>
      <c r="IE501" s="214" t="s">
        <v>530</v>
      </c>
      <c r="IG501" s="22" t="s">
        <v>32654</v>
      </c>
      <c r="IH501" s="22" t="s">
        <v>52</v>
      </c>
      <c r="II501" s="22" t="s">
        <v>70</v>
      </c>
      <c r="IJ501" s="214" t="s">
        <v>530</v>
      </c>
      <c r="IL501" s="22" t="s">
        <v>32655</v>
      </c>
      <c r="IM501" s="22" t="s">
        <v>145</v>
      </c>
      <c r="IN501" s="22" t="s">
        <v>70</v>
      </c>
      <c r="IO501" s="214" t="s">
        <v>530</v>
      </c>
      <c r="IQ501" s="236" t="s">
        <v>32656</v>
      </c>
      <c r="IR501" s="236" t="s">
        <v>145</v>
      </c>
      <c r="IS501" s="236" t="s">
        <v>74</v>
      </c>
      <c r="IT501" s="236" t="s">
        <v>841</v>
      </c>
      <c r="IV501" s="236" t="s">
        <v>32657</v>
      </c>
      <c r="IW501" s="236" t="s">
        <v>145</v>
      </c>
      <c r="IX501" s="236" t="s">
        <v>74</v>
      </c>
      <c r="IY501" s="236" t="s">
        <v>841</v>
      </c>
      <c r="JA501" s="236" t="s">
        <v>32658</v>
      </c>
      <c r="JB501" s="236" t="s">
        <v>145</v>
      </c>
      <c r="JC501" s="236" t="s">
        <v>74</v>
      </c>
      <c r="JD501" s="236" t="s">
        <v>841</v>
      </c>
      <c r="JF501" s="236" t="s">
        <v>32659</v>
      </c>
      <c r="JG501" s="236" t="s">
        <v>145</v>
      </c>
      <c r="JH501" s="236" t="s">
        <v>74</v>
      </c>
      <c r="JI501" s="236" t="s">
        <v>841</v>
      </c>
      <c r="JK501" s="236" t="s">
        <v>32660</v>
      </c>
      <c r="JL501" s="236" t="s">
        <v>145</v>
      </c>
      <c r="JM501" s="236" t="s">
        <v>74</v>
      </c>
      <c r="JN501" s="236" t="s">
        <v>841</v>
      </c>
      <c r="JP501" s="236" t="s">
        <v>32661</v>
      </c>
      <c r="JQ501" s="236" t="s">
        <v>145</v>
      </c>
      <c r="JR501" s="236" t="s">
        <v>74</v>
      </c>
      <c r="JS501" s="236" t="s">
        <v>841</v>
      </c>
      <c r="JU501" s="294" t="s">
        <v>32662</v>
      </c>
      <c r="JV501" s="294" t="s">
        <v>52</v>
      </c>
      <c r="JW501" s="263" t="s">
        <v>70</v>
      </c>
      <c r="JX501" s="294" t="s">
        <v>1083</v>
      </c>
      <c r="JZ501" s="263" t="s">
        <v>32663</v>
      </c>
      <c r="KA501" s="263" t="s">
        <v>145</v>
      </c>
      <c r="KB501" s="263" t="s">
        <v>70</v>
      </c>
      <c r="KC501" s="263" t="s">
        <v>1083</v>
      </c>
      <c r="KE501" s="263" t="s">
        <v>32664</v>
      </c>
      <c r="KF501" s="263" t="s">
        <v>52</v>
      </c>
      <c r="KG501" s="263" t="s">
        <v>70</v>
      </c>
      <c r="KH501" s="263" t="s">
        <v>1083</v>
      </c>
      <c r="KJ501" s="263" t="s">
        <v>32665</v>
      </c>
      <c r="KK501" s="263" t="s">
        <v>52</v>
      </c>
      <c r="KL501" s="263" t="s">
        <v>74</v>
      </c>
      <c r="KM501" s="263" t="s">
        <v>34074</v>
      </c>
      <c r="KO501" s="214" t="s">
        <v>32666</v>
      </c>
      <c r="KP501" s="214" t="s">
        <v>145</v>
      </c>
      <c r="KQ501" s="214" t="s">
        <v>70</v>
      </c>
      <c r="KR501" s="214" t="s">
        <v>67</v>
      </c>
      <c r="KT501" s="22" t="s">
        <v>32667</v>
      </c>
      <c r="KU501" s="22" t="s">
        <v>145</v>
      </c>
      <c r="KV501" s="22" t="s">
        <v>70</v>
      </c>
      <c r="KW501" s="22" t="s">
        <v>67</v>
      </c>
      <c r="KY501" s="214" t="s">
        <v>32668</v>
      </c>
      <c r="KZ501" s="214" t="s">
        <v>52</v>
      </c>
      <c r="LA501" s="214" t="s">
        <v>74</v>
      </c>
      <c r="LB501" s="214" t="s">
        <v>67</v>
      </c>
      <c r="LD501" s="22" t="s">
        <v>32669</v>
      </c>
      <c r="LE501" s="22" t="s">
        <v>145</v>
      </c>
      <c r="LF501" s="22" t="s">
        <v>70</v>
      </c>
      <c r="LG501" s="22" t="s">
        <v>67</v>
      </c>
    </row>
    <row r="502" spans="1:319">
      <c r="A502" s="22" t="s">
        <v>32670</v>
      </c>
      <c r="B502" s="22" t="s">
        <v>145</v>
      </c>
      <c r="C502" s="22" t="s">
        <v>70</v>
      </c>
      <c r="D502" s="22" t="s">
        <v>67</v>
      </c>
      <c r="F502" s="72" t="s">
        <v>32671</v>
      </c>
      <c r="G502" s="22" t="s">
        <v>145</v>
      </c>
      <c r="H502" s="22" t="s">
        <v>70</v>
      </c>
      <c r="I502" s="22" t="s">
        <v>67</v>
      </c>
      <c r="K502" s="99" t="s">
        <v>32672</v>
      </c>
      <c r="L502" s="22" t="s">
        <v>145</v>
      </c>
      <c r="M502" s="22" t="s">
        <v>70</v>
      </c>
      <c r="N502" s="22" t="s">
        <v>67</v>
      </c>
      <c r="P502" s="99" t="s">
        <v>32673</v>
      </c>
      <c r="Q502" s="22" t="s">
        <v>145</v>
      </c>
      <c r="R502" s="22" t="s">
        <v>70</v>
      </c>
      <c r="S502" s="22" t="s">
        <v>67</v>
      </c>
      <c r="U502" s="293" t="s">
        <v>32674</v>
      </c>
      <c r="V502" s="293" t="s">
        <v>145</v>
      </c>
      <c r="W502" s="293" t="s">
        <v>74</v>
      </c>
      <c r="X502" s="293" t="s">
        <v>656</v>
      </c>
      <c r="Z502" s="293" t="s">
        <v>32675</v>
      </c>
      <c r="AA502" s="293" t="s">
        <v>145</v>
      </c>
      <c r="AB502" s="293" t="s">
        <v>74</v>
      </c>
      <c r="AC502" s="293" t="s">
        <v>656</v>
      </c>
      <c r="AE502" s="293" t="s">
        <v>32676</v>
      </c>
      <c r="AF502" s="293" t="s">
        <v>145</v>
      </c>
      <c r="AG502" s="293" t="s">
        <v>74</v>
      </c>
      <c r="AH502" s="293" t="s">
        <v>656</v>
      </c>
      <c r="AJ502" s="293" t="s">
        <v>32677</v>
      </c>
      <c r="AK502" s="293" t="s">
        <v>145</v>
      </c>
      <c r="AL502" s="293" t="s">
        <v>74</v>
      </c>
      <c r="AM502" s="293" t="s">
        <v>656</v>
      </c>
      <c r="AO502" s="22" t="s">
        <v>32678</v>
      </c>
      <c r="AP502" s="22" t="s">
        <v>145</v>
      </c>
      <c r="AQ502" s="22" t="s">
        <v>70</v>
      </c>
      <c r="AR502" s="22" t="s">
        <v>67</v>
      </c>
      <c r="AT502" s="22" t="s">
        <v>32679</v>
      </c>
      <c r="AU502" s="22" t="s">
        <v>145</v>
      </c>
      <c r="AV502" s="22" t="s">
        <v>70</v>
      </c>
      <c r="AW502" s="22" t="s">
        <v>67</v>
      </c>
      <c r="AY502" s="22" t="s">
        <v>32680</v>
      </c>
      <c r="AZ502" s="22" t="s">
        <v>145</v>
      </c>
      <c r="BA502" s="22" t="s">
        <v>70</v>
      </c>
      <c r="BB502" s="22" t="s">
        <v>67</v>
      </c>
      <c r="BD502" s="22" t="s">
        <v>32681</v>
      </c>
      <c r="BE502" s="22" t="s">
        <v>145</v>
      </c>
      <c r="BF502" s="22" t="s">
        <v>70</v>
      </c>
      <c r="BG502" s="22" t="s">
        <v>67</v>
      </c>
      <c r="BI502" s="22" t="s">
        <v>32682</v>
      </c>
      <c r="BJ502" s="22" t="s">
        <v>145</v>
      </c>
      <c r="BK502" s="22" t="s">
        <v>70</v>
      </c>
      <c r="BL502" s="22" t="s">
        <v>67</v>
      </c>
      <c r="BN502" s="22" t="s">
        <v>32683</v>
      </c>
      <c r="BO502" s="22" t="s">
        <v>145</v>
      </c>
      <c r="BP502" s="22" t="s">
        <v>70</v>
      </c>
      <c r="BQ502" s="22" t="s">
        <v>67</v>
      </c>
      <c r="BS502" s="22" t="s">
        <v>32684</v>
      </c>
      <c r="BT502" s="22" t="s">
        <v>145</v>
      </c>
      <c r="BU502" s="22" t="s">
        <v>70</v>
      </c>
      <c r="BV502" s="214" t="s">
        <v>530</v>
      </c>
      <c r="BX502" s="22" t="s">
        <v>32685</v>
      </c>
      <c r="BY502" s="22" t="s">
        <v>145</v>
      </c>
      <c r="BZ502" s="22" t="s">
        <v>70</v>
      </c>
      <c r="CA502" s="214" t="s">
        <v>530</v>
      </c>
      <c r="CC502" s="214" t="s">
        <v>32686</v>
      </c>
      <c r="CD502" s="214" t="s">
        <v>164</v>
      </c>
      <c r="CE502" s="214" t="s">
        <v>70</v>
      </c>
      <c r="CF502" s="214" t="s">
        <v>530</v>
      </c>
      <c r="CH502" s="214" t="s">
        <v>32687</v>
      </c>
      <c r="CI502" s="214" t="s">
        <v>52</v>
      </c>
      <c r="CJ502" s="214" t="s">
        <v>70</v>
      </c>
      <c r="CK502" s="214" t="s">
        <v>530</v>
      </c>
      <c r="CM502" s="214" t="s">
        <v>32688</v>
      </c>
      <c r="CN502" s="214" t="s">
        <v>488</v>
      </c>
      <c r="CO502" s="214" t="s">
        <v>70</v>
      </c>
      <c r="CP502" s="214" t="s">
        <v>530</v>
      </c>
      <c r="CR502" s="214" t="s">
        <v>32689</v>
      </c>
      <c r="CS502" s="214" t="s">
        <v>501</v>
      </c>
      <c r="CT502" s="214" t="s">
        <v>70</v>
      </c>
      <c r="CU502" s="214" t="s">
        <v>530</v>
      </c>
      <c r="CW502" s="214" t="s">
        <v>32690</v>
      </c>
      <c r="CX502" s="214" t="s">
        <v>52</v>
      </c>
      <c r="CY502" s="214" t="s">
        <v>70</v>
      </c>
      <c r="CZ502" s="214" t="s">
        <v>530</v>
      </c>
      <c r="DB502" s="214" t="s">
        <v>32691</v>
      </c>
      <c r="DC502" s="214" t="s">
        <v>34545</v>
      </c>
      <c r="DD502" s="214" t="s">
        <v>70</v>
      </c>
      <c r="DE502" s="214" t="s">
        <v>530</v>
      </c>
      <c r="DG502" s="214" t="s">
        <v>32692</v>
      </c>
      <c r="DH502" s="214" t="s">
        <v>34548</v>
      </c>
      <c r="DI502" s="214" t="s">
        <v>70</v>
      </c>
      <c r="DJ502" s="214" t="s">
        <v>530</v>
      </c>
      <c r="DL502" s="214" t="s">
        <v>32693</v>
      </c>
      <c r="DM502" s="214" t="s">
        <v>286</v>
      </c>
      <c r="DN502" s="214" t="s">
        <v>70</v>
      </c>
      <c r="DO502" s="214" t="s">
        <v>530</v>
      </c>
      <c r="DQ502" s="214" t="s">
        <v>32694</v>
      </c>
      <c r="DR502" s="214" t="s">
        <v>34575</v>
      </c>
      <c r="DS502" s="214" t="s">
        <v>70</v>
      </c>
      <c r="DT502" s="214" t="s">
        <v>530</v>
      </c>
      <c r="DV502" s="214" t="s">
        <v>32695</v>
      </c>
      <c r="DW502" s="214" t="s">
        <v>949</v>
      </c>
      <c r="DX502" s="214" t="s">
        <v>70</v>
      </c>
      <c r="DY502" s="214" t="s">
        <v>530</v>
      </c>
      <c r="EA502" s="214" t="s">
        <v>32696</v>
      </c>
      <c r="EB502" s="214" t="s">
        <v>52</v>
      </c>
      <c r="EC502" s="214" t="s">
        <v>70</v>
      </c>
      <c r="ED502" s="214" t="s">
        <v>530</v>
      </c>
      <c r="EF502" s="214" t="s">
        <v>32697</v>
      </c>
      <c r="EG502" s="214" t="s">
        <v>468</v>
      </c>
      <c r="EH502" s="214" t="s">
        <v>70</v>
      </c>
      <c r="EI502" s="214" t="s">
        <v>530</v>
      </c>
      <c r="EK502" s="214" t="s">
        <v>32698</v>
      </c>
      <c r="EL502" s="214" t="s">
        <v>485</v>
      </c>
      <c r="EM502" s="214" t="s">
        <v>70</v>
      </c>
      <c r="EN502" s="214" t="s">
        <v>530</v>
      </c>
      <c r="EP502" s="214" t="s">
        <v>32699</v>
      </c>
      <c r="EQ502" s="214" t="s">
        <v>490</v>
      </c>
      <c r="ER502" s="214" t="s">
        <v>70</v>
      </c>
      <c r="ES502" s="214" t="s">
        <v>530</v>
      </c>
      <c r="EU502" s="214" t="s">
        <v>32700</v>
      </c>
      <c r="EV502" s="214" t="s">
        <v>103</v>
      </c>
      <c r="EW502" s="214" t="s">
        <v>70</v>
      </c>
      <c r="EX502" s="214" t="s">
        <v>530</v>
      </c>
      <c r="EZ502" s="214" t="s">
        <v>32701</v>
      </c>
      <c r="FA502" s="214" t="s">
        <v>914</v>
      </c>
      <c r="FB502" s="214" t="s">
        <v>70</v>
      </c>
      <c r="FC502" s="214" t="s">
        <v>530</v>
      </c>
      <c r="FE502" s="214" t="s">
        <v>32702</v>
      </c>
      <c r="FF502" s="214" t="s">
        <v>34560</v>
      </c>
      <c r="FG502" s="214" t="s">
        <v>70</v>
      </c>
      <c r="FH502" s="214" t="s">
        <v>530</v>
      </c>
      <c r="FJ502" s="321" t="s">
        <v>32703</v>
      </c>
      <c r="FK502" s="214" t="s">
        <v>146</v>
      </c>
      <c r="FL502" s="214" t="s">
        <v>70</v>
      </c>
      <c r="FM502" s="214" t="s">
        <v>530</v>
      </c>
      <c r="FO502" s="321" t="s">
        <v>32704</v>
      </c>
      <c r="FP502" s="214" t="s">
        <v>92</v>
      </c>
      <c r="FQ502" s="214" t="s">
        <v>70</v>
      </c>
      <c r="FR502" s="214" t="s">
        <v>530</v>
      </c>
      <c r="FT502" s="321" t="s">
        <v>32705</v>
      </c>
      <c r="FU502" s="214" t="s">
        <v>92</v>
      </c>
      <c r="FV502" s="214" t="s">
        <v>70</v>
      </c>
      <c r="FW502" s="214" t="s">
        <v>530</v>
      </c>
      <c r="FY502" s="321" t="s">
        <v>32706</v>
      </c>
      <c r="FZ502" s="214" t="s">
        <v>52</v>
      </c>
      <c r="GA502" s="214" t="s">
        <v>70</v>
      </c>
      <c r="GB502" s="214" t="s">
        <v>530</v>
      </c>
      <c r="GD502" s="321" t="s">
        <v>32707</v>
      </c>
      <c r="GE502" s="214" t="s">
        <v>484</v>
      </c>
      <c r="GF502" s="214" t="s">
        <v>70</v>
      </c>
      <c r="GG502" s="214" t="s">
        <v>530</v>
      </c>
      <c r="GI502" s="321" t="s">
        <v>32708</v>
      </c>
      <c r="GJ502" s="214" t="s">
        <v>34640</v>
      </c>
      <c r="GK502" s="214" t="s">
        <v>70</v>
      </c>
      <c r="GL502" s="214" t="s">
        <v>530</v>
      </c>
      <c r="GN502" s="321" t="s">
        <v>32709</v>
      </c>
      <c r="GO502" s="214" t="s">
        <v>148</v>
      </c>
      <c r="GP502" s="214" t="s">
        <v>70</v>
      </c>
      <c r="GQ502" s="214" t="s">
        <v>530</v>
      </c>
      <c r="GS502" s="321" t="s">
        <v>32710</v>
      </c>
      <c r="GT502" s="214" t="s">
        <v>164</v>
      </c>
      <c r="GU502" s="214" t="s">
        <v>70</v>
      </c>
      <c r="GV502" s="214" t="s">
        <v>530</v>
      </c>
      <c r="GX502" s="214" t="s">
        <v>32711</v>
      </c>
      <c r="GY502" s="214" t="s">
        <v>88</v>
      </c>
      <c r="GZ502" s="214" t="s">
        <v>70</v>
      </c>
      <c r="HA502" s="214" t="s">
        <v>530</v>
      </c>
      <c r="HC502" s="214" t="s">
        <v>32712</v>
      </c>
      <c r="HD502" s="214" t="s">
        <v>34545</v>
      </c>
      <c r="HE502" s="214" t="s">
        <v>70</v>
      </c>
      <c r="HF502" s="214" t="s">
        <v>530</v>
      </c>
      <c r="HH502" s="214" t="s">
        <v>32713</v>
      </c>
      <c r="HI502" s="214" t="s">
        <v>467</v>
      </c>
      <c r="HJ502" s="214" t="s">
        <v>70</v>
      </c>
      <c r="HK502" s="214" t="s">
        <v>530</v>
      </c>
      <c r="HM502" s="214" t="s">
        <v>32714</v>
      </c>
      <c r="HN502" s="214" t="s">
        <v>92</v>
      </c>
      <c r="HO502" s="214" t="s">
        <v>70</v>
      </c>
      <c r="HP502" s="214" t="s">
        <v>530</v>
      </c>
      <c r="HR502" s="22" t="s">
        <v>32715</v>
      </c>
      <c r="HS502" s="22" t="s">
        <v>52</v>
      </c>
      <c r="HT502" s="22" t="s">
        <v>70</v>
      </c>
      <c r="HU502" s="214" t="s">
        <v>530</v>
      </c>
      <c r="HW502" s="22" t="s">
        <v>32716</v>
      </c>
      <c r="HX502" s="22" t="s">
        <v>52</v>
      </c>
      <c r="HY502" s="22" t="s">
        <v>70</v>
      </c>
      <c r="HZ502" s="214" t="s">
        <v>530</v>
      </c>
      <c r="IB502" s="22" t="s">
        <v>32717</v>
      </c>
      <c r="IC502" s="22" t="s">
        <v>485</v>
      </c>
      <c r="ID502" s="22" t="s">
        <v>70</v>
      </c>
      <c r="IE502" s="214" t="s">
        <v>530</v>
      </c>
      <c r="IG502" s="22" t="s">
        <v>32718</v>
      </c>
      <c r="IH502" s="22" t="s">
        <v>52</v>
      </c>
      <c r="II502" s="22" t="s">
        <v>70</v>
      </c>
      <c r="IJ502" s="214" t="s">
        <v>530</v>
      </c>
      <c r="IL502" s="22" t="s">
        <v>32719</v>
      </c>
      <c r="IM502" s="22" t="s">
        <v>145</v>
      </c>
      <c r="IN502" s="22" t="s">
        <v>70</v>
      </c>
      <c r="IO502" s="214" t="s">
        <v>530</v>
      </c>
      <c r="IQ502" s="236" t="s">
        <v>32720</v>
      </c>
      <c r="IR502" s="236" t="s">
        <v>145</v>
      </c>
      <c r="IS502" s="236" t="s">
        <v>74</v>
      </c>
      <c r="IT502" s="236" t="s">
        <v>841</v>
      </c>
      <c r="IV502" s="236" t="s">
        <v>32721</v>
      </c>
      <c r="IW502" s="236" t="s">
        <v>145</v>
      </c>
      <c r="IX502" s="236" t="s">
        <v>74</v>
      </c>
      <c r="IY502" s="236" t="s">
        <v>841</v>
      </c>
      <c r="JA502" s="236" t="s">
        <v>32722</v>
      </c>
      <c r="JB502" s="236" t="s">
        <v>145</v>
      </c>
      <c r="JC502" s="236" t="s">
        <v>74</v>
      </c>
      <c r="JD502" s="236" t="s">
        <v>841</v>
      </c>
      <c r="JF502" s="236" t="s">
        <v>32723</v>
      </c>
      <c r="JG502" s="236" t="s">
        <v>145</v>
      </c>
      <c r="JH502" s="236" t="s">
        <v>74</v>
      </c>
      <c r="JI502" s="236" t="s">
        <v>841</v>
      </c>
      <c r="JK502" s="236" t="s">
        <v>32724</v>
      </c>
      <c r="JL502" s="236" t="s">
        <v>145</v>
      </c>
      <c r="JM502" s="236" t="s">
        <v>74</v>
      </c>
      <c r="JN502" s="236" t="s">
        <v>841</v>
      </c>
      <c r="JP502" s="236" t="s">
        <v>32725</v>
      </c>
      <c r="JQ502" s="236" t="s">
        <v>145</v>
      </c>
      <c r="JR502" s="236" t="s">
        <v>74</v>
      </c>
      <c r="JS502" s="236" t="s">
        <v>841</v>
      </c>
      <c r="JU502" s="294" t="s">
        <v>32726</v>
      </c>
      <c r="JV502" s="294" t="s">
        <v>52</v>
      </c>
      <c r="JW502" s="263" t="s">
        <v>70</v>
      </c>
      <c r="JX502" s="294" t="s">
        <v>1083</v>
      </c>
      <c r="JZ502" s="263" t="s">
        <v>32727</v>
      </c>
      <c r="KA502" s="263" t="s">
        <v>145</v>
      </c>
      <c r="KB502" s="263" t="s">
        <v>70</v>
      </c>
      <c r="KC502" s="263" t="s">
        <v>1083</v>
      </c>
      <c r="KE502" s="263" t="s">
        <v>32728</v>
      </c>
      <c r="KF502" s="263" t="s">
        <v>52</v>
      </c>
      <c r="KG502" s="263" t="s">
        <v>70</v>
      </c>
      <c r="KH502" s="263" t="s">
        <v>1083</v>
      </c>
      <c r="KJ502" s="263" t="s">
        <v>32729</v>
      </c>
      <c r="KK502" s="263" t="s">
        <v>52</v>
      </c>
      <c r="KL502" s="263" t="s">
        <v>74</v>
      </c>
      <c r="KM502" s="263" t="s">
        <v>34074</v>
      </c>
      <c r="KO502" s="214" t="s">
        <v>32730</v>
      </c>
      <c r="KP502" s="214" t="s">
        <v>145</v>
      </c>
      <c r="KQ502" s="214" t="s">
        <v>70</v>
      </c>
      <c r="KR502" s="214" t="s">
        <v>67</v>
      </c>
      <c r="KT502" s="22" t="s">
        <v>32731</v>
      </c>
      <c r="KU502" s="22" t="s">
        <v>145</v>
      </c>
      <c r="KV502" s="22" t="s">
        <v>70</v>
      </c>
      <c r="KW502" s="22" t="s">
        <v>67</v>
      </c>
      <c r="KY502" s="214" t="s">
        <v>32732</v>
      </c>
      <c r="KZ502" s="214" t="s">
        <v>52</v>
      </c>
      <c r="LA502" s="214" t="s">
        <v>74</v>
      </c>
      <c r="LB502" s="214" t="s">
        <v>67</v>
      </c>
      <c r="LD502" s="22" t="s">
        <v>32733</v>
      </c>
      <c r="LE502" s="22" t="s">
        <v>145</v>
      </c>
      <c r="LF502" s="22" t="s">
        <v>70</v>
      </c>
      <c r="LG502" s="22" t="s">
        <v>67</v>
      </c>
    </row>
    <row r="503" spans="1:319">
      <c r="A503" s="22" t="s">
        <v>32734</v>
      </c>
      <c r="B503" s="22" t="s">
        <v>145</v>
      </c>
      <c r="C503" s="22" t="s">
        <v>70</v>
      </c>
      <c r="D503" s="22" t="s">
        <v>67</v>
      </c>
      <c r="F503" s="72" t="s">
        <v>32735</v>
      </c>
      <c r="G503" s="22" t="s">
        <v>145</v>
      </c>
      <c r="H503" s="22" t="s">
        <v>70</v>
      </c>
      <c r="I503" s="22" t="s">
        <v>67</v>
      </c>
      <c r="K503" s="99" t="s">
        <v>32736</v>
      </c>
      <c r="L503" s="22" t="s">
        <v>145</v>
      </c>
      <c r="M503" s="22" t="s">
        <v>70</v>
      </c>
      <c r="N503" s="22" t="s">
        <v>67</v>
      </c>
      <c r="P503" s="99" t="s">
        <v>32737</v>
      </c>
      <c r="Q503" s="22" t="s">
        <v>145</v>
      </c>
      <c r="R503" s="22" t="s">
        <v>70</v>
      </c>
      <c r="S503" s="22" t="s">
        <v>67</v>
      </c>
      <c r="U503" s="293" t="s">
        <v>32738</v>
      </c>
      <c r="V503" s="293" t="s">
        <v>145</v>
      </c>
      <c r="W503" s="293" t="s">
        <v>74</v>
      </c>
      <c r="X503" s="293" t="s">
        <v>656</v>
      </c>
      <c r="Z503" s="293" t="s">
        <v>32739</v>
      </c>
      <c r="AA503" s="293" t="s">
        <v>145</v>
      </c>
      <c r="AB503" s="293" t="s">
        <v>74</v>
      </c>
      <c r="AC503" s="293" t="s">
        <v>656</v>
      </c>
      <c r="AE503" s="293" t="s">
        <v>32740</v>
      </c>
      <c r="AF503" s="293" t="s">
        <v>145</v>
      </c>
      <c r="AG503" s="293" t="s">
        <v>74</v>
      </c>
      <c r="AH503" s="293" t="s">
        <v>656</v>
      </c>
      <c r="AJ503" s="293" t="s">
        <v>32741</v>
      </c>
      <c r="AK503" s="293" t="s">
        <v>145</v>
      </c>
      <c r="AL503" s="293" t="s">
        <v>74</v>
      </c>
      <c r="AM503" s="293" t="s">
        <v>656</v>
      </c>
      <c r="AO503" s="22" t="s">
        <v>32742</v>
      </c>
      <c r="AP503" s="22" t="s">
        <v>145</v>
      </c>
      <c r="AQ503" s="22" t="s">
        <v>70</v>
      </c>
      <c r="AR503" s="22" t="s">
        <v>67</v>
      </c>
      <c r="AT503" s="22" t="s">
        <v>32743</v>
      </c>
      <c r="AU503" s="22" t="s">
        <v>145</v>
      </c>
      <c r="AV503" s="22" t="s">
        <v>70</v>
      </c>
      <c r="AW503" s="22" t="s">
        <v>67</v>
      </c>
      <c r="AY503" s="22" t="s">
        <v>32744</v>
      </c>
      <c r="AZ503" s="22" t="s">
        <v>145</v>
      </c>
      <c r="BA503" s="22" t="s">
        <v>70</v>
      </c>
      <c r="BB503" s="22" t="s">
        <v>67</v>
      </c>
      <c r="BD503" s="22" t="s">
        <v>32745</v>
      </c>
      <c r="BE503" s="22" t="s">
        <v>145</v>
      </c>
      <c r="BF503" s="22" t="s">
        <v>70</v>
      </c>
      <c r="BG503" s="22" t="s">
        <v>67</v>
      </c>
      <c r="BI503" s="22" t="s">
        <v>32746</v>
      </c>
      <c r="BJ503" s="22" t="s">
        <v>145</v>
      </c>
      <c r="BK503" s="22" t="s">
        <v>70</v>
      </c>
      <c r="BL503" s="22" t="s">
        <v>67</v>
      </c>
      <c r="BN503" s="22" t="s">
        <v>32747</v>
      </c>
      <c r="BO503" s="22" t="s">
        <v>145</v>
      </c>
      <c r="BP503" s="22" t="s">
        <v>70</v>
      </c>
      <c r="BQ503" s="22" t="s">
        <v>67</v>
      </c>
      <c r="BS503" s="22" t="s">
        <v>32748</v>
      </c>
      <c r="BT503" s="22" t="s">
        <v>145</v>
      </c>
      <c r="BU503" s="22" t="s">
        <v>70</v>
      </c>
      <c r="BV503" s="214" t="s">
        <v>530</v>
      </c>
      <c r="BX503" s="22" t="s">
        <v>32749</v>
      </c>
      <c r="BY503" s="22" t="s">
        <v>145</v>
      </c>
      <c r="BZ503" s="22" t="s">
        <v>70</v>
      </c>
      <c r="CA503" s="214" t="s">
        <v>530</v>
      </c>
      <c r="CC503" s="214" t="s">
        <v>32750</v>
      </c>
      <c r="CD503" s="214" t="s">
        <v>52</v>
      </c>
      <c r="CE503" s="214" t="s">
        <v>70</v>
      </c>
      <c r="CF503" s="214" t="s">
        <v>530</v>
      </c>
      <c r="CH503" s="214" t="s">
        <v>32751</v>
      </c>
      <c r="CI503" s="214" t="s">
        <v>52</v>
      </c>
      <c r="CJ503" s="214" t="s">
        <v>70</v>
      </c>
      <c r="CK503" s="214" t="s">
        <v>530</v>
      </c>
      <c r="CM503" s="214" t="s">
        <v>32752</v>
      </c>
      <c r="CN503" s="214" t="s">
        <v>488</v>
      </c>
      <c r="CO503" s="214" t="s">
        <v>70</v>
      </c>
      <c r="CP503" s="214" t="s">
        <v>530</v>
      </c>
      <c r="CR503" s="214" t="s">
        <v>32753</v>
      </c>
      <c r="CS503" s="214" t="s">
        <v>488</v>
      </c>
      <c r="CT503" s="214" t="s">
        <v>70</v>
      </c>
      <c r="CU503" s="214" t="s">
        <v>530</v>
      </c>
      <c r="CW503" s="214" t="s">
        <v>32754</v>
      </c>
      <c r="CX503" s="214" t="s">
        <v>924</v>
      </c>
      <c r="CY503" s="214" t="s">
        <v>70</v>
      </c>
      <c r="CZ503" s="214" t="s">
        <v>530</v>
      </c>
      <c r="DB503" s="214" t="s">
        <v>32755</v>
      </c>
      <c r="DC503" s="214" t="s">
        <v>34561</v>
      </c>
      <c r="DD503" s="214" t="s">
        <v>70</v>
      </c>
      <c r="DE503" s="214" t="s">
        <v>530</v>
      </c>
      <c r="DG503" s="214" t="s">
        <v>32756</v>
      </c>
      <c r="DH503" s="214" t="s">
        <v>490</v>
      </c>
      <c r="DI503" s="214" t="s">
        <v>70</v>
      </c>
      <c r="DJ503" s="214" t="s">
        <v>530</v>
      </c>
      <c r="DL503" s="214" t="s">
        <v>32757</v>
      </c>
      <c r="DM503" s="214" t="s">
        <v>950</v>
      </c>
      <c r="DN503" s="214" t="s">
        <v>70</v>
      </c>
      <c r="DO503" s="214" t="s">
        <v>530</v>
      </c>
      <c r="DQ503" s="214" t="s">
        <v>32758</v>
      </c>
      <c r="DR503" s="214" t="s">
        <v>34557</v>
      </c>
      <c r="DS503" s="214" t="s">
        <v>70</v>
      </c>
      <c r="DT503" s="214" t="s">
        <v>530</v>
      </c>
      <c r="DV503" s="214" t="s">
        <v>32759</v>
      </c>
      <c r="DW503" s="214" t="s">
        <v>52</v>
      </c>
      <c r="DX503" s="214" t="s">
        <v>70</v>
      </c>
      <c r="DY503" s="214" t="s">
        <v>530</v>
      </c>
      <c r="EA503" s="214" t="s">
        <v>32760</v>
      </c>
      <c r="EB503" s="214" t="s">
        <v>34558</v>
      </c>
      <c r="EC503" s="214" t="s">
        <v>70</v>
      </c>
      <c r="ED503" s="214" t="s">
        <v>530</v>
      </c>
      <c r="EF503" s="214" t="s">
        <v>32761</v>
      </c>
      <c r="EG503" s="214" t="s">
        <v>34540</v>
      </c>
      <c r="EH503" s="214" t="s">
        <v>70</v>
      </c>
      <c r="EI503" s="214" t="s">
        <v>530</v>
      </c>
      <c r="EK503" s="214" t="s">
        <v>32762</v>
      </c>
      <c r="EL503" s="214" t="s">
        <v>910</v>
      </c>
      <c r="EM503" s="214" t="s">
        <v>70</v>
      </c>
      <c r="EN503" s="214" t="s">
        <v>530</v>
      </c>
      <c r="EP503" s="214" t="s">
        <v>32763</v>
      </c>
      <c r="EQ503" s="214" t="s">
        <v>482</v>
      </c>
      <c r="ER503" s="214" t="s">
        <v>70</v>
      </c>
      <c r="ES503" s="214" t="s">
        <v>530</v>
      </c>
      <c r="EU503" s="214" t="s">
        <v>32764</v>
      </c>
      <c r="EV503" s="214" t="s">
        <v>468</v>
      </c>
      <c r="EW503" s="214" t="s">
        <v>70</v>
      </c>
      <c r="EX503" s="214" t="s">
        <v>530</v>
      </c>
      <c r="EZ503" s="214" t="s">
        <v>32765</v>
      </c>
      <c r="FA503" s="214" t="s">
        <v>501</v>
      </c>
      <c r="FB503" s="214" t="s">
        <v>70</v>
      </c>
      <c r="FC503" s="214" t="s">
        <v>530</v>
      </c>
      <c r="FE503" s="214" t="s">
        <v>32766</v>
      </c>
      <c r="FF503" s="214" t="s">
        <v>486</v>
      </c>
      <c r="FG503" s="214" t="s">
        <v>70</v>
      </c>
      <c r="FH503" s="214" t="s">
        <v>530</v>
      </c>
      <c r="FJ503" s="321" t="s">
        <v>32767</v>
      </c>
      <c r="FK503" s="214" t="s">
        <v>206</v>
      </c>
      <c r="FL503" s="214" t="s">
        <v>70</v>
      </c>
      <c r="FM503" s="214" t="s">
        <v>530</v>
      </c>
      <c r="FO503" s="321" t="s">
        <v>32768</v>
      </c>
      <c r="FP503" s="214" t="s">
        <v>145</v>
      </c>
      <c r="FQ503" s="214" t="s">
        <v>70</v>
      </c>
      <c r="FR503" s="214" t="s">
        <v>530</v>
      </c>
      <c r="FT503" s="321" t="s">
        <v>32769</v>
      </c>
      <c r="FU503" s="214" t="s">
        <v>146</v>
      </c>
      <c r="FV503" s="214" t="s">
        <v>70</v>
      </c>
      <c r="FW503" s="214" t="s">
        <v>530</v>
      </c>
      <c r="FY503" s="321" t="s">
        <v>32770</v>
      </c>
      <c r="FZ503" s="214" t="s">
        <v>955</v>
      </c>
      <c r="GA503" s="214" t="s">
        <v>70</v>
      </c>
      <c r="GB503" s="214" t="s">
        <v>530</v>
      </c>
      <c r="GD503" s="321" t="s">
        <v>32771</v>
      </c>
      <c r="GE503" s="214" t="s">
        <v>926</v>
      </c>
      <c r="GF503" s="214" t="s">
        <v>70</v>
      </c>
      <c r="GG503" s="214" t="s">
        <v>530</v>
      </c>
      <c r="GI503" s="321" t="s">
        <v>32772</v>
      </c>
      <c r="GJ503" s="214" t="s">
        <v>52</v>
      </c>
      <c r="GK503" s="214" t="s">
        <v>70</v>
      </c>
      <c r="GL503" s="214" t="s">
        <v>530</v>
      </c>
      <c r="GN503" s="321" t="s">
        <v>32773</v>
      </c>
      <c r="GO503" s="214" t="s">
        <v>599</v>
      </c>
      <c r="GP503" s="214" t="s">
        <v>70</v>
      </c>
      <c r="GQ503" s="214" t="s">
        <v>530</v>
      </c>
      <c r="GS503" s="321" t="s">
        <v>32774</v>
      </c>
      <c r="GT503" s="214" t="s">
        <v>34589</v>
      </c>
      <c r="GU503" s="214" t="s">
        <v>70</v>
      </c>
      <c r="GV503" s="214" t="s">
        <v>530</v>
      </c>
      <c r="GX503" s="214" t="s">
        <v>32775</v>
      </c>
      <c r="GY503" s="214" t="s">
        <v>488</v>
      </c>
      <c r="GZ503" s="214" t="s">
        <v>70</v>
      </c>
      <c r="HA503" s="214" t="s">
        <v>530</v>
      </c>
      <c r="HC503" s="214" t="s">
        <v>32776</v>
      </c>
      <c r="HD503" s="214" t="s">
        <v>34551</v>
      </c>
      <c r="HE503" s="214" t="s">
        <v>70</v>
      </c>
      <c r="HF503" s="214" t="s">
        <v>530</v>
      </c>
      <c r="HH503" s="214" t="s">
        <v>32777</v>
      </c>
      <c r="HI503" s="214" t="s">
        <v>145</v>
      </c>
      <c r="HJ503" s="214" t="s">
        <v>70</v>
      </c>
      <c r="HK503" s="214" t="s">
        <v>530</v>
      </c>
      <c r="HM503" s="214" t="s">
        <v>32778</v>
      </c>
      <c r="HN503" s="214" t="s">
        <v>496</v>
      </c>
      <c r="HO503" s="214" t="s">
        <v>70</v>
      </c>
      <c r="HP503" s="214" t="s">
        <v>530</v>
      </c>
      <c r="HR503" s="22" t="s">
        <v>32779</v>
      </c>
      <c r="HS503" s="22" t="s">
        <v>484</v>
      </c>
      <c r="HT503" s="22" t="s">
        <v>70</v>
      </c>
      <c r="HU503" s="214" t="s">
        <v>530</v>
      </c>
      <c r="HW503" s="22" t="s">
        <v>32780</v>
      </c>
      <c r="HX503" s="22" t="s">
        <v>34558</v>
      </c>
      <c r="HY503" s="22" t="s">
        <v>70</v>
      </c>
      <c r="HZ503" s="214" t="s">
        <v>530</v>
      </c>
      <c r="IB503" s="22" t="s">
        <v>32781</v>
      </c>
      <c r="IC503" s="22" t="s">
        <v>52</v>
      </c>
      <c r="ID503" s="22" t="s">
        <v>70</v>
      </c>
      <c r="IE503" s="214" t="s">
        <v>530</v>
      </c>
      <c r="IG503" s="22" t="s">
        <v>32782</v>
      </c>
      <c r="IH503" s="22" t="s">
        <v>52</v>
      </c>
      <c r="II503" s="22" t="s">
        <v>70</v>
      </c>
      <c r="IJ503" s="214" t="s">
        <v>530</v>
      </c>
      <c r="IL503" s="22" t="s">
        <v>32783</v>
      </c>
      <c r="IM503" s="22" t="s">
        <v>145</v>
      </c>
      <c r="IN503" s="22" t="s">
        <v>70</v>
      </c>
      <c r="IO503" s="214" t="s">
        <v>530</v>
      </c>
      <c r="IQ503" s="236" t="s">
        <v>32784</v>
      </c>
      <c r="IR503" s="236" t="s">
        <v>145</v>
      </c>
      <c r="IS503" s="236" t="s">
        <v>74</v>
      </c>
      <c r="IT503" s="236" t="s">
        <v>841</v>
      </c>
      <c r="IV503" s="236" t="s">
        <v>32785</v>
      </c>
      <c r="IW503" s="236" t="s">
        <v>145</v>
      </c>
      <c r="IX503" s="236" t="s">
        <v>74</v>
      </c>
      <c r="IY503" s="236" t="s">
        <v>841</v>
      </c>
      <c r="JA503" s="236" t="s">
        <v>32786</v>
      </c>
      <c r="JB503" s="236" t="s">
        <v>145</v>
      </c>
      <c r="JC503" s="236" t="s">
        <v>74</v>
      </c>
      <c r="JD503" s="236" t="s">
        <v>841</v>
      </c>
      <c r="JF503" s="236" t="s">
        <v>32787</v>
      </c>
      <c r="JG503" s="236" t="s">
        <v>145</v>
      </c>
      <c r="JH503" s="236" t="s">
        <v>74</v>
      </c>
      <c r="JI503" s="236" t="s">
        <v>841</v>
      </c>
      <c r="JK503" s="236" t="s">
        <v>32788</v>
      </c>
      <c r="JL503" s="236" t="s">
        <v>145</v>
      </c>
      <c r="JM503" s="236" t="s">
        <v>74</v>
      </c>
      <c r="JN503" s="236" t="s">
        <v>841</v>
      </c>
      <c r="JP503" s="236" t="s">
        <v>32789</v>
      </c>
      <c r="JQ503" s="236" t="s">
        <v>145</v>
      </c>
      <c r="JR503" s="236" t="s">
        <v>74</v>
      </c>
      <c r="JS503" s="236" t="s">
        <v>841</v>
      </c>
      <c r="JU503" s="294" t="s">
        <v>32790</v>
      </c>
      <c r="JV503" s="294" t="s">
        <v>52</v>
      </c>
      <c r="JW503" s="263" t="s">
        <v>70</v>
      </c>
      <c r="JX503" s="294" t="s">
        <v>1083</v>
      </c>
      <c r="JZ503" s="263" t="s">
        <v>32791</v>
      </c>
      <c r="KA503" s="263" t="s">
        <v>145</v>
      </c>
      <c r="KB503" s="263" t="s">
        <v>70</v>
      </c>
      <c r="KC503" s="263" t="s">
        <v>1083</v>
      </c>
      <c r="KE503" s="263" t="s">
        <v>32792</v>
      </c>
      <c r="KF503" s="263" t="s">
        <v>52</v>
      </c>
      <c r="KG503" s="263" t="s">
        <v>70</v>
      </c>
      <c r="KH503" s="263" t="s">
        <v>1083</v>
      </c>
      <c r="KJ503" s="263" t="s">
        <v>32793</v>
      </c>
      <c r="KK503" s="263" t="s">
        <v>52</v>
      </c>
      <c r="KL503" s="263" t="s">
        <v>74</v>
      </c>
      <c r="KM503" s="263" t="s">
        <v>34074</v>
      </c>
      <c r="KO503" s="214" t="s">
        <v>32794</v>
      </c>
      <c r="KP503" s="214" t="s">
        <v>145</v>
      </c>
      <c r="KQ503" s="214" t="s">
        <v>70</v>
      </c>
      <c r="KR503" s="214" t="s">
        <v>67</v>
      </c>
      <c r="KT503" s="22" t="s">
        <v>32795</v>
      </c>
      <c r="KU503" s="22" t="s">
        <v>145</v>
      </c>
      <c r="KV503" s="22" t="s">
        <v>70</v>
      </c>
      <c r="KW503" s="22" t="s">
        <v>67</v>
      </c>
      <c r="KY503" s="214" t="s">
        <v>32796</v>
      </c>
      <c r="KZ503" s="214" t="s">
        <v>52</v>
      </c>
      <c r="LA503" s="214" t="s">
        <v>74</v>
      </c>
      <c r="LB503" s="214" t="s">
        <v>67</v>
      </c>
      <c r="LD503" s="22" t="s">
        <v>32797</v>
      </c>
      <c r="LE503" s="22" t="s">
        <v>145</v>
      </c>
      <c r="LF503" s="22" t="s">
        <v>70</v>
      </c>
      <c r="LG503" s="22" t="s">
        <v>67</v>
      </c>
    </row>
    <row r="504" spans="1:319">
      <c r="A504" s="22" t="s">
        <v>32798</v>
      </c>
      <c r="B504" s="22" t="s">
        <v>145</v>
      </c>
      <c r="C504" s="22" t="s">
        <v>70</v>
      </c>
      <c r="D504" s="22" t="s">
        <v>67</v>
      </c>
      <c r="F504" s="72" t="s">
        <v>32799</v>
      </c>
      <c r="G504" s="22" t="s">
        <v>145</v>
      </c>
      <c r="H504" s="22" t="s">
        <v>70</v>
      </c>
      <c r="I504" s="22" t="s">
        <v>67</v>
      </c>
      <c r="K504" s="99" t="s">
        <v>32800</v>
      </c>
      <c r="L504" s="22" t="s">
        <v>145</v>
      </c>
      <c r="M504" s="22" t="s">
        <v>70</v>
      </c>
      <c r="N504" s="22" t="s">
        <v>67</v>
      </c>
      <c r="P504" s="99" t="s">
        <v>32801</v>
      </c>
      <c r="Q504" s="22" t="s">
        <v>145</v>
      </c>
      <c r="R504" s="22" t="s">
        <v>70</v>
      </c>
      <c r="S504" s="22" t="s">
        <v>67</v>
      </c>
      <c r="U504" s="293" t="s">
        <v>32802</v>
      </c>
      <c r="V504" s="293" t="s">
        <v>145</v>
      </c>
      <c r="W504" s="293" t="s">
        <v>74</v>
      </c>
      <c r="X504" s="293" t="s">
        <v>656</v>
      </c>
      <c r="Z504" s="293" t="s">
        <v>32803</v>
      </c>
      <c r="AA504" s="293" t="s">
        <v>145</v>
      </c>
      <c r="AB504" s="293" t="s">
        <v>74</v>
      </c>
      <c r="AC504" s="293" t="s">
        <v>656</v>
      </c>
      <c r="AE504" s="293" t="s">
        <v>32804</v>
      </c>
      <c r="AF504" s="293" t="s">
        <v>145</v>
      </c>
      <c r="AG504" s="293" t="s">
        <v>74</v>
      </c>
      <c r="AH504" s="293" t="s">
        <v>656</v>
      </c>
      <c r="AJ504" s="293" t="s">
        <v>32805</v>
      </c>
      <c r="AK504" s="293" t="s">
        <v>145</v>
      </c>
      <c r="AL504" s="293" t="s">
        <v>74</v>
      </c>
      <c r="AM504" s="293" t="s">
        <v>656</v>
      </c>
      <c r="AO504" s="22" t="s">
        <v>32806</v>
      </c>
      <c r="AP504" s="22" t="s">
        <v>145</v>
      </c>
      <c r="AQ504" s="22" t="s">
        <v>70</v>
      </c>
      <c r="AR504" s="22" t="s">
        <v>67</v>
      </c>
      <c r="AT504" s="22" t="s">
        <v>32807</v>
      </c>
      <c r="AU504" s="22" t="s">
        <v>145</v>
      </c>
      <c r="AV504" s="22" t="s">
        <v>70</v>
      </c>
      <c r="AW504" s="22" t="s">
        <v>67</v>
      </c>
      <c r="AY504" s="22" t="s">
        <v>32808</v>
      </c>
      <c r="AZ504" s="22" t="s">
        <v>145</v>
      </c>
      <c r="BA504" s="22" t="s">
        <v>70</v>
      </c>
      <c r="BB504" s="22" t="s">
        <v>67</v>
      </c>
      <c r="BD504" s="22" t="s">
        <v>32809</v>
      </c>
      <c r="BE504" s="22" t="s">
        <v>145</v>
      </c>
      <c r="BF504" s="22" t="s">
        <v>70</v>
      </c>
      <c r="BG504" s="22" t="s">
        <v>67</v>
      </c>
      <c r="BI504" s="22" t="s">
        <v>32810</v>
      </c>
      <c r="BJ504" s="22" t="s">
        <v>145</v>
      </c>
      <c r="BK504" s="22" t="s">
        <v>70</v>
      </c>
      <c r="BL504" s="22" t="s">
        <v>67</v>
      </c>
      <c r="BN504" s="22" t="s">
        <v>32811</v>
      </c>
      <c r="BO504" s="22" t="s">
        <v>145</v>
      </c>
      <c r="BP504" s="22" t="s">
        <v>70</v>
      </c>
      <c r="BQ504" s="22" t="s">
        <v>67</v>
      </c>
      <c r="BS504" s="22" t="s">
        <v>32812</v>
      </c>
      <c r="BT504" s="22" t="s">
        <v>145</v>
      </c>
      <c r="BU504" s="22" t="s">
        <v>70</v>
      </c>
      <c r="BV504" s="214" t="s">
        <v>530</v>
      </c>
      <c r="BX504" s="22" t="s">
        <v>32813</v>
      </c>
      <c r="BY504" s="22" t="s">
        <v>145</v>
      </c>
      <c r="BZ504" s="22" t="s">
        <v>70</v>
      </c>
      <c r="CA504" s="214" t="s">
        <v>530</v>
      </c>
      <c r="CC504" s="214" t="s">
        <v>32814</v>
      </c>
      <c r="CD504" s="214" t="s">
        <v>52</v>
      </c>
      <c r="CE504" s="214" t="s">
        <v>70</v>
      </c>
      <c r="CF504" s="214" t="s">
        <v>530</v>
      </c>
      <c r="CH504" s="214" t="s">
        <v>32815</v>
      </c>
      <c r="CI504" s="214" t="s">
        <v>164</v>
      </c>
      <c r="CJ504" s="214" t="s">
        <v>70</v>
      </c>
      <c r="CK504" s="214" t="s">
        <v>530</v>
      </c>
      <c r="CM504" s="214" t="s">
        <v>32816</v>
      </c>
      <c r="CN504" s="214" t="s">
        <v>34471</v>
      </c>
      <c r="CO504" s="214" t="s">
        <v>70</v>
      </c>
      <c r="CP504" s="214" t="s">
        <v>530</v>
      </c>
      <c r="CR504" s="214" t="s">
        <v>32817</v>
      </c>
      <c r="CS504" s="214" t="s">
        <v>163</v>
      </c>
      <c r="CT504" s="214" t="s">
        <v>70</v>
      </c>
      <c r="CU504" s="214" t="s">
        <v>530</v>
      </c>
      <c r="CW504" s="214" t="s">
        <v>32818</v>
      </c>
      <c r="CX504" s="214" t="s">
        <v>148</v>
      </c>
      <c r="CY504" s="214" t="s">
        <v>70</v>
      </c>
      <c r="CZ504" s="214" t="s">
        <v>530</v>
      </c>
      <c r="DB504" s="214" t="s">
        <v>32819</v>
      </c>
      <c r="DC504" s="214" t="s">
        <v>34570</v>
      </c>
      <c r="DD504" s="214" t="s">
        <v>70</v>
      </c>
      <c r="DE504" s="214" t="s">
        <v>530</v>
      </c>
      <c r="DG504" s="214" t="s">
        <v>32820</v>
      </c>
      <c r="DH504" s="214" t="s">
        <v>286</v>
      </c>
      <c r="DI504" s="214" t="s">
        <v>70</v>
      </c>
      <c r="DJ504" s="214" t="s">
        <v>530</v>
      </c>
      <c r="DL504" s="214" t="s">
        <v>32821</v>
      </c>
      <c r="DM504" s="214" t="s">
        <v>34586</v>
      </c>
      <c r="DN504" s="214" t="s">
        <v>70</v>
      </c>
      <c r="DO504" s="214" t="s">
        <v>530</v>
      </c>
      <c r="DQ504" s="214" t="s">
        <v>32822</v>
      </c>
      <c r="DR504" s="214" t="s">
        <v>34583</v>
      </c>
      <c r="DS504" s="214" t="s">
        <v>70</v>
      </c>
      <c r="DT504" s="214" t="s">
        <v>530</v>
      </c>
      <c r="DV504" s="214" t="s">
        <v>32823</v>
      </c>
      <c r="DW504" s="214" t="s">
        <v>146</v>
      </c>
      <c r="DX504" s="214" t="s">
        <v>70</v>
      </c>
      <c r="DY504" s="214" t="s">
        <v>530</v>
      </c>
      <c r="EA504" s="214" t="s">
        <v>32824</v>
      </c>
      <c r="EB504" s="214" t="s">
        <v>52</v>
      </c>
      <c r="EC504" s="214" t="s">
        <v>70</v>
      </c>
      <c r="ED504" s="214" t="s">
        <v>530</v>
      </c>
      <c r="EF504" s="214" t="s">
        <v>32825</v>
      </c>
      <c r="EG504" s="214" t="s">
        <v>52</v>
      </c>
      <c r="EH504" s="214" t="s">
        <v>70</v>
      </c>
      <c r="EI504" s="214" t="s">
        <v>530</v>
      </c>
      <c r="EK504" s="214" t="s">
        <v>32826</v>
      </c>
      <c r="EL504" s="214" t="s">
        <v>148</v>
      </c>
      <c r="EM504" s="214" t="s">
        <v>70</v>
      </c>
      <c r="EN504" s="214" t="s">
        <v>530</v>
      </c>
      <c r="EP504" s="214" t="s">
        <v>32827</v>
      </c>
      <c r="EQ504" s="214" t="s">
        <v>87</v>
      </c>
      <c r="ER504" s="214" t="s">
        <v>70</v>
      </c>
      <c r="ES504" s="214" t="s">
        <v>530</v>
      </c>
      <c r="EU504" s="214" t="s">
        <v>32828</v>
      </c>
      <c r="EV504" s="214" t="s">
        <v>288</v>
      </c>
      <c r="EW504" s="214" t="s">
        <v>70</v>
      </c>
      <c r="EX504" s="214" t="s">
        <v>530</v>
      </c>
      <c r="EZ504" s="214" t="s">
        <v>32829</v>
      </c>
      <c r="FA504" s="214" t="s">
        <v>89</v>
      </c>
      <c r="FB504" s="214" t="s">
        <v>70</v>
      </c>
      <c r="FC504" s="214" t="s">
        <v>530</v>
      </c>
      <c r="FE504" s="214" t="s">
        <v>32830</v>
      </c>
      <c r="FF504" s="214" t="s">
        <v>483</v>
      </c>
      <c r="FG504" s="214" t="s">
        <v>70</v>
      </c>
      <c r="FH504" s="214" t="s">
        <v>530</v>
      </c>
      <c r="FJ504" s="321" t="s">
        <v>32831</v>
      </c>
      <c r="FK504" s="214" t="s">
        <v>163</v>
      </c>
      <c r="FL504" s="214" t="s">
        <v>70</v>
      </c>
      <c r="FM504" s="214" t="s">
        <v>530</v>
      </c>
      <c r="FO504" s="321" t="s">
        <v>32832</v>
      </c>
      <c r="FP504" s="214" t="s">
        <v>34570</v>
      </c>
      <c r="FQ504" s="214" t="s">
        <v>70</v>
      </c>
      <c r="FR504" s="214" t="s">
        <v>530</v>
      </c>
      <c r="FT504" s="321" t="s">
        <v>32833</v>
      </c>
      <c r="FU504" s="214" t="s">
        <v>52</v>
      </c>
      <c r="FV504" s="214" t="s">
        <v>70</v>
      </c>
      <c r="FW504" s="214" t="s">
        <v>530</v>
      </c>
      <c r="FY504" s="321" t="s">
        <v>32834</v>
      </c>
      <c r="FZ504" s="214" t="s">
        <v>145</v>
      </c>
      <c r="GA504" s="214" t="s">
        <v>70</v>
      </c>
      <c r="GB504" s="214" t="s">
        <v>530</v>
      </c>
      <c r="GD504" s="321" t="s">
        <v>32835</v>
      </c>
      <c r="GE504" s="214" t="s">
        <v>52</v>
      </c>
      <c r="GF504" s="214" t="s">
        <v>70</v>
      </c>
      <c r="GG504" s="214" t="s">
        <v>530</v>
      </c>
      <c r="GI504" s="321" t="s">
        <v>32836</v>
      </c>
      <c r="GJ504" s="214" t="s">
        <v>34657</v>
      </c>
      <c r="GK504" s="214" t="s">
        <v>70</v>
      </c>
      <c r="GL504" s="214" t="s">
        <v>530</v>
      </c>
      <c r="GN504" s="321" t="s">
        <v>32837</v>
      </c>
      <c r="GO504" s="214" t="s">
        <v>148</v>
      </c>
      <c r="GP504" s="214" t="s">
        <v>70</v>
      </c>
      <c r="GQ504" s="214" t="s">
        <v>530</v>
      </c>
      <c r="GS504" s="321" t="s">
        <v>32838</v>
      </c>
      <c r="GT504" s="214" t="s">
        <v>10541</v>
      </c>
      <c r="GU504" s="214" t="s">
        <v>70</v>
      </c>
      <c r="GV504" s="214" t="s">
        <v>530</v>
      </c>
      <c r="GX504" s="214" t="s">
        <v>32839</v>
      </c>
      <c r="GY504" s="214" t="s">
        <v>92</v>
      </c>
      <c r="GZ504" s="214" t="s">
        <v>70</v>
      </c>
      <c r="HA504" s="214" t="s">
        <v>530</v>
      </c>
      <c r="HC504" s="214" t="s">
        <v>32840</v>
      </c>
      <c r="HD504" s="214" t="s">
        <v>905</v>
      </c>
      <c r="HE504" s="214" t="s">
        <v>70</v>
      </c>
      <c r="HF504" s="214" t="s">
        <v>530</v>
      </c>
      <c r="HH504" s="214" t="s">
        <v>32841</v>
      </c>
      <c r="HI504" s="214" t="s">
        <v>933</v>
      </c>
      <c r="HJ504" s="214" t="s">
        <v>70</v>
      </c>
      <c r="HK504" s="214" t="s">
        <v>530</v>
      </c>
      <c r="HM504" s="214" t="s">
        <v>32842</v>
      </c>
      <c r="HN504" s="214" t="s">
        <v>163</v>
      </c>
      <c r="HO504" s="214" t="s">
        <v>70</v>
      </c>
      <c r="HP504" s="214" t="s">
        <v>530</v>
      </c>
      <c r="HR504" s="22" t="s">
        <v>32843</v>
      </c>
      <c r="HS504" s="22" t="s">
        <v>90</v>
      </c>
      <c r="HT504" s="22" t="s">
        <v>70</v>
      </c>
      <c r="HU504" s="214" t="s">
        <v>530</v>
      </c>
      <c r="HW504" s="22" t="s">
        <v>32844</v>
      </c>
      <c r="HX504" s="22" t="s">
        <v>52</v>
      </c>
      <c r="HY504" s="22" t="s">
        <v>70</v>
      </c>
      <c r="HZ504" s="214" t="s">
        <v>530</v>
      </c>
      <c r="IB504" s="22" t="s">
        <v>32845</v>
      </c>
      <c r="IC504" s="22" t="s">
        <v>34405</v>
      </c>
      <c r="ID504" s="22" t="s">
        <v>70</v>
      </c>
      <c r="IE504" s="214" t="s">
        <v>530</v>
      </c>
      <c r="IG504" s="22" t="s">
        <v>32846</v>
      </c>
      <c r="IH504" s="22" t="s">
        <v>52</v>
      </c>
      <c r="II504" s="22" t="s">
        <v>70</v>
      </c>
      <c r="IJ504" s="214" t="s">
        <v>530</v>
      </c>
      <c r="IL504" s="22" t="s">
        <v>32847</v>
      </c>
      <c r="IM504" s="22" t="s">
        <v>145</v>
      </c>
      <c r="IN504" s="22" t="s">
        <v>70</v>
      </c>
      <c r="IO504" s="214" t="s">
        <v>530</v>
      </c>
      <c r="IQ504" s="236" t="s">
        <v>32848</v>
      </c>
      <c r="IR504" s="236" t="s">
        <v>145</v>
      </c>
      <c r="IS504" s="236" t="s">
        <v>74</v>
      </c>
      <c r="IT504" s="236" t="s">
        <v>841</v>
      </c>
      <c r="IV504" s="236" t="s">
        <v>32849</v>
      </c>
      <c r="IW504" s="236" t="s">
        <v>145</v>
      </c>
      <c r="IX504" s="236" t="s">
        <v>74</v>
      </c>
      <c r="IY504" s="236" t="s">
        <v>841</v>
      </c>
      <c r="JA504" s="236" t="s">
        <v>32850</v>
      </c>
      <c r="JB504" s="236" t="s">
        <v>145</v>
      </c>
      <c r="JC504" s="236" t="s">
        <v>74</v>
      </c>
      <c r="JD504" s="236" t="s">
        <v>841</v>
      </c>
      <c r="JF504" s="236" t="s">
        <v>32851</v>
      </c>
      <c r="JG504" s="236" t="s">
        <v>145</v>
      </c>
      <c r="JH504" s="236" t="s">
        <v>74</v>
      </c>
      <c r="JI504" s="236" t="s">
        <v>841</v>
      </c>
      <c r="JK504" s="236" t="s">
        <v>32852</v>
      </c>
      <c r="JL504" s="236" t="s">
        <v>145</v>
      </c>
      <c r="JM504" s="236" t="s">
        <v>74</v>
      </c>
      <c r="JN504" s="236" t="s">
        <v>841</v>
      </c>
      <c r="JP504" s="236" t="s">
        <v>32853</v>
      </c>
      <c r="JQ504" s="236" t="s">
        <v>145</v>
      </c>
      <c r="JR504" s="236" t="s">
        <v>74</v>
      </c>
      <c r="JS504" s="236" t="s">
        <v>841</v>
      </c>
      <c r="JU504" s="294" t="s">
        <v>32854</v>
      </c>
      <c r="JV504" s="294" t="s">
        <v>52</v>
      </c>
      <c r="JW504" s="263" t="s">
        <v>70</v>
      </c>
      <c r="JX504" s="294" t="s">
        <v>1083</v>
      </c>
      <c r="JZ504" s="263" t="s">
        <v>32855</v>
      </c>
      <c r="KA504" s="263" t="s">
        <v>145</v>
      </c>
      <c r="KB504" s="263" t="s">
        <v>70</v>
      </c>
      <c r="KC504" s="263" t="s">
        <v>1083</v>
      </c>
      <c r="KE504" s="263" t="s">
        <v>32856</v>
      </c>
      <c r="KF504" s="263" t="s">
        <v>52</v>
      </c>
      <c r="KG504" s="263" t="s">
        <v>70</v>
      </c>
      <c r="KH504" s="263" t="s">
        <v>1083</v>
      </c>
      <c r="KJ504" s="263" t="s">
        <v>32857</v>
      </c>
      <c r="KK504" s="263" t="s">
        <v>52</v>
      </c>
      <c r="KL504" s="263" t="s">
        <v>74</v>
      </c>
      <c r="KM504" s="263" t="s">
        <v>34074</v>
      </c>
      <c r="KO504" s="214" t="s">
        <v>32858</v>
      </c>
      <c r="KP504" s="214" t="s">
        <v>145</v>
      </c>
      <c r="KQ504" s="214" t="s">
        <v>70</v>
      </c>
      <c r="KR504" s="214" t="s">
        <v>67</v>
      </c>
      <c r="KT504" s="22" t="s">
        <v>32859</v>
      </c>
      <c r="KU504" s="22" t="s">
        <v>145</v>
      </c>
      <c r="KV504" s="22" t="s">
        <v>70</v>
      </c>
      <c r="KW504" s="22" t="s">
        <v>67</v>
      </c>
      <c r="KY504" s="214" t="s">
        <v>32860</v>
      </c>
      <c r="KZ504" s="214" t="s">
        <v>52</v>
      </c>
      <c r="LA504" s="214" t="s">
        <v>74</v>
      </c>
      <c r="LB504" s="214" t="s">
        <v>67</v>
      </c>
      <c r="LD504" s="22" t="s">
        <v>32861</v>
      </c>
      <c r="LE504" s="22" t="s">
        <v>145</v>
      </c>
      <c r="LF504" s="22" t="s">
        <v>70</v>
      </c>
      <c r="LG504" s="22" t="s">
        <v>67</v>
      </c>
    </row>
    <row r="505" spans="1:319">
      <c r="A505" s="22" t="s">
        <v>32862</v>
      </c>
      <c r="B505" s="22" t="s">
        <v>145</v>
      </c>
      <c r="C505" s="22" t="s">
        <v>70</v>
      </c>
      <c r="D505" s="22" t="s">
        <v>67</v>
      </c>
      <c r="F505" s="72" t="s">
        <v>32863</v>
      </c>
      <c r="G505" s="22" t="s">
        <v>145</v>
      </c>
      <c r="H505" s="22" t="s">
        <v>70</v>
      </c>
      <c r="I505" s="22" t="s">
        <v>67</v>
      </c>
      <c r="K505" s="99" t="s">
        <v>32864</v>
      </c>
      <c r="L505" s="22" t="s">
        <v>145</v>
      </c>
      <c r="M505" s="22" t="s">
        <v>70</v>
      </c>
      <c r="N505" s="22" t="s">
        <v>67</v>
      </c>
      <c r="P505" s="99" t="s">
        <v>32865</v>
      </c>
      <c r="Q505" s="22" t="s">
        <v>145</v>
      </c>
      <c r="R505" s="22" t="s">
        <v>70</v>
      </c>
      <c r="S505" s="22" t="s">
        <v>67</v>
      </c>
      <c r="U505" s="293" t="s">
        <v>32866</v>
      </c>
      <c r="V505" s="293" t="s">
        <v>145</v>
      </c>
      <c r="W505" s="293" t="s">
        <v>74</v>
      </c>
      <c r="X505" s="293" t="s">
        <v>656</v>
      </c>
      <c r="Z505" s="293" t="s">
        <v>32867</v>
      </c>
      <c r="AA505" s="293" t="s">
        <v>145</v>
      </c>
      <c r="AB505" s="293" t="s">
        <v>74</v>
      </c>
      <c r="AC505" s="293" t="s">
        <v>656</v>
      </c>
      <c r="AE505" s="293" t="s">
        <v>32868</v>
      </c>
      <c r="AF505" s="293" t="s">
        <v>145</v>
      </c>
      <c r="AG505" s="293" t="s">
        <v>74</v>
      </c>
      <c r="AH505" s="293" t="s">
        <v>656</v>
      </c>
      <c r="AJ505" s="293" t="s">
        <v>32869</v>
      </c>
      <c r="AK505" s="293" t="s">
        <v>145</v>
      </c>
      <c r="AL505" s="293" t="s">
        <v>74</v>
      </c>
      <c r="AM505" s="293" t="s">
        <v>656</v>
      </c>
      <c r="AO505" s="22" t="s">
        <v>32870</v>
      </c>
      <c r="AP505" s="22" t="s">
        <v>145</v>
      </c>
      <c r="AQ505" s="22" t="s">
        <v>70</v>
      </c>
      <c r="AR505" s="22" t="s">
        <v>67</v>
      </c>
      <c r="AT505" s="22" t="s">
        <v>32871</v>
      </c>
      <c r="AU505" s="22" t="s">
        <v>145</v>
      </c>
      <c r="AV505" s="22" t="s">
        <v>70</v>
      </c>
      <c r="AW505" s="22" t="s">
        <v>67</v>
      </c>
      <c r="AY505" s="22" t="s">
        <v>32872</v>
      </c>
      <c r="AZ505" s="22" t="s">
        <v>145</v>
      </c>
      <c r="BA505" s="22" t="s">
        <v>70</v>
      </c>
      <c r="BB505" s="22" t="s">
        <v>67</v>
      </c>
      <c r="BD505" s="22" t="s">
        <v>32873</v>
      </c>
      <c r="BE505" s="22" t="s">
        <v>145</v>
      </c>
      <c r="BF505" s="22" t="s">
        <v>70</v>
      </c>
      <c r="BG505" s="22" t="s">
        <v>67</v>
      </c>
      <c r="BI505" s="22" t="s">
        <v>32874</v>
      </c>
      <c r="BJ505" s="22" t="s">
        <v>145</v>
      </c>
      <c r="BK505" s="22" t="s">
        <v>70</v>
      </c>
      <c r="BL505" s="22" t="s">
        <v>67</v>
      </c>
      <c r="BN505" s="22" t="s">
        <v>32875</v>
      </c>
      <c r="BO505" s="22" t="s">
        <v>145</v>
      </c>
      <c r="BP505" s="22" t="s">
        <v>70</v>
      </c>
      <c r="BQ505" s="22" t="s">
        <v>67</v>
      </c>
      <c r="BS505" s="22" t="s">
        <v>32876</v>
      </c>
      <c r="BT505" s="22" t="s">
        <v>145</v>
      </c>
      <c r="BU505" s="22" t="s">
        <v>70</v>
      </c>
      <c r="BV505" s="214" t="s">
        <v>530</v>
      </c>
      <c r="BX505" s="22" t="s">
        <v>32877</v>
      </c>
      <c r="BY505" s="22" t="s">
        <v>145</v>
      </c>
      <c r="BZ505" s="22" t="s">
        <v>70</v>
      </c>
      <c r="CA505" s="214" t="s">
        <v>530</v>
      </c>
      <c r="CC505" s="214" t="s">
        <v>32878</v>
      </c>
      <c r="CD505" s="214" t="s">
        <v>203</v>
      </c>
      <c r="CE505" s="214" t="s">
        <v>70</v>
      </c>
      <c r="CF505" s="214" t="s">
        <v>530</v>
      </c>
      <c r="CH505" s="214" t="s">
        <v>32879</v>
      </c>
      <c r="CI505" s="214" t="s">
        <v>34565</v>
      </c>
      <c r="CJ505" s="214" t="s">
        <v>70</v>
      </c>
      <c r="CK505" s="214" t="s">
        <v>530</v>
      </c>
      <c r="CM505" s="214" t="s">
        <v>32880</v>
      </c>
      <c r="CN505" s="214" t="s">
        <v>34543</v>
      </c>
      <c r="CO505" s="214" t="s">
        <v>70</v>
      </c>
      <c r="CP505" s="214" t="s">
        <v>530</v>
      </c>
      <c r="CR505" s="214" t="s">
        <v>32881</v>
      </c>
      <c r="CS505" s="214" t="s">
        <v>484</v>
      </c>
      <c r="CT505" s="214" t="s">
        <v>70</v>
      </c>
      <c r="CU505" s="214" t="s">
        <v>530</v>
      </c>
      <c r="CW505" s="214" t="s">
        <v>32882</v>
      </c>
      <c r="CX505" s="214" t="s">
        <v>52</v>
      </c>
      <c r="CY505" s="214" t="s">
        <v>70</v>
      </c>
      <c r="CZ505" s="214" t="s">
        <v>530</v>
      </c>
      <c r="DB505" s="214" t="s">
        <v>32883</v>
      </c>
      <c r="DC505" s="214" t="s">
        <v>491</v>
      </c>
      <c r="DD505" s="214" t="s">
        <v>70</v>
      </c>
      <c r="DE505" s="214" t="s">
        <v>530</v>
      </c>
      <c r="DG505" s="214" t="s">
        <v>32884</v>
      </c>
      <c r="DH505" s="214" t="s">
        <v>34558</v>
      </c>
      <c r="DI505" s="214" t="s">
        <v>70</v>
      </c>
      <c r="DJ505" s="214" t="s">
        <v>530</v>
      </c>
      <c r="DL505" s="214" t="s">
        <v>32885</v>
      </c>
      <c r="DM505" s="214" t="s">
        <v>491</v>
      </c>
      <c r="DN505" s="214" t="s">
        <v>70</v>
      </c>
      <c r="DO505" s="214" t="s">
        <v>530</v>
      </c>
      <c r="DQ505" s="214" t="s">
        <v>32886</v>
      </c>
      <c r="DR505" s="214" t="s">
        <v>146</v>
      </c>
      <c r="DS505" s="214" t="s">
        <v>70</v>
      </c>
      <c r="DT505" s="214" t="s">
        <v>530</v>
      </c>
      <c r="DV505" s="214" t="s">
        <v>32887</v>
      </c>
      <c r="DW505" s="214" t="s">
        <v>93</v>
      </c>
      <c r="DX505" s="214" t="s">
        <v>70</v>
      </c>
      <c r="DY505" s="214" t="s">
        <v>530</v>
      </c>
      <c r="EA505" s="214" t="s">
        <v>32888</v>
      </c>
      <c r="EB505" s="214" t="s">
        <v>919</v>
      </c>
      <c r="EC505" s="214" t="s">
        <v>70</v>
      </c>
      <c r="ED505" s="214" t="s">
        <v>530</v>
      </c>
      <c r="EF505" s="214" t="s">
        <v>32889</v>
      </c>
      <c r="EG505" s="214" t="s">
        <v>34542</v>
      </c>
      <c r="EH505" s="214" t="s">
        <v>70</v>
      </c>
      <c r="EI505" s="214" t="s">
        <v>530</v>
      </c>
      <c r="EK505" s="214" t="s">
        <v>32890</v>
      </c>
      <c r="EL505" s="214" t="s">
        <v>956</v>
      </c>
      <c r="EM505" s="214" t="s">
        <v>70</v>
      </c>
      <c r="EN505" s="214" t="s">
        <v>530</v>
      </c>
      <c r="EP505" s="214" t="s">
        <v>32891</v>
      </c>
      <c r="EQ505" s="214" t="s">
        <v>52</v>
      </c>
      <c r="ER505" s="214" t="s">
        <v>70</v>
      </c>
      <c r="ES505" s="214" t="s">
        <v>530</v>
      </c>
      <c r="EU505" s="214" t="s">
        <v>32892</v>
      </c>
      <c r="EV505" s="214" t="s">
        <v>34555</v>
      </c>
      <c r="EW505" s="214" t="s">
        <v>70</v>
      </c>
      <c r="EX505" s="214" t="s">
        <v>530</v>
      </c>
      <c r="EZ505" s="214" t="s">
        <v>32893</v>
      </c>
      <c r="FA505" s="214" t="s">
        <v>34542</v>
      </c>
      <c r="FB505" s="214" t="s">
        <v>70</v>
      </c>
      <c r="FC505" s="214" t="s">
        <v>530</v>
      </c>
      <c r="FE505" s="214" t="s">
        <v>32894</v>
      </c>
      <c r="FF505" s="214" t="s">
        <v>34557</v>
      </c>
      <c r="FG505" s="214" t="s">
        <v>70</v>
      </c>
      <c r="FH505" s="214" t="s">
        <v>530</v>
      </c>
      <c r="FJ505" s="321" t="s">
        <v>32895</v>
      </c>
      <c r="FK505" s="214" t="s">
        <v>485</v>
      </c>
      <c r="FL505" s="214" t="s">
        <v>70</v>
      </c>
      <c r="FM505" s="214" t="s">
        <v>530</v>
      </c>
      <c r="FO505" s="321" t="s">
        <v>32896</v>
      </c>
      <c r="FP505" s="214" t="s">
        <v>34543</v>
      </c>
      <c r="FQ505" s="214" t="s">
        <v>70</v>
      </c>
      <c r="FR505" s="214" t="s">
        <v>530</v>
      </c>
      <c r="FT505" s="321" t="s">
        <v>32897</v>
      </c>
      <c r="FU505" s="214" t="s">
        <v>146</v>
      </c>
      <c r="FV505" s="214" t="s">
        <v>70</v>
      </c>
      <c r="FW505" s="214" t="s">
        <v>530</v>
      </c>
      <c r="FY505" s="321" t="s">
        <v>32898</v>
      </c>
      <c r="FZ505" s="214" t="s">
        <v>34541</v>
      </c>
      <c r="GA505" s="214" t="s">
        <v>70</v>
      </c>
      <c r="GB505" s="214" t="s">
        <v>530</v>
      </c>
      <c r="GD505" s="321" t="s">
        <v>32899</v>
      </c>
      <c r="GE505" s="214" t="s">
        <v>944</v>
      </c>
      <c r="GF505" s="214" t="s">
        <v>70</v>
      </c>
      <c r="GG505" s="214" t="s">
        <v>530</v>
      </c>
      <c r="GI505" s="321" t="s">
        <v>32900</v>
      </c>
      <c r="GJ505" s="214" t="s">
        <v>927</v>
      </c>
      <c r="GK505" s="214" t="s">
        <v>70</v>
      </c>
      <c r="GL505" s="214" t="s">
        <v>530</v>
      </c>
      <c r="GN505" s="321" t="s">
        <v>32901</v>
      </c>
      <c r="GO505" s="214" t="s">
        <v>502</v>
      </c>
      <c r="GP505" s="214" t="s">
        <v>70</v>
      </c>
      <c r="GQ505" s="214" t="s">
        <v>530</v>
      </c>
      <c r="GS505" s="321" t="s">
        <v>32902</v>
      </c>
      <c r="GT505" s="214" t="s">
        <v>955</v>
      </c>
      <c r="GU505" s="214" t="s">
        <v>70</v>
      </c>
      <c r="GV505" s="214" t="s">
        <v>530</v>
      </c>
      <c r="GX505" s="214" t="s">
        <v>32903</v>
      </c>
      <c r="GY505" s="214" t="s">
        <v>484</v>
      </c>
      <c r="GZ505" s="214" t="s">
        <v>70</v>
      </c>
      <c r="HA505" s="214" t="s">
        <v>530</v>
      </c>
      <c r="HC505" s="214" t="s">
        <v>32904</v>
      </c>
      <c r="HD505" s="214" t="s">
        <v>502</v>
      </c>
      <c r="HE505" s="214" t="s">
        <v>70</v>
      </c>
      <c r="HF505" s="214" t="s">
        <v>530</v>
      </c>
      <c r="HH505" s="214" t="s">
        <v>32905</v>
      </c>
      <c r="HI505" s="214" t="s">
        <v>502</v>
      </c>
      <c r="HJ505" s="214" t="s">
        <v>70</v>
      </c>
      <c r="HK505" s="214" t="s">
        <v>530</v>
      </c>
      <c r="HM505" s="214" t="s">
        <v>32906</v>
      </c>
      <c r="HN505" s="214" t="s">
        <v>484</v>
      </c>
      <c r="HO505" s="214" t="s">
        <v>70</v>
      </c>
      <c r="HP505" s="214" t="s">
        <v>530</v>
      </c>
      <c r="HR505" s="22" t="s">
        <v>32907</v>
      </c>
      <c r="HS505" s="22" t="s">
        <v>487</v>
      </c>
      <c r="HT505" s="22" t="s">
        <v>70</v>
      </c>
      <c r="HU505" s="214" t="s">
        <v>530</v>
      </c>
      <c r="HW505" s="22" t="s">
        <v>32908</v>
      </c>
      <c r="HX505" s="22" t="s">
        <v>497</v>
      </c>
      <c r="HY505" s="22" t="s">
        <v>70</v>
      </c>
      <c r="HZ505" s="214" t="s">
        <v>530</v>
      </c>
      <c r="IB505" s="22" t="s">
        <v>32909</v>
      </c>
      <c r="IC505" s="22" t="s">
        <v>34541</v>
      </c>
      <c r="ID505" s="22" t="s">
        <v>70</v>
      </c>
      <c r="IE505" s="214" t="s">
        <v>530</v>
      </c>
      <c r="IG505" s="22" t="s">
        <v>32910</v>
      </c>
      <c r="IH505" s="22" t="s">
        <v>52</v>
      </c>
      <c r="II505" s="22" t="s">
        <v>70</v>
      </c>
      <c r="IJ505" s="214" t="s">
        <v>530</v>
      </c>
      <c r="IL505" s="22" t="s">
        <v>32911</v>
      </c>
      <c r="IM505" s="22" t="s">
        <v>145</v>
      </c>
      <c r="IN505" s="22" t="s">
        <v>70</v>
      </c>
      <c r="IO505" s="214" t="s">
        <v>530</v>
      </c>
      <c r="IQ505" s="236" t="s">
        <v>32912</v>
      </c>
      <c r="IR505" s="236" t="s">
        <v>145</v>
      </c>
      <c r="IS505" s="236" t="s">
        <v>74</v>
      </c>
      <c r="IT505" s="236" t="s">
        <v>841</v>
      </c>
      <c r="IV505" s="236" t="s">
        <v>32913</v>
      </c>
      <c r="IW505" s="236" t="s">
        <v>145</v>
      </c>
      <c r="IX505" s="236" t="s">
        <v>74</v>
      </c>
      <c r="IY505" s="236" t="s">
        <v>841</v>
      </c>
      <c r="JA505" s="236" t="s">
        <v>32914</v>
      </c>
      <c r="JB505" s="236" t="s">
        <v>145</v>
      </c>
      <c r="JC505" s="236" t="s">
        <v>74</v>
      </c>
      <c r="JD505" s="236" t="s">
        <v>841</v>
      </c>
      <c r="JF505" s="236" t="s">
        <v>32915</v>
      </c>
      <c r="JG505" s="236" t="s">
        <v>145</v>
      </c>
      <c r="JH505" s="236" t="s">
        <v>74</v>
      </c>
      <c r="JI505" s="236" t="s">
        <v>841</v>
      </c>
      <c r="JK505" s="236" t="s">
        <v>32916</v>
      </c>
      <c r="JL505" s="236" t="s">
        <v>145</v>
      </c>
      <c r="JM505" s="236" t="s">
        <v>74</v>
      </c>
      <c r="JN505" s="236" t="s">
        <v>841</v>
      </c>
      <c r="JP505" s="236" t="s">
        <v>32917</v>
      </c>
      <c r="JQ505" s="236" t="s">
        <v>145</v>
      </c>
      <c r="JR505" s="236" t="s">
        <v>74</v>
      </c>
      <c r="JS505" s="236" t="s">
        <v>841</v>
      </c>
      <c r="JU505" s="294" t="s">
        <v>32918</v>
      </c>
      <c r="JV505" s="294" t="s">
        <v>52</v>
      </c>
      <c r="JW505" s="263" t="s">
        <v>70</v>
      </c>
      <c r="JX505" s="294" t="s">
        <v>1083</v>
      </c>
      <c r="JZ505" s="263" t="s">
        <v>32919</v>
      </c>
      <c r="KA505" s="263" t="s">
        <v>145</v>
      </c>
      <c r="KB505" s="263" t="s">
        <v>70</v>
      </c>
      <c r="KC505" s="263" t="s">
        <v>1083</v>
      </c>
      <c r="KE505" s="263" t="s">
        <v>32920</v>
      </c>
      <c r="KF505" s="263" t="s">
        <v>52</v>
      </c>
      <c r="KG505" s="263" t="s">
        <v>70</v>
      </c>
      <c r="KH505" s="263" t="s">
        <v>1083</v>
      </c>
      <c r="KJ505" s="263" t="s">
        <v>32921</v>
      </c>
      <c r="KK505" s="263" t="s">
        <v>52</v>
      </c>
      <c r="KL505" s="263" t="s">
        <v>74</v>
      </c>
      <c r="KM505" s="263" t="s">
        <v>34074</v>
      </c>
      <c r="KO505" s="214" t="s">
        <v>32922</v>
      </c>
      <c r="KP505" s="214" t="s">
        <v>145</v>
      </c>
      <c r="KQ505" s="214" t="s">
        <v>70</v>
      </c>
      <c r="KR505" s="214" t="s">
        <v>67</v>
      </c>
      <c r="KT505" s="22" t="s">
        <v>32923</v>
      </c>
      <c r="KU505" s="22" t="s">
        <v>145</v>
      </c>
      <c r="KV505" s="22" t="s">
        <v>70</v>
      </c>
      <c r="KW505" s="22" t="s">
        <v>67</v>
      </c>
      <c r="KY505" s="214" t="s">
        <v>32924</v>
      </c>
      <c r="KZ505" s="214" t="s">
        <v>52</v>
      </c>
      <c r="LA505" s="214" t="s">
        <v>74</v>
      </c>
      <c r="LB505" s="214" t="s">
        <v>67</v>
      </c>
      <c r="LD505" s="22" t="s">
        <v>32925</v>
      </c>
      <c r="LE505" s="22" t="s">
        <v>145</v>
      </c>
      <c r="LF505" s="22" t="s">
        <v>70</v>
      </c>
      <c r="LG505" s="22" t="s">
        <v>67</v>
      </c>
    </row>
    <row r="506" spans="1:319">
      <c r="A506" s="22" t="s">
        <v>32926</v>
      </c>
      <c r="B506" s="22" t="s">
        <v>145</v>
      </c>
      <c r="C506" s="22" t="s">
        <v>70</v>
      </c>
      <c r="D506" s="22" t="s">
        <v>67</v>
      </c>
      <c r="F506" s="72" t="s">
        <v>32927</v>
      </c>
      <c r="G506" s="22" t="s">
        <v>145</v>
      </c>
      <c r="H506" s="22" t="s">
        <v>70</v>
      </c>
      <c r="I506" s="22" t="s">
        <v>67</v>
      </c>
      <c r="K506" s="99" t="s">
        <v>32928</v>
      </c>
      <c r="L506" s="22" t="s">
        <v>145</v>
      </c>
      <c r="M506" s="22" t="s">
        <v>70</v>
      </c>
      <c r="N506" s="22" t="s">
        <v>67</v>
      </c>
      <c r="P506" s="99" t="s">
        <v>32929</v>
      </c>
      <c r="Q506" s="22" t="s">
        <v>145</v>
      </c>
      <c r="R506" s="22" t="s">
        <v>70</v>
      </c>
      <c r="S506" s="22" t="s">
        <v>67</v>
      </c>
      <c r="U506" s="293" t="s">
        <v>32930</v>
      </c>
      <c r="V506" s="293" t="s">
        <v>145</v>
      </c>
      <c r="W506" s="293" t="s">
        <v>74</v>
      </c>
      <c r="X506" s="293" t="s">
        <v>656</v>
      </c>
      <c r="Z506" s="293" t="s">
        <v>32931</v>
      </c>
      <c r="AA506" s="293" t="s">
        <v>145</v>
      </c>
      <c r="AB506" s="293" t="s">
        <v>74</v>
      </c>
      <c r="AC506" s="293" t="s">
        <v>656</v>
      </c>
      <c r="AE506" s="293" t="s">
        <v>32932</v>
      </c>
      <c r="AF506" s="293" t="s">
        <v>145</v>
      </c>
      <c r="AG506" s="293" t="s">
        <v>74</v>
      </c>
      <c r="AH506" s="293" t="s">
        <v>656</v>
      </c>
      <c r="AJ506" s="293" t="s">
        <v>32933</v>
      </c>
      <c r="AK506" s="293" t="s">
        <v>145</v>
      </c>
      <c r="AL506" s="293" t="s">
        <v>74</v>
      </c>
      <c r="AM506" s="293" t="s">
        <v>656</v>
      </c>
      <c r="AO506" s="22" t="s">
        <v>32934</v>
      </c>
      <c r="AP506" s="22" t="s">
        <v>145</v>
      </c>
      <c r="AQ506" s="22" t="s">
        <v>70</v>
      </c>
      <c r="AR506" s="22" t="s">
        <v>67</v>
      </c>
      <c r="AT506" s="22" t="s">
        <v>32935</v>
      </c>
      <c r="AU506" s="22" t="s">
        <v>145</v>
      </c>
      <c r="AV506" s="22" t="s">
        <v>70</v>
      </c>
      <c r="AW506" s="22" t="s">
        <v>67</v>
      </c>
      <c r="AY506" s="22" t="s">
        <v>32936</v>
      </c>
      <c r="AZ506" s="22" t="s">
        <v>145</v>
      </c>
      <c r="BA506" s="22" t="s">
        <v>70</v>
      </c>
      <c r="BB506" s="22" t="s">
        <v>67</v>
      </c>
      <c r="BD506" s="22" t="s">
        <v>32937</v>
      </c>
      <c r="BE506" s="22" t="s">
        <v>145</v>
      </c>
      <c r="BF506" s="22" t="s">
        <v>70</v>
      </c>
      <c r="BG506" s="22" t="s">
        <v>67</v>
      </c>
      <c r="BI506" s="22" t="s">
        <v>32938</v>
      </c>
      <c r="BJ506" s="22" t="s">
        <v>145</v>
      </c>
      <c r="BK506" s="22" t="s">
        <v>70</v>
      </c>
      <c r="BL506" s="22" t="s">
        <v>67</v>
      </c>
      <c r="BN506" s="22" t="s">
        <v>32939</v>
      </c>
      <c r="BO506" s="22" t="s">
        <v>145</v>
      </c>
      <c r="BP506" s="22" t="s">
        <v>70</v>
      </c>
      <c r="BQ506" s="22" t="s">
        <v>67</v>
      </c>
      <c r="BS506" s="22" t="s">
        <v>32940</v>
      </c>
      <c r="BT506" s="22" t="s">
        <v>145</v>
      </c>
      <c r="BU506" s="22" t="s">
        <v>70</v>
      </c>
      <c r="BV506" s="214" t="s">
        <v>530</v>
      </c>
      <c r="BX506" s="22" t="s">
        <v>32941</v>
      </c>
      <c r="BY506" s="22" t="s">
        <v>145</v>
      </c>
      <c r="BZ506" s="22" t="s">
        <v>70</v>
      </c>
      <c r="CA506" s="214" t="s">
        <v>530</v>
      </c>
      <c r="CC506" s="214" t="s">
        <v>32942</v>
      </c>
      <c r="CD506" s="214" t="s">
        <v>92</v>
      </c>
      <c r="CE506" s="214" t="s">
        <v>70</v>
      </c>
      <c r="CF506" s="214" t="s">
        <v>530</v>
      </c>
      <c r="CH506" s="214" t="s">
        <v>32943</v>
      </c>
      <c r="CI506" s="214" t="s">
        <v>148</v>
      </c>
      <c r="CJ506" s="214" t="s">
        <v>70</v>
      </c>
      <c r="CK506" s="214" t="s">
        <v>530</v>
      </c>
      <c r="CM506" s="214" t="s">
        <v>32944</v>
      </c>
      <c r="CN506" s="214" t="s">
        <v>468</v>
      </c>
      <c r="CO506" s="214" t="s">
        <v>70</v>
      </c>
      <c r="CP506" s="214" t="s">
        <v>530</v>
      </c>
      <c r="CR506" s="214" t="s">
        <v>32945</v>
      </c>
      <c r="CS506" s="214" t="s">
        <v>599</v>
      </c>
      <c r="CT506" s="214" t="s">
        <v>70</v>
      </c>
      <c r="CU506" s="214" t="s">
        <v>530</v>
      </c>
      <c r="CW506" s="214" t="s">
        <v>32946</v>
      </c>
      <c r="CX506" s="214" t="s">
        <v>146</v>
      </c>
      <c r="CY506" s="214" t="s">
        <v>70</v>
      </c>
      <c r="CZ506" s="214" t="s">
        <v>530</v>
      </c>
      <c r="DB506" s="214" t="s">
        <v>32947</v>
      </c>
      <c r="DC506" s="214" t="s">
        <v>488</v>
      </c>
      <c r="DD506" s="214" t="s">
        <v>70</v>
      </c>
      <c r="DE506" s="214" t="s">
        <v>530</v>
      </c>
      <c r="DG506" s="214" t="s">
        <v>32948</v>
      </c>
      <c r="DH506" s="214" t="s">
        <v>529</v>
      </c>
      <c r="DI506" s="214" t="s">
        <v>70</v>
      </c>
      <c r="DJ506" s="214" t="s">
        <v>530</v>
      </c>
      <c r="DL506" s="214" t="s">
        <v>32949</v>
      </c>
      <c r="DM506" s="214" t="s">
        <v>52</v>
      </c>
      <c r="DN506" s="214" t="s">
        <v>70</v>
      </c>
      <c r="DO506" s="214" t="s">
        <v>530</v>
      </c>
      <c r="DQ506" s="214" t="s">
        <v>32950</v>
      </c>
      <c r="DR506" s="214" t="s">
        <v>52</v>
      </c>
      <c r="DS506" s="214" t="s">
        <v>70</v>
      </c>
      <c r="DT506" s="214" t="s">
        <v>530</v>
      </c>
      <c r="DV506" s="214" t="s">
        <v>32951</v>
      </c>
      <c r="DW506" s="214" t="s">
        <v>90</v>
      </c>
      <c r="DX506" s="214" t="s">
        <v>70</v>
      </c>
      <c r="DY506" s="214" t="s">
        <v>530</v>
      </c>
      <c r="EA506" s="214" t="s">
        <v>32952</v>
      </c>
      <c r="EB506" s="214" t="s">
        <v>926</v>
      </c>
      <c r="EC506" s="214" t="s">
        <v>70</v>
      </c>
      <c r="ED506" s="214" t="s">
        <v>530</v>
      </c>
      <c r="EF506" s="214" t="s">
        <v>32953</v>
      </c>
      <c r="EG506" s="214" t="s">
        <v>34608</v>
      </c>
      <c r="EH506" s="214" t="s">
        <v>70</v>
      </c>
      <c r="EI506" s="214" t="s">
        <v>530</v>
      </c>
      <c r="EK506" s="214" t="s">
        <v>32954</v>
      </c>
      <c r="EL506" s="214" t="s">
        <v>146</v>
      </c>
      <c r="EM506" s="214" t="s">
        <v>70</v>
      </c>
      <c r="EN506" s="214" t="s">
        <v>530</v>
      </c>
      <c r="EP506" s="214" t="s">
        <v>32955</v>
      </c>
      <c r="EQ506" s="214" t="s">
        <v>34516</v>
      </c>
      <c r="ER506" s="214" t="s">
        <v>70</v>
      </c>
      <c r="ES506" s="214" t="s">
        <v>530</v>
      </c>
      <c r="EU506" s="214" t="s">
        <v>32956</v>
      </c>
      <c r="EV506" s="214" t="s">
        <v>765</v>
      </c>
      <c r="EW506" s="214" t="s">
        <v>70</v>
      </c>
      <c r="EX506" s="214" t="s">
        <v>530</v>
      </c>
      <c r="EZ506" s="214" t="s">
        <v>32957</v>
      </c>
      <c r="FA506" s="214" t="s">
        <v>930</v>
      </c>
      <c r="FB506" s="214" t="s">
        <v>70</v>
      </c>
      <c r="FC506" s="214" t="s">
        <v>530</v>
      </c>
      <c r="FE506" s="214" t="s">
        <v>32958</v>
      </c>
      <c r="FF506" s="214" t="s">
        <v>916</v>
      </c>
      <c r="FG506" s="214" t="s">
        <v>70</v>
      </c>
      <c r="FH506" s="214" t="s">
        <v>530</v>
      </c>
      <c r="FJ506" s="321" t="s">
        <v>32959</v>
      </c>
      <c r="FK506" s="214" t="s">
        <v>103</v>
      </c>
      <c r="FL506" s="214" t="s">
        <v>70</v>
      </c>
      <c r="FM506" s="214" t="s">
        <v>530</v>
      </c>
      <c r="FO506" s="321" t="s">
        <v>32960</v>
      </c>
      <c r="FP506" s="214" t="s">
        <v>485</v>
      </c>
      <c r="FQ506" s="214" t="s">
        <v>70</v>
      </c>
      <c r="FR506" s="214" t="s">
        <v>530</v>
      </c>
      <c r="FT506" s="321" t="s">
        <v>32961</v>
      </c>
      <c r="FU506" s="214" t="s">
        <v>531</v>
      </c>
      <c r="FV506" s="214" t="s">
        <v>70</v>
      </c>
      <c r="FW506" s="214" t="s">
        <v>530</v>
      </c>
      <c r="FY506" s="321" t="s">
        <v>32962</v>
      </c>
      <c r="FZ506" s="214" t="s">
        <v>34643</v>
      </c>
      <c r="GA506" s="214" t="s">
        <v>70</v>
      </c>
      <c r="GB506" s="214" t="s">
        <v>530</v>
      </c>
      <c r="GD506" s="321" t="s">
        <v>32963</v>
      </c>
      <c r="GE506" s="214" t="s">
        <v>52</v>
      </c>
      <c r="GF506" s="214" t="s">
        <v>70</v>
      </c>
      <c r="GG506" s="214" t="s">
        <v>530</v>
      </c>
      <c r="GI506" s="321" t="s">
        <v>32964</v>
      </c>
      <c r="GJ506" s="214" t="s">
        <v>492</v>
      </c>
      <c r="GK506" s="214" t="s">
        <v>70</v>
      </c>
      <c r="GL506" s="214" t="s">
        <v>530</v>
      </c>
      <c r="GN506" s="321" t="s">
        <v>32965</v>
      </c>
      <c r="GO506" s="214" t="s">
        <v>468</v>
      </c>
      <c r="GP506" s="214" t="s">
        <v>70</v>
      </c>
      <c r="GQ506" s="214" t="s">
        <v>530</v>
      </c>
      <c r="GS506" s="321" t="s">
        <v>32966</v>
      </c>
      <c r="GT506" s="214" t="s">
        <v>34405</v>
      </c>
      <c r="GU506" s="214" t="s">
        <v>70</v>
      </c>
      <c r="GV506" s="214" t="s">
        <v>530</v>
      </c>
      <c r="GX506" s="214" t="s">
        <v>32967</v>
      </c>
      <c r="GY506" s="214" t="s">
        <v>87</v>
      </c>
      <c r="GZ506" s="214" t="s">
        <v>70</v>
      </c>
      <c r="HA506" s="214" t="s">
        <v>530</v>
      </c>
      <c r="HC506" s="214" t="s">
        <v>32968</v>
      </c>
      <c r="HD506" s="214" t="s">
        <v>529</v>
      </c>
      <c r="HE506" s="214" t="s">
        <v>70</v>
      </c>
      <c r="HF506" s="214" t="s">
        <v>530</v>
      </c>
      <c r="HH506" s="214" t="s">
        <v>32969</v>
      </c>
      <c r="HI506" s="214" t="s">
        <v>485</v>
      </c>
      <c r="HJ506" s="214" t="s">
        <v>70</v>
      </c>
      <c r="HK506" s="214" t="s">
        <v>530</v>
      </c>
      <c r="HM506" s="214" t="s">
        <v>32970</v>
      </c>
      <c r="HN506" s="214" t="s">
        <v>642</v>
      </c>
      <c r="HO506" s="214" t="s">
        <v>70</v>
      </c>
      <c r="HP506" s="214" t="s">
        <v>530</v>
      </c>
      <c r="HR506" s="22" t="s">
        <v>32971</v>
      </c>
      <c r="HS506" s="22" t="s">
        <v>52</v>
      </c>
      <c r="HT506" s="22" t="s">
        <v>70</v>
      </c>
      <c r="HU506" s="214" t="s">
        <v>530</v>
      </c>
      <c r="HW506" s="22" t="s">
        <v>32972</v>
      </c>
      <c r="HX506" s="22" t="s">
        <v>86</v>
      </c>
      <c r="HY506" s="22" t="s">
        <v>70</v>
      </c>
      <c r="HZ506" s="214" t="s">
        <v>530</v>
      </c>
      <c r="IB506" s="22" t="s">
        <v>32973</v>
      </c>
      <c r="IC506" s="22" t="s">
        <v>34576</v>
      </c>
      <c r="ID506" s="22" t="s">
        <v>70</v>
      </c>
      <c r="IE506" s="214" t="s">
        <v>530</v>
      </c>
      <c r="IG506" s="22" t="s">
        <v>32974</v>
      </c>
      <c r="IH506" s="22" t="s">
        <v>52</v>
      </c>
      <c r="II506" s="22" t="s">
        <v>70</v>
      </c>
      <c r="IJ506" s="214" t="s">
        <v>530</v>
      </c>
      <c r="IL506" s="22" t="s">
        <v>32975</v>
      </c>
      <c r="IM506" s="22" t="s">
        <v>145</v>
      </c>
      <c r="IN506" s="22" t="s">
        <v>70</v>
      </c>
      <c r="IO506" s="214" t="s">
        <v>530</v>
      </c>
      <c r="IQ506" s="236" t="s">
        <v>32976</v>
      </c>
      <c r="IR506" s="236" t="s">
        <v>145</v>
      </c>
      <c r="IS506" s="236" t="s">
        <v>74</v>
      </c>
      <c r="IT506" s="236" t="s">
        <v>841</v>
      </c>
      <c r="IV506" s="236" t="s">
        <v>32977</v>
      </c>
      <c r="IW506" s="236" t="s">
        <v>145</v>
      </c>
      <c r="IX506" s="236" t="s">
        <v>74</v>
      </c>
      <c r="IY506" s="236" t="s">
        <v>841</v>
      </c>
      <c r="JA506" s="236" t="s">
        <v>32978</v>
      </c>
      <c r="JB506" s="236" t="s">
        <v>145</v>
      </c>
      <c r="JC506" s="236" t="s">
        <v>74</v>
      </c>
      <c r="JD506" s="236" t="s">
        <v>841</v>
      </c>
      <c r="JF506" s="236" t="s">
        <v>32979</v>
      </c>
      <c r="JG506" s="236" t="s">
        <v>145</v>
      </c>
      <c r="JH506" s="236" t="s">
        <v>74</v>
      </c>
      <c r="JI506" s="236" t="s">
        <v>841</v>
      </c>
      <c r="JK506" s="236" t="s">
        <v>32980</v>
      </c>
      <c r="JL506" s="236" t="s">
        <v>145</v>
      </c>
      <c r="JM506" s="236" t="s">
        <v>74</v>
      </c>
      <c r="JN506" s="236" t="s">
        <v>841</v>
      </c>
      <c r="JP506" s="236" t="s">
        <v>32981</v>
      </c>
      <c r="JQ506" s="236" t="s">
        <v>145</v>
      </c>
      <c r="JR506" s="236" t="s">
        <v>74</v>
      </c>
      <c r="JS506" s="236" t="s">
        <v>841</v>
      </c>
      <c r="JU506" s="294" t="s">
        <v>32982</v>
      </c>
      <c r="JV506" s="294" t="s">
        <v>52</v>
      </c>
      <c r="JW506" s="263" t="s">
        <v>70</v>
      </c>
      <c r="JX506" s="294" t="s">
        <v>1083</v>
      </c>
      <c r="JZ506" s="263" t="s">
        <v>32983</v>
      </c>
      <c r="KA506" s="263" t="s">
        <v>145</v>
      </c>
      <c r="KB506" s="263" t="s">
        <v>70</v>
      </c>
      <c r="KC506" s="263" t="s">
        <v>1083</v>
      </c>
      <c r="KE506" s="263" t="s">
        <v>32984</v>
      </c>
      <c r="KF506" s="263" t="s">
        <v>52</v>
      </c>
      <c r="KG506" s="263" t="s">
        <v>70</v>
      </c>
      <c r="KH506" s="263" t="s">
        <v>1083</v>
      </c>
      <c r="KJ506" s="263" t="s">
        <v>32985</v>
      </c>
      <c r="KK506" s="263" t="s">
        <v>52</v>
      </c>
      <c r="KL506" s="263" t="s">
        <v>74</v>
      </c>
      <c r="KM506" s="263" t="s">
        <v>34074</v>
      </c>
      <c r="KO506" s="214" t="s">
        <v>32986</v>
      </c>
      <c r="KP506" s="214" t="s">
        <v>145</v>
      </c>
      <c r="KQ506" s="214" t="s">
        <v>70</v>
      </c>
      <c r="KR506" s="214" t="s">
        <v>67</v>
      </c>
      <c r="KT506" s="22" t="s">
        <v>32987</v>
      </c>
      <c r="KU506" s="22" t="s">
        <v>145</v>
      </c>
      <c r="KV506" s="22" t="s">
        <v>70</v>
      </c>
      <c r="KW506" s="22" t="s">
        <v>67</v>
      </c>
      <c r="KY506" s="214" t="s">
        <v>32988</v>
      </c>
      <c r="KZ506" s="214" t="s">
        <v>52</v>
      </c>
      <c r="LA506" s="214" t="s">
        <v>74</v>
      </c>
      <c r="LB506" s="214" t="s">
        <v>67</v>
      </c>
      <c r="LD506" s="22" t="s">
        <v>32989</v>
      </c>
      <c r="LE506" s="22" t="s">
        <v>145</v>
      </c>
      <c r="LF506" s="22" t="s">
        <v>70</v>
      </c>
      <c r="LG506" s="22" t="s">
        <v>67</v>
      </c>
    </row>
    <row r="507" spans="1:319">
      <c r="A507" s="22" t="s">
        <v>32990</v>
      </c>
      <c r="B507" s="22" t="s">
        <v>145</v>
      </c>
      <c r="C507" s="22" t="s">
        <v>70</v>
      </c>
      <c r="D507" s="22" t="s">
        <v>67</v>
      </c>
      <c r="F507" s="72" t="s">
        <v>32991</v>
      </c>
      <c r="G507" s="22" t="s">
        <v>145</v>
      </c>
      <c r="H507" s="22" t="s">
        <v>70</v>
      </c>
      <c r="I507" s="22" t="s">
        <v>67</v>
      </c>
      <c r="K507" s="99" t="s">
        <v>32992</v>
      </c>
      <c r="L507" s="22" t="s">
        <v>145</v>
      </c>
      <c r="M507" s="22" t="s">
        <v>70</v>
      </c>
      <c r="N507" s="22" t="s">
        <v>67</v>
      </c>
      <c r="P507" s="99" t="s">
        <v>32993</v>
      </c>
      <c r="Q507" s="22" t="s">
        <v>145</v>
      </c>
      <c r="R507" s="22" t="s">
        <v>70</v>
      </c>
      <c r="S507" s="22" t="s">
        <v>67</v>
      </c>
      <c r="U507" s="293" t="s">
        <v>32994</v>
      </c>
      <c r="V507" s="293" t="s">
        <v>145</v>
      </c>
      <c r="W507" s="293" t="s">
        <v>74</v>
      </c>
      <c r="X507" s="293" t="s">
        <v>656</v>
      </c>
      <c r="Z507" s="293" t="s">
        <v>32995</v>
      </c>
      <c r="AA507" s="293" t="s">
        <v>145</v>
      </c>
      <c r="AB507" s="293" t="s">
        <v>74</v>
      </c>
      <c r="AC507" s="293" t="s">
        <v>656</v>
      </c>
      <c r="AE507" s="293" t="s">
        <v>32996</v>
      </c>
      <c r="AF507" s="293" t="s">
        <v>145</v>
      </c>
      <c r="AG507" s="293" t="s">
        <v>74</v>
      </c>
      <c r="AH507" s="293" t="s">
        <v>656</v>
      </c>
      <c r="AJ507" s="293" t="s">
        <v>32997</v>
      </c>
      <c r="AK507" s="293" t="s">
        <v>145</v>
      </c>
      <c r="AL507" s="293" t="s">
        <v>74</v>
      </c>
      <c r="AM507" s="293" t="s">
        <v>656</v>
      </c>
      <c r="AO507" s="22" t="s">
        <v>32998</v>
      </c>
      <c r="AP507" s="22" t="s">
        <v>145</v>
      </c>
      <c r="AQ507" s="22" t="s">
        <v>70</v>
      </c>
      <c r="AR507" s="22" t="s">
        <v>67</v>
      </c>
      <c r="AT507" s="22" t="s">
        <v>32999</v>
      </c>
      <c r="AU507" s="22" t="s">
        <v>145</v>
      </c>
      <c r="AV507" s="22" t="s">
        <v>70</v>
      </c>
      <c r="AW507" s="22" t="s">
        <v>67</v>
      </c>
      <c r="AY507" s="22" t="s">
        <v>33000</v>
      </c>
      <c r="AZ507" s="22" t="s">
        <v>145</v>
      </c>
      <c r="BA507" s="22" t="s">
        <v>70</v>
      </c>
      <c r="BB507" s="22" t="s">
        <v>67</v>
      </c>
      <c r="BD507" s="22" t="s">
        <v>33001</v>
      </c>
      <c r="BE507" s="22" t="s">
        <v>145</v>
      </c>
      <c r="BF507" s="22" t="s">
        <v>70</v>
      </c>
      <c r="BG507" s="22" t="s">
        <v>67</v>
      </c>
      <c r="BI507" s="22" t="s">
        <v>33002</v>
      </c>
      <c r="BJ507" s="22" t="s">
        <v>145</v>
      </c>
      <c r="BK507" s="22" t="s">
        <v>70</v>
      </c>
      <c r="BL507" s="22" t="s">
        <v>67</v>
      </c>
      <c r="BN507" s="22" t="s">
        <v>33003</v>
      </c>
      <c r="BO507" s="22" t="s">
        <v>145</v>
      </c>
      <c r="BP507" s="22" t="s">
        <v>70</v>
      </c>
      <c r="BQ507" s="22" t="s">
        <v>67</v>
      </c>
      <c r="BS507" s="22" t="s">
        <v>33004</v>
      </c>
      <c r="BT507" s="22" t="s">
        <v>145</v>
      </c>
      <c r="BU507" s="22" t="s">
        <v>70</v>
      </c>
      <c r="BV507" s="214" t="s">
        <v>530</v>
      </c>
      <c r="BX507" s="22" t="s">
        <v>33005</v>
      </c>
      <c r="BY507" s="22" t="s">
        <v>145</v>
      </c>
      <c r="BZ507" s="22" t="s">
        <v>70</v>
      </c>
      <c r="CA507" s="214" t="s">
        <v>530</v>
      </c>
      <c r="CC507" s="214" t="s">
        <v>33006</v>
      </c>
      <c r="CD507" s="214" t="s">
        <v>34552</v>
      </c>
      <c r="CE507" s="214" t="s">
        <v>70</v>
      </c>
      <c r="CF507" s="214" t="s">
        <v>530</v>
      </c>
      <c r="CH507" s="214" t="s">
        <v>33007</v>
      </c>
      <c r="CI507" s="214" t="s">
        <v>491</v>
      </c>
      <c r="CJ507" s="214" t="s">
        <v>70</v>
      </c>
      <c r="CK507" s="214" t="s">
        <v>530</v>
      </c>
      <c r="CM507" s="214" t="s">
        <v>33008</v>
      </c>
      <c r="CN507" s="214" t="s">
        <v>484</v>
      </c>
      <c r="CO507" s="214" t="s">
        <v>70</v>
      </c>
      <c r="CP507" s="214" t="s">
        <v>530</v>
      </c>
      <c r="CR507" s="214" t="s">
        <v>33009</v>
      </c>
      <c r="CS507" s="214" t="s">
        <v>146</v>
      </c>
      <c r="CT507" s="214" t="s">
        <v>70</v>
      </c>
      <c r="CU507" s="214" t="s">
        <v>530</v>
      </c>
      <c r="CW507" s="214" t="s">
        <v>33010</v>
      </c>
      <c r="CX507" s="214" t="s">
        <v>86</v>
      </c>
      <c r="CY507" s="214" t="s">
        <v>70</v>
      </c>
      <c r="CZ507" s="214" t="s">
        <v>530</v>
      </c>
      <c r="DB507" s="214" t="s">
        <v>33011</v>
      </c>
      <c r="DC507" s="214" t="s">
        <v>488</v>
      </c>
      <c r="DD507" s="214" t="s">
        <v>70</v>
      </c>
      <c r="DE507" s="214" t="s">
        <v>530</v>
      </c>
      <c r="DG507" s="214" t="s">
        <v>33012</v>
      </c>
      <c r="DH507" s="214" t="s">
        <v>502</v>
      </c>
      <c r="DI507" s="214" t="s">
        <v>70</v>
      </c>
      <c r="DJ507" s="214" t="s">
        <v>530</v>
      </c>
      <c r="DL507" s="214" t="s">
        <v>33013</v>
      </c>
      <c r="DM507" s="214" t="s">
        <v>484</v>
      </c>
      <c r="DN507" s="214" t="s">
        <v>70</v>
      </c>
      <c r="DO507" s="214" t="s">
        <v>530</v>
      </c>
      <c r="DQ507" s="214" t="s">
        <v>33014</v>
      </c>
      <c r="DR507" s="214" t="s">
        <v>951</v>
      </c>
      <c r="DS507" s="214" t="s">
        <v>70</v>
      </c>
      <c r="DT507" s="214" t="s">
        <v>530</v>
      </c>
      <c r="DV507" s="214" t="s">
        <v>33015</v>
      </c>
      <c r="DW507" s="214" t="s">
        <v>502</v>
      </c>
      <c r="DX507" s="214" t="s">
        <v>70</v>
      </c>
      <c r="DY507" s="214" t="s">
        <v>530</v>
      </c>
      <c r="EA507" s="214" t="s">
        <v>33016</v>
      </c>
      <c r="EB507" s="214" t="s">
        <v>484</v>
      </c>
      <c r="EC507" s="214" t="s">
        <v>70</v>
      </c>
      <c r="ED507" s="214" t="s">
        <v>530</v>
      </c>
      <c r="EF507" s="214" t="s">
        <v>33017</v>
      </c>
      <c r="EG507" s="214" t="s">
        <v>52</v>
      </c>
      <c r="EH507" s="214" t="s">
        <v>70</v>
      </c>
      <c r="EI507" s="214" t="s">
        <v>530</v>
      </c>
      <c r="EK507" s="214" t="s">
        <v>33018</v>
      </c>
      <c r="EL507" s="214" t="s">
        <v>93</v>
      </c>
      <c r="EM507" s="214" t="s">
        <v>70</v>
      </c>
      <c r="EN507" s="214" t="s">
        <v>530</v>
      </c>
      <c r="EP507" s="214" t="s">
        <v>33019</v>
      </c>
      <c r="EQ507" s="214" t="s">
        <v>52</v>
      </c>
      <c r="ER507" s="214" t="s">
        <v>70</v>
      </c>
      <c r="ES507" s="214" t="s">
        <v>530</v>
      </c>
      <c r="EU507" s="214" t="s">
        <v>33020</v>
      </c>
      <c r="EV507" s="214" t="s">
        <v>484</v>
      </c>
      <c r="EW507" s="214" t="s">
        <v>70</v>
      </c>
      <c r="EX507" s="214" t="s">
        <v>530</v>
      </c>
      <c r="EZ507" s="214" t="s">
        <v>33021</v>
      </c>
      <c r="FA507" s="214" t="s">
        <v>798</v>
      </c>
      <c r="FB507" s="214" t="s">
        <v>70</v>
      </c>
      <c r="FC507" s="214" t="s">
        <v>530</v>
      </c>
      <c r="FE507" s="214" t="s">
        <v>33022</v>
      </c>
      <c r="FF507" s="214" t="s">
        <v>484</v>
      </c>
      <c r="FG507" s="214" t="s">
        <v>70</v>
      </c>
      <c r="FH507" s="214" t="s">
        <v>530</v>
      </c>
      <c r="FJ507" s="321" t="s">
        <v>33023</v>
      </c>
      <c r="FK507" s="214" t="s">
        <v>34544</v>
      </c>
      <c r="FL507" s="214" t="s">
        <v>70</v>
      </c>
      <c r="FM507" s="214" t="s">
        <v>530</v>
      </c>
      <c r="FO507" s="321" t="s">
        <v>33024</v>
      </c>
      <c r="FP507" s="214" t="s">
        <v>910</v>
      </c>
      <c r="FQ507" s="214" t="s">
        <v>70</v>
      </c>
      <c r="FR507" s="214" t="s">
        <v>530</v>
      </c>
      <c r="FT507" s="321" t="s">
        <v>33025</v>
      </c>
      <c r="FU507" s="214" t="s">
        <v>146</v>
      </c>
      <c r="FV507" s="214" t="s">
        <v>70</v>
      </c>
      <c r="FW507" s="214" t="s">
        <v>530</v>
      </c>
      <c r="FY507" s="321" t="s">
        <v>33026</v>
      </c>
      <c r="FZ507" s="214" t="s">
        <v>503</v>
      </c>
      <c r="GA507" s="214" t="s">
        <v>70</v>
      </c>
      <c r="GB507" s="214" t="s">
        <v>530</v>
      </c>
      <c r="GD507" s="321" t="s">
        <v>33027</v>
      </c>
      <c r="GE507" s="214" t="s">
        <v>485</v>
      </c>
      <c r="GF507" s="214" t="s">
        <v>70</v>
      </c>
      <c r="GG507" s="214" t="s">
        <v>530</v>
      </c>
      <c r="GI507" s="321" t="s">
        <v>33028</v>
      </c>
      <c r="GJ507" s="214" t="s">
        <v>34539</v>
      </c>
      <c r="GK507" s="214" t="s">
        <v>70</v>
      </c>
      <c r="GL507" s="214" t="s">
        <v>530</v>
      </c>
      <c r="GN507" s="321" t="s">
        <v>33029</v>
      </c>
      <c r="GO507" s="214" t="s">
        <v>52</v>
      </c>
      <c r="GP507" s="214" t="s">
        <v>70</v>
      </c>
      <c r="GQ507" s="214" t="s">
        <v>530</v>
      </c>
      <c r="GS507" s="321" t="s">
        <v>33030</v>
      </c>
      <c r="GT507" s="214" t="s">
        <v>34541</v>
      </c>
      <c r="GU507" s="214" t="s">
        <v>70</v>
      </c>
      <c r="GV507" s="214" t="s">
        <v>530</v>
      </c>
      <c r="GX507" s="214" t="s">
        <v>33031</v>
      </c>
      <c r="GY507" s="214" t="s">
        <v>502</v>
      </c>
      <c r="GZ507" s="214" t="s">
        <v>70</v>
      </c>
      <c r="HA507" s="214" t="s">
        <v>530</v>
      </c>
      <c r="HC507" s="214" t="s">
        <v>33032</v>
      </c>
      <c r="HD507" s="214" t="s">
        <v>103</v>
      </c>
      <c r="HE507" s="214" t="s">
        <v>70</v>
      </c>
      <c r="HF507" s="214" t="s">
        <v>530</v>
      </c>
      <c r="HH507" s="214" t="s">
        <v>33033</v>
      </c>
      <c r="HI507" s="214" t="s">
        <v>52</v>
      </c>
      <c r="HJ507" s="214" t="s">
        <v>70</v>
      </c>
      <c r="HK507" s="214" t="s">
        <v>530</v>
      </c>
      <c r="HM507" s="214" t="s">
        <v>33034</v>
      </c>
      <c r="HN507" s="214" t="s">
        <v>52</v>
      </c>
      <c r="HO507" s="214" t="s">
        <v>70</v>
      </c>
      <c r="HP507" s="214" t="s">
        <v>530</v>
      </c>
      <c r="HR507" s="22" t="s">
        <v>33035</v>
      </c>
      <c r="HS507" s="22" t="s">
        <v>502</v>
      </c>
      <c r="HT507" s="22" t="s">
        <v>70</v>
      </c>
      <c r="HU507" s="214" t="s">
        <v>530</v>
      </c>
      <c r="HW507" s="22" t="s">
        <v>33036</v>
      </c>
      <c r="HX507" s="22" t="s">
        <v>52</v>
      </c>
      <c r="HY507" s="22" t="s">
        <v>70</v>
      </c>
      <c r="HZ507" s="214" t="s">
        <v>530</v>
      </c>
      <c r="IB507" s="22" t="s">
        <v>33037</v>
      </c>
      <c r="IC507" s="22" t="s">
        <v>34405</v>
      </c>
      <c r="ID507" s="22" t="s">
        <v>70</v>
      </c>
      <c r="IE507" s="214" t="s">
        <v>530</v>
      </c>
      <c r="IG507" s="22" t="s">
        <v>33038</v>
      </c>
      <c r="IH507" s="22" t="s">
        <v>52</v>
      </c>
      <c r="II507" s="22" t="s">
        <v>70</v>
      </c>
      <c r="IJ507" s="214" t="s">
        <v>530</v>
      </c>
      <c r="IL507" s="22" t="s">
        <v>33039</v>
      </c>
      <c r="IM507" s="22" t="s">
        <v>145</v>
      </c>
      <c r="IN507" s="22" t="s">
        <v>70</v>
      </c>
      <c r="IO507" s="214" t="s">
        <v>530</v>
      </c>
      <c r="IQ507" s="236" t="s">
        <v>33040</v>
      </c>
      <c r="IR507" s="236" t="s">
        <v>145</v>
      </c>
      <c r="IS507" s="236" t="s">
        <v>74</v>
      </c>
      <c r="IT507" s="236" t="s">
        <v>841</v>
      </c>
      <c r="IV507" s="236" t="s">
        <v>33041</v>
      </c>
      <c r="IW507" s="236" t="s">
        <v>145</v>
      </c>
      <c r="IX507" s="236" t="s">
        <v>74</v>
      </c>
      <c r="IY507" s="236" t="s">
        <v>841</v>
      </c>
      <c r="JA507" s="236" t="s">
        <v>33042</v>
      </c>
      <c r="JB507" s="236" t="s">
        <v>145</v>
      </c>
      <c r="JC507" s="236" t="s">
        <v>74</v>
      </c>
      <c r="JD507" s="236" t="s">
        <v>841</v>
      </c>
      <c r="JF507" s="236" t="s">
        <v>33043</v>
      </c>
      <c r="JG507" s="236" t="s">
        <v>145</v>
      </c>
      <c r="JH507" s="236" t="s">
        <v>74</v>
      </c>
      <c r="JI507" s="236" t="s">
        <v>841</v>
      </c>
      <c r="JK507" s="236" t="s">
        <v>33044</v>
      </c>
      <c r="JL507" s="236" t="s">
        <v>145</v>
      </c>
      <c r="JM507" s="236" t="s">
        <v>74</v>
      </c>
      <c r="JN507" s="236" t="s">
        <v>841</v>
      </c>
      <c r="JP507" s="236" t="s">
        <v>33045</v>
      </c>
      <c r="JQ507" s="236" t="s">
        <v>145</v>
      </c>
      <c r="JR507" s="236" t="s">
        <v>74</v>
      </c>
      <c r="JS507" s="236" t="s">
        <v>841</v>
      </c>
      <c r="JU507" s="294" t="s">
        <v>33046</v>
      </c>
      <c r="JV507" s="294" t="s">
        <v>52</v>
      </c>
      <c r="JW507" s="263" t="s">
        <v>70</v>
      </c>
      <c r="JX507" s="294" t="s">
        <v>1083</v>
      </c>
      <c r="JZ507" s="263" t="s">
        <v>33047</v>
      </c>
      <c r="KA507" s="263" t="s">
        <v>145</v>
      </c>
      <c r="KB507" s="263" t="s">
        <v>70</v>
      </c>
      <c r="KC507" s="263" t="s">
        <v>1083</v>
      </c>
      <c r="KE507" s="263" t="s">
        <v>33048</v>
      </c>
      <c r="KF507" s="263" t="s">
        <v>52</v>
      </c>
      <c r="KG507" s="263" t="s">
        <v>70</v>
      </c>
      <c r="KH507" s="263" t="s">
        <v>1083</v>
      </c>
      <c r="KJ507" s="263" t="s">
        <v>33049</v>
      </c>
      <c r="KK507" s="263" t="s">
        <v>52</v>
      </c>
      <c r="KL507" s="263" t="s">
        <v>74</v>
      </c>
      <c r="KM507" s="263" t="s">
        <v>34074</v>
      </c>
      <c r="KO507" s="214" t="s">
        <v>33050</v>
      </c>
      <c r="KP507" s="214" t="s">
        <v>145</v>
      </c>
      <c r="KQ507" s="214" t="s">
        <v>70</v>
      </c>
      <c r="KR507" s="214" t="s">
        <v>67</v>
      </c>
      <c r="KT507" s="22" t="s">
        <v>33051</v>
      </c>
      <c r="KU507" s="22" t="s">
        <v>145</v>
      </c>
      <c r="KV507" s="22" t="s">
        <v>70</v>
      </c>
      <c r="KW507" s="22" t="s">
        <v>67</v>
      </c>
      <c r="KY507" s="214" t="s">
        <v>33052</v>
      </c>
      <c r="KZ507" s="214" t="s">
        <v>52</v>
      </c>
      <c r="LA507" s="214" t="s">
        <v>74</v>
      </c>
      <c r="LB507" s="214" t="s">
        <v>67</v>
      </c>
      <c r="LD507" s="22" t="s">
        <v>33053</v>
      </c>
      <c r="LE507" s="22" t="s">
        <v>145</v>
      </c>
      <c r="LF507" s="22" t="s">
        <v>70</v>
      </c>
      <c r="LG507" s="22" t="s">
        <v>67</v>
      </c>
    </row>
    <row r="508" spans="1:319">
      <c r="A508" s="22" t="s">
        <v>33054</v>
      </c>
      <c r="B508" s="22" t="s">
        <v>145</v>
      </c>
      <c r="C508" s="22" t="s">
        <v>70</v>
      </c>
      <c r="D508" s="22" t="s">
        <v>67</v>
      </c>
      <c r="F508" s="72" t="s">
        <v>33055</v>
      </c>
      <c r="G508" s="22" t="s">
        <v>145</v>
      </c>
      <c r="H508" s="22" t="s">
        <v>70</v>
      </c>
      <c r="I508" s="22" t="s">
        <v>67</v>
      </c>
      <c r="K508" s="99" t="s">
        <v>33056</v>
      </c>
      <c r="L508" s="22" t="s">
        <v>145</v>
      </c>
      <c r="M508" s="22" t="s">
        <v>70</v>
      </c>
      <c r="N508" s="22" t="s">
        <v>67</v>
      </c>
      <c r="P508" s="99" t="s">
        <v>33057</v>
      </c>
      <c r="Q508" s="22" t="s">
        <v>145</v>
      </c>
      <c r="R508" s="22" t="s">
        <v>70</v>
      </c>
      <c r="S508" s="22" t="s">
        <v>67</v>
      </c>
      <c r="U508" s="293" t="s">
        <v>33058</v>
      </c>
      <c r="V508" s="293" t="s">
        <v>145</v>
      </c>
      <c r="W508" s="293" t="s">
        <v>74</v>
      </c>
      <c r="X508" s="293" t="s">
        <v>656</v>
      </c>
      <c r="Z508" s="293" t="s">
        <v>33059</v>
      </c>
      <c r="AA508" s="293" t="s">
        <v>145</v>
      </c>
      <c r="AB508" s="293" t="s">
        <v>74</v>
      </c>
      <c r="AC508" s="293" t="s">
        <v>656</v>
      </c>
      <c r="AE508" s="293" t="s">
        <v>33060</v>
      </c>
      <c r="AF508" s="293" t="s">
        <v>145</v>
      </c>
      <c r="AG508" s="293" t="s">
        <v>74</v>
      </c>
      <c r="AH508" s="293" t="s">
        <v>656</v>
      </c>
      <c r="AJ508" s="293" t="s">
        <v>33061</v>
      </c>
      <c r="AK508" s="293" t="s">
        <v>145</v>
      </c>
      <c r="AL508" s="293" t="s">
        <v>74</v>
      </c>
      <c r="AM508" s="293" t="s">
        <v>656</v>
      </c>
      <c r="AO508" s="22" t="s">
        <v>33062</v>
      </c>
      <c r="AP508" s="22" t="s">
        <v>145</v>
      </c>
      <c r="AQ508" s="22" t="s">
        <v>70</v>
      </c>
      <c r="AR508" s="22" t="s">
        <v>67</v>
      </c>
      <c r="AT508" s="22" t="s">
        <v>33063</v>
      </c>
      <c r="AU508" s="22" t="s">
        <v>145</v>
      </c>
      <c r="AV508" s="22" t="s">
        <v>70</v>
      </c>
      <c r="AW508" s="22" t="s">
        <v>67</v>
      </c>
      <c r="AY508" s="22" t="s">
        <v>33064</v>
      </c>
      <c r="AZ508" s="22" t="s">
        <v>145</v>
      </c>
      <c r="BA508" s="22" t="s">
        <v>70</v>
      </c>
      <c r="BB508" s="22" t="s">
        <v>67</v>
      </c>
      <c r="BD508" s="22" t="s">
        <v>33065</v>
      </c>
      <c r="BE508" s="22" t="s">
        <v>145</v>
      </c>
      <c r="BF508" s="22" t="s">
        <v>70</v>
      </c>
      <c r="BG508" s="22" t="s">
        <v>67</v>
      </c>
      <c r="BI508" s="22" t="s">
        <v>33066</v>
      </c>
      <c r="BJ508" s="22" t="s">
        <v>145</v>
      </c>
      <c r="BK508" s="22" t="s">
        <v>70</v>
      </c>
      <c r="BL508" s="22" t="s">
        <v>67</v>
      </c>
      <c r="BN508" s="22" t="s">
        <v>33067</v>
      </c>
      <c r="BO508" s="22" t="s">
        <v>145</v>
      </c>
      <c r="BP508" s="22" t="s">
        <v>70</v>
      </c>
      <c r="BQ508" s="22" t="s">
        <v>67</v>
      </c>
      <c r="BS508" s="22" t="s">
        <v>33068</v>
      </c>
      <c r="BT508" s="22" t="s">
        <v>145</v>
      </c>
      <c r="BU508" s="22" t="s">
        <v>70</v>
      </c>
      <c r="BV508" s="214" t="s">
        <v>530</v>
      </c>
      <c r="BX508" s="22" t="s">
        <v>33069</v>
      </c>
      <c r="BY508" s="22" t="s">
        <v>145</v>
      </c>
      <c r="BZ508" s="22" t="s">
        <v>70</v>
      </c>
      <c r="CA508" s="214" t="s">
        <v>530</v>
      </c>
      <c r="CC508" s="214" t="s">
        <v>33070</v>
      </c>
      <c r="CD508" s="214" t="s">
        <v>88</v>
      </c>
      <c r="CE508" s="214" t="s">
        <v>70</v>
      </c>
      <c r="CF508" s="214" t="s">
        <v>530</v>
      </c>
      <c r="CH508" s="214" t="s">
        <v>33071</v>
      </c>
      <c r="CI508" s="214" t="s">
        <v>148</v>
      </c>
      <c r="CJ508" s="214" t="s">
        <v>70</v>
      </c>
      <c r="CK508" s="214" t="s">
        <v>530</v>
      </c>
      <c r="CM508" s="214" t="s">
        <v>33072</v>
      </c>
      <c r="CN508" s="214" t="s">
        <v>485</v>
      </c>
      <c r="CO508" s="214" t="s">
        <v>70</v>
      </c>
      <c r="CP508" s="214" t="s">
        <v>530</v>
      </c>
      <c r="CR508" s="214" t="s">
        <v>33073</v>
      </c>
      <c r="CS508" s="214" t="s">
        <v>85</v>
      </c>
      <c r="CT508" s="214" t="s">
        <v>70</v>
      </c>
      <c r="CU508" s="214" t="s">
        <v>530</v>
      </c>
      <c r="CW508" s="214" t="s">
        <v>33074</v>
      </c>
      <c r="CX508" s="214" t="s">
        <v>52</v>
      </c>
      <c r="CY508" s="214" t="s">
        <v>70</v>
      </c>
      <c r="CZ508" s="214" t="s">
        <v>530</v>
      </c>
      <c r="DB508" s="214" t="s">
        <v>33075</v>
      </c>
      <c r="DC508" s="214" t="s">
        <v>468</v>
      </c>
      <c r="DD508" s="214" t="s">
        <v>70</v>
      </c>
      <c r="DE508" s="214" t="s">
        <v>530</v>
      </c>
      <c r="DG508" s="214" t="s">
        <v>33076</v>
      </c>
      <c r="DH508" s="214" t="s">
        <v>485</v>
      </c>
      <c r="DI508" s="214" t="s">
        <v>70</v>
      </c>
      <c r="DJ508" s="214" t="s">
        <v>530</v>
      </c>
      <c r="DL508" s="214" t="s">
        <v>33077</v>
      </c>
      <c r="DM508" s="214" t="s">
        <v>529</v>
      </c>
      <c r="DN508" s="214" t="s">
        <v>70</v>
      </c>
      <c r="DO508" s="214" t="s">
        <v>530</v>
      </c>
      <c r="DQ508" s="214" t="s">
        <v>33078</v>
      </c>
      <c r="DR508" s="214" t="s">
        <v>34585</v>
      </c>
      <c r="DS508" s="214" t="s">
        <v>70</v>
      </c>
      <c r="DT508" s="214" t="s">
        <v>530</v>
      </c>
      <c r="DV508" s="214" t="s">
        <v>33079</v>
      </c>
      <c r="DW508" s="214" t="s">
        <v>492</v>
      </c>
      <c r="DX508" s="214" t="s">
        <v>70</v>
      </c>
      <c r="DY508" s="214" t="s">
        <v>530</v>
      </c>
      <c r="EA508" s="214" t="s">
        <v>33080</v>
      </c>
      <c r="EB508" s="214" t="s">
        <v>916</v>
      </c>
      <c r="EC508" s="214" t="s">
        <v>70</v>
      </c>
      <c r="ED508" s="214" t="s">
        <v>530</v>
      </c>
      <c r="EF508" s="214" t="s">
        <v>33081</v>
      </c>
      <c r="EG508" s="214" t="s">
        <v>34620</v>
      </c>
      <c r="EH508" s="214" t="s">
        <v>70</v>
      </c>
      <c r="EI508" s="214" t="s">
        <v>530</v>
      </c>
      <c r="EK508" s="214" t="s">
        <v>33082</v>
      </c>
      <c r="EL508" s="214" t="s">
        <v>52</v>
      </c>
      <c r="EM508" s="214" t="s">
        <v>70</v>
      </c>
      <c r="EN508" s="214" t="s">
        <v>530</v>
      </c>
      <c r="EP508" s="214" t="s">
        <v>33083</v>
      </c>
      <c r="EQ508" s="214" t="s">
        <v>148</v>
      </c>
      <c r="ER508" s="214" t="s">
        <v>70</v>
      </c>
      <c r="ES508" s="214" t="s">
        <v>530</v>
      </c>
      <c r="EU508" s="214" t="s">
        <v>33084</v>
      </c>
      <c r="EV508" s="214" t="s">
        <v>955</v>
      </c>
      <c r="EW508" s="214" t="s">
        <v>70</v>
      </c>
      <c r="EX508" s="214" t="s">
        <v>530</v>
      </c>
      <c r="EZ508" s="214" t="s">
        <v>33085</v>
      </c>
      <c r="FA508" s="214" t="s">
        <v>148</v>
      </c>
      <c r="FB508" s="214" t="s">
        <v>70</v>
      </c>
      <c r="FC508" s="214" t="s">
        <v>530</v>
      </c>
      <c r="FE508" s="214" t="s">
        <v>33086</v>
      </c>
      <c r="FF508" s="214" t="s">
        <v>655</v>
      </c>
      <c r="FG508" s="214" t="s">
        <v>70</v>
      </c>
      <c r="FH508" s="214" t="s">
        <v>530</v>
      </c>
      <c r="FJ508" s="321" t="s">
        <v>33087</v>
      </c>
      <c r="FK508" s="214" t="s">
        <v>165</v>
      </c>
      <c r="FL508" s="214" t="s">
        <v>70</v>
      </c>
      <c r="FM508" s="214" t="s">
        <v>530</v>
      </c>
      <c r="FO508" s="321" t="s">
        <v>33088</v>
      </c>
      <c r="FP508" s="214" t="s">
        <v>52</v>
      </c>
      <c r="FQ508" s="214" t="s">
        <v>70</v>
      </c>
      <c r="FR508" s="214" t="s">
        <v>530</v>
      </c>
      <c r="FT508" s="321" t="s">
        <v>33089</v>
      </c>
      <c r="FU508" s="214" t="s">
        <v>34578</v>
      </c>
      <c r="FV508" s="214" t="s">
        <v>70</v>
      </c>
      <c r="FW508" s="214" t="s">
        <v>530</v>
      </c>
      <c r="FY508" s="321" t="s">
        <v>33090</v>
      </c>
      <c r="FZ508" s="214" t="s">
        <v>653</v>
      </c>
      <c r="GA508" s="214" t="s">
        <v>70</v>
      </c>
      <c r="GB508" s="214" t="s">
        <v>530</v>
      </c>
      <c r="GD508" s="321" t="s">
        <v>33091</v>
      </c>
      <c r="GE508" s="214" t="s">
        <v>502</v>
      </c>
      <c r="GF508" s="214" t="s">
        <v>70</v>
      </c>
      <c r="GG508" s="214" t="s">
        <v>530</v>
      </c>
      <c r="GI508" s="321" t="s">
        <v>33092</v>
      </c>
      <c r="GJ508" s="214" t="s">
        <v>642</v>
      </c>
      <c r="GK508" s="214" t="s">
        <v>70</v>
      </c>
      <c r="GL508" s="214" t="s">
        <v>530</v>
      </c>
      <c r="GN508" s="321" t="s">
        <v>33093</v>
      </c>
      <c r="GO508" s="214" t="s">
        <v>145</v>
      </c>
      <c r="GP508" s="214" t="s">
        <v>70</v>
      </c>
      <c r="GQ508" s="214" t="s">
        <v>530</v>
      </c>
      <c r="GS508" s="321" t="s">
        <v>33094</v>
      </c>
      <c r="GT508" s="214" t="s">
        <v>913</v>
      </c>
      <c r="GU508" s="214" t="s">
        <v>70</v>
      </c>
      <c r="GV508" s="214" t="s">
        <v>530</v>
      </c>
      <c r="GX508" s="214" t="s">
        <v>33095</v>
      </c>
      <c r="GY508" s="214" t="s">
        <v>500</v>
      </c>
      <c r="GZ508" s="214" t="s">
        <v>70</v>
      </c>
      <c r="HA508" s="214" t="s">
        <v>530</v>
      </c>
      <c r="HC508" s="214" t="s">
        <v>33096</v>
      </c>
      <c r="HD508" s="214" t="s">
        <v>34574</v>
      </c>
      <c r="HE508" s="214" t="s">
        <v>70</v>
      </c>
      <c r="HF508" s="214" t="s">
        <v>530</v>
      </c>
      <c r="HH508" s="214" t="s">
        <v>33097</v>
      </c>
      <c r="HI508" s="214" t="s">
        <v>145</v>
      </c>
      <c r="HJ508" s="214" t="s">
        <v>70</v>
      </c>
      <c r="HK508" s="214" t="s">
        <v>530</v>
      </c>
      <c r="HM508" s="214" t="s">
        <v>33098</v>
      </c>
      <c r="HN508" s="214" t="s">
        <v>642</v>
      </c>
      <c r="HO508" s="214" t="s">
        <v>70</v>
      </c>
      <c r="HP508" s="214" t="s">
        <v>530</v>
      </c>
      <c r="HR508" s="22" t="s">
        <v>33099</v>
      </c>
      <c r="HS508" s="22" t="s">
        <v>34606</v>
      </c>
      <c r="HT508" s="22" t="s">
        <v>70</v>
      </c>
      <c r="HU508" s="214" t="s">
        <v>530</v>
      </c>
      <c r="HW508" s="22" t="s">
        <v>33100</v>
      </c>
      <c r="HX508" s="22" t="s">
        <v>34538</v>
      </c>
      <c r="HY508" s="22" t="s">
        <v>70</v>
      </c>
      <c r="HZ508" s="214" t="s">
        <v>530</v>
      </c>
      <c r="IB508" s="22" t="s">
        <v>33101</v>
      </c>
      <c r="IC508" s="22" t="s">
        <v>485</v>
      </c>
      <c r="ID508" s="22" t="s">
        <v>70</v>
      </c>
      <c r="IE508" s="214" t="s">
        <v>530</v>
      </c>
      <c r="IG508" s="22" t="s">
        <v>33102</v>
      </c>
      <c r="IH508" s="22" t="s">
        <v>52</v>
      </c>
      <c r="II508" s="22" t="s">
        <v>70</v>
      </c>
      <c r="IJ508" s="214" t="s">
        <v>530</v>
      </c>
      <c r="IL508" s="22" t="s">
        <v>33103</v>
      </c>
      <c r="IM508" s="22" t="s">
        <v>145</v>
      </c>
      <c r="IN508" s="22" t="s">
        <v>70</v>
      </c>
      <c r="IO508" s="214" t="s">
        <v>530</v>
      </c>
      <c r="IQ508" s="236" t="s">
        <v>33104</v>
      </c>
      <c r="IR508" s="236" t="s">
        <v>145</v>
      </c>
      <c r="IS508" s="236" t="s">
        <v>74</v>
      </c>
      <c r="IT508" s="236" t="s">
        <v>841</v>
      </c>
      <c r="IV508" s="236" t="s">
        <v>33105</v>
      </c>
      <c r="IW508" s="236" t="s">
        <v>145</v>
      </c>
      <c r="IX508" s="236" t="s">
        <v>74</v>
      </c>
      <c r="IY508" s="236" t="s">
        <v>841</v>
      </c>
      <c r="JA508" s="236" t="s">
        <v>33106</v>
      </c>
      <c r="JB508" s="236" t="s">
        <v>145</v>
      </c>
      <c r="JC508" s="236" t="s">
        <v>74</v>
      </c>
      <c r="JD508" s="236" t="s">
        <v>841</v>
      </c>
      <c r="JF508" s="236" t="s">
        <v>33107</v>
      </c>
      <c r="JG508" s="236" t="s">
        <v>145</v>
      </c>
      <c r="JH508" s="236" t="s">
        <v>74</v>
      </c>
      <c r="JI508" s="236" t="s">
        <v>841</v>
      </c>
      <c r="JK508" s="236" t="s">
        <v>33108</v>
      </c>
      <c r="JL508" s="236" t="s">
        <v>145</v>
      </c>
      <c r="JM508" s="236" t="s">
        <v>74</v>
      </c>
      <c r="JN508" s="236" t="s">
        <v>841</v>
      </c>
      <c r="JP508" s="236" t="s">
        <v>33109</v>
      </c>
      <c r="JQ508" s="236" t="s">
        <v>145</v>
      </c>
      <c r="JR508" s="236" t="s">
        <v>74</v>
      </c>
      <c r="JS508" s="236" t="s">
        <v>841</v>
      </c>
      <c r="JU508" s="294" t="s">
        <v>33110</v>
      </c>
      <c r="JV508" s="294" t="s">
        <v>52</v>
      </c>
      <c r="JW508" s="263" t="s">
        <v>70</v>
      </c>
      <c r="JX508" s="294" t="s">
        <v>1083</v>
      </c>
      <c r="JZ508" s="263" t="s">
        <v>33111</v>
      </c>
      <c r="KA508" s="263" t="s">
        <v>145</v>
      </c>
      <c r="KB508" s="263" t="s">
        <v>70</v>
      </c>
      <c r="KC508" s="263" t="s">
        <v>1083</v>
      </c>
      <c r="KE508" s="263" t="s">
        <v>33112</v>
      </c>
      <c r="KF508" s="263" t="s">
        <v>52</v>
      </c>
      <c r="KG508" s="263" t="s">
        <v>70</v>
      </c>
      <c r="KH508" s="263" t="s">
        <v>1083</v>
      </c>
      <c r="KJ508" s="263" t="s">
        <v>33113</v>
      </c>
      <c r="KK508" s="263" t="s">
        <v>52</v>
      </c>
      <c r="KL508" s="263" t="s">
        <v>74</v>
      </c>
      <c r="KM508" s="263" t="s">
        <v>34074</v>
      </c>
      <c r="KO508" s="214" t="s">
        <v>33114</v>
      </c>
      <c r="KP508" s="214" t="s">
        <v>145</v>
      </c>
      <c r="KQ508" s="214" t="s">
        <v>70</v>
      </c>
      <c r="KR508" s="214" t="s">
        <v>67</v>
      </c>
      <c r="KT508" s="22" t="s">
        <v>33115</v>
      </c>
      <c r="KU508" s="22" t="s">
        <v>145</v>
      </c>
      <c r="KV508" s="22" t="s">
        <v>70</v>
      </c>
      <c r="KW508" s="22" t="s">
        <v>67</v>
      </c>
      <c r="KY508" s="214" t="s">
        <v>33116</v>
      </c>
      <c r="KZ508" s="214" t="s">
        <v>52</v>
      </c>
      <c r="LA508" s="214" t="s">
        <v>74</v>
      </c>
      <c r="LB508" s="218" t="s">
        <v>34511</v>
      </c>
      <c r="LD508" s="22" t="s">
        <v>33117</v>
      </c>
      <c r="LE508" s="22" t="s">
        <v>145</v>
      </c>
      <c r="LF508" s="22" t="s">
        <v>70</v>
      </c>
      <c r="LG508" s="22" t="s">
        <v>67</v>
      </c>
    </row>
    <row r="509" spans="1:319">
      <c r="A509" s="22" t="s">
        <v>33118</v>
      </c>
      <c r="B509" s="22" t="s">
        <v>145</v>
      </c>
      <c r="C509" s="22" t="s">
        <v>70</v>
      </c>
      <c r="D509" s="22" t="s">
        <v>67</v>
      </c>
      <c r="F509" s="72" t="s">
        <v>33119</v>
      </c>
      <c r="G509" s="22" t="s">
        <v>145</v>
      </c>
      <c r="H509" s="22" t="s">
        <v>70</v>
      </c>
      <c r="I509" s="22" t="s">
        <v>67</v>
      </c>
      <c r="K509" s="99" t="s">
        <v>33120</v>
      </c>
      <c r="L509" s="22" t="s">
        <v>145</v>
      </c>
      <c r="M509" s="22" t="s">
        <v>70</v>
      </c>
      <c r="N509" s="22" t="s">
        <v>67</v>
      </c>
      <c r="P509" s="99" t="s">
        <v>33121</v>
      </c>
      <c r="Q509" s="22" t="s">
        <v>145</v>
      </c>
      <c r="R509" s="22" t="s">
        <v>70</v>
      </c>
      <c r="S509" s="22" t="s">
        <v>67</v>
      </c>
      <c r="U509" s="293" t="s">
        <v>33122</v>
      </c>
      <c r="V509" s="293" t="s">
        <v>145</v>
      </c>
      <c r="W509" s="293" t="s">
        <v>74</v>
      </c>
      <c r="X509" s="293" t="s">
        <v>656</v>
      </c>
      <c r="Z509" s="293" t="s">
        <v>33123</v>
      </c>
      <c r="AA509" s="293" t="s">
        <v>145</v>
      </c>
      <c r="AB509" s="293" t="s">
        <v>74</v>
      </c>
      <c r="AC509" s="293" t="s">
        <v>656</v>
      </c>
      <c r="AE509" s="293" t="s">
        <v>33124</v>
      </c>
      <c r="AF509" s="293" t="s">
        <v>145</v>
      </c>
      <c r="AG509" s="293" t="s">
        <v>74</v>
      </c>
      <c r="AH509" s="293" t="s">
        <v>656</v>
      </c>
      <c r="AJ509" s="293" t="s">
        <v>33125</v>
      </c>
      <c r="AK509" s="293" t="s">
        <v>145</v>
      </c>
      <c r="AL509" s="293" t="s">
        <v>74</v>
      </c>
      <c r="AM509" s="293" t="s">
        <v>656</v>
      </c>
      <c r="AO509" s="22" t="s">
        <v>33126</v>
      </c>
      <c r="AP509" s="22" t="s">
        <v>145</v>
      </c>
      <c r="AQ509" s="22" t="s">
        <v>70</v>
      </c>
      <c r="AR509" s="22" t="s">
        <v>67</v>
      </c>
      <c r="AT509" s="22" t="s">
        <v>33127</v>
      </c>
      <c r="AU509" s="22" t="s">
        <v>145</v>
      </c>
      <c r="AV509" s="22" t="s">
        <v>70</v>
      </c>
      <c r="AW509" s="22" t="s">
        <v>67</v>
      </c>
      <c r="AY509" s="22" t="s">
        <v>33128</v>
      </c>
      <c r="AZ509" s="22" t="s">
        <v>145</v>
      </c>
      <c r="BA509" s="22" t="s">
        <v>70</v>
      </c>
      <c r="BB509" s="22" t="s">
        <v>67</v>
      </c>
      <c r="BD509" s="22" t="s">
        <v>33129</v>
      </c>
      <c r="BE509" s="22" t="s">
        <v>145</v>
      </c>
      <c r="BF509" s="22" t="s">
        <v>70</v>
      </c>
      <c r="BG509" s="22" t="s">
        <v>67</v>
      </c>
      <c r="BI509" s="22" t="s">
        <v>33130</v>
      </c>
      <c r="BJ509" s="22" t="s">
        <v>145</v>
      </c>
      <c r="BK509" s="22" t="s">
        <v>70</v>
      </c>
      <c r="BL509" s="22" t="s">
        <v>67</v>
      </c>
      <c r="BN509" s="22" t="s">
        <v>33131</v>
      </c>
      <c r="BO509" s="22" t="s">
        <v>145</v>
      </c>
      <c r="BP509" s="22" t="s">
        <v>70</v>
      </c>
      <c r="BQ509" s="22" t="s">
        <v>67</v>
      </c>
      <c r="BS509" s="22" t="s">
        <v>33132</v>
      </c>
      <c r="BT509" s="22" t="s">
        <v>145</v>
      </c>
      <c r="BU509" s="22" t="s">
        <v>70</v>
      </c>
      <c r="BV509" s="214" t="s">
        <v>530</v>
      </c>
      <c r="BX509" s="22" t="s">
        <v>33133</v>
      </c>
      <c r="BY509" s="22" t="s">
        <v>145</v>
      </c>
      <c r="BZ509" s="22" t="s">
        <v>70</v>
      </c>
      <c r="CA509" s="214" t="s">
        <v>530</v>
      </c>
      <c r="CC509" s="214" t="s">
        <v>33134</v>
      </c>
      <c r="CD509" s="214" t="s">
        <v>149</v>
      </c>
      <c r="CE509" s="214" t="s">
        <v>70</v>
      </c>
      <c r="CF509" s="214" t="s">
        <v>530</v>
      </c>
      <c r="CH509" s="214" t="s">
        <v>33135</v>
      </c>
      <c r="CI509" s="214" t="s">
        <v>950</v>
      </c>
      <c r="CJ509" s="214" t="s">
        <v>70</v>
      </c>
      <c r="CK509" s="214" t="s">
        <v>530</v>
      </c>
      <c r="CM509" s="214" t="s">
        <v>33136</v>
      </c>
      <c r="CN509" s="214" t="s">
        <v>146</v>
      </c>
      <c r="CO509" s="214" t="s">
        <v>70</v>
      </c>
      <c r="CP509" s="214" t="s">
        <v>530</v>
      </c>
      <c r="CR509" s="214" t="s">
        <v>33137</v>
      </c>
      <c r="CS509" s="214" t="s">
        <v>34540</v>
      </c>
      <c r="CT509" s="214" t="s">
        <v>70</v>
      </c>
      <c r="CU509" s="214" t="s">
        <v>530</v>
      </c>
      <c r="CW509" s="214" t="s">
        <v>33138</v>
      </c>
      <c r="CX509" s="214" t="s">
        <v>52</v>
      </c>
      <c r="CY509" s="214" t="s">
        <v>70</v>
      </c>
      <c r="CZ509" s="214" t="s">
        <v>530</v>
      </c>
      <c r="DB509" s="214" t="s">
        <v>33139</v>
      </c>
      <c r="DC509" s="214" t="s">
        <v>484</v>
      </c>
      <c r="DD509" s="214" t="s">
        <v>70</v>
      </c>
      <c r="DE509" s="214" t="s">
        <v>530</v>
      </c>
      <c r="DG509" s="214" t="s">
        <v>33140</v>
      </c>
      <c r="DH509" s="214" t="s">
        <v>52</v>
      </c>
      <c r="DI509" s="214" t="s">
        <v>70</v>
      </c>
      <c r="DJ509" s="214" t="s">
        <v>530</v>
      </c>
      <c r="DL509" s="214" t="s">
        <v>33141</v>
      </c>
      <c r="DM509" s="214" t="s">
        <v>950</v>
      </c>
      <c r="DN509" s="214" t="s">
        <v>70</v>
      </c>
      <c r="DO509" s="214" t="s">
        <v>530</v>
      </c>
      <c r="DQ509" s="214" t="s">
        <v>33142</v>
      </c>
      <c r="DR509" s="214" t="s">
        <v>34620</v>
      </c>
      <c r="DS509" s="214" t="s">
        <v>70</v>
      </c>
      <c r="DT509" s="214" t="s">
        <v>530</v>
      </c>
      <c r="DV509" s="214" t="s">
        <v>33143</v>
      </c>
      <c r="DW509" s="214" t="s">
        <v>163</v>
      </c>
      <c r="DX509" s="214" t="s">
        <v>70</v>
      </c>
      <c r="DY509" s="214" t="s">
        <v>530</v>
      </c>
      <c r="EA509" s="214" t="s">
        <v>33144</v>
      </c>
      <c r="EB509" s="214" t="s">
        <v>34566</v>
      </c>
      <c r="EC509" s="214" t="s">
        <v>70</v>
      </c>
      <c r="ED509" s="214" t="s">
        <v>530</v>
      </c>
      <c r="EF509" s="214" t="s">
        <v>33145</v>
      </c>
      <c r="EG509" s="214" t="s">
        <v>926</v>
      </c>
      <c r="EH509" s="214" t="s">
        <v>70</v>
      </c>
      <c r="EI509" s="214" t="s">
        <v>530</v>
      </c>
      <c r="EK509" s="214" t="s">
        <v>33146</v>
      </c>
      <c r="EL509" s="214" t="s">
        <v>598</v>
      </c>
      <c r="EM509" s="214" t="s">
        <v>70</v>
      </c>
      <c r="EN509" s="214" t="s">
        <v>530</v>
      </c>
      <c r="EP509" s="214" t="s">
        <v>33147</v>
      </c>
      <c r="EQ509" s="214" t="s">
        <v>1028</v>
      </c>
      <c r="ER509" s="214" t="s">
        <v>70</v>
      </c>
      <c r="ES509" s="214" t="s">
        <v>530</v>
      </c>
      <c r="EU509" s="214" t="s">
        <v>33148</v>
      </c>
      <c r="EV509" s="214" t="s">
        <v>487</v>
      </c>
      <c r="EW509" s="214" t="s">
        <v>70</v>
      </c>
      <c r="EX509" s="214" t="s">
        <v>530</v>
      </c>
      <c r="EZ509" s="214" t="s">
        <v>33149</v>
      </c>
      <c r="FA509" s="214" t="s">
        <v>34569</v>
      </c>
      <c r="FB509" s="214" t="s">
        <v>70</v>
      </c>
      <c r="FC509" s="214" t="s">
        <v>530</v>
      </c>
      <c r="FE509" s="214" t="s">
        <v>33150</v>
      </c>
      <c r="FF509" s="214" t="s">
        <v>146</v>
      </c>
      <c r="FG509" s="214" t="s">
        <v>70</v>
      </c>
      <c r="FH509" s="214" t="s">
        <v>530</v>
      </c>
      <c r="FJ509" s="321" t="s">
        <v>33151</v>
      </c>
      <c r="FK509" s="214" t="s">
        <v>52</v>
      </c>
      <c r="FL509" s="214" t="s">
        <v>70</v>
      </c>
      <c r="FM509" s="214" t="s">
        <v>530</v>
      </c>
      <c r="FO509" s="321" t="s">
        <v>33152</v>
      </c>
      <c r="FP509" s="214" t="s">
        <v>203</v>
      </c>
      <c r="FQ509" s="214" t="s">
        <v>70</v>
      </c>
      <c r="FR509" s="214" t="s">
        <v>530</v>
      </c>
      <c r="FT509" s="321" t="s">
        <v>33153</v>
      </c>
      <c r="FU509" s="214" t="s">
        <v>531</v>
      </c>
      <c r="FV509" s="214" t="s">
        <v>70</v>
      </c>
      <c r="FW509" s="214" t="s">
        <v>530</v>
      </c>
      <c r="FY509" s="321" t="s">
        <v>33154</v>
      </c>
      <c r="FZ509" s="214" t="s">
        <v>34566</v>
      </c>
      <c r="GA509" s="214" t="s">
        <v>70</v>
      </c>
      <c r="GB509" s="214" t="s">
        <v>530</v>
      </c>
      <c r="GD509" s="321" t="s">
        <v>33155</v>
      </c>
      <c r="GE509" s="214" t="s">
        <v>34542</v>
      </c>
      <c r="GF509" s="214" t="s">
        <v>70</v>
      </c>
      <c r="GG509" s="214" t="s">
        <v>530</v>
      </c>
      <c r="GI509" s="321" t="s">
        <v>33156</v>
      </c>
      <c r="GJ509" s="214" t="s">
        <v>34547</v>
      </c>
      <c r="GK509" s="214" t="s">
        <v>70</v>
      </c>
      <c r="GL509" s="214" t="s">
        <v>530</v>
      </c>
      <c r="GN509" s="321" t="s">
        <v>33157</v>
      </c>
      <c r="GO509" s="214" t="s">
        <v>34541</v>
      </c>
      <c r="GP509" s="214" t="s">
        <v>70</v>
      </c>
      <c r="GQ509" s="214" t="s">
        <v>530</v>
      </c>
      <c r="GS509" s="321" t="s">
        <v>33158</v>
      </c>
      <c r="GT509" s="214" t="s">
        <v>34556</v>
      </c>
      <c r="GU509" s="214" t="s">
        <v>70</v>
      </c>
      <c r="GV509" s="214" t="s">
        <v>530</v>
      </c>
      <c r="GX509" s="214" t="s">
        <v>33159</v>
      </c>
      <c r="GY509" s="214" t="s">
        <v>486</v>
      </c>
      <c r="GZ509" s="214" t="s">
        <v>70</v>
      </c>
      <c r="HA509" s="214" t="s">
        <v>530</v>
      </c>
      <c r="HC509" s="214" t="s">
        <v>33160</v>
      </c>
      <c r="HD509" s="214" t="s">
        <v>488</v>
      </c>
      <c r="HE509" s="214" t="s">
        <v>70</v>
      </c>
      <c r="HF509" s="214" t="s">
        <v>530</v>
      </c>
      <c r="HH509" s="214" t="s">
        <v>33161</v>
      </c>
      <c r="HI509" s="214" t="s">
        <v>34541</v>
      </c>
      <c r="HJ509" s="214" t="s">
        <v>70</v>
      </c>
      <c r="HK509" s="214" t="s">
        <v>530</v>
      </c>
      <c r="HM509" s="214" t="s">
        <v>33162</v>
      </c>
      <c r="HN509" s="214" t="s">
        <v>88</v>
      </c>
      <c r="HO509" s="214" t="s">
        <v>70</v>
      </c>
      <c r="HP509" s="214" t="s">
        <v>530</v>
      </c>
      <c r="HR509" s="22" t="s">
        <v>33163</v>
      </c>
      <c r="HS509" s="22" t="s">
        <v>34566</v>
      </c>
      <c r="HT509" s="22" t="s">
        <v>70</v>
      </c>
      <c r="HU509" s="214" t="s">
        <v>530</v>
      </c>
      <c r="HW509" s="22" t="s">
        <v>33164</v>
      </c>
      <c r="HX509" s="22" t="s">
        <v>496</v>
      </c>
      <c r="HY509" s="22" t="s">
        <v>70</v>
      </c>
      <c r="HZ509" s="214" t="s">
        <v>530</v>
      </c>
      <c r="IB509" s="22" t="s">
        <v>33165</v>
      </c>
      <c r="IC509" s="22" t="s">
        <v>52</v>
      </c>
      <c r="ID509" s="22" t="s">
        <v>70</v>
      </c>
      <c r="IE509" s="214" t="s">
        <v>530</v>
      </c>
      <c r="IG509" s="22" t="s">
        <v>33166</v>
      </c>
      <c r="IH509" s="22" t="s">
        <v>52</v>
      </c>
      <c r="II509" s="22" t="s">
        <v>70</v>
      </c>
      <c r="IJ509" s="214" t="s">
        <v>530</v>
      </c>
      <c r="IL509" s="22" t="s">
        <v>33167</v>
      </c>
      <c r="IM509" s="22" t="s">
        <v>145</v>
      </c>
      <c r="IN509" s="22" t="s">
        <v>70</v>
      </c>
      <c r="IO509" s="214" t="s">
        <v>530</v>
      </c>
      <c r="IQ509" s="236" t="s">
        <v>33168</v>
      </c>
      <c r="IR509" s="236" t="s">
        <v>145</v>
      </c>
      <c r="IS509" s="236" t="s">
        <v>74</v>
      </c>
      <c r="IT509" s="236" t="s">
        <v>841</v>
      </c>
      <c r="IV509" s="236" t="s">
        <v>33169</v>
      </c>
      <c r="IW509" s="236" t="s">
        <v>145</v>
      </c>
      <c r="IX509" s="236" t="s">
        <v>74</v>
      </c>
      <c r="IY509" s="236" t="s">
        <v>841</v>
      </c>
      <c r="JA509" s="236" t="s">
        <v>33170</v>
      </c>
      <c r="JB509" s="236" t="s">
        <v>145</v>
      </c>
      <c r="JC509" s="236" t="s">
        <v>74</v>
      </c>
      <c r="JD509" s="236" t="s">
        <v>841</v>
      </c>
      <c r="JF509" s="236" t="s">
        <v>33171</v>
      </c>
      <c r="JG509" s="236" t="s">
        <v>145</v>
      </c>
      <c r="JH509" s="236" t="s">
        <v>74</v>
      </c>
      <c r="JI509" s="236" t="s">
        <v>841</v>
      </c>
      <c r="JK509" s="236" t="s">
        <v>33172</v>
      </c>
      <c r="JL509" s="236" t="s">
        <v>145</v>
      </c>
      <c r="JM509" s="236" t="s">
        <v>74</v>
      </c>
      <c r="JN509" s="236" t="s">
        <v>841</v>
      </c>
      <c r="JP509" s="236" t="s">
        <v>33173</v>
      </c>
      <c r="JQ509" s="236" t="s">
        <v>145</v>
      </c>
      <c r="JR509" s="236" t="s">
        <v>74</v>
      </c>
      <c r="JS509" s="236" t="s">
        <v>841</v>
      </c>
      <c r="JU509" s="294" t="s">
        <v>33174</v>
      </c>
      <c r="JV509" s="294" t="s">
        <v>52</v>
      </c>
      <c r="JW509" s="263" t="s">
        <v>70</v>
      </c>
      <c r="JX509" s="294" t="s">
        <v>1083</v>
      </c>
      <c r="JZ509" s="263" t="s">
        <v>33175</v>
      </c>
      <c r="KA509" s="263" t="s">
        <v>145</v>
      </c>
      <c r="KB509" s="263" t="s">
        <v>70</v>
      </c>
      <c r="KC509" s="263" t="s">
        <v>1083</v>
      </c>
      <c r="KE509" s="263" t="s">
        <v>33176</v>
      </c>
      <c r="KF509" s="263" t="s">
        <v>52</v>
      </c>
      <c r="KG509" s="263" t="s">
        <v>70</v>
      </c>
      <c r="KH509" s="263" t="s">
        <v>1083</v>
      </c>
      <c r="KJ509" s="263" t="s">
        <v>33177</v>
      </c>
      <c r="KK509" s="263" t="s">
        <v>52</v>
      </c>
      <c r="KL509" s="263" t="s">
        <v>74</v>
      </c>
      <c r="KM509" s="263" t="s">
        <v>34074</v>
      </c>
      <c r="KO509" s="214" t="s">
        <v>33178</v>
      </c>
      <c r="KP509" s="214" t="s">
        <v>145</v>
      </c>
      <c r="KQ509" s="214" t="s">
        <v>70</v>
      </c>
      <c r="KR509" s="214" t="s">
        <v>67</v>
      </c>
      <c r="KT509" s="22" t="s">
        <v>33179</v>
      </c>
      <c r="KU509" s="22" t="s">
        <v>145</v>
      </c>
      <c r="KV509" s="22" t="s">
        <v>70</v>
      </c>
      <c r="KW509" s="22" t="s">
        <v>67</v>
      </c>
      <c r="KY509" s="214" t="s">
        <v>33180</v>
      </c>
      <c r="KZ509" s="214" t="s">
        <v>52</v>
      </c>
      <c r="LA509" s="214" t="s">
        <v>74</v>
      </c>
      <c r="LB509" s="218" t="s">
        <v>34511</v>
      </c>
      <c r="LD509" s="22" t="s">
        <v>33181</v>
      </c>
      <c r="LE509" s="22" t="s">
        <v>145</v>
      </c>
      <c r="LF509" s="22" t="s">
        <v>70</v>
      </c>
      <c r="LG509" s="22" t="s">
        <v>67</v>
      </c>
    </row>
    <row r="510" spans="1:319">
      <c r="A510" s="22" t="s">
        <v>33182</v>
      </c>
      <c r="B510" s="22" t="s">
        <v>145</v>
      </c>
      <c r="C510" s="22" t="s">
        <v>70</v>
      </c>
      <c r="D510" s="22" t="s">
        <v>67</v>
      </c>
      <c r="F510" s="72" t="s">
        <v>33183</v>
      </c>
      <c r="G510" s="22" t="s">
        <v>145</v>
      </c>
      <c r="H510" s="22" t="s">
        <v>70</v>
      </c>
      <c r="I510" s="22" t="s">
        <v>67</v>
      </c>
      <c r="K510" s="99" t="s">
        <v>33184</v>
      </c>
      <c r="L510" s="22" t="s">
        <v>145</v>
      </c>
      <c r="M510" s="22" t="s">
        <v>70</v>
      </c>
      <c r="N510" s="22" t="s">
        <v>67</v>
      </c>
      <c r="P510" s="99" t="s">
        <v>33185</v>
      </c>
      <c r="Q510" s="22" t="s">
        <v>145</v>
      </c>
      <c r="R510" s="22" t="s">
        <v>70</v>
      </c>
      <c r="S510" s="22" t="s">
        <v>67</v>
      </c>
      <c r="U510" s="293" t="s">
        <v>33186</v>
      </c>
      <c r="V510" s="293" t="s">
        <v>145</v>
      </c>
      <c r="W510" s="293" t="s">
        <v>74</v>
      </c>
      <c r="X510" s="293" t="s">
        <v>656</v>
      </c>
      <c r="Z510" s="293" t="s">
        <v>33187</v>
      </c>
      <c r="AA510" s="293" t="s">
        <v>145</v>
      </c>
      <c r="AB510" s="293" t="s">
        <v>74</v>
      </c>
      <c r="AC510" s="293" t="s">
        <v>656</v>
      </c>
      <c r="AE510" s="293" t="s">
        <v>33188</v>
      </c>
      <c r="AF510" s="293" t="s">
        <v>145</v>
      </c>
      <c r="AG510" s="293" t="s">
        <v>74</v>
      </c>
      <c r="AH510" s="293" t="s">
        <v>656</v>
      </c>
      <c r="AJ510" s="293" t="s">
        <v>33189</v>
      </c>
      <c r="AK510" s="293" t="s">
        <v>145</v>
      </c>
      <c r="AL510" s="293" t="s">
        <v>74</v>
      </c>
      <c r="AM510" s="293" t="s">
        <v>656</v>
      </c>
      <c r="AO510" s="22" t="s">
        <v>33190</v>
      </c>
      <c r="AP510" s="22" t="s">
        <v>145</v>
      </c>
      <c r="AQ510" s="22" t="s">
        <v>70</v>
      </c>
      <c r="AR510" s="22" t="s">
        <v>67</v>
      </c>
      <c r="AT510" s="22" t="s">
        <v>33191</v>
      </c>
      <c r="AU510" s="22" t="s">
        <v>145</v>
      </c>
      <c r="AV510" s="22" t="s">
        <v>70</v>
      </c>
      <c r="AW510" s="22" t="s">
        <v>67</v>
      </c>
      <c r="AY510" s="22" t="s">
        <v>33192</v>
      </c>
      <c r="AZ510" s="22" t="s">
        <v>145</v>
      </c>
      <c r="BA510" s="22" t="s">
        <v>70</v>
      </c>
      <c r="BB510" s="22" t="s">
        <v>67</v>
      </c>
      <c r="BD510" s="22" t="s">
        <v>33193</v>
      </c>
      <c r="BE510" s="22" t="s">
        <v>145</v>
      </c>
      <c r="BF510" s="22" t="s">
        <v>70</v>
      </c>
      <c r="BG510" s="22" t="s">
        <v>67</v>
      </c>
      <c r="BI510" s="22" t="s">
        <v>33194</v>
      </c>
      <c r="BJ510" s="22" t="s">
        <v>145</v>
      </c>
      <c r="BK510" s="22" t="s">
        <v>70</v>
      </c>
      <c r="BL510" s="22" t="s">
        <v>67</v>
      </c>
      <c r="BN510" s="22" t="s">
        <v>33195</v>
      </c>
      <c r="BO510" s="22" t="s">
        <v>145</v>
      </c>
      <c r="BP510" s="22" t="s">
        <v>70</v>
      </c>
      <c r="BQ510" s="22" t="s">
        <v>67</v>
      </c>
      <c r="BS510" s="22" t="s">
        <v>33196</v>
      </c>
      <c r="BT510" s="22" t="s">
        <v>145</v>
      </c>
      <c r="BU510" s="22" t="s">
        <v>70</v>
      </c>
      <c r="BV510" s="214" t="s">
        <v>530</v>
      </c>
      <c r="BX510" s="22" t="s">
        <v>33197</v>
      </c>
      <c r="BY510" s="22" t="s">
        <v>145</v>
      </c>
      <c r="BZ510" s="22" t="s">
        <v>70</v>
      </c>
      <c r="CA510" s="214" t="s">
        <v>530</v>
      </c>
      <c r="CC510" s="214" t="s">
        <v>33198</v>
      </c>
      <c r="CD510" s="214" t="s">
        <v>34579</v>
      </c>
      <c r="CE510" s="214" t="s">
        <v>70</v>
      </c>
      <c r="CF510" s="214" t="s">
        <v>530</v>
      </c>
      <c r="CH510" s="214" t="s">
        <v>33199</v>
      </c>
      <c r="CI510" s="214" t="s">
        <v>148</v>
      </c>
      <c r="CJ510" s="214" t="s">
        <v>70</v>
      </c>
      <c r="CK510" s="214" t="s">
        <v>530</v>
      </c>
      <c r="CM510" s="214" t="s">
        <v>33200</v>
      </c>
      <c r="CN510" s="214" t="s">
        <v>85</v>
      </c>
      <c r="CO510" s="214" t="s">
        <v>70</v>
      </c>
      <c r="CP510" s="214" t="s">
        <v>530</v>
      </c>
      <c r="CR510" s="214" t="s">
        <v>33201</v>
      </c>
      <c r="CS510" s="214" t="s">
        <v>34545</v>
      </c>
      <c r="CT510" s="214" t="s">
        <v>70</v>
      </c>
      <c r="CU510" s="214" t="s">
        <v>530</v>
      </c>
      <c r="CW510" s="214" t="s">
        <v>33202</v>
      </c>
      <c r="CX510" s="214" t="s">
        <v>86</v>
      </c>
      <c r="CY510" s="214" t="s">
        <v>70</v>
      </c>
      <c r="CZ510" s="214" t="s">
        <v>530</v>
      </c>
      <c r="DB510" s="214" t="s">
        <v>33203</v>
      </c>
      <c r="DC510" s="214" t="s">
        <v>485</v>
      </c>
      <c r="DD510" s="214" t="s">
        <v>70</v>
      </c>
      <c r="DE510" s="214" t="s">
        <v>530</v>
      </c>
      <c r="DG510" s="214" t="s">
        <v>33204</v>
      </c>
      <c r="DH510" s="214" t="s">
        <v>145</v>
      </c>
      <c r="DI510" s="214" t="s">
        <v>70</v>
      </c>
      <c r="DJ510" s="214" t="s">
        <v>530</v>
      </c>
      <c r="DL510" s="214" t="s">
        <v>33205</v>
      </c>
      <c r="DM510" s="214" t="s">
        <v>34586</v>
      </c>
      <c r="DN510" s="214" t="s">
        <v>70</v>
      </c>
      <c r="DO510" s="214" t="s">
        <v>530</v>
      </c>
      <c r="DQ510" s="214" t="s">
        <v>33206</v>
      </c>
      <c r="DR510" s="214" t="s">
        <v>951</v>
      </c>
      <c r="DS510" s="214" t="s">
        <v>70</v>
      </c>
      <c r="DT510" s="214" t="s">
        <v>530</v>
      </c>
      <c r="DV510" s="214" t="s">
        <v>33207</v>
      </c>
      <c r="DW510" s="214" t="s">
        <v>501</v>
      </c>
      <c r="DX510" s="214" t="s">
        <v>70</v>
      </c>
      <c r="DY510" s="214" t="s">
        <v>530</v>
      </c>
      <c r="EA510" s="214" t="s">
        <v>33208</v>
      </c>
      <c r="EB510" s="214" t="s">
        <v>924</v>
      </c>
      <c r="EC510" s="214" t="s">
        <v>70</v>
      </c>
      <c r="ED510" s="214" t="s">
        <v>530</v>
      </c>
      <c r="EF510" s="214" t="s">
        <v>33209</v>
      </c>
      <c r="EG510" s="214" t="s">
        <v>305</v>
      </c>
      <c r="EH510" s="214" t="s">
        <v>70</v>
      </c>
      <c r="EI510" s="214" t="s">
        <v>530</v>
      </c>
      <c r="EK510" s="214" t="s">
        <v>33210</v>
      </c>
      <c r="EL510" s="214" t="s">
        <v>145</v>
      </c>
      <c r="EM510" s="214" t="s">
        <v>70</v>
      </c>
      <c r="EN510" s="214" t="s">
        <v>530</v>
      </c>
      <c r="EP510" s="214" t="s">
        <v>33211</v>
      </c>
      <c r="EQ510" s="214" t="s">
        <v>765</v>
      </c>
      <c r="ER510" s="214" t="s">
        <v>70</v>
      </c>
      <c r="ES510" s="214" t="s">
        <v>530</v>
      </c>
      <c r="EU510" s="214" t="s">
        <v>33212</v>
      </c>
      <c r="EV510" s="214" t="s">
        <v>1028</v>
      </c>
      <c r="EW510" s="214" t="s">
        <v>70</v>
      </c>
      <c r="EX510" s="214" t="s">
        <v>530</v>
      </c>
      <c r="EZ510" s="214" t="s">
        <v>33213</v>
      </c>
      <c r="FA510" s="214" t="s">
        <v>148</v>
      </c>
      <c r="FB510" s="214" t="s">
        <v>70</v>
      </c>
      <c r="FC510" s="214" t="s">
        <v>530</v>
      </c>
      <c r="FE510" s="214" t="s">
        <v>33214</v>
      </c>
      <c r="FF510" s="214" t="s">
        <v>148</v>
      </c>
      <c r="FG510" s="214" t="s">
        <v>70</v>
      </c>
      <c r="FH510" s="214" t="s">
        <v>530</v>
      </c>
      <c r="FJ510" s="321" t="s">
        <v>33215</v>
      </c>
      <c r="FK510" s="214" t="s">
        <v>34540</v>
      </c>
      <c r="FL510" s="214" t="s">
        <v>70</v>
      </c>
      <c r="FM510" s="214" t="s">
        <v>530</v>
      </c>
      <c r="FO510" s="321" t="s">
        <v>33216</v>
      </c>
      <c r="FP510" s="214" t="s">
        <v>501</v>
      </c>
      <c r="FQ510" s="214" t="s">
        <v>70</v>
      </c>
      <c r="FR510" s="214" t="s">
        <v>530</v>
      </c>
      <c r="FT510" s="321" t="s">
        <v>33217</v>
      </c>
      <c r="FU510" s="214" t="s">
        <v>531</v>
      </c>
      <c r="FV510" s="214" t="s">
        <v>70</v>
      </c>
      <c r="FW510" s="214" t="s">
        <v>530</v>
      </c>
      <c r="FY510" s="321" t="s">
        <v>33218</v>
      </c>
      <c r="FZ510" s="214" t="s">
        <v>955</v>
      </c>
      <c r="GA510" s="214" t="s">
        <v>70</v>
      </c>
      <c r="GB510" s="214" t="s">
        <v>530</v>
      </c>
      <c r="GD510" s="321" t="s">
        <v>33219</v>
      </c>
      <c r="GE510" s="214" t="s">
        <v>163</v>
      </c>
      <c r="GF510" s="214" t="s">
        <v>70</v>
      </c>
      <c r="GG510" s="214" t="s">
        <v>530</v>
      </c>
      <c r="GI510" s="321" t="s">
        <v>33220</v>
      </c>
      <c r="GJ510" s="214" t="s">
        <v>490</v>
      </c>
      <c r="GK510" s="214" t="s">
        <v>70</v>
      </c>
      <c r="GL510" s="214" t="s">
        <v>530</v>
      </c>
      <c r="GN510" s="321" t="s">
        <v>33221</v>
      </c>
      <c r="GO510" s="214" t="s">
        <v>493</v>
      </c>
      <c r="GP510" s="214" t="s">
        <v>70</v>
      </c>
      <c r="GQ510" s="214" t="s">
        <v>530</v>
      </c>
      <c r="GS510" s="321" t="s">
        <v>33222</v>
      </c>
      <c r="GT510" s="214" t="s">
        <v>52</v>
      </c>
      <c r="GU510" s="214" t="s">
        <v>70</v>
      </c>
      <c r="GV510" s="214" t="s">
        <v>530</v>
      </c>
      <c r="GX510" s="214" t="s">
        <v>33223</v>
      </c>
      <c r="GY510" s="214" t="s">
        <v>92</v>
      </c>
      <c r="GZ510" s="214" t="s">
        <v>70</v>
      </c>
      <c r="HA510" s="214" t="s">
        <v>530</v>
      </c>
      <c r="HC510" s="214" t="s">
        <v>33224</v>
      </c>
      <c r="HD510" s="214" t="s">
        <v>912</v>
      </c>
      <c r="HE510" s="214" t="s">
        <v>70</v>
      </c>
      <c r="HF510" s="214" t="s">
        <v>530</v>
      </c>
      <c r="HH510" s="214" t="s">
        <v>33225</v>
      </c>
      <c r="HI510" s="214" t="s">
        <v>34575</v>
      </c>
      <c r="HJ510" s="214" t="s">
        <v>70</v>
      </c>
      <c r="HK510" s="214" t="s">
        <v>530</v>
      </c>
      <c r="HM510" s="214" t="s">
        <v>33226</v>
      </c>
      <c r="HN510" s="214" t="s">
        <v>163</v>
      </c>
      <c r="HO510" s="214" t="s">
        <v>70</v>
      </c>
      <c r="HP510" s="214" t="s">
        <v>530</v>
      </c>
      <c r="HR510" s="22" t="s">
        <v>33227</v>
      </c>
      <c r="HS510" s="22" t="s">
        <v>34604</v>
      </c>
      <c r="HT510" s="22" t="s">
        <v>70</v>
      </c>
      <c r="HU510" s="214" t="s">
        <v>530</v>
      </c>
      <c r="HW510" s="22" t="s">
        <v>33228</v>
      </c>
      <c r="HX510" s="22" t="s">
        <v>52</v>
      </c>
      <c r="HY510" s="22" t="s">
        <v>70</v>
      </c>
      <c r="HZ510" s="214" t="s">
        <v>530</v>
      </c>
      <c r="IB510" s="22" t="s">
        <v>33229</v>
      </c>
      <c r="IC510" s="22" t="s">
        <v>34405</v>
      </c>
      <c r="ID510" s="22" t="s">
        <v>70</v>
      </c>
      <c r="IE510" s="214" t="s">
        <v>530</v>
      </c>
      <c r="IG510" s="22" t="s">
        <v>33230</v>
      </c>
      <c r="IH510" s="22" t="s">
        <v>52</v>
      </c>
      <c r="II510" s="22" t="s">
        <v>70</v>
      </c>
      <c r="IJ510" s="214" t="s">
        <v>530</v>
      </c>
      <c r="IL510" s="22" t="s">
        <v>33231</v>
      </c>
      <c r="IM510" s="22" t="s">
        <v>145</v>
      </c>
      <c r="IN510" s="22" t="s">
        <v>70</v>
      </c>
      <c r="IO510" s="214" t="s">
        <v>530</v>
      </c>
      <c r="IQ510" s="236" t="s">
        <v>33232</v>
      </c>
      <c r="IR510" s="236" t="s">
        <v>145</v>
      </c>
      <c r="IS510" s="236" t="s">
        <v>74</v>
      </c>
      <c r="IT510" s="236" t="s">
        <v>841</v>
      </c>
      <c r="IV510" s="236" t="s">
        <v>33233</v>
      </c>
      <c r="IW510" s="236" t="s">
        <v>145</v>
      </c>
      <c r="IX510" s="236" t="s">
        <v>74</v>
      </c>
      <c r="IY510" s="236" t="s">
        <v>841</v>
      </c>
      <c r="JA510" s="236" t="s">
        <v>33234</v>
      </c>
      <c r="JB510" s="236" t="s">
        <v>145</v>
      </c>
      <c r="JC510" s="236" t="s">
        <v>74</v>
      </c>
      <c r="JD510" s="236" t="s">
        <v>841</v>
      </c>
      <c r="JF510" s="236" t="s">
        <v>33235</v>
      </c>
      <c r="JG510" s="236" t="s">
        <v>145</v>
      </c>
      <c r="JH510" s="236" t="s">
        <v>74</v>
      </c>
      <c r="JI510" s="236" t="s">
        <v>841</v>
      </c>
      <c r="JK510" s="236" t="s">
        <v>33236</v>
      </c>
      <c r="JL510" s="236" t="s">
        <v>145</v>
      </c>
      <c r="JM510" s="236" t="s">
        <v>74</v>
      </c>
      <c r="JN510" s="236" t="s">
        <v>841</v>
      </c>
      <c r="JP510" s="236" t="s">
        <v>33237</v>
      </c>
      <c r="JQ510" s="236" t="s">
        <v>145</v>
      </c>
      <c r="JR510" s="236" t="s">
        <v>74</v>
      </c>
      <c r="JS510" s="236" t="s">
        <v>841</v>
      </c>
      <c r="JU510" s="294" t="s">
        <v>33238</v>
      </c>
      <c r="JV510" s="294" t="s">
        <v>52</v>
      </c>
      <c r="JW510" s="263" t="s">
        <v>70</v>
      </c>
      <c r="JX510" s="294" t="s">
        <v>1083</v>
      </c>
      <c r="JZ510" s="263" t="s">
        <v>33239</v>
      </c>
      <c r="KA510" s="263" t="s">
        <v>145</v>
      </c>
      <c r="KB510" s="263" t="s">
        <v>70</v>
      </c>
      <c r="KC510" s="263" t="s">
        <v>1083</v>
      </c>
      <c r="KE510" s="263" t="s">
        <v>33240</v>
      </c>
      <c r="KF510" s="263" t="s">
        <v>52</v>
      </c>
      <c r="KG510" s="263" t="s">
        <v>70</v>
      </c>
      <c r="KH510" s="263" t="s">
        <v>1083</v>
      </c>
      <c r="KJ510" s="263" t="s">
        <v>33241</v>
      </c>
      <c r="KK510" s="263" t="s">
        <v>52</v>
      </c>
      <c r="KL510" s="263" t="s">
        <v>74</v>
      </c>
      <c r="KM510" s="263" t="s">
        <v>34074</v>
      </c>
      <c r="KO510" s="214" t="s">
        <v>33242</v>
      </c>
      <c r="KP510" s="214" t="s">
        <v>145</v>
      </c>
      <c r="KQ510" s="214" t="s">
        <v>70</v>
      </c>
      <c r="KR510" s="214" t="s">
        <v>67</v>
      </c>
      <c r="KT510" s="22" t="s">
        <v>33243</v>
      </c>
      <c r="KU510" s="22" t="s">
        <v>145</v>
      </c>
      <c r="KV510" s="22" t="s">
        <v>70</v>
      </c>
      <c r="KW510" s="22" t="s">
        <v>67</v>
      </c>
      <c r="KY510" s="214" t="s">
        <v>33244</v>
      </c>
      <c r="KZ510" s="214" t="s">
        <v>52</v>
      </c>
      <c r="LA510" s="214" t="s">
        <v>74</v>
      </c>
      <c r="LB510" s="218" t="s">
        <v>34511</v>
      </c>
      <c r="LD510" s="22" t="s">
        <v>33245</v>
      </c>
      <c r="LE510" s="22" t="s">
        <v>145</v>
      </c>
      <c r="LF510" s="22" t="s">
        <v>70</v>
      </c>
      <c r="LG510" s="22" t="s">
        <v>67</v>
      </c>
    </row>
    <row r="511" spans="1:319">
      <c r="A511" s="22" t="s">
        <v>33246</v>
      </c>
      <c r="B511" s="22" t="s">
        <v>145</v>
      </c>
      <c r="C511" s="22" t="s">
        <v>70</v>
      </c>
      <c r="D511" s="22" t="s">
        <v>67</v>
      </c>
      <c r="F511" s="72" t="s">
        <v>33247</v>
      </c>
      <c r="G511" s="22" t="s">
        <v>145</v>
      </c>
      <c r="H511" s="22" t="s">
        <v>70</v>
      </c>
      <c r="I511" s="22" t="s">
        <v>67</v>
      </c>
      <c r="K511" s="99" t="s">
        <v>33248</v>
      </c>
      <c r="L511" s="22" t="s">
        <v>145</v>
      </c>
      <c r="M511" s="22" t="s">
        <v>70</v>
      </c>
      <c r="N511" s="22" t="s">
        <v>67</v>
      </c>
      <c r="P511" s="99" t="s">
        <v>33249</v>
      </c>
      <c r="Q511" s="22" t="s">
        <v>145</v>
      </c>
      <c r="R511" s="22" t="s">
        <v>70</v>
      </c>
      <c r="S511" s="22" t="s">
        <v>67</v>
      </c>
      <c r="U511" s="293" t="s">
        <v>33250</v>
      </c>
      <c r="V511" s="293" t="s">
        <v>145</v>
      </c>
      <c r="W511" s="293" t="s">
        <v>74</v>
      </c>
      <c r="X511" s="293" t="s">
        <v>656</v>
      </c>
      <c r="Z511" s="293" t="s">
        <v>33251</v>
      </c>
      <c r="AA511" s="293" t="s">
        <v>145</v>
      </c>
      <c r="AB511" s="293" t="s">
        <v>74</v>
      </c>
      <c r="AC511" s="293" t="s">
        <v>656</v>
      </c>
      <c r="AE511" s="293" t="s">
        <v>33252</v>
      </c>
      <c r="AF511" s="293" t="s">
        <v>145</v>
      </c>
      <c r="AG511" s="293" t="s">
        <v>74</v>
      </c>
      <c r="AH511" s="293" t="s">
        <v>656</v>
      </c>
      <c r="AJ511" s="293" t="s">
        <v>33253</v>
      </c>
      <c r="AK511" s="293" t="s">
        <v>145</v>
      </c>
      <c r="AL511" s="293" t="s">
        <v>74</v>
      </c>
      <c r="AM511" s="293" t="s">
        <v>656</v>
      </c>
      <c r="AO511" s="22" t="s">
        <v>33254</v>
      </c>
      <c r="AP511" s="22" t="s">
        <v>145</v>
      </c>
      <c r="AQ511" s="22" t="s">
        <v>70</v>
      </c>
      <c r="AR511" s="22" t="s">
        <v>67</v>
      </c>
      <c r="AT511" s="22" t="s">
        <v>33255</v>
      </c>
      <c r="AU511" s="22" t="s">
        <v>145</v>
      </c>
      <c r="AV511" s="22" t="s">
        <v>70</v>
      </c>
      <c r="AW511" s="22" t="s">
        <v>67</v>
      </c>
      <c r="AY511" s="22" t="s">
        <v>33256</v>
      </c>
      <c r="AZ511" s="22" t="s">
        <v>145</v>
      </c>
      <c r="BA511" s="22" t="s">
        <v>70</v>
      </c>
      <c r="BB511" s="22" t="s">
        <v>67</v>
      </c>
      <c r="BD511" s="22" t="s">
        <v>33257</v>
      </c>
      <c r="BE511" s="22" t="s">
        <v>145</v>
      </c>
      <c r="BF511" s="22" t="s">
        <v>70</v>
      </c>
      <c r="BG511" s="22" t="s">
        <v>67</v>
      </c>
      <c r="BI511" s="22" t="s">
        <v>33258</v>
      </c>
      <c r="BJ511" s="22" t="s">
        <v>145</v>
      </c>
      <c r="BK511" s="22" t="s">
        <v>70</v>
      </c>
      <c r="BL511" s="22" t="s">
        <v>67</v>
      </c>
      <c r="BN511" s="22" t="s">
        <v>33259</v>
      </c>
      <c r="BO511" s="22" t="s">
        <v>145</v>
      </c>
      <c r="BP511" s="22" t="s">
        <v>70</v>
      </c>
      <c r="BQ511" s="22" t="s">
        <v>67</v>
      </c>
      <c r="BS511" s="22" t="s">
        <v>33260</v>
      </c>
      <c r="BT511" s="22" t="s">
        <v>145</v>
      </c>
      <c r="BU511" s="22" t="s">
        <v>70</v>
      </c>
      <c r="BV511" s="214" t="s">
        <v>530</v>
      </c>
      <c r="BX511" s="22" t="s">
        <v>33261</v>
      </c>
      <c r="BY511" s="22" t="s">
        <v>145</v>
      </c>
      <c r="BZ511" s="22" t="s">
        <v>70</v>
      </c>
      <c r="CA511" s="214" t="s">
        <v>530</v>
      </c>
      <c r="CC511" s="214" t="s">
        <v>33262</v>
      </c>
      <c r="CD511" s="214" t="s">
        <v>601</v>
      </c>
      <c r="CE511" s="214" t="s">
        <v>70</v>
      </c>
      <c r="CF511" s="214" t="s">
        <v>530</v>
      </c>
      <c r="CH511" s="214" t="s">
        <v>33263</v>
      </c>
      <c r="CI511" s="214" t="s">
        <v>496</v>
      </c>
      <c r="CJ511" s="214" t="s">
        <v>70</v>
      </c>
      <c r="CK511" s="214" t="s">
        <v>530</v>
      </c>
      <c r="CM511" s="214" t="s">
        <v>33264</v>
      </c>
      <c r="CN511" s="214" t="s">
        <v>485</v>
      </c>
      <c r="CO511" s="214" t="s">
        <v>70</v>
      </c>
      <c r="CP511" s="214" t="s">
        <v>530</v>
      </c>
      <c r="CR511" s="214" t="s">
        <v>33265</v>
      </c>
      <c r="CS511" s="214" t="s">
        <v>34551</v>
      </c>
      <c r="CT511" s="214" t="s">
        <v>70</v>
      </c>
      <c r="CU511" s="214" t="s">
        <v>530</v>
      </c>
      <c r="CW511" s="214" t="s">
        <v>33266</v>
      </c>
      <c r="CX511" s="214" t="s">
        <v>86</v>
      </c>
      <c r="CY511" s="214" t="s">
        <v>70</v>
      </c>
      <c r="CZ511" s="214" t="s">
        <v>530</v>
      </c>
      <c r="DB511" s="214" t="s">
        <v>33267</v>
      </c>
      <c r="DC511" s="214" t="s">
        <v>146</v>
      </c>
      <c r="DD511" s="214" t="s">
        <v>70</v>
      </c>
      <c r="DE511" s="214" t="s">
        <v>530</v>
      </c>
      <c r="DG511" s="214" t="s">
        <v>33268</v>
      </c>
      <c r="DH511" s="214" t="s">
        <v>34541</v>
      </c>
      <c r="DI511" s="214" t="s">
        <v>70</v>
      </c>
      <c r="DJ511" s="214" t="s">
        <v>530</v>
      </c>
      <c r="DL511" s="214" t="s">
        <v>33269</v>
      </c>
      <c r="DM511" s="214" t="s">
        <v>491</v>
      </c>
      <c r="DN511" s="214" t="s">
        <v>70</v>
      </c>
      <c r="DO511" s="214" t="s">
        <v>530</v>
      </c>
      <c r="DQ511" s="214" t="s">
        <v>33270</v>
      </c>
      <c r="DR511" s="214" t="s">
        <v>88</v>
      </c>
      <c r="DS511" s="214" t="s">
        <v>70</v>
      </c>
      <c r="DT511" s="214" t="s">
        <v>530</v>
      </c>
      <c r="DV511" s="214" t="s">
        <v>33271</v>
      </c>
      <c r="DW511" s="214" t="s">
        <v>93</v>
      </c>
      <c r="DX511" s="214" t="s">
        <v>70</v>
      </c>
      <c r="DY511" s="214" t="s">
        <v>530</v>
      </c>
      <c r="EA511" s="214" t="s">
        <v>33272</v>
      </c>
      <c r="EB511" s="214" t="s">
        <v>146</v>
      </c>
      <c r="EC511" s="214" t="s">
        <v>70</v>
      </c>
      <c r="ED511" s="214" t="s">
        <v>530</v>
      </c>
      <c r="EF511" s="214" t="s">
        <v>33273</v>
      </c>
      <c r="EG511" s="214" t="s">
        <v>502</v>
      </c>
      <c r="EH511" s="214" t="s">
        <v>70</v>
      </c>
      <c r="EI511" s="214" t="s">
        <v>530</v>
      </c>
      <c r="EK511" s="214" t="s">
        <v>33274</v>
      </c>
      <c r="EL511" s="214" t="s">
        <v>34541</v>
      </c>
      <c r="EM511" s="214" t="s">
        <v>70</v>
      </c>
      <c r="EN511" s="214" t="s">
        <v>530</v>
      </c>
      <c r="EP511" s="214" t="s">
        <v>33275</v>
      </c>
      <c r="EQ511" s="214" t="s">
        <v>34544</v>
      </c>
      <c r="ER511" s="214" t="s">
        <v>70</v>
      </c>
      <c r="ES511" s="214" t="s">
        <v>530</v>
      </c>
      <c r="EU511" s="214" t="s">
        <v>33276</v>
      </c>
      <c r="EV511" s="214" t="s">
        <v>937</v>
      </c>
      <c r="EW511" s="214" t="s">
        <v>70</v>
      </c>
      <c r="EX511" s="214" t="s">
        <v>530</v>
      </c>
      <c r="EZ511" s="214" t="s">
        <v>33277</v>
      </c>
      <c r="FA511" s="214" t="s">
        <v>34544</v>
      </c>
      <c r="FB511" s="214" t="s">
        <v>70</v>
      </c>
      <c r="FC511" s="214" t="s">
        <v>530</v>
      </c>
      <c r="FE511" s="214" t="s">
        <v>33278</v>
      </c>
      <c r="FF511" s="214" t="s">
        <v>919</v>
      </c>
      <c r="FG511" s="214" t="s">
        <v>70</v>
      </c>
      <c r="FH511" s="214" t="s">
        <v>530</v>
      </c>
      <c r="FJ511" s="321" t="s">
        <v>33279</v>
      </c>
      <c r="FK511" s="214" t="s">
        <v>52</v>
      </c>
      <c r="FL511" s="214" t="s">
        <v>70</v>
      </c>
      <c r="FM511" s="214" t="s">
        <v>530</v>
      </c>
      <c r="FO511" s="321" t="s">
        <v>33280</v>
      </c>
      <c r="FP511" s="214" t="s">
        <v>145</v>
      </c>
      <c r="FQ511" s="214" t="s">
        <v>70</v>
      </c>
      <c r="FR511" s="214" t="s">
        <v>530</v>
      </c>
      <c r="FT511" s="321" t="s">
        <v>33281</v>
      </c>
      <c r="FU511" s="214" t="s">
        <v>146</v>
      </c>
      <c r="FV511" s="214" t="s">
        <v>70</v>
      </c>
      <c r="FW511" s="214" t="s">
        <v>530</v>
      </c>
      <c r="FY511" s="321" t="s">
        <v>33282</v>
      </c>
      <c r="FZ511" s="214" t="s">
        <v>492</v>
      </c>
      <c r="GA511" s="214" t="s">
        <v>70</v>
      </c>
      <c r="GB511" s="214" t="s">
        <v>530</v>
      </c>
      <c r="GD511" s="321" t="s">
        <v>33283</v>
      </c>
      <c r="GE511" s="214" t="s">
        <v>955</v>
      </c>
      <c r="GF511" s="214" t="s">
        <v>70</v>
      </c>
      <c r="GG511" s="214" t="s">
        <v>530</v>
      </c>
      <c r="GI511" s="321" t="s">
        <v>33284</v>
      </c>
      <c r="GJ511" s="214" t="s">
        <v>34542</v>
      </c>
      <c r="GK511" s="214" t="s">
        <v>70</v>
      </c>
      <c r="GL511" s="214" t="s">
        <v>530</v>
      </c>
      <c r="GN511" s="321" t="s">
        <v>33285</v>
      </c>
      <c r="GO511" s="214" t="s">
        <v>145</v>
      </c>
      <c r="GP511" s="214" t="s">
        <v>70</v>
      </c>
      <c r="GQ511" s="214" t="s">
        <v>530</v>
      </c>
      <c r="GS511" s="321" t="s">
        <v>33286</v>
      </c>
      <c r="GT511" s="214" t="s">
        <v>203</v>
      </c>
      <c r="GU511" s="214" t="s">
        <v>70</v>
      </c>
      <c r="GV511" s="214" t="s">
        <v>530</v>
      </c>
      <c r="GX511" s="214" t="s">
        <v>33287</v>
      </c>
      <c r="GY511" s="214" t="s">
        <v>488</v>
      </c>
      <c r="GZ511" s="214" t="s">
        <v>70</v>
      </c>
      <c r="HA511" s="214" t="s">
        <v>530</v>
      </c>
      <c r="HC511" s="214" t="s">
        <v>33288</v>
      </c>
      <c r="HD511" s="214" t="s">
        <v>484</v>
      </c>
      <c r="HE511" s="214" t="s">
        <v>70</v>
      </c>
      <c r="HF511" s="214" t="s">
        <v>530</v>
      </c>
      <c r="HH511" s="214" t="s">
        <v>33289</v>
      </c>
      <c r="HI511" s="214" t="s">
        <v>145</v>
      </c>
      <c r="HJ511" s="214" t="s">
        <v>70</v>
      </c>
      <c r="HK511" s="214" t="s">
        <v>530</v>
      </c>
      <c r="HM511" s="214" t="s">
        <v>33290</v>
      </c>
      <c r="HN511" s="214" t="s">
        <v>488</v>
      </c>
      <c r="HO511" s="214" t="s">
        <v>70</v>
      </c>
      <c r="HP511" s="214" t="s">
        <v>530</v>
      </c>
      <c r="HR511" s="22" t="s">
        <v>33291</v>
      </c>
      <c r="HS511" s="22" t="s">
        <v>287</v>
      </c>
      <c r="HT511" s="22" t="s">
        <v>70</v>
      </c>
      <c r="HU511" s="214" t="s">
        <v>530</v>
      </c>
      <c r="HW511" s="22" t="s">
        <v>33292</v>
      </c>
      <c r="HX511" s="22" t="s">
        <v>52</v>
      </c>
      <c r="HY511" s="22" t="s">
        <v>70</v>
      </c>
      <c r="HZ511" s="214" t="s">
        <v>530</v>
      </c>
      <c r="IB511" s="22" t="s">
        <v>33293</v>
      </c>
      <c r="IC511" s="22" t="s">
        <v>34541</v>
      </c>
      <c r="ID511" s="22" t="s">
        <v>70</v>
      </c>
      <c r="IE511" s="214" t="s">
        <v>530</v>
      </c>
      <c r="IG511" s="22" t="s">
        <v>33294</v>
      </c>
      <c r="IH511" s="22" t="s">
        <v>52</v>
      </c>
      <c r="II511" s="22" t="s">
        <v>70</v>
      </c>
      <c r="IJ511" s="214" t="s">
        <v>530</v>
      </c>
      <c r="IL511" s="22" t="s">
        <v>33295</v>
      </c>
      <c r="IM511" s="22" t="s">
        <v>145</v>
      </c>
      <c r="IN511" s="22" t="s">
        <v>70</v>
      </c>
      <c r="IO511" s="214" t="s">
        <v>530</v>
      </c>
      <c r="IQ511" s="236" t="s">
        <v>33296</v>
      </c>
      <c r="IR511" s="236" t="s">
        <v>145</v>
      </c>
      <c r="IS511" s="236" t="s">
        <v>74</v>
      </c>
      <c r="IT511" s="236" t="s">
        <v>841</v>
      </c>
      <c r="IV511" s="236" t="s">
        <v>33297</v>
      </c>
      <c r="IW511" s="236" t="s">
        <v>145</v>
      </c>
      <c r="IX511" s="236" t="s">
        <v>74</v>
      </c>
      <c r="IY511" s="236" t="s">
        <v>841</v>
      </c>
      <c r="JA511" s="236" t="s">
        <v>33298</v>
      </c>
      <c r="JB511" s="236" t="s">
        <v>145</v>
      </c>
      <c r="JC511" s="236" t="s">
        <v>74</v>
      </c>
      <c r="JD511" s="236" t="s">
        <v>841</v>
      </c>
      <c r="JF511" s="236" t="s">
        <v>33299</v>
      </c>
      <c r="JG511" s="236" t="s">
        <v>145</v>
      </c>
      <c r="JH511" s="236" t="s">
        <v>74</v>
      </c>
      <c r="JI511" s="236" t="s">
        <v>841</v>
      </c>
      <c r="JK511" s="236" t="s">
        <v>33300</v>
      </c>
      <c r="JL511" s="236" t="s">
        <v>145</v>
      </c>
      <c r="JM511" s="236" t="s">
        <v>74</v>
      </c>
      <c r="JN511" s="236" t="s">
        <v>841</v>
      </c>
      <c r="JP511" s="236" t="s">
        <v>33301</v>
      </c>
      <c r="JQ511" s="236" t="s">
        <v>145</v>
      </c>
      <c r="JR511" s="236" t="s">
        <v>74</v>
      </c>
      <c r="JS511" s="236" t="s">
        <v>841</v>
      </c>
      <c r="JU511" s="294" t="s">
        <v>33302</v>
      </c>
      <c r="JV511" s="294" t="s">
        <v>52</v>
      </c>
      <c r="JW511" s="263" t="s">
        <v>70</v>
      </c>
      <c r="JX511" s="294" t="s">
        <v>1083</v>
      </c>
      <c r="JZ511" s="263" t="s">
        <v>33303</v>
      </c>
      <c r="KA511" s="263" t="s">
        <v>145</v>
      </c>
      <c r="KB511" s="263" t="s">
        <v>70</v>
      </c>
      <c r="KC511" s="263" t="s">
        <v>1083</v>
      </c>
      <c r="KE511" s="263" t="s">
        <v>33304</v>
      </c>
      <c r="KF511" s="263" t="s">
        <v>52</v>
      </c>
      <c r="KG511" s="263" t="s">
        <v>70</v>
      </c>
      <c r="KH511" s="263" t="s">
        <v>1083</v>
      </c>
      <c r="KJ511" s="263" t="s">
        <v>33305</v>
      </c>
      <c r="KK511" s="263" t="s">
        <v>52</v>
      </c>
      <c r="KL511" s="263" t="s">
        <v>74</v>
      </c>
      <c r="KM511" s="263" t="s">
        <v>34074</v>
      </c>
      <c r="KO511" s="214" t="s">
        <v>33306</v>
      </c>
      <c r="KP511" s="214" t="s">
        <v>145</v>
      </c>
      <c r="KQ511" s="214" t="s">
        <v>70</v>
      </c>
      <c r="KR511" s="214" t="s">
        <v>67</v>
      </c>
      <c r="KT511" s="22" t="s">
        <v>33307</v>
      </c>
      <c r="KU511" s="22" t="s">
        <v>145</v>
      </c>
      <c r="KV511" s="22" t="s">
        <v>70</v>
      </c>
      <c r="KW511" s="22" t="s">
        <v>67</v>
      </c>
      <c r="KY511" s="214" t="s">
        <v>33308</v>
      </c>
      <c r="KZ511" s="214" t="s">
        <v>52</v>
      </c>
      <c r="LA511" s="214" t="s">
        <v>74</v>
      </c>
      <c r="LB511" s="218" t="s">
        <v>34511</v>
      </c>
      <c r="LD511" s="22" t="s">
        <v>33309</v>
      </c>
      <c r="LE511" s="22" t="s">
        <v>145</v>
      </c>
      <c r="LF511" s="22" t="s">
        <v>70</v>
      </c>
      <c r="LG511" s="22" t="s">
        <v>67</v>
      </c>
    </row>
    <row r="512" spans="1:319">
      <c r="A512" s="22" t="s">
        <v>33310</v>
      </c>
      <c r="B512" s="22" t="s">
        <v>145</v>
      </c>
      <c r="C512" s="22" t="s">
        <v>70</v>
      </c>
      <c r="D512" s="22" t="s">
        <v>67</v>
      </c>
      <c r="F512" s="72" t="s">
        <v>33311</v>
      </c>
      <c r="G512" s="22" t="s">
        <v>145</v>
      </c>
      <c r="H512" s="22" t="s">
        <v>70</v>
      </c>
      <c r="I512" s="22" t="s">
        <v>67</v>
      </c>
      <c r="K512" s="99" t="s">
        <v>33312</v>
      </c>
      <c r="L512" s="22" t="s">
        <v>145</v>
      </c>
      <c r="M512" s="22" t="s">
        <v>70</v>
      </c>
      <c r="N512" s="22" t="s">
        <v>67</v>
      </c>
      <c r="P512" s="99" t="s">
        <v>33313</v>
      </c>
      <c r="Q512" s="22" t="s">
        <v>145</v>
      </c>
      <c r="R512" s="22" t="s">
        <v>70</v>
      </c>
      <c r="S512" s="22" t="s">
        <v>67</v>
      </c>
      <c r="U512" s="293" t="s">
        <v>33314</v>
      </c>
      <c r="V512" s="293" t="s">
        <v>145</v>
      </c>
      <c r="W512" s="293" t="s">
        <v>74</v>
      </c>
      <c r="X512" s="293" t="s">
        <v>656</v>
      </c>
      <c r="Z512" s="293" t="s">
        <v>33315</v>
      </c>
      <c r="AA512" s="293" t="s">
        <v>145</v>
      </c>
      <c r="AB512" s="293" t="s">
        <v>74</v>
      </c>
      <c r="AC512" s="293" t="s">
        <v>656</v>
      </c>
      <c r="AE512" s="293" t="s">
        <v>33316</v>
      </c>
      <c r="AF512" s="293" t="s">
        <v>145</v>
      </c>
      <c r="AG512" s="293" t="s">
        <v>74</v>
      </c>
      <c r="AH512" s="293" t="s">
        <v>656</v>
      </c>
      <c r="AJ512" s="293" t="s">
        <v>33317</v>
      </c>
      <c r="AK512" s="293" t="s">
        <v>145</v>
      </c>
      <c r="AL512" s="293" t="s">
        <v>74</v>
      </c>
      <c r="AM512" s="293" t="s">
        <v>656</v>
      </c>
      <c r="AO512" s="22" t="s">
        <v>33318</v>
      </c>
      <c r="AP512" s="22" t="s">
        <v>145</v>
      </c>
      <c r="AQ512" s="22" t="s">
        <v>70</v>
      </c>
      <c r="AR512" s="22" t="s">
        <v>67</v>
      </c>
      <c r="AT512" s="22" t="s">
        <v>33319</v>
      </c>
      <c r="AU512" s="22" t="s">
        <v>145</v>
      </c>
      <c r="AV512" s="22" t="s">
        <v>70</v>
      </c>
      <c r="AW512" s="22" t="s">
        <v>67</v>
      </c>
      <c r="AY512" s="22" t="s">
        <v>33320</v>
      </c>
      <c r="AZ512" s="22" t="s">
        <v>145</v>
      </c>
      <c r="BA512" s="22" t="s">
        <v>70</v>
      </c>
      <c r="BB512" s="22" t="s">
        <v>67</v>
      </c>
      <c r="BD512" s="22" t="s">
        <v>33321</v>
      </c>
      <c r="BE512" s="22" t="s">
        <v>145</v>
      </c>
      <c r="BF512" s="22" t="s">
        <v>70</v>
      </c>
      <c r="BG512" s="22" t="s">
        <v>67</v>
      </c>
      <c r="BI512" s="22" t="s">
        <v>33322</v>
      </c>
      <c r="BJ512" s="22" t="s">
        <v>145</v>
      </c>
      <c r="BK512" s="22" t="s">
        <v>70</v>
      </c>
      <c r="BL512" s="22" t="s">
        <v>67</v>
      </c>
      <c r="BN512" s="22" t="s">
        <v>33323</v>
      </c>
      <c r="BO512" s="22" t="s">
        <v>145</v>
      </c>
      <c r="BP512" s="22" t="s">
        <v>70</v>
      </c>
      <c r="BQ512" s="22" t="s">
        <v>67</v>
      </c>
      <c r="BS512" s="22" t="s">
        <v>33324</v>
      </c>
      <c r="BT512" s="22" t="s">
        <v>145</v>
      </c>
      <c r="BU512" s="22" t="s">
        <v>70</v>
      </c>
      <c r="BV512" s="214" t="s">
        <v>530</v>
      </c>
      <c r="BX512" s="22" t="s">
        <v>33325</v>
      </c>
      <c r="BY512" s="22" t="s">
        <v>145</v>
      </c>
      <c r="BZ512" s="22" t="s">
        <v>70</v>
      </c>
      <c r="CA512" s="214" t="s">
        <v>530</v>
      </c>
      <c r="CC512" s="214" t="s">
        <v>33326</v>
      </c>
      <c r="CD512" s="214" t="s">
        <v>502</v>
      </c>
      <c r="CE512" s="214" t="s">
        <v>70</v>
      </c>
      <c r="CF512" s="214" t="s">
        <v>530</v>
      </c>
      <c r="CH512" s="214" t="s">
        <v>33327</v>
      </c>
      <c r="CI512" s="214" t="s">
        <v>498</v>
      </c>
      <c r="CJ512" s="214" t="s">
        <v>70</v>
      </c>
      <c r="CK512" s="214" t="s">
        <v>530</v>
      </c>
      <c r="CM512" s="214" t="s">
        <v>33328</v>
      </c>
      <c r="CN512" s="214" t="s">
        <v>34545</v>
      </c>
      <c r="CO512" s="214" t="s">
        <v>70</v>
      </c>
      <c r="CP512" s="214" t="s">
        <v>530</v>
      </c>
      <c r="CR512" s="214" t="s">
        <v>33329</v>
      </c>
      <c r="CS512" s="214" t="s">
        <v>206</v>
      </c>
      <c r="CT512" s="214" t="s">
        <v>70</v>
      </c>
      <c r="CU512" s="214" t="s">
        <v>530</v>
      </c>
      <c r="CW512" s="214" t="s">
        <v>33330</v>
      </c>
      <c r="CX512" s="214" t="s">
        <v>164</v>
      </c>
      <c r="CY512" s="214" t="s">
        <v>70</v>
      </c>
      <c r="CZ512" s="214" t="s">
        <v>530</v>
      </c>
      <c r="DB512" s="214" t="s">
        <v>33331</v>
      </c>
      <c r="DC512" s="214" t="s">
        <v>103</v>
      </c>
      <c r="DD512" s="214" t="s">
        <v>70</v>
      </c>
      <c r="DE512" s="214" t="s">
        <v>530</v>
      </c>
      <c r="DG512" s="214" t="s">
        <v>33332</v>
      </c>
      <c r="DH512" s="214" t="s">
        <v>765</v>
      </c>
      <c r="DI512" s="214" t="s">
        <v>70</v>
      </c>
      <c r="DJ512" s="214" t="s">
        <v>530</v>
      </c>
      <c r="DL512" s="214" t="s">
        <v>33333</v>
      </c>
      <c r="DM512" s="214" t="s">
        <v>52</v>
      </c>
      <c r="DN512" s="214" t="s">
        <v>70</v>
      </c>
      <c r="DO512" s="214" t="s">
        <v>530</v>
      </c>
      <c r="DQ512" s="214" t="s">
        <v>33334</v>
      </c>
      <c r="DR512" s="214" t="s">
        <v>952</v>
      </c>
      <c r="DS512" s="214" t="s">
        <v>70</v>
      </c>
      <c r="DT512" s="214" t="s">
        <v>530</v>
      </c>
      <c r="DV512" s="214" t="s">
        <v>33335</v>
      </c>
      <c r="DW512" s="214" t="s">
        <v>52</v>
      </c>
      <c r="DX512" s="214" t="s">
        <v>70</v>
      </c>
      <c r="DY512" s="214" t="s">
        <v>530</v>
      </c>
      <c r="EA512" s="214" t="s">
        <v>33336</v>
      </c>
      <c r="EB512" s="214" t="s">
        <v>34599</v>
      </c>
      <c r="EC512" s="214" t="s">
        <v>70</v>
      </c>
      <c r="ED512" s="214" t="s">
        <v>530</v>
      </c>
      <c r="EF512" s="214" t="s">
        <v>33337</v>
      </c>
      <c r="EG512" s="214" t="s">
        <v>145</v>
      </c>
      <c r="EH512" s="214" t="s">
        <v>70</v>
      </c>
      <c r="EI512" s="214" t="s">
        <v>530</v>
      </c>
      <c r="EK512" s="214" t="s">
        <v>33338</v>
      </c>
      <c r="EL512" s="214" t="s">
        <v>939</v>
      </c>
      <c r="EM512" s="214" t="s">
        <v>70</v>
      </c>
      <c r="EN512" s="214" t="s">
        <v>530</v>
      </c>
      <c r="EP512" s="214" t="s">
        <v>33339</v>
      </c>
      <c r="EQ512" s="214" t="s">
        <v>52</v>
      </c>
      <c r="ER512" s="214" t="s">
        <v>70</v>
      </c>
      <c r="ES512" s="214" t="s">
        <v>530</v>
      </c>
      <c r="EU512" s="214" t="s">
        <v>33340</v>
      </c>
      <c r="EV512" s="214" t="s">
        <v>34611</v>
      </c>
      <c r="EW512" s="214" t="s">
        <v>70</v>
      </c>
      <c r="EX512" s="214" t="s">
        <v>530</v>
      </c>
      <c r="EZ512" s="214" t="s">
        <v>33341</v>
      </c>
      <c r="FA512" s="214" t="s">
        <v>163</v>
      </c>
      <c r="FB512" s="214" t="s">
        <v>70</v>
      </c>
      <c r="FC512" s="214" t="s">
        <v>530</v>
      </c>
      <c r="FE512" s="214" t="s">
        <v>33342</v>
      </c>
      <c r="FF512" s="214" t="s">
        <v>34539</v>
      </c>
      <c r="FG512" s="214" t="s">
        <v>70</v>
      </c>
      <c r="FH512" s="214" t="s">
        <v>530</v>
      </c>
      <c r="FJ512" s="321" t="s">
        <v>33343</v>
      </c>
      <c r="FK512" s="214" t="s">
        <v>925</v>
      </c>
      <c r="FL512" s="214" t="s">
        <v>70</v>
      </c>
      <c r="FM512" s="214" t="s">
        <v>530</v>
      </c>
      <c r="FO512" s="321" t="s">
        <v>33344</v>
      </c>
      <c r="FP512" s="214" t="s">
        <v>489</v>
      </c>
      <c r="FQ512" s="214" t="s">
        <v>70</v>
      </c>
      <c r="FR512" s="214" t="s">
        <v>530</v>
      </c>
      <c r="FT512" s="321" t="s">
        <v>33345</v>
      </c>
      <c r="FU512" s="214" t="s">
        <v>52</v>
      </c>
      <c r="FV512" s="214" t="s">
        <v>70</v>
      </c>
      <c r="FW512" s="214" t="s">
        <v>530</v>
      </c>
      <c r="FY512" s="321" t="s">
        <v>33346</v>
      </c>
      <c r="FZ512" s="214" t="s">
        <v>500</v>
      </c>
      <c r="GA512" s="214" t="s">
        <v>70</v>
      </c>
      <c r="GB512" s="214" t="s">
        <v>530</v>
      </c>
      <c r="GD512" s="321" t="s">
        <v>33347</v>
      </c>
      <c r="GE512" s="214" t="s">
        <v>148</v>
      </c>
      <c r="GF512" s="214" t="s">
        <v>70</v>
      </c>
      <c r="GG512" s="214" t="s">
        <v>530</v>
      </c>
      <c r="GI512" s="321" t="s">
        <v>33348</v>
      </c>
      <c r="GJ512" s="214" t="s">
        <v>164</v>
      </c>
      <c r="GK512" s="214" t="s">
        <v>70</v>
      </c>
      <c r="GL512" s="214" t="s">
        <v>530</v>
      </c>
      <c r="GN512" s="321" t="s">
        <v>33349</v>
      </c>
      <c r="GO512" s="214" t="s">
        <v>205</v>
      </c>
      <c r="GP512" s="214" t="s">
        <v>70</v>
      </c>
      <c r="GQ512" s="214" t="s">
        <v>530</v>
      </c>
      <c r="GS512" s="321" t="s">
        <v>33350</v>
      </c>
      <c r="GT512" s="214" t="s">
        <v>34603</v>
      </c>
      <c r="GU512" s="214" t="s">
        <v>70</v>
      </c>
      <c r="GV512" s="214" t="s">
        <v>530</v>
      </c>
      <c r="GX512" s="214" t="s">
        <v>33351</v>
      </c>
      <c r="GY512" s="214" t="s">
        <v>92</v>
      </c>
      <c r="GZ512" s="214" t="s">
        <v>70</v>
      </c>
      <c r="HA512" s="214" t="s">
        <v>530</v>
      </c>
      <c r="HC512" s="214" t="s">
        <v>33352</v>
      </c>
      <c r="HD512" s="214" t="s">
        <v>148</v>
      </c>
      <c r="HE512" s="214" t="s">
        <v>70</v>
      </c>
      <c r="HF512" s="214" t="s">
        <v>530</v>
      </c>
      <c r="HH512" s="214" t="s">
        <v>33353</v>
      </c>
      <c r="HI512" s="214" t="s">
        <v>149</v>
      </c>
      <c r="HJ512" s="214" t="s">
        <v>70</v>
      </c>
      <c r="HK512" s="214" t="s">
        <v>530</v>
      </c>
      <c r="HM512" s="214" t="s">
        <v>33354</v>
      </c>
      <c r="HN512" s="214" t="s">
        <v>163</v>
      </c>
      <c r="HO512" s="214" t="s">
        <v>70</v>
      </c>
      <c r="HP512" s="214" t="s">
        <v>530</v>
      </c>
      <c r="HR512" s="22" t="s">
        <v>33355</v>
      </c>
      <c r="HS512" s="22" t="s">
        <v>600</v>
      </c>
      <c r="HT512" s="22" t="s">
        <v>70</v>
      </c>
      <c r="HU512" s="214" t="s">
        <v>530</v>
      </c>
      <c r="HW512" s="22" t="s">
        <v>33356</v>
      </c>
      <c r="HX512" s="22" t="s">
        <v>86</v>
      </c>
      <c r="HY512" s="22" t="s">
        <v>70</v>
      </c>
      <c r="HZ512" s="214" t="s">
        <v>530</v>
      </c>
      <c r="IB512" s="22" t="s">
        <v>33357</v>
      </c>
      <c r="IC512" s="22" t="s">
        <v>34554</v>
      </c>
      <c r="ID512" s="22" t="s">
        <v>70</v>
      </c>
      <c r="IE512" s="214" t="s">
        <v>530</v>
      </c>
      <c r="IG512" s="22" t="s">
        <v>33358</v>
      </c>
      <c r="IH512" s="22" t="s">
        <v>52</v>
      </c>
      <c r="II512" s="22" t="s">
        <v>70</v>
      </c>
      <c r="IJ512" s="214" t="s">
        <v>530</v>
      </c>
      <c r="IL512" s="22" t="s">
        <v>33359</v>
      </c>
      <c r="IM512" s="22" t="s">
        <v>145</v>
      </c>
      <c r="IN512" s="22" t="s">
        <v>70</v>
      </c>
      <c r="IO512" s="214" t="s">
        <v>530</v>
      </c>
      <c r="IQ512" s="236" t="s">
        <v>33360</v>
      </c>
      <c r="IR512" s="236" t="s">
        <v>145</v>
      </c>
      <c r="IS512" s="236" t="s">
        <v>74</v>
      </c>
      <c r="IT512" s="236" t="s">
        <v>841</v>
      </c>
      <c r="IV512" s="236" t="s">
        <v>33361</v>
      </c>
      <c r="IW512" s="236" t="s">
        <v>145</v>
      </c>
      <c r="IX512" s="236" t="s">
        <v>74</v>
      </c>
      <c r="IY512" s="236" t="s">
        <v>841</v>
      </c>
      <c r="JA512" s="236" t="s">
        <v>33362</v>
      </c>
      <c r="JB512" s="236" t="s">
        <v>145</v>
      </c>
      <c r="JC512" s="236" t="s">
        <v>74</v>
      </c>
      <c r="JD512" s="236" t="s">
        <v>841</v>
      </c>
      <c r="JF512" s="236" t="s">
        <v>33363</v>
      </c>
      <c r="JG512" s="236" t="s">
        <v>145</v>
      </c>
      <c r="JH512" s="236" t="s">
        <v>74</v>
      </c>
      <c r="JI512" s="236" t="s">
        <v>841</v>
      </c>
      <c r="JK512" s="236" t="s">
        <v>33364</v>
      </c>
      <c r="JL512" s="236" t="s">
        <v>145</v>
      </c>
      <c r="JM512" s="236" t="s">
        <v>74</v>
      </c>
      <c r="JN512" s="236" t="s">
        <v>841</v>
      </c>
      <c r="JP512" s="236" t="s">
        <v>33365</v>
      </c>
      <c r="JQ512" s="236" t="s">
        <v>145</v>
      </c>
      <c r="JR512" s="236" t="s">
        <v>74</v>
      </c>
      <c r="JS512" s="236" t="s">
        <v>841</v>
      </c>
      <c r="JU512" s="294" t="s">
        <v>33366</v>
      </c>
      <c r="JV512" s="294" t="s">
        <v>52</v>
      </c>
      <c r="JW512" s="263" t="s">
        <v>70</v>
      </c>
      <c r="JX512" s="294" t="s">
        <v>1083</v>
      </c>
      <c r="JZ512" s="263" t="s">
        <v>33367</v>
      </c>
      <c r="KA512" s="263" t="s">
        <v>145</v>
      </c>
      <c r="KB512" s="263" t="s">
        <v>70</v>
      </c>
      <c r="KC512" s="263" t="s">
        <v>1083</v>
      </c>
      <c r="KE512" s="263" t="s">
        <v>33368</v>
      </c>
      <c r="KF512" s="263" t="s">
        <v>52</v>
      </c>
      <c r="KG512" s="263" t="s">
        <v>70</v>
      </c>
      <c r="KH512" s="263" t="s">
        <v>1083</v>
      </c>
      <c r="KJ512" s="263" t="s">
        <v>33369</v>
      </c>
      <c r="KK512" s="263" t="s">
        <v>52</v>
      </c>
      <c r="KL512" s="263" t="s">
        <v>74</v>
      </c>
      <c r="KM512" s="263" t="s">
        <v>34074</v>
      </c>
      <c r="KO512" s="214" t="s">
        <v>33370</v>
      </c>
      <c r="KP512" s="214" t="s">
        <v>145</v>
      </c>
      <c r="KQ512" s="214" t="s">
        <v>70</v>
      </c>
      <c r="KR512" s="214" t="s">
        <v>67</v>
      </c>
      <c r="KT512" s="22" t="s">
        <v>33371</v>
      </c>
      <c r="KU512" s="22" t="s">
        <v>145</v>
      </c>
      <c r="KV512" s="22" t="s">
        <v>70</v>
      </c>
      <c r="KW512" s="22" t="s">
        <v>67</v>
      </c>
      <c r="KY512" s="214" t="s">
        <v>33372</v>
      </c>
      <c r="KZ512" s="218" t="s">
        <v>486</v>
      </c>
      <c r="LA512" s="214" t="s">
        <v>74</v>
      </c>
      <c r="LB512" s="214" t="s">
        <v>34076</v>
      </c>
      <c r="LD512" s="22" t="s">
        <v>33373</v>
      </c>
      <c r="LE512" s="22" t="s">
        <v>145</v>
      </c>
      <c r="LF512" s="22" t="s">
        <v>70</v>
      </c>
      <c r="LG512" s="22" t="s">
        <v>67</v>
      </c>
    </row>
    <row r="513" spans="1:319">
      <c r="A513" s="22" t="s">
        <v>33374</v>
      </c>
      <c r="B513" s="22" t="s">
        <v>145</v>
      </c>
      <c r="C513" s="22" t="s">
        <v>70</v>
      </c>
      <c r="D513" s="22" t="s">
        <v>67</v>
      </c>
      <c r="F513" s="72" t="s">
        <v>33375</v>
      </c>
      <c r="G513" s="22" t="s">
        <v>145</v>
      </c>
      <c r="H513" s="22" t="s">
        <v>70</v>
      </c>
      <c r="I513" s="22" t="s">
        <v>67</v>
      </c>
      <c r="K513" s="99" t="s">
        <v>33376</v>
      </c>
      <c r="L513" s="22" t="s">
        <v>145</v>
      </c>
      <c r="M513" s="22" t="s">
        <v>70</v>
      </c>
      <c r="N513" s="22" t="s">
        <v>67</v>
      </c>
      <c r="P513" s="99" t="s">
        <v>33377</v>
      </c>
      <c r="Q513" s="22" t="s">
        <v>145</v>
      </c>
      <c r="R513" s="22" t="s">
        <v>70</v>
      </c>
      <c r="S513" s="22" t="s">
        <v>67</v>
      </c>
      <c r="U513" s="293" t="s">
        <v>33378</v>
      </c>
      <c r="V513" s="293" t="s">
        <v>145</v>
      </c>
      <c r="W513" s="293" t="s">
        <v>74</v>
      </c>
      <c r="X513" s="293" t="s">
        <v>656</v>
      </c>
      <c r="Z513" s="293" t="s">
        <v>33379</v>
      </c>
      <c r="AA513" s="293" t="s">
        <v>145</v>
      </c>
      <c r="AB513" s="293" t="s">
        <v>74</v>
      </c>
      <c r="AC513" s="293" t="s">
        <v>656</v>
      </c>
      <c r="AE513" s="293" t="s">
        <v>33380</v>
      </c>
      <c r="AF513" s="293" t="s">
        <v>145</v>
      </c>
      <c r="AG513" s="293" t="s">
        <v>74</v>
      </c>
      <c r="AH513" s="293" t="s">
        <v>656</v>
      </c>
      <c r="AJ513" s="293" t="s">
        <v>33381</v>
      </c>
      <c r="AK513" s="293" t="s">
        <v>145</v>
      </c>
      <c r="AL513" s="293" t="s">
        <v>74</v>
      </c>
      <c r="AM513" s="293" t="s">
        <v>656</v>
      </c>
      <c r="AO513" s="22" t="s">
        <v>33382</v>
      </c>
      <c r="AP513" s="22" t="s">
        <v>145</v>
      </c>
      <c r="AQ513" s="22" t="s">
        <v>70</v>
      </c>
      <c r="AR513" s="22" t="s">
        <v>67</v>
      </c>
      <c r="AT513" s="22" t="s">
        <v>33383</v>
      </c>
      <c r="AU513" s="22" t="s">
        <v>145</v>
      </c>
      <c r="AV513" s="22" t="s">
        <v>70</v>
      </c>
      <c r="AW513" s="22" t="s">
        <v>67</v>
      </c>
      <c r="AY513" s="22" t="s">
        <v>33384</v>
      </c>
      <c r="AZ513" s="22" t="s">
        <v>145</v>
      </c>
      <c r="BA513" s="22" t="s">
        <v>70</v>
      </c>
      <c r="BB513" s="22" t="s">
        <v>67</v>
      </c>
      <c r="BD513" s="22" t="s">
        <v>33385</v>
      </c>
      <c r="BE513" s="22" t="s">
        <v>145</v>
      </c>
      <c r="BF513" s="22" t="s">
        <v>70</v>
      </c>
      <c r="BG513" s="22" t="s">
        <v>67</v>
      </c>
      <c r="BI513" s="22" t="s">
        <v>33386</v>
      </c>
      <c r="BJ513" s="22" t="s">
        <v>145</v>
      </c>
      <c r="BK513" s="22" t="s">
        <v>70</v>
      </c>
      <c r="BL513" s="22" t="s">
        <v>67</v>
      </c>
      <c r="BN513" s="22" t="s">
        <v>33387</v>
      </c>
      <c r="BO513" s="22" t="s">
        <v>145</v>
      </c>
      <c r="BP513" s="22" t="s">
        <v>70</v>
      </c>
      <c r="BQ513" s="22" t="s">
        <v>67</v>
      </c>
      <c r="BS513" s="22" t="s">
        <v>33388</v>
      </c>
      <c r="BT513" s="22" t="s">
        <v>145</v>
      </c>
      <c r="BU513" s="22" t="s">
        <v>70</v>
      </c>
      <c r="BV513" s="214" t="s">
        <v>530</v>
      </c>
      <c r="BX513" s="22" t="s">
        <v>33389</v>
      </c>
      <c r="BY513" s="22" t="s">
        <v>145</v>
      </c>
      <c r="BZ513" s="22" t="s">
        <v>70</v>
      </c>
      <c r="CA513" s="214" t="s">
        <v>530</v>
      </c>
      <c r="CC513" s="214" t="s">
        <v>33390</v>
      </c>
      <c r="CD513" s="214" t="s">
        <v>34641</v>
      </c>
      <c r="CE513" s="214" t="s">
        <v>70</v>
      </c>
      <c r="CF513" s="214" t="s">
        <v>530</v>
      </c>
      <c r="CH513" s="214" t="s">
        <v>33391</v>
      </c>
      <c r="CI513" s="214" t="s">
        <v>34566</v>
      </c>
      <c r="CJ513" s="214" t="s">
        <v>70</v>
      </c>
      <c r="CK513" s="214" t="s">
        <v>530</v>
      </c>
      <c r="CM513" s="214" t="s">
        <v>33392</v>
      </c>
      <c r="CN513" s="214" t="s">
        <v>34551</v>
      </c>
      <c r="CO513" s="214" t="s">
        <v>70</v>
      </c>
      <c r="CP513" s="214" t="s">
        <v>530</v>
      </c>
      <c r="CR513" s="214" t="s">
        <v>33393</v>
      </c>
      <c r="CS513" s="214" t="s">
        <v>34557</v>
      </c>
      <c r="CT513" s="214" t="s">
        <v>70</v>
      </c>
      <c r="CU513" s="214" t="s">
        <v>530</v>
      </c>
      <c r="CW513" s="214" t="s">
        <v>33394</v>
      </c>
      <c r="CX513" s="214" t="s">
        <v>52</v>
      </c>
      <c r="CY513" s="214" t="s">
        <v>70</v>
      </c>
      <c r="CZ513" s="214" t="s">
        <v>530</v>
      </c>
      <c r="DB513" s="214" t="s">
        <v>33395</v>
      </c>
      <c r="DC513" s="214" t="s">
        <v>485</v>
      </c>
      <c r="DD513" s="214" t="s">
        <v>70</v>
      </c>
      <c r="DE513" s="214" t="s">
        <v>530</v>
      </c>
      <c r="DG513" s="214" t="s">
        <v>33396</v>
      </c>
      <c r="DH513" s="214" t="s">
        <v>34545</v>
      </c>
      <c r="DI513" s="214" t="s">
        <v>70</v>
      </c>
      <c r="DJ513" s="214" t="s">
        <v>530</v>
      </c>
      <c r="DL513" s="214" t="s">
        <v>33397</v>
      </c>
      <c r="DM513" s="214" t="s">
        <v>484</v>
      </c>
      <c r="DN513" s="214" t="s">
        <v>70</v>
      </c>
      <c r="DO513" s="214" t="s">
        <v>530</v>
      </c>
      <c r="DQ513" s="214" t="s">
        <v>33398</v>
      </c>
      <c r="DR513" s="214" t="s">
        <v>926</v>
      </c>
      <c r="DS513" s="214" t="s">
        <v>70</v>
      </c>
      <c r="DT513" s="214" t="s">
        <v>530</v>
      </c>
      <c r="DV513" s="214" t="s">
        <v>33399</v>
      </c>
      <c r="DW513" s="214" t="s">
        <v>531</v>
      </c>
      <c r="DX513" s="214" t="s">
        <v>70</v>
      </c>
      <c r="DY513" s="214" t="s">
        <v>530</v>
      </c>
      <c r="EA513" s="214" t="s">
        <v>33400</v>
      </c>
      <c r="EB513" s="214" t="s">
        <v>486</v>
      </c>
      <c r="EC513" s="214" t="s">
        <v>70</v>
      </c>
      <c r="ED513" s="214" t="s">
        <v>530</v>
      </c>
      <c r="EF513" s="214" t="s">
        <v>33401</v>
      </c>
      <c r="EG513" s="214" t="s">
        <v>34541</v>
      </c>
      <c r="EH513" s="214" t="s">
        <v>70</v>
      </c>
      <c r="EI513" s="214" t="s">
        <v>530</v>
      </c>
      <c r="EK513" s="214" t="s">
        <v>33402</v>
      </c>
      <c r="EL513" s="214" t="s">
        <v>34556</v>
      </c>
      <c r="EM513" s="214" t="s">
        <v>70</v>
      </c>
      <c r="EN513" s="214" t="s">
        <v>530</v>
      </c>
      <c r="EP513" s="214" t="s">
        <v>33403</v>
      </c>
      <c r="EQ513" s="214" t="s">
        <v>203</v>
      </c>
      <c r="ER513" s="214" t="s">
        <v>70</v>
      </c>
      <c r="ES513" s="214" t="s">
        <v>530</v>
      </c>
      <c r="EU513" s="214" t="s">
        <v>33404</v>
      </c>
      <c r="EV513" s="214" t="s">
        <v>937</v>
      </c>
      <c r="EW513" s="214" t="s">
        <v>70</v>
      </c>
      <c r="EX513" s="214" t="s">
        <v>530</v>
      </c>
      <c r="EZ513" s="214" t="s">
        <v>33405</v>
      </c>
      <c r="FA513" s="214" t="s">
        <v>34569</v>
      </c>
      <c r="FB513" s="214" t="s">
        <v>70</v>
      </c>
      <c r="FC513" s="214" t="s">
        <v>530</v>
      </c>
      <c r="FE513" s="214" t="s">
        <v>33406</v>
      </c>
      <c r="FF513" s="214" t="s">
        <v>486</v>
      </c>
      <c r="FG513" s="214" t="s">
        <v>70</v>
      </c>
      <c r="FH513" s="214" t="s">
        <v>530</v>
      </c>
      <c r="FJ513" s="321" t="s">
        <v>33407</v>
      </c>
      <c r="FK513" s="214" t="s">
        <v>52</v>
      </c>
      <c r="FL513" s="214" t="s">
        <v>70</v>
      </c>
      <c r="FM513" s="214" t="s">
        <v>530</v>
      </c>
      <c r="FO513" s="321" t="s">
        <v>33408</v>
      </c>
      <c r="FP513" s="214" t="s">
        <v>34543</v>
      </c>
      <c r="FQ513" s="214" t="s">
        <v>70</v>
      </c>
      <c r="FR513" s="214" t="s">
        <v>530</v>
      </c>
      <c r="FT513" s="321" t="s">
        <v>33409</v>
      </c>
      <c r="FU513" s="214" t="s">
        <v>88</v>
      </c>
      <c r="FV513" s="214" t="s">
        <v>70</v>
      </c>
      <c r="FW513" s="214" t="s">
        <v>530</v>
      </c>
      <c r="FY513" s="321" t="s">
        <v>33410</v>
      </c>
      <c r="FZ513" s="214" t="s">
        <v>501</v>
      </c>
      <c r="GA513" s="214" t="s">
        <v>70</v>
      </c>
      <c r="GB513" s="214" t="s">
        <v>530</v>
      </c>
      <c r="GD513" s="321" t="s">
        <v>33411</v>
      </c>
      <c r="GE513" s="214" t="s">
        <v>950</v>
      </c>
      <c r="GF513" s="214" t="s">
        <v>70</v>
      </c>
      <c r="GG513" s="214" t="s">
        <v>530</v>
      </c>
      <c r="GI513" s="321" t="s">
        <v>33412</v>
      </c>
      <c r="GJ513" s="214" t="s">
        <v>952</v>
      </c>
      <c r="GK513" s="214" t="s">
        <v>70</v>
      </c>
      <c r="GL513" s="214" t="s">
        <v>530</v>
      </c>
      <c r="GN513" s="321" t="s">
        <v>33413</v>
      </c>
      <c r="GO513" s="214" t="s">
        <v>468</v>
      </c>
      <c r="GP513" s="214" t="s">
        <v>70</v>
      </c>
      <c r="GQ513" s="214" t="s">
        <v>530</v>
      </c>
      <c r="GS513" s="321" t="s">
        <v>33414</v>
      </c>
      <c r="GT513" s="214" t="s">
        <v>490</v>
      </c>
      <c r="GU513" s="214" t="s">
        <v>70</v>
      </c>
      <c r="GV513" s="214" t="s">
        <v>530</v>
      </c>
      <c r="GX513" s="214" t="s">
        <v>33415</v>
      </c>
      <c r="GY513" s="214" t="s">
        <v>496</v>
      </c>
      <c r="GZ513" s="214" t="s">
        <v>70</v>
      </c>
      <c r="HA513" s="214" t="s">
        <v>530</v>
      </c>
      <c r="HC513" s="214" t="s">
        <v>33416</v>
      </c>
      <c r="HD513" s="214" t="s">
        <v>146</v>
      </c>
      <c r="HE513" s="214" t="s">
        <v>70</v>
      </c>
      <c r="HF513" s="214" t="s">
        <v>530</v>
      </c>
      <c r="HH513" s="214" t="s">
        <v>33417</v>
      </c>
      <c r="HI513" s="214" t="s">
        <v>491</v>
      </c>
      <c r="HJ513" s="214" t="s">
        <v>70</v>
      </c>
      <c r="HK513" s="214" t="s">
        <v>530</v>
      </c>
      <c r="HM513" s="214" t="s">
        <v>33418</v>
      </c>
      <c r="HN513" s="214" t="s">
        <v>52</v>
      </c>
      <c r="HO513" s="214" t="s">
        <v>70</v>
      </c>
      <c r="HP513" s="214" t="s">
        <v>530</v>
      </c>
      <c r="HR513" s="22" t="s">
        <v>33419</v>
      </c>
      <c r="HS513" s="22" t="s">
        <v>484</v>
      </c>
      <c r="HT513" s="22" t="s">
        <v>70</v>
      </c>
      <c r="HU513" s="214" t="s">
        <v>530</v>
      </c>
      <c r="HW513" s="22" t="s">
        <v>33420</v>
      </c>
      <c r="HX513" s="22" t="s">
        <v>482</v>
      </c>
      <c r="HY513" s="22" t="s">
        <v>70</v>
      </c>
      <c r="HZ513" s="214" t="s">
        <v>530</v>
      </c>
      <c r="IB513" s="22" t="s">
        <v>33421</v>
      </c>
      <c r="IC513" s="22" t="s">
        <v>145</v>
      </c>
      <c r="ID513" s="22" t="s">
        <v>70</v>
      </c>
      <c r="IE513" s="214" t="s">
        <v>530</v>
      </c>
      <c r="IG513" s="22" t="s">
        <v>33422</v>
      </c>
      <c r="IH513" s="22" t="s">
        <v>52</v>
      </c>
      <c r="II513" s="22" t="s">
        <v>70</v>
      </c>
      <c r="IJ513" s="214" t="s">
        <v>530</v>
      </c>
      <c r="IL513" s="22" t="s">
        <v>33423</v>
      </c>
      <c r="IM513" s="22" t="s">
        <v>145</v>
      </c>
      <c r="IN513" s="22" t="s">
        <v>70</v>
      </c>
      <c r="IO513" s="214" t="s">
        <v>530</v>
      </c>
      <c r="IQ513" s="236" t="s">
        <v>33424</v>
      </c>
      <c r="IR513" s="236" t="s">
        <v>145</v>
      </c>
      <c r="IS513" s="236" t="s">
        <v>74</v>
      </c>
      <c r="IT513" s="236" t="s">
        <v>841</v>
      </c>
      <c r="IV513" s="236" t="s">
        <v>33425</v>
      </c>
      <c r="IW513" s="236" t="s">
        <v>145</v>
      </c>
      <c r="IX513" s="236" t="s">
        <v>74</v>
      </c>
      <c r="IY513" s="236" t="s">
        <v>841</v>
      </c>
      <c r="JA513" s="236" t="s">
        <v>33426</v>
      </c>
      <c r="JB513" s="236" t="s">
        <v>145</v>
      </c>
      <c r="JC513" s="236" t="s">
        <v>74</v>
      </c>
      <c r="JD513" s="236" t="s">
        <v>841</v>
      </c>
      <c r="JF513" s="236" t="s">
        <v>33427</v>
      </c>
      <c r="JG513" s="236" t="s">
        <v>145</v>
      </c>
      <c r="JH513" s="236" t="s">
        <v>74</v>
      </c>
      <c r="JI513" s="236" t="s">
        <v>841</v>
      </c>
      <c r="JK513" s="236" t="s">
        <v>33428</v>
      </c>
      <c r="JL513" s="236" t="s">
        <v>145</v>
      </c>
      <c r="JM513" s="236" t="s">
        <v>74</v>
      </c>
      <c r="JN513" s="236" t="s">
        <v>841</v>
      </c>
      <c r="JP513" s="236" t="s">
        <v>33429</v>
      </c>
      <c r="JQ513" s="236" t="s">
        <v>145</v>
      </c>
      <c r="JR513" s="236" t="s">
        <v>74</v>
      </c>
      <c r="JS513" s="236" t="s">
        <v>841</v>
      </c>
      <c r="JU513" s="294" t="s">
        <v>33430</v>
      </c>
      <c r="JV513" s="294" t="s">
        <v>52</v>
      </c>
      <c r="JW513" s="263" t="s">
        <v>70</v>
      </c>
      <c r="JX513" s="294" t="s">
        <v>1083</v>
      </c>
      <c r="JZ513" s="263" t="s">
        <v>33431</v>
      </c>
      <c r="KA513" s="263" t="s">
        <v>145</v>
      </c>
      <c r="KB513" s="263" t="s">
        <v>70</v>
      </c>
      <c r="KC513" s="263" t="s">
        <v>1083</v>
      </c>
      <c r="KE513" s="263" t="s">
        <v>33432</v>
      </c>
      <c r="KF513" s="263" t="s">
        <v>52</v>
      </c>
      <c r="KG513" s="263" t="s">
        <v>70</v>
      </c>
      <c r="KH513" s="263" t="s">
        <v>1083</v>
      </c>
      <c r="KJ513" s="263" t="s">
        <v>33433</v>
      </c>
      <c r="KK513" s="263" t="s">
        <v>52</v>
      </c>
      <c r="KL513" s="263" t="s">
        <v>74</v>
      </c>
      <c r="KM513" s="263" t="s">
        <v>34074</v>
      </c>
      <c r="KO513" s="214" t="s">
        <v>33434</v>
      </c>
      <c r="KP513" s="214" t="s">
        <v>145</v>
      </c>
      <c r="KQ513" s="214" t="s">
        <v>70</v>
      </c>
      <c r="KR513" s="214" t="s">
        <v>67</v>
      </c>
      <c r="KT513" s="22" t="s">
        <v>33435</v>
      </c>
      <c r="KU513" s="22" t="s">
        <v>145</v>
      </c>
      <c r="KV513" s="22" t="s">
        <v>70</v>
      </c>
      <c r="KW513" s="22" t="s">
        <v>67</v>
      </c>
      <c r="KY513" s="214" t="s">
        <v>33436</v>
      </c>
      <c r="KZ513" s="218" t="s">
        <v>163</v>
      </c>
      <c r="LA513" s="214" t="s">
        <v>74</v>
      </c>
      <c r="LB513" s="214" t="s">
        <v>34076</v>
      </c>
      <c r="LD513" s="22" t="s">
        <v>33437</v>
      </c>
      <c r="LE513" s="22" t="s">
        <v>145</v>
      </c>
      <c r="LF513" s="22" t="s">
        <v>70</v>
      </c>
      <c r="LG513" s="22" t="s">
        <v>67</v>
      </c>
    </row>
    <row r="514" spans="1:319">
      <c r="A514" s="22" t="s">
        <v>33438</v>
      </c>
      <c r="B514" s="22" t="s">
        <v>145</v>
      </c>
      <c r="C514" s="22" t="s">
        <v>70</v>
      </c>
      <c r="D514" s="22" t="s">
        <v>67</v>
      </c>
      <c r="F514" s="72" t="s">
        <v>33439</v>
      </c>
      <c r="G514" s="22" t="s">
        <v>145</v>
      </c>
      <c r="H514" s="22" t="s">
        <v>70</v>
      </c>
      <c r="I514" s="22" t="s">
        <v>67</v>
      </c>
      <c r="K514" s="99" t="s">
        <v>33440</v>
      </c>
      <c r="L514" s="22" t="s">
        <v>145</v>
      </c>
      <c r="M514" s="22" t="s">
        <v>70</v>
      </c>
      <c r="N514" s="22" t="s">
        <v>67</v>
      </c>
      <c r="P514" s="99" t="s">
        <v>33441</v>
      </c>
      <c r="Q514" s="22" t="s">
        <v>145</v>
      </c>
      <c r="R514" s="22" t="s">
        <v>70</v>
      </c>
      <c r="S514" s="22" t="s">
        <v>67</v>
      </c>
      <c r="U514" s="293" t="s">
        <v>33442</v>
      </c>
      <c r="V514" s="293" t="s">
        <v>145</v>
      </c>
      <c r="W514" s="293" t="s">
        <v>74</v>
      </c>
      <c r="X514" s="293" t="s">
        <v>656</v>
      </c>
      <c r="Z514" s="293" t="s">
        <v>33443</v>
      </c>
      <c r="AA514" s="293" t="s">
        <v>145</v>
      </c>
      <c r="AB514" s="293" t="s">
        <v>74</v>
      </c>
      <c r="AC514" s="293" t="s">
        <v>656</v>
      </c>
      <c r="AE514" s="293" t="s">
        <v>33444</v>
      </c>
      <c r="AF514" s="293" t="s">
        <v>145</v>
      </c>
      <c r="AG514" s="293" t="s">
        <v>74</v>
      </c>
      <c r="AH514" s="293" t="s">
        <v>656</v>
      </c>
      <c r="AJ514" s="293" t="s">
        <v>33445</v>
      </c>
      <c r="AK514" s="293" t="s">
        <v>145</v>
      </c>
      <c r="AL514" s="293" t="s">
        <v>74</v>
      </c>
      <c r="AM514" s="293" t="s">
        <v>656</v>
      </c>
      <c r="AO514" s="22" t="s">
        <v>33446</v>
      </c>
      <c r="AP514" s="22" t="s">
        <v>145</v>
      </c>
      <c r="AQ514" s="22" t="s">
        <v>70</v>
      </c>
      <c r="AR514" s="22" t="s">
        <v>67</v>
      </c>
      <c r="AT514" s="22" t="s">
        <v>33447</v>
      </c>
      <c r="AU514" s="22" t="s">
        <v>145</v>
      </c>
      <c r="AV514" s="22" t="s">
        <v>70</v>
      </c>
      <c r="AW514" s="22" t="s">
        <v>67</v>
      </c>
      <c r="AY514" s="22" t="s">
        <v>33448</v>
      </c>
      <c r="AZ514" s="22" t="s">
        <v>145</v>
      </c>
      <c r="BA514" s="22" t="s">
        <v>70</v>
      </c>
      <c r="BB514" s="22" t="s">
        <v>67</v>
      </c>
      <c r="BD514" s="22" t="s">
        <v>33449</v>
      </c>
      <c r="BE514" s="22" t="s">
        <v>145</v>
      </c>
      <c r="BF514" s="22" t="s">
        <v>70</v>
      </c>
      <c r="BG514" s="22" t="s">
        <v>67</v>
      </c>
      <c r="BI514" s="22" t="s">
        <v>33450</v>
      </c>
      <c r="BJ514" s="22" t="s">
        <v>145</v>
      </c>
      <c r="BK514" s="22" t="s">
        <v>70</v>
      </c>
      <c r="BL514" s="22" t="s">
        <v>67</v>
      </c>
      <c r="BN514" s="22" t="s">
        <v>33451</v>
      </c>
      <c r="BO514" s="22" t="s">
        <v>145</v>
      </c>
      <c r="BP514" s="22" t="s">
        <v>70</v>
      </c>
      <c r="BQ514" s="22" t="s">
        <v>67</v>
      </c>
      <c r="BS514" s="22" t="s">
        <v>33452</v>
      </c>
      <c r="BT514" s="22" t="s">
        <v>145</v>
      </c>
      <c r="BU514" s="22" t="s">
        <v>70</v>
      </c>
      <c r="BV514" s="214" t="s">
        <v>530</v>
      </c>
      <c r="BX514" s="22" t="s">
        <v>33453</v>
      </c>
      <c r="BY514" s="22" t="s">
        <v>145</v>
      </c>
      <c r="BZ514" s="22" t="s">
        <v>70</v>
      </c>
      <c r="CA514" s="214" t="s">
        <v>530</v>
      </c>
      <c r="CC514" s="214" t="s">
        <v>33454</v>
      </c>
      <c r="CD514" s="214" t="s">
        <v>922</v>
      </c>
      <c r="CE514" s="214" t="s">
        <v>70</v>
      </c>
      <c r="CF514" s="214" t="s">
        <v>530</v>
      </c>
      <c r="CH514" s="214" t="s">
        <v>33455</v>
      </c>
      <c r="CI514" s="214" t="s">
        <v>52</v>
      </c>
      <c r="CJ514" s="214" t="s">
        <v>70</v>
      </c>
      <c r="CK514" s="214" t="s">
        <v>530</v>
      </c>
      <c r="CM514" s="214" t="s">
        <v>33456</v>
      </c>
      <c r="CN514" s="214" t="s">
        <v>34555</v>
      </c>
      <c r="CO514" s="214" t="s">
        <v>70</v>
      </c>
      <c r="CP514" s="214" t="s">
        <v>530</v>
      </c>
      <c r="CR514" s="214" t="s">
        <v>33457</v>
      </c>
      <c r="CS514" s="214" t="s">
        <v>501</v>
      </c>
      <c r="CT514" s="214" t="s">
        <v>70</v>
      </c>
      <c r="CU514" s="214" t="s">
        <v>530</v>
      </c>
      <c r="CW514" s="214" t="s">
        <v>33458</v>
      </c>
      <c r="CX514" s="214" t="s">
        <v>52</v>
      </c>
      <c r="CY514" s="214" t="s">
        <v>70</v>
      </c>
      <c r="CZ514" s="214" t="s">
        <v>530</v>
      </c>
      <c r="DB514" s="214" t="s">
        <v>33459</v>
      </c>
      <c r="DC514" s="214" t="s">
        <v>34545</v>
      </c>
      <c r="DD514" s="214" t="s">
        <v>70</v>
      </c>
      <c r="DE514" s="214" t="s">
        <v>530</v>
      </c>
      <c r="DG514" s="214" t="s">
        <v>33460</v>
      </c>
      <c r="DH514" s="214" t="s">
        <v>103</v>
      </c>
      <c r="DI514" s="214" t="s">
        <v>70</v>
      </c>
      <c r="DJ514" s="214" t="s">
        <v>530</v>
      </c>
      <c r="DL514" s="214" t="s">
        <v>33461</v>
      </c>
      <c r="DM514" s="214" t="s">
        <v>88</v>
      </c>
      <c r="DN514" s="214" t="s">
        <v>70</v>
      </c>
      <c r="DO514" s="214" t="s">
        <v>530</v>
      </c>
      <c r="DQ514" s="214" t="s">
        <v>33462</v>
      </c>
      <c r="DR514" s="214" t="s">
        <v>798</v>
      </c>
      <c r="DS514" s="214" t="s">
        <v>70</v>
      </c>
      <c r="DT514" s="214" t="s">
        <v>530</v>
      </c>
      <c r="DV514" s="214" t="s">
        <v>33463</v>
      </c>
      <c r="DW514" s="214" t="s">
        <v>103</v>
      </c>
      <c r="DX514" s="214" t="s">
        <v>70</v>
      </c>
      <c r="DY514" s="214" t="s">
        <v>530</v>
      </c>
      <c r="EA514" s="214" t="s">
        <v>33464</v>
      </c>
      <c r="EB514" s="214" t="s">
        <v>641</v>
      </c>
      <c r="EC514" s="214" t="s">
        <v>70</v>
      </c>
      <c r="ED514" s="214" t="s">
        <v>530</v>
      </c>
      <c r="EF514" s="214" t="s">
        <v>33465</v>
      </c>
      <c r="EG514" s="214" t="s">
        <v>944</v>
      </c>
      <c r="EH514" s="214" t="s">
        <v>70</v>
      </c>
      <c r="EI514" s="214" t="s">
        <v>530</v>
      </c>
      <c r="EK514" s="214" t="s">
        <v>33466</v>
      </c>
      <c r="EL514" s="214" t="s">
        <v>52</v>
      </c>
      <c r="EM514" s="214" t="s">
        <v>70</v>
      </c>
      <c r="EN514" s="214" t="s">
        <v>530</v>
      </c>
      <c r="EP514" s="214" t="s">
        <v>33467</v>
      </c>
      <c r="EQ514" s="214" t="s">
        <v>34637</v>
      </c>
      <c r="ER514" s="214" t="s">
        <v>70</v>
      </c>
      <c r="ES514" s="214" t="s">
        <v>530</v>
      </c>
      <c r="EU514" s="214" t="s">
        <v>33468</v>
      </c>
      <c r="EV514" s="214" t="s">
        <v>1028</v>
      </c>
      <c r="EW514" s="214" t="s">
        <v>70</v>
      </c>
      <c r="EX514" s="214" t="s">
        <v>530</v>
      </c>
      <c r="EZ514" s="214" t="s">
        <v>33469</v>
      </c>
      <c r="FA514" s="214" t="s">
        <v>531</v>
      </c>
      <c r="FB514" s="214" t="s">
        <v>70</v>
      </c>
      <c r="FC514" s="214" t="s">
        <v>530</v>
      </c>
      <c r="FE514" s="214" t="s">
        <v>33470</v>
      </c>
      <c r="FF514" s="214" t="s">
        <v>917</v>
      </c>
      <c r="FG514" s="214" t="s">
        <v>70</v>
      </c>
      <c r="FH514" s="214" t="s">
        <v>530</v>
      </c>
      <c r="FJ514" s="321" t="s">
        <v>33471</v>
      </c>
      <c r="FK514" s="214" t="s">
        <v>468</v>
      </c>
      <c r="FL514" s="214" t="s">
        <v>70</v>
      </c>
      <c r="FM514" s="214" t="s">
        <v>530</v>
      </c>
      <c r="FO514" s="321" t="s">
        <v>33472</v>
      </c>
      <c r="FP514" s="214" t="s">
        <v>52</v>
      </c>
      <c r="FQ514" s="214" t="s">
        <v>70</v>
      </c>
      <c r="FR514" s="214" t="s">
        <v>530</v>
      </c>
      <c r="FT514" s="321" t="s">
        <v>33473</v>
      </c>
      <c r="FU514" s="214" t="s">
        <v>52</v>
      </c>
      <c r="FV514" s="214" t="s">
        <v>70</v>
      </c>
      <c r="FW514" s="214" t="s">
        <v>530</v>
      </c>
      <c r="FY514" s="321" t="s">
        <v>33474</v>
      </c>
      <c r="FZ514" s="214" t="s">
        <v>164</v>
      </c>
      <c r="GA514" s="214" t="s">
        <v>70</v>
      </c>
      <c r="GB514" s="214" t="s">
        <v>530</v>
      </c>
      <c r="GD514" s="321" t="s">
        <v>33475</v>
      </c>
      <c r="GE514" s="214" t="s">
        <v>148</v>
      </c>
      <c r="GF514" s="214" t="s">
        <v>70</v>
      </c>
      <c r="GG514" s="214" t="s">
        <v>530</v>
      </c>
      <c r="GI514" s="321" t="s">
        <v>33476</v>
      </c>
      <c r="GJ514" s="214" t="s">
        <v>149</v>
      </c>
      <c r="GK514" s="214" t="s">
        <v>70</v>
      </c>
      <c r="GL514" s="214" t="s">
        <v>530</v>
      </c>
      <c r="GN514" s="321" t="s">
        <v>33477</v>
      </c>
      <c r="GO514" s="214" t="s">
        <v>52</v>
      </c>
      <c r="GP514" s="214" t="s">
        <v>70</v>
      </c>
      <c r="GQ514" s="214" t="s">
        <v>530</v>
      </c>
      <c r="GS514" s="321" t="s">
        <v>33478</v>
      </c>
      <c r="GT514" s="214" t="s">
        <v>34548</v>
      </c>
      <c r="GU514" s="214" t="s">
        <v>70</v>
      </c>
      <c r="GV514" s="214" t="s">
        <v>530</v>
      </c>
      <c r="GX514" s="214" t="s">
        <v>33479</v>
      </c>
      <c r="GY514" s="214" t="s">
        <v>52</v>
      </c>
      <c r="GZ514" s="214" t="s">
        <v>70</v>
      </c>
      <c r="HA514" s="214" t="s">
        <v>530</v>
      </c>
      <c r="HC514" s="214" t="s">
        <v>33480</v>
      </c>
      <c r="HD514" s="214" t="s">
        <v>85</v>
      </c>
      <c r="HE514" s="214" t="s">
        <v>70</v>
      </c>
      <c r="HF514" s="214" t="s">
        <v>530</v>
      </c>
      <c r="HH514" s="214" t="s">
        <v>33481</v>
      </c>
      <c r="HI514" s="214" t="s">
        <v>485</v>
      </c>
      <c r="HJ514" s="214" t="s">
        <v>70</v>
      </c>
      <c r="HK514" s="214" t="s">
        <v>530</v>
      </c>
      <c r="HM514" s="214" t="s">
        <v>33482</v>
      </c>
      <c r="HN514" s="214" t="s">
        <v>905</v>
      </c>
      <c r="HO514" s="214" t="s">
        <v>70</v>
      </c>
      <c r="HP514" s="214" t="s">
        <v>530</v>
      </c>
      <c r="HR514" s="22" t="s">
        <v>33483</v>
      </c>
      <c r="HS514" s="22" t="s">
        <v>52</v>
      </c>
      <c r="HT514" s="22" t="s">
        <v>70</v>
      </c>
      <c r="HU514" s="214" t="s">
        <v>530</v>
      </c>
      <c r="HW514" s="22" t="s">
        <v>33484</v>
      </c>
      <c r="HX514" s="22" t="s">
        <v>938</v>
      </c>
      <c r="HY514" s="22" t="s">
        <v>70</v>
      </c>
      <c r="HZ514" s="214" t="s">
        <v>530</v>
      </c>
      <c r="IB514" s="22" t="s">
        <v>33485</v>
      </c>
      <c r="IC514" s="22" t="s">
        <v>52</v>
      </c>
      <c r="ID514" s="22" t="s">
        <v>70</v>
      </c>
      <c r="IE514" s="214" t="s">
        <v>530</v>
      </c>
      <c r="IG514" s="22" t="s">
        <v>33486</v>
      </c>
      <c r="IH514" s="22" t="s">
        <v>52</v>
      </c>
      <c r="II514" s="22" t="s">
        <v>70</v>
      </c>
      <c r="IJ514" s="214" t="s">
        <v>530</v>
      </c>
      <c r="IL514" s="22" t="s">
        <v>33487</v>
      </c>
      <c r="IM514" s="22" t="s">
        <v>145</v>
      </c>
      <c r="IN514" s="22" t="s">
        <v>70</v>
      </c>
      <c r="IO514" s="214" t="s">
        <v>530</v>
      </c>
      <c r="IQ514" s="236" t="s">
        <v>33488</v>
      </c>
      <c r="IR514" s="236" t="s">
        <v>145</v>
      </c>
      <c r="IS514" s="236" t="s">
        <v>74</v>
      </c>
      <c r="IT514" s="236" t="s">
        <v>841</v>
      </c>
      <c r="IV514" s="236" t="s">
        <v>33489</v>
      </c>
      <c r="IW514" s="236" t="s">
        <v>145</v>
      </c>
      <c r="IX514" s="236" t="s">
        <v>74</v>
      </c>
      <c r="IY514" s="236" t="s">
        <v>841</v>
      </c>
      <c r="JA514" s="236" t="s">
        <v>33490</v>
      </c>
      <c r="JB514" s="236" t="s">
        <v>145</v>
      </c>
      <c r="JC514" s="236" t="s">
        <v>74</v>
      </c>
      <c r="JD514" s="236" t="s">
        <v>841</v>
      </c>
      <c r="JF514" s="236" t="s">
        <v>33491</v>
      </c>
      <c r="JG514" s="236" t="s">
        <v>145</v>
      </c>
      <c r="JH514" s="236" t="s">
        <v>74</v>
      </c>
      <c r="JI514" s="236" t="s">
        <v>841</v>
      </c>
      <c r="JK514" s="236" t="s">
        <v>33492</v>
      </c>
      <c r="JL514" s="236" t="s">
        <v>145</v>
      </c>
      <c r="JM514" s="236" t="s">
        <v>74</v>
      </c>
      <c r="JN514" s="236" t="s">
        <v>841</v>
      </c>
      <c r="JP514" s="236" t="s">
        <v>33493</v>
      </c>
      <c r="JQ514" s="236" t="s">
        <v>145</v>
      </c>
      <c r="JR514" s="236" t="s">
        <v>74</v>
      </c>
      <c r="JS514" s="236" t="s">
        <v>841</v>
      </c>
      <c r="JU514" s="294" t="s">
        <v>33494</v>
      </c>
      <c r="JV514" s="294" t="s">
        <v>52</v>
      </c>
      <c r="JW514" s="263" t="s">
        <v>70</v>
      </c>
      <c r="JX514" s="294" t="s">
        <v>1083</v>
      </c>
      <c r="JZ514" s="263" t="s">
        <v>33495</v>
      </c>
      <c r="KA514" s="263" t="s">
        <v>145</v>
      </c>
      <c r="KB514" s="263" t="s">
        <v>70</v>
      </c>
      <c r="KC514" s="263" t="s">
        <v>1083</v>
      </c>
      <c r="KE514" s="263" t="s">
        <v>33496</v>
      </c>
      <c r="KF514" s="263" t="s">
        <v>52</v>
      </c>
      <c r="KG514" s="263" t="s">
        <v>70</v>
      </c>
      <c r="KH514" s="263" t="s">
        <v>1083</v>
      </c>
      <c r="KJ514" s="263" t="s">
        <v>33497</v>
      </c>
      <c r="KK514" s="263" t="s">
        <v>52</v>
      </c>
      <c r="KL514" s="263" t="s">
        <v>74</v>
      </c>
      <c r="KM514" s="263" t="s">
        <v>34074</v>
      </c>
      <c r="KO514" s="214" t="s">
        <v>33498</v>
      </c>
      <c r="KP514" s="214" t="s">
        <v>145</v>
      </c>
      <c r="KQ514" s="214" t="s">
        <v>70</v>
      </c>
      <c r="KR514" s="214" t="s">
        <v>67</v>
      </c>
      <c r="KT514" s="22" t="s">
        <v>33499</v>
      </c>
      <c r="KU514" s="22" t="s">
        <v>145</v>
      </c>
      <c r="KV514" s="22" t="s">
        <v>70</v>
      </c>
      <c r="KW514" s="22" t="s">
        <v>67</v>
      </c>
      <c r="KY514" s="214" t="s">
        <v>33500</v>
      </c>
      <c r="KZ514" s="214" t="s">
        <v>52</v>
      </c>
      <c r="LA514" s="214" t="s">
        <v>74</v>
      </c>
      <c r="LB514" s="214" t="s">
        <v>34076</v>
      </c>
      <c r="LD514" s="22" t="s">
        <v>33501</v>
      </c>
      <c r="LE514" s="22" t="s">
        <v>145</v>
      </c>
      <c r="LF514" s="22" t="s">
        <v>70</v>
      </c>
      <c r="LG514" s="22" t="s">
        <v>67</v>
      </c>
    </row>
    <row r="515" spans="1:319">
      <c r="A515" s="22" t="s">
        <v>33502</v>
      </c>
      <c r="B515" s="22" t="s">
        <v>145</v>
      </c>
      <c r="C515" s="22" t="s">
        <v>70</v>
      </c>
      <c r="D515" s="22" t="s">
        <v>67</v>
      </c>
      <c r="F515" s="72" t="s">
        <v>33503</v>
      </c>
      <c r="G515" s="22" t="s">
        <v>145</v>
      </c>
      <c r="H515" s="22" t="s">
        <v>70</v>
      </c>
      <c r="I515" s="22" t="s">
        <v>67</v>
      </c>
      <c r="K515" s="99" t="s">
        <v>33504</v>
      </c>
      <c r="L515" s="22" t="s">
        <v>145</v>
      </c>
      <c r="M515" s="22" t="s">
        <v>70</v>
      </c>
      <c r="N515" s="22" t="s">
        <v>67</v>
      </c>
      <c r="P515" s="99" t="s">
        <v>33505</v>
      </c>
      <c r="Q515" s="22" t="s">
        <v>145</v>
      </c>
      <c r="R515" s="22" t="s">
        <v>70</v>
      </c>
      <c r="S515" s="22" t="s">
        <v>67</v>
      </c>
      <c r="U515" s="293" t="s">
        <v>33506</v>
      </c>
      <c r="V515" s="293" t="s">
        <v>145</v>
      </c>
      <c r="W515" s="293" t="s">
        <v>74</v>
      </c>
      <c r="X515" s="293" t="s">
        <v>656</v>
      </c>
      <c r="Z515" s="293" t="s">
        <v>33507</v>
      </c>
      <c r="AA515" s="293" t="s">
        <v>145</v>
      </c>
      <c r="AB515" s="293" t="s">
        <v>74</v>
      </c>
      <c r="AC515" s="293" t="s">
        <v>656</v>
      </c>
      <c r="AE515" s="293" t="s">
        <v>33508</v>
      </c>
      <c r="AF515" s="293" t="s">
        <v>145</v>
      </c>
      <c r="AG515" s="293" t="s">
        <v>74</v>
      </c>
      <c r="AH515" s="293" t="s">
        <v>656</v>
      </c>
      <c r="AJ515" s="293" t="s">
        <v>33509</v>
      </c>
      <c r="AK515" s="293" t="s">
        <v>145</v>
      </c>
      <c r="AL515" s="293" t="s">
        <v>74</v>
      </c>
      <c r="AM515" s="293" t="s">
        <v>656</v>
      </c>
      <c r="AO515" s="22" t="s">
        <v>33510</v>
      </c>
      <c r="AP515" s="22" t="s">
        <v>145</v>
      </c>
      <c r="AQ515" s="22" t="s">
        <v>70</v>
      </c>
      <c r="AR515" s="22" t="s">
        <v>67</v>
      </c>
      <c r="AT515" s="22" t="s">
        <v>33511</v>
      </c>
      <c r="AU515" s="22" t="s">
        <v>145</v>
      </c>
      <c r="AV515" s="22" t="s">
        <v>70</v>
      </c>
      <c r="AW515" s="22" t="s">
        <v>67</v>
      </c>
      <c r="AY515" s="22" t="s">
        <v>33512</v>
      </c>
      <c r="AZ515" s="22" t="s">
        <v>145</v>
      </c>
      <c r="BA515" s="22" t="s">
        <v>70</v>
      </c>
      <c r="BB515" s="22" t="s">
        <v>67</v>
      </c>
      <c r="BD515" s="22" t="s">
        <v>33513</v>
      </c>
      <c r="BE515" s="22" t="s">
        <v>145</v>
      </c>
      <c r="BF515" s="22" t="s">
        <v>70</v>
      </c>
      <c r="BG515" s="22" t="s">
        <v>67</v>
      </c>
      <c r="BI515" s="22" t="s">
        <v>33514</v>
      </c>
      <c r="BJ515" s="22" t="s">
        <v>145</v>
      </c>
      <c r="BK515" s="22" t="s">
        <v>70</v>
      </c>
      <c r="BL515" s="22" t="s">
        <v>67</v>
      </c>
      <c r="BN515" s="22" t="s">
        <v>33515</v>
      </c>
      <c r="BO515" s="22" t="s">
        <v>145</v>
      </c>
      <c r="BP515" s="22" t="s">
        <v>70</v>
      </c>
      <c r="BQ515" s="22" t="s">
        <v>67</v>
      </c>
      <c r="BS515" s="22" t="s">
        <v>33516</v>
      </c>
      <c r="BT515" s="22" t="s">
        <v>145</v>
      </c>
      <c r="BU515" s="22" t="s">
        <v>70</v>
      </c>
      <c r="BV515" s="214" t="s">
        <v>530</v>
      </c>
      <c r="BX515" s="22" t="s">
        <v>33517</v>
      </c>
      <c r="BY515" s="22" t="s">
        <v>145</v>
      </c>
      <c r="BZ515" s="22" t="s">
        <v>70</v>
      </c>
      <c r="CA515" s="214" t="s">
        <v>530</v>
      </c>
      <c r="CC515" s="214" t="s">
        <v>33518</v>
      </c>
      <c r="CD515" s="214" t="s">
        <v>34624</v>
      </c>
      <c r="CE515" s="214" t="s">
        <v>70</v>
      </c>
      <c r="CF515" s="214" t="s">
        <v>530</v>
      </c>
      <c r="CH515" s="214" t="s">
        <v>33519</v>
      </c>
      <c r="CI515" s="214" t="s">
        <v>52</v>
      </c>
      <c r="CJ515" s="214" t="s">
        <v>70</v>
      </c>
      <c r="CK515" s="214" t="s">
        <v>530</v>
      </c>
      <c r="CM515" s="214" t="s">
        <v>33520</v>
      </c>
      <c r="CN515" s="214" t="s">
        <v>491</v>
      </c>
      <c r="CO515" s="214" t="s">
        <v>70</v>
      </c>
      <c r="CP515" s="214" t="s">
        <v>530</v>
      </c>
      <c r="CR515" s="214" t="s">
        <v>33521</v>
      </c>
      <c r="CS515" s="214" t="s">
        <v>488</v>
      </c>
      <c r="CT515" s="214" t="s">
        <v>70</v>
      </c>
      <c r="CU515" s="214" t="s">
        <v>530</v>
      </c>
      <c r="CW515" s="214" t="s">
        <v>33522</v>
      </c>
      <c r="CX515" s="214" t="s">
        <v>916</v>
      </c>
      <c r="CY515" s="214" t="s">
        <v>70</v>
      </c>
      <c r="CZ515" s="214" t="s">
        <v>530</v>
      </c>
      <c r="DB515" s="214" t="s">
        <v>33523</v>
      </c>
      <c r="DC515" s="214" t="s">
        <v>34561</v>
      </c>
      <c r="DD515" s="214" t="s">
        <v>70</v>
      </c>
      <c r="DE515" s="214" t="s">
        <v>530</v>
      </c>
      <c r="DG515" s="214" t="s">
        <v>33524</v>
      </c>
      <c r="DH515" s="214" t="s">
        <v>34562</v>
      </c>
      <c r="DI515" s="214" t="s">
        <v>70</v>
      </c>
      <c r="DJ515" s="214" t="s">
        <v>530</v>
      </c>
      <c r="DL515" s="214" t="s">
        <v>33525</v>
      </c>
      <c r="DM515" s="214" t="s">
        <v>950</v>
      </c>
      <c r="DN515" s="214" t="s">
        <v>70</v>
      </c>
      <c r="DO515" s="214" t="s">
        <v>530</v>
      </c>
      <c r="DQ515" s="214" t="s">
        <v>33526</v>
      </c>
      <c r="DR515" s="214" t="s">
        <v>599</v>
      </c>
      <c r="DS515" s="214" t="s">
        <v>70</v>
      </c>
      <c r="DT515" s="214" t="s">
        <v>530</v>
      </c>
      <c r="DV515" s="214" t="s">
        <v>33527</v>
      </c>
      <c r="DW515" s="214" t="s">
        <v>34558</v>
      </c>
      <c r="DX515" s="214" t="s">
        <v>70</v>
      </c>
      <c r="DY515" s="214" t="s">
        <v>530</v>
      </c>
      <c r="EA515" s="214" t="s">
        <v>33528</v>
      </c>
      <c r="EB515" s="214" t="s">
        <v>488</v>
      </c>
      <c r="EC515" s="214" t="s">
        <v>70</v>
      </c>
      <c r="ED515" s="214" t="s">
        <v>530</v>
      </c>
      <c r="EF515" s="214" t="s">
        <v>33529</v>
      </c>
      <c r="EG515" s="214" t="s">
        <v>145</v>
      </c>
      <c r="EH515" s="214" t="s">
        <v>70</v>
      </c>
      <c r="EI515" s="214" t="s">
        <v>530</v>
      </c>
      <c r="EK515" s="214" t="s">
        <v>33530</v>
      </c>
      <c r="EL515" s="214" t="s">
        <v>1028</v>
      </c>
      <c r="EM515" s="214" t="s">
        <v>70</v>
      </c>
      <c r="EN515" s="214" t="s">
        <v>530</v>
      </c>
      <c r="EP515" s="214" t="s">
        <v>33531</v>
      </c>
      <c r="EQ515" s="214" t="s">
        <v>34590</v>
      </c>
      <c r="ER515" s="214" t="s">
        <v>70</v>
      </c>
      <c r="ES515" s="214" t="s">
        <v>530</v>
      </c>
      <c r="EU515" s="214" t="s">
        <v>33532</v>
      </c>
      <c r="EV515" s="214" t="s">
        <v>34073</v>
      </c>
      <c r="EW515" s="214" t="s">
        <v>70</v>
      </c>
      <c r="EX515" s="214" t="s">
        <v>530</v>
      </c>
      <c r="EZ515" s="214" t="s">
        <v>33533</v>
      </c>
      <c r="FA515" s="214" t="s">
        <v>34542</v>
      </c>
      <c r="FB515" s="214" t="s">
        <v>70</v>
      </c>
      <c r="FC515" s="214" t="s">
        <v>530</v>
      </c>
      <c r="FE515" s="214" t="s">
        <v>33534</v>
      </c>
      <c r="FF515" s="214" t="s">
        <v>488</v>
      </c>
      <c r="FG515" s="214" t="s">
        <v>70</v>
      </c>
      <c r="FH515" s="214" t="s">
        <v>530</v>
      </c>
      <c r="FJ515" s="321" t="s">
        <v>33535</v>
      </c>
      <c r="FK515" s="214" t="s">
        <v>52</v>
      </c>
      <c r="FL515" s="214" t="s">
        <v>70</v>
      </c>
      <c r="FM515" s="214" t="s">
        <v>530</v>
      </c>
      <c r="FO515" s="321" t="s">
        <v>33536</v>
      </c>
      <c r="FP515" s="214" t="s">
        <v>52</v>
      </c>
      <c r="FQ515" s="214" t="s">
        <v>70</v>
      </c>
      <c r="FR515" s="214" t="s">
        <v>530</v>
      </c>
      <c r="FT515" s="321" t="s">
        <v>33537</v>
      </c>
      <c r="FU515" s="214" t="s">
        <v>88</v>
      </c>
      <c r="FV515" s="214" t="s">
        <v>70</v>
      </c>
      <c r="FW515" s="214" t="s">
        <v>530</v>
      </c>
      <c r="FY515" s="321" t="s">
        <v>33538</v>
      </c>
      <c r="FZ515" s="214" t="s">
        <v>34542</v>
      </c>
      <c r="GA515" s="214" t="s">
        <v>70</v>
      </c>
      <c r="GB515" s="214" t="s">
        <v>530</v>
      </c>
      <c r="GD515" s="321" t="s">
        <v>33539</v>
      </c>
      <c r="GE515" s="214" t="s">
        <v>468</v>
      </c>
      <c r="GF515" s="214" t="s">
        <v>70</v>
      </c>
      <c r="GG515" s="214" t="s">
        <v>530</v>
      </c>
      <c r="GI515" s="321" t="s">
        <v>33540</v>
      </c>
      <c r="GJ515" s="214" t="s">
        <v>603</v>
      </c>
      <c r="GK515" s="214" t="s">
        <v>70</v>
      </c>
      <c r="GL515" s="214" t="s">
        <v>530</v>
      </c>
      <c r="GN515" s="321" t="s">
        <v>33541</v>
      </c>
      <c r="GO515" s="214" t="s">
        <v>203</v>
      </c>
      <c r="GP515" s="214" t="s">
        <v>70</v>
      </c>
      <c r="GQ515" s="214" t="s">
        <v>530</v>
      </c>
      <c r="GS515" s="321" t="s">
        <v>33542</v>
      </c>
      <c r="GT515" s="214" t="s">
        <v>492</v>
      </c>
      <c r="GU515" s="214" t="s">
        <v>70</v>
      </c>
      <c r="GV515" s="214" t="s">
        <v>530</v>
      </c>
      <c r="GX515" s="214" t="s">
        <v>33543</v>
      </c>
      <c r="GY515" s="214" t="s">
        <v>468</v>
      </c>
      <c r="GZ515" s="214" t="s">
        <v>70</v>
      </c>
      <c r="HA515" s="214" t="s">
        <v>530</v>
      </c>
      <c r="HC515" s="214" t="s">
        <v>33544</v>
      </c>
      <c r="HD515" s="214" t="s">
        <v>921</v>
      </c>
      <c r="HE515" s="214" t="s">
        <v>70</v>
      </c>
      <c r="HF515" s="214" t="s">
        <v>530</v>
      </c>
      <c r="HH515" s="214" t="s">
        <v>33545</v>
      </c>
      <c r="HI515" s="214" t="s">
        <v>933</v>
      </c>
      <c r="HJ515" s="214" t="s">
        <v>70</v>
      </c>
      <c r="HK515" s="214" t="s">
        <v>530</v>
      </c>
      <c r="HM515" s="214" t="s">
        <v>33546</v>
      </c>
      <c r="HN515" s="214" t="s">
        <v>205</v>
      </c>
      <c r="HO515" s="214" t="s">
        <v>70</v>
      </c>
      <c r="HP515" s="214" t="s">
        <v>530</v>
      </c>
      <c r="HR515" s="22" t="s">
        <v>33547</v>
      </c>
      <c r="HS515" s="22" t="s">
        <v>34540</v>
      </c>
      <c r="HT515" s="22" t="s">
        <v>70</v>
      </c>
      <c r="HU515" s="214" t="s">
        <v>530</v>
      </c>
      <c r="HW515" s="22" t="s">
        <v>33548</v>
      </c>
      <c r="HX515" s="22" t="s">
        <v>485</v>
      </c>
      <c r="HY515" s="22" t="s">
        <v>70</v>
      </c>
      <c r="HZ515" s="214" t="s">
        <v>530</v>
      </c>
      <c r="IB515" s="22" t="s">
        <v>33549</v>
      </c>
      <c r="IC515" s="22" t="s">
        <v>33910</v>
      </c>
      <c r="ID515" s="22" t="s">
        <v>70</v>
      </c>
      <c r="IE515" s="214" t="s">
        <v>530</v>
      </c>
      <c r="IG515" s="22" t="s">
        <v>33550</v>
      </c>
      <c r="IH515" s="22" t="s">
        <v>52</v>
      </c>
      <c r="II515" s="22" t="s">
        <v>70</v>
      </c>
      <c r="IJ515" s="214" t="s">
        <v>530</v>
      </c>
      <c r="IL515" s="22" t="s">
        <v>33551</v>
      </c>
      <c r="IM515" s="22" t="s">
        <v>145</v>
      </c>
      <c r="IN515" s="22" t="s">
        <v>70</v>
      </c>
      <c r="IO515" s="214" t="s">
        <v>530</v>
      </c>
      <c r="IQ515" s="236" t="s">
        <v>33552</v>
      </c>
      <c r="IR515" s="236" t="s">
        <v>145</v>
      </c>
      <c r="IS515" s="236" t="s">
        <v>74</v>
      </c>
      <c r="IT515" s="236" t="s">
        <v>841</v>
      </c>
      <c r="IV515" s="236" t="s">
        <v>33553</v>
      </c>
      <c r="IW515" s="236" t="s">
        <v>145</v>
      </c>
      <c r="IX515" s="236" t="s">
        <v>74</v>
      </c>
      <c r="IY515" s="236" t="s">
        <v>841</v>
      </c>
      <c r="JA515" s="236" t="s">
        <v>33554</v>
      </c>
      <c r="JB515" s="236" t="s">
        <v>145</v>
      </c>
      <c r="JC515" s="236" t="s">
        <v>74</v>
      </c>
      <c r="JD515" s="236" t="s">
        <v>841</v>
      </c>
      <c r="JF515" s="236" t="s">
        <v>33555</v>
      </c>
      <c r="JG515" s="236" t="s">
        <v>145</v>
      </c>
      <c r="JH515" s="236" t="s">
        <v>74</v>
      </c>
      <c r="JI515" s="236" t="s">
        <v>841</v>
      </c>
      <c r="JK515" s="236" t="s">
        <v>33556</v>
      </c>
      <c r="JL515" s="236" t="s">
        <v>145</v>
      </c>
      <c r="JM515" s="236" t="s">
        <v>74</v>
      </c>
      <c r="JN515" s="236" t="s">
        <v>841</v>
      </c>
      <c r="JP515" s="236" t="s">
        <v>33557</v>
      </c>
      <c r="JQ515" s="236" t="s">
        <v>145</v>
      </c>
      <c r="JR515" s="236" t="s">
        <v>74</v>
      </c>
      <c r="JS515" s="236" t="s">
        <v>841</v>
      </c>
      <c r="JU515" s="294" t="s">
        <v>33558</v>
      </c>
      <c r="JV515" s="294" t="s">
        <v>52</v>
      </c>
      <c r="JW515" s="263" t="s">
        <v>70</v>
      </c>
      <c r="JX515" s="294" t="s">
        <v>1083</v>
      </c>
      <c r="JZ515" s="263" t="s">
        <v>33559</v>
      </c>
      <c r="KA515" s="263" t="s">
        <v>145</v>
      </c>
      <c r="KB515" s="263" t="s">
        <v>70</v>
      </c>
      <c r="KC515" s="263" t="s">
        <v>1083</v>
      </c>
      <c r="KE515" s="263" t="s">
        <v>33560</v>
      </c>
      <c r="KF515" s="263" t="s">
        <v>52</v>
      </c>
      <c r="KG515" s="263" t="s">
        <v>70</v>
      </c>
      <c r="KH515" s="263" t="s">
        <v>1083</v>
      </c>
      <c r="KJ515" s="263" t="s">
        <v>33561</v>
      </c>
      <c r="KK515" s="263" t="s">
        <v>52</v>
      </c>
      <c r="KL515" s="263" t="s">
        <v>74</v>
      </c>
      <c r="KM515" s="263" t="s">
        <v>34074</v>
      </c>
      <c r="KO515" s="214" t="s">
        <v>33562</v>
      </c>
      <c r="KP515" s="214" t="s">
        <v>145</v>
      </c>
      <c r="KQ515" s="214" t="s">
        <v>70</v>
      </c>
      <c r="KR515" s="214" t="s">
        <v>67</v>
      </c>
      <c r="KT515" s="22" t="s">
        <v>33563</v>
      </c>
      <c r="KU515" s="22" t="s">
        <v>145</v>
      </c>
      <c r="KV515" s="22" t="s">
        <v>70</v>
      </c>
      <c r="KW515" s="22" t="s">
        <v>67</v>
      </c>
      <c r="KY515" s="214" t="s">
        <v>33564</v>
      </c>
      <c r="KZ515" s="214" t="s">
        <v>52</v>
      </c>
      <c r="LA515" s="214" t="s">
        <v>74</v>
      </c>
      <c r="LB515" s="214" t="s">
        <v>34076</v>
      </c>
      <c r="LD515" s="22" t="s">
        <v>33565</v>
      </c>
      <c r="LE515" s="22" t="s">
        <v>145</v>
      </c>
      <c r="LF515" s="22" t="s">
        <v>70</v>
      </c>
      <c r="LG515" s="22" t="s">
        <v>67</v>
      </c>
    </row>
    <row r="516" spans="1:319">
      <c r="A516" s="22" t="s">
        <v>33566</v>
      </c>
      <c r="B516" s="218" t="s">
        <v>918</v>
      </c>
      <c r="C516" s="218" t="s">
        <v>75</v>
      </c>
      <c r="D516" s="218" t="s">
        <v>34530</v>
      </c>
      <c r="F516" s="72" t="s">
        <v>33567</v>
      </c>
      <c r="G516" s="22" t="s">
        <v>145</v>
      </c>
      <c r="H516" s="22" t="s">
        <v>70</v>
      </c>
      <c r="I516" s="22" t="s">
        <v>67</v>
      </c>
      <c r="K516" s="99" t="s">
        <v>33568</v>
      </c>
      <c r="L516" s="22" t="s">
        <v>145</v>
      </c>
      <c r="M516" s="22" t="s">
        <v>70</v>
      </c>
      <c r="N516" s="22" t="s">
        <v>67</v>
      </c>
      <c r="P516" s="99" t="s">
        <v>33569</v>
      </c>
      <c r="Q516" s="22" t="s">
        <v>145</v>
      </c>
      <c r="R516" s="22" t="s">
        <v>70</v>
      </c>
      <c r="S516" s="22" t="s">
        <v>67</v>
      </c>
      <c r="U516" s="293" t="s">
        <v>33570</v>
      </c>
      <c r="V516" s="293" t="s">
        <v>145</v>
      </c>
      <c r="W516" s="293" t="s">
        <v>74</v>
      </c>
      <c r="X516" s="293" t="s">
        <v>656</v>
      </c>
      <c r="Z516" s="293" t="s">
        <v>33571</v>
      </c>
      <c r="AA516" s="293" t="s">
        <v>145</v>
      </c>
      <c r="AB516" s="293" t="s">
        <v>74</v>
      </c>
      <c r="AC516" s="293" t="s">
        <v>656</v>
      </c>
      <c r="AE516" s="293" t="s">
        <v>33572</v>
      </c>
      <c r="AF516" s="293" t="s">
        <v>145</v>
      </c>
      <c r="AG516" s="293" t="s">
        <v>74</v>
      </c>
      <c r="AH516" s="293" t="s">
        <v>656</v>
      </c>
      <c r="AJ516" s="293" t="s">
        <v>33573</v>
      </c>
      <c r="AK516" s="293" t="s">
        <v>145</v>
      </c>
      <c r="AL516" s="293" t="s">
        <v>74</v>
      </c>
      <c r="AM516" s="293" t="s">
        <v>656</v>
      </c>
      <c r="AO516" s="22" t="s">
        <v>33574</v>
      </c>
      <c r="AP516" s="22" t="s">
        <v>145</v>
      </c>
      <c r="AQ516" s="22" t="s">
        <v>70</v>
      </c>
      <c r="AR516" s="22" t="s">
        <v>67</v>
      </c>
      <c r="AT516" s="22" t="s">
        <v>33575</v>
      </c>
      <c r="AU516" s="22" t="s">
        <v>145</v>
      </c>
      <c r="AV516" s="22" t="s">
        <v>70</v>
      </c>
      <c r="AW516" s="22" t="s">
        <v>67</v>
      </c>
      <c r="AY516" s="22" t="s">
        <v>33576</v>
      </c>
      <c r="AZ516" s="22" t="s">
        <v>145</v>
      </c>
      <c r="BA516" s="22" t="s">
        <v>70</v>
      </c>
      <c r="BB516" s="22" t="s">
        <v>67</v>
      </c>
      <c r="BD516" s="22" t="s">
        <v>33577</v>
      </c>
      <c r="BE516" s="22" t="s">
        <v>145</v>
      </c>
      <c r="BF516" s="22" t="s">
        <v>70</v>
      </c>
      <c r="BG516" s="22" t="s">
        <v>67</v>
      </c>
      <c r="BI516" s="22" t="s">
        <v>33578</v>
      </c>
      <c r="BJ516" s="22" t="s">
        <v>145</v>
      </c>
      <c r="BK516" s="22" t="s">
        <v>70</v>
      </c>
      <c r="BL516" s="22" t="s">
        <v>67</v>
      </c>
      <c r="BN516" s="22" t="s">
        <v>33579</v>
      </c>
      <c r="BO516" s="22" t="s">
        <v>145</v>
      </c>
      <c r="BP516" s="22" t="s">
        <v>70</v>
      </c>
      <c r="BQ516" s="22" t="s">
        <v>67</v>
      </c>
      <c r="BS516" s="22" t="s">
        <v>33580</v>
      </c>
      <c r="BT516" s="22" t="s">
        <v>145</v>
      </c>
      <c r="BU516" s="22" t="s">
        <v>70</v>
      </c>
      <c r="BV516" s="214" t="s">
        <v>530</v>
      </c>
      <c r="BX516" s="22" t="s">
        <v>33581</v>
      </c>
      <c r="BY516" s="22" t="s">
        <v>145</v>
      </c>
      <c r="BZ516" s="22" t="s">
        <v>70</v>
      </c>
      <c r="CA516" s="214" t="s">
        <v>530</v>
      </c>
      <c r="CC516" s="214" t="s">
        <v>33582</v>
      </c>
      <c r="CD516" s="214" t="s">
        <v>492</v>
      </c>
      <c r="CE516" s="214" t="s">
        <v>70</v>
      </c>
      <c r="CF516" s="214" t="s">
        <v>530</v>
      </c>
      <c r="CH516" s="214" t="s">
        <v>33583</v>
      </c>
      <c r="CI516" s="214" t="s">
        <v>164</v>
      </c>
      <c r="CJ516" s="214" t="s">
        <v>70</v>
      </c>
      <c r="CK516" s="214" t="s">
        <v>530</v>
      </c>
      <c r="CM516" s="214" t="s">
        <v>33584</v>
      </c>
      <c r="CN516" s="214" t="s">
        <v>488</v>
      </c>
      <c r="CO516" s="214" t="s">
        <v>70</v>
      </c>
      <c r="CP516" s="214" t="s">
        <v>530</v>
      </c>
      <c r="CR516" s="214" t="s">
        <v>33585</v>
      </c>
      <c r="CS516" s="214" t="s">
        <v>163</v>
      </c>
      <c r="CT516" s="214" t="s">
        <v>70</v>
      </c>
      <c r="CU516" s="214" t="s">
        <v>530</v>
      </c>
      <c r="CW516" s="214" t="s">
        <v>33586</v>
      </c>
      <c r="CX516" s="214" t="s">
        <v>641</v>
      </c>
      <c r="CY516" s="214" t="s">
        <v>70</v>
      </c>
      <c r="CZ516" s="214" t="s">
        <v>530</v>
      </c>
      <c r="DB516" s="214" t="s">
        <v>33587</v>
      </c>
      <c r="DC516" s="214" t="s">
        <v>500</v>
      </c>
      <c r="DD516" s="214" t="s">
        <v>70</v>
      </c>
      <c r="DE516" s="214" t="s">
        <v>530</v>
      </c>
      <c r="DG516" s="214" t="s">
        <v>33588</v>
      </c>
      <c r="DH516" s="214" t="s">
        <v>164</v>
      </c>
      <c r="DI516" s="214" t="s">
        <v>70</v>
      </c>
      <c r="DJ516" s="214" t="s">
        <v>530</v>
      </c>
      <c r="DL516" s="214" t="s">
        <v>33589</v>
      </c>
      <c r="DM516" s="214" t="s">
        <v>34625</v>
      </c>
      <c r="DN516" s="214" t="s">
        <v>70</v>
      </c>
      <c r="DO516" s="214" t="s">
        <v>530</v>
      </c>
      <c r="DQ516" s="214" t="s">
        <v>33590</v>
      </c>
      <c r="DR516" s="214" t="s">
        <v>34639</v>
      </c>
      <c r="DS516" s="214" t="s">
        <v>70</v>
      </c>
      <c r="DT516" s="214" t="s">
        <v>530</v>
      </c>
      <c r="DV516" s="214" t="s">
        <v>33591</v>
      </c>
      <c r="DW516" s="214" t="s">
        <v>34656</v>
      </c>
      <c r="DX516" s="214" t="s">
        <v>70</v>
      </c>
      <c r="DY516" s="214" t="s">
        <v>530</v>
      </c>
      <c r="EA516" s="214" t="s">
        <v>33592</v>
      </c>
      <c r="EB516" s="214" t="s">
        <v>34571</v>
      </c>
      <c r="EC516" s="214" t="s">
        <v>70</v>
      </c>
      <c r="ED516" s="214" t="s">
        <v>530</v>
      </c>
      <c r="EF516" s="214" t="s">
        <v>33593</v>
      </c>
      <c r="EG516" s="214" t="s">
        <v>103</v>
      </c>
      <c r="EH516" s="214" t="s">
        <v>70</v>
      </c>
      <c r="EI516" s="214" t="s">
        <v>530</v>
      </c>
      <c r="EK516" s="214" t="s">
        <v>33594</v>
      </c>
      <c r="EL516" s="214" t="s">
        <v>87</v>
      </c>
      <c r="EM516" s="214" t="s">
        <v>70</v>
      </c>
      <c r="EN516" s="214" t="s">
        <v>530</v>
      </c>
      <c r="EP516" s="214" t="s">
        <v>33595</v>
      </c>
      <c r="EQ516" s="214" t="s">
        <v>149</v>
      </c>
      <c r="ER516" s="214" t="s">
        <v>70</v>
      </c>
      <c r="ES516" s="214" t="s">
        <v>530</v>
      </c>
      <c r="EU516" s="214" t="s">
        <v>33596</v>
      </c>
      <c r="EV516" s="214" t="s">
        <v>34611</v>
      </c>
      <c r="EW516" s="214" t="s">
        <v>70</v>
      </c>
      <c r="EX516" s="214" t="s">
        <v>530</v>
      </c>
      <c r="EZ516" s="214" t="s">
        <v>33597</v>
      </c>
      <c r="FA516" s="214" t="s">
        <v>146</v>
      </c>
      <c r="FB516" s="214" t="s">
        <v>70</v>
      </c>
      <c r="FC516" s="214" t="s">
        <v>530</v>
      </c>
      <c r="FE516" s="214" t="s">
        <v>33598</v>
      </c>
      <c r="FF516" s="214" t="s">
        <v>916</v>
      </c>
      <c r="FG516" s="214" t="s">
        <v>70</v>
      </c>
      <c r="FH516" s="214" t="s">
        <v>530</v>
      </c>
      <c r="FJ516" s="321" t="s">
        <v>33599</v>
      </c>
      <c r="FK516" s="214" t="s">
        <v>52</v>
      </c>
      <c r="FL516" s="214" t="s">
        <v>70</v>
      </c>
      <c r="FM516" s="214" t="s">
        <v>530</v>
      </c>
      <c r="FO516" s="321" t="s">
        <v>33600</v>
      </c>
      <c r="FP516" s="214" t="s">
        <v>93</v>
      </c>
      <c r="FQ516" s="214" t="s">
        <v>70</v>
      </c>
      <c r="FR516" s="214" t="s">
        <v>530</v>
      </c>
      <c r="FT516" s="321" t="s">
        <v>33601</v>
      </c>
      <c r="FU516" s="214" t="s">
        <v>52</v>
      </c>
      <c r="FV516" s="214" t="s">
        <v>70</v>
      </c>
      <c r="FW516" s="214" t="s">
        <v>530</v>
      </c>
      <c r="FY516" s="321" t="s">
        <v>33602</v>
      </c>
      <c r="FZ516" s="214" t="s">
        <v>148</v>
      </c>
      <c r="GA516" s="214" t="s">
        <v>70</v>
      </c>
      <c r="GB516" s="214" t="s">
        <v>530</v>
      </c>
      <c r="GD516" s="321" t="s">
        <v>33603</v>
      </c>
      <c r="GE516" s="214" t="s">
        <v>52</v>
      </c>
      <c r="GF516" s="214" t="s">
        <v>70</v>
      </c>
      <c r="GG516" s="214" t="s">
        <v>530</v>
      </c>
      <c r="GI516" s="321" t="s">
        <v>33604</v>
      </c>
      <c r="GJ516" s="214" t="s">
        <v>87</v>
      </c>
      <c r="GK516" s="214" t="s">
        <v>70</v>
      </c>
      <c r="GL516" s="214" t="s">
        <v>530</v>
      </c>
      <c r="GN516" s="321" t="s">
        <v>33605</v>
      </c>
      <c r="GO516" s="214" t="s">
        <v>642</v>
      </c>
      <c r="GP516" s="214" t="s">
        <v>70</v>
      </c>
      <c r="GQ516" s="214" t="s">
        <v>530</v>
      </c>
      <c r="GS516" s="321" t="s">
        <v>33606</v>
      </c>
      <c r="GT516" s="214" t="s">
        <v>88</v>
      </c>
      <c r="GU516" s="214" t="s">
        <v>70</v>
      </c>
      <c r="GV516" s="214" t="s">
        <v>530</v>
      </c>
      <c r="GX516" s="214" t="s">
        <v>33607</v>
      </c>
      <c r="GY516" s="214" t="s">
        <v>164</v>
      </c>
      <c r="GZ516" s="214" t="s">
        <v>70</v>
      </c>
      <c r="HA516" s="214" t="s">
        <v>530</v>
      </c>
      <c r="HC516" s="214" t="s">
        <v>33608</v>
      </c>
      <c r="HD516" s="214" t="s">
        <v>34545</v>
      </c>
      <c r="HE516" s="214" t="s">
        <v>70</v>
      </c>
      <c r="HF516" s="214" t="s">
        <v>530</v>
      </c>
      <c r="HH516" s="214" t="s">
        <v>33609</v>
      </c>
      <c r="HI516" s="214" t="s">
        <v>34575</v>
      </c>
      <c r="HJ516" s="214" t="s">
        <v>70</v>
      </c>
      <c r="HK516" s="214" t="s">
        <v>530</v>
      </c>
      <c r="HM516" s="214" t="s">
        <v>33610</v>
      </c>
      <c r="HN516" s="214" t="s">
        <v>52</v>
      </c>
      <c r="HO516" s="214" t="s">
        <v>70</v>
      </c>
      <c r="HP516" s="214" t="s">
        <v>530</v>
      </c>
      <c r="HR516" s="22" t="s">
        <v>33611</v>
      </c>
      <c r="HS516" s="22" t="s">
        <v>103</v>
      </c>
      <c r="HT516" s="22" t="s">
        <v>70</v>
      </c>
      <c r="HU516" s="214" t="s">
        <v>530</v>
      </c>
      <c r="HW516" s="22" t="s">
        <v>33612</v>
      </c>
      <c r="HX516" s="22" t="s">
        <v>90</v>
      </c>
      <c r="HY516" s="22" t="s">
        <v>70</v>
      </c>
      <c r="HZ516" s="214" t="s">
        <v>530</v>
      </c>
      <c r="IB516" s="22" t="s">
        <v>33613</v>
      </c>
      <c r="IC516" s="22" t="s">
        <v>34578</v>
      </c>
      <c r="ID516" s="22" t="s">
        <v>70</v>
      </c>
      <c r="IE516" s="214" t="s">
        <v>530</v>
      </c>
      <c r="IG516" s="22" t="s">
        <v>33614</v>
      </c>
      <c r="IH516" s="22" t="s">
        <v>52</v>
      </c>
      <c r="II516" s="22" t="s">
        <v>70</v>
      </c>
      <c r="IJ516" s="214" t="s">
        <v>530</v>
      </c>
      <c r="IL516" s="22" t="s">
        <v>33615</v>
      </c>
      <c r="IM516" s="22" t="s">
        <v>145</v>
      </c>
      <c r="IN516" s="22" t="s">
        <v>70</v>
      </c>
      <c r="IO516" s="214" t="s">
        <v>530</v>
      </c>
      <c r="IQ516" s="236" t="s">
        <v>33616</v>
      </c>
      <c r="IR516" s="236" t="s">
        <v>145</v>
      </c>
      <c r="IS516" s="236" t="s">
        <v>74</v>
      </c>
      <c r="IT516" s="236" t="s">
        <v>841</v>
      </c>
      <c r="IV516" s="236" t="s">
        <v>33617</v>
      </c>
      <c r="IW516" s="236" t="s">
        <v>145</v>
      </c>
      <c r="IX516" s="236" t="s">
        <v>74</v>
      </c>
      <c r="IY516" s="236" t="s">
        <v>841</v>
      </c>
      <c r="JA516" s="236" t="s">
        <v>33618</v>
      </c>
      <c r="JB516" s="236" t="s">
        <v>145</v>
      </c>
      <c r="JC516" s="236" t="s">
        <v>74</v>
      </c>
      <c r="JD516" s="236" t="s">
        <v>841</v>
      </c>
      <c r="JF516" s="236" t="s">
        <v>33619</v>
      </c>
      <c r="JG516" s="236" t="s">
        <v>145</v>
      </c>
      <c r="JH516" s="236" t="s">
        <v>74</v>
      </c>
      <c r="JI516" s="236" t="s">
        <v>841</v>
      </c>
      <c r="JK516" s="236" t="s">
        <v>33620</v>
      </c>
      <c r="JL516" s="236" t="s">
        <v>145</v>
      </c>
      <c r="JM516" s="236" t="s">
        <v>74</v>
      </c>
      <c r="JN516" s="236" t="s">
        <v>841</v>
      </c>
      <c r="JP516" s="236" t="s">
        <v>33621</v>
      </c>
      <c r="JQ516" s="236" t="s">
        <v>145</v>
      </c>
      <c r="JR516" s="236" t="s">
        <v>74</v>
      </c>
      <c r="JS516" s="236" t="s">
        <v>841</v>
      </c>
      <c r="JU516" s="294" t="s">
        <v>33622</v>
      </c>
      <c r="JV516" s="294" t="s">
        <v>52</v>
      </c>
      <c r="JW516" s="263" t="s">
        <v>70</v>
      </c>
      <c r="JX516" s="294" t="s">
        <v>1083</v>
      </c>
      <c r="JZ516" s="263" t="s">
        <v>33623</v>
      </c>
      <c r="KA516" s="263" t="s">
        <v>145</v>
      </c>
      <c r="KB516" s="263" t="s">
        <v>70</v>
      </c>
      <c r="KC516" s="263" t="s">
        <v>1083</v>
      </c>
      <c r="KE516" s="263" t="s">
        <v>33624</v>
      </c>
      <c r="KF516" s="263" t="s">
        <v>52</v>
      </c>
      <c r="KG516" s="263" t="s">
        <v>70</v>
      </c>
      <c r="KH516" s="263" t="s">
        <v>1083</v>
      </c>
      <c r="KJ516" s="263" t="s">
        <v>33625</v>
      </c>
      <c r="KK516" s="263" t="s">
        <v>52</v>
      </c>
      <c r="KL516" s="263" t="s">
        <v>74</v>
      </c>
      <c r="KM516" s="263" t="s">
        <v>34074</v>
      </c>
      <c r="KO516" s="214" t="s">
        <v>33626</v>
      </c>
      <c r="KP516" s="214" t="s">
        <v>145</v>
      </c>
      <c r="KQ516" s="214" t="s">
        <v>70</v>
      </c>
      <c r="KR516" s="214" t="s">
        <v>67</v>
      </c>
      <c r="KT516" s="22" t="s">
        <v>33627</v>
      </c>
      <c r="KU516" s="22" t="s">
        <v>145</v>
      </c>
      <c r="KV516" s="22" t="s">
        <v>70</v>
      </c>
      <c r="KW516" s="22" t="s">
        <v>67</v>
      </c>
      <c r="KY516" s="214" t="s">
        <v>33628</v>
      </c>
      <c r="KZ516" s="214" t="s">
        <v>52</v>
      </c>
      <c r="LA516" s="214" t="s">
        <v>74</v>
      </c>
      <c r="LB516" s="214" t="s">
        <v>67</v>
      </c>
      <c r="LD516" s="22" t="s">
        <v>33629</v>
      </c>
      <c r="LE516" s="22" t="s">
        <v>145</v>
      </c>
      <c r="LF516" s="22" t="s">
        <v>70</v>
      </c>
      <c r="LG516" s="22" t="s">
        <v>67</v>
      </c>
    </row>
    <row r="517" spans="1:319">
      <c r="A517" s="22" t="s">
        <v>33630</v>
      </c>
      <c r="B517" s="218" t="s">
        <v>52</v>
      </c>
      <c r="C517" s="218" t="s">
        <v>75</v>
      </c>
      <c r="D517" s="218" t="s">
        <v>34530</v>
      </c>
      <c r="F517" s="72" t="s">
        <v>33631</v>
      </c>
      <c r="G517" s="22" t="s">
        <v>145</v>
      </c>
      <c r="H517" s="22" t="s">
        <v>70</v>
      </c>
      <c r="I517" s="22" t="s">
        <v>67</v>
      </c>
      <c r="K517" s="99" t="s">
        <v>33632</v>
      </c>
      <c r="L517" s="22" t="s">
        <v>145</v>
      </c>
      <c r="M517" s="22" t="s">
        <v>70</v>
      </c>
      <c r="N517" s="22" t="s">
        <v>67</v>
      </c>
      <c r="P517" s="99" t="s">
        <v>33633</v>
      </c>
      <c r="Q517" s="22" t="s">
        <v>145</v>
      </c>
      <c r="R517" s="22" t="s">
        <v>70</v>
      </c>
      <c r="S517" s="22" t="s">
        <v>67</v>
      </c>
      <c r="U517" s="293" t="s">
        <v>33634</v>
      </c>
      <c r="V517" s="293" t="s">
        <v>145</v>
      </c>
      <c r="W517" s="293" t="s">
        <v>74</v>
      </c>
      <c r="X517" s="293" t="s">
        <v>656</v>
      </c>
      <c r="Z517" s="293" t="s">
        <v>33635</v>
      </c>
      <c r="AA517" s="293" t="s">
        <v>145</v>
      </c>
      <c r="AB517" s="293" t="s">
        <v>74</v>
      </c>
      <c r="AC517" s="293" t="s">
        <v>656</v>
      </c>
      <c r="AE517" s="293" t="s">
        <v>33636</v>
      </c>
      <c r="AF517" s="293" t="s">
        <v>145</v>
      </c>
      <c r="AG517" s="293" t="s">
        <v>74</v>
      </c>
      <c r="AH517" s="293" t="s">
        <v>656</v>
      </c>
      <c r="AJ517" s="293" t="s">
        <v>33637</v>
      </c>
      <c r="AK517" s="293" t="s">
        <v>145</v>
      </c>
      <c r="AL517" s="293" t="s">
        <v>74</v>
      </c>
      <c r="AM517" s="293" t="s">
        <v>656</v>
      </c>
      <c r="AO517" s="22" t="s">
        <v>33638</v>
      </c>
      <c r="AP517" s="22" t="s">
        <v>145</v>
      </c>
      <c r="AQ517" s="22" t="s">
        <v>70</v>
      </c>
      <c r="AR517" s="22" t="s">
        <v>67</v>
      </c>
      <c r="AT517" s="22" t="s">
        <v>33639</v>
      </c>
      <c r="AU517" s="22" t="s">
        <v>145</v>
      </c>
      <c r="AV517" s="22" t="s">
        <v>70</v>
      </c>
      <c r="AW517" s="22" t="s">
        <v>67</v>
      </c>
      <c r="AY517" s="22" t="s">
        <v>33640</v>
      </c>
      <c r="AZ517" s="22" t="s">
        <v>145</v>
      </c>
      <c r="BA517" s="22" t="s">
        <v>70</v>
      </c>
      <c r="BB517" s="22" t="s">
        <v>67</v>
      </c>
      <c r="BD517" s="22" t="s">
        <v>33641</v>
      </c>
      <c r="BE517" s="22" t="s">
        <v>145</v>
      </c>
      <c r="BF517" s="22" t="s">
        <v>70</v>
      </c>
      <c r="BG517" s="22" t="s">
        <v>67</v>
      </c>
      <c r="BI517" s="22" t="s">
        <v>33642</v>
      </c>
      <c r="BJ517" s="22" t="s">
        <v>145</v>
      </c>
      <c r="BK517" s="22" t="s">
        <v>70</v>
      </c>
      <c r="BL517" s="22" t="s">
        <v>67</v>
      </c>
      <c r="BN517" s="22" t="s">
        <v>33643</v>
      </c>
      <c r="BO517" s="22" t="s">
        <v>145</v>
      </c>
      <c r="BP517" s="22" t="s">
        <v>70</v>
      </c>
      <c r="BQ517" s="22" t="s">
        <v>67</v>
      </c>
      <c r="BS517" s="22" t="s">
        <v>33644</v>
      </c>
      <c r="BT517" s="22" t="s">
        <v>145</v>
      </c>
      <c r="BU517" s="22" t="s">
        <v>70</v>
      </c>
      <c r="BV517" s="214" t="s">
        <v>530</v>
      </c>
      <c r="BX517" s="22" t="s">
        <v>33645</v>
      </c>
      <c r="BY517" s="22" t="s">
        <v>145</v>
      </c>
      <c r="BZ517" s="22" t="s">
        <v>70</v>
      </c>
      <c r="CA517" s="214" t="s">
        <v>530</v>
      </c>
      <c r="CC517" s="214" t="s">
        <v>33646</v>
      </c>
      <c r="CD517" s="214" t="s">
        <v>34548</v>
      </c>
      <c r="CE517" s="214" t="s">
        <v>70</v>
      </c>
      <c r="CF517" s="214" t="s">
        <v>530</v>
      </c>
      <c r="CH517" s="214" t="s">
        <v>33647</v>
      </c>
      <c r="CI517" s="214" t="s">
        <v>34565</v>
      </c>
      <c r="CJ517" s="214" t="s">
        <v>70</v>
      </c>
      <c r="CK517" s="214" t="s">
        <v>530</v>
      </c>
      <c r="CM517" s="214" t="s">
        <v>33648</v>
      </c>
      <c r="CN517" s="214" t="s">
        <v>488</v>
      </c>
      <c r="CO517" s="214" t="s">
        <v>70</v>
      </c>
      <c r="CP517" s="214" t="s">
        <v>530</v>
      </c>
      <c r="CR517" s="214" t="s">
        <v>33649</v>
      </c>
      <c r="CS517" s="214" t="s">
        <v>484</v>
      </c>
      <c r="CT517" s="214" t="s">
        <v>70</v>
      </c>
      <c r="CU517" s="214" t="s">
        <v>530</v>
      </c>
      <c r="CW517" s="214" t="s">
        <v>33650</v>
      </c>
      <c r="CX517" s="214" t="s">
        <v>92</v>
      </c>
      <c r="CY517" s="214" t="s">
        <v>70</v>
      </c>
      <c r="CZ517" s="214" t="s">
        <v>530</v>
      </c>
      <c r="DB517" s="214" t="s">
        <v>33651</v>
      </c>
      <c r="DC517" s="214" t="s">
        <v>468</v>
      </c>
      <c r="DD517" s="214" t="s">
        <v>70</v>
      </c>
      <c r="DE517" s="214" t="s">
        <v>530</v>
      </c>
      <c r="DG517" s="214" t="s">
        <v>33652</v>
      </c>
      <c r="DH517" s="214" t="s">
        <v>956</v>
      </c>
      <c r="DI517" s="214" t="s">
        <v>70</v>
      </c>
      <c r="DJ517" s="214" t="s">
        <v>530</v>
      </c>
      <c r="DL517" s="214" t="s">
        <v>33653</v>
      </c>
      <c r="DM517" s="214" t="s">
        <v>491</v>
      </c>
      <c r="DN517" s="214" t="s">
        <v>70</v>
      </c>
      <c r="DO517" s="214" t="s">
        <v>530</v>
      </c>
      <c r="DQ517" s="214" t="s">
        <v>33654</v>
      </c>
      <c r="DR517" s="214" t="s">
        <v>34548</v>
      </c>
      <c r="DS517" s="214" t="s">
        <v>70</v>
      </c>
      <c r="DT517" s="214" t="s">
        <v>530</v>
      </c>
      <c r="DV517" s="214" t="s">
        <v>33655</v>
      </c>
      <c r="DW517" s="214" t="s">
        <v>52</v>
      </c>
      <c r="DX517" s="214" t="s">
        <v>70</v>
      </c>
      <c r="DY517" s="214" t="s">
        <v>530</v>
      </c>
      <c r="EA517" s="214" t="s">
        <v>33656</v>
      </c>
      <c r="EB517" s="214" t="s">
        <v>52</v>
      </c>
      <c r="EC517" s="214" t="s">
        <v>70</v>
      </c>
      <c r="ED517" s="214" t="s">
        <v>530</v>
      </c>
      <c r="EF517" s="214" t="s">
        <v>33657</v>
      </c>
      <c r="EG517" s="214" t="s">
        <v>52</v>
      </c>
      <c r="EH517" s="214" t="s">
        <v>70</v>
      </c>
      <c r="EI517" s="214" t="s">
        <v>530</v>
      </c>
      <c r="EK517" s="214" t="s">
        <v>33658</v>
      </c>
      <c r="EL517" s="214" t="s">
        <v>34544</v>
      </c>
      <c r="EM517" s="214" t="s">
        <v>70</v>
      </c>
      <c r="EN517" s="214" t="s">
        <v>530</v>
      </c>
      <c r="EP517" s="214" t="s">
        <v>33659</v>
      </c>
      <c r="EQ517" s="214" t="s">
        <v>52</v>
      </c>
      <c r="ER517" s="214" t="s">
        <v>70</v>
      </c>
      <c r="ES517" s="214" t="s">
        <v>530</v>
      </c>
      <c r="EU517" s="214" t="s">
        <v>33660</v>
      </c>
      <c r="EV517" s="214" t="s">
        <v>34073</v>
      </c>
      <c r="EW517" s="214" t="s">
        <v>70</v>
      </c>
      <c r="EX517" s="214" t="s">
        <v>530</v>
      </c>
      <c r="EZ517" s="214" t="s">
        <v>33661</v>
      </c>
      <c r="FA517" s="214" t="s">
        <v>484</v>
      </c>
      <c r="FB517" s="214" t="s">
        <v>70</v>
      </c>
      <c r="FC517" s="214" t="s">
        <v>530</v>
      </c>
      <c r="FE517" s="214" t="s">
        <v>33662</v>
      </c>
      <c r="FF517" s="214" t="s">
        <v>484</v>
      </c>
      <c r="FG517" s="214" t="s">
        <v>70</v>
      </c>
      <c r="FH517" s="214" t="s">
        <v>530</v>
      </c>
      <c r="FJ517" s="321" t="s">
        <v>33663</v>
      </c>
      <c r="FK517" s="214" t="s">
        <v>203</v>
      </c>
      <c r="FL517" s="214" t="s">
        <v>70</v>
      </c>
      <c r="FM517" s="214" t="s">
        <v>530</v>
      </c>
      <c r="FO517" s="321" t="s">
        <v>33664</v>
      </c>
      <c r="FP517" s="214" t="s">
        <v>88</v>
      </c>
      <c r="FQ517" s="214" t="s">
        <v>70</v>
      </c>
      <c r="FR517" s="214" t="s">
        <v>530</v>
      </c>
      <c r="FT517" s="321" t="s">
        <v>33665</v>
      </c>
      <c r="FU517" s="214" t="s">
        <v>92</v>
      </c>
      <c r="FV517" s="214" t="s">
        <v>70</v>
      </c>
      <c r="FW517" s="214" t="s">
        <v>530</v>
      </c>
      <c r="FY517" s="321" t="s">
        <v>33666</v>
      </c>
      <c r="FZ517" s="214" t="s">
        <v>502</v>
      </c>
      <c r="GA517" s="214" t="s">
        <v>70</v>
      </c>
      <c r="GB517" s="214" t="s">
        <v>530</v>
      </c>
      <c r="GD517" s="321" t="s">
        <v>33667</v>
      </c>
      <c r="GE517" s="214" t="s">
        <v>956</v>
      </c>
      <c r="GF517" s="214" t="s">
        <v>70</v>
      </c>
      <c r="GG517" s="214" t="s">
        <v>530</v>
      </c>
      <c r="GI517" s="321" t="s">
        <v>33668</v>
      </c>
      <c r="GJ517" s="214" t="s">
        <v>34546</v>
      </c>
      <c r="GK517" s="214" t="s">
        <v>70</v>
      </c>
      <c r="GL517" s="214" t="s">
        <v>530</v>
      </c>
      <c r="GN517" s="321" t="s">
        <v>33669</v>
      </c>
      <c r="GO517" s="214" t="s">
        <v>34590</v>
      </c>
      <c r="GP517" s="214" t="s">
        <v>70</v>
      </c>
      <c r="GQ517" s="214" t="s">
        <v>530</v>
      </c>
      <c r="GS517" s="321" t="s">
        <v>33670</v>
      </c>
      <c r="GT517" s="214" t="s">
        <v>488</v>
      </c>
      <c r="GU517" s="214" t="s">
        <v>70</v>
      </c>
      <c r="GV517" s="214" t="s">
        <v>530</v>
      </c>
      <c r="GX517" s="214" t="s">
        <v>33671</v>
      </c>
      <c r="GY517" s="214" t="s">
        <v>492</v>
      </c>
      <c r="GZ517" s="214" t="s">
        <v>70</v>
      </c>
      <c r="HA517" s="214" t="s">
        <v>530</v>
      </c>
      <c r="HC517" s="214" t="s">
        <v>33672</v>
      </c>
      <c r="HD517" s="214" t="s">
        <v>34551</v>
      </c>
      <c r="HE517" s="214" t="s">
        <v>70</v>
      </c>
      <c r="HF517" s="214" t="s">
        <v>530</v>
      </c>
      <c r="HH517" s="214" t="s">
        <v>33673</v>
      </c>
      <c r="HI517" s="214" t="s">
        <v>34516</v>
      </c>
      <c r="HJ517" s="214" t="s">
        <v>70</v>
      </c>
      <c r="HK517" s="214" t="s">
        <v>530</v>
      </c>
      <c r="HM517" s="214" t="s">
        <v>33674</v>
      </c>
      <c r="HN517" s="214" t="s">
        <v>531</v>
      </c>
      <c r="HO517" s="214" t="s">
        <v>70</v>
      </c>
      <c r="HP517" s="214" t="s">
        <v>530</v>
      </c>
      <c r="HR517" s="22" t="s">
        <v>33675</v>
      </c>
      <c r="HS517" s="22" t="s">
        <v>34542</v>
      </c>
      <c r="HT517" s="22" t="s">
        <v>70</v>
      </c>
      <c r="HU517" s="214" t="s">
        <v>530</v>
      </c>
      <c r="HW517" s="22" t="s">
        <v>33676</v>
      </c>
      <c r="HX517" s="22" t="s">
        <v>305</v>
      </c>
      <c r="HY517" s="22" t="s">
        <v>70</v>
      </c>
      <c r="HZ517" s="214" t="s">
        <v>530</v>
      </c>
      <c r="IB517" s="22" t="s">
        <v>33677</v>
      </c>
      <c r="IC517" s="22" t="s">
        <v>468</v>
      </c>
      <c r="ID517" s="22" t="s">
        <v>70</v>
      </c>
      <c r="IE517" s="214" t="s">
        <v>530</v>
      </c>
      <c r="IG517" s="22" t="s">
        <v>33678</v>
      </c>
      <c r="IH517" s="22" t="s">
        <v>52</v>
      </c>
      <c r="II517" s="22" t="s">
        <v>70</v>
      </c>
      <c r="IJ517" s="214" t="s">
        <v>530</v>
      </c>
      <c r="IL517" s="22" t="s">
        <v>33679</v>
      </c>
      <c r="IM517" s="22" t="s">
        <v>145</v>
      </c>
      <c r="IN517" s="22" t="s">
        <v>70</v>
      </c>
      <c r="IO517" s="214" t="s">
        <v>530</v>
      </c>
      <c r="IQ517" s="236" t="s">
        <v>33680</v>
      </c>
      <c r="IR517" s="236" t="s">
        <v>145</v>
      </c>
      <c r="IS517" s="236" t="s">
        <v>74</v>
      </c>
      <c r="IT517" s="236" t="s">
        <v>841</v>
      </c>
      <c r="IV517" s="236" t="s">
        <v>33681</v>
      </c>
      <c r="IW517" s="236" t="s">
        <v>145</v>
      </c>
      <c r="IX517" s="236" t="s">
        <v>74</v>
      </c>
      <c r="IY517" s="236" t="s">
        <v>841</v>
      </c>
      <c r="JA517" s="236" t="s">
        <v>33682</v>
      </c>
      <c r="JB517" s="236" t="s">
        <v>145</v>
      </c>
      <c r="JC517" s="236" t="s">
        <v>74</v>
      </c>
      <c r="JD517" s="236" t="s">
        <v>841</v>
      </c>
      <c r="JF517" s="236" t="s">
        <v>33683</v>
      </c>
      <c r="JG517" s="236" t="s">
        <v>145</v>
      </c>
      <c r="JH517" s="236" t="s">
        <v>74</v>
      </c>
      <c r="JI517" s="236" t="s">
        <v>841</v>
      </c>
      <c r="JK517" s="236" t="s">
        <v>33684</v>
      </c>
      <c r="JL517" s="236" t="s">
        <v>145</v>
      </c>
      <c r="JM517" s="236" t="s">
        <v>74</v>
      </c>
      <c r="JN517" s="236" t="s">
        <v>841</v>
      </c>
      <c r="JP517" s="236" t="s">
        <v>33685</v>
      </c>
      <c r="JQ517" s="236" t="s">
        <v>145</v>
      </c>
      <c r="JR517" s="236" t="s">
        <v>74</v>
      </c>
      <c r="JS517" s="236" t="s">
        <v>841</v>
      </c>
      <c r="JU517" s="294" t="s">
        <v>33686</v>
      </c>
      <c r="JV517" s="294" t="s">
        <v>52</v>
      </c>
      <c r="JW517" s="263" t="s">
        <v>70</v>
      </c>
      <c r="JX517" s="294" t="s">
        <v>1083</v>
      </c>
      <c r="JZ517" s="263" t="s">
        <v>33687</v>
      </c>
      <c r="KA517" s="263" t="s">
        <v>145</v>
      </c>
      <c r="KB517" s="263" t="s">
        <v>70</v>
      </c>
      <c r="KC517" s="263" t="s">
        <v>1083</v>
      </c>
      <c r="KE517" s="263" t="s">
        <v>33688</v>
      </c>
      <c r="KF517" s="263" t="s">
        <v>52</v>
      </c>
      <c r="KG517" s="263" t="s">
        <v>70</v>
      </c>
      <c r="KH517" s="263" t="s">
        <v>1083</v>
      </c>
      <c r="KJ517" s="263" t="s">
        <v>33689</v>
      </c>
      <c r="KK517" s="263" t="s">
        <v>52</v>
      </c>
      <c r="KL517" s="263" t="s">
        <v>74</v>
      </c>
      <c r="KM517" s="263" t="s">
        <v>34074</v>
      </c>
      <c r="KO517" s="214" t="s">
        <v>33690</v>
      </c>
      <c r="KP517" s="214" t="s">
        <v>145</v>
      </c>
      <c r="KQ517" s="214" t="s">
        <v>70</v>
      </c>
      <c r="KR517" s="214" t="s">
        <v>67</v>
      </c>
      <c r="KT517" s="22" t="s">
        <v>33691</v>
      </c>
      <c r="KU517" s="22" t="s">
        <v>145</v>
      </c>
      <c r="KV517" s="22" t="s">
        <v>70</v>
      </c>
      <c r="KW517" s="22" t="s">
        <v>67</v>
      </c>
      <c r="KY517" s="214" t="s">
        <v>33692</v>
      </c>
      <c r="KZ517" s="214" t="s">
        <v>52</v>
      </c>
      <c r="LA517" s="214" t="s">
        <v>74</v>
      </c>
      <c r="LB517" s="214" t="s">
        <v>67</v>
      </c>
      <c r="LD517" s="22" t="s">
        <v>33693</v>
      </c>
      <c r="LE517" s="22" t="s">
        <v>145</v>
      </c>
      <c r="LF517" s="22" t="s">
        <v>70</v>
      </c>
      <c r="LG517" s="22" t="s">
        <v>67</v>
      </c>
    </row>
    <row r="518" spans="1:319">
      <c r="A518" s="22" t="s">
        <v>33694</v>
      </c>
      <c r="B518" s="218" t="s">
        <v>52</v>
      </c>
      <c r="C518" s="218" t="s">
        <v>75</v>
      </c>
      <c r="D518" s="218" t="s">
        <v>34530</v>
      </c>
      <c r="F518" s="98" t="s">
        <v>33695</v>
      </c>
      <c r="G518" s="22" t="s">
        <v>145</v>
      </c>
      <c r="H518" s="22" t="s">
        <v>70</v>
      </c>
      <c r="I518" s="22" t="s">
        <v>67</v>
      </c>
      <c r="K518" s="99" t="s">
        <v>33696</v>
      </c>
      <c r="L518" s="22" t="s">
        <v>145</v>
      </c>
      <c r="M518" s="22" t="s">
        <v>70</v>
      </c>
      <c r="N518" s="22" t="s">
        <v>67</v>
      </c>
      <c r="P518" s="99" t="s">
        <v>33697</v>
      </c>
      <c r="Q518" s="22" t="s">
        <v>145</v>
      </c>
      <c r="R518" s="22" t="s">
        <v>70</v>
      </c>
      <c r="S518" s="22" t="s">
        <v>67</v>
      </c>
      <c r="U518" s="293" t="s">
        <v>33698</v>
      </c>
      <c r="V518" s="293" t="s">
        <v>145</v>
      </c>
      <c r="W518" s="293" t="s">
        <v>74</v>
      </c>
      <c r="X518" s="293" t="s">
        <v>656</v>
      </c>
      <c r="Z518" s="293" t="s">
        <v>33699</v>
      </c>
      <c r="AA518" s="293" t="s">
        <v>145</v>
      </c>
      <c r="AB518" s="293" t="s">
        <v>74</v>
      </c>
      <c r="AC518" s="293" t="s">
        <v>656</v>
      </c>
      <c r="AE518" s="293" t="s">
        <v>33700</v>
      </c>
      <c r="AF518" s="293" t="s">
        <v>145</v>
      </c>
      <c r="AG518" s="293" t="s">
        <v>74</v>
      </c>
      <c r="AH518" s="293" t="s">
        <v>656</v>
      </c>
      <c r="AJ518" s="293" t="s">
        <v>33701</v>
      </c>
      <c r="AK518" s="293" t="s">
        <v>145</v>
      </c>
      <c r="AL518" s="293" t="s">
        <v>74</v>
      </c>
      <c r="AM518" s="293" t="s">
        <v>656</v>
      </c>
      <c r="AO518" s="22" t="s">
        <v>33702</v>
      </c>
      <c r="AP518" s="22" t="s">
        <v>145</v>
      </c>
      <c r="AQ518" s="22" t="s">
        <v>70</v>
      </c>
      <c r="AR518" s="22" t="s">
        <v>67</v>
      </c>
      <c r="AT518" s="22" t="s">
        <v>33703</v>
      </c>
      <c r="AU518" s="22" t="s">
        <v>145</v>
      </c>
      <c r="AV518" s="22" t="s">
        <v>70</v>
      </c>
      <c r="AW518" s="22" t="s">
        <v>67</v>
      </c>
      <c r="AY518" s="22" t="s">
        <v>33704</v>
      </c>
      <c r="AZ518" s="22" t="s">
        <v>145</v>
      </c>
      <c r="BA518" s="22" t="s">
        <v>70</v>
      </c>
      <c r="BB518" s="22" t="s">
        <v>67</v>
      </c>
      <c r="BD518" s="21" t="s">
        <v>33705</v>
      </c>
      <c r="BE518" s="22" t="s">
        <v>145</v>
      </c>
      <c r="BF518" s="22" t="s">
        <v>70</v>
      </c>
      <c r="BG518" s="22" t="s">
        <v>67</v>
      </c>
      <c r="BI518" s="21" t="s">
        <v>33706</v>
      </c>
      <c r="BJ518" s="22" t="s">
        <v>145</v>
      </c>
      <c r="BK518" s="22" t="s">
        <v>70</v>
      </c>
      <c r="BL518" s="22" t="s">
        <v>67</v>
      </c>
      <c r="BN518" s="21" t="s">
        <v>33707</v>
      </c>
      <c r="BO518" s="22" t="s">
        <v>145</v>
      </c>
      <c r="BP518" s="22" t="s">
        <v>70</v>
      </c>
      <c r="BQ518" s="22" t="s">
        <v>67</v>
      </c>
      <c r="BS518" s="21" t="s">
        <v>33708</v>
      </c>
      <c r="BT518" s="22" t="s">
        <v>145</v>
      </c>
      <c r="BU518" s="22" t="s">
        <v>70</v>
      </c>
      <c r="BV518" s="214" t="s">
        <v>530</v>
      </c>
      <c r="BX518" s="21" t="s">
        <v>33709</v>
      </c>
      <c r="BY518" s="22" t="s">
        <v>145</v>
      </c>
      <c r="BZ518" s="22" t="s">
        <v>70</v>
      </c>
      <c r="CA518" s="214" t="s">
        <v>530</v>
      </c>
      <c r="CC518" s="215" t="s">
        <v>33710</v>
      </c>
      <c r="CD518" s="214" t="s">
        <v>34536</v>
      </c>
      <c r="CE518" s="214" t="s">
        <v>70</v>
      </c>
      <c r="CF518" s="214" t="s">
        <v>530</v>
      </c>
      <c r="CH518" s="214" t="s">
        <v>33711</v>
      </c>
      <c r="CI518" s="214" t="s">
        <v>148</v>
      </c>
      <c r="CJ518" s="214" t="s">
        <v>70</v>
      </c>
      <c r="CK518" s="214" t="s">
        <v>530</v>
      </c>
      <c r="CM518" s="214" t="s">
        <v>33712</v>
      </c>
      <c r="CN518" s="214" t="s">
        <v>468</v>
      </c>
      <c r="CO518" s="214" t="s">
        <v>70</v>
      </c>
      <c r="CP518" s="214" t="s">
        <v>530</v>
      </c>
      <c r="CR518" s="214" t="s">
        <v>33713</v>
      </c>
      <c r="CS518" s="214" t="s">
        <v>599</v>
      </c>
      <c r="CT518" s="214" t="s">
        <v>70</v>
      </c>
      <c r="CU518" s="214" t="s">
        <v>530</v>
      </c>
      <c r="CW518" s="214" t="s">
        <v>33714</v>
      </c>
      <c r="CX518" s="214" t="s">
        <v>52</v>
      </c>
      <c r="CY518" s="214" t="s">
        <v>70</v>
      </c>
      <c r="CZ518" s="214" t="s">
        <v>530</v>
      </c>
      <c r="DB518" s="214" t="s">
        <v>33715</v>
      </c>
      <c r="DC518" s="214" t="s">
        <v>146</v>
      </c>
      <c r="DD518" s="214" t="s">
        <v>70</v>
      </c>
      <c r="DE518" s="214" t="s">
        <v>530</v>
      </c>
      <c r="DG518" s="214" t="s">
        <v>33716</v>
      </c>
      <c r="DH518" s="214" t="s">
        <v>149</v>
      </c>
      <c r="DI518" s="214" t="s">
        <v>70</v>
      </c>
      <c r="DJ518" s="214" t="s">
        <v>530</v>
      </c>
      <c r="DL518" s="214" t="s">
        <v>33717</v>
      </c>
      <c r="DM518" s="214" t="s">
        <v>52</v>
      </c>
      <c r="DN518" s="214" t="s">
        <v>70</v>
      </c>
      <c r="DO518" s="214" t="s">
        <v>530</v>
      </c>
      <c r="DQ518" s="214" t="s">
        <v>33718</v>
      </c>
      <c r="DR518" s="214" t="s">
        <v>146</v>
      </c>
      <c r="DS518" s="214" t="s">
        <v>70</v>
      </c>
      <c r="DT518" s="214" t="s">
        <v>530</v>
      </c>
      <c r="DV518" s="214" t="s">
        <v>33719</v>
      </c>
      <c r="DW518" s="214" t="s">
        <v>488</v>
      </c>
      <c r="DX518" s="214" t="s">
        <v>70</v>
      </c>
      <c r="DY518" s="214" t="s">
        <v>530</v>
      </c>
      <c r="EA518" s="214" t="s">
        <v>33720</v>
      </c>
      <c r="EB518" s="214" t="s">
        <v>34618</v>
      </c>
      <c r="EC518" s="214" t="s">
        <v>70</v>
      </c>
      <c r="ED518" s="214" t="s">
        <v>530</v>
      </c>
      <c r="EF518" s="214" t="s">
        <v>33721</v>
      </c>
      <c r="EG518" s="214" t="s">
        <v>484</v>
      </c>
      <c r="EH518" s="214" t="s">
        <v>70</v>
      </c>
      <c r="EI518" s="214" t="s">
        <v>530</v>
      </c>
      <c r="EK518" s="214" t="s">
        <v>33722</v>
      </c>
      <c r="EL518" s="214" t="s">
        <v>52</v>
      </c>
      <c r="EM518" s="214" t="s">
        <v>70</v>
      </c>
      <c r="EN518" s="214" t="s">
        <v>530</v>
      </c>
      <c r="EP518" s="214" t="s">
        <v>33723</v>
      </c>
      <c r="EQ518" s="214" t="s">
        <v>487</v>
      </c>
      <c r="ER518" s="214" t="s">
        <v>70</v>
      </c>
      <c r="ES518" s="214" t="s">
        <v>530</v>
      </c>
      <c r="EU518" s="214" t="s">
        <v>33724</v>
      </c>
      <c r="EV518" s="214" t="s">
        <v>148</v>
      </c>
      <c r="EW518" s="214" t="s">
        <v>70</v>
      </c>
      <c r="EX518" s="214" t="s">
        <v>530</v>
      </c>
      <c r="EZ518" s="214" t="s">
        <v>33725</v>
      </c>
      <c r="FA518" s="214" t="s">
        <v>498</v>
      </c>
      <c r="FB518" s="214" t="s">
        <v>70</v>
      </c>
      <c r="FC518" s="214" t="s">
        <v>530</v>
      </c>
      <c r="FE518" s="215" t="s">
        <v>33726</v>
      </c>
      <c r="FF518" s="214" t="s">
        <v>287</v>
      </c>
      <c r="FG518" s="214" t="s">
        <v>70</v>
      </c>
      <c r="FH518" s="214" t="s">
        <v>530</v>
      </c>
      <c r="FJ518" s="321" t="s">
        <v>33727</v>
      </c>
      <c r="FK518" s="214" t="s">
        <v>34569</v>
      </c>
      <c r="FL518" s="214" t="s">
        <v>70</v>
      </c>
      <c r="FM518" s="214" t="s">
        <v>530</v>
      </c>
      <c r="FO518" s="321" t="s">
        <v>33728</v>
      </c>
      <c r="FP518" s="214" t="s">
        <v>52</v>
      </c>
      <c r="FQ518" s="214" t="s">
        <v>70</v>
      </c>
      <c r="FR518" s="214" t="s">
        <v>530</v>
      </c>
      <c r="FT518" s="321" t="s">
        <v>33729</v>
      </c>
      <c r="FU518" s="214" t="s">
        <v>52</v>
      </c>
      <c r="FV518" s="214" t="s">
        <v>70</v>
      </c>
      <c r="FW518" s="214" t="s">
        <v>530</v>
      </c>
      <c r="FY518" s="321" t="s">
        <v>33730</v>
      </c>
      <c r="FZ518" s="214" t="s">
        <v>34620</v>
      </c>
      <c r="GA518" s="214" t="s">
        <v>70</v>
      </c>
      <c r="GB518" s="214" t="s">
        <v>530</v>
      </c>
      <c r="GD518" s="321" t="s">
        <v>33731</v>
      </c>
      <c r="GE518" s="214" t="s">
        <v>88</v>
      </c>
      <c r="GF518" s="214" t="s">
        <v>70</v>
      </c>
      <c r="GG518" s="214" t="s">
        <v>530</v>
      </c>
      <c r="GI518" s="321" t="s">
        <v>33732</v>
      </c>
      <c r="GJ518" s="214" t="s">
        <v>52</v>
      </c>
      <c r="GK518" s="214" t="s">
        <v>70</v>
      </c>
      <c r="GL518" s="214" t="s">
        <v>530</v>
      </c>
      <c r="GN518" s="321" t="s">
        <v>33733</v>
      </c>
      <c r="GO518" s="214" t="s">
        <v>913</v>
      </c>
      <c r="GP518" s="214" t="s">
        <v>70</v>
      </c>
      <c r="GQ518" s="214" t="s">
        <v>530</v>
      </c>
      <c r="GS518" s="321" t="s">
        <v>33734</v>
      </c>
      <c r="GT518" s="214" t="s">
        <v>148</v>
      </c>
      <c r="GU518" s="214" t="s">
        <v>70</v>
      </c>
      <c r="GV518" s="214" t="s">
        <v>530</v>
      </c>
      <c r="GX518" s="215" t="s">
        <v>33735</v>
      </c>
      <c r="GY518" s="214" t="s">
        <v>88</v>
      </c>
      <c r="GZ518" s="214" t="s">
        <v>70</v>
      </c>
      <c r="HA518" s="214" t="s">
        <v>530</v>
      </c>
      <c r="HC518" s="215" t="s">
        <v>33736</v>
      </c>
      <c r="HD518" s="214" t="s">
        <v>34649</v>
      </c>
      <c r="HE518" s="214" t="s">
        <v>70</v>
      </c>
      <c r="HF518" s="214" t="s">
        <v>530</v>
      </c>
      <c r="HH518" s="215" t="s">
        <v>33737</v>
      </c>
      <c r="HI518" s="214" t="s">
        <v>34545</v>
      </c>
      <c r="HJ518" s="214" t="s">
        <v>70</v>
      </c>
      <c r="HK518" s="214" t="s">
        <v>530</v>
      </c>
      <c r="HM518" s="215" t="s">
        <v>33738</v>
      </c>
      <c r="HN518" s="214" t="s">
        <v>916</v>
      </c>
      <c r="HO518" s="214" t="s">
        <v>70</v>
      </c>
      <c r="HP518" s="214" t="s">
        <v>530</v>
      </c>
      <c r="HR518" s="22" t="s">
        <v>33739</v>
      </c>
      <c r="HS518" s="22" t="s">
        <v>529</v>
      </c>
      <c r="HT518" s="22" t="s">
        <v>70</v>
      </c>
      <c r="HU518" s="214" t="s">
        <v>530</v>
      </c>
      <c r="HW518" s="22" t="s">
        <v>33740</v>
      </c>
      <c r="HX518" s="22" t="s">
        <v>34575</v>
      </c>
      <c r="HY518" s="22" t="s">
        <v>70</v>
      </c>
      <c r="HZ518" s="214" t="s">
        <v>530</v>
      </c>
      <c r="IB518" s="22" t="s">
        <v>33741</v>
      </c>
      <c r="IC518" s="22" t="s">
        <v>468</v>
      </c>
      <c r="ID518" s="22" t="s">
        <v>70</v>
      </c>
      <c r="IE518" s="214" t="s">
        <v>530</v>
      </c>
      <c r="IG518" s="22" t="s">
        <v>33742</v>
      </c>
      <c r="IH518" s="22" t="s">
        <v>52</v>
      </c>
      <c r="II518" s="22" t="s">
        <v>70</v>
      </c>
      <c r="IJ518" s="214" t="s">
        <v>530</v>
      </c>
      <c r="IL518" s="22" t="s">
        <v>33743</v>
      </c>
      <c r="IM518" s="22" t="s">
        <v>145</v>
      </c>
      <c r="IN518" s="22" t="s">
        <v>70</v>
      </c>
      <c r="IO518" s="214" t="s">
        <v>530</v>
      </c>
      <c r="IQ518" s="237" t="s">
        <v>33744</v>
      </c>
      <c r="IR518" s="236" t="s">
        <v>145</v>
      </c>
      <c r="IS518" s="236" t="s">
        <v>74</v>
      </c>
      <c r="IT518" s="236" t="s">
        <v>841</v>
      </c>
      <c r="IV518" s="236" t="s">
        <v>33745</v>
      </c>
      <c r="IW518" s="236" t="s">
        <v>145</v>
      </c>
      <c r="IX518" s="236" t="s">
        <v>74</v>
      </c>
      <c r="IY518" s="236" t="s">
        <v>841</v>
      </c>
      <c r="JA518" s="236" t="s">
        <v>33746</v>
      </c>
      <c r="JB518" s="236" t="s">
        <v>145</v>
      </c>
      <c r="JC518" s="236" t="s">
        <v>74</v>
      </c>
      <c r="JD518" s="236" t="s">
        <v>841</v>
      </c>
      <c r="JF518" s="236" t="s">
        <v>33747</v>
      </c>
      <c r="JG518" s="236" t="s">
        <v>145</v>
      </c>
      <c r="JH518" s="236" t="s">
        <v>74</v>
      </c>
      <c r="JI518" s="236" t="s">
        <v>841</v>
      </c>
      <c r="JK518" s="236" t="s">
        <v>33748</v>
      </c>
      <c r="JL518" s="236" t="s">
        <v>145</v>
      </c>
      <c r="JM518" s="236" t="s">
        <v>74</v>
      </c>
      <c r="JN518" s="236" t="s">
        <v>841</v>
      </c>
      <c r="JP518" s="236" t="s">
        <v>33749</v>
      </c>
      <c r="JQ518" s="236" t="s">
        <v>145</v>
      </c>
      <c r="JR518" s="236" t="s">
        <v>74</v>
      </c>
      <c r="JS518" s="236" t="s">
        <v>841</v>
      </c>
      <c r="JU518" s="294" t="s">
        <v>33750</v>
      </c>
      <c r="JV518" s="294" t="s">
        <v>52</v>
      </c>
      <c r="JW518" s="263" t="s">
        <v>70</v>
      </c>
      <c r="JX518" s="294" t="s">
        <v>1083</v>
      </c>
      <c r="JZ518" s="263" t="s">
        <v>33751</v>
      </c>
      <c r="KA518" s="263" t="s">
        <v>145</v>
      </c>
      <c r="KB518" s="263" t="s">
        <v>70</v>
      </c>
      <c r="KC518" s="263" t="s">
        <v>1083</v>
      </c>
      <c r="KE518" s="263" t="s">
        <v>33752</v>
      </c>
      <c r="KF518" s="263" t="s">
        <v>52</v>
      </c>
      <c r="KG518" s="263" t="s">
        <v>70</v>
      </c>
      <c r="KH518" s="263" t="s">
        <v>1083</v>
      </c>
      <c r="KJ518" s="263" t="s">
        <v>33753</v>
      </c>
      <c r="KK518" s="263" t="s">
        <v>52</v>
      </c>
      <c r="KL518" s="263" t="s">
        <v>74</v>
      </c>
      <c r="KM518" s="263" t="s">
        <v>34074</v>
      </c>
      <c r="KO518" s="214" t="s">
        <v>33754</v>
      </c>
      <c r="KP518" s="214" t="s">
        <v>145</v>
      </c>
      <c r="KQ518" s="214" t="s">
        <v>70</v>
      </c>
      <c r="KR518" s="214" t="s">
        <v>67</v>
      </c>
      <c r="KT518" s="22" t="s">
        <v>33755</v>
      </c>
      <c r="KU518" s="22" t="s">
        <v>145</v>
      </c>
      <c r="KV518" s="22" t="s">
        <v>70</v>
      </c>
      <c r="KW518" s="22" t="s">
        <v>67</v>
      </c>
      <c r="KY518" s="214" t="s">
        <v>33756</v>
      </c>
      <c r="KZ518" s="214" t="s">
        <v>52</v>
      </c>
      <c r="LA518" s="214" t="s">
        <v>74</v>
      </c>
      <c r="LB518" s="214" t="s">
        <v>67</v>
      </c>
      <c r="LD518" s="22" t="s">
        <v>33757</v>
      </c>
      <c r="LE518" s="22" t="s">
        <v>145</v>
      </c>
      <c r="LF518" s="22" t="s">
        <v>70</v>
      </c>
      <c r="LG518" s="22" t="s">
        <v>67</v>
      </c>
    </row>
    <row r="519" spans="1:319">
      <c r="A519" s="22" t="s">
        <v>33758</v>
      </c>
      <c r="B519" s="218" t="s">
        <v>52</v>
      </c>
      <c r="C519" s="218" t="s">
        <v>75</v>
      </c>
      <c r="D519" s="218" t="s">
        <v>34530</v>
      </c>
      <c r="F519" s="98" t="s">
        <v>33759</v>
      </c>
      <c r="G519" s="22" t="s">
        <v>145</v>
      </c>
      <c r="H519" s="22" t="s">
        <v>70</v>
      </c>
      <c r="I519" s="22" t="s">
        <v>67</v>
      </c>
      <c r="K519" s="99" t="s">
        <v>33760</v>
      </c>
      <c r="L519" s="22" t="s">
        <v>145</v>
      </c>
      <c r="M519" s="22" t="s">
        <v>70</v>
      </c>
      <c r="N519" s="22" t="s">
        <v>67</v>
      </c>
      <c r="P519" s="99" t="s">
        <v>33761</v>
      </c>
      <c r="Q519" s="22" t="s">
        <v>145</v>
      </c>
      <c r="R519" s="22" t="s">
        <v>70</v>
      </c>
      <c r="S519" s="22" t="s">
        <v>67</v>
      </c>
      <c r="U519" s="293" t="s">
        <v>33762</v>
      </c>
      <c r="V519" s="293" t="s">
        <v>145</v>
      </c>
      <c r="W519" s="293" t="s">
        <v>74</v>
      </c>
      <c r="X519" s="293" t="s">
        <v>656</v>
      </c>
      <c r="Z519" s="293" t="s">
        <v>33763</v>
      </c>
      <c r="AA519" s="293" t="s">
        <v>145</v>
      </c>
      <c r="AB519" s="293" t="s">
        <v>74</v>
      </c>
      <c r="AC519" s="293" t="s">
        <v>656</v>
      </c>
      <c r="AE519" s="293" t="s">
        <v>33764</v>
      </c>
      <c r="AF519" s="293" t="s">
        <v>145</v>
      </c>
      <c r="AG519" s="293" t="s">
        <v>74</v>
      </c>
      <c r="AH519" s="293" t="s">
        <v>656</v>
      </c>
      <c r="AJ519" s="293" t="s">
        <v>33765</v>
      </c>
      <c r="AK519" s="293" t="s">
        <v>145</v>
      </c>
      <c r="AL519" s="293" t="s">
        <v>74</v>
      </c>
      <c r="AM519" s="293" t="s">
        <v>656</v>
      </c>
      <c r="AO519" s="22" t="s">
        <v>33766</v>
      </c>
      <c r="AP519" s="22" t="s">
        <v>145</v>
      </c>
      <c r="AQ519" s="22" t="s">
        <v>70</v>
      </c>
      <c r="AR519" s="22" t="s">
        <v>67</v>
      </c>
      <c r="AT519" s="22" t="s">
        <v>33767</v>
      </c>
      <c r="AU519" s="22" t="s">
        <v>145</v>
      </c>
      <c r="AV519" s="22" t="s">
        <v>70</v>
      </c>
      <c r="AW519" s="22" t="s">
        <v>67</v>
      </c>
      <c r="AY519" s="22" t="s">
        <v>33768</v>
      </c>
      <c r="AZ519" s="22" t="s">
        <v>145</v>
      </c>
      <c r="BA519" s="22" t="s">
        <v>70</v>
      </c>
      <c r="BB519" s="22" t="s">
        <v>67</v>
      </c>
      <c r="BD519" s="21" t="s">
        <v>33769</v>
      </c>
      <c r="BE519" s="22" t="s">
        <v>145</v>
      </c>
      <c r="BF519" s="22" t="s">
        <v>70</v>
      </c>
      <c r="BG519" s="22" t="s">
        <v>67</v>
      </c>
      <c r="BI519" s="21" t="s">
        <v>33770</v>
      </c>
      <c r="BJ519" s="22" t="s">
        <v>145</v>
      </c>
      <c r="BK519" s="22" t="s">
        <v>70</v>
      </c>
      <c r="BL519" s="22" t="s">
        <v>67</v>
      </c>
      <c r="BN519" s="21" t="s">
        <v>33771</v>
      </c>
      <c r="BO519" s="22" t="s">
        <v>145</v>
      </c>
      <c r="BP519" s="22" t="s">
        <v>70</v>
      </c>
      <c r="BQ519" s="22" t="s">
        <v>67</v>
      </c>
      <c r="BS519" s="21" t="s">
        <v>33772</v>
      </c>
      <c r="BT519" s="22" t="s">
        <v>145</v>
      </c>
      <c r="BU519" s="22" t="s">
        <v>70</v>
      </c>
      <c r="BV519" s="214" t="s">
        <v>530</v>
      </c>
      <c r="BX519" s="21" t="s">
        <v>33773</v>
      </c>
      <c r="BY519" s="22" t="s">
        <v>145</v>
      </c>
      <c r="BZ519" s="22" t="s">
        <v>70</v>
      </c>
      <c r="CA519" s="214" t="s">
        <v>530</v>
      </c>
      <c r="CC519" s="215" t="s">
        <v>33774</v>
      </c>
      <c r="CD519" s="214" t="s">
        <v>88</v>
      </c>
      <c r="CE519" s="214" t="s">
        <v>70</v>
      </c>
      <c r="CF519" s="214" t="s">
        <v>530</v>
      </c>
      <c r="CH519" s="214" t="s">
        <v>33775</v>
      </c>
      <c r="CI519" s="214" t="s">
        <v>491</v>
      </c>
      <c r="CJ519" s="214" t="s">
        <v>70</v>
      </c>
      <c r="CK519" s="214" t="s">
        <v>530</v>
      </c>
      <c r="CM519" s="214" t="s">
        <v>33776</v>
      </c>
      <c r="CN519" s="214" t="s">
        <v>484</v>
      </c>
      <c r="CO519" s="214" t="s">
        <v>70</v>
      </c>
      <c r="CP519" s="214" t="s">
        <v>530</v>
      </c>
      <c r="CR519" s="214" t="s">
        <v>33777</v>
      </c>
      <c r="CS519" s="214" t="s">
        <v>146</v>
      </c>
      <c r="CT519" s="214" t="s">
        <v>70</v>
      </c>
      <c r="CU519" s="214" t="s">
        <v>530</v>
      </c>
      <c r="CW519" s="214" t="s">
        <v>33778</v>
      </c>
      <c r="CX519" s="214" t="s">
        <v>52</v>
      </c>
      <c r="CY519" s="214" t="s">
        <v>70</v>
      </c>
      <c r="CZ519" s="214" t="s">
        <v>530</v>
      </c>
      <c r="DB519" s="214" t="s">
        <v>33779</v>
      </c>
      <c r="DC519" s="214" t="s">
        <v>149</v>
      </c>
      <c r="DD519" s="214" t="s">
        <v>70</v>
      </c>
      <c r="DE519" s="214" t="s">
        <v>530</v>
      </c>
      <c r="DG519" s="214" t="s">
        <v>33780</v>
      </c>
      <c r="DH519" s="214" t="s">
        <v>34570</v>
      </c>
      <c r="DI519" s="214" t="s">
        <v>70</v>
      </c>
      <c r="DJ519" s="214" t="s">
        <v>530</v>
      </c>
      <c r="DL519" s="214" t="s">
        <v>33781</v>
      </c>
      <c r="DM519" s="214" t="s">
        <v>484</v>
      </c>
      <c r="DN519" s="214" t="s">
        <v>70</v>
      </c>
      <c r="DO519" s="214" t="s">
        <v>530</v>
      </c>
      <c r="DQ519" s="214" t="s">
        <v>33782</v>
      </c>
      <c r="DR519" s="214" t="s">
        <v>599</v>
      </c>
      <c r="DS519" s="214" t="s">
        <v>70</v>
      </c>
      <c r="DT519" s="214" t="s">
        <v>530</v>
      </c>
      <c r="DV519" s="214" t="s">
        <v>33783</v>
      </c>
      <c r="DW519" s="214" t="s">
        <v>34573</v>
      </c>
      <c r="DX519" s="214" t="s">
        <v>70</v>
      </c>
      <c r="DY519" s="214" t="s">
        <v>530</v>
      </c>
      <c r="EA519" s="214" t="s">
        <v>33784</v>
      </c>
      <c r="EB519" s="214" t="s">
        <v>287</v>
      </c>
      <c r="EC519" s="214" t="s">
        <v>70</v>
      </c>
      <c r="ED519" s="214" t="s">
        <v>530</v>
      </c>
      <c r="EF519" s="214" t="s">
        <v>33785</v>
      </c>
      <c r="EG519" s="214" t="s">
        <v>926</v>
      </c>
      <c r="EH519" s="214" t="s">
        <v>70</v>
      </c>
      <c r="EI519" s="214" t="s">
        <v>530</v>
      </c>
      <c r="EK519" s="214" t="s">
        <v>33786</v>
      </c>
      <c r="EL519" s="214" t="s">
        <v>34618</v>
      </c>
      <c r="EM519" s="214" t="s">
        <v>70</v>
      </c>
      <c r="EN519" s="214" t="s">
        <v>530</v>
      </c>
      <c r="EP519" s="214" t="s">
        <v>33787</v>
      </c>
      <c r="EQ519" s="214" t="s">
        <v>34595</v>
      </c>
      <c r="ER519" s="214" t="s">
        <v>70</v>
      </c>
      <c r="ES519" s="214" t="s">
        <v>530</v>
      </c>
      <c r="EU519" s="214" t="s">
        <v>33788</v>
      </c>
      <c r="EV519" s="214" t="s">
        <v>599</v>
      </c>
      <c r="EW519" s="214" t="s">
        <v>70</v>
      </c>
      <c r="EX519" s="214" t="s">
        <v>530</v>
      </c>
      <c r="EZ519" s="214" t="s">
        <v>33789</v>
      </c>
      <c r="FA519" s="214" t="s">
        <v>501</v>
      </c>
      <c r="FB519" s="214" t="s">
        <v>70</v>
      </c>
      <c r="FC519" s="214" t="s">
        <v>530</v>
      </c>
      <c r="FE519" s="215" t="s">
        <v>33790</v>
      </c>
      <c r="FF519" s="214" t="s">
        <v>146</v>
      </c>
      <c r="FG519" s="214" t="s">
        <v>70</v>
      </c>
      <c r="FH519" s="214" t="s">
        <v>530</v>
      </c>
      <c r="FJ519" s="321" t="s">
        <v>33791</v>
      </c>
      <c r="FK519" s="214" t="s">
        <v>34405</v>
      </c>
      <c r="FL519" s="214" t="s">
        <v>70</v>
      </c>
      <c r="FM519" s="214" t="s">
        <v>530</v>
      </c>
      <c r="FO519" s="321" t="s">
        <v>33792</v>
      </c>
      <c r="FP519" s="214" t="s">
        <v>88</v>
      </c>
      <c r="FQ519" s="214" t="s">
        <v>70</v>
      </c>
      <c r="FR519" s="214" t="s">
        <v>530</v>
      </c>
      <c r="FT519" s="321" t="s">
        <v>33793</v>
      </c>
      <c r="FU519" s="214" t="s">
        <v>88</v>
      </c>
      <c r="FV519" s="214" t="s">
        <v>70</v>
      </c>
      <c r="FW519" s="214" t="s">
        <v>530</v>
      </c>
      <c r="FY519" s="321" t="s">
        <v>33794</v>
      </c>
      <c r="FZ519" s="214" t="s">
        <v>926</v>
      </c>
      <c r="GA519" s="214" t="s">
        <v>70</v>
      </c>
      <c r="GB519" s="214" t="s">
        <v>530</v>
      </c>
      <c r="GD519" s="321" t="s">
        <v>33795</v>
      </c>
      <c r="GE519" s="214" t="s">
        <v>481</v>
      </c>
      <c r="GF519" s="214" t="s">
        <v>70</v>
      </c>
      <c r="GG519" s="214" t="s">
        <v>530</v>
      </c>
      <c r="GI519" s="321" t="s">
        <v>33796</v>
      </c>
      <c r="GJ519" s="214" t="s">
        <v>919</v>
      </c>
      <c r="GK519" s="214" t="s">
        <v>70</v>
      </c>
      <c r="GL519" s="214" t="s">
        <v>530</v>
      </c>
      <c r="GN519" s="321" t="s">
        <v>33797</v>
      </c>
      <c r="GO519" s="214" t="s">
        <v>34615</v>
      </c>
      <c r="GP519" s="214" t="s">
        <v>70</v>
      </c>
      <c r="GQ519" s="214" t="s">
        <v>530</v>
      </c>
      <c r="GS519" s="321" t="s">
        <v>33798</v>
      </c>
      <c r="GT519" s="214" t="s">
        <v>653</v>
      </c>
      <c r="GU519" s="214" t="s">
        <v>70</v>
      </c>
      <c r="GV519" s="214" t="s">
        <v>530</v>
      </c>
      <c r="GX519" s="215" t="s">
        <v>33799</v>
      </c>
      <c r="GY519" s="214" t="s">
        <v>488</v>
      </c>
      <c r="GZ519" s="214" t="s">
        <v>70</v>
      </c>
      <c r="HA519" s="214" t="s">
        <v>530</v>
      </c>
      <c r="HC519" s="215" t="s">
        <v>33800</v>
      </c>
      <c r="HD519" s="214" t="s">
        <v>488</v>
      </c>
      <c r="HE519" s="214" t="s">
        <v>70</v>
      </c>
      <c r="HF519" s="214" t="s">
        <v>530</v>
      </c>
      <c r="HH519" s="215" t="s">
        <v>33801</v>
      </c>
      <c r="HI519" s="214" t="s">
        <v>34542</v>
      </c>
      <c r="HJ519" s="214" t="s">
        <v>70</v>
      </c>
      <c r="HK519" s="214" t="s">
        <v>530</v>
      </c>
      <c r="HM519" s="215" t="s">
        <v>33802</v>
      </c>
      <c r="HN519" s="214" t="s">
        <v>488</v>
      </c>
      <c r="HO519" s="214" t="s">
        <v>70</v>
      </c>
      <c r="HP519" s="214" t="s">
        <v>530</v>
      </c>
      <c r="HR519" s="22" t="s">
        <v>33803</v>
      </c>
      <c r="HS519" s="22" t="s">
        <v>34550</v>
      </c>
      <c r="HT519" s="22" t="s">
        <v>70</v>
      </c>
      <c r="HU519" s="214" t="s">
        <v>530</v>
      </c>
      <c r="HW519" s="22" t="s">
        <v>33804</v>
      </c>
      <c r="HX519" s="22" t="s">
        <v>486</v>
      </c>
      <c r="HY519" s="22" t="s">
        <v>70</v>
      </c>
      <c r="HZ519" s="214" t="s">
        <v>530</v>
      </c>
      <c r="IB519" s="22" t="s">
        <v>33805</v>
      </c>
      <c r="IC519" s="22" t="s">
        <v>146</v>
      </c>
      <c r="ID519" s="22" t="s">
        <v>70</v>
      </c>
      <c r="IE519" s="214" t="s">
        <v>530</v>
      </c>
      <c r="IG519" s="22" t="s">
        <v>33806</v>
      </c>
      <c r="IH519" s="22" t="s">
        <v>52</v>
      </c>
      <c r="II519" s="22" t="s">
        <v>70</v>
      </c>
      <c r="IJ519" s="214" t="s">
        <v>530</v>
      </c>
      <c r="IL519" s="22" t="s">
        <v>33807</v>
      </c>
      <c r="IM519" s="22" t="s">
        <v>145</v>
      </c>
      <c r="IN519" s="22" t="s">
        <v>70</v>
      </c>
      <c r="IO519" s="214" t="s">
        <v>530</v>
      </c>
      <c r="IQ519" s="237" t="s">
        <v>33808</v>
      </c>
      <c r="IR519" s="236" t="s">
        <v>145</v>
      </c>
      <c r="IS519" s="236" t="s">
        <v>74</v>
      </c>
      <c r="IT519" s="236" t="s">
        <v>841</v>
      </c>
      <c r="IV519" s="236" t="s">
        <v>33809</v>
      </c>
      <c r="IW519" s="236" t="s">
        <v>145</v>
      </c>
      <c r="IX519" s="236" t="s">
        <v>74</v>
      </c>
      <c r="IY519" s="236" t="s">
        <v>841</v>
      </c>
      <c r="JA519" s="236" t="s">
        <v>33810</v>
      </c>
      <c r="JB519" s="236" t="s">
        <v>145</v>
      </c>
      <c r="JC519" s="236" t="s">
        <v>74</v>
      </c>
      <c r="JD519" s="236" t="s">
        <v>841</v>
      </c>
      <c r="JF519" s="236" t="s">
        <v>33811</v>
      </c>
      <c r="JG519" s="236" t="s">
        <v>145</v>
      </c>
      <c r="JH519" s="236" t="s">
        <v>74</v>
      </c>
      <c r="JI519" s="236" t="s">
        <v>841</v>
      </c>
      <c r="JK519" s="236" t="s">
        <v>33812</v>
      </c>
      <c r="JL519" s="236" t="s">
        <v>145</v>
      </c>
      <c r="JM519" s="236" t="s">
        <v>74</v>
      </c>
      <c r="JN519" s="236" t="s">
        <v>841</v>
      </c>
      <c r="JP519" s="236" t="s">
        <v>33813</v>
      </c>
      <c r="JQ519" s="236" t="s">
        <v>145</v>
      </c>
      <c r="JR519" s="236" t="s">
        <v>74</v>
      </c>
      <c r="JS519" s="236" t="s">
        <v>841</v>
      </c>
      <c r="JU519" s="294" t="s">
        <v>33814</v>
      </c>
      <c r="JV519" s="294" t="s">
        <v>52</v>
      </c>
      <c r="JW519" s="263" t="s">
        <v>70</v>
      </c>
      <c r="JX519" s="294" t="s">
        <v>1083</v>
      </c>
      <c r="JZ519" s="263" t="s">
        <v>33815</v>
      </c>
      <c r="KA519" s="263" t="s">
        <v>145</v>
      </c>
      <c r="KB519" s="263" t="s">
        <v>70</v>
      </c>
      <c r="KC519" s="263" t="s">
        <v>1083</v>
      </c>
      <c r="KE519" s="263" t="s">
        <v>33816</v>
      </c>
      <c r="KF519" s="263" t="s">
        <v>52</v>
      </c>
      <c r="KG519" s="263" t="s">
        <v>70</v>
      </c>
      <c r="KH519" s="263" t="s">
        <v>1083</v>
      </c>
      <c r="KJ519" s="263" t="s">
        <v>33817</v>
      </c>
      <c r="KK519" s="263" t="s">
        <v>52</v>
      </c>
      <c r="KL519" s="263" t="s">
        <v>74</v>
      </c>
      <c r="KM519" s="263" t="s">
        <v>34074</v>
      </c>
      <c r="KO519" s="214" t="s">
        <v>33818</v>
      </c>
      <c r="KP519" s="214" t="s">
        <v>145</v>
      </c>
      <c r="KQ519" s="214" t="s">
        <v>70</v>
      </c>
      <c r="KR519" s="214" t="s">
        <v>67</v>
      </c>
      <c r="KT519" s="22" t="s">
        <v>33819</v>
      </c>
      <c r="KU519" s="22" t="s">
        <v>145</v>
      </c>
      <c r="KV519" s="22" t="s">
        <v>70</v>
      </c>
      <c r="KW519" s="22" t="s">
        <v>67</v>
      </c>
      <c r="KY519" s="214" t="s">
        <v>33820</v>
      </c>
      <c r="KZ519" s="214" t="s">
        <v>52</v>
      </c>
      <c r="LA519" s="214" t="s">
        <v>74</v>
      </c>
      <c r="LB519" s="214" t="s">
        <v>67</v>
      </c>
      <c r="LD519" s="22" t="s">
        <v>33821</v>
      </c>
      <c r="LE519" s="22" t="s">
        <v>145</v>
      </c>
      <c r="LF519" s="22" t="s">
        <v>70</v>
      </c>
      <c r="LG519" s="22" t="s">
        <v>67</v>
      </c>
    </row>
  </sheetData>
  <mergeCells count="64">
    <mergeCell ref="CC6:CF6"/>
    <mergeCell ref="CH6:CK6"/>
    <mergeCell ref="CM6:CP6"/>
    <mergeCell ref="CR6:CU6"/>
    <mergeCell ref="EU6:EX6"/>
    <mergeCell ref="CW6:CZ6"/>
    <mergeCell ref="DB6:DE6"/>
    <mergeCell ref="DG6:DJ6"/>
    <mergeCell ref="DL6:DO6"/>
    <mergeCell ref="DQ6:DT6"/>
    <mergeCell ref="DV6:DY6"/>
    <mergeCell ref="EA6:ED6"/>
    <mergeCell ref="EF6:EI6"/>
    <mergeCell ref="EK6:EN6"/>
    <mergeCell ref="EP6:ES6"/>
    <mergeCell ref="EZ6:FC6"/>
    <mergeCell ref="FE6:FH6"/>
    <mergeCell ref="FJ6:FM6"/>
    <mergeCell ref="HM6:HP6"/>
    <mergeCell ref="GN6:GQ6"/>
    <mergeCell ref="GS6:GV6"/>
    <mergeCell ref="GX6:HA6"/>
    <mergeCell ref="HC6:HF6"/>
    <mergeCell ref="FO6:FR6"/>
    <mergeCell ref="FT6:FW6"/>
    <mergeCell ref="FY6:GB6"/>
    <mergeCell ref="GD6:GG6"/>
    <mergeCell ref="GI6:GL6"/>
    <mergeCell ref="HH6:HK6"/>
    <mergeCell ref="Z6:AC6"/>
    <mergeCell ref="A6:D6"/>
    <mergeCell ref="F6:I6"/>
    <mergeCell ref="K6:N6"/>
    <mergeCell ref="P6:S6"/>
    <mergeCell ref="U6:X6"/>
    <mergeCell ref="BD6:BG6"/>
    <mergeCell ref="BI6:BL6"/>
    <mergeCell ref="BN6:BQ6"/>
    <mergeCell ref="BS6:BV6"/>
    <mergeCell ref="BX6:CA6"/>
    <mergeCell ref="AE6:AH6"/>
    <mergeCell ref="AJ6:AM6"/>
    <mergeCell ref="AO6:AR6"/>
    <mergeCell ref="AT6:AW6"/>
    <mergeCell ref="AY6:BB6"/>
    <mergeCell ref="LD6:LG6"/>
    <mergeCell ref="JK6:JN6"/>
    <mergeCell ref="JP6:JS6"/>
    <mergeCell ref="JU6:JX6"/>
    <mergeCell ref="JZ6:KC6"/>
    <mergeCell ref="KE6:KH6"/>
    <mergeCell ref="KJ6:KM6"/>
    <mergeCell ref="JF6:JI6"/>
    <mergeCell ref="HR6:HU6"/>
    <mergeCell ref="KO6:KR6"/>
    <mergeCell ref="KT6:KW6"/>
    <mergeCell ref="KY6:LB6"/>
    <mergeCell ref="IV6:IY6"/>
    <mergeCell ref="JA6:JD6"/>
    <mergeCell ref="HW6:HZ6"/>
    <mergeCell ref="IB6:IE6"/>
    <mergeCell ref="IG6:IJ6"/>
    <mergeCell ref="IL6:IO6"/>
    <mergeCell ref="IQ6:IT6"/>
  </mergeCells>
  <phoneticPr fontId="53"/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/>
  <dimension ref="A1:AA520"/>
  <sheetViews>
    <sheetView topLeftCell="O51" zoomScale="90" zoomScaleNormal="90" workbookViewId="0">
      <selection activeCell="T102" sqref="T102"/>
    </sheetView>
  </sheetViews>
  <sheetFormatPr defaultColWidth="9" defaultRowHeight="15.5"/>
  <cols>
    <col min="2" max="2" width="11.1640625" style="207" customWidth="1"/>
    <col min="3" max="3" width="38.83203125" customWidth="1"/>
    <col min="4" max="4" width="10.58203125" bestFit="1" customWidth="1"/>
    <col min="5" max="5" width="12.5" customWidth="1"/>
    <col min="12" max="12" width="14.08203125" customWidth="1"/>
    <col min="13" max="13" width="16.6640625" bestFit="1" customWidth="1"/>
    <col min="14" max="14" width="36.6640625" bestFit="1" customWidth="1"/>
    <col min="15" max="15" width="20.08203125" customWidth="1"/>
    <col min="16" max="16" width="15.33203125" customWidth="1"/>
    <col min="17" max="17" width="19.08203125" customWidth="1"/>
    <col min="18" max="18" width="10.1640625" style="207" customWidth="1"/>
    <col min="19" max="19" width="20.08203125" customWidth="1"/>
    <col min="20" max="20" width="25.6640625" customWidth="1"/>
    <col min="22" max="22" width="24.08203125" style="212" customWidth="1"/>
  </cols>
  <sheetData>
    <row r="1" spans="1:27" ht="23.5">
      <c r="A1" s="140" t="s">
        <v>212</v>
      </c>
      <c r="P1" s="140" t="s">
        <v>974</v>
      </c>
    </row>
    <row r="2" spans="1:27">
      <c r="B2" s="298"/>
      <c r="C2" t="s">
        <v>33822</v>
      </c>
      <c r="P2" t="s">
        <v>33823</v>
      </c>
      <c r="Q2" s="221" t="str">
        <f t="shared" ref="Q2:Q7" si="0">"0x"&amp;DEC2HEX(R2,2)</f>
        <v>0x02</v>
      </c>
      <c r="R2" s="298">
        <v>2</v>
      </c>
      <c r="X2" t="s">
        <v>353</v>
      </c>
      <c r="Y2" t="s">
        <v>354</v>
      </c>
    </row>
    <row r="3" spans="1:27">
      <c r="O3" t="s">
        <v>280</v>
      </c>
      <c r="P3" t="s">
        <v>33824</v>
      </c>
      <c r="Q3" s="221" t="str">
        <f t="shared" si="0"/>
        <v>0x0E</v>
      </c>
      <c r="R3" s="298">
        <v>14</v>
      </c>
      <c r="X3" s="213">
        <v>63</v>
      </c>
      <c r="Y3" s="213">
        <v>512</v>
      </c>
      <c r="AA3" t="s">
        <v>481</v>
      </c>
    </row>
    <row r="4" spans="1:27">
      <c r="B4" s="299" t="s">
        <v>213</v>
      </c>
      <c r="C4" s="141" t="s">
        <v>24</v>
      </c>
      <c r="D4" s="141" t="s">
        <v>23</v>
      </c>
      <c r="E4" s="141" t="s">
        <v>59</v>
      </c>
      <c r="H4" s="316">
        <v>0</v>
      </c>
      <c r="K4" t="s">
        <v>33825</v>
      </c>
      <c r="L4" s="110">
        <v>274937</v>
      </c>
      <c r="O4" s="356" t="s">
        <v>280</v>
      </c>
      <c r="P4" t="s">
        <v>33826</v>
      </c>
      <c r="Q4" s="221" t="str">
        <f t="shared" si="0"/>
        <v>0x00</v>
      </c>
      <c r="R4" s="298">
        <v>0</v>
      </c>
      <c r="V4" s="212" t="str">
        <f t="shared" ref="V4:V67" si="1">"1600_"&amp;DEC2HEX((Y$3*X$3 + W4),4)</f>
        <v>1600_7E00</v>
      </c>
      <c r="W4">
        <v>0</v>
      </c>
      <c r="AA4" t="s">
        <v>482</v>
      </c>
    </row>
    <row r="5" spans="1:27">
      <c r="B5" s="134" t="s">
        <v>104</v>
      </c>
      <c r="C5" s="107" t="s">
        <v>201</v>
      </c>
      <c r="D5" s="141"/>
      <c r="E5" s="141"/>
      <c r="F5" s="212">
        <f>MOD(MAX(F8:F520)+3,256)</f>
        <v>186</v>
      </c>
      <c r="G5" s="212" t="str">
        <f>"0x"&amp;DEC2HEX(F5,2)</f>
        <v>0xBA</v>
      </c>
      <c r="H5" s="212">
        <v>0</v>
      </c>
      <c r="I5" s="212" t="str">
        <f t="shared" ref="I5" si="2">"0x"&amp;DEC2HEX(H5,2)</f>
        <v>0x00</v>
      </c>
      <c r="K5" t="s">
        <v>214</v>
      </c>
      <c r="L5" t="s">
        <v>214</v>
      </c>
      <c r="M5" t="s">
        <v>34194</v>
      </c>
      <c r="N5" t="s">
        <v>508</v>
      </c>
      <c r="O5" s="261" t="str">
        <f>"0x0" &amp; MID(TVIIBE1M_ByteMap!$B$11 &amp; MID(TVIIBE1M_ByteMap!$B$10, 3, 2),3,3) &amp; "_" &amp; MID(TVIIBE1M_ByteMap!$B$10, 4, 1) &amp; "000"</f>
        <v>0x0E30_0000</v>
      </c>
      <c r="P5" t="s">
        <v>33827</v>
      </c>
      <c r="Q5" s="221" t="str">
        <f t="shared" si="0"/>
        <v>0x01</v>
      </c>
      <c r="R5" s="298">
        <v>1</v>
      </c>
      <c r="V5" s="212" t="str">
        <f t="shared" si="1"/>
        <v>1600_7E01</v>
      </c>
      <c r="W5">
        <v>1</v>
      </c>
      <c r="AA5" t="s">
        <v>483</v>
      </c>
    </row>
    <row r="6" spans="1:27">
      <c r="B6" s="134" t="str">
        <f>"0x" &amp; DEC2HEX(HEX2DEC(RIGHT(B5,3))+1, 3)</f>
        <v>0x001</v>
      </c>
      <c r="C6" s="107" t="s">
        <v>201</v>
      </c>
      <c r="D6" s="141"/>
      <c r="E6" s="141"/>
      <c r="F6" s="212">
        <f>FLOOR((MAX(F8:F520)+3)/256,1)</f>
        <v>0</v>
      </c>
      <c r="G6" s="212" t="str">
        <f>"0x"&amp;DEC2HEX(F6,2)</f>
        <v>0x00</v>
      </c>
      <c r="H6" s="212">
        <v>0</v>
      </c>
      <c r="I6" s="212" t="str">
        <f t="shared" ref="I6:I71" si="3">"0x"&amp;DEC2HEX(H6,2)</f>
        <v>0x00</v>
      </c>
      <c r="P6" t="s">
        <v>33828</v>
      </c>
      <c r="Q6" s="221" t="str">
        <f t="shared" si="0"/>
        <v>0x01</v>
      </c>
      <c r="R6" s="298">
        <v>1</v>
      </c>
      <c r="V6" s="212" t="str">
        <f t="shared" si="1"/>
        <v>1600_7E02</v>
      </c>
      <c r="W6">
        <v>2</v>
      </c>
      <c r="AA6" t="s">
        <v>798</v>
      </c>
    </row>
    <row r="7" spans="1:27">
      <c r="B7" s="134" t="str">
        <f t="shared" ref="B7:B70" si="4">"0x" &amp; DEC2HEX(HEX2DEC(RIGHT(B6,3))+1, 3)</f>
        <v>0x002</v>
      </c>
      <c r="C7" s="107" t="s">
        <v>202</v>
      </c>
      <c r="D7" s="141"/>
      <c r="E7" s="141"/>
      <c r="F7" s="212">
        <f>VLOOKUP(F5-3,F8:I520,3,FALSE)</f>
        <v>9</v>
      </c>
      <c r="G7" s="212" t="str">
        <f>"0x"&amp;DEC2HEX(F7,2)</f>
        <v>0x09</v>
      </c>
      <c r="H7" s="212">
        <v>0</v>
      </c>
      <c r="I7" s="212" t="str">
        <f t="shared" si="3"/>
        <v>0x00</v>
      </c>
      <c r="L7" t="s">
        <v>214</v>
      </c>
      <c r="M7" t="s">
        <v>34195</v>
      </c>
      <c r="N7" t="s">
        <v>606</v>
      </c>
      <c r="O7" t="s">
        <v>34340</v>
      </c>
      <c r="P7" t="s">
        <v>33829</v>
      </c>
      <c r="Q7" s="221" t="str">
        <f t="shared" si="0"/>
        <v>0x90</v>
      </c>
      <c r="R7" s="298">
        <f>4*6+16*(R2+R4+R5+R6) + 4*R3</f>
        <v>144</v>
      </c>
      <c r="V7" s="212" t="str">
        <f t="shared" si="1"/>
        <v>1600_7E03</v>
      </c>
      <c r="W7">
        <v>3</v>
      </c>
      <c r="AA7" t="s">
        <v>468</v>
      </c>
    </row>
    <row r="8" spans="1:27">
      <c r="B8" s="134" t="str">
        <f t="shared" si="4"/>
        <v>0x003</v>
      </c>
      <c r="C8" s="107" t="s">
        <v>517</v>
      </c>
      <c r="D8" s="107"/>
      <c r="E8" s="107" t="s">
        <v>518</v>
      </c>
      <c r="F8">
        <v>0</v>
      </c>
      <c r="G8" s="212" t="str">
        <f t="shared" ref="G8" si="5">"0x"&amp;DEC2HEX(F8,3)</f>
        <v>0x000</v>
      </c>
      <c r="H8" s="212">
        <f>MOD((HEX2DEC(RIGHT(E8,2)) + H4*2),127)</f>
        <v>49</v>
      </c>
      <c r="I8" s="212" t="str">
        <f t="shared" si="3"/>
        <v>0x31</v>
      </c>
      <c r="M8" t="s">
        <v>34196</v>
      </c>
      <c r="N8" t="s">
        <v>607</v>
      </c>
      <c r="O8" s="261" t="s">
        <v>34446</v>
      </c>
      <c r="P8" t="s">
        <v>33830</v>
      </c>
      <c r="V8" s="212" t="str">
        <f t="shared" si="1"/>
        <v>1600_7E04</v>
      </c>
      <c r="W8">
        <v>4</v>
      </c>
      <c r="AA8" t="s">
        <v>484</v>
      </c>
    </row>
    <row r="9" spans="1:27">
      <c r="B9" s="134" t="str">
        <f t="shared" si="4"/>
        <v>0x004</v>
      </c>
      <c r="C9" s="107" t="s">
        <v>509</v>
      </c>
      <c r="D9" s="107" t="s">
        <v>280</v>
      </c>
      <c r="E9" s="107" t="str">
        <f>"0x"&amp; MID(M5, 10, 2)</f>
        <v>0x80</v>
      </c>
      <c r="F9">
        <f>F8+1</f>
        <v>1</v>
      </c>
      <c r="G9" s="212" t="str">
        <f t="shared" ref="G9:G72" si="6">"0x"&amp;DEC2HEX(F9,3)</f>
        <v>0x001</v>
      </c>
      <c r="H9" s="212">
        <f t="shared" ref="H9:H72" si="7">MOD((HEX2DEC(RIGHT(E9,2)) + H8*2),127)</f>
        <v>99</v>
      </c>
      <c r="I9" s="212" t="str">
        <f t="shared" si="3"/>
        <v>0x63</v>
      </c>
      <c r="P9" s="299" t="s">
        <v>213</v>
      </c>
      <c r="Q9" s="299" t="s">
        <v>24</v>
      </c>
      <c r="R9" s="299" t="s">
        <v>59</v>
      </c>
      <c r="V9" s="212" t="str">
        <f t="shared" si="1"/>
        <v>1600_7E05</v>
      </c>
      <c r="W9">
        <v>5</v>
      </c>
      <c r="AA9" t="s">
        <v>148</v>
      </c>
    </row>
    <row r="10" spans="1:27">
      <c r="B10" s="134" t="str">
        <f t="shared" si="4"/>
        <v>0x005</v>
      </c>
      <c r="C10" s="107" t="s">
        <v>510</v>
      </c>
      <c r="D10" s="107" t="s">
        <v>280</v>
      </c>
      <c r="E10" s="107" t="str">
        <f>"0x" &amp; MID(M5, 8, 2)</f>
        <v>0x20</v>
      </c>
      <c r="F10">
        <f t="shared" ref="F10:F73" si="8">F9+1</f>
        <v>2</v>
      </c>
      <c r="G10" s="212" t="str">
        <f t="shared" si="6"/>
        <v>0x002</v>
      </c>
      <c r="H10" s="212">
        <f t="shared" si="7"/>
        <v>103</v>
      </c>
      <c r="I10" s="212" t="str">
        <f t="shared" si="3"/>
        <v>0x67</v>
      </c>
      <c r="K10" t="s">
        <v>215</v>
      </c>
      <c r="L10" s="304" t="s">
        <v>215</v>
      </c>
      <c r="M10" s="304" t="s">
        <v>34318</v>
      </c>
      <c r="N10" s="304" t="s">
        <v>34481</v>
      </c>
      <c r="O10" s="304" t="s">
        <v>34341</v>
      </c>
      <c r="P10" s="107">
        <v>1</v>
      </c>
      <c r="Q10" s="107" t="s">
        <v>33831</v>
      </c>
      <c r="R10" s="108" t="s">
        <v>52</v>
      </c>
      <c r="V10" s="212" t="str">
        <f t="shared" si="1"/>
        <v>1600_7E06</v>
      </c>
      <c r="W10">
        <v>6</v>
      </c>
      <c r="AA10" t="s">
        <v>204</v>
      </c>
    </row>
    <row r="11" spans="1:27">
      <c r="B11" s="134" t="str">
        <f t="shared" si="4"/>
        <v>0x006</v>
      </c>
      <c r="C11" s="107" t="s">
        <v>511</v>
      </c>
      <c r="D11" s="107" t="s">
        <v>280</v>
      </c>
      <c r="E11" s="107" t="str">
        <f>"0x" &amp; MID(M5, 5, 2)</f>
        <v>0x20</v>
      </c>
      <c r="F11">
        <f t="shared" si="8"/>
        <v>3</v>
      </c>
      <c r="G11" s="212" t="str">
        <f t="shared" si="6"/>
        <v>0x003</v>
      </c>
      <c r="H11" s="212">
        <f t="shared" si="7"/>
        <v>111</v>
      </c>
      <c r="I11" s="212" t="str">
        <f t="shared" si="3"/>
        <v>0x6F</v>
      </c>
      <c r="P11" s="107">
        <v>2</v>
      </c>
      <c r="Q11" s="107" t="s">
        <v>33832</v>
      </c>
      <c r="R11" s="300" t="s">
        <v>52</v>
      </c>
      <c r="V11" s="212" t="str">
        <f t="shared" si="1"/>
        <v>1600_7E07</v>
      </c>
      <c r="W11">
        <v>7</v>
      </c>
      <c r="AA11" t="s">
        <v>485</v>
      </c>
    </row>
    <row r="12" spans="1:27">
      <c r="B12" s="134" t="str">
        <f t="shared" si="4"/>
        <v>0x007</v>
      </c>
      <c r="C12" s="107" t="s">
        <v>512</v>
      </c>
      <c r="D12" s="107" t="s">
        <v>280</v>
      </c>
      <c r="E12" s="107" t="str">
        <f>"0x" &amp; MID(M5, 3, 2)</f>
        <v>0x40</v>
      </c>
      <c r="F12">
        <f t="shared" si="8"/>
        <v>4</v>
      </c>
      <c r="G12" s="212" t="str">
        <f t="shared" si="6"/>
        <v>0x004</v>
      </c>
      <c r="H12" s="212">
        <f t="shared" si="7"/>
        <v>32</v>
      </c>
      <c r="I12" s="212" t="str">
        <f t="shared" si="3"/>
        <v>0x20</v>
      </c>
      <c r="L12" t="s">
        <v>34295</v>
      </c>
      <c r="M12" t="s">
        <v>34319</v>
      </c>
      <c r="N12" t="s">
        <v>596</v>
      </c>
      <c r="O12" t="s">
        <v>34342</v>
      </c>
      <c r="P12" s="107">
        <v>3</v>
      </c>
      <c r="Q12" s="107" t="s">
        <v>33833</v>
      </c>
      <c r="R12" s="300" t="s">
        <v>52</v>
      </c>
      <c r="V12" s="212" t="str">
        <f t="shared" si="1"/>
        <v>1600_7E08</v>
      </c>
      <c r="W12">
        <v>8</v>
      </c>
      <c r="AA12" t="s">
        <v>486</v>
      </c>
    </row>
    <row r="13" spans="1:27">
      <c r="B13" s="134" t="str">
        <f t="shared" si="4"/>
        <v>0x008</v>
      </c>
      <c r="C13" s="107" t="s">
        <v>513</v>
      </c>
      <c r="D13" s="107"/>
      <c r="E13" s="107" t="str">
        <f>"0x"&amp; MID(O5, 10, 2)</f>
        <v>0x00</v>
      </c>
      <c r="F13">
        <f t="shared" si="8"/>
        <v>5</v>
      </c>
      <c r="G13" s="212" t="str">
        <f t="shared" si="6"/>
        <v>0x005</v>
      </c>
      <c r="H13" s="212">
        <f>MOD((HEX2DEC(RIGHT(E13,2)) + H12*2),127)</f>
        <v>64</v>
      </c>
      <c r="I13" s="212" t="str">
        <f t="shared" si="3"/>
        <v>0x40</v>
      </c>
      <c r="M13" t="s">
        <v>34320</v>
      </c>
      <c r="N13" t="s">
        <v>597</v>
      </c>
      <c r="O13" t="s">
        <v>34294</v>
      </c>
      <c r="P13" s="107">
        <v>4</v>
      </c>
      <c r="Q13" s="107" t="s">
        <v>33834</v>
      </c>
      <c r="R13" s="108" t="s">
        <v>88</v>
      </c>
      <c r="V13" s="212" t="str">
        <f t="shared" si="1"/>
        <v>1600_7E09</v>
      </c>
      <c r="W13">
        <v>9</v>
      </c>
      <c r="AA13" t="s">
        <v>90</v>
      </c>
    </row>
    <row r="14" spans="1:27">
      <c r="B14" s="134" t="str">
        <f t="shared" si="4"/>
        <v>0x009</v>
      </c>
      <c r="C14" s="107" t="s">
        <v>514</v>
      </c>
      <c r="D14" s="107"/>
      <c r="E14" s="107" t="str">
        <f>"0x" &amp; MID(O5, 8, 2)</f>
        <v>0x00</v>
      </c>
      <c r="F14">
        <f t="shared" si="8"/>
        <v>6</v>
      </c>
      <c r="G14" s="212" t="str">
        <f t="shared" si="6"/>
        <v>0x006</v>
      </c>
      <c r="H14" s="212">
        <f>MOD((HEX2DEC(RIGHT(E14,2)) + H13*2),127)</f>
        <v>1</v>
      </c>
      <c r="I14" s="212" t="str">
        <f t="shared" si="3"/>
        <v>0x01</v>
      </c>
      <c r="M14" t="s">
        <v>34321</v>
      </c>
      <c r="N14" t="s">
        <v>644</v>
      </c>
      <c r="O14" t="s">
        <v>34292</v>
      </c>
      <c r="P14" s="107">
        <v>5</v>
      </c>
      <c r="Q14" s="107" t="s">
        <v>33835</v>
      </c>
      <c r="R14" s="108" t="s">
        <v>649</v>
      </c>
      <c r="S14" t="s">
        <v>33836</v>
      </c>
      <c r="V14" s="212" t="str">
        <f t="shared" si="1"/>
        <v>1600_7E0A</v>
      </c>
      <c r="W14">
        <v>10</v>
      </c>
      <c r="AA14" t="s">
        <v>487</v>
      </c>
    </row>
    <row r="15" spans="1:27">
      <c r="B15" s="134" t="str">
        <f t="shared" si="4"/>
        <v>0x00A</v>
      </c>
      <c r="C15" s="107" t="s">
        <v>515</v>
      </c>
      <c r="D15" s="107"/>
      <c r="E15" s="107" t="str">
        <f>"0x" &amp; MID(O5, 5, 2)</f>
        <v>0x30</v>
      </c>
      <c r="F15">
        <f t="shared" si="8"/>
        <v>7</v>
      </c>
      <c r="G15" s="212" t="str">
        <f t="shared" si="6"/>
        <v>0x007</v>
      </c>
      <c r="H15" s="212">
        <f>MOD((HEX2DEC(RIGHT(E15,2)) + H14*2),127)</f>
        <v>50</v>
      </c>
      <c r="I15" s="212" t="str">
        <f t="shared" si="3"/>
        <v>0x32</v>
      </c>
      <c r="M15" t="s">
        <v>34322</v>
      </c>
      <c r="N15" t="s">
        <v>217</v>
      </c>
      <c r="O15" t="s">
        <v>34343</v>
      </c>
      <c r="P15" s="107">
        <v>6</v>
      </c>
      <c r="Q15" s="107" t="s">
        <v>33837</v>
      </c>
      <c r="R15" s="108" t="s">
        <v>164</v>
      </c>
      <c r="S15" t="s">
        <v>34449</v>
      </c>
      <c r="V15" s="212" t="str">
        <f t="shared" si="1"/>
        <v>1600_7E0B</v>
      </c>
      <c r="W15">
        <v>11</v>
      </c>
      <c r="AA15" t="s">
        <v>488</v>
      </c>
    </row>
    <row r="16" spans="1:27">
      <c r="B16" s="134" t="str">
        <f t="shared" si="4"/>
        <v>0x00B</v>
      </c>
      <c r="C16" s="107" t="s">
        <v>516</v>
      </c>
      <c r="D16" s="107"/>
      <c r="E16" s="107" t="str">
        <f>"0x" &amp; MID(O5, 3, 2)</f>
        <v>0x0E</v>
      </c>
      <c r="F16">
        <f t="shared" si="8"/>
        <v>8</v>
      </c>
      <c r="G16" s="212" t="str">
        <f t="shared" si="6"/>
        <v>0x008</v>
      </c>
      <c r="H16" s="212">
        <f>MOD((HEX2DEC(RIGHT(E16,2)) + H15*2),127)</f>
        <v>114</v>
      </c>
      <c r="I16" s="212" t="str">
        <f t="shared" si="3"/>
        <v>0x72</v>
      </c>
      <c r="M16" t="s">
        <v>34323</v>
      </c>
      <c r="N16" t="s">
        <v>216</v>
      </c>
      <c r="O16" t="s">
        <v>34344</v>
      </c>
      <c r="P16" s="107">
        <v>7</v>
      </c>
      <c r="Q16" s="107" t="s">
        <v>33839</v>
      </c>
      <c r="R16" s="108" t="s">
        <v>52</v>
      </c>
      <c r="V16" s="212" t="str">
        <f t="shared" si="1"/>
        <v>1600_7E0C</v>
      </c>
      <c r="W16">
        <v>12</v>
      </c>
      <c r="AA16" t="s">
        <v>484</v>
      </c>
    </row>
    <row r="17" spans="2:27">
      <c r="B17" s="134" t="str">
        <f t="shared" si="4"/>
        <v>0x00C</v>
      </c>
      <c r="C17" s="107" t="s">
        <v>608</v>
      </c>
      <c r="D17" s="107"/>
      <c r="E17" s="107" t="s">
        <v>604</v>
      </c>
      <c r="F17">
        <f t="shared" si="8"/>
        <v>9</v>
      </c>
      <c r="G17" s="212" t="str">
        <f t="shared" si="6"/>
        <v>0x009</v>
      </c>
      <c r="H17" s="212">
        <f t="shared" si="7"/>
        <v>23</v>
      </c>
      <c r="I17" s="212" t="str">
        <f t="shared" si="3"/>
        <v>0x17</v>
      </c>
      <c r="M17" t="s">
        <v>34324</v>
      </c>
      <c r="N17" t="s">
        <v>34088</v>
      </c>
      <c r="O17" s="261" t="s">
        <v>34345</v>
      </c>
      <c r="P17" s="107">
        <v>8</v>
      </c>
      <c r="Q17" s="107" t="s">
        <v>33840</v>
      </c>
      <c r="R17" s="108" t="s">
        <v>21742</v>
      </c>
      <c r="S17" t="s">
        <v>34455</v>
      </c>
      <c r="V17" s="212" t="str">
        <f t="shared" si="1"/>
        <v>1600_7E0D</v>
      </c>
      <c r="W17">
        <v>13</v>
      </c>
      <c r="AA17" t="s">
        <v>485</v>
      </c>
    </row>
    <row r="18" spans="2:27">
      <c r="B18" s="134" t="str">
        <f t="shared" si="4"/>
        <v>0x00D</v>
      </c>
      <c r="C18" s="107" t="s">
        <v>609</v>
      </c>
      <c r="D18" s="107" t="str">
        <f>"0x" &amp; DEC2HEX(HEX2DEC(RIGHT(M7, 4)) - HEX2DEC(RIGHT(M5, 4)), 4)</f>
        <v>0x0080</v>
      </c>
      <c r="E18" s="107" t="str">
        <f>"0x" &amp; RIGHT(DEC2HEX(HEX2DEC(RIGHT(M7, 4)) - HEX2DEC(RIGHT(M5, 4)), 4), 2)</f>
        <v>0x80</v>
      </c>
      <c r="F18">
        <f t="shared" si="8"/>
        <v>10</v>
      </c>
      <c r="G18" s="212" t="str">
        <f t="shared" si="6"/>
        <v>0x00A</v>
      </c>
      <c r="H18" s="212">
        <f t="shared" si="7"/>
        <v>47</v>
      </c>
      <c r="I18" s="212" t="str">
        <f t="shared" si="3"/>
        <v>0x2F</v>
      </c>
      <c r="M18" t="s">
        <v>34325</v>
      </c>
      <c r="N18" s="301" t="s">
        <v>33838</v>
      </c>
      <c r="O18" s="346" t="s">
        <v>34472</v>
      </c>
      <c r="P18" s="107">
        <v>9</v>
      </c>
      <c r="Q18" s="107" t="s">
        <v>33841</v>
      </c>
      <c r="R18" s="108" t="s">
        <v>52</v>
      </c>
      <c r="S18" t="s">
        <v>34450</v>
      </c>
      <c r="V18" s="212" t="str">
        <f t="shared" si="1"/>
        <v>1600_7E0E</v>
      </c>
      <c r="W18">
        <v>14</v>
      </c>
      <c r="AA18" t="s">
        <v>486</v>
      </c>
    </row>
    <row r="19" spans="2:27">
      <c r="B19" s="134" t="str">
        <f t="shared" si="4"/>
        <v>0x00E</v>
      </c>
      <c r="C19" s="107" t="s">
        <v>610</v>
      </c>
      <c r="D19" s="107"/>
      <c r="E19" s="107" t="str">
        <f>"0x" &amp; LEFT(DEC2HEX(HEX2DEC(RIGHT(M7, 4)) - HEX2DEC(RIGHT(M5, 4)), 4), 2)</f>
        <v>0x00</v>
      </c>
      <c r="F19">
        <f t="shared" si="8"/>
        <v>11</v>
      </c>
      <c r="G19" s="212" t="str">
        <f t="shared" si="6"/>
        <v>0x00B</v>
      </c>
      <c r="H19" s="212">
        <f t="shared" si="7"/>
        <v>94</v>
      </c>
      <c r="I19" s="212" t="str">
        <f t="shared" si="3"/>
        <v>0x5E</v>
      </c>
      <c r="M19" t="s">
        <v>34326</v>
      </c>
      <c r="N19" t="s">
        <v>218</v>
      </c>
      <c r="O19" s="261" t="s">
        <v>34444</v>
      </c>
      <c r="P19" s="107">
        <v>10</v>
      </c>
      <c r="Q19" s="107" t="s">
        <v>33842</v>
      </c>
      <c r="R19" s="108" t="s">
        <v>52</v>
      </c>
      <c r="V19" s="212" t="str">
        <f t="shared" si="1"/>
        <v>1600_7E0F</v>
      </c>
      <c r="W19">
        <v>15</v>
      </c>
      <c r="AA19" t="s">
        <v>90</v>
      </c>
    </row>
    <row r="20" spans="2:27">
      <c r="B20" s="134" t="str">
        <f t="shared" si="4"/>
        <v>0x00F</v>
      </c>
      <c r="C20" s="107" t="s">
        <v>611</v>
      </c>
      <c r="D20" s="107"/>
      <c r="E20" s="107" t="str">
        <f>"0x"&amp; MID(O7, 10, 2)</f>
        <v>0x02</v>
      </c>
      <c r="F20">
        <f t="shared" si="8"/>
        <v>12</v>
      </c>
      <c r="G20" s="212" t="str">
        <f t="shared" si="6"/>
        <v>0x00C</v>
      </c>
      <c r="H20" s="212">
        <f t="shared" si="7"/>
        <v>63</v>
      </c>
      <c r="I20" s="212" t="str">
        <f t="shared" si="3"/>
        <v>0x3F</v>
      </c>
      <c r="M20" t="s">
        <v>34327</v>
      </c>
      <c r="N20" t="s">
        <v>635</v>
      </c>
      <c r="O20" s="261" t="s">
        <v>34445</v>
      </c>
      <c r="P20" s="107">
        <v>11</v>
      </c>
      <c r="Q20" s="107" t="s">
        <v>33844</v>
      </c>
      <c r="R20" s="108" t="s">
        <v>52</v>
      </c>
      <c r="V20" s="212" t="str">
        <f t="shared" si="1"/>
        <v>1600_7E10</v>
      </c>
      <c r="W20">
        <v>16</v>
      </c>
      <c r="AA20" t="s">
        <v>487</v>
      </c>
    </row>
    <row r="21" spans="2:27">
      <c r="B21" s="134" t="str">
        <f t="shared" si="4"/>
        <v>0x010</v>
      </c>
      <c r="C21" s="107" t="s">
        <v>612</v>
      </c>
      <c r="D21" s="107"/>
      <c r="E21" s="107" t="str">
        <f>"0x" &amp; MID(O7, 8, 2)</f>
        <v>0x00</v>
      </c>
      <c r="F21">
        <f t="shared" si="8"/>
        <v>13</v>
      </c>
      <c r="G21" s="212" t="str">
        <f t="shared" si="6"/>
        <v>0x00D</v>
      </c>
      <c r="H21" s="212">
        <f t="shared" si="7"/>
        <v>126</v>
      </c>
      <c r="I21" s="212" t="str">
        <f t="shared" si="3"/>
        <v>0x7E</v>
      </c>
      <c r="P21" s="107">
        <v>12</v>
      </c>
      <c r="Q21" s="107" t="s">
        <v>33846</v>
      </c>
      <c r="R21" s="108" t="s">
        <v>52</v>
      </c>
      <c r="V21" s="212" t="str">
        <f t="shared" si="1"/>
        <v>1600_7E11</v>
      </c>
      <c r="W21">
        <v>17</v>
      </c>
      <c r="AA21" t="s">
        <v>145</v>
      </c>
    </row>
    <row r="22" spans="2:27">
      <c r="B22" s="134" t="str">
        <f t="shared" si="4"/>
        <v>0x011</v>
      </c>
      <c r="C22" s="107" t="s">
        <v>613</v>
      </c>
      <c r="D22" s="107"/>
      <c r="E22" s="107" t="str">
        <f>"0x" &amp; MID(O7, 5, 2)</f>
        <v>0x00</v>
      </c>
      <c r="F22">
        <f t="shared" si="8"/>
        <v>14</v>
      </c>
      <c r="G22" s="212" t="str">
        <f t="shared" si="6"/>
        <v>0x00E</v>
      </c>
      <c r="H22" s="212">
        <f t="shared" si="7"/>
        <v>125</v>
      </c>
      <c r="I22" s="212" t="str">
        <f t="shared" si="3"/>
        <v>0x7D</v>
      </c>
      <c r="L22" t="s">
        <v>34715</v>
      </c>
      <c r="M22" s="261" t="s">
        <v>34683</v>
      </c>
      <c r="N22" s="261" t="s">
        <v>34684</v>
      </c>
      <c r="O22" s="261" t="s">
        <v>34685</v>
      </c>
      <c r="P22" s="107">
        <v>13</v>
      </c>
      <c r="Q22" s="107" t="s">
        <v>33848</v>
      </c>
      <c r="R22" s="108" t="s">
        <v>492</v>
      </c>
      <c r="S22" t="s">
        <v>34452</v>
      </c>
      <c r="V22" s="212" t="str">
        <f t="shared" si="1"/>
        <v>1600_7E12</v>
      </c>
      <c r="W22">
        <v>18</v>
      </c>
      <c r="AA22" t="s">
        <v>468</v>
      </c>
    </row>
    <row r="23" spans="2:27">
      <c r="B23" s="134" t="str">
        <f t="shared" si="4"/>
        <v>0x012</v>
      </c>
      <c r="C23" s="107" t="s">
        <v>614</v>
      </c>
      <c r="D23" s="107"/>
      <c r="E23" s="107" t="str">
        <f>"0x" &amp; MID(O7, 3, 2)</f>
        <v>0x00</v>
      </c>
      <c r="F23">
        <f t="shared" si="8"/>
        <v>15</v>
      </c>
      <c r="G23" s="212" t="str">
        <f t="shared" si="6"/>
        <v>0x00F</v>
      </c>
      <c r="H23" s="212">
        <f t="shared" si="7"/>
        <v>123</v>
      </c>
      <c r="I23" s="212" t="str">
        <f t="shared" si="3"/>
        <v>0x7B</v>
      </c>
      <c r="P23" s="107">
        <v>14</v>
      </c>
      <c r="Q23" s="107" t="s">
        <v>33850</v>
      </c>
      <c r="R23" s="108" t="s">
        <v>145</v>
      </c>
      <c r="S23" t="s">
        <v>34451</v>
      </c>
      <c r="V23" s="212" t="str">
        <f t="shared" si="1"/>
        <v>1600_7E13</v>
      </c>
      <c r="W23">
        <v>19</v>
      </c>
      <c r="AA23" t="s">
        <v>489</v>
      </c>
    </row>
    <row r="24" spans="2:27">
      <c r="B24" s="134" t="str">
        <f t="shared" si="4"/>
        <v>0x013</v>
      </c>
      <c r="C24" s="107" t="s">
        <v>615</v>
      </c>
      <c r="D24" s="107"/>
      <c r="E24" s="107" t="str">
        <f>"0x"&amp; MID(O8, 10, 2)</f>
        <v>0x62</v>
      </c>
      <c r="F24">
        <f t="shared" si="8"/>
        <v>16</v>
      </c>
      <c r="G24" s="212" t="str">
        <f t="shared" si="6"/>
        <v>0x010</v>
      </c>
      <c r="H24" s="212">
        <f t="shared" si="7"/>
        <v>90</v>
      </c>
      <c r="I24" s="212" t="str">
        <f t="shared" si="3"/>
        <v>0x5A</v>
      </c>
      <c r="L24" t="s">
        <v>34296</v>
      </c>
      <c r="M24" t="s">
        <v>34328</v>
      </c>
      <c r="N24" s="301" t="s">
        <v>33843</v>
      </c>
      <c r="O24" s="346" t="s">
        <v>34448</v>
      </c>
      <c r="P24" s="107">
        <v>15</v>
      </c>
      <c r="Q24" s="107" t="s">
        <v>33852</v>
      </c>
      <c r="R24" s="300" t="s">
        <v>52</v>
      </c>
      <c r="V24" s="212" t="str">
        <f t="shared" si="1"/>
        <v>1600_7E14</v>
      </c>
      <c r="W24">
        <v>20</v>
      </c>
      <c r="AA24" t="s">
        <v>86</v>
      </c>
    </row>
    <row r="25" spans="2:27">
      <c r="B25" s="134" t="str">
        <f t="shared" si="4"/>
        <v>0x014</v>
      </c>
      <c r="C25" s="107" t="s">
        <v>616</v>
      </c>
      <c r="D25" s="107"/>
      <c r="E25" s="107" t="str">
        <f>"0x" &amp; MID(O8, 8, 2)</f>
        <v>0x00</v>
      </c>
      <c r="F25">
        <f t="shared" si="8"/>
        <v>17</v>
      </c>
      <c r="G25" s="212" t="str">
        <f t="shared" si="6"/>
        <v>0x011</v>
      </c>
      <c r="H25" s="212">
        <f t="shared" si="7"/>
        <v>53</v>
      </c>
      <c r="I25" s="212" t="str">
        <f t="shared" si="3"/>
        <v>0x35</v>
      </c>
      <c r="M25" t="s">
        <v>34329</v>
      </c>
      <c r="N25" t="s">
        <v>33845</v>
      </c>
      <c r="O25" t="s">
        <v>34303</v>
      </c>
      <c r="P25" s="107">
        <v>16</v>
      </c>
      <c r="Q25" s="107" t="s">
        <v>33854</v>
      </c>
      <c r="R25" s="108" t="s">
        <v>948</v>
      </c>
      <c r="S25" t="s">
        <v>34453</v>
      </c>
      <c r="V25" s="212" t="str">
        <f t="shared" si="1"/>
        <v>1600_7E15</v>
      </c>
      <c r="W25">
        <v>21</v>
      </c>
      <c r="AA25" t="s">
        <v>52</v>
      </c>
    </row>
    <row r="26" spans="2:27">
      <c r="B26" s="134" t="str">
        <f t="shared" si="4"/>
        <v>0x015</v>
      </c>
      <c r="C26" s="107" t="s">
        <v>617</v>
      </c>
      <c r="D26" s="107"/>
      <c r="E26" s="107" t="str">
        <f>"0x" &amp; MID(O8, 5, 2)</f>
        <v>0x00</v>
      </c>
      <c r="F26">
        <f t="shared" si="8"/>
        <v>18</v>
      </c>
      <c r="G26" s="212" t="str">
        <f t="shared" si="6"/>
        <v>0x012</v>
      </c>
      <c r="H26" s="212">
        <f t="shared" si="7"/>
        <v>106</v>
      </c>
      <c r="I26" s="212" t="str">
        <f t="shared" si="3"/>
        <v>0x6A</v>
      </c>
      <c r="M26" t="s">
        <v>34330</v>
      </c>
      <c r="N26" t="s">
        <v>33847</v>
      </c>
      <c r="O26" t="s">
        <v>34303</v>
      </c>
      <c r="P26" s="107">
        <v>17</v>
      </c>
      <c r="Q26" s="107" t="s">
        <v>33856</v>
      </c>
      <c r="R26" s="108" t="s">
        <v>498</v>
      </c>
      <c r="V26" s="212" t="str">
        <f t="shared" si="1"/>
        <v>1600_7E16</v>
      </c>
      <c r="W26">
        <v>22</v>
      </c>
      <c r="AA26" t="s">
        <v>203</v>
      </c>
    </row>
    <row r="27" spans="2:27">
      <c r="B27" s="134" t="str">
        <f t="shared" si="4"/>
        <v>0x016</v>
      </c>
      <c r="C27" s="107" t="s">
        <v>618</v>
      </c>
      <c r="D27" s="107"/>
      <c r="E27" s="107" t="str">
        <f>"0x" &amp; MID(O8, 3, 2)</f>
        <v>0x00</v>
      </c>
      <c r="F27">
        <f t="shared" si="8"/>
        <v>19</v>
      </c>
      <c r="G27" s="212" t="str">
        <f t="shared" si="6"/>
        <v>0x013</v>
      </c>
      <c r="H27" s="212">
        <f t="shared" si="7"/>
        <v>85</v>
      </c>
      <c r="I27" s="212" t="str">
        <f t="shared" si="3"/>
        <v>0x55</v>
      </c>
      <c r="M27" t="s">
        <v>34331</v>
      </c>
      <c r="N27" t="s">
        <v>33849</v>
      </c>
      <c r="O27" t="s">
        <v>34292</v>
      </c>
      <c r="P27" s="107">
        <v>18</v>
      </c>
      <c r="Q27" s="107" t="s">
        <v>33858</v>
      </c>
      <c r="R27" s="108" t="s">
        <v>52</v>
      </c>
      <c r="V27" s="212" t="str">
        <f t="shared" si="1"/>
        <v>1600_7E17</v>
      </c>
      <c r="W27">
        <v>23</v>
      </c>
      <c r="AA27" t="s">
        <v>598</v>
      </c>
    </row>
    <row r="28" spans="2:27">
      <c r="B28" s="134" t="str">
        <f t="shared" si="4"/>
        <v>0x017</v>
      </c>
      <c r="C28" s="107" t="s">
        <v>294</v>
      </c>
      <c r="D28" s="107"/>
      <c r="E28" s="219" t="s">
        <v>206</v>
      </c>
      <c r="F28">
        <f t="shared" si="8"/>
        <v>20</v>
      </c>
      <c r="G28" s="212" t="str">
        <f t="shared" si="6"/>
        <v>0x014</v>
      </c>
      <c r="H28" s="212">
        <f t="shared" si="7"/>
        <v>36</v>
      </c>
      <c r="I28" s="212" t="str">
        <f t="shared" si="3"/>
        <v>0x24</v>
      </c>
      <c r="M28" t="s">
        <v>34332</v>
      </c>
      <c r="N28" t="s">
        <v>33851</v>
      </c>
      <c r="O28" t="s">
        <v>34303</v>
      </c>
      <c r="P28" s="107">
        <v>19</v>
      </c>
      <c r="Q28" s="107" t="s">
        <v>33860</v>
      </c>
      <c r="R28" s="108" t="s">
        <v>52</v>
      </c>
      <c r="V28" s="212" t="str">
        <f t="shared" si="1"/>
        <v>1600_7E18</v>
      </c>
      <c r="W28">
        <v>24</v>
      </c>
      <c r="AA28" t="s">
        <v>490</v>
      </c>
    </row>
    <row r="29" spans="2:27">
      <c r="B29" s="134" t="str">
        <f t="shared" si="4"/>
        <v>0x018</v>
      </c>
      <c r="C29" s="107" t="s">
        <v>295</v>
      </c>
      <c r="D29" s="107" t="str">
        <f>"0x" &amp; DEC2HEX((HEX2DEC(MID(M12, 6, 1) &amp; RIGHT(M12, 4))) - (HEX2DEC(MID(M10, 6, 1) &amp; RIGHT(M10, 4))), 6)</f>
        <v>0x000FB4</v>
      </c>
      <c r="E29" s="219" t="str">
        <f>"0x" &amp; RIGHT(DEC2HEX((HEX2DEC(MID(M12, 6, 1) &amp; RIGHT(M12, 4))) - (HEX2DEC(MID(M7, 6, 1) &amp; RIGHT(M7, 4))), 6), 2)</f>
        <v>0x00</v>
      </c>
      <c r="F29">
        <f t="shared" si="8"/>
        <v>21</v>
      </c>
      <c r="G29" s="212" t="str">
        <f t="shared" si="6"/>
        <v>0x015</v>
      </c>
      <c r="H29" s="212">
        <f t="shared" si="7"/>
        <v>72</v>
      </c>
      <c r="I29" s="212" t="str">
        <f t="shared" si="3"/>
        <v>0x48</v>
      </c>
      <c r="M29" t="s">
        <v>34333</v>
      </c>
      <c r="N29" t="s">
        <v>33853</v>
      </c>
      <c r="O29" t="s">
        <v>34303</v>
      </c>
      <c r="P29" s="107">
        <v>20</v>
      </c>
      <c r="Q29" s="107" t="s">
        <v>33861</v>
      </c>
      <c r="R29" s="108" t="s">
        <v>52</v>
      </c>
      <c r="V29" s="212" t="str">
        <f t="shared" si="1"/>
        <v>1600_7E19</v>
      </c>
      <c r="W29">
        <v>25</v>
      </c>
      <c r="AA29" t="s">
        <v>529</v>
      </c>
    </row>
    <row r="30" spans="2:27">
      <c r="B30" s="134" t="str">
        <f t="shared" si="4"/>
        <v>0x019</v>
      </c>
      <c r="C30" s="107" t="s">
        <v>296</v>
      </c>
      <c r="D30" s="107"/>
      <c r="E30" s="219" t="str">
        <f>"0x" &amp; MID(DEC2HEX((HEX2DEC(MID(M12, 6, 1) &amp; RIGHT(M12, 4))) - (HEX2DEC(MID(M7, 6, 1) &amp; RIGHT(M7, 4))), 6), 3, 2)</f>
        <v>0x0F</v>
      </c>
      <c r="F30">
        <f t="shared" si="8"/>
        <v>22</v>
      </c>
      <c r="G30" s="212" t="str">
        <f t="shared" si="6"/>
        <v>0x016</v>
      </c>
      <c r="H30" s="212">
        <f t="shared" si="7"/>
        <v>32</v>
      </c>
      <c r="I30" s="212" t="str">
        <f t="shared" si="3"/>
        <v>0x20</v>
      </c>
      <c r="M30" t="s">
        <v>34334</v>
      </c>
      <c r="N30" t="s">
        <v>33855</v>
      </c>
      <c r="O30" t="s">
        <v>34292</v>
      </c>
      <c r="P30" s="107">
        <v>21</v>
      </c>
      <c r="Q30" s="107" t="s">
        <v>33863</v>
      </c>
      <c r="R30" s="108" t="s">
        <v>649</v>
      </c>
      <c r="S30" t="s">
        <v>33836</v>
      </c>
      <c r="V30" s="212" t="str">
        <f t="shared" si="1"/>
        <v>1600_7E1A</v>
      </c>
      <c r="W30">
        <v>26</v>
      </c>
      <c r="AA30" t="s">
        <v>491</v>
      </c>
    </row>
    <row r="31" spans="2:27">
      <c r="B31" s="134" t="str">
        <f t="shared" si="4"/>
        <v>0x01A</v>
      </c>
      <c r="C31" s="107" t="s">
        <v>34482</v>
      </c>
      <c r="E31" s="219" t="str">
        <f>"0x" &amp; MID(DEC2HEX((HEX2DEC(MID(M12, 6, 1) &amp; RIGHT(M12, 4))) - (HEX2DEC(MID(M7, 6, 1) &amp; RIGHT(M7, 4))), 6), 1, 2)</f>
        <v>0x06</v>
      </c>
      <c r="F31">
        <f t="shared" si="8"/>
        <v>23</v>
      </c>
      <c r="G31" s="212" t="str">
        <f t="shared" si="6"/>
        <v>0x017</v>
      </c>
      <c r="H31" s="212">
        <f t="shared" si="7"/>
        <v>70</v>
      </c>
      <c r="I31" s="212" t="str">
        <f t="shared" si="3"/>
        <v>0x46</v>
      </c>
      <c r="M31" t="s">
        <v>34335</v>
      </c>
      <c r="N31" t="s">
        <v>33857</v>
      </c>
      <c r="O31" s="261" t="s">
        <v>34447</v>
      </c>
      <c r="P31" s="107">
        <v>22</v>
      </c>
      <c r="Q31" s="107" t="s">
        <v>33864</v>
      </c>
      <c r="R31" s="108" t="s">
        <v>164</v>
      </c>
      <c r="S31" t="s">
        <v>34449</v>
      </c>
      <c r="V31" s="212" t="str">
        <f t="shared" si="1"/>
        <v>1600_7E1B</v>
      </c>
      <c r="W31">
        <v>27</v>
      </c>
      <c r="AA31" t="s">
        <v>52</v>
      </c>
    </row>
    <row r="32" spans="2:27">
      <c r="B32" s="134" t="str">
        <f t="shared" si="4"/>
        <v>0x01B</v>
      </c>
      <c r="C32" s="107" t="s">
        <v>588</v>
      </c>
      <c r="D32" s="107" t="s">
        <v>280</v>
      </c>
      <c r="E32" s="107" t="str">
        <f>"0x"&amp; MID(O12, 10, 2)</f>
        <v>0x20</v>
      </c>
      <c r="F32">
        <f t="shared" si="8"/>
        <v>24</v>
      </c>
      <c r="G32" s="212" t="str">
        <f t="shared" si="6"/>
        <v>0x018</v>
      </c>
      <c r="H32" s="212">
        <f t="shared" si="7"/>
        <v>45</v>
      </c>
      <c r="I32" s="212" t="str">
        <f t="shared" si="3"/>
        <v>0x2D</v>
      </c>
      <c r="M32" t="s">
        <v>34336</v>
      </c>
      <c r="N32" t="s">
        <v>33859</v>
      </c>
      <c r="O32" t="s">
        <v>34345</v>
      </c>
      <c r="P32" s="107">
        <v>23</v>
      </c>
      <c r="Q32" s="107" t="s">
        <v>33866</v>
      </c>
      <c r="R32" s="108" t="s">
        <v>52</v>
      </c>
      <c r="V32" s="212" t="str">
        <f t="shared" si="1"/>
        <v>1600_7E1C</v>
      </c>
      <c r="W32">
        <v>28</v>
      </c>
      <c r="AA32" t="s">
        <v>484</v>
      </c>
    </row>
    <row r="33" spans="2:27">
      <c r="B33" s="134" t="str">
        <f t="shared" si="4"/>
        <v>0x01C</v>
      </c>
      <c r="C33" s="107" t="s">
        <v>589</v>
      </c>
      <c r="D33" s="107"/>
      <c r="E33" s="107" t="str">
        <f>"0x" &amp; MID(O12, 8, 2)</f>
        <v>0x00</v>
      </c>
      <c r="F33">
        <f t="shared" si="8"/>
        <v>25</v>
      </c>
      <c r="G33" s="212" t="str">
        <f t="shared" si="6"/>
        <v>0x019</v>
      </c>
      <c r="H33" s="212">
        <f t="shared" si="7"/>
        <v>90</v>
      </c>
      <c r="I33" s="212" t="str">
        <f t="shared" si="3"/>
        <v>0x5A</v>
      </c>
      <c r="M33" t="s">
        <v>34337</v>
      </c>
      <c r="N33" t="s">
        <v>34077</v>
      </c>
      <c r="O33" t="s">
        <v>34346</v>
      </c>
      <c r="P33" s="107">
        <v>24</v>
      </c>
      <c r="Q33" s="107" t="s">
        <v>33868</v>
      </c>
      <c r="R33" s="108" t="s">
        <v>293</v>
      </c>
      <c r="S33" t="s">
        <v>34454</v>
      </c>
      <c r="V33" s="212" t="str">
        <f t="shared" si="1"/>
        <v>1600_7E1D</v>
      </c>
      <c r="W33">
        <v>29</v>
      </c>
      <c r="AA33" t="s">
        <v>52</v>
      </c>
    </row>
    <row r="34" spans="2:27">
      <c r="B34" s="134" t="str">
        <f t="shared" si="4"/>
        <v>0x01D</v>
      </c>
      <c r="C34" s="107" t="s">
        <v>590</v>
      </c>
      <c r="D34" s="107"/>
      <c r="E34" s="107" t="str">
        <f>"0x" &amp; MID(O12, 5, 2)</f>
        <v>0x00</v>
      </c>
      <c r="F34">
        <f t="shared" si="8"/>
        <v>26</v>
      </c>
      <c r="G34" s="212" t="str">
        <f t="shared" si="6"/>
        <v>0x01A</v>
      </c>
      <c r="H34" s="212">
        <f t="shared" si="7"/>
        <v>53</v>
      </c>
      <c r="I34" s="212" t="str">
        <f t="shared" si="3"/>
        <v>0x35</v>
      </c>
      <c r="M34" t="s">
        <v>34338</v>
      </c>
      <c r="N34" t="s">
        <v>34078</v>
      </c>
      <c r="O34" t="s">
        <v>34346</v>
      </c>
      <c r="P34" s="107">
        <v>25</v>
      </c>
      <c r="Q34" s="107" t="s">
        <v>33870</v>
      </c>
      <c r="R34" s="108" t="s">
        <v>52</v>
      </c>
      <c r="S34" t="s">
        <v>34450</v>
      </c>
      <c r="V34" s="212" t="str">
        <f t="shared" si="1"/>
        <v>1600_7E1E</v>
      </c>
      <c r="W34">
        <v>30</v>
      </c>
      <c r="AA34" t="s">
        <v>203</v>
      </c>
    </row>
    <row r="35" spans="2:27">
      <c r="B35" s="134" t="str">
        <f t="shared" si="4"/>
        <v>0x01E</v>
      </c>
      <c r="C35" s="107" t="s">
        <v>591</v>
      </c>
      <c r="D35" s="107"/>
      <c r="E35" s="107" t="str">
        <f>"0x" &amp; MID(O12, 3, 2)</f>
        <v>0x90</v>
      </c>
      <c r="F35">
        <f t="shared" si="8"/>
        <v>27</v>
      </c>
      <c r="G35" s="212" t="str">
        <f t="shared" si="6"/>
        <v>0x01B</v>
      </c>
      <c r="H35" s="212">
        <f t="shared" si="7"/>
        <v>123</v>
      </c>
      <c r="I35" s="212" t="str">
        <f t="shared" si="3"/>
        <v>0x7B</v>
      </c>
      <c r="P35" s="107">
        <v>26</v>
      </c>
      <c r="Q35" s="107" t="s">
        <v>33872</v>
      </c>
      <c r="R35" s="108" t="s">
        <v>52</v>
      </c>
      <c r="V35" s="212" t="str">
        <f t="shared" si="1"/>
        <v>1600_7E1F</v>
      </c>
      <c r="W35">
        <v>31</v>
      </c>
      <c r="AA35" t="s">
        <v>765</v>
      </c>
    </row>
    <row r="36" spans="2:27">
      <c r="B36" s="134" t="str">
        <f t="shared" si="4"/>
        <v>0x01F</v>
      </c>
      <c r="C36" s="107" t="s">
        <v>592</v>
      </c>
      <c r="D36" s="107"/>
      <c r="E36" s="107" t="str">
        <f>"0x"&amp; MID(O13, 10, 2)</f>
        <v>0x10</v>
      </c>
      <c r="F36">
        <f t="shared" si="8"/>
        <v>28</v>
      </c>
      <c r="G36" s="212" t="str">
        <f t="shared" si="6"/>
        <v>0x01C</v>
      </c>
      <c r="H36" s="212">
        <f t="shared" si="7"/>
        <v>8</v>
      </c>
      <c r="I36" s="212" t="str">
        <f t="shared" si="3"/>
        <v>0x08</v>
      </c>
      <c r="L36" t="s">
        <v>34716</v>
      </c>
      <c r="M36" s="261" t="s">
        <v>34683</v>
      </c>
      <c r="N36" s="261" t="s">
        <v>34684</v>
      </c>
      <c r="O36" s="261" t="s">
        <v>34686</v>
      </c>
      <c r="P36" s="107">
        <v>27</v>
      </c>
      <c r="Q36" s="107" t="s">
        <v>33874</v>
      </c>
      <c r="R36" s="108" t="s">
        <v>52</v>
      </c>
      <c r="V36" s="212" t="str">
        <f t="shared" si="1"/>
        <v>1600_7E20</v>
      </c>
      <c r="W36">
        <v>32</v>
      </c>
      <c r="AA36" t="s">
        <v>490</v>
      </c>
    </row>
    <row r="37" spans="2:27">
      <c r="B37" s="134" t="str">
        <f t="shared" si="4"/>
        <v>0x020</v>
      </c>
      <c r="C37" s="107" t="s">
        <v>593</v>
      </c>
      <c r="D37" s="107"/>
      <c r="E37" s="107" t="str">
        <f>"0x" &amp; MID(O13, 8, 2)</f>
        <v>0x41</v>
      </c>
      <c r="F37">
        <f t="shared" si="8"/>
        <v>29</v>
      </c>
      <c r="G37" s="212" t="str">
        <f t="shared" si="6"/>
        <v>0x01D</v>
      </c>
      <c r="H37" s="212">
        <f t="shared" si="7"/>
        <v>81</v>
      </c>
      <c r="I37" s="212" t="str">
        <f t="shared" si="3"/>
        <v>0x51</v>
      </c>
      <c r="P37" s="107">
        <v>28</v>
      </c>
      <c r="Q37" s="107" t="s">
        <v>33876</v>
      </c>
      <c r="R37" s="108" t="s">
        <v>52</v>
      </c>
      <c r="V37" s="212" t="str">
        <f t="shared" si="1"/>
        <v>1600_7E21</v>
      </c>
      <c r="W37">
        <v>33</v>
      </c>
      <c r="AA37" t="s">
        <v>88</v>
      </c>
    </row>
    <row r="38" spans="2:27">
      <c r="B38" s="134" t="str">
        <f t="shared" si="4"/>
        <v>0x021</v>
      </c>
      <c r="C38" s="107" t="s">
        <v>594</v>
      </c>
      <c r="D38" s="107"/>
      <c r="E38" s="107" t="str">
        <f>"0x" &amp; MID(O13, 5, 2)</f>
        <v>0x88</v>
      </c>
      <c r="F38">
        <f t="shared" si="8"/>
        <v>30</v>
      </c>
      <c r="G38" s="212" t="str">
        <f t="shared" si="6"/>
        <v>0x01E</v>
      </c>
      <c r="H38" s="212">
        <f t="shared" si="7"/>
        <v>44</v>
      </c>
      <c r="I38" s="212" t="str">
        <f t="shared" si="3"/>
        <v>0x2C</v>
      </c>
      <c r="L38" t="s">
        <v>34297</v>
      </c>
      <c r="M38" t="s">
        <v>34339</v>
      </c>
      <c r="N38" t="s">
        <v>33862</v>
      </c>
      <c r="O38" t="s">
        <v>34347</v>
      </c>
      <c r="P38" s="107">
        <v>29</v>
      </c>
      <c r="Q38" s="107" t="s">
        <v>33878</v>
      </c>
      <c r="R38" s="108" t="s">
        <v>492</v>
      </c>
      <c r="S38" t="s">
        <v>34452</v>
      </c>
      <c r="V38" s="212" t="str">
        <f t="shared" si="1"/>
        <v>1600_7E22</v>
      </c>
      <c r="W38">
        <v>34</v>
      </c>
      <c r="AA38" t="s">
        <v>491</v>
      </c>
    </row>
    <row r="39" spans="2:27">
      <c r="B39" s="134" t="str">
        <f t="shared" si="4"/>
        <v>0x022</v>
      </c>
      <c r="C39" s="107" t="s">
        <v>595</v>
      </c>
      <c r="D39" s="107"/>
      <c r="E39" s="107" t="str">
        <f>"0x" &amp; MID(O13, 3, 2)</f>
        <v>0x00</v>
      </c>
      <c r="F39">
        <f t="shared" si="8"/>
        <v>31</v>
      </c>
      <c r="G39" s="212" t="str">
        <f t="shared" si="6"/>
        <v>0x01F</v>
      </c>
      <c r="H39" s="212">
        <f t="shared" si="7"/>
        <v>88</v>
      </c>
      <c r="I39" s="212" t="str">
        <f t="shared" si="3"/>
        <v>0x58</v>
      </c>
      <c r="P39" s="107">
        <v>30</v>
      </c>
      <c r="Q39" s="107" t="s">
        <v>33880</v>
      </c>
      <c r="R39" s="108" t="s">
        <v>145</v>
      </c>
      <c r="S39" t="s">
        <v>34451</v>
      </c>
      <c r="V39" s="212" t="str">
        <f t="shared" si="1"/>
        <v>1600_7E23</v>
      </c>
      <c r="W39">
        <v>35</v>
      </c>
      <c r="AA39" t="s">
        <v>148</v>
      </c>
    </row>
    <row r="40" spans="2:27">
      <c r="B40" s="134" t="str">
        <f t="shared" si="4"/>
        <v>0x023</v>
      </c>
      <c r="C40" s="107" t="s">
        <v>645</v>
      </c>
      <c r="D40" s="107"/>
      <c r="E40" s="107" t="str">
        <f>"0x"&amp; MID(O14, 10, 2)</f>
        <v>0x00</v>
      </c>
      <c r="F40">
        <f t="shared" si="8"/>
        <v>32</v>
      </c>
      <c r="G40" s="212" t="str">
        <f t="shared" si="6"/>
        <v>0x020</v>
      </c>
      <c r="H40" s="212">
        <f t="shared" si="7"/>
        <v>49</v>
      </c>
      <c r="I40" s="212" t="str">
        <f t="shared" si="3"/>
        <v>0x31</v>
      </c>
      <c r="L40" t="s">
        <v>34348</v>
      </c>
      <c r="M40" t="s">
        <v>33865</v>
      </c>
      <c r="N40" s="261" t="s">
        <v>34357</v>
      </c>
      <c r="O40" t="s">
        <v>34292</v>
      </c>
      <c r="P40" s="107">
        <v>31</v>
      </c>
      <c r="Q40" s="107" t="s">
        <v>33882</v>
      </c>
      <c r="R40" s="108" t="s">
        <v>52</v>
      </c>
      <c r="T40" s="302"/>
      <c r="V40" s="212" t="str">
        <f t="shared" si="1"/>
        <v>1600_7E24</v>
      </c>
      <c r="W40">
        <v>36</v>
      </c>
      <c r="AA40" t="s">
        <v>484</v>
      </c>
    </row>
    <row r="41" spans="2:27">
      <c r="B41" s="134" t="str">
        <f t="shared" si="4"/>
        <v>0x024</v>
      </c>
      <c r="C41" s="107" t="s">
        <v>33877</v>
      </c>
      <c r="D41" s="107"/>
      <c r="E41" s="107" t="str">
        <f>"0x" &amp; MID(O14, 8, 2)</f>
        <v>0x00</v>
      </c>
      <c r="F41">
        <f t="shared" si="8"/>
        <v>33</v>
      </c>
      <c r="G41" s="212" t="str">
        <f t="shared" si="6"/>
        <v>0x021</v>
      </c>
      <c r="H41" s="212">
        <f t="shared" si="7"/>
        <v>98</v>
      </c>
      <c r="I41" s="212" t="str">
        <f t="shared" si="3"/>
        <v>0x62</v>
      </c>
      <c r="M41" t="s">
        <v>33867</v>
      </c>
      <c r="N41" s="261" t="s">
        <v>34358</v>
      </c>
      <c r="O41" t="s">
        <v>34292</v>
      </c>
      <c r="P41" s="107">
        <v>32</v>
      </c>
      <c r="Q41" s="107" t="s">
        <v>33883</v>
      </c>
      <c r="R41" s="108" t="s">
        <v>948</v>
      </c>
      <c r="S41" t="s">
        <v>34453</v>
      </c>
      <c r="V41" s="212" t="str">
        <f t="shared" si="1"/>
        <v>1600_7E25</v>
      </c>
      <c r="W41">
        <v>37</v>
      </c>
      <c r="AA41" t="s">
        <v>492</v>
      </c>
    </row>
    <row r="42" spans="2:27">
      <c r="B42" s="134" t="str">
        <f t="shared" si="4"/>
        <v>0x025</v>
      </c>
      <c r="C42" s="107" t="s">
        <v>33879</v>
      </c>
      <c r="D42" s="107"/>
      <c r="E42" s="107" t="str">
        <f>"0x" &amp; MID(O14, 5, 2)</f>
        <v>0x00</v>
      </c>
      <c r="F42">
        <f t="shared" si="8"/>
        <v>34</v>
      </c>
      <c r="G42" s="212" t="str">
        <f t="shared" si="6"/>
        <v>0x022</v>
      </c>
      <c r="H42" s="212">
        <f t="shared" si="7"/>
        <v>69</v>
      </c>
      <c r="I42" s="212" t="str">
        <f t="shared" si="3"/>
        <v>0x45</v>
      </c>
      <c r="L42" t="s">
        <v>34349</v>
      </c>
      <c r="M42" t="s">
        <v>33869</v>
      </c>
      <c r="N42" s="261" t="s">
        <v>34359</v>
      </c>
      <c r="O42" t="s">
        <v>34292</v>
      </c>
      <c r="P42" s="107"/>
      <c r="Q42" s="107"/>
      <c r="R42" s="108"/>
      <c r="V42" s="212" t="str">
        <f t="shared" si="1"/>
        <v>1600_7E26</v>
      </c>
      <c r="W42">
        <v>38</v>
      </c>
      <c r="AA42" t="s">
        <v>52</v>
      </c>
    </row>
    <row r="43" spans="2:27">
      <c r="B43" s="134" t="str">
        <f t="shared" si="4"/>
        <v>0x026</v>
      </c>
      <c r="C43" s="107" t="s">
        <v>33881</v>
      </c>
      <c r="D43" s="107"/>
      <c r="E43" s="107" t="str">
        <f>"0x" &amp; MID(O14, 3, 2)</f>
        <v>0x00</v>
      </c>
      <c r="F43">
        <f t="shared" si="8"/>
        <v>35</v>
      </c>
      <c r="G43" s="212" t="str">
        <f t="shared" si="6"/>
        <v>0x023</v>
      </c>
      <c r="H43" s="212">
        <f t="shared" si="7"/>
        <v>11</v>
      </c>
      <c r="I43" s="212" t="str">
        <f t="shared" si="3"/>
        <v>0x0B</v>
      </c>
      <c r="M43" t="s">
        <v>33871</v>
      </c>
      <c r="N43" s="261" t="s">
        <v>34360</v>
      </c>
      <c r="O43" t="s">
        <v>34292</v>
      </c>
      <c r="P43" s="107"/>
      <c r="Q43" s="107"/>
      <c r="R43" s="108"/>
      <c r="V43" s="212" t="str">
        <f t="shared" si="1"/>
        <v>1600_7E27</v>
      </c>
      <c r="W43">
        <v>39</v>
      </c>
      <c r="AA43" t="s">
        <v>163</v>
      </c>
    </row>
    <row r="44" spans="2:27">
      <c r="B44" s="134" t="str">
        <f t="shared" si="4"/>
        <v>0x027</v>
      </c>
      <c r="C44" s="107" t="s">
        <v>504</v>
      </c>
      <c r="D44" s="107"/>
      <c r="E44" s="107" t="str">
        <f>"0x"&amp; MID(O15, 10, 2)</f>
        <v>0x20</v>
      </c>
      <c r="F44">
        <f t="shared" si="8"/>
        <v>36</v>
      </c>
      <c r="G44" s="212" t="str">
        <f t="shared" si="6"/>
        <v>0x024</v>
      </c>
      <c r="H44" s="212">
        <f t="shared" si="7"/>
        <v>54</v>
      </c>
      <c r="I44" s="212" t="str">
        <f t="shared" si="3"/>
        <v>0x36</v>
      </c>
      <c r="L44" t="s">
        <v>34350</v>
      </c>
      <c r="M44" t="s">
        <v>33873</v>
      </c>
      <c r="N44" s="261" t="s">
        <v>34361</v>
      </c>
      <c r="O44" t="s">
        <v>34292</v>
      </c>
      <c r="P44" s="107"/>
      <c r="Q44" s="107"/>
      <c r="R44" s="108"/>
      <c r="V44" s="212" t="str">
        <f t="shared" si="1"/>
        <v>1600_7E28</v>
      </c>
      <c r="W44">
        <v>40</v>
      </c>
      <c r="AA44" t="s">
        <v>493</v>
      </c>
    </row>
    <row r="45" spans="2:27">
      <c r="B45" s="134" t="str">
        <f t="shared" si="4"/>
        <v>0x028</v>
      </c>
      <c r="C45" s="107" t="s">
        <v>505</v>
      </c>
      <c r="D45" s="107"/>
      <c r="E45" s="107" t="str">
        <f>"0x" &amp; MID(O15, 8, 2)</f>
        <v>0x00</v>
      </c>
      <c r="F45">
        <f t="shared" si="8"/>
        <v>37</v>
      </c>
      <c r="G45" s="212" t="str">
        <f t="shared" si="6"/>
        <v>0x025</v>
      </c>
      <c r="H45" s="212">
        <f t="shared" si="7"/>
        <v>108</v>
      </c>
      <c r="I45" s="212" t="str">
        <f t="shared" si="3"/>
        <v>0x6C</v>
      </c>
      <c r="M45" t="s">
        <v>33875</v>
      </c>
      <c r="N45" s="261" t="s">
        <v>34362</v>
      </c>
      <c r="O45" t="s">
        <v>34292</v>
      </c>
      <c r="P45" s="107"/>
      <c r="Q45" s="107"/>
      <c r="R45" s="108"/>
      <c r="V45" s="212" t="str">
        <f t="shared" si="1"/>
        <v>1600_7E29</v>
      </c>
      <c r="W45">
        <v>41</v>
      </c>
      <c r="AA45" t="s">
        <v>52</v>
      </c>
    </row>
    <row r="46" spans="2:27">
      <c r="B46" s="134" t="str">
        <f t="shared" si="4"/>
        <v>0x029</v>
      </c>
      <c r="C46" s="107" t="s">
        <v>506</v>
      </c>
      <c r="D46" s="107"/>
      <c r="E46" s="107" t="str">
        <f>"0x" &amp; MID(O15, 5, 2)</f>
        <v>0x20</v>
      </c>
      <c r="F46">
        <f t="shared" si="8"/>
        <v>38</v>
      </c>
      <c r="G46" s="212" t="str">
        <f t="shared" si="6"/>
        <v>0x026</v>
      </c>
      <c r="H46" s="212">
        <f t="shared" si="7"/>
        <v>121</v>
      </c>
      <c r="I46" s="212" t="str">
        <f t="shared" si="3"/>
        <v>0x79</v>
      </c>
      <c r="P46" s="107"/>
      <c r="Q46" s="107"/>
      <c r="R46" s="108"/>
      <c r="V46" s="212" t="str">
        <f t="shared" si="1"/>
        <v>1600_7E2A</v>
      </c>
      <c r="W46">
        <v>42</v>
      </c>
      <c r="AA46" t="s">
        <v>484</v>
      </c>
    </row>
    <row r="47" spans="2:27">
      <c r="B47" s="134" t="str">
        <f t="shared" si="4"/>
        <v>0x02A</v>
      </c>
      <c r="C47" s="107" t="s">
        <v>507</v>
      </c>
      <c r="D47" s="107"/>
      <c r="E47" s="107" t="str">
        <f>"0x" &amp; MID(O15, 3, 2)</f>
        <v>0xA2</v>
      </c>
      <c r="F47">
        <f t="shared" si="8"/>
        <v>39</v>
      </c>
      <c r="G47" s="212" t="str">
        <f t="shared" si="6"/>
        <v>0x027</v>
      </c>
      <c r="H47" s="212">
        <f t="shared" si="7"/>
        <v>23</v>
      </c>
      <c r="I47" s="212" t="str">
        <f t="shared" si="3"/>
        <v>0x17</v>
      </c>
      <c r="L47" s="357" t="s">
        <v>219</v>
      </c>
      <c r="M47" s="357" t="s">
        <v>34293</v>
      </c>
      <c r="N47" s="357" t="s">
        <v>34353</v>
      </c>
      <c r="O47" s="357" t="s">
        <v>34727</v>
      </c>
      <c r="P47" s="107"/>
      <c r="Q47" s="107"/>
      <c r="R47" s="108"/>
      <c r="V47" s="212" t="str">
        <f t="shared" si="1"/>
        <v>1600_7E2B</v>
      </c>
      <c r="W47">
        <v>43</v>
      </c>
      <c r="AA47" t="s">
        <v>52</v>
      </c>
    </row>
    <row r="48" spans="2:27">
      <c r="B48" s="134" t="str">
        <f t="shared" si="4"/>
        <v>0x02B</v>
      </c>
      <c r="C48" s="107" t="s">
        <v>297</v>
      </c>
      <c r="D48" s="107"/>
      <c r="E48" s="107" t="str">
        <f>"0x"&amp; MID(O16, 10, 2)</f>
        <v>0x85</v>
      </c>
      <c r="F48">
        <f t="shared" si="8"/>
        <v>40</v>
      </c>
      <c r="G48" s="212" t="str">
        <f t="shared" si="6"/>
        <v>0x028</v>
      </c>
      <c r="H48" s="212">
        <f t="shared" si="7"/>
        <v>52</v>
      </c>
      <c r="I48" s="212" t="str">
        <f t="shared" si="3"/>
        <v>0x34</v>
      </c>
      <c r="P48" s="107"/>
      <c r="Q48" s="107"/>
      <c r="R48" s="108"/>
      <c r="V48" s="212" t="str">
        <f t="shared" si="1"/>
        <v>1600_7E2C</v>
      </c>
      <c r="W48">
        <v>44</v>
      </c>
      <c r="AA48" t="s">
        <v>485</v>
      </c>
    </row>
    <row r="49" spans="2:27">
      <c r="B49" s="134" t="str">
        <f t="shared" si="4"/>
        <v>0x02C</v>
      </c>
      <c r="C49" s="107" t="s">
        <v>298</v>
      </c>
      <c r="D49" s="107"/>
      <c r="E49" s="107" t="str">
        <f>"0x" &amp; MID(O16, 8, 2)</f>
        <v>0x80</v>
      </c>
      <c r="F49">
        <f t="shared" si="8"/>
        <v>41</v>
      </c>
      <c r="G49" s="212" t="str">
        <f t="shared" si="6"/>
        <v>0x029</v>
      </c>
      <c r="H49" s="212">
        <f t="shared" si="7"/>
        <v>105</v>
      </c>
      <c r="I49" s="212" t="str">
        <f t="shared" si="3"/>
        <v>0x69</v>
      </c>
      <c r="L49" t="s">
        <v>34302</v>
      </c>
      <c r="M49" t="s">
        <v>34427</v>
      </c>
      <c r="N49" t="s">
        <v>34426</v>
      </c>
      <c r="O49" s="261" t="s">
        <v>34528</v>
      </c>
      <c r="P49" s="107"/>
      <c r="Q49" s="107"/>
      <c r="R49" s="108"/>
      <c r="V49" s="212" t="str">
        <f t="shared" si="1"/>
        <v>1600_7E2D</v>
      </c>
      <c r="W49">
        <v>45</v>
      </c>
      <c r="AA49" t="s">
        <v>163</v>
      </c>
    </row>
    <row r="50" spans="2:27">
      <c r="B50" s="134" t="str">
        <f t="shared" si="4"/>
        <v>0x02D</v>
      </c>
      <c r="C50" s="107" t="s">
        <v>299</v>
      </c>
      <c r="D50" s="107"/>
      <c r="E50" s="107" t="str">
        <f>"0x" &amp; MID(O16, 5, 2)</f>
        <v>0x80</v>
      </c>
      <c r="F50">
        <f t="shared" si="8"/>
        <v>42</v>
      </c>
      <c r="G50" s="212" t="str">
        <f t="shared" si="6"/>
        <v>0x02A</v>
      </c>
      <c r="H50" s="212">
        <f t="shared" si="7"/>
        <v>84</v>
      </c>
      <c r="I50" s="212" t="str">
        <f t="shared" si="3"/>
        <v>0x54</v>
      </c>
      <c r="P50" s="107"/>
      <c r="Q50" s="107"/>
      <c r="R50" s="108"/>
      <c r="V50" s="212" t="str">
        <f t="shared" si="1"/>
        <v>1600_7E2E</v>
      </c>
      <c r="W50">
        <v>46</v>
      </c>
      <c r="AA50" t="s">
        <v>494</v>
      </c>
    </row>
    <row r="51" spans="2:27">
      <c r="B51" s="134" t="str">
        <f t="shared" si="4"/>
        <v>0x02E</v>
      </c>
      <c r="C51" s="107" t="s">
        <v>300</v>
      </c>
      <c r="D51" s="107"/>
      <c r="E51" s="107" t="str">
        <f>"0x" &amp; MID(O16, 3, 2)</f>
        <v>0x80</v>
      </c>
      <c r="F51">
        <f t="shared" si="8"/>
        <v>43</v>
      </c>
      <c r="G51" s="212" t="str">
        <f t="shared" si="6"/>
        <v>0x02B</v>
      </c>
      <c r="H51" s="212">
        <f t="shared" si="7"/>
        <v>42</v>
      </c>
      <c r="I51" s="212" t="str">
        <f t="shared" si="3"/>
        <v>0x2A</v>
      </c>
      <c r="M51" s="346" t="s">
        <v>34688</v>
      </c>
      <c r="N51" s="346" t="s">
        <v>34087</v>
      </c>
      <c r="O51" s="389" t="s">
        <v>34687</v>
      </c>
      <c r="P51" s="107"/>
      <c r="Q51" s="107"/>
      <c r="R51" s="108"/>
      <c r="V51" s="212" t="str">
        <f t="shared" si="1"/>
        <v>1600_7E2F</v>
      </c>
      <c r="W51">
        <v>47</v>
      </c>
      <c r="AA51" t="s">
        <v>495</v>
      </c>
    </row>
    <row r="52" spans="2:27">
      <c r="B52" s="134" t="str">
        <f t="shared" si="4"/>
        <v>0x02F</v>
      </c>
      <c r="C52" s="107" t="s">
        <v>33890</v>
      </c>
      <c r="D52" s="107"/>
      <c r="E52" s="107" t="str">
        <f>"0x"&amp; MID(O17, 10, 2)</f>
        <v>0x2C</v>
      </c>
      <c r="F52">
        <f t="shared" si="8"/>
        <v>44</v>
      </c>
      <c r="G52" s="212" t="str">
        <f t="shared" si="6"/>
        <v>0x02C</v>
      </c>
      <c r="H52" s="212">
        <f t="shared" si="7"/>
        <v>1</v>
      </c>
      <c r="I52" s="212" t="str">
        <f t="shared" si="3"/>
        <v>0x01</v>
      </c>
      <c r="P52" s="107"/>
      <c r="Q52" s="107"/>
      <c r="R52" s="108"/>
      <c r="V52" s="212" t="str">
        <f t="shared" si="1"/>
        <v>1600_7E30</v>
      </c>
      <c r="W52">
        <v>48</v>
      </c>
      <c r="AA52" t="s">
        <v>484</v>
      </c>
    </row>
    <row r="53" spans="2:27">
      <c r="B53" s="134" t="str">
        <f t="shared" si="4"/>
        <v>0x030</v>
      </c>
      <c r="C53" s="107" t="s">
        <v>33892</v>
      </c>
      <c r="D53" s="107"/>
      <c r="E53" s="107" t="str">
        <f>"0x" &amp; MID(O17, 8, 2)</f>
        <v>0x05</v>
      </c>
      <c r="F53">
        <f t="shared" si="8"/>
        <v>45</v>
      </c>
      <c r="G53" s="212" t="str">
        <f t="shared" si="6"/>
        <v>0x02D</v>
      </c>
      <c r="H53" s="212">
        <f t="shared" si="7"/>
        <v>7</v>
      </c>
      <c r="I53" s="212" t="str">
        <f t="shared" si="3"/>
        <v>0x07</v>
      </c>
      <c r="M53" s="220"/>
      <c r="P53" s="107"/>
      <c r="Q53" s="107"/>
      <c r="R53" s="108"/>
      <c r="V53" s="212" t="str">
        <f t="shared" si="1"/>
        <v>1600_7E31</v>
      </c>
      <c r="W53">
        <v>49</v>
      </c>
      <c r="AA53" t="s">
        <v>485</v>
      </c>
    </row>
    <row r="54" spans="2:27">
      <c r="B54" s="134" t="str">
        <f t="shared" si="4"/>
        <v>0x031</v>
      </c>
      <c r="C54" s="107" t="s">
        <v>33895</v>
      </c>
      <c r="D54" s="107"/>
      <c r="E54" s="107" t="str">
        <f>"0x" &amp; MID(O17, 5, 2)</f>
        <v>0x00</v>
      </c>
      <c r="F54">
        <f t="shared" si="8"/>
        <v>46</v>
      </c>
      <c r="G54" s="212" t="str">
        <f t="shared" si="6"/>
        <v>0x02E</v>
      </c>
      <c r="H54" s="212">
        <f t="shared" si="7"/>
        <v>14</v>
      </c>
      <c r="I54" s="212" t="str">
        <f t="shared" si="3"/>
        <v>0x0E</v>
      </c>
      <c r="P54" s="107"/>
      <c r="Q54" s="107"/>
      <c r="R54" s="108"/>
      <c r="V54" s="212" t="str">
        <f t="shared" si="1"/>
        <v>1600_7E32</v>
      </c>
      <c r="W54">
        <v>50</v>
      </c>
      <c r="AA54" t="s">
        <v>486</v>
      </c>
    </row>
    <row r="55" spans="2:27">
      <c r="B55" s="134" t="str">
        <f t="shared" si="4"/>
        <v>0x032</v>
      </c>
      <c r="C55" s="107" t="s">
        <v>33897</v>
      </c>
      <c r="D55" s="107"/>
      <c r="E55" s="107" t="str">
        <f>"0x" &amp; MID(O17, 3, 2)</f>
        <v>0x00</v>
      </c>
      <c r="F55">
        <f t="shared" si="8"/>
        <v>47</v>
      </c>
      <c r="G55" s="212" t="str">
        <f t="shared" si="6"/>
        <v>0x02F</v>
      </c>
      <c r="H55" s="212">
        <f t="shared" si="7"/>
        <v>28</v>
      </c>
      <c r="I55" s="212" t="str">
        <f t="shared" si="3"/>
        <v>0x1C</v>
      </c>
      <c r="P55" s="107"/>
      <c r="Q55" s="107"/>
      <c r="R55" s="108"/>
      <c r="V55" s="212" t="str">
        <f t="shared" si="1"/>
        <v>1600_7E33</v>
      </c>
      <c r="W55">
        <v>51</v>
      </c>
      <c r="AA55" t="s">
        <v>90</v>
      </c>
    </row>
    <row r="56" spans="2:27">
      <c r="B56" s="134" t="str">
        <f t="shared" si="4"/>
        <v>0x033</v>
      </c>
      <c r="C56" s="107" t="s">
        <v>33899</v>
      </c>
      <c r="D56" s="107"/>
      <c r="E56" s="107" t="str">
        <f>"0x"&amp; MID(O18, 10, 2)</f>
        <v>0x50</v>
      </c>
      <c r="F56">
        <f t="shared" si="8"/>
        <v>48</v>
      </c>
      <c r="G56" s="212" t="str">
        <f t="shared" si="6"/>
        <v>0x030</v>
      </c>
      <c r="H56" s="212">
        <f t="shared" si="7"/>
        <v>9</v>
      </c>
      <c r="I56" s="212" t="str">
        <f t="shared" si="3"/>
        <v>0x09</v>
      </c>
      <c r="P56" s="107"/>
      <c r="Q56" s="107"/>
      <c r="R56" s="108"/>
      <c r="V56" s="212" t="str">
        <f t="shared" si="1"/>
        <v>1600_7E34</v>
      </c>
      <c r="W56">
        <v>52</v>
      </c>
      <c r="AA56" t="s">
        <v>487</v>
      </c>
    </row>
    <row r="57" spans="2:27">
      <c r="B57" s="134" t="str">
        <f t="shared" si="4"/>
        <v>0x034</v>
      </c>
      <c r="C57" s="107" t="s">
        <v>33901</v>
      </c>
      <c r="D57" s="107"/>
      <c r="E57" s="107" t="str">
        <f>"0x" &amp; MID(O18, 8, 2)</f>
        <v>0x00</v>
      </c>
      <c r="F57">
        <f t="shared" si="8"/>
        <v>49</v>
      </c>
      <c r="G57" s="212" t="str">
        <f t="shared" si="6"/>
        <v>0x031</v>
      </c>
      <c r="H57" s="212">
        <f t="shared" si="7"/>
        <v>18</v>
      </c>
      <c r="I57" s="212" t="str">
        <f t="shared" si="3"/>
        <v>0x12</v>
      </c>
      <c r="N57" s="304" t="s">
        <v>223</v>
      </c>
      <c r="O57" s="304"/>
      <c r="P57" s="107"/>
      <c r="Q57" s="107"/>
      <c r="R57" s="108"/>
      <c r="V57" s="212" t="str">
        <f t="shared" si="1"/>
        <v>1600_7E35</v>
      </c>
      <c r="W57">
        <v>53</v>
      </c>
      <c r="AA57" t="s">
        <v>52</v>
      </c>
    </row>
    <row r="58" spans="2:27">
      <c r="B58" s="134" t="str">
        <f t="shared" si="4"/>
        <v>0x035</v>
      </c>
      <c r="C58" s="107" t="s">
        <v>33904</v>
      </c>
      <c r="D58" s="107"/>
      <c r="E58" s="107" t="str">
        <f>"0x" &amp; MID(O18, 5, 2)</f>
        <v>0x00</v>
      </c>
      <c r="F58">
        <f t="shared" si="8"/>
        <v>50</v>
      </c>
      <c r="G58" s="212" t="str">
        <f t="shared" si="6"/>
        <v>0x032</v>
      </c>
      <c r="H58" s="212">
        <f t="shared" si="7"/>
        <v>36</v>
      </c>
      <c r="I58" s="212" t="str">
        <f t="shared" si="3"/>
        <v>0x24</v>
      </c>
      <c r="K58" s="304" t="s">
        <v>220</v>
      </c>
      <c r="L58" s="304" t="s">
        <v>221</v>
      </c>
      <c r="M58" s="304" t="s">
        <v>222</v>
      </c>
      <c r="N58" s="304" t="s">
        <v>573</v>
      </c>
      <c r="O58" s="304"/>
      <c r="V58" s="212" t="str">
        <f t="shared" si="1"/>
        <v>1600_7E36</v>
      </c>
      <c r="W58">
        <v>54</v>
      </c>
      <c r="AA58" t="s">
        <v>203</v>
      </c>
    </row>
    <row r="59" spans="2:27">
      <c r="B59" s="134" t="str">
        <f t="shared" si="4"/>
        <v>0x036</v>
      </c>
      <c r="C59" s="107" t="s">
        <v>33906</v>
      </c>
      <c r="D59" s="107"/>
      <c r="E59" s="107" t="str">
        <f>"0x" &amp; MID(O18, 3, 2)</f>
        <v>0x00</v>
      </c>
      <c r="F59">
        <f t="shared" si="8"/>
        <v>51</v>
      </c>
      <c r="G59" s="212" t="str">
        <f t="shared" si="6"/>
        <v>0x033</v>
      </c>
      <c r="H59" s="212">
        <f t="shared" si="7"/>
        <v>72</v>
      </c>
      <c r="I59" s="212" t="str">
        <f t="shared" si="3"/>
        <v>0x48</v>
      </c>
      <c r="L59" s="304"/>
      <c r="M59" s="304" t="s">
        <v>222</v>
      </c>
      <c r="N59" s="304" t="s">
        <v>568</v>
      </c>
      <c r="O59" s="304"/>
      <c r="P59" t="s">
        <v>33884</v>
      </c>
      <c r="V59" s="212" t="str">
        <f t="shared" si="1"/>
        <v>1600_7E37</v>
      </c>
      <c r="W59">
        <v>55</v>
      </c>
      <c r="AA59" t="s">
        <v>85</v>
      </c>
    </row>
    <row r="60" spans="2:27">
      <c r="B60" s="134" t="str">
        <f t="shared" si="4"/>
        <v>0x037</v>
      </c>
      <c r="C60" s="107" t="s">
        <v>301</v>
      </c>
      <c r="D60" s="107"/>
      <c r="E60" s="107" t="str">
        <f>"0x"&amp; MID(O19, 10, 2)</f>
        <v>0x00</v>
      </c>
      <c r="F60">
        <f t="shared" si="8"/>
        <v>52</v>
      </c>
      <c r="G60" s="212" t="str">
        <f t="shared" si="6"/>
        <v>0x034</v>
      </c>
      <c r="H60" s="212">
        <f t="shared" si="7"/>
        <v>17</v>
      </c>
      <c r="I60" s="212" t="str">
        <f t="shared" si="3"/>
        <v>0x11</v>
      </c>
      <c r="L60" s="304"/>
      <c r="M60" s="304" t="s">
        <v>224</v>
      </c>
      <c r="N60" s="304" t="s">
        <v>569</v>
      </c>
      <c r="O60" s="304"/>
      <c r="P60" s="299" t="s">
        <v>213</v>
      </c>
      <c r="Q60" s="299" t="s">
        <v>24</v>
      </c>
      <c r="R60" s="299" t="s">
        <v>59</v>
      </c>
      <c r="S60" s="299" t="s">
        <v>33885</v>
      </c>
      <c r="V60" s="212" t="str">
        <f t="shared" si="1"/>
        <v>1600_7E38</v>
      </c>
      <c r="W60">
        <v>56</v>
      </c>
      <c r="AA60" t="s">
        <v>490</v>
      </c>
    </row>
    <row r="61" spans="2:27" ht="46.5">
      <c r="B61" s="134" t="str">
        <f t="shared" si="4"/>
        <v>0x038</v>
      </c>
      <c r="C61" s="107" t="s">
        <v>302</v>
      </c>
      <c r="D61" s="107"/>
      <c r="E61" s="107" t="str">
        <f>"0x" &amp; MID(O19, 8, 2)</f>
        <v>0x00</v>
      </c>
      <c r="F61">
        <f t="shared" si="8"/>
        <v>53</v>
      </c>
      <c r="G61" s="212" t="str">
        <f t="shared" si="6"/>
        <v>0x035</v>
      </c>
      <c r="H61" s="212">
        <f t="shared" si="7"/>
        <v>34</v>
      </c>
      <c r="I61" s="212" t="str">
        <f t="shared" si="3"/>
        <v>0x22</v>
      </c>
      <c r="L61" s="304"/>
      <c r="M61" s="304" t="s">
        <v>225</v>
      </c>
      <c r="N61" s="304" t="s">
        <v>570</v>
      </c>
      <c r="O61" s="304"/>
      <c r="P61" s="107">
        <v>1</v>
      </c>
      <c r="Q61" s="107" t="s">
        <v>33886</v>
      </c>
      <c r="R61" s="108" t="s">
        <v>10541</v>
      </c>
      <c r="S61" s="107" t="s">
        <v>33887</v>
      </c>
      <c r="T61" s="420" t="s">
        <v>34278</v>
      </c>
      <c r="V61" s="212" t="str">
        <f t="shared" si="1"/>
        <v>1600_7E39</v>
      </c>
      <c r="W61">
        <v>57</v>
      </c>
      <c r="AA61" t="s">
        <v>481</v>
      </c>
    </row>
    <row r="62" spans="2:27">
      <c r="B62" s="134" t="str">
        <f t="shared" si="4"/>
        <v>0x039</v>
      </c>
      <c r="C62" s="107" t="s">
        <v>303</v>
      </c>
      <c r="D62" s="107"/>
      <c r="E62" s="107" t="str">
        <f>"0x" &amp; MID(O19, 5, 2)</f>
        <v>0x1F</v>
      </c>
      <c r="F62">
        <f t="shared" si="8"/>
        <v>54</v>
      </c>
      <c r="G62" s="212" t="str">
        <f t="shared" si="6"/>
        <v>0x036</v>
      </c>
      <c r="H62" s="212">
        <f t="shared" si="7"/>
        <v>99</v>
      </c>
      <c r="I62" s="212" t="str">
        <f t="shared" si="3"/>
        <v>0x63</v>
      </c>
      <c r="L62" s="304"/>
      <c r="M62" s="304" t="s">
        <v>226</v>
      </c>
      <c r="N62" s="304" t="s">
        <v>571</v>
      </c>
      <c r="O62" s="304"/>
      <c r="P62" s="107">
        <v>2</v>
      </c>
      <c r="Q62" s="107" t="s">
        <v>33888</v>
      </c>
      <c r="R62" s="108" t="s">
        <v>52</v>
      </c>
      <c r="S62" s="107" t="s">
        <v>33887</v>
      </c>
      <c r="T62" s="392"/>
      <c r="V62" s="212" t="str">
        <f t="shared" si="1"/>
        <v>1600_7E3A</v>
      </c>
      <c r="W62">
        <v>58</v>
      </c>
      <c r="AA62" t="s">
        <v>496</v>
      </c>
    </row>
    <row r="63" spans="2:27">
      <c r="B63" s="134" t="str">
        <f t="shared" si="4"/>
        <v>0x03A</v>
      </c>
      <c r="C63" s="107" t="s">
        <v>304</v>
      </c>
      <c r="D63" s="107"/>
      <c r="E63" s="107" t="str">
        <f>"0x" &amp; MID(O19, 3, 2)</f>
        <v>0x00</v>
      </c>
      <c r="F63">
        <f t="shared" si="8"/>
        <v>55</v>
      </c>
      <c r="G63" s="212" t="str">
        <f>"0x"&amp;DEC2HEX(F63,3)</f>
        <v>0x037</v>
      </c>
      <c r="H63" s="212">
        <f t="shared" si="7"/>
        <v>71</v>
      </c>
      <c r="I63" s="212" t="str">
        <f t="shared" si="3"/>
        <v>0x47</v>
      </c>
      <c r="L63" s="304"/>
      <c r="M63" s="304" t="s">
        <v>227</v>
      </c>
      <c r="N63" s="304" t="s">
        <v>572</v>
      </c>
      <c r="O63" s="304"/>
      <c r="P63" s="107">
        <v>3</v>
      </c>
      <c r="Q63" s="107" t="s">
        <v>33889</v>
      </c>
      <c r="R63" s="300" t="s">
        <v>482</v>
      </c>
      <c r="S63" s="107" t="s">
        <v>33887</v>
      </c>
      <c r="T63" s="391" t="s">
        <v>34728</v>
      </c>
      <c r="V63" s="212" t="str">
        <f t="shared" si="1"/>
        <v>1600_7E3B</v>
      </c>
      <c r="W63">
        <v>59</v>
      </c>
      <c r="AA63" t="s">
        <v>52</v>
      </c>
    </row>
    <row r="64" spans="2:27">
      <c r="B64" s="134" t="str">
        <f t="shared" si="4"/>
        <v>0x03B</v>
      </c>
      <c r="C64" s="107" t="s">
        <v>637</v>
      </c>
      <c r="D64" s="107"/>
      <c r="E64" s="107" t="str">
        <f>"0x"&amp; MID(O20, 10, 2)</f>
        <v>0x1F</v>
      </c>
      <c r="F64">
        <f t="shared" si="8"/>
        <v>56</v>
      </c>
      <c r="G64" s="212" t="str">
        <f t="shared" si="6"/>
        <v>0x038</v>
      </c>
      <c r="H64" s="212">
        <f t="shared" si="7"/>
        <v>46</v>
      </c>
      <c r="I64" s="212" t="str">
        <f t="shared" si="3"/>
        <v>0x2E</v>
      </c>
      <c r="P64" s="107">
        <v>4</v>
      </c>
      <c r="Q64" s="107" t="s">
        <v>33891</v>
      </c>
      <c r="R64" s="300" t="s">
        <v>951</v>
      </c>
      <c r="S64" s="107" t="s">
        <v>33887</v>
      </c>
      <c r="V64" s="212" t="str">
        <f t="shared" si="1"/>
        <v>1600_7E3C</v>
      </c>
      <c r="W64">
        <v>60</v>
      </c>
      <c r="AA64" t="s">
        <v>599</v>
      </c>
    </row>
    <row r="65" spans="2:27">
      <c r="B65" s="134" t="str">
        <f t="shared" si="4"/>
        <v>0x03C</v>
      </c>
      <c r="C65" s="107" t="s">
        <v>638</v>
      </c>
      <c r="D65" s="107"/>
      <c r="E65" s="107" t="str">
        <f>"0x" &amp; MID(O20, 8, 2)</f>
        <v>0x03</v>
      </c>
      <c r="F65">
        <f t="shared" si="8"/>
        <v>57</v>
      </c>
      <c r="G65" s="212" t="str">
        <f t="shared" si="6"/>
        <v>0x039</v>
      </c>
      <c r="H65" s="212">
        <f t="shared" si="7"/>
        <v>95</v>
      </c>
      <c r="I65" s="212" t="str">
        <f t="shared" si="3"/>
        <v>0x5F</v>
      </c>
      <c r="L65" s="304" t="s">
        <v>228</v>
      </c>
      <c r="M65" s="304" t="s">
        <v>229</v>
      </c>
      <c r="N65" s="304" t="s">
        <v>289</v>
      </c>
      <c r="O65" s="304"/>
      <c r="P65" s="107">
        <v>5</v>
      </c>
      <c r="Q65" s="107" t="s">
        <v>33893</v>
      </c>
      <c r="R65" s="108" t="s">
        <v>600</v>
      </c>
      <c r="S65" s="107" t="s">
        <v>33894</v>
      </c>
      <c r="T65" s="392">
        <f>HEX2DEC(RIGHT(R66,2) &amp; RIGHT(R65,2))</f>
        <v>18</v>
      </c>
      <c r="V65" s="212" t="str">
        <f t="shared" si="1"/>
        <v>1600_7E3D</v>
      </c>
      <c r="W65">
        <v>61</v>
      </c>
      <c r="AA65" t="s">
        <v>52</v>
      </c>
    </row>
    <row r="66" spans="2:27">
      <c r="B66" s="134" t="str">
        <f t="shared" si="4"/>
        <v>0x03D</v>
      </c>
      <c r="C66" s="107" t="s">
        <v>639</v>
      </c>
      <c r="D66" s="107"/>
      <c r="E66" s="107" t="str">
        <f>"0x" &amp; MID(O20, 5, 2)</f>
        <v>0x00</v>
      </c>
      <c r="F66">
        <f t="shared" si="8"/>
        <v>58</v>
      </c>
      <c r="G66" s="212" t="str">
        <f t="shared" si="6"/>
        <v>0x03A</v>
      </c>
      <c r="H66" s="212">
        <f t="shared" si="7"/>
        <v>63</v>
      </c>
      <c r="I66" s="212" t="str">
        <f t="shared" si="3"/>
        <v>0x3F</v>
      </c>
      <c r="L66" s="304"/>
      <c r="M66" s="304" t="s">
        <v>291</v>
      </c>
      <c r="N66" s="304" t="s">
        <v>290</v>
      </c>
      <c r="O66" s="304"/>
      <c r="P66" s="107">
        <v>6</v>
      </c>
      <c r="Q66" s="107" t="s">
        <v>33896</v>
      </c>
      <c r="R66" s="108" t="s">
        <v>52</v>
      </c>
      <c r="S66" s="107" t="s">
        <v>33894</v>
      </c>
      <c r="V66" s="212" t="str">
        <f t="shared" si="1"/>
        <v>1600_7E3E</v>
      </c>
      <c r="W66">
        <v>62</v>
      </c>
      <c r="AA66" t="s">
        <v>467</v>
      </c>
    </row>
    <row r="67" spans="2:27">
      <c r="B67" s="134" t="str">
        <f t="shared" si="4"/>
        <v>0x03E</v>
      </c>
      <c r="C67" s="107" t="s">
        <v>640</v>
      </c>
      <c r="D67" s="107"/>
      <c r="E67" s="107" t="str">
        <f>"0x" &amp; MID(O20, 3, 2)</f>
        <v>0x80</v>
      </c>
      <c r="F67">
        <f t="shared" si="8"/>
        <v>59</v>
      </c>
      <c r="G67" s="212" t="str">
        <f t="shared" si="6"/>
        <v>0x03B</v>
      </c>
      <c r="H67" s="212">
        <f t="shared" si="7"/>
        <v>0</v>
      </c>
      <c r="I67" s="212" t="str">
        <f t="shared" si="3"/>
        <v>0x00</v>
      </c>
      <c r="L67" s="304"/>
      <c r="P67" s="107">
        <v>7</v>
      </c>
      <c r="Q67" s="107" t="s">
        <v>33898</v>
      </c>
      <c r="R67" s="300" t="s">
        <v>482</v>
      </c>
      <c r="S67" s="107" t="s">
        <v>33894</v>
      </c>
      <c r="T67" s="391" t="s">
        <v>34728</v>
      </c>
      <c r="V67" s="212" t="str">
        <f t="shared" si="1"/>
        <v>1600_7E3F</v>
      </c>
      <c r="W67">
        <v>63</v>
      </c>
      <c r="AA67" t="s">
        <v>52</v>
      </c>
    </row>
    <row r="68" spans="2:27">
      <c r="B68" s="134" t="str">
        <f t="shared" si="4"/>
        <v>0x03F</v>
      </c>
      <c r="C68" s="219" t="s">
        <v>34689</v>
      </c>
      <c r="D68" s="107"/>
      <c r="E68" s="219" t="s">
        <v>518</v>
      </c>
      <c r="F68">
        <f t="shared" si="8"/>
        <v>60</v>
      </c>
      <c r="G68" s="212" t="str">
        <f t="shared" si="6"/>
        <v>0x03C</v>
      </c>
      <c r="H68" s="212">
        <f t="shared" si="7"/>
        <v>49</v>
      </c>
      <c r="I68" s="212" t="str">
        <f t="shared" si="3"/>
        <v>0x31</v>
      </c>
      <c r="L68" s="304" t="s">
        <v>629</v>
      </c>
      <c r="M68" s="304" t="s">
        <v>627</v>
      </c>
      <c r="N68" s="304" t="s">
        <v>619</v>
      </c>
      <c r="O68" s="304"/>
      <c r="P68" s="107">
        <v>8</v>
      </c>
      <c r="Q68" s="107" t="s">
        <v>33900</v>
      </c>
      <c r="R68" s="300" t="s">
        <v>951</v>
      </c>
      <c r="S68" s="107" t="s">
        <v>33894</v>
      </c>
      <c r="T68" s="391" t="s">
        <v>34728</v>
      </c>
      <c r="V68" s="212" t="str">
        <f t="shared" ref="V68:V131" si="9">"1600_"&amp;DEC2HEX((Y$3*X$3 + W68),4)</f>
        <v>1600_7E40</v>
      </c>
      <c r="W68">
        <v>64</v>
      </c>
      <c r="AA68" t="s">
        <v>148</v>
      </c>
    </row>
    <row r="69" spans="2:27">
      <c r="B69" s="134" t="str">
        <f t="shared" si="4"/>
        <v>0x040</v>
      </c>
      <c r="C69" s="219" t="s">
        <v>34692</v>
      </c>
      <c r="D69" s="107"/>
      <c r="E69" s="219" t="str">
        <f>"0x"&amp; MID(M22, 10, 2)</f>
        <v>0x64</v>
      </c>
      <c r="F69">
        <f t="shared" si="8"/>
        <v>61</v>
      </c>
      <c r="G69" s="212" t="str">
        <f t="shared" si="6"/>
        <v>0x03D</v>
      </c>
      <c r="H69" s="212">
        <f t="shared" si="7"/>
        <v>71</v>
      </c>
      <c r="I69" s="212" t="str">
        <f t="shared" si="3"/>
        <v>0x47</v>
      </c>
      <c r="M69" s="304" t="s">
        <v>628</v>
      </c>
      <c r="N69" s="304" t="s">
        <v>620</v>
      </c>
      <c r="O69" s="304"/>
      <c r="P69" s="107">
        <v>9</v>
      </c>
      <c r="Q69" s="249" t="s">
        <v>33902</v>
      </c>
      <c r="R69" s="303" t="s">
        <v>923</v>
      </c>
      <c r="S69" s="249" t="s">
        <v>33903</v>
      </c>
      <c r="T69" s="392">
        <f>HEX2DEC(RIGHT(R70,2) &amp; RIGHT(R69,2))</f>
        <v>54</v>
      </c>
      <c r="V69" s="212" t="str">
        <f t="shared" si="9"/>
        <v>1600_7E41</v>
      </c>
      <c r="W69">
        <v>65</v>
      </c>
      <c r="AA69" t="s">
        <v>52</v>
      </c>
    </row>
    <row r="70" spans="2:27">
      <c r="B70" s="134" t="str">
        <f t="shared" si="4"/>
        <v>0x041</v>
      </c>
      <c r="C70" s="219" t="s">
        <v>34693</v>
      </c>
      <c r="D70" s="107"/>
      <c r="E70" s="219" t="str">
        <f>"0x" &amp; MID(M22, 8, 2)</f>
        <v>0x20</v>
      </c>
      <c r="F70">
        <f t="shared" si="8"/>
        <v>62</v>
      </c>
      <c r="G70" s="212" t="str">
        <f t="shared" si="6"/>
        <v>0x03E</v>
      </c>
      <c r="H70" s="212">
        <f t="shared" si="7"/>
        <v>47</v>
      </c>
      <c r="I70" s="212" t="str">
        <f t="shared" si="3"/>
        <v>0x2F</v>
      </c>
      <c r="M70" s="304" t="s">
        <v>630</v>
      </c>
      <c r="N70" s="304" t="s">
        <v>621</v>
      </c>
      <c r="O70" s="304"/>
      <c r="P70" s="107">
        <v>10</v>
      </c>
      <c r="Q70" s="107" t="s">
        <v>33905</v>
      </c>
      <c r="R70" s="108" t="s">
        <v>52</v>
      </c>
      <c r="S70" s="107" t="s">
        <v>33903</v>
      </c>
      <c r="V70" s="212" t="str">
        <f t="shared" si="9"/>
        <v>1600_7E42</v>
      </c>
      <c r="W70">
        <v>66</v>
      </c>
      <c r="AA70" t="s">
        <v>467</v>
      </c>
    </row>
    <row r="71" spans="2:27">
      <c r="B71" s="134" t="str">
        <f t="shared" ref="B71:B134" si="10">"0x" &amp; DEC2HEX(HEX2DEC(RIGHT(B70,3))+1, 3)</f>
        <v>0x042</v>
      </c>
      <c r="C71" s="219" t="s">
        <v>34691</v>
      </c>
      <c r="D71" s="107"/>
      <c r="E71" s="219" t="str">
        <f>"0x" &amp; MID(M22, 5, 2)</f>
        <v>0x26</v>
      </c>
      <c r="F71">
        <f t="shared" si="8"/>
        <v>63</v>
      </c>
      <c r="G71" s="212" t="str">
        <f t="shared" si="6"/>
        <v>0x03F</v>
      </c>
      <c r="H71" s="212">
        <f t="shared" si="7"/>
        <v>5</v>
      </c>
      <c r="I71" s="212" t="str">
        <f t="shared" si="3"/>
        <v>0x05</v>
      </c>
      <c r="M71" s="304" t="s">
        <v>643</v>
      </c>
      <c r="N71" s="304" t="s">
        <v>622</v>
      </c>
      <c r="O71" s="304"/>
      <c r="P71" s="107">
        <v>11</v>
      </c>
      <c r="Q71" s="107" t="s">
        <v>33907</v>
      </c>
      <c r="R71" s="108" t="s">
        <v>598</v>
      </c>
      <c r="S71" s="107" t="s">
        <v>33903</v>
      </c>
      <c r="T71" s="392" t="s">
        <v>34729</v>
      </c>
      <c r="V71" s="212" t="str">
        <f t="shared" si="9"/>
        <v>1600_7E43</v>
      </c>
      <c r="W71">
        <v>67</v>
      </c>
      <c r="AA71" t="s">
        <v>52</v>
      </c>
    </row>
    <row r="72" spans="2:27">
      <c r="B72" s="134" t="str">
        <f t="shared" si="10"/>
        <v>0x043</v>
      </c>
      <c r="C72" s="219" t="s">
        <v>34690</v>
      </c>
      <c r="D72" s="107"/>
      <c r="E72" s="219" t="str">
        <f>"0x" &amp; MID(M22, 3, 2)</f>
        <v>0x40</v>
      </c>
      <c r="F72">
        <f t="shared" si="8"/>
        <v>64</v>
      </c>
      <c r="G72" s="212" t="str">
        <f t="shared" si="6"/>
        <v>0x040</v>
      </c>
      <c r="H72" s="212">
        <f t="shared" si="7"/>
        <v>74</v>
      </c>
      <c r="I72" s="212" t="str">
        <f t="shared" ref="I72:I128" si="11">"0x"&amp;DEC2HEX(H72,2)</f>
        <v>0x4A</v>
      </c>
      <c r="M72" s="304" t="s">
        <v>631</v>
      </c>
      <c r="N72" s="304" t="s">
        <v>623</v>
      </c>
      <c r="O72" s="304"/>
      <c r="P72" s="107">
        <v>12</v>
      </c>
      <c r="Q72" s="107" t="s">
        <v>33908</v>
      </c>
      <c r="R72" s="108" t="s">
        <v>951</v>
      </c>
      <c r="S72" s="107" t="s">
        <v>33903</v>
      </c>
      <c r="T72" s="391" t="s">
        <v>34728</v>
      </c>
      <c r="V72" s="212" t="str">
        <f t="shared" si="9"/>
        <v>1600_7E44</v>
      </c>
      <c r="W72">
        <v>68</v>
      </c>
      <c r="AA72" t="s">
        <v>148</v>
      </c>
    </row>
    <row r="73" spans="2:27">
      <c r="B73" s="134" t="str">
        <f t="shared" si="10"/>
        <v>0x044</v>
      </c>
      <c r="C73" s="219" t="s">
        <v>34694</v>
      </c>
      <c r="D73" s="107"/>
      <c r="E73" s="219" t="str">
        <f>"0x"&amp; MID(O22, 10, 2)</f>
        <v>0x00</v>
      </c>
      <c r="F73">
        <f t="shared" si="8"/>
        <v>65</v>
      </c>
      <c r="G73" s="212" t="str">
        <f t="shared" ref="G73:G136" si="12">"0x"&amp;DEC2HEX(F73,3)</f>
        <v>0x041</v>
      </c>
      <c r="H73" s="212">
        <f t="shared" ref="H73:H136" si="13">MOD((HEX2DEC(RIGHT(E73,2)) + H72*2),127)</f>
        <v>21</v>
      </c>
      <c r="I73" s="212" t="str">
        <f t="shared" si="11"/>
        <v>0x15</v>
      </c>
      <c r="M73" s="304" t="s">
        <v>632</v>
      </c>
      <c r="N73" s="304" t="s">
        <v>624</v>
      </c>
      <c r="O73" s="304"/>
      <c r="P73" s="107">
        <v>13</v>
      </c>
      <c r="Q73" s="249" t="s">
        <v>34214</v>
      </c>
      <c r="R73" s="300" t="s">
        <v>34212</v>
      </c>
      <c r="S73" s="107" t="s">
        <v>33909</v>
      </c>
      <c r="T73" s="392">
        <f>HEX2DEC(RIGHT(R74,2) &amp; RIGHT(R73,2))</f>
        <v>198</v>
      </c>
      <c r="V73" s="212" t="str">
        <f t="shared" si="9"/>
        <v>1600_7E45</v>
      </c>
      <c r="W73">
        <v>69</v>
      </c>
      <c r="AA73" t="s">
        <v>497</v>
      </c>
    </row>
    <row r="74" spans="2:27">
      <c r="B74" s="134" t="str">
        <f t="shared" si="10"/>
        <v>0x045</v>
      </c>
      <c r="C74" s="219" t="s">
        <v>34695</v>
      </c>
      <c r="D74" s="107"/>
      <c r="E74" s="219" t="str">
        <f>"0x" &amp; MID(O22, 8, 2)</f>
        <v>0x28</v>
      </c>
      <c r="F74">
        <f t="shared" ref="F74:F137" si="14">F73+1</f>
        <v>66</v>
      </c>
      <c r="G74" s="212" t="str">
        <f t="shared" si="12"/>
        <v>0x042</v>
      </c>
      <c r="H74" s="212">
        <f t="shared" si="13"/>
        <v>82</v>
      </c>
      <c r="I74" s="212" t="str">
        <f t="shared" si="11"/>
        <v>0x52</v>
      </c>
      <c r="M74" s="304" t="s">
        <v>633</v>
      </c>
      <c r="N74" s="304" t="s">
        <v>625</v>
      </c>
      <c r="O74" s="304"/>
      <c r="P74" s="107">
        <v>14</v>
      </c>
      <c r="Q74" s="107" t="s">
        <v>34215</v>
      </c>
      <c r="R74" s="108" t="s">
        <v>52</v>
      </c>
      <c r="S74" s="107" t="s">
        <v>33909</v>
      </c>
      <c r="V74" s="212" t="str">
        <f t="shared" si="9"/>
        <v>1600_7E46</v>
      </c>
      <c r="W74">
        <v>70</v>
      </c>
      <c r="AA74" t="s">
        <v>146</v>
      </c>
    </row>
    <row r="75" spans="2:27">
      <c r="B75" s="134" t="str">
        <f t="shared" si="10"/>
        <v>0x046</v>
      </c>
      <c r="C75" s="219" t="s">
        <v>34696</v>
      </c>
      <c r="D75" s="107"/>
      <c r="E75" s="219" t="str">
        <f>"0x" &amp; MID(O22, 5, 2)</f>
        <v>0x00</v>
      </c>
      <c r="F75">
        <f t="shared" si="14"/>
        <v>67</v>
      </c>
      <c r="G75" s="212" t="str">
        <f t="shared" si="12"/>
        <v>0x043</v>
      </c>
      <c r="H75" s="212">
        <f t="shared" si="13"/>
        <v>37</v>
      </c>
      <c r="I75" s="212" t="str">
        <f t="shared" si="11"/>
        <v>0x25</v>
      </c>
      <c r="M75" s="304" t="s">
        <v>634</v>
      </c>
      <c r="N75" s="304" t="s">
        <v>626</v>
      </c>
      <c r="O75" s="304"/>
      <c r="P75" s="107">
        <v>15</v>
      </c>
      <c r="Q75" s="107" t="s">
        <v>34216</v>
      </c>
      <c r="R75" s="300" t="s">
        <v>33910</v>
      </c>
      <c r="S75" s="107" t="s">
        <v>33909</v>
      </c>
      <c r="T75" s="391" t="s">
        <v>34730</v>
      </c>
      <c r="V75" s="212" t="str">
        <f t="shared" si="9"/>
        <v>1600_7E47</v>
      </c>
      <c r="W75">
        <v>71</v>
      </c>
      <c r="AA75" t="s">
        <v>163</v>
      </c>
    </row>
    <row r="76" spans="2:27">
      <c r="B76" s="134" t="str">
        <f t="shared" si="10"/>
        <v>0x047</v>
      </c>
      <c r="C76" s="219" t="s">
        <v>34697</v>
      </c>
      <c r="D76" s="107"/>
      <c r="E76" s="219" t="str">
        <f>"0x" &amp; MID(O22, 3, 2)</f>
        <v>0x00</v>
      </c>
      <c r="F76">
        <f t="shared" si="14"/>
        <v>68</v>
      </c>
      <c r="G76" s="212" t="str">
        <f t="shared" si="12"/>
        <v>0x044</v>
      </c>
      <c r="H76" s="212">
        <f t="shared" si="13"/>
        <v>74</v>
      </c>
      <c r="I76" s="212" t="str">
        <f t="shared" si="11"/>
        <v>0x4A</v>
      </c>
      <c r="P76" s="107">
        <v>16</v>
      </c>
      <c r="Q76" s="107" t="s">
        <v>34217</v>
      </c>
      <c r="R76" s="300" t="s">
        <v>951</v>
      </c>
      <c r="S76" s="107" t="s">
        <v>33909</v>
      </c>
      <c r="T76" s="392" t="s">
        <v>34728</v>
      </c>
      <c r="V76" s="212" t="str">
        <f t="shared" si="9"/>
        <v>1600_7E48</v>
      </c>
      <c r="W76">
        <v>72</v>
      </c>
      <c r="AA76" t="s">
        <v>491</v>
      </c>
    </row>
    <row r="77" spans="2:27">
      <c r="B77" s="134" t="str">
        <f t="shared" si="10"/>
        <v>0x048</v>
      </c>
      <c r="C77" s="107" t="s">
        <v>646</v>
      </c>
      <c r="D77" s="107"/>
      <c r="E77" s="107" t="s">
        <v>636</v>
      </c>
      <c r="F77">
        <f t="shared" si="14"/>
        <v>69</v>
      </c>
      <c r="G77" s="212" t="str">
        <f t="shared" si="12"/>
        <v>0x045</v>
      </c>
      <c r="H77" s="212">
        <f t="shared" si="13"/>
        <v>79</v>
      </c>
      <c r="I77" s="212" t="str">
        <f t="shared" si="11"/>
        <v>0x4F</v>
      </c>
      <c r="P77" s="107">
        <v>17</v>
      </c>
      <c r="Q77" s="249" t="s">
        <v>34218</v>
      </c>
      <c r="R77" s="300" t="s">
        <v>34213</v>
      </c>
      <c r="S77" s="107" t="s">
        <v>33911</v>
      </c>
      <c r="T77" s="392">
        <f>HEX2DEC(RIGHT(R78,2) &amp; RIGHT(R77,2))</f>
        <v>199</v>
      </c>
      <c r="V77" s="212" t="str">
        <f t="shared" si="9"/>
        <v>1600_7E49</v>
      </c>
      <c r="W77">
        <v>73</v>
      </c>
      <c r="AA77" t="s">
        <v>148</v>
      </c>
    </row>
    <row r="78" spans="2:27">
      <c r="B78" s="134" t="str">
        <f t="shared" si="10"/>
        <v>0x049</v>
      </c>
      <c r="C78" s="107" t="s">
        <v>647</v>
      </c>
      <c r="D78" s="107" t="str">
        <f>"0x" &amp; DEC2HEX((HEX2DEC(MID(M24, 6, 1) &amp; RIGHT(M24, 4))) - (HEX2DEC(MID(M22, 6, 1) &amp; RIGHT(M22, 4))), 6)</f>
        <v>0x00119C</v>
      </c>
      <c r="E78" s="107" t="str">
        <f>"0x" &amp; RIGHT(DEC2HEX((HEX2DEC(MID(M24, 6, 1) &amp; RIGHT(M24, 4))) - (HEX2DEC(MID(M22, 6, 1) &amp; RIGHT(M22, 4))), 6), 2)</f>
        <v>0x9C</v>
      </c>
      <c r="F78">
        <f t="shared" si="14"/>
        <v>70</v>
      </c>
      <c r="G78" s="212" t="str">
        <f t="shared" si="12"/>
        <v>0x046</v>
      </c>
      <c r="H78" s="212">
        <f t="shared" si="13"/>
        <v>60</v>
      </c>
      <c r="I78" s="212" t="str">
        <f t="shared" si="11"/>
        <v>0x3C</v>
      </c>
      <c r="P78" s="107">
        <v>18</v>
      </c>
      <c r="Q78" s="107" t="s">
        <v>34219</v>
      </c>
      <c r="R78" s="108" t="s">
        <v>52</v>
      </c>
      <c r="S78" s="107" t="s">
        <v>33911</v>
      </c>
      <c r="V78" s="212" t="str">
        <f t="shared" si="9"/>
        <v>1600_7E4A</v>
      </c>
      <c r="W78">
        <v>74</v>
      </c>
      <c r="AA78" t="s">
        <v>484</v>
      </c>
    </row>
    <row r="79" spans="2:27">
      <c r="B79" s="134" t="str">
        <f t="shared" si="10"/>
        <v>0x04A</v>
      </c>
      <c r="C79" s="107" t="s">
        <v>648</v>
      </c>
      <c r="D79" s="107"/>
      <c r="E79" s="107" t="str">
        <f>"0x" &amp; MID(DEC2HEX((HEX2DEC(MID(M24, 6, 1) &amp; RIGHT(M24, 4))) - (HEX2DEC(MID(M22, 6, 1) &amp; RIGHT(M22, 4))), 6), 3, 2)</f>
        <v>0x11</v>
      </c>
      <c r="F79">
        <f t="shared" si="14"/>
        <v>71</v>
      </c>
      <c r="G79" s="212" t="str">
        <f t="shared" si="12"/>
        <v>0x047</v>
      </c>
      <c r="H79" s="212">
        <f t="shared" si="13"/>
        <v>10</v>
      </c>
      <c r="I79" s="212" t="str">
        <f t="shared" si="11"/>
        <v>0x0A</v>
      </c>
      <c r="P79" s="107">
        <v>19</v>
      </c>
      <c r="Q79" s="107" t="s">
        <v>34220</v>
      </c>
      <c r="R79" s="300" t="s">
        <v>598</v>
      </c>
      <c r="S79" s="107" t="s">
        <v>33911</v>
      </c>
      <c r="T79" s="392" t="s">
        <v>34729</v>
      </c>
      <c r="V79" s="212" t="str">
        <f t="shared" si="9"/>
        <v>1600_7E4B</v>
      </c>
      <c r="W79">
        <v>75</v>
      </c>
      <c r="AA79" t="s">
        <v>498</v>
      </c>
    </row>
    <row r="80" spans="2:27">
      <c r="B80" s="134" t="str">
        <f t="shared" si="10"/>
        <v>0x04B</v>
      </c>
      <c r="C80" s="107" t="s">
        <v>33913</v>
      </c>
      <c r="D80" s="107"/>
      <c r="E80" s="107" t="str">
        <f>"0x"&amp; MID(O24, 10, 2)</f>
        <v>0x2D</v>
      </c>
      <c r="F80">
        <f t="shared" si="14"/>
        <v>72</v>
      </c>
      <c r="G80" s="212" t="str">
        <f t="shared" si="12"/>
        <v>0x048</v>
      </c>
      <c r="H80" s="212">
        <f t="shared" si="13"/>
        <v>65</v>
      </c>
      <c r="I80" s="212" t="str">
        <f t="shared" si="11"/>
        <v>0x41</v>
      </c>
      <c r="P80" s="107">
        <v>20</v>
      </c>
      <c r="Q80" s="107" t="s">
        <v>34221</v>
      </c>
      <c r="R80" s="300" t="s">
        <v>951</v>
      </c>
      <c r="S80" s="107" t="s">
        <v>33911</v>
      </c>
      <c r="T80" s="391" t="s">
        <v>34728</v>
      </c>
      <c r="V80" s="212" t="str">
        <f t="shared" si="9"/>
        <v>1600_7E4C</v>
      </c>
      <c r="W80">
        <v>76</v>
      </c>
      <c r="AA80" t="s">
        <v>499</v>
      </c>
    </row>
    <row r="81" spans="2:27">
      <c r="B81" s="134" t="str">
        <f t="shared" si="10"/>
        <v>0x04C</v>
      </c>
      <c r="C81" s="107" t="s">
        <v>33914</v>
      </c>
      <c r="D81" s="107"/>
      <c r="E81" s="107" t="str">
        <f>"0x" &amp; MID(O24, 8, 2)</f>
        <v>0x07</v>
      </c>
      <c r="F81">
        <f t="shared" si="14"/>
        <v>73</v>
      </c>
      <c r="G81" s="212" t="str">
        <f t="shared" si="12"/>
        <v>0x049</v>
      </c>
      <c r="H81" s="212">
        <f t="shared" si="13"/>
        <v>10</v>
      </c>
      <c r="I81" s="212" t="str">
        <f t="shared" si="11"/>
        <v>0x0A</v>
      </c>
      <c r="P81" s="107">
        <v>21</v>
      </c>
      <c r="Q81" s="249" t="s">
        <v>34222</v>
      </c>
      <c r="R81" s="300" t="s">
        <v>34226</v>
      </c>
      <c r="S81" s="107" t="s">
        <v>34227</v>
      </c>
      <c r="T81" s="392">
        <f>HEX2DEC(RIGHT(R82,2) &amp; RIGHT(R81,2))</f>
        <v>59</v>
      </c>
      <c r="V81" s="212" t="str">
        <f t="shared" si="9"/>
        <v>1600_7E4D</v>
      </c>
      <c r="W81">
        <v>77</v>
      </c>
      <c r="AA81" t="s">
        <v>88</v>
      </c>
    </row>
    <row r="82" spans="2:27">
      <c r="B82" s="134" t="str">
        <f t="shared" si="10"/>
        <v>0x04D</v>
      </c>
      <c r="C82" s="107" t="s">
        <v>33915</v>
      </c>
      <c r="D82" s="107"/>
      <c r="E82" s="107" t="str">
        <f>"0x" &amp; MID(O24, 5, 2)</f>
        <v>0x2B</v>
      </c>
      <c r="F82">
        <f t="shared" si="14"/>
        <v>74</v>
      </c>
      <c r="G82" s="212" t="str">
        <f t="shared" si="12"/>
        <v>0x04A</v>
      </c>
      <c r="H82" s="212">
        <f t="shared" si="13"/>
        <v>63</v>
      </c>
      <c r="I82" s="212" t="str">
        <f t="shared" si="11"/>
        <v>0x3F</v>
      </c>
      <c r="P82" s="107">
        <v>22</v>
      </c>
      <c r="Q82" s="107" t="s">
        <v>34223</v>
      </c>
      <c r="R82" s="108" t="s">
        <v>52</v>
      </c>
      <c r="S82" s="107" t="s">
        <v>34227</v>
      </c>
      <c r="V82" s="212" t="str">
        <f t="shared" si="9"/>
        <v>1600_7E4E</v>
      </c>
      <c r="W82">
        <v>78</v>
      </c>
      <c r="AA82" t="s">
        <v>500</v>
      </c>
    </row>
    <row r="83" spans="2:27">
      <c r="B83" s="134" t="str">
        <f t="shared" si="10"/>
        <v>0x04E</v>
      </c>
      <c r="C83" s="107" t="s">
        <v>33917</v>
      </c>
      <c r="D83" s="107"/>
      <c r="E83" s="107" t="str">
        <f>"0x" &amp; MID(O24, 3, 2)</f>
        <v>0x8A</v>
      </c>
      <c r="F83">
        <f t="shared" si="14"/>
        <v>75</v>
      </c>
      <c r="G83" s="212" t="str">
        <f t="shared" si="12"/>
        <v>0x04B</v>
      </c>
      <c r="H83" s="212">
        <f t="shared" si="13"/>
        <v>10</v>
      </c>
      <c r="I83" s="212" t="str">
        <f t="shared" si="11"/>
        <v>0x0A</v>
      </c>
      <c r="P83" s="107">
        <v>23</v>
      </c>
      <c r="Q83" s="107" t="s">
        <v>34224</v>
      </c>
      <c r="R83" s="300" t="s">
        <v>482</v>
      </c>
      <c r="S83" s="107" t="s">
        <v>34227</v>
      </c>
      <c r="T83" s="391" t="s">
        <v>34728</v>
      </c>
      <c r="V83" s="212" t="str">
        <f t="shared" si="9"/>
        <v>1600_7E4F</v>
      </c>
      <c r="W83">
        <v>79</v>
      </c>
      <c r="AA83" t="s">
        <v>501</v>
      </c>
    </row>
    <row r="84" spans="2:27">
      <c r="B84" s="134" t="str">
        <f t="shared" si="10"/>
        <v>0x04F</v>
      </c>
      <c r="C84" s="107" t="s">
        <v>33918</v>
      </c>
      <c r="D84" s="107"/>
      <c r="E84" s="107" t="str">
        <f>"0x"&amp; MID(O25, 10, 2)</f>
        <v>0x00</v>
      </c>
      <c r="F84">
        <f t="shared" si="14"/>
        <v>76</v>
      </c>
      <c r="G84" s="212" t="str">
        <f t="shared" si="12"/>
        <v>0x04C</v>
      </c>
      <c r="H84" s="212">
        <f t="shared" si="13"/>
        <v>20</v>
      </c>
      <c r="I84" s="212" t="str">
        <f t="shared" si="11"/>
        <v>0x14</v>
      </c>
      <c r="P84" s="107">
        <v>24</v>
      </c>
      <c r="Q84" s="107" t="s">
        <v>34225</v>
      </c>
      <c r="R84" s="300" t="s">
        <v>951</v>
      </c>
      <c r="S84" s="107" t="s">
        <v>34227</v>
      </c>
      <c r="T84" s="391" t="s">
        <v>34728</v>
      </c>
      <c r="V84" s="212" t="str">
        <f t="shared" si="9"/>
        <v>1600_7E50</v>
      </c>
      <c r="W84">
        <v>80</v>
      </c>
      <c r="AA84" t="s">
        <v>484</v>
      </c>
    </row>
    <row r="85" spans="2:27">
      <c r="B85" s="134" t="str">
        <f t="shared" si="10"/>
        <v>0x050</v>
      </c>
      <c r="C85" s="107" t="s">
        <v>33919</v>
      </c>
      <c r="D85" s="107"/>
      <c r="E85" s="107" t="str">
        <f>"0x" &amp; MID(O25, 8, 2)</f>
        <v>0x04</v>
      </c>
      <c r="F85">
        <f t="shared" si="14"/>
        <v>77</v>
      </c>
      <c r="G85" s="212" t="str">
        <f t="shared" si="12"/>
        <v>0x04D</v>
      </c>
      <c r="H85" s="212">
        <f t="shared" si="13"/>
        <v>44</v>
      </c>
      <c r="I85" s="212" t="str">
        <f t="shared" si="11"/>
        <v>0x2C</v>
      </c>
      <c r="P85" s="107">
        <v>25</v>
      </c>
      <c r="Q85" s="107" t="s">
        <v>34406</v>
      </c>
      <c r="R85" s="108" t="s">
        <v>286</v>
      </c>
      <c r="S85" s="107" t="s">
        <v>34401</v>
      </c>
      <c r="T85" s="392">
        <f>HEX2DEC(RIGHT(R86,2) &amp; RIGHT(R85,2))</f>
        <v>10</v>
      </c>
      <c r="V85" s="212" t="str">
        <f t="shared" si="9"/>
        <v>1600_7E51</v>
      </c>
      <c r="W85">
        <v>81</v>
      </c>
      <c r="AA85" t="s">
        <v>92</v>
      </c>
    </row>
    <row r="86" spans="2:27">
      <c r="B86" s="134" t="str">
        <f t="shared" si="10"/>
        <v>0x051</v>
      </c>
      <c r="C86" s="107" t="s">
        <v>33921</v>
      </c>
      <c r="D86" s="107"/>
      <c r="E86" s="107" t="str">
        <f>"0x" &amp; MID(O25, 5, 2)</f>
        <v>0x00</v>
      </c>
      <c r="F86">
        <f t="shared" si="14"/>
        <v>78</v>
      </c>
      <c r="G86" s="212" t="str">
        <f t="shared" si="12"/>
        <v>0x04E</v>
      </c>
      <c r="H86" s="212">
        <f t="shared" si="13"/>
        <v>88</v>
      </c>
      <c r="I86" s="212" t="str">
        <f t="shared" si="11"/>
        <v>0x58</v>
      </c>
      <c r="P86" s="107">
        <v>26</v>
      </c>
      <c r="Q86" s="107" t="s">
        <v>34407</v>
      </c>
      <c r="R86" s="108" t="s">
        <v>52</v>
      </c>
      <c r="S86" s="107" t="s">
        <v>34401</v>
      </c>
      <c r="V86" s="212" t="str">
        <f t="shared" si="9"/>
        <v>1600_7E52</v>
      </c>
      <c r="W86">
        <v>82</v>
      </c>
      <c r="AA86" t="s">
        <v>487</v>
      </c>
    </row>
    <row r="87" spans="2:27">
      <c r="B87" s="134" t="str">
        <f t="shared" si="10"/>
        <v>0x052</v>
      </c>
      <c r="C87" s="107" t="s">
        <v>33922</v>
      </c>
      <c r="D87" s="107"/>
      <c r="E87" s="107" t="str">
        <f>"0x" &amp; MID(O25, 3, 2)</f>
        <v>0x00</v>
      </c>
      <c r="F87">
        <f t="shared" si="14"/>
        <v>79</v>
      </c>
      <c r="G87" s="212" t="str">
        <f t="shared" si="12"/>
        <v>0x04F</v>
      </c>
      <c r="H87" s="212">
        <f t="shared" si="13"/>
        <v>49</v>
      </c>
      <c r="I87" s="212" t="str">
        <f t="shared" si="11"/>
        <v>0x31</v>
      </c>
      <c r="P87" s="107">
        <v>27</v>
      </c>
      <c r="Q87" s="107" t="s">
        <v>34408</v>
      </c>
      <c r="R87" s="108" t="s">
        <v>145</v>
      </c>
      <c r="S87" s="107" t="s">
        <v>34401</v>
      </c>
      <c r="T87" s="392" t="s">
        <v>34731</v>
      </c>
      <c r="V87" s="212" t="str">
        <f t="shared" si="9"/>
        <v>1600_7E53</v>
      </c>
      <c r="W87">
        <v>83</v>
      </c>
      <c r="AA87" t="s">
        <v>52</v>
      </c>
    </row>
    <row r="88" spans="2:27">
      <c r="B88" s="134" t="str">
        <f t="shared" si="10"/>
        <v>0x053</v>
      </c>
      <c r="C88" s="107" t="s">
        <v>33923</v>
      </c>
      <c r="D88" s="107"/>
      <c r="E88" s="107" t="str">
        <f>"0x"&amp; MID(O26, 10, 2)</f>
        <v>0x00</v>
      </c>
      <c r="F88">
        <f t="shared" si="14"/>
        <v>80</v>
      </c>
      <c r="G88" s="212" t="str">
        <f t="shared" si="12"/>
        <v>0x050</v>
      </c>
      <c r="H88" s="212">
        <f t="shared" si="13"/>
        <v>98</v>
      </c>
      <c r="I88" s="212" t="str">
        <f t="shared" si="11"/>
        <v>0x62</v>
      </c>
      <c r="P88" s="107">
        <v>28</v>
      </c>
      <c r="Q88" s="107" t="s">
        <v>34409</v>
      </c>
      <c r="R88" s="108" t="s">
        <v>145</v>
      </c>
      <c r="S88" s="107" t="s">
        <v>34401</v>
      </c>
      <c r="T88" s="391" t="s">
        <v>34731</v>
      </c>
      <c r="V88" s="212" t="str">
        <f t="shared" si="9"/>
        <v>1600_7E54</v>
      </c>
      <c r="W88">
        <v>84</v>
      </c>
      <c r="AA88" t="s">
        <v>52</v>
      </c>
    </row>
    <row r="89" spans="2:27">
      <c r="B89" s="134" t="str">
        <f t="shared" si="10"/>
        <v>0x054</v>
      </c>
      <c r="C89" s="107" t="s">
        <v>33924</v>
      </c>
      <c r="D89" s="107"/>
      <c r="E89" s="107" t="str">
        <f>"0x" &amp; MID(O26, 8, 2)</f>
        <v>0x04</v>
      </c>
      <c r="F89">
        <f t="shared" si="14"/>
        <v>81</v>
      </c>
      <c r="G89" s="212" t="str">
        <f t="shared" si="12"/>
        <v>0x051</v>
      </c>
      <c r="H89" s="212">
        <f t="shared" si="13"/>
        <v>73</v>
      </c>
      <c r="I89" s="212" t="str">
        <f t="shared" si="11"/>
        <v>0x49</v>
      </c>
      <c r="P89" s="107">
        <v>29</v>
      </c>
      <c r="Q89" s="107" t="s">
        <v>34410</v>
      </c>
      <c r="R89" s="108" t="s">
        <v>655</v>
      </c>
      <c r="S89" s="107" t="s">
        <v>34400</v>
      </c>
      <c r="T89" s="392">
        <f>HEX2DEC(RIGHT(R90,2) &amp; RIGHT(R89,2))</f>
        <v>11</v>
      </c>
      <c r="V89" s="212" t="str">
        <f t="shared" si="9"/>
        <v>1600_7E55</v>
      </c>
      <c r="W89">
        <v>85</v>
      </c>
      <c r="AA89" t="s">
        <v>52</v>
      </c>
    </row>
    <row r="90" spans="2:27">
      <c r="B90" s="134" t="str">
        <f t="shared" si="10"/>
        <v>0x055</v>
      </c>
      <c r="C90" s="107" t="s">
        <v>33925</v>
      </c>
      <c r="D90" s="107"/>
      <c r="E90" s="107" t="str">
        <f>"0x" &amp; MID(O26, 5, 2)</f>
        <v>0x00</v>
      </c>
      <c r="F90">
        <f t="shared" si="14"/>
        <v>82</v>
      </c>
      <c r="G90" s="212" t="str">
        <f t="shared" si="12"/>
        <v>0x052</v>
      </c>
      <c r="H90" s="212">
        <f t="shared" si="13"/>
        <v>19</v>
      </c>
      <c r="I90" s="212" t="str">
        <f t="shared" si="11"/>
        <v>0x13</v>
      </c>
      <c r="P90" s="107">
        <v>30</v>
      </c>
      <c r="Q90" s="107" t="s">
        <v>34411</v>
      </c>
      <c r="R90" s="108" t="s">
        <v>52</v>
      </c>
      <c r="S90" s="107" t="s">
        <v>34400</v>
      </c>
      <c r="V90" s="212" t="str">
        <f t="shared" si="9"/>
        <v>1600_7E56</v>
      </c>
      <c r="W90">
        <v>86</v>
      </c>
      <c r="AA90" t="s">
        <v>92</v>
      </c>
    </row>
    <row r="91" spans="2:27">
      <c r="B91" s="134" t="str">
        <f t="shared" si="10"/>
        <v>0x056</v>
      </c>
      <c r="C91" s="107" t="s">
        <v>33926</v>
      </c>
      <c r="D91" s="107"/>
      <c r="E91" s="107" t="str">
        <f>"0x" &amp; MID(O26, 3, 2)</f>
        <v>0x00</v>
      </c>
      <c r="F91">
        <f t="shared" si="14"/>
        <v>83</v>
      </c>
      <c r="G91" s="212" t="str">
        <f t="shared" si="12"/>
        <v>0x053</v>
      </c>
      <c r="H91" s="212">
        <f t="shared" si="13"/>
        <v>38</v>
      </c>
      <c r="I91" s="212" t="str">
        <f t="shared" si="11"/>
        <v>0x26</v>
      </c>
      <c r="P91" s="107">
        <v>31</v>
      </c>
      <c r="Q91" s="107" t="s">
        <v>34412</v>
      </c>
      <c r="R91" s="108" t="s">
        <v>145</v>
      </c>
      <c r="S91" s="107" t="s">
        <v>34400</v>
      </c>
      <c r="T91" s="392" t="s">
        <v>34731</v>
      </c>
      <c r="V91" s="212" t="str">
        <f t="shared" si="9"/>
        <v>1600_7E57</v>
      </c>
      <c r="W91">
        <v>87</v>
      </c>
      <c r="AA91" t="s">
        <v>52</v>
      </c>
    </row>
    <row r="92" spans="2:27">
      <c r="B92" s="134" t="str">
        <f t="shared" si="10"/>
        <v>0x057</v>
      </c>
      <c r="C92" s="107" t="s">
        <v>33927</v>
      </c>
      <c r="D92" s="107"/>
      <c r="E92" s="107" t="str">
        <f>"0x"&amp; MID(O27, 10, 2)</f>
        <v>0x00</v>
      </c>
      <c r="F92">
        <f t="shared" si="14"/>
        <v>84</v>
      </c>
      <c r="G92" s="212" t="str">
        <f t="shared" si="12"/>
        <v>0x054</v>
      </c>
      <c r="H92" s="212">
        <f t="shared" si="13"/>
        <v>76</v>
      </c>
      <c r="I92" s="212" t="str">
        <f t="shared" si="11"/>
        <v>0x4C</v>
      </c>
      <c r="P92" s="107">
        <v>32</v>
      </c>
      <c r="Q92" s="107" t="s">
        <v>34413</v>
      </c>
      <c r="R92" s="108" t="s">
        <v>145</v>
      </c>
      <c r="S92" s="107" t="s">
        <v>34400</v>
      </c>
      <c r="T92" s="391" t="s">
        <v>34731</v>
      </c>
      <c r="V92" s="212" t="str">
        <f t="shared" si="9"/>
        <v>1600_7E58</v>
      </c>
      <c r="W92">
        <v>88</v>
      </c>
      <c r="AA92" t="s">
        <v>502</v>
      </c>
    </row>
    <row r="93" spans="2:27">
      <c r="B93" s="134" t="str">
        <f t="shared" si="10"/>
        <v>0x058</v>
      </c>
      <c r="C93" s="107" t="s">
        <v>33928</v>
      </c>
      <c r="D93" s="107"/>
      <c r="E93" s="107" t="str">
        <f>"0x" &amp; MID(O27, 8, 2)</f>
        <v>0x00</v>
      </c>
      <c r="F93">
        <f t="shared" si="14"/>
        <v>85</v>
      </c>
      <c r="G93" s="212" t="str">
        <f t="shared" si="12"/>
        <v>0x055</v>
      </c>
      <c r="H93" s="212">
        <f t="shared" si="13"/>
        <v>25</v>
      </c>
      <c r="I93" s="212" t="str">
        <f t="shared" si="11"/>
        <v>0x19</v>
      </c>
      <c r="P93" s="107">
        <v>33</v>
      </c>
      <c r="Q93" s="107" t="s">
        <v>34414</v>
      </c>
      <c r="R93" s="108" t="s">
        <v>287</v>
      </c>
      <c r="S93" s="107" t="s">
        <v>34402</v>
      </c>
      <c r="T93" s="392">
        <f>HEX2DEC(RIGHT(R94,2) &amp; RIGHT(R93,2))</f>
        <v>25</v>
      </c>
      <c r="V93" s="212" t="str">
        <f t="shared" si="9"/>
        <v>1600_7E59</v>
      </c>
      <c r="W93">
        <v>89</v>
      </c>
      <c r="AA93" t="s">
        <v>52</v>
      </c>
    </row>
    <row r="94" spans="2:27">
      <c r="B94" s="134" t="str">
        <f t="shared" si="10"/>
        <v>0x059</v>
      </c>
      <c r="C94" s="107" t="s">
        <v>33929</v>
      </c>
      <c r="D94" s="107"/>
      <c r="E94" s="107" t="str">
        <f>"0x" &amp; MID(O27, 5, 2)</f>
        <v>0x00</v>
      </c>
      <c r="F94">
        <f t="shared" si="14"/>
        <v>86</v>
      </c>
      <c r="G94" s="212" t="str">
        <f t="shared" si="12"/>
        <v>0x056</v>
      </c>
      <c r="H94" s="212">
        <f t="shared" si="13"/>
        <v>50</v>
      </c>
      <c r="I94" s="212" t="str">
        <f t="shared" si="11"/>
        <v>0x32</v>
      </c>
      <c r="P94" s="107">
        <v>34</v>
      </c>
      <c r="Q94" s="107" t="s">
        <v>34415</v>
      </c>
      <c r="R94" s="108" t="s">
        <v>52</v>
      </c>
      <c r="S94" s="107" t="s">
        <v>34402</v>
      </c>
      <c r="V94" s="212" t="str">
        <f t="shared" si="9"/>
        <v>1600_7EC5</v>
      </c>
      <c r="W94">
        <v>197</v>
      </c>
    </row>
    <row r="95" spans="2:27">
      <c r="B95" s="134" t="str">
        <f t="shared" si="10"/>
        <v>0x05A</v>
      </c>
      <c r="C95" s="107" t="s">
        <v>33930</v>
      </c>
      <c r="D95" s="107"/>
      <c r="E95" s="107" t="str">
        <f>"0x" &amp; MID(O27, 3, 2)</f>
        <v>0x00</v>
      </c>
      <c r="F95">
        <f t="shared" si="14"/>
        <v>87</v>
      </c>
      <c r="G95" s="212" t="str">
        <f t="shared" si="12"/>
        <v>0x057</v>
      </c>
      <c r="H95" s="212">
        <f t="shared" si="13"/>
        <v>100</v>
      </c>
      <c r="I95" s="212" t="str">
        <f t="shared" si="11"/>
        <v>0x64</v>
      </c>
      <c r="P95" s="107">
        <v>35</v>
      </c>
      <c r="Q95" s="107" t="s">
        <v>34416</v>
      </c>
      <c r="R95" s="108" t="s">
        <v>145</v>
      </c>
      <c r="S95" s="107" t="s">
        <v>34402</v>
      </c>
      <c r="T95" s="392" t="s">
        <v>34731</v>
      </c>
      <c r="V95" s="212" t="str">
        <f t="shared" si="9"/>
        <v>1600_7EC6</v>
      </c>
      <c r="W95">
        <v>198</v>
      </c>
    </row>
    <row r="96" spans="2:27">
      <c r="B96" s="134" t="str">
        <f t="shared" si="10"/>
        <v>0x05B</v>
      </c>
      <c r="C96" s="107" t="s">
        <v>33931</v>
      </c>
      <c r="D96" s="107"/>
      <c r="E96" s="107" t="str">
        <f>"0x"&amp; MID(O28, 10, 2)</f>
        <v>0x00</v>
      </c>
      <c r="F96">
        <f t="shared" si="14"/>
        <v>88</v>
      </c>
      <c r="G96" s="212" t="str">
        <f t="shared" si="12"/>
        <v>0x058</v>
      </c>
      <c r="H96" s="212">
        <f t="shared" si="13"/>
        <v>73</v>
      </c>
      <c r="I96" s="212" t="str">
        <f t="shared" si="11"/>
        <v>0x49</v>
      </c>
      <c r="P96" s="107">
        <v>36</v>
      </c>
      <c r="Q96" s="107" t="s">
        <v>34417</v>
      </c>
      <c r="R96" s="108" t="s">
        <v>145</v>
      </c>
      <c r="S96" s="107" t="s">
        <v>34402</v>
      </c>
      <c r="T96" s="391" t="s">
        <v>34731</v>
      </c>
      <c r="V96" s="212" t="str">
        <f t="shared" si="9"/>
        <v>1600_7EC7</v>
      </c>
      <c r="W96">
        <v>199</v>
      </c>
    </row>
    <row r="97" spans="2:23">
      <c r="B97" s="134" t="str">
        <f t="shared" si="10"/>
        <v>0x05C</v>
      </c>
      <c r="C97" s="107" t="s">
        <v>33932</v>
      </c>
      <c r="D97" s="107"/>
      <c r="E97" s="107" t="str">
        <f>"0x" &amp; MID(O28, 8, 2)</f>
        <v>0x04</v>
      </c>
      <c r="F97">
        <f t="shared" si="14"/>
        <v>89</v>
      </c>
      <c r="G97" s="212" t="str">
        <f t="shared" si="12"/>
        <v>0x059</v>
      </c>
      <c r="H97" s="212">
        <f t="shared" si="13"/>
        <v>23</v>
      </c>
      <c r="I97" s="212" t="str">
        <f t="shared" si="11"/>
        <v>0x17</v>
      </c>
      <c r="P97" s="107">
        <v>37</v>
      </c>
      <c r="Q97" s="107" t="s">
        <v>34418</v>
      </c>
      <c r="R97" s="108" t="s">
        <v>34583</v>
      </c>
      <c r="S97" s="107" t="s">
        <v>34403</v>
      </c>
      <c r="T97" s="392">
        <f>HEX2DEC(RIGHT(R98,2) &amp; RIGHT(R97,2))</f>
        <v>26</v>
      </c>
      <c r="V97" s="212" t="str">
        <f t="shared" si="9"/>
        <v>1600_7EC8</v>
      </c>
      <c r="W97">
        <v>200</v>
      </c>
    </row>
    <row r="98" spans="2:23">
      <c r="B98" s="134" t="str">
        <f t="shared" si="10"/>
        <v>0x05D</v>
      </c>
      <c r="C98" s="107" t="s">
        <v>33933</v>
      </c>
      <c r="D98" s="107"/>
      <c r="E98" s="107" t="str">
        <f>"0x" &amp; MID(O28, 5, 2)</f>
        <v>0x00</v>
      </c>
      <c r="F98">
        <f t="shared" si="14"/>
        <v>90</v>
      </c>
      <c r="G98" s="212" t="str">
        <f t="shared" si="12"/>
        <v>0x05A</v>
      </c>
      <c r="H98" s="212">
        <f t="shared" si="13"/>
        <v>46</v>
      </c>
      <c r="I98" s="212" t="str">
        <f t="shared" si="11"/>
        <v>0x2E</v>
      </c>
      <c r="P98" s="107">
        <v>38</v>
      </c>
      <c r="Q98" s="107" t="s">
        <v>34419</v>
      </c>
      <c r="R98" s="108" t="s">
        <v>52</v>
      </c>
      <c r="S98" s="107" t="s">
        <v>34403</v>
      </c>
      <c r="V98" s="212" t="str">
        <f t="shared" si="9"/>
        <v>1600_7EC9</v>
      </c>
      <c r="W98">
        <v>201</v>
      </c>
    </row>
    <row r="99" spans="2:23">
      <c r="B99" s="134" t="str">
        <f t="shared" si="10"/>
        <v>0x05E</v>
      </c>
      <c r="C99" s="107" t="s">
        <v>33934</v>
      </c>
      <c r="D99" s="107"/>
      <c r="E99" s="107" t="str">
        <f>"0x" &amp; MID(O28, 3, 2)</f>
        <v>0x00</v>
      </c>
      <c r="F99">
        <f t="shared" si="14"/>
        <v>91</v>
      </c>
      <c r="G99" s="212" t="str">
        <f t="shared" si="12"/>
        <v>0x05B</v>
      </c>
      <c r="H99" s="212">
        <f t="shared" si="13"/>
        <v>92</v>
      </c>
      <c r="I99" s="212" t="str">
        <f t="shared" si="11"/>
        <v>0x5C</v>
      </c>
      <c r="P99" s="107">
        <v>39</v>
      </c>
      <c r="Q99" s="107" t="s">
        <v>34420</v>
      </c>
      <c r="R99" s="108" t="s">
        <v>145</v>
      </c>
      <c r="S99" s="107" t="s">
        <v>34403</v>
      </c>
      <c r="T99" s="392" t="s">
        <v>34731</v>
      </c>
      <c r="V99" s="212" t="str">
        <f t="shared" si="9"/>
        <v>1600_7ECA</v>
      </c>
      <c r="W99">
        <v>202</v>
      </c>
    </row>
    <row r="100" spans="2:23">
      <c r="B100" s="134" t="str">
        <f t="shared" si="10"/>
        <v>0x05F</v>
      </c>
      <c r="C100" s="107" t="s">
        <v>33935</v>
      </c>
      <c r="D100" s="107"/>
      <c r="E100" s="107" t="str">
        <f>"0x"&amp; MID(O29, 10, 2)</f>
        <v>0x00</v>
      </c>
      <c r="F100">
        <f t="shared" si="14"/>
        <v>92</v>
      </c>
      <c r="G100" s="212" t="str">
        <f t="shared" si="12"/>
        <v>0x05C</v>
      </c>
      <c r="H100" s="212">
        <f t="shared" si="13"/>
        <v>57</v>
      </c>
      <c r="I100" s="212" t="str">
        <f t="shared" si="11"/>
        <v>0x39</v>
      </c>
      <c r="P100" s="107">
        <v>40</v>
      </c>
      <c r="Q100" s="107" t="s">
        <v>34421</v>
      </c>
      <c r="R100" s="108" t="s">
        <v>145</v>
      </c>
      <c r="S100" s="107" t="s">
        <v>34403</v>
      </c>
      <c r="T100" s="391" t="s">
        <v>34731</v>
      </c>
      <c r="V100" s="212" t="str">
        <f t="shared" si="9"/>
        <v>1600_7ECB</v>
      </c>
      <c r="W100">
        <v>203</v>
      </c>
    </row>
    <row r="101" spans="2:23">
      <c r="B101" s="134" t="str">
        <f t="shared" si="10"/>
        <v>0x060</v>
      </c>
      <c r="C101" s="107" t="s">
        <v>33936</v>
      </c>
      <c r="D101" s="107"/>
      <c r="E101" s="107" t="str">
        <f>"0x" &amp; MID(O29, 8, 2)</f>
        <v>0x04</v>
      </c>
      <c r="F101">
        <f t="shared" si="14"/>
        <v>93</v>
      </c>
      <c r="G101" s="212" t="str">
        <f t="shared" si="12"/>
        <v>0x05D</v>
      </c>
      <c r="H101" s="212">
        <f t="shared" si="13"/>
        <v>118</v>
      </c>
      <c r="I101" s="212" t="str">
        <f t="shared" si="11"/>
        <v>0x76</v>
      </c>
      <c r="P101" s="107">
        <v>41</v>
      </c>
      <c r="Q101" s="107" t="s">
        <v>34422</v>
      </c>
      <c r="R101" s="108" t="s">
        <v>765</v>
      </c>
      <c r="S101" s="107" t="s">
        <v>34404</v>
      </c>
      <c r="T101" s="392">
        <f>HEX2DEC(RIGHT(R102,2) &amp; RIGHT(R101,2))</f>
        <v>27</v>
      </c>
      <c r="V101" s="212" t="str">
        <f t="shared" si="9"/>
        <v>1600_7ECC</v>
      </c>
      <c r="W101">
        <v>204</v>
      </c>
    </row>
    <row r="102" spans="2:23">
      <c r="B102" s="134" t="str">
        <f t="shared" si="10"/>
        <v>0x061</v>
      </c>
      <c r="C102" s="107" t="s">
        <v>33937</v>
      </c>
      <c r="D102" s="107"/>
      <c r="E102" s="107" t="str">
        <f>"0x" &amp; MID(O29, 5, 2)</f>
        <v>0x00</v>
      </c>
      <c r="F102">
        <f t="shared" si="14"/>
        <v>94</v>
      </c>
      <c r="G102" s="212" t="str">
        <f t="shared" si="12"/>
        <v>0x05E</v>
      </c>
      <c r="H102" s="212">
        <f t="shared" si="13"/>
        <v>109</v>
      </c>
      <c r="I102" s="212" t="str">
        <f t="shared" si="11"/>
        <v>0x6D</v>
      </c>
      <c r="P102" s="107">
        <v>42</v>
      </c>
      <c r="Q102" s="107" t="s">
        <v>34423</v>
      </c>
      <c r="R102" s="108" t="s">
        <v>52</v>
      </c>
      <c r="S102" s="107" t="s">
        <v>34404</v>
      </c>
      <c r="V102" s="212" t="str">
        <f t="shared" si="9"/>
        <v>1600_7ECD</v>
      </c>
      <c r="W102">
        <v>205</v>
      </c>
    </row>
    <row r="103" spans="2:23">
      <c r="B103" s="134" t="str">
        <f t="shared" si="10"/>
        <v>0x062</v>
      </c>
      <c r="C103" s="107" t="s">
        <v>33938</v>
      </c>
      <c r="D103" s="107"/>
      <c r="E103" s="107" t="str">
        <f>"0x" &amp; MID(O29, 3, 2)</f>
        <v>0x00</v>
      </c>
      <c r="F103">
        <f t="shared" si="14"/>
        <v>95</v>
      </c>
      <c r="G103" s="212" t="str">
        <f t="shared" si="12"/>
        <v>0x05F</v>
      </c>
      <c r="H103" s="212">
        <f t="shared" si="13"/>
        <v>91</v>
      </c>
      <c r="I103" s="212" t="str">
        <f t="shared" si="11"/>
        <v>0x5B</v>
      </c>
      <c r="P103" s="107">
        <v>43</v>
      </c>
      <c r="Q103" s="107" t="s">
        <v>34424</v>
      </c>
      <c r="R103" s="108" t="s">
        <v>145</v>
      </c>
      <c r="S103" s="107" t="s">
        <v>34404</v>
      </c>
      <c r="T103" s="392" t="s">
        <v>34731</v>
      </c>
      <c r="V103" s="212" t="str">
        <f t="shared" si="9"/>
        <v>1600_7ECE</v>
      </c>
      <c r="W103">
        <v>206</v>
      </c>
    </row>
    <row r="104" spans="2:23">
      <c r="B104" s="134" t="str">
        <f t="shared" si="10"/>
        <v>0x063</v>
      </c>
      <c r="C104" s="107" t="s">
        <v>33939</v>
      </c>
      <c r="D104" s="107"/>
      <c r="E104" s="107" t="str">
        <f>"0x"&amp; MID(O30, 10, 2)</f>
        <v>0x00</v>
      </c>
      <c r="F104">
        <f t="shared" si="14"/>
        <v>96</v>
      </c>
      <c r="G104" s="212" t="str">
        <f t="shared" si="12"/>
        <v>0x060</v>
      </c>
      <c r="H104" s="212">
        <f t="shared" si="13"/>
        <v>55</v>
      </c>
      <c r="I104" s="212" t="str">
        <f t="shared" si="11"/>
        <v>0x37</v>
      </c>
      <c r="P104" s="107">
        <v>44</v>
      </c>
      <c r="Q104" s="107" t="s">
        <v>34425</v>
      </c>
      <c r="R104" s="108" t="s">
        <v>145</v>
      </c>
      <c r="S104" s="107" t="s">
        <v>34404</v>
      </c>
      <c r="T104" s="391" t="s">
        <v>34731</v>
      </c>
      <c r="V104" s="212" t="str">
        <f t="shared" si="9"/>
        <v>1600_7ECF</v>
      </c>
      <c r="W104">
        <v>207</v>
      </c>
    </row>
    <row r="105" spans="2:23">
      <c r="B105" s="134" t="str">
        <f t="shared" si="10"/>
        <v>0x064</v>
      </c>
      <c r="C105" s="107" t="s">
        <v>33940</v>
      </c>
      <c r="D105" s="249"/>
      <c r="E105" s="107" t="str">
        <f>"0x" &amp; MID(O30, 8, 2)</f>
        <v>0x00</v>
      </c>
      <c r="F105">
        <f t="shared" si="14"/>
        <v>97</v>
      </c>
      <c r="G105" s="212" t="str">
        <f t="shared" si="12"/>
        <v>0x061</v>
      </c>
      <c r="H105" s="212">
        <f t="shared" si="13"/>
        <v>110</v>
      </c>
      <c r="I105" s="212" t="str">
        <f t="shared" si="11"/>
        <v>0x6E</v>
      </c>
      <c r="P105" s="107">
        <f t="shared" ref="P105:P116" si="15">P104+1</f>
        <v>45</v>
      </c>
      <c r="Q105" s="107" t="s">
        <v>34439</v>
      </c>
      <c r="R105" s="108" t="s">
        <v>1028</v>
      </c>
      <c r="S105" s="107" t="s">
        <v>34443</v>
      </c>
      <c r="T105" s="392">
        <f>HEX2DEC(RIGHT(R106,2) &amp; RIGHT(R105,2))</f>
        <v>47</v>
      </c>
      <c r="V105" s="212" t="str">
        <f t="shared" si="9"/>
        <v>1600_7ED0</v>
      </c>
      <c r="W105">
        <v>208</v>
      </c>
    </row>
    <row r="106" spans="2:23">
      <c r="B106" s="134" t="str">
        <f t="shared" si="10"/>
        <v>0x065</v>
      </c>
      <c r="C106" s="107" t="s">
        <v>33941</v>
      </c>
      <c r="D106" s="107"/>
      <c r="E106" s="107" t="str">
        <f>"0x" &amp; MID(O30, 5, 2)</f>
        <v>0x00</v>
      </c>
      <c r="F106">
        <f t="shared" si="14"/>
        <v>98</v>
      </c>
      <c r="G106" s="212" t="str">
        <f t="shared" si="12"/>
        <v>0x062</v>
      </c>
      <c r="H106" s="212">
        <f t="shared" si="13"/>
        <v>93</v>
      </c>
      <c r="I106" s="212" t="str">
        <f t="shared" si="11"/>
        <v>0x5D</v>
      </c>
      <c r="P106" s="107">
        <f t="shared" si="15"/>
        <v>46</v>
      </c>
      <c r="Q106" s="107" t="s">
        <v>34440</v>
      </c>
      <c r="R106" s="108" t="s">
        <v>52</v>
      </c>
      <c r="S106" s="107" t="s">
        <v>34443</v>
      </c>
      <c r="V106" s="212" t="str">
        <f t="shared" si="9"/>
        <v>1600_7ED1</v>
      </c>
      <c r="W106">
        <v>209</v>
      </c>
    </row>
    <row r="107" spans="2:23">
      <c r="B107" s="134" t="str">
        <f t="shared" si="10"/>
        <v>0x066</v>
      </c>
      <c r="C107" s="107" t="s">
        <v>33942</v>
      </c>
      <c r="D107" s="107"/>
      <c r="E107" s="107" t="str">
        <f>"0x" &amp; MID(O30, 3, 2)</f>
        <v>0x00</v>
      </c>
      <c r="F107">
        <f t="shared" si="14"/>
        <v>99</v>
      </c>
      <c r="G107" s="212" t="str">
        <f t="shared" si="12"/>
        <v>0x063</v>
      </c>
      <c r="H107" s="212">
        <f t="shared" si="13"/>
        <v>59</v>
      </c>
      <c r="I107" s="212" t="str">
        <f t="shared" si="11"/>
        <v>0x3B</v>
      </c>
      <c r="P107" s="107">
        <f t="shared" si="15"/>
        <v>47</v>
      </c>
      <c r="Q107" s="107" t="s">
        <v>34441</v>
      </c>
      <c r="R107" s="108" t="s">
        <v>33910</v>
      </c>
      <c r="S107" s="107" t="s">
        <v>34443</v>
      </c>
      <c r="T107" s="391" t="s">
        <v>34730</v>
      </c>
      <c r="V107" s="212" t="str">
        <f t="shared" si="9"/>
        <v>1600_7ED2</v>
      </c>
      <c r="W107">
        <v>210</v>
      </c>
    </row>
    <row r="108" spans="2:23">
      <c r="B108" s="134" t="str">
        <f t="shared" si="10"/>
        <v>0x067</v>
      </c>
      <c r="C108" s="107" t="s">
        <v>33943</v>
      </c>
      <c r="D108" s="107"/>
      <c r="E108" s="107" t="str">
        <f>"0x"&amp; MID(O31, 10, 2)</f>
        <v>0x10</v>
      </c>
      <c r="F108">
        <f t="shared" si="14"/>
        <v>100</v>
      </c>
      <c r="G108" s="212" t="str">
        <f t="shared" si="12"/>
        <v>0x064</v>
      </c>
      <c r="H108" s="212">
        <f t="shared" si="13"/>
        <v>7</v>
      </c>
      <c r="I108" s="212" t="str">
        <f t="shared" si="11"/>
        <v>0x07</v>
      </c>
      <c r="P108" s="107">
        <f t="shared" si="15"/>
        <v>48</v>
      </c>
      <c r="Q108" s="107" t="s">
        <v>34442</v>
      </c>
      <c r="R108" s="108" t="s">
        <v>951</v>
      </c>
      <c r="S108" s="107" t="s">
        <v>34443</v>
      </c>
      <c r="T108" s="392" t="s">
        <v>34728</v>
      </c>
      <c r="V108" s="212" t="str">
        <f t="shared" si="9"/>
        <v>1600_7ED3</v>
      </c>
      <c r="W108">
        <v>211</v>
      </c>
    </row>
    <row r="109" spans="2:23">
      <c r="B109" s="134" t="str">
        <f t="shared" si="10"/>
        <v>0x068</v>
      </c>
      <c r="C109" s="107" t="s">
        <v>33944</v>
      </c>
      <c r="D109" s="107"/>
      <c r="E109" s="107" t="str">
        <f>"0x" &amp; MID(O31, 8, 2)</f>
        <v>0x07</v>
      </c>
      <c r="F109">
        <f t="shared" si="14"/>
        <v>101</v>
      </c>
      <c r="G109" s="212" t="str">
        <f t="shared" si="12"/>
        <v>0x065</v>
      </c>
      <c r="H109" s="212">
        <f t="shared" si="13"/>
        <v>21</v>
      </c>
      <c r="I109" s="212" t="str">
        <f t="shared" si="11"/>
        <v>0x15</v>
      </c>
      <c r="P109" s="107">
        <f t="shared" si="15"/>
        <v>49</v>
      </c>
      <c r="Q109" s="107" t="s">
        <v>34466</v>
      </c>
      <c r="R109" s="108" t="s">
        <v>34471</v>
      </c>
      <c r="S109" s="376" t="s">
        <v>34470</v>
      </c>
      <c r="T109" s="392">
        <f>HEX2DEC(RIGHT(R110,2) &amp; RIGHT(R109,2))</f>
        <v>200</v>
      </c>
      <c r="V109" s="212" t="str">
        <f t="shared" si="9"/>
        <v>1600_7ED4</v>
      </c>
      <c r="W109">
        <v>212</v>
      </c>
    </row>
    <row r="110" spans="2:23">
      <c r="B110" s="134" t="str">
        <f t="shared" si="10"/>
        <v>0x069</v>
      </c>
      <c r="C110" s="107" t="s">
        <v>33945</v>
      </c>
      <c r="D110" s="107"/>
      <c r="E110" s="107" t="str">
        <f>"0x" &amp; MID(O31, 5, 2)</f>
        <v>0x67</v>
      </c>
      <c r="F110">
        <f t="shared" si="14"/>
        <v>102</v>
      </c>
      <c r="G110" s="212" t="str">
        <f t="shared" si="12"/>
        <v>0x066</v>
      </c>
      <c r="H110" s="212">
        <f t="shared" si="13"/>
        <v>18</v>
      </c>
      <c r="I110" s="212" t="str">
        <f t="shared" si="11"/>
        <v>0x12</v>
      </c>
      <c r="P110" s="107">
        <f t="shared" si="15"/>
        <v>50</v>
      </c>
      <c r="Q110" s="107" t="s">
        <v>34467</v>
      </c>
      <c r="R110" s="108" t="s">
        <v>52</v>
      </c>
      <c r="S110" s="376" t="s">
        <v>34470</v>
      </c>
      <c r="V110" s="212" t="str">
        <f t="shared" si="9"/>
        <v>1600_7ED5</v>
      </c>
      <c r="W110">
        <v>213</v>
      </c>
    </row>
    <row r="111" spans="2:23">
      <c r="B111" s="134" t="str">
        <f t="shared" si="10"/>
        <v>0x06A</v>
      </c>
      <c r="C111" s="107" t="s">
        <v>33946</v>
      </c>
      <c r="D111" s="107"/>
      <c r="E111" s="107" t="str">
        <f>"0x" &amp; MID(O31, 3, 2)</f>
        <v>0x07</v>
      </c>
      <c r="F111">
        <f t="shared" si="14"/>
        <v>103</v>
      </c>
      <c r="G111" s="212" t="str">
        <f t="shared" si="12"/>
        <v>0x067</v>
      </c>
      <c r="H111" s="212">
        <f t="shared" si="13"/>
        <v>43</v>
      </c>
      <c r="I111" s="212" t="str">
        <f t="shared" si="11"/>
        <v>0x2B</v>
      </c>
      <c r="P111" s="107">
        <f t="shared" si="15"/>
        <v>51</v>
      </c>
      <c r="Q111" s="107" t="s">
        <v>34468</v>
      </c>
      <c r="R111" s="108" t="s">
        <v>482</v>
      </c>
      <c r="S111" s="376" t="s">
        <v>34470</v>
      </c>
      <c r="T111" s="391" t="s">
        <v>34728</v>
      </c>
      <c r="V111" s="212" t="str">
        <f t="shared" si="9"/>
        <v>1600_7ED6</v>
      </c>
      <c r="W111">
        <v>214</v>
      </c>
    </row>
    <row r="112" spans="2:23">
      <c r="B112" s="134" t="str">
        <f t="shared" si="10"/>
        <v>0x06B</v>
      </c>
      <c r="C112" s="107" t="s">
        <v>33947</v>
      </c>
      <c r="D112" s="107"/>
      <c r="E112" s="107" t="str">
        <f>"0x"&amp; MID(O32, 10, 2)</f>
        <v>0x2C</v>
      </c>
      <c r="F112">
        <f t="shared" si="14"/>
        <v>104</v>
      </c>
      <c r="G112" s="212" t="str">
        <f t="shared" si="12"/>
        <v>0x068</v>
      </c>
      <c r="H112" s="212">
        <f t="shared" si="13"/>
        <v>3</v>
      </c>
      <c r="I112" s="212" t="str">
        <f t="shared" si="11"/>
        <v>0x03</v>
      </c>
      <c r="P112" s="107">
        <f t="shared" si="15"/>
        <v>52</v>
      </c>
      <c r="Q112" s="107" t="s">
        <v>34469</v>
      </c>
      <c r="R112" s="108" t="s">
        <v>951</v>
      </c>
      <c r="S112" s="376" t="s">
        <v>34470</v>
      </c>
      <c r="T112" s="391" t="s">
        <v>34728</v>
      </c>
      <c r="V112" s="212" t="str">
        <f t="shared" si="9"/>
        <v>1600_7ED7</v>
      </c>
      <c r="W112">
        <v>215</v>
      </c>
    </row>
    <row r="113" spans="2:23">
      <c r="B113" s="134" t="str">
        <f t="shared" si="10"/>
        <v>0x06C</v>
      </c>
      <c r="C113" s="107" t="s">
        <v>33948</v>
      </c>
      <c r="D113" s="107"/>
      <c r="E113" s="107" t="str">
        <f>"0x" &amp; MID(O32, 8, 2)</f>
        <v>0x05</v>
      </c>
      <c r="F113">
        <f t="shared" si="14"/>
        <v>105</v>
      </c>
      <c r="G113" s="212" t="str">
        <f t="shared" si="12"/>
        <v>0x069</v>
      </c>
      <c r="H113" s="212">
        <f t="shared" si="13"/>
        <v>11</v>
      </c>
      <c r="I113" s="212" t="str">
        <f t="shared" si="11"/>
        <v>0x0B</v>
      </c>
      <c r="P113" s="107">
        <f t="shared" si="15"/>
        <v>53</v>
      </c>
      <c r="Q113" s="107" t="s">
        <v>34515</v>
      </c>
      <c r="R113" s="300" t="s">
        <v>34516</v>
      </c>
      <c r="S113" s="219" t="s">
        <v>34517</v>
      </c>
      <c r="T113" s="392">
        <f>HEX2DEC(RIGHT(R114,2) &amp; RIGHT(R113,2))</f>
        <v>15</v>
      </c>
      <c r="V113" s="212" t="str">
        <f t="shared" si="9"/>
        <v>1600_7ED8</v>
      </c>
      <c r="W113">
        <v>216</v>
      </c>
    </row>
    <row r="114" spans="2:23">
      <c r="B114" s="134" t="str">
        <f t="shared" si="10"/>
        <v>0x06D</v>
      </c>
      <c r="C114" s="107" t="s">
        <v>33949</v>
      </c>
      <c r="D114" s="107"/>
      <c r="E114" s="107" t="str">
        <f>"0x" &amp; MID(O32, 5, 2)</f>
        <v>0x00</v>
      </c>
      <c r="F114">
        <f t="shared" si="14"/>
        <v>106</v>
      </c>
      <c r="G114" s="212" t="str">
        <f t="shared" si="12"/>
        <v>0x06A</v>
      </c>
      <c r="H114" s="212">
        <f t="shared" si="13"/>
        <v>22</v>
      </c>
      <c r="I114" s="212" t="str">
        <f t="shared" si="11"/>
        <v>0x16</v>
      </c>
      <c r="P114" s="107">
        <f t="shared" si="15"/>
        <v>54</v>
      </c>
      <c r="Q114" s="107" t="s">
        <v>34519</v>
      </c>
      <c r="R114" s="300" t="s">
        <v>52</v>
      </c>
      <c r="S114" s="219" t="s">
        <v>34517</v>
      </c>
      <c r="T114" s="421" t="s">
        <v>34518</v>
      </c>
      <c r="V114" s="212" t="str">
        <f t="shared" si="9"/>
        <v>1600_7ED9</v>
      </c>
      <c r="W114">
        <v>217</v>
      </c>
    </row>
    <row r="115" spans="2:23">
      <c r="B115" s="134" t="str">
        <f t="shared" si="10"/>
        <v>0x06E</v>
      </c>
      <c r="C115" s="107" t="s">
        <v>33950</v>
      </c>
      <c r="D115" s="107"/>
      <c r="E115" s="107" t="str">
        <f>"0x" &amp; MID(O32, 3, 2)</f>
        <v>0x00</v>
      </c>
      <c r="F115">
        <f t="shared" si="14"/>
        <v>107</v>
      </c>
      <c r="G115" s="212" t="str">
        <f t="shared" si="12"/>
        <v>0x06B</v>
      </c>
      <c r="H115" s="212">
        <f t="shared" si="13"/>
        <v>44</v>
      </c>
      <c r="I115" s="212" t="str">
        <f t="shared" si="11"/>
        <v>0x2C</v>
      </c>
      <c r="P115" s="107">
        <f t="shared" si="15"/>
        <v>55</v>
      </c>
      <c r="Q115" s="107" t="s">
        <v>34520</v>
      </c>
      <c r="R115" s="300" t="s">
        <v>145</v>
      </c>
      <c r="S115" s="219" t="s">
        <v>34517</v>
      </c>
      <c r="T115" s="392" t="s">
        <v>34731</v>
      </c>
      <c r="V115" s="212" t="str">
        <f t="shared" si="9"/>
        <v>1600_7EDA</v>
      </c>
      <c r="W115">
        <v>218</v>
      </c>
    </row>
    <row r="116" spans="2:23">
      <c r="B116" s="134" t="str">
        <f t="shared" si="10"/>
        <v>0x06F</v>
      </c>
      <c r="C116" s="107" t="s">
        <v>34079</v>
      </c>
      <c r="D116" s="107"/>
      <c r="E116" s="107" t="str">
        <f>"0x"&amp; MID(O33, 10, 2)</f>
        <v>0xA2</v>
      </c>
      <c r="F116">
        <f t="shared" si="14"/>
        <v>108</v>
      </c>
      <c r="G116" s="212" t="str">
        <f t="shared" si="12"/>
        <v>0x06C</v>
      </c>
      <c r="H116" s="212">
        <f t="shared" si="13"/>
        <v>123</v>
      </c>
      <c r="I116" s="212" t="str">
        <f t="shared" si="11"/>
        <v>0x7B</v>
      </c>
      <c r="P116" s="107">
        <f t="shared" si="15"/>
        <v>56</v>
      </c>
      <c r="Q116" s="107" t="s">
        <v>34521</v>
      </c>
      <c r="R116" s="300" t="s">
        <v>145</v>
      </c>
      <c r="S116" s="219" t="s">
        <v>34517</v>
      </c>
      <c r="T116" s="391" t="s">
        <v>34731</v>
      </c>
      <c r="V116" s="212" t="str">
        <f t="shared" si="9"/>
        <v>1600_7EDB</v>
      </c>
      <c r="W116">
        <v>219</v>
      </c>
    </row>
    <row r="117" spans="2:23">
      <c r="B117" s="134" t="str">
        <f t="shared" si="10"/>
        <v>0x070</v>
      </c>
      <c r="C117" s="107" t="s">
        <v>34080</v>
      </c>
      <c r="D117" s="107"/>
      <c r="E117" s="107" t="str">
        <f>"0x" &amp; MID(O33, 8, 2)</f>
        <v>0x00</v>
      </c>
      <c r="F117">
        <f t="shared" si="14"/>
        <v>109</v>
      </c>
      <c r="G117" s="212" t="str">
        <f t="shared" si="12"/>
        <v>0x06D</v>
      </c>
      <c r="H117" s="212">
        <f t="shared" si="13"/>
        <v>119</v>
      </c>
      <c r="I117" s="212" t="str">
        <f t="shared" si="11"/>
        <v>0x77</v>
      </c>
      <c r="V117" s="212" t="str">
        <f t="shared" si="9"/>
        <v>1600_7EDC</v>
      </c>
      <c r="W117">
        <v>220</v>
      </c>
    </row>
    <row r="118" spans="2:23">
      <c r="B118" s="134" t="str">
        <f t="shared" si="10"/>
        <v>0x071</v>
      </c>
      <c r="C118" s="107" t="s">
        <v>34081</v>
      </c>
      <c r="D118" s="107"/>
      <c r="E118" s="107" t="str">
        <f>"0x" &amp; MID(O33, 5, 2)</f>
        <v>0x00</v>
      </c>
      <c r="F118">
        <f t="shared" si="14"/>
        <v>110</v>
      </c>
      <c r="G118" s="212" t="str">
        <f t="shared" si="12"/>
        <v>0x06E</v>
      </c>
      <c r="H118" s="212">
        <f t="shared" si="13"/>
        <v>111</v>
      </c>
      <c r="I118" s="212" t="str">
        <f t="shared" si="11"/>
        <v>0x6F</v>
      </c>
      <c r="V118" s="212" t="str">
        <f t="shared" si="9"/>
        <v>1600_7EDD</v>
      </c>
      <c r="W118">
        <v>221</v>
      </c>
    </row>
    <row r="119" spans="2:23">
      <c r="B119" s="134" t="str">
        <f t="shared" si="10"/>
        <v>0x072</v>
      </c>
      <c r="C119" s="107" t="s">
        <v>34082</v>
      </c>
      <c r="D119" s="107"/>
      <c r="E119" s="107" t="str">
        <f>"0x" &amp; MID(O33, 3, 2)</f>
        <v>0x00</v>
      </c>
      <c r="F119">
        <f t="shared" si="14"/>
        <v>111</v>
      </c>
      <c r="G119" s="212" t="str">
        <f t="shared" si="12"/>
        <v>0x06F</v>
      </c>
      <c r="H119" s="212">
        <f t="shared" si="13"/>
        <v>95</v>
      </c>
      <c r="I119" s="212" t="str">
        <f t="shared" si="11"/>
        <v>0x5F</v>
      </c>
      <c r="P119" t="s">
        <v>33912</v>
      </c>
      <c r="V119" s="212" t="str">
        <f t="shared" si="9"/>
        <v>1600_7EDE</v>
      </c>
      <c r="W119">
        <v>222</v>
      </c>
    </row>
    <row r="120" spans="2:23">
      <c r="B120" s="134" t="str">
        <f t="shared" si="10"/>
        <v>0x073</v>
      </c>
      <c r="C120" s="107" t="s">
        <v>34083</v>
      </c>
      <c r="D120" s="107"/>
      <c r="E120" s="107" t="str">
        <f>"0x"&amp; MID(O34, 10, 2)</f>
        <v>0xA2</v>
      </c>
      <c r="F120">
        <f t="shared" si="14"/>
        <v>112</v>
      </c>
      <c r="G120" s="212" t="str">
        <f t="shared" si="12"/>
        <v>0x070</v>
      </c>
      <c r="H120" s="212">
        <f t="shared" si="13"/>
        <v>98</v>
      </c>
      <c r="I120" s="212" t="str">
        <f t="shared" si="11"/>
        <v>0x62</v>
      </c>
      <c r="P120" s="299" t="s">
        <v>213</v>
      </c>
      <c r="Q120" s="299" t="s">
        <v>24</v>
      </c>
      <c r="R120" s="299" t="s">
        <v>59</v>
      </c>
      <c r="S120" s="299" t="s">
        <v>33885</v>
      </c>
      <c r="V120" s="212" t="str">
        <f t="shared" si="9"/>
        <v>1600_7EDF</v>
      </c>
      <c r="W120">
        <v>223</v>
      </c>
    </row>
    <row r="121" spans="2:23">
      <c r="B121" s="134" t="str">
        <f t="shared" si="10"/>
        <v>0x074</v>
      </c>
      <c r="C121" s="107" t="s">
        <v>34084</v>
      </c>
      <c r="D121" s="107"/>
      <c r="E121" s="107" t="str">
        <f>"0x" &amp; MID(O34, 8, 2)</f>
        <v>0x00</v>
      </c>
      <c r="F121">
        <f t="shared" si="14"/>
        <v>113</v>
      </c>
      <c r="G121" s="212" t="str">
        <f t="shared" si="12"/>
        <v>0x071</v>
      </c>
      <c r="H121" s="212">
        <f t="shared" si="13"/>
        <v>69</v>
      </c>
      <c r="I121" s="212" t="str">
        <f t="shared" si="11"/>
        <v>0x45</v>
      </c>
      <c r="V121" s="212" t="str">
        <f t="shared" si="9"/>
        <v>1600_7EE0</v>
      </c>
      <c r="W121">
        <v>224</v>
      </c>
    </row>
    <row r="122" spans="2:23">
      <c r="B122" s="134" t="str">
        <f t="shared" si="10"/>
        <v>0x075</v>
      </c>
      <c r="C122" s="107" t="s">
        <v>34085</v>
      </c>
      <c r="D122" s="107"/>
      <c r="E122" s="107" t="str">
        <f>"0x" &amp; MID(O34, 5, 2)</f>
        <v>0x00</v>
      </c>
      <c r="F122">
        <f t="shared" si="14"/>
        <v>114</v>
      </c>
      <c r="G122" s="212" t="str">
        <f t="shared" si="12"/>
        <v>0x072</v>
      </c>
      <c r="H122" s="212">
        <f t="shared" si="13"/>
        <v>11</v>
      </c>
      <c r="I122" s="212" t="str">
        <f t="shared" si="11"/>
        <v>0x0B</v>
      </c>
      <c r="P122" t="s">
        <v>33916</v>
      </c>
      <c r="V122" s="212" t="str">
        <f t="shared" si="9"/>
        <v>1600_7EE1</v>
      </c>
      <c r="W122">
        <v>225</v>
      </c>
    </row>
    <row r="123" spans="2:23">
      <c r="B123" s="134" t="str">
        <f t="shared" si="10"/>
        <v>0x076</v>
      </c>
      <c r="C123" s="107" t="s">
        <v>34086</v>
      </c>
      <c r="D123" s="107"/>
      <c r="E123" s="107" t="str">
        <f>"0x" &amp; MID(O34, 3, 2)</f>
        <v>0x00</v>
      </c>
      <c r="F123">
        <f t="shared" si="14"/>
        <v>115</v>
      </c>
      <c r="G123" s="212" t="str">
        <f t="shared" si="12"/>
        <v>0x073</v>
      </c>
      <c r="H123" s="212">
        <f t="shared" si="13"/>
        <v>22</v>
      </c>
      <c r="I123" s="212" t="str">
        <f t="shared" si="11"/>
        <v>0x16</v>
      </c>
      <c r="P123" s="299" t="s">
        <v>213</v>
      </c>
      <c r="Q123" s="299" t="s">
        <v>24</v>
      </c>
      <c r="R123" s="299" t="s">
        <v>59</v>
      </c>
      <c r="S123" s="299" t="s">
        <v>33885</v>
      </c>
      <c r="V123" s="212" t="str">
        <f t="shared" si="9"/>
        <v>1600_7EE2</v>
      </c>
      <c r="W123">
        <v>226</v>
      </c>
    </row>
    <row r="124" spans="2:23">
      <c r="B124" s="134" t="str">
        <f t="shared" si="10"/>
        <v>0x077</v>
      </c>
      <c r="C124" s="219" t="s">
        <v>34717</v>
      </c>
      <c r="D124" s="107"/>
      <c r="E124" s="219" t="s">
        <v>518</v>
      </c>
      <c r="F124">
        <f t="shared" si="14"/>
        <v>116</v>
      </c>
      <c r="G124" s="212" t="str">
        <f t="shared" si="12"/>
        <v>0x074</v>
      </c>
      <c r="H124" s="212">
        <f t="shared" si="13"/>
        <v>93</v>
      </c>
      <c r="I124" s="212" t="str">
        <f t="shared" si="11"/>
        <v>0x5D</v>
      </c>
      <c r="V124" s="212" t="str">
        <f t="shared" si="9"/>
        <v>1600_7EE3</v>
      </c>
      <c r="W124">
        <v>227</v>
      </c>
    </row>
    <row r="125" spans="2:23">
      <c r="B125" s="134" t="str">
        <f t="shared" si="10"/>
        <v>0x078</v>
      </c>
      <c r="C125" s="219" t="s">
        <v>34718</v>
      </c>
      <c r="D125" s="107"/>
      <c r="E125" s="219" t="str">
        <f>"0x"&amp; MID(M36, 10, 2)</f>
        <v>0x64</v>
      </c>
      <c r="F125">
        <f t="shared" si="14"/>
        <v>117</v>
      </c>
      <c r="G125" s="212" t="str">
        <f t="shared" si="12"/>
        <v>0x075</v>
      </c>
      <c r="H125" s="212">
        <f t="shared" si="13"/>
        <v>32</v>
      </c>
      <c r="I125" s="212" t="str">
        <f>"0x"&amp;DEC2HEX(H125,2)</f>
        <v>0x20</v>
      </c>
      <c r="P125" t="s">
        <v>33920</v>
      </c>
      <c r="V125" s="212" t="str">
        <f t="shared" si="9"/>
        <v>1600_7EE4</v>
      </c>
      <c r="W125">
        <v>228</v>
      </c>
    </row>
    <row r="126" spans="2:23">
      <c r="B126" s="134" t="str">
        <f t="shared" si="10"/>
        <v>0x079</v>
      </c>
      <c r="C126" s="219" t="s">
        <v>34719</v>
      </c>
      <c r="D126" s="107"/>
      <c r="E126" s="219" t="str">
        <f>"0x" &amp; MID(M36, 8, 2)</f>
        <v>0x20</v>
      </c>
      <c r="F126">
        <f t="shared" si="14"/>
        <v>118</v>
      </c>
      <c r="G126" s="212" t="str">
        <f t="shared" si="12"/>
        <v>0x076</v>
      </c>
      <c r="H126" s="212">
        <f t="shared" si="13"/>
        <v>96</v>
      </c>
      <c r="I126" s="212" t="str">
        <f t="shared" si="11"/>
        <v>0x60</v>
      </c>
      <c r="P126" s="299" t="s">
        <v>213</v>
      </c>
      <c r="Q126" s="299" t="s">
        <v>24</v>
      </c>
      <c r="R126" s="299" t="s">
        <v>59</v>
      </c>
      <c r="S126" s="299" t="s">
        <v>33885</v>
      </c>
      <c r="V126" s="212" t="str">
        <f t="shared" si="9"/>
        <v>1600_7EE5</v>
      </c>
      <c r="W126">
        <v>229</v>
      </c>
    </row>
    <row r="127" spans="2:23">
      <c r="B127" s="134" t="str">
        <f t="shared" si="10"/>
        <v>0x07A</v>
      </c>
      <c r="C127" s="219" t="s">
        <v>34720</v>
      </c>
      <c r="D127" s="107"/>
      <c r="E127" s="219" t="str">
        <f>"0x" &amp; MID(M36, 5, 2)</f>
        <v>0x26</v>
      </c>
      <c r="F127">
        <f t="shared" si="14"/>
        <v>119</v>
      </c>
      <c r="G127" s="212" t="str">
        <f t="shared" si="12"/>
        <v>0x077</v>
      </c>
      <c r="H127" s="212">
        <f t="shared" si="13"/>
        <v>103</v>
      </c>
      <c r="I127" s="212" t="str">
        <f t="shared" si="11"/>
        <v>0x67</v>
      </c>
      <c r="V127" s="212" t="str">
        <f t="shared" si="9"/>
        <v>1600_7EE6</v>
      </c>
      <c r="W127">
        <v>230</v>
      </c>
    </row>
    <row r="128" spans="2:23">
      <c r="B128" s="134" t="str">
        <f t="shared" si="10"/>
        <v>0x07B</v>
      </c>
      <c r="C128" s="219" t="s">
        <v>34721</v>
      </c>
      <c r="D128" s="107"/>
      <c r="E128" s="219" t="str">
        <f>"0x" &amp; MID(M36, 3, 2)</f>
        <v>0x40</v>
      </c>
      <c r="F128">
        <f t="shared" si="14"/>
        <v>120</v>
      </c>
      <c r="G128" s="212" t="str">
        <f t="shared" si="12"/>
        <v>0x078</v>
      </c>
      <c r="H128" s="212">
        <f t="shared" si="13"/>
        <v>16</v>
      </c>
      <c r="I128" s="212" t="str">
        <f t="shared" si="11"/>
        <v>0x10</v>
      </c>
      <c r="V128" s="212" t="str">
        <f t="shared" si="9"/>
        <v>1600_7EE7</v>
      </c>
      <c r="W128">
        <v>231</v>
      </c>
    </row>
    <row r="129" spans="2:23">
      <c r="B129" s="134" t="str">
        <f t="shared" si="10"/>
        <v>0x07C</v>
      </c>
      <c r="C129" s="219" t="s">
        <v>34694</v>
      </c>
      <c r="D129" s="107"/>
      <c r="E129" s="219" t="str">
        <f>"0x"&amp; MID(O36, 10, 2)</f>
        <v>0x00</v>
      </c>
      <c r="F129">
        <f t="shared" si="14"/>
        <v>121</v>
      </c>
      <c r="G129" s="212" t="str">
        <f t="shared" si="12"/>
        <v>0x079</v>
      </c>
      <c r="H129" s="212">
        <f t="shared" si="13"/>
        <v>32</v>
      </c>
      <c r="I129" s="212" t="str">
        <f t="shared" ref="I129:I162" si="16">"0x"&amp;DEC2HEX(H129,2)</f>
        <v>0x20</v>
      </c>
      <c r="V129" s="212" t="str">
        <f t="shared" si="9"/>
        <v>1600_7EE8</v>
      </c>
      <c r="W129">
        <v>232</v>
      </c>
    </row>
    <row r="130" spans="2:23">
      <c r="B130" s="134" t="str">
        <f t="shared" si="10"/>
        <v>0x07D</v>
      </c>
      <c r="C130" s="219" t="s">
        <v>34695</v>
      </c>
      <c r="D130" s="107"/>
      <c r="E130" s="219" t="str">
        <f>"0x" &amp; MID(O36, 8, 2)</f>
        <v>0x20</v>
      </c>
      <c r="F130">
        <f t="shared" si="14"/>
        <v>122</v>
      </c>
      <c r="G130" s="212" t="str">
        <f t="shared" si="12"/>
        <v>0x07A</v>
      </c>
      <c r="H130" s="212">
        <f t="shared" si="13"/>
        <v>96</v>
      </c>
      <c r="I130" s="212" t="str">
        <f t="shared" si="16"/>
        <v>0x60</v>
      </c>
      <c r="V130" s="212" t="str">
        <f t="shared" si="9"/>
        <v>1600_7EE9</v>
      </c>
      <c r="W130">
        <v>233</v>
      </c>
    </row>
    <row r="131" spans="2:23">
      <c r="B131" s="134" t="str">
        <f t="shared" si="10"/>
        <v>0x07E</v>
      </c>
      <c r="C131" s="219" t="s">
        <v>34696</v>
      </c>
      <c r="D131" s="107"/>
      <c r="E131" s="219" t="str">
        <f>"0x" &amp; MID(O36, 5, 2)</f>
        <v>0x00</v>
      </c>
      <c r="F131">
        <f t="shared" si="14"/>
        <v>123</v>
      </c>
      <c r="G131" s="212" t="str">
        <f t="shared" si="12"/>
        <v>0x07B</v>
      </c>
      <c r="H131" s="212">
        <f t="shared" si="13"/>
        <v>65</v>
      </c>
      <c r="I131" s="212" t="str">
        <f t="shared" si="16"/>
        <v>0x41</v>
      </c>
      <c r="V131" s="212" t="str">
        <f t="shared" si="9"/>
        <v>1600_7EEA</v>
      </c>
      <c r="W131">
        <v>234</v>
      </c>
    </row>
    <row r="132" spans="2:23">
      <c r="B132" s="134" t="str">
        <f t="shared" si="10"/>
        <v>0x07F</v>
      </c>
      <c r="C132" s="219" t="s">
        <v>34697</v>
      </c>
      <c r="D132" s="107"/>
      <c r="E132" s="219" t="str">
        <f>"0x" &amp; MID(O36, 3, 2)</f>
        <v>0x00</v>
      </c>
      <c r="F132">
        <f t="shared" si="14"/>
        <v>124</v>
      </c>
      <c r="G132" s="212" t="str">
        <f t="shared" si="12"/>
        <v>0x07C</v>
      </c>
      <c r="H132" s="212">
        <f t="shared" si="13"/>
        <v>3</v>
      </c>
      <c r="I132" s="212" t="str">
        <f t="shared" si="16"/>
        <v>0x03</v>
      </c>
      <c r="V132" s="212" t="str">
        <f t="shared" ref="V132:V186" si="17">"1600_"&amp;DEC2HEX((Y$3*X$3 + W132),4)</f>
        <v>1600_7EEB</v>
      </c>
      <c r="W132">
        <v>235</v>
      </c>
    </row>
    <row r="133" spans="2:23">
      <c r="B133" s="134" t="str">
        <f t="shared" si="10"/>
        <v>0x080</v>
      </c>
      <c r="C133" s="107" t="s">
        <v>650</v>
      </c>
      <c r="D133" s="107"/>
      <c r="E133" s="107" t="s">
        <v>86</v>
      </c>
      <c r="F133">
        <f t="shared" si="14"/>
        <v>125</v>
      </c>
      <c r="G133" s="212" t="str">
        <f t="shared" si="12"/>
        <v>0x07D</v>
      </c>
      <c r="H133" s="212">
        <f t="shared" si="13"/>
        <v>54</v>
      </c>
      <c r="I133" s="212" t="str">
        <f t="shared" si="16"/>
        <v>0x36</v>
      </c>
      <c r="V133" s="212" t="str">
        <f t="shared" si="17"/>
        <v>1600_7EEC</v>
      </c>
      <c r="W133">
        <v>236</v>
      </c>
    </row>
    <row r="134" spans="2:23">
      <c r="B134" s="134" t="str">
        <f t="shared" si="10"/>
        <v>0x081</v>
      </c>
      <c r="C134" s="107" t="s">
        <v>651</v>
      </c>
      <c r="D134" s="107" t="str">
        <f>"0x" &amp; DEC2HEX((HEX2DEC(MID(M38, 3, 4) &amp; RIGHT(M38, 4))) - (HEX2DEC(MID(M36, 3, 4) &amp; RIGHT(M36, 4))), 6)</f>
        <v>0x00129C</v>
      </c>
      <c r="E134" s="107" t="str">
        <f>"0x" &amp; RIGHT(DEC2HEX((HEX2DEC(MID(M38, 6, 1) &amp; RIGHT(M38, 4))) - (HEX2DEC(MID(M36, 6, 1) &amp; RIGHT(M36, 4))), 6), 2)</f>
        <v>0x9C</v>
      </c>
      <c r="F134">
        <f t="shared" si="14"/>
        <v>126</v>
      </c>
      <c r="G134" s="212" t="str">
        <f t="shared" si="12"/>
        <v>0x07E</v>
      </c>
      <c r="H134" s="212">
        <f t="shared" si="13"/>
        <v>10</v>
      </c>
      <c r="I134" s="212" t="str">
        <f t="shared" si="16"/>
        <v>0x0A</v>
      </c>
      <c r="V134" s="212" t="str">
        <f t="shared" si="17"/>
        <v>1600_7EED</v>
      </c>
      <c r="W134">
        <v>237</v>
      </c>
    </row>
    <row r="135" spans="2:23">
      <c r="B135" s="134" t="str">
        <f t="shared" ref="B135:B191" si="18">"0x" &amp; DEC2HEX(HEX2DEC(RIGHT(B134,3))+1, 3)</f>
        <v>0x082</v>
      </c>
      <c r="C135" s="107" t="s">
        <v>652</v>
      </c>
      <c r="D135" s="107"/>
      <c r="E135" s="107" t="str">
        <f>"0x" &amp; MID(DEC2HEX((HEX2DEC(MID(M38, 6, 1) &amp; RIGHT(M38, 4))) - (HEX2DEC(MID(M36, 6, 1) &amp; RIGHT(M36, 4))), 6), 3, 2)</f>
        <v>0x12</v>
      </c>
      <c r="F135">
        <f t="shared" si="14"/>
        <v>127</v>
      </c>
      <c r="G135" s="212" t="str">
        <f t="shared" si="12"/>
        <v>0x07F</v>
      </c>
      <c r="H135" s="212">
        <f t="shared" si="13"/>
        <v>38</v>
      </c>
      <c r="I135" s="212" t="str">
        <f t="shared" si="16"/>
        <v>0x26</v>
      </c>
      <c r="V135" s="212" t="str">
        <f t="shared" si="17"/>
        <v>1600_7EEE</v>
      </c>
      <c r="W135">
        <v>238</v>
      </c>
    </row>
    <row r="136" spans="2:23">
      <c r="B136" s="134" t="str">
        <f t="shared" si="18"/>
        <v>0x083</v>
      </c>
      <c r="C136" s="107" t="s">
        <v>1006</v>
      </c>
      <c r="D136" s="107"/>
      <c r="E136" s="107" t="str">
        <f>"0x"&amp; MID(O38, 10, 2)</f>
        <v>0x00</v>
      </c>
      <c r="F136">
        <f t="shared" si="14"/>
        <v>128</v>
      </c>
      <c r="G136" s="212" t="str">
        <f t="shared" si="12"/>
        <v>0x080</v>
      </c>
      <c r="H136" s="212">
        <f t="shared" si="13"/>
        <v>76</v>
      </c>
      <c r="I136" s="212" t="str">
        <f t="shared" si="16"/>
        <v>0x4C</v>
      </c>
      <c r="V136" s="212" t="str">
        <f t="shared" si="17"/>
        <v>1600_7EEF</v>
      </c>
      <c r="W136">
        <v>239</v>
      </c>
    </row>
    <row r="137" spans="2:23">
      <c r="B137" s="134" t="str">
        <f t="shared" si="18"/>
        <v>0x084</v>
      </c>
      <c r="C137" s="107" t="s">
        <v>1007</v>
      </c>
      <c r="D137" s="107"/>
      <c r="E137" s="107" t="str">
        <f>"0x" &amp; MID(O38, 8, 2)</f>
        <v>0x00</v>
      </c>
      <c r="F137">
        <f t="shared" si="14"/>
        <v>129</v>
      </c>
      <c r="G137" s="212" t="str">
        <f t="shared" ref="G137:G200" si="19">"0x"&amp;DEC2HEX(F137,3)</f>
        <v>0x081</v>
      </c>
      <c r="H137" s="212">
        <f t="shared" ref="H137:H201" si="20">MOD((HEX2DEC(RIGHT(E137,2)) + H136*2),127)</f>
        <v>25</v>
      </c>
      <c r="I137" s="212" t="str">
        <f t="shared" si="16"/>
        <v>0x19</v>
      </c>
      <c r="V137" s="212" t="str">
        <f t="shared" si="17"/>
        <v>1600_7EF0</v>
      </c>
      <c r="W137">
        <v>240</v>
      </c>
    </row>
    <row r="138" spans="2:23">
      <c r="B138" s="134" t="str">
        <f t="shared" si="18"/>
        <v>0x085</v>
      </c>
      <c r="C138" s="107" t="s">
        <v>1008</v>
      </c>
      <c r="D138" s="107"/>
      <c r="E138" s="107" t="str">
        <f>"0x" &amp; MID(O38, 5, 2)</f>
        <v>0x00</v>
      </c>
      <c r="F138">
        <f t="shared" ref="F138:F191" si="21">F137+1</f>
        <v>130</v>
      </c>
      <c r="G138" s="212" t="str">
        <f t="shared" si="19"/>
        <v>0x082</v>
      </c>
      <c r="H138" s="212">
        <f t="shared" si="20"/>
        <v>50</v>
      </c>
      <c r="I138" s="212" t="str">
        <f t="shared" si="16"/>
        <v>0x32</v>
      </c>
      <c r="V138" s="212" t="str">
        <f t="shared" si="17"/>
        <v>1600_7EF1</v>
      </c>
      <c r="W138">
        <v>241</v>
      </c>
    </row>
    <row r="139" spans="2:23">
      <c r="B139" s="134" t="str">
        <f t="shared" si="18"/>
        <v>0x086</v>
      </c>
      <c r="C139" s="107" t="s">
        <v>1009</v>
      </c>
      <c r="D139" s="107"/>
      <c r="E139" s="107" t="str">
        <f>"0x" &amp; MID(O38, 3, 2)</f>
        <v>0x99</v>
      </c>
      <c r="F139">
        <f t="shared" si="21"/>
        <v>131</v>
      </c>
      <c r="G139" s="212" t="str">
        <f t="shared" si="19"/>
        <v>0x083</v>
      </c>
      <c r="H139" s="212">
        <f t="shared" si="20"/>
        <v>126</v>
      </c>
      <c r="I139" s="212" t="str">
        <f t="shared" si="16"/>
        <v>0x7E</v>
      </c>
      <c r="V139" s="212" t="str">
        <f t="shared" si="17"/>
        <v>1600_7EF2</v>
      </c>
      <c r="W139">
        <v>242</v>
      </c>
    </row>
    <row r="140" spans="2:23">
      <c r="B140" s="134" t="str">
        <f t="shared" si="18"/>
        <v>0x087</v>
      </c>
      <c r="C140" s="107" t="s">
        <v>33951</v>
      </c>
      <c r="D140" s="107"/>
      <c r="E140" s="107" t="s">
        <v>519</v>
      </c>
      <c r="F140">
        <f t="shared" si="21"/>
        <v>132</v>
      </c>
      <c r="G140" s="212" t="str">
        <f t="shared" si="19"/>
        <v>0x084</v>
      </c>
      <c r="H140" s="212">
        <f t="shared" si="20"/>
        <v>111</v>
      </c>
      <c r="I140" s="212" t="str">
        <f t="shared" si="16"/>
        <v>0x6F</v>
      </c>
      <c r="V140" s="212" t="str">
        <f t="shared" si="17"/>
        <v>1600_7EF3</v>
      </c>
      <c r="W140">
        <v>243</v>
      </c>
    </row>
    <row r="141" spans="2:23">
      <c r="B141" s="134" t="str">
        <f t="shared" si="18"/>
        <v>0x088</v>
      </c>
      <c r="C141" s="107" t="s">
        <v>34371</v>
      </c>
      <c r="D141" s="107" t="str">
        <f>"0x" &amp; DEC2HEX((HEX2DEC(MID(M40, 3, 4) &amp; RIGHT(M40, 4))) - (HEX2DEC(MID(M38, 3, 4) &amp; RIGHT(M38, 4))), 6)</f>
        <v>0x69CD80</v>
      </c>
      <c r="E141" s="107" t="str">
        <f>"0x" &amp; RIGHT(DEC2HEX((HEX2DEC(MID(M40, 3, 4) &amp; RIGHT(M40, 4))) - (HEX2DEC(MID(M38, 3, 4) &amp; RIGHT(M38, 4))), 6), 2)</f>
        <v>0x80</v>
      </c>
      <c r="F141">
        <f t="shared" si="21"/>
        <v>133</v>
      </c>
      <c r="G141" s="212" t="str">
        <f t="shared" si="19"/>
        <v>0x085</v>
      </c>
      <c r="H141" s="212">
        <f t="shared" si="20"/>
        <v>96</v>
      </c>
      <c r="I141" s="212" t="str">
        <f t="shared" si="16"/>
        <v>0x60</v>
      </c>
      <c r="V141" s="212" t="str">
        <f t="shared" si="17"/>
        <v>1600_7EF4</v>
      </c>
      <c r="W141">
        <v>244</v>
      </c>
    </row>
    <row r="142" spans="2:23">
      <c r="B142" s="134" t="str">
        <f t="shared" si="18"/>
        <v>0x089</v>
      </c>
      <c r="C142" s="107" t="s">
        <v>34372</v>
      </c>
      <c r="D142" s="107" t="s">
        <v>280</v>
      </c>
      <c r="E142" s="107" t="str">
        <f>"0x" &amp; MID(DEC2HEX((HEX2DEC(MID(M40, 3, 4) &amp; RIGHT(M40, 4))) - (HEX2DEC(MID(M38, 3, 4) &amp; RIGHT(M38, 4))), 6), 3, 2)</f>
        <v>0xCD</v>
      </c>
      <c r="F142">
        <f t="shared" si="21"/>
        <v>134</v>
      </c>
      <c r="G142" s="212" t="str">
        <f t="shared" si="19"/>
        <v>0x086</v>
      </c>
      <c r="H142" s="212">
        <f t="shared" si="20"/>
        <v>16</v>
      </c>
      <c r="I142" s="212" t="str">
        <f t="shared" si="16"/>
        <v>0x10</v>
      </c>
      <c r="V142" s="212" t="str">
        <f t="shared" si="17"/>
        <v>1600_7EF5</v>
      </c>
      <c r="W142">
        <v>245</v>
      </c>
    </row>
    <row r="143" spans="2:23">
      <c r="B143" s="134" t="str">
        <f t="shared" si="18"/>
        <v>0x08A</v>
      </c>
      <c r="C143" s="107" t="s">
        <v>34373</v>
      </c>
      <c r="D143" s="107"/>
      <c r="E143" s="107" t="str">
        <f>"0x" &amp; MID(DEC2HEX((HEX2DEC(MID(M40, 3, 4) &amp; RIGHT(M40, 4))) - (HEX2DEC(MID(M38, 3, 4) &amp; RIGHT(M38, 4))), 6), 1, 2)</f>
        <v>0x69</v>
      </c>
      <c r="F143">
        <f t="shared" si="21"/>
        <v>135</v>
      </c>
      <c r="G143" s="212" t="str">
        <f t="shared" si="19"/>
        <v>0x087</v>
      </c>
      <c r="H143" s="212">
        <f t="shared" si="20"/>
        <v>10</v>
      </c>
      <c r="I143" s="212" t="str">
        <f t="shared" si="16"/>
        <v>0x0A</v>
      </c>
      <c r="V143" s="212" t="str">
        <f t="shared" si="17"/>
        <v>1600_7EF6</v>
      </c>
      <c r="W143">
        <v>246</v>
      </c>
    </row>
    <row r="144" spans="2:23">
      <c r="B144" s="134" t="str">
        <f t="shared" si="18"/>
        <v>0x08B</v>
      </c>
      <c r="C144" s="107" t="s">
        <v>34363</v>
      </c>
      <c r="D144" s="107"/>
      <c r="E144" s="107" t="str">
        <f>"0x"&amp; MID(O40, 10, 2)</f>
        <v>0x00</v>
      </c>
      <c r="F144">
        <f t="shared" si="21"/>
        <v>136</v>
      </c>
      <c r="G144" s="212" t="str">
        <f t="shared" si="19"/>
        <v>0x088</v>
      </c>
      <c r="H144" s="212">
        <f t="shared" si="20"/>
        <v>20</v>
      </c>
      <c r="I144" s="212" t="str">
        <f t="shared" si="16"/>
        <v>0x14</v>
      </c>
      <c r="V144" s="212" t="str">
        <f t="shared" si="17"/>
        <v>1600_7EF7</v>
      </c>
      <c r="W144">
        <v>247</v>
      </c>
    </row>
    <row r="145" spans="2:23">
      <c r="B145" s="134" t="str">
        <f t="shared" si="18"/>
        <v>0x08C</v>
      </c>
      <c r="C145" s="107" t="s">
        <v>34364</v>
      </c>
      <c r="D145" s="107"/>
      <c r="E145" s="107" t="str">
        <f>"0x" &amp; MID(O40, 8, 2)</f>
        <v>0x00</v>
      </c>
      <c r="F145">
        <f t="shared" si="21"/>
        <v>137</v>
      </c>
      <c r="G145" s="212" t="str">
        <f t="shared" si="19"/>
        <v>0x089</v>
      </c>
      <c r="H145" s="212">
        <f t="shared" si="20"/>
        <v>40</v>
      </c>
      <c r="I145" s="212" t="str">
        <f t="shared" si="16"/>
        <v>0x28</v>
      </c>
      <c r="V145" s="212" t="str">
        <f t="shared" si="17"/>
        <v>1600_7EF8</v>
      </c>
      <c r="W145">
        <v>248</v>
      </c>
    </row>
    <row r="146" spans="2:23">
      <c r="B146" s="134" t="str">
        <f t="shared" si="18"/>
        <v>0x08D</v>
      </c>
      <c r="C146" s="107" t="s">
        <v>34365</v>
      </c>
      <c r="D146" s="107"/>
      <c r="E146" s="107" t="str">
        <f>"0x" &amp; MID(O40, 5, 2)</f>
        <v>0x00</v>
      </c>
      <c r="F146">
        <f t="shared" si="21"/>
        <v>138</v>
      </c>
      <c r="G146" s="212" t="str">
        <f t="shared" si="19"/>
        <v>0x08A</v>
      </c>
      <c r="H146" s="212">
        <f t="shared" si="20"/>
        <v>80</v>
      </c>
      <c r="I146" s="212" t="str">
        <f t="shared" si="16"/>
        <v>0x50</v>
      </c>
      <c r="V146" s="212" t="str">
        <f t="shared" si="17"/>
        <v>1600_7EF9</v>
      </c>
      <c r="W146">
        <v>249</v>
      </c>
    </row>
    <row r="147" spans="2:23">
      <c r="B147" s="134" t="str">
        <f t="shared" si="18"/>
        <v>0x08E</v>
      </c>
      <c r="C147" s="107" t="s">
        <v>34366</v>
      </c>
      <c r="D147" s="107"/>
      <c r="E147" s="107" t="str">
        <f>"0x" &amp; MID(O40, 3, 2)</f>
        <v>0x00</v>
      </c>
      <c r="F147">
        <f t="shared" si="21"/>
        <v>139</v>
      </c>
      <c r="G147" s="212" t="str">
        <f t="shared" si="19"/>
        <v>0x08B</v>
      </c>
      <c r="H147" s="212">
        <f t="shared" si="20"/>
        <v>33</v>
      </c>
      <c r="I147" s="212" t="str">
        <f t="shared" si="16"/>
        <v>0x21</v>
      </c>
      <c r="V147" s="212" t="str">
        <f t="shared" si="17"/>
        <v>1600_7EFA</v>
      </c>
      <c r="W147">
        <v>250</v>
      </c>
    </row>
    <row r="148" spans="2:23">
      <c r="B148" s="134" t="str">
        <f t="shared" si="18"/>
        <v>0x08F</v>
      </c>
      <c r="C148" s="107" t="s">
        <v>34367</v>
      </c>
      <c r="D148" s="107"/>
      <c r="E148" s="107" t="str">
        <f>"0x"&amp; MID(O41, 10, 2)</f>
        <v>0x00</v>
      </c>
      <c r="F148">
        <f t="shared" si="21"/>
        <v>140</v>
      </c>
      <c r="G148" s="212" t="str">
        <f t="shared" si="19"/>
        <v>0x08C</v>
      </c>
      <c r="H148" s="212">
        <f t="shared" si="20"/>
        <v>66</v>
      </c>
      <c r="I148" s="212" t="str">
        <f t="shared" si="16"/>
        <v>0x42</v>
      </c>
      <c r="V148" s="212" t="str">
        <f t="shared" si="17"/>
        <v>1600_7EFB</v>
      </c>
      <c r="W148">
        <v>251</v>
      </c>
    </row>
    <row r="149" spans="2:23">
      <c r="B149" s="134" t="str">
        <f t="shared" si="18"/>
        <v>0x090</v>
      </c>
      <c r="C149" s="107" t="s">
        <v>34368</v>
      </c>
      <c r="D149" s="107"/>
      <c r="E149" s="107" t="str">
        <f>"0x" &amp; MID(O41, 8, 2)</f>
        <v>0x00</v>
      </c>
      <c r="F149">
        <f t="shared" si="21"/>
        <v>141</v>
      </c>
      <c r="G149" s="212" t="str">
        <f t="shared" si="19"/>
        <v>0x08D</v>
      </c>
      <c r="H149" s="212">
        <f t="shared" si="20"/>
        <v>5</v>
      </c>
      <c r="I149" s="212" t="str">
        <f t="shared" si="16"/>
        <v>0x05</v>
      </c>
      <c r="V149" s="212" t="str">
        <f t="shared" si="17"/>
        <v>1600_7EFC</v>
      </c>
      <c r="W149">
        <v>252</v>
      </c>
    </row>
    <row r="150" spans="2:23">
      <c r="B150" s="134" t="str">
        <f t="shared" si="18"/>
        <v>0x091</v>
      </c>
      <c r="C150" s="107" t="s">
        <v>34369</v>
      </c>
      <c r="D150" s="107"/>
      <c r="E150" s="107" t="str">
        <f>"0x" &amp; MID(O41, 5, 2)</f>
        <v>0x00</v>
      </c>
      <c r="F150">
        <f t="shared" si="21"/>
        <v>142</v>
      </c>
      <c r="G150" s="212" t="str">
        <f t="shared" si="19"/>
        <v>0x08E</v>
      </c>
      <c r="H150" s="212">
        <f t="shared" si="20"/>
        <v>10</v>
      </c>
      <c r="I150" s="212" t="str">
        <f t="shared" si="16"/>
        <v>0x0A</v>
      </c>
      <c r="V150" s="212" t="str">
        <f t="shared" si="17"/>
        <v>1600_7EFD</v>
      </c>
      <c r="W150">
        <v>253</v>
      </c>
    </row>
    <row r="151" spans="2:23">
      <c r="B151" s="134" t="str">
        <f t="shared" si="18"/>
        <v>0x092</v>
      </c>
      <c r="C151" s="107" t="s">
        <v>34370</v>
      </c>
      <c r="D151" s="107"/>
      <c r="E151" s="107" t="str">
        <f>"0x" &amp; MID(O41, 3, 2)</f>
        <v>0x00</v>
      </c>
      <c r="F151">
        <f t="shared" si="21"/>
        <v>143</v>
      </c>
      <c r="G151" s="212" t="str">
        <f t="shared" si="19"/>
        <v>0x08F</v>
      </c>
      <c r="H151" s="212">
        <f t="shared" si="20"/>
        <v>20</v>
      </c>
      <c r="I151" s="212" t="str">
        <f t="shared" si="16"/>
        <v>0x14</v>
      </c>
      <c r="V151" s="212" t="str">
        <f t="shared" si="17"/>
        <v>1600_7EFE</v>
      </c>
      <c r="W151">
        <v>254</v>
      </c>
    </row>
    <row r="152" spans="2:23">
      <c r="B152" s="134" t="str">
        <f t="shared" si="18"/>
        <v>0x093</v>
      </c>
      <c r="C152" s="107" t="s">
        <v>34374</v>
      </c>
      <c r="D152" s="107"/>
      <c r="E152" s="107" t="s">
        <v>604</v>
      </c>
      <c r="F152">
        <f t="shared" si="21"/>
        <v>144</v>
      </c>
      <c r="G152" s="212" t="str">
        <f t="shared" si="19"/>
        <v>0x090</v>
      </c>
      <c r="H152" s="212">
        <f t="shared" si="20"/>
        <v>89</v>
      </c>
      <c r="I152" s="212" t="str">
        <f t="shared" si="16"/>
        <v>0x59</v>
      </c>
      <c r="V152" s="212" t="str">
        <f t="shared" si="17"/>
        <v>1600_7EFF</v>
      </c>
      <c r="W152">
        <v>255</v>
      </c>
    </row>
    <row r="153" spans="2:23">
      <c r="B153" s="134" t="str">
        <f t="shared" si="18"/>
        <v>0x094</v>
      </c>
      <c r="C153" s="107" t="s">
        <v>34375</v>
      </c>
      <c r="D153" s="107" t="str">
        <f>"0x" &amp; DEC2HEX((HEX2DEC(MID(M42, 3, 4) &amp; RIGHT(M42, 4))) - (HEX2DEC(MID(M40, 3, 4) &amp; RIGHT(M40, 4))), 6)</f>
        <v>0x001000</v>
      </c>
      <c r="E153" s="107" t="str">
        <f>"0x" &amp; RIGHT(DEC2HEX((HEX2DEC(MID(M42, 3, 4) &amp; RIGHT(M42, 4))) - (HEX2DEC(MID(M40, 3, 4) &amp; RIGHT(M40, 4))), 6), 2)</f>
        <v>0x00</v>
      </c>
      <c r="F153">
        <f t="shared" si="21"/>
        <v>145</v>
      </c>
      <c r="G153" s="212" t="str">
        <f t="shared" si="19"/>
        <v>0x091</v>
      </c>
      <c r="H153" s="212">
        <f t="shared" si="20"/>
        <v>51</v>
      </c>
      <c r="I153" s="212" t="str">
        <f t="shared" si="16"/>
        <v>0x33</v>
      </c>
      <c r="V153" s="212" t="str">
        <f t="shared" si="17"/>
        <v>1600_7F00</v>
      </c>
      <c r="W153">
        <v>256</v>
      </c>
    </row>
    <row r="154" spans="2:23">
      <c r="B154" s="134" t="str">
        <f t="shared" si="18"/>
        <v>0x095</v>
      </c>
      <c r="C154" s="107" t="s">
        <v>34376</v>
      </c>
      <c r="D154" s="107"/>
      <c r="E154" s="107" t="str">
        <f>"0x" &amp; MID(DEC2HEX((HEX2DEC(MID(M42, 3, 4) &amp; RIGHT(M42, 4))) - (HEX2DEC(MID(M40, 3, 4) &amp; RIGHT(M40, 4))), 6), 3, 2)</f>
        <v>0x10</v>
      </c>
      <c r="F154">
        <f t="shared" si="21"/>
        <v>146</v>
      </c>
      <c r="G154" s="212" t="str">
        <f t="shared" si="19"/>
        <v>0x092</v>
      </c>
      <c r="H154" s="212">
        <f t="shared" si="20"/>
        <v>118</v>
      </c>
      <c r="I154" s="212" t="str">
        <f t="shared" si="16"/>
        <v>0x76</v>
      </c>
      <c r="V154" s="212" t="str">
        <f t="shared" si="17"/>
        <v>1600_7F01</v>
      </c>
      <c r="W154">
        <v>257</v>
      </c>
    </row>
    <row r="155" spans="2:23">
      <c r="B155" s="134" t="str">
        <f t="shared" si="18"/>
        <v>0x096</v>
      </c>
      <c r="C155" s="107" t="s">
        <v>34380</v>
      </c>
      <c r="D155" s="107"/>
      <c r="E155" s="107" t="str">
        <f>"0x"&amp; MID(O42, 10, 2)</f>
        <v>0x00</v>
      </c>
      <c r="F155">
        <f t="shared" si="21"/>
        <v>147</v>
      </c>
      <c r="G155" s="212" t="str">
        <f t="shared" si="19"/>
        <v>0x093</v>
      </c>
      <c r="H155" s="212">
        <f t="shared" si="20"/>
        <v>109</v>
      </c>
      <c r="I155" s="212" t="str">
        <f t="shared" si="16"/>
        <v>0x6D</v>
      </c>
      <c r="V155" s="212" t="str">
        <f t="shared" si="17"/>
        <v>1600_7F02</v>
      </c>
      <c r="W155">
        <v>258</v>
      </c>
    </row>
    <row r="156" spans="2:23">
      <c r="B156" s="134" t="str">
        <f t="shared" si="18"/>
        <v>0x097</v>
      </c>
      <c r="C156" s="107" t="s">
        <v>34381</v>
      </c>
      <c r="D156" s="107"/>
      <c r="E156" s="107" t="str">
        <f>"0x" &amp; MID(O42, 8, 2)</f>
        <v>0x00</v>
      </c>
      <c r="F156">
        <f t="shared" si="21"/>
        <v>148</v>
      </c>
      <c r="G156" s="212" t="str">
        <f t="shared" si="19"/>
        <v>0x094</v>
      </c>
      <c r="H156" s="212">
        <f t="shared" si="20"/>
        <v>91</v>
      </c>
      <c r="I156" s="212" t="str">
        <f t="shared" si="16"/>
        <v>0x5B</v>
      </c>
      <c r="V156" s="212" t="str">
        <f t="shared" si="17"/>
        <v>1600_7F03</v>
      </c>
      <c r="W156">
        <v>259</v>
      </c>
    </row>
    <row r="157" spans="2:23">
      <c r="B157" s="134" t="str">
        <f t="shared" si="18"/>
        <v>0x098</v>
      </c>
      <c r="C157" s="107" t="s">
        <v>34382</v>
      </c>
      <c r="D157" s="107"/>
      <c r="E157" s="107" t="str">
        <f>"0x" &amp; MID(O42, 5, 2)</f>
        <v>0x00</v>
      </c>
      <c r="F157">
        <f t="shared" si="21"/>
        <v>149</v>
      </c>
      <c r="G157" s="212" t="str">
        <f t="shared" si="19"/>
        <v>0x095</v>
      </c>
      <c r="H157" s="212">
        <f t="shared" si="20"/>
        <v>55</v>
      </c>
      <c r="I157" s="212" t="str">
        <f t="shared" si="16"/>
        <v>0x37</v>
      </c>
      <c r="V157" s="212" t="str">
        <f t="shared" si="17"/>
        <v>1600_7F04</v>
      </c>
      <c r="W157">
        <v>260</v>
      </c>
    </row>
    <row r="158" spans="2:23">
      <c r="B158" s="134" t="str">
        <f t="shared" si="18"/>
        <v>0x099</v>
      </c>
      <c r="C158" s="107" t="s">
        <v>34383</v>
      </c>
      <c r="D158" s="107"/>
      <c r="E158" s="107" t="str">
        <f>"0x" &amp; MID(O42, 3, 2)</f>
        <v>0x00</v>
      </c>
      <c r="F158">
        <f t="shared" si="21"/>
        <v>150</v>
      </c>
      <c r="G158" s="212" t="str">
        <f t="shared" si="19"/>
        <v>0x096</v>
      </c>
      <c r="H158" s="212">
        <f t="shared" si="20"/>
        <v>110</v>
      </c>
      <c r="I158" s="212" t="str">
        <f t="shared" si="16"/>
        <v>0x6E</v>
      </c>
      <c r="V158" s="212" t="str">
        <f t="shared" si="17"/>
        <v>1600_7F05</v>
      </c>
      <c r="W158">
        <v>261</v>
      </c>
    </row>
    <row r="159" spans="2:23">
      <c r="B159" s="134" t="str">
        <f t="shared" si="18"/>
        <v>0x09A</v>
      </c>
      <c r="C159" s="107" t="s">
        <v>34384</v>
      </c>
      <c r="D159" s="107"/>
      <c r="E159" s="107" t="str">
        <f>"0x"&amp; MID(O43, 10, 2)</f>
        <v>0x00</v>
      </c>
      <c r="F159">
        <f t="shared" si="21"/>
        <v>151</v>
      </c>
      <c r="G159" s="212" t="str">
        <f t="shared" si="19"/>
        <v>0x097</v>
      </c>
      <c r="H159" s="212">
        <f t="shared" si="20"/>
        <v>93</v>
      </c>
      <c r="I159" s="212" t="str">
        <f t="shared" si="16"/>
        <v>0x5D</v>
      </c>
      <c r="V159" s="212" t="str">
        <f t="shared" si="17"/>
        <v>1600_7F06</v>
      </c>
      <c r="W159">
        <v>262</v>
      </c>
    </row>
    <row r="160" spans="2:23">
      <c r="B160" s="134" t="str">
        <f t="shared" si="18"/>
        <v>0x09B</v>
      </c>
      <c r="C160" s="107" t="s">
        <v>34385</v>
      </c>
      <c r="D160" s="107"/>
      <c r="E160" s="107" t="str">
        <f>"0x" &amp; MID(O43, 8, 2)</f>
        <v>0x00</v>
      </c>
      <c r="F160">
        <f t="shared" si="21"/>
        <v>152</v>
      </c>
      <c r="G160" s="212" t="str">
        <f t="shared" si="19"/>
        <v>0x098</v>
      </c>
      <c r="H160" s="212">
        <f t="shared" si="20"/>
        <v>59</v>
      </c>
      <c r="I160" s="212" t="str">
        <f t="shared" si="16"/>
        <v>0x3B</v>
      </c>
      <c r="V160" s="212" t="str">
        <f t="shared" si="17"/>
        <v>1600_7F10</v>
      </c>
      <c r="W160">
        <v>272</v>
      </c>
    </row>
    <row r="161" spans="2:23">
      <c r="B161" s="134" t="str">
        <f t="shared" si="18"/>
        <v>0x09C</v>
      </c>
      <c r="C161" s="107" t="s">
        <v>34386</v>
      </c>
      <c r="D161" s="107"/>
      <c r="E161" s="107" t="str">
        <f>"0x" &amp; MID(O43, 5, 2)</f>
        <v>0x00</v>
      </c>
      <c r="F161">
        <f t="shared" si="21"/>
        <v>153</v>
      </c>
      <c r="G161" s="212" t="str">
        <f t="shared" si="19"/>
        <v>0x099</v>
      </c>
      <c r="H161" s="212">
        <f t="shared" si="20"/>
        <v>118</v>
      </c>
      <c r="I161" s="212" t="str">
        <f t="shared" si="16"/>
        <v>0x76</v>
      </c>
      <c r="V161" s="212" t="str">
        <f t="shared" si="17"/>
        <v>1600_7F11</v>
      </c>
      <c r="W161">
        <v>273</v>
      </c>
    </row>
    <row r="162" spans="2:23">
      <c r="B162" s="134" t="str">
        <f t="shared" si="18"/>
        <v>0x09D</v>
      </c>
      <c r="C162" s="107" t="s">
        <v>34387</v>
      </c>
      <c r="D162" s="107"/>
      <c r="E162" s="107" t="str">
        <f>"0x" &amp; MID(O43, 3, 2)</f>
        <v>0x00</v>
      </c>
      <c r="F162">
        <f t="shared" si="21"/>
        <v>154</v>
      </c>
      <c r="G162" s="212" t="str">
        <f t="shared" si="19"/>
        <v>0x09A</v>
      </c>
      <c r="H162" s="212">
        <f t="shared" si="20"/>
        <v>109</v>
      </c>
      <c r="I162" s="212" t="str">
        <f t="shared" si="16"/>
        <v>0x6D</v>
      </c>
      <c r="V162" s="212" t="str">
        <f t="shared" si="17"/>
        <v>1600_7F12</v>
      </c>
      <c r="W162">
        <v>274</v>
      </c>
    </row>
    <row r="163" spans="2:23">
      <c r="B163" s="134" t="str">
        <f t="shared" si="18"/>
        <v>0x09E</v>
      </c>
      <c r="C163" s="107" t="s">
        <v>34377</v>
      </c>
      <c r="D163" s="107"/>
      <c r="E163" s="107" t="s">
        <v>604</v>
      </c>
      <c r="F163">
        <f t="shared" si="21"/>
        <v>155</v>
      </c>
      <c r="G163" s="212" t="str">
        <f t="shared" si="19"/>
        <v>0x09B</v>
      </c>
      <c r="H163" s="212">
        <f t="shared" si="20"/>
        <v>13</v>
      </c>
      <c r="I163" s="212" t="str">
        <f t="shared" ref="I163:I171" si="22">"0x"&amp;DEC2HEX(H163,2)</f>
        <v>0x0D</v>
      </c>
      <c r="V163" s="212" t="str">
        <f t="shared" si="17"/>
        <v>1600_7F13</v>
      </c>
      <c r="W163">
        <v>275</v>
      </c>
    </row>
    <row r="164" spans="2:23">
      <c r="B164" s="134" t="str">
        <f t="shared" si="18"/>
        <v>0x09F</v>
      </c>
      <c r="C164" s="107" t="s">
        <v>34378</v>
      </c>
      <c r="D164" s="107" t="str">
        <f>"0x" &amp; DEC2HEX((HEX2DEC(MID(M44, 3, 4) &amp; RIGHT(M44, 4))) - (HEX2DEC(MID(M42, 3, 4) &amp; RIGHT(M42, 4))), 6)</f>
        <v>0x001000</v>
      </c>
      <c r="E164" s="107" t="str">
        <f>"0x" &amp; RIGHT(DEC2HEX((HEX2DEC(MID(M44, 3, 4) &amp; RIGHT(M44, 4))) - (HEX2DEC(MID(M42, 3, 4) &amp; RIGHT(M42, 4))), 6), 2)</f>
        <v>0x00</v>
      </c>
      <c r="F164">
        <f t="shared" si="21"/>
        <v>156</v>
      </c>
      <c r="G164" s="212" t="str">
        <f t="shared" si="19"/>
        <v>0x09C</v>
      </c>
      <c r="H164" s="212">
        <f t="shared" si="20"/>
        <v>26</v>
      </c>
      <c r="I164" s="212" t="str">
        <f t="shared" si="22"/>
        <v>0x1A</v>
      </c>
      <c r="V164" s="212" t="str">
        <f t="shared" si="17"/>
        <v>1600_7F14</v>
      </c>
      <c r="W164">
        <v>276</v>
      </c>
    </row>
    <row r="165" spans="2:23">
      <c r="B165" s="134" t="str">
        <f t="shared" si="18"/>
        <v>0x0A0</v>
      </c>
      <c r="C165" s="107" t="s">
        <v>34379</v>
      </c>
      <c r="D165" s="107"/>
      <c r="E165" s="107" t="str">
        <f>"0x" &amp; MID(DEC2HEX((HEX2DEC(MID(M44, 3, 4) &amp; RIGHT(M44, 4))) - (HEX2DEC(MID(M42, 3, 4) &amp; RIGHT(M42, 4))), 6), 3, 2)</f>
        <v>0x10</v>
      </c>
      <c r="F165">
        <f t="shared" si="21"/>
        <v>157</v>
      </c>
      <c r="G165" s="212" t="str">
        <f t="shared" si="19"/>
        <v>0x09D</v>
      </c>
      <c r="H165" s="212">
        <f t="shared" si="20"/>
        <v>68</v>
      </c>
      <c r="I165" s="212" t="str">
        <f t="shared" si="22"/>
        <v>0x44</v>
      </c>
      <c r="V165" s="212" t="str">
        <f t="shared" si="17"/>
        <v>1600_7F15</v>
      </c>
      <c r="W165">
        <v>277</v>
      </c>
    </row>
    <row r="166" spans="2:23">
      <c r="B166" s="134" t="str">
        <f t="shared" si="18"/>
        <v>0x0A1</v>
      </c>
      <c r="C166" s="107" t="s">
        <v>34388</v>
      </c>
      <c r="D166" s="107"/>
      <c r="E166" s="107" t="str">
        <f>"0x"&amp; MID(O44, 10, 2)</f>
        <v>0x00</v>
      </c>
      <c r="F166">
        <f t="shared" si="21"/>
        <v>158</v>
      </c>
      <c r="G166" s="212" t="str">
        <f t="shared" si="19"/>
        <v>0x09E</v>
      </c>
      <c r="H166" s="212">
        <f t="shared" si="20"/>
        <v>9</v>
      </c>
      <c r="I166" s="212" t="str">
        <f t="shared" si="22"/>
        <v>0x09</v>
      </c>
      <c r="V166" s="212" t="str">
        <f t="shared" si="17"/>
        <v>1600_7F16</v>
      </c>
      <c r="W166">
        <v>278</v>
      </c>
    </row>
    <row r="167" spans="2:23">
      <c r="B167" s="134" t="str">
        <f t="shared" si="18"/>
        <v>0x0A2</v>
      </c>
      <c r="C167" s="107" t="s">
        <v>34389</v>
      </c>
      <c r="D167" s="107"/>
      <c r="E167" s="107" t="str">
        <f>"0x" &amp; MID(O44, 8, 2)</f>
        <v>0x00</v>
      </c>
      <c r="F167">
        <f t="shared" si="21"/>
        <v>159</v>
      </c>
      <c r="G167" s="212" t="str">
        <f t="shared" si="19"/>
        <v>0x09F</v>
      </c>
      <c r="H167" s="212">
        <f t="shared" si="20"/>
        <v>18</v>
      </c>
      <c r="I167" s="212" t="str">
        <f t="shared" si="22"/>
        <v>0x12</v>
      </c>
      <c r="V167" s="212" t="str">
        <f t="shared" si="17"/>
        <v>1600_7F17</v>
      </c>
      <c r="W167">
        <v>279</v>
      </c>
    </row>
    <row r="168" spans="2:23">
      <c r="B168" s="134" t="str">
        <f t="shared" si="18"/>
        <v>0x0A3</v>
      </c>
      <c r="C168" s="107" t="s">
        <v>34390</v>
      </c>
      <c r="D168" s="107"/>
      <c r="E168" s="107" t="str">
        <f>"0x" &amp; MID(O44, 5, 2)</f>
        <v>0x00</v>
      </c>
      <c r="F168">
        <f t="shared" si="21"/>
        <v>160</v>
      </c>
      <c r="G168" s="212" t="str">
        <f t="shared" si="19"/>
        <v>0x0A0</v>
      </c>
      <c r="H168" s="212">
        <f t="shared" si="20"/>
        <v>36</v>
      </c>
      <c r="I168" s="212" t="str">
        <f t="shared" si="22"/>
        <v>0x24</v>
      </c>
      <c r="V168" s="212" t="str">
        <f t="shared" si="17"/>
        <v>1600_7F18</v>
      </c>
      <c r="W168">
        <v>280</v>
      </c>
    </row>
    <row r="169" spans="2:23">
      <c r="B169" s="134" t="str">
        <f t="shared" si="18"/>
        <v>0x0A4</v>
      </c>
      <c r="C169" s="107" t="s">
        <v>34391</v>
      </c>
      <c r="D169" s="107"/>
      <c r="E169" s="107" t="str">
        <f>"0x" &amp; MID(O44, 3, 2)</f>
        <v>0x00</v>
      </c>
      <c r="F169">
        <f t="shared" si="21"/>
        <v>161</v>
      </c>
      <c r="G169" s="212" t="str">
        <f t="shared" si="19"/>
        <v>0x0A1</v>
      </c>
      <c r="H169" s="212">
        <f t="shared" si="20"/>
        <v>72</v>
      </c>
      <c r="I169" s="212" t="str">
        <f t="shared" si="22"/>
        <v>0x48</v>
      </c>
      <c r="V169" s="212" t="str">
        <f t="shared" si="17"/>
        <v>1600_7F19</v>
      </c>
      <c r="W169">
        <v>281</v>
      </c>
    </row>
    <row r="170" spans="2:23">
      <c r="B170" s="134" t="str">
        <f t="shared" si="18"/>
        <v>0x0A5</v>
      </c>
      <c r="C170" s="107" t="s">
        <v>34392</v>
      </c>
      <c r="D170" s="107"/>
      <c r="E170" s="107" t="str">
        <f>"0x"&amp; MID(O45, 10, 2)</f>
        <v>0x00</v>
      </c>
      <c r="F170">
        <f t="shared" si="21"/>
        <v>162</v>
      </c>
      <c r="G170" s="212" t="str">
        <f t="shared" si="19"/>
        <v>0x0A2</v>
      </c>
      <c r="H170" s="212">
        <f t="shared" si="20"/>
        <v>17</v>
      </c>
      <c r="I170" s="212" t="str">
        <f t="shared" si="22"/>
        <v>0x11</v>
      </c>
      <c r="V170" s="212" t="str">
        <f t="shared" si="17"/>
        <v>1600_7F1A</v>
      </c>
      <c r="W170">
        <v>282</v>
      </c>
    </row>
    <row r="171" spans="2:23">
      <c r="B171" s="134" t="str">
        <f t="shared" si="18"/>
        <v>0x0A6</v>
      </c>
      <c r="C171" s="107" t="s">
        <v>34393</v>
      </c>
      <c r="D171" s="107"/>
      <c r="E171" s="107" t="str">
        <f>"0x" &amp; MID(O45, 8, 2)</f>
        <v>0x00</v>
      </c>
      <c r="F171">
        <f t="shared" si="21"/>
        <v>163</v>
      </c>
      <c r="G171" s="212" t="str">
        <f t="shared" si="19"/>
        <v>0x0A3</v>
      </c>
      <c r="H171" s="212">
        <f t="shared" si="20"/>
        <v>34</v>
      </c>
      <c r="I171" s="212" t="str">
        <f t="shared" si="22"/>
        <v>0x22</v>
      </c>
      <c r="V171" s="212" t="str">
        <f t="shared" si="17"/>
        <v>1600_7F1B</v>
      </c>
      <c r="W171">
        <v>283</v>
      </c>
    </row>
    <row r="172" spans="2:23">
      <c r="B172" s="134" t="str">
        <f t="shared" si="18"/>
        <v>0x0A7</v>
      </c>
      <c r="C172" s="107" t="s">
        <v>34394</v>
      </c>
      <c r="D172" s="107"/>
      <c r="E172" s="107" t="str">
        <f>"0x" &amp; MID(O45, 5, 2)</f>
        <v>0x00</v>
      </c>
      <c r="F172">
        <f t="shared" si="21"/>
        <v>164</v>
      </c>
      <c r="G172" s="212" t="str">
        <f t="shared" si="19"/>
        <v>0x0A4</v>
      </c>
      <c r="H172" s="212">
        <f t="shared" si="20"/>
        <v>68</v>
      </c>
      <c r="I172" s="212" t="str">
        <f t="shared" ref="I172:I235" si="23">"0x"&amp;DEC2HEX(H172,2)</f>
        <v>0x44</v>
      </c>
      <c r="V172" s="212" t="str">
        <f t="shared" si="17"/>
        <v>1600_7F1C</v>
      </c>
      <c r="W172">
        <v>284</v>
      </c>
    </row>
    <row r="173" spans="2:23">
      <c r="B173" s="134" t="str">
        <f t="shared" si="18"/>
        <v>0x0A8</v>
      </c>
      <c r="C173" s="107" t="s">
        <v>34395</v>
      </c>
      <c r="D173" s="107"/>
      <c r="E173" s="107" t="str">
        <f>"0x" &amp; MID(O45, 3, 2)</f>
        <v>0x00</v>
      </c>
      <c r="F173">
        <f t="shared" si="21"/>
        <v>165</v>
      </c>
      <c r="G173" s="212" t="str">
        <f t="shared" si="19"/>
        <v>0x0A5</v>
      </c>
      <c r="H173" s="212">
        <f t="shared" si="20"/>
        <v>9</v>
      </c>
      <c r="I173" s="212" t="str">
        <f t="shared" si="23"/>
        <v>0x09</v>
      </c>
      <c r="V173" s="212" t="str">
        <f t="shared" si="17"/>
        <v>1600_7F1D</v>
      </c>
      <c r="W173">
        <v>285</v>
      </c>
    </row>
    <row r="174" spans="2:23">
      <c r="B174" s="134" t="str">
        <f t="shared" si="18"/>
        <v>0x0A9</v>
      </c>
      <c r="C174" s="107" t="s">
        <v>207</v>
      </c>
      <c r="D174" s="107" t="s">
        <v>280</v>
      </c>
      <c r="E174" s="107" t="s">
        <v>518</v>
      </c>
      <c r="F174">
        <f t="shared" si="21"/>
        <v>166</v>
      </c>
      <c r="G174" s="212" t="str">
        <f t="shared" si="19"/>
        <v>0x0A6</v>
      </c>
      <c r="H174" s="212">
        <f t="shared" si="20"/>
        <v>67</v>
      </c>
      <c r="I174" s="212" t="str">
        <f t="shared" si="23"/>
        <v>0x43</v>
      </c>
      <c r="V174" s="212" t="str">
        <f t="shared" si="17"/>
        <v>1600_7F1E</v>
      </c>
      <c r="W174">
        <v>286</v>
      </c>
    </row>
    <row r="175" spans="2:23">
      <c r="B175" s="134" t="str">
        <f t="shared" si="18"/>
        <v>0x0AA</v>
      </c>
      <c r="C175" s="107" t="s">
        <v>208</v>
      </c>
      <c r="D175" s="107" t="s">
        <v>280</v>
      </c>
      <c r="E175" s="107" t="str">
        <f>"0x"&amp; MID(M47, 10, 2)</f>
        <v>0x00</v>
      </c>
      <c r="F175">
        <f t="shared" si="21"/>
        <v>167</v>
      </c>
      <c r="G175" s="212" t="str">
        <f t="shared" si="19"/>
        <v>0x0A7</v>
      </c>
      <c r="H175" s="212">
        <f t="shared" si="20"/>
        <v>7</v>
      </c>
      <c r="I175" s="212" t="str">
        <f t="shared" si="23"/>
        <v>0x07</v>
      </c>
      <c r="V175" s="212" t="str">
        <f t="shared" si="17"/>
        <v>1600_7F1F</v>
      </c>
      <c r="W175">
        <v>287</v>
      </c>
    </row>
    <row r="176" spans="2:23">
      <c r="B176" s="134" t="str">
        <f t="shared" si="18"/>
        <v>0x0AB</v>
      </c>
      <c r="C176" s="107" t="s">
        <v>209</v>
      </c>
      <c r="D176" s="107"/>
      <c r="E176" s="107" t="str">
        <f>"0x" &amp; MID(M47, 8, 2)</f>
        <v>0xFF</v>
      </c>
      <c r="F176">
        <f t="shared" si="21"/>
        <v>168</v>
      </c>
      <c r="G176" s="212" t="str">
        <f t="shared" si="19"/>
        <v>0x0A8</v>
      </c>
      <c r="H176" s="212">
        <f t="shared" si="20"/>
        <v>15</v>
      </c>
      <c r="I176" s="212" t="str">
        <f t="shared" si="23"/>
        <v>0x0F</v>
      </c>
      <c r="V176" s="212" t="str">
        <f t="shared" si="17"/>
        <v>1600_7F20</v>
      </c>
      <c r="W176">
        <v>288</v>
      </c>
    </row>
    <row r="177" spans="2:23">
      <c r="B177" s="134" t="str">
        <f t="shared" si="18"/>
        <v>0x0AC</v>
      </c>
      <c r="C177" s="107" t="s">
        <v>34351</v>
      </c>
      <c r="D177" s="107"/>
      <c r="E177" s="107" t="str">
        <f>"0x" &amp; MID(M47, 5, 2)</f>
        <v>0x27</v>
      </c>
      <c r="F177">
        <f t="shared" si="21"/>
        <v>169</v>
      </c>
      <c r="G177" s="212" t="str">
        <f t="shared" si="19"/>
        <v>0x0A9</v>
      </c>
      <c r="H177" s="212">
        <f t="shared" si="20"/>
        <v>69</v>
      </c>
      <c r="I177" s="212" t="str">
        <f t="shared" si="23"/>
        <v>0x45</v>
      </c>
      <c r="V177" s="212" t="str">
        <f t="shared" si="17"/>
        <v>1600_7F21</v>
      </c>
      <c r="W177">
        <v>289</v>
      </c>
    </row>
    <row r="178" spans="2:23">
      <c r="B178" s="134" t="str">
        <f t="shared" si="18"/>
        <v>0x0AD</v>
      </c>
      <c r="C178" s="107" t="s">
        <v>34352</v>
      </c>
      <c r="E178" s="107" t="str">
        <f>"0x" &amp; MID(M47, 3, 2)</f>
        <v>0x40</v>
      </c>
      <c r="F178">
        <f t="shared" si="21"/>
        <v>170</v>
      </c>
      <c r="G178" s="212" t="str">
        <f t="shared" si="19"/>
        <v>0x0AA</v>
      </c>
      <c r="H178" s="212">
        <f t="shared" si="20"/>
        <v>75</v>
      </c>
      <c r="I178" s="212" t="str">
        <f t="shared" si="23"/>
        <v>0x4B</v>
      </c>
      <c r="V178" s="212" t="str">
        <f t="shared" si="17"/>
        <v>1600_7F22</v>
      </c>
      <c r="W178">
        <v>290</v>
      </c>
    </row>
    <row r="179" spans="2:23">
      <c r="B179" s="134" t="str">
        <f t="shared" si="18"/>
        <v>0x0AE</v>
      </c>
      <c r="C179" s="107" t="s">
        <v>210</v>
      </c>
      <c r="D179" s="107"/>
      <c r="E179" s="107" t="str">
        <f>"0x"&amp; MID(O47, 10, 2)</f>
        <v>0x17</v>
      </c>
      <c r="F179">
        <f t="shared" si="21"/>
        <v>171</v>
      </c>
      <c r="G179" s="212" t="str">
        <f t="shared" si="19"/>
        <v>0x0AB</v>
      </c>
      <c r="H179" s="212">
        <f t="shared" si="20"/>
        <v>46</v>
      </c>
      <c r="I179" s="212" t="str">
        <f t="shared" si="23"/>
        <v>0x2E</v>
      </c>
      <c r="V179" s="212" t="str">
        <f t="shared" si="17"/>
        <v>1600_7F23</v>
      </c>
      <c r="W179">
        <v>291</v>
      </c>
    </row>
    <row r="180" spans="2:23">
      <c r="B180" s="134" t="str">
        <f t="shared" si="18"/>
        <v>0x0AF</v>
      </c>
      <c r="C180" s="107" t="s">
        <v>34354</v>
      </c>
      <c r="D180" s="107"/>
      <c r="E180" s="107" t="str">
        <f>"0x" &amp; MID(O47, 8, 2)</f>
        <v>0x12</v>
      </c>
      <c r="F180">
        <f t="shared" si="21"/>
        <v>172</v>
      </c>
      <c r="G180" s="212" t="str">
        <f t="shared" si="19"/>
        <v>0x0AC</v>
      </c>
      <c r="H180" s="212">
        <f t="shared" si="20"/>
        <v>110</v>
      </c>
      <c r="I180" s="212" t="str">
        <f t="shared" si="23"/>
        <v>0x6E</v>
      </c>
      <c r="V180" s="212" t="str">
        <f t="shared" si="17"/>
        <v>1600_7F24</v>
      </c>
      <c r="W180">
        <v>292</v>
      </c>
    </row>
    <row r="181" spans="2:23">
      <c r="B181" s="134" t="str">
        <f t="shared" si="18"/>
        <v>0x0B0</v>
      </c>
      <c r="C181" s="107" t="s">
        <v>34355</v>
      </c>
      <c r="D181" s="107"/>
      <c r="E181" s="107" t="str">
        <f>"0x" &amp; MID(O47, 5, 2)</f>
        <v>0x00</v>
      </c>
      <c r="F181">
        <f t="shared" si="21"/>
        <v>173</v>
      </c>
      <c r="G181" s="212" t="str">
        <f t="shared" si="19"/>
        <v>0x0AD</v>
      </c>
      <c r="H181" s="212">
        <f t="shared" si="20"/>
        <v>93</v>
      </c>
      <c r="I181" s="212" t="str">
        <f t="shared" si="23"/>
        <v>0x5D</v>
      </c>
      <c r="V181" s="212" t="str">
        <f t="shared" si="17"/>
        <v>1600_7F25</v>
      </c>
      <c r="W181">
        <v>293</v>
      </c>
    </row>
    <row r="182" spans="2:23">
      <c r="B182" s="134" t="str">
        <f t="shared" si="18"/>
        <v>0x0B1</v>
      </c>
      <c r="C182" s="107" t="s">
        <v>34356</v>
      </c>
      <c r="D182" s="107"/>
      <c r="E182" s="107" t="str">
        <f>"0x" &amp; MID(O47, 3, 2)</f>
        <v>0x00</v>
      </c>
      <c r="F182">
        <f t="shared" si="21"/>
        <v>174</v>
      </c>
      <c r="G182" s="212" t="str">
        <f t="shared" si="19"/>
        <v>0x0AE</v>
      </c>
      <c r="H182" s="212">
        <f t="shared" si="20"/>
        <v>59</v>
      </c>
      <c r="I182" s="212" t="str">
        <f t="shared" si="23"/>
        <v>0x3B</v>
      </c>
      <c r="V182" s="212" t="str">
        <f t="shared" si="17"/>
        <v>1600_7F26</v>
      </c>
      <c r="W182">
        <v>294</v>
      </c>
    </row>
    <row r="183" spans="2:23">
      <c r="B183" s="134" t="str">
        <f t="shared" si="18"/>
        <v>0x0B2</v>
      </c>
      <c r="C183" s="376" t="s">
        <v>34436</v>
      </c>
      <c r="D183" s="376" t="s">
        <v>280</v>
      </c>
      <c r="E183" s="376" t="s">
        <v>518</v>
      </c>
      <c r="F183">
        <f t="shared" si="21"/>
        <v>175</v>
      </c>
      <c r="G183" s="212" t="str">
        <f t="shared" si="19"/>
        <v>0x0AF</v>
      </c>
      <c r="H183" s="212">
        <f t="shared" si="20"/>
        <v>40</v>
      </c>
      <c r="I183" s="212" t="str">
        <f t="shared" si="23"/>
        <v>0x28</v>
      </c>
      <c r="V183" s="212" t="str">
        <f t="shared" si="17"/>
        <v>1600_7F27</v>
      </c>
      <c r="W183">
        <v>295</v>
      </c>
    </row>
    <row r="184" spans="2:23">
      <c r="B184" s="134" t="str">
        <f t="shared" si="18"/>
        <v>0x0B3</v>
      </c>
      <c r="C184" s="376" t="s">
        <v>34432</v>
      </c>
      <c r="D184" s="376" t="s">
        <v>280</v>
      </c>
      <c r="E184" s="376" t="str">
        <f>"0x"&amp; MID(M49, 10, 2)</f>
        <v>0x30</v>
      </c>
      <c r="F184">
        <f t="shared" si="21"/>
        <v>176</v>
      </c>
      <c r="G184" s="212" t="str">
        <f t="shared" si="19"/>
        <v>0x0B0</v>
      </c>
      <c r="H184" s="212">
        <f t="shared" si="20"/>
        <v>1</v>
      </c>
      <c r="I184" s="212" t="str">
        <f t="shared" si="23"/>
        <v>0x01</v>
      </c>
      <c r="V184" s="212" t="str">
        <f t="shared" si="17"/>
        <v>1600_7F28</v>
      </c>
      <c r="W184">
        <v>296</v>
      </c>
    </row>
    <row r="185" spans="2:23">
      <c r="B185" s="134" t="str">
        <f t="shared" si="18"/>
        <v>0x0B4</v>
      </c>
      <c r="C185" s="376" t="s">
        <v>34433</v>
      </c>
      <c r="D185" s="376"/>
      <c r="E185" s="376" t="str">
        <f>"0x" &amp; MID(M49, 8, 2)</f>
        <v>0x32</v>
      </c>
      <c r="F185">
        <f t="shared" si="21"/>
        <v>177</v>
      </c>
      <c r="G185" s="212" t="str">
        <f t="shared" si="19"/>
        <v>0x0B1</v>
      </c>
      <c r="H185" s="212">
        <f t="shared" si="20"/>
        <v>52</v>
      </c>
      <c r="I185" s="212" t="str">
        <f t="shared" si="23"/>
        <v>0x34</v>
      </c>
      <c r="V185" s="212" t="str">
        <f t="shared" si="17"/>
        <v>1600_7F29</v>
      </c>
      <c r="W185">
        <v>297</v>
      </c>
    </row>
    <row r="186" spans="2:23">
      <c r="B186" s="134" t="str">
        <f t="shared" si="18"/>
        <v>0x0B5</v>
      </c>
      <c r="C186" s="376" t="s">
        <v>34434</v>
      </c>
      <c r="D186" s="376"/>
      <c r="E186" s="376" t="str">
        <f>"0x" &amp; MID(M49, 5, 2)</f>
        <v>0x26</v>
      </c>
      <c r="F186">
        <f t="shared" si="21"/>
        <v>178</v>
      </c>
      <c r="G186" s="212" t="str">
        <f t="shared" si="19"/>
        <v>0x0B2</v>
      </c>
      <c r="H186" s="212">
        <f t="shared" si="20"/>
        <v>15</v>
      </c>
      <c r="I186" s="212" t="str">
        <f t="shared" si="23"/>
        <v>0x0F</v>
      </c>
      <c r="V186" s="212" t="str">
        <f t="shared" si="17"/>
        <v>1600_7F2A</v>
      </c>
      <c r="W186">
        <v>298</v>
      </c>
    </row>
    <row r="187" spans="2:23">
      <c r="B187" s="134" t="str">
        <f t="shared" si="18"/>
        <v>0x0B6</v>
      </c>
      <c r="C187" s="376" t="s">
        <v>34435</v>
      </c>
      <c r="D187" s="357"/>
      <c r="E187" s="376" t="str">
        <f>"0x" &amp; MID(M49, 3, 2)</f>
        <v>0x40</v>
      </c>
      <c r="F187">
        <f t="shared" si="21"/>
        <v>179</v>
      </c>
      <c r="G187" s="212" t="str">
        <f t="shared" si="19"/>
        <v>0x0B3</v>
      </c>
      <c r="H187" s="212">
        <f t="shared" si="20"/>
        <v>94</v>
      </c>
      <c r="I187" s="212" t="str">
        <f t="shared" si="23"/>
        <v>0x5E</v>
      </c>
      <c r="V187" s="212" t="str">
        <f t="shared" ref="V187:V250" si="24">"1600_"&amp;DEC2HEX((Y$3*X$3 + W187),4)</f>
        <v>1600_7F2B</v>
      </c>
      <c r="W187">
        <v>299</v>
      </c>
    </row>
    <row r="188" spans="2:23">
      <c r="B188" s="134" t="str">
        <f t="shared" si="18"/>
        <v>0x0B7</v>
      </c>
      <c r="C188" s="376" t="s">
        <v>34428</v>
      </c>
      <c r="D188" s="376"/>
      <c r="E188" s="376" t="str">
        <f>"0x"&amp; MID(O49, 10, 2)</f>
        <v>0x03</v>
      </c>
      <c r="F188">
        <f t="shared" si="21"/>
        <v>180</v>
      </c>
      <c r="G188" s="212" t="str">
        <f t="shared" si="19"/>
        <v>0x0B4</v>
      </c>
      <c r="H188" s="212">
        <f t="shared" si="20"/>
        <v>64</v>
      </c>
      <c r="I188" s="212" t="str">
        <f t="shared" si="23"/>
        <v>0x40</v>
      </c>
      <c r="V188" s="212" t="str">
        <f t="shared" si="24"/>
        <v>1600_7F2C</v>
      </c>
      <c r="W188">
        <v>300</v>
      </c>
    </row>
    <row r="189" spans="2:23">
      <c r="B189" s="134" t="str">
        <f t="shared" si="18"/>
        <v>0x0B8</v>
      </c>
      <c r="C189" s="376" t="s">
        <v>34429</v>
      </c>
      <c r="D189" s="376"/>
      <c r="E189" s="376" t="str">
        <f>"0x" &amp; MID(O49, 8, 2)</f>
        <v>0x01</v>
      </c>
      <c r="F189">
        <f t="shared" si="21"/>
        <v>181</v>
      </c>
      <c r="G189" s="212" t="str">
        <f t="shared" si="19"/>
        <v>0x0B5</v>
      </c>
      <c r="H189" s="212">
        <f t="shared" si="20"/>
        <v>2</v>
      </c>
      <c r="I189" s="212" t="str">
        <f t="shared" si="23"/>
        <v>0x02</v>
      </c>
      <c r="V189" s="212" t="str">
        <f t="shared" si="24"/>
        <v>1600_7F2D</v>
      </c>
      <c r="W189">
        <v>301</v>
      </c>
    </row>
    <row r="190" spans="2:23">
      <c r="B190" s="134" t="str">
        <f t="shared" si="18"/>
        <v>0x0B9</v>
      </c>
      <c r="C190" s="376" t="s">
        <v>34430</v>
      </c>
      <c r="D190" s="376"/>
      <c r="E190" s="376" t="str">
        <f>"0x" &amp; MID(O49, 5, 2)</f>
        <v>0x00</v>
      </c>
      <c r="F190">
        <f t="shared" si="21"/>
        <v>182</v>
      </c>
      <c r="G190" s="212" t="str">
        <f t="shared" si="19"/>
        <v>0x0B6</v>
      </c>
      <c r="H190" s="212">
        <f t="shared" si="20"/>
        <v>4</v>
      </c>
      <c r="I190" s="212" t="str">
        <f t="shared" si="23"/>
        <v>0x04</v>
      </c>
      <c r="V190" s="212" t="str">
        <f t="shared" si="24"/>
        <v>1600_7F2E</v>
      </c>
      <c r="W190">
        <v>302</v>
      </c>
    </row>
    <row r="191" spans="2:23">
      <c r="B191" s="134" t="str">
        <f t="shared" si="18"/>
        <v>0x0BA</v>
      </c>
      <c r="C191" s="376" t="s">
        <v>34431</v>
      </c>
      <c r="D191" s="376"/>
      <c r="E191" s="376" t="str">
        <f>"0x" &amp; MID(O49, 3, 2)</f>
        <v>0x80</v>
      </c>
      <c r="F191">
        <f t="shared" si="21"/>
        <v>183</v>
      </c>
      <c r="G191" s="212" t="str">
        <f t="shared" si="19"/>
        <v>0x0B7</v>
      </c>
      <c r="H191" s="212">
        <f t="shared" si="20"/>
        <v>9</v>
      </c>
      <c r="I191" s="212" t="str">
        <f t="shared" si="23"/>
        <v>0x09</v>
      </c>
      <c r="V191" s="212" t="str">
        <f t="shared" si="24"/>
        <v>1600_7F2F</v>
      </c>
      <c r="W191">
        <v>303</v>
      </c>
    </row>
    <row r="192" spans="2:23">
      <c r="B192" s="134"/>
      <c r="C192" s="134"/>
      <c r="D192" s="134"/>
      <c r="E192" s="134"/>
      <c r="G192" s="212" t="str">
        <f t="shared" si="19"/>
        <v>0x000</v>
      </c>
      <c r="H192" s="212">
        <f t="shared" si="20"/>
        <v>18</v>
      </c>
      <c r="I192" s="212" t="str">
        <f t="shared" si="23"/>
        <v>0x12</v>
      </c>
      <c r="V192" s="212" t="str">
        <f t="shared" si="24"/>
        <v>1600_7F30</v>
      </c>
      <c r="W192">
        <v>304</v>
      </c>
    </row>
    <row r="193" spans="2:23">
      <c r="B193" s="134"/>
      <c r="C193" s="134"/>
      <c r="D193" s="134"/>
      <c r="E193" s="134"/>
      <c r="G193" s="212" t="str">
        <f t="shared" si="19"/>
        <v>0x000</v>
      </c>
      <c r="H193" s="212">
        <f t="shared" si="20"/>
        <v>36</v>
      </c>
      <c r="I193" s="212" t="str">
        <f t="shared" si="23"/>
        <v>0x24</v>
      </c>
      <c r="V193" s="212" t="str">
        <f t="shared" si="24"/>
        <v>1600_7F31</v>
      </c>
      <c r="W193">
        <v>305</v>
      </c>
    </row>
    <row r="194" spans="2:23">
      <c r="B194" s="134"/>
      <c r="C194" s="134"/>
      <c r="D194" s="134"/>
      <c r="E194" s="134"/>
      <c r="G194" s="212" t="str">
        <f t="shared" si="19"/>
        <v>0x000</v>
      </c>
      <c r="H194" s="212">
        <f t="shared" si="20"/>
        <v>72</v>
      </c>
      <c r="I194" s="212" t="str">
        <f t="shared" si="23"/>
        <v>0x48</v>
      </c>
      <c r="V194" s="212" t="str">
        <f t="shared" si="24"/>
        <v>1600_7F32</v>
      </c>
      <c r="W194">
        <v>306</v>
      </c>
    </row>
    <row r="195" spans="2:23">
      <c r="B195" s="134"/>
      <c r="C195" s="134"/>
      <c r="D195" s="134"/>
      <c r="E195" s="134"/>
      <c r="G195" s="212" t="str">
        <f t="shared" si="19"/>
        <v>0x000</v>
      </c>
      <c r="H195" s="212">
        <f t="shared" si="20"/>
        <v>17</v>
      </c>
      <c r="I195" s="212" t="str">
        <f t="shared" si="23"/>
        <v>0x11</v>
      </c>
      <c r="V195" s="212" t="str">
        <f t="shared" si="24"/>
        <v>1600_7F33</v>
      </c>
      <c r="W195">
        <v>307</v>
      </c>
    </row>
    <row r="196" spans="2:23">
      <c r="B196" s="134"/>
      <c r="C196" s="134"/>
      <c r="D196" s="134"/>
      <c r="E196" s="134"/>
      <c r="G196" s="212" t="str">
        <f t="shared" si="19"/>
        <v>0x000</v>
      </c>
      <c r="H196" s="212">
        <f t="shared" si="20"/>
        <v>34</v>
      </c>
      <c r="I196" s="212" t="str">
        <f t="shared" si="23"/>
        <v>0x22</v>
      </c>
      <c r="V196" s="212" t="str">
        <f t="shared" si="24"/>
        <v>1600_7F34</v>
      </c>
      <c r="W196">
        <v>308</v>
      </c>
    </row>
    <row r="197" spans="2:23">
      <c r="B197" s="134"/>
      <c r="C197" s="134"/>
      <c r="D197" s="134"/>
      <c r="E197" s="134"/>
      <c r="G197" s="212" t="str">
        <f t="shared" si="19"/>
        <v>0x000</v>
      </c>
      <c r="H197" s="212">
        <f t="shared" si="20"/>
        <v>68</v>
      </c>
      <c r="I197" s="212" t="str">
        <f t="shared" si="23"/>
        <v>0x44</v>
      </c>
      <c r="V197" s="212" t="str">
        <f t="shared" si="24"/>
        <v>1600_7F35</v>
      </c>
      <c r="W197">
        <v>309</v>
      </c>
    </row>
    <row r="198" spans="2:23">
      <c r="B198" s="134"/>
      <c r="C198" s="134"/>
      <c r="D198" s="134"/>
      <c r="E198" s="134"/>
      <c r="G198" s="212" t="str">
        <f t="shared" si="19"/>
        <v>0x000</v>
      </c>
      <c r="H198" s="212">
        <f t="shared" si="20"/>
        <v>9</v>
      </c>
      <c r="I198" s="212" t="str">
        <f t="shared" si="23"/>
        <v>0x09</v>
      </c>
      <c r="V198" s="212" t="str">
        <f t="shared" si="24"/>
        <v>1600_7F36</v>
      </c>
      <c r="W198">
        <v>310</v>
      </c>
    </row>
    <row r="199" spans="2:23">
      <c r="B199" s="134"/>
      <c r="C199" s="134"/>
      <c r="D199" s="134"/>
      <c r="E199" s="134"/>
      <c r="G199" s="212" t="str">
        <f t="shared" si="19"/>
        <v>0x000</v>
      </c>
      <c r="H199" s="212">
        <f t="shared" si="20"/>
        <v>18</v>
      </c>
      <c r="I199" s="212" t="str">
        <f t="shared" si="23"/>
        <v>0x12</v>
      </c>
      <c r="V199" s="212" t="str">
        <f t="shared" si="24"/>
        <v>1600_7F37</v>
      </c>
      <c r="W199">
        <v>311</v>
      </c>
    </row>
    <row r="200" spans="2:23">
      <c r="B200" s="134"/>
      <c r="C200" s="134"/>
      <c r="D200" s="134"/>
      <c r="E200" s="134"/>
      <c r="G200" s="212" t="str">
        <f t="shared" si="19"/>
        <v>0x000</v>
      </c>
      <c r="H200" s="212">
        <f t="shared" si="20"/>
        <v>36</v>
      </c>
      <c r="I200" s="212" t="str">
        <f t="shared" si="23"/>
        <v>0x24</v>
      </c>
      <c r="V200" s="212" t="str">
        <f t="shared" si="24"/>
        <v>1600_7F38</v>
      </c>
      <c r="W200">
        <v>312</v>
      </c>
    </row>
    <row r="201" spans="2:23">
      <c r="G201" s="212" t="str">
        <f t="shared" ref="G201:G235" si="25">"0x"&amp;DEC2HEX(F201,3)</f>
        <v>0x000</v>
      </c>
      <c r="H201" s="212">
        <f t="shared" si="20"/>
        <v>72</v>
      </c>
      <c r="I201" s="212" t="str">
        <f t="shared" si="23"/>
        <v>0x48</v>
      </c>
      <c r="V201" s="212" t="str">
        <f t="shared" si="24"/>
        <v>1600_7F39</v>
      </c>
      <c r="W201">
        <v>313</v>
      </c>
    </row>
    <row r="202" spans="2:23">
      <c r="G202" s="212" t="str">
        <f t="shared" si="25"/>
        <v>0x000</v>
      </c>
      <c r="H202" s="212">
        <f t="shared" ref="H202:H265" si="26">MOD((HEX2DEC(RIGHT(E202,2)) + H201*2),127)</f>
        <v>17</v>
      </c>
      <c r="I202" s="212" t="str">
        <f t="shared" si="23"/>
        <v>0x11</v>
      </c>
      <c r="V202" s="212" t="str">
        <f t="shared" si="24"/>
        <v>1600_7F3A</v>
      </c>
      <c r="W202">
        <v>314</v>
      </c>
    </row>
    <row r="203" spans="2:23">
      <c r="G203" s="212" t="str">
        <f t="shared" si="25"/>
        <v>0x000</v>
      </c>
      <c r="H203" s="212">
        <f t="shared" si="26"/>
        <v>34</v>
      </c>
      <c r="I203" s="212" t="str">
        <f t="shared" si="23"/>
        <v>0x22</v>
      </c>
      <c r="V203" s="212" t="str">
        <f t="shared" si="24"/>
        <v>1600_7F3B</v>
      </c>
      <c r="W203">
        <v>315</v>
      </c>
    </row>
    <row r="204" spans="2:23">
      <c r="G204" s="212" t="str">
        <f t="shared" si="25"/>
        <v>0x000</v>
      </c>
      <c r="H204" s="212">
        <f t="shared" si="26"/>
        <v>68</v>
      </c>
      <c r="I204" s="212" t="str">
        <f t="shared" si="23"/>
        <v>0x44</v>
      </c>
      <c r="V204" s="212" t="str">
        <f t="shared" si="24"/>
        <v>1600_7F3C</v>
      </c>
      <c r="W204">
        <v>316</v>
      </c>
    </row>
    <row r="205" spans="2:23">
      <c r="G205" s="212" t="str">
        <f t="shared" si="25"/>
        <v>0x000</v>
      </c>
      <c r="H205" s="212">
        <f t="shared" si="26"/>
        <v>9</v>
      </c>
      <c r="I205" s="212" t="str">
        <f t="shared" si="23"/>
        <v>0x09</v>
      </c>
      <c r="V205" s="212" t="str">
        <f t="shared" si="24"/>
        <v>1600_7F3D</v>
      </c>
      <c r="W205">
        <v>317</v>
      </c>
    </row>
    <row r="206" spans="2:23">
      <c r="G206" s="212" t="str">
        <f t="shared" si="25"/>
        <v>0x000</v>
      </c>
      <c r="H206" s="212">
        <f t="shared" si="26"/>
        <v>18</v>
      </c>
      <c r="I206" s="212" t="str">
        <f t="shared" si="23"/>
        <v>0x12</v>
      </c>
      <c r="V206" s="212" t="str">
        <f t="shared" si="24"/>
        <v>1600_7F3E</v>
      </c>
      <c r="W206">
        <v>318</v>
      </c>
    </row>
    <row r="207" spans="2:23">
      <c r="G207" s="212" t="str">
        <f t="shared" si="25"/>
        <v>0x000</v>
      </c>
      <c r="H207" s="212">
        <f t="shared" si="26"/>
        <v>36</v>
      </c>
      <c r="I207" s="212" t="str">
        <f t="shared" si="23"/>
        <v>0x24</v>
      </c>
      <c r="V207" s="212" t="str">
        <f t="shared" si="24"/>
        <v>1600_7F3F</v>
      </c>
      <c r="W207">
        <v>319</v>
      </c>
    </row>
    <row r="208" spans="2:23">
      <c r="G208" s="212" t="str">
        <f t="shared" si="25"/>
        <v>0x000</v>
      </c>
      <c r="H208" s="212">
        <f t="shared" si="26"/>
        <v>72</v>
      </c>
      <c r="I208" s="212" t="str">
        <f t="shared" si="23"/>
        <v>0x48</v>
      </c>
      <c r="V208" s="212" t="str">
        <f t="shared" si="24"/>
        <v>1600_7F40</v>
      </c>
      <c r="W208">
        <v>320</v>
      </c>
    </row>
    <row r="209" spans="7:23">
      <c r="G209" s="212" t="str">
        <f t="shared" si="25"/>
        <v>0x000</v>
      </c>
      <c r="H209" s="212">
        <f t="shared" si="26"/>
        <v>17</v>
      </c>
      <c r="I209" s="212" t="str">
        <f t="shared" si="23"/>
        <v>0x11</v>
      </c>
      <c r="V209" s="212" t="str">
        <f t="shared" si="24"/>
        <v>1600_7F41</v>
      </c>
      <c r="W209">
        <v>321</v>
      </c>
    </row>
    <row r="210" spans="7:23">
      <c r="G210" s="212" t="str">
        <f t="shared" si="25"/>
        <v>0x000</v>
      </c>
      <c r="H210" s="212">
        <f t="shared" si="26"/>
        <v>34</v>
      </c>
      <c r="I210" s="212" t="str">
        <f t="shared" si="23"/>
        <v>0x22</v>
      </c>
      <c r="V210" s="212" t="str">
        <f t="shared" si="24"/>
        <v>1600_7F42</v>
      </c>
      <c r="W210">
        <v>322</v>
      </c>
    </row>
    <row r="211" spans="7:23">
      <c r="G211" s="212" t="str">
        <f t="shared" si="25"/>
        <v>0x000</v>
      </c>
      <c r="H211" s="212">
        <f t="shared" si="26"/>
        <v>68</v>
      </c>
      <c r="I211" s="212" t="str">
        <f t="shared" si="23"/>
        <v>0x44</v>
      </c>
      <c r="V211" s="212" t="str">
        <f t="shared" si="24"/>
        <v>1600_7F43</v>
      </c>
      <c r="W211">
        <v>323</v>
      </c>
    </row>
    <row r="212" spans="7:23">
      <c r="G212" s="212" t="str">
        <f t="shared" si="25"/>
        <v>0x000</v>
      </c>
      <c r="H212" s="212">
        <f t="shared" si="26"/>
        <v>9</v>
      </c>
      <c r="I212" s="212" t="str">
        <f t="shared" si="23"/>
        <v>0x09</v>
      </c>
      <c r="V212" s="212" t="str">
        <f t="shared" si="24"/>
        <v>1600_7F44</v>
      </c>
      <c r="W212">
        <v>324</v>
      </c>
    </row>
    <row r="213" spans="7:23">
      <c r="G213" s="212" t="str">
        <f t="shared" si="25"/>
        <v>0x000</v>
      </c>
      <c r="H213" s="212">
        <f t="shared" si="26"/>
        <v>18</v>
      </c>
      <c r="I213" s="212" t="str">
        <f t="shared" si="23"/>
        <v>0x12</v>
      </c>
      <c r="V213" s="212" t="str">
        <f t="shared" si="24"/>
        <v>1600_7F45</v>
      </c>
      <c r="W213">
        <v>325</v>
      </c>
    </row>
    <row r="214" spans="7:23">
      <c r="G214" s="212" t="str">
        <f t="shared" si="25"/>
        <v>0x000</v>
      </c>
      <c r="H214" s="212">
        <f t="shared" si="26"/>
        <v>36</v>
      </c>
      <c r="I214" s="212" t="str">
        <f t="shared" si="23"/>
        <v>0x24</v>
      </c>
      <c r="V214" s="212" t="str">
        <f t="shared" si="24"/>
        <v>1600_7F46</v>
      </c>
      <c r="W214">
        <v>326</v>
      </c>
    </row>
    <row r="215" spans="7:23">
      <c r="G215" s="212" t="str">
        <f t="shared" si="25"/>
        <v>0x000</v>
      </c>
      <c r="H215" s="212">
        <f t="shared" si="26"/>
        <v>72</v>
      </c>
      <c r="I215" s="212" t="str">
        <f t="shared" si="23"/>
        <v>0x48</v>
      </c>
      <c r="V215" s="212" t="str">
        <f t="shared" si="24"/>
        <v>1600_7F47</v>
      </c>
      <c r="W215">
        <v>327</v>
      </c>
    </row>
    <row r="216" spans="7:23">
      <c r="G216" s="212" t="str">
        <f t="shared" si="25"/>
        <v>0x000</v>
      </c>
      <c r="H216" s="212">
        <f t="shared" si="26"/>
        <v>17</v>
      </c>
      <c r="I216" s="212" t="str">
        <f t="shared" si="23"/>
        <v>0x11</v>
      </c>
      <c r="V216" s="212" t="str">
        <f t="shared" si="24"/>
        <v>1600_7F48</v>
      </c>
      <c r="W216">
        <v>328</v>
      </c>
    </row>
    <row r="217" spans="7:23">
      <c r="G217" s="212" t="str">
        <f t="shared" si="25"/>
        <v>0x000</v>
      </c>
      <c r="H217" s="212">
        <f t="shared" si="26"/>
        <v>34</v>
      </c>
      <c r="I217" s="212" t="str">
        <f t="shared" si="23"/>
        <v>0x22</v>
      </c>
      <c r="V217" s="212" t="str">
        <f t="shared" si="24"/>
        <v>1600_7F49</v>
      </c>
      <c r="W217">
        <v>329</v>
      </c>
    </row>
    <row r="218" spans="7:23">
      <c r="G218" s="212" t="str">
        <f t="shared" si="25"/>
        <v>0x000</v>
      </c>
      <c r="H218" s="212">
        <f t="shared" si="26"/>
        <v>68</v>
      </c>
      <c r="I218" s="212" t="str">
        <f t="shared" si="23"/>
        <v>0x44</v>
      </c>
      <c r="V218" s="212" t="str">
        <f t="shared" si="24"/>
        <v>1600_7F4A</v>
      </c>
      <c r="W218">
        <v>330</v>
      </c>
    </row>
    <row r="219" spans="7:23">
      <c r="G219" s="212" t="str">
        <f t="shared" si="25"/>
        <v>0x000</v>
      </c>
      <c r="H219" s="212">
        <f t="shared" si="26"/>
        <v>9</v>
      </c>
      <c r="I219" s="212" t="str">
        <f t="shared" si="23"/>
        <v>0x09</v>
      </c>
      <c r="V219" s="212" t="str">
        <f t="shared" si="24"/>
        <v>1600_7F4B</v>
      </c>
      <c r="W219">
        <v>331</v>
      </c>
    </row>
    <row r="220" spans="7:23">
      <c r="G220" s="212" t="str">
        <f t="shared" si="25"/>
        <v>0x000</v>
      </c>
      <c r="H220" s="212">
        <f t="shared" si="26"/>
        <v>18</v>
      </c>
      <c r="I220" s="212" t="str">
        <f t="shared" si="23"/>
        <v>0x12</v>
      </c>
      <c r="V220" s="212" t="str">
        <f t="shared" si="24"/>
        <v>1600_7F4C</v>
      </c>
      <c r="W220">
        <v>332</v>
      </c>
    </row>
    <row r="221" spans="7:23">
      <c r="G221" s="212" t="str">
        <f t="shared" si="25"/>
        <v>0x000</v>
      </c>
      <c r="H221" s="212">
        <f t="shared" si="26"/>
        <v>36</v>
      </c>
      <c r="I221" s="212" t="str">
        <f t="shared" si="23"/>
        <v>0x24</v>
      </c>
      <c r="V221" s="212" t="str">
        <f t="shared" si="24"/>
        <v>1600_7F4D</v>
      </c>
      <c r="W221">
        <v>333</v>
      </c>
    </row>
    <row r="222" spans="7:23">
      <c r="G222" s="212" t="str">
        <f t="shared" si="25"/>
        <v>0x000</v>
      </c>
      <c r="H222" s="212">
        <f t="shared" si="26"/>
        <v>72</v>
      </c>
      <c r="I222" s="212" t="str">
        <f t="shared" si="23"/>
        <v>0x48</v>
      </c>
      <c r="V222" s="212" t="str">
        <f t="shared" si="24"/>
        <v>1600_7F4E</v>
      </c>
      <c r="W222">
        <v>334</v>
      </c>
    </row>
    <row r="223" spans="7:23">
      <c r="G223" s="212" t="str">
        <f t="shared" si="25"/>
        <v>0x000</v>
      </c>
      <c r="H223" s="212">
        <f t="shared" si="26"/>
        <v>17</v>
      </c>
      <c r="I223" s="212" t="str">
        <f t="shared" si="23"/>
        <v>0x11</v>
      </c>
      <c r="V223" s="212" t="str">
        <f t="shared" si="24"/>
        <v>1600_7F4F</v>
      </c>
      <c r="W223">
        <v>335</v>
      </c>
    </row>
    <row r="224" spans="7:23">
      <c r="G224" s="212" t="str">
        <f t="shared" si="25"/>
        <v>0x000</v>
      </c>
      <c r="H224" s="212">
        <f t="shared" si="26"/>
        <v>34</v>
      </c>
      <c r="I224" s="212" t="str">
        <f t="shared" si="23"/>
        <v>0x22</v>
      </c>
      <c r="V224" s="212" t="str">
        <f t="shared" si="24"/>
        <v>1600_7F50</v>
      </c>
      <c r="W224">
        <v>336</v>
      </c>
    </row>
    <row r="225" spans="7:23">
      <c r="G225" s="212" t="str">
        <f t="shared" si="25"/>
        <v>0x000</v>
      </c>
      <c r="H225" s="212">
        <f t="shared" si="26"/>
        <v>68</v>
      </c>
      <c r="I225" s="212" t="str">
        <f t="shared" si="23"/>
        <v>0x44</v>
      </c>
      <c r="V225" s="212" t="str">
        <f t="shared" si="24"/>
        <v>1600_7F51</v>
      </c>
      <c r="W225">
        <v>337</v>
      </c>
    </row>
    <row r="226" spans="7:23">
      <c r="G226" s="212" t="str">
        <f t="shared" si="25"/>
        <v>0x000</v>
      </c>
      <c r="H226" s="212">
        <f t="shared" si="26"/>
        <v>9</v>
      </c>
      <c r="I226" s="212" t="str">
        <f t="shared" si="23"/>
        <v>0x09</v>
      </c>
      <c r="V226" s="212" t="str">
        <f t="shared" si="24"/>
        <v>1600_7F52</v>
      </c>
      <c r="W226">
        <v>338</v>
      </c>
    </row>
    <row r="227" spans="7:23">
      <c r="G227" s="212" t="str">
        <f t="shared" si="25"/>
        <v>0x000</v>
      </c>
      <c r="H227" s="212">
        <f t="shared" si="26"/>
        <v>18</v>
      </c>
      <c r="I227" s="212" t="str">
        <f t="shared" si="23"/>
        <v>0x12</v>
      </c>
      <c r="V227" s="212" t="str">
        <f t="shared" si="24"/>
        <v>1600_7F53</v>
      </c>
      <c r="W227">
        <v>339</v>
      </c>
    </row>
    <row r="228" spans="7:23">
      <c r="G228" s="212" t="str">
        <f t="shared" si="25"/>
        <v>0x000</v>
      </c>
      <c r="H228" s="212">
        <f t="shared" si="26"/>
        <v>36</v>
      </c>
      <c r="I228" s="212" t="str">
        <f t="shared" si="23"/>
        <v>0x24</v>
      </c>
      <c r="V228" s="212" t="str">
        <f t="shared" si="24"/>
        <v>1600_7F54</v>
      </c>
      <c r="W228">
        <v>340</v>
      </c>
    </row>
    <row r="229" spans="7:23">
      <c r="G229" s="212" t="str">
        <f t="shared" si="25"/>
        <v>0x000</v>
      </c>
      <c r="H229" s="212">
        <f t="shared" si="26"/>
        <v>72</v>
      </c>
      <c r="I229" s="212" t="str">
        <f t="shared" si="23"/>
        <v>0x48</v>
      </c>
      <c r="V229" s="212" t="str">
        <f t="shared" si="24"/>
        <v>1600_7F55</v>
      </c>
      <c r="W229">
        <v>341</v>
      </c>
    </row>
    <row r="230" spans="7:23">
      <c r="G230" s="212" t="str">
        <f t="shared" si="25"/>
        <v>0x000</v>
      </c>
      <c r="H230" s="212">
        <f t="shared" si="26"/>
        <v>17</v>
      </c>
      <c r="I230" s="212" t="str">
        <f t="shared" si="23"/>
        <v>0x11</v>
      </c>
      <c r="V230" s="212" t="str">
        <f t="shared" si="24"/>
        <v>1600_7F56</v>
      </c>
      <c r="W230">
        <v>342</v>
      </c>
    </row>
    <row r="231" spans="7:23">
      <c r="G231" s="212" t="str">
        <f t="shared" si="25"/>
        <v>0x000</v>
      </c>
      <c r="H231" s="212">
        <f t="shared" si="26"/>
        <v>34</v>
      </c>
      <c r="I231" s="212" t="str">
        <f t="shared" si="23"/>
        <v>0x22</v>
      </c>
      <c r="V231" s="212" t="str">
        <f t="shared" si="24"/>
        <v>1600_7F57</v>
      </c>
      <c r="W231">
        <v>343</v>
      </c>
    </row>
    <row r="232" spans="7:23">
      <c r="G232" s="212" t="str">
        <f t="shared" si="25"/>
        <v>0x000</v>
      </c>
      <c r="H232" s="212">
        <f t="shared" si="26"/>
        <v>68</v>
      </c>
      <c r="I232" s="212" t="str">
        <f t="shared" si="23"/>
        <v>0x44</v>
      </c>
      <c r="V232" s="212" t="str">
        <f t="shared" si="24"/>
        <v>1600_7F58</v>
      </c>
      <c r="W232">
        <v>344</v>
      </c>
    </row>
    <row r="233" spans="7:23">
      <c r="G233" s="212" t="str">
        <f t="shared" si="25"/>
        <v>0x000</v>
      </c>
      <c r="H233" s="212">
        <f t="shared" si="26"/>
        <v>9</v>
      </c>
      <c r="I233" s="212" t="str">
        <f t="shared" si="23"/>
        <v>0x09</v>
      </c>
      <c r="V233" s="212" t="str">
        <f t="shared" si="24"/>
        <v>1600_7F59</v>
      </c>
      <c r="W233">
        <v>345</v>
      </c>
    </row>
    <row r="234" spans="7:23">
      <c r="G234" s="212" t="str">
        <f t="shared" si="25"/>
        <v>0x000</v>
      </c>
      <c r="H234" s="212">
        <f t="shared" si="26"/>
        <v>18</v>
      </c>
      <c r="I234" s="212" t="str">
        <f t="shared" si="23"/>
        <v>0x12</v>
      </c>
      <c r="V234" s="212" t="str">
        <f t="shared" si="24"/>
        <v>1600_7F5A</v>
      </c>
      <c r="W234">
        <v>346</v>
      </c>
    </row>
    <row r="235" spans="7:23">
      <c r="G235" s="212" t="str">
        <f t="shared" si="25"/>
        <v>0x000</v>
      </c>
      <c r="H235" s="212">
        <f t="shared" si="26"/>
        <v>36</v>
      </c>
      <c r="I235" s="212" t="str">
        <f t="shared" si="23"/>
        <v>0x24</v>
      </c>
      <c r="V235" s="212" t="str">
        <f t="shared" si="24"/>
        <v>1600_7F5B</v>
      </c>
      <c r="W235">
        <v>347</v>
      </c>
    </row>
    <row r="236" spans="7:23">
      <c r="G236" s="212" t="str">
        <f t="shared" ref="G236:G299" si="27">"0x"&amp;DEC2HEX(F236,3)</f>
        <v>0x000</v>
      </c>
      <c r="H236" s="212">
        <f t="shared" si="26"/>
        <v>72</v>
      </c>
      <c r="I236" s="212" t="str">
        <f t="shared" ref="I236:I299" si="28">"0x"&amp;DEC2HEX(H236,2)</f>
        <v>0x48</v>
      </c>
      <c r="V236" s="212" t="str">
        <f t="shared" si="24"/>
        <v>1600_7F5C</v>
      </c>
      <c r="W236">
        <v>348</v>
      </c>
    </row>
    <row r="237" spans="7:23">
      <c r="G237" s="212" t="str">
        <f t="shared" si="27"/>
        <v>0x000</v>
      </c>
      <c r="H237" s="212">
        <f t="shared" si="26"/>
        <v>17</v>
      </c>
      <c r="I237" s="212" t="str">
        <f t="shared" si="28"/>
        <v>0x11</v>
      </c>
      <c r="V237" s="212" t="str">
        <f t="shared" si="24"/>
        <v>1600_7F5D</v>
      </c>
      <c r="W237">
        <v>349</v>
      </c>
    </row>
    <row r="238" spans="7:23">
      <c r="G238" s="212" t="str">
        <f t="shared" si="27"/>
        <v>0x000</v>
      </c>
      <c r="H238" s="212">
        <f t="shared" si="26"/>
        <v>34</v>
      </c>
      <c r="I238" s="212" t="str">
        <f t="shared" si="28"/>
        <v>0x22</v>
      </c>
      <c r="V238" s="212" t="str">
        <f t="shared" si="24"/>
        <v>1600_7F5E</v>
      </c>
      <c r="W238">
        <v>350</v>
      </c>
    </row>
    <row r="239" spans="7:23">
      <c r="G239" s="212" t="str">
        <f t="shared" si="27"/>
        <v>0x000</v>
      </c>
      <c r="H239" s="212">
        <f t="shared" si="26"/>
        <v>68</v>
      </c>
      <c r="I239" s="212" t="str">
        <f t="shared" si="28"/>
        <v>0x44</v>
      </c>
      <c r="V239" s="212" t="str">
        <f t="shared" si="24"/>
        <v>1600_7F5F</v>
      </c>
      <c r="W239">
        <v>351</v>
      </c>
    </row>
    <row r="240" spans="7:23">
      <c r="G240" s="212" t="str">
        <f t="shared" si="27"/>
        <v>0x000</v>
      </c>
      <c r="H240" s="212">
        <f t="shared" si="26"/>
        <v>9</v>
      </c>
      <c r="I240" s="212" t="str">
        <f t="shared" si="28"/>
        <v>0x09</v>
      </c>
      <c r="V240" s="212" t="str">
        <f t="shared" si="24"/>
        <v>1600_7F60</v>
      </c>
      <c r="W240">
        <v>352</v>
      </c>
    </row>
    <row r="241" spans="7:23">
      <c r="G241" s="212" t="str">
        <f t="shared" si="27"/>
        <v>0x000</v>
      </c>
      <c r="H241" s="212">
        <f t="shared" si="26"/>
        <v>18</v>
      </c>
      <c r="I241" s="212" t="str">
        <f t="shared" si="28"/>
        <v>0x12</v>
      </c>
      <c r="V241" s="212" t="str">
        <f t="shared" si="24"/>
        <v>1600_7F61</v>
      </c>
      <c r="W241">
        <v>353</v>
      </c>
    </row>
    <row r="242" spans="7:23">
      <c r="G242" s="212" t="str">
        <f t="shared" si="27"/>
        <v>0x000</v>
      </c>
      <c r="H242" s="212">
        <f t="shared" si="26"/>
        <v>36</v>
      </c>
      <c r="I242" s="212" t="str">
        <f t="shared" si="28"/>
        <v>0x24</v>
      </c>
      <c r="V242" s="212" t="str">
        <f t="shared" si="24"/>
        <v>1600_7F62</v>
      </c>
      <c r="W242">
        <v>354</v>
      </c>
    </row>
    <row r="243" spans="7:23">
      <c r="G243" s="212" t="str">
        <f t="shared" si="27"/>
        <v>0x000</v>
      </c>
      <c r="H243" s="212">
        <f t="shared" si="26"/>
        <v>72</v>
      </c>
      <c r="I243" s="212" t="str">
        <f t="shared" si="28"/>
        <v>0x48</v>
      </c>
      <c r="V243" s="212" t="str">
        <f t="shared" si="24"/>
        <v>1600_7F63</v>
      </c>
      <c r="W243">
        <v>355</v>
      </c>
    </row>
    <row r="244" spans="7:23">
      <c r="G244" s="212" t="str">
        <f t="shared" si="27"/>
        <v>0x000</v>
      </c>
      <c r="H244" s="212">
        <f t="shared" si="26"/>
        <v>17</v>
      </c>
      <c r="I244" s="212" t="str">
        <f t="shared" si="28"/>
        <v>0x11</v>
      </c>
      <c r="V244" s="212" t="str">
        <f t="shared" si="24"/>
        <v>1600_7F64</v>
      </c>
      <c r="W244">
        <v>356</v>
      </c>
    </row>
    <row r="245" spans="7:23">
      <c r="G245" s="212" t="str">
        <f t="shared" si="27"/>
        <v>0x000</v>
      </c>
      <c r="H245" s="212">
        <f t="shared" si="26"/>
        <v>34</v>
      </c>
      <c r="I245" s="212" t="str">
        <f t="shared" si="28"/>
        <v>0x22</v>
      </c>
      <c r="V245" s="212" t="str">
        <f t="shared" si="24"/>
        <v>1600_7F65</v>
      </c>
      <c r="W245">
        <v>357</v>
      </c>
    </row>
    <row r="246" spans="7:23">
      <c r="G246" s="212" t="str">
        <f t="shared" si="27"/>
        <v>0x000</v>
      </c>
      <c r="H246" s="212">
        <f t="shared" si="26"/>
        <v>68</v>
      </c>
      <c r="I246" s="212" t="str">
        <f t="shared" si="28"/>
        <v>0x44</v>
      </c>
      <c r="V246" s="212" t="str">
        <f t="shared" si="24"/>
        <v>1600_7F66</v>
      </c>
      <c r="W246">
        <v>358</v>
      </c>
    </row>
    <row r="247" spans="7:23">
      <c r="G247" s="212" t="str">
        <f t="shared" si="27"/>
        <v>0x000</v>
      </c>
      <c r="H247" s="212">
        <f t="shared" si="26"/>
        <v>9</v>
      </c>
      <c r="I247" s="212" t="str">
        <f t="shared" si="28"/>
        <v>0x09</v>
      </c>
      <c r="V247" s="212" t="str">
        <f t="shared" si="24"/>
        <v>1600_7F67</v>
      </c>
      <c r="W247">
        <v>359</v>
      </c>
    </row>
    <row r="248" spans="7:23">
      <c r="G248" s="212" t="str">
        <f t="shared" si="27"/>
        <v>0x000</v>
      </c>
      <c r="H248" s="212">
        <f t="shared" si="26"/>
        <v>18</v>
      </c>
      <c r="I248" s="212" t="str">
        <f t="shared" si="28"/>
        <v>0x12</v>
      </c>
      <c r="V248" s="212" t="str">
        <f t="shared" si="24"/>
        <v>1600_7F68</v>
      </c>
      <c r="W248">
        <v>360</v>
      </c>
    </row>
    <row r="249" spans="7:23">
      <c r="G249" s="212" t="str">
        <f t="shared" si="27"/>
        <v>0x000</v>
      </c>
      <c r="H249" s="212">
        <f t="shared" si="26"/>
        <v>36</v>
      </c>
      <c r="I249" s="212" t="str">
        <f t="shared" si="28"/>
        <v>0x24</v>
      </c>
      <c r="V249" s="212" t="str">
        <f t="shared" si="24"/>
        <v>1600_7F69</v>
      </c>
      <c r="W249">
        <v>361</v>
      </c>
    </row>
    <row r="250" spans="7:23">
      <c r="G250" s="212" t="str">
        <f t="shared" si="27"/>
        <v>0x000</v>
      </c>
      <c r="H250" s="212">
        <f t="shared" si="26"/>
        <v>72</v>
      </c>
      <c r="I250" s="212" t="str">
        <f t="shared" si="28"/>
        <v>0x48</v>
      </c>
      <c r="V250" s="212" t="str">
        <f t="shared" si="24"/>
        <v>1600_7F6A</v>
      </c>
      <c r="W250">
        <v>362</v>
      </c>
    </row>
    <row r="251" spans="7:23">
      <c r="G251" s="212" t="str">
        <f t="shared" si="27"/>
        <v>0x000</v>
      </c>
      <c r="H251" s="212">
        <f t="shared" si="26"/>
        <v>17</v>
      </c>
      <c r="I251" s="212" t="str">
        <f t="shared" si="28"/>
        <v>0x11</v>
      </c>
      <c r="V251" s="212" t="str">
        <f t="shared" ref="V251:V314" si="29">"1600_"&amp;DEC2HEX((Y$3*X$3 + W251),4)</f>
        <v>1600_7F6B</v>
      </c>
      <c r="W251">
        <v>363</v>
      </c>
    </row>
    <row r="252" spans="7:23">
      <c r="G252" s="212" t="str">
        <f t="shared" si="27"/>
        <v>0x000</v>
      </c>
      <c r="H252" s="212">
        <f t="shared" si="26"/>
        <v>34</v>
      </c>
      <c r="I252" s="212" t="str">
        <f t="shared" si="28"/>
        <v>0x22</v>
      </c>
      <c r="V252" s="212" t="str">
        <f t="shared" si="29"/>
        <v>1600_7F6C</v>
      </c>
      <c r="W252">
        <v>364</v>
      </c>
    </row>
    <row r="253" spans="7:23">
      <c r="G253" s="212" t="str">
        <f t="shared" si="27"/>
        <v>0x000</v>
      </c>
      <c r="H253" s="212">
        <f t="shared" si="26"/>
        <v>68</v>
      </c>
      <c r="I253" s="212" t="str">
        <f t="shared" si="28"/>
        <v>0x44</v>
      </c>
      <c r="V253" s="212" t="str">
        <f t="shared" si="29"/>
        <v>1600_7F6D</v>
      </c>
      <c r="W253">
        <v>365</v>
      </c>
    </row>
    <row r="254" spans="7:23">
      <c r="G254" s="212" t="str">
        <f t="shared" si="27"/>
        <v>0x000</v>
      </c>
      <c r="H254" s="212">
        <f t="shared" si="26"/>
        <v>9</v>
      </c>
      <c r="I254" s="212" t="str">
        <f t="shared" si="28"/>
        <v>0x09</v>
      </c>
      <c r="V254" s="212" t="str">
        <f t="shared" si="29"/>
        <v>1600_7F6E</v>
      </c>
      <c r="W254">
        <v>366</v>
      </c>
    </row>
    <row r="255" spans="7:23">
      <c r="G255" s="212" t="str">
        <f t="shared" si="27"/>
        <v>0x000</v>
      </c>
      <c r="H255" s="212">
        <f t="shared" si="26"/>
        <v>18</v>
      </c>
      <c r="I255" s="212" t="str">
        <f t="shared" si="28"/>
        <v>0x12</v>
      </c>
      <c r="V255" s="212" t="str">
        <f t="shared" si="29"/>
        <v>1600_7F6F</v>
      </c>
      <c r="W255">
        <v>367</v>
      </c>
    </row>
    <row r="256" spans="7:23">
      <c r="G256" s="212" t="str">
        <f t="shared" si="27"/>
        <v>0x000</v>
      </c>
      <c r="H256" s="212">
        <f t="shared" si="26"/>
        <v>36</v>
      </c>
      <c r="I256" s="212" t="str">
        <f t="shared" si="28"/>
        <v>0x24</v>
      </c>
      <c r="V256" s="212" t="str">
        <f t="shared" si="29"/>
        <v>1600_7F70</v>
      </c>
      <c r="W256">
        <v>368</v>
      </c>
    </row>
    <row r="257" spans="7:23">
      <c r="G257" s="212" t="str">
        <f t="shared" si="27"/>
        <v>0x000</v>
      </c>
      <c r="H257" s="212">
        <f t="shared" si="26"/>
        <v>72</v>
      </c>
      <c r="I257" s="212" t="str">
        <f t="shared" si="28"/>
        <v>0x48</v>
      </c>
      <c r="V257" s="212" t="str">
        <f t="shared" si="29"/>
        <v>1600_7F71</v>
      </c>
      <c r="W257">
        <v>369</v>
      </c>
    </row>
    <row r="258" spans="7:23">
      <c r="G258" s="212" t="str">
        <f t="shared" si="27"/>
        <v>0x000</v>
      </c>
      <c r="H258" s="212">
        <f t="shared" si="26"/>
        <v>17</v>
      </c>
      <c r="I258" s="212" t="str">
        <f t="shared" si="28"/>
        <v>0x11</v>
      </c>
      <c r="V258" s="212" t="str">
        <f t="shared" si="29"/>
        <v>1600_7F72</v>
      </c>
      <c r="W258">
        <v>370</v>
      </c>
    </row>
    <row r="259" spans="7:23">
      <c r="G259" s="212" t="str">
        <f t="shared" si="27"/>
        <v>0x000</v>
      </c>
      <c r="H259" s="212">
        <f t="shared" si="26"/>
        <v>34</v>
      </c>
      <c r="I259" s="212" t="str">
        <f t="shared" si="28"/>
        <v>0x22</v>
      </c>
      <c r="V259" s="212" t="str">
        <f t="shared" si="29"/>
        <v>1600_7F73</v>
      </c>
      <c r="W259">
        <v>371</v>
      </c>
    </row>
    <row r="260" spans="7:23">
      <c r="G260" s="212" t="str">
        <f t="shared" si="27"/>
        <v>0x000</v>
      </c>
      <c r="H260" s="212">
        <f t="shared" si="26"/>
        <v>68</v>
      </c>
      <c r="I260" s="212" t="str">
        <f t="shared" si="28"/>
        <v>0x44</v>
      </c>
      <c r="V260" s="212" t="str">
        <f t="shared" si="29"/>
        <v>1600_7F74</v>
      </c>
      <c r="W260">
        <v>372</v>
      </c>
    </row>
    <row r="261" spans="7:23">
      <c r="G261" s="212" t="str">
        <f t="shared" si="27"/>
        <v>0x000</v>
      </c>
      <c r="H261" s="212">
        <f t="shared" si="26"/>
        <v>9</v>
      </c>
      <c r="I261" s="212" t="str">
        <f t="shared" si="28"/>
        <v>0x09</v>
      </c>
      <c r="V261" s="212" t="str">
        <f t="shared" si="29"/>
        <v>1600_7F75</v>
      </c>
      <c r="W261">
        <v>373</v>
      </c>
    </row>
    <row r="262" spans="7:23">
      <c r="G262" s="212" t="str">
        <f t="shared" si="27"/>
        <v>0x000</v>
      </c>
      <c r="H262" s="212">
        <f t="shared" si="26"/>
        <v>18</v>
      </c>
      <c r="I262" s="212" t="str">
        <f t="shared" si="28"/>
        <v>0x12</v>
      </c>
      <c r="V262" s="212" t="str">
        <f t="shared" si="29"/>
        <v>1600_7F76</v>
      </c>
      <c r="W262">
        <v>374</v>
      </c>
    </row>
    <row r="263" spans="7:23">
      <c r="G263" s="212" t="str">
        <f t="shared" si="27"/>
        <v>0x000</v>
      </c>
      <c r="H263" s="212">
        <f t="shared" si="26"/>
        <v>36</v>
      </c>
      <c r="I263" s="212" t="str">
        <f t="shared" si="28"/>
        <v>0x24</v>
      </c>
      <c r="V263" s="212" t="str">
        <f t="shared" si="29"/>
        <v>1600_7F77</v>
      </c>
      <c r="W263">
        <v>375</v>
      </c>
    </row>
    <row r="264" spans="7:23">
      <c r="G264" s="212" t="str">
        <f t="shared" si="27"/>
        <v>0x000</v>
      </c>
      <c r="H264" s="212">
        <f t="shared" si="26"/>
        <v>72</v>
      </c>
      <c r="I264" s="212" t="str">
        <f t="shared" si="28"/>
        <v>0x48</v>
      </c>
      <c r="V264" s="212" t="str">
        <f t="shared" si="29"/>
        <v>1600_7F78</v>
      </c>
      <c r="W264">
        <v>376</v>
      </c>
    </row>
    <row r="265" spans="7:23">
      <c r="G265" s="212" t="str">
        <f t="shared" si="27"/>
        <v>0x000</v>
      </c>
      <c r="H265" s="212">
        <f t="shared" si="26"/>
        <v>17</v>
      </c>
      <c r="I265" s="212" t="str">
        <f t="shared" si="28"/>
        <v>0x11</v>
      </c>
      <c r="V265" s="212" t="str">
        <f t="shared" si="29"/>
        <v>1600_7F79</v>
      </c>
      <c r="W265">
        <v>377</v>
      </c>
    </row>
    <row r="266" spans="7:23">
      <c r="G266" s="212" t="str">
        <f t="shared" si="27"/>
        <v>0x000</v>
      </c>
      <c r="H266" s="212">
        <f t="shared" ref="H266:H329" si="30">MOD((HEX2DEC(RIGHT(E266,2)) + H265*2),127)</f>
        <v>34</v>
      </c>
      <c r="I266" s="212" t="str">
        <f t="shared" si="28"/>
        <v>0x22</v>
      </c>
      <c r="V266" s="212" t="str">
        <f t="shared" si="29"/>
        <v>1600_7F7A</v>
      </c>
      <c r="W266">
        <v>378</v>
      </c>
    </row>
    <row r="267" spans="7:23">
      <c r="G267" s="212" t="str">
        <f t="shared" si="27"/>
        <v>0x000</v>
      </c>
      <c r="H267" s="212">
        <f t="shared" si="30"/>
        <v>68</v>
      </c>
      <c r="I267" s="212" t="str">
        <f t="shared" si="28"/>
        <v>0x44</v>
      </c>
      <c r="V267" s="212" t="str">
        <f t="shared" si="29"/>
        <v>1600_7F7B</v>
      </c>
      <c r="W267">
        <v>379</v>
      </c>
    </row>
    <row r="268" spans="7:23">
      <c r="G268" s="212" t="str">
        <f t="shared" si="27"/>
        <v>0x000</v>
      </c>
      <c r="H268" s="212">
        <f t="shared" si="30"/>
        <v>9</v>
      </c>
      <c r="I268" s="212" t="str">
        <f t="shared" si="28"/>
        <v>0x09</v>
      </c>
      <c r="V268" s="212" t="str">
        <f t="shared" si="29"/>
        <v>1600_7F7C</v>
      </c>
      <c r="W268">
        <v>380</v>
      </c>
    </row>
    <row r="269" spans="7:23">
      <c r="G269" s="212" t="str">
        <f t="shared" si="27"/>
        <v>0x000</v>
      </c>
      <c r="H269" s="212">
        <f t="shared" si="30"/>
        <v>18</v>
      </c>
      <c r="I269" s="212" t="str">
        <f t="shared" si="28"/>
        <v>0x12</v>
      </c>
      <c r="V269" s="212" t="str">
        <f t="shared" si="29"/>
        <v>1600_7F7D</v>
      </c>
      <c r="W269">
        <v>381</v>
      </c>
    </row>
    <row r="270" spans="7:23">
      <c r="G270" s="212" t="str">
        <f t="shared" si="27"/>
        <v>0x000</v>
      </c>
      <c r="H270" s="212">
        <f t="shared" si="30"/>
        <v>36</v>
      </c>
      <c r="I270" s="212" t="str">
        <f t="shared" si="28"/>
        <v>0x24</v>
      </c>
      <c r="V270" s="212" t="str">
        <f t="shared" si="29"/>
        <v>1600_7F7E</v>
      </c>
      <c r="W270">
        <v>382</v>
      </c>
    </row>
    <row r="271" spans="7:23">
      <c r="G271" s="212" t="str">
        <f t="shared" si="27"/>
        <v>0x000</v>
      </c>
      <c r="H271" s="212">
        <f t="shared" si="30"/>
        <v>72</v>
      </c>
      <c r="I271" s="212" t="str">
        <f t="shared" si="28"/>
        <v>0x48</v>
      </c>
      <c r="V271" s="212" t="str">
        <f t="shared" si="29"/>
        <v>1600_7F7F</v>
      </c>
      <c r="W271">
        <v>383</v>
      </c>
    </row>
    <row r="272" spans="7:23">
      <c r="G272" s="212" t="str">
        <f t="shared" si="27"/>
        <v>0x000</v>
      </c>
      <c r="H272" s="212">
        <f t="shared" si="30"/>
        <v>17</v>
      </c>
      <c r="I272" s="212" t="str">
        <f t="shared" si="28"/>
        <v>0x11</v>
      </c>
      <c r="V272" s="212" t="str">
        <f t="shared" si="29"/>
        <v>1600_7F80</v>
      </c>
      <c r="W272">
        <v>384</v>
      </c>
    </row>
    <row r="273" spans="7:23">
      <c r="G273" s="212" t="str">
        <f t="shared" si="27"/>
        <v>0x000</v>
      </c>
      <c r="H273" s="212">
        <f t="shared" si="30"/>
        <v>34</v>
      </c>
      <c r="I273" s="212" t="str">
        <f t="shared" si="28"/>
        <v>0x22</v>
      </c>
      <c r="V273" s="212" t="str">
        <f t="shared" si="29"/>
        <v>1600_7F81</v>
      </c>
      <c r="W273">
        <v>385</v>
      </c>
    </row>
    <row r="274" spans="7:23">
      <c r="G274" s="212" t="str">
        <f t="shared" si="27"/>
        <v>0x000</v>
      </c>
      <c r="H274" s="212">
        <f t="shared" si="30"/>
        <v>68</v>
      </c>
      <c r="I274" s="212" t="str">
        <f t="shared" si="28"/>
        <v>0x44</v>
      </c>
      <c r="V274" s="212" t="str">
        <f t="shared" si="29"/>
        <v>1600_7F82</v>
      </c>
      <c r="W274">
        <v>386</v>
      </c>
    </row>
    <row r="275" spans="7:23">
      <c r="G275" s="212" t="str">
        <f t="shared" si="27"/>
        <v>0x000</v>
      </c>
      <c r="H275" s="212">
        <f t="shared" si="30"/>
        <v>9</v>
      </c>
      <c r="I275" s="212" t="str">
        <f t="shared" si="28"/>
        <v>0x09</v>
      </c>
      <c r="V275" s="212" t="str">
        <f t="shared" si="29"/>
        <v>1600_7F83</v>
      </c>
      <c r="W275">
        <v>387</v>
      </c>
    </row>
    <row r="276" spans="7:23">
      <c r="G276" s="212" t="str">
        <f t="shared" si="27"/>
        <v>0x000</v>
      </c>
      <c r="H276" s="212">
        <f t="shared" si="30"/>
        <v>18</v>
      </c>
      <c r="I276" s="212" t="str">
        <f t="shared" si="28"/>
        <v>0x12</v>
      </c>
      <c r="V276" s="212" t="str">
        <f t="shared" si="29"/>
        <v>1600_7F84</v>
      </c>
      <c r="W276">
        <v>388</v>
      </c>
    </row>
    <row r="277" spans="7:23">
      <c r="G277" s="212" t="str">
        <f t="shared" si="27"/>
        <v>0x000</v>
      </c>
      <c r="H277" s="212">
        <f t="shared" si="30"/>
        <v>36</v>
      </c>
      <c r="I277" s="212" t="str">
        <f t="shared" si="28"/>
        <v>0x24</v>
      </c>
      <c r="V277" s="212" t="str">
        <f t="shared" si="29"/>
        <v>1600_7F85</v>
      </c>
      <c r="W277">
        <v>389</v>
      </c>
    </row>
    <row r="278" spans="7:23">
      <c r="G278" s="212" t="str">
        <f t="shared" si="27"/>
        <v>0x000</v>
      </c>
      <c r="H278" s="212">
        <f t="shared" si="30"/>
        <v>72</v>
      </c>
      <c r="I278" s="212" t="str">
        <f t="shared" si="28"/>
        <v>0x48</v>
      </c>
      <c r="V278" s="212" t="str">
        <f t="shared" si="29"/>
        <v>1600_7F86</v>
      </c>
      <c r="W278">
        <v>390</v>
      </c>
    </row>
    <row r="279" spans="7:23">
      <c r="G279" s="212" t="str">
        <f t="shared" si="27"/>
        <v>0x000</v>
      </c>
      <c r="H279" s="212">
        <f t="shared" si="30"/>
        <v>17</v>
      </c>
      <c r="I279" s="212" t="str">
        <f t="shared" si="28"/>
        <v>0x11</v>
      </c>
      <c r="V279" s="212" t="str">
        <f t="shared" si="29"/>
        <v>1600_7F87</v>
      </c>
      <c r="W279">
        <v>391</v>
      </c>
    </row>
    <row r="280" spans="7:23">
      <c r="G280" s="212" t="str">
        <f t="shared" si="27"/>
        <v>0x000</v>
      </c>
      <c r="H280" s="212">
        <f t="shared" si="30"/>
        <v>34</v>
      </c>
      <c r="I280" s="212" t="str">
        <f t="shared" si="28"/>
        <v>0x22</v>
      </c>
      <c r="V280" s="212" t="str">
        <f t="shared" si="29"/>
        <v>1600_7F88</v>
      </c>
      <c r="W280">
        <v>392</v>
      </c>
    </row>
    <row r="281" spans="7:23">
      <c r="G281" s="212" t="str">
        <f t="shared" si="27"/>
        <v>0x000</v>
      </c>
      <c r="H281" s="212">
        <f t="shared" si="30"/>
        <v>68</v>
      </c>
      <c r="I281" s="212" t="str">
        <f t="shared" si="28"/>
        <v>0x44</v>
      </c>
      <c r="V281" s="212" t="str">
        <f t="shared" si="29"/>
        <v>1600_7F89</v>
      </c>
      <c r="W281">
        <v>393</v>
      </c>
    </row>
    <row r="282" spans="7:23">
      <c r="G282" s="212" t="str">
        <f t="shared" si="27"/>
        <v>0x000</v>
      </c>
      <c r="H282" s="212">
        <f t="shared" si="30"/>
        <v>9</v>
      </c>
      <c r="I282" s="212" t="str">
        <f t="shared" si="28"/>
        <v>0x09</v>
      </c>
      <c r="V282" s="212" t="str">
        <f t="shared" si="29"/>
        <v>1600_7F8A</v>
      </c>
      <c r="W282">
        <v>394</v>
      </c>
    </row>
    <row r="283" spans="7:23">
      <c r="G283" s="212" t="str">
        <f t="shared" si="27"/>
        <v>0x000</v>
      </c>
      <c r="H283" s="212">
        <f t="shared" si="30"/>
        <v>18</v>
      </c>
      <c r="I283" s="212" t="str">
        <f t="shared" si="28"/>
        <v>0x12</v>
      </c>
      <c r="V283" s="212" t="str">
        <f t="shared" si="29"/>
        <v>1600_7F8B</v>
      </c>
      <c r="W283">
        <v>395</v>
      </c>
    </row>
    <row r="284" spans="7:23">
      <c r="G284" s="212" t="str">
        <f t="shared" si="27"/>
        <v>0x000</v>
      </c>
      <c r="H284" s="212">
        <f t="shared" si="30"/>
        <v>36</v>
      </c>
      <c r="I284" s="212" t="str">
        <f t="shared" si="28"/>
        <v>0x24</v>
      </c>
      <c r="V284" s="212" t="str">
        <f t="shared" si="29"/>
        <v>1600_7F8C</v>
      </c>
      <c r="W284">
        <v>396</v>
      </c>
    </row>
    <row r="285" spans="7:23">
      <c r="G285" s="212" t="str">
        <f t="shared" si="27"/>
        <v>0x000</v>
      </c>
      <c r="H285" s="212">
        <f t="shared" si="30"/>
        <v>72</v>
      </c>
      <c r="I285" s="212" t="str">
        <f t="shared" si="28"/>
        <v>0x48</v>
      </c>
      <c r="V285" s="212" t="str">
        <f t="shared" si="29"/>
        <v>1600_7F8D</v>
      </c>
      <c r="W285">
        <v>397</v>
      </c>
    </row>
    <row r="286" spans="7:23">
      <c r="G286" s="212" t="str">
        <f t="shared" si="27"/>
        <v>0x000</v>
      </c>
      <c r="H286" s="212">
        <f t="shared" si="30"/>
        <v>17</v>
      </c>
      <c r="I286" s="212" t="str">
        <f t="shared" si="28"/>
        <v>0x11</v>
      </c>
      <c r="V286" s="212" t="str">
        <f t="shared" si="29"/>
        <v>1600_7F8E</v>
      </c>
      <c r="W286">
        <v>398</v>
      </c>
    </row>
    <row r="287" spans="7:23">
      <c r="G287" s="212" t="str">
        <f t="shared" si="27"/>
        <v>0x000</v>
      </c>
      <c r="H287" s="212">
        <f t="shared" si="30"/>
        <v>34</v>
      </c>
      <c r="I287" s="212" t="str">
        <f t="shared" si="28"/>
        <v>0x22</v>
      </c>
      <c r="V287" s="212" t="str">
        <f t="shared" si="29"/>
        <v>1600_7F8F</v>
      </c>
      <c r="W287">
        <v>399</v>
      </c>
    </row>
    <row r="288" spans="7:23">
      <c r="G288" s="212" t="str">
        <f t="shared" si="27"/>
        <v>0x000</v>
      </c>
      <c r="H288" s="212">
        <f t="shared" si="30"/>
        <v>68</v>
      </c>
      <c r="I288" s="212" t="str">
        <f t="shared" si="28"/>
        <v>0x44</v>
      </c>
      <c r="V288" s="212" t="str">
        <f t="shared" si="29"/>
        <v>1600_7F90</v>
      </c>
      <c r="W288">
        <v>400</v>
      </c>
    </row>
    <row r="289" spans="7:23">
      <c r="G289" s="212" t="str">
        <f t="shared" si="27"/>
        <v>0x000</v>
      </c>
      <c r="H289" s="212">
        <f t="shared" si="30"/>
        <v>9</v>
      </c>
      <c r="I289" s="212" t="str">
        <f t="shared" si="28"/>
        <v>0x09</v>
      </c>
      <c r="V289" s="212" t="str">
        <f t="shared" si="29"/>
        <v>1600_7F91</v>
      </c>
      <c r="W289">
        <v>401</v>
      </c>
    </row>
    <row r="290" spans="7:23">
      <c r="G290" s="212" t="str">
        <f t="shared" si="27"/>
        <v>0x000</v>
      </c>
      <c r="H290" s="212">
        <f t="shared" si="30"/>
        <v>18</v>
      </c>
      <c r="I290" s="212" t="str">
        <f t="shared" si="28"/>
        <v>0x12</v>
      </c>
      <c r="V290" s="212" t="str">
        <f t="shared" si="29"/>
        <v>1600_7F92</v>
      </c>
      <c r="W290">
        <v>402</v>
      </c>
    </row>
    <row r="291" spans="7:23">
      <c r="G291" s="212" t="str">
        <f t="shared" si="27"/>
        <v>0x000</v>
      </c>
      <c r="H291" s="212">
        <f t="shared" si="30"/>
        <v>36</v>
      </c>
      <c r="I291" s="212" t="str">
        <f t="shared" si="28"/>
        <v>0x24</v>
      </c>
      <c r="V291" s="212" t="str">
        <f t="shared" si="29"/>
        <v>1600_7F93</v>
      </c>
      <c r="W291">
        <v>403</v>
      </c>
    </row>
    <row r="292" spans="7:23">
      <c r="G292" s="212" t="str">
        <f t="shared" si="27"/>
        <v>0x000</v>
      </c>
      <c r="H292" s="212">
        <f t="shared" si="30"/>
        <v>72</v>
      </c>
      <c r="I292" s="212" t="str">
        <f t="shared" si="28"/>
        <v>0x48</v>
      </c>
      <c r="V292" s="212" t="str">
        <f t="shared" si="29"/>
        <v>1600_7F94</v>
      </c>
      <c r="W292">
        <v>404</v>
      </c>
    </row>
    <row r="293" spans="7:23">
      <c r="G293" s="212" t="str">
        <f t="shared" si="27"/>
        <v>0x000</v>
      </c>
      <c r="H293" s="212">
        <f t="shared" si="30"/>
        <v>17</v>
      </c>
      <c r="I293" s="212" t="str">
        <f t="shared" si="28"/>
        <v>0x11</v>
      </c>
      <c r="V293" s="212" t="str">
        <f t="shared" si="29"/>
        <v>1600_7F95</v>
      </c>
      <c r="W293">
        <v>405</v>
      </c>
    </row>
    <row r="294" spans="7:23">
      <c r="G294" s="212" t="str">
        <f t="shared" si="27"/>
        <v>0x000</v>
      </c>
      <c r="H294" s="212">
        <f t="shared" si="30"/>
        <v>34</v>
      </c>
      <c r="I294" s="212" t="str">
        <f t="shared" si="28"/>
        <v>0x22</v>
      </c>
      <c r="V294" s="212" t="str">
        <f t="shared" si="29"/>
        <v>1600_7F96</v>
      </c>
      <c r="W294">
        <v>406</v>
      </c>
    </row>
    <row r="295" spans="7:23">
      <c r="G295" s="212" t="str">
        <f t="shared" si="27"/>
        <v>0x000</v>
      </c>
      <c r="H295" s="212">
        <f t="shared" si="30"/>
        <v>68</v>
      </c>
      <c r="I295" s="212" t="str">
        <f t="shared" si="28"/>
        <v>0x44</v>
      </c>
      <c r="V295" s="212" t="str">
        <f t="shared" si="29"/>
        <v>1600_7F97</v>
      </c>
      <c r="W295">
        <v>407</v>
      </c>
    </row>
    <row r="296" spans="7:23">
      <c r="G296" s="212" t="str">
        <f t="shared" si="27"/>
        <v>0x000</v>
      </c>
      <c r="H296" s="212">
        <f t="shared" si="30"/>
        <v>9</v>
      </c>
      <c r="I296" s="212" t="str">
        <f t="shared" si="28"/>
        <v>0x09</v>
      </c>
      <c r="V296" s="212" t="str">
        <f t="shared" si="29"/>
        <v>1600_7F98</v>
      </c>
      <c r="W296">
        <v>408</v>
      </c>
    </row>
    <row r="297" spans="7:23">
      <c r="G297" s="212" t="str">
        <f t="shared" si="27"/>
        <v>0x000</v>
      </c>
      <c r="H297" s="212">
        <f t="shared" si="30"/>
        <v>18</v>
      </c>
      <c r="I297" s="212" t="str">
        <f t="shared" si="28"/>
        <v>0x12</v>
      </c>
      <c r="V297" s="212" t="str">
        <f t="shared" si="29"/>
        <v>1600_7F99</v>
      </c>
      <c r="W297">
        <v>409</v>
      </c>
    </row>
    <row r="298" spans="7:23">
      <c r="G298" s="212" t="str">
        <f t="shared" si="27"/>
        <v>0x000</v>
      </c>
      <c r="H298" s="212">
        <f t="shared" si="30"/>
        <v>36</v>
      </c>
      <c r="I298" s="212" t="str">
        <f t="shared" si="28"/>
        <v>0x24</v>
      </c>
      <c r="V298" s="212" t="str">
        <f t="shared" si="29"/>
        <v>1600_7F9A</v>
      </c>
      <c r="W298">
        <v>410</v>
      </c>
    </row>
    <row r="299" spans="7:23">
      <c r="G299" s="212" t="str">
        <f t="shared" si="27"/>
        <v>0x000</v>
      </c>
      <c r="H299" s="212">
        <f t="shared" si="30"/>
        <v>72</v>
      </c>
      <c r="I299" s="212" t="str">
        <f t="shared" si="28"/>
        <v>0x48</v>
      </c>
      <c r="V299" s="212" t="str">
        <f t="shared" si="29"/>
        <v>1600_7F9B</v>
      </c>
      <c r="W299">
        <v>411</v>
      </c>
    </row>
    <row r="300" spans="7:23">
      <c r="G300" s="212" t="str">
        <f t="shared" ref="G300:G363" si="31">"0x"&amp;DEC2HEX(F300,3)</f>
        <v>0x000</v>
      </c>
      <c r="H300" s="212">
        <f t="shared" si="30"/>
        <v>17</v>
      </c>
      <c r="I300" s="212" t="str">
        <f t="shared" ref="I300:I363" si="32">"0x"&amp;DEC2HEX(H300,2)</f>
        <v>0x11</v>
      </c>
      <c r="V300" s="212" t="str">
        <f t="shared" si="29"/>
        <v>1600_7F9C</v>
      </c>
      <c r="W300">
        <v>412</v>
      </c>
    </row>
    <row r="301" spans="7:23">
      <c r="G301" s="212" t="str">
        <f t="shared" si="31"/>
        <v>0x000</v>
      </c>
      <c r="H301" s="212">
        <f t="shared" si="30"/>
        <v>34</v>
      </c>
      <c r="I301" s="212" t="str">
        <f t="shared" si="32"/>
        <v>0x22</v>
      </c>
      <c r="V301" s="212" t="str">
        <f t="shared" si="29"/>
        <v>1600_7F9D</v>
      </c>
      <c r="W301">
        <v>413</v>
      </c>
    </row>
    <row r="302" spans="7:23">
      <c r="G302" s="212" t="str">
        <f t="shared" si="31"/>
        <v>0x000</v>
      </c>
      <c r="H302" s="212">
        <f t="shared" si="30"/>
        <v>68</v>
      </c>
      <c r="I302" s="212" t="str">
        <f t="shared" si="32"/>
        <v>0x44</v>
      </c>
      <c r="V302" s="212" t="str">
        <f t="shared" si="29"/>
        <v>1600_7F9E</v>
      </c>
      <c r="W302">
        <v>414</v>
      </c>
    </row>
    <row r="303" spans="7:23">
      <c r="G303" s="212" t="str">
        <f t="shared" si="31"/>
        <v>0x000</v>
      </c>
      <c r="H303" s="212">
        <f t="shared" si="30"/>
        <v>9</v>
      </c>
      <c r="I303" s="212" t="str">
        <f t="shared" si="32"/>
        <v>0x09</v>
      </c>
      <c r="V303" s="212" t="str">
        <f t="shared" si="29"/>
        <v>1600_7F9F</v>
      </c>
      <c r="W303">
        <v>415</v>
      </c>
    </row>
    <row r="304" spans="7:23">
      <c r="G304" s="212" t="str">
        <f t="shared" si="31"/>
        <v>0x000</v>
      </c>
      <c r="H304" s="212">
        <f t="shared" si="30"/>
        <v>18</v>
      </c>
      <c r="I304" s="212" t="str">
        <f t="shared" si="32"/>
        <v>0x12</v>
      </c>
      <c r="V304" s="212" t="str">
        <f t="shared" si="29"/>
        <v>1600_7FA0</v>
      </c>
      <c r="W304">
        <v>416</v>
      </c>
    </row>
    <row r="305" spans="7:23">
      <c r="G305" s="212" t="str">
        <f t="shared" si="31"/>
        <v>0x000</v>
      </c>
      <c r="H305" s="212">
        <f t="shared" si="30"/>
        <v>36</v>
      </c>
      <c r="I305" s="212" t="str">
        <f t="shared" si="32"/>
        <v>0x24</v>
      </c>
      <c r="V305" s="212" t="str">
        <f t="shared" si="29"/>
        <v>1600_7FA1</v>
      </c>
      <c r="W305">
        <v>417</v>
      </c>
    </row>
    <row r="306" spans="7:23">
      <c r="G306" s="212" t="str">
        <f t="shared" si="31"/>
        <v>0x000</v>
      </c>
      <c r="H306" s="212">
        <f t="shared" si="30"/>
        <v>72</v>
      </c>
      <c r="I306" s="212" t="str">
        <f t="shared" si="32"/>
        <v>0x48</v>
      </c>
      <c r="V306" s="212" t="str">
        <f t="shared" si="29"/>
        <v>1600_7FA2</v>
      </c>
      <c r="W306">
        <v>418</v>
      </c>
    </row>
    <row r="307" spans="7:23">
      <c r="G307" s="212" t="str">
        <f t="shared" si="31"/>
        <v>0x000</v>
      </c>
      <c r="H307" s="212">
        <f t="shared" si="30"/>
        <v>17</v>
      </c>
      <c r="I307" s="212" t="str">
        <f t="shared" si="32"/>
        <v>0x11</v>
      </c>
      <c r="V307" s="212" t="str">
        <f t="shared" si="29"/>
        <v>1600_7FA3</v>
      </c>
      <c r="W307">
        <v>419</v>
      </c>
    </row>
    <row r="308" spans="7:23">
      <c r="G308" s="212" t="str">
        <f t="shared" si="31"/>
        <v>0x000</v>
      </c>
      <c r="H308" s="212">
        <f t="shared" si="30"/>
        <v>34</v>
      </c>
      <c r="I308" s="212" t="str">
        <f t="shared" si="32"/>
        <v>0x22</v>
      </c>
      <c r="V308" s="212" t="str">
        <f t="shared" si="29"/>
        <v>1600_7FA4</v>
      </c>
      <c r="W308">
        <v>420</v>
      </c>
    </row>
    <row r="309" spans="7:23">
      <c r="G309" s="212" t="str">
        <f t="shared" si="31"/>
        <v>0x000</v>
      </c>
      <c r="H309" s="212">
        <f t="shared" si="30"/>
        <v>68</v>
      </c>
      <c r="I309" s="212" t="str">
        <f t="shared" si="32"/>
        <v>0x44</v>
      </c>
      <c r="V309" s="212" t="str">
        <f t="shared" si="29"/>
        <v>1600_7FA5</v>
      </c>
      <c r="W309">
        <v>421</v>
      </c>
    </row>
    <row r="310" spans="7:23">
      <c r="G310" s="212" t="str">
        <f t="shared" si="31"/>
        <v>0x000</v>
      </c>
      <c r="H310" s="212">
        <f t="shared" si="30"/>
        <v>9</v>
      </c>
      <c r="I310" s="212" t="str">
        <f t="shared" si="32"/>
        <v>0x09</v>
      </c>
      <c r="V310" s="212" t="str">
        <f t="shared" si="29"/>
        <v>1600_7FA6</v>
      </c>
      <c r="W310">
        <v>422</v>
      </c>
    </row>
    <row r="311" spans="7:23">
      <c r="G311" s="212" t="str">
        <f t="shared" si="31"/>
        <v>0x000</v>
      </c>
      <c r="H311" s="212">
        <f t="shared" si="30"/>
        <v>18</v>
      </c>
      <c r="I311" s="212" t="str">
        <f t="shared" si="32"/>
        <v>0x12</v>
      </c>
      <c r="V311" s="212" t="str">
        <f t="shared" si="29"/>
        <v>1600_7FA7</v>
      </c>
      <c r="W311">
        <v>423</v>
      </c>
    </row>
    <row r="312" spans="7:23">
      <c r="G312" s="212" t="str">
        <f t="shared" si="31"/>
        <v>0x000</v>
      </c>
      <c r="H312" s="212">
        <f t="shared" si="30"/>
        <v>36</v>
      </c>
      <c r="I312" s="212" t="str">
        <f t="shared" si="32"/>
        <v>0x24</v>
      </c>
      <c r="V312" s="212" t="str">
        <f t="shared" si="29"/>
        <v>1600_7FA8</v>
      </c>
      <c r="W312">
        <v>424</v>
      </c>
    </row>
    <row r="313" spans="7:23">
      <c r="G313" s="212" t="str">
        <f t="shared" si="31"/>
        <v>0x000</v>
      </c>
      <c r="H313" s="212">
        <f t="shared" si="30"/>
        <v>72</v>
      </c>
      <c r="I313" s="212" t="str">
        <f t="shared" si="32"/>
        <v>0x48</v>
      </c>
      <c r="V313" s="212" t="str">
        <f t="shared" si="29"/>
        <v>1600_7FA9</v>
      </c>
      <c r="W313">
        <v>425</v>
      </c>
    </row>
    <row r="314" spans="7:23">
      <c r="G314" s="212" t="str">
        <f t="shared" si="31"/>
        <v>0x000</v>
      </c>
      <c r="H314" s="212">
        <f t="shared" si="30"/>
        <v>17</v>
      </c>
      <c r="I314" s="212" t="str">
        <f t="shared" si="32"/>
        <v>0x11</v>
      </c>
      <c r="V314" s="212" t="str">
        <f t="shared" si="29"/>
        <v>1600_7FAA</v>
      </c>
      <c r="W314">
        <v>426</v>
      </c>
    </row>
    <row r="315" spans="7:23">
      <c r="G315" s="212" t="str">
        <f t="shared" si="31"/>
        <v>0x000</v>
      </c>
      <c r="H315" s="212">
        <f t="shared" si="30"/>
        <v>34</v>
      </c>
      <c r="I315" s="212" t="str">
        <f t="shared" si="32"/>
        <v>0x22</v>
      </c>
      <c r="V315" s="212" t="str">
        <f t="shared" ref="V315:V378" si="33">"1600_"&amp;DEC2HEX((Y$3*X$3 + W315),4)</f>
        <v>1600_7FAB</v>
      </c>
      <c r="W315">
        <v>427</v>
      </c>
    </row>
    <row r="316" spans="7:23">
      <c r="G316" s="212" t="str">
        <f t="shared" si="31"/>
        <v>0x000</v>
      </c>
      <c r="H316" s="212">
        <f t="shared" si="30"/>
        <v>68</v>
      </c>
      <c r="I316" s="212" t="str">
        <f t="shared" si="32"/>
        <v>0x44</v>
      </c>
      <c r="V316" s="212" t="str">
        <f t="shared" si="33"/>
        <v>1600_7FAC</v>
      </c>
      <c r="W316">
        <v>428</v>
      </c>
    </row>
    <row r="317" spans="7:23">
      <c r="G317" s="212" t="str">
        <f t="shared" si="31"/>
        <v>0x000</v>
      </c>
      <c r="H317" s="212">
        <f t="shared" si="30"/>
        <v>9</v>
      </c>
      <c r="I317" s="212" t="str">
        <f t="shared" si="32"/>
        <v>0x09</v>
      </c>
      <c r="V317" s="212" t="str">
        <f t="shared" si="33"/>
        <v>1600_7FAD</v>
      </c>
      <c r="W317">
        <v>429</v>
      </c>
    </row>
    <row r="318" spans="7:23">
      <c r="G318" s="212" t="str">
        <f t="shared" si="31"/>
        <v>0x000</v>
      </c>
      <c r="H318" s="212">
        <f t="shared" si="30"/>
        <v>18</v>
      </c>
      <c r="I318" s="212" t="str">
        <f t="shared" si="32"/>
        <v>0x12</v>
      </c>
      <c r="V318" s="212" t="str">
        <f t="shared" si="33"/>
        <v>1600_7FAE</v>
      </c>
      <c r="W318">
        <v>430</v>
      </c>
    </row>
    <row r="319" spans="7:23">
      <c r="G319" s="212" t="str">
        <f t="shared" si="31"/>
        <v>0x000</v>
      </c>
      <c r="H319" s="212">
        <f t="shared" si="30"/>
        <v>36</v>
      </c>
      <c r="I319" s="212" t="str">
        <f t="shared" si="32"/>
        <v>0x24</v>
      </c>
      <c r="V319" s="212" t="str">
        <f t="shared" si="33"/>
        <v>1600_7FAF</v>
      </c>
      <c r="W319">
        <v>431</v>
      </c>
    </row>
    <row r="320" spans="7:23">
      <c r="G320" s="212" t="str">
        <f t="shared" si="31"/>
        <v>0x000</v>
      </c>
      <c r="H320" s="212">
        <f t="shared" si="30"/>
        <v>72</v>
      </c>
      <c r="I320" s="212" t="str">
        <f t="shared" si="32"/>
        <v>0x48</v>
      </c>
      <c r="V320" s="212" t="str">
        <f t="shared" si="33"/>
        <v>1600_7FB0</v>
      </c>
      <c r="W320">
        <v>432</v>
      </c>
    </row>
    <row r="321" spans="7:23">
      <c r="G321" s="212" t="str">
        <f t="shared" si="31"/>
        <v>0x000</v>
      </c>
      <c r="H321" s="212">
        <f t="shared" si="30"/>
        <v>17</v>
      </c>
      <c r="I321" s="212" t="str">
        <f t="shared" si="32"/>
        <v>0x11</v>
      </c>
      <c r="V321" s="212" t="str">
        <f t="shared" si="33"/>
        <v>1600_7FB1</v>
      </c>
      <c r="W321">
        <v>433</v>
      </c>
    </row>
    <row r="322" spans="7:23">
      <c r="G322" s="212" t="str">
        <f t="shared" si="31"/>
        <v>0x000</v>
      </c>
      <c r="H322" s="212">
        <f t="shared" si="30"/>
        <v>34</v>
      </c>
      <c r="I322" s="212" t="str">
        <f t="shared" si="32"/>
        <v>0x22</v>
      </c>
      <c r="V322" s="212" t="str">
        <f t="shared" si="33"/>
        <v>1600_7FB2</v>
      </c>
      <c r="W322">
        <v>434</v>
      </c>
    </row>
    <row r="323" spans="7:23">
      <c r="G323" s="212" t="str">
        <f t="shared" si="31"/>
        <v>0x000</v>
      </c>
      <c r="H323" s="212">
        <f t="shared" si="30"/>
        <v>68</v>
      </c>
      <c r="I323" s="212" t="str">
        <f t="shared" si="32"/>
        <v>0x44</v>
      </c>
      <c r="V323" s="212" t="str">
        <f t="shared" si="33"/>
        <v>1600_7FB3</v>
      </c>
      <c r="W323">
        <v>435</v>
      </c>
    </row>
    <row r="324" spans="7:23">
      <c r="G324" s="212" t="str">
        <f t="shared" si="31"/>
        <v>0x000</v>
      </c>
      <c r="H324" s="212">
        <f t="shared" si="30"/>
        <v>9</v>
      </c>
      <c r="I324" s="212" t="str">
        <f t="shared" si="32"/>
        <v>0x09</v>
      </c>
      <c r="V324" s="212" t="str">
        <f t="shared" si="33"/>
        <v>1600_7FB4</v>
      </c>
      <c r="W324">
        <v>436</v>
      </c>
    </row>
    <row r="325" spans="7:23">
      <c r="G325" s="212" t="str">
        <f t="shared" si="31"/>
        <v>0x000</v>
      </c>
      <c r="H325" s="212">
        <f t="shared" si="30"/>
        <v>18</v>
      </c>
      <c r="I325" s="212" t="str">
        <f t="shared" si="32"/>
        <v>0x12</v>
      </c>
      <c r="V325" s="212" t="str">
        <f t="shared" si="33"/>
        <v>1600_7FB5</v>
      </c>
      <c r="W325">
        <v>437</v>
      </c>
    </row>
    <row r="326" spans="7:23">
      <c r="G326" s="212" t="str">
        <f t="shared" si="31"/>
        <v>0x000</v>
      </c>
      <c r="H326" s="212">
        <f t="shared" si="30"/>
        <v>36</v>
      </c>
      <c r="I326" s="212" t="str">
        <f t="shared" si="32"/>
        <v>0x24</v>
      </c>
      <c r="V326" s="212" t="str">
        <f t="shared" si="33"/>
        <v>1600_7FB6</v>
      </c>
      <c r="W326">
        <v>438</v>
      </c>
    </row>
    <row r="327" spans="7:23">
      <c r="G327" s="212" t="str">
        <f t="shared" si="31"/>
        <v>0x000</v>
      </c>
      <c r="H327" s="212">
        <f t="shared" si="30"/>
        <v>72</v>
      </c>
      <c r="I327" s="212" t="str">
        <f t="shared" si="32"/>
        <v>0x48</v>
      </c>
      <c r="V327" s="212" t="str">
        <f t="shared" si="33"/>
        <v>1600_7FB7</v>
      </c>
      <c r="W327">
        <v>439</v>
      </c>
    </row>
    <row r="328" spans="7:23">
      <c r="G328" s="212" t="str">
        <f t="shared" si="31"/>
        <v>0x000</v>
      </c>
      <c r="H328" s="212">
        <f t="shared" si="30"/>
        <v>17</v>
      </c>
      <c r="I328" s="212" t="str">
        <f t="shared" si="32"/>
        <v>0x11</v>
      </c>
      <c r="V328" s="212" t="str">
        <f t="shared" si="33"/>
        <v>1600_7FB8</v>
      </c>
      <c r="W328">
        <v>440</v>
      </c>
    </row>
    <row r="329" spans="7:23">
      <c r="G329" s="212" t="str">
        <f t="shared" si="31"/>
        <v>0x000</v>
      </c>
      <c r="H329" s="212">
        <f t="shared" si="30"/>
        <v>34</v>
      </c>
      <c r="I329" s="212" t="str">
        <f t="shared" si="32"/>
        <v>0x22</v>
      </c>
      <c r="V329" s="212" t="str">
        <f t="shared" si="33"/>
        <v>1600_7FB9</v>
      </c>
      <c r="W329">
        <v>441</v>
      </c>
    </row>
    <row r="330" spans="7:23">
      <c r="G330" s="212" t="str">
        <f t="shared" si="31"/>
        <v>0x000</v>
      </c>
      <c r="H330" s="212">
        <f t="shared" ref="H330:H393" si="34">MOD((HEX2DEC(RIGHT(E330,2)) + H329*2),127)</f>
        <v>68</v>
      </c>
      <c r="I330" s="212" t="str">
        <f t="shared" si="32"/>
        <v>0x44</v>
      </c>
      <c r="V330" s="212" t="str">
        <f t="shared" si="33"/>
        <v>1600_7FBA</v>
      </c>
      <c r="W330">
        <v>442</v>
      </c>
    </row>
    <row r="331" spans="7:23">
      <c r="G331" s="212" t="str">
        <f t="shared" si="31"/>
        <v>0x000</v>
      </c>
      <c r="H331" s="212">
        <f t="shared" si="34"/>
        <v>9</v>
      </c>
      <c r="I331" s="212" t="str">
        <f t="shared" si="32"/>
        <v>0x09</v>
      </c>
      <c r="V331" s="212" t="str">
        <f t="shared" si="33"/>
        <v>1600_7FBB</v>
      </c>
      <c r="W331">
        <v>443</v>
      </c>
    </row>
    <row r="332" spans="7:23">
      <c r="G332" s="212" t="str">
        <f t="shared" si="31"/>
        <v>0x000</v>
      </c>
      <c r="H332" s="212">
        <f t="shared" si="34"/>
        <v>18</v>
      </c>
      <c r="I332" s="212" t="str">
        <f t="shared" si="32"/>
        <v>0x12</v>
      </c>
      <c r="V332" s="212" t="str">
        <f t="shared" si="33"/>
        <v>1600_7FBC</v>
      </c>
      <c r="W332">
        <v>444</v>
      </c>
    </row>
    <row r="333" spans="7:23">
      <c r="G333" s="212" t="str">
        <f t="shared" si="31"/>
        <v>0x000</v>
      </c>
      <c r="H333" s="212">
        <f t="shared" si="34"/>
        <v>36</v>
      </c>
      <c r="I333" s="212" t="str">
        <f t="shared" si="32"/>
        <v>0x24</v>
      </c>
      <c r="V333" s="212" t="str">
        <f t="shared" si="33"/>
        <v>1600_7FBD</v>
      </c>
      <c r="W333">
        <v>445</v>
      </c>
    </row>
    <row r="334" spans="7:23">
      <c r="G334" s="212" t="str">
        <f t="shared" si="31"/>
        <v>0x000</v>
      </c>
      <c r="H334" s="212">
        <f t="shared" si="34"/>
        <v>72</v>
      </c>
      <c r="I334" s="212" t="str">
        <f t="shared" si="32"/>
        <v>0x48</v>
      </c>
      <c r="V334" s="212" t="str">
        <f t="shared" si="33"/>
        <v>1600_7FBE</v>
      </c>
      <c r="W334">
        <v>446</v>
      </c>
    </row>
    <row r="335" spans="7:23">
      <c r="G335" s="212" t="str">
        <f t="shared" si="31"/>
        <v>0x000</v>
      </c>
      <c r="H335" s="212">
        <f t="shared" si="34"/>
        <v>17</v>
      </c>
      <c r="I335" s="212" t="str">
        <f t="shared" si="32"/>
        <v>0x11</v>
      </c>
      <c r="V335" s="212" t="str">
        <f t="shared" si="33"/>
        <v>1600_7FBF</v>
      </c>
      <c r="W335">
        <v>447</v>
      </c>
    </row>
    <row r="336" spans="7:23">
      <c r="G336" s="212" t="str">
        <f t="shared" si="31"/>
        <v>0x000</v>
      </c>
      <c r="H336" s="212">
        <f t="shared" si="34"/>
        <v>34</v>
      </c>
      <c r="I336" s="212" t="str">
        <f t="shared" si="32"/>
        <v>0x22</v>
      </c>
      <c r="V336" s="212" t="str">
        <f t="shared" si="33"/>
        <v>1600_7FC0</v>
      </c>
      <c r="W336">
        <v>448</v>
      </c>
    </row>
    <row r="337" spans="7:23">
      <c r="G337" s="212" t="str">
        <f t="shared" si="31"/>
        <v>0x000</v>
      </c>
      <c r="H337" s="212">
        <f t="shared" si="34"/>
        <v>68</v>
      </c>
      <c r="I337" s="212" t="str">
        <f t="shared" si="32"/>
        <v>0x44</v>
      </c>
      <c r="V337" s="212" t="str">
        <f t="shared" si="33"/>
        <v>1600_7FC1</v>
      </c>
      <c r="W337">
        <v>449</v>
      </c>
    </row>
    <row r="338" spans="7:23">
      <c r="G338" s="212" t="str">
        <f t="shared" si="31"/>
        <v>0x000</v>
      </c>
      <c r="H338" s="212">
        <f t="shared" si="34"/>
        <v>9</v>
      </c>
      <c r="I338" s="212" t="str">
        <f t="shared" si="32"/>
        <v>0x09</v>
      </c>
      <c r="V338" s="212" t="str">
        <f t="shared" si="33"/>
        <v>1600_7FC2</v>
      </c>
      <c r="W338">
        <v>450</v>
      </c>
    </row>
    <row r="339" spans="7:23">
      <c r="G339" s="212" t="str">
        <f t="shared" si="31"/>
        <v>0x000</v>
      </c>
      <c r="H339" s="212">
        <f t="shared" si="34"/>
        <v>18</v>
      </c>
      <c r="I339" s="212" t="str">
        <f t="shared" si="32"/>
        <v>0x12</v>
      </c>
      <c r="V339" s="212" t="str">
        <f t="shared" si="33"/>
        <v>1600_7FC3</v>
      </c>
      <c r="W339">
        <v>451</v>
      </c>
    </row>
    <row r="340" spans="7:23">
      <c r="G340" s="212" t="str">
        <f t="shared" si="31"/>
        <v>0x000</v>
      </c>
      <c r="H340" s="212">
        <f t="shared" si="34"/>
        <v>36</v>
      </c>
      <c r="I340" s="212" t="str">
        <f t="shared" si="32"/>
        <v>0x24</v>
      </c>
      <c r="V340" s="212" t="str">
        <f t="shared" si="33"/>
        <v>1600_7FC4</v>
      </c>
      <c r="W340">
        <v>452</v>
      </c>
    </row>
    <row r="341" spans="7:23">
      <c r="G341" s="212" t="str">
        <f t="shared" si="31"/>
        <v>0x000</v>
      </c>
      <c r="H341" s="212">
        <f t="shared" si="34"/>
        <v>72</v>
      </c>
      <c r="I341" s="212" t="str">
        <f t="shared" si="32"/>
        <v>0x48</v>
      </c>
      <c r="V341" s="212" t="str">
        <f t="shared" si="33"/>
        <v>1600_7FC5</v>
      </c>
      <c r="W341">
        <v>453</v>
      </c>
    </row>
    <row r="342" spans="7:23">
      <c r="G342" s="212" t="str">
        <f t="shared" si="31"/>
        <v>0x000</v>
      </c>
      <c r="H342" s="212">
        <f t="shared" si="34"/>
        <v>17</v>
      </c>
      <c r="I342" s="212" t="str">
        <f t="shared" si="32"/>
        <v>0x11</v>
      </c>
      <c r="V342" s="212" t="str">
        <f t="shared" si="33"/>
        <v>1600_7FC6</v>
      </c>
      <c r="W342">
        <v>454</v>
      </c>
    </row>
    <row r="343" spans="7:23">
      <c r="G343" s="212" t="str">
        <f t="shared" si="31"/>
        <v>0x000</v>
      </c>
      <c r="H343" s="212">
        <f t="shared" si="34"/>
        <v>34</v>
      </c>
      <c r="I343" s="212" t="str">
        <f t="shared" si="32"/>
        <v>0x22</v>
      </c>
      <c r="V343" s="212" t="str">
        <f t="shared" si="33"/>
        <v>1600_7FC7</v>
      </c>
      <c r="W343">
        <v>455</v>
      </c>
    </row>
    <row r="344" spans="7:23">
      <c r="G344" s="212" t="str">
        <f t="shared" si="31"/>
        <v>0x000</v>
      </c>
      <c r="H344" s="212">
        <f t="shared" si="34"/>
        <v>68</v>
      </c>
      <c r="I344" s="212" t="str">
        <f t="shared" si="32"/>
        <v>0x44</v>
      </c>
      <c r="V344" s="212" t="str">
        <f t="shared" si="33"/>
        <v>1600_7FC8</v>
      </c>
      <c r="W344">
        <v>456</v>
      </c>
    </row>
    <row r="345" spans="7:23">
      <c r="G345" s="212" t="str">
        <f t="shared" si="31"/>
        <v>0x000</v>
      </c>
      <c r="H345" s="212">
        <f t="shared" si="34"/>
        <v>9</v>
      </c>
      <c r="I345" s="212" t="str">
        <f t="shared" si="32"/>
        <v>0x09</v>
      </c>
      <c r="V345" s="212" t="str">
        <f t="shared" si="33"/>
        <v>1600_7FC9</v>
      </c>
      <c r="W345">
        <v>457</v>
      </c>
    </row>
    <row r="346" spans="7:23">
      <c r="G346" s="212" t="str">
        <f t="shared" si="31"/>
        <v>0x000</v>
      </c>
      <c r="H346" s="212">
        <f t="shared" si="34"/>
        <v>18</v>
      </c>
      <c r="I346" s="212" t="str">
        <f t="shared" si="32"/>
        <v>0x12</v>
      </c>
      <c r="V346" s="212" t="str">
        <f t="shared" si="33"/>
        <v>1600_7FCA</v>
      </c>
      <c r="W346">
        <v>458</v>
      </c>
    </row>
    <row r="347" spans="7:23">
      <c r="G347" s="212" t="str">
        <f t="shared" si="31"/>
        <v>0x000</v>
      </c>
      <c r="H347" s="212">
        <f t="shared" si="34"/>
        <v>36</v>
      </c>
      <c r="I347" s="212" t="str">
        <f t="shared" si="32"/>
        <v>0x24</v>
      </c>
      <c r="V347" s="212" t="str">
        <f t="shared" si="33"/>
        <v>1600_7FCB</v>
      </c>
      <c r="W347">
        <v>459</v>
      </c>
    </row>
    <row r="348" spans="7:23">
      <c r="G348" s="212" t="str">
        <f t="shared" si="31"/>
        <v>0x000</v>
      </c>
      <c r="H348" s="212">
        <f t="shared" si="34"/>
        <v>72</v>
      </c>
      <c r="I348" s="212" t="str">
        <f t="shared" si="32"/>
        <v>0x48</v>
      </c>
      <c r="V348" s="212" t="str">
        <f t="shared" si="33"/>
        <v>1600_7FCC</v>
      </c>
      <c r="W348">
        <v>460</v>
      </c>
    </row>
    <row r="349" spans="7:23">
      <c r="G349" s="212" t="str">
        <f t="shared" si="31"/>
        <v>0x000</v>
      </c>
      <c r="H349" s="212">
        <f t="shared" si="34"/>
        <v>17</v>
      </c>
      <c r="I349" s="212" t="str">
        <f t="shared" si="32"/>
        <v>0x11</v>
      </c>
      <c r="V349" s="212" t="str">
        <f t="shared" si="33"/>
        <v>1600_7FCD</v>
      </c>
      <c r="W349">
        <v>461</v>
      </c>
    </row>
    <row r="350" spans="7:23">
      <c r="G350" s="212" t="str">
        <f t="shared" si="31"/>
        <v>0x000</v>
      </c>
      <c r="H350" s="212">
        <f t="shared" si="34"/>
        <v>34</v>
      </c>
      <c r="I350" s="212" t="str">
        <f t="shared" si="32"/>
        <v>0x22</v>
      </c>
      <c r="V350" s="212" t="str">
        <f t="shared" si="33"/>
        <v>1600_7FCE</v>
      </c>
      <c r="W350">
        <v>462</v>
      </c>
    </row>
    <row r="351" spans="7:23">
      <c r="G351" s="212" t="str">
        <f t="shared" si="31"/>
        <v>0x000</v>
      </c>
      <c r="H351" s="212">
        <f t="shared" si="34"/>
        <v>68</v>
      </c>
      <c r="I351" s="212" t="str">
        <f t="shared" si="32"/>
        <v>0x44</v>
      </c>
      <c r="V351" s="212" t="str">
        <f t="shared" si="33"/>
        <v>1600_7FCF</v>
      </c>
      <c r="W351">
        <v>463</v>
      </c>
    </row>
    <row r="352" spans="7:23">
      <c r="G352" s="212" t="str">
        <f t="shared" si="31"/>
        <v>0x000</v>
      </c>
      <c r="H352" s="212">
        <f t="shared" si="34"/>
        <v>9</v>
      </c>
      <c r="I352" s="212" t="str">
        <f t="shared" si="32"/>
        <v>0x09</v>
      </c>
      <c r="V352" s="212" t="str">
        <f t="shared" si="33"/>
        <v>1600_7FD0</v>
      </c>
      <c r="W352">
        <v>464</v>
      </c>
    </row>
    <row r="353" spans="7:23">
      <c r="G353" s="212" t="str">
        <f t="shared" si="31"/>
        <v>0x000</v>
      </c>
      <c r="H353" s="212">
        <f t="shared" si="34"/>
        <v>18</v>
      </c>
      <c r="I353" s="212" t="str">
        <f t="shared" si="32"/>
        <v>0x12</v>
      </c>
      <c r="V353" s="212" t="str">
        <f t="shared" si="33"/>
        <v>1600_7FD1</v>
      </c>
      <c r="W353">
        <v>465</v>
      </c>
    </row>
    <row r="354" spans="7:23">
      <c r="G354" s="212" t="str">
        <f t="shared" si="31"/>
        <v>0x000</v>
      </c>
      <c r="H354" s="212">
        <f t="shared" si="34"/>
        <v>36</v>
      </c>
      <c r="I354" s="212" t="str">
        <f t="shared" si="32"/>
        <v>0x24</v>
      </c>
      <c r="V354" s="212" t="str">
        <f t="shared" si="33"/>
        <v>1600_7FD2</v>
      </c>
      <c r="W354">
        <v>466</v>
      </c>
    </row>
    <row r="355" spans="7:23">
      <c r="G355" s="212" t="str">
        <f t="shared" si="31"/>
        <v>0x000</v>
      </c>
      <c r="H355" s="212">
        <f t="shared" si="34"/>
        <v>72</v>
      </c>
      <c r="I355" s="212" t="str">
        <f t="shared" si="32"/>
        <v>0x48</v>
      </c>
      <c r="V355" s="212" t="str">
        <f t="shared" si="33"/>
        <v>1600_7FD3</v>
      </c>
      <c r="W355">
        <v>467</v>
      </c>
    </row>
    <row r="356" spans="7:23">
      <c r="G356" s="212" t="str">
        <f t="shared" si="31"/>
        <v>0x000</v>
      </c>
      <c r="H356" s="212">
        <f t="shared" si="34"/>
        <v>17</v>
      </c>
      <c r="I356" s="212" t="str">
        <f t="shared" si="32"/>
        <v>0x11</v>
      </c>
      <c r="V356" s="212" t="str">
        <f t="shared" si="33"/>
        <v>1600_7FD4</v>
      </c>
      <c r="W356">
        <v>468</v>
      </c>
    </row>
    <row r="357" spans="7:23">
      <c r="G357" s="212" t="str">
        <f t="shared" si="31"/>
        <v>0x000</v>
      </c>
      <c r="H357" s="212">
        <f t="shared" si="34"/>
        <v>34</v>
      </c>
      <c r="I357" s="212" t="str">
        <f t="shared" si="32"/>
        <v>0x22</v>
      </c>
      <c r="V357" s="212" t="str">
        <f t="shared" si="33"/>
        <v>1600_7FD5</v>
      </c>
      <c r="W357">
        <v>469</v>
      </c>
    </row>
    <row r="358" spans="7:23">
      <c r="G358" s="212" t="str">
        <f t="shared" si="31"/>
        <v>0x000</v>
      </c>
      <c r="H358" s="212">
        <f t="shared" si="34"/>
        <v>68</v>
      </c>
      <c r="I358" s="212" t="str">
        <f t="shared" si="32"/>
        <v>0x44</v>
      </c>
      <c r="V358" s="212" t="str">
        <f t="shared" si="33"/>
        <v>1600_7FD6</v>
      </c>
      <c r="W358">
        <v>470</v>
      </c>
    </row>
    <row r="359" spans="7:23">
      <c r="G359" s="212" t="str">
        <f t="shared" si="31"/>
        <v>0x000</v>
      </c>
      <c r="H359" s="212">
        <f t="shared" si="34"/>
        <v>9</v>
      </c>
      <c r="I359" s="212" t="str">
        <f t="shared" si="32"/>
        <v>0x09</v>
      </c>
      <c r="V359" s="212" t="str">
        <f t="shared" si="33"/>
        <v>1600_7FD7</v>
      </c>
      <c r="W359">
        <v>471</v>
      </c>
    </row>
    <row r="360" spans="7:23">
      <c r="G360" s="212" t="str">
        <f t="shared" si="31"/>
        <v>0x000</v>
      </c>
      <c r="H360" s="212">
        <f t="shared" si="34"/>
        <v>18</v>
      </c>
      <c r="I360" s="212" t="str">
        <f t="shared" si="32"/>
        <v>0x12</v>
      </c>
      <c r="V360" s="212" t="str">
        <f t="shared" si="33"/>
        <v>1600_7FD8</v>
      </c>
      <c r="W360">
        <v>472</v>
      </c>
    </row>
    <row r="361" spans="7:23">
      <c r="G361" s="212" t="str">
        <f t="shared" si="31"/>
        <v>0x000</v>
      </c>
      <c r="H361" s="212">
        <f t="shared" si="34"/>
        <v>36</v>
      </c>
      <c r="I361" s="212" t="str">
        <f t="shared" si="32"/>
        <v>0x24</v>
      </c>
      <c r="V361" s="212" t="str">
        <f t="shared" si="33"/>
        <v>1600_7FD9</v>
      </c>
      <c r="W361">
        <v>473</v>
      </c>
    </row>
    <row r="362" spans="7:23">
      <c r="G362" s="212" t="str">
        <f t="shared" si="31"/>
        <v>0x000</v>
      </c>
      <c r="H362" s="212">
        <f t="shared" si="34"/>
        <v>72</v>
      </c>
      <c r="I362" s="212" t="str">
        <f t="shared" si="32"/>
        <v>0x48</v>
      </c>
      <c r="V362" s="212" t="str">
        <f t="shared" si="33"/>
        <v>1600_7FDA</v>
      </c>
      <c r="W362">
        <v>474</v>
      </c>
    </row>
    <row r="363" spans="7:23">
      <c r="G363" s="212" t="str">
        <f t="shared" si="31"/>
        <v>0x000</v>
      </c>
      <c r="H363" s="212">
        <f t="shared" si="34"/>
        <v>17</v>
      </c>
      <c r="I363" s="212" t="str">
        <f t="shared" si="32"/>
        <v>0x11</v>
      </c>
      <c r="V363" s="212" t="str">
        <f t="shared" si="33"/>
        <v>1600_7FDB</v>
      </c>
      <c r="W363">
        <v>475</v>
      </c>
    </row>
    <row r="364" spans="7:23">
      <c r="G364" s="212" t="str">
        <f t="shared" ref="G364:G427" si="35">"0x"&amp;DEC2HEX(F364,3)</f>
        <v>0x000</v>
      </c>
      <c r="H364" s="212">
        <f t="shared" si="34"/>
        <v>34</v>
      </c>
      <c r="I364" s="212" t="str">
        <f t="shared" ref="I364:I427" si="36">"0x"&amp;DEC2HEX(H364,2)</f>
        <v>0x22</v>
      </c>
      <c r="V364" s="212" t="str">
        <f t="shared" si="33"/>
        <v>1600_7FDC</v>
      </c>
      <c r="W364">
        <v>476</v>
      </c>
    </row>
    <row r="365" spans="7:23">
      <c r="G365" s="212" t="str">
        <f t="shared" si="35"/>
        <v>0x000</v>
      </c>
      <c r="H365" s="212">
        <f t="shared" si="34"/>
        <v>68</v>
      </c>
      <c r="I365" s="212" t="str">
        <f t="shared" si="36"/>
        <v>0x44</v>
      </c>
      <c r="V365" s="212" t="str">
        <f t="shared" si="33"/>
        <v>1600_7FDD</v>
      </c>
      <c r="W365">
        <v>477</v>
      </c>
    </row>
    <row r="366" spans="7:23">
      <c r="G366" s="212" t="str">
        <f t="shared" si="35"/>
        <v>0x000</v>
      </c>
      <c r="H366" s="212">
        <f t="shared" si="34"/>
        <v>9</v>
      </c>
      <c r="I366" s="212" t="str">
        <f t="shared" si="36"/>
        <v>0x09</v>
      </c>
      <c r="V366" s="212" t="str">
        <f t="shared" si="33"/>
        <v>1600_7FDE</v>
      </c>
      <c r="W366">
        <v>478</v>
      </c>
    </row>
    <row r="367" spans="7:23">
      <c r="G367" s="212" t="str">
        <f t="shared" si="35"/>
        <v>0x000</v>
      </c>
      <c r="H367" s="212">
        <f t="shared" si="34"/>
        <v>18</v>
      </c>
      <c r="I367" s="212" t="str">
        <f t="shared" si="36"/>
        <v>0x12</v>
      </c>
      <c r="V367" s="212" t="str">
        <f t="shared" si="33"/>
        <v>1600_7FDF</v>
      </c>
      <c r="W367">
        <v>479</v>
      </c>
    </row>
    <row r="368" spans="7:23">
      <c r="G368" s="212" t="str">
        <f t="shared" si="35"/>
        <v>0x000</v>
      </c>
      <c r="H368" s="212">
        <f t="shared" si="34"/>
        <v>36</v>
      </c>
      <c r="I368" s="212" t="str">
        <f t="shared" si="36"/>
        <v>0x24</v>
      </c>
      <c r="V368" s="212" t="str">
        <f t="shared" si="33"/>
        <v>1600_7FE0</v>
      </c>
      <c r="W368">
        <v>480</v>
      </c>
    </row>
    <row r="369" spans="7:23">
      <c r="G369" s="212" t="str">
        <f t="shared" si="35"/>
        <v>0x000</v>
      </c>
      <c r="H369" s="212">
        <f t="shared" si="34"/>
        <v>72</v>
      </c>
      <c r="I369" s="212" t="str">
        <f t="shared" si="36"/>
        <v>0x48</v>
      </c>
      <c r="V369" s="212" t="str">
        <f t="shared" si="33"/>
        <v>1600_7FE1</v>
      </c>
      <c r="W369">
        <v>481</v>
      </c>
    </row>
    <row r="370" spans="7:23">
      <c r="G370" s="212" t="str">
        <f t="shared" si="35"/>
        <v>0x000</v>
      </c>
      <c r="H370" s="212">
        <f t="shared" si="34"/>
        <v>17</v>
      </c>
      <c r="I370" s="212" t="str">
        <f t="shared" si="36"/>
        <v>0x11</v>
      </c>
      <c r="V370" s="212" t="str">
        <f t="shared" si="33"/>
        <v>1600_7FE2</v>
      </c>
      <c r="W370">
        <v>482</v>
      </c>
    </row>
    <row r="371" spans="7:23">
      <c r="G371" s="212" t="str">
        <f t="shared" si="35"/>
        <v>0x000</v>
      </c>
      <c r="H371" s="212">
        <f t="shared" si="34"/>
        <v>34</v>
      </c>
      <c r="I371" s="212" t="str">
        <f t="shared" si="36"/>
        <v>0x22</v>
      </c>
      <c r="V371" s="212" t="str">
        <f t="shared" si="33"/>
        <v>1600_7FE3</v>
      </c>
      <c r="W371">
        <v>483</v>
      </c>
    </row>
    <row r="372" spans="7:23">
      <c r="G372" s="212" t="str">
        <f t="shared" si="35"/>
        <v>0x000</v>
      </c>
      <c r="H372" s="212">
        <f t="shared" si="34"/>
        <v>68</v>
      </c>
      <c r="I372" s="212" t="str">
        <f t="shared" si="36"/>
        <v>0x44</v>
      </c>
      <c r="V372" s="212" t="str">
        <f t="shared" si="33"/>
        <v>1600_7FE4</v>
      </c>
      <c r="W372">
        <v>484</v>
      </c>
    </row>
    <row r="373" spans="7:23">
      <c r="G373" s="212" t="str">
        <f t="shared" si="35"/>
        <v>0x000</v>
      </c>
      <c r="H373" s="212">
        <f t="shared" si="34"/>
        <v>9</v>
      </c>
      <c r="I373" s="212" t="str">
        <f t="shared" si="36"/>
        <v>0x09</v>
      </c>
      <c r="V373" s="212" t="str">
        <f t="shared" si="33"/>
        <v>1600_7FE5</v>
      </c>
      <c r="W373">
        <v>485</v>
      </c>
    </row>
    <row r="374" spans="7:23">
      <c r="G374" s="212" t="str">
        <f t="shared" si="35"/>
        <v>0x000</v>
      </c>
      <c r="H374" s="212">
        <f t="shared" si="34"/>
        <v>18</v>
      </c>
      <c r="I374" s="212" t="str">
        <f t="shared" si="36"/>
        <v>0x12</v>
      </c>
      <c r="V374" s="212" t="str">
        <f t="shared" si="33"/>
        <v>1600_7FE6</v>
      </c>
      <c r="W374">
        <v>486</v>
      </c>
    </row>
    <row r="375" spans="7:23">
      <c r="G375" s="212" t="str">
        <f t="shared" si="35"/>
        <v>0x000</v>
      </c>
      <c r="H375" s="212">
        <f t="shared" si="34"/>
        <v>36</v>
      </c>
      <c r="I375" s="212" t="str">
        <f t="shared" si="36"/>
        <v>0x24</v>
      </c>
      <c r="V375" s="212" t="str">
        <f t="shared" si="33"/>
        <v>1600_7FE7</v>
      </c>
      <c r="W375">
        <v>487</v>
      </c>
    </row>
    <row r="376" spans="7:23">
      <c r="G376" s="212" t="str">
        <f t="shared" si="35"/>
        <v>0x000</v>
      </c>
      <c r="H376" s="212">
        <f t="shared" si="34"/>
        <v>72</v>
      </c>
      <c r="I376" s="212" t="str">
        <f t="shared" si="36"/>
        <v>0x48</v>
      </c>
      <c r="V376" s="212" t="str">
        <f t="shared" si="33"/>
        <v>1600_7FE8</v>
      </c>
      <c r="W376">
        <v>488</v>
      </c>
    </row>
    <row r="377" spans="7:23">
      <c r="G377" s="212" t="str">
        <f t="shared" si="35"/>
        <v>0x000</v>
      </c>
      <c r="H377" s="212">
        <f t="shared" si="34"/>
        <v>17</v>
      </c>
      <c r="I377" s="212" t="str">
        <f t="shared" si="36"/>
        <v>0x11</v>
      </c>
      <c r="V377" s="212" t="str">
        <f t="shared" si="33"/>
        <v>1600_7FE9</v>
      </c>
      <c r="W377">
        <v>489</v>
      </c>
    </row>
    <row r="378" spans="7:23">
      <c r="G378" s="212" t="str">
        <f t="shared" si="35"/>
        <v>0x000</v>
      </c>
      <c r="H378" s="212">
        <f t="shared" si="34"/>
        <v>34</v>
      </c>
      <c r="I378" s="212" t="str">
        <f t="shared" si="36"/>
        <v>0x22</v>
      </c>
      <c r="V378" s="212" t="str">
        <f t="shared" si="33"/>
        <v>1600_7FEA</v>
      </c>
      <c r="W378">
        <v>490</v>
      </c>
    </row>
    <row r="379" spans="7:23">
      <c r="G379" s="212" t="str">
        <f t="shared" si="35"/>
        <v>0x000</v>
      </c>
      <c r="H379" s="212">
        <f t="shared" si="34"/>
        <v>68</v>
      </c>
      <c r="I379" s="212" t="str">
        <f t="shared" si="36"/>
        <v>0x44</v>
      </c>
      <c r="V379" s="212" t="str">
        <f t="shared" ref="V379:V399" si="37">"1600_"&amp;DEC2HEX((Y$3*X$3 + W379),4)</f>
        <v>1600_7FEB</v>
      </c>
      <c r="W379">
        <v>491</v>
      </c>
    </row>
    <row r="380" spans="7:23">
      <c r="G380" s="212" t="str">
        <f t="shared" si="35"/>
        <v>0x000</v>
      </c>
      <c r="H380" s="212">
        <f t="shared" si="34"/>
        <v>9</v>
      </c>
      <c r="I380" s="212" t="str">
        <f t="shared" si="36"/>
        <v>0x09</v>
      </c>
      <c r="V380" s="212" t="str">
        <f t="shared" si="37"/>
        <v>1600_7FEC</v>
      </c>
      <c r="W380">
        <v>492</v>
      </c>
    </row>
    <row r="381" spans="7:23">
      <c r="G381" s="212" t="str">
        <f t="shared" si="35"/>
        <v>0x000</v>
      </c>
      <c r="H381" s="212">
        <f t="shared" si="34"/>
        <v>18</v>
      </c>
      <c r="I381" s="212" t="str">
        <f t="shared" si="36"/>
        <v>0x12</v>
      </c>
      <c r="V381" s="212" t="str">
        <f t="shared" si="37"/>
        <v>1600_7FED</v>
      </c>
      <c r="W381">
        <v>493</v>
      </c>
    </row>
    <row r="382" spans="7:23">
      <c r="G382" s="212" t="str">
        <f t="shared" si="35"/>
        <v>0x000</v>
      </c>
      <c r="H382" s="212">
        <f t="shared" si="34"/>
        <v>36</v>
      </c>
      <c r="I382" s="212" t="str">
        <f t="shared" si="36"/>
        <v>0x24</v>
      </c>
      <c r="V382" s="212" t="str">
        <f t="shared" si="37"/>
        <v>1600_7FEE</v>
      </c>
      <c r="W382">
        <v>494</v>
      </c>
    </row>
    <row r="383" spans="7:23">
      <c r="G383" s="212" t="str">
        <f t="shared" si="35"/>
        <v>0x000</v>
      </c>
      <c r="H383" s="212">
        <f t="shared" si="34"/>
        <v>72</v>
      </c>
      <c r="I383" s="212" t="str">
        <f t="shared" si="36"/>
        <v>0x48</v>
      </c>
      <c r="V383" s="212" t="str">
        <f t="shared" si="37"/>
        <v>1600_7FEF</v>
      </c>
      <c r="W383">
        <v>495</v>
      </c>
    </row>
    <row r="384" spans="7:23">
      <c r="G384" s="212" t="str">
        <f t="shared" si="35"/>
        <v>0x000</v>
      </c>
      <c r="H384" s="212">
        <f t="shared" si="34"/>
        <v>17</v>
      </c>
      <c r="I384" s="212" t="str">
        <f t="shared" si="36"/>
        <v>0x11</v>
      </c>
      <c r="V384" s="212" t="str">
        <f t="shared" si="37"/>
        <v>1600_7FF0</v>
      </c>
      <c r="W384">
        <v>496</v>
      </c>
    </row>
    <row r="385" spans="7:23">
      <c r="G385" s="212" t="str">
        <f t="shared" si="35"/>
        <v>0x000</v>
      </c>
      <c r="H385" s="212">
        <f t="shared" si="34"/>
        <v>34</v>
      </c>
      <c r="I385" s="212" t="str">
        <f t="shared" si="36"/>
        <v>0x22</v>
      </c>
      <c r="V385" s="212" t="str">
        <f t="shared" si="37"/>
        <v>1600_7FF1</v>
      </c>
      <c r="W385">
        <v>497</v>
      </c>
    </row>
    <row r="386" spans="7:23">
      <c r="G386" s="212" t="str">
        <f t="shared" si="35"/>
        <v>0x000</v>
      </c>
      <c r="H386" s="212">
        <f t="shared" si="34"/>
        <v>68</v>
      </c>
      <c r="I386" s="212" t="str">
        <f t="shared" si="36"/>
        <v>0x44</v>
      </c>
      <c r="V386" s="212" t="str">
        <f t="shared" si="37"/>
        <v>1600_7FF2</v>
      </c>
      <c r="W386">
        <v>498</v>
      </c>
    </row>
    <row r="387" spans="7:23">
      <c r="G387" s="212" t="str">
        <f t="shared" si="35"/>
        <v>0x000</v>
      </c>
      <c r="H387" s="212">
        <f t="shared" si="34"/>
        <v>9</v>
      </c>
      <c r="I387" s="212" t="str">
        <f t="shared" si="36"/>
        <v>0x09</v>
      </c>
      <c r="V387" s="212" t="str">
        <f t="shared" si="37"/>
        <v>1600_7FF3</v>
      </c>
      <c r="W387">
        <v>499</v>
      </c>
    </row>
    <row r="388" spans="7:23">
      <c r="G388" s="212" t="str">
        <f t="shared" si="35"/>
        <v>0x000</v>
      </c>
      <c r="H388" s="212">
        <f t="shared" si="34"/>
        <v>18</v>
      </c>
      <c r="I388" s="212" t="str">
        <f t="shared" si="36"/>
        <v>0x12</v>
      </c>
      <c r="V388" s="212" t="str">
        <f t="shared" si="37"/>
        <v>1600_7FF4</v>
      </c>
      <c r="W388">
        <v>500</v>
      </c>
    </row>
    <row r="389" spans="7:23">
      <c r="G389" s="212" t="str">
        <f t="shared" si="35"/>
        <v>0x000</v>
      </c>
      <c r="H389" s="212">
        <f t="shared" si="34"/>
        <v>36</v>
      </c>
      <c r="I389" s="212" t="str">
        <f t="shared" si="36"/>
        <v>0x24</v>
      </c>
      <c r="V389" s="212" t="str">
        <f t="shared" si="37"/>
        <v>1600_7FF5</v>
      </c>
      <c r="W389">
        <v>501</v>
      </c>
    </row>
    <row r="390" spans="7:23">
      <c r="G390" s="212" t="str">
        <f t="shared" si="35"/>
        <v>0x000</v>
      </c>
      <c r="H390" s="212">
        <f t="shared" si="34"/>
        <v>72</v>
      </c>
      <c r="I390" s="212" t="str">
        <f t="shared" si="36"/>
        <v>0x48</v>
      </c>
      <c r="V390" s="212" t="str">
        <f t="shared" si="37"/>
        <v>1600_7FF6</v>
      </c>
      <c r="W390">
        <v>502</v>
      </c>
    </row>
    <row r="391" spans="7:23">
      <c r="G391" s="212" t="str">
        <f t="shared" si="35"/>
        <v>0x000</v>
      </c>
      <c r="H391" s="212">
        <f t="shared" si="34"/>
        <v>17</v>
      </c>
      <c r="I391" s="212" t="str">
        <f t="shared" si="36"/>
        <v>0x11</v>
      </c>
      <c r="V391" s="212" t="str">
        <f t="shared" si="37"/>
        <v>1600_7FF7</v>
      </c>
      <c r="W391">
        <v>503</v>
      </c>
    </row>
    <row r="392" spans="7:23">
      <c r="G392" s="212" t="str">
        <f t="shared" si="35"/>
        <v>0x000</v>
      </c>
      <c r="H392" s="212">
        <f t="shared" si="34"/>
        <v>34</v>
      </c>
      <c r="I392" s="212" t="str">
        <f t="shared" si="36"/>
        <v>0x22</v>
      </c>
      <c r="V392" s="212" t="str">
        <f t="shared" si="37"/>
        <v>1600_7FF8</v>
      </c>
      <c r="W392">
        <v>504</v>
      </c>
    </row>
    <row r="393" spans="7:23">
      <c r="G393" s="212" t="str">
        <f t="shared" si="35"/>
        <v>0x000</v>
      </c>
      <c r="H393" s="212">
        <f t="shared" si="34"/>
        <v>68</v>
      </c>
      <c r="I393" s="212" t="str">
        <f t="shared" si="36"/>
        <v>0x44</v>
      </c>
      <c r="V393" s="212" t="str">
        <f t="shared" si="37"/>
        <v>1600_7FF9</v>
      </c>
      <c r="W393">
        <v>505</v>
      </c>
    </row>
    <row r="394" spans="7:23">
      <c r="G394" s="212" t="str">
        <f t="shared" si="35"/>
        <v>0x000</v>
      </c>
      <c r="H394" s="212">
        <f t="shared" ref="H394:H457" si="38">MOD((HEX2DEC(RIGHT(E394,2)) + H393*2),127)</f>
        <v>9</v>
      </c>
      <c r="I394" s="212" t="str">
        <f t="shared" si="36"/>
        <v>0x09</v>
      </c>
      <c r="V394" s="212" t="str">
        <f t="shared" si="37"/>
        <v>1600_7FFA</v>
      </c>
      <c r="W394">
        <v>506</v>
      </c>
    </row>
    <row r="395" spans="7:23">
      <c r="G395" s="212" t="str">
        <f t="shared" si="35"/>
        <v>0x000</v>
      </c>
      <c r="H395" s="212">
        <f t="shared" si="38"/>
        <v>18</v>
      </c>
      <c r="I395" s="212" t="str">
        <f t="shared" si="36"/>
        <v>0x12</v>
      </c>
      <c r="V395" s="212" t="str">
        <f t="shared" si="37"/>
        <v>1600_7FFB</v>
      </c>
      <c r="W395">
        <v>507</v>
      </c>
    </row>
    <row r="396" spans="7:23">
      <c r="G396" s="212" t="str">
        <f t="shared" si="35"/>
        <v>0x000</v>
      </c>
      <c r="H396" s="212">
        <f t="shared" si="38"/>
        <v>36</v>
      </c>
      <c r="I396" s="212" t="str">
        <f t="shared" si="36"/>
        <v>0x24</v>
      </c>
      <c r="V396" s="212" t="str">
        <f t="shared" si="37"/>
        <v>1600_7FFC</v>
      </c>
      <c r="W396">
        <v>508</v>
      </c>
    </row>
    <row r="397" spans="7:23">
      <c r="G397" s="212" t="str">
        <f t="shared" si="35"/>
        <v>0x000</v>
      </c>
      <c r="H397" s="212">
        <f t="shared" si="38"/>
        <v>72</v>
      </c>
      <c r="I397" s="212" t="str">
        <f t="shared" si="36"/>
        <v>0x48</v>
      </c>
      <c r="V397" s="212" t="str">
        <f t="shared" si="37"/>
        <v>1600_7FFD</v>
      </c>
      <c r="W397">
        <v>509</v>
      </c>
    </row>
    <row r="398" spans="7:23">
      <c r="G398" s="212" t="str">
        <f t="shared" si="35"/>
        <v>0x000</v>
      </c>
      <c r="H398" s="212">
        <f t="shared" si="38"/>
        <v>17</v>
      </c>
      <c r="I398" s="212" t="str">
        <f t="shared" si="36"/>
        <v>0x11</v>
      </c>
      <c r="V398" s="212" t="str">
        <f t="shared" si="37"/>
        <v>1600_7FFE</v>
      </c>
      <c r="W398">
        <v>510</v>
      </c>
    </row>
    <row r="399" spans="7:23">
      <c r="G399" s="212" t="str">
        <f t="shared" si="35"/>
        <v>0x000</v>
      </c>
      <c r="H399" s="212">
        <f t="shared" si="38"/>
        <v>34</v>
      </c>
      <c r="I399" s="212" t="str">
        <f t="shared" si="36"/>
        <v>0x22</v>
      </c>
      <c r="V399" s="212" t="str">
        <f t="shared" si="37"/>
        <v>1600_7FFF</v>
      </c>
      <c r="W399">
        <v>511</v>
      </c>
    </row>
    <row r="400" spans="7:23">
      <c r="G400" s="212" t="str">
        <f t="shared" si="35"/>
        <v>0x000</v>
      </c>
      <c r="H400" s="212">
        <f t="shared" si="38"/>
        <v>68</v>
      </c>
      <c r="I400" s="212" t="str">
        <f t="shared" si="36"/>
        <v>0x44</v>
      </c>
    </row>
    <row r="401" spans="7:9">
      <c r="G401" s="212" t="str">
        <f t="shared" si="35"/>
        <v>0x000</v>
      </c>
      <c r="H401" s="212">
        <f t="shared" si="38"/>
        <v>9</v>
      </c>
      <c r="I401" s="212" t="str">
        <f t="shared" si="36"/>
        <v>0x09</v>
      </c>
    </row>
    <row r="402" spans="7:9">
      <c r="G402" s="212" t="str">
        <f t="shared" si="35"/>
        <v>0x000</v>
      </c>
      <c r="H402" s="212">
        <f t="shared" si="38"/>
        <v>18</v>
      </c>
      <c r="I402" s="212" t="str">
        <f t="shared" si="36"/>
        <v>0x12</v>
      </c>
    </row>
    <row r="403" spans="7:9">
      <c r="G403" s="212" t="str">
        <f t="shared" si="35"/>
        <v>0x000</v>
      </c>
      <c r="H403" s="212">
        <f t="shared" si="38"/>
        <v>36</v>
      </c>
      <c r="I403" s="212" t="str">
        <f t="shared" si="36"/>
        <v>0x24</v>
      </c>
    </row>
    <row r="404" spans="7:9">
      <c r="G404" s="212" t="str">
        <f t="shared" si="35"/>
        <v>0x000</v>
      </c>
      <c r="H404" s="212">
        <f t="shared" si="38"/>
        <v>72</v>
      </c>
      <c r="I404" s="212" t="str">
        <f t="shared" si="36"/>
        <v>0x48</v>
      </c>
    </row>
    <row r="405" spans="7:9">
      <c r="G405" s="212" t="str">
        <f t="shared" si="35"/>
        <v>0x000</v>
      </c>
      <c r="H405" s="212">
        <f t="shared" si="38"/>
        <v>17</v>
      </c>
      <c r="I405" s="212" t="str">
        <f t="shared" si="36"/>
        <v>0x11</v>
      </c>
    </row>
    <row r="406" spans="7:9">
      <c r="G406" s="212" t="str">
        <f t="shared" si="35"/>
        <v>0x000</v>
      </c>
      <c r="H406" s="212">
        <f t="shared" si="38"/>
        <v>34</v>
      </c>
      <c r="I406" s="212" t="str">
        <f t="shared" si="36"/>
        <v>0x22</v>
      </c>
    </row>
    <row r="407" spans="7:9">
      <c r="G407" s="212" t="str">
        <f t="shared" si="35"/>
        <v>0x000</v>
      </c>
      <c r="H407" s="212">
        <f t="shared" si="38"/>
        <v>68</v>
      </c>
      <c r="I407" s="212" t="str">
        <f t="shared" si="36"/>
        <v>0x44</v>
      </c>
    </row>
    <row r="408" spans="7:9">
      <c r="G408" s="212" t="str">
        <f t="shared" si="35"/>
        <v>0x000</v>
      </c>
      <c r="H408" s="212">
        <f t="shared" si="38"/>
        <v>9</v>
      </c>
      <c r="I408" s="212" t="str">
        <f t="shared" si="36"/>
        <v>0x09</v>
      </c>
    </row>
    <row r="409" spans="7:9">
      <c r="G409" s="212" t="str">
        <f t="shared" si="35"/>
        <v>0x000</v>
      </c>
      <c r="H409" s="212">
        <f t="shared" si="38"/>
        <v>18</v>
      </c>
      <c r="I409" s="212" t="str">
        <f t="shared" si="36"/>
        <v>0x12</v>
      </c>
    </row>
    <row r="410" spans="7:9">
      <c r="G410" s="212" t="str">
        <f t="shared" si="35"/>
        <v>0x000</v>
      </c>
      <c r="H410" s="212">
        <f t="shared" si="38"/>
        <v>36</v>
      </c>
      <c r="I410" s="212" t="str">
        <f t="shared" si="36"/>
        <v>0x24</v>
      </c>
    </row>
    <row r="411" spans="7:9">
      <c r="G411" s="212" t="str">
        <f t="shared" si="35"/>
        <v>0x000</v>
      </c>
      <c r="H411" s="212">
        <f t="shared" si="38"/>
        <v>72</v>
      </c>
      <c r="I411" s="212" t="str">
        <f t="shared" si="36"/>
        <v>0x48</v>
      </c>
    </row>
    <row r="412" spans="7:9">
      <c r="G412" s="212" t="str">
        <f t="shared" si="35"/>
        <v>0x000</v>
      </c>
      <c r="H412" s="212">
        <f t="shared" si="38"/>
        <v>17</v>
      </c>
      <c r="I412" s="212" t="str">
        <f t="shared" si="36"/>
        <v>0x11</v>
      </c>
    </row>
    <row r="413" spans="7:9">
      <c r="G413" s="212" t="str">
        <f t="shared" si="35"/>
        <v>0x000</v>
      </c>
      <c r="H413" s="212">
        <f t="shared" si="38"/>
        <v>34</v>
      </c>
      <c r="I413" s="212" t="str">
        <f t="shared" si="36"/>
        <v>0x22</v>
      </c>
    </row>
    <row r="414" spans="7:9">
      <c r="G414" s="212" t="str">
        <f t="shared" si="35"/>
        <v>0x000</v>
      </c>
      <c r="H414" s="212">
        <f t="shared" si="38"/>
        <v>68</v>
      </c>
      <c r="I414" s="212" t="str">
        <f t="shared" si="36"/>
        <v>0x44</v>
      </c>
    </row>
    <row r="415" spans="7:9">
      <c r="G415" s="212" t="str">
        <f t="shared" si="35"/>
        <v>0x000</v>
      </c>
      <c r="H415" s="212">
        <f t="shared" si="38"/>
        <v>9</v>
      </c>
      <c r="I415" s="212" t="str">
        <f t="shared" si="36"/>
        <v>0x09</v>
      </c>
    </row>
    <row r="416" spans="7:9">
      <c r="G416" s="212" t="str">
        <f t="shared" si="35"/>
        <v>0x000</v>
      </c>
      <c r="H416" s="212">
        <f t="shared" si="38"/>
        <v>18</v>
      </c>
      <c r="I416" s="212" t="str">
        <f t="shared" si="36"/>
        <v>0x12</v>
      </c>
    </row>
    <row r="417" spans="7:9">
      <c r="G417" s="212" t="str">
        <f t="shared" si="35"/>
        <v>0x000</v>
      </c>
      <c r="H417" s="212">
        <f t="shared" si="38"/>
        <v>36</v>
      </c>
      <c r="I417" s="212" t="str">
        <f t="shared" si="36"/>
        <v>0x24</v>
      </c>
    </row>
    <row r="418" spans="7:9">
      <c r="G418" s="212" t="str">
        <f t="shared" si="35"/>
        <v>0x000</v>
      </c>
      <c r="H418" s="212">
        <f t="shared" si="38"/>
        <v>72</v>
      </c>
      <c r="I418" s="212" t="str">
        <f t="shared" si="36"/>
        <v>0x48</v>
      </c>
    </row>
    <row r="419" spans="7:9">
      <c r="G419" s="212" t="str">
        <f t="shared" si="35"/>
        <v>0x000</v>
      </c>
      <c r="H419" s="212">
        <f t="shared" si="38"/>
        <v>17</v>
      </c>
      <c r="I419" s="212" t="str">
        <f t="shared" si="36"/>
        <v>0x11</v>
      </c>
    </row>
    <row r="420" spans="7:9">
      <c r="G420" s="212" t="str">
        <f t="shared" si="35"/>
        <v>0x000</v>
      </c>
      <c r="H420" s="212">
        <f t="shared" si="38"/>
        <v>34</v>
      </c>
      <c r="I420" s="212" t="str">
        <f t="shared" si="36"/>
        <v>0x22</v>
      </c>
    </row>
    <row r="421" spans="7:9">
      <c r="G421" s="212" t="str">
        <f t="shared" si="35"/>
        <v>0x000</v>
      </c>
      <c r="H421" s="212">
        <f t="shared" si="38"/>
        <v>68</v>
      </c>
      <c r="I421" s="212" t="str">
        <f t="shared" si="36"/>
        <v>0x44</v>
      </c>
    </row>
    <row r="422" spans="7:9">
      <c r="G422" s="212" t="str">
        <f t="shared" si="35"/>
        <v>0x000</v>
      </c>
      <c r="H422" s="212">
        <f t="shared" si="38"/>
        <v>9</v>
      </c>
      <c r="I422" s="212" t="str">
        <f t="shared" si="36"/>
        <v>0x09</v>
      </c>
    </row>
    <row r="423" spans="7:9">
      <c r="G423" s="212" t="str">
        <f t="shared" si="35"/>
        <v>0x000</v>
      </c>
      <c r="H423" s="212">
        <f t="shared" si="38"/>
        <v>18</v>
      </c>
      <c r="I423" s="212" t="str">
        <f t="shared" si="36"/>
        <v>0x12</v>
      </c>
    </row>
    <row r="424" spans="7:9">
      <c r="G424" s="212" t="str">
        <f t="shared" si="35"/>
        <v>0x000</v>
      </c>
      <c r="H424" s="212">
        <f t="shared" si="38"/>
        <v>36</v>
      </c>
      <c r="I424" s="212" t="str">
        <f t="shared" si="36"/>
        <v>0x24</v>
      </c>
    </row>
    <row r="425" spans="7:9">
      <c r="G425" s="212" t="str">
        <f t="shared" si="35"/>
        <v>0x000</v>
      </c>
      <c r="H425" s="212">
        <f t="shared" si="38"/>
        <v>72</v>
      </c>
      <c r="I425" s="212" t="str">
        <f t="shared" si="36"/>
        <v>0x48</v>
      </c>
    </row>
    <row r="426" spans="7:9">
      <c r="G426" s="212" t="str">
        <f t="shared" si="35"/>
        <v>0x000</v>
      </c>
      <c r="H426" s="212">
        <f t="shared" si="38"/>
        <v>17</v>
      </c>
      <c r="I426" s="212" t="str">
        <f t="shared" si="36"/>
        <v>0x11</v>
      </c>
    </row>
    <row r="427" spans="7:9">
      <c r="G427" s="212" t="str">
        <f t="shared" si="35"/>
        <v>0x000</v>
      </c>
      <c r="H427" s="212">
        <f t="shared" si="38"/>
        <v>34</v>
      </c>
      <c r="I427" s="212" t="str">
        <f t="shared" si="36"/>
        <v>0x22</v>
      </c>
    </row>
    <row r="428" spans="7:9">
      <c r="G428" s="212" t="str">
        <f t="shared" ref="G428:G491" si="39">"0x"&amp;DEC2HEX(F428,3)</f>
        <v>0x000</v>
      </c>
      <c r="H428" s="212">
        <f t="shared" si="38"/>
        <v>68</v>
      </c>
      <c r="I428" s="212" t="str">
        <f t="shared" ref="I428:I491" si="40">"0x"&amp;DEC2HEX(H428,2)</f>
        <v>0x44</v>
      </c>
    </row>
    <row r="429" spans="7:9">
      <c r="G429" s="212" t="str">
        <f t="shared" si="39"/>
        <v>0x000</v>
      </c>
      <c r="H429" s="212">
        <f t="shared" si="38"/>
        <v>9</v>
      </c>
      <c r="I429" s="212" t="str">
        <f t="shared" si="40"/>
        <v>0x09</v>
      </c>
    </row>
    <row r="430" spans="7:9">
      <c r="G430" s="212" t="str">
        <f t="shared" si="39"/>
        <v>0x000</v>
      </c>
      <c r="H430" s="212">
        <f t="shared" si="38"/>
        <v>18</v>
      </c>
      <c r="I430" s="212" t="str">
        <f t="shared" si="40"/>
        <v>0x12</v>
      </c>
    </row>
    <row r="431" spans="7:9">
      <c r="G431" s="212" t="str">
        <f t="shared" si="39"/>
        <v>0x000</v>
      </c>
      <c r="H431" s="212">
        <f t="shared" si="38"/>
        <v>36</v>
      </c>
      <c r="I431" s="212" t="str">
        <f t="shared" si="40"/>
        <v>0x24</v>
      </c>
    </row>
    <row r="432" spans="7:9">
      <c r="G432" s="212" t="str">
        <f t="shared" si="39"/>
        <v>0x000</v>
      </c>
      <c r="H432" s="212">
        <f t="shared" si="38"/>
        <v>72</v>
      </c>
      <c r="I432" s="212" t="str">
        <f t="shared" si="40"/>
        <v>0x48</v>
      </c>
    </row>
    <row r="433" spans="7:9">
      <c r="G433" s="212" t="str">
        <f t="shared" si="39"/>
        <v>0x000</v>
      </c>
      <c r="H433" s="212">
        <f t="shared" si="38"/>
        <v>17</v>
      </c>
      <c r="I433" s="212" t="str">
        <f t="shared" si="40"/>
        <v>0x11</v>
      </c>
    </row>
    <row r="434" spans="7:9">
      <c r="G434" s="212" t="str">
        <f t="shared" si="39"/>
        <v>0x000</v>
      </c>
      <c r="H434" s="212">
        <f t="shared" si="38"/>
        <v>34</v>
      </c>
      <c r="I434" s="212" t="str">
        <f t="shared" si="40"/>
        <v>0x22</v>
      </c>
    </row>
    <row r="435" spans="7:9">
      <c r="G435" s="212" t="str">
        <f t="shared" si="39"/>
        <v>0x000</v>
      </c>
      <c r="H435" s="212">
        <f t="shared" si="38"/>
        <v>68</v>
      </c>
      <c r="I435" s="212" t="str">
        <f t="shared" si="40"/>
        <v>0x44</v>
      </c>
    </row>
    <row r="436" spans="7:9">
      <c r="G436" s="212" t="str">
        <f t="shared" si="39"/>
        <v>0x000</v>
      </c>
      <c r="H436" s="212">
        <f t="shared" si="38"/>
        <v>9</v>
      </c>
      <c r="I436" s="212" t="str">
        <f t="shared" si="40"/>
        <v>0x09</v>
      </c>
    </row>
    <row r="437" spans="7:9">
      <c r="G437" s="212" t="str">
        <f t="shared" si="39"/>
        <v>0x000</v>
      </c>
      <c r="H437" s="212">
        <f t="shared" si="38"/>
        <v>18</v>
      </c>
      <c r="I437" s="212" t="str">
        <f t="shared" si="40"/>
        <v>0x12</v>
      </c>
    </row>
    <row r="438" spans="7:9">
      <c r="G438" s="212" t="str">
        <f t="shared" si="39"/>
        <v>0x000</v>
      </c>
      <c r="H438" s="212">
        <f t="shared" si="38"/>
        <v>36</v>
      </c>
      <c r="I438" s="212" t="str">
        <f t="shared" si="40"/>
        <v>0x24</v>
      </c>
    </row>
    <row r="439" spans="7:9">
      <c r="G439" s="212" t="str">
        <f t="shared" si="39"/>
        <v>0x000</v>
      </c>
      <c r="H439" s="212">
        <f t="shared" si="38"/>
        <v>72</v>
      </c>
      <c r="I439" s="212" t="str">
        <f t="shared" si="40"/>
        <v>0x48</v>
      </c>
    </row>
    <row r="440" spans="7:9">
      <c r="G440" s="212" t="str">
        <f t="shared" si="39"/>
        <v>0x000</v>
      </c>
      <c r="H440" s="212">
        <f t="shared" si="38"/>
        <v>17</v>
      </c>
      <c r="I440" s="212" t="str">
        <f t="shared" si="40"/>
        <v>0x11</v>
      </c>
    </row>
    <row r="441" spans="7:9">
      <c r="G441" s="212" t="str">
        <f t="shared" si="39"/>
        <v>0x000</v>
      </c>
      <c r="H441" s="212">
        <f t="shared" si="38"/>
        <v>34</v>
      </c>
      <c r="I441" s="212" t="str">
        <f t="shared" si="40"/>
        <v>0x22</v>
      </c>
    </row>
    <row r="442" spans="7:9">
      <c r="G442" s="212" t="str">
        <f t="shared" si="39"/>
        <v>0x000</v>
      </c>
      <c r="H442" s="212">
        <f t="shared" si="38"/>
        <v>68</v>
      </c>
      <c r="I442" s="212" t="str">
        <f t="shared" si="40"/>
        <v>0x44</v>
      </c>
    </row>
    <row r="443" spans="7:9">
      <c r="G443" s="212" t="str">
        <f t="shared" si="39"/>
        <v>0x000</v>
      </c>
      <c r="H443" s="212">
        <f t="shared" si="38"/>
        <v>9</v>
      </c>
      <c r="I443" s="212" t="str">
        <f t="shared" si="40"/>
        <v>0x09</v>
      </c>
    </row>
    <row r="444" spans="7:9">
      <c r="G444" s="212" t="str">
        <f t="shared" si="39"/>
        <v>0x000</v>
      </c>
      <c r="H444" s="212">
        <f t="shared" si="38"/>
        <v>18</v>
      </c>
      <c r="I444" s="212" t="str">
        <f t="shared" si="40"/>
        <v>0x12</v>
      </c>
    </row>
    <row r="445" spans="7:9">
      <c r="G445" s="212" t="str">
        <f t="shared" si="39"/>
        <v>0x000</v>
      </c>
      <c r="H445" s="212">
        <f t="shared" si="38"/>
        <v>36</v>
      </c>
      <c r="I445" s="212" t="str">
        <f t="shared" si="40"/>
        <v>0x24</v>
      </c>
    </row>
    <row r="446" spans="7:9">
      <c r="G446" s="212" t="str">
        <f t="shared" si="39"/>
        <v>0x000</v>
      </c>
      <c r="H446" s="212">
        <f t="shared" si="38"/>
        <v>72</v>
      </c>
      <c r="I446" s="212" t="str">
        <f t="shared" si="40"/>
        <v>0x48</v>
      </c>
    </row>
    <row r="447" spans="7:9">
      <c r="G447" s="212" t="str">
        <f t="shared" si="39"/>
        <v>0x000</v>
      </c>
      <c r="H447" s="212">
        <f t="shared" si="38"/>
        <v>17</v>
      </c>
      <c r="I447" s="212" t="str">
        <f t="shared" si="40"/>
        <v>0x11</v>
      </c>
    </row>
    <row r="448" spans="7:9">
      <c r="G448" s="212" t="str">
        <f t="shared" si="39"/>
        <v>0x000</v>
      </c>
      <c r="H448" s="212">
        <f t="shared" si="38"/>
        <v>34</v>
      </c>
      <c r="I448" s="212" t="str">
        <f t="shared" si="40"/>
        <v>0x22</v>
      </c>
    </row>
    <row r="449" spans="7:9">
      <c r="G449" s="212" t="str">
        <f t="shared" si="39"/>
        <v>0x000</v>
      </c>
      <c r="H449" s="212">
        <f t="shared" si="38"/>
        <v>68</v>
      </c>
      <c r="I449" s="212" t="str">
        <f t="shared" si="40"/>
        <v>0x44</v>
      </c>
    </row>
    <row r="450" spans="7:9">
      <c r="G450" s="212" t="str">
        <f t="shared" si="39"/>
        <v>0x000</v>
      </c>
      <c r="H450" s="212">
        <f t="shared" si="38"/>
        <v>9</v>
      </c>
      <c r="I450" s="212" t="str">
        <f t="shared" si="40"/>
        <v>0x09</v>
      </c>
    </row>
    <row r="451" spans="7:9">
      <c r="G451" s="212" t="str">
        <f t="shared" si="39"/>
        <v>0x000</v>
      </c>
      <c r="H451" s="212">
        <f t="shared" si="38"/>
        <v>18</v>
      </c>
      <c r="I451" s="212" t="str">
        <f t="shared" si="40"/>
        <v>0x12</v>
      </c>
    </row>
    <row r="452" spans="7:9">
      <c r="G452" s="212" t="str">
        <f t="shared" si="39"/>
        <v>0x000</v>
      </c>
      <c r="H452" s="212">
        <f t="shared" si="38"/>
        <v>36</v>
      </c>
      <c r="I452" s="212" t="str">
        <f t="shared" si="40"/>
        <v>0x24</v>
      </c>
    </row>
    <row r="453" spans="7:9">
      <c r="G453" s="212" t="str">
        <f t="shared" si="39"/>
        <v>0x000</v>
      </c>
      <c r="H453" s="212">
        <f t="shared" si="38"/>
        <v>72</v>
      </c>
      <c r="I453" s="212" t="str">
        <f t="shared" si="40"/>
        <v>0x48</v>
      </c>
    </row>
    <row r="454" spans="7:9">
      <c r="G454" s="212" t="str">
        <f t="shared" si="39"/>
        <v>0x000</v>
      </c>
      <c r="H454" s="212">
        <f t="shared" si="38"/>
        <v>17</v>
      </c>
      <c r="I454" s="212" t="str">
        <f t="shared" si="40"/>
        <v>0x11</v>
      </c>
    </row>
    <row r="455" spans="7:9">
      <c r="G455" s="212" t="str">
        <f t="shared" si="39"/>
        <v>0x000</v>
      </c>
      <c r="H455" s="212">
        <f t="shared" si="38"/>
        <v>34</v>
      </c>
      <c r="I455" s="212" t="str">
        <f t="shared" si="40"/>
        <v>0x22</v>
      </c>
    </row>
    <row r="456" spans="7:9">
      <c r="G456" s="212" t="str">
        <f t="shared" si="39"/>
        <v>0x000</v>
      </c>
      <c r="H456" s="212">
        <f t="shared" si="38"/>
        <v>68</v>
      </c>
      <c r="I456" s="212" t="str">
        <f t="shared" si="40"/>
        <v>0x44</v>
      </c>
    </row>
    <row r="457" spans="7:9">
      <c r="G457" s="212" t="str">
        <f t="shared" si="39"/>
        <v>0x000</v>
      </c>
      <c r="H457" s="212">
        <f t="shared" si="38"/>
        <v>9</v>
      </c>
      <c r="I457" s="212" t="str">
        <f t="shared" si="40"/>
        <v>0x09</v>
      </c>
    </row>
    <row r="458" spans="7:9">
      <c r="G458" s="212" t="str">
        <f t="shared" si="39"/>
        <v>0x000</v>
      </c>
      <c r="H458" s="212">
        <f t="shared" ref="H458:H520" si="41">MOD((HEX2DEC(RIGHT(E458,2)) + H457*2),127)</f>
        <v>18</v>
      </c>
      <c r="I458" s="212" t="str">
        <f t="shared" si="40"/>
        <v>0x12</v>
      </c>
    </row>
    <row r="459" spans="7:9">
      <c r="G459" s="212" t="str">
        <f t="shared" si="39"/>
        <v>0x000</v>
      </c>
      <c r="H459" s="212">
        <f t="shared" si="41"/>
        <v>36</v>
      </c>
      <c r="I459" s="212" t="str">
        <f t="shared" si="40"/>
        <v>0x24</v>
      </c>
    </row>
    <row r="460" spans="7:9">
      <c r="G460" s="212" t="str">
        <f t="shared" si="39"/>
        <v>0x000</v>
      </c>
      <c r="H460" s="212">
        <f t="shared" si="41"/>
        <v>72</v>
      </c>
      <c r="I460" s="212" t="str">
        <f t="shared" si="40"/>
        <v>0x48</v>
      </c>
    </row>
    <row r="461" spans="7:9">
      <c r="G461" s="212" t="str">
        <f t="shared" si="39"/>
        <v>0x000</v>
      </c>
      <c r="H461" s="212">
        <f t="shared" si="41"/>
        <v>17</v>
      </c>
      <c r="I461" s="212" t="str">
        <f t="shared" si="40"/>
        <v>0x11</v>
      </c>
    </row>
    <row r="462" spans="7:9">
      <c r="G462" s="212" t="str">
        <f t="shared" si="39"/>
        <v>0x000</v>
      </c>
      <c r="H462" s="212">
        <f t="shared" si="41"/>
        <v>34</v>
      </c>
      <c r="I462" s="212" t="str">
        <f t="shared" si="40"/>
        <v>0x22</v>
      </c>
    </row>
    <row r="463" spans="7:9">
      <c r="G463" s="212" t="str">
        <f t="shared" si="39"/>
        <v>0x000</v>
      </c>
      <c r="H463" s="212">
        <f t="shared" si="41"/>
        <v>68</v>
      </c>
      <c r="I463" s="212" t="str">
        <f t="shared" si="40"/>
        <v>0x44</v>
      </c>
    </row>
    <row r="464" spans="7:9">
      <c r="G464" s="212" t="str">
        <f t="shared" si="39"/>
        <v>0x000</v>
      </c>
      <c r="H464" s="212">
        <f t="shared" si="41"/>
        <v>9</v>
      </c>
      <c r="I464" s="212" t="str">
        <f t="shared" si="40"/>
        <v>0x09</v>
      </c>
    </row>
    <row r="465" spans="7:9">
      <c r="G465" s="212" t="str">
        <f t="shared" si="39"/>
        <v>0x000</v>
      </c>
      <c r="H465" s="212">
        <f t="shared" si="41"/>
        <v>18</v>
      </c>
      <c r="I465" s="212" t="str">
        <f t="shared" si="40"/>
        <v>0x12</v>
      </c>
    </row>
    <row r="466" spans="7:9">
      <c r="G466" s="212" t="str">
        <f t="shared" si="39"/>
        <v>0x000</v>
      </c>
      <c r="H466" s="212">
        <f t="shared" si="41"/>
        <v>36</v>
      </c>
      <c r="I466" s="212" t="str">
        <f t="shared" si="40"/>
        <v>0x24</v>
      </c>
    </row>
    <row r="467" spans="7:9">
      <c r="G467" s="212" t="str">
        <f t="shared" si="39"/>
        <v>0x000</v>
      </c>
      <c r="H467" s="212">
        <f t="shared" si="41"/>
        <v>72</v>
      </c>
      <c r="I467" s="212" t="str">
        <f t="shared" si="40"/>
        <v>0x48</v>
      </c>
    </row>
    <row r="468" spans="7:9">
      <c r="G468" s="212" t="str">
        <f t="shared" si="39"/>
        <v>0x000</v>
      </c>
      <c r="H468" s="212">
        <f t="shared" si="41"/>
        <v>17</v>
      </c>
      <c r="I468" s="212" t="str">
        <f t="shared" si="40"/>
        <v>0x11</v>
      </c>
    </row>
    <row r="469" spans="7:9">
      <c r="G469" s="212" t="str">
        <f t="shared" si="39"/>
        <v>0x000</v>
      </c>
      <c r="H469" s="212">
        <f t="shared" si="41"/>
        <v>34</v>
      </c>
      <c r="I469" s="212" t="str">
        <f t="shared" si="40"/>
        <v>0x22</v>
      </c>
    </row>
    <row r="470" spans="7:9">
      <c r="G470" s="212" t="str">
        <f t="shared" si="39"/>
        <v>0x000</v>
      </c>
      <c r="H470" s="212">
        <f t="shared" si="41"/>
        <v>68</v>
      </c>
      <c r="I470" s="212" t="str">
        <f t="shared" si="40"/>
        <v>0x44</v>
      </c>
    </row>
    <row r="471" spans="7:9">
      <c r="G471" s="212" t="str">
        <f t="shared" si="39"/>
        <v>0x000</v>
      </c>
      <c r="H471" s="212">
        <f t="shared" si="41"/>
        <v>9</v>
      </c>
      <c r="I471" s="212" t="str">
        <f t="shared" si="40"/>
        <v>0x09</v>
      </c>
    </row>
    <row r="472" spans="7:9">
      <c r="G472" s="212" t="str">
        <f t="shared" si="39"/>
        <v>0x000</v>
      </c>
      <c r="H472" s="212">
        <f t="shared" si="41"/>
        <v>18</v>
      </c>
      <c r="I472" s="212" t="str">
        <f t="shared" si="40"/>
        <v>0x12</v>
      </c>
    </row>
    <row r="473" spans="7:9">
      <c r="G473" s="212" t="str">
        <f t="shared" si="39"/>
        <v>0x000</v>
      </c>
      <c r="H473" s="212">
        <f t="shared" si="41"/>
        <v>36</v>
      </c>
      <c r="I473" s="212" t="str">
        <f t="shared" si="40"/>
        <v>0x24</v>
      </c>
    </row>
    <row r="474" spans="7:9">
      <c r="G474" s="212" t="str">
        <f t="shared" si="39"/>
        <v>0x000</v>
      </c>
      <c r="H474" s="212">
        <f t="shared" si="41"/>
        <v>72</v>
      </c>
      <c r="I474" s="212" t="str">
        <f t="shared" si="40"/>
        <v>0x48</v>
      </c>
    </row>
    <row r="475" spans="7:9">
      <c r="G475" s="212" t="str">
        <f t="shared" si="39"/>
        <v>0x000</v>
      </c>
      <c r="H475" s="212">
        <f t="shared" si="41"/>
        <v>17</v>
      </c>
      <c r="I475" s="212" t="str">
        <f t="shared" si="40"/>
        <v>0x11</v>
      </c>
    </row>
    <row r="476" spans="7:9">
      <c r="G476" s="212" t="str">
        <f t="shared" si="39"/>
        <v>0x000</v>
      </c>
      <c r="H476" s="212">
        <f t="shared" si="41"/>
        <v>34</v>
      </c>
      <c r="I476" s="212" t="str">
        <f t="shared" si="40"/>
        <v>0x22</v>
      </c>
    </row>
    <row r="477" spans="7:9">
      <c r="G477" s="212" t="str">
        <f t="shared" si="39"/>
        <v>0x000</v>
      </c>
      <c r="H477" s="212">
        <f t="shared" si="41"/>
        <v>68</v>
      </c>
      <c r="I477" s="212" t="str">
        <f t="shared" si="40"/>
        <v>0x44</v>
      </c>
    </row>
    <row r="478" spans="7:9">
      <c r="G478" s="212" t="str">
        <f t="shared" si="39"/>
        <v>0x000</v>
      </c>
      <c r="H478" s="212">
        <f t="shared" si="41"/>
        <v>9</v>
      </c>
      <c r="I478" s="212" t="str">
        <f t="shared" si="40"/>
        <v>0x09</v>
      </c>
    </row>
    <row r="479" spans="7:9">
      <c r="G479" s="212" t="str">
        <f t="shared" si="39"/>
        <v>0x000</v>
      </c>
      <c r="H479" s="212">
        <f t="shared" si="41"/>
        <v>18</v>
      </c>
      <c r="I479" s="212" t="str">
        <f t="shared" si="40"/>
        <v>0x12</v>
      </c>
    </row>
    <row r="480" spans="7:9">
      <c r="G480" s="212" t="str">
        <f t="shared" si="39"/>
        <v>0x000</v>
      </c>
      <c r="H480" s="212">
        <f t="shared" si="41"/>
        <v>36</v>
      </c>
      <c r="I480" s="212" t="str">
        <f t="shared" si="40"/>
        <v>0x24</v>
      </c>
    </row>
    <row r="481" spans="7:9">
      <c r="G481" s="212" t="str">
        <f t="shared" si="39"/>
        <v>0x000</v>
      </c>
      <c r="H481" s="212">
        <f t="shared" si="41"/>
        <v>72</v>
      </c>
      <c r="I481" s="212" t="str">
        <f t="shared" si="40"/>
        <v>0x48</v>
      </c>
    </row>
    <row r="482" spans="7:9">
      <c r="G482" s="212" t="str">
        <f t="shared" si="39"/>
        <v>0x000</v>
      </c>
      <c r="H482" s="212">
        <f t="shared" si="41"/>
        <v>17</v>
      </c>
      <c r="I482" s="212" t="str">
        <f t="shared" si="40"/>
        <v>0x11</v>
      </c>
    </row>
    <row r="483" spans="7:9">
      <c r="G483" s="212" t="str">
        <f t="shared" si="39"/>
        <v>0x000</v>
      </c>
      <c r="H483" s="212">
        <f t="shared" si="41"/>
        <v>34</v>
      </c>
      <c r="I483" s="212" t="str">
        <f t="shared" si="40"/>
        <v>0x22</v>
      </c>
    </row>
    <row r="484" spans="7:9">
      <c r="G484" s="212" t="str">
        <f t="shared" si="39"/>
        <v>0x000</v>
      </c>
      <c r="H484" s="212">
        <f t="shared" si="41"/>
        <v>68</v>
      </c>
      <c r="I484" s="212" t="str">
        <f t="shared" si="40"/>
        <v>0x44</v>
      </c>
    </row>
    <row r="485" spans="7:9">
      <c r="G485" s="212" t="str">
        <f t="shared" si="39"/>
        <v>0x000</v>
      </c>
      <c r="H485" s="212">
        <f t="shared" si="41"/>
        <v>9</v>
      </c>
      <c r="I485" s="212" t="str">
        <f t="shared" si="40"/>
        <v>0x09</v>
      </c>
    </row>
    <row r="486" spans="7:9">
      <c r="G486" s="212" t="str">
        <f t="shared" si="39"/>
        <v>0x000</v>
      </c>
      <c r="H486" s="212">
        <f t="shared" si="41"/>
        <v>18</v>
      </c>
      <c r="I486" s="212" t="str">
        <f t="shared" si="40"/>
        <v>0x12</v>
      </c>
    </row>
    <row r="487" spans="7:9">
      <c r="G487" s="212" t="str">
        <f t="shared" si="39"/>
        <v>0x000</v>
      </c>
      <c r="H487" s="212">
        <f t="shared" si="41"/>
        <v>36</v>
      </c>
      <c r="I487" s="212" t="str">
        <f t="shared" si="40"/>
        <v>0x24</v>
      </c>
    </row>
    <row r="488" spans="7:9">
      <c r="G488" s="212" t="str">
        <f t="shared" si="39"/>
        <v>0x000</v>
      </c>
      <c r="H488" s="212">
        <f t="shared" si="41"/>
        <v>72</v>
      </c>
      <c r="I488" s="212" t="str">
        <f t="shared" si="40"/>
        <v>0x48</v>
      </c>
    </row>
    <row r="489" spans="7:9">
      <c r="G489" s="212" t="str">
        <f t="shared" si="39"/>
        <v>0x000</v>
      </c>
      <c r="H489" s="212">
        <f t="shared" si="41"/>
        <v>17</v>
      </c>
      <c r="I489" s="212" t="str">
        <f t="shared" si="40"/>
        <v>0x11</v>
      </c>
    </row>
    <row r="490" spans="7:9">
      <c r="G490" s="212" t="str">
        <f t="shared" si="39"/>
        <v>0x000</v>
      </c>
      <c r="H490" s="212">
        <f t="shared" si="41"/>
        <v>34</v>
      </c>
      <c r="I490" s="212" t="str">
        <f t="shared" si="40"/>
        <v>0x22</v>
      </c>
    </row>
    <row r="491" spans="7:9">
      <c r="G491" s="212" t="str">
        <f t="shared" si="39"/>
        <v>0x000</v>
      </c>
      <c r="H491" s="212">
        <f t="shared" si="41"/>
        <v>68</v>
      </c>
      <c r="I491" s="212" t="str">
        <f t="shared" si="40"/>
        <v>0x44</v>
      </c>
    </row>
    <row r="492" spans="7:9">
      <c r="G492" s="212" t="str">
        <f t="shared" ref="G492:G520" si="42">"0x"&amp;DEC2HEX(F492,3)</f>
        <v>0x000</v>
      </c>
      <c r="H492" s="212">
        <f t="shared" si="41"/>
        <v>9</v>
      </c>
      <c r="I492" s="212" t="str">
        <f t="shared" ref="I492:I520" si="43">"0x"&amp;DEC2HEX(H492,2)</f>
        <v>0x09</v>
      </c>
    </row>
    <row r="493" spans="7:9">
      <c r="G493" s="212" t="str">
        <f t="shared" si="42"/>
        <v>0x000</v>
      </c>
      <c r="H493" s="212">
        <f t="shared" si="41"/>
        <v>18</v>
      </c>
      <c r="I493" s="212" t="str">
        <f t="shared" si="43"/>
        <v>0x12</v>
      </c>
    </row>
    <row r="494" spans="7:9">
      <c r="G494" s="212" t="str">
        <f t="shared" si="42"/>
        <v>0x000</v>
      </c>
      <c r="H494" s="212">
        <f t="shared" si="41"/>
        <v>36</v>
      </c>
      <c r="I494" s="212" t="str">
        <f t="shared" si="43"/>
        <v>0x24</v>
      </c>
    </row>
    <row r="495" spans="7:9">
      <c r="G495" s="212" t="str">
        <f t="shared" si="42"/>
        <v>0x000</v>
      </c>
      <c r="H495" s="212">
        <f t="shared" si="41"/>
        <v>72</v>
      </c>
      <c r="I495" s="212" t="str">
        <f t="shared" si="43"/>
        <v>0x48</v>
      </c>
    </row>
    <row r="496" spans="7:9">
      <c r="G496" s="212" t="str">
        <f t="shared" si="42"/>
        <v>0x000</v>
      </c>
      <c r="H496" s="212">
        <f t="shared" si="41"/>
        <v>17</v>
      </c>
      <c r="I496" s="212" t="str">
        <f t="shared" si="43"/>
        <v>0x11</v>
      </c>
    </row>
    <row r="497" spans="7:9">
      <c r="G497" s="212" t="str">
        <f t="shared" si="42"/>
        <v>0x000</v>
      </c>
      <c r="H497" s="212">
        <f t="shared" si="41"/>
        <v>34</v>
      </c>
      <c r="I497" s="212" t="str">
        <f t="shared" si="43"/>
        <v>0x22</v>
      </c>
    </row>
    <row r="498" spans="7:9">
      <c r="G498" s="212" t="str">
        <f t="shared" si="42"/>
        <v>0x000</v>
      </c>
      <c r="H498" s="212">
        <f t="shared" si="41"/>
        <v>68</v>
      </c>
      <c r="I498" s="212" t="str">
        <f t="shared" si="43"/>
        <v>0x44</v>
      </c>
    </row>
    <row r="499" spans="7:9">
      <c r="G499" s="212" t="str">
        <f t="shared" si="42"/>
        <v>0x000</v>
      </c>
      <c r="H499" s="212">
        <f t="shared" si="41"/>
        <v>9</v>
      </c>
      <c r="I499" s="212" t="str">
        <f t="shared" si="43"/>
        <v>0x09</v>
      </c>
    </row>
    <row r="500" spans="7:9">
      <c r="G500" s="212" t="str">
        <f t="shared" si="42"/>
        <v>0x000</v>
      </c>
      <c r="H500" s="212">
        <f t="shared" si="41"/>
        <v>18</v>
      </c>
      <c r="I500" s="212" t="str">
        <f t="shared" si="43"/>
        <v>0x12</v>
      </c>
    </row>
    <row r="501" spans="7:9">
      <c r="G501" s="212" t="str">
        <f t="shared" si="42"/>
        <v>0x000</v>
      </c>
      <c r="H501" s="212">
        <f t="shared" si="41"/>
        <v>36</v>
      </c>
      <c r="I501" s="212" t="str">
        <f t="shared" si="43"/>
        <v>0x24</v>
      </c>
    </row>
    <row r="502" spans="7:9">
      <c r="G502" s="212" t="str">
        <f t="shared" si="42"/>
        <v>0x000</v>
      </c>
      <c r="H502" s="212">
        <f t="shared" si="41"/>
        <v>72</v>
      </c>
      <c r="I502" s="212" t="str">
        <f t="shared" si="43"/>
        <v>0x48</v>
      </c>
    </row>
    <row r="503" spans="7:9">
      <c r="G503" s="212" t="str">
        <f t="shared" si="42"/>
        <v>0x000</v>
      </c>
      <c r="H503" s="212">
        <f t="shared" si="41"/>
        <v>17</v>
      </c>
      <c r="I503" s="212" t="str">
        <f t="shared" si="43"/>
        <v>0x11</v>
      </c>
    </row>
    <row r="504" spans="7:9">
      <c r="G504" s="212" t="str">
        <f t="shared" si="42"/>
        <v>0x000</v>
      </c>
      <c r="H504" s="212">
        <f t="shared" si="41"/>
        <v>34</v>
      </c>
      <c r="I504" s="212" t="str">
        <f t="shared" si="43"/>
        <v>0x22</v>
      </c>
    </row>
    <row r="505" spans="7:9">
      <c r="G505" s="212" t="str">
        <f t="shared" si="42"/>
        <v>0x000</v>
      </c>
      <c r="H505" s="212">
        <f t="shared" si="41"/>
        <v>68</v>
      </c>
      <c r="I505" s="212" t="str">
        <f t="shared" si="43"/>
        <v>0x44</v>
      </c>
    </row>
    <row r="506" spans="7:9">
      <c r="G506" s="212" t="str">
        <f t="shared" si="42"/>
        <v>0x000</v>
      </c>
      <c r="H506" s="212">
        <f t="shared" si="41"/>
        <v>9</v>
      </c>
      <c r="I506" s="212" t="str">
        <f t="shared" si="43"/>
        <v>0x09</v>
      </c>
    </row>
    <row r="507" spans="7:9">
      <c r="G507" s="212" t="str">
        <f t="shared" si="42"/>
        <v>0x000</v>
      </c>
      <c r="H507" s="212">
        <f t="shared" si="41"/>
        <v>18</v>
      </c>
      <c r="I507" s="212" t="str">
        <f t="shared" si="43"/>
        <v>0x12</v>
      </c>
    </row>
    <row r="508" spans="7:9">
      <c r="G508" s="212" t="str">
        <f t="shared" si="42"/>
        <v>0x000</v>
      </c>
      <c r="H508" s="212">
        <f t="shared" si="41"/>
        <v>36</v>
      </c>
      <c r="I508" s="212" t="str">
        <f t="shared" si="43"/>
        <v>0x24</v>
      </c>
    </row>
    <row r="509" spans="7:9">
      <c r="G509" s="212" t="str">
        <f t="shared" si="42"/>
        <v>0x000</v>
      </c>
      <c r="H509" s="212">
        <f t="shared" si="41"/>
        <v>72</v>
      </c>
      <c r="I509" s="212" t="str">
        <f t="shared" si="43"/>
        <v>0x48</v>
      </c>
    </row>
    <row r="510" spans="7:9">
      <c r="G510" s="212" t="str">
        <f t="shared" si="42"/>
        <v>0x000</v>
      </c>
      <c r="H510" s="212">
        <f t="shared" si="41"/>
        <v>17</v>
      </c>
      <c r="I510" s="212" t="str">
        <f t="shared" si="43"/>
        <v>0x11</v>
      </c>
    </row>
    <row r="511" spans="7:9">
      <c r="G511" s="212" t="str">
        <f t="shared" si="42"/>
        <v>0x000</v>
      </c>
      <c r="H511" s="212">
        <f t="shared" si="41"/>
        <v>34</v>
      </c>
      <c r="I511" s="212" t="str">
        <f t="shared" si="43"/>
        <v>0x22</v>
      </c>
    </row>
    <row r="512" spans="7:9">
      <c r="G512" s="212" t="str">
        <f t="shared" si="42"/>
        <v>0x000</v>
      </c>
      <c r="H512" s="212">
        <f t="shared" si="41"/>
        <v>68</v>
      </c>
      <c r="I512" s="212" t="str">
        <f t="shared" si="43"/>
        <v>0x44</v>
      </c>
    </row>
    <row r="513" spans="7:9">
      <c r="G513" s="212" t="str">
        <f t="shared" si="42"/>
        <v>0x000</v>
      </c>
      <c r="H513" s="212">
        <f t="shared" si="41"/>
        <v>9</v>
      </c>
      <c r="I513" s="212" t="str">
        <f t="shared" si="43"/>
        <v>0x09</v>
      </c>
    </row>
    <row r="514" spans="7:9">
      <c r="G514" s="212" t="str">
        <f t="shared" si="42"/>
        <v>0x000</v>
      </c>
      <c r="H514" s="212">
        <f t="shared" si="41"/>
        <v>18</v>
      </c>
      <c r="I514" s="212" t="str">
        <f t="shared" si="43"/>
        <v>0x12</v>
      </c>
    </row>
    <row r="515" spans="7:9">
      <c r="G515" s="212" t="str">
        <f t="shared" si="42"/>
        <v>0x000</v>
      </c>
      <c r="H515" s="212">
        <f t="shared" si="41"/>
        <v>36</v>
      </c>
      <c r="I515" s="212" t="str">
        <f t="shared" si="43"/>
        <v>0x24</v>
      </c>
    </row>
    <row r="516" spans="7:9">
      <c r="G516" s="212" t="str">
        <f t="shared" si="42"/>
        <v>0x000</v>
      </c>
      <c r="H516" s="212">
        <f t="shared" si="41"/>
        <v>72</v>
      </c>
      <c r="I516" s="212" t="str">
        <f t="shared" si="43"/>
        <v>0x48</v>
      </c>
    </row>
    <row r="517" spans="7:9">
      <c r="G517" s="212" t="str">
        <f t="shared" si="42"/>
        <v>0x000</v>
      </c>
      <c r="H517" s="212">
        <f t="shared" si="41"/>
        <v>17</v>
      </c>
      <c r="I517" s="212" t="str">
        <f t="shared" si="43"/>
        <v>0x11</v>
      </c>
    </row>
    <row r="518" spans="7:9">
      <c r="G518" s="212" t="str">
        <f t="shared" si="42"/>
        <v>0x000</v>
      </c>
      <c r="H518" s="212">
        <f t="shared" si="41"/>
        <v>34</v>
      </c>
      <c r="I518" s="212" t="str">
        <f t="shared" si="43"/>
        <v>0x22</v>
      </c>
    </row>
    <row r="519" spans="7:9">
      <c r="G519" s="212" t="str">
        <f t="shared" si="42"/>
        <v>0x000</v>
      </c>
      <c r="H519" s="212">
        <f t="shared" si="41"/>
        <v>68</v>
      </c>
      <c r="I519" s="212" t="str">
        <f t="shared" si="43"/>
        <v>0x44</v>
      </c>
    </row>
    <row r="520" spans="7:9">
      <c r="G520" s="212" t="str">
        <f t="shared" si="42"/>
        <v>0x000</v>
      </c>
      <c r="H520" s="212">
        <f t="shared" si="41"/>
        <v>9</v>
      </c>
      <c r="I520" s="212" t="str">
        <f t="shared" si="43"/>
        <v>0x09</v>
      </c>
    </row>
  </sheetData>
  <phoneticPr fontId="53"/>
  <hyperlinks>
    <hyperlink ref="L4" r:id="rId1" display="http://cdt.cypress.com:3400/scripts/isynch.dll?panel=NoteDetail&amp;NoteType=Ticket&amp;NoteId=274937&amp;DisplayMode=View" xr:uid="{00000000-0004-0000-0900-000000000000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Summary</vt:lpstr>
      <vt:lpstr>Interfaces</vt:lpstr>
      <vt:lpstr>Parameters</vt:lpstr>
      <vt:lpstr>Prerequisites</vt:lpstr>
      <vt:lpstr>SFLASH.512_ver2</vt:lpstr>
      <vt:lpstr>SFLASH.512_ver2_Regs</vt:lpstr>
      <vt:lpstr>TVIIBE1M_SR_Layout</vt:lpstr>
      <vt:lpstr>TVIIBE1M_SR_Details</vt:lpstr>
      <vt:lpstr>TVIIBE1M_ByteMap</vt:lpstr>
      <vt:lpstr>TVIIBE1M_CalPairs</vt:lpstr>
      <vt:lpstr>SFLASH.512_ver2!Print_Area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 van Antwerpen</dc:creator>
  <cp:lastModifiedBy>Chendra Handoko (CY DSS Integration)</cp:lastModifiedBy>
  <dcterms:created xsi:type="dcterms:W3CDTF">2013-01-02T00:04:44Z</dcterms:created>
  <dcterms:modified xsi:type="dcterms:W3CDTF">2022-01-20T03:03:41Z</dcterms:modified>
</cp:coreProperties>
</file>